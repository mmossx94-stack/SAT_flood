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aster_DB" sheetId="1" r:id="rId5"/>
    <sheet state="visible" name="Vulnerable_group" sheetId="2" r:id="rId6"/>
    <sheet state="hidden" name="Dashboard" sheetId="3" r:id="rId7"/>
    <sheet state="visible" name="BKK_water_DB" sheetId="4" r:id="rId8"/>
    <sheet state="visible" name="thai_water_DB" sheetId="5" r:id="rId9"/>
    <sheet state="visible" name="shelter_DB" sheetId="6" r:id="rId10"/>
  </sheets>
  <definedNames>
    <definedName hidden="1" localSheetId="0" name="_xlnm._FilterDatabase">Disaster_DB!$A$1:$Z$96</definedName>
    <definedName hidden="1" localSheetId="5" name="_xlnm._FilterDatabase">shelter_DB!$A$1:$AD$208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อัปเดตสำเร็จ: 2026-10-03T14:57:33+07:00
จำนวนสถานี: 282
แหล่งข้อมูลรอบนี้: สำนักการระบายน้ำ กทม. ผ่าน ThaiWater
เหตุผลใช้สำรอง: https://weather.bangkok.go.th/water/Summary ตอบ HTTP 403
ระดับน้ำ ม.รทก. ไม่ใช่ความลึกน้ำท่วมถนน
สถานะน้ำและเครื่องวัดยึดต้นทาง ไม่คำนวณสถานะจากเกณฑ์ใหม่
รหัสเครื่องวัด 0/3 ยังไม่ยืนยันความหมาย จึงแสดงไม่ทราบ
null และ -99 แสดงว่างในคอลัมน์ระดับน้ำ; ค่าเดิมอยู่ใน raw_station_json
เวลาเป็นข้อความ ISO เวลาไทย มี +07:00; freshness คำนวณ ณ เวลาดึง ไม่เปลี่ยนเองระหว่างรอบ
ข้อมูลเป็นชุดล่าสุด รวมสถานีพื้นที่นอก กทม. ตามต้นทาง
ThaiWater: ไม่ได้ให้สถานะเครื่อง/สถานะเตือนแบบ กทม. จึงแสดงไม่ทราบ ไม่คำนวณแทน
ThaiWater: station_id ใช้คำนำหน้า THAIWATER: เพราะเป็นคนละระบบรหัส; จับคู่ข้ามแหล่งด้วย station_code
ThaiWater: canal_out เก็บใน raw_station_json เท่านั้น จนยืนยันความหมายของฟิลด์ได้
การสลับแหล่งแทนที่ทั้งชุด จำนวนและเวลาวัดอาจต่างกัน ไม่รวมข้อมูลข้ามแหล่ง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แหล่งข้อมูล: https://api-v3.thaiwater.net/api/v1/thaiwater30/public/waterlevel_load
รับข้อมูล: 2026-10-03T15:22:23+07:00
จำนวน: 808 สถานี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ข้อมูลจาก BMA Flood Support เฉพาะศูนย์พักพิงชั่วคราว
จำนวน 207
รับข้อมูล 2026-10-02T15:05:13+07:00
เวลา created/updated/generated เก็บตามต้นทาง ไม่แทนด้วยเวลาที่ดึง
source_stale คือสถานะข้อมูลสำรองที่ API รายงาน ไม่ใช่การรับรองว่าทุกศูนย์อัปเดตล่าสุด
ช่องว่างไม่ใช่ศูนย์ ที่ว่างและสถานะใช้ค่าต้นทาง ไม่คำนวณใหม่
map_url_found มาจาก Google Geocoder โดยตรวจชื่อสถานที่และเขตตรงกันแบบเข้มงวด ไม่ใช่การยืนยันโดยเจ้าหน้าที่
map_search_query_url เป็นเพียงลิงก์ค้นหา ไม่ใช่สถานที่ที่ยืนยันแล้ว</t>
      </text>
    </comment>
  </commentList>
</comments>
</file>

<file path=xl/sharedStrings.xml><?xml version="1.0" encoding="utf-8"?>
<sst xmlns="http://schemas.openxmlformats.org/spreadsheetml/2006/main" count="18244" uniqueCount="6708">
  <si>
    <t>เขตสุขภาพ</t>
  </si>
  <si>
    <t>จังหวัด</t>
  </si>
  <si>
    <t>จำนวนเด็ก 0-4 ปีทั้งหมด (คน)</t>
  </si>
  <si>
    <t>station_id</t>
  </si>
  <si>
    <t>จำนวนหญิงตั้งครรภ์ทั้งหมด (คน)</t>
  </si>
  <si>
    <t>จำนวนผู้สูงอายุ 60 ปีขึ้นไปทั้งหมด (คน)</t>
  </si>
  <si>
    <t>รวมทั้งหมด</t>
  </si>
  <si>
    <t>เขตสุขภาพที่ 1</t>
  </si>
  <si>
    <t>station_code</t>
  </si>
  <si>
    <t>เชียงใหม่</t>
  </si>
  <si>
    <t>station_name</t>
  </si>
  <si>
    <t>district_or_area</t>
  </si>
  <si>
    <t>canal</t>
  </si>
  <si>
    <t>latitude</t>
  </si>
  <si>
    <t>longitude</t>
  </si>
  <si>
    <t>observed_at_th</t>
  </si>
  <si>
    <t>Record_ID</t>
  </si>
  <si>
    <t>water_in_m_msl</t>
  </si>
  <si>
    <t>water_out01_m_msl</t>
  </si>
  <si>
    <t>water_out02_m_msl</t>
  </si>
  <si>
    <t>warning_in_source</t>
  </si>
  <si>
    <t>critical_in_source</t>
  </si>
  <si>
    <t>flood_status_source</t>
  </si>
  <si>
    <t>sensor_status_source</t>
  </si>
  <si>
    <t>flood_status_code</t>
  </si>
  <si>
    <t>sensor_status_code</t>
  </si>
  <si>
    <t>age_minutes_at_fetch</t>
  </si>
  <si>
    <t>Report_Date</t>
  </si>
  <si>
    <t>freshness_at_fetch</t>
  </si>
  <si>
    <t>Region</t>
  </si>
  <si>
    <t>has_minus99_source</t>
  </si>
  <si>
    <t>Province</t>
  </si>
  <si>
    <t>fetched_at_th</t>
  </si>
  <si>
    <t>Disaster_Type</t>
  </si>
  <si>
    <t>source_url</t>
  </si>
  <si>
    <t>Affected_Districts_Count</t>
  </si>
  <si>
    <t>raw_station_json</t>
  </si>
  <si>
    <t>District_Names</t>
  </si>
  <si>
    <t>Affected_Subdistricts_Count</t>
  </si>
  <si>
    <t>Affected_Villages_Count</t>
  </si>
  <si>
    <t>THAIWATER:153</t>
  </si>
  <si>
    <t>Affected_Households</t>
  </si>
  <si>
    <t>WL.PSC.04</t>
  </si>
  <si>
    <t>ค.ภาษีเจริญ-ค.มหาศร</t>
  </si>
  <si>
    <t>หนองแขม</t>
  </si>
  <si>
    <t>Casualties_Deaths</t>
  </si>
  <si>
    <t>Water_Level_Trend</t>
  </si>
  <si>
    <t>Current_Status</t>
  </si>
  <si>
    <t>Remarks</t>
  </si>
  <si>
    <t>Ingested_At</t>
  </si>
  <si>
    <t>Source_URL</t>
  </si>
  <si>
    <t>2021-01-22T12:05:00+07:00</t>
  </si>
  <si>
    <t>ไม่ทราบ</t>
  </si>
  <si>
    <t>เชียงราย</t>
  </si>
  <si>
    <t>ข้อมูลเก่าเกิน 48 ชม.</t>
  </si>
  <si>
    <t>2026-10-02_พิษณุโลก_อุทกภัย</t>
  </si>
  <si>
    <t>2026-10-03T14:57:33+07:00</t>
  </si>
  <si>
    <t>https://api-v3.thaiwater.net/api/v1/thaiwater30/public/canal_waterlevel</t>
  </si>
  <si>
    <t>แพร่</t>
  </si>
  <si>
    <t>ภาคเหนือ</t>
  </si>
  <si>
    <t>น่าน</t>
  </si>
  <si>
    <t>พิษณุโลก</t>
  </si>
  <si>
    <t>อุทกภัย</t>
  </si>
  <si>
    <t>พะเยา</t>
  </si>
  <si>
    <t>อ.บางระกำ</t>
  </si>
  <si>
    <t>ลำปาง</t>
  </si>
  <si>
    <t>Disaster Situation Dashboard</t>
  </si>
  <si>
    <t>ลำพูน</t>
  </si>
  <si>
    <t>-</t>
  </si>
  <si>
    <t>ลดลง</t>
  </si>
  <si>
    <t>แม่ฮ่องสอน</t>
  </si>
  <si>
    <t>กำลังประสบภัย</t>
  </si>
  <si>
    <t>ปภ. รายงาน 549/2569 วันที่ 2 ต.ค. 2569 เวลา 06.00 น. ตารางหน้า 1; บาดเจ็บ: -; สูญหาย: -; คงเครื่องหมาย - และช่องว่างตามต้นฉบับ ปภ.</t>
  </si>
  <si>
    <t>เขตสุขภาพที่ 2</t>
  </si>
  <si>
    <t>ตาก</t>
  </si>
  <si>
    <t>Total Affected Provinces</t>
  </si>
  <si>
    <t>https://direct.disaster.go.th/directing/home</t>
  </si>
  <si>
    <t>เพชรบูรณ์</t>
  </si>
  <si>
    <t>Total Affected Households</t>
  </si>
  <si>
    <t>Total Fatalities</t>
  </si>
  <si>
    <t>อุตรดิตถ์</t>
  </si>
  <si>
    <t>Total Affected Districts</t>
  </si>
  <si>
    <t>สุโขทัย</t>
  </si>
  <si>
    <t>เขตสุขภาพที่ 3</t>
  </si>
  <si>
    <t>กำแพงเพชร</t>
  </si>
  <si>
    <t>พิจิตร</t>
  </si>
  <si>
    <t>นครสวรรค์</t>
  </si>
  <si>
    <t>{"canal_datetime":"2021-01-22 12:05","canal_value":0.12,"canal_out":0,"agency":{"agency_name":{"th":"สำนักการระบายน้ำ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153,"canal_name":{"th":"ค.ภาษีเจริญ-ค.มหาศร"},"canal_lat":13.68138,"canal_long":100.35047,"canal_oldcode":"WL.PSC.04","bank":null,"warning_level":null,"critical_level":null}}</t>
  </si>
  <si>
    <t>THAIWATER:218</t>
  </si>
  <si>
    <t>WL.LBK.02</t>
  </si>
  <si>
    <t>ค.ลาดบัวขาว ถ.เคหะร่มเกล้า</t>
  </si>
  <si>
    <t>ชัยนาท</t>
  </si>
  <si>
    <t>สะพานสูง</t>
  </si>
  <si>
    <t>2026-09-28T13:20:00+07:00</t>
  </si>
  <si>
    <t>อุทัยธานี</t>
  </si>
  <si>
    <t>2026-10-02_เพชรบูรณ์_อุทกภัย</t>
  </si>
  <si>
    <t>เขตสุขภาพที่ 4</t>
  </si>
  <si>
    <t>สระบุรี</t>
  </si>
  <si>
    <t>นนทบุรี</t>
  </si>
  <si>
    <t>{"canal_datetime":"2026-09-28 13:20","canal_value":0.95,"canal_out":0,"agency":{"agency_name":{"th":"สำนักการระบายน้ำ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Sung"},"province_code":"10","province_name":{"th":"กรุงเทพมหานคร","en":"Bangkok"}},"station":{"id":218,"canal_name":{"th":"ค.ลาดบัวขาว ถ.เคหะร่มเกล้า"},"canal_lat":13.76991,"canal_long":100.71494,"canal_oldcode":"WL.LBK.02","bank":1,"warning_level":0.3,"critical_level":0.4}}</t>
  </si>
  <si>
    <t>THAIWATER:185</t>
  </si>
  <si>
    <t>ลพบุรี</t>
  </si>
  <si>
    <t>WL.LPI.02</t>
  </si>
  <si>
    <t>ค.หลุมไผ่ ถ.ประเสริฐมนูกิจ29</t>
  </si>
  <si>
    <t>ลาดพร้าว</t>
  </si>
  <si>
    <t>อ.เมืองฯ อ.ชนแดน อ.บึงสามพัน อ.วิเชียรบุรี อ.ศรีเทพ อ.หนองไผ่</t>
  </si>
  <si>
    <t>2026-09-28T13:24:00+07:00</t>
  </si>
  <si>
    <t>อ่างทอง</t>
  </si>
  <si>
    <t>นครนายก</t>
  </si>
  <si>
    <t>สิงห์บุรี</t>
  </si>
  <si>
    <t>{"canal_datetime":"2026-09-28 13:24","canal_value":1.12,"canal_out":0,"agency":{"agency_name":{"th":"สำนักการระบายน้ำ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Bua"},"province_code":"10","province_name":{"th":"กรุงเทพมหานคร","en":"Bangkok"}},"station":{"id":185,"canal_name":{"th":"ค.หลุมไผ่ ถ.ประเสริฐมนูกิจ29"},"canal_lat":13.84703,"canal_long":100.6218,"canal_oldcode":"WL.LPI.02","bank":1.8,"warning_level":0.7,"critical_level":0.9}}</t>
  </si>
  <si>
    <t>2026-10-02_กำแพงเพชร_อุทกภัย</t>
  </si>
  <si>
    <t>THAIWATER:212</t>
  </si>
  <si>
    <t>WL.SSB.05</t>
  </si>
  <si>
    <t>ค.แสนแสบ รามคำแหง 9</t>
  </si>
  <si>
    <t>บางกะปิ</t>
  </si>
  <si>
    <t>พระนครศรีอยุธยา</t>
  </si>
  <si>
    <t>2023-10-23T11:05:00+07:00</t>
  </si>
  <si>
    <t>ปทุมธานี</t>
  </si>
  <si>
    <t>อ.ขาณุวรลักษบุรี อ.คลองขลุง</t>
  </si>
  <si>
    <t>เขตสุขภาพที่ 5</t>
  </si>
  <si>
    <t>เพชรบุรี</t>
  </si>
  <si>
    <t>ปภ. รายงาน 549/2569 วันที่ 2 ต.ค. 2569 เวลา 06.00 น. ตารางหน้า 2; บาดเจ็บ: -; สูญหาย: -; คงเครื่องหมาย - และช่องว่างตามต้นฉบับ ปภ.</t>
  </si>
  <si>
    <t>{"canal_datetime":"2023-10-23 11:05","canal_value":-0.71,"canal_out":0,"agency":{"agency_name":{"th":"สำนักการระบายน้ำ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Mak"},"province_code":"10","province_name":{"th":"กรุงเทพมหานคร","en":"Bangkok"}},"station":{"id":212,"canal_name":{"th":"ค.แสนแสบ รามคำแหง 9"},"canal_lat":13.75228,"canal_long":100.60555,"canal_oldcode":"WL.SSB.05","bank":2,"warning_level":-0.1,"critical_level":0.1}}</t>
  </si>
  <si>
    <t>สมุทรสาคร</t>
  </si>
  <si>
    <t>THAIWATER:99</t>
  </si>
  <si>
    <t>WL.KKO.01</t>
  </si>
  <si>
    <t>ค.เก้า-วัดศรีสุขฯ</t>
  </si>
  <si>
    <t>คลองสามวา</t>
  </si>
  <si>
    <t>2026-10-02_นครสวรรค์_อุทกภัย</t>
  </si>
  <si>
    <t>สมุทรสงคราม</t>
  </si>
  <si>
    <t>ประจวบคีรีขันธ์</t>
  </si>
  <si>
    <t>Number of Provinces</t>
  </si>
  <si>
    <t>อ.พยุหะคีรี อ.แม่วงก์ อ.ตาคลี อ.ไพศาลี อ.ลาดยาว อ.บรรพตพิสัย อ.เก้าเลี้ยว อ.เมืองฯ อ.ชุมแสง อ.ท่าตะโก อ.ตากฟ้า อ.โกรกพระ อ.ชุมตาบง อ.หนองบัว</t>
  </si>
  <si>
    <t>Total Deaths</t>
  </si>
  <si>
    <t>Rising Water Trend Count</t>
  </si>
  <si>
    <t>สุพรรณบุรี</t>
  </si>
  <si>
    <t>Affected Households</t>
  </si>
  <si>
    <t>{"canal_datetime":"2026-09-28 13:20","canal_value":1.69,"canal_out":0,"agency":{"agency_name":{"th":"สำนักการระบายน้ำ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District"},"tumbon_name":{"th":"สามวาตะวันออก","en":"Sam Wa Tawan Ok"},"province_code":"10","province_name":{"th":"กรุงเทพมหานคร","en":"Bangkok"}},"station":{"id":99,"canal_name":{"th":"ค.เก้า-วัดศรีสุขฯ"},"canal_lat":13.92055,"canal_long":100.79237,"canal_oldcode":"WL.KKO.01","bank":1.85,"warning_level":1.2,"critical_level":1.7}}</t>
  </si>
  <si>
    <t>เพิ่มขึ้น</t>
  </si>
  <si>
    <t>THAIWATER:80</t>
  </si>
  <si>
    <t>WL.KKS.04</t>
  </si>
  <si>
    <t>ส.กรุงเกษม</t>
  </si>
  <si>
    <t>สัมพันธวงศ์</t>
  </si>
  <si>
    <t>2026-10-02_อุทัยธานี_อุทกภัย</t>
  </si>
  <si>
    <t>ภาคกลาง</t>
  </si>
  <si>
    <t>นครปฐม</t>
  </si>
  <si>
    <t>{"canal_datetime":"2026-09-28 13:20","canal_value":-0.25,"canal_out":0.86,"agency":{"agency_name":{"th":"สำนักการระบายน้ำ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Bangkok","jp":""}},"geocode":{"area_code":"1","area_name":{"th":"กรุงเทพมหานคร","en":"Bangkok"},"amphoe_name":{"th":"สัมพันธวงศ์","en":"Samphanthawong District"},"tumbon_name":{"th":"ตลาดน้อย","en":"Talat Noi"},"province_code":"10","province_name":{"th":"กรุงเทพมหานคร","en":"Bangkok"}},"station":{"id":80,"canal_name":{"th":"ส.กรุงเกษม"},"canal_lat":13.73035,"canal_long":100.5141,"canal_oldcode":"WL.KKS.04","bank":2.8,"warning_level":2.6,"critical_level":2.8}}</t>
  </si>
  <si>
    <t>อ.หนองฉาง อ.ห้วยคต อ.สว่างอารมณ์ อ.หนองขาหย่าง อ.บ้านไร่ อ.ลานสัก อ.เมืองฯ อ.ทัพทัน</t>
  </si>
  <si>
    <t>THAIWATER:232</t>
  </si>
  <si>
    <t>WL.BTY.01</t>
  </si>
  <si>
    <t>ค.บางเตย ถ.นวมินทร์ 66/3</t>
  </si>
  <si>
    <t>บึงกุ่ม</t>
  </si>
  <si>
    <t>ราชบุรี</t>
  </si>
  <si>
    <t>กาญจนบุรี</t>
  </si>
  <si>
    <t>2026-10-02_ลพบุรี_อุทกภัย</t>
  </si>
  <si>
    <t>เขตสุขภาพที่ 6</t>
  </si>
  <si>
    <t>สระแก้ว</t>
  </si>
  <si>
    <t>{"canal_datetime":"2026-09-28 13:20","canal_value":0.91,"canal_out":0,"agency":{"agency_name":{"th":"สำนักการระบายน้ำ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Kum"},"province_code":"10","province_name":{"th":"กรุงเทพมหานคร","en":"Bangkok"}},"station":{"id":232,"canal_name":{"th":"ค.บางเตย ถ.นวมินทร์ 66/3"},"canal_lat":13.8065,"canal_long":100.64899,"canal_oldcode":"WL.BTY.01","bank":1.8,"warning_level":0.4,"critical_level":0.5}}</t>
  </si>
  <si>
    <t>THAIWATER:225</t>
  </si>
  <si>
    <t>WL.RSK.01</t>
  </si>
  <si>
    <t>ค.ราษฎร์สามัคคี ถ.เพชรเกษม 63</t>
  </si>
  <si>
    <t>บางแค</t>
  </si>
  <si>
    <t>ปราจีนบุรี</t>
  </si>
  <si>
    <t>2026-09-27T00:05:00+07:00</t>
  </si>
  <si>
    <t>อ.เมืองฯ อ.ท่าหลวง อ.พัฒนานิคม อ.โคกสำโรง อ.บ้านหมี่</t>
  </si>
  <si>
    <t>ฉะเชิงเทรา</t>
  </si>
  <si>
    <t>สมุทรปราการ</t>
  </si>
  <si>
    <t>{"canal_datetime":"2026-09-27 00:05","canal_value":0.79,"canal_out":0,"agency":{"agency_name":{"th":"สำนักการระบายน้ำ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Song"},"province_code":"10","province_name":{"th":"กรุงเทพมหานคร","en":"Bangkok"}},"station":{"id":225,"canal_name":{"th":"ค.ราษฎร์สามัคคี ถ.เพชรเกษม 63"},"canal_lat":13.70339,"canal_long":100.39142,"canal_oldcode":"WL.RSK.01","bank":1.85,"warning_level":0.6,"critical_level":0.7}}</t>
  </si>
  <si>
    <t>THAIWATER:256</t>
  </si>
  <si>
    <t>WL.SBR.02</t>
  </si>
  <si>
    <t>ค.บางขุนศรีบุรีรักษ์ ถ.บรมราชชนนี</t>
  </si>
  <si>
    <t>ทวีวัฒนา</t>
  </si>
  <si>
    <t>2026-10-02_ชัยนาท_อุทกภัย</t>
  </si>
  <si>
    <t>ชลบุรี</t>
  </si>
  <si>
    <t>จันทบุรี</t>
  </si>
  <si>
    <t>อ.เมืองฯ อ.วัดสิงห์ อ.มโนรมย์ อ.สรรพยา อ.หันคา อ.หนองมะโมง อ.สรรคบุรี</t>
  </si>
  <si>
    <t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Thammasop"},"province_code":"10","province_name":{"th":"กรุงเทพมหานคร","en":"Bangkok"}},"station":{"id":256,"canal_name":{"th":"ค.บางขุนศรีบุรีรักษ์ ถ.บรมราชชนนี"},"canal_lat":13.78651,"canal_long":100.37053,"canal_oldcode":"WL.SBR.02","bank":1.1,"warning_level":0.9,"critical_level":1}}</t>
  </si>
  <si>
    <t>ระยอง</t>
  </si>
  <si>
    <t>THAIWATER:275</t>
  </si>
  <si>
    <t>WL.KKS.03</t>
  </si>
  <si>
    <t>ค.ผดุงกรุงเกษม หัวลำโพง</t>
  </si>
  <si>
    <t>ปทุมวัน</t>
  </si>
  <si>
    <t>ตราด</t>
  </si>
  <si>
    <t>2026-10-02_สิงห์บุรี_อุทกภัย</t>
  </si>
  <si>
    <t>เขตสุขภาพที่ 7</t>
  </si>
  <si>
    <t>กาฬสินธุ์</t>
  </si>
  <si>
    <t>{"canal_datetime":"2026-09-28 13:20","canal_value":-0.28,"canal_out":0,"agency":{"agency_name":{"th":"สำนักการระบายน้ำ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Mueang"},"province_code":"10","province_name":{"th":"กรุงเทพมหานคร","en":"Bangkok"}},"station":{"id":275,"canal_name":{"th":"ค.ผดุงกรุงเกษม หัวลำโพง"},"canal_lat":13.74126,"canal_long":100.51582,"canal_oldcode":"WL.KKS.03","bank":1,"warning_level":0.6,"critical_level":0.7}}</t>
  </si>
  <si>
    <t>THAIWATER:148</t>
  </si>
  <si>
    <t>WL.RMT.01</t>
  </si>
  <si>
    <t>ขอนแก่น</t>
  </si>
  <si>
    <t>ส.คลองพระยาราชมนตรี</t>
  </si>
  <si>
    <t>บางขุนเทียน</t>
  </si>
  <si>
    <t>มหาสารคาม</t>
  </si>
  <si>
    <t>ร้อยเอ็ด</t>
  </si>
  <si>
    <t>{"canal_datetime":"2026-09-28 13:20","canal_value":-0.75,"canal_out":1,"agency":{"agency_name":{"th":"สำนักการระบายน้ำ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148,"canal_name":{"th":"ส.คลองพระยาราชมนตรี"},"canal_lat":13.62817,"canal_long":100.43914,"canal_oldcode":"WL.RMT.01","bank":1.98,"warning_level":1,"critical_level":1.2}}</t>
  </si>
  <si>
    <t>เขตสุขภาพที่ 8</t>
  </si>
  <si>
    <t>THAIWATER:155</t>
  </si>
  <si>
    <t>อุดรธานี</t>
  </si>
  <si>
    <t>WL.SNC.01</t>
  </si>
  <si>
    <t>ส.คลองสนามชัย</t>
  </si>
  <si>
    <t>อ.อินทร์บุรี อ.พรหมบุรี อ.เมืองฯ</t>
  </si>
  <si>
    <t>สกลนคร</t>
  </si>
  <si>
    <t>นครพนม</t>
  </si>
  <si>
    <t>{"canal_datetime":"2026-09-28 13:20","canal_value":-0.26,"canal_out":1.2,"agency":{"agency_name":{"th":"สำนักการระบายน้ำ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155,"canal_name":{"th":"ส.คลองสนามชัย"},"canal_lat":13.63806,"canal_long":100.44765,"canal_oldcode":"WL.SNC.01","bank":1.98,"warning_level":1,"critical_level":1.2}}</t>
  </si>
  <si>
    <t>2026-10-02_สุพรรณบุรี_อุทกภัย</t>
  </si>
  <si>
    <t>THAIWATER:46</t>
  </si>
  <si>
    <t>WL.BJK.04</t>
  </si>
  <si>
    <t>เลย</t>
  </si>
  <si>
    <t xml:space="preserve">ค.บางจาก ถ.พุทธฯสาย 2 </t>
  </si>
  <si>
    <t>หนองคาย</t>
  </si>
  <si>
    <t>อ.บางปลาม้า อ.สองพี่น้อง อ.ดอนเจดีย์ อ.ศรีประจันต์ อ.เมืองฯ อ.สามชุก อ.เดิมบางนางบวช อ.อู่ทอง อ.ด่านช้าง</t>
  </si>
  <si>
    <t>หนองบัวลำภู</t>
  </si>
  <si>
    <t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Nuea"},"province_code":"10","province_name":{"th":"กรุงเทพมหานคร","en":"Bangkok"}},"station":{"id":46,"canal_name":{"th":"ค.บางจาก ถ.พุทธฯสาย 2 "},"canal_lat":13.71484,"canal_long":100.39596,"canal_oldcode":"WL.BJK.04","bank":1.59,"warning_level":0.6,"critical_level":0.7}}</t>
  </si>
  <si>
    <t>THAIWATER:137</t>
  </si>
  <si>
    <t>WL.PSC.01</t>
  </si>
  <si>
    <t>ส.คลองภาษีเจริญ</t>
  </si>
  <si>
    <t>ภาษีเจริญ</t>
  </si>
  <si>
    <t>บึงกาฬ</t>
  </si>
  <si>
    <t>เขตสุขภาพที่ 9</t>
  </si>
  <si>
    <t>ชัยภูมิ</t>
  </si>
  <si>
    <t>2026-10-02_กาญจนบุรี_อุทกภัย</t>
  </si>
  <si>
    <t>{"canal_datetime":"2026-09-28 13:20","canal_value":0.3,"canal_out":0.32,"agency":{"agency_name":{"th":"สำนักการระบายน้ำ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District"},"tumbon_name":{"th":"ปากคลองภาษีเจริญ","en":"Pak Khlong Phasi Charoen"},"province_code":"10","province_name":{"th":"กรุงเทพมหานคร","en":"Bangkok"}},"station":{"id":137,"canal_name":{"th":"ส.คลองภาษีเจริญ"},"canal_lat":13.72221,"canal_long":100.46868,"canal_oldcode":"WL.PSC.01","bank":1.98,"warning_level":0.7,"critical_level":0.8}}</t>
  </si>
  <si>
    <t>THAIWATER:74</t>
  </si>
  <si>
    <t>นครราชสีมา</t>
  </si>
  <si>
    <t>WL.CKS.01</t>
  </si>
  <si>
    <t>ส.คลองเจ้าคุณสิงห์</t>
  </si>
  <si>
    <t>วังทองหลาง</t>
  </si>
  <si>
    <t>อ.ไทรโยค อ.เลาขวัญ อ.ห้วยกระเจา อ.หนองปรือ อ.พนมทวน อ.ด่านมะขามเตี้ย อ.ท่าม่วง อ.ท่ามะกา อ.บ่อพลอย อ.ศรีสวัสดิ์ อ.ทองผาภูมิ อ.เมืองฯ อ.สังขละบุรี</t>
  </si>
  <si>
    <t>บุรีรัมย์</t>
  </si>
  <si>
    <t>สุรินทร์</t>
  </si>
  <si>
    <t>ปภ. รายงาน 549/2569 วันที่ 2 ต.ค. 2569 เวลา 06.00 น. ตารางหน้า 3; บาดเจ็บ: -; สูญหาย: -; คงเครื่องหมาย - และช่องว่างตามต้นฉบับ ปภ.</t>
  </si>
  <si>
    <t>{"canal_datetime":"2026-09-28 13:20","canal_value":0.05,"canal_out":0,"agency":{"agency_name":{"th":"สำนักการระบายน้ำ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74,"canal_name":{"th":"ส.คลองเจ้าคุณสิงห์"},"canal_lat":13.76172,"canal_long":100.61521,"canal_oldcode":"WL.CKS.01","bank":1.85,"warning_level":-0.3,"critical_level":-0.2}}</t>
  </si>
  <si>
    <t>เขตสุขภาพที่ 10</t>
  </si>
  <si>
    <t>อุบลราชธานี</t>
  </si>
  <si>
    <t>THAIWATER:284</t>
  </si>
  <si>
    <t>WL.TWW.03</t>
  </si>
  <si>
    <t>ค.ทวีวัฒนา ถ.เพชรเกษม</t>
  </si>
  <si>
    <t>2026-10-02_อ่างทอง_อุทกภัย</t>
  </si>
  <si>
    <t>2026-09-28T13:15:00+07:00</t>
  </si>
  <si>
    <t>ศรีสะเกษ</t>
  </si>
  <si>
    <t>มุกดาหาร</t>
  </si>
  <si>
    <t>อ.ป่าโมก อ.ไชโย อ.วิเศษชัยชาญ อ.เมืองฯ อ.สามโก้</t>
  </si>
  <si>
    <t>{"canal_datetime":"2026-09-28 13:15","canal_value":0.95,"canal_out":0,"agency":{"agency_name":{"th":"สำนักการระบายน้ำ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District"},"tumbon_name":{"th":"หลักสอง","en":"Lak Song"},"province_code":"10","province_name":{"th":"กรุงเทพมหานคร","en":"Bangkok"}},"station":{"id":284,"canal_name":{"th":"ค.ทวีวัฒนา ถ.เพชรเกษม"},"canal_lat":13.70769,"canal_long":100.37369,"canal_oldcode":"WL.TWW.03","bank":1,"warning_level":0.6,"critical_level":0.7}}</t>
  </si>
  <si>
    <t>THAIWATER:270</t>
  </si>
  <si>
    <t>WL.STR.02</t>
  </si>
  <si>
    <t>ค.สาทร ถ.พระรามที่ 4</t>
  </si>
  <si>
    <t>สาทร</t>
  </si>
  <si>
    <t>2024-11-11T13:40:00+07:00</t>
  </si>
  <si>
    <t>อำนาจเจริญ</t>
  </si>
  <si>
    <t>ยโสธร</t>
  </si>
  <si>
    <t>{"canal_datetime":"2024-11-11 13:40","canal_value":-1.3,"canal_out":0,"agency":{"agency_name":{"th":"สำนักการระบายน้ำ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District"},"tumbon_name":{"th":"ทุ่งมหาเมฆ","en":"Thung Mahamek"},"province_code":"10","province_name":{"th":"กรุงเทพมหานคร","en":"Bangkok"}},"station":{"id":270,"canal_name":{"th":"ค.สาทร ถ.พระรามที่ 4"},"canal_lat":13.72592,"canal_long":100.54402,"canal_oldcode":"WL.STR.02","bank":0.7,"warning_level":0.5,"critical_level":0.6}}</t>
  </si>
  <si>
    <t>THAIWATER:199</t>
  </si>
  <si>
    <t>WL.CTC.01</t>
  </si>
  <si>
    <t>ค.ชวดตาเชียง ส.คลองชวดตาเชียง</t>
  </si>
  <si>
    <t>2026-10-02_สระบุรี_อุทกภัย</t>
  </si>
  <si>
    <t>ห้วยขวาง</t>
  </si>
  <si>
    <t>2022-10-04T13:30:00+07:00</t>
  </si>
  <si>
    <t>เขตสุขภาพที่ 11</t>
  </si>
  <si>
    <t>นครศรีธรรมราช</t>
  </si>
  <si>
    <t>สุราษฎร์ธานี</t>
  </si>
  <si>
    <t>{"canal_datetime":"2022-10-04 13:30","canal_value":-0.42,"canal_out":0,"agency":{"agency_name":{"th":"สำนักการระบายน้ำ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Nok"},"province_code":"10","province_name":{"th":"กรุงเทพมหานคร","en":"Bangkok"}},"station":{"id":199,"canal_name":{"th":"ค.ชวดตาเชียง ส.คลองชวดตาเชียง"},"canal_lat":13.76884,"canal_long":100.59302,"canal_oldcode":"WL.CTC.01","bank":0.9,"warning_level":0.1,"critical_level":0.2}}</t>
  </si>
  <si>
    <t>อ.หนองแซง อ.มวกเหล็ก อ.เมืองฯ อ.วังม่วง อ.แก่งคอย อ.หนองแค อ.พระพุทธบาท อ.หนองโดน อ.วิหารแดง อ.บ้านหม้อ อ.ดอนพุด อ.เสาไห้ อ.เฉลิมพระเกียรติ</t>
  </si>
  <si>
    <t>THAIWATER:23</t>
  </si>
  <si>
    <t>BK02</t>
  </si>
  <si>
    <t>คลองบางเขน ช่วง ถ.ประชาชื่น เขตจตุจักร</t>
  </si>
  <si>
    <t>เมืองนนทบุรี</t>
  </si>
  <si>
    <t>2019-12-24T14:38:00+07:00</t>
  </si>
  <si>
    <t>ภูเก็ต</t>
  </si>
  <si>
    <t>{"canal_datetime":"2019-12-24 14:38","canal_value":0.186,"canal_out":0,"agency":{"agency_name":{"th":"สำนักการระบายน้ำ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Khen"},"province_code":"12","province_name":{"th":"นนทบุรี","en":"Nonthaburi"}},"station":{"id":23,"canal_name":{"th":"คลองบางเขน ช่วง ถ.ประชาชื่น เขตจตุจักร"},"canal_lat":13.849379,"canal_long":100.542947,"canal_oldcode":"BK02","bank":null,"warning_level":null,"critical_level":null}}</t>
  </si>
  <si>
    <t>กระบี่</t>
  </si>
  <si>
    <t>THAIWATER:18</t>
  </si>
  <si>
    <t>LP03</t>
  </si>
  <si>
    <t>คลองลาดพร้าวช่วง ซ.เสนานิคม เขตลาดพร้าว</t>
  </si>
  <si>
    <t>จตุจักร</t>
  </si>
  <si>
    <t>2026-10-02_พระนครศรีอยุธยา_อุทกภัย</t>
  </si>
  <si>
    <t>พังงา</t>
  </si>
  <si>
    <t>{"canal_datetime":"2019-12-24 14:38","canal_value":-0.157,"canal_out":0,"agency":{"agency_name":{"th":"สำนักการระบายน้ำ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District"},"tumbon_name":{"th":"จันทรเกษม","en":"Chantharakasem"},"province_code":"10","province_name":{"th":"กรุงเทพมหานคร","en":"Bangkok"}},"station":{"id":18,"canal_name":{"th":"คลองลาดพร้าวช่วง ซ.เสนานิคม เขตลาดพร้าว"},"canal_lat":13.832213,"canal_long":100.589696,"canal_oldcode":"LP03","bank":null,"warning_level":null,"critical_level":null}}</t>
  </si>
  <si>
    <t>ระนอง</t>
  </si>
  <si>
    <t>THAIWATER:7</t>
  </si>
  <si>
    <t>อ.เสนา อ.บางบาล อ.ผักไห่ อ.บางไทร อ.พระนครศรีอยุธยา อ.บางปะอิน อ.บางปะหัน อ.ลาดบัวหลวง อ.นครหลวง อ.วังน้อย อ.อุทัย อ.ท่าเรือ อ.ภาชี</t>
  </si>
  <si>
    <t>LP01</t>
  </si>
  <si>
    <t>คลองลาดพร้าวช่วง ถ.ประดิษฐ์มนูธรรม</t>
  </si>
  <si>
    <t>ชุมพร</t>
  </si>
  <si>
    <t>เขตสุขภาพที่ 12</t>
  </si>
  <si>
    <t>{"canal_datetime":"2019-12-24 14:38","canal_value":-0.301,"canal_out":0,"agency":{"agency_name":{"th":"สำนักการระบายน้ำ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Kapi"},"province_code":"10","province_name":{"th":"กรุงเทพมหานคร","en":"Bangkok"}},"station":{"id":7,"canal_name":{"th":"คลองลาดพร้าวช่วง ถ.ประดิษฐ์มนูธรรม"},"canal_lat":13.759541,"canal_long":100.596361,"canal_oldcode":"LP01","bank":null,"warning_level":null,"critical_level":null}}</t>
  </si>
  <si>
    <t>สงขลา</t>
  </si>
  <si>
    <t>THAIWATER:17</t>
  </si>
  <si>
    <t>KP02</t>
  </si>
  <si>
    <t>คลองเปรมประชากร ช่วงวัดเทวสุนทร</t>
  </si>
  <si>
    <t>2026-10-02_สมุทรปราการ_อุทกภัย</t>
  </si>
  <si>
    <t>สตูล</t>
  </si>
  <si>
    <t>ตรัง</t>
  </si>
  <si>
    <t>{"canal_datetime":"2019-12-24 14:38","canal_value":-0.031,"canal_out":0,"agency":{"agency_name":{"th":"สำนักการระบายน้ำ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Yao"},"province_code":"10","province_name":{"th":"กรุงเทพมหานคร","en":"Bangkok"}},"station":{"id":17,"canal_name":{"th":"คลองเปรมประชากร ช่วงวัดเทวสุนทร"},"canal_lat":13.850711,"canal_long":100.560876,"canal_oldcode":"KP02","bank":null,"warning_level":null,"critical_level":null}}</t>
  </si>
  <si>
    <t>THAIWATER:14</t>
  </si>
  <si>
    <t>SS06</t>
  </si>
  <si>
    <t>อ.บางเสาธง อ.บางบ่อ อ.บางพลี อ.เมืองฯ อ.พระประแดง อ.พระสมุทรเจดีย์</t>
  </si>
  <si>
    <t>คลองแสนแสบช่วง ซ.เสรีไทย 24 เขตบึงกุ่ม</t>
  </si>
  <si>
    <t>พัทลุง</t>
  </si>
  <si>
    <t>ปัตตานี</t>
  </si>
  <si>
    <t>ปภ. รายงาน 549/2569 วันที่ 2 ต.ค. 2569 เวลา 06.00 น. ตารางหน้า 4; บาดเจ็บ: -; สูญหาย: -; คงเครื่องหมาย - และช่องว่างตามต้นฉบับ ปภ.</t>
  </si>
  <si>
    <t>ยะลา</t>
  </si>
  <si>
    <t>2026-10-02_ปทุมธานี_อุทกภัย</t>
  </si>
  <si>
    <t>{"canal_datetime":"2019-12-24 14:38","canal_value":-0.343,"canal_out":0,"agency":{"agency_name":{"th":"สำนักการระบายน้ำ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Kum"},"province_code":"10","province_name":{"th":"กรุงเทพมหานคร","en":"Bangkok"}},"station":{"id":14,"canal_name":{"th":"คลองแสนแสบช่วง ซ.เสรีไทย 24 เขตบึงกุ่ม"},"canal_lat":13.780512,"canal_long":100.673845,"canal_oldcode":"SS06","bank":null,"warning_level":null,"critical_level":null}}</t>
  </si>
  <si>
    <t>นราธิวาส</t>
  </si>
  <si>
    <t>THAIWATER:246</t>
  </si>
  <si>
    <t>WL.TPK.01</t>
  </si>
  <si>
    <t>ค.ลาดกระบัง ซ.ลาดกระบัง 54/6</t>
  </si>
  <si>
    <t>ลาดกระบัง</t>
  </si>
  <si>
    <t>2025-01-24T13:45:00+07:00</t>
  </si>
  <si>
    <t>อ.ธัญบุรี อ.เมืองฯ อ.สามโคก อ.คลองหลวง อ.ลำลูกกา อ.หนองเสือ อ.ลาดหลุมแก้ว</t>
  </si>
  <si>
    <t>เขตสุขภาพที่ 13</t>
  </si>
  <si>
    <t>กรุงเทพมหานคร</t>
  </si>
  <si>
    <t>{"canal_datetime":"2025-01-24 13:45","canal_value":-0.37,"canal_out":0,"agency":{"agency_name":{"th":"สำนักการระบายน้ำ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Krabang"},"province_code":"10","province_name":{"th":"กรุงเทพมหานคร","en":"Bangkok"}},"station":{"id":246,"canal_name":{"th":"ค.ลาดกระบัง ซ.ลาดกระบัง 54/6"},"canal_lat":13.72294,"canal_long":100.75193,"canal_oldcode":"WL.TPK.01","bank":1,"warning_level":0.5,"critical_level":0.6}}</t>
  </si>
  <si>
    <t>THAIWATER:70</t>
  </si>
  <si>
    <t>WL.BSU.01</t>
  </si>
  <si>
    <t>ส.คลองบางซื่อ</t>
  </si>
  <si>
    <t>บางซื่อ</t>
  </si>
  <si>
    <t>2026-10-02_นนทบุรี_อุทกภัย</t>
  </si>
  <si>
    <t>{"canal_datetime":"2026-09-28 13:20","canal_value":-0.79,"canal_out":1.48,"agency":{"agency_name":{"th":"สำนักการระบายน้ำ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70,"canal_name":{"th":"ส.คลองบางซื่อ"},"canal_lat":13.80009,"canal_long":100.5184,"canal_oldcode":"WL.BSU.01","bank":3.5,"warning_level":3.3,"critical_level":3.5}}</t>
  </si>
  <si>
    <t>THAIWATER:221</t>
  </si>
  <si>
    <t>WL.RKC.01</t>
  </si>
  <si>
    <t>ค.ข้างศูนย์ราชการ</t>
  </si>
  <si>
    <t>หลักสี่</t>
  </si>
  <si>
    <t>2026-09-26T16:20:00+07:00</t>
  </si>
  <si>
    <t>อ.เมืองฯ อ.บางกรวย อ.ปากเกร็ด</t>
  </si>
  <si>
    <t>{"canal_datetime":"2026-09-26 16:20","canal_value":-0.8,"canal_out":0,"agency":{"agency_name":{"th":"สำนักการระบายน้ำ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221,"canal_name":{"th":"ค.ข้างศูนย์ราชการ"},"canal_lat":13.88457,"canal_long":100.56277,"canal_oldcode":"WL.RKC.01","bank":1,"warning_level":0.7,"critical_level":0.8}}</t>
  </si>
  <si>
    <t>THAIWATER:113</t>
  </si>
  <si>
    <t>WL.LPW.02</t>
  </si>
  <si>
    <t>ค.ลาดพร้าว-วัดลาดพร้าว</t>
  </si>
  <si>
    <t>2026-09-26T00:15:00+07:00</t>
  </si>
  <si>
    <t>2026-10-02_นครปฐม_อุทกภัย</t>
  </si>
  <si>
    <t>{"canal_datetime":"2026-09-26 00:15","canal_value":0.95,"canal_out":0,"agency":{"agency_name":{"th":"สำนักการระบายน้ำ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113,"canal_name":{"th":"ค.ลาดพร้าว-วัดลาดพร้าว"},"canal_lat":13.80293,"canal_long":100.58822,"canal_oldcode":"WL.LPW.02","bank":1.9,"warning_level":0.4,"critical_level":0.55}}</t>
  </si>
  <si>
    <t>THAIWATER:71</t>
  </si>
  <si>
    <t>WL.SSB.09</t>
  </si>
  <si>
    <t>ปตร.คลองแสนแสบ-บางชัน</t>
  </si>
  <si>
    <t>อ.เมืองฯ อ.กำแพงแสน อ.นครชัยศรี อ.พุทธมณฑล อ.สามพราน อ.บางเลน อ.ดอนตูม</t>
  </si>
  <si>
    <t>{"canal_datetime":"2026-09-28 13:20","canal_value":0.93,"canal_out":0.62,"agency":{"agency_name":{"th":"สำนักการระบายน้ำ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71,"canal_name":{"th":"ปตร.คลองแสนแสบ-บางชัน"},"canal_lat":13.7972,"canal_long":100.70458,"canal_oldcode":"WL.SSB.09","bank":1.98,"warning_level":0.4,"critical_level":0.6}}</t>
  </si>
  <si>
    <t>THAIWATER:667</t>
  </si>
  <si>
    <t>WL.BNA.04</t>
  </si>
  <si>
    <t>ค.บางนา ซ.บางนา-ตราด 56</t>
  </si>
  <si>
    <t>บางนา</t>
  </si>
  <si>
    <t>2026-10-02_ราชบุรี_อุทกภัย</t>
  </si>
  <si>
    <t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Na"},"province_code":"10","province_name":{"th":"กรุงเทพมหานคร","en":"Bangkok"}},"station":{"id":667,"canal_name":{"th":"ค.บางนา ซ.บางนา-ตราด 56"},"canal_lat":13.6594,"canal_long":100.64935,"canal_oldcode":"WL.BNA.04","bank":null,"warning_level":null,"critical_level":null}}</t>
  </si>
  <si>
    <t>THAIWATER:114</t>
  </si>
  <si>
    <t>WL.LPW.03</t>
  </si>
  <si>
    <t>ค.ลาดพร้าว-เสนานิคม</t>
  </si>
  <si>
    <t>อ.โพธาราม อ.บางแพ อ.เมืองฯ อ.ดำเนินสะดวก อ.บ้านโป่ง อ.วัดเพลง อ.จอมบึง</t>
  </si>
  <si>
    <t>ภาคตะวันออก</t>
  </si>
  <si>
    <t>2026-10-02_เพชรบุรี_อุทกภัย</t>
  </si>
  <si>
    <t>อ.แก่งกระจาน</t>
  </si>
  <si>
    <t>{"canal_datetime":"2026-09-28 13:20","canal_value":1.04,"canal_out":0,"agency":{"agency_name":{"th":"สำนักการระบายน้ำ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ันทรเกษม","en":"Chantharakasem"},"province_code":"10","province_name":{"th":"กรุงเทพมหานคร","en":"Bangkok"}},"station":{"id":114,"canal_name":{"th":"ค.ลาดพร้าว-เสนานิคม"},"canal_lat":13.83224,"canal_long":100.58974,"canal_oldcode":"WL.LPW.03","bank":1.9,"warning_level":0.6,"critical_level":0.75}}</t>
  </si>
  <si>
    <t>THAIWATER:250</t>
  </si>
  <si>
    <t>WL.KJN.01</t>
  </si>
  <si>
    <t>ค.จั่น ถ.ลาดพร้าว</t>
  </si>
  <si>
    <t>2026-10-02_นครนายก_อุทกภัย</t>
  </si>
  <si>
    <t>{"canal_datetime":"2026-09-28 13:20","canal_value":0.64,"canal_out":0,"agency":{"agency_name":{"th":"สำนักการระบายน้ำ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Lang"},"province_code":"10","province_name":{"th":"กรุงเทพมหานคร","en":"Bangkok"}},"station":{"id":250,"canal_name":{"th":"ค.จั่น ถ.ลาดพร้าว"},"canal_lat":13.77609,"canal_long":100.62816,"canal_oldcode":"WL.KJN.01","bank":1,"warning_level":-0.2,"critical_level":0}}</t>
  </si>
  <si>
    <t>THAIWATER:55</t>
  </si>
  <si>
    <t>WL.BSU.04</t>
  </si>
  <si>
    <t>ค.บางซื่อ ถ.พหลฯ</t>
  </si>
  <si>
    <t>พญาไท</t>
  </si>
  <si>
    <t>อ.ปากพลี อ.เมืองฯ อ.บ้านนา อ.องครักษ์</t>
  </si>
  <si>
    <t>{"canal_datetime":"2026-09-28 13:20","canal_value":-0.98,"canal_out":0,"agency":{"agency_name":{"th":"สำนักการระบายน้ำ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Nai"},"province_code":"10","province_name":{"th":"กรุงเทพมหานคร","en":"Bangkok"}},"station":{"id":55,"canal_name":{"th":"ค.บางซื่อ ถ.พหลฯ"},"canal_lat":13.79619,"canal_long":100.55035,"canal_oldcode":"WL.BSU.04","bank":1.9,"warning_level":0.4,"critical_level":0.5}}</t>
  </si>
  <si>
    <t>THAIWATER:89</t>
  </si>
  <si>
    <t>WL.BOA.01</t>
  </si>
  <si>
    <t>ส.บางอ้อ</t>
  </si>
  <si>
    <t>พระโขนง</t>
  </si>
  <si>
    <t>{"canal_datetime":"2026-09-28 13:20","canal_value":-1.28,"canal_out":0.29,"agency":{"agency_name":{"th":"สำนักการระบายน้ำ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89,"canal_name":{"th":"ส.บางอ้อ"},"canal_lat":13.68206,"canal_long":100.59226,"canal_oldcode":"WL.BOA.01","bank":2.8,"warning_level":2.6,"critical_level":2.8}}</t>
  </si>
  <si>
    <t>2026-10-02_ปราจีนบุรี_อุทกภัย</t>
  </si>
  <si>
    <t>THAIWATER:277</t>
  </si>
  <si>
    <t>WL.KLD.01</t>
  </si>
  <si>
    <t>ค.หลอด ส.ปากคลองตลาด</t>
  </si>
  <si>
    <t>พระนคร</t>
  </si>
  <si>
    <t>อ.กบินทร์บุรี อ.นาดี อ.ศรีมหาโพธิ อ.เมืองฯ อ.ประจันตคาม อ.บ้านสร้าง อ.ศรีมโหสถ</t>
  </si>
  <si>
    <t>{"canal_datetime":"2026-09-28 13:20","canal_value":-0.41,"canal_out":0,"agency":{"agency_name":{"th":"สำนักการระบายน้ำ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Phirom"},"province_code":"10","province_name":{"th":"กรุงเทพมหานคร","en":"Bangkok"}},"station":{"id":277,"canal_name":{"th":"ค.หลอด ส.ปากคลองตลาด"},"canal_lat":13.74261,"canal_long":100.49492,"canal_oldcode":"WL.KLD.01","bank":1.8,"warning_level":0.6,"critical_level":0.7}}</t>
  </si>
  <si>
    <t>THAIWATER:65</t>
  </si>
  <si>
    <t>WL.TUT.01</t>
  </si>
  <si>
    <t>ส.คลองตาอูฐ</t>
  </si>
  <si>
    <t>2025-10-22T14:35:00+07:00</t>
  </si>
  <si>
    <t>2026-10-02_ฉะเชิงเทรา_อุทกภัย</t>
  </si>
  <si>
    <t>{"canal_datetime":"2025-10-22 14:35","canal_value":0,"canal_out":0.04,"agency":{"agency_name":{"th":"สำนักการระบายน้ำ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65,"canal_name":{"th":"ส.คลองตาอูฐ"},"canal_lat":13.89975,"canal_long":100.58673,"canal_oldcode":"WL.TUT.01","bank":1.98,"warning_level":0.6,"critical_level":0.7}}</t>
  </si>
  <si>
    <t>THAIWATER:19</t>
  </si>
  <si>
    <t>KP03</t>
  </si>
  <si>
    <t>คลองเปรมประชากร ช่วง สน.ดอนเมือง</t>
  </si>
  <si>
    <t>ดอนเมือง</t>
  </si>
  <si>
    <t>อ.บางน้ำเปรี้ยว อ.พนมสารคาม อ.บางคล้า อ.แปลงยาว อ.ท่าตะเกียบ อ.สนามชัยเขต อ.เมืองฯ อ.บ้านโพธิ์ อ.บางปะกง อ.คลองเขื่อน อ.ราชสาส์น</t>
  </si>
  <si>
    <t>{"canal_datetime":"2019-12-24 14:38","canal_value":0.288,"canal_out":0,"agency":{"agency_name":{"th":"สำนักการระบายน้ำ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Kan"},"province_code":"10","province_name":{"th":"กรุงเทพมหานคร","en":"Bangkok"}},"station":{"id":19,"canal_name":{"th":"คลองเปรมประชากร ช่วง สน.ดอนเมือง"},"canal_lat":13.938917,"canal_long":100.606452,"canal_oldcode":"KP03","bank":null,"warning_level":null,"critical_level":null}}</t>
  </si>
  <si>
    <t>THAIWATER:1</t>
  </si>
  <si>
    <t>PK01</t>
  </si>
  <si>
    <t>แม่น้ำเจ้าพระยา บริเวณปากคลองตลาด</t>
  </si>
  <si>
    <t>ปภ. รายงาน 549/2569 วันที่ 2 ต.ค. 2569 เวลา 06.00 น. ตารางหน้า 5; บาดเจ็บ: -; สูญหาย: -; คงเครื่องหมาย - และช่องว่างตามต้นฉบับ ปภ.</t>
  </si>
  <si>
    <t>2026-10-02_สระแก้ว_อุทกภัย</t>
  </si>
  <si>
    <t>{"canal_datetime":"2019-12-24 14:38","canal_value":0.426,"canal_out":0,"agency":{"agency_name":{"th":"สำนักการระบายน้ำ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District"},"tumbon_name":{"th":"วังบูรพาภิรมย์","en":"Wang Burapha Phirom"},"province_code":"10","province_name":{"th":"กรุงเทพมหานคร","en":"Bangkok"}},"station":{"id":1,"canal_name":{"th":"แม่น้ำเจ้าพระยา บริเวณปากคลองตลาด"},"canal_lat":13.7422,"canal_long":100.49464,"canal_oldcode":"PK01","bank":null,"warning_level":null,"critical_level":null}}</t>
  </si>
  <si>
    <t>THAIWATER:5</t>
  </si>
  <si>
    <t>SS01</t>
  </si>
  <si>
    <t>คลองแสนแสบ ช่วง ค.ผดุงกรุงเกษม (โบ้เบ้)</t>
  </si>
  <si>
    <t>อ.อรัญประเทศ อ.เมืองฯ</t>
  </si>
  <si>
    <t>ภาคตะวันออกเฉียงเหนือ</t>
  </si>
  <si>
    <t>{"canal_datetime":"2019-12-24 14:38","canal_value":-0.164,"canal_out":0,"agency":{"agency_name":{"th":"สำนักการระบายน้ำ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District"},"tumbon_name":{"th":"รองเมือง","en":"Rong Mueang"},"province_code":"10","province_name":{"th":"กรุงเทพมหานคร","en":"Bangkok"}},"station":{"id":5,"canal_name":{"th":"คลองแสนแสบ ช่วง ค.ผดุงกรุงเกษม (โบ้เบ้)"},"canal_lat":13.752819,"canal_long":100.517188,"canal_oldcode":"SS01","bank":null,"warning_level":null,"critical_level":null}}</t>
  </si>
  <si>
    <t>THAIWATER:10</t>
  </si>
  <si>
    <t>PL01</t>
  </si>
  <si>
    <t>คลองพิทยาลงกรณ์ ช่วง ร.ร.พิทยาลงกรณ์</t>
  </si>
  <si>
    <t>2026-10-02_ชลบุรี_อุทกภัย</t>
  </si>
  <si>
    <t>{"canal_datetime":"2019-12-24 14:38","canal_value":0.414,"canal_out":0,"agency":{"agency_name":{"th":"สำนักการระบายน้ำ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Kham"},"province_code":"10","province_name":{"th":"กรุงเทพมหานคร","en":"Bangkok"}},"station":{"id":10,"canal_name":{"th":"คลองพิทยาลงกรณ์ ช่วง ร.ร.พิทยาลงกรณ์"},"canal_lat":13.528701,"canal_long":100.417622,"canal_oldcode":"PL01","bank":null,"warning_level":null,"critical_level":null}}</t>
  </si>
  <si>
    <t>THAIWATER:20</t>
  </si>
  <si>
    <t>SA02</t>
  </si>
  <si>
    <t>คลองสามเสนช่วง ถ.พหลโยธิน เขตพญาไท</t>
  </si>
  <si>
    <t>ราชเทวี</t>
  </si>
  <si>
    <t>อ.เมืองฯ อ.สัตหีบ อ.พนัสนิคม อ.ศรีราชา อ.บางละมุง อ.บ้านบึง อ.หนองใหญ่ อ.เกาะจันทร์ อ.พานทอง อ.บ่อทอง</t>
  </si>
  <si>
    <t>{"canal_datetime":"2019-12-24 14:38","canal_value":-0.512,"canal_out":0,"agency":{"agency_name":{"th":"สำนักการระบายน้ำ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Thai"},"province_code":"10","province_name":{"th":"กรุงเทพมหานคร","en":"Bangkok"}},"station":{"id":20,"canal_name":{"th":"คลองสามเสนช่วง ถ.พหลโยธิน เขตพญาไท"},"canal_lat":13.765552,"canal_long":100.539566,"canal_oldcode":"SA02","bank":null,"warning_level":null,"critical_level":null}}</t>
  </si>
  <si>
    <t>THAIWATER:11</t>
  </si>
  <si>
    <t>BS03</t>
  </si>
  <si>
    <t>คลองบางซื่อช่วง ถ.วิภาวดี เขตจตุจักร</t>
  </si>
  <si>
    <t>ดินแดง</t>
  </si>
  <si>
    <t>{"canal_datetime":"2019-12-24 14:38","canal_value":0,"canal_out":0,"agency":{"agency_name":{"th":"สำนักการระบายน้ำ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Daeng"},"province_code":"10","province_name":{"th":"กรุงเทพมหานคร","en":"Bangkok"}},"station":{"id":11,"canal_name":{"th":"คลองบางซื่อช่วง ถ.วิภาวดี เขตจตุจักร"},"canal_lat":13.794856,"canal_long":100.561336,"canal_oldcode":"BS03","bank":null,"warning_level":null,"critical_level":null}}</t>
  </si>
  <si>
    <t>THAIWATER:16</t>
  </si>
  <si>
    <t>BK03</t>
  </si>
  <si>
    <t>2026-10-02_ระยอง_อุทกภัย</t>
  </si>
  <si>
    <t>คลองบางเขน ช่วง ถ.วิภาวดี  เขตหลักสี่</t>
  </si>
  <si>
    <t>อ.เมืองฯ อ.แกลง</t>
  </si>
  <si>
    <t>{"canal_datetime":"2019-12-24 14:38","canal_value":-5.592,"canal_out":0,"agency":{"agency_name":{"th":"สำนักการระบายน้ำ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Yao"},"province_code":"10","province_name":{"th":"กรุงเทพมหานคร","en":"Bangkok"}},"station":{"id":16,"canal_name":{"th":"คลองบางเขน ช่วง ถ.วิภาวดี  เขตหลักสี่"},"canal_lat":13.855781,"canal_long":100.566765,"canal_oldcode":"BK03","bank":null,"warning_level":null,"critical_level":null}}</t>
  </si>
  <si>
    <t>THAIWATER:12</t>
  </si>
  <si>
    <t>SA03</t>
  </si>
  <si>
    <t>คลองสามเสนช่วง ถ.ดินแดง เขตราชเทวี</t>
  </si>
  <si>
    <t>ทรงตัว</t>
  </si>
  <si>
    <t>{"canal_datetime":"2019-12-24 14:38","canal_value":-0.887,"canal_out":0,"agency":{"agency_name":{"th":"สำนักการระบายน้ำ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Daeng"},"province_code":"10","province_name":{"th":"กรุงเทพมหานคร","en":"Bangkok"}},"station":{"id":12,"canal_name":{"th":"คลองสามเสนช่วง ถ.ดินแดง เขตราชเทวี"},"canal_lat":13.756143,"canal_long":100.55246,"canal_oldcode":"SA03","bank":null,"warning_level":null,"critical_level":null}}</t>
  </si>
  <si>
    <t>2026-10-02_จันทบุรี_อุทกภัย</t>
  </si>
  <si>
    <t>THAIWATER:13</t>
  </si>
  <si>
    <t>BS04</t>
  </si>
  <si>
    <t>คลองบางซื่อช่วง ถ.รัชดาภิเษก เขตดินแดง</t>
  </si>
  <si>
    <t>อ.นายายอาม อ.ท่าใหม่</t>
  </si>
  <si>
    <t>{"canal_datetime":"2019-12-24 14:38","canal_value":-0.179,"canal_out":0,"agency":{"agency_name":{"th":"สำนักการระบายน้ำ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Daeng"},"province_code":"10","province_name":{"th":"กรุงเทพมหานคร","en":"Bangkok"}},"station":{"id":13,"canal_name":{"th":"คลองบางซื่อช่วง ถ.รัชดาภิเษก เขตดินแดง"},"canal_lat":13.796139,"canal_long":100.574126,"canal_oldcode":"BS04","bank":null,"warning_level":null,"critical_level":null}}</t>
  </si>
  <si>
    <t>THAIWATER:15</t>
  </si>
  <si>
    <t>KP01</t>
  </si>
  <si>
    <t>คลองเปรมประชากร ช่วงอุโมงค์คลองเปรมฯ</t>
  </si>
  <si>
    <t>{"canal_datetime":"2019-12-24 14:38","canal_value":-0.052,"canal_out":0,"agency":{"agency_name":{"th":"สำนักการระบายน้ำ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Sue"},"province_code":"10","province_name":{"th":"กรุงเทพมหานคร","en":"Bangkok"}},"station":{"id":15,"canal_name":{"th":"คลองเปรมประชากร ช่วงอุโมงค์คลองเปรมฯ"},"canal_lat":13.805021,"canal_long":100.53607,"canal_oldcode":"KP01","bank":null,"warning_level":null,"critical_level":null}}</t>
  </si>
  <si>
    <t>THAIWATER:21</t>
  </si>
  <si>
    <t>SS03</t>
  </si>
  <si>
    <t>คลองแสนแสบช่วงอโศก เขตวัฒนา</t>
  </si>
  <si>
    <t>2026-10-02_ตราด_อุทกภัย</t>
  </si>
  <si>
    <t>{"canal_datetime":"2019-12-24 14:38","canal_value":-0.196,"canal_out":0,"agency":{"agency_name":{"th":"สำนักการระบายน้ำ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District"},"tumbon_name":{"th":"มักกะสัน","en":"Makkasan"},"province_code":"10","province_name":{"th":"กรุงเทพมหานคร","en":"Bangkok"}},"station":{"id":21,"canal_name":{"th":"คลองแสนแสบช่วงอโศก เขตวัฒนา"},"canal_lat":13.748123,"canal_long":100.562819,"canal_oldcode":"SS03","bank":null,"warning_level":null,"critical_level":null}}</t>
  </si>
  <si>
    <t>อ.บ่อไร่ อ.เขาสมิง อ.เมืองฯ</t>
  </si>
  <si>
    <t>THAIWATER:4</t>
  </si>
  <si>
    <t>SS05</t>
  </si>
  <si>
    <t>คลองแสนแสบช่วง ส.คลองเจ้าคุณสิงห์</t>
  </si>
  <si>
    <t>{"canal_datetime":"2019-12-24 14:38","canal_value":-0.368,"canal_out":0,"agency":{"agency_name":{"th":"สำนักการระบายน้ำ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Mak"},"province_code":"10","province_name":{"th":"กรุงเทพมหานคร","en":"Bangkok"}},"station":{"id":4,"canal_name":{"th":"คลองแสนแสบช่วง ส.คลองเจ้าคุณสิงห์"},"canal_lat":13.76127,"canal_long":100.615376,"canal_oldcode":"SS05","bank":null,"warning_level":null,"critical_level":null}}</t>
  </si>
  <si>
    <t>THAIWATER:24</t>
  </si>
  <si>
    <t>BK01</t>
  </si>
  <si>
    <t>คลองบางเขน ช่วง ถ.กรุงเทพ-นนท์ เขตบางซื่อ</t>
  </si>
  <si>
    <t>2026-10-02_บุรีรัมย์_อุทกภัย</t>
  </si>
  <si>
    <t>{"canal_datetime":"2019-12-24 14:38","canal_value":0.159,"canal_out":0,"agency":{"agency_name":{"th":"สำนักการระบายน้ำ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Khen"},"province_code":"12","province_name":{"th":"นนทบุรี","en":"Nonthaburi"}},"station":{"id":24,"canal_name":{"th":"คลองบางเขน ช่วง ถ.กรุงเทพ-นนท์ เขตบางซื่อ"},"canal_lat":13.83379,"canal_long":100.522105,"canal_oldcode":"BK01","bank":null,"warning_level":null,"critical_level":null}}</t>
  </si>
  <si>
    <t>THAIWATER:6</t>
  </si>
  <si>
    <t>BS02</t>
  </si>
  <si>
    <t>คลองบางซื่อช่วง ถ.พหลโยธิน เขตจตุจักร</t>
  </si>
  <si>
    <t>อ.นางรอง อ.ประโคนชัย</t>
  </si>
  <si>
    <t>{"canal_datetime":"2019-12-24 14:38","canal_value":0.176,"canal_out":0,"agency":{"agency_name":{"th":"สำนักการระบายน้ำ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Nai"},"province_code":"10","province_name":{"th":"กรุงเทพมหานคร","en":"Bangkok"}},"station":{"id":6,"canal_name":{"th":"คลองบางซื่อช่วง ถ.พหลโยธิน เขตจตุจักร"},"canal_lat":13.796218,"canal_long":100.55032,"canal_oldcode":"BS02","bank":null,"warning_level":null,"critical_level":null}}</t>
  </si>
  <si>
    <t>THAIWATER:213</t>
  </si>
  <si>
    <t>WL.LPG.01</t>
  </si>
  <si>
    <t>ค.หลวงแพ่ง รร.ผลลีรุ่งเรือง</t>
  </si>
  <si>
    <t>เมืองฉะเชิงเทรา</t>
  </si>
  <si>
    <t>2023-09-26T09:20:00+07:00</t>
  </si>
  <si>
    <t>2026-10-02_ชัยภูมิ_อุทกภัย</t>
  </si>
  <si>
    <t>อ.บำเหน็จณรงค์ อ.จัตุรัส</t>
  </si>
  <si>
    <t>{"canal_datetime":"2023-09-26 09:20","canal_value":0.38,"canal_out":0,"agency":{"agency_name":{"th":"สำนักการระบายน้ำ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PHAENG"},"province_code":"24","province_name":{"th":"ฉะเชิงเทรา","en":"Chachoengsao"}},"station":{"id":213,"canal_name":{"th":"ค.หลวงแพ่ง รร.ผลลีรุ่งเรือง"},"canal_lat":13.7917,"canal_long":100.91164,"canal_oldcode":"WL.LPG.01","bank":3.3,"warning_level":0.6,"critical_level":0.8}}</t>
  </si>
  <si>
    <t>THAIWATER:2</t>
  </si>
  <si>
    <t>SA01</t>
  </si>
  <si>
    <t>คลองสามเสนช่วง ถ.พระรามที่ 5 เขตดุสิต</t>
  </si>
  <si>
    <t>ดุสิต</t>
  </si>
  <si>
    <t>{"canal_datetime":"2019-12-24 14:38","canal_value":-0.464,"canal_out":0,"agency":{"agency_name":{"th":"สำนักการระบายน้ำ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District"},"tumbon_name":{"th":"ดุสิต","en":"Dusit"},"province_code":"10","province_name":{"th":"กรุงเทพมหานคร","en":"Bangkok"}},"station":{"id":2,"canal_name":{"th":"คลองสามเสนช่วง ถ.พระรามที่ 5 เขตดุสิต"},"canal_lat":13.777896,"canal_long":100.521271,"canal_oldcode":"SA01","bank":null,"warning_level":null,"critical_level":null}}</t>
  </si>
  <si>
    <t>THAIWATER:22</t>
  </si>
  <si>
    <t>SS04</t>
  </si>
  <si>
    <t>คลองแสนแสบช่วงคลองตัน สุขุมวิท 71</t>
  </si>
  <si>
    <t>วัฒนา</t>
  </si>
  <si>
    <t>2026-10-02_สุรินทร์_อุทกภัย</t>
  </si>
  <si>
    <t>{"canal_datetime":"2019-12-24 14:38","canal_value":-0.358,"canal_out":0,"agency":{"agency_name":{"th":"สำนักการระบายน้ำ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Nuea"},"province_code":"10","province_name":{"th":"กรุงเทพมหานคร","en":"Bangkok"}},"station":{"id":22,"canal_name":{"th":"คลองแสนแสบช่วงคลองตัน สุขุมวิท 71"},"canal_lat":13.737542,"canal_long":100.604497,"canal_oldcode":"SS04","bank":null,"warning_level":null,"critical_level":null}}</t>
  </si>
  <si>
    <t>THAIWATER:174</t>
  </si>
  <si>
    <t>WL.LPT.01</t>
  </si>
  <si>
    <t>ค.ลำปลาทิว ถ.สังฆสันติสุข</t>
  </si>
  <si>
    <t>หนองจอก</t>
  </si>
  <si>
    <t>2026-09-26T22:20:00+07:00</t>
  </si>
  <si>
    <t>อ.พนมดงรัก อ.ปราสาท</t>
  </si>
  <si>
    <t>{"canal_datetime":"2026-09-26 22:20","canal_value":1.3,"canal_out":0,"agency":{"agency_name":{"th":"สำนักการระบายน้ำ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Rai"},"province_code":"10","province_name":{"th":"กรุงเทพมหานคร","en":"Bangkok"}},"station":{"id":174,"canal_name":{"th":"ค.ลำปลาทิว ถ.สังฆสันติสุข"},"canal_lat":13.85366,"canal_long":100.86679,"canal_oldcode":"WL.LPT.01","bank":2,"warning_level":0.9,"critical_level":1.1}}</t>
  </si>
  <si>
    <t>THAIWATER:57</t>
  </si>
  <si>
    <t>WL.BSU.06</t>
  </si>
  <si>
    <t>ค.บางซื่อ ถ.รัชดาฯ</t>
  </si>
  <si>
    <t>2026-10-02_ยโสธร_อุทกภัย</t>
  </si>
  <si>
    <t>{"canal_datetime":"2026-09-28 13:20","canal_value":-0.33,"canal_out":0,"agency":{"agency_name":{"th":"สำนักการระบายน้ำ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Daeng"},"province_code":"10","province_name":{"th":"กรุงเทพมหานคร","en":"Bangkok"}},"station":{"id":57,"canal_name":{"th":"ค.บางซื่อ ถ.รัชดาฯ"},"canal_lat":13.79624,"canal_long":100.57422,"canal_oldcode":"WL.BSU.06","bank":1.9,"warning_level":0.1,"critical_level":0.2}}</t>
  </si>
  <si>
    <t>THAIWATER:152</t>
  </si>
  <si>
    <t>WL.TWW.04</t>
  </si>
  <si>
    <t>ค.ทวีฯ-บางเชือกหนัง</t>
  </si>
  <si>
    <t>อ.คำเขื่อนแก้ว อ.ป่าติ้ว</t>
  </si>
  <si>
    <t>{"canal_datetime":"2026-09-28 13:20","canal_value":0.92,"canal_out":0,"agency":{"agency_name":{"th":"สำนักการระบายน้ำ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152,"canal_name":{"th":"ค.ทวีฯ-บางเชือกหนัง"},"canal_lat":13.75063,"canal_long":100.3534,"canal_oldcode":"WL.TWW.04","bank":1.83,"warning_level":0.8,"critical_level":0.9}}</t>
  </si>
  <si>
    <t>THAIWATER:282</t>
  </si>
  <si>
    <t>WL.KSO.02</t>
  </si>
  <si>
    <t>ค.ซอย ถ.ศาลาธรรมสพน์</t>
  </si>
  <si>
    <t>2026-10-02_กรุงเทพมหานคร_อุทกภัย</t>
  </si>
  <si>
    <t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Thammasop"},"province_code":"10","province_name":{"th":"กรุงเทพมหานคร","en":"Bangkok"}},"station":{"id":282,"canal_name":{"th":"ค.ซอย ถ.ศาลาธรรมสพน์"},"canal_lat":13.80014,"canal_long":100.34874,"canal_oldcode":"WL.KSO.02","bank":2,"warning_level":0.9,"critical_level":1}}</t>
  </si>
  <si>
    <t>THAIWATER:9</t>
  </si>
  <si>
    <t>LP02</t>
  </si>
  <si>
    <t>คลองลาดพร้าวช่วงวัดลาดพร้าว เขตลาดพร้าว</t>
  </si>
  <si>
    <t>{"canal_datetime":"2019-12-24 14:38","canal_value":-0.033,"canal_out":0,"agency":{"agency_name":{"th":"สำนักการระบายน้ำ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Nok"},"province_code":"10","province_name":{"th":"กรุงเทพมหานคร","en":"Bangkok"}},"station":{"id":9,"canal_name":{"th":"คลองลาดพร้าวช่วงวัดลาดพร้าว เขตลาดพร้าว"},"canal_lat":13.803017,"canal_long":100.588259,"canal_oldcode":"LP02","bank":null,"warning_level":null,"critical_level":null}}</t>
  </si>
  <si>
    <t>THAIWATER:3</t>
  </si>
  <si>
    <t>BS01</t>
  </si>
  <si>
    <t>คลองบางซื่อช่วง ถ.พระรามที่ 5 เขตบางซื่อ</t>
  </si>
  <si>
    <t>{"canal_datetime":"2019-12-24 14:38","canal_value":-0.095,"canal_out":0,"agency":{"agency_name":{"th":"สำนักการระบายน้ำ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Chaisi"},"province_code":"10","province_name":{"th":"กรุงเทพมหานคร","en":"Bangkok"}},"station":{"id":3,"canal_name":{"th":"คลองบางซื่อช่วง ถ.พระรามที่ 5 เขตบางซื่อ"},"canal_lat":13.798166,"canal_long":100.532279,"canal_oldcode":"BS01","bank":null,"warning_level":null,"critical_level":null}}</t>
  </si>
  <si>
    <t>THAIWATER:8</t>
  </si>
  <si>
    <t>SA04</t>
  </si>
  <si>
    <t>คลองสามเสนช่วง ถ.เอกมัย เขตห้วยขวาง</t>
  </si>
  <si>
    <t>2026-10-01_พิษณุโลก_อุทกภัย</t>
  </si>
  <si>
    <t>{"canal_datetime":"2019-12-24 14:38","canal_value":-0.936,"canal_out":0,"agency":{"agency_name":{"th":"สำนักการระบายน้ำ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Kapi"},"province_code":"10","province_name":{"th":"กรุงเทพมหานคร","en":"Bangkok"}},"station":{"id":8,"canal_name":{"th":"คลองสามเสนช่วง ถ.เอกมัย เขตห้วยขวาง"},"canal_lat":13.750381,"canal_long":100.592702,"canal_oldcode":"SA04","bank":null,"warning_level":null,"critical_level":null}}</t>
  </si>
  <si>
    <t>THAIWATER:295</t>
  </si>
  <si>
    <t>WL.BKL.01</t>
  </si>
  <si>
    <t>ค.บางโคลัด ถ.บางบอน 1</t>
  </si>
  <si>
    <t>บางบอน</t>
  </si>
  <si>
    <t>2024-05-14T13:50:00+07:00</t>
  </si>
  <si>
    <t>บางระกำ</t>
  </si>
  <si>
    <t>{"canal_datetime":"2024-05-14 13:50","canal_value":-0.19,"canal_out":0,"agency":{"agency_name":{"th":"สำนักการระบายน้ำ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Bon"},"province_code":"10","province_name":{"th":"กรุงเทพมหานคร","en":"Bangkok"}},"station":{"id":295,"canal_name":{"th":"ค.บางโคลัด ถ.บางบอน 1"},"canal_lat":13.68658,"canal_long":100.42615,"canal_oldcode":"WL.BKL.01","bank":1.4,"warning_level":1.65,"critical_level":1.85}}</t>
  </si>
  <si>
    <t>THAIWATER:200</t>
  </si>
  <si>
    <t>WL.KNK.01</t>
  </si>
  <si>
    <t>ระดับน้ำลดลง</t>
  </si>
  <si>
    <t>ค.คูนายกิม ถ.ประชาอุทิศ</t>
  </si>
  <si>
    <t>2024-04-23T16:05:00+07:00</t>
  </si>
  <si>
    <t>ปภ. รายงาน 548/2569 วันที่ 1 ต.ค. 2569 เวลา 18.00 น. ตารางหน้า 1; บาดเจ็บ: -; สูญหาย: -</t>
  </si>
  <si>
    <t>download.pdf</t>
  </si>
  <si>
    <t>2026-10-01_เพชรบูรณ์_อุทกภัย</t>
  </si>
  <si>
    <t>{"canal_datetime":"2024-04-23 16:05","canal_value":-0.02,"canal_out":0,"agency":{"agency_name":{"th":"สำนักการระบายน้ำ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Kan"},"province_code":"10","province_name":{"th":"กรุงเทพมหานคร","en":"Bangkok"}},"station":{"id":200,"canal_name":{"th":"ค.คูนายกิม ถ.ประชาอุทิศ"},"canal_lat":13.9272,"canal_long":100.58565,"canal_oldcode":"WL.KNK.01","bank":2,"warning_level":0.7,"critical_level":0.9}}</t>
  </si>
  <si>
    <t>THAIWATER:175</t>
  </si>
  <si>
    <t>WL.LPT.04</t>
  </si>
  <si>
    <t>ค.ลำปลาทิว ซ.เชื่อมสัมพันธ์ 25</t>
  </si>
  <si>
    <t>2024-08-19T21:55:00+07:00</t>
  </si>
  <si>
    <t>{"canal_datetime":"2024-08-19 21:55","canal_value":2,"canal_out":0,"agency":{"agency_name":{"th":"สำนักการระบายน้ำ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District"},"tumbon_name":{"th":"โคกแฝด","en":"Khok Faet"},"province_code":"10","province_name":{"th":"กรุงเทพมหานคร","en":"Bangkok"}},"station":{"id":175,"canal_name":{"th":"ค.ลำปลาทิว ซ.เชื่อมสัมพันธ์ 25"},"canal_lat":13.81747,"canal_long":100.85013,"canal_oldcode":"WL.LPT.04","bank":2,"warning_level":0.8,"critical_level":0.9}}</t>
  </si>
  <si>
    <t>THAIWATER:297</t>
  </si>
  <si>
    <t>เมืองฯ ชนแดน บึงสามพัน วิเชียรบุรี ศรีเทพ หนองไผ่</t>
  </si>
  <si>
    <t>WL.WKT.01</t>
  </si>
  <si>
    <t>ค.วัดไก่เตี้ย ส.คลองวัดไก่เตี้ย</t>
  </si>
  <si>
    <t>ตลิ่งชัน</t>
  </si>
  <si>
    <t>{"canal_datetime":"2026-09-28 13:20","canal_value":0.02,"canal_out":0,"agency":{"agency_name":{"th":"สำนักการระบายน้ำ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Chan"},"province_code":"10","province_name":{"th":"กรุงเทพมหานคร","en":"Bangkok"}},"station":{"id":297,"canal_name":{"th":"ค.วัดไก่เตี้ย ส.คลองวัดไก่เตี้ย"},"canal_lat":13.78422,"canal_long":100.46424,"canal_oldcode":"WL.WKT.01","bank":2,"warning_level":1.65,"critical_level":1.85}}</t>
  </si>
  <si>
    <t>THAIWATER:278</t>
  </si>
  <si>
    <t>WL.BLP.02</t>
  </si>
  <si>
    <t>2026-10-01_กำแพงเพชร_อุทกภัย</t>
  </si>
  <si>
    <t>ค.บางลำพู สะพานผ่านฟ้า</t>
  </si>
  <si>
    <t>ขาณุวรลักษบุรี คลองขลุง</t>
  </si>
  <si>
    <t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District"},"tumbon_name":{"th":"บ้านพานถม","en":"Ban Phan Thom"},"province_code":"10","province_name":{"th":"กรุงเทพมหานคร","en":"Bangkok"}},"station":{"id":278,"canal_name":{"th":"ค.บางลำพู สะพานผ่านฟ้า"},"canal_lat":13.75655,"canal_long":100.50563,"canal_oldcode":"WL.BLP.02","bank":1,"warning_level":1.65,"critical_level":1.85}}</t>
  </si>
  <si>
    <t>THAIWATER:56</t>
  </si>
  <si>
    <t>WL.BSU.05</t>
  </si>
  <si>
    <t>ค.บางซื่อ ถ.วิภาวดีฯ</t>
  </si>
  <si>
    <t>2026-09-28T01:30:00+07:00</t>
  </si>
  <si>
    <t>ปภ. รายงาน 548/2569 วันที่ 1 ต.ค. 2569 เวลา 18.00 น. ตารางหน้า 2; บาดเจ็บ: -; สูญหาย: -</t>
  </si>
  <si>
    <t>2026-10-01_นครสวรรค์_อุทกภัย</t>
  </si>
  <si>
    <t>{"canal_datetime":"2026-09-28 01:30","canal_value":-0.79,"canal_out":0,"agency":{"agency_name":{"th":"สำนักการระบายน้ำ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Daeng"},"province_code":"10","province_name":{"th":"กรุงเทพมหานคร","en":"Bangkok"}},"station":{"id":56,"canal_name":{"th":"ค.บางซื่อ ถ.วิภาวดีฯ"},"canal_lat":13.79486,"canal_long":100.56157,"canal_oldcode":"WL.BSU.05","bank":1.9,"warning_level":0.3,"critical_level":0.5}}</t>
  </si>
  <si>
    <t>THAIWATER:244</t>
  </si>
  <si>
    <t>WL.KSI.02</t>
  </si>
  <si>
    <t>ค.สี่ ถ.เจ้าคุณทหาร</t>
  </si>
  <si>
    <t>2026-09-27T03:40:00+07:00</t>
  </si>
  <si>
    <t>พยุหะคีรี แม่วงก์ ตาคลี ไพศาลี ลาดยาว บรรพตพิสัย เก้าเลี้ยว เมืองฯ ชุมแสง ท่าตะโก ตากฟ้า โกรกพระ ชุมตาบง หนองบัว</t>
  </si>
  <si>
    <t>{"canal_datetime":"2026-09-27 03:40","canal_value":1.05,"canal_out":0,"agency":{"agency_name":{"th":"สำนักการระบายน้ำ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Prawet"},"province_code":"10","province_name":{"th":"กรุงเทพมหานคร","en":"Bangkok"}},"station":{"id":244,"canal_name":{"th":"ค.สี่ ถ.เจ้าคุณทหาร"},"canal_lat":13.75363,"canal_long":100.7689,"canal_oldcode":"WL.KSI.02","bank":1,"warning_level":0.5,"critical_level":0.6}}</t>
  </si>
  <si>
    <t>THAIWATER:177</t>
  </si>
  <si>
    <t>ระดับน้ำเพิ่มขึ้น</t>
  </si>
  <si>
    <t>WL.LPT.03</t>
  </si>
  <si>
    <t>ค.ลำปลาทิว ซ.ฉลองกรุง 8</t>
  </si>
  <si>
    <t>2026-09-28T01:55:00+07:00</t>
  </si>
  <si>
    <t>2026-10-01_อุทัยธานี_อุทกภัย</t>
  </si>
  <si>
    <t>{"canal_datetime":"2026-09-28 01:55","canal_value":0.94,"canal_out":0,"agency":{"agency_name":{"th":"สำนักการระบายน้ำ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Thio"},"province_code":"10","province_name":{"th":"กรุงเทพมหานคร","en":"Bangkok"}},"station":{"id":177,"canal_name":{"th":"ค.ลำปลาทิว ซ.ฉลองกรุง 8"},"canal_lat":13.74068,"canal_long":100.79474,"canal_oldcode":"WL.LPT.03","bank":0.5,"warning_level":0.5,"critical_level":0.6}}</t>
  </si>
  <si>
    <t>THAIWATER:45</t>
  </si>
  <si>
    <t>WL.BJK.03</t>
  </si>
  <si>
    <t xml:space="preserve">ค.บางจาก-ค.บางหว้า </t>
  </si>
  <si>
    <t>หนองฉาง ห้วยคต สว่างอารมณ์ หนองขาหย่าง บ้านไร่ ลานสัก อ.เมืองฯ ทัพทัน</t>
  </si>
  <si>
    <t>{"canal_datetime":"2026-09-28 13:20","canal_value":0.5,"canal_out":0,"agency":{"agency_name":{"th":"สำนักการระบายน้ำ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District"},"tumbon_name":{"th":"บางด้วน","en":"Bang Duan"},"province_code":"10","province_name":{"th":"กรุงเทพมหานคร","en":"Bangkok"}},"station":{"id":45,"canal_name":{"th":"ค.บางจาก-ค.บางหว้า "},"canal_lat":13.71868,"canal_long":100.44174,"canal_oldcode":"WL.BJK.03","bank":1.07,"warning_level":0.6,"critical_level":0.7}}</t>
  </si>
  <si>
    <t>THAIWATER_WL:737</t>
  </si>
  <si>
    <t>THAIWATER:247</t>
  </si>
  <si>
    <t>WL.TPK.03</t>
  </si>
  <si>
    <t>THA006</t>
  </si>
  <si>
    <t>ค.ตาพุก ค.ทับช้างบน</t>
  </si>
  <si>
    <t>วัดท่าเจดีย์ (TTC06)</t>
  </si>
  <si>
    <t>2026-10-01_ลพบุรี_อุทกภัย</t>
  </si>
  <si>
    <t>แม่น้ำท่าจีน</t>
  </si>
  <si>
    <t>2026-10-03T15:10:00+07:00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</si>
  <si>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Sung"},"province_code":"10","province_name":{"th":"กรุงเทพมหานคร","en":"Bangkok"}},"station":{"id":247,"canal_name":{"th":"ค.ตาพุก ค.ทับช้างบน"},"canal_lat":13.74247,"canal_long":100.70891,"canal_oldcode":"WL.TPK.03","bank":1,"warning_level":0.3,"critical_level":0.4}}</t>
  </si>
  <si>
    <t>THAIWATER:142</t>
  </si>
  <si>
    <t>ล้นตลิ่ง</t>
  </si>
  <si>
    <t>WL.TWW.05</t>
  </si>
  <si>
    <t>เมืองฯ ท่าหลวง พัฒนานิคม โคกสำโรง บ้านหมี่</t>
  </si>
  <si>
    <t>ค.ทวีวัฒนา-ภาษีฯ</t>
  </si>
  <si>
    <t>ปกติ</t>
  </si>
  <si>
    <t>ภายใน 48 ชม.</t>
  </si>
  <si>
    <t>2026-10-03T15:22:23+07:00</t>
  </si>
  <si>
    <t>https://api-v3.thaiwater.net/api/v1/thaiwater30/public/waterlevel_load</t>
  </si>
  <si>
    <t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District"},"tumbon_name":{"th":"หนองแขม","en":"Nong Khaem"},"province_code":"10","province_name":{"th":"กรุงเทพมหานคร","en":"Bangkok"}},"station":{"id":142,"canal_name":{"th":"ค.ทวีวัฒนา-ภาษีฯ"},"canal_lat":13.69163,"canal_long":100.38106,"canal_oldcode":"WL.TWW.05","bank":1.85,"warning_level":0.6,"critical_level":0.7}}</t>
  </si>
  <si>
    <t>THAIWATER:50</t>
  </si>
  <si>
    <t>WL.BPM.01</t>
  </si>
  <si>
    <t>ค.บางพรม-ค.ชักพระ</t>
  </si>
  <si>
    <t>2026-10-01_ชัยนาท_อุทกภัย</t>
  </si>
  <si>
    <t>เมืองฯ วัดสิงห์ มโนรมย์ สรรพยา หันคา หนองมะโมง สรรคบุรี</t>
  </si>
  <si>
    <t>{"canal_datetime":"2026-09-28 13:20","canal_value":0.31,"canal_out":0,"agency":{"agency_name":{"th":"สำนักการระบายน้ำ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District"},"tumbon_name":{"th":"บางระมาด","en":"Bang Ramat"},"province_code":"10","province_name":{"th":"กรุงเทพมหานคร","en":"Bangkok"}},"station":{"id":50,"canal_name":{"th":"ค.บางพรม-ค.ชักพระ"},"canal_lat":13.75973,"canal_long":100.45337,"canal_oldcode":"WL.BPM.01","bank":1.87,"warning_level":0.6,"critical_level":0.7}}</t>
  </si>
  <si>
    <t>THAIWATER:226</t>
  </si>
  <si>
    <t>WL.CYI.02</t>
  </si>
  <si>
    <t>ค.ชวดใหญ่ ถ.พระราม 9</t>
  </si>
  <si>
    <t>{"canal_datetime":"2026-09-28 13:15","canal_value":-0.1,"canal_out":0,"agency":{"agency_name":{"th":"สำนักการระบายน้ำ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Kapi"},"province_code":"10","province_name":{"th":"กรุงเทพมหานคร","en":"Bangkok"}},"station":{"id":226,"canal_name":{"th":"ค.ชวดใหญ่ ถ.พระราม 9"},"canal_lat":13.75502,"canal_long":100.58113,"canal_oldcode":"WL.CYI.02","bank":1.85,"warning_level":-0.1,"critical_level":0}}</t>
  </si>
  <si>
    <t>2026-10-01_สิงห์บุรี_อุทกภัย</t>
  </si>
  <si>
    <t>THAIWATER:82</t>
  </si>
  <si>
    <t>WL.PWT.03</t>
  </si>
  <si>
    <t>ปตร.คลองประเวศฯ-วัดกระทุ่มฯ</t>
  </si>
  <si>
    <t>ประเวศ</t>
  </si>
  <si>
    <t>อินทร์บุรี พรหมบุรี เมืองฯ</t>
  </si>
  <si>
    <t>{"canal_datetime":"2026-09-28 13:15","canal_value":0.72,"canal_out":0.73,"agency":{"agency_name":{"th":"สำนักการระบายน้ำ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82,"canal_name":{"th":"ปตร.คลองประเวศฯ-วัดกระทุ่มฯ"},"canal_lat":13.72396,"canal_long":100.68956,"canal_oldcode":"WL.PWT.03","bank":1.98,"warning_level":0.3,"critical_level":0.4}}</t>
  </si>
  <si>
    <t>THAIWATER:117</t>
  </si>
  <si>
    <t>WL.NKW.01</t>
  </si>
  <si>
    <t>ค.น้ำแก้ว-รัชดาฯ</t>
  </si>
  <si>
    <t>2021-10-29T09:35:00+07:00</t>
  </si>
  <si>
    <t>{"canal_datetime":"2021-10-29 09:35","canal_value":-0.87,"canal_out":0,"agency":{"agency_name":{"th":"สำนักการระบายน้ำ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117,"canal_name":{"th":"ค.น้ำแก้ว-รัชดาฯ"},"canal_lat":13.80104,"canal_long":100.57494,"canal_oldcode":"WL.NKW.01","bank":null,"warning_level":null,"critical_level":null}}</t>
  </si>
  <si>
    <t>THAIWATER:78</t>
  </si>
  <si>
    <t>WL.SSN.08</t>
  </si>
  <si>
    <t>ส.สามเสน-ค.แสนแสบ</t>
  </si>
  <si>
    <t>{"id":1317594652,"waterlevel_datetime":"2026-10-03 15:10","waterlevel_m":null,"waterlevel_msl":"3.57","waterlevel_msl_previous":"3.58","flow_rate":null,"discharge":null,"storage_percent":"134.09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Basin"}},"station":{"id":737,"tele_station_name":{"en":"Tha Chedi Temple (TTC06)","th":"วัดท่าเจดีย์ (TTC06)"},"tele_station_lat":14.15657,"tele_station_long":100.12744,"tele_station_oldcode":"THA006","tele_station_type":"tele_waterlevel","left_bank":4.39,"right_bank":2.139,"min_bank":2.14,"ground_level":-2.065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Buri"}},"diff_wl_bank":"1.43","diff_wl_bank_text":"ล้นตลิ่ง (ม.)","river_gid":184492,"river_name":"แม่น้ำท่าจีน"}</t>
  </si>
  <si>
    <t>2026-10-01_สุพรรณบุรี_อุทกภัย</t>
  </si>
  <si>
    <t>THAIWATER_WL:1095849</t>
  </si>
  <si>
    <t>C.67</t>
  </si>
  <si>
    <t>สะพานหัวเวียง</t>
  </si>
  <si>
    <t>2026-10-03T14:00:00+07:00</t>
  </si>
  <si>
    <t>{"canal_datetime":"2026-09-28 13:20","canal_value":0.12,"canal_out":0.21,"agency":{"agency_name":{"th":"สำนักการระบายน้ำ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78,"canal_name":{"th":"ส.สามเสน-ค.แสนแสบ"},"canal_lat":13.74851,"canal_long":100.59904,"canal_oldcode":"WL.SSN.08","bank":1.98,"warning_level":-0.1,"critical_level":0}}</t>
  </si>
  <si>
    <t>บางปลาม้า สองพี่น้อง ดอนเจดีย์ ศรีประจันต์ เมืองฯ สามชุก เดิมบางนางบวช อู่ทอง ด่านช้าง</t>
  </si>
  <si>
    <t>THAIWATER:192</t>
  </si>
  <si>
    <t>WL.BLY.01</t>
  </si>
  <si>
    <t>ค.บ้านหลาย ถ.สุขุมวิท 77</t>
  </si>
  <si>
    <t>สวนหลวง</t>
  </si>
  <si>
    <t>{"canal_datetime":"2026-09-28 13:20","canal_value":0.15,"canal_out":0,"agency":{"agency_name":{"th":"สำนักการระบายน้ำ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Luang"},"province_code":"10","province_name":{"th":"กรุงเทพมหานคร","en":"Bangkok"}},"station":{"id":192,"canal_name":{"th":"ค.บ้านหลาย ถ.สุขุมวิท 77"},"canal_lat":13.70918,"canal_long":100.6217,"canal_oldcode":"WL.BLY.01","bank":0.6,"warning_level":-0.5,"critical_level":-0.4}}</t>
  </si>
  <si>
    <t>THAIWATER:197</t>
  </si>
  <si>
    <t>WL.HKG.01</t>
  </si>
  <si>
    <t>2026-10-01_กาญจนบุรี_อุทกภัย</t>
  </si>
  <si>
    <t>ค.ห้วยขวาง ถ.ประชาสงเคราะห์</t>
  </si>
  <si>
    <t>{"id":1317572094,"waterlevel_datetime":"2026-10-03 14:00","waterlevel_m":null,"waterlevel_msl":"5.43","waterlevel_msl_previous":"5.44","flow_rate":null,"discharge":null,"storage_percent":"128.72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1095849,"tele_station_name":{"th":"สะพานหัวเวียง"},"tele_station_lat":14.36851,"tele_station_long":100.414391,"tele_station_oldcode":"C.67","tele_station_type":"tele_waterlevel","left_bank":6.576,"right_bank":6.698,"min_bank":2.75,"ground_level":-6.58,"offset":null,"sub_basin_id":240,"agency_id":12,"geocode_id":570,"hydro_id":5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District"},"tumbon_code":"06","tumbon_name":{"th":"หัวเวียง","en":"Hua Wiang"},"province_code":"14","province_name":{"th":"พระนครศรีอยุธยา","en":"Phra Nakhon Si Ayutthaya"}},"diff_wl_bank":"2.68","diff_wl_bank_text":"ล้นตลิ่ง (ม.)"}</t>
  </si>
  <si>
    <t>ไทรโยค เลาขวัญ ห้วยกระเจา หนองปรือ พนมทวน ด่านมะขามเตี้ย ท่าม่วง ท่ามะกา บ่อพลอย ศรีสวัสดิ์ ทองผาภูมิ เมืองฯ สังขละบุรี</t>
  </si>
  <si>
    <t>{"canal_datetime":"2026-09-28 13:20","canal_value":-0.34,"canal_out":0,"agency":{"agency_name":{"th":"สำนักการระบายน้ำ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Daeng"},"province_code":"10","province_name":{"th":"กรุงเทพมหานคร","en":"Bangkok"}},"station":{"id":197,"canal_name":{"th":"ค.ห้วยขวาง ถ.ประชาสงเคราะห์"},"canal_lat":13.77814,"canal_long":100.57206,"canal_oldcode":"WL.HKG.01","bank":0,"warning_level":-0.2,"critical_level":0}}</t>
  </si>
  <si>
    <t>THAIWATER:210</t>
  </si>
  <si>
    <t>WL.KLA.01</t>
  </si>
  <si>
    <t>ค.ลาว ถ.พัฒนาการ</t>
  </si>
  <si>
    <t>ปภ. รายงาน 548/2569 วันที่ 1 ต.ค. 2569 เวลา 18.00 น. ตารางหน้า 3; บาดเจ็บ: -; สูญหาย: -</t>
  </si>
  <si>
    <t>THAIWATER_WL:48</t>
  </si>
  <si>
    <t>CPY009</t>
  </si>
  <si>
    <t>คลองบางหลวง</t>
  </si>
  <si>
    <t>แม่น้ำน้อย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</si>
  <si>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Luang"},"province_code":"10","province_name":{"th":"กรุงเทพมหานคร","en":"Bangkok"}},"station":{"id":210,"canal_name":{"th":"ค.ลาว ถ.พัฒนาการ"},"canal_lat":13.73722,"canal_long":100.62499,"canal_oldcode":"WL.KLA.01","bank":1.26,"warning_level":-0.2,"critical_level":0}}</t>
  </si>
  <si>
    <t>2026-10-01_อ่างทอง_อุทกภัย</t>
  </si>
  <si>
    <t>THAIWATER:92</t>
  </si>
  <si>
    <t>WL.SRG.01</t>
  </si>
  <si>
    <t>ส.คลองสำโรง</t>
  </si>
  <si>
    <t>เมืองสมุทรปราการ</t>
  </si>
  <si>
    <t>ป่าโมก ไชโย วิเศษชัยชาญ เมืองฯ สามโก้</t>
  </si>
  <si>
    <t>{"canal_datetime":"2026-09-28 13:20","canal_value":0.2,"canal_out":0.98,"agency":{"agency_name":{"th":"สำนักการระบายน้ำ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Bangkok","jp":""}},"geocode":{"area_code":"2","area_name":{"th":"ภาคกลาง","en":"Central"},"amphoe_name":{"th":"เมืองสมุทรปราการ","en":"Mueang Samut Prakan District"},"tumbon_name":{"th":"เทพารักษ์","en":"Thepharak"},"province_code":"11","province_name":{"th":"สมุทรปราการ","en":"Samut Prakan"}},"station":{"id":92,"canal_name":{"th":"ส.คลองสำโรง"},"canal_lat":13.64855,"canal_long":100.59523,"canal_oldcode":"WL.SRG.01","bank":1.98,"warning_level":1.5,"critical_level":1.8}}</t>
  </si>
  <si>
    <t>THAIWATER:219</t>
  </si>
  <si>
    <t>WL.LBK.03</t>
  </si>
  <si>
    <t>ค.ลาดบัวขาว ซ.กาญจนาภิเษก 24</t>
  </si>
  <si>
    <t>2026-10-01_สระบุรี_อุทกภัย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</si>
  <si>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Sung"},"province_code":"10","province_name":{"th":"กรุงเทพมหานคร","en":"Bangkok"}},"station":{"id":219,"canal_name":{"th":"ค.ลาดบัวขาว ซ.กาญจนาภิเษก 24"},"canal_lat":13.74974,"canal_long":100.70291,"canal_oldcode":"WL.LBK.03","bank":1.85,"warning_level":0.3,"critical_level":0.4}}</t>
  </si>
  <si>
    <t>THAIWATER:235</t>
  </si>
  <si>
    <t>WL.NSG.01</t>
  </si>
  <si>
    <t>ค.นาซอง ถ.ประชาสุข</t>
  </si>
  <si>
    <t>{"id":1317594284,"waterlevel_datetime":"2026-10-03 15:10","waterlevel_m":null,"waterlevel_msl":"6.66","waterlevel_msl_previous":"6.66","flow_rate":null,"discharge":null,"storage_percent":"126.92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Basin"}},"station":{"id":48,"tele_station_name":{"en":"Chao Phraya 9","th":"คลองบางหลวง"},"tele_station_lat":14.4158,"tele_station_long":100.44071,"tele_station_oldcode":"CPY009","tele_station_type":"tele_waterlevel","left_bank":6.153,"right_bank":4.311,"min_bank":4.31,"ground_level":-4.397,"offset":null,"sub_basin_id":240,"agency_id":9,"geocode_id":478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Ayutthaya"}},"diff_wl_bank":"2.34","diff_wl_bank_text":"ล้นตลิ่ง (ม.)","river_gid":182183,"river_name":"แม่น้ำน้อย"}</t>
  </si>
  <si>
    <t>THAIWATER_WL:1098950</t>
  </si>
  <si>
    <t>Kgt.12A</t>
  </si>
  <si>
    <t>บ้านแก้ง</t>
  </si>
  <si>
    <t>หนองแซง มวกเหล็ก เมืองฯ วังม่วง แก่งคอย หนองแค พระพุทธบาท หนองโดน วิหารแดง บ้านหมอ ดอนพุด เสาไห้ เฉลิมพระเกียรติ</t>
  </si>
  <si>
    <t>คลองพระปรง</t>
  </si>
  <si>
    <t>{"canal_datetime":"2026-09-28 13:20","canal_value":-2,"canal_out":0,"agency":{"agency_name":{"th":"สำนักการระบายน้ำ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Daeng"},"province_code":"10","province_name":{"th":"กรุงเทพมหานคร","en":"Bangkok"}},"station":{"id":235,"canal_name":{"th":"ค.นาซอง ถ.ประชาสุข"},"canal_lat":13.77895,"canal_long":100.56654,"canal_oldcode":"WL.NSG.01","bank":1.85,"warning_level":0,"critical_level":0.1}}</t>
  </si>
  <si>
    <t>THAIWATER:127</t>
  </si>
  <si>
    <t>WL.SSB.03</t>
  </si>
  <si>
    <t>ค.แสนแสบ-อโศก</t>
  </si>
  <si>
    <t>2026-10-01_พระนครศรีอยุธยา_อุทกภัย</t>
  </si>
  <si>
    <t>{"id":1317582835,"waterlevel_datetime":"2026-10-03 14:00","waterlevel_m":null,"waterlevel_msl":"23.26","waterlevel_msl_previous":"23.29","flow_rate":null,"discharge":"174.80","storage_percent":"126.62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1098950,"tele_station_name":{"th":"บ้านแก้ง"},"tele_station_lat":13.93635,"tele_station_long":101.972321,"tele_station_oldcode":"Kgt.12A","tele_station_type":"tele_waterlevel","left_bank":35.701,"right_bank":35.847,"min_bank":21,"ground_level":12.509,"offset":12.43,"sub_basin_id":278,"agency_id":12,"geocode_id":1605,"hydro_id":6,"qmax":116,"is_key_station":tru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Kaeo"}},"diff_wl_bank":"2.26","diff_wl_bank_text":"ล้นตลิ่ง (ม.)","river_gid":195444,"river_name":"คลองพระปรง"}</t>
  </si>
  <si>
    <t>THAIWATER_WL:2680</t>
  </si>
  <si>
    <t>เสนา บางบาล ผักไห่ บางไทร พระนครศรีอยุธยา บางปะอิน บางปะหัน ลาดบัวหลวง นครหลวง วังน้อย อุทัย ท่าเรือ ภาชี</t>
  </si>
  <si>
    <t>{"canal_datetime":"2026-09-28 13:20","canal_value":0.14,"canal_out":0,"agency":{"agency_name":{"th":"สำนักการระบายน้ำ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127,"canal_name":{"th":"ค.แสนแสบ-อโศก"},"canal_lat":13.74783,"canal_long":100.56304,"canal_oldcode":"WL.SSB.03","bank":1.9,"warning_level":0,"critical_level":0.15}}</t>
  </si>
  <si>
    <t>Kgt.3</t>
  </si>
  <si>
    <t>THAIWATER:272</t>
  </si>
  <si>
    <t>สะพานต้นน้ำบางปะกง</t>
  </si>
  <si>
    <t>WL.BMK.01</t>
  </si>
  <si>
    <t>ค.บางมะเขือ ถ.สุขุมวิท 71</t>
  </si>
  <si>
    <t>แม่น้ำบางปะกง</t>
  </si>
  <si>
    <t>{"canal_datetime":"2026-09-28 13:20","canal_value":-1.5,"canal_out":0,"agency":{"agency_name":{"th":"สำนักการระบายน้ำ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Nuea"},"province_code":"10","province_name":{"th":"กรุงเทพมหานคร","en":"Bangkok"}},"station":{"id":272,"canal_name":{"th":"ค.บางมะเขือ ถ.สุขุมวิท 71"},"canal_lat":13.71693,"canal_long":100.59558,"canal_oldcode":"WL.BMK.01","bank":0,"warning_level":-0.3,"critical_level":0}}</t>
  </si>
  <si>
    <t>2026-10-01_สมุทรปราการ_อุทกภัย</t>
  </si>
  <si>
    <t>THAIWATER:214</t>
  </si>
  <si>
    <t>WL.LPG.03</t>
  </si>
  <si>
    <t>ค.หลวงแพ่ง วัดลำต้อยติ่ง</t>
  </si>
  <si>
    <t>บางเสาธง บางบ่อ บางพลี เมืองฯ พระประแดง พระสมุทรเจดีย์</t>
  </si>
  <si>
    <t>{"canal_datetime":"2026-09-28 13:20","canal_value":1.02,"canal_out":0,"agency":{"agency_name":{"th":"สำนักการระบายน้ำ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Bangkok","jp":""}},"geocode":{"area_code":"2","area_name":{"th":"ภาคกลาง","en":"Central"},"amphoe_name":{"th":"เมืองฉะเชิงเทรา","en":"Mueang Chachoengsao District"},"tumbon_name":{"th":"คลองหลวงแพ่ง","en":"KHLONG LUANG PHAENG"},"province_code":"24","province_name":{"th":"ฉะเชิงเทรา","en":"Chachoengsao"}},"station":{"id":214,"canal_name":{"th":"ค.หลวงแพ่ง วัดลำต้อยติ่ง"},"canal_lat":13.75489,"canal_long":100.88956,"canal_oldcode":"WL.LPG.03","bank":1.85,"warning_level":0.6,"critical_level":0.7}}</t>
  </si>
  <si>
    <t>THAIWATER:669</t>
  </si>
  <si>
    <t>WL.BSU.07</t>
  </si>
  <si>
    <t>ค.บางซื่อ ถ.ลาดพร้าว</t>
  </si>
  <si>
    <t>ปภ. รายงาน 548/2569 วันที่ 1 ต.ค. 2569 เวลา 18.00 น. ตารางหน้า 4; บาดเจ็บ: -; สูญหาย: -</t>
  </si>
  <si>
    <t>2026-10-01_ปทุมธานี_อุทกภัย</t>
  </si>
  <si>
    <t>{"canal_datetime":"2026-09-28 13:20","canal_value":0.21,"canal_out":0,"agency":{"agency_name":{"th":"สำนักการระบายน้ำ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Nok"},"province_code":"10","province_name":{"th":"กรุงเทพมหานคร","en":"Bangkok"}},"station":{"id":669,"canal_name":{"th":"ค.บางซื่อ ถ.ลาดพร้าว"},"canal_lat":13.79875,"canal_long":100.58655,"canal_oldcode":"WL.BSU.07","bank":null,"warning_level":null,"critical_level":null}}</t>
  </si>
  <si>
    <t>THAIWATER:182</t>
  </si>
  <si>
    <t>WL.CKS.02</t>
  </si>
  <si>
    <t>ค.เจ้าคุณสิงห์ ถ.ลาดพร้าว</t>
  </si>
  <si>
    <t>ธัญบุรี เมืองฯ สามโคก คลองหลวง ลำลูกกา หนองเสือ ลาดหลุมแก้ว</t>
  </si>
  <si>
    <t>{"id":1317582822,"waterlevel_datetime":"2026-10-03 14:00","waterlevel_m":null,"waterlevel_msl":"11.23","waterlevel_msl_previous":null,"flow_rate":null,"discharge":"831.60","storage_percent":"124.65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2680,"tele_station_name":{"th":"สะพานต้นน้ำบางปะกง"},"tele_station_lat":13.98666,"tele_station_long":101.705406,"tele_station_oldcode":"Kgt.3","tele_station_type":"tele_waterlevel","left_bank":10.29,"right_bank":9.66,"min_bank":8.79,"ground_level":-1.11,"offset":0,"sub_basin_id":281,"agency_id":12,"geocode_id":1499,"hydro_id":6,"qmax":543.900024,"is_key_station":true,"warning_level_m":null,"critical_level_m":10,"critical_level_msl":10},"geocode":{"area_code":"2","area_name":{"th":"ภาคกลาง","en":"Central"},"amphoe_code":"02","amphoe_name":{"th":"กบินทร์บุรี","en":"Kabin Buri District"},"tumbon_code":"01","tumbon_name":{"th":"กบินทร์","en":"Kabin"},"province_code":"25","province_name":{"th":"ปราจีนบุรี","en":"Prachin Buri"}},"diff_wl_bank":"2.44","diff_wl_bank_text":"ล้นตลิ่ง (ม.)","river_gid":195042,"river_name":"แม่น้ำบางปะกง"}</t>
  </si>
  <si>
    <t>THAIWATER_WL:2611</t>
  </si>
  <si>
    <t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Lang"},"province_code":"10","province_name":{"th":"กรุงเทพมหานคร","en":"Bangkok"}},"station":{"id":182,"canal_name":{"th":"ค.เจ้าคุณสิงห์ ถ.ลาดพร้าว"},"canal_lat":13.78408,"canal_long":100.61341,"canal_oldcode":"WL.CKS.02","bank":1,"warning_level":-0.2,"critical_level":0}}</t>
  </si>
  <si>
    <t>C.36</t>
  </si>
  <si>
    <t>THAIWATER:109</t>
  </si>
  <si>
    <t>บ้านบางหลวงโดด</t>
  </si>
  <si>
    <t>WL.KPM.01</t>
  </si>
  <si>
    <t>ค.เปรมฯ-อุโมงค์</t>
  </si>
  <si>
    <t>2026-10-01_นนทบุรี_อุทกภัย</t>
  </si>
  <si>
    <t>{"canal_datetime":"2026-09-28 13:20","canal_value":0.66,"canal_out":0,"agency":{"agency_name":{"th":"สำนักการระบายน้ำ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109,"canal_name":{"th":"ค.เปรมฯ-อุโมงค์"},"canal_lat":13.80463,"canal_long":100.53595,"canal_oldcode":"WL.KPM.01","bank":1.85,"warning_level":0.3,"critical_level":0.4}}</t>
  </si>
  <si>
    <t>THAIWATER:97</t>
  </si>
  <si>
    <t>WL.VPV.01</t>
  </si>
  <si>
    <t>ส.รัชดา-วิภาวดี</t>
  </si>
  <si>
    <t>เมืองฯ บางกรวย ปากเกร็ด</t>
  </si>
  <si>
    <t>{"id":1317572078,"waterlevel_datetime":"2026-10-03 14:00","waterlevel_m":null,"waterlevel_msl":"6.70","waterlevel_msl_previous":"6.70","flow_rate":null,"discharge":"929.00","storage_percent":"123.41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2611,"tele_station_name":{"th":"บ้านบางหลวงโดด"},"tele_station_lat":14.41588,"tele_station_long":100.440804,"tele_station_oldcode":"C.36","tele_station_type":"tele_waterlevel","left_bank":7.434,"right_bank":7.787,"min_bank":4.3,"ground_level":-5.95,"offset":null,"sub_basin_id":240,"agency_id":12,"geocode_id":478,"hydro_id":5,"qmax":441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District"},"tumbon_code":"13","tumbon_name":{"th":"บางหลวงโดด","en":"Bang Luang Dot"},"province_code":"14","province_name":{"th":"พระนครศรีอยุธยา","en":"Phra Nakhon Si Ayutthaya"}},"diff_wl_bank":"2.40","diff_wl_bank_text":"ล้นตลิ่ง (ม.)","river_gid":182183,"river_name":"แม่น้ำน้อย"}</t>
  </si>
  <si>
    <t>THAIWATER_WL:47</t>
  </si>
  <si>
    <t>{"canal_datetime":"2026-09-28 13:20","canal_value":-1.24,"canal_out":0,"agency":{"agency_name":{"th":"สำนักการระบายน้ำ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97,"canal_name":{"th":"ส.รัชดา-วิภาวดี"},"canal_lat":13.83021,"canal_long":100.5571,"canal_oldcode":"WL.VPV.01","bank":1.85,"warning_level":0.2,"critical_level":0.3}}</t>
  </si>
  <si>
    <t>CPY010</t>
  </si>
  <si>
    <t>THAIWATER:211</t>
  </si>
  <si>
    <t>WL.SSB.02</t>
  </si>
  <si>
    <t>ค.แสนแสบ ซ.สมคิด</t>
  </si>
  <si>
    <t>คลองบางบาล</t>
  </si>
  <si>
    <t>2026-03-23T23:20:00+07:00</t>
  </si>
  <si>
    <t>2026-10-01_นครปฐม_อุทกภัย</t>
  </si>
  <si>
    <t>{"canal_datetime":"2026-03-23 23:20","canal_value":-0.33,"canal_out":0,"agency":{"agency_name":{"th":"สำนักการระบายน้ำ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District"},"tumbon_name":{"th":"ลุมพินี","en":"Lumphini"},"province_code":"10","province_name":{"th":"กรุงเทพมหานคร","en":"Bangkok"}},"station":{"id":211,"canal_name":{"th":"ค.แสนแสบ ซ.สมคิด"},"canal_lat":13.74846,"canal_long":100.54583,"canal_oldcode":"WL.SSB.02","bank":1.85,"warning_level":0,"critical_level":0.1}}</t>
  </si>
  <si>
    <t>THAIWATER:252</t>
  </si>
  <si>
    <t>WL.SNO.01</t>
  </si>
  <si>
    <t>ค.เสือน้อย ถ.สุคนธสวัสดิ์</t>
  </si>
  <si>
    <t>เมืองฯ กำแพงแสน นครชัยศรี พุทธมณฑล สามพราน บางเลน ดอนตูม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</si>
  <si>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Phrao"},"province_code":"10","province_name":{"th":"กรุงเทพมหานคร","en":"Bangkok"}},"station":{"id":252,"canal_name":{"th":"ค.เสือน้อย ถ.สุคนธสวัสดิ์"},"canal_lat":13.82306,"canal_long":100.60897,"canal_oldcode":"WL.SNO.01","bank":1,"warning_level":0.3,"critical_level":0.4}}</t>
  </si>
  <si>
    <t>{"id":1317594285,"waterlevel_datetime":"2026-10-03 15:10","waterlevel_m":null,"waterlevel_msl":"7.43","waterlevel_msl_previous":"7.42","flow_rate":null,"discharge":null,"storage_percent":"122.65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Basin"}},"station":{"id":47,"tele_station_name":{"en":"Chao Phraya 10","th":"คลองบางบาล"},"tele_station_lat":14.42303,"tele_station_long":100.48186,"tele_station_oldcode":"CPY010","tele_station_type":"tele_waterlevel","left_bank":5.841,"right_bank":8.432,"min_bank":5.84,"ground_level":-1.178,"offset":null,"sub_basin_id":240,"agency_id":9,"geocode_id":468,"hydro_id":null,"qmax":null,"is_key_station":false,"warning_level_m":null,"critical_level_m":null,"critical_level_msl":null},"geocode":{"area_code":"2","area_name":{"th":"ภาคกลาง","en":"Central"},"amphoe_code":"05","amphoe_name":{"th":"บางบาล","en":"Bang Ban District"},"tumbon_code":"03","tumbon_name":{"th":"ไทรน้อย","en":"Sai Noi"},"province_code":"14","province_name":{"th":"พระนครศรีอยุธยา","en":"Phra Nakhon Si Ayutthaya"}},"diff_wl_bank":"1.59","diff_wl_bank_text":"ล้นตลิ่ง (ม.)","river_gid":182220,"river_name":"คลองบางบาล"}</t>
  </si>
  <si>
    <t>THAIWATER:130</t>
  </si>
  <si>
    <t>WL.SSB.08</t>
  </si>
  <si>
    <t>ค.แสนแสบ-เสรีไทย 24</t>
  </si>
  <si>
    <t>THAIWATER_WL:736</t>
  </si>
  <si>
    <t>THA010</t>
  </si>
  <si>
    <t>สองพี่น้อง</t>
  </si>
  <si>
    <t>2026-10-01_ราชบุรี_อุทกภัย</t>
  </si>
  <si>
    <t>คลองสองพี่น้อง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</si>
  <si>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Sung"},"province_code":"10","province_name":{"th":"กรุงเทพมหานคร","en":"Bangkok"}},"station":{"id":130,"canal_name":{"th":"ค.แสนแสบ-เสรีไทย 24"},"canal_lat":13.7805,"canal_long":100.67387,"canal_oldcode":"WL.SSB.08","bank":1.91,"warning_level":0.35,"critical_level":0.45}}</t>
  </si>
  <si>
    <t>THAIWATER:67</t>
  </si>
  <si>
    <t>โพธาราม บางแพ เมืองฯ ดำเนินสะดวก บ้านโป่ง วัดเพลง จอมบึง</t>
  </si>
  <si>
    <t>WL.SSB.10</t>
  </si>
  <si>
    <t>ปตร.คลองแสนแสบ-ถ.ประชาร่วมใจ</t>
  </si>
  <si>
    <t>มีนบุรี</t>
  </si>
  <si>
    <t>{"canal_datetime":"2026-09-28 13:20","canal_value":1.01,"canal_out":1.24,"agency":{"agency_name":{"th":"สำนักการระบายน้ำ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67,"canal_name":{"th":"ปตร.คลองแสนแสบ-ถ.ประชาร่วมใจ"},"canal_lat":13.82094,"canal_long":100.74738,"canal_oldcode":"WL.SSB.10","bank":1.98,"warning_level":0.6,"critical_level":0.9}}</t>
  </si>
  <si>
    <t>THAIWATER:204</t>
  </si>
  <si>
    <t>WL.KKD.01</t>
  </si>
  <si>
    <t>ค.เคล็ด ถ.สุขุมวิท 77</t>
  </si>
  <si>
    <t>{"id":1317594656,"waterlevel_datetime":"2026-10-03 15:10","waterlevel_m":null,"waterlevel_msl":"3.30","waterlevel_msl_previous":"3.30","flow_rate":null,"discharge":null,"storage_percent":"121.78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Basin"}},"station":{"id":736,"tele_station_name":{"en":"Song Phi Nong","th":"สองพี่น้อง"},"tele_station_lat":14.21608,"tele_station_long":100.05017,"tele_station_oldcode":"THA010","tele_station_type":"tele_waterlevel","left_bank":2.439,"right_bank":5.407,"min_bank":2.44,"ground_level":-1.518,"offset":null,"sub_basin_id":259,"agency_id":9,"geocode_id":6770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District"},"tumbon_code":"01","tumbon_name":{"th":"สองพี่น้อง","en":"Song Phi Nong"},"province_code":"72","province_name":{"th":"สุพรรณบุรี","en":"Suphan Buri"}},"diff_wl_bank":"0.86","diff_wl_bank_text":"ล้นตลิ่ง (ม.)","river_gid":183831,"river_name":"คลองสองพี่น้อง"}</t>
  </si>
  <si>
    <t>2026-10-01_เพชรบุรี_อุทกภัย</t>
  </si>
  <si>
    <t>THAIWATER_WL:2688</t>
  </si>
  <si>
    <t>K.32A</t>
  </si>
  <si>
    <t>บ้านบ้องตี้น้อย</t>
  </si>
  <si>
    <t>ห้วยบ้องตี้</t>
  </si>
  <si>
    <t>2026-09-27T10:00:00+07:00</t>
  </si>
  <si>
    <t>แก่งกระจาน</t>
  </si>
  <si>
    <t>{"canal_datetime":"2026-09-28 13:20","canal_value":0.33,"canal_out":0,"agency":{"agency_name":{"th":"สำนักการระบายน้ำ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Luang"},"province_code":"10","province_name":{"th":"กรุงเทพมหานคร","en":"Bangkok"}},"station":{"id":204,"canal_name":{"th":"ค.เคล็ด ถ.สุขุมวิท 77"},"canal_lat":13.7091,"canal_long":100.6307,"canal_oldcode":"WL.KKD.01","bank":0.9,"warning_level":0.5,"critical_level":0.6}}</t>
  </si>
  <si>
    <t>THAIWATER:106</t>
  </si>
  <si>
    <t>WL.PWT.05</t>
  </si>
  <si>
    <t>ค.ประเวศฯ-รพ.ลาดกระบัง</t>
  </si>
  <si>
    <t>{"canal_datetime":"2026-09-28 13:15","canal_value":0.99,"canal_out":0,"agency":{"agency_name":{"th":"สำนักการระบายน้ำ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106,"canal_name":{"th":"ค.ประเวศฯ-รพ.ลาดกระบัง"},"canal_lat":13.72396,"canal_long":100.78399,"canal_oldcode":"WL.PWT.05","bank":1.85,"warning_level":0.55,"critical_level":0.65}}</t>
  </si>
  <si>
    <t>2026-10-01_นครนายก_อุทกภัย</t>
  </si>
  <si>
    <t>THAIWATER:169</t>
  </si>
  <si>
    <t>WL.PSR.05</t>
  </si>
  <si>
    <t>ค.พระยาสุเรนทร์ ปัญญาอินทรา</t>
  </si>
  <si>
    <t>{"id":1313742779,"waterlevel_datetime":"2026-09-27 10:00","waterlevel_m":null,"waterlevel_msl":"91.42","waterlevel_msl_previous":"91.00","flow_rate":null,"discharge":null,"storage_percent":"120.72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2688,"tele_station_name":{"th":"บ้านบ้องตี้น้อย"},"tele_station_lat":14.27618,"tele_station_long":98.931068,"tele_station_oldcode":"K.32A","tele_station_type":"tele_waterlevel","left_bank":173.801997,"right_bank":174.462997,"min_bank":90.2,"ground_level":84.311,"offset":84.199997,"sub_basin_id":273,"agency_id":12,"geocode_id":6601,"hydro_id":7,"qmax":350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District"},"tumbon_code":"05","tumbon_name":{"th":"วังกระแจะ","en":"Wang Krachae"},"province_code":"71","province_name":{"th":"กาญจนบุรี","en":"Kanchanaburi"}},"diff_wl_bank":"1.22","diff_wl_bank_text":"ล้นตลิ่ง (ม.)","river_gid":183200,"river_name":"ห้วยบ้องตี้"}</t>
  </si>
  <si>
    <t>คันนายาว</t>
  </si>
  <si>
    <t>THAIWATER_WL:505018</t>
  </si>
  <si>
    <t>K.58</t>
  </si>
  <si>
    <t>บ้านปากแซง</t>
  </si>
  <si>
    <t>shelter_id</t>
  </si>
  <si>
    <t>แม่น้ำแควน้อย</t>
  </si>
  <si>
    <t>ปากพลี เมืองฯ บ้านนา องครักษ์</t>
  </si>
  <si>
    <t>2026-10-01_ปราจีนบุรี_อุทกภัย</t>
  </si>
  <si>
    <t>{"id":1317575400,"waterlevel_datetime":"2026-10-03 14:00","waterlevel_m":null,"waterlevel_msl":"47.54","waterlevel_msl_previous":"47.56","flow_rate":null,"discharge":"862.47","storage_percent":"119.04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505018,"tele_station_name":{"th":"บ้านปากแซง"},"tele_station_lat":14.21513,"tele_station_long":99.058197,"tele_station_oldcode":"K.58","tele_station_type":"tele_waterlevel","left_bank":97.251,"right_bank":96.106,"min_bank":45.8,"ground_level":36.66,"offset":39.5,"sub_basin_id":273,"agency_id":12,"geocode_id":6598,"hydro_id":7,"qmax":630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Sao"},"province_code":"71","province_name":{"th":"กาญจนบุรี","en":"Kanchanaburi"}},"diff_wl_bank":"1.74","diff_wl_bank_text":"ล้นตลิ่ง (ม.)","river_gid":183975,"river_name":"แม่น้ำแควน้อย"}</t>
  </si>
  <si>
    <t>กบินทร์บุรี นาดี ศรีมหาโพธิ เมืองฯ ประจันตคาม บ้านสร้าง ศรีมโหสถ</t>
  </si>
  <si>
    <t>THAIWATER_WL:160</t>
  </si>
  <si>
    <t>PRC002</t>
  </si>
  <si>
    <t>เมืองปราจีนบุรี</t>
  </si>
  <si>
    <t>2026-09-30T15:40:00+07:00</t>
  </si>
  <si>
    <t>2026-10-01_ฉะเชิงเทรา_อุทกภัย</t>
  </si>
  <si>
    <t>{"id":1315745881,"waterlevel_datetime":"2026-09-30 15:40","waterlevel_m":null,"waterlevel_msl":"5.65","waterlevel_msl_previous":"5.65","flow_rate":null,"discharge":null,"storage_percent":"118.03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Basin"}},"station":{"id":160,"tele_station_name":{"en":"Prachinburi 2","th":"เมืองปราจีนบุรี"},"tele_station_lat":14.053554,"tele_station_long":101.38684,"tele_station_oldcode":"PRC002","tele_station_type":"tele_waterlevel","left_bank":5.339,"right_bank":4.044,"min_bank":4.04,"ground_level":-4.865,"offset":null,"sub_basin_id":281,"agency_id":9,"geocode_id":1485,"hydro_id":null,"qmax":null,"is_key_station":false,"warning_level_m":null,"critical_level_m":null,"critical_level_msl":null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Buri"}},"diff_wl_bank":"1.61","diff_wl_bank_text":"ล้นตลิ่ง (ม.)","river_gid":194664,"river_name":"แม่น้ำบางปะกง"}</t>
  </si>
  <si>
    <t>บางน้ำเปรี้ยว พนมสารคาม บางคล้า แปลงยาว ท่าตะเกียบ สนามชัยเขต เมืองฯ บ้านโพธิ์ บางปะกง คลองเขื่อน ราชสาส์น</t>
  </si>
  <si>
    <t>THAIWATER_WL:156</t>
  </si>
  <si>
    <t>BPK004</t>
  </si>
  <si>
    <t>พนมสารคาม</t>
  </si>
  <si>
    <t>คลองท่าลาด</t>
  </si>
  <si>
    <t>ปภ. รายงาน 548/2569 วันที่ 1 ต.ค. 2569 เวลา 18.00 น. ตารางหน้า 5; บาดเจ็บ: -; สูญหาย: -</t>
  </si>
  <si>
    <t>2026-10-01_สระแก้ว_อุทกภัย</t>
  </si>
  <si>
    <t>อรัญประเทศ เมืองฯ</t>
  </si>
  <si>
    <t>{"id":1317594245,"waterlevel_datetime":"2026-10-03 15:10","waterlevel_m":null,"waterlevel_msl":"6.48","waterlevel_msl_previous":"6.48","flow_rate":null,"discharge":null,"storage_percent":"115.42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Basin"}},"station":{"id":156,"tele_station_name":{"en":"Phanom Sarakham","th":"พนมสารคาม"},"tele_station_lat":13.72662,"tele_station_long":101.35298,"tele_station_oldcode":"BPK004","tele_station_type":"tele_waterlevel","left_bank":7.575,"right_bank":5.395,"min_bank":5.4,"ground_level":-1.66,"offset":null,"sub_basin_id":284,"agency_id":9,"geocode_id":1452,"hydro_id":null,"qmax":null,"is_key_station":false,"warning_level_m":null,"critical_level_m":null,"critical_level_msl":null},"geocode":{"area_code":"2","area_name":{"th":"ภาคกลาง","en":"Central"},"amphoe_code":"06","amphoe_name":{"th":"พนมสารคาม","en":"Phanom Sarakham District"},"tumbon_code":"01","tumbon_name":{"th":"เกาะขนุน","en":"Ko Khanun"},"province_code":"24","province_name":{"th":"ฉะเชิงเทรา","en":"Chachoengsao"}},"diff_wl_bank":"1.09","diff_wl_bank_text":"ล้นตลิ่ง (ม.)","river_gid":196933,"river_name":"คลองท่าลาด"}</t>
  </si>
  <si>
    <t>THAIWATER_WL:505039</t>
  </si>
  <si>
    <t>T.13</t>
  </si>
  <si>
    <t>บ้านบางการ้อง</t>
  </si>
  <si>
    <t>2026-10-01_ชลบุรี_อุทกภัย</t>
  </si>
  <si>
    <t>เมืองฯ สัตหีบ พนัสนิคม ศรีราชา บางละมุง บ้านบึง หนองใหญ่ เกาะจันทร์ พานทอง บ่อทอง</t>
  </si>
  <si>
    <t>{"id":1317575409,"waterlevel_datetime":"2026-10-03 14:00","waterlevel_m":null,"waterlevel_msl":"3.38","waterlevel_msl_previous":"3.38","flow_rate":null,"discharge":null,"storage_percent":"113.86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505039,"tele_station_name":{"th":"บ้านบางการ้อง"},"tele_station_lat":14.157,"tele_station_long":100.127907,"tele_station_oldcode":"T.13","tele_station_type":"tele_waterlevel","left_bank":0.10400000000000009,"right_bank":0.13400000000000034,"min_bank":2.4,"ground_level":-4.67,"offset":-4,"sub_basin_id":259,"agency_id":12,"geocode_id":6772,"hydro_id":7,"qmax":null,"is_key_station":tru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Buri"}},"diff_wl_bank":"0.98","diff_wl_bank_text":"ล้นตลิ่ง (ม.)","river_gid":184341,"river_name":"แม่น้ำท่าจีน"}</t>
  </si>
  <si>
    <t>{"canal_datetime":"2026-09-28 13:20","canal_value":1.28,"canal_out":0,"agency":{"agency_name":{"th":"สำนักการระบายน้ำ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Yao"},"province_code":"10","province_name":{"th":"กรุงเทพมหานคร","en":"Bangkok"}},"station":{"id":169,"canal_name":{"th":"ค.พระยาสุเรนทร์ ปัญญาอินทรา"},"canal_lat":13.83698,"canal_long":100.68803,"canal_oldcode":"WL.PSR.05","bank":1,"warning_level":0.7,"critical_level":0.8}}</t>
  </si>
  <si>
    <t>THAIWATER_WL:131</t>
  </si>
  <si>
    <t>CHN005</t>
  </si>
  <si>
    <t>นายายอาม</t>
  </si>
  <si>
    <t>THAIWATER:264</t>
  </si>
  <si>
    <t>WL.SCO.01</t>
  </si>
  <si>
    <t>คลองวังโตนด</t>
  </si>
  <si>
    <t>ค.ศาลเจ้า ถ.สวนผัก</t>
  </si>
  <si>
    <t>district</t>
  </si>
  <si>
    <t>2026-10-01_ระยอง_อุทกภัย</t>
  </si>
  <si>
    <t>shelter_name</t>
  </si>
  <si>
    <t>category</t>
  </si>
  <si>
    <t>capacity</t>
  </si>
  <si>
    <t>occupied</t>
  </si>
  <si>
    <t>available</t>
  </si>
  <si>
    <t>unit</t>
  </si>
  <si>
    <t>เมืองฯ แกลง</t>
  </si>
  <si>
    <t>status_source</t>
  </si>
  <si>
    <t>map_url</t>
  </si>
  <si>
    <t>additional_details</t>
  </si>
  <si>
    <t>ระดับน้ำทรงตัว</t>
  </si>
  <si>
    <t>{"canal_datetime":"2026-09-28 13:20","canal_value":-0.11,"canal_out":0,"agency":{"agency_name":{"th":"สำนักการระบายน้ำ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Chan"},"province_code":"10","province_name":{"th":"กรุงเทพมหานคร","en":"Bangkok"}},"station":{"id":264,"canal_name":{"th":"ค.ศาลเจ้า ถ.สวนผัก"},"canal_lat":13.79815,"canal_long":100.44488,"canal_oldcode":"WL.SCO.01","bank":1,"warning_level":0.6,"critical_level":0.7}}</t>
  </si>
  <si>
    <t>route_details</t>
  </si>
  <si>
    <t>{"id":1317594269,"waterlevel_datetime":"2026-10-03 15:10","waterlevel_m":null,"waterlevel_msl":"5.06","waterlevel_msl_previous":"5.07","flow_rate":null,"discharge":null,"storage_percent":"111.68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Basin"}},"station":{"id":131,"tele_station_name":{"en":"Na Yai Am","th":"นายายอาม"},"tele_station_lat":12.722433,"tele_station_long":101.95606,"tele_station_oldcode":"CHN005","tele_station_type":"tele_waterlevel","left_bank":7.2559,"right_bank":4.2759,"min_bank":4.28,"ground_level":-2.44,"offset":null,"sub_basin_id":295,"agency_id":9,"geocode_id":1325,"hydro_id":null,"qmax":null,"is_key_station":false,"warning_level_m":null,"critical_level_m":null,"critical_level_msl":null},"geocode":{"area_code":"2","area_name":{"th":"ภาคกลาง","en":"Central"},"amphoe_code":"09","amphoe_name":{"th":"นายายอาม","en":"Na Yai Am District"},"tumbon_code":"06","tumbon_name":{"th":"วังใหม่","en":"Wang Mai"},"province_code":"22","province_name":{"th":"จันทบุรี","en":"Chanthaburi"}},"diff_wl_bank":"0.78","diff_wl_bank_text":"ล้นตลิ่ง (ม.)","river_gid":204477,"river_name":"คลองวังโตนด"}</t>
  </si>
  <si>
    <t>THAIWATER:138</t>
  </si>
  <si>
    <t>created_at_source</t>
  </si>
  <si>
    <t>WL.PSC.03</t>
  </si>
  <si>
    <t>updated_at_source</t>
  </si>
  <si>
    <t>THAIWATER_WL:575566</t>
  </si>
  <si>
    <t>ค.ราชมนตรี-ภาษีเจริญ</t>
  </si>
  <si>
    <t>BKC002</t>
  </si>
  <si>
    <t>source_generated_at</t>
  </si>
  <si>
    <t>ปตร.วัดบางกระเจ้านอก</t>
  </si>
  <si>
    <t>source_stale</t>
  </si>
  <si>
    <t>คลองบางกะเจ้า</t>
  </si>
  <si>
    <t>2026-10-01_จันทบุรี_อุทกภัย</t>
  </si>
  <si>
    <t>raw_record_json</t>
  </si>
  <si>
    <t>coordinate_status</t>
  </si>
  <si>
    <t>coordinate_url</t>
  </si>
  <si>
    <t>coordinate_checked_at</t>
  </si>
  <si>
    <t>นายายอาม ท่าใหม่</t>
  </si>
  <si>
    <t>map_url_found</t>
  </si>
  <si>
    <t>map_search_status</t>
  </si>
  <si>
    <t>map_search_query_url</t>
  </si>
  <si>
    <t>map_matched_address</t>
  </si>
  <si>
    <t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District"},"tumbon_name":{"th":"บางแค","en":"Bang Khae"},"province_code":"10","province_name":{"th":"กรุงเทพมหานคร","en":"Bangkok"}},"station":{"id":138,"canal_name":{"th":"ค.ราชมนตรี-ภาษีเจริญ"},"canal_lat":13.70818,"canal_long":100.42615,"canal_oldcode":"WL.PSC.03","bank":1.87,"warning_level":0.6,"critical_level":0.7}}</t>
  </si>
  <si>
    <t>map_place_id</t>
  </si>
  <si>
    <t>THAIWATER:163</t>
  </si>
  <si>
    <t>WL.SSN.03</t>
  </si>
  <si>
    <t>map_search_checked_at</t>
  </si>
  <si>
    <t>ค.สามเสน ถ.พระราม 6</t>
  </si>
  <si>
    <t>{"id":1317594226,"waterlevel_datetime":"2026-10-03 15:10","waterlevel_m":null,"waterlevel_msl":"1.54","waterlevel_msl_previous":"1.55","flow_rate":null,"discharge":null,"storage_percent":"110.49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Basin"}},"station":{"id":575566,"tele_station_name":{"en":"Wat Bangkachao Nok Gate","th":"ปตร.วัดบางกระเจ้านอก"},"tele_station_lat":13.689612,"tele_station_long":100.554886,"tele_station_oldcode":"BKC002","tele_station_type":"tele_waterlevel","left_bank":1.74,"right_bank":1.26,"min_bank":1.26,"ground_level":-1.41,"offset":null,"sub_basin_id":240,"agency_id":9,"geocode_id":250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District"},"tumbon_code":"09","tumbon_name":{"th":"บางกระเจ้า","en":"Bang Krachao"},"province_code":"11","province_name":{"th":"สมุทรปราการ","en":"Samut Prakan"}},"diff_wl_bank":"0.28","diff_wl_bank_text":"ล้นตลิ่ง (ม.)","river_gid":188003,"river_name":"คลองบางกะเจ้า"}</t>
  </si>
  <si>
    <t>d47bf7af-910f-be9a-1015-e3669c6d6b59</t>
  </si>
  <si>
    <t>THAIWATER_WL:528052</t>
  </si>
  <si>
    <t>T.15</t>
  </si>
  <si>
    <t>วัดบางไผ่นารถ</t>
  </si>
  <si>
    <t>คลองสาน</t>
  </si>
  <si>
    <t>โรงเรียนมัธยมวัดสุทธาราม</t>
  </si>
  <si>
    <t>ศูนย์พักพิงชั่วคราว</t>
  </si>
  <si>
    <t>2026-10-01_ตราด_อุทกภัย</t>
  </si>
  <si>
    <t>{"id":1317575411,"waterlevel_datetime":"2026-10-03 14:00","waterlevel_m":null,"waterlevel_msl":"2.58","waterlevel_msl_previous":"2.57","flow_rate":null,"discharge":null,"storage_percent":"110.34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528052,"tele_station_name":{"th":"วัดบางไผ่นารถ"},"tele_station_lat":14.05221,"tele_station_long":100.175087,"tele_station_oldcode":"T.15","tele_station_type":"tele_waterlevel","left_bank":-2.582,"right_bank":-2.785,"min_bank":1.8,"ground_level":-5.74,"offset":-6,"sub_basin_id":259,"agency_id":12,"geocode_id":6897,"hydro_id":7,"qmax":null,"is_key_station":true,"warning_level_m":null,"critical_level_m":null,"critical_level_msl":null},"geocode":{"area_code":"2","area_name":{"th":"ภาคกลาง","en":"Central"},"amphoe_code":"05","amphoe_name":{"th":"บางเลน","en":"Bang Len District"},"tumbon_code":"06","tumbon_name":{"th":"บางไทรป่า","en":"Bang Sai Pa"},"province_code":"73","province_name":{"th":"นครปฐม","en":"Nakhon Pathom"}},"diff_wl_bank":"0.78","diff_wl_bank_text":"ล้นตลิ่ง (ม.)","river_gid":184977,"river_name":"แม่น้ำท่าจีน"}</t>
  </si>
  <si>
    <t>คน</t>
  </si>
  <si>
    <t>เปิดให้บริการ/ว่าง</t>
  </si>
  <si>
    <t>THAIWATER_WL:169</t>
  </si>
  <si>
    <t>PRC004</t>
  </si>
  <si>
    <t>ประจันตคาม (KGT7A)</t>
  </si>
  <si>
    <t>https://maps.app.goo.gl/THU6UjkuSK843fuaA?g_st=ac</t>
  </si>
  <si>
    <t>บ่อไร่ เขาสมิง เมืองฯ</t>
  </si>
  <si>
    <t>คลองอินทร์ไตร</t>
  </si>
  <si>
    <t>2026-02-21T12:05:00+07:00</t>
  </si>
  <si>
    <t>ปภ. รายงาน 548/2569 วันที่ 1 ต.ค. 2569 เวลา 18.00 น. ตารางหน้า 5; บาดเจ็บ: ช่องว่าง; สูญหาย: ช่องว่าง</t>
  </si>
  <si>
    <t>2026-10-01_บุรีรัมย์_อุทกภัย</t>
  </si>
  <si>
    <t>{"canal_datetime":"2026-02-21 12:05","canal_value":-0.54,"canal_out":0,"agency":{"agency_name":{"th":"สำนักการระบายน้ำ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Nai"},"province_code":"10","province_name":{"th":"กรุงเทพมหานคร","en":"Bangkok"}},"station":{"id":163,"canal_name":{"th":"ค.สามเสน ถ.พระราม 6"},"canal_lat":13.77284,"canal_long":100.53,"canal_oldcode":"WL.SSN.03","bank":1,"warning_level":0.3,"critical_level":0.4}}</t>
  </si>
  <si>
    <t>THAIWATER:245</t>
  </si>
  <si>
    <t>WL.KSI.01</t>
  </si>
  <si>
    <t>ค.สี่ ถ.สุวินทวงศ์</t>
  </si>
  <si>
    <t>{"id":1317594522,"waterlevel_datetime":"2026-10-03 15:10","waterlevel_m":null,"waterlevel_msl":"7.25","waterlevel_msl_previous":"7.25","flow_rate":null,"discharge":null,"storage_percent":"110.21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Basin"}},"station":{"id":169,"tele_station_name":{"en":"Prachinburi 4","th":"ประจันตคาม (KGT7A)"},"tele_station_lat":14.070941,"tele_station_long":101.51893,"tele_station_oldcode":"PRC004","tele_station_type":"tele_waterlevel","left_bank":6.8545,"right_bank":6.6625,"min_bank":6.66,"ground_level":0.91,"offset":null,"sub_basin_id":281,"agency_id":9,"geocode_id":1531,"hydro_id":null,"qmax":null,"is_key_station":false,"warning_level_m":null,"critical_level_m":null,"critical_level_msl":null},"geocode":{"area_code":"2","area_name":{"th":"ภาคกลาง","en":"Central"},"amphoe_code":"07","amphoe_name":{"th":"ประจันตคาม","en":"Prachantakham District"},"tumbon_code":"01","tumbon_name":{"th":"ประจันตคาม","en":"Prachantakham"},"province_code":"25","province_name":{"th":"ปราจีนบุรี","en":"Prachin Buri"}},"diff_wl_bank":"0.59","diff_wl_bank_text":"ล้นตลิ่ง (ม.)","river_gid":194592,"river_name":"คลองอินทร์ไตร"}</t>
  </si>
  <si>
    <t>THAIWATER_WL:731</t>
  </si>
  <si>
    <t>THA005</t>
  </si>
  <si>
    <t>นางรอง ประโคนชัย</t>
  </si>
  <si>
    <t>เมืองสุพรรณบุรี</t>
  </si>
  <si>
    <t>2026-09-28T00:15:00+07:00</t>
  </si>
  <si>
    <t>แม่น้ำสุพรรณ</t>
  </si>
  <si>
    <t>2026-10-01_ชัยภูมิ_อุทกภัย</t>
  </si>
  <si>
    <t>{"canal_datetime":"2026-09-28 00:15","canal_value":1.11,"canal_out":0,"agency":{"agency_name":{"th":"สำนักการระบายน้ำ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Saep"},"province_code":"10","province_name":{"th":"กรุงเทพมหานคร","en":"Bangkok"}},"station":{"id":245,"canal_name":{"th":"ค.สี่ ถ.สุวินทวงศ์"},"canal_lat":13.81383,"canal_long":100.76524,"canal_oldcode":"WL.KSI.01","bank":2,"warning_level":0.8,"critical_level":0.9}}</t>
  </si>
  <si>
    <t>บำเหน็จณรงค์ จัตุรัส</t>
  </si>
  <si>
    <t>THAIWATER:268</t>
  </si>
  <si>
    <t>{"id":1317594651,"waterlevel_datetime":"2026-10-03 15:10","waterlevel_m":null,"waterlevel_msl":"5.59","waterlevel_msl_previous":"5.58","flow_rate":null,"discharge":null,"storage_percent":"109.56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Basin"}},"station":{"id":731,"tele_station_name":{"en":"Tha Chin 5","th":"เมืองสุพรรณบุรี"},"tele_station_lat":14.4705,"tele_station_long":100.11475,"tele_station_oldcode":"THA005","tele_station_type":"tele_waterlevel","left_bank":7.387,"right_bank":4.959,"min_bank":4.96,"ground_level":-1.6,"offset":null,"sub_basin_id":259,"agency_id":9,"geocode_id":6695,"hydro_id":null,"qmax":null,"is_key_station":false,"warning_level_m":null,"critical_level_m":null,"critical_level_msl":null},"geocode":{"area_code":"2","area_name":{"th":"ภาคกลาง","en":"Central"},"amphoe_code":"01","amphoe_name":{"th":"เมืองสุพรรณบุรี","en":"Mueang Suphan Buri District"},"tumbon_code":"01","tumbon_name":{"th":"ท่าพี่เลี้ยง","en":"Tha Phi Liang"},"province_code":"72","province_name":{"th":"สุพรรณบุรี","en":"Suphan Buri"}},"diff_wl_bank":"0.63","diff_wl_bank_text":"ล้นตลิ่ง (ม.)","river_gid":181538,"river_name":"แม่น้ำสุพรรณ"}</t>
  </si>
  <si>
    <t>WL.CNS.04</t>
  </si>
  <si>
    <t>ค.ช่องนนทรี ถ.สาทรใต้</t>
  </si>
  <si>
    <t>THAIWATER_WL:190</t>
  </si>
  <si>
    <t>SKE001</t>
  </si>
  <si>
    <t>2021-09-03T10:45:00+07:00</t>
  </si>
  <si>
    <t>2026-10-01_สุรินทร์_อุทกภัย</t>
  </si>
  <si>
    <t>พนมดงรัก ปราสาท</t>
  </si>
  <si>
    <t>2026-09-26T08:04:34.000Z</t>
  </si>
  <si>
    <t>{"canal_datetime":"2021-09-03 10:45","canal_value":-0.49,"canal_out":0,"agency":{"agency_name":{"th":"สำนักการระบายน้ำ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Nawa"},"province_code":"10","province_name":{"th":"กรุงเทพมหานคร","en":"Bangkok"}},"station":{"id":268,"canal_name":{"th":"ค.ช่องนนทรี ถ.สาทรใต้"},"canal_lat":13.71979,"canal_long":100.53124,"canal_oldcode":"WL.CNS.04","bank":null,"warning_level":null,"critical_level":null}}</t>
  </si>
  <si>
    <t>2026-10-03T07:24:09.558Z</t>
  </si>
  <si>
    <t>THAIWATER:188</t>
  </si>
  <si>
    <t>2026-10-03T14:24:09+07:00</t>
  </si>
  <si>
    <t>WL.SPP.01</t>
  </si>
  <si>
    <t>{"id":1317594587,"waterlevel_datetime":"2026-10-03 15:10","waterlevel_m":null,"waterlevel_msl":"20.51","waterlevel_msl_previous":"20.50","flow_rate":null,"discharge":null,"storage_percent":"109.50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Basin"}},"station":{"id":190,"tele_station_name":{"en":"Klong Pra Prong","th":"คลองพระปรง"},"tele_station_lat":13.937376,"tele_station_long":101.922035,"tele_station_oldcode":"SKE001","tele_station_type":"tele_waterlevel","left_bank":19.615,"right_bank":21.249,"min_bank":19.61,"ground_level":10.194,"offset":null,"sub_basin_id":278,"agency_id":9,"geocode_id":1605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District"},"tumbon_code":"02","tumbon_name":{"th":"บ้านแก้ง","en":"Ban Kaeng"},"province_code":"27","province_name":{"th":"สระแก้ว","en":"Sa Kaeo"}},"diff_wl_bank":"0.90","diff_wl_bank_text":"ล้นตลิ่ง (ม.)","river_gid":195500,"river_name":"คลองพระปรง"}</t>
  </si>
  <si>
    <t>บ่อสูบน้ำสะพานพรหม</t>
  </si>
  <si>
    <t>https://floodsupport.bangkok.go.th/api/data</t>
  </si>
  <si>
    <t>THAIWATER_WL:151</t>
  </si>
  <si>
    <t>BPK003</t>
  </si>
  <si>
    <t>บางน้ำเปรี้ยว</t>
  </si>
  <si>
    <t>2022-10-07T11:30:00+07:00</t>
  </si>
  <si>
    <t>2026-10-01_กรุงเทพมหานคร_อุทกภัย</t>
  </si>
  <si>
    <t>{"canal_datetime":"2022-10-07 11:30","canal_value":-1.17,"canal_out":0,"agency":{"agency_name":{"th":"สำนักการระบายน้ำ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188,"canal_name":{"th":"บ่อสูบน้ำสะพานพรหม"},"canal_lat":13.76308,"canal_long":100.54288,"canal_oldcode":"WL.SPP.01","bank":0.6,"warning_level":0.2,"critical_level":0.3}}</t>
  </si>
  <si>
    <t>THAIWATER:122</t>
  </si>
  <si>
    <t>{"id":1317594244,"waterlevel_datetime":"2026-10-03 15:10","waterlevel_m":null,"waterlevel_msl":"2.65","waterlevel_msl_previous":"2.64","flow_rate":null,"discharge":null,"storage_percent":"109.49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Basin"}},"station":{"id":151,"tele_station_name":{"en":"Bang Nam Priao","th":"บางน้ำเปรี้ยว"},"tele_station_lat":13.87032,"tele_station_long":101.14574,"tele_station_oldcode":"BPK003","tele_station_type":"tele_waterlevel","left_bank":1.47,"right_bank":1.851,"min_bank":1.47,"ground_level":-10.948,"offset":null,"sub_basin_id":283,"agency_id":9,"geocode_id":1411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District"},"tumbon_code":"02","tumbon_name":{"th":"บางขนาก","en":"Bang Khanak"},"province_code":"24","province_name":{"th":"ฉะเชิงเทรา","en":"Chachoengsao"}},"diff_wl_bank":"1.18","diff_wl_bank_text":"ล้นตลิ่ง (ม.)","river_gid":195962,"river_name":"แม่น้ำบางปะกง"}</t>
  </si>
  <si>
    <t>WL.SSN.02</t>
  </si>
  <si>
    <t>2026-09-30_ตาก_อุทกภัย</t>
  </si>
  <si>
    <t>ค.สามเสน ถ.พระราม 5</t>
  </si>
  <si>
    <t>THAIWATER_WL:80</t>
  </si>
  <si>
    <t>CPY004</t>
  </si>
  <si>
    <t>สะพานธรรมจักร(วัดธรรมามูล)</t>
  </si>
  <si>
    <t>แม่น้ำเจ้าพระยา</t>
  </si>
  <si>
    <t>อ.บ้านตาก อ.แม่สอด</t>
  </si>
  <si>
    <t>{"canal_datetime":"2026-09-28 13:20","canal_value":-0.45,"canal_out":0,"agency":{"agency_name":{"th":"สำนักการระบายน้ำ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Chitlada"},"province_code":"10","province_name":{"th":"กรุงเทพมหานคร","en":"Bangkok"}},"station":{"id":122,"canal_name":{"th":"ค.สามเสน ถ.พระราม 5"},"canal_lat":13.77772,"canal_long":100.52121,"canal_oldcode":"WL.SSN.02","bank":1.94,"warning_level":0.4,"critical_level":0.5}}</t>
  </si>
  <si>
    <t>{"id":1317594279,"waterlevel_datetime":"2026-10-03 15:10","waterlevel_m":null,"waterlevel_msl":"18.80","waterlevel_msl_previous":"18.80","flow_rate":null,"discharge":null,"storage_percent":"108.75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Basin"}},"station":{"id":80,"tele_station_name":{"en":"Chao Phraya 4","th":"สะพานธรรมจักร(วัดธรรมามูล)"},"tele_station_lat":15.25029,"tele_station_long":100.08347,"tele_station_oldcode":"CPY004","tele_station_type":"tele_waterlevel","left_bank":19.655,"right_bank":17.541,"min_bank":17.54,"ground_level":3.115,"offset":null,"sub_basin_id":240,"agency_id":9,"geocode_id":895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District"},"tumbon_code":"07","tumbon_name":{"th":"ธรรมามูล","en":"Thammamun"},"province_code":"18","province_name":{"th":"ชัยนาท","en":"Chai Nat"}},"diff_wl_bank":"1.26","diff_wl_bank_text":"ล้นตลิ่ง (ม.)","river_gid":175361,"river_name":"แม่น้ำเจ้าพระยา"}</t>
  </si>
  <si>
    <t>THAIWATER:123</t>
  </si>
  <si>
    <t>WL.SSN.04</t>
  </si>
  <si>
    <t>THAIWATER_WL:170</t>
  </si>
  <si>
    <t>ค.สามเสน-ถ.พหลฯ</t>
  </si>
  <si>
    <t>PRC005</t>
  </si>
  <si>
    <t>ปภ. รายงาน 545/2569 วันที่ 30 ก.ย. 2569 เวลา 06.00 น. ตารางหน้า 1; บาดเจ็บ: -; สูญหาย: -; คงเครื่องหมาย - และช่องว่างตามต้นฉบับ</t>
  </si>
  <si>
    <t>ศรีมหาโพธิ (KGT6)</t>
  </si>
  <si>
    <t>{"id":"d47bf7af-910f-be9a-1015-e3669c6d6b59","district":"คลองสาน","category":"ศูนย์พักพิงชั่วคราว","name":"โรงเรียนมัธยมวัดสุทธาราม","capacity":100,"occupied":0,"available":100,"unitType":"คน","status":"เปิดให้บริการ/ว่าง","routeDetails":"","link":"https://maps.app.goo.gl/THU6UjkuSK843fuaA?g_st=ac","additionalDetails":null,"createdAt":"2026-09-26T08:04:34.000Z","updatedAt":"2026-09-26T08:04:34.000Z"}</t>
  </si>
  <si>
    <t>2026-10-03T15:00:00+07:00</t>
  </si>
  <si>
    <t>2026-09-27T16:00:00+07:00</t>
  </si>
  <si>
    <t>https://backofficeminisite.disaster.go.th/apiv1/apps/minisite_directing/194/content/8728/download?filename=5d20575fa6cbe9d1e5a046aeef36e7a3.pdf</t>
  </si>
  <si>
    <t>ค้นด้วยชื่อ (หยิบผลลัพธ์แรกสุดอัตโนมัติ)</t>
  </si>
  <si>
    <t>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</t>
  </si>
  <si>
    <t>{"canal_datetime":"2026-09-27 16:00","canal_value":-0.25,"canal_out":0,"agency":{"agency_name":{"th":"สำนักการระบายน้ำ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123,"canal_name":{"th":"ค.สามเสน-ถ.พหลฯ"},"canal_lat":13.76551,"canal_long":100.5396,"canal_oldcode":"WL.SSN.04","bank":1.9,"warning_level":0.2,"critical_level":0.3}}</t>
  </si>
  <si>
    <t>{"id":1317590002,"waterlevel_datetime":"2026-10-03 15:00","waterlevel_m":null,"waterlevel_msl":"8.45","waterlevel_msl_previous":"8.44","flow_rate":null,"discharge":null,"storage_percent":"108.57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Basin"}},"station":{"id":170,"tele_station_name":{"en":"Prachinburi 5","th":"ศรีมหาโพธิ (KGT6)"},"tele_station_lat":13.97348,"tele_station_long":101.51751,"tele_station_oldcode":"PRC005","tele_station_type":"tele_waterlevel","left_bank":7.5808,"right_bank":7.9828,"min_bank":7.58,"ground_level":-2.56,"offset":null,"sub_basin_id":281,"agency_id":9,"geocode_id":1543,"hydro_id":null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District"},"tumbon_code":"03","tumbon_name":{"th":"บ้านทาม","en":"Ban Tham"},"province_code":"25","province_name":{"th":"ปราจีนบุรี","en":"Prachin Buri"}},"diff_wl_bank":"0.87","diff_wl_bank_text":"ล้นตลิ่ง (ม.)","river_gid":195215,"river_name":"แม่น้ำบางปะกง"}</t>
  </si>
  <si>
    <t>THAIWATER:101</t>
  </si>
  <si>
    <t>WL.SSM.01</t>
  </si>
  <si>
    <t>THAIWATER_WL:2609</t>
  </si>
  <si>
    <t>ปตร.คลองสิบสาม</t>
  </si>
  <si>
    <t>C.35</t>
  </si>
  <si>
    <t>บ้านป้อม</t>
  </si>
  <si>
    <t>{"id":1317572077,"waterlevel_datetime":"2026-10-03 14:00","waterlevel_m":null,"waterlevel_msl":"5.35","waterlevel_msl_previous":"5.35","flow_rate":null,"discharge":"1465.00","storage_percent":"107.35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2609,"tele_station_name":{"th":"บ้านป้อม"},"tele_station_lat":14.3691,"tele_station_long":100.528732,"tele_station_oldcode":"C.35","tele_station_type":"tele_waterlevel","left_bank":5.06,"right_bank":6.209,"min_bank":4.35,"ground_level":-9.25,"offset":null,"sub_basin_id":240,"agency_id":12,"geocode_id":415,"hydro_id":5,"qmax":1159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District"},"tumbon_code":"20","tumbon_name":{"th":"บ้านป้อม","en":"Ban Pom"},"province_code":"14","province_name":{"th":"พระนครศรีอยุธยา","en":"Phra Nakhon Si Ayutthaya"}},"diff_wl_bank":"1.00","diff_wl_bank_text":"ล้นตลิ่ง (ม.)","river_gid":182479,"river_name":"แม่น้ำเจ้าพระยา"}</t>
  </si>
  <si>
    <t>{"canal_datetime":"2026-09-28 13:20","canal_value":1.39,"canal_out":0,"agency":{"agency_name":{"th":"สำนักการระบายน้ำ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District"},"tumbon_name":{"th":"หนองจอก","en":"Nong Chok"},"province_code":"10","province_name":{"th":"กรุงเทพมหานคร","en":"Bangkok"}},"station":{"id":101,"canal_name":{"th":"ปตร.คลองสิบสาม"},"canal_lat":13.85874,"canal_long":100.86779,"canal_oldcode":"WL.SSM.01","bank":1.98,"warning_level":1.6,"critical_level":1.7}}</t>
  </si>
  <si>
    <t>THAIWATER:149</t>
  </si>
  <si>
    <t>WL.BSK.01</t>
  </si>
  <si>
    <t>THAIWATER_WL:504990</t>
  </si>
  <si>
    <t>Kgt.6</t>
  </si>
  <si>
    <t>ส.คลองบางไส้ไก่</t>
  </si>
  <si>
    <t>บ้านทาม</t>
  </si>
  <si>
    <t>ธนบุรี</t>
  </si>
  <si>
    <t>{"id":1317582832,"waterlevel_datetime":"2026-10-03 14:00","waterlevel_m":null,"waterlevel_msl":"7.58","waterlevel_msl_previous":"7.57","flow_rate":null,"discharge":null,"storage_percent":"107.13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504990,"tele_station_name":{"th":"บ้านทาม"},"tele_station_lat":13.97341,"tele_station_long":101.517448,"tele_station_oldcode":"Kgt.6","tele_station_type":"tele_waterlevel","left_bank":7.1,"right_bank":7.1,"min_bank":6.61,"ground_level":-7,"offset":0,"sub_basin_id":281,"agency_id":12,"geocode_id":1541,"hydro_id":6,"qmax":null,"is_key_station":false,"warning_level_m":null,"critical_level_m":null,"critical_level_msl":null},"geocode":{"area_code":"2","area_name":{"th":"ภาคกลาง","en":"Central"},"amphoe_code":"08","amphoe_name":{"th":"ศรีมหาโพธิ","en":"Si Maha Phot District"},"tumbon_code":"01","tumbon_name":{"th":"ศรีมหาโพธิ์","en":"Si Mahapho"},"province_code":"25","province_name":{"th":"ปราจีนบุรี","en":"Prachin Buri"}},"diff_wl_bank":"0.97","diff_wl_bank_text":"ล้นตลิ่ง (ม.)","river_gid":195215,"river_name":"แม่น้ำบางปะกง"}</t>
  </si>
  <si>
    <t>{"canal_datetime":"2026-09-28 13:20","canal_value":-0.64,"canal_out":0.71,"agency":{"agency_name":{"th":"สำนักการระบายน้ำ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149,"canal_name":{"th":"ส.คลองบางไส้ไก่"},"canal_lat":13.70682,"canal_long":100.49744,"canal_oldcode":"WL.BSK.01","bank":2.8,"warning_level":2.6,"critical_level":2.8}}</t>
  </si>
  <si>
    <t>THAIWATER:206</t>
  </si>
  <si>
    <t>THAIWATER_WL:245</t>
  </si>
  <si>
    <t>WL.KKD.03</t>
  </si>
  <si>
    <t>MUN009</t>
  </si>
  <si>
    <t>เมืองสุรินทร์</t>
  </si>
  <si>
    <t xml:space="preserve">ค.เคล็ด ถ.ศรีนครินทร์ </t>
  </si>
  <si>
    <t>ลำชี</t>
  </si>
  <si>
    <t>2026-09-28T00:10:00+07:00</t>
  </si>
  <si>
    <t>2026-09-30_พิษณุโลก_อุทกภัย</t>
  </si>
  <si>
    <t>{"id":1317594429,"waterlevel_datetime":"2026-10-03 15:10","waterlevel_m":null,"waterlevel_msl":"137.98","waterlevel_msl_previous":"137.98","flow_rate":null,"discharge":null,"storage_percent":"107.10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Basin"}},"station":{"id":245,"tele_station_name":{"en":"Mun 9","th":"เมืองสุรินทร์"},"tele_station_lat":14.875494,"tele_station_long":103.37887,"tele_station_oldcode":"MUN009","tele_station_type":"tele_waterlevel","left_bank":137.971,"right_bank":137.326,"min_bank":137.33,"ground_level":128.12,"offset":null,"sub_basin_id":125,"agency_id":9,"geocode_id":2226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District"},"tumbon_code":"22","tumbon_name":{"th":"ตระแสง","en":"Trasaeng"},"province_code":"32","province_name":{"th":"สุรินทร์","en":"Surin"}},"diff_wl_bank":"0.65","diff_wl_bank_text":"ล้นตลิ่ง (ม.)","river_gid":150132,"river_name":"ลำชี"}</t>
  </si>
  <si>
    <t>THAIWATER_WL:50</t>
  </si>
  <si>
    <t>LBI001</t>
  </si>
  <si>
    <t>{"canal_datetime":"2026-09-28 00:10","canal_value":-0.08,"canal_out":0,"agency":{"agency_name":{"th":"สำนักการระบายน้ำ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Na"},"province_code":"10","province_name":{"th":"กรุงเทพมหานคร","en":"Bangkok"}},"station":{"id":206,"canal_name":{"th":"ค.เคล็ด ถ.ศรีนครินทร์ "},"canal_lat":13.67123,"canal_long":100.6439,"canal_oldcode":"WL.KKD.03","bank":1,"warning_level":0.8,"critical_level":1}}</t>
  </si>
  <si>
    <t>บางปะหัน</t>
  </si>
  <si>
    <t>THAIWATER:69</t>
  </si>
  <si>
    <t>WL.BKG.01</t>
  </si>
  <si>
    <t>แม่น้ำลพบุรี</t>
  </si>
  <si>
    <t>ปตร.คลองบึงขวาง</t>
  </si>
  <si>
    <t>2026-09-30_เพชรบูรณ์_อุทกภัย</t>
  </si>
  <si>
    <t>{"id":1317594363,"waterlevel_datetime":"2026-10-03 15:10","waterlevel_m":null,"waterlevel_msl":"5.33","waterlevel_msl_previous":"5.34","flow_rate":null,"discharge":null,"storage_percent":"107.02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Basin"}},"station":{"id":50,"tele_station_name":{"en":"Lop Buri 1","th":"บางปะหัน"},"tele_station_lat":14.42731,"tele_station_long":100.55605,"tele_station_oldcode":"LBI001","tele_station_type":"tele_waterlevel","left_bank":4.691,"right_bank":9.096,"min_bank":4.69,"ground_level":-4.415,"offset":null,"sub_basin_id":240,"agency_id":9,"geocode_id":515,"hydro_id":null,"qmax":null,"is_key_station":false,"warning_level_m":null,"critical_level_m":null,"critical_level_msl":null},"geocode":{"area_code":"2","area_name":{"th":"ภาคกลาง","en":"Central"},"amphoe_code":"07","amphoe_name":{"th":"บางปะหัน","en":"Bang Pahan District"},"tumbon_code":"14","tumbon_name":{"th":"โพธิ์สามต้น","en":"Pho Sam Ton"},"province_code":"14","province_name":{"th":"พระนครศรีอยุธยา","en":"Phra Nakhon Si Ayutthaya"}},"diff_wl_bank":"0.64","diff_wl_bank_text":"ล้นตลิ่ง (ม.)","river_gid":182038,"river_name":"แม่น้ำลพบุรี"}</t>
  </si>
  <si>
    <t>THAIWATER_WL:2676</t>
  </si>
  <si>
    <t>T.1</t>
  </si>
  <si>
    <t>{"canal_datetime":"2026-09-28 13:20","canal_value":0.8,"canal_out":-2,"agency":{"agency_name":{"th":"สำนักการระบายน้ำ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69,"canal_name":{"th":"ปตร.คลองบึงขวาง"},"canal_lat":13.79955,"canal_long":100.74475,"canal_oldcode":"WL.BKG.01","bank":1.98,"warning_level":0.6,"critical_level":0.8}}</t>
  </si>
  <si>
    <t>ที่ว่าการอ.นครชัยศรี</t>
  </si>
  <si>
    <t>THAIWATER:102</t>
  </si>
  <si>
    <t>2026-10-02T15:34:48+07:00</t>
  </si>
  <si>
    <t>WL.SSB.11</t>
  </si>
  <si>
    <t>ค.แสนแสบ-วัดทรัพย์ฯ</t>
  </si>
  <si>
    <t>พบสถานที่จากชื่อ (อัตโนมัติ)</t>
  </si>
  <si>
    <t>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</t>
  </si>
  <si>
    <t>2026-09-30_กำแพงเพชร_อุทกภัย</t>
  </si>
  <si>
    <t>{"id":1317575407,"waterlevel_datetime":"2026-10-03 14:00","waterlevel_m":null,"waterlevel_msl":"2.23","waterlevel_msl_previous":"2.20","flow_rate":null,"discharge":null,"storage_percent":"106.89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2676,"tele_station_name":{"th":"ที่ว่าการอ.นครชัยศรี"},"tele_station_lat":13.80096,"tele_station_long":100.188026,"tele_station_oldcode":"T.1","tele_station_type":"tele_waterlevel","left_bank":-7.585999999999999,"right_bank":-7.577999999999999,"min_bank":1.5,"ground_level":-9.1,"offset":-9.7,"sub_basin_id":259,"agency_id":12,"geocode_id":6858,"hydro_id":7,"qmax":null,"is_key_station":true,"warning_level_m":null,"critical_level_m":1.6,"critical_level_msl":1.6},"geocode":{"area_code":"2","area_name":{"th":"ภาคกลาง","en":"Central"},"amphoe_code":"03","amphoe_name":{"th":"นครชัยศรี","en":"Nakhon Chai Si District"},"tumbon_code":"01","tumbon_name":{"th":"นครชัยศรี","en":"Nakhon Chai Si"},"province_code":"73","province_name":{"th":"นครปฐม","en":"Nakhon Pathom"}},"diff_wl_bank":"0.73","diff_wl_bank_text":"ล้นตลิ่ง (ม.)","river_gid":186788,"river_name":"แม่น้ำท่าจีน"}</t>
  </si>
  <si>
    <t>THAIWATER_WL:2683</t>
  </si>
  <si>
    <t>Kgt.1</t>
  </si>
  <si>
    <t>สะพานณรงค์ดำริ</t>
  </si>
  <si>
    <t>อ.ปางศิลาทอง อ.เมืองฯ อ.ขาณุวรลักษบุรี อ.คลองขลุง อ.คลองลาน อ.บึงสามัคคี อ.ทรายทองวัฒนา อ.โกสัมพีนคร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</si>
  <si>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102,"canal_name":{"th":"ค.แสนแสบ-วัดทรัพย์ฯ"},"canal_lat":13.85141,"canal_long":100.80344,"canal_oldcode":"WL.SSB.11","bank":1.85,"warning_level":0.7,"critical_level":0.8}}</t>
  </si>
  <si>
    <t>THAIWATER:172</t>
  </si>
  <si>
    <t>WL.STN.02</t>
  </si>
  <si>
    <t>ค.สองต้นน่น ซ.ร่มเกล้า 20</t>
  </si>
  <si>
    <t>ปภ. รายงาน 545/2569 วันที่ 30 ก.ย. 2569 เวลา 06.00 น. ตารางหน้า 2; บาดเจ็บ: -; สูญหาย: -; คงเครื่องหมาย - และช่องว่างตามต้นฉบับ</t>
  </si>
  <si>
    <t>2026-09-30_นครสวรรค์_อุทกภัย</t>
  </si>
  <si>
    <t>{"id":1317582857,"waterlevel_datetime":"2026-10-03 14:00","waterlevel_m":null,"waterlevel_msl":"4.83","waterlevel_msl_previous":"4.84","flow_rate":null,"discharge":null,"storage_percent":"106.85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2683,"tele_station_name":{"th":"สะพานณรงค์ดำริ"},"tele_station_lat":14.05144,"tele_station_long":101.367378,"tele_station_oldcode":"Kgt.1","tele_station_type":"tele_waterlevel","left_bank":3.408,"right_bank":3.122,"min_bank":4.13,"ground_level":-6.089,"offset":0,"sub_basin_id":281,"agency_id":12,"geocode_id":1485,"hydro_id":6,"qmax":698,"is_key_station":true,"warning_level_m":null,"critical_level_m":4.13,"critical_level_msl":4.13},"geocode":{"area_code":"2","area_name":{"th":"ภาคกลาง","en":"Central"},"amphoe_code":"01","amphoe_name":{"th":"เมืองปราจีนบุรี","en":"Mueang Prachin Buri District"},"tumbon_code":"01","tumbon_name":{"th":"หน้าเมือง","en":"Na Mueang"},"province_code":"25","province_name":{"th":"ปราจีนบุรี","en":"Prachin Buri"}},"diff_wl_bank":"0.70","diff_wl_bank_text":"ล้นตลิ่ง (ม.)","river_gid":194740,"river_name":"แม่น้ำบางปะกง"}</t>
  </si>
  <si>
    <t>THAIWATER_WL:21</t>
  </si>
  <si>
    <t>BKK017</t>
  </si>
  <si>
    <t>คลองจระเข้ใหญ่ บางเสาธง (วัดศรีวารีน้อย)</t>
  </si>
  <si>
    <t>คลองหัวตะเข้</t>
  </si>
  <si>
    <t>อ.พยุหะคีรี อ.แม่วงก์ อ.ตาคลี อ.ไพศาลี อ.ลาดยาว อ.บรรพตพิสัย อ.เก้าเลี้ยว อ.เมืองฯ อ.ชุมแสง อ.ท่าตะโก อ.ตากฟ้า</t>
  </si>
  <si>
    <t>2026-09-26T02:20:00+07:00</t>
  </si>
  <si>
    <t>{"canal_datetime":"2026-09-28 13:20","canal_value":0.97,"canal_out":0,"agency":{"agency_name":{"th":"สำนักการระบายน้ำ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Nun"},"province_code":"10","province_name":{"th":"กรุงเทพมหานคร","en":"Bangkok"}},"station":{"id":172,"canal_name":{"th":"ค.สองต้นน่น ซ.ร่มเกล้า 20"},"canal_lat":13.7771,"canal_long":100.73883,"canal_oldcode":"WL.STN.02","bank":1,"warning_level":0.4,"critical_level":0.6}}</t>
  </si>
  <si>
    <t>THAIWATER:161</t>
  </si>
  <si>
    <t>WL.KPM.05</t>
  </si>
  <si>
    <t>ค.เปรมประชากร ถ.สรงประภา</t>
  </si>
  <si>
    <t>2026-09-28T08:45:00+07:00</t>
  </si>
  <si>
    <t>2026-09-30_อุทัยธานี_อุทกภัย</t>
  </si>
  <si>
    <t>{"id":1312931682,"waterlevel_datetime":"2026-09-26 02:20","waterlevel_m":null,"waterlevel_msl":"0.60","waterlevel_msl_previous":"0.59","flow_rate":null,"discharge":null,"storage_percent":"106.31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Basin"}},"station":{"id":21,"tele_station_name":{"en":"Sri Varee Noi Temple","th":"คลองจระเข้ใหญ่ บางเสาธง (วัดศรีวารีน้อย)"},"tele_station_lat":13.66949,"tele_station_long":100.80058,"tele_station_oldcode":"BKK017","tele_station_type":"tele_waterlevel","left_bank":0.432,"right_bank":0.518,"min_bank":0.43,"ground_level":-2.181,"offset":null,"sub_basin_id":286,"agency_id":9,"geocode_id":266,"hydro_id":null,"qmax":null,"is_key_station":false,"warning_level_m":null,"critical_level_m":null,"critical_level_msl":null},"geocode":{"area_code":"2","area_name":{"th":"ภาคกลาง","en":"Central"},"amphoe_code":"06","amphoe_name":{"th":"บางเสาธง","en":"Bang Sao Thong District"},"tumbon_code":"03","tumbon_name":{"th":"ศีรษะจรเข้ใหญ่","en":"Sisa Chorakhe Yai"},"province_code":"11","province_name":{"th":"สมุทรปราการ","en":"Samut Prakan"}},"diff_wl_bank":"0.16","diff_wl_bank_text":"ล้นตลิ่ง (ม.)","river_gid":197605,"river_name":"คลองหัวตะเข้"}</t>
  </si>
  <si>
    <t>THAIWATER_WL:115</t>
  </si>
  <si>
    <t>RAY001</t>
  </si>
  <si>
    <t>เมืองแกลง</t>
  </si>
  <si>
    <t>แม่น้ำประแสร์</t>
  </si>
  <si>
    <t>{"canal_datetime":"2026-09-28 08:45","canal_value":1.59,"canal_out":0,"agency":{"agency_name":{"th":"สำนักการระบายน้ำ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Kan"},"province_code":"10","province_name":{"th":"กรุงเทพมหานคร","en":"Bangkok"}},"station":{"id":161,"canal_name":{"th":"ค.เปรมประชากร ถ.สรงประภา"},"canal_lat":13.92316,"canal_long":100.60051,"canal_oldcode":"WL.KPM.05","bank":2,"warning_level":0.7,"critical_level":0.8}}</t>
  </si>
  <si>
    <t>THAIWATER:207</t>
  </si>
  <si>
    <t>WL.KSK.01</t>
  </si>
  <si>
    <t>ค.ขุนสกล ซ.ศรีนครินทร์ 36</t>
  </si>
  <si>
    <t>2026-09-30_ลพบุรี_อุทกภัย</t>
  </si>
  <si>
    <t>{"id":1317594538,"waterlevel_datetime":"2026-10-03 15:10","waterlevel_m":null,"waterlevel_msl":"4.37","waterlevel_msl_previous":"4.37","flow_rate":null,"discharge":null,"storage_percent":"106.30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Basin"}},"station":{"id":115,"tele_station_name":{"en":"Mueang Klaeng","th":"เมืองแกลง"},"tele_station_lat":12.802991,"tele_station_long":101.65024,"tele_station_oldcode":"RAY001","tele_station_type":"tele_waterlevel","left_bank":3.966,"right_bank":4.375,"min_bank":3.97,"ground_level":-2.445,"offset":null,"sub_basin_id":293,"agency_id":9,"geocode_id":1207,"hydro_id":null,"qmax":null,"is_key_station":false,"warning_level_m":null,"critical_level_m":null,"critical_level_msl":null},"geocode":{"area_code":"2","area_name":{"th":"ภาคกลาง","en":"Central"},"amphoe_code":"03","amphoe_name":{"th":"แกลง","en":"Klaeng District"},"tumbon_code":"08","tumbon_name":{"th":"บ้านนา","en":"Ban Na"},"province_code":"21","province_name":{"th":"ระยอง","en":"Rayong"}},"diff_wl_bank":"0.40","diff_wl_bank_text":"ล้นตลิ่ง (ม.)","river_gid":203698,"river_name":"แม่น้ำประแสร์"}</t>
  </si>
  <si>
    <t>THAIWATER_WL:40</t>
  </si>
  <si>
    <t>PAS008</t>
  </si>
  <si>
    <t>ท่าเรือ</t>
  </si>
  <si>
    <t>แม่น้ำป่าสัก</t>
  </si>
  <si>
    <t>{"canal_datetime":"2026-09-28 13:20","canal_value":0.28,"canal_out":0,"agency":{"agency_name":{"th":"สำนักการระบายน้ำ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Luang"},"province_code":"10","province_name":{"th":"กรุงเทพมหานคร","en":"Bangkok"}},"station":{"id":207,"canal_name":{"th":"ค.ขุนสกล ซ.ศรีนครินทร์ 36"},"canal_lat":13.70346,"canal_long":100.64388,"canal_oldcode":"WL.KSK.01","bank":0.9,"warning_level":-0.5,"critical_level":-0.4}}</t>
  </si>
  <si>
    <t>THAIWATER:93</t>
  </si>
  <si>
    <t>WL.SSB.12</t>
  </si>
  <si>
    <t>ส.คลองแสนแสบ หนองจอก</t>
  </si>
  <si>
    <t>2026-09-30_ชัยนาท_อุทกภัย</t>
  </si>
  <si>
    <t>PF7W+628 แขวงบางลำภูล่าง คลองสาน กรุงเทพมหานคร 10600 ประเทศไทย</t>
  </si>
  <si>
    <t>ChIJ1b8IS42Y4jARDrENXILhAzY</t>
  </si>
  <si>
    <t>{"id":1317594501,"waterlevel_datetime":"2026-10-03 15:10","waterlevel_m":null,"waterlevel_msl":"6.85","waterlevel_msl_previous":"6.84","flow_rate":null,"discharge":null,"storage_percent":"106.25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Basin"}},"station":{"id":40,"tele_station_name":{"en":"Pa Sak 8","th":"ท่าเรือ"},"tele_station_lat":14.56014,"tele_station_long":100.71987,"tele_station_oldcode":"PAS008","tele_station_type":"tele_waterlevel","left_bank":7.381,"right_bank":6.124,"min_bank":6.12,"ground_level":-5.446,"offset":null,"sub_basin_id":257,"agency_id":9,"geocode_id":418,"hydro_id":null,"qmax":null,"is_key_station":false,"warning_level_m":null,"critical_level_m":null,"critical_level_msl":null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Ayutthaya"}},"diff_wl_bank":"0.72","diff_wl_bank_text":"ล้นตลิ่ง (ม.)","river_gid":181108,"river_name":"แม่น้ำป่าสัก"}</t>
  </si>
  <si>
    <t>อ.เมืองฯ อ.มโนรมย์ อ.วัดสิงห์ อ.สรรพยา อ.หันคา อ.หนองมะโมง</t>
  </si>
  <si>
    <t>THAIWATER_WL:49</t>
  </si>
  <si>
    <t>CPY012</t>
  </si>
  <si>
    <t>บางปะอิน</t>
  </si>
  <si>
    <t>6c09bbed-58f3-8db6-bcb6-00abd4d65cd7</t>
  </si>
  <si>
    <t>โรงเรียนวัดทองธรรมชาติ</t>
  </si>
  <si>
    <t>https://maps.app.goo.gl/Mck4hhX59JTUj3a27?g_st=ac</t>
  </si>
  <si>
    <t>{"canal_datetime":"2026-09-28 13:20","canal_value":1.29,"canal_out":1.5,"agency":{"agency_name":{"th":"สำนักการระบายน้ำ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District"},"tumbon_name":{"th":"กระทุ่มราย","en":"Krathum Rai"},"province_code":"10","province_name":{"th":"กรุงเทพมหานคร","en":"Bangkok"}},"station":{"id":93,"canal_name":{"th":"ส.คลองแสนแสบ หนองจอก"},"canal_lat":13.85537,"canal_long":100.8721,"canal_oldcode":"WL.SSB.12","bank":1.98,"warning_level":1,"critical_level":1.1}}</t>
  </si>
  <si>
    <t>2026-09-30_สิงห์บุรี_อุทกภัย</t>
  </si>
  <si>
    <t>THAIWATER:196</t>
  </si>
  <si>
    <t>WL.LCL.02</t>
  </si>
  <si>
    <t>ค.ลำชะล่า ซ.นวมินทร์ 86</t>
  </si>
  <si>
    <t>อ.เมืองฯ อ.อินทร์บุรี อ.พรหมบุรี</t>
  </si>
  <si>
    <t>2026-09-30_สุพรรณบุรี_อุทกภัย</t>
  </si>
  <si>
    <t>{"id":1317594286,"waterlevel_datetime":"2026-10-03 15:10","waterlevel_m":null,"waterlevel_msl":"3.31","waterlevel_msl_previous":"3.30","flow_rate":null,"discharge":null,"storage_percent":"106.16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Basin"}},"station":{"id":49,"tele_station_name":{"en":"Chao Phraya 12","th":"บางปะอิน"},"tele_station_lat":14.30455,"tele_station_long":100.56645,"tele_station_oldcode":"CPY012","tele_station_type":"tele_waterlevel","left_bank":2.617,"right_bank":3.457,"min_bank":2.62,"ground_level":-8.585,"offset":null,"sub_basin_id":240,"agency_id":9,"geocode_id":500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District"},"tumbon_code":"18","tumbon_name":{"th":"ขนอนหลวง","en":"Khanon Luang"},"province_code":"14","province_name":{"th":"พระนครศรีอยุธยา","en":"Phra Nakhon Si Ayutthaya"}},"diff_wl_bank":"0.69","diff_wl_bank_text":"ล้นตลิ่ง (ม.)","river_gid":182892,"river_name":"แม่น้ำเจ้าพระยา"}</t>
  </si>
  <si>
    <t>{"canal_datetime":"2026-09-28 13:20","canal_value":1.03,"canal_out":0,"agency":{"agency_name":{"th":"สำนักการระบายน้ำ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Bangkok","jp":""}},"geocode":{"area_code":"1","area_name":{"th":"กรุงเทพมหานคร","en":"Bangkok"},"amphoe_name":{"th":"บึงกุ่ม","en":"Bueng Kum District"},"tumbon_name":{"th":"คลองกุ่ม","en":"Khlong Kum"},"province_code":"10","province_name":{"th":"กรุงเทพมหานคร","en":"Bangkok"}},"station":{"id":196,"canal_name":{"th":"ค.ลำชะล่า ซ.นวมินทร์ 86"},"canal_lat":13.8242,"canal_long":100.66005,"canal_oldcode":"WL.LCL.02","bank":1.2,"warning_level":0.5,"critical_level":0.6}}</t>
  </si>
  <si>
    <t>THAIWATER:267</t>
  </si>
  <si>
    <t>WL.CNS.03</t>
  </si>
  <si>
    <t>THAIWATER_WL:665</t>
  </si>
  <si>
    <t>ค.ช่องนนทรี ถ.จันทน์</t>
  </si>
  <si>
    <t>VLGE13</t>
  </si>
  <si>
    <t>ชุมแสงสงคราม</t>
  </si>
  <si>
    <t>แม่น้ำยม</t>
  </si>
  <si>
    <t>2025-08-31T10:40:00+07:00</t>
  </si>
  <si>
    <t>2026-09-30_กาญจนบุรี_อุทกภัย</t>
  </si>
  <si>
    <t>{"id":"6c09bbed-58f3-8db6-bcb6-00abd4d65cd7","district":"คลองสาน","category":"ศูนย์พักพิงชั่วคราว","name":"โรงเรียนวัดทองธรรมชาติ","capacity":30,"occupied":0,"available":30,"unitType":"คน","status":"เปิดให้บริการ/ว่าง","routeDetails":"","link":"https://maps.app.goo.gl/Mck4hhX59JTUj3a27?g_st=ac","additionalDetails":null,"createdAt":"2026-09-26T08:04:34.000Z","updatedAt":"2026-09-26T08:04:34.000Z"}</t>
  </si>
  <si>
    <t>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</t>
  </si>
  <si>
    <t>{"canal_datetime":"2025-08-31 10:40","canal_value":0,"canal_out":0,"agency":{"agency_name":{"th":"สำนักการระบายน้ำ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District"},"tumbon_name":{"th":"ทุ่งวัดดอน","en":"Thung Wat Don"},"province_code":"10","province_name":{"th":"กรุงเทพมหานคร","en":"Bangkok"}},"station":{"id":267,"canal_name":{"th":"ค.ช่องนนทรี ถ.จันทน์"},"canal_lat":13.70724,"canal_long":100.53762,"canal_oldcode":"WL.CNS.03","bank":1,"warning_level":0.5,"critical_level":0.6}}</t>
  </si>
  <si>
    <t>{"id":1317594681,"waterlevel_datetime":"2026-10-03 15:10","waterlevel_m":null,"waterlevel_msl":"41.04","waterlevel_msl_previous":"41.03","flow_rate":null,"discharge":null,"storage_percent":"106.12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Basin"}},"station":{"id":665,"tele_station_name":{"en":"Chum Saeng Songkhram Communuty","th":"ชุมแสงสงคราม"},"tele_station_lat":16.8586,"tele_station_long":100.05965,"tele_station_oldcode":"VLGE13","tele_station_type":"tele_waterlevel","left_bank":40.536,"right_bank":43.361,"min_bank":40.54,"ground_level":32.365,"offset":null,"sub_basin_id":213,"agency_id":9,"geocode_id":6180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District"},"tumbon_code":"07","tumbon_name":{"th":"ชุมแสงสงคราม","en":"Chum Saeng Songkhram"},"province_code":"65","province_name":{"th":"พิษณุโลก","en":"Phitsanulok"}},"diff_wl_bank":"0.50","diff_wl_bank_text":"ล้นตลิ่ง (ม.)","river_gid":91331,"river_name":"แม่น้ำยม"}</t>
  </si>
  <si>
    <t>THAIWATER:184</t>
  </si>
  <si>
    <t>WL.LPI.01</t>
  </si>
  <si>
    <t>THAIWATER_WL:504994</t>
  </si>
  <si>
    <t>ค.หลุมไผ่ ซ.ลาดปลาเค้า 63</t>
  </si>
  <si>
    <t>Kgt.13A</t>
  </si>
  <si>
    <t>บ้านโนนสุขภูมิ</t>
  </si>
  <si>
    <t>2023-08-24T15:25:00+07:00</t>
  </si>
  <si>
    <t>ปภ. รายงาน 545/2569 วันที่ 30 ก.ย. 2569 เวลา 06.00 น. ตารางหน้า 3; บาดเจ็บ: -; สูญหาย: -; คงเครื่องหมาย - และช่องว่างตามต้นฉบับ</t>
  </si>
  <si>
    <t>2026-09-30_อ่างทอง_อุทกภัย</t>
  </si>
  <si>
    <t>อ.ป่าโมก อ.ไชโย อ.วิเศษชัยชาญ</t>
  </si>
  <si>
    <t>{"id":1317582823,"waterlevel_datetime":"2026-10-03 14:00","waterlevel_m":null,"waterlevel_msl":"16.83","waterlevel_msl_previous":"16.85","flow_rate":null,"discharge":"368.20","storage_percent":"105.99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504994,"tele_station_name":{"th":"บ้านโนนสุขภูมิ"},"tele_station_lat":13.91009,"tele_station_long":101.838211,"tele_station_oldcode":"Kgt.13A","tele_station_type":"tele_waterlevel","left_bank":17.7,"right_bank":16.859,"min_bank":16.17,"ground_level":5.151,"offset":0,"sub_basin_id":279,"agency_id":12,"geocode_id":1508,"hydro_id":6,"qmax":341.799988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District"},"tumbon_code":"10","tumbon_name":{"th":"บ่อทอง","en":"Bo Thong"},"province_code":"25","province_name":{"th":"ปราจีนบุรี","en":"Prachin Buri"}},"diff_wl_bank":"0.66","diff_wl_bank_text":"ล้นตลิ่ง (ม.)","river_gid":195567,"river_name":"คลองพระปรง"}</t>
  </si>
  <si>
    <t>{"canal_datetime":"2023-08-24 15:25","canal_value":-0.36,"canal_out":0,"agency":{"agency_name":{"th":"สำนักการระบายน้ำ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District"},"tumbon_name":{"th":"จรเข้บัว","en":"Chorakhe Bua"},"province_code":"10","province_name":{"th":"กรุงเทพมหานคร","en":"Bangkok"}},"station":{"id":184,"canal_name":{"th":"ค.หลุมไผ่ ซ.ลาดปลาเค้า 63"},"canal_lat":13.84656,"canal_long":100.60057,"canal_oldcode":"WL.LPI.01","bank":2,"warning_level":0.6,"critical_level":0.7}}</t>
  </si>
  <si>
    <t>THAIWATER_WL:745</t>
  </si>
  <si>
    <t>THAIWATER:222</t>
  </si>
  <si>
    <t>THA007</t>
  </si>
  <si>
    <t>WL.MID.01</t>
  </si>
  <si>
    <t>บางเลน</t>
  </si>
  <si>
    <t>คูน้ำกรมสารวัตรทหาร</t>
  </si>
  <si>
    <t>2024-06-12T14:55:00+07:00</t>
  </si>
  <si>
    <t>2026-09-30_สระบุรี_อุทกภัย</t>
  </si>
  <si>
    <t>อ.หนองแซง อ.มวกเหล็ก อ.เมืองฯ อ.พระพุทธบาท อ.แก่งคอย อ.หนองแค อ.วังม่วง อ.หนองโดน อ.วิหารแดง อ.บ้านหมอ อ.ดอนพุด อ.เสาไห้ อ.เฉลิมพระเกียรติ</t>
  </si>
  <si>
    <t>{"canal_datetime":"2024-06-12 14:55","canal_value":-0.67,"canal_out":0,"agency":{"agency_name":{"th":"สำนักการระบายน้ำ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222,"canal_name":{"th":"คูน้ำกรมสารวัตรทหาร"},"canal_lat":13.76074,"canal_long":100.53037,"canal_oldcode":"WL.MID.01","bank":0.4,"warning_level":-0.2,"critical_level":0}}</t>
  </si>
  <si>
    <t>THAIWATER:95</t>
  </si>
  <si>
    <t>{"id":1317594653,"waterlevel_datetime":"2026-10-03 15:10","waterlevel_m":null,"waterlevel_msl":"2.79","waterlevel_msl_previous":"2.79","flow_rate":null,"discharge":null,"storage_percent":"105.98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Basin"}},"station":{"id":745,"tele_station_name":{"en":"Tha Chin 7","th":"บางเลน"},"tele_station_lat":14.01636,"tele_station_long":100.17979,"tele_station_oldcode":"THA007","tele_station_type":"tele_waterlevel","left_bank":2.206,"right_bank":4.904,"min_bank":2.21,"ground_level":-7.51,"offset":null,"sub_basin_id":259,"agency_id":9,"geocode_id":6892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District"},"tumbon_code":"01","tumbon_name":{"th":"บางเลน","en":"Bang Len"},"province_code":"73","province_name":{"th":"นครปฐม","en":"Nakhon Pathom"}},"diff_wl_bank":"0.58","diff_wl_bank_text":"ล้นตลิ่ง (ม.)","river_gid":185206,"river_name":"แม่น้ำท่าจีน"}</t>
  </si>
  <si>
    <t>WL.BJK.01</t>
  </si>
  <si>
    <t>ส.บางจาก</t>
  </si>
  <si>
    <t>THAIWATER_WL:832059</t>
  </si>
  <si>
    <t>K.49</t>
  </si>
  <si>
    <t>2026-09-30_พระนครศรีอยุธยา_อุทกภัย</t>
  </si>
  <si>
    <t>บ้านยางสูง</t>
  </si>
  <si>
    <t>ลำตะเพิน</t>
  </si>
  <si>
    <t>อ.เสนา อ.บางบาล อ.ผักไห่ อ.บางไทร อ.บางปะอิน อ.พระนครศรีอยุธยา อ.บางปะหัน อ.บัวหลวง อ.นครหลวง อ.วังน้อย อ.อุทัย</t>
  </si>
  <si>
    <t>{"canal_datetime":"2026-09-28 13:20","canal_value":-1.49,"canal_out":0.24,"agency":{"agency_name":{"th":"สำนักการระบายน้ำ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95,"canal_name":{"th":"ส.บางจาก"},"canal_lat":13.68913,"canal_long":100.59082,"canal_oldcode":"WL.BJK.01","bank":2.8,"warning_level":2.6,"critical_level":2.8}}</t>
  </si>
  <si>
    <t>THAIWATER:238</t>
  </si>
  <si>
    <t>{"id":1317575398,"waterlevel_datetime":"2026-10-03 14:00","waterlevel_m":null,"waterlevel_msl":"103.19","waterlevel_msl_previous":"103.19","flow_rate":null,"discharge":null,"storage_percent":"104.96","sort_order":null,"station_type":"tele_waterlevel","situation_level":5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832059,"tele_station_name":{"th":"บ้านยางสูง"},"tele_station_lat":14.48943,"tele_station_long":99.469788,"tele_station_oldcode":"K.49","tele_station_type":"tele_waterlevel","left_bank":204.36,"right_bank":204.66,"min_bank":103,"ground_level":99.17,"offset":98.5,"sub_basin_id":267,"agency_id":12,"geocode_id":6608,"hydro_id":7,"qmax":null,"is_key_station":true,"warning_level_m":null,"critical_level_m":null,"critical_level_msl":null},"geocode":{"area_code":"2","area_name":{"th":"ภาคกลาง","en":"Central"},"amphoe_code":"03","amphoe_name":{"th":"บ่อพลอย","en":"Bo Phloi District"},"tumbon_code":"05","tumbon_name":{"th":"หลุมรัง","en":"Lum Rang"},"province_code":"71","province_name":{"th":"กาญจนบุรี","en":"Kanchanaburi"}},"diff_wl_bank":"0.19","diff_wl_bank_text":"ล้นตลิ่ง (ม.)","river_gid":181404,"river_name":"ลำตะเพิน"}</t>
  </si>
  <si>
    <t>WL.BNJ.04</t>
  </si>
  <si>
    <t>2026-09-30_สมุทรปราการ_อุทกภัย</t>
  </si>
  <si>
    <t>ค.บางนางจีน ถ.สุขุมวิท 101/1</t>
  </si>
  <si>
    <t>THAIWATER_WL:2608</t>
  </si>
  <si>
    <t>C.37</t>
  </si>
  <si>
    <t>บ้านบางบาล</t>
  </si>
  <si>
    <t>อ.เมืองฯ อ.บางเสาธง อ.บางพลี อ.บางบ่อ อ.พระประแดง อ.พระสมุทรเจดีย์</t>
  </si>
  <si>
    <t>2026-09-30_ปทุมธานี_อุทกภัย</t>
  </si>
  <si>
    <t>{"canal_datetime":"2026-09-28 13:20","canal_value":-0.4,"canal_out":0,"agency":{"agency_name":{"th":"สำนักการระบายน้ำ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Chak"},"province_code":"10","province_name":{"th":"กรุงเทพมหานคร","en":"Bangkok"}},"station":{"id":238,"canal_name":{"th":"ค.บางนางจีน ถ.สุขุมวิท 101/1"},"canal_lat":13.68443,"canal_long":100.61107,"canal_oldcode":"WL.BNJ.04","bank":0,"warning_level":-0.2,"critical_level":0}}</t>
  </si>
  <si>
    <t>THAIWATER:293</t>
  </si>
  <si>
    <t>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</t>
  </si>
  <si>
    <t>WL.MSW.02</t>
  </si>
  <si>
    <t>ค.มหาสวัสดิ์ วัดปุรณาวาส</t>
  </si>
  <si>
    <t>ปภ. รายงาน 545/2569 วันที่ 30 ก.ย. 2569 เวลา 06.00 น. ตารางหน้า 4; บาดเจ็บ: -; สูญหาย: -; คงเครื่องหมาย - และช่องว่างตามต้นฉบับ</t>
  </si>
  <si>
    <t>{"id":1317572079,"waterlevel_datetime":"2026-10-03 14:00","waterlevel_m":null,"waterlevel_msl":"4.49","waterlevel_msl_previous":"4.49","flow_rate":null,"discharge":"112.00","storage_percent":"104.87","sort_order":null,"station_type":"tele_waterlevel","situation_level":5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2608,"tele_station_name":{"th":"บ้านบางบาล"},"tele_station_lat":14.36319,"tele_station_long":100.484833,"tele_station_oldcode":"C.37","tele_station_type":"tele_waterlevel","left_bank":7.113,"right_bank":7.103,"min_bank":4.14,"ground_level":-3.04,"offset":null,"sub_basin_id":240,"agency_id":12,"geocode_id":469,"hydro_id":5,"qmax":97,"is_key_station":true,"warning_level_m":null,"critical_level_m":null,"critical_level_msl":null},"geocode":{"area_code":"2","area_name":{"th":"ภาคกลาง","en":"Central"},"amphoe_code":"05","amphoe_name":{"th":"บางบาล","en":"Bang Ban District"},"tumbon_code":"04","tumbon_name":{"th":"สะพานไทย","en":"Saphan Thai"},"province_code":"14","province_name":{"th":"พระนครศรีอยุธยา","en":"Phra Nakhon Si Ayutthaya"}},"diff_wl_bank":"0.35","diff_wl_bank_text":"ล้นตลิ่ง (ม.)","river_gid":182399,"river_name":"คลองบางบาล"}</t>
  </si>
  <si>
    <t>THAIWATER_WL:471584</t>
  </si>
  <si>
    <t>HDA005</t>
  </si>
  <si>
    <t>วัดขนอนใต้</t>
  </si>
  <si>
    <t>คลองโพธิ์</t>
  </si>
  <si>
    <t>2026-09-30_นนทบุรี_อุทกภัย</t>
  </si>
  <si>
    <t>{"canal_datetime":"2026-09-28 13:20","canal_value":1.46,"canal_out":0,"agency":{"agency_name":{"th":"สำนักการระบายน้ำ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Thammasop"},"province_code":"10","province_name":{"th":"กรุงเทพมหานคร","en":"Bangkok"}},"station":{"id":293,"canal_name":{"th":"ค.มหาสวัสดิ์ วัดปุรณาวาส"},"canal_lat":13.8036,"canal_long":100.33512,"canal_oldcode":"WL.MSW.02","bank":1.5,"warning_level":1.8,"critical_level":2}}</t>
  </si>
  <si>
    <t>THAIWATER:43</t>
  </si>
  <si>
    <t>WL.BCN.01</t>
  </si>
  <si>
    <t xml:space="preserve">ค.บางเชือกหนัง ถ.กาญจนาฯ </t>
  </si>
  <si>
    <t>{"id":1317594335,"waterlevel_datetime":"2026-10-03 15:10","waterlevel_m":null,"waterlevel_msl":"2.74","waterlevel_msl_previous":"2.74","flow_rate":null,"discharge":null,"storage_percent":"104.51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Basin"}},"station":{"id":471584,"tele_station_name":{"en":"Khanon Ti Temple","th":"วัดขนอนใต้"},"tele_station_lat":14.288251,"tele_station_long":100.61132,"tele_station_oldcode":"HDA005","tele_station_type":"tele_waterlevel","left_bank":2.613,"right_bank":2.537,"min_bank":2.54,"ground_level":-1.967,"offset":null,"sub_basin_id":240,"agency_id":9,"geocode_id":486,"hydro_id":null,"qmax":null,"is_key_station":false,"warning_level_m":null,"critical_level_m":null,"critical_level_msl":null},"geocode":{"area_code":"2","area_name":{"th":"ภาคกลาง","en":"Central"},"amphoe_code":"06","amphoe_name":{"th":"บางปะอิน","en":"Bang Pa-in District"},"tumbon_code":"04","tumbon_name":{"th":"บ้านกรด","en":"Ban Krot"},"province_code":"14","province_name":{"th":"พระนครศรีอยุธยา","en":"Phra Nakhon Si Ayutthaya"}},"diff_wl_bank":"0.20","diff_wl_bank_text":"ล้นตลิ่ง (ม.)","river_gid":183056,"river_name":"คลองโพธิ์"}</t>
  </si>
  <si>
    <t>THAIWATER_WL:700</t>
  </si>
  <si>
    <t>PAS003</t>
  </si>
  <si>
    <t>2026-09-30_นครปฐม_อุทกภัย</t>
  </si>
  <si>
    <t>หนองไผ่</t>
  </si>
  <si>
    <t>{"canal_datetime":"2026-09-28 13:20","canal_value":0.67,"canal_out":0,"agency":{"agency_name":{"th":"สำนักการระบายน้ำ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Phai"},"province_code":"10","province_name":{"th":"กรุงเทพมหานคร","en":"Bangkok"}},"station":{"id":43,"canal_name":{"th":"ค.บางเชือกหนัง ถ.กาญจนาฯ "},"canal_lat":13.74925,"canal_long":100.40654,"canal_oldcode":"WL.BCN.01","bank":1.26,"warning_level":0.6,"critical_level":0.7}}</t>
  </si>
  <si>
    <t>อ.เมืองฯ อ.พุทธมณฑล อ.กำแพงแสน อ.นครชัยศรี อ.สามพราน อ.บางเลน อ.ดอนตูม</t>
  </si>
  <si>
    <t>THAIWATER:254</t>
  </si>
  <si>
    <t>WL.KJT.01</t>
  </si>
  <si>
    <t>ค.จิต ซ.ลาดพร้าว 122</t>
  </si>
  <si>
    <t>2026-09-30_ราชบุรี_อุทกภัย</t>
  </si>
  <si>
    <t>{"id":1317594500,"waterlevel_datetime":"2026-10-03 15:10","waterlevel_m":null,"waterlevel_msl":"93.77","waterlevel_msl_previous":"93.77","flow_rate":null,"discharge":null,"storage_percent":"104.36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Basin"}},"station":{"id":700,"tele_station_name":{"en":"Pa Sak 3","th":"หนองไผ่"},"tele_station_lat":16.11497,"tele_station_long":101.09709,"tele_station_oldcode":"PAS003","tele_station_type":"tele_waterlevel","left_bank":93.54,"right_bank":96.021,"min_bank":93.54,"ground_level":88.24,"offset":null,"sub_basin_id":251,"agency_id":9,"geocode_id":6426,"hydro_id":null,"qmax":null,"is_key_station":false,"warning_level_m":null,"critical_level_m":null,"critical_level_msl":null},"geocode":{"area_code":"3","area_name":{"th":"ภาคเหนือ","en":"North"},"amphoe_code":"07","amphoe_name":{"th":"หนองไผ่","en":"Nong Phai District"},"tumbon_code":"02","tumbon_name":{"th":"นาเฉลียง","en":"Na Chaliang"},"province_code":"67","province_name":{"th":"เพชรบูรณ์","en":"Phetchabun"}},"diff_wl_bank":"0.23","diff_wl_bank_text":"ล้นตลิ่ง (ม.)","river_gid":165260,"river_name":"แม่น้ำป่าสัก"}</t>
  </si>
  <si>
    <t>THAIWATER_WL:189</t>
  </si>
  <si>
    <t>NYK000</t>
  </si>
  <si>
    <t>องครักษ์</t>
  </si>
  <si>
    <t>แม่น้ำนครนายก</t>
  </si>
  <si>
    <t>อ.โพธาราม อ.บางแพ อ.ดำเนินสะดวก อ.เมืองฯ</t>
  </si>
  <si>
    <t>2026-09-29T10:00:00+07:00</t>
  </si>
  <si>
    <t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Lang"},"province_code":"10","province_name":{"th":"กรุงเทพมหานคร","en":"Bangkok"}},"station":{"id":254,"canal_name":{"th":"ค.จิต ซ.ลาดพร้าว 122"},"canal_lat":13.77323,"canal_long":100.62173,"canal_oldcode":"WL.KJT.01","bank":0.75,"warning_level":-0.1,"critical_level":0}}</t>
  </si>
  <si>
    <t>THAIWATER:269</t>
  </si>
  <si>
    <t>WL.CNS.02</t>
  </si>
  <si>
    <t>ค.ช่องนนทรี ถ.นราธิวาสราชนครินทร์</t>
  </si>
  <si>
    <t>บางรัก</t>
  </si>
  <si>
    <t>2023-04-19T17:40:00+07:00</t>
  </si>
  <si>
    <t>2026-09-30_นครนายก_อุทกภัย</t>
  </si>
  <si>
    <t>{"id":1314954493,"waterlevel_datetime":"2026-09-29 10:00","waterlevel_m":null,"waterlevel_msl":"2.79","waterlevel_msl_previous":"-0.18","flow_rate":null,"discharge":null,"storage_percent":"103.70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189,"tele_station_name":{"en":"Ongkharak","th":"องครักษ์"},"tele_station_lat":14.113633,"tele_station_long":101.01952,"tele_station_oldcode":"NYK000","tele_station_type":"tele_waterlevel","left_bank":2.577,"right_bank":2.953,"min_bank":2.58,"ground_level":-3.173,"offset":null,"sub_basin_id":282,"agency_id":9,"geocode_id":1599,"hydro_id":null,"qmax":null,"is_key_station":false,"warning_level_m":null,"critical_level_m":null,"critical_level_msl":null},"geocode":{"area_code":"2","area_name":{"th":"ภาคกลาง","en":"Central"},"amphoe_code":"04","amphoe_name":{"th":"องครักษ์","en":"Ongkharak District"},"tumbon_code":"09","tumbon_name":{"th":"องครักษ์","en":"Ongkharak"},"province_code":"26","province_name":{"th":"นครนายก","en":"Nakhon Nayok"}},"diff_wl_bank":"0.21","diff_wl_bank_text":"ล้นตลิ่ง (ม.)","river_gid":207467,"river_name":"แม่น้ำนครนายก"}</t>
  </si>
  <si>
    <t>THAIWATER_WL:2941</t>
  </si>
  <si>
    <t>Y.16</t>
  </si>
  <si>
    <t>141 ถนน เชียงใหม่ แขวงคลองสาน คลองสาน กรุงเทพมหานคร 10600 ประเทศไทย</t>
  </si>
  <si>
    <t>ChIJpWwrzN-Y4jARt06NGl0ocZ4</t>
  </si>
  <si>
    <t>{"canal_datetime":"2023-04-19 17:40","canal_value":-0.64,"canal_out":0,"agency":{"agency_name":{"th":"สำนักการระบายน้ำ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Bangkok","jp":""}},"geocode":{"area_code":"1","area_name":{"th":"กรุงเทพมหานคร","en":"Bangkok"},"amphoe_name":{"th":"บางรัก","en":"Bang Rak District"},"tumbon_name":{"th":"สุริยวงศ์","en":"Suriyawong"},"province_code":"10","province_name":{"th":"กรุงเทพมหานคร","en":"Bangkok"}},"station":{"id":269,"canal_name":{"th":"ค.ช่องนนทรี ถ.นราธิวาสราชนครินทร์"},"canal_lat":13.7276,"canal_long":100.52735,"canal_oldcode":"WL.CNS.02","bank":1,"warning_level":0.5,"critical_level":0.6}}</t>
  </si>
  <si>
    <t>THAIWATER:96</t>
  </si>
  <si>
    <t>WL.KDN.01</t>
  </si>
  <si>
    <t>ae6a1e1f-dd60-8eda-1312-b16fafab6a1c</t>
  </si>
  <si>
    <t>ปตร.คลองวัดด่าน</t>
  </si>
  <si>
    <t>พระประแดง</t>
  </si>
  <si>
    <t>โรงเรียนวัดทองนพคุณ</t>
  </si>
  <si>
    <t>2026-09-30_ปราจีนบุรี_อุทกภัย</t>
  </si>
  <si>
    <t>https://maps.app.goo.gl/8GDhqan3HNmxio5o6?g_st=ac</t>
  </si>
  <si>
    <t>อ.กบินทร์บุรี อ.ศรีมหาโพธิ อ.นาดี อ.เมืองฯ อ.ประจันตคาม อ.บ้านสร้าง อ.ศรีมโหสถ</t>
  </si>
  <si>
    <t>{"id":1317572360,"waterlevel_datetime":"2026-10-03 14:00","waterlevel_m":null,"waterlevel_msl":"39.21","waterlevel_msl_previous":"39.21","flow_rate":null,"discharge":null,"storage_percent":"103.46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2941,"tele_station_name":{"th":"บางระกำ"},"tele_station_lat":16.757919,"tele_station_long":100.115578,"tele_station_oldcode":"Y.16","tele_station_type":"tele_waterlevel","left_bank":70.525999,"right_bank":71.552999,"min_bank":38.93,"ground_level":30.84,"offset":31.629999,"sub_basin_id":215,"agency_id":12,"geocode_id":6174,"hydro_id":2,"qmax":230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Rakam"},"province_code":"65","province_name":{"th":"พิษณุโลก","en":"Phitsanulok"}},"diff_wl_bank":"0.28","diff_wl_bank_text":"ล้นตลิ่ง (ม.)","river_gid":92709,"river_name":"แม่น้ำยม"}</t>
  </si>
  <si>
    <t>THAIWATER_WL:504897</t>
  </si>
  <si>
    <t>Y.64</t>
  </si>
  <si>
    <t>{"canal_datetime":"2026-09-28 13:20","canal_value":-0.59,"canal_out":0.39,"agency":{"agency_name":{"th":"สำนักการระบายน้ำ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District"},"tumbon_name":{"th":"ทรงคนอง","en":"Song Khanong"},"province_code":"11","province_name":{"th":"สมุทรปราการ","en":"Samut Prakan"}},"station":{"id":96,"canal_name":{"th":"ปตร.คลองวัดด่าน"},"canal_lat":13.67068,"canal_long":100.54016,"canal_oldcode":"WL.KDN.01","bank":2.8,"warning_level":2.6,"critical_level":2.8}}</t>
  </si>
  <si>
    <t>THAIWATER:129</t>
  </si>
  <si>
    <t>WL.SSB.06</t>
  </si>
  <si>
    <t>2026-09-30_ฉะเชิงเทรา_อุทกภัย</t>
  </si>
  <si>
    <t>ค.แสนแสบ-เจ้าคุณสิงห์</t>
  </si>
  <si>
    <t>อ.บางน้ำเปรี้ยว อ.พนมสารคาม อ.บางคล้า อ.ท่าตะเกียบ อ.สนามชัยเขต อ.แปลงยาว อ.เมืองฯ อ.บ้านโพธิ์ อ.บางปะกง อ.คลองเขื่อน อ.ราชสาส์น</t>
  </si>
  <si>
    <t>{"id":1317572369,"waterlevel_datetime":"2026-10-03 14:00","waterlevel_m":null,"waterlevel_msl":"39.16","waterlevel_msl_previous":"39.15","flow_rate":null,"discharge":null,"storage_percent":"103.08","sort_order":null,"station_type":"tele_waterlevel","situation_level":5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504897,"tele_station_name":{"th":"บางระกำ"},"tele_station_lat":16.762119,"tele_station_long":100.121201,"tele_station_oldcode":"Y.64","tele_station_type":"tele_waterlevel","left_bank":72.860998,"right_bank":74.168998,"min_bank":38.91,"ground_level":30.78,"offset":32.509998,"sub_basin_id":215,"agency_id":12,"geocode_id":6174,"hydro_id":2,"qmax":352,"is_key_station":tru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Rakam"},"province_code":"65","province_name":{"th":"พิษณุโลก","en":"Phitsanulok"}},"diff_wl_bank":"0.25","diff_wl_bank_text":"ล้นตลิ่ง (ม.)","river_gid":93387,"river_name":"แม่น้ำยม"}</t>
  </si>
  <si>
    <t>THAIWATER_WL:5</t>
  </si>
  <si>
    <t>BKK003</t>
  </si>
  <si>
    <t>คลองมหาสวัสดิ บางกรวย-สวนผัก</t>
  </si>
  <si>
    <t>คลองมหาสวัสดิ์</t>
  </si>
  <si>
    <t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129,"canal_name":{"th":"ค.แสนแสบ-เจ้าคุณสิงห์"},"canal_lat":13.76127,"canal_long":100.61532,"canal_oldcode":"WL.SSB.06","bank":1.91,"warning_level":0.2,"critical_level":0.35}}</t>
  </si>
  <si>
    <t>2026-09-30_สระแก้ว_อุทกภัย</t>
  </si>
  <si>
    <t>THAIWATER:234</t>
  </si>
  <si>
    <t>WL.WTK.01</t>
  </si>
  <si>
    <t>{"id":"ae6a1e1f-dd60-8eda-1312-b16fafab6a1c","district":"คลองสาน","category":"ศูนย์พักพิงชั่วคราว","name":"โรงเรียนวัดทองนพคุณ","capacity":30,"occupied":0,"available":30,"unitType":"คน","status":"เปิดให้บริการ/ว่าง","routeDetails":"","link":"https://maps.app.goo.gl/8GDhqan3HNmxio5o6?g_st=ac","additionalDetails":null,"createdAt":"2026-09-26T08:04:34.000Z","updatedAt":"2026-09-26T08:04:34.000Z"}</t>
  </si>
  <si>
    <t>ค.วัดตึก ถ.ลาดพร้าว</t>
  </si>
  <si>
    <t>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</t>
  </si>
  <si>
    <t>อ.เมืองฯ อ.วัฒนานคร อ.อรัญประเทศ อ.โคกสูง อ.คลองหาด อ.วังน้ำเย็น อ.เขาฉกรรจ์ อ.ตาพระยา อ.วังสมบูรณ์</t>
  </si>
  <si>
    <t>ปภ. รายงาน 545/2569 วันที่ 30 ก.ย. 2569 เวลา 06.00 น. ตารางหน้า 5; บาดเจ็บ: -; สูญหาย: -; คงเครื่องหมาย - และช่องว่างตามต้นฉบับ</t>
  </si>
  <si>
    <t>{"id":1317594231,"waterlevel_datetime":"2026-10-03 15:10","waterlevel_m":null,"waterlevel_msl":"2.21","waterlevel_msl_previous":"2.23","flow_rate":null,"discharge":null,"storage_percent":"102.80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Basin"}},"station":{"id":5,"tele_station_name":{"en":"Krung Thep 3","th":"คลองมหาสวัสดิ บางกรวย-สวนผัก"},"tele_station_lat":13.79965,"tele_station_long":100.43863,"tele_station_oldcode":"BKK003","tele_station_type":"tele_waterlevel","left_bank":2.069,"right_bank":2.152,"min_bank":2.07,"ground_level":-3.101,"offset":null,"sub_basin_id":240,"agency_id":9,"geocode_id":95,"hydro_id":null,"qmax":null,"is_key_station":false,"warning_level_m":null,"critical_level_m":null,"critical_level_msl":null},"geocode":{"area_code":"1","area_name":{"th":"กรุงเทพมหานคร","en":"Bangkok"},"amphoe_code":"19","amphoe_name":{"th":"ตลิ่งชัน","en":"Taling Chan District"},"tumbon_code":"02","tumbon_name":{"th":"ตลิ่งชัน","en":"Taling Chan"},"province_code":"10","province_name":{"th":"กรุงเทพมหานคร","en":"Bangkok"}},"diff_wl_bank":"0.15","diff_wl_bank_text":"ล้นตลิ่ง (ม.)","river_gid":186752,"river_name":"คลองมหาสวัสดิ์"}</t>
  </si>
  <si>
    <t>THAIWATER_WL:505041</t>
  </si>
  <si>
    <t>T.14</t>
  </si>
  <si>
    <t>ร.ร.บ้านสามพราน</t>
  </si>
  <si>
    <t>2026-09-30_ชลบุรี_อุทกภัย</t>
  </si>
  <si>
    <t>{"canal_datetime":"2026-09-28 13:20","canal_value":-0.21,"canal_out":0,"agency":{"agency_name":{"th":"สำนักการระบายน้ำ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Lang"},"province_code":"10","province_name":{"th":"กรุงเทพมหานคร","en":"Bangkok"}},"station":{"id":234,"canal_name":{"th":"ค.วัดตึก ถ.ลาดพร้าว"},"canal_lat":13.78678,"canal_long":100.60758,"canal_oldcode":"WL.WTK.01","bank":1,"warning_level":0.3,"critical_level":0.4}}</t>
  </si>
  <si>
    <t>THAIWATER:59</t>
  </si>
  <si>
    <t>WL.BWK.02</t>
  </si>
  <si>
    <t>ค.บางแวก ถ.พุทธฯฑลสาย 1</t>
  </si>
  <si>
    <t>2026-09-30_ระยอง_อุทกภัย</t>
  </si>
  <si>
    <t>{"id":1317575410,"waterlevel_datetime":"2026-10-03 14:00","waterlevel_m":null,"waterlevel_msl":"1.78","waterlevel_msl_previous":"1.78","flow_rate":null,"discharge":null,"storage_percent":"102.73","sort_order":null,"station_type":"tele_waterlevel","situation_level":5,"agency":{"id":12,"agency_name":{"th":"กรมชลประทาน ","en":"Royal Irrigation Department","jp":""},"agency_shortname":{"th":"ชป.","en":"RID","jp":""}},"basin":{"id":14,"basin_code":13,"basin_name":{"th":"ลุ่มน้ำท่าจีน","en":"Tha Chin Basin"}},"station":{"id":505041,"tele_station_name":{"th":"ร.ร.บ้านสามพราน"},"tele_station_lat":13.72411,"tele_station_long":100.215683,"tele_station_oldcode":"T.14","tele_station_type":"tele_waterlevel","left_bank":-6.148000000000001,"right_bank":-5.545000000000001,"min_bank":1.5,"ground_level":-8.76,"offset":-8.8,"sub_basin_id":259,"agency_id":12,"geocode_id":6913,"hydro_id":7,"qmax":null,"is_key_station":true,"warning_level_m":null,"critical_level_m":null,"critical_level_msl":null},"geocode":{"area_code":"2","area_name":{"th":"ภาคกลาง","en":"Central"},"amphoe_code":"06","amphoe_name":{"th":"สามพราน","en":"Sam Phran District"},"tumbon_code":"06","tumbon_name":{"th":"สามพราน","en":"Sam Phran"},"province_code":"73","province_name":{"th":"นครปฐม","en":"Nakhon Pathom"}},"diff_wl_bank":"0.28","diff_wl_bank_text":"ล้นตลิ่ง (ม.)","river_gid":187557,"river_name":"แม่น้ำท่าจีน"}</t>
  </si>
  <si>
    <t>THAIWATER_WL:8</t>
  </si>
  <si>
    <t>BKK020</t>
  </si>
  <si>
    <t>คลองลาดพร้าว ปากคลอง2สายใต้</t>
  </si>
  <si>
    <t>คลองหกวา</t>
  </si>
  <si>
    <t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Waek"},"province_code":"10","province_name":{"th":"กรุงเทพมหานคร","en":"Bangkok"}},"station":{"id":59,"canal_name":{"th":"ค.บางแวก ถ.พุทธฯฑลสาย 1"},"canal_lat":13.73345,"canal_long":100.43283,"canal_oldcode":"WL.BWK.02","bank":1.91,"warning_level":0.6,"critical_level":0.7}}</t>
  </si>
  <si>
    <t>THAIWATER:75</t>
  </si>
  <si>
    <t>อ.ปลวกแดง อ.บ้านค่าย อ.เขาชะเมา อ.นิคมพัฒนา อ.แกลง</t>
  </si>
  <si>
    <t>WL.KKS.01</t>
  </si>
  <si>
    <t>ส.เทเวศร์</t>
  </si>
  <si>
    <t>2026-09-30_จันทบุรี_อุทกภัย</t>
  </si>
  <si>
    <t>{"id":1317594241,"waterlevel_datetime":"2026-10-03 15:10","waterlevel_m":null,"waterlevel_msl":"2.05","waterlevel_msl_previous":"2.05","flow_rate":null,"discharge":null,"storage_percent":"102.68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Basin"}},"station":{"id":8,"tele_station_name":{"en":"Klong Ladprao Klong 2 Sai Tai","th":"คลองลาดพร้าว ปากคลอง2สายใต้"},"tele_station_lat":13.93183,"tele_station_long":100.63952,"tele_station_oldcode":"BKK020","tele_station_type":"tele_waterlevel","left_bank":1.97,"right_bank":1.97,"min_bank":1.97,"ground_level":-1.01,"offset":null,"sub_basin_id":283,"agency_id":9,"geocode_id":170,"hydro_id":null,"qmax":null,"is_key_station":false,"warning_level_m":null,"critical_level_m":null,"critical_level_msl":null},"geocode":{"area_code":"1","area_name":{"th":"กรุงเทพมหานคร","en":"Bangkok"},"amphoe_code":"38","amphoe_name":{"th":"ลาดพร้าว","en":"Lat Phrao District"},"tumbon_code":"01","tumbon_name":{"th":"ลาดพร้าว","en":"Lat Phrao"},"province_code":"10","province_name":{"th":"กรุงเทพมหานคร","en":"Bangkok"}},"diff_wl_bank":"0.08","diff_wl_bank_text":"ล้นตลิ่ง (ม.)","river_gid":195492,"river_name":"คลองหกวา"}</t>
  </si>
  <si>
    <t>THAIWATER_WL:619</t>
  </si>
  <si>
    <t>SKG003</t>
  </si>
  <si>
    <t>สะพานต้นน้ำ (เกาะแก้ว-ตลิ่งสูง)</t>
  </si>
  <si>
    <t>อ.แก่งหางแมว อ.โป่งน้ำร้อน อ.นายายอาม อ.มะขาม อ.ท่าใหม่ อ.ขลุง อ.เมืองฯ อ.แหลมสิงห์</t>
  </si>
  <si>
    <t>แม่น้ำแม่วงก์</t>
  </si>
  <si>
    <t>{"canal_datetime":"2026-09-28 13:20","canal_value":-0.24,"canal_out":1.24,"agency":{"agency_name":{"th":"สำนักการระบายน้ำ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District"},"tumbon_name":{"th":"วัดสามพระยา","en":"Wat Sam Phraya"},"province_code":"10","province_name":{"th":"กรุงเทพมหานคร","en":"Bangkok"}},"station":{"id":75,"canal_name":{"th":"ส.เทเวศร์"},"canal_lat":13.7717,"canal_long":100.50113,"canal_oldcode":"WL.KKS.01","bank":3.25,"warning_level":3.05,"critical_level":3.25}}</t>
  </si>
  <si>
    <t>THAIWATER:215</t>
  </si>
  <si>
    <t>WL.KNB.01</t>
  </si>
  <si>
    <t>ค.หนองบอน อ่อนนุช 66 ซ.13</t>
  </si>
  <si>
    <t>2026-09-30_ตราด_อุทกภัย</t>
  </si>
  <si>
    <t>{"id":1317594590,"waterlevel_datetime":"2026-10-03 15:10","waterlevel_m":null,"waterlevel_msl":"118.42","waterlevel_msl_previous":"118.43","flow_rate":null,"discharge":null,"storage_percent":"101.93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Basin"}},"station":{"id":619,"tele_station_name":{"en":"Ton num Bridge","th":"สะพานต้นน้ำ (เกาะแก้ว-ตลิ่งสูง)"},"tele_station_lat":15.91465,"tele_station_long":99.4194,"tele_station_oldcode":"SKG003","tele_station_type":"tele_waterlevel","left_bank":119.23,"right_bank":118.12,"min_bank":118.12,"ground_level":102.34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Phet"}},"diff_wl_bank":"0.30","diff_wl_bank_text":"ล้นตลิ่ง (ม.)","river_gid":166731,"river_name":"แม่น้ำแม่วงก์"}</t>
  </si>
  <si>
    <t>THAIWATER_WL:504999</t>
  </si>
  <si>
    <t>Kgt.43A</t>
  </si>
  <si>
    <t>บ้านนาแขม</t>
  </si>
  <si>
    <t>แควหนุมาน</t>
  </si>
  <si>
    <t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Luang"},"province_code":"10","province_name":{"th":"กรุงเทพมหานคร","en":"Bangkok"}},"station":{"id":215,"canal_name":{"th":"ค.หนองบอน อ่อนนุช 66 ซ.13"},"canal_lat":13.70382,"canal_long":100.65075,"canal_oldcode":"WL.KNB.01","bank":2,"warning_level":0,"critical_level":0.1}}</t>
  </si>
  <si>
    <t>THAIWATER:145</t>
  </si>
  <si>
    <t>ปภ. รายงาน 545/2569 วันที่ 30 ก.ย. 2569 เวลา 06.00 น. ตารางหน้า 5; บาดเจ็บ: ช่องว่าง; สูญหาย: ช่องว่าง; คงเครื่องหมาย - และช่องว่างตามต้นฉบับ</t>
  </si>
  <si>
    <t>WL.RJK.01</t>
  </si>
  <si>
    <t>ปตร.คลองรางจาก-ประชาอุทิศ</t>
  </si>
  <si>
    <t>ทุ่งครุ</t>
  </si>
  <si>
    <t>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</t>
  </si>
  <si>
    <t>2026-09-30_บุรีรัมย์_อุทกภัย</t>
  </si>
  <si>
    <t>อ.นางรอง อ.เฉลิมพระเกียรติ อ.ประโคนชัย อ.พลับพลาชัย</t>
  </si>
  <si>
    <t>{"id":1317582841,"waterlevel_datetime":"2026-10-03 14:00","waterlevel_m":null,"waterlevel_msl":"12.42","waterlevel_msl_previous":"12.43","flow_rate":null,"discharge":"570.80","storage_percent":"101.85","sort_order":null,"station_type":"tele_waterlevel","situation_level":5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504999,"tele_station_name":{"th":"บ้านนาแขม"},"tele_station_lat":14.02174,"tele_station_long":101.750664,"tele_station_oldcode":"Kgt.43A","tele_station_type":"tele_waterlevel","left_bank":15.498000000000001,"right_bank":15.592,"min_bank":12.22,"ground_level":1.421,"offset":2.07,"sub_basin_id":280,"agency_id":12,"geocode_id":1500,"hydro_id":6,"qmax":542.799988,"is_key_station":tru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District"},"tumbon_code":"02","tumbon_name":{"th":"เมืองเก่า","en":"Mueang Kao"},"province_code":"25","province_name":{"th":"ปราจีนบุรี","en":"Prachin Buri"}},"diff_wl_bank":"0.20","diff_wl_bank_text":"ล้นตลิ่ง (ม.)","river_gid":194925,"river_name":"แควหนุมาน"}</t>
  </si>
  <si>
    <t>THAIWATER_WL:748</t>
  </si>
  <si>
    <t>THA008</t>
  </si>
  <si>
    <t>สะพานนครชัยศรี</t>
  </si>
  <si>
    <t>{"canal_datetime":"2026-09-28 13:20","canal_value":0.5,"canal_out":0.5,"agency":{"agency_name":{"th":"สำนักการระบายน้ำ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Bangkok","jp":""}},"geocode":{"area_code":"1","area_name":{"th":"กรุงเทพมหานคร","en":"Bangkok"},"amphoe_name":{"th":"ทุ่งครุ","en":"Thung Khru District"},"tumbon_name":{"th":"ทุ่งครุ","en":"Thung Khru"},"province_code":"10","province_name":{"th":"กรุงเทพมหานคร","en":"Bangkok"}},"station":{"id":145,"canal_name":{"th":"ปตร.คลองรางจาก-ประชาอุทิศ"},"canal_lat":13.63487,"canal_long":100.50202,"canal_oldcode":"WL.RJK.01","bank":1.98,"warning_level":0.8,"critical_level":0.7}}</t>
  </si>
  <si>
    <t>THAIWATER:271</t>
  </si>
  <si>
    <t>WL.KPG.01</t>
  </si>
  <si>
    <t>ค.เป้ง ซ.เอกมัย 23</t>
  </si>
  <si>
    <t>2026-09-30_ชัยภูมิ_อุทกภัย</t>
  </si>
  <si>
    <t>อ.เกษตรสมบูรณ์ อ.บำเหน็จณรงค์ อ.ภูเขียว</t>
  </si>
  <si>
    <t>{"id":1317594654,"waterlevel_datetime":"2026-10-03 15:10","waterlevel_m":null,"waterlevel_msl":"2.08","waterlevel_msl_previous":"2.07","flow_rate":null,"discharge":null,"storage_percent":"101.34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Basin"}},"station":{"id":748,"tele_station_name":{"en":"Nakhon Chai Si Bridge","th":"สะพานนครชัยศรี"},"tele_station_lat":13.79217,"tele_station_long":100.19817,"tele_station_oldcode":"THA008","tele_station_type":"tele_waterlevel","left_bank":1.946,"right_bank":2.321,"min_bank":1.95,"ground_level":-7.99,"offset":null,"sub_basin_id":259,"agency_id":9,"geocode_id":6881,"hydro_id":null,"qmax":null,"is_key_station":false,"warning_level_m":null,"critical_level_m":null,"critical_level_msl":null},"geocode":{"area_code":"2","area_name":{"th":"ภาคกลาง","en":"Central"},"amphoe_code":"03","amphoe_name":{"th":"นครชัยศรี","en":"Nakhon Chai Si District"},"tumbon_code":"24","tumbon_name":{"th":"ไทยาวาส","en":"Thaiyawat"},"province_code":"73","province_name":{"th":"นครปฐม","en":"Nakhon Pathom"}},"diff_wl_bank":"0.13","diff_wl_bank_text":"ล้นตลิ่ง (ม.)","river_gid":186822,"river_name":"แม่น้ำท่าจีน"}</t>
  </si>
  <si>
    <t>ปภ. รายงาน 545/2569 วันที่ 30 ก.ย. 2569 เวลา 06.00 น. ตารางหน้า 6; บาดเจ็บ: -; สูญหาย: -; คงเครื่องหมาย - และช่องว่างตามต้นฉบับ</t>
  </si>
  <si>
    <t>THAIWATER_WL:3</t>
  </si>
  <si>
    <t>BKK009</t>
  </si>
  <si>
    <t>คลองลำปลาทิว ลาดกระบัง</t>
  </si>
  <si>
    <t>{"canal_datetime":"2026-09-28 13:20","canal_value":-1.58,"canal_out":0,"agency":{"agency_name":{"th":"สำนักการระบายน้ำ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Nuea"},"province_code":"10","province_name":{"th":"กรุงเทพมหานคร","en":"Bangkok"}},"station":{"id":271,"canal_name":{"th":"ค.เป้ง ซ.เอกมัย 23"},"canal_lat":13.74048,"canal_long":100.58877,"canal_oldcode":"WL.KPG.01","bank":0,"warning_level":-0.2,"critical_level":0}}</t>
  </si>
  <si>
    <t>คลองลำปลาทิว</t>
  </si>
  <si>
    <t>THAIWATER:255</t>
  </si>
  <si>
    <t>WL.PPA.02</t>
  </si>
  <si>
    <t>2026-09-30_นครราชสีมา_อุทกภัย</t>
  </si>
  <si>
    <t>2026-09-27T18:20:00+07:00</t>
  </si>
  <si>
    <t>ค.พลับพลา ศูนย์แพทย์พัฒนา</t>
  </si>
  <si>
    <t>2024-05-14T13:45:00+07:00</t>
  </si>
  <si>
    <t>อ.ปากช่อง อ.ปักธงชัย อ.ด่านขุนทด</t>
  </si>
  <si>
    <t>{"id":1313957424,"waterlevel_datetime":"2026-09-27 18:20","waterlevel_m":null,"waterlevel_msl":"0.65","waterlevel_msl_previous":"0.65","flow_rate":null,"discharge":null,"storage_percent":"100.72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Basin"}},"station":{"id":3,"tele_station_name":{"en":"Krung Thep 9","th":"คลองลำปลาทิว ลาดกระบัง"},"tele_station_lat":13.7407,"tele_station_long":100.79468,"tele_station_oldcode":"BKK009","tele_station_type":"tele_waterlevel","left_bank":0.6228,"right_bank":1.188,"min_bank":0.62,"ground_level":-3.171,"offset":null,"sub_basin_id":286,"agency_id":9,"geocode_id":59,"hydro_id":null,"qmax":null,"is_key_station":false,"warning_level_m":null,"critical_level_m":null,"critical_level_msl":null},"geocode":{"area_code":"1","area_name":{"th":"กรุงเทพมหานคร","en":"Bangkok"},"amphoe_code":"11","amphoe_name":{"th":"ลาดกระบัง","en":"Lat Krabang District"},"tumbon_code":"01","tumbon_name":{"th":"ลาดกระบัง","en":"Lat Krabang"},"province_code":"10","province_name":{"th":"กรุงเทพมหานคร","en":"Bangkok"}},"diff_wl_bank":"0.03","diff_wl_bank_text":"ล้นตลิ่ง (ม.)","river_gid":196969,"river_name":"คลองลำปลาทิว"}</t>
  </si>
  <si>
    <t>THAIWATER_WL:44</t>
  </si>
  <si>
    <t>PAS009</t>
  </si>
  <si>
    <t>2026-09-30_สุรินทร์_อุทกภัย</t>
  </si>
  <si>
    <t>นครหลวง</t>
  </si>
  <si>
    <t>{"canal_datetime":"2024-05-14 13:45","canal_value":-0.19,"canal_out":0,"agency":{"agency_name":{"th":"สำนักการระบายน้ำ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Lang"},"province_code":"10","province_name":{"th":"กรุงเทพมหานคร","en":"Bangkok"}},"station":{"id":255,"canal_name":{"th":"ค.พลับพลา ศูนย์แพทย์พัฒนา"},"canal_lat":13.76206,"canal_long":100.59756,"canal_oldcode":"WL.PPA.02","bank":0.4,"warning_level":-0.2,"critical_level":0}}</t>
  </si>
  <si>
    <t>THAIWATER:119</t>
  </si>
  <si>
    <t>WL.PLK.01</t>
  </si>
  <si>
    <t>ค.พิทยาฯ-รร.พิทยาลงกรณ์</t>
  </si>
  <si>
    <t>2026-09-30_กรุงเทพมหานคร_อุทกภัย</t>
  </si>
  <si>
    <t>103 ซอย สมเด็จเจ้าพระยา 17 แขวงคลองสาน คลองสาน กรุงเทพมหานคร 10600 ประเทศไทย</t>
  </si>
  <si>
    <t>ChIJpWwrzN-Y4jARK8SxTkahQY0</t>
  </si>
  <si>
    <t>{"id":1317594502,"waterlevel_datetime":"2026-10-03 15:10","waterlevel_m":null,"waterlevel_msl":"3.93","waterlevel_msl_previous":"3.94","flow_rate":null,"discharge":null,"storage_percent":"100.55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Basin"}},"station":{"id":44,"tele_station_name":{"en":"Pa Sak 9","th":"นครหลวง"},"tele_station_lat":14.40269,"tele_station_long":100.5864,"tele_station_oldcode":"PAS009","tele_station_type":"tele_waterlevel","left_bank":3.882,"right_bank":5.234,"min_bank":3.88,"ground_level":-5.347,"offset":null,"sub_basin_id":257,"agency_id":9,"geocode_id":431,"hydro_id":null,"qmax":null,"is_key_station":false,"warning_level_m":null,"critical_level_m":null,"critical_level_msl":null},"geocode":{"area_code":"2","area_name":{"th":"ภาคกลาง","en":"Central"},"amphoe_code":"03","amphoe_name":{"th":"นครหลวง","en":"Nakhon Luang District"},"tumbon_code":"03","tumbon_name":{"th":"บ่อโพง","en":"Bo Phong"},"province_code":"14","province_name":{"th":"พระนครศรีอยุธยา","en":"Phra Nakhon Si Ayutthaya"}},"diff_wl_bank":"0.05","diff_wl_bank_text":"ล้นตลิ่ง (ม.)","river_gid":182227,"river_name":"แม่น้ำป่าสัก"}</t>
  </si>
  <si>
    <t>THAIWATER_WL:738</t>
  </si>
  <si>
    <t>893d718f-1fc7-05d1-eb9c-bd57f45498f1</t>
  </si>
  <si>
    <t>THA004</t>
  </si>
  <si>
    <t>โรงเรียนวัดทองเพลง</t>
  </si>
  <si>
    <t>สามชุก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</si>
  <si>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District"},"tumbon_name":{"th":"ท่าข้าม","en":"Tha Kham"},"province_code":"10","province_name":{"th":"กรุงเทพมหานคร","en":"Bangkok"}},"station":{"id":119,"canal_name":{"th":"ค.พิทยาฯ-รร.พิทยาลงกรณ์"},"canal_lat":13.52834,"canal_long":100.41782,"canal_oldcode":"WL.PLK.01","bank":1.9,"warning_level":1.2,"critical_level":1.4}}</t>
  </si>
  <si>
    <t>THAIWATER:140</t>
  </si>
  <si>
    <t>WL.SNC.02</t>
  </si>
  <si>
    <t>ค.สนามชัย-บางขุนเทียน</t>
  </si>
  <si>
    <t>https://maps.app.goo.gl/TP3AwKk5fgBeDXP4A?g_st=ac</t>
  </si>
  <si>
    <t>จอมทอง</t>
  </si>
  <si>
    <t>2026-10-03_เพชรบูรณ์_อุทกภัย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</si>
  <si>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Bangkok","jp":""}},"geocode":{"area_code":"1","area_name":{"th":"กรุงเทพมหานคร","en":"Bangkok"},"amphoe_name":{"th":"จอมทอง","en":"Chom Thong District"},"tumbon_name":{"th":"บางขุนเทียน","en":"Bang Khun Thian"},"province_code":"10","province_name":{"th":"กรุงเทพมหานคร","en":"Bangkok"}},"station":{"id":140,"canal_name":{"th":"ค.สนามชัย-บางขุนเทียน"},"canal_lat":13.70099,"canal_long":100.46486,"canal_oldcode":"WL.SNC.02","bank":1.87,"warning_level":0.5,"critical_level":0.6}}</t>
  </si>
  <si>
    <t>{"id":1317594650,"waterlevel_datetime":"2026-10-03 15:10","waterlevel_m":null,"waterlevel_msl":"7.96","waterlevel_msl_previous":"7.96","flow_rate":null,"discharge":null,"storage_percent":"100.37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Basin"}},"station":{"id":738,"tele_station_name":{"en":"Tha Chin 4","th":"สามชุก"},"tele_station_lat":14.75138,"tele_station_long":100.09592,"tele_station_oldcode":"THA004","tele_station_type":"tele_waterlevel","left_bank":7.942,"right_bank":7.948,"min_bank":7.94,"ground_level":2.54,"offset":null,"sub_basin_id":259,"agency_id":9,"geocode_id":6788,"hydro_id":null,"qmax":null,"is_key_station":false,"warning_level_m":null,"critical_level_m":null,"critical_level_msl":null},"geocode":{"area_code":"2","area_name":{"th":"ภาคกลาง","en":"Central"},"amphoe_code":"08","amphoe_name":{"th":"สามชุก","en":"Sam Chuk District"},"tumbon_code":"03","tumbon_name":{"th":"สามชุก","en":"Sam Chuk"},"province_code":"72","province_name":{"th":"สุพรรณบุรี","en":"Suphan Buri"}},"diff_wl_bank":"0.02","diff_wl_bank_text":"ล้นตลิ่ง (ม.)","river_gid":180288,"river_name":"แม่น้ำท่าจีน"}</t>
  </si>
  <si>
    <t>THAIWATER:260</t>
  </si>
  <si>
    <t>WL.KKY.01</t>
  </si>
  <si>
    <t>THAIWATER_WL:26</t>
  </si>
  <si>
    <t>ค.ควาย ถ.ศาลาธรรมสพน์</t>
  </si>
  <si>
    <t>CPY014</t>
  </si>
  <si>
    <t>สะพานนวลฉวี</t>
  </si>
  <si>
    <t>ปภ. รายงาน 551/2569 วันที่ 3 ต.ค. 2569 เวลา 06.00 น. ตารางหน้า 1; บาดเจ็บ: -; สูญหาย: -; คงเครื่องหมาย - และช่องว่างตามต้นฉบับ ปภ.</t>
  </si>
  <si>
    <t>2026-10-03_นครสวรรค์_อุทกภัย</t>
  </si>
  <si>
    <t>{"id":"893d718f-1fc7-05d1-eb9c-bd57f45498f1","district":"คลองสาน","category":"ศูนย์พักพิงชั่วคราว","name":"โรงเรียนวัดทองเพลง","capacity":50,"occupied":0,"available":50,"unitType":"คน","status":"เปิดให้บริการ/ว่าง","routeDetails":"","link":"https://maps.app.goo.gl/TP3AwKk5fgBeDXP4A?g_st=ac","additionalDetails":null,"createdAt":"2026-09-26T08:04:34.000Z","updatedAt":"2026-09-26T08:04:34.000Z"}</t>
  </si>
  <si>
    <t>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</t>
  </si>
  <si>
    <t>{"id":1317594287,"waterlevel_datetime":"2026-10-03 15:10","waterlevel_m":null,"waterlevel_msl":"2.55","waterlevel_msl_previous":"2.54","flow_rate":null,"discharge":null,"storage_percent":"100.32","sort_order":null,"station_type":"tele_waterlevel","situation_level":5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Basin"}},"station":{"id":26,"tele_station_name":{"en":"Chao Phraya 14","th":"สะพานนวลฉวี"},"tele_station_lat":13.94749,"tele_station_long":100.53507,"tele_station_oldcode":"CPY014","tele_station_type":"tele_waterlevel","left_bank":2.5,"right_bank":2.5,"min_bank":2.5,"ground_level":-13.306,"offset":null,"sub_basin_id":240,"agency_id":9,"geocode_id":316,"hydro_id":null,"qmax":null,"is_key_station":false,"warning_level_m":null,"critical_level_m":null,"critical_level_msl":null},"geocode":{"area_code":"2","area_name":{"th":"ภาคกลาง","en":"Central"},"amphoe_code":"06","amphoe_name":{"th":"ปากเกร็ด","en":"Pak Kret District"},"tumbon_code":"03","tumbon_name":{"th":"บ้านใหม่","en":"Ban Mai"},"province_code":"12","province_name":{"th":"นนทบุรี","en":"Nonthaburi"}},"diff_wl_bank":"0.05","diff_wl_bank_text":"ล้นตลิ่ง (ม.)","river_gid":185972,"river_name":"แม่น้ำเจ้าพระยา"}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</si>
  <si>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Thammasop"},"province_code":"10","province_name":{"th":"กรุงเทพมหานคร","en":"Bangkok"}},"station":{"id":260,"canal_name":{"th":"ค.ควาย ถ.ศาลาธรรมสพน์"},"canal_lat":13.79744,"canal_long":100.38155,"canal_oldcode":"WL.KKY.01","bank":1,"warning_level":0.9,"critical_level":1}}</t>
  </si>
  <si>
    <t>THAIWATER:158</t>
  </si>
  <si>
    <t>WL.LPW.04</t>
  </si>
  <si>
    <t>ค.ลาดพร้าว ถ.ประชาอุทิศ</t>
  </si>
  <si>
    <t>THAIWATER_WL:2624</t>
  </si>
  <si>
    <t>S.26</t>
  </si>
  <si>
    <t>ท้ายเขื่อนพระรามหก</t>
  </si>
  <si>
    <t>ปภ. รายงาน 551/2569 วันที่ 3 ต.ค. 2569 เวลา 06.00 น. ตารางหน้า 2; บาดเจ็บ: -; สูญหาย: -; คงเครื่องหมาย - และช่องว่างตามต้นฉบับ ปภ.</t>
  </si>
  <si>
    <t>วิกฤติ</t>
  </si>
  <si>
    <t>2026-10-03_อุทัยธานี_อุทกภัย</t>
  </si>
  <si>
    <t>{"id":1317572090,"waterlevel_datetime":"2026-10-03 14:00","waterlevel_m":null,"waterlevel_msl":"7.18","waterlevel_msl_previous":"7.16","flow_rate":null,"discharge":"631.00","storage_percent":"99.83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2624,"tele_station_name":{"th":"ท้ายเขื่อนพระรามหก"},"tele_station_lat":14.56012,"tele_station_long":100.71994,"tele_station_oldcode":"S.26","tele_station_type":"tele_waterlevel","left_bank":10.134,"right_bank":9.64,"min_bank":7.2,"ground_level":-4.83,"offset":null,"sub_basin_id":257,"agency_id":12,"geocode_id":418,"hydro_id":5,"qmax":633,"is_key_station":true,"warning_level_m":null,"critical_level_m":8,"critical_level_msl":8},"geocode":{"area_code":"2","area_name":{"th":"ภาคกลาง","en":"Central"},"amphoe_code":"02","amphoe_name":{"th":"ท่าเรือ","en":"Tha Ruea District"},"tumbon_code":"01","tumbon_name":{"th":"ท่าเรือ","en":"Tha Ruea"},"province_code":"14","province_name":{"th":"พระนครศรีอยุธยา","en":"Phra Nakhon Si Ayutthaya"}},"diff_wl_bank":"0.02","diff_wl_bank_text":"ต่ำกว่าตลิ่ง (ม.)","river_gid":181108,"river_name":"แม่น้ำป่าสัก"}</t>
  </si>
  <si>
    <t>{"canal_datetime":"2026-09-28 13:20","canal_value":0.41,"canal_out":0,"agency":{"agency_name":{"th":"สำนักการระบายน้ำ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Nok"},"province_code":"10","province_name":{"th":"กรุงเทพมหานคร","en":"Bangkok"}},"station":{"id":158,"canal_name":{"th":"ค.ลาดพร้าว ถ.ประชาอุทิศ"},"canal_lat":13.76874,"canal_long":100.59356,"canal_oldcode":"WL.LPW.04","bank":1,"warning_level":0.05,"critical_level":0.15}}</t>
  </si>
  <si>
    <t>THAIWATER:110</t>
  </si>
  <si>
    <t>THAIWATER_WL:68</t>
  </si>
  <si>
    <t>WL.KPM.03</t>
  </si>
  <si>
    <t>CPY007</t>
  </si>
  <si>
    <t>พรหมบุรี</t>
  </si>
  <si>
    <t>ค.เปรมฯ-วัดเทวฯ</t>
  </si>
  <si>
    <t>2026-10-03_ลพบุรี_อุทกภัย</t>
  </si>
  <si>
    <t>อ.บ้านหมี่</t>
  </si>
  <si>
    <t>{"id":1317594282,"waterlevel_datetime":"2026-10-03 15:10","waterlevel_m":null,"waterlevel_msl":"10.88","waterlevel_msl_previous":"10.88","flow_rate":null,"discharge":null,"storage_percent":"99.58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Basin"}},"station":{"id":68,"tele_station_name":{"en":"Chao Phraya 7","th":"พรหมบุรี"},"tele_station_lat":14.79091,"tele_station_long":100.45184,"tele_station_oldcode":"CPY007","tele_station_type":"tele_waterlevel","left_bank":10.93,"right_bank":11.609,"min_bank":10.93,"ground_level":-1.317,"offset":null,"sub_basin_id":240,"agency_id":9,"geocode_id":865,"hydro_id":null,"qmax":null,"is_key_station":false,"warning_level_m":null,"critical_level_m":null,"critical_level_msl":null},"geocode":{"area_code":"2","area_name":{"th":"ภาคกลาง","en":"Central"},"amphoe_code":"04","amphoe_name":{"th":"พรหมบุรี","en":"Phrom Buri District"},"tumbon_code":"02","tumbon_name":{"th":"พรหมบุรี","en":"Phrom Buri"},"province_code":"17","province_name":{"th":"สิงห์บุรี","en":"Sing Buri"}},"diff_wl_bank":"0.05","diff_wl_bank_text":"ต่ำกว่าตลิ่ง (ม.)","river_gid":179438,"river_name":"แม่น้ำเจ้าพระยา"}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</si>
  <si>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110,"canal_name":{"th":"ค.เปรมฯ-วัดเทวฯ"},"canal_lat":13.85069,"canal_long":100.56091,"canal_oldcode":"WL.KPM.03","bank":1.91,"warning_level":0.5,"critical_level":0.6}}</t>
  </si>
  <si>
    <t>THAIWATER_WL:575567</t>
  </si>
  <si>
    <t>THAIWATER:79</t>
  </si>
  <si>
    <t>BKC003</t>
  </si>
  <si>
    <t>WL.SSB.04</t>
  </si>
  <si>
    <t>ปตร. คลองลัดบางยอ 1</t>
  </si>
  <si>
    <t>ส.แสนแสบ-คลองตัน</t>
  </si>
  <si>
    <t>2026-10-03_ชัยนาท_อุทกภัย</t>
  </si>
  <si>
    <t>อ.เมืองฯ อ.วัดสิงห์ อ.มโนรมย์ อ.สรรพยา อ.หันคา อ.หนองมะโมง อ.สรรคบุรี อ.เนินขาม</t>
  </si>
  <si>
    <t>{"canal_datetime":"2026-09-28 13:20","canal_value":0.16,"canal_out":0.19,"agency":{"agency_name":{"th":"สำนักการระบายน้ำ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79,"canal_name":{"th":"ส.แสนแสบ-คลองตัน"},"canal_lat":13.74126,"canal_long":100.59642,"canal_oldcode":"WL.SSB.04","bank":1.98,"warning_level":0,"critical_level":0.2}}</t>
  </si>
  <si>
    <t>{"id":1317594227,"waterlevel_datetime":"2026-10-03 15:10","waterlevel_m":null,"waterlevel_msl":"1.50","waterlevel_msl_previous":"1.51","flow_rate":null,"discharge":null,"storage_percent":"99.46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Basin"}},"station":{"id":575567,"tele_station_name":{"en":"Khlong Lat Bang Yo 1 Gate","th":"ปตร. คลองลัดบางยอ 1"},"tele_station_lat":13.676162,"tele_station_long":100.553085,"tele_station_oldcode":"BKC003","tele_station_type":"tele_waterlevel","left_bank":1.513,"right_bank":1.899,"min_bank":1.51,"ground_level":-0.907,"offset":null,"sub_basin_id":240,"agency_id":9,"geocode_id":249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District"},"tumbon_code":"08","tumbon_name":{"th":"บางยอ","en":"Bang Yo"},"province_code":"11","province_name":{"th":"สมุทรปราการ","en":"Samut Prakan"}},"diff_wl_bank":"0.01","diff_wl_bank_text":"ต่ำกว่าตลิ่ง (ม.)","river_gid":188249,"river_name":"แม่น้ำเจ้าพระยา"}</t>
  </si>
  <si>
    <t>THAIWATER:233</t>
  </si>
  <si>
    <t>THAIWATER_WL:58</t>
  </si>
  <si>
    <t>2026-10-03_สิงห์บุรี_อุทกภัย</t>
  </si>
  <si>
    <t>WL.SLL.01</t>
  </si>
  <si>
    <t>ค.ศาลาลอย ถ.อ่อนนุช 61</t>
  </si>
  <si>
    <t>CPY008</t>
  </si>
  <si>
    <t>เมืองอ่างทอง</t>
  </si>
  <si>
    <t>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</t>
  </si>
  <si>
    <t>{"id":1317594283,"waterlevel_datetime":"2026-10-03 15:10","waterlevel_m":null,"waterlevel_msl":"8.65","waterlevel_msl_previous":"8.66","flow_rate":null,"discharge":null,"storage_percent":"99.05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Basin"}},"station":{"id":58,"tele_station_name":{"en":"Chao Phraya 8","th":"เมืองอ่างทอง"},"tele_station_lat":14.5765,"tele_station_long":100.44852,"tele_station_oldcode":"CPY008","tele_station_type":"tele_waterlevel","left_bank":8.777,"right_bank":8.924,"min_bank":8.78,"ground_level":-4.4,"offset":null,"sub_basin_id":240,"agency_id":9,"geocode_id":623,"hydro_id":null,"qmax":null,"is_key_station":fals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District"},"tumbon_code":"02","tumbon_name":{"th":"บางแก้ว","en":"Bang Kaeo"},"province_code":"15","province_name":{"th":"อ่างทอง","en":"Ang Thong"}},"diff_wl_bank":"0.12","diff_wl_bank_text":"ต่ำกว่าตลิ่ง (ม.)","river_gid":181326,"river_name":"แม่น้ำเจ้าพระยา"}</t>
  </si>
  <si>
    <t>2026-10-03_สุพรรณบุรี_อุทกภัย</t>
  </si>
  <si>
    <t>THAIWATER_WL:39</t>
  </si>
  <si>
    <t>{"canal_datetime":"2026-09-28 13:20","canal_value":0.62,"canal_out":0,"agency":{"agency_name":{"th":"สำนักการระบายน้ำ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District"},"tumbon_name":{"th":"ประเวศ","en":"Prawet"},"province_code":"10","province_name":{"th":"กรุงเทพมหานคร","en":"Bangkok"}},"station":{"id":233,"canal_name":{"th":"ค.ศาลาลอย ถ.อ่อนนุช 61"},"canal_lat":13.71599,"canal_long":100.67942,"canal_oldcode":"WL.SLL.01","bank":0.5,"warning_level":-0.1,"critical_level":0}}</t>
  </si>
  <si>
    <t>CPY011</t>
  </si>
  <si>
    <t>THAIWATER:294</t>
  </si>
  <si>
    <t>WL.BJK.02</t>
  </si>
  <si>
    <t>ค.บางจาก ซ.เพชรเกษม 68</t>
  </si>
  <si>
    <t>2026-10-02T05:00:00+07:00</t>
  </si>
  <si>
    <t>2026-10-03_กาญจนบุรี_อุทกภัย</t>
  </si>
  <si>
    <t>{"id":1316753351,"waterlevel_datetime":"2026-10-02 05:00","waterlevel_m":null,"waterlevel_msl":"4.95","waterlevel_msl_previous":"4.95","flow_rate":null,"discharge":null,"storage_percent":"98.89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Basin"}},"station":{"id":39,"tele_station_name":{"en":"Chao Phraya 11","th":"พระนครศรีอยุธยา"},"tele_station_lat":14.36913,"tele_station_long":100.52861,"tele_station_oldcode":"CPY011","tele_station_type":"tele_waterlevel","left_bank":5.064,"right_bank":5.524,"min_bank":5.06,"ground_level":-5.521,"offset":null,"sub_basin_id":240,"agency_id":9,"geocode_id":403,"hydro_id":null,"qmax":null,"is_key_station":fals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District"},"tumbon_code":"08","tumbon_name":{"th":"ภูเขาทอง","en":"Phu Khao Thong"},"province_code":"14","province_name":{"th":"พระนครศรีอยุธยา","en":"Phra Nakhon Si Ayutthaya"}},"diff_wl_bank":"0.12","diff_wl_bank_text":"ต่ำกว่าตลิ่ง (ม.)","river_gid":182479,"river_name":"แม่น้ำเจ้าพระยา"}</t>
  </si>
  <si>
    <t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District"},"tumbon_name":{"th":"บางแคเหนือ","en":"Bang Khae Nuea"},"province_code":"10","province_name":{"th":"กรุงเทพมหานคร","en":"Bangkok"}},"station":{"id":294,"canal_name":{"th":"ค.บางจาก ซ.เพชรเกษม 68"},"canal_lat":13.71575,"canal_long":100.41648,"canal_oldcode":"WL.BJK.02","bank":1.2,"warning_level":0.7,"critical_level":0.8}}</t>
  </si>
  <si>
    <t>THAIWATER_WL:1422375</t>
  </si>
  <si>
    <t>THAIWATER:88</t>
  </si>
  <si>
    <t>RPBD15</t>
  </si>
  <si>
    <t>WL.WSI.01</t>
  </si>
  <si>
    <t>วัดโชติการาม อ.เมืองสุราษฎร์ธานี</t>
  </si>
  <si>
    <t>อ.ไทรโยค อ.ห้วยกระเจา อ.หนองปรือ อ.พนมทวน อ.ด่านมะขามเตี้ย อ.ท่าม่วง อ.ท่ามะกา อ.บ่อพลอย อ.ศรีสวัสดิ์ อ.ทองผาภูมิ อ.เมืองฯ อ.สังขละบุรี</t>
  </si>
  <si>
    <t>ส.คลองวัดไทร</t>
  </si>
  <si>
    <t>บางคอแหลม</t>
  </si>
  <si>
    <t>ปภ. รายงาน 551/2569 วันที่ 3 ต.ค. 2569 เวลา 06.00 น. ตารางหน้า 3; บาดเจ็บ: -; สูญหาย: -; คงเครื่องหมาย - และช่องว่างตามต้นฉบับ ปภ.</t>
  </si>
  <si>
    <t>2026-10-03_อ่างทอง_อุทกภัย</t>
  </si>
  <si>
    <t>{"id":1317591826,"waterlevel_datetime":"2026-10-03 15:00","waterlevel_m":null,"waterlevel_msl":"1.23","waterlevel_msl_previous":"1.01","flow_rate":null,"discharge":null,"storage_percent":"98.86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Basin"}},"station":{"id":1422375,"tele_station_name":{"th":"วัดโชติการาม อ.เมืองสุราษฎร์ธานี"},"tele_station_lat":9.191049,"tele_station_long":99.263785,"tele_station_oldcode":"RPBD15","tele_station_type":"tele_waterlevel","left_bank":1.3295,"right_bank":2.0637,"min_bank":1.33,"ground_level":-7.87,"offset":null,"sub_basin_id":324,"agency_id":8,"geocode_id":7516,"hydro_id":null,"qmax":null,"is_key_station":false,"warning_level_m":null,"critical_level_m":null,"critical_level_msl":1.33},"geocode":{"area_code":"5","area_name":{"th":"ภาคใต้","en":"South"},"amphoe_code":"01","amphoe_name":{"th":"เมืองสุราษฎร์ธานี","en":"Mueang Surat Thani District"},"tumbon_code":"09","tumbon_name":{"th":"บางโพธิ์","en":"Bang Pho"},"province_code":"84","province_name":{"th":"สุราษฎร์ธานี","en":"Surat Thani"}},"diff_wl_bank":"0.10","diff_wl_bank_text":"ต่ำกว่าตลิ่ง (ม.)"}</t>
  </si>
  <si>
    <t>THAIWATER_WL:832066</t>
  </si>
  <si>
    <t>{"canal_datetime":"2026-09-28 13:20","canal_value":-1.05,"canal_out":0.57,"agency":{"agency_name":{"th":"สำนักการระบายน้ำ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Bangkok","jp":""}},"geocode":{"area_code":"1","area_name":{"th":"กรุงเทพมหานคร","en":"Bangkok"},"amphoe_name":{"th":"บางคอแหลม","en":"Bang Kho Laem District"},"tumbon_name":{"th":"บางโคล่","en":"Bang Khlo"},"province_code":"10","province_name":{"th":"กรุงเทพมหานคร","en":"Bangkok"}},"station":{"id":88,"canal_name":{"th":"ส.คลองวัดไทร"},"canal_lat":13.68687,"canal_long":100.51676,"canal_oldcode":"WL.WSI.01","bank":2.8,"warning_level":2.6,"critical_level":2.8}}</t>
  </si>
  <si>
    <t>K.55A</t>
  </si>
  <si>
    <t>สะพานค่ายหลวง</t>
  </si>
  <si>
    <t>THAIWATER:180</t>
  </si>
  <si>
    <t>WL.KJA.01</t>
  </si>
  <si>
    <t xml:space="preserve">ค.กะจะ ถ.พระราม 9 </t>
  </si>
  <si>
    <t>แม่น้ำแม่กลอง</t>
  </si>
  <si>
    <t>2026-10-03_สระบุรี_อุทกภัย</t>
  </si>
  <si>
    <t>อ.เมืองฯ อ.หนองแค อ.พระพุทธบาท อ.หนองโดน อ.วิหารแดง อ.บ้านหมอ อ.ดอนพุด อ.เฉลิมพระเกียรติ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</si>
  <si>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Luang"},"province_code":"10","province_name":{"th":"กรุงเทพมหานคร","en":"Bangkok"}},"station":{"id":180,"canal_name":{"th":"ค.กะจะ ถ.พระราม 9 "},"canal_lat":13.74381,"canal_long":100.61168,"canal_oldcode":"WL.KJA.01","bank":2,"warning_level":0,"critical_level":0.1}}</t>
  </si>
  <si>
    <t>{"id":1317575389,"waterlevel_datetime":"2026-10-03 14:00","waterlevel_m":null,"waterlevel_msl":"8.89","waterlevel_msl_previous":"9.01","flow_rate":null,"discharge":"1598.10","storage_percent":"98.84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832066,"tele_station_name":{"th":"สะพานค่ายหลวง"},"tele_station_lat":13.80568,"tele_station_long":99.87159,"tele_station_oldcode":"K.55A","tele_station_type":"tele_waterlevel","left_bank":11.307,"right_bank":10.397,"min_bank":9,"ground_level":-0.48,"offset":0,"sub_basin_id":276,"agency_id":12,"geocode_id":6518,"hydro_id":7,"qmax":1730,"is_key_station":true,"warning_level_m":null,"critical_level_m":null,"critical_level_msl":null},"geocode":{"area_code":"2","area_name":{"th":"ภาคกลาง","en":"Central"},"amphoe_code":"05","amphoe_name":{"th":"บ้านโป่ง","en":"Ban Pong District"},"tumbon_code":"01","tumbon_name":{"th":"บ้านโป่ง","en":"Ban Pong"},"province_code":"70","province_name":{"th":"ราชบุรี","en":"Ratchaburi"}},"diff_wl_bank":"0.11","diff_wl_bank_text":"ต่ำกว่าตลิ่ง (ม.)","river_gid":186743,"river_name":"แม่น้ำแม่กลอง"}</t>
  </si>
  <si>
    <t>THAIWATER:296</t>
  </si>
  <si>
    <t>THAIWATER_WL:2669</t>
  </si>
  <si>
    <t>WL.YPE.01</t>
  </si>
  <si>
    <t>Z.11</t>
  </si>
  <si>
    <t>ค.ยายเพียร ถ.เพชรเกษม</t>
  </si>
  <si>
    <t>บ้านเขาวังไทร</t>
  </si>
  <si>
    <t>135/1 ซอย เจริญรัถ 14 ถ. เจริญรัถ แขวงคลองต้นไทร คลองสาน กรุงเทพมหานคร 10600 ประเทศไทย</t>
  </si>
  <si>
    <t>ChIJXyULaO-Y4jARs6mdjuzH8yU</t>
  </si>
  <si>
    <t>4b8d7251-8897-a8c9-625c-b32f8ae6c9f7</t>
  </si>
  <si>
    <t>โรงเรียนวัดพิชัยญาติ</t>
  </si>
  <si>
    <t>2026-10-03_พระนครศรีอยุธยา_อุทกภัย</t>
  </si>
  <si>
    <t>https://maps.app.goo.gl/VmSL2ibA2WyXGT41A?g_st=ac</t>
  </si>
  <si>
    <t>{"canal_datetime":"2026-09-28 13:20","canal_value":0.45,"canal_out":0,"agency":{"agency_name":{"th":"สำนักการระบายน้ำ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Wa"},"province_code":"10","province_name":{"th":"กรุงเทพมหานคร","en":"Bangkok"}},"station":{"id":296,"canal_name":{"th":"ค.ยายเพียร ถ.เพชรเกษม"},"canal_lat":13.71253,"canal_long":100.43219,"canal_oldcode":"WL.YPE.01","bank":0.75,"warning_level":1.65,"critical_level":1.85}}</t>
  </si>
  <si>
    <t>THAIWATER:285</t>
  </si>
  <si>
    <t>WL.BBN.02</t>
  </si>
  <si>
    <t>ค.บางบอน ถ.กาญจนาภิเษก</t>
  </si>
  <si>
    <t>{"id":1317582844,"waterlevel_datetime":"2026-10-03 14:00","waterlevel_m":null,"waterlevel_msl":"9.08","waterlevel_msl_previous":"9.07","flow_rate":null,"discharge":"164.00","storage_percent":"98.66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2669,"tele_station_name":{"th":"บ้านเขาวังไทร"},"tele_station_lat":12.85783,"tele_station_long":101.615738,"tele_station_oldcode":"Z.11","tele_station_type":"tele_waterlevel","left_bank":11.364999999999998,"right_bank":11.739999999999998,"min_bank":9.16,"ground_level":3.172,"offset":2.63,"sub_basin_id":293,"agency_id":12,"geocode_id":1206,"hydro_id":6,"qmax":168,"is_key_station":true,"warning_level_m":null,"critical_level_m":null,"critical_level_msl":null},"geocode":{"area_code":"2","area_name":{"th":"ภาคกลาง","en":"Central"},"amphoe_code":"03","amphoe_name":{"th":"แกลง","en":"Klaeng District"},"tumbon_code":"07","tumbon_name":{"th":"กระแสบน","en":"Krasae Bon"},"province_code":"21","province_name":{"th":"ระยอง","en":"Rayong"}},"diff_wl_bank":"0.08","diff_wl_bank_text":"ต่ำกว่าตลิ่ง (ม.)","river_gid":203211,"river_name":"แม่น้ำประแสร์"}</t>
  </si>
  <si>
    <t>อ.เสนา อ.บางบาล อ.ผักไห่ อ.บางไทร อ.พระนครศรีอยุธยา อ.บางปะอิน อ.บางปะหัน อ.ลาดบัวหลวง อ.นครหลวง อ.วังน้อย อ.อุทัย อ.ท่าเรือ อ.ภาชี อ.บ้านแพรก อ.บางซ้าย</t>
  </si>
  <si>
    <t>THAIWATER_WL:1139393</t>
  </si>
  <si>
    <t>MITP01</t>
  </si>
  <si>
    <t>สะพานข้ามลำน้ำเชิญ (มิตรผลหนองเรือ)</t>
  </si>
  <si>
    <t>ลำเชิญ</t>
  </si>
  <si>
    <t>2026-10-03_สมุทรปราการ_อุทกภัย</t>
  </si>
  <si>
    <t>{"canal_datetime":"2026-09-28 13:20","canal_value":0.44,"canal_out":0,"agency":{"agency_name":{"th":"สำนักการระบายน้ำ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Bon"},"province_code":"10","province_name":{"th":"กรุงเทพมหานคร","en":"Bangkok"}},"station":{"id":285,"canal_name":{"th":"ค.บางบอน ถ.กาญจนาภิเษก"},"canal_lat":13.65786,"canal_long":100.40551,"canal_oldcode":"WL.BBN.02","bank":1,"warning_level":0.6,"critical_level":0.7}}</t>
  </si>
  <si>
    <t>THAIWATER:170</t>
  </si>
  <si>
    <t>WL.PSR.06</t>
  </si>
  <si>
    <t>ค.พระยาสุเรนทร์ บางชัน</t>
  </si>
  <si>
    <t>{"id":"4b8d7251-8897-a8c9-625c-b32f8ae6c9f7","district":"คลองสาน","category":"ศูนย์พักพิงชั่วคราว","name":"โรงเรียนวัดพิชัยญาติ","capacity":50,"occupied":0,"available":50,"unitType":"คน","status":"เปิดให้บริการ/ว่าง","routeDetails":"","link":"https://maps.app.goo.gl/VmSL2ibA2WyXGT41A?g_st=ac","additionalDetails":null,"createdAt":"2026-09-26T08:04:34.000Z","updatedAt":"2026-09-26T08:04:34.000Z"}</t>
  </si>
  <si>
    <t>{"id":1317594371,"waterlevel_datetime":"2026-10-03 15:10","waterlevel_m":null,"waterlevel_msl":"182.79","waterlevel_msl_previous":"182.78","flow_rate":null,"discharge":null,"storage_percent":"98.63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Basin"}},"station":{"id":1139393,"tele_station_name":{"en":"Kham Lamnam Choen Bridge (MitrPhol NongRuea)","th":"สะพานข้ามลำน้ำเชิญ (มิตรผลหนองเรือ)"},"tele_station_lat":16.48883,"tele_station_long":102.41904,"tele_station_oldcode":"MITP01","tele_station_type":"tele_waterlevel","left_bank":182.86,"right_bank":185.36,"min_bank":182.86,"ground_level":177.76,"offset":null,"sub_basin_id":91,"agency_id":9,"geocode_id":3253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หนองเรือ","en":"Nong Ruea District"},"tumbon_code":"01","tumbon_name":{"th":"หนองเรือ","en":"Nong Ruea"},"province_code":"40","province_name":{"th":"ขอนแก่น","en":"Khon Kaen"}},"diff_wl_bank":"0.07","diff_wl_bank_text":"ต่ำกว่าตลิ่ง (ม.)","river_gid":130578,"river_name":"ลำเชิญ"}</t>
  </si>
  <si>
    <t>2026-09-26T05:45:00+07:00</t>
  </si>
  <si>
    <t>THAIWATER_WL:89</t>
  </si>
  <si>
    <t>CPY005</t>
  </si>
  <si>
    <t>สรรพยา</t>
  </si>
  <si>
    <t>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</t>
  </si>
  <si>
    <t>ปภ. รายงาน 551/2569 วันที่ 3 ต.ค. 2569 เวลา 06.00 น. ตารางหน้า 4; บาดเจ็บ: -; สูญหาย: -; คงเครื่องหมาย - และช่องว่างตามต้นฉบับ ปภ.</t>
  </si>
  <si>
    <t>2026-10-03_ปทุมธานี_อุทกภัย</t>
  </si>
  <si>
    <t>{"canal_datetime":"2026-09-26 05:45","canal_value":1.15,"canal_out":0,"agency":{"agency_name":{"th":"สำนักการระบายน้ำ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Yao"},"province_code":"10","province_name":{"th":"กรุงเทพมหานคร","en":"Bangkok"}},"station":{"id":170,"canal_name":{"th":"ค.พระยาสุเรนทร์ บางชัน"},"canal_lat":13.80274,"canal_long":100.70165,"canal_oldcode":"WL.PSR.06","bank":2,"warning_level":0.8,"critical_level":1}}</t>
  </si>
  <si>
    <t>THAIWATER:61</t>
  </si>
  <si>
    <t>WL.SST.01</t>
  </si>
  <si>
    <t>ปตร.คลองสองสายใต้</t>
  </si>
  <si>
    <t>สายไหม</t>
  </si>
  <si>
    <t>{"id":1317594280,"waterlevel_datetime":"2026-10-03 15:10","waterlevel_m":null,"waterlevel_msl":"15.10","waterlevel_msl_previous":"15.10","flow_rate":null,"discharge":null,"storage_percent":"98.57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Basin"}},"station":{"id":89,"tele_station_name":{"en":"Chao Phraya 5","th":"สรรพยา"},"tele_station_lat":15.10907,"tele_station_long":100.26785,"tele_station_oldcode":"CPY005","tele_station_type":"tele_waterlevel","left_bank":15.277,"right_bank":15.3271,"min_bank":15.28,"ground_level":3.011,"offset":null,"sub_basin_id":240,"agency_id":9,"geocode_id":919,"hydro_id":null,"qmax":null,"is_key_station":false,"warning_level_m":null,"critical_level_m":null,"critical_level_msl":null},"geocode":{"area_code":"2","area_name":{"th":"ภาคกลาง","en":"Central"},"amphoe_code":"04","amphoe_name":{"th":"สรรพยา","en":"Sapphaya District"},"tumbon_code":"05","tumbon_name":{"th":"โพนางดำออก","en":"Pho Nang Dam Ok"},"province_code":"18","province_name":{"th":"ชัยนาท","en":"Chai Nat"}},"diff_wl_bank":"0.17","diff_wl_bank_text":"ต่ำกว่าตลิ่ง (ม.)","river_gid":175969,"river_name":"แม่น้ำเจ้าพระยา"}</t>
  </si>
  <si>
    <t>THAIWATER_WL:2599</t>
  </si>
  <si>
    <t>C.12</t>
  </si>
  <si>
    <t>กรมชลประทานสามเสน</t>
  </si>
  <si>
    <t>2026-10-03_นครปฐม_อุทกภัย</t>
  </si>
  <si>
    <t>{"canal_datetime":"2026-09-28 13:20","canal_value":1.54,"canal_out":2.06,"agency":{"agency_name":{"th":"สำนักการระบายน้ำ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61,"canal_name":{"th":"ปตร.คลองสองสายใต้"},"canal_lat":13.92294,"canal_long":100.63455,"canal_oldcode":"WL.SST.01","bank":1.98,"warning_level":1.1,"critical_level":1.8}}</t>
  </si>
  <si>
    <t>THAIWATER:124</t>
  </si>
  <si>
    <t>WL.SSN.06</t>
  </si>
  <si>
    <t>ค.สามเสน-ดินแดง</t>
  </si>
  <si>
    <t>{"id":1317572068,"waterlevel_datetime":"2026-10-03 14:00","waterlevel_m":null,"waterlevel_msl":"1.98","waterlevel_msl_previous":"2.01","flow_rate":null,"discharge":null,"storage_percent":"98.33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2599,"tele_station_name":{"th":"กรมชลประทานสามเสน"},"tele_station_lat":13.78815,"tele_station_long":100.509148,"tele_station_oldcode":"C.12","tele_station_type":"tele_waterlevel","left_bank":2.264,"right_bank":3.642,"min_bank":2.26,"ground_level":-14.52,"offset":null,"sub_basin_id":240,"agency_id":12,"geocode_id":20,"hydro_id":5,"qmax":null,"is_key_station":true,"warning_level_m":null,"critical_level_m":null,"critical_level_msl":null},"geocode":{"area_code":"1","area_name":{"th":"กรุงเทพมหานคร","en":"Bangkok"},"amphoe_code":"02","amphoe_name":{"th":"ดุสิต","en":"Dusit District"},"tumbon_code":"06","tumbon_name":{"th":"ถนนนครไชยศรี","en":"Thanon Nakhon Chaisi"},"province_code":"10","province_name":{"th":"กรุงเทพมหานคร","en":"Bangkok"}},"diff_wl_bank":"0.28","diff_wl_bank_text":"ต่ำกว่าตลิ่ง (ม.)","river_gid":186854,"river_name":"แม่น้ำเจ้าพระยา"}</t>
  </si>
  <si>
    <t>THAIWATER_WL:1121258</t>
  </si>
  <si>
    <t>MOU431</t>
  </si>
  <si>
    <t>สะพานแม่น้ำแควใหญ่</t>
  </si>
  <si>
    <t>แม่น้ำแควใหญ่</t>
  </si>
  <si>
    <t>2026-10-03_ราชบุรี_อุทกภัย</t>
  </si>
  <si>
    <t>อ.โพธาราม อ.บางแพ อ.เมืองฯ อ.ดำเนินสะดวก อ.บ้านโป่ง อ.วัดเพลง อ.จอมบึง อ.ปากท่อ อ.สวนผึ้ง</t>
  </si>
  <si>
    <t>{"canal_datetime":"2026-09-28 13:20","canal_value":-0.74,"canal_out":0,"agency":{"agency_name":{"th":"สำนักการระบายน้ำ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124,"canal_name":{"th":"ค.สามเสน-ดินแดง"},"canal_lat":13.75604,"canal_long":100.5526,"canal_oldcode":"WL.SSN.06","bank":1.94,"warning_level":0,"critical_level":0.1}}</t>
  </si>
  <si>
    <t>THAIWATER:105</t>
  </si>
  <si>
    <t>WL.LPC.01</t>
  </si>
  <si>
    <t>ค.ลำผักชี รร.ลำผักชี</t>
  </si>
  <si>
    <t>{"id":1317594094,"waterlevel_datetime":"2026-10-03 15:10","waterlevel_m":null,"waterlevel_msl":"454.07","waterlevel_msl_previous":"454.07","flow_rate":null,"discharge":null,"storage_percent":"98.16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Foundation","jp":""},"agency_shortname":{"th":"พพภ","en":"FOP","jp":""}},"basin":{"id":15,"basin_code":14,"basin_name":{"th":"ลุ่มน้ำแม่กลอง","en":"Mae Klong Basin"}},"station":{"id":1121258,"tele_station_name":{"en":"Khwae Yai Bridge","th":"สะพานแม่น้ำแควใหญ่"},"tele_station_lat":16.04928,"tele_station_long":98.844765,"tele_station_oldcode":"MOU431","tele_station_type":"tele_waterlevel","left_bank":455.345,"right_bank":454.79,"min_bank":454.79,"ground_level":415.668,"offset":null,"sub_basin_id":260,"sponsor_by":"มูลนิธิอาสาเพื่อนพึ่ง (ภาฯ) ยามยาก สภากาชาดไทย","agency_id":91,"geocode_id":6031,"hydro_id":null,"qmax":null,"is_key_station":false,"warning_level_m":null,"critical_level_m":null,"critical_level_msl":null},"geocode":{"area_code":"3","area_name":{"th":"ภาคเหนือ","en":"North"},"amphoe_code":"08","amphoe_name":{"th":"อุ้มผาง","en":"Umphang District"},"tumbon_code":"06","tumbon_name":{"th":"แม่กลอง","en":"Mae Klong"},"province_code":"63","province_name":{"th":"ตาก","en":"Tak"}},"diff_wl_bank":"0.72","diff_wl_bank_text":"ต่ำกว่าตลิ่ง (ม.)","river_gid":165896,"river_name":"แม่น้ำแควใหญ่"}</t>
  </si>
  <si>
    <t>THAIWATER_WL:1109511</t>
  </si>
  <si>
    <t>ONE022</t>
  </si>
  <si>
    <t>คลองสามบาท บ้านกุดพิมาน</t>
  </si>
  <si>
    <t>ห้วยสามบาท</t>
  </si>
  <si>
    <t>{"canal_datetime":"2026-09-28 13:20","canal_value":1.19,"canal_out":0,"agency":{"agency_name":{"th":"สำนักการระบายน้ำ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District"},"tumbon_name":{"th":"ลำผักชี","en":"Lam Phak Chi"},"province_code":"10","province_name":{"th":"กรุงเทพมหานคร","en":"Bangkok"}},"station":{"id":105,"canal_name":{"th":"ค.ลำผักชี รร.ลำผักชี"},"canal_lat":13.79205,"canal_long":100.83524,"canal_oldcode":"WL.LPC.01","bank":1.85,"warning_level":0.6,"critical_level":0.7}}</t>
  </si>
  <si>
    <t>2026-10-03_เพชรบุรี_อุทกภัย</t>
  </si>
  <si>
    <t>THAIWATER:157</t>
  </si>
  <si>
    <t>WL.YSN.02</t>
  </si>
  <si>
    <t>ค.คลองยายสุ่น ถ.รัชดาภิเษก</t>
  </si>
  <si>
    <t>{"id":1317594477,"waterlevel_datetime":"2026-10-03 15:10","waterlevel_m":null,"waterlevel_msl":"201.92","waterlevel_msl_previous":"201.92","flow_rate":null,"discharge":null,"storage_percent":"98.08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Basin"}},"station":{"id":1109511,"tele_station_name":{"en":"Khlong Sam Bat Ban Kut Phiman","th":"คลองสามบาท บ้านกุดพิมาน"},"tele_station_lat":15.31065,"tele_station_long":101.74405,"tele_station_oldcode":"ONE022","tele_station_type":"tele_waterlevel","left_bank":201.966,"right_bank":202.576,"min_bank":201.97,"ground_level":199.568,"offset":null,"sub_basin_id":110,"agency_id":9,"geocode_id":1755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ด่านขุนทด","en":"Dan Khun Thot District"},"tumbon_code":"01","tumbon_name":{"th":"กุดพิมาน","en":"Kut Phiman"},"province_code":"30","province_name":{"th":"นครราชสีมา","en":"Nakhon Ratchasima"}},"diff_wl_bank":"0.05","diff_wl_bank_text":"ต่ำกว่าตลิ่ง (ม.)","river_gid":146339,"river_name":"ห้วยสามบาท"}</t>
  </si>
  <si>
    <t>THAIWATER_WL:700556</t>
  </si>
  <si>
    <t>MKSND06</t>
  </si>
  <si>
    <t>โรงเรียนบ้านทุ่งนานางหรอก</t>
  </si>
  <si>
    <t>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</t>
  </si>
  <si>
    <t>2026-10-03_นครนายก_อุทกภัย</t>
  </si>
  <si>
    <t>{"canal_datetime":"2026-09-28 13:20","canal_value":-0.16,"canal_out":0,"agency":{"agency_name":{"th":"สำนักการระบายน้ำ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Khwang"},"province_code":"10","province_name":{"th":"กรุงเทพมหานคร","en":"Bangkok"}},"station":{"id":157,"canal_name":{"th":"ค.คลองยายสุ่น ถ.รัชดาภิเษก"},"canal_lat":13.76324,"canal_long":100.56823,"canal_oldcode":"WL.YSN.02","bank":1.84,"warning_level":0.2,"critical_level":0.4}}</t>
  </si>
  <si>
    <t>THAIWATER:670</t>
  </si>
  <si>
    <t>WL.SSN.10</t>
  </si>
  <si>
    <t>ค.สามเสน คลองชวดใหญ่</t>
  </si>
  <si>
    <t>{"id":1317593143,"waterlevel_datetime":"2026-10-03 15:00","waterlevel_m":null,"waterlevel_msl":"44.80","waterlevel_msl_previous":"44.84","flow_rate":null,"discharge":"154.12","storage_percent":"97.84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700556,"tele_station_name":{"th":"โรงเรียนบ้านทุ่งนานางหรอก"},"tele_station_lat":14.17509,"tele_station_long":99.43382,"tele_station_oldcode":"MKSND06","tele_station_type":"tele_waterlevel","left_bank":45.14,"right_bank":46.28,"min_bank":45.14,"ground_level":29.2,"offset":null,"sub_basin_id":267,"agency_id":8,"geocode_id":6589,"hydro_id":null,"qmax":null,"is_key_station":false,"warning_level_m":null,"critical_level_m":null,"critical_level_msl":45.8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Ya"},"province_code":"71","province_name":{"th":"กาญจนบุรี","en":"Kanchanaburi"}},"diff_wl_bank":"0.34","diff_wl_bank_text":"ต่ำกว่าตลิ่ง (ม.)","river_gid":184230,"river_name":"ลำตะเพิน"}</t>
  </si>
  <si>
    <t>THAIWATER_WL:1373691</t>
  </si>
  <si>
    <t>PTTEP3</t>
  </si>
  <si>
    <t>สะพานนางพระยา-บางหลวง ชุมชนปากนคร</t>
  </si>
  <si>
    <t>2026-10-03_ปราจีนบุรี_อุทกภัย</t>
  </si>
  <si>
    <t>{"canal_datetime":"2026-09-28 13:20","canal_value":0.16,"canal_out":0,"agency":{"agency_name":{"th":"สำนักการระบายน้ำ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Kapi"},"province_code":"10","province_name":{"th":"กรุงเทพมหานคร","en":"Bangkok"}},"station":{"id":670,"canal_name":{"th":"ค.สามเสน คลองชวดใหญ่"},"canal_lat":13.75383,"canal_long":100.58091,"canal_oldcode":"WL.SSN.10","bank":null,"warning_level":null,"critical_level":null}}</t>
  </si>
  <si>
    <t>THAIWATER:183</t>
  </si>
  <si>
    <t>WL.BKB.01</t>
  </si>
  <si>
    <t>ค.บางกระบือ ถ.สามเสน</t>
  </si>
  <si>
    <t>{"id":1317594527,"waterlevel_datetime":"2026-10-03 15:10","waterlevel_m":null,"waterlevel_msl":"0.61","waterlevel_msl_previous":"0.59","flow_rate":null,"discharge":null,"storage_percent":"97.70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Basin"}},"station":{"id":1373691,"tele_station_name":{"en":"Nang Phraya Bridge-Bang Luang Pak Nakhon Community","th":"สะพานนางพระยา-บางหลวง ชุมชนปากนคร"},"tele_station_lat":8.438141,"tele_station_long":100.0304,"tele_station_oldcode":"PTTEP3","tele_station_type":"tele_waterlevel","left_bank":0.73,"right_bank":0.8,"min_bank":0.73,"ground_level":-4.481,"offset":null,"sub_basin_id":327,"sponsor_by":"บริษัท ปตท.สำรวจและผลิตปิโตรเลียม จำกัด (มหาชน)","agency_id":9,"geocode_id":7177,"hydro_id":null,"qmax":null,"is_key_station":false,"warning_level_m":null,"critical_level_m":null,"critical_level_msl":null},"geocode":{"area_code":"5","area_name":{"th":"ภาคใต้","en":"South"},"amphoe_code":"01","amphoe_name":{"th":"เมืองนครศรีธรรมราช","en":"Mueang Nakhon Si Thammarat District"},"tumbon_code":"06","tumbon_name":{"th":"ท่าไร่","en":"Tha Rai"},"province_code":"80","province_name":{"th":"นครศรีธรรมราช","en":"Nakhon Si Thammarat"}},"diff_wl_bank":"0.12","diff_wl_bank_text":"ต่ำกว่าตลิ่ง (ม.)"}</t>
  </si>
  <si>
    <t>THAIWATER_WL:61</t>
  </si>
  <si>
    <t>LBI002</t>
  </si>
  <si>
    <t>เมืองลพบุรี</t>
  </si>
  <si>
    <t>2026-10-03_ฉะเชิงเทรา_อุทกภัย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</si>
  <si>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Chaisi"},"province_code":"10","province_name":{"th":"กรุงเทพมหานคร","en":"Bangkok"}},"station":{"id":183,"canal_name":{"th":"ค.บางกระบือ ถ.สามเสน"},"canal_lat":13.79154,"canal_long":100.51662,"canal_oldcode":"WL.BKB.01","bank":1,"warning_level":0.8,"critical_level":1}}</t>
  </si>
  <si>
    <t>THAIWATER:220</t>
  </si>
  <si>
    <t>WL.PYW.01</t>
  </si>
  <si>
    <t>ค.พญาเวิก ปตร.คลองพญาเวิก</t>
  </si>
  <si>
    <t>{"id":1317594364,"waterlevel_datetime":"2026-10-03 15:10","waterlevel_m":null,"waterlevel_msl":"6.34","waterlevel_msl_previous":"6.35","flow_rate":null,"discharge":null,"storage_percent":"97.46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Basin"}},"station":{"id":61,"tele_station_name":{"en":"Lop Buri 2","th":"เมืองลพบุรี"},"tele_station_lat":14.76049,"tele_station_long":100.5996,"tele_station_oldcode":"LBI002","tele_station_type":"tele_waterlevel","left_bank":9.897,"right_bank":6.523,"min_bank":6.52,"ground_level":-0.828,"offset":null,"sub_basin_id":240,"agency_id":9,"geocode_id":723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District"},"tumbon_code":"22","tumbon_name":{"th":"โพธิ์เก้าต้น","en":"Pho Kao Ton"},"province_code":"16","province_name":{"th":"ลพบุรี","en":"Lop Buri"}},"diff_wl_bank":"0.19","diff_wl_bank_text":"ต่ำกว่าตลิ่ง (ม.)","river_gid":180654,"river_name":"แม่น้ำลพบุรี"}</t>
  </si>
  <si>
    <t>THAIWATER_WL:700553</t>
  </si>
  <si>
    <t>MKSND03</t>
  </si>
  <si>
    <t>วัดไชยชุมพลชนะสงคราม (วัดใต้)</t>
  </si>
  <si>
    <t>ปภ. รายงาน 551/2569 วันที่ 3 ต.ค. 2569 เวลา 06.00 น. ตารางหน้า 5; บาดเจ็บ: -; สูญหาย: -; คงเครื่องหมาย - และช่องว่างตามต้นฉบับ ปภ.</t>
  </si>
  <si>
    <t>2026-10-03_สระแก้ว_อุทกภัย</t>
  </si>
  <si>
    <t>{"canal_datetime":"2026-09-28 13:20","canal_value":-0.81,"canal_out":0,"agency":{"agency_name":{"th":"สำนักการระบายน้ำ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District"},"tumbon_name":{"th":"จอมพล","en":"Chomphon"},"province_code":"10","province_name":{"th":"กรุงเทพมหานคร","en":"Bangkok"}},"station":{"id":220,"canal_name":{"th":"ค.พญาเวิก ปตร.คลองพญาเวิก"},"canal_lat":13.79676,"canal_long":100.56697,"canal_oldcode":"WL.PYW.01","bank":1,"warning_level":0.1,"critical_level":0.2}}</t>
  </si>
  <si>
    <t>THAIWATER:187</t>
  </si>
  <si>
    <t>เลขที่ 32 ถ. สมเด็จเจ้าพระยา แขวงสมเด็จเจ้าพระยา คลองสาน กรุงเทพมหานคร 10600 ประเทศไทย</t>
  </si>
  <si>
    <t>WL.IDE.01</t>
  </si>
  <si>
    <t>ChIJicCvEOOY4jAROYD4hKY9q1Q</t>
  </si>
  <si>
    <t>บ่อสูบน้ำอินโดนีเซีย</t>
  </si>
  <si>
    <t>08267586-0c76-6a16-1c46-515a9b01b6b9</t>
  </si>
  <si>
    <t>{"id":1317593952,"waterlevel_datetime":"2026-10-03 15:00","waterlevel_m":null,"waterlevel_msl":"23.14","waterlevel_msl_previous":"23.14","flow_rate":null,"discharge":null,"storage_percent":"97.27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Basin"}},"station":{"id":700553,"tele_station_name":{"th":"วัดไชยชุมพลชนะสงคราม (วัดใต้)"},"tele_station_lat":14.01615,"tele_station_long":99.53029,"tele_station_oldcode":"MKSND03","tele_station_type":"tele_waterlevel","left_bank":25.93,"right_bank":23.41,"min_bank":23.41,"ground_level":13.55,"offset":null,"sub_basin_id":276,"agency_id":8,"geocode_id":6592,"hydro_id":null,"qmax":null,"is_key_station":false,"warning_level_m":null,"critical_level_m":null,"critical_level_msl":24.19},"geocode":{"area_code":"2","area_name":{"th":"ภาคกลาง","en":"Central"},"amphoe_code":"01","amphoe_name":{"th":"เมืองกาญจนบุรี","en":"Mueang Kanchanaburi District"},"tumbon_code":"10","tumbon_name":{"th":"หนองหญ้า","en":"Nong Ya"},"province_code":"71","province_name":{"th":"กาญจนบุรี","en":"Kanchanaburi"}},"diff_wl_bank":"0.27","diff_wl_bank_text":"ต่ำกว่าตลิ่ง (ม.)","river_gid":185386,"river_name":"แม่น้ำแม่กลอง"}</t>
  </si>
  <si>
    <t>โรงเรียนวัดสุทธาราม</t>
  </si>
  <si>
    <t>THAIWATER_WL:2744</t>
  </si>
  <si>
    <t>2023-04-24T12:50:00+07:00</t>
  </si>
  <si>
    <t>C.13</t>
  </si>
  <si>
    <t>ท้ายเขื่อนเจ้าพระยา</t>
  </si>
  <si>
    <t>https://maps.app.goo.gl/rg8VbkBh5VSzg55y7?g_st=ac</t>
  </si>
  <si>
    <t>2026-10-03_ชลบุรี_อุทกภัย</t>
  </si>
  <si>
    <t>{"canal_datetime":"2023-04-24 12:50","canal_value":-0.4,"canal_out":0,"agency":{"agency_name":{"th":"สำนักการระบายน้ำ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District"},"tumbon_name":{"th":"ถนนพญาไท","en":"Thanon Phaya Thai"},"province_code":"10","province_name":{"th":"กรุงเทพมหานคร","en":"Bangkok"}},"station":{"id":187,"canal_name":{"th":"บ่อสูบน้ำอินโดนีเซีย"},"canal_lat":13.7551,"canal_long":100.53601,"canal_oldcode":"WL.IDE.01","bank":1,"warning_level":-0.2,"critical_level":0}}</t>
  </si>
  <si>
    <t>THAIWATER:201</t>
  </si>
  <si>
    <t>WL.TUT.02</t>
  </si>
  <si>
    <t>ค.ตาอูฐ ซ.แจ้งวัฒนะ 14</t>
  </si>
  <si>
    <t>{"id":1317572074,"waterlevel_datetime":"2026-10-03 14:00","waterlevel_m":null,"waterlevel_msl":"15.93","waterlevel_msl_previous":"15.93","flow_rate":null,"discharge":"2500.00","storage_percent":"97.12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2744,"tele_station_name":{"th":"ท้ายเขื่อนเจ้าพระยา"},"tele_station_lat":15.16384,"tele_station_long":100.18792,"tele_station_oldcode":"C.13","tele_station_type":"tele_waterlevel","left_bank":17.524,"right_bank":18.2,"min_bank":16.34,"ground_level":2.08,"offset":null,"sub_basin_id":240,"agency_id":12,"geocode_id":920,"hydro_id":5,"qmax":2720,"is_key_station":true,"warning_level_m":null,"critical_level_m":16.34,"critical_level_msl":16.34},"geocode":{"area_code":"2","area_name":{"th":"ภาคกลาง","en":"Central"},"amphoe_code":"04","amphoe_name":{"th":"สรรพยา","en":"Sapphaya District"},"tumbon_code":"06","tumbon_name":{"th":"บางหลวง","en":"Bang Luang"},"province_code":"18","province_name":{"th":"ชัยนาท","en":"Chai Nat"}},"diff_wl_bank":"0.41","diff_wl_bank_text":"ต่ำกว่าตลิ่ง (ม.)","river_gid":175661,"river_name":"แม่น้ำเจ้าพระยา"}</t>
  </si>
  <si>
    <t>THAIWATER_WL:1373275</t>
  </si>
  <si>
    <t>HDA009</t>
  </si>
  <si>
    <t>สะพานป่าโมก</t>
  </si>
  <si>
    <t>2026-10-03_ระยอง_อุทกภัย</t>
  </si>
  <si>
    <t>{"canal_datetime":"2026-09-28 13:20","canal_value":-0.77,"canal_out":0,"agency":{"agency_name":{"th":"สำนักการระบายน้ำ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Kan"},"province_code":"10","province_name":{"th":"กรุงเทพมหานคร","en":"Bangkok"}},"station":{"id":201,"canal_name":{"th":"ค.ตาอูฐ ซ.แจ้งวัฒนะ 14"},"canal_lat":13.91159,"canal_long":100.56559,"canal_oldcode":"WL.TUT.02","bank":0.8,"warning_level":0.3,"critical_level":0.5}}</t>
  </si>
  <si>
    <t>THAIWATER:62</t>
  </si>
  <si>
    <t>{"id":1317594339,"waterlevel_datetime":"2026-10-03 15:10","waterlevel_m":null,"waterlevel_msl":"7.70","waterlevel_msl_previous":"7.69","flow_rate":null,"discharge":null,"storage_percent":"97.07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Basin"}},"station":{"id":1373275,"tele_station_name":{"en":"Pa Mok Bridge","th":"สะพานป่าโมก"},"tele_station_lat":14.498074,"tele_station_long":100.44962,"tele_station_oldcode":"HDA009","tele_station_type":"tele_waterlevel","left_bank":8.013,"right_bank":7.972,"min_bank":7.97,"ground_level":-1.31,"offset":null,"sub_basin_id":240,"agency_id":9,"geocode_id":648,"hydro_id":null,"qmax":null,"is_key_station":false,"warning_level_m":null,"critical_level_m":null,"critical_level_msl":null},"geocode":{"area_code":"2","area_name":{"th":"ภาคกลาง","en":"Central"},"amphoe_code":"03","amphoe_name":{"th":"ป่าโมก","en":"Pa Mok District"},"tumbon_code":"02","tumbon_name":{"th":"ป่าโมก","en":"Pa Mok"},"province_code":"15","province_name":{"th":"อ่างทอง","en":"Ang Thong"}},"diff_wl_bank":"0.27","diff_wl_bank_text":"ต่ำกว่าตลิ่ง (ม.)"}</t>
  </si>
  <si>
    <t>{"id":"08267586-0c76-6a16-1c46-515a9b01b6b9","district":"คลองสาน","category":"ศูนย์พักพิงชั่วคราว","name":"โรงเรียนวัดสุทธาราม","capacity":50,"occupied":0,"available":50,"unitType":"คน","status":"เปิดให้บริการ/ว่าง","routeDetails":"","link":"https://maps.app.goo.gl/rg8VbkBh5VSzg55y7?g_st=ac","additionalDetails":null,"createdAt":"2026-09-26T08:04:34.000Z","updatedAt":"2026-09-26T08:04:34.000Z"}</t>
  </si>
  <si>
    <t>WL.PSR.01</t>
  </si>
  <si>
    <t>ปตร.คลองพระยาสุเรนทร์</t>
  </si>
  <si>
    <t>THAIWATER_WL:2799</t>
  </si>
  <si>
    <t>S.42</t>
  </si>
  <si>
    <t>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</t>
  </si>
  <si>
    <t>บ้านบ่อวัง</t>
  </si>
  <si>
    <t>2026-10-03_จันทบุรี_อุทกภัย</t>
  </si>
  <si>
    <t>{"canal_datetime":"2026-09-28 13:20","canal_value":1.6,"canal_out":2.05,"agency":{"agency_name":{"th":"สำนักการระบายน้ำ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District"},"tumbon_name":{"th":"สายไหม","en":"Sai Mai"},"province_code":"10","province_name":{"th":"กรุงเทพมหานคร","en":"Bangkok"}},"station":{"id":62,"canal_name":{"th":"ปตร.คลองพระยาสุเรนทร์"},"canal_lat":13.92128,"canal_long":100.68731,"canal_oldcode":"WL.PSR.01","bank":1.98,"warning_level":1.1,"critical_level":1.8}}</t>
  </si>
  <si>
    <t>{"id":1317572395,"waterlevel_datetime":"2026-10-03 14:00","waterlevel_m":null,"waterlevel_msl":"62.54","waterlevel_msl_previous":"62.55","flow_rate":null,"discharge":"235.30","storage_percent":"96.95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2799,"tele_station_name":{"th":"บ้านบ่อวัง"},"tele_station_lat":15.5783,"tele_station_long":101.088623,"tele_station_oldcode":"S.42","tele_station_type":"tele_waterlevel","left_bank":116.002001,"right_bank":116.55000100000001,"min_bank":62.79,"ground_level":54.6,"offset":51.790001,"sub_basin_id":251,"agency_id":12,"geocode_id":6403,"hydro_id":2,"qmax":250,"is_key_station":true,"warning_level_m":null,"critical_level_m":null,"critical_level_msl":null},"geocode":{"area_code":"3","area_name":{"th":"ภาคเหนือ","en":"North"},"amphoe_code":"05","amphoe_name":{"th":"วิเชียรบุรี","en":"Wichian Buri District"},"tumbon_code":"02","tumbon_name":{"th":"สระประดู่","en":"Sa Pradu"},"province_code":"67","province_name":{"th":"เพชรบูรณ์","en":"Phetchabun"}},"diff_wl_bank":"0.25","diff_wl_bank_text":"ต่ำกว่าตลิ่ง (ม.)","river_gid":170722,"river_name":"แม่น้ำป่าสัก"}</t>
  </si>
  <si>
    <t>THAIWATER:217</t>
  </si>
  <si>
    <t>WL.LBK.01</t>
  </si>
  <si>
    <t>THAIWATER_WL:200</t>
  </si>
  <si>
    <t>SKE003</t>
  </si>
  <si>
    <t>ค.ลาดบัวขาว ถ.รามคำแหง</t>
  </si>
  <si>
    <t>คลองพรหมโหด</t>
  </si>
  <si>
    <t>2026-10-03_บุรีรัมย์_อุทกภัย</t>
  </si>
  <si>
    <t>ห้วยพรมโหด</t>
  </si>
  <si>
    <t>2026-01-13T09:55:00+07:00</t>
  </si>
  <si>
    <t>อ.นางรอง อ.ชำนิ</t>
  </si>
  <si>
    <t>{"id":1317594589,"waterlevel_datetime":"2026-10-03 15:10","waterlevel_m":null,"waterlevel_msl":"44.18","waterlevel_msl_previous":"44.19","flow_rate":null,"discharge":null,"storage_percent":"96.78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Basin"}},"station":{"id":200,"tele_station_name":{"en":"Klong Prom Hod","th":"คลองพรหมโหด"},"tele_station_lat":13.705864,"tele_station_long":102.48168,"tele_station_oldcode":"SKE003","tele_station_type":"tele_waterlevel","left_bank":44.661,"right_bank":44.296,"min_bank":44.3,"ground_level":40.699,"offset":null,"sub_basin_id":288,"agency_id":9,"geocode_id":1651,"hydro_id":null,"qmax":null,"is_key_station":true,"warning_level_m":null,"critical_level_m":null,"critical_level_msl":44.389},"geocode":{"area_code":"2","area_name":{"th":"ภาคกลาง","en":"Central"},"amphoe_code":"06","amphoe_name":{"th":"อรัญประเทศ","en":"Aranyaprathet District"},"tumbon_code":"08","tumbon_name":{"th":"บ้านใหม่หนองไทร","en":"Ban Mai Nong Sai"},"province_code":"27","province_name":{"th":"สระแก้ว","en":"Sa Kaeo"}},"diff_wl_bank":"0.12","diff_wl_bank_text":"ต่ำกว่าตลิ่ง (ม.)","river_gid":197020,"river_name":"ห้วยพรมโหด"}</t>
  </si>
  <si>
    <t>2026-10-03_ชัยภูมิ_อุทกภัย</t>
  </si>
  <si>
    <t>{"canal_datetime":"2026-01-13 09:55","canal_value":-0.12,"canal_out":0,"agency":{"agency_name":{"th":"สำนักการระบายน้ำ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Bangkok","jp":""}},"geocode":{"area_code":"1","area_name":{"th":"กรุงเทพมหานคร","en":"Bangkok"},"amphoe_name":{"th":"สะพานสูง","en":"Saphan Sung District"},"tumbon_name":{"th":"สะพานสูง","en":"Saphan Sung"},"province_code":"10","province_name":{"th":"กรุงเทพมหานคร","en":"Bangkok"}},"station":{"id":217,"canal_name":{"th":"ค.ลาดบัวขาว ถ.รามคำแหง"},"canal_lat":13.79549,"canal_long":100.70761,"canal_oldcode":"WL.LBK.01","bank":2,"warning_level":0.4,"critical_level":0.6}}</t>
  </si>
  <si>
    <t>THAIWATER_WL:2679</t>
  </si>
  <si>
    <t>THAIWATER:144</t>
  </si>
  <si>
    <t>K.11A</t>
  </si>
  <si>
    <t>WL.JRN.01</t>
  </si>
  <si>
    <t>บ้านวังขนาย</t>
  </si>
  <si>
    <t>ส.คลองแจงร้อน</t>
  </si>
  <si>
    <t>2026-10-03_สุรินทร์_อุทกภัย</t>
  </si>
  <si>
    <t>{"id":1317575393,"waterlevel_datetime":"2026-10-03 14:00","waterlevel_m":null,"waterlevel_msl":"15.65","waterlevel_msl_previous":"15.59","flow_rate":null,"discharge":"1207.00","storage_percent":"96.70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2679,"tele_station_name":{"th":"บ้านวังขนาย"},"tele_station_lat":13.95094,"tele_station_long":99.645477,"tele_station_oldcode":"K.11A","tele_station_type":"tele_waterlevel","left_bank":32.397,"right_bank":31.364,"min_bank":15.9,"ground_level":8.33,"offset":9.7,"sub_basin_id":276,"agency_id":12,"geocode_id":6638,"hydro_id":7,"qmax":1300,"is_key_station":true,"warning_level_m":null,"critical_level_m":null,"critical_level_msl":null},"geocode":{"area_code":"2","area_name":{"th":"ภาคกลาง","en":"Central"},"amphoe_code":"06","amphoe_name":{"th":"ท่าม่วง","en":"Tha Muang District"},"tumbon_code":"02","tumbon_name":{"th":"วังขนาย","en":"Wang Khanai"},"province_code":"71","province_name":{"th":"กาญจนบุรี","en":"Kanchanaburi"}},"diff_wl_bank":"0.25","diff_wl_bank_text":"ต่ำกว่าตลิ่ง (ม.)","river_gid":185873,"river_name":"แม่น้ำแม่กลอง"}</t>
  </si>
  <si>
    <t>THAIWATER_WL:137</t>
  </si>
  <si>
    <t>TRD001</t>
  </si>
  <si>
    <t>{"canal_datetime":"2026-09-28 13:20","canal_value":0.22,"canal_out":0.53,"agency":{"agency_name":{"th":"สำนักการระบายน้ำ กรุงเทพมหานคร","en":"Department of Bangkok","jp":""}},"geocode":{"area_code":"2","area_name":{"th":"ภาคกลาง","en":"Central"},"amphoe_name":{"th":"พระประแดง","en":"Phra Pradaeng District"},"tumbon_name":{"th":"บางพึ่ง","en":"Bang Phueng"},"province_code":"11","province_name":{"th":"สมุทรปราการ","en":"Samut Prakan"}},"station":{"id":144,"canal_name":{"th":"ส.คลองแจงร้อน"},"canal_lat":13.67634,"canal_long":100.52111,"canal_oldcode":"WL.JRN.01","bank":2.8,"warning_level":2.6,"critical_level":2.8}}</t>
  </si>
  <si>
    <t>เมืองตราด</t>
  </si>
  <si>
    <t>THAIWATER:160</t>
  </si>
  <si>
    <t>แม่น้ำเขาสมิง</t>
  </si>
  <si>
    <t>WL.KPM.04</t>
  </si>
  <si>
    <t>อ.ปราสาท</t>
  </si>
  <si>
    <t>ค.เปรมประชากร-ค.บางตลาด*</t>
  </si>
  <si>
    <t>2026-09-28T13:30:00+07:00</t>
  </si>
  <si>
    <t>2026-10-03_กรุงเทพมหานคร_อุทกภัย</t>
  </si>
  <si>
    <t>{"id":1317594670,"waterlevel_datetime":"2026-10-03 15:10","waterlevel_m":null,"waterlevel_msl":"0.43","waterlevel_msl_previous":"0.41","flow_rate":null,"discharge":null,"storage_percent":"96.50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Basin"}},"station":{"id":137,"tele_station_name":{"en":"Trat 1","th":"เมืองตราด"},"tele_station_lat":12.325195,"tele_station_long":102.5005,"tele_station_oldcode":"TRD001","tele_station_type":"tele_waterlevel","left_bank":0.772,"right_bank":0.69,"min_bank":0.69,"ground_level":-6.744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Raeng"},"province_code":"23","province_name":{"th":"ตราด","en":"Trat"}},"diff_wl_bank":"0.26","diff_wl_bank_text":"ต่ำกว่าตลิ่ง (ม.)","river_gid":206928,"river_name":"แม่น้ำเขาสมิง"}</t>
  </si>
  <si>
    <t>THAIWATER_WL:1</t>
  </si>
  <si>
    <t>{"canal_datetime":"2026-09-28 13:30","canal_value":1.56,"canal_out":0,"agency":{"agency_name":{"th":"สำนักการระบายน้ำ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160,"canal_name":{"th":"ค.เปรมประชากร-ค.บางตลาด*"},"canal_lat":13.87546,"canal_long":100.57424,"canal_oldcode":"WL.KPM.04","bank":2,"warning_level":0.6,"critical_level":0.7}}</t>
  </si>
  <si>
    <t>BKK021</t>
  </si>
  <si>
    <t>คลองลาดพร้าว วัดบางบัว</t>
  </si>
  <si>
    <t>คลองบางบัว</t>
  </si>
  <si>
    <t>THAIWATER:243</t>
  </si>
  <si>
    <t>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</t>
  </si>
  <si>
    <t>WL.KSM.02</t>
  </si>
  <si>
    <t>{"id":1317594242,"waterlevel_datetime":"2026-10-03 15:10","waterlevel_m":null,"waterlevel_msl":"2.10","waterlevel_msl_previous":"2.10","flow_rate":null,"discharge":null,"storage_percent":"96.13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Basin"}},"station":{"id":1,"tele_station_name":{"en":"Klong Ladprao Bang Bua Temple","th":"คลองลาดพร้าว วัดบางบัว"},"tele_station_lat":13.85402,"tele_station_long":100.58746,"tele_station_oldcode":"BKK021","tele_station_type":"tele_waterlevel","left_bank":2.2,"right_bank":2.2,"min_bank":2.2,"ground_level":-0.33,"offset":null,"sub_basin_id":240,"agency_id":9,"geocode_id":37,"hydro_id":null,"qmax":null,"is_key_station":false,"warning_level_m":null,"critical_level_m":null,"critical_level_msl":null},"geocode":{"area_code":"1","area_name":{"th":"กรุงเทพมหานคร","en":"Bangkok"},"amphoe_code":"05","amphoe_name":{"th":"บางเขน","en":"Bang Khen District"},"tumbon_code":"02","tumbon_name":{"th":"อนุสาวรีย์","en":"Anusawari"},"province_code":"10","province_name":{"th":"กรุงเทพมหานคร","en":"Bangkok"}},"diff_wl_bank":"0.10","diff_wl_bank_text":"ต่ำกว่าตลิ่ง (ม.)","river_gid":186304,"river_name":"คลองบางบัว"}</t>
  </si>
  <si>
    <t>ค.สาม มอเตอร์เวย์</t>
  </si>
  <si>
    <t>THAIWATER_WL:1373272</t>
  </si>
  <si>
    <t>HDA006</t>
  </si>
  <si>
    <t>สะพานอนุสรณ์ 100 ปีสิงห์บุรี (สะพานหลวงพ่อแพ 89)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</si>
  <si>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Prawet"},"province_code":"10","province_name":{"th":"กรุงเทพมหานคร","en":"Bangkok"}},"station":{"id":243,"canal_name":{"th":"ค.สาม มอเตอร์เวย์"},"canal_lat":13.7302,"canal_long":100.7541,"canal_oldcode":"WL.KSM.02","bank":1.4,"warning_level":0.5,"critical_level":0.6}}</t>
  </si>
  <si>
    <t>THAIWATER:283</t>
  </si>
  <si>
    <t>WL.TWW.02</t>
  </si>
  <si>
    <t>ค.ทวีวัฒนา ถ.บรมราชชนนี</t>
  </si>
  <si>
    <t>{"id":1317594336,"waterlevel_datetime":"2026-10-03 15:10","waterlevel_m":null,"waterlevel_msl":"12.17","waterlevel_msl_previous":"12.14","flow_rate":null,"discharge":"3044.63","storage_percent":"95.62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Basin"}},"station":{"id":1373272,"tele_station_name":{"en":"Singburi 100th Anniversary Memorial Bridge (Luang Pho Phae 89 Bridge)","th":"สะพานอนุสรณ์ 100 ปีสิงห์บุรี (สะพานหลวงพ่อแพ 89)"},"tele_station_lat":14.870205,"tele_station_long":100.408585,"tele_station_oldcode":"HDA006","tele_station_type":"tele_waterlevel","left_bank":12.727,"right_bank":13.91,"min_bank":12.73,"ground_level":0,"offset":null,"sub_basin_id":240,"agency_id":9,"geocode_id":844,"hydro_id":null,"qmax":null,"is_key_station":fals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District"},"tumbon_code":"06","tumbon_name":{"th":"ต้นโพธิ์","en":"Ton Pho"},"province_code":"17","province_name":{"th":"สิงห์บุรี","en":"Sing Buri"}},"diff_wl_bank":"0.56","diff_wl_bank_text":"ต่ำกว่าตลิ่ง (ม.)"}</t>
  </si>
  <si>
    <t>THAIWATER_WL:2723</t>
  </si>
  <si>
    <t>C.3</t>
  </si>
  <si>
    <t>บ้านบางพุทรา</t>
  </si>
  <si>
    <t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Thammasop"},"province_code":"10","province_name":{"th":"กรุงเทพมหานคร","en":"Bangkok"}},"station":{"id":283,"canal_name":{"th":"ค.ทวีวัฒนา ถ.บรมราชชนนี"},"canal_lat":13.78838,"canal_long":100.33518,"canal_oldcode":"WL.TWW.02","bank":2,"warning_level":0.8,"critical_level":0.9}}</t>
  </si>
  <si>
    <t>THAIWATER:107</t>
  </si>
  <si>
    <t>WL.PWT.06</t>
  </si>
  <si>
    <t>ค.ประเวศฯ-ถ.ร่วมพัฒนา</t>
  </si>
  <si>
    <t>{"id":1317572072,"waterlevel_datetime":"2026-10-03 14:00","waterlevel_m":null,"waterlevel_msl":"12.51","waterlevel_msl_previous":"12.51","flow_rate":null,"discharge":"2603.00","storage_percent":"95.55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2723,"tele_station_name":{"th":"บ้านบางพุทรา"},"tele_station_lat":14.89868,"tele_station_long":100.401863,"tele_station_oldcode":"C.3","tele_station_type":"tele_waterlevel","left_bank":13.405,"right_bank":13.721,"min_bank":13.2,"ground_level":-2.29,"offset":null,"sub_basin_id":240,"agency_id":12,"geocode_id":839,"hydro_id":5,"qmax":2997,"is_key_station":true,"warning_level_m":null,"critical_level_m":null,"critical_level_msl":null},"geocode":{"area_code":"2","area_name":{"th":"ภาคกลาง","en":"Central"},"amphoe_code":"01","amphoe_name":{"th":"เมืองสิงห์บุรี","en":"Mueang Sing Buri District"},"tumbon_code":"01","tumbon_name":{"th":"บางพุทรา","en":"Bang Phutsa"},"province_code":"17","province_name":{"th":"สิงห์บุรี","en":"Sing Buri"}},"diff_wl_bank":"0.69","diff_wl_bank_text":"ต่ำกว่าตลิ่ง (ม.)","river_gid":179526,"river_name":"แม่น้ำเจ้าพระยา"}</t>
  </si>
  <si>
    <t>THAIWATER_WL:4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</si>
  <si>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District"},"tumbon_name":{"th":"ขุมทอง","en":"Khum Thong"},"province_code":"10","province_name":{"th":"กรุงเทพมหานคร","en":"Bangkok"}},"station":{"id":107,"canal_name":{"th":"ค.ประเวศฯ-ถ.ร่วมพัฒนา"},"canal_lat":13.70102,"canal_long":100.85095,"canal_oldcode":"WL.PWT.06","bank":1.85,"warning_level":0.4,"critical_level":0.6}}</t>
  </si>
  <si>
    <t>CPY015</t>
  </si>
  <si>
    <t>THAIWATER:83</t>
  </si>
  <si>
    <t>สะพานกรุงเทพ</t>
  </si>
  <si>
    <t>WL.STR.01</t>
  </si>
  <si>
    <t>ส.สาทร</t>
  </si>
  <si>
    <t>{"canal_datetime":"2026-09-28 13:20","canal_value":-0.97,"canal_out":0.23,"agency":{"agency_name":{"th":"สำนักการระบายน้ำ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Bangkok","jp":""}},"geocode":{"area_code":"1","area_name":{"th":"กรุงเทพมหานคร","en":"Bangkok"},"amphoe_name":{"th":"สาทร","en":"Sathon District"},"tumbon_name":{"th":"ยานนาวา","en":"Yan Nawa"},"province_code":"10","province_name":{"th":"กรุงเทพมหานคร","en":"Bangkok"}},"station":{"id":83,"canal_name":{"th":"ส.สาทร"},"canal_lat":13.71861,"canal_long":100.51499,"canal_oldcode":"WL.STR.01","bank":2.8,"warning_level":2.6,"critical_level":2.8}}</t>
  </si>
  <si>
    <t>THAIWATER:280</t>
  </si>
  <si>
    <t>WL.PWT.01</t>
  </si>
  <si>
    <t>ค.ประเวศ ซ.อ่อนนุช 17</t>
  </si>
  <si>
    <t>{"id":1317594288,"waterlevel_datetime":"2026-10-03 15:10","waterlevel_m":null,"waterlevel_msl":"1.33","waterlevel_msl_previous":"1.35","flow_rate":null,"discharge":null,"storage_percent":"95.35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Basin"}},"station":{"id":4,"tele_station_name":{"en":"Chao Phraya 15","th":"สะพานกรุงเทพ"},"tele_station_lat":13.700301,"tele_station_long":100.49277,"tele_station_oldcode":"CPY015","tele_station_type":"tele_waterlevel","left_bank":2.201,"right_bank":2.161,"min_bank":2.16,"ground_level":-15.697,"offset":null,"sub_basin_id":240,"agency_id":9,"geocode_id":80,"hydro_id":null,"qmax":null,"is_key_station":false,"warning_level_m":null,"critical_level_m":null,"critical_level_msl":null},"geocode":{"area_code":"2","area_name":{"th":"กรุงเทพมหานคร","en":"Bangkok"},"amphoe_code":"15","amphoe_name":{"th":"ธนบุรี","en":"Thon Buri District"},"tumbon_code":"06","tumbon_name":{"th":"ดาวคะนอง","en":"Dao Khanong"},"province_code":"10","province_name":{"th":"กรุงเทพมหานคร","en":"Bangkok"}},"diff_wl_bank":"0.83","diff_wl_bank_text":"ต่ำกว่าตลิ่ง (ม.)","river_gid":187850,"river_name":"แม่น้ำเจ้าพระยา"}</t>
  </si>
  <si>
    <t>THAIWATER_WL:27</t>
  </si>
  <si>
    <t>BKK002</t>
  </si>
  <si>
    <t>คลองเปรมประชากร หลักหก</t>
  </si>
  <si>
    <t>คลองเปรมประชากร</t>
  </si>
  <si>
    <t>{"canal_datetime":"2026-09-28 13:20","canal_value":0.08,"canal_out":0,"agency":{"agency_name":{"th":"สำนักการระบายน้ำ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Luang"},"province_code":"10","province_name":{"th":"กรุงเทพมหานคร","en":"Bangkok"}},"station":{"id":280,"canal_name":{"th":"ค.ประเวศ ซ.อ่อนนุช 17"},"canal_lat":13.71556,"canal_long":100.6106,"canal_oldcode":"WL.PWT.01","bank":1.85,"warning_level":0.2,"critical_level":0.3}}</t>
  </si>
  <si>
    <t>THAIWATER:98</t>
  </si>
  <si>
    <t>WL.ORC.01</t>
  </si>
  <si>
    <t>ส.คลองอรชร</t>
  </si>
  <si>
    <t>{"id":1317594230,"waterlevel_datetime":"2026-10-03 15:10","waterlevel_m":null,"waterlevel_msl":"1.17","waterlevel_msl_previous":"1.17","flow_rate":null,"discharge":null,"storage_percent":"95.35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Basin"}},"station":{"id":27,"tele_station_name":{"en":"Krung Thep 2","th":"คลองเปรมประชากร หลักหก"},"tele_station_lat":13.96562,"tele_station_long":100.60262,"tele_station_oldcode":"BKK002","tele_station_type":"tele_waterlevel","left_bank":1.575,"right_bank":1.292,"min_bank":1.29,"ground_level":-1.372,"offset":null,"sub_basin_id":240,"agency_id":9,"geocode_id":341,"hydro_id":null,"qmax":null,"is_key_station":false,"warning_level_m":null,"critical_level_m":null,"critical_level_msl":null},"geocode":{"area_code":"2","area_name":{"th":"ภาคกลาง","en":"Central"},"amphoe_code":"01","amphoe_name":{"th":"เมืองปทุมธานี","en":"Mueang Pathum Thani District"},"tumbon_code":"14","tumbon_name":{"th":"หลักหก","en":"Lak Hok"},"province_code":"13","province_name":{"th":"ปทุมธานี","en":"Pathum Thani"}},"diff_wl_bank":"0.12","diff_wl_bank_text":"ต่ำกว่าตลิ่ง (ม.)","river_gid":185640,"river_name":"คลองเปรมประชากร"}</t>
  </si>
  <si>
    <t>THAIWATER_WL:2626</t>
  </si>
  <si>
    <t>C.7A</t>
  </si>
  <si>
    <t>{"canal_datetime":"2026-09-28 13:20","canal_value":-1.34,"canal_out":-0.12,"agency":{"agency_name":{"th":"สำนักการระบายน้ำ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Bangkok","jp":""}},"geocode":{"area_code":"1","area_name":{"th":"กรุงเทพมหานคร","en":"Bangkok"},"amphoe_name":{"th":"ปทุมวัน","en":"Pathum Wan District"},"tumbon_name":{"th":"ปทุมวัน","en":"Pathum Wan"},"province_code":"10","province_name":{"th":"กรุงเทพมหานคร","en":"Bangkok"}},"station":{"id":98,"canal_name":{"th":"ส.คลองอรชร"},"canal_lat":13.74795,"canal_long":100.53615,"canal_oldcode":"WL.ORC.01","bank":1.85,"warning_level":0,"critical_level":0.1}}</t>
  </si>
  <si>
    <t>บ้านบางแก้ว</t>
  </si>
  <si>
    <t>THAIWATER:258</t>
  </si>
  <si>
    <t>WL.BBR.02</t>
  </si>
  <si>
    <t>ค.บางบำหรุ ถ.สิรินธร</t>
  </si>
  <si>
    <t>บางพลัด</t>
  </si>
  <si>
    <t>403, 1 ซอย วัดสุทธาราม แขวงบางลำภูล่าง คลองสาน กรุงเทพมหานคร 10600 ประเทศไทย</t>
  </si>
  <si>
    <t>{"canal_datetime":"2026-09-28 13:15","canal_value":-0.31,"canal_out":0,"agency":{"agency_name":{"th":"สำนักการระบายน้ำ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Bamru"},"province_code":"10","province_name":{"th":"กรุงเทพมหานคร","en":"Bangkok"}},"station":{"id":258,"canal_name":{"th":"ค.บางบำหรุ ถ.สิรินธร"},"canal_lat":13.78876,"canal_long":100.48166,"canal_oldcode":"WL.BBR.02","bank":1,"warning_level":0.7,"critical_level":0.8}}</t>
  </si>
  <si>
    <t>ChIJBx4RZ3WZ4jARmc0Uyzh_v3I</t>
  </si>
  <si>
    <t>THAIWATER:668</t>
  </si>
  <si>
    <t>WL.CYI.03</t>
  </si>
  <si>
    <t>ค.ชวดใหญ่ คลองลาดพร้าว</t>
  </si>
  <si>
    <t>cb64c88c-65ac-4406-89a5-fbad303fcc1c</t>
  </si>
  <si>
    <t>{"id":1317572073,"waterlevel_datetime":"2026-10-03 14:00","waterlevel_m":null,"waterlevel_msl":"9.12","waterlevel_msl_previous":"9.12","flow_rate":null,"discharge":"2481.00","storage_percent":"95.31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2626,"tele_station_name":{"th":"บ้านบางแก้ว"},"tele_station_lat":14.59044,"tele_station_long":100.453293,"tele_station_oldcode":"C.7A","tele_station_type":"tele_waterlevel","left_bank":10.042,"right_bank":9.978,"min_bank":9.9,"ground_level":-6.73,"offset":null,"sub_basin_id":240,"agency_id":12,"geocode_id":622,"hydro_id":5,"qmax":2862,"is_key_station":true,"warning_level_m":null,"critical_level_m":null,"critical_level_msl":null},"geocode":{"area_code":"2","area_name":{"th":"ภาคกลาง","en":"Central"},"amphoe_code":"01","amphoe_name":{"th":"เมืองอ่างทอง","en":"Mueang Ang Thong District"},"tumbon_code":"01","tumbon_name":{"th":"ตลาดหลวง","en":"Talat Luang"},"province_code":"15","province_name":{"th":"อ่างทอง","en":"Ang Thong"}},"diff_wl_bank":"0.78","diff_wl_bank_text":"ต่ำกว่าตลิ่ง (ม.)","river_gid":181921,"river_name":"แม่น้ำเจ้าพระยา"}</t>
  </si>
  <si>
    <t>โรงเรียนวัดสุวรรณ</t>
  </si>
  <si>
    <t>THAIWATER_WL:2607</t>
  </si>
  <si>
    <t>S.5</t>
  </si>
  <si>
    <t>สะพานปรีดี-ธำรง</t>
  </si>
  <si>
    <t>https://maps.app.goo.gl/vyGbvEjQCpvuzhFw9?g_st=ac</t>
  </si>
  <si>
    <t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Kapi"},"province_code":"10","province_name":{"th":"กรุงเทพมหานคร","en":"Bangkok"}},"station":{"id":668,"canal_name":{"th":"ค.ชวดใหญ่ คลองลาดพร้าว"},"canal_lat":13.7631,"canal_long":100.59243,"canal_oldcode":"WL.CYI.03","bank":null,"warning_level":null,"critical_level":null}}</t>
  </si>
  <si>
    <t>THAIWATER:51</t>
  </si>
  <si>
    <t>WL.BPM.02</t>
  </si>
  <si>
    <t>ค.บางพรม ถ.ฉิมพลี</t>
  </si>
  <si>
    <t>{"id":1317572087,"waterlevel_datetime":"2026-10-03 14:00","waterlevel_m":null,"waterlevel_msl":"4.05","waterlevel_msl_previous":"4.01","flow_rate":null,"discharge":null,"storage_percent":"95.11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2607,"tele_station_name":{"th":"สะพานปรีดี-ธำรง"},"tele_station_lat":14.35872,"tele_station_long":100.580452,"tele_station_oldcode":"S.5","tele_station_type":"tele_waterlevel","left_bank":5.088,"right_bank":7.22,"min_bank":4.7,"ground_level":-8.59,"offset":null,"sub_basin_id":240,"agency_id":12,"geocode_id":398,"hydro_id":5,"qmax":1400,"is_key_station":true,"warning_level_m":null,"critical_level_m":null,"critical_level_msl":null},"geocode":{"area_code":"2","area_name":{"th":"ภาคกลาง","en":"Central"},"amphoe_code":"01","amphoe_name":{"th":"พระนครศรีอยุธยา","en":"Phra Nakhon Si Ayutthaya District"},"tumbon_code":"03","tumbon_name":{"th":"หอรัตนไชย","en":"Ho Rattana Chai"},"province_code":"14","province_name":{"th":"พระนครศรีอยุธยา","en":"Phra Nakhon Si Ayutthaya"}},"diff_wl_bank":"0.65","diff_wl_bank_text":"ต่ำกว่าตลิ่ง (ม.)","river_gid":182485,"river_name":"แม่น้ำป่าสัก"}</t>
  </si>
  <si>
    <t>THAIWATER_WL:136</t>
  </si>
  <si>
    <t>TRD003</t>
  </si>
  <si>
    <t>วังกระแจะ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</si>
  <si>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District"},"tumbon_name":{"th":"บางพรม","en":"Bang Phrom"},"province_code":"10","province_name":{"th":"กรุงเทพมหานคร","en":"Bangkok"}},"station":{"id":51,"canal_name":{"th":"ค.บางพรม ถ.ฉิมพลี"},"canal_lat":13.75707,"canal_long":100.43334,"canal_oldcode":"WL.BPM.02","bank":1.91,"warning_level":0.6,"critical_level":0.7}}</t>
  </si>
  <si>
    <t>THAIWATER:134</t>
  </si>
  <si>
    <t>WL.KMN.01</t>
  </si>
  <si>
    <t>แม่น้ำตราด</t>
  </si>
  <si>
    <t>ส.คลองมอญ</t>
  </si>
  <si>
    <t>บางกอกใหญ่</t>
  </si>
  <si>
    <t>{"canal_datetime":"2026-09-28 13:20","canal_value":0.14,"canal_out":1.1,"agency":{"agency_name":{"th":"สำนักการระบายน้ำ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134,"canal_name":{"th":"ส.คลองมอญ"},"canal_lat":13.74703,"canal_long":100.48489,"canal_oldcode":"WL.KMN.01","bank":3,"warning_level":2.8,"critical_level":3}}</t>
  </si>
  <si>
    <t>THAIWATER:186</t>
  </si>
  <si>
    <t>WL.PSI.01</t>
  </si>
  <si>
    <t>ค.พร้อมศรี 2 ถ.สุขุมวิท 49/13</t>
  </si>
  <si>
    <t>{"id":1317594672,"waterlevel_datetime":"2026-10-03 15:10","waterlevel_m":null,"waterlevel_msl":"0.90","waterlevel_msl_previous":"0.89","flow_rate":null,"discharge":null,"storage_percent":"95.10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Basin"}},"station":{"id":136,"tele_station_name":{"en":"Trat 3","th":"วังกระแจะ"},"tele_station_lat":12.262445,"tele_station_long":102.52681,"tele_station_oldcode":"TRD003","tele_station_type":"tele_waterlevel","left_bank":1.23,"right_bank":1.49,"min_bank":1.23,"ground_level":-5.51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Krachae"},"province_code":"23","province_name":{"th":"ตราด","en":"Trat"}},"diff_wl_bank":"0.33","diff_wl_bank_text":"ต่ำกว่าตลิ่ง (ม.)","river_gid":207116,"river_name":"แม่น้ำตราด"}</t>
  </si>
  <si>
    <t>THAIWATER_WL:2572</t>
  </si>
  <si>
    <t>K.10</t>
  </si>
  <si>
    <t>บ้านลุ่มสุ่ม</t>
  </si>
  <si>
    <t>{"canal_datetime":"2026-09-28 13:20","canal_value":-1.59,"canal_out":0,"agency":{"agency_name":{"th":"สำนักการระบายน้ำ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Nuea"},"province_code":"10","province_name":{"th":"กรุงเทพมหานคร","en":"Bangkok"}},"station":{"id":186,"canal_name":{"th":"ค.พร้อมศรี 2 ถ.สุขุมวิท 49/13"},"canal_lat":13.73827,"canal_long":100.57522,"canal_oldcode":"WL.PSI.01","bank":0,"warning_level":-0.2,"critical_level":0}}</t>
  </si>
  <si>
    <t>THAIWATER:273</t>
  </si>
  <si>
    <t>WL.WTN.02</t>
  </si>
  <si>
    <t>คูน้ำวัฒนา รร.วัฒนาวิทยาลัย</t>
  </si>
  <si>
    <t>2026-09-27T08:55:00+07:00</t>
  </si>
  <si>
    <t>{"id":1317575392,"waterlevel_datetime":"2026-10-03 14:00","waterlevel_m":null,"waterlevel_msl":"40.04","waterlevel_msl_previous":"40.07","flow_rate":null,"discharge":"928.67","storage_percent":"94.95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2572,"tele_station_name":{"th":"บ้านลุ่มสุ่ม"},"tele_station_lat":14.09243,"tele_station_long":99.178993,"tele_station_oldcode":"K.10","tele_station_type":"tele_waterlevel","left_bank":76.625,"right_bank":76.389,"min_bank":40.7,"ground_level":27.62,"offset":30.4,"sub_basin_id":273,"agency_id":12,"geocode_id":6597,"hydro_id":7,"qmax":1020,"is_key_station":true,"warning_level_m":null,"critical_level_m":10.3,"critical_level_msl":40.4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Sum"},"province_code":"71","province_name":{"th":"กาญจนบุรี","en":"Kanchanaburi"}},"diff_wl_bank":"0.66","diff_wl_bank_text":"ต่ำกว่าตลิ่ง (ม.)","river_gid":184805,"river_name":"แม่น้ำแควน้อย"}</t>
  </si>
  <si>
    <t>{"canal_datetime":"2026-09-27 08:55","canal_value":-1.23,"canal_out":0,"agency":{"agency_name":{"th":"สำนักการระบายน้ำ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Nuea"},"province_code":"10","province_name":{"th":"กรุงเทพมหานคร","en":"Bangkok"}},"station":{"id":273,"canal_name":{"th":"คูน้ำวัฒนา รร.วัฒนาวิทยาลัย"},"canal_lat":13.74233,"canal_long":100.56054,"canal_oldcode":"WL.WTN.02","bank":0.2,"warning_level":-0.2,"critical_level":0}}</t>
  </si>
  <si>
    <t>THAIWATER_WL:1035518</t>
  </si>
  <si>
    <t>THAIWATER:253</t>
  </si>
  <si>
    <t>M.185A</t>
  </si>
  <si>
    <t>บ้านหินโคนเก่า</t>
  </si>
  <si>
    <t>WL.TTN.01</t>
  </si>
  <si>
    <t>ค.ลาดโตนด ปตร.คลองลาดโตนด</t>
  </si>
  <si>
    <t>{"id":"cb64c88c-65ac-4406-89a5-fbad303fcc1c","district":"คลองสาน","category":"ศูนย์พักพิงชั่วคราว","name":"โรงเรียนวัดสุวรรณ","capacity":50,"occupied":0,"available":50,"unitType":"คน","status":"เปิดให้บริการ/ว่าง","routeDetails":"","link":"https://maps.app.goo.gl/vyGbvEjQCpvuzhFw9?g_st=ac","additionalDetails":null,"createdAt":"2026-09-26T08:04:34.000Z","updatedAt":"2026-09-26T08:04:34.000Z"}</t>
  </si>
  <si>
    <t>ลำปลายมาศ</t>
  </si>
  <si>
    <t>2026-09-28T10:50:00+07:00</t>
  </si>
  <si>
    <t>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</t>
  </si>
  <si>
    <t>{"canal_datetime":"2026-09-28 10:50","canal_value":1,"canal_out":0,"agency":{"agency_name":{"th":"สำนักการระบายน้ำ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Hong"},"province_code":"10","province_name":{"th":"กรุงเทพมหานคร","en":"Bangkok"}},"station":{"id":253,"canal_name":{"th":"ค.ลาดโตนด ปตร.คลองลาดโตนด"},"canal_lat":13.85509,"canal_long":100.56001,"canal_oldcode":"WL.TTN.01","bank":1,"warning_level":0.1,"critical_level":0.2}}</t>
  </si>
  <si>
    <t>THAIWATER:178</t>
  </si>
  <si>
    <t>WL.KJG.01</t>
  </si>
  <si>
    <t>ค.จิก ถ.หัวหมาก</t>
  </si>
  <si>
    <t>{"id":1317571348,"waterlevel_datetime":"2026-10-03 14:00","waterlevel_m":null,"waterlevel_msl":"158.38","waterlevel_msl_previous":"158.37","flow_rate":null,"discharge":"209.60","storage_percent":"94.74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1035518,"tele_station_name":{"th":"บ้านหินโคนเก่า"},"tele_station_lat":15.02688,"tele_station_long":102.805687,"tele_station_oldcode":"M.185A","tele_station_type":"tele_waterlevel","left_bank":156.59999399999998,"right_bank":156.59999399999998,"min_bank":158.85,"ground_level":149.91,"offset":150.399994,"sub_basin_id":115,"agency_id":12,"geocode_id":2116,"hydro_id":4,"qmax":467.5,"is_key_station":false,"warning_level_m":null,"critical_level_m":null,"critical_level_msl":null},"geocode":{"area_code":"4","area_name":{"th":"ภาคตะวันออกเฉียงเหนือ","en":"Northeast"},"amphoe_code":"10","amphoe_name":{"th":"ลำปลายมาศ","en":"Lam Plai Mat District"},"tumbon_code":"13","tumbon_name":{"th":"หินโคน","en":"Hin Khon"},"province_code":"31","province_name":{"th":"บุรีรัมย์","en":"Buri Ram"}},"diff_wl_bank":"0.47","diff_wl_bank_text":"ต่ำกว่าตลิ่ง (ม.)","river_gid":148781,"river_name":"ลำปลายมาศ"}</t>
  </si>
  <si>
    <t>THAIWATER_WL:1093079</t>
  </si>
  <si>
    <t>CHAU01</t>
  </si>
  <si>
    <t>คลองชะอวด</t>
  </si>
  <si>
    <t>{"canal_datetime":"2026-09-28 13:20","canal_value":0.46,"canal_out":0,"agency":{"agency_name":{"th":"สำนักการระบายน้ำ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Mak"},"province_code":"10","province_name":{"th":"กรุงเทพมหานคร","en":"Bangkok"}},"station":{"id":178,"canal_name":{"th":"ค.จิก ถ.หัวหมาก"},"canal_lat":13.7528,"canal_long":100.63296,"canal_oldcode":"WL.KJG.01","bank":1,"warning_level":-0.2,"critical_level":0}}</t>
  </si>
  <si>
    <t>THAIWATER:108</t>
  </si>
  <si>
    <t>WL.NBN.01</t>
  </si>
  <si>
    <t>ส.บึงหนองบอน</t>
  </si>
  <si>
    <t>{"canal_datetime":"2026-09-28 13:20","canal_value":-4.27,"canal_out":-0.47,"agency":{"agency_name":{"th":"สำนักการระบายน้ำ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108,"canal_name":{"th":"ส.บึงหนองบอน"},"canal_lat":13.69479,"canal_long":100.6535,"canal_oldcode":"WL.NBN.01","bank":1.98,"warning_level":-0.1,"critical_level":0}}</t>
  </si>
  <si>
    <t>THAIWATER:141</t>
  </si>
  <si>
    <t>WL.DKN.01</t>
  </si>
  <si>
    <t>ส.ดาวคะนอง</t>
  </si>
  <si>
    <t>{"id":1317594249,"waterlevel_datetime":"2026-10-03 15:10","waterlevel_m":null,"waterlevel_msl":"22.76","waterlevel_msl_previous":"22.76","flow_rate":null,"discharge":null,"storage_percent":"93.97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Basin"}},"station":{"id":1093079,"tele_station_name":{"en":"Khlong Cha Uat","th":"คลองชะอวด"},"tele_station_lat":7.96636,"tele_station_long":99.99436,"tele_station_oldcode":"CHAU01","tele_station_type":"tele_waterlevel","left_bank":25.467,"right_bank":24.217,"min_bank":24.22,"ground_level":0,"offset":null,"sub_basin_id":327,"agency_id":9,"geocode_id":7231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District"},"tumbon_code":"01","tumbon_name":{"th":"ชะอวด","en":"Cha-Uat"},"province_code":"80","province_name":{"th":"นครศรีธรรมราช","en":"Nakhon Si Thammarat"}},"diff_wl_bank":"1.46","diff_wl_bank_text":"ต่ำกว่าตลิ่ง (ม.)","river_gid":222921,"river_name":"คลองชะอวด"}</t>
  </si>
  <si>
    <t>THAIWATER_WL:12478</t>
  </si>
  <si>
    <t>PCH003</t>
  </si>
  <si>
    <t>ท่ายาง</t>
  </si>
  <si>
    <t>แม่น้ำเพชรบุรี</t>
  </si>
  <si>
    <t>{"canal_datetime":"2026-09-28 13:20","canal_value":0.2,"canal_out":0.66,"agency":{"agency_name":{"th":"สำนักการระบายน้ำ กรุงเทพมหานคร","en":"Department of Bangkok","jp":""}},"geocode":{"area_code":"2","area_name":{"th":"กรุงเทพมหานคร","en":"Bangkok"},"amphoe_name":{"th":"ธนบุรี","en":"Thon Buri District"},"tumbon_name":{"th":"ดาวคะนอง","en":"Dao Khanong"},"province_code":"10","province_name":{"th":"กรุงเทพมหานคร","en":"Bangkok"}},"station":{"id":141,"canal_name":{"th":"ส.ดาวคะนอง"},"canal_lat":13.69486,"canal_long":100.48759,"canal_oldcode":"WL.DKN.01","bank":1.99,"warning_level":2.6,"critical_level":2.8}}</t>
  </si>
  <si>
    <t>THAIWATER:242</t>
  </si>
  <si>
    <t>WL.KSM.01</t>
  </si>
  <si>
    <t>ค.สาม ร่มเกล้า 17</t>
  </si>
  <si>
    <t>{"id":1317594508,"waterlevel_datetime":"2026-10-03 15:10","waterlevel_m":null,"waterlevel_msl":"25.82","waterlevel_msl_previous":"25.82","flow_rate":null,"discharge":null,"storage_percent":"93.70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Basin"}},"station":{"id":12478,"tele_station_name":{"en":"Tha Yang","th":"ท่ายาง"},"tele_station_lat":12.81345,"tele_station_long":99.79404,"tele_station_oldcode":"PCH003","tele_station_type":"tele_waterlevel","left_bank":26.09,"right_bank":26.6,"min_bank":26.09,"ground_level":21.835,"offset":null,"sub_basin_id":300,"agency_id":9,"geocode_id":7072,"hydro_id":null,"qmax":null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Luang"},"province_code":"76","province_name":{"th":"เพชรบุรี","en":"Phetchaburi"}},"diff_wl_bank":"0.27","diff_wl_bank_text":"ต่ำกว่าตลิ่ง (ม.)","river_gid":210200,"river_name":"แม่น้ำเพชรบุรี"}</t>
  </si>
  <si>
    <t>{"canal_datetime":"2026-09-28 13:20","canal_value":1.12,"canal_out":0,"agency":{"agency_name":{"th":"สำนักการระบายน้ำ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District"},"tumbon_name":{"th":"คลองสามประเวศ","en":"Khlong Sam Prawet"},"province_code":"10","province_name":{"th":"กรุงเทพมหานคร","en":"Bangkok"}},"station":{"id":242,"canal_name":{"th":"ค.สาม ร่มเกล้า 17"},"canal_lat":13.77538,"canal_long":100.75395,"canal_oldcode":"WL.KSM.01","bank":1.5,"warning_level":0.6,"critical_level":0.7}}</t>
  </si>
  <si>
    <t>THAIWATER_WL:1422373</t>
  </si>
  <si>
    <t>THAIWATER:81</t>
  </si>
  <si>
    <t>RPBD13</t>
  </si>
  <si>
    <t>WL.PWT.04</t>
  </si>
  <si>
    <t>สะพานบ้างอ้อ อ.พุนพิน</t>
  </si>
  <si>
    <t>ปตร.คลองประเวศฯ-ลาดกระบัง</t>
  </si>
  <si>
    <t>{"canal_datetime":"2026-09-28 13:20","canal_value":0.82,"canal_out":0.94,"agency":{"agency_name":{"th":"สำนักการระบายน้ำ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District"},"tumbon_name":{"th":"ลาดกระบัง","en":"Lat Krabang"},"province_code":"10","province_name":{"th":"กรุงเทพมหานคร","en":"Bangkok"}},"station":{"id":81,"canal_name":{"th":"ปตร.คลองประเวศฯ-ลาดกระบัง"},"canal_lat":13.72411,"canal_long":100.74987,"canal_oldcode":"WL.PWT.04","bank":1.98,"warning_level":0.4,"critical_level":0.6}}</t>
  </si>
  <si>
    <t>THAIWATER:165</t>
  </si>
  <si>
    <t>WL.BTL.01</t>
  </si>
  <si>
    <t>ค.บางตลาด-ท่าทราย</t>
  </si>
  <si>
    <t>{"id":1317591824,"waterlevel_datetime":"2026-10-03 15:00","waterlevel_m":null,"waterlevel_msl":"0.96","waterlevel_msl_previous":"0.74","flow_rate":null,"discharge":null,"storage_percent":"93.29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Basin"}},"station":{"id":1422373,"tele_station_name":{"th":"สะพานบ้างอ้อ อ.พุนพิน"},"tele_station_lat":9.074279,"tele_station_long":99.217619,"tele_station_oldcode":"RPBD13","tele_station_type":"tele_waterlevel","left_bank":1.6894,"right_bank":2.9921,"min_bank":1.69,"ground_level":-9.13,"offset":null,"sub_basin_id":323,"agency_id":8,"geocode_id":7647,"hydro_id":null,"qmax":null,"is_key_station":false,"warning_level_m":null,"critical_level_m":null,"critical_level_msl":1.69},"geocode":{"area_code":"5","area_name":{"th":"ภาคใต้","en":"South"},"amphoe_code":"17","amphoe_name":{"th":"พุนพิน","en":"Phunphin District"},"tumbon_code":"15","tumbon_name":{"th":"เขาหัวควาย","en":"Khao Hua Khwai"},"province_code":"84","province_name":{"th":"สุราษฎร์ธานี","en":"Surat Thani"}},"diff_wl_bank":"0.73","diff_wl_bank_text":"ต่ำกว่าตลิ่ง (ม.)"}</t>
  </si>
  <si>
    <t>THAIWATER_WL:154</t>
  </si>
  <si>
    <t>BPK001</t>
  </si>
  <si>
    <t>บางปะกง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</si>
  <si>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Bangkok","jp":""}},"geocode":{"area_code":"1","area_name":{"th":"กรุงเทพมหานคร","en":"Bangkok"},"amphoe_name":{"th":"หลักสี่","en":"Lak Si District"},"tumbon_name":{"th":"ทุ่งสองห้อง","en":"Thung Song Hong"},"province_code":"10","province_name":{"th":"กรุงเทพมหานคร","en":"Bangkok"}},"station":{"id":165,"canal_name":{"th":"ค.บางตลาด-ท่าทราย"},"canal_lat":13.87579,"canal_long":100.55819,"canal_oldcode":"WL.BTL.01","bank":1,"warning_level":1.6,"critical_level":1.8}}</t>
  </si>
  <si>
    <t>THAIWATER:84</t>
  </si>
  <si>
    <t>WL.PWT.02</t>
  </si>
  <si>
    <t>ค.ประเวศฯ-วัดขจรฯ</t>
  </si>
  <si>
    <t>{"canal_datetime":"2026-09-28 13:20","canal_value":0.56,"canal_out":0,"agency":{"agency_name":{"th":"สำนักการระบายน้ำ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84,"canal_name":{"th":"ค.ประเวศฯ-วัดขจรฯ"},"canal_lat":13.71537,"canal_long":100.64117,"canal_oldcode":"WL.PWT.02","bank":1.85,"warning_level":0.4,"critical_level":0.5}}</t>
  </si>
  <si>
    <t>THAIWATER:87</t>
  </si>
  <si>
    <t>WL.KJK.01</t>
  </si>
  <si>
    <t>ส.คลองเจ็ก</t>
  </si>
  <si>
    <t>{"id":1317594243,"waterlevel_datetime":"2026-10-03 15:10","waterlevel_m":null,"waterlevel_msl":"0.71","waterlevel_msl_previous":"0.73","flow_rate":null,"discharge":null,"storage_percent":"92.86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Basin"}},"station":{"id":154,"tele_station_name":{"en":"Bangpakong 1","th":"บางปะกง"},"tele_station_lat":13.54901,"tele_station_long":101.00111,"tele_station_oldcode":"BPK001","tele_station_type":"tele_waterlevel","left_bank":1.665,"right_bank":1.897,"min_bank":1.67,"ground_level":-11.654,"offset":null,"sub_basin_id":286,"agency_id":9,"geocode_id":1422,"hydro_id":null,"qmax":null,"is_key_station":false,"warning_level_m":null,"critical_level_m":null,"critical_level_msl":null},"geocode":{"area_code":"2","area_name":{"th":"ภาคกลาง","en":"Central"},"amphoe_code":"04","amphoe_name":{"th":"บางปะกง","en":"Bang Pakong District"},"tumbon_code":"02","tumbon_name":{"th":"ท่าสะอ้าน","en":"Tha Sa-An"},"province_code":"24","province_name":{"th":"ฉะเชิงเทรา","en":"Chachoengsao"}},"diff_wl_bank":"0.95","diff_wl_bank_text":"ต่ำกว่าตลิ่ง (ม.)","river_gid":198815,"river_name":"แม่น้ำบางปะกง"}</t>
  </si>
  <si>
    <t>THAIWATER_WL:755</t>
  </si>
  <si>
    <t>MKG006</t>
  </si>
  <si>
    <t>พระรามสอง</t>
  </si>
  <si>
    <t>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</t>
  </si>
  <si>
    <t>{"canal_datetime":"2026-09-28 13:20","canal_value":-1.06,"canal_out":0.26,"agency":{"agency_name":{"th":"สำนักการระบายน้ำ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87,"canal_name":{"th":"ส.คลองเจ็ก"},"canal_lat":13.6922,"canal_long":100.5898,"canal_oldcode":"WL.KJK.01","bank":2.8,"warning_level":2.6,"critical_level":2.8}}</t>
  </si>
  <si>
    <t>THAIWATER:195</t>
  </si>
  <si>
    <t>WL.SKT.02</t>
  </si>
  <si>
    <t>ค.ทรงกระเทียม ปตร.คลองทรงกระเทียม</t>
  </si>
  <si>
    <t>{"canal_datetime":"2026-09-28 13:20","canal_value":0.13,"canal_out":0,"agency":{"agency_name":{"th":"สำนักการระบายน้ำ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Chan"},"province_code":"10","province_name":{"th":"กรุงเทพมหานคร","en":"Bangkok"}},"station":{"id":195,"canal_name":{"th":"ค.ทรงกระเทียม ปตร.คลองทรงกระเทียม"},"canal_lat":13.80003,"canal_long":100.62285,"canal_oldcode":"WL.SKT.02","bank":0.8,"warning_level":-0.2,"critical_level":0}}</t>
  </si>
  <si>
    <t>{"id":1317594373,"waterlevel_datetime":"2026-10-03 15:10","waterlevel_m":null,"waterlevel_msl":"0.98","waterlevel_msl_previous":"1.00","flow_rate":null,"discharge":null,"storage_percent":"92.69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Basin"}},"station":{"id":755,"tele_station_name":{"en":"Phra Ram 2","th":"พระรามสอง"},"tele_station_lat":13.38362,"tele_station_long":99.9836,"tele_station_oldcode":"MKG006","tele_station_type":"tele_waterlevel","left_bank":2.017,"right_bank":1.989,"min_bank":1.99,"ground_level":-11.86,"offset":null,"sub_basin_id":276,"agency_id":9,"geocode_id":6974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District"},"tumbon_code":"01","tumbon_name":{"th":"แม่กลอง","en":"Mae Klong"},"province_code":"75","province_name":{"th":"สมุทรสงคราม","en":"Samut Songkhram"}},"diff_wl_bank":"1.01","diff_wl_bank_text":"ต่ำกว่าตลิ่ง (ม.)","river_gid":208010,"river_name":"แม่น้ำแม่กลอง"}</t>
  </si>
  <si>
    <t>THAIWATER:281</t>
  </si>
  <si>
    <t>WL.KSO.01</t>
  </si>
  <si>
    <t>ค.ซอย ถ.บรมราชชนนี</t>
  </si>
  <si>
    <t>THAIWATER_WL:471583</t>
  </si>
  <si>
    <t>HDA004</t>
  </si>
  <si>
    <t>คลองช่องสะเดา</t>
  </si>
  <si>
    <t>{"canal_datetime":"2026-09-28 13:20","canal_value":0.93,"canal_out":0,"agency":{"agency_name":{"th":"สำนักการระบายน้ำ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Thammasop"},"province_code":"10","province_name":{"th":"กรุงเทพมหานคร","en":"Bangkok"}},"station":{"id":281,"canal_name":{"th":"ค.ซอย ถ.บรมราชชนนี"},"canal_lat":13.78884,"canal_long":100.35271,"canal_oldcode":"WL.KSO.01","bank":2,"warning_level":0.8,"critical_level":0.9}}</t>
  </si>
  <si>
    <t>THAIWATER:53</t>
  </si>
  <si>
    <t>WL.BPM.04</t>
  </si>
  <si>
    <t>ค.บางพรม ถ.พุทธฯสาย 3</t>
  </si>
  <si>
    <t>{"id":1317594334,"waterlevel_datetime":"2026-10-03 15:10","waterlevel_m":null,"waterlevel_msl":"2.81","waterlevel_msl_previous":"2.81","flow_rate":null,"discharge":null,"storage_percent":"92.25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Basin"}},"station":{"id":471583,"tele_station_name":{"en":"Chong Sa Dao","th":"คลองช่องสะเดา"},"tele_station_lat":14.344762,"tele_station_long":100.670105,"tele_station_oldcode":"HDA004","tele_station_type":"tele_waterlevel","left_bank":3.33,"right_bank":3.027,"min_bank":3.03,"ground_level":0.227,"offset":null,"sub_basin_id":240,"agency_id":9,"geocode_id":595,"hydro_id":null,"qmax":null,"is_key_station":false,"warning_level_m":null,"critical_level_m":null,"critical_level_msl":null},"geocode":{"area_code":"2","area_name":{"th":"ภาคกลาง","en":"Central"},"amphoe_code":"14","amphoe_name":{"th":"อุทัย","en":"Uthai District"},"tumbon_code":"06","tumbon_name":{"th":"อุทัย","en":"Uthai"},"province_code":"14","province_name":{"th":"พระนครศรีอยุธยา","en":"Phra Nakhon Si Ayutthaya"}},"diff_wl_bank":"0.22","diff_wl_bank_text":"ต่ำกว่าตลิ่ง (ม.)","river_gid":182519,"river_name":"คลองช่องสะเดา"}</t>
  </si>
  <si>
    <t>THAIWATER_WL:1082427</t>
  </si>
  <si>
    <t>CHK001</t>
  </si>
  <si>
    <t>บ่อดินขาว</t>
  </si>
  <si>
    <t>คลองอนุศาสนนันท์</t>
  </si>
  <si>
    <t>{"canal_datetime":"2026-09-28 13:20","canal_value":0.78,"canal_out":0,"agency":{"agency_name":{"th":"สำนักการระบายน้ำ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Watthana"},"province_code":"10","province_name":{"th":"กรุงเทพมหานคร","en":"Bangkok"}},"station":{"id":53,"canal_name":{"th":"ค.บางพรม ถ.พุทธฯสาย 3"},"canal_lat":13.76866,"canal_long":100.36401,"canal_oldcode":"WL.BPM.04","bank":1.91,"warning_level":0.6,"critical_level":1}}</t>
  </si>
  <si>
    <t>THAIWATER:54</t>
  </si>
  <si>
    <t>WL.BSU.02</t>
  </si>
  <si>
    <t>ค.เปรมฯ ถ.พระราม 5</t>
  </si>
  <si>
    <t>2026-09-24T04:30:00+07:00</t>
  </si>
  <si>
    <t>{"canal_datetime":"2026-09-24 04:30","canal_value":-0.98,"canal_out":0,"agency":{"agency_name":{"th":"สำนักการระบายน้ำ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District"},"tumbon_name":{"th":"ถนนนครไชยศรี","en":"Thanon Nakhon Chaisi"},"province_code":"10","province_name":{"th":"กรุงเทพมหานคร","en":"Bangkok"}},"station":{"id":54,"canal_name":{"th":"ค.เปรมฯ ถ.พระราม 5"},"canal_lat":13.79815,"canal_long":100.53226,"canal_oldcode":"WL.BSU.02","bank":1.91,"warning_level":0.3,"critical_level":0.4}}</t>
  </si>
  <si>
    <t>THAIWATER:208</t>
  </si>
  <si>
    <t>WL.BNJ.01</t>
  </si>
  <si>
    <t>ค.บางนางจีน ส.สูบน้ำบางนางจีน</t>
  </si>
  <si>
    <t>{"id":1317594259,"waterlevel_datetime":"2026-10-03 15:10","waterlevel_m":null,"waterlevel_msl":"15.50","waterlevel_msl_previous":"15.48","flow_rate":null,"discharge":null,"storage_percent":"92.20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Basin"}},"station":{"id":1082427,"tele_station_name":{"en":"Bo Din Khao","th":"บ่อดินขาว"},"tele_station_lat":15.169044,"tele_station_long":100.41471,"tele_station_oldcode":"CHK001","tele_station_type":"tele_waterlevel","left_bank":16.8115,"right_bank":16.8115,"min_bank":16.81,"ground_level":0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Sawan"}},"diff_wl_bank":"1.31","diff_wl_bank_text":"ต่ำกว่าตลิ่ง (ม.)","river_gid":175767,"river_name":"คลองอนุศาสนนันท์"}</t>
  </si>
  <si>
    <t>THAIWATER_WL:901</t>
  </si>
  <si>
    <t>PAT002</t>
  </si>
  <si>
    <t>เมืองยะลา</t>
  </si>
  <si>
    <t>เขื่อนปัตตานี</t>
  </si>
  <si>
    <t>{"canal_datetime":"2026-09-28 13:20","canal_value":-0.07,"canal_out":0,"agency":{"agency_name":{"th":"สำนักการระบายน้ำ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District"},"tumbon_name":{"th":"พระโขนงเหนือ","en":"Phra Khanong Nuea"},"province_code":"10","province_name":{"th":"กรุงเทพมหานคร","en":"Bangkok"}},"station":{"id":208,"canal_name":{"th":"ค.บางนางจีน ส.สูบน้ำบางนางจีน"},"canal_lat":13.71075,"canal_long":100.60308,"canal_oldcode":"WL.BNJ.01","bank":0.7,"warning_level":-0.5,"critical_level":-0.4}}</t>
  </si>
  <si>
    <t>THAIWATER:63</t>
  </si>
  <si>
    <t>WL.SWA.01</t>
  </si>
  <si>
    <t xml:space="preserve">ปตร.คลองสามวา </t>
  </si>
  <si>
    <t>{"canal_datetime":"2026-09-28 13:20","canal_value":1.18,"canal_out":1.53,"agency":{"agency_name":{"th":"สำนักการระบายน้ำ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District"},"tumbon_name":{"th":"บางขัน","en":"Bang Khan"},"province_code":"10","province_name":{"th":"กรุงเทพมหานคร","en":"Bangkok"}},"station":{"id":63,"canal_name":{"th":"ปตร.คลองสามวา "},"canal_lat":13.85956,"canal_long":100.72931,"canal_oldcode":"WL.SWA.01","bank":1.98,"warning_level":1.1,"critical_level":1.3}}</t>
  </si>
  <si>
    <t>27 ซอย เจริญนคร 9 แขวงคลองต้นไทร คลองสาน กรุงเทพมหานคร 10600 ประเทศไทย</t>
  </si>
  <si>
    <t>THAIWATER:240</t>
  </si>
  <si>
    <t>WL.BOA.02</t>
  </si>
  <si>
    <t>ChIJOY9209yY4jARheIvHuGyLxY</t>
  </si>
  <si>
    <t>ค.บางอ้อ ซ.สุขุมวิท 64</t>
  </si>
  <si>
    <t>{"id":1317594504,"waterlevel_datetime":"2026-10-03 15:10","waterlevel_m":null,"waterlevel_msl":"12.90","waterlevel_msl_previous":"12.90","flow_rate":null,"discharge":null,"storage_percent":"92.16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Basin"}},"station":{"id":901,"tele_station_name":{"en":"Patthani 2","th":"เมืองยะลา"},"tele_station_lat":6.67525,"tele_station_long":101.286354,"tele_station_oldcode":"PAT002","tele_station_type":"tele_waterlevel","left_bank":13.85,"right_bank":13.85,"min_bank":13.85,"ground_level":1.74,"offset":null,"sub_basin_id":336,"agency_id":9,"geocode_id":8278,"hydro_id":null,"qmax":null,"is_key_station":false,"warning_level_m":null,"critical_level_m":null,"critical_level_msl":null},"geocode":{"area_code":"5","area_name":{"th":"ภาคใต้","en":"South"},"amphoe_code":"01","amphoe_name":{"th":"เมืองยะลา","en":"Mueang Yala District"},"tumbon_code":"18","tumbon_name":{"th":"ตาเซะ","en":"Tase"},"province_code":"95","province_name":{"th":"ยะลา","en":"Yala"}},"diff_wl_bank":"0.95","diff_wl_bank_text":"ต่ำกว่าตลิ่ง (ม.)","river_gid":229078,"river_name":"เขื่อนปัตตานี"}</t>
  </si>
  <si>
    <t>2b25b8c2-0107-1c5d-5e8c-0256ef0c4a9d</t>
  </si>
  <si>
    <t>THAIWATER_WL:71</t>
  </si>
  <si>
    <t>CPY006</t>
  </si>
  <si>
    <t>อินทร์บุรี</t>
  </si>
  <si>
    <t>โรงเรียนวัดเศวตฉัตร</t>
  </si>
  <si>
    <t>https://maps.app.goo.gl/VDLF36p77vs9eniw6?g_st=ac</t>
  </si>
  <si>
    <t>{"canal_datetime":"2026-09-28 13:20","canal_value":-1.24,"canal_out":0,"agency":{"agency_name":{"th":"สำนักการระบายน้ำ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Chak"},"province_code":"10","province_name":{"th":"กรุงเทพมหานคร","en":"Bangkok"}},"station":{"id":240,"canal_name":{"th":"ค.บางอ้อ ซ.สุขุมวิท 64"},"canal_lat":13.68559,"canal_long":100.60441,"canal_oldcode":"WL.BOA.02","bank":0,"warning_level":-0.2,"critical_level":0}}</t>
  </si>
  <si>
    <t>THAIWATER:118</t>
  </si>
  <si>
    <t>WL.PKG.01</t>
  </si>
  <si>
    <t>ส.ปากคลองตลาด</t>
  </si>
  <si>
    <t>{"id":1317594281,"waterlevel_datetime":"2026-10-03 15:10","waterlevel_m":null,"waterlevel_msl":"14.00","waterlevel_msl_previous":"13.99","flow_rate":null,"discharge":null,"storage_percent":"91.93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Basin"}},"station":{"id":71,"tele_station_name":{"en":"Chao Phraya 6","th":"อินทร์บุรี"},"tele_station_lat":15.00602,"tele_station_long":100.33088,"tele_station_oldcode":"CPY006","tele_station_type":"tele_waterlevel","left_bank":15.1,"right_bank":15.1,"min_bank":15.1,"ground_level":1.423,"offset":null,"sub_basin_id":240,"agency_id":9,"geocode_id":877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District"},"tumbon_code":"01","tumbon_name":{"th":"อินทร์บุรี","en":"In Buri"},"province_code":"17","province_name":{"th":"สิงห์บุรี","en":"Sing Buri"}},"diff_wl_bank":"1.10","diff_wl_bank_text":"ต่ำกว่าตลิ่ง (ม.)","river_gid":177075,"river_name":"แม่น้ำเจ้าพระยา"}</t>
  </si>
  <si>
    <t>THAIWATER_WL:1109499</t>
  </si>
  <si>
    <t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District"},"tumbon_name":{"th":"พระบรมมหาราชวัง","en":"Phraborom Maharatchawang"},"province_code":"10","province_name":{"th":"กรุงเทพมหานคร","en":"Bangkok"}},"station":{"id":118,"canal_name":{"th":"ส.ปากคลองตลาด"},"canal_lat":13.74218,"canal_long":100.49466,"canal_oldcode":"WL.PKG.01","bank":3,"warning_level":2.8,"critical_level":3}}</t>
  </si>
  <si>
    <t>ONE010</t>
  </si>
  <si>
    <t>THAIWATER:171</t>
  </si>
  <si>
    <t>สะพานบ้านแก่งโพธิ์</t>
  </si>
  <si>
    <t>WL.STN.01</t>
  </si>
  <si>
    <t xml:space="preserve">ค.สองต้นนุ่น ถ.รามคำแหง </t>
  </si>
  <si>
    <t>ลำน้ำกำ</t>
  </si>
  <si>
    <t>{"canal_datetime":"2026-09-28 13:15","canal_value":0.86,"canal_out":0,"agency":{"agency_name":{"th":"สำนักการระบายน้ำ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District"},"tumbon_name":{"th":"มีนบุรี","en":"Min Buri"},"province_code":"10","province_name":{"th":"กรุงเทพมหานคร","en":"Bangkok"}},"station":{"id":171,"canal_name":{"th":"ค.สองต้นนุ่น ถ.รามคำแหง "},"canal_lat":13.80817,"canal_long":100.73067,"canal_oldcode":"WL.STN.01","bank":2,"warning_level":0.4,"critical_level":0.6}}</t>
  </si>
  <si>
    <t>THAIWATER:241</t>
  </si>
  <si>
    <t>WL.KJK.02</t>
  </si>
  <si>
    <t>ค.เจ็ก ถ.สุขุมวิท 60/1</t>
  </si>
  <si>
    <t>{"id":1317594466,"waterlevel_datetime":"2026-10-03 15:10","waterlevel_m":null,"waterlevel_msl":"138.35","waterlevel_msl_previous":"138.35","flow_rate":null,"discharge":null,"storage_percent":"91.84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Basin"}},"station":{"id":1109499,"tele_station_name":{"en":"Kaeng Pho Bridge","th":"สะพานบ้านแก่งโพธิ์"},"tele_station_lat":16.929113,"tele_station_long":104.700676,"tele_station_oldcode":"ONE010","tele_station_type":"tele_waterlevel","left_bank":139.12,"right_bank":140.778,"min_bank":139.12,"ground_level":129.685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Phanom"}},"diff_wl_bank":"0.77","diff_wl_bank_text":"ต่ำกว่าตลิ่ง (ม.)","river_gid":124463,"river_name":"ลำน้ำกำ"}</t>
  </si>
  <si>
    <t>THAIWATER_WL:23</t>
  </si>
  <si>
    <t>BKK007</t>
  </si>
  <si>
    <t>คลองอ้อมนนท์ บางใหญ่ (ถนนบางกรวย-ไทรน้อย)</t>
  </si>
  <si>
    <t>คลองแม่น้ำอ้อม</t>
  </si>
  <si>
    <t>{"canal_datetime":"2026-09-28 13:20","canal_value":-0.82,"canal_out":0,"agency":{"agency_name":{"th":"สำนักการระบายน้ำ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Chak"},"province_code":"10","province_name":{"th":"กรุงเทพมหานคร","en":"Bangkok"}},"station":{"id":241,"canal_name":{"th":"ค.เจ็ก ถ.สุขุมวิท 60/1"},"canal_lat":13.69734,"canal_long":100.6024,"canal_oldcode":"WL.KJK.02","bank":0,"warning_level":-0.2,"critical_level":0}}</t>
  </si>
  <si>
    <t>{"id":"2b25b8c2-0107-1c5d-5e8c-0256ef0c4a9d","district":"คลองสาน","category":"ศูนย์พักพิงชั่วคราว","name":"โรงเรียนวัดเศวตฉัตร","capacity":30,"occupied":0,"available":30,"unitType":"คน","status":"เปิดให้บริการ/ว่าง","routeDetails":"","link":"https://maps.app.goo.gl/VDLF36p77vs9eniw6?g_st=ac","additionalDetails":null,"createdAt":"2026-09-26T08:04:34.000Z","updatedAt":"2026-09-26T08:04:34.000Z"}</t>
  </si>
  <si>
    <t>THAIWATER:159</t>
  </si>
  <si>
    <t>WL.KPM.02</t>
  </si>
  <si>
    <t>ค.เปรมประชากร ถ.รัชดาภิเษก</t>
  </si>
  <si>
    <t>2024-04-01T11:25:00+07:00</t>
  </si>
  <si>
    <t>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</t>
  </si>
  <si>
    <t>{"canal_datetime":"2024-04-01 11:25","canal_value":1,"canal_out":0,"agency":{"agency_name":{"th":"สำนักการระบายน้ำ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Bangkok","jp":""}},"geocode":{"area_code":"2","area_name":{"th":"ภาคกลาง","en":"Central"},"amphoe_name":{"th":"จตุจักร","en":"Chatuchak District"},"tumbon_name":{"th":"จตุจักร","en":"Chatuchak"},"province_code":"10","province_name":{"th":"กรุงเทพมหานคร","en":"Bangkok"}},"station":{"id":159,"canal_name":{"th":"ค.เปรมประชากร ถ.รัชดาภิเษก"},"canal_lat":13.82993,"canal_long":100.54935,"canal_oldcode":"WL.KPM.02","bank":1,"warning_level":0.4,"critical_level":0.5}}</t>
  </si>
  <si>
    <t>{"id":1317594234,"waterlevel_datetime":"2026-10-03 15:10","waterlevel_m":null,"waterlevel_msl":"1.47","waterlevel_msl_previous":"1.47","flow_rate":null,"discharge":null,"storage_percent":"91.64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Basin"}},"station":{"id":23,"tele_station_name":{"en":"Krung Thep 7","th":"คลองอ้อมนนท์ บางใหญ่ (ถนนบางกรวย-ไทรน้อย)"},"tele_station_lat":13.87089,"tele_station_long":100.43626,"tele_station_oldcode":"BKK007","tele_station_type":"tele_waterlevel","left_bank":2.844,"right_bank":1.852,"min_bank":1.85,"ground_level":-2.717,"offset":null,"sub_basin_id":240,"agency_id":9,"geocode_id":290,"hydro_id":null,"qmax":null,"is_key_station":false,"warning_level_m":null,"critical_level_m":null,"critical_level_msl":null},"geocode":{"area_code":"2","area_name":{"th":"ภาคกลาง","en":"Central"},"amphoe_code":"03","amphoe_name":{"th":"บางใหญ่","en":"Bang Yai District"},"tumbon_code":"01","tumbon_name":{"th":"บางม่วง","en":"Bang Muang"},"province_code":"12","province_name":{"th":"นนทบุรี","en":"Nonthaburi"}},"diff_wl_bank":"0.38","diff_wl_bank_text":"ต่ำกว่าตลิ่ง (ม.)","river_gid":186173,"river_name":"คลองแม่น้ำอ้อม"}</t>
  </si>
  <si>
    <t>THAIWATER:52</t>
  </si>
  <si>
    <t>WL.BPM.03</t>
  </si>
  <si>
    <t>ค.บางพรม ถ.กาญจนาฯ</t>
  </si>
  <si>
    <t>THAIWATER_WL:859</t>
  </si>
  <si>
    <t>SLA005</t>
  </si>
  <si>
    <t>ปากรอ</t>
  </si>
  <si>
    <t>คลองปากรอ</t>
  </si>
  <si>
    <t>{"canal_datetime":"2026-09-28 13:20","canal_value":0.8,"canal_out":0,"agency":{"agency_name":{"th":"สำนักการระบายน้ำ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District"},"tumbon_name":{"th":"ทวีวัฒนา","en":"Thawi Watthana"},"province_code":"10","province_name":{"th":"กรุงเทพมหานคร","en":"Bangkok"}},"station":{"id":52,"canal_name":{"th":"ค.บางพรม ถ.กาญจนาฯ"},"canal_lat":13.76264,"canal_long":100.39624,"canal_oldcode":"WL.BPM.03","bank":1.91,"warning_level":0.6,"critical_level":0.7}}</t>
  </si>
  <si>
    <t>THAIWATER:229</t>
  </si>
  <si>
    <t>WL.YPN.01</t>
  </si>
  <si>
    <t>ค.ยายเผื่อน แฮปปี้แลนด์</t>
  </si>
  <si>
    <t>{"id":1317594606,"waterlevel_datetime":"2026-10-03 15:10","waterlevel_m":null,"waterlevel_msl":"0.33","waterlevel_msl_previous":"0.29","flow_rate":null,"discharge":null,"storage_percent":"91.17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Basin"}},"station":{"id":859,"tele_station_name":{"en":"Songkhla Lake 5","th":"ปากรอ"},"tele_station_lat":7.261514,"tele_station_long":100.42447,"tele_station_oldcode":"SLA005","tele_station_type":"tele_waterlevel","left_bank":1.622,"right_bank":0.974,"min_bank":0.97,"ground_level":-6.322,"offset":null,"sub_basin_id":330,"agency_id":9,"geocode_id":7906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District"},"tumbon_code":"07","tumbon_name":{"th":"ปากรอ","en":"Pak Ro"},"province_code":"90","province_name":{"th":"สงขลา","en":"Songkhla"}},"diff_wl_bank":"0.64","diff_wl_bank_text":"ต่ำกว่าตลิ่ง (ม.)","river_gid":226181,"river_name":"คลองปากรอ"}</t>
  </si>
  <si>
    <t>THAIWATER_WL:29</t>
  </si>
  <si>
    <t>CAN001</t>
  </si>
  <si>
    <t>คลองระพีพัฒน์แยกตก</t>
  </si>
  <si>
    <t>{"canal_datetime":"2026-09-28 13:20","canal_value":0.77,"canal_out":0,"agency":{"agency_name":{"th":"สำนักการระบายน้ำ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Chan"},"province_code":"10","province_name":{"th":"กรุงเทพมหานคร","en":"Bangkok"}},"station":{"id":229,"canal_name":{"th":"ค.ยายเผื่อน แฮปปี้แลนด์"},"canal_lat":13.77868,"canal_long":100.64013,"canal_oldcode":"WL.YPN.01","bank":0,"warning_level":-0.2,"critical_level":0}}</t>
  </si>
  <si>
    <t>THAIWATER:290</t>
  </si>
  <si>
    <t>WL.SDN.01</t>
  </si>
  <si>
    <t>ค.สวนแดน ถ.ชัยพฤกษ์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</si>
  <si>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Chan"},"province_code":"10","province_name":{"th":"กรุงเทพมหานคร","en":"Bangkok"}},"station":{"id":290,"canal_name":{"th":"ค.สวนแดน ถ.ชัยพฤกษ์"},"canal_lat":13.79063,"canal_long":100.46199,"canal_oldcode":"WL.SDN.01","bank":1.85,"warning_level":0.5,"critical_level":0.6}}</t>
  </si>
  <si>
    <t>THAIWATER:135</t>
  </si>
  <si>
    <t>WL.BCN.02</t>
  </si>
  <si>
    <t>ค.บางเชือกหนัง-ถ.พุทธมณฑลสาย 1</t>
  </si>
  <si>
    <t>{"id":1317594248,"waterlevel_datetime":"2026-10-03 15:10","waterlevel_m":null,"waterlevel_msl":"4.08","waterlevel_msl_previous":"4.08","flow_rate":null,"discharge":null,"storage_percent":"90.71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Basin"}},"station":{"id":29,"tele_station_name":{"en":"Rabibadhana West Section","th":"คลองระพีพัฒน์แยกตก"},"tele_station_lat":14.20612,"tele_station_long":100.74476,"tele_station_oldcode":"CAN001","tele_station_type":"tele_waterlevel","left_bank":4.56,"right_bank":4.857,"min_bank":4.56,"ground_level":-0.641,"offset":null,"sub_basin_id":240,"agency_id":9,"geocode_id":349,"hydro_id":null,"qmax":null,"is_key_station":false,"warning_level_m":null,"critical_level_m":null,"critical_level_msl":null},"geocode":{"area_code":"2","area_name":{"th":"ภาคกลาง","en":"Central"},"amphoe_code":"02","amphoe_name":{"th":"คลองหลวง","en":"Khlong Luang District"},"tumbon_code":"07","tumbon_name":{"th":"คลองเจ็ด","en":"Khlong Chet"},"province_code":"13","province_name":{"th":"ปทุมธานี","en":"Pathum Thani"}},"diff_wl_bank":"0.48","diff_wl_bank_text":"ต่ำกว่าตลิ่ง (ม.)","river_gid":183877,"river_name":"คลองระพีพัฒน์แยกตก"}</t>
  </si>
  <si>
    <t>THAIWATER_WL:710</t>
  </si>
  <si>
    <t>RAJ001</t>
  </si>
  <si>
    <t>โพธาราม</t>
  </si>
  <si>
    <t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District"},"tumbon_name":{"th":"คลองขวาง","en":"Khlong Khwang"},"province_code":"10","province_name":{"th":"กรุงเทพมหานคร","en":"Bangkok"}},"station":{"id":135,"canal_name":{"th":"ค.บางเชือกหนัง-ถ.พุทธมณฑลสาย 1"},"canal_lat":13.74219,"canal_long":100.42747,"canal_oldcode":"WL.BCN.02","bank":1.85,"warning_level":0.6,"critical_level":0.7}}</t>
  </si>
  <si>
    <t>THAIWATER:76</t>
  </si>
  <si>
    <t>WL.SSN.05</t>
  </si>
  <si>
    <t>ค.สามเสน-รพ.พระมงกุฎฯ</t>
  </si>
  <si>
    <t>2023-08-10T13:25:00+07:00</t>
  </si>
  <si>
    <t>{"id":1317594535,"waterlevel_datetime":"2026-10-03 15:10","waterlevel_m":null,"waterlevel_msl":"5.08","waterlevel_msl_previous":"5.09","flow_rate":null,"discharge":null,"storage_percent":"90.62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Basin"}},"station":{"id":710,"tele_station_name":{"en":"Ratchaburi 1","th":"โพธาราม"},"tele_station_lat":13.63308,"tele_station_long":99.8164,"tele_station_oldcode":"RAJ001","tele_station_type":"tele_waterlevel","left_bank":5.92,"right_bank":5.92,"min_bank":5.92,"ground_level":-3.091,"offset":null,"sub_basin_id":276,"agency_id":9,"geocode_id":6550,"hydro_id":null,"qmax":null,"is_key_station":false,"warning_level_m":null,"critical_level_m":null,"critical_level_msl":null},"geocode":{"area_code":"2","area_name":{"th":"ภาคกลาง","en":"Central"},"amphoe_code":"07","amphoe_name":{"th":"โพธาราม","en":"Photharam District"},"tumbon_code":"09","tumbon_name":{"th":"เจ็ดเสมียน","en":"Chet Samian"},"province_code":"70","province_name":{"th":"ราชบุรี","en":"Ratchaburi"}},"diff_wl_bank":"0.84","diff_wl_bank_text":"ต่ำกว่าตลิ่ง (ม.)","river_gid":188824,"river_name":"แม่น้ำแม่กลอง"}</t>
  </si>
  <si>
    <t>THAIWATER_WL:36</t>
  </si>
  <si>
    <t>BKK013</t>
  </si>
  <si>
    <t>คลองระพีพัฒน์แยกใต้ หนองเสือ</t>
  </si>
  <si>
    <t>{"canal_datetime":"2023-08-10 13:25","canal_value":-0.43,"canal_out":0,"agency":{"agency_name":{"th":"สำนักการระบายน้ำ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Bangkok","jp":""}},"geocode":{"area_code":"1","area_name":{"th":"กรุงเทพมหานคร","en":"Bangkok"},"amphoe_name":{"th":"ราชเทวี","en":"Ratchathewi District"},"tumbon_name":{"th":"ทุ่งพญาไท","en":"Thung Phaya Thai"},"province_code":"10","province_name":{"th":"กรุงเทพมหานคร","en":"Bangkok"}},"station":{"id":76,"canal_name":{"th":"ค.สามเสน-รพ.พระมงกุฎฯ"},"canal_lat":13.769,"canal_long":100.53462,"canal_oldcode":"WL.SSN.05","bank":1.85,"warning_level":0.2,"critical_level":0.3}}</t>
  </si>
  <si>
    <t>คลองลาดผักขวง</t>
  </si>
  <si>
    <t>THAIWATER:90</t>
  </si>
  <si>
    <t>WL.BNA.01</t>
  </si>
  <si>
    <t>ส.บางนา</t>
  </si>
  <si>
    <t>{"id":1317594236,"waterlevel_datetime":"2026-10-03 15:10","waterlevel_m":null,"waterlevel_msl":"3.50","waterlevel_msl_previous":"3.50","flow_rate":null,"discharge":null,"storage_percent":"89.89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Basin"}},"station":{"id":36,"tele_station_name":{"en":"Rabibadhana Nong Suea","th":"คลองระพีพัฒน์แยกใต้ หนองเสือ"},"tele_station_lat":14.2206,"tele_station_long":100.89168,"tele_station_oldcode":"BKK013","tele_station_type":"tele_waterlevel","left_bank":3.96,"right_bank":5.025,"min_bank":3.96,"ground_level":-0.58,"offset":null,"sub_basin_id":240,"agency_id":9,"geocode_id":364,"hydro_id":null,"qmax":null,"is_key_station":false,"warning_level_m":null,"critical_level_m":null,"critical_level_msl":null},"geocode":{"area_code":"2","area_name":{"th":"ภาคกลาง","en":"Central"},"amphoe_code":"04","amphoe_name":{"th":"หนองเสือ","en":"Nong Suea District"},"tumbon_code":"07","tumbon_name":{"th":"นพรัตน์","en":"Noppharat"},"province_code":"13","province_name":{"th":"ปทุมธานี","en":"Pathum Thani"}},"diff_wl_bank":"0.46","diff_wl_bank_text":"ต่ำกว่าตลิ่ง (ม.)","river_gid":183598,"river_name":"คลองลาดผักขวง"}</t>
  </si>
  <si>
    <t>THAIWATER_WL:1106457</t>
  </si>
  <si>
    <t>TCP011</t>
  </si>
  <si>
    <t>สถานีสูบน้ำคลองระบายชัยนาท-ป่าสัก 2 (ทุ่งเชียงราก)</t>
  </si>
  <si>
    <t>คลองบางโฉมศรี</t>
  </si>
  <si>
    <t>{"canal_datetime":"2026-09-28 13:20","canal_value":-0.78,"canal_out":0.15,"agency":{"agency_name":{"th":"สำนักการระบายน้ำ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90,"canal_name":{"th":"ส.บางนา"},"canal_lat":13.67482,"canal_long":100.58775,"canal_oldcode":"WL.BNA.01","bank":2.8,"warning_level":2.6,"critical_level":2.8}}</t>
  </si>
  <si>
    <t>THAIWATER:194</t>
  </si>
  <si>
    <t>WL.SKT.01</t>
  </si>
  <si>
    <t>ค.ทรงกระเทียม ถ.นาคนิวาส</t>
  </si>
  <si>
    <t>{"id":1317594645,"waterlevel_datetime":"2026-10-03 15:10","waterlevel_m":null,"waterlevel_msl":"11.05","waterlevel_msl_previous":"11.05","flow_rate":null,"discharge":null,"storage_percent":"89.84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Basin"}},"station":{"id":1106457,"tele_station_name":{"en":"Khlong Rabai Chai Nat Pa Sak Pumping Station","th":"สถานีสูบน้ำคลองระบายชัยนาท-ป่าสัก 2 (ทุ่งเชียงราก)"},"tele_station_lat":15.05502,"tele_station_long":100.32081,"tele_station_oldcode":"TCP011","tele_station_type":"tele_waterlevel","left_bank":12.3,"right_bank":12.3,"min_bank":12.3,"ground_level":0,"offset":null,"sub_basin_id":240,"agency_id":9,"geocode_id":881,"hydro_id":null,"qmax":null,"is_key_station":false,"warning_level_m":null,"critical_level_m":null,"critical_level_msl":null},"geocode":{"area_code":"2","area_name":{"th":"ภาคกลาง","en":"Central"},"amphoe_code":"06","amphoe_name":{"th":"อินทร์บุรี","en":"In Buri District"},"tumbon_code":"05","tumbon_name":{"th":"ชีน้ำร้าย","en":"Chi Nam Rai"},"province_code":"17","province_name":{"th":"สิงห์บุรี","en":"Sing Buri"}},"diff_wl_bank":"1.25","diff_wl_bank_text":"ต่ำกว่าตลิ่ง (ม.)","river_gid":176428,"river_name":"คลองบางโฉมศรี"}</t>
  </si>
  <si>
    <t>THAIWATER_WL:709</t>
  </si>
  <si>
    <t>RAJ002</t>
  </si>
  <si>
    <t>บ้านโป่ง</t>
  </si>
  <si>
    <t>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</t>
  </si>
  <si>
    <t>{"canal_datetime":"2026-09-28 13:20","canal_value":0.24,"canal_out":0,"agency":{"agency_name":{"th":"สำนักการระบายน้ำ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Bangkok","jp":""}},"geocode":{"area_code":"1","area_name":{"th":"กรุงเทพมหานคร","en":"Bangkok"},"amphoe_name":{"th":"ลาดพร้าว","en":"Lat Phrao District"},"tumbon_name":{"th":"ลาดพร้าว","en":"Lat Phrao"},"province_code":"10","province_name":{"th":"กรุงเทพมหานคร","en":"Bangkok"}},"station":{"id":194,"canal_name":{"th":"ค.ทรงกระเทียม ถ.นาคนิวาส"},"canal_lat":13.80028,"canal_long":100.6068,"canal_oldcode":"WL.SKT.01","bank":1,"warning_level":-0.2,"critical_level":0}}</t>
  </si>
  <si>
    <t>THAIWATER:176</t>
  </si>
  <si>
    <t>WL.LPT.02</t>
  </si>
  <si>
    <t>ค.ลำปลาทิว ซ.ฉลองกรุง 54</t>
  </si>
  <si>
    <t>{"id":1317594536,"waterlevel_datetime":"2026-10-03 15:10","waterlevel_m":null,"waterlevel_msl":"8.60","waterlevel_msl_previous":"8.62","flow_rate":null,"discharge":null,"storage_percent":"89.81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Basin"}},"station":{"id":709,"tele_station_name":{"en":"Ratchaburi 2","th":"บ้านโป่ง"},"tele_station_lat":13.81866,"tele_station_long":99.86508,"tele_station_oldcode":"RAJ002","tele_station_type":"tele_waterlevel","left_bank":9.56,"right_bank":9.56,"min_bank":9.56,"ground_level":0.132,"offset":null,"sub_basin_id":276,"agency_id":9,"geocode_id":6531,"hydro_id":null,"qmax":null,"is_key_station":false,"warning_level_m":null,"critical_level_m":null,"critical_level_msl":null},"geocode":{"area_code":"2","area_name":{"th":"ภาคกลาง","en":"Central"},"amphoe_code":"05","amphoe_name":{"th":"บ้านโป่ง","en":"Ban Pong District"},"tumbon_code":"14","tumbon_name":{"th":"เบิกไพร","en":"Boek Phrai"},"province_code":"70","province_name":{"th":"ราชบุรี","en":"Ratchaburi"}},"diff_wl_bank":"0.96","diff_wl_bank_text":"ต่ำกว่าตลิ่ง (ม.)","river_gid":186647,"river_name":"แม่น้ำแม่กลอง"}</t>
  </si>
  <si>
    <t>2025-06-29T18:25:00+07:00</t>
  </si>
  <si>
    <t>THAIWATER_WL:770</t>
  </si>
  <si>
    <t>GLF003</t>
  </si>
  <si>
    <t>บางตะบูนและบางตะบูนออก</t>
  </si>
  <si>
    <t>คลองบางตะบูน</t>
  </si>
  <si>
    <t>{"canal_datetime":"2025-06-29 18:25","canal_value":0.04,"canal_out":0,"agency":{"agency_name":{"th":"สำนักการระบายน้ำ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District"},"tumbon_name":{"th":"ลำปลาทิว","en":"Lam Pla Thio"},"province_code":"10","province_name":{"th":"กรุงเทพมหานคร","en":"Bangkok"}},"station":{"id":176,"canal_name":{"th":"ค.ลำปลาทิว ซ.ฉลองกรุง 54"},"canal_lat":13.77005,"canal_long":100.81298,"canal_oldcode":"WL.LPT.02","bank":1.26,"warning_level":0.6,"critical_level":0.7}}</t>
  </si>
  <si>
    <t>THAIWATER:146</t>
  </si>
  <si>
    <t>WL.LPN.01</t>
  </si>
  <si>
    <t>ส.คลองเลนเปน</t>
  </si>
  <si>
    <t>{"id":1317594329,"waterlevel_datetime":"2026-10-03 15:10","waterlevel_m":null,"waterlevel_msl":"1.28","waterlevel_msl_previous":"1.28","flow_rate":null,"discharge":null,"storage_percent":"89.57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Basin"}},"station":{"id":770,"tele_station_name":{"en":"Bang Taboon and East Bang Taboon","th":"บางตะบูนและบางตะบูนออก"},"tele_station_lat":13.26553,"tele_station_long":99.9418,"tele_station_oldcode":"GLF003","tele_station_type":"tele_waterlevel","left_bank":3.614,"right_bank":2.1,"min_bank":2.1,"ground_level":-5.77,"offset":null,"sub_basin_id":302,"agency_id":9,"geocode_id":7103,"hydro_id":null,"qmax":null,"is_key_station":false,"warning_level_m":null,"critical_level_m":null,"critical_level_msl":null},"geocode":{"area_code":"2","area_name":{"th":"ภาคกลาง","en":"Central"},"amphoe_code":"07","amphoe_name":{"th":"บ้านแหลม","en":"Ban Laem District"},"tumbon_code":"07","tumbon_name":{"th":"บางตะบูนออก","en":"Bang Tabun Ok"},"province_code":"76","province_name":{"th":"เพชรบุรี","en":"Phetchaburi"}},"diff_wl_bank":"0.82","diff_wl_bank_text":"ต่ำกว่าตลิ่ง (ม.)","river_gid":208487,"river_name":"คลองบางตะบูน"}</t>
  </si>
  <si>
    <t>THAIWATER_WL:1085210</t>
  </si>
  <si>
    <t>SKN002</t>
  </si>
  <si>
    <t>สะพานตาบัว บ้านยาเด๊ะ</t>
  </si>
  <si>
    <t>คลองอัยดาลอ</t>
  </si>
  <si>
    <t>{"canal_datetime":"2026-09-28 13:20","canal_value":-0.77,"canal_out":1,"agency":{"agency_name":{"th":"สำนักการระบายน้ำ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146,"canal_name":{"th":"ส.คลองเลนเปน"},"canal_lat":13.60695,"canal_long":100.41311,"canal_oldcode":"WL.LPN.01","bank":1.98,"warning_level":1,"critical_level":1.2}}</t>
  </si>
  <si>
    <t>THAIWATER:166</t>
  </si>
  <si>
    <t>WL.PSR.04</t>
  </si>
  <si>
    <t>ปตร.พระยาสุเรนทร์ ตอนคู้บอน</t>
  </si>
  <si>
    <t>{"id":1317590087,"waterlevel_datetime":"2026-10-03 15:00","waterlevel_m":null,"waterlevel_msl":"112.45","waterlevel_msl_previous":"112.45","flow_rate":null,"discharge":null,"storage_percent":"89.45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Basin"}},"station":{"id":1085210,"tele_station_name":{"en":"Bua Ban Ya De Bridge","th":"สะพานตาบัว บ้านยาเด๊ะ"},"tele_station_lat":5.827553,"tele_station_long":101.75235,"tele_station_oldcode":"SKN002","tele_station_type":"tele_waterlevel","left_bank":114.692,"right_bank":114.096,"min_bank":114.1,"ground_level":98.498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Mong"},"province_code":"96","province_name":{"th":"นราธิวาส","en":"Narathiwat"}},"diff_wl_bank":"1.65","diff_wl_bank_text":"ต่ำกว่าตลิ่ง (ม.)","river_gid":232560,"river_name":"คลองอัยดาลอ"}</t>
  </si>
  <si>
    <t>THAIWATER_WL:2770</t>
  </si>
  <si>
    <t>Ct.2A</t>
  </si>
  <si>
    <t>บ้านหาดทนง</t>
  </si>
  <si>
    <t>แม่น้ำสะแกกรัง</t>
  </si>
  <si>
    <t>{"canal_datetime":"2026-09-28 13:20","canal_value":1.26,"canal_out":0,"agency":{"agency_name":{"th":"สำนักการระบายน้ำ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Yao"},"province_code":"10","province_name":{"th":"กรุงเทพมหานคร","en":"Bangkok"}},"station":{"id":166,"canal_name":{"th":"ปตร.พระยาสุเรนทร์ ตอนคู้บอน"},"canal_lat":13.85077,"canal_long":100.67829,"canal_oldcode":"WL.PSR.04","bank":1.6,"warning_level":1.05,"critical_level":1.15}}</t>
  </si>
  <si>
    <t>THAIWATER:167</t>
  </si>
  <si>
    <t>WL.PSR.03</t>
  </si>
  <si>
    <t>ค.พระยาสุเรนทร์ ถ.จตุโชติ</t>
  </si>
  <si>
    <t>{"id":1317572080,"waterlevel_datetime":"2026-10-03 14:00","waterlevel_m":null,"waterlevel_msl":"20.28","waterlevel_msl_previous":"20.28","flow_rate":null,"discharge":null,"storage_percent":"89.44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2770,"tele_station_name":{"th":"บ้านหาดทนง"},"tele_station_lat":15.41085,"tele_station_long":100.057068,"tele_station_oldcode":"Ct.2A","tele_station_type":"tele_waterlevel","left_bank":21.359,"right_bank":21.402,"min_bank":21.34,"ground_level":11.3,"offset":null,"sub_basin_id":246,"agency_id":12,"geocode_id":5798,"hydro_id":5,"qmax":616,"is_key_station":false,"warning_level_m":null,"critical_level_m":null,"critical_level_msl":null},"geocode":{"area_code":"3","area_name":{"th":"ภาคเหนือ","en":"North"},"amphoe_code":"01","amphoe_name":{"th":"เมืองอุทัยธานี","en":"Mueang Uthai Thani District"},"tumbon_code":"03","tumbon_name":{"th":"สะแกกรัง","en":"Sakae Krang"},"province_code":"61","province_name":{"th":"อุทัยธานี","en":"Uthai Thani"}},"diff_wl_bank":"1.06","diff_wl_bank_text":"ต่ำกว่าตลิ่ง (ม.)","river_gid":172853,"river_name":"แม่น้ำสะแกกรัง"}</t>
  </si>
  <si>
    <t>THAIWATER_WL:1130137</t>
  </si>
  <si>
    <t>MOU510</t>
  </si>
  <si>
    <t>น้ำตกโตนแพรทอง</t>
  </si>
  <si>
    <t>คลองลำสิน</t>
  </si>
  <si>
    <t>{"canal_datetime":"2026-09-28 13:20","canal_value":1.62,"canal_out":0,"agency":{"agency_name":{"th":"สำนักการระบายน้ำ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Bangkok","jp":""}},"geocode":{"area_code":"1","area_name":{"th":"กรุงเทพมหานคร","en":"Bangkok"},"amphoe_name":{"th":"สายไหม","en":"Sai Mai District"},"tumbon_name":{"th":"ออเงิน","en":"O Ngoen"},"province_code":"10","province_name":{"th":"กรุงเทพมหานคร","en":"Bangkok"}},"station":{"id":167,"canal_name":{"th":"ค.พระยาสุเรนทร์ ถ.จตุโชติ"},"canal_lat":13.87621,"canal_long":100.68614,"canal_oldcode":"WL.PSR.03","bank":1.5,"warning_level":1,"critical_level":1.2}}</t>
  </si>
  <si>
    <t>THAIWATER:132</t>
  </si>
  <si>
    <t>WL.KBU.01</t>
  </si>
  <si>
    <t>ปตร.คลองบัว ทางรถไฟ</t>
  </si>
  <si>
    <t>{"id":1317594104,"waterlevel_datetime":"2026-10-03 15:10","waterlevel_m":null,"waterlevel_msl":"399.08","waterlevel_msl_previous":"399.08","flow_rate":null,"discharge":null,"storage_percent":"89.42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Basin"}},"station":{"id":1130137,"tele_station_name":{"en":"Ton Phrae Thong Waterfall","th":"น้ำตกโตนแพรทอง"},"tele_station_lat":7.48407,"tele_station_long":99.89179,"tele_station_oldcode":"MOU510","tele_station_type":"tele_waterlevel","left_bank":399.5,"right_bank":399.5,"min_bank":399.5,"ground_level":395.5,"offset":null,"sub_basin_id":329,"sponsor_by":"สำนักงานคณะกรรมการกิจการกระจายเสียง กิจการโทรทัศน์และกิจการโทรคมนาคมแห่งชาติ","agency_id":91,"geocode_id":8075,"hydro_id":null,"qmax":null,"is_key_station":false,"warning_level_m":null,"critical_level_m":null,"critical_level_msl":null},"geocode":{"area_code":"5","area_name":{"th":"ภาคใต้","en":"South"},"amphoe_code":"02","amphoe_name":{"th":"กงหรา","en":"Kong Ra District"},"tumbon_code":"01","tumbon_name":{"th":"กงหรา","en":"Kong Ra"},"province_code":"93","province_name":{"th":"พัทลุง","en":"Phatthalung"}},"diff_wl_bank":"0.42","diff_wl_bank_text":"ต่ำกว่าตลิ่ง (ม.)","river_gid":224971,"river_name":"คลองลำสิน"}</t>
  </si>
  <si>
    <t>8 ซอย เจริญนคร 25 แขวงบางลำภูล่าง คลองสาน กรุงเทพมหานคร 10600 ประเทศไทย</t>
  </si>
  <si>
    <t>ChIJt2fOtuqY4jARTNjDSmHzhq0</t>
  </si>
  <si>
    <t>THAIWATER_WL:395</t>
  </si>
  <si>
    <t>SKM001</t>
  </si>
  <si>
    <t>สะพานนาทม</t>
  </si>
  <si>
    <t>ccd2e85f-b897-4b51-a930-b185d0563f47</t>
  </si>
  <si>
    <t>แม่น้ำสงคราม</t>
  </si>
  <si>
    <t>รพ.รัตนประชารักษ์</t>
  </si>
  <si>
    <t>https://maps.app.goo.gl/q6nxvLdC1R2f79RS7</t>
  </si>
  <si>
    <t>{"canal_datetime":"2026-09-28 13:20","canal_value":0.58,"canal_out":1.37,"agency":{"agency_name":{"th":"สำนักการระบายน้ำ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District"},"tumbon_name":{"th":"ฉิมพลี","en":"Chimphli"},"province_code":"10","province_name":{"th":"กรุงเทพมหานคร","en":"Bangkok"}},"station":{"id":132,"canal_name":{"th":"ปตร.คลองบัว ทางรถไฟ"},"canal_lat":13.79993,"canal_long":100.41599,"canal_oldcode":"WL.KBU.01","bank":1.98,"warning_level":1.8,"critical_level":2}}</t>
  </si>
  <si>
    <t>THAIWATER:179</t>
  </si>
  <si>
    <t>WL.BPA.01</t>
  </si>
  <si>
    <t>ค.บ้านป่า ถ.พัฒนาการ</t>
  </si>
  <si>
    <t>{"id":1317594594,"waterlevel_datetime":"2026-10-03 15:10","waterlevel_m":null,"waterlevel_msl":"142.57","waterlevel_msl_previous":"142.57","flow_rate":null,"discharge":null,"storage_percent":"89.27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Basin"}},"station":{"id":395,"tele_station_name":{"en":"Nathom Bridge","th":"สะพานนาทม"},"tele_station_lat":17.777582,"tele_station_long":104.01503,"tele_station_oldcode":"SKM001","tele_station_type":"tele_waterlevel","left_bank":143.857,"right_bank":144.219,"min_bank":143.86,"ground_level":131.865,"offset":null,"sub_basin_id":62,"agency_id":9,"geocode_id":4463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District"},"tumbon_code":"04","tumbon_name":{"th":"โพนงาม","en":"Phon Ngam"},"province_code":"47","province_name":{"th":"สกลนคร","en":"Sakon Nakhon"}},"diff_wl_bank":"1.29","diff_wl_bank_text":"ต่ำกว่าตลิ่ง (ม.)","river_gid":111687,"river_name":"แม่น้ำสงคราม"}</t>
  </si>
  <si>
    <t>THAIWATER_WL:2750</t>
  </si>
  <si>
    <t>M.184</t>
  </si>
  <si>
    <t>บ้านซึม</t>
  </si>
  <si>
    <t>แม่น้ำมูล</t>
  </si>
  <si>
    <t>{"canal_datetime":"2026-09-28 13:20","canal_value":0.23,"canal_out":0,"agency":{"agency_name":{"th":"สำนักการระบายน้ำ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Luang"},"province_code":"10","province_name":{"th":"กรุงเทพมหานคร","en":"Bangkok"}},"station":{"id":179,"canal_name":{"th":"ค.บ้านป่า ถ.พัฒนาการ"},"canal_lat":13.7367,"canal_long":100.61167,"canal_oldcode":"WL.BPA.01","bank":0.7,"warning_level":-0.2,"critical_level":0}}</t>
  </si>
  <si>
    <t>THAIWATER:263</t>
  </si>
  <si>
    <t>WL.BPN.01</t>
  </si>
  <si>
    <t>ค.บางพราน ถ.บางบอน 1</t>
  </si>
  <si>
    <t>2026-09-26T14:18:22.509Z</t>
  </si>
  <si>
    <t>2026-09-26T14:18:51.976Z</t>
  </si>
  <si>
    <t>2024-05-14T12:30:00+07:00</t>
  </si>
  <si>
    <t>{"id":1317571364,"waterlevel_datetime":"2026-10-03 14:00","waterlevel_m":null,"waterlevel_msl":"154.68","waterlevel_msl_previous":"154.67","flow_rate":null,"discharge":"86.80","storage_percent":"89.12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2750,"tele_station_name":{"th":"บ้านซึม"},"tele_station_lat":15.21996,"tele_station_long":102.428299,"tele_station_oldcode":"M.184","tele_station_type":"tele_waterlevel","left_bank":306.024,"right_bank":305.988,"min_bank":155.3,"ground_level":149.6,"offset":150,"sub_basin_id":112,"agency_id":12,"geocode_id":1851,"hydro_id":4,"qmax":126,"is_key_station":tru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Ratchasima"}},"diff_wl_bank":"0.62","diff_wl_bank_text":"ต่ำกว่าตลิ่ง (ม.)","river_gid":146724,"river_name":"แม่น้ำมูล"}</t>
  </si>
  <si>
    <t>THAIWATER_WL:1106454</t>
  </si>
  <si>
    <t>TCP008</t>
  </si>
  <si>
    <t>สถานีสูบน้ำปากคลองสายห้วยแก้ว (ทุ่งซ้ายคลองชัยนาท)</t>
  </si>
  <si>
    <t>คลองท่าตะโก</t>
  </si>
  <si>
    <t>{"id":"ccd2e85f-b897-4b51-a930-b185d0563f47","district":"คลองสามวา","category":"ศูนย์พักพิงชั่วคราว","name":"รพ.รัตนประชารักษ์","capacity":450,"occupied":3,"available":447,"unitType":"คน","status":"เปิดให้บริการ/ว่าง","routeDetails":"","link":"https://maps.app.goo.gl/q6nxvLdC1R2f79RS7","additionalDetails":null,"createdAt":"2026-09-26T14:18:22.509Z","updatedAt":"2026-09-26T14:18:51.976Z"}</t>
  </si>
  <si>
    <t>พบพิกัดจากลิงก์</t>
  </si>
  <si>
    <t>https://www.google.com/maps/place/%E0%B9%82%E0%B8%A3%E0%B8%87%E0%B8%9E%E0%B8%A2%E0%B8%B2%E0%B8%9A%E0%B8%B2%E0%B8%A5%E0%B8%A3%E0%B8%B1%E0%B8%95%E0%B8%99%E0%B8%9B%E0%B8%A3%E0%B8%B0%E0%B8%8A%E0%B8%B2%E0%B8%A3%E0%B8%B1%E0%B8%81%E0%B8%A9%E0%B9%8C/@13.8762169,100.682032,14213m/data=!3m1!1e3!4m6!3m5!1s0x311d7baae6523b11:0x27bb8ec3d47cfa59!8m2!3d13.9098281!4d100.752979!16s%2Fg%2F11c37yy0_1?entry=tts&amp;g_ep=EgoyMDI2MDkyMy4wIPu8ASoASAFQAw%3D%3D&amp;skid=3f44598e-9be0-4421-80e8-537ccd46f8da</t>
  </si>
  <si>
    <t>{"canal_datetime":"2024-05-14 12:30","canal_value":-1.27,"canal_out":0,"agency":{"agency_name":{"th":"สำนักการระบายน้ำ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Bon"},"province_code":"10","province_name":{"th":"กรุงเทพมหานคร","en":"Bangkok"}},"station":{"id":263,"canal_name":{"th":"ค.บางพราน ถ.บางบอน 1"},"canal_lat":13.67782,"canal_long":100.42555,"canal_oldcode":"WL.BPN.01","bank":1,"warning_level":0.6,"critical_level":0.7}}</t>
  </si>
  <si>
    <t>THAIWATER:111</t>
  </si>
  <si>
    <t>WL.KPM.06</t>
  </si>
  <si>
    <t>ค.เปรมประชากร-ค.บ้านใหม่</t>
  </si>
  <si>
    <t>2026-09-28T12:55:00+07:00</t>
  </si>
  <si>
    <t>{"id":1317594642,"waterlevel_datetime":"2026-10-03 15:10","waterlevel_m":null,"waterlevel_msl":"13.65","waterlevel_msl_previous":"13.47","flow_rate":null,"discharge":null,"storage_percent":"88.41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Basin"}},"station":{"id":1106454,"tele_station_name":{"en":"Khlong Sai Huai Kaeo Pumping Station","th":"สถานีสูบน้ำปากคลองสายห้วยแก้ว (ทุ่งซ้ายคลองชัยนาท)"},"tele_station_lat":15.082755,"tele_station_long":100.554504,"tele_station_oldcode":"TCP008","tele_station_type":"tele_waterlevel","left_bank":15.44,"right_bank":15.44,"min_bank":15.44,"ground_level":0,"offset":null,"sub_basin_id":240,"agency_id":9,"geocode_id":802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District"},"tumbon_code":"21","tumbon_name":{"th":"หนองเมือง","en":"Nong Mueang"},"province_code":"16","province_name":{"th":"ลพบุรี","en":"Lop Buri"}},"diff_wl_bank":"1.79","diff_wl_bank_text":"ต่ำกว่าตลิ่ง (ม.)","river_gid":176197,"river_name":"คลองท่าตะโก"}</t>
  </si>
  <si>
    <t>THAIWATER_WL:592</t>
  </si>
  <si>
    <t>SKG004</t>
  </si>
  <si>
    <t>สะพานแม่เล่ย์</t>
  </si>
  <si>
    <t>คลองห้วยทราย</t>
  </si>
  <si>
    <t>{"canal_datetime":"2026-09-28 12:55","canal_value":1.57,"canal_out":0,"agency":{"agency_name":{"th":"สำนักการระบายน้ำ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111,"canal_name":{"th":"ค.เปรมประชากร-ค.บ้านใหม่"},"canal_lat":13.94336,"canal_long":100.60579,"canal_oldcode":"WL.KPM.06","bank":1.91,"warning_level":0.8,"critical_level":0.9}}</t>
  </si>
  <si>
    <t>THAIWATER:150</t>
  </si>
  <si>
    <t>WL.SBR.01</t>
  </si>
  <si>
    <t>ปตร.คลองขุนศรีฯ-ค.มหาสวัสดิ์</t>
  </si>
  <si>
    <t>{"canal_datetime":"2026-09-28 13:20","canal_value":0.88,"canal_out":1.48,"agency":{"agency_name":{"th":"สำนักการระบายน้ำ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150,"canal_name":{"th":"ปตร.คลองขุนศรีฯ-ค.มหาสวัสดิ์"},"canal_lat":13.80251,"canal_long":100.37078,"canal_oldcode":"WL.SBR.01","bank":1.98,"warning_level":1.8,"critical_level":2}}</t>
  </si>
  <si>
    <t>THAIWATER:189</t>
  </si>
  <si>
    <t>WL.CBJ.01</t>
  </si>
  <si>
    <t>ค.ชวดบางจาก ถ.ประชาอุทิศ</t>
  </si>
  <si>
    <t>2026-06-01T16:50:00+07:00</t>
  </si>
  <si>
    <t>{"id":1317594591,"waterlevel_datetime":"2026-10-03 15:10","waterlevel_m":null,"waterlevel_msl":"133.72","waterlevel_msl_previous":"133.72","flow_rate":null,"discharge":null,"storage_percent":"88.39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Basin"}},"station":{"id":592,"tele_station_name":{"en":"Sakae Krang 4","th":"สะพานแม่เล่ย์"},"tele_station_lat":15.84175,"tele_station_long":99.41808,"tele_station_oldcode":"SKG004","tele_station_type":"tele_waterlevel","left_bank":137.54,"right_bank":136.59,"min_bank":136.59,"ground_level":111.91,"offset":null,"sub_basin_id":241,"agency_id":9,"geocode_id":5786,"hydro_id":null,"qmax":null,"is_key_station":false,"warning_level_m":null,"critical_level_m":null,"critical_level_msl":null},"geocode":{"area_code":"3","area_name":{"th":"ภาคเหนือ","en":"North"},"amphoe_code":"13","amphoe_name":{"th":"แม่วงก์","en":"Mae Wong District"},"tumbon_code":"03","tumbon_name":{"th":"แม่เล่ย์","en":"Mae Le"},"province_code":"60","province_name":{"th":"นครสวรรค์","en":"Nakhon Sawan"}},"diff_wl_bank":"2.87","diff_wl_bank_text":"ต่ำกว่าตลิ่ง (ม.)","river_gid":167503,"river_name":"คลองห้วยทราย"}</t>
  </si>
  <si>
    <t>THAIWATER_WL:2714</t>
  </si>
  <si>
    <t>M.187</t>
  </si>
  <si>
    <t>ศูนย์วิจัยและพัฒนาประมงน้ำจืดสุรินทร์</t>
  </si>
  <si>
    <t>ห้วยเสนง</t>
  </si>
  <si>
    <t>{"canal_datetime":"2026-06-01 16:50","canal_value":0.84,"canal_out":0,"agency":{"agency_name":{"th":"สำนักการระบายน้ำ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Nok"},"province_code":"10","province_name":{"th":"กรุงเทพมหานคร","en":"Bangkok"}},"station":{"id":189,"canal_name":{"th":"ค.ชวดบางจาก ถ.ประชาอุทิศ"},"canal_lat":13.77211,"canal_long":100.58021,"canal_oldcode":"WL.CBJ.01","bank":1,"warning_level":0.1,"critical_level":0.2}}</t>
  </si>
  <si>
    <t>THAIWATER:209</t>
  </si>
  <si>
    <t>WL.BNJ.03</t>
  </si>
  <si>
    <t>ค.บางนางจีน ซ.สุขุมวิท 93</t>
  </si>
  <si>
    <t>{"id":1317571349,"waterlevel_datetime":"2026-10-03 14:00","waterlevel_m":null,"waterlevel_msl":"139.95","waterlevel_msl_previous":"139.97","flow_rate":null,"discharge":"41.75","storage_percent":"88.16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2714,"tele_station_name":{"th":"ศูนย์วิจัยและพัฒนาประมงน้ำจืดสุรินทร์"},"tele_station_lat":14.85738,"tele_station_long":103.476936,"tele_station_oldcode":"M.187","tele_station_type":"tele_waterlevel","left_bank":140.400003,"right_bank":140.400003,"min_bank":140.4,"ground_level":136.6,"offset":136.800003,"sub_basin_id":125,"agency_id":12,"geocode_id":2217,"hydro_id":4,"qmax":53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ุรินทร์","en":"Mueang Surin District"},"tumbon_code":"11","tumbon_name":{"th":"นอกเมือง","en":"Nok Mueang"},"province_code":"32","province_name":{"th":"สุรินทร์","en":"Surin"}},"diff_wl_bank":"0.45","diff_wl_bank_text":"ต่ำกว่าตลิ่ง (ม.)","river_gid":150320,"river_name":"ห้วยเสนง"}</t>
  </si>
  <si>
    <t>THAIWATER_WL:1106456</t>
  </si>
  <si>
    <t>TCP010</t>
  </si>
  <si>
    <t>ทรบ. ปากคลองห้าวา (ทุ่งท่าวุ้ง)</t>
  </si>
  <si>
    <t>คลองบางคะลาย</t>
  </si>
  <si>
    <t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Chak"},"province_code":"10","province_name":{"th":"กรุงเทพมหานคร","en":"Bangkok"}},"station":{"id":209,"canal_name":{"th":"ค.บางนางจีน ซ.สุขุมวิท 93"},"canal_lat":13.7006,"canal_long":100.60891,"canal_oldcode":"WL.BNJ.03","bank":0,"warning_level":-0.1,"critical_level":0}}</t>
  </si>
  <si>
    <t>THAIWATER:154</t>
  </si>
  <si>
    <t>WL.BBN.03</t>
  </si>
  <si>
    <t>ค.บางบอน-ค.สะแกงาม</t>
  </si>
  <si>
    <t>{"id":1317594644,"waterlevel_datetime":"2026-10-03 15:10","waterlevel_m":null,"waterlevel_msl":"7.03","waterlevel_msl_previous":"7.04","flow_rate":null,"discharge":null,"storage_percent":"87.88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Basin"}},"station":{"id":1106456,"tele_station_name":{"en":"Pak Khlong Ha Wa","th":"ทรบ. ปากคลองห้าวา (ทุ่งท่าวุ้ง)"},"tele_station_lat":14.818599,"tele_station_long":100.576515,"tele_station_oldcode":"TCP010","tele_station_type":"tele_waterlevel","left_bank":8,"right_bank":8,"min_bank":8,"ground_level":0,"offset":null,"sub_basin_id":240,"agency_id":9,"geocode_id":718,"hydro_id":null,"qmax":null,"is_key_station":false,"warning_level_m":null,"critical_level_m":null,"critical_level_msl":null},"geocode":{"area_code":"2","area_name":{"th":"ภาคกลาง","en":"Central"},"amphoe_code":"01","amphoe_name":{"th":"เมืองลพบุรี","en":"Mueang Lop Buri District"},"tumbon_code":"17","tumbon_name":{"th":"บางขันหมาก","en":"Bang Khan Mak"},"province_code":"16","province_name":{"th":"ลพบุรี","en":"Lop Buri"}},"diff_wl_bank":"0.97","diff_wl_bank_text":"ต่ำกว่าตลิ่ง (ม.)","river_gid":179240,"river_name":"คลองบางคะลาย"}</t>
  </si>
  <si>
    <t>THAIWATER_WL:1161516</t>
  </si>
  <si>
    <t>X.176</t>
  </si>
  <si>
    <t xml:space="preserve">บ้านหาดทรายแก้ว </t>
  </si>
  <si>
    <t>แม่น้ำตาปี</t>
  </si>
  <si>
    <t>มีลิงก์ต้นทาง หรือมีพิกัดแล้ว</t>
  </si>
  <si>
    <t>2026-10-03T12:00:00+07:00</t>
  </si>
  <si>
    <t>e0679261-0081-47ef-897a-5455e5765bbb</t>
  </si>
  <si>
    <t>วัดพระยาสุเรนทร์</t>
  </si>
  <si>
    <t>เต็ม</t>
  </si>
  <si>
    <t>https://maps.app.goo.gl/dHVuNhBCq1myQeyR9</t>
  </si>
  <si>
    <t>{"canal_datetime":"2026-09-28 13:20","canal_value":0.68,"canal_out":0,"agency":{"agency_name":{"th":"สำนักการระบายน้ำ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154,"canal_name":{"th":"ค.บางบอน-ค.สะแกงาม"},"canal_lat":13.64249,"canal_long":100.37944,"canal_oldcode":"WL.BBN.03","bank":1.84,"warning_level":0.4,"critical_level":0.5}}</t>
  </si>
  <si>
    <t>THAIWATER:133</t>
  </si>
  <si>
    <t>WL.CPA.01</t>
  </si>
  <si>
    <t>{"id":1317539121,"waterlevel_datetime":"2026-10-03 12:00","waterlevel_m":null,"waterlevel_msl":"23.90","waterlevel_msl_previous":"23.90","flow_rate":null,"discharge":"8.00","storage_percent":"87.87","sort_order":null,"station_type":"tele_waterlevel","situation_level":4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Basin"}},"station":{"id":1161516,"tele_station_name":{"th":"บ้านหาดทรายแก้ว "},"tele_station_lat":8.42915,"tele_station_long":99.508362,"tele_station_oldcode":"X.176","tele_station_type":"tele_waterlevel","left_bank":27,"right_bank":27,"min_bank":27.2,"ground_level":0,"offset":null,"sub_basin_id":318,"agency_id":12,"geocode_id":7203,"hydro_id":8,"qmax":230,"is_key_station":false,"warning_level_m":null,"critical_level_m":null,"critical_level_msl":null},"geocode":{"area_code":"5","area_name":{"th":"ภาคใต้","en":"South"},"amphoe_code":"04","amphoe_name":{"th":"ฉวาง","en":"Chawang District"},"tumbon_code":"01","tumbon_name":{"th":"ฉวาง","en":"Chawang"},"province_code":"80","province_name":{"th":"นครศรีธรรมราช","en":"Nakhon Si Thammarat"}},"diff_wl_bank":"3.30","diff_wl_bank_text":"ต่ำกว่าตลิ่ง (ม.)","river_gid":220031,"river_name":"แม่น้ำตาปี"}</t>
  </si>
  <si>
    <t>ส.คลองชักพระ</t>
  </si>
  <si>
    <t>THAIWATER_WL:750</t>
  </si>
  <si>
    <t>THA009</t>
  </si>
  <si>
    <t>เมืองสมุทรสาคร</t>
  </si>
  <si>
    <t>{"id":1317594655,"waterlevel_datetime":"2026-10-03 15:10","waterlevel_m":null,"waterlevel_msl":"0.83","waterlevel_msl_previous":"0.85","flow_rate":null,"discharge":null,"storage_percent":"87.63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Basin"}},"station":{"id":750,"tele_station_name":{"en":"Tha Chin 9","th":"เมืองสมุทรสาคร"},"tele_station_lat":13.58598,"tele_station_long":100.23048,"tele_station_oldcode":"THA009","tele_station_type":"tele_waterlevel","left_bank":2.175,"right_bank":1.925,"min_bank":1.93,"ground_level":-6.949,"offset":null,"sub_basin_id":259,"agency_id":9,"geocode_id":6937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District"},"tumbon_code":"08","tumbon_name":{"th":"ท่าจีน","en":"Tha Chin"},"province_code":"74","province_name":{"th":"สมุทรสาคร","en":"Samut Sakhon"}},"diff_wl_bank":"1.10","diff_wl_bank_text":"ต่ำกว่าตลิ่ง (ม.)","river_gid":189561,"river_name":"แม่น้ำท่าจีน"}</t>
  </si>
  <si>
    <t>{"canal_datetime":"2026-09-28 13:20","canal_value":0.29,"canal_out":1.29,"agency":{"agency_name":{"th":"สำนักการระบายน้ำ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District"},"tumbon_name":{"th":"คลองชักพระ","en":"Khlong Chak Phra"},"province_code":"10","province_name":{"th":"กรุงเทพมหานคร","en":"Bangkok"}},"station":{"id":133,"canal_name":{"th":"ส.คลองชักพระ"},"canal_lat":13.7789,"canal_long":100.46431,"canal_oldcode":"WL.CPA.01","bank":1.98,"warning_level":1.8,"critical_level":1.9}}</t>
  </si>
  <si>
    <t>THAIWATER_WL:1095877</t>
  </si>
  <si>
    <t>X.77</t>
  </si>
  <si>
    <t>THAIWATER:190</t>
  </si>
  <si>
    <t>บ้านหัวสะพาน</t>
  </si>
  <si>
    <t>WL.LOA.01</t>
  </si>
  <si>
    <t>2026-09-26T14:04:23.420Z</t>
  </si>
  <si>
    <t>คลองใหญ่</t>
  </si>
  <si>
    <t>ค.รางอ้อ-รางแก้ว ถ.พหลโยธิน</t>
  </si>
  <si>
    <t>บางเขน</t>
  </si>
  <si>
    <t>{"id":"e0679261-0081-47ef-897a-5455e5765bbb","district":"คลองสามวา","category":"ศูนย์พักพิงชั่วคราว","name":"วัดพระยาสุเรนทร์","capacity":60,"occupied":60,"available":0,"unitType":"คน","status":"เต็ม","routeDetails":"","link":"https://maps.app.goo.gl/dHVuNhBCq1myQeyR9","additionalDetails":null,"createdAt":"2026-09-26T14:04:23.420Z","updatedAt":"2026-09-26T14:04:23.420Z"}</t>
  </si>
  <si>
    <t>https://www.google.com/maps/place/%E0%B8%A7%E0%B8%B1%E0%B8%94%E0%B8%9E%E0%B8%A3%E0%B8%B0%E0%B8%A2%E0%B8%B2%E0%B8%AA%E0%B8%B8%E0%B9%80%E0%B8%A3%E0%B8%99%E0%B8%97%E0%B8%A3%E0%B9%8C/@13.8739652,100.6699893,3553m/data=!3m1!1e3!4m6!3m5!1s0x311d7cc84d73e979:0x68ef7c84dbf92006!8m2!3d13.8739455!4d100.6855615!16s%2Fg%2F11ddww_t95?entry=tts&amp;g_ep=EgoyMDI2MDkyMy4wIPu8ASoASAFQAw%3D%3D&amp;skid=f922690d-7bf0-4d4d-a770-215d80d8c8eb</t>
  </si>
  <si>
    <t>{"id":1317523555,"waterlevel_datetime":"2026-10-03 12:00","waterlevel_m":null,"waterlevel_msl":"35.18","waterlevel_msl_previous":"35.22","flow_rate":null,"discharge":"19.00","storage_percent":"87.30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1095877,"tele_station_name":{"th":"บ้านหัวสะพาน"},"tele_station_lat":6.1525,"tele_station_long":101.080902,"tele_station_oldcode":"X.77","tele_station_type":"tele_waterlevel","left_bank":40.2999992370605,"right_bank":40.2999992370605,"min_bank":40.3,"ground_level":0,"offset":null,"sub_basin_id":335,"agency_id":12,"geocode_id":8287,"hydro_id":8,"qmax":null,"is_key_station":true,"warning_level_m":null,"critical_level_m":null,"critical_level_msl":null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District"},"tumbon_code":"02","tumbon_name":{"th":"บาเจาะ","en":"Bacho"},"province_code":"95","province_name":{"th":"ยะลา","en":"Yala"}},"diff_wl_bank":"5.12","diff_wl_bank_text":"ต่ำกว่าตลิ่ง (ม.)","river_gid":231472,"river_name":"คลองใหญ่"}</t>
  </si>
  <si>
    <t>THAIWATER_WL:1373273</t>
  </si>
  <si>
    <t>HDA007</t>
  </si>
  <si>
    <t>สะพานค่ายบางระจัน</t>
  </si>
  <si>
    <t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Bangkok","jp":""}},"geocode":{"area_code":"1","area_name":{"th":"กรุงเทพมหานคร","en":"Bangkok"},"amphoe_name":{"th":"บางเขน","en":"Bang Khen District"},"tumbon_name":{"th":"อนุสาวรีย์","en":"Anusawari"},"province_code":"10","province_name":{"th":"กรุงเทพมหานคร","en":"Bangkok"}},"station":{"id":190,"canal_name":{"th":"ค.รางอ้อ-รางแก้ว ถ.พหลโยธิน"},"canal_lat":13.88471,"canal_long":100.60201,"canal_oldcode":"WL.LOA.01","bank":1.5,"warning_level":0.8,"critical_level":0.9}}</t>
  </si>
  <si>
    <t>THAIWATER:261</t>
  </si>
  <si>
    <t>WL.KKY.02</t>
  </si>
  <si>
    <t>ค.ควาย ถ.บรมราชชนนี</t>
  </si>
  <si>
    <t>{"id":1317594337,"waterlevel_datetime":"2026-10-03 15:10","waterlevel_m":null,"waterlevel_msl":"8.80","waterlevel_msl_previous":"8.80","flow_rate":null,"discharge":"170.83","storage_percent":"87.29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Basin"}},"station":{"id":1373273,"tele_station_name":{"en":"Bang Rachan Camp Bridge","th":"สะพานค่ายบางระจัน"},"tele_station_lat":14.815288,"tele_station_long":100.36448,"tele_station_oldcode":"HDA007","tele_station_type":"tele_waterlevel","left_bank":10.229,"right_bank":9.789,"min_bank":9.79,"ground_level":2.005,"offset":null,"sub_basin_id":240,"agency_id":9,"geocode_id":859,"hydro_id":null,"qmax":null,"is_key_station":false,"warning_level_m":null,"critical_level_m":null,"critical_level_msl":null},"geocode":{"area_code":"2","area_name":{"th":"ภาคกลาง","en":"Central"},"amphoe_code":"03","amphoe_name":{"th":"ค่ายบางระจัน","en":"Khai Bang Rachan District"},"tumbon_code":"03","tumbon_name":{"th":"โพสังโฆ","en":"Pho Sangkho"},"province_code":"17","province_name":{"th":"สิงห์บุรี","en":"Sing Buri"}},"diff_wl_bank":"0.99","diff_wl_bank_text":"ต่ำกว่าตลิ่ง (ม.)"}</t>
  </si>
  <si>
    <t>THAIWATER_WL:57</t>
  </si>
  <si>
    <t>CPY017</t>
  </si>
  <si>
    <t>เสนา</t>
  </si>
  <si>
    <t>{"canal_datetime":"2026-09-28 13:20","canal_value":0.82,"canal_out":0,"agency":{"agency_name":{"th":"สำนักการระบายน้ำ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Thammasop"},"province_code":"10","province_name":{"th":"กรุงเทพมหานคร","en":"Bangkok"}},"station":{"id":261,"canal_name":{"th":"ค.ควาย ถ.บรมราชชนนี"},"canal_lat":13.78593,"canal_long":100.38354,"canal_oldcode":"WL.KKY.02","bank":2,"warning_level":0.9,"critical_level":1}}</t>
  </si>
  <si>
    <t>THAIWATER:257</t>
  </si>
  <si>
    <t>WL.SKG.01</t>
  </si>
  <si>
    <t>ค.สะแกงาม ถ.กาญจนาภิเษก</t>
  </si>
  <si>
    <t>{"id":1317594290,"waterlevel_datetime":"2026-10-03 15:10","waterlevel_m":null,"waterlevel_msl":"2.92","waterlevel_msl_previous":"2.92","flow_rate":null,"discharge":null,"storage_percent":"87.28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,"tele_station_name":{"en":"Sena","th":"เสนา"},"tele_station_lat":14.31976,"tele_station_long":100.37952,"tele_station_oldcode":"CPY017","tele_station_type":"tele_waterlevel","left_bank":4.278,"right_bank":3.587,"min_bank":3.59,"ground_level":-1.647,"offset":null,"sub_basin_id":240,"agency_id":9,"geocode_id":581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District"},"tumbon_code":"17","tumbon_name":{"th":"เจ้าเสด็จ","en":"Chao Sadet"},"province_code":"14","province_name":{"th":"พระนครศรีอยุธยา","en":"Phra Nakhon Si Ayutthaya"}},"diff_wl_bank":"0.67","diff_wl_bank_text":"ต่ำกว่าตลิ่ง (ม.)","river_gid":182793,"river_name":"แม่น้ำน้อย"}</t>
  </si>
  <si>
    <t>THAIWATER_WL:823</t>
  </si>
  <si>
    <t>TPI001</t>
  </si>
  <si>
    <t>พุนพิน 1</t>
  </si>
  <si>
    <t>2026-10-02T15:40:00+07:00</t>
  </si>
  <si>
    <t>{"canal_datetime":"2026-09-28 13:20","canal_value":-0.55,"canal_out":0,"agency":{"agency_name":{"th":"สำนักการระบายน้ำ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Dam"},"province_code":"10","province_name":{"th":"กรุงเทพมหานคร","en":"Bangkok"}},"station":{"id":257,"canal_name":{"th":"ค.สะแกงาม ถ.กาญจนาภิเษก"},"canal_lat":13.62715,"canal_long":100.43402,"canal_oldcode":"WL.SKG.01","bank":1,"warning_level":0.4,"critical_level":0.5}}</t>
  </si>
  <si>
    <t>THAIWATER:168</t>
  </si>
  <si>
    <t>WL.PSR.02</t>
  </si>
  <si>
    <t>ค.พระยาสุเรนทร์ ถ.หนองระแหง</t>
  </si>
  <si>
    <t>{"id":1317040101,"waterlevel_datetime":"2026-10-02 15:40","waterlevel_m":null,"waterlevel_msl":"1.22","waterlevel_msl_previous":"1.19","flow_rate":null,"discharge":null,"storage_percent":"87.05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Basin"}},"station":{"id":823,"tele_station_name":{"en":"Tapi 1","th":"พุนพิน 1"},"tele_station_lat":9.131233,"tele_station_long":99.25885,"tele_station_oldcode":"TPI001","tele_station_type":"tele_waterlevel","left_bank":2.237,"right_bank":2.555,"min_bank":2.24,"ground_level":-5.619,"offset":null,"sub_basin_id":324,"agency_id":9,"geocode_id":7633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Thani"}},"diff_wl_bank":"1.02","diff_wl_bank_text":"ต่ำกว่าตลิ่ง (ม.)","river_gid":216172,"river_name":"แม่น้ำตาปี"}</t>
  </si>
  <si>
    <t>THAIWATER_WL:2821</t>
  </si>
  <si>
    <t>N.67</t>
  </si>
  <si>
    <t>วัดเกยไชยเหนือ</t>
  </si>
  <si>
    <t>แม่น้ำน่าน</t>
  </si>
  <si>
    <t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Bangkok","jp":""}},"geocode":{"area_code":"1","area_name":{"th":"กรุงเทพมหานคร","en":"Bangkok"},"amphoe_name":{"th":"คลองสามวา","en":"Khlong Sam Wa District"},"tumbon_name":{"th":"สามวาตะวันตก","en":"Sam Wa Tawan Tok"},"province_code":"10","province_name":{"th":"กรุงเทพมหานคร","en":"Bangkok"}},"station":{"id":168,"canal_name":{"th":"ค.พระยาสุเรนทร์ ถ.หนองระแหง"},"canal_lat":13.90121,"canal_long":100.69049,"canal_oldcode":"WL.PSR.02","bank":2,"warning_level":1,"critical_level":1.2}}</t>
  </si>
  <si>
    <t>THAIWATER:68</t>
  </si>
  <si>
    <t>WL.BKA.01</t>
  </si>
  <si>
    <t>ส.คลองบางเขนใหม่</t>
  </si>
  <si>
    <t>{"id":1317572085,"waterlevel_datetime":"2026-10-03 14:00","waterlevel_m":null,"waterlevel_msl":"26.18","waterlevel_msl_previous":"26.19","flow_rate":null,"discharge":"1057.00","storage_percent":"87.05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2821,"tele_station_name":{"th":"วัดเกยไชยเหนือ"},"tele_station_lat":15.86918,"tele_station_long":100.264732,"tele_station_oldcode":"N.67","tele_station_type":"tele_waterlevel","left_bank":28.92,"right_bank":28.214,"min_bank":28.21,"ground_level":12.54,"offset":null,"sub_basin_id":238,"agency_id":12,"geocode_id":5681,"hydro_id":5,"qmax":1435,"is_key_station":true,"warning_level_m":23.3,"critical_level_m":8.21,"critical_level_msl":28.3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Sawan"}},"diff_wl_bank":"2.03","diff_wl_bank_text":"ต่ำกว่าตลิ่ง (ม.)","river_gid":102114,"river_name":"แม่น้ำน่าน"}</t>
  </si>
  <si>
    <t>THAIWATER_WL:845</t>
  </si>
  <si>
    <t>295cef74-6abb-ffee-3b64-3d250535a95c</t>
  </si>
  <si>
    <t>SVI001</t>
  </si>
  <si>
    <t>สวี 1</t>
  </si>
  <si>
    <t>โรงเรียนกลางคลองสอง</t>
  </si>
  <si>
    <t>คลองสวี</t>
  </si>
  <si>
    <t>https://maps.app.goo.gl/ZmDA2wLRjmkuhLKa8</t>
  </si>
  <si>
    <t>{"canal_datetime":"2026-09-28 13:20","canal_value":-0.83,"canal_out":1.55,"agency":{"agency_name":{"th":"สำนักการระบายน้ำ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68,"canal_name":{"th":"ส.คลองบางเขนใหม่"},"canal_lat":13.81722,"canal_long":100.51066,"canal_oldcode":"WL.BKA.01","bank":3.5,"warning_level":3.3,"critical_level":3.5}}</t>
  </si>
  <si>
    <t>THAIWATER:115</t>
  </si>
  <si>
    <t>WL.MSW.01</t>
  </si>
  <si>
    <t>ค.มหาสวัสดิ์-สวนแดน 2</t>
  </si>
  <si>
    <t>{"id":1317594612,"waterlevel_datetime":"2026-10-03 15:10","waterlevel_m":null,"waterlevel_msl":"2.09","waterlevel_msl_previous":"2.07","flow_rate":null,"discharge":null,"storage_percent":"86.88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Basin"}},"station":{"id":845,"tele_station_name":{"en":"Sawi 1","th":"สวี 1"},"tele_station_lat":10.2312,"tele_station_long":99.09844,"tele_station_oldcode":"SVI001","tele_station_type":"tele_waterlevel","left_bank":2.912,"right_bank":3.16,"min_bank":2.91,"ground_level":-3.351,"offset":null,"sub_basin_id":311,"agency_id":9,"geocode_id":7756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District"},"tumbon_code":"01","tumbon_name":{"th":"นาโพธิ์","en":"Na Pho"},"province_code":"86","province_name":{"th":"ชุมพร","en":"Chumphon"}},"diff_wl_bank":"0.82","diff_wl_bank_text":"ต่ำกว่าตลิ่ง (ม.)","river_gid":213647,"river_name":"คลองสวี"}</t>
  </si>
  <si>
    <t>THAIWATER_WL:584</t>
  </si>
  <si>
    <t>CPY002</t>
  </si>
  <si>
    <t>พยุหะคีรี</t>
  </si>
  <si>
    <t>{"canal_datetime":"2026-09-28 13:20","canal_value":1.38,"canal_out":0,"agency":{"agency_name":{"th":"สำนักการระบายน้ำ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District"},"tumbon_name":{"th":"ตลิ่งชัน","en":"Taling Chan"},"province_code":"10","province_name":{"th":"กรุงเทพมหานคร","en":"Bangkok"}},"station":{"id":115,"canal_name":{"th":"ค.มหาสวัสดิ์-สวนแดน 2"},"canal_lat":13.79841,"canal_long":100.45451,"canal_oldcode":"WL.MSW.01","bank":1.9,"warning_level":1.8,"critical_level":2}}</t>
  </si>
  <si>
    <t>THAIWATER:231</t>
  </si>
  <si>
    <t>WL.HMK.01</t>
  </si>
  <si>
    <t>2026-09-26T08:52:03.000Z</t>
  </si>
  <si>
    <t>ค.หัวหมาก ถ.ศรีนครินทร์</t>
  </si>
  <si>
    <t>{"id":1317594277,"waterlevel_datetime":"2026-10-03 15:10","waterlevel_m":null,"waterlevel_msl":"19.87","waterlevel_msl_previous":"19.87","flow_rate":null,"discharge":null,"storage_percent":"86.87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Basin"}},"station":{"id":584,"tele_station_name":{"en":"Chao Phraya 2","th":"พยุหะคีรี"},"tele_station_lat":15.42655,"tele_station_long":100.13471,"tele_station_oldcode":"CPY002","tele_station_type":"tele_waterlevel","left_bank":21.33,"right_bank":21.624,"min_bank":21.33,"ground_level":10.176,"offset":null,"sub_basin_id":240,"agency_id":9,"geocode_id":5759,"hydro_id":null,"qmax":null,"is_key_station":false,"warning_level_m":null,"critical_level_m":null,"critical_level_msl":null},"geocode":{"area_code":"3","area_name":{"th":"ภาคเหนือ","en":"North"},"amphoe_code":"10","amphoe_name":{"th":"พยุหะคีรี","en":"Phayuha Khiri District"},"tumbon_code":"08","tumbon_name":{"th":"ท่าน้ำอ้อย","en":"Tha Nam Oi"},"province_code":"60","province_name":{"th":"นครสวรรค์","en":"Nakhon Sawan"}},"diff_wl_bank":"1.46","diff_wl_bank_text":"ต่ำกว่าตลิ่ง (ม.)","river_gid":172744,"river_name":"แม่น้ำเจ้าพระยา"}</t>
  </si>
  <si>
    <t>THAIWATER_WL:526</t>
  </si>
  <si>
    <t>PYO001</t>
  </si>
  <si>
    <t>ท้ายกว๊านพะเยา</t>
  </si>
  <si>
    <t>น้ำแม่ต๋ำ</t>
  </si>
  <si>
    <t>{"id":"295cef74-6abb-ffee-3b64-3d250535a95c","district":"คลองสามวา","category":"ศูนย์พักพิงชั่วคราว","name":"โรงเรียนกลางคลองสอง","capacity":30,"occupied":6,"available":24,"unitType":"คน","status":"เปิดให้บริการ/ว่าง","routeDetails":"","link":"https://maps.app.goo.gl/ZmDA2wLRjmkuhLKa8","additionalDetails":null,"createdAt":"2026-09-26T08:52:03.000Z","updatedAt":"2026-09-26T08:52:03.000Z"}</t>
  </si>
  <si>
    <t>https://www.google.com/maps/place/%E0%B9%82%E0%B8%A3%E0%B8%87%E0%B9%80%E0%B8%A3%E0%B8%B5%E0%B8%A2%E0%B8%99%E0%B8%81%E0%B8%A5%E0%B8%B2%E0%B8%87%E0%B8%84%E0%B8%A5%E0%B8%AD%E0%B8%87%E0%B8%AA%E0%B8%AD%E0%B8%87/@13.8605365,100.6953645,941m/data=!3m1!1e3!4m6!3m5!1s0x311d6352877d3347:0xed6a7e78e68fa376!8m2!3d13.8623825!4d100.6991111!16s%2Fg%2F1w_vkrfm?entry=tts&amp;g_ep=EgoyMDI2MDkyMy4wIPu8ASoASAFQAw%3D%3D&amp;skid=5182a855-5ce6-4c2e-acae-a1c9f2a4e9f4</t>
  </si>
  <si>
    <t>{"canal_datetime":"2026-09-28 13:20","canal_value":0.57,"canal_out":0,"agency":{"agency_name":{"th":"สำนักการระบายน้ำ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Luang"},"province_code":"10","province_name":{"th":"กรุงเทพมหานคร","en":"Bangkok"}},"station":{"id":231,"canal_name":{"th":"ค.หัวหมาก ถ.ศรีนครินทร์"},"canal_lat":13.73309,"canal_long":100.64107,"canal_oldcode":"WL.HMK.01","bank":1,"warning_level":-0.2,"critical_level":0}}</t>
  </si>
  <si>
    <t>THAIWATER:228</t>
  </si>
  <si>
    <t>WL.YPN.02</t>
  </si>
  <si>
    <t>ค.ยายเผื่อน ถ.ลาดพร้าว</t>
  </si>
  <si>
    <t>{"id":1317594529,"waterlevel_datetime":"2026-10-03 15:10","waterlevel_m":null,"waterlevel_msl":"391.83","waterlevel_msl_previous":"391.83","flow_rate":null,"discharge":null,"storage_percent":"86.80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Basin"}},"station":{"id":526,"tele_station_name":{"en":"Kwan Phayao","th":"ท้ายกว๊านพะเยา"},"tele_station_lat":19.15985,"tele_station_long":99.91412,"tele_station_oldcode":"PYO001","tele_station_type":"tele_waterlevel","left_bank":393.461,"right_bank":392.528,"min_bank":392.53,"ground_level":387.24,"offset":null,"sub_basin_id":33,"agency_id":9,"geocode_id":5375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District"},"tumbon_code":"01","tumbon_name":{"th":"เวียง","en":"Wiang"},"province_code":"56","province_name":{"th":"พะเยา","en":"Phayao"}},"diff_wl_bank":"0.70","diff_wl_bank_text":"ต่ำกว่าตลิ่ง (ม.)","river_gid":24101,"river_name":"น้ำแม่ต๋ำ"}</t>
  </si>
  <si>
    <t>THAIWATER_WL:751</t>
  </si>
  <si>
    <t>BKK006</t>
  </si>
  <si>
    <t>คลองมหาชัย วัดพันท้ายนรสิงห์</t>
  </si>
  <si>
    <t>คลองสนามชัย</t>
  </si>
  <si>
    <t>{"canal_datetime":"2026-09-28 13:20","canal_value":0.54,"canal_out":0,"agency":{"agency_name":{"th":"สำนักการระบายน้ำ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Chan"},"province_code":"10","province_name":{"th":"กรุงเทพมหานคร","en":"Bangkok"}},"station":{"id":228,"canal_name":{"th":"ค.ยายเผื่อน ถ.ลาดพร้าว"},"canal_lat":13.76832,"canal_long":100.63938,"canal_oldcode":"WL.YPN.02","bank":0.7,"warning_level":-0.2,"critical_level":0}}</t>
  </si>
  <si>
    <t>THAIWATER:120</t>
  </si>
  <si>
    <t>WL.RMT.02</t>
  </si>
  <si>
    <t>ค.ราชมนตรี-พระราม 2</t>
  </si>
  <si>
    <t>{"canal_datetime":"2026-09-28 13:20","canal_value":0.06,"canal_out":0,"agency":{"agency_name":{"th":"สำนักการระบายน้ำ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Bon"},"province_code":"10","province_name":{"th":"กรุงเทพมหานคร","en":"Bangkok"}},"station":{"id":120,"canal_name":{"th":"ค.ราชมนตรี-พระราม 2"},"canal_lat":13.66885,"canal_long":100.4299,"canal_oldcode":"WL.RMT.02","bank":1.9,"warning_level":0.6,"critical_level":0.7}}</t>
  </si>
  <si>
    <t>THAIWATER:44</t>
  </si>
  <si>
    <t>WL.BCN.03</t>
  </si>
  <si>
    <t>{"id":1317594233,"waterlevel_datetime":"2026-10-03 15:10","waterlevel_m":null,"waterlevel_msl":"0.77","waterlevel_msl_previous":"0.79","flow_rate":null,"discharge":null,"storage_percent":"86.64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Basin"}},"station":{"id":751,"tele_station_name":{"en":"Krung Thep 6","th":"คลองมหาชัย วัดพันท้ายนรสิงห์"},"tele_station_lat":13.58184,"tele_station_long":100.36587,"tele_station_oldcode":"BKK006","tele_station_type":"tele_waterlevel","left_bank":1.301,"right_bank":3.227,"min_bank":1.3,"ground_level":-2.674,"offset":null,"sub_basin_id":259,"agency_id":9,"geocode_id":6942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าคร","en":"Mueang Samut Sakhon District"},"tumbon_code":"13","tumbon_name":{"th":"พันท้ายนรสิงห์","en":"Phanthai Norasing"},"province_code":"74","province_name":{"th":"สมุทรสาคร","en":"Samut Sakhon"}},"diff_wl_bank":"0.53","diff_wl_bank_text":"ต่ำกว่าตลิ่ง (ม.)","river_gid":189455,"river_name":"คลองสนามชัย"}</t>
  </si>
  <si>
    <t xml:space="preserve">ค.บางเชือกหนัง ถ.พุทธฯสาย 2 </t>
  </si>
  <si>
    <t>THAIWATER_WL:754</t>
  </si>
  <si>
    <t>MKG005</t>
  </si>
  <si>
    <t>บ้านแพ้ว</t>
  </si>
  <si>
    <t>คลองดำเนินสะดวก</t>
  </si>
  <si>
    <t>{"canal_datetime":"2026-09-28 13:20","canal_value":0.75,"canal_out":0,"agency":{"agency_name":{"th":"สำนักการระบายน้ำ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Bangkok","jp":""}},"geocode":{"area_code":"1","area_name":{"th":"กรุงเทพมหานคร","en":"Bangkok"},"amphoe_name":{"th":"บางแค","en":"Bang Khae District"},"tumbon_name":{"th":"บางไผ่","en":"Bang Phai"},"province_code":"10","province_name":{"th":"กรุงเทพมหานคร","en":"Bangkok"}},"station":{"id":44,"canal_name":{"th":"ค.บางเชือกหนัง ถ.พุทธฯสาย 2 "},"canal_lat":13.75173,"canal_long":100.39162,"canal_oldcode":"WL.BCN.03","bank":1.62,"warning_level":0.7,"critical_level":1}}</t>
  </si>
  <si>
    <t>THAIWATER:100</t>
  </si>
  <si>
    <t>WL.SSG.01</t>
  </si>
  <si>
    <t>ค.สิบสอง-ถ.ประชาสำราญ</t>
  </si>
  <si>
    <t>{"id":1317594372,"waterlevel_datetime":"2026-10-03 15:10","waterlevel_m":null,"waterlevel_msl":"0.51","waterlevel_msl_previous":"0.51","flow_rate":null,"discharge":null,"storage_percent":"86.27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Basin"}},"station":{"id":754,"tele_station_name":{"en":"Ban Paew","th":"บ้านแพ้ว"},"tele_station_lat":13.57563,"tele_station_long":100.07884,"tele_station_oldcode":"MKG005","tele_station_type":"tele_waterlevel","left_bank":0.959,"right_bank":1.091,"min_bank":0.96,"ground_level":-2.296,"offset":null,"sub_basin_id":276,"agency_id":9,"geocode_id":6965,"hydro_id":null,"qmax":null,"is_key_station":false,"warning_level_m":null,"critical_level_m":null,"critical_level_msl":null},"geocode":{"area_code":"2","area_name":{"th":"ภาคกลาง","en":"Central"},"amphoe_code":"03","amphoe_name":{"th":"บ้านแพ้ว","en":"Ban Phaeo District"},"tumbon_code":"06","tumbon_name":{"th":"หนองบัว","en":"Nong Bua"},"province_code":"74","province_name":{"th":"สมุทรสาคร","en":"Samut Sakhon"}},"diff_wl_bank":"0.45","diff_wl_bank_text":"ต่ำกว่าตลิ่ง (ม.)","river_gid":189570,"river_name":"คลองดำเนินสะดวก"}</t>
  </si>
  <si>
    <t>THAIWATER_WL:2851</t>
  </si>
  <si>
    <t>Y.5</t>
  </si>
  <si>
    <t>หน้าอำเภอโพทะเล</t>
  </si>
  <si>
    <t>{"canal_datetime":"2026-09-28 13:20","canal_value":1.63,"canal_out":0,"agency":{"agency_name":{"th":"สำนักการระบายน้ำ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Bangkok","jp":""}},"geocode":{"area_code":"1","area_name":{"th":"กรุงเทพมหานคร","en":"Bangkok"},"amphoe_name":{"th":"หนองจอก","en":"Nong Chok District"},"tumbon_name":{"th":"คลองสิบสอง","en":"Khlong Sip Song"},"province_code":"10","province_name":{"th":"กรุงเทพมหานคร","en":"Bangkok"}},"station":{"id":100,"canal_name":{"th":"ค.สิบสอง-ถ.ประชาสำราญ"},"canal_lat":13.91359,"canal_long":100.86248,"canal_oldcode":"WL.SSG.01","bank":1.85,"warning_level":1.2,"critical_level":1.7}}</t>
  </si>
  <si>
    <t>THAIWATER:85</t>
  </si>
  <si>
    <t>WL.PKN.01</t>
  </si>
  <si>
    <t>ส.พระโขนง</t>
  </si>
  <si>
    <t>คลองเตย</t>
  </si>
  <si>
    <t>{"id":1317572412,"waterlevel_datetime":"2026-10-03 14:00","waterlevel_m":null,"waterlevel_msl":"29.33","waterlevel_msl_previous":"29.34","flow_rate":null,"discharge":null,"storage_percent":"86.24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2851,"tele_station_name":{"th":"หน้าอำเภอโพทะเล"},"tele_station_lat":16.09481,"tele_station_long":100.259903,"tele_station_oldcode":"Y.5","tele_station_type":"tele_waterlevel","left_bank":54.795999,"right_bank":54.536999,"min_bank":30.15,"ground_level":24.19,"offset":22.049999,"sub_basin_id":215,"agency_id":12,"geocode_id":6293,"hydro_id":2,"qmax":null,"is_key_station":true,"warning_level_m":null,"critical_level_m":null,"critical_level_msl":null},"geocode":{"area_code":"3","area_name":{"th":"ภาคเหนือ","en":"North"},"amphoe_code":"06","amphoe_name":{"th":"โพทะเล","en":"Pho Thale District"},"tumbon_code":"01","tumbon_name":{"th":"โพทะเล","en":"Pho Thale"},"province_code":"66","province_name":{"th":"พิจิตร","en":"Phichit"}},"diff_wl_bank":"0.82","diff_wl_bank_text":"ต่ำกว่าตลิ่ง (ม.)","river_gid":100992,"river_name":"แม่น้ำยม"}</t>
  </si>
  <si>
    <t>THAIWATER_WL:1079844</t>
  </si>
  <si>
    <t>{"canal_datetime":"2026-09-28 13:20","canal_value":-0.6,"canal_out":0.63,"agency":{"agency_name":{"th":"สำนักการระบายน้ำ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District"},"tumbon_name":{"th":"พระโขนง","en":"Phra Khanong"},"province_code":"10","province_name":{"th":"กรุงเทพมหานคร","en":"Bangkok"}},"station":{"id":85,"canal_name":{"th":"ส.พระโขนง"},"canal_lat":13.70901,"canal_long":100.59503,"canal_oldcode":"WL.PKN.01","bank":2.8,"warning_level":2.6,"critical_level":2.8}}</t>
  </si>
  <si>
    <t>M.192</t>
  </si>
  <si>
    <t>THAIWATER:112</t>
  </si>
  <si>
    <t>บ้านโนนค่า</t>
  </si>
  <si>
    <t>WL.LPW.05</t>
  </si>
  <si>
    <t>ค.ลาดพร้าว ถ.ประดิษฐ์มนูธรรม</t>
  </si>
  <si>
    <t>ห้วยดินดำ</t>
  </si>
  <si>
    <t>da7dceef-3611-4eb6-5850-ad86a69f02d6</t>
  </si>
  <si>
    <t>โรงเรียนบางชัน</t>
  </si>
  <si>
    <t>{"canal_datetime":"2026-09-28 13:20","canal_value":0.3,"canal_out":0,"agency":{"agency_name":{"th":"สำนักการระบายน้ำ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Kapi"},"province_code":"10","province_name":{"th":"กรุงเทพมหานคร","en":"Bangkok"}},"station":{"id":112,"canal_name":{"th":"ค.ลาดพร้าว ถ.ประดิษฐ์มนูธรรม"},"canal_lat":13.75954,"canal_long":100.59646,"canal_oldcode":"WL.LPW.05","bank":1.9,"warning_level":-0.1,"critical_level":0.1}}</t>
  </si>
  <si>
    <t>THAIWATER:72</t>
  </si>
  <si>
    <t>WL.LPW.01</t>
  </si>
  <si>
    <t>ปตร.คลองลาดพร้าว</t>
  </si>
  <si>
    <t>https://maps.app.goo.gl/nBCZSBqzt99h7gz78</t>
  </si>
  <si>
    <t>{"id":1317571369,"waterlevel_datetime":"2026-10-03 14:00","waterlevel_m":null,"waterlevel_msl":"203.35","waterlevel_msl_previous":"203.35","flow_rate":null,"discharge":"12.15","storage_percent":"86.15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1079844,"tele_station_name":{"th":"บ้านโนนค่า"},"tele_station_lat":14.93225,"tele_station_long":101.867882,"tele_station_oldcode":"M.192","tele_station_type":"tele_waterlevel","left_bank":203.90000600000002,"right_bank":203.90000600000002,"min_bank":203.9,"ground_level":199.93,"offset":199.600006,"sub_basin_id":108,"agency_id":12,"geocode_id":1887,"hydro_id":4,"qmax":35,"is_key_station":false,"warning_level_m":null,"critical_level_m":null,"critical_level_msl":null},"geocode":{"area_code":"4","area_name":{"th":"ภาคตะวันออกเฉียงเหนือ","en":"Northeast"},"amphoe_code":"18","amphoe_name":{"th":"สูงเนิน","en":"Sung Noen District"},"tumbon_code":"04","tumbon_name":{"th":"บุ่งขี้เหล็ก","en":"Bung Khi Lek"},"province_code":"30","province_name":{"th":"นครราชสีมา","en":"Nakhon Ratchasima"}},"diff_wl_bank":"0.55","diff_wl_bank_text":"ต่ำกว่าตลิ่ง (ม.)","river_gid":149763,"river_name":"ห้วยดินดำ"}</t>
  </si>
  <si>
    <t>THAIWATER_WL:218</t>
  </si>
  <si>
    <t>MUN003</t>
  </si>
  <si>
    <t>ชุมพวง</t>
  </si>
  <si>
    <t>{"canal_datetime":"2026-09-28 13:20","canal_value":0.46,"canal_out":-0.04,"agency":{"agency_name":{"th":"สำนักการระบายน้ำ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Bangkok","jp":""}},"geocode":{"area_code":"1","area_name":{"th":"กรุงเทพมหานคร","en":"Bangkok"},"amphoe_name":{"th":"วังทองหลาง","en":"Wang Thonglang District"},"tumbon_name":{"th":"วังทองหลาง","en":"Wang Thong Lang"},"province_code":"10","province_name":{"th":"กรุงเทพมหานคร","en":"Bangkok"}},"station":{"id":72,"canal_name":{"th":"ปตร.คลองลาดพร้าว"},"canal_lat":13.79446,"canal_long":100.58957,"canal_oldcode":"WL.LPW.01","bank":1.98,"warning_level":0.2,"critical_level":0.4}}</t>
  </si>
  <si>
    <t>THAIWATER:287</t>
  </si>
  <si>
    <t>WL.BYK.02</t>
  </si>
  <si>
    <t>ค.บางยี่ขัน ส.คลองบางยี่ขัน</t>
  </si>
  <si>
    <t>{"id":1317594427,"waterlevel_datetime":"2026-10-03 15:10","waterlevel_m":null,"waterlevel_msl":"146.52","waterlevel_msl_previous":"146.51","flow_rate":null,"discharge":null,"storage_percent":"86.14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Basin"}},"station":{"id":218,"tele_station_name":{"en":"Mun 3","th":"ชุมพวง"},"tele_station_lat":15.28663,"tele_station_long":102.68459,"tele_station_oldcode":"MUN003","tele_station_type":"tele_waterlevel","left_bank":147.568,"right_bank":148.676,"min_bank":147.57,"ground_level":139.977,"offset":null,"sub_basin_id":115,"agency_id":9,"geocode_id":1876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ชุมพวง","en":"Chum Phuang District"},"tumbon_code":"03","tumbon_name":{"th":"ท่าลาด","en":"Tha Lat"},"province_code":"30","province_name":{"th":"นครราชสีมา","en":"Nakhon Ratchasima"}},"diff_wl_bank":"1.05","diff_wl_bank_text":"ต่ำกว่าตลิ่ง (ม.)","river_gid":146212,"river_name":"ลำปลายมาศ"}</t>
  </si>
  <si>
    <t>{"canal_datetime":"2026-09-28 13:20","canal_value":-0.31,"canal_out":0,"agency":{"agency_name":{"th":"สำนักการระบายน้ำ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District"},"tumbon_name":{"th":"บางยี่ขัน","en":"Bang Yi Khan"},"province_code":"10","province_name":{"th":"กรุงเทพมหานคร","en":"Bangkok"}},"station":{"id":287,"canal_name":{"th":"ค.บางยี่ขัน ส.คลองบางยี่ขัน"},"canal_lat":13.76741,"canal_long":100.49361,"canal_oldcode":"WL.BYK.02","bank":1,"warning_level":0.6,"critical_level":0.7}}</t>
  </si>
  <si>
    <t>THAIWATER:136</t>
  </si>
  <si>
    <t>THAIWATER_WL:149</t>
  </si>
  <si>
    <t>WL.BKY.01</t>
  </si>
  <si>
    <t>ส.คลองบางกอกใหญ่</t>
  </si>
  <si>
    <t>BKK016</t>
  </si>
  <si>
    <t>ปากคลองพระองค์เจ้าฯ (บางน้ำเปรี้ยว)</t>
  </si>
  <si>
    <t>คลองพระองค์เจ้าไชยานุชิต</t>
  </si>
  <si>
    <t>2026-09-26T13:58:34.209Z</t>
  </si>
  <si>
    <t>{"canal_datetime":"2026-09-28 13:20","canal_value":0.13,"canal_out":1.08,"agency":{"agency_name":{"th":"สำนักการระบายน้ำ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Bangkok","jp":""}},"geocode":{"area_code":"1","area_name":{"th":"กรุงเทพมหานคร","en":"Bangkok"},"amphoe_name":{"th":"บางกอกใหญ่","en":"Bangkok Yai District"},"tumbon_name":{"th":"วัดอรุณ","en":"Wat Arun"},"province_code":"10","province_name":{"th":"กรุงเทพมหานคร","en":"Bangkok"}},"station":{"id":136,"canal_name":{"th":"ส.คลองบางกอกใหญ่"},"canal_lat":13.7402,"canal_long":100.48992,"canal_oldcode":"WL.BKY.01","bank":3,"warning_level":2.8,"critical_level":3}}</t>
  </si>
  <si>
    <t>THAIWATER:86</t>
  </si>
  <si>
    <t>WL.KTY.01</t>
  </si>
  <si>
    <t>ส.คลองเตย</t>
  </si>
  <si>
    <t>{"id":"da7dceef-3611-4eb6-5850-ad86a69f02d6","district":"คลองสามวา","category":"ศูนย์พักพิงชั่วคราว","name":"โรงเรียนบางชัน","capacity":100,"occupied":100,"available":0,"unitType":"คน","status":"เต็ม","routeDetails":"","link":"https://maps.app.goo.gl/nBCZSBqzt99h7gz78","additionalDetails":null,"createdAt":"2026-09-26T08:52:03.000Z","updatedAt":"2026-09-26T13:58:34.209Z"}</t>
  </si>
  <si>
    <t>{"id":1317594238,"waterlevel_datetime":"2026-10-03 15:10","waterlevel_m":null,"waterlevel_msl":"0.72","waterlevel_msl_previous":"0.72","flow_rate":null,"discharge":null,"storage_percent":"86.04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Basin"}},"station":{"id":149,"tele_station_name":{"en":"Bang Nam Priao","th":"ปากคลองพระองค์เจ้าฯ (บางน้ำเปรี้ยว)"},"tele_station_lat":13.83819,"tele_station_long":100.9666,"tele_station_oldcode":"BKK016","tele_station_type":"tele_waterlevel","left_bank":1.387,"right_bank":1.237,"min_bank":1.24,"ground_level":-2.43,"offset":null,"sub_basin_id":286,"agency_id":9,"geocode_id":1410,"hydro_id":null,"qmax":null,"is_key_station":false,"warning_level_m":null,"critical_level_m":null,"critical_level_msl":null},"geocode":{"area_code":"2","area_name":{"th":"ภาคกลาง","en":"Central"},"amphoe_code":"03","amphoe_name":{"th":"บางน้ำเปรี้ยว","en":"Bang Nam Priao District"},"tumbon_code":"01","tumbon_name":{"th":"บางน้ำเปรี้ยว","en":"Bang Nam Priao"},"province_code":"24","province_name":{"th":"ฉะเชิงเทรา","en":"Chachoengsao"}},"diff_wl_bank":"0.51","diff_wl_bank_text":"ต่ำกว่าตลิ่ง (ม.)","river_gid":196117,"river_name":"คลองพระองค์เจ้าไชยานุชิต"}</t>
  </si>
  <si>
    <t>https://www.google.com/maps/place/%E0%B9%82%E0%B8%A3%E0%B8%87%E0%B9%80%E0%B8%A3%E0%B8%B5%E0%B8%A2%E0%B8%99%E0%B8%9A%E0%B8%B2%E0%B8%87%E0%B8%8A%E0%B8%B1%E0%B8%99+(%E0%B8%9B%E0%B8%A5%E0%B8%B7%E0%B9%89%E0%B8%A1%E0%B8%A7%E0%B8%B4%E0%B8%97%E0%B8%A2%E0%B8%B2%E0%B8%99%E0%B8%B8%E0%B8%AA%E0%B8%A3%E0%B8%93%E0%B9%8C)/@13.8364841,100.6678055,7525m/data=!3m1!1e3!4m6!3m5!1s0x311d640881259f41:0xe874070dd2c82570!8m2!3d13.817645!4d100.6988714!16s%2Fg%2F1hc0w10t2?entry=tts&amp;g_ep=EgoyMDI2MDkyMy4wIPu8ASoASAFQAw%3D%3D&amp;skid=856ba570-ed93-4151-addd-f2ead7121e36</t>
  </si>
  <si>
    <t>THAIWATER_WL:54</t>
  </si>
  <si>
    <t>CPY016</t>
  </si>
  <si>
    <t>คลองพระยาบรรลือ</t>
  </si>
  <si>
    <t>{"canal_datetime":"2026-09-28 13:20","canal_value":-2.09,"canal_out":0.27,"agency":{"agency_name":{"th":"สำนักการระบายน้ำ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Bangkok","jp":""}},"geocode":{"area_code":"1","area_name":{"th":"กรุงเทพมหานคร","en":"Bangkok"},"amphoe_name":{"th":"คลองเตย","en":"Khlong Toei District"},"tumbon_name":{"th":"คลองเตย","en":"Khlong Toei"},"province_code":"10","province_name":{"th":"กรุงเทพมหานคร","en":"Bangkok"}},"station":{"id":86,"canal_name":{"th":"ส.คลองเตย"},"canal_lat":13.70635,"canal_long":100.58779,"canal_oldcode":"WL.KTY.01","bank":null,"warning_level":null,"critical_level":null}}</t>
  </si>
  <si>
    <t>THAIWATER:230</t>
  </si>
  <si>
    <t>WL.LSG.01</t>
  </si>
  <si>
    <t>ค.หลอด 2 ถ.บางนา ตราด</t>
  </si>
  <si>
    <t>{"canal_datetime":"2026-09-28 13:20","canal_value":-0.56,"canal_out":0,"agency":{"agency_name":{"th":"สำนักการระบายน้ำ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Na"},"province_code":"10","province_name":{"th":"กรุงเทพมหานคร","en":"Bangkok"}},"station":{"id":230,"canal_name":{"th":"ค.หลอด 2 ถ.บางนา ตราด"},"canal_lat":13.67099,"canal_long":100.62222,"canal_oldcode":"WL.LSG.01","bank":0.3,"warning_level":-0.2,"critical_level":0}}</t>
  </si>
  <si>
    <t>THAIWATER:162</t>
  </si>
  <si>
    <t>WL.BSU.03</t>
  </si>
  <si>
    <t>ค.บางซื่อ ถ.พระราม 6</t>
  </si>
  <si>
    <t>{"id":1317594289,"waterlevel_datetime":"2026-10-03 15:10","waterlevel_m":null,"waterlevel_msl":"2.81","waterlevel_msl_previous":"2.81","flow_rate":null,"discharge":null,"storage_percent":"85.89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Basin"}},"station":{"id":54,"tele_station_name":{"en":"Chao Phraya 16","th":"คลองพระยาบรรลือ"},"tele_station_lat":14.16476,"tele_station_long":100.30725,"tele_station_oldcode":"CPY016","tele_station_type":"tele_waterlevel","left_bank":3.511,"right_bank":3.609,"min_bank":3.51,"ground_level":-1.487,"offset":null,"sub_basin_id":240,"agency_id":9,"geocode_id":548,"hydro_id":null,"qmax":null,"is_key_station":false,"warning_level_m":null,"critical_level_m":null,"critical_level_msl":null},"geocode":{"area_code":"2","area_name":{"th":"ภาคกลาง","en":"Central"},"amphoe_code":"10","amphoe_name":{"th":"ลาดบัวหลวง","en":"Lat Bua Luang District"},"tumbon_code":"03","tumbon_name":{"th":"สามเมือง","en":"Sam Mueang"},"province_code":"14","province_name":{"th":"พระนครศรีอยุธยา","en":"Phra Nakhon Si Ayutthaya"}},"diff_wl_bank":"0.71","diff_wl_bank_text":"ต่ำกว่าตลิ่ง (ม.)","river_gid":184214,"river_name":"คลองพระยาบรรลือ"}</t>
  </si>
  <si>
    <t>THAIWATER_WL:2752</t>
  </si>
  <si>
    <t>M.7</t>
  </si>
  <si>
    <t>สะพานเสรีประชาธิปไตย</t>
  </si>
  <si>
    <t>{"canal_datetime":"2026-09-28 13:20","canal_value":-0.93,"canal_out":0,"agency":{"agency_name":{"th":"สำนักการระบายน้ำ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Bangkok","jp":""}},"geocode":{"area_code":"1","area_name":{"th":"กรุงเทพมหานคร","en":"Bangkok"},"amphoe_name":{"th":"พญาไท","en":"Phaya Thai District"},"tumbon_name":{"th":"สามเสนใน","en":"Sam Sen Nai"},"province_code":"10","province_name":{"th":"กรุงเทพมหานคร","en":"Bangkok"}},"station":{"id":162,"canal_name":{"th":"ค.บางซื่อ ถ.พระราม 6"},"canal_lat":13.79759,"canal_long":100.53881,"canal_oldcode":"WL.BSU.03","bank":2,"warning_level":0.1,"critical_level":0.2}}</t>
  </si>
  <si>
    <t>THAIWATER:286</t>
  </si>
  <si>
    <t>WL.BBN.01</t>
  </si>
  <si>
    <t>ค.บางบอน ถ.บางขุนเทียน</t>
  </si>
  <si>
    <t>2026-09-27T04:35:00+07:00</t>
  </si>
  <si>
    <t>{"id":1317571353,"waterlevel_datetime":"2026-10-03 14:00","waterlevel_m":null,"waterlevel_msl":"110.36","waterlevel_msl_previous":"110.37","flow_rate":null,"discharge":"1469.80","storage_percent":"85.84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2752,"tele_station_name":{"th":"สะพานเสรีประชาธิปไตย"},"tele_station_lat":15.22263,"tele_station_long":104.859131,"tele_station_oldcode":"M.7","tele_station_type":"tele_waterlevel","left_bank":112,"right_bank":112,"min_bank":112,"ground_level":100.42,"offset":105,"sub_basin_id":147,"agency_id":12,"geocode_id":2760,"hydro_id":4,"qmax":2300,"is_key_station":true,"warning_level_m":null,"critical_level_m":7,"critical_level_msl":112},"geocode":{"area_code":"4","area_name":{"th":"ภาคตะวันออกเฉียงเหนือ","en":"Northeast"},"amphoe_code":"15","amphoe_name":{"th":"วารินชำราบ","en":"Warin Chamrap District"},"tumbon_code":"01","tumbon_name":{"th":"วารินชำราบ","en":"Warin Chamrap"},"province_code":"34","province_name":{"th":"อุบลราชธานี","en":"Ubon Ratchathani"}},"diff_wl_bank":"1.64","diff_wl_bank_text":"ต่ำกว่าตลิ่ง (ม.)","river_gid":146325,"river_name":"แม่น้ำมูล"}</t>
  </si>
  <si>
    <t>THAIWATER_WL:825</t>
  </si>
  <si>
    <t>VLGE16</t>
  </si>
  <si>
    <t>{"canal_datetime":"2026-09-27 04:35","canal_value":0.22,"canal_out":0,"agency":{"agency_name":{"th":"สำนักการระบายน้ำ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Bon"},"province_code":"10","province_name":{"th":"กรุงเทพมหานคร","en":"Bangkok"}},"station":{"id":286,"canal_name":{"th":"ค.บางบอน ถ.บางขุนเทียน"},"canal_lat":13.67055,"canal_long":100.42713,"canal_oldcode":"WL.BBN.01","bank":1.6,"warning_level":0.6,"critical_level":0.7}}</t>
  </si>
  <si>
    <t>ชุมชนลีเล็ด</t>
  </si>
  <si>
    <t>THAIWATER:181</t>
  </si>
  <si>
    <t>WL.KJA.02</t>
  </si>
  <si>
    <t>คลองลีเล็ด</t>
  </si>
  <si>
    <t>ค.กะจะ ถ.พระราม 9 ซ.57</t>
  </si>
  <si>
    <t>{"canal_datetime":"2026-09-28 13:20","canal_value":0.61,"canal_out":0,"agency":{"agency_name":{"th":"สำนักการระบายน้ำ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Bangkok","jp":""}},"geocode":{"area_code":"1","area_name":{"th":"กรุงเทพมหานคร","en":"Bangkok"},"amphoe_name":{"th":"สวนหลวง","en":"Suan Luang District"},"tumbon_name":{"th":"สวนหลวง","en":"Suan Luang"},"province_code":"10","province_name":{"th":"กรุงเทพมหานคร","en":"Bangkok"}},"station":{"id":181,"canal_name":{"th":"ค.กะจะ ถ.พระราม 9 ซ.57"},"canal_lat":13.74953,"canal_long":100.63387,"canal_oldcode":"WL.KJA.02","bank":1,"warning_level":-0.2,"critical_level":0}}</t>
  </si>
  <si>
    <t>THAIWATER:49</t>
  </si>
  <si>
    <t>WL.BKA.04</t>
  </si>
  <si>
    <t>ค.บางเขน ถ.วิภาวดีฯ</t>
  </si>
  <si>
    <t>{"id":1317594682,"waterlevel_datetime":"2026-10-03 15:10","waterlevel_m":null,"waterlevel_msl":"1.30","waterlevel_msl_previous":"1.28","flow_rate":null,"discharge":null,"storage_percent":"85.76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Basin"}},"station":{"id":825,"tele_station_name":{"en":"Lilet Communuty","th":"ชุมชนลีเล็ด"},"tele_station_lat":9.191764,"tele_station_long":99.253975,"tele_station_oldcode":"VLGE16","tele_station_type":"tele_waterlevel","left_bank":1.988,"right_bank":2.367,"min_bank":1.99,"ground_level":-2.843,"offset":null,"sub_basin_id":324,"agency_id":9,"geocode_id":7635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District"},"tumbon_code":"03","tumbon_name":{"th":"ลีเล็ด","en":"Li Let"},"province_code":"84","province_name":{"th":"สุราษฎร์ธานี","en":"Surat Thani"}},"diff_wl_bank":"0.69","diff_wl_bank_text":"ต่ำกว่าตลิ่ง (ม.)","river_gid":215773,"river_name":"คลองลีเล็ด"}</t>
  </si>
  <si>
    <t>THAIWATER_WL:1109526</t>
  </si>
  <si>
    <t>ONE037</t>
  </si>
  <si>
    <t>สะพานข้ามคลองอู่ตะเภา</t>
  </si>
  <si>
    <t>คลองอู่ตะเภา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</si>
  <si>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Yao"},"province_code":"10","province_name":{"th":"กรุงเทพมหานคร","en":"Bangkok"}},"station":{"id":49,"canal_name":{"th":"ค.บางเขน ถ.วิภาวดีฯ"},"canal_lat":13.85572,"canal_long":100.56673,"canal_oldcode":"WL.BKA.04","bank":1.9,"warning_level":0.6,"critical_level":0.7}}</t>
  </si>
  <si>
    <t>THAIWATER:104</t>
  </si>
  <si>
    <t>WL.BYI.01</t>
  </si>
  <si>
    <t>ค.บึงใหญ่-วัดทองสัมฤทธิ์</t>
  </si>
  <si>
    <t>{"canal_datetime":"2026-09-28 13:20","canal_value":1,"canal_out":0,"agency":{"agency_name":{"th":"สำนักการระบายน้ำ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Bangkok","jp":""}},"geocode":{"area_code":"1","area_name":{"th":"กรุงเทพมหานคร","en":"Bangkok"},"amphoe_name":{"th":"มีนบุรี","en":"Min Buri District"},"tumbon_name":{"th":"แสนแสบ","en":"Saen Saep"},"province_code":"10","province_name":{"th":"กรุงเทพมหานคร","en":"Bangkok"}},"station":{"id":104,"canal_name":{"th":"ค.บึงใหญ่-วัดทองสัมฤทธิ์"},"canal_lat":13.80069,"canal_long":100.78818,"canal_oldcode":"WL.BYI.01","bank":1.85,"warning_level":0.6,"critical_level":0.7}}</t>
  </si>
  <si>
    <t>{"id":1317594487,"waterlevel_datetime":"2026-10-03 15:10","waterlevel_m":null,"waterlevel_msl":"0.07","waterlevel_msl_previous":"0.10","flow_rate":null,"discharge":null,"storage_percent":"85.68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Basin"}},"station":{"id":1109526,"tele_station_name":{"en":"Khlong U Taphao Bridge","th":"สะพานข้ามคลองอู่ตะเภา"},"tele_station_lat":7.134997,"tele_station_long":100.45321,"tele_station_oldcode":"ONE037","tele_station_type":"tele_waterlevel","left_bank":0.836,"right_bank":1.127,"min_bank":0.84,"ground_level":-4.515,"offset":null,"sub_basin_id":330,"agency_id":9,"geocode_id":7873,"hydro_id":null,"qmax":null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District"},"tumbon_code":"03","tumbon_name":{"th":"คูเต่า","en":"Khu Tao"},"province_code":"90","province_name":{"th":"สงขลา","en":"Songkhla"}},"diff_wl_bank":"0.77","diff_wl_bank_text":"ต่ำกว่าตลิ่ง (ม.)","river_gid":227049,"river_name":"คลองอู่ตะเภา"}</t>
  </si>
  <si>
    <t>THAIWATER:248</t>
  </si>
  <si>
    <t>WL.TPK.02</t>
  </si>
  <si>
    <t>ค.ตาพุก ถ.ลาดกระบัง</t>
  </si>
  <si>
    <t>THAIWATER_WL:1106455</t>
  </si>
  <si>
    <t>TCP009</t>
  </si>
  <si>
    <t>สถานีสูบน้ำปากคลองสระตาแวว (ทุ่งซ้ายคลองชัยนาท)</t>
  </si>
  <si>
    <t>คลองโพนทอง</t>
  </si>
  <si>
    <t>{"canal_datetime":"2026-09-28 13:20","canal_value":0.81,"canal_out":0,"agency":{"agency_name":{"th":"สำนักการระบายน้ำ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District"},"tumbon_name":{"th":"ประเวศ","en":"Prawet"},"province_code":"10","province_name":{"th":"กรุงเทพมหานคร","en":"Bangkok"}},"station":{"id":248,"canal_name":{"th":"ค.ตาพุก ถ.ลาดกระบัง"},"canal_lat":13.72193,"canal_long":100.70919,"canal_oldcode":"WL.TPK.02","bank":1,"warning_level":0.4,"critical_level":0.5}}</t>
  </si>
  <si>
    <t>THAIWATER:251</t>
  </si>
  <si>
    <t>WL.KJN.02</t>
  </si>
  <si>
    <t>ค.จั่น ถ.โยธินพัฒนา</t>
  </si>
  <si>
    <t>{"id":1317594643,"waterlevel_datetime":"2026-10-03 15:10","waterlevel_m":null,"waterlevel_msl":"13.04","waterlevel_msl_previous":"13.03","flow_rate":null,"discharge":null,"storage_percent":"85.68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Basin"}},"station":{"id":1106455,"tele_station_name":{"en":"Khlong Sa Ta Waeo Pumping Station","th":"สถานีสูบน้ำปากคลองสระตาแวว (ทุ่งซ้ายคลองชัยนาท)"},"tele_station_lat":14.940779,"tele_station_long":100.59284,"tele_station_oldcode":"TCP009","tele_station_type":"tele_waterlevel","left_bank":15.25,"right_bank":15.22,"min_bank":15.22,"ground_level":0,"offset":null,"sub_basin_id":240,"agency_id":9,"geocode_id":787,"hydro_id":null,"qmax":null,"is_key_station":false,"warning_level_m":null,"critical_level_m":null,"critical_level_msl":null},"geocode":{"area_code":"2","area_name":{"th":"ภาคกลาง","en":"Central"},"amphoe_code":"06","amphoe_name":{"th":"บ้านหมี่","en":"Ban Mi District"},"tumbon_code":"06","tumbon_name":{"th":"พุคา","en":"Phu Kha"},"province_code":"16","province_name":{"th":"ลพบุรี","en":"Lop Buri"}},"diff_wl_bank":"2.18","diff_wl_bank_text":"ต่ำกว่าตลิ่ง (ม.)","river_gid":177693,"river_name":"คลองโพนทอง"}</t>
  </si>
  <si>
    <t>THAIWATER_WL:700590</t>
  </si>
  <si>
    <t>MKVKD07</t>
  </si>
  <si>
    <t>บ้านแม่น้ำน้อย</t>
  </si>
  <si>
    <t>{"canal_datetime":"2026-09-28 13:20","canal_value":0.94,"canal_out":0,"agency":{"agency_name":{"th":"สำนักการระบายน้ำ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Chan"},"province_code":"10","province_name":{"th":"กรุงเทพมหานคร","en":"Bangkok"}},"station":{"id":251,"canal_name":{"th":"ค.จั่น ถ.โยธินพัฒนา"},"canal_lat":13.80547,"canal_long":100.6226,"canal_oldcode":"WL.KJN.02","bank":1,"warning_level":0.3,"critical_level":0.4}}</t>
  </si>
  <si>
    <t>d42f6d8e-bf1f-e595-e877-d4a19dca223c</t>
  </si>
  <si>
    <t>THAIWATER:147</t>
  </si>
  <si>
    <t>ห้วยแม่น้ำน้อย</t>
  </si>
  <si>
    <t>WL.RHN.01</t>
  </si>
  <si>
    <t>ส.คลองระหาญ</t>
  </si>
  <si>
    <t>โรงเรียนบ้านหนองระแหง</t>
  </si>
  <si>
    <t>https://maps.app.goo.gl/NPNrxXVpuTxvC1Ub7</t>
  </si>
  <si>
    <t>{"canal_datetime":"2026-09-28 13:20","canal_value":-0.09,"canal_out":-0.1,"agency":{"agency_name":{"th":"สำนักการระบายน้ำ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147,"canal_name":{"th":"ส.คลองระหาญ"},"canal_lat":13.60384,"canal_long":100.3946,"canal_oldcode":"WL.RHN.01","bank":1.98,"warning_level":1,"critical_level":1.2}}</t>
  </si>
  <si>
    <t>THAIWATER:73</t>
  </si>
  <si>
    <t>WL.SSN.01</t>
  </si>
  <si>
    <t>ส.สามเสน</t>
  </si>
  <si>
    <t>{"id":1317593151,"waterlevel_datetime":"2026-10-03 15:00","waterlevel_m":null,"waterlevel_msl":"59.78","waterlevel_msl_previous":"59.80","flow_rate":null,"discharge":"194.99","storage_percent":"85.55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700590,"tele_station_name":{"th":"บ้านแม่น้ำน้อย"},"tele_station_lat":14.44497,"tele_station_long":98.80493,"tele_station_oldcode":"MKVKD07","tele_station_type":"tele_waterlevel","left_bank":72.14,"right_bank":60.48,"min_bank":60.48,"ground_level":55.63,"offset":null,"sub_basin_id":272,"agency_id":8,"geocode_id":6600,"hydro_id":null,"qmax":null,"is_key_station":false,"warning_level_m":null,"critical_level_m":null,"critical_level_msl":62.4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Yok"},"province_code":"71","province_name":{"th":"กาญจนบุรี","en":"Kanchanaburi"}},"diff_wl_bank":"0.70","diff_wl_bank_text":"ต่ำกว่าตลิ่ง (ม.)","river_gid":181830,"river_name":"ห้วยแม่น้ำน้อย"}</t>
  </si>
  <si>
    <t>THAIWATER_WL:1105332</t>
  </si>
  <si>
    <t>TCP006</t>
  </si>
  <si>
    <t>ปตร กุฎิ (ทุ่งป่าโมก)</t>
  </si>
  <si>
    <t>{"canal_datetime":"2026-09-28 13:20","canal_value":-0.5,"canal_out":1.33,"agency":{"agency_name":{"th":"สำนักการระบายน้ำ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District"},"tumbon_name":{"th":"วชิรพยาบาล","en":"Wachira Phayaban"},"province_code":"10","province_name":{"th":"กรุงเทพมหานคร","en":"Bangkok"}},"station":{"id":73,"canal_name":{"th":"ส.สามเสน"},"canal_lat":13.78484,"canal_long":100.50837,"canal_oldcode":"WL.SSN.01","bank":3.5,"warning_level":3.3,"critical_level":3.5}}</t>
  </si>
  <si>
    <t>THAIWATER:91</t>
  </si>
  <si>
    <t>WL.BNA.03</t>
  </si>
  <si>
    <t>ค.บางนา ถ.ศรีนครินทร์</t>
  </si>
  <si>
    <t>{"id":1317594640,"waterlevel_datetime":"2026-10-03 15:10","waterlevel_m":null,"waterlevel_msl":"6.05","waterlevel_msl_previous":"6.05","flow_rate":null,"discharge":null,"storage_percent":"85.38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Basin"}},"station":{"id":1105332,"tele_station_name":{"en":"Ku Ti","th":"ปตร กุฎิ (ทุ่งป่าโมก)"},"tele_station_lat":14.412405,"tele_station_long":100.40116,"tele_station_oldcode":"TCP006","tele_station_type":"tele_waterlevel","left_bank":7,"right_bank":7,"min_bank":7,"ground_level":0.5,"offset":null,"sub_basin_id":240,"agency_id":9,"geocode_id":525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District"},"tumbon_code":"06","tumbon_name":{"th":"ท่าดินแดง","en":"Tha Din Daeng"},"province_code":"14","province_name":{"th":"พระนครศรีอยุธยา","en":"Phra Nakhon Si Ayutthaya"}},"diff_wl_bank":"0.95","diff_wl_bank_text":"ต่ำกว่าตลิ่ง (ม.)","river_gid":181980,"river_name":"แม่น้ำน้อย"}</t>
  </si>
  <si>
    <t>{"canal_datetime":"2026-09-28 13:20","canal_value":-0.12,"canal_out":0,"agency":{"agency_name":{"th":"สำนักการระบายน้ำ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Na"},"province_code":"10","province_name":{"th":"กรุงเทพมหานคร","en":"Bangkok"}},"station":{"id":91,"canal_name":{"th":"ค.บางนา ถ.ศรีนครินทร์"},"canal_lat":13.66102,"canal_long":100.63926,"canal_oldcode":"WL.BNA.03","bank":1.85,"warning_level":0.4,"critical_level":0.6}}</t>
  </si>
  <si>
    <t>THAIWATER_WL:726673</t>
  </si>
  <si>
    <t>THAIWATER:249</t>
  </si>
  <si>
    <t>X.67A</t>
  </si>
  <si>
    <t>WL.WLS.01</t>
  </si>
  <si>
    <t>บ้านนาสีทอง</t>
  </si>
  <si>
    <t>ค.วัดหลักสี่ ถ.วิภาวดีรังสิต</t>
  </si>
  <si>
    <t>คลองรัตภูมิ</t>
  </si>
  <si>
    <t>{"id":"d42f6d8e-bf1f-e595-e877-d4a19dca223c","district":"คลองสามวา","category":"ศูนย์พักพิงชั่วคราว","name":"โรงเรียนบ้านหนองระแหง","capacity":20,"occupied":17,"available":3,"unitType":"คน","status":"เปิดให้บริการ/ว่าง","routeDetails":"","link":"https://maps.app.goo.gl/NPNrxXVpuTxvC1Ub7","additionalDetails":null,"createdAt":"2026-09-26T08:52:03.000Z","updatedAt":"2026-09-26T08:52:03.000Z"}</t>
  </si>
  <si>
    <t>https://www.google.com/maps/place/%E0%B9%82%E0%B8%A3%E0%B8%87%E0%B9%80%E0%B8%A3%E0%B8%B5%E0%B8%A2%E0%B8%99%E0%B8%9A%E0%B9%89%E0%B8%B2%E0%B8%99%E0%B8%AB%E0%B8%99%E0%B8%AD%E0%B8%87%E0%B8%A3%E0%B8%B0%E0%B9%81%E0%B8%AB%E0%B8%87+(%E0%B8%8A%E0%B8%A1%E0%B9%81%E0%B8%AA%E0%B8%87%E0%B8%9B%E0%B8%A3%E0%B8%B0%E0%B8%8A%E0%B8%B2%E0%B8%99%E0%B8%B8%E0%B8%81%E0%B8%B9%E0%B8%A5)+%E0%B8%AA%E0%B8%B1%E0%B8%87%E0%B8%81%E0%B8%B1%E0%B8%94%E0%B8%81%E0%B8%A3%E0%B8%B8%E0%B8%87%E0%B9%80%E0%B8%97%E0%B8%9E%E0%B8%A1%E0%B8%AB%E0%B8%B2%E0%B8%99%E0%B8%84%E0%B8%A3/@13.8771447,100.6681371,7523m/data=!3m1!1e3!4m6!3m5!1s0x311d7c8da4db82f9:0xb7a27ce8bfcd0f8a!8m2!3d13.9012456!4d100.6913492!16s%2Fg%2F11bwhb7047?entry=tts&amp;g_ep=EgoyMDI2MDkyMy4wIPu8ASoASAFQAw%3D%3D&amp;skid=2a4a21da-93ac-44ee-a8ed-6da24899c9e6</t>
  </si>
  <si>
    <t>{"canal_datetime":"2026-09-28 13:20","canal_value":1.49,"canal_out":0,"agency":{"agency_name":{"th":"สำนักการระบายน้ำ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Kan"},"province_code":"10","province_name":{"th":"กรุงเทพมหานคร","en":"Bangkok"}},"station":{"id":249,"canal_name":{"th":"ค.วัดหลักสี่ ถ.วิภาวดีรังสิต"},"canal_lat":13.89041,"canal_long":100.5847,"canal_oldcode":"WL.WLS.01","bank":2,"warning_level":0.6,"critical_level":0.7}}</t>
  </si>
  <si>
    <t>THAIWATER:143</t>
  </si>
  <si>
    <t>WL.SBT.01</t>
  </si>
  <si>
    <t>ส.คลองสี่บาท</t>
  </si>
  <si>
    <t>{"id":1317523516,"waterlevel_datetime":"2026-10-03 12:00","waterlevel_m":null,"waterlevel_msl":"33.88","waterlevel_msl_previous":"33.88","flow_rate":null,"discharge":"9.20","storage_percent":"85.32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726673,"tele_station_name":{"th":"บ้านนาสีทอง"},"tele_station_lat":7.10502,"tele_station_long":100.193932,"tele_station_oldcode":"X.67A","tele_station_type":"tele_waterlevel","left_bank":6.278,"right_bank":6.29,"min_bank":39.92,"ground_level":-1.223,"offset":null,"sub_basin_id":330,"agency_id":12,"geocode_id":7859,"hydro_id":8,"qmax":289.600006,"is_key_station":true,"warning_level_m":null,"critical_level_m":null,"critical_level_msl":null},"geocode":{"area_code":"5","area_name":{"th":"ภาคใต้","en":"South"},"amphoe_code":"09","amphoe_name":{"th":"รัตภูมิ","en":"Rattaphum District"},"tumbon_code":"09","tumbon_name":{"th":"เขาพระ","en":"Khao Phra"},"province_code":"90","province_name":{"th":"สงขลา","en":"Songkhla"}},"diff_wl_bank":"6.04","diff_wl_bank_text":"ต่ำกว่าตลิ่ง (ม.)","river_gid":227071,"river_name":"คลองรัตภูมิ"}</t>
  </si>
  <si>
    <t>THAIWATER_WL:740723</t>
  </si>
  <si>
    <t>FOP022</t>
  </si>
  <si>
    <t>สะพานวัดมงคลร่วมใจ (บ้านวังสาร)</t>
  </si>
  <si>
    <t>คลองวังน้ำใส</t>
  </si>
  <si>
    <t>{"id":1317594029,"waterlevel_datetime":"2026-10-03 15:10","waterlevel_m":null,"waterlevel_msl":"37.76","waterlevel_msl_previous":"37.76","flow_rate":null,"discharge":null,"storage_percent":"85.30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Basin"}},"station":{"id":740723,"tele_station_name":{"en":"Wat Mongkhon Ruamchai Bridge","th":"สะพานวัดมงคลร่วมใจ (บ้านวังสาร)"},"tele_station_lat":16.670555,"tele_station_long":100.32789,"tele_station_oldcode":"FOP022","tele_station_type":"tele_waterlevel","left_bank":38.8353,"right_bank":40.0723,"min_bank":38.84,"ground_level":31.5193,"offset":null,"sub_basin_id":237,"sponsor_by":"มูลนิธิอาสาเพื่อนพึ่ง (ภาฯ) ยามยาก สภากาชาดไทย","agency_id":91,"geocode_id":6190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District"},"tumbon_code":"05","tumbon_name":{"th":"ท่าตาล","en":"Tha Tan"},"province_code":"65","province_name":{"th":"พิษณุโลก","en":"Phitsanulok"}},"diff_wl_bank":"1.08","diff_wl_bank_text":"ต่ำกว่าตลิ่ง (ม.)","river_gid":93773,"river_name":"คลองวังน้ำใส"}</t>
  </si>
  <si>
    <t>THAIWATER_WL:700585</t>
  </si>
  <si>
    <t>MKVKD02</t>
  </si>
  <si>
    <t>บ้านหินดาด</t>
  </si>
  <si>
    <t>{"canal_datetime":"2026-09-28 13:20","canal_value":-0.33,"canal_out":0.14,"agency":{"agency_name":{"th":"สำนักการระบายน้ำ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Bangkok","jp":""}},"geocode":{"area_code":"1","area_name":{"th":"กรุงเทพมหานคร","en":"Bangkok"},"amphoe_name":{"th":"บางขุนเทียน","en":"Bang Khun Thian District"},"tumbon_name":{"th":"แสมดำ","en":"Samae Dam"},"province_code":"10","province_name":{"th":"กรุงเทพมหานคร","en":"Bangkok"}},"station":{"id":143,"canal_name":{"th":"ส.คลองสี่บาท"},"canal_lat":13.67309,"canal_long":100.44606,"canal_oldcode":"WL.SBT.01","bank":1.98,"warning_level":0.4,"critical_level":0.5}}</t>
  </si>
  <si>
    <t>THAIWATER:276</t>
  </si>
  <si>
    <t>WL.KLD.02</t>
  </si>
  <si>
    <t>ค.หลอด ถ.ราชดำเนินใน</t>
  </si>
  <si>
    <t>{"canal_datetime":"2026-09-28 13:20","canal_value":-0.32,"canal_out":0,"agency":{"agency_name":{"th":"สำนักการระบายน้ำ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Bangkok","jp":""}},"geocode":{"area_code":"1","area_name":{"th":"กรุงเทพมหานคร","en":"Bangkok"},"amphoe_name":{"th":"พระนคร","en":"Phra Nakhon District"},"tumbon_name":{"th":"ศาลเจ้าพ่อเสือ","en":"San Chaopho Suea"},"province_code":"10","province_name":{"th":"กรุงเทพมหานคร","en":"Bangkok"}},"station":{"id":276,"canal_name":{"th":"ค.หลอด ถ.ราชดำเนินใน"},"canal_lat":13.75512,"canal_long":100.49554,"canal_oldcode":"WL.KLD.02","bank":1,"warning_level":0.6,"critical_level":0.7}}</t>
  </si>
  <si>
    <t>THAIWATER:66</t>
  </si>
  <si>
    <t>WL.LCL.01</t>
  </si>
  <si>
    <t>{"id":1317593146,"waterlevel_datetime":"2026-10-03 15:00","waterlevel_m":null,"waterlevel_msl":"70.22","waterlevel_msl_previous":"70.22","flow_rate":null,"discharge":"655.98","storage_percent":"85.29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700585,"tele_station_name":{"th":"บ้านหินดาด"},"tele_station_lat":14.59539,"tele_station_long":98.72946,"tele_station_oldcode":"MKVKD02","tele_station_type":"tele_waterlevel","left_bank":71.29,"right_bank":73.29,"min_bank":71.29,"ground_level":64.01,"offset":null,"sub_basin_id":271,"agency_id":8,"geocode_id":6653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District"},"tumbon_code":"03","tumbon_name":{"th":"หินดาด","en":"Hin Dat"},"province_code":"71","province_name":{"th":"กาญจนบุรี","en":"Kanchanaburi"}},"diff_wl_bank":"1.07","diff_wl_bank_text":"ต่ำกว่าตลิ่ง (ม.)","river_gid":180695,"river_name":"แม่น้ำแควน้อย"}</t>
  </si>
  <si>
    <t>ค.ลำชะล่า ถ.นวมินทร์</t>
  </si>
  <si>
    <t>THAIWATER_WL:1085211</t>
  </si>
  <si>
    <t>SKN003</t>
  </si>
  <si>
    <t>สะพานกะลูบี บ้านสายปารี</t>
  </si>
  <si>
    <t>แม่น้ำสายบุรี</t>
  </si>
  <si>
    <t>{"canal_datetime":"2026-09-28 13:20","canal_value":1.34,"canal_out":0,"agency":{"agency_name":{"th":"สำนักการระบายน้ำ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Bangkok","jp":""}},"geocode":{"area_code":"1","area_name":{"th":"กรุงเทพมหานคร","en":"Bangkok"},"amphoe_name":{"th":"คันนายาว","en":"Khan Na Yao District"},"tumbon_name":{"th":"คันนายาว","en":"Khan Na Yao"},"province_code":"10","province_name":{"th":"กรุงเทพมหานคร","en":"Bangkok"}},"station":{"id":66,"canal_name":{"th":"ค.ลำชะล่า ถ.นวมินทร์"},"canal_lat":13.8363,"canal_long":100.66134,"canal_oldcode":"WL.LCL.01","bank":1.85,"warning_level":0.8,"critical_level":1}}</t>
  </si>
  <si>
    <t>THAIWATER:224</t>
  </si>
  <si>
    <t>WL.SWU.01</t>
  </si>
  <si>
    <t>คูน้ำ มศว.</t>
  </si>
  <si>
    <t>{"id":1317594598,"waterlevel_datetime":"2026-10-03 15:10","waterlevel_m":null,"waterlevel_msl":"21.34","waterlevel_msl_previous":"21.34","flow_rate":null,"discharge":null,"storage_percent":"84.52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Basin"}},"station":{"id":1085211,"tele_station_name":{"en":"Ka Lu Bi Ban Sai Pa Ri Bridge","th":"สะพานกะลูบี บ้านสายปารี"},"tele_station_lat":5.895713,"tele_station_long":101.76639,"tele_station_oldcode":"SKN003","tele_station_type":"tele_waterlevel","left_bank":24.023,"right_bank":24.313,"min_bank":24.02,"ground_level":6.695,"offset":null,"sub_basin_id":338,"agency_id":9,"geocode_id":8395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District"},"tumbon_code":"01","tumbon_name":{"th":"มาโมง","en":"Ma Mong"},"province_code":"96","province_name":{"th":"นราธิวาส","en":"Narathiwat"}},"diff_wl_bank":"2.68","diff_wl_bank_text":"ต่ำกว่าตลิ่ง (ม.)","river_gid":232327,"river_name":"แม่น้ำสายบุรี"}</t>
  </si>
  <si>
    <t>THAIWATER_WL:2740</t>
  </si>
  <si>
    <t>M.159</t>
  </si>
  <si>
    <t>บ้านหลุมดิน</t>
  </si>
  <si>
    <t>{"canal_datetime":"2026-09-28 13:20","canal_value":-1.56,"canal_out":0,"agency":{"agency_name":{"th":"สำนักการระบายน้ำ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District"},"tumbon_name":{"th":"คลองเตยเหนือ","en":"Khlong Toei Nuea"},"province_code":"10","province_name":{"th":"กรุงเทพมหานคร","en":"Bangkok"}},"station":{"id":224,"canal_name":{"th":"คูน้ำ มศว."},"canal_lat":13.7423,"canal_long":100.56775,"canal_oldcode":"WL.SWU.01","bank":0.4,"warning_level":-0.2,"critical_level":0}}</t>
  </si>
  <si>
    <t>THAIWATER:274</t>
  </si>
  <si>
    <t>WL.KKS.02</t>
  </si>
  <si>
    <t>ค.ผดุงกรุงเกษม ทำเนียบรัฐบาล</t>
  </si>
  <si>
    <t>{"id":1317571342,"waterlevel_datetime":"2026-10-03 14:00","waterlevel_m":null,"waterlevel_msl":"127.81","waterlevel_msl_previous":"127.81","flow_rate":null,"discharge":"205.50","storage_percent":"84.50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2740,"tele_station_name":{"th":"บ้านหลุมดิน"},"tele_station_lat":15.14119,"tele_station_long":103.429359,"tele_station_oldcode":"M.159","tele_station_type":"tele_waterlevel","left_bank":129.100002,"right_bank":129.100002,"min_bank":129.1,"ground_level":120.78,"offset":120.900002,"sub_basin_id":125,"agency_id":12,"geocode_id":2252,"hydro_id":4,"qmax":256,"is_key_station":false,"warning_level_m":null,"critical_level_m":null,"critical_level_msl":null},"geocode":{"area_code":"4","area_name":{"th":"ภาคตะวันออกเฉียงเหนือ","en":"Northeast"},"amphoe_code":"04","amphoe_name":{"th":"จอมพระ","en":"Chom Phra District"},"tumbon_code":"02","tumbon_name":{"th":"เมืองลีง","en":"Mueang Lueng"},"province_code":"32","province_name":{"th":"สุรินทร์","en":"Surin"}},"diff_wl_bank":"1.29","diff_wl_bank_text":"ต่ำกว่าตลิ่ง (ม.)","river_gid":147442,"river_name":"ลำชี"}</t>
  </si>
  <si>
    <t>THAIWATER_WL:228</t>
  </si>
  <si>
    <t>MUN002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</si>
  <si>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Bangkok","jp":""}},"geocode":{"area_code":"1","area_name":{"th":"กรุงเทพมหานคร","en":"Bangkok"},"amphoe_name":{"th":"ดุสิต","en":"Dusit District"},"tumbon_name":{"th":"สวนจิตรลดา","en":"Suan Chitlada"},"province_code":"10","province_name":{"th":"กรุงเทพมหานคร","en":"Bangkok"}},"station":{"id":274,"canal_name":{"th":"ค.ผดุงกรุงเกษม ทำเนียบรัฐบาล"},"canal_lat":13.76099,"canal_long":100.51212,"canal_oldcode":"WL.KKS.02","bank":1,"warning_level":0.6,"critical_level":0.7}}</t>
  </si>
  <si>
    <t>เฉลิมพระเกียรติ</t>
  </si>
  <si>
    <t>THAIWATER:156</t>
  </si>
  <si>
    <t>WL.KSG.01</t>
  </si>
  <si>
    <t>จุดวัดคลองสอง ตอนถนนพหลโยธิน</t>
  </si>
  <si>
    <t>{"canal_datetime":"2026-09-28 13:20","canal_value":1.51,"canal_out":0,"agency":{"agency_name":{"th":"สำนักการระบายน้ำ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Bangkok","jp":""}},"geocode":{"area_code":"1","area_name":{"th":"กรุงเทพมหานคร","en":"Bangkok"},"amphoe_name":{"th":"ดอนเมือง","en":"Don Mueang District"},"tumbon_name":{"th":"สีกัน","en":"Si Kan"},"province_code":"10","province_name":{"th":"กรุงเทพมหานคร","en":"Bangkok"}},"station":{"id":156,"canal_name":{"th":"จุดวัดคลองสอง ตอนถนนพหลโยธิน"},"canal_lat":13.89974,"canal_long":100.61087,"canal_oldcode":"WL.KSG.01","bank":2,"warning_level":0.8,"critical_level":0.9}}</t>
  </si>
  <si>
    <t>THAIWATER:289</t>
  </si>
  <si>
    <t>WL.KBU.02</t>
  </si>
  <si>
    <t>ค.บัว ถ.พุทธมณฑลสาย 1</t>
  </si>
  <si>
    <t>{"id":1317594426,"waterlevel_datetime":"2026-10-03 15:10","waterlevel_m":null,"waterlevel_msl":"166.74","waterlevel_msl_previous":"166.74","flow_rate":null,"discharge":null,"storage_percent":"84.40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Basin"}},"station":{"id":228,"tele_station_name":{"en":"Mun 2","th":"เฉลิมพระเกียรติ"},"tele_station_lat":14.968,"tele_station_long":102.23782,"tele_station_oldcode":"MUN002","tele_station_type":"tele_waterlevel","left_bank":167.825,"right_bank":169.871,"min_bank":167.83,"ground_level":160.876,"offset":null,"sub_basin_id":107,"agency_id":9,"geocode_id":1992,"hydro_id":null,"qmax":null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Ratchasima"}},"diff_wl_bank":"1.08","diff_wl_bank_text":"ต่ำกว่าตลิ่ง (ม.)","river_gid":149585,"river_name":"แม่น้ำมูล"}</t>
  </si>
  <si>
    <t>THAIWATER_WL:1109495</t>
  </si>
  <si>
    <t>ONE006</t>
  </si>
  <si>
    <t>ปตร.ธรณิศนฤมิต-เหนือน้ำ</t>
  </si>
  <si>
    <t>{"canal_datetime":"2026-09-28 13:20","canal_value":0.6,"canal_out":0,"agency":{"agency_name":{"th":"สำนักการระบายน้ำ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District"},"tumbon_name":{"th":"ฉิมพลี","en":"Chimphli"},"province_code":"10","province_name":{"th":"กรุงเทพมหานคร","en":"Bangkok"}},"station":{"id":289,"canal_name":{"th":"ค.บัว ถ.พุทธมณฑลสาย 1"},"canal_lat":13.7797,"canal_long":100.42681,"canal_oldcode":"WL.KBU.02","bank":1.4,"warning_level":0.9,"critical_level":1}}</t>
  </si>
  <si>
    <t>THAIWATER:125</t>
  </si>
  <si>
    <t>WL.SSN.09</t>
  </si>
  <si>
    <t>ค.สามเสน-ถ.เอกมัย</t>
  </si>
  <si>
    <t>2026-09-25T17:10:00+07:00</t>
  </si>
  <si>
    <t>{"canal_datetime":"2026-09-25 17:10","canal_value":0,"canal_out":0,"agency":{"agency_name":{"th":"สำนักการระบายน้ำ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District"},"tumbon_name":{"th":"บางกะปิ","en":"Bang Kapi"},"province_code":"10","province_name":{"th":"กรุงเทพมหานคร","en":"Bangkok"}},"station":{"id":125,"canal_name":{"th":"ค.สามเสน-ถ.เอกมัย"},"canal_lat":13.75038,"canal_long":100.59268,"canal_oldcode":"WL.SSN.09","bank":1.94,"warning_level":-0.1,"critical_level":0}}</t>
  </si>
  <si>
    <t>THAIWATER:266</t>
  </si>
  <si>
    <t>WL.LYW.01</t>
  </si>
  <si>
    <t>ค.ลาดยาว ถ.รัชดาภิเษก</t>
  </si>
  <si>
    <t>{"id":1317594462,"waterlevel_datetime":"2026-10-03 15:10","waterlevel_m":null,"waterlevel_msl":"138.35","waterlevel_msl_previous":"138.35","flow_rate":null,"discharge":null,"storage_percent":"84.26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Basin"}},"station":{"id":1109495,"tele_station_name":{"en":"Upper Ni Naruemit Gate ","th":"ปตร.ธรณิศนฤมิต-เหนือน้ำ"},"tele_station_lat":16.92321,"tele_station_long":104.71615,"tele_station_oldcode":"ONE006","tele_station_type":"tele_waterlevel","left_bank":140.252,"right_bank":140.86,"min_bank":140.25,"ground_level":128.17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Phanom"}},"diff_wl_bank":"1.90","diff_wl_bank_text":"ต่ำกว่าตลิ่ง (ม.)","river_gid":124472,"river_name":"ลำน้ำกำ"}</t>
  </si>
  <si>
    <t>THAIWATER_WL:2700</t>
  </si>
  <si>
    <t>441ff923-dcc3-3f33-1888-2ac14ca1a415</t>
  </si>
  <si>
    <t>M.173</t>
  </si>
  <si>
    <t>โรงเรียนบ้านแบนชะโด</t>
  </si>
  <si>
    <t>บ้านโนนสะอาด</t>
  </si>
  <si>
    <t>{"canal_datetime":"2026-09-28 13:20","canal_value":-0.94,"canal_out":0,"agency":{"agency_name":{"th":"สำนักการระบายน้ำ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Yao"},"province_code":"10","province_name":{"th":"กรุงเทพมหานคร","en":"Bangkok"}},"station":{"id":266,"canal_name":{"th":"ค.ลาดยาว ถ.รัชดาภิเษก"},"canal_lat":13.83042,"canal_long":100.56229,"canal_oldcode":"WL.LYW.01","bank":1.5,"warning_level":0.2,"critical_level":0.3}}</t>
  </si>
  <si>
    <t>THAIWATER:131</t>
  </si>
  <si>
    <t>https://maps.app.goo.gl/e5K8XirFF2VvePLEA</t>
  </si>
  <si>
    <t>WL.TWW.01</t>
  </si>
  <si>
    <t>ปตร.คลองทวีวัฒนา</t>
  </si>
  <si>
    <t>พุทธมณฑล</t>
  </si>
  <si>
    <t>{"canal_datetime":"2026-09-28 13:20","canal_value":0.89,"canal_out":1.43,"agency":{"agency_name":{"th":"สำนักการระบายน้ำ กรุงเทพมหานคร","en":"Department of Bangkok","jp":""}},"geocode":{"area_code":"2","area_name":{"th":"ภาคกลาง","en":"Central"},"amphoe_name":{"th":"พุทธมณฑล","en":"Phutthamonthon District"},"tumbon_name":{"th":"ศาลายา","en":"Sala Ya"},"province_code":"73","province_name":{"th":"นครปฐม","en":"Nakhon Pathom"}},"station":{"id":131,"canal_name":{"th":"ปตร.คลองทวีวัฒนา"},"canal_lat":13.80042,"canal_long":100.32977,"canal_oldcode":"WL.TWW.01","bank":1.98,"warning_level":0.9,"critical_level":1}}</t>
  </si>
  <si>
    <t>THAIWATER:164</t>
  </si>
  <si>
    <t>WL.SSN.07</t>
  </si>
  <si>
    <t>{"id":1317571361,"waterlevel_datetime":"2026-10-03 14:00","waterlevel_m":null,"waterlevel_msl":"181.29","waterlevel_msl_previous":"181.29","flow_rate":null,"discharge":"62.50","storage_percent":"83.82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2700,"tele_station_name":{"th":"บ้านโนนสะอาด"},"tele_station_lat":14.74504,"tele_station_long":102.211777,"tele_station_oldcode":"M.173","tele_station_type":"tele_waterlevel","left_bank":350.134003,"right_bank":358.678003,"min_bank":182.4,"ground_level":175.54,"offset":174.800003,"sub_basin_id":107,"agency_id":12,"geocode_id":1750,"hydro_id":4,"qmax":312,"is_key_station":false,"warning_level_m":null,"critical_level_m":null,"critical_level_msl":null},"geocode":{"area_code":"4","area_name":{"th":"ภาคตะวันออกเฉียงเหนือ","en":"Northeast"},"amphoe_code":"07","amphoe_name":{"th":"โชคชัย","en":"Chok Chai District"},"tumbon_code":"07","tumbon_name":{"th":"ท่าเยี่ยม","en":"Tha Yiam"},"province_code":"30","province_name":{"th":"นครราชสีมา","en":"Nakhon Ratchasima"}},"diff_wl_bank":"1.11","diff_wl_bank_text":"ต่ำกว่าตลิ่ง (ม.)","river_gid":151420,"river_name":"แม่น้ำมูล"}</t>
  </si>
  <si>
    <t>ค.สามเสน ถ.อโศก</t>
  </si>
  <si>
    <t>THAIWATER_WL:79</t>
  </si>
  <si>
    <t>THA001</t>
  </si>
  <si>
    <t>สะพานคง-ศุข ศรีสวัสดิ์</t>
  </si>
  <si>
    <t>{"canal_datetime":"2026-09-28 13:20","canal_value":-0.1,"canal_out":0,"agency":{"agency_name":{"th":"สำนักการระบายน้ำ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Khwang"},"province_code":"10","province_name":{"th":"กรุงเทพมหานคร","en":"Bangkok"}},"station":{"id":164,"canal_name":{"th":"ค.สามเสน ถ.อโศก"},"canal_lat":13.75512,"canal_long":100.56505,"canal_oldcode":"WL.SSN.07","bank":0.6,"warning_level":0,"critical_level":0.1}}</t>
  </si>
  <si>
    <t>THAIWATER:203</t>
  </si>
  <si>
    <t>WL.TCG.01</t>
  </si>
  <si>
    <t>ค.ตาช้าง ถ.ศรีนครินทร์</t>
  </si>
  <si>
    <t>{"id":"441ff923-dcc3-3f33-1888-2ac14ca1a415","district":"คลองสามวา","category":"ศูนย์พักพิงชั่วคราว","name":"โรงเรียนบ้านแบนชะโด","capacity":30,"occupied":0,"available":30,"unitType":"คน","status":"เปิดให้บริการ/ว่าง","routeDetails":"","link":"https://maps.app.goo.gl/e5K8XirFF2VvePLEA","additionalDetails":null,"createdAt":"2026-09-26T08:52:03.000Z","updatedAt":"2026-09-26T08:52:03.000Z"}</t>
  </si>
  <si>
    <t>{"canal_datetime":"2026-09-28 13:20","canal_value":-0.83,"canal_out":0,"agency":{"agency_name":{"th":"สำนักการระบายน้ำ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Bon"},"province_code":"10","province_name":{"th":"กรุงเทพมหานคร","en":"Bangkok"}},"station":{"id":203,"canal_name":{"th":"ค.ตาช้าง ถ.ศรีนครินทร์"},"canal_lat":13.68353,"canal_long":100.64666,"canal_oldcode":"WL.TCG.01","bank":1,"warning_level":-0.5,"critical_level":-0.2}}</t>
  </si>
  <si>
    <t>THAIWATER:262</t>
  </si>
  <si>
    <t>WL.BPN.02</t>
  </si>
  <si>
    <t>ค.บางพราน ถ.บางบอน 2</t>
  </si>
  <si>
    <t>https://www.google.com/maps/place/%E0%B9%82%E0%B8%A3%E0%B8%87%E0%B9%80%E0%B8%A3%E0%B8%B5%E0%B8%A2%E0%B8%99%E0%B8%9A%E0%B9%89%E0%B8%B2%E0%B8%99%E0%B9%81%E0%B8%9A%E0%B8%99%E0%B8%8A%E0%B8%B0%E0%B9%82%E0%B8%94+(%E0%B9%80%E0%B8%AA%E0%B8%B5%E0%B8%A2%E0%B8%87+%E0%B8%A7%E0%B8%B4%E0%B8%91%E0%B8%B9%E0%B8%A3%E0%B8%8A%E0%B8%B2%E0%B8%95%E0%B8%B4+%E0%B8%AD%E0%B8%B8%E0%B8%9B%E0%B8%96%E0%B8%B1%E0%B8%A1%E0%B8%A0%E0%B9%8C)/@13.8490879,100.7238859,7524m/data=!3m1!1e3!4m6!3m5!1s0x311d7b128c85f4f5:0xf98d11c7254fce58!8m2!3d13.8765664!4d100.7836207!16s%2Fg%2F11h60drc31?entry=tts&amp;g_ep=EgoyMDI2MDkyMy4wIPu8ASoASAFQAw%3D%3D&amp;skid=dd20f2b0-c0a5-4645-b93c-fe15002d836a</t>
  </si>
  <si>
    <t>{"id":1317594648,"waterlevel_datetime":"2026-10-03 15:10","waterlevel_m":null,"waterlevel_msl":"17.90","waterlevel_msl_previous":"17.90","flow_rate":null,"discharge":null,"storage_percent":"83.79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Basin"}},"station":{"id":79,"tele_station_name":{"en":"Tha Chin 1","th":"สะพานคง-ศุข ศรีสวัสดิ์"},"tele_station_lat":15.225,"tele_station_long":100.07824,"tele_station_oldcode":"THA001","tele_station_type":"tele_waterlevel","left_bank":19.785,"right_bank":19.418,"min_bank":19.42,"ground_level":10.034,"offset":null,"sub_basin_id":240,"agency_id":9,"geocode_id":894,"hydro_id":null,"qmax":null,"is_key_station":false,"warning_level_m":null,"critical_level_m":null,"critical_level_msl":null},"geocode":{"area_code":"2","area_name":{"th":"ภาคกลาง","en":"Central"},"amphoe_code":"01","amphoe_name":{"th":"เมืองชัยนาท","en":"Mueang Chai Nat District"},"tumbon_code":"06","tumbon_name":{"th":"หาดท่าเสา","en":"Hat Tha Sao"},"province_code":"18","province_name":{"th":"ชัยนาท","en":"Chai Nat"}},"diff_wl_bank":"1.52","diff_wl_bank_text":"ต่ำกว่าตลิ่ง (ม.)","river_gid":174877,"river_name":"แม่น้ำท่าจีน"}</t>
  </si>
  <si>
    <t>THAIWATER_WL:1373692</t>
  </si>
  <si>
    <t>PTTEP2</t>
  </si>
  <si>
    <t>{"canal_datetime":"2026-09-28 13:20","canal_value":0.48,"canal_out":0,"agency":{"agency_name":{"th":"สำนักการระบายน้ำ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Bangkok","jp":""}},"geocode":{"area_code":"1","area_name":{"th":"กรุงเทพมหานคร","en":"Bangkok"},"amphoe_name":{"th":"บางบอน","en":"Bang Bon District"},"tumbon_name":{"th":"บางบอน","en":"Bang Bon"},"province_code":"10","province_name":{"th":"กรุงเทพมหานคร","en":"Bangkok"}},"station":{"id":262,"canal_name":{"th":"ค.บางพราน ถ.บางบอน 2"},"canal_lat":13.66731,"canal_long":100.40662,"canal_oldcode":"WL.BPN.02","bank":2,"warning_level":0.6,"critical_level":0.7}}</t>
  </si>
  <si>
    <t>สะพานคลองปากกิ่ว ชุมชนบ้านหาดสมบูรณ์</t>
  </si>
  <si>
    <t>THAIWATER:205</t>
  </si>
  <si>
    <t>WL.KKD.02</t>
  </si>
  <si>
    <t>ค.เคล็ด ถ.สุภาพงษ์ 1</t>
  </si>
  <si>
    <t>{"canal_datetime":"2026-09-28 13:20","canal_value":0.2,"canal_out":0,"agency":{"agency_name":{"th":"สำนักการระบายน้ำ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Bangkok","jp":""}},"geocode":{"area_code":"1","area_name":{"th":"กรุงเทพมหานคร","en":"Bangkok"},"amphoe_name":{"th":"พระโขนง","en":"Phra Khanong District"},"tumbon_name":{"th":"บางจาก","en":"Bang Chak"},"province_code":"10","province_name":{"th":"กรุงเทพมหานคร","en":"Bangkok"}},"station":{"id":205,"canal_name":{"th":"ค.เคล็ด ถ.สุภาพงษ์ 1"},"canal_lat":13.68886,"canal_long":100.63809,"canal_oldcode":"WL.KKD.02","bank":1.85,"warning_level":0.9,"critical_level":0.8}}</t>
  </si>
  <si>
    <t>THAIWATER:237</t>
  </si>
  <si>
    <t>WL.KTK.03</t>
  </si>
  <si>
    <t>ค.ขรัวตาแก่น ซ.สะพานขวา</t>
  </si>
  <si>
    <t>2026-06-05T11:55:00+07:00</t>
  </si>
  <si>
    <t>{"id":1317594526,"waterlevel_datetime":"2026-10-03 15:10","waterlevel_m":null,"waterlevel_msl":"1.21","waterlevel_msl_previous":"1.19","flow_rate":null,"discharge":null,"storage_percent":"83.69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Basin"}},"station":{"id":1373692,"tele_station_name":{"en":"Pak Kiew Canal Bridge Baan Hat Somboon Community","th":"สะพานคลองปากกิ่ว ชุมชนบ้านหาดสมบูรณ์"},"tele_station_lat":9.51646,"tele_station_long":99.22589,"tele_station_oldcode":"PTTEP2","tele_station_type":"tele_waterlevel","left_bank":2.691,"right_bank":1.616,"min_bank":1.62,"ground_level":-0.873,"offset":null,"sub_basin_id":313,"sponsor_by":"บริษัท ปตท.สำรวจและผลิตปิโตรเลียม จำกัด (มหาชน)","agency_id":9,"geocode_id":7565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District"},"tumbon_code":"05","tumbon_name":{"th":"วัง","en":"Wang"},"province_code":"84","province_name":{"th":"สุราษฎร์ธานี","en":"Surat Thani"}},"diff_wl_bank":"0.41","diff_wl_bank_text":"ต่ำกว่าตลิ่ง (ม.)"}</t>
  </si>
  <si>
    <t>THAIWATER_WL:1124040</t>
  </si>
  <si>
    <t>X.73A</t>
  </si>
  <si>
    <t xml:space="preserve">บ้านบองอ </t>
  </si>
  <si>
    <t>คลองบองอ</t>
  </si>
  <si>
    <t>{"canal_datetime":"2026-06-05 11:55","canal_value":-0.24,"canal_out":0,"agency":{"agency_name":{"th":"สำนักการระบายน้ำ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Sue"},"province_code":"10","province_name":{"th":"กรุงเทพมหานคร","en":"Bangkok"}},"station":{"id":237,"canal_name":{"th":"ค.ขรัวตาแก่น ซ.สะพานขวา"},"canal_lat":13.80504,"canal_long":100.52867,"canal_oldcode":"WL.KTK.03","bank":1,"warning_level":0.4,"critical_level":0.5}}</t>
  </si>
  <si>
    <t>THAIWATER:139</t>
  </si>
  <si>
    <t>WL.SRE.01</t>
  </si>
  <si>
    <t>ส.คลองสำเหร่</t>
  </si>
  <si>
    <t>{"id":1317539118,"waterlevel_datetime":"2026-10-03 12:00","waterlevel_m":null,"waterlevel_msl":"22.35","waterlevel_msl_previous":"22.37","flow_rate":null,"discharge":null,"storage_percent":"83.40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Basin"}},"station":{"id":1124040,"tele_station_name":{"th":"บ้านบองอ "},"tele_station_lat":6.16992,"tele_station_long":101.713257,"tele_station_oldcode":"X.73A","tele_station_type":"tele_waterlevel","left_bank":26.799999,"right_bank":26.799999,"min_bank":26.8,"ground_level":0,"offset":null,"sub_basin_id":339,"agency_id":12,"geocode_id":8365,"hydro_id":8,"qmax":null,"is_key_station":true,"warning_level_m":null,"critical_level_m":null,"critical_level_msl":null},"geocode":{"area_code":"5","area_name":{"th":"ภาคใต้","en":"South"},"amphoe_code":"05","amphoe_name":{"th":"ระแงะ","en":"Ra-ngae District"},"tumbon_code":"06","tumbon_name":{"th":"บองอ","en":"Bo-Ngo"},"province_code":"96","province_name":{"th":"นราธิวาส","en":"Narathiwat"}},"diff_wl_bank":"4.45","diff_wl_bank_text":"ต่ำกว่าตลิ่ง (ม.)","river_gid":231417,"river_name":"คลองบองอ"}</t>
  </si>
  <si>
    <t>{"canal_datetime":"2026-09-28 13:20","canal_value":-0.86,"canal_out":0.76,"agency":{"agency_name":{"th":"สำนักการระบายน้ำ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Bangkok","jp":""}},"geocode":{"area_code":"1","area_name":{"th":"กรุงเทพมหานคร","en":"Bangkok"},"amphoe_name":{"th":"ธนบุรี","en":"Thon Buri District"},"tumbon_name":{"th":"สำเหร่","en":"Samre"},"province_code":"10","province_name":{"th":"กรุงเทพมหานคร","en":"Bangkok"}},"station":{"id":139,"canal_name":{"th":"ส.คลองสำเหร่"},"canal_lat":13.70671,"canal_long":100.49647,"canal_oldcode":"WL.SRE.01","bank":2.8,"warning_level":2.6,"critical_level":2.8}}</t>
  </si>
  <si>
    <t>THAIWATER:60</t>
  </si>
  <si>
    <t>WL.BWK.03</t>
  </si>
  <si>
    <t>THAIWATER_WL:3122</t>
  </si>
  <si>
    <t>ค.บางแวก-ค.ทวีวัฒนา</t>
  </si>
  <si>
    <t>Kh.98</t>
  </si>
  <si>
    <t>บ้านท่ากกแดง</t>
  </si>
  <si>
    <t>{"canal_datetime":"2026-09-28 13:20","canal_value":0.88,"canal_out":0,"agency":{"agency_name":{"th":"สำนักการระบายน้ำ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Bangkok","jp":""}},"geocode":{"area_code":"1","area_name":{"th":"กรุงเทพมหานคร","en":"Bangkok"},"amphoe_name":{"th":"หนองแขม","en":"Nong Khaem District"},"tumbon_name":{"th":"หนองค้างพลู","en":"Nong Khang Phlu"},"province_code":"10","province_name":{"th":"กรุงเทพมหานคร","en":"Bangkok"}},"station":{"id":60,"canal_name":{"th":"ค.บางแวก-ค.ทวีวัฒนา"},"canal_lat":13.72619,"canal_long":100.36426,"canal_oldcode":"WL.BWK.03","bank":1.91,"warning_level":0.7,"critical_level":0.8}}</t>
  </si>
  <si>
    <t>THAIWATER:126</t>
  </si>
  <si>
    <t>WL.SSB.01</t>
  </si>
  <si>
    <t>ค.แสนแสบ-โบ๊เบ๊</t>
  </si>
  <si>
    <t>ป้อมปราบศัตรูพ่าย</t>
  </si>
  <si>
    <t>{"id":1317573807,"waterlevel_datetime":"2026-10-03 14:00","waterlevel_m":null,"waterlevel_msl":"147.33","waterlevel_msl_previous":"147.34","flow_rate":null,"discharge":"361.50","storage_percent":"83.36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3122,"tele_station_name":{"th":"บ้านท่ากกแดง"},"tele_station_lat":17.86562,"tele_station_long":103.774361,"tele_station_oldcode":"Kh.98","tele_station_type":"tele_waterlevel","left_bank":289.23900000000003,"right_bank":288.427,"min_bank":149.5,"ground_level":136.461,"offset":136,"sub_basin_id":60,"agency_id":12,"geocode_id":4445,"hydro_id":3,"qmax":640,"is_key_station":true,"warning_level_m":null,"critical_level_m":null,"critical_level_msl":null},"geocode":{"area_code":"4","area_name":{"th":"ภาคตะวันออกเฉียงเหนือ","en":"Northeast"},"amphoe_code":"09","amphoe_name":{"th":"คำตากล้า","en":"Kham Ta Kla District"},"tumbon_code":"01","tumbon_name":{"th":"คำตากล้า","en":"Kham Ta Kla"},"province_code":"47","province_name":{"th":"สกลนคร","en":"Sakon Nakhon"}},"diff_wl_bank":"2.17","diff_wl_bank_text":"ต่ำกว่าตลิ่ง (ม.)","river_gid":110629,"river_name":"แม่น้ำสงคราม"}</t>
  </si>
  <si>
    <t>THAIWATER_WL:3117</t>
  </si>
  <si>
    <t>{"canal_datetime":"2026-09-28 13:20","canal_value":-0.25,"canal_out":0,"agency":{"agency_name":{"th":"สำนักการระบายน้ำ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Bangkok","jp":""}},"geocode":{"area_code":"1","area_name":{"th":"กรุงเทพมหานคร","en":"Bangkok"},"amphoe_name":{"th":"ป้อมปราบศัตรูพ่าย","en":"Pom Prap Sattru Phai District"},"tumbon_name":{"th":"คลองมหานาค","en":"Khlong Mahanak"},"province_code":"10","province_name":{"th":"กรุงเทพมหานคร","en":"Bangkok"}},"station":{"id":126,"canal_name":{"th":"ค.แสนแสบ-โบ๊เบ๊"},"canal_lat":13.75287,"canal_long":100.51722,"canal_oldcode":"WL.SSB.01","bank":1.9,"warning_level":0.6,"critical_level":0.7}}</t>
  </si>
  <si>
    <t>Kh.74</t>
  </si>
  <si>
    <t>THAIWATER:151</t>
  </si>
  <si>
    <t>WL.BKY.02</t>
  </si>
  <si>
    <t>บ้านท่าห้วยหลัว</t>
  </si>
  <si>
    <t>ค.บางเชือกหนัง-วัดปากน้ำฝั่งใต้</t>
  </si>
  <si>
    <t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151,"canal_name":{"th":"ค.บางเชือกหนัง-วัดปากน้ำฝั่งใต้"},"canal_lat":13.74358,"canal_long":100.45955,"canal_oldcode":"WL.BKY.02","bank":1.8,"warning_level":0.6,"critical_level":0.7}}</t>
  </si>
  <si>
    <t>THAIWATER:191</t>
  </si>
  <si>
    <t>WL.TNG.01</t>
  </si>
  <si>
    <t>ค.ตาหนัง ถ.ลาดพร้าว</t>
  </si>
  <si>
    <t>2026-06-09T12:10:00+07:00</t>
  </si>
  <si>
    <t>{"id":1317573804,"waterlevel_datetime":"2026-10-03 14:00","waterlevel_m":null,"waterlevel_msl":"153.19","waterlevel_msl_previous":"153.19","flow_rate":null,"discharge":"113.70","storage_percent":"83.34","sort_order":null,"station_type":"tele_waterlevel","situation_level":4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3117,"tele_station_name":{"th":"บ้านท่าห้วยหลัว"},"tele_station_lat":17.821621,"tele_station_long":103.386932,"tele_station_oldcode":"Kh.74","tele_station_type":"tele_waterlevel","left_bank":302.211003,"right_bank":302.259003,"min_bank":154.8,"ground_level":145.135,"offset":145.300003,"sub_basin_id":58,"agency_id":12,"geocode_id":3548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บ้านดุง","en":"Ban Dung District"},"tumbon_code":"06","tumbon_name":{"th":"บ้านจันทน์","en":"Ban Chan"},"province_code":"41","province_name":{"th":"อุดรธานี","en":"Udon Thani"}},"diff_wl_bank":"1.61","diff_wl_bank_text":"ต่ำกว่าตลิ่ง (ม.)","river_gid":111065,"river_name":"แม่น้ำสงคราม"}</t>
  </si>
  <si>
    <t>THAIWATER_WL:1109497</t>
  </si>
  <si>
    <t>ONE008</t>
  </si>
  <si>
    <t>ปตร. ห้วยแคน-เหนือน้ำ</t>
  </si>
  <si>
    <t>ห้วยแคน</t>
  </si>
  <si>
    <t>{"canal_datetime":"2026-06-09 12:10","canal_value":-2,"canal_out":0,"agency":{"agency_name":{"th":"สำนักการระบายน้ำ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District"},"tumbon_name":{"th":"คลองจั่น","en":"Khlong Chan"},"province_code":"10","province_name":{"th":"กรุงเทพมหานคร","en":"Bangkok"}},"station":{"id":191,"canal_name":{"th":"ค.ตาหนัง ถ.ลาดพร้าว"},"canal_lat":13.76725,"canal_long":100.64345,"canal_oldcode":"WL.TNG.01","bank":0.3,"warning_level":-0.2,"critical_level":0}}</t>
  </si>
  <si>
    <t>THAIWATER:291</t>
  </si>
  <si>
    <t>WL.KJU.01</t>
  </si>
  <si>
    <t>ค.ขุนจันทร์ ถ.ฉิมพลี</t>
  </si>
  <si>
    <t>6028767a-bd93-41d2-e9b5-45f72f471c5f</t>
  </si>
  <si>
    <t>โรงเรียนประชาราษฎร์อุปถัมภ์วิทยา</t>
  </si>
  <si>
    <t>{"id":1317594464,"waterlevel_datetime":"2026-10-03 15:10","waterlevel_m":null,"waterlevel_msl":"138.90","waterlevel_msl_previous":"138.90","flow_rate":null,"discharge":null,"storage_percent":"83.27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Basin"}},"station":{"id":1109497,"tele_station_name":{"en":"Upper Huai Kean Upper Gate","th":"ปตร. ห้วยแคน-เหนือน้ำ"},"tele_station_lat":16.928366,"tele_station_long":104.72031,"tele_station_oldcode":"ONE008","tele_station_type":"tele_waterlevel","left_bank":139.892,"right_bank":140.596,"min_bank":139.89,"ground_level":133.964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Phanom"}},"diff_wl_bank":"0.99","diff_wl_bank_text":"ต่ำกว่าตลิ่ง (ม.)","river_gid":124439,"river_name":"ห้วยแคน"}</t>
  </si>
  <si>
    <t>{"canal_datetime":"2026-09-28 13:20","canal_value":-0.5,"canal_out":0,"agency":{"agency_name":{"th":"สำนักการระบายน้ำ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Bangkok","jp":""}},"geocode":{"area_code":"1","area_name":{"th":"กรุงเทพมหานคร","en":"Bangkok"},"amphoe_name":{"th":"ตลิ่งชัน","en":"Taling Chan District"},"tumbon_name":{"th":"ฉิมพลี","en":"Chimphli"},"province_code":"10","province_name":{"th":"กรุงเทพมหานคร","en":"Bangkok"}},"station":{"id":291,"canal_name":{"th":"ค.ขุนจันทร์ ถ.ฉิมพลี"},"canal_lat":13.78277,"canal_long":100.44432,"canal_oldcode":"WL.KJU.01","bank":1,"warning_level":1.65,"critical_level":1.85}}</t>
  </si>
  <si>
    <t>THAIWATER_WL:505003</t>
  </si>
  <si>
    <t>THAIWATER:292</t>
  </si>
  <si>
    <t>WL.PSC.02</t>
  </si>
  <si>
    <t>Ny.7</t>
  </si>
  <si>
    <t>ค.ภาษีเจริญ วัดรางบัว</t>
  </si>
  <si>
    <t>สะพานหน้าจวนผู้ว่าฯ</t>
  </si>
  <si>
    <t>https://maps.app.goo.gl/hCw8Ywu1WXDpcfU26</t>
  </si>
  <si>
    <t>{"canal_datetime":"2026-09-28 13:20","canal_value":0.39,"canal_out":0,"agency":{"agency_name":{"th":"สำนักการระบายน้ำ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District"},"tumbon_name":{"th":"บางหว้า","en":"Bang Wa"},"province_code":"10","province_name":{"th":"กรุงเทพมหานคร","en":"Bangkok"}},"station":{"id":292,"canal_name":{"th":"ค.ภาษีเจริญ วัดรางบัว"},"canal_lat":13.71167,"canal_long":100.43889,"canal_oldcode":"WL.PSC.02","bank":1,"warning_level":0.7,"critical_level":0.8}}</t>
  </si>
  <si>
    <t>THAIWATER:103</t>
  </si>
  <si>
    <t>WL.LPG.02</t>
  </si>
  <si>
    <t>ปตร.คลองหลวงแพ่ง</t>
  </si>
  <si>
    <t>{"id":1317582856,"waterlevel_datetime":"2026-10-03 14:00","waterlevel_m":null,"waterlevel_msl":"6.54","waterlevel_msl_previous":"6.59","flow_rate":null,"discharge":null,"storage_percent":"83.18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505003,"tele_station_name":{"th":"สะพานหน้าจวนผู้ว่าฯ"},"tele_station_lat":14.20048,"tele_station_long":101.219307,"tele_station_oldcode":"Ny.7","tele_station_type":"tele_waterlevel","left_bank":8.2,"right_bank":8.2,"min_bank":8.2,"ground_level":-1.67,"offset":1.64,"sub_basin_id":282,"agency_id":12,"geocode_id":1558,"hydro_id":6,"qmax":null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District"},"tumbon_code":"01","tumbon_name":{"th":"นครนายก","en":"Nakhon Nayok"},"province_code":"26","province_name":{"th":"นครนายก","en":"Nakhon Nayok"}},"diff_wl_bank":"1.66","diff_wl_bank_text":"ต่ำกว่าตลิ่ง (ม.)","river_gid":193830,"river_name":"แม่น้ำนครนายก"}</t>
  </si>
  <si>
    <t>THAIWATER_WL:568</t>
  </si>
  <si>
    <t>CPY001</t>
  </si>
  <si>
    <t>สะพานเดชาติวงศ์</t>
  </si>
  <si>
    <t>{"canal_datetime":"2026-09-28 13:20","canal_value":1.09,"canal_out":1.53,"agency":{"agency_name":{"th":"สำนักการระบายน้ำ กรุงเทพมหานคร","en":"Department of Bangkok","jp":""}},"geocode":{"area_code":"2","area_name":{"th":"ภาคกลาง","en":"Central"},"amphoe_name":{"th":"บางน้ำเปรี้ยว","en":"Bang Nam Priao District"},"tumbon_name":{"th":"ศาลาแดง","en":"Sala Daeng"},"province_code":"24","province_name":{"th":"ฉะเชิงเทรา","en":"Chachoengsao"}},"station":{"id":103,"canal_name":{"th":"ปตร.คลองหลวงแพ่ง"},"canal_lat":13.81303,"canal_long":100.93742,"canal_oldcode":"WL.LPG.02","bank":1.98,"warning_level":1,"critical_level":1.1}}</t>
  </si>
  <si>
    <t>THAIWATER:128</t>
  </si>
  <si>
    <t>WL.KLT.01</t>
  </si>
  <si>
    <t>ค.ตัน-ทางด่วน</t>
  </si>
  <si>
    <t>2026-09-26T13:58:53.192Z</t>
  </si>
  <si>
    <t>{"id":"6028767a-bd93-41d2-e9b5-45f72f471c5f","district":"คลองสามวา","category":"ศูนย์พักพิงชั่วคราว","name":"โรงเรียนประชาราษฎร์อุปถัมภ์วิทยา","capacity":100,"occupied":147,"available":0,"unitType":"คน","status":"เต็ม","routeDetails":"","link":"https://maps.app.goo.gl/hCw8Ywu1WXDpcfU26","additionalDetails":null,"createdAt":"2026-09-26T08:52:03.000Z","updatedAt":"2026-09-26T13:58:53.192Z"}</t>
  </si>
  <si>
    <t>https://www.google.com/maps/place/%E0%B9%82%E0%B8%A3%E0%B8%87%E0%B9%80%E0%B8%A3%E0%B8%B5%E0%B8%A2%E0%B8%99%E0%B8%9B%E0%B8%A3%E0%B8%B0%E0%B8%8A%E0%B8%B2%E0%B8%A3%E0%B8%B2%E0%B8%A9%E0%B8%8E%E0%B8%A3%E0%B9%8C%E0%B8%AD%E0%B8%B8%E0%B8%9B%E0%B8%96%E0%B8%B1%E0%B8%A1%E0%B8%A0%E0%B9%8C%E0%B8%A7%E0%B8%B4%E0%B8%97%E0%B8%A2%E0%B8%B2/@13.8502625,100.6884104,3762m/data=!3m1!1e3!4m6!3m5!1s0x311d6342f6a78d71:0xcfe99453319a26d2!8m2!3d13.8442089!4d100.6960353!16s%2Fg%2F1td8wl03?entry=tts&amp;g_ep=EgoyMDI2MDkyMy4wIPu8ASoASAFQAw%3D%3D&amp;skid=bb529274-230d-4e84-a6bf-96117ab9399c</t>
  </si>
  <si>
    <t>{"canal_datetime":"2026-09-28 13:20","canal_value":0.09,"canal_out":0,"agency":{"agency_name":{"th":"สำนักการระบายน้ำ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128,"canal_name":{"th":"ค.ตัน-ทางด่วน"},"canal_lat":13.73776,"canal_long":100.60436,"canal_oldcode":"WL.KLT.01","bank":1.91,"warning_level":-0.2,"critical_level":0}}</t>
  </si>
  <si>
    <t>THAIWATER:94</t>
  </si>
  <si>
    <t>WL.CNS.01</t>
  </si>
  <si>
    <t>ส.คลองช่องนนทรี</t>
  </si>
  <si>
    <t>ยานนาวา</t>
  </si>
  <si>
    <t>{"id":1317594276,"waterlevel_datetime":"2026-10-03 15:10","waterlevel_m":null,"waterlevel_msl":"22.88","waterlevel_msl_previous":"22.88","flow_rate":null,"discharge":null,"storage_percent":"82.52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Basin"}},"station":{"id":568,"tele_station_name":{"en":"Chao Phraya 1","th":"สะพานเดชาติวงศ์"},"tele_station_lat":15.68849,"tele_station_long":100.12381,"tele_station_oldcode":"CPY001","tele_station_type":"tele_waterlevel","left_bank":26.06,"right_bank":26.337,"min_bank":26.06,"ground_level":7.878,"offset":null,"sub_basin_id":240,"agency_id":9,"geocode_id":5650,"hydro_id":null,"qmax":null,"is_key_station":false,"warning_level_m":null,"critical_level_m":null,"critical_level_msl":null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Sawan"}},"diff_wl_bank":"3.18","diff_wl_bank_text":"ต่ำกว่าตลิ่ง (ม.)","river_gid":170400,"river_name":"แม่น้ำเจ้าพระยา"}</t>
  </si>
  <si>
    <t>THAIWATER_WL:1085209</t>
  </si>
  <si>
    <t>SKN001</t>
  </si>
  <si>
    <t>สะพานไอร์ปาโจ</t>
  </si>
  <si>
    <t>คลองไอร์ปาโจ</t>
  </si>
  <si>
    <t>{"canal_datetime":"2026-09-28 13:20","canal_value":-2.41,"canal_out":0.34,"agency":{"agency_name":{"th":"สำนักการระบายน้ำ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Bangkok","jp":""}},"geocode":{"area_code":"1","area_name":{"th":"กรุงเทพมหานคร","en":"Bangkok"},"amphoe_name":{"th":"ยานนาวา","en":"Yan Nawa District"},"tumbon_name":{"th":"ช่องนนทรี","en":"Chong Nonsi"},"province_code":"10","province_name":{"th":"กรุงเทพมหานคร","en":"Bangkok"}},"station":{"id":94,"canal_name":{"th":"ส.คลองช่องนนทรี"},"canal_lat":13.6952,"canal_long":100.54853,"canal_oldcode":"WL.CNS.01","bank":2.8,"warning_level":2.6,"critical_level":2.8}}</t>
  </si>
  <si>
    <t>THAIWATER:173</t>
  </si>
  <si>
    <t>WL.STN.03</t>
  </si>
  <si>
    <t>ค.สองต้นนุ่น ถ.มอเตอร์เวย์</t>
  </si>
  <si>
    <t>{"canal_datetime":"2026-09-28 13:20","canal_value":0.99,"canal_out":0,"agency":{"agency_name":{"th":"สำนักการระบายน้ำ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Bangkok","jp":""}},"geocode":{"area_code":"1","area_name":{"th":"กรุงเทพมหานคร","en":"Bangkok"},"amphoe_name":{"th":"ลาดกระบัง","en":"Lat Krabang District"},"tumbon_name":{"th":"คลองสองต้นนุ่น","en":"Khlong Song Ton Nun"},"province_code":"10","province_name":{"th":"กรุงเทพมหานคร","en":"Bangkok"}},"station":{"id":173,"canal_name":{"th":"ค.สองต้นนุ่น ถ.มอเตอร์เวย์"},"canal_lat":13.72975,"canal_long":100.73899,"canal_oldcode":"WL.STN.03","bank":2,"warning_level":0.3,"critical_level":0.4}}</t>
  </si>
  <si>
    <t>THAIWATER:202</t>
  </si>
  <si>
    <t>WL.NKW.02</t>
  </si>
  <si>
    <t>{"id":1317594597,"waterlevel_datetime":"2026-10-03 15:10","waterlevel_m":null,"waterlevel_msl":"92.23","waterlevel_msl_previous":"92.23","flow_rate":null,"discharge":null,"storage_percent":"82.03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Basin"}},"station":{"id":1085209,"tele_station_name":{"en":"Ai Pa Cho Bridge","th":"สะพานไอร์ปาโจ"},"tele_station_lat":5.835714,"tele_station_long":101.73493,"tele_station_oldcode":"SKN001","tele_station_type":"tele_waterlevel","left_bank":95.249,"right_bank":95.051,"min_bank":95.05,"ground_level":79.356,"offset":null,"sub_basin_id":338,"agency_id":9,"geocode_id":8398,"hydro_id":null,"qmax":null,"is_key_station":false,"warning_level_m":null,"critical_level_m":null,"critical_level_msl":null},"geocode":{"area_code":"5","area_name":{"th":"ภาคใต้","en":"South"},"amphoe_code":"09","amphoe_name":{"th":"สุคิริน","en":"Sukhirin District"},"tumbon_code":"04","tumbon_name":{"th":"ภูเขาทอง","en":"Phu Khao Thong"},"province_code":"96","province_name":{"th":"นราธิวาส","en":"Narathiwat"}},"diff_wl_bank":"2.82","diff_wl_bank_text":"ต่ำกว่าตลิ่ง (ม.)","river_gid":232555,"river_name":"คลองไอร์ปาโจ"}</t>
  </si>
  <si>
    <t>ค.น้ำแก้ว ซ.ลาดพร้าว 41</t>
  </si>
  <si>
    <t>THAIWATER_WL:2635</t>
  </si>
  <si>
    <t>X.265</t>
  </si>
  <si>
    <t>หน้าวัดภูผาพิมุข</t>
  </si>
  <si>
    <t>คลองบ้านแร่</t>
  </si>
  <si>
    <t>{"canal_datetime":"2026-09-28 13:20","canal_value":0.42,"canal_out":0,"agency":{"agency_name":{"th":"สำนักการระบายน้ำ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District"},"tumbon_name":{"th":"สามเสนนอก","en":"Sam Sen Nok"},"province_code":"10","province_name":{"th":"กรุงเทพมหานคร","en":"Bangkok"}},"station":{"id":202,"canal_name":{"th":"ค.น้ำแก้ว ซ.ลาดพร้าว 41"},"canal_lat":13.80278,"canal_long":100.58458,"canal_oldcode":"WL.NKW.02","bank":0.6,"warning_level":0.4,"critical_level":0.6}}</t>
  </si>
  <si>
    <t>THAIWATER:239</t>
  </si>
  <si>
    <t>WL.BNJ.02</t>
  </si>
  <si>
    <t>ค.บางนางจีน ซ.สุขุมวิท 66/1</t>
  </si>
  <si>
    <t>{"canal_datetime":"2026-09-28 13:20","canal_value":-1.89,"canal_out":0,"agency":{"agency_name":{"th":"สำนักการระบายน้ำ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Na"},"province_code":"10","province_name":{"th":"กรุงเทพมหานคร","en":"Bangkok"}},"station":{"id":239,"canal_name":{"th":"ค.บางนางจีน ซ.สุขุมวิท 66/1"},"canal_lat":13.68202,"canal_long":100.60746,"canal_oldcode":"WL.BNJ.02","bank":0,"warning_level":-0.3,"critical_level":-0.1}}</t>
  </si>
  <si>
    <t>THAIWATER:77</t>
  </si>
  <si>
    <t>WL.SSB.07</t>
  </si>
  <si>
    <t>ค.แสนแสบ-สนข.บางกะปิ</t>
  </si>
  <si>
    <t>{"id":1317523535,"waterlevel_datetime":"2026-10-03 12:00","waterlevel_m":null,"waterlevel_msl":"6.55","waterlevel_msl_previous":"6.59","flow_rate":null,"discharge":null,"storage_percent":"81.88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2635,"tele_station_name":{"th":"หน้าวัดภูผาพิมุข"},"tele_station_lat":7.61689,"tele_station_long":100.078903,"tele_station_oldcode":"X.265","tele_station_type":"tele_waterlevel","left_bank":8,"right_bank":8,"min_bank":8,"ground_level":0,"offset":null,"sub_basin_id":329,"agency_id":12,"geocode_id":8060,"hydro_id":8,"qmax":null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District"},"tumbon_code":"01","tumbon_name":{"th":"คูหาสวรรค์","en":"Khuha Sawan"},"province_code":"93","province_name":{"th":"พัทลุง","en":"Phatthalung"}},"diff_wl_bank":"1.45","diff_wl_bank_text":"ต่ำกว่าตลิ่ง (ม.)","river_gid":224490,"river_name":"คลองบ้านแร่"}</t>
  </si>
  <si>
    <t>THAIWATER_WL:2777</t>
  </si>
  <si>
    <t>Ct.19</t>
  </si>
  <si>
    <t>บ้านดอนใหญ่</t>
  </si>
  <si>
    <t>น้ำตากแดด</t>
  </si>
  <si>
    <t>{"canal_datetime":"2026-09-28 13:20","canal_value":0.4,"canal_out":0,"agency":{"agency_name":{"th":"สำนักการระบายน้ำ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Bangkok","jp":""}},"geocode":{"area_code":"1","area_name":{"th":"กรุงเทพมหานคร","en":"Bangkok"},"amphoe_name":{"th":"บางกะปิ","en":"Bang Kapi District"},"tumbon_name":{"th":"หัวหมาก","en":"Hua Mak"},"province_code":"10","province_name":{"th":"กรุงเทพมหานคร","en":"Bangkok"}},"station":{"id":77,"canal_name":{"th":"ค.แสนแสบ-สนข.บางกะปิ"},"canal_lat":13.76509,"canal_long":100.64791,"canal_oldcode":"WL.SSB.07","bank":1.85,"warning_level":0.35,"critical_level":0.45}}</t>
  </si>
  <si>
    <t>THAIWATER:216</t>
  </si>
  <si>
    <t>WL.KNB.02</t>
  </si>
  <si>
    <t>ค.หนองบอน ถ.เฉลิมพระเกียรติรัชกาลที่ 9</t>
  </si>
  <si>
    <t>{"id":1317572084,"waterlevel_datetime":"2026-10-03 14:00","waterlevel_m":null,"waterlevel_msl":"23.08","waterlevel_msl_previous":"23.11","flow_rate":null,"discharge":"363.00","storage_percent":"81.40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2777,"tele_station_name":{"th":"บ้านดอนใหญ่"},"tele_station_lat":15.45274,"tele_station_long":100.031891,"tele_station_oldcode":"Ct.19","tele_station_type":"tele_waterlevel","left_bank":24.432,"right_bank":24.315,"min_bank":24.52,"ground_level":16.78,"offset":null,"sub_basin_id":246,"agency_id":12,"geocode_id":5806,"hydro_id":5,"qmax":637,"is_key_station":true,"warning_level_m":null,"critical_level_m":24.35,"critical_level_msl":24.35},"geocode":{"area_code":"3","area_name":{"th":"ภาคเหนือ","en":"North"},"amphoe_code":"01","amphoe_name":{"th":"เมืองอุทัยธานี","en":"Mueang Uthai Thani District"},"tumbon_code":"11","tumbon_name":{"th":"หนองไผ่แบน","en":"Nong Phai Baen"},"province_code":"61","province_name":{"th":"อุทัยธานี","en":"Uthai Thani"}},"diff_wl_bank":"1.44","diff_wl_bank_text":"ต่ำกว่าตลิ่ง (ม.)","river_gid":172232,"river_name":"น้ำตากแดด"}</t>
  </si>
  <si>
    <t>THAIWATER_WL:740740</t>
  </si>
  <si>
    <t>50db218d-a8e0-0ac7-afca-6cb94b0e2231</t>
  </si>
  <si>
    <t>{"canal_datetime":"2026-09-28 13:20","canal_value":0.25,"canal_out":0,"agency":{"agency_name":{"th":"สำนักการระบายน้ำ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Bangkok","jp":""}},"geocode":{"area_code":"1","area_name":{"th":"กรุงเทพมหานคร","en":"Bangkok"},"amphoe_name":{"th":"ประเวศ","en":"Prawet District"},"tumbon_name":{"th":"หนองบอน","en":"Nong Bon"},"province_code":"10","province_name":{"th":"กรุงเทพมหานคร","en":"Bangkok"}},"station":{"id":216,"canal_name":{"th":"ค.หนองบอน ถ.เฉลิมพระเกียรติรัชกาลที่ 9"},"canal_lat":13.678,"canal_long":100.66295,"canal_oldcode":"WL.KNB.02","bank":1.5,"warning_level":0,"critical_level":0.1}}</t>
  </si>
  <si>
    <t>FOP039</t>
  </si>
  <si>
    <t>THAIWATER:48</t>
  </si>
  <si>
    <t>สะพานท่าสำเภา</t>
  </si>
  <si>
    <t>โรงเรียนวัดคู้บอน</t>
  </si>
  <si>
    <t>WL.BKA.03</t>
  </si>
  <si>
    <t>ค.บางเขน ถ.ประชาชื่น</t>
  </si>
  <si>
    <t>คลองปากประ</t>
  </si>
  <si>
    <t>https://maps.app.goo.gl/e5LS7sQ78DfoeJ8h6</t>
  </si>
  <si>
    <t>{"canal_datetime":"2026-09-28 13:20","canal_value":0.89,"canal_out":0,"agency":{"agency_name":{"th":"สำนักการระบายน้ำ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Bangkok","jp":""}},"geocode":{"area_code":"1","area_name":{"th":"กรุงเทพมหานคร","en":"Bangkok"},"amphoe_name":{"th":"บางซื่อ","en":"Bang Sue District"},"tumbon_name":{"th":"บางซื่อ","en":"Bang Sue"},"province_code":"10","province_name":{"th":"กรุงเทพมหานคร","en":"Bangkok"}},"station":{"id":48,"canal_name":{"th":"ค.บางเขน ถ.ประชาชื่น"},"canal_lat":13.84933,"canal_long":100.54268,"canal_oldcode":"WL.BKA.03","bank":0.9,"warning_level":0.5,"critical_level":0.7}}</t>
  </si>
  <si>
    <t>THAIWATER:236</t>
  </si>
  <si>
    <t>WL.FTM.01</t>
  </si>
  <si>
    <t>ค.โบสถ์แม่พระ ถ.ดินแดง</t>
  </si>
  <si>
    <t>{"id":1317594038,"waterlevel_datetime":"2026-10-03 15:10","waterlevel_m":null,"waterlevel_msl":"0.19","waterlevel_msl_previous":"0.19","flow_rate":null,"discharge":null,"storage_percent":"81.36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Basin"}},"station":{"id":740740,"tele_station_name":{"en":"Tha Samphao Bridge","th":"สะพานท่าสำเภา"},"tele_station_lat":7.729605,"tele_station_long":100.10799,"tele_station_oldcode":"FOP039","tele_station_type":"tele_waterlevel","left_bank":1.3336,"right_bank":2.2536,"min_bank":1.33,"ground_level":-4.8004,"offset":null,"sub_basin_id":329,"sponsor_by":"มูลนิธิอาสาเพื่อนพึ่ง (ภาฯ) ยามยาก สภากาชาดไทย","agency_id":91,"geocode_id":8071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District"},"tumbon_code":"13","tumbon_name":{"th":"ชัยบุรี","en":"Chai Buri"},"province_code":"93","province_name":{"th":"พัทลุง","en":"Phatthalung"}},"diff_wl_bank":"1.14","diff_wl_bank_text":"ต่ำกว่าตลิ่ง (ม.)","river_gid":223991,"river_name":"คลองปากประ"}</t>
  </si>
  <si>
    <t>THAIWATER_WL:1106449</t>
  </si>
  <si>
    <t>TCP003</t>
  </si>
  <si>
    <t>{"canal_datetime":"2026-09-28 13:20","canal_value":-1.03,"canal_out":0,"agency":{"agency_name":{"th":"สำนักการระบายน้ำ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Bangkok","jp":""}},"geocode":{"area_code":"1","area_name":{"th":"กรุงเทพมหานคร","en":"Bangkok"},"amphoe_name":{"th":"ดินแดง","en":"Din Daeng District"},"tumbon_name":{"th":"ดินแดง","en":"Din Daeng"},"province_code":"10","province_name":{"th":"กรุงเทพมหานคร","en":"Bangkok"}},"station":{"id":236,"canal_name":{"th":"ค.โบสถ์แม่พระ ถ.ดินแดง"},"canal_lat":13.75957,"canal_long":100.55618,"canal_oldcode":"WL.FTM.01","bank":1,"warning_level":0,"critical_level":0.1}}</t>
  </si>
  <si>
    <t>ปตร.ลาดชะโด (ทุ่งผักไห่)</t>
  </si>
  <si>
    <t>THAIWATER:279</t>
  </si>
  <si>
    <t>WL.BNA.02</t>
  </si>
  <si>
    <t>คลองบางคี่</t>
  </si>
  <si>
    <t>ค.บางนา ถ.สุขุมวิท</t>
  </si>
  <si>
    <t>2026-09-26T13:59:21.203Z</t>
  </si>
  <si>
    <t>{"id":"50db218d-a8e0-0ac7-afca-6cb94b0e2231","district":"คลองสามวา","category":"ศูนย์พักพิงชั่วคราว","name":"โรงเรียนวัดคู้บอน","capacity":50,"occupied":40,"available":10,"unitType":"คน","status":"เปิดให้บริการ/ว่าง","routeDetails":"","link":"https://maps.app.goo.gl/e5LS7sQ78DfoeJ8h6","additionalDetails":null,"createdAt":"2026-09-26T08:52:03.000Z","updatedAt":"2026-09-26T13:59:21.203Z"}</t>
  </si>
  <si>
    <t>https://www.google.com/maps/place/%E0%B9%82%E0%B8%A3%E0%B8%87%E0%B9%80%E0%B8%A3%E0%B8%B5%E0%B8%A2%E0%B8%99%E0%B8%A7%E0%B8%B1%E0%B8%94%E0%B8%84%E0%B8%B9%E0%B9%89%E0%B8%9A%E0%B8%AD%E0%B8%99/@13.8545402,100.6644641,3762m/data=!3m1!1e3!4m6!3m5!1s0x311d6325824a48f5:0x3ee305b72ea0d92e!8m2!3d13.8538816!4d100.6736866!16s%2Fg%2F1hc4pfzlt?entry=tts&amp;g_ep=EgoyMDI2MDkyMy4wIPu8ASoASAFQAw%3D%3D&amp;skid=72812040-c068-4f75-bb50-5af3085a9929</t>
  </si>
  <si>
    <t>{"canal_datetime":"2026-09-28 13:20","canal_value":-0.43,"canal_out":0,"agency":{"agency_name":{"th":"สำนักการระบายน้ำ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Na"},"province_code":"10","province_name":{"th":"กรุงเทพมหานคร","en":"Bangkok"}},"station":{"id":279,"canal_name":{"th":"ค.บางนา ถ.สุขุมวิท"},"canal_lat":13.66948,"canal_long":100.60535,"canal_oldcode":"WL.BNA.02","bank":2,"warning_level":0.5,"critical_level":0.7}}</t>
  </si>
  <si>
    <t>THAIWATER:116</t>
  </si>
  <si>
    <t>WL.MSW.03</t>
  </si>
  <si>
    <t>ค.มหาสวัสดิ์-ถ.พุทธฯสาย 2</t>
  </si>
  <si>
    <t>{"id":1317594637,"waterlevel_datetime":"2026-10-03 15:10","waterlevel_m":null,"waterlevel_msl":"3.91","waterlevel_msl_previous":"3.90","flow_rate":null,"discharge":null,"storage_percent":"81.21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Basin"}},"station":{"id":1106449,"tele_station_name":{"en":"Lat Chado","th":"ปตร.ลาดชะโด (ทุ่งผักไห่)"},"tele_station_lat":14.464386,"tele_station_long":100.366005,"tele_station_oldcode":"TCP003","tele_station_type":"tele_waterlevel","left_bank":5,"right_bank":5,"min_bank":5,"ground_level":-0.8,"offset":null,"sub_basin_id":240,"agency_id":9,"geocode_id":521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District"},"tumbon_code":"02","tumbon_name":{"th":"อมฤต","en":"Ammarit"},"province_code":"14","province_name":{"th":"พระนครศรีอยุธยา","en":"Phra Nakhon Si Ayutthaya"}},"diff_wl_bank":"1.09","diff_wl_bank_text":"ต่ำกว่าตลิ่ง (ม.)","river_gid":181565,"river_name":"คลองบางคี่"}</t>
  </si>
  <si>
    <t>THAIWATER_WL:1373274</t>
  </si>
  <si>
    <t>HDA008</t>
  </si>
  <si>
    <t>สะพานคลองส่งน้ำชลประทาน บ้านตลาดใหม่</t>
  </si>
  <si>
    <t>{"canal_datetime":"2026-09-28 13:20","canal_value":-1.65,"canal_out":0,"agency":{"agency_name":{"th":"สำนักการระบายน้ำ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Bangkok","jp":""}},"geocode":{"area_code":"1","area_name":{"th":"กรุงเทพมหานคร","en":"Bangkok"},"amphoe_name":{"th":"ทวีวัฒนา","en":"Thawi Watthana District"},"tumbon_name":{"th":"ศาลาธรรมสพน์","en":"Sala Thammasop"},"province_code":"10","province_name":{"th":"กรุงเทพมหานคร","en":"Bangkok"}},"station":{"id":116,"canal_name":{"th":"ค.มหาสวัสดิ์-ถ.พุทธฯสาย 2"},"canal_lat":13.80187,"canal_long":100.39432,"canal_oldcode":"WL.MSW.03","bank":1.9,"warning_level":1.8,"critical_level":2}}</t>
  </si>
  <si>
    <t>THAIWATER:47</t>
  </si>
  <si>
    <t>WL.BKA.02</t>
  </si>
  <si>
    <t>ค.บางเขน ถ.กรุงเทพ-นนท์</t>
  </si>
  <si>
    <t>{"canal_datetime":"2026-09-28 13:20","canal_value":0.24,"canal_out":0,"agency":{"agency_name":{"th":"สำนักการระบายน้ำ กรุงเทพมหานคร","en":"Department of Bangkok","jp":""}},"geocode":{"area_code":"2","area_name":{"th":"ภาคกลาง","en":"Central"},"amphoe_name":{"th":"เมืองนนทบุรี","en":"Mueang Nonthaburi District"},"tumbon_name":{"th":"บางเขน","en":"Bang Khen"},"province_code":"12","province_name":{"th":"นนทบุรี","en":"Nonthaburi"}},"station":{"id":47,"canal_name":{"th":"ค.บางเขน ถ.กรุงเทพ-นนท์"},"canal_lat":13.83374,"canal_long":100.52207,"canal_oldcode":"WL.BKA.02","bank":0.95,"warning_level":0.7,"critical_level":0.9}}</t>
  </si>
  <si>
    <t>{"id":1317594338,"waterlevel_datetime":"2026-10-03 15:10","waterlevel_m":null,"waterlevel_msl":"4.16","waterlevel_msl_previous":"4.15","flow_rate":null,"discharge":"824.87","storage_percent":"80.76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Basin"}},"station":{"id":1373274,"tele_station_name":{"en":"Khlong Chon Bridge (Ban Talat Mai)","th":"สะพานคลองส่งน้ำชลประทาน บ้านตลาดใหม่"},"tele_station_lat":14.553573,"tele_station_long":100.316765,"tele_station_oldcode":"HDA008","tele_station_type":"tele_waterlevel","left_bank":4.973,"right_bank":5.664,"min_bank":4.97,"ground_level":0.748,"offset":null,"sub_basin_id":240,"agency_id":9,"geocode_id":684,"hydro_id":null,"qmax":null,"is_key_station":false,"warning_level_m":null,"critical_level_m":null,"critical_level_msl":null},"geocode":{"area_code":"2","area_name":{"th":"ภาคกลาง","en":"Central"},"amphoe_code":"06","amphoe_name":{"th":"วิเศษชัยชาญ","en":"Wiset Chai Chan District"},"tumbon_code":"05","tumbon_name":{"th":"ท่าช้าง","en":"Tha Chang"},"province_code":"15","province_name":{"th":"อ่างทอง","en":"Ang Thong"}},"diff_wl_bank":"0.81","diff_wl_bank_text":"ต่ำกว่าตลิ่ง (ม.)"}</t>
  </si>
  <si>
    <t>THAIWATER:198</t>
  </si>
  <si>
    <t>WL.HKG.02</t>
  </si>
  <si>
    <t>ค.ห้วยขวาง ถ.เทียมร่วมมิตร</t>
  </si>
  <si>
    <t>THAIWATER_WL:2795</t>
  </si>
  <si>
    <t>C.2</t>
  </si>
  <si>
    <t>ค่ายจิรประวัติ</t>
  </si>
  <si>
    <t>{"canal_datetime":"2026-09-28 13:20","canal_value":-0.24,"canal_out":0,"agency":{"agency_name":{"th":"สำนักการระบายน้ำ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Khwang"},"province_code":"10","province_name":{"th":"กรุงเทพมหานคร","en":"Bangkok"}},"station":{"id":198,"canal_name":{"th":"ค.ห้วยขวาง ถ.เทียมร่วมมิตร"},"canal_lat":13.76755,"canal_long":100.57674,"canal_oldcode":"WL.HKG.02","bank":0.3,"warning_level":0.1,"critical_level":0.3}}</t>
  </si>
  <si>
    <t>THAIWATER:193</t>
  </si>
  <si>
    <t>WL.LSM.01</t>
  </si>
  <si>
    <t>ค.หลอด 3 บางนา ตราด</t>
  </si>
  <si>
    <t>{"id":1317572071,"waterlevel_datetime":"2026-10-03 14:00","waterlevel_m":null,"waterlevel_msl":"23.24","waterlevel_msl_previous":"23.25","flow_rate":null,"discharge":"2204.00","storage_percent":"80.13","sort_order":null,"station_type":"tele_waterlevel","situation_level":4,"agency":{"id":12,"agency_name":{"th":"กรมชลประทาน ","en":"Royal Irrigation Department","jp":""},"agency_shortname":{"th":"ชป.","en":"RID","jp":""}},"basin":{"id":10,"basin_code":10,"basin_name":{"th":"ลุ่มน้ำเจ้าพระยา","en":"Chao Phraya Basin"}},"station":{"id":2795,"tele_station_name":{"th":"ค่ายจิรประวัติ"},"tele_station_lat":15.67059,"tele_station_long":100.10936,"tele_station_oldcode":"C.2","tele_station_type":"tele_waterlevel","left_bank":25.711,"right_bank":26.38,"min_bank":25.7,"ground_level":13.32,"offset":null,"sub_basin_id":240,"agency_id":12,"geocode_id":5650,"hydro_id":5,"qmax":3735,"is_key_station":true,"warning_level_m":null,"critical_level_m":7.6,"critical_level_msl":26.2},"geocode":{"area_code":"3","area_name":{"th":"ภาคเหนือ","en":"North"},"amphoe_code":"01","amphoe_name":{"th":"เมืองนครสวรรค์","en":"Mueang Nakhon Sawan District"},"tumbon_code":"01","tumbon_name":{"th":"ปากน้ำโพ","en":"Pak Nam Pho"},"province_code":"60","province_name":{"th":"นครสวรรค์","en":"Nakhon Sawan"}},"diff_wl_bank":"2.46","diff_wl_bank_text":"ต่ำกว่าตลิ่ง (ม.)","river_gid":170646,"river_name":"แม่น้ำเจ้าพระยา"}</t>
  </si>
  <si>
    <t>THAIWATER_WL:37</t>
  </si>
  <si>
    <t>BKK015</t>
  </si>
  <si>
    <t>คลองหกวา ลำลูกกา คลอง8</t>
  </si>
  <si>
    <t>{"canal_datetime":"2026-09-28 13:20","canal_value":-0.2,"canal_out":0,"agency":{"agency_name":{"th":"สำนักการระบายน้ำ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Bangkok","jp":""}},"geocode":{"area_code":"1","area_name":{"th":"กรุงเทพมหานคร","en":"Bangkok"},"amphoe_name":{"th":"บางนา","en":"Bang Na District"},"tumbon_name":{"th":"บางนา","en":"Bang Na"},"province_code":"10","province_name":{"th":"กรุงเทพมหานคร","en":"Bangkok"}},"station":{"id":193,"canal_name":{"th":"ค.หลอด 3 บางนา ตราด"},"canal_lat":13.66749,"canal_long":100.63337,"canal_oldcode":"WL.LSM.01","bank":-0.2,"warning_level":-0.4,"critical_level":-0.2}}</t>
  </si>
  <si>
    <t>THAIWATER:58</t>
  </si>
  <si>
    <t>WL.BWK.01</t>
  </si>
  <si>
    <t>ค.บางแวก-ค.บางกอกใหญ่</t>
  </si>
  <si>
    <t>{"canal_datetime":"2026-09-28 13:20","canal_value":0.35,"canal_out":0,"agency":{"agency_name":{"th":"สำนักการระบายน้ำ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Bangkok","jp":""}},"geocode":{"area_code":"1","area_name":{"th":"กรุงเทพมหานคร","en":"Bangkok"},"amphoe_name":{"th":"ภาษีเจริญ","en":"Phasi Charoen District"},"tumbon_name":{"th":"บางแวก","en":"Bang Waek"},"province_code":"10","province_name":{"th":"กรุงเทพมหานคร","en":"Bangkok"}},"station":{"id":58,"canal_name":{"th":"ค.บางแวก-ค.บางกอกใหญ่"},"canal_lat":13.73823,"canal_long":100.45901,"canal_oldcode":"WL.BWK.01","bank":1.9,"warning_level":0.6,"critical_level":0.7}}</t>
  </si>
  <si>
    <t>THAIWATER:265</t>
  </si>
  <si>
    <t>WL.LYW.02</t>
  </si>
  <si>
    <t>ค.ลาดยาว ถ.วิภาวดีรังสิต 44</t>
  </si>
  <si>
    <t>8fb673f2-385b-ad4b-eeee-7d525ef5aa22</t>
  </si>
  <si>
    <t>โรงเรียนวัดบัวแก้ว</t>
  </si>
  <si>
    <t>{"id":1317594237,"waterlevel_datetime":"2026-10-03 15:10","waterlevel_m":null,"waterlevel_msl":"1.67","waterlevel_msl_previous":"1.84","flow_rate":null,"discharge":null,"storage_percent":"80.00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Basin"}},"station":{"id":37,"tele_station_name":{"en":"Lam Luk Ka Klong8","th":"คลองหกวา ลำลูกกา คลอง8"},"tele_station_lat":13.9416,"tele_station_long":100.77499,"tele_station_oldcode":"BKK015","tele_station_type":"tele_waterlevel","left_bank":2.706,"right_bank":2.789,"min_bank":2.71,"ground_level":-2.48,"offset":null,"sub_basin_id":283,"agency_id":9,"geocode_id":377,"hydro_id":null,"qmax":null,"is_key_station":false,"warning_level_m":null,"critical_level_m":null,"critical_level_msl":null},"geocode":{"area_code":"2","area_name":{"th":"ภาคกลาง","en":"Central"},"amphoe_code":"06","amphoe_name":{"th":"ลำลูกกา","en":"Lam Luk Ka District"},"tumbon_code":"04","tumbon_name":{"th":"ลำลูกกา","en":"Lam Luk Ka"},"province_code":"13","province_name":{"th":"ปทุมธานี","en":"Pathum Thani"}},"diff_wl_bank":"1.04","diff_wl_bank_text":"ต่ำกว่าตลิ่ง (ม.)","river_gid":195420,"river_name":"คลองหกวา"}</t>
  </si>
  <si>
    <t>THAIWATER_WL:573</t>
  </si>
  <si>
    <t>https://maps.app.goo.gl/xBho3BYpropp2EWB8</t>
  </si>
  <si>
    <t>NAN008</t>
  </si>
  <si>
    <t>ชุมแสง</t>
  </si>
  <si>
    <t>{"canal_datetime":"2026-09-28 13:20","canal_value":-0.92,"canal_out":0,"agency":{"agency_name":{"th":"สำนักการระบายน้ำ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District"},"tumbon_name":{"th":"ลาดยาว","en":"Lat Yao"},"province_code":"10","province_name":{"th":"กรุงเทพมหานคร","en":"Bangkok"}},"station":{"id":265,"canal_name":{"th":"ค.ลาดยาว ถ.วิภาวดีรังสิต 44"},"canal_lat":13.84162,"canal_long":100.55997,"canal_oldcode":"WL.LYW.02","bank":0.5,"warning_level":0.2,"critical_level":0.3}}</t>
  </si>
  <si>
    <t>THAIWATER:227</t>
  </si>
  <si>
    <t>WL.CYI.01</t>
  </si>
  <si>
    <t>ค.ชวดใหญ่ ถ.พระราม 9 ซ.13</t>
  </si>
  <si>
    <t>{"canal_datetime":"2026-09-28 13:20","canal_value":-0.13,"canal_out":0,"agency":{"agency_name":{"th":"สำนักการระบายน้ำ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Bangkok","jp":""}},"geocode":{"area_code":"1","area_name":{"th":"กรุงเทพมหานคร","en":"Bangkok"},"amphoe_name":{"th":"ห้วยขวาง","en":"Huai Khwang District"},"tumbon_name":{"th":"ห้วยขวาง","en":"Huai Khwang"},"province_code":"10","province_name":{"th":"กรุงเทพมหานคร","en":"Bangkok"}},"station":{"id":227,"canal_name":{"th":"ค.ชวดใหญ่ ถ.พระราม 9 ซ.13"},"canal_lat":13.76217,"canal_long":100.58648,"canal_oldcode":"WL.CYI.01","bank":0.6,"warning_level":0,"critical_level":0.1}}</t>
  </si>
  <si>
    <t>THAIWATER:259</t>
  </si>
  <si>
    <t>WL.BBR.01</t>
  </si>
  <si>
    <t>ค.บางบำหรุ ถ.บรมราชชนนี</t>
  </si>
  <si>
    <t>บางกอกน้อย</t>
  </si>
  <si>
    <t>{"id":1317594445,"waterlevel_datetime":"2026-10-03 15:10","waterlevel_m":null,"waterlevel_msl":"25.60","waterlevel_msl_previous":"25.61","flow_rate":null,"discharge":null,"storage_percent":"79.88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Basin"}},"station":{"id":573,"tele_station_name":{"en":"Nan 8","th":"ชุมแสง"},"tele_station_lat":15.86923,"tele_station_long":100.26481,"tele_station_oldcode":"NAN008","tele_station_type":"tele_waterlevel","left_bank":28.685,"right_bank":27.97,"min_bank":27.97,"ground_level":16.208,"offset":null,"sub_basin_id":238,"agency_id":9,"geocode_id":5681,"hydro_id":null,"qmax":null,"is_key_station":false,"warning_level_m":null,"critical_level_m":null,"critical_level_msl":null},"geocode":{"area_code":"3","area_name":{"th":"ภาคเหนือ","en":"North"},"amphoe_code":"03","amphoe_name":{"th":"ชุมแสง","en":"Chum Saeng District"},"tumbon_code":"04","tumbon_name":{"th":"เกยไชย","en":"Koei Chai"},"province_code":"60","province_name":{"th":"นครสวรรค์","en":"Nakhon Sawan"}},"diff_wl_bank":"2.37","diff_wl_bank_text":"ต่ำกว่าตลิ่ง (ม.)","river_gid":102109,"river_name":"แม่น้ำน่าน"}</t>
  </si>
  <si>
    <t>THAIWATER_WL:1095455</t>
  </si>
  <si>
    <t>PATO01</t>
  </si>
  <si>
    <t>สะพานบ้านตรังพัฒนา</t>
  </si>
  <si>
    <t>คลองหลังสวน</t>
  </si>
  <si>
    <t>{"id":"8fb673f2-385b-ad4b-eeee-7d525ef5aa22","district":"คลองสามวา","category":"ศูนย์พักพิงชั่วคราว","name":"โรงเรียนวัดบัวแก้ว","capacity":20,"occupied":0,"available":20,"unitType":"คน","status":"เปิดให้บริการ/ว่าง","routeDetails":"","link":"https://maps.app.goo.gl/xBho3BYpropp2EWB8","additionalDetails":null,"createdAt":"2026-09-26T08:52:03.000Z","updatedAt":"2026-09-26T08:52:03.000Z"}</t>
  </si>
  <si>
    <t>{"canal_datetime":"2026-09-28 13:20","canal_value":-0.38,"canal_out":0,"agency":{"agency_name":{"th":"สำนักการระบายน้ำ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Bangkok","jp":""}},"geocode":{"area_code":"1","area_name":{"th":"กรุงเทพมหานคร","en":"Bangkok"},"amphoe_name":{"th":"บางกอกน้อย","en":"Bangkok Noi District"},"tumbon_name":{"th":"อรุณอมรินทร์","en":"Arun Ammarin"},"province_code":"10","province_name":{"th":"กรุงเทพมหานคร","en":"Bangkok"}},"station":{"id":259,"canal_name":{"th":"ค.บางบำหรุ ถ.บรมราชชนนี"},"canal_lat":13.77927,"canal_long":100.47591,"canal_oldcode":"WL.BBR.01","bank":1,"warning_level":0.6,"critical_level":0.7}}</t>
  </si>
  <si>
    <t>THAIWATER:64</t>
  </si>
  <si>
    <t>WL.BBU.01</t>
  </si>
  <si>
    <t>ค.บางบัว</t>
  </si>
  <si>
    <t>https://www.google.com/maps/place/%E0%B9%82%E0%B8%A3%E0%B8%87%E0%B9%80%E0%B8%A3%E0%B8%B5%E0%B8%A2%E0%B8%99%E0%B8%A7%E0%B8%B1%E0%B8%94%E0%B8%9A%E0%B8%B1%E0%B8%A7%E0%B9%81%E0%B8%81%E0%B9%89%E0%B8%A7/@13.8546088,100.7038939,3762m/data=!3m1!1e3!4m6!3m5!1s0x311d64ec2fe74d9b:0x66d7b97810d11733!8m2!3d13.8508973!4d100.7312155!16s%2Fg%2F1hc6wy6l1?entry=tts&amp;g_ep=EgoyMDI2MDkyMy4wIPu8ASoASAFQAw%3D%3D&amp;skid=8a5546b0-c4d8-49a2-9b21-dbd991861b69</t>
  </si>
  <si>
    <t>{"canal_datetime":"2026-09-28 13:20","canal_value":1.47,"canal_out":0,"agency":{"agency_name":{"th":"สำนักการระบายน้ำ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Bangkok","jp":""}},"geocode":{"area_code":"1","area_name":{"th":"กรุงเทพมหานคร","en":"Bangkok"},"amphoe_name":{"th":"จตุจักร","en":"Chatuchak District"},"tumbon_name":{"th":"เสนานิคม","en":"Sena Nikhom"},"province_code":"10","province_name":{"th":"กรุงเทพมหานคร","en":"Bangkok"}},"station":{"id":64,"canal_name":{"th":"ค.บางบัว"},"canal_lat":13.85806,"canal_long":100.58656,"canal_oldcode":"WL.BBU.01","bank":1.85,"warning_level":0.7,"critical_level":0.8}}</t>
  </si>
  <si>
    <t>THAIWATER:288</t>
  </si>
  <si>
    <t>{"id":1317594505,"waterlevel_datetime":"2026-10-03 15:10","waterlevel_m":null,"waterlevel_msl":"17.97","waterlevel_msl_previous":"17.91","flow_rate":null,"discharge":null,"storage_percent":"79.66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Basin"}},"station":{"id":1095455,"tele_station_name":{"en":"Trang Phatthana Bridge","th":"สะพานบ้านตรังพัฒนา"},"tele_station_lat":9.85488,"tele_station_long":98.8401,"tele_station_oldcode":"PATO01","tele_station_type":"tele_waterlevel","left_bank":22.56,"right_bank":26.2,"min_bank":22.56,"ground_level":0,"offset":null,"sub_basin_id":312,"agency_id":9,"geocode_id":7751,"hydro_id":null,"qmax":null,"is_key_station":false,"warning_level_m":null,"critical_level_m":null,"critical_level_msl":null},"geocode":{"area_code":"5","area_name":{"th":"ภาคใต้","en":"South"},"amphoe_code":"06","amphoe_name":{"th":"พะโต๊ะ","en":"Phato District"},"tumbon_code":"01","tumbon_name":{"th":"พะโต๊ะ","en":"Phato"},"province_code":"86","province_name":{"th":"ชุมพร","en":"Chumphon"}},"diff_wl_bank":"4.59","diff_wl_bank_text":"ต่ำกว่าตลิ่ง (ม.)","river_gid":214428,"river_name":"คลองหลังสวน"}</t>
  </si>
  <si>
    <t>WL.BYK.01</t>
  </si>
  <si>
    <t>ค.บางยี่ขัน ถ.จรัญสนิทวงศ์</t>
  </si>
  <si>
    <t>THAIWATER_WL:1198299</t>
  </si>
  <si>
    <t>PIN009</t>
  </si>
  <si>
    <t>แม่น้ำลี้ บ้านโฮ่ง</t>
  </si>
  <si>
    <t>น้ำแม่ลี้</t>
  </si>
  <si>
    <t>{"canal_datetime":"2026-09-28 13:20","canal_value":-0.39,"canal_out":0,"agency":{"agency_name":{"th":"สำนักการระบายน้ำ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Bangkok","jp":""}},"geocode":{"area_code":"1","area_name":{"th":"กรุงเทพมหานคร","en":"Bangkok"},"amphoe_name":{"th":"บางพลัด","en":"Bang Phlat District"},"tumbon_name":{"th":"บางบำหรุ","en":"Bang Bamru"},"province_code":"10","province_name":{"th":"กรุงเทพมหานคร","en":"Bangkok"}},"station":{"id":288,"canal_name":{"th":"ค.บางยี่ขัน ถ.จรัญสนิทวงศ์"},"canal_lat":13.77571,"canal_long":100.48371,"canal_oldcode":"WL.BYK.01","bank":1,"warning_level":0.6,"critical_level":0.7}}</t>
  </si>
  <si>
    <t>THAIWATER:223</t>
  </si>
  <si>
    <t>WL.TSK.01</t>
  </si>
  <si>
    <t>คูน้ำต่อศักดิ์ ซ.ทองหล่อ 25</t>
  </si>
  <si>
    <t>{"id":1317594517,"waterlevel_datetime":"2026-10-03 15:10","waterlevel_m":null,"waterlevel_msl":"309.90","waterlevel_msl_previous":"309.90","flow_rate":null,"discharge":null,"storage_percent":"79.34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Basin"}},"station":{"id":1198299,"tele_station_name":{"en":"Li River-Ban Hong","th":"แม่น้ำลี้ บ้านโฮ่ง"},"tele_station_lat":18.310793,"tele_station_long":98.82355,"tele_station_oldcode":"PIN009","tele_station_type":"tele_waterlevel","left_bank":311.8941,"right_bank":310.8359,"min_bank":310.84,"ground_level":306.3054,"offset":null,"sub_basin_id":167,"agency_id":9,"geocode_id":4944,"hydro_id":null,"qmax":null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District"},"tumbon_code":"01","tumbon_name":{"th":"บ้านโฮ่ง","en":"Ban Hong"},"province_code":"51","province_name":{"th":"ลำพูน","en":"Lamphun"}},"diff_wl_bank":"0.94","diff_wl_bank_text":"ต่ำกว่าตลิ่ง (ม.)","river_gid":59851,"river_name":"น้ำแม่ลี้"}</t>
  </si>
  <si>
    <t>THAIWATER_WL:3476</t>
  </si>
  <si>
    <t>PMTS4</t>
  </si>
  <si>
    <t>แม่น้ำมูล วัดปากโดม</t>
  </si>
  <si>
    <t>{"canal_datetime":"2026-09-28 13:20","canal_value":-1.76,"canal_out":0,"agency":{"agency_name":{"th":"สำนักการระบายน้ำ กรุงเทพมหานคร","en":"Department of Bangkok","jp":""}},"geocode":{"area_code":"1","area_name":{"th":"กรุงเทพมหานคร","en":"Bangkok"},"amphoe_name":{"th":"วัฒนา","en":"Vadhana District"},"tumbon_name":{"th":"คลองตันเหนือ","en":"Khlong Tan Nuea"},"province_code":"10","province_name":{"th":"กรุงเทพมหานคร","en":"Bangkok"}},"station":{"id":223,"canal_name":{"th":"คูน้ำต่อศักดิ์ ซ.ทองหล่อ 25"},"canal_lat":13.74019,"canal_long":100.58037,"canal_oldcode":"WL.TSK.01","bank":0,"warning_level":-0.2,"critical_level":0}}</t>
  </si>
  <si>
    <t>{"id":1317576263,"waterlevel_datetime":"2026-10-03 14:00","waterlevel_m":null,"waterlevel_msl":"110.10","waterlevel_msl_previous":"110.11","flow_rate":null,"discharge":null,"storage_percent":"79.23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Basin"}},"station":{"id":3476,"tele_station_name":{"th":"แม่น้ำมูล วัดปากโดม"},"tele_station_lat":15.30606,"tele_station_long":105.17113,"tele_station_oldcode":"PMTS4","tele_station_type":"tele_waterlevel","left_bank":112.81,"right_bank":118.62,"min_bank":112.81,"ground_level":99.76,"offset":null,"sub_basin_id":151,"agency_id":8,"geocode_id":2783,"hydro_id":null,"qmax":null,"is_key_station":false,"warning_level_m":null,"critical_level_m":null,"critical_level_msl":112.81},"geocode":{"area_code":"4","area_name":{"th":"ภาคตะวันออกเฉียงเหนือ","en":"Northeast"},"amphoe_code":"19","amphoe_name":{"th":"พิบูลมังสาหาร","en":"Phibun Mangsahan District"},"tumbon_code":"09","tumbon_name":{"th":"โพธิ์ไทร","en":"Pho Sai"},"province_code":"34","province_name":{"th":"อุบลราชธานี","en":"Ubon Ratchathani"}},"diff_wl_bank":"2.71","diff_wl_bank_text":"ต่ำกว่าตลิ่ง (ม.)","river_gid":145329,"river_name":"แม่น้ำมูล"}</t>
  </si>
  <si>
    <t>THAIWATER_WL:1117431</t>
  </si>
  <si>
    <t>PYO004</t>
  </si>
  <si>
    <t>สะพานบ้านเจดีย์งาม</t>
  </si>
  <si>
    <t>แม่น้ำอิง</t>
  </si>
  <si>
    <t>b64de202-a594-e14e-7d05-61a4ba19668e</t>
  </si>
  <si>
    <t>โรงเรียนวัดพระยาสุเรนทร์</t>
  </si>
  <si>
    <t>https://maps.app.goo.gl/LGP2bB2gYZpDtrXA6</t>
  </si>
  <si>
    <t>{"id":1317594531,"waterlevel_datetime":"2026-10-03 15:10","waterlevel_m":null,"waterlevel_msl":"387.27","waterlevel_msl_previous":"387.27","flow_rate":null,"discharge":null,"storage_percent":"79.09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Basin"}},"station":{"id":1117431,"tele_station_name":{"en":"Ban Chedi Ngam Bridge","th":"สะพานบ้านเจดีย์งาม"},"tele_station_lat":19.186546,"tele_station_long":99.9439,"tele_station_oldcode":"PYO004","tele_station_type":"tele_waterlevel","left_bank":387.73,"right_bank":388.11,"min_bank":387.73,"ground_level":385.53,"offset":null,"sub_basin_id":34,"agency_id":9,"geocode_id":5385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District"},"tumbon_code":"13","tumbon_name":{"th":"ท่าวังทอง","en":"Tha Wang Thong"},"province_code":"56","province_name":{"th":"พะเยา","en":"Phayao"}},"diff_wl_bank":"0.46","diff_wl_bank_text":"ต่ำกว่าตลิ่ง (ม.)","river_gid":22516,"river_name":"แม่น้ำอิง"}</t>
  </si>
  <si>
    <t>THAIWATER_WL:2797</t>
  </si>
  <si>
    <t>E.23</t>
  </si>
  <si>
    <t>บ้านค่าย</t>
  </si>
  <si>
    <t>แม่น้ำชี</t>
  </si>
  <si>
    <t>2026-09-26T14:00:02.591Z</t>
  </si>
  <si>
    <t>{"id":"b64de202-a594-e14e-7d05-61a4ba19668e","district":"คลองสามวา","category":"ศูนย์พักพิงชั่วคราว","name":"โรงเรียนวัดพระยาสุเรนทร์","capacity":100,"occupied":78,"available":22,"unitType":"คน","status":"เปิดให้บริการ/ว่าง","routeDetails":"","link":"https://maps.app.goo.gl/LGP2bB2gYZpDtrXA6","additionalDetails":null,"createdAt":"2026-09-26T08:52:03.000Z","updatedAt":"2026-09-26T14:00:02.591Z"}</t>
  </si>
  <si>
    <t>https://www.google.com/maps/place/%E0%B9%82%E0%B8%A3%E0%B8%87%E0%B9%80%E0%B8%A3%E0%B8%B5%E0%B8%A2%E0%B8%99%E0%B8%A7%E0%B8%B1%E0%B8%94%E0%B8%9E%E0%B8%A3%E0%B8%B0%E0%B8%A2%E0%B8%B2%E0%B8%AA%E0%B8%B8%E0%B9%80%E0%B8%A3%E0%B8%99%E0%B8%97%E0%B8%A3%E0%B9%8C/@13.8703415,100.6838396,1881m/data=!3m1!1e3!4m6!3m5!1s0x311d7cc9add77fa7:0xaaf02aa606726f29!8m2!3d13.8734813!4d100.6865445!16s%2Fg%2F1tczgynr?entry=tts&amp;g_ep=EgoyMDI2MDkyMy4wIPu8ASoASAFQAw%3D%3D&amp;skid=d29df70b-7383-4ae0-813f-1a2ccf17fe85</t>
  </si>
  <si>
    <t>{"id":1317573784,"waterlevel_datetime":"2026-10-03 14:00","waterlevel_m":null,"waterlevel_msl":"183.59","waterlevel_msl_previous":"183.58","flow_rate":null,"discharge":"153.68","storage_percent":"79.06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2797,"tele_station_name":{"th":"บ้านค่าย"},"tele_station_lat":15.68176,"tele_station_long":102.009552,"tele_station_oldcode":"E.23","tele_station_type":"tele_waterlevel","left_bank":364.80199700000003,"right_bank":363.206997,"min_bank":185.2,"ground_level":177.51,"offset":176.199997,"sub_basin_id":82,"agency_id":12,"geocode_id":3082,"hydro_id":3,"qmax":270,"is_key_station":true,"warning_level_m":null,"critical_level_m":null,"critical_level_msl":null},"geocode":{"area_code":"4","area_name":{"th":"ภาคตะวันออกเฉียงเหนือ","en":"Northeast"},"amphoe_code":"15","amphoe_name":{"th":"เนินสง่า","en":"Noen Sa-nga District"},"tumbon_code":"03","tumbon_name":{"th":"กะฮาด","en":"Kahat"},"province_code":"36","province_name":{"th":"ชัยภูมิ","en":"Chaiyaphum"}},"diff_wl_bank":"1.61","diff_wl_bank_text":"ต่ำกว่าตลิ่ง (ม.)","river_gid":141760,"river_name":"แม่น้ำชี"}</t>
  </si>
  <si>
    <t>THAIWATER_WL:1373277</t>
  </si>
  <si>
    <t>HDA011</t>
  </si>
  <si>
    <t>สะพานคลองส่งน้ำชลประทาน บ้านสร่างโศก</t>
  </si>
  <si>
    <t>{"id":1317594340,"waterlevel_datetime":"2026-10-03 15:10","waterlevel_m":null,"waterlevel_msl":"9.86","waterlevel_msl_previous":"9.85","flow_rate":null,"discharge":"422.64","storage_percent":"78.94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Basin"}},"station":{"id":1373277,"tele_station_name":{"en":"Khlong Chon Bridge (Ban Sang Sok)","th":"สะพานคลองส่งน้ำชลประทาน บ้านสร่างโศก"},"tele_station_lat":14.650794,"tele_station_long":100.742775,"tele_station_oldcode":"HDA011","tele_station_type":"tele_waterlevel","left_bank":11.5,"right_bank":12.085,"min_bank":11.5,"ground_level":3.713,"offset":null,"sub_basin_id":257,"agency_id":9,"geocode_id":1016,"hydro_id":null,"qmax":null,"is_key_station":false,"warning_level_m":null,"critical_level_m":null,"critical_level_msl":null},"geocode":{"area_code":"2","area_name":{"th":"ภาคกลาง","en":"Central"},"amphoe_code":"06","amphoe_name":{"th":"บ้านหมอ","en":"Ban Mo District"},"tumbon_code":"03","tumbon_name":{"th":"สร่างโศก","en":"Sang Sok"},"province_code":"19","province_name":{"th":"สระบุรี","en":"Saraburi"}},"diff_wl_bank":"1.64","diff_wl_bank_text":"ต่ำกว่าตลิ่ง (ม.)"}</t>
  </si>
  <si>
    <t>THAIWATER_WL:575568</t>
  </si>
  <si>
    <t>BKC004</t>
  </si>
  <si>
    <t>ปตร. คลองลัดบางยอ 2</t>
  </si>
  <si>
    <t>2026-10-02T23:50:00+07:00</t>
  </si>
  <si>
    <t>{"id":1317279226,"waterlevel_datetime":"2026-10-02 23:50","waterlevel_m":null,"waterlevel_msl":"0.37","waterlevel_msl_previous":"0.49","flow_rate":null,"discharge":null,"storage_percent":"78.90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Basin"}},"station":{"id":575568,"tele_station_name":{"en":"Khlong Lat Bang Yo 2 Gate","th":"ปตร. คลองลัดบางยอ 2"},"tele_station_lat":13.661021,"tele_station_long":100.56727,"tele_station_oldcode":"BKC004","tele_station_type":"tele_waterlevel","left_bank":1.49,"right_bank":0.905,"min_bank":0.91,"ground_level":-1.63,"offset":null,"sub_basin_id":240,"agency_id":9,"geocode_id":252,"hydro_id":null,"qmax":null,"is_key_station":false,"warning_level_m":null,"critical_level_m":null,"critical_level_msl":null},"geocode":{"area_code":"2","area_name":{"th":"ภาคกลาง","en":"Central"},"amphoe_code":"04","amphoe_name":{"th":"พระประแดง","en":"Phra Pradaeng District"},"tumbon_code":"11","tumbon_name":{"th":"บางกระสอบ","en":"Bang Krasop"},"province_code":"11","province_name":{"th":"สมุทรปราการ","en":"Samut Prakan"}},"diff_wl_bank":"0.54","diff_wl_bank_text":"ต่ำกว่าตลิ่ง (ม.)","river_gid":188375,"river_name":"แม่น้ำเจ้าพระยา"}</t>
  </si>
  <si>
    <t>THAIWATER_WL:505050</t>
  </si>
  <si>
    <t>X.274</t>
  </si>
  <si>
    <t>บ้านบูเก๊ะตา</t>
  </si>
  <si>
    <t>แม่น้ำโก-ลก</t>
  </si>
  <si>
    <t>9db52d39-4ba5-cf4f-adf1-c431cc94aa66</t>
  </si>
  <si>
    <t>โรงเรียนวัดลำกะดาน</t>
  </si>
  <si>
    <t>https://maps.app.goo.gl/ih9XCP6RpiwQiM4Z8</t>
  </si>
  <si>
    <t>{"id":1317539096,"waterlevel_datetime":"2026-10-03 12:00","waterlevel_m":null,"waterlevel_msl":"18.51","waterlevel_msl_previous":"18.53","flow_rate":null,"discharge":"10.20","storage_percent":"78.77","sort_order":null,"station_type":"tele_waterlevel","situation_level":4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505050,"tele_station_name":{"th":"บ้านบูเก๊ะตา"},"tele_station_lat":5.83916,"tele_station_long":101.892143,"tele_station_oldcode":"X.274","tele_station_type":"tele_waterlevel","left_bank":27.801,"right_bank":27.778,"min_bank":23.5,"ground_level":0,"offset":null,"sub_basin_id":340,"agency_id":12,"geocode_id":8391,"hydro_id":8,"qmax":330.399994,"is_key_station":true,"warning_level_m":null,"critical_level_m":null,"critical_level_msl":null},"geocode":{"area_code":"5","area_name":{"th":"ภาคใต้","en":"South"},"amphoe_code":"08","amphoe_name":{"th":"แว้ง","en":"Waeng District"},"tumbon_code":"04","tumbon_name":{"th":"โละจูด","en":"Lo Chut"},"province_code":"96","province_name":{"th":"นราธิวาส","en":"Narathiwat"}},"diff_wl_bank":"4.99","diff_wl_bank_text":"ต่ำกว่าตลิ่ง (ม.)","river_gid":232509,"river_name":"แม่น้ำโก-ลก"}</t>
  </si>
  <si>
    <t>THAIWATER_WL:1066916</t>
  </si>
  <si>
    <t>Kgt.34</t>
  </si>
  <si>
    <t>บ้านชะอม</t>
  </si>
  <si>
    <t>{"id":1317582825,"waterlevel_datetime":"2026-10-03 14:00","waterlevel_m":null,"waterlevel_msl":"9.06","waterlevel_msl_previous":"9.09","flow_rate":null,"discharge":"211.80","storage_percent":"78.42","sort_order":null,"station_type":"tele_waterlevel","situation_level":4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1066916,"tele_station_name":{"th":"บ้านชะอม"},"tele_station_lat":14.10461,"tele_station_long":101.744179,"tele_station_oldcode":"Kgt.34","tele_station_type":"tele_waterlevel","left_bank":14.947000000000001,"right_bank":14.811,"min_bank":11.12,"ground_level":1.576,"offset":3.56,"sub_basin_id":280,"agency_id":12,"geocode_id":1516,"hydro_id":6,"qmax":423.600006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Buri"}},"diff_wl_bank":"2.06","diff_wl_bank_text":"ต่ำกว่าตลิ่ง (ม.)","river_gid":194314,"river_name":"แควหนุมาน"}</t>
  </si>
  <si>
    <t>THAIWATER_WL:905</t>
  </si>
  <si>
    <t>PAT001</t>
  </si>
  <si>
    <t>บันนังสตา</t>
  </si>
  <si>
    <t>แม่น้ำปัตตานี</t>
  </si>
  <si>
    <t>{"id":"9db52d39-4ba5-cf4f-adf1-c431cc94aa66","district":"คลองสามวา","category":"ศูนย์พักพิงชั่วคราว","name":"โรงเรียนวัดลำกะดาน","capacity":40,"occupied":0,"available":40,"unitType":"คน","status":"เปิดให้บริการ/ว่าง","routeDetails":"","link":"https://maps.app.goo.gl/ih9XCP6RpiwQiM4Z8","additionalDetails":null,"createdAt":"2026-09-26T08:52:03.000Z","updatedAt":"2026-09-26T08:52:03.000Z"}</t>
  </si>
  <si>
    <t>https://www.google.com/maps/place/%E0%B9%82%E0%B8%A3%E0%B8%87%E0%B9%80%E0%B8%A3%E0%B8%B5%E0%B8%A2%E0%B8%99%E0%B8%A7%E0%B8%B1%E0%B8%94%E0%B8%A5%E0%B8%B3%E0%B8%81%E0%B8%B0%E0%B8%94%E0%B8%B2%E0%B8%99/@13.8930048,100.6851763,15046m/data=!3m1!1e3!4m6!3m5!1s0x311d7bad08dadead:0x87b3f5c785f3a5cc!8m2!3d13.9174808!4d100.752918!16s%2Fg%2F1pzxmz4ky?entry=tts&amp;g_ep=EgoyMDI2MDkyMy4wIPu8ASoASAFQAw%3D%3D&amp;skid=f3d5ec05-2f3c-415f-9dc9-7d025d8292a8</t>
  </si>
  <si>
    <t>{"id":1317594503,"waterlevel_datetime":"2026-10-03 15:10","waterlevel_m":null,"waterlevel_msl":"34.32","waterlevel_msl_previous":"34.32","flow_rate":null,"discharge":null,"storage_percent":"78.30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Basin"}},"station":{"id":905,"tele_station_name":{"en":"Patthani 1","th":"บันนังสตา"},"tele_station_lat":6.262041,"tele_station_long":101.268036,"tele_station_oldcode":"PAT001","tele_station_type":"tele_waterlevel","left_bank":38.678,"right_bank":38.348,"min_bank":38.35,"ground_level":19.79,"offset":null,"sub_basin_id":336,"agency_id":9,"geocode_id":8286,"hydro_id":null,"qmax":null,"is_key_station":false,"warning_level_m":null,"critical_level_m":null,"critical_level_msl":null},"geocode":{"area_code":"5","area_name":{"th":"ภาคใต้","en":"South"},"amphoe_code":"03","amphoe_name":{"th":"บันนังสตา","en":"Bannang Sata District"},"tumbon_code":"01","tumbon_name":{"th":"บันนังสตา","en":"Bannang Sata"},"province_code":"95","province_name":{"th":"ยะลา","en":"Yala"}},"diff_wl_bank":"4.03","diff_wl_bank_text":"ต่ำกว่าตลิ่ง (ม.)","river_gid":231106,"river_name":"แม่น้ำปัตตานี"}</t>
  </si>
  <si>
    <t>THAIWATER_WL:396</t>
  </si>
  <si>
    <t>SKM005</t>
  </si>
  <si>
    <t>สว่างแดนดิน</t>
  </si>
  <si>
    <t>{"id":1317594596,"waterlevel_datetime":"2026-10-03 15:10","waterlevel_m":null,"waterlevel_msl":"154.51","waterlevel_msl_previous":"154.51","flow_rate":null,"discharge":null,"storage_percent":"78.11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Basin"}},"station":{"id":396,"tele_station_name":{"en":"Sawang Daen Din","th":"สว่างแดนดิน"},"tele_station_lat":17.594717,"tele_station_long":103.38448,"tele_station_oldcode":"SKM005","tele_station_type":"tele_waterlevel","left_bank":157.313,"right_bank":156.234,"min_bank":156.23,"ground_level":148.36,"offset":null,"sub_basin_id":58,"agency_id":9,"geocode_id":4473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District"},"tumbon_code":"07","tumbon_name":{"th":"โพนสูง","en":"Phon Sung"},"province_code":"47","province_name":{"th":"สกลนคร","en":"Sakon Nakhon"}},"diff_wl_bank":"1.72","diff_wl_bank_text":"ต่ำกว่าตลิ่ง (ม.)","river_gid":114078,"river_name":"แม่น้ำสงคราม"}</t>
  </si>
  <si>
    <t>THAIWATER_WL:2737</t>
  </si>
  <si>
    <t>M.9</t>
  </si>
  <si>
    <t>ชุมชนสะพานขาว</t>
  </si>
  <si>
    <t>ห้วยสำราญ</t>
  </si>
  <si>
    <t>{"id":1317571354,"waterlevel_datetime":"2026-10-03 14:00","waterlevel_m":null,"waterlevel_msl":"116.01","waterlevel_msl_previous":"116.02","flow_rate":null,"discharge":"78.40","storage_percent":"77.72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2737,"tele_station_name":{"th":"ชุมชนสะพานขาว"},"tele_station_lat":15.11808,"tele_station_long":104.318642,"tele_station_oldcode":"M.9","tele_station_type":"tele_waterlevel","left_bank":232.172,"right_bank":233.997,"min_bank":118,"ground_level":109.07,"offset":109,"sub_basin_id":137,"agency_id":12,"geocode_id":2395,"hydro_id":4,"qmax":200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District"},"tumbon_code":"16","tumbon_name":{"th":"หญ้าปล้อง","en":"Ya Plong"},"province_code":"33","province_name":{"th":"ศรีสะเกษ","en":"Si Sa Ket"}},"diff_wl_bank":"1.99","diff_wl_bank_text":"ต่ำกว่าตลิ่ง (ม.)","river_gid":147468,"river_name":"ห้วยสำราญ"}</t>
  </si>
  <si>
    <t>THAIWATER_WL:1113288</t>
  </si>
  <si>
    <t>SKD10</t>
  </si>
  <si>
    <t>บ้านแสนตอ</t>
  </si>
  <si>
    <t>น้ำแควน้อย</t>
  </si>
  <si>
    <t>8c728935-7ce8-489c-8b1c-72a823ff28e6</t>
  </si>
  <si>
    <t>โรงเรียนวัดศรีสุก</t>
  </si>
  <si>
    <t>https://maps.app.goo.gl/NU3jKUbBVjxgfWW7A</t>
  </si>
  <si>
    <t>{"id":1317593036,"waterlevel_datetime":"2026-10-03 15:00","waterlevel_m":null,"waterlevel_msl":"66.76","waterlevel_msl_previous":"66.68","flow_rate":null,"discharge":null,"storage_percent":"77.32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1113288,"tele_station_name":{"th":"บ้านแสนตอ"},"tele_station_lat":17.66514,"tele_station_long":100.29809,"tele_station_oldcode":"SKD10","tele_station_type":"tele_waterlevel","left_bank":70.56,"right_bank":72.62,"min_bank":70.56,"ground_level":53.8,"offset":null,"sub_basin_id":235,"agency_id":8,"geocode_id":5108,"hydro_id":null,"qmax":null,"is_key_station":false,"warning_level_m":null,"critical_level_m":null,"critical_level_msl":70.56},"geocode":{"area_code":"3","area_name":{"th":"ภาคเหนือ","en":"North"},"amphoe_code":"01","amphoe_name":{"th":"เมืองอุตรดิตถ์","en":"Mueang Uttaradit District"},"tumbon_code":"14","tumbon_name":{"th":"แสนตอ","en":"Saen To"},"province_code":"53","province_name":{"th":"อุตรดิตถ์","en":"Uttaradit"}},"diff_wl_bank":"3.80","diff_wl_bank_text":"ต่ำกว่าตลิ่ง (ม.)","river_gid":89542,"river_name":"น้ำแควน้อย"}</t>
  </si>
  <si>
    <t>THAIWATER_WL:2571</t>
  </si>
  <si>
    <t>K.37</t>
  </si>
  <si>
    <t>บ้านวังเย็น</t>
  </si>
  <si>
    <t>{"id":1317575397,"waterlevel_datetime":"2026-10-03 14:00","waterlevel_m":null,"waterlevel_msl":"28.44","waterlevel_msl_previous":"28.44","flow_rate":null,"discharge":"1130.58","storage_percent":"77.06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2571,"tele_station_name":{"th":"บ้านวังเย็น"},"tele_station_lat":13.93906,"tele_station_long":99.416252,"tele_station_oldcode":"K.37","tele_station_type":"tele_waterlevel","left_bank":52.380999,"right_bank":52.031999,"min_bank":31.45,"ground_level":18.33,"offset":19.799999,"sub_basin_id":275,"agency_id":12,"geocode_id":6681,"hydro_id":7,"qmax":1910,"is_key_station":true,"warning_level_m":null,"critical_level_m":11.65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Do"},"province_code":"71","province_name":{"th":"กาญจนบุรี","en":"Kanchanaburi"}},"diff_wl_bank":"3.01","diff_wl_bank_text":"ต่ำกว่าตลิ่ง (ม.)","river_gid":185920,"river_name":"แม่น้ำแควน้อย"}</t>
  </si>
  <si>
    <t>THAIWATER_WL:792</t>
  </si>
  <si>
    <t>NKO002</t>
  </si>
  <si>
    <t>เชียรใหญ่</t>
  </si>
  <si>
    <t>{"id":"8c728935-7ce8-489c-8b1c-72a823ff28e6","district":"คลองสามวา","category":"ศูนย์พักพิงชั่วคราว","name":"โรงเรียนวัดศรีสุก","capacity":20,"occupied":0,"available":20,"unitType":"คน","status":"เปิดให้บริการ/ว่าง","routeDetails":"","link":"https://maps.app.goo.gl/NU3jKUbBVjxgfWW7A","additionalDetails":null,"createdAt":"2026-09-26T08:52:03.000Z","updatedAt":"2026-09-26T08:52:03.000Z"}</t>
  </si>
  <si>
    <t>https://www.google.com/maps/place/%E0%B9%82%E0%B8%A3%E0%B8%87%E0%B9%80%E0%B8%A3%E0%B8%B5%E0%B8%A2%E0%B8%99%E0%B8%A7%E0%B8%B1%E0%B8%94%E0%B8%A8%E0%B8%A3%E0%B8%B5%E0%B8%AA%E0%B8%B8%E0%B8%81/@13.8890686,100.6974667,15046m/data=!3m1!1e3!4m6!3m5!1s0x311d7a7066491661:0x4d1e4c2662edb1a7!8m2!3d13.9184414!4d100.7917995!16s%2Fg%2F1pzv238ls?entry=tts&amp;g_ep=EgoyMDI2MDkyMy4wIPu8ASoASAFQAw%3D%3D&amp;skid=ec657b14-ffa2-4584-bd1d-eb2835fe42c2</t>
  </si>
  <si>
    <t>{"id":1317594454,"waterlevel_datetime":"2026-10-03 15:10","waterlevel_m":null,"waterlevel_msl":"-0.51","waterlevel_msl_previous":"-0.50","flow_rate":null,"discharge":null,"storage_percent":"77.02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Basin"}},"station":{"id":792,"tele_station_name":{"en":"Nakhon Si Thammarat 2","th":"เชียรใหญ่"},"tele_station_lat":8.089498,"tele_station_long":100.12784,"tele_station_oldcode":"NKO002","tele_station_type":"tele_waterlevel","left_bank":3.322,"right_bank":4.017,"min_bank":3.32,"ground_level":-13.352,"offset":null,"sub_basin_id":327,"agency_id":9,"geocode_id":7227,"hydro_id":null,"qmax":null,"is_key_station":false,"warning_level_m":null,"critical_level_m":null,"critical_level_msl":null},"geocode":{"area_code":"5","area_name":{"th":"ภาคใต้","en":"South"},"amphoe_code":"06","amphoe_name":{"th":"เชียรใหญ่","en":"Chian Yai District"},"tumbon_code":"11","tumbon_name":{"th":"การะเกด","en":"Karaket"},"province_code":"80","province_name":{"th":"นครศรีธรรมราช","en":"Nakhon Si Thammarat"}},"diff_wl_bank":"3.83","diff_wl_bank_text":"ต่ำกว่าตลิ่ง (ม.)","river_gid":222280,"river_name":"คลองชะอวด"}</t>
  </si>
  <si>
    <t>THAIWATER_WL:2972</t>
  </si>
  <si>
    <t>Y.15</t>
  </si>
  <si>
    <t>บ้านกง</t>
  </si>
  <si>
    <t>{"id":1317572357,"waterlevel_datetime":"2026-10-03 14:00","waterlevel_m":null,"waterlevel_msl":"42.81","waterlevel_msl_previous":"42.81","flow_rate":null,"discharge":"180.90","storage_percent":"76.99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2972,"tele_station_name":{"th":"บ้านกง"},"tele_station_lat":16.927441,"tele_station_long":99.959427,"tele_station_oldcode":"Y.15","tele_station_type":"tele_waterlevel","left_bank":81.40299999999999,"right_bank":81.366,"min_bank":45.64,"ground_level":33.343,"offset":35.32,"sub_basin_id":213,"agency_id":12,"geocode_id":6068,"hydro_id":2,"qmax":492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District"},"tumbon_code":"01","tumbon_name":{"th":"กง","en":"Kong"},"province_code":"64","province_name":{"th":"สุโขทัย","en":"Sukhothai"}},"diff_wl_bank":"2.83","diff_wl_bank_text":"ต่ำกว่าตลิ่ง (ม.)","river_gid":90623,"river_name":"แม่น้ำยม"}</t>
  </si>
  <si>
    <t>THAIWATER_WL:2575</t>
  </si>
  <si>
    <t>E.2A</t>
  </si>
  <si>
    <t>ประปายโสธร</t>
  </si>
  <si>
    <t>{"id":1317573774,"waterlevel_datetime":"2026-10-03 14:00","waterlevel_m":null,"waterlevel_msl":"123.29","waterlevel_msl_previous":"123.30","flow_rate":null,"discharge":null,"storage_percent":"76.95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2575,"tele_station_name":{"th":"ประปายโสธร"},"tele_station_lat":15.79962,"tele_station_long":104.134857,"tele_station_oldcode":"E.2A","tele_station_type":"tele_waterlevel","left_bank":245.337,"right_bank":242.388,"min_bank":126,"ground_level":114.242,"offset":114,"sub_basin_id":102,"agency_id":12,"geocode_id":2860,"hydro_id":3,"qmax":1080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ยโสธร","en":"Mueang Yasothon District"},"tumbon_code":"01","tumbon_name":{"th":"ในเมือง","en":"Nai Mueang"},"province_code":"35","province_name":{"th":"ยโสธร","en":"Yasothon"}},"diff_wl_bank":"2.71","diff_wl_bank_text":"ต่ำกว่าตลิ่ง (ม.)","river_gid":139091,"river_name":"แม่น้ำชี"}</t>
  </si>
  <si>
    <t>THAIWATER_WL:824</t>
  </si>
  <si>
    <t>TPI003</t>
  </si>
  <si>
    <t>พุนพิน 3</t>
  </si>
  <si>
    <t>f254fb32-f50d-7508-87c4-ee17b18543ed</t>
  </si>
  <si>
    <t>โรงเรียนวัดสุขใจ</t>
  </si>
  <si>
    <t>https://maps.app.goo.gl/ieoU17oAmX71uCeB8</t>
  </si>
  <si>
    <t>{"id":1317594666,"waterlevel_datetime":"2026-10-03 15:10","waterlevel_m":null,"waterlevel_msl":"0.80","waterlevel_msl_previous":"0.77","flow_rate":null,"discharge":null,"storage_percent":"76.75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Basin"}},"station":{"id":824,"tele_station_name":{"en":"Tapi 3","th":"พุนพิน 3"},"tele_station_lat":8.986764,"tele_station_long":99.2113,"tele_station_oldcode":"TPI003","tele_station_type":"tele_waterlevel","left_bank":6.469,"right_bank":2.619,"min_bank":2.62,"ground_level":-5.203,"offset":null,"sub_basin_id":323,"agency_id":9,"geocode_id":7634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District"},"tumbon_code":"02","tumbon_name":{"th":"ท่าสะท้อน","en":"Tha Sathon"},"province_code":"84","province_name":{"th":"สุราษฎร์ธานี","en":"Surat Thani"}},"diff_wl_bank":"1.82","diff_wl_bank_text":"ต่ำกว่าตลิ่ง (ม.)","river_gid":216614,"river_name":"แม่น้ำตาปี"}</t>
  </si>
  <si>
    <t>THAIWATER_WL:192</t>
  </si>
  <si>
    <t>TON001</t>
  </si>
  <si>
    <t>ตาพระยา</t>
  </si>
  <si>
    <t>ห้วยยาง</t>
  </si>
  <si>
    <t>{"id":1317594664,"waterlevel_datetime":"2026-10-03 15:10","waterlevel_m":null,"waterlevel_msl":"58.18","waterlevel_msl_previous":"58.18","flow_rate":null,"discharge":null,"storage_percent":"76.51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Organization)","jp":""},"agency_shortname":{"th":"สสน.","en":"HII","jp":""}},"basin":{"id":17,"basin_code":16,"basin_name":{"th":"ลุ่มน้ำโตนเลสาบ","en":"Tonle Sap Basin"}},"station":{"id":192,"tele_station_name":{"en":"Ta Phraya","th":"ตาพระยา"},"tele_station_lat":14.051278,"tele_station_long":102.88541,"tele_station_oldcode":"TON001","tele_station_type":"tele_waterlevel","left_bank":59.0445,"right_bank":58.9445,"min_bank":58.94,"ground_level":55.69,"offset":null,"sub_basin_id":287,"agency_id":9,"geocode_id":1622,"hydro_id":null,"qmax":null,"is_key_station":false,"warning_level_m":null,"critical_level_m":null,"critical_level_msl":null},"geocode":{"area_code":"2","area_name":{"th":"ภาคกลาง","en":"Central"},"amphoe_code":"03","amphoe_name":{"th":"ตาพระยา","en":"Ta Phraya District"},"tumbon_code":"02","tumbon_name":{"th":"ทัพเสด็จ","en":"Thap Sadet"},"province_code":"27","province_name":{"th":"สระแก้ว","en":"Sa Kaeo"}},"diff_wl_bank":"0.76","diff_wl_bank_text":"ต่ำกว่าตลิ่ง (ม.)","river_gid":194623,"river_name":"ห้วยยาง"}</t>
  </si>
  <si>
    <t>THAIWATER_WL:1109513</t>
  </si>
  <si>
    <t>ONE024</t>
  </si>
  <si>
    <t>สะพานข้ามคลองบางม่วง</t>
  </si>
  <si>
    <t>ทะเลหลวง</t>
  </si>
  <si>
    <t>{"id":"f254fb32-f50d-7508-87c4-ee17b18543ed","district":"คลองสามวา","category":"ศูนย์พักพิงชั่วคราว","name":"โรงเรียนวัดสุขใจ","capacity":20,"occupied":0,"available":20,"unitType":"คน","status":"เปิดให้บริการ/ว่าง","routeDetails":"","link":"https://maps.app.goo.gl/ieoU17oAmX71uCeB8","additionalDetails":null,"createdAt":"2026-09-26T08:52:03.000Z","updatedAt":"2026-09-26T08:52:03.000Z"}</t>
  </si>
  <si>
    <t>https://www.google.com/maps/place/%E0%B9%82%E0%B8%A3%E0%B8%87%E0%B9%80%E0%B8%A3%E0%B8%B5%E0%B8%A2%E0%B8%99+%E0%B8%A7%E0%B8%B1%E0%B8%94%E0%B8%AA%E0%B8%B8%E0%B8%82%E0%B9%83%E0%B8%88/@13.8653625,100.7140857,7524m/data=!3m1!1e3!4m6!3m5!1s0x311d7bad08313d91:0x40584661c418975d!8m2!3d13.872037!4d100.7737308!16s%2Fg%2F1hc6t50bt?entry=tts&amp;g_ep=EgoyMDI2MDkyMy4wIPu8ASoASAFQAw%3D%3D&amp;skid=0b822272-dee2-4d9f-98a5-6667b850a7b4</t>
  </si>
  <si>
    <t>{"id":1317594479,"waterlevel_datetime":"2026-10-03 15:10","waterlevel_m":null,"waterlevel_msl":"0.19","waterlevel_msl_previous":"0.19","flow_rate":null,"discharge":null,"storage_percent":"76.48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Basin"}},"station":{"id":1109513,"tele_station_name":{"en":"Khlong Bang Muang Bridge","th":"สะพานข้ามคลองบางม่วง"},"tele_station_lat":7.365284,"tele_station_long":100.27959,"tele_station_oldcode":"ONE024","tele_station_type":"tele_waterlevel","left_bank":1.158,"right_bank":1.403,"min_bank":1.16,"ground_level":-2.958,"offset":null,"sub_basin_id":329,"agency_id":9,"geocode_id":8108,"hydro_id":null,"qmax":null,"is_key_station":false,"warning_level_m":null,"critical_level_m":null,"critical_level_msl":null},"geocode":{"area_code":"5","area_name":{"th":"ภาคใต้","en":"South"},"amphoe_code":"06","amphoe_name":{"th":"ปากพะยูน","en":"Pak Phayun District"},"tumbon_code":"05","tumbon_name":{"th":"ฝาละมี","en":"Fa Lami"},"province_code":"93","province_name":{"th":"พัทลุง","en":"Phatthalung"}},"diff_wl_bank":"0.97","diff_wl_bank_text":"ต่ำกว่าตลิ่ง (ม.)","river_gid":225564,"river_name":"ทะเลหลวง"}</t>
  </si>
  <si>
    <t>THAIWATER_WL:1109500</t>
  </si>
  <si>
    <t>ONE011</t>
  </si>
  <si>
    <t>ปตร.บ้านนาคู่-เหนือน้ำ</t>
  </si>
  <si>
    <t>{"id":1317594467,"waterlevel_datetime":"2026-10-03 15:10","waterlevel_m":null,"waterlevel_msl":"142.63","waterlevel_msl_previous":"142.63","flow_rate":null,"discharge":null,"storage_percent":"76.15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Basin"}},"station":{"id":1109500,"tele_station_name":{"en":"Upper Ban Na Khu Gate","th":"ปตร.บ้านนาคู่-เหนือน้ำ"},"tele_station_lat":16.962238,"tele_station_long":104.52524,"tele_station_oldcode":"ONE011","tele_station_type":"tele_waterlevel","left_bank":144.856,"right_bank":144.752,"min_bank":144.75,"ground_level":135.854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Phanom"}},"diff_wl_bank":"2.12","diff_wl_bank_text":"ต่ำกว่าตลิ่ง (ม.)","river_gid":124039,"river_name":"ลำน้ำกำ"}</t>
  </si>
  <si>
    <t>THAIWATER_WL:479236</t>
  </si>
  <si>
    <t>TBW028</t>
  </si>
  <si>
    <t>บ้านโพธิ์ชัยทอง</t>
  </si>
  <si>
    <t>ลำน้ำยาม</t>
  </si>
  <si>
    <t>3d1ea7e9-e598-ca78-9421-6d300eb2460a</t>
  </si>
  <si>
    <t>โรงเรียนวัดสุทธิสะอาด</t>
  </si>
  <si>
    <t>https://maps.app.goo.gl/1iF1TVgRTYhgp8gL6</t>
  </si>
  <si>
    <t>{"id":1317594630,"waterlevel_datetime":"2026-10-03 15:10","waterlevel_m":null,"waterlevel_msl":"148.68","waterlevel_msl_previous":"148.69","flow_rate":null,"discharge":null,"storage_percent":"76.14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Basin"}},"station":{"id":479236,"tele_station_name":{"en":"Songkhram 3","th":"บ้านโพธิ์ชัยทอง"},"tele_station_lat":17.59971,"tele_station_long":103.98087,"tele_station_oldcode":"TBW028","tele_station_type":"tele_waterlevel","left_bank":152.09,"right_bank":150.486,"min_bank":150.49,"ground_level":142.917,"offset":null,"sub_basin_id":63,"agency_id":9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Nakhon"}},"diff_wl_bank":"1.81","diff_wl_bank_text":"ต่ำกว่าตลิ่ง (ม.)","river_gid":113795,"river_name":"ลำน้ำยาม"}</t>
  </si>
  <si>
    <t>THAIWATER_WL:3441</t>
  </si>
  <si>
    <t>URTU09</t>
  </si>
  <si>
    <t>น้ำพรม อ.เกษตรสมบูรณ์</t>
  </si>
  <si>
    <t>น้ำพรม</t>
  </si>
  <si>
    <t>{"id":"3d1ea7e9-e598-ca78-9421-6d300eb2460a","district":"คลองสามวา","category":"ศูนย์พักพิงชั่วคราว","name":"โรงเรียนวัดสุทธิสะอาด","capacity":50,"occupied":0,"available":50,"unitType":"คน","status":"เปิดให้บริการ/ว่าง","routeDetails":"","link":"https://maps.app.goo.gl/1iF1TVgRTYhgp8gL6","additionalDetails":null,"createdAt":"2026-09-26T08:52:03.000Z","updatedAt":"2026-09-26T08:52:03.000Z"}</t>
  </si>
  <si>
    <t>https://www.google.com/maps/place/%E0%B9%82%E0%B8%A3%E0%B8%87%E0%B9%80%E0%B8%A3%E0%B8%B5%E0%B8%A2%E0%B8%99%E0%B8%A7%E0%B8%B1%E0%B8%94%E0%B8%AA%E0%B8%B8%E0%B8%97%E0%B8%98%E0%B8%B4%E0%B8%AA%E0%B8%B0%E0%B8%AD%E0%B8%B2%E0%B8%94/@13.8693612,100.7035554,3762m/data=!3m1!1e3!4m6!3m5!1s0x311d7b4725858b0d:0x2568d86f1ad808b6!8m2!3d13.877293!4d100.7324536!16s%2Fg%2F1hc3rq3lc?entry=tts&amp;g_ep=EgoyMDI2MDkyMy4wIPu8ASoASAFQAw%3D%3D&amp;skid=8288dd46-8e01-4037-b214-dbf15f90121a</t>
  </si>
  <si>
    <t>{"id":1317593671,"waterlevel_datetime":"2026-10-03 15:00","waterlevel_m":null,"waterlevel_msl":"224.53","waterlevel_msl_previous":"224.51","flow_rate":"3.54","discharge":"16.69","storage_percent":"76.02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Basin"}},"station":{"id":3441,"tele_station_name":{"th":"น้ำพรม อ.เกษตรสมบูรณ์"},"tele_station_lat":16.309406,"tele_station_long":101.971772,"tele_station_oldcode":"URTU09","tele_station_type":"tele_waterlevel","left_bank":225.386,"right_bank":226.548,"min_bank":225.39,"ground_level":221.824,"offset":null,"sub_basin_id":89,"agency_id":8,"geocode_id":2985,"hydro_id":null,"qmax":null,"is_key_station":false,"warning_level_m":null,"critical_level_m":null,"critical_level_msl":225.39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Yang"},"province_code":"36","province_name":{"th":"ชัยภูมิ","en":"Chaiyaphum"}},"diff_wl_bank":"0.85","diff_wl_bank_text":"ต่ำกว่าตลิ่ง (ม.)","river_gid":132312,"river_name":"น้ำพรม"}</t>
  </si>
  <si>
    <t>THAIWATER_WL:740742</t>
  </si>
  <si>
    <t>FOP041</t>
  </si>
  <si>
    <t>คลองสุหงาบารู หมู่ที่ 4</t>
  </si>
  <si>
    <t>คลองสุหงาบารู</t>
  </si>
  <si>
    <t>{"id":1317594039,"waterlevel_datetime":"2026-10-03 15:10","waterlevel_m":null,"waterlevel_msl":"2.09","waterlevel_msl_previous":"2.07","flow_rate":null,"discharge":null,"storage_percent":"75.84","sort_order":null,"station_type":"tele_waterlevel","situation_level":4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Basin"}},"station":{"id":740742,"tele_station_name":{"en":"Su Nga Ba Ru 4","th":"คลองสุหงาบารู หมู่ที่ 4"},"tele_station_lat":6.737094,"tele_station_long":101.27308,"tele_station_oldcode":"FOP041","tele_station_type":"tele_waterlevel","left_bank":6.764,"right_bank":7.063,"min_bank":6.76,"ground_level":-12.58,"offset":null,"sub_basin_id":336,"sponsor_by":"มูลนิธิอาสาเพื่อนพึ่ง (ภาฯ) ยามยาก สภากาชาดไทย","agency_id":91,"geocode_id":8251,"hydro_id":null,"qmax":null,"is_key_station":false,"warning_level_m":null,"critical_level_m":null,"critical_level_msl":null},"geocode":{"area_code":"5","area_name":{"th":"ภาคใต้","en":"South"},"amphoe_code":"10","amphoe_name":{"th":"ยะรัง","en":"Yarang District"},"tumbon_code":"09","tumbon_name":{"th":"คลองใหม่","en":"Khlong Mai"},"province_code":"94","province_name":{"th":"ปัตตานี","en":"Pattani"}},"diff_wl_bank":"4.67","diff_wl_bank_text":"ต่ำกว่าตลิ่ง (ม.)","river_gid":228805,"river_name":"คลองสุหงาบารู"}</t>
  </si>
  <si>
    <t>THAIWATER_WL:1373278</t>
  </si>
  <si>
    <t>HDA012</t>
  </si>
  <si>
    <t>สะพานแมน้ำปาสัก บ้านนาโฉง</t>
  </si>
  <si>
    <t>901e730d-dba4-0046-4e83-88c2a6a76442</t>
  </si>
  <si>
    <t>โรงเรียนวัดแป้นทอง</t>
  </si>
  <si>
    <t>https://maps.app.goo.gl/yMsbGVL2nDX6GMBF6</t>
  </si>
  <si>
    <t>2026-09-26T14:00:42.794Z</t>
  </si>
  <si>
    <t>{"id":1317594341,"waterlevel_datetime":"2026-10-03 15:10","waterlevel_m":null,"waterlevel_msl":"9.17","waterlevel_msl_previous":"9.14","flow_rate":null,"discharge":"772.79","storage_percent":"75.62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Basin"}},"station":{"id":1373278,"tele_station_name":{"en":"Managen Nam Nam Bridge, Ban Na Chong","th":"สะพานแมน้ำปาสัก บ้านนาโฉง"},"tele_station_lat":14.546983,"tele_station_long":100.88976,"tele_station_oldcode":"HDA012","tele_station_type":"tele_waterlevel","left_bank":11.422,"right_bank":11.843,"min_bank":11.42,"ground_level":2.185,"offset":null,"sub_basin_id":257,"agency_id":9,"geocode_id":951,"hydro_id":null,"qmax":null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District"},"tumbon_code":"01","tumbon_name":{"th":"ปากเพรียว","en":"Pak Phriao"},"province_code":"19","province_name":{"th":"สระบุรี","en":"Saraburi"}},"diff_wl_bank":"2.25","diff_wl_bank_text":"ต่ำกว่าตลิ่ง (ม.)"}</t>
  </si>
  <si>
    <t>THAIWATER_WL:2661</t>
  </si>
  <si>
    <t>{"id":"901e730d-dba4-0046-4e83-88c2a6a76442","district":"คลองสามวา","category":"ศูนย์พักพิงชั่วคราว","name":"โรงเรียนวัดแป้นทอง","capacity":50,"occupied":25,"available":25,"unitType":"คน","status":"เปิดให้บริการ/ว่าง","routeDetails":"","link":"https://maps.app.goo.gl/yMsbGVL2nDX6GMBF6","additionalDetails":null,"createdAt":"2026-09-26T08:52:03.000Z","updatedAt":"2026-09-26T14:00:42.794Z"}</t>
  </si>
  <si>
    <t>Z.58</t>
  </si>
  <si>
    <t>บ้านเขาสมิง</t>
  </si>
  <si>
    <t>https://www.google.com/maps/place/%E0%B9%82%E0%B8%A3%E0%B8%87%E0%B9%80%E0%B8%A3%E0%B8%B5%E0%B8%A2%E0%B8%99%E0%B8%A7%E0%B8%B1%E0%B8%94%E0%B9%81%E0%B8%9B%E0%B9%89%E0%B8%99%E0%B8%97%E0%B8%AD%E0%B8%87+%E0%B8%AA%E0%B8%B2%E0%B8%A1%E0%B8%A7%E0%B8%B2%E0%B8%A7%E0%B8%B4%E0%B8%97%E0%B8%A2%E0%B8%B2/@13.8738472,100.6899614,3762m/data=!3m1!1e3!4m6!3m5!1s0x311d7ca034c91bbf:0xef674db09a4a859f!8m2!3d13.8861952!4d100.7086731!16s%2Fg%2F1xpwg7g5?entry=tts&amp;g_ep=EgoyMDI2MDkyMy4wIPu8ASoASAFQAw%3D%3D&amp;skid=1996dd92-2b80-4b59-8b06-d56e17120000</t>
  </si>
  <si>
    <t>{"id":1317582852,"waterlevel_datetime":"2026-10-03 14:00","waterlevel_m":null,"waterlevel_msl":"2.22","waterlevel_msl_previous":"2.21","flow_rate":null,"discharge":null,"storage_percent":"75.46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2661,"tele_station_name":{"th":"บ้านเขาสมิง"},"tele_station_lat":12.35731,"tele_station_long":102.437897,"tele_station_oldcode":"Z.58","tele_station_type":"tele_waterlevel","left_bank":4.5,"right_bank":4.5,"min_bank":4.5,"ground_level":-4.79,"offset":0,"sub_basin_id":298,"agency_id":12,"geocode_id":1353,"hydro_id":6,"qmax":null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District"},"tumbon_code":"01","tumbon_name":{"th":"เขาสมิง","en":"Khao Saming"},"province_code":"23","province_name":{"th":"ตราด","en":"Trat"}},"diff_wl_bank":"2.28","diff_wl_bank_text":"ต่ำกว่าตลิ่ง (ม.)","river_gid":206697,"river_name":"แม่น้ำเขาสมิง"}</t>
  </si>
  <si>
    <t>THAIWATER_WL:422</t>
  </si>
  <si>
    <t>CHM007</t>
  </si>
  <si>
    <t>ฝาง</t>
  </si>
  <si>
    <t>น้ำฝาง</t>
  </si>
  <si>
    <t>{"id":1317594266,"waterlevel_datetime":"2026-10-03 15:10","waterlevel_m":null,"waterlevel_msl":"509.60","waterlevel_msl_previous":"509.60","flow_rate":null,"discharge":null,"storage_percent":"75.29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Basin"}},"station":{"id":422,"tele_station_name":{"en":"Chiang Mai 7","th":"ฝาง"},"tele_station_lat":19.85606,"tele_station_long":99.19549,"tele_station_oldcode":"CHM007","tele_station_type":"tele_waterlevel","left_bank":510.505,"right_bank":510.554,"min_bank":510.51,"ground_level":506.838,"offset":null,"sub_basin_id":25,"agency_id":9,"geocode_id":4785,"hydro_id":null,"qmax":null,"is_key_station":false,"warning_level_m":null,"critical_level_m":null,"critical_level_msl":null},"geocode":{"area_code":"3","area_name":{"th":"ภาคเหนือ","en":"North"},"amphoe_code":"09","amphoe_name":{"th":"ฝาง","en":"Fang District"},"tumbon_code":"05","tumbon_name":{"th":"แม่สูน","en":"Mae Sun"},"province_code":"50","province_name":{"th":"เชียงใหม่","en":"Chiang Mai"}},"diff_wl_bank":"0.91","diff_wl_bank_text":"ต่ำกว่าตลิ่ง (ม.)","river_gid":5328,"river_name":"น้ำฝาง"}</t>
  </si>
  <si>
    <t>THAIWATER_WL:1109508</t>
  </si>
  <si>
    <t>ONE019</t>
  </si>
  <si>
    <t>ปตร.บ้านตับเต่า-เหนือน้ำ</t>
  </si>
  <si>
    <t>ลำน้ำบัง</t>
  </si>
  <si>
    <t>{"id":1317594474,"waterlevel_datetime":"2026-10-03 15:10","waterlevel_m":null,"waterlevel_msl":"147.39","waterlevel_msl_previous":"147.39","flow_rate":null,"discharge":null,"storage_percent":"75.10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Basin"}},"station":{"id":1109508,"tele_station_name":{"en":"Upper Ban Tap Tao Gate","th":"ปตร.บ้านตับเต่า-เหนือน้ำ"},"tele_station_lat":17.115396,"tele_station_long":104.53788,"tele_station_oldcode":"ONE019","tele_station_type":"tele_waterlevel","left_bank":149.357,"right_bank":149.909,"min_bank":149.36,"ground_level":141.457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Phanom"}},"diff_wl_bank":"1.97","diff_wl_bank_text":"ต่ำกว่าตลิ่ง (ม.)","river_gid":121975,"river_name":"ลำน้ำบัง"}</t>
  </si>
  <si>
    <t>THAIWATER_WL:683</t>
  </si>
  <si>
    <t>NAN007</t>
  </si>
  <si>
    <t>ตะพานหิน</t>
  </si>
  <si>
    <t>2f076880-6bfd-15f2-23e2-aca33de86fde</t>
  </si>
  <si>
    <t>โรงเรียนสุเหร่าคลองสี่</t>
  </si>
  <si>
    <t>https://maps.app.goo.gl/aEduGCLVwzfCwviFA</t>
  </si>
  <si>
    <t>{"id":1317594444,"waterlevel_datetime":"2026-10-03 15:10","waterlevel_m":null,"waterlevel_msl":"31.04","waterlevel_msl_previous":"31.04","flow_rate":null,"discharge":null,"storage_percent":"74.99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Basin"}},"station":{"id":683,"tele_station_name":{"en":"Nan 7","th":"ตะพานหิน"},"tele_station_lat":16.27034,"tele_station_long":100.41396,"tele_station_oldcode":"NAN007","tele_station_type":"tele_waterlevel","left_bank":34.849,"right_bank":34.162,"min_bank":34.16,"ground_level":21.693,"offset":null,"sub_basin_id":238,"agency_id":9,"geocode_id":6269,"hydro_id":null,"qmax":null,"is_key_station":false,"warning_level_m":null,"critical_level_m":null,"critical_level_msl":null},"geocode":{"area_code":"3","area_name":{"th":"ภาคเหนือ","en":"North"},"amphoe_code":"04","amphoe_name":{"th":"ตะพานหิน","en":"Taphan Hin District"},"tumbon_code":"02","tumbon_name":{"th":"งิ้วราย","en":"Ngio Rai"},"province_code":"66","province_name":{"th":"พิจิตร","en":"Phichit"}},"diff_wl_bank":"3.12","diff_wl_bank_text":"ต่ำกว่าตลิ่ง (ม.)","river_gid":98975,"river_name":"แม่น้ำน่าน"}</t>
  </si>
  <si>
    <t>THAIWATER_WL:2662</t>
  </si>
  <si>
    <t>Z.57</t>
  </si>
  <si>
    <t>สะพานวัดจันทนาราม</t>
  </si>
  <si>
    <t>คลองจันทบุรี</t>
  </si>
  <si>
    <t>{"id":"2f076880-6bfd-15f2-23e2-aca33de86fde","district":"คลองสามวา","category":"ศูนย์พักพิงชั่วคราว","name":"โรงเรียนสุเหร่าคลองสี่","capacity":15,"occupied":0,"available":15,"unitType":"คน","status":"เปิดให้บริการ/ว่าง","routeDetails":"","link":"https://maps.app.goo.gl/aEduGCLVwzfCwviFA","additionalDetails":null,"createdAt":"2026-09-26T08:52:03.000Z","updatedAt":"2026-09-26T08:52:03.000Z"}</t>
  </si>
  <si>
    <t>https://www.google.com/maps/place/%E0%B9%82%E0%B8%A3%E0%B8%87%E0%B9%80%E0%B8%A3%E0%B8%B5%E0%B8%A2%E0%B8%99%E0%B8%AA%E0%B8%B8%E0%B9%80%E0%B8%AB%E0%B8%A3%E0%B9%88%E0%B8%B2%E0%B8%84%E0%B8%A5%E0%B8%AD%E0%B8%87%E0%B8%AA%E0%B8%B5%E0%B9%88/@13.8882693,100.707312,7523m/data=!3m1!1e3!4m6!3m5!1s0x311d7a573c6e4549:0x83fcd1ec8da7a81b!8m2!3d13.912987!4d100.770257!16s%2Fg%2F1hc3d2qz2?entry=tts&amp;g_ep=EgoyMDI2MDkyMy4wIPu8ASoASAFQAw%3D%3D&amp;skid=247d6661-03ad-4690-98c9-7b28d134c0d0</t>
  </si>
  <si>
    <t>{"id":1317582851,"waterlevel_datetime":"2026-10-03 14:00","waterlevel_m":null,"waterlevel_msl":"1.34","waterlevel_msl_previous":"1.26","flow_rate":null,"discharge":null,"storage_percent":"74.85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2662,"tele_station_name":{"th":"สะพานวัดจันทนาราม"},"tele_station_lat":12.61359,"tele_station_long":102.114113,"tele_station_oldcode":"Z.57","tele_station_type":"tele_waterlevel","left_bank":3.44,"right_bank":3.44,"min_bank":3.44,"ground_level":-4.91,"offset":0,"sub_basin_id":296,"agency_id":12,"geocode_id":1253,"hydro_id":6,"qmax":464.799988,"is_key_station":true,"warning_level_m":null,"critical_level_m":3.44,"critical_level_msl":3.44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District"},"tumbon_code":"07","tumbon_name":{"th":"จันทนิมิต","en":"Chanthanimit"},"province_code":"22","province_name":{"th":"จันทบุรี","en":"Chanthaburi"}},"diff_wl_bank":"2.10","diff_wl_bank_text":"ต่ำกว่าตลิ่ง (ม.)","river_gid":205031,"river_name":"คลองจันทบุรี"}</t>
  </si>
  <si>
    <t>THAIWATER_WL:505025</t>
  </si>
  <si>
    <t>K.3A</t>
  </si>
  <si>
    <t>สะพานข้ามแม่น้ำแม่กลองหน้าศาลากลางจ.กาญจนบุรี</t>
  </si>
  <si>
    <t>{"id":1317575391,"waterlevel_datetime":"2026-10-03 14:00","waterlevel_m":null,"waterlevel_msl":"22.67","waterlevel_msl_previous":"22.64","flow_rate":null,"discharge":null,"storage_percent":"74.82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505025,"tele_station_name":{"th":"สะพานข้ามแม่น้ำแม่กลองหน้าศาลากลางจ.กาญจนบุรี"},"tele_station_lat":13.99597,"tele_station_long":99.538818,"tele_station_oldcode":"K.3A","tele_station_type":"tele_waterlevel","left_bank":39.199,"right_bank":41.129000000000005,"min_bank":25.8,"ground_level":13.369,"offset":14,"sub_basin_id":276,"agency_id":12,"geocode_id":6585,"hydro_id":7,"qmax":null,"is_key_station":true,"warning_level_m":null,"critical_level_m":3.41,"critical_level_msl":24.07},"geocode":{"area_code":"2","area_name":{"th":"ภาคกลาง","en":"Central"},"amphoe_code":"01","amphoe_name":{"th":"เมืองกาญจนบุรี","en":"Mueang Kanchanaburi District"},"tumbon_code":"03","tumbon_name":{"th":"ปากแพรก","en":"Pak Phraek"},"province_code":"71","province_name":{"th":"กาญจนบุรี","en":"Kanchanaburi"}},"diff_wl_bank":"3.13","diff_wl_bank_text":"ต่ำกว่าตลิ่ง (ม.)","river_gid":185386,"river_name":"แม่น้ำแม่กลอง"}</t>
  </si>
  <si>
    <t>THAIWATER_WL:1106451</t>
  </si>
  <si>
    <t>TCP005</t>
  </si>
  <si>
    <t>ปตร.บางแก้ว (ทุ่งผักไห่)</t>
  </si>
  <si>
    <t>{"id":1317594639,"waterlevel_datetime":"2026-10-03 15:10","waterlevel_m":null,"waterlevel_msl":"3.74","waterlevel_msl_previous":"3.75","flow_rate":null,"discharge":null,"storage_percent":"74.80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Basin"}},"station":{"id":1106451,"tele_station_name":{"en":"BangKaeo","th":"ปตร.บางแก้ว (ทุ่งผักไห่)"},"tele_station_lat":14.436604,"tele_station_long":100.37149,"tele_station_oldcode":"TCP005","tele_station_type":"tele_waterlevel","left_bank":5,"right_bank":5,"min_bank":5,"ground_level":0,"offset":null,"sub_basin_id":240,"agency_id":9,"geocode_id":524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District"},"tumbon_code":"05","tumbon_name":{"th":"ตาลาน","en":"Ta Lan"},"province_code":"14","province_name":{"th":"พระนครศรีอยุธยา","en":"Phra Nakhon Si Ayutthaya"}},"diff_wl_bank":"1.26","diff_wl_bank_text":"ต่ำกว่าตลิ่ง (ม.)","river_gid":181736,"river_name":"แม่น้ำน้อย"}</t>
  </si>
  <si>
    <t>THAIWATER_WL:1109506</t>
  </si>
  <si>
    <t>ONE017</t>
  </si>
  <si>
    <t>ปตร.บ้านนาบัว-เหนือน้ำ</t>
  </si>
  <si>
    <t>fd510f89-b391-866b-cb76-901208a3ff3d</t>
  </si>
  <si>
    <t>โรงเรียนสุเหร่าคลองหนึ่ง</t>
  </si>
  <si>
    <t>https://maps.app.goo.gl/jk5tBn8iGYDwRL8WA</t>
  </si>
  <si>
    <t>{"id":1317594472,"waterlevel_datetime":"2026-10-03 15:10","waterlevel_m":null,"waterlevel_msl":"143.14","waterlevel_msl_previous":"143.15","flow_rate":null,"discharge":null,"storage_percent":"74.78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Basin"}},"station":{"id":1109506,"tele_station_name":{"en":"Upper Na Bua Gate","th":"ปตร.บ้านนาบัว-เหนือน้ำ"},"tele_station_lat":17.065418,"tele_station_long":104.57897,"tele_station_oldcode":"ONE017","tele_station_type":"tele_waterlevel","left_bank":145.063,"right_bank":144.884,"min_bank":144.88,"ground_level":137.968,"offset":null,"sub_basin_id":70,"agency_id":9,"geocode_id":4578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District"},"tumbon_code":"05","tumbon_name":{"th":"โคกหินแฮ่","en":"Khok Hin Hae"},"province_code":"48","province_name":{"th":"นครพนม","en":"Nakhon Phanom"}},"diff_wl_bank":"1.74","diff_wl_bank_text":"ต่ำกว่าตลิ่ง (ม.)","river_gid":122604,"river_name":"ลำน้ำกำ"}</t>
  </si>
  <si>
    <t>THAIWATER_WL:1107582</t>
  </si>
  <si>
    <t>TCP012</t>
  </si>
  <si>
    <t>เสนา (ทุ่งบางบาล-บ้านแพน)</t>
  </si>
  <si>
    <t>2026-09-26T14:00:58.031Z</t>
  </si>
  <si>
    <t>{"id":1317594646,"waterlevel_datetime":"2026-10-03 15:10","waterlevel_m":null,"waterlevel_msl":"2.24","waterlevel_msl_previous":"2.23","flow_rate":null,"discharge":null,"storage_percent":"74.67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Basin"}},"station":{"id":1107582,"tele_station_name":{"en":"Sena","th":"เสนา (ทุ่งบางบาล-บ้านแพน)"},"tele_station_lat":14.327773,"tele_station_long":100.405464,"tele_station_oldcode":"TCP012","tele_station_type":"tele_waterlevel","left_bank":3,"right_bank":3,"min_bank":3,"ground_level":0,"offset":null,"sub_basin_id":240,"agency_id":9,"geocode_id":565,"hydro_id":null,"qmax":null,"is_key_station":false,"warning_level_m":null,"critical_level_m":null,"critical_level_msl":null},"geocode":{"area_code":"2","area_name":{"th":"ภาคกลาง","en":"Central"},"amphoe_code":"12","amphoe_name":{"th":"เสนา","en":"Sena District"},"tumbon_code":"01","tumbon_name":{"th":"เสนา","en":"Sena"},"province_code":"14","province_name":{"th":"พระนครศรีอยุธยา","en":"Phra Nakhon Si Ayutthaya"}},"diff_wl_bank":"0.76","diff_wl_bank_text":"ต่ำกว่าตลิ่ง (ม.)","river_gid":182773,"river_name":"แม่น้ำน้อย"}</t>
  </si>
  <si>
    <t>THAIWATER_WL:2782</t>
  </si>
  <si>
    <t>E.20A</t>
  </si>
  <si>
    <t>บ้านฟ้าหยาด</t>
  </si>
  <si>
    <t>{"id":"fd510f89-b391-866b-cb76-901208a3ff3d","district":"คลองสามวา","category":"ศูนย์พักพิงชั่วคราว","name":"โรงเรียนสุเหร่าคลองหนึ่ง","capacity":30,"occupied":31,"available":0,"unitType":"คน","status":"เต็ม","routeDetails":"","link":"https://maps.app.goo.gl/jk5tBn8iGYDwRL8WA","additionalDetails":null,"createdAt":"2026-09-26T08:52:03.000Z","updatedAt":"2026-09-26T14:00:58.031Z"}</t>
  </si>
  <si>
    <t>https://www.google.com/maps/place/%E0%B9%82%E0%B8%A3%E0%B8%87%E0%B9%80%E0%B8%A3%E0%B8%B5%E0%B8%A2%E0%B8%99%E0%B8%AA%E0%B8%B8%E0%B9%80%E0%B8%AB%E0%B8%A3%E0%B9%88%E0%B8%B2%E0%B8%84%E0%B8%A5%E0%B8%AD%E0%B8%87%E0%B8%AB%E0%B8%99%E0%B8%B6%E0%B9%88%E0%B8%87+(%E0%B8%A1%E0%B8%B2%E0%B8%99%E0%B8%B0%E0%B8%A3%E0%B8%B2%E0%B8%A9%E0%B8%8E%E0%B8%A3%E0%B9%8C%E0%B8%9A%E0%B8%B3%E0%B8%A3%E0%B8%B8%E0%B8%87)/@13.8503703,100.691893,3762m/data=!3m1!1e3!4m6!3m5!1s0x311d64a012b57327:0xe435c0f47e47a83b!8m2!3d13.8424341!4d100.7111727!16s%2Fg%2F1pzprzj8f?entry=tts&amp;g_ep=EgoyMDI2MDkyMy4wIPu8ASoASAFQAw%3D%3D&amp;skid=560b7687-8931-41b4-8adb-6b21f7e78df0</t>
  </si>
  <si>
    <t>{"id":1317573781,"waterlevel_datetime":"2026-10-03 14:00","waterlevel_m":null,"waterlevel_msl":"118.88","waterlevel_msl_previous":"118.91","flow_rate":null,"discharge":"548.20","storage_percent":"74.47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2782,"tele_station_name":{"th":"บ้านฟ้าหยาด"},"tele_station_lat":15.52481,"tele_station_long":104.249657,"tele_station_oldcode":"E.20A","tele_station_type":"tele_waterlevel","left_bank":239.32299999999998,"right_bank":239.33100000000002,"min_bank":122,"ground_level":109.78,"offset":112,"sub_basin_id":102,"agency_id":12,"geocode_id":2915,"hydro_id":3,"qmax":1100,"is_key_station":true,"warning_level_m":null,"critical_level_m":10,"critical_level_msl":121.98},"geocode":{"area_code":"4","area_name":{"th":"ภาคตะวันออกเฉียงเหนือ","en":"Northeast"},"amphoe_code":"06","amphoe_name":{"th":"มหาชนะชัย","en":"Maha Chana Chai District"},"tumbon_code":"01","tumbon_name":{"th":"ฟ้าหยาด","en":"Fa Yat"},"province_code":"35","province_name":{"th":"ยโสธร","en":"Yasothon"}},"diff_wl_bank":"3.12","diff_wl_bank_text":"ต่ำกว่าตลิ่ง (ม.)","river_gid":143208,"river_name":"แม่น้ำชี"}</t>
  </si>
  <si>
    <t>THAIWATER_WL:700555</t>
  </si>
  <si>
    <t>MKSND05</t>
  </si>
  <si>
    <t>วัดหนองปรือ</t>
  </si>
  <si>
    <t>{"id":1317593141,"waterlevel_datetime":"2026-10-03 15:00","waterlevel_m":null,"waterlevel_msl":"128.87","waterlevel_msl_previous":"128.87","flow_rate":null,"discharge":"11.95","storage_percent":"74.39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700555,"tele_station_name":{"th":"วัดหนองปรือ"},"tele_station_lat":14.609306,"tele_station_long":99.457694,"tele_station_oldcode":"MKSND05","tele_station_type":"tele_waterlevel","left_bank":131.89,"right_bank":130.18,"min_bank":130.18,"ground_level":125.06,"offset":null,"sub_basin_id":267,"agency_id":8,"geocode_id":6685,"hydro_id":null,"qmax":null,"is_key_station":false,"warning_level_m":null,"critical_level_m":null,"critical_level_msl":129.68},"geocode":{"area_code":"2","area_name":{"th":"ภาคกลาง","en":"Central"},"amphoe_code":"12","amphoe_name":{"th":"หนองปรือ","en":"Nong Prue District"},"tumbon_code":"01","tumbon_name":{"th":"หนองปรือ","en":"Nong Prue"},"province_code":"71","province_name":{"th":"กาญจนบุรี","en":"Kanchanaburi"}},"diff_wl_bank":"1.31","diff_wl_bank_text":"ต่ำกว่าตลิ่ง (ม.)","river_gid":180728,"river_name":"ลำตะเพิน"}</t>
  </si>
  <si>
    <t>THAIWATER_WL:2725</t>
  </si>
  <si>
    <t>M.2A</t>
  </si>
  <si>
    <t>บ้านด่านกะตา</t>
  </si>
  <si>
    <t>{"id":1317571350,"waterlevel_datetime":"2026-10-03 14:00","waterlevel_m":null,"waterlevel_msl":"165.58","waterlevel_msl_previous":"165.59","flow_rate":null,"discharge":"90.40","storage_percent":"74.30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2725,"tele_station_name":{"th":"บ้านด่านกะตา"},"tele_station_lat":14.96803,"tele_station_long":102.237831,"tele_station_oldcode":"M.2A","tele_station_type":"tele_waterlevel","left_bank":330.015,"right_bank":330.023,"min_bank":167.7,"ground_level":159.45,"offset":161,"sub_basin_id":107,"agency_id":12,"geocode_id":1992,"hydro_id":4,"qmax":232,"is_key_station":false,"warning_level_m":null,"critical_level_m":null,"critical_level_msl":null},"geocode":{"area_code":"4","area_name":{"th":"ภาคตะวันออกเฉียงเหนือ","en":"Northeast"},"amphoe_code":"32","amphoe_name":{"th":"เฉลิมพระเกียรติ","en":"Chaloem Phra Kiat District"},"tumbon_code":"05","tumbon_name":{"th":"หนองยาง","en":"Nong Yang"},"province_code":"30","province_name":{"th":"นครราชสีมา","en":"Nakhon Ratchasima"}},"diff_wl_bank":"2.12","diff_wl_bank_text":"ต่ำกว่าตลิ่ง (ม.)","river_gid":149585,"river_name":"แม่น้ำมูล"}</t>
  </si>
  <si>
    <t>THAIWATER_WL:645</t>
  </si>
  <si>
    <t>YOM007</t>
  </si>
  <si>
    <t>กงไกรลาศ</t>
  </si>
  <si>
    <t>{"id":1317594708,"waterlevel_datetime":"2026-10-03 15:10","waterlevel_m":null,"waterlevel_msl":"41.91","waterlevel_msl_previous":"41.89","flow_rate":null,"discharge":null,"storage_percent":"74.26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Basin"}},"station":{"id":645,"tele_station_name":{"en":"Yom 7","th":"กงไกรลาศ"},"tele_station_lat":16.92732,"tele_station_long":99.95933,"tele_station_oldcode":"YOM007","tele_station_type":"tele_waterlevel","left_bank":45.385,"right_bank":44.87,"min_bank":44.87,"ground_level":33.37,"offset":null,"sub_basin_id":213,"agency_id":9,"geocode_id":6068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District"},"tumbon_code":"01","tumbon_name":{"th":"กง","en":"Kong"},"province_code":"64","province_name":{"th":"สุโขทัย","en":"Sukhothai"}},"diff_wl_bank":"2.96","diff_wl_bank_text":"ต่ำกว่าตลิ่ง (ม.)","river_gid":90623,"river_name":"แม่น้ำยม"}</t>
  </si>
  <si>
    <t>THAIWATER_WL:1106450</t>
  </si>
  <si>
    <t>TCP004</t>
  </si>
  <si>
    <t>ปตร.ลาดชิด (ทุ่งผักไห่)</t>
  </si>
  <si>
    <t>ลำรางยายสุข</t>
  </si>
  <si>
    <t>cc3aabaa-4bbe-ec5f-e9d0-806cb3e4963f</t>
  </si>
  <si>
    <t>โรงเรียนสุเหร่าสามวา</t>
  </si>
  <si>
    <t>https://maps.app.goo.gl/twPo7QmdoBKLcEoA7</t>
  </si>
  <si>
    <t>{"id":1317594638,"waterlevel_datetime":"2026-10-03 15:10","waterlevel_m":null,"waterlevel_msl":"3.70","waterlevel_msl_previous":"3.68","flow_rate":null,"discharge":null,"storage_percent":"74.00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Basin"}},"station":{"id":1106450,"tele_station_name":{"en":"Lat Chit","th":"ปตร.ลาดชิด (ทุ่งผักไห่)"},"tele_station_lat":14.44056,"tele_station_long":100.35738,"tele_station_oldcode":"TCP004","tele_station_type":"tele_waterlevel","left_bank":5,"right_bank":5,"min_bank":5,"ground_level":0,"offset":null,"sub_basin_id":240,"agency_id":9,"geocode_id":531,"hydro_id":null,"qmax":null,"is_key_station":false,"warning_level_m":null,"critical_level_m":null,"critical_level_msl":null},"geocode":{"area_code":"2","area_name":{"th":"ภาคกลาง","en":"Central"},"amphoe_code":"08","amphoe_name":{"th":"ผักไห่","en":"Phak Hai District"},"tumbon_code":"12","tumbon_name":{"th":"จักราช","en":"Chakkarat"},"province_code":"14","province_name":{"th":"พระนครศรีอยุธยา","en":"Phra Nakhon Si Ayutthaya"}},"diff_wl_bank":"1.30","diff_wl_bank_text":"ต่ำกว่าตลิ่ง (ม.)","river_gid":181861,"river_name":"ลำรางยายสุข"}</t>
  </si>
  <si>
    <t>THAIWATER_WL:479241</t>
  </si>
  <si>
    <t>TBW033</t>
  </si>
  <si>
    <t>ลำเซบาย</t>
  </si>
  <si>
    <t>{"id":"cc3aabaa-4bbe-ec5f-e9d0-806cb3e4963f","district":"คลองสามวา","category":"ศูนย์พักพิงชั่วคราว","name":"โรงเรียนสุเหร่าสามวา","capacity":100,"occupied":4,"available":96,"unitType":"คน","status":"เปิดให้บริการ/ว่าง","routeDetails":"","link":"https://maps.app.goo.gl/twPo7QmdoBKLcEoA7","additionalDetails":null,"createdAt":"2026-09-26T08:52:03.000Z","updatedAt":"2026-09-26T08:52:03.000Z"}</t>
  </si>
  <si>
    <t>{"id":1317594633,"waterlevel_datetime":"2026-10-03 15:10","waterlevel_m":null,"waterlevel_msl":"143.52","waterlevel_msl_previous":"143.52","flow_rate":null,"discharge":null,"storage_percent":"73.99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Basin"}},"station":{"id":479241,"tele_station_name":{"en":"Yasothon 1","th":"ลำเซบาย"},"tele_station_lat":16.195435,"tele_station_long":104.52569,"tele_station_oldcode":"TBW033","tele_station_type":"tele_waterlevel","left_bank":146.637,"right_bank":144.663,"min_bank":144.66,"ground_level":140.269,"offset":null,"sub_basin_id":144,"agency_id":9,"geocode_id":2932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เลิงนกทา","en":"Loeng Nok Tha District"},"tumbon_code":"03","tumbon_name":{"th":"สวาท","en":"Sawat"},"province_code":"35","province_name":{"th":"ยโสธร","en":"Yasothon"}},"diff_wl_bank":"1.14","diff_wl_bank_text":"ต่ำกว่าตลิ่ง (ม.)","river_gid":132826,"river_name":"ลำเซบาย"}</t>
  </si>
  <si>
    <t>THAIWATER_WL:2686</t>
  </si>
  <si>
    <t>K.12</t>
  </si>
  <si>
    <t>https://www.google.com/maps/place/%E0%B9%82%E0%B8%A3%E0%B8%87%E0%B9%80%E0%B8%A3%E0%B8%B5%E0%B8%A2%E0%B8%99+%E0%B8%AA%E0%B8%B8%E0%B9%80%E0%B8%AB%E0%B8%A3%E0%B9%88%E0%B8%B2+%E0%B8%AA%E0%B8%B2%E0%B8%A1%E0%B8%A7%E0%B8%B2/@13.8917634,100.6752495,7523m/data=!3m1!1e3!4m6!3m5!1s0x311d7b75ca23ebab:0xd39b39273fb09350!8m2!3d13.9064317!4d100.7268938!16s%2Fg%2F1tdql386?entry=tts&amp;g_ep=EgoyMDI2MDkyMy4wIPu8ASoASAFQAw%3D%3D&amp;skid=39447780-c4f3-455f-8c5f-cf8c4437758e</t>
  </si>
  <si>
    <t>บ้านทุ่งนานางหรอก</t>
  </si>
  <si>
    <t>{"id":1317575394,"waterlevel_datetime":"2026-10-03 14:00","waterlevel_m":null,"waterlevel_msl":"44.12","waterlevel_msl_previous":"44.18","flow_rate":null,"discharge":"115.00","storage_percent":"73.63","sort_order":null,"station_type":"tele_waterlevel","situation_level":4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2686,"tele_station_name":{"th":"บ้านทุ่งนานางหรอก"},"tele_station_lat":14.17522,"tele_station_long":99.434067,"tele_station_oldcode":"K.12","tele_station_type":"tele_waterlevel","left_bank":88.358001,"right_bank":86.668001,"min_bank":45.8,"ground_level":39.43,"offset":39.700001,"sub_basin_id":267,"agency_id":12,"geocode_id":6589,"hydro_id":7,"qmax":230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District"},"tumbon_code":"07","tumbon_name":{"th":"ลาดหญ้า","en":"Lat Ya"},"province_code":"71","province_name":{"th":"กาญจนบุรี","en":"Kanchanaburi"}},"diff_wl_bank":"1.68","diff_wl_bank_text":"ต่ำกว่าตลิ่ง (ม.)","river_gid":184230,"river_name":"ลำตะเพิน"}</t>
  </si>
  <si>
    <t>THAIWATER_WL:2731</t>
  </si>
  <si>
    <t>M.190</t>
  </si>
  <si>
    <t>บ้านเขวา</t>
  </si>
  <si>
    <t>{"id":1317571367,"waterlevel_datetime":"2026-10-03 14:00","waterlevel_m":null,"waterlevel_msl":"125.56","waterlevel_msl_previous":"125.55","flow_rate":null,"discharge":"94.00","storage_percent":"73.44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2731,"tele_station_name":{"th":"บ้านเขวา"},"tele_station_lat":15.01052,"tele_station_long":104.128448,"tele_station_oldcode":"M.190","tele_station_type":"tele_waterlevel","left_bank":249.505997,"right_bank":249.556997,"min_bank":127.3,"ground_level":120.75,"offset":119.699997,"sub_basin_id":137,"agency_id":12,"geocode_id":2521,"hydro_id":4,"qmax":219,"is_key_station":false,"warning_level_m":null,"critical_level_m":null,"critical_level_msl":null},"geocode":{"area_code":"4","area_name":{"th":"ภาคตะวันออกเฉียงเหนือ","en":"Northeast"},"amphoe_code":"10","amphoe_name":{"th":"อุทุมพรพิสัย","en":"Uthumphon Phisai District"},"tumbon_code":"04","tumbon_name":{"th":"ทุ่งไชย","en":"Thung Chai"},"province_code":"33","province_name":{"th":"ศรีสะเกษ","en":"Si Sa Ket"}},"diff_wl_bank":"1.74","diff_wl_bank_text":"ต่ำกว่าตลิ่ง (ม.)","river_gid":148666,"river_name":"ห้วยสำราญ"}</t>
  </si>
  <si>
    <t>THAIWATER_WL:11</t>
  </si>
  <si>
    <t>BKK001</t>
  </si>
  <si>
    <t>คลองลาดพร้าว ท้ายปตร.คลอง2</t>
  </si>
  <si>
    <t>{"id":1317039668,"waterlevel_datetime":"2026-10-02 15:40","waterlevel_m":null,"waterlevel_msl":"1.37","waterlevel_msl_previous":"1.37","flow_rate":null,"discharge":null,"storage_percent":"73.25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Basin"}},"station":{"id":11,"tele_station_name":{"en":"Krung Thep 1","th":"คลองลาดพร้าว ท้ายปตร.คลอง2"},"tele_station_lat":13.92245,"tele_station_long":100.63438,"tele_station_oldcode":"BKK001","tele_station_type":"tele_waterlevel","left_bank":2.563,"right_bank":2.758,"min_bank":2.56,"ground_level":-1.9,"offset":null,"sub_basin_id":240,"agency_id":9,"geocode_id":185,"hydro_id":null,"qmax":null,"is_key_station":false,"warning_level_m":null,"critical_level_m":null,"critical_level_msl":null},"geocode":{"area_code":"1","area_name":{"th":"กรุงเทพมหานคร","en":"Bangkok"},"amphoe_code":"42","amphoe_name":{"th":"สายไหม","en":"Sai Mai District"},"tumbon_code":"01","tumbon_name":{"th":"สายไหม","en":"Sai Mai"},"province_code":"10","province_name":{"th":"กรุงเทพมหานคร","en":"Bangkok"}},"diff_wl_bank":"1.19","diff_wl_bank_text":"ต่ำกว่าตลิ่ง (ม.)","river_gid":195492,"river_name":"คลองหกวา"}</t>
  </si>
  <si>
    <t>cb7c07eb-d553-3fe4-30d5-4d72250e5b28</t>
  </si>
  <si>
    <t>THAIWATER_WL:1117430</t>
  </si>
  <si>
    <t>PYO003</t>
  </si>
  <si>
    <t>โรงเรียนสุเหร่าเกาะขุนเณร</t>
  </si>
  <si>
    <t>สะพานบ้านต๋ำ</t>
  </si>
  <si>
    <t>ห้วยเคียน</t>
  </si>
  <si>
    <t>https://maps.app.goo.gl/o48wqEwgiNCiHqzR7</t>
  </si>
  <si>
    <t>{"id":1317594530,"waterlevel_datetime":"2026-10-03 15:10","waterlevel_m":null,"waterlevel_msl":"391.88","waterlevel_msl_previous":"391.88","flow_rate":null,"discharge":null,"storage_percent":"73.21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Basin"}},"station":{"id":1117430,"tele_station_name":{"en":"Ban Tam Bridge","th":"สะพานบ้านต๋ำ"},"tele_station_lat":19.21819,"tele_station_long":99.862686,"tele_station_oldcode":"PYO003","tele_station_type":"tele_waterlevel","left_bank":392.63,"right_bank":392.63,"min_bank":392.63,"ground_level":389.83,"offset":null,"sub_basin_id":33,"agency_id":9,"geocode_id":5379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District"},"tumbon_code":"06","tumbon_name":{"th":"บ้านต๊ำ","en":"Ban Tam"},"province_code":"56","province_name":{"th":"พะเยา","en":"Phayao"}},"diff_wl_bank":"0.75","diff_wl_bank_text":"ต่ำกว่าตลิ่ง (ม.)","river_gid":21506,"river_name":"ห้วยเคียน"}</t>
  </si>
  <si>
    <t>THAIWATER_WL:479235</t>
  </si>
  <si>
    <t>TBW027</t>
  </si>
  <si>
    <t>ลำน้ำอูน</t>
  </si>
  <si>
    <t>{"id":"cb7c07eb-d553-3fe4-30d5-4d72250e5b28","district":"คลองสามวา","category":"ศูนย์พักพิงชั่วคราว","name":"โรงเรียนสุเหร่าเกาะขุนเณร","capacity":20,"occupied":0,"available":20,"unitType":"คน","status":"เปิดให้บริการ/ว่าง","routeDetails":"","link":"https://maps.app.goo.gl/o48wqEwgiNCiHqzR7","additionalDetails":null,"createdAt":"2026-09-26T08:52:03.000Z","updatedAt":"2026-09-26T08:52:03.000Z"}</t>
  </si>
  <si>
    <t>https://www.google.com/maps/place/%E0%B9%82%E0%B8%A3%E0%B8%87%E0%B9%80%E0%B8%A3%E0%B8%B5%E0%B8%A2%E0%B8%99%E0%B8%AA%E0%B8%B8%E0%B9%80%E0%B8%AB%E0%B8%A3%E0%B9%88%E0%B8%B2%E0%B9%80%E0%B8%81%E0%B8%B2%E0%B8%B0%E0%B8%82%E0%B8%B8%E0%B8%99%E0%B9%80%E0%B8%93%E0%B8%A3/@13.8455422,100.7224453,7525m/data=!3m1!1e3!4m6!3m5!1s0x311d651628a5ff6b:0xdb11c46b6cce6ed3!8m2!3d13.8552235!4d100.7860228!16s%2Fg%2F1hc21v5n6?entry=tts&amp;g_ep=EgoyMDI2MDkyMy4wIPu8ASoASAFQAw%3D%3D&amp;skid=e22d0863-4336-4d22-a0ef-000670cec018</t>
  </si>
  <si>
    <t>{"id":1317594629,"waterlevel_datetime":"2026-10-03 15:10","waterlevel_m":null,"waterlevel_msl":"153.07","waterlevel_msl_previous":"153.07","flow_rate":null,"discharge":null,"storage_percent":"73.14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Basin"}},"station":{"id":479235,"tele_station_name":{"en":"Songkhram 2","th":"ลำน้ำอูน"},"tele_station_lat":17.322742,"tele_station_long":103.97923,"tele_station_oldcode":"TBW027","tele_station_type":"tele_waterlevel","left_bank":154.846,"right_bank":157.343,"min_bank":154.85,"ground_level":148.233,"offset":null,"sub_basin_id":65,"agency_id":9,"geocode_id":4409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พรรณานิคม","en":"Phanna Nikhom District"},"tumbon_code":"08","tumbon_name":{"th":"สว่าง","en":"Sawang"},"province_code":"47","province_name":{"th":"สกลนคร","en":"Sakon Nakhon"}},"diff_wl_bank":"1.78","diff_wl_bank_text":"ต่ำกว่าตลิ่ง (ม.)","river_gid":119181,"river_name":"ลำน้ำอูน"}</t>
  </si>
  <si>
    <t>THAIWATER_WL:2597</t>
  </si>
  <si>
    <t>X.170</t>
  </si>
  <si>
    <t>บ้านคลองลำ</t>
  </si>
  <si>
    <t>คลองลำ</t>
  </si>
  <si>
    <t>{"id":1317523523,"waterlevel_datetime":"2026-10-03 12:00","waterlevel_m":null,"waterlevel_msl":"20.66","waterlevel_msl_previous":"20.66","flow_rate":null,"discharge":"4.60","storage_percent":"73.05","sort_order":null,"station_type":"tele_waterlevel","situation_level":4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2597,"tele_station_name":{"th":"บ้านคลองลำ"},"tele_station_lat":7.55901,"tele_station_long":99.987556,"tele_station_oldcode":"X.170","tele_station_type":"tele_waterlevel","left_bank":28.854,"right_bank":29.063,"min_bank":25.2,"ground_level":8.355,"offset":null,"sub_basin_id":329,"agency_id":12,"geocode_id":8070,"hydro_id":8,"qmax":348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Mueang"},"province_code":"93","province_name":{"th":"พัทลุง","en":"Phatthalung"}},"diff_wl_bank":"4.54","diff_wl_bank_text":"ต่ำกว่าตลิ่ง (ม.)","river_gid":224747,"river_name":"คลองลำ"}</t>
  </si>
  <si>
    <t>THAIWATER_WL:12481</t>
  </si>
  <si>
    <t>STU002</t>
  </si>
  <si>
    <t>ละงู</t>
  </si>
  <si>
    <t>คลองละงู</t>
  </si>
  <si>
    <t>{"id":1317594609,"waterlevel_datetime":"2026-10-03 15:10","waterlevel_m":null,"waterlevel_msl":"0.73","waterlevel_msl_previous":"0.71","flow_rate":null,"discharge":null,"storage_percent":"73.01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12481,"tele_station_name":{"en":"La-ngu","th":"ละงู"},"tele_station_lat":6.885757,"tele_station_long":99.804344,"tele_station_oldcode":"STU002","tele_station_type":"tele_waterlevel","left_bank":4.233,"right_bank":4.223,"min_bank":4.22,"ground_level":-8.72,"offset":null,"sub_basin_id":351,"agency_id":9,"geocode_id":7946,"hydro_id":null,"qmax":null,"is_key_station":false,"warning_level_m":null,"critical_level_m":null,"critical_level_msl":null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District"},"tumbon_code":"02","tumbon_name":{"th":"ละงู","en":"La-Ngu"},"province_code":"91","province_name":{"th":"สตูล","en":"Satun"}},"diff_wl_bank":"3.49","diff_wl_bank_text":"ต่ำกว่าตลิ่ง (ม.)","river_gid":227877,"river_name":"คลองละงู"}</t>
  </si>
  <si>
    <t>THAIWATER_WL:255</t>
  </si>
  <si>
    <t>MUN010</t>
  </si>
  <si>
    <t>เมืองศรีสะเกษ</t>
  </si>
  <si>
    <t>{"id":1317594430,"waterlevel_datetime":"2026-10-03 15:10","waterlevel_m":null,"waterlevel_msl":"115.80","waterlevel_msl_previous":"115.80","flow_rate":null,"discharge":null,"storage_percent":"72.89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Basin"}},"station":{"id":255,"tele_station_name":{"en":"Mueang Sisaket","th":"เมืองศรีสะเกษ"},"tele_station_lat":15.118111,"tele_station_long":104.31859,"tele_station_oldcode":"MUN010","tele_station_type":"tele_waterlevel","left_bank":118.176,"right_bank":124.99,"min_bank":118.18,"ground_level":109.413,"offset":null,"sub_basin_id":137,"agency_id":9,"geocode_id":2385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ศรีสะเกษ","en":"Mueang Si Sa Ket District"},"tumbon_code":"01","tumbon_name":{"th":"เมืองเหนือ","en":"Mueang Nuea"},"province_code":"33","province_name":{"th":"ศรีสะเกษ","en":"Si Sa Ket"}},"diff_wl_bank":"2.38","diff_wl_bank_text":"ต่ำกว่าตลิ่ง (ม.)","river_gid":147468,"river_name":"ห้วยสำราญ"}</t>
  </si>
  <si>
    <t>THAIWATER_WL:2906</t>
  </si>
  <si>
    <t>Y.17</t>
  </si>
  <si>
    <t>สามง่าม</t>
  </si>
  <si>
    <t>11a11c68-c21c-016e-d8f1-827a62cf484b</t>
  </si>
  <si>
    <t>โรงเรียนสุเหร่าแสนแสบ</t>
  </si>
  <si>
    <t>https://maps.app.goo.gl/U8DdrE3R6Piw5QpR9</t>
  </si>
  <si>
    <t>{"id":1317572362,"waterlevel_datetime":"2026-10-03 14:00","waterlevel_m":null,"waterlevel_msl":"36.02","waterlevel_msl_previous":"36.03","flow_rate":null,"discharge":null,"storage_percent":"72.87","sort_order":null,"station_type":"tele_waterlevel","situation_level":4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2906,"tele_station_name":{"th":"สามง่าม"},"tele_station_lat":16.507441,"tele_station_long":100.204086,"tele_station_oldcode":"Y.17","tele_station_type":"tele_waterlevel","left_bank":73.365,"right_bank":73.366,"min_bank":38.25,"ground_level":30.03,"offset":31.49,"sub_basin_id":215,"agency_id":12,"geocode_id":6305,"hydro_id":2,"qmax":614,"is_key_station":false,"warning_level_m":null,"critical_level_m":null,"critical_level_msl":null},"geocode":{"area_code":"3","area_name":{"th":"ภาคเหนือ","en":"North"},"amphoe_code":"07","amphoe_name":{"th":"สามง่าม","en":"Sam Ngam District"},"tumbon_code":"01","tumbon_name":{"th":"สามง่าม","en":"Sam Ngam"},"province_code":"66","province_name":{"th":"พิจิตร","en":"Phichit"}},"diff_wl_bank":"2.23","diff_wl_bank_text":"ต่ำกว่าตลิ่ง (ม.)","river_gid":95441,"river_name":"แม่น้ำยม"}</t>
  </si>
  <si>
    <t>THAIWATER_WL:3542</t>
  </si>
  <si>
    <t>PMTS15</t>
  </si>
  <si>
    <t>แม่น้ำมูล บ้านคันไร่</t>
  </si>
  <si>
    <t>{"id":1317576267,"waterlevel_datetime":"2026-10-03 14:00","waterlevel_m":null,"waterlevel_msl":"107.04","waterlevel_msl_previous":"107.04","flow_rate":null,"discharge":"2283.49","storage_percent":"72.78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Basin"}},"station":{"id":3542,"tele_station_name":{"th":"แม่น้ำมูล บ้านคันไร่"},"tele_station_lat":15.26995,"tele_station_long":105.30611,"tele_station_oldcode":"PMTS15","tele_station_type":"tele_waterlevel","left_bank":111.8,"right_bank":112.73,"min_bank":111.8,"ground_level":94.31,"offset":null,"sub_basin_id":151,"agency_id":8,"geocode_id":2780,"hydro_id":null,"qmax":null,"is_key_station":false,"warning_level_m":null,"critical_level_m":null,"critical_level_msl":111.8},"geocode":{"area_code":"4","area_name":{"th":"ภาคตะวันออกเฉียงเหนือ","en":"Northeast"},"amphoe_code":"19","amphoe_name":{"th":"พิบูลมังสาหาร","en":"Phibun Mangsahan District"},"tumbon_code":"05","tumbon_name":{"th":"ทรายมูล","en":"Sai Mun"},"province_code":"34","province_name":{"th":"อุบลราชธานี","en":"Ubon Ratchathani"}},"diff_wl_bank":"4.76","diff_wl_bank_text":"ต่ำกว่าตลิ่ง (ม.)","river_gid":145751,"river_name":"แม่น้ำมูล"}</t>
  </si>
  <si>
    <t>{"id":"11a11c68-c21c-016e-d8f1-827a62cf484b","district":"คลองสามวา","category":"ศูนย์พักพิงชั่วคราว","name":"โรงเรียนสุเหร่าแสนแสบ","capacity":20,"occupied":0,"available":20,"unitType":"คน","status":"เปิดให้บริการ/ว่าง","routeDetails":"","link":"https://maps.app.goo.gl/U8DdrE3R6Piw5QpR9","additionalDetails":null,"createdAt":"2026-09-26T08:52:03.000Z","updatedAt":"2026-09-26T08:52:03.000Z"}</t>
  </si>
  <si>
    <t>THAIWATER_WL:3164</t>
  </si>
  <si>
    <t>P.73</t>
  </si>
  <si>
    <t>บ้านสบสอย</t>
  </si>
  <si>
    <t>https://www.google.com/maps/place/%E0%B9%82%E0%B8%A3%E0%B8%87%E0%B9%80%E0%B8%A3%E0%B8%B5%E0%B8%A2%E0%B8%99%E0%B8%AA%E0%B8%B8%E0%B9%80%E0%B8%AB%E0%B8%A3%E0%B9%88%E0%B8%B2%E0%B9%81%E0%B8%AA%E0%B8%99%E0%B9%81%E0%B8%AA%E0%B8%9A/@13.8417297,100.7028949,7525m/data=!3m1!1e3!4m6!3m5!1s0x311d64e04cc3302b:0x2ccd7998ceece860!8m2!3d13.8253398!4d100.7516658!16s%2Fg%2F1hc4s4yx5?entry=tts&amp;g_ep=EgoyMDI2MDkyMy4wIPu8ASoASAFQAw%3D%3D&amp;skid=d02e1df4-a8d7-4cfb-b6fd-5c8d7a6c2598</t>
  </si>
  <si>
    <t>แม่น้ำปิง</t>
  </si>
  <si>
    <t>2026-10-03T09:00:00+07:00</t>
  </si>
  <si>
    <t>{"id":1317452580,"waterlevel_datetime":"2026-10-03 09:00","waterlevel_m":null,"waterlevel_msl":"265.10","waterlevel_msl_previous":"265.12","flow_rate":null,"discharge":null,"storage_percent":"72.74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3164,"tele_station_name":{"th":"บ้านสบสอย"},"tele_station_lat":18.29126,"tele_station_long":98.64756,"tele_station_oldcode":"P.73","tele_station_type":"tele_waterlevel","left_bank":530.61,"right_bank":529.7760000000001,"min_bank":268.05,"ground_level":257.23,"offset":261.75,"sub_basin_id":170,"agency_id":12,"geocode_id":4714,"hydro_id":1,"qmax":1000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District"},"tumbon_code":"09","tumbon_name":{"th":"แม่สอย","en":"Mae Soi"},"province_code":"50","province_name":{"th":"เชียงใหม่","en":"Chiang Mai"}},"diff_wl_bank":"2.95","diff_wl_bank_text":"ต่ำกว่าตลิ่ง (ม.)","river_gid":61398,"river_name":"แม่น้ำปิง"}</t>
  </si>
  <si>
    <t>THAIWATER_WL:700589</t>
  </si>
  <si>
    <t>MKVKD06</t>
  </si>
  <si>
    <t>บ้านวังเย็น (K.37)</t>
  </si>
  <si>
    <t>{"id":1317593150,"waterlevel_datetime":"2026-10-03 15:00","waterlevel_m":null,"waterlevel_msl":"28.40","waterlevel_msl_previous":"28.40","flow_rate":null,"discharge":"1121.77","storage_percent":"72.60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Basin"}},"station":{"id":700589,"tele_station_name":{"th":"บ้านวังเย็น (K.37)"},"tele_station_lat":13.9382,"tele_station_long":99.41518,"tele_station_oldcode":"MKVKD06","tele_station_type":"tele_waterlevel","left_bank":32.87,"right_bank":32.32,"min_bank":32.32,"ground_level":18.03,"offset":null,"sub_basin_id":275,"agency_id":8,"geocode_id":6681,"hydro_id":null,"qmax":null,"is_key_station":false,"warning_level_m":null,"critical_level_m":null,"critical_level_msl":31.45},"geocode":{"area_code":"2","area_name":{"th":"ภาคกลาง","en":"Central"},"amphoe_code":"11","amphoe_name":{"th":"ด่านมะขามเตี้ย","en":"Dan Makham Tia District"},"tumbon_code":"02","tumbon_name":{"th":"กลอนโด","en":"Klon Do"},"province_code":"71","province_name":{"th":"กาญจนบุรี","en":"Kanchanaburi"}},"diff_wl_bank":"3.92","diff_wl_bank_text":"ต่ำกว่าตลิ่ง (ม.)","river_gid":185920,"river_name":"แม่น้ำแควน้อย"}</t>
  </si>
  <si>
    <t>THAIWATER_WL:191</t>
  </si>
  <si>
    <t>SKE002</t>
  </si>
  <si>
    <t>เมืองสระแก้ว</t>
  </si>
  <si>
    <t>คลองพระสะทึง</t>
  </si>
  <si>
    <t>{"id":1317594588,"waterlevel_datetime":"2026-10-03 15:10","waterlevel_m":null,"waterlevel_msl":"31.88","waterlevel_msl_previous":"31.87","flow_rate":null,"discharge":null,"storage_percent":"72.50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Basin"}},"station":{"id":191,"tele_station_name":{"en":"Mueang Sa Kaeo","th":"เมืองสระแก้ว"},"tele_station_lat":13.809611,"tele_station_long":102.05431,"tele_station_oldcode":"SKE002","tele_station_type":"tele_waterlevel","left_bank":35.156,"right_bank":34.76,"min_bank":34.76,"ground_level":24.287,"offset":null,"sub_basin_id":277,"agency_id":9,"geocode_id":1610,"hydro_id":null,"qmax":null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Kaeo"}},"diff_wl_bank":"2.88","diff_wl_bank_text":"ต่ำกว่าตลิ่ง (ม.)","river_gid":196387,"river_name":"คลองพระสะทึง"}</t>
  </si>
  <si>
    <t>THAIWATER_WL:2623</t>
  </si>
  <si>
    <t>S.32</t>
  </si>
  <si>
    <t>สถานีแพดับเพลิง</t>
  </si>
  <si>
    <t>d722b2cc-889d-df35-eec8-728feecedd3f</t>
  </si>
  <si>
    <t>โรงเรียนชุมชนหมู่บ้านพัฒนา</t>
  </si>
  <si>
    <t>https://maps.app.goo.gl/jAyqFyEuV7L5Zxmg8</t>
  </si>
  <si>
    <t>{"id":1317572070,"waterlevel_datetime":"2026-10-03 14:00","waterlevel_m":null,"waterlevel_msl":"9.65","waterlevel_msl_previous":"9.44","flow_rate":null,"discharge":"426.00","storage_percent":"72.47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2623,"tele_station_name":{"th":"สถานีแพดับเพลิง"},"tele_station_lat":14.55752,"tele_station_long":100.924217,"tele_station_oldcode":"S.32","tele_station_type":"tele_waterlevel","left_bank":17.093,"right_bank":17.109,"min_bank":12.8,"ground_level":1.36,"offset":null,"sub_basin_id":257,"agency_id":12,"geocode_id":961,"hydro_id":5,"qmax":844,"is_key_station":false,"warning_level_m":null,"critical_level_m":null,"critical_level_msl":null},"geocode":{"area_code":"2","area_name":{"th":"ภาคกลาง","en":"Central"},"amphoe_code":"01","amphoe_name":{"th":"เมืองสระบุรี","en":"Mueang Saraburi District"},"tumbon_code":"14","tumbon_name":{"th":"ตะกุด","en":"Takut"},"province_code":"19","province_name":{"th":"สระบุรี","en":"Saraburi"}},"diff_wl_bank":"3.15","diff_wl_bank_text":"ต่ำกว่าตลิ่ง (ม.)","river_gid":181061,"river_name":"แม่น้ำป่าสัก"}</t>
  </si>
  <si>
    <t>THAIWATER_WL:269</t>
  </si>
  <si>
    <t>CHI011</t>
  </si>
  <si>
    <t>เขื่องใน</t>
  </si>
  <si>
    <t>2026-09-26T05:03:50.000Z</t>
  </si>
  <si>
    <t>{"id":1317594255,"waterlevel_datetime":"2026-10-03 15:10","waterlevel_m":null,"waterlevel_msl":"113.58","waterlevel_msl_previous":"113.58","flow_rate":null,"discharge":null,"storage_percent":"72.36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Basin"}},"station":{"id":269,"tele_station_name":{"en":"Chi 11","th":"เขื่องใน"},"tele_station_lat":15.32248,"tele_station_long":104.54649,"tele_station_oldcode":"CHI011","tele_station_type":"tele_waterlevel","left_bank":117.278,"right_bank":116.794,"min_bank":116.79,"ground_level":105.162,"offset":null,"sub_basin_id":102,"agency_id":9,"geocode_id":2645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District"},"tumbon_code":"01","tumbon_name":{"th":"เขื่องใน","en":"Khueang Nai"},"province_code":"34","province_name":{"th":"อุบลราชธานี","en":"Ubon Ratchathani"}},"diff_wl_bank":"3.22","diff_wl_bank_text":"ต่ำกว่าตลิ่ง (ม.)","river_gid":145659,"river_name":"แม่น้ำชี"}</t>
  </si>
  <si>
    <t>{"id":"d722b2cc-889d-df35-eec8-728feecedd3f","district":"คลองเตย","category":"ศูนย์พักพิงชั่วคราว","name":"โรงเรียนชุมชนหมู่บ้านพัฒนา","capacity":80,"occupied":0,"available":80,"unitType":"คน","status":"เปิดให้บริการ/ว่าง","routeDetails":"","link":"https://maps.app.goo.gl/jAyqFyEuV7L5Zxmg8","additionalDetails":null,"createdAt":"2026-09-26T05:03:50.000Z","updatedAt":"2026-09-26T05:03:50.000Z"}</t>
  </si>
  <si>
    <t>THAIWATER_WL:3526</t>
  </si>
  <si>
    <t>URTD03</t>
  </si>
  <si>
    <t>แม่น้ำชี ฝายมหาสารคาม(เหนือ)</t>
  </si>
  <si>
    <t>https://www.google.com/maps/place/%E0%B9%82%E0%B8%A3%E0%B8%87%E0%B9%80%E0%B8%A3%E0%B8%B5%E0%B8%A2%E0%B8%99%E0%B8%8A%E0%B8%B8%E0%B8%A1%E0%B8%8A%E0%B8%99%E0%B8%AB%E0%B8%A1%E0%B8%B9%E0%B9%88%E0%B8%9A%E0%B9%89%E0%B8%B2%E0%B8%99%E0%B8%9E%E0%B8%B1%E0%B8%92%E0%B8%99%E0%B8%B2/@13.7106539,100.5785415,16.21z/data=!4m6!3m5!1s0x30e29fa00c05f663:0xef90af05a08c2246!8m2!3d13.711051!4d100.5750891!16s%2Fg%2F1tlbllsv?authuser=0&amp;entry=tts&amp;g_ep=EgoyMDI2MDkyMy4wIPu8ASoASAFQAw%3D%3D&amp;skid=a4df6c88-9362-4eeb-8a2a-e449fd49bae7</t>
  </si>
  <si>
    <t>{"id":1317593673,"waterlevel_datetime":"2026-10-03 15:00","waterlevel_m":null,"waterlevel_msl":"146.88","waterlevel_msl_previous":"146.88","flow_rate":"60.66","discharge":null,"storage_percent":"72.27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Basin"}},"station":{"id":3526,"tele_station_name":{"th":"แม่น้ำชี ฝายมหาสารคาม(เหนือ)"},"tele_station_lat":16.368304,"tele_station_long":102.946387,"tele_station_oldcode":"URTD03","tele_station_type":"tele_waterlevel","left_bank":149.573,"right_bank":151.121,"min_bank":149.57,"ground_level":139.867,"offset":null,"sub_basin_id":96,"agency_id":8,"geocode_id":3888,"hydro_id":null,"qmax":null,"is_key_station":false,"warning_level_m":null,"critical_level_m":null,"critical_level_msl":149.45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Sarakham"}},"diff_wl_bank":"2.69","diff_wl_bank_text":"ต่ำกว่าตลิ่ง (ม.)","river_gid":131608,"river_name":"แม่น้ำชี"}</t>
  </si>
  <si>
    <t>THAIWATER_WL:2895</t>
  </si>
  <si>
    <t>N.7A</t>
  </si>
  <si>
    <t>บ้านราชช้างขวัญ</t>
  </si>
  <si>
    <t>{"id":1317572373,"waterlevel_datetime":"2026-10-03 14:00","waterlevel_m":null,"waterlevel_msl":"32.34","waterlevel_msl_previous":"32.35","flow_rate":null,"discharge":"559.70","storage_percent":"72.27","sort_order":null,"station_type":"tele_waterlevel","situation_level":4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2895,"tele_station_name":{"th":"บ้านราชช้างขวัญ"},"tele_station_lat":16.4695,"tele_station_long":100.330872,"tele_station_oldcode":"N.7A","tele_station_type":"tele_waterlevel","left_bank":63.747,"right_bank":62.258,"min_bank":35.87,"ground_level":23.14,"offset":26,"sub_basin_id":238,"agency_id":12,"geocode_id":6241,"hydro_id":2,"qmax":997,"is_key_station":true,"warning_level_m":null,"critical_level_m":null,"critical_level_msl":null},"geocode":{"area_code":"3","area_name":{"th":"ภาคเหนือ","en":"North"},"amphoe_code":"01","amphoe_name":{"th":"เมืองพิจิตร","en":"Mueang Phichit District"},"tumbon_code":"05","tumbon_name":{"th":"ปากทาง","en":"Pak Thang"},"province_code":"66","province_name":{"th":"พิจิตร","en":"Phichit"}},"diff_wl_bank":"3.53","diff_wl_bank_text":"ต่ำกว่าตลิ่ง (ม.)","river_gid":96084,"river_name":"แม่น้ำน่าน"}</t>
  </si>
  <si>
    <t>THAIWATER_WL:2811</t>
  </si>
  <si>
    <t>Ct.4</t>
  </si>
  <si>
    <t>บ้านศาลเจ้าไก่ต่อ</t>
  </si>
  <si>
    <t>แม่น้ำวังม้า</t>
  </si>
  <si>
    <t>{"id":1317572081,"waterlevel_datetime":"2026-10-03 14:00","waterlevel_m":null,"waterlevel_msl":"70.01","waterlevel_msl_previous":"70.02","flow_rate":null,"discharge":"67.00","storage_percent":"72.05","sort_order":null,"station_type":"tele_waterlevel","situation_level":4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2811,"tele_station_name":{"th":"บ้านศาลเจ้าไก่ต่อ"},"tele_station_lat":15.78585,"tele_station_long":99.678329,"tele_station_oldcode":"Ct.4","tele_station_type":"tele_waterlevel","left_bank":72.096,"right_bank":72.045,"min_bank":71.67,"ground_level":65.73,"offset":null,"sub_basin_id":242,"agency_id":12,"geocode_id":5774,"hydro_id":5,"qmax":197,"is_key_station":tru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Sawan"}},"diff_wl_bank":"1.66","diff_wl_bank_text":"ต่ำกว่าตลิ่ง (ม.)","river_gid":168548,"river_name":"แม่น้ำวังม้า"}</t>
  </si>
  <si>
    <t>THAIWATER_WL:2920</t>
  </si>
  <si>
    <t>E.85</t>
  </si>
  <si>
    <t>บ้านโนนหัน</t>
  </si>
  <si>
    <t>{"id":1317573792,"waterlevel_datetime":"2026-10-03 14:00","waterlevel_m":null,"waterlevel_msl":"228.63","waterlevel_msl_previous":"228.65","flow_rate":null,"discharge":"11.78","storage_percent":"72.03","sort_order":null,"station_type":"tele_waterlevel","situation_level":4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2920,"tele_station_name":{"th":"บ้านโนนหัน"},"tele_station_lat":16.590509,"tele_station_long":101.983223,"tele_station_oldcode":"E.85","tele_station_type":"tele_waterlevel","left_bank":459.750003,"right_bank":459.65700300000003,"min_bank":230,"ground_level":225.102,"offset":224.800003,"sub_basin_id":90,"agency_id":12,"geocode_id":3071,"hydro_id":3,"qmax":70,"is_key_station":false,"warning_level_m":null,"critical_level_m":null,"critical_level_msl":null},"geocode":{"area_code":"4","area_name":{"th":"ภาคตะวันออกเฉียงเหนือ","en":"Northeast"},"amphoe_code":"13","amphoe_name":{"th":"คอนสาร","en":"Khon San District"},"tumbon_code":"06","tumbon_name":{"th":"ดงบัง","en":"Dong Bang"},"province_code":"36","province_name":{"th":"ชัยภูมิ","en":"Chaiyaphum"}},"diff_wl_bank":"1.37","diff_wl_bank_text":"ต่ำกว่าตลิ่ง (ม.)","river_gid":129511,"river_name":"ลำเชิญ"}</t>
  </si>
  <si>
    <t>THAIWATER_WL:680</t>
  </si>
  <si>
    <t>YOM009</t>
  </si>
  <si>
    <t>โพธิ์ประทับช้าง</t>
  </si>
  <si>
    <t>1dd132d0-4569-23ae-be40-a522df83d003</t>
  </si>
  <si>
    <t>{"id":1317594710,"waterlevel_datetime":"2026-10-03 15:10","waterlevel_m":null,"waterlevel_msl":"32.36","waterlevel_msl_previous":"32.39","flow_rate":null,"discharge":null,"storage_percent":"71.86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Basin"}},"station":{"id":680,"tele_station_name":{"en":"Yom 9","th":"โพธิ์ประทับช้าง"},"tele_station_lat":16.31077,"tele_station_long":100.27173,"tele_station_oldcode":"YOM009","tele_station_type":"tele_waterlevel","left_bank":34.787,"right_bank":36.235,"min_bank":34.79,"ground_level":26.165,"offset":null,"sub_basin_id":215,"agency_id":9,"geocode_id":6260,"hydro_id":null,"qmax":null,"is_key_station":false,"warning_level_m":null,"critical_level_m":null,"critical_level_msl":null},"geocode":{"area_code":"3","area_name":{"th":"ภาคเหนือ","en":"North"},"amphoe_code":"03","amphoe_name":{"th":"โพธิ์ประทับช้าง","en":"Pho Prathap Chang District"},"tumbon_code":"01","tumbon_name":{"th":"โพธิ์ประทับช้าง","en":"Pho Prathap Chang"},"province_code":"66","province_name":{"th":"พิจิตร","en":"Phichit"}},"diff_wl_bank":"2.43","diff_wl_bank_text":"ต่ำกว่าตลิ่ง (ม.)","river_gid":98592,"river_name":"แม่น้ำยม"}</t>
  </si>
  <si>
    <t>โรงเรียนวัดคลองเตย</t>
  </si>
  <si>
    <t>THAIWATER_WL:1079932</t>
  </si>
  <si>
    <t>Z.64</t>
  </si>
  <si>
    <t>ตำบลท่าหลวง</t>
  </si>
  <si>
    <t>คลองบ้านปากคลองใหญ่</t>
  </si>
  <si>
    <t>https://maps.app.goo.gl/jwrVMbihue7cBwyc9</t>
  </si>
  <si>
    <t>{"id":1317582859,"waterlevel_datetime":"2026-10-03 14:00","waterlevel_m":null,"waterlevel_msl":"4.34","waterlevel_msl_previous":"4.29","flow_rate":null,"discharge":"164.60","storage_percent":"71.31","sort_order":null,"station_type":"tele_waterlevel","situation_level":4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1079932,"tele_station_name":{"th":"ตำบลท่าหลวง"},"tele_station_lat":12.657133,"tele_station_long":102.15435,"tele_station_oldcode":"Z.64","tele_station_type":"tele_waterlevel","left_bank":7.463,"right_bank":7.891,"min_bank":7.21,"ground_level":-2.795,"offset":0,"sub_basin_id":296,"agency_id":12,"geocode_id":1301,"hydro_id":6,"qmax":437.200012,"is_key_station":true,"warning_level_m":null,"critical_level_m":null,"critical_level_msl":null},"geocode":{"area_code":"2","area_name":{"th":"ภาคกลาง","en":"Central"},"amphoe_code":"06","amphoe_name":{"th":"แหลมสิงห์","en":"Laem Sing District"},"tumbon_code":"02","tumbon_name":{"th":"เกาะเปริด","en":"Ko Proet"},"province_code":"22","province_name":{"th":"จันทบุรี","en":"Chanthaburi"}},"diff_wl_bank":"2.87","diff_wl_bank_text":"ต่ำกว่าตลิ่ง (ม.)","river_gid":206310,"river_name":"คลองบ้านปากคลองใหญ่"}</t>
  </si>
  <si>
    <t>THAIWATER_WL:120</t>
  </si>
  <si>
    <t>CHN001</t>
  </si>
  <si>
    <t>เมืองจันทบุรี</t>
  </si>
  <si>
    <t>2026-09-26T05:35:01.000Z</t>
  </si>
  <si>
    <t>2026-09-27T05:44:43.316Z</t>
  </si>
  <si>
    <t>{"id":"1dd132d0-4569-23ae-be40-a522df83d003","district":"คลองเตย","category":"ศูนย์พักพิงชั่วคราว","name":"โรงเรียนวัดคลองเตย","capacity":40,"occupied":0,"available":40,"unitType":"คน","status":"เปิดให้บริการ/ว่าง","routeDetails":"","link":"https://maps.app.goo.gl/jwrVMbihue7cBwyc9","additionalDetails":null,"createdAt":"2026-09-26T05:35:01.000Z","updatedAt":"2026-09-27T05:44:43.316Z"}</t>
  </si>
  <si>
    <t>https://www.google.com/maps/place/%E0%B9%82%E0%B8%A3%E0%B8%87%E0%B9%80%E0%B8%A3%E0%B8%B5%E0%B8%A2%E0%B8%99%E0%B8%A7%E0%B8%B1%E0%B8%94%E0%B8%84%E0%B8%A5%E0%B8%AD%E0%B8%87%E0%B9%80%E0%B8%95%E0%B8%A2/@13.7101051,100.558304,17z/data=!3m1!4b1!4m6!3m5!1s0x30e29f6d2ba13bf7:0x56bada636901c42c!8m2!3d13.7100999!4d100.5608789!16s%2Fg%2F1pzt2d_32?authuser=0&amp;entry=tts&amp;g_ep=EgoyMDI2MDkyMy4wIPu8ASoASAFQAw%3D%3D&amp;skid=dc530755-6bc6-4029-8db2-539adb889436</t>
  </si>
  <si>
    <t>{"id":1317594267,"waterlevel_datetime":"2026-10-03 15:10","waterlevel_m":null,"waterlevel_msl":"1.22","waterlevel_msl_previous":"1.22","flow_rate":null,"discharge":null,"storage_percent":"71.25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Basin"}},"station":{"id":120,"tele_station_name":{"en":"Chanthaburi 1","th":"เมืองจันทบุรี"},"tele_station_lat":12.613584,"tele_station_long":102.11407,"tele_station_oldcode":"CHN001","tele_station_type":"tele_waterlevel","left_bank":3.252,"right_bank":4.153,"min_bank":3.25,"ground_level":-3.817,"offset":null,"sub_basin_id":296,"agency_id":9,"geocode_id":1253,"hydro_id":null,"qmax":null,"is_key_station":false,"warning_level_m":null,"critical_level_m":null,"critical_level_msl":null},"geocode":{"area_code":"2","area_name":{"th":"ภาคกลาง","en":"Central"},"amphoe_code":"01","amphoe_name":{"th":"เมืองจันทบุรี","en":"Mueang Chanthaburi District"},"tumbon_code":"07","tumbon_name":{"th":"จันทนิมิต","en":"Chanthanimit"},"province_code":"22","province_name":{"th":"จันทบุรี","en":"Chanthaburi"}},"diff_wl_bank":"2.03","diff_wl_bank_text":"ต่ำกว่าตลิ่ง (ม.)","river_gid":205031,"river_name":"คลองจันทบุรี"}</t>
  </si>
  <si>
    <t>THAIWATER_WL:504982</t>
  </si>
  <si>
    <t>S.43</t>
  </si>
  <si>
    <t>บ้านพูลทรัพย์</t>
  </si>
  <si>
    <t>{"id":1317572092,"waterlevel_datetime":"2026-10-03 14:00","waterlevel_m":null,"waterlevel_msl":"47.50","waterlevel_msl_previous":"47.52","flow_rate":null,"discharge":"426.00","storage_percent":"70.98","sort_order":null,"station_type":"tele_waterlevel","situation_level":4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504982,"tele_station_name":{"th":"บ้านพูลทรัพย์"},"tele_station_lat":15.32743,"tele_station_long":101.212402,"tele_station_oldcode":"S.43","tele_station_type":"tele_waterlevel","left_bank":51.908,"right_bank":51.947,"min_bank":51.9,"ground_level":36.74,"offset":null,"sub_basin_id":253,"agency_id":12,"geocode_id":763,"hydro_id":5,"qmax":926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District"},"tumbon_code":"12","tumbon_name":{"th":"เกาะรัง","en":"Ko Rang"},"province_code":"16","province_name":{"th":"ลพบุรี","en":"Lop Buri"}},"diff_wl_bank":"4.40","diff_wl_bank_text":"ต่ำกว่าตลิ่ง (ม.)","river_gid":173596,"river_name":"แม่น้ำป่าสัก"}</t>
  </si>
  <si>
    <t>THAIWATER_WL:3543</t>
  </si>
  <si>
    <t>PMTS16</t>
  </si>
  <si>
    <t>แม่น้ำมูล เมืองอุบลราชธานี (M.7)</t>
  </si>
  <si>
    <t>{"id":1317576268,"waterlevel_datetime":"2026-10-03 14:00","waterlevel_m":null,"waterlevel_msl":"110.34","waterlevel_msl_previous":"110.37","flow_rate":null,"discharge":"1800.00","storage_percent":"70.95","sort_order":null,"station_type":"tele_waterlevel","situation_level":4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Basin"}},"station":{"id":3543,"tele_station_name":{"th":"แม่น้ำมูล เมืองอุบลราชธานี (M.7)"},"tele_station_lat":15.22652,"tele_station_long":104.86159,"tele_station_oldcode":"PMTS16","tele_station_type":"tele_waterlevel","left_bank":116.12,"right_bank":113.84,"min_bank":113.84,"ground_level":101.79,"offset":null,"sub_basin_id":147,"agency_id":8,"geocode_id":2619,"hydro_id":null,"qmax":null,"is_key_station":false,"warning_level_m":null,"critical_level_m":null,"critical_level_msl":113.84},"geocode":{"area_code":"4","area_name":{"th":"ภาคตะวันออกเฉียงเหนือ","en":"Northeast"},"amphoe_code":"01","amphoe_name":{"th":"เมืองอุบลราชธานี","en":"Mueang Ubon Ratchathani District"},"tumbon_code":"09","tumbon_name":{"th":"แจระแม","en":"Chaeramae"},"province_code":"34","province_name":{"th":"อุบลราชธานี","en":"Ubon Ratchathani"}},"diff_wl_bank":"3.50","diff_wl_bank_text":"ต่ำกว่าตลิ่ง (ม.)","river_gid":146325,"river_name":"แม่น้ำมูล"}</t>
  </si>
  <si>
    <t>THAIWATER_WL:1109524</t>
  </si>
  <si>
    <t>ONE035</t>
  </si>
  <si>
    <t>สะพานข้ามคลองเทพา</t>
  </si>
  <si>
    <t>คลองเทพา</t>
  </si>
  <si>
    <t>c040288a-8183-d0da-98dd-6d9fa25611d2</t>
  </si>
  <si>
    <t>โรงเรียนวัดสะพาน</t>
  </si>
  <si>
    <t>https://maps.app.goo.gl/tVhTK4ccvJiKbV8E6</t>
  </si>
  <si>
    <t>2026-10-03T10:50:00+07:00</t>
  </si>
  <si>
    <t>{"id":1317482569,"waterlevel_datetime":"2026-10-03 10:50","waterlevel_m":null,"waterlevel_msl":"17.56","waterlevel_msl_previous":"17.57","flow_rate":null,"discharge":null,"storage_percent":"70.90","sort_order":null,"station_type":"tele_waterlevel","situation_level":4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Basin"}},"station":{"id":1109524,"tele_station_name":{"en":"Khlong Thepha Bridge","th":"สะพานข้ามคลองเทพา"},"tele_station_lat":6.534085,"tele_station_long":100.963394,"tele_station_oldcode":"ONE035","tele_station_type":"tele_waterlevel","left_bank":19.703,"right_bank":19.753,"min_bank":19.7,"ground_level":12.34,"offset":null,"sub_basin_id":333,"agency_id":9,"geocode_id":7831,"hydro_id":null,"qmax":null,"is_key_station":false,"warning_level_m":null,"critical_level_m":null,"critical_level_msl":null},"geocode":{"area_code":"5","area_name":{"th":"ภาคใต้","en":"South"},"amphoe_code":"06","amphoe_name":{"th":"สะบ้าย้อย","en":"Saba Yoi District"},"tumbon_code":"05","tumbon_name":{"th":"จะแหน","en":"Cha Nae"},"province_code":"90","province_name":{"th":"สงขลา","en":"Songkhla"}},"diff_wl_bank":"2.14","diff_wl_bank_text":"ต่ำกว่าตลิ่ง (ม.)","river_gid":230070,"river_name":"คลองเทพา"}</t>
  </si>
  <si>
    <t>THAIWATER_WL:2726</t>
  </si>
  <si>
    <t>M.164</t>
  </si>
  <si>
    <t>ตำบลในเมือง</t>
  </si>
  <si>
    <t>ลำตะคองเก่า</t>
  </si>
  <si>
    <t>{"id":"c040288a-8183-d0da-98dd-6d9fa25611d2","district":"คลองเตย","category":"ศูนย์พักพิงชั่วคราว","name":"โรงเรียนวัดสะพาน","capacity":30,"occupied":0,"available":30,"unitType":"คน","status":"เปิดให้บริการ/ว่าง","routeDetails":"","link":"https://maps.app.goo.gl/tVhTK4ccvJiKbV8E6","additionalDetails":null,"createdAt":"2026-09-26T05:03:50.000Z","updatedAt":"2026-09-26T05:03:50.000Z"}</t>
  </si>
  <si>
    <t>https://www.google.com/maps/place/%E0%B9%82%E0%B8%A3%E0%B8%87%E0%B9%80%E0%B8%A3%E0%B8%B5%E0%B8%A2%E0%B8%99%E0%B8%A7%E0%B8%B1%E0%B8%94%E0%B8%AA%E0%B8%B0%E0%B8%9E%E0%B8%B2%E0%B8%99/@13.704282,100.586052,17z/data=!3m1!4b1!4m6!3m5!1s0x30e29f037d4ab877:0x87a5d27613273db2!8m2!3d13.7042768!4d100.5886269!16s%2Fg%2F11trcwz1cy?authuser=0&amp;entry=tts&amp;g_ep=EgoyMDI2MDkyMy4wIPu8ASoASAFQAw%3D%3D&amp;skid=60093bdb-d0dd-472d-a1a2-58a4b6f0f648</t>
  </si>
  <si>
    <t>{"id":1317571359,"waterlevel_datetime":"2026-10-03 14:00","waterlevel_m":null,"waterlevel_msl":"176.68","waterlevel_msl_previous":"176.68","flow_rate":null,"discharge":"3.60","storage_percent":"70.70","sort_order":null,"station_type":"tele_waterlevel","situation_level":4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2726,"tele_station_name":{"th":"ตำบลในเมือง"},"tele_station_lat":14.98457,"tele_station_long":102.092941,"tele_station_oldcode":"M.164","tele_station_type":"tele_waterlevel","left_bank":177.600006,"right_bank":177.600006,"min_bank":177.6,"ground_level":174.46,"offset":174.100006,"sub_basin_id":108,"agency_id":12,"geocode_id":1684,"hydro_id":4,"qmax":32,"is_key_station":true,"warning_level_m":null,"critical_level_m":3.5,"critical_level_msl":177.6},"geocode":{"area_code":"4","area_name":{"th":"ภาคตะวันออกเฉียงเหนือ","en":"Northeast"},"amphoe_code":"01","amphoe_name":{"th":"เมืองนครราชสีมา","en":"Mueang Nakhon Ratchasima District"},"tumbon_code":"12","tumbon_name":{"th":"บ้านเกาะ","en":"Ban Ko"},"province_code":"30","province_name":{"th":"นครราชสีมา","en":"Nakhon Ratchasima"}},"diff_wl_bank":"0.92","diff_wl_bank_text":"ต่ำกว่าตลิ่ง (ม.)","river_gid":149287,"river_name":"ลำตะคองเก่า"}</t>
  </si>
  <si>
    <t>THAIWATER_WL:2832</t>
  </si>
  <si>
    <t>P.17</t>
  </si>
  <si>
    <t>บ้านท่างิ้ว</t>
  </si>
  <si>
    <t>{"id":1317572086,"waterlevel_datetime":"2026-10-03 14:00","waterlevel_m":null,"waterlevel_msl":"35.97","waterlevel_msl_previous":"35.99","flow_rate":null,"discharge":"722.00","storage_percent":"70.08","sort_order":null,"station_type":"tele_waterlevel","situation_level":4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2832,"tele_station_name":{"th":"บ้านท่างิ้ว"},"tele_station_lat":15.93539,"tele_station_long":99.976089,"tele_station_oldcode":"P.17","tele_station_type":"tele_waterlevel","left_bank":38.707,"right_bank":38.869,"min_bank":38.25,"ground_level":30.63,"offset":null,"sub_basin_id":185,"agency_id":12,"geocode_id":5701,"hydro_id":5,"qmax":1835,"is_key_station":true,"warning_level_m":null,"critical_level_m":7.69,"critical_level_msl":38.08},"geocode":{"area_code":"3","area_name":{"th":"ภาคเหนือ","en":"North"},"amphoe_code":"05","amphoe_name":{"th":"บรรพตพิสัย","en":"Banphot Phisai District"},"tumbon_code":"01","tumbon_name":{"th":"ท่างิ้ว","en":"Tha Ngio"},"province_code":"60","province_name":{"th":"นครสวรรค์","en":"Nakhon Sawan"}},"diff_wl_bank":"2.28","diff_wl_bank_text":"ต่ำกว่าตลิ่ง (ม.)","river_gid":102033,"river_name":"แม่น้ำปิง"}</t>
  </si>
  <si>
    <t>THAIWATER_WL:24</t>
  </si>
  <si>
    <t>BKK018</t>
  </si>
  <si>
    <t>คลองพระพิมล (ไทรน้อย)</t>
  </si>
  <si>
    <t>คลองพระพิมล</t>
  </si>
  <si>
    <t>เตือนภัย</t>
  </si>
  <si>
    <t>{"id":1317594239,"waterlevel_datetime":"2026-10-03 15:10","waterlevel_m":null,"waterlevel_msl":"2.19","waterlevel_msl_previous":"2.19","flow_rate":null,"discharge":null,"storage_percent":"69.54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Basin"}},"station":{"id":24,"tele_station_name":{"en":"Phra Pimol Sai Noi","th":"คลองพระพิมล (ไทรน้อย)"},"tele_station_lat":13.97396,"tele_station_long":100.31901,"tele_station_oldcode":"BKK018","tele_station_type":"tele_waterlevel","left_bank":4.05,"right_bank":4.36,"min_bank":4.05,"ground_level":-2.04,"offset":null,"sub_basin_id":240,"agency_id":9,"geocode_id":306,"hydro_id":null,"qmax":null,"is_key_station":false,"warning_level_m":null,"critical_level_m":null,"critical_level_msl":null},"geocode":{"area_code":"2","area_name":{"th":"ภาคกลาง","en":"Central"},"amphoe_code":"05","amphoe_name":{"th":"ไทรน้อย","en":"Sai Noi District"},"tumbon_code":"01","tumbon_name":{"th":"ไทรน้อย","en":"Sai Noi"},"province_code":"12","province_name":{"th":"นนทบุรี","en":"Nonthaburi"}},"diff_wl_bank":"1.85","diff_wl_bank_text":"ต่ำกว่าตลิ่ง (ม.)","river_gid":185584,"river_name":"คลองพระพิมล"}</t>
  </si>
  <si>
    <t>THAIWATER_WL:1422374</t>
  </si>
  <si>
    <t>RPBD14</t>
  </si>
  <si>
    <t>สะพานจุลจอมเกล้า อ.พุนพิน (X.5C)</t>
  </si>
  <si>
    <t>fd7e7d16-a682-834c-e858-c73ba044e475</t>
  </si>
  <si>
    <t>โรงเรียนศูนย์รวมน้ำใจ</t>
  </si>
  <si>
    <t>{"id":1317591825,"waterlevel_datetime":"2026-10-03 15:00","waterlevel_m":null,"waterlevel_msl":"1.25","waterlevel_msl_previous":"1.03","flow_rate":null,"discharge":null,"storage_percent":"69.52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Basin"}},"station":{"id":1422374,"tele_station_name":{"th":"สะพานจุลจอมเกล้า อ.พุนพิน (X.5C)"},"tele_station_lat":9.113061,"tele_station_long":99.223751,"tele_station_oldcode":"RPBD14","tele_station_type":"tele_waterlevel","left_bank":6.155,"right_bank":6.11,"min_bank":6.11,"ground_level":-9.818,"offset":null,"sub_basin_id":324,"agency_id":8,"geocode_id":7633,"hydro_id":null,"qmax":null,"is_key_station":false,"warning_level_m":null,"critical_level_m":null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Thani"}},"diff_wl_bank":"4.86","diff_wl_bank_text":"ต่ำกว่าตลิ่ง (ม.)"}</t>
  </si>
  <si>
    <t>THAIWATER_WL:13892</t>
  </si>
  <si>
    <t>https://maps.app.goo.gl/qoCis2v48PdHkiNc9</t>
  </si>
  <si>
    <t>SWR025</t>
  </si>
  <si>
    <t>ฝายคลองท่าเลา</t>
  </si>
  <si>
    <t>คลองท่าเลา</t>
  </si>
  <si>
    <t>{"id":1317590104,"waterlevel_datetime":"2026-10-03 15:00","waterlevel_m":null,"waterlevel_msl":"122.80","waterlevel_msl_previous":"122.80","flow_rate":null,"discharge":null,"storage_percent":"69.51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Basin"}},"station":{"id":13892,"tele_station_name":{"en":"Na Luang Sen","th":"ฝายคลองท่าเลา"},"tele_station_lat":8.232547,"tele_station_long":99.70778,"tele_station_oldcode":"SWR025","tele_station_type":"tele_waterlevel","left_bank":123.816,"right_bank":123.809,"min_bank":123.81,"ground_level":120.5,"offset":null,"sub_basin_id":349,"agency_id":9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Thammarat"}},"diff_wl_bank":"1.01","diff_wl_bank_text":"ต่ำกว่าตลิ่ง (ม.)","river_gid":221724,"river_name":"คลองท่าเลา"}</t>
  </si>
  <si>
    <t>THAIWATER_WL:1482445</t>
  </si>
  <si>
    <t>MOU368</t>
  </si>
  <si>
    <t>สะพานน้ำปี้ เชียงม่วน</t>
  </si>
  <si>
    <t>{"id":"fd7e7d16-a682-834c-e858-c73ba044e475","district":"คลองเตย","category":"ศูนย์พักพิงชั่วคราว","name":"โรงเรียนศูนย์รวมน้ำใจ","capacity":100,"occupied":0,"available":100,"unitType":"คน","status":"เปิดให้บริการ/ว่าง","routeDetails":"","link":"https://maps.app.goo.gl/qoCis2v48PdHkiNc9","additionalDetails":null,"createdAt":"2026-09-26T05:03:50.000Z","updatedAt":"2026-09-26T05:03:50.000Z"}</t>
  </si>
  <si>
    <t>https://www.google.com/maps/place/%E0%B9%82%E0%B8%A3%E0%B8%87%E0%B9%80%E0%B8%A3%E0%B8%B5%E0%B8%A2%E0%B8%99%E0%B8%A8%E0%B8%B9%E0%B8%99%E0%B8%A2%E0%B9%8C%E0%B8%A3%E0%B8%A7%E0%B8%A1%E0%B8%99%E0%B9%89%E0%B8%B3%E0%B9%83%E0%B8%88/@13.7131961,100.5676749,17z/data=!3m1!4b1!4m6!3m5!1s0x30e29ff4636d965d:0xf13cc1f1c1589fcc!8m2!3d13.7131909!4d100.5702498!16s%2Fg%2F11fjtbcllb?authuser=0&amp;entry=tts&amp;g_ep=EgoyMDI2MDkyMy4wIPu8ASoASAFQAw%3D%3D&amp;skid=58cdf7b2-0b9f-47ab-bb77-3f49be5f0d48</t>
  </si>
  <si>
    <t>{"id":1317594084,"waterlevel_datetime":"2026-10-03 15:10","waterlevel_m":null,"waterlevel_msl":"258.23","waterlevel_msl_previous":"258.24","flow_rate":null,"discharge":null,"storage_percent":"69.34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Basin"}},"station":{"id":1482445,"tele_station_name":{"en":"Nam Pi Chiang Bridge","th":"สะพานน้ำปี้ เชียงม่วน"},"tele_station_lat":18.881905,"tele_station_long":100.28281,"tele_station_oldcode":"MOU368","tele_station_type":"tele_waterlevel","left_bank":262.627,"right_bank":259.89,"min_bank":259.89,"ground_level":254.476,"offset":null,"sub_basin_id":200,"sponsor_by":"บริษัท ไทยเบฟเวอเรจ จำกัด (มหาชน) ","agency_id":91,"geocode_id":5410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Muan"},"province_code":"56","province_name":{"th":"พะเยา","en":"Phayao"}},"diff_wl_bank":"1.66","diff_wl_bank_text":"ต่ำกว่าตลิ่ง (ม.)"}</t>
  </si>
  <si>
    <t>THAIWATER_WL:529399</t>
  </si>
  <si>
    <t>FOP014</t>
  </si>
  <si>
    <t>สะพานลำน้ำยาม</t>
  </si>
  <si>
    <t>{"id":1317594025,"waterlevel_datetime":"2026-10-03 15:10","waterlevel_m":null,"waterlevel_msl":"149.15","waterlevel_msl_previous":"149.16","flow_rate":null,"discharge":null,"storage_percent":"69.24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Foundation","jp":""},"agency_shortname":{"th":"พพภ","en":"FOP","jp":""}},"basin":{"id":3,"basin_code":3,"basin_name":{"th":"ลุ่มน้ำโขงตะวันออกเฉียงเหนือ","en":"Northeast Khong Basin"}},"station":{"id":529399,"tele_station_name":{"en":"Lamnam Yam Bridge","th":"สะพานลำน้ำยาม"},"tele_station_lat":17.594904,"tele_station_long":103.969406,"tele_station_oldcode":"FOP014","tele_station_type":"tele_waterlevel","left_bank":152.486,"right_bank":152.486,"min_bank":152.49,"ground_level":141.64,"offset":null,"sub_basin_id":63,"sponsor_by":"มูลนิธิอาสาเพื่อนพึ่ง (ภาฯ) ยามยาก สภากาชาดไทย","agency_id":91,"geocode_id":4460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อากาศอำนวย","en":"Akat Amnuai District"},"tumbon_code":"01","tumbon_name":{"th":"อากาศ","en":"Akat"},"province_code":"47","province_name":{"th":"สกลนคร","en":"Sakon Nakhon"}},"diff_wl_bank":"3.34","diff_wl_bank_text":"ต่ำกว่าตลิ่ง (ม.)","river_gid":113882,"river_name":"ลำน้ำยาม"}</t>
  </si>
  <si>
    <t>THAIWATER_WL:3003</t>
  </si>
  <si>
    <t>N.36</t>
  </si>
  <si>
    <t>บ้านหนองกระท้าว</t>
  </si>
  <si>
    <t>{"id":1317572426,"waterlevel_datetime":"2026-10-03 14:00","waterlevel_m":null,"waterlevel_msl":"196.95","waterlevel_msl_previous":"196.92","flow_rate":null,"discharge":"25.27","storage_percent":"68.98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3003,"tele_station_name":{"th":"บ้านหนองกระท้าว"},"tele_station_lat":17.0851,"tele_station_long":100.824669,"tele_station_oldcode":"N.36","tele_station_type":"tele_waterlevel","left_bank":393.181005,"right_bank":393.206005,"min_bank":200.38,"ground_level":189.324,"offset":191.880005,"sub_basin_id":233,"agency_id":12,"geocode_id":6155,"hydro_id":2,"qmax":112.199997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Thai"},"province_code":"65","province_name":{"th":"พิษณุโลก","en":"Phitsanulok"}},"diff_wl_bank":"3.43","diff_wl_bank_text":"ต่ำกว่าตลิ่ง (ม.)","river_gid":88005,"river_name":"น้ำแควน้อย"}</t>
  </si>
  <si>
    <t>THAIWATER_WL:13906</t>
  </si>
  <si>
    <t>TNG005</t>
  </si>
  <si>
    <t>วังวิเศษ</t>
  </si>
  <si>
    <t>คลองยวนปลา</t>
  </si>
  <si>
    <t>22f94af8-8aaa-eb37-33b6-4c1157969a24</t>
  </si>
  <si>
    <t>{"id":1317594662,"waterlevel_datetime":"2026-10-03 15:10","waterlevel_m":null,"waterlevel_msl":"12.32","waterlevel_msl_previous":"12.31","flow_rate":null,"discharge":null,"storage_percent":"68.93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Basin"}},"station":{"id":13906,"tele_station_name":{"en":"Trang 5","th":"วังวิเศษ"},"tele_station_lat":7.668987,"tele_station_long":99.45936,"tele_station_oldcode":"TNG005","tele_station_type":"tele_waterlevel","left_bank":14,"right_bank":14,"min_bank":14,"ground_level":8.592,"offset":null,"sub_basin_id":349,"agency_id":9,"geocode_id":8036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District"},"tumbon_code":"01","tumbon_name":{"th":"เขาวิเศษ","en":"Khao Wiset"},"province_code":"92","province_name":{"th":"ตรัง","en":"Trang"}},"diff_wl_bank":"1.68","diff_wl_bank_text":"ต่ำกว่าตลิ่ง (ม.)","river_gid":224277,"river_name":"คลองยวนปลา"}</t>
  </si>
  <si>
    <t>โรงเรียนคันนายาว(ธารินเจริญสงเคราะห์)</t>
  </si>
  <si>
    <t>THAIWATER_WL:505027</t>
  </si>
  <si>
    <t>B.9</t>
  </si>
  <si>
    <t>บ้านสาระเห็ด</t>
  </si>
  <si>
    <t>https://maps.app.goo.gl/Rq9QRAASxyA2kfXn7</t>
  </si>
  <si>
    <t>{"id":1317575414,"waterlevel_datetime":"2026-10-03 14:00","waterlevel_m":null,"waterlevel_msl":"29.40","waterlevel_msl_previous":"29.44","flow_rate":null,"discharge":"114.50","storage_percent":"68.90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505027,"tele_station_name":{"th":"บ้านสาระเห็ด"},"tele_station_lat":12.80623,"tele_station_long":99.770569,"tele_station_oldcode":"B.9","tele_station_type":"tele_waterlevel","left_bank":57.641001,"right_bank":56.685001,"min_bank":31.4,"ground_level":24.97,"offset":25.200001,"sub_basin_id":300,"agency_id":12,"geocode_id":7072,"hydro_id":7,"qmax":300,"is_key_station":fals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Luang"},"province_code":"76","province_name":{"th":"เพชรบุรี","en":"Phetchaburi"}},"diff_wl_bank":"2.00","diff_wl_bank_text":"ต่ำกว่าตลิ่ง (ม.)","river_gid":210249,"river_name":"แม่น้ำเพชรบุรี"}</t>
  </si>
  <si>
    <t>THAIWATER_WL:861</t>
  </si>
  <si>
    <t>STU001</t>
  </si>
  <si>
    <t>เมืองสตูล</t>
  </si>
  <si>
    <t>คลองน้ำพระ</t>
  </si>
  <si>
    <t>2026-09-26T05:13:25.000Z</t>
  </si>
  <si>
    <t>2026-10-02T04:21:25.932Z</t>
  </si>
  <si>
    <t>{"id":"22f94af8-8aaa-eb37-33b6-4c1157969a24","district":"คันนายาว","category":"ศูนย์พักพิงชั่วคราว","name":"โรงเรียนคันนายาว(ธารินเจริญสงเคราะห์)","capacity":50,"occupied":24,"available":26,"unitType":"คน","status":"เปิดให้บริการ/ว่าง","routeDetails":"","link":"https://maps.app.goo.gl/Rq9QRAASxyA2kfXn7","additionalDetails":null,"createdAt":"2026-09-26T05:13:25.000Z","updatedAt":"2026-10-02T04:21:25.932Z"}</t>
  </si>
  <si>
    <t>https://www.google.com/maps/place/%E0%B9%82%E0%B8%A3%E0%B8%87%E0%B9%80%E0%B8%A3%E0%B8%B5%E0%B8%A2%E0%B8%99%E0%B8%84%E0%B8%B1%E0%B8%99%E0%B8%99%E0%B8%B2%E0%B8%A2%E0%B8%B2%E0%B8%A7+(%E0%B8%98%E0%B8%B2%E0%B8%A3%E0%B8%B4%E0%B8%99%E0%B9%80%E0%B8%88%E0%B8%A3%E0%B8%B4%E0%B8%8D%E0%B8%AA%E0%B8%87%E0%B9%80%E0%B8%84%E0%B8%A3%E0%B8%B2%E0%B8%B0%E0%B8%AB%E0%B9%8C)/@13.7933456,100.6919606,17z/data=!3m1!4b1!4m6!3m5!1s0x311d63ecf593c8af:0xc2f297330d7235a8!8m2!3d13.7933404!4d100.6945355!16s%2Fg%2F11jyg92xyb?entry=tts&amp;g_ep=EgoyMDI2MDkyMy4wIPu8ASoASAFQAw%3D%3D&amp;skid=0ce409a5-948d-4deb-938f-a1715113a590</t>
  </si>
  <si>
    <t>{"id":1317594608,"waterlevel_datetime":"2026-10-03 15:10","waterlevel_m":null,"waterlevel_msl":"14.11","waterlevel_msl_previous":"14.11","flow_rate":null,"discharge":null,"storage_percent":"68.81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Basin"}},"station":{"id":861,"tele_station_name":{"en":"Satun 1","th":"เมืองสตูล"},"tele_station_lat":6.726527,"tele_station_long":100.06259,"tele_station_oldcode":"STU001","tele_station_type":"tele_waterlevel","left_bank":15.286,"right_bank":15.284,"min_bank":15.28,"ground_level":11.52,"offset":null,"sub_basin_id":352,"agency_id":9,"geocode_id":7922,"hydro_id":null,"qmax":null,"is_key_station":false,"warning_level_m":null,"critical_level_m":null,"critical_level_msl":null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District"},"tumbon_code":"05","tumbon_name":{"th":"ฉลุง","en":"Chalung"},"province_code":"91","province_name":{"th":"สตูล","en":"Satun"}},"diff_wl_bank":"1.17","diff_wl_bank_text":"ต่ำกว่าตลิ่ง (ม.)","river_gid":229001,"river_name":"คลองน้ำพระ"}</t>
  </si>
  <si>
    <t>THAIWATER_WL:1109514</t>
  </si>
  <si>
    <t>ONE025</t>
  </si>
  <si>
    <t>สะพานข้ามคลองลำปำ</t>
  </si>
  <si>
    <t>คลองลำปำ</t>
  </si>
  <si>
    <t>{"id":1317594480,"waterlevel_datetime":"2026-10-03 15:10","waterlevel_m":null,"waterlevel_msl":"0.24","waterlevel_msl_previous":"0.24","flow_rate":null,"discharge":null,"storage_percent":"68.76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Basin"}},"station":{"id":1109514,"tele_station_name":{"en":"Khlong Lampam Bridge","th":"สะพานข้ามคลองลำปำ"},"tele_station_lat":7.62273,"tele_station_long":100.146835,"tele_station_oldcode":"ONE025","tele_station_type":"tele_waterlevel","left_bank":1.95,"right_bank":1.372,"min_bank":1.37,"ground_level":-2.252,"offset":null,"sub_basin_id":329,"agency_id":9,"geocode_id":8067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District"},"tumbon_code":"09","tumbon_name":{"th":"ลำปำ","en":"Lampam"},"province_code":"93","province_name":{"th":"พัทลุง","en":"Phatthalung"}},"diff_wl_bank":"1.13","diff_wl_bank_text":"ต่ำกว่าตลิ่ง (ม.)","river_gid":224492,"river_name":"คลองลำปำ"}</t>
  </si>
  <si>
    <t>THAIWATER_WL:826</t>
  </si>
  <si>
    <t>TPI002</t>
  </si>
  <si>
    <t>พุนพิน 2</t>
  </si>
  <si>
    <t>แม่น้ำพุมดวง</t>
  </si>
  <si>
    <t>{"id":1317594665,"waterlevel_datetime":"2026-10-03 15:10","waterlevel_m":null,"waterlevel_msl":"0.85","waterlevel_msl_previous":"0.81","flow_rate":null,"discharge":null,"storage_percent":"68.73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Basin"}},"station":{"id":826,"tele_station_name":{"en":"Tapi 2","th":"พุนพิน 2"},"tele_station_lat":9.085781,"tele_station_long":99.170006,"tele_station_oldcode":"TPI002","tele_station_type":"tele_waterlevel","left_bank":3.85,"right_bank":3.635,"min_bank":3.64,"ground_level":-5.27,"offset":null,"sub_basin_id":316,"agency_id":9,"geocode_id":7646,"hydro_id":null,"qmax":null,"is_key_station":false,"warning_level_m":null,"critical_level_m":null,"critical_level_msl":null},"geocode":{"area_code":"5","area_name":{"th":"ภาคใต้","en":"South"},"amphoe_code":"17","amphoe_name":{"th":"พุนพิน","en":"Phunphin District"},"tumbon_code":"14","tumbon_name":{"th":"หนองไทร","en":"Nong Sai"},"province_code":"84","province_name":{"th":"สุราษฎร์ธานี","en":"Surat Thani"}},"diff_wl_bank":"2.78","diff_wl_bank_text":"ต่ำกว่าตลิ่ง (ม.)","river_gid":216291,"river_name":"แม่น้ำพุมดวง"}</t>
  </si>
  <si>
    <t>THAIWATER_WL:1098952</t>
  </si>
  <si>
    <t>B.18</t>
  </si>
  <si>
    <t>เขาลูกช้าง</t>
  </si>
  <si>
    <t>{"id":1317575420,"waterlevel_datetime":"2026-10-03 14:00","waterlevel_m":null,"waterlevel_msl":"25.95","waterlevel_msl_previous":"25.95","flow_rate":null,"discharge":"134.50","storage_percent":"68.54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1098952,"tele_station_name":{"th":"เขาลูกช้าง"},"tele_station_lat":12.81337,"tele_station_long":99.794022,"tele_station_oldcode":"B.18","tele_station_type":"tele_waterlevel","left_bank":50.438,"right_bank":52.544,"min_bank":28,"ground_level":21.484,"offset":21,"sub_basin_id":300,"agency_id":12,"geocode_id":7070,"hydro_id":7,"qmax":290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District"},"tumbon_code":"06","tumbon_name":{"th":"ท่าไม้รวก","en":"Tha Mai Ruak"},"province_code":"76","province_name":{"th":"เพชรบุรี","en":"Phetchaburi"}},"diff_wl_bank":"2.05","diff_wl_bank_text":"ต่ำกว่าตลิ่ง (ม.)","river_gid":210200,"river_name":"แม่น้ำเพชรบุรี"}</t>
  </si>
  <si>
    <t>THAIWATER_WL:1035521</t>
  </si>
  <si>
    <t>M.95A</t>
  </si>
  <si>
    <t>บ้านดอนยาง</t>
  </si>
  <si>
    <t>ลำเสียว</t>
  </si>
  <si>
    <t>{"id":1317571340,"waterlevel_datetime":"2026-10-03 14:00","waterlevel_m":null,"waterlevel_msl":"120.79","waterlevel_msl_previous":"120.80","flow_rate":null,"discharge":"5.60","storage_percent":"68.48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1035521,"tele_station_name":{"th":"บ้านดอนยาง"},"tele_station_lat":15.57186,"tele_station_long":103.819847,"tele_station_oldcode":"M.95A","tele_station_type":"tele_waterlevel","left_bank":123.10999799999999,"right_bank":123.10999799999999,"min_bank":123.11,"ground_level":115.75,"offset":115.809998,"sub_basin_id":133,"agency_id":12,"geocode_id":4140,"hydro_id":4,"qmax":140.300003,"is_key_station":false,"warning_level_m":null,"critical_level_m":null,"critical_level_msl":null},"geocode":{"area_code":"4","area_name":{"th":"ภาคตะวันออกเฉียงเหนือ","en":"Northeast"},"amphoe_code":"11","amphoe_name":{"th":"สุวรรณภูมิ","en":"Suwannaphum District"},"tumbon_code":"01","tumbon_name":{"th":"สระคู","en":"Sa Khu"},"province_code":"45","province_name":{"th":"ร้อยเอ็ด","en":"Roi Et"}},"diff_wl_bank":"2.32","diff_wl_bank_text":"ต่ำกว่าตลิ่ง (ม.)","river_gid":142603,"river_name":"ลำเสียว"}</t>
  </si>
  <si>
    <t>THAIWATER_WL:1373690</t>
  </si>
  <si>
    <t>PTTEP1</t>
  </si>
  <si>
    <t xml:space="preserve"> สะพานข้ามคลองโคน</t>
  </si>
  <si>
    <t>d1c79939-24e8-8046-816c-c6301ab8be5e</t>
  </si>
  <si>
    <t>โรงเรียนจินดาบำรุง</t>
  </si>
  <si>
    <t>https://maps.app.goo.gl/wPVxWdJ9mRoZ4SeF7</t>
  </si>
  <si>
    <t>{"id":1317594525,"waterlevel_datetime":"2026-10-03 15:10","waterlevel_m":null,"waterlevel_msl":"0.77","waterlevel_msl_previous":"0.79","flow_rate":null,"discharge":null,"storage_percent":"68.36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Basin"}},"station":{"id":1373690,"tele_station_name":{"en":"Khlong Khon Bridge ","th":" สะพานข้ามคลองโคน"},"tele_station_lat":13.3319,"tele_station_long":99.96896,"tele_station_oldcode":"PTTEP1","tele_station_type":"tele_waterlevel","left_bank":1.95,"right_bank":2.105,"min_bank":1.95,"ground_level":-1.78,"offset":null,"sub_basin_id":302,"sponsor_by":"บริษัท ปตท.สำรวจและผลิตปิโตรเลียม จำกัด (มหาชน)","agency_id":9,"geocode_id":6982,"hydro_id":null,"qmax":null,"is_key_station":false,"warning_level_m":null,"critical_level_m":null,"critical_level_msl":null},"geocode":{"area_code":"2","area_name":{"th":"ภาคกลาง","en":"Central"},"amphoe_code":"01","amphoe_name":{"th":"เมืองสมุทรสงคราม","en":"Mueang Samut Songkhram District"},"tumbon_code":"09","tumbon_name":{"th":"คลองโคน","en":"Khlong Khon"},"province_code":"75","province_name":{"th":"สมุทรสงคราม","en":"Samut Songkhram"}},"diff_wl_bank":"1.18","diff_wl_bank_text":"ต่ำกว่าตลิ่ง (ม.)"}</t>
  </si>
  <si>
    <t>THAIWATER_WL:2914</t>
  </si>
  <si>
    <t>P.50A</t>
  </si>
  <si>
    <t>คลองวังเจ้า</t>
  </si>
  <si>
    <t>2026-09-26T06:58:42.000Z</t>
  </si>
  <si>
    <t>2026-10-03T03:33:12.526Z</t>
  </si>
  <si>
    <t>{"id":1317572405,"waterlevel_datetime":"2026-10-03 14:00","waterlevel_m":null,"waterlevel_msl":"107.02","waterlevel_msl_previous":"107.03","flow_rate":null,"discharge":"42.74","storage_percent":"68.32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2914,"tele_station_name":{"th":"คลองวังเจ้า"},"tele_station_lat":16.63925,"tele_station_long":99.242813,"tele_station_oldcode":"P.50A","tele_station_type":"tele_waterlevel","left_bank":214.090001,"right_bank":214.215001,"min_bank":108.06,"ground_level":104.783,"offset":104.360001,"sub_basin_id":180,"agency_id":12,"geocode_id":6033,"hydro_id":2,"qmax":122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District"},"tumbon_code":"01","tumbon_name":{"th":"เชียงทอง","en":"Chiang Thong"},"province_code":"63","province_name":{"th":"ตาก","en":"Tak"}},"diff_wl_bank":"1.04","diff_wl_bank_text":"ต่ำกว่าตลิ่ง (ม.)","river_gid":95190,"river_name":"คลองวังเจ้า"}</t>
  </si>
  <si>
    <t>THAIWATER_WL:661</t>
  </si>
  <si>
    <t>KWN001</t>
  </si>
  <si>
    <t>นครไทย</t>
  </si>
  <si>
    <t>{"id":"d1c79939-24e8-8046-816c-c6301ab8be5e","district":"คันนายาว","category":"ศูนย์พักพิงชั่วคราว","name":"โรงเรียนจินดาบำรุง","capacity":400,"occupied":82,"available":318,"unitType":"คน","status":"เปิดให้บริการ/ว่าง","routeDetails":"","link":"https://maps.app.goo.gl/wPVxWdJ9mRoZ4SeF7","additionalDetails":null,"createdAt":"2026-09-26T06:58:42.000Z","updatedAt":"2026-10-03T03:33:12.526Z"}</t>
  </si>
  <si>
    <t>https://www.google.com/maps/place/%E0%B9%82%E0%B8%A3%E0%B8%87%E0%B9%80%E0%B8%A3%E0%B8%B5%E0%B8%A2%E0%B8%99%E0%B8%88%E0%B8%B4%E0%B8%99%E0%B8%94%E0%B8%B2%E0%B8%9A%E0%B8%B3%E0%B8%A3%E0%B8%B8%E0%B8%87/@13.8485114,100.6569387,17z/data=!3m1!4b1!4m6!3m5!1s0x311d62dc1d485601:0xcf4d8ec7caa1e524!8m2!3d13.8485062!4d100.6595136!16s%2Fg%2F1v46xtv9?entry=tts&amp;g_ep=EgoyMDI2MDkyMy4wIPu8ASoASAFQAw%3D%3D&amp;skid=d3cf7bbc-6ed9-4116-abc8-ee4e0ccf76dd</t>
  </si>
  <si>
    <t>{"id":1317594362,"waterlevel_datetime":"2026-10-03 15:10","waterlevel_m":null,"waterlevel_msl":"200.48","waterlevel_msl_previous":"200.48","flow_rate":null,"discharge":null,"storage_percent":"68.32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Basin"}},"station":{"id":661,"tele_station_name":{"en":"Nakhon Thai","th":"นครไทย"},"tele_station_lat":17.10701,"tele_station_long":100.84587,"tele_station_oldcode":"KWN001","tele_station_type":"tele_waterlevel","left_bank":202.195,"right_bank":202.291,"min_bank":202.2,"ground_level":196.785,"offset":null,"sub_basin_id":233,"agency_id":9,"geocode_id":6155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District"},"tumbon_code":"01","tumbon_name":{"th":"นครไทย","en":"Nakhon Thai"},"province_code":"65","province_name":{"th":"พิษณุโลก","en":"Phitsanulok"}},"diff_wl_bank":"1.71","diff_wl_bank_text":"ต่ำกว่าตลิ่ง (ม.)","river_gid":87710,"river_name":"น้ำแควน้อย"}</t>
  </si>
  <si>
    <t>THAIWATER_WL:2569</t>
  </si>
  <si>
    <t>B.3A</t>
  </si>
  <si>
    <t>บ้านสองพี่น้อง</t>
  </si>
  <si>
    <t>{"id":1317575412,"waterlevel_datetime":"2026-10-03 14:00","waterlevel_m":null,"waterlevel_msl":"43.82","waterlevel_msl_previous":"43.82","flow_rate":null,"discharge":"113.50","storage_percent":"67.82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2569,"tele_station_name":{"th":"บ้านสองพี่น้อง"},"tele_station_lat":12.86361,"tele_station_long":99.678497,"tele_station_oldcode":"B.3A","tele_station_type":"tele_waterlevel","left_bank":89.684,"right_bank":89.339,"min_bank":45.4,"ground_level":40.49,"offset":41,"sub_basin_id":300,"agency_id":12,"geocode_id":7109,"hydro_id":7,"qmax":260,"is_key_station":tru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District"},"tumbon_code":"02","tumbon_name":{"th":"สองพี่น้อง","en":"Song Phi Nong"},"province_code":"76","province_name":{"th":"เพชรบุรี","en":"Phetchaburi"}},"diff_wl_bank":"1.58","diff_wl_bank_text":"ต่ำกว่าตลิ่ง (ม.)","river_gid":210026,"river_name":"แม่น้ำเพชรบุรี"}</t>
  </si>
  <si>
    <t>THAIWATER_WL:1079995</t>
  </si>
  <si>
    <t>X.233</t>
  </si>
  <si>
    <t>บ้านไสหาร</t>
  </si>
  <si>
    <t>แม่น้ำตรัง</t>
  </si>
  <si>
    <t>{"id":1317539103,"waterlevel_datetime":"2026-10-03 12:00","waterlevel_m":null,"waterlevel_msl":"14.59","waterlevel_msl_previous":"14.59","flow_rate":null,"discharge":"27.33","storage_percent":"67.24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1079995,"tele_station_name":{"th":"บ้านไสหาร"},"tele_station_lat":7.90741,"tele_station_long":99.542389,"tele_station_oldcode":"X.233","tele_station_type":"tele_waterlevel","left_bank":22,"right_bank":22,"min_bank":21.7,"ground_level":0,"offset":null,"sub_basin_id":349,"agency_id":12,"geocode_id":8031,"hydro_id":8,"qmax":243,"is_key_station":false,"warning_level_m":null,"critical_level_m":null,"critical_level_msl":null},"geocode":{"area_code":"5","area_name":{"th":"ภาคใต้","en":"South"},"amphoe_code":"06","amphoe_name":{"th":"ห้วยยอด","en":"Huai Yot District"},"tumbon_code":"17","tumbon_name":{"th":"ห้วยนาง","en":"Huai Nang"},"province_code":"92","province_name":{"th":"ตรัง","en":"Trang"}},"diff_wl_bank":"7.11","diff_wl_bank_text":"ต่ำกว่าตลิ่ง (ม.)","river_gid":223238,"river_name":"แม่น้ำตรัง"}</t>
  </si>
  <si>
    <t>THAIWATER_WL:505011</t>
  </si>
  <si>
    <t>Z.38</t>
  </si>
  <si>
    <t>บ้านเขาโบสถ์</t>
  </si>
  <si>
    <t>คลองกระเฉด</t>
  </si>
  <si>
    <t>12135531-bf8d-18d0-0d58-727f2f37a01e</t>
  </si>
  <si>
    <t>ราชภัฏจันทรเกษม</t>
  </si>
  <si>
    <t>08 1372 5898</t>
  </si>
  <si>
    <t>2026-09-26T05:38:34.000Z</t>
  </si>
  <si>
    <t>2026-09-27T06:25:57.691Z</t>
  </si>
  <si>
    <t>{"id":1317582849,"waterlevel_datetime":"2026-10-03 14:00","waterlevel_m":null,"waterlevel_msl":"9.43","waterlevel_msl_previous":"9.44","flow_rate":null,"discharge":"16.60","storage_percent":"67.19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505011,"tele_station_name":{"th":"บ้านเขาโบสถ์"},"tele_station_lat":12.73796,"tele_station_long":101.228401,"tele_station_oldcode":"Z.38","tele_station_type":"tele_waterlevel","left_bank":18.909,"right_bank":18.919,"min_bank":10.6,"ground_level":7.034,"offset":8.1,"sub_basin_id":291,"agency_id":12,"geocode_id":1190,"hydro_id":6,"qmax":53.5,"is_key_station":true,"warning_level_m":null,"critical_level_m":null,"critical_level_msl":null},"geocode":{"area_code":"2","area_name":{"th":"ภาคกลาง","en":"Central"},"amphoe_code":"01","amphoe_name":{"th":"เมืองระยอง","en":"Mueang Rayong District"},"tumbon_code":"11","tumbon_name":{"th":"ทับมา","en":"Thap Ma"},"province_code":"21","province_name":{"th":"ระยอง","en":"Rayong"}},"diff_wl_bank":"1.17","diff_wl_bank_text":"ต่ำกว่าตลิ่ง (ม.)","river_gid":204339,"river_name":"คลองกระเฉด"}</t>
  </si>
  <si>
    <t>THAIWATER_WL:1394793</t>
  </si>
  <si>
    <t>MOU226</t>
  </si>
  <si>
    <t>{"id":"12135531-bf8d-18d0-0d58-727f2f37a01e","district":"จตุจักร","category":"ศูนย์พักพิงชั่วคราว","name":"ราชภัฏจันทรเกษม","capacity":100,"occupied":2,"available":98,"unitType":"คน","status":"เปิดให้บริการ/ว่าง","routeDetails":"","link":null,"additionalDetails":"08 1372 5898","createdAt":"2026-09-26T05:38:34.000Z","updatedAt":"2026-09-27T06:25:57.691Z"}</t>
  </si>
  <si>
    <t>สะพานน้ำชี</t>
  </si>
  <si>
    <t>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</t>
  </si>
  <si>
    <t>{"id":1317594067,"waterlevel_datetime":"2026-10-03 15:10","waterlevel_m":null,"waterlevel_msl":"228.49","waterlevel_msl_previous":"228.49","flow_rate":null,"discharge":null,"storage_percent":"66.58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Foundation","jp":""},"agency_shortname":{"th":"พพภ","en":"FOP","jp":""}},"basin":{"id":4,"basin_code":4,"basin_name":{"th":"ลุ่มน้ำชี","en":"Chi Basin Basin"}},"station":{"id":1394793,"tele_station_name":{"en":"Chi Bridge","th":"สะพานน้ำชี"},"tele_station_lat":16.15583,"tele_station_long":101.65372,"tele_station_oldcode":"MOU226","tele_station_type":"tele_waterlevel","left_bank":232.175,"right_bank":231.703,"min_bank":231.7,"ground_level":222.089,"offset":null,"sub_basin_id":77,"sponsor_by":"มูลนิธิอาสาเพื่อนพึ่ง (ภาฯ) ยามยาก สภากาชาดไทย","agency_id":91,"geocode_id":3002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หนองบัวแดง","en":"Nong Bua Daeng District"},"tumbon_code":"07","tumbon_name":{"th":"หนองแวง","en":"Nong Waeng"},"province_code":"36","province_name":{"th":"ชัยภูมิ","en":"Chaiyaphum"}},"diff_wl_bank":"3.21","diff_wl_bank_text":"ต่ำกว่าตลิ่ง (ม.)"}</t>
  </si>
  <si>
    <t>THAIWATER_WL:749</t>
  </si>
  <si>
    <t>VLGE20</t>
  </si>
  <si>
    <t>ศาลาดิน</t>
  </si>
  <si>
    <t>คลองหม่อมเจ้าเฉลิมศรี</t>
  </si>
  <si>
    <t>{"id":1317594683,"waterlevel_datetime":"2026-10-03 15:10","waterlevel_m":null,"waterlevel_msl":"0.86","waterlevel_msl_previous":"0.86","flow_rate":null,"discharge":null,"storage_percent":"66.47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Basin"}},"station":{"id":749,"tele_station_name":{"en":"Saladin Communuty","th":"ศาลาดิน"},"tele_station_lat":13.80777,"tele_station_long":100.27417,"tele_station_oldcode":"VLGE20","tele_station_type":"tele_waterlevel","left_bank":2.372,"right_bank":2.311,"min_bank":2.31,"ground_level":-2.017,"offset":null,"sub_basin_id":259,"agency_id":9,"geocode_id":6927,"hydro_id":null,"qmax":null,"is_key_station":false,"warning_level_m":null,"critical_level_m":null,"critical_level_msl":null},"geocode":{"area_code":"2","area_name":{"th":"ภาคกลาง","en":"Central"},"amphoe_code":"07","amphoe_name":{"th":"พุทธมณฑล","en":"Phutthamonthon District"},"tumbon_code":"03","tumbon_name":{"th":"มหาสวัสดิ์","en":"Mahasawat"},"province_code":"73","province_name":{"th":"นครปฐม","en":"Nakhon Pathom"}},"diff_wl_bank":"1.45","diff_wl_bank_text":"ต่ำกว่าตลิ่ง (ม.)","river_gid":186653,"river_name":"คลองหม่อมเจ้าเฉลิมศรี"}</t>
  </si>
  <si>
    <t>THAIWATER_WL:2677</t>
  </si>
  <si>
    <t>Kgt.10</t>
  </si>
  <si>
    <t>บ้านเนินผาสุก</t>
  </si>
  <si>
    <t>{"id":1317582834,"waterlevel_datetime":"2026-10-03 14:00","waterlevel_m":null,"waterlevel_msl":"31.45","waterlevel_msl_previous":"31.42","flow_rate":null,"discharge":"118.00","storage_percent":"66.29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2677,"tele_station_name":{"th":"บ้านเนินผาสุก"},"tele_station_lat":13.8096,"tele_station_long":102.054382,"tele_station_oldcode":"Kgt.10","tele_station_type":"tele_waterlevel","left_bank":58.801,"right_bank":59.247,"min_bank":35,"ground_level":24.468,"offset":24,"sub_basin_id":277,"agency_id":12,"geocode_id":1610,"hydro_id":6,"qmax":300,"is_key_station":false,"warning_level_m":null,"critical_level_m":null,"critical_level_msl":null},"geocode":{"area_code":"2","area_name":{"th":"ภาคกลาง","en":"Central"},"amphoe_code":"01","amphoe_name":{"th":"เมืองสระแก้ว","en":"Mueang Sa Kaeo District"},"tumbon_code":"08","tumbon_name":{"th":"สระขวัญ","en":"Sa Khwan"},"province_code":"27","province_name":{"th":"สระแก้ว","en":"Sa Kaeo"}},"diff_wl_bank":"3.55","diff_wl_bank_text":"ต่ำกว่าตลิ่ง (ม.)","river_gid":196387,"river_name":"คลองพระสะทึง"}</t>
  </si>
  <si>
    <t>THAIWATER_WL:2986</t>
  </si>
  <si>
    <t>Y.4</t>
  </si>
  <si>
    <t>ต.ธานี</t>
  </si>
  <si>
    <t>{"id":1317572409,"waterlevel_datetime":"2026-10-03 14:00","waterlevel_m":null,"waterlevel_msl":"48.38","waterlevel_msl_previous":"48.38","flow_rate":null,"discharge":"181.00","storage_percent":"66.25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2986,"tele_station_name":{"th":"ต.ธานี"},"tele_station_lat":17.006359,"tele_station_long":99.822113,"tele_station_oldcode":"Y.4","tele_station_type":"tele_waterlevel","left_bank":95.052999,"right_bank":95.052999,"min_bank":51.59,"ground_level":42.08,"offset":43.439999,"sub_basin_id":213,"agency_id":12,"geocode_id":6038,"hydro_id":2,"qmax":510,"is_key_station":true,"warning_level_m":null,"critical_level_m":7.4,"critical_level_msl":50.87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District"},"tumbon_code":"01","tumbon_name":{"th":"ธานี","en":"Thani"},"province_code":"64","province_name":{"th":"สุโขทัย","en":"Sukhothai"}},"diff_wl_bank":"3.21","diff_wl_bank_text":"ต่ำกว่าตลิ่ง (ม.)","river_gid":89117,"river_name":"แม่น้ำยม"}</t>
  </si>
  <si>
    <t>THAIWATER_WL:1109525</t>
  </si>
  <si>
    <t>ONE036</t>
  </si>
  <si>
    <t>สะพานเทพาสันติสุข</t>
  </si>
  <si>
    <t>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</t>
  </si>
  <si>
    <t>{"id":1317594486,"waterlevel_datetime":"2026-10-03 15:10","waterlevel_m":null,"waterlevel_msl":"0.41","waterlevel_msl_previous":"0.40","flow_rate":null,"discharge":null,"storage_percent":"66.16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Basin"}},"station":{"id":1109525,"tele_station_name":{"en":"Thepha Santi Suk Bridge","th":"สะพานเทพาสันติสุข"},"tele_station_lat":6.825135,"tele_station_long":100.972626,"tele_station_oldcode":"ONE036","tele_station_type":"tele_waterlevel","left_bank":2.428,"right_bank":3.207,"min_bank":2.43,"ground_level":-3.535,"offset":null,"sub_basin_id":333,"agency_id":9,"geocode_id":7819,"hydro_id":null,"qmax":null,"is_key_station":false,"warning_level_m":null,"critical_level_m":null,"critical_level_msl":null},"geocode":{"area_code":"5","area_name":{"th":"ภาคใต้","en":"South"},"amphoe_code":"05","amphoe_name":{"th":"เทพา","en":"Thepha District"},"tumbon_code":"01","tumbon_name":{"th":"เทพา","en":"Thepha"},"province_code":"90","province_name":{"th":"สงขลา","en":"Songkhla"}},"diff_wl_bank":"2.02","diff_wl_bank_text":"ต่ำกว่าตลิ่ง (ม.)","river_gid":228233,"river_name":"คลองเทพา"}</t>
  </si>
  <si>
    <t>THAIWATER_WL:691</t>
  </si>
  <si>
    <t>PAS002</t>
  </si>
  <si>
    <t>เมืองเพชรบูรณ์</t>
  </si>
  <si>
    <t>{"id":1317594499,"waterlevel_datetime":"2026-10-03 15:10","waterlevel_m":null,"waterlevel_msl":"114.24","waterlevel_msl_previous":"114.24","flow_rate":null,"discharge":null,"storage_percent":"66.09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Basin"}},"station":{"id":691,"tele_station_name":{"en":"Pa Sak 2","th":"เมืองเพชรบูรณ์"},"tele_station_lat":16.44786,"tele_station_long":101.17017,"tele_station_oldcode":"PAS002","tele_station_type":"tele_waterlevel","left_bank":117.179,"right_bank":117.127,"min_bank":117.13,"ground_level":108.607,"offset":null,"sub_basin_id":249,"agency_id":9,"geocode_id":6343,"hydro_id":null,"qmax":null,"is_key_station":fals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District"},"tumbon_code":"04","tumbon_name":{"th":"สะเดียง","en":"Sadiang"},"province_code":"67","province_name":{"th":"เพชรบูรณ์","en":"Phetchabun"}},"diff_wl_bank":"2.89","diff_wl_bank_text":"ต่ำกว่าตลิ่ง (ม.)","river_gid":164070,"river_name":"แม่น้ำป่าสัก"}</t>
  </si>
  <si>
    <t>THAIWATER_WL:9931004</t>
  </si>
  <si>
    <t>LDD002</t>
  </si>
  <si>
    <t xml:space="preserve">บ้านกำพี้ </t>
  </si>
  <si>
    <t>{"id":1317594366,"waterlevel_datetime":"2026-10-03 15:10","waterlevel_m":null,"waterlevel_msl":"159.81","waterlevel_msl_previous":"159.81","flow_rate":null,"discharge":null,"storage_percent":"66.04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Basin"}},"station":{"id":9931004,"tele_station_name":{"en":"Ban Kamphi","th":"บ้านกำพี้ "},"tele_station_lat":15.95648,"tele_station_long":103.1543,"tele_station_oldcode":"LDD002","tele_station_type":"tele_waterlevel","left_bank":161.3329,"right_bank":161.2189,"min_bank":161.22,"ground_level":157.079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Sarakham"}},"diff_wl_bank":"1.41","diff_wl_bank_text":"ต่ำกว่าตลิ่ง (ม.)"}</t>
  </si>
  <si>
    <t>THAIWATER_WL:1109527</t>
  </si>
  <si>
    <t>ONE038</t>
  </si>
  <si>
    <t>สะพานสวนเฉลิมพระเกียรติ 72 พรรษามหาราชินี</t>
  </si>
  <si>
    <t>ทะเลสาบสงขลา</t>
  </si>
  <si>
    <t>39/1 ถ. รัชดาภิเษก แขวงจันทรเกษม เขตจตุจักร กรุงเทพมหานคร 10900 ประเทศไทย</t>
  </si>
  <si>
    <t>ChIJ_b98oKud4jARsDILPbMAAQ8</t>
  </si>
  <si>
    <t>9f1c27dc-35ca-d9bf-1f98-89db992049b8</t>
  </si>
  <si>
    <t>วัดเทวสุนทร</t>
  </si>
  <si>
    <t>09 4242 4571</t>
  </si>
  <si>
    <t>{"id":1317594488,"waterlevel_datetime":"2026-10-03 15:10","waterlevel_m":null,"waterlevel_msl":"0.32","waterlevel_msl_previous":"0.25","flow_rate":null,"discharge":null,"storage_percent":"65.89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Basin"}},"station":{"id":1109527,"tele_station_name":{"en":"Queen Bridge","th":"สะพานสวนเฉลิมพระเกียรติ 72 พรรษามหาราชินี"},"tele_station_lat":7.182746,"tele_station_long":100.59448,"tele_station_oldcode":"ONE038","tele_station_type":"tele_waterlevel","left_bank":0.902,"right_bank":1.008,"min_bank":0.9,"ground_level":-0.804,"offset":null,"sub_basin_id":330,"agency_id":9,"geocode_id":7908,"hydro_id":null,"qmax":null,"is_key_station":false,"warning_level_m":null,"critical_level_m":null,"critical_level_msl":null},"geocode":{"area_code":"5","area_name":{"th":"ภาคใต้","en":"South"},"amphoe_code":"15","amphoe_name":{"th":"สิงหนคร","en":"Singhanakhon District"},"tumbon_code":"09","tumbon_name":{"th":"หัวเขา","en":"Hua Khao"},"province_code":"90","province_name":{"th":"สงขลา","en":"Songkhla"}},"diff_wl_bank":"0.58","diff_wl_bank_text":"ต่ำกว่าตลิ่ง (ม.)","river_gid":226587,"river_name":"ทะเลสาบสงขลา"}</t>
  </si>
  <si>
    <t>2026-09-27T06:26:19.755Z</t>
  </si>
  <si>
    <t>THAIWATER_WL:9931002</t>
  </si>
  <si>
    <t>LDD001</t>
  </si>
  <si>
    <t>บ้านหัวนาหนองจิก</t>
  </si>
  <si>
    <t>{"id":"9f1c27dc-35ca-d9bf-1f98-89db992049b8","district":"จตุจักร","category":"ศูนย์พักพิงชั่วคราว","name":"วัดเทวสุนทร","capacity":100,"occupied":70,"available":30,"unitType":"คน","status":"เปิดให้บริการ/ว่าง","routeDetails":"","link":null,"additionalDetails":"09 4242 4571","createdAt":"2026-09-26T05:38:34.000Z","updatedAt":"2026-09-27T06:26:19.755Z"}</t>
  </si>
  <si>
    <t>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</t>
  </si>
  <si>
    <t>{"id":1317594365,"waterlevel_datetime":"2026-10-03 15:10","waterlevel_m":null,"waterlevel_msl":"164.86","waterlevel_msl_previous":"164.86","flow_rate":null,"discharge":null,"storage_percent":"65.83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Basin"}},"station":{"id":9931002,"tele_station_name":{"en":"Ban Hua Na Nong Chik","th":"บ้านหัวนาหนองจิก"},"tele_station_lat":15.98427,"tele_station_long":103.14799,"tele_station_oldcode":"LDD001","tele_station_type":"tele_waterlevel","left_bank":166.1831,"right_bank":165.8881,"min_bank":165.89,"ground_level":162.8851,"offset":null,"sub_basin_id":130,"agency_id":9,"geocode_id":3923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District"},"tumbon_code":"06","tumbon_name":{"th":"กำพี้","en":"Kamphi"},"province_code":"44","province_name":{"th":"มหาสารคาม","en":"Maha Sarakham"}},"diff_wl_bank":"1.03","diff_wl_bank_text":"ต่ำกว่าตลิ่ง (ม.)"}</t>
  </si>
  <si>
    <t>THAIWATER_WL:2852</t>
  </si>
  <si>
    <t>E.9</t>
  </si>
  <si>
    <t>บ้านท่านางเลื่อน</t>
  </si>
  <si>
    <t>{"id":1317573778,"waterlevel_datetime":"2026-10-03 14:00","waterlevel_m":null,"waterlevel_msl":"157.71","waterlevel_msl_previous":"157.72","flow_rate":null,"discharge":"73.76","storage_percent":"65.73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2852,"tele_station_name":{"th":"บ้านท่านางเลื่อน"},"tele_station_lat":16.096939,"tele_station_long":102.570023,"tele_station_oldcode":"E.9","tele_station_type":"tele_waterlevel","left_bank":318.014006,"right_bank":316.466006,"min_bank":162.1,"ground_level":149.29,"offset":151.100006,"sub_basin_id":84,"agency_id":12,"geocode_id":3397,"hydro_id":3,"qmax":480,"is_key_station":tru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Kaen"}},"diff_wl_bank":"4.39","diff_wl_bank_text":"ต่ำกว่าตลิ่ง (ม.)","river_gid":134835,"river_name":"แม่น้ำชี"}</t>
  </si>
  <si>
    <t>THAIWATER_WL:1087618</t>
  </si>
  <si>
    <t>X.273</t>
  </si>
  <si>
    <t xml:space="preserve">บ้านปายอยือนิ </t>
  </si>
  <si>
    <t>{"id":1317523570,"waterlevel_datetime":"2026-10-03 12:00","waterlevel_m":null,"waterlevel_msl":"10.78","waterlevel_msl_previous":"10.73","flow_rate":null,"discharge":null,"storage_percent":"65.33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Basin"}},"station":{"id":1087618,"tele_station_name":{"th":"บ้านปายอยือนิ "},"tele_station_lat":6.47977,"tele_station_long":101.44474,"tele_station_oldcode":"X.273","tele_station_type":"tele_waterlevel","left_bank":16.5,"right_bank":16.5,"min_bank":16.5,"ground_level":0,"offset":null,"sub_basin_id":338,"agency_id":12,"geocode_id":8321,"hydro_id":8,"qmax":null,"is_key_station":true,"warning_level_m":null,"critical_level_m":null,"critical_level_msl":null},"geocode":{"area_code":"5","area_name":{"th":"ภาคใต้","en":"South"},"amphoe_code":"06","amphoe_name":{"th":"รามัน","en":"Raman District"},"tumbon_code":"16","tumbon_name":{"th":"ตะโล๊ะหะลอ","en":"Talo Halo"},"province_code":"95","province_name":{"th":"ยะลา","en":"Yala"}},"diff_wl_bank":"5.72","diff_wl_bank_text":"ต่ำกว่าตลิ่ง (ม.)","river_gid":230325,"river_name":"แม่น้ำสายบุรี"}</t>
  </si>
  <si>
    <t>THAIWATER_WL:740739</t>
  </si>
  <si>
    <t>FOP038</t>
  </si>
  <si>
    <t>สะพานบ้านแหลมโตนด</t>
  </si>
  <si>
    <t>คลองคุ้ง</t>
  </si>
  <si>
    <t>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</t>
  </si>
  <si>
    <t>{"id":1317594037,"waterlevel_datetime":"2026-10-03 15:10","waterlevel_m":null,"waterlevel_msl":"2.67","waterlevel_msl_previous":"2.67","flow_rate":null,"discharge":null,"storage_percent":"65.29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Basin"}},"station":{"id":740739,"tele_station_name":{"en":"Ban Laem Tanot Bridge","th":"สะพานบ้านแหลมโตนด"},"tele_station_lat":7.817578,"tele_station_long":100.047485,"tele_station_oldcode":"FOP038","tele_station_type":"tele_waterlevel","left_bank":4.0297,"right_bank":3.9357,"min_bank":3.94,"ground_level":0.2887,"offset":null,"sub_basin_id":328,"sponsor_by":"มูลนิธิอาสาเพื่อนพึ่ง (ภาฯ) ยามยาก สภากาชาดไทย","agency_id":91,"geocode_id":8095,"hydro_id":null,"qmax":null,"is_key_station":false,"warning_level_m":null,"critical_level_m":null,"critical_level_msl":null},"geocode":{"area_code":"5","area_name":{"th":"ภาคใต้","en":"South"},"amphoe_code":"05","amphoe_name":{"th":"ควนขนุน","en":"Khuan Khanun District"},"tumbon_code":"06","tumbon_name":{"th":"แหลมโตนด","en":"Laem Tanot"},"province_code":"93","province_name":{"th":"พัทลุง","en":"Phatthalung"}},"diff_wl_bank":"1.27","diff_wl_bank_text":"ต่ำกว่าตลิ่ง (ม.)","river_gid":223477,"river_name":"คลองคุ้ง"}</t>
  </si>
  <si>
    <t>THAIWATER_WL:1098852</t>
  </si>
  <si>
    <t>M.195</t>
  </si>
  <si>
    <t>บ้านสัมฤทธิ์</t>
  </si>
  <si>
    <t>{"id":1317571373,"waterlevel_datetime":"2026-10-03 14:00","waterlevel_m":null,"waterlevel_msl":"155.54","waterlevel_msl_previous":"155.54","flow_rate":null,"discharge":"82.20","storage_percent":"64.93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1098852,"tele_station_name":{"th":"บ้านสัมฤทธิ์"},"tele_station_lat":15.20926,"tele_station_long":102.392952,"tele_station_oldcode":"M.195","tele_station_type":"tele_waterlevel","left_bank":310.843003,"right_bank":310.836003,"min_bank":158.1,"ground_level":150.8,"offset":151.300003,"sub_basin_id":112,"agency_id":12,"geocode_id":1851,"hydro_id":4,"qmax":320,"is_key_station":false,"warning_level_m":null,"critical_level_m":null,"critical_level_msl":null},"geocode":{"area_code":"4","area_name":{"th":"ภาคตะวันออกเฉียงเหนือ","en":"Northeast"},"amphoe_code":"15","amphoe_name":{"th":"พิมาย","en":"Phimai District"},"tumbon_code":"02","tumbon_name":{"th":"สัมฤทธิ์","en":"Samrit"},"province_code":"30","province_name":{"th":"นครราชสีมา","en":"Nakhon Ratchasima"}},"diff_wl_bank":"2.56","diff_wl_bank_text":"ต่ำกว่าตลิ่ง (ม.)","river_gid":146899,"river_name":"แม่น้ำมูล"}</t>
  </si>
  <si>
    <t>THAIWATER_WL:700552</t>
  </si>
  <si>
    <t>MKSND02</t>
  </si>
  <si>
    <t>บ้านหนองบัว (K.35A)</t>
  </si>
  <si>
    <t>{"id":1317593138,"waterlevel_datetime":"2026-10-03 15:00","waterlevel_m":null,"waterlevel_msl":"25.18","waterlevel_msl_previous":"25.18","flow_rate":null,"discharge":"169.72","storage_percent":"64.88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Basin"}},"station":{"id":700552,"tele_station_name":{"th":"บ้านหนองบัว (K.35A)"},"tele_station_lat":14.06024,"tele_station_long":99.44414,"tele_station_oldcode":"MKSND02","tele_station_type":"tele_waterlevel","left_bank":27.03,"right_bank":29.4,"min_bank":27.03,"ground_level":21.765,"offset":null,"sub_basin_id":268,"agency_id":8,"geocode_id":6588,"hydro_id":null,"qmax":null,"is_key_station":false,"warning_level_m":null,"critical_level_m":null,"critical_level_msl":27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Bua"},"province_code":"71","province_name":{"th":"กาญจนบุรี","en":"Kanchanaburi"}},"diff_wl_bank":"1.85","diff_wl_bank_text":"ต่ำกว่าตลิ่ง (ม.)","river_gid":184963,"river_name":"แม่น้ำแควใหญ่"}</t>
  </si>
  <si>
    <t>THAIWATER_WL:2755</t>
  </si>
  <si>
    <t>M.11B</t>
  </si>
  <si>
    <t>บ้านโพธิ์ตาก</t>
  </si>
  <si>
    <t>33 ถ. วิภาวดีรังสิต แขวงจตุจักร เขตจตุจักร กรุงเทพมหานคร 10900 ประเทศไทย</t>
  </si>
  <si>
    <t>ChIJ40zku8Sc4jARb8d4ucY8494</t>
  </si>
  <si>
    <t>7bdd2d4b-db00-13d6-9352-6959208796ff</t>
  </si>
  <si>
    <t>โรงเรียนบ้านลาดพร้าว</t>
  </si>
  <si>
    <t>02 541 8512</t>
  </si>
  <si>
    <t>2026-09-27T06:26:36.496Z</t>
  </si>
  <si>
    <t>{"id":"7bdd2d4b-db00-13d6-9352-6959208796ff","district":"จตุจักร","category":"ศูนย์พักพิงชั่วคราว","name":"โรงเรียนบ้านลาดพร้าว","capacity":50,"occupied":16,"available":34,"unitType":"คน","status":"เปิดให้บริการ/ว่าง","routeDetails":"","link":null,"additionalDetails":"02 541 8512","createdAt":"2026-09-26T05:38:34.000Z","updatedAt":"2026-09-27T06:26:36.496Z"}</t>
  </si>
  <si>
    <t>{"id":1317571355,"waterlevel_datetime":"2026-10-03 14:00","waterlevel_m":null,"waterlevel_msl":"108.89","waterlevel_msl_previous":"108.89","flow_rate":null,"discharge":"1900.00","storage_percent":"64.58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2755,"tele_station_name":{"th":"บ้านโพธิ์ตาก"},"tele_station_lat":15.24992,"tele_station_long":105.239243,"tele_station_oldcode":"M.11B","tele_station_type":"tele_waterlevel","left_bank":216.926,"right_bank":217.53300000000002,"min_bank":112,"ground_level":103.22,"offset":104,"sub_basin_id":151,"agency_id":12,"geocode_id":2784,"hydro_id":4,"qmax":5180,"is_key_station":tru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Ratchathani"}},"diff_wl_bank":"3.11","diff_wl_bank_text":"ต่ำกว่าตลิ่ง (ม.)","river_gid":145985,"river_name":"แม่น้ำมูล"}</t>
  </si>
  <si>
    <t>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</t>
  </si>
  <si>
    <t>THAIWATER_WL:2881</t>
  </si>
  <si>
    <t>S.4B</t>
  </si>
  <si>
    <t>ต.ในเมือง</t>
  </si>
  <si>
    <t>{"id":1317572436,"waterlevel_datetime":"2026-10-03 14:00","waterlevel_m":null,"waterlevel_msl":"113.47","waterlevel_msl_previous":"113.49","flow_rate":null,"discharge":"64.89","storage_percent":"64.55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2881,"tele_station_name":{"th":"ต.ในเมือง"},"tele_station_lat":16.42322,"tele_station_long":101.162079,"tele_station_oldcode":"S.4B","tele_station_type":"tele_waterlevel","left_bank":223.372,"right_bank":223.559,"min_bank":115.7,"ground_level":109.41,"offset":106.5,"sub_basin_id":249,"agency_id":12,"geocode_id":6340,"hydro_id":2,"qmax":190,"is_key_station":true,"warning_level_m":null,"critical_level_m":null,"critical_level_msl":null},"geocode":{"area_code":"3","area_name":{"th":"ภาคเหนือ","en":"North"},"amphoe_code":"01","amphoe_name":{"th":"เมืองเพชรบูรณ์","en":"Mueang Phetchabun District"},"tumbon_code":"01","tumbon_name":{"th":"ในเมือง","en":"Nai Mueang"},"province_code":"67","province_name":{"th":"เพชรบูรณ์","en":"Phetchabun"}},"diff_wl_bank":"2.23","diff_wl_bank_text":"ต่ำกว่าตลิ่ง (ม.)","river_gid":164102,"river_name":"แม่น้ำป่าสัก"}</t>
  </si>
  <si>
    <t>THAIWATER_WL:640</t>
  </si>
  <si>
    <t>YOM012</t>
  </si>
  <si>
    <t>เมืองสุโขทัย</t>
  </si>
  <si>
    <t>{"id":1317594712,"waterlevel_datetime":"2026-10-03 15:10","waterlevel_m":null,"waterlevel_msl":"48.50","waterlevel_msl_previous":"48.51","flow_rate":null,"discharge":null,"storage_percent":"64.52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Basin"}},"station":{"id":640,"tele_station_name":{"en":"Yom 12","th":"เมืองสุโขทัย"},"tele_station_lat":17.02127,"tele_station_long":99.81973,"tele_station_oldcode":"YOM012","tele_station_type":"tele_waterlevel","left_bank":52.15,"right_bank":51.974,"min_bank":51.97,"ground_level":42.185,"offset":null,"sub_basin_id":211,"agency_id":9,"geocode_id":6038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District"},"tumbon_code":"01","tumbon_name":{"th":"ธานี","en":"Thani"},"province_code":"64","province_name":{"th":"สุโขทัย","en":"Sukhothai"}},"diff_wl_bank":"3.47","diff_wl_bank_text":"ต่ำกว่าตลิ่ง (ม.)","river_gid":89026,"river_name":"แม่น้ำยม"}</t>
  </si>
  <si>
    <t>THAIWATER_WL:1101573</t>
  </si>
  <si>
    <t>FOP062</t>
  </si>
  <si>
    <t>บ้านคลองใส หมู่ที่ 8</t>
  </si>
  <si>
    <t>คลองวาย</t>
  </si>
  <si>
    <t>{"id":1317594047,"waterlevel_datetime":"2026-10-03 15:10","waterlevel_m":null,"waterlevel_msl":"121.90","waterlevel_msl_previous":"121.90","flow_rate":null,"discharge":null,"storage_percent":"64.29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Basin"}},"station":{"id":1101573,"tele_station_name":{"en":"Ban Khlong Sai 8","th":"บ้านคลองใส หมู่ที่ 8"},"tele_station_lat":9.314687,"tele_station_long":98.889885,"tele_station_oldcode":"FOP062","tele_station_type":"tele_waterlevel","left_bank":123.972,"right_bank":124.198,"min_bank":123.97,"ground_level":118.17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Thani"}},"diff_wl_bank":"2.07","diff_wl_bank_text":"ต่ำกว่าตลิ่ง (ม.)","river_gid":215380,"river_name":"คลองวาย"}</t>
  </si>
  <si>
    <t>THAIWATER_WL:3002</t>
  </si>
  <si>
    <t>E.68A</t>
  </si>
  <si>
    <t>บ้านข้องโป้</t>
  </si>
  <si>
    <t>ลำพะเนียง</t>
  </si>
  <si>
    <t>{"id":1317573811,"waterlevel_datetime":"2026-10-03 14:00","waterlevel_m":null,"waterlevel_msl":"197.58","waterlevel_msl_previous":"197.58","flow_rate":null,"discharge":"17.00","storage_percent":"64.25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3002,"tele_station_name":{"th":"บ้านข้องโป้"},"tele_station_lat":17.082161,"tele_station_long":102.450798,"tele_station_oldcode":"E.68A","tele_station_type":"tele_waterlevel","left_bank":396.20899699999995,"right_bank":396.22799699999996,"min_bank":199.9,"ground_level":193.41,"offset":194.699997,"sub_basin_id":88,"agency_id":12,"geocode_id":3159,"hydro_id":3,"qmax":130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หนองบัวลำภู","en":"Mueang Nong Bua Lam Phu District"},"tumbon_code":"06","tumbon_name":{"th":"บ้านขาม","en":"Ban Kham"},"province_code":"39","province_name":{"th":"หนองบัวลำภู","en":"Nong Bua Lam Phu"}},"diff_wl_bank":"2.32","diff_wl_bank_text":"ต่ำกว่าตลิ่ง (ม.)","river_gid":122839,"river_name":"ลำพะเนียง"}</t>
  </si>
  <si>
    <t>THAIWATER_WL:717</t>
  </si>
  <si>
    <t>KRN002</t>
  </si>
  <si>
    <t>ไทรโยค</t>
  </si>
  <si>
    <t>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</t>
  </si>
  <si>
    <t>{"id":1317594359,"waterlevel_datetime":"2026-10-03 15:10","waterlevel_m":null,"waterlevel_msl":"40.59","waterlevel_msl_previous":"40.59","flow_rate":null,"discharge":null,"storage_percent":"64.09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Basin"}},"station":{"id":717,"tele_station_name":{"en":"Sai Yok","th":"ไทรโยค"},"tele_station_lat":14.11265,"tele_station_long":99.14635,"tele_station_oldcode":"KRN002","tele_station_type":"tele_waterlevel","left_bank":46.515,"right_bank":46.772,"min_bank":46.52,"ground_level":30.012,"offset":null,"sub_basin_id":273,"agency_id":9,"geocode_id":6597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Sum"},"province_code":"71","province_name":{"th":"กาญจนบุรี","en":"Kanchanaburi"}},"diff_wl_bank":"5.93","diff_wl_bank_text":"ต่ำกว่าตลิ่ง (ม.)","river_gid":184697,"river_name":"แม่น้ำแควน้อย"}</t>
  </si>
  <si>
    <t>THAIWATER_WL:1109528</t>
  </si>
  <si>
    <t>ONE039</t>
  </si>
  <si>
    <t>สะพานข้ามคลองระโนด</t>
  </si>
  <si>
    <t>คลองระโนด</t>
  </si>
  <si>
    <t>{"id":1317594489,"waterlevel_datetime":"2026-10-03 15:10","waterlevel_m":null,"waterlevel_msl":"0.28","waterlevel_msl_previous":"0.27","flow_rate":null,"discharge":null,"storage_percent":"64.03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Basin"}},"station":{"id":1109528,"tele_station_name":{"en":"Khlong Ranot Bridge","th":"สะพานข้ามคลองระโนด"},"tele_station_lat":7.769855,"tele_station_long":100.30203,"tele_station_oldcode":"ONE039","tele_station_type":"tele_waterlevel","left_bank":1.175,"right_bank":1.773,"min_bank":1.18,"ground_level":-1.313,"offset":null,"sub_basin_id":329,"agency_id":9,"geocode_id":7837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District"},"tumbon_code":"01","tumbon_name":{"th":"ระโนด","en":"Ranot"},"province_code":"90","province_name":{"th":"สงขลา","en":"Songkhla"}},"diff_wl_bank":"0.90","diff_wl_bank_text":"ต่ำกว่าตลิ่ง (ม.)","river_gid":223758,"river_name":"คลองระโนด"}</t>
  </si>
  <si>
    <t>THAIWATER_WL:2820</t>
  </si>
  <si>
    <t>M.32</t>
  </si>
  <si>
    <t>บ้านเชียงเพ็ง</t>
  </si>
  <si>
    <t>{"id":1317571337,"waterlevel_datetime":"2026-10-03 14:00","waterlevel_m":null,"waterlevel_msl":"124.54","waterlevel_msl_previous":"124.53","flow_rate":null,"discharge":"28.60","storage_percent":"64.00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2820,"tele_station_name":{"th":"บ้านเชียงเพ็ง"},"tele_station_lat":15.84008,"tele_station_long":104.455704,"tele_station_oldcode":"M.32","tele_station_type":"tele_waterlevel","left_bank":128.500003,"right_bank":128.500003,"min_bank":128.5,"ground_level":117.5,"offset":120.300003,"sub_basin_id":144,"agency_id":12,"geocode_id":2912,"hydro_id":4,"qmax":675,"is_key_station":tru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District"},"tumbon_code":"04","tumbon_name":{"th":"เชียงเพ็ง","en":"Chiang Pheng"},"province_code":"35","province_name":{"th":"ยโสธร","en":"Yasothon"}},"diff_wl_bank":"3.96","diff_wl_bank_text":"ต่ำกว่าตลิ่ง (ม.)","river_gid":138290,"river_name":"ลำเซบาย"}</t>
  </si>
  <si>
    <t>THAIWATER_WL:2585</t>
  </si>
  <si>
    <t>X.173A</t>
  </si>
  <si>
    <t>บ้านม่วงก็อง</t>
  </si>
  <si>
    <t>โรงเรียนบ้านลาดพร้าว แขวงจันทรเกษม เขตจตุจักร กรุงเทพมหานคร 10900 ประเทศไทย</t>
  </si>
  <si>
    <t>ChIJ-UZ_tLmd4jAR7id4i6fnbsI</t>
  </si>
  <si>
    <t>64581ef2-b823-cc2e-f161-dbe4285ff141</t>
  </si>
  <si>
    <t>โรงเรียนวัดเทวสุนทร</t>
  </si>
  <si>
    <t>{"id":1317523524,"waterlevel_datetime":"2026-10-03 12:00","waterlevel_m":null,"waterlevel_msl":"11.66","waterlevel_msl_previous":"11.60","flow_rate":null,"discharge":"33.78","storage_percent":"63.90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2585,"tele_station_name":{"th":"บ้านม่วงก็อง"},"tele_station_lat":6.79663,"tele_station_long":100.442337,"tele_station_oldcode":"X.173A","tele_station_type":"tele_waterlevel","left_bank":16.955,"right_bank":16.944,"min_bank":16.13,"ground_level":3.748,"offset":null,"sub_basin_id":330,"agency_id":12,"geocode_id":7863,"hydro_id":8,"qmax":272.899994,"is_key_station":true,"warning_level_m":null,"critical_level_m":null,"critical_level_msl":null},"geocode":{"area_code":"5","area_name":{"th":"ภาคใต้","en":"South"},"amphoe_code":"10","amphoe_name":{"th":"สะเดา","en":"Sadao District"},"tumbon_code":"03","tumbon_name":{"th":"พังลา","en":"Phang La"},"province_code":"90","province_name":{"th":"สงขลา","en":"Songkhla"}},"diff_wl_bank":"4.47","diff_wl_bank_text":"ต่ำกว่าตลิ่ง (ม.)","river_gid":228362,"river_name":"คลองอู่ตะเภา"}</t>
  </si>
  <si>
    <t>THAIWATER_WL:479233</t>
  </si>
  <si>
    <t>TBW025</t>
  </si>
  <si>
    <t>คลองปาว</t>
  </si>
  <si>
    <t>08 4471 9056</t>
  </si>
  <si>
    <t>2026-09-27T06:26:49.734Z</t>
  </si>
  <si>
    <t>ลำปาว</t>
  </si>
  <si>
    <t>{"id":"64581ef2-b823-cc2e-f161-dbe4285ff141","district":"จตุจักร","category":"ศูนย์พักพิงชั่วคราว","name":"โรงเรียนวัดเทวสุนทร","capacity":80,"occupied":15,"available":65,"unitType":"คน","status":"เปิดให้บริการ/ว่าง","routeDetails":"","link":null,"additionalDetails":"08 4471 9056","createdAt":"2026-09-26T05:38:34.000Z","updatedAt":"2026-09-27T06:26:49.734Z"}</t>
  </si>
  <si>
    <t>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</t>
  </si>
  <si>
    <t>{"id":1317594627,"waterlevel_datetime":"2026-10-03 15:10","waterlevel_m":null,"waterlevel_msl":"130.37","waterlevel_msl_previous":"130.37","flow_rate":null,"discharge":null,"storage_percent":"63.89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Basin"}},"station":{"id":479233,"tele_station_name":{"en":"Chi 1-1","th":"คลองปาว"},"tele_station_lat":16.259254,"tele_station_long":103.69041,"tele_station_oldcode":"TBW025","tele_station_type":"tele_waterlevel","left_bank":134.124,"right_bank":133.249,"min_bank":133.25,"ground_level":125.276,"offset":null,"sub_basin_id":99,"agency_id":9,"geocode_id":4256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ร่องคำ","en":"Rong Kham District"},"tumbon_code":"03","tumbon_name":{"th":"เหล่าอ้อย","en":"Lao Oi"},"province_code":"46","province_name":{"th":"กาฬสินธุ์","en":"Kalasin"}},"diff_wl_bank":"2.88","diff_wl_bank_text":"ต่ำกว่าตลิ่ง (ม.)","river_gid":132449,"river_name":"ลำปาว"}</t>
  </si>
  <si>
    <t>THAIWATER_WL:2654</t>
  </si>
  <si>
    <t>X.180</t>
  </si>
  <si>
    <t>สะพานเทศบาล 2</t>
  </si>
  <si>
    <t>คลองท่าตะเภา</t>
  </si>
  <si>
    <t>{"id":1317523544,"waterlevel_datetime":"2026-10-03 12:00","waterlevel_m":null,"waterlevel_msl":"0.91","waterlevel_msl_previous":"0.88","flow_rate":null,"discharge":null,"storage_percent":"63.88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Basin"}},"station":{"id":2654,"tele_station_name":{"th":"สะพานเทศบาล 2"},"tele_station_lat":10.49706,"tele_station_long":99.17012,"tele_station_oldcode":"X.180","tele_station_type":"tele_waterlevel","left_bank":6.47,"right_bank":7.079,"min_bank":3.5,"ground_level":-3.67,"offset":null,"sub_basin_id":310,"agency_id":12,"geocode_id":7695,"hydro_id":8,"qmax":null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District"},"tumbon_code":"01","tumbon_name":{"th":"ท่าตะเภา","en":"Tha Taphao"},"province_code":"86","province_name":{"th":"ชุมพร","en":"Chumphon"}},"diff_wl_bank":"2.59","diff_wl_bank_text":"ต่ำกว่าตลิ่ง (ม.)","river_gid":213233,"river_name":"คลองท่าตะเภา"}</t>
  </si>
  <si>
    <t>THAIWATER_WL:12480</t>
  </si>
  <si>
    <t>TNG003</t>
  </si>
  <si>
    <t>คลองนางน้อย</t>
  </si>
  <si>
    <t>{"id":1317594660,"waterlevel_datetime":"2026-10-03 15:10","waterlevel_m":null,"waterlevel_msl":"15.80","waterlevel_msl_previous":"15.80","flow_rate":null,"discharge":null,"storage_percent":"63.81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Basin"}},"station":{"id":12480,"tele_station_name":{"en":"Trang 3","th":"คลองนางน้อย"},"tele_station_lat":7.568049,"tele_station_long":99.65109,"tele_station_oldcode":"TNG003","tele_station_type":"tele_waterlevel","left_bank":16.821,"right_bank":16.964,"min_bank":16.82,"ground_level":14,"offset":null,"sub_basin_id":349,"agency_id":9,"geocode_id":7967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District"},"tumbon_code":"08","tumbon_name":{"th":"นาโยงใต้","en":"Na Yong Tai"},"province_code":"92","province_name":{"th":"ตรัง","en":"Trang"}},"diff_wl_bank":"1.02","diff_wl_bank_text":"ต่ำกว่าตลิ่ง (ม.)","river_gid":224696,"river_name":"คลองนางน้อย"}</t>
  </si>
  <si>
    <t>THAIWATER_WL:747</t>
  </si>
  <si>
    <t>BKK019</t>
  </si>
  <si>
    <t>คลองนราภิรมย์ (บางเลน)</t>
  </si>
  <si>
    <t>คลองนราภิรมย์</t>
  </si>
  <si>
    <t>{"id":1317594240,"waterlevel_datetime":"2026-10-03 15:10","waterlevel_m":null,"waterlevel_msl":"1.95","waterlevel_msl_previous":"1.95","flow_rate":null,"discharge":null,"storage_percent":"63.75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Basin"}},"station":{"id":747,"tele_station_name":{"en":"Khlong Narapirom","th":"คลองนราภิรมย์ (บางเลน)"},"tele_station_lat":13.88207,"tele_station_long":100.29086,"tele_station_oldcode":"BKK019","tele_station_type":"tele_waterlevel","left_bank":4.337,"right_bank":3.96,"min_bank":3.96,"ground_level":-1.59,"offset":null,"sub_basin_id":240,"agency_id":9,"geocode_id":6904,"hydro_id":null,"qmax":null,"is_key_station":false,"warning_level_m":null,"critical_level_m":null,"critical_level_msl":null},"geocode":{"area_code":"2","area_name":{"th":"ภาคกลาง","en":"Central"},"amphoe_code":"05","amphoe_name":{"th":"บางเลน","en":"Bang Len District"},"tumbon_code":"13","tumbon_name":{"th":"นราภิรมย์","en":"Nara Phirom"},"province_code":"73","province_name":{"th":"นครปฐม","en":"Nakhon Pathom"}},"diff_wl_bank":"2.01","diff_wl_bank_text":"ต่ำกว่าตลิ่ง (ม.)","river_gid":186179,"river_name":"คลองนราภิรมย์"}</t>
  </si>
  <si>
    <t>THAIWATER_WL:714</t>
  </si>
  <si>
    <t>KRN001</t>
  </si>
  <si>
    <t>เมืองกาญจนบุรี</t>
  </si>
  <si>
    <t>{"id":1317594358,"waterlevel_datetime":"2026-10-03 15:10","waterlevel_m":null,"waterlevel_msl":"23.71","waterlevel_msl_previous":"23.71","flow_rate":null,"discharge":null,"storage_percent":"63.53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Basin"}},"station":{"id":714,"tele_station_name":{"en":"Kanchanaburi 1","th":"เมืองกาญจนบุรี"},"tele_station_lat":14.06047,"tele_station_long":99.48325,"tele_station_oldcode":"KRN001","tele_station_type":"tele_waterlevel","left_bank":26.37,"right_bank":25.685,"min_bank":25.69,"ground_level":20.28,"offset":null,"sub_basin_id":268,"agency_id":9,"geocode_id":6587,"hydro_id":null,"qmax":null,"is_key_station":fals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District"},"tumbon_code":"05","tumbon_name":{"th":"แก่งเสี้ยน","en":"Kaeng Sian"},"province_code":"71","province_name":{"th":"กาญจนบุรี","en":"Kanchanaburi"}},"diff_wl_bank":"1.97","diff_wl_bank_text":"ต่ำกว่าตลิ่ง (ม.)","river_gid":184999,"river_name":"แม่น้ำแควใหญ่"}</t>
  </si>
  <si>
    <t>THAIWATER_WL:1098871</t>
  </si>
  <si>
    <t>M.174</t>
  </si>
  <si>
    <t>บ้านโนนสมบูรณ์</t>
  </si>
  <si>
    <t>ลำสะแทต</t>
  </si>
  <si>
    <t>{"id":1317571371,"waterlevel_datetime":"2026-10-03 14:00","waterlevel_m":null,"waterlevel_msl":"137.87","waterlevel_msl_previous":"137.89","flow_rate":null,"discharge":"11.80","storage_percent":"63.53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1098871,"tele_station_name":{"th":"บ้านโนนสมบูรณ์"},"tele_station_lat":15.51345,"tele_station_long":102.843826,"tele_station_oldcode":"M.174","tele_station_type":"tele_waterlevel","left_bank":275.922997,"right_bank":275.934997,"min_bank":140.7,"ground_level":132.94,"offset":134.199997,"sub_basin_id":119,"agency_id":12,"geocode_id":2184,"hydro_id":4,"qmax":339,"is_key_station":false,"warning_level_m":null,"critical_level_m":null,"critical_level_msl":null},"geocode":{"area_code":"4","area_name":{"th":"ภาคตะวันออกเฉียงเหนือ","en":"Northeast"},"amphoe_code":"19","amphoe_name":{"th":"บ้านใหม่ไชยพจน์","en":"Ban Mai Chaiyaphot District"},"tumbon_code":"04","tumbon_name":{"th":"กู่สวนแตง","en":"Ku Suan Taeng"},"province_code":"31","province_name":{"th":"บุรีรัมย์","en":"Buri Ram"}},"diff_wl_bank":"2.83","diff_wl_bank_text":"ต่ำกว่าตลิ่ง (ม.)","river_gid":143745,"river_name":"ลำสะแทต"}</t>
  </si>
  <si>
    <t>THAIWATER_WL:2707</t>
  </si>
  <si>
    <t>M.170</t>
  </si>
  <si>
    <t>บ้านคำสำราญ</t>
  </si>
  <si>
    <t>ลำโดมใหญ่</t>
  </si>
  <si>
    <t>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</t>
  </si>
  <si>
    <t>{"id":1317571343,"waterlevel_datetime":"2026-10-03 14:00","waterlevel_m":null,"waterlevel_msl":"128.85","waterlevel_msl_previous":"128.86","flow_rate":null,"discharge":"116.50","storage_percent":"63.49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2707,"tele_station_name":{"th":"บ้านคำสำราญ"},"tele_station_lat":14.79088,"tele_station_long":105.102768,"tele_station_oldcode":"M.170","tele_station_type":"tele_waterlevel","left_bank":130.300003,"right_bank":130.300003,"min_bank":132.3,"ground_level":122.85,"offset":123.300003,"sub_basin_id":150,"agency_id":12,"geocode_id":2681,"hydro_id":4,"qmax":568,"is_key_station":true,"warning_level_m":null,"critical_level_m":null,"critical_level_msl":null},"geocode":{"area_code":"4","area_name":{"th":"ภาคตะวันออกเฉียงเหนือ","en":"Northeast"},"amphoe_code":"07","amphoe_name":{"th":"เดชอุดม","en":"Det Udom District"},"tumbon_code":"11","tumbon_name":{"th":"กลาง","en":"Klang"},"province_code":"34","province_name":{"th":"อุบลราชธานี","en":"Ubon Ratchathani"}},"diff_wl_bank":"3.45","diff_wl_bank_text":"ต่ำกว่าตลิ่ง (ม.)","river_gid":150582,"river_name":"ลำโดมใหญ่"}</t>
  </si>
  <si>
    <t>THAIWATER_WL:3531</t>
  </si>
  <si>
    <t>PMTS5</t>
  </si>
  <si>
    <t>แม่น้ำมูล ท้ายแก่งสะพือ (M.11B)</t>
  </si>
  <si>
    <t>{"id":1317576264,"waterlevel_datetime":"2026-10-03 14:00","waterlevel_m":null,"waterlevel_msl":"105.32","waterlevel_msl_previous":"105.32","flow_rate":null,"discharge":"2495.00","storage_percent":"63.47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Basin"}},"station":{"id":3531,"tele_station_name":{"th":"แม่น้ำมูล ท้ายแก่งสะพือ (M.11B)"},"tele_station_lat":15.23735,"tele_station_long":105.24523,"tele_station_oldcode":"PMTS5","tele_station_type":"tele_waterlevel","left_bank":112.2,"right_bank":112.17,"min_bank":112.17,"ground_level":93.42,"offset":null,"sub_basin_id":151,"agency_id":8,"geocode_id":2778,"hydro_id":null,"qmax":null,"is_key_station":false,"warning_level_m":null,"critical_level_m":null,"critical_level_msl":112.17},"geocode":{"area_code":"4","area_name":{"th":"ภาคตะวันออกเฉียงเหนือ","en":"Northeast"},"amphoe_code":"19","amphoe_name":{"th":"พิบูลมังสาหาร","en":"Phibun Mangsahan District"},"tumbon_code":"02","tumbon_name":{"th":"กุดชมภู","en":"Kut Chomphu"},"province_code":"34","province_name":{"th":"อุบลราชธานี","en":"Ubon Ratchathani"}},"diff_wl_bank":"6.85","diff_wl_bank_text":"ต่ำกว่าตลิ่ง (ม.)","river_gid":146085,"river_name":"แม่น้ำมูล"}</t>
  </si>
  <si>
    <t>THAIWATER_WL:700586</t>
  </si>
  <si>
    <t>MKVKD03</t>
  </si>
  <si>
    <t>บ้านลิ่นถิ่น (K.54)</t>
  </si>
  <si>
    <t>{"id":1317593147,"waterlevel_datetime":"2026-10-03 15:00","waterlevel_m":null,"waterlevel_msl":"66.40","waterlevel_msl_previous":"66.41","flow_rate":null,"discharge":"688.14","storage_percent":"63.38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Basin"}},"station":{"id":700586,"tele_station_name":{"th":"บ้านลิ่นถิ่น (K.54)"},"tele_station_lat":14.53566,"tele_station_long":98.78764,"tele_station_oldcode":"MKVKD03","tele_station_type":"tele_waterlevel","left_bank":69.925,"right_bank":75.778,"min_bank":69.93,"ground_level":60.309,"offset":null,"sub_basin_id":271,"agency_id":8,"geocode_id":6654,"hydro_id":null,"qmax":null,"is_key_station":false,"warning_level_m":null,"critical_level_m":null,"critical_level_msl":75.85},"geocode":{"area_code":"2","area_name":{"th":"ภาคกลาง","en":"Central"},"amphoe_code":"07","amphoe_name":{"th":"ทองผาภูมิ","en":"Thong Pha Phum District"},"tumbon_code":"04","tumbon_name":{"th":"ลิ่นถิ่น","en":"Lin Thin"},"province_code":"71","province_name":{"th":"กาญจนบุรี","en":"Kanchanaburi"}},"diff_wl_bank":"3.52","diff_wl_bank_text":"ต่ำกว่าตลิ่ง (ม.)","river_gid":181195,"river_name":"แม่น้ำแควน้อย"}</t>
  </si>
  <si>
    <t>THAIWATER_WL:330</t>
  </si>
  <si>
    <t>CHI005</t>
  </si>
  <si>
    <t>ชนบท</t>
  </si>
  <si>
    <t>ซอย งามวงศ์วาน 59 ถนน งามวงศ์วาน แขวงลาดยาว เขตจตุจักร กรุงเทพมหานคร 10900 ประเทศไทย</t>
  </si>
  <si>
    <t>ChIJP-eyvMSc4jARukSRleTO0vg</t>
  </si>
  <si>
    <t>57c52eca-7e19-268b-5ebb-ac4470cebbb6</t>
  </si>
  <si>
    <t>โรงเรียนวัดเสมียนนารี</t>
  </si>
  <si>
    <t>{"id":1317594253,"waterlevel_datetime":"2026-10-03 15:10","waterlevel_m":null,"waterlevel_msl":"157.13","waterlevel_msl_previous":"157.13","flow_rate":null,"discharge":null,"storage_percent":"63.28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Basin"}},"station":{"id":330,"tele_station_name":{"en":"Chi 5","th":"ชนบท"},"tele_station_lat":16.09691,"tele_station_long":102.56997,"tele_station_oldcode":"CHI005","tele_station_type":"tele_waterlevel","left_bank":162.379,"right_bank":161.583,"min_bank":161.58,"ground_level":149.464,"offset":null,"sub_basin_id":84,"agency_id":9,"geocode_id":3397,"hydro_id":null,"qmax":null,"is_key_station":false,"warning_level_m":null,"critical_level_m":null,"critical_level_msl":null},"geocode":{"area_code":"4","area_name":{"th":"ภาคตะวันออกเฉียงเหนือ","en":"Northeast"},"amphoe_code":"18","amphoe_name":{"th":"ชนบท","en":"Chonnabot District"},"tumbon_code":"01","tumbon_name":{"th":"ชนบท","en":"Chonnabot"},"province_code":"40","province_name":{"th":"ขอนแก่น","en":"Khon Kaen"}},"diff_wl_bank":"4.45","diff_wl_bank_text":"ต่ำกว่าตลิ่ง (ม.)","river_gid":134835,"river_name":"แม่น้ำชี"}</t>
  </si>
  <si>
    <t>THAIWATER_WL:479231</t>
  </si>
  <si>
    <t>TBW023</t>
  </si>
  <si>
    <t>คลองแม่พุง</t>
  </si>
  <si>
    <t>09 7018 6879</t>
  </si>
  <si>
    <t>น้ำแม่พุง</t>
  </si>
  <si>
    <t>2026-09-27T06:27:07.784Z</t>
  </si>
  <si>
    <t>{"id":"57c52eca-7e19-268b-5ebb-ac4470cebbb6","district":"จตุจักร","category":"ศูนย์พักพิงชั่วคราว","name":"โรงเรียนวัดเสมียนนารี","capacity":150,"occupied":12,"available":138,"unitType":"คน","status":"เปิดให้บริการ/ว่าง","routeDetails":"","link":null,"additionalDetails":"09 7018 6879","createdAt":"2026-09-26T05:38:34.000Z","updatedAt":"2026-09-27T06:27:07.784Z"}</t>
  </si>
  <si>
    <t>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</t>
  </si>
  <si>
    <t>{"id":1317594625,"waterlevel_datetime":"2026-10-03 15:10","waterlevel_m":null,"waterlevel_msl":"382.57","waterlevel_msl_previous":"382.57","flow_rate":null,"discharge":null,"storage_percent":"63.22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Basin"}},"station":{"id":479231,"tele_station_name":{"en":"Ing 3","th":"คลองแม่พุง"},"tele_station_lat":19.56656,"tele_station_long":99.98423,"tele_station_oldcode":"TBW023","tele_station_type":"tele_waterlevel","left_bank":384.427,"right_bank":385.843,"min_bank":384.43,"ground_level":379.367,"offset":null,"sub_basin_id":35,"agency_id":9,"geocode_id":5512,"hydro_id":null,"qmax":null,"is_key_station":false,"warning_level_m":null,"critical_level_m":null,"critical_level_msl":null},"geocode":{"area_code":"3","area_name":{"th":"ภาคเหนือ","en":"North"},"amphoe_code":"06","amphoe_name":{"th":"ป่าแดด","en":"Pa Daet District"},"tumbon_code":"02","tumbon_name":{"th":"ป่าแงะ","en":"Pa Ngae"},"province_code":"57","province_name":{"th":"เชียงราย","en":"Chiang Rai"}},"diff_wl_bank":"1.86","diff_wl_bank_text":"ต่ำกว่าตลิ่ง (ม.)","river_gid":10586,"river_name":"น้ำแม่พุง"}</t>
  </si>
  <si>
    <t>THAIWATER_WL:296</t>
  </si>
  <si>
    <t>CHI003</t>
  </si>
  <si>
    <t>เมืองชัยภูมิ</t>
  </si>
  <si>
    <t>{"id":1317594252,"waterlevel_datetime":"2026-10-03 15:10","waterlevel_m":null,"waterlevel_msl":"182.37","waterlevel_msl_previous":"182.37","flow_rate":null,"discharge":null,"storage_percent":"62.93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Basin"}},"station":{"id":296,"tele_station_name":{"en":"Chi 3","th":"เมืองชัยภูมิ"},"tele_station_lat":15.68157,"tele_station_long":102.0095,"tele_station_oldcode":"CHI003","tele_station_type":"tele_waterlevel","left_bank":185.725,"right_bank":185.524,"min_bank":185.52,"ground_level":177.016,"offset":null,"sub_basin_id":82,"agency_id":9,"geocode_id":2953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District"},"tumbon_code":"05","tumbon_name":{"th":"บ้านค่าย","en":"Ban Khai"},"province_code":"36","province_name":{"th":"ชัยภูมิ","en":"Chaiyaphum"}},"diff_wl_bank":"3.15","diff_wl_bank_text":"ต่ำกว่าตลิ่ง (ม.)","river_gid":141760,"river_name":"แม่น้ำชี"}</t>
  </si>
  <si>
    <t>THAIWATER_WL:1422367</t>
  </si>
  <si>
    <t>RPBD07</t>
  </si>
  <si>
    <t xml:space="preserve">สะพานสิริกฤตานุกุล์ (บ้านท่านหญิง)อ.วิภาวดี </t>
  </si>
  <si>
    <t>{"id":1317591819,"waterlevel_datetime":"2026-10-03 15:00","waterlevel_m":null,"waterlevel_msl":"32.53","waterlevel_msl_previous":"32.53","flow_rate":null,"discharge":null,"storage_percent":"62.70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Basin"}},"station":{"id":1422367,"tele_station_name":{"th":"สะพานสิริกฤตานุกุล์ (บ้านท่านหญิง)อ.วิภาวดี "},"tele_station_lat":9.24312,"tele_station_long":98.919251,"tele_station_oldcode":"RPBD07","tele_station_type":"tele_waterlevel","left_bank":35.9559,"right_bank":34.8809,"min_bank":34.88,"ground_level":28.57,"offset":null,"sub_basin_id":316,"agency_id":8,"geocode_id":7656,"hydro_id":null,"qmax":null,"is_key_station":false,"warning_level_m":null,"critical_level_m":null,"critical_level_msl":34.881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Thani"}},"diff_wl_bank":"2.35","diff_wl_bank_text":"ต่ำกว่าตลิ่ง (ม.)"}</t>
  </si>
  <si>
    <t>THAIWATER_WL:1121242</t>
  </si>
  <si>
    <t>MOU383</t>
  </si>
  <si>
    <t>สะพานคลองตรอน</t>
  </si>
  <si>
    <t>คลองตรอน</t>
  </si>
  <si>
    <t>{"id":1317594088,"waterlevel_datetime":"2026-10-03 15:10","waterlevel_m":null,"waterlevel_msl":"63.18","waterlevel_msl_previous":"63.18","flow_rate":null,"discharge":null,"storage_percent":"62.59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Basin"}},"station":{"id":1121242,"tele_station_name":{"en":"Khlong Tron Bridge","th":"สะพานคลองตรอน"},"tele_station_lat":17.463362,"tele_station_long":100.23722,"tele_station_oldcode":"MOU383","tele_station_type":"tele_waterlevel","left_bank":67.089,"right_bank":66.185,"min_bank":66.19,"ground_level":58.152,"offset":null,"sub_basin_id":231,"sponsor_by":"มูลนิธิอาสาเพื่อนพึ่ง (ภาฯ) ยามยาก สภากาชาดไทย","agency_id":91,"geocode_id":5116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District"},"tumbon_code":"04","tumbon_name":{"th":"น้ำอ่าง","en":"Nam Ang"},"province_code":"53","province_name":{"th":"อุตรดิตถ์","en":"Uttaradit"}},"diff_wl_bank":"3.01","diff_wl_bank_text":"ต่ำกว่าตลิ่ง (ม.)","river_gid":82638,"river_name":"คลองตรอน"}</t>
  </si>
  <si>
    <t>THAIWATER_WL:670714</t>
  </si>
  <si>
    <t>FOP015</t>
  </si>
  <si>
    <t>ลำน้ำกวงสะพานศรีดอนชัย</t>
  </si>
  <si>
    <t>น้ำแม่กวง</t>
  </si>
  <si>
    <t>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</t>
  </si>
  <si>
    <t>{"id":1317594026,"waterlevel_datetime":"2026-10-03 15:10","waterlevel_m":null,"waterlevel_msl":"291.90","waterlevel_msl_previous":"291.90","flow_rate":null,"discharge":null,"storage_percent":"62.56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Basin"}},"station":{"id":670714,"tele_station_name":{"en":"Si Don Chai Bridge","th":"ลำน้ำกวงสะพานศรีดอนชัย"},"tele_station_lat":18.653353,"tele_station_long":99.06447,"tele_station_oldcode":"FOP015","tele_station_type":"tele_waterlevel","left_bank":294.34,"right_bank":295.832,"min_bank":294.34,"ground_level":287.823,"offset":null,"sub_basin_id":163,"sponsor_by":"มูลนิธิอาสาเพื่อนพึ่ง (ภาฯ) ยามยาก สภากาชาดไทย","agency_id":91,"geocode_id":4973,"hydro_id":null,"qmax":null,"is_key_station":false,"warning_level_m":null,"critical_level_m":null,"critical_level_msl":null},"geocode":{"area_code":"3","area_name":{"th":"ภาคเหนือ","en":"North"},"amphoe_code":"07","amphoe_name":{"th":"บ้านธิ","en":"Ban Thi District"},"tumbon_code":"01","tumbon_name":{"th":"บ้านธิ","en":"Ban Thi"},"province_code":"51","province_name":{"th":"ลำพูน","en":"Lamphun"}},"diff_wl_bank":"2.44","diff_wl_bank_text":"ต่ำกว่าตลิ่ง (ม.)","river_gid":45262,"river_name":"น้ำแม่กวง"}</t>
  </si>
  <si>
    <t>THAIWATER_WL:3533</t>
  </si>
  <si>
    <t>PMTS7</t>
  </si>
  <si>
    <t>ลำโดมใหญ่ บ้านนาเยีย</t>
  </si>
  <si>
    <t>{"id":1317576266,"waterlevel_datetime":"2026-10-03 14:00","waterlevel_m":null,"waterlevel_msl":"114.89","waterlevel_msl_previous":"114.92","flow_rate":null,"discharge":"137.24","storage_percent":"62.45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Basin"}},"station":{"id":3533,"tele_station_name":{"th":"ลำโดมใหญ่ บ้านนาเยีย"},"tele_station_lat":15.07663,"tele_station_long":105.07114,"tele_station_oldcode":"PMTS7","tele_station_type":"tele_waterlevel","left_bank":119.19,"right_bank":120.11,"min_bank":119.19,"ground_level":107.74,"offset":null,"sub_basin_id":150,"agency_id":8,"geocode_id":2835,"hydro_id":null,"qmax":null,"is_key_station":false,"warning_level_m":null,"critical_level_m":null,"critical_level_msl":119.19},"geocode":{"area_code":"4","area_name":{"th":"ภาคตะวันออกเฉียงเหนือ","en":"Northeast"},"amphoe_code":"29","amphoe_name":{"th":"นาเยีย","en":"Na Yia District"},"tumbon_code":"01","tumbon_name":{"th":"นาเยีย","en":"Na Yia"},"province_code":"34","province_name":{"th":"อุบลราชธานี","en":"Ubon Ratchathani"}},"diff_wl_bank":"4.30","diff_wl_bank_text":"ต่ำกว่าตลิ่ง (ม.)","river_gid":147845,"river_name":"ลำโดมใหญ่"}</t>
  </si>
  <si>
    <t>THAIWATER_WL:504940</t>
  </si>
  <si>
    <t>E.98</t>
  </si>
  <si>
    <t>บ้านเขื่องใน</t>
  </si>
  <si>
    <t>{"id":1317571370,"waterlevel_datetime":"2026-10-03 14:00","waterlevel_m":null,"waterlevel_msl":"114.02","waterlevel_msl_previous":"114.03","flow_rate":null,"discharge":"528.90","storage_percent":"62.39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504940,"tele_station_name":{"th":"บ้านเขื่องใน"},"tele_station_lat":15.30323,"tele_station_long":104.50032,"tele_station_oldcode":"E.98","tele_station_type":"tele_waterlevel","left_bank":224.322,"right_bank":224.603,"min_bank":118.8,"ground_level":106.09,"offset":107,"sub_basin_id":102,"agency_id":12,"geocode_id":2646,"hydro_id":4,"qmax":2150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District"},"tumbon_code":"02","tumbon_name":{"th":"สร้างถ่อ","en":"Sang Tho"},"province_code":"34","province_name":{"th":"อุบลราชธานี","en":"Ubon Ratchathani"}},"diff_wl_bank":"4.78","diff_wl_bank_text":"ต่ำกว่าตลิ่ง (ม.)","river_gid":145644,"river_name":"แม่น้ำชี"}</t>
  </si>
  <si>
    <t>THAIWATER_WL:504997</t>
  </si>
  <si>
    <t>Kgt.19A</t>
  </si>
  <si>
    <t>บ้านท่าบุญมี</t>
  </si>
  <si>
    <t>คลองท่าบุญมี</t>
  </si>
  <si>
    <t>{"id":1317582824,"waterlevel_datetime":"2026-10-03 14:00","waterlevel_m":null,"waterlevel_msl":"16.48","waterlevel_msl_previous":"16.46","flow_rate":null,"discharge":"25.00","storage_percent":"62.25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504997,"tele_station_name":{"th":"บ้านท่าบุญมี"},"tele_station_lat":13.40472,"tele_station_long":101.281776,"tele_station_oldcode":"Kgt.19A","tele_station_type":"tele_waterlevel","left_bank":32.29,"right_bank":32.501999999999995,"min_bank":18.37,"ground_level":13.364,"offset":13.57,"sub_basin_id":285,"agency_id":12,"geocode_id":1177,"hydro_id":6,"qmax":83.949997,"is_key_station":false,"warning_level_m":null,"critical_level_m":null,"critical_level_msl":null},"geocode":{"area_code":"2","area_name":{"th":"ภาคกลาง","en":"Central"},"amphoe_code":"11","amphoe_name":{"th":"เกาะจันทร์","en":"Ko Chan District"},"tumbon_code":"02","tumbon_name":{"th":"ท่าบุญมี","en":"Tha Bunmi"},"province_code":"20","province_name":{"th":"ชลบุรี","en":"Chon Buri"}},"diff_wl_bank":"1.89","diff_wl_bank_text":"ต่ำกว่าตลิ่ง (ม.)","river_gid":199806,"river_name":"คลองท่าบุญมี"}</t>
  </si>
  <si>
    <t>THAIWATER_WL:479234</t>
  </si>
  <si>
    <t>32 ถ. กำแพงเพชร 6 แขวงลาดยาว เขตจตุจักร กรุงเทพมหานคร 10900 ประเทศไทย</t>
  </si>
  <si>
    <t>TBW026</t>
  </si>
  <si>
    <t>ChIJZ7gNPeyc4jARDSmICHo7fVI</t>
  </si>
  <si>
    <t>ห้วยยัง</t>
  </si>
  <si>
    <t>ลำพะยัง</t>
  </si>
  <si>
    <t>e5c896e0-c1df-34db-4f87-8a8096472399</t>
  </si>
  <si>
    <t>โรงเรียนเสนานิคม</t>
  </si>
  <si>
    <t>09 2271 6787</t>
  </si>
  <si>
    <t>2026-09-27T06:27:34.610Z</t>
  </si>
  <si>
    <t>{"id":"e5c896e0-c1df-34db-4f87-8a8096472399","district":"จตุจักร","category":"ศูนย์พักพิงชั่วคราว","name":"โรงเรียนเสนานิคม","capacity":150,"occupied":299,"available":0,"unitType":"คน","status":"เต็ม","routeDetails":"","link":null,"additionalDetails":"09 2271 6787","createdAt":"2026-09-26T05:38:34.000Z","updatedAt":"2026-09-27T06:27:34.610Z"}</t>
  </si>
  <si>
    <t>{"id":1317594628,"waterlevel_datetime":"2026-10-03 15:10","waterlevel_m":null,"waterlevel_msl":"159.46","waterlevel_msl_previous":"159.46","flow_rate":null,"discharge":null,"storage_percent":"61.27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Basin"}},"station":{"id":479234,"tele_station_name":{"en":"Chi 11-1","th":"ห้วยยัง"},"tele_station_lat":16.603594,"tele_station_long":103.96229,"tele_station_oldcode":"TBW026","tele_station_type":"tele_waterlevel","left_bank":162.184,"right_bank":162.953,"min_bank":162.18,"ground_level":155.151,"offset":null,"sub_basin_id":101,"agency_id":9,"geocode_id":4347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ห้วยผึ้ง","en":"Huai Phueng District"},"tumbon_code":"02","tumbon_name":{"th":"ไค้นุ่น","en":"Khai Nun"},"province_code":"46","province_name":{"th":"กาฬสินธุ์","en":"Kalasin"}},"diff_wl_bank":"2.72","diff_wl_bank_text":"ต่ำกว่าตลิ่ง (ม.)","river_gid":128879,"river_name":"ลำพะยัง"}</t>
  </si>
  <si>
    <t>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</t>
  </si>
  <si>
    <t>THAIWATER_WL:3510</t>
  </si>
  <si>
    <t>URTU03</t>
  </si>
  <si>
    <t>ลำพะเนียง อ.เมือง</t>
  </si>
  <si>
    <t>{"id":1317567973,"waterlevel_datetime":"2026-10-03 14:00","waterlevel_m":null,"waterlevel_msl":"207.45","waterlevel_msl_previous":"207.45","flow_rate":"0.00","discharge":"7.92","storage_percent":"61.25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Basin"}},"station":{"id":3510,"tele_station_name":{"th":"ลำพะเนียง อ.เมือง"},"tele_station_lat":17.182448,"tele_station_long":102.431941,"tele_station_oldcode":"URTU03","tele_station_type":"tele_waterlevel","left_bank":210.46,"right_bank":210.14,"min_bank":210.14,"ground_level":203.2,"offset":null,"sub_basin_id":88,"agency_id":8,"geocode_id":3154,"hydro_id":null,"qmax":null,"is_key_station":false,"warning_level_m":null,"critical_level_m":null,"critical_level_msl":210.62},"geocode":{"area_code":"4","area_name":{"th":"ภาคตะวันออกเฉียงเหนือ","en":"Northeast"},"amphoe_code":"01","amphoe_name":{"th":"เมืองหนองบัวลำภู","en":"Mueang Nong Bua Lam Phu District"},"tumbon_code":"01","tumbon_name":{"th":"หนองบัว","en":"Nong Bua"},"province_code":"39","province_name":{"th":"หนองบัวลำภู","en":"Nong Bua Lam Phu"}},"diff_wl_bank":"2.69","diff_wl_bank_text":"ต่ำกว่าตลิ่ง (ม.)","river_gid":121755,"river_name":"ลำพะเนียง"}</t>
  </si>
  <si>
    <t>THAIWATER_WL:424</t>
  </si>
  <si>
    <t>CHM003</t>
  </si>
  <si>
    <t>แม่อาย</t>
  </si>
  <si>
    <t>แม่น้ำกก</t>
  </si>
  <si>
    <t>{"id":1317594263,"waterlevel_datetime":"2026-10-03 15:10","waterlevel_m":null,"waterlevel_msl":"445.94","waterlevel_msl_previous":"445.94","flow_rate":null,"discharge":null,"storage_percent":"61.24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Basin"}},"station":{"id":424,"tele_station_name":{"en":"Chiang Mai 3","th":"แม่อาย"},"tele_station_lat":20.06092,"tele_station_long":99.36204,"tele_station_oldcode":"CHM003","tele_station_type":"tele_waterlevel","left_bank":450.643,"right_bank":449.753,"min_bank":449.75,"ground_level":439.91,"offset":null,"sub_basin_id":26,"agency_id":9,"geocode_id":4795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District"},"tumbon_code":"05","tumbon_name":{"th":"ท่าตอน","en":"Tha Ton"},"province_code":"50","province_name":{"th":"เชียงใหม่","en":"Chiang Mai"}},"diff_wl_bank":"3.81","diff_wl_bank_text":"ต่ำกว่าตลิ่ง (ม.)","river_gid":2297,"river_name":"แม่น้ำกก"}</t>
  </si>
  <si>
    <t>THAIWATER_WL:2830</t>
  </si>
  <si>
    <t>Ct.5A</t>
  </si>
  <si>
    <t>บ้านปางมะค่า</t>
  </si>
  <si>
    <t>{"id":1317572082,"waterlevel_datetime":"2026-10-03 14:00","waterlevel_m":null,"waterlevel_msl":"105.27","waterlevel_msl_previous":"105.30","flow_rate":null,"discharge":"51.00","storage_percent":"61.08","sort_order":null,"station_type":"tele_waterlevel","situation_level":3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2830,"tele_station_name":{"th":"บ้านปางมะค่า"},"tele_station_lat":15.92832,"tele_station_long":99.502373,"tele_station_oldcode":"Ct.5A","tele_station_type":"tele_waterlevel","left_bank":110.71,"right_bank":110.72,"min_bank":107.22,"ground_level":102.21,"offset":null,"sub_basin_id":241,"agency_id":12,"geocode_id":5788,"hydro_id":5,"qmax":232,"is_key_station":true,"warning_level_m":null,"critical_level_m":null,"critical_level_msl":null},"geocode":{"area_code":"3","area_name":{"th":"ภาคเหนือ","en":"North"},"amphoe_code":"13","amphoe_name":{"th":"แม่วงก์","en":"Mae Wong District"},"tumbon_code":"05","tumbon_name":{"th":"เขาชนกัน","en":"Khao Chon Kan"},"province_code":"60","province_name":{"th":"นครสวรรค์","en":"Nakhon Sawan"}},"diff_wl_bank":"1.95","diff_wl_bank_text":"ต่ำกว่าตลิ่ง (ม.)","river_gid":166755,"river_name":"แม่น้ำแม่วงก์"}</t>
  </si>
  <si>
    <t>THAIWATER_WL:2855</t>
  </si>
  <si>
    <t>P.78</t>
  </si>
  <si>
    <t>บ้านสามเรือน</t>
  </si>
  <si>
    <t>คลองขลุง</t>
  </si>
  <si>
    <t>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</t>
  </si>
  <si>
    <t>{"id":1317572348,"waterlevel_datetime":"2026-10-03 14:00","waterlevel_m":null,"waterlevel_msl":"69.03","waterlevel_msl_previous":"68.98","flow_rate":null,"discharge":"53.19","storage_percent":"60.88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2855,"tele_station_name":{"th":"บ้านสามเรือน"},"tele_station_lat":16.181589,"tele_station_long":99.598358,"tele_station_oldcode":"P.78","tele_station_type":"tele_waterlevel","left_bank":136.507,"right_bank":137.11,"min_bank":71.47,"ground_level":65.227,"offset":65.18,"sub_basin_id":185,"agency_id":12,"geocode_id":5924,"hydro_id":2,"qmax":166.699997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District"},"tumbon_code":"09","tumbon_name":{"th":"วังไทร","en":"Wang Sai"},"province_code":"62","province_name":{"th":"กำแพงเพชร","en":"Kamphaeng Phet"}},"diff_wl_bank":"2.44","diff_wl_bank_text":"ต่ำกว่าตลิ่ง (ม.)","river_gid":99913,"river_name":"คลองขลุง"}</t>
  </si>
  <si>
    <t>THAIWATER_WL:1035516</t>
  </si>
  <si>
    <t>M.188A</t>
  </si>
  <si>
    <t>บ้านบัว</t>
  </si>
  <si>
    <t>ลำเชิงไกร</t>
  </si>
  <si>
    <t>{"id":1317571366,"waterlevel_datetime":"2026-10-03 14:00","waterlevel_m":null,"waterlevel_msl":"161.14","waterlevel_msl_previous":"161.16","flow_rate":null,"discharge":"10.05","storage_percent":"60.75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1035516,"tele_station_name":{"th":"บ้านบัว"},"tele_station_lat":15.18159,"tele_station_long":102.242737,"tele_station_oldcode":"M.188A","tele_station_type":"tele_waterlevel","left_bank":162.599997,"right_bank":162.599997,"min_bank":162.6,"ground_level":158.88,"offset":157.699997,"sub_basin_id":110,"agency_id":12,"geocode_id":1783,"hydro_id":4,"qmax":70,"is_key_station":false,"warning_level_m":null,"critical_level_m":null,"critical_level_msl":null},"geocode":{"area_code":"4","area_name":{"th":"ภาคตะวันออกเฉียงเหนือ","en":"Northeast"},"amphoe_code":"10","amphoe_name":{"th":"โนนสูง","en":"Non Sung District"},"tumbon_code":"01","tumbon_name":{"th":"โนนสูง","en":"Non Sung"},"province_code":"30","province_name":{"th":"นครราชสีมา","en":"Nakhon Ratchasima"}},"diff_wl_bank":"1.46","diff_wl_bank_text":"ต่ำกว่าตลิ่ง (ม.)","river_gid":147134,"river_name":"ลำเชิงไกร"}</t>
  </si>
  <si>
    <t>THAIWATER_WL:841</t>
  </si>
  <si>
    <t>CMP002</t>
  </si>
  <si>
    <t>หลังสวน</t>
  </si>
  <si>
    <t>{"id":1317594275,"waterlevel_datetime":"2026-10-03 15:10","waterlevel_m":null,"waterlevel_msl":"1.10","waterlevel_msl_previous":"1.09","flow_rate":null,"discharge":null,"storage_percent":"60.71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Basin"}},"station":{"id":841,"tele_station_name":{"en":"Luang Suan","th":"หลังสวน"},"tele_station_lat":9.953369,"tele_station_long":99.06444,"tele_station_oldcode":"CMP002","tele_station_type":"tele_waterlevel","left_bank":4.148,"right_bank":7.77,"min_bank":4.15,"ground_level":-3.609,"offset":null,"sub_basin_id":312,"agency_id":9,"geocode_id":7733,"hydro_id":null,"qmax":null,"is_key_station":false,"warning_level_m":null,"critical_level_m":null,"critical_level_msl":null},"geocode":{"area_code":"5","area_name":{"th":"ภาคใต้","en":"South"},"amphoe_code":"04","amphoe_name":{"th":"หลังสวน","en":"Lang Suan District"},"tumbon_code":"02","tumbon_name":{"th":"ขันเงิน","en":"Khan Ngoen"},"province_code":"86","province_name":{"th":"ชุมพร","en":"Chumphon"}},"diff_wl_bank":"3.05","diff_wl_bank_text":"ต่ำกว่าตลิ่ง (ม.)","river_gid":214154,"river_name":"คลองหลังสวน"}</t>
  </si>
  <si>
    <t>THAIWATER_WL:138</t>
  </si>
  <si>
    <t>TRD002</t>
  </si>
  <si>
    <t>ห้วยแร้ง</t>
  </si>
  <si>
    <t>คลองห้วยแร้ง</t>
  </si>
  <si>
    <t>1242 เสนานิคม 1 ซอย 30 แขวงจันทรเกษม เขตจตุจักร กรุงเทพมหานคร 10900 ประเทศไทย</t>
  </si>
  <si>
    <t>ChIJ2VKABQ-d4jARGtIFBy53oXs</t>
  </si>
  <si>
    <t>db069ece-3cc7-20fa-1725-1988e6dc3f3f</t>
  </si>
  <si>
    <t>โรงเรียนพหลโยธิน</t>
  </si>
  <si>
    <t>2026-09-26T08:22:04.000Z</t>
  </si>
  <si>
    <t>2026-09-26T11:10:04.731Z</t>
  </si>
  <si>
    <t>{"id":1317594671,"waterlevel_datetime":"2026-10-03 15:10","waterlevel_m":null,"waterlevel_msl":"0.46","waterlevel_msl_previous":"0.42","flow_rate":null,"discharge":null,"storage_percent":"60.63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Basin"}},"station":{"id":138,"tele_station_name":{"en":"Trat 2","th":"ห้วยแร้ง"},"tele_station_lat":12.369261,"tele_station_long":102.54332,"tele_station_oldcode":"TRD002","tele_station_type":"tele_waterlevel","left_bank":3.558,"right_bank":11.076,"min_bank":3.56,"ground_level":-4.31,"offset":null,"sub_basin_id":298,"agency_id":9,"geocode_id":1341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District"},"tumbon_code":"08","tumbon_name":{"th":"ห้วยแร้ง","en":"Huai Raeng"},"province_code":"23","province_name":{"th":"ตราด","en":"Trat"}},"diff_wl_bank":"3.10","diff_wl_bank_text":"ต่ำกว่าตลิ่ง (ม.)","river_gid":206693,"river_name":"คลองห้วยแร้ง"}</t>
  </si>
  <si>
    <t>THAIWATER_WL:505069</t>
  </si>
  <si>
    <t>X.139A</t>
  </si>
  <si>
    <t>{"id":"db069ece-3cc7-20fa-1725-1988e6dc3f3f","district":"ดอนเมือง","category":"ศูนย์พักพิงชั่วคราว","name":"โรงเรียนพหลโยธิน","capacity":60,"occupied":30,"available":30,"unitType":"คน","status":"เปิดให้บริการ/ว่าง","routeDetails":"","link":null,"additionalDetails":null,"createdAt":"2026-09-26T08:22:04.000Z","updatedAt":"2026-09-26T11:10:04.731Z"}</t>
  </si>
  <si>
    <t>บ้านปะเหลียนใน</t>
  </si>
  <si>
    <t>คลองปะเหลียน</t>
  </si>
  <si>
    <t>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</t>
  </si>
  <si>
    <t>{"id":1317523541,"waterlevel_datetime":"2026-10-03 12:00","waterlevel_m":null,"waterlevel_msl":"21.79","waterlevel_msl_previous":"21.92","flow_rate":null,"discharge":"24.85","storage_percent":"60.36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505069,"tele_station_name":{"th":"บ้านปะเหลียนใน"},"tele_station_lat":7.32009,"tele_station_long":99.7957,"tele_station_oldcode":"X.139A","tele_station_type":"tele_waterlevel","left_bank":26.326,"right_bank":25.936,"min_bank":24.2,"ground_level":18.121,"offset":null,"sub_basin_id":350,"agency_id":12,"geocode_id":8004,"hydro_id":8,"qmax":138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District"},"tumbon_code":"03","tumbon_name":{"th":"ปะเหลียน","en":"Palian"},"province_code":"92","province_name":{"th":"ตรัง","en":"Trang"}},"diff_wl_bank":"2.41","diff_wl_bank_text":"ต่ำกว่าตลิ่ง (ม.)","river_gid":225892,"river_name":"คลองปะเหลียน"}</t>
  </si>
  <si>
    <t>THAIWATER_WL:2648</t>
  </si>
  <si>
    <t>X.217</t>
  </si>
  <si>
    <t>บ้านเคียนซา</t>
  </si>
  <si>
    <t>{"id":1317523550,"waterlevel_datetime":"2026-10-03 12:00","waterlevel_m":null,"waterlevel_msl":"0.53","waterlevel_msl_previous":"0.56","flow_rate":null,"discharge":"102.80","storage_percent":"60.14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2648,"tele_station_name":{"th":"บ้านเคียนซา"},"tele_station_lat":8.84753,"tele_station_long":99.19886,"tele_station_oldcode":"X.217","tele_station_type":"tele_waterlevel","left_bank":9.943,"right_bank":9.879,"min_bank":6.1,"ground_level":-7.874,"offset":null,"sub_basin_id":323,"agency_id":12,"geocode_id":7613,"hydro_id":8,"qmax":1400,"is_key_station":true,"warning_level_m":null,"critical_level_m":null,"critical_level_msl":null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Thani"}},"diff_wl_bank":"5.57","diff_wl_bank_text":"ต่ำกว่าตลิ่ง (ม.)","river_gid":217466,"river_name":"แม่น้ำตาปี"}</t>
  </si>
  <si>
    <t>THAIWATER_WL:385579</t>
  </si>
  <si>
    <t>TBW008</t>
  </si>
  <si>
    <t>ฝ่ายส่งน้ำและบำรุงรักษาที่ 2</t>
  </si>
  <si>
    <t>น้ำแม่ดู</t>
  </si>
  <si>
    <t>{"id":1317594620,"waterlevel_datetime":"2026-10-03 15:10","waterlevel_m":null,"waterlevel_msl":"320.83","waterlevel_msl_previous":"320.83","flow_rate":null,"discharge":null,"storage_percent":"59.94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Basin"}},"station":{"id":385579,"tele_station_name":{"en":"Water Transmission and Maintenance 2","th":"ฝ่ายส่งน้ำและบำรุงรักษาที่ 2"},"tele_station_lat":18.88353,"tele_station_long":99.08182,"tele_station_oldcode":"TBW008","tele_station_type":"tele_waterlevel","left_bank":322.227,"right_bank":322.39,"min_bank":322.23,"ground_level":318.75,"offset":null,"sub_basin_id":163,"agency_id":9,"geocode_id":4844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District"},"tumbon_code":"11","tumbon_name":{"th":"เมืองเล็น","en":"Mueang Len"},"province_code":"50","province_name":{"th":"เชียงใหม่","en":"Chiang Mai"}},"diff_wl_bank":"1.39","diff_wl_bank_text":"ต่ำกว่าตลิ่ง (ม.)","river_gid":34767,"river_name":"น้ำแม่ดู"}</t>
  </si>
  <si>
    <t>THAIWATER_WL:671</t>
  </si>
  <si>
    <t>DIV002</t>
  </si>
  <si>
    <t>คลองผันน้ำยม-น่าน2</t>
  </si>
  <si>
    <t>คลองเมม</t>
  </si>
  <si>
    <t>{"id":1317594291,"waterlevel_datetime":"2026-10-03 15:10","waterlevel_m":null,"waterlevel_msl":"41.23","waterlevel_msl_previous":"41.21","flow_rate":null,"discharge":null,"storage_percent":"59.79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671,"tele_station_name":{"en":"Yom-Nan2","th":"คลองผันน้ำยม-น่าน2"},"tele_station_lat":16.95387,"tele_station_long":100.12127,"tele_station_oldcode":"DIV002","tele_station_type":"tele_waterlevel","left_bank":44.452,"right_bank":44.415,"min_bank":44.42,"ground_level":36.502,"offset":null,"sub_basin_id":214,"agency_id":9,"geocode_id":6197,"hydro_id":null,"qmax":null,"is_key_station":false,"warning_level_m":null,"critical_level_m":null,"critical_level_msl":null},"geocode":{"area_code":"3","area_name":{"th":"ภาคเหนือ","en":"North"},"amphoe_code":"06","amphoe_name":{"th":"พรหมพิราม","en":"Phrom Phiram District"},"tumbon_code":"02","tumbon_name":{"th":"ท่าช้าง","en":"Tha Chang"},"province_code":"65","province_name":{"th":"พิษณุโลก","en":"Phitsanulok"}},"diff_wl_bank":"3.18","diff_wl_bank_text":"ต่ำกว่าตลิ่ง (ม.)","river_gid":89835,"river_name":"คลองเมม"}</t>
  </si>
  <si>
    <t>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</t>
  </si>
  <si>
    <t>THAIWATER_WL:855</t>
  </si>
  <si>
    <t>SLA003</t>
  </si>
  <si>
    <t>สะเดา</t>
  </si>
  <si>
    <t>{"id":1317594605,"waterlevel_datetime":"2026-10-03 15:10","waterlevel_m":null,"waterlevel_msl":"14.19","waterlevel_msl_previous":"14.19","flow_rate":null,"discharge":null,"storage_percent":"59.70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Basin"}},"station":{"id":855,"tele_station_name":{"en":"Songkhla Lake 3","th":"สะเดา"},"tele_station_lat":6.796687,"tele_station_long":100.44239,"tele_station_oldcode":"SLA003","tele_station_type":"tele_waterlevel","left_bank":16.589,"right_bank":17.17,"min_bank":16.59,"ground_level":10.636,"offset":null,"sub_basin_id":330,"agency_id":9,"geocode_id":7866,"hydro_id":null,"qmax":null,"is_key_station":false,"warning_level_m":null,"critical_level_m":null,"critical_level_msl":null},"geocode":{"area_code":"5","area_name":{"th":"ภาคใต้","en":"South"},"amphoe_code":"10","amphoe_name":{"th":"สะเดา","en":"Sadao District"},"tumbon_code":"06","tumbon_name":{"th":"ท่าโพธิ์","en":"Tha Pho"},"province_code":"90","province_name":{"th":"สงขลา","en":"Songkhla"}},"diff_wl_bank":"2.40","diff_wl_bank_text":"ต่ำกว่าตลิ่ง (ม.)","river_gid":228362,"river_name":"คลองอู่ตะเภา"}</t>
  </si>
  <si>
    <t>THAIWATER_WL:794</t>
  </si>
  <si>
    <t>NPI001</t>
  </si>
  <si>
    <t>ท่าศาลา</t>
  </si>
  <si>
    <t>คลองกลาย</t>
  </si>
  <si>
    <t>{"id":1317039892,"waterlevel_datetime":"2026-10-02 15:40","waterlevel_m":null,"waterlevel_msl":"0.67","waterlevel_msl_previous":"0.66","flow_rate":null,"discharge":null,"storage_percent":"59.68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Basin"}},"station":{"id":794,"tele_station_name":{"en":"Nop Phi Tam 1","th":"ท่าศาลา"},"tele_station_lat":8.786868,"tele_station_long":99.911316,"tele_station_oldcode":"NPI001","tele_station_type":"tele_waterlevel","left_bank":6.333,"right_bank":3.537,"min_bank":3.54,"ground_level":-3.574,"offset":null,"sub_basin_id":326,"agency_id":9,"geocode_id":7247,"hydro_id":null,"qmax":null,"is_key_station":false,"warning_level_m":null,"critical_level_m":null,"critical_level_msl":null},"geocode":{"area_code":"5","area_name":{"th":"ภาคใต้","en":"South"},"amphoe_code":"08","amphoe_name":{"th":"ท่าศาลา","en":"Tha Sala District"},"tumbon_code":"06","tumbon_name":{"th":"สระแก้ว","en":"Sa Kaeo"},"province_code":"80","province_name":{"th":"นครศรีธรรมราช","en":"Nakhon Si Thammarat"}},"diff_wl_bank":"2.87","diff_wl_bank_text":"ต่ำกว่าตลิ่ง (ม.)","river_gid":217856,"river_name":"คลองกลาย"}</t>
  </si>
  <si>
    <t>THAIWATER_WL:668</t>
  </si>
  <si>
    <t>VLGE12</t>
  </si>
  <si>
    <t>สะพานนครป่าหมากร่วมใจ</t>
  </si>
  <si>
    <t>คลองโกรงเกรง</t>
  </si>
  <si>
    <t>{"id":1317594680,"waterlevel_datetime":"2026-10-03 15:10","waterlevel_m":null,"waterlevel_msl":"34.37","waterlevel_msl_previous":"34.38","flow_rate":null,"discharge":null,"storage_percent":"59.52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Basin"}},"station":{"id":668,"tele_station_name":{"en":"Nakhon Pa Mak Ruamjai Bridge","th":"สะพานนครป่าหมากร่วมใจ"},"tele_station_lat":16.60887,"tele_station_long":100.36977,"tele_station_oldcode":"VLGE12","tele_station_type":"tele_waterlevel","left_bank":38.828,"right_bank":38.196,"min_bank":38.2,"ground_level":28.755,"offset":null,"sub_basin_id":237,"agency_id":9,"geocode_id":6192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District"},"tumbon_code":"07","tumbon_name":{"th":"นครป่าหมาก","en":"Nakhon Pa Mak"},"province_code":"65","province_name":{"th":"พิษณุโลก","en":"Phitsanulok"}},"diff_wl_bank":"3.82","diff_wl_bank_text":"ต่ำกว่าตลิ่ง (ม.)","river_gid":94359,"river_name":"คลองโกรงเกรง"}</t>
  </si>
  <si>
    <t>9 ซอย 45 วิภาวดี รังสิต แขวงสนามบิน ดอนเมือง กรุงเทพมหานคร 10210 ประเทศไทย</t>
  </si>
  <si>
    <t>ChIJ571OR_aC4jARmkcwVxA8_gA</t>
  </si>
  <si>
    <t>THAIWATER_WL:1121243</t>
  </si>
  <si>
    <t>MOU385</t>
  </si>
  <si>
    <t>8404aba6-d4dc-3f49-49d0-f491f6fa42b7</t>
  </si>
  <si>
    <t>สะพานคลองท่าสะแก</t>
  </si>
  <si>
    <t>โรงเรียนวัดดอนเมือง</t>
  </si>
  <si>
    <t>น้ำภาค</t>
  </si>
  <si>
    <t>2026-09-26T08:19:06.000Z</t>
  </si>
  <si>
    <t>2026-09-26T11:09:43.187Z</t>
  </si>
  <si>
    <t>{"id":"8404aba6-d4dc-3f49-49d0-f491f6fa42b7","district":"ดอนเมือง","category":"ศูนย์พักพิงชั่วคราว","name":"โรงเรียนวัดดอนเมือง","capacity":50,"occupied":42,"available":8,"unitType":"คน","status":"เปิดให้บริการ/ว่าง","routeDetails":"","link":null,"additionalDetails":null,"createdAt":"2026-09-26T08:19:06.000Z","updatedAt":"2026-09-26T11:09:43.187Z"}</t>
  </si>
  <si>
    <t>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</t>
  </si>
  <si>
    <t>{"id":1317594090,"waterlevel_datetime":"2026-10-03 15:10","waterlevel_m":null,"waterlevel_msl":"186.41","waterlevel_msl_previous":"186.41","flow_rate":null,"discharge":null,"storage_percent":"59.50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Basin"}},"station":{"id":1121243,"tele_station_name":{"en":"Tha Sa Kae Bridge","th":"สะพานคลองท่าสะแก"},"tele_station_lat":17.253153,"tele_station_long":100.62827,"tele_station_oldcode":"MOU385","tele_station_type":"tele_waterlevel","left_bank":188.508,"right_bank":188.449,"min_bank":188.45,"ground_level":183.415,"offset":null,"sub_basin_id":234,"sponsor_by":"มูลนิธิอาสาเพื่อนพึ่ง (ภาฯ) ยามยาก สภากาชาดไทย","agency_id":91,"geocode_id":6172,"hydro_id":null,"qmax":null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Sakae"},"province_code":"65","province_name":{"th":"พิษณุโลก","en":"Phitsanulok"}},"diff_wl_bank":"2.04","diff_wl_bank_text":"ต่ำกว่าตลิ่ง (ม.)","river_gid":85663,"river_name":"น้ำภาค"}</t>
  </si>
  <si>
    <t>THAIWATER_WL:2682</t>
  </si>
  <si>
    <t>K.35A</t>
  </si>
  <si>
    <t>บ้านหนองบัว</t>
  </si>
  <si>
    <t>{"id":1317575396,"waterlevel_datetime":"2026-10-03 14:00","waterlevel_m":null,"waterlevel_msl":"25.17","waterlevel_msl_previous":"25.22","flow_rate":null,"discharge":"168.40","storage_percent":"59.50","sort_order":null,"station_type":"tele_waterlevel","situation_level":3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2682,"tele_station_name":{"th":"บ้านหนองบัว"},"tele_station_lat":14.05861,"tele_station_long":99.445221,"tele_station_oldcode":"K.35A","tele_station_type":"tele_waterlevel","left_bank":52.739999999999995,"right_bank":52.659,"min_bank":27,"ground_level":22.482,"offset":21.5,"sub_basin_id":268,"agency_id":12,"geocode_id":6588,"hydro_id":7,"qmax":440,"is_key_station":true,"warning_level_m":null,"critical_level_m":null,"critical_level_msl":null},"geocode":{"area_code":"2","area_name":{"th":"ภาคกลาง","en":"Central"},"amphoe_code":"01","amphoe_name":{"th":"เมืองกาญจนบุรี","en":"Mueang Kanchanaburi District"},"tumbon_code":"06","tumbon_name":{"th":"หนองบัว","en":"Nong Bua"},"province_code":"71","province_name":{"th":"กาญจนบุรี","en":"Kanchanaburi"}},"diff_wl_bank":"1.83","diff_wl_bank_text":"ต่ำกว่าตลิ่ง (ม.)","river_gid":184989,"river_name":"แม่น้ำแควใหญ่"}</t>
  </si>
  <si>
    <t>THAIWATER_WL:2632</t>
  </si>
  <si>
    <t>S.9</t>
  </si>
  <si>
    <t>บ้านป่า</t>
  </si>
  <si>
    <t>{"id":1317572088,"waterlevel_datetime":"2026-10-03 14:00","waterlevel_m":null,"waterlevel_msl":"14.01","waterlevel_msl_previous":"13.99","flow_rate":null,"discharge":"430.00","storage_percent":"59.23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2632,"tele_station_name":{"th":"บ้านป่า"},"tele_station_lat":14.62918,"tele_station_long":101.014427,"tele_station_oldcode":"S.9","tele_station_type":"tele_waterlevel","left_bank":24.907,"right_bank":24.927,"min_bank":19.95,"ground_level":5.38,"offset":null,"sub_basin_id":257,"agency_id":12,"geocode_id":970,"hydro_id":5,"qmax":1219,"is_key_station":false,"warning_level_m":null,"critical_level_m":null,"critical_level_msl":null},"geocode":{"area_code":"2","area_name":{"th":"ภาคกลาง","en":"Central"},"amphoe_code":"02","amphoe_name":{"th":"แก่งคอย","en":"Kaeng Khoi District"},"tumbon_code":"08","tumbon_name":{"th":"บ้านป่า","en":"Ban Pa"},"province_code":"19","province_name":{"th":"สระบุรี","en":"Saraburi"}},"diff_wl_bank":"5.94","diff_wl_bank_text":"ต่ำกว่าตลิ่ง (ม.)","river_gid":180554,"river_name":"แม่น้ำป่าสัก"}</t>
  </si>
  <si>
    <t>THAIWATER_WL:165</t>
  </si>
  <si>
    <t>PRC003</t>
  </si>
  <si>
    <t>นาดี</t>
  </si>
  <si>
    <t>{"id":1317594521,"waterlevel_datetime":"2026-10-03 15:10","waterlevel_m":null,"waterlevel_msl":"12.97","waterlevel_msl_previous":"12.97","flow_rate":null,"discharge":null,"storage_percent":"59.05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Basin"}},"station":{"id":165,"tele_station_name":{"en":"Na Di","th":"นาดี"},"tele_station_lat":14.133605,"tele_station_long":101.72767,"tele_station_oldcode":"PRC003","tele_station_type":"tele_waterlevel","left_bank":16.782,"right_bank":18.087,"min_bank":16.78,"ground_level":7.472,"offset":null,"sub_basin_id":280,"agency_id":9,"geocode_id":1516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District"},"tumbon_code":"03","tumbon_name":{"th":"สะพานหิน","en":"Saphan Hin"},"province_code":"25","province_name":{"th":"ปราจีนบุรี","en":"Prachin Buri"}},"diff_wl_bank":"3.81","diff_wl_bank_text":"ต่ำกว่าตลิ่ง (ม.)","river_gid":194245,"river_name":"แควหนุมาน"}</t>
  </si>
  <si>
    <t>THAIWATER_WL:1198297</t>
  </si>
  <si>
    <t>PIN007</t>
  </si>
  <si>
    <t>สะพานแม่น้ำทา</t>
  </si>
  <si>
    <t>น้ำแม่ทา</t>
  </si>
  <si>
    <t>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</t>
  </si>
  <si>
    <t>{"id":1317594515,"waterlevel_datetime":"2026-10-03 15:10","waterlevel_m":null,"waterlevel_msl":"440.00","waterlevel_msl_previous":"440.01","flow_rate":null,"discharge":null,"storage_percent":"59.03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Basin"}},"station":{"id":1198297,"tele_station_name":{"en":"Tha River Bridge","th":"สะพานแม่น้ำทา"},"tele_station_lat":18.546852,"tele_station_long":99.25007,"tele_station_oldcode":"PIN007","tele_station_type":"tele_waterlevel","left_bank":441.703,"right_bank":441.5951,"min_bank":441.6,"ground_level":437.7019,"offset":null,"sub_basin_id":163,"agency_id":9,"geocode_id":4937,"hydro_id":null,"qmax":null,"is_key_station":false,"warning_level_m":null,"critical_level_m":null,"critical_level_msl":null},"geocode":{"area_code":"3","area_name":{"th":"ภาคเหนือ","en":"North"},"amphoe_code":"02","amphoe_name":{"th":"แม่ทา","en":"Mae Tha District"},"tumbon_code":"01","tumbon_name":{"th":"ทาปลาดุก","en":"Tha Pla Duk"},"province_code":"51","province_name":{"th":"ลำพูน","en":"Lamphun"}},"diff_wl_bank":"1.60","diff_wl_bank_text":"ต่ำกว่าตลิ่ง (ม.)","river_gid":49809,"river_name":"น้ำแม่ทา"}</t>
  </si>
  <si>
    <t>THAIWATER_WL:505030</t>
  </si>
  <si>
    <t>B.15</t>
  </si>
  <si>
    <t>ข้างจวนผู้ว่าฯ</t>
  </si>
  <si>
    <t>{"id":1317575416,"waterlevel_datetime":"2026-10-03 14:00","waterlevel_m":null,"waterlevel_msl":"2.87","waterlevel_msl_previous":"2.85","flow_rate":null,"discharge":null,"storage_percent":"58.86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505030,"tele_station_name":{"th":"ข้างจวนผู้ว่าฯ"},"tele_station_lat":13.11125,"tele_station_long":99.948219,"tele_station_oldcode":"B.15","tele_station_type":"tele_waterlevel","left_bank":5.994,"right_bank":5.729,"min_bank":5.1,"ground_level":-0.32,"offset":0,"sub_basin_id":302,"agency_id":12,"geocode_id":7015,"hydro_id":7,"qmax":150,"is_key_station":true,"warning_level_m":null,"critical_level_m":5.1,"critical_level_msl":5.1},"geocode":{"area_code":"2","area_name":{"th":"ภาคกลาง","en":"Central"},"amphoe_code":"01","amphoe_name":{"th":"เมืองเพชรบุรี","en":"Mueang Phetchaburi District"},"tumbon_code":"02","tumbon_name":{"th":"คลองกระแชง","en":"Khlong Krachaeng"},"province_code":"76","province_name":{"th":"เพชรบุรี","en":"Phetchaburi"}},"diff_wl_bank":"2.23","diff_wl_bank_text":"ต่ำกว่าตลิ่ง (ม.)","river_gid":209228,"river_name":"แม่น้ำเพชรบุรี"}</t>
  </si>
  <si>
    <t>THAIWATER_WL:700588</t>
  </si>
  <si>
    <t>MKVKD05</t>
  </si>
  <si>
    <t>บ้านลุ่มสุ่ม (K.10)</t>
  </si>
  <si>
    <t>{"id":1317593149,"waterlevel_datetime":"2026-10-03 15:00","waterlevel_m":null,"waterlevel_msl":"40.09","waterlevel_msl_previous":"40.12","flow_rate":null,"discharge":"934.78","storage_percent":"58.84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Basin"}},"station":{"id":700588,"tele_station_name":{"th":"บ้านลุ่มสุ่ม (K.10)"},"tele_station_lat":14.09336,"tele_station_long":99.17583,"tele_station_oldcode":"MKVKD05","tele_station_type":"tele_waterlevel","left_bank":51.08,"right_bank":47.288,"min_bank":47.29,"ground_level":29.79,"offset":null,"sub_basin_id":273,"agency_id":8,"geocode_id":6597,"hydro_id":null,"qmax":null,"is_key_station":false,"warning_level_m":null,"critical_level_m":null,"critical_level_msl":40.7},"geocode":{"area_code":"2","area_name":{"th":"ภาคกลาง","en":"Central"},"amphoe_code":"02","amphoe_name":{"th":"ไทรโยค","en":"Sai Yok District"},"tumbon_code":"01","tumbon_name":{"th":"ลุ่มสุ่ม","en":"Lum Sum"},"province_code":"71","province_name":{"th":"กาญจนบุรี","en":"Kanchanaburi"}},"diff_wl_bank":"7.20","diff_wl_bank_text":"ต่ำกว่าตลิ่ง (ม.)","river_gid":184804,"river_name":"แม่น้ำแควน้อย"}</t>
  </si>
  <si>
    <t>THAIWATER_WL:505029</t>
  </si>
  <si>
    <t>B.16</t>
  </si>
  <si>
    <t>สะพานบ้านลาด</t>
  </si>
  <si>
    <t>วัดดอนเมือง แขวงสนามบิน ดอนเมือง กรุงเทพมหานคร 10210 ประเทศไทย</t>
  </si>
  <si>
    <t>ChIJt6yHnmaC4jAR5oJnYl6BdRQ</t>
  </si>
  <si>
    <t>a34ce584-4036-6f9a-953c-2a8fc922b999</t>
  </si>
  <si>
    <t>โรงเรียนวิชูทิศ</t>
  </si>
  <si>
    <t>{"id":1317575419,"waterlevel_datetime":"2026-10-03 14:00","waterlevel_m":null,"waterlevel_msl":"5.86","waterlevel_msl_previous":"5.86","flow_rate":null,"discharge":"59.36","storage_percent":"58.30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505029,"tele_station_name":{"th":"สะพานบ้านลาด"},"tele_station_lat":13.04917,"tele_station_long":99.918549,"tele_station_oldcode":"B.16","tele_station_type":"tele_waterlevel","left_bank":10.951,"right_bank":11.563,"min_bank":8.9,"ground_level":1.61,"offset":2,"sub_basin_id":302,"agency_id":12,"geocode_id":7078,"hydro_id":7,"qmax":185,"is_key_station":true,"warning_level_m":null,"critical_level_m":null,"critical_level_msl":null},"geocode":{"area_code":"2","area_name":{"th":"ภาคกลาง","en":"Central"},"amphoe_code":"06","amphoe_name":{"th":"บ้านลาด","en":"Ban Lat District"},"tumbon_code":"01","tumbon_name":{"th":"บ้านลาด","en":"Ban Lat"},"province_code":"76","province_name":{"th":"เพชรบุรี","en":"Phetchaburi"}},"diff_wl_bank":"3.04","diff_wl_bank_text":"ต่ำกว่าตลิ่ง (ม.)","river_gid":209477,"river_name":"แม่น้ำเพชรบุรี"}</t>
  </si>
  <si>
    <t>https://maps.app.goo.gl/Ly1YWbV27Q3SkPYY8</t>
  </si>
  <si>
    <t>THAIWATER_WL:2712</t>
  </si>
  <si>
    <t>S.28</t>
  </si>
  <si>
    <t>ท้ายเขื่อนป่าสักชลสิทธิ์</t>
  </si>
  <si>
    <t>{"id":1317572091,"waterlevel_datetime":"2026-10-03 14:00","waterlevel_m":null,"waterlevel_msl":"24.53","waterlevel_msl_previous":"24.52","flow_rate":null,"discharge":"383.00","storage_percent":"57.77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2712,"tele_station_name":{"th":"ท้ายเขื่อนป่าสักชลสิทธิ์"},"tele_station_lat":14.83464,"tele_station_long":101.084297,"tele_station_oldcode":"S.28","tele_station_type":"tele_waterlevel","left_bank":33.168,"right_bank":33.06,"min_bank":31.46,"ground_level":15.05,"offset":null,"sub_basin_id":255,"agency_id":12,"geocode_id":734,"hydro_id":5,"qmax":1184,"is_key_station":true,"warning_level_m":null,"critical_level_m":null,"critical_level_msl":null},"geocode":{"area_code":"2","area_name":{"th":"ภาคกลาง","en":"Central"},"amphoe_code":"02","amphoe_name":{"th":"พัฒนานิคม","en":"Phatthana Nikom District"},"tumbon_code":"07","tumbon_name":{"th":"หนองบัว","en":"Nong Bua"},"province_code":"16","province_name":{"th":"ลพบุรี","en":"Lop Buri"}},"diff_wl_bank":"6.93","diff_wl_bank_text":"ต่ำกว่าตลิ่ง (ม.)","river_gid":178892,"river_name":"แม่น้ำป่าสัก"}</t>
  </si>
  <si>
    <t>2026-09-26T07:47:40.000Z</t>
  </si>
  <si>
    <t>THAIWATER_WL:675</t>
  </si>
  <si>
    <t>NAN013</t>
  </si>
  <si>
    <t>วังทอง</t>
  </si>
  <si>
    <t>แม่น้ำวังทอง</t>
  </si>
  <si>
    <t>{"id":"a34ce584-4036-6f9a-953c-2a8fc922b999","district":"ดินแดง","category":"ศูนย์พักพิงชั่วคราว","name":"โรงเรียนวิชูทิศ","capacity":200,"occupied":0,"available":200,"unitType":"คน","status":"เปิดให้บริการ/ว่าง","routeDetails":"","link":"https://maps.app.goo.gl/Ly1YWbV27Q3SkPYY8","additionalDetails":null,"createdAt":"2026-09-26T07:47:40.000Z","updatedAt":"2026-09-26T07:47:40.000Z"}</t>
  </si>
  <si>
    <t>https://www.google.com/maps/place/Wichuthit+School/@13.767709,100.5540258,17z/data=!3m1!4b1!4m6!3m5!1s0x30e29e97665411c1:0x69001504f6153453!8m2!3d13.767709!4d100.5566007!16s%2Fg%2F1xy2_h_6?entry=tts&amp;g_ep=EgoyMDI2MDkyMy4wIPu8ASoASAFQAw%3D%3D&amp;skid=8db7314f-649e-4255-b7b6-34e3cb8dbed3</t>
  </si>
  <si>
    <t>{"id":1317594450,"waterlevel_datetime":"2026-10-03 15:10","waterlevel_m":null,"waterlevel_msl":"44.62","waterlevel_msl_previous":"44.62","flow_rate":null,"discharge":null,"storage_percent":"57.57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Basin"}},"station":{"id":675,"tele_station_name":{"en":"Nan 13","th":"วังทอง"},"tele_station_lat":16.8222,"tele_station_long":100.43159,"tele_station_oldcode":"NAN013","tele_station_type":"tele_waterlevel","left_bank":49.241,"right_bank":49.565,"min_bank":49.24,"ground_level":38.363,"offset":null,"sub_basin_id":237,"agency_id":9,"geocode_id":6216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District"},"tumbon_code":"01","tumbon_name":{"th":"วังทอง","en":"Wang Thong"},"province_code":"65","province_name":{"th":"พิษณุโลก","en":"Phitsanulok"}},"diff_wl_bank":"4.62","diff_wl_bank_text":"ต่ำกว่าตลิ่ง (ม.)","river_gid":92063,"river_name":"แม่น้ำวังทอง"}</t>
  </si>
  <si>
    <t>THAIWATER_WL:577</t>
  </si>
  <si>
    <t>PIN005</t>
  </si>
  <si>
    <t>เก้าเลี้ยว</t>
  </si>
  <si>
    <t>{"id":1317594513,"waterlevel_datetime":"2026-10-03 15:10","waterlevel_m":null,"waterlevel_msl":"29.31","waterlevel_msl_previous":"29.32","flow_rate":null,"discharge":null,"storage_percent":"57.56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Basin"}},"station":{"id":577,"tele_station_name":{"en":"Ping 5","th":"เก้าเลี้ยว"},"tele_station_lat":15.85051,"tele_station_long":100.05206,"tele_station_oldcode":"PIN005","tele_station_type":"tele_waterlevel","left_bank":31.533,"right_bank":32.821,"min_bank":31.53,"ground_level":26.293,"offset":null,"sub_basin_id":185,"agency_id":9,"geocode_id":5719,"hydro_id":null,"qmax":null,"is_key_station":false,"warning_level_m":null,"critical_level_m":null,"critical_level_msl":null},"geocode":{"area_code":"3","area_name":{"th":"ภาคเหนือ","en":"North"},"amphoe_code":"06","amphoe_name":{"th":"เก้าเลี้ยว","en":"Kao Liao District"},"tumbon_code":"05","tumbon_name":{"th":"หัวดง","en":"Hua Dong"},"province_code":"60","province_name":{"th":"นครสวรรค์","en":"Nakhon Sawan"}},"diff_wl_bank":"2.22","diff_wl_bank_text":"ต่ำกว่าตลิ่ง (ม.)","river_gid":102139,"river_name":"แม่น้ำปิง"}</t>
  </si>
  <si>
    <t>THAIWATER_WL:2675</t>
  </si>
  <si>
    <t>Kgt.9</t>
  </si>
  <si>
    <t>บ้านเขาฉกรรจ์</t>
  </si>
  <si>
    <t>866d79e5-6d6a-1532-3281-758768670715</t>
  </si>
  <si>
    <t>วัดสวัสดิ์วารีสีมาราม</t>
  </si>
  <si>
    <t>ยังไม่มีการเปิดศูนย์ฯ</t>
  </si>
  <si>
    <t>2026-09-26T07:53:42.000Z</t>
  </si>
  <si>
    <t>{"id":"866d79e5-6d6a-1532-3281-758768670715","district":"ดุสิต","category":"ศูนย์พักพิงชั่วคราว","name":"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</si>
  <si>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</t>
  </si>
  <si>
    <t>{"id":1317582833,"waterlevel_datetime":"2026-10-03 14:00","waterlevel_m":null,"waterlevel_msl":"45.12","waterlevel_msl_previous":"45.05","flow_rate":null,"discharge":"160.20","storage_percent":"57.52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2675,"tele_station_name":{"th":"บ้านเขาฉกรรจ์"},"tele_station_lat":13.66804,"tele_station_long":102.0756,"tele_station_oldcode":"Kgt.9","tele_station_type":"tele_waterlevel","left_bank":90.21600000000001,"right_bank":90.16499999999999,"min_bank":49.57,"ground_level":39.094,"offset":39.57,"sub_basin_id":277,"agency_id":12,"geocode_id":1659,"hydro_id":6,"qmax":522,"is_key_station":true,"warning_level_m":null,"critical_level_m":null,"critical_level_msl":null},"geocode":{"area_code":"2","area_name":{"th":"ภาคกลาง","en":"Central"},"amphoe_code":"07","amphoe_name":{"th":"เขาฉกรรจ์","en":"Khao Chakan District"},"tumbon_code":"02","tumbon_name":{"th":"หนองหว้า","en":"Nong Wa"},"province_code":"27","province_name":{"th":"สระแก้ว","en":"Sa Kaeo"}},"diff_wl_bank":"4.45","diff_wl_bank_text":"ต่ำกว่าตลิ่ง (ม.)","river_gid":197516,"river_name":"คลองพระสะทึง"}</t>
  </si>
  <si>
    <t>THAIWATER_WL:83</t>
  </si>
  <si>
    <t>CPY003</t>
  </si>
  <si>
    <t>ปตร.มโนรมย์</t>
  </si>
  <si>
    <t>{"id":1317594278,"waterlevel_datetime":"2026-10-03 15:10","waterlevel_m":null,"waterlevel_msl":"16.00","waterlevel_msl_previous":"15.99","flow_rate":null,"discharge":null,"storage_percent":"57.50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Basin"}},"station":{"id":83,"tele_station_name":{"en":"Chao Phraya 3","th":"ปตร.มโนรมย์"},"tele_station_lat":15.3277,"tele_station_long":100.10913,"tele_station_oldcode":"CPY003","tele_station_type":"tele_waterlevel","left_bank":20.528,"right_bank":19.607,"min_bank":19.61,"ground_level":11.11,"offset":null,"sub_basin_id":240,"agency_id":9,"geocode_id":900,"hydro_id":null,"qmax":null,"is_key_station":false,"warning_level_m":null,"critical_level_m":null,"critical_level_msl":null},"geocode":{"area_code":"2","area_name":{"th":"ภาคกลาง","en":"Central"},"amphoe_code":"02","amphoe_name":{"th":"มโนรมย์","en":"Manorom District"},"tumbon_code":"02","tumbon_name":{"th":"วัดโคก","en":"Wat Khok"},"province_code":"18","province_name":{"th":"ชัยนาท","en":"Chai Nat"}},"diff_wl_bank":"3.61","diff_wl_bank_text":"ต่ำกว่าตลิ่ง (ม.)","river_gid":173551,"river_name":"แม่น้ำเจ้าพระยา"}</t>
  </si>
  <si>
    <t>THAIWATER_WL:740532</t>
  </si>
  <si>
    <t>AIT002</t>
  </si>
  <si>
    <t>สะพานลำน้ำเลย</t>
  </si>
  <si>
    <t>แม่น้ำเลย</t>
  </si>
  <si>
    <t>{"id":1317594200,"waterlevel_datetime":"2026-10-03 15:10","waterlevel_m":null,"waterlevel_msl":"202.30","waterlevel_msl_previous":"202.30","flow_rate":null,"discharge":null,"storage_percent":"57.47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Basin"}},"station":{"id":740532,"tele_station_name":{"en":"Nam Loei Bridge","th":"สะพานลำน้ำเลย"},"tele_station_lat":17.860956,"tele_station_long":101.61144,"tele_station_oldcode":"AIT002","tele_station_type":"tele_waterlevel","left_bank":209.977,"right_bank":206.62,"min_bank":206.62,"ground_level":196.463,"offset":null,"sub_basin_id":46,"sponsor_by":"สถาบันเทคโนโลยีแห่งเอเชีย","agency_id":9,"geocode_id":3642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เชียงคาน","en":"Chiang Khan District"},"tumbon_code":"01","tumbon_name":{"th":"เชียงคาน","en":"Chiang Khan"},"province_code":"42","province_name":{"th":"เลย","en":"Loei"}},"diff_wl_bank":"4.32","diff_wl_bank_text":"ต่ำกว่าตลิ่ง (ม.)","river_gid":111695,"river_name":"แม่น้ำเลย"}</t>
  </si>
  <si>
    <t>THAIWATER_WL:11648258</t>
  </si>
  <si>
    <t>SKT004</t>
  </si>
  <si>
    <t>สะพานบ้านคันแม่น้ำบน</t>
  </si>
  <si>
    <t>{"id":1317594602,"waterlevel_datetime":"2026-10-03 15:10","waterlevel_m":null,"waterlevel_msl":"46.46","waterlevel_msl_previous":"46.46","flow_rate":null,"discharge":null,"storage_percent":"57.40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Basin"}},"station":{"id":11648258,"tele_station_name":{"en":"Ban Khan Maenam Bon Bridge","th":"สะพานบ้านคันแม่น้ำบน"},"tele_station_lat":16.81476,"tele_station_long":99.80374,"tele_station_oldcode":"SKT004","tele_station_type":"tele_waterlevel","left_bank":48.218,"right_bank":48.192,"min_bank":48.19,"ground_level":44.126,"offset":null,"sub_basin_id":213,"agency_id":9,"geocode_id":6064,"hydro_id":null,"qmax":null,"is_key_station":false,"warning_level_m":null,"critical_level_m":null,"critical_level_msl":null},"geocode":{"area_code":"3","area_name":{"th":"ภาคเหนือ","en":"North"},"amphoe_code":"03","amphoe_name":{"th":"คีรีมาศ","en":"Khiri Mat District"},"tumbon_code":"08","tumbon_name":{"th":"หนองกระดิ่ง","en":"Nong Krading"},"province_code":"64","province_name":{"th":"สุโขทัย","en":"Sukhothai"}},"diff_wl_bank":"1.73","diff_wl_bank_text":"ต่ำกว่าตลิ่ง (ม.)"}</t>
  </si>
  <si>
    <t>THAIWATER_WL:1198626</t>
  </si>
  <si>
    <t>TRD005</t>
  </si>
  <si>
    <t>คลองประณีต บ.ตลุง</t>
  </si>
  <si>
    <t>คลองประณีต</t>
  </si>
  <si>
    <t>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</t>
  </si>
  <si>
    <t>{"id":1317594674,"waterlevel_datetime":"2026-10-03 15:10","waterlevel_m":null,"waterlevel_msl":"3.39","waterlevel_msl_previous":"3.38","flow_rate":null,"discharge":null,"storage_percent":"57.38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Basin"}},"station":{"id":1198626,"tele_station_name":{"en":"Khlong Praneat, Talung Village","th":"คลองประณีต บ.ตลุง"},"tele_station_lat":12.511324,"tele_station_long":102.37168,"tele_station_oldcode":"TRD005","tele_station_type":"tele_waterlevel","left_bank":5.986,"right_bank":5.219,"min_bank":5.22,"ground_level":0.928,"offset":null,"sub_basin_id":297,"agency_id":9,"geocode_id":1358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District"},"tumbon_code":"06","tumbon_name":{"th":"ประณีต","en":"Pranit"},"province_code":"23","province_name":{"th":"ตราด","en":"Trat"}},"diff_wl_bank":"1.83","diff_wl_bank_text":"ต่ำกว่าตลิ่ง (ม.)","river_gid":205589,"river_name":"คลองประณีต"}</t>
  </si>
  <si>
    <t>THAIWATER_WL:1422369</t>
  </si>
  <si>
    <t>RPBD09</t>
  </si>
  <si>
    <t>สะพานท่าผาก อ.พุนพิน จ.สุราษฎร์ธานี</t>
  </si>
  <si>
    <t>{"id":1317591821,"waterlevel_datetime":"2026-10-03 15:00","waterlevel_m":null,"waterlevel_msl":"0.95","waterlevel_msl_previous":"0.77","flow_rate":null,"discharge":null,"storage_percent":"57.26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Basin"}},"station":{"id":1422369,"tele_station_name":{"th":"สะพานท่าผาก อ.พุนพิน จ.สุราษฎร์ธานี"},"tele_station_lat":9.063301,"tele_station_long":99.093328,"tele_station_oldcode":"RPBD09","tele_station_type":"tele_waterlevel","left_bank":4.2636,"right_bank":5.2064,"min_bank":4.26,"ground_level":-3.49,"offset":null,"sub_basin_id":316,"agency_id":8,"geocode_id":7643,"hydro_id":null,"qmax":null,"is_key_station":false,"warning_level_m":null,"critical_level_m":null,"critical_level_msl":4.26},"geocode":{"area_code":"5","area_name":{"th":"ภาคใต้","en":"South"},"amphoe_code":"17","amphoe_name":{"th":"พุนพิน","en":"Phunphin District"},"tumbon_code":"11","tumbon_name":{"th":"น้ำรอบ","en":"Nam Rop"},"province_code":"84","province_name":{"th":"สุราษฎร์ธานี","en":"Surat Thani"}},"diff_wl_bank":"3.31","diff_wl_bank_text":"ต่ำกว่าตลิ่ง (ม.)"}</t>
  </si>
  <si>
    <t>THAIWATER_WL:2694</t>
  </si>
  <si>
    <t>M.180</t>
  </si>
  <si>
    <t>บ้านท่าเยี่ยม</t>
  </si>
  <si>
    <t>ลำพระเพลิง</t>
  </si>
  <si>
    <t>{"id":1317571346,"waterlevel_datetime":"2026-10-03 14:00","waterlevel_m":null,"waterlevel_msl":"222.40","waterlevel_msl_previous":"222.40","flow_rate":null,"discharge":null,"storage_percent":"57.25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2694,"tele_station_name":{"th":"บ้านท่าเยี่ยม"},"tele_station_lat":14.63599,"tele_station_long":101.884697,"tele_station_oldcode":"M.180","tele_station_type":"tele_waterlevel","left_bank":443.81599700000004,"right_bank":444.14299700000004,"min_bank":224.7,"ground_level":219.32,"offset":219.199997,"sub_basin_id":106,"agency_id":12,"geocode_id":1848,"hydro_id":4,"qmax":50,"is_key_station":true,"warning_level_m":null,"critical_level_m":null,"critical_level_msl":null},"geocode":{"area_code":"4","area_name":{"th":"ภาคตะวันออกเฉียงเหนือ","en":"Northeast"},"amphoe_code":"14","amphoe_name":{"th":"ปักธงชัย","en":"Pak Thong Chai District"},"tumbon_code":"20","tumbon_name":{"th":"บ่อปลาทอง","en":"Bo Pla Thong"},"province_code":"30","province_name":{"th":"นครราชสีมา","en":"Nakhon Ratchasima"}},"diff_wl_bank":"2.30","diff_wl_bank_text":"ต่ำกว่าตลิ่ง (ม.)","river_gid":152695,"river_name":"ลำพระเพลิง"}</t>
  </si>
  <si>
    <t>THAIWATER_WL:2668</t>
  </si>
  <si>
    <t>Z.18</t>
  </si>
  <si>
    <t>บ้านซำฆ้อ</t>
  </si>
  <si>
    <t>คลองโพล้</t>
  </si>
  <si>
    <t>2026-10-03T06:00:00+07:00</t>
  </si>
  <si>
    <t>{"id":1317390241,"waterlevel_datetime":"2026-10-03 06:00","waterlevel_m":null,"waterlevel_msl":"30.75","waterlevel_msl_previous":"30.68","flow_rate":null,"discharge":null,"storage_percent":"57.05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2668,"tele_station_name":{"th":"บ้านซำฆ้อ"},"tele_station_lat":12.95677,"tele_station_long":101.672096,"tele_station_oldcode":"Z.18","tele_station_type":"tele_waterlevel","left_bank":60.268,"right_bank":60.519999999999996,"min_bank":34.15,"ground_level":26.234,"offset":28.15,"sub_basin_id":293,"agency_id":12,"geocode_id":1238,"hydro_id":6,"qmax":94.5,"is_key_station":false,"warning_level_m":null,"critical_level_m":null,"critical_level_msl":null},"geocode":{"area_code":"2","area_name":{"th":"ภาคกลาง","en":"Central"},"amphoe_code":"07","amphoe_name":{"th":"เขาชะเมา","en":"Khao Chamao District"},"tumbon_code":"03","tumbon_name":{"th":"ชำฆ้อ","en":"Cham Noi"},"province_code":"21","province_name":{"th":"ระยอง","en":"Rayong"}},"diff_wl_bank":"3.40","diff_wl_bank_text":"ต่ำกว่าตลิ่ง (ม.)","river_gid":202659,"river_name":"คลองโพล้"}</t>
  </si>
  <si>
    <t>THAIWATER_WL:2763</t>
  </si>
  <si>
    <t>M.4</t>
  </si>
  <si>
    <t>บ้านพงสวาย</t>
  </si>
  <si>
    <t>QGJ8+C64 994 ถ. นครไชยศรี แขวงถนนนครไชยศรี เขตดุสิต กรุงเทพมหานคร 10300 ประเทศไทย</t>
  </si>
  <si>
    <t>ChIJ11dtNHab4jARVJvsqkVWhtw</t>
  </si>
  <si>
    <t>86b84da7-fd67-e137-13bc-1760c72970e7</t>
  </si>
  <si>
    <t>วัดสุคันธาราม</t>
  </si>
  <si>
    <t>{"id":"86b84da7-fd67-e137-13bc-1760c72970e7","district":"ดุสิต","category":"ศูนย์พักพิงชั่วคราว","name":"วัดสุคันธ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</si>
  <si>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{"id":1317571351,"waterlevel_datetime":"2026-10-03 14:00","waterlevel_m":null,"waterlevel_msl":"121.08","waterlevel_msl_previous":"121.07","flow_rate":null,"discharge":"294.60","storage_percent":"56.81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2763,"tele_station_name":{"th":"บ้านพงสวาย"},"tele_station_lat":15.32958,"tele_station_long":103.68261,"tele_station_oldcode":"M.4","tele_station_type":"tele_waterlevel","left_bank":245.767,"right_bank":246.273,"min_bank":125.2,"ground_level":115.66,"offset":117,"sub_basin_id":126,"agency_id":12,"geocode_id":2240,"hydro_id":4,"qmax":1300,"is_key_station":true,"warning_level_m":null,"critical_level_m":null,"critical_level_msl":null},"geocode":{"area_code":"4","area_name":{"th":"ภาคตะวันออกเฉียงเหนือ","en":"Northeast"},"amphoe_code":"03","amphoe_name":{"th":"ท่าตูม","en":"Tha Tum District"},"tumbon_code":"01","tumbon_name":{"th":"ท่าตูม","en":"Tha Tum"},"province_code":"32","province_name":{"th":"สุรินทร์","en":"Surin"}},"diff_wl_bank":"4.12","diff_wl_bank_text":"ต่ำกว่าตลิ่ง (ม.)","river_gid":145542,"river_name":"แม่น้ำมูล"}</t>
  </si>
  <si>
    <t>THAIWATER_WL:3295</t>
  </si>
  <si>
    <t>N.24A</t>
  </si>
  <si>
    <t>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</t>
  </si>
  <si>
    <t>บ้านวังนกแอ่น</t>
  </si>
  <si>
    <t>น้ำเข็ก</t>
  </si>
  <si>
    <t>{"id":1317572378,"waterlevel_datetime":"2026-10-03 14:00","waterlevel_m":null,"waterlevel_msl":"47.43","waterlevel_msl_previous":"47.43","flow_rate":null,"discharge":"87.22","storage_percent":"56.76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3295,"tele_station_name":{"th":"บ้านวังนกแอ่น"},"tele_station_lat":16.84712,"tele_station_long":100.512093,"tele_station_oldcode":"N.24A","tele_station_type":"tele_waterlevel","left_bank":95.95399900000001,"right_bank":93.92999900000001,"min_bank":52.21,"ground_level":41.156,"offset":40.709999,"sub_basin_id":237,"agency_id":12,"geocode_id":6223,"hydro_id":2,"qmax":328.799988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Aen"},"province_code":"65","province_name":{"th":"พิษณุโลก","en":"Phitsanulok"}},"diff_wl_bank":"4.78","diff_wl_bank_text":"ต่ำกว่าตลิ่ง (ม.)","river_gid":91442,"river_name":"น้ำเข็ก"}</t>
  </si>
  <si>
    <t>THAIWATER_WL:2860</t>
  </si>
  <si>
    <t>P.15</t>
  </si>
  <si>
    <t>หน้าวัดศรีภิรมย์</t>
  </si>
  <si>
    <t>{"id":1317572333,"waterlevel_datetime":"2026-10-03 14:00","waterlevel_m":null,"waterlevel_msl":"54.09","waterlevel_msl_previous":"54.10","flow_rate":null,"discharge":"711.90","storage_percent":"56.52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2860,"tele_station_name":{"th":"หน้าวัดศรีภิรมย์"},"tele_station_lat":16.21414,"tele_station_long":99.722328,"tele_station_oldcode":"P.15","tele_station_type":"tele_waterlevel","left_bank":109.958999,"right_bank":109.335999,"min_bank":57.65,"ground_level":49.462,"offset":51.549999,"sub_basin_id":185,"agency_id":12,"geocode_id":5917,"hydro_id":2,"qmax":2850,"is_key_station":false,"warning_level_m":null,"critical_level_m":null,"critical_level_msl":null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Phet"}},"diff_wl_bank":"3.56","diff_wl_bank_text":"ต่ำกว่าตลิ่ง (ม.)","river_gid":100481,"river_name":"แม่น้ำปิง"}</t>
  </si>
  <si>
    <t>THAIWATER_WL:315</t>
  </si>
  <si>
    <t>KON003</t>
  </si>
  <si>
    <t>สุวรรณคูหา</t>
  </si>
  <si>
    <t>ห้วยโค่โล่</t>
  </si>
  <si>
    <t>{"id":1317594356,"waterlevel_datetime":"2026-10-03 15:10","waterlevel_m":null,"waterlevel_msl":"197.96","waterlevel_msl_previous":"197.96","flow_rate":null,"discharge":null,"storage_percent":"56.46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Basin"}},"station":{"id":315,"tele_station_name":{"en":"Khong 3","th":"สุวรรณคูหา"},"tele_station_lat":17.57572,"tele_station_long":102.273346,"tele_station_oldcode":"KON003","tele_station_type":"tele_waterlevel","left_bank":201.673,"right_bank":200.18,"min_bank":200.18,"ground_level":195.081,"offset":null,"sub_basin_id":50,"agency_id":9,"geocode_id":3204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สุวรรณคูหา","en":"Suwannakhuha District"},"tumbon_code":"01","tumbon_name":{"th":"นาสี","en":"Na Si"},"province_code":"39","province_name":{"th":"หนองบัวลำภู","en":"Nong Bua Lam Phu"}},"diff_wl_bank":"2.22","diff_wl_bank_text":"ต่ำกว่าตลิ่ง (ม.)","river_gid":115262,"river_name":"ห้วยโค่โล่"}</t>
  </si>
  <si>
    <t>THAIWATER_WL:2739</t>
  </si>
  <si>
    <t>M.182</t>
  </si>
  <si>
    <t>บ้านสีถาน</t>
  </si>
  <si>
    <t>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</t>
  </si>
  <si>
    <t>{"id":1317571363,"waterlevel_datetime":"2026-10-03 14:00","waterlevel_m":null,"waterlevel_msl":"112.36","waterlevel_msl_previous":"112.36","flow_rate":null,"discharge":"379.60","storage_percent":"56.27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2739,"tele_station_name":{"th":"บ้านสีถาน"},"tele_station_lat":15.13208,"tele_station_long":104.488403,"tele_station_oldcode":"M.182","tele_station_type":"tele_waterlevel","left_bank":226.04399999999998,"right_bank":226.11700000000002,"min_bank":117.1,"ground_level":106.26,"offset":106.5,"sub_basin_id":138,"agency_id":12,"geocode_id":2423,"hydro_id":4,"qmax":1570,"is_key_station":true,"warning_level_m":null,"critical_level_m":null,"critical_level_msl":null},"geocode":{"area_code":"4","area_name":{"th":"ภาคตะวันออกเฉียงเหนือ","en":"Northeast"},"amphoe_code":"03","amphoe_name":{"th":"กันทรารมย์","en":"Kanthararom District"},"tumbon_code":"12","tumbon_name":{"th":"หนองบัว","en":"Nong Bua"},"province_code":"33","province_name":{"th":"ศรีสะเกษ","en":"Si Sa Ket"}},"diff_wl_bank":"4.74","diff_wl_bank_text":"ต่ำกว่าตลิ่ง (ม.)","river_gid":147234,"river_name":"แม่น้ำมูล"}</t>
  </si>
  <si>
    <t>THAIWATER_WL:2857</t>
  </si>
  <si>
    <t>E.66A</t>
  </si>
  <si>
    <t>บ้านม่วงลาด</t>
  </si>
  <si>
    <t>{"id":1317573789,"waterlevel_datetime":"2026-10-03 14:00","waterlevel_m":null,"waterlevel_msl":"133.33","waterlevel_msl_previous":"133.35","flow_rate":null,"discharge":"217.06","storage_percent":"55.81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2857,"tele_station_name":{"th":"บ้านม่วงลาด"},"tele_station_lat":16.20825,"tele_station_long":103.527641,"tele_station_oldcode":"E.66A","tele_station_type":"tele_waterlevel","left_bank":268.437002,"right_bank":270.369002,"min_bank":138.5,"ground_level":126.8,"offset":126.900002,"sub_basin_id":96,"agency_id":12,"geocode_id":4195,"hydro_id":3,"qmax":710,"is_key_station":false,"warning_level_m":null,"critical_level_m":null,"critical_level_msl":null},"geocode":{"area_code":"4","area_name":{"th":"ภาคตะวันออกเฉียงเหนือ","en":"Northeast"},"amphoe_code":"17","amphoe_name":{"th":"จังหาร","en":"Changhan District"},"tumbon_code":"03","tumbon_name":{"th":"ม่วงลาด","en":"Muang Lat"},"province_code":"45","province_name":{"th":"ร้อยเอ็ด","en":"Roi Et"}},"diff_wl_bank":"5.17","diff_wl_bank_text":"ต่ำกว่าตลิ่ง (ม.)","river_gid":133059,"river_name":"แม่น้ำชี"}</t>
  </si>
  <si>
    <t>THAIWATER_WL:1101572</t>
  </si>
  <si>
    <t>FOP061</t>
  </si>
  <si>
    <t>บ้านคลองวาย หมู่ที่ 7</t>
  </si>
  <si>
    <t>คลองบางจิก</t>
  </si>
  <si>
    <t>{"id":1317594046,"waterlevel_datetime":"2026-10-03 15:10","waterlevel_m":null,"waterlevel_msl":"152.75","waterlevel_msl_previous":"152.75","flow_rate":null,"discharge":null,"storage_percent":"55.76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Basin"}},"station":{"id":1101572,"tele_station_name":{"en":"Ban Khlong Wai 7","th":"บ้านคลองวาย หมู่ที่ 7"},"tele_station_lat":9.368512,"tele_station_long":98.867485,"tele_station_oldcode":"FOP061","tele_station_type":"tele_waterlevel","left_bank":154.626,"right_bank":154.602,"min_bank":154.6,"ground_level":150.416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Thani"}},"diff_wl_bank":"1.85","diff_wl_bank_text":"ต่ำกว่าตลิ่ง (ม.)","river_gid":215277,"river_name":"คลองบางจิก"}</t>
  </si>
  <si>
    <t>THAIWATER_WL:693</t>
  </si>
  <si>
    <t>PAS001</t>
  </si>
  <si>
    <t>หล่มสัก</t>
  </si>
  <si>
    <t>73 ถ. สุคันธาราม แขวงสวนจิตรลดา เขตดุสิต กรุงเทพมหานคร 10300 ประเทศไทย</t>
  </si>
  <si>
    <t>ChIJicjDlFaZ4jARz4sb-EcJ-Pc</t>
  </si>
  <si>
    <t>88883e8b-442c-31fd-848a-d1b15046cc07</t>
  </si>
  <si>
    <t>ศูนย์นันทนาการสวนอ้อย</t>
  </si>
  <si>
    <t>{"id":1317594498,"waterlevel_datetime":"2026-10-03 15:10","waterlevel_m":null,"waterlevel_msl":"141.91","waterlevel_msl_previous":"141.90","flow_rate":null,"discharge":null,"storage_percent":"55.66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Organization)","jp":""},"agency_shortname":{"th":"สสน.","en":"HII","jp":""}},"basin":{"id":13,"basin_code":12,"basin_name":{"th":"ลุ่มน้ำป่าสัก","en":"Pasak Basin"}},"station":{"id":693,"tele_station_name":{"en":"Pa Sak 1","th":"หล่มสัก"},"tele_station_lat":16.78151,"tele_station_long":101.2467,"tele_station_oldcode":"PAS001","tele_station_type":"tele_waterlevel","left_bank":144.47,"right_bank":145.238,"min_bank":144.47,"ground_level":138.706,"offset":null,"sub_basin_id":247,"agency_id":9,"geocode_id":6368,"hydro_id":null,"qmax":null,"is_key_station":false,"warning_level_m":null,"critical_level_m":null,"critical_level_msl":null},"geocode":{"area_code":"3","area_name":{"th":"ภาคเหนือ","en":"North"},"amphoe_code":"03","amphoe_name":{"th":"หล่มสัก","en":"Lom Sak District"},"tumbon_code":"01","tumbon_name":{"th":"หล่มสัก","en":"Lom Sak"},"province_code":"67","province_name":{"th":"เพชรบูรณ์","en":"Phetchabun"}},"diff_wl_bank":"2.56","diff_wl_bank_text":"ต่ำกว่าตลิ่ง (ม.)","river_gid":163008,"river_name":"แม่น้ำป่าสัก"}</t>
  </si>
  <si>
    <t>{"id":"88883e8b-442c-31fd-848a-d1b15046cc07","district":"ดุสิต","category":"ศูนย์พักพิงชั่วคราว","name":"ศูนย์นันทนาการสวนอ้อย","capacity":20,"occupied":0,"available":20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</si>
  <si>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THAIWATER_WL:2845</t>
  </si>
  <si>
    <t>E.18</t>
  </si>
  <si>
    <t>บ้านท่าสะแบง</t>
  </si>
  <si>
    <t>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</t>
  </si>
  <si>
    <t>{"id":1317573780,"waterlevel_datetime":"2026-10-03 14:00","waterlevel_m":null,"waterlevel_msl":"126.69","waterlevel_msl_previous":"126.69","flow_rate":null,"discharge":"292.29","storage_percent":"55.60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2845,"tele_station_name":{"th":"บ้านท่าสะแบง"},"tele_station_lat":16.034149,"tele_station_long":103.906937,"tele_station_oldcode":"E.18","tele_station_type":"tele_waterlevel","left_bank":257.425997,"right_bank":256.12199699999996,"min_bank":132,"ground_level":120.04,"offset":122.199997,"sub_basin_id":100,"agency_id":12,"geocode_id":4217,"hydro_id":3,"qmax":1050,"is_key_station":true,"warning_level_m":null,"critical_level_m":null,"critical_level_msl":null},"geocode":{"area_code":"4","area_name":{"th":"ภาคตะวันออกเฉียงเหนือ","en":"Northeast"},"amphoe_code":"20","amphoe_name":{"th":"ทุ่งเขาหลวง","en":"Thung Khao Luang District"},"tumbon_code":"04","tumbon_name":{"th":"มะบ้า","en":"Maba"},"province_code":"45","province_name":{"th":"ร้อยเอ็ด","en":"Roi Et"}},"diff_wl_bank":"5.31","diff_wl_bank_text":"ต่ำกว่าตลิ่ง (ม.)","river_gid":135484,"river_name":"แม่น้ำชี"}</t>
  </si>
  <si>
    <t>THAIWATER_WL:3018</t>
  </si>
  <si>
    <t>W.4A</t>
  </si>
  <si>
    <t>บ้านวังหมัน</t>
  </si>
  <si>
    <t>แม่น้ำวัง</t>
  </si>
  <si>
    <t>{"id":1317572351,"waterlevel_datetime":"2026-10-03 14:00","waterlevel_m":null,"waterlevel_msl":"133.65","waterlevel_msl_previous":"133.68","flow_rate":null,"discharge":"127.50","storage_percent":"55.57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3018,"tele_station_name":{"th":"บ้านวังหมัน"},"tele_station_lat":17.20499,"tele_station_long":99.098122,"tele_station_oldcode":"W.4A","tele_station_type":"tele_waterlevel","left_bank":267.308,"right_bank":265.821,"min_bank":137,"ground_level":129.46,"offset":130,"sub_basin_id":196,"agency_id":12,"geocode_id":5989,"hydro_id":2,"qmax":530,"is_key_station":tru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Man"},"province_code":"63","province_name":{"th":"ตาก","en":"Tak"}},"diff_wl_bank":"3.35","diff_wl_bank_text":"ต่ำกว่าตลิ่ง (ม.)","river_gid":86838,"river_name":"แม่น้ำวัง"}</t>
  </si>
  <si>
    <t>THAIWATER_WL:858</t>
  </si>
  <si>
    <t>SLA007</t>
  </si>
  <si>
    <t>บางกล่ำ</t>
  </si>
  <si>
    <t>คลองบางกล่ำ</t>
  </si>
  <si>
    <t>{"id":1317594607,"waterlevel_datetime":"2026-10-03 15:10","waterlevel_m":null,"waterlevel_msl":"0.11","waterlevel_msl_previous":"0.10","flow_rate":null,"discharge":null,"storage_percent":"55.51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Basin"}},"station":{"id":858,"tele_station_name":{"en":"Songkhla 7","th":"บางกล่ำ"},"tele_station_lat":7.079418,"tele_station_long":100.42788,"tele_station_oldcode":"SLA007","tele_station_type":"tele_waterlevel","left_bank":1.592,"right_bank":2.71,"min_bank":1.59,"ground_level":-1.739,"offset":null,"sub_basin_id":330,"agency_id":9,"geocode_id":7896,"hydro_id":null,"qmax":null,"is_key_station":false,"warning_level_m":null,"critical_level_m":null,"critical_level_msl":null},"geocode":{"area_code":"5","area_name":{"th":"ภาคใต้","en":"South"},"amphoe_code":"14","amphoe_name":{"th":"บางกล่ำ","en":"Bang Klam District"},"tumbon_code":"02","tumbon_name":{"th":"ท่าช้าง","en":"Tha Chang"},"province_code":"90","province_name":{"th":"สงขลา","en":"Songkhla"}},"diff_wl_bank":"1.48","diff_wl_bank_text":"ต่ำกว่าตลิ่ง (ม.)","river_gid":227168,"river_name":"คลองบางกล่ำ"}</t>
  </si>
  <si>
    <t>THAIWATER_WL:642740</t>
  </si>
  <si>
    <t>MOU015</t>
  </si>
  <si>
    <t>สะพานห้วยแม่สาว</t>
  </si>
  <si>
    <t>น้ำแม่สาว</t>
  </si>
  <si>
    <t>{"id":1317594055,"waterlevel_datetime":"2026-10-03 15:10","waterlevel_m":null,"waterlevel_msl":"459.60","waterlevel_msl_previous":"459.61","flow_rate":null,"discharge":null,"storage_percent":"55.40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Basin"}},"station":{"id":642740,"tele_station_name":{"en":"Mae Sao bridge","th":"สะพานห้วยแม่สาว"},"tele_station_lat":20.014154,"tele_station_long":99.26691,"tele_station_oldcode":"MOU015","tele_station_type":"tele_waterlevel","left_bank":462.096,"right_bank":463.021,"min_bank":462.1,"ground_level":456.499,"offset":null,"sub_basin_id":25,"sponsor_by":"บริษัท แอดวานซ์ อินโฟร์ เซอร์วิส จำกัด (มหาชน)","agency_id":91,"geocode_id":4792,"hydro_id":null,"qmax":null,"is_key_station":false,"warning_level_m":null,"critical_level_m":null,"critical_level_msl":null},"geocode":{"area_code":"3","area_name":{"th":"ภาคเหนือ","en":"North"},"amphoe_code":"10","amphoe_name":{"th":"แม่อาย","en":"Mae Ai District"},"tumbon_code":"02","tumbon_name":{"th":"แม่สาว","en":"Mae Sao"},"province_code":"50","province_name":{"th":"เชียงใหม่","en":"Chiang Mai"}},"diff_wl_bank":"2.50","diff_wl_bank_text":"ต่ำกว่าตลิ่ง (ม.)","river_gid":3013,"river_name":"น้ำแม่สาว"}</t>
  </si>
  <si>
    <t>THAIWATER_WL:3154</t>
  </si>
  <si>
    <t>W.5A</t>
  </si>
  <si>
    <t>บ้านเกาะคา</t>
  </si>
  <si>
    <t>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</t>
  </si>
  <si>
    <t>{"id":1317452566,"waterlevel_datetime":"2026-10-03 09:00","waterlevel_m":null,"waterlevel_msl":"216.93","waterlevel_msl_previous":"216.93","flow_rate":null,"discharge":null,"storage_percent":"55.12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3154,"tele_station_name":{"th":"บ้านเกาะคา"},"tele_station_lat":18.19154,"tele_station_long":99.396873,"tele_station_oldcode":"W.5A","tele_station_type":"tele_waterlevel","left_bank":438.03700100000003,"right_bank":437.978001,"min_bank":220.46,"ground_level":212.595,"offset":216.860001,"sub_basin_id":190,"agency_id":12,"geocode_id":5014,"hydro_id":1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District"},"tumbon_code":"08","tumbon_name":{"th":"ท่าผา","en":"Tha Pha"},"province_code":"52","province_name":{"th":"ลำปาง","en":"Lampang"}},"diff_wl_bank":"3.53","diff_wl_bank_text":"ต่ำกว่าตลิ่ง (ม.)","river_gid":64556,"river_name":"แม่น้ำวัง"}</t>
  </si>
  <si>
    <t>THAIWATER_WL:2664</t>
  </si>
  <si>
    <t>Z.13</t>
  </si>
  <si>
    <t>บ้านปึก</t>
  </si>
  <si>
    <t>{"id":1317582845,"waterlevel_datetime":"2026-10-03 14:00","waterlevel_m":null,"waterlevel_msl":"9.41","waterlevel_msl_previous":"9.45","flow_rate":null,"discharge":"102.40","storage_percent":"55.02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2664,"tele_station_name":{"th":"บ้านปึก"},"tele_station_lat":12.76323,"tele_station_long":102.138039,"tele_station_oldcode":"Z.13","tele_station_type":"tele_waterlevel","left_bank":14.780999999999999,"right_bank":14.774000000000001,"min_bank":12.32,"ground_level":5.85,"offset":6.3,"sub_basin_id":296,"agency_id":12,"geocode_id":1296,"hydro_id":6,"qmax":226.399994,"is_key_station":true,"warning_level_m":null,"critical_level_m":null,"critical_level_msl":null},"geocode":{"area_code":"2","area_name":{"th":"ภาคกลาง","en":"Central"},"amphoe_code":"05","amphoe_name":{"th":"มะขาม","en":"Makham District"},"tumbon_code":"04","tumbon_name":{"th":"วังแซ้ม","en":"Wang Saem"},"province_code":"22","province_name":{"th":"จันทบุรี","en":"Chanthaburi"}},"diff_wl_bank":"2.91","diff_wl_bank_text":"ต่ำกว่าตลิ่ง (ม.)","river_gid":203945,"river_name":"คลองจันทบุรี"}</t>
  </si>
  <si>
    <t>THAIWATER_WL:1483127</t>
  </si>
  <si>
    <t>MOU384</t>
  </si>
  <si>
    <t>สะพานพระร่วงข้ามน้ำแควน้อย</t>
  </si>
  <si>
    <t>{"id":1317594089,"waterlevel_datetime":"2026-10-03 15:10","waterlevel_m":null,"waterlevel_msl":"183.15","waterlevel_msl_previous":"183.15","flow_rate":null,"discharge":null,"storage_percent":"55.02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Basin"}},"station":{"id":1483127,"tele_station_name":{"en":"Phra Ruang Bridge across the Kwai Noi","th":"สะพานพระร่วงข้ามน้ำแควน้อย"},"tele_station_lat":17.185375,"tele_station_long":100.68031,"tele_station_oldcode":"MOU384","tele_station_type":"tele_waterlevel","left_bank":190.832,"right_bank":191.375,"min_bank":190.83,"ground_level":173.753,"offset":null,"sub_basin_id":233,"sponsor_by":"บริษัท ไทยเบฟเวอเรจ จำกัด (มหาชน) ","agency_id":91,"geocode_id":6156,"hydro_id":null,"qmax":null,"is_key_station":false,"warning_level_m":null,"critical_level_m":null,"critical_level_msl":null},"geocode":{"area_code":"3","area_name":{"th":"ภาคเหนือ","en":"North"},"amphoe_code":"02","amphoe_name":{"th":"นครไทย","en":"Nakhon Thai District"},"tumbon_code":"02","tumbon_name":{"th":"หนองกะท้าว","en":"Nong Kathao"},"province_code":"65","province_name":{"th":"พิษณุโลก","en":"Phitsanulok"}},"diff_wl_bank":"7.68","diff_wl_bank_text":"ต่ำกว่าตลิ่ง (ม.)"}</t>
  </si>
  <si>
    <t>THAIWATER_WL:1422294</t>
  </si>
  <si>
    <t>BBD01</t>
  </si>
  <si>
    <t>แม่น้ำปิงที่ อ.สามเงา (P.12C)</t>
  </si>
  <si>
    <t>{"id":1317592374,"waterlevel_datetime":"2026-10-03 15:00","waterlevel_m":null,"waterlevel_msl":"132.57","waterlevel_msl_previous":"130.95","flow_rate":null,"discharge":null,"storage_percent":"54.58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Basin"}},"station":{"id":1422294,"tele_station_name":{"th":"แม่น้ำปิงที่ อ.สามเงา (P.12C)"},"tele_station_lat":17.238336,"tele_station_long":99.026296,"tele_station_oldcode":"BBD01","tele_station_type":"tele_waterlevel","left_bank":136.812,"right_bank":136.991,"min_bank":136.81,"ground_level":127.476,"offset":null,"sub_basin_id":176,"agency_id":8,"geocode_id":5991,"hydro_id":null,"qmax":null,"is_key_station":false,"warning_level_m":null,"critical_level_m":null,"critical_level_msl":134.44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Ri"},"province_code":"63","province_name":{"th":"ตาก","en":"Tak"}},"diff_wl_bank":"4.24","diff_wl_bank_text":"ต่ำกว่าตลิ่ง (ม.)"}</t>
  </si>
  <si>
    <t>182 ซอย สุโขทัย 13 แขวงดุสิต เขตดุสิต กรุงเทพมหานคร 10300 ประเทศไทย</t>
  </si>
  <si>
    <t>ChIJ9YgHagCZ4jARyETW_72spFI</t>
  </si>
  <si>
    <t>THAIWATER_WL:9931006</t>
  </si>
  <si>
    <t>LDD003</t>
  </si>
  <si>
    <t>10a55cee-cc6f-4f0a-a61e-eab585c09bd4</t>
  </si>
  <si>
    <t>บ้านน้ำผึ้ง</t>
  </si>
  <si>
    <t>โรงเรียนวัดสมณานัมบริหาร</t>
  </si>
  <si>
    <t>{"id":"10a55cee-cc6f-4f0a-a61e-eab585c09bd4","district":"ดุสิต","category":"ศูนย์พักพิงชั่วคราว","name":"โรงเรียนวัดสมณานัมบริหา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</si>
  <si>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{"id":1317594367,"waterlevel_datetime":"2026-10-03 15:10","waterlevel_m":null,"waterlevel_msl":"157.29","waterlevel_msl_previous":"157.29","flow_rate":null,"discharge":null,"storage_percent":"54.40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Basin"}},"station":{"id":9931006,"tele_station_name":{"en":"Ban Nam Phueng","th":"บ้านน้ำผึ้ง"},"tele_station_lat":15.95243,"tele_station_long":103.19807,"tele_station_oldcode":"LDD003","tele_station_type":"tele_waterlevel","left_bank":159.1583,"right_bank":159.5293,"min_bank":159.16,"ground_level":155.068,"offset":null,"sub_basin_id":130,"agency_id":9,"geocode_id":3922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บรบือ","en":"Borabue District"},"tumbon_code":"05","tumbon_name":{"th":"หนองม่วง","en":"Nong Muang"},"province_code":"44","province_name":{"th":"มหาสารคาม","en":"Maha Sarakham"}},"diff_wl_bank":"1.87","diff_wl_bank_text":"ต่ำกว่าตลิ่ง (ม.)"}</t>
  </si>
  <si>
    <t>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</t>
  </si>
  <si>
    <t>THAIWATER_WL:262</t>
  </si>
  <si>
    <t>MUN005</t>
  </si>
  <si>
    <t>ราษีไศล</t>
  </si>
  <si>
    <t>{"id":1317594428,"waterlevel_datetime":"2026-10-03 15:10","waterlevel_m":null,"waterlevel_msl":"113.92","waterlevel_msl_previous":"113.91","flow_rate":null,"discharge":null,"storage_percent":"54.38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Basin"}},"station":{"id":262,"tele_station_name":{"en":"Mun 5","th":"ราษีไศล"},"tele_station_lat":15.33953,"tele_station_long":104.15237,"tele_station_oldcode":"MUN005","tele_station_type":"tele_waterlevel","left_bank":118.124,"right_bank":118.446,"min_bank":118.12,"ground_level":108.904,"offset":null,"sub_basin_id":136,"agency_id":9,"geocode_id":2504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Ket"}},"diff_wl_bank":"4.21","diff_wl_bank_text":"ต่ำกว่าตลิ่ง (ม.)","river_gid":145438,"river_name":"แม่น้ำมูล"}</t>
  </si>
  <si>
    <t>THAIWATER_WL:405</t>
  </si>
  <si>
    <t>SKM004</t>
  </si>
  <si>
    <t>ศรีสงคราม</t>
  </si>
  <si>
    <t>{"id":1317594595,"waterlevel_datetime":"2026-10-03 15:10","waterlevel_m":null,"waterlevel_msl":"137.76","waterlevel_msl_previous":"137.75","flow_rate":null,"discharge":null,"storage_percent":"54.03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Basin"}},"station":{"id":405,"tele_station_name":{"en":"Sri Songkram","th":"ศรีสงคราม"},"tele_station_lat":17.67484,"tele_station_long":104.28581,"tele_station_oldcode":"SKM004","tele_station_type":"tele_waterlevel","left_bank":143.694,"right_bank":145.404,"min_bank":143.69,"ground_level":130.786,"offset":null,"sub_basin_id":66,"agency_id":9,"geocode_id":4596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ศรีสงคราม","en":"Si Songkhram District"},"tumbon_code":"01","tumbon_name":{"th":"ศรีสงคราม","en":"Si Songkhram"},"province_code":"48","province_name":{"th":"นครพนม","en":"Nakhon Phanom"}},"diff_wl_bank":"5.93","diff_wl_bank_text":"ต่ำกว่าตลิ่ง (ม.)","river_gid":112780,"river_name":"แม่น้ำสงคราม"}</t>
  </si>
  <si>
    <t>THAIWATER_WL:740540</t>
  </si>
  <si>
    <t>AIT011</t>
  </si>
  <si>
    <t>สะพานข้ามน้ำมูล</t>
  </si>
  <si>
    <t>{"id":1317594203,"waterlevel_datetime":"2026-10-03 15:10","waterlevel_m":null,"waterlevel_msl":"95.58","waterlevel_msl_previous":"95.59","flow_rate":null,"discharge":null,"storage_percent":"53.88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Basin"}},"station":{"id":740540,"tele_station_name":{"en":"Nam Mun Bridge","th":"สะพานข้ามน้ำมูล"},"tele_station_lat":15.310499,"tele_station_long":105.49311,"tele_station_oldcode":"AIT011","tele_station_type":"tele_waterlevel","left_bank":103.141,"right_bank":104.107,"min_bank":103.14,"ground_level":86.748,"offset":null,"sub_basin_id":155,"sponsor_by":"สถาบันเทคโนโลยีแห่งเอเชีย","agency_id":9,"geocode_id":2639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Ratchathani"}},"diff_wl_bank":"7.56","diff_wl_bank_text":"ต่ำกว่าตลิ่ง (ม.)","river_gid":145216,"river_name":"แม่น้ำมูล"}</t>
  </si>
  <si>
    <t>THAIWATER_WL:1106453</t>
  </si>
  <si>
    <t>TCP007</t>
  </si>
  <si>
    <t>ทุ่งโพธิ์พระยา</t>
  </si>
  <si>
    <t>คลองดอนต้นคาง</t>
  </si>
  <si>
    <t>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</t>
  </si>
  <si>
    <t>{"id":1317594641,"waterlevel_datetime":"2026-10-03 15:10","waterlevel_m":null,"waterlevel_msl":"-0.16","waterlevel_msl_previous":"-0.16","flow_rate":null,"discharge":null,"storage_percent":"53.60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Basin"}},"station":{"id":1106453,"tele_station_name":{"en":"Thung PaMok","th":"ทุ่งโพธิ์พระยา"},"tele_station_lat":14.320748,"tele_station_long":100.017395,"tele_station_oldcode":"TCP007","tele_station_type":"tele_waterlevel","left_bank":1,"right_bank":1,"min_bank":1,"ground_level":-1.5,"offset":null,"sub_basin_id":259,"agency_id":9,"geocode_id":6751,"hydro_id":null,"qmax":null,"is_key_station":false,"warning_level_m":null,"critical_level_m":null,"critical_level_msl":null},"geocode":{"area_code":"2","area_name":{"th":"ภาคกลาง","en":"Central"},"amphoe_code":"04","amphoe_name":{"th":"บางปลาม้า","en":"Bang Pla Ma District"},"tumbon_code":"13","tumbon_name":{"th":"วัดโบสถ์","en":"Wat Bot"},"province_code":"72","province_name":{"th":"สุพรรณบุรี","en":"Suphan Buri"}},"diff_wl_bank":"1.16","diff_wl_bank_text":"ต่ำกว่าตลิ่ง (ม.)","river_gid":182891,"river_name":"คลองดอนต้นคาง"}</t>
  </si>
  <si>
    <t>THAIWATER_WL:12475</t>
  </si>
  <si>
    <t>TNG004</t>
  </si>
  <si>
    <t>ปะเหลียน</t>
  </si>
  <si>
    <t>{"id":1317594661,"waterlevel_datetime":"2026-10-03 15:10","waterlevel_m":null,"waterlevel_msl":"2.16","waterlevel_msl_previous":"2.15","flow_rate":null,"discharge":null,"storage_percent":"53.54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Basin"}},"station":{"id":12475,"tele_station_name":{"en":"Trang 4","th":"ปะเหลียน"},"tele_station_lat":7.371991,"tele_station_long":99.677246,"tele_station_oldcode":"TNG004","tele_station_type":"tele_waterlevel","left_bank":5.407,"right_bank":4.699,"min_bank":4.7,"ground_level":-0.766,"offset":null,"sub_basin_id":350,"agency_id":9,"geocode_id":8010,"hydro_id":null,"qmax":null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Phaya"},"province_code":"92","province_name":{"th":"ตรัง","en":"Trang"}},"diff_wl_bank":"2.54","diff_wl_bank_text":"ต่ำกว่าตลิ่ง (ม.)","river_gid":225576,"river_name":"คลองปะเหลียน"}</t>
  </si>
  <si>
    <t>THAIWATER_WL:2847</t>
  </si>
  <si>
    <t>P.16</t>
  </si>
  <si>
    <t>{"id":1317572403,"waterlevel_datetime":"2026-10-03 14:00","waterlevel_m":null,"waterlevel_msl":"42.53","waterlevel_msl_previous":"42.55","flow_rate":null,"discharge":"713.10","storage_percent":"53.50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2847,"tele_station_name":{"th":"บ้านแสนตอ"},"tele_station_lat":16.064671,"tele_station_long":99.860191,"tele_station_oldcode":"P.16","tele_station_type":"tele_waterlevel","left_bank":84.701999,"right_bank":84.62199899999999,"min_bank":46.45,"ground_level":38.02,"offset":39.779999,"sub_basin_id":185,"agency_id":12,"geocode_id":5907,"hydro_id":2,"qmax":2862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District"},"tumbon_code":"05","tumbon_name":{"th":"แสนตอ","en":"Saen To"},"province_code":"62","province_name":{"th":"กำแพงเพชร","en":"Kamphaeng Phet"}},"diff_wl_bank":"3.92","diff_wl_bank_text":"ต่ำกว่าตลิ่ง (ม.)","river_gid":101243,"river_name":"แม่น้ำปิง"}</t>
  </si>
  <si>
    <t>THAIWATER_WL:1109529</t>
  </si>
  <si>
    <t>ONE040</t>
  </si>
  <si>
    <t>สะพานข้ามแม่น้ำยมสายเก่า-ตำบลไกรใน</t>
  </si>
  <si>
    <t>คลองวังทอง</t>
  </si>
  <si>
    <t>{"id":1317594490,"waterlevel_datetime":"2026-10-03 15:10","waterlevel_m":null,"waterlevel_msl":"43.91","waterlevel_msl_previous":"43.91","flow_rate":null,"discharge":null,"storage_percent":"53.47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Basin"}},"station":{"id":1109529,"tele_station_name":{"en":"Yom Sai Kao - Tambon Krai Nai Bridge","th":"สะพานข้ามแม่น้ำยมสายเก่า-ตำบลไกรใน"},"tele_station_lat":17.074213,"tele_station_long":100.00566,"tele_station_oldcode":"ONE040","tele_station_type":"tele_waterlevel","left_bank":47.601,"right_bank":47.918,"min_bank":47.6,"ground_level":39.669,"offset":null,"sub_basin_id":214,"agency_id":9,"geocode_id":6072,"hydro_id":null,"qmax":null,"is_key_station":false,"warning_level_m":null,"critical_level_m":null,"critical_level_msl":null},"geocode":{"area_code":"3","area_name":{"th":"ภาคเหนือ","en":"North"},"amphoe_code":"04","amphoe_name":{"th":"กงไกรลาศ","en":"Kong Krailat District"},"tumbon_code":"05","tumbon_name":{"th":"ไกรใน","en":"Krai Nai"},"province_code":"64","province_name":{"th":"สุโขทัย","en":"Sukhothai"}},"diff_wl_bank":"3.69","diff_wl_bank_text":"ต่ำกว่าตลิ่ง (ม.)","river_gid":88370,"river_name":"คลองวังทอง"}</t>
  </si>
  <si>
    <t>THAIWATER_WL:616</t>
  </si>
  <si>
    <t>PIN004</t>
  </si>
  <si>
    <t>ขาณุวรลักษบุรี</t>
  </si>
  <si>
    <t>416/1 ซอย พิษณุโลก 3 แขวงสี่แยกมหานาค เขตดุสิต กรุงเทพมหานคร 10300 ประเทศไทย</t>
  </si>
  <si>
    <t>ChIJCW0zu0eZ4jARkz5dfG9dlHw</t>
  </si>
  <si>
    <t>f121cc39-0c1b-298e-d247-72fbee6948d5</t>
  </si>
  <si>
    <t>โรงเรียนวัดสวัสดิ์วารีสีมาราม</t>
  </si>
  <si>
    <t>{"id":1317594512,"waterlevel_datetime":"2026-10-03 15:10","waterlevel_m":null,"waterlevel_msl":"42.38","waterlevel_msl_previous":"42.38","flow_rate":null,"discharge":null,"storage_percent":"53.46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Basin"}},"station":{"id":616,"tele_station_name":{"en":"Ping 4","th":"ขาณุวรลักษบุรี"},"tele_station_lat":16.06475,"tele_station_long":99.8603,"tele_station_oldcode":"PIN004","tele_station_type":"tele_waterlevel","left_bank":45.331,"right_bank":46.707,"min_bank":45.33,"ground_level":38.988,"offset":null,"sub_basin_id":185,"agency_id":9,"geocode_id":5906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District"},"tumbon_code":"04","tumbon_name":{"th":"ป่าพุทรา","en":"Pa Phutsa"},"province_code":"62","province_name":{"th":"กำแพงเพชร","en":"Kamphaeng Phet"}},"diff_wl_bank":"2.95","diff_wl_bank_text":"ต่ำกว่าตลิ่ง (ม.)","river_gid":101243,"river_name":"แม่น้ำปิง"}</t>
  </si>
  <si>
    <t>{"id":"f121cc39-0c1b-298e-d247-72fbee6948d5","district":"ดุสิต","category":"ศูนย์พักพิงชั่วคราว","name":"โรงเรียนวัดสวัสดิ์วารีสีมาราม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</si>
  <si>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THAIWATER_WL:118</t>
  </si>
  <si>
    <t>RAY002</t>
  </si>
  <si>
    <t>หนองบัว</t>
  </si>
  <si>
    <t>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</t>
  </si>
  <si>
    <t>{"id":1317594539,"waterlevel_datetime":"2026-10-03 15:10","waterlevel_m":null,"waterlevel_msl":"12.52","waterlevel_msl_previous":"12.52","flow_rate":null,"discharge":null,"storage_percent":"53.40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Basin"}},"station":{"id":118,"tele_station_name":{"en":"Nong Bua","th":"หนองบัว"},"tele_station_lat":12.849195,"tele_station_long":101.301346,"tele_station_oldcode":"RAY002","tele_station_type":"tele_waterlevel","left_bank":17.008,"right_bank":15.967,"min_bank":15.97,"ground_level":8.57,"offset":null,"sub_basin_id":291,"agency_id":9,"geocode_id":1226,"hydro_id":null,"qmax":null,"is_key_station":false,"warning_level_m":null,"critical_level_m":null,"critical_level_msl":null},"geocode":{"area_code":"2","area_name":{"th":"ภาคกลาง","en":"Central"},"amphoe_code":"05","amphoe_name":{"th":"บ้านค่าย","en":"Ban Khai District"},"tumbon_code":"06","tumbon_name":{"th":"หนองบัว","en":"Nong Bua"},"province_code":"21","province_name":{"th":"ระยอง","en":"Rayong"}},"diff_wl_bank":"3.45","diff_wl_bank_text":"ต่ำกว่าตลิ่ง (ม.)","river_gid":203395,"river_name":"คลองใหญ่"}</t>
  </si>
  <si>
    <t>THAIWATER_WL:2647</t>
  </si>
  <si>
    <t>X.186</t>
  </si>
  <si>
    <t>บ้านตลาดเก่า</t>
  </si>
  <si>
    <t>คลองตะกั่วป่า</t>
  </si>
  <si>
    <t>{"id":1317523545,"waterlevel_datetime":"2026-10-03 12:00","waterlevel_m":null,"waterlevel_msl":"-0.30","waterlevel_msl_previous":"-0.28","flow_rate":null,"discharge":null,"storage_percent":"53.25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2647,"tele_station_name":{"th":"บ้านตลาดเก่า"},"tele_station_lat":8.82934,"tele_station_long":98.36924,"tele_station_oldcode":"X.186","tele_station_type":"tele_waterlevel","left_bank":5.787,"right_bank":5.879,"min_bank":4.4,"ground_level":-5.654,"offset":null,"sub_basin_id":344,"agency_id":12,"geocode_id":7463,"hydro_id":8,"qmax":null,"is_key_station":tru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Khian"},"province_code":"82","province_name":{"th":"พังงา","en":"Phangnga"}},"diff_wl_bank":"4.70","diff_wl_bank_text":"ต่ำกว่าตลิ่ง (ม.)","river_gid":217525,"river_name":"คลองตะกั่วป่า"}</t>
  </si>
  <si>
    <t>THAIWATER_WL:1373689</t>
  </si>
  <si>
    <t>PTTEP4</t>
  </si>
  <si>
    <t>สะพานคลองปากแตระ ชุมชนทะเลสาบสงขลา</t>
  </si>
  <si>
    <t>{"id":1317594528,"waterlevel_datetime":"2026-10-03 15:10","waterlevel_m":null,"waterlevel_msl":"0.62","waterlevel_msl_previous":"0.64","flow_rate":null,"discharge":null,"storage_percent":"53.10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Basin"}},"station":{"id":1373689,"tele_station_name":{"en":"Pak Tae Canal Bridge Songkhla Lake community","th":"สะพานคลองปากแตระ ชุมชนทะเลสาบสงขลา"},"tele_station_lat":7.779112,"tele_station_long":100.36791,"tele_station_oldcode":"PTTEP4","tele_station_type":"tele_waterlevel","left_bank":1.255,"right_bank":1.677,"min_bank":1.25,"ground_level":-0.099,"offset":null,"sub_basin_id":329,"sponsor_by":"บริษัท ปตท.สำรวจและผลิตปิโตรเลียม จำกัด (มหาชน)","agency_id":9,"geocode_id":7843,"hydro_id":null,"qmax":null,"is_key_station":false,"warning_level_m":null,"critical_level_m":null,"critical_level_msl":null},"geocode":{"area_code":"5","area_name":{"th":"ภาคใต้","en":"South"},"amphoe_code":"07","amphoe_name":{"th":"ระโนด","en":"Ranot District"},"tumbon_code":"07","tumbon_name":{"th":"ปากแตระ","en":"Pak Trae"},"province_code":"90","province_name":{"th":"สงขลา","en":"Songkhla"}},"diff_wl_bank":"0.63","diff_wl_bank_text":"ต่ำกว่าตลิ่ง (ม.)"}</t>
  </si>
  <si>
    <t>THAIWATER_WL:2874</t>
  </si>
  <si>
    <t>E.16A</t>
  </si>
  <si>
    <t>บ้านกุดกว้าง</t>
  </si>
  <si>
    <t>{"id":1317573779,"waterlevel_datetime":"2026-10-03 14:00","waterlevel_m":null,"waterlevel_msl":"147.41","waterlevel_msl_previous":"147.40","flow_rate":null,"discharge":"33.57","storage_percent":"52.92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2874,"tele_station_name":{"th":"บ้านกุดกว้าง"},"tele_station_lat":16.356001,"tele_station_long":102.804291,"tele_station_oldcode":"E.16A","tele_station_type":"tele_waterlevel","left_bank":298.050997,"right_bank":297.52299700000003,"min_bank":152.3,"ground_level":141.914,"offset":142.699997,"sub_basin_id":84,"agency_id":12,"geocode_id":3223,"hydro_id":3,"qmax":650,"is_key_station":true,"warning_level_m":null,"critical_level_m":9.6,"critical_level_msl":152.3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Kaen"}},"diff_wl_bank":"4.89","diff_wl_bank_text":"ต่ำกว่าตลิ่ง (ม.)","river_gid":132342,"river_name":"แม่น้ำชี"}</t>
  </si>
  <si>
    <t>2026-10-02T15:35:31+07:00</t>
  </si>
  <si>
    <t>THAIWATER_WL:758</t>
  </si>
  <si>
    <t>PCH001</t>
  </si>
  <si>
    <t>เมืองเพชรบุรี</t>
  </si>
  <si>
    <t>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</t>
  </si>
  <si>
    <t>{"id":1317594506,"waterlevel_datetime":"2026-10-03 15:10","waterlevel_m":null,"waterlevel_msl":"2.99","waterlevel_msl_previous":"2.98","flow_rate":null,"discharge":null,"storage_percent":"52.74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Basin"}},"station":{"id":758,"tele_station_name":{"en":"Petch Buri 1","th":"เมืองเพชรบุรี"},"tele_station_lat":13.08562,"tele_station_long":99.94393,"tele_station_oldcode":"PCH001","tele_station_type":"tele_waterlevel","left_bank":6.554,"right_bank":6,"min_bank":6,"ground_level":-0.371,"offset":null,"sub_basin_id":302,"agency_id":9,"geocode_id":7025,"hydro_id":null,"qmax":null,"is_key_station":false,"warning_level_m":null,"critical_level_m":null,"critical_level_msl":null},"geocode":{"area_code":"2","area_name":{"th":"ภาคกลาง","en":"Central"},"amphoe_code":"01","amphoe_name":{"th":"เมืองเพชรบุรี","en":"Mueang Phetchaburi District"},"tumbon_code":"12","tumbon_name":{"th":"ต้นมะม่วง","en":"Ton Mamuang"},"province_code":"76","province_name":{"th":"เพชรบุรี","en":"Phetchaburi"}},"diff_wl_bank":"3.01","diff_wl_bank_text":"ต่ำกว่าตลิ่ง (ม.)","river_gid":209477,"river_name":"แม่น้ำเพชรบุรี"}</t>
  </si>
  <si>
    <t>THAIWATER_WL:2590</t>
  </si>
  <si>
    <t>X.174</t>
  </si>
  <si>
    <t>บ้านคลองหวะ</t>
  </si>
  <si>
    <t>คลองหวะ</t>
  </si>
  <si>
    <t>{"id":1317523543,"waterlevel_datetime":"2026-10-03 12:00","waterlevel_m":null,"waterlevel_msl":"4.68","waterlevel_msl_previous":"4.68","flow_rate":null,"discharge":"6.40","storage_percent":"52.70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2590,"tele_station_name":{"th":"บ้านคลองหวะ"},"tele_station_lat":6.98637,"tele_station_long":100.481857,"tele_station_oldcode":"X.174","tele_station_type":"tele_waterlevel","left_bank":8.88,"right_bank":8.88,"min_bank":8.88,"ground_level":0,"offset":null,"sub_basin_id":330,"agency_id":12,"geocode_id":7874,"hydro_id":8,"qmax":190.100006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District"},"tumbon_code":"04","tumbon_name":{"th":"คอหงส์","en":"Kho Hong"},"province_code":"90","province_name":{"th":"สงขลา","en":"Songkhla"}},"diff_wl_bank":"4.20","diff_wl_bank_text":"ต่ำกว่าตลิ่ง (ม.)","river_gid":227421,"river_name":"คลองหวะ"}</t>
  </si>
  <si>
    <t>THAIWATER_WL:504708</t>
  </si>
  <si>
    <t>P.73A</t>
  </si>
  <si>
    <t>บ้านสบแปะ</t>
  </si>
  <si>
    <t>2026-10-03T11:00:00+07:00</t>
  </si>
  <si>
    <t>{"id":1317494192,"waterlevel_datetime":"2026-10-03 11:00","waterlevel_m":null,"waterlevel_msl":"259.43","waterlevel_msl_previous":"259.44","flow_rate":null,"discharge":"159.60","storage_percent":"52.57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504708,"tele_station_name":{"th":"บ้านสบแปะ"},"tele_station_lat":18.25341,"tele_station_long":98.641411,"tele_station_oldcode":"P.73A","tele_station_type":"tele_waterlevel","left_bank":525.063013,"right_bank":525.076013,"min_bank":265.47,"ground_level":252.736,"offset":257.670013,"sub_basin_id":170,"agency_id":12,"geocode_id":4712,"hydro_id":1,"qmax":1412.5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Mai"}},"diff_wl_bank":"6.04","diff_wl_bank_text":"ต่ำกว่าตลิ่ง (ม.)","river_gid":62112,"river_name":"แม่น้ำปิง"}</t>
  </si>
  <si>
    <t>THAIWATER_WL:3017</t>
  </si>
  <si>
    <t>Y.33</t>
  </si>
  <si>
    <t>บ้านคลองตาล</t>
  </si>
  <si>
    <t>QGJ8+78W ซอยสุโขทัย 10 (โซดา) แขวงถนนนครไชยศรี เขตดุสิต กรุงเทพมหานคร 10300 ประเทศไทย</t>
  </si>
  <si>
    <t>ChIJqVTyfliZ4jARyvOj55uG68E</t>
  </si>
  <si>
    <t>{"id":1317572366,"waterlevel_datetime":"2026-10-03 14:00","waterlevel_m":null,"waterlevel_msl":"51.05","waterlevel_msl_previous":"51.08","flow_rate":null,"discharge":"186.10","storage_percent":"52.48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3017,"tele_station_name":{"th":"บ้านคลองตาล"},"tele_station_lat":17.16888,"tele_station_long":99.860977,"tele_station_oldcode":"Y.33","tele_station_type":"tele_waterlevel","left_bank":102.34100000000001,"right_bank":102.483,"min_bank":56.99,"ground_level":44.49,"offset":45.82,"sub_basin_id":209,"agency_id":12,"geocode_id":6092,"hydro_id":2,"qmax":690,"is_key_station":true,"warning_level_m":null,"critical_level_m":null,"critical_level_msl":null},"geocode":{"area_code":"3","area_name":{"th":"ภาคเหนือ","en":"North"},"amphoe_code":"06","amphoe_name":{"th":"ศรีสำโรง","en":"Si Samrong District"},"tumbon_code":"01","tumbon_name":{"th":"คลองตาล","en":"Khlong Tan"},"province_code":"64","province_name":{"th":"สุโขทัย","en":"Sukhothai"}},"diff_wl_bank":"5.94","diff_wl_bank_text":"ต่ำกว่าตลิ่ง (ม.)","river_gid":87393,"river_name":"แม่น้ำยม"}</t>
  </si>
  <si>
    <t>165c7fd3-3a14-d02d-b852-f0f3982eb9c0</t>
  </si>
  <si>
    <t>THAIWATER_WL:3233</t>
  </si>
  <si>
    <t>โรงเรียนวัดเทวราชกุญชร</t>
  </si>
  <si>
    <t>Y.24</t>
  </si>
  <si>
    <t>บ้านมาง</t>
  </si>
  <si>
    <t>น้ำปี้</t>
  </si>
  <si>
    <t>{"id":"165c7fd3-3a14-d02d-b852-f0f3982eb9c0","district":"ดุสิต","category":"ศูนย์พักพิงชั่วคราว","name":"โรงเรียนวัดเทวราชกุญช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</si>
  <si>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</t>
  </si>
  <si>
    <t>{"id":1317494183,"waterlevel_datetime":"2026-10-03 11:00","waterlevel_m":null,"waterlevel_msl":"260.56","waterlevel_msl_previous":"260.56","flow_rate":null,"discharge":"7.25","storage_percent":"52.48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3233,"tele_station_name":{"th":"บ้านมาง"},"tele_station_lat":18.882099,"tele_station_long":100.291382,"tele_station_oldcode":"Y.24","tele_station_type":"tele_waterlevel","left_bank":524.003989,"right_bank":524.459989,"min_bank":263.77,"ground_level":257.015,"offset":257.769989,"sub_basin_id":200,"agency_id":12,"geocode_id":5410,"hydro_id":1,"qmax":329.399994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District"},"tumbon_code":"01","tumbon_name":{"th":"เชียงม่วน","en":"Chiang Muan"},"province_code":"56","province_name":{"th":"พะเยา","en":"Phayao"}},"diff_wl_bank":"3.21","diff_wl_bank_text":"ต่ำกว่าตลิ่ง (ม.)","river_gid":34624,"river_name":"น้ำปี้"}</t>
  </si>
  <si>
    <t>THAIWATER_WL:2567</t>
  </si>
  <si>
    <t>X.53A</t>
  </si>
  <si>
    <t>บ้านวังไผ่</t>
  </si>
  <si>
    <t>คลองชุมพร</t>
  </si>
  <si>
    <t>{"id":1317539079,"waterlevel_datetime":"2026-10-03 12:00","waterlevel_m":null,"waterlevel_msl":"5.29","waterlevel_msl_previous":"5.43","flow_rate":null,"discharge":null,"storage_percent":"52.31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2567,"tele_station_name":{"th":"บ้านวังไผ่"},"tele_station_lat":10.5072,"tele_station_long":99.117798,"tele_station_oldcode":"X.53A","tele_station_type":"tele_waterlevel","left_bank":10.403,"right_bank":10.407,"min_bank":8.7,"ground_level":1.55,"offset":null,"sub_basin_id":311,"agency_id":12,"geocode_id":7706,"hydro_id":8,"qmax":null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Na"},"province_code":"86","province_name":{"th":"ชุมพร","en":"Chumphon"}},"diff_wl_bank":"3.41","diff_wl_bank_text":"ต่ำกว่าตลิ่ง (ม.)","river_gid":213237,"river_name":"คลองชุมพร"}</t>
  </si>
  <si>
    <t>THAIWATER_WL:1556820</t>
  </si>
  <si>
    <t>MOU167</t>
  </si>
  <si>
    <t>สะพานน้ำแม่สรวย</t>
  </si>
  <si>
    <t>{"id":1317589521,"waterlevel_datetime":"2026-10-03 15:00","waterlevel_m":null,"waterlevel_msl":"507.06","waterlevel_msl_previous":"507.06","flow_rate":null,"discharge":null,"storage_percent":"52.22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Basin"}},"station":{"id":1556820,"tele_station_name":{"en":"Mae Suai Bridge","th":"สะพานน้ำแม่สรวย"},"tele_station_lat":19.72628,"tele_station_long":99.50745,"tele_station_oldcode":"MOU167","tele_station_type":"tele_waterlevel","left_bank":514.486,"right_bank":515.155,"min_bank":514.49,"ground_level":498.936,"offset":null,"sub_basin_id":29,"agency_id":91,"geocode_id":5550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Rai"}},"diff_wl_bank":"7.43","diff_wl_bank_text":"ต่ำกว่าตลิ่ง (ม.)"}</t>
  </si>
  <si>
    <t>THAIWATER_WL:335</t>
  </si>
  <si>
    <t>KON004</t>
  </si>
  <si>
    <t>เมืองอุดรธานี</t>
  </si>
  <si>
    <t>ห้วยหลวง</t>
  </si>
  <si>
    <t>{"id":1317594357,"waterlevel_datetime":"2026-10-03 15:10","waterlevel_m":null,"waterlevel_msl":"168.41","waterlevel_msl_previous":"168.41","flow_rate":null,"discharge":null,"storage_percent":"52.05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Basin"}},"station":{"id":335,"tele_station_name":{"en":"Khong 4","th":"เมืองอุดรธานี"},"tele_station_lat":17.482368,"tele_station_long":102.79713,"tele_station_oldcode":"KON004","tele_station_type":"tele_waterlevel","left_bank":172.263,"right_bank":171.5,"min_bank":171.5,"ground_level":165.056,"offset":null,"sub_basin_id":54,"agency_id":9,"geocode_id":3451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Thani"}},"diff_wl_bank":"3.09","diff_wl_bank_text":"ต่ำกว่าตลิ่ง (ม.)","river_gid":116369,"river_name":"ห้วยหลวง"}</t>
  </si>
  <si>
    <t>THAIWATER_WL:740538</t>
  </si>
  <si>
    <t>AIT009</t>
  </si>
  <si>
    <t>สะพานบังอี่</t>
  </si>
  <si>
    <t>ห้วยบังอี</t>
  </si>
  <si>
    <t>2026-10-03T10:20:00+07:00</t>
  </si>
  <si>
    <t>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</t>
  </si>
  <si>
    <t>{"id":1317470165,"waterlevel_datetime":"2026-10-03 10:20","waterlevel_m":null,"waterlevel_msl":"127.19","waterlevel_msl_previous":"127.20","flow_rate":null,"discharge":null,"storage_percent":"52.02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Basin"}},"station":{"id":740538,"tele_station_name":{"en":"Bang Ee Bridge","th":"สะพานบังอี่"},"tele_station_lat":16.345835,"tele_station_long":104.889885,"tele_station_oldcode":"AIT009","tele_station_type":"tele_waterlevel","left_bank":136.049,"right_bank":131.767,"min_bank":131.77,"ground_level":122.228,"offset":null,"sub_basin_id":74,"sponsor_by":"สถาบันเทคโนโลยีแห่งเอเชีย","agency_id":9,"geocode_id":4654,"hydro_id":null,"qmax":null,"is_key_station":false,"warning_level_m":null,"critical_level_m":null,"critical_level_msl":null},"geocode":{"area_code":"4","area_name":{"th":"ภาคตะวันออกเฉียงเหนือ","en":"Northeast"},"amphoe_code":"03","amphoe_name":{"th":"ดอนตาล","en":"Don Tan District"},"tumbon_code":"02","tumbon_name":{"th":"โพธิ์ไทร","en":"Pho Sai"},"province_code":"49","province_name":{"th":"มุกดาหาร","en":"Mukdahan"}},"diff_wl_bank":"4.58","diff_wl_bank_text":"ต่ำกว่าตลิ่ง (ม.)","river_gid":131350,"river_name":"ห้วยบังอี"}</t>
  </si>
  <si>
    <t>THAIWATER_WL:281</t>
  </si>
  <si>
    <t>MUN011</t>
  </si>
  <si>
    <t>พิบูลมังสาหาร</t>
  </si>
  <si>
    <t>{"id":1317594431,"waterlevel_datetime":"2026-10-03 15:10","waterlevel_m":null,"waterlevel_msl":"108.55","waterlevel_msl_previous":"108.55","flow_rate":null,"discharge":null,"storage_percent":"51.72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Basin"}},"station":{"id":281,"tele_station_name":{"en":"Mun 11","th":"พิบูลมังสาหาร"},"tele_station_lat":15.249705,"tele_station_long":105.2393,"tele_station_oldcode":"MUN011","tele_station_type":"tele_waterlevel","left_bank":112.407,"right_bank":114.533,"min_bank":112.41,"ground_level":104.419,"offset":null,"sub_basin_id":151,"agency_id":9,"geocode_id":2784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พิบูลมังสาหาร","en":"Phibun Mangsahan District"},"tumbon_code":"10","tumbon_name":{"th":"โพธิ์ศรี","en":"Pho Si"},"province_code":"34","province_name":{"th":"อุบลราชธานี","en":"Ubon Ratchathani"}},"diff_wl_bank":"3.86","diff_wl_bank_text":"ต่ำกว่าตลิ่ง (ม.)","river_gid":145985,"river_name":"แม่น้ำมูล"}</t>
  </si>
  <si>
    <t>THAIWATER_WL:2905</t>
  </si>
  <si>
    <t>E.93</t>
  </si>
  <si>
    <t>บ้านยาง</t>
  </si>
  <si>
    <t>ห้วยหิน</t>
  </si>
  <si>
    <t>{"id":1317573770,"waterlevel_datetime":"2026-10-03 14:00","waterlevel_m":null,"waterlevel_msl":"228.60","waterlevel_msl_previous":"228.59","flow_rate":null,"discharge":"8.10","storage_percent":"51.60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2905,"tele_station_name":{"th":"บ้านยาง"},"tele_station_lat":16.31431,"tele_station_long":101.875816,"tele_station_oldcode":"E.93","tele_station_type":"tele_waterlevel","left_bank":458.894,"right_bank":458.803,"min_bank":231.1,"ground_level":225.935,"offset":225.5,"sub_basin_id":89,"agency_id":12,"geocode_id":2996,"hydro_id":3,"qmax":150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District"},"tumbon_code":"12","tumbon_name":{"th":"โนนทอง","en":"Non Thong"},"province_code":"36","province_name":{"th":"ชัยภูมิ","en":"Chaiyaphum"}},"diff_wl_bank":"2.50","diff_wl_bank_text":"ต่ำกว่าตลิ่ง (ม.)","river_gid":132273,"river_name":"ห้วยหิน"}</t>
  </si>
  <si>
    <t>THAIWATER_WL:700587</t>
  </si>
  <si>
    <t>MKVKD04</t>
  </si>
  <si>
    <t>บ้านปากแซง (K.58)</t>
  </si>
  <si>
    <t>QGF2+5PW ซอย ศรีอยุธยา 21 แขวงวชิรพยาบาล เขตดุสิต กรุงเทพมหานคร 10300 ประเทศไทย</t>
  </si>
  <si>
    <t>ChIJiYT6umCZ4jARD7oUpQQ5DUs</t>
  </si>
  <si>
    <t>e5ee61e4-9f67-ef99-64ab-7f36778882fd</t>
  </si>
  <si>
    <t>โรงเรียนวัดเบญจมบพิตร</t>
  </si>
  <si>
    <t>{"id":1317593148,"waterlevel_datetime":"2026-10-03 15:00","waterlevel_m":null,"waterlevel_msl":"47.51","waterlevel_msl_previous":"47.51","flow_rate":null,"discharge":"857.86","storage_percent":"51.45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Basin"}},"station":{"id":700587,"tele_station_name":{"th":"บ้านปากแซง (K.58)"},"tele_station_lat":14.215,"tele_station_long":99.058,"tele_station_oldcode":"MKVKD04","tele_station_type":"tele_waterlevel","left_bank":58.408,"right_bank":57.454,"min_bank":57.45,"ground_level":36.963,"offset":null,"sub_basin_id":273,"agency_id":8,"geocode_id":6598,"hydro_id":null,"qmax":null,"is_key_station":false,"warning_level_m":null,"critical_level_m":null,"critical_level_msl":48.52},"geocode":{"area_code":"2","area_name":{"th":"ภาคกลาง","en":"Central"},"amphoe_code":"02","amphoe_name":{"th":"ไทรโยค","en":"Sai Yok District"},"tumbon_code":"02","tumbon_name":{"th":"ท่าเสา","en":"Tha Sao"},"province_code":"71","province_name":{"th":"กาญจนบุรี","en":"Kanchanaburi"}},"diff_wl_bank":"9.95","diff_wl_bank_text":"ต่ำกว่าตลิ่ง (ม.)","river_gid":183947,"river_name":"แม่น้ำแควน้อย"}</t>
  </si>
  <si>
    <t>THAIWATER_WL:333</t>
  </si>
  <si>
    <t>CHI006</t>
  </si>
  <si>
    <t>เมืองขอนแก่น</t>
  </si>
  <si>
    <t>{"id":"e5ee61e4-9f67-ef99-64ab-7f36778882fd","district":"ดุสิต","category":"ศูนย์พักพิงชั่วคราว","name":"โรงเรียนวัดเบญจมบพิตร","capacity":50,"occupied":0,"available":50,"unitType":"คน","status":"เปิดให้บริการ/ว่าง","routeDetails":"","link":null,"additionalDetails":"ยังไม่มีการเปิดศูนย์ฯ","createdAt":"2026-09-26T07:53:42.000Z","updatedAt":"2026-09-26T07:53:42.000Z"}</t>
  </si>
  <si>
    <t>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</t>
  </si>
  <si>
    <t>{"id":1317594254,"waterlevel_datetime":"2026-10-03 15:10","waterlevel_m":null,"waterlevel_msl":"147.44","waterlevel_msl_previous":"147.44","flow_rate":null,"discharge":null,"storage_percent":"51.42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Basin"}},"station":{"id":333,"tele_station_name":{"en":"Chi 6","th":"เมืองขอนแก่น"},"tele_station_lat":16.3259,"tele_station_long":102.78601,"tele_station_oldcode":"CHI006","tele_station_type":"tele_waterlevel","left_bank":153.038,"right_bank":153.281,"min_bank":153.04,"ground_level":141.512,"offset":null,"sub_basin_id":84,"agency_id":9,"geocode_id":3223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District"},"tumbon_code":"04","tumbon_name":{"th":"ท่าพระ","en":"Tha Phra"},"province_code":"40","province_name":{"th":"ขอนแก่น","en":"Khon Kaen"}},"diff_wl_bank":"5.60","diff_wl_bank_text":"ต่ำกว่าตลิ่ง (ม.)","river_gid":132338,"river_name":"แม่น้ำชี"}</t>
  </si>
  <si>
    <t>THAIWATER_WL:2562</t>
  </si>
  <si>
    <t>X.236</t>
  </si>
  <si>
    <t>บ้านย่านตาขาว</t>
  </si>
  <si>
    <t>{"id":1317523551,"waterlevel_datetime":"2026-10-03 12:00","waterlevel_m":null,"waterlevel_msl":"1.85","waterlevel_msl_previous":"1.87","flow_rate":null,"discharge":"52.75","storage_percent":"51.41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2562,"tele_station_name":{"th":"บ้านย่านตาขาว"},"tele_station_lat":7.37199,"tele_station_long":99.677269,"tele_station_oldcode":"X.236","tele_station_type":"tele_waterlevel","left_bank":7.441,"right_bank":7.433,"min_bank":5.1,"ground_level":-1.588,"offset":null,"sub_basin_id":350,"agency_id":12,"geocode_id":8010,"hydro_id":8,"qmax":224.5,"is_key_station":false,"warning_level_m":null,"critical_level_m":null,"critical_level_msl":null},"geocode":{"area_code":"5","area_name":{"th":"ภาคใต้","en":"South"},"amphoe_code":"04","amphoe_name":{"th":"ปะเหลียน","en":"Palian District"},"tumbon_code":"12","tumbon_name":{"th":"ท่าพญา","en":"Tha Phaya"},"province_code":"92","province_name":{"th":"ตรัง","en":"Trang"}},"diff_wl_bank":"3.25","diff_wl_bank_text":"ต่ำกว่าตลิ่ง (ม.)","river_gid":225576,"river_name":"คลองปะเหลียน"}</t>
  </si>
  <si>
    <t>THAIWATER_WL:1109490</t>
  </si>
  <si>
    <t>ONE001</t>
  </si>
  <si>
    <t>สะพานท่าน้ำ</t>
  </si>
  <si>
    <t>คลองกระบี่ใหญ่</t>
  </si>
  <si>
    <t>{"id":1317594457,"waterlevel_datetime":"2026-10-03 15:10","waterlevel_m":null,"waterlevel_msl":"2.28","waterlevel_msl_previous":"2.27","flow_rate":null,"discharge":null,"storage_percent":"51.35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Basin"}},"station":{"id":1109490,"tele_station_name":{"en":"Tha Nam Bridge","th":"สะพานท่าน้ำ"},"tele_station_lat":8.109219,"tele_station_long":98.905525,"tele_station_oldcode":"ONE001","tele_station_type":"tele_waterlevel","left_bank":4.032,"right_bank":4.942,"min_bank":4.03,"ground_level":0.431,"offset":null,"sub_basin_id":345,"agency_id":9,"geocode_id":7368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District"},"tumbon_code":"01","tumbon_name":{"th":"ปากน้ำ","en":"Pak Nam"},"province_code":"81","province_name":{"th":"กระบี่","en":"Krabi"}},"diff_wl_bank":"1.75","diff_wl_bank_text":"ต่ำกว่าตลิ่ง (ม.)","river_gid":222199,"river_name":"คลองกระบี่ใหญ่"}</t>
  </si>
  <si>
    <t>THAIWATER_WL:516216</t>
  </si>
  <si>
    <t>FOP011</t>
  </si>
  <si>
    <t>สะพานน้ำมวบ (บ้านภูแยง)</t>
  </si>
  <si>
    <t>น้ำมวบ</t>
  </si>
  <si>
    <t>{"id":1317594023,"waterlevel_datetime":"2026-10-03 15:10","waterlevel_m":null,"waterlevel_msl":"262.16","waterlevel_msl_previous":"262.16","flow_rate":null,"discharge":null,"storage_percent":"51.34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Basin"}},"station":{"id":516216,"tele_station_name":{"en":"Nam Muap (Ban Phu Yaeng) Bridge ","th":"สะพานน้ำมวบ (บ้านภูแยง)"},"tele_station_lat":18.924017,"tele_station_long":100.92668,"tele_station_oldcode":"FOP011","tele_station_type":"tele_waterlevel","left_bank":265.274,"right_bank":266.646,"min_bank":265.27,"ground_level":258.874,"offset":null,"sub_basin_id":219,"sponsor_by":"มูลนิธิอาสาเพื่อนพึ่ง (ภาฯ) ยามยาก สภากาชาดไทย","agency_id":91,"geocode_id":5350,"hydro_id":null,"qmax":null,"is_key_station":false,"warning_level_m":null,"critical_level_m":null,"critical_level_msl":null},"geocode":{"area_code":"3","area_name":{"th":"ภาคเหนือ","en":"North"},"amphoe_code":"11","amphoe_name":{"th":"สันติสุข","en":"Santi Suk District"},"tumbon_code":"01","tumbon_name":{"th":"ดู่พงษ์","en":"Du Phong"},"province_code":"55","province_name":{"th":"น่าน","en":"Nan"}},"diff_wl_bank":"3.11","diff_wl_bank_text":"ต่ำกว่าตลิ่ง (ม.)","river_gid":32263,"river_name":"น้ำมวบ"}</t>
  </si>
  <si>
    <t>THAIWATER_WL:2576</t>
  </si>
  <si>
    <t>S.3</t>
  </si>
  <si>
    <t>ต.ตาลเดี่ยว</t>
  </si>
  <si>
    <t>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</t>
  </si>
  <si>
    <t>{"id":1317572439,"waterlevel_datetime":"2026-10-03 14:00","waterlevel_m":null,"waterlevel_msl":"142.20","waterlevel_msl_previous":"142.13","flow_rate":null,"discharge":"17.13","storage_percent":"51.34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2576,"tele_station_name":{"th":"ต.ตาลเดี่ยว"},"tele_station_lat":16.78157,"tele_station_long":101.246689,"tele_station_oldcode":"S.3","tele_station_type":"tele_waterlevel","left_bank":282.482005,"right_bank":282.302005,"min_bank":144.93,"ground_level":139.32,"offset":136.630005,"sub_basin_id":247,"agency_id":12,"geocode_id":6370,"hydro_id":2,"qmax":77.449997,"is_key_station":true,"warning_level_m":null,"critical_level_m":null,"critical_level_msl":null},"geocode":{"area_code":"3","area_name":{"th":"ภาคเหนือ","en":"North"},"amphoe_code":"03","amphoe_name":{"th":"หล่มสัก","en":"Lom Sak District"},"tumbon_code":"03","tumbon_name":{"th":"ตาลเดี่ยว","en":"Tan Diao"},"province_code":"67","province_name":{"th":"เพชรบูรณ์","en":"Phetchabun"}},"diff_wl_bank":"2.73","diff_wl_bank_text":"ต่ำกว่าตลิ่ง (ม.)","river_gid":163008,"river_name":"แม่น้ำป่าสัก"}</t>
  </si>
  <si>
    <t>THAIWATER_WL:3247</t>
  </si>
  <si>
    <t>P.67</t>
  </si>
  <si>
    <t>บ้านแม่แต</t>
  </si>
  <si>
    <t>{"id":1317494190,"waterlevel_datetime":"2026-10-03 11:00","waterlevel_m":null,"waterlevel_msl":"315.81","waterlevel_msl_previous":"315.81","flow_rate":null,"discharge":"39.65","storage_percent":"51.33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3247,"tele_station_name":{"th":"บ้านแม่แต"},"tele_station_lat":19.00985,"tele_station_long":98.95974,"tele_station_oldcode":"P.67","tele_station_type":"tele_waterlevel","left_bank":642.278993,"right_bank":642.1749930000001,"min_bank":318.93,"ground_level":312.52,"offset":315.929993,"sub_basin_id":160,"agency_id":12,"geocode_id":4767,"hydro_id":1,"qmax":380.200012,"is_key_station":true,"warning_level_m":null,"critical_level_m":null,"critical_level_msl":null},"geocode":{"area_code":"3","area_name":{"th":"ภาคเหนือ","en":"North"},"amphoe_code":"07","amphoe_name":{"th":"แม่ริม","en":"Mae Rim District"},"tumbon_code":"04","tumbon_name":{"th":"ขี้เหล็ก","en":"Khi Lek"},"province_code":"50","province_name":{"th":"เชียงใหม่","en":"Chiang Mai"}},"diff_wl_bank":"3.12","diff_wl_bank_text":"ต่ำกว่าตลิ่ง (ม.)","river_gid":28899,"river_name":"แม่น้ำปิง"}</t>
  </si>
  <si>
    <t>THAIWATER_WL:587</t>
  </si>
  <si>
    <t>SKG007</t>
  </si>
  <si>
    <t>คลองกลาง</t>
  </si>
  <si>
    <t>คลองตะกวด</t>
  </si>
  <si>
    <t>{"id":1317594593,"waterlevel_datetime":"2026-10-03 15:10","waterlevel_m":null,"waterlevel_msl":"72.25","waterlevel_msl_previous":"72.25","flow_rate":null,"discharge":null,"storage_percent":"51.32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Basin"}},"station":{"id":587,"tele_station_name":{"en":"Sakae Krang 7","th":"คลองกลาง"},"tele_station_lat":15.7832,"tele_station_long":99.65321,"tele_station_oldcode":"SKG007","tele_station_type":"tele_waterlevel","left_bank":74.1,"right_bank":74.15,"min_bank":74.1,"ground_level":70.31,"offset":null,"sub_basin_id":242,"agency_id":9,"geocode_id":5774,"hydro_id":null,"qmax":null,"is_key_station":false,"warning_level_m":null,"critical_level_m":null,"critical_level_msl":null},"geocode":{"area_code":"3","area_name":{"th":"ภาคเหนือ","en":"North"},"amphoe_code":"11","amphoe_name":{"th":"ลาดยาว","en":"Lat Yao District"},"tumbon_code":"16","tumbon_name":{"th":"ศาลเจ้าไก่ต่อ","en":"San Chao Kai To"},"province_code":"60","province_name":{"th":"นครสวรรค์","en":"Nakhon Sawan"}},"diff_wl_bank":"1.84","diff_wl_bank_text":"ต่ำกว่าตลิ่ง (ม.)","river_gid":168261,"river_name":"คลองตะกวด"}</t>
  </si>
  <si>
    <t>THAIWATER_WL:482</t>
  </si>
  <si>
    <t>NAN004</t>
  </si>
  <si>
    <t>พิชัย</t>
  </si>
  <si>
    <t>{"id":1317594441,"waterlevel_datetime":"2026-10-03 15:10","waterlevel_m":null,"waterlevel_msl":"47.66","waterlevel_msl_previous":"47.67","flow_rate":null,"discharge":null,"storage_percent":"50.71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Basin"}},"station":{"id":482,"tele_station_name":{"en":"Nan 4","th":"พิชัย"},"tele_station_lat":17.29433,"tele_station_long":100.08282,"tele_station_oldcode":"NAN004","tele_station_type":"tele_waterlevel","left_bank":52.654,"right_bank":51.539,"min_bank":51.54,"ground_level":43.678,"offset":null,"sub_basin_id":232,"agency_id":9,"geocode_id":5146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District"},"tumbon_code":"01","tumbon_name":{"th":"ในเมือง","en":"Nai Mueang"},"province_code":"53","province_name":{"th":"อุตรดิตถ์","en":"Uttaradit"}},"diff_wl_bank":"3.88","diff_wl_bank_text":"ต่ำกว่าตลิ่ง (ม.)","river_gid":85199,"river_name":"แม่น้ำน่าน"}</t>
  </si>
  <si>
    <t>THAIWATER_WL:2900</t>
  </si>
  <si>
    <t>P.7A</t>
  </si>
  <si>
    <t>ซ. โรงเรียนวัดเบญจมบพิตร แขวงดุสิต เขตดุสิต กรุงเทพมหานคร 10300 ประเทศไทย</t>
  </si>
  <si>
    <t>ChIJiZ7M8kOZ4jARt9HrD7Y94-k</t>
  </si>
  <si>
    <t>078156ff-1e9f-4177-a2e5-fd725054a93b</t>
  </si>
  <si>
    <t>โรงเรียนคลองต้นไทร(สุขล้อมอุทิศ)</t>
  </si>
  <si>
    <t>https://maps.app.goo.gl/Lvm3q12TxWnA55786</t>
  </si>
  <si>
    <t>{"id":1317572399,"waterlevel_datetime":"2026-10-03 14:00","waterlevel_m":null,"waterlevel_msl":"73.41","waterlevel_msl_previous":"73.41","flow_rate":null,"discharge":"373.00","storage_percent":"50.41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2900,"tele_station_name":{"th":"ต.ในเมือง"},"tele_station_lat":16.47772,"tele_station_long":99.517921,"tele_station_oldcode":"P.7A","tele_station_type":"tele_waterlevel","left_bank":149.720003,"right_bank":149.55100299999998,"min_bank":77.07,"ground_level":69.69,"offset":71.730003,"sub_basin_id":185,"agency_id":12,"geocode_id":5875,"hydro_id":2,"qmax":3000,"is_key_station":tru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District"},"tumbon_code":"01","tumbon_name":{"th":"ในเมือง","en":"Nai Mueang"},"province_code":"62","province_name":{"th":"กำแพงเพชร","en":"Kamphaeng Phet"}},"diff_wl_bank":"3.66","diff_wl_bank_text":"ต่ำกว่าตลิ่ง (ม.)","river_gid":96424,"river_name":"แม่น้ำปิง"}</t>
  </si>
  <si>
    <t>THAIWATER_WL:2809</t>
  </si>
  <si>
    <t>E.5</t>
  </si>
  <si>
    <t>บ้านโนนเชือก</t>
  </si>
  <si>
    <t>2026-09-26T12:54:21.507Z</t>
  </si>
  <si>
    <t>2026-09-26T13:17:09.496Z</t>
  </si>
  <si>
    <t>{"id":"078156ff-1e9f-4177-a2e5-fd725054a93b","district":"ทวีวัฒนา","category":"ศูนย์พักพิงชั่วคราว","name":"โรงเรียนคลองต้นไทร(สุขล้อมอุทิศ)","capacity":50,"occupied":0,"available":50,"unitType":"คน","status":"เปิดให้บริการ/ว่าง","routeDetails":"","link":"https://maps.app.goo.gl/Lvm3q12TxWnA55786","additionalDetails":null,"createdAt":"2026-09-26T12:54:21.507Z","updatedAt":"2026-09-26T13:17:09.496Z"}</t>
  </si>
  <si>
    <t>{"id":1317573775,"waterlevel_datetime":"2026-10-03 14:00","waterlevel_m":null,"waterlevel_msl":"190.29","waterlevel_msl_previous":"190.31","flow_rate":null,"discharge":"95.15","storage_percent":"50.32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2809,"tele_station_name":{"th":"บ้านโนนเชือก"},"tele_station_lat":15.7325,"tele_station_long":101.830048,"tele_station_oldcode":"E.5","tele_station_type":"tele_waterlevel","left_bank":382.009,"right_bank":381.703,"min_bank":196.5,"ground_level":184,"offset":185,"sub_basin_id":80,"agency_id":12,"geocode_id":3015,"hydro_id":3,"qmax":570,"is_key_station":true,"warning_level_m":null,"critical_level_m":null,"critical_level_msl":null},"geocode":{"area_code":"4","area_name":{"th":"ภาคตะวันออกเฉียงเหนือ","en":"Northeast"},"amphoe_code":"06","amphoe_name":{"th":"จัตุรัส","en":"Chatturat District"},"tumbon_code":"13","tumbon_name":{"th":"ส้มป่อย","en":"Som Poi"},"province_code":"36","province_name":{"th":"ชัยภูมิ","en":"Chaiyaphum"}},"diff_wl_bank":"6.21","diff_wl_bank_text":"ต่ำกว่าตลิ่ง (ม.)","river_gid":140649,"river_name":"แม่น้ำชี"}</t>
  </si>
  <si>
    <t>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</t>
  </si>
  <si>
    <t>THAIWATER_WL:1121266</t>
  </si>
  <si>
    <t>MOU472</t>
  </si>
  <si>
    <t>สะพานคลองวังโตนด</t>
  </si>
  <si>
    <t>คลองโตนด</t>
  </si>
  <si>
    <t>{"id":1317594101,"waterlevel_datetime":"2026-10-03 15:10","waterlevel_m":null,"waterlevel_msl":"44.78","waterlevel_msl_previous":"44.80","flow_rate":null,"discharge":null,"storage_percent":"49.90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Basin"}},"station":{"id":1121266,"tele_station_name":{"en":"Wang Tanot Canal Bridge","th":"สะพานคลองวังโตนด"},"tele_station_lat":13.119586,"tele_station_long":101.954346,"tele_station_oldcode":"MOU472","tele_station_type":"tele_waterlevel","left_bank":47.921,"right_bank":47.786,"min_bank":47.79,"ground_level":41.786,"offset":null,"sub_basin_id":295,"sponsor_by":"มูลนิธิอาสาเพื่อนพึ่ง (ภาฯ) ยามยาก สภากาชาดไทย","agency_id":91,"geocode_id":1315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Song"},"province_code":"22","province_name":{"th":"จันทบุรี","en":"Chanthaburi"}},"diff_wl_bank":"3.01","diff_wl_bank_text":"ต่ำกว่าตลิ่ง (ม.)","river_gid":201362,"river_name":"คลองโตนด"}</t>
  </si>
  <si>
    <t>THAIWATER_WL:865</t>
  </si>
  <si>
    <t>TNG002</t>
  </si>
  <si>
    <t>เมืองตรัง</t>
  </si>
  <si>
    <t>{"id":1317594659,"waterlevel_datetime":"2026-10-03 15:10","waterlevel_m":null,"waterlevel_msl":"0.47","waterlevel_msl_previous":"0.48","flow_rate":null,"discharge":null,"storage_percent":"49.80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Basin"}},"station":{"id":865,"tele_station_name":{"en":"Trang 2","th":"เมืองตรัง"},"tele_station_lat":7.555884,"tele_station_long":99.57825,"tele_station_oldcode":"TNG002","tele_station_type":"tele_waterlevel","left_bank":4.054,"right_bank":5.987,"min_bank":4.05,"ground_level":-3.086,"offset":null,"sub_basin_id":349,"agency_id":9,"geocode_id":7968,"hydro_id":null,"qmax":null,"is_key_station":fals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Rak"},"province_code":"92","province_name":{"th":"ตรัง","en":"Trang"}},"diff_wl_bank":"3.58","diff_wl_bank_text":"ต่ำกว่าตลิ่ง (ม.)","river_gid":224732,"river_name":"แม่น้ำตรัง"}</t>
  </si>
  <si>
    <t>THAIWATER_WL:2729</t>
  </si>
  <si>
    <t>M.176</t>
  </si>
  <si>
    <t>บ้านโนนสีไคล</t>
  </si>
  <si>
    <t>ห้วยขะยุง</t>
  </si>
  <si>
    <t>{"id":1317571344,"waterlevel_datetime":"2026-10-03 14:00","waterlevel_m":null,"waterlevel_msl":"116.21","waterlevel_msl_previous":"116.22","flow_rate":null,"discharge":"124.40","storage_percent":"49.71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2729,"tele_station_name":{"th":"บ้านโนนสีไคล"},"tele_station_lat":15.00636,"tele_station_long":104.633453,"tele_station_oldcode":"M.176","tele_station_type":"tele_waterlevel","left_bank":234.042997,"right_bank":233.773997,"min_bank":122.2,"ground_level":110.29,"offset":110.199997,"sub_basin_id":141,"agency_id":12,"geocode_id":2549,"hydro_id":4,"qmax":494,"is_key_station":true,"warning_level_m":null,"critical_level_m":null,"critical_level_msl":null},"geocode":{"area_code":"4","area_name":{"th":"ภาคตะวันออกเฉียงเหนือ","en":"Northeast"},"amphoe_code":"13","amphoe_name":{"th":"โนนคูณ","en":"Non Khun District"},"tumbon_code":"02","tumbon_name":{"th":"บก","en":"Bok"},"province_code":"33","province_name":{"th":"ศรีสะเกษ","en":"Si Sa Ket"}},"diff_wl_bank":"5.99","diff_wl_bank_text":"ต่ำกว่าตลิ่ง (ม.)","river_gid":148543,"river_name":"ห้วยขะยุง"}</t>
  </si>
  <si>
    <t>THAIWATER_WL:726686</t>
  </si>
  <si>
    <t>X.196</t>
  </si>
  <si>
    <t>บ้านท่านา</t>
  </si>
  <si>
    <t>คลองกะปง</t>
  </si>
  <si>
    <t>{"id":1317523527,"waterlevel_datetime":"2026-10-03 12:00","waterlevel_m":null,"waterlevel_msl":"15.24","waterlevel_msl_previous":"15.24","flow_rate":null,"discharge":"15.00","storage_percent":"49.70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726686,"tele_station_name":{"th":"บ้านท่านา"},"tele_station_lat":8.70251,"tele_station_long":98.409027,"tele_station_oldcode":"X.196","tele_station_type":"tele_waterlevel","left_bank":19.931,"right_bank":19.913,"min_bank":18.54,"ground_level":11.98,"offset":null,"sub_basin_id":344,"agency_id":12,"geocode_id":7445,"hydro_id":8,"qmax":235,"is_key_station":false,"warning_level_m":null,"critical_level_m":null,"critical_level_msl":null},"geocode":{"area_code":"5","area_name":{"th":"ภาคใต้","en":"South"},"amphoe_code":"03","amphoe_name":{"th":"กะปง","en":"Kapong District"},"tumbon_code":"02","tumbon_name":{"th":"ท่านา","en":"Tha Na"},"province_code":"82","province_name":{"th":"พังงา","en":"Phangnga"}},"diff_wl_bank":"3.30","diff_wl_bank_text":"ต่ำกว่าตลิ่ง (ม.)","river_gid":218289,"river_name":"คลองกะปง"}</t>
  </si>
  <si>
    <t>THAIWATER_WL:835</t>
  </si>
  <si>
    <t>CMP001</t>
  </si>
  <si>
    <t>เมืองชุมพร</t>
  </si>
  <si>
    <t>2026-09-30T20:30:00+07:00</t>
  </si>
  <si>
    <t>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</t>
  </si>
  <si>
    <t>{"id":1315887971,"waterlevel_datetime":"2026-09-30 20:30","waterlevel_m":null,"waterlevel_msl":"4.03","waterlevel_msl_previous":"4.24","flow_rate":null,"discharge":null,"storage_percent":"49.36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Basin"}},"station":{"id":835,"tele_station_name":{"en":"Chumphon 1","th":"เมืองชุมพร"},"tele_station_lat":10.574472,"tele_station_long":99.145744,"tele_station_oldcode":"CMP001","tele_station_type":"tele_waterlevel","left_bank":8.569,"right_bank":8.242,"min_bank":8.24,"ground_level":-0.075,"offset":null,"sub_basin_id":310,"agency_id":9,"geocode_id":7703,"hydro_id":null,"qmax":null,"is_key_station":false,"warning_level_m":null,"critical_level_m":null,"critical_level_msl":null},"geocode":{"area_code":"5","area_name":{"th":"ภาคใต้","en":"South"},"amphoe_code":"01","amphoe_name":{"th":"เมืองชุมพร","en":"Mueang Chumphon District"},"tumbon_code":"09","tumbon_name":{"th":"หาดพันไกร","en":"Hat Phan Krai"},"province_code":"86","province_name":{"th":"ชุมพร","en":"Chumphon"}},"diff_wl_bank":"4.21","diff_wl_bank_text":"ต่ำกว่าตลิ่ง (ม.)","river_gid":213112,"river_name":"คลองท่าตะเภา"}</t>
  </si>
  <si>
    <t>THAIWATER_WL:1119854</t>
  </si>
  <si>
    <t>E.95A</t>
  </si>
  <si>
    <t>บ้านธวัชดินแดง</t>
  </si>
  <si>
    <t>{"id":1317573796,"waterlevel_datetime":"2026-10-03 14:00","waterlevel_m":null,"waterlevel_msl":"127.00","waterlevel_msl_previous":"126.99","flow_rate":null,"discharge":null,"storage_percent":"49.30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1119854,"tele_station_name":{"th":"บ้านธวัชดินแดง"},"tele_station_lat":16.115801,"tele_station_long":103.846603,"tele_station_oldcode":"E.95A","tele_station_type":"tele_waterlevel","left_bank":257.824998,"right_bank":257.845998,"min_bank":132.1,"ground_level":122.04,"offset":123.599998,"sub_basin_id":100,"agency_id":12,"geocode_id":4060,"hydro_id":3,"qmax":950,"is_key_station":false,"warning_level_m":null,"critical_level_m":null,"critical_level_msl":null},"geocode":{"area_code":"4","area_name":{"th":"ภาคตะวันออกเฉียงเหนือ","en":"Northeast"},"amphoe_code":"05","amphoe_name":{"th":"ธวัชบุรี","en":"Thawat Buri District"},"tumbon_code":"02","tumbon_name":{"th":"ธงธานี","en":"Thong Thani"},"province_code":"45","province_name":{"th":"ร้อยเอ็ด","en":"Roi Et"}},"diff_wl_bank":"5.10","diff_wl_bank_text":"ต่ำกว่าตลิ่ง (ม.)","river_gid":133926,"river_name":"แม่น้ำชี"}</t>
  </si>
  <si>
    <t>THAIWATER_WL:2672</t>
  </si>
  <si>
    <t>Z.28</t>
  </si>
  <si>
    <t>บ้านขุนซ่อง</t>
  </si>
  <si>
    <t>{"id":1317582858,"waterlevel_datetime":"2026-10-03 14:00","waterlevel_m":null,"waterlevel_msl":"36.04","waterlevel_msl_previous":"36.01","flow_rate":null,"discharge":"15.68","storage_percent":"49.27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2672,"tele_station_name":{"th":"บ้านขุนซ่อง"},"tele_station_lat":13.07735,"tele_station_long":101.945534,"tele_station_oldcode":"Z.28","tele_station_type":"tele_waterlevel","left_bank":72.50099800000001,"right_bank":71.66999799999999,"min_bank":39.09,"ground_level":33.078,"offset":32.599998,"sub_basin_id":295,"agency_id":12,"geocode_id":1315,"hydro_id":6,"qmax":65.18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District"},"tumbon_code":"02","tumbon_name":{"th":"ขุนซ่อง","en":"Khun Song"},"province_code":"22","province_name":{"th":"จันทบุรี","en":"Chanthaburi"}},"diff_wl_bank":"3.05","diff_wl_bank_text":"ต่ำกว่าตลิ่ง (ม.)","river_gid":201625,"river_name":"คลองโตนด"}</t>
  </si>
  <si>
    <t>THAIWATER_WL:2559</t>
  </si>
  <si>
    <t>X.119A</t>
  </si>
  <si>
    <t>บริเวณสะพานลันตู</t>
  </si>
  <si>
    <t>{"id":1317539081,"waterlevel_datetime":"2026-10-03 12:00","waterlevel_m":null,"waterlevel_msl":"4.58","waterlevel_msl_previous":"4.54","flow_rate":null,"discharge":"42.40","storage_percent":"49.25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2559,"tele_station_name":{"th":"บริเวณสะพานลันตู"},"tele_station_lat":6.02261,"tele_station_long":101.974892,"tele_station_oldcode":"X.119A","tele_station_type":"tele_waterlevel","left_bank":10.483,"right_bank":9.785,"min_bank":9.3,"ground_level":0,"offset":null,"sub_basin_id":340,"agency_id":12,"geocode_id":8401,"hydro_id":8,"qmax":229,"is_key_station":true,"warning_level_m":null,"critical_level_m":8.2,"critical_level_msl":8.2},"geocode":{"area_code":"5","area_name":{"th":"ภาคใต้","en":"South"},"amphoe_code":"10","amphoe_name":{"th":"สุไหงโก-ลก","en":"Su-ngai Kolok District"},"tumbon_code":"01","tumbon_name":{"th":"สุไหงโก-ลก","en":"Su-Ngai Ko-Lok"},"province_code":"96","province_name":{"th":"นราธิวาส","en":"Narathiwat"}},"diff_wl_bank":"4.72","diff_wl_bank_text":"ต่ำกว่าตลิ่ง (ม.)","river_gid":231850,"river_name":"แม่น้ำโก-ลก"}</t>
  </si>
  <si>
    <t>THAIWATER_WL:504962</t>
  </si>
  <si>
    <t>M.179A</t>
  </si>
  <si>
    <t>บ้านป่าก่อ</t>
  </si>
  <si>
    <t>87/1 ถ. บรมราชชนนี แขวงศาลาธรรมสพน์ เขตทวีวัฒนา กรุงเทพมหานคร 10170 ประเทศไทย</t>
  </si>
  <si>
    <t>ChIJV9N_NNyW4jARese-PoDv5GY</t>
  </si>
  <si>
    <t>b17e35b9-6828-468b-a753-c3fe90479a46</t>
  </si>
  <si>
    <t>โรงเรียนคลองทวีวัฒนา(ทองน่วมอนุสรณ์)</t>
  </si>
  <si>
    <t>https://maps.app.goo.gl/Jn8GzDEPTb1XWuuLA?g_st=ac</t>
  </si>
  <si>
    <t>{"id":1317571345,"waterlevel_datetime":"2026-10-03 14:00","waterlevel_m":null,"waterlevel_msl":"114.53","waterlevel_msl_previous":"114.54","flow_rate":null,"discharge":"89.50","storage_percent":"49.13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504962,"tele_station_name":{"th":"บ้านป่าก่อ"},"tele_station_lat":15.50299,"tele_station_long":104.595444,"tele_station_oldcode":"M.179A","tele_station_type":"tele_waterlevel","left_bank":232.976003,"right_bank":232.969003,"min_bank":119.8,"ground_level":109.44,"offset":109.800003,"sub_basin_id":146,"agency_id":12,"geocode_id":2662,"hydro_id":4,"qmax":400,"is_key_station":true,"warning_level_m":null,"critical_level_m":null,"critical_level_msl":null},"geocode":{"area_code":"4","area_name":{"th":"ภาคตะวันออกเฉียงเหนือ","en":"Northeast"},"amphoe_code":"04","amphoe_name":{"th":"เขื่องใน","en":"Khueang Nai District"},"tumbon_code":"18","tumbon_name":{"th":"หนองเหล่า","en":"Nong Lao"},"province_code":"34","province_name":{"th":"อุบลราชธานี","en":"Ubon Ratchathani"}},"diff_wl_bank":"5.27","diff_wl_bank_text":"ต่ำกว่าตลิ่ง (ม.)","river_gid":143514,"river_name":"ลำเซบาย"}</t>
  </si>
  <si>
    <t>THAIWATER_WL:3059</t>
  </si>
  <si>
    <t>W.23</t>
  </si>
  <si>
    <t>บ้านแม่เชียงราย</t>
  </si>
  <si>
    <t>2026-09-26T12:58:10.188Z</t>
  </si>
  <si>
    <t>{"id":1317572353,"waterlevel_datetime":"2026-10-03 14:00","waterlevel_m":null,"waterlevel_msl":"143.87","waterlevel_msl_previous":"143.89","flow_rate":null,"discharge":"88.05","storage_percent":"49.11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3059,"tele_station_name":{"th":"บ้านแม่เชียงราย"},"tele_station_lat":17.36661,"tele_station_long":99.113007,"tele_station_oldcode":"W.23","tele_station_type":"tele_waterlevel","left_bank":291.41199300000005,"right_bank":290.792993,"min_bank":147.59,"ground_level":140.28,"offset":141.289993,"sub_basin_id":196,"agency_id":12,"geocode_id":5059,"hydro_id":2,"qmax":475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Phrik"},"province_code":"52","province_name":{"th":"ลำปาง","en":"Lampang"}},"diff_wl_bank":"3.72","diff_wl_bank_text":"ต่ำกว่าตลิ่ง (ม.)","river_gid":84272,"river_name":"แม่น้ำวัง"}</t>
  </si>
  <si>
    <t>THAIWATER_WL:740720</t>
  </si>
  <si>
    <t>FOP019</t>
  </si>
  <si>
    <t>{"id":"b17e35b9-6828-468b-a753-c3fe90479a46","district":"ทวีวัฒนา","category":"ศูนย์พักพิงชั่วคราว","name":"โรงเรียนคลองทวีวัฒนา(ทองน่วมอนุสรณ์)","capacity":50,"occupied":0,"available":50,"unitType":"คน","status":"เปิดให้บริการ/ว่าง","routeDetails":"","link":"https://maps.app.goo.gl/Jn8GzDEPTb1XWuuLA?g_st=ac","additionalDetails":null,"createdAt":"2026-09-26T12:58:10.188Z","updatedAt":"2026-09-26T12:58:10.188Z"}</t>
  </si>
  <si>
    <t>คลองสรอย วัดแม่ขมวก</t>
  </si>
  <si>
    <t>ห้วยแม่สรอย</t>
  </si>
  <si>
    <t>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</t>
  </si>
  <si>
    <t>{"id":1317594028,"waterlevel_datetime":"2026-10-03 15:10","waterlevel_m":null,"waterlevel_msl":"155.67","waterlevel_msl_previous":"155.67","flow_rate":null,"discharge":null,"storage_percent":"48.99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Basin"}},"station":{"id":740720,"tele_station_name":{"en":"Klong Soi Wat Mae Muak","th":"คลองสรอย วัดแม่ขมวก"},"tele_station_lat":17.775057,"tele_station_long":99.46933,"tele_station_oldcode":"FOP019","tele_station_type":"tele_waterlevel","left_bank":157.186,"right_bank":157.186,"min_bank":157.19,"ground_level":154.214,"offset":null,"sub_basin_id":207,"sponsor_by":"มูลนิธิอาสาเพื่อนพึ่ง (ภาฯ) ยามยาก สภากาชาดไทย","agency_id":91,"geocode_id":5245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District"},"tumbon_code":"02","tumbon_name":{"th":"สรอย","en":"Soi"},"province_code":"54","province_name":{"th":"แพร่","en":"Phrae"}},"diff_wl_bank":"1.52","diff_wl_bank_text":"ต่ำกว่าตลิ่ง (ม.)","river_gid":76670,"river_name":"ห้วยแม่สรอย"}</t>
  </si>
  <si>
    <t>THAIWATER_WL:3226</t>
  </si>
  <si>
    <t>P.1</t>
  </si>
  <si>
    <t>สะพานนวรัฐ</t>
  </si>
  <si>
    <t>{"id":1317494185,"waterlevel_datetime":"2026-10-03 11:00","waterlevel_m":null,"waterlevel_msl":"301.67","waterlevel_msl_previous":"301.68","flow_rate":null,"discharge":"81.10","storage_percent":"48.89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3226,"tele_station_name":{"th":"สะพานนวรัฐ"},"tele_station_lat":18.786961,"tele_station_long":99.005089,"tele_station_oldcode":"P.1","tele_station_type":"tele_waterlevel","left_bank":608.356,"right_bank":608.288,"min_bank":304.2,"ground_level":299.25,"offset":300.5,"sub_basin_id":162,"agency_id":12,"geocode_id":4697,"hydro_id":1,"qmax":425,"is_key_station":true,"warning_level_m":null,"critical_level_m":3.7,"critical_level_msl":304.2},"geocode":{"area_code":"3","area_name":{"th":"ภาคเหนือ","en":"North"},"amphoe_code":"01","amphoe_name":{"th":"เมืองเชียงใหม่","en":"Mueang Chiang Mai District"},"tumbon_code":"06","tumbon_name":{"th":"วัดเกต","en":"Wat Ket"},"province_code":"50","province_name":{"th":"เชียงใหม่","en":"Chiang Mai"}},"diff_wl_bank":"2.53","diff_wl_bank_text":"ต่ำกว่าตลิ่ง (ม.)","river_gid":39482,"river_name":"แม่น้ำปิง"}</t>
  </si>
  <si>
    <t>THAIWATER_WL:479240</t>
  </si>
  <si>
    <t>TBW032</t>
  </si>
  <si>
    <t>ลำน้ำก่ำ</t>
  </si>
  <si>
    <t>{"id":1317594632,"waterlevel_datetime":"2026-10-03 15:10","waterlevel_m":null,"waterlevel_msl":"147.22","waterlevel_msl_previous":"147.21","flow_rate":null,"discharge":null,"storage_percent":"48.65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Basin"}},"station":{"id":479240,"tele_station_name":{"en":"Num Kum 1","th":"ลำน้ำก่ำ"},"tele_station_lat":17.03068,"tele_station_long":104.41476,"tele_station_oldcode":"TBW032","tele_station_type":"tele_waterlevel","left_bank":152.375,"right_bank":154.547,"min_bank":152.38,"ground_level":142.336,"offset":null,"sub_basin_id":70,"agency_id":9,"geocode_id":4590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District"},"tumbon_code":"08","tumbon_name":{"th":"หนองบ่อ","en":"Nong Bo"},"province_code":"48","province_name":{"th":"นครพนม","en":"Nakhon Phanom"}},"diff_wl_bank":"5.16","diff_wl_bank_text":"ต่ำกว่าตลิ่ง (ม.)","river_gid":122946,"river_name":"ลำน้ำกำ"}</t>
  </si>
  <si>
    <t>THAIWATER_WL:175</t>
  </si>
  <si>
    <t>NYK008</t>
  </si>
  <si>
    <t>สะพานเขานางบวช</t>
  </si>
  <si>
    <t>{"id":1317594456,"waterlevel_datetime":"2026-10-03 15:10","waterlevel_m":null,"waterlevel_msl":"5.68","waterlevel_msl_previous":"5.69","flow_rate":null,"discharge":null,"storage_percent":"48.49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Basin"}},"station":{"id":175,"tele_station_name":{"en":"Khao Nang Buat Bridge","th":"สะพานเขานางบวช"},"tele_station_lat":14.245718,"tele_station_long":101.27481,"tele_station_oldcode":"NYK008","tele_station_type":"tele_waterlevel","left_bank":11.309,"right_bank":8.907,"min_bank":8.91,"ground_level":2.642,"offset":null,"sub_basin_id":282,"agency_id":9,"geocode_id":1566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Nayok"}},"diff_wl_bank":"3.23","diff_wl_bank_text":"ต่ำกว่าตลิ่ง (ม.)","river_gid":193672,"river_name":"แม่น้ำนครนายก"}</t>
  </si>
  <si>
    <t>THAIWATER_WL:1113284</t>
  </si>
  <si>
    <t>SKD06</t>
  </si>
  <si>
    <t>อ.น้ำปาด (N.33)</t>
  </si>
  <si>
    <t>น้ำปาด</t>
  </si>
  <si>
    <t>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</t>
  </si>
  <si>
    <t>{"id":1317593038,"waterlevel_datetime":"2026-10-03 15:00","waterlevel_m":null,"waterlevel_msl":"81.10","waterlevel_msl_previous":"81.09","flow_rate":null,"discharge":null,"storage_percent":"48.47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Basin"}},"station":{"id":1113284,"tele_station_name":{"th":"อ.น้ำปาด (N.33)"},"tele_station_lat":17.718473,"tele_station_long":100.577058,"tele_station_oldcode":"SKD06","tele_station_type":"tele_waterlevel","left_bank":87.12,"right_bank":84.413,"min_bank":84.41,"ground_level":77.98,"offset":null,"sub_basin_id":229,"agency_id":8,"geocode_id":5128,"hydro_id":null,"qmax":null,"is_key_station":false,"warning_level_m":null,"critical_level_m":null,"critical_level_msl":84.41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To"},"province_code":"53","province_name":{"th":"อุตรดิตถ์","en":"Uttaradit"}},"diff_wl_bank":"3.31","diff_wl_bank_text":"ต่ำกว่าตลิ่ง (ม.)","river_gid":77718,"river_name":"น้ำปาด"}</t>
  </si>
  <si>
    <t>THAIWATER_WL:1422372</t>
  </si>
  <si>
    <t>RPBD12</t>
  </si>
  <si>
    <t>สะพานเคียนซา (ปาล์มพาราวุ้ด) อ.เคียนซา (X.217)</t>
  </si>
  <si>
    <t>{"id":1317591823,"waterlevel_datetime":"2026-10-03 15:00","waterlevel_m":null,"waterlevel_msl":"0.72","waterlevel_msl_previous":"0.50","flow_rate":null,"discharge":null,"storage_percent":"48.43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Basin"}},"station":{"id":1422372,"tele_station_name":{"th":"สะพานเคียนซา (ปาล์มพาราวุ้ด) อ.เคียนซา (X.217)"},"tele_station_lat":8.847581,"tele_station_long":99.198984,"tele_station_oldcode":"RPBD12","tele_station_type":"tele_waterlevel","left_bank":9.943,"right_bank":9.879,"min_bank":9.88,"ground_level":-7.874,"offset":null,"sub_basin_id":323,"agency_id":8,"geocode_id":7613,"hydro_id":null,"qmax":null,"is_key_station":false,"warning_level_m":null,"critical_level_m":null,"critical_level_msl":6},"geocode":{"area_code":"5","area_name":{"th":"ภาคใต้","en":"South"},"amphoe_code":"14","amphoe_name":{"th":"เคียนซา","en":"Khian Sa District"},"tumbon_code":"01","tumbon_name":{"th":"เคียนซา","en":"Khian Sa"},"province_code":"84","province_name":{"th":"สุราษฎร์ธานี","en":"Surat Thani"}},"diff_wl_bank":"9.16","diff_wl_bank_text":"ต่ำกว่าตลิ่ง (ม.)"}</t>
  </si>
  <si>
    <t>THAIWATER_WL:611</t>
  </si>
  <si>
    <t>DIV005</t>
  </si>
  <si>
    <t>ท่อทองแดง1</t>
  </si>
  <si>
    <t>คลองหนองเต่า</t>
  </si>
  <si>
    <t>{"id":1317594294,"waterlevel_datetime":"2026-10-03 15:10","waterlevel_m":null,"waterlevel_msl":"75.05","waterlevel_msl_previous":"75.05","flow_rate":null,"discharge":null,"storage_percent":"48.40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Basin"}},"station":{"id":611,"tele_station_name":{"en":"Tor Thong Daeng1","th":"ท่อทองแดง1"},"tele_station_lat":16.49714,"tele_station_long":99.51958,"tele_station_oldcode":"DIV005","tele_station_type":"tele_waterlevel","left_bank":77.925,"right_bank":77.712,"min_bank":77.71,"ground_level":72.549,"offset":null,"sub_basin_id":183,"agency_id":9,"geocode_id":5882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District"},"tumbon_code":"10","tumbon_name":{"th":"หนองปลิง","en":"Nong Pling"},"province_code":"62","province_name":{"th":"กำแพงเพชร","en":"Kamphaeng Phet"}},"diff_wl_bank":"2.66","diff_wl_bank_text":"ต่ำกว่าตลิ่ง (ม.)","river_gid":95586,"river_name":"คลองหนองเต่า"}</t>
  </si>
  <si>
    <t>THAIWATER_WL:12479</t>
  </si>
  <si>
    <t>BSP002</t>
  </si>
  <si>
    <t>คลองขนาน</t>
  </si>
  <si>
    <t>คลองบางสะพาน</t>
  </si>
  <si>
    <t>{"id":1317594246,"waterlevel_datetime":"2026-10-03 15:10","waterlevel_m":null,"waterlevel_msl":"13.62","waterlevel_msl_previous":"13.62","flow_rate":null,"discharge":null,"storage_percent":"48.19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Basin"}},"station":{"id":12479,"tele_station_name":{"en":"Khlong Khanan","th":"คลองขนาน"},"tele_station_lat":11.24042,"tele_station_long":99.43526,"tele_station_oldcode":"BSP002","tele_station_type":"tele_waterlevel","left_bank":16.475,"right_bank":16.765,"min_bank":16.48,"ground_level":10.959,"offset":null,"sub_basin_id":307,"agency_id":9,"geocode_id":7139,"hydro_id":null,"qmax":null,"is_key_station":false,"warning_level_m":null,"critical_level_m":null,"critical_level_msl":null},"geocode":{"area_code":"2","area_name":{"th":"ภาคกลาง","en":"Central"},"amphoe_code":"04","amphoe_name":{"th":"บางสะพาน","en":"Bang Saphan District"},"tumbon_code":"03","tumbon_name":{"th":"ร่อนทอง","en":"Ron Thong"},"province_code":"77","province_name":{"th":"ประจวบคีรีขันธ์","en":"Prachuap Khiri Khan"}},"diff_wl_bank":"2.86","diff_wl_bank_text":"ต่ำกว่าตลิ่ง (ม.)","river_gid":212127,"river_name":"คลองบางสะพาน"}</t>
  </si>
  <si>
    <t>THAIWATER_WL:726653</t>
  </si>
  <si>
    <t>X.167</t>
  </si>
  <si>
    <t>บ้านเสาธง</t>
  </si>
  <si>
    <t>คลองเสาธง</t>
  </si>
  <si>
    <t>111/1 ถ. ทวีวัฒนา แขวงทวีวัฒนา เขตทวีวัฒนา กรุงเทพมหานคร 10170 ประเทศไทย</t>
  </si>
  <si>
    <t>ChIJT-TWBJ2W4jARW-FlNPXUSiw</t>
  </si>
  <si>
    <t>3dc7b92c-20e7-4ddd-a7eb-6012a01bae5c</t>
  </si>
  <si>
    <t>โรงเรียนคลองบางพรหม</t>
  </si>
  <si>
    <t>{"id":1317523522,"waterlevel_datetime":"2026-10-03 12:00","waterlevel_m":null,"waterlevel_msl":"9.07","waterlevel_msl_previous":"9.07","flow_rate":null,"discharge":"5.64","storage_percent":"48.02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726653,"tele_station_name":{"th":"บ้านเสาธง"},"tele_station_lat":8.2801,"tele_station_long":99.906487,"tele_station_oldcode":"X.167","tele_station_type":"tele_waterlevel","left_bank":14.14,"right_bank":14.139,"min_bank":11.95,"ground_level":6.409,"offset":null,"sub_basin_id":327,"agency_id":12,"geocode_id":7301,"hydro_id":8,"qmax":129.380005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District"},"tumbon_code":"03","tumbon_name":{"th":"เสาธง","en":"Sao Thong"},"province_code":"80","province_name":{"th":"นครศรีธรรมราช","en":"Nakhon Si Thammarat"}},"diff_wl_bank":"2.88","diff_wl_bank_text":"ต่ำกว่าตลิ่ง (ม.)","river_gid":221374,"river_name":"คลองเสาธง"}</t>
  </si>
  <si>
    <t>THAIWATER_WL:2975</t>
  </si>
  <si>
    <t>E.65</t>
  </si>
  <si>
    <t>https://maps.app.goo.gl/LC24wmGu2r73UQJR9?g_st=ac</t>
  </si>
  <si>
    <t>บ้านท่าไฮ</t>
  </si>
  <si>
    <t>ห้วยลำปาว</t>
  </si>
  <si>
    <t>{"id":1317573788,"waterlevel_datetime":"2026-10-03 14:00","waterlevel_m":null,"waterlevel_msl":"162.83","waterlevel_msl_previous":"162.83","flow_rate":null,"discharge":"22.60","storage_percent":"47.69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2975,"tele_station_name":{"th":"บ้านท่าไฮ"},"tele_station_lat":16.95174,"tele_station_long":103.168053,"tele_station_oldcode":"E.65","tele_station_type":"tele_waterlevel","left_bank":328.58299999999997,"right_bank":328.55899999999997,"min_bank":166,"ground_level":159.94,"offset":159,"sub_basin_id":97,"agency_id":12,"geocode_id":4321,"hydro_id":3,"qmax":210,"is_key_station":false,"warning_level_m":null,"critical_level_m":null,"critical_level_msl":null},"geocode":{"area_code":"4","area_name":{"th":"ภาคตะวันออกเฉียงเหนือ","en":"Northeast"},"amphoe_code":"11","amphoe_name":{"th":"ท่าคันโท","en":"Tha Khantho District"},"tumbon_code":"02","tumbon_name":{"th":"กุงเก่า","en":"Kung Kao"},"province_code":"46","province_name":{"th":"กาฬสินธุ์","en":"Kalasin"}},"diff_wl_bank":"3.17","diff_wl_bank_text":"ต่ำกว่าตลิ่ง (ม.)","river_gid":124623,"river_name":"ห้วยลำปาว"}</t>
  </si>
  <si>
    <t>THAIWATER_WL:10</t>
  </si>
  <si>
    <t>2026-09-26T12:59:58.912Z</t>
  </si>
  <si>
    <t>BKK005</t>
  </si>
  <si>
    <t>2026-09-26T13:17:46.525Z</t>
  </si>
  <si>
    <t>คลองภาษีเจริญ เพชรเกษม69</t>
  </si>
  <si>
    <t>คลองภาษีเจริญ</t>
  </si>
  <si>
    <t>{"id":"3dc7b92c-20e7-4ddd-a7eb-6012a01bae5c","district":"ทวีวัฒนา","category":"ศูนย์พักพิงชั่วคราว","name":"โรงเรียนคลองบางพรหม","capacity":35,"occupied":3,"available":32,"unitType":"คน","status":"เปิดให้บริการ/ว่าง","routeDetails":"","link":"https://maps.app.goo.gl/LC24wmGu2r73UQJR9?g_st=ac","additionalDetails":null,"createdAt":"2026-09-26T12:59:58.912Z","updatedAt":"2026-09-26T13:17:46.525Z"}</t>
  </si>
  <si>
    <t>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</t>
  </si>
  <si>
    <t>{"id":1317594232,"waterlevel_datetime":"2026-10-03 15:10","waterlevel_m":null,"waterlevel_msl":"-2.79","waterlevel_msl_previous":"-2.42","flow_rate":null,"discharge":null,"storage_percent":"47.62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Basin"}},"station":{"id":10,"tele_station_name":{"en":"Krung Thep 5","th":"คลองภาษีเจริญ เพชรเกษม69"},"tele_station_lat":13.69158,"tele_station_long":100.38127,"tele_station_oldcode":"BKK005","tele_station_type":"tele_waterlevel","left_bank":1.637,"right_bank":1.415,"min_bank":1.42,"ground_level":-6.605,"offset":null,"sub_basin_id":240,"agency_id":9,"geocode_id":180,"hydro_id":null,"qmax":null,"is_key_station":false,"warning_level_m":null,"critical_level_m":null,"critical_level_msl":null},"geocode":{"area_code":"1","area_name":{"th":"กรุงเทพมหานคร","en":"Bangkok"},"amphoe_code":"40","amphoe_name":{"th":"บางแค","en":"Bang Khae District"},"tumbon_code":"04","tumbon_name":{"th":"หลักสอง","en":"Lak Song"},"province_code":"10","province_name":{"th":"กรุงเทพมหานคร","en":"Bangkok"}},"diff_wl_bank":"4.20","diff_wl_bank_text":"ต่ำกว่าตลิ่ง (ม.)","river_gid":187977,"river_name":"คลองภาษีเจริญ"}</t>
  </si>
  <si>
    <t>THAIWATER_WL:1422301</t>
  </si>
  <si>
    <t>BBD08</t>
  </si>
  <si>
    <t>แม่น้ำปิงที่ อ.คลองขลุง (P.15)</t>
  </si>
  <si>
    <t>{"id":1317592389,"waterlevel_datetime":"2026-10-03 15:00","waterlevel_m":null,"waterlevel_msl":"54.09","waterlevel_msl_previous":"54.10","flow_rate":null,"discharge":null,"storage_percent":"47.42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Basin"}},"station":{"id":1422301,"tele_station_name":{"th":"แม่น้ำปิงที่ อ.คลองขลุง (P.15)"},"tele_station_lat":16.21715,"tele_station_long":99.720608,"tele_station_oldcode":"BBD08","tele_station_type":"tele_waterlevel","left_bank":58.381,"right_bank":57.898,"min_bank":57.9,"ground_level":50.657,"offset":null,"sub_basin_id":185,"agency_id":8,"geocode_id":5917,"hydro_id":null,"qmax":null,"is_key_station":false,"warning_level_m":null,"critical_level_m":null,"critical_level_msl":57.65},"geocode":{"area_code":"3","area_name":{"th":"ภาคเหนือ","en":"North"},"amphoe_code":"05","amphoe_name":{"th":"คลองขลุง","en":"Khlong Khlung District"},"tumbon_code":"01","tumbon_name":{"th":"คลองขลุง","en":"Khlong Khlung"},"province_code":"62","province_name":{"th":"กำแพงเพชร","en":"Kamphaeng Phet"}},"diff_wl_bank":"3.81","diff_wl_bank_text":"ต่ำกว่าตลิ่ง (ม.)"}</t>
  </si>
  <si>
    <t>THAIWATER_WL:483</t>
  </si>
  <si>
    <t>DIV003</t>
  </si>
  <si>
    <t>คลองผันน้ำยม-น่าน3</t>
  </si>
  <si>
    <t>คลองละมุง</t>
  </si>
  <si>
    <t>{"id":1317594292,"waterlevel_datetime":"2026-10-03 15:10","waterlevel_m":null,"waterlevel_msl":"47.82","waterlevel_msl_previous":"47.82","flow_rate":null,"discharge":null,"storage_percent":"47.37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Basin"}},"station":{"id":483,"tele_station_name":{"en":"Yom-Nan 3","th":"คลองผันน้ำยม-น่าน3"},"tele_station_lat":17.29251,"tele_station_long":100.07764,"tele_station_oldcode":"DIV003","tele_station_type":"tele_waterlevel","left_bank":53.928,"right_bank":53.671,"min_bank":53.67,"ground_level":42.551,"offset":null,"sub_basin_id":232,"agency_id":9,"geocode_id":5150,"hydro_id":null,"qmax":null,"is_key_station":false,"warning_level_m":null,"critical_level_m":null,"critical_level_msl":null},"geocode":{"area_code":"3","area_name":{"th":"ภาคเหนือ","en":"North"},"amphoe_code":"07","amphoe_name":{"th":"พิชัย","en":"Phichai District"},"tumbon_code":"05","tumbon_name":{"th":"คอรุม","en":"Kho Rum"},"province_code":"53","province_name":{"th":"อุตรดิตถ์","en":"Uttaradit"}},"diff_wl_bank":"5.85","diff_wl_bank_text":"ต่ำกว่าตลิ่ง (ม.)","river_gid":85200,"river_name":"คลองละมุง"}</t>
  </si>
  <si>
    <t>THAIWATER_WL:542</t>
  </si>
  <si>
    <t>CHR002</t>
  </si>
  <si>
    <t>เทิง</t>
  </si>
  <si>
    <t>{"id":1317594271,"waterlevel_datetime":"2026-10-03 15:10","waterlevel_m":null,"waterlevel_msl":"361.21","waterlevel_msl_previous":"361.22","flow_rate":null,"discharge":null,"storage_percent":"47.36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Basin"}},"station":{"id":542,"tele_station_name":{"en":"Chaing Rai 2","th":"เทิง"},"tele_station_lat":19.68822,"tele_station_long":100.18758,"tele_station_oldcode":"CHR002","tele_station_type":"tele_waterlevel","left_bank":367.042,"right_bank":366.993,"min_bank":366.99,"ground_level":356.016,"offset":null,"sub_basin_id":38,"agency_id":9,"geocode_id":5484,"hydro_id":null,"qmax":null,"is_key_station":false,"warning_level_m":null,"critical_level_m":null,"critical_level_msl":null},"geocode":{"area_code":"3","area_name":{"th":"ภาคเหนือ","en":"North"},"amphoe_code":"04","amphoe_name":{"th":"เทิง","en":"Thoeng District"},"tumbon_code":"01","tumbon_name":{"th":"เวียง","en":"Wiang"},"province_code":"57","province_name":{"th":"เชียงราย","en":"Chiang Rai"}},"diff_wl_bank":"5.78","diff_wl_bank_text":"ต่ำกว่าตลิ่ง (ม.)","river_gid":7915,"river_name":"แม่น้ำอิง"}</t>
  </si>
  <si>
    <t>THAIWATER_WL:1483131</t>
  </si>
  <si>
    <t>MOU386</t>
  </si>
  <si>
    <t>สะพานน้ำเข็ก</t>
  </si>
  <si>
    <t>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</t>
  </si>
  <si>
    <t>{"id":1317594091,"waterlevel_datetime":"2026-10-03 15:10","waterlevel_m":null,"waterlevel_msl":"64.52","waterlevel_msl_previous":"64.53","flow_rate":null,"discharge":null,"storage_percent":"47.22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Basin"}},"station":{"id":1483131,"tele_station_name":{"en":"Khek Bridge","th":"สะพานน้ำเข็ก"},"tele_station_lat":16.835382,"tele_station_long":100.56083,"tele_station_oldcode":"MOU386","tele_station_type":"tele_waterlevel","left_bank":70.425,"right_bank":71.229,"min_bank":70.43,"ground_level":59.237,"offset":null,"sub_basin_id":237,"sponsor_by":"บริษัท ไทยเบฟเวอเรจ จำกัด (มหาชน) ","agency_id":91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Aen"},"province_code":"65","province_name":{"th":"พิษณุโลก","en":"Phitsanulok"}},"diff_wl_bank":"5.91","diff_wl_bank_text":"ต่ำกว่าตลิ่ง (ม.)"}</t>
  </si>
  <si>
    <t>THAIWATER_WL:3152</t>
  </si>
  <si>
    <t>W.22</t>
  </si>
  <si>
    <t>บ้านวังพร้าว</t>
  </si>
  <si>
    <t>แม่น้ำจาง</t>
  </si>
  <si>
    <t>{"id":1317452598,"waterlevel_datetime":"2026-10-03 09:00","waterlevel_m":null,"waterlevel_msl":"215.84","waterlevel_msl_previous":"215.84","flow_rate":null,"discharge":"16.50","storage_percent":"47.18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3152,"tele_station_name":{"th":"บ้านวังพร้าว"},"tele_station_lat":18.14444,"tele_station_long":99.408463,"tele_station_oldcode":"W.22","tele_station_type":"tele_waterlevel","left_bank":436.375004,"right_bank":436.395004,"min_bank":218.66,"ground_level":213.321,"offset":215.160004,"sub_basin_id":191,"agency_id":12,"geocode_id":5010,"hydro_id":1,"qmax":310.600006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Phrao"},"province_code":"52","province_name":{"th":"ลำปาง","en":"Lampang"}},"diff_wl_bank":"2.82","diff_wl_bank_text":"ต่ำกว่าตลิ่ง (ม.)","river_gid":66207,"river_name":"แม่น้ำจาง"}</t>
  </si>
  <si>
    <t>THAIWATER_WL:1095872</t>
  </si>
  <si>
    <t>X.201A</t>
  </si>
  <si>
    <t>บ้านท่าไม้ลาย</t>
  </si>
  <si>
    <t>{"id":1317523528,"waterlevel_datetime":"2026-10-03 12:00","waterlevel_m":null,"waterlevel_msl":"38.67","waterlevel_msl_previous":"38.69","flow_rate":null,"discharge":"31.27","storage_percent":"47.17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1095872,"tele_station_name":{"th":"บ้านท่าไม้ลาย"},"tele_station_lat":10.50334,"tele_station_long":98.964401,"tele_station_oldcode":"X.201A","tele_station_type":"tele_waterlevel","left_bank":42.501,"right_bank":42.541,"min_bank":41.75,"ground_level":35.92,"offset":null,"sub_basin_id":311,"agency_id":12,"geocode_id":7706,"hydro_id":8,"qmax":213.75,"is_key_station":true,"warning_level_m":null,"critical_level_m":null,"critical_level_msl":null},"geocode":{"area_code":"5","area_name":{"th":"ภาคใต้","en":"South"},"amphoe_code":"01","amphoe_name":{"th":"เมืองชุมพร","en":"Mueang Chumphon District"},"tumbon_code":"12","tumbon_name":{"th":"บ้านนา","en":"Ban Na"},"province_code":"86","province_name":{"th":"ชุมพร","en":"Chumphon"}},"diff_wl_bank":"3.08","diff_wl_bank_text":"ต่ำกว่าตลิ่ง (ม.)","river_gid":213210,"river_name":"คลองชุมพร"}</t>
  </si>
  <si>
    <t>THAIWATER_WL:3529</t>
  </si>
  <si>
    <t>PMTS2</t>
  </si>
  <si>
    <t>แม่น้ำมูล อ.ราษีไศล (M.5)</t>
  </si>
  <si>
    <t>ซอย โรงเรียนคลองบางพรหม แขวงทวีวัฒนา เขตทวีวัฒนา กรุงเทพมหานคร 10170 ประเทศไทย</t>
  </si>
  <si>
    <t>ChIJf9sqEuqW4jARlbfVtYlPcdo</t>
  </si>
  <si>
    <t>0d95bb9d-216c-4ef9-86ee-d1ea0d829e25</t>
  </si>
  <si>
    <t>โรงเรียนคลองมหาสวัสดิ์</t>
  </si>
  <si>
    <t>https://maps.app.goo.gl/cu6qooLYkhSspMmNA?g_st=ac</t>
  </si>
  <si>
    <t>{"id":1317592601,"waterlevel_datetime":"2026-10-03 15:00","waterlevel_m":null,"waterlevel_msl":"114.18","waterlevel_msl_previous":"114.20","flow_rate":null,"discharge":null,"storage_percent":"47.14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Basin"}},"station":{"id":3529,"tele_station_name":{"th":"แม่น้ำมูล อ.ราษีไศล (M.5)"},"tele_station_lat":15.33716,"tele_station_long":104.15292,"tele_station_oldcode":"PMTS2","tele_station_type":"tele_waterlevel","left_bank":124.63,"right_bank":120.38,"min_bank":120.38,"ground_level":108.65,"offset":null,"sub_basin_id":136,"agency_id":8,"geocode_id":2510,"hydro_id":null,"qmax":null,"is_key_station":false,"warning_level_m":null,"critical_level_m":null,"critical_level_msl":120.38},"geocode":{"area_code":"4","area_name":{"th":"ภาคตะวันออกเฉียงเหนือ","en":"Northeast"},"amphoe_code":"09","amphoe_name":{"th":"ราษีไศล","en":"Rasi Salai District"},"tumbon_code":"09","tumbon_name":{"th":"หนองอึ่ง","en":"Nong Ueng"},"province_code":"33","province_name":{"th":"ศรีสะเกษ","en":"Si Sa Ket"}},"diff_wl_bank":"6.20","diff_wl_bank_text":"ต่ำกว่าตลิ่ง (ม.)","river_gid":145701,"river_name":"แม่น้ำมูล"}</t>
  </si>
  <si>
    <t>THAIWATER_WL:2760</t>
  </si>
  <si>
    <t>M.6A</t>
  </si>
  <si>
    <t>บ้านสตึก</t>
  </si>
  <si>
    <t>2026-09-26T13:03:13.254Z</t>
  </si>
  <si>
    <t>2026-09-26T13:18:02.102Z</t>
  </si>
  <si>
    <t>{"id":"0d95bb9d-216c-4ef9-86ee-d1ea0d829e25","district":"ทวีวัฒนา","category":"ศูนย์พักพิงชั่วคราว","name":"โรงเรียนคลองมหาสวัสดิ์","capacity":20,"occupied":0,"available":20,"unitType":"คน","status":"เปิดให้บริการ/ว่าง","routeDetails":"","link":"https://maps.app.goo.gl/cu6qooLYkhSspMmNA?g_st=ac","additionalDetails":null,"createdAt":"2026-09-26T13:03:13.254Z","updatedAt":"2026-09-26T13:18:02.102Z"}</t>
  </si>
  <si>
    <t>{"id":1317571352,"waterlevel_datetime":"2026-10-03 14:00","waterlevel_m":null,"waterlevel_msl":"125.66","waterlevel_msl_previous":"125.66","flow_rate":null,"discharge":"93.70","storage_percent":"47.02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2760,"tele_station_name":{"th":"บ้านสตึก"},"tele_station_lat":15.30003,"tele_station_long":103.292282,"tele_station_oldcode":"M.6A","tele_station_type":"tele_waterlevel","left_bank":253.488,"right_bank":254.136,"min_bank":131,"ground_level":120.92,"offset":123,"sub_basin_id":124,"agency_id":12,"geocode_id":2237,"hydro_id":4,"qmax":1240,"is_key_station":true,"warning_level_m":null,"critical_level_m":6,"critical_level_msl":129},"geocode":{"area_code":"4","area_name":{"th":"ภาคตะวันออกเฉียงเหนือ","en":"Northeast"},"amphoe_code":"02","amphoe_name":{"th":"ชุมพลบุรี","en":"Chumphon Buri District"},"tumbon_code":"08","tumbon_name":{"th":"กระเบื้อง","en":"Krabueang"},"province_code":"32","province_name":{"th":"สุรินทร์","en":"Surin"}},"diff_wl_bank":"5.34","diff_wl_bank_text":"ต่ำกว่าตลิ่ง (ม.)","river_gid":145915,"river_name":"แม่น้ำมูล"}</t>
  </si>
  <si>
    <t>THAIWATER_WL:3224</t>
  </si>
  <si>
    <t>W.16A</t>
  </si>
  <si>
    <t>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</t>
  </si>
  <si>
    <t>บ้านไฮ</t>
  </si>
  <si>
    <t>{"id":1317494203,"waterlevel_datetime":"2026-10-03 11:00","waterlevel_m":null,"waterlevel_msl":"305.37","waterlevel_msl_previous":"305.37","flow_rate":null,"discharge":"3.34","storage_percent":"46.86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3224,"tele_station_name":{"th":"บ้านไฮ"},"tele_station_lat":18.785219,"tele_station_long":99.630409,"tele_station_oldcode":"W.16A","tele_station_type":"tele_waterlevel","left_bank":614.125,"right_bank":614.105,"min_bank":308.5,"ground_level":302.61,"offset":304,"sub_basin_id":186,"agency_id":12,"geocode_id":5035,"hydro_id":1,"qmax":241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District"},"tumbon_code":"03","tumbon_name":{"th":"ปงดอน","en":"Pong Don"},"province_code":"52","province_name":{"th":"ลำปาง","en":"Lampang"}},"diff_wl_bank":"3.13","diff_wl_bank_text":"ต่ำกว่าตลิ่ง (ม.)","river_gid":39312,"river_name":"แม่น้ำวัง"}</t>
  </si>
  <si>
    <t>THAIWATER_WL:512</t>
  </si>
  <si>
    <t>NAN009</t>
  </si>
  <si>
    <t>เวียงสา</t>
  </si>
  <si>
    <t>{"id":1317594446,"waterlevel_datetime":"2026-10-03 15:10","waterlevel_m":null,"waterlevel_msl":"179.72","waterlevel_msl_previous":"179.72","flow_rate":null,"discharge":null,"storage_percent":"46.65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Basin"}},"station":{"id":512,"tele_station_name":{"en":"Wieng Sa","th":"เวียงสา"},"tele_station_lat":18.54992,"tele_station_long":100.76151,"tele_station_oldcode":"NAN009","tele_station_type":"tele_waterlevel","left_bank":186.396,"right_bank":185.01,"min_bank":185.01,"ground_level":175.094,"offset":null,"sub_basin_id":226,"agency_id":9,"geocode_id":5320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District"},"tumbon_code":"06","tumbon_name":{"th":"ส้าน","en":"San"},"province_code":"55","province_name":{"th":"น่าน","en":"Nan"}},"diff_wl_bank":"5.29","diff_wl_bank_text":"ต่ำกว่าตลิ่ง (ม.)","river_gid":49501,"river_name":"แม่น้ำน่าน"}</t>
  </si>
  <si>
    <t>THAIWATER_WL:3085</t>
  </si>
  <si>
    <t>Kh.93</t>
  </si>
  <si>
    <t>บ้านโคกคำไหล</t>
  </si>
  <si>
    <t>{"id":1317573805,"waterlevel_datetime":"2026-10-03 14:00","waterlevel_m":null,"waterlevel_msl":"155.51","waterlevel_msl_previous":"155.52","flow_rate":null,"discharge":"8.12","storage_percent":"46.50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3085,"tele_station_name":{"th":"บ้านโคกคำไหล"},"tele_station_lat":17.557489,"tele_station_long":103.335228,"tele_station_oldcode":"Kh.93","tele_station_type":"tele_waterlevel","left_bank":314.206006,"right_bank":313.894006,"min_bank":159.1,"ground_level":152.39,"offset":153.100006,"sub_basin_id":58,"agency_id":12,"geocode_id":4470,"hydro_id":3,"qmax":150,"is_key_station":false,"warning_level_m":null,"critical_level_m":null,"critical_level_msl":null},"geocode":{"area_code":"4","area_name":{"th":"ภาคตะวันออกเฉียงเหนือ","en":"Northeast"},"amphoe_code":"12","amphoe_name":{"th":"สว่างแดนดิน","en":"Sawang Daen Din District"},"tumbon_code":"03","tumbon_name":{"th":"คำสะอาด","en":"Kham Sa-At"},"province_code":"47","province_name":{"th":"สกลนคร","en":"Sakon Nakhon"}},"diff_wl_bank":"3.59","diff_wl_bank_text":"ต่ำกว่าตลิ่ง (ม.)","river_gid":114859,"river_name":"แม่น้ำสงคราม"}</t>
  </si>
  <si>
    <t>THAIWATER_WL:3047</t>
  </si>
  <si>
    <t>W.24</t>
  </si>
  <si>
    <t>บ้านท่าไผ่</t>
  </si>
  <si>
    <t>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</t>
  </si>
  <si>
    <t>{"id":1317572355,"waterlevel_datetime":"2026-10-03 14:00","waterlevel_m":null,"waterlevel_msl":"139.62","waterlevel_msl_previous":"139.64","flow_rate":null,"discharge":"122.50","storage_percent":"46.45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3047,"tele_station_name":{"th":"บ้านท่าไผ่"},"tele_station_lat":17.32165,"tele_station_long":99.077217,"tele_station_oldcode":"W.24","tele_station_type":"tele_waterlevel","left_bank":280.42999299999997,"right_bank":280.654993,"min_bank":143.93,"ground_level":135.881,"offset":135.429993,"sub_basin_id":196,"agency_id":12,"geocode_id":5990,"hydro_id":2,"qmax":463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District"},"tumbon_code":"03","tumbon_name":{"th":"ยกกระบัตร","en":"Yok Krabat"},"province_code":"63","province_name":{"th":"ตาก","en":"Tak"}},"diff_wl_bank":"4.31","diff_wl_bank_text":"ต่ำกว่าตลิ่ง (ม.)","river_gid":84897,"river_name":"แม่น้ำวัง"}</t>
  </si>
  <si>
    <t>THAIWATER_WL:1117894</t>
  </si>
  <si>
    <t>M.199</t>
  </si>
  <si>
    <t>บ้านขนงพระเหนือ</t>
  </si>
  <si>
    <t>ลำโดมน้อย</t>
  </si>
  <si>
    <t>{"id":1317571374,"waterlevel_datetime":"2026-10-03 14:00","waterlevel_m":null,"waterlevel_msl":"330.99","waterlevel_msl_previous":"330.99","flow_rate":null,"discharge":"20.65","storage_percent":"46.37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1117894,"tele_station_name":{"th":"บ้านขนงพระเหนือ"},"tele_station_lat":14.60611,"tele_station_long":101.472778,"tele_station_oldcode":"M.199","tele_station_type":"tele_waterlevel","left_bank":663.260988,"right_bank":663.583988,"min_bank":333.8,"ground_level":328.56,"offset":328.799988,"sub_basin_id":154,"agency_id":12,"geocode_id":1921,"hydro_id":4,"qmax":190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District"},"tumbon_code":"07","tumbon_name":{"th":"ขนงพระ","en":"Khanong Phra"},"province_code":"30","province_name":{"th":"นครราชสีมา","en":"Nakhon Ratchasima"}},"diff_wl_bank":"2.81","diff_wl_bank_text":"ต่ำกว่าตลิ่ง (ม.)","river_gid":150856,"river_name":"ลำโดมน้อย"}</t>
  </si>
  <si>
    <t>THAIWATER_WL:2687</t>
  </si>
  <si>
    <t>Ny.1B</t>
  </si>
  <si>
    <t>บ้านเขานางบวช</t>
  </si>
  <si>
    <t>{"id":1317582830,"waterlevel_datetime":"2026-10-03 14:00","waterlevel_m":null,"waterlevel_msl":"5.53","waterlevel_msl_previous":"5.61","flow_rate":null,"discharge":"61.20","storage_percent":"46.32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2687,"tele_station_name":{"th":"บ้านเขานางบวช"},"tele_station_lat":14.24582,"tele_station_long":101.274246,"tele_station_oldcode":"Ny.1B","tele_station_type":"tele_waterlevel","left_bank":8.81,"right_bank":8.81,"min_bank":8.81,"ground_level":2.7,"offset":0,"sub_basin_id":282,"agency_id":12,"geocode_id":1566,"hydro_id":6,"qmax":266.899994,"is_key_station":tru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District"},"tumbon_code":"09","tumbon_name":{"th":"ศรีนาวา","en":"Si Nawa"},"province_code":"26","province_name":{"th":"นครนายก","en":"Nakhon Nayok"}},"diff_wl_bank":"3.28","diff_wl_bank_text":"ต่ำกว่าตลิ่ง (ม.)","river_gid":193672,"river_name":"แม่น้ำนครนายก"}</t>
  </si>
  <si>
    <t>THAIWATER_WL:2828</t>
  </si>
  <si>
    <t>E.32A</t>
  </si>
  <si>
    <t>บ้านหนองอ้อ</t>
  </si>
  <si>
    <t>28/3 แขวงศาลาธรรมสพน์ เขตทวีวัฒนา กรุงเทพมหานคร 10170 ประเทศไทย</t>
  </si>
  <si>
    <t>ChIJa7nT-FiR4jAR-5_hUE7ARjU</t>
  </si>
  <si>
    <t>7c4c03f9-10bc-44f0-ad6a-b7c314ec8563</t>
  </si>
  <si>
    <t>โรงเรียนตั้งพิรุฬห์ธรรม</t>
  </si>
  <si>
    <t>{"id":1317573786,"waterlevel_datetime":"2026-10-03 14:00","waterlevel_m":null,"waterlevel_msl":"203.18","waterlevel_msl_previous":"203.17","flow_rate":null,"discharge":"66.96","storage_percent":"46.26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2828,"tele_station_name":{"th":"บ้านหนองอ้อ"},"tele_station_lat":15.9074,"tele_station_long":101.708229,"tele_station_oldcode":"E.32A","tele_station_type":"tele_waterlevel","left_bank":210.8,"right_bank":210.8,"min_bank":210,"ground_level":197.31,"offset":198,"sub_basin_id":78,"agency_id":12,"geocode_id":2971,"hydro_id":3,"qmax":500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District"},"tumbon_code":"04","tumbon_name":{"th":"ชีบน","en":"Chi Bon"},"province_code":"36","province_name":{"th":"ชัยภูมิ","en":"Chaiyaphum"}},"diff_wl_bank":"6.82","diff_wl_bank_text":"ต่ำกว่าตลิ่ง (ม.)","river_gid":137706,"river_name":"แม่น้ำชี"}</t>
  </si>
  <si>
    <t>https://maps.app.goo.gl/tGytJfNkVqnX3QdW8</t>
  </si>
  <si>
    <t>THAIWATER_WL:3240</t>
  </si>
  <si>
    <t>P.21</t>
  </si>
  <si>
    <t>บ้านริมใต้</t>
  </si>
  <si>
    <t>น้ำเหมือง</t>
  </si>
  <si>
    <t>2026-09-26T13:05:23.132Z</t>
  </si>
  <si>
    <t>2026-09-26T13:18:14.128Z</t>
  </si>
  <si>
    <t>{"id":"7c4c03f9-10bc-44f0-ad6a-b7c314ec8563","district":"ทวีวัฒนา","category":"ศูนย์พักพิงชั่วคราว","name":"โรงเรียนตั้งพิรุฬห์ธรรม","capacity":20,"occupied":0,"available":20,"unitType":"คน","status":"เปิดให้บริการ/ว่าง","routeDetails":"","link":"https://maps.app.goo.gl/tGytJfNkVqnX3QdW8","additionalDetails":null,"createdAt":"2026-09-26T13:05:23.132Z","updatedAt":"2026-09-26T13:18:14.128Z"}</t>
  </si>
  <si>
    <t>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</t>
  </si>
  <si>
    <t>{"id":1317494189,"waterlevel_datetime":"2026-10-03 11:00","waterlevel_m":null,"waterlevel_msl":"321.01","waterlevel_msl_previous":"321.01","flow_rate":null,"discharge":"8.91","storage_percent":"46.22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3240,"tele_station_name":{"th":"บ้านริมใต้"},"tele_station_lat":18.92746,"tele_station_long":98.939774,"tele_station_oldcode":"P.21","tele_station_type":"tele_waterlevel","left_bank":644.6300120000001,"right_bank":644.677012,"min_bank":323.5,"ground_level":318.87,"offset":319.700012,"sub_basin_id":161,"agency_id":12,"geocode_id":4765,"hydro_id":1,"qmax":50.650002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District"},"tumbon_code":"02","tumbon_name":{"th":"ริมเหนือ","en":"Rim Nuea"},"province_code":"50","province_name":{"th":"เชียงใหม่","en":"Chiang Mai"}},"diff_wl_bank":"2.49","diff_wl_bank_text":"ต่ำกว่าตลิ่ง (ม.)","river_gid":32692,"river_name":"น้ำเหมือง"}</t>
  </si>
  <si>
    <t>THAIWATER_WL:2808</t>
  </si>
  <si>
    <t>E.21</t>
  </si>
  <si>
    <t>บ้านแก่งโก</t>
  </si>
  <si>
    <t>{"id":1317573782,"waterlevel_datetime":"2026-10-03 14:00","waterlevel_m":null,"waterlevel_msl":"169.59","waterlevel_msl_previous":"169.58","flow_rate":null,"discharge":"97.70","storage_percent":"45.98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2808,"tele_station_name":{"th":"บ้านแก่งโก"},"tele_station_lat":15.75292,"tele_station_long":102.252609,"tele_station_oldcode":"E.21","tele_station_type":"tele_waterlevel","left_bank":340.13300000000004,"right_bank":340.048,"min_bank":174.5,"ground_level":165.411,"offset":163,"sub_basin_id":82,"agency_id":12,"geocode_id":2959,"hydro_id":3,"qmax":450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District"},"tumbon_code":"11","tumbon_name":{"th":"ลาดใหญ่","en":"Lat Yai"},"province_code":"36","province_name":{"th":"ชัยภูมิ","en":"Chaiyaphum"}},"diff_wl_bank":"4.91","diff_wl_bank_text":"ต่ำกว่าตลิ่ง (ม.)","river_gid":140485,"river_name":"แม่น้ำชี"}</t>
  </si>
  <si>
    <t>THAIWATER_WL:2578</t>
  </si>
  <si>
    <t>P.82</t>
  </si>
  <si>
    <t>บ้านสบวิน</t>
  </si>
  <si>
    <t>น้ำแม่วาง</t>
  </si>
  <si>
    <t>{"id":1317494197,"waterlevel_datetime":"2026-10-03 11:00","waterlevel_m":null,"waterlevel_msl":"401.60","waterlevel_msl_previous":"401.60","flow_rate":null,"discharge":"16.50","storage_percent":"45.95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2578,"tele_station_name":{"th":"บ้านสบวิน"},"tele_station_lat":18.65423,"tele_station_long":98.685661,"tele_station_oldcode":"P.82","tele_station_type":"tele_waterlevel","left_bank":807.700012,"right_bank":807.791012,"min_bank":404,"ground_level":399.56,"offset":400.200012,"sub_basin_id":165,"agency_id":12,"geocode_id":4905,"hydro_id":1,"qmax":142.300003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District"},"tumbon_code":"04","tumbon_name":{"th":"แม่วิน","en":"Mae Win"},"province_code":"50","province_name":{"th":"เชียงใหม่","en":"Chiang Mai"}},"diff_wl_bank":"2.40","diff_wl_bank_text":"ต่ำกว่าตลิ่ง (ม.)","river_gid":45138,"river_name":"น้ำแม่วาง"}</t>
  </si>
  <si>
    <t>THAIWATER_WL:850</t>
  </si>
  <si>
    <t>JNA002</t>
  </si>
  <si>
    <t>นาทวี</t>
  </si>
  <si>
    <t>คลองนาทวี</t>
  </si>
  <si>
    <t>{"id":1317594345,"waterlevel_datetime":"2026-10-03 15:10","waterlevel_m":null,"waterlevel_msl":"20.02","waterlevel_msl_previous":"20.02","flow_rate":null,"discharge":null,"storage_percent":"45.79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Basin"}},"station":{"id":850,"tele_station_name":{"en":"Na Tawi","th":"นาทวี"},"tele_station_lat":6.738124,"tele_station_long":100.69319,"tele_station_oldcode":"JNA002","tele_station_type":"tele_waterlevel","left_bank":22.712,"right_bank":23.065,"min_bank":22.71,"ground_level":17.746,"offset":null,"sub_basin_id":331,"agency_id":9,"geocode_id":7808,"hydro_id":null,"qmax":null,"is_key_station":false,"warning_level_m":null,"critical_level_m":null,"critical_level_msl":null},"geocode":{"area_code":"5","area_name":{"th":"ภาคใต้","en":"South"},"amphoe_code":"04","amphoe_name":{"th":"นาทวี","en":"Na Thawi District"},"tumbon_code":"01","tumbon_name":{"th":"นาทวี","en":"Na Thawi"},"province_code":"90","province_name":{"th":"สงขลา","en":"Songkhla"}},"diff_wl_bank":"2.69","diff_wl_bank_text":"ต่ำกว่าตลิ่ง (ม.)","river_gid":228768,"river_name":"คลองนาทวี"}</t>
  </si>
  <si>
    <t>THAIWATER_WL:298</t>
  </si>
  <si>
    <t>CHI001</t>
  </si>
  <si>
    <t>บ้านเขว้า</t>
  </si>
  <si>
    <t>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</t>
  </si>
  <si>
    <t>{"id":1317594251,"waterlevel_datetime":"2026-10-03 15:10","waterlevel_m":null,"waterlevel_msl":"204.40","waterlevel_msl_previous":"204.40","flow_rate":null,"discharge":null,"storage_percent":"45.78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Basin"}},"station":{"id":298,"tele_station_name":{"en":"Chi 1","th":"บ้านเขว้า"},"tele_station_lat":15.93316,"tele_station_long":101.69951,"tele_station_oldcode":"CHI001","tele_station_type":"tele_waterlevel","left_bank":212.865,"right_bank":212.873,"min_bank":212.87,"ground_level":197.259,"offset":null,"sub_basin_id":78,"agency_id":9,"geocode_id":2972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บ้านเขว้า","en":"Ban Khwao District"},"tumbon_code":"05","tumbon_name":{"th":"ภูแลนคา","en":"Phu Laen Kha"},"province_code":"36","province_name":{"th":"ชัยภูมิ","en":"Chaiyaphum"}},"diff_wl_bank":"8.46","diff_wl_bank_text":"ต่ำกว่าตลิ่ง (ม.)","river_gid":137286,"river_name":"แม่น้ำชี"}</t>
  </si>
  <si>
    <t>THAIWATER_WL:1109502</t>
  </si>
  <si>
    <t>ONE013</t>
  </si>
  <si>
    <t>สะพานมิตรภาพท่าลาดปากบัง</t>
  </si>
  <si>
    <t>{"id":1317594469,"waterlevel_datetime":"2026-10-03 15:10","waterlevel_m":null,"waterlevel_msl":"138.29","waterlevel_msl_previous":"138.29","flow_rate":null,"discharge":null,"storage_percent":"45.77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Basin"}},"station":{"id":1109502,"tele_station_name":{"en":"Mittraphap Tha Lat Pak Bang","th":"สะพานมิตรภาพท่าลาดปากบัง"},"tele_station_lat":16.993015,"tele_station_long":104.591446,"tele_station_oldcode":"ONE013","tele_station_type":"tele_waterlevel","left_bank":143.462,"right_bank":142.368,"min_bank":142.37,"ground_level":134.848,"offset":null,"sub_basin_id":70,"agency_id":9,"geocode_id":4576,"hydro_id":null,"qmax":null,"is_key_station":false,"warning_level_m":null,"critical_level_m":null,"critical_level_msl":null},"geocode":{"area_code":"4","area_name":{"th":"ภาคตะวันออกเฉียงเหนือ","en":"Northeast"},"amphoe_code":"06","amphoe_name":{"th":"เรณูนคร","en":"Renu Nakhon District"},"tumbon_code":"03","tumbon_name":{"th":"ท่าลาด","en":"Tha Lat"},"province_code":"48","province_name":{"th":"นครพนม","en":"Nakhon Phanom"}},"diff_wl_bank":"4.08","diff_wl_bank_text":"ต่ำกว่าตลิ่ง (ม.)","river_gid":123958,"river_name":"ลำน้ำกำ"}</t>
  </si>
  <si>
    <t>THAIWATER_WL:3157</t>
  </si>
  <si>
    <t>Y.34</t>
  </si>
  <si>
    <t>บ้านแม่หล่าย</t>
  </si>
  <si>
    <t>น้ำแม่หล่าย</t>
  </si>
  <si>
    <t>{"id":1317494208,"waterlevel_datetime":"2026-10-03 11:00","waterlevel_m":null,"waterlevel_msl":"159.25","waterlevel_msl_previous":"159.25","flow_rate":null,"discharge":"2.20","storage_percent":"45.70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3157,"tele_station_name":{"th":"บ้านแม่หล่าย"},"tele_station_lat":18.22003,"tele_station_long":100.20636,"tele_station_oldcode":"Y.34","tele_station_type":"tele_waterlevel","left_bank":324.766004,"right_bank":324.755004,"min_bank":161.27,"ground_level":157.55,"offset":157.270004,"sub_basin_id":205,"agency_id":12,"geocode_id":5180,"hydro_id":1,"qmax":535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District"},"tumbon_code":"08","tumbon_name":{"th":"แม่หล่าย","en":"Mae Lai"},"province_code":"54","province_name":{"th":"แพร่","en":"Phrae"}},"diff_wl_bank":"2.02","diff_wl_bank_text":"ต่ำกว่าตลิ่ง (ม.)","river_gid":63167,"river_name":"น้ำแม่หล่าย"}</t>
  </si>
  <si>
    <t>THAIWATER_WL:726667</t>
  </si>
  <si>
    <t>X.260</t>
  </si>
  <si>
    <t>บ้านอาพาธ</t>
  </si>
  <si>
    <t>คลองอิปัน</t>
  </si>
  <si>
    <t>9/3 หมู่ 10 ซอย บรมราชชนนี 121 แขวงศาลาธรรมสพน์ เขตทวีวัฒนา กรุงเทพมหานคร 10170 ประเทศไทย</t>
  </si>
  <si>
    <t>ChIJtQ8TmSqX4jARFL2i3GX3YtE</t>
  </si>
  <si>
    <t>f02dc659-7a22-4af6-9ee1-ef413273225a</t>
  </si>
  <si>
    <t>โรงเรียนมัธยมปุรณาวาส</t>
  </si>
  <si>
    <t>{"id":1317390882,"waterlevel_datetime":"2026-10-03 06:00","waterlevel_m":null,"waterlevel_msl":"7.25","waterlevel_msl_previous":"7.28","flow_rate":null,"discharge":"26.00","storage_percent":"45.47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726667,"tele_station_name":{"th":"บ้านอาพาธ"},"tele_station_lat":8.54373,"tele_station_long":99.223457,"tele_station_oldcode":"X.260","tele_station_type":"tele_waterlevel","left_bank":13.567,"right_bank":13.576,"min_bank":12.25,"ground_level":3.08,"offset":null,"sub_basin_id":322,"agency_id":12,"geocode_id":7626,"hydro_id":8,"qmax":203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District"},"tumbon_code":"02","tumbon_name":{"th":"สินปุน","en":"Sin Pun"},"province_code":"84","province_name":{"th":"สุราษฎร์ธานี","en":"Surat Thani"}},"diff_wl_bank":"5.00","diff_wl_bank_text":"ต่ำกว่าตลิ่ง (ม.)","river_gid":219147,"river_name":"คลองอิปัน"}</t>
  </si>
  <si>
    <t>https://maps.app.goo.gl/2SrNrV4o1j3vFM1n9?g_st=ac</t>
  </si>
  <si>
    <t>THAIWATER_WL:3174</t>
  </si>
  <si>
    <t>P.85</t>
  </si>
  <si>
    <t>บ้านหล่ายแก้ว</t>
  </si>
  <si>
    <t>{"id":1317494199,"waterlevel_datetime":"2026-10-03 11:00","waterlevel_m":null,"waterlevel_msl":"290.35","waterlevel_msl_previous":"290.37","flow_rate":null,"discharge":"14.58","storage_percent":"45.17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3174,"tele_station_name":{"th":"บ้านหล่ายแก้ว"},"tele_station_lat":18.366421,"tele_station_long":98.772102,"tele_station_oldcode":"P.85","tele_station_type":"tele_waterlevel","left_bank":585.763995,"right_bank":585.583995,"min_bank":293.87,"ground_level":287.45,"offset":290.369995,"sub_basin_id":167,"agency_id":12,"geocode_id":4946,"hydro_id":1,"qmax":297.700012,"is_key_station":false,"warning_level_m":null,"critical_level_m":null,"critical_level_msl":null},"geocode":{"area_code":"3","area_name":{"th":"ภาคเหนือ","en":"North"},"amphoe_code":"03","amphoe_name":{"th":"บ้านโฮ่ง","en":"Ban Hong District"},"tumbon_code":"03","tumbon_name":{"th":"เหล่ายาว","en":"Lao Yao"},"province_code":"51","province_name":{"th":"ลำพูน","en":"Lamphun"}},"diff_wl_bank":"3.52","diff_wl_bank_text":"ต่ำกว่าตลิ่ง (ม.)","river_gid":58882,"river_name":"น้ำแม่ลี้"}</t>
  </si>
  <si>
    <t>THAIWATER_WL:3544</t>
  </si>
  <si>
    <t>PMTS17</t>
  </si>
  <si>
    <t>หน้าเขื่อนปากมูล</t>
  </si>
  <si>
    <t>2026-09-26T13:07:51.723Z</t>
  </si>
  <si>
    <t>2026-09-26T13:18:42.556Z</t>
  </si>
  <si>
    <t>{"id":"f02dc659-7a22-4af6-9ee1-ef413273225a","district":"ทวีวัฒนา","category":"ศูนย์พักพิงชั่วคราว","name":"โรงเรียนมัธยมปุรณาวาส","capacity":20,"occupied":6,"available":14,"unitType":"คน","status":"เปิดให้บริการ/ว่าง","routeDetails":"","link":"https://maps.app.goo.gl/2SrNrV4o1j3vFM1n9?g_st=ac","additionalDetails":null,"createdAt":"2026-09-26T13:07:51.723Z","updatedAt":"2026-09-26T13:18:42.556Z"}</t>
  </si>
  <si>
    <t>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</t>
  </si>
  <si>
    <t>{"id":1317576269,"waterlevel_datetime":"2026-10-03 14:00","waterlevel_m":null,"waterlevel_msl":"99.64","waterlevel_msl_previous":"99.64","flow_rate":null,"discharge":null,"storage_percent":"45.02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Thailand","jp":""},"agency_shortname":{"th":"กฟผ.","en":"EGAT","jp":""}},"basin":{"id":5,"basin_code":5,"basin_name":{"th":"ลุ่มน้ำมูล","en":"Mun Basin"}},"station":{"id":3544,"tele_station_name":{"th":"หน้าเขื่อนปากมูล"},"tele_station_lat":15.28496,"tele_station_long":105.46831,"tele_station_oldcode":"PMTS17","tele_station_type":"tele_waterlevel","left_bank":111.9,"right_bank":114.3,"min_bank":111.9,"ground_level":89.6,"offset":null,"sub_basin_id":155,"agency_id":8,"geocode_id":2639,"hydro_id":null,"qmax":null,"is_key_station":false,"warning_level_m":null,"critical_level_m":null,"critical_level_msl":111.9},"geocode":{"area_code":"4","area_name":{"th":"ภาคตะวันออกเฉียงเหนือ","en":"Northeast"},"amphoe_code":"03","amphoe_name":{"th":"โขงเจียม","en":"Khong Chiam District"},"tumbon_code":"01","tumbon_name":{"th":"โขงเจียม","en":"Khong Chiam"},"province_code":"34","province_name":{"th":"อุบลราชธานี","en":"Ubon Ratchathani"}},"diff_wl_bank":"12.26","diff_wl_bank_text":"ต่ำกว่าตลิ่ง (ม.)","river_gid":145533,"river_name":"แม่น้ำมูล"}</t>
  </si>
  <si>
    <t>THAIWATER_WL:9930856</t>
  </si>
  <si>
    <t>HHN003</t>
  </si>
  <si>
    <t>คลองพระราชดำริ วัดเขาไกรลาศ</t>
  </si>
  <si>
    <t>{"id":1317594343,"waterlevel_datetime":"2026-10-03 15:10","waterlevel_m":null,"waterlevel_msl":"0.95","waterlevel_msl_previous":"0.95","flow_rate":null,"discharge":null,"storage_percent":"45.02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Basin"}},"station":{"id":9930856,"tele_station_name":{"en":"Phrarajadamri Canal, Wat Khao Krailat","th":"คลองพระราชดำริ วัดเขาไกรลาศ"},"tele_station_lat":12.5175,"tele_station_long":99.97219,"tele_station_oldcode":"HHN003","tele_station_type":"tele_waterlevel","left_bank":2.174,"right_bank":2.239,"min_bank":2.17,"ground_level":-0.054,"offset":null,"sub_basin_id":300,"agency_id":9,"geocode_id":7159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District"},"tumbon_code":"02","tumbon_name":{"th":"หนองแก","en":"Nong Kae"},"province_code":"77","province_name":{"th":"ประจวบคีรีขันธ์","en":"Prachuap Khiri Khan"}},"diff_wl_bank":"1.23","diff_wl_bank_text":"ต่ำกว่าตลิ่ง (ม.)"}</t>
  </si>
  <si>
    <t>THAIWATER_WL:1225528</t>
  </si>
  <si>
    <t>MYA001</t>
  </si>
  <si>
    <t>บ้านโจตาดา</t>
  </si>
  <si>
    <t>สาธารณรัฐแห่งสหภาพเมียนมา</t>
  </si>
  <si>
    <t>{"id":1317594105,"waterlevel_datetime":"2026-10-03 15:10","waterlevel_m":null,"waterlevel_msl":"512.91","waterlevel_msl_previous":"512.91","flow_rate":null,"discharge":null,"storage_percent":"44.81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Foundation","jp":""},"agency_shortname":{"th":"พพภ","en":"FOP","jp":""}},"basin":{"id":29,"basin_code":88,"basin_name":{"th":"นอกประเทศไทย","en":""}},"station":{"id":1225528,"tele_station_name":{"en":"Kyotada (Village)","th":"บ้านโจตาดา"},"tele_station_lat":20.3913,"tele_station_long":99.68576,"tele_station_oldcode":"MYA001","tele_station_type":"tele_waterlevel","left_bank":514.4,"right_bank":514.4,"min_bank":514.4,"ground_level":511.7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Myanmar"}},"diff_wl_bank":"1.49","diff_wl_bank_text":"ต่ำกว่าตลิ่ง (ม.)"}</t>
  </si>
  <si>
    <t>THAIWATER_WL:427</t>
  </si>
  <si>
    <t>TB0006</t>
  </si>
  <si>
    <t>สะพานโยธาอำนวยพัฒนา</t>
  </si>
  <si>
    <t>น้ำแม่ขาน</t>
  </si>
  <si>
    <t>{"id":1317594616,"waterlevel_datetime":"2026-10-03 15:10","waterlevel_m":null,"waterlevel_msl":"290.50","waterlevel_msl_previous":"290.50","flow_rate":null,"discharge":null,"storage_percent":"44.79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Basin"}},"station":{"id":427,"tele_station_name":{"en":"Civil Bridge","th":"สะพานโยธาอำนวยพัฒนา"},"tele_station_lat":18.57391,"tele_station_long":98.86222,"tele_station_oldcode":"TB0006","tele_station_type":"tele_waterlevel","left_bank":292.182,"right_bank":293.284,"min_bank":292.18,"ground_level":289.139,"offset":null,"sub_basin_id":165,"agency_id":9,"geocode_id":4818,"hydro_id":null,"qmax":null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District"},"tumbon_code":"08","tumbon_name":{"th":"ทุ่งสะโตก","en":"Thung Satok"},"province_code":"50","province_name":{"th":"เชียงใหม่","en":"Chiang Mai"}},"diff_wl_bank":"1.68","diff_wl_bank_text":"ต่ำกว่าตลิ่ง (ม.)","river_gid":49258,"river_name":"น้ำแม่ขาน"}</t>
  </si>
  <si>
    <t>THAIWATER_WL:2651</t>
  </si>
  <si>
    <t>X.209</t>
  </si>
  <si>
    <t>คลองหาดส้มแป้น</t>
  </si>
  <si>
    <t>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</t>
  </si>
  <si>
    <t>{"id":1317523567,"waterlevel_datetime":"2026-10-03 12:00","waterlevel_m":null,"waterlevel_msl":"8.30","waterlevel_msl_previous":"8.30","flow_rate":null,"discharge":"19.60","storage_percent":"44.66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2651,"tele_station_name":{"th":"คลองหาดส้มแป้น"},"tele_station_lat":9.95839,"tele_station_long":98.648537,"tele_station_oldcode":"X.209","tele_station_type":"tele_waterlevel","left_bank":14.375,"right_bank":14.201,"min_bank":9.9,"ground_level":7.009,"offset":null,"sub_basin_id":343,"agency_id":12,"geocode_id":7662,"hydro_id":8,"qmax":94.800003,"is_key_station":true,"warning_level_m":null,"critical_level_m":null,"critical_level_msl":null},"geocode":{"area_code":"5","area_name":{"th":"ภาคใต้","en":"South"},"amphoe_code":"01","amphoe_name":{"th":"เมืองระนอง","en":"Mueang Ranong District"},"tumbon_code":"04","tumbon_name":{"th":"บางริ้น","en":"Bang Rin"},"province_code":"85","province_name":{"th":"ระนอง","en":"Ranong"}},"diff_wl_bank":"1.60","diff_wl_bank_text":"ต่ำกว่าตลิ่ง (ม.)","river_gid":214120,"river_name":"คลองหาดส้มแป้น"}</t>
  </si>
  <si>
    <t>THAIWATER_WL:475</t>
  </si>
  <si>
    <t>NAN014</t>
  </si>
  <si>
    <t>ตรอน</t>
  </si>
  <si>
    <t>{"id":1317039886,"waterlevel_datetime":"2026-10-02 15:40","waterlevel_m":null,"waterlevel_msl":"49.07","waterlevel_msl_previous":"49.07","flow_rate":null,"discharge":null,"storage_percent":"44.62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Basin"}},"station":{"id":475,"tele_station_name":{"en":"NAN 14","th":"ตรอน"},"tele_station_lat":17.41834,"tele_station_long":100.13075,"tele_station_oldcode":"NAN014","tele_station_type":"tele_waterlevel","left_bank":58.303,"right_bank":54.156,"min_bank":54.16,"ground_level":44.976,"offset":null,"sub_basin_id":232,"agency_id":9,"geocode_id":5115,"hydro_id":null,"qmax":null,"is_key_station":fals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Khwae"},"province_code":"53","province_name":{"th":"อุตรดิตถ์","en":"Uttaradit"}},"diff_wl_bank":"5.08","diff_wl_bank_text":"ต่ำกว่าตลิ่ง (ม.)","river_gid":83575,"river_name":"แม่น้ำน่าน"}</t>
  </si>
  <si>
    <t>THAIWATER_WL:2993</t>
  </si>
  <si>
    <t>N.27A</t>
  </si>
  <si>
    <t>ท้ายเขื่อนนเรศวร</t>
  </si>
  <si>
    <t>{"id":1317572382,"waterlevel_datetime":"2026-10-03 14:00","waterlevel_m":null,"waterlevel_msl":"40.41","waterlevel_msl_previous":"40.42","flow_rate":null,"discharge":"160.30","storage_percent":"44.42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2993,"tele_station_name":{"th":"ท้ายเขื่อนนเรศวร"},"tele_station_lat":17.033621,"tele_station_long":100.197968,"tele_station_oldcode":"N.27A","tele_station_type":"tele_waterlevel","left_bank":87.186,"right_bank":87.333,"min_bank":48.23,"ground_level":34.16,"offset":38.43,"sub_basin_id":232,"agency_id":12,"geocode_id":6196,"hydro_id":2,"qmax":1116,"is_key_station":true,"warning_level_m":null,"critical_level_m":null,"critical_level_msl":null},"geocode":{"area_code":"3","area_name":{"th":"ภาคเหนือ","en":"North"},"amphoe_code":"06","amphoe_name":{"th":"พรหมพิราม","en":"Phrom Phiram District"},"tumbon_code":"01","tumbon_name":{"th":"พรหมพิราม","en":"Phrom Phiram"},"province_code":"65","province_name":{"th":"พิษณุโลก","en":"Phitsanulok"}},"diff_wl_bank":"7.82","diff_wl_bank_text":"ต่ำกว่าตลิ่ง (ม.)","river_gid":91594,"river_name":"แม่น้ำน่าน"}</t>
  </si>
  <si>
    <t>THAIWATER_WL:1225531</t>
  </si>
  <si>
    <t>MYA004</t>
  </si>
  <si>
    <t>สะพานมิตรภาพแม่น้ำสายแห่งที่ 1</t>
  </si>
  <si>
    <t>{"id":1317594108,"waterlevel_datetime":"2026-10-03 15:10","waterlevel_m":null,"waterlevel_msl":"394.88","waterlevel_msl_previous":"394.90","flow_rate":null,"discharge":null,"storage_percent":"44.38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Basin"}},"station":{"id":1225531,"tele_station_name":{"en":"The First Friendship Bridge at Mae Sai River","th":"สะพานมิตรภาพแม่น้ำสายแห่งที่ 1"},"tele_station_lat":20.44454,"tele_station_long":99.88048,"tele_station_oldcode":"MYA004","tele_station_type":"tele_waterlevel","left_bank":397.591,"right_bank":397.591,"min_bank":397.59,"ground_level":392.717,"offset":null,"sub_basin_id":23,"sponsor_by":"มูลนิธิอาสาเพื่อนพึ่ง (ภาฯ) ยามยาก สภากาชาดไทย","agency_id":91,"geocode_id":5536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District"},"tumbon_code":"01","tumbon_name":{"th":"แม่สาย","en":"Mae Sai"},"province_code":"57","province_name":{"th":"เชียงราย","en":"Chiang Rai"}},"diff_wl_bank":"2.71","diff_wl_bank_text":"ต่ำกว่าตลิ่ง (ม.)"}</t>
  </si>
  <si>
    <t>29 ถ. ศาลาธรรมสพน์ แขวงศาลาธรรมสพน์ เขตทวีวัฒนา กรุงเทพมหานคร 10170 ประเทศไทย</t>
  </si>
  <si>
    <t>ChIJo_USwO-T4jARfXLvk4nMPsw</t>
  </si>
  <si>
    <t>THAIWATER_WL:2753</t>
  </si>
  <si>
    <t>8fb662a7-69f9-4d75-a6df-a72562a364c8</t>
  </si>
  <si>
    <t>S.14</t>
  </si>
  <si>
    <t>บ้านท่ารวก</t>
  </si>
  <si>
    <t>โรงเรียนวัดปุรณาวาส</t>
  </si>
  <si>
    <t>ลำสนธิ</t>
  </si>
  <si>
    <t>https://maps.app.goo.gl/KQy275Z89uN6XfXz5?g_st=ac</t>
  </si>
  <si>
    <t>{"id":1317572089,"waterlevel_datetime":"2026-10-03 14:00","waterlevel_m":null,"waterlevel_msl":"57.09","waterlevel_msl_previous":"57.11","flow_rate":null,"discharge":"14.00","storage_percent":"44.27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2753,"tele_station_name":{"th":"บ้านท่ารวก"},"tele_station_lat":15.22528,"tele_station_long":101.277458,"tele_station_oldcode":"S.14","tele_station_type":"tele_waterlevel","left_bank":63.824,"right_bank":63.839,"min_bank":62,"ground_level":53.19,"offset":null,"sub_basin_id":254,"agency_id":12,"geocode_id":762,"hydro_id":5,"qmax":204,"is_key_station":true,"warning_level_m":null,"critical_level_m":null,"critical_level_msl":null},"geocode":{"area_code":"2","area_name":{"th":"ภาคกลาง","en":"Central"},"amphoe_code":"04","amphoe_name":{"th":"ชัยบาดาล","en":"Chai Badan District"},"tumbon_code":"11","tumbon_name":{"th":"หนองยายโต๊ะ","en":"Nong Yai To"},"province_code":"16","province_name":{"th":"ลพบุรี","en":"Lop Buri"}},"diff_wl_bank":"4.91","diff_wl_bank_text":"ต่ำกว่าตลิ่ง (ม.)","river_gid":174652,"river_name":"ลำสนธิ"}</t>
  </si>
  <si>
    <t>THAIWATER_WL:1098955</t>
  </si>
  <si>
    <t>Kgt.14A</t>
  </si>
  <si>
    <t>บ้านทุ่งแฝก</t>
  </si>
  <si>
    <t>2026-09-26T13:06:42.731Z</t>
  </si>
  <si>
    <t>2026-09-26T13:18:49.582Z</t>
  </si>
  <si>
    <t>{"id":"8fb662a7-69f9-4d75-a6df-a72562a364c8","district":"ทวีวัฒนา","category":"ศูนย์พักพิงชั่วคราว","name":"โรงเรียนวัดปุรณาวาส","capacity":30,"occupied":0,"available":30,"unitType":"คน","status":"เปิดให้บริการ/ว่าง","routeDetails":"","link":"https://maps.app.goo.gl/KQy275Z89uN6XfXz5?g_st=ac","additionalDetails":null,"createdAt":"2026-09-26T13:06:42.731Z","updatedAt":"2026-09-26T13:18:49.582Z"}</t>
  </si>
  <si>
    <t>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</t>
  </si>
  <si>
    <t>{"id":1317582836,"waterlevel_datetime":"2026-10-03 14:00","waterlevel_m":null,"waterlevel_msl":"36.48","waterlevel_msl_previous":"36.48","flow_rate":null,"discharge":"8.60","storage_percent":"44.06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1098955,"tele_station_name":{"th":"บ้านทุ่งแฝก"},"tele_station_lat":14.16131,"tele_station_long":101.883057,"tele_station_oldcode":"Kgt.14A","tele_station_type":"tele_waterlevel","left_bank":74.035,"right_bank":73.989,"min_bank":39.41,"ground_level":34.172,"offset":34.34,"sub_basin_id":280,"agency_id":12,"geocode_id":1517,"hydro_id":6,"qmax":114.400002,"is_key_station":tru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Buri"}},"diff_wl_bank":"2.93","diff_wl_bank_text":"ต่ำกว่าตลิ่ง (ม.)","river_gid":193985,"river_name":"ห้วยยาง"}</t>
  </si>
  <si>
    <t>THAIWATER_WL:745748</t>
  </si>
  <si>
    <t>AIT005</t>
  </si>
  <si>
    <t>สะพานห้วยบังบาต</t>
  </si>
  <si>
    <t>ห้วยบางบาตร</t>
  </si>
  <si>
    <t>{"id":1317594201,"waterlevel_datetime":"2026-10-03 15:10","waterlevel_m":null,"waterlevel_msl":"144.98","waterlevel_msl_previous":"144.99","flow_rate":null,"discharge":null,"storage_percent":"44.05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Basin"}},"station":{"id":745748,"tele_station_name":{"en":"Huay Bang Bat Bridge","th":"สะพานห้วยบังบาต"},"tele_station_lat":18.282616,"tele_station_long":103.88075,"tele_station_oldcode":"AIT005","tele_station_type":"tele_waterlevel","left_bank":151.695,"right_bank":152.123,"min_bank":151.7,"ground_level":139.693,"offset":null,"sub_basin_id":57,"sponsor_by":"สถาบันเทคโนโลยีแห่งเอเชีย","agency_id":9,"geocode_id":8481,"hydro_id":null,"qmax":null,"is_key_station":false,"warning_level_m":null,"critical_level_m":null,"critical_level_msl":null},"geocode":{"area_code":" ","area_name":{"th":"ภาคตะวันออกเฉียงเหนือ","en":"Northeast"},"amphoe_code":"08","amphoe_name":{"th":"บุ่งคล้า","en":"Bung Khla District"},"tumbon_code":"02","tumbon_name":{"th":"หนองเดิ่น","en":"Nong Doen"},"province_code":"38","province_name":{"th":"บึงกาฬ","en":"Bueng Kan"}},"diff_wl_bank":"6.72","diff_wl_bank_text":"ต่ำกว่าตลิ่ง (ม.)","river_gid":106333,"river_name":"ห้วยบางบาตร"}</t>
  </si>
  <si>
    <t>THAIWATER_WL:676</t>
  </si>
  <si>
    <t>NAN005</t>
  </si>
  <si>
    <t>แม่น้ำเข็ก (ว้งทอง)</t>
  </si>
  <si>
    <t>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</t>
  </si>
  <si>
    <t>{"id":1317594442,"waterlevel_datetime":"2026-10-03 15:10","waterlevel_m":null,"waterlevel_msl":"136.65","waterlevel_msl_previous":"136.65","flow_rate":null,"discharge":null,"storage_percent":"44.01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Basin"}},"station":{"id":676,"tele_station_name":{"en":"Nan 5","th":"แม่น้ำเข็ก (ว้งทอง)"},"tele_station_lat":16.85502,"tele_station_long":100.66681,"tele_station_oldcode":"NAN005","tele_station_type":"tele_waterlevel","left_bank":140.171,"right_bank":141.061,"min_bank":140.17,"ground_level":133.875,"offset":null,"sub_basin_id":237,"agency_id":9,"geocode_id":6223,"hydro_id":null,"qmax":null,"is_key_station":false,"warning_level_m":null,"critical_level_m":null,"critical_level_msl":null},"geocode":{"area_code":"3","area_name":{"th":"ภาคเหนือ","en":"North"},"amphoe_code":"08","amphoe_name":{"th":"วังทอง","en":"Wang Thong District"},"tumbon_code":"08","tumbon_name":{"th":"วังนกแอ่น","en":"Wang Nok Aen"},"province_code":"65","province_name":{"th":"พิษณุโลก","en":"Phitsanulok"}},"diff_wl_bank":"3.53","diff_wl_bank_text":"ต่ำกว่าตลิ่ง (ม.)","river_gid":91173,"river_name":"น้ำเข็ก"}</t>
  </si>
  <si>
    <t>THAIWATER_WL:2671</t>
  </si>
  <si>
    <t>B.10</t>
  </si>
  <si>
    <t>ตลาดท่ายาง</t>
  </si>
  <si>
    <t>{"id":1317575415,"waterlevel_datetime":"2026-10-03 14:00","waterlevel_m":null,"waterlevel_msl":"8.87","waterlevel_msl_previous":"8.87","flow_rate":null,"discharge":"68.60","storage_percent":"43.99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2671,"tele_station_name":{"th":"ตลาดท่ายาง"},"tele_station_lat":12.97398,"tele_station_long":99.88784,"tele_station_oldcode":"B.10","tele_station_type":"tele_waterlevel","left_bank":20.355,"right_bank":20.295,"min_bank":13.9,"ground_level":4.92,"offset":5.4,"sub_basin_id":302,"agency_id":12,"geocode_id":7065,"hydro_id":7,"qmax":400,"is_key_station":true,"warning_level_m":null,"critical_level_m":8.5,"critical_level_msl":13.9},"geocode":{"area_code":"2","area_name":{"th":"ภาคกลาง","en":"Central"},"amphoe_code":"05","amphoe_name":{"th":"ท่ายาง","en":"Tha Yang District"},"tumbon_code":"01","tumbon_name":{"th":"ท่ายาง","en":"Tha Yang"},"province_code":"76","province_name":{"th":"เพชรบุรี","en":"Phetchaburi"}},"diff_wl_bank":"5.03","diff_wl_bank_text":"ต่ำกว่าตลิ่ง (ม.)","river_gid":209739,"river_name":"แม่น้ำเพชรบุรี"}</t>
  </si>
  <si>
    <t>THAIWATER_WL:523</t>
  </si>
  <si>
    <t>NAN003</t>
  </si>
  <si>
    <t>เมืองน่าน</t>
  </si>
  <si>
    <t>{"id":1317594440,"waterlevel_datetime":"2026-10-03 15:10","waterlevel_m":null,"waterlevel_msl":"190.70","waterlevel_msl_previous":"190.70","flow_rate":null,"discharge":null,"storage_percent":"43.72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Basin"}},"station":{"id":523,"tele_station_name":{"en":"Nan 3","th":"เมืองน่าน"},"tele_station_lat":18.73796,"tele_station_long":100.75609,"tele_station_oldcode":"NAN003","tele_station_type":"tele_waterlevel","left_bank":195.433,"right_bank":196.701,"min_bank":195.43,"ground_level":187.025,"offset":null,"sub_basin_id":222,"agency_id":9,"geocode_id":5368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District"},"tumbon_code":"06","tumbon_name":{"th":"ท่าน้าว","en":"Tha Nao"},"province_code":"55","province_name":{"th":"น่าน","en":"Nan"}},"diff_wl_bank":"4.73","diff_wl_bank_text":"ต่ำกว่าตลิ่ง (ม.)","river_gid":41899,"river_name":"แม่น้ำน่าน"}</t>
  </si>
  <si>
    <t>THAIWATER_WL:1645475</t>
  </si>
  <si>
    <t>R82P+P43 แขวงศาลาธรรมสพน์ เขตทวีวัฒนา กรุงเทพมหานคร 10170 ประเทศไทย</t>
  </si>
  <si>
    <t>YOM017</t>
  </si>
  <si>
    <t>ChIJXV1-kKST4jAR3fEmE2AcZpk</t>
  </si>
  <si>
    <t>น้ำแม่งาว</t>
  </si>
  <si>
    <t>b7fbc4ec-56dc-7900-ace2-5a8cb685c8d3</t>
  </si>
  <si>
    <t>โรงเรียนคลองรางจาก</t>
  </si>
  <si>
    <t>2026-09-26T07:47:17.000Z</t>
  </si>
  <si>
    <t>{"id":"b7fbc4ec-56dc-7900-ace2-5a8cb685c8d3","district":"ทุ่งครุ","category":"ศูนย์พักพิงชั่วคราว","name":"โรงเรียนคลองรางจาก","capacity":20,"occupied":0,"available":20,"unitType":"คน","status":"เปิดให้บริการ/ว่าง","routeDetails":"","link":null,"additionalDetails":null,"createdAt":"2026-09-26T07:47:17.000Z","updatedAt":"2026-09-26T07:47:17.000Z"}</t>
  </si>
  <si>
    <t>{"id":1317594715,"waterlevel_datetime":"2026-10-03 15:10","waterlevel_m":null,"waterlevel_msl":"228.64","waterlevel_msl_previous":"228.64","flow_rate":null,"discharge":null,"storage_percent":"43.63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Basin"}},"station":{"id":1645475,"tele_station_name":{"en":"Mae Ngao bridge","th":"น้ำแม่งาว"},"tele_station_lat":18.6275,"tele_station_long":100.04149,"tele_station_oldcode":"YOM017","tele_station_type":"tele_waterlevel","left_bank":231.489,"right_bank":231.048,"min_bank":231.05,"ground_level":226.778,"offset":null,"sub_basin_id":202,"agency_id":9,"geocode_id":5031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District"},"tumbon_code":"10","tumbon_name":{"th":"แม่ตีบ","en":"Mae Tip"},"province_code":"52","province_name":{"th":"ลำปาง","en":"Lampang"}},"diff_wl_bank":"2.41","diff_wl_bank_text":"ต่ำกว่าตลิ่ง (ม.)"}</t>
  </si>
  <si>
    <t>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</t>
  </si>
  <si>
    <t>THAIWATER_WL:852087</t>
  </si>
  <si>
    <t>AIT001</t>
  </si>
  <si>
    <t>อโศก</t>
  </si>
  <si>
    <t>คลองแสนแสบ</t>
  </si>
  <si>
    <t>{"id":1317594199,"waterlevel_datetime":"2026-10-03 15:10","waterlevel_m":null,"waterlevel_msl":"1.32","waterlevel_msl_previous":"1.31","flow_rate":null,"discharge":null,"storage_percent":"43.39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852087,"tele_station_name":{"en":"Asok","th":"อโศก"},"tele_station_lat":13.74325,"tele_station_long":100.562164,"tele_station_oldcode":"AIT001","tele_station_type":"tele_waterlevel","left_bank":2.39,"right_bank":2.39,"min_bank":2.39,"ground_level":0.5,"offset":null,"sub_basin_id":240,"agency_id":9,"geocode_id":173,"hydro_id":null,"qmax":null,"is_key_station":false,"warning_level_m":null,"critical_level_m":null,"critical_level_msl":null},"geocode":{"area_code":"1","area_name":{"th":"กรุงเทพมหานคร","en":"Bangkok"},"amphoe_code":"39","amphoe_name":{"th":"วัฒนา","en":"Vadhana District"},"tumbon_code":"01","tumbon_name":{"th":"คลองเตยเหนือ","en":"Khlong Toei Nuea"},"province_code":"10","province_name":{"th":"กรุงเทพมหานคร","en":"Bangkok"}},"diff_wl_bank":"1.07","diff_wl_bank_text":"ต่ำกว่าตลิ่ง (ม.)","river_gid":187330,"river_name":"คลองแสนแสบ"}</t>
  </si>
  <si>
    <t>THAIWATER_WL:2764</t>
  </si>
  <si>
    <t>M.5</t>
  </si>
  <si>
    <t>บ้านเมืองคง</t>
  </si>
  <si>
    <t>2026-10-03T05:00:00+07:00</t>
  </si>
  <si>
    <t>{"id":1317387857,"waterlevel_datetime":"2026-10-03 05:00","waterlevel_m":null,"waterlevel_msl":"113.98","waterlevel_msl_previous":"114.02","flow_rate":null,"discharge":null,"storage_percent":"43.35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2764,"tele_station_name":{"th":"บ้านเมืองคง"},"tele_station_lat":15.33969,"tele_station_long":104.15403,"tele_station_oldcode":"M.5","tele_station_type":"tele_waterlevel","left_bank":234.534,"right_bank":232.501,"min_bank":120.75,"ground_level":108.8,"offset":110,"sub_basin_id":136,"agency_id":12,"geocode_id":2504,"hydro_id":4,"qmax":1675,"is_key_station":true,"warning_level_m":null,"critical_level_m":null,"critical_level_msl":null},"geocode":{"area_code":"4","area_name":{"th":"ภาคตะวันออกเฉียงเหนือ","en":"Northeast"},"amphoe_code":"09","amphoe_name":{"th":"ราษีไศล","en":"Rasi Salai District"},"tumbon_code":"01","tumbon_name":{"th":"เมืองคง","en":"Mueang Khong"},"province_code":"33","province_name":{"th":"ศรีสะเกษ","en":"Si Sa Ket"}},"diff_wl_bank":"6.77","diff_wl_bank_text":"ต่ำกว่าตลิ่ง (ม.)","river_gid":145701,"river_name":"แม่น้ำมูล"}</t>
  </si>
  <si>
    <t>THAIWATER_WL:2568</t>
  </si>
  <si>
    <t>Z.10</t>
  </si>
  <si>
    <t>บ้านศรีบัวทอง</t>
  </si>
  <si>
    <t>{"id":1317582843,"waterlevel_datetime":"2026-10-03 14:00","waterlevel_m":null,"waterlevel_msl":"7.26","waterlevel_msl_previous":"7.30","flow_rate":null,"discharge":"102.10","storage_percent":"43.20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2568,"tele_station_name":{"th":"บ้านศรีบัวทอง"},"tele_station_lat":12.4765,"tele_station_long":102.477867,"tele_station_oldcode":"Z.10","tele_station_type":"tele_waterlevel","left_bank":13.4,"right_bank":13.4,"min_bank":13.4,"ground_level":2.59,"offset":1.9,"sub_basin_id":298,"agency_id":12,"geocode_id":1359,"hydro_id":6,"qmax":417.5,"is_key_station":true,"warning_level_m":null,"critical_level_m":null,"critical_level_msl":null},"geocode":{"area_code":"2","area_name":{"th":"ภาคกลาง","en":"Central"},"amphoe_code":"03","amphoe_name":{"th":"เขาสมิง","en":"Khao Saming District"},"tumbon_code":"07","tumbon_name":{"th":"เทพนิมิต","en":"Thep Nimit"},"province_code":"23","province_name":{"th":"ตราด","en":"Trat"}},"diff_wl_bank":"6.14","diff_wl_bank_text":"ต่ำกว่าตลิ่ง (ม.)","river_gid":205803,"river_name":"แม่น้ำเขาสมิง"}</t>
  </si>
  <si>
    <t>THAIWATER_WL:1095879</t>
  </si>
  <si>
    <t>X.228</t>
  </si>
  <si>
    <t>บ้านกลาง</t>
  </si>
  <si>
    <t>{"id":1317523530,"waterlevel_datetime":"2026-10-03 12:00","waterlevel_m":null,"waterlevel_msl":"3.77","waterlevel_msl_previous":"3.75","flow_rate":null,"discharge":"86.50","storage_percent":"43.09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1095879,"tele_station_name":{"th":"บ้านกลาง"},"tele_station_lat":7.64556,"tele_station_long":99.532204,"tele_station_oldcode":"X.228","tele_station_type":"tele_waterlevel","left_bank":12.164,"right_bank":12.207,"min_bank":9,"ground_level":-0.19,"offset":0,"sub_basin_id":349,"agency_id":12,"geocode_id":7976,"hydro_id":8,"qmax":532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District"},"tumbon_code":"20","tumbon_name":{"th":"นาท่ามใต้","en":"Na Tham Tai"},"province_code":"92","province_name":{"th":"ตรัง","en":"Trang"}},"diff_wl_bank":"5.23","diff_wl_bank_text":"ต่ำกว่าตลิ่ง (ม.)","river_gid":224510,"river_name":"แม่น้ำตรัง"}</t>
  </si>
  <si>
    <t>THAIWATER_WL:3029</t>
  </si>
  <si>
    <t>N.55</t>
  </si>
  <si>
    <t>บ้านท่าสะแก</t>
  </si>
  <si>
    <t>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</t>
  </si>
  <si>
    <t>{"id":1317572431,"waterlevel_datetime":"2026-10-03 14:00","waterlevel_m":null,"waterlevel_msl":"186.55","waterlevel_msl_previous":"186.55","flow_rate":null,"discharge":"18.19","storage_percent":"43.08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3029,"tele_station_name":{"th":"บ้านท่าสะแก"},"tele_station_lat":17.25317,"tele_station_long":100.628242,"tele_station_oldcode":"N.55","tele_station_type":"tele_waterlevel","left_bank":373.95000200000004,"right_bank":373.85200199999997,"min_bank":191.2,"ground_level":183.03,"offset":182.830002,"sub_basin_id":234,"agency_id":12,"geocode_id":6172,"hydro_id":2,"qmax":297,"is_key_station":false,"warning_level_m":null,"critical_level_m":null,"critical_level_msl":null},"geocode":{"area_code":"3","area_name":{"th":"ภาคเหนือ","en":"North"},"amphoe_code":"03","amphoe_name":{"th":"ชาติตระการ","en":"Chat Trakan District"},"tumbon_code":"06","tumbon_name":{"th":"ท่าสะแก","en":"Tha Sakae"},"province_code":"65","province_name":{"th":"พิษณุโลก","en":"Phitsanulok"}},"diff_wl_bank":"4.65","diff_wl_bank_text":"ต่ำกว่าตลิ่ง (ม.)","river_gid":85663,"river_name":"น้ำภาค"}</t>
  </si>
  <si>
    <t>THAIWATER_WL:527828</t>
  </si>
  <si>
    <t>N.43A</t>
  </si>
  <si>
    <t>บ้านชมพู</t>
  </si>
  <si>
    <t>คลองชมพู</t>
  </si>
  <si>
    <t>{"id":1317572428,"waterlevel_datetime":"2026-10-03 14:00","waterlevel_m":null,"waterlevel_msl":"54.35","waterlevel_msl_previous":"54.35","flow_rate":null,"discharge":"18.30","storage_percent":"43.07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527828,"tele_station_name":{"th":"บ้านชมพู"},"tele_station_lat":16.69232,"tele_station_long":100.670921,"tele_station_oldcode":"N.43A","tele_station_type":"tele_waterlevel","left_bank":113.077001,"right_bank":113.149001,"min_bank":59.72,"ground_level":50.288,"offset":50.060001,"sub_basin_id":238,"agency_id":12,"geocode_id":6228,"hydro_id":2,"qmax":280.399994,"is_key_station":false,"warning_level_m":null,"critical_level_m":null,"critical_level_msl":null},"geocode":{"area_code":"3","area_name":{"th":"ภาคเหนือ","en":"North"},"amphoe_code":"09","amphoe_name":{"th":"เนินมะปราง","en":"Noen Maprang District"},"tumbon_code":"01","tumbon_name":{"th":"ชมพู","en":"Chomphu"},"province_code":"65","province_name":{"th":"พิษณุโลก","en":"Phitsanulok"}},"diff_wl_bank":"5.37","diff_wl_bank_text":"ต่ำกว่าตลิ่ง (ม.)","river_gid":93396,"river_name":"คลองชมพู"}</t>
  </si>
  <si>
    <t>THAIWATER_WL:3283</t>
  </si>
  <si>
    <t>P.71A</t>
  </si>
  <si>
    <t>{"id":1317494191,"waterlevel_datetime":"2026-10-03 11:00","waterlevel_m":null,"waterlevel_msl":"285.28","waterlevel_msl_previous":"285.29","flow_rate":null,"discharge":"15.92","storage_percent":"42.99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3283,"tele_station_name":{"th":"บ้านกลาง"},"tele_station_lat":18.54735,"tele_station_long":98.862282,"tele_station_oldcode":"P.71A","tele_station_type":"tele_waterlevel","left_bank":573.436009,"right_bank":573.4140090000001,"min_bank":288.29,"ground_level":283.01,"offset":283.290009,"sub_basin_id":165,"agency_id":12,"geocode_id":4813,"hydro_id":1,"qmax":129.679993,"is_key_station":false,"warning_level_m":null,"critical_level_m":null,"critical_level_msl":null},"geocode":{"area_code":"3","area_name":{"th":"ภาคเหนือ","en":"North"},"amphoe_code":"12","amphoe_name":{"th":"สันป่าตอง","en":"San Pa Tong District"},"tumbon_code":"03","tumbon_name":{"th":"ท่าวังพร้าว","en":"Tha Wang Phrao"},"province_code":"50","province_name":{"th":"เชียงใหม่","en":"Chiang Mai"}},"diff_wl_bank":"3.01","diff_wl_bank_text":"ต่ำกว่าตลิ่ง (ม.)","river_gid":50240,"river_name":"น้ำแม่ขาน"}</t>
  </si>
  <si>
    <t>THAIWATER_WL:3217</t>
  </si>
  <si>
    <t>Y.13A</t>
  </si>
  <si>
    <t>บ้านหลวงเหนือ</t>
  </si>
  <si>
    <t>93 ซ. ประชาอุทิศ 79 แขวงทุ่งครุ เขตทุ่งครุ จังหวัด กรุงเทพมหานคร 10140 ประเทศไทย</t>
  </si>
  <si>
    <t>ChIJcbIO-86j4jARdzQUtTwpFR8</t>
  </si>
  <si>
    <t>53dda150-1b18-5d9a-b257-8a6ac2829450</t>
  </si>
  <si>
    <t>โรงเรียนชูสินทองประดิษฐ์อนุสรณ์</t>
  </si>
  <si>
    <t>{"id":1317494206,"waterlevel_datetime":"2026-10-03 11:00","waterlevel_m":null,"waterlevel_msl":"269.49","waterlevel_msl_previous":"269.49","flow_rate":null,"discharge":"3.80","storage_percent":"42.91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3217,"tele_station_name":{"th":"บ้านหลวงเหนือ"},"tele_station_lat":18.76083,"tele_station_long":99.972557,"tele_station_oldcode":"Y.13A","tele_station_type":"tele_waterlevel","left_bank":543.218988,"right_bank":543.3349880000001,"min_bank":271.1,"ground_level":268.28,"offset":268.299988,"sub_basin_id":202,"agency_id":12,"geocode_id":5027,"hydro_id":1,"qmax":156,"is_key_station":false,"warning_level_m":null,"critical_level_m":null,"critical_level_msl":null},"geocode":{"area_code":"3","area_name":{"th":"ภาคเหนือ","en":"North"},"amphoe_code":"05","amphoe_name":{"th":"งาว","en":"Ngao District"},"tumbon_code":"06","tumbon_name":{"th":"นาแก","en":"Na Kae"},"province_code":"52","province_name":{"th":"ลำปาง","en":"Lampang"}},"diff_wl_bank":"1.61","diff_wl_bank_text":"ต่ำกว่าตลิ่ง (ม.)","river_gid":40752,"river_name":"น้ำแม่งาว"}</t>
  </si>
  <si>
    <t>THAIWATER_WL:3525</t>
  </si>
  <si>
    <t>URTD05</t>
  </si>
  <si>
    <t>แม่น้ำชี บ้านหินกอง</t>
  </si>
  <si>
    <t>{"id":"53dda150-1b18-5d9a-b257-8a6ac2829450","district":"ทุ่งครุ","category":"ศูนย์พักพิงชั่วคราว","name":"โรงเรียนชูสินทองประดิษฐ์อนุสรณ์","capacity":80,"occupied":0,"available":80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</si>
  <si>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</t>
  </si>
  <si>
    <t>{"id":1317593674,"waterlevel_datetime":"2026-10-03 15:00","waterlevel_m":null,"waterlevel_msl":"148.22","waterlevel_msl_previous":"148.22","flow_rate":"112.65","discharge":"233.50","storage_percent":"42.76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Basin"}},"station":{"id":3525,"tele_station_name":{"th":"แม่น้ำชี บ้านหินกอง"},"tele_station_lat":16.250316,"tele_station_long":102.743923,"tele_station_oldcode":"URTD05","tele_station_type":"tele_waterlevel","left_bank":156.119,"right_bank":155.243,"min_bank":155.24,"ground_level":142.972,"offset":null,"sub_basin_id":84,"agency_id":8,"geocode_id":3249,"hydro_id":null,"qmax":null,"is_key_station":false,"warning_level_m":null,"critical_level_m":null,"critical_level_msl":154.72},"geocode":{"area_code":"4","area_name":{"th":"ภาคตะวันออกเฉียงเหนือ","en":"Northeast"},"amphoe_code":"03","amphoe_name":{"th":"พระยืน","en":"Phra Yuen District"},"tumbon_code":"03","tumbon_name":{"th":"บ้านโต้น","en":"Ban Ton"},"province_code":"40","province_name":{"th":"ขอนแก่น","en":"Khon Kaen"}},"diff_wl_bank":"7.02","diff_wl_bank_text":"ต่ำกว่าตลิ่ง (ม.)","river_gid":132737,"river_name":"แม่น้ำชี"}</t>
  </si>
  <si>
    <t>THAIWATER_WL:11648257</t>
  </si>
  <si>
    <t>SKT003</t>
  </si>
  <si>
    <t>คลองแม่รำพัน</t>
  </si>
  <si>
    <t>{"id":1317594601,"waterlevel_datetime":"2026-10-03 15:10","waterlevel_m":null,"waterlevel_msl":"52.91","waterlevel_msl_previous":"52.91","flow_rate":null,"discharge":null,"storage_percent":"42.71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Basin"}},"station":{"id":11648257,"tele_station_name":{"en":"Khlong Mae Ramphan","th":"คลองแม่รำพัน"},"tele_station_lat":17.03065,"tele_station_long":99.71174,"tele_station_oldcode":"SKT003","tele_station_type":"tele_waterlevel","left_bank":55.124,"right_bank":55.624,"min_bank":55.12,"ground_level":51.263,"offset":null,"sub_basin_id":212,"agency_id":9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Kao"},"province_code":"64","province_name":{"th":"สุโขทัย","en":"Sukhothai"}},"diff_wl_bank":"2.21","diff_wl_bank_text":"ต่ำกว่าตลิ่ง (ม.)"}</t>
  </si>
  <si>
    <t>THAIWATER_WL:653</t>
  </si>
  <si>
    <t>YOM006</t>
  </si>
  <si>
    <t>สวรรคโลก</t>
  </si>
  <si>
    <t>{"id":1317594707,"waterlevel_datetime":"2026-10-03 15:10","waterlevel_m":null,"waterlevel_msl":"51.75","waterlevel_msl_previous":"51.76","flow_rate":null,"discharge":null,"storage_percent":"42.56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Basin"}},"station":{"id":653,"tele_station_name":{"en":"Yom 6","th":"สวรรคโลก"},"tele_station_lat":17.2019,"tele_station_long":99.86388,"tele_station_oldcode":"YOM006","tele_station_type":"tele_waterlevel","left_bank":58.968,"right_bank":58.411,"min_bank":58.41,"ground_level":46.818,"offset":null,"sub_basin_id":209,"agency_id":9,"geocode_id":6115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District"},"tumbon_code":"10","tumbon_name":{"th":"ท่าทอง","en":"Tha Thong"},"province_code":"64","province_name":{"th":"สุโขทัย","en":"Sukhothai"}},"diff_wl_bank":"6.66","diff_wl_bank_text":"ต่ำกว่าตลิ่ง (ม.)","river_gid":87496,"river_name":"แม่น้ำยม"}</t>
  </si>
  <si>
    <t>THAIWATER_WL:2650</t>
  </si>
  <si>
    <t>X.212</t>
  </si>
  <si>
    <t>ถนนลูกเสือ</t>
  </si>
  <si>
    <t>{"id":1317539091,"waterlevel_datetime":"2026-10-03 12:00","waterlevel_m":null,"waterlevel_msl":"0.84","waterlevel_msl_previous":"0.61","flow_rate":null,"discharge":"169.40","storage_percent":"42.43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2650,"tele_station_name":{"th":"ถนนลูกเสือ"},"tele_station_lat":9.95473,"tele_station_long":99.08004,"tele_station_oldcode":"X.212","tele_station_type":"tele_waterlevel","left_bank":7.846,"right_bank":9.033,"min_bank":6.2,"ground_level":-3.11,"offset":null,"sub_basin_id":312,"agency_id":12,"geocode_id":7742,"hydro_id":8,"qmax":1080,"is_key_station":true,"warning_level_m":null,"critical_level_m":null,"critical_level_msl":null},"geocode":{"area_code":"5","area_name":{"th":"ภาคใต้","en":"South"},"amphoe_code":"04","amphoe_name":{"th":"หลังสวน","en":"Lang Suan District"},"tumbon_code":"11","tumbon_name":{"th":"แหลมทราย","en":"Laem Sai"},"province_code":"86","province_name":{"th":"ชุมพร","en":"Chumphon"}},"diff_wl_bank":"5.36","diff_wl_bank_text":"ต่ำกว่าตลิ่ง (ม.)","river_gid":214139,"river_name":"คลองหลังสวน"}</t>
  </si>
  <si>
    <t>THAIWATER_WL:2953</t>
  </si>
  <si>
    <t>N.5A</t>
  </si>
  <si>
    <t xml:space="preserve">สะพานสุพรรณกัลยา </t>
  </si>
  <si>
    <t>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</t>
  </si>
  <si>
    <t>{"id":1317572371,"waterlevel_datetime":"2026-10-03 14:00","waterlevel_m":null,"waterlevel_msl":"36.95","waterlevel_msl_previous":"36.94","flow_rate":null,"discharge":"197.40","storage_percent":"42.36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Basin"}},"station":{"id":2953,"tele_station_name":{"th":"สะพานสุพรรณกัลยา "},"tele_station_lat":16.80608,"tele_station_long":100.245827,"tele_station_oldcode":"N.5A","tele_station_type":"tele_waterlevel","left_bank":80.178,"right_bank":80.684,"min_bank":44.87,"ground_level":31.13,"offset":34.5,"sub_basin_id":236,"agency_id":12,"geocode_id":6136,"hydro_id":2,"qmax":1365,"is_key_station":true,"warning_level_m":null,"critical_level_m":10.37,"critical_level_msl":44.87},"geocode":{"area_code":"3","area_name":{"th":"ภาคเหนือ","en":"North"},"amphoe_code":"01","amphoe_name":{"th":"เมืองพิษณุโลก","en":"Mueang Phitsanulok District"},"tumbon_code":"03","tumbon_name":{"th":"วัดจันทร์","en":"Wat Chan"},"province_code":"65","province_name":{"th":"พิษณุโลก","en":"Phitsanulok"}},"diff_wl_bank":"7.92","diff_wl_bank_text":"ต่ำกว่าตลิ่ง (ม.)","river_gid":93751,"river_name":"แม่น้ำน่าน"}</t>
  </si>
  <si>
    <t>THAIWATER_WL:1197957</t>
  </si>
  <si>
    <t>KIZ003</t>
  </si>
  <si>
    <t>คลองห้วยยาง</t>
  </si>
  <si>
    <t>2026-10-03T14:50:00+07:00</t>
  </si>
  <si>
    <t>{"id":1317585389,"waterlevel_datetime":"2026-10-03 14:50","waterlevel_m":null,"waterlevel_msl":"31.64","waterlevel_msl_previous":"31.64","flow_rate":null,"discharge":null,"storage_percent":"42.32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Basin"}},"station":{"id":1197957,"tele_station_name":{"en":"Huai Yang Canal","th":"คลองห้วยยาง"},"tele_station_lat":14.136408,"tele_station_long":101.857475,"tele_station_oldcode":"KIZ003","tele_station_type":"tele_waterlevel","left_bank":37.683,"right_bank":37.394,"min_bank":37.39,"ground_level":27.419,"offset":null,"sub_basin_id":280,"agency_id":9,"geocode_id":1517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District"},"tumbon_code":"04","tumbon_name":{"th":"ทุ่งโพธิ์","en":"Thung Pho"},"province_code":"25","province_name":{"th":"ปราจีนบุรี","en":"Prachin Buri"}},"diff_wl_bank":"5.75","diff_wl_bank_text":"ต่ำกว่าตลิ่ง (ม.)","river_gid":194204,"river_name":"ห้วยยาง"}</t>
  </si>
  <si>
    <t>THAIWATER_WL:3032</t>
  </si>
  <si>
    <t>Kh.53</t>
  </si>
  <si>
    <t>บ้านหนองวัวซอ</t>
  </si>
  <si>
    <t>{"id":1317573801,"waterlevel_datetime":"2026-10-03 14:00","waterlevel_m":null,"waterlevel_msl":"204.30","waterlevel_msl_previous":"204.30","flow_rate":null,"discharge":"2.10","storage_percent":"42.20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3032,"tele_station_name":{"th":"บ้านหนองวัวซอ"},"tele_station_lat":17.2659,"tele_station_long":102.59243,"tele_station_oldcode":"Kh.53","tele_station_type":"tele_waterlevel","left_bank":409.175003,"right_bank":409.185003,"min_bank":206.3,"ground_level":202.84,"offset":201.300003,"sub_basin_id":54,"agency_id":12,"geocode_id":3482,"hydro_id":3,"qmax":80,"is_key_station":true,"warning_level_m":null,"critical_level_m":null,"critical_level_msl":null},"geocode":{"area_code":"4","area_name":{"th":"ภาคตะวันออกเฉียงเหนือ","en":"Northeast"},"amphoe_code":"03","amphoe_name":{"th":"หนองวัวซอ","en":"Nong Wua So District"},"tumbon_code":"08","tumbon_name":{"th":"หนองวัวซอ","en":"Nong Wua So"},"province_code":"41","province_name":{"th":"อุดรธานี","en":"Udon Thani"}},"diff_wl_bank":"2.00","diff_wl_bank_text":"ต่ำกว่าตลิ่ง (ม.)","river_gid":120613,"river_name":"ห้วยหลวง"}</t>
  </si>
  <si>
    <t>THAIWATER_WL:505037</t>
  </si>
  <si>
    <t>Gt.20</t>
  </si>
  <si>
    <t>สะพานรถยนต์ ร.ร.อนุบาลบางสะพาน</t>
  </si>
  <si>
    <t>คลองบางกระจอง</t>
  </si>
  <si>
    <t>{"id":1317575406,"waterlevel_datetime":"2026-10-03 14:00","waterlevel_m":null,"waterlevel_msl":"1.13","waterlevel_msl_previous":"1.00","flow_rate":null,"discharge":null,"storage_percent":"42.12","sort_order":null,"station_type":"tele_waterlevel","situation_level":3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Basin"}},"station":{"id":505037,"tele_station_name":{"th":"สะพานรถยนต์ ร.ร.อนุบาลบางสะพาน"},"tele_station_lat":11.20557,"tele_station_long":99.508499,"tele_station_oldcode":"Gt.20","tele_station_type":"tele_waterlevel","left_bank":4.42,"right_bank":4.921,"min_bank":3.7,"ground_level":-0.74,"offset":0,"sub_basin_id":307,"agency_id":12,"geocode_id":7137,"hydro_id":7,"qmax":null,"is_key_station":true,"warning_level_m":null,"critical_level_m":6,"critical_level_msl":8.3},"geocode":{"area_code":"2","area_name":{"th":"ภาคกลาง","en":"Central"},"amphoe_code":"04","amphoe_name":{"th":"บางสะพาน","en":"Bang Saphan District"},"tumbon_code":"01","tumbon_name":{"th":"กำเนิดนพคุณ","en":"Kamnoet Nopphakhun"},"province_code":"77","province_name":{"th":"ประจวบคีรีขันธ์","en":"Prachuap Khiri Khan"}},"diff_wl_bank":"2.57","diff_wl_bank_text":"ต่ำกว่าตลิ่ง (ม.)","river_gid":212169,"river_name":"คลองบางกระจอง"}</t>
  </si>
  <si>
    <t>THAIWATER_WL:3168</t>
  </si>
  <si>
    <t>W.1C</t>
  </si>
  <si>
    <t>สะพานเสตุวารี</t>
  </si>
  <si>
    <t>{"id":1317494202,"waterlevel_datetime":"2026-10-03 11:00","waterlevel_m":null,"waterlevel_msl":"230.09","waterlevel_msl_previous":"230.10","flow_rate":null,"discharge":"67.12","storage_percent":"42.05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3168,"tele_station_name":{"th":"สะพานเสตุวารี"},"tele_station_lat":18.29973,"tele_station_long":99.51123,"tele_station_oldcode":"W.1C","tele_station_type":"tele_waterlevel","left_bank":464.010003,"right_bank":464.598003,"min_bank":234.5,"ground_level":226.89,"offset":229.300003,"sub_basin_id":188,"agency_id":12,"geocode_id":8489,"hydro_id":1,"qmax":487,"is_key_station":true,"warning_level_m":null,"critical_level_m":5.2,"critical_level_msl":234.5},"geocode":{"area_code":"3","area_name":{"th":"ภาคเหนือ","en":"North"},"amphoe_code":"01","amphoe_name":{"th":"เมืองลำปาง","en":"Mueang Lampang District"},"tumbon_code":"99","tumbon_name":{"th":"บ้านดง","en":"Ban Dong"},"province_code":"52","province_name":{"th":"ลำปาง","en":"Lampang"}},"diff_wl_bank":"4.41","diff_wl_bank_text":"ต่ำกว่าตลิ่ง (ม.)","river_gid":60385,"river_name":"แม่น้ำวัง"}</t>
  </si>
  <si>
    <t>THAIWATER_WL:504945</t>
  </si>
  <si>
    <t>M.191</t>
  </si>
  <si>
    <t>บ้านโคกกรวด</t>
  </si>
  <si>
    <t>คลองมอญ</t>
  </si>
  <si>
    <t>63 ซอย ประชาอุทิศ 27 แขวงบางมด เขตทุ่งครุ กรุงเทพมหานคร 10140 ประเทศไทย</t>
  </si>
  <si>
    <t>ChIJTZwZTzii4jARW-xaZsjeSlU</t>
  </si>
  <si>
    <t>7df1767c-2913-ffbe-3e81-865a4cbac662</t>
  </si>
  <si>
    <t>โรงเรียนนาหลวง</t>
  </si>
  <si>
    <t>{"id":1317571368,"waterlevel_datetime":"2026-10-03 14:00","waterlevel_m":null,"waterlevel_msl":"193.34","waterlevel_msl_previous":"193.34","flow_rate":null,"discharge":"1.78","storage_percent":"42.01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504945,"tele_station_name":{"th":"บ้านโคกกรวด"},"tele_station_lat":14.93281,"tele_station_long":101.951889,"tele_station_oldcode":"M.191","tele_station_type":"tele_waterlevel","left_bank":195.300003,"right_bank":195.300003,"min_bank":195.3,"ground_level":191.92,"offset":191.800003,"sub_basin_id":108,"agency_id":12,"geocode_id":1689,"hydro_id":4,"qmax":42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นครราชสีมา","en":"Mueang Nakhon Ratchasima District"},"tumbon_code":"17","tumbon_name":{"th":"โคกกรวด","en":"Khok Kruat"},"province_code":"30","province_name":{"th":"นครราชสีมา","en":"Nakhon Ratchasima"}},"diff_wl_bank":"1.96","diff_wl_bank_text":"ต่ำกว่าตลิ่ง (ม.)","river_gid":149764,"river_name":"คลองมอญ"}</t>
  </si>
  <si>
    <t>THAIWATER_WL:12477</t>
  </si>
  <si>
    <t>{"id":"7df1767c-2913-ffbe-3e81-865a4cbac662","district":"ทุ่งครุ","category":"ศูนย์พักพิงชั่วคราว","name":"โรงเรียนนาหลวง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</si>
  <si>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PRN002</t>
  </si>
  <si>
    <t>หัวหิน</t>
  </si>
  <si>
    <t>ห้วยมงคล</t>
  </si>
  <si>
    <t>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</t>
  </si>
  <si>
    <t>{"id":1317594524,"waterlevel_datetime":"2026-10-03 15:10","waterlevel_m":null,"waterlevel_msl":"29.29","waterlevel_msl_previous":"29.29","flow_rate":null,"discharge":null,"storage_percent":"41.81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Basin"}},"station":{"id":12477,"tele_station_name":{"en":"Pran Buri 2","th":"หัวหิน"},"tele_station_lat":12.50849,"tele_station_long":99.84201,"tele_station_oldcode":"PRN002","tele_station_type":"tele_waterlevel","left_bank":32.162,"right_bank":31.776,"min_bank":31.78,"ground_level":27.5,"offset":null,"sub_basin_id":303,"agency_id":9,"geocode_id":7162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District"},"tumbon_code":"05","tumbon_name":{"th":"ทับใต้","en":"Thap Tai"},"province_code":"77","province_name":{"th":"ประจวบคีรีขันธ์","en":"Prachuap Khiri Khan"}},"diff_wl_bank":"2.49","diff_wl_bank_text":"ต่ำกว่าตลิ่ง (ม.)","river_gid":210707,"river_name":"ห้วยมงคล"}</t>
  </si>
  <si>
    <t>THAIWATER_WL:1198298</t>
  </si>
  <si>
    <t>PIN008</t>
  </si>
  <si>
    <t>แม่น้ำทา</t>
  </si>
  <si>
    <t>{"id":1317594516,"waterlevel_datetime":"2026-10-03 15:10","waterlevel_m":null,"waterlevel_msl":"303.91","waterlevel_msl_previous":"303.90","flow_rate":null,"discharge":null,"storage_percent":"41.62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Basin"}},"station":{"id":1198298,"tele_station_name":{"en":"Tha River","th":"แม่น้ำทา"},"tele_station_lat":18.471687,"tele_station_long":98.95513,"tele_station_oldcode":"PIN008","tele_station_type":"tele_waterlevel","left_bank":305.711,"right_bank":307.1603,"min_bank":305.71,"ground_level":302.6263,"offset":null,"sub_basin_id":163,"agency_id":9,"geocode_id":4929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District"},"tumbon_code":"09","tumbon_name":{"th":"เหมืองจี้","en":"Mueang Chi"},"province_code":"51","province_name":{"th":"ลำพูน","en":"Lamphun"}},"diff_wl_bank":"1.80","diff_wl_bank_text":"ต่ำกว่าตลิ่ง (ม.)","river_gid":53736,"river_name":"น้ำแม่ทา"}</t>
  </si>
  <si>
    <t>THAIWATER_WL:238</t>
  </si>
  <si>
    <t>MUN014</t>
  </si>
  <si>
    <t>สตึก</t>
  </si>
  <si>
    <t>{"id":1317594432,"waterlevel_datetime":"2026-10-03 15:10","waterlevel_m":null,"waterlevel_msl":"125.40","waterlevel_msl_previous":"125.40","flow_rate":null,"discharge":null,"storage_percent":"41.54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Basin"}},"station":{"id":238,"tele_station_name":{"en":"Mun 14","th":"สตึก"},"tele_station_lat":15.299888,"tele_station_long":103.29234,"tele_station_oldcode":"MUN014","tele_station_type":"tele_waterlevel","left_bank":132.153,"right_bank":130.62,"min_bank":130.62,"ground_level":121.691,"offset":null,"sub_basin_id":124,"agency_id":9,"geocode_id":2122,"hydro_id":null,"qmax":null,"is_key_station":false,"warning_level_m":null,"critical_level_m":null,"critical_level_msl":null},"geocode":{"area_code":"4","area_name":{"th":"ภาคตะวันออกเฉียงเหนือ","en":"Northeast"},"amphoe_code":"11","amphoe_name":{"th":"สตึก","en":"Satuek District"},"tumbon_code":"02","tumbon_name":{"th":"นิคม","en":"Nikhom"},"province_code":"31","province_name":{"th":"บุรีรัมย์","en":"Buri Ram"}},"diff_wl_bank":"5.22","diff_wl_bank_text":"ต่ำกว่าตลิ่ง (ม.)","river_gid":145915,"river_name":"แม่น้ำมูล"}</t>
  </si>
  <si>
    <t>THAIWATER_WL:3219</t>
  </si>
  <si>
    <t>N.1</t>
  </si>
  <si>
    <t>หน้าสำนักงานป่าไม้</t>
  </si>
  <si>
    <t>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</t>
  </si>
  <si>
    <t>{"id":1317494210,"waterlevel_datetime":"2026-10-03 11:00","waterlevel_m":null,"waterlevel_msl":"193.16","waterlevel_msl_previous":"193.17","flow_rate":null,"discharge":"89.86","storage_percent":"41.36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3219,"tele_station_name":{"th":"หน้าสำนักงานป่าไม้"},"tele_station_lat":18.774879,"tele_station_long":100.779694,"tele_station_oldcode":"N.1","tele_station_type":"tele_waterlevel","left_bank":396.42499699999996,"right_bank":396.351997,"min_bank":199.2,"ground_level":188.9,"offset":192.199997,"sub_basin_id":220,"agency_id":12,"geocode_id":5369,"hydro_id":1,"qmax":1066,"is_key_station":true,"warning_level_m":null,"critical_level_m":null,"critical_level_msl":null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Kaeo"},"province_code":"55","province_name":{"th":"น่าน","en":"Nan"}},"diff_wl_bank":"6.04","diff_wl_bank_text":"ต่ำกว่าตลิ่ง (ม.)","river_gid":39638,"river_name":"แม่น้ำน่าน"}</t>
  </si>
  <si>
    <t>THAIWATER_WL:667</t>
  </si>
  <si>
    <t>NAN006</t>
  </si>
  <si>
    <t>บางกระทุ่ม</t>
  </si>
  <si>
    <t>{"id":1317594443,"waterlevel_datetime":"2026-10-03 15:10","waterlevel_m":null,"waterlevel_msl":"33.54","waterlevel_msl_previous":"33.54","flow_rate":null,"discharge":null,"storage_percent":"41.06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Basin"}},"station":{"id":667,"tele_station_name":{"en":"Nan 6","th":"บางกระทุ่ม"},"tele_station_lat":16.58046,"tele_station_long":100.23858,"tele_station_oldcode":"NAN006","tele_station_type":"tele_waterlevel","left_bank":39.856,"right_bank":40.151,"min_bank":39.86,"ground_level":29.14,"offset":null,"sub_basin_id":236,"agency_id":9,"geocode_id":6188,"hydro_id":null,"qmax":null,"is_key_station":false,"warning_level_m":null,"critical_level_m":null,"critical_level_msl":null},"geocode":{"area_code":"3","area_name":{"th":"ภาคเหนือ","en":"North"},"amphoe_code":"05","amphoe_name":{"th":"บางกระทุ่ม","en":"Bang Krathum District"},"tumbon_code":"03","tumbon_name":{"th":"โคกสลุด","en":"Khok Salut"},"province_code":"65","province_name":{"th":"พิษณุโลก","en":"Phitsanulok"}},"diff_wl_bank":"6.32","diff_wl_bank_text":"ต่ำกว่าตลิ่ง (ม.)","river_gid":95549,"river_name":"แม่น้ำน่าน"}</t>
  </si>
  <si>
    <t>THAIWATER_WL:3065</t>
  </si>
  <si>
    <t>N.60</t>
  </si>
  <si>
    <t>บ้านเด่นสำโรง</t>
  </si>
  <si>
    <t>{"id":1317572389,"waterlevel_datetime":"2026-10-03 14:00","waterlevel_m":null,"waterlevel_msl":"49.49","waterlevel_msl_previous":"49.50","flow_rate":null,"discharge":"128.90","storage_percent":"40.74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3065,"tele_station_name":{"th":"บ้านเด่นสำโรง"},"tele_station_lat":17.418329,"tele_station_long":100.130913,"tele_station_oldcode":"N.60","tele_station_type":"tele_waterlevel","left_bank":107.20400000000001,"right_bank":108.38,"min_bank":56.5,"ground_level":44.67,"offset":48.5,"sub_basin_id":232,"agency_id":12,"geocode_id":5115,"hydro_id":2,"qmax":1305,"is_key_station":true,"warning_level_m":null,"critical_level_m":null,"critical_level_msl":null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Khwae"},"province_code":"53","province_name":{"th":"อุตรดิตถ์","en":"Uttaradit"}},"diff_wl_bank":"7.01","diff_wl_bank_text":"ต่ำกว่าตลิ่ง (ม.)","river_gid":83813,"river_name":"แม่น้ำน่าน"}</t>
  </si>
  <si>
    <t>THAIWATER_WL:12476</t>
  </si>
  <si>
    <t>KRN004</t>
  </si>
  <si>
    <t>ลิ่นถิ่น</t>
  </si>
  <si>
    <t>{"id":1317594360,"waterlevel_datetime":"2026-10-03 15:10","waterlevel_m":null,"waterlevel_msl":"64.19","waterlevel_msl_previous":"64.20","flow_rate":null,"discharge":null,"storage_percent":"40.70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Basin"}},"station":{"id":12476,"tele_station_name":{"en":"Lin Thin","th":"ลิ่นถิ่น"},"tele_station_lat":14.53559,"tele_station_long":98.78764,"tele_station_oldcode":"KRN004","tele_station_type":"tele_waterlevel","left_bank":70.524,"right_bank":72.886,"min_bank":70.52,"ground_level":59.85,"offset":null,"sub_basin_id":271,"agency_id":9,"geocode_id":6600,"hydro_id":null,"qmax":null,"is_key_station":fals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Yok"},"province_code":"71","province_name":{"th":"กาญจนบุรี","en":"Kanchanaburi"}},"diff_wl_bank":"6.33","diff_wl_bank_text":"ต่ำกว่าตลิ่ง (ม.)","river_gid":181195,"river_name":"แม่น้ำแควน้อย"}</t>
  </si>
  <si>
    <t>THAIWATER_WL:1109496</t>
  </si>
  <si>
    <t>ONE007</t>
  </si>
  <si>
    <t>ปตร.ธรณิศนฤมิต-ท้ายน้ำ</t>
  </si>
  <si>
    <t>{"id":1317594463,"waterlevel_datetime":"2026-10-03 15:10","waterlevel_m":null,"waterlevel_msl":"133.02","waterlevel_msl_previous":"133.02","flow_rate":null,"discharge":null,"storage_percent":"40.45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Basin"}},"station":{"id":1109496,"tele_station_name":{"en":"Ni Naruemit Gate","th":"ปตร.ธรณิศนฤมิต-ท้ายน้ำ"},"tele_station_lat":16.922241,"tele_station_long":104.71625,"tele_station_oldcode":"ONE007","tele_station_type":"tele_waterlevel","left_bank":139.447,"right_bank":143.525,"min_bank":139.45,"ground_level":128.654,"offset":null,"sub_basin_id":70,"agency_id":9,"geocode_id":4568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District"},"tumbon_code":"08","tumbon_name":{"th":"น้ำก่ำ","en":"Nam Kam"},"province_code":"48","province_name":{"th":"นครพนม","en":"Nakhon Phanom"}},"diff_wl_bank":"6.43","diff_wl_bank_text":"ต่ำกว่าตลิ่ง (ม.)","river_gid":124472,"river_name":"ลำน้ำกำ"}</t>
  </si>
  <si>
    <t>THAIWATER_WL:1113282</t>
  </si>
  <si>
    <t>SKD04</t>
  </si>
  <si>
    <t>บ้านหาดสองแคว (N.60)</t>
  </si>
  <si>
    <t>379/1 ถนน พุทธบูชา แขวงบางมด เขตทุ่งครุ กรุงเทพมหานคร 10140 ประเทศไทย</t>
  </si>
  <si>
    <t>ChIJHaCfb1Ki4jARN7TdTGzhrLM</t>
  </si>
  <si>
    <t>cc3501f8-bf75-048f-f0ee-4727755df689</t>
  </si>
  <si>
    <t>โรงเรียนบางมด (ตันเปาว์วิทยาคาร)</t>
  </si>
  <si>
    <t>{"id":"cc3501f8-bf75-048f-f0ee-4727755df689","district":"ทุ่งครุ","category":"ศูนย์พักพิงชั่วคราว","name":"โรงเรียนบางมด (ตันเปาว์วิทยาคาร)","capacity":80,"occupied":0,"available":80,"unitType":"คน","status":"เปิดให้บริการ/ว่าง","routeDetails":"","link":null,"additionalDetails":null,"createdAt":"2026-09-26T07:47:17.000Z","updatedAt":"2026-09-26T07:47:17.000Z"}</t>
  </si>
  <si>
    <t>{"id":1317593032,"waterlevel_datetime":"2026-10-03 15:00","waterlevel_m":null,"waterlevel_msl":"49.34","waterlevel_msl_previous":"49.35","flow_rate":null,"discharge":null,"storage_percent":"40.31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Basin"}},"station":{"id":1113282,"tele_station_name":{"th":"บ้านหาดสองแคว (N.60)"},"tele_station_lat":17.418528,"tele_station_long":100.130819,"tele_station_oldcode":"SKD04","tele_station_type":"tele_waterlevel","left_bank":58.62,"right_bank":56.92,"min_bank":56.92,"ground_level":44.22,"offset":null,"sub_basin_id":232,"agency_id":8,"geocode_id":5115,"hydro_id":null,"qmax":null,"is_key_station":false,"warning_level_m":null,"critical_level_m":null,"critical_level_msl":56.92},"geocode":{"area_code":"3","area_name":{"th":"ภาคเหนือ","en":"North"},"amphoe_code":"02","amphoe_name":{"th":"ตรอน","en":"Tron District"},"tumbon_code":"03","tumbon_name":{"th":"หาดสองแคว","en":"Hat Song Khwae"},"province_code":"53","province_name":{"th":"อุตรดิตถ์","en":"Uttaradit"}},"diff_wl_bank":"7.58","diff_wl_bank_text":"ต่ำกว่าตลิ่ง (ม.)","river_gid":83575,"river_name":"แม่น้ำน่าน"}</t>
  </si>
  <si>
    <t>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</t>
  </si>
  <si>
    <t>THAIWATER_WL:1677420</t>
  </si>
  <si>
    <t>PYO007</t>
  </si>
  <si>
    <t>สะพานคลองแม่กาหลง (ม.พะเยา)</t>
  </si>
  <si>
    <t>{"id":1317594534,"waterlevel_datetime":"2026-10-03 15:10","waterlevel_m":null,"waterlevel_msl":"434.90","waterlevel_msl_previous":"434.98","flow_rate":null,"discharge":null,"storage_percent":"40.31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Basin"}},"station":{"id":1677420,"tele_station_name":{"en":"Mae Kalong Bridge (Phayao University)","th":"สะพานคลองแม่กาหลง (ม.พะเยา)"},"tele_station_lat":19.0328,"tele_station_long":99.92907,"tele_station_oldcode":"PYO007","tele_station_type":"tele_waterlevel","left_bank":436.225,"right_bank":437.069,"min_bank":436.23,"ground_level":434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Ka"},"province_code":"56","province_name":{"th":"พะเยา","en":"Phayao"}},"diff_wl_bank":"1.33","diff_wl_bank_text":"ต่ำกว่าตลิ่ง (ม.)"}</t>
  </si>
  <si>
    <t>THAIWATER_WL:1095881</t>
  </si>
  <si>
    <t>X.279</t>
  </si>
  <si>
    <t>บ้านปันจอร์</t>
  </si>
  <si>
    <t>คลองดุสน</t>
  </si>
  <si>
    <t>{"id":1317523553,"waterlevel_datetime":"2026-10-03 12:00","waterlevel_m":null,"waterlevel_msl":"20.02","waterlevel_msl_previous":"20.04","flow_rate":null,"discharge":"11.20","storage_percent":"40.27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1095881,"tele_station_name":{"th":"บ้านปันจอร์"},"tele_station_lat":6.77741,"tele_station_long":100.071487,"tele_station_oldcode":"X.279","tele_station_type":"tele_waterlevel","left_bank":24.394,"right_bank":24.402,"min_bank":23.2,"ground_level":17.876,"offset":null,"sub_basin_id":352,"agency_id":12,"geocode_id":7933,"hydro_id":8,"qmax":84,"is_key_station":true,"warning_level_m":null,"critical_level_m":null,"critical_level_msl":null},"geocode":{"area_code":"5","area_name":{"th":"ภาคใต้","en":"South"},"amphoe_code":"02","amphoe_name":{"th":"ควนโดน","en":"Khuan Don District"},"tumbon_code":"03","tumbon_name":{"th":"ย่านซื่อ","en":"Yan Sue"},"province_code":"91","province_name":{"th":"สตูล","en":"Satun"}},"diff_wl_bank":"3.18","diff_wl_bank_text":"ต่ำกว่าตลิ่ง (ม.)","river_gid":228319,"river_name":"คลองดุสน"}</t>
  </si>
  <si>
    <t>THAIWATER_WL:638</t>
  </si>
  <si>
    <t>PIN002</t>
  </si>
  <si>
    <t>เมืองตาก</t>
  </si>
  <si>
    <t>{"id":1317594510,"waterlevel_datetime":"2026-10-03 15:10","waterlevel_m":null,"waterlevel_msl":"99.76","waterlevel_msl_previous":"99.75","flow_rate":null,"discharge":null,"storage_percent":"40.25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Basin"}},"station":{"id":638,"tele_station_name":{"en":"Ping 2","th":"เมืองตาก"},"tele_station_lat":16.78657,"tele_station_long":99.18398,"tele_station_oldcode":"PIN002","tele_station_type":"tele_waterlevel","left_bank":103.725,"right_bank":101.325,"min_bank":101.33,"ground_level":98.699,"offset":null,"sub_basin_id":179,"agency_id":9,"geocode_id":6035,"hydro_id":null,"qmax":null,"is_key_station":false,"warning_level_m":null,"critical_level_m":null,"critical_level_msl":null},"geocode":{"area_code":"3","area_name":{"th":"ภาคเหนือ","en":"North"},"amphoe_code":"09","amphoe_name":{"th":"วังเจ้า","en":"Wang Chao District"},"tumbon_code":"03","tumbon_name":{"th":"ประดาง","en":"Pradang"},"province_code":"63","province_name":{"th":"ตาก","en":"Tak"}},"diff_wl_bank":"1.57","diff_wl_bank_text":"ต่ำกว่าตลิ่ง (ม.)","river_gid":92765,"river_name":"แม่น้ำปิง"}</t>
  </si>
  <si>
    <t>THAIWATER_WL:1109504</t>
  </si>
  <si>
    <t>ONE015</t>
  </si>
  <si>
    <t>ปตร. บ้านนาขาม-ท้ายน้ำ</t>
  </si>
  <si>
    <t>{"id":1317594470,"waterlevel_datetime":"2026-10-03 15:10","waterlevel_m":null,"waterlevel_msl":"142.62","waterlevel_msl_previous":"142.63","flow_rate":null,"discharge":null,"storage_percent":"39.98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Basin"}},"station":{"id":1109504,"tele_station_name":{"en":"BanNa Kham Gate","th":"ปตร. บ้านนาขาม-ท้ายน้ำ"},"tele_station_lat":17.000439,"tele_station_long":104.42528,"tele_station_oldcode":"ONE015","tele_station_type":"tele_waterlevel","left_bank":149.656,"right_bank":149.372,"min_bank":149.37,"ground_level":138.123,"offset":null,"sub_basin_id":70,"agency_id":9,"geocode_id":4585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District"},"tumbon_code":"03","tumbon_name":{"th":"หนองสังข์","en":"Nong Sang"},"province_code":"48","province_name":{"th":"นครพนม","en":"Nakhon Phanom"}},"diff_wl_bank":"6.75","diff_wl_bank_text":"ต่ำกว่าตลิ่ง (ม.)","river_gid":123355,"river_name":"ลำน้ำกำ"}</t>
  </si>
  <si>
    <t>THAIWATER_WL:1394808</t>
  </si>
  <si>
    <t>MOU246</t>
  </si>
  <si>
    <t>สะพานน้ำลำตะคอง</t>
  </si>
  <si>
    <t>{"id":1317594068,"waterlevel_datetime":"2026-10-03 15:10","waterlevel_m":null,"waterlevel_msl":"345.87","waterlevel_msl_previous":"345.87","flow_rate":null,"discharge":null,"storage_percent":"39.97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Foundation","jp":""},"agency_shortname":{"th":"พพภ","en":"FOP","jp":""}},"basin":{"id":5,"basin_code":5,"basin_name":{"th":"ลุ่มน้ำมูล","en":"Mun Basin"}},"station":{"id":1394808,"tele_station_name":{"en":"Lam Takhong Nam Bridge","th":"สะพานน้ำลำตะคอง"},"tele_station_lat":14.550208,"tele_station_long":101.459465,"tele_station_oldcode":"MOU246","tele_station_type":"tele_waterlevel","left_bank":349.854,"right_bank":348.399,"min_bank":348.4,"ground_level":344.186,"offset":null,"sub_basin_id":108,"sponsor_by":"มูลนิธิอาสาเพื่อนพึ่ง (ภาฯ) ยามยาก สภากาชาดไทย","agency_id":91,"geocode_id":1919,"hydro_id":null,"qmax":null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Ratchasima"}},"diff_wl_bank":"2.53","diff_wl_bank_text":"ต่ำกว่าตลิ่ง (ม.)"}</t>
  </si>
  <si>
    <t>THAIWATER_WL:128</t>
  </si>
  <si>
    <t>CHN004</t>
  </si>
  <si>
    <t>แก่งหางแมว</t>
  </si>
  <si>
    <t>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</t>
  </si>
  <si>
    <t>{"id":1317594268,"waterlevel_datetime":"2026-10-03 15:10","waterlevel_m":null,"waterlevel_msl":"23.79","waterlevel_msl_previous":"23.78","flow_rate":null,"discharge":null,"storage_percent":"39.82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Basin"}},"station":{"id":128,"tele_station_name":{"en":"Kaeng Hang Maeo","th":"แก่งหางแมว"},"tele_station_lat":12.986792,"tele_station_long":101.89965,"tele_station_oldcode":"CHN004","tele_station_type":"tele_waterlevel","left_bank":27.1001,"right_bank":30.1001,"min_bank":27.1,"ground_level":21.6,"offset":null,"sub_basin_id":295,"agency_id":9,"geocode_id":1314,"hydro_id":null,"qmax":null,"is_key_station":false,"warning_level_m":null,"critical_level_m":null,"critical_level_msl":null},"geocode":{"area_code":"2","area_name":{"th":"ภาคกลาง","en":"Central"},"amphoe_code":"08","amphoe_name":{"th":"แก่งหางแมว","en":"Kaeng Hang Maeo District"},"tumbon_code":"01","tumbon_name":{"th":"แก่งหางแมว","en":"Kaeng Hang Maeo"},"province_code":"22","province_name":{"th":"จันทบุรี","en":"Chanthaburi"}},"diff_wl_bank":"3.31","diff_wl_bank_text":"ต่ำกว่าตลิ่ง (ม.)","river_gid":202358,"river_name":"คลองโตนด"}</t>
  </si>
  <si>
    <t>THAIWATER_WL:804</t>
  </si>
  <si>
    <t>MDC001</t>
  </si>
  <si>
    <t>ตลาดเก่าตะกั่วป่า</t>
  </si>
  <si>
    <t>{"id":1317594369,"waterlevel_datetime":"2026-10-03 15:10","waterlevel_m":null,"waterlevel_msl":"-0.05","waterlevel_msl_previous":"-0.04","flow_rate":null,"discharge":null,"storage_percent":"39.75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Basin"}},"station":{"id":804,"tele_station_name":{"en":"Takua Pa Market","th":"ตลาดเก่าตะกั่วป่า"},"tele_station_lat":8.829399,"tele_station_long":98.36931,"tele_station_oldcode":"MDC001","tele_station_type":"tele_waterlevel","left_bank":4.435,"right_bank":3.618,"min_bank":3.62,"ground_level":-2.47,"offset":null,"sub_basin_id":344,"agency_id":9,"geocode_id":7463,"hydro_id":null,"qmax":null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District"},"tumbon_code":"06","tumbon_name":{"th":"โคกเคียน","en":"Khok Khian"},"province_code":"82","province_name":{"th":"พังงา","en":"Phangnga"}},"diff_wl_bank":"3.67","diff_wl_bank_text":"ต่ำกว่าตลิ่ง (ม.)","river_gid":217525,"river_name":"คลองตะกั่วป่า"}</t>
  </si>
  <si>
    <t>THAIWATER_WL:1422364</t>
  </si>
  <si>
    <t>RPBD04</t>
  </si>
  <si>
    <t>สะพานเชี่ยวไทร อ.พนม</t>
  </si>
  <si>
    <t>{"id":1317591816,"waterlevel_datetime":"2026-10-03 15:00","waterlevel_m":null,"waterlevel_msl":"12.58","waterlevel_msl_previous":"12.58","flow_rate":null,"discharge":null,"storage_percent":"39.63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Basin"}},"station":{"id":1422364,"tele_station_name":{"th":"สะพานเชี่ยวไทร อ.พนม"},"tele_station_lat":8.822734,"tele_station_long":98.832075,"tele_station_oldcode":"RPBD04","tele_station_type":"tele_waterlevel","left_bank":17.5047,"right_bank":17.4732,"min_bank":17.47,"ground_level":9.366,"offset":null,"sub_basin_id":314,"agency_id":8,"geocode_id":7582,"hydro_id":null,"qmax":null,"is_key_station":false,"warning_level_m":null,"critical_level_m":null,"critical_level_msl":17.473},"geocode":{"area_code":"5","area_name":{"th":"ภาคใต้","en":"South"},"amphoe_code":"10","amphoe_name":{"th":"พนม","en":"Phanom District"},"tumbon_code":"01","tumbon_name":{"th":"พนม","en":"Phanom"},"province_code":"84","province_name":{"th":"สุราษฎร์ธานี","en":"Surat Thani"}},"diff_wl_bank":"4.89","diff_wl_bank_text":"ต่ำกว่าตลิ่ง (ม.)"}</t>
  </si>
  <si>
    <t>THAIWATER_WL:2698</t>
  </si>
  <si>
    <t>M.89</t>
  </si>
  <si>
    <t>สำนักเทคโนโลยีชีวภัณฑ์สัตว์</t>
  </si>
  <si>
    <t>คลองลำตะคอง</t>
  </si>
  <si>
    <t>11 ซอย พุทธบูชา 26/3 แขวงบางมด เขตทุ่งครุ กรุงเทพมหานคร 10140 ประเทศไทย</t>
  </si>
  <si>
    <t>ChIJN5mEHeWi4jARzRe4wZegyjo</t>
  </si>
  <si>
    <t>{"id":1317571358,"waterlevel_datetime":"2026-10-03 14:00","waterlevel_m":null,"waterlevel_msl":"293.75","waterlevel_msl_previous":"293.76","flow_rate":null,"discharge":"16.63","storage_percent":"39.47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2698,"tele_station_name":{"th":"สำนักเทคโนโลยีชีวภัณฑ์สัตว์"},"tele_station_lat":14.69785,"tele_station_long":101.415154,"tele_station_oldcode":"M.89","tele_station_type":"tele_waterlevel","left_bank":590.886994,"right_bank":590.882994,"min_bank":297.4,"ground_level":291.37,"offset":290.899994,"sub_basin_id":108,"agency_id":12,"geocode_id":1915,"hydro_id":4,"qmax":125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District"},"tumbon_code":"01","tumbon_name":{"th":"ปากช่อง","en":"Pak Chong"},"province_code":"30","province_name":{"th":"นครราชสีมา","en":"Nakhon Ratchasima"}},"diff_wl_bank":"3.65","diff_wl_bank_text":"ต่ำกว่าตลิ่ง (ม.)","river_gid":152070,"river_name":"คลองลำตะคอง"}</t>
  </si>
  <si>
    <t>THAIWATER_WL:1098957</t>
  </si>
  <si>
    <t>2bfd8b11-5586-b357-cbfb-1071521934fb</t>
  </si>
  <si>
    <t>Kgt.15B</t>
  </si>
  <si>
    <t>บ้านแก่งดินสอ</t>
  </si>
  <si>
    <t>โรงเรียนรางราชพฤกษ์นุชมีอุทิศ</t>
  </si>
  <si>
    <t>แควโขมง</t>
  </si>
  <si>
    <t>{"id":"2bfd8b11-5586-b357-cbfb-1071521934fb","district":"ทุ่งครุ","category":"ศูนย์พักพิงชั่วคราว","name":"โรงเรียนรางราชพฤกษ์นุชมีอุทิศ","capacity":50,"occupied":0,"available":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</si>
  <si>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</t>
  </si>
  <si>
    <t>{"id":1317582837,"waterlevel_datetime":"2026-10-03 14:00","waterlevel_m":null,"waterlevel_msl":"15.71","waterlevel_msl_previous":"15.71","flow_rate":null,"discharge":"8.50","storage_percent":"39.22","sort_order":null,"station_type":"tele_waterlevel","situation_level":3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1098957,"tele_station_name":{"th":"บ้านแก่งดินสอ"},"tele_station_lat":14.06587,"tele_station_long":101.922638,"tele_station_oldcode":"Kgt.15B","tele_station_type":"tele_waterlevel","left_bank":32.586999999999996,"right_bank":33.394999999999996,"min_bank":20.21,"ground_level":12.806,"offset":12.37,"sub_basin_id":280,"agency_id":12,"geocode_id":1518,"hydro_id":6,"qmax":188.699997,"is_key_station":true,"warning_level_m":null,"critical_level_m":null,"critical_level_msl":null},"geocode":{"area_code":"2","area_name":{"th":"ภาคกลาง","en":"Central"},"amphoe_code":"03","amphoe_name":{"th":"นาดี","en":"Na Di District"},"tumbon_code":"05","tumbon_name":{"th":"แก่งดินสอ","en":"Kaeng Dinso"},"province_code":"25","province_name":{"th":"ปราจีนบุรี","en":"Prachin Buri"}},"diff_wl_bank":"4.50","diff_wl_bank_text":"ต่ำกว่าตลิ่ง (ม.)","river_gid":194561,"river_name":"แควโขมง"}</t>
  </si>
  <si>
    <t>THAIWATER_WL:1119776</t>
  </si>
  <si>
    <t>E.57A</t>
  </si>
  <si>
    <t>บ้านสมสนุก</t>
  </si>
  <si>
    <t>{"id":1317573766,"waterlevel_datetime":"2026-10-03 14:00","waterlevel_m":null,"waterlevel_msl":"173.36","waterlevel_msl_previous":"173.36","flow_rate":null,"discharge":"0.01","storage_percent":"39.20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1119776,"tele_station_name":{"th":"บ้านสมสนุก"},"tele_station_lat":16.68523,"tele_station_long":104.08213,"tele_station_oldcode":"E.57A","tele_station_type":"tele_waterlevel","left_bank":350.022994,"right_bank":350.014994,"min_bank":178.4,"ground_level":170.11,"offset":172.399994,"sub_basin_id":101,"agency_id":12,"geocode_id":4274,"hydro_id":3,"qmax":290,"is_key_station":false,"warning_level_m":null,"critical_level_m":null,"critical_level_msl":null},"geocode":{"area_code":"4","area_name":{"th":"ภาคตะวันออกเฉียงเหนือ","en":"Northeast"},"amphoe_code":"06","amphoe_name":{"th":"เขาวง","en":"Khao Wong District"},"tumbon_code":"06","tumbon_name":{"th":"กุดสิมคุ้มใหม่","en":"Kut Sinkhum Mai"},"province_code":"46","province_name":{"th":"กาฬสินธุ์","en":"Kalasin"}},"diff_wl_bank":"5.04","diff_wl_bank_text":"ต่ำกว่าตลิ่ง (ม.)","river_gid":127969,"river_name":"ลำพะยัง"}</t>
  </si>
  <si>
    <t>THAIWATER_WL:657</t>
  </si>
  <si>
    <t>NAN012</t>
  </si>
  <si>
    <t>เมืองพิษณุโลก</t>
  </si>
  <si>
    <t>{"id":1317594449,"waterlevel_datetime":"2026-10-03 15:10","waterlevel_m":null,"waterlevel_msl":"37.54","waterlevel_msl_previous":"37.54","flow_rate":null,"discharge":null,"storage_percent":"39.01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Basin"}},"station":{"id":657,"tele_station_name":{"en":"Nan 12","th":"เมืองพิษณุโลก"},"tele_station_lat":16.86469,"tele_station_long":100.24476,"tele_station_oldcode":"NAN012","tele_station_type":"tele_waterlevel","left_bank":45.326,"right_bank":45.422,"min_bank":45.33,"ground_level":32.561,"offset":null,"sub_basin_id":236,"agency_id":9,"geocode_id":6143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District"},"tumbon_code":"10","tumbon_name":{"th":"ปากโทก","en":"Pak Thok"},"province_code":"65","province_name":{"th":"พิษณุโลก","en":"Phitsanulok"}},"diff_wl_bank":"7.79","diff_wl_bank_text":"ต่ำกว่าตลิ่ง (ม.)","river_gid":93751,"river_name":"แม่น้ำน่าน"}</t>
  </si>
  <si>
    <t>THAIWATER_WL:504679</t>
  </si>
  <si>
    <t>P.103</t>
  </si>
  <si>
    <t>สะพานวงแหวนรอบ 3</t>
  </si>
  <si>
    <t>{"id":1317494180,"waterlevel_datetime":"2026-10-03 11:00","waterlevel_m":null,"waterlevel_msl":"303.15","waterlevel_msl_previous":"303.16","flow_rate":null,"discharge":"75.50","storage_percent":"38.98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Basin"}},"station":{"id":504679,"tele_station_name":{"th":"สะพานวงแหวนรอบ 3"},"tele_station_lat":18.86651,"tele_station_long":98.978188,"tele_station_oldcode":"P.103","tele_station_type":"tele_waterlevel","left_bank":614.2750149999999,"right_bank":613.485015,"min_bank":307.69,"ground_level":300.25,"offset":300.890015,"sub_basin_id":162,"agency_id":12,"geocode_id":4773,"hydro_id":1,"qmax":475.799988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District"},"tumbon_code":"10","tumbon_name":{"th":"ดอนแก้ว","en":"Don Kaeo"},"province_code":"50","province_name":{"th":"เชียงใหม่","en":"Chiang Mai"}},"diff_wl_bank":"4.54","diff_wl_bank_text":"ต่ำกว่าตลิ่ง (ม.)","river_gid":35635,"river_name":"แม่น้ำปิง"}</t>
  </si>
  <si>
    <t>THAIWATER_WL:1422307</t>
  </si>
  <si>
    <t>BBU04</t>
  </si>
  <si>
    <t>ห้วยแม่ตื่นที่ อ.อมก๋อย</t>
  </si>
  <si>
    <t>{"id":1317592372,"waterlevel_datetime":"2026-10-03 15:00","waterlevel_m":null,"waterlevel_msl":"421.31","waterlevel_msl_previous":"421.32","flow_rate":null,"discharge":null,"storage_percent":"38.89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Basin"}},"station":{"id":1422307,"tele_station_name":{"th":"ห้วยแม่ตื่นที่ อ.อมก๋อย"},"tele_station_lat":17.387731,"tele_station_long":98.467658,"tele_station_oldcode":"BBU04","tele_station_type":"tele_waterlevel","left_bank":423.61,"right_bank":426.246,"min_bank":423.61,"ground_level":419.84,"offset":null,"sub_basin_id":175,"agency_id":8,"geocode_id":4876,"hydro_id":null,"qmax":null,"is_key_station":false,"warning_level_m":null,"critical_level_m":null,"critical_level_msl":426.24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Mai"}},"diff_wl_bank":"2.30","diff_wl_bank_text":"ต่ำกว่าตลิ่ง (ม.)"}</t>
  </si>
  <si>
    <t>THAIWATER_WL:3186</t>
  </si>
  <si>
    <t>P.77</t>
  </si>
  <si>
    <t>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</t>
  </si>
  <si>
    <t>บ้านสบแม่สะป๊วด</t>
  </si>
  <si>
    <t>{"id":1317494195,"waterlevel_datetime":"2026-10-03 11:00","waterlevel_m":null,"waterlevel_msl":"367.04","waterlevel_msl_previous":"367.04","flow_rate":null,"discharge":"2.87","storage_percent":"38.78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3186,"tele_station_name":{"th":"บ้านสบแม่สะป๊วด"},"tele_station_lat":18.43327,"tele_station_long":99.085129,"tele_station_oldcode":"P.77","tele_station_type":"tele_waterlevel","left_bank":735.055012,"right_bank":739.1400120000001,"min_bank":368.95,"ground_level":365.83,"offset":364.950012,"sub_basin_id":163,"agency_id":12,"geocode_id":4938,"hydro_id":1,"qmax":111.629997,"is_key_station":true,"warning_level_m":null,"critical_level_m":null,"critical_level_msl":null},"geocode":{"area_code":"3","area_name":{"th":"ภาคเหนือ","en":"North"},"amphoe_code":"02","amphoe_name":{"th":"แม่ทา","en":"Mae Tha District"},"tumbon_code":"02","tumbon_name":{"th":"ทาสบเส้า","en":"Tha Sopsao"},"province_code":"51","province_name":{"th":"ลำพูน","en":"Lamphun"}},"diff_wl_bank":"1.91","diff_wl_bank_text":"ต่ำกว่าตลิ่ง (ม.)","river_gid":55031,"river_name":"น้ำแม่ทา"}</t>
  </si>
  <si>
    <t>THAIWATER_WL:12474</t>
  </si>
  <si>
    <t>STU003</t>
  </si>
  <si>
    <t>มะนัง</t>
  </si>
  <si>
    <t>{"id":1317594610,"waterlevel_datetime":"2026-10-03 15:10","waterlevel_m":null,"waterlevel_msl":"7.53","waterlevel_msl_previous":"7.53","flow_rate":null,"discharge":null,"storage_percent":"38.74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12474,"tele_station_name":{"en":"Manang","th":"มะนัง"},"tele_station_lat":6.940811,"tele_station_long":99.872925,"tele_station_oldcode":"STU003","tele_station_type":"tele_waterlevel","left_bank":12.884,"right_bank":13.184,"min_bank":12.88,"ground_level":4.144,"offset":null,"sub_basin_id":351,"agency_id":9,"geocode_id":7959,"hydro_id":null,"qmax":null,"is_key_station":fals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Phatthana"},"province_code":"91","province_name":{"th":"สตูล","en":"Satun"}},"diff_wl_bank":"5.35","diff_wl_bank_text":"ต่ำกว่าตลิ่ง (ม.)","river_gid":227744,"river_name":"คลองละงู"}</t>
  </si>
  <si>
    <t>THAIWATER_WL:3095</t>
  </si>
  <si>
    <t>N.2B</t>
  </si>
  <si>
    <t>{"id":1317572418,"waterlevel_datetime":"2026-10-03 14:00","waterlevel_m":null,"waterlevel_msl":"52.77","waterlevel_msl_previous":"52.77","flow_rate":null,"discharge":"124.35","storage_percent":"38.69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3095,"tele_station_name":{"th":"ต.ในเมือง"},"tele_station_lat":17.609871,"tele_station_long":100.099609,"tele_station_oldcode":"N.2B","tele_station_type":"tele_waterlevel","left_bank":113.91799900000001,"right_bank":115.260999,"min_bank":59.3,"ground_level":48.65,"offset":52.299999,"sub_basin_id":230,"agency_id":12,"geocode_id":5098,"hydro_id":2,"qmax":1910,"is_key_station":true,"warning_level_m":null,"critical_level_m":7,"critical_level_msl":59.3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Sao"},"province_code":"53","province_name":{"th":"อุตรดิตถ์","en":"Uttaradit"}},"diff_wl_bank":"6.53","diff_wl_bank_text":"ต่ำกว่าตลิ่ง (ม.)","river_gid":80088,"river_name":"แม่น้ำน่าน"}</t>
  </si>
  <si>
    <t>THAIWATER_WL:630</t>
  </si>
  <si>
    <t>WAN001</t>
  </si>
  <si>
    <t>สามเงา</t>
  </si>
  <si>
    <t>โรงเรียนรางราชพฤกษ์นุชมีอุทิศ 224 ถนน ซ. ประชาอุทิศ 72 แขวงทุ่งครุ เขตทุ่งครุ กรุงเทพมหานคร 10140 ประเทศไทย</t>
  </si>
  <si>
    <t>ChIJ01yK-aSj4jARyd_9s23K0dk</t>
  </si>
  <si>
    <t>{"id":1317594690,"waterlevel_datetime":"2026-10-03 15:10","waterlevel_m":null,"waterlevel_msl":"134.25","waterlevel_msl_previous":"134.25","flow_rate":null,"discharge":null,"storage_percent":"38.51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Basin"}},"station":{"id":630,"tele_station_name":{"en":"Wang 1","th":"สามเงา"},"tele_station_lat":17.26053,"tele_station_long":99.07797,"tele_station_oldcode":"WAN001","tele_station_type":"tele_waterlevel","left_bank":142.028,"right_bank":141.227,"min_bank":141.23,"ground_level":129.883,"offset":null,"sub_basin_id":196,"agency_id":9,"geocode_id":5989,"hydro_id":null,"qmax":null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Man"},"province_code":"63","province_name":{"th":"ตาก","en":"Tak"}},"diff_wl_bank":"6.97","diff_wl_bank_text":"ต่ำกว่าตลิ่ง (ม.)","river_gid":85657,"river_name":"แม่น้ำวัง"}</t>
  </si>
  <si>
    <t>00dd767b-4ec9-4c4e-c430-ada69841114c</t>
  </si>
  <si>
    <t>THAIWATER_WL:545</t>
  </si>
  <si>
    <t>CHR003</t>
  </si>
  <si>
    <t>โรงเรียนราษฎร์บูรณะ (มูฮำหมัดอุทิศ)</t>
  </si>
  <si>
    <t>แม่จัน</t>
  </si>
  <si>
    <t>น้ำแม่จัน</t>
  </si>
  <si>
    <t>{"id":"00dd767b-4ec9-4c4e-c430-ada69841114c","district":"ทุ่งครุ","category":"ศูนย์พักพิงชั่วคราว","name":"โรงเรียนราษฎร์บูรณะ (มูฮำหมัดอุทิศ)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</si>
  <si>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</t>
  </si>
  <si>
    <t>{"id":1317594272,"waterlevel_datetime":"2026-10-03 15:10","waterlevel_m":null,"waterlevel_msl":"409.54","waterlevel_msl_previous":"409.54","flow_rate":null,"discharge":null,"storage_percent":"38.48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Basin"}},"station":{"id":545,"tele_station_name":{"en":"Chaing Rai 3","th":"แม่จัน"},"tele_station_lat":20.15754,"tele_station_long":99.85966,"tele_station_oldcode":"CHR003","tele_station_type":"tele_waterlevel","left_bank":412.008,"right_bank":412.404,"min_bank":412.01,"ground_level":408.003,"offset":null,"sub_basin_id":24,"agency_id":9,"geocode_id":5517,"hydro_id":null,"qmax":null,"is_key_station":false,"warning_level_m":null,"critical_level_m":null,"critical_level_msl":null},"geocode":{"area_code":"3","area_name":{"th":"ภาคเหนือ","en":"North"},"amphoe_code":"07","amphoe_name":{"th":"แม่จัน","en":"Mae Chan District"},"tumbon_code":"01","tumbon_name":{"th":"แม่จัน","en":"Mae Chan"},"province_code":"57","province_name":{"th":"เชียงราย","en":"Chiang Rai"}},"diff_wl_bank":"2.46","diff_wl_bank_text":"ต่ำกว่าตลิ่ง (ม.)","river_gid":102708,"river_name":"น้ำแม่จัน"}</t>
  </si>
  <si>
    <t>THAIWATER_WL:2561</t>
  </si>
  <si>
    <t>X.150</t>
  </si>
  <si>
    <t>บ้านวังพระเคียน</t>
  </si>
  <si>
    <t>{"id":1317523542,"waterlevel_datetime":"2026-10-03 12:00","waterlevel_m":null,"waterlevel_msl":"7.69","waterlevel_msl_previous":"7.67","flow_rate":null,"discharge":"54.25","storage_percent":"38.28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2561,"tele_station_name":{"th":"บ้านวังพระเคียน"},"tele_station_lat":6.94082,"tele_station_long":99.872917,"tele_station_oldcode":"X.150","tele_station_type":"tele_waterlevel","left_bank":15.853,"right_bank":15.81,"min_bank":12.8,"ground_level":4.521,"offset":null,"sub_basin_id":351,"agency_id":12,"geocode_id":7959,"hydro_id":8,"qmax":265,"is_key_station":true,"warning_level_m":null,"critical_level_m":null,"critical_level_msl":null},"geocode":{"area_code":"5","area_name":{"th":"ภาคใต้","en":"South"},"amphoe_code":"07","amphoe_name":{"th":"มะนัง","en":"Manang District"},"tumbon_code":"02","tumbon_name":{"th":"นิคมพัฒนา","en":"Nikhom Phatthana"},"province_code":"91","province_name":{"th":"สตูล","en":"Satun"}},"diff_wl_bank":"5.11","diff_wl_bank_text":"ต่ำกว่าตลิ่ง (ม.)","river_gid":227744,"river_name":"คลองละงู"}</t>
  </si>
  <si>
    <t>THAIWATER_WL:638734</t>
  </si>
  <si>
    <t>MOU074</t>
  </si>
  <si>
    <t>คลองแม่รำพัน 1</t>
  </si>
  <si>
    <t>{"id":1317594064,"waterlevel_datetime":"2026-10-03 15:10","waterlevel_m":null,"waterlevel_msl":"60.88","waterlevel_msl_previous":"60.86","flow_rate":null,"discharge":null,"storage_percent":"38.26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Basin"}},"station":{"id":638734,"tele_station_name":{"en":"Khlong Mae Ramphan 1","th":"คลองแม่รำพัน 1"},"tele_station_lat":17.050436,"tele_station_long":99.664345,"tele_station_oldcode":"MOU074","tele_station_type":"tele_waterlevel","left_bank":62.8438,"right_bank":63.2848,"min_bank":62.84,"ground_level":59.6628,"offset":null,"sub_basin_id":212,"sponsor_by":"บริษัท แอดวานซ์ อินโฟร์ เซอร์วิส จำกัด (มหาชน)","agency_id":91,"geocode_id":6040,"hydro_id":null,"qmax":null,"is_key_station":false,"warning_level_m":null,"critical_level_m":null,"critical_level_msl":null},"geocode":{"area_code":"3","area_name":{"th":"ภาคเหนือ","en":"North"},"amphoe_code":"01","amphoe_name":{"th":"เมืองสุโขทัย","en":"Mueang Sukhothai District"},"tumbon_code":"03","tumbon_name":{"th":"เมืองเก่า","en":"Mueang Kao"},"province_code":"64","province_name":{"th":"สุโขทัย","en":"Sukhothai"}},"diff_wl_bank":"1.96","diff_wl_bank_text":"ต่ำกว่าตลิ่ง (ม.)","river_gid":88620,"river_name":"คลองแม่รำพัน"}</t>
  </si>
  <si>
    <t>THAIWATER_WL:1225529</t>
  </si>
  <si>
    <t>MYA002</t>
  </si>
  <si>
    <t>บ้านดอยต่อคำ</t>
  </si>
  <si>
    <t>{"id":1317594106,"waterlevel_datetime":"2026-10-03 15:10","waterlevel_m":null,"waterlevel_msl":"401.71","waterlevel_msl_previous":"401.72","flow_rate":null,"discharge":null,"storage_percent":"38.24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Foundation","jp":""},"agency_shortname":{"th":"พพภ","en":"FOP","jp":""}},"basin":{"id":29,"basin_code":88,"basin_name":{"th":"นอกประเทศไทย","en":""}},"station":{"id":1225529,"tele_station_name":{"en":"Lawtawkhan (Village)","th":"บ้านดอยต่อคำ"},"tele_station_lat":20.44352,"tele_station_long":99.86226,"tele_station_oldcode":"MYA002","tele_station_type":"tele_waterlevel","left_bank":405.43,"right_bank":405.43,"min_bank":405.43,"ground_level":399.4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Myanmar"}},"diff_wl_bank":"3.72","diff_wl_bank_text":"ต่ำกว่าตลิ่ง (ม.)"}</t>
  </si>
  <si>
    <t>THAIWATER_WL:2780</t>
  </si>
  <si>
    <t>M.69</t>
  </si>
  <si>
    <t>บ้านท่าบอแบง</t>
  </si>
  <si>
    <t>ลำเซบก</t>
  </si>
  <si>
    <t>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</t>
  </si>
  <si>
    <t>{"id":1317571339,"waterlevel_datetime":"2026-10-03 14:00","waterlevel_m":null,"waterlevel_msl":"111.21","waterlevel_msl_previous":"111.22","flow_rate":null,"discharge":"142.60","storage_percent":"38.07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2780,"tele_station_name":{"th":"บ้านท่าบอแบง"},"tele_station_lat":15.50421,"tele_station_long":104.966202,"tele_station_oldcode":"M.69","tele_station_type":"tele_waterlevel","left_bank":115.3,"right_bank":115.3,"min_bank":115.7,"ground_level":108.45,"offset":108,"sub_basin_id":148,"agency_id":12,"geocode_id":2719,"hydro_id":4,"qmax":330,"is_key_station":true,"warning_level_m":null,"critical_level_m":null,"critical_level_msl":null},"geocode":{"area_code":"4","area_name":{"th":"ภาคตะวันออกเฉียงเหนือ","en":"Northeast"},"amphoe_code":"11","amphoe_name":{"th":"ตระการพืชผล","en":"Trakan Phuet Phon District"},"tumbon_code":"05","tumbon_name":{"th":"ขามเปี้ย","en":"Kham Pia"},"province_code":"34","province_name":{"th":"อุบลราชธานี","en":"Ubon Ratchathani"}},"diff_wl_bank":"4.49","diff_wl_bank_text":"ต่ำกว่าตลิ่ง (ม.)","river_gid":143236,"river_name":"ลำเซบก"}</t>
  </si>
  <si>
    <t>THAIWATER_WL:1095875</t>
  </si>
  <si>
    <t>X.113</t>
  </si>
  <si>
    <t>บ้านทุ่งปราบ</t>
  </si>
  <si>
    <t>คลองหล้าปัง</t>
  </si>
  <si>
    <t>{"id":1317523520,"waterlevel_datetime":"2026-10-03 12:00","waterlevel_m":null,"waterlevel_msl":"33.29","waterlevel_msl_previous":"33.33","flow_rate":null,"discharge":"5.68","storage_percent":"38.05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1095875,"tele_station_name":{"th":"บ้านทุ่งปราบ"},"tele_station_lat":6.63504,"tele_station_long":100.39341,"tele_station_oldcode":"X.113","tele_station_type":"tele_waterlevel","left_bank":37.914,"right_bank":37.906,"min_bank":36.48,"ground_level":31.331,"offset":0,"sub_basin_id":330,"agency_id":12,"geocode_id":7861,"hydro_id":8,"qmax":109.800003051757,"is_key_station":false,"warning_level_m":null,"critical_level_m":null,"critical_level_msl":null},"geocode":{"area_code":"5","area_name":{"th":"ภาคใต้","en":"South"},"amphoe_code":"10","amphoe_name":{"th":"สะเดา","en":"Sadao District"},"tumbon_code":"01","tumbon_name":{"th":"สะเดา","en":"Sadao"},"province_code":"90","province_name":{"th":"สงขลา","en":"Songkhla"}},"diff_wl_bank":"3.19","diff_wl_bank_text":"ต่ำกว่าตลิ่ง (ม.)","river_gid":229406,"river_name":"คลองหล้าปัง"}</t>
  </si>
  <si>
    <t>THAIWATER_WL:1109491</t>
  </si>
  <si>
    <t>ONE002</t>
  </si>
  <si>
    <t>สะพานข้ามคลองกระบี่ใหญ่ 1</t>
  </si>
  <si>
    <t>{"id":1317594458,"waterlevel_datetime":"2026-10-03 15:10","waterlevel_m":null,"waterlevel_msl":"23.91","waterlevel_msl_previous":"23.88","flow_rate":null,"discharge":null,"storage_percent":"37.99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Basin"}},"station":{"id":1109491,"tele_station_name":{"en":"Krabi Yai 1 Bridge","th":"สะพานข้ามคลองกระบี่ใหญ่ 1"},"tele_station_lat":8.187541,"tele_station_long":98.87916,"tele_station_oldcode":"ONE002","tele_station_type":"tele_waterlevel","left_bank":26.159,"right_bank":26.738,"min_bank":26.16,"ground_level":22.532,"offset":null,"sub_basin_id":345,"agency_id":9,"geocode_id":7373,"hydro_id":null,"qmax":null,"is_key_station":false,"warning_level_m":null,"critical_level_m":null,"critical_level_msl":null},"geocode":{"area_code":"5","area_name":{"th":"ภาคใต้","en":"South"},"amphoe_code":"01","amphoe_name":{"th":"เมืองกระบี่","en":"Mueang Krabi District"},"tumbon_code":"11","tumbon_name":{"th":"ทับปริก","en":"Thap Prik"},"province_code":"81","province_name":{"th":"กระบี่","en":"Krabi"}},"diff_wl_bank":"2.25","diff_wl_bank_text":"ต่ำกว่าตลิ่ง (ม.)","river_gid":221924,"river_name":"คลองกระบี่ใหญ่"}</t>
  </si>
  <si>
    <t>THAIWATER_WL:472</t>
  </si>
  <si>
    <t>NAN011</t>
  </si>
  <si>
    <t>เมืองอุตรดิตถ์</t>
  </si>
  <si>
    <t>{"id":1317594448,"waterlevel_datetime":"2026-10-03 15:10","waterlevel_m":null,"waterlevel_msl":"52.82","waterlevel_msl_previous":"52.81","flow_rate":null,"discharge":null,"storage_percent":"37.67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Basin"}},"station":{"id":472,"tele_station_name":{"en":"Nan 11","th":"เมืองอุตรดิตถ์"},"tele_station_lat":17.61011,"tele_station_long":100.09943,"tele_station_oldcode":"NAN011","tele_station_type":"tele_waterlevel","left_bank":58.02,"right_bank":60.341,"min_bank":58.02,"ground_level":49.677,"offset":null,"sub_basin_id":230,"agency_id":9,"geocode_id":5098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District"},"tumbon_code":"04","tumbon_name":{"th":"ป่าเซ่า","en":"Pa Sao"},"province_code":"53","province_name":{"th":"อุตรดิตถ์","en":"Uttaradit"}},"diff_wl_bank":"5.20","diff_wl_bank_text":"ต่ำกว่าตลิ่ง (ม.)","river_gid":80088,"river_name":"แม่น้ำน่าน"}</t>
  </si>
  <si>
    <t>THAIWATER_WL:2583</t>
  </si>
  <si>
    <t>X.40A</t>
  </si>
  <si>
    <t>บ้านท่าสาบ</t>
  </si>
  <si>
    <t>84 ซ. ประชาอุทิศ 60/2 แขวงทุ่งครุ เขตทุ่งครุ กรุงเทพมหานคร 10140 ประเทศไทย</t>
  </si>
  <si>
    <t>ChIJrVUMF7ej4jARXxaQomjgGAI</t>
  </si>
  <si>
    <t>5f3d517f-7411-6ec9-a5c9-a551da2a0905</t>
  </si>
  <si>
    <t>{"id":1317523539,"waterlevel_datetime":"2026-10-03 12:00","waterlevel_m":null,"waterlevel_msl":"12.75","waterlevel_msl_previous":"12.72","flow_rate":null,"discharge":"77.00","storage_percent":"37.60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Basin"}},"station":{"id":2583,"tele_station_name":{"th":"บ้านท่าสาบ","en":" ","jp":" "},"tele_station_lat":6.552798,"tele_station_long":101.266294,"tele_station_oldcode":"X.40A","tele_station_type":"tele_waterlevel","left_bank":16.5,"right_bank":16.5,"min_bank":16.5,"ground_level":10.49,"offset":0,"sub_basin_id":336,"agency_id":12,"geocode_id":8265,"hydro_id":null,"qmax":470,"is_key_station":true,"warning_level_m":null,"critical_level_m":16.5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District"},"tumbon_code":"01","tumbon_name":{"th":"สะเตง","en":"Sateng"},"province_code":"95","province_name":{"th":"ยะลา","en":"Yala"}},"diff_wl_bank":"3.75","diff_wl_bank_text":"ต่ำกว่าตลิ่ง (ม.)","river_gid":230173,"river_name":"แม่น้ำปัตตานี"}</t>
  </si>
  <si>
    <t>โรงเรียนวัดทุ่งครุ (พึ่งสายอนุสรณ์)</t>
  </si>
  <si>
    <t>THAIWATER_WL:1198627</t>
  </si>
  <si>
    <t>TRD006</t>
  </si>
  <si>
    <t>คลองโสน</t>
  </si>
  <si>
    <t>{"id":"5f3d517f-7411-6ec9-a5c9-a551da2a0905","district":"ทุ่งครุ","category":"ศูนย์พักพิงชั่วคราว","name":"โรงเรียนวัดทุ่งครุ (พึ่งสายอนุสรณ์)","capacity":150,"occupied":0,"available":150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</si>
  <si>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</t>
  </si>
  <si>
    <t>{"id":1317594675,"waterlevel_datetime":"2026-10-03 15:10","waterlevel_m":null,"waterlevel_msl":"9.34","waterlevel_msl_previous":"9.35","flow_rate":null,"discharge":null,"storage_percent":"37.58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Basin"}},"station":{"id":1198627,"tele_station_name":{"en":"Khlong Sano","th":"คลองโสน"},"tele_station_lat":12.513374,"tele_station_long":102.50484,"tele_station_oldcode":"TRD006","tele_station_type":"tele_waterlevel","left_bank":17.119,"right_bank":15.719,"min_bank":15.72,"ground_level":5.5,"offset":null,"sub_basin_id":298,"agency_id":9,"geocode_id":1355,"hydro_id":null,"qmax":null,"is_key_station":false,"warning_level_m":null,"critical_level_m":null,"critical_level_msl":null},"geocode":{"area_code":"2","area_name":{"th":"ภาคกลาง","en":"Central"},"amphoe_code":"03","amphoe_name":{"th":"เขาสมิง","en":"Khao Saming District"},"tumbon_code":"03","tumbon_name":{"th":"วังตะเคียน","en":"Wang Takhian"},"province_code":"23","province_name":{"th":"ตราด","en":"Trat"}},"diff_wl_bank":"6.38","diff_wl_bank_text":"ต่ำกว่าตลิ่ง (ม.)","river_gid":205580,"river_name":"คลองโสน"}</t>
  </si>
  <si>
    <t>THAIWATER_WL:1095882</t>
  </si>
  <si>
    <t>X.188A</t>
  </si>
  <si>
    <t>บ้านรมณีย์</t>
  </si>
  <si>
    <t>คลองรมณีย์</t>
  </si>
  <si>
    <t>{"id":1317523546,"waterlevel_datetime":"2026-10-03 12:00","waterlevel_m":null,"waterlevel_msl":"13.84","waterlevel_msl_previous":"13.85","flow_rate":null,"discharge":"16.00","storage_percent":"37.58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1095882,"tele_station_name":{"th":"บ้านรมณีย์"},"tele_station_lat":8.83334,"tele_station_long":98.458527,"tele_station_oldcode":"X.188A","tele_station_type":"tele_waterlevel","left_bank":18.632,"right_bank":18.641,"min_bank":18,"ground_level":11.336,"offset":null,"sub_basin_id":344,"agency_id":12,"geocode_id":7448,"hydro_id":8,"qmax":200,"is_key_station":true,"warning_level_m":null,"critical_level_m":null,"critical_level_msl":null},"geocode":{"area_code":"5","area_name":{"th":"ภาคใต้","en":"South"},"amphoe_code":"03","amphoe_name":{"th":"กะปง","en":"Kapong District"},"tumbon_code":"05","tumbon_name":{"th":"รมณีย์","en":"Rommani"},"province_code":"82","province_name":{"th":"พังงา","en":"Phangnga"}},"diff_wl_bank":"4.16","diff_wl_bank_text":"ต่ำกว่าตลิ่ง (ม.)","river_gid":217502,"river_name":"คลองรมณีย์"}</t>
  </si>
  <si>
    <t>THAIWATER_WL:2875</t>
  </si>
  <si>
    <t>E.91</t>
  </si>
  <si>
    <t>บ้านดอนขนวน</t>
  </si>
  <si>
    <t>{"id":1317573794,"waterlevel_datetime":"2026-10-03 14:00","waterlevel_m":null,"waterlevel_msl":"142.22","waterlevel_msl_previous":"142.22","flow_rate":null,"discharge":"141.72","storage_percent":"37.41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2875,"tele_station_name":{"th":"บ้านดอนขนวน"},"tele_station_lat":16.36607,"tele_station_long":102.949753,"tele_station_oldcode":"E.91","tele_station_type":"tele_waterlevel","left_bank":290.303,"right_bank":290.231,"min_bank":149.7,"ground_level":137.75,"offset":138,"sub_basin_id":96,"agency_id":12,"geocode_id":3888,"hydro_id":3,"qmax":820,"is_key_station":true,"warning_level_m":null,"critical_level_m":null,"critical_level_msl":null},"geocode":{"area_code":"4","area_name":{"th":"ภาคตะวันออกเฉียงเหนือ","en":"Northeast"},"amphoe_code":"03","amphoe_name":{"th":"โกสุมพิสัย","en":"Kosum Phisai District"},"tumbon_code":"08","tumbon_name":{"th":"หนองบัว","en":"Nong Bua"},"province_code":"44","province_name":{"th":"มหาสารคาม","en":"Maha Sarakham"}},"diff_wl_bank":"7.48","diff_wl_bank_text":"ต่ำกว่าตลิ่ง (ม.)","river_gid":131733,"river_name":"แม่น้ำชี"}</t>
  </si>
  <si>
    <t>THAIWATER_WL:505052</t>
  </si>
  <si>
    <t>X.119</t>
  </si>
  <si>
    <t>บ้านมูโน๊ะ</t>
  </si>
  <si>
    <t>{"id":1317523540,"waterlevel_datetime":"2026-10-03 12:00","waterlevel_m":null,"waterlevel_msl":"2.60","waterlevel_msl_previous":"2.58","flow_rate":null,"discharge":null,"storage_percent":"37.14","sort_order":null,"station_type":"tele_waterlevel","situation_level":3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505052,"tele_station_name":{"th":"บ้านมูโน๊ะ"},"tele_station_lat":6.07114,"tele_station_long":102.035881,"tele_station_oldcode":"X.119","tele_station_type":"tele_waterlevel","left_bank":7,"right_bank":7,"min_bank":7,"ground_level":0,"offset":null,"sub_basin_id":340,"agency_id":12,"geocode_id":8403,"hydro_id":8,"qmax":null,"is_key_station":true,"warning_level_m":null,"critical_level_m":null,"critical_level_msl":null},"geocode":{"area_code":"5","area_name":{"th":"ภาคใต้","en":"South"},"amphoe_code":"10","amphoe_name":{"th":"สุไหงโก-ลก","en":"Su-ngai Kolok District"},"tumbon_code":"03","tumbon_name":{"th":"มูโนะ","en":"Mu No"},"province_code":"96","province_name":{"th":"นราธิวาส","en":"Narathiwat"}},"diff_wl_bank":"4.40","diff_wl_bank_text":"ต่ำกว่าตลิ่ง (ม.)","river_gid":231699,"river_name":"แม่น้ำโก-ลก"}</t>
  </si>
  <si>
    <t>THAIWATER_WL:1677418</t>
  </si>
  <si>
    <t>PYO005</t>
  </si>
  <si>
    <t>สะพานข้ามน้ำอิง (I.17)</t>
  </si>
  <si>
    <t>{"id":1317594532,"waterlevel_datetime":"2026-10-03 15:10","waterlevel_m":null,"waterlevel_msl":"387.21","waterlevel_msl_previous":"387.21","flow_rate":null,"discharge":null,"storage_percent":"36.95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Basin"}},"station":{"id":1677418,"tele_station_name":{"en":"Nam Ing Bridge (I.17)","th":"สะพานข้ามน้ำอิง (I.17)"},"tele_station_lat":19.165922,"tele_station_long":99.9343,"tele_station_oldcode":"PYO005","tele_station_type":"tele_waterlevel","left_bank":389.77,"right_bank":389.77,"min_bank":389.77,"ground_level":385.71,"offset":null,"sub_basin_id":34,"agency_id":9,"geocode_id":5414,"hydro_id":null,"qmax":null,"is_key_station":fals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Khamtai"},"province_code":"56","province_name":{"th":"พะเยา","en":"Phayao"}},"diff_wl_bank":"2.56","diff_wl_bank_text":"ต่ำกว่าตลิ่ง (ม.)"}</t>
  </si>
  <si>
    <t>THAIWATER_WL:709863</t>
  </si>
  <si>
    <t>BLGTD03</t>
  </si>
  <si>
    <t>สะพานท่าสาป อ.เมือง จ.ยะลา</t>
  </si>
  <si>
    <t>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</t>
  </si>
  <si>
    <t>{"id":1317586949,"waterlevel_datetime":"2026-10-03 15:00","waterlevel_m":null,"waterlevel_msl":"12.75","waterlevel_msl_previous":"12.76","flow_rate":null,"discharge":"78.12","storage_percent":"36.90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Basin"}},"station":{"id":709863,"tele_station_name":{"th":"สะพานท่าสาป อ.เมือง จ.ยะลา"},"tele_station_lat":6.552715,"tele_station_long":101.266197,"tele_station_oldcode":"BLGTD03","tele_station_type":"tele_waterlevel","left_bank":17.29,"right_bank":19.69,"min_bank":17.29,"ground_level":10.09,"offset":null,"sub_basin_id":336,"agency_id":8,"geocode_id":8265,"hydro_id":null,"qmax":null,"is_key_station":false,"warning_level_m":16,"critical_level_m":null,"critical_level_msl":16.5},"geocode":{"area_code":"5","area_name":{"th":"ภาคใต้","en":"South"},"amphoe_code":"01","amphoe_name":{"th":"เมืองยะลา","en":"Mueang Yala District"},"tumbon_code":"01","tumbon_name":{"th":"สะเตง","en":"Sateng"},"province_code":"95","province_name":{"th":"ยะลา","en":"Yala"}},"diff_wl_bank":"4.54","diff_wl_bank_text":"ต่ำกว่าตลิ่ง (ม.)","river_gid":230173,"river_name":"แม่น้ำปัตตานี"}</t>
  </si>
  <si>
    <t>THAIWATER_WL:1483103</t>
  </si>
  <si>
    <t>MOU370</t>
  </si>
  <si>
    <t>สะพานพญาอาทิตราช</t>
  </si>
  <si>
    <t>{"id":1317594085,"waterlevel_datetime":"2026-10-03 15:10","waterlevel_m":null,"waterlevel_msl":"409.03","waterlevel_msl_previous":"409.03","flow_rate":null,"discharge":null,"storage_percent":"36.83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Basin"}},"station":{"id":1483103,"tele_station_name":{"en":"Phaya Athitraj Bridge","th":"สะพานพญาอาทิตราช"},"tele_station_lat":17.37028,"tele_station_long":98.48728,"tele_station_oldcode":"MOU370","tele_station_type":"tele_waterlevel","left_bank":412.521,"right_bank":414.13,"min_bank":412.52,"ground_level":406.995,"offset":null,"sub_basin_id":175,"sponsor_by":"บริษัท ไทยเบฟเวอเรจ จำกัด (มหาชน) ","agency_id":91,"geocode_id":4876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District"},"tumbon_code":"04","tumbon_name":{"th":"ม่อนจอง","en":"Mon Chong"},"province_code":"50","province_name":{"th":"เชียงใหม่","en":"Chiang Mai"}},"diff_wl_bank":"3.49","diff_wl_bank_text":"ต่ำกว่าตลิ่ง (ม.)"}</t>
  </si>
  <si>
    <t>THAIWATER_WL:2584</t>
  </si>
  <si>
    <t>X.239</t>
  </si>
  <si>
    <t>บ้านฉลุงเหนือ</t>
  </si>
  <si>
    <t>{"id":1317523552,"waterlevel_datetime":"2026-10-03 12:00","waterlevel_m":null,"waterlevel_msl":"14.09","waterlevel_msl_previous":"14.11","flow_rate":null,"discharge":"11.80","storage_percent":"36.81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2584,"tele_station_name":{"th":"บ้านฉลุงเหนือ"},"tele_station_lat":6.72662,"tele_station_long":100.062737,"tele_station_oldcode":"X.239","tele_station_type":"tele_waterlevel","left_bank":17.022,"right_bank":17.009,"min_bank":16.2,"ground_level":12.861,"offset":null,"sub_basin_id":352,"agency_id":12,"geocode_id":7922,"hydro_id":8,"qmax":87,"is_key_station":true,"warning_level_m":null,"critical_level_m":null,"critical_level_msl":16.2},"geocode":{"area_code":"5","area_name":{"th":"ภาคใต้","en":"South"},"amphoe_code":"01","amphoe_name":{"th":"เมืองสตูล","en":"Mueang Satun District"},"tumbon_code":"05","tumbon_name":{"th":"ฉลุง","en":"Chalung"},"province_code":"91","province_name":{"th":"สตูล","en":"Satun"}},"diff_wl_bank":"2.11","diff_wl_bank_text":"ต่ำกว่าตลิ่ง (ม.)","river_gid":229001,"river_name":"คลองน้ำพระ"}</t>
  </si>
  <si>
    <t>THAIWATER_WL:3044</t>
  </si>
  <si>
    <t>Kh.28A</t>
  </si>
  <si>
    <t>บ้านนาหลัก</t>
  </si>
  <si>
    <t>{"id":1317573800,"waterlevel_datetime":"2026-10-03 14:00","waterlevel_m":null,"waterlevel_msl":"241.73","waterlevel_msl_previous":"241.73","flow_rate":null,"discharge":"8.07","storage_percent":"36.74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3044,"tele_station_name":{"th":"บ้านนาหลัก"},"tele_station_lat":17.31229,"tele_station_long":101.772461,"tele_station_oldcode":"Kh.28A","tele_station_type":"tele_waterlevel","left_bank":494.380006,"right_bank":494.412006,"min_bank":249.6,"ground_level":237.16,"offset":239.600006,"sub_basin_id":44,"agency_id":12,"geocode_id":3698,"hydro_id":3,"qmax":610,"is_key_station":tru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District"},"tumbon_code":"13","tumbon_name":{"th":"ศรีสงคราม","en":"Si Songkhram"},"province_code":"42","province_name":{"th":"เลย","en":"Loei"}},"diff_wl_bank":"7.87","diff_wl_bank_text":"ต่ำกว่าตลิ่ง (ม.)","river_gid":120173,"river_name":"แม่น้ำเลย"}</t>
  </si>
  <si>
    <t>THAIWATER_WL:1481128</t>
  </si>
  <si>
    <t>MOU346</t>
  </si>
  <si>
    <t>สะพานบ้านตึก</t>
  </si>
  <si>
    <t>467 ถ. ประชาอุทิศ แขวงทุ่งครุ เขตทุ่งครุ กรุงเทพมหานคร 10140 ประเทศไทย</t>
  </si>
  <si>
    <t>ChIJ2xoFMOqj4jARS9ldkYc7Bw8</t>
  </si>
  <si>
    <t>79cc73f1-16f8-9235-2c4a-1f071b1038f9</t>
  </si>
  <si>
    <t>{"id":1317594079,"waterlevel_datetime":"2026-10-03 15:10","waterlevel_m":null,"waterlevel_msl":"82.89","waterlevel_msl_previous":"82.90","flow_rate":null,"discharge":null,"storage_percent":"36.54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Basin"}},"station":{"id":1481128,"tele_station_name":{"en":"Building Bridge","th":"สะพานบ้านตึก"},"tele_station_lat":17.586782,"tele_station_long":99.81109,"tele_station_oldcode":"MOU346","tele_station_type":"tele_waterlevel","left_bank":85.869,"right_bank":88.105,"min_bank":85.87,"ground_level":81.175,"offset":null,"sub_basin_id":209,"sponsor_by":"บริษัท ไทยเบฟเวอเรจ จำกัด (มหาชน) ","agency_id":91,"geocode_id":6084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District"},"tumbon_code":"05","tumbon_name":{"th":"บ้านตึก","en":"Ban Tuek"},"province_code":"64","province_name":{"th":"สุโขทัย","en":"Sukhothai"}},"diff_wl_bank":"2.98","diff_wl_bank_text":"ต่ำกว่าตลิ่ง (ม.)"}</t>
  </si>
  <si>
    <t>โรงเรียนสามัคคีบำรุง</t>
  </si>
  <si>
    <t>THAIWATER_WL:609</t>
  </si>
  <si>
    <t>PIN006</t>
  </si>
  <si>
    <t>เมืองกำแพงเพชร (P7A)</t>
  </si>
  <si>
    <t>{"id":"79cc73f1-16f8-9235-2c4a-1f071b1038f9","district":"ทุ่งครุ","category":"ศูนย์พักพิงชั่วคราว","name":"โรงเรียนสามัคคีบำรุง","capacity":50,"occupied":0,"available":50,"unitType":"คน","status":"เปิดให้บริการ/ว่าง","routeDetails":"","link":null,"additionalDetails":null,"createdAt":"2026-09-26T07:47:17.000Z","updatedAt":"2026-09-26T07:47:17.000Z"}</t>
  </si>
  <si>
    <t>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</t>
  </si>
  <si>
    <t>{"id":1317594514,"waterlevel_datetime":"2026-10-03 15:10","waterlevel_m":null,"waterlevel_msl":"73.14","waterlevel_msl_previous":"73.14","flow_rate":null,"discharge":null,"storage_percent":"36.47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Basin"}},"station":{"id":609,"tele_station_name":{"en":"Mueang Kamphaeng Phet (P7A)","th":"เมืองกำแพงเพชร (P7A)"},"tele_station_lat":16.47816,"tele_station_long":99.51866,"tele_station_oldcode":"PIN006","tele_station_type":"tele_waterlevel","left_bank":78.634,"right_bank":78.165,"min_bank":78.17,"ground_level":70.252,"offset":null,"sub_basin_id":185,"agency_id":9,"geocode_id":5879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District"},"tumbon_code":"05","tumbon_name":{"th":"นครชุม","en":"Nakhon Chum"},"province_code":"62","province_name":{"th":"กำแพงเพชร","en":"Kamphaeng Phet"}},"diff_wl_bank":"5.03","diff_wl_bank_text":"ต่ำกว่าตลิ่ง (ม.)","river_gid":96424,"river_name":"แม่น้ำปิง"}</t>
  </si>
  <si>
    <t>THAIWATER_WL:2655</t>
  </si>
  <si>
    <t>X.158</t>
  </si>
  <si>
    <t>บ้านวังครก</t>
  </si>
  <si>
    <t>{"id":1317523521,"waterlevel_datetime":"2026-10-03 12:00","waterlevel_m":null,"waterlevel_msl":"4.68","waterlevel_msl_previous":"4.70","flow_rate":null,"discharge":"88.00","storage_percent":"36.44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2655,"tele_station_name":{"th":"บ้านวังครก"},"tele_station_lat":10.59451,"tele_station_long":99.141769,"tele_station_oldcode":"X.158","tele_station_type":"tele_waterlevel","left_bank":14.499,"right_bank":14.455,"min_bank":11.5,"ground_level":0.77,"offset":null,"sub_basin_id":310,"agency_id":12,"geocode_id":7716,"hydro_id":8,"qmax":703.5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District"},"tumbon_code":"04","tumbon_name":{"th":"นากระตาม","en":"Na Kratam"},"province_code":"86","province_name":{"th":"ชุมพร","en":"Chumphon"}},"diff_wl_bank":"6.82","diff_wl_bank_text":"ต่ำกว่าตลิ่ง (ม.)","river_gid":213091,"river_name":"คลองท่าตะเภา"}</t>
  </si>
  <si>
    <t>THAIWATER_WL:1475106</t>
  </si>
  <si>
    <t>MOU294</t>
  </si>
  <si>
    <t>สะพานน้ำแม่กลาง</t>
  </si>
  <si>
    <t>{"id":1317594069,"waterlevel_datetime":"2026-10-03 15:10","waterlevel_m":null,"waterlevel_msl":"429.72","waterlevel_msl_previous":"429.72","flow_rate":null,"discharge":null,"storage_percent":"36.43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Basin"}},"station":{"id":1475106,"tele_station_name":{"en":"Mae Klang Nam Bridge","th":"สะพานน้ำแม่กลาง"},"tele_station_lat":18.507551,"tele_station_long":98.66203,"tele_station_oldcode":"MOU294","tele_station_type":"tele_waterlevel","left_bank":435.273,"right_bank":431.751,"min_bank":431.75,"ground_level":428.556,"offset":null,"sub_basin_id":169,"sponsor_by":"บริษัท ไทยเบฟเวอเรจ จำกัด (มหาชน) ","agency_id":91,"geocode_id":4709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District"},"tumbon_code":"03","tumbon_name":{"th":"บ้านหลวง","en":"Ban Luang"},"province_code":"50","province_name":{"th":"เชียงใหม่","en":"Chiang Mai"}},"diff_wl_bank":"2.03","diff_wl_bank_text":"ต่ำกว่าตลิ่ง (ม.)"}</t>
  </si>
  <si>
    <t>THAIWATER_WL:3271</t>
  </si>
  <si>
    <t>P.20</t>
  </si>
  <si>
    <t>บ้านเชียงดาว</t>
  </si>
  <si>
    <t>ห้วยแม่มาด</t>
  </si>
  <si>
    <t>{"id":1317494188,"waterlevel_datetime":"2026-10-03 11:00","waterlevel_m":null,"waterlevel_msl":"380.09","waterlevel_msl_previous":"380.09","flow_rate":null,"discharge":"11.40","storage_percent":"36.34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3271,"tele_station_name":{"th":"บ้านเชียงดาว"},"tele_station_lat":19.369551,"tele_station_long":98.969101,"tele_station_oldcode":"P.20","tele_station_type":"tele_waterlevel","left_bank":765.519994,"right_bank":766.619994,"min_bank":382.7,"ground_level":378.6,"offset":379.899994,"sub_basin_id":156,"agency_id":12,"geocode_id":4727,"hydro_id":1,"qmax":276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Mai"}},"diff_wl_bank":"2.61","diff_wl_bank_text":"ต่ำกว่าตลิ่ง (ม.)","river_gid":16852,"river_name":"ห้วยแม่มาด"}</t>
  </si>
  <si>
    <t>THAIWATER_WL:632505</t>
  </si>
  <si>
    <t>N.81</t>
  </si>
  <si>
    <t>บ้านแก่งบัวคำ</t>
  </si>
  <si>
    <t>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</t>
  </si>
  <si>
    <t>{"id":1317572435,"waterlevel_datetime":"2026-10-03 14:00","waterlevel_m":null,"waterlevel_msl":"162.56","waterlevel_msl_previous":"162.55","flow_rate":null,"discharge":"65.64","storage_percent":"36.16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632505,"tele_station_name":{"th":"บ้านแก่งบัวคำ"},"tele_station_lat":17.12855,"tele_station_long":100.588066,"tele_station_oldcode":"N.81","tele_station_type":"tele_waterlevel","left_bank":327.24699499999997,"right_bank":327.310995,"min_bank":167.08,"ground_level":160,"offset":160.259995,"sub_basin_id":235,"agency_id":12,"geocode_id":6169,"hydro_id":2,"qmax":602,"is_key_station":true,"warning_level_m":null,"critical_level_m":null,"critical_level_msl":null},"geocode":{"area_code":"3","area_name":{"th":"ภาคเหนือ","en":"North"},"amphoe_code":"03","amphoe_name":{"th":"ชาติตระการ","en":"Chat Trakan District"},"tumbon_code":"03","tumbon_name":{"th":"สวนเมี่ยง","en":"Suan Miang"},"province_code":"65","province_name":{"th":"พิษณุโลก","en":"Phitsanulok"}},"diff_wl_bank":"4.52","diff_wl_bank_text":"ต่ำกว่าตลิ่ง (ม.)","river_gid":87643,"river_name":"น้ำแควน้อย"}</t>
  </si>
  <si>
    <t>THAIWATER_WL:12484</t>
  </si>
  <si>
    <t>TPI006</t>
  </si>
  <si>
    <t>พระแสง</t>
  </si>
  <si>
    <t>{"id":1317594668,"waterlevel_datetime":"2026-10-03 15:10","waterlevel_m":null,"waterlevel_msl":"8.12","waterlevel_msl_previous":"8.12","flow_rate":null,"discharge":null,"storage_percent":"36.05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Basin"}},"station":{"id":12484,"tele_station_name":{"en":"Tapi 6","th":"พระแสง"},"tele_station_lat":8.537499,"tele_station_long":99.181015,"tele_station_oldcode":"TPI006","tele_station_type":"tele_waterlevel","left_bank":12.75,"right_bank":13.288,"min_bank":12.75,"ground_level":5.51,"offset":null,"sub_basin_id":322,"agency_id":9,"geocode_id":7628,"hydro_id":null,"qmax":null,"is_key_station":false,"warning_level_m":null,"critical_level_m":null,"critical_level_msl":null},"geocode":{"area_code":"5","area_name":{"th":"ภาคใต้","en":"South"},"amphoe_code":"16","amphoe_name":{"th":"พระแสง","en":"Phrasaeng District"},"tumbon_code":"04","tumbon_name":{"th":"ไทรขึง","en":"Sai Khueng"},"province_code":"84","province_name":{"th":"สุราษฎร์ธานี","en":"Surat Thani"}},"diff_wl_bank":"4.63","diff_wl_bank_text":"ต่ำกว่าตลิ่ง (ม.)","river_gid":219202,"river_name":"คลองอิปัน"}</t>
  </si>
  <si>
    <t>THAIWATER_WL:2695</t>
  </si>
  <si>
    <t>M.66</t>
  </si>
  <si>
    <t>บ้านวังชมภู</t>
  </si>
  <si>
    <t>{"id":1317571338,"waterlevel_datetime":"2026-10-03 14:00","waterlevel_m":null,"waterlevel_msl":"144.14","waterlevel_msl_previous":"144.15","flow_rate":null,"discharge":"14.80","storage_percent":"36.02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2695,"tele_station_name":{"th":"บ้านวังชมภู"},"tele_station_lat":14.64329,"tele_station_long":104.6595,"tele_station_oldcode":"M.66","tele_station_type":"tele_waterlevel","left_bank":295.371994,"right_bank":295.382994,"min_bank":148.9,"ground_level":141.46,"offset":141.899994,"sub_basin_id":140,"agency_id":12,"geocode_id":2433,"hydro_id":4,"qmax":560,"is_key_station":false,"warning_level_m":null,"critical_level_m":null,"critical_level_msl":null},"geocode":{"area_code":"4","area_name":{"th":"ภาคตะวันออกเฉียงเหนือ","en":"Northeast"},"amphoe_code":"04","amphoe_name":{"th":"กันทรลักษ์","en":"Kantharalak District"},"tumbon_code":"06","tumbon_name":{"th":"น้ำอ้อม","en":"Nam Om"},"province_code":"33","province_name":{"th":"ศรีสะเกษ","en":"Si Sa Ket"}},"diff_wl_bank":"4.76","diff_wl_bank_text":"ต่ำกว่าตลิ่ง (ม.)","river_gid":152023,"river_name":"ห้วยขะยุง"}</t>
  </si>
  <si>
    <t>THAIWATER_WL:3212</t>
  </si>
  <si>
    <t>P.81</t>
  </si>
  <si>
    <t>229 ซอย ประชาอุทิศ 69 แขวงบางมด เขตทุ่งครุ กรุงเทพมหานคร 10140 ประเทศไทย</t>
  </si>
  <si>
    <t>ChIJcyMvvTSi4jARiRJYCkn4oJU</t>
  </si>
  <si>
    <t>{"id":1317494196,"waterlevel_datetime":"2026-10-03 11:00","waterlevel_m":null,"waterlevel_msl":"292.14","waterlevel_msl_previous":"292.17","flow_rate":null,"discharge":"14.39","storage_percent":"35.73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3212,"tele_station_name":{"th":"บ้านโป่ง"},"tele_station_lat":18.69521,"tele_station_long":99.078751,"tele_station_oldcode":"P.81","tele_station_type":"tele_waterlevel","left_bank":586.769013,"right_bank":586.779013,"min_bank":295.72,"ground_level":290.15,"offset":289.920013,"sub_basin_id":163,"agency_id":12,"geocode_id":4882,"hydro_id":1,"qmax":102.120003,"is_key_station":true,"warning_level_m":null,"critical_level_m":null,"critical_level_msl":null},"geocode":{"area_code":"3","area_name":{"th":"ภาคเหนือ","en":"North"},"amphoe_code":"19","amphoe_name":{"th":"สารภี","en":"Saraphi District"},"tumbon_code":"03","tumbon_name":{"th":"ชมภู","en":"Chomphu"},"province_code":"50","province_name":{"th":"เชียงใหม่","en":"Chiang Mai"}},"diff_wl_bank":"3.58","diff_wl_bank_text":"ต่ำกว่าตลิ่ง (ม.)","river_gid":43385,"river_name":"น้ำแม่กวง"}</t>
  </si>
  <si>
    <t>aebb8f0d-7ac8-d49b-d135-593c2b1fdfd7</t>
  </si>
  <si>
    <t>THAIWATER_WL:740726</t>
  </si>
  <si>
    <t>FOP025</t>
  </si>
  <si>
    <t>โรงเรียนกันตทาราราม</t>
  </si>
  <si>
    <t>สะพานบางไตประชาบริรักษ์</t>
  </si>
  <si>
    <t>คลองยัน</t>
  </si>
  <si>
    <t>ผอ.สมัคร หมายเลขโทรศัพท์ 099 986 4500</t>
  </si>
  <si>
    <t>2026-09-26T08:22:22.000Z</t>
  </si>
  <si>
    <t>{"id":"aebb8f0d-7ac8-d49b-d135-593c2b1fdfd7","district":"ธนบุรี","category":"ศูนย์พักพิงชั่วคราว","name":"โรงเรียนกันตทาราราม","capacity":50,"occupied":0,"available":50,"unitType":"คน","status":"เปิดให้บริการ/ว่าง","routeDetails":"","link":null,"additionalDetails":"ผอ.สมัคร หมายเลขโทรศัพท์ 099 986 4500","createdAt":"2026-09-26T08:22:22.000Z","updatedAt":"2026-09-26T08:22:22.000Z"}</t>
  </si>
  <si>
    <t>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</t>
  </si>
  <si>
    <t>{"id":1317594030,"waterlevel_datetime":"2026-10-03 15:10","waterlevel_m":null,"waterlevel_msl":"47.12","waterlevel_msl_previous":"47.11","flow_rate":null,"discharge":null,"storage_percent":"35.67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Basin"}},"station":{"id":740726,"tele_station_name":{"en":"Bang Tai Pracha Borirak Bridge","th":"สะพานบางไตประชาบริรักษ์"},"tele_station_lat":9.282515,"tele_station_long":98.87693,"tele_station_oldcode":"FOP025","tele_station_type":"tele_waterlevel","left_bank":57.1681,"right_bank":55.4181,"min_bank":55.42,"ground_level":42.5181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Thani"}},"diff_wl_bank":"8.30","diff_wl_bank_text":"ต่ำกว่าตลิ่ง (ม.)","river_gid":215491,"river_name":"คลองยัน"}</t>
  </si>
  <si>
    <t>THAIWATER_WL:9822342</t>
  </si>
  <si>
    <t>MYA005</t>
  </si>
  <si>
    <t>โรงสูบน้ำแรงต่ำแม่ข่าย (แม่สาย)</t>
  </si>
  <si>
    <t>{"id":1317594109,"waterlevel_datetime":"2026-10-03 15:10","waterlevel_m":null,"waterlevel_msl":"396.16","waterlevel_msl_previous":"24.15","flow_rate":null,"discharge":null,"storage_percent":"35.64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Basin"}},"station":{"id":9822342,"tele_station_name":{"en":"Main low pressure water pumping plant (Mae Sai)","th":"โรงสูบน้ำแรงต่ำแม่ข่าย (แม่สาย)"},"tele_station_lat":20.444576,"tele_station_long":99.87177,"tele_station_oldcode":"MYA005","tele_station_type":"tele_waterlevel","left_bank":401.5,"right_bank":401,"min_bank":401,"ground_level":393.48,"offset":null,"sub_basin_id":23,"agency_id":9,"geocode_id":5541,"hydro_id":null,"qmax":null,"is_key_station":false,"warning_level_m":null,"critical_level_m":null,"critical_level_msl":null},"geocode":{"area_code":"3","area_name":{"th":"ภาคเหนือ","en":"North"},"amphoe_code":"09","amphoe_name":{"th":"แม่สาย","en":"Mae Sai District"},"tumbon_code":"06","tumbon_name":{"th":"เวียงพางคำ","en":"Wiang Phang Kham"},"province_code":"57","province_name":{"th":"เชียงราย","en":"Chiang Rai"}},"diff_wl_bank":"4.84","diff_wl_bank_text":"ต่ำกว่าตลิ่ง (ม.)"}</t>
  </si>
  <si>
    <t>THAIWATER_WL:618</t>
  </si>
  <si>
    <t>SKG005</t>
  </si>
  <si>
    <t>สะพานแม่วงก์</t>
  </si>
  <si>
    <t>{"id":1317594592,"waterlevel_datetime":"2026-10-03 15:10","waterlevel_m":null,"waterlevel_msl":"109.83","waterlevel_msl_previous":"109.83","flow_rate":null,"discharge":null,"storage_percent":"35.54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Organization)","jp":""},"agency_shortname":{"th":"สสน.","en":"HII","jp":""}},"basin":{"id":12,"basin_code":11,"basin_name":{"th":"ลุ่มน้ำสะแกกรัง","en":"Sakae Krang Basin"}},"station":{"id":618,"tele_station_name":{"en":"Maewong Bridge","th":"สะพานแม่วงก์"},"tele_station_lat":15.90176,"tele_station_long":99.4704,"tele_station_oldcode":"SKG005","tele_station_type":"tele_waterlevel","left_bank":113.69,"right_bank":114.09,"min_bank":113.69,"ground_level":107.7,"offset":null,"sub_basin_id":241,"agency_id":9,"geocode_id":5913,"hydro_id":null,"qmax":null,"is_key_station":false,"warning_level_m":null,"critical_level_m":null,"critical_level_msl":null},"geocode":{"area_code":"3","area_name":{"th":"ภาคเหนือ","en":"North"},"amphoe_code":"04","amphoe_name":{"th":"ขาณุวรลักษบุรี","en":"Khanu Woralaksaburi District"},"tumbon_code":"11","tumbon_name":{"th":"ปางมะค่า","en":"Pang Makha"},"province_code":"62","province_name":{"th":"กำแพงเพชร","en":"Kamphaeng Phet"}},"diff_wl_bank":"3.86","diff_wl_bank_text":"ต่ำกว่าตลิ่ง (ม.)","river_gid":166809,"river_name":"แม่น้ำแม่วงก์"}</t>
  </si>
  <si>
    <t>THAIWATER_WL:2663</t>
  </si>
  <si>
    <t>Z.14</t>
  </si>
  <si>
    <t>บ้านฉมัน</t>
  </si>
  <si>
    <t>คลองฉมัน</t>
  </si>
  <si>
    <t>{"id":1317582846,"waterlevel_datetime":"2026-10-03 14:00","waterlevel_m":null,"waterlevel_msl":"8.29","waterlevel_msl_previous":"8.28","flow_rate":null,"discharge":"29.80","storage_percent":"35.52","sort_order":null,"station_type":"tele_waterlevel","situation_level":3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2663,"tele_station_name":{"th":"บ้านฉมัน"},"tele_station_lat":12.74451,"tele_station_long":102.206421,"tele_station_oldcode":"Z.14","tele_station_type":"tele_waterlevel","left_bank":16.323999999999998,"right_bank":16.192999999999998,"min_bank":13.35,"ground_level":5.502,"offset":5.4,"sub_basin_id":296,"agency_id":12,"geocode_id":1297,"hydro_id":6,"qmax":206.5,"is_key_station":true,"warning_level_m":null,"critical_level_m":null,"critical_level_msl":null},"geocode":{"area_code":"2","area_name":{"th":"ภาคกลาง","en":"Central"},"amphoe_code":"05","amphoe_name":{"th":"มะขาม","en":"Makham District"},"tumbon_code":"06","tumbon_name":{"th":"ฉมัน","en":"Chaman"},"province_code":"22","province_name":{"th":"จันทบุรี","en":"Chanthaburi"}},"diff_wl_bank":"5.06","diff_wl_bank_text":"ต่ำกว่าตลิ่ง (ม.)","river_gid":204356,"river_name":"คลองฉมัน"}</t>
  </si>
  <si>
    <t>THAIWATER_WL:2814</t>
  </si>
  <si>
    <t>M.157</t>
  </si>
  <si>
    <t>บ้านนิคม</t>
  </si>
  <si>
    <t>ลำโพง</t>
  </si>
  <si>
    <t>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</t>
  </si>
  <si>
    <t>{"id":1317571372,"waterlevel_datetime":"2026-10-03 14:00","waterlevel_m":null,"waterlevel_msl":"125.63","waterlevel_msl_previous":"125.63","flow_rate":null,"discharge":"12.90","storage_percent":"35.39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2814,"tele_station_name":{"th":"บ้านนิคม"},"tele_station_lat":15.80624,"tele_station_long":104.32795,"tele_station_oldcode":"M.157","tele_station_type":"tele_waterlevel","left_bank":131.5,"right_bank":131.5,"min_bank":129.5,"ground_level":123.51,"offset":123.5,"sub_basin_id":145,"agency_id":12,"geocode_id":2910,"hydro_id":4,"qmax":500,"is_key_station":false,"warning_level_m":null,"critical_level_m":null,"critical_level_msl":null},"geocode":{"area_code":"4","area_name":{"th":"ภาคตะวันออกเฉียงเหนือ","en":"Northeast"},"amphoe_code":"05","amphoe_name":{"th":"ป่าติ้ว","en":"Pa Tio District"},"tumbon_code":"02","tumbon_name":{"th":"กระจาย","en":"Krachai"},"province_code":"35","province_name":{"th":"ยโสธร","en":"Yasothon"}},"diff_wl_bank":"3.87","diff_wl_bank_text":"ต่ำกว่าตลิ่ง (ม.)","river_gid":138494,"river_name":"ลำโพง"}</t>
  </si>
  <si>
    <t>THAIWATER_WL:860</t>
  </si>
  <si>
    <t>SLA002</t>
  </si>
  <si>
    <t>คลองหอยโข่ง</t>
  </si>
  <si>
    <t>{"id":1317594604,"waterlevel_datetime":"2026-10-03 15:10","waterlevel_m":null,"waterlevel_msl":"2.63","waterlevel_msl_previous":"2.62","flow_rate":null,"discharge":null,"storage_percent":"35.19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Basin"}},"station":{"id":860,"tele_station_name":{"en":"Song Khla Lake 2","th":"คลองหอยโข่ง"},"tele_station_lat":6.931234,"tele_station_long":100.43985,"tele_station_oldcode":"SLA002","tele_station_type":"tele_waterlevel","left_bank":9.339,"right_bank":11.211,"min_bank":9.34,"ground_level":-1.013,"offset":null,"sub_basin_id":330,"agency_id":9,"geocode_id":7913,"hydro_id":null,"qmax":null,"is_key_station":false,"warning_level_m":null,"critical_level_m":null,"critical_level_msl":null},"geocode":{"area_code":"5","area_name":{"th":"ภาคใต้","en":"South"},"amphoe_code":"16","amphoe_name":{"th":"คลองหอยโข่ง","en":"Khlong Hoi Khong District"},"tumbon_code":"02","tumbon_name":{"th":"ทุ่งลาน","en":"Thung Lan"},"province_code":"90","province_name":{"th":"สงขลา","en":"Songkhla"}},"diff_wl_bank":"6.71","diff_wl_bank_text":"ต่ำกว่าตลิ่ง (ม.)","river_gid":227685,"river_name":"คลองอู่ตะเภา"}</t>
  </si>
  <si>
    <t>THAIWATER_WL:3220</t>
  </si>
  <si>
    <t>P.87</t>
  </si>
  <si>
    <t>บ้านป่าซาง</t>
  </si>
  <si>
    <t>{"id":1317494200,"waterlevel_datetime":"2026-10-03 11:00","waterlevel_m":null,"waterlevel_msl":"289.38","waterlevel_msl_previous":"289.38","flow_rate":null,"discharge":"0.48","storage_percent":"35.16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3220,"tele_station_name":{"th":"บ้านป่าซาง"},"tele_station_lat":18.519119,"tele_station_long":98.942291,"tele_station_oldcode":"P.87","tele_station_type":"tele_waterlevel","left_bank":582.944012,"right_bank":582.946012,"min_bank":293.05,"ground_level":287.39,"offset":288.950012,"sub_basin_id":163,"agency_id":12,"geocode_id":4964,"hydro_id":1,"qmax":104.379997,"is_key_station":true,"warning_level_m":null,"critical_level_m":null,"critical_level_msl":null},"geocode":{"area_code":"3","area_name":{"th":"ภาคเหนือ","en":"North"},"amphoe_code":"06","amphoe_name":{"th":"ป่าซาง","en":"Pa Sang District"},"tumbon_code":"02","tumbon_name":{"th":"ป่าซาง","en":"Pa Sang"},"province_code":"51","province_name":{"th":"ลำพูน","en":"Lamphun"}},"diff_wl_bank":"3.67","diff_wl_bank_text":"ต่ำกว่าตลิ่ง (ม.)","river_gid":51148,"river_name":"น้ำแม่ทา"}</t>
  </si>
  <si>
    <t>THAIWATER_WL:358</t>
  </si>
  <si>
    <t>CHI012</t>
  </si>
  <si>
    <t>เมืองมหาสารคาม</t>
  </si>
  <si>
    <t>PF9H+4C9 ถ. รัชดาภิเษก แขวงตลาดพลู เขตธนบุรี กรุงเทพมหานคร 10600 ประเทศไทย</t>
  </si>
  <si>
    <t>ChIJp60uJFyY4jARPoEfoWuG7vw</t>
  </si>
  <si>
    <t>9669678e-4bb7-a321-9059-c668da9b4a3f</t>
  </si>
  <si>
    <t>โรงเรียนวัดกระจับพินิจ</t>
  </si>
  <si>
    <t>{"id":1317594256,"waterlevel_datetime":"2026-10-03 15:10","waterlevel_m":null,"waterlevel_msl":"137.51","waterlevel_msl_previous":"137.51","flow_rate":null,"discharge":null,"storage_percent":"35.13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Basin"}},"station":{"id":358,"tele_station_name":{"en":"Mueang Maha Sarakham","th":"เมืองมหาสารคาม"},"tele_station_lat":16.23231,"tele_station_long":103.27106,"tele_station_oldcode":"CHI012","tele_station_type":"tele_waterlevel","left_bank":146.992,"right_bank":144.503,"min_bank":144.5,"ground_level":133.721,"offset":null,"sub_basin_id":96,"agency_id":9,"geocode_id":3866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Sarakham"}},"diff_wl_bank":"6.99","diff_wl_bank_text":"ต่ำกว่าตลิ่ง (ม.)","river_gid":132939,"river_name":"แม่น้ำชี"}</t>
  </si>
  <si>
    <t>THAIWATER_WL:1422295</t>
  </si>
  <si>
    <t>BBD02</t>
  </si>
  <si>
    <t>แม่น้ำปิงที่ อ.บ้านตาก</t>
  </si>
  <si>
    <t>ผอ.ณมรัตน์ หมายเลขโทรศัพท์ 099 291 5594</t>
  </si>
  <si>
    <t>{"id":"9669678e-4bb7-a321-9059-c668da9b4a3f","district":"ธนบุรี","category":"ศูนย์พักพิงชั่วคราว","name":"โรงเรียนวัดกระจับพินิจ","capacity":50,"occupied":0,"available":50,"unitType":"คน","status":"เปิดให้บริการ/ว่าง","routeDetails":"","link":null,"additionalDetails":"ผอ.ณมรัตน์ หมายเลขโทรศัพท์ 099 291 5594","createdAt":"2026-09-26T08:22:22.000Z","updatedAt":"2026-09-26T08:22:22.000Z"}</t>
  </si>
  <si>
    <t>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</t>
  </si>
  <si>
    <t>{"id":1317592399,"waterlevel_datetime":"2026-10-03 15:00","waterlevel_m":null,"waterlevel_msl":"119.38","waterlevel_msl_previous":"119.38","flow_rate":null,"discharge":null,"storage_percent":"35.01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Basin"}},"station":{"id":1422295,"tele_station_name":{"th":"แม่น้ำปิงที่ อ.บ้านตาก"},"tele_station_lat":17.049092,"tele_station_long":99.066017,"tele_station_oldcode":"BBD02","tele_station_type":"tele_waterlevel","left_bank":122.58,"right_bank":121.95,"min_bank":121.95,"ground_level":118,"offset":null,"sub_basin_id":177,"agency_id":8,"geocode_id":5980,"hydro_id":null,"qmax":null,"is_key_station":false,"warning_level_m":null,"critical_level_m":null,"critical_level_msl":121.95},"geocode":{"area_code":"3","area_name":{"th":"ภาคเหนือ","en":"North"},"amphoe_code":"02","amphoe_name":{"th":"บ้านตาก","en":"Ban Tak District"},"tumbon_code":"01","tumbon_name":{"th":"ตากออก","en":"Tak Ok"},"province_code":"63","province_name":{"th":"ตาก","en":"Tak"}},"diff_wl_bank":"2.57","diff_wl_bank_text":"ต่ำกว่าตลิ่ง (ม.)"}</t>
  </si>
  <si>
    <t>THAIWATER_WL:562799</t>
  </si>
  <si>
    <t>BLGTD01</t>
  </si>
  <si>
    <t>สะพานท้ายเขื่อนบางลาง อ.บันนังสตา จ.ยะลา</t>
  </si>
  <si>
    <t>{"id":1317586763,"waterlevel_datetime":"2026-10-03 15:00","waterlevel_m":null,"waterlevel_msl":"43.22","waterlevel_msl_previous":"43.08","flow_rate":null,"discharge":"105.04","storage_percent":"35.01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Basin"}},"station":{"id":562799,"tele_station_name":{"th":"สะพานท้ายเขื่อนบางลาง อ.บันนังสตา จ.ยะลา"},"tele_station_lat":6.160477,"tele_station_long":101.276104,"tele_station_oldcode":"BLGTD01","tele_station_type":"tele_waterlevel","left_bank":48.678,"right_bank":53.585,"min_bank":48.68,"ground_level":40.28,"offset":null,"sub_basin_id":336,"agency_id":8,"geocode_id":8287,"hydro_id":null,"qmax":null,"is_key_station":false,"warning_level_m":null,"critical_level_m":null,"critical_level_msl":48.678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District"},"tumbon_code":"02","tumbon_name":{"th":"บาเจาะ","en":"Bacho"},"province_code":"95","province_name":{"th":"ยะลา","en":"Yala"}},"diff_wl_bank":"5.46","diff_wl_bank_text":"ต่ำกว่าตลิ่ง (ม.)","river_gid":231434,"river_name":"แม่น้ำปัตตานี"}</t>
  </si>
  <si>
    <t>THAIWATER_WL:1129758</t>
  </si>
  <si>
    <t>FOP072</t>
  </si>
  <si>
    <t>ฝายคลองท่าโลน</t>
  </si>
  <si>
    <t>{"id":1317594052,"waterlevel_datetime":"2026-10-03 15:10","waterlevel_m":null,"waterlevel_msl":"93.27","waterlevel_msl_previous":"93.27","flow_rate":null,"discharge":null,"storage_percent":"34.94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Basin"}},"station":{"id":1129758,"tele_station_name":{"en":"Tha Lone Canal Weir","th":"ฝายคลองท่าโลน"},"tele_station_lat":8.218343,"tele_station_long":99.71981,"tele_station_oldcode":"FOP072","tele_station_type":"tele_waterlevel","left_bank":96.752,"right_bank":96.752,"min_bank":96.75,"ground_level":91.4,"offset":null,"sub_basin_id":349,"sponsor_by":"มูลนิธิอาสาเพื่อนพึ่ง (ภาฯ) ยามยาก สภากาชาดไทย","agency_id":91,"geocode_id":7264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District"},"tumbon_code":"11","tumbon_name":{"th":"ถ้ำใหญ่","en":"Tham Yai"},"province_code":"80","province_name":{"th":"นครศรีธรรมราช","en":"Nakhon Si Thammarat"}},"diff_wl_bank":"3.48","diff_wl_bank_text":"ต่ำกว่าตลิ่ง (ม.)","river_gid":221724,"river_name":"คลองท่าเลา"}</t>
  </si>
  <si>
    <t>THAIWATER_WL:2589</t>
  </si>
  <si>
    <t>X.90</t>
  </si>
  <si>
    <t>บ้านบางศาลา</t>
  </si>
  <si>
    <t>{"id":1317523519,"waterlevel_datetime":"2026-10-03 12:00","waterlevel_m":null,"waterlevel_msl":"2.69","waterlevel_msl_previous":"2.70","flow_rate":null,"discharge":"34.50","storage_percent":"34.94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2589,"tele_station_name":{"th":"บ้านบางศาลา"},"tele_station_lat":6.93124,"tele_station_long":100.439857,"tele_station_oldcode":"X.90","tele_station_type":"tele_waterlevel","left_bank":11.247,"right_bank":11.25,"min_bank":9.34,"ground_level":-0.881,"offset":null,"sub_basin_id":330,"agency_id":12,"geocode_id":7882,"hydro_id":8,"qmax":777.799988,"is_key_station":true,"warning_level_m":null,"critical_level_m":null,"critical_level_msl":null},"geocode":{"area_code":"5","area_name":{"th":"ภาคใต้","en":"South"},"amphoe_code":"11","amphoe_name":{"th":"หาดใหญ่","en":"Hat Yai District"},"tumbon_code":"16","tumbon_name":{"th":"บ้านพรุ","en":"Ban Phru"},"province_code":"90","province_name":{"th":"สงขลา","en":"Songkhla"}},"diff_wl_bank":"6.65","diff_wl_bank_text":"ต่ำกว่าตลิ่ง (ม.)","river_gid":227685,"river_name":"คลองอู่ตะเภา"}</t>
  </si>
  <si>
    <t>THAIWATER_WL:2580</t>
  </si>
  <si>
    <t>G.10</t>
  </si>
  <si>
    <t>บ้านหนองผำ</t>
  </si>
  <si>
    <t>น้ำแม่ลาว</t>
  </si>
  <si>
    <t>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</t>
  </si>
  <si>
    <t>{"id":1317494215,"waterlevel_datetime":"2026-10-03 11:00","waterlevel_m":null,"waterlevel_msl":"433.89","waterlevel_msl_previous":"433.89","flow_rate":null,"discharge":"33.35","storage_percent":"34.88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2580,"tele_station_name":{"th":"บ้านหนองผำ"},"tele_station_lat":19.71244,"tele_station_long":99.620811,"tele_station_oldcode":"G.10","tele_station_type":"tele_waterlevel","left_bank":872.380001,"right_bank":872.390001,"min_bank":436.97,"ground_level":432.24,"offset":433.470001,"sub_basin_id":28,"agency_id":12,"geocode_id":5545,"hydro_id":1,"qmax":215.179993,"is_key_station":tru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Rai"}},"diff_wl_bank":"3.08","diff_wl_bank_text":"ต่ำกว่าตลิ่ง (ม.)","river_gid":8625,"river_name":"น้ำแม่ลาว"}</t>
  </si>
  <si>
    <t>THAIWATER_WL:12349</t>
  </si>
  <si>
    <t>STU004</t>
  </si>
  <si>
    <t>ควนกาหลง</t>
  </si>
  <si>
    <t>คลองลำโลน</t>
  </si>
  <si>
    <t>{"id":1317594611,"waterlevel_datetime":"2026-10-03 15:10","waterlevel_m":null,"waterlevel_msl":"21.86","waterlevel_msl_previous":"21.84","flow_rate":null,"discharge":null,"storage_percent":"34.79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Basin"}},"station":{"id":12349,"tele_station_name":{"en":"Khuan Kalong","th":"ควนกาหลง"},"tele_station_lat":6.928349,"tele_station_long":99.936035,"tele_station_oldcode":"STU004","tele_station_type":"tele_waterlevel","left_bank":28.887,"right_bank":26.037,"min_bank":26.04,"ground_level":19.632,"offset":null,"sub_basin_id":351,"agency_id":9,"geocode_id":7938,"hydro_id":null,"qmax":null,"is_key_station":false,"warning_level_m":null,"critical_level_m":null,"critical_level_msl":null},"geocode":{"area_code":"5","area_name":{"th":"ภาคใต้","en":"South"},"amphoe_code":"03","amphoe_name":{"th":"ควนกาหลง","en":"Khuan Kalong District"},"tumbon_code":"03","tumbon_name":{"th":"อุใดเจริญ","en":"Udai Charoen"},"province_code":"91","province_name":{"th":"สตูล","en":"Satun"}},"diff_wl_bank":"4.18","diff_wl_bank_text":"ต่ำกว่าตลิ่ง (ม.)","river_gid":227698,"river_name":"คลองลำโลน"}</t>
  </si>
  <si>
    <t>THAIWATER_WL:3076</t>
  </si>
  <si>
    <t>Kh.103</t>
  </si>
  <si>
    <t>บ้านโนนตูม</t>
  </si>
  <si>
    <t>{"id":1317573809,"waterlevel_datetime":"2026-10-03 14:00","waterlevel_m":null,"waterlevel_msl":"168.37","waterlevel_msl_previous":"168.37","flow_rate":null,"discharge":"6.48","storage_percent":"34.71","sort_order":null,"station_type":"tele_waterlevel","situation_level":3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3076,"tele_station_name":{"th":"บ้านโนนตูม"},"tele_station_lat":17.482571,"tele_station_long":102.797394,"tele_station_oldcode":"Kh.103","tele_station_type":"tele_waterlevel","left_bank":339.278,"right_bank":338.726,"min_bank":171.5,"ground_level":166.706,"offset":166.5,"sub_basin_id":54,"agency_id":12,"geocode_id":3451,"hydro_id":3,"qmax":95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อุดรธานี","en":"Mueang Udon Thani District"},"tumbon_code":"07","tumbon_name":{"th":"หมูม่น","en":"Mu Mon"},"province_code":"41","province_name":{"th":"อุดรธานี","en":"Udon Thani"}},"diff_wl_bank":"3.13","diff_wl_bank_text":"ต่ำกว่าตลิ่ง (ม.)","river_gid":116369,"river_name":"ห้วยหลวง"}</t>
  </si>
  <si>
    <t>THAIWATER_WL:846</t>
  </si>
  <si>
    <t>SVI002</t>
  </si>
  <si>
    <t>สวี 2</t>
  </si>
  <si>
    <t>โรงเรียนวัดกระจับพินิจ 300/1 ถนน สมเด็จพระเจ้าตากสิน แขวงบุคคโล เขตธนบุรี กรุงเทพมหานคร 10600 ประเทศไทย</t>
  </si>
  <si>
    <t>ChIJyWVDPvWY4jARcs2kvVqW_7I</t>
  </si>
  <si>
    <t>f67cbe20-e844-b6cd-7310-25d620ec280f</t>
  </si>
  <si>
    <t>โรงเรียนวัดกัลยาณมิตร</t>
  </si>
  <si>
    <t>{"id":1317590103,"waterlevel_datetime":"2026-10-03 15:00","waterlevel_m":null,"waterlevel_msl":"1.45","waterlevel_msl_previous":"1.44","flow_rate":null,"discharge":null,"storage_percent":"34.70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Basin"}},"station":{"id":846,"tele_station_name":{"en":"Sawi 2","th":"สวี 2"},"tele_station_lat":10.203275,"tele_station_long":99.04355,"tele_station_oldcode":"SVI002","tele_station_type":"tele_waterlevel","left_bank":9.244,"right_bank":9.765,"min_bank":9.24,"ground_level":-2.691,"offset":null,"sub_basin_id":311,"agency_id":9,"geocode_id":7764,"hydro_id":null,"qmax":null,"is_key_station":false,"warning_level_m":null,"critical_level_m":null,"critical_level_msl":null},"geocode":{"area_code":"5","area_name":{"th":"ภาคใต้","en":"South"},"amphoe_code":"07","amphoe_name":{"th":"สวี","en":"Sawi District"},"tumbon_code":"09","tumbon_name":{"th":"นาสัก","en":"Na Sak"},"province_code":"86","province_name":{"th":"ชุมพร","en":"Chumphon"}},"diff_wl_bank":"7.79","diff_wl_bank_text":"ต่ำกว่าตลิ่ง (ม.)","river_gid":213668,"river_name":"คลองสวี"}</t>
  </si>
  <si>
    <t>THAIWATER_WL:664</t>
  </si>
  <si>
    <t>ผอ.วรรณวดี หมายเลขโทรศัพท์ 089 780 6433</t>
  </si>
  <si>
    <t>YOM008</t>
  </si>
  <si>
    <t>{"id":"f67cbe20-e844-b6cd-7310-25d620ec280f","district":"ธนบุรี","category":"ศูนย์พักพิงชั่วคราว","name":"โรงเรียนวัดกัลยาณมิตร","capacity":50,"occupied":0,"available":50,"unitType":"คน","status":"เปิดให้บริการ/ว่าง","routeDetails":"","link":null,"additionalDetails":"ผอ.วรรณวดี หมายเลขโทรศัพท์ 089 780 6433","createdAt":"2026-09-26T08:22:22.000Z","updatedAt":"2026-09-26T08:22:22.000Z"}</t>
  </si>
  <si>
    <t>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</t>
  </si>
  <si>
    <t>{"id":1317594709,"waterlevel_datetime":"2026-10-03 15:10","waterlevel_m":null,"waterlevel_msl":"33.48","waterlevel_msl_previous":"33.48","flow_rate":null,"discharge":null,"storage_percent":"34.54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Basin"}},"station":{"id":664,"tele_station_name":{"en":"Yom 8","th":"บางระกำ"},"tele_station_lat":16.70818,"tele_station_long":100.17179,"tele_station_oldcode":"YOM008","tele_station_type":"tele_waterlevel","left_bank":41.202,"right_bank":41.22,"min_bank":41.2,"ground_level":29.4,"offset":null,"sub_basin_id":215,"agency_id":9,"geocode_id":6174,"hydro_id":null,"qmax":null,"is_key_station":false,"warning_level_m":null,"critical_level_m":null,"critical_level_msl":null},"geocode":{"area_code":"3","area_name":{"th":"ภาคเหนือ","en":"North"},"amphoe_code":"04","amphoe_name":{"th":"บางระกำ","en":"Bang Rakam District"},"tumbon_code":"01","tumbon_name":{"th":"บางระกำ","en":"Bang Rakam"},"province_code":"65","province_name":{"th":"พิษณุโลก","en":"Phitsanulok"}},"diff_wl_bank":"7.73","diff_wl_bank_text":"ต่ำกว่าตลิ่ง (ม.)","river_gid":93387,"river_name":"แม่น้ำยม"}</t>
  </si>
  <si>
    <t>THAIWATER_WL:1099005</t>
  </si>
  <si>
    <t>W.10B</t>
  </si>
  <si>
    <t>บ้านแลง</t>
  </si>
  <si>
    <t>{"id":1317494217,"waterlevel_datetime":"2026-10-03 11:00","waterlevel_m":null,"waterlevel_msl":"259.58","waterlevel_msl_previous":"259.58","flow_rate":null,"discharge":"19.40","storage_percent":"34.44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1099005,"tele_station_name":{"th":"บ้านแลง"},"tele_station_lat":18.51882,"tele_station_long":99.629997,"tele_station_oldcode":"W.10B","tele_station_type":"tele_waterlevel","left_bank":527.274988,"right_bank":527.2099880000001,"min_bank":263.9,"ground_level":257.311,"offset":257.299988,"sub_basin_id":188,"agency_id":12,"geocode_id":4989,"hydro_id":1,"qmax":436,"is_key_station":tru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District"},"tumbon_code":"09","tumbon_name":{"th":"บ้านแลง","en":"Ban Laeng"},"province_code":"52","province_name":{"th":"ลำปาง","en":"Lampang"}},"diff_wl_bank":"4.32","diff_wl_bank_text":"ต่ำกว่าตลิ่ง (ม.)","river_gid":52155,"river_name":"แม่น้ำวัง"}</t>
  </si>
  <si>
    <t>THAIWATER_WL:2621</t>
  </si>
  <si>
    <t>M.43A</t>
  </si>
  <si>
    <t>บ้านท่ามะปรางค์</t>
  </si>
  <si>
    <t>{"id":1317571357,"waterlevel_datetime":"2026-10-03 14:00","waterlevel_m":null,"waterlevel_msl":"372.98","waterlevel_msl_previous":"372.97","flow_rate":null,"discharge":"9.31","storage_percent":"34.12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2621,"tele_station_name":{"th":"บ้านท่ามะปรางค์"},"tele_station_lat":14.51204,"tele_station_long":101.380348,"tele_station_oldcode":"M.43A","tele_station_type":"tele_waterlevel","left_bank":747.439012,"right_bank":747.681012,"min_bank":375.2,"ground_level":371.83,"offset":371.700012,"sub_basin_id":108,"agency_id":12,"geocode_id":1919,"hydro_id":4,"qmax":112.099998,"is_key_station":tru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District"},"tumbon_code":"05","tumbon_name":{"th":"หมูสี","en":"Mu Si"},"province_code":"30","province_name":{"th":"นครราชสีมา","en":"Nakhon Ratchasima"}},"diff_wl_bank":"2.22","diff_wl_bank_text":"ต่ำกว่าตลิ่ง (ม.)","river_gid":154086,"river_name":"คลองลำตะคอง"}</t>
  </si>
  <si>
    <t>THAIWATER_WL:2706</t>
  </si>
  <si>
    <t>S.7A</t>
  </si>
  <si>
    <t>วัดท่าระหัด</t>
  </si>
  <si>
    <t>ห้วยหมวกเหล็ก</t>
  </si>
  <si>
    <t>{"id":1317572093,"waterlevel_datetime":"2026-10-03 14:00","waterlevel_m":null,"waterlevel_msl":"44.32","waterlevel_msl_previous":"44.32","flow_rate":null,"discharge":null,"storage_percent":"34.03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2706,"tele_station_name":{"th":"วัดท่าระหัด"},"tele_station_lat":14.78944,"tele_station_long":101.117104,"tele_station_oldcode":"S.7A","tele_station_type":"tele_waterlevel","left_bank":52.795,"right_bank":52.939,"min_bank":49.4,"ground_level":41.7,"offset":null,"sub_basin_id":256,"agency_id":12,"geocode_id":1065,"hydro_id":5,"qmax":220,"is_key_station":false,"warning_level_m":null,"critical_level_m":null,"critical_level_msl":null},"geocode":{"area_code":"2","area_name":{"th":"ภาคกลาง","en":"Central"},"amphoe_code":"12","amphoe_name":{"th":"วังม่วง","en":"Wang Muang District"},"tumbon_code":"02","tumbon_name":{"th":"คำพราน","en":"Kham Phran"},"province_code":"19","province_name":{"th":"สระบุรี","en":"Saraburi"}},"diff_wl_bank":"5.08","diff_wl_bank_text":"ต่ำกว่าตลิ่ง (ม.)","river_gid":179423,"river_name":"ห้วยหมวกเหล็ก"}</t>
  </si>
  <si>
    <t>THAIWATER_WL:3102</t>
  </si>
  <si>
    <t>W.3A</t>
  </si>
  <si>
    <t>บ้านดอนชัย</t>
  </si>
  <si>
    <t>2026-10-02T15:36:19+07:00</t>
  </si>
  <si>
    <t>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</t>
  </si>
  <si>
    <t>{"id":1317388169,"waterlevel_datetime":"2026-10-03 05:00","waterlevel_m":null,"waterlevel_msl":"161.37","waterlevel_msl_previous":"161.42","flow_rate":null,"discharge":"84.00","storage_percent":"33.88","sort_order":null,"station_type":"tele_waterlevel","situation_level":3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3102,"tele_station_name":{"th":"บ้านดอนชัย"},"tele_station_lat":17.641491,"tele_station_long":99.23201,"tele_station_oldcode":"W.3A","tele_station_type":"tele_waterlevel","left_bank":330.115,"right_bank":330.081,"min_bank":165.8,"ground_level":159.1,"offset":161,"sub_basin_id":194,"agency_id":12,"geocode_id":5050,"hydro_id":1,"qmax":850,"is_key_station":true,"warning_level_m":null,"critical_level_m":null,"critical_level_msl":null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Raet"},"province_code":"52","province_name":{"th":"ลำปาง","en":"Lampang"}},"diff_wl_bank":"4.43","diff_wl_bank_text":"ต่ำกว่าตลิ่ง (ม.)","river_gid":79528,"river_name":"แม่น้ำวัง"}</t>
  </si>
  <si>
    <t>THAIWATER_WL:3041</t>
  </si>
  <si>
    <t>Y.3A</t>
  </si>
  <si>
    <t>บ้านวังขอนไม้</t>
  </si>
  <si>
    <t>{"id":1317572407,"waterlevel_datetime":"2026-10-03 14:00","waterlevel_m":null,"waterlevel_msl":"54.12","waterlevel_msl_previous":"54.18","flow_rate":null,"discharge":"163.35","storage_percent":"33.78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3041,"tele_station_name":{"th":"บ้านวังขอนไม้"},"tele_station_lat":17.302389,"tele_station_long":99.830307,"tele_station_oldcode":"Y.3A","tele_station_type":"tele_waterlevel","left_bank":113.314,"right_bank":114.703,"min_bank":62,"ground_level":50.1,"offset":51,"sub_basin_id":209,"agency_id":12,"geocode_id":6106,"hydro_id":2,"qmax":1130,"is_key_station":true,"warning_level_m":null,"critical_level_m":null,"critical_level_msl":null},"geocode":{"area_code":"3","area_name":{"th":"ภาคเหนือ","en":"North"},"amphoe_code":"07","amphoe_name":{"th":"สวรรคโลก","en":"Sawankhalok District"},"tumbon_code":"01","tumbon_name":{"th":"เมืองสวรรคโลก","en":"Mueang Sawankhalok"},"province_code":"64","province_name":{"th":"สุโขทัย","en":"Sukhothai"}},"diff_wl_bank":"7.88","diff_wl_bank_text":"ต่ำกว่าตลิ่ง (ม.)","river_gid":85379,"river_name":"แม่น้ำยม"}</t>
  </si>
  <si>
    <t>THAIWATER_WL:700584</t>
  </si>
  <si>
    <t>MKVKD01</t>
  </si>
  <si>
    <t>อ.ทองผาภูมิ</t>
  </si>
  <si>
    <t>{"id":1317593145,"waterlevel_datetime":"2026-10-03 15:00","waterlevel_m":null,"waterlevel_msl":"80.47","waterlevel_msl_previous":"80.47","flow_rate":null,"discharge":"615.98","storage_percent":"33.76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700584,"tele_station_name":{"th":"อ.ทองผาภูมิ"},"tele_station_lat":14.73758,"tele_station_long":98.63576,"tele_station_oldcode":"MKVKD01","tele_station_type":"tele_waterlevel","left_bank":92.74,"right_bank":98.42,"min_bank":92.74,"ground_level":74.22,"offset":null,"sub_basin_id":271,"agency_id":8,"geocode_id":6651,"hydro_id":null,"qmax":null,"is_key_station":false,"warning_level_m":null,"critical_level_m":null,"critical_level_msl":0},"geocode":{"area_code":"2","area_name":{"th":"ภาคกลาง","en":"Central"},"amphoe_code":"07","amphoe_name":{"th":"ทองผาภูมิ","en":"Thong Pha Phum District"},"tumbon_code":"01","tumbon_name":{"th":"ท่าขนุน","en":"Tha Khanun"},"province_code":"71","province_name":{"th":"กาญจนบุรี","en":"Kanchanaburi"}},"diff_wl_bank":"12.27","diff_wl_bank_text":"ต่ำกว่าตลิ่ง (ม.)","river_gid":180021,"river_name":"แม่น้ำแควน้อย"}</t>
  </si>
  <si>
    <t>THAIWATER_WL:2836</t>
  </si>
  <si>
    <t>E.6C</t>
  </si>
  <si>
    <t>บ้านตาดโตน</t>
  </si>
  <si>
    <t>ห้วยตาดโตน</t>
  </si>
  <si>
    <t>{"id":1317573776,"waterlevel_datetime":"2026-10-03 14:00","waterlevel_m":null,"waterlevel_msl":"194.20","waterlevel_msl_previous":"194.22","flow_rate":null,"discharge":"3.80","storage_percent":"33.66","sort_order":null,"station_type":"tele_waterlevel","situation_level":3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2836,"tele_station_name":{"th":"บ้านตาดโตน"},"tele_station_lat":15.95536,"tele_station_long":102.03363,"tele_station_oldcode":"E.6C","tele_station_type":"tele_waterlevel","left_bank":391.55499699999996,"right_bank":391.955997,"min_bank":198.2,"ground_level":192.17,"offset":192.699997,"sub_basin_id":82,"agency_id":12,"geocode_id":2952,"hydro_id":3,"qmax":50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ชัยภูมิ","en":"Mueang Chaiyaphum District"},"tumbon_code":"04","tumbon_name":{"th":"นาฝาย","en":"Na Fai"},"province_code":"36","province_name":{"th":"ชัยภูมิ","en":"Chaiyaphum"}},"diff_wl_bank":"4.00","diff_wl_bank_text":"ต่ำกว่าตลิ่ง (ม.)","river_gid":136755,"river_name":"ห้วยตาดโตน"}</t>
  </si>
  <si>
    <t>THAIWATER_WL:812</t>
  </si>
  <si>
    <t>TPI004</t>
  </si>
  <si>
    <t>ท่าขนอม</t>
  </si>
  <si>
    <t>371 3 ถนน เทศบาล สาย 1 แขวงวัดกัลยา เขตธนบุรี กรุงเทพมหานคร 10600 ประเทศไทย</t>
  </si>
  <si>
    <t>ChIJ5VmW5wOZ4jARNeYaA023R4k</t>
  </si>
  <si>
    <t>3b0e9445-1ce4-5723-1c23-da82162e37c8</t>
  </si>
  <si>
    <t>โรงเรียนวัดขุนจันทร์</t>
  </si>
  <si>
    <t>ผอ.ขนิษฐา หมายเลขโทรศัพท์ 089 780 7242</t>
  </si>
  <si>
    <t>{"id":1317594667,"waterlevel_datetime":"2026-10-03 15:10","waterlevel_m":null,"waterlevel_msl":"4.18","waterlevel_msl_previous":"4.19","flow_rate":null,"discharge":null,"storage_percent":"33.50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Basin"}},"station":{"id":812,"tele_station_name":{"en":"Tapi 4","th":"ท่าขนอม"},"tele_station_lat":9.029423,"tele_station_long":98.969635,"tele_station_oldcode":"TPI004","tele_station_type":"tele_waterlevel","left_bank":12.221,"right_bank":11.62,"min_bank":11.62,"ground_level":0.432,"offset":null,"sub_basin_id":316,"agency_id":9,"geocode_id":7568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District"},"tumbon_code":"01","tumbon_name":{"th":"ท่าขนอน","en":"Tha Khanon"},"province_code":"84","province_name":{"th":"สุราษฎร์ธานี","en":"Surat Thani"}},"diff_wl_bank":"7.44","diff_wl_bank_text":"ต่ำกว่าตลิ่ง (ม.)","river_gid":216415,"river_name":"แม่น้ำพุมดวง"}</t>
  </si>
  <si>
    <t>{"id":"3b0e9445-1ce4-5723-1c23-da82162e37c8","district":"ธนบุรี","category":"ศูนย์พักพิงชั่วคราว","name":"โรงเรียนวัดขุนจันทร์","capacity":50,"occupied":0,"available":50,"unitType":"คน","status":"เปิดให้บริการ/ว่าง","routeDetails":"","link":null,"additionalDetails":"ผอ.ขนิษฐา หมายเลขโทรศัพท์ 089 780 7242","createdAt":"2026-09-26T08:22:22.000Z","updatedAt":"2026-09-26T08:22:22.000Z"}</t>
  </si>
  <si>
    <t>THAIWATER_WL:1198082</t>
  </si>
  <si>
    <t>NAN016</t>
  </si>
  <si>
    <t>น้ำสา</t>
  </si>
  <si>
    <t>แม่น้ำสา</t>
  </si>
  <si>
    <t>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</t>
  </si>
  <si>
    <t>{"id":1317594452,"waterlevel_datetime":"2026-10-03 15:10","waterlevel_m":null,"waterlevel_msl":"228.07","waterlevel_msl_previous":"228.06","flow_rate":null,"discharge":null,"storage_percent":"33.49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Basin"}},"station":{"id":1198082,"tele_station_name":{"en":"Sa water","th":"น้ำสา"},"tele_station_lat":18.584002,"tele_station_long":100.600266,"tele_station_oldcode":"NAN016","tele_station_type":"tele_waterlevel","left_bank":232.077,"right_bank":237.421,"min_bank":232.08,"ground_level":226.052,"offset":null,"sub_basin_id":223,"agency_id":9,"geocode_id":5324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District"},"tumbon_code":"10","tumbon_name":{"th":"ปงสนุก","en":"Pong Sanuk"},"province_code":"55","province_name":{"th":"น่าน","en":"Nan"}},"diff_wl_bank":"4.01","diff_wl_bank_text":"ต่ำกว่าตลิ่ง (ม.)","river_gid":47940,"river_name":"แม่น้ำสา"}</t>
  </si>
  <si>
    <t>THAIWATER_WL:2563</t>
  </si>
  <si>
    <t>X.68</t>
  </si>
  <si>
    <t>บ้านท่าแค</t>
  </si>
  <si>
    <t>คลองท่าแค</t>
  </si>
  <si>
    <t>{"id":1317523517,"waterlevel_datetime":"2026-10-03 12:00","waterlevel_m":null,"waterlevel_msl":"13.24","waterlevel_msl_previous":"13.24","flow_rate":null,"discharge":"2.80","storage_percent":"33.46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2563,"tele_station_name":{"th":"บ้านท่าแค"},"tele_station_lat":7.56871,"tele_station_long":100.0485,"tele_station_oldcode":"X.68","tele_station_type":"tele_waterlevel","left_bank":18.339,"right_bank":18.585,"min_bank":15.6,"ground_level":12.053,"offset":null,"sub_basin_id":329,"agency_id":12,"geocode_id":8066,"hydro_id":8,"qmax":60,"is_key_station":tru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District"},"tumbon_code":"08","tumbon_name":{"th":"ท่าแค","en":"Tha Khae"},"province_code":"93","province_name":{"th":"พัทลุง","en":"Phatthalung"}},"diff_wl_bank":"2.36","diff_wl_bank_text":"ต่ำกว่าตลิ่ง (ม.)","river_gid":224654,"river_name":"คลองท่าแค"}</t>
  </si>
  <si>
    <t>THAIWATER_WL:3243</t>
  </si>
  <si>
    <t>Y.31</t>
  </si>
  <si>
    <t>บ้านทุ่งหนอง</t>
  </si>
  <si>
    <t>{"id":1317494207,"waterlevel_datetime":"2026-10-03 11:00","waterlevel_m":null,"waterlevel_msl":"258.80","waterlevel_msl_previous":"258.80","flow_rate":null,"discharge":"26.00","storage_percent":"33.23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3243,"tele_station_name":{"th":"บ้านทุ่งหนอง"},"tele_station_lat":18.94628,"tele_station_long":100.258949,"tele_station_oldcode":"Y.31","tele_station_type":"tele_waterlevel","left_bank":524.386,"right_bank":524.2529999999999,"min_bank":263,"ground_level":256.71,"offset":257,"sub_basin_id":199,"agency_id":12,"geocode_id":5412,"hydro_id":1,"qmax":500,"is_key_station":tru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District"},"tumbon_code":"03","tumbon_name":{"th":"สระ","en":"Sa"},"province_code":"56","province_name":{"th":"พะเยา","en":"Phayao"}},"diff_wl_bank":"4.20","diff_wl_bank_text":"ต่ำกว่าตลิ่ง (ม.)","river_gid":31426,"river_name":"แม่น้ำยม"}</t>
  </si>
  <si>
    <t>THAIWATER_WL:3221</t>
  </si>
  <si>
    <t>N.75</t>
  </si>
  <si>
    <t>สะพานท่าลี่</t>
  </si>
  <si>
    <t>แม่น้ำน้ำว้า</t>
  </si>
  <si>
    <t>{"id":1317494184,"waterlevel_datetime":"2026-10-03 11:00","waterlevel_m":null,"waterlevel_msl":"185.13","waterlevel_msl_previous":"185.13","flow_rate":null,"discharge":"55.57","storage_percent":"33.16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3221,"tele_station_name":{"th":"สะพานท่าลี่"},"tele_station_lat":18.548229,"tele_station_long":100.808617,"tele_station_oldcode":"N.75","tele_station_type":"tele_waterlevel","left_bank":379.42900299999997,"right_bank":379.391003,"min_bank":192.8,"ground_level":181.325,"offset":182.800003,"sub_basin_id":225,"agency_id":12,"geocode_id":5317,"hydro_id":1,"qmax":745.049988,"is_key_station":true,"warning_level_m":null,"critical_level_m":null,"critical_level_msl":null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Nan"},"province_code":"55","province_name":{"th":"น่าน","en":"Nan"}},"diff_wl_bank":"7.67","diff_wl_bank_text":"ต่ำกว่าตลิ่ง (ม.)","river_gid":49459,"river_name":"แม่น้ำน้ำว้า"}</t>
  </si>
  <si>
    <t>THAIWATER_WL:380</t>
  </si>
  <si>
    <t>CHI013</t>
  </si>
  <si>
    <t>ยางตลาด</t>
  </si>
  <si>
    <t>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</t>
  </si>
  <si>
    <t>ลำพาน</t>
  </si>
  <si>
    <t>{"id":1317594257,"waterlevel_datetime":"2026-10-03 15:10","waterlevel_m":null,"waterlevel_msl":"136.11","waterlevel_msl_previous":"136.11","flow_rate":null,"discharge":null,"storage_percent":"33.15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Basin"}},"station":{"id":380,"tele_station_name":{"en":"Yang Talad","th":"ยางตลาด"},"tele_station_lat":16.411083,"tele_station_long":103.467125,"tele_station_oldcode":"CHI013","tele_station_type":"tele_waterlevel","left_bank":144.707,"right_bank":144.299,"min_bank":144.3,"ground_level":132.049,"offset":null,"sub_basin_id":99,"agency_id":9,"geocode_id":4286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District"},"tumbon_code":"09","tumbon_name":{"th":"ดอนสมบูรณ์","en":"Don Sombun"},"province_code":"46","province_name":{"th":"กาฬสินธุ์","en":"Kalasin"}},"diff_wl_bank":"8.19","diff_wl_bank_text":"ต่ำกว่าตลิ่ง (ม.)","river_gid":131028,"river_name":"ลำพาน"}</t>
  </si>
  <si>
    <t>THAIWATER_WL:9931008</t>
  </si>
  <si>
    <t>LDD004</t>
  </si>
  <si>
    <t xml:space="preserve">บ้านกระยอม </t>
  </si>
  <si>
    <t>{"id":1317594368,"waterlevel_datetime":"2026-10-03 15:10","waterlevel_m":null,"waterlevel_msl":"136.08","waterlevel_msl_previous":"136.08","flow_rate":null,"discharge":null,"storage_percent":"32.99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Organization)","jp":""},"agency_shortname":{"th":"สสน.","en":"HII","jp":""}},"basin":{"id":5,"basin_code":5,"basin_name":{"th":"ลุ่มน้ำมูล","en":"Mun Basin"}},"station":{"id":9931008,"tele_station_name":{"en":"Ban Krayom","th":"บ้านกระยอม "},"tele_station_lat":15.82878,"tele_station_long":103.35448,"tele_station_oldcode":"LDD004","tele_station_type":"tele_waterlevel","left_bank":137.5023,"right_bank":137.6983,"min_bank":137.5,"ground_level":135.3813,"offset":null,"sub_basin_id":130,"agency_id":9,"geocode_id":3961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าปีปทุม","en":"Wapi Pathum District"},"tumbon_code":"01","tumbon_name":{"th":"หนองแสง","en":"Nong Saeng"},"province_code":"44","province_name":{"th":"มหาสารคาม","en":"Maha Sarakham"}},"diff_wl_bank":"1.42","diff_wl_bank_text":"ต่ำกว่าตลิ่ง (ม.)"}</t>
  </si>
  <si>
    <t>THAIWATER_WL:2915</t>
  </si>
  <si>
    <t>N.73</t>
  </si>
  <si>
    <t>บ้านทานตะวัน</t>
  </si>
  <si>
    <t>{"id":1317572433,"waterlevel_datetime":"2026-10-03 14:00","waterlevel_m":null,"waterlevel_msl":"687.40","waterlevel_msl_previous":"687.33","flow_rate":null,"discharge":"20.42","storage_percent":"32.97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2915,"tele_station_name":{"th":"บ้านทานตะวัน"},"tele_station_lat":16.56912,"tele_station_long":100.891792,"tele_station_oldcode":"N.73","tele_station_type":"tele_waterlevel","left_bank":1377.588029,"right_bank":1377.550029,"min_bank":693.74,"ground_level":684.281,"offset":684.530029,"sub_basin_id":237,"agency_id":12,"geocode_id":6465,"hydro_id":2,"qmax":184,"is_key_station":false,"warning_level_m":null,"critical_level_m":null,"critical_level_msl":null},"geocode":{"area_code":"3","area_name":{"th":"ภาคเหนือ","en":"North"},"amphoe_code":"11","amphoe_name":{"th":"เขาค้อ","en":"Khao Kho District"},"tumbon_code":"06","tumbon_name":{"th":"หนองแม่นา","en":"Nong Mae Na"},"province_code":"67","province_name":{"th":"เพชรบูรณ์","en":"Phetchabun"}},"diff_wl_bank":"6.34","diff_wl_bank_text":"ต่ำกว่าตลิ่ง (ม.)","river_gid":94646,"river_name":"น้ำเข็ก"}</t>
  </si>
  <si>
    <t>THAIWATER_WL:3303</t>
  </si>
  <si>
    <t>Kh.89</t>
  </si>
  <si>
    <t>1174 ซอย เทอดไท 28 แขวงตลาดพลู เขตธนบุรี กรุงเทพมหานคร 10600 ประเทศไทย</t>
  </si>
  <si>
    <t>ChIJ8bpvfEOY4jARF07G1m7RhXY</t>
  </si>
  <si>
    <t>069ac5a8-91fe-780c-a74a-9ba5e0989daf</t>
  </si>
  <si>
    <t>โรงเรียนวัดบางน้ำชน</t>
  </si>
  <si>
    <t>{"id":1317494216,"waterlevel_datetime":"2026-10-03 11:00","waterlevel_m":null,"waterlevel_msl":"407.10","waterlevel_msl_previous":"407.08","flow_rate":null,"discharge":"3.80","storage_percent":"32.73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3303,"tele_station_name":{"th":"บ้านหัวสะพาน"},"tele_station_lat":20.15753,"tele_station_long":99.859596,"tele_station_oldcode":"Kh.89","tele_station_type":"tele_waterlevel","left_bank":818.050015,"right_bank":818.090015,"min_bank":408.59,"ground_level":406.375,"offset":406.390015,"sub_basin_id":24,"agency_id":12,"geocode_id":5520,"hydro_id":1,"qmax":66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District"},"tumbon_code":"04","tumbon_name":{"th":"ป่าซาง","en":"Pa Sang"},"province_code":"57","province_name":{"th":"เชียงราย","en":"Chiang Rai"}},"diff_wl_bank":"1.49","diff_wl_bank_text":"ต่ำกว่าตลิ่ง (ม.)","river_gid":102708,"river_name":"น้ำแม่จัน"}</t>
  </si>
  <si>
    <t>ผอ.ธนพร หมายเลขโทรศัพท์ 081 744 2111</t>
  </si>
  <si>
    <t>THAIWATER_WL:3127</t>
  </si>
  <si>
    <t>Y.37</t>
  </si>
  <si>
    <t>บ้านวังชิ้น</t>
  </si>
  <si>
    <t>{"id":"069ac5a8-91fe-780c-a74a-9ba5e0989daf","district":"ธนบุรี","category":"ศูนย์พักพิงชั่วคราว","name":"โรงเรียนวัดบางน้ำชน","capacity":30,"occupied":0,"available":30,"unitType":"คน","status":"เปิดให้บริการ/ว่าง","routeDetails":"","link":null,"additionalDetails":"ผอ.ธนพร หมายเลขโทรศัพท์ 081 744 2111","createdAt":"2026-09-26T08:22:22.000Z","updatedAt":"2026-09-26T08:22:22.000Z"}</t>
  </si>
  <si>
    <t>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</t>
  </si>
  <si>
    <t>{"id":1317494209,"waterlevel_datetime":"2026-10-03 11:00","waterlevel_m":null,"waterlevel_msl":"95.67","waterlevel_msl_previous":"95.68","flow_rate":null,"discharge":"88.10","storage_percent":"32.71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3127,"tele_station_name":{"th":"บ้านวังชิ้น"},"tele_station_lat":17.90118,"tele_station_long":99.605652,"tele_station_oldcode":"Y.37","tele_station_type":"tele_waterlevel","left_bank":197.66999900000002,"right_bank":198.74699900000002,"min_bank":103.28,"ground_level":91.97,"offset":92.279999,"sub_basin_id":207,"agency_id":12,"geocode_id":5244,"hydro_id":1,"qmax":1325.599976,"is_key_station":true,"warning_level_m":null,"critical_level_m":null,"critical_level_msl":null},"geocode":{"area_code":"3","area_name":{"th":"ภาคเหนือ","en":"North"},"amphoe_code":"07","amphoe_name":{"th":"วังชิ้น","en":"Wang Chin District"},"tumbon_code":"01","tumbon_name":{"th":"วังชิ้น","en":"Wang Chin"},"province_code":"54","province_name":{"th":"แพร่","en":"Phrae"}},"diff_wl_bank":"7.61","diff_wl_bank_text":"ต่ำกว่าตลิ่ง (ม.)","river_gid":73923,"river_name":"แม่น้ำยม"}</t>
  </si>
  <si>
    <t>THAIWATER_WL:12350</t>
  </si>
  <si>
    <t>TNG006</t>
  </si>
  <si>
    <t>รัษฎา</t>
  </si>
  <si>
    <t>{"id":1317594663,"waterlevel_datetime":"2026-10-03 15:10","waterlevel_m":null,"waterlevel_msl":"19.50","waterlevel_msl_previous":"19.50","flow_rate":null,"discharge":null,"storage_percent":"32.68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Basin"}},"station":{"id":12350,"tele_station_name":{"en":"Trang 6","th":"รัษฎา"},"tele_station_lat":7.96409,"tele_station_long":99.59775,"tele_station_oldcode":"TNG006","tele_station_type":"tele_waterlevel","left_bank":25.605,"right_bank":24.445,"min_bank":24.45,"ground_level":17.1,"offset":null,"sub_basin_id":349,"agency_id":9,"geocode_id":8049,"hydro_id":null,"qmax":null,"is_key_station":false,"warning_level_m":null,"critical_level_m":null,"critical_level_msl":null},"geocode":{"area_code":"5","area_name":{"th":"ภาคใต้","en":"South"},"amphoe_code":"09","amphoe_name":{"th":"รัษฎา","en":"Ratsada District"},"tumbon_code":"01","tumbon_name":{"th":"ควนเมา","en":"Khuan Mao"},"province_code":"92","province_name":{"th":"ตรัง","en":"Trang"}},"diff_wl_bank":"4.95","diff_wl_bank_text":"ต่ำกว่าตลิ่ง (ม.)","river_gid":222923,"river_name":"แม่น้ำตรัง"}</t>
  </si>
  <si>
    <t>THAIWATER_WL:2643</t>
  </si>
  <si>
    <t>X.37A</t>
  </si>
  <si>
    <t>บ้านย่านดินแดง</t>
  </si>
  <si>
    <t>{"id":1317523538,"waterlevel_datetime":"2026-10-03 12:00","waterlevel_m":null,"waterlevel_msl":"5.64","waterlevel_msl_previous":"5.65","flow_rate":null,"discharge":"71.00","storage_percent":"32.66","sort_order":null,"station_type":"tele_waterlevel","situation_level":3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2643,"tele_station_name":{"th":"บ้านย่านดินแดง"},"tele_station_lat":8.57098,"tele_station_long":99.253868,"tele_station_oldcode":"X.37A","tele_station_type":"tele_waterlevel","left_bank":12.427,"right_bank":12.591,"min_bank":11.35,"ground_level":2.871,"offset":null,"sub_basin_id":323,"agency_id":12,"geocode_id":7622,"hydro_id":8,"qmax":508.75,"is_key_station":true,"warning_level_m":null,"critical_level_m":null,"critical_level_msl":null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Thani"}},"diff_wl_bank":"5.71","diff_wl_bank_text":"ต่ำกว่าตลิ่ง (ม.)","river_gid":219031,"river_name":"แม่น้ำตาปี"}</t>
  </si>
  <si>
    <t>THAIWATER_WL:2591</t>
  </si>
  <si>
    <t>X.44</t>
  </si>
  <si>
    <t>บ้านหาดใหญ่ใน</t>
  </si>
  <si>
    <t>{"id":1317523512,"waterlevel_datetime":"2026-10-03 12:00","waterlevel_m":null,"waterlevel_msl":"0.85","waterlevel_msl_previous":"1.05","flow_rate":null,"discharge":"30.50","storage_percent":"32.65","sort_order":null,"station_type":"tele_waterlevel","situation_level":3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2591,"tele_station_name":{"th":"บ้านหาดใหญ่ใน"},"tele_station_lat":7.00218,"tele_station_long":100.456062,"tele_station_oldcode":"X.44","tele_station_type":"tele_waterlevel","left_bank":8.68,"right_bank":8.661,"min_bank":7.15,"ground_level":-2.204,"offset":null,"sub_basin_id":330,"agency_id":12,"geocode_id":7871,"hydro_id":8,"qmax":481,"is_key_station":true,"warning_level_m":null,"critical_level_m":7.44,"critical_level_msl":7.44},"geocode":{"area_code":"5","area_name":{"th":"ภาคใต้","en":"South"},"amphoe_code":"11","amphoe_name":{"th":"หาดใหญ่","en":"Hat Yai District"},"tumbon_code":"01","tumbon_name":{"th":"หาดใหญ่","en":"Hat Yai"},"province_code":"90","province_name":{"th":"สงขลา","en":"Songkhla"}},"diff_wl_bank":"6.30","diff_wl_bank_text":"ต่ำกว่าตลิ่ง (ม.)","river_gid":227404,"river_name":"คลองอู่ตะเภา"}</t>
  </si>
  <si>
    <t>THAIWATER_WL:1113287</t>
  </si>
  <si>
    <t>SKD09</t>
  </si>
  <si>
    <t>อ.วัดโบสถ์ (N.22A)</t>
  </si>
  <si>
    <t>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</t>
  </si>
  <si>
    <t>{"id":1317593034,"waterlevel_datetime":"2026-10-03 15:00","waterlevel_m":null,"waterlevel_msl":"42.62","waterlevel_msl_previous":"42.59","flow_rate":null,"discharge":null,"storage_percent":"32.64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Basin"}},"station":{"id":1113287,"tele_station_name":{"th":"อ.วัดโบสถ์ (N.22A)"},"tele_station_lat":16.998826,"tele_station_long":100.325921,"tele_station_oldcode":"SKD09","tele_station_type":"tele_waterlevel","left_bank":49.315,"right_bank":49.487,"min_bank":49.32,"ground_level":39.371,"offset":null,"sub_basin_id":235,"agency_id":8,"geocode_id":6209,"hydro_id":null,"qmax":null,"is_key_station":false,"warning_level_m":null,"critical_level_m":null,"critical_level_msl":49.31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Bot"},"province_code":"65","province_name":{"th":"พิษณุโลก","en":"Phitsanulok"}},"diff_wl_bank":"6.70","diff_wl_bank_text":"ต่ำกว่าตลิ่ง (ม.)","river_gid":89620,"river_name":"น้ำแควน้อย"}</t>
  </si>
  <si>
    <t>THAIWATER_WL:489</t>
  </si>
  <si>
    <t>YOM010</t>
  </si>
  <si>
    <t>เมืองแพร่</t>
  </si>
  <si>
    <t>{"id":1317594711,"waterlevel_datetime":"2026-10-03 15:10","waterlevel_m":null,"waterlevel_msl":"145.00","waterlevel_msl_previous":"145.00","flow_rate":null,"discharge":null,"storage_percent":"32.50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Basin"}},"station":{"id":489,"tele_station_name":{"en":"Yom 10","th":"เมืองแพร่"},"tele_station_lat":18.13367,"tele_station_long":100.12458,"tele_station_oldcode":"YOM010","tele_station_type":"tele_waterlevel","left_bank":151.808,"right_bank":154.285,"min_bank":151.81,"ground_level":141.725,"offset":null,"sub_basin_id":205,"agency_id":9,"geocode_id":5182,"hydro_id":null,"qmax":null,"is_key_station":fals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Maet"},"province_code":"54","province_name":{"th":"แพร่","en":"Phrae"}},"diff_wl_bank":"6.81","diff_wl_bank_text":"ต่ำกว่าตลิ่ง (ม.)","river_gid":66840,"river_name":"แม่น้ำยม"}</t>
  </si>
  <si>
    <t>THAIWATER_WL:3205</t>
  </si>
  <si>
    <t>Y.20</t>
  </si>
  <si>
    <t>บ้านห้วยสัก</t>
  </si>
  <si>
    <t>2026-10-03T10:00:00+07:00</t>
  </si>
  <si>
    <t>{"id":1317468605,"waterlevel_datetime":"2026-10-03 10:00","waterlevel_m":null,"waterlevel_msl":"182.68","waterlevel_msl_previous":"182.67","flow_rate":null,"discharge":"39.00","storage_percent":"32.47","sort_order":null,"station_type":"tele_waterlevel","situation_level":3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3205,"tele_station_name":{"th":"บ้านห้วยสัก"},"tele_station_lat":18.58613,"tele_station_long":100.151337,"tele_station_oldcode":"Y.20","tele_station_type":"tele_waterlevel","left_bank":374.51,"right_bank":374.63800000000003,"min_bank":190,"ground_level":179.16,"offset":181,"sub_basin_id":203,"agency_id":12,"geocode_id":5238,"hydro_id":1,"qmax":1104,"is_key_station":tru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Pun"},"province_code":"54","province_name":{"th":"แพร่","en":"Phrae"}},"diff_wl_bank":"7.32","diff_wl_bank_text":"ต่ำกว่าตลิ่ง (ม.)","river_gid":47899,"river_name":"แม่น้ำยม"}</t>
  </si>
  <si>
    <t>THAIWATER_WL:2985</t>
  </si>
  <si>
    <t>S.33</t>
  </si>
  <si>
    <t>ต.ตาดกลอย</t>
  </si>
  <si>
    <t>24 ถ. เจริญนคร แขวงสำเหร่ เขตธนบุรี กรุงเทพมหานคร 10600 ประเทศไทย</t>
  </si>
  <si>
    <t>ChIJTSEcMI-Y4jARRbq7t3Fel_I</t>
  </si>
  <si>
    <t>359aec1a-274a-d748-a423-5add85e49f90</t>
  </si>
  <si>
    <t>โรงเรียนวัดบุคคโล</t>
  </si>
  <si>
    <t>ผอ.วงเดือน หมายเลขโทรศัพท์ 081 448 1965</t>
  </si>
  <si>
    <t>{"id":"359aec1a-274a-d748-a423-5add85e49f90","district":"ธนบุรี","category":"ศูนย์พักพิงชั่วคราว","name":"โรงเรียนวัดบุคคโล","capacity":20,"occupied":0,"available":20,"unitType":"คน","status":"เปิดให้บริการ/ว่าง","routeDetails":"","link":null,"additionalDetails":"ผอ.วงเดือน หมายเลขโทรศัพท์ 081 448 1965","createdAt":"2026-09-26T08:22:22.000Z","updatedAt":"2026-09-26T08:22:22.000Z"}</t>
  </si>
  <si>
    <t>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</t>
  </si>
  <si>
    <t>{"id":1317572393,"waterlevel_datetime":"2026-10-03 14:00","waterlevel_m":null,"waterlevel_msl":"193.52","waterlevel_msl_previous":"193.54","flow_rate":null,"discharge":"8.39","storage_percent":"32.37","sort_order":null,"station_type":"tele_waterlevel","situation_level":3,"agency":{"id":12,"agency_name":{"th":"กรมชลประทาน ","en":"Royal Irrigation Department","jp":""},"agency_shortname":{"th":"ชป.","en":"RID","jp":""}},"basin":{"id":13,"basin_code":12,"basin_name":{"th":"ลุ่มน้ำป่าสัก","en":"Pasak Basin"}},"station":{"id":2985,"tele_station_name":{"th":"ต.ตาดกลอย"},"tele_station_lat":17.004061,"tele_station_long":101.352898,"tele_station_oldcode":"S.33","tele_station_type":"tele_waterlevel","left_bank":389.015996,"right_bank":388.55199600000003,"min_bank":198.93,"ground_level":190.93,"offset":190.089996,"sub_basin_id":247,"agency_id":12,"geocode_id":6400,"hydro_id":2,"qmax":415,"is_key_station":true,"warning_level_m":null,"critical_level_m":null,"critical_level_msl":null},"geocode":{"area_code":"3","area_name":{"th":"ภาคเหนือ","en":"North"},"amphoe_code":"04","amphoe_name":{"th":"หล่มเก่า","en":"Lom Kao District"},"tumbon_code":"09","tumbon_name":{"th":"ตาดกลอย","en":"Tat Kloi"},"province_code":"67","province_name":{"th":"เพชรบูรณ์","en":"Phetchabun"}},"diff_wl_bank":"5.41","diff_wl_bank_text":"ต่ำกว่าตลิ่ง (ม.)","river_gid":162094,"river_name":"แม่น้ำป่าสัก"}</t>
  </si>
  <si>
    <t>THAIWATER_WL:1109505</t>
  </si>
  <si>
    <t>ONE016</t>
  </si>
  <si>
    <t>สะพานน้ำก่ำ บ้านหนองแคน</t>
  </si>
  <si>
    <t>{"id":1317594471,"waterlevel_datetime":"2026-10-03 15:10","waterlevel_m":null,"waterlevel_msl":"146.11","waterlevel_msl_previous":"146.11","flow_rate":null,"discharge":null,"storage_percent":"32.34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Basin"}},"station":{"id":1109505,"tele_station_name":{"en":"Nam Kam Ban Nong Khaen","th":"สะพานน้ำก่ำ บ้านหนองแคน"},"tele_station_lat":17.05715,"tele_station_long":104.3636,"tele_station_oldcode":"ONE016","tele_station_type":"tele_waterlevel","left_bank":149.274,"right_bank":149.723,"min_bank":149.27,"ground_level":144.598,"offset":null,"sub_basin_id":70,"agency_id":9,"geocode_id":4627,"hydro_id":null,"qmax":null,"is_key_station":false,"warning_level_m":null,"critical_level_m":null,"critical_level_msl":null},"geocode":{"area_code":"4","area_name":{"th":"ภาคตะวันออกเฉียงเหนือ","en":"Northeast"},"amphoe_code":"12","amphoe_name":{"th":"วังยาง","en":"Wang Yang District"},"tumbon_code":"03","tumbon_name":{"th":"ยอดชาด","en":"Yot Chat"},"province_code":"48","province_name":{"th":"นครพนม","en":"Nakhon Phanom"}},"diff_wl_bank":"3.16","diff_wl_bank_text":"ต่ำกว่าตลิ่ง (ม.)","river_gid":122751,"river_name":"ลำน้ำกำ"}</t>
  </si>
  <si>
    <t>THAIWATER_WL:11648256</t>
  </si>
  <si>
    <t>SKT002</t>
  </si>
  <si>
    <t>คลองแม่มอก</t>
  </si>
  <si>
    <t>{"id":1317594600,"waterlevel_datetime":"2026-10-03 15:10","waterlevel_m":null,"waterlevel_msl":"57.54","waterlevel_msl_previous":"57.54","flow_rate":null,"discharge":null,"storage_percent":"32.19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Basin"}},"station":{"id":11648256,"tele_station_name":{"en":"Mae Mok Canal","th":"คลองแม่มอก"},"tele_station_lat":17.22242,"tele_station_long":99.70545,"tele_station_oldcode":"SKT002","tele_station_type":"tele_waterlevel","left_bank":60.79,"right_bank":61.007,"min_bank":60.79,"ground_level":55.993,"offset":null,"sub_basin_id":210,"agency_id":9,"geocode_id":6118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District"},"tumbon_code":"13","tumbon_name":{"th":"เมืองบางขลัง","en":"Mueang Bang Khlang"},"province_code":"64","province_name":{"th":"สุโขทัย","en":"Sukhothai"}},"diff_wl_bank":"3.25","diff_wl_bank_text":"ต่ำกว่าตลิ่ง (ม.)"}</t>
  </si>
  <si>
    <t>THAIWATER_WL:1422305</t>
  </si>
  <si>
    <t>BBU02</t>
  </si>
  <si>
    <t>แม่น้ำปิงที่ อ.ฮอด</t>
  </si>
  <si>
    <t>{"id":1317513477,"waterlevel_datetime":"2026-10-03 12:00","waterlevel_m":null,"waterlevel_msl":"256.55","waterlevel_msl_previous":"256.55","flow_rate":null,"discharge":null,"storage_percent":"32.11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Basin"}},"station":{"id":1422305,"tele_station_name":{"th":"แม่น้ำปิงที่ อ.ฮอด"},"tele_station_lat":18.178275,"tele_station_long":98.630519,"tele_station_oldcode":"BBU02","tele_station_type":"tele_waterlevel","left_bank":261.91,"right_bank":263.11,"min_bank":261.91,"ground_level":254.01,"offset":null,"sub_basin_id":173,"agency_id":8,"geocode_id":4861,"hydro_id":null,"qmax":null,"is_key_station":false,"warning_level_m":null,"critical_level_m":null,"critical_level_msl":261.91},"geocode":{"area_code":"3","area_name":{"th":"ภาคเหนือ","en":"North"},"amphoe_code":"16","amphoe_name":{"th":"ฮอด","en":"Hot District"},"tumbon_code":"03","tumbon_name":{"th":"บ้านตาล","en":"Ban Tan"},"province_code":"50","province_name":{"th":"เชียงใหม่","en":"Chiang Mai"}},"diff_wl_bank":"5.36","diff_wl_bank_text":"ต่ำกว่าตลิ่ง (ม.)"}</t>
  </si>
  <si>
    <t>THAIWATER_WL:478</t>
  </si>
  <si>
    <t>NAN010</t>
  </si>
  <si>
    <t>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</t>
  </si>
  <si>
    <t>{"id":1317594447,"waterlevel_datetime":"2026-10-03 15:10","waterlevel_m":null,"waterlevel_msl":"154.67","waterlevel_msl_previous":"154.67","flow_rate":null,"discharge":null,"storage_percent":"31.90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Basin"}},"station":{"id":478,"tele_station_name":{"en":"Nan 10","th":"น้ำปาด"},"tele_station_lat":17.79087,"tele_station_long":100.74902,"tele_station_oldcode":"NAN010","tele_station_type":"tele_waterlevel","left_bank":162.822,"right_bank":159.459,"min_bank":159.46,"ground_level":152.424,"offset":null,"sub_basin_id":229,"agency_id":9,"geocode_id":5129,"hydro_id":null,"qmax":null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District"},"tumbon_code":"02","tumbon_name":{"th":"บ้านฝาย","en":"Ban Fai"},"province_code":"53","province_name":{"th":"อุตรดิตถ์","en":"Uttaradit"}},"diff_wl_bank":"4.79","diff_wl_bank_text":"ต่ำกว่าตลิ่ง (ม.)","river_gid":75982,"river_name":"น้ำปาด"}</t>
  </si>
  <si>
    <t>THAIWATER_WL:1422366</t>
  </si>
  <si>
    <t>RPBD06</t>
  </si>
  <si>
    <t>สะพานท่าขนอน (วัดปราการ)อ.คีรีรัฐนิคม (X.36)</t>
  </si>
  <si>
    <t>{"id":1317591818,"waterlevel_datetime":"2026-10-03 15:00","waterlevel_m":null,"waterlevel_msl":"1.75","waterlevel_msl_previous":"1.78","flow_rate":null,"discharge":null,"storage_percent":"31.81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Basin"}},"station":{"id":1422366,"tele_station_name":{"th":"สะพานท่าขนอน (วัดปราการ)อ.คีรีรัฐนิคม (X.36)"},"tele_station_lat":9.029581,"tele_station_long":98.969587,"tele_station_oldcode":"RPBD06","tele_station_type":"tele_waterlevel","left_bank":12.096,"right_bank":12.108,"min_bank":12.1,"ground_level":-3.069,"offset":null,"sub_basin_id":316,"agency_id":8,"geocode_id":7573,"hydro_id":null,"qmax":null,"is_key_station":false,"warning_level_m":null,"critical_level_m":null,"critical_level_msl":10.2},"geocode":{"area_code":"5","area_name":{"th":"ภาคใต้","en":"South"},"amphoe_code":"08","amphoe_name":{"th":"คีรีรัฐนิคม","en":"Khiri Rat Nikhom District"},"tumbon_code":"08","tumbon_name":{"th":"ย่านยาว","en":"Yan Yao"},"province_code":"84","province_name":{"th":"สุราษฎร์ธานี","en":"Surat Thani"}},"diff_wl_bank":"10.34","diff_wl_bank_text":"ต่ำกว่าตลิ่ง (ม.)"}</t>
  </si>
  <si>
    <t>THAIWATER_WL:595072</t>
  </si>
  <si>
    <t>MOU010</t>
  </si>
  <si>
    <t>สะพานห้วยแม่ตาช้าง</t>
  </si>
  <si>
    <t>ห้วยแม่ท่าช้าง</t>
  </si>
  <si>
    <t>PF2Q+28P ซอย เจริญนคร 63 แขวงบุคคโล เขตธนบุรี กรุงเทพมหานคร 10600 ประเทศไทย</t>
  </si>
  <si>
    <t>ChIJcUBOQoaY4jARn9HLWBIgKIQ</t>
  </si>
  <si>
    <t>f1300896-d216-7e56-6c87-240e8926a5fa</t>
  </si>
  <si>
    <t>โรงเรียนวัดใหญ่ศรีสุพรรณ</t>
  </si>
  <si>
    <t>ผอ.อาทิตย หมายเลขโทรศัพท์ 088 096 6421</t>
  </si>
  <si>
    <t>{"id":"f1300896-d216-7e56-6c87-240e8926a5fa","district":"ธนบุรี","category":"ศูนย์พักพิงชั่วคราว","name":"โรงเรียนวัดใหญ่ศรีสุพรรณ","capacity":10,"occupied":0,"available":10,"unitType":"คน","status":"เปิดให้บริการ/ว่าง","routeDetails":"","link":null,"additionalDetails":"ผอ.อาทิตย หมายเลขโทรศัพท์ 088 096 6421","createdAt":"2026-09-26T08:22:22.000Z","updatedAt":"2026-09-26T08:22:22.000Z"}</t>
  </si>
  <si>
    <t>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</t>
  </si>
  <si>
    <t>{"id":1317594054,"waterlevel_datetime":"2026-10-03 15:10","waterlevel_m":null,"waterlevel_msl":"379.61","waterlevel_msl_previous":"379.61","flow_rate":null,"discharge":null,"storage_percent":"31.62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Basin"}},"station":{"id":595072,"tele_station_name":{"en":"Mae Ta Chang Bridge","th":"สะพานห้วยแม่ตาช้าง"},"tele_station_lat":18.771976,"tele_station_long":98.862595,"tele_station_oldcode":"MOU010","tele_station_type":"tele_waterlevel","left_bank":383.625,"right_bank":384.757,"min_bank":383.63,"ground_level":377.753,"offset":null,"sub_basin_id":162,"sponsor_by":"บริษัท แอดวานซ์ อินโฟร์ เซอร์วิส จำกัด (มหาชน)","agency_id":91,"geocode_id":4856,"hydro_id":null,"qmax":null,"is_key_station":false,"warning_level_m":null,"critical_level_m":null,"critical_level_msl":null},"geocode":{"area_code":"3","area_name":{"th":"ภาคเหนือ","en":"North"},"amphoe_code":"15","amphoe_name":{"th":"หางดง","en":"Hang Dong District"},"tumbon_code":"10","tumbon_name":{"th":"บ้านปง","en":"Ban Pong"},"province_code":"50","province_name":{"th":"เชียงใหม่","en":"Chiang Mai"}},"diff_wl_bank":"4.01","diff_wl_bank_text":"ต่ำกว่าตลิ่ง (ม.)","river_gid":39759,"river_name":"ห้วยแม่ท่าช้าง"}</t>
  </si>
  <si>
    <t>THAIWATER_WL:1106448</t>
  </si>
  <si>
    <t>TCP002</t>
  </si>
  <si>
    <t>ปตร.ปลายคลองบางซอ (ทุ่งเจ้าเจ็ด)</t>
  </si>
  <si>
    <t>{"id":1317594636,"waterlevel_datetime":"2026-10-03 15:10","waterlevel_m":null,"waterlevel_msl":"1.39","waterlevel_msl_previous":"1.39","flow_rate":null,"discharge":null,"storage_percent":"31.59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Basin"}},"station":{"id":1106448,"tele_station_name":{"en":"Khlong Bang So","th":"ปตร.ปลายคลองบางซอ (ทุ่งเจ้าเจ็ด)"},"tele_station_lat":14.194874,"tele_station_long":100.13267,"tele_station_oldcode":"TCP002","tele_station_type":"tele_waterlevel","left_bank":4.4,"right_bank":4.4,"min_bank":4.4,"ground_level":0,"offset":null,"sub_basin_id":259,"agency_id":9,"geocode_id":6772,"hydro_id":null,"qmax":null,"is_key_station":false,"warning_level_m":null,"critical_level_m":null,"critical_level_msl":null},"geocode":{"area_code":"2","area_name":{"th":"ภาคกลาง","en":"Central"},"amphoe_code":"07","amphoe_name":{"th":"สองพี่น้อง","en":"Song Phi Nong District"},"tumbon_code":"03","tumbon_name":{"th":"บางตาเถร","en":"Bang Ta Then"},"province_code":"72","province_name":{"th":"สุพรรณบุรี","en":"Suphan Buri"}},"diff_wl_bank":"3.01","diff_wl_bank_text":"ต่ำกว่าตลิ่ง (ม.)","river_gid":184190,"river_name":"แม่น้ำสุพรรณ"}</t>
  </si>
  <si>
    <t>THAIWATER_WL:3285</t>
  </si>
  <si>
    <t>P.93</t>
  </si>
  <si>
    <t>บ้านสลวงนอก</t>
  </si>
  <si>
    <t>น้ำแม่ริม</t>
  </si>
  <si>
    <t>{"id":1317388127,"waterlevel_datetime":"2026-10-03 06:00","waterlevel_m":null,"waterlevel_msl":"341.29","waterlevel_msl_previous":"341.39","flow_rate":null,"discharge":"7.79","storage_percent":"31.38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3285,"tele_station_name":{"th":"บ้านสลวงนอก"},"tele_station_lat":19.015091,"tele_station_long":98.880836,"tele_station_oldcode":"P.93","tele_station_type":"tele_waterlevel","left_bank":684.854996,"right_bank":684.697996,"min_bank":343.59,"ground_level":340.238,"offset":340.589996,"sub_basin_id":161,"agency_id":12,"geocode_id":4768,"hydro_id":1,"qmax":57.380001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District"},"tumbon_code":"05","tumbon_name":{"th":"สะลวง","en":"Saluang"},"province_code":"50","province_name":{"th":"เชียงใหม่","en":"Chiang Mai"}},"diff_wl_bank":"2.30","diff_wl_bank_text":"ต่ำกว่าตลิ่ง (ม.)","river_gid":28144,"river_name":"น้ำแม่ริม"}</t>
  </si>
  <si>
    <t>THAIWATER_WL:1140845</t>
  </si>
  <si>
    <t>YOM013</t>
  </si>
  <si>
    <t>ศาลเจ้าพ่อพญาอ้น</t>
  </si>
  <si>
    <t>{"id":1317590203,"waterlevel_datetime":"2026-10-03 15:00","waterlevel_m":null,"waterlevel_msl":"183.52","waterlevel_msl_previous":"183.52","flow_rate":null,"discharge":null,"storage_percent":"31.36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Basin"}},"station":{"id":1140845,"tele_station_name":{"en":"Chao Pho Phaya On Shrine","th":"ศาลเจ้าพ่อพญาอ้น"},"tele_station_lat":18.599714,"tele_station_long":100.1496,"tele_station_oldcode":"YOM013","tele_station_type":"tele_waterlevel","left_bank":190.853,"right_bank":190.909,"min_bank":190.85,"ground_level":180.1686,"offset":null,"sub_basin_id":201,"agency_id":9,"geocode_id":5238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District"},"tumbon_code":"04","tumbon_name":{"th":"เตาปูน","en":"Tao Pun"},"province_code":"54","province_name":{"th":"แพร่","en":"Phrae"}},"diff_wl_bank":"7.33","diff_wl_bank_text":"ต่ำกว่าตลิ่ง (ม.)","river_gid":47465,"river_name":"แม่น้ำยม"}</t>
  </si>
  <si>
    <t>THAIWATER_WL:2963</t>
  </si>
  <si>
    <t>P.2A</t>
  </si>
  <si>
    <t>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</t>
  </si>
  <si>
    <t>{"id":1317572397,"waterlevel_datetime":"2026-10-03 14:00","waterlevel_m":null,"waterlevel_msl":"104.85","waterlevel_msl_previous":"104.86","flow_rate":null,"discharge":"244.30","storage_percent":"31.34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2963,"tele_station_name":{"th":"บ้านท่าแค"},"tele_station_lat":16.855261,"tele_station_long":99.124489,"tele_station_oldcode":"P.2A","tele_station_type":"tele_waterlevel","left_bank":213.82999999999998,"right_bank":213.763,"min_bank":109.78,"ground_level":102.6,"offset":104,"sub_basin_id":179,"agency_id":12,"geocode_id":8496,"hydro_id":2,"qmax":2600,"is_key_station":true,"warning_level_m":null,"critical_level_m":null,"critical_level_msl":null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Municipality"},"province_code":"63","province_name":{"th":"ตาก","en":"Tak"}},"diff_wl_bank":"4.93","diff_wl_bank_text":"ต่ำกว่าตลิ่ง (ม.)","river_gid":91961,"river_name":"แม่น้ำปิง"}</t>
  </si>
  <si>
    <t>THAIWATER_WL:3288</t>
  </si>
  <si>
    <t>P.91</t>
  </si>
  <si>
    <t>บ้านสันปู่เลย</t>
  </si>
  <si>
    <t>น้ำแม่ขอด</t>
  </si>
  <si>
    <t>{"id":1317452593,"waterlevel_datetime":"2026-10-03 09:00","waterlevel_m":null,"waterlevel_msl":"413.79","waterlevel_msl_previous":"413.79","flow_rate":null,"discharge":"1.55","storage_percent":"31.33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3288,"tele_station_name":{"th":"บ้านสันปู่เลย"},"tele_station_lat":19.133591,"tele_station_long":99.166328,"tele_station_oldcode":"P.91","tele_station_type":"tele_waterlevel","left_bank":831.893006,"right_bank":831.942006,"min_bank":417.1,"ground_level":412.28,"offset":413.100006,"sub_basin_id":157,"agency_id":12,"geocode_id":4809,"hydro_id":1,"qmax":171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District"},"tumbon_code":"11","tumbon_name":{"th":"โหล่งขอด","en":"Long Khot"},"province_code":"50","province_name":{"th":"เชียงใหม่","en":"Chiang Mai"}},"diff_wl_bank":"3.31","diff_wl_bank_text":"ต่ำกว่าตลิ่ง (ม.)","river_gid":24269,"river_name":"น้ำแม่ขอด"}</t>
  </si>
  <si>
    <t>THAIWATER_WL:1422368</t>
  </si>
  <si>
    <t>RPBD08</t>
  </si>
  <si>
    <t>สะพานบ้านปากคู่(วัดนิลาราม)อ.คีรีรัฐนิคม ท. 220903</t>
  </si>
  <si>
    <t>{"id":1317591820,"waterlevel_datetime":"2026-10-03 15:00","waterlevel_m":null,"waterlevel_msl":"8.36","waterlevel_msl_previous":"8.35","flow_rate":null,"discharge":null,"storage_percent":"31.32","sort_order":null,"station_type":"tele_waterlevel","situation_level":3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Basin"}},"station":{"id":1422368,"tele_station_name":{"th":"สะพานบ้านปากคู่(วัดนิลาราม)อ.คีรีรัฐนิคม ท. 220903"},"tele_station_lat":9.068123,"tele_station_long":98.98318,"tele_station_oldcode":"RPBD08","tele_station_type":"tele_waterlevel","left_bank":12.182,"right_bank":11.49,"min_bank":11.49,"ground_level":6.93,"offset":null,"sub_basin_id":316,"agency_id":8,"geocode_id":7569,"hydro_id":null,"qmax":null,"is_key_station":false,"warning_level_m":null,"critical_level_m":null,"critical_level_msl":11.49},"geocode":{"area_code":"5","area_name":{"th":"ภาคใต้","en":"South"},"amphoe_code":"08","amphoe_name":{"th":"คีรีรัฐนิคม","en":"Khiri Rat Nikhom District"},"tumbon_code":"02","tumbon_name":{"th":"บ้านยาง","en":"Ban Yang"},"province_code":"84","province_name":{"th":"สุราษฎร์ธานี","en":"Surat Thani"}},"diff_wl_bank":"3.13","diff_wl_bank_text":"ต่ำกว่าตลิ่ง (ม.)"}</t>
  </si>
  <si>
    <t>THAIWATER_WL:2618</t>
  </si>
  <si>
    <t>M.145</t>
  </si>
  <si>
    <t>บ้านวังตะเคียนทอง</t>
  </si>
  <si>
    <t>{"id":1317387841,"waterlevel_datetime":"2026-10-03 06:00","waterlevel_m":null,"waterlevel_msl":"387.00","waterlevel_msl_previous":"387.19","flow_rate":null,"discharge":"5.35","storage_percent":"30.89","sort_order":null,"station_type":"tele_waterlevel","situation_level":3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2618,"tele_station_name":{"th":"บ้านวังตะเคียนทอง"},"tele_station_lat":14.49406,"tele_station_long":101.684914,"tele_station_oldcode":"M.145","tele_station_type":"tele_waterlevel","left_bank":390.4,"right_bank":390.4,"min_bank":390.4,"ground_level":385.48,"offset":383,"sub_basin_id":106,"agency_id":12,"geocode_id":1918,"hydro_id":4,"qmax":150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District"},"tumbon_code":"04","tumbon_name":{"th":"วังกะทะ","en":"Wang Katha"},"province_code":"30","province_name":{"th":"นครราชสีมา","en":"Nakhon Ratchasima"}},"diff_wl_bank":"3.40","diff_wl_bank_text":"ต่ำกว่าตลิ่ง (ม.)","river_gid":154099,"river_name":"ลำพระเพลิง"}</t>
  </si>
  <si>
    <t>THAIWATER_WL:2634</t>
  </si>
  <si>
    <t>X.234</t>
  </si>
  <si>
    <t>บ้านป่าหมาก</t>
  </si>
  <si>
    <t>โรงเรียนวัดใหญ่ศรีสุพรรณ 150 ซอย วัดใหญ่ศรีสุพรรณ 2 แขวง หิรัญรูจี เขตธนบุรี กรุงเทพมหานคร 10600 ประเทศไทย</t>
  </si>
  <si>
    <t>ChIJTQxd_bKY4jARmdAhRvPGbiU</t>
  </si>
  <si>
    <t>c556a28b-893c-7e74-80b7-5b6e95a62bdc</t>
  </si>
  <si>
    <t>โรงเรียนวัดใหม่ยายนุ้ย</t>
  </si>
  <si>
    <t>ผอ.ชัชเวช หมายเลขโทรศัพท์ 086 774 5521</t>
  </si>
  <si>
    <t>{"id":1317523532,"waterlevel_datetime":"2026-10-03 12:00","waterlevel_m":null,"waterlevel_msl":"0.67","waterlevel_msl_previous":"0.72","flow_rate":null,"discharge":"19.40","storage_percent":"30.76","sort_order":null,"station_type":"tele_waterlevel","situation_level":3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2634,"tele_station_name":{"th":"บ้านป่าหมาก"},"tele_station_lat":7.58883,"tele_station_long":99.576874,"tele_station_oldcode":"X.234","tele_station_type":"tele_waterlevel","left_bank":8.046,"right_bank":8.122,"min_bank":6.4,"ground_level":-1.875,"offset":null,"sub_basin_id":349,"agency_id":12,"geocode_id":7973,"hydro_id":8,"qmax":425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District"},"tumbon_code":"17","tumbon_name":{"th":"นาตาล่วง","en":"Na Ta Luang"},"province_code":"92","province_name":{"th":"ตรัง","en":"Trang"}},"diff_wl_bank":"5.73","diff_wl_bank_text":"ต่ำกว่าตลิ่ง (ม.)","river_gid":224630,"river_name":"แม่น้ำตรัง"}</t>
  </si>
  <si>
    <t>{"id":"c556a28b-893c-7e74-80b7-5b6e95a62bdc","district":"ธนบุรี","category":"ศูนย์พักพิงชั่วคราว","name":"โรงเรียนวัดใหม่ยายนุ้ย","capacity":10,"occupied":0,"available":10,"unitType":"คน","status":"เปิดให้บริการ/ว่าง","routeDetails":"","link":null,"additionalDetails":"ผอ.ชัชเวช หมายเลขโทรศัพท์ 086 774 5521","createdAt":"2026-09-26T08:22:22.000Z","updatedAt":"2026-09-26T08:22:22.000Z"}</t>
  </si>
  <si>
    <t>THAIWATER_WL:740736</t>
  </si>
  <si>
    <t>FOP035</t>
  </si>
  <si>
    <t>สะพานข้ามคลองวังเคียน</t>
  </si>
  <si>
    <t>คลองวังเคียน</t>
  </si>
  <si>
    <t>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</t>
  </si>
  <si>
    <t>{"id":1317594034,"waterlevel_datetime":"2026-10-03 15:10","waterlevel_m":null,"waterlevel_msl":"10.79","waterlevel_msl_previous":"10.79","flow_rate":null,"discharge":null,"storage_percent":"30.52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Basin"}},"station":{"id":740736,"tele_station_name":{"en":"Khlong Wang Khian Bridge","th":"สะพานข้ามคลองวังเคียน"},"tele_station_lat":7.954553,"tele_station_long":99.896324,"tele_station_oldcode":"FOP035","tele_station_type":"tele_waterlevel","left_bank":16.0958,"right_bank":16.0498,"min_bank":16.05,"ground_level":8.4798,"offset":null,"sub_basin_id":327,"sponsor_by":"มูลนิธิอาสาเพื่อนพึ่ง (ภาฯ) ยามยาก สภากาชาดไทย","agency_id":91,"geocode_id":7235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District"},"tumbon_code":"05","tumbon_name":{"th":"วังอ่าง","en":"Wang Ang"},"province_code":"80","province_name":{"th":"นครศรีธรรมราช","en":"Nakhon Si Thammarat"}},"diff_wl_bank":"5.26","diff_wl_bank_text":"ต่ำกว่าตลิ่ง (ม.)","river_gid":222949,"river_name":"คลองวังเคียน"}</t>
  </si>
  <si>
    <t>THAIWATER_WL:3304</t>
  </si>
  <si>
    <t>Kh.72</t>
  </si>
  <si>
    <t>บ้านแม่คำหลักเจ็ด</t>
  </si>
  <si>
    <t>แม่น้ำคำ</t>
  </si>
  <si>
    <t>{"id":1317478160,"waterlevel_datetime":"2026-10-03 10:00","waterlevel_m":null,"waterlevel_msl":"394.91","waterlevel_msl_previous":"394.91","flow_rate":null,"discharge":"17.00","storage_percent":"30.48","sort_order":null,"station_type":"tele_waterlevel","situation_level":3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3304,"tele_station_name":{"th":"บ้านแม่คำหลักเจ็ด"},"tele_station_lat":20.218361,"tele_station_long":99.856987,"tele_station_oldcode":"Kh.72","tele_station_type":"tele_waterlevel","left_bank":793.187994,"right_bank":793.1579939999999,"min_bank":398.4,"ground_level":393.38,"offset":393.399994,"sub_basin_id":24,"agency_id":12,"geocode_id":5525,"hydro_id":1,"qmax":170.5,"is_key_station":true,"warning_level_m":null,"critical_level_m":null,"critical_level_msl":null},"geocode":{"area_code":"3","area_name":{"th":"ภาคเหนือ","en":"North"},"amphoe_code":"07","amphoe_name":{"th":"แม่จัน","en":"Mae Chan District"},"tumbon_code":"11","tumbon_name":{"th":"ศรีค้ำ","en":"Si Kham"},"province_code":"57","province_name":{"th":"เชียงราย","en":"Chiang Rai"}},"diff_wl_bank":"3.49","diff_wl_bank_text":"ต่ำกว่าตลิ่ง (ม.)","river_gid":1200,"river_name":"แม่น้ำคำ"}</t>
  </si>
  <si>
    <t>THAIWATER_WL:3292</t>
  </si>
  <si>
    <t>N.22A</t>
  </si>
  <si>
    <t>บ้านท่างาม</t>
  </si>
  <si>
    <t>{"id":1317572375,"waterlevel_datetime":"2026-10-03 14:00","waterlevel_m":null,"waterlevel_msl":"42.56","waterlevel_msl_previous":"42.57","flow_rate":null,"discharge":"21.89","storage_percent":"30.31","sort_order":null,"station_type":"tele_waterlevel","situation_level":3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3292,"tele_station_name":{"th":"บ้านท่างาม"},"tele_station_lat":16.998871,"tele_station_long":100.32663,"tele_station_oldcode":"N.22A","tele_station_type":"tele_waterlevel","left_bank":94.170001,"right_bank":94.76400100000001,"min_bank":49.16,"ground_level":39.689,"offset":41.630001,"sub_basin_id":235,"agency_id":12,"geocode_id":6209,"hydro_id":2,"qmax":408,"is_key_station":true,"warning_level_m":null,"critical_level_m":null,"critical_level_msl":null},"geocode":{"area_code":"3","area_name":{"th":"ภาคเหนือ","en":"North"},"amphoe_code":"07","amphoe_name":{"th":"วัดโบสถ์","en":"Wat Bot District"},"tumbon_code":"01","tumbon_name":{"th":"วัดโบสถ์","en":"Wat Bot"},"province_code":"65","province_name":{"th":"พิษณุโลก","en":"Phitsanulok"}},"diff_wl_bank":"6.60","diff_wl_bank_text":"ต่ำกว่าตลิ่ง (ม.)","river_gid":89620,"river_name":"น้ำแควน้อย"}</t>
  </si>
  <si>
    <t>THAIWATER_WL:1394937</t>
  </si>
  <si>
    <t>MOU419</t>
  </si>
  <si>
    <t>สะพานคลองสนธิ</t>
  </si>
  <si>
    <t>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</t>
  </si>
  <si>
    <t>{"id":1317594093,"waterlevel_datetime":"2026-10-03 15:10","waterlevel_m":null,"waterlevel_msl":"130.27","waterlevel_msl_previous":"130.28","flow_rate":null,"discharge":null,"storage_percent":"30.23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Foundation","jp":""},"agency_shortname":{"th":"พพภ","en":"FOP","jp":""}},"basin":{"id":13,"basin_code":12,"basin_name":{"th":"ลุ่มน้ำป่าสัก","en":"Pasak Basin"}},"station":{"id":1394937,"tele_station_name":{"en":"Khlong Sonthi Bridge","th":"สะพานคลองสนธิ"},"tele_station_lat":15.511389,"tele_station_long":101.34012,"tele_station_oldcode":"MOU419","tele_station_type":"tele_waterlevel","left_bank":133.616,"right_bank":135.562,"min_bank":133.62,"ground_level":128.82,"offset":null,"sub_basin_id":254,"sponsor_by":"มูลนิธิอาสาเพื่อนพึ่ง (ภาฯ) ยามยาก สภากาชาดไทย","agency_id":91,"geocode_id":827,"hydro_id":null,"qmax":null,"is_key_station":false,"warning_level_m":null,"critical_level_m":null,"critical_level_msl":null},"geocode":{"area_code":"2","area_name":{"th":"ภาคกลาง","en":"Central"},"amphoe_code":"10","amphoe_name":{"th":"ลำสนธิ","en":"Lam Sonthi District"},"tumbon_code":"04","tumbon_name":{"th":"กุดตาเพชร","en":"Kut Ta Phet"},"province_code":"16","province_name":{"th":"ลพบุรี","en":"Lop Buri"}},"diff_wl_bank":"3.35","diff_wl_bank_text":"ต่ำกว่าตลิ่ง (ม.)"}</t>
  </si>
  <si>
    <t>THAIWATER_WL:1475118</t>
  </si>
  <si>
    <t>MOU301</t>
  </si>
  <si>
    <t>สะพานน้ำแม่งัด</t>
  </si>
  <si>
    <t>{"id":1317594072,"waterlevel_datetime":"2026-10-03 15:10","waterlevel_m":null,"waterlevel_msl":"398.57","waterlevel_msl_previous":"398.57","flow_rate":null,"discharge":null,"storage_percent":"30.15","sort_order":null,"station_type":"tele_waterlevel","situation_level":3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Basin"}},"station":{"id":1475118,"tele_station_name":{"en":"Ngad Bridge","th":"สะพานน้ำแม่งัด"},"tele_station_lat":19.238968,"tele_station_long":99.18048,"tele_station_oldcode":"MOU301","tele_station_type":"tele_waterlevel","left_bank":401.024,"right_bank":401.7,"min_bank":401.02,"ground_level":397.511,"offset":null,"sub_basin_id":157,"sponsor_by":"บริษัท ไทยเบฟเวอเรจ จำกัด (มหาชน) ","agency_id":91,"geocode_id":4808,"hydro_id":null,"qmax":null,"is_key_station":false,"warning_level_m":null,"critical_level_m":null,"critical_level_msl":null},"geocode":{"area_code":"3","area_name":{"th":"ภาคเหนือ","en":"North"},"amphoe_code":"11","amphoe_name":{"th":"พร้าว","en":"Phrao District"},"tumbon_code":"10","tumbon_name":{"th":"แม่ปั๋ง","en":"Mae Pang"},"province_code":"50","province_name":{"th":"เชียงใหม่","en":"Chiang Mai"}},"diff_wl_bank":"2.45","diff_wl_bank_text":"ต่ำกว่าตลิ่ง (ม.)"}</t>
  </si>
  <si>
    <t>THAIWATER_WL:414</t>
  </si>
  <si>
    <t>CHM004</t>
  </si>
  <si>
    <t>เชียงดาว</t>
  </si>
  <si>
    <t>{"id":1317594264,"waterlevel_datetime":"2026-10-03 15:10","waterlevel_m":null,"waterlevel_msl":"379.14","waterlevel_msl_previous":"379.14","flow_rate":null,"discharge":null,"storage_percent":"30.08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Basin"}},"station":{"id":414,"tele_station_name":{"en":"Chiang Mai 4","th":"เชียงดาว"},"tele_station_lat":19.36728,"tele_station_long":98.96884,"tele_station_oldcode":"CHM004","tele_station_type":"tele_waterlevel","left_bank":381.718,"right_bank":382.388,"min_bank":381.72,"ground_level":378.034,"offset":null,"sub_basin_id":156,"agency_id":9,"geocode_id":4727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District"},"tumbon_code":"01","tumbon_name":{"th":"เชียงดาว","en":"Chiang Dao"},"province_code":"50","province_name":{"th":"เชียงใหม่","en":"Chiang Mai"}},"diff_wl_bank":"2.58","diff_wl_bank_text":"ต่ำกว่าตลิ่ง (ม.)","river_gid":17460,"river_name":"แม่น้ำปิง"}</t>
  </si>
  <si>
    <t>THAIWATER_WL:3286</t>
  </si>
  <si>
    <t>P.92</t>
  </si>
  <si>
    <t>บ้านเมืองกึ๊ด</t>
  </si>
  <si>
    <t>แม่น้ำแม่แตง</t>
  </si>
  <si>
    <t>{"id":1317494201,"waterlevel_datetime":"2026-10-03 11:00","waterlevel_m":null,"waterlevel_msl":"441.40","waterlevel_msl_previous":"441.41","flow_rate":null,"discharge":"36.00","storage_percent":"30.01","sort_order":null,"station_type":"tele_waterlevel","situation_level":3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3286,"tele_station_name":{"th":"บ้านเมืองกึ๊ด"},"tele_station_lat":19.220449,"tele_station_long":98.847214,"tele_station_oldcode":"P.92","tele_station_type":"tele_waterlevel","left_bank":888.065015,"right_bank":888.060015,"min_bank":444.14,"ground_level":440.225,"offset":440.640015,"sub_basin_id":159,"agency_id":12,"geocode_id":4761,"hydro_id":1,"qmax":331.25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District"},"tumbon_code":"12","tumbon_name":{"th":"กื้ดช้าง","en":"Kuet Chang"},"province_code":"50","province_name":{"th":"เชียงใหม่","en":"Chiang Mai"}},"diff_wl_bank":"2.74","diff_wl_bank_text":"ต่ำกว่าตลิ่ง (ม.)","river_gid":21829,"river_name":"แม่น้ำแม่แตง"}</t>
  </si>
  <si>
    <t>THAIWATER_WL:658</t>
  </si>
  <si>
    <t>DIV004</t>
  </si>
  <si>
    <t>คลองผันน้ำยม-น่าน4</t>
  </si>
  <si>
    <t>โรงเรียนวัดใหม่ยายนุ้ย 282 ถนน วุฒากาศ แขวงตลาดพลู เขตธนบุรี กรุงเทพมหานคร 10600 ประเทศไทย</t>
  </si>
  <si>
    <t>ChIJMZfkmGmY4jARwDtWkHTguew</t>
  </si>
  <si>
    <t>5c2ec8ee-0d6c-e5df-03f1-d84da713bb9e</t>
  </si>
  <si>
    <t>โรงเรียนวัดดงมูลเหล็ก</t>
  </si>
  <si>
    <t>https://maps.app.goo.gl/UjCcAbUePvdzGMoZ7</t>
  </si>
  <si>
    <t>{"id":1317594293,"waterlevel_datetime":"2026-10-03 15:10","waterlevel_m":null,"waterlevel_msl":"37.05","waterlevel_msl_previous":"37.05","flow_rate":null,"discharge":null,"storage_percent":"30.00","sort_order":null,"station_type":"tele_waterlevel","situation_level":3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658,"tele_station_name":{"en":"Yom-Nan4","th":"คลองผันน้ำยม-น่าน4"},"tele_station_lat":16.67167,"tele_station_long":100.24581,"tele_station_oldcode":"DIV004","tele_station_type":"tele_waterlevel","left_bank":43.588,"right_bank":43.201,"min_bank":43.2,"ground_level":34.415,"offset":null,"sub_basin_id":215,"agency_id":9,"geocode_id":6153,"hydro_id":null,"qmax":null,"is_key_station":false,"warning_level_m":null,"critical_level_m":null,"critical_level_msl":null},"geocode":{"area_code":"3","area_name":{"th":"ภาคเหนือ","en":"North"},"amphoe_code":"01","amphoe_name":{"th":"เมืองพิษณุโลก","en":"Mueang Phitsanulok District"},"tumbon_code":"20","tumbon_name":{"th":"งิ้วงาม","en":"Ngio Ngam"},"province_code":"65","province_name":{"th":"พิษณุโลก","en":"Phitsanulok"}},"diff_wl_bank":"6.15","diff_wl_bank_text":"ต่ำกว่าตลิ่ง (ม.)","river_gid":93747,"river_name":"แม่น้ำน่าน"}</t>
  </si>
  <si>
    <t>THAIWATER_WL:740537</t>
  </si>
  <si>
    <t>AIT008</t>
  </si>
  <si>
    <t>สะพานห้วยมุก</t>
  </si>
  <si>
    <t>ห้วยมุก</t>
  </si>
  <si>
    <t>เฝ้าระวัง</t>
  </si>
  <si>
    <t>02 411 3981</t>
  </si>
  <si>
    <t>2026-09-26T08:47:06.000Z</t>
  </si>
  <si>
    <t>{"id":"5c2ec8ee-0d6c-e5df-03f1-d84da713bb9e","district":"บางกอกน้อย","category":"ศูนย์พักพิงชั่วคราว","name":"โรงเรียนวัดดงมูลเหล็ก","capacity":30,"occupied":0,"available":30,"unitType":"คน","status":"เปิดให้บริการ/ว่าง","routeDetails":"","link":"https://maps.app.goo.gl/UjCcAbUePvdzGMoZ7","additionalDetails":"02 411 3981","createdAt":"2026-09-26T08:47:06.000Z","updatedAt":"2026-09-26T08:47:06.000Z"}</t>
  </si>
  <si>
    <t>{"id":1317594202,"waterlevel_datetime":"2026-10-03 15:10","waterlevel_m":null,"waterlevel_msl":"128.81","waterlevel_msl_previous":"128.81","flow_rate":null,"discharge":null,"storage_percent":"29.83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Basin"}},"station":{"id":740537,"tele_station_name":{"en":"Huay Muk Bridge","th":"สะพานห้วยมุก"},"tele_station_lat":16.546862,"tele_station_long":104.730385,"tele_station_oldcode":"AIT008","tele_station_type":"tele_waterlevel","left_bank":136.758,"right_bank":137.624,"min_bank":136.76,"ground_level":125.432,"offset":null,"sub_basin_id":73,"sponsor_by":"สถาบันเทคโนโลยีแห่งเอเชีย","agency_id":9,"geocode_id":4631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มุกดาหาร","en":"Mueang Mukdahan District"},"tumbon_code":"01","tumbon_name":{"th":"มุกดาหาร","en":"Mukdahan"},"province_code":"49","province_name":{"th":"มุกดาหาร","en":"Mukdahan"}},"diff_wl_bank":"7.95","diff_wl_bank_text":"ต่ำกว่าตลิ่ง (ม.)","river_gid":129144,"river_name":"ห้วยมุก"}</t>
  </si>
  <si>
    <t>THAIWATER_WL:3156</t>
  </si>
  <si>
    <t>P.14A</t>
  </si>
  <si>
    <t>สะพานท่าข้าม</t>
  </si>
  <si>
    <t>https://www.google.com/maps/place/Wat+Dong+Munlek+School/@13.7514269,100.4727135,1046m/data=!3m2!1e3!4b1!4m6!3m5!1s0x30e299a875861ab9:0xcf456a7aa278a7d5!8m2!3d13.7514217!4d100.4752884!16s%2Fg%2F1hc2bhx43!5m1!1e1?entry=tts&amp;g_ep=EgoyMDI2MDkyMy4wIPu8ASoASAFQAw%3D%3D&amp;skid=5c06af12-ac4f-4c2b-ba56-66d97dda13b3</t>
  </si>
  <si>
    <t>น้ำแม่แจ่ม</t>
  </si>
  <si>
    <t>{"id":1317388183,"waterlevel_datetime":"2026-10-03 05:00","waterlevel_m":null,"waterlevel_msl":"261.86","waterlevel_msl_previous":"261.80","flow_rate":null,"discharge":"71.80","storage_percent":"29.81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3156,"tele_station_name":{"th":"สะพานท่าข้าม"},"tele_station_lat":18.20228,"tele_station_long":98.614441,"tele_station_oldcode":"P.14A","tele_station_type":"tele_waterlevel","left_bank":530.077985,"right_bank":530.096985,"min_bank":264.86,"ground_level":260.586,"offset":261.859985,"sub_basin_id":172,"agency_id":12,"geocode_id":4859,"hydro_id":1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Mai"}},"diff_wl_bank":"3.00","diff_wl_bank_text":"ต่ำกว่าตลิ่ง (ม.)","river_gid":64308,"river_name":"น้ำแม่แจ่ม"}</t>
  </si>
  <si>
    <t>THAIWATER_WL:1198761</t>
  </si>
  <si>
    <t>YOM015</t>
  </si>
  <si>
    <t>แม่ต้า</t>
  </si>
  <si>
    <t>น้ำแม่ต้า</t>
  </si>
  <si>
    <t>{"id":1317594714,"waterlevel_datetime":"2026-10-03 15:10","waterlevel_m":null,"waterlevel_msl":"182.33","waterlevel_msl_previous":"182.33","flow_rate":null,"discharge":null,"storage_percent":"29.77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Basin"}},"station":{"id":1198761,"tele_station_name":{"en":"Mother Ta","th":"แม่ต้า"},"tele_station_lat":18.243488,"tele_station_long":99.97737,"tele_station_oldcode":"YOM015","tele_station_type":"tele_waterlevel","left_bank":185.8563,"right_bank":187.2144,"min_bank":185.86,"ground_level":180.8349,"offset":null,"sub_basin_id":206,"agency_id":9,"geocode_id":5209,"hydro_id":null,"qmax":null,"is_key_station":false,"warning_level_m":null,"critical_level_m":null,"critical_level_msl":null},"geocode":{"area_code":"3","area_name":{"th":"ภาคเหนือ","en":"North"},"amphoe_code":"03","amphoe_name":{"th":"ลอง","en":"Long District"},"tumbon_code":"04","tumbon_name":{"th":"เวียงต้า","en":"Wiang Ta"},"province_code":"54","province_name":{"th":"แพร่","en":"Phrae"}},"diff_wl_bank":"3.53","diff_wl_bank_text":"ต่ำกว่าตลิ่ง (ม.)","river_gid":62334,"river_name":"น้ำแม่ต้า"}</t>
  </si>
  <si>
    <t>THAIWATER_WL:434</t>
  </si>
  <si>
    <t>CHM002</t>
  </si>
  <si>
    <t>ฮอด</t>
  </si>
  <si>
    <t>c7e7e9ca-eea8-5e68-6744-9f991678404c</t>
  </si>
  <si>
    <t>โรงเรียนวัดดุสิตาราม</t>
  </si>
  <si>
    <t>{"id":1317594262,"waterlevel_datetime":"2026-10-03 15:10","waterlevel_m":null,"waterlevel_msl":"256.36","waterlevel_msl_previous":"256.37","flow_rate":null,"discharge":null,"storage_percent":"29.24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Basin"}},"station":{"id":434,"tele_station_name":{"en":"Chiang Mai 2","th":"ฮอด"},"tele_station_lat":18.17859,"tele_station_long":98.63017,"tele_station_oldcode":"CHM002","tele_station_type":"tele_waterlevel","left_bank":260.959,"right_bank":260.835,"min_bank":260.83,"ground_level":254.507,"offset":null,"sub_basin_id":173,"agency_id":9,"geocode_id":4859,"hydro_id":null,"qmax":null,"is_key_station":false,"warning_level_m":null,"critical_level_m":null,"critical_level_msl":null},"geocode":{"area_code":"3","area_name":{"th":"ภาคเหนือ","en":"North"},"amphoe_code":"16","amphoe_name":{"th":"ฮอด","en":"Hot District"},"tumbon_code":"01","tumbon_name":{"th":"หางดง","en":"Hang Dong"},"province_code":"50","province_name":{"th":"เชียงใหม่","en":"Chiang Mai"}},"diff_wl_bank":"4.48","diff_wl_bank_text":"ต่ำกว่าตลิ่ง (ม.)","river_gid":66570,"river_name":"แม่น้ำปิง"}</t>
  </si>
  <si>
    <t>THAIWATER_WL:2581</t>
  </si>
  <si>
    <t>X.184</t>
  </si>
  <si>
    <t>https://maps.app.goo.gl/fc7zNCiTJbjNv1zc8</t>
  </si>
  <si>
    <t>บ้านซากอ</t>
  </si>
  <si>
    <t>{"id":1317539086,"waterlevel_datetime":"2026-10-03 12:00","waterlevel_m":null,"waterlevel_msl":"23.50","waterlevel_msl_previous":"23.55","flow_rate":null,"discharge":"70.00","storage_percent":"29.12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2581,"tele_station_name":{"th":"บ้านซากอ"},"tele_station_lat":6.22716,"tele_station_long":101.496948,"tele_station_oldcode":"X.184","tele_station_type":"tele_waterlevel","left_bank":34.314,"right_bank":34.319,"min_bank":31.4,"ground_level":20.255,"offset":null,"sub_basin_id":338,"agency_id":12,"geocode_id":8383,"hydro_id":8,"qmax":1638,"is_key_station":tru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Sakhon"},"province_code":"96","province_name":{"th":"นราธิวาส","en":"Narathiwat"}},"diff_wl_bank":"7.90","diff_wl_bank_text":"ต่ำกว่าตลิ่ง (ม.)","river_gid":231218,"river_name":"แม่น้ำสายบุรี"}</t>
  </si>
  <si>
    <t>THAIWATER_WL:464</t>
  </si>
  <si>
    <t>WAN002</t>
  </si>
  <si>
    <t>แม่พริก</t>
  </si>
  <si>
    <t>02 424 0418</t>
  </si>
  <si>
    <t>2026-09-26T13:09:01.859Z</t>
  </si>
  <si>
    <t>{"id":"c7e7e9ca-eea8-5e68-6744-9f991678404c","district":"บางกอกน้อย","category":"ศูนย์พักพิงชั่วคราว","name":"โรงเรียนวัดดุสิตาราม","capacity":100,"occupied":0,"available":100,"unitType":"คน","status":"เปิดให้บริการ/ว่าง","routeDetails":"","link":"https://maps.app.goo.gl/fc7zNCiTJbjNv1zc8","additionalDetails":"02 424 0418","createdAt":"2026-09-26T08:47:06.000Z","updatedAt":"2026-09-26T13:09:01.859Z"}</t>
  </si>
  <si>
    <t>https://www.google.com/maps/place/%E0%B9%82%E0%B8%A3%E0%B8%87%E0%B9%80%E0%B8%A3%E0%B8%B5%E0%B8%A2%E0%B8%99%E0%B8%A7%E0%B8%B1%E0%B8%94%E0%B8%94%E0%B8%B8%E0%B8%AA%E0%B8%B4%E0%B8%95%E0%B8%B2%E0%B8%A3%E0%B8%B2%E0%B8%A1/@13.7636107,100.4857019,1046m/data=!3m1!1e3!4m7!3m6!1s0x30e29996585600b5:0x7604d08706c83611!8m2!3d13.7640487!4d100.487278!15sCjzguYLguKPguIfguYDguKPguLXguKLguJnguKfguLHguJTguJTguLjguKrguLTguJXguLLguKPguLLguKGSARFlbGVtZW50YXJ5X3NjaG9vbOABAA!16s%2Fg%2F11vhk6v9ky!5m1!1e1?entry=tts&amp;g_ep=EgoyMDI2MDkyMy4wIPu8ASoASAFQAw%3D%3D&amp;skid=c670abdd-af06-412e-868d-666193b575de</t>
  </si>
  <si>
    <t>{"id":1317594691,"waterlevel_datetime":"2026-10-03 15:10","waterlevel_m":null,"waterlevel_msl":"147.58","waterlevel_msl_previous":"147.58","flow_rate":null,"discharge":null,"storage_percent":"29.01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Basin"}},"station":{"id":464,"tele_station_name":{"en":"Wang 2","th":"แม่พริก"},"tele_station_lat":17.44521,"tele_station_long":99.12897,"tele_station_oldcode":"WAN002","tele_station_type":"tele_waterlevel","left_bank":154.891,"right_bank":155.346,"min_bank":154.89,"ground_level":144.593,"offset":null,"sub_basin_id":194,"agency_id":9,"geocode_id":5059,"hydro_id":null,"qmax":null,"is_key_station":false,"warning_level_m":null,"critical_level_m":null,"critical_level_msl":null},"geocode":{"area_code":"3","area_name":{"th":"ภาคเหนือ","en":"North"},"amphoe_code":"09","amphoe_name":{"th":"แม่พริก","en":"Mae Phrik District"},"tumbon_code":"01","tumbon_name":{"th":"แม่พริก","en":"Mae Phrik"},"province_code":"52","province_name":{"th":"ลำปาง","en":"Lampang"}},"diff_wl_bank":"7.31","diff_wl_bank_text":"ต่ำกว่าตลิ่ง (ม.)","river_gid":83010,"river_name":"แม่น้ำวัง"}</t>
  </si>
  <si>
    <t>THAIWATER_WL:726656</t>
  </si>
  <si>
    <t>X.243</t>
  </si>
  <si>
    <t>บ้านควนกลาง (1)</t>
  </si>
  <si>
    <t>{"id":1317523533,"waterlevel_datetime":"2026-10-03 12:00","waterlevel_m":null,"waterlevel_msl":"39.66","waterlevel_msl_previous":"39.66","flow_rate":null,"discharge":"10.20","storage_percent":"28.99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Basin"}},"station":{"id":726656,"tele_station_name":{"th":"บ้านควนกลาง (1)"},"tele_station_lat":8.555,"tele_station_long":99.569283,"tele_station_oldcode":"X.243","tele_station_type":"tele_waterlevel","left_bank":44.546,"right_bank":44.396,"min_bank":43.58,"ground_level":38.06,"offset":null,"sub_basin_id":318,"agency_id":12,"geocode_id":7215,"hydro_id":8,"qmax":223.449997,"is_key_station":true,"warning_level_m":null,"critical_level_m":null,"critical_level_msl":null},"geocode":{"area_code":"5","area_name":{"th":"ภาคใต้","en":"South"},"amphoe_code":"05","amphoe_name":{"th":"พิปูน","en":"Phipun District"},"tumbon_code":"02","tumbon_name":{"th":"กะทูน","en":"Kathun"},"province_code":"80","province_name":{"th":"นครศรีธรรมราช","en":"Nakhon Si Thammarat"}},"diff_wl_bank":"3.92","diff_wl_bank_text":"ต่ำกว่าตลิ่ง (ม.)","river_gid":219081,"river_name":"แม่น้ำตาปี"}</t>
  </si>
  <si>
    <t>THAIWATER_WL:3253</t>
  </si>
  <si>
    <t>P.75</t>
  </si>
  <si>
    <t>บ้านช่อแล</t>
  </si>
  <si>
    <t>เหมืองสายล่าง</t>
  </si>
  <si>
    <t>{"id":1317494193,"waterlevel_datetime":"2026-10-03 11:00","waterlevel_m":null,"waterlevel_msl":"338.21","waterlevel_msl_previous":"338.22","flow_rate":null,"discharge":"19.85","storage_percent":"28.97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3253,"tele_station_name":{"th":"บ้านช่อแล"},"tele_station_lat":19.14599,"tele_station_long":99.007332,"tele_station_oldcode":"P.75","tele_station_type":"tele_waterlevel","left_bank":682.684006,"right_bank":682.709006,"min_bank":341.3,"ground_level":336.95,"offset":337.600006,"sub_basin_id":158,"agency_id":12,"geocode_id":4753,"hydro_id":1,"qmax":210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District"},"tumbon_code":"04","tumbon_name":{"th":"ช่อแล","en":"Cho Lae"},"province_code":"50","province_name":{"th":"เชียงใหม่","en":"Chiang Mai"}},"diff_wl_bank":"3.09","diff_wl_bank_text":"ต่ำกว่าตลิ่ง (ม.)","river_gid":23709,"river_name":"เหมืองสายล่าง"}</t>
  </si>
  <si>
    <t>THAIWATER_WL:1126506</t>
  </si>
  <si>
    <t>PLG001</t>
  </si>
  <si>
    <t>สะพานข้ามคลองบ้านท่าวัง</t>
  </si>
  <si>
    <t>คลองอ้ายโต</t>
  </si>
  <si>
    <t>{"id":1317594520,"waterlevel_datetime":"2026-10-03 15:10","waterlevel_m":null,"waterlevel_msl":"16.20","waterlevel_msl_previous":"16.20","flow_rate":null,"discharge":null,"storage_percent":"28.89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Basin"}},"station":{"id":1126506,"tele_station_name":{"en":"Ban Tha Wang Bridge ","th":"สะพานข้ามคลองบ้านท่าวัง"},"tele_station_lat":7.37654,"tele_station_long":100.10043,"tele_station_oldcode":"PLG001","tele_station_type":"tele_waterlevel","left_bank":22.209,"right_bank":22.672,"min_bank":22.21,"ground_level":13.757,"offset":null,"sub_basin_id":329,"agency_id":9,"geocode_id":8124,"hydro_id":null,"qmax":null,"is_key_station":false,"warning_level_m":null,"critical_level_m":null,"critical_level_msl":null},"geocode":{"area_code":"5","area_name":{"th":"ภาคใต้","en":"South"},"amphoe_code":"09","amphoe_name":{"th":"บางแก้ว","en":"Bang Kaeo District"},"tumbon_code":"03","tumbon_name":{"th":"โคกสัก","en":"Khok Sak"},"province_code":"93","province_name":{"th":"พัทลุง","en":"Phatthalung"}},"diff_wl_bank":"6.01","diff_wl_bank_text":"ต่ำกว่าตลิ่ง (ม.)","river_gid":225521,"river_name":"คลองอ้ายโต"}</t>
  </si>
  <si>
    <t>THAIWATER_WL:642753</t>
  </si>
  <si>
    <t>MOU035</t>
  </si>
  <si>
    <t>สะพานน้ำขว้าง บ้านร้องแง</t>
  </si>
  <si>
    <t>น้ำขว้าง</t>
  </si>
  <si>
    <t>1639e943-23d8-bf28-90fa-188322402eee</t>
  </si>
  <si>
    <t>โรงเรียนวัดบางขุนนนท์</t>
  </si>
  <si>
    <t>https://maps.app.goo.gl/PG2qVn4tGCaPwnB98</t>
  </si>
  <si>
    <t>{"id":1317594059,"waterlevel_datetime":"2026-10-03 15:10","waterlevel_m":null,"waterlevel_msl":"257.02","waterlevel_msl_previous":"257.02","flow_rate":null,"discharge":null,"storage_percent":"28.72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Basin"}},"station":{"id":642753,"tele_station_name":{"en":"Nam Khwang (Ban Rong Ngae) Bridge","th":"สะพานน้ำขว้าง บ้านร้องแง"},"tele_station_lat":19.175901,"tele_station_long":100.92981,"tele_station_oldcode":"MOU035","tele_station_type":"tele_waterlevel","left_bank":259.321,"right_bank":259.738,"min_bank":259.32,"ground_level":256.093,"offset":null,"sub_basin_id":216,"sponsor_by":"บริษัท แอดวานซ์ อินโฟร์ เซอร์วิส จำกัด (มหาชน)","agency_id":91,"geocode_id":5302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District"},"tumbon_code":"14","tumbon_name":{"th":"วรนคร","en":"Wara Nakhon"},"province_code":"55","province_name":{"th":"น่าน","en":"Nan"}},"diff_wl_bank":"2.30","diff_wl_bank_text":"ต่ำกว่าตลิ่ง (ม.)","river_gid":22809,"river_name":"น้ำขว้าง"}</t>
  </si>
  <si>
    <t>THAIWATER_WL:2863</t>
  </si>
  <si>
    <t>E.8A</t>
  </si>
  <si>
    <t>บ้านดินดำ</t>
  </si>
  <si>
    <t>02 424 5827</t>
  </si>
  <si>
    <t>{"id":"1639e943-23d8-bf28-90fa-188322402eee","district":"บางกอกน้อย","category":"ศูนย์พักพิงชั่วคราว","name":"โรงเรียนวัดบางขุนนนท์","capacity":30,"occupied":0,"available":30,"unitType":"คน","status":"เปิดให้บริการ/ว่าง","routeDetails":"","link":"https://maps.app.goo.gl/PG2qVn4tGCaPwnB98","additionalDetails":"02 424 5827","createdAt":"2026-09-26T08:47:06.000Z","updatedAt":"2026-09-26T08:47:06.000Z"}</t>
  </si>
  <si>
    <t>{"id":1317573777,"waterlevel_datetime":"2026-10-03 14:00","waterlevel_m":null,"waterlevel_msl":"137.73","waterlevel_msl_previous":"137.75","flow_rate":null,"discharge":"195.86","storage_percent":"28.65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2863,"tele_station_name":{"th":"บ้านดินดำ"},"tele_station_lat":16.231939,"tele_station_long":103.271019,"tele_station_oldcode":"E.8A","tele_station_type":"tele_waterlevel","left_bank":282.158997,"right_bank":281.893997,"min_bank":142.7,"ground_level":135.734,"offset":133.199997,"sub_basin_id":96,"agency_id":12,"geocode_id":3866,"hydro_id":3,"qmax":730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มหาสารคาม","en":"Mueang Maha Sarakham District"},"tumbon_code":"07","tumbon_name":{"th":"เกิ้ง","en":"Koeng"},"province_code":"44","province_name":{"th":"มหาสารคาม","en":"Maha Sarakham"}},"diff_wl_bank":"4.97","diff_wl_bank_text":"ต่ำกว่าตลิ่ง (ม.)","river_gid":133022,"river_name":"แม่น้ำชี"}</t>
  </si>
  <si>
    <t>THAIWATER_WL:3523</t>
  </si>
  <si>
    <t>URTD01</t>
  </si>
  <si>
    <t>ลำน้ำพอง (เหนือฝายหนองหวาย)</t>
  </si>
  <si>
    <t>https://www.google.com/maps/place/%E0%B9%82%E0%B8%A3%E0%B8%87%E0%B9%80%E0%B8%A3%E0%B8%B5%E0%B8%A2%E0%B8%99%E0%B8%A7%E0%B8%B1%E0%B8%94%E0%B8%9A%E0%B8%B2%E0%B8%87%E0%B8%82%E0%B8%B8%E0%B8%99%E0%B8%99%E0%B8%99%E0%B8%97%E0%B9%8C/@13.7671967,100.4664853,1046m/data=!3m2!1e3!4b1!4m6!3m5!1s0x30e2999109226681:0xa86a0645f210ea2!8m2!3d13.7671915!4d100.4690602!16s%2Fg%2F1pp2tl88f!5m1!1e1?entry=tts&amp;g_ep=EgoyMDI2MDkyMy4wIPu8ASoASAFQAw%3D%3D&amp;skid=0a71ae91-ad21-4c34-af6d-ece8350850a4</t>
  </si>
  <si>
    <t>ลำน้ำพอง</t>
  </si>
  <si>
    <t>{"id":1317490897,"waterlevel_datetime":"2026-10-03 11:00","waterlevel_m":null,"waterlevel_msl":"162.48","waterlevel_msl_previous":"162.46","flow_rate":null,"discharge":null,"storage_percent":"28.61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Basin"}},"station":{"id":3523,"tele_station_name":{"th":"ลำน้ำพอง (เหนือฝายหนองหวาย)"},"tele_station_lat":16.724766,"tele_station_long":102.803416,"tele_station_oldcode":"URTD01","tele_station_type":"tele_waterlevel","left_bank":168.4849,"right_bank":168.5369,"min_bank":168.48,"ground_level":160.0759,"offset":null,"sub_basin_id":93,"agency_id":8,"geocode_id":3288,"hydro_id":null,"qmax":null,"is_key_station":false,"warning_level_m":null,"critical_level_m":null,"critical_level_msl":164.91},"geocode":{"area_code":"4","area_name":{"th":"ภาคตะวันออกเฉียงเหนือ","en":"Northeast"},"amphoe_code":"07","amphoe_name":{"th":"น้ำพอง","en":"Nam Phong District"},"tumbon_code":"01","tumbon_name":{"th":"น้ำพอง","en":"Nam Phong"},"province_code":"40","province_name":{"th":"ขอนแก่น","en":"Khon Kaen"}},"diff_wl_bank":"6.00","diff_wl_bank_text":"ต่ำกว่าตลิ่ง (ม.)","river_gid":128401,"river_name":"ลำน้ำพอง"}</t>
  </si>
  <si>
    <t>THAIWATER_WL:1095878</t>
  </si>
  <si>
    <t>X.283</t>
  </si>
  <si>
    <t>บ้านปรีกี</t>
  </si>
  <si>
    <t>{"id":1317523558,"waterlevel_datetime":"2026-10-03 12:00","waterlevel_m":null,"waterlevel_msl":"4.34","waterlevel_msl_previous":"4.41","flow_rate":null,"discharge":null,"storage_percent":"28.56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1095878,"tele_station_name":{"th":"บ้านปรีกี"},"tele_station_lat":6.715493,"tele_station_long":101.285399,"tele_station_oldcode":"X.283","tele_station_type":"tele_waterlevel","left_bank":11.255,"right_bank":11.214,"min_bank":10,"ground_level":2.077,"offset":0,"sub_basin_id":336,"agency_id":12,"geocode_id":8250,"hydro_id":8,"qmax":460,"is_key_station":true,"warning_level_m":null,"critical_level_m":null,"critical_level_msl":null},"geocode":{"area_code":"5","area_name":{"th":"ภาคใต้","en":"South"},"amphoe_code":"10","amphoe_name":{"th":"ยะรัง","en":"Yarang District"},"tumbon_code":"08","tumbon_name":{"th":"กระโด","en":"Krado"},"province_code":"94","province_name":{"th":"ปัตตานี","en":"Pattani"}},"diff_wl_bank":"5.66","diff_wl_bank_text":"ต่ำกว่าตลิ่ง (ม.)","river_gid":228847,"river_name":"แม่น้ำปัตตานี"}</t>
  </si>
  <si>
    <t>THAIWATER_WL:670715</t>
  </si>
  <si>
    <t>FOP016</t>
  </si>
  <si>
    <t>ลำน้ำสานบ้านทุ่งยาวเหนือ</t>
  </si>
  <si>
    <t>น้ำแม่สาร</t>
  </si>
  <si>
    <t>{"id":1317594027,"waterlevel_datetime":"2026-10-03 15:10","waterlevel_m":null,"waterlevel_msl":"317.89","waterlevel_msl_previous":"317.89","flow_rate":null,"discharge":null,"storage_percent":"28.51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Basin"}},"station":{"id":670715,"tele_station_name":{"en":"Ban Thung Yao Nuea Bridge","th":"ลำน้ำสานบ้านทุ่งยาวเหนือ"},"tele_station_lat":18.511826,"tele_station_long":99.07731,"tele_station_oldcode":"FOP016","tele_station_type":"tele_waterlevel","left_bank":323.925,"right_bank":324.802,"min_bank":323.93,"ground_level":315.483,"offset":null,"sub_basin_id":163,"sponsor_by":"มูลนิธิอาสาเพื่อนพึ่ง (ภาฯ) ยามยาก สภากาชาดไทย","agency_id":91,"geocode_id":4934,"hydro_id":null,"qmax":null,"is_key_station":false,"warning_level_m":null,"critical_level_m":null,"critical_level_msl":null},"geocode":{"area_code":"3","area_name":{"th":"ภาคเหนือ","en":"North"},"amphoe_code":"01","amphoe_name":{"th":"เมืองลำพูน","en":"Mueang Lamphun District"},"tumbon_code":"16","tumbon_name":{"th":"ศรีบัวบาน","en":"Si Bua Ban"},"province_code":"51","province_name":{"th":"ลำพูน","en":"Lamphun"}},"diff_wl_bank":"6.04","diff_wl_bank_text":"ต่ำกว่าตลิ่ง (ม.)","river_gid":52045,"river_name":"น้ำแม่สาร"}</t>
  </si>
  <si>
    <t>THAIWATER_WL:1113291</t>
  </si>
  <si>
    <t>SKU03</t>
  </si>
  <si>
    <t>อ.เมืองน่าน (N.1)</t>
  </si>
  <si>
    <t>4bb88f52-ff6d-d071-ba1d-9a9f649c1fd0</t>
  </si>
  <si>
    <t>โรงเรียนวัดบางเสาธง</t>
  </si>
  <si>
    <t>https://maps.app.goo.gl/5X1wFufXFjNG1PRx9</t>
  </si>
  <si>
    <t>{"id":1317593025,"waterlevel_datetime":"2026-10-03 15:00","waterlevel_m":null,"waterlevel_msl":"193.11","waterlevel_msl_previous":"193.11","flow_rate":null,"discharge":null,"storage_percent":"28.39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Basin"}},"station":{"id":1113291,"tele_station_name":{"th":"อ.เมืองน่าน (N.1)"},"tele_station_lat":18.77485,"tele_station_long":100.77974,"tele_station_oldcode":"SKU03","tele_station_type":"tele_waterlevel","left_bank":204.225,"right_bank":204.152,"min_bank":204.15,"ground_level":188.73,"offset":null,"sub_basin_id":220,"agency_id":8,"geocode_id":5369,"hydro_id":null,"qmax":null,"is_key_station":false,"warning_level_m":null,"critical_level_m":null,"critical_level_msl":199.2},"geocode":{"area_code":"3","area_name":{"th":"ภาคเหนือ","en":"North"},"amphoe_code":"14","amphoe_name":{"th":"ภูเพียง","en":"Phu Phiang District"},"tumbon_code":"07","tumbon_name":{"th":"ฝายแก้ว","en":"Fai Kaeo"},"province_code":"55","province_name":{"th":"น่าน","en":"Nan"}},"diff_wl_bank":"11.04","diff_wl_bank_text":"ต่ำกว่าตลิ่ง (ม.)","river_gid":39638,"river_name":"แม่น้ำน่าน"}</t>
  </si>
  <si>
    <t>THAIWATER_WL:510</t>
  </si>
  <si>
    <t>NAN001</t>
  </si>
  <si>
    <t>ท่าวังผา</t>
  </si>
  <si>
    <t>02 411 2256</t>
  </si>
  <si>
    <t>{"id":"4bb88f52-ff6d-d071-ba1d-9a9f649c1fd0","district":"บางกอกน้อย","category":"ศูนย์พักพิงชั่วคราว","name":"โรงเรียนวัดบางเสาธง","capacity":30,"occupied":0,"available":30,"unitType":"คน","status":"เปิดให้บริการ/ว่าง","routeDetails":"","link":"https://maps.app.goo.gl/5X1wFufXFjNG1PRx9","additionalDetails":"02 411 2256","createdAt":"2026-09-26T08:47:06.000Z","updatedAt":"2026-09-26T08:47:06.000Z"}</t>
  </si>
  <si>
    <t>{"id":1317594438,"waterlevel_datetime":"2026-10-03 15:10","waterlevel_m":null,"waterlevel_msl":"218.30","waterlevel_msl_previous":"218.31","flow_rate":null,"discharge":null,"storage_percent":"28.26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Basin"}},"station":{"id":510,"tele_station_name":{"en":"Nan 1","th":"ท่าวังผา"},"tele_station_lat":19.09611,"tele_station_long":100.80258,"tele_station_oldcode":"NAN001","tele_station_type":"tele_waterlevel","left_bank":223.307,"right_bank":223.474,"min_bank":223.31,"ground_level":216.328,"offset":null,"sub_basin_id":218,"agency_id":9,"geocode_id":5312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District"},"tumbon_code":"09","tumbon_name":{"th":"ท่าวังผา","en":"Tha Wang Pha"},"province_code":"55","province_name":{"th":"น่าน","en":"Nan"}},"diff_wl_bank":"5.01","diff_wl_bank_text":"ต่ำกว่าตลิ่ง (ม.)","river_gid":25992,"river_name":"แม่น้ำน่าน"}</t>
  </si>
  <si>
    <t>THAIWATER_WL:1116839</t>
  </si>
  <si>
    <t>https://www.google.com/maps/place/%E0%B9%82%E0%B8%A3%E0%B8%87%E0%B9%80%E0%B8%A3%E0%B8%B5%E0%B8%A2%E0%B8%99%E0%B8%A7%E0%B8%B1%E0%B8%94%E0%B8%9A%E0%B8%B2%E0%B8%87%E0%B9%80%E0%B8%AA%E0%B8%B2%E0%B8%98%E0%B8%87/@13.7433755,100.4648841,1046m/data=!3m2!1e3!4b1!4m6!3m5!1s0x30e299b6abdb94bf:0xc53a05002f807a35!8m2!3d13.7433703!4d100.467459!16s%2Fg%2F1ptzgrj_h!5m1!1e1?entry=tts&amp;g_ep=EgoyMDI2MDkyMy4wIPu8ASoASAFQAw%3D%3D&amp;skid=52bd52f9-3f44-4e53-adaa-255d38c2cf04</t>
  </si>
  <si>
    <t>FOP065</t>
  </si>
  <si>
    <t>สะพานข้ามแม่น้ำลาว-บ้านป่าสัก</t>
  </si>
  <si>
    <t>{"id":1317594049,"waterlevel_datetime":"2026-10-03 15:10","waterlevel_m":null,"waterlevel_msl":"544.26","waterlevel_msl_previous":"544.25","flow_rate":null,"discharge":null,"storage_percent":"28.24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Basin"}},"station":{"id":1116839,"tele_station_name":{"en":"Bridge over the Lao River - Ban Pa Sak","th":"สะพานข้ามแม่น้ำลาว-บ้านป่าสัก"},"tele_station_lat":19.301765,"tele_station_long":99.51751,"tele_station_oldcode":"FOP065","tele_station_type":"tele_waterlevel","left_bank":547.502,"right_bank":548.18,"min_bank":547.5,"ground_level":542.984,"offset":null,"sub_basin_id":28,"sponsor_by":"มูลนิธิอาสาเพื่อนพึ่ง (ภาฯ) ยามยาก สภากาชาดไทย","agency_id":91,"geocode_id":5556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District"},"tumbon_code":"04","tumbon_name":{"th":"ป่างิ้ว","en":"Pa Ngio"},"province_code":"57","province_name":{"th":"เชียงราย","en":"Chiang Rai"}},"diff_wl_bank":"3.24","diff_wl_bank_text":"ต่ำกว่าตลิ่ง (ม.)","river_gid":19272,"river_name":"น้ำแม่ลาว"}</t>
  </si>
  <si>
    <t>THAIWATER_WL:700592</t>
  </si>
  <si>
    <t>MKVKD09</t>
  </si>
  <si>
    <t>วัดหินแท่น (K.62)</t>
  </si>
  <si>
    <t>ลำภาชี</t>
  </si>
  <si>
    <t>{"id":1317593153,"waterlevel_datetime":"2026-10-03 15:00","waterlevel_m":null,"waterlevel_msl":"50.30","waterlevel_msl_previous":"50.30","flow_rate":null,"discharge":"37.94","storage_percent":"28.23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Basin"}},"station":{"id":700592,"tele_station_name":{"th":"วัดหินแท่น (K.62)"},"tele_station_lat":13.78093,"tele_station_long":99.42085,"tele_station_oldcode":"MKVKD09","tele_station_type":"tele_waterlevel","left_bank":55.07,"right_bank":55.094,"min_bank":55.07,"ground_level":48.421,"offset":null,"sub_basin_id":274,"agency_id":8,"geocode_id":6683,"hydro_id":null,"qmax":null,"is_key_station":false,"warning_level_m":null,"critical_level_m":null,"critical_level_msl":53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Phai"},"province_code":"71","province_name":{"th":"กาญจนบุรี","en":"Kanchanaburi"}},"diff_wl_bank":"4.77","diff_wl_bank_text":"ต่ำกว่าตลิ่ง (ม.)","river_gid":186944,"river_name":"ลำภาชี"}</t>
  </si>
  <si>
    <t>THAIWATER_WL:1113292</t>
  </si>
  <si>
    <t>SKU04</t>
  </si>
  <si>
    <t>อ.เวียงสา (N.13A) น้ำน่าน</t>
  </si>
  <si>
    <t>{"id":1317593026,"waterlevel_datetime":"2026-10-03 15:00","waterlevel_m":null,"waterlevel_msl":"178.51","waterlevel_msl_previous":"178.51","flow_rate":null,"discharge":null,"storage_percent":"28.05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Basin"}},"station":{"id":1113292,"tele_station_name":{"th":"อ.เวียงสา (N.13A) น้ำน่าน"},"tele_station_lat":18.549993,"tele_station_long":100.760637,"tele_station_oldcode":"SKU04","tele_station_type":"tele_waterlevel","left_bank":190.325,"right_bank":192.595,"min_bank":190.33,"ground_level":173.903,"offset":null,"sub_basin_id":226,"agency_id":8,"geocode_id":5320,"hydro_id":null,"qmax":null,"is_key_station":false,"warning_level_m":null,"critical_level_m":null,"critical_level_msl":183.9},"geocode":{"area_code":"3","area_name":{"th":"ภาคเหนือ","en":"North"},"amphoe_code":"07","amphoe_name":{"th":"เวียงสา","en":"Wiang Sa District"},"tumbon_code":"06","tumbon_name":{"th":"ส้าน","en":"San"},"province_code":"55","province_name":{"th":"น่าน","en":"Nan"}},"diff_wl_bank":"11.81","diff_wl_bank_text":"ต่ำกว่าตลิ่ง (ม.)","river_gid":49352,"river_name":"แม่น้ำน่าน"}</t>
  </si>
  <si>
    <t>THAIWATER_WL:2644</t>
  </si>
  <si>
    <t>X.149</t>
  </si>
  <si>
    <t>บ้านท้า่ยนา</t>
  </si>
  <si>
    <t>5e75a580-0fd8-99b2-0aa7-1e5f25e603a4</t>
  </si>
  <si>
    <t>โรงเรียนวัดปฐมบุตรอิศราราม</t>
  </si>
  <si>
    <t>https://maps.app.goo.gl/phNZeL9hHE3dgBMR9</t>
  </si>
  <si>
    <t>{"id":1317539057,"waterlevel_datetime":"2026-10-03 12:00","waterlevel_m":null,"waterlevel_msl":"26.62","waterlevel_msl_previous":"26.62","flow_rate":null,"discharge":null,"storage_percent":"27.89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2644,"tele_station_name":{"th":"บ้านท้า่ยนา"},"tele_station_lat":8.73097,"tele_station_long":99.746094,"tele_station_oldcode":"X.149","tele_station_type":"tele_waterlevel","left_bank":36.183,"right_bank":36.121,"min_bank":32.85,"ground_level":24.211,"offset":null,"sub_basin_id":326,"agency_id":12,"geocode_id":7353,"hydro_id":8,"qmax":1357.5,"is_key_station":false,"warning_level_m":null,"critical_level_m":null,"critical_level_msl":null},"geocode":{"area_code":"5","area_name":{"th":"ภาคใต้","en":"South"},"amphoe_code":"21","amphoe_name":{"th":"นบพิตำ","en":"Nopphitam District"},"tumbon_code":"01","tumbon_name":{"th":"นบพิตำ","en":"Nopphitam"},"province_code":"80","province_name":{"th":"นครศรีธรรมราช","en":"Nakhon Si Thammarat"}},"diff_wl_bank":"6.23","diff_wl_bank_text":"ต่ำกว่าตลิ่ง (ม.)","river_gid":218251,"river_name":"คลองกลาย"}</t>
  </si>
  <si>
    <t>THAIWATER_WL:12483</t>
  </si>
  <si>
    <t>NKO003</t>
  </si>
  <si>
    <t>ถ้ำพรรณรา</t>
  </si>
  <si>
    <t>02 424 0415</t>
  </si>
  <si>
    <t>{"id":"5e75a580-0fd8-99b2-0aa7-1e5f25e603a4","district":"บางกอกน้อย","category":"ศูนย์พักพิงชั่วคราว","name":"โรงเรียนวัดปฐมบุตรอิศราราม","capacity":30,"occupied":0,"available":30,"unitType":"คน","status":"เปิดให้บริการ/ว่าง","routeDetails":"","link":"https://maps.app.goo.gl/phNZeL9hHE3dgBMR9","additionalDetails":"02 424 0415","createdAt":"2026-09-26T08:47:06.000Z","updatedAt":"2026-09-26T08:47:06.000Z"}</t>
  </si>
  <si>
    <t>{"id":1317594455,"waterlevel_datetime":"2026-10-03 15:10","waterlevel_m":null,"waterlevel_msl":"13.34","waterlevel_msl_previous":"13.34","flow_rate":null,"discharge":null,"storage_percent":"27.87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Basin"}},"station":{"id":12483,"tele_station_name":{"en":"Nakhon Si Thammarat 3","th":"ถ้ำพรรณรา"},"tele_station_lat":8.391227,"tele_station_long":99.39519,"tele_station_oldcode":"NKO003","tele_station_type":"tele_waterlevel","left_bank":20.854,"right_bank":21.854,"min_bank":20.85,"ground_level":10.436,"offset":null,"sub_basin_id":319,"agency_id":9,"geocode_id":7337,"hydro_id":null,"qmax":null,"is_key_station":false,"warning_level_m":null,"critical_level_m":null,"critical_level_msl":null},"geocode":{"area_code":"5","area_name":{"th":"ภาคใต้","en":"South"},"amphoe_code":"18","amphoe_name":{"th":"ถ้ำพรรณรา","en":"Tham Phannara District"},"tumbon_code":"01","tumbon_name":{"th":"ถ้ำพรรณรา","en":"Tham Phannara"},"province_code":"80","province_name":{"th":"นครศรีธรรมราช","en":"Nakhon Si Thammarat"}},"diff_wl_bank":"7.51","diff_wl_bank_text":"ต่ำกว่าตลิ่ง (ม.)","river_gid":220338,"river_name":"แม่น้ำตาปี"}</t>
  </si>
  <si>
    <t>https://www.google.com/maps/place/Wat+Pathom+But+Isararam+School/@13.7731725,100.4739528,1046m/data=!3m2!1e3!4b1!4m6!3m5!1s0x30e29985b29eec81:0x772a578e9999e536!8m2!3d13.7731673!4d100.4765277!16s%2Fg%2F1hc40vgvn!5m1!1e1?entry=tts&amp;g_ep=EgoyMDI2MDkyMy4wIPu8ASoASAFQAw%3D%3D&amp;skid=1c418db2-f4b0-4064-8c62-920767acf464</t>
  </si>
  <si>
    <t>THAIWATER_WL:2867</t>
  </si>
  <si>
    <t>E.70</t>
  </si>
  <si>
    <t>บ้านกุดก่วง</t>
  </si>
  <si>
    <t>ลำน้ำยัง</t>
  </si>
  <si>
    <t>{"id":1317573790,"waterlevel_datetime":"2026-10-03 14:00","waterlevel_m":null,"waterlevel_msl":"132.48","waterlevel_msl_previous":"132.49","flow_rate":null,"discharge":"17.48","storage_percent":"27.72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2867,"tele_station_name":{"th":"บ้านกุดก่วง"},"tele_station_lat":16.288441,"tele_station_long":104.00489,"tele_station_oldcode":"E.70","tele_station_type":"tele_waterlevel","left_bank":275.742006,"right_bank":275.181006,"min_bank":140.1,"ground_level":129.558,"offset":131.100006,"sub_basin_id":101,"agency_id":12,"geocode_id":4098,"hydro_id":3,"qmax":500,"is_key_station":tru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District"},"tumbon_code":"13","tumbon_name":{"th":"วังสามัคคี","en":"Wang Samakkhi"},"province_code":"45","province_name":{"th":"ร้อยเอ็ด","en":"Roi Et"}},"diff_wl_bank":"7.62","diff_wl_bank_text":"ต่ำกว่าตลิ่ง (ม.)","river_gid":132327,"river_name":"ลำน้ำยัง"}</t>
  </si>
  <si>
    <t>THAIWATER_WL:869</t>
  </si>
  <si>
    <t>TNG001</t>
  </si>
  <si>
    <t>ท่าสะบ้า</t>
  </si>
  <si>
    <t>{"id":1317594658,"waterlevel_datetime":"2026-10-03 15:10","waterlevel_m":null,"waterlevel_msl":"6.74","waterlevel_msl_previous":"6.75","flow_rate":null,"discharge":null,"storage_percent":"27.68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Basin"}},"station":{"id":869,"tele_station_name":{"en":"Trang 1","th":"ท่าสะบ้า"},"tele_station_lat":7.729391,"tele_station_long":99.55152,"tele_station_oldcode":"TNG001","tele_station_type":"tele_waterlevel","left_bank":11.517,"right_bank":15.136,"min_bank":11.52,"ground_level":4.912,"offset":null,"sub_basin_id":349,"agency_id":9,"geocode_id":8039,"hydro_id":null,"qmax":null,"is_key_station":false,"warning_level_m":null,"critical_level_m":null,"critical_level_msl":null},"geocode":{"area_code":"5","area_name":{"th":"ภาคใต้","en":"South"},"amphoe_code":"07","amphoe_name":{"th":"วังวิเศษ","en":"Wang Wiset District"},"tumbon_code":"04","tumbon_name":{"th":"ท่าสะบ้า","en":"Tha Saba"},"province_code":"92","province_name":{"th":"ตรัง","en":"Trang"}},"diff_wl_bank":"4.78","diff_wl_bank_text":"ต่ำกว่าตลิ่ง (ม.)","river_gid":224112,"river_name":"แม่น้ำตรัง"}</t>
  </si>
  <si>
    <t>THAIWATER_WL:1677419</t>
  </si>
  <si>
    <t>PYO006</t>
  </si>
  <si>
    <t>สะพานคลองแม่ต๋ำ</t>
  </si>
  <si>
    <t>74f4895b-15f4-4760-758d-6695a194ab1e</t>
  </si>
  <si>
    <t>โรงเรียนวัดพระยาทำ</t>
  </si>
  <si>
    <t>https://maps.app.goo.gl/uGeVZ32ov1Z2JDPX9</t>
  </si>
  <si>
    <t>{"id":1317594533,"waterlevel_datetime":"2026-10-03 15:10","waterlevel_m":null,"waterlevel_msl":"398.12","waterlevel_msl_previous":"398.12","flow_rate":null,"discharge":null,"storage_percent":"27.57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Basin"}},"station":{"id":1677419,"tele_station_name":{"en":"Mae Tam Bridge","th":"สะพานคลองแม่ต๋ำ"},"tele_station_lat":19.09763,"tele_station_long":99.91642,"tele_station_oldcode":"PYO006","tele_station_type":"tele_waterlevel","left_bank":402.116,"right_bank":403.342,"min_bank":402.12,"ground_level":396.602,"offset":null,"sub_basin_id":34,"agency_id":9,"geocode_id":5382,"hydro_id":null,"qmax":null,"is_key_station":false,"warning_level_m":null,"critical_level_m":null,"critical_level_msl":null},"geocode":{"area_code":"3","area_name":{"th":"ภาคเหนือ","en":"North"},"amphoe_code":"01","amphoe_name":{"th":"เมืองพะเยา","en":"Mueang Phayao District"},"tumbon_code":"10","tumbon_name":{"th":"แม่กา","en":"Mae Ka"},"province_code":"56","province_name":{"th":"พะเยา","en":"Phayao"}},"diff_wl_bank":"3.99","diff_wl_bank_text":"ต่ำกว่าตลิ่ง (ม.)"}</t>
  </si>
  <si>
    <t>THAIWATER_WL:1091551</t>
  </si>
  <si>
    <t>CHK002</t>
  </si>
  <si>
    <t>เขาวง</t>
  </si>
  <si>
    <t>02 411 1251</t>
  </si>
  <si>
    <t>{"id":1317594260,"waterlevel_datetime":"2026-10-03 15:10","waterlevel_m":null,"waterlevel_msl":"4.67","waterlevel_msl_previous":"4.68","flow_rate":null,"discharge":null,"storage_percent":"27.51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Organization)","jp":""},"agency_shortname":{"th":"สสน.","en":"HII","jp":""}},"basin":{"id":10,"basin_code":10,"basin_name":{"th":"ลุ่มน้ำเจ้าพระยา","en":"Chao Phraya Basin"}},"station":{"id":1091551,"tele_station_name":{"en":"Khao Wong","th":"เขาวง"},"tele_station_lat":15.181689,"tele_station_long":100.41453,"tele_station_oldcode":"CHK002","tele_station_type":"tele_waterlevel","left_bank":17.719,"right_bank":17.719,"min_bank":17.72,"ground_level":-0.281,"offset":null,"sub_basin_id":240,"agency_id":9,"geocode_id":5722,"hydro_id":null,"qmax":null,"is_key_station":false,"warning_level_m":null,"critical_level_m":null,"critical_level_msl":null},"geocode":{"area_code":"3","area_name":{"th":"ภาคเหนือ","en":"North"},"amphoe_code":"07","amphoe_name":{"th":"ตาคลี","en":"Takhli District"},"tumbon_code":"02","tumbon_name":{"th":"ช่องแค","en":"Chong Khae"},"province_code":"60","province_name":{"th":"นครสวรรค์","en":"Nakhon Sawan"}},"diff_wl_bank":"13.05","diff_wl_bank_text":"ต่ำกว่าตลิ่ง (ม.)","river_gid":175287,"river_name":"คลองอนุศาสนนันท์"}</t>
  </si>
  <si>
    <t>THAIWATER_WL:740533</t>
  </si>
  <si>
    <t>AIT003</t>
  </si>
  <si>
    <t>สะพานห้วยน้ำฮวย</t>
  </si>
  <si>
    <t>{"id":"74f4895b-15f4-4760-758d-6695a194ab1e","district":"บางกอกน้อย","category":"ศูนย์พักพิงชั่วคราว","name":"โรงเรียนวัดพระยาทำ","capacity":20,"occupied":0,"available":20,"unitType":"คน","status":"เปิดให้บริการ/ว่าง","routeDetails":"","link":"https://maps.app.goo.gl/uGeVZ32ov1Z2JDPX9","additionalDetails":"02 411 1251","createdAt":"2026-09-26T08:47:06.000Z","updatedAt":"2026-09-26T08:47:06.000Z"}</t>
  </si>
  <si>
    <t>ห้วยน้ำฮวย</t>
  </si>
  <si>
    <t>2026-10-03T11:50:00+07:00</t>
  </si>
  <si>
    <t>https://www.google.com/maps/place/Wat+Praya+Tham+School/@13.7483603,100.4808707,1046m/data=!3m2!1e3!4b1!4m6!3m5!1s0x30e299a819f56dbb:0xc0735babe9954313!8m2!3d13.7483551!4d100.4834456!16s%2Fg%2F1tyct2hy!5m1!1e1?entry=tts&amp;g_ep=EgoyMDI2MDkyMy4wIPu8ASoASAFQAw%3D%3D&amp;skid=94a865c2-06c4-403c-8d7f-3fc87f8b5171</t>
  </si>
  <si>
    <t>{"id":1317507272,"waterlevel_datetime":"2026-10-03 11:50","waterlevel_m":null,"waterlevel_msl":"169.29","waterlevel_msl_previous":"169.29","flow_rate":null,"discharge":null,"storage_percent":"27.40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Basin"}},"station":{"id":740533,"tele_station_name":{"en":"Huay Nam Huay Bridge","th":"สะพานห้วยน้ำฮวย"},"tele_station_lat":18.151169,"tele_station_long":102.17911,"tele_station_oldcode":"AIT003","tele_station_type":"tele_waterlevel","left_bank":175.357,"right_bank":177.572,"min_bank":175.36,"ground_level":167,"offset":null,"sub_basin_id":47,"sponsor_by":"สถาบันเทคโนโลยีแห่งเอเชีย","agency_id":9,"geocode_id":3803,"hydro_id":null,"qmax":null,"is_key_station":false,"warning_level_m":null,"critical_level_m":null,"critical_level_msl":null},"geocode":{"area_code":"4","area_name":{"th":"ภาคตะวันออกเฉียงเหนือ","en":"Northeast"},"amphoe_code":"08","amphoe_name":{"th":"สังคม","en":"Sakhrai District"},"tumbon_code":"03","tumbon_name":{"th":"บ้านม่วง","en":"Ban Muang"},"province_code":"43","province_name":{"th":"หนองคาย","en":"Nong Khai"}},"diff_wl_bank":"6.07","diff_wl_bank_text":"ต่ำกว่าตลิ่ง (ม.)","river_gid":107626,"river_name":"ห้วยน้ำฮวย"}</t>
  </si>
  <si>
    <t>THAIWATER_WL:454</t>
  </si>
  <si>
    <t>WAN004</t>
  </si>
  <si>
    <t>เกาะคา</t>
  </si>
  <si>
    <t>{"id":1317594693,"waterlevel_datetime":"2026-10-03 15:10","waterlevel_m":null,"waterlevel_msl":"210.71","waterlevel_msl_previous":"210.71","flow_rate":null,"discharge":null,"storage_percent":"27.38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Basin"}},"station":{"id":454,"tele_station_name":{"en":"Wang 4","th":"เกาะคา"},"tele_station_lat":18.15915,"tele_station_long":99.38407,"tele_station_oldcode":"WAN004","tele_station_type":"tele_waterlevel","left_bank":214.45,"right_bank":214.772,"min_bank":214.45,"ground_level":209.304,"offset":null,"sub_basin_id":190,"agency_id":9,"geocode_id":5010,"hydro_id":null,"qmax":null,"is_key_station":false,"warning_level_m":null,"critical_level_m":null,"critical_level_msl":null},"geocode":{"area_code":"3","area_name":{"th":"ภาคเหนือ","en":"North"},"amphoe_code":"03","amphoe_name":{"th":"เกาะคา","en":"Ko Kha District"},"tumbon_code":"04","tumbon_name":{"th":"วังพร้าว","en":"Wang Phrao"},"province_code":"52","province_name":{"th":"ลำปาง","en":"Lampang"}},"diff_wl_bank":"3.74","diff_wl_bank_text":"ต่ำกว่าตลิ่ง (ม.)","river_gid":65427,"river_name":"แม่น้ำวัง"}</t>
  </si>
  <si>
    <t>THAIWATER_WL:562796</t>
  </si>
  <si>
    <t>BLGTU02</t>
  </si>
  <si>
    <t>สะพานบ้าน กม.29 อ.เบตง จ.ยะลา</t>
  </si>
  <si>
    <t>f0e00a9c-7518-7335-e87e-c5f3938b5852</t>
  </si>
  <si>
    <t>{"id":1317591971,"waterlevel_datetime":"2026-10-03 15:00","waterlevel_m":null,"waterlevel_msl":"117.07","waterlevel_msl_previous":"117.07","flow_rate":null,"discharge":"14.12","storage_percent":"27.38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Basin"}},"station":{"id":562796,"tele_station_name":{"th":"สะพานบ้าน กม.29 อ.เบตง จ.ยะลา"},"tele_station_lat":5.920578,"tele_station_long":101.182086,"tele_station_oldcode":"BLGTU02","tele_station_type":"tele_waterlevel","left_bank":120.37,"right_bank":124.53,"min_bank":120.37,"ground_level":115.83,"offset":null,"sub_basin_id":335,"agency_id":8,"geocode_id":8283,"hydro_id":null,"qmax":null,"is_key_station":false,"warning_level_m":null,"critical_level_m":null,"critical_level_msl":120.37},"geocode":{"area_code":"5","area_name":{"th":"ภาคใต้","en":"South"},"amphoe_code":"02","amphoe_name":{"th":"เบตง","en":"Betong District"},"tumbon_code":"04","tumbon_name":{"th":"อัยเยอร์เวง","en":"Aiyoe Weng"},"province_code":"95","province_name":{"th":"ยะลา","en":"Yala"}},"diff_wl_bank":"3.30","diff_wl_bank_text":"ต่ำกว่าตลิ่ง (ม.)","river_gid":232242,"river_name":"แม่น้ำปัตตานี"}</t>
  </si>
  <si>
    <t>โรงเรียนวัดมะลิ</t>
  </si>
  <si>
    <t>THAIWATER_WL:1396860</t>
  </si>
  <si>
    <t>MOU462</t>
  </si>
  <si>
    <t>สะพานคลองวังตะไคร้</t>
  </si>
  <si>
    <t>https://maps.app.goo.gl/sTj3Z1czH9ng2MJe7</t>
  </si>
  <si>
    <t>{"id":1317594098,"waterlevel_datetime":"2026-10-03 15:10","waterlevel_m":null,"waterlevel_msl":"26.98","waterlevel_msl_previous":"26.98","flow_rate":null,"discharge":null,"storage_percent":"27.11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Basin"}},"station":{"id":1396860,"tele_station_name":{"en":"Khlong Takhrai Bridge","th":"สะพานคลองวังตะไคร้"},"tele_station_lat":14.321305,"tele_station_long":101.30604,"tele_station_oldcode":"MOU462","tele_station_type":"tele_waterlevel","left_bank":29.494,"right_bank":30.323,"min_bank":29.49,"ground_level":26.045,"offset":null,"sub_basin_id":282,"sponsor_by":"มูลนิธิอาสาเพื่อนพึ่ง (ภาฯ) ยามยาก สภากาชาดไทย","agency_id":91,"geocode_id":1567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District"},"tumbon_code":"10","tumbon_name":{"th":"สาริกา","en":"Sarika"},"province_code":"26","province_name":{"th":"นครนายก","en":"Nakhon Nayok"}},"diff_wl_bank":"2.51","diff_wl_bank_text":"ต่ำกว่าตลิ่ง (ม.)"}</t>
  </si>
  <si>
    <t>THAIWATER_WL:1422304</t>
  </si>
  <si>
    <t>BBU01</t>
  </si>
  <si>
    <t>แม่น้ำปิงที่ อ.จอมทอง</t>
  </si>
  <si>
    <t>02 412 2481</t>
  </si>
  <si>
    <t>{"id":"f0e00a9c-7518-7335-e87e-c5f3938b5852","district":"บางกอกน้อย","category":"ศูนย์พักพิงชั่วคราว","name":"โรงเรียนวัดมะลิ","capacity":100,"occupied":0,"available":100,"unitType":"คน","status":"เปิดให้บริการ/ว่าง","routeDetails":"","link":"https://maps.app.goo.gl/sTj3Z1czH9ng2MJe7","additionalDetails":"02 412 2481","createdAt":"2026-09-26T08:47:06.000Z","updatedAt":"2026-09-26T08:47:06.000Z"}</t>
  </si>
  <si>
    <t>https://www.google.com/maps/place/%E0%B9%82%E0%B8%A3%E0%B8%87%E0%B9%80%E0%B8%A3%E0%B8%B5%E0%B8%A2%E0%B8%99%E0%B8%A7%E0%B8%B1%E0%B8%94%E0%B8%A1%E0%B8%B0%E0%B8%A5%E0%B8%B4/@13.7548972,100.4571944,2154m/data=!3m1!1e3!4m6!3m5!1s0x30e2993801da6723:0x7a819066d29cb8c4!8m2!3d13.7623028!4d100.4605304!16s%2Fg%2F11f7bq9yn5!5m1!1e1?entry=tts&amp;g_ep=EgoyMDI2MDkyMy4wIPu8ASoASAFQAw%3D%3D&amp;skid=85b00e06-983e-4eae-aec5-ff522def41c6</t>
  </si>
  <si>
    <t>{"id":1317592366,"waterlevel_datetime":"2026-10-03 15:00","waterlevel_m":null,"waterlevel_msl":"272.92","waterlevel_msl_previous":"273.02","flow_rate":null,"discharge":null,"storage_percent":"26.92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Basin"}},"station":{"id":1422304,"tele_station_name":{"th":"แม่น้ำปิงที่ อ.จอมทอง"},"tele_station_lat":18.435266,"tele_station_long":98.740107,"tele_station_oldcode":"BBU01","tele_station_type":"tele_waterlevel","left_bank":280.628,"right_bank":280.8,"min_bank":280.63,"ground_level":270.084,"offset":null,"sub_basin_id":166,"agency_id":8,"geocode_id":4915,"hydro_id":null,"qmax":null,"is_key_station":false,"warning_level_m":null,"critical_level_m":null,"critical_level_msl":280.63},"geocode":{"area_code":"3","area_name":{"th":"ภาคเหนือ","en":"North"},"amphoe_code":"24","amphoe_name":{"th":"ดอยหล่อ","en":"Doi Lo District"},"tumbon_code":"01","tumbon_name":{"th":"ดอยหล่อ","en":"Doi Lo"},"province_code":"50","province_name":{"th":"เชียงใหม่","en":"Chiang Mai"}},"diff_wl_bank":"7.71","diff_wl_bank_text":"ต่ำกว่าตลิ่ง (ม.)"}</t>
  </si>
  <si>
    <t>THAIWATER_WL:870</t>
  </si>
  <si>
    <t>MDC005</t>
  </si>
  <si>
    <t>คลองนาท่อม</t>
  </si>
  <si>
    <t>{"id":1317594370,"waterlevel_datetime":"2026-10-03 15:10","waterlevel_m":null,"waterlevel_msl":"19.77","waterlevel_msl_previous":"19.77","flow_rate":null,"discharge":null,"storage_percent":"26.85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Basin"}},"station":{"id":870,"tele_station_name":{"en":"Khlong Na Thom","th":"คลองนาท่อม"},"tele_station_lat":7.558824,"tele_station_long":99.98739,"tele_station_oldcode":"MDC005","tele_station_type":"tele_waterlevel","left_bank":29.28,"right_bank":29.28,"min_bank":29.28,"ground_level":16.28,"offset":null,"sub_basin_id":329,"agency_id":9,"geocode_id":8070,"hydro_id":null,"qmax":null,"is_key_station":false,"warning_level_m":null,"critical_level_m":null,"critical_level_msl":null},"geocode":{"area_code":"5","area_name":{"th":"ภาคใต้","en":"South"},"amphoe_code":"01","amphoe_name":{"th":"เมืองพัทลุง","en":"Mueang Phatthalung District"},"tumbon_code":"12","tumbon_name":{"th":"ร่มเมือง","en":"Rom Mueang"},"province_code":"93","province_name":{"th":"พัทลุง","en":"Phatthalung"}},"diff_wl_bank":"9.51","diff_wl_bank_text":"ต่ำกว่าตลิ่ง (ม.)","river_gid":224747,"river_name":"คลองลำ"}</t>
  </si>
  <si>
    <t>THAIWATER_WL:685678</t>
  </si>
  <si>
    <t>MOU073</t>
  </si>
  <si>
    <t>สะพานแม่ตื่น</t>
  </si>
  <si>
    <t>แม่น้ำตื่น</t>
  </si>
  <si>
    <t>{"id":1317589519,"waterlevel_datetime":"2026-10-03 15:00","waterlevel_m":null,"waterlevel_msl":"299.03","waterlevel_msl_previous":"299.02","flow_rate":null,"discharge":null,"storage_percent":"26.84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Basin"}},"station":{"id":685678,"tele_station_name":{"en":"Mae Tuen Bridge","th":"สะพานแม่ตื่น"},"tele_station_lat":17.12535,"tele_station_long":98.6394,"tele_station_oldcode":"MOU073","tele_station_type":"tele_waterlevel","left_bank":304.508,"right_bank":305.13,"min_bank":304.51,"ground_level":297.019,"offset":null,"sub_basin_id":175,"sponsor_by":"บริษัท แอดวานซ์ อินโฟร์ เซอร์วิส จำกัด (มหาชน)","agency_id":91,"geocode_id":5998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District"},"tumbon_code":"04","tumbon_name":{"th":"แม่ตื่น","en":"Mae Tuen"},"province_code":"63","province_name":{"th":"ตาก","en":"Tak"}},"diff_wl_bank":"5.48","diff_wl_bank_text":"ต่ำกว่าตลิ่ง (ม.)","river_gid":87564,"river_name":"แม่น้ำตื่น"}</t>
  </si>
  <si>
    <t>THAIWATER_WL:1422297</t>
  </si>
  <si>
    <t>BBD04</t>
  </si>
  <si>
    <t>แม่น้ำปิงที่ อ.เมืองตาก (P.2A)</t>
  </si>
  <si>
    <t>{"id":1317592376,"waterlevel_datetime":"2026-10-03 15:00","waterlevel_m":null,"waterlevel_msl":"104.84","waterlevel_msl_previous":"104.86","flow_rate":null,"discharge":null,"storage_percent":"26.80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Basin"}},"station":{"id":1422297,"tele_station_name":{"th":"แม่น้ำปิงที่ อ.เมืองตาก (P.2A)"},"tele_station_lat":16.856702,"tele_station_long":99.125294,"tele_station_oldcode":"BBD04","tele_station_type":"tele_waterlevel","left_bank":109.974,"right_bank":110.012,"min_bank":109.97,"ground_level":102.959,"offset":null,"sub_basin_id":179,"agency_id":8,"geocode_id":8496,"hydro_id":null,"qmax":null,"is_key_station":false,"warning_level_m":null,"critical_level_m":null,"critical_level_msl":109.78},"geocode":{"area_code":"3","area_name":{"th":"ภาคเหนือ","en":"North"},"amphoe_code":"01","amphoe_name":{"th":"เมืองตาก","en":"Mueang Tak District"},"tumbon_code":"91","tumbon_name":{"th":"เทศบาลเมืองตาก","en":"Tak Town Municipality"},"province_code":"63","province_name":{"th":"ตาก","en":"Tak"}},"diff_wl_bank":"5.14","diff_wl_bank_text":"ต่ำกว่าตลิ่ง (ม.)"}</t>
  </si>
  <si>
    <t>THAIWATER_WL:348</t>
  </si>
  <si>
    <t>b6fd3cfe-e79a-05a5-fa1c-76ac3f44f758</t>
  </si>
  <si>
    <t>KON001</t>
  </si>
  <si>
    <t>วังสะพุง</t>
  </si>
  <si>
    <t>โรงเรียนวัดยางสุทธาราม</t>
  </si>
  <si>
    <t>https://maps.app.goo.gl/G5KyYpqqRTqyCV8cA</t>
  </si>
  <si>
    <t>{"id":1317594354,"waterlevel_datetime":"2026-10-03 15:10","waterlevel_m":null,"waterlevel_msl":"240.28","waterlevel_msl_previous":"240.29","flow_rate":null,"discharge":null,"storage_percent":"26.65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Basin"}},"station":{"id":348,"tele_station_name":{"en":"Khong 1","th":"วังสะพุง"},"tele_station_lat":17.312359,"tele_station_long":101.7726,"tele_station_oldcode":"KON001","tele_station_type":"tele_waterlevel","left_bank":248.131,"right_bank":246.891,"min_bank":246.89,"ground_level":237.878,"offset":null,"sub_basin_id":44,"agency_id":9,"geocode_id":3689,"hydro_id":null,"qmax":null,"is_key_station":false,"warning_level_m":null,"critical_level_m":null,"critical_level_msl":null},"geocode":{"area_code":"4","area_name":{"th":"ภาคตะวันออกเฉียงเหนือ","en":"Northeast"},"amphoe_code":"09","amphoe_name":{"th":"วังสะพุง","en":"Wang Saphung District"},"tumbon_code":"01","tumbon_name":{"th":"วังสะพุง","en":"Wang Saphung"},"province_code":"42","province_name":{"th":"เลย","en":"Loei"}},"diff_wl_bank":"6.61","diff_wl_bank_text":"ต่ำกว่าตลิ่ง (ม.)","river_gid":120173,"river_name":"แม่น้ำเลย"}</t>
  </si>
  <si>
    <t>THAIWATER_WL:1109536</t>
  </si>
  <si>
    <t>ONE047</t>
  </si>
  <si>
    <t>สะพานถนนสายเอเซีย 4265</t>
  </si>
  <si>
    <t>คลองโสด</t>
  </si>
  <si>
    <t>02 411 3176</t>
  </si>
  <si>
    <t>{"id":"b6fd3cfe-e79a-05a5-fa1c-76ac3f44f758","district":"บางกอกน้อย","category":"ศูนย์พักพิงชั่วคราว","name":"โรงเรียนวัดยางสุทธาราม","capacity":100,"occupied":0,"available":100,"unitType":"คน","status":"เปิดให้บริการ/ว่าง","routeDetails":"","link":"https://maps.app.goo.gl/G5KyYpqqRTqyCV8cA","additionalDetails":"02 411 3176","createdAt":"2026-09-26T08:47:06.000Z","updatedAt":"2026-09-26T08:47:06.000Z"}</t>
  </si>
  <si>
    <t>https://www.google.com/maps/place/Wat+Yang+Suttharam+School/@13.7542801,100.4724993,424m/data=!3m1!1e3!4m6!3m5!1s0x30e299a4a88d6633:0xcffbf5d0e6a0e70a!8m2!3d13.7539946!4d100.4737002!16s%2Fg%2F1tfjsqqf!5m1!1e1?entry=tts&amp;g_ep=EgoyMDI2MDkyMy4wIPu8ASoASAFQAw%3D%3D&amp;skid=e4568c16-d542-4057-a5b9-92f36cc4941b</t>
  </si>
  <si>
    <t>{"id":1317594496,"waterlevel_datetime":"2026-10-03 15:10","waterlevel_m":null,"waterlevel_msl":"89.19","waterlevel_msl_previous":"89.19","flow_rate":null,"discharge":null,"storage_percent":"26.60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Basin"}},"station":{"id":1109536,"tele_station_name":{"en":"Esia 4265 Bridge","th":"สะพานถนนสายเอเซีย 4265"},"tele_station_lat":9.598671,"tele_station_long":98.94901,"tele_station_oldcode":"ONE047","tele_station_type":"tele_waterlevel","left_bank":91.913,"right_bank":91.982,"min_bank":91.91,"ground_level":88.203,"offset":null,"sub_basin_id":313,"agency_id":9,"geocode_id":7563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District"},"tumbon_code":"03","tumbon_name":{"th":"ประสงค์","en":"Prasong"},"province_code":"84","province_name":{"th":"สุราษฎร์ธานี","en":"Surat Thani"}},"diff_wl_bank":"2.72","diff_wl_bank_text":"ต่ำกว่าตลิ่ง (ม.)","river_gid":214858,"river_name":"คลองโสด"}</t>
  </si>
  <si>
    <t>THAIWATER_WL:2872</t>
  </si>
  <si>
    <t>E.87</t>
  </si>
  <si>
    <t>บ้านวังหิน</t>
  </si>
  <si>
    <t>{"id":1317573793,"waterlevel_datetime":"2026-10-03 14:00","waterlevel_m":null,"waterlevel_msl":"131.59","waterlevel_msl_previous":"131.59","flow_rate":null,"discharge":"49.63","storage_percent":"26.55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2872,"tele_station_name":{"th":"บ้านวังหิน"},"tele_station_lat":16.34078,"tele_station_long":103.577011,"tele_station_oldcode":"E.87","tele_station_type":"tele_waterlevel","left_bank":268.845994,"right_bank":268.880994,"min_bank":137.4,"ground_level":129.49,"offset":128.899994,"sub_basin_id":99,"agency_id":12,"geocode_id":4245,"hydro_id":3,"qmax":280,"is_key_station":true,"warning_level_m":null,"critical_level_m":null,"critical_level_msl":null},"geocode":{"area_code":"4","area_name":{"th":"ภาคตะวันออกเฉียงเหนือ","en":"Northeast"},"amphoe_code":"03","amphoe_name":{"th":"กมลาไสย","en":"Kamalasai District"},"tumbon_code":"01","tumbon_name":{"th":"กมลาไสย","en":"Kamalasai"},"province_code":"46","province_name":{"th":"กาฬสินธุ์","en":"Kalasin"}},"diff_wl_bank":"5.81","diff_wl_bank_text":"ต่ำกว่าตลิ่ง (ม.)","river_gid":131824,"river_name":"ลำปาว"}</t>
  </si>
  <si>
    <t>THAIWATER_WL:2636</t>
  </si>
  <si>
    <t>X.56</t>
  </si>
  <si>
    <t>บ้านท่าประดู่</t>
  </si>
  <si>
    <t>{"id":1317523514,"waterlevel_datetime":"2026-10-03 12:00","waterlevel_m":null,"waterlevel_msl":"8.08","waterlevel_msl_previous":"8.08","flow_rate":null,"discharge":"28.50","storage_percent":"26.48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2636,"tele_station_name":{"th":"บ้านท่าประดู่"},"tele_station_lat":7.77079,"tele_station_long":99.53743,"tele_station_oldcode":"X.56","tele_station_type":"tele_waterlevel","left_bank":19.976,"right_bank":19.995,"min_bank":15.7,"ground_level":5.335,"offset":null,"sub_basin_id":349,"agency_id":12,"geocode_id":8030,"hydro_id":8,"qmax":445,"is_key_station":true,"warning_level_m":null,"critical_level_m":null,"critical_level_msl":null},"geocode":{"area_code":"5","area_name":{"th":"ภาคใต้","en":"South"},"amphoe_code":"06","amphoe_name":{"th":"ห้วยยอด","en":"Huai Yot District"},"tumbon_code":"16","tumbon_name":{"th":"นาวง","en":"Na Wong"},"province_code":"92","province_name":{"th":"ตรัง","en":"Trang"}},"diff_wl_bank":"7.62","diff_wl_bank_text":"ต่ำกว่าตลิ่ง (ม.)","river_gid":223865,"river_name":"แม่น้ำตรัง"}</t>
  </si>
  <si>
    <t>THAIWATER_WL:3014</t>
  </si>
  <si>
    <t>Kh.61</t>
  </si>
  <si>
    <t>บ้านแก่งบง</t>
  </si>
  <si>
    <t>b67715e3-ccfc-0aed-cf88-eabb68cef1fd</t>
  </si>
  <si>
    <t>โรงเรียนวัดวิเศษการ</t>
  </si>
  <si>
    <t>https://maps.app.goo.gl/T589DZXzaBciMh5Y8</t>
  </si>
  <si>
    <t>{"id":1317573803,"waterlevel_datetime":"2026-10-03 14:00","waterlevel_m":null,"waterlevel_msl":"260.42","waterlevel_msl_previous":"260.43","flow_rate":null,"discharge":"33.34","storage_percent":"26.36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3014,"tele_station_name":{"th":"บ้านแก่งบง"},"tele_station_lat":17.13114,"tele_station_long":101.679489,"tele_station_oldcode":"Kh.61","tele_station_type":"tele_waterlevel","left_bank":530.2729939999999,"right_bank":530.209994,"min_bank":266.9,"ground_level":258.1,"offset":258.399994,"sub_basin_id":44,"agency_id":12,"geocode_id":3706,"hydro_id":3,"qmax":250,"is_key_station":true,"warning_level_m":null,"critical_level_m":null,"critical_level_msl":null},"geocode":{"area_code":"4","area_name":{"th":"ภาคตะวันออกเฉียงเหนือ","en":"Northeast"},"amphoe_code":"11","amphoe_name":{"th":"ภูหลวง","en":"Phu Luang District"},"tumbon_code":"02","tumbon_name":{"th":"หนองคัน","en":"Nong Khan"},"province_code":"42","province_name":{"th":"เลย","en":"Loei"}},"diff_wl_bank":"6.48","diff_wl_bank_text":"ต่ำกว่าตลิ่ง (ม.)","river_gid":122495,"river_name":"แม่น้ำเลย"}</t>
  </si>
  <si>
    <t>THAIWATER_WL:1422303</t>
  </si>
  <si>
    <t>BBD10</t>
  </si>
  <si>
    <t>แม่น้ำวังที่ อ.สามเงา (W.4A)</t>
  </si>
  <si>
    <t>02 412 3193</t>
  </si>
  <si>
    <t>{"id":1317592396,"waterlevel_datetime":"2026-10-03 15:00","waterlevel_m":null,"waterlevel_msl":"133.57","waterlevel_msl_previous":"133.59","flow_rate":null,"discharge":null,"storage_percent":"26.24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Basin"}},"station":{"id":1422303,"tele_station_name":{"th":"แม่น้ำวังที่ อ.สามเงา (W.4A)"},"tele_station_lat":17.204904,"tele_station_long":99.098093,"tele_station_oldcode":"BBD10","tele_station_type":"tele_waterlevel","left_bank":142.773,"right_bank":142.715,"min_bank":142.72,"ground_level":130.311,"offset":null,"sub_basin_id":196,"agency_id":8,"geocode_id":5989,"hydro_id":null,"qmax":null,"is_key_station":false,"warning_level_m":null,"critical_level_m":null,"critical_level_msl":138},"geocode":{"area_code":"3","area_name":{"th":"ภาคเหนือ","en":"North"},"amphoe_code":"03","amphoe_name":{"th":"สามเงา","en":"Sam Ngao District"},"tumbon_code":"02","tumbon_name":{"th":"วังหมัน","en":"Wang Man"},"province_code":"63","province_name":{"th":"ตาก","en":"Tak"}},"diff_wl_bank":"9.15","diff_wl_bank_text":"ต่ำกว่าตลิ่ง (ม.)"}</t>
  </si>
  <si>
    <t>{"id":"b67715e3-ccfc-0aed-cf88-eabb68cef1fd","district":"บางกอกน้อย","category":"ศูนย์พักพิงชั่วคราว","name":"โรงเรียนวัดวิเศษการ","capacity":50,"occupied":0,"available":50,"unitType":"คน","status":"เปิดให้บริการ/ว่าง","routeDetails":"","link":"https://maps.app.goo.gl/T589DZXzaBciMh5Y8","additionalDetails":"02 412 3193","createdAt":"2026-09-26T08:47:06.000Z","updatedAt":"2026-09-26T08:47:06.000Z"}</t>
  </si>
  <si>
    <t>THAIWATER_WL:685650</t>
  </si>
  <si>
    <t>MOU045</t>
  </si>
  <si>
    <t>สะพานน้ำว้า บ้านน้ำว้า</t>
  </si>
  <si>
    <t>https://www.google.com/maps/place/Wat+Wiset+Kan+School/@13.756991,100.4796355,1046m/data=!3m2!1e3!4b1!4m6!3m5!1s0x30e299a0fcdef943:0x9d584f9ec4f59aaa!8m2!3d13.7569858!4d100.4822104!16s%2Fg%2F1tkl0s53!5m1!1e1?entry=tts&amp;g_ep=EgoyMDI2MDkyMy4wIPu8ASoASAFQAw%3D%3D&amp;skid=d50b30ce-bd1a-4ffa-8723-e50d3435a501</t>
  </si>
  <si>
    <t>{"id":1317594061,"waterlevel_datetime":"2026-10-03 15:10","waterlevel_m":null,"waterlevel_msl":"244.46","waterlevel_msl_previous":"244.45","flow_rate":null,"discharge":null,"storage_percent":"26.20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Basin"}},"station":{"id":685650,"tele_station_name":{"en":"Nam Wa (Ban Nam Wa)","th":"สะพานน้ำว้า บ้านน้ำว้า"},"tele_station_lat":18.643177,"tele_station_long":101.010826,"tele_station_oldcode":"MOU045","tele_station_type":"tele_waterlevel","left_bank":255.594,"right_bank":253.246,"min_bank":253.25,"ground_level":241.341,"offset":null,"sub_basin_id":225,"sponsor_by":"บริษัท แอดวานซ์ อินโฟร์ เซอร์วิส จำกัด (มหาชน)","agency_id":91,"geocode_id":5274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District"},"tumbon_code":"04","tumbon_name":{"th":"น้ำพาง","en":"Nam Phang"},"province_code":"55","province_name":{"th":"น่าน","en":"Nan"}},"diff_wl_bank":"8.79","diff_wl_bank_text":"ต่ำกว่าตลิ่ง (ม.)","river_gid":45133,"river_name":"แม่น้ำน้ำว้า"}</t>
  </si>
  <si>
    <t>THAIWATER_WL:628</t>
  </si>
  <si>
    <t>PIN001</t>
  </si>
  <si>
    <t>บ้านตาก</t>
  </si>
  <si>
    <t>{"id":1317594509,"waterlevel_datetime":"2026-10-03 15:10","waterlevel_m":null,"waterlevel_msl":"118.74","waterlevel_msl_previous":"118.74","flow_rate":null,"discharge":null,"storage_percent":"26.13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Basin"}},"station":{"id":628,"tele_station_name":{"en":"Ping 1","th":"บ้านตาก"},"tele_station_lat":17.04066,"tele_station_long":99.06628,"tele_station_oldcode":"PIN001","tele_station_type":"tele_waterlevel","left_bank":121.603,"right_bank":122.568,"min_bank":121.6,"ground_level":117.722,"offset":null,"sub_basin_id":177,"agency_id":9,"geocode_id":5983,"hydro_id":null,"qmax":null,"is_key_station":false,"warning_level_m":null,"critical_level_m":null,"critical_level_msl":null},"geocode":{"area_code":"3","area_name":{"th":"ภาคเหนือ","en":"North"},"amphoe_code":"02","amphoe_name":{"th":"บ้านตาก","en":"Ban Tak District"},"tumbon_code":"04","tumbon_name":{"th":"ตากตก","en":"Tak Tok"},"province_code":"63","province_name":{"th":"ตาก","en":"Tak"}},"diff_wl_bank":"2.87","diff_wl_bank_text":"ต่ำกว่าตลิ่ง (ม.)","river_gid":88725,"river_name":"แม่น้ำปิง"}</t>
  </si>
  <si>
    <t>THAIWATER_WL:342</t>
  </si>
  <si>
    <t>KON002</t>
  </si>
  <si>
    <t>เมืองเลย</t>
  </si>
  <si>
    <t>408c77d3-f1cb-ae83-42c8-10264d62b45b</t>
  </si>
  <si>
    <t>โรงเรียนวัดสุวรรณาราม</t>
  </si>
  <si>
    <t>02 424 4087</t>
  </si>
  <si>
    <t>{"id":"408c77d3-f1cb-ae83-42c8-10264d62b45b","district":"บางกอกน้อย","category":"ศูนย์พักพิงชั่วคราว","name":"โรงเรียนวัดสุวรรณาราม","capacity":100,"occupied":0,"available":100,"unitType":"คน","status":"เปิดให้บริการ/ว่าง","routeDetails":"","link":null,"additionalDetails":"02 424 4087","createdAt":"2026-09-26T08:47:06.000Z","updatedAt":"2026-09-26T08:47:06.000Z"}</t>
  </si>
  <si>
    <t>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</t>
  </si>
  <si>
    <t>{"id":1317594355,"waterlevel_datetime":"2026-10-03 15:10","waterlevel_m":null,"waterlevel_msl":"230.89","waterlevel_msl_previous":"230.90","flow_rate":null,"discharge":null,"storage_percent":"26.13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Basin"}},"station":{"id":342,"tele_station_name":{"en":"Khong 2","th":"เมืองเลย"},"tele_station_lat":17.509344,"tele_station_long":101.73663,"tele_station_oldcode":"KON002","tele_station_type":"tele_waterlevel","left_bank":239.586,"right_bank":238.182,"min_bank":238.18,"ground_level":228.311,"offset":null,"sub_basin_id":46,"agency_id":9,"geocode_id":3632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เลย","en":"Mueang Loei District"},"tumbon_code":"11","tumbon_name":{"th":"ชัยพฤกษ์","en":"Chaiyaphruek"},"province_code":"42","province_name":{"th":"เลย","en":"Loei"}},"diff_wl_bank":"7.29","diff_wl_bank_text":"ต่ำกว่าตลิ่ง (ม.)","river_gid":116906,"river_name":"แม่น้ำเลย"}</t>
  </si>
  <si>
    <t>THAIWATER_WL:1121199</t>
  </si>
  <si>
    <t>MOU171</t>
  </si>
  <si>
    <t>สะพานแม่น้ำงาว</t>
  </si>
  <si>
    <t>แม่น้ำงาว</t>
  </si>
  <si>
    <t>{"id":1317594065,"waterlevel_datetime":"2026-10-03 15:10","waterlevel_m":null,"waterlevel_msl":"381.42","waterlevel_msl_previous":"381.41","flow_rate":null,"discharge":null,"storage_percent":"25.92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Basin"}},"station":{"id":1121199,"tele_station_name":{"en":"Maenam Ngao bridge","th":"สะพานแม่น้ำงาว"},"tele_station_lat":20.030533,"tele_station_long":100.48944,"tele_station_oldcode":"MOU171","tele_station_type":"tele_waterlevel","left_bank":385.462,"right_bank":383.752,"min_bank":383.75,"ground_level":380.604,"offset":null,"sub_basin_id":39,"sponsor_by":"บริษัท เวิร์คพอยท์ เอ็นเทอร์เทนเมนท์ จำกัด (มหาชน)","agency_id":91,"geocode_id":5571,"hydro_id":null,"qmax":null,"is_key_station":false,"warning_level_m":null,"critical_level_m":null,"critical_level_msl":null},"geocode":{"area_code":"3","area_name":{"th":"ภาคเหนือ","en":"North"},"amphoe_code":"13","amphoe_name":{"th":"เวียงแก่น","en":"Wiang Kaen District"},"tumbon_code":"04","tumbon_name":{"th":"ท่าข้าม","en":"Tha Kham"},"province_code":"57","province_name":{"th":"เชียงราย","en":"Chiang Rai"}},"diff_wl_bank":"2.33","diff_wl_bank_text":"ต่ำกว่าตลิ่ง (ม.)","river_gid":2556,"river_name":"แม่น้ำงาว"}</t>
  </si>
  <si>
    <t>THAIWATER_WL:1422361</t>
  </si>
  <si>
    <t>RPBD01</t>
  </si>
  <si>
    <t>สะพานคลองแสง อ.บ้านตาขุน</t>
  </si>
  <si>
    <t>{"id":1317591815,"waterlevel_datetime":"2026-10-03 15:00","waterlevel_m":null,"waterlevel_msl":"10.12","waterlevel_msl_previous":"10.12","flow_rate":null,"discharge":null,"storage_percent":"25.71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Basin"}},"station":{"id":1422361,"tele_station_name":{"th":"สะพานคลองแสง อ.บ้านตาขุน"},"tele_station_lat":8.962559,"tele_station_long":98.814738,"tele_station_oldcode":"RPBD01","tele_station_type":"tele_waterlevel","left_bank":17.3901,"right_bank":28.0411,"min_bank":17.39,"ground_level":7.611,"offset":null,"sub_basin_id":315,"agency_id":8,"geocode_id":7580,"hydro_id":null,"qmax":null,"is_key_station":false,"warning_level_m":null,"critical_level_m":null,"critical_level_msl":17.3901},"geocode":{"area_code":"5","area_name":{"th":"ภาคใต้","en":"South"},"amphoe_code":"09","amphoe_name":{"th":"บ้านตาขุน","en":"Ban Ta Khun District"},"tumbon_code":"04","tumbon_name":{"th":"เขาพัง","en":"Khao Phang"},"province_code":"84","province_name":{"th":"สุราษฎร์ธานี","en":"Surat Thani"}},"diff_wl_bank":"7.27","diff_wl_bank_text":"ต่ำกว่าตลิ่ง (ม.)"}</t>
  </si>
  <si>
    <t>THAIWATER_WL:3222</t>
  </si>
  <si>
    <t>P.84</t>
  </si>
  <si>
    <t>บ้านพันตน</t>
  </si>
  <si>
    <t>{"id":1317494198,"waterlevel_datetime":"2026-10-03 11:00","waterlevel_m":null,"waterlevel_msl":"304.17","waterlevel_msl_previous":"304.18","flow_rate":null,"discharge":"5.78","storage_percent":"25.67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3222,"tele_station_name":{"th":"บ้านพันตน"},"tele_station_lat":18.59133,"tele_station_long":98.796623,"tele_station_oldcode":"P.84","tele_station_type":"tele_waterlevel","left_bank":612.31599,"right_bank":612.3119899999999,"min_bank":307.24,"ground_level":303.11,"offset":303.23999,"sub_basin_id":165,"agency_id":12,"geocode_id":4902,"hydro_id":1,"qmax":85,"is_key_station":false,"warning_level_m":null,"critical_level_m":null,"critical_level_msl":null},"geocode":{"area_code":"3","area_name":{"th":"ภาคเหนือ","en":"North"},"amphoe_code":"22","amphoe_name":{"th":"แม่วาง","en":"Mae Wang District"},"tumbon_code":"01","tumbon_name":{"th":"บ้านกาด","en":"Ban Kat"},"province_code":"50","province_name":{"th":"เชียงใหม่","en":"Chiang Mai"}},"diff_wl_bank":"3.07","diff_wl_bank_text":"ต่ำกว่าตลิ่ง (ม.)","river_gid":47891,"river_name":"น้ำแม่วาง"}</t>
  </si>
  <si>
    <t>THAIWATER_WL:493</t>
  </si>
  <si>
    <t>YOM004</t>
  </si>
  <si>
    <t>เด่นชัย</t>
  </si>
  <si>
    <t>{"id":1317594705,"waterlevel_datetime":"2026-10-03 15:10","waterlevel_m":null,"waterlevel_msl":"138.98","waterlevel_msl_previous":"138.99","flow_rate":null,"discharge":null,"storage_percent":"25.58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Basin"}},"station":{"id":493,"tele_station_name":{"en":"Yom 4","th":"เด่นชัย"},"tele_station_lat":18.0208,"tele_station_long":100.0588,"tele_station_oldcode":"YOM004","tele_station_type":"tele_waterlevel","left_bank":147.617,"right_bank":149.273,"min_bank":147.62,"ground_level":136.017,"offset":null,"sub_basin_id":205,"agency_id":9,"geocode_id":5229,"hydro_id":null,"qmax":null,"is_key_station":false,"warning_level_m":null,"critical_level_m":null,"critical_level_msl":null},"geocode":{"area_code":"3","area_name":{"th":"ภาคเหนือ","en":"North"},"amphoe_code":"05","amphoe_name":{"th":"เด่นชัย","en":"Den Chai District"},"tumbon_code":"01","tumbon_name":{"th":"เด่นชัย","en":"Den Chai"},"province_code":"54","province_name":{"th":"แพร่","en":"Phrae"}},"diff_wl_bank":"8.63","diff_wl_bank_text":"ต่ำกว่าตลิ่ง (ม.)","river_gid":70532,"river_name":"แม่น้ำยม"}</t>
  </si>
  <si>
    <t>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</t>
  </si>
  <si>
    <t>THAIWATER_WL:3215</t>
  </si>
  <si>
    <t>W.17</t>
  </si>
  <si>
    <t>บ้านหนองนาว</t>
  </si>
  <si>
    <t>ห้วยเก้า</t>
  </si>
  <si>
    <t>{"id":1317494204,"waterlevel_datetime":"2026-10-03 11:00","waterlevel_m":null,"waterlevel_msl":"291.40","waterlevel_msl_previous":"291.40","flow_rate":null,"discharge":"10.50","storage_percent":"25.48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3215,"tele_station_name":{"th":"บ้านหนองนาว"},"tele_station_lat":18.722269,"tele_station_long":99.567268,"tele_station_oldcode":"W.17","tele_station_type":"tele_waterlevel","left_bank":588.511,"right_bank":588.461,"min_bank":294.5,"ground_level":290.34,"offset":292,"sub_basin_id":187,"agency_id":12,"geocode_id":5033,"hydro_id":1,"qmax":210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District"},"tumbon_code":"01","tumbon_name":{"th":"แจ้ห่ม","en":"Chae Hom"},"province_code":"52","province_name":{"th":"ลำปาง","en":"Lampang"}},"diff_wl_bank":"3.10","diff_wl_bank_text":"ต่ำกว่าตลิ่ง (ม.)","river_gid":42370,"river_name":"ห้วยเก้า"}</t>
  </si>
  <si>
    <t>THAIWATER_WL:829</t>
  </si>
  <si>
    <t>RNG001</t>
  </si>
  <si>
    <t>เมืองระนอง</t>
  </si>
  <si>
    <t>{"id":1317594583,"waterlevel_datetime":"2026-10-03 15:10","waterlevel_m":null,"waterlevel_msl":"8.23","waterlevel_msl_previous":"8.24","flow_rate":null,"discharge":null,"storage_percent":"25.47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Basin"}},"station":{"id":829,"tele_station_name":{"en":"Mueang Ranong","th":"เมืองระนอง"},"tele_station_lat":9.961575,"tele_station_long":98.644485,"tele_station_oldcode":"RNG001","tele_station_type":"tele_waterlevel","left_bank":10.752,"right_bank":14.568,"min_bank":10.75,"ground_level":7.368,"offset":null,"sub_basin_id":343,"agency_id":9,"geocode_id":7659,"hydro_id":null,"qmax":null,"is_key_station":false,"warning_level_m":null,"critical_level_m":null,"critical_level_msl":null},"geocode":{"area_code":"5","area_name":{"th":"ภาคใต้","en":"South"},"amphoe_code":"01","amphoe_name":{"th":"เมืองระนอง","en":"Mueang Ranong District"},"tumbon_code":"01","tumbon_name":{"th":"เขานิเวศน์","en":"Khao Niwet"},"province_code":"85","province_name":{"th":"ระนอง","en":"Ranong"}},"diff_wl_bank":"2.52","diff_wl_bank_text":"ต่ำกว่าตลิ่ง (ม.)","river_gid":214120,"river_name":"คลองหาดส้มแป้น"}</t>
  </si>
  <si>
    <t>THAIWATER_WL:1198760</t>
  </si>
  <si>
    <t>YOM014</t>
  </si>
  <si>
    <t>สะพานหนองจันทร์</t>
  </si>
  <si>
    <t>{"id":1317594713,"waterlevel_datetime":"2026-10-03 15:10","waterlevel_m":null,"waterlevel_msl":"171.42","waterlevel_msl_previous":"171.42","flow_rate":null,"discharge":null,"storage_percent":"25.42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Basin"}},"station":{"id":1198760,"tele_station_name":{"en":"Nong Chan Bridge","th":"สะพานหนองจันทร์"},"tele_station_lat":18.46601,"tele_station_long":100.151665,"tele_station_oldcode":"YOM014","tele_station_type":"tele_waterlevel","left_bank":178.6455,"right_bank":178.4378,"min_bank":178.44,"ground_level":169.0285,"offset":null,"sub_basin_id":203,"agency_id":9,"geocode_id":5235,"hydro_id":null,"qmax":null,"is_key_station":false,"warning_level_m":null,"critical_level_m":null,"critical_level_msl":null},"geocode":{"area_code":"3","area_name":{"th":"ภาคเหนือ","en":"North"},"amphoe_code":"06","amphoe_name":{"th":"สอง","en":"Song District"},"tumbon_code":"01","tumbon_name":{"th":"บ้านหนุน","en":"Ban Nun"},"province_code":"54","province_name":{"th":"แพร่","en":"Phrae"}},"diff_wl_bank":"7.02","diff_wl_bank_text":"ต่ำกว่าตลิ่ง (ม.)","river_gid":53806,"river_name":"แม่น้ำยม"}</t>
  </si>
  <si>
    <t>THAIWATER_WL:2594</t>
  </si>
  <si>
    <t>X.267</t>
  </si>
  <si>
    <t>บ้านแม่ขรี</t>
  </si>
  <si>
    <t>คลองท่าเชียด</t>
  </si>
  <si>
    <t>375/2 ซอย จรัญสนิทวงศ์ 32 แขวงศิริราช เขตบางกอกน้อย กรุงเทพมหานคร 10700 ประเทศไทย</t>
  </si>
  <si>
    <t>ChIJS44V3ZiZ4jARWdIN6lQ3awM</t>
  </si>
  <si>
    <t>83a7d202-b385-bc34-c677-d3ccfa3a3b7d</t>
  </si>
  <si>
    <t>โรงเรียนวัดอัมพวา</t>
  </si>
  <si>
    <t>https://maps.app.goo.gl/ZsP2Pj47Q7fyVy9J7</t>
  </si>
  <si>
    <t>{"id":1317390879,"waterlevel_datetime":"2026-10-03 06:00","waterlevel_m":null,"waterlevel_msl":"21.98","waterlevel_msl_previous":"21.92","flow_rate":null,"discharge":"2.28","storage_percent":"25.40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2594,"tele_station_name":{"th":"บ้านแม่ขรี"},"tele_station_lat":7.33842,"tele_station_long":100.109978,"tele_station_oldcode":"X.267","tele_station_type":"tele_waterlevel","left_bank":27.876,"right_bank":27.92,"min_bank":26.52,"ground_level":20.434,"offset":null,"sub_basin_id":329,"agency_id":12,"geocode_id":8087,"hydro_id":8,"qmax":182.399994,"is_key_station":false,"warning_level_m":null,"critical_level_m":null,"critical_level_msl":null},"geocode":{"area_code":"5","area_name":{"th":"ภาคใต้","en":"South"},"amphoe_code":"04","amphoe_name":{"th":"ตะโหมด","en":"Tamot District"},"tumbon_code":"01","tumbon_name":{"th":"แม่ขรี","en":"Mae Khri"},"province_code":"93","province_name":{"th":"พัทลุง","en":"Phatthalung"}},"diff_wl_bank":"4.54","diff_wl_bank_text":"ต่ำกว่าตลิ่ง (ม.)","river_gid":225931,"river_name":"คลองท่าเชียด"}</t>
  </si>
  <si>
    <t>THAIWATER_WL:3134</t>
  </si>
  <si>
    <t>N.39</t>
  </si>
  <si>
    <t>บ้านฟากท่า</t>
  </si>
  <si>
    <t>02 411 0548</t>
  </si>
  <si>
    <t>{"id":1317572384,"waterlevel_datetime":"2026-10-03 14:00","waterlevel_m":null,"waterlevel_msl":"209.97","waterlevel_msl_previous":"209.97","flow_rate":null,"discharge":null,"storage_percent":"25.32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3134,"tele_station_name":{"th":"บ้านฟากท่า"},"tele_station_lat":17.997021,"tele_station_long":100.879089,"tele_station_oldcode":"N.39","tele_station_type":"tele_waterlevel","left_bank":421.360003,"right_bank":423.02200300000004,"min_bank":214.05,"ground_level":208.587,"offset":209.050003,"sub_basin_id":229,"agency_id":12,"geocode_id":5135,"hydro_id":2,"qmax":null,"is_key_station":false,"warning_level_m":null,"critical_level_m":null,"critical_level_msl":null},"geocode":{"area_code":"3","area_name":{"th":"ภาคเหนือ","en":"North"},"amphoe_code":"05","amphoe_name":{"th":"ฟากท่า","en":"Fak Tha District"},"tumbon_code":"01","tumbon_name":{"th":"ฟากท่า","en":"Fak Tha"},"province_code":"53","province_name":{"th":"อุตรดิตถ์","en":"Uttaradit"}},"diff_wl_bank":"4.08","diff_wl_bank_text":"ต่ำกว่าตลิ่ง (ม.)","river_gid":70754,"river_name":"น้ำปาด"}</t>
  </si>
  <si>
    <t>{"id":"83a7d202-b385-bc34-c677-d3ccfa3a3b7d","district":"บางกอกน้อย","category":"ศูนย์พักพิงชั่วคราว","name":"โรงเรียนวัดอัมพวา","capacity":50,"occupied":0,"available":50,"unitType":"คน","status":"เปิดให้บริการ/ว่าง","routeDetails":"","link":"https://maps.app.goo.gl/ZsP2Pj47Q7fyVy9J7","additionalDetails":"02 411 0548","createdAt":"2026-09-26T08:47:06.000Z","updatedAt":"2026-09-26T08:47:06.000Z"}</t>
  </si>
  <si>
    <t>THAIWATER_WL:2656</t>
  </si>
  <si>
    <t>X.64</t>
  </si>
  <si>
    <t>บ้านท่าแซะ</t>
  </si>
  <si>
    <t>https://www.google.com/maps/place/Wat+Ampawa+School/@13.7489012,100.4748033,296m/data=!3m1!1e3!4m6!3m5!1s0x30e299a5612deea7:0x1a0dbe45b7211ed4!8m2!3d13.7489417!4d100.4756999!16s%2Fg%2F1tg3df0x!5m1!1e1?entry=tts&amp;g_ep=EgoyMDI2MDkyMy4wIPu8ASoASAFQAw%3D%3D&amp;skid=4120a8dd-73b4-42c7-adea-094d527ce9c9</t>
  </si>
  <si>
    <t>คลองท่าแซะ</t>
  </si>
  <si>
    <t>{"id":1317523515,"waterlevel_datetime":"2026-10-03 12:00","waterlevel_m":null,"waterlevel_msl":"9.19","waterlevel_msl_previous":"9.19","flow_rate":null,"discharge":"25.85","storage_percent":"25.24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2656,"tele_station_name":{"th":"บ้านท่าแซะ"},"tele_station_lat":10.66562,"tele_station_long":99.171227,"tele_station_oldcode":"X.64","tele_station_type":"tele_waterlevel","left_bank":19.245,"right_bank":18.884,"min_bank":17.13,"ground_level":6.51,"offset":null,"sub_basin_id":310,"agency_id":12,"geocode_id":7713,"hydro_id":8,"qmax":452.5,"is_key_station":true,"warning_level_m":null,"critical_level_m":null,"critical_level_msl":null},"geocode":{"area_code":"5","area_name":{"th":"ภาคใต้","en":"South"},"amphoe_code":"02","amphoe_name":{"th":"ท่าแซะ","en":"Tha Sae District"},"tumbon_code":"01","tumbon_name":{"th":"ท่าแซะ","en":"Tha Sae"},"province_code":"86","province_name":{"th":"ชุมพร","en":"Chumphon"}},"diff_wl_bank":"7.94","diff_wl_bank_text":"ต่ำกว่าตลิ่ง (ม.)","river_gid":212964,"river_name":"คลองท่าแซะ"}</t>
  </si>
  <si>
    <t>THAIWATER_WL:1113295</t>
  </si>
  <si>
    <t>SKU07</t>
  </si>
  <si>
    <t>อ.เวียงสา (N.75)  น้ำว้า</t>
  </si>
  <si>
    <t>{"id":1317593027,"waterlevel_datetime":"2026-10-03 15:00","waterlevel_m":null,"waterlevel_msl":"185.15","waterlevel_msl_previous":"185.15","flow_rate":null,"discharge":null,"storage_percent":"25.20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Basin"}},"station":{"id":1113295,"tele_station_name":{"th":"อ.เวียงสา (N.75)  น้ำว้า"},"tele_station_lat":18.548273,"tele_station_long":100.808617,"tele_station_oldcode":"SKU07","tele_station_type":"tele_waterlevel","left_bank":196.63,"right_bank":196.587,"min_bank":196.59,"ground_level":181.29,"offset":null,"sub_basin_id":225,"agency_id":8,"geocode_id":5317,"hydro_id":null,"qmax":null,"is_key_station":false,"warning_level_m":null,"critical_level_m":null,"critical_level_msl":193.8},"geocode":{"area_code":"3","area_name":{"th":"ภาคเหนือ","en":"North"},"amphoe_code":"07","amphoe_name":{"th":"เวียงสา","en":"Wiang Sa District"},"tumbon_code":"03","tumbon_name":{"th":"ไหล่น่าน","en":"Lai Nan"},"province_code":"55","province_name":{"th":"น่าน","en":"Nan"}},"diff_wl_bank":"11.44","diff_wl_bank_text":"ต่ำกว่าตลิ่ง (ม.)","river_gid":49459,"river_name":"แม่น้ำน้ำว้า"}</t>
  </si>
  <si>
    <t>THAIWATER_WL:463</t>
  </si>
  <si>
    <t>WAN003</t>
  </si>
  <si>
    <t>เถิน</t>
  </si>
  <si>
    <t>3f2e4d20-b168-3b0c-5182-99aff6c45a46</t>
  </si>
  <si>
    <t>โรงเรียนวัดเจ้าอาม</t>
  </si>
  <si>
    <t>https://maps.app.goo.gl/xDf9my4VF9xArpQH7</t>
  </si>
  <si>
    <t>{"id":1317594692,"waterlevel_datetime":"2026-10-03 15:10","waterlevel_m":null,"waterlevel_msl":"171.34","waterlevel_msl_previous":"171.34","flow_rate":null,"discharge":null,"storage_percent":"24.98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Organization)","jp":""},"agency_shortname":{"th":"สสน.","en":"HII","jp":""}},"basin":{"id":7,"basin_code":7,"basin_name":{"th":"ลุ่มน้ำวัง","en":"Wang Basin"}},"station":{"id":463,"tele_station_name":{"en":"Wang 3","th":"เถิน"},"tele_station_lat":17.75171,"tele_station_long":99.23061,"tele_station_oldcode":"WAN003","tele_station_type":"tele_waterlevel","left_bank":178.681,"right_bank":178.49,"min_bank":178.49,"ground_level":168.964,"offset":null,"sub_basin_id":194,"agency_id":9,"geocode_id":5056,"hydro_id":null,"qmax":null,"is_key_station":false,"warning_level_m":null,"critical_level_m":null,"critical_level_msl":null},"geocode":{"area_code":"3","area_name":{"th":"ภาคเหนือ","en":"North"},"amphoe_code":"08","amphoe_name":{"th":"เถิน","en":"Thoeng District"},"tumbon_code":"07","tumbon_name":{"th":"แม่ถอด","en":"Mae Thot"},"province_code":"52","province_name":{"th":"ลำปาง","en":"Lampang"}},"diff_wl_bank":"7.15","diff_wl_bank_text":"ต่ำกว่าตลิ่ง (ม.)","river_gid":77348,"river_name":"แม่น้ำวัง"}</t>
  </si>
  <si>
    <t>THAIWATER_WL:1113280</t>
  </si>
  <si>
    <t>SKD02</t>
  </si>
  <si>
    <t>บ้านผาจุก</t>
  </si>
  <si>
    <t>02 424 1377</t>
  </si>
  <si>
    <t>{"id":1317593029,"waterlevel_datetime":"2026-10-03 15:00","waterlevel_m":null,"waterlevel_msl":"55.80","waterlevel_msl_previous":"55.82","flow_rate":null,"discharge":null,"storage_percent":"24.94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1113280,"tele_station_name":{"th":"บ้านผาจุก"},"tele_station_lat":17.668222,"tele_station_long":100.21413,"tele_station_oldcode":"SKD02","tele_station_type":"tele_waterlevel","left_bank":68.95,"right_bank":69.37,"min_bank":68.95,"ground_level":51.43,"offset":null,"sub_basin_id":230,"agency_id":8,"geocode_id":5106,"hydro_id":null,"qmax":null,"is_key_station":false,"warning_level_m":null,"critical_level_m":null,"critical_level_msl":68.95},"geocode":{"area_code":"3","area_name":{"th":"ภาคเหนือ","en":"North"},"amphoe_code":"01","amphoe_name":{"th":"เมืองอุตรดิตถ์","en":"Mueang Uttaradit District"},"tumbon_code":"12","tumbon_name":{"th":"ผาจุก","en":"Pha Chuk"},"province_code":"53","province_name":{"th":"อุตรดิตถ์","en":"Uttaradit"}},"diff_wl_bank":"13.15","diff_wl_bank_text":"ต่ำกว่าตลิ่ง (ม.)","river_gid":79331,"river_name":"แม่น้ำน่าน"}</t>
  </si>
  <si>
    <t>THAIWATER_WL:2888</t>
  </si>
  <si>
    <t>E.54</t>
  </si>
  <si>
    <t>บ้านแก่งยาว</t>
  </si>
  <si>
    <t>{"id":"3f2e4d20-b168-3b0c-5182-99aff6c45a46","district":"บางกอกน้อย","category":"ศูนย์พักพิงชั่วคราว","name":"โรงเรียนวัดเจ้าอาม","capacity":50,"occupied":0,"available":50,"unitType":"คน","status":"เปิดให้บริการ/ว่าง","routeDetails":"","link":"https://maps.app.goo.gl/xDf9my4VF9xArpQH7","additionalDetails":"02 424 1377","createdAt":"2026-09-26T08:47:06.000Z","updatedAt":"2026-09-26T08:47:06.000Z"}</t>
  </si>
  <si>
    <t>https://www.google.com/maps/place/%E0%B9%82%E0%B8%A3%E0%B8%87%E0%B9%80%E0%B8%A3%E0%B8%B5%E0%B8%A2%E0%B8%99%E0%B8%A7%E0%B8%B1%E0%B8%94%E0%B9%80%E0%B8%88%E0%B9%89%E0%B8%B2%E0%B8%AD%E0%B8%B2%E0%B8%A1/@13.7754871,100.462306,1046m/data=!3m2!1e3!4b1!4m6!3m5!1s0x30e2998c45a6ad3b:0x91b28c2a7151f0e3!8m2!3d13.7754819!4d100.4648809!16s%2Fg%2F1tdcz3x8!5m1!1e1?entry=tts&amp;g_ep=EgoyMDI2MDkyMy4wIPu8ASoASAFQAw%3D%3D&amp;skid=86feea59-dcf4-4ed3-9560-7f890a1ec01e</t>
  </si>
  <si>
    <t>{"id":1317573787,"waterlevel_datetime":"2026-10-03 14:00","waterlevel_m":null,"waterlevel_msl":"140.54","waterlevel_msl_previous":"140.53","flow_rate":null,"discharge":"8.50","storage_percent":"24.89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2888,"tele_station_name":{"th":"บ้านแก่งยาว"},"tele_station_lat":16.442511,"tele_station_long":104.030724,"tele_station_oldcode":"E.54","tele_station_type":"tele_waterlevel","left_bank":288.398003,"right_bank":288.404003,"min_bank":147.3,"ground_level":138.3,"offset":138.300003,"sub_basin_id":101,"agency_id":12,"geocode_id":4090,"hydro_id":3,"qmax":500,"is_key_station":false,"warning_level_m":null,"critical_level_m":null,"critical_level_msl":null},"geocode":{"area_code":"4","area_name":{"th":"ภาคตะวันออกเฉียงเหนือ","en":"Northeast"},"amphoe_code":"07","amphoe_name":{"th":"โพนทอง","en":"Phon Thong District"},"tumbon_code":"05","tumbon_name":{"th":"หนองใหญ่","en":"Nong Yai"},"province_code":"45","province_name":{"th":"ร้อยเอ็ด","en":"Roi Et"}},"diff_wl_bank":"6.76","diff_wl_bank_text":"ต่ำกว่าตลิ่ง (ม.)","river_gid":130483,"river_name":"ลำน้ำยัง"}</t>
  </si>
  <si>
    <t>THAIWATER_WL:1120557</t>
  </si>
  <si>
    <t>MOU494</t>
  </si>
  <si>
    <t>สะพานบ้านคีรีวง คลองท่าดี</t>
  </si>
  <si>
    <t>คลองท่าดี</t>
  </si>
  <si>
    <t>{"id":1317594103,"waterlevel_datetime":"2026-10-03 15:10","waterlevel_m":null,"waterlevel_msl":"42.90","waterlevel_msl_previous":"42.90","flow_rate":null,"discharge":null,"storage_percent":"24.82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Basin"}},"station":{"id":1120557,"tele_station_name":{"en":"Ban Khiri Wong (Khlong Tha Di) Bridge","th":"สะพานบ้านคีรีวง คลองท่าดี"},"tele_station_lat":8.432906,"tele_station_long":99.782646,"tele_station_oldcode":"MOU494","tele_station_type":"tele_waterlevel","left_bank":49.623,"right_bank":46.313,"min_bank":46.31,"ground_level":41.773,"offset":null,"sub_basin_id":327,"sponsor_by":"มูลนิธิอาสาเพื่อนพึ่ง (ภาฯ) ยามยาก สภากาชาดไทย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Thammarat"}},"diff_wl_bank":"3.41","diff_wl_bank_text":"ต่ำกว่าตลิ่ง (ม.)","river_gid":219987,"river_name":"คลองท่าดี"}</t>
  </si>
  <si>
    <t>THAIWATER_WL:1225530</t>
  </si>
  <si>
    <t>MYA003</t>
  </si>
  <si>
    <t>สะพานอูทูนอ่อง บ้านสบสาย</t>
  </si>
  <si>
    <t>{"id":1317594107,"waterlevel_datetime":"2026-10-03 15:10","waterlevel_m":null,"waterlevel_msl":"395.46","waterlevel_msl_previous":"395.46","flow_rate":null,"discharge":null,"storage_percent":"24.63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Foundation","jp":""},"agency_shortname":{"th":"พพภ","en":"FOP","jp":""}},"basin":{"id":29,"basin_code":88,"basin_name":{"th":"นอกประเทศไทย","en":""}},"station":{"id":1225530,"tele_station_name":{"en":"U Thun Aung Bridge, Sopsai Ward","th":"สะพานอูทูนอ่อง บ้านสบสาย"},"tele_station_lat":20.47149,"tele_station_long":99.95349,"tele_station_oldcode":"MYA003","tele_station_type":"tele_waterlevel","left_bank":402.07,"right_bank":402.07,"min_bank":402.07,"ground_level":393.3,"offset":null,"sub_basin_id":361,"sponsor_by":"มูลนิธิอาสาเพื่อนพึ่ง (ภาฯ) ยามยาก สภากาชาดไทย","agency_id":91,"geocode_id":8510,"hydro_id":null,"qmax":null,"is_key_station":false,"warning_level_m":null,"critical_level_m":null,"critical_level_msl":null},"geocode":{"area_code":"104","area_name":{"th":"สาธารณรัฐแห่งสหภาพพม่า","en":"Republic of the Union of Myanmar"},"amphoe_code":"10499","amphoe_name":{"th":"","en":""},"tumbon_code":"10499","tumbon_name":{"th":"","en":""},"province_code":"10499","province_name":{"th":"สาธารณรัฐแห่งสหภาพเมียนมา","en":"Republic of the Union of Myanmar"}},"diff_wl_bank":"6.61","diff_wl_bank_text":"ต่ำกว่าตลิ่ง (ม.)"}</t>
  </si>
  <si>
    <t>THAIWATER_WL:1109534</t>
  </si>
  <si>
    <t>ONE045</t>
  </si>
  <si>
    <t>สะพานข้ามคลองปากหมาก</t>
  </si>
  <si>
    <t>คลองปากหมาก</t>
  </si>
  <si>
    <t>fafc8e79-1ba2-2ff1-17ed-ee63d827ff71</t>
  </si>
  <si>
    <t>โรงเรียนวัดโพธิ์เรียง</t>
  </si>
  <si>
    <t>https://maps.app.goo.gl/tRnkZguVB63ysmoC7</t>
  </si>
  <si>
    <t>{"id":1317594494,"waterlevel_datetime":"2026-10-03 15:10","waterlevel_m":null,"waterlevel_msl":"96.97","waterlevel_msl_previous":"96.96","flow_rate":null,"discharge":null,"storage_percent":"24.46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Basin"}},"station":{"id":1109534,"tele_station_name":{"en":"Khlong Pak Mak Bridge","th":"สะพานข้ามคลองปากหมาก"},"tele_station_lat":9.492312,"tele_station_long":98.91996,"tele_station_oldcode":"ONE045","tele_station_type":"tele_waterlevel","left_bank":100.211,"right_bank":98.946,"min_bank":98.95,"ground_level":96.33,"offset":null,"sub_basin_id":313,"agency_id":9,"geocode_id":7559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District"},"tumbon_code":"09","tumbon_name":{"th":"ปากหมาก","en":"Pak Mak"},"province_code":"84","province_name":{"th":"สุราษฎร์ธานี","en":"Surat Thani"}},"diff_wl_bank":"1.98","diff_wl_bank_text":"ต่ำกว่าตลิ่ง (ม.)","river_gid":215060,"river_name":"คลองปากหมาก"}</t>
  </si>
  <si>
    <t>THAIWATER_WL:1109501</t>
  </si>
  <si>
    <t>ONE012</t>
  </si>
  <si>
    <t>ปตร. บ้านนาคู่-ท้ายน้ำ</t>
  </si>
  <si>
    <t>{"id":1317594468,"waterlevel_datetime":"2026-10-03 15:10","waterlevel_m":null,"waterlevel_msl":"138.39","waterlevel_msl_previous":"138.39","flow_rate":null,"discharge":null,"storage_percent":"24.37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Basin"}},"station":{"id":1109501,"tele_station_name":{"en":"Ban Na Khu Gate","th":"ปตร. บ้านนาคู่-ท้ายน้ำ"},"tele_station_lat":16.961792,"tele_station_long":104.52589,"tele_station_oldcode":"ONE012","tele_station_type":"tele_waterlevel","left_bank":144.856,"right_bank":144.822,"min_bank":144.82,"ground_level":136.318,"offset":null,"sub_basin_id":70,"agency_id":9,"geocode_id":4586,"hydro_id":null,"qmax":null,"is_key_station":false,"warning_level_m":null,"critical_level_m":null,"critical_level_msl":null},"geocode":{"area_code":"4","area_name":{"th":"ภาคตะวันออกเฉียงเหนือ","en":"Northeast"},"amphoe_code":"07","amphoe_name":{"th":"นาแก","en":"Na Kae District"},"tumbon_code":"04","tumbon_name":{"th":"นาคู่","en":"Na Khu"},"province_code":"48","province_name":{"th":"นครพนม","en":"Nakhon Phanom"}},"diff_wl_bank":"6.43","diff_wl_bank_text":"ต่ำกว่าตลิ่ง (ม.)","river_gid":124039,"river_name":"ลำน้ำกำ"}</t>
  </si>
  <si>
    <t>02 412 3036</t>
  </si>
  <si>
    <t>THAIWATER_WL:550</t>
  </si>
  <si>
    <t>CHR004</t>
  </si>
  <si>
    <t>แม่สรวย</t>
  </si>
  <si>
    <t>{"id":"fafc8e79-1ba2-2ff1-17ed-ee63d827ff71","district":"บางกอกน้อย","category":"ศูนย์พักพิงชั่วคราว","name":"โรงเรียนวัดโพธิ์เรียง","capacity":30,"occupied":0,"available":30,"unitType":"คน","status":"เปิดให้บริการ/ว่าง","routeDetails":"","link":"https://maps.app.goo.gl/tRnkZguVB63ysmoC7","additionalDetails":"02 412 3036","createdAt":"2026-09-26T08:47:06.000Z","updatedAt":"2026-09-26T08:47:06.000Z"}</t>
  </si>
  <si>
    <t>https://www.google.com/maps/place/Wat+Pho+Riang+School/@13.7489012,100.4748033,523m/data=!3m1!1e3!4m6!3m5!1s0x30e299b1c0737395:0x80f80d050d01fc62!8m2!3d13.7444852!4d100.4719169!16s%2Fg%2F1tgl619v!5m1!1e1?entry=tts&amp;g_ep=EgoyMDI2MDkyMy4wIPu8ASoASAFQAw%3D%3D&amp;skid=8474ea7f-cf7f-4fef-8d85-1a77a5368e61</t>
  </si>
  <si>
    <t>{"id":1317594273,"waterlevel_datetime":"2026-10-03 15:10","waterlevel_m":null,"waterlevel_msl":"451.19","waterlevel_msl_previous":"451.19","flow_rate":null,"discharge":null,"storage_percent":"24.31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Basin"}},"station":{"id":550,"tele_station_name":{"en":"Chaing Rai 4","th":"แม่สรวย"},"tele_station_lat":19.65265,"tele_station_long":99.5379,"tele_station_oldcode":"CHR004","tele_station_type":"tele_waterlevel","left_bank":453.954,"right_bank":454.543,"min_bank":453.95,"ground_level":450.309,"offset":null,"sub_basin_id":28,"agency_id":9,"geocode_id":5545,"hydro_id":null,"qmax":null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District"},"tumbon_code":"01","tumbon_name":{"th":"แม่สรวย","en":"Mae Saruai"},"province_code":"57","province_name":{"th":"เชียงราย","en":"Chiang Rai"}},"diff_wl_bank":"2.76","diff_wl_bank_text":"ต่ำกว่าตลิ่ง (ม.)","river_gid":8625,"river_name":"น้ำแม่ลาว"}</t>
  </si>
  <si>
    <t>THAIWATER_WL:2639</t>
  </si>
  <si>
    <t>X.203</t>
  </si>
  <si>
    <t>บ้านนาป่า</t>
  </si>
  <si>
    <t>{"id":1317523529,"waterlevel_datetime":"2026-10-03 12:00","waterlevel_m":null,"waterlevel_msl":"8.11","waterlevel_msl_previous":"8.11","flow_rate":null,"discharge":"1.65","storage_percent":"24.25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2639,"tele_station_name":{"th":"บ้านนาป่า"},"tele_station_lat":8.39629,"tele_station_long":99.920143,"tele_station_oldcode":"X.203","tele_station_type":"tele_waterlevel","left_bank":11.905,"right_bank":11.877,"min_bank":10.5,"ground_level":7.345,"offset":null,"sub_basin_id":327,"agency_id":12,"geocode_id":7181,"hydro_id":8,"qmax":39.549999,"is_key_station":true,"warning_level_m":null,"critical_level_m":10.8,"critical_level_msl":10.8},"geocode":{"area_code":"5","area_name":{"th":"ภาคใต้","en":"South"},"amphoe_code":"01","amphoe_name":{"th":"เมืองนครศรีธรรมราช","en":"Mueang Nakhon Si Thammarat District"},"tumbon_code":"13","tumbon_name":{"th":"ไชยมนตรี","en":"Chai Montri"},"province_code":"80","province_name":{"th":"นครศรีธรรมราช","en":"Nakhon Si Thammarat"}},"diff_wl_bank":"2.39","diff_wl_bank_text":"ต่ำกว่าตลิ่ง (ม.)","river_gid":220268,"river_name":"คลองท่าดี"}</t>
  </si>
  <si>
    <t>THAIWATER_WL:3146</t>
  </si>
  <si>
    <t>Y.1C</t>
  </si>
  <si>
    <t>บ้านน้ำโค้ง</t>
  </si>
  <si>
    <t>fb831f68-e0c3-7061-1205-282530342391</t>
  </si>
  <si>
    <t>โรงเรียนวัเสุวรรณคีรี</t>
  </si>
  <si>
    <t>https://maps.app.goo.gl/VpK4JpmMrPMEW24A7</t>
  </si>
  <si>
    <t>{"id":1317494205,"waterlevel_datetime":"2026-10-03 11:00","waterlevel_m":null,"waterlevel_msl":"145.11","waterlevel_msl_previous":"145.12","flow_rate":null,"discharge":"50.20","storage_percent":"23.99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3146,"tele_station_name":{"th":"บ้านน้ำโค้ง"},"tele_station_lat":18.133909,"tele_station_long":100.124641,"tele_station_oldcode":"Y.1C","tele_station_type":"tele_waterlevel","left_bank":297.41200000000003,"right_bank":297.512,"min_bank":151.7,"ground_level":143.03,"offset":143.5,"sub_basin_id":205,"agency_id":12,"geocode_id":5182,"hydro_id":1,"qmax":1042,"is_key_station":true,"warning_level_m":null,"critical_level_m":null,"critical_level_msl":null},"geocode":{"area_code":"3","area_name":{"th":"ภาคเหนือ","en":"North"},"amphoe_code":"01","amphoe_name":{"th":"เมืองแพร่","en":"Mueang Phrae District"},"tumbon_code":"10","tumbon_name":{"th":"ป่าแมต","en":"Pa Maet"},"province_code":"54","province_name":{"th":"แพร่","en":"Phrae"}},"diff_wl_bank":"6.59","diff_wl_bank_text":"ต่ำกว่าตลิ่ง (ม.)","river_gid":66840,"river_name":"แม่น้ำยม"}</t>
  </si>
  <si>
    <t>THAIWATER_WL:3172</t>
  </si>
  <si>
    <t>W.21</t>
  </si>
  <si>
    <t>บ้านท่าเดื่อ</t>
  </si>
  <si>
    <t>{"id":1317452569,"waterlevel_datetime":"2026-10-03 09:00","waterlevel_m":null,"waterlevel_msl":"232.54","waterlevel_msl_previous":"232.54","flow_rate":null,"discharge":"30.10","storage_percent":"23.96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3172,"tele_station_name":{"th":"บ้านท่าเดื่อ"},"tele_station_lat":18.34301,"tele_station_long":99.537178,"tele_station_oldcode":"W.21","tele_station_type":"tele_waterlevel","left_bank":471.847,"right_bank":472.71500000000003,"min_bank":238,"ground_level":230.82,"offset":232,"sub_basin_id":188,"agency_id":12,"geocode_id":4997,"hydro_id":1,"qmax":471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District"},"tumbon_code":"17","tumbon_name":{"th":"ต้นธงชัย","en":"Ton Thong Chai"},"province_code":"52","province_name":{"th":"ลำปาง","en":"Lampang"}},"diff_wl_bank":"5.46","diff_wl_bank_text":"ต่ำกว่าตลิ่ง (ม.)","river_gid":58767,"river_name":"แม่น้ำวัง"}</t>
  </si>
  <si>
    <t>THAIWATER_WL:2957</t>
  </si>
  <si>
    <t>02 424 0416</t>
  </si>
  <si>
    <t>E.88</t>
  </si>
  <si>
    <t>บ้านดงสวรรค์</t>
  </si>
  <si>
    <t>ห้วยมูล</t>
  </si>
  <si>
    <t>{"id":"fb831f68-e0c3-7061-1205-282530342391","district":"บางกอกน้อย","category":"ศูนย์พักพิงชั่วคราว","name":"โรงเรียนวัเสุวรรณคีรี","capacity":50,"occupied":0,"available":50,"unitType":"คน","status":"เปิดให้บริการ/ว่าง","routeDetails":"","link":"https://maps.app.goo.gl/VpK4JpmMrPMEW24A7","additionalDetails":"02 424 0416","createdAt":"2026-09-26T08:47:06.000Z","updatedAt":"2026-09-26T08:47:06.000Z"}</t>
  </si>
  <si>
    <t>https://www.google.com/maps/place/Wat+Suwan+Keree+School/@13.7809196,100.466068,1046m/data=!3m2!1e3!4b1!4m6!3m5!1s0x30e299898f534855:0x87be82b57da6c4fb!8m2!3d13.7809144!4d100.4686429!16s%2Fg%2F11b67qspvz!5m1!1e1?entry=tts&amp;g_ep=EgoyMDI2MDkyMy4wIPu8ASoASAFQAw%3D%3D&amp;skid=84b2ecbc-38e8-468b-be64-0ba3da98d800</t>
  </si>
  <si>
    <t>{"id":1317389843,"waterlevel_datetime":"2026-10-03 06:00","waterlevel_m":null,"waterlevel_msl":"164.19","waterlevel_msl_previous":"164.19","flow_rate":null,"discharge":"0.33","storage_percent":"23.93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2957,"tele_station_name":{"th":"บ้านดงสวรรค์"},"tele_station_lat":16.83222,"tele_station_long":103.369171,"tele_station_oldcode":"E.88","tele_station_type":"tele_waterlevel","left_bank":331.36699799999997,"right_bank":331.309998,"min_bank":167.56,"ground_level":163.13,"offset":163.059998,"sub_basin_id":97,"agency_id":12,"geocode_id":4335,"hydro_id":3,"qmax":90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District"},"tumbon_code":"09","tumbon_name":{"th":"หนองหิน","en":"Nong Hin"},"province_code":"46","province_name":{"th":"กาฬสินธุ์","en":"Kalasin"}},"diff_wl_bank":"3.37","diff_wl_bank_text":"ต่ำกว่าตลิ่ง (ม.)","river_gid":126169,"river_name":"ห้วยมูล"}</t>
  </si>
  <si>
    <t>THAIWATER_WL:1422365</t>
  </si>
  <si>
    <t>RPBD05</t>
  </si>
  <si>
    <t>สะพานพุมดวง (วัดตาขุน) อ.บ้านตาขุน</t>
  </si>
  <si>
    <t>{"id":1317591817,"waterlevel_datetime":"2026-10-03 15:00","waterlevel_m":null,"waterlevel_msl":"5.34","waterlevel_msl_previous":"5.42","flow_rate":null,"discharge":null,"storage_percent":"23.88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Basin"}},"station":{"id":1422365,"tele_station_name":{"th":"สะพานพุมดวง (วัดตาขุน) อ.บ้านตาขุน"},"tele_station_lat":8.915783,"tele_station_long":98.885678,"tele_station_oldcode":"RPBD05","tele_station_type":"tele_waterlevel","left_bank":20.5235,"right_bank":21.6921,"min_bank":20.52,"ground_level":0.58,"offset":null,"sub_basin_id":316,"agency_id":8,"geocode_id":7577,"hydro_id":null,"qmax":null,"is_key_station":false,"warning_level_m":null,"critical_level_m":null,"critical_level_msl":20.524},"geocode":{"area_code":"5","area_name":{"th":"ภาคใต้","en":"South"},"amphoe_code":"09","amphoe_name":{"th":"บ้านตาขุน","en":"Ban Ta Khun District"},"tumbon_code":"01","tumbon_name":{"th":"เขาวง","en":"Khao Wong"},"province_code":"84","province_name":{"th":"สุราษฎร์ธานี","en":"Surat Thani"}},"diff_wl_bank":"15.18","diff_wl_bank_text":"ต่ำกว่าตลิ่ง (ม.)"}</t>
  </si>
  <si>
    <t>THAIWATER_WL:2665</t>
  </si>
  <si>
    <t>Z.21</t>
  </si>
  <si>
    <t>บ้านโป่งโรงเซ็น</t>
  </si>
  <si>
    <t>คลองทับนคร</t>
  </si>
  <si>
    <t>788d75c0-5ded-df44-3cd1-c5ca512c445a</t>
  </si>
  <si>
    <t>{"id":1317582847,"waterlevel_datetime":"2026-10-03 14:00","waterlevel_m":null,"waterlevel_msl":"22.76","waterlevel_msl_previous":"22.77","flow_rate":null,"discharge":"14.20","storage_percent":"23.84","sort_order":null,"station_type":"tele_waterlevel","situation_level":2,"agency":{"id":12,"agency_name":{"th":"กรมชลประทาน ","en":"Royal Irrigation Department","jp":""},"agency_shortname":{"th":"ชป.","en":"RID","jp":""}},"basin":{"id":18,"basin_code":17,"basin_name":{"th":"ลุ่มน้ำชายฝั่งทะเลตะวันออก","en":"East Coast Gulf Basin"}},"station":{"id":2665,"tele_station_name":{"th":"บ้านโป่งโรงเซ็น"},"tele_station_lat":12.79196,"tele_station_long":102.254669,"tele_station_oldcode":"Z.21","tele_station_type":"tele_waterlevel","left_bank":49.933001000000004,"right_bank":49.896001,"min_bank":28.69,"ground_level":20.904,"offset":21.200001,"sub_basin_id":296,"agency_id":12,"geocode_id":1295,"hydro_id":6,"qmax":262,"is_key_station":false,"warning_level_m":null,"critical_level_m":null,"critical_level_msl":null},"geocode":{"area_code":"2","area_name":{"th":"ภาคกลาง","en":"Central"},"amphoe_code":"05","amphoe_name":{"th":"มะขาม","en":"Makham District"},"tumbon_code":"03","tumbon_name":{"th":"ปัถวี","en":"Patthawi"},"province_code":"22","province_name":{"th":"จันทบุรี","en":"Chanthaburi"}},"diff_wl_bank":"5.93","diff_wl_bank_text":"ต่ำกว่าตลิ่ง (ม.)","river_gid":203701,"river_name":"คลองทับนคร"}</t>
  </si>
  <si>
    <t>โรงเรียนวีดศรีสุดาราม</t>
  </si>
  <si>
    <t>THAIWATER_WL:1396858</t>
  </si>
  <si>
    <t>MOU461</t>
  </si>
  <si>
    <t>สะพานคลองนางรอง</t>
  </si>
  <si>
    <t>https://maps.app.goo.gl/mCEC959RGxGQQpCFA</t>
  </si>
  <si>
    <t>{"id":1317594097,"waterlevel_datetime":"2026-10-03 15:10","waterlevel_m":null,"waterlevel_msl":"23.61","waterlevel_msl_previous":"23.61","flow_rate":null,"discharge":null,"storage_percent":"23.81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Basin"}},"station":{"id":1396858,"tele_station_name":{"en":"Khlong Nang Rong Bridge","th":"สะพานคลองนางรอง"},"tele_station_lat":14.315195,"tele_station_long":101.312836,"tele_station_oldcode":"MOU461","tele_station_type":"tele_waterlevel","left_bank":27.968,"right_bank":26.49,"min_bank":26.49,"ground_level":22.71,"offset":null,"sub_basin_id":282,"sponsor_by":"มูลนิธิอาสาเพื่อนพึ่ง (ภาฯ) ยามยาก สภากาชาดไทย","agency_id":91,"geocode_id":1568,"hydro_id":null,"qmax":null,"is_key_station":false,"warning_level_m":null,"critical_level_m":null,"critical_level_msl":null},"geocode":{"area_code":"2","area_name":{"th":"ภาคกลาง","en":"Central"},"amphoe_code":"01","amphoe_name":{"th":"เมืองนครนายก","en":"Mueang Nakhon Nayok District"},"tumbon_code":"11","tumbon_name":{"th":"หินตั้ง","en":"Hin Tang"},"province_code":"26","province_name":{"th":"นครนายก","en":"Nakhon Nayok"}},"diff_wl_bank":"2.88","diff_wl_bank_text":"ต่ำกว่าตลิ่ง (ม.)"}</t>
  </si>
  <si>
    <t>THAIWATER_WL:3171</t>
  </si>
  <si>
    <t>W.20</t>
  </si>
  <si>
    <t>บ้านท่าล้อ</t>
  </si>
  <si>
    <t>02 424 0424</t>
  </si>
  <si>
    <t>น้ำแม่ตุ๋ย</t>
  </si>
  <si>
    <t>{"id":"788d75c0-5ded-df44-3cd1-c5ca512c445a","district":"บางกอกน้อย","category":"ศูนย์พักพิงชั่วคราว","name":"โรงเรียนวีดศรีสุดาราม","capacity":50,"occupied":0,"available":50,"unitType":"คน","status":"เปิดให้บริการ/ว่าง","routeDetails":"","link":"https://maps.app.goo.gl/mCEC959RGxGQQpCFA","additionalDetails":"02 424 0424","createdAt":"2026-09-26T08:47:06.000Z","updatedAt":"2026-09-26T08:47:06.000Z"}</t>
  </si>
  <si>
    <t>https://www.google.com/maps/place/Wat+Sri+Sudaram+School/@13.76674,100.4699265,1046m/data=!3m2!1e3!4b1!4m6!3m5!1s0x30e29990bb60e651:0x5e1f85d7d54289a9!8m2!3d13.7667348!4d100.4725014!16s%2Fg%2F1tgv3z4v!5m1!1e1?entry=tts&amp;g_ep=EgoyMDI2MDkyMy4wIPu8ASoASAFQAw%3D%3D&amp;skid=d8801b39-49bf-4989-909b-c64f1cbb815f</t>
  </si>
  <si>
    <t>{"id":1317452568,"waterlevel_datetime":"2026-10-03 09:00","waterlevel_m":null,"waterlevel_msl":"229.93","waterlevel_msl_previous":"229.93","flow_rate":null,"discharge":"0.11","storage_percent":"23.57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3171,"tele_station_name":{"th":"บ้านท่าล้อ"},"tele_station_lat":18.310881,"tele_station_long":99.45784,"tele_station_oldcode":"W.20","tele_station_type":"tele_waterlevel","left_bank":468.439998,"right_bank":468.487998,"min_bank":236.02,"ground_level":228.052,"offset":230.419998,"sub_basin_id":189,"agency_id":12,"geocode_id":4996,"hydro_id":1,"qmax":373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District"},"tumbon_code":"16","tumbon_name":{"th":"บ่อแฮ้ว","en":"Bo Haeo"},"province_code":"52","province_name":{"th":"ลำปาง","en":"Lampang"}},"diff_wl_bank":"6.09","diff_wl_bank_text":"ต่ำกว่าตลิ่ง (ม.)","river_gid":60047,"river_name":"น้ำแม่ตุ๋ย"}</t>
  </si>
  <si>
    <t>THAIWATER_WL:1556822</t>
  </si>
  <si>
    <t>MOU172</t>
  </si>
  <si>
    <t>สะพานแม่ระมาด</t>
  </si>
  <si>
    <t>{"id":1317594066,"waterlevel_datetime":"2026-10-03 15:10","waterlevel_m":null,"waterlevel_msl":"173.20","waterlevel_msl_previous":"173.19","flow_rate":null,"discharge":null,"storage_percent":"23.49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Foundation","jp":""},"agency_shortname":{"th":"พพภ","en":"FOP","jp":""}},"basin":{"id":1,"basin_code":1,"basin_name":{"th":"ลุ่มน้ำสาละวิน","en":"Salawin Basin"}},"station":{"id":1556822,"tele_station_name":{"en":"Mae Ramat Bridge","th":"สะพานแม่ระมาด"},"tele_station_lat":16.983826,"tele_station_long":98.52675,"tele_station_oldcode":"MOU172","tele_station_type":"tele_waterlevel","left_bank":175.2,"right_bank":176.116,"min_bank":175.2,"ground_level":172.586,"offset":null,"sub_basin_id":22,"agency_id":91,"geocode_id":5995,"hydro_id":null,"qmax":null,"is_key_station":false,"warning_level_m":null,"critical_level_m":null,"critical_level_msl":null},"geocode":{"area_code":"3","area_name":{"th":"ภาคเหนือ","en":"North"},"amphoe_code":"04","amphoe_name":{"th":"แม่ระมาด","en":"Mae Ramat District"},"tumbon_code":"01","tumbon_name":{"th":"แม่ระมาด","en":"Mae Ramat"},"province_code":"63","province_name":{"th":"ตาก","en":"Tak"}},"diff_wl_bank":"2.00","diff_wl_bank_text":"ต่ำกว่าตลิ่ง (ม.)"}</t>
  </si>
  <si>
    <t>THAIWATER_WL:3524</t>
  </si>
  <si>
    <t>URTD02</t>
  </si>
  <si>
    <t>ลำน้ำพอง โรงเรียนลำน้ำพอง</t>
  </si>
  <si>
    <t>{"id":1317593672,"waterlevel_datetime":"2026-10-03 15:00","waterlevel_m":null,"waterlevel_msl":"147.19","waterlevel_msl_previous":"147.19","flow_rate":"5.57","discharge":"13.20","storage_percent":"23.48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Basin"}},"station":{"id":3524,"tele_station_name":{"th":"ลำน้ำพอง โรงเรียนลำน้ำพอง"},"tele_station_lat":16.571498,"tele_station_long":102.881228,"tele_station_oldcode":"URTD02","tele_station_type":"tele_waterlevel","left_bank":157.6642,"right_bank":156.4112,"min_bank":156.41,"ground_level":144.3632,"offset":null,"sub_basin_id":93,"agency_id":8,"geocode_id":3297,"hydro_id":null,"qmax":null,"is_key_station":false,"warning_level_m":null,"critical_level_m":null,"critical_level_msl":155},"geocode":{"area_code":"4","area_name":{"th":"ภาคตะวันออกเฉียงเหนือ","en":"Northeast"},"amphoe_code":"07","amphoe_name":{"th":"น้ำพอง","en":"Nam Phong District"},"tumbon_code":"10","tumbon_name":{"th":"ท่ากระเสริม","en":"Tha Krasoem"},"province_code":"40","province_name":{"th":"ขอนแก่น","en":"Khon Kaen"}},"diff_wl_bank":"9.22","diff_wl_bank_text":"ต่ำกว่าตลิ่ง (ม.)","river_gid":129399,"river_name":"ลำน้ำพอง"}</t>
  </si>
  <si>
    <t>THAIWATER_WL:1109492</t>
  </si>
  <si>
    <t>ONE003</t>
  </si>
  <si>
    <t>สะพานคลองอิปัน</t>
  </si>
  <si>
    <t>2d3f5e3a-ce0d-b5ea-d5ce-84df66b6c82a</t>
  </si>
  <si>
    <t>คลองปันโตน</t>
  </si>
  <si>
    <t>โรงเรียนวัดดีดวด</t>
  </si>
  <si>
    <t>https://maps.app.goo.gl/AAK9oFKoK3aXWG7T6?g_st=ic</t>
  </si>
  <si>
    <t>{"id":1317594459,"waterlevel_datetime":"2026-10-03 15:10","waterlevel_m":null,"waterlevel_msl":"36.90","waterlevel_msl_previous":"36.90","flow_rate":null,"discharge":null,"storage_percent":"23.40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Basin"}},"station":{"id":1109492,"tele_station_name":{"en":"I Pan Bridge","th":"สะพานคลองอิปัน"},"tele_station_lat":8.525791,"tele_station_long":98.88188,"tele_station_oldcode":"ONE003","tele_station_type":"tele_waterlevel","left_bank":42.186,"right_bank":45.069,"min_bank":42.19,"ground_level":35.285,"offset":null,"sub_basin_id":322,"agency_id":9,"geocode_id":7410,"hydro_id":null,"qmax":null,"is_key_station":false,"warning_level_m":null,"critical_level_m":null,"critical_level_msl":null},"geocode":{"area_code":"5","area_name":{"th":"ภาคใต้","en":"South"},"amphoe_code":"06","amphoe_name":{"th":"ปลายพระยา","en":"Plai Phraya District"},"tumbon_code":"01","tumbon_name":{"th":"ปลายพระยา","en":"Plai Phraya"},"province_code":"81","province_name":{"th":"กระบี่","en":"Krabi"}},"diff_wl_bank":"5.29","diff_wl_bank_text":"ต่ำกว่าตลิ่ง (ม.)","river_gid":219301,"river_name":"คลองปันโตน"}</t>
  </si>
  <si>
    <t>THAIWATER_WL:3149</t>
  </si>
  <si>
    <t>P.76</t>
  </si>
  <si>
    <t>บ้านแม่อีไฮ</t>
  </si>
  <si>
    <t>{"id":1317494194,"waterlevel_datetime":"2026-10-03 11:00","waterlevel_m":null,"waterlevel_msl":"365.27","waterlevel_msl_previous":"365.28","flow_rate":null,"discharge":"5.39","storage_percent":"23.31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3149,"tele_station_name":{"th":"บ้านแม่อีไฮ"},"tele_station_lat":18.14139,"tele_station_long":98.896606,"tele_station_oldcode":"P.76","tele_station_type":"tele_waterlevel","left_bank":735.101995,"right_bank":735.130995,"min_bank":369.02,"ground_level":364.13,"offset":363.619995,"sub_basin_id":167,"agency_id":12,"geocode_id":4957,"hydro_id":1,"qmax":252,"is_key_station":false,"warning_level_m":null,"critical_level_m":null,"critical_level_msl":null},"geocode":{"area_code":"3","area_name":{"th":"ภาคเหนือ","en":"North"},"amphoe_code":"04","amphoe_name":{"th":"ลี้","en":"Li District"},"tumbon_code":"09","tumbon_name":{"th":"ศรีวิชัย","en":"Si Wichai"},"province_code":"51","province_name":{"th":"ลำพูน","en":"Lamphun"}},"diff_wl_bank":"3.75","diff_wl_bank_text":"ต่ำกว่าตลิ่ง (ม.)","river_gid":66234,"river_name":"น้ำแม่ลี้"}</t>
  </si>
  <si>
    <t>THAIWATER_WL:784</t>
  </si>
  <si>
    <t>PRN001</t>
  </si>
  <si>
    <t>ปราณบุรี</t>
  </si>
  <si>
    <t>2026-09-26T05:31:23.000Z</t>
  </si>
  <si>
    <t>แม่น้ำปราณบุรี</t>
  </si>
  <si>
    <t>{"id":"2d3f5e3a-ce0d-b5ea-d5ce-84df66b6c82a","district":"บางกอกใหญ่","category":"ศูนย์พักพิงชั่วคราว","name":"โรงเรียนวัดดีดวด","capacity":40,"occupied":0,"available":40,"unitType":"คน","status":"เปิดให้บริการ/ว่าง","routeDetails":"","link":"https://maps.app.goo.gl/AAK9oFKoK3aXWG7T6?g_st=ic","additionalDetails":null,"createdAt":"2026-09-26T05:31:23.000Z","updatedAt":"2026-09-26T05:31:23.000Z"}</t>
  </si>
  <si>
    <t>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</t>
  </si>
  <si>
    <t>{"id":1317594523,"waterlevel_datetime":"2026-10-03 15:10","waterlevel_m":null,"waterlevel_msl":"0.00","waterlevel_msl_previous":"0.00","flow_rate":null,"discharge":null,"storage_percent":"23.22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Basin"}},"station":{"id":784,"tele_station_name":{"en":"Pran Buri 1","th":"ปราณบุรี"},"tele_station_lat":12.38992,"tele_station_long":99.91119,"tele_station_oldcode":"PRN001","tele_station_type":"tele_waterlevel","left_bank":6.933,"right_bank":9.617,"min_bank":6.93,"ground_level":-2.097,"offset":null,"sub_basin_id":303,"agency_id":9,"geocode_id":7155,"hydro_id":null,"qmax":null,"is_key_station":false,"warning_level_m":null,"critical_level_m":null,"critical_level_msl":null},"geocode":{"area_code":"2","area_name":{"th":"ภาคกลาง","en":"Central"},"amphoe_code":"06","amphoe_name":{"th":"ปราณบุรี","en":"Pran Buri District"},"tumbon_code":"08","tumbon_name":{"th":"วังก์พง","en":"Wang Phong"},"province_code":"77","province_name":{"th":"ประจวบคีรีขันธ์","en":"Prachuap Khiri Khan"}},"diff_wl_bank":"6.93","diff_wl_bank_text":"ต่ำกว่าตลิ่ง (ม.)","river_gid":210951,"river_name":"แม่น้ำปราณบุรี"}</t>
  </si>
  <si>
    <t>THAIWATER_WL:3112</t>
  </si>
  <si>
    <t>P.64</t>
  </si>
  <si>
    <t>บ้านหลวง</t>
  </si>
  <si>
    <t>น้ำแม่ตื่น</t>
  </si>
  <si>
    <t>{"id":1317388163,"waterlevel_datetime":"2026-10-03 06:00","waterlevel_m":null,"waterlevel_msl":"788.49","waterlevel_msl_previous":"788.71","flow_rate":null,"discharge":"14.60","storage_percent":"23.16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3112,"tele_station_name":{"th":"บ้านหลวง"},"tele_station_lat":17.78546,"tele_station_long":98.372391,"tele_station_oldcode":"P.64","tele_station_type":"tele_waterlevel","left_bank":1580.784976,"right_bank":1580.870976,"min_bank":793.35,"ground_level":787.025,"offset":787.349976,"sub_basin_id":175,"agency_id":12,"geocode_id":4874,"hydro_id":1,"qmax":360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District"},"tumbon_code":"02","tumbon_name":{"th":"ยางเปียง","en":"Yang Piang"},"province_code":"50","province_name":{"th":"เชียงใหม่","en":"Chiang Mai"}},"diff_wl_bank":"4.86","diff_wl_bank_text":"ต่ำกว่าตลิ่ง (ม.)","river_gid":76522,"river_name":"น้ำแม่ตื่น"}</t>
  </si>
  <si>
    <t>THAIWATER_WL:2620</t>
  </si>
  <si>
    <t>M.171</t>
  </si>
  <si>
    <t>บ้านโนนสาวเอ้</t>
  </si>
  <si>
    <t>{"id":1317571360,"waterlevel_datetime":"2026-10-03 14:00","waterlevel_m":null,"waterlevel_msl":"273.27","waterlevel_msl_previous":"273.27","flow_rate":null,"discharge":"9.45","storage_percent":"23.09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2620,"tele_station_name":{"th":"บ้านโนนสาวเอ้"},"tele_station_lat":14.50134,"tele_station_long":101.768478,"tele_station_oldcode":"M.171","tele_station_type":"tele_waterlevel","left_bank":277.000012,"right_bank":277.000012,"min_bank":277,"ground_level":272.15,"offset":272.200012,"sub_basin_id":106,"agency_id":12,"geocode_id":1951,"hydro_id":4,"qmax":587,"is_key_station":true,"warning_level_m":null,"critical_level_m":null,"critical_level_msl":null},"geocode":{"area_code":"4","area_name":{"th":"ภาคตะวันออกเฉียงเหนือ","en":"Northeast"},"amphoe_code":"25","amphoe_name":{"th":"วังน้ำเขียว","en":"Wang Nam Khiao District"},"tumbon_code":"02","tumbon_name":{"th":"วังหมี","en":"Wang Mi"},"province_code":"30","province_name":{"th":"นครราชสีมา","en":"Nakhon Ratchasima"}},"diff_wl_bank":"3.73","diff_wl_bank_text":"ต่ำกว่าตลิ่ง (ม.)","river_gid":154036,"river_name":"ลำพระเพลิง"}</t>
  </si>
  <si>
    <t>THAIWATER_WL:1109523</t>
  </si>
  <si>
    <t>ONE034</t>
  </si>
  <si>
    <t>สะพานข้ามห้วยสมอ</t>
  </si>
  <si>
    <t>ห้วยทราย</t>
  </si>
  <si>
    <t>{"id":1317594485,"waterlevel_datetime":"2026-10-03 15:10","waterlevel_m":null,"waterlevel_msl":"159.75","waterlevel_msl_previous":"159.75","flow_rate":null,"discharge":null,"storage_percent":"22.72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Basin"}},"station":{"id":1109523,"tele_station_name":{"en":"Huai Samo Bridge","th":"สะพานข้ามห้วยสมอ"},"tele_station_lat":17.208937,"tele_station_long":104.101845,"tele_station_oldcode":"ONE034","tele_station_type":"tele_waterlevel","left_bank":161.966,"right_bank":161.73,"min_bank":161.73,"ground_level":159.168,"offset":null,"sub_basin_id":69,"agency_id":9,"geocode_id":4386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District"},"tumbon_code":"16","tumbon_name":{"th":"ธาตุนาเวง","en":"That Naweng"},"province_code":"47","province_name":{"th":"สกลนคร","en":"Sakon Nakhon"}},"diff_wl_bank":"1.98","diff_wl_bank_text":"ต่ำกว่าตลิ่ง (ม.)","river_gid":121479,"river_name":"ห้วยทราย"}</t>
  </si>
  <si>
    <t>THAIWATER_WL:2573</t>
  </si>
  <si>
    <t>K.31</t>
  </si>
  <si>
    <t>ตลิ่ง ณ สถานี K.31 บ้านน้ำโจน</t>
  </si>
  <si>
    <t>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</t>
  </si>
  <si>
    <t>{"id":1317575395,"waterlevel_datetime":"2026-10-03 14:00","waterlevel_m":null,"waterlevel_msl":"59.13","waterlevel_msl_previous":"59.13","flow_rate":null,"discharge":"79.99","storage_percent":"22.60","sort_order":null,"station_type":"tele_waterlevel","situation_level":2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Basin"}},"station":{"id":2573,"tele_station_name":{"th":"ตลิ่ง ณ สถานี K.31 บ้านน้ำโจน"},"tele_station_lat":14.43409,"tele_station_long":98.80909,"tele_station_oldcode":"K.31","tele_station_type":"tele_waterlevel","left_bank":123.169001,"right_bank":123.538001,"min_bank":69,"ground_level":56.248,"offset":54.200001,"sub_basin_id":272,"agency_id":12,"geocode_id":6600,"hydro_id":7,"qmax":2210,"is_key_station":true,"warning_level_m":null,"critical_level_m":null,"critical_level_msl":null},"geocode":{"area_code":"2","area_name":{"th":"ภาคกลาง","en":"Central"},"amphoe_code":"02","amphoe_name":{"th":"ไทรโยค","en":"Sai Yok District"},"tumbon_code":"04","tumbon_name":{"th":"ไทรโยค","en":"Sai Yok"},"province_code":"71","province_name":{"th":"กาญจนบุรี","en":"Kanchanaburi"}},"diff_wl_bank":"9.87","diff_wl_bank_text":"ต่ำกว่าตลิ่ง (ม.)","river_gid":181830,"river_name":"ห้วยแม่น้ำน้อย"}</t>
  </si>
  <si>
    <t>THAIWATER_WL:999405</t>
  </si>
  <si>
    <t>X.289</t>
  </si>
  <si>
    <t xml:space="preserve">วัดถลุงทอง อำเภอร่อนพิบูลย์ </t>
  </si>
  <si>
    <t>{"id":1317523569,"waterlevel_datetime":"2026-10-03 12:00","waterlevel_m":null,"waterlevel_msl":"15.20","waterlevel_msl_previous":"15.20","flow_rate":null,"discharge":"2.50","storage_percent":"22.59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Basin"}},"station":{"id":999405,"tele_station_name":{"th":"วัดถลุงทอง อำเภอร่อนพิบูลย์ "},"tele_station_lat":8.3062,"tele_station_long":99.859917,"tele_station_oldcode":"X.289","tele_station_type":"tele_waterlevel","left_bank":21.001,"right_bank":21.008,"min_bank":19.5,"ground_level":13.945,"offset":null,"sub_basin_id":327,"agency_id":12,"geocode_id":7300,"hydro_id":8,"qmax":null,"is_key_station":false,"warning_level_m":null,"critical_level_m":null,"critical_level_msl":null},"geocode":{"area_code":"5","area_name":{"th":"ภาคใต้","en":"South"},"amphoe_code":"13","amphoe_name":{"th":"ร่อนพิบูลย์","en":"Ron Phibun District"},"tumbon_code":"02","tumbon_name":{"th":"หินตก","en":"Hin Tok"},"province_code":"80","province_name":{"th":"นครศรีธรรมราช","en":"Nakhon Si Thammarat"}},"diff_wl_bank":"4.30","diff_wl_bank_text":"ต่ำกว่าตลิ่ง (ม.)","river_gid":221148,"river_name":"คลองเสาธง"}</t>
  </si>
  <si>
    <t>THAIWATER_WL:1422302</t>
  </si>
  <si>
    <t>BBD09</t>
  </si>
  <si>
    <t>แม่น้ำวังที่ อ.เถิน (W.3A)</t>
  </si>
  <si>
    <t>{"id":1317592393,"waterlevel_datetime":"2026-10-03 15:00","waterlevel_m":null,"waterlevel_msl":"161.25","waterlevel_msl_previous":"161.25","flow_rate":null,"discharge":null,"storage_percent":"22.58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Thailand","jp":""},"agency_shortname":{"th":"กฟผ.","en":"EGAT","jp":""}},"basin":{"id":7,"basin_code":7,"basin_name":{"th":"ลุ่มน้ำวัง","en":"Wang Basin"}},"station":{"id":1422302,"tele_station_name":{"th":"แม่น้ำวังที่ อ.เถิน (W.3A)"},"tele_station_lat":17.641503,"tele_station_long":99.232057,"tele_station_oldcode":"BBD09","tele_station_type":"tele_waterlevel","left_bank":169.115,"right_bank":169.081,"min_bank":169.08,"ground_level":158.97,"offset":null,"sub_basin_id":194,"agency_id":8,"geocode_id":5050,"hydro_id":null,"qmax":null,"is_key_station":false,"warning_level_m":null,"critical_level_m":null,"critical_level_msl":165.8},"geocode":{"area_code":"3","area_name":{"th":"ภาคเหนือ","en":"North"},"amphoe_code":"08","amphoe_name":{"th":"เถิน","en":"Thoeng District"},"tumbon_code":"01","tumbon_name":{"th":"ล้อมแรด","en":"Lom Raet"},"province_code":"52","province_name":{"th":"ลำปาง","en":"Lampang"}},"diff_wl_bank":"7.83","diff_wl_bank_text":"ต่ำกว่าตลิ่ง (ม.)"}</t>
  </si>
  <si>
    <t>THAIWATER_WL:3509</t>
  </si>
  <si>
    <t>URTU02</t>
  </si>
  <si>
    <t>น้ำพอง อ.สีชมพู</t>
  </si>
  <si>
    <t>116/13 ซ. จรัญสนิทวงศ์ 12 แขวงวัดท่าพระ เขตบางกอกใหญ่ กรุงเทพมหานคร 10600 ประเทศไทย</t>
  </si>
  <si>
    <t>ChIJp-4tYaWZ4jARbAfRK6fY-3Q</t>
  </si>
  <si>
    <t>{"id":1317514963,"waterlevel_datetime":"2026-10-03 12:00","waterlevel_m":null,"waterlevel_msl":"192.85","waterlevel_msl_previous":"192.86","flow_rate":"0.00","discharge":"0.82","storage_percent":"22.54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Basin"}},"station":{"id":3509,"tele_station_name":{"th":"น้ำพอง อ.สีชมพู"},"tele_station_lat":16.88054,"tele_station_long":102.145442,"tele_station_oldcode":"URTU02","tele_station_type":"tele_waterlevel","left_bank":202.174,"right_bank":201.42,"min_bank":201.42,"ground_level":190.355,"offset":null,"sub_basin_id":85,"agency_id":8,"geocode_id":3277,"hydro_id":null,"qmax":null,"is_key_station":false,"warning_level_m":null,"critical_level_m":null,"critical_level_msl":202.33},"geocode":{"area_code":"4","area_name":{"th":"ภาคตะวันออกเฉียงเหนือ","en":"Northeast"},"amphoe_code":"06","amphoe_name":{"th":"สีชมพู","en":"Si Chomphu District"},"tumbon_code":"01","tumbon_name":{"th":"สีชมพู","en":"Si Chomphu"},"province_code":"40","province_name":{"th":"ขอนแก่น","en":"Khon Kaen"}},"diff_wl_bank":"8.57","diff_wl_bank_text":"ต่ำกว่าตลิ่ง (ม.)","river_gid":126234,"river_name":"ลำน้ำพอง"}</t>
  </si>
  <si>
    <t>f756b6cc-f792-aa4b-4ec9-b06b801c2883</t>
  </si>
  <si>
    <t>THAIWATER_WL:832057</t>
  </si>
  <si>
    <t>K.62</t>
  </si>
  <si>
    <t>โรงเรียนวัดท่าพระ</t>
  </si>
  <si>
    <t>บ้านหนองไผ่</t>
  </si>
  <si>
    <t>https://maps.app.goo.gl/QfgRkEdmLnXMaYze7?g_st=ic</t>
  </si>
  <si>
    <t>{"id":1317575401,"waterlevel_datetime":"2026-10-03 14:00","waterlevel_m":null,"waterlevel_msl":"50.03","waterlevel_msl_previous":"50.05","flow_rate":null,"discharge":null,"storage_percent":"22.44","sort_order":null,"station_type":"tele_waterlevel","situation_level":2,"agency":{"id":12,"agency_name":{"th":"กรมชลประทาน ","en":"Royal Irrigation Department","jp":""},"agency_shortname":{"th":"ชป.","en":"RID","jp":""}},"basin":{"id":15,"basin_code":14,"basin_name":{"th":"ลุ่มน้ำแม่กลอง","en":"Mae Klong Basin"}},"station":{"id":832057,"tele_station_name":{"th":"บ้านหนองไผ่"},"tele_station_lat":13.78092,"tele_station_long":99.420921,"tele_station_oldcode":"K.62","tele_station_type":"tele_waterlevel","left_bank":103.88,"right_bank":104.094,"min_bank":54.8,"ground_level":48.65,"offset":49,"sub_basin_id":274,"agency_id":12,"geocode_id":6683,"hydro_id":7,"qmax":null,"is_key_station":true,"warning_level_m":null,"critical_level_m":null,"critical_level_msl":null},"geocode":{"area_code":"2","area_name":{"th":"ภาคกลาง","en":"Central"},"amphoe_code":"11","amphoe_name":{"th":"ด่านมะขามเตี้ย","en":"Dan Makham Tia District"},"tumbon_code":"04","tumbon_name":{"th":"หนองไผ่","en":"Nong Phai"},"province_code":"71","province_name":{"th":"กาญจนบุรี","en":"Kanchanaburi"}},"diff_wl_bank":"4.77","diff_wl_bank_text":"ต่ำกว่าตลิ่ง (ม.)","river_gid":186944,"river_name":"ลำภาชี"}</t>
  </si>
  <si>
    <t>THAIWATER_WL:1101569</t>
  </si>
  <si>
    <t>FOP058</t>
  </si>
  <si>
    <t>บ้านใต้</t>
  </si>
  <si>
    <t>คลองท่าโลน</t>
  </si>
  <si>
    <t>2026-10-01T12:50:00+07:00</t>
  </si>
  <si>
    <t>{"id":"f756b6cc-f792-aa4b-4ec9-b06b801c2883","district":"บางกอกใหญ่","category":"ศูนย์พักพิงชั่วคราว","name":"โรงเรียนวัดท่าพระ","capacity":50,"occupied":0,"available":50,"unitType":"คน","status":"เปิดให้บริการ/ว่าง","routeDetails":"","link":"https://maps.app.goo.gl/QfgRkEdmLnXMaYze7?g_st=ic","additionalDetails":null,"createdAt":"2026-09-26T05:31:23.000Z","updatedAt":"2026-09-26T05:31:23.000Z"}</t>
  </si>
  <si>
    <t>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</t>
  </si>
  <si>
    <t>{"id":1316300206,"waterlevel_datetime":"2026-10-01 12:50","waterlevel_m":null,"waterlevel_msl":"59.85","waterlevel_msl_previous":"59.85","flow_rate":null,"discharge":null,"storage_percent":"22.30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Basin"}},"station":{"id":1101569,"tele_station_name":{"en":"Ban Tai","th":"บ้านใต้"},"tele_station_lat":8.178368,"tele_station_long":99.70351,"tele_station_oldcode":"FOP058","tele_station_type":"tele_waterlevel","left_bank":62.746,"right_bank":63.279,"min_bank":62.75,"ground_level":59.019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Thammarat"}},"diff_wl_bank":"2.90","diff_wl_bank_text":"ต่ำกว่าตลิ่ง (ม.)","river_gid":221889,"river_name":"คลองท่าโลน"}</t>
  </si>
  <si>
    <t>THAIWATER_WL:999395</t>
  </si>
  <si>
    <t>X.248</t>
  </si>
  <si>
    <t xml:space="preserve">บ้านหาดใน </t>
  </si>
  <si>
    <t>คลองรับรอ</t>
  </si>
  <si>
    <t>{"id":1317523557,"waterlevel_datetime":"2026-10-03 12:00","waterlevel_m":null,"waterlevel_msl":"18.59","waterlevel_msl_previous":"18.59","flow_rate":null,"discharge":null,"storage_percent":"22.29","sort_order":null,"station_type":"tele_waterlevel","situation_level":2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Basin"}},"station":{"id":999395,"tele_station_name":{"th":"บ้านหาดใน "},"tele_station_lat":10.6375,"tele_station_long":99.050163,"tele_station_oldcode":"X.248","tele_station_type":"tele_waterlevel","left_bank":27.362,"right_bank":27.349,"min_bank":23.89,"ground_level":17.07,"offset":null,"sub_basin_id":310,"agency_id":12,"geocode_id":7717,"hydro_id":8,"qmax":null,"is_key_station":tru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Ro"},"province_code":"86","province_name":{"th":"ชุมพร","en":"Chumphon"}},"diff_wl_bank":"5.30","diff_wl_bank_text":"ต่ำกว่าตลิ่ง (ม.)","river_gid":213028,"river_name":"คลองรับรอ"}</t>
  </si>
  <si>
    <t>THAIWATER_WL:319</t>
  </si>
  <si>
    <t>CHI015</t>
  </si>
  <si>
    <t>สะพานฉลองขอนแก่น 200 ปี</t>
  </si>
  <si>
    <t>{"id":1317594258,"waterlevel_datetime":"2026-10-03 15:10","waterlevel_m":null,"waterlevel_msl":"147.14","waterlevel_msl_previous":"147.14","flow_rate":null,"discharge":null,"storage_percent":"21.87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Organization)","jp":""},"agency_shortname":{"th":"สสน.","en":"HII","jp":""}},"basin":{"id":4,"basin_code":4,"basin_name":{"th":"ลุ่มน้ำชี","en":"Chi Basin Basin"}},"station":{"id":319,"tele_station_name":{"en":"Mueang Khon Kaen","th":"สะพานฉลองขอนแก่น 200 ปี"},"tele_station_lat":16.528994,"tele_station_long":102.906006,"tele_station_oldcode":"CHI015","tele_station_type":"tele_waterlevel","left_bank":155.264,"right_bank":155.197,"min_bank":155.2,"ground_level":144.885,"offset":null,"sub_basin_id":93,"agency_id":9,"geocode_id":3235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ขอนแก่น","en":"Mueang Khon Kaen District"},"tumbon_code":"16","tumbon_name":{"th":"หนองตูม","en":"Nong Tum"},"province_code":"40","province_name":{"th":"ขอนแก่น","en":"Khon Kaen"}},"diff_wl_bank":"8.06","diff_wl_bank_text":"ต่ำกว่าตลิ่ง (ม.)","river_gid":130214,"river_name":"ลำน้ำพอง"}</t>
  </si>
  <si>
    <t>THAIWATER_WL:772</t>
  </si>
  <si>
    <t>PCH002</t>
  </si>
  <si>
    <t>ห้วยแม่ประจันต์</t>
  </si>
  <si>
    <t>{"id":1317594507,"waterlevel_datetime":"2026-10-03 15:10","waterlevel_m":null,"waterlevel_msl":"18.44","waterlevel_msl_previous":"18.44","flow_rate":null,"discharge":null,"storage_percent":"21.85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Basin"}},"station":{"id":772,"tele_station_name":{"en":"Petch Buri 2","th":"แก่งกระจาน"},"tele_station_lat":12.92212,"tele_station_long":99.81754,"tele_station_oldcode":"PCH002","tele_station_type":"tele_waterlevel","left_bank":23.2,"right_bank":25.594,"min_bank":23.2,"ground_level":17.108,"offset":null,"sub_basin_id":301,"agency_id":9,"geocode_id":7110,"hydro_id":null,"qmax":null,"is_key_station":false,"warning_level_m":null,"critical_level_m":null,"critical_level_msl":null},"geocode":{"area_code":"2","area_name":{"th":"ภาคกลาง","en":"Central"},"amphoe_code":"08","amphoe_name":{"th":"แก่งกระจาน","en":"Kaeng Krachan District"},"tumbon_code":"03","tumbon_name":{"th":"วังจันทร์","en":"Wang Chan"},"province_code":"76","province_name":{"th":"เพชรบุรี","en":"Phetchaburi"}},"diff_wl_bank":"4.76","diff_wl_bank_text":"ต่ำกว่าตลิ่ง (ม.)","river_gid":209857,"river_name":"ห้วยแม่ประจันต์"}</t>
  </si>
  <si>
    <t>THAIWATER_WL:1198301</t>
  </si>
  <si>
    <t>PIN011</t>
  </si>
  <si>
    <t>น้ำก้อ</t>
  </si>
  <si>
    <t>ห้วยน้ำแม่ก้อ</t>
  </si>
  <si>
    <t>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</t>
  </si>
  <si>
    <t>{"id":1317594519,"waterlevel_datetime":"2026-10-03 15:10","waterlevel_m":null,"waterlevel_msl":"258.14","waterlevel_msl_previous":"258.13","flow_rate":null,"discharge":null,"storage_percent":"21.83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1198301,"tele_station_name":{"en":"Namko","th":"น้ำก้อ"},"tele_station_lat":17.636518,"tele_station_long":98.77956,"tele_station_oldcode":"PIN011","tele_station_type":"tele_waterlevel","left_bank":259.8008,"right_bank":261.6035,"min_bank":259.8,"ground_level":257.6763,"offset":null,"sub_basin_id":174,"agency_id":9,"geocode_id":4954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District"},"tumbon_code":"05","tumbon_name":{"th":"ก้อ","en":"Ko"},"province_code":"51","province_name":{"th":"ลำพูน","en":"Lamphun"}},"diff_wl_bank":"1.66","diff_wl_bank_text":"ต่ำกว่าตลิ่ง (ม.)","river_gid":79672,"river_name":"ห้วยน้ำแม่ก้อ"}</t>
  </si>
  <si>
    <t>THAIWATER_WL:508035</t>
  </si>
  <si>
    <t>E.29A</t>
  </si>
  <si>
    <t>บ้านผานกเค้า</t>
  </si>
  <si>
    <t>น้ำพอง</t>
  </si>
  <si>
    <t>{"id":1317573785,"waterlevel_datetime":"2026-10-03 14:00","waterlevel_m":null,"waterlevel_msl":"230.22","waterlevel_msl_previous":"230.23","flow_rate":null,"discharge":"4.15","storage_percent":"21.69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508035,"tele_station_name":{"th":"บ้านผานกเค้า"},"tele_station_lat":16.847639,"tele_station_long":101.94426,"tele_station_oldcode":"E.29A","tele_station_type":"tele_waterlevel","left_bank":469.225,"right_bank":469.249,"min_bank":238.5,"ground_level":227.926,"offset":228,"sub_basin_id":85,"agency_id":12,"geocode_id":3701,"hydro_id":3,"qmax":240,"is_key_station":true,"warning_level_m":null,"critical_level_m":null,"critical_level_msl":null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Khao"},"province_code":"42","province_name":{"th":"เลย","en":"Loei"}},"diff_wl_bank":"8.28","diff_wl_bank_text":"ต่ำกว่าตลิ่ง (ม.)","river_gid":126547,"river_name":"น้ำพอง"}</t>
  </si>
  <si>
    <t>THAIWATER_WL:2713</t>
  </si>
  <si>
    <t>M.177</t>
  </si>
  <si>
    <t>บ้านลาดบัวขาว</t>
  </si>
  <si>
    <t>ลำตะคอง</t>
  </si>
  <si>
    <t>{"id":1317571362,"waterlevel_datetime":"2026-10-03 14:00","waterlevel_m":null,"waterlevel_msl":"238.81","waterlevel_msl_previous":"238.81","flow_rate":null,"discharge":"2.68","storage_percent":"21.50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2713,"tele_station_name":{"th":"บ้านลาดบัวขาว"},"tele_station_lat":14.85019,"tele_station_long":101.616791,"tele_station_oldcode":"M.177","tele_station_type":"tele_waterlevel","left_bank":480.649997,"right_bank":480.627997,"min_bank":243.3,"ground_level":237.58,"offset":236.699997,"sub_basin_id":108,"agency_id":12,"geocode_id":1905,"hydro_id":4,"qmax":105,"is_key_station":false,"warning_level_m":null,"critical_level_m":null,"critical_level_msl":null},"geocode":{"area_code":"4","area_name":{"th":"ภาคตะวันออกเฉียงเหนือ","en":"Northeast"},"amphoe_code":"20","amphoe_name":{"th":"สีคิ้ว","en":"Sikhio District"},"tumbon_code":"04","tumbon_name":{"th":"ลาดบัวขาว","en":"Lat Bua Khao"},"province_code":"30","province_name":{"th":"นครราชสีมา","en":"Nakhon Ratchasima"}},"diff_wl_bank":"4.49","diff_wl_bank_text":"ต่ำกว่าตลิ่ง (ม.)","river_gid":150632,"river_name":"ลำตะคอง"}</t>
  </si>
  <si>
    <t>THAIWATER_WL:3107</t>
  </si>
  <si>
    <t>N.12A</t>
  </si>
  <si>
    <t>บ้านหาดไผ่</t>
  </si>
  <si>
    <t>30 ซอย จรัญสนิทวงศ์ 4 ถ. จรัญสนิทวงศ์ แขวงวัดท่าพระ เขตบางกอกใหญ่ กรุงเทพมหานคร 10600 ประเทศไทย</t>
  </si>
  <si>
    <t>ChIJ08FRj02Y4jARX1lUzHofCGc</t>
  </si>
  <si>
    <t>{"id":1317572420,"waterlevel_datetime":"2026-10-03 14:00","waterlevel_m":null,"waterlevel_msl":"71.00","waterlevel_msl_previous":"71.85","flow_rate":null,"discharge":"213.40","storage_percent":"21.35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3107,"tele_station_name":{"th":"บ้านหาดไผ่"},"tele_station_lat":17.73687,"tele_station_long":100.531586,"tele_station_oldcode":"N.12A","tele_station_type":"tele_waterlevel","left_bank":151.49599999999998,"right_bank":150.421,"min_bank":81.46,"ground_level":68.16,"offset":69,"sub_basin_id":230,"agency_id":12,"geocode_id":5121,"hydro_id":2,"qmax":3000,"is_key_station":false,"warning_level_m":null,"critical_level_m":null,"critical_level_msl":null},"geocode":{"area_code":"3","area_name":{"th":"ภาคเหนือ","en":"North"},"amphoe_code":"03","amphoe_name":{"th":"ท่าปลา","en":"Tha Pla District"},"tumbon_code":"03","tumbon_name":{"th":"ผาเลือด","en":"Pha Lueat"},"province_code":"53","province_name":{"th":"อุตรดิตถ์","en":"Uttaradit"}},"diff_wl_bank":"10.46","diff_wl_bank_text":"ต่ำกว่าตลิ่ง (ม.)","river_gid":77335,"river_name":"แม่น้ำน่าน"}</t>
  </si>
  <si>
    <t>cff5b16f-1252-0b88-3a6f-4279772b7420</t>
  </si>
  <si>
    <t>THAIWATER_WL:1475104</t>
  </si>
  <si>
    <t>โรงเรียนวัดประดู่ฉิมพลี</t>
  </si>
  <si>
    <t>MOU293</t>
  </si>
  <si>
    <t>สะพานน้ำแม่ขาน</t>
  </si>
  <si>
    <t>https://maps.app.goo.gl/TkZ7VX2z2eMBVS8a9?g_st=ic</t>
  </si>
  <si>
    <t>{"id":1317589526,"waterlevel_datetime":"2026-10-03 15:00","waterlevel_m":null,"waterlevel_msl":"441.14","waterlevel_msl_previous":"441.13","flow_rate":null,"discharge":null,"storage_percent":"21.31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Basin"}},"station":{"id":1475104,"tele_station_name":{"en":"Mae Khan Bridge","th":"สะพานน้ำแม่ขาน"},"tele_station_lat":18.7955,"tele_station_long":98.7307,"tele_station_oldcode":"MOU293","tele_station_type":"tele_waterlevel","left_bank":447.771,"right_bank":447.6,"min_bank":447.6,"ground_level":439.391,"offset":null,"sub_basin_id":165,"sponsor_by":"บริษัท ไทยเบฟเวอเรจ จำกัด (มหาชน) ","agency_id":91,"geocode_id":4776,"hydro_id":null,"qmax":null,"is_key_station":false,"warning_level_m":null,"critical_level_m":null,"critical_level_msl":null},"geocode":{"area_code":"3","area_name":{"th":"ภาคเหนือ","en":"North"},"amphoe_code":"08","amphoe_name":{"th":"สะเมิง","en":"Samoeng District"},"tumbon_code":"01","tumbon_name":{"th":"สะเมิงใต้","en":"Samoeng Tai"},"province_code":"50","province_name":{"th":"เชียงใหม่","en":"Chiang Mai"}},"diff_wl_bank":"6.46","diff_wl_bank_text":"ต่ำกว่าตลิ่ง (ม.)"}</t>
  </si>
  <si>
    <t>THAIWATER_WL:1109494</t>
  </si>
  <si>
    <t>ONE005</t>
  </si>
  <si>
    <t>สะพานหนองจิก-วังปลา</t>
  </si>
  <si>
    <t>คลองตะโก</t>
  </si>
  <si>
    <t>{"id":"cff5b16f-1252-0b88-3a6f-4279772b7420","district":"บางกอกใหญ่","category":"ศูนย์พักพิงชั่วคราว","name":"โรงเรียนวัดประดู่ฉิมพลี","capacity":50,"occupied":0,"available":50,"unitType":"คน","status":"เปิดให้บริการ/ว่าง","routeDetails":"","link":"https://maps.app.goo.gl/TkZ7VX2z2eMBVS8a9?g_st=ic","additionalDetails":null,"createdAt":"2026-09-26T05:31:23.000Z","updatedAt":"2026-09-26T05:31:23.000Z"}</t>
  </si>
  <si>
    <t>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</t>
  </si>
  <si>
    <t>{"id":1317594461,"waterlevel_datetime":"2026-10-03 15:10","waterlevel_m":null,"waterlevel_msl":"4.27","waterlevel_msl_previous":"4.26","flow_rate":null,"discharge":null,"storage_percent":"21.16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Basin"}},"station":{"id":1109494,"tele_station_name":{"en":"Nong Chik - Wang Pla Bridge","th":"สะพานหนองจิก-วังปลา"},"tele_station_lat":10.112872,"tele_station_long":99.07568,"tele_station_oldcode":"ONE005","tele_station_type":"tele_waterlevel","left_bank":6.952,"right_bank":9.69,"min_bank":6.95,"ground_level":3.55,"offset":null,"sub_basin_id":311,"agency_id":9,"geocode_id":7771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District"},"tumbon_code":"04","tumbon_name":{"th":"ช่องไม้แก้ว","en":"Chong Mai Kaeo"},"province_code":"86","province_name":{"th":"ชุมพร","en":"Chumphon"}},"diff_wl_bank":"2.68","diff_wl_bank_text":"ต่ำกว่าตลิ่ง (ม.)","river_gid":213801,"river_name":"คลองตะโก"}</t>
  </si>
  <si>
    <t>THAIWATER_WL:3267</t>
  </si>
  <si>
    <t>N.65</t>
  </si>
  <si>
    <t>บ้านปางสา</t>
  </si>
  <si>
    <t>น้ำยาว</t>
  </si>
  <si>
    <t>{"id":1317494213,"waterlevel_datetime":"2026-10-03 11:00","waterlevel_m":null,"waterlevel_msl":"249.99","waterlevel_msl_previous":"249.99","flow_rate":null,"discharge":"15.22","storage_percent":"21.04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3267,"tele_station_name":{"th":"บ้านปางสา"},"tele_station_lat":19.23041,"tele_station_long":100.754089,"tele_station_oldcode":"N.65","tele_station_type":"tele_waterlevel","left_bank":505.59299899999996,"right_bank":505.614999,"min_bank":253.89,"ground_level":248.951,"offset":248.889999,"sub_basin_id":217,"agency_id":12,"geocode_id":5313,"hydro_id":1,"qmax":210.399994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District"},"tumbon_code":"10","tumbon_name":{"th":"ผาทอง","en":"Pha Thong"},"province_code":"55","province_name":{"th":"น่าน","en":"Nan"}},"diff_wl_bank":"3.90","diff_wl_bank_text":"ต่ำกว่าตลิ่ง (ม.)","river_gid":21318,"river_name":"น้ำยาว"}</t>
  </si>
  <si>
    <t>THAIWATER_WL:562802</t>
  </si>
  <si>
    <t>BLGTD04</t>
  </si>
  <si>
    <t>อาคารสูบน้ำดิบ กปภ. อ.ยะหา จ.ยะลา</t>
  </si>
  <si>
    <t>คลองเล็ก</t>
  </si>
  <si>
    <t>{"id":1317592537,"waterlevel_datetime":"2026-10-03 15:00","waterlevel_m":null,"waterlevel_msl":"23.20","waterlevel_msl_previous":"23.21","flow_rate":null,"discharge":null,"storage_percent":"21.03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Basin"}},"station":{"id":562802,"tele_station_name":{"th":"อาคารสูบน้ำดิบ กปภ. อ.ยะหา จ.ยะลา"},"tele_station_lat":6.47481,"tele_station_long":101.139521,"tele_station_oldcode":"BLGTD04","tele_station_type":"tele_waterlevel","left_bank":31.55,"right_bank":26.9,"min_bank":26.9,"ground_level":22.22,"offset":null,"sub_basin_id":336,"agency_id":8,"geocode_id":8301,"hydro_id":null,"qmax":null,"is_key_station":false,"warning_level_m":null,"critical_level_m":null,"critical_level_msl":26.9},"geocode":{"area_code":"5","area_name":{"th":"ภาคใต้","en":"South"},"amphoe_code":"05","amphoe_name":{"th":"ยะหา","en":"Yaha District"},"tumbon_code":"04","tumbon_name":{"th":"บาโร๊ะ","en":"Baro"},"province_code":"95","province_name":{"th":"ยะลา","en":"Yala"}},"diff_wl_bank":"3.70","diff_wl_bank_text":"ต่ำกว่าตลิ่ง (ม.)","river_gid":232839,"river_name":"คลองเล็ก"}</t>
  </si>
  <si>
    <t>THAIWATER_WL:1109509</t>
  </si>
  <si>
    <t>ONE020</t>
  </si>
  <si>
    <t>ปตร. บ้านตับเต่า-ท้ายน้ำ</t>
  </si>
  <si>
    <t>{"id":1317594475,"waterlevel_datetime":"2026-10-03 15:10","waterlevel_m":null,"waterlevel_msl":"142.68","waterlevel_msl_previous":"142.68","flow_rate":null,"discharge":null,"storage_percent":"21.01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Basin"}},"station":{"id":1109509,"tele_station_name":{"en":"Ban Tap Tao Gate","th":"ปตร. บ้านตับเต่า-ท้ายน้ำ"},"tele_station_lat":17.11483,"tele_station_long":104.53841,"tele_station_oldcode":"ONE020","tele_station_type":"tele_waterlevel","left_bank":149.522,"right_bank":149.365,"min_bank":149.37,"ground_level":140.902,"offset":null,"sub_basin_id":70,"agency_id":9,"geocode_id":4542,"hydro_id":null,"qmax":null,"is_key_station":false,"warning_level_m":null,"critical_level_m":null,"critical_level_msl":null},"geocode":{"area_code":"4","area_name":{"th":"ภาคตะวันออกเฉียงเหนือ","en":"Northeast"},"amphoe_code":"02","amphoe_name":{"th":"ปลาปาก","en":"Pla Pak District"},"tumbon_code":"08","tumbon_name":{"th":"หนองเทาใหญ่","en":"Nong Thao Yai"},"province_code":"48","province_name":{"th":"นครพนม","en":"Nakhon Phanom"}},"diff_wl_bank":"6.69","diff_wl_bank_text":"ต่ำกว่าตลิ่ง (ม.)","river_gid":121975,"river_name":"ลำน้ำบัง"}</t>
  </si>
  <si>
    <t>THAIWATER_WL:1116840</t>
  </si>
  <si>
    <t>FOP066</t>
  </si>
  <si>
    <t xml:space="preserve">สะพานช้ามแม่น้ำลาว - บ้านโฮ่ง </t>
  </si>
  <si>
    <t>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</t>
  </si>
  <si>
    <t>{"id":1317594050,"waterlevel_datetime":"2026-10-03 15:10","waterlevel_m":null,"waterlevel_msl":"587.47","waterlevel_msl_previous":"587.46","flow_rate":null,"discharge":null,"storage_percent":"20.94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Basin"}},"station":{"id":1116840,"tele_station_name":{"en":"Lao River Slow Bridge - Ban Hong","th":"สะพานช้ามแม่น้ำลาว - บ้านโฮ่ง "},"tele_station_lat":19.173138,"tele_station_long":99.50559,"tele_station_oldcode":"FOP066","tele_station_type":"tele_waterlevel","left_bank":590.427,"right_bank":589.244,"min_bank":589.24,"ground_level":587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Rai"}},"diff_wl_bank":"1.77","diff_wl_bank_text":"ต่ำกว่าตลิ่ง (ม.)","river_gid":23156,"river_name":"น้ำแม่ลาว"}</t>
  </si>
  <si>
    <t>THAIWATER_WL:3277</t>
  </si>
  <si>
    <t>P.65</t>
  </si>
  <si>
    <t>บ้านม่วงป๊อก</t>
  </si>
  <si>
    <t>ห้วยมะยมเหม็น</t>
  </si>
  <si>
    <t>{"id":1317452564,"waterlevel_datetime":"2026-10-03 09:00","waterlevel_m":null,"waterlevel_msl":"741.80","waterlevel_msl_previous":"741.80","flow_rate":null,"discharge":"4.20","storage_percent":"20.83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3277,"tele_station_name":{"th":"บ้านม่วงป๊อก"},"tele_station_lat":19.638411,"tele_station_long":98.635262,"tele_station_oldcode":"P.65","tele_station_type":"tele_waterlevel","left_bank":1485.946973,"right_bank":1485.912973,"min_bank":744.21,"ground_level":741.166,"offset":740.409973,"sub_basin_id":159,"agency_id":12,"geocode_id":4894,"hydro_id":1,"qmax":40.32,"is_key_station":false,"warning_level_m":null,"critical_level_m":null,"critical_level_msl":null},"geocode":{"area_code":"3","area_name":{"th":"ภาคเหนือ","en":"North"},"amphoe_code":"20","amphoe_name":{"th":"เวียงแหง","en":"Wiang Haeng District"},"tumbon_code":"02","tumbon_name":{"th":"เปียงหลวง","en":"Piang Luang"},"province_code":"50","province_name":{"th":"เชียงใหม่","en":"Chiang Mai"}},"diff_wl_bank":"2.41","diff_wl_bank_text":"ต่ำกว่าตลิ่ง (ม.)","river_gid":8505,"river_name":"ห้วยมะยมเหม็น"}</t>
  </si>
  <si>
    <t>THAIWATER_WL:610</t>
  </si>
  <si>
    <t>PIN003</t>
  </si>
  <si>
    <t>สะพานลานดอกไม้</t>
  </si>
  <si>
    <t>{"id":1317594511,"waterlevel_datetime":"2026-10-03 15:10","waterlevel_m":null,"waterlevel_msl":"81.08","waterlevel_msl_previous":"81.08","flow_rate":null,"discharge":null,"storage_percent":"20.81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Basin"}},"station":{"id":610,"tele_station_name":{"en":"Ping 3","th":"สะพานลานดอกไม้"},"tele_station_lat":16.6282,"tele_station_long":99.43257,"tele_station_oldcode":"PIN003","tele_station_type":"tele_waterlevel","left_bank":86.131,"right_bank":84.642,"min_bank":84.64,"ground_level":80.145,"offset":null,"sub_basin_id":183,"agency_id":9,"geocode_id":5881,"hydro_id":null,"qmax":null,"is_key_station":false,"warning_level_m":null,"critical_level_m":null,"critical_level_msl":null},"geocode":{"area_code":"3","area_name":{"th":"ภาคเหนือ","en":"North"},"amphoe_code":"01","amphoe_name":{"th":"เมืองกำแพงเพชร","en":"Mueang Kamphaeng Phet District"},"tumbon_code":"07","tumbon_name":{"th":"ลานดอกไม้","en":"Lan Dokmai"},"province_code":"62","province_name":{"th":"กำแพงเพชร","en":"Kamphaeng Phet"}},"diff_wl_bank":"3.56","diff_wl_bank_text":"ต่ำกว่าตลิ่ง (ม.)","river_gid":95227,"river_name":"แม่น้ำปิง"}</t>
  </si>
  <si>
    <t>THAIWATER_WL:1121229</t>
  </si>
  <si>
    <t>MOU299</t>
  </si>
  <si>
    <t>สะพานน้ำแม่แจ่ม บ้านแปะ</t>
  </si>
  <si>
    <t>1158 ซอย วัดประดู่ในทรงธรรม แขวงวัดท่าพระ เขตบางกอกใหญ่ กรุงเทพมหานคร 10600 ประเทศไทย</t>
  </si>
  <si>
    <t>ChIJvXzNpUWY4jARe5QXzS7Gf98</t>
  </si>
  <si>
    <t>{"id":1317594071,"waterlevel_datetime":"2026-10-03 15:10","waterlevel_m":null,"waterlevel_msl":"332.45","waterlevel_msl_previous":"332.45","flow_rate":null,"discharge":null,"storage_percent":"20.46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Basin"}},"station":{"id":1121229,"tele_station_name":{"en":"Mae Chaem River Bridge, Ban Pae","th":"สะพานน้ำแม่แจ่ม บ้านแปะ"},"tele_station_lat":18.232069,"tele_station_long":98.439766,"tele_station_oldcode":"MOU299","tele_station_type":"tele_waterlevel","left_bank":337.698,"right_bank":338.517,"min_bank":337.7,"ground_level":331.1,"offset":null,"sub_basin_id":172,"sponsor_by":"บริษัท บูทิค คอร์ปอเนชั่น จำกัด (มหาชน)","agency_id":91,"geocode_id":4712,"hydro_id":null,"qmax":null,"is_key_station":false,"warning_level_m":null,"critical_level_m":null,"critical_level_msl":null},"geocode":{"area_code":"3","area_name":{"th":"ภาคเหนือ","en":"North"},"amphoe_code":"02","amphoe_name":{"th":"จอมทอง","en":"Chom Thong District"},"tumbon_code":"06","tumbon_name":{"th":"บ้านแปะ","en":"Ban Pae"},"province_code":"50","province_name":{"th":"เชียงใหม่","en":"Chiang Mai"}},"diff_wl_bank":"5.25","diff_wl_bank_text":"ต่ำกว่าตลิ่ง (ม.)","river_gid":62700,"river_name":"น้ำแม่แจ่ม"}</t>
  </si>
  <si>
    <t>78d45971-6b69-1ddd-881c-c1136700e90f</t>
  </si>
  <si>
    <t>THAIWATER_WL:2976</t>
  </si>
  <si>
    <t>โรงเรียนวัดราชสิทธาราม</t>
  </si>
  <si>
    <t>E.67</t>
  </si>
  <si>
    <t>ลำพันชาด</t>
  </si>
  <si>
    <t>https://maps.app.goo.gl/m6iri1jNpHM3K1Y59?g_st=ic</t>
  </si>
  <si>
    <t>{"id":1317389842,"waterlevel_datetime":"2026-10-03 06:00","waterlevel_m":null,"waterlevel_msl":"161.80","waterlevel_msl_previous":"161.75","flow_rate":null,"discharge":"5.30","storage_percent":"20.38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2976,"tele_station_name":{"th":"บ้านท่างาม"},"tele_station_lat":16.952499,"tele_station_long":103.496674,"tele_station_oldcode":"E.67","tele_station_type":"tele_waterlevel","left_bank":331.507995,"right_bank":331.49699499999997,"min_bank":171.37,"ground_level":159.35,"offset":158.869995,"sub_basin_id":98,"agency_id":12,"geocode_id":4351,"hydro_id":3,"qmax":420,"is_key_station":false,"warning_level_m":null,"critical_level_m":null,"critical_level_msl":null},"geocode":{"area_code":"4","area_name":{"th":"ภาคตะวันออกเฉียงเหนือ","en":"Northeast"},"amphoe_code":"15","amphoe_name":{"th":"สามชัย","en":"Sam Chai District"},"tumbon_code":"01","tumbon_name":{"th":"สำราญ","en":"Samran"},"province_code":"46","province_name":{"th":"กาฬสินธุ์","en":"Kalasin"}},"diff_wl_bank":"9.57","diff_wl_bank_text":"ต่ำกว่าตลิ่ง (ม.)","river_gid":124539,"river_name":"ลำพันชาด"}</t>
  </si>
  <si>
    <t>THAIWATER_WL:430</t>
  </si>
  <si>
    <t>CHM001</t>
  </si>
  <si>
    <t>สันทราย</t>
  </si>
  <si>
    <t>2026-09-26T05:28:02.000Z</t>
  </si>
  <si>
    <t>{"id":"78d45971-6b69-1ddd-881c-c1136700e90f","district":"บางกอกใหญ่","category":"ศูนย์พักพิงชั่วคราว","name":"โรงเรียนวัดราชสิทธาราม","capacity":80,"occupied":0,"available":80,"unitType":"คน","status":"เปิดให้บริการ/ว่าง","routeDetails":"","link":"https://maps.app.goo.gl/m6iri1jNpHM3K1Y59?g_st=ic","additionalDetails":null,"createdAt":"2026-09-26T05:28:02.000Z","updatedAt":"2026-09-26T05:28:02.000Z"}</t>
  </si>
  <si>
    <t>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</t>
  </si>
  <si>
    <t>{"id":1317594261,"waterlevel_datetime":"2026-10-03 15:10","waterlevel_m":null,"waterlevel_msl":"314.76","waterlevel_msl_previous":"314.76","flow_rate":null,"discharge":null,"storage_percent":"20.30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Basin"}},"station":{"id":430,"tele_station_name":{"en":"Chiang Mai 1","th":"สันทราย"},"tele_station_lat":19.00979,"tele_station_long":98.95975,"tele_station_oldcode":"CHM001","tele_station_type":"tele_waterlevel","left_bank":322.636,"right_bank":321.268,"min_bank":321.27,"ground_level":313.105,"offset":null,"sub_basin_id":160,"agency_id":9,"geocode_id":4842,"hydro_id":null,"qmax":null,"is_key_station":false,"warning_level_m":null,"critical_level_m":null,"critical_level_msl":null},"geocode":{"area_code":"3","area_name":{"th":"ภาคเหนือ","en":"North"},"amphoe_code":"14","amphoe_name":{"th":"สันทราย","en":"San Sai District"},"tumbon_code":"09","tumbon_name":{"th":"แม่แฝก","en":"Mae Faek"},"province_code":"50","province_name":{"th":"เชียงใหม่","en":"Chiang Mai"}},"diff_wl_bank":"6.51","diff_wl_bank_text":"ต่ำกว่าตลิ่ง (ม.)","river_gid":28899,"river_name":"แม่น้ำปิง"}</t>
  </si>
  <si>
    <t>THAIWATER_WL:522</t>
  </si>
  <si>
    <t>NAN002</t>
  </si>
  <si>
    <t>ภูเพียง</t>
  </si>
  <si>
    <t>{"id":1317594439,"waterlevel_datetime":"2026-10-03 15:10","waterlevel_m":null,"waterlevel_msl":"197.21","waterlevel_msl_previous":"197.21","flow_rate":null,"discharge":null,"storage_percent":"20.30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Basin"}},"station":{"id":522,"tele_station_name":{"en":"Nan 2","th":"ภูเพียง"},"tele_station_lat":18.85971,"tele_station_long":100.8171,"tele_station_oldcode":"NAN002","tele_station_type":"tele_waterlevel","left_bank":208.239,"right_bank":205.643,"min_bank":205.64,"ground_level":195.061,"offset":null,"sub_basin_id":220,"agency_id":9,"geocode_id":5367,"hydro_id":null,"qmax":null,"is_key_station":false,"warning_level_m":null,"critical_level_m":null,"critical_level_msl":null},"geocode":{"area_code":"3","area_name":{"th":"ภาคเหนือ","en":"North"},"amphoe_code":"14","amphoe_name":{"th":"ภูเพียง","en":"Phu Phiang District"},"tumbon_code":"05","tumbon_name":{"th":"เมืองจัง","en":"Mueang Chang"},"province_code":"55","province_name":{"th":"น่าน","en":"Nan"}},"diff_wl_bank":"8.43","diff_wl_bank_text":"ต่ำกว่าตลิ่ง (ม.)","river_gid":35638,"river_name":"แม่น้ำน่าน"}</t>
  </si>
  <si>
    <t>THAIWATER_WL:828</t>
  </si>
  <si>
    <t>TPI007</t>
  </si>
  <si>
    <t>วิภาวดี</t>
  </si>
  <si>
    <t>{"id":1317594669,"waterlevel_datetime":"2026-10-03 15:10","waterlevel_m":null,"waterlevel_msl":"23.46","waterlevel_msl_previous":"23.46","flow_rate":null,"discharge":null,"storage_percent":"20.29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Basin"}},"station":{"id":828,"tele_station_name":{"en":"Tapi 7","th":"วิภาวดี"},"tele_station_lat":9.206472,"tele_station_long":98.95253,"tele_station_oldcode":"TPI007","tele_station_type":"tele_waterlevel","left_bank":33.173,"right_bank":34.653,"min_bank":33.17,"ground_level":20.987,"offset":null,"sub_basin_id":316,"agency_id":9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Thani"}},"diff_wl_bank":"9.71","diff_wl_bank_text":"ต่ำกว่าตลิ่ง (ม.)","river_gid":215722,"river_name":"คลองยัน"}</t>
  </si>
  <si>
    <t>THAIWATER_WL:1109516</t>
  </si>
  <si>
    <t>ONE027</t>
  </si>
  <si>
    <t>สะพานข้ามคลองกะเปอร์</t>
  </si>
  <si>
    <t>คลองกะเปอร์</t>
  </si>
  <si>
    <t>2026-10-03T12:10:00+07:00</t>
  </si>
  <si>
    <t>{"id":1317516211,"waterlevel_datetime":"2026-10-03 12:10","waterlevel_m":null,"waterlevel_msl":"9.50","waterlevel_msl_previous":"9.49","flow_rate":null,"discharge":null,"storage_percent":"20.29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Basin"}},"station":{"id":1109516,"tele_station_name":{"en":"Khlong Ka Poe Bridge","th":"สะพานข้ามคลองกะเปอร์"},"tele_station_lat":9.590022,"tele_station_long":98.63291,"tele_station_oldcode":"ONE027","tele_station_type":"tele_waterlevel","left_bank":12.856,"right_bank":14.419,"min_bank":12.86,"ground_level":8.646,"offset":null,"sub_basin_id":343,"agency_id":9,"geocode_id":7678,"hydro_id":null,"qmax":null,"is_key_station":false,"warning_level_m":null,"critical_level_m":null,"critical_level_msl":null},"geocode":{"area_code":"5","area_name":{"th":"ภาคใต้","en":"South"},"amphoe_code":"03","amphoe_name":{"th":"กะเปอร์","en":"Kapoe District"},"tumbon_code":"02","tumbon_name":{"th":"กะเปอร์","en":"Kapoe"},"province_code":"85","province_name":{"th":"ระนอง","en":"Ranong"}},"diff_wl_bank":"3.36","diff_wl_bank_text":"ต่ำกว่าตลิ่ง (ม.)","river_gid":214856,"river_name":"คลองกะเปอร์"}</t>
  </si>
  <si>
    <t>THAIWATER_WL:1109512</t>
  </si>
  <si>
    <t>ONE023</t>
  </si>
  <si>
    <t>สะพานข้ามคลองท่าแพ</t>
  </si>
  <si>
    <t>คลองเปิก</t>
  </si>
  <si>
    <t>{"id":1317594478,"waterlevel_datetime":"2026-10-03 15:10","waterlevel_m":null,"waterlevel_msl":"57.95","waterlevel_msl_previous":"57.95","flow_rate":null,"discharge":null,"storage_percent":"20.10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Basin"}},"station":{"id":1109512,"tele_station_name":{"en":"Khlong ThaPhae Bridge","th":"สะพานข้ามคลองท่าแพ"},"tele_station_lat":8.166437,"tele_station_long":99.704285,"tele_station_oldcode":"ONE023","tele_station_type":"tele_waterlevel","left_bank":62.563,"right_bank":60.855,"min_bank":60.86,"ground_level":57.219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Thammarat"}},"diff_wl_bank":"2.90","diff_wl_bank_text":"ต่ำกว่าตลิ่ง (ม.)","river_gid":221992,"river_name":"คลองเปิก"}</t>
  </si>
  <si>
    <t>THAIWATER_WL:385586</t>
  </si>
  <si>
    <t>TBW021</t>
  </si>
  <si>
    <t>สะพานมิตรภาพรับร่อ-หินแก้ว</t>
  </si>
  <si>
    <t>{"id":1317594623,"waterlevel_datetime":"2026-10-03 15:10","waterlevel_m":null,"waterlevel_msl":"8.32","waterlevel_msl_previous":"8.32","flow_rate":null,"discharge":null,"storage_percent":"19.99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Basin"}},"station":{"id":385586,"tele_station_name":{"en":"Rap Ro - Hin Kaeo Bridge","th":"สะพานมิตรภาพรับร่อ-หินแก้ว"},"tele_station_lat":10.607499,"tele_station_long":99.095345,"tele_station_oldcode":"TBW021","tele_station_type":"tele_waterlevel","left_bank":15.671,"right_bank":16.701,"min_bank":15.67,"ground_level":6.483,"offset":null,"sub_basin_id":310,"agency_id":9,"geocode_id":7717,"hydro_id":null,"qmax":null,"is_key_station":false,"warning_level_m":null,"critical_level_m":null,"critical_level_msl":null},"geocode":{"area_code":"5","area_name":{"th":"ภาคใต้","en":"South"},"amphoe_code":"02","amphoe_name":{"th":"ท่าแซะ","en":"Tha Sae District"},"tumbon_code":"05","tumbon_name":{"th":"รับร่อ","en":"Rap Ro"},"province_code":"86","province_name":{"th":"ชุมพร","en":"Chumphon"}},"diff_wl_bank":"7.35","diff_wl_bank_text":"ต่ำกว่าตลิ่ง (ม.)","river_gid":213031,"river_name":"คลองรับรอ"}</t>
  </si>
  <si>
    <t>THAIWATER_WL:2596</t>
  </si>
  <si>
    <t>X.47</t>
  </si>
  <si>
    <t>บ้านท่าจีน</t>
  </si>
  <si>
    <t>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</t>
  </si>
  <si>
    <t>{"id":1317523513,"waterlevel_datetime":"2026-10-03 12:00","waterlevel_m":null,"waterlevel_msl":"1.05","waterlevel_msl_previous":"1.11","flow_rate":null,"discharge":null,"storage_percent":"19.81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2596,"tele_station_name":{"th":"บ้านท่าจีน"},"tele_station_lat":7.55583,"tele_station_long":99.578438,"tele_station_oldcode":"X.47","tele_station_type":"tele_waterlevel","left_bank":5.3,"right_bank":5.3,"min_bank":5.3,"ground_level":0,"offset":null,"sub_basin_id":349,"agency_id":12,"geocode_id":7968,"hydro_id":8,"qmax":null,"is_key_station":true,"warning_level_m":null,"critical_level_m":null,"critical_level_msl":null},"geocode":{"area_code":"5","area_name":{"th":"ภาคใต้","en":"South"},"amphoe_code":"01","amphoe_name":{"th":"เมืองตรัง","en":"Mueang Trang District"},"tumbon_code":"09","tumbon_name":{"th":"บางรัก","en":"Bang Rak"},"province_code":"92","province_name":{"th":"ตรัง","en":"Trang"}},"diff_wl_bank":"4.25","diff_wl_bank_text":"ต่ำกว่าตลิ่ง (ม.)","river_gid":224732,"river_name":"แม่น้ำตรัง"}</t>
  </si>
  <si>
    <t>THAIWATER_WL:537</t>
  </si>
  <si>
    <t>CHR001</t>
  </si>
  <si>
    <t>เมืองเชียงราย</t>
  </si>
  <si>
    <t>{"id":1317594270,"waterlevel_datetime":"2026-10-03 15:10","waterlevel_m":null,"waterlevel_msl":"401.00","waterlevel_msl_previous":"401.01","flow_rate":null,"discharge":null,"storage_percent":"19.79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Basin"}},"station":{"id":537,"tele_station_name":{"en":"Chaing Rai 1","th":"เมืองเชียงราย"},"tele_station_lat":19.82637,"tele_station_long":99.77892,"tele_station_oldcode":"CHR001","tele_station_type":"tele_waterlevel","left_bank":405.556,"right_bank":407.218,"min_bank":405.56,"ground_level":399.881,"offset":null,"sub_basin_id":30,"agency_id":9,"geocode_id":5465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District"},"tumbon_code":"16","tumbon_name":{"th":"ป่าอ้อดอนชัย","en":"Pa O Don Chai"},"province_code":"57","province_name":{"th":"เชียงราย","en":"Chiang Rai"}},"diff_wl_bank":"4.55","diff_wl_bank_text":"ต่ำกว่าตลิ่ง (ม.)","river_gid":5692,"river_name":"น้ำแม่ลาว"}</t>
  </si>
  <si>
    <t>THAIWATER_WL:3519</t>
  </si>
  <si>
    <t>URTU07</t>
  </si>
  <si>
    <t>น้ำพอง บ้านผานกเค้า (E.29)</t>
  </si>
  <si>
    <t>{"id":1317593670,"waterlevel_datetime":"2026-10-03 15:00","waterlevel_m":null,"waterlevel_msl":"227.83","waterlevel_msl_previous":"227.77","flow_rate":"1.75","discharge":"12.22","storage_percent":"19.78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Basin"}},"station":{"id":3519,"tele_station_name":{"th":"น้ำพอง บ้านผานกเค้า (E.29)"},"tele_station_lat":16.847333,"tele_station_long":101.943603,"tele_station_oldcode":"URTU07","tele_station_type":"tele_waterlevel","left_bank":237.389,"right_bank":237.454,"min_bank":237.39,"ground_level":225.475,"offset":null,"sub_basin_id":85,"agency_id":8,"geocode_id":3701,"hydro_id":null,"qmax":null,"is_key_station":false,"warning_level_m":null,"critical_level_m":null,"critical_level_msl":237.39},"geocode":{"area_code":"4","area_name":{"th":"ภาคตะวันออกเฉียงเหนือ","en":"Northeast"},"amphoe_code":"10","amphoe_name":{"th":"ภูกระดึง","en":"Phu Kradueng District"},"tumbon_code":"05","tumbon_name":{"th":"ผานกเค้า","en":"Pha Nok Khao"},"province_code":"42","province_name":{"th":"เลย","en":"Loei"}},"diff_wl_bank":"9.56","diff_wl_bank_text":"ต่ำกว่าตลิ่ง (ม.)","river_gid":126547,"river_name":"น้ำพอง"}</t>
  </si>
  <si>
    <t>THAIWATER_WL:3298</t>
  </si>
  <si>
    <t>G.11</t>
  </si>
  <si>
    <t>บ้านดอนสลี</t>
  </si>
  <si>
    <t>{"id":1317388152,"waterlevel_datetime":"2026-10-03 06:00","waterlevel_m":null,"waterlevel_msl":"462.23","waterlevel_msl_previous":"462.33","flow_rate":null,"discharge":"7.66","storage_percent":"19.75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3298,"tele_station_name":{"th":"บ้านดอนสลี"},"tele_station_lat":19.622379,"tele_station_long":99.476936,"tele_station_oldcode":"G.11","tele_station_type":"tele_waterlevel","left_bank":931.6849870000001,"right_bank":931.7299869999999,"min_bank":467.33,"ground_level":460.975,"offset":462.829987,"sub_basin_id":28,"agency_id":12,"geocode_id":5546,"hydro_id":1,"qmax":385.899994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District"},"tumbon_code":"02","tumbon_name":{"th":"ป่าแดด","en":"Pa Daet"},"province_code":"57","province_name":{"th":"เชียงราย","en":"Chiang Rai"}},"diff_wl_bank":"5.10","diff_wl_bank_text":"ต่ำกว่าตลิ่ง (ม.)","river_gid":9623,"river_name":"น้ำแม่ลาว"}</t>
  </si>
  <si>
    <t>THAIWATER_WL:3245</t>
  </si>
  <si>
    <t>N.49</t>
  </si>
  <si>
    <t>บ้านน้ำยาว</t>
  </si>
  <si>
    <t>{"id":1317494211,"waterlevel_datetime":"2026-10-03 11:00","waterlevel_m":null,"waterlevel_msl":"265.15","waterlevel_msl_previous":"265.15","flow_rate":null,"discharge":"6.30","storage_percent":"19.70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3245,"tele_station_name":{"th":"บ้านน้ำยาว"},"tele_station_lat":18.99374,"tele_station_long":100.940102,"tele_station_oldcode":"N.49","tele_station_type":"tele_waterlevel","left_bank":537.211011,"right_bank":539.256011,"min_bank":268.48,"ground_level":264.333,"offset":263.980011,"sub_basin_id":219,"agency_id":12,"geocode_id":5296,"hydro_id":1,"qmax":331.5,"is_key_station":true,"warning_level_m":null,"critical_level_m":null,"critical_level_msl":null},"geocode":{"area_code":"3","area_name":{"th":"ภาคเหนือ","en":"North"},"amphoe_code":"05","amphoe_name":{"th":"ปัว","en":"Pua District"},"tumbon_code":"06","tumbon_name":{"th":"อวน","en":"Ouan"},"province_code":"55","province_name":{"th":"น่าน","en":"Nan"}},"diff_wl_bank":"3.33","diff_wl_bank_text":"ต่ำกว่าตลิ่ง (ม.)","river_gid":28951,"river_name":"น้ำยาว"}</t>
  </si>
  <si>
    <t>THAIWATER_WL:479238</t>
  </si>
  <si>
    <t>TBW030</t>
  </si>
  <si>
    <t>ลำน้ำพุง</t>
  </si>
  <si>
    <t>PFPP+547 ถนน อิสรภาพ แขวงวัดอรุณ เขตบางกอกใหญ่ กรุงเทพมหานคร 10600 ประเทศไทย</t>
  </si>
  <si>
    <t>ChIJn2rY8_-Y4jAR5XMZgycbjiw</t>
  </si>
  <si>
    <t>f7f239f3-5482-e34f-2314-deb837b99281</t>
  </si>
  <si>
    <t>โรงเรียนวัดใหม่พิเรนทร์</t>
  </si>
  <si>
    <t>https://maps.app.goo.gl/vjb5VHhVZDzquQoaA?g_st=ic</t>
  </si>
  <si>
    <t>{"id":1317594631,"waterlevel_datetime":"2026-10-03 15:10","waterlevel_m":null,"waterlevel_msl":"168.70","waterlevel_msl_previous":"168.70","flow_rate":null,"discharge":null,"storage_percent":"19.43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Basin"}},"station":{"id":479238,"tele_station_name":{"en":"Num Pung","th":"ลำน้ำพุง"},"tele_station_lat":16.996609,"tele_station_long":104.17364,"tele_station_oldcode":"TBW030","tele_station_type":"tele_waterlevel","left_bank":175.894,"right_bank":175.646,"min_bank":175.65,"ground_level":167.025,"offset":null,"sub_basin_id":69,"agency_id":9,"geocode_id":4491,"hydro_id":null,"qmax":null,"is_key_station":false,"warning_level_m":null,"critical_level_m":null,"critical_level_msl":null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Nakhon"}},"diff_wl_bank":"6.95","diff_wl_bank_text":"ต่ำกว่าตลิ่ง (ม.)","river_gid":123806,"river_name":"ลำน้ำพุง"}</t>
  </si>
  <si>
    <t>THAIWATER_WL:1198300</t>
  </si>
  <si>
    <t>PIN010</t>
  </si>
  <si>
    <t>ห้วยแม่ลี้</t>
  </si>
  <si>
    <t>{"id":1317594518,"waterlevel_datetime":"2026-10-03 15:10","waterlevel_m":null,"waterlevel_msl":"440.68","waterlevel_msl_previous":"440.68","flow_rate":null,"discharge":null,"storage_percent":"19.42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Basin"}},"station":{"id":1198300,"tele_station_name":{"en":"Huai Mae Li","th":"ห้วยแม่ลี้"},"tele_station_lat":17.805399,"tele_station_long":98.953316,"tele_station_oldcode":"PIN010","tele_station_type":"tele_waterlevel","left_bank":445.5231,"right_bank":446.8354,"min_bank":445.52,"ground_level":439.5131,"offset":null,"sub_basin_id":167,"agency_id":9,"geocode_id":4950,"hydro_id":null,"qmax":null,"is_key_station":false,"warning_level_m":null,"critical_level_m":null,"critical_level_msl":null},"geocode":{"area_code":"3","area_name":{"th":"ภาคเหนือ","en":"North"},"amphoe_code":"04","amphoe_name":{"th":"ลี้","en":"Li District"},"tumbon_code":"01","tumbon_name":{"th":"ลี้","en":"Li"},"province_code":"51","province_name":{"th":"ลำพูน","en":"Lamphun"}},"diff_wl_bank":"4.84","diff_wl_bank_text":"ต่ำกว่าตลิ่ง (ม.)","river_gid":75925,"river_name":"น้ำแม่ลี้"}</t>
  </si>
  <si>
    <t>THAIWATER_WL:2579</t>
  </si>
  <si>
    <t>W.25</t>
  </si>
  <si>
    <t>บ้านร่องเคาะ</t>
  </si>
  <si>
    <t>{"id":"f7f239f3-5482-e34f-2314-deb837b99281","district":"บางกอกใหญ่","category":"ศูนย์พักพิงชั่วคราว","name":"โรงเรียนวัดใหม่พิเรนทร์","capacity":20,"occupied":0,"available":20,"unitType":"คน","status":"เปิดให้บริการ/ว่าง","routeDetails":"","link":"https://maps.app.goo.gl/vjb5VHhVZDzquQoaA?g_st=ic","additionalDetails":null,"createdAt":"2026-09-26T05:28:02.000Z","updatedAt":"2026-09-26T05:28:02.000Z"}</t>
  </si>
  <si>
    <t>{"id":1317494181,"waterlevel_datetime":"2026-10-03 11:00","waterlevel_m":null,"waterlevel_msl":"382.08","waterlevel_msl_previous":"382.07","flow_rate":null,"discharge":"3.58","storage_percent":"19.36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2579,"tele_station_name":{"th":"บ้านร่องเคาะ"},"tele_station_lat":18.990931,"tele_station_long":99.621109,"tele_station_oldcode":"W.25","tele_station_type":"tele_waterlevel","left_bank":769.1319940000001,"right_bank":769.188994,"min_bank":385.9,"ground_level":381.163,"offset":381.899994,"sub_basin_id":186,"agency_id":12,"geocode_id":5044,"hydro_id":1,"qmax":424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District"},"tumbon_code":"04","tumbon_name":{"th":"ร่องเคาะ","en":"Rong Kho"},"province_code":"52","province_name":{"th":"ลำปาง","en":"Lampang"}},"diff_wl_bank":"3.82","diff_wl_bank_text":"ต่ำกว่าตลิ่ง (ม.)","river_gid":29432,"river_name":"แม่น้ำวัง"}</t>
  </si>
  <si>
    <t>https://maps.google.com?q=13.7413193,100.4825358&amp;entry=gps&amp;shh=CAE&amp;lucs=,94297699,94231188,94280568,100821559,47071704,94218641,94282134,100835694,94286869,100820247,100822504,100838873&amp;g_ep=CAISEjI2LjM4LjEuOTgwODE1NDQ1MBgAINeCAypxLDk0Mjk3Njk5LDk0MjMxMTg4LDk0MjgwNTY4LDEwMDgyMTU1OSw0NzA3MTcwNCw5NDIxODY0MSw5NDI4MjEzNCwxMDA4MzU2OTQsOTQyODY4NjksMTAwODIwMjQ3LDEwMDgyMjUwNCwxMDA4Mzg4NzNCAlRI&amp;skid=841b9e62-58e4-4772-a9ed-9b11cfb579b1&amp;g_st=ic</t>
  </si>
  <si>
    <t>THAIWATER_WL:499</t>
  </si>
  <si>
    <t>YOM003</t>
  </si>
  <si>
    <t>หนองม่วงไข่</t>
  </si>
  <si>
    <t>{"id":1317594704,"waterlevel_datetime":"2026-10-03 15:10","waterlevel_m":null,"waterlevel_msl":"153.94","waterlevel_msl_previous":"153.93","flow_rate":null,"discharge":null,"storage_percent":"19.21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Basin"}},"station":{"id":499,"tele_station_name":{"en":"Yom 3","th":"หนองม่วงไข่"},"tele_station_lat":18.26591,"tele_station_long":100.17706,"tele_station_oldcode":"YOM003","tele_station_type":"tele_waterlevel","left_bank":159.635,"right_bank":159.637,"min_bank":159.64,"ground_level":152.582,"offset":null,"sub_basin_id":203,"agency_id":9,"geocode_id":5254,"hydro_id":null,"qmax":null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District"},"tumbon_code":"03","tumbon_name":{"th":"น้ำรัด","en":"Nam Rat"},"province_code":"54","province_name":{"th":"แพร่","en":"Phrae"}},"diff_wl_bank":"5.70","diff_wl_bank_text":"ต่ำกว่าตลิ่ง (ม.)","river_gid":62573,"river_name":"แม่น้ำยม"}</t>
  </si>
  <si>
    <t>THAIWATER_WL:479230</t>
  </si>
  <si>
    <t>TBW022</t>
  </si>
  <si>
    <t>สะพานแม่ฟ้าหลวง</t>
  </si>
  <si>
    <t>{"id":1317594624,"waterlevel_datetime":"2026-10-03 15:10","waterlevel_m":null,"waterlevel_msl":"389.20","waterlevel_msl_previous":"389.21","flow_rate":null,"discharge":null,"storage_percent":"19.21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479230,"tele_station_name":{"en":"Kok1","th":"สะพานแม่ฟ้าหลวง"},"tele_station_lat":19.92195,"tele_station_long":99.81826,"tele_station_oldcode":"TBW022","tele_station_type":"tele_waterlevel","left_bank":394.613,"right_bank":392.258,"min_bank":392.26,"ground_level":388.479,"offset":null,"sub_basin_id":27,"agency_id":9,"geocode_id":5454,"hydro_id":null,"qmax":null,"is_key_station":false,"warning_level_m":null,"critical_level_m":null,"critical_level_msl":null},"geocode":{"area_code":"3","area_name":{"th":"ภาคเหนือ","en":"North"},"amphoe_code":"01","amphoe_name":{"th":"เมืองเชียงราย","en":"Mueang Chiang Rai District"},"tumbon_code":"02","tumbon_name":{"th":"รอบเวียง","en":"Rop Wiang"},"province_code":"57","province_name":{"th":"เชียงราย","en":"Chiang Rai"}},"diff_wl_bank":"3.05","diff_wl_bank_text":"ต่ำกว่าตลิ่ง (ม.)","river_gid":4427,"river_name":"แม่น้ำกก"}</t>
  </si>
  <si>
    <t>THAIWATER_WL:1121239</t>
  </si>
  <si>
    <t>MOU352</t>
  </si>
  <si>
    <t>สะพานน้ำงิม</t>
  </si>
  <si>
    <t>น้ำงิม</t>
  </si>
  <si>
    <t>{"id":1317594080,"waterlevel_datetime":"2026-10-03 15:10","waterlevel_m":null,"waterlevel_msl":"444.08","waterlevel_msl_previous":"444.07","flow_rate":null,"discharge":null,"storage_percent":"19.21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Basin"}},"station":{"id":1121239,"tele_station_name":{"en":"Nam Ngim Bridge","th":"สะพานน้ำงิม"},"tele_station_lat":19.321678,"tele_station_long":100.456184,"tele_station_oldcode":"MOU352","tele_station_type":"tele_waterlevel","left_bank":448.012,"right_bank":448.318,"min_bank":448.01,"ground_level":443.145,"offset":null,"sub_basin_id":197,"sponsor_by":"มูลนิธิอาสาเพื่อนพึ่ง (ภาฯ) ยามยาก สภากาชาดไทย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Noi"},"province_code":"56","province_name":{"th":"พะเยา","en":"Phayao"}},"diff_wl_bank":"3.93","diff_wl_bank_text":"ต่ำกว่าตลิ่ง (ม.)","river_gid":18341,"river_name":"น้ำงิม"}</t>
  </si>
  <si>
    <t>THAIWATER_WL:3244</t>
  </si>
  <si>
    <t>P.79</t>
  </si>
  <si>
    <t>บ้านแม่หวาน</t>
  </si>
  <si>
    <t>{"id":1317452585,"waterlevel_datetime":"2026-10-03 09:00","waterlevel_m":null,"waterlevel_msl":"442.67","waterlevel_msl_previous":"442.67","flow_rate":null,"discharge":"4.85","storage_percent":"19.12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3244,"tele_station_name":{"th":"บ้านแม่หวาน"},"tele_station_lat":18.9643,"tele_station_long":99.237518,"tele_station_oldcode":"P.79","tele_station_type":"tele_waterlevel","left_bank":891.297988,"right_bank":892.050988,"min_bank":445.8,"ground_level":441.93,"offset":442.299988,"sub_basin_id":163,"agency_id":12,"geocode_id":4747,"hydro_id":1,"qmax":380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Mai"}},"diff_wl_bank":"3.13","diff_wl_bank_text":"ต่ำกว่าตลิ่ง (ม.)","river_gid":30639,"river_name":"น้ำแม่กวง"}</t>
  </si>
  <si>
    <t>THAIWATER_WL:802</t>
  </si>
  <si>
    <t>TKP002</t>
  </si>
  <si>
    <t>เมืองพังงา</t>
  </si>
  <si>
    <t>คลองพังงา</t>
  </si>
  <si>
    <t>87c510ad-b4ce-8c52-c216-9fb5e07be846</t>
  </si>
  <si>
    <t>{"id":1317594657,"waterlevel_datetime":"2026-10-03 15:10","waterlevel_m":null,"waterlevel_msl":"2.67","waterlevel_msl_previous":"2.67","flow_rate":null,"discharge":null,"storage_percent":"18.82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Basin"}},"station":{"id":802,"tele_station_name":{"en":"Takua Pa 2","th":"เมืองพังงา"},"tele_station_lat":8.477331,"tele_station_long":98.52832,"tele_station_oldcode":"TKP002","tele_station_type":"tele_waterlevel","left_bank":11.39,"right_bank":7.759,"min_bank":7.76,"ground_level":1.49,"offset":null,"sub_basin_id":345,"agency_id":9,"geocode_id":7432,"hydro_id":null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District"},"tumbon_code":"03","tumbon_name":{"th":"ถ้ำน้ำผุด","en":"Tham Nam Phut"},"province_code":"82","province_name":{"th":"พังงา","en":"Phangnga"}},"diff_wl_bank":"5.09","diff_wl_bank_text":"ต่ำกว่าตลิ่ง (ม.)","river_gid":219724,"river_name":"คลองพังงา"}</t>
  </si>
  <si>
    <t>ศูนย์นันทนาการบางขุนเทียน (ถนนพระรามที่ 2 ซอย 69)</t>
  </si>
  <si>
    <t>THAIWATER_WL:632511</t>
  </si>
  <si>
    <t>N.84</t>
  </si>
  <si>
    <t>ต.น้ำปาด</t>
  </si>
  <si>
    <t>https://maps.app.goo.gl/XTXFj9WedQYrZHWd7</t>
  </si>
  <si>
    <t>{"id":1317572391,"waterlevel_datetime":"2026-10-03 14:00","waterlevel_m":null,"waterlevel_msl":"137.42","waterlevel_msl_previous":"137.43","flow_rate":null,"discharge":"9.81","storage_percent":"18.77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632511,"tele_station_name":{"th":"ต.น้ำปาด"},"tele_station_lat":17.74103,"tele_station_long":100.679276,"tele_station_oldcode":"N.84","tele_station_type":"tele_waterlevel","left_bank":280.986997,"right_bank":281.534997,"min_bank":141.5,"ground_level":136.477,"offset":136.199997,"sub_basin_id":229,"agency_id":12,"geocode_id":5128,"hydro_id":2,"qmax":285,"is_key_station":false,"warning_level_m":null,"critical_level_m":null,"critical_level_msl":null},"geocode":{"area_code":"3","area_name":{"th":"ภาคเหนือ","en":"North"},"amphoe_code":"04","amphoe_name":{"th":"น้ำปาด","en":"Nam Pat District"},"tumbon_code":"01","tumbon_name":{"th":"แสนตอ","en":"Saen To"},"province_code":"53","province_name":{"th":"อุตรดิตถ์","en":"Uttaradit"}},"diff_wl_bank":"4.08","diff_wl_bank_text":"ต่ำกว่าตลิ่ง (ม.)","river_gid":77278,"river_name":"น้ำปาด"}</t>
  </si>
  <si>
    <t>THAIWATER_WL:1422298</t>
  </si>
  <si>
    <t>BBD05</t>
  </si>
  <si>
    <t>ห้วยแม่ท้อที่ อ.เมืองตาก</t>
  </si>
  <si>
    <t>2026-09-26T07:05:06.000Z</t>
  </si>
  <si>
    <t>{"id":"87c510ad-b4ce-8c52-c216-9fb5e07be846","district":"บางขุนเทียน","category":"ศูนย์พักพิงชั่วคราว","name":"ศูนย์นันทนาการบางขุนเทียน (ถนนพระรามที่ 2 ซอย 69)","capacity":300,"occupied":0,"available":300,"unitType":"คน","status":"เปิดให้บริการ/ว่าง","routeDetails":"","link":"https://maps.app.goo.gl/XTXFj9WedQYrZHWd7","additionalDetails":null,"createdAt":"2026-09-26T07:05:06.000Z","updatedAt":"2026-09-26T07:05:06.000Z"}</t>
  </si>
  <si>
    <t>{"id":1317592378,"waterlevel_datetime":"2026-10-03 15:00","waterlevel_m":null,"waterlevel_msl":"128.28","waterlevel_msl_previous":"128.28","flow_rate":null,"discharge":null,"storage_percent":"18.76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Thailand","jp":""},"agency_shortname":{"th":"กฟผ.","en":"EGAT","jp":""}},"basin":{"id":6,"basin_code":6,"basin_name":{"th":"ลุ่มน้ำปิง","en":"Ping Basin"}},"station":{"id":1422298,"tele_station_name":{"th":"ห้วยแม่ท้อที่ อ.เมืองตาก"},"tele_station_lat":16.840886,"tele_station_long":99.068334,"tele_station_oldcode":"BBD05","tele_station_type":"tele_waterlevel","left_bank":132.22,"right_bank":132.43,"min_bank":132.22,"ground_level":127.37,"offset":null,"sub_basin_id":178,"agency_id":8,"geocode_id":5974,"hydro_id":null,"qmax":null,"is_key_station":false,"warning_level_m":null,"critical_level_m":null,"critical_level_msl":132.22},"geocode":{"area_code":"3","area_name":{"th":"ภาคเหนือ","en":"North"},"amphoe_code":"01","amphoe_name":{"th":"เมืองตาก","en":"Mueang Tak District"},"tumbon_code":"11","tumbon_name":{"th":"แม่ท้อ","en":"Mae Tho"},"province_code":"63","province_name":{"th":"ตาก","en":"Tak"}},"diff_wl_bank":"3.94","diff_wl_bank_text":"ต่ำกว่าตลิ่ง (ม.)"}</t>
  </si>
  <si>
    <t>https://www.google.com/maps/place/%E0%B8%A8%E0%B8%B9%E0%B8%99%E0%B8%A2%E0%B9%8C%E0%B8%99%E0%B8%B1%E0%B8%99%E0%B8%97%E0%B8%99%E0%B8%B2%E0%B8%81%E0%B8%B2%E0%B8%A3%E0%B8%9A%E0%B8%B2%E0%B8%87%E0%B8%82%E0%B8%B8%E0%B8%99%E0%B9%80%E0%B8%97%E0%B8%B5%E0%B8%A2%E0%B8%99/@13.6462196,100.4179573,17z/data=!3m1!4b1!4m6!3m5!1s0x30e2bcdf10b0a849:0x25b5a2625b610f81!8m2!3d13.6462144!4d100.4205322!16s%2Fg%2F1xg5q3c_?entry=tts&amp;g_ep=EgoyMDI2MDkyMy4wIPu8ASoASAFQAw%3D%3D&amp;skid=437c924e-914e-4d64-af2d-02066b8afcf7</t>
  </si>
  <si>
    <t>THAIWATER_WL:560</t>
  </si>
  <si>
    <t>PAI001</t>
  </si>
  <si>
    <t>เมืองแม่ฮ่องสอน</t>
  </si>
  <si>
    <t>แม่น้ำปาย</t>
  </si>
  <si>
    <t>{"id":1317594497,"waterlevel_datetime":"2026-10-03 15:10","waterlevel_m":null,"waterlevel_msl":"200.93","waterlevel_msl_previous":"200.92","flow_rate":null,"discharge":null,"storage_percent":"18.71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Organization)","jp":""},"agency_shortname":{"th":"สสน.","en":"HII","jp":""}},"basin":{"id":1,"basin_code":1,"basin_name":{"th":"ลุ่มน้ำสาละวิน","en":"Salawin Basin"}},"station":{"id":560,"tele_station_name":{"en":"Pai 1","th":"เมืองแม่ฮ่องสอน"},"tele_station_lat":19.36703,"tele_station_long":97.96665,"tele_station_oldcode":"PAI001","tele_station_type":"tele_waterlevel","left_bank":205.974,"right_bank":208.06,"min_bank":205.97,"ground_level":199.763,"offset":null,"sub_basin_id":5,"agency_id":9,"geocode_id":5600,"hydro_id":null,"qmax":null,"is_key_station":false,"warning_level_m":null,"critical_level_m":null,"critical_level_msl":null},"geocode":{"area_code":"3","area_name":{"th":"ภาคเหนือ","en":"North"},"amphoe_code":"01","amphoe_name":{"th":"เมืองแม่ฮ่องสอน","en":"Mueang Mae Hong Son District"},"tumbon_code":"04","tumbon_name":{"th":"ปางหมู","en":"Pang Mu"},"province_code":"58","province_name":{"th":"แม่ฮ่องสอน","en":"Mae Hong Son"}},"diff_wl_bank":"5.05","diff_wl_bank_text":"ต่ำกว่าตลิ่ง (ม.)","river_gid":17220,"river_name":"แม่น้ำปาย"}</t>
  </si>
  <si>
    <t>THAIWATER_WL:1097520</t>
  </si>
  <si>
    <t>Gt.11</t>
  </si>
  <si>
    <t>บ้านช้างแรก</t>
  </si>
  <si>
    <t>ห้วยหินปิด</t>
  </si>
  <si>
    <t>{"id":1317575405,"waterlevel_datetime":"2026-10-03 14:00","waterlevel_m":null,"waterlevel_msl":"38.25","waterlevel_msl_previous":"38.25","flow_rate":null,"discharge":"0.13","storage_percent":"18.40","sort_order":null,"station_type":"tele_waterlevel","situation_level":2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1097520,"tele_station_name":{"th":"บ้านช้างแรก"},"tele_station_lat":11.06431,"tele_station_long":99.372253,"tele_station_oldcode":"Gt.11","tele_station_type":"tele_waterlevel","left_bank":84.70899800000001,"right_bank":84.344998,"min_bank":40.6,"ground_level":37.72,"offset":37.599998,"sub_basin_id":308,"agency_id":12,"geocode_id":7148,"hydro_id":7,"qmax":85,"is_key_station":false,"warning_level_m":null,"critical_level_m":null,"critical_level_msl":null},"geocode":{"area_code":"2","area_name":{"th":"ภาคกลาง","en":"Central"},"amphoe_code":"05","amphoe_name":{"th":"บางสะพานน้อย","en":"Bang Saphan Noi District"},"tumbon_code":"04","tumbon_name":{"th":"ช้างแรก","en":"Chang Raek"},"province_code":"77","province_name":{"th":"ประจวบคีรีขันธ์","en":"Prachuap Khiri Khan"}},"diff_wl_bank":"2.35","diff_wl_bank_text":"ต่ำกว่าตลิ่ง (ม.)","river_gid":212310,"river_name":"ห้วยหินปิด"}</t>
  </si>
  <si>
    <t>THAIWATER_WL:3213</t>
  </si>
  <si>
    <t>Y.30</t>
  </si>
  <si>
    <t>น้ำแม่หวด</t>
  </si>
  <si>
    <t>2026-10-02T06:00:00+07:00</t>
  </si>
  <si>
    <t>{"id":1316827792,"waterlevel_datetime":"2026-10-02 06:00","waterlevel_m":null,"waterlevel_msl":"266.07","waterlevel_msl_previous":"266.12","flow_rate":null,"discharge":"2.34","storage_percent":"18.05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3213,"tele_station_name":{"th":"บ้านโป่ง"},"tele_station_lat":18.709379,"tele_station_long":99.957626,"tele_station_oldcode":"Y.30","tele_station_type":"tele_waterlevel","left_bank":539.573005,"right_bank":539.496005,"min_bank":269.93,"ground_level":265.22,"offset":265.630005,"sub_basin_id":202,"agency_id":12,"geocode_id":5024,"hydro_id":1,"qmax":156.949997,"is_key_station":false,"warning_level_m":null,"critical_level_m":null,"critical_level_msl":null},"geocode":{"area_code":"3","area_name":{"th":"ภาคเหนือ","en":"North"},"amphoe_code":"05","amphoe_name":{"th":"งาว","en":"Ngao District"},"tumbon_code":"03","tumbon_name":{"th":"บ้านโป่ง","en":"Ban Pong"},"province_code":"52","province_name":{"th":"ลำปาง","en":"Lampang"}},"diff_wl_bank":"3.86","diff_wl_bank_text":"ต่ำกว่าตลิ่ง (ม.)","river_gid":42976,"river_name":"น้ำแม่หวด"}</t>
  </si>
  <si>
    <t>THAIWATER_WL:647</t>
  </si>
  <si>
    <t>YOM005</t>
  </si>
  <si>
    <t>ศรีสัชนาลัย</t>
  </si>
  <si>
    <t>abf4944c-1fb4-1058-9975-feb8f24b54ba</t>
  </si>
  <si>
    <t>โรงเรียนคลองพิทยาลงกรณ์</t>
  </si>
  <si>
    <t>https://maps.app.goo.gl/o1Mf1w7cRfwJzY2j9</t>
  </si>
  <si>
    <t>{"id":1317594706,"waterlevel_datetime":"2026-10-03 15:10","waterlevel_m":null,"waterlevel_msl":"60.84","waterlevel_msl_previous":"60.80","flow_rate":null,"discharge":null,"storage_percent":"17.94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Basin"}},"station":{"id":647,"tele_station_name":{"en":"Yom 5","th":"ศรีสัชนาลัย"},"tele_station_lat":17.51715,"tele_station_long":99.75877,"tele_station_oldcode":"YOM005","tele_station_type":"tele_waterlevel","left_bank":71.932,"right_bank":72.072,"min_bank":71.93,"ground_level":58.411,"offset":null,"sub_basin_id":209,"agency_id":9,"geocode_id":6080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District"},"tumbon_code":"01","tumbon_name":{"th":"หาดเสี้ยว","en":"Hat Siao"},"province_code":"64","province_name":{"th":"สุโขทัย","en":"Sukhothai"}},"diff_wl_bank":"11.09","diff_wl_bank_text":"ต่ำกว่าตลิ่ง (ม.)","river_gid":81814,"river_name":"แม่น้ำยม"}</t>
  </si>
  <si>
    <t>THAIWATER_WL:2948</t>
  </si>
  <si>
    <t>E.90</t>
  </si>
  <si>
    <t>เนินยางใต้</t>
  </si>
  <si>
    <t>ห้วยสังเคียบ</t>
  </si>
  <si>
    <t>2026-09-26T07:04:10.000Z</t>
  </si>
  <si>
    <t>{"id":1317389845,"waterlevel_datetime":"2026-10-03 06:00","waterlevel_m":null,"waterlevel_msl":"161.57","waterlevel_msl_previous":"161.58","flow_rate":null,"discharge":"0.49","storage_percent":"17.83","sort_order":null,"station_type":"tele_waterlevel","situation_level":2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2948,"tele_station_name":{"th":"เนินยางใต้"},"tele_station_lat":16.772221,"tele_station_long":103.648331,"tele_station_oldcode":"E.90","tele_station_type":"tele_waterlevel","left_bank":327.808006,"right_bank":327.756006,"min_bank":167.1,"ground_level":160.37,"offset":160.600006,"sub_basin_id":99,"agency_id":12,"geocode_id":4307,"hydro_id":3,"qmax":110,"is_key_station":false,"warning_level_m":null,"critical_level_m":null,"critical_level_msl":null},"geocode":{"area_code":"4","area_name":{"th":"ภาคตะวันออกเฉียงเหนือ","en":"Northeast"},"amphoe_code":"09","amphoe_name":{"th":"สหัสขันธ์","en":"Sahatsakhan District"},"tumbon_code":"04","tumbon_name":{"th":"โนนศิลา","en":"Non Sila"},"province_code":"46","province_name":{"th":"กาฬสินธุ์","en":"Kalasin"}},"diff_wl_bank":"5.53","diff_wl_bank_text":"ต่ำกว่าตลิ่ง (ม.)","river_gid":127150,"river_name":"ห้วยสังเคียบ"}</t>
  </si>
  <si>
    <t>THAIWATER_WL:1109522</t>
  </si>
  <si>
    <t>ONE033</t>
  </si>
  <si>
    <t>สะพานข้ามคลองโมง</t>
  </si>
  <si>
    <t>ห้วยโมง</t>
  </si>
  <si>
    <t>{"id":"abf4944c-1fb4-1058-9975-feb8f24b54ba","district":"บางขุนเทียน","category":"ศูนย์พักพิงชั่วคราว","name":"โรงเรียนคลองพิทยาลงกรณ์","capacity":30,"occupied":0,"available":30,"unitType":"คน","status":"เปิดให้บริการ/ว่าง","routeDetails":"","link":"https://maps.app.goo.gl/o1Mf1w7cRfwJzY2j9","additionalDetails":null,"createdAt":"2026-09-26T07:04:10.000Z","updatedAt":"2026-09-26T07:04:10.000Z"}</t>
  </si>
  <si>
    <t>https://www.google.com/maps/place/%E0%B9%82%E0%B8%A3%E0%B8%87%E0%B9%80%E0%B8%A3%E0%B8%B5%E0%B8%A2%E0%B8%99%E0%B8%84%E0%B8%A5%E0%B8%AD%E0%B8%87%E0%B8%9E%E0%B8%B4%E0%B8%97%E0%B8%A2%E0%B8%B2%E0%B8%A5%E0%B8%87%E0%B8%81%E0%B8%A3%E0%B8%93%E0%B9%8C/@13.5271383,100.4173991,17z/data=!3m1!4b1!4m6!3m5!1s0x30e2bb6823d72897:0xcaef20bc3bfe5b5!8m2!3d13.5271383!4d100.419974!16s%2Fg%2F11kc5wp1rw?entry=tts&amp;g_ep=EgoyMDI2MDkyMy4wIPu8ASoASAFQAw%3D%3D&amp;skid=e450ac4d-e21d-4e2b-9dfe-6273b6c489d0</t>
  </si>
  <si>
    <t>{"id":1317594484,"waterlevel_datetime":"2026-10-03 15:10","waterlevel_m":null,"waterlevel_msl":"157.51","waterlevel_msl_previous":"157.51","flow_rate":null,"discharge":null,"storage_percent":"17.72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Basin"}},"station":{"id":1109522,"tele_station_name":{"en":"Khlong Mong Bridge","th":"สะพานข้ามคลองโมง"},"tele_station_lat":17.166727,"tele_station_long":104.118996,"tele_station_oldcode":"ONE033","tele_station_type":"tele_waterlevel","left_bank":164.42,"right_bank":160.904,"min_bank":160.9,"ground_level":156.779,"offset":null,"sub_basin_id":69,"agency_id":9,"geocode_id":4375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District"},"tumbon_code":"01","tumbon_name":{"th":"ธาตุเชิงชุม","en":"That Choeng Chum"},"province_code":"47","province_name":{"th":"สกลนคร","en":"Sakon Nakhon"}},"diff_wl_bank":"3.39","diff_wl_bank_text":"ต่ำกว่าตลิ่ง (ม.)","river_gid":121575,"river_name":"ห้วยโมง"}</t>
  </si>
  <si>
    <t>THAIWATER_WL:706</t>
  </si>
  <si>
    <t>RAJ003</t>
  </si>
  <si>
    <t>สวนผึ้ง</t>
  </si>
  <si>
    <t>แม่น้ำภาชี</t>
  </si>
  <si>
    <t>{"id":1317594537,"waterlevel_datetime":"2026-10-03 15:10","waterlevel_m":null,"waterlevel_msl":"95.72","waterlevel_msl_previous":"95.72","flow_rate":null,"discharge":null,"storage_percent":"17.61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Organization)","jp":""},"agency_shortname":{"th":"สสน.","en":"HII","jp":""}},"basin":{"id":15,"basin_code":14,"basin_name":{"th":"ลุ่มน้ำแม่กลอง","en":"Mae Klong Basin"}},"station":{"id":706,"tele_station_name":{"en":"Ratchaburi 3","th":"สวนผึ้ง"},"tele_station_lat":13.56008,"tele_station_long":99.36224,"tele_station_oldcode":"RAJ003","tele_station_type":"tele_waterlevel","left_bank":104.088,"right_bank":102.751,"min_bank":102.75,"ground_level":94.218,"offset":null,"sub_basin_id":274,"agency_id":9,"geocode_id":6499,"hydro_id":null,"qmax":null,"is_key_station":false,"warning_level_m":null,"critical_level_m":null,"critical_level_msl":null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Phueng"},"province_code":"70","province_name":{"th":"ราชบุรี","en":"Ratchaburi"}},"diff_wl_bank":"7.03","diff_wl_bank_text":"ต่ำกว่าตลิ่ง (ม.)","river_gid":189875,"river_name":"แม่น้ำภาชี"}</t>
  </si>
  <si>
    <t>THAIWATER_WL:1109535</t>
  </si>
  <si>
    <t>ONE046</t>
  </si>
  <si>
    <t>สะพานข้ามคลองท่าชนะ</t>
  </si>
  <si>
    <t>คลองท่าชนะ</t>
  </si>
  <si>
    <t>{"id":1317594495,"waterlevel_datetime":"2026-10-03 15:10","waterlevel_m":null,"waterlevel_msl":"6.07","waterlevel_msl_previous":"6.07","flow_rate":null,"discharge":null,"storage_percent":"17.60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Basin"}},"station":{"id":1109535,"tele_station_name":{"en":"Khlong Tha Chana Bridge","th":"สะพานข้ามคลองท่าชนะ"},"tele_station_lat":9.576583,"tele_station_long":99.12956,"tele_station_oldcode":"ONE046","tele_station_type":"tele_waterlevel","left_bank":16.506,"right_bank":14.544,"min_bank":14.54,"ground_level":4.26,"offset":null,"sub_basin_id":313,"agency_id":9,"geocode_id":7566,"hydro_id":null,"qmax":null,"is_key_station":false,"warning_level_m":null,"critical_level_m":null,"critical_level_msl":null},"geocode":{"area_code":"5","area_name":{"th":"ภาคใต้","en":"South"},"amphoe_code":"07","amphoe_name":{"th":"ท่าชนะ","en":"Tha Chana District"},"tumbon_code":"06","tumbon_name":{"th":"คลองพา","en":"Khlong Pha"},"province_code":"84","province_name":{"th":"สุราษฎร์ธานี","en":"Surat Thani"}},"diff_wl_bank":"8.47","diff_wl_bank_text":"ต่ำกว่าตลิ่ง (ม.)","river_gid":214878,"river_name":"คลองท่าชนะ"}</t>
  </si>
  <si>
    <t>THAIWATER_WL:1130124</t>
  </si>
  <si>
    <t>MOU493</t>
  </si>
  <si>
    <t>สะพานคลองปง (คีรีวง)</t>
  </si>
  <si>
    <t>a2817eb1-bbc8-6f76-4c37-7e0acdbd5ed1</t>
  </si>
  <si>
    <t>โรงเรียนวัดบางโคล่นอก</t>
  </si>
  <si>
    <t>{"id":1317594102,"waterlevel_datetime":"2026-10-03 15:10","waterlevel_m":null,"waterlevel_msl":"43.10","waterlevel_msl_previous":"43.10","flow_rate":null,"discharge":null,"storage_percent":"17.08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Basin"}},"station":{"id":1130124,"tele_station_name":{"en":"Khlong Pong Bridge (Kiriwong)","th":"สะพานคลองปง (คีรีวง)"},"tele_station_lat":8.43379,"tele_station_long":99.78328,"tele_station_oldcode":"MOU493","tele_station_type":"tele_waterlevel","left_bank":48.417,"right_bank":48.948,"min_bank":48.42,"ground_level":42,"offset":null,"sub_basin_id":327,"sponsor_by":"สำนักงานคณะกรรมการกิจการกระจายเสียง กิจการโทรทัศน์และกิจการโทรคมนาคมแห่งชาติ","agency_id":91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Thammarat"}},"diff_wl_bank":"5.32","diff_wl_bank_text":"ต่ำกว่าตลิ่ง (ม.)","river_gid":219873,"river_name":"คลองท่าดี"}</t>
  </si>
  <si>
    <t>THAIWATER_WL:3281</t>
  </si>
  <si>
    <t>https://maps.app.goo.gl/BKMuTM76opiNQ9xT6</t>
  </si>
  <si>
    <t>W.26</t>
  </si>
  <si>
    <t>บ้านเมืองมาย</t>
  </si>
  <si>
    <t>ห้วยแม่คิ</t>
  </si>
  <si>
    <t>{"id":1317494182,"waterlevel_datetime":"2026-10-03 11:00","waterlevel_m":null,"waterlevel_msl":"286.54","waterlevel_msl_previous":"286.54","flow_rate":null,"discharge":"1.74","storage_percent":"17.01","sort_order":null,"station_type":"tele_waterlevel","situation_level":2,"agency":{"id":12,"agency_name":{"th":"กรมชลประทาน ","en":"Royal Irrigation Department","jp":""},"agency_shortname":{"th":"ชป.","en":"RID","jp":""}},"basin":{"id":7,"basin_code":7,"basin_name":{"th":"ลุ่มน้ำวัง","en":"Wang Basin"}},"station":{"id":3281,"tele_station_name":{"th":"บ้านเมืองมาย"},"tele_station_lat":18.596041,"tele_station_long":99.622063,"tele_station_oldcode":"W.26","tele_station_type":"tele_waterlevel","left_bank":577.7030010000001,"right_bank":577.7420010000001,"min_bank":289.37,"ground_level":285.96,"offset":286.470001,"sub_basin_id":188,"agency_id":12,"geocode_id":5037,"hydro_id":1,"qmax":62.060001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District"},"tumbon_code":"05","tumbon_name":{"th":"เมืองมาย","en":"Mueang Mai"},"province_code":"52","province_name":{"th":"ลำปาง","en":"Lampang"}},"diff_wl_bank":"2.83","diff_wl_bank_text":"ต่ำกว่าตลิ่ง (ม.)","river_gid":47740,"river_name":"ห้วยแม่คิ"}</t>
  </si>
  <si>
    <t>THAIWATER_WL:1121234</t>
  </si>
  <si>
    <t>ยังไม่มีการเปิดศูนย์ฯ/ติดต่อสอบถาม 0860762814</t>
  </si>
  <si>
    <t>MOU323</t>
  </si>
  <si>
    <t>2026-09-26T08:05:26.000Z</t>
  </si>
  <si>
    <t>สะพานน้ำวัง</t>
  </si>
  <si>
    <t>{"id":"a2817eb1-bbc8-6f76-4c37-7e0acdbd5ed1","district":"บางคอแหลม","category":"ศูนย์พักพิงชั่วคราว","name":"โรงเรียนวัดบางโคล่นอก","capacity":30,"occupied":0,"available":30,"unitType":"คน","status":"เปิดให้บริการ/ว่าง","routeDetails":"","link":"https://maps.app.goo.gl/BKMuTM76opiNQ9xT6","additionalDetails":"ยังไม่มีการเปิดศูนย์ฯ/ติดต่อสอบถาม 0860762814","createdAt":"2026-09-26T08:05:26.000Z","updatedAt":"2026-09-26T08:05:26.000Z"}</t>
  </si>
  <si>
    <t>https://www.google.com/maps/place/%E0%B9%82%E0%B8%A3%E0%B8%87%E0%B9%80%E0%B8%A3%E0%B8%B5%E0%B8%A2%E0%B8%99%E0%B8%A7%E0%B8%B1%E0%B8%94%E0%B8%9A%E0%B8%B2%E0%B8%87%E0%B9%82%E0%B8%84%E0%B8%A5%E0%B9%88%E0%B8%99%E0%B8%AD%E0%B8%81/@13.6875465,100.5129841,240m/data=!3m1!1e3!4m6!3m5!1s0x30e2a20a2e5e0201:0x3eaa2658a586cce!8m2!3d13.6873307!4d100.5123445!16s%2Fg%2F1pyqp8q1d?authuser=0&amp;entry=tts&amp;g_ep=EgoyMDI2MDkyMy4wIPu8ASoASAFQAw%3D%3D&amp;skid=ea6d1384-4552-4982-8dc7-95ba83ff4334</t>
  </si>
  <si>
    <t>{"id":1317594075,"waterlevel_datetime":"2026-10-03 15:10","waterlevel_m":null,"waterlevel_msl":"442.81","waterlevel_msl_previous":"442.81","flow_rate":null,"discharge":null,"storage_percent":"16.78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Basin"}},"station":{"id":1121234,"tele_station_name":{"en":"Nam Wang Bridge","th":"สะพานน้ำวัง"},"tele_station_lat":19.232492,"tele_station_long":99.63247,"tele_station_oldcode":"MOU323","tele_station_type":"tele_waterlevel","left_bank":446.489,"right_bank":445.225,"min_bank":445.23,"ground_level":442.323,"offset":null,"sub_basin_id":186,"sponsor_by":"มูลนิธิอาสาเพื่อนพึ่ง (ภาฯ) ยามยาก สภากาชาดไทย","agency_id":91,"geocode_id":5041,"hydro_id":null,"qmax":null,"is_key_station":false,"warning_level_m":null,"critical_level_m":null,"critical_level_msl":null},"geocode":{"area_code":"3","area_name":{"th":"ภาคเหนือ","en":"North"},"amphoe_code":"07","amphoe_name":{"th":"วังเหนือ","en":"Wang Nuea District"},"tumbon_code":"01","tumbon_name":{"th":"ทุ่งฮั้ว","en":"Thung Hua"},"province_code":"52","province_name":{"th":"ลำปาง","en":"Lampang"}},"diff_wl_bank":"2.42","diff_wl_bank_text":"ต่ำกว่าตลิ่ง (ม.)","river_gid":21540,"river_name":"แม่น้ำวัง"}</t>
  </si>
  <si>
    <t>THAIWATER_WL:1396856</t>
  </si>
  <si>
    <t>MOU460</t>
  </si>
  <si>
    <t>สะพานคลองลำพญาธาร</t>
  </si>
  <si>
    <t>{"id":1317594096,"waterlevel_datetime":"2026-10-03 15:10","waterlevel_m":null,"waterlevel_msl":"79.49","waterlevel_msl_previous":"79.48","flow_rate":null,"discharge":null,"storage_percent":"16.50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Foundation","jp":""},"agency_shortname":{"th":"พพภ","en":"FOP","jp":""}},"basin":{"id":16,"basin_code":15,"basin_name":{"th":"ลุ่มน้ำบางปะกง","en":"Bang Pakong Basin"}},"station":{"id":1396856,"tele_station_name":{"en":"Lam Phaya Than Bridge","th":"สะพานคลองลำพญาธาร"},"tele_station_lat":14.26568,"tele_station_long":101.89133,"tele_station_oldcode":"MOU460","tele_station_type":"tele_waterlevel","left_bank":84.091,"right_bank":85.077,"min_bank":84.09,"ground_level":78.581,"offset":null,"sub_basin_id":280,"sponsor_by":"มูลนิธิอาสาเพื่อนพึ่ง (ภาฯ) ยามยาก สภากาชาดไทย","agency_id":91,"geocode_id":1519,"hydro_id":null,"qmax":null,"is_key_station":false,"warning_level_m":null,"critical_level_m":null,"critical_level_msl":null},"geocode":{"area_code":"2","area_name":{"th":"ภาคกลาง","en":"Central"},"amphoe_code":"03","amphoe_name":{"th":"นาดี","en":"Na Di District"},"tumbon_code":"06","tumbon_name":{"th":"บุพราหมณ์","en":"Bu Phram"},"province_code":"25","province_name":{"th":"ปราจีนบุรี","en":"Prachin Buri"}},"diff_wl_bank":"4.60","diff_wl_bank_text":"ต่ำกว่าตลิ่ง (ม.)"}</t>
  </si>
  <si>
    <t>THAIWATER_WL:3163</t>
  </si>
  <si>
    <t>Y.38</t>
  </si>
  <si>
    <t>บ้านแม่คำมีตำหนักธรรม</t>
  </si>
  <si>
    <t>น้ำแม่คำมี</t>
  </si>
  <si>
    <t>{"id":1317388116,"waterlevel_datetime":"2026-10-03 06:00","waterlevel_m":null,"waterlevel_msl":"170.79","waterlevel_msl_previous":"170.75","flow_rate":null,"discharge":"2.77","storage_percent":"16.46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3163,"tele_station_name":{"th":"บ้านแม่คำมีตำหนักธรรม"},"tele_station_lat":18.26643,"tele_station_long":100.237633,"tele_station_oldcode":"Y.38","tele_station_type":"tele_waterlevel","left_bank":350.226006,"right_bank":350.216006,"min_bank":174.8,"ground_level":170,"offset":170.100006,"sub_basin_id":204,"agency_id":12,"geocode_id":5256,"hydro_id":1,"qmax":325,"is_key_station":false,"warning_level_m":null,"critical_level_m":null,"critical_level_msl":null},"geocode":{"area_code":"3","area_name":{"th":"ภาคเหนือ","en":"North"},"amphoe_code":"08","amphoe_name":{"th":"หนองม่วงไข่","en":"Nong Muang Khai District"},"tumbon_code":"05","tumbon_name":{"th":"ตำหนักธรรม","en":"Tamnak Tham"},"province_code":"54","province_name":{"th":"แพร่","en":"Phrae"}},"diff_wl_bank":"4.01","diff_wl_bank_text":"ต่ำกว่าตลิ่ง (ม.)","river_gid":61260,"river_name":"น้ำแม่คำมี"}</t>
  </si>
  <si>
    <t>THAIWATER_WL:1101563</t>
  </si>
  <si>
    <t>FOP052</t>
  </si>
  <si>
    <t>ห้วยแม่แจ่ม</t>
  </si>
  <si>
    <t>{"id":1317594041,"waterlevel_datetime":"2026-10-03 15:10","waterlevel_m":null,"waterlevel_msl":"950.05","waterlevel_msl_previous":"950.04","flow_rate":null,"discharge":null,"storage_percent":"16.39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Basin"}},"station":{"id":1101563,"tele_station_name":{"en":"Huai Mae Chaem School","th":"ห้วยแม่แจ่ม"},"tele_station_lat":19.073114,"tele_station_long":98.30675,"tele_station_oldcode":"FOP052","tele_station_type":"tele_waterlevel","left_bank":952.345,"right_bank":953.117,"min_bank":952.35,"ground_level":949.6,"offset":null,"sub_basin_id":171,"sponsor_by":"มูลนิธิอาสาเพื่อนพึ่ง (ภาฯ) ยามยาก สภากาชาดไทย","agency_id":91,"geocode_id":8492,"hydro_id":null,"qmax":null,"is_key_station":false,"warning_level_m":null,"critical_level_m":null,"critical_level_msl":null},"geocode":{"area_code":"3","area_name":{"th":"ภาคเหนือ","en":"North"},"amphoe_code":"25","amphoe_name":{"th":"กัลยาณิวัฒนา","en":"Galayani Vadhana District"},"tumbon_code":"03","tumbon_name":{"th":"แจ่มหลวง","en":"Chaem Luang"},"province_code":"50","province_name":{"th":"เชียงใหม่","en":"Chiang Mai"}},"diff_wl_bank":"2.30","diff_wl_bank_text":"ต่ำกว่าตลิ่ง (ม.)","river_gid":26260,"river_name":"น้ำแม่แจ่ม"}</t>
  </si>
  <si>
    <t>THAIWATER_WL:3299</t>
  </si>
  <si>
    <t>G.9</t>
  </si>
  <si>
    <t>บ้านกระเหรี่ยงทุ่งพร้าว</t>
  </si>
  <si>
    <t>น้ำแม่สรวย</t>
  </si>
  <si>
    <t>8b941200-531e-0c80-3115-ad3f71c93137</t>
  </si>
  <si>
    <t>โรงเรียนวัดราชสิงขร</t>
  </si>
  <si>
    <t>https://maps.app.goo.gl/8MYDXsxmTYD5W7aQ8</t>
  </si>
  <si>
    <t>{"id":1317452608,"waterlevel_datetime":"2026-10-03 09:00","waterlevel_m":null,"waterlevel_msl":"515.51","waterlevel_msl_previous":"515.51","flow_rate":null,"discharge":"4.20","storage_percent":"16.24","sort_order":null,"station_type":"tele_waterlevel","situation_level":2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3299,"tele_station_name":{"th":"บ้านกระเหรี่ยงทุ่งพร้าว"},"tele_station_lat":19.745991,"tele_station_long":99.500763,"tele_station_oldcode":"G.9","tele_station_type":"tele_waterlevel","left_bank":1036.269973,"right_bank":1036.264973,"min_bank":518.16,"ground_level":514.996,"offset":514.659973,"sub_basin_id":29,"agency_id":12,"geocode_id":5550,"hydro_id":1,"qmax":134.899994,"is_key_station":false,"warning_level_m":null,"critical_level_m":null,"critical_level_msl":null},"geocode":{"area_code":"3","area_name":{"th":"ภาคเหนือ","en":"North"},"amphoe_code":"10","amphoe_name":{"th":"แม่สรวย","en":"Mae Suai District"},"tumbon_code":"06","tumbon_name":{"th":"วาวี","en":"Wawi"},"province_code":"57","province_name":{"th":"เชียงราย","en":"Chiang Rai"}},"diff_wl_bank":"2.65","diff_wl_bank_text":"ต่ำกว่าตลิ่ง (ม.)","river_gid":6893,"river_name":"น้ำแม่สรวย"}</t>
  </si>
  <si>
    <t>THAIWATER_WL:3246</t>
  </si>
  <si>
    <t>N.64</t>
  </si>
  <si>
    <t>บ้านผาขวาง</t>
  </si>
  <si>
    <t>ยังไม่มีการเปิดศูนย์ฯ/ติดต่อสอบถาม 0875595661</t>
  </si>
  <si>
    <t>{"id":1317494212,"waterlevel_datetime":"2026-10-03 11:00","waterlevel_m":null,"waterlevel_msl":"212.36","waterlevel_msl_previous":"212.36","flow_rate":null,"discharge":"51.20","storage_percent":"16.16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3246,"tele_station_name":{"th":"บ้านผาขวาง"},"tele_station_lat":19.015169,"tele_station_long":100.780212,"tele_station_oldcode":"N.64","tele_station_type":"tele_waterlevel","left_bank":437.331994,"right_bank":434.985994,"min_bank":220.4,"ground_level":210.81,"offset":210.899994,"sub_basin_id":218,"agency_id":12,"geocode_id":5261,"hydro_id":1,"qmax":1028,"is_key_station":true,"warning_level_m":null,"critical_level_m":null,"critical_level_msl":null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District"},"tumbon_code":"02","tumbon_name":{"th":"บ่อ","en":"Bo"},"province_code":"55","province_name":{"th":"น่าน","en":"Nan"}},"diff_wl_bank":"8.04","diff_wl_bank_text":"ต่ำกว่าตลิ่ง (ม.)","river_gid":28260,"river_name":"แม่น้ำน่าน"}</t>
  </si>
  <si>
    <t>{"id":"8b941200-531e-0c80-3115-ad3f71c93137","district":"บางคอแหลม","category":"ศูนย์พักพิงชั่วคราว","name":"โรงเรียนวัดราชสิงขร","capacity":30,"occupied":0,"available":30,"unitType":"คน","status":"เปิดให้บริการ/ว่าง","routeDetails":"","link":"https://maps.app.goo.gl/8MYDXsxmTYD5W7aQ8","additionalDetails":"ยังไม่มีการเปิดศูนย์ฯ/ติดต่อสอบถาม 0875595661","createdAt":"2026-09-26T08:05:26.000Z","updatedAt":"2026-09-26T08:05:26.000Z"}</t>
  </si>
  <si>
    <t>THAIWATER_WL:1198081</t>
  </si>
  <si>
    <t>NAN015</t>
  </si>
  <si>
    <t>https://www.google.com/maps/place/%E0%B9%82%E0%B8%A3%E0%B8%87%E0%B9%80%E0%B8%A3%E0%B8%B5%E0%B8%A2%E0%B8%99%E0%B8%A7%E0%B8%B1%E0%B8%94%E0%B8%A3%E0%B8%B2%E0%B8%8A%E0%B8%AA%E0%B8%B4%E0%B8%87%E0%B8%82%E0%B8%A3/@13.7050603,100.5043929,218m/data=!3m1!1e3!4m6!3m5!1s0x30e29896469e4c7d:0xc235e7191ff0dc5!8m2!3d13.7053294!4d100.5050592!16s%2Fg%2F1hm55d_k6?authuser=0&amp;entry=tts&amp;g_ep=EgoyMDI2MDkyMy4wIPu8ASoASAFQAw%3D%3D&amp;skid=d55ee233-9d40-4e89-94de-98e594bb0023</t>
  </si>
  <si>
    <t>{"id":1317594451,"waterlevel_datetime":"2026-10-03 15:10","waterlevel_m":null,"waterlevel_msl":"183.78","waterlevel_msl_previous":"183.80","flow_rate":null,"discharge":null,"storage_percent":"16.13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Organization)","jp":""},"agency_shortname":{"th":"สสน.","en":"HII","jp":""}},"basin":{"id":9,"basin_code":9,"basin_name":{"th":"ลุ่มน้ำน่าน","en":"Nan Basin"}},"station":{"id":1198081,"tele_station_name":{"en":"Sa River","th":"แม่น้ำสา"},"tele_station_lat":18.571873,"tele_station_long":100.74266,"tele_station_oldcode":"NAN015","tele_station_type":"tele_waterlevel","left_bank":189.784,"right_bank":189.647,"min_bank":189.65,"ground_level":182.652,"offset":null,"sub_basin_id":223,"agency_id":9,"geocode_id":5315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District"},"tumbon_code":"01","tumbon_name":{"th":"กลางเวียง","en":"Klang Wiang"},"province_code":"55","province_name":{"th":"น่าน","en":"Nan"}},"diff_wl_bank":"5.87","diff_wl_bank_text":"ต่ำกว่าตลิ่ง (ม.)","river_gid":48327,"river_name":"แม่น้ำสา"}</t>
  </si>
  <si>
    <t>THAIWATER_WL:2565</t>
  </si>
  <si>
    <t>X.245</t>
  </si>
  <si>
    <t>บ้านบางตง</t>
  </si>
  <si>
    <t>{"id":1317523534,"waterlevel_datetime":"2026-10-03 12:00","waterlevel_m":null,"waterlevel_msl":"7.89","waterlevel_msl_previous":"7.90","flow_rate":null,"discharge":null,"storage_percent":"16.10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2565,"tele_station_name":{"th":"บ้านบางตง"},"tele_station_lat":8.51336,"tele_station_long":98.503563,"tele_station_oldcode":"X.245","tele_station_type":"tele_waterlevel","left_bank":16.605,"right_bank":17.619,"min_bank":15.24,"ground_level":6.48,"offset":null,"sub_basin_id":345,"agency_id":12,"geocode_id":7431,"hydro_id":8,"qmax":null,"is_key_station":false,"warning_level_m":null,"critical_level_m":null,"critical_level_msl":null},"geocode":{"area_code":"5","area_name":{"th":"ภาคใต้","en":"South"},"amphoe_code":"01","amphoe_name":{"th":"เมืองพังงา","en":"Mueang Phang-nga District"},"tumbon_code":"02","tumbon_name":{"th":"นบปริง","en":"Nop Pring"},"province_code":"82","province_name":{"th":"พังงา","en":"Phangnga"}},"diff_wl_bank":"7.35","diff_wl_bank_text":"ต่ำกว่าตลิ่ง (ม.)","river_gid":219342,"river_name":"คลองพังงา"}</t>
  </si>
  <si>
    <t>THAIWATER_WL:2645</t>
  </si>
  <si>
    <t>X.187</t>
  </si>
  <si>
    <t>บ้านหินดาน</t>
  </si>
  <si>
    <t>{"id":1317523525,"waterlevel_datetime":"2026-10-03 12:00","waterlevel_m":null,"waterlevel_msl":"3.50","waterlevel_msl_previous":"3.51","flow_rate":null,"discharge":"35.00","storage_percent":"15.97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2645,"tele_station_name":{"th":"บ้านหินดาน"},"tele_station_lat":8.77622,"tele_station_long":98.390472,"tele_station_oldcode":"X.187","tele_station_type":"tele_waterlevel","left_bank":12.036,"right_bank":12.048,"min_bank":8.25,"ground_level":2.597,"offset":null,"sub_basin_id":344,"agency_id":12,"geocode_id":7462,"hydro_id":8,"qmax":630,"is_key_station":false,"warning_level_m":null,"critical_level_m":null,"critical_level_msl":null},"geocode":{"area_code":"5","area_name":{"th":"ภาคใต้","en":"South"},"amphoe_code":"05","amphoe_name":{"th":"ตะกั่วป่า","en":"Takua Pa District"},"tumbon_code":"05","tumbon_name":{"th":"ตำตัว","en":"Tamtua"},"province_code":"82","province_name":{"th":"พังงา","en":"Phangnga"}},"diff_wl_bank":"4.75","diff_wl_bank_text":"ต่ำกว่าตลิ่ง (ม.)","river_gid":217783,"river_name":"คลองตะกั่วป่า"}</t>
  </si>
  <si>
    <t>THAIWATER_WL:922</t>
  </si>
  <si>
    <t>SAY002</t>
  </si>
  <si>
    <t>ศรีสาคร</t>
  </si>
  <si>
    <t>ee0046d8-b327-806f-0d00-dc9b97954a7f</t>
  </si>
  <si>
    <t>โรงเรียนวัดลาดบัวขาว</t>
  </si>
  <si>
    <t>https://maps.app.goo.gl/L8Qb3jKSofWqtdEW7</t>
  </si>
  <si>
    <t>{"id":1317594584,"waterlevel_datetime":"2026-10-03 15:10","waterlevel_m":null,"waterlevel_msl":"24.49","waterlevel_msl_previous":"24.48","flow_rate":null,"discharge":null,"storage_percent":"15.95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Organization)","jp":""},"agency_shortname":{"th":"สสน.","en":"HII","jp":""}},"basin":{"id":26,"basin_code":21,"basin_name":{"th":"ลุ่มน้ำภาคใต้ฝั่งตะวันออกตอนล่าง","en":"Peninsula - Lower East Coast Basin"}},"station":{"id":922,"tele_station_name":{"en":"Sai Buri 2","th":"ศรีสาคร"},"tele_station_lat":6.227293,"tele_station_long":101.49695,"tele_station_oldcode":"SAY002","tele_station_type":"tele_waterlevel","left_bank":35.04,"right_bank":35.03,"min_bank":35.03,"ground_level":22.49,"offset":null,"sub_basin_id":338,"agency_id":9,"geocode_id":8383,"hydro_id":null,"qmax":null,"is_key_station":false,"warning_level_m":null,"critical_level_m":null,"critical_level_msl":null},"geocode":{"area_code":"5","area_name":{"th":"ภาคใต้","en":"South"},"amphoe_code":"07","amphoe_name":{"th":"ศรีสาคร","en":"Si Sakhon District"},"tumbon_code":"03","tumbon_name":{"th":"ศรีสาคร","en":"Si Sakhon"},"province_code":"96","province_name":{"th":"นราธิวาส","en":"Narathiwat"}},"diff_wl_bank":"10.54","diff_wl_bank_text":"ต่ำกว่าตลิ่ง (ม.)","river_gid":231218,"river_name":"แม่น้ำสายบุรี"}</t>
  </si>
  <si>
    <t>THAIWATER_WL:1119916</t>
  </si>
  <si>
    <t>Kh.9A</t>
  </si>
  <si>
    <t>บ้านบึงศาลา</t>
  </si>
  <si>
    <t>ยังไม่มีการเปิดศูนย์ฯ/ติดต่อสอบถาม 0897635469</t>
  </si>
  <si>
    <t>{"id":1317573813,"waterlevel_datetime":"2026-10-03 14:00","waterlevel_m":null,"waterlevel_msl":"151.25","waterlevel_msl_previous":"151.25","flow_rate":null,"discharge":"3.38","storage_percent":"15.84","sort_order":null,"station_type":"tele_waterlevel","situation_level":2,"agency":{"id":12,"agency_name":{"th":"กรมชลประทาน ","en":"Royal Irrigation Department","jp":""},"agency_shortname":{"th":"ชป.","en":"RID","jp":""}},"basin":{"id":3,"basin_code":3,"basin_name":{"th":"ลุ่มน้ำโขงตะวันออกเฉียงเหนือ","en":"Northeast Khong Basin"}},"station":{"id":1119916,"tele_station_name":{"th":"บ้านบึงศาลา"},"tele_station_lat":17.1422,"tele_station_long":104.2901,"tele_station_oldcode":"Kh.9A","tele_station_type":"tele_waterlevel","left_bank":309.483,"right_bank":309.45799999999997,"min_bank":157.2,"ground_level":150.13,"offset":150,"sub_basin_id":70,"agency_id":12,"geocode_id":4390,"hydro_id":3,"qmax":190,"is_key_station":tru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District"},"tumbon_code":"21","tumbon_name":{"th":"โคกก่อง","en":"Khok Kong"},"province_code":"47","province_name":{"th":"สกลนคร","en":"Sakon Nakhon"}},"diff_wl_bank":"5.95","diff_wl_bank_text":"ต่ำกว่าตลิ่ง (ม.)","river_gid":121711,"river_name":"ลำน้ำกำ"}</t>
  </si>
  <si>
    <t>THAIWATER_WL:3223</t>
  </si>
  <si>
    <t>P.86</t>
  </si>
  <si>
    <t>บ้านโห้ง</t>
  </si>
  <si>
    <t>{"id":"ee0046d8-b327-806f-0d00-dc9b97954a7f","district":"บางคอแหลม","category":"ศูนย์พักพิงชั่วคราว","name":"โรงเรียนวัดลาดบัวขาว","capacity":20,"occupied":0,"available":20,"unitType":"คน","status":"เปิดให้บริการ/ว่าง","routeDetails":"","link":"https://maps.app.goo.gl/L8Qb3jKSofWqtdEW7","additionalDetails":"ยังไม่มีการเปิดศูนย์ฯ/ติดต่อสอบถาม 0897635469","createdAt":"2026-09-26T08:05:26.000Z","updatedAt":"2026-09-26T08:05:26.000Z"}</t>
  </si>
  <si>
    <t>เหมืองฮอ</t>
  </si>
  <si>
    <t>https://www.google.com/maps/place/%E0%B9%82%E0%B8%A3%E0%B8%87%E0%B9%80%E0%B8%A3%E0%B8%B5%E0%B8%A2%E0%B8%99%E0%B8%A7%E0%B8%B1%E0%B8%94%E0%B8%A5%E0%B8%B2%E0%B8%94%E0%B8%9A%E0%B8%B1%E0%B8%A7%E0%B8%82%E0%B8%B2%E0%B8%A7/@13.6991742,100.4979646,460m/data=!3m1!1e3!4m6!3m5!1s0x30e2989abde16d3d:0x544f59eb79678a9d!8m2!3d13.7007609!4d100.4972479!16s%2Fg%2F1pyqvs66j?authuser=0&amp;entry=tts&amp;g_ep=EgoyMDI2MDkyMy4wIPu8ASoASAFQAw%3D%3D&amp;skid=8e56be63-6374-4ca7-b15e-939aa28737f6</t>
  </si>
  <si>
    <t>{"id":1317452591,"waterlevel_datetime":"2026-10-03 09:00","waterlevel_m":null,"waterlevel_msl":"341.00","waterlevel_msl_previous":"341.00","flow_rate":null,"discharge":"0.20","storage_percent":"15.63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3223,"tele_station_name":{"th":"บ้านโห้ง"},"tele_station_lat":18.739611,"tele_station_long":99.218651,"tele_station_oldcode":"P.86","tele_station_type":"tele_waterlevel","left_bank":686.667012,"right_bank":686.633012,"min_bank":345.4,"ground_level":340.185,"offset":341.200012,"sub_basin_id":163,"agency_id":12,"geocode_id":4825,"hydro_id":1,"qmax":null,"is_key_station":false,"warning_level_m":null,"critical_level_m":null,"critical_level_msl":null},"geocode":{"area_code":"3","area_name":{"th":"ภาคเหนือ","en":"North"},"amphoe_code":"13","amphoe_name":{"th":"สันกำแพง","en":"San Kamphaeng District"},"tumbon_code":"03","tumbon_name":{"th":"ร้องวัวแดง","en":"Rong Wua Daeng"},"province_code":"50","province_name":{"th":"เชียงใหม่","en":"Chiang Mai"}},"diff_wl_bank":"4.40","diff_wl_bank_text":"ต่ำกว่าตลิ่ง (ม.)","river_gid":41279,"river_name":"เหมืองฮอ"}</t>
  </si>
  <si>
    <t>THAIWATER_WL:2582</t>
  </si>
  <si>
    <t>X.73</t>
  </si>
  <si>
    <t>บ้านตันหยงมัส</t>
  </si>
  <si>
    <t>คลองตันหยงมัส</t>
  </si>
  <si>
    <t>{"id":1317539101,"waterlevel_datetime":"2026-10-03 12:00","waterlevel_m":null,"waterlevel_msl":"10.85","waterlevel_msl_previous":"10.85","flow_rate":null,"discharge":"5.75","storage_percent":"15.48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2582,"tele_station_name":{"th":"บ้านตันหยงมัส"},"tele_station_lat":6.33992,"tele_station_long":101.726959,"tele_station_oldcode":"X.73","tele_station_type":"tele_waterlevel","left_bank":18.823,"right_bank":18.813,"min_bank":14.9,"ground_level":10.108,"offset":null,"sub_basin_id":339,"agency_id":12,"geocode_id":8363,"hydro_id":8,"qmax":126,"is_key_station":true,"warning_level_m":null,"critical_level_m":null,"critical_level_msl":null},"geocode":{"area_code":"5","area_name":{"th":"ภาคใต้","en":"South"},"amphoe_code":"05","amphoe_name":{"th":"ระแงะ","en":"Ra-ngae District"},"tumbon_code":"01","tumbon_name":{"th":"ตันหยงมัส","en":"Tanyong Mat"},"province_code":"96","province_name":{"th":"นราธิวาส","en":"Narathiwat"}},"diff_wl_bank":"4.05","diff_wl_bank_text":"ต่ำกว่าตลิ่ง (ม.)","river_gid":230905,"river_name":"คลองตันหยงมัส"}</t>
  </si>
  <si>
    <t>THAIWATER_WL:562803</t>
  </si>
  <si>
    <t>BLGTD05</t>
  </si>
  <si>
    <t>สะพานเมืองปัตตานี อ.เมือง จ.ปัตตานี</t>
  </si>
  <si>
    <t>{"id":1317592538,"waterlevel_datetime":"2026-10-03 15:00","waterlevel_m":null,"waterlevel_msl":"0.18","waterlevel_msl_previous":"0.18","flow_rate":null,"discharge":null,"storage_percent":"15.48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Basin"}},"station":{"id":562803,"tele_station_name":{"th":"สะพานเมืองปัตตานี อ.เมือง จ.ปัตตานี"},"tele_station_lat":6.859914,"tele_station_long":101.251309,"tele_station_oldcode":"BLGTD05","tele_station_type":"tele_waterlevel","left_bank":1.15,"right_bank":1.35,"min_bank":1.15,"ground_level":0,"offset":null,"sub_basin_id":336,"agency_id":8,"geocode_id":8139,"hydro_id":null,"qmax":null,"is_key_station":false,"warning_level_m":null,"critical_level_m":null,"critical_level_msl":1.33},"geocode":{"area_code":"5","area_name":{"th":"ภาคใต้","en":"South"},"amphoe_code":"01","amphoe_name":{"th":"เมืองปัตตานี","en":"Mueang Pattani District"},"tumbon_code":"03","tumbon_name":{"th":"จะบังติกอ","en":"Chabang Tiko"},"province_code":"94","province_name":{"th":"ปัตตานี","en":"Pattani"}},"diff_wl_bank":"0.97","diff_wl_bank_text":"ต่ำกว่าตลิ่ง (ม.)","river_gid":228179,"river_name":"แม่น้ำปัตตานี"}</t>
  </si>
  <si>
    <t>THAIWATER_WL:734</t>
  </si>
  <si>
    <t>THA003</t>
  </si>
  <si>
    <t>ด่านช้าง</t>
  </si>
  <si>
    <t>ห้วยกระเสียว</t>
  </si>
  <si>
    <t>8612aa01-c2d3-9da4-e302-20b2775d2e77</t>
  </si>
  <si>
    <t>โรงเรียนวัดไผ่เงินโชตนาราม</t>
  </si>
  <si>
    <t>https://maps.app.goo.gl/723UTJHmMcsdKXH88</t>
  </si>
  <si>
    <t>{"id":1317594649,"waterlevel_datetime":"2026-10-03 15:10","waterlevel_m":null,"waterlevel_msl":"62.43","waterlevel_msl_previous":"62.43","flow_rate":null,"discharge":null,"storage_percent":"15.32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Organization)","jp":""},"agency_shortname":{"th":"สสน.","en":"HII","jp":""}},"basin":{"id":14,"basin_code":13,"basin_name":{"th":"ลุ่มน้ำท่าจีน","en":"Tha Chin Basin"}},"station":{"id":734,"tele_station_name":{"en":"Tha Chin 3","th":"ด่านช้าง"},"tele_station_lat":14.83506,"tele_station_long":99.66543,"tele_station_oldcode":"THA003","tele_station_type":"tele_waterlevel","left_bank":70.36,"right_bank":70.856,"min_bank":70.36,"ground_level":60.998,"offset":null,"sub_basin_id":258,"agency_id":9,"geocode_id":6732,"hydro_id":null,"qmax":null,"is_key_station":false,"warning_level_m":null,"critical_level_m":null,"critical_level_msl":null},"geocode":{"area_code":"2","area_name":{"th":"ภาคกลาง","en":"Central"},"amphoe_code":"03","amphoe_name":{"th":"ด่านช้าง","en":"Dan Chang District"},"tumbon_code":"02","tumbon_name":{"th":"ด่านช้าง","en":"Dan Chang"},"province_code":"72","province_name":{"th":"สุพรรณบุรี","en":"Suphan Buri"}},"diff_wl_bank":"7.93","diff_wl_bank_text":"ต่ำกว่าตลิ่ง (ม.)","river_gid":179013,"river_name":"ห้วยกระเสียว"}</t>
  </si>
  <si>
    <t>THAIWATER_WL:1198628</t>
  </si>
  <si>
    <t>TRD007</t>
  </si>
  <si>
    <t>คลองเขาระกำ</t>
  </si>
  <si>
    <t>คลองบางพระ</t>
  </si>
  <si>
    <t>{"id":1317594676,"waterlevel_datetime":"2026-10-03 15:10","waterlevel_m":null,"waterlevel_msl":"2.04","waterlevel_msl_previous":"2.04","flow_rate":null,"discharge":null,"storage_percent":"15.26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Organization)","jp":""},"agency_shortname":{"th":"สสน.","en":"HII","jp":""}},"basin":{"id":18,"basin_code":17,"basin_name":{"th":"ลุ่มน้ำชายฝั่งทะเลตะวันออก","en":"East Coast Gulf Basin"}},"station":{"id":1198628,"tele_station_name":{"en":"Khao Rakam Canal","th":"คลองเขาระกำ"},"tele_station_lat":12.25058,"tele_station_long":102.475716,"tele_station_oldcode":"TRD007","tele_station_type":"tele_waterlevel","left_bank":4.714,"right_bank":4.689,"min_bank":4.69,"ground_level":1.563,"offset":null,"sub_basin_id":298,"agency_id":9,"geocode_id":1340,"hydro_id":null,"qmax":null,"is_key_station":false,"warning_level_m":null,"critical_level_m":null,"critical_level_msl":null},"geocode":{"area_code":"2","area_name":{"th":"ภาคกลาง","en":"Central"},"amphoe_code":"01","amphoe_name":{"th":"เมืองตราด","en":"Mueang Trat District"},"tumbon_code":"07","tumbon_name":{"th":"วังกระแจะ","en":"Wang Krachae"},"province_code":"23","province_name":{"th":"ตราด","en":"Trat"}},"diff_wl_bank":"2.65","diff_wl_bank_text":"ต่ำกว่าตลิ่ง (ม.)","river_gid":207124,"river_name":"คลองบางพระ"}</t>
  </si>
  <si>
    <t>ยังไม่มีการเปิดศูนย์ฯ/ติดต่อสอบถาม 0961365255</t>
  </si>
  <si>
    <t>THAIWATER_WL:3251</t>
  </si>
  <si>
    <t>P.4A</t>
  </si>
  <si>
    <t>บ้านแม่แตง</t>
  </si>
  <si>
    <t>{"id":"8612aa01-c2d3-9da4-e302-20b2775d2e77","district":"บางคอแหลม","category":"ศูนย์พักพิงชั่วคราว","name":"โรงเรียนวัดไผ่เงินโชตนาราม","capacity":100,"occupied":0,"available":100,"unitType":"คน","status":"เปิดให้บริการ/ว่าง","routeDetails":"","link":"https://maps.app.goo.gl/723UTJHmMcsdKXH88","additionalDetails":"ยังไม่มีการเปิดศูนย์ฯ/ติดต่อสอบถาม 0961365255","createdAt":"2026-09-26T08:05:26.000Z","updatedAt":"2026-09-26T08:05:26.000Z"}</t>
  </si>
  <si>
    <t>https://www.google.com/maps/place/%E0%B9%82%E0%B8%A3%E0%B8%87%E0%B9%80%E0%B8%A3%E0%B8%B5%E0%B8%A2%E0%B8%99%E0%B8%A7%E0%B8%B1%E0%B8%94%E0%B9%84%E0%B8%9C%E0%B9%88%E0%B9%80%E0%B8%87%E0%B8%B4%E0%B8%99%E0%B9%82%E0%B8%8A%E0%B8%95%E0%B8%99%E0%B8%B2%E0%B8%A3%E0%B8%B2%E0%B8%A1/@13.7006436,100.5185149,2010m/data=!3m1!1e3!4m6!3m5!1s0x30e298b1fadce243:0xd2f029fa0d6fc1c!8m2!3d13.7014667!4d100.5235324!16s%2Fg%2F1tfm8p6w?authuser=0&amp;entry=tts&amp;g_ep=EgoyMDI2MDkyMy4wIPu8ASoASAFQAw%3D%3D&amp;skid=bbd71869-1ea3-4ec8-b0ef-5435845087d0</t>
  </si>
  <si>
    <t>{"id":1317494186,"waterlevel_datetime":"2026-10-03 11:00","waterlevel_m":null,"waterlevel_msl":"333.15","waterlevel_msl_previous":"333.15","flow_rate":null,"discharge":"3.00","storage_percent":"15.19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3251,"tele_station_name":{"th":"บ้านแม่แตง"},"tele_station_lat":19.122181,"tele_station_long":98.944412,"tele_station_oldcode":"P.4A","tele_station_type":"tele_waterlevel","left_bank":673.9639999999999,"right_bank":673.912,"min_bank":337.8,"ground_level":332.317,"offset":334,"sub_basin_id":159,"agency_id":12,"geocode_id":4750,"hydro_id":1,"qmax":374,"is_key_station":tru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Mai"}},"diff_wl_bank":"4.65","diff_wl_bank_text":"ต่ำกว่าตลิ่ง (ม.)","river_gid":24612,"river_name":"แม่น้ำแม่แตง"}</t>
  </si>
  <si>
    <t>THAIWATER_WL:1476461</t>
  </si>
  <si>
    <t>MOU325</t>
  </si>
  <si>
    <t>สะพานพัฒนามิตรภาพแม่น้ำตุ๋ย</t>
  </si>
  <si>
    <t>{"id":1317594076,"waterlevel_datetime":"2026-10-03 15:10","waterlevel_m":null,"waterlevel_msl":"266.36","waterlevel_msl_previous":"266.36","flow_rate":null,"discharge":null,"storage_percent":"15.14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Basin"}},"station":{"id":1476461,"tele_station_name":{"en":"Friendship Bridge, Tui River","th":"สะพานพัฒนามิตรภาพแม่น้ำตุ๋ย"},"tele_station_lat":18.474373,"tele_station_long":99.46628,"tele_station_oldcode":"MOU325","tele_station_type":"tele_waterlevel","left_bank":274.326,"right_bank":272.958,"min_bank":272.96,"ground_level":265.183,"offset":null,"sub_basin_id":189,"sponsor_by":"บริษัท ไทยเบฟเวอเรจ จำกัด (มหาชน) ","agency_id":91,"geocode_id":4993,"hydro_id":null,"qmax":null,"is_key_station":false,"warning_level_m":null,"critical_level_m":null,"critical_level_msl":null},"geocode":{"area_code":"3","area_name":{"th":"ภาคเหนือ","en":"North"},"amphoe_code":"01","amphoe_name":{"th":"เมืองลำปาง","en":"Mueang Lampang District"},"tumbon_code":"13","tumbon_name":{"th":"บ้านเอื้อม","en":"Ban Ueam"},"province_code":"52","province_name":{"th":"ลำปาง","en":"Lampang"}},"diff_wl_bank":"6.60","diff_wl_bank_text":"ต่ำกว่าตลิ่ง (ม.)"}</t>
  </si>
  <si>
    <t>THAIWATER_WL:418</t>
  </si>
  <si>
    <t>CHM005</t>
  </si>
  <si>
    <t>แม่แตง</t>
  </si>
  <si>
    <t>{"id":1317594265,"waterlevel_datetime":"2026-10-03 15:10","waterlevel_m":null,"waterlevel_msl":"330.10","waterlevel_msl_previous":"330.10","flow_rate":null,"discharge":null,"storage_percent":"15.12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Organization)","jp":""},"agency_shortname":{"th":"สสน.","en":"HII","jp":""}},"basin":{"id":6,"basin_code":6,"basin_name":{"th":"ลุ่มน้ำปิง","en":"Ping Basin"}},"station":{"id":418,"tele_station_name":{"en":"Chiang Mai 5","th":"แม่แตง"},"tele_station_lat":19.12207,"tele_station_long":98.94447,"tele_station_oldcode":"CHM005","tele_station_type":"tele_waterlevel","left_bank":335.811,"right_bank":336.625,"min_bank":335.81,"ground_level":329.087,"offset":null,"sub_basin_id":159,"agency_id":9,"geocode_id":4750,"hydro_id":null,"qmax":null,"is_key_station":false,"warning_level_m":null,"critical_level_m":null,"critical_level_msl":null},"geocode":{"area_code":"3","area_name":{"th":"ภาคเหนือ","en":"North"},"amphoe_code":"06","amphoe_name":{"th":"แม่แตง","en":"Mae Taeng District"},"tumbon_code":"01","tumbon_name":{"th":"สันมหาพน","en":"San Mahaphon"},"province_code":"50","province_name":{"th":"เชียงใหม่","en":"Chiang Mai"}},"diff_wl_bank":"5.71","diff_wl_bank_text":"ต่ำกว่าตลิ่ง (ม.)","river_gid":24681,"river_name":"แม่น้ำแม่แตง"}</t>
  </si>
  <si>
    <t>THAIWATER_WL:1476456</t>
  </si>
  <si>
    <t>MOU322</t>
  </si>
  <si>
    <t>สะพานน้ำคลองแม่สอย</t>
  </si>
  <si>
    <t>{"id":1317594074,"waterlevel_datetime":"2026-10-03 15:10","waterlevel_m":null,"waterlevel_msl":"308.85","waterlevel_msl_previous":"308.86","flow_rate":null,"discharge":null,"storage_percent":"14.86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Basin"}},"station":{"id":1476456,"tele_station_name":{"en":"Khlong Mae Soi Bridge","th":"สะพานน้ำคลองแม่สอย"},"tele_station_lat":18.784391,"tele_station_long":99.56949,"tele_station_oldcode":"MOU322","tele_station_type":"tele_waterlevel","left_bank":311.393,"right_bank":311.09,"min_bank":311.09,"ground_level":308.459,"offset":null,"sub_basin_id":187,"sponsor_by":"บริษัท ไทยเบฟเวอเรจ จำกัด (มหาชน) ","agency_id":91,"geocode_id":5036,"hydro_id":null,"qmax":null,"is_key_station":false,"warning_level_m":null,"critical_level_m":null,"critical_level_msl":null},"geocode":{"area_code":"3","area_name":{"th":"ภาคเหนือ","en":"North"},"amphoe_code":"06","amphoe_name":{"th":"แจ้ห่ม","en":"Chae Hom District"},"tumbon_code":"04","tumbon_name":{"th":"แม่สุก","en":"Mae Suk"},"province_code":"52","province_name":{"th":"ลำปาง","en":"Lampang"}},"diff_wl_bank":"2.24","diff_wl_bank_text":"ต่ำกว่าตลิ่ง (ม.)"}</t>
  </si>
  <si>
    <t>THAIWATER_WL:547</t>
  </si>
  <si>
    <t>CHR005</t>
  </si>
  <si>
    <t>เชียงแสน</t>
  </si>
  <si>
    <t>558ba1d1-b0ab-3071-1f0e-2a17bd80ad4f</t>
  </si>
  <si>
    <t>ศูนย์พัฒนาเด็กเล็กชุมชนหัวจักรรถไฟตึกแดง</t>
  </si>
  <si>
    <t>ใกล้เต็ม</t>
  </si>
  <si>
    <t>2026-09-26T07:50:07.000Z</t>
  </si>
  <si>
    <t>{"id":1317594274,"waterlevel_datetime":"2026-10-03 15:10","waterlevel_m":null,"waterlevel_msl":"356.60","waterlevel_msl_previous":"356.60","flow_rate":null,"discharge":null,"storage_percent":"14.51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Basin"}},"station":{"id":547,"tele_station_name":{"en":"Chaing Rai 5","th":"เชียงแสน"},"tele_station_lat":20.2197,"tele_station_long":100.12121,"tele_station_oldcode":"CHR005","tele_station_type":"tele_waterlevel","left_bank":364.753,"right_bank":364.884,"min_bank":364.75,"ground_level":355.219,"offset":null,"sub_basin_id":31,"agency_id":9,"geocode_id":5534,"hydro_id":null,"qmax":null,"is_key_station":false,"warning_level_m":null,"critical_level_m":null,"critical_level_msl":null},"geocode":{"area_code":"3","area_name":{"th":"ภาคเหนือ","en":"North"},"amphoe_code":"08","amphoe_name":{"th":"เชียงแสน","en":"Chiang Saen District"},"tumbon_code":"06","tumbon_name":{"th":"โยนก","en":"Yonok"},"province_code":"57","province_name":{"th":"เชียงราย","en":"Chiang Rai"}},"diff_wl_bank":"8.15","diff_wl_bank_text":"ต่ำกว่าตลิ่ง (ม.)","river_gid":1280,"river_name":"แม่น้ำกก"}</t>
  </si>
  <si>
    <t>THAIWATER_WL:726684</t>
  </si>
  <si>
    <t>X.275</t>
  </si>
  <si>
    <t>{"id":"558ba1d1-b0ab-3071-1f0e-2a17bd80ad4f","district":"บางซื่อ","category":"ศูนย์พักพิงชั่วคราว","name":"ศูนย์พัฒนาเด็กเล็กชุมชนหัวจักรรถไฟตึกแดง","capacity":60,"occupied":55,"available":5,"unitType":"คน","status":"ใกล้เต็ม","routeDetails":"","link":null,"additionalDetails":"812681104","createdAt":"2026-09-26T07:50:07.000Z","updatedAt":"2026-09-26T07:50:07.000Z"}</t>
  </si>
  <si>
    <t>บ้านบริดอ</t>
  </si>
  <si>
    <t>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</t>
  </si>
  <si>
    <t>{"id":1317523566,"waterlevel_datetime":"2026-10-03 12:00","waterlevel_m":null,"waterlevel_msl":"0.29","waterlevel_msl_previous":"0.24","flow_rate":null,"discharge":null,"storage_percent":"14.50","sort_order":null,"station_type":"tele_waterlevel","situation_level":2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726684,"tele_station_name":{"th":"บ้านบริดอ"},"tele_station_lat":6.82152,"tele_station_long":101.244888,"tele_station_oldcode":"X.275","tele_station_type":"tele_waterlevel","left_bank":2,"right_bank":2,"min_bank":2,"ground_level":0,"offset":null,"sub_basin_id":336,"agency_id":12,"geocode_id":8148,"hydro_id":8,"qmax":null,"is_key_station":false,"warning_level_m":null,"critical_level_m":null,"critical_level_msl":null},"geocode":{"area_code":"5","area_name":{"th":"ภาคใต้","en":"South"},"amphoe_code":"01","amphoe_name":{"th":"เมืองปัตตานี","en":"Mueang Pattani District"},"tumbon_code":"12","tumbon_name":{"th":"บาราเฮาะ","en":"Bara Ho"},"province_code":"94","province_name":{"th":"ปัตตานี","en":"Pattani"}},"diff_wl_bank":"1.71","diff_wl_bank_text":"ต่ำกว่าตลิ่ง (ม.)","river_gid":228328,"river_name":"แม่น้ำปัตตานี"}</t>
  </si>
  <si>
    <t>THAIWATER_WL:2638</t>
  </si>
  <si>
    <t>X.190A</t>
  </si>
  <si>
    <t>บ้านเก็ตโฮ่</t>
  </si>
  <si>
    <t>คลองเก็ตโฮ</t>
  </si>
  <si>
    <t>{"id":1317523547,"waterlevel_datetime":"2026-10-03 12:00","waterlevel_m":null,"waterlevel_msl":"14.42","waterlevel_msl_previous":"14.38","flow_rate":null,"discharge":null,"storage_percent":"14.32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2638,"tele_station_name":{"th":"บ้านเก็ตโฮ่"},"tele_station_lat":7.9034,"tele_station_long":98.349678,"tele_station_oldcode":"X.190A","tele_station_type":"tele_waterlevel","left_bank":17.54,"right_bank":17.656,"min_bank":17.13,"ground_level":13.967,"offset":null,"sub_basin_id":346,"agency_id":12,"geocode_id":7496,"hydro_id":8,"qmax":61.049999,"is_key_station":true,"warning_level_m":null,"critical_level_m":null,"critical_level_msl":null},"geocode":{"area_code":"5","area_name":{"th":"ภาคใต้","en":"South"},"amphoe_code":"02","amphoe_name":{"th":"กะทู้","en":"Kathu District"},"tumbon_code":"01","tumbon_name":{"th":"กะทู้","en":"Kathu"},"province_code":"83","province_name":{"th":"ภูเก็ต","en":"Phuket"}},"diff_wl_bank":"2.71","diff_wl_bank_text":"ต่ำกว่าตลิ่ง (ม.)","river_gid":223151,"river_name":"คลองเก็ตโฮ"}</t>
  </si>
  <si>
    <t>THAIWATER_WL:1095876</t>
  </si>
  <si>
    <t>X.276</t>
  </si>
  <si>
    <t>บ้านเขาปู่</t>
  </si>
  <si>
    <t>{"id":1317523536,"waterlevel_datetime":"2026-10-03 12:00","waterlevel_m":null,"waterlevel_msl":"50.55","waterlevel_msl_previous":"50.56","flow_rate":null,"discharge":"1.75","storage_percent":"14.01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1095876,"tele_station_name":{"th":"บ้านเขาปู่"},"tele_station_lat":7.70724,"tele_station_long":99.841743,"tele_station_oldcode":"X.276","tele_station_type":"tele_waterlevel","left_bank":57.02,"right_bank":57.017,"min_bank":53.9,"ground_level":50.004,"offset":0,"sub_basin_id":329,"agency_id":12,"geocode_id":8113,"hydro_id":8,"qmax":61,"is_key_station":true,"warning_level_m":null,"critical_level_m":null,"critical_level_msl":null},"geocode":{"area_code":"5","area_name":{"th":"ภาคใต้","en":"South"},"amphoe_code":"07","amphoe_name":{"th":"ศรีบรรพต","en":"Si Banphot District"},"tumbon_code":"02","tumbon_name":{"th":"เขาปู่","en":"Khao Pu"},"province_code":"93","province_name":{"th":"พัทลุง","en":"Phatthalung"}},"diff_wl_bank":"3.35","diff_wl_bank_text":"ต่ำกว่าตลิ่ง (ม.)","river_gid":224081,"river_name":"คลองใหญ่"}</t>
  </si>
  <si>
    <t>THAIWATER_WL:1161514</t>
  </si>
  <si>
    <t>X.207A</t>
  </si>
  <si>
    <t>บ้านน้ำจืด</t>
  </si>
  <si>
    <t>คลองทรายปู</t>
  </si>
  <si>
    <t>{"id":1317539120,"waterlevel_datetime":"2026-10-03 12:00","waterlevel_m":null,"waterlevel_msl":"0.43","waterlevel_msl_previous":"0.44","flow_rate":null,"discharge":null,"storage_percent":"13.87","sort_order":null,"station_type":"tele_waterlevel","situation_level":2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1161514,"tele_station_name":{"th":"บ้านน้ำจืด"},"tele_station_lat":10.40327,"tele_station_long":98.776932,"tele_station_oldcode":"X.207A","tele_station_type":"tele_waterlevel","left_bank":3.6,"right_bank":3.6,"min_bank":3.1,"ground_level":0,"offset":null,"sub_basin_id":341,"agency_id":12,"geocode_id":7683,"hydro_id":8,"qmax":null,"is_key_station":false,"warning_level_m":null,"critical_level_m":null,"critical_level_msl":null},"geocode":{"area_code":"5","area_name":{"th":"ภาคใต้","en":"South"},"amphoe_code":"04","amphoe_name":{"th":"กระบุรี","en":"Kra Buri District"},"tumbon_code":"01","tumbon_name":{"th":"น้ำจืด","en":"Nam Chuet"},"province_code":"85","province_name":{"th":"ระนอง","en":"Ranong"}},"diff_wl_bank":"2.67","diff_wl_bank_text":"ต่ำกว่าตลิ่ง (ม.)","river_gid":213377,"river_name":"คลองทรายปู"}</t>
  </si>
  <si>
    <t>THAIWATER_WL:3113</t>
  </si>
  <si>
    <t>Y.21</t>
  </si>
  <si>
    <t>ห้วยแม่สิน</t>
  </si>
  <si>
    <t>{"id":1317572364,"waterlevel_datetime":"2026-10-03 14:00","waterlevel_m":null,"waterlevel_msl":"115.05","waterlevel_msl_previous":"115.05","flow_rate":null,"discharge":"1.92","storage_percent":"13.71","sort_order":null,"station_type":"tele_waterlevel","situation_level":2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3113,"tele_station_name":{"th":"ห้วยแม่สิน"},"tele_station_lat":17.792339,"tele_station_long":99.787033,"tele_station_oldcode":"Y.21","tele_station_type":"tele_waterlevel","left_bank":235.82799899999998,"right_bank":236.208999,"min_bank":121.38,"ground_level":114.044,"offset":114.459999,"sub_basin_id":208,"agency_id":12,"geocode_id":6083,"hydro_id":2,"qmax":318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District"},"tumbon_code":"04","tumbon_name":{"th":"แม่สิน","en":"Mae Sin"},"province_code":"64","province_name":{"th":"สุโขทัย","en":"Sukhothai"}},"diff_wl_bank":"6.33","diff_wl_bank_text":"ต่ำกว่าตลิ่ง (ม.)","river_gid":76234,"river_name":"ห้วยแม่สิน"}</t>
  </si>
  <si>
    <t>THAIWATER_WL:685637</t>
  </si>
  <si>
    <t>MOU032</t>
  </si>
  <si>
    <t>สะพานน้ำกอน บ้านพญาแก้ว</t>
  </si>
  <si>
    <t>น้ำกอน</t>
  </si>
  <si>
    <t>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</t>
  </si>
  <si>
    <t>{"id":1317594058,"waterlevel_datetime":"2026-10-03 15:10","waterlevel_m":null,"waterlevel_msl":"266.17","waterlevel_msl_previous":"266.17","flow_rate":null,"discharge":null,"storage_percent":"13.37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Basin"}},"station":{"id":685637,"tele_station_name":{"en":"Nam Kon (Ban Phaya Kaeo) Bridge","th":"สะพานน้ำกอน บ้านพญาแก้ว"},"tele_station_lat":19.286142,"tele_station_long":100.90128,"tele_station_oldcode":"MOU032","tele_station_type":"tele_waterlevel","left_bank":268.327,"right_bank":269.152,"min_bank":268.33,"ground_level":265.837,"offset":null,"sub_basin_id":216,"sponsor_by":"บริษัท แอดวานซ์ อินโฟร์ เซอร์วิส จำกัด (มหาชน)","agency_id":91,"geocode_id":5342,"hydro_id":null,"qmax":null,"is_key_station":false,"warning_level_m":null,"critical_level_m":null,"critical_level_msl":null},"geocode":{"area_code":"3","area_name":{"th":"ภาคเหนือ","en":"North"},"amphoe_code":"09","amphoe_name":{"th":"เชียงกลาง","en":"Chiang Klang District"},"tumbon_code":"08","tumbon_name":{"th":"พญาแก้ว","en":"Phaya Kaeo"},"province_code":"55","province_name":{"th":"น่าน","en":"Nan"}},"diff_wl_bank":"2.16","diff_wl_bank_text":"ต่ำกว่าตลิ่ง (ม.)","river_gid":19274,"river_name":"น้ำกอน"}</t>
  </si>
  <si>
    <t>THAIWATER_WL:3237</t>
  </si>
  <si>
    <t>P.80</t>
  </si>
  <si>
    <t>บ้านโป่งดิน</t>
  </si>
  <si>
    <t>ห้วยแม่วะ</t>
  </si>
  <si>
    <t>{"id":1317452586,"waterlevel_datetime":"2026-10-03 09:00","waterlevel_m":null,"waterlevel_msl":"455.52","waterlevel_msl_previous":"455.52","flow_rate":null,"discharge":"0.74","storage_percent":"12.85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3237,"tele_station_name":{"th":"บ้านโป่งดิน"},"tele_station_lat":18.916401,"tele_station_long":99.235817,"tele_station_oldcode":"P.80","tele_station_type":"tele_waterlevel","left_bank":916.9000060000001,"right_bank":916.8810060000001,"min_bank":458.6,"ground_level":455.066,"offset":455.100006,"sub_basin_id":163,"agency_id":12,"geocode_id":4747,"hydro_id":1,"qmax":111,"is_key_station":false,"warning_level_m":null,"critical_level_m":null,"critical_level_msl":null},"geocode":{"area_code":"3","area_name":{"th":"ภาคเหนือ","en":"North"},"amphoe_code":"05","amphoe_name":{"th":"ดอยสะเก็ด","en":"Doi Saket District"},"tumbon_code":"13","tumbon_name":{"th":"ป่าเมี่ยง","en":"Pa Miang"},"province_code":"50","province_name":{"th":"เชียงใหม่","en":"Chiang Mai"}},"diff_wl_bank":"3.08","diff_wl_bank_text":"ต่ำกว่าตลิ่ง (ม.)","river_gid":33198,"river_name":"ห้วยแม่วะ"}</t>
  </si>
  <si>
    <t>THAIWATER_WL:1109533</t>
  </si>
  <si>
    <t>ONE044</t>
  </si>
  <si>
    <t>สะพานข้ามคลองไชยา</t>
  </si>
  <si>
    <t>คลองไชยา</t>
  </si>
  <si>
    <t>{"id":1317594493,"waterlevel_datetime":"2026-10-03 15:10","waterlevel_m":null,"waterlevel_msl":"6.84","waterlevel_msl_previous":"6.84","flow_rate":null,"discharge":null,"storage_percent":"12.74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Basin"}},"station":{"id":1109533,"tele_station_name":{"en":"Khlong Chaiya Bridge","th":"สะพานข้ามคลองไชยา"},"tele_station_lat":9.398603,"tele_station_long":99.16833,"tele_station_oldcode":"ONE044","tele_station_type":"tele_waterlevel","left_bank":10.97,"right_bank":11.222,"min_bank":10.97,"ground_level":6.237,"offset":null,"sub_basin_id":313,"agency_id":9,"geocode_id":7554,"hydro_id":null,"qmax":null,"is_key_station":false,"warning_level_m":null,"critical_level_m":null,"critical_level_msl":null},"geocode":{"area_code":"5","area_name":{"th":"ภาคใต้","en":"South"},"amphoe_code":"06","amphoe_name":{"th":"ไชยา","en":"Chaiya District"},"tumbon_code":"04","tumbon_name":{"th":"เวียง","en":"Wiang"},"province_code":"84","province_name":{"th":"สุราษฎร์ธานี","en":"Surat Thani"}},"diff_wl_bank":"4.13","diff_wl_bank_text":"ต่ำกว่าตลิ่ง (ม.)","river_gid":215221,"river_name":"คลองไชยา"}</t>
  </si>
  <si>
    <t>THAIWATER_WL:562800</t>
  </si>
  <si>
    <t>BLGTD02</t>
  </si>
  <si>
    <t>สะพานหัวสะพาน อ.บันนังสตา จ.ยะลา</t>
  </si>
  <si>
    <t>{"id":1317592532,"waterlevel_datetime":"2026-10-03 15:00","waterlevel_m":null,"waterlevel_msl":"35.17","waterlevel_msl_previous":"35.19","flow_rate":null,"discharge":null,"storage_percent":"12.74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Basin"}},"station":{"id":562800,"tele_station_name":{"th":"สะพานหัวสะพาน อ.บันนังสตา จ.ยะลา"},"tele_station_lat":6.262132,"tele_station_long":101.268237,"tele_station_oldcode":"BLGTD02","tele_station_type":"tele_waterlevel","left_bank":40.71,"right_bank":40.3,"min_bank":40.3,"ground_level":34.421,"offset":null,"sub_basin_id":336,"agency_id":8,"geocode_id":8287,"hydro_id":null,"qmax":null,"is_key_station":false,"warning_level_m":null,"critical_level_m":null,"critical_level_msl":40.3},"geocode":{"area_code":"5","area_name":{"th":"ภาคใต้","en":"South"},"amphoe_code":"03","amphoe_name":{"th":"บันนังสตา","en":"Bannang Sata District"},"tumbon_code":"02","tumbon_name":{"th":"บาเจาะ","en":"Bacho"},"province_code":"95","province_name":{"th":"ยะลา","en":"Yala"}},"diff_wl_bank":"5.13","diff_wl_bank_text":"ต่ำกว่าตลิ่ง (ม.)","river_gid":231106,"river_name":"แม่น้ำปัตตานี"}</t>
  </si>
  <si>
    <t>THAIWATER_WL:11648469</t>
  </si>
  <si>
    <t>UDN002</t>
  </si>
  <si>
    <t>คลองน้ำงาว</t>
  </si>
  <si>
    <t>{"id":1317594678,"waterlevel_datetime":"2026-10-03 15:10","waterlevel_m":null,"waterlevel_msl":"170.54","waterlevel_msl_previous":"170.54","flow_rate":null,"discharge":null,"storage_percent":"12.20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Basin"}},"station":{"id":11648469,"tele_station_name":{"en":"Khlong Nam Ngao","th":"คลองน้ำงาว"},"tele_station_lat":17.69902,"tele_station_long":102.4467,"tele_station_oldcode":"UDN002","tele_station_type":"tele_waterlevel","left_bank":174.051,"right_bank":174.322,"min_bank":174.05,"ground_level":170.052,"offset":null,"sub_basin_id":52,"agency_id":9,"geocode_id":3586,"hydro_id":null,"qmax":null,"is_key_station":false,"warning_level_m":null,"critical_level_m":null,"critical_level_msl":null},"geocode":{"area_code":"4","area_name":{"th":"ภาคตะวันออกเฉียงเหนือ","en":"Northeast"},"amphoe_code":"19","amphoe_name":{"th":"เพ็ญ","en":"Phen District"},"tumbon_code":"08","tumbon_name":{"th":"จอมศรี","en":"Chom Si"},"province_code":"41","province_name":{"th":"อุดรธานี","en":"Udon Thani"}},"diff_wl_bank":"3.51","diff_wl_bank_text":"ต่ำกว่าตลิ่ง (ม.)"}</t>
  </si>
  <si>
    <t>THAIWATER_WL:3269</t>
  </si>
  <si>
    <t>P.56A</t>
  </si>
  <si>
    <t>บ้านสหกรณ์ร่มเกล้า</t>
  </si>
  <si>
    <t>บางซื่อ กรุงเทพมหานคร ประเทศไทย</t>
  </si>
  <si>
    <t>น้ำแม่งัด</t>
  </si>
  <si>
    <t>ChIJX5dpCoGb4jARUE_iXbIAAQM</t>
  </si>
  <si>
    <t>057ef1e1-7837-f250-3c3e-3636b741f981</t>
  </si>
  <si>
    <t>โรงเรียนวัดบางโพโอมาวาส</t>
  </si>
  <si>
    <t>{"id":1317388146,"waterlevel_datetime":"2026-10-03 06:00","waterlevel_m":null,"waterlevel_msl":"409.11","waterlevel_msl_previous":"409.10","flow_rate":null,"discharge":"2.91","storage_percent":"12.16","sort_order":null,"station_type":"tele_waterlevel","situation_level":2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3269,"tele_station_name":{"th":"บ้านสหกรณ์ร่มเกล้า"},"tele_station_lat":19.284189,"tele_station_long":99.186943,"tele_station_oldcode":"P.56A","tele_station_type":"tele_waterlevel","left_bank":824.0999879999999,"right_bank":824.159988,"min_bank":413.3,"ground_level":408.53,"offset":408.299988,"sub_basin_id":157,"agency_id":12,"geocode_id":4807,"hydro_id":1,"qmax":217.75,"is_key_station":false,"warning_level_m":null,"critical_level_m":null,"critical_level_msl":null},"geocode":{"area_code":"3","area_name":{"th":"ภาคเหนือ","en":"North"},"amphoe_code":"11","amphoe_name":{"th":"พร้าว","en":"Phrao District"},"tumbon_code":"09","tumbon_name":{"th":"แม่แวน","en":"Mae Waen"},"province_code":"50","province_name":{"th":"เชียงใหม่","en":"Chiang Mai"}},"diff_wl_bank":"4.19","diff_wl_bank_text":"ต่ำกว่าตลิ่ง (ม.)","river_gid":19702,"river_name":"น้ำแม่งัด"}</t>
  </si>
  <si>
    <t>{"id":"057ef1e1-7837-f250-3c3e-3636b741f981","district":"บางซื่อ","category":"ศูนย์พักพิงชั่วคราว","name":"โรงเรียนวัดบางโพโอมาวาส","capacity":50,"occupied":0,"available":50,"unitType":"คน","status":"เปิดให้บริการ/ว่าง","routeDetails":"","link":null,"additionalDetails":"898328837","createdAt":"2026-09-26T07:50:07.000Z","updatedAt":"2026-09-26T07:50:07.000Z"}</t>
  </si>
  <si>
    <t>THAIWATER_WL:2869</t>
  </si>
  <si>
    <t>N.54</t>
  </si>
  <si>
    <t>บ้านวังโป่ง</t>
  </si>
  <si>
    <t>คลองวังโปง</t>
  </si>
  <si>
    <t>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</t>
  </si>
  <si>
    <t>{"id":1317572386,"waterlevel_datetime":"2026-10-03 14:00","waterlevel_m":null,"waterlevel_msl":"104.20","waterlevel_msl_previous":"104.20","flow_rate":null,"discharge":"0.45","storage_percent":"12.09","sort_order":null,"station_type":"tele_waterlevel","situation_level":2,"agency":{"id":12,"agency_name":{"th":"กรมชลประทาน ","en":"Royal Irrigation Department","jp":""},"agency_shortname":{"th":"ชป.","en":"RID","jp":""}},"basin":{"id":9,"basin_code":9,"basin_name":{"th":"ลุ่มน้ำน่าน","en":"Nan Basin"}},"station":{"id":2869,"tele_station_name":{"th":"บ้านวังโป่ง"},"tele_station_lat":16.327471,"tele_station_long":100.801727,"tele_station_oldcode":"N.54","tele_station_type":"tele_waterlevel","left_bank":214.255998,"right_bank":214.49699800000002,"min_bank":109.43,"ground_level":103.481,"offset":104.349998,"sub_basin_id":238,"agency_id":12,"geocode_id":6454,"hydro_id":2,"qmax":300,"is_key_station":false,"warning_level_m":null,"critical_level_m":null,"critical_level_msl":null},"geocode":{"area_code":"3","area_name":{"th":"ภาคเหนือ","en":"North"},"amphoe_code":"10","amphoe_name":{"th":"วังโป่ง","en":"Wang Pong District"},"tumbon_code":"01","tumbon_name":{"th":"วังโป่ง","en":"Wang Pong"},"province_code":"67","province_name":{"th":"เพชรบูรณ์","en":"Phetchabun"}},"diff_wl_bank":"5.23","diff_wl_bank_text":"ต่ำกว่าตลิ่ง (ม.)","river_gid":98100,"river_name":"คลองวังโปง"}</t>
  </si>
  <si>
    <t>THAIWATER_WL:1035512</t>
  </si>
  <si>
    <t>M.183B</t>
  </si>
  <si>
    <t>บ้านคลองหินลับ</t>
  </si>
  <si>
    <t>ห้วยหินลับ</t>
  </si>
  <si>
    <t>{"id":1317571347,"waterlevel_datetime":"2026-10-03 14:00","waterlevel_m":null,"waterlevel_msl":"295.71","waterlevel_msl_previous":"295.74","flow_rate":null,"discharge":"1.93","storage_percent":"12.03","sort_order":null,"station_type":"tele_waterlevel","situation_level":2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1035512,"tele_station_name":{"th":"บ้านคลองหินลับ"},"tele_station_lat":14.72852,"tele_station_long":101.564293,"tele_station_oldcode":"M.183B","tele_station_type":"tele_waterlevel","left_bank":300.899994,"right_bank":300.899994,"min_bank":300.9,"ground_level":295,"offset":294.899994,"sub_basin_id":108,"agency_id":12,"geocode_id":1925,"hydro_id":4,"qmax":96,"is_key_station":false,"warning_level_m":null,"critical_level_m":null,"critical_level_msl":null},"geocode":{"area_code":"4","area_name":{"th":"ภาคตะวันออกเฉียงเหนือ","en":"Northeast"},"amphoe_code":"21","amphoe_name":{"th":"ปากช่อง","en":"Pak Chong District"},"tumbon_code":"11","tumbon_name":{"th":"วังไทร","en":"Wang Sai"},"province_code":"30","province_name":{"th":"นครราชสีมา","en":"Nakhon Ratchasima"}},"diff_wl_bank":"5.19","diff_wl_bank_text":"ต่ำกว่าตลิ่ง (ม.)","river_gid":151683,"river_name":"ห้วยหินลับ"}</t>
  </si>
  <si>
    <t>THAIWATER_WL:1113290</t>
  </si>
  <si>
    <t>SKU02</t>
  </si>
  <si>
    <t>อ.ท่าวังผา (N.64)</t>
  </si>
  <si>
    <t>{"id":1317593024,"waterlevel_datetime":"2026-10-03 15:00","waterlevel_m":null,"waterlevel_msl":"212.36","waterlevel_msl_previous":"212.35","flow_rate":null,"discharge":null,"storage_percent":"11.81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Thailand","jp":""},"agency_shortname":{"th":"กฟผ.","en":"EGAT","jp":""}},"basin":{"id":9,"basin_code":9,"basin_name":{"th":"ลุ่มน้ำน่าน","en":"Nan Basin"}},"station":{"id":1113290,"tele_station_name":{"th":"อ.ท่าวังผา (N.64)"},"tele_station_lat":19.015332,"tele_station_long":100.780161,"tele_station_oldcode":"SKU02","tele_station_type":"tele_waterlevel","left_bank":226.435,"right_bank":224.105,"min_bank":224.11,"ground_level":210.782,"offset":null,"sub_basin_id":218,"agency_id":8,"geocode_id":5261,"hydro_id":null,"qmax":null,"is_key_station":false,"warning_level_m":null,"critical_level_m":null,"critical_level_msl":220.4},"geocode":{"area_code":"3","area_name":{"th":"ภาคเหนือ","en":"North"},"amphoe_code":"01","amphoe_name":{"th":"เมืองน่าน","en":"Mueang Nan District"},"tumbon_code":"02","tumbon_name":{"th":"บ่อ","en":"Bo"},"province_code":"55","province_name":{"th":"น่าน","en":"Nan"}},"diff_wl_bank":"11.75","diff_wl_bank_text":"ต่ำกว่าตลิ่ง (ม.)","river_gid":28260,"river_name":"แม่น้ำน่าน"}</t>
  </si>
  <si>
    <t>THAIWATER_WL:1422371</t>
  </si>
  <si>
    <t>RPBD11</t>
  </si>
  <si>
    <t>สะพานอิปัน อ.พระแสง (X.37A)</t>
  </si>
  <si>
    <t>{"id":1317591822,"waterlevel_datetime":"2026-10-03 15:00","waterlevel_m":null,"waterlevel_msl":"3.98","waterlevel_msl_previous":"3.98","flow_rate":null,"discharge":null,"storage_percent":"11.55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Thailand","jp":""},"agency_shortname":{"th":"กฟผ.","en":"EGAT","jp":""}},"basin":{"id":22,"basin_code":19,"basin_name":{"th":"ลุ่มน้ำภาคใต้ฝั่งตะวันออกตอนบน","en":"Peninsula - Upper East Coast Basin"}},"station":{"id":1422371,"tele_station_name":{"th":"สะพานอิปัน อ.พระแสง (X.37A)"},"tele_station_lat":8.57104,"tele_station_long":99.25391,"tele_station_oldcode":"RPBD11","tele_station_type":"tele_waterlevel","left_bank":12.427,"right_bank":12.591,"min_bank":12.43,"ground_level":2.871,"offset":null,"sub_basin_id":323,"agency_id":8,"geocode_id":7622,"hydro_id":null,"qmax":null,"is_key_station":false,"warning_level_m":null,"critical_level_m":null,"critical_level_msl":11.7},"geocode":{"area_code":"5","area_name":{"th":"ภาคใต้","en":"South"},"amphoe_code":"15","amphoe_name":{"th":"เวียงสระ","en":"Wiang Sa District"},"tumbon_code":"04","tumbon_name":{"th":"ทุ่งหลวง","en":"Thung Luang"},"province_code":"84","province_name":{"th":"สุราษฎร์ธานี","en":"Surat Thani"}},"diff_wl_bank":"8.45","diff_wl_bank_text":"ต่ำกว่าตลิ่ง (ม.)"}</t>
  </si>
  <si>
    <t>THAIWATER_WL:558654</t>
  </si>
  <si>
    <t>URCD02</t>
  </si>
  <si>
    <t xml:space="preserve">น้ำพรม บ้านกุดเลาะ    </t>
  </si>
  <si>
    <t>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</t>
  </si>
  <si>
    <t>{"id":1317581227,"waterlevel_datetime":"2026-10-03 14:00","waterlevel_m":null,"waterlevel_msl":"228.14","waterlevel_msl_previous":"228.14","flow_rate":null,"discharge":null,"storage_percent":"11.55","sort_order":null,"station_type":"tele_waterlevel","situation_level":2,"agency":{"id":8,"agency_name":{"th":"การไฟฟ้าฝ่ายผลิตแห่งประเทศไทย","en":"Electricity Generating Authority of Thailand","jp":""},"agency_shortname":{"th":"กฟผ.","en":"EGAT","jp":""}},"basin":{"id":4,"basin_code":4,"basin_name":{"th":"ลุ่มน้ำชี","en":"Chi Basin Basin"}},"station":{"id":558654,"tele_station_name":{"th":"น้ำพรม บ้านกุดเลาะ    ","en":"Ban Kut Lo"},"tele_station_lat":16.293755,"tele_station_long":101.904798,"tele_station_oldcode":"URCD02","tele_station_type":"tele_waterlevel","left_bank":233.75,"right_bank":234.49,"min_bank":233.75,"ground_level":227.41,"offset":null,"sub_basin_id":89,"agency_id":8,"geocode_id":2985,"hydro_id":null,"qmax":null,"is_key_station":false,"warning_level_m":null,"critical_level_m":null,"critical_level_msl":null},"geocode":{"area_code":"4","area_name":{"th":"ภาคตะวันออกเฉียงเหนือ","en":"Northeast"},"amphoe_code":"04","amphoe_name":{"th":"เกษตรสมบูรณ์","en":"Kaset Sombun District"},"tumbon_code":"01","tumbon_name":{"th":"บ้านยาง","en":"Ban Yang"},"province_code":"36","province_name":{"th":"ชัยภูมิ","en":"Chaiyaphum"}},"diff_wl_bank":"5.61","diff_wl_bank_text":"ต่ำกว่าตลิ่ง (ม.)","river_gid":132477,"river_name":"น้ำพรม"}</t>
  </si>
  <si>
    <t>THAIWATER_WL:1109498</t>
  </si>
  <si>
    <t>ONE009</t>
  </si>
  <si>
    <t>ปตร. ห้วยแคน-ท้ายน้ำ</t>
  </si>
  <si>
    <t>{"id":1317594465,"waterlevel_datetime":"2026-10-03 15:10","waterlevel_m":null,"waterlevel_msl":"133.45","waterlevel_msl_previous":"133.45","flow_rate":null,"discharge":null,"storage_percent":"11.54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Basin"}},"station":{"id":1109498,"tele_station_name":{"en":"Huai Kean Gate","th":"ปตร. ห้วยแคน-ท้ายน้ำ"},"tele_station_lat":16.927904,"tele_station_long":104.72032,"tele_station_oldcode":"ONE009","tele_station_type":"tele_waterlevel","left_bank":138.722,"right_bank":139.222,"min_bank":138.72,"ground_level":132.762,"offset":null,"sub_basin_id":70,"agency_id":9,"geocode_id":4561,"hydro_id":null,"qmax":null,"is_key_station":false,"warning_level_m":null,"critical_level_m":null,"critical_level_msl":null},"geocode":{"area_code":"4","area_name":{"th":"ภาคตะวันออกเฉียงเหนือ","en":"Northeast"},"amphoe_code":"05","amphoe_name":{"th":"ธาตุพนม","en":"That Phanom District"},"tumbon_code":"01","tumbon_name":{"th":"ธาตุพนม","en":"That Phanom"},"province_code":"48","province_name":{"th":"นครพนม","en":"Nakhon Phanom"}},"diff_wl_bank":"5.27","diff_wl_bank_text":"ต่ำกว่าตลิ่ง (ม.)","river_gid":124439,"river_name":"ห้วยแคน"}</t>
  </si>
  <si>
    <t>THAIWATER_WL:726680</t>
  </si>
  <si>
    <t>X.240</t>
  </si>
  <si>
    <t>บ้านหูแร่</t>
  </si>
  <si>
    <t>คลองวาด</t>
  </si>
  <si>
    <t>{"id":1317523562,"waterlevel_datetime":"2026-10-03 12:00","waterlevel_m":null,"waterlevel_msl":"17.57","waterlevel_msl_previous":"17.57","flow_rate":null,"discharge":"0.68","storage_percent":"11.25","sort_order":null,"station_type":"tele_waterlevel","situation_level":2,"agency":{"id":12,"agency_name":{"th":"กรมชลประทาน ","en":"Royal Irrigation Department","jp":""},"agency_shortname":{"th":"ชป.","en":"RID","jp":""}},"basin":{"id":24,"basin_code":20,"basin_name":{"th":"ลุ่มน้ำทะเลสาบสงขลา","en":"Thale Sap Songkhla Basin"}},"station":{"id":726680,"tele_station_name":{"th":"บ้านหูแร่"},"tele_station_lat":6.98306,"tele_station_long":100.328331,"tele_station_oldcode":"X.240","tele_station_type":"tele_waterlevel","left_bank":25.099,"right_bank":25.076,"min_bank":23.1,"ground_level":16.869,"offset":null,"sub_basin_id":330,"agency_id":12,"geocode_id":7879,"hydro_id":8,"qmax":84.5,"is_key_station":false,"warning_level_m":null,"critical_level_m":null,"critical_level_msl":null},"geocode":{"area_code":"5","area_name":{"th":"ภาคใต้","en":"South"},"amphoe_code":"11","amphoe_name":{"th":"หาดใหญ่","en":"Hat Yai District"},"tumbon_code":"12","tumbon_name":{"th":"ทุ่งตำเสา","en":"Thung Tam Sao"},"province_code":"90","province_name":{"th":"สงขลา","en":"Songkhla"}},"diff_wl_bank":"5.53","diff_wl_bank_text":"ต่ำกว่าตลิ่ง (ม.)","river_gid":227441,"river_name":"คลองวาด"}</t>
  </si>
  <si>
    <t>THAIWATER_WL:1109530</t>
  </si>
  <si>
    <t>ONE041</t>
  </si>
  <si>
    <t>สะพานข้ามแม่น้ำยมสายเก่า-วัดปากน้ำ</t>
  </si>
  <si>
    <t>คลองแม่น้ำเก่า</t>
  </si>
  <si>
    <t>{"id":1317594491,"waterlevel_datetime":"2026-10-03 15:10","waterlevel_m":null,"waterlevel_msl":"53.00","waterlevel_msl_previous":"53.00","flow_rate":null,"discharge":null,"storage_percent":"10.89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Basin"}},"station":{"id":1109530,"tele_station_name":{"en":"Yom Sai Kao - Wat Paknam Bridge","th":"สะพานข้ามแม่น้ำยมสายเก่า-วัดปากน้ำ"},"tele_station_lat":17.219545,"tele_station_long":99.8896,"tele_station_oldcode":"ONE041","tele_station_type":"tele_waterlevel","left_bank":55.453,"right_bank":55.316,"min_bank":55.32,"ground_level":52.717,"offset":null,"sub_basin_id":209,"agency_id":9,"geocode_id":6116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District"},"tumbon_code":"11","tumbon_name":{"th":"ปากน้ำ","en":"Pak Nam"},"province_code":"64","province_name":{"th":"สุโขทัย","en":"Sukhothai"}},"diff_wl_bank":"2.32","diff_wl_bank_text":"ต่ำกว่าตลิ่ง (ม.)","river_gid":86270,"river_name":"คลองแม่น้ำเก่า"}</t>
  </si>
  <si>
    <t>101 ถ. ประชาราษฎร์สาย1 แขวงบางซื่อ บางซื่อ กรุงเทพมหานคร 10800 ประเทศไทย</t>
  </si>
  <si>
    <t>THAIWATER_WL:1101568</t>
  </si>
  <si>
    <t>ChIJQdeOU5qb4jARZNQ-WReBxgc</t>
  </si>
  <si>
    <t>FOP057</t>
  </si>
  <si>
    <t>บ้านประดู่</t>
  </si>
  <si>
    <t>23707524-79a4-8878-c056-8879498da0ee</t>
  </si>
  <si>
    <t>โรงเรียนวัดประดู่ธรรมประชาธิปัตย์</t>
  </si>
  <si>
    <t>{"id":"23707524-79a4-8878-c056-8879498da0ee","district":"บางซื่อ","category":"ศูนย์พักพิงชั่วคราว","name":"โรงเรียนวัดประดู่ธรรมประชาธิปัตย์","capacity":50,"occupied":0,"available":50,"unitType":"คน","status":"เปิดให้บริการ/ว่าง","routeDetails":"","link":null,"additionalDetails":null,"createdAt":"2026-09-26T07:50:07.000Z","updatedAt":"2026-09-26T07:50:07.000Z"}</t>
  </si>
  <si>
    <t>{"id":1317594045,"waterlevel_datetime":"2026-10-03 15:10","waterlevel_m":null,"waterlevel_msl":"66.91","waterlevel_msl_previous":"66.92","flow_rate":null,"discharge":null,"storage_percent":"10.59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Foundation","jp":""},"agency_shortname":{"th":"พพภ","en":"FOP","jp":""}},"basin":{"id":27,"basin_code":22,"basin_name":{"th":"ลุ่มน้ำภาคใต้ฝั่งตะวันตก","en":"Peninsula - West Coast Basin"}},"station":{"id":1101568,"tele_station_name":{"en":"Ban Pradu","th":"บ้านประดู่"},"tele_station_lat":8.212035,"tele_station_long":99.703316,"tele_station_oldcode":"FOP057","tele_station_type":"tele_waterlevel","left_bank":70.406,"right_bank":70.406,"min_bank":70.41,"ground_level":66.496,"offset":null,"sub_basin_id":349,"sponsor_by":"มูลนิธิอาสาเพื่อนพึ่ง (ภาฯ) ยามยาก สภากาชาดไทย","agency_id":91,"geocode_id":7259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District"},"tumbon_code":"06","tumbon_name":{"th":"นาหลวงเสน","en":"Na Luang Sen"},"province_code":"80","province_name":{"th":"นครศรีธรรมราช","en":"Nakhon Si Thammarat"}},"diff_wl_bank":"3.50","diff_wl_bank_text":"ต่ำกว่าตลิ่ง (ม.)","river_gid":221724,"river_name":"คลองท่าเลา"}</t>
  </si>
  <si>
    <t>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</t>
  </si>
  <si>
    <t>THAIWATER_WL:740727</t>
  </si>
  <si>
    <t>FOP026</t>
  </si>
  <si>
    <t>สะพานคลองพาย</t>
  </si>
  <si>
    <t>ห้วยแวัะ</t>
  </si>
  <si>
    <t>{"id":1317594031,"waterlevel_datetime":"2026-10-03 15:10","waterlevel_m":null,"waterlevel_msl":"77.88","waterlevel_msl_previous":"77.88","flow_rate":null,"discharge":null,"storage_percent":"10.27","sort_order":null,"station_type":"tele_waterlevel","situation_level":2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Basin"}},"station":{"id":740727,"tele_station_name":{"en":"Khlong Phai Bridge","th":"สะพานคลองพาย"},"tele_station_lat":9.155624,"tele_station_long":98.895035,"tele_station_oldcode":"FOP026","tele_station_type":"tele_waterlevel","left_bank":82.2438,"right_bank":81.2538,"min_bank":81.25,"ground_level":77.4938,"offset":null,"sub_basin_id":316,"sponsor_by":"มูลนิธิอาสาเพื่อนพึ่ง (ภาฯ) ยามยาก สภากาชาดไทย","agency_id":91,"geocode_id":7570,"hydro_id":null,"qmax":null,"is_key_station":false,"warning_level_m":null,"critical_level_m":null,"critical_level_msl":null},"geocode":{"area_code":"5","area_name":{"th":"ภาคใต้","en":"South"},"amphoe_code":"08","amphoe_name":{"th":"คีรีรัฐนิคม","en":"Khiri Rat Nikhom District"},"tumbon_code":"03","tumbon_name":{"th":"น้ำหัก","en":"Nam Hak"},"province_code":"84","province_name":{"th":"สุราษฎร์ธานี","en":"Surat Thani"}},"diff_wl_bank":"3.37","diff_wl_bank_text":"ต่ำกว่าตลิ่ง (ม.)","river_gid":215974,"river_name":"ห้วยแวัะ"}</t>
  </si>
  <si>
    <t>THAIWATER_WL:1109519</t>
  </si>
  <si>
    <t>ONE030</t>
  </si>
  <si>
    <t>สะพานข้ามคลองเดียก</t>
  </si>
  <si>
    <t>ห้วยเดียก</t>
  </si>
  <si>
    <t>{"id":1317594483,"waterlevel_datetime":"2026-10-03 15:10","waterlevel_m":null,"waterlevel_msl":"160.85","waterlevel_msl_previous":"160.85","flow_rate":null,"discharge":null,"storage_percent":"10.21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Basin"}},"station":{"id":1109519,"tele_station_name":{"en":"Diak Bridge","th":"สะพานข้ามคลองเดียก"},"tele_station_lat":17.126015,"tele_station_long":104.140945,"tele_station_oldcode":"ONE030","tele_station_type":"tele_waterlevel","left_bank":163.4,"right_bank":164.743,"min_bank":163.4,"ground_level":160.56,"offset":null,"sub_basin_id":69,"agency_id":9,"geocode_id":4385,"hydro_id":null,"qmax":null,"is_key_station":false,"warning_level_m":null,"critical_level_m":null,"critical_level_msl":null},"geocode":{"area_code":"4","area_name":{"th":"ภาคตะวันออกเฉียงเหนือ","en":"Northeast"},"amphoe_code":"01","amphoe_name":{"th":"เมืองสกลนคร","en":"Mueang Sakon Nakhon District"},"tumbon_code":"15","tumbon_name":{"th":"ดงมะไฟ","en":"Dong Mafai"},"province_code":"47","province_name":{"th":"สกลนคร","en":"Sakon Nakhon"}},"diff_wl_bank":"2.55","diff_wl_bank_text":"ต่ำกว่าตลิ่ง (ม.)","river_gid":121895,"river_name":"ห้วยเดียก"}</t>
  </si>
  <si>
    <t>THAIWATER_WL:1109531</t>
  </si>
  <si>
    <t>ONE042</t>
  </si>
  <si>
    <t>สะพานคลองแม่น้ำเก่า</t>
  </si>
  <si>
    <t>{"id":1317594492,"waterlevel_datetime":"2026-10-03 15:10","waterlevel_m":null,"waterlevel_msl":"54.11","waterlevel_msl_previous":"54.11","flow_rate":null,"discharge":null,"storage_percent":"10.01","sort_order":null,"station_type":"tele_waterlevel","situation_level":2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Basin"}},"station":{"id":1109531,"tele_station_name":{"en":"Khlong Nam Kao Bridge","th":"สะพานคลองแม่น้ำเก่า"},"tele_station_lat":17.341522,"tele_station_long":99.85578,"tele_station_oldcode":"ONE042","tele_station_type":"tele_waterlevel","left_bank":61.915,"right_bank":62.123,"min_bank":61.92,"ground_level":53.242,"offset":null,"sub_basin_id":209,"agency_id":9,"geocode_id":6107,"hydro_id":null,"qmax":null,"is_key_station":false,"warning_level_m":null,"critical_level_m":null,"critical_level_msl":null},"geocode":{"area_code":"3","area_name":{"th":"ภาคเหนือ","en":"North"},"amphoe_code":"07","amphoe_name":{"th":"สวรรคโลก","en":"Sawankhalok District"},"tumbon_code":"02","tumbon_name":{"th":"ในเมือง","en":"Nai Mueang"},"province_code":"64","province_name":{"th":"สุโขทัย","en":"Sukhothai"}},"diff_wl_bank":"7.80","diff_wl_bank_text":"ต่ำกว่าตลิ่ง (ม.)","river_gid":84811,"river_name":"คลองแม่น้ำเก่า"}</t>
  </si>
  <si>
    <t>THAIWATER_WL:2924</t>
  </si>
  <si>
    <t>E.22B</t>
  </si>
  <si>
    <t>บ้านท่าเม่า</t>
  </si>
  <si>
    <t>{"id":1317573783,"waterlevel_datetime":"2026-10-03 14:00","waterlevel_m":null,"waterlevel_msl":"151.59","waterlevel_msl_previous":"151.59","flow_rate":null,"discharge":"10.62","storage_percent":"9.71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2924,"tele_station_name":{"th":"บ้านท่าเม่า"},"tele_station_lat":16.65448,"tele_station_long":102.823486,"tele_station_oldcode":"E.22B","tele_station_type":"tele_waterlevel","left_bank":314.520994,"right_bank":314.622994,"min_bank":160.9,"ground_level":150.589,"offset":150.899994,"sub_basin_id":93,"agency_id":12,"geocode_id":3293,"hydro_id":3,"qmax":430,"is_key_station":true,"warning_level_m":null,"critical_level_m":null,"critical_level_msl":null},"geocode":{"area_code":"4","area_name":{"th":"ภาคตะวันออกเฉียงเหนือ","en":"Northeast"},"amphoe_code":"07","amphoe_name":{"th":"น้ำพอง","en":"Nam Phong District"},"tumbon_code":"06","tumbon_name":{"th":"ม่วงหวาน","en":"Muang Wan"},"province_code":"40","province_name":{"th":"ขอนแก่น","en":"Khon Kaen"}},"diff_wl_bank":"9.31","diff_wl_bank_text":"ต่ำกว่าตลิ่ง (ม.)","river_gid":128659,"river_name":"ลำน้ำพอง"}</t>
  </si>
  <si>
    <t>THAIWATER_WL:1121240</t>
  </si>
  <si>
    <t>MOU353</t>
  </si>
  <si>
    <t>สะพานน้ำเงิน</t>
  </si>
  <si>
    <t>น้ำเงิน</t>
  </si>
  <si>
    <t>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</t>
  </si>
  <si>
    <t>{"id":1317594081,"waterlevel_datetime":"2026-10-03 15:10","waterlevel_m":null,"waterlevel_msl":"310.52","waterlevel_msl_previous":"310.52","flow_rate":null,"discharge":null,"storage_percent":"9.27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Basin"}},"station":{"id":1121240,"tele_station_name":{"en":"Namngoen Bridge","th":"สะพานน้ำเงิน"},"tele_station_lat":19.228998,"tele_station_long":100.326294,"tele_station_oldcode":"MOU353","tele_station_type":"tele_waterlevel","left_bank":315.629,"right_bank":314.708,"min_bank":314.71,"ground_level":310.092,"offset":null,"sub_basin_id":197,"sponsor_by":"มูลนิธิอาสาเพื่อนพึ่ง (ภาฯ) ยามยาก สภากาชาดไทย","agency_id":91,"geocode_id":5429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District"},"tumbon_code":"03","tumbon_name":{"th":"ออย","en":"Oi"},"province_code":"56","province_name":{"th":"พะเยา","en":"Phayao"}},"diff_wl_bank":"4.19","diff_wl_bank_text":"ต่ำกว่าตลิ่ง (ม.)","river_gid":21458,"river_name":"น้ำเงิน"}</t>
  </si>
  <si>
    <t>THAIWATER_WL:505056</t>
  </si>
  <si>
    <t>X.5C</t>
  </si>
  <si>
    <t>บ้านท่าข้าม</t>
  </si>
  <si>
    <t>{"id":1317523537,"waterlevel_datetime":"2026-10-03 12:00","waterlevel_m":null,"waterlevel_msl":"0.20","waterlevel_msl_previous":"-0.01","flow_rate":null,"discharge":null,"storage_percent":"8.85","sort_order":null,"station_type":"tele_waterlevel","situation_level":1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505056,"tele_station_name":{"th":"บ้านท่าข้าม"},"tele_station_lat":9.11322,"tele_station_long":99.223679,"tele_station_oldcode":"X.5C","tele_station_type":"tele_waterlevel","left_bank":2.5,"right_bank":2.5,"min_bank":2.26,"ground_level":0,"offset":null,"sub_basin_id":324,"agency_id":12,"geocode_id":7633,"hydro_id":8,"qmax":null,"is_key_station":true,"warning_level_m":null,"critical_level_m":2.5,"critical_level_msl":2.5},"geocode":{"area_code":"5","area_name":{"th":"ภาคใต้","en":"South"},"amphoe_code":"17","amphoe_name":{"th":"พุนพิน","en":"Phunphin District"},"tumbon_code":"01","tumbon_name":{"th":"ท่าข้าม","en":"Tha Kham"},"province_code":"84","province_name":{"th":"สุราษฎร์ธานี","en":"Surat Thani"}},"diff_wl_bank":"2.06","diff_wl_bank_text":"ต่ำกว่าตลิ่ง (ม.)","river_gid":216174,"river_name":"แม่น้ำตาปี"}</t>
  </si>
  <si>
    <t>THAIWATER_WL:795</t>
  </si>
  <si>
    <t>NKO001</t>
  </si>
  <si>
    <t>ทุ่งสง</t>
  </si>
  <si>
    <t>{"id":1317594453,"waterlevel_datetime":"2026-10-03 15:10","waterlevel_m":null,"waterlevel_msl":"50.98","waterlevel_msl_previous":"51.00","flow_rate":null,"discharge":null,"storage_percent":"8.79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Organization)","jp":""},"agency_shortname":{"th":"สสน.","en":"HII","jp":""}},"basin":{"id":27,"basin_code":22,"basin_name":{"th":"ลุ่มน้ำภาคใต้ฝั่งตะวันตก","en":"Peninsula - West Coast Basin"}},"station":{"id":795,"tele_station_name":{"en":"Nakhon Si Thammarat 1","th":"ทุ่งสง"},"tele_station_lat":8.174942,"tele_station_long":99.67887,"tele_station_oldcode":"NKO001","tele_station_type":"tele_waterlevel","left_bank":55.203,"right_bank":55.685,"min_bank":55.2,"ground_level":50.573,"offset":null,"sub_basin_id":349,"agency_id":9,"geocode_id":7254,"hydro_id":null,"qmax":null,"is_key_station":false,"warning_level_m":null,"critical_level_m":null,"critical_level_msl":null},"geocode":{"area_code":"5","area_name":{"th":"ภาคใต้","en":"South"},"amphoe_code":"09","amphoe_name":{"th":"ทุ่งสง","en":"Thung Song District"},"tumbon_code":"01","tumbon_name":{"th":"ปากแพรก","en":"Pak Phraek"},"province_code":"80","province_name":{"th":"นครศรีธรรมราช","en":"Nakhon Si Thammarat"}},"diff_wl_bank":"4.22","diff_wl_bank_text":"ต่ำกว่าตลิ่ง (ม.)","river_gid":221983,"river_name":"คลองท่าเลา"}</t>
  </si>
  <si>
    <t>THAIWATER_WL:1481153</t>
  </si>
  <si>
    <t>MOU359</t>
  </si>
  <si>
    <t>สะพานน้ำแม่สิน</t>
  </si>
  <si>
    <t>{"id":1317594083,"waterlevel_datetime":"2026-10-03 15:10","waterlevel_m":null,"waterlevel_msl":"144.30","waterlevel_msl_previous":"144.30","flow_rate":null,"discharge":null,"storage_percent":"8.28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Basin"}},"station":{"id":1481153,"tele_station_name":{"en":"Mae Sin Nam Bridge","th":"สะพานน้ำแม่สิน"},"tele_station_lat":17.801989,"tele_station_long":99.849495,"tele_station_oldcode":"MOU359","tele_station_type":"tele_waterlevel","left_bank":149.686,"right_bank":152.175,"min_bank":149.69,"ground_level":143.814,"offset":null,"sub_basin_id":208,"sponsor_by":"บริษัท ไทยเบฟเวอเรจ จำกัด (มหาชน) ","agency_id":91,"geocode_id":5247,"hydro_id":null,"qmax":null,"is_key_station":false,"warning_level_m":null,"critical_level_m":null,"critical_level_msl":null},"geocode":{"area_code":"3","area_name":{"th":"ภาคเหนือ","en":"North"},"amphoe_code":"07","amphoe_name":{"th":"วังชิ้น","en":"Wang Chin District"},"tumbon_code":"04","tumbon_name":{"th":"นาพูน","en":"Na Phun"},"province_code":"54","province_name":{"th":"แพร่","en":"Phrae"}},"diff_wl_bank":"5.39","diff_wl_bank_text":"ต่ำกว่าตลิ่ง (ม.)"}</t>
  </si>
  <si>
    <t>THAIWATER_WL:648042</t>
  </si>
  <si>
    <t>MOU027</t>
  </si>
  <si>
    <t>สะพานน้ำยาว บ้านสองแคว</t>
  </si>
  <si>
    <t>104 ประชาราษฎร์ สาย 1 ซอย 7 แขวงบางซื่อ บางซื่อ กรุงเทพมหานคร 10800 ประเทศไทย</t>
  </si>
  <si>
    <t>ChIJQdeOU5qb4jARK0GxXqv0mTE</t>
  </si>
  <si>
    <t>80dfa63d-0cf8-dc73-4de4-71babc5ab8c7</t>
  </si>
  <si>
    <t>ศูนย์พัฒนาเด็กก่อนวัยเรียน ผ่องพลอยอนุสรณ์ (ลิขิต 2)</t>
  </si>
  <si>
    <t>https://maps.app.goo.gl/NbbULJH65LGg27RcA</t>
  </si>
  <si>
    <t>{"id":1317594057,"waterlevel_datetime":"2026-10-03 15:10","waterlevel_m":null,"waterlevel_msl":"279.23","waterlevel_msl_previous":"279.25","flow_rate":null,"discharge":null,"storage_percent":"8.18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Basin"}},"station":{"id":648042,"tele_station_name":{"en":"Ban SongKhwae Bridge","th":"สะพานน้ำยาว บ้านสองแคว"},"tele_station_lat":19.356688,"tele_station_long":100.706436,"tele_station_oldcode":"MOU027","tele_station_type":"tele_waterlevel","left_bank":283.225,"right_bank":286.026,"min_bank":283.23,"ground_level":278.874,"offset":null,"sub_basin_id":217,"sponsor_by":"บริษัท แอดวานซ์ อินโฟร์ เซอร์วิส จำกัด (มหาชน)","agency_id":91,"geocode_id":5359,"hydro_id":null,"qmax":null,"is_key_station":false,"warning_level_m":null,"critical_level_m":null,"critical_level_msl":null},"geocode":{"area_code":"3","area_name":{"th":"ภาคเหนือ","en":"North"},"amphoe_code":"13","amphoe_name":{"th":"สองแคว","en":"Song Khwae District"},"tumbon_code":"01","tumbon_name":{"th":"นาไร่หลวง","en":"Na Rai Luang"},"province_code":"55","province_name":{"th":"น่าน","en":"Nan"}},"diff_wl_bank":"4.00","diff_wl_bank_text":"ต่ำกว่าตลิ่ง (ม.)","river_gid":17008,"river_name":"น้ำยาว"}</t>
  </si>
  <si>
    <t>THAIWATER_WL:849</t>
  </si>
  <si>
    <t>JNA001</t>
  </si>
  <si>
    <t>จะนะ</t>
  </si>
  <si>
    <t>คลองลึก</t>
  </si>
  <si>
    <t>{"id":1317594344,"waterlevel_datetime":"2026-10-03 15:10","waterlevel_m":null,"waterlevel_msl":"2.85","waterlevel_msl_previous":"2.80","flow_rate":null,"discharge":null,"storage_percent":"7.84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Organization)","jp":""},"agency_shortname":{"th":"สสน.","en":"HII","jp":""}},"basin":{"id":24,"basin_code":20,"basin_name":{"th":"ลุ่มน้ำทะเลสาบสงขลา","en":"Thale Sap Songkhla Basin"}},"station":{"id":849,"tele_station_name":{"en":"Chana 1","th":"จะนะ"},"tele_station_lat":6.916742,"tele_station_long":100.72962,"tele_station_oldcode":"JNA001","tele_station_type":"tele_waterlevel","left_bank":4.754,"right_bank":6.351,"min_bank":4.75,"ground_level":2.688,"offset":null,"sub_basin_id":331,"agency_id":9,"geocode_id":7793,"hydro_id":null,"qmax":null,"is_key_station":false,"warning_level_m":null,"critical_level_m":null,"critical_level_msl":null},"geocode":{"area_code":"5","area_name":{"th":"ภาคใต้","en":"South"},"amphoe_code":"03","amphoe_name":{"th":"จะนะ","en":"Chanae District"},"tumbon_code":"01","tumbon_name":{"th":"บ้านนา","en":"Ban Na"},"province_code":"90","province_name":{"th":"สงขลา","en":"Songkhla"}},"diff_wl_bank":"1.90","diff_wl_bank_text":"ต่ำกว่าตลิ่ง (ม.)","river_gid":227767,"river_name":"คลองลึก"}</t>
  </si>
  <si>
    <t>2026-09-26T05:28:31.000Z</t>
  </si>
  <si>
    <t>THAIWATER_WL:1101574</t>
  </si>
  <si>
    <t>FOP063</t>
  </si>
  <si>
    <t>บ้านคลองมุย หมู่ที่ 13</t>
  </si>
  <si>
    <t>คลองมุย</t>
  </si>
  <si>
    <t>{"id":"80dfa63d-0cf8-dc73-4de4-71babc5ab8c7","district":"บางนา","category":"ศูนย์พักพิงชั่วคราว","name":"ศูนย์พัฒนาเด็กก่อนวัยเรียน ผ่องพลอยอนุสรณ์ (ลิขิต 2)","capacity":20,"occupied":7,"available":13,"unitType":"คน","status":"เปิดให้บริการ/ว่าง","routeDetails":"","link":"https://maps.app.goo.gl/NbbULJH65LGg27RcA","additionalDetails":null,"createdAt":"2026-09-26T05:28:31.000Z","updatedAt":"2026-09-26T05:28:31.000Z"}</t>
  </si>
  <si>
    <t>https://www.google.com/maps/place/%E0%B8%97%E0%B8%B5%E0%B9%88%E0%B8%97%E0%B8%B3%E0%B8%81%E0%B8%B2%E0%B8%A3%E0%B8%8A%E0%B8%B8%E0%B8%A1%E0%B8%8A%E0%B8%99%E0%B8%A7%E0%B8%B1%E0%B8%94%E0%B8%9C%E0%B9%88%E0%B8%AD%E0%B8%87%E0%B8%9E%E0%B8%A5%E0%B8%AD%E0%B8%A2%E0%B8%AD%E0%B8%99%E0%B8%B8%E0%B8%AA%E0%B8%A3%E0%B8%93%E0%B9%8C+(%E0%B8%A5%E0%B8%B4%E0%B8%82%E0%B8%B4%E0%B8%95+2)/@13.6547179,100.6317825,17z/data=!4m7!3m6!1s0x311d5f007fde0bd3:0x37f40f5dae160af4!8m2!3d13.6543687!4d100.6336279!15sCpAB4Lio4Li54LiZ4Lii4LmM4Lie4Lix4LiS4LiZ4Liy4LmA4LiU4LmH4LiB4LiB4LmI4Lit4LiZ4Lin4Lix4Lii4LmA4Lij4Li14Lii4LiZIOC4nOC5iOC4reC4h-C4nuC4peC4reC4ouC4reC4meC4uOC4quC4o-C4k-C5jCAo4Lil4Li04LiC4Li04LiVIDIpkgEQY29tbXVuaXR5X2NlbnRlcuABAA!16s%2Fg%2F11n3dggfkw?entry=tts&amp;g_ep=EgoyMDI2MDkyMy4wIPu8ASoASAFQAw%3D%3D&amp;skid=c11602e9-0a8e-4cf8-a0d6-f97cfcf4d722</t>
  </si>
  <si>
    <t>{"id":1317589502,"waterlevel_datetime":"2026-10-03 15:00","waterlevel_m":null,"waterlevel_msl":"110.69","waterlevel_msl_previous":"110.67","flow_rate":null,"discharge":null,"storage_percent":"7.60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Basin"}},"station":{"id":1101574,"tele_station_name":{"en":"Ban Khlong Mui 13","th":"บ้านคลองมุย หมู่ที่ 13"},"tele_station_lat":9.252886,"tele_station_long":98.85421,"tele_station_oldcode":"FOP063","tele_station_type":"tele_waterlevel","left_bank":113.602,"right_bank":113.911,"min_bank":113.6,"ground_level":110.445,"offset":null,"sub_basin_id":316,"sponsor_by":"มูลนิธิอาสาเพื่อนพึ่ง (ภาฯ) ยามยาก สภากาชาดไทย","agency_id":91,"geocode_id":7656,"hydro_id":null,"qmax":null,"is_key_station":false,"warning_level_m":null,"critical_level_m":null,"critical_level_msl":null},"geocode":{"area_code":"5","area_name":{"th":"ภาคใต้","en":"South"},"amphoe_code":"19","amphoe_name":{"th":"วิภาวดี","en":"Vibhavadi District"},"tumbon_code":"02","tumbon_name":{"th":"ตะกุกเหนือ","en":"Takuk Nuea"},"province_code":"84","province_name":{"th":"สุราษฎร์ธานี","en":"Surat Thani"}},"diff_wl_bank":"2.92","diff_wl_bank_text":"ต่ำกว่าตลิ่ง (ม.)","river_gid":215553,"river_name":"คลองมุย"}</t>
  </si>
  <si>
    <t>THAIWATER_WL:1121267</t>
  </si>
  <si>
    <t>MOU473</t>
  </si>
  <si>
    <t>สะพานคลองสะตอ</t>
  </si>
  <si>
    <t>คลองสะตอ</t>
  </si>
  <si>
    <t>{"id":1317589562,"waterlevel_datetime":"2026-10-03 15:00","waterlevel_m":null,"waterlevel_msl":"95.00","waterlevel_msl_previous":"95.00","flow_rate":null,"discharge":null,"storage_percent":"7.22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Basin"}},"station":{"id":1121267,"tele_station_name":{"en":"Khlong Sato Bridge","th":"สะพานคลองสะตอ"},"tele_station_lat":12.7065,"tele_station_long":102.415,"tele_station_oldcode":"MOU473","tele_station_type":"tele_waterlevel","left_bank":101.537,"right_bank":98.208,"min_bank":98.21,"ground_level":94.746,"offset":null,"sub_basin_id":298,"sponsor_by":"มูลนิธิอาสาเพื่อนพึ่ง (ภาฯ) ยามยาก สภากาชาดไทย","agency_id":91,"geocode_id":1365,"hydro_id":null,"qmax":null,"is_key_station":false,"warning_level_m":null,"critical_level_m":null,"critical_level_msl":null},"geocode":{"area_code":"2","area_name":{"th":"ภาคกลาง","en":"Central"},"amphoe_code":"04","amphoe_name":{"th":"บ่อไร่","en":"Bo Rai District"},"tumbon_code":"04","tumbon_name":{"th":"หนองบอน","en":"Nong Bon"},"province_code":"23","province_name":{"th":"ตราด","en":"Trat"}},"diff_wl_bank":"3.21","diff_wl_bank_text":"ต่ำกว่าตลิ่ง (ม.)","river_gid":204468,"river_name":"คลองสะตอ"}</t>
  </si>
  <si>
    <t>THAIWATER_WL:1121265</t>
  </si>
  <si>
    <t>MOU471</t>
  </si>
  <si>
    <t>สะพานคลองจันทเขลม</t>
  </si>
  <si>
    <t>{"id":1317594100,"waterlevel_datetime":"2026-10-03 15:10","waterlevel_m":null,"waterlevel_msl":"52.36","waterlevel_msl_previous":"52.36","flow_rate":null,"discharge":null,"storage_percent":"7.10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Foundation","jp":""},"agency_shortname":{"th":"พพภ","en":"FOP","jp":""}},"basin":{"id":18,"basin_code":17,"basin_name":{"th":"ลุ่มน้ำชายฝั่งทะเลตะวันออก","en":"East Coast Gulf Basin"}},"station":{"id":1121265,"tele_station_name":{"en":"Khlong Chanthakloem Bridge","th":"สะพานคลองจันทเขลม"},"tele_station_lat":13.003336,"tele_station_long":102.04864,"tele_station_oldcode":"MOU471","tele_station_type":"tele_waterlevel","left_bank":57.068,"right_bank":57.138,"min_bank":57.07,"ground_level":52,"offset":null,"sub_basin_id":296,"sponsor_by":"มูลนิธิอาสาเพื่อนพึ่ง (ภาฯ) ยามยาก สภากาชาดไทย","agency_id":91,"geocode_id":1331,"hydro_id":null,"qmax":null,"is_key_station":false,"warning_level_m":null,"critical_level_m":null,"critical_level_msl":null},"geocode":{"area_code":"2","area_name":{"th":"ภาคกลาง","en":"Central"},"amphoe_code":"10","amphoe_name":{"th":"เขาคิชฌกูฏ","en":"Khao Khitchakut District"},"tumbon_code":"05","tumbon_name":{"th":"จันทเขลม","en":"Chanthakhlem"},"province_code":"22","province_name":{"th":"จันทบุรี","en":"Chanthaburi"}},"diff_wl_bank":"4.71","diff_wl_bank_text":"ต่ำกว่าตลิ่ง (ม.)","river_gid":202235,"river_name":"คลองจันทบุรี"}</t>
  </si>
  <si>
    <t>THAIWATER_WL:740729</t>
  </si>
  <si>
    <t>FOP028</t>
  </si>
  <si>
    <t>สะพานทางเข้าชุมชนบ้านปากซวด</t>
  </si>
  <si>
    <t>คลองบางครก</t>
  </si>
  <si>
    <t>{"id":1317594032,"waterlevel_datetime":"2026-10-03 15:10","waterlevel_m":null,"waterlevel_msl":"30.98","waterlevel_msl_previous":"30.98","flow_rate":null,"discharge":null,"storage_percent":"7.09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Basin"}},"station":{"id":740729,"tele_station_name":{"en":"Ban Pak Suat Community Bridge","th":"สะพานทางเข้าชุมชนบ้านปากซวด"},"tele_station_lat":8.889655,"tele_station_long":98.82028,"tele_station_oldcode":"FOP028","tele_station_type":"tele_waterlevel","left_bank":34.8526,"right_bank":35.6326,"min_bank":34.85,"ground_level":30.6846,"offset":null,"sub_basin_id":314,"sponsor_by":"มูลนิธิอาสาเพื่อนพึ่ง (ภาฯ) ยามยาก สภากาชาดไทย","agency_id":91,"geocode_id":7578,"hydro_id":null,"qmax":null,"is_key_station":false,"warning_level_m":null,"critical_level_m":null,"critical_level_msl":null},"geocode":{"area_code":"5","area_name":{"th":"ภาคใต้","en":"South"},"amphoe_code":"09","amphoe_name":{"th":"บ้านตาขุน","en":"Ban Ta Khun District"},"tumbon_code":"02","tumbon_name":{"th":"พะแสง","en":"Phasaeng"},"province_code":"84","province_name":{"th":"สุราษฎร์ธานี","en":"Surat Thani"}},"diff_wl_bank":"3.87","diff_wl_bank_text":"ต่ำกว่าตลิ่ง (ม.)","river_gid":217223,"river_name":"คลองบางครก"}</t>
  </si>
  <si>
    <t>THAIWATER_WL:1483111</t>
  </si>
  <si>
    <t>MOU373</t>
  </si>
  <si>
    <t>สะพานคลองแม่มอญ</t>
  </si>
  <si>
    <t>{"id":1317594087,"waterlevel_datetime":"2026-10-03 15:10","waterlevel_m":null,"waterlevel_msl":"353.30","waterlevel_msl_previous":"353.29","flow_rate":null,"discharge":null,"storage_percent":"6.95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Foundation","jp":""},"agency_shortname":{"th":"พพภ","en":"FOP","jp":""}},"basin":{"id":7,"basin_code":7,"basin_name":{"th":"ลุ่มน้ำวัง","en":"Wang Basin"}},"station":{"id":1483111,"tele_station_name":{"en":"Khlong Mae Mon Bridge","th":"สะพานคลองแม่มอญ"},"tele_station_lat":18.810192,"tele_station_long":99.50328,"tele_station_oldcode":"MOU373","tele_station_type":"tele_waterlevel","left_bank":355.996,"right_bank":355.976,"min_bank":355.98,"ground_level":353.1,"offset":null,"sub_basin_id":187,"sponsor_by":"บริษัท ไทยเบฟเวอเรจ จำกัด (มหาชน) ","agency_id":91,"geocode_id":5091,"hydro_id":null,"qmax":null,"is_key_station":false,"warning_level_m":null,"critical_level_m":null,"critical_level_msl":null},"geocode":{"area_code":"3","area_name":{"th":"ภาคเหนือ","en":"North"},"amphoe_code":"13","amphoe_name":{"th":"เมืองปาน","en":"Mueang Pan District"},"tumbon_code":"04","tumbon_name":{"th":"แจ้ซ้อน","en":"Chae Son"},"province_code":"52","province_name":{"th":"ลำปาง","en":"Lampang"}},"diff_wl_bank":"2.68","diff_wl_bank_text":"ต่ำกว่าตลิ่ง (ม.)"}</t>
  </si>
  <si>
    <t>THAIWATER_WL:1116838</t>
  </si>
  <si>
    <t>FOP064</t>
  </si>
  <si>
    <t>สะพานข้ามห้วยแม่รวม บ้านแม่รวม</t>
  </si>
  <si>
    <t>น้ำแม่รวม</t>
  </si>
  <si>
    <t>1b0d682b-922f-c741-16ba-99cca280cc50</t>
  </si>
  <si>
    <t>โรงเรียนผ่องพลอยอนุสรณ์</t>
  </si>
  <si>
    <t>https://maps.app.goo.gl/tXbQsHRTdVj1ivGV6</t>
  </si>
  <si>
    <t>{"id":1317594048,"waterlevel_datetime":"2026-10-03 15:10","waterlevel_m":null,"waterlevel_msl":"1183.82","waterlevel_msl_previous":"1183.83","flow_rate":null,"discharge":null,"storage_percent":"6.89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Basin"}},"station":{"id":1116838,"tele_station_name":{"en":"Huai Mae Ruam Bridge","th":"สะพานข้ามห้วยแม่รวม บ้านแม่รวม"},"tele_station_lat":18.919376,"tele_station_long":98.20057,"tele_station_oldcode":"FOP064","tele_station_type":"tele_waterlevel","left_bank":1186.794,"right_bank":1187.344,"min_bank":1186.79,"ground_level":1183.6,"offset":null,"sub_basin_id":171,"sponsor_by":"มูลนิธิอาสาเพื่อนพึ่ง (ภาฯ) ยามยาก สภากาชาดไทย","agency_id":91,"geocode_id":4720,"hydro_id":null,"qmax":null,"is_key_station":false,"warning_level_m":null,"critical_level_m":null,"critical_level_msl":null},"geocode":{"area_code":"3","area_name":{"th":"ภาคเหนือ","en":"North"},"amphoe_code":"03","amphoe_name":{"th":"แม่แจ่ม","en":"Mae Chaem District"},"tumbon_code":"05","tumbon_name":{"th":"แม่นาจร","en":"Mae Na Chon"},"province_code":"50","province_name":{"th":"เชียงใหม่","en":"Chiang Mai"}},"diff_wl_bank":"2.97","diff_wl_bank_text":"ต่ำกว่าตลิ่ง (ม.)","river_gid":32926,"river_name":"น้ำแม่รวม"}</t>
  </si>
  <si>
    <t>THAIWATER_WL:2964</t>
  </si>
  <si>
    <t>E.76A</t>
  </si>
  <si>
    <t>บ้านโพน</t>
  </si>
  <si>
    <t>ห้วยสังกะ</t>
  </si>
  <si>
    <t>{"id":1317573768,"waterlevel_datetime":"2026-10-03 14:00","waterlevel_m":null,"waterlevel_msl":"164.47","waterlevel_msl_previous":"164.49","flow_rate":null,"discharge":"0.44","storage_percent":"6.84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2964,"tele_station_name":{"th":"บ้านโพน"},"tele_station_lat":16.86068,"tele_station_long":103.594856,"tele_station_oldcode":"E.76A","tele_station_type":"tele_waterlevel","left_bank":337.582994,"right_bank":337.53099399999996,"min_bank":172.5,"ground_level":163.88,"offset":163.899994,"sub_basin_id":99,"agency_id":12,"geocode_id":4314,"hydro_id":3,"qmax":136,"is_key_station":false,"warning_level_m":null,"critical_level_m":null,"critical_level_msl":null},"geocode":{"area_code":"4","area_name":{"th":"ภาคตะวันออกเฉียงเหนือ","en":"Northeast"},"amphoe_code":"10","amphoe_name":{"th":"คำม่วง","en":"Kham Muang District"},"tumbon_code":"02","tumbon_name":{"th":"โพน","en":"Phon"},"province_code":"46","province_name":{"th":"กาฬสินธุ์","en":"Kalasin"}},"diff_wl_bank":"8.03","diff_wl_bank_text":"ต่ำกว่าตลิ่ง (ม.)","river_gid":126073,"river_name":"ห้วยสังกะ"}</t>
  </si>
  <si>
    <t>THAIWATER_WL:11648255</t>
  </si>
  <si>
    <t>SKT001</t>
  </si>
  <si>
    <t>ห้วยแม่ท่าแพ</t>
  </si>
  <si>
    <t>{"id":"1b0d682b-922f-c741-16ba-99cca280cc50","district":"บางนา","category":"ศูนย์พักพิงชั่วคราว","name":"โรงเรียนผ่องพลอยอนุสรณ์","capacity":50,"occupied":0,"available":50,"unitType":"คน","status":"เปิดให้บริการ/ว่าง","routeDetails":"","link":"https://maps.app.goo.gl/tXbQsHRTdVj1ivGV6","additionalDetails":null,"createdAt":"2026-09-26T05:28:31.000Z","updatedAt":"2026-09-26T05:28:31.000Z"}</t>
  </si>
  <si>
    <t>https://www.google.com/maps/place/%E0%B9%82%E0%B8%A3%E0%B8%87%E0%B9%80%E0%B8%A3%E0%B8%B5%E0%B8%A2%E0%B8%99%E0%B8%9C%E0%B9%88%E0%B8%AD%E0%B8%87%E0%B8%9E%E0%B8%A5%E0%B8%AD%E0%B8%A2%E0%B8%AD%E0%B8%99%E0%B8%B8%E0%B8%AA%E0%B8%A3%E0%B8%93%E0%B9%8C/@13.6621384,100.6301058,18.29z/data=!4m6!3m5!1s0x311d5f8d44651181:0xb8f622a7d1e9fd3d!8m2!3d13.661408!4d100.6300255!16s%2Fg%2F1tl8h543?entry=tts&amp;g_ep=EgoyMDI2MDkyMy4wIPu8ASoASAFQAw%3D%3D&amp;skid=919428bd-8c7b-4592-a2fa-8ab3ceed8802</t>
  </si>
  <si>
    <t>{"id":1317594599,"waterlevel_datetime":"2026-10-03 15:10","waterlevel_m":null,"waterlevel_msl":"70.57","waterlevel_msl_previous":"70.57","flow_rate":null,"discharge":null,"storage_percent":"6.65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Organization)","jp":""},"agency_shortname":{"th":"สสน.","en":"HII","jp":""}},"basin":{"id":8,"basin_code":8,"basin_name":{"th":"ลุ่มน้ำยม","en":"Yom Basin"}},"station":{"id":11648255,"tele_station_name":{"en":"Huai Mae Tha Phae","th":"ห้วยแม่ท่าแพ"},"tele_station_lat":17.43854,"tele_station_long":99.6882,"tele_station_oldcode":"SKT001","tele_station_type":"tele_waterlevel","left_bank":74.873,"right_bank":74.586,"min_bank":74.59,"ground_level":70.284,"offset":null,"sub_basin_id":210,"agency_id":9,"geocode_id":6089,"hydro_id":null,"qmax":null,"is_key_station":false,"warning_level_m":null,"critical_level_m":null,"critical_level_msl":null},"geocode":{"area_code":"3","area_name":{"th":"ภาคเหนือ","en":"North"},"amphoe_code":"05","amphoe_name":{"th":"ศรีสัชนาลัย","en":"Si Satchanalai District"},"tumbon_code":"10","tumbon_name":{"th":"บ้านแก่ง","en":"Ban Kaeng"},"province_code":"64","province_name":{"th":"สุโขทัย","en":"Sukhothai"}},"diff_wl_bank":"4.02","diff_wl_bank_text":"ต่ำกว่าตลิ่ง (ม.)"}</t>
  </si>
  <si>
    <t>THAIWATER_WL:11648470</t>
  </si>
  <si>
    <t>UDN003</t>
  </si>
  <si>
    <t>คลองสงคราม</t>
  </si>
  <si>
    <t>{"id":1317594679,"waterlevel_datetime":"2026-10-03 15:10","waterlevel_m":null,"waterlevel_msl":"163.99","waterlevel_msl_previous":"164.00","flow_rate":null,"discharge":null,"storage_percent":"6.56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Basin"}},"station":{"id":11648470,"tele_station_name":{"en":"Khlong Songkhram","th":"คลองสงคราม"},"tele_station_lat":17.39577,"tele_station_long":103.30043,"tele_station_oldcode":"UDN003","tele_station_type":"tele_waterlevel","left_bank":166.7721,"right_bank":167.2611,"min_bank":166.77,"ground_level":163.798,"offset":null,"sub_basin_id":56,"agency_id":9,"geocode_id":3591,"hydro_id":null,"qmax":null,"is_key_station":false,"warning_level_m":null,"critical_level_m":null,"critical_level_msl":null},"geocode":{"area_code":"4","area_name":{"th":"ภาคตะวันออกเฉียงเหนือ","en":"Northeast"},"amphoe_code":"20","amphoe_name":{"th":"สร้างคอม","en":"Sang Khom District"},"tumbon_code":"01","tumbon_name":{"th":"สร้างคอม","en":"Sang Khom"},"province_code":"41","province_name":{"th":"อุดรธานี","en":"Udon Thani"}},"diff_wl_bank":"2.78","diff_wl_bank_text":"ต่ำกว่าตลิ่ง (ม.)"}</t>
  </si>
  <si>
    <t>THAIWATER_WL:479232</t>
  </si>
  <si>
    <t>TBW024</t>
  </si>
  <si>
    <t>สะพานอิงอุดม</t>
  </si>
  <si>
    <t>{"id":1317594626,"waterlevel_datetime":"2026-10-03 15:10","waterlevel_m":null,"waterlevel_msl":"334.69","waterlevel_msl_previous":"334.70","flow_rate":null,"discharge":null,"storage_percent":"6.35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Organization)","jp":""},"agency_shortname":{"th":"สสน.","en":"HII","jp":""}},"basin":{"id":2,"basin_code":2,"basin_name":{"th":"ลุ่มน้ำโขงเหนือ","en":"North Khong Basin"}},"station":{"id":479232,"tele_station_name":{"en":"Ing 1","th":"สะพานอิงอุดม"},"tele_station_lat":20.19635,"tele_station_long":100.44173,"tele_station_oldcode":"TBW024","tele_station_type":"tele_waterlevel","left_bank":349.28,"right_bank":349.69,"min_bank":349.28,"ground_level":333.7,"offset":null,"sub_basin_id":38,"agency_id":9,"geocode_id":5481,"hydro_id":null,"qmax":null,"is_key_station":false,"warning_level_m":null,"critical_level_m":null,"critical_level_msl":null},"geocode":{"area_code":"3","area_name":{"th":"ภาคเหนือ","en":"North"},"amphoe_code":"03","amphoe_name":{"th":"เชียงของ","en":"Chiang Khong District"},"tumbon_code":"08","tumbon_name":{"th":"ศรีดอนชัย","en":"Si Don Chai"},"province_code":"57","province_name":{"th":"เชียงราย","en":"Chiang Rai"}},"diff_wl_bank":"14.59","diff_wl_bank_text":"ต่ำกว่าตลิ่ง (ม.)","river_gid":1573,"river_name":"แม่น้ำอิง"}</t>
  </si>
  <si>
    <t>THAIWATER_WL:3025</t>
  </si>
  <si>
    <t>P.12C</t>
  </si>
  <si>
    <t>บ้านย่านรี</t>
  </si>
  <si>
    <t>{"id":1317572401,"waterlevel_datetime":"2026-10-03 14:00","waterlevel_m":null,"waterlevel_msl":"128.00","waterlevel_msl_previous":"128.00","flow_rate":null,"discharge":"0.00","storage_percent":"6.12","sort_order":null,"station_type":"tele_waterlevel","situation_level":1,"agency":{"id":12,"agency_name":{"th":"กรมชลประทาน ","en":"Royal Irrigation Department","jp":""},"agency_shortname":{"th":"ชป.","en":"RID","jp":""}},"basin":{"id":6,"basin_code":6,"basin_name":{"th":"ลุ่มน้ำปิง","en":"Ping Basin"}},"station":{"id":3025,"tele_station_name":{"th":"บ้านย่านรี"},"tele_station_lat":17.23818,"tele_station_long":99.02626,"tele_station_oldcode":"P.12C","tele_station_type":"tele_waterlevel","left_bank":265.325,"right_bank":267.119,"min_bank":134.44,"ground_level":127.58,"offset":129,"sub_basin_id":176,"agency_id":12,"geocode_id":5991,"hydro_id":2,"qmax":1660,"is_key_station":false,"warning_level_m":null,"critical_level_m":null,"critical_level_msl":null},"geocode":{"area_code":"3","area_name":{"th":"ภาคเหนือ","en":"North"},"amphoe_code":"03","amphoe_name":{"th":"สามเงา","en":"Sam Ngao District"},"tumbon_code":"04","tumbon_name":{"th":"ย่านรี","en":"Yan Ri"},"province_code":"63","province_name":{"th":"ตาก","en":"Tak"}},"diff_wl_bank":"6.44","diff_wl_bank_text":"ต่ำกว่าตลิ่ง (ม.)","river_gid":86017,"river_name":"แม่น้ำปิง"}</t>
  </si>
  <si>
    <t>358583db-776e-080f-1722-0d77f0fead82</t>
  </si>
  <si>
    <t>THAIWATER_WL:9930854</t>
  </si>
  <si>
    <t>HHN002</t>
  </si>
  <si>
    <t>โรงเรียนรุ่งเรืองอุปถัมภ์</t>
  </si>
  <si>
    <t>คลองพระราชดำริ ซอยหัวหิน 10</t>
  </si>
  <si>
    <t>https://maps.app.goo.gl/dR9MRoC74BFVyCPVA</t>
  </si>
  <si>
    <t>{"id":1317594342,"waterlevel_datetime":"2026-10-03 15:10","waterlevel_m":null,"waterlevel_msl":"7.27","waterlevel_msl_previous":"7.27","flow_rate":null,"discharge":null,"storage_percent":"5.64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Organization)","jp":""},"agency_shortname":{"th":"สสน.","en":"HII","jp":""}},"basin":{"id":20,"basin_code":18,"basin_name":{"th":"ลุ่มน้ำเพชรบุรี-ประจวบคีรีขันธ์","en":"Phetchaburi - Prachuap Khiri Khan Basin"}},"station":{"id":9930854,"tele_station_name":{"en":"Phrarajadamri Canal, Hua Hin Soi 10","th":"คลองพระราชดำริ ซอยหัวหิน 10"},"tele_station_lat":12.6096,"tele_station_long":99.9453,"tele_station_oldcode":"HHN002","tele_station_type":"tele_waterlevel","left_bank":11.244,"right_bank":11.133,"min_bank":11.13,"ground_level":7.038,"offset":null,"sub_basin_id":300,"agency_id":9,"geocode_id":7158,"hydro_id":null,"qmax":null,"is_key_station":false,"warning_level_m":null,"critical_level_m":null,"critical_level_msl":null},"geocode":{"area_code":"2","area_name":{"th":"ภาคกลาง","en":"Central"},"amphoe_code":"07","amphoe_name":{"th":"หัวหิน","en":"Hua Hin District"},"tumbon_code":"01","tumbon_name":{"th":"หัวหิน","en":"Hua Hin"},"province_code":"77","province_name":{"th":"ประจวบคีรีขันธ์","en":"Prachuap Khiri Khan"}},"diff_wl_bank":"3.86","diff_wl_bank_text":"ต่ำกว่าตลิ่ง (ม.)"}</t>
  </si>
  <si>
    <t>THAIWATER_WL:2587</t>
  </si>
  <si>
    <t>X.10A</t>
  </si>
  <si>
    <t>สะพานเดชานุชิต</t>
  </si>
  <si>
    <t>{"id":"358583db-776e-080f-1722-0d77f0fead82","district":"บางนา","category":"ศูนย์พักพิงชั่วคราว","name":"โรงเรียนรุ่งเรืองอุปถัมภ์","capacity":50,"occupied":0,"available":50,"unitType":"คน","status":"เปิดให้บริการ/ว่าง","routeDetails":"","link":"https://maps.app.goo.gl/dR9MRoC74BFVyCPVA","additionalDetails":null,"createdAt":"2026-09-26T05:28:31.000Z","updatedAt":"2026-09-26T05:28:31.000Z"}</t>
  </si>
  <si>
    <t>https://www.google.com/maps/place/%E0%B9%82%E0%B8%A3%E0%B8%87%E0%B9%80%E0%B8%A3%E0%B8%B5%E0%B8%A2%E0%B8%99+%E0%B8%A3%E0%B8%B8%E0%B9%88%E0%B8%87%E0%B9%80%E0%B8%A3%E0%B8%B7%E0%B8%AD%E0%B8%87%E0%B8%AD%E0%B8%B8%E0%B8%9B%E0%B8%96%E0%B8%B1%E0%B8%A1%E0%B8%A0%E0%B9%8C/@13.6770794,100.609593,17z/data=!3m1!4b1!4m6!3m5!1s0x30e2a0044de766a3:0x8e4bf1444e2f5b14!8m2!3d13.6770742!4d100.6121679!16s%2Fg%2F1tdw5hn6?entry=tts&amp;g_ep=EgoyMDI2MDkyMy4wIPu8ASoASAFQAw%3D%3D&amp;skid=07397cda-3746-4793-8851-dde2e76f04d1</t>
  </si>
  <si>
    <t>{"id":1317523571,"waterlevel_datetime":"2026-10-03 12:00","waterlevel_m":null,"waterlevel_msl":"0.06","waterlevel_msl_previous":"0.01","flow_rate":null,"discharge":null,"storage_percent":"5.22","sort_order":null,"station_type":"tele_waterlevel","situation_level":1,"agency":{"id":12,"agency_name":{"th":"กรมชลประทาน ","en":"Royal Irrigation Department","jp":""},"agency_shortname":{"th":"ชป.","en":"RID","jp":""}},"basin":{"id":26,"basin_code":21,"basin_name":{"th":"ลุ่มน้ำภาคใต้ฝั่งตะวันออกตอนล่าง","en":"Peninsula - Lower East Coast Basin"}},"station":{"id":2587,"tele_station_name":{"th":"สะพานเดชานุชิต"},"tele_station_lat":6.866,"tele_station_long":101.252129,"tele_station_oldcode":"X.10A","tele_station_type":"tele_waterlevel","left_bank":1.15,"right_bank":1.15,"min_bank":1.15,"ground_level":0,"offset":null,"sub_basin_id":336,"agency_id":12,"geocode_id":8138,"hydro_id":8,"qmax":null,"is_key_station":true,"warning_level_m":null,"critical_level_m":1.15,"critical_level_msl":1.15},"geocode":{"area_code":"5","area_name":{"th":"ภาคใต้","en":"South"},"amphoe_code":"01","amphoe_name":{"th":"เมืองปัตตานี","en":"Mueang Pattani District"},"tumbon_code":"02","tumbon_name":{"th":"อาเนาะรู","en":"A Noru"},"province_code":"94","province_name":{"th":"ปัตตานี","en":"Pattani"}},"diff_wl_bank":"1.09","diff_wl_bank_text":"ต่ำกว่าตลิ่ง (ม.)","river_gid":228014,"river_name":"แม่น้ำปัตตานี"}</t>
  </si>
  <si>
    <t>THAIWATER_WL:1101565</t>
  </si>
  <si>
    <t>FOP054</t>
  </si>
  <si>
    <t>สะพานแม่น้ำลาว</t>
  </si>
  <si>
    <t>{"id":1317594042,"waterlevel_datetime":"2026-10-03 15:10","waterlevel_m":null,"waterlevel_msl":"663.20","waterlevel_msl_previous":"663.20","flow_rate":null,"discharge":null,"storage_percent":"4.98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Foundation","jp":""},"agency_shortname":{"th":"พพภ","en":"FOP","jp":""}},"basin":{"id":2,"basin_code":2,"basin_name":{"th":"ลุ่มน้ำโขงเหนือ","en":"North Khong Basin"}},"station":{"id":1101565,"tele_station_name":{"en":"Maenam Lao Bridge","th":"สะพานแม่น้ำลาว"},"tele_station_lat":19.108244,"tele_station_long":99.45519,"tele_station_oldcode":"FOP054","tele_station_type":"tele_waterlevel","left_bank":667.288,"right_bank":667.018,"min_bank":667.02,"ground_level":663,"offset":null,"sub_basin_id":28,"sponsor_by":"มูลนิธิอาสาเพื่อนพึ่ง (ภาฯ) ยามยาก สภากาชาดไทย","agency_id":91,"geocode_id":5559,"hydro_id":null,"qmax":null,"is_key_station":false,"warning_level_m":null,"critical_level_m":null,"critical_level_msl":null},"geocode":{"area_code":"3","area_name":{"th":"ภาคเหนือ","en":"North"},"amphoe_code":"11","amphoe_name":{"th":"เวียงป่าเป้า","en":"Wiang Pa Pao District"},"tumbon_code":"07","tumbon_name":{"th":"แม่เจดีย์ใหม่","en":"Mae Chedi Mai"},"province_code":"57","province_name":{"th":"เชียงราย","en":"Chiang Rai"}},"diff_wl_bank":"3.82","diff_wl_bank_text":"ต่ำกว่าตลิ่ง (ม.)","river_gid":25178,"river_name":"น้ำแม่ลาว"}</t>
  </si>
  <si>
    <t>THAIWATER_WL:2918</t>
  </si>
  <si>
    <t>E.75</t>
  </si>
  <si>
    <t>บ้านหนองม่วง</t>
  </si>
  <si>
    <t>87076445-5212-8544-1785-cd0a3994bdcc</t>
  </si>
  <si>
    <t>{"id":1317573791,"waterlevel_datetime":"2026-10-03 14:00","waterlevel_m":null,"waterlevel_msl":"137.66","waterlevel_msl_previous":"137.66","flow_rate":null,"discharge":"5.20","storage_percent":"4.87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2918,"tele_station_name":{"th":"บ้านหนองม่วง"},"tele_station_lat":16.581209,"tele_station_long":103.437111,"tele_station_oldcode":"E.75","tele_station_type":"tele_waterlevel","left_bank":287.24199999999996,"right_bank":287.312,"min_bank":144.5,"ground_level":137.31,"offset":137,"sub_basin_id":99,"agency_id":12,"geocode_id":4287,"hydro_id":3,"qmax":350,"is_key_station":true,"warning_level_m":null,"critical_level_m":null,"critical_level_msl":null},"geocode":{"area_code":"4","area_name":{"th":"ภาคตะวันออกเฉียงเหนือ","en":"Northeast"},"amphoe_code":"07","amphoe_name":{"th":"ยางตลาด","en":"Yang Talat District"},"tumbon_code":"10","tumbon_name":{"th":"นาเชือก","en":"Na Chueak"},"province_code":"46","province_name":{"th":"กาฬสินธุ์","en":"Kalasin"}},"diff_wl_bank":"6.84","diff_wl_bank_text":"ต่ำกว่าตลิ่ง (ม.)","river_gid":129317,"river_name":"ลำปาว"}</t>
  </si>
  <si>
    <t>โรงเรียนวัดบางนานอก</t>
  </si>
  <si>
    <t>THAIWATER_WL:685643</t>
  </si>
  <si>
    <t>MOU038</t>
  </si>
  <si>
    <t>สะพานห้วยน้ำสาย</t>
  </si>
  <si>
    <t>https://maps.app.goo.gl/1QMKk1eZwPpTpFcm6</t>
  </si>
  <si>
    <t>น้ำสบสาย</t>
  </si>
  <si>
    <t>{"id":1317594060,"waterlevel_datetime":"2026-10-03 15:10","waterlevel_m":null,"waterlevel_msl":"263.72","waterlevel_msl_previous":"263.71","flow_rate":null,"discharge":null,"storage_percent":"4.69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Basin"}},"station":{"id":685643,"tele_station_name":{"en":"Nam Sai Birgde","th":"สะพานห้วยน้ำสาย"},"tele_station_lat":19.026337,"tele_station_long":100.73505,"tele_station_oldcode":"MOU038","tele_station_type":"tele_waterlevel","left_bank":266.157,"right_bank":266.701,"min_bank":266.16,"ground_level":263.6,"offset":null,"sub_basin_id":218,"sponsor_by":"บริษัท แอดวานซ์ อินโฟร์ เซอร์วิส จำกัด (มหาชน)","agency_id":91,"geocode_id":5308,"hydro_id":null,"qmax":null,"is_key_station":false,"warning_level_m":null,"critical_level_m":null,"critical_level_msl":null},"geocode":{"area_code":"3","area_name":{"th":"ภาคเหนือ","en":"North"},"amphoe_code":"06","amphoe_name":{"th":"ท่าวังผา","en":"Tha Wang Pha District"},"tumbon_code":"05","tumbon_name":{"th":"ตาลชุม","en":"Tan Chum"},"province_code":"55","province_name":{"th":"น่าน","en":"Nan"}},"diff_wl_bank":"2.44","diff_wl_bank_text":"ต่ำกว่าตลิ่ง (ม.)","river_gid":27534,"river_name":"น้ำสบสาย"}</t>
  </si>
  <si>
    <t>THAIWATER_WL:1481146</t>
  </si>
  <si>
    <t>{"id":"87076445-5212-8544-1785-cd0a3994bdcc","district":"บางนา","category":"ศูนย์พักพิงชั่วคราว","name":"โรงเรียนวัดบางนานอก","capacity":50,"occupied":0,"available":50,"unitType":"คน","status":"เปิดให้บริการ/ว่าง","routeDetails":"","link":"https://maps.app.goo.gl/1QMKk1eZwPpTpFcm6","additionalDetails":null,"createdAt":"2026-09-26T05:28:31.000Z","updatedAt":"2026-09-26T05:28:31.000Z"}</t>
  </si>
  <si>
    <t>MOU355</t>
  </si>
  <si>
    <t>สะพานน้ำแม่จั๊ว</t>
  </si>
  <si>
    <t>https://www.google.com/maps/place/%E0%B9%82%E0%B8%A3%E0%B8%87%E0%B9%80%E0%B8%A3%E0%B8%B5%E0%B8%A2%E0%B8%99%E0%B8%A7%E0%B8%B1%E0%B8%94%E0%B8%9A%E0%B8%B2%E0%B8%87%E0%B8%99%E0%B8%B2%E0%B8%99%E0%B8%AD%E0%B8%81/@13.6762658,100.5855149,17z/data=!3m1!4b1!4m6!3m5!1s0x30e2a0252402b699:0x9847d28d91d52e9e!8m2!3d13.6762606!4d100.5880898!16s%2Fg%2F11d_9dnn39?entry=tts&amp;g_ep=EgoyMDI2MDkyMy4wIPu8ASoASAFQAw%3D%3D&amp;skid=6101beef-186b-4c3f-af27-b6af4e9c6446</t>
  </si>
  <si>
    <t>{"id":1317594082,"waterlevel_datetime":"2026-10-03 15:10","waterlevel_m":null,"waterlevel_msl":"269.62","waterlevel_msl_previous":"269.63","flow_rate":null,"discharge":null,"storage_percent":"4.05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Basin"}},"station":{"id":1481146,"tele_station_name":{"en":"Mae Chu Bridge","th":"สะพานน้ำแม่จั๊ว"},"tele_station_lat":19.019968,"tele_station_long":100.264275,"tele_station_oldcode":"MOU355","tele_station_type":"tele_waterlevel","left_bank":274.974,"right_bank":275.902,"min_bank":274.97,"ground_level":269.394,"offset":null,"sub_basin_id":199,"sponsor_by":"บริษัท ไทยเบฟเวอเรจ จำกัด (มหาชน) ","agency_id":91,"geocode_id":5412,"hydro_id":null,"qmax":null,"is_key_station":false,"warning_level_m":null,"critical_level_m":null,"critical_level_msl":null},"geocode":{"area_code":"3","area_name":{"th":"ภาคเหนือ","en":"North"},"amphoe_code":"04","amphoe_name":{"th":"เชียงม่วน","en":"Chiang Muan District"},"tumbon_code":"03","tumbon_name":{"th":"สระ","en":"Sa"},"province_code":"56","province_name":{"th":"พะเยา","en":"Phayao"}},"diff_wl_bank":"5.35","diff_wl_bank_text":"ต่ำกว่าตลิ่ง (ม.)"}</t>
  </si>
  <si>
    <t>THAIWATER_WL:740730</t>
  </si>
  <si>
    <t>FOP029</t>
  </si>
  <si>
    <t>สะพานบ้านสวนปราง</t>
  </si>
  <si>
    <t>คลองสระ</t>
  </si>
  <si>
    <t>2026-10-03T09:50:00+07:00</t>
  </si>
  <si>
    <t>{"id":1317456219,"waterlevel_datetime":"2026-10-03 09:50","waterlevel_m":null,"waterlevel_msl":"42.30","waterlevel_msl_previous":"42.30","flow_rate":null,"discharge":null,"storage_percent":"3.88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Basin"}},"station":{"id":740730,"tele_station_name":{"en":"Ban Suan Prang Bridge","th":"สะพานบ้านสวนปราง"},"tele_station_lat":9.021284,"tele_station_long":99.633125,"tele_station_oldcode":"FOP029","tele_station_type":"tele_waterlevel","left_bank":49.3358,"right_bank":49.3538,"min_bank":49.34,"ground_level":42.0158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Thani"}},"diff_wl_bank":"7.04","diff_wl_bank_text":"ต่ำกว่าตลิ่ง (ม.)","river_gid":216473,"river_name":"คลองสระ"}</t>
  </si>
  <si>
    <t>THAIWATER_WL:1481122</t>
  </si>
  <si>
    <t>MOU342</t>
  </si>
  <si>
    <t>สะพานน้ำงาว</t>
  </si>
  <si>
    <t>{"id":1317594078,"waterlevel_datetime":"2026-10-03 15:10","waterlevel_m":null,"waterlevel_msl":"332.29","waterlevel_msl_previous":"332.29","flow_rate":null,"discharge":null,"storage_percent":"3.40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Basin"}},"station":{"id":1481122,"tele_station_name":{"en":"Nam Ngao Bridge","th":"สะพานน้ำงาว"},"tele_station_lat":18.889063,"tele_station_long":99.940125,"tele_station_oldcode":"MOU342","tele_station_type":"tele_waterlevel","left_bank":335.881,"right_bank":333.483,"min_bank":333.48,"ground_level":332.248,"offset":null,"sub_basin_id":202,"sponsor_by":"บริษัท ไทยเบฟเวอเรจ จำกัด (มหาชน) ","agency_id":91,"geocode_id":5025,"hydro_id":null,"qmax":null,"is_key_station":false,"warning_level_m":null,"critical_level_m":null,"critical_level_msl":null},"geocode":{"area_code":"3","area_name":{"th":"ภาคเหนือ","en":"North"},"amphoe_code":"05","amphoe_name":{"th":"งาว","en":"Ngao District"},"tumbon_code":"04","tumbon_name":{"th":"บ้านร้อง","en":"Ban Rong"},"province_code":"52","province_name":{"th":"ลำปาง","en":"Lampang"}},"diff_wl_bank":"1.19","diff_wl_bank_text":"ต่ำกว่าตลิ่ง (ม.)"}</t>
  </si>
  <si>
    <t>THAIWATER_WL:2641</t>
  </si>
  <si>
    <t>X.200</t>
  </si>
  <si>
    <t>บ้านวังไทร</t>
  </si>
  <si>
    <t>278f6287-ee69-b891-c480-440b987991f2</t>
  </si>
  <si>
    <t>โรงเรียนวัดบางนาใน (รื่น ศยามานนท์)</t>
  </si>
  <si>
    <t>https://maps.app.goo.gl/NxFmXudqpDASCYub9</t>
  </si>
  <si>
    <t>{"id":1317539065,"waterlevel_datetime":"2026-10-03 12:00","waterlevel_m":null,"waterlevel_msl":"31.43","waterlevel_msl_previous":"31.43","flow_rate":null,"discharge":"0.45","storage_percent":"2.99","sort_order":null,"station_type":"tele_waterlevel","situation_level":1,"agency":{"id":12,"agency_name":{"th":"กรมชลประทาน ","en":"Royal Irrigation Department","jp":""},"agency_shortname":{"th":"ชป.","en":"RID","jp":""}},"basin":{"id":22,"basin_code":19,"basin_name":{"th":"ลุ่มน้ำภาคใต้ฝั่งตะวันออกตอนบน","en":"Peninsula - Upper East Coast Basin"}},"station":{"id":2641,"tele_station_name":{"th":"บ้านวังไทร"},"tele_station_lat":8.40836,"tele_station_long":99.797852,"tele_station_oldcode":"X.200","tele_station_type":"tele_waterlevel","left_bank":36.974,"right_bank":37.086,"min_bank":35.2,"ground_level":31.314,"offset":null,"sub_basin_id":327,"agency_id":12,"geocode_id":7200,"hydro_id":8,"qmax":245,"is_key_station":tru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Thammarat"}},"diff_wl_bank":"3.77","diff_wl_bank_text":"ต่ำกว่าตลิ่ง (ม.)","river_gid":220072,"river_name":"คลองท่าดี"}</t>
  </si>
  <si>
    <t>THAIWATER_WL:642750</t>
  </si>
  <si>
    <t>MOU025</t>
  </si>
  <si>
    <t>สะพานแม่น้ำน่าน บ้านเปียงก่อ</t>
  </si>
  <si>
    <t>น้ำราง</t>
  </si>
  <si>
    <t>2026-09-26T10:40:28.236Z</t>
  </si>
  <si>
    <t>{"id":1317594056,"waterlevel_datetime":"2026-10-03 15:10","waterlevel_m":null,"waterlevel_msl":"621.05","waterlevel_msl_previous":"621.05","flow_rate":null,"discharge":null,"storage_percent":"2.93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Basin"}},"station":{"id":642750,"tele_station_name":{"en":"Mae Nam Nan (Ban Piang Ko) Bridge","th":"สะพานแม่น้ำน่าน บ้านเปียงก่อ"},"tele_station_lat":19.432049,"tele_station_long":101.15271,"tele_station_oldcode":"MOU025","tele_station_type":"tele_waterlevel","left_bank":629.054,"right_bank":628.894,"min_bank":628.89,"ground_level":620.813,"offset":null,"sub_basin_id":216,"sponsor_by":"บริษัท แอดวานซ์ อินโฟร์ เซอร์วิส จำกัด (มหาชน)","agency_id":91,"geocode_id":5372,"hydro_id":null,"qmax":null,"is_key_station":false,"warning_level_m":null,"critical_level_m":null,"critical_level_msl":null},"geocode":{"area_code":"3","area_name":{"th":"ภาคเหนือ","en":"North"},"amphoe_code":"15","amphoe_name":{"th":"เฉลิมพระเกียรติ","en":"Chaloem Phra Kiat District"},"tumbon_code":"02","tumbon_name":{"th":"ขุนน่าน","en":"Khun Nan"},"province_code":"55","province_name":{"th":"น่าน","en":"Nan"}},"diff_wl_bank":"7.84","diff_wl_bank_text":"ต่ำกว่าตลิ่ง (ม.)","river_gid":14438,"river_name":"น้ำราง"}</t>
  </si>
  <si>
    <t>THAIWATER_WL:740737</t>
  </si>
  <si>
    <t>{"id":"278f6287-ee69-b891-c480-440b987991f2","district":"บางนา","category":"ศูนย์พักพิงชั่วคราว","name":"โรงเรียนวัดบางนาใน (รื่น ศยามานนท์)","capacity":50,"occupied":5,"available":45,"unitType":"คน","status":"เปิดให้บริการ/ว่าง","routeDetails":"","link":"https://maps.app.goo.gl/NxFmXudqpDASCYub9","additionalDetails":null,"createdAt":"2026-09-26T05:28:31.000Z","updatedAt":"2026-09-26T10:40:28.236Z"}</t>
  </si>
  <si>
    <t>FOP036</t>
  </si>
  <si>
    <t>สะพานห้วยน้ำใส</t>
  </si>
  <si>
    <t>คลองไม้เสียบ</t>
  </si>
  <si>
    <t>https://www.google.com/maps/place/%E0%B9%82%E0%B8%A3%E0%B8%87%E0%B9%80%E0%B8%A3%E0%B8%B5%E0%B8%A2%E0%B8%99%E0%B8%A7%E0%B8%B1%E0%B8%94%E0%B8%9A%E0%B8%B2%E0%B8%87%E0%B8%99%E0%B8%B2%E0%B9%83%E0%B8%99+(%E0%B8%A3%E0%B8%B7%E0%B9%88%E0%B8%99+%E0%B8%A8%E0%B8%A2%E0%B8%B2%E0%B8%A1%E0%B8%B2%E0%B8%99%E0%B8%99%E0%B8%97%E0%B9%8C)/@13.6711561,100.6016561,17z/data=!3m1!4b1!4m6!3m5!1s0x30e2a0110d08f9d1:0x7c6c07903ec4b66d!8m2!3d13.6711509!4d100.604231!16s%2Fg%2F1tnpbwhh?entry=tts&amp;g_ep=EgoyMDI2MDkyMy4wIPu8ASoASAFQAw%3D%3D&amp;skid=71f00e7c-d696-4d75-9200-702f9953ea5a</t>
  </si>
  <si>
    <t>{"id":1317594035,"waterlevel_datetime":"2026-10-03 15:10","waterlevel_m":null,"waterlevel_msl":"23.74","waterlevel_msl_previous":"23.75","flow_rate":null,"discharge":null,"storage_percent":"2.39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Basin"}},"station":{"id":740737,"tele_station_name":{"en":"Huai Nam Sai Bridge","th":"สะพานห้วยน้ำใส"},"tele_station_lat":7.889575,"tele_station_long":99.87421,"tele_station_oldcode":"FOP036","tele_station_type":"tele_waterlevel","left_bank":35.3413,"right_bank":35.2913,"min_bank":35.29,"ground_level":23.4573,"offset":null,"sub_basin_id":327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Thammarat"}},"diff_wl_bank":"11.55","diff_wl_bank_text":"ต่ำกว่าตลิ่ง (ม.)","river_gid":223209,"river_name":"คลองไม้เสียบ"}</t>
  </si>
  <si>
    <t>THAIWATER_WL:1481108</t>
  </si>
  <si>
    <t>MOU335</t>
  </si>
  <si>
    <t xml:space="preserve">สะพานน้ำแม่คะ </t>
  </si>
  <si>
    <t>{"id":1317594077,"waterlevel_datetime":"2026-10-03 15:10","waterlevel_m":null,"waterlevel_msl":"424.51","waterlevel_msl_previous":"424.51","flow_rate":null,"discharge":null,"storage_percent":"1.87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Foundation","jp":""},"agency_shortname":{"th":"พพภ","en":"FOP","jp":""}},"basin":{"id":8,"basin_code":8,"basin_name":{"th":"ลุ่มน้ำยม","en":"Yom Basin"}},"station":{"id":1481108,"tele_station_name":{"en":"Mae Ka Bridge","th":"สะพานน้ำแม่คะ "},"tele_station_lat":19.337248,"tele_station_long":100.43124,"tele_station_oldcode":"MOU335","tele_station_type":"tele_waterlevel","left_bank":432.211,"right_bank":430.288,"min_bank":430.29,"ground_level":424.4,"offset":null,"sub_basin_id":197,"sponsor_by":"บริษัท ไทยเบฟเวอเรจ จำกัด (มหาชน) ","agency_id":91,"geocode_id":5431,"hydro_id":null,"qmax":null,"is_key_station":false,"warning_level_m":null,"critical_level_m":null,"critical_level_msl":null},"geocode":{"area_code":"3","area_name":{"th":"ภาคเหนือ","en":"North"},"amphoe_code":"06","amphoe_name":{"th":"ปง","en":"Pong District"},"tumbon_code":"05","tumbon_name":{"th":"ผาช้างน้อย","en":"Pha Chang Noi"},"province_code":"56","province_name":{"th":"พะเยา","en":"Phayao"}},"diff_wl_bank":"5.78","diff_wl_bank_text":"ต่ำกว่าตลิ่ง (ม.)"}</t>
  </si>
  <si>
    <t>THAIWATER_WL:2781</t>
  </si>
  <si>
    <t>Ct.9</t>
  </si>
  <si>
    <t>บ้านบุ่งอ้ายเจี้ยม</t>
  </si>
  <si>
    <t>ห้วยทับเสลา</t>
  </si>
  <si>
    <t>{"id":1317572083,"waterlevel_datetime":"2026-10-03 14:00","waterlevel_m":null,"waterlevel_msl":"122.67","waterlevel_msl_previous":"122.67","flow_rate":null,"discharge":"0.00","storage_percent":"1.69","sort_order":null,"station_type":"tele_waterlevel","situation_level":1,"agency":{"id":12,"agency_name":{"th":"กรมชลประทาน ","en":"Royal Irrigation Department","jp":""},"agency_shortname":{"th":"ชป.","en":"RID","jp":""}},"basin":{"id":12,"basin_code":11,"basin_name":{"th":"ลุ่มน้ำสะแกกรัง","en":"Sakae Krang Basin"}},"station":{"id":2781,"tele_station_name":{"th":"บ้านบุ่งอ้ายเจี้ยม"},"tele_station_lat":15.51829,"tele_station_long":99.483528,"tele_station_oldcode":"Ct.9","tele_station_type":"tele_waterlevel","left_bank":129.973,"right_bank":130.024,"min_bank":127.92,"ground_level":122.58,"offset":null,"sub_basin_id":244,"agency_id":12,"geocode_id":5866,"hydro_id":5,"qmax":280,"is_key_station":true,"warning_level_m":null,"critical_level_m":null,"critical_level_msl":null},"geocode":{"area_code":"3","area_name":{"th":"ภาคเหนือ","en":"North"},"amphoe_code":"07","amphoe_name":{"th":"ลานสัก","en":"Lan Sak District"},"tumbon_code":"04","tumbon_name":{"th":"ระบำ","en":"Rabam"},"province_code":"61","province_name":{"th":"อุทัยธานี","en":"Uthai Thani"}},"diff_wl_bank":"5.25","diff_wl_bank_text":"ต่ำกว่าตลิ่ง (ม.)","river_gid":171623,"river_name":"ห้วยทับเสลา"}</t>
  </si>
  <si>
    <t>THAIWATER_WL:2925</t>
  </si>
  <si>
    <t>E.89</t>
  </si>
  <si>
    <t>บ้านหนองริวหนัง</t>
  </si>
  <si>
    <t>ห้วยลำหนองแสน</t>
  </si>
  <si>
    <t>{"id":1317389844,"waterlevel_datetime":"2026-10-03 06:00","waterlevel_m":null,"waterlevel_msl":"172.01","waterlevel_msl_previous":"172.05","flow_rate":null,"discharge":"0.36","storage_percent":"1.61","sort_order":null,"station_type":"tele_waterlevel","situation_level":1,"agency":{"id":12,"agency_name":{"th":"กรมชลประทาน ","en":"Royal Irrigation Department","jp":""},"agency_shortname":{"th":"ชป.","en":"RID","jp":""}},"basin":{"id":4,"basin_code":4,"basin_name":{"th":"ลุ่มน้ำชี","en":"Chi Basin Basin"}},"station":{"id":2925,"tele_station_name":{"th":"บ้านหนองริวหนัง"},"tele_station_lat":16.665831,"tele_station_long":103.308609,"tele_station_oldcode":"E.89","tele_station_type":"tele_waterlevel","left_bank":347.029006,"right_bank":347.083006,"min_bank":176.1,"ground_level":171.943,"offset":170.600006,"sub_basin_id":99,"agency_id":12,"geocode_id":4334,"hydro_id":3,"qmax":60,"is_key_station":false,"warning_level_m":null,"critical_level_m":null,"critical_level_msl":null},"geocode":{"area_code":"4","area_name":{"th":"ภาคตะวันออกเฉียงเหนือ","en":"Northeast"},"amphoe_code":"12","amphoe_name":{"th":"หนองกุงศรี","en":"Nong Kung Si District"},"tumbon_code":"08","tumbon_name":{"th":"ลำหนองแสน","en":"Lam Nong Saen"},"province_code":"46","province_name":{"th":"กาฬสินธุ์","en":"Kalasin"}},"diff_wl_bank":"4.09","diff_wl_bank_text":"ต่ำกว่าตลิ่ง (ม.)","river_gid":128456,"river_name":"ห้วยลำหนองแสน"}</t>
  </si>
  <si>
    <t>THAIWATER_WL:1475122</t>
  </si>
  <si>
    <t>MOU303</t>
  </si>
  <si>
    <t>สะพานแม่น้ำปิง</t>
  </si>
  <si>
    <t>8427db0c-c796-8293-13b7-a04c433128b3</t>
  </si>
  <si>
    <t>โรงเรียนศรีเอี่ยมอนุสรณ์</t>
  </si>
  <si>
    <t>https://maps.app.goo.gl/jRgtw1TyWsWEtSRk8</t>
  </si>
  <si>
    <t>{"id":1317594073,"waterlevel_datetime":"2026-10-03 15:10","waterlevel_m":null,"waterlevel_msl":"428.56","waterlevel_msl_previous":"428.56","flow_rate":null,"discharge":null,"storage_percent":"1.61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Basin"}},"station":{"id":1475122,"tele_station_name":{"en":"Ping River Bridge","th":"สะพานแม่น้ำปิง"},"tele_station_lat":19.507914,"tele_station_long":98.95879,"tele_station_oldcode":"MOU303","tele_station_type":"tele_waterlevel","left_bank":432.041,"right_bank":433.186,"min_bank":432.04,"ground_level":428.503,"offset":null,"sub_basin_id":156,"sponsor_by":"บริษัท ไทยเบฟเวอเรจ จำกัด (มหาชน) ","agency_id":91,"geocode_id":4733,"hydro_id":null,"qmax":null,"is_key_station":false,"warning_level_m":null,"critical_level_m":null,"critical_level_msl":null},"geocode":{"area_code":"3","area_name":{"th":"ภาคเหนือ","en":"North"},"amphoe_code":"04","amphoe_name":{"th":"เชียงดาว","en":"Chiang Dao District"},"tumbon_code":"07","tumbon_name":{"th":"ทุ่งข้าวพวง","en":"Thung Khao Phuang"},"province_code":"50","province_name":{"th":"เชียงใหม่","en":"Chiang Mai"}},"diff_wl_bank":"3.48","diff_wl_bank_text":"ต่ำกว่าตลิ่ง (ม.)"}</t>
  </si>
  <si>
    <t>THAIWATER_WL:740738</t>
  </si>
  <si>
    <t>FOP037</t>
  </si>
  <si>
    <t>สะพานข้ามคลองห้วยกรวด</t>
  </si>
  <si>
    <t>คลองห้วยกรวด</t>
  </si>
  <si>
    <t>{"id":"8427db0c-c796-8293-13b7-a04c433128b3","district":"บางนา","category":"ศูนย์พักพิงชั่วคราว","name":"โรงเรียนศรีเอี่ยมอนุสรณ์","capacity":50,"occupied":0,"available":50,"unitType":"คน","status":"เปิดให้บริการ/ว่าง","routeDetails":"","link":"https://maps.app.goo.gl/jRgtw1TyWsWEtSRk8","additionalDetails":null,"createdAt":"2026-09-26T05:28:31.000Z","updatedAt":"2026-09-26T05:28:31.000Z"}</t>
  </si>
  <si>
    <t>{"id":1317594036,"waterlevel_datetime":"2026-10-03 15:10","waterlevel_m":null,"waterlevel_msl":"13.27","waterlevel_msl_previous":"13.27","flow_rate":null,"discharge":null,"storage_percent":"1.57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Foundation","jp":""},"agency_shortname":{"th":"พพภ","en":"FOP","jp":""}},"basin":{"id":24,"basin_code":20,"basin_name":{"th":"ลุ่มน้ำทะเลสาบสงขลา","en":"Thale Sap Songkhla Basin"}},"station":{"id":740738,"tele_station_name":{"en":"Kham Khlong Huai Kruat Bridge","th":"สะพานข้ามคลองห้วยกรวด"},"tele_station_lat":7.8768,"tele_station_long":99.93328,"tele_station_oldcode":"FOP037","tele_station_type":"tele_waterlevel","left_bank":20.5944,"right_bank":20.5244,"min_bank":20.52,"ground_level":13.1544,"offset":null,"sub_basin_id":328,"sponsor_by":"มูลนิธิอาสาเพื่อนพึ่ง (ภาฯ) ยามยาก สภากาชาดไทย","agency_id":91,"geocode_id":7238,"hydro_id":null,"qmax":null,"is_key_station":false,"warning_level_m":null,"critical_level_m":null,"critical_level_msl":null},"geocode":{"area_code":"5","area_name":{"th":"ภาคใต้","en":"South"},"amphoe_code":"07","amphoe_name":{"th":"ชะอวด","en":"Cha-uat District"},"tumbon_code":"08","tumbon_name":{"th":"เกาะขันธ์","en":"Ko Khan"},"province_code":"80","province_name":{"th":"นครศรีธรรมราช","en":"Nakhon Si Thammarat"}},"diff_wl_bank":"7.25","diff_wl_bank_text":"ต่ำกว่าตลิ่ง (ม.)","river_gid":223277,"river_name":"คลองห้วยกรวด"}</t>
  </si>
  <si>
    <t>https://www.google.com/maps/place/%E0%B9%82%E0%B8%A3%E0%B8%87%E0%B9%80%E0%B8%A3%E0%B8%B5%E0%B8%A2%E0%B8%99%E0%B8%A8%E0%B8%A3%E0%B8%B5%E0%B9%80%E0%B8%AD%E0%B8%B5%E0%B9%88%E0%B8%A2%E0%B8%A1%E0%B8%AD%E0%B8%99%E0%B8%B8%E0%B8%AA%E0%B8%A3%E0%B8%93%E0%B9%8C/@13.6679037,100.6410586,17z/data=!3m1!4b1!4m6!3m5!1s0x30e2a0101606511f:0xf34040112b8a79d0!8m2!3d13.6678985!4d100.6436335!16s%2Fg%2F122770zk?entry=tts&amp;g_ep=EgoyMDI2MDkyMy4wIPu8ASoASAFQAw%3D%3D&amp;skid=3ab43948-ddfa-45ff-8910-de4a4cbf30f4</t>
  </si>
  <si>
    <t>THAIWATER_WL:1120554</t>
  </si>
  <si>
    <t>MOU454</t>
  </si>
  <si>
    <t>คลองเบตง (ชุมชนกุนุงจนอง)</t>
  </si>
  <si>
    <t>คลองตาโล๊ะ</t>
  </si>
  <si>
    <t>{"id":1317594095,"waterlevel_datetime":"2026-10-03 15:10","waterlevel_m":null,"waterlevel_msl":"281.70","waterlevel_msl_previous":"281.71","flow_rate":null,"discharge":null,"storage_percent":"1.11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Basin"}},"station":{"id":1120554,"tele_station_name":{"en":"Betong Canal (Gu Nung Ja Nong community)","th":"คลองเบตง (ชุมชนกุนุงจนอง)"},"tele_station_lat":5.785312,"tele_station_long":101.058685,"tele_station_oldcode":"MOU454","tele_station_type":"tele_waterlevel","left_bank":286.432,"right_bank":286.599,"min_bank":286.43,"ground_level":281.647,"offset":null,"sub_basin_id":335,"sponsor_by":"มูลนิธิป่อเต็กตึ๊ง","agency_id":91,"geocode_id":8280,"hydro_id":null,"qmax":null,"is_key_station":false,"warning_level_m":null,"critical_level_m":null,"critical_level_msl":null},"geocode":{"area_code":"5","area_name":{"th":"ภาคใต้","en":"South"},"amphoe_code":"02","amphoe_name":{"th":"เบตง","en":"Betong District"},"tumbon_code":"01","tumbon_name":{"th":"เบตง","en":"Betong"},"province_code":"95","province_name":{"th":"ยะลา","en":"Yala"}},"diff_wl_bank":"4.73","diff_wl_bank_text":"ต่ำกว่าตลิ่ง (ม.)","river_gid":232640,"river_name":"คลองตาโล๊ะ"}</t>
  </si>
  <si>
    <t>THAIWATER_WL:595071</t>
  </si>
  <si>
    <t>MOU009</t>
  </si>
  <si>
    <t>สะพานน้ำแม่สา</t>
  </si>
  <si>
    <t>น้ำแม่สา</t>
  </si>
  <si>
    <t>{"id":1317594053,"waterlevel_datetime":"2026-10-03 15:10","waterlevel_m":null,"waterlevel_msl":"735.24","waterlevel_msl_previous":"735.24","flow_rate":null,"discharge":null,"storage_percent":"0.93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Basin"}},"station":{"id":595071,"tele_station_name":{"en":"Mae Sa Bridge Bridge","th":"สะพานน้ำแม่สา"},"tele_station_lat":18.885838,"tele_station_long":98.826904,"tele_station_oldcode":"MOU009","tele_station_type":"tele_waterlevel","left_bank":738.452,"right_bank":740.507,"min_bank":738.45,"ground_level":735.21,"offset":null,"sub_basin_id":162,"sponsor_by":"บริษัท แอดวานซ์ อินโฟร์ เซอร์วิส จำกัด (มหาชน)","agency_id":91,"geocode_id":4771,"hydro_id":null,"qmax":null,"is_key_station":false,"warning_level_m":null,"critical_level_m":null,"critical_level_msl":null},"geocode":{"area_code":"3","area_name":{"th":"ภาคเหนือ","en":"North"},"amphoe_code":"07","amphoe_name":{"th":"แม่ริม","en":"Mae Rim District"},"tumbon_code":"08","tumbon_name":{"th":"โป่งแยง","en":"Pong Yaeng"},"province_code":"50","province_name":{"th":"เชียงใหม่","en":"Chiang Mai"}},"diff_wl_bank":"3.21","diff_wl_bank_text":"ต่ำกว่าตลิ่ง (ม.)","river_gid":34706,"river_name":"น้ำแม่สา"}</t>
  </si>
  <si>
    <t>THAIWATER_WL:2666</t>
  </si>
  <si>
    <t>B.8A</t>
  </si>
  <si>
    <t>บ้านโพรงเข้</t>
  </si>
  <si>
    <t>ห้วยผาก</t>
  </si>
  <si>
    <t>{"id":1317575413,"waterlevel_datetime":"2026-10-03 14:00","waterlevel_m":null,"waterlevel_msl":"39.39","waterlevel_msl_previous":"39.39","flow_rate":null,"discharge":null,"storage_percent":"0.90","sort_order":null,"station_type":"tele_waterlevel","situation_level":1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2666,"tele_station_name":{"th":"บ้านโพรงเข้"},"tele_station_lat":12.81504,"tele_station_long":99.700867,"tele_station_oldcode":"B.8A","tele_station_type":"tele_waterlevel","left_bank":84.200998,"right_bank":84.205998,"min_bank":45.1,"ground_level":39.338,"offset":39.099998,"sub_basin_id":300,"agency_id":12,"geocode_id":7072,"hydro_id":7,"qmax":null,"is_key_station":true,"warning_level_m":null,"critical_level_m":null,"critical_level_msl":null},"geocode":{"area_code":"2","area_name":{"th":"ภาคกลาง","en":"Central"},"amphoe_code":"05","amphoe_name":{"th":"ท่ายาง","en":"Tha Yang District"},"tumbon_code":"11","tumbon_name":{"th":"กลัดหลวง","en":"Klat Luang"},"province_code":"76","province_name":{"th":"เพชรบุรี","en":"Phetchaburi"}},"diff_wl_bank":"5.71","diff_wl_bank_text":"ต่ำกว่าตลิ่ง (ม.)","river_gid":210190,"river_name":"ห้วยผาก"}</t>
  </si>
  <si>
    <t>THAIWATER_WL:516218</t>
  </si>
  <si>
    <t>FOP013</t>
  </si>
  <si>
    <t>บ้านตอง</t>
  </si>
  <si>
    <t>305381ee-3fc0-ae22-6f64-7ed11ec1bf9d</t>
  </si>
  <si>
    <t>โรงเรียนอำนวยกนกศิริอนุสรณ์</t>
  </si>
  <si>
    <t>https://maps.app.goo.gl/q1Kf8Yqp4BU849BRA</t>
  </si>
  <si>
    <t>{"id":1317594024,"waterlevel_datetime":"2026-10-03 15:10","waterlevel_m":null,"waterlevel_msl":"356.72","waterlevel_msl_previous":"356.73","flow_rate":null,"discharge":null,"storage_percent":"0.20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Basin"}},"station":{"id":516218,"tele_station_name":{"en":"Ban Tong","th":"บ้านตอง"},"tele_station_lat":18.846567,"tele_station_long":101.028946,"tele_station_oldcode":"FOP013","tele_station_type":"tele_waterlevel","left_bank":360.682,"right_bank":362.172,"min_bank":360.68,"ground_level":356.712,"offset":null,"sub_basin_id":219,"sponsor_by":"มูลนิธิอาสาเพื่อนพึ่ง (ภาฯ) ยามยาก สภากาชาดไทย","agency_id":91,"geocode_id":5276,"hydro_id":null,"qmax":null,"is_key_station":false,"warning_level_m":null,"critical_level_m":null,"critical_level_msl":null},"geocode":{"area_code":"3","area_name":{"th":"ภาคเหนือ","en":"North"},"amphoe_code":"02","amphoe_name":{"th":"แม่จริม","en":"Mae Charim District"},"tumbon_code":"06","tumbon_name":{"th":"แม่จริม","en":"Mae Charim"},"province_code":"55","province_name":{"th":"น่าน","en":"Nan"}},"diff_wl_bank":"3.96","diff_wl_bank_text":"ต่ำกว่าตลิ่ง (ม.)","river_gid":36067,"river_name":"น้ำมวบ"}</t>
  </si>
  <si>
    <t>THAIWATER_WL:740731</t>
  </si>
  <si>
    <t>FOP030</t>
  </si>
  <si>
    <t>สะพานข้ามคลองหวาด</t>
  </si>
  <si>
    <t>คลองหวาด</t>
  </si>
  <si>
    <t>2026-09-27T05:51:57.122Z</t>
  </si>
  <si>
    <t>{"id":"305381ee-3fc0-ae22-6f64-7ed11ec1bf9d","district":"บางนา","category":"ศูนย์พักพิงชั่วคราว","name":"โรงเรียนอำนวยกนกศิริอนุสรณ์","capacity":20,"occupied":15,"available":5,"unitType":"คน","status":"เปิดให้บริการ/ว่าง","routeDetails":"","link":"https://maps.app.goo.gl/q1Kf8Yqp4BU849BRA","additionalDetails":null,"createdAt":"2026-09-26T05:28:31.000Z","updatedAt":"2026-09-27T05:51:57.122Z"}</t>
  </si>
  <si>
    <t>{"id":1317594033,"waterlevel_datetime":"2026-10-03 15:10","waterlevel_m":null,"waterlevel_msl":"66.54","waterlevel_msl_previous":"66.54","flow_rate":null,"discharge":null,"storage_percent":"-0.16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Foundation","jp":""},"agency_shortname":{"th":"พพภ","en":"FOP","jp":""}},"basin":{"id":22,"basin_code":19,"basin_name":{"th":"ลุ่มน้ำภาคใต้ฝั่งตะวันออกตอนบน","en":"Peninsula - Upper East Coast Basin"}},"station":{"id":740731,"tele_station_name":{"en":"Kham Khlong Wat Bridge","th":"สะพานข้ามคลองหวาด"},"tele_station_lat":8.935923,"tele_station_long":99.60879,"tele_station_oldcode":"FOP030","tele_station_type":"tele_waterlevel","left_bank":73.44,"right_bank":72.94,"min_bank":72.94,"ground_level":66.55,"offset":null,"sub_basin_id":325,"sponsor_by":"มูลนิธิอาสาเพื่อนพึ่ง (ภาฯ) ยามยาก สภากาชาดไทย","agency_id":91,"geocode_id":7532,"hydro_id":null,"qmax":null,"is_key_station":false,"warning_level_m":null,"critical_level_m":null,"critical_level_msl":null},"geocode":{"area_code":"5","area_name":{"th":"ภาคใต้","en":"South"},"amphoe_code":"02","amphoe_name":{"th":"กาญจนดิษฐ์","en":"Kanchanadit District"},"tumbon_code":"13","tumbon_name":{"th":"คลองสระ","en":"Khlong Sa"},"province_code":"84","province_name":{"th":"สุราษฎร์ธานี","en":"Surat Thani"}},"diff_wl_bank":"6.40","diff_wl_bank_text":"ต่ำกว่าตลิ่ง (ม.)","river_gid":216912,"river_name":"คลองหวาด"}</t>
  </si>
  <si>
    <t>THAIWATER_WL:740746</t>
  </si>
  <si>
    <t>FOP045</t>
  </si>
  <si>
    <t>https://www.google.com/maps/place/%E0%B9%82%E0%B8%A3%E0%B8%87%E0%B9%80%E0%B8%A3%E0%B8%B5%E0%B8%A2%E0%B8%99%E0%B8%AD%E0%B8%B3%E0%B8%99%E0%B8%A7%E0%B8%A2%E0%B8%81%E0%B8%99%E0%B8%81%E0%B8%A8%E0%B8%B4%E0%B8%A3%E0%B8%B4%E0%B8%AD%E0%B8%99%E0%B8%B8%E0%B8%AA%E0%B8%A3%E0%B8%93%E0%B9%8C/@13.6749994,100.6164852,17z/data=!3m1!4b1!4m6!3m5!1s0x30e2a007f28f99a3:0x839841a0bbd7ea98!8m2!3d13.6749942!4d100.6190601!16s%2Fg%2F1tg_j2fk?entry=tts&amp;g_ep=EgoyMDI2MDkyMy4wIPu8ASoASAFQAw%3D%3D&amp;skid=57f40649-ceed-4317-bd47-b1cbc617236d</t>
  </si>
  <si>
    <t>สะพานข้ามแม่น้ำปัตตานี</t>
  </si>
  <si>
    <t>{"id":1317594040,"waterlevel_datetime":"2026-10-03 15:10","waterlevel_m":null,"waterlevel_msl":"5.90","waterlevel_msl_previous":"5.91","flow_rate":null,"discharge":null,"storage_percent":"-0.26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Foundation","jp":""},"agency_shortname":{"th":"พพภ","en":"FOP","jp":""}},"basin":{"id":26,"basin_code":21,"basin_name":{"th":"ลุ่มน้ำภาคใต้ฝั่งตะวันออกตอนล่าง","en":"Peninsula - Lower East Coast Basin"}},"station":{"id":740746,"tele_station_name":{"en":"Kham Maenam Pattani Bridge","th":"สะพานข้ามแม่น้ำปัตตานี"},"tele_station_lat":6.411704,"tele_station_long":101.27776,"tele_station_oldcode":"FOP045","tele_station_type":"tele_waterlevel","left_bank":25.128,"right_bank":25.138,"min_bank":25.13,"ground_level":5.95,"offset":null,"sub_basin_id":336,"sponsor_by":"มูลนิธิอาสาเพื่อนพึ่ง (ภาฯ) ยามยาก สภากาชาดไทย","agency_id":91,"geocode_id":8326,"hydro_id":null,"qmax":null,"is_key_station":false,"warning_level_m":null,"critical_level_m":null,"critical_level_msl":null},"geocode":{"area_code":"5","area_name":{"th":"ภาคใต้","en":"South"},"amphoe_code":"08","amphoe_name":{"th":"กรงปินัง","en":"Krong Pinang District"},"tumbon_code":"01","tumbon_name":{"th":"กรงปินัง","en":"Krong Pinang"},"province_code":"95","province_name":{"th":"ยะลา","en":"Yala"}},"diff_wl_bank":"19.23","diff_wl_bank_text":"ต่ำกว่าตลิ่ง (ม.)","river_gid":230507,"river_name":"แม่น้ำปัตตานี"}</t>
  </si>
  <si>
    <t>THAIWATER_WL:11648468</t>
  </si>
  <si>
    <t>UDN001</t>
  </si>
  <si>
    <t>คลองดาน</t>
  </si>
  <si>
    <t>{"id":1317594677,"waterlevel_datetime":"2026-10-03 15:10","waterlevel_m":null,"waterlevel_msl":"162.92","waterlevel_msl_previous":"162.91","flow_rate":null,"discharge":null,"storage_percent":"-1.74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Organization)","jp":""},"agency_shortname":{"th":"สสน.","en":"HII","jp":""}},"basin":{"id":3,"basin_code":3,"basin_name":{"th":"ลุ่มน้ำโขงตะวันออกเฉียงเหนือ","en":"Northeast Khong Basin"}},"station":{"id":11648468,"tele_station_name":{"en":"Khlong Da","th":"คลองดาน"},"tele_station_lat":17.38925,"tele_station_long":103.08734,"tele_station_oldcode":"UDN001","tele_station_type":"tele_waterlevel","left_bank":167.187,"right_bank":166.427,"min_bank":166.43,"ground_level":162.98,"offset":null,"sub_basin_id":50,"agency_id":9,"geocode_id":3557,"hydro_id":null,"qmax":null,"is_key_station":false,"warning_level_m":null,"critical_level_m":null,"critical_level_msl":null},"geocode":{"area_code":"4","area_name":{"th":"ภาคตะวันออกเฉียงเหนือ","en":"Northeast"},"amphoe_code":"17","amphoe_name":{"th":"บ้านผือ","en":"Ban Phue District"},"tumbon_code":"01","tumbon_name":{"th":"บ้านผือ","en":"Ban Phue"},"province_code":"41","province_name":{"th":"อุดรธานี","en":"Udon Thani"}},"diff_wl_bank":"3.51","diff_wl_bank_text":"ต่ำกว่าตลิ่ง (ม.)"}</t>
  </si>
  <si>
    <t>THAIWATER_WL:685653</t>
  </si>
  <si>
    <t>MOU048</t>
  </si>
  <si>
    <t>สะพานห้วยแม่ถาบ้านปาหุ่ง</t>
  </si>
  <si>
    <t>ห้วยแม่ถา</t>
  </si>
  <si>
    <t>{"id":1317594062,"waterlevel_datetime":"2026-10-03 15:10","waterlevel_m":null,"waterlevel_msl":"289.94","waterlevel_msl_previous":"289.96","flow_rate":null,"discharge":null,"storage_percent":"-1.95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Basin"}},"station":{"id":685653,"tele_station_name":{"en":"Ban Pa Hung Birdge","th":"สะพานห้วยแม่ถาบ้านปาหุ่ง"},"tele_station_lat":18.584373,"tele_station_long":100.50956,"tele_station_oldcode":"MOU048","tele_station_type":"tele_waterlevel","left_bank":295.872,"right_bank":295.685,"min_bank":295.69,"ground_level":290.05,"offset":null,"sub_basin_id":223,"sponsor_by":"บริษัท แอดวานซ์ อินโฟร์ เซอร์วิส จำกัด (มหาชน)","agency_id":91,"geocode_id":5323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District"},"tumbon_code":"09","tumbon_name":{"th":"ยาบหัวนา","en":"Yap Hua Na"},"province_code":"55","province_name":{"th":"น่าน","en":"Nan"}},"diff_wl_bank":"5.75","diff_wl_bank_text":"ต่ำกว่าตลิ่ง (ม.)","river_gid":47845,"river_name":"ห้วยแม่ถา"}</t>
  </si>
  <si>
    <t>THAIWATER_WL:1121228</t>
  </si>
  <si>
    <t>MOU298</t>
  </si>
  <si>
    <t>สะพานน้ำแม่ต๋อม</t>
  </si>
  <si>
    <t>น้ำแม่ต๋อม</t>
  </si>
  <si>
    <t>2e9ad61a-d014-a3bf-baa8-a301714c5ea4</t>
  </si>
  <si>
    <t>โรงเรียนเพี้ยนพินอนุสรณ์</t>
  </si>
  <si>
    <t>https://maps.app.goo.gl/s65Kh31qxiYkjTHA7</t>
  </si>
  <si>
    <t>{"id":1317594070,"waterlevel_datetime":"2026-10-03 15:10","waterlevel_m":null,"waterlevel_msl":"794.55","waterlevel_msl_previous":"794.53","flow_rate":null,"discharge":null,"storage_percent":"-2.62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Foundation","jp":""},"agency_shortname":{"th":"พพภ","en":"FOP","jp":""}},"basin":{"id":6,"basin_code":6,"basin_name":{"th":"ลุ่มน้ำปิง","en":"Ping Basin"}},"station":{"id":1121228,"tele_station_name":{"en":"Mae Tom Bridge","th":"สะพานน้ำแม่ต๋อม"},"tele_station_lat":17.799877,"tele_station_long":98.36419,"tele_station_oldcode":"MOU298","tele_station_type":"tele_waterlevel","left_bank":797.064,"right_bank":796.314,"min_bank":796.31,"ground_level":794.595,"offset":null,"sub_basin_id":175,"sponsor_by":"มูลนิธิอาสาเพื่อนพึ่ง (ภาฯ) ยามยาก สภากาชาดไทย","agency_id":91,"geocode_id":4873,"hydro_id":null,"qmax":null,"is_key_station":false,"warning_level_m":null,"critical_level_m":null,"critical_level_msl":null},"geocode":{"area_code":"3","area_name":{"th":"ภาคเหนือ","en":"North"},"amphoe_code":"18","amphoe_name":{"th":"อมก๋อย","en":"Omkoi District"},"tumbon_code":"01","tumbon_name":{"th":"อมก๋อย","en":"Omkoi"},"province_code":"50","province_name":{"th":"เชียงใหม่","en":"Chiang Mai"}},"diff_wl_bank":"1.76","diff_wl_bank_text":"ต่ำกว่าตลิ่ง (ม.)","river_gid":76014,"river_name":"น้ำแม่ต๋อม"}</t>
  </si>
  <si>
    <t>THAIWATER_WL:1101566</t>
  </si>
  <si>
    <t>FOP055</t>
  </si>
  <si>
    <t>คลองกั้ง</t>
  </si>
  <si>
    <t>ห้วยกั้ง</t>
  </si>
  <si>
    <t>2026-09-26T10:41:36.045Z</t>
  </si>
  <si>
    <t>{"id":1317594043,"waterlevel_datetime":"2026-10-03 15:10","waterlevel_m":null,"waterlevel_msl":"69.11","waterlevel_msl_previous":"69.13","flow_rate":null,"discharge":null,"storage_percent":"-3.89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Basin"}},"station":{"id":1101566,"tele_station_name":{"en":"Khlong Kang","th":"คลองกั้ง"},"tele_station_lat":17.71633,"tele_station_long":100.124115,"tele_station_oldcode":"FOP055","tele_station_type":"tele_waterlevel","left_bank":75.746,"right_bank":73.219,"min_bank":73.22,"ground_level":69.264,"offset":null,"sub_basin_id":230,"sponsor_by":"มูลนิธิอาสาเพื่อนพึ่ง (ภาฯ) ยามยาก สภากาชาดไทย","agency_id":91,"geocode_id":5104,"hydro_id":null,"qmax":null,"is_key_station":false,"warning_level_m":null,"critical_level_m":null,"critical_level_msl":null},"geocode":{"area_code":"3","area_name":{"th":"ภาคเหนือ","en":"North"},"amphoe_code":"01","amphoe_name":{"th":"เมืองอุตรดิตถ์","en":"Mueang Uttaradit District"},"tumbon_code":"10","tumbon_name":{"th":"บ้านด่านนาขาม","en":"Ban Dan Na Kham"},"province_code":"53","province_name":{"th":"อุตรดิตถ์","en":"Uttaradit"}},"diff_wl_bank":"4.11","diff_wl_bank_text":"ต่ำกว่าตลิ่ง (ม.)","river_gid":78080,"river_name":"ห้วยกั้ง"}</t>
  </si>
  <si>
    <t>THAIWATER_WL:685658</t>
  </si>
  <si>
    <t>{"id":"2e9ad61a-d014-a3bf-baa8-a301714c5ea4","district":"บางนา","category":"ศูนย์พักพิงชั่วคราว","name":"โรงเรียนเพี้ยนพินอนุสรณ์","capacity":70,"occupied":0,"available":70,"unitType":"คน","status":"เปิดให้บริการ/ว่าง","routeDetails":"","link":"https://maps.app.goo.gl/s65Kh31qxiYkjTHA7","additionalDetails":null,"createdAt":"2026-09-26T05:28:31.000Z","updatedAt":"2026-09-26T10:41:36.045Z"}</t>
  </si>
  <si>
    <t>MOU053</t>
  </si>
  <si>
    <t>สะพานน้ำมวบ บ้านน้ำมวบ</t>
  </si>
  <si>
    <t>https://www.google.com/maps/place/%E0%B9%82%E0%B8%A3%E0%B8%87%E0%B9%80%E0%B8%A3%E0%B8%B5%E0%B8%A2%E0%B8%99%E0%B9%80%E0%B8%9E%E0%B8%B5%E0%B9%89%E0%B8%A2%E0%B8%99%E0%B8%9E%E0%B8%B4%E0%B8%99%E0%B8%AD%E0%B8%99%E0%B8%B8%E0%B8%AA%E0%B8%A3%E0%B8%93%E0%B9%8C/@13.6637067,100.59507,17z/data=!3m1!4b1!4m6!3m5!1s0x30e2a1e3af3df729:0x2a195507be3cae30!8m2!3d13.6637015!4d100.5976449!16s%2Fg%2F11sb4xl6d0?entry=tts&amp;g_ep=EgoyMDI2MDkyMy4wIPu8ASoASAFQAw%3D%3D&amp;skid=7a74b4a8-f29a-4354-99cb-8186a37d37c7</t>
  </si>
  <si>
    <t>{"id":1317594063,"waterlevel_datetime":"2026-10-03 15:10","waterlevel_m":null,"waterlevel_msl":"291.02","waterlevel_msl_previous":"291.03","flow_rate":null,"discharge":null,"storage_percent":"-4.42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Basin"}},"station":{"id":685658,"tele_station_name":{"en":"Nam Muab (Ban Nam Muab) Birdge","th":"สะพานน้ำมวบ บ้านน้ำมวบ"},"tele_station_lat":18.484377,"tele_station_long":100.93808,"tele_station_oldcode":"MOU053","tele_station_type":"tele_waterlevel","left_bank":295.272,"right_bank":295.279,"min_bank":295.27,"ground_level":291.2,"offset":null,"sub_basin_id":228,"sponsor_by":"บริษัท แอดวานซ์ อินโฟร์ เซอร์วิส จำกัด (มหาชน)","agency_id":91,"geocode_id":5321,"hydro_id":null,"qmax":null,"is_key_station":false,"warning_level_m":null,"critical_level_m":null,"critical_level_msl":null},"geocode":{"area_code":"3","area_name":{"th":"ภาคเหนือ","en":"North"},"amphoe_code":"07","amphoe_name":{"th":"เวียงสา","en":"Wiang Sa District"},"tumbon_code":"07","tumbon_name":{"th":"น้ำมวบ","en":"Nam Muap"},"province_code":"55","province_name":{"th":"น่าน","en":"Nan"}},"diff_wl_bank":"4.25","diff_wl_bank_text":"ต่ำกว่าตลิ่ง (ม.)","river_gid":52523,"river_name":"น้ำมวบ"}</t>
  </si>
  <si>
    <t>THAIWATER_WL:162</t>
  </si>
  <si>
    <t>PRC001</t>
  </si>
  <si>
    <t>กบินทร์บุรี</t>
  </si>
  <si>
    <t>{"id":1314108589,"waterlevel_datetime":"2026-09-28 00:10","waterlevel_m":null,"waterlevel_msl":"-2.55","waterlevel_msl_previous":"-2.55","flow_rate":null,"discharge":null,"storage_percent":"-5.72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Organization)","jp":""},"agency_shortname":{"th":"สสน.","en":"HII","jp":""}},"basin":{"id":16,"basin_code":15,"basin_name":{"th":"ลุ่มน้ำบางปะกง","en":"Bang Pakong Basin"}},"station":{"id":162,"tele_station_name":{"en":"Prachinburi 1","th":"กบินทร์บุรี"},"tele_station_lat":13.986616,"tele_station_long":101.70547,"tele_station_oldcode":"PRC001","tele_station_type":"tele_waterlevel","left_bank":11.431,"right_bank":11.539,"min_bank":11.43,"ground_level":-1.794,"offset":null,"sub_basin_id":281,"agency_id":9,"geocode_id":1499,"hydro_id":null,"qmax":null,"is_key_station":false,"warning_level_m":null,"critical_level_m":null,"critical_level_msl":null},"geocode":{"area_code":"2","area_name":{"th":"ภาคกลาง","en":"Central"},"amphoe_code":"02","amphoe_name":{"th":"กบินทร์บุรี","en":"Kabin Buri District"},"tumbon_code":"01","tumbon_name":{"th":"กบินทร์","en":"Kabin"},"province_code":"25","province_name":{"th":"ปราจีนบุรี","en":"Prachin Buri"}},"diff_wl_bank":"13.98","diff_wl_bank_text":"ต่ำกว่าตลิ่ง (ม.)","river_gid":195042,"river_name":"แม่น้ำบางปะกง"}</t>
  </si>
  <si>
    <t>THAIWATER_WL:3049</t>
  </si>
  <si>
    <t>Y.26</t>
  </si>
  <si>
    <t>ห้วยแม่มอก</t>
  </si>
  <si>
    <t>{"id":1317572416,"waterlevel_datetime":"2026-10-03 14:00","waterlevel_m":null,"waterlevel_msl":"101.45","waterlevel_msl_previous":"101.45","flow_rate":null,"discharge":"6.80","storage_percent":"-6.89","sort_order":null,"station_type":"tele_waterlevel","situation_level":1,"agency":{"id":12,"agency_name":{"th":"กรมชลประทาน ","en":"Royal Irrigation Department","jp":""},"agency_shortname":{"th":"ชป.","en":"RID","jp":""}},"basin":{"id":8,"basin_code":8,"basin_name":{"th":"ลุ่มน้ำยม","en":"Yom Basin"}},"station":{"id":3049,"tele_station_name":{"th":"ห้วยแม่มอก"},"tele_station_lat":17.33189,"tele_station_long":99.461807,"tele_station_oldcode":"Y.26","tele_station_type":"tele_waterlevel","left_bank":207.079997,"right_bank":206.932997,"min_bank":106.26,"ground_level":101.76,"offset":100.379997,"sub_basin_id":210,"agency_id":12,"geocode_id":5054,"hydro_id":2,"qmax":290,"is_key_station":false,"warning_level_m":null,"critical_level_m":null,"critical_level_msl":null},"geocode":{"area_code":"3","area_name":{"th":"ภาคเหนือ","en":"North"},"amphoe_code":"08","amphoe_name":{"th":"เถิน","en":"Thoeng District"},"tumbon_code":"05","tumbon_name":{"th":"เวียงมอก","en":"Wiang Mok"},"province_code":"52","province_name":{"th":"ลำปาง","en":"Lampang"}},"diff_wl_bank":"4.81","diff_wl_bank_text":"ต่ำกว่าตลิ่ง (ม.)","river_gid":84652,"river_name":"ห้วยแม่มอก"}</t>
  </si>
  <si>
    <t>THAIWATER_WL:1109493</t>
  </si>
  <si>
    <t>ONE004</t>
  </si>
  <si>
    <t>สะพานข้ามคลองตะโก</t>
  </si>
  <si>
    <t>e8b14651-ee91-f6ce-c7e7-0b796b904096</t>
  </si>
  <si>
    <t>โรงเรียนวัดหัวลำโพง</t>
  </si>
  <si>
    <t>https://share.google/SN3IeQUtAgTeMzEf6</t>
  </si>
  <si>
    <t>{"id":1317594460,"waterlevel_datetime":"2026-10-03 15:10","waterlevel_m":null,"waterlevel_msl":"66.86","waterlevel_msl_previous":"66.84","flow_rate":null,"discharge":null,"storage_percent":"-10.65","sort_order":null,"station_type":"tele_waterlevel","situation_level":1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Basin"}},"station":{"id":1109493,"tele_station_name":{"en":"Khlong Tako Bridge","th":"สะพานข้ามคลองตะโก"},"tele_station_lat":10.077709,"tele_station_long":98.98693,"tele_station_oldcode":"ONE004","tele_station_type":"tele_waterlevel","left_bank":69.998,"right_bank":70.529,"min_bank":70,"ground_level":67.162,"offset":null,"sub_basin_id":311,"agency_id":9,"geocode_id":7770,"hydro_id":null,"qmax":null,"is_key_station":false,"warning_level_m":null,"critical_level_m":null,"critical_level_msl":null},"geocode":{"area_code":"5","area_name":{"th":"ภาคใต้","en":"South"},"amphoe_code":"08","amphoe_name":{"th":"ทุ่งตะโก","en":"Thung Tako District"},"tumbon_code":"03","tumbon_name":{"th":"ตะโก","en":"Tako"},"province_code":"86","province_name":{"th":"ชุมพร","en":"Chumphon"}},"diff_wl_bank":"3.14","diff_wl_bank_text":"ต่ำกว่าตลิ่ง (ม.)","river_gid":213886,"river_name":"คลองตะโก"}</t>
  </si>
  <si>
    <t>THAIWATER_WL:505072</t>
  </si>
  <si>
    <t>X.231A</t>
  </si>
  <si>
    <t>ชุมชนประชาบำรุง</t>
  </si>
  <si>
    <t>2026-09-26T08:04:58.000Z</t>
  </si>
  <si>
    <t>{"id":"e8b14651-ee91-f6ce-c7e7-0b796b904096","district":"บางรัก","category":"ศูนย์พักพิงชั่วคราว","name":"โรงเรียนวัดหัวลำโพง","capacity":100,"occupied":0,"available":100,"unitType":"คน","status":"เปิดให้บริการ/ว่าง","routeDetails":"","link":"https://share.google/SN3IeQUtAgTeMzEf6","additionalDetails":null,"createdAt":"2026-09-26T08:04:58.000Z","updatedAt":"2026-09-26T08:04:58.000Z"}</t>
  </si>
  <si>
    <t>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</t>
  </si>
  <si>
    <t>{"id":1317523531,"waterlevel_datetime":"2026-10-03 12:00","waterlevel_m":null,"waterlevel_msl":"-0.39","waterlevel_msl_previous":"-0.51","flow_rate":null,"discharge":null,"storage_percent":"-13.00","sort_order":null,"station_type":"tele_waterlevel","situation_level":1,"agency":{"id":12,"agency_name":{"th":"กรมชลประทาน ","en":"Royal Irrigation Department","jp":""},"agency_shortname":{"th":"ชป.","en":"RID","jp":""}},"basin":{"id":27,"basin_code":22,"basin_name":{"th":"ลุ่มน้ำภาคใต้ฝั่งตะวันตก","en":"Peninsula - West Coast Basin"}},"station":{"id":505072,"tele_station_name":{"th":"ชุมชนประชาบำรุง"},"tele_station_lat":6.87577,"tele_station_long":99.782639,"tele_station_oldcode":"X.231A","tele_station_type":"tele_waterlevel","left_bank":3,"right_bank":3,"min_bank":3,"ground_level":0,"offset":null,"sub_basin_id":351,"agency_id":12,"geocode_id":7946,"hydro_id":8,"qmax":null,"is_key_station":true,"warning_level_m":null,"critical_level_m":3,"critical_level_msl":3},"geocode":{"area_code":"5","area_name":{"th":"ภาคใต้","en":"South"},"amphoe_code":"05","amphoe_name":{"th":"ละงู","en":"La-ngu District"},"tumbon_code":"02","tumbon_name":{"th":"ละงู","en":"La-Ngu"},"province_code":"91","province_name":{"th":"สตูล","en":"Satun"}},"diff_wl_bank":"3.39","diff_wl_bank_text":"ต่ำกว่าตลิ่ง (ม.)","river_gid":227925,"river_name":"คลองละงู"}</t>
  </si>
  <si>
    <t>THAIWATER_WL:700591</t>
  </si>
  <si>
    <t>MKVKD08</t>
  </si>
  <si>
    <t>สะพานมิตรภาพชุมพล</t>
  </si>
  <si>
    <t>{"id":1317593152,"waterlevel_datetime":"2026-10-03 15:00","waterlevel_m":null,"waterlevel_msl":"95.81","waterlevel_msl_previous":"95.82","flow_rate":null,"discharge":"23.03","storage_percent":"-29.51","sort_order":null,"station_type":"tele_waterlevel","situation_level":1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700591,"tele_station_name":{"th":"สะพานมิตรภาพชุมพล"},"tele_station_lat":13.56012,"tele_station_long":99.36201,"tele_station_oldcode":"MKVKD08","tele_station_type":"tele_waterlevel","left_bank":100.37,"right_bank":104.7,"min_bank":100.37,"ground_level":96.85,"offset":null,"sub_basin_id":274,"agency_id":8,"geocode_id":6499,"hydro_id":null,"qmax":null,"is_key_station":false,"warning_level_m":null,"critical_level_m":null,"critical_level_msl":99.32},"geocode":{"area_code":"2","area_name":{"th":"ภาคกลาง","en":"Central"},"amphoe_code":"03","amphoe_name":{"th":"สวนผึ้ง","en":"Suan Phueng District"},"tumbon_code":"01","tumbon_name":{"th":"สวนผึ้ง","en":"Suan Phueng"},"province_code":"70","province_name":{"th":"ราชบุรี","en":"Ratchaburi"}},"diff_wl_bank":"4.56","diff_wl_bank_text":"ต่ำกว่าตลิ่ง (ม.)","river_gid":189875,"river_name":"แม่น้ำภาชี"}</t>
  </si>
  <si>
    <t>THAIWATER_WL:516213</t>
  </si>
  <si>
    <t>FOP008</t>
  </si>
  <si>
    <t>ลำน้ำกูน</t>
  </si>
  <si>
    <t>น้ำคูณ</t>
  </si>
  <si>
    <t>{"id":1317594022,"waterlevel_datetime":"2026-10-03 15:10","waterlevel_m":null,"waterlevel_msl":"296.12","waterlevel_msl_previous":"295.82","flow_rate":null,"discharge":null,"storage_percent":"-43.19","sort_order":null,"station_type":"tele_waterlevel","situation_level":1,"agency":{"id":91,"agency_name":{"th":"มูลนิธิอาสาเพื่อนพึ่ง (ภาฯ) ยามยาก สภากาชาดไทย","en":"Friend in Need (of “Pa”) Volunteers Foundation","jp":""},"agency_shortname":{"th":"พพภ","en":"FOP","jp":""}},"basin":{"id":9,"basin_code":9,"basin_name":{"th":"ลุ่มน้ำน่าน","en":"Nan Basin"}},"station":{"id":516213,"tele_station_name":{"en":"Lamnam Kun","th":"ลำน้ำกูน"},"tele_station_lat":19.148926,"tele_station_long":100.94644,"tele_station_oldcode":"FOP008","tele_station_type":"tele_waterlevel","left_bank":299.443,"right_bank":298.736,"min_bank":298.74,"ground_level":296.909,"offset":null,"sub_basin_id":216,"sponsor_by":"มูลนิธิอาสาเพื่อนพึ่ง (ภาฯ) ยามยาก สภากาชาดไทย","agency_id":91,"geocode_id":5294,"hydro_id":null,"qmax":null,"is_key_station":false,"warning_level_m":null,"critical_level_m":null,"critical_level_msl":null},"geocode":{"area_code":"3","area_name":{"th":"ภาคเหนือ","en":"North"},"amphoe_code":"05","amphoe_name":{"th":"ปัว","en":"Pua District"},"tumbon_code":"04","tumbon_name":{"th":"ศิลาแลง","en":"Sila Laeng"},"province_code":"55","province_name":{"th":"น่าน","en":"Nan"}},"diff_wl_bank":"2.62","diff_wl_bank_text":"ต่ำกว่าตลิ่ง (ม.)","river_gid":23483,"river_name":"น้ำคูณ"}</t>
  </si>
  <si>
    <t>THAIWATER_WL:700559</t>
  </si>
  <si>
    <t>MKSNU03</t>
  </si>
  <si>
    <t>หน่วยพิทักษ์ป่าเขาบันได</t>
  </si>
  <si>
    <t>ห้วยแม่ดี</t>
  </si>
  <si>
    <t>{"id":1317593947,"waterlevel_datetime":"2026-10-03 15:00","waterlevel_m":null,"waterlevel_msl":"210.61","waterlevel_msl_previous":"210.60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700559,"tele_station_name":{"th":"หน่วยพิทักษ์ป่าเขาบันได"},"tele_station_lat":15.27736,"tele_station_long":99.15219,"tele_station_oldcode":"MKSNU03","tele_station_type":"tele_waterlevel","left_bank":0,"right_bank":0,"min_bank":0,"ground_level":0,"offset":null,"sub_basin_id":265,"agency_id":8,"geocode_id":5855,"hydro_id":null,"qmax":null,"is_key_station":false,"warning_level_m":null,"critical_level_m":null,"critical_level_msl":0},"geocode":{"area_code":"3","area_name":{"th":"ภาคเหนือ","en":"North"},"amphoe_code":"06","amphoe_name":{"th":"บ้านไร่","en":"Ban Rai District"},"tumbon_code":"07","tumbon_name":{"th":"แก่นมะกรูด","en":"Kaen Makrut"},"province_code":"61","province_name":{"th":"อุทัยธานี","en":"Uthai Thani"}},"diff_wl_bank":"210.61","diff_wl_bank_text":"ล้นตลิ่ง (ม.)","river_gid":174297,"river_name":"ห้วยแม่ดี"}</t>
  </si>
  <si>
    <t>THAIWATER_WL:2773</t>
  </si>
  <si>
    <t>M.104</t>
  </si>
  <si>
    <t>บ้านวังปลัด</t>
  </si>
  <si>
    <t>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</t>
  </si>
  <si>
    <t>{"id":1317571341,"waterlevel_datetime":"2026-10-03 14:00","waterlevel_m":null,"waterlevel_msl":"133.61","waterlevel_msl_previous":"133.61","flow_rate":null,"discharge":"125.10","storage_percent":null,"sort_order":null,"station_type":"tele_waterlevel","agency":{"id":12,"agency_name":{"th":"กรมชลประทาน ","en":"Royal Irrigation Department","jp":""},"agency_shortname":{"th":"ชป.","en":"RID","jp":""}},"basin":{"id":5,"basin_code":5,"basin_name":{"th":"ลุ่มน้ำมูล","en":"Mun Basin"}},"station":{"id":2773,"tele_station_name":{"th":"บ้านวังปลัด"},"tele_station_lat":15.43527,"tele_station_long":103.012627,"tele_station_oldcode":"M.104","tele_station_type":"tele_waterlevel","left_bank":134.200003,"right_bank":134.200003,"min_bank":137.8,"offset":128.300003,"sub_basin_id":120,"agency_id":12,"geocode_id":2017,"hydro_id":4,"qmax":710,"is_key_station":false,"warning_level_m":null,"critical_level_m":null,"critical_level_msl":null},"geocode":{"area_code":"4","area_name":{"th":"ภาคตะวันออกเฉียงเหนือ","en":"Northeast"},"amphoe_code":"02","amphoe_name":{"th":"คูเมือง","en":"Khu Mueang District"},"tumbon_code":"03","tumbon_name":{"th":"บ้านแพ","en":"Ban Phae"},"province_code":"31","province_name":{"th":"บุรีรัมย์","en":"Buri Ram"}},"diff_wl_bank":"4.19","diff_wl_bank_text":"ต่ำกว่าตลิ่ง (ม.)","river_gid":144618,"river_name":"แม่น้ำมูล"}</t>
  </si>
  <si>
    <t>THAIWATER_WL:832084</t>
  </si>
  <si>
    <t>Ky.3</t>
  </si>
  <si>
    <t>แม่น้ำกุยบุรี</t>
  </si>
  <si>
    <t>{"id":1317575417,"waterlevel_datetime":"2026-10-03 14:00","waterlevel_m":null,"waterlevel_msl":"20.69","waterlevel_msl_previous":"20.69","flow_rate":null,"discharge":"6.70","storage_percent":null,"sort_order":null,"station_type":"tele_waterlevel","agency":{"id":12,"agency_name":{"th":"กรมชลประทาน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832084,"tele_station_name":{"th":"บ้านทุ่งแฝก"},"tele_station_lat":12.09765,"tele_station_long":99.78846,"tele_station_oldcode":"Ky.3","tele_station_type":"tele_waterlevel","left_bank":45.257999,"right_bank":44.745999,"min_bank":24.2,"offset":19.799999,"sub_basin_id":305,"agency_id":12,"geocode_id":7128,"hydro_id":7,"qmax":340,"is_key_station":true,"warning_level_m":null,"critical_level_m":null,"critical_level_msl":null},"geocode":{"area_code":"2","area_name":{"th":"ภาคกลาง","en":"Central"},"amphoe_code":"02","amphoe_name":{"th":"กุยบุรี","en":"Kui Buri District"},"tumbon_code":"07","tumbon_name":{"th":"หาดขาม","en":"Hat Kham"},"province_code":"77","province_name":{"th":"ประจวบคีรีขันธ์","en":"Prachuap Khiri Khan"}},"diff_wl_bank":"3.51","diff_wl_bank_text":"ต่ำกว่าตลิ่ง (ม.)","river_gid":211523,"river_name":"แม่น้ำกุยบุรี"}</t>
  </si>
  <si>
    <t>THAIWATER_WL:558658</t>
  </si>
  <si>
    <t>NPNPU01</t>
  </si>
  <si>
    <t xml:space="preserve">เขื่อนน้ำพุง บ้านคำเพิ่ม </t>
  </si>
  <si>
    <t>ห้วยน้ำพุง</t>
  </si>
  <si>
    <t>{"id":1317591633,"waterlevel_datetime":"2026-10-03 15:00","waterlevel_m":null,"waterlevel_msl":"279.38","waterlevel_msl_previous":"279.38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Basin"}},"station":{"id":558658,"tele_station_name":{"th":"เขื่อนน้ำพุง บ้านคำเพิ่ม "},"tele_station_lat":16.97249,"tele_station_long":103.983376,"tele_station_oldcode":"NPNPU01","tele_station_type":"tele_waterlevel","left_bank":0,"right_bank":0,"min_bank":0,"ground_level":0,"offset":null,"sub_basin_id":69,"agency_id":8,"geocode_id":4514,"hydro_id":null,"qmax":null,"is_key_station":false,"warning_level_m":null,"critical_level_m":null,"critical_level_msl":0},"geocode":{"area_code":"4","area_name":{"th":"ภาคตะวันออกเฉียงเหนือ","en":"Northeast"},"amphoe_code":"18","amphoe_name":{"th":"ภูพาน","en":"Phu Phan District"},"tumbon_code":"02","tumbon_name":{"th":"หลุบเลา","en":"Luplao"},"province_code":"47","province_name":{"th":"สกลนคร","en":"Sakon Nakhon"}},"diff_wl_bank":"279.38","diff_wl_bank_text":"ล้นตลิ่ง (ม.)","river_gid":123869,"river_name":"ห้วยน้ำพุง"}</t>
  </si>
  <si>
    <t>THAIWATER_WL:2689</t>
  </si>
  <si>
    <t>Ny.3</t>
  </si>
  <si>
    <t>บ้านป่าขะ</t>
  </si>
  <si>
    <t>คลองห้วยถ่าน</t>
  </si>
  <si>
    <t>{"id":1317582855,"waterlevel_datetime":"2026-10-03 14:00","waterlevel_m":null,"waterlevel_msl":"9.35","waterlevel_msl_previous":"9.35","flow_rate":null,"discharge":"14.00","storage_percent":null,"sort_order":null,"station_type":"tele_waterlevel","agency":{"id":12,"agency_name":{"th":"กรมชลประทาน ","en":"Royal Irrigation Department","jp":""},"agency_shortname":{"th":"ชป.","en":"RID","jp":""}},"basin":{"id":16,"basin_code":15,"basin_name":{"th":"ลุ่มน้ำบางปะกง","en":"Bang Pakong Basin"}},"station":{"id":2689,"tele_station_name":{"th":"บ้านป่าขะ"},"tele_station_lat":14.28644,"tele_station_long":101.070473,"tele_station_oldcode":"Ny.3","tele_station_type":"tele_waterlevel","left_bank":11.36,"right_bank":11.36,"min_bank":11.36,"offset":5.1,"sub_basin_id":282,"agency_id":12,"geocode_id":1587,"hydro_id":6,"qmax":71.800003,"is_key_station":true,"warning_level_m":null,"critical_level_m":null,"critical_level_msl":null},"geocode":{"area_code":"2","area_name":{"th":"ภาคกลาง","en":"Central"},"amphoe_code":"03","amphoe_name":{"th":"บ้านนา","en":"Ban Na District"},"tumbon_code":"08","tumbon_name":{"th":"ป่าขะ","en":"Pa Kha"},"province_code":"26","province_name":{"th":"นครนายก","en":"Nakhon Nayok"}},"diff_wl_bank":"2.01","diff_wl_bank_text":"ต่ำกว่าตลิ่ง (ม.)","river_gid":193539,"river_name":"คลองห้วยถ่าน"}</t>
  </si>
  <si>
    <t>THAIWATER_WL:2658</t>
  </si>
  <si>
    <t>Gt.10</t>
  </si>
  <si>
    <t>บ้านหนองหญ้าปล้อง</t>
  </si>
  <si>
    <t>728/1 ถ. พระรามที่ 4 แขวงสี่พระยา เขตบางรัก กรุงเทพมหานคร 10500 ประเทศไทย</t>
  </si>
  <si>
    <t>ChIJYU92IdWY4jARJWYVbmOLVnY</t>
  </si>
  <si>
    <t>คลองหนองหญ้าปล้อง</t>
  </si>
  <si>
    <t>8a1c081f-f06b-a37a-f746-76cee889174d</t>
  </si>
  <si>
    <t>โรงเรียนวัดแก้วแจ่มฟ้า</t>
  </si>
  <si>
    <t>https://share.google/SU8mNHuRZCgSxXtcj</t>
  </si>
  <si>
    <t>{"id":1317575404,"waterlevel_datetime":"2026-10-03 14:00","waterlevel_m":null,"waterlevel_msl":"23.75","waterlevel_msl_previous":"23.75","flow_rate":null,"discharge":"8.55","storage_percent":null,"sort_order":null,"station_type":"tele_waterlevel","agency":{"id":12,"agency_name":{"th":"กรมชลประทาน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2658,"tele_station_name":{"th":"บ้านหนองหญ้าปล้อง"},"tele_station_lat":11.40416,"tele_station_long":99.519218,"tele_station_oldcode":"Gt.10","tele_station_type":"tele_waterlevel","left_bank":51.348,"right_bank":50.754999999999995,"min_bank":28.9,"offset":22.4,"sub_basin_id":306,"agency_id":12,"geocode_id":7141,"hydro_id":7,"qmax":280,"is_key_station":true,"warning_level_m":null,"critical_level_m":null,"critical_level_msl":null},"geocode":{"area_code":"2","area_name":{"th":"ภาคกลาง","en":"Central"},"amphoe_code":"04","amphoe_name":{"th":"บางสะพาน","en":"Bang Saphan District"},"tumbon_code":"05","tumbon_name":{"th":"ชัยเกษม","en":"Chai Kasem"},"province_code":"77","province_name":{"th":"ประจวบคีรีขันธ์","en":"Prachuap Khiri Khan"}},"diff_wl_bank":"5.15","diff_wl_bank_text":"ต่ำกว่าตลิ่ง (ม.)","river_gid":211939,"river_name":"คลองหนองหญ้าปล้อง"}</t>
  </si>
  <si>
    <t>THAIWATER_WL:700551</t>
  </si>
  <si>
    <t>MKSND01</t>
  </si>
  <si>
    <t>เขื่อนท่าทุ่งนา</t>
  </si>
  <si>
    <t>อ่างเก็บน้ำท่าทุ่งนา</t>
  </si>
  <si>
    <t>{"id":"8a1c081f-f06b-a37a-f746-76cee889174d","district":"บางรัก","category":"ศูนย์พักพิงชั่วคราว","name":"โรงเรียนวัดแก้วแจ่มฟ้า","capacity":50,"occupied":0,"available":50,"unitType":"คน","status":"เปิดให้บริการ/ว่าง","routeDetails":"","link":"https://share.google/SU8mNHuRZCgSxXtcj","additionalDetails":null,"createdAt":"2026-09-26T08:04:58.000Z","updatedAt":"2026-09-26T08:04:58.000Z"}</t>
  </si>
  <si>
    <t>{"id":1317593931,"waterlevel_datetime":"2026-10-03 15:00","waterlevel_m":null,"waterlevel_msl":"57.66","waterlevel_msl_previous":"57.83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Thailand","jp":""},"agency_shortname":{"th":"กฟผ.","en":"EGAT","jp":""}},"basin":{"id":15,"basin_code":14,"basin_name":{"th":"ลุ่มน้ำแม่กลอง","en":"Mae Klong Basin"}},"station":{"id":700551,"tele_station_name":{"th":"เขื่อนท่าทุ่งนา"},"tele_station_lat":14.233779,"tele_station_long":99.235022,"tele_station_oldcode":"MKSND01","tele_station_type":"tele_waterlevel","left_bank":0,"right_bank":0,"min_bank":0,"ground_level":0,"offset":null,"sub_basin_id":266,"agency_id":8,"geocode_id":6591,"hydro_id":null,"qmax":null,"is_key_station":false,"warning_level_m":null,"critical_level_m":null,"critical_level_msl":0},"geocode":{"area_code":"2","area_name":{"th":"ภาคกลาง","en":"Central"},"amphoe_code":"01","amphoe_name":{"th":"เมืองกาญจนบุรี","en":"Mueang Kanchanaburi District"},"tumbon_code":"09","tumbon_name":{"th":"ช่องสะเดา","en":"Chong Sadao"},"province_code":"71","province_name":{"th":"กาญจนบุรี","en":"Kanchanaburi"}},"diff_wl_bank":"57.66","diff_wl_bank_text":"ล้นตลิ่ง (ม.)","river_gid":192997,"river_name":"อ่างเก็บน้ำท่าทุ่งนา"}</t>
  </si>
  <si>
    <t>THAIWATER_WL:1094448</t>
  </si>
  <si>
    <t>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</t>
  </si>
  <si>
    <t>TADE01</t>
  </si>
  <si>
    <t>โรงเรียนวัดโคกโพธิ์สถิตย์</t>
  </si>
  <si>
    <t>{"id":1317594613,"waterlevel_datetime":"2026-10-03 15:10","waterlevel_m":null,"waterlevel_msl":"23.16","waterlevel_msl_previous":"23.16","flow_rate":null,"discharge":null,"storage_percent":null,"sort_order":null,"station_type":"tele_waterlevel","agency":{"id":9,"agency_name":{"th":"สถาบันสารสนเทศทรัพยากรน้ำ (องค์การมหาชน)","en":"Hydro – Informatics Institute (Public Organization)","jp":""},"agency_shortname":{"th":"สสน.","en":"HII","jp":""}},"basin":{"id":22,"basin_code":19,"basin_name":{"th":"ลุ่มน้ำภาคใต้ฝั่งตะวันออกตอนบน","en":"Peninsula - Upper East Coast Basin"}},"station":{"id":1094448,"tele_station_name":{"en":"Wat Khok Pho Sathit School","th":"โรงเรียนวัดโคกโพธิ์สถิตย์"},"tele_station_lat":8.40118,"tele_station_long":99.802,"tele_station_oldcode":"TADE01","tele_station_type":"tele_waterlevel","left_bank":28.737,"right_bank":28.657,"min_bank":28.66,"offset":null,"sub_basin_id":327,"agency_id":9,"geocode_id":7200,"hydro_id":null,"qmax":null,"is_key_station":false,"warning_level_m":null,"critical_level_m":null,"critical_level_msl":null},"geocode":{"area_code":"5","area_name":{"th":"ภาคใต้","en":"South"},"amphoe_code":"03","amphoe_name":{"th":"ลานสกา","en":"Lan Saka District"},"tumbon_code":"04","tumbon_name":{"th":"กำโลน","en":"Kamlon"},"province_code":"80","province_name":{"th":"นครศรีธรรมราช","en":"Nakhon Si Thammarat"}},"diff_wl_bank":"5.50","diff_wl_bank_text":"ต่ำกว่าตลิ่ง (ม.)","river_gid":220159,"river_name":"คลองท่าดี"}</t>
  </si>
  <si>
    <t>THAIWATER_WL:562804</t>
  </si>
  <si>
    <t>BLGTU06</t>
  </si>
  <si>
    <t>ฝายละแอ อ.บันนังสตา จ.ยะลา</t>
  </si>
  <si>
    <t>คลองละแอ</t>
  </si>
  <si>
    <t>{"id":1317592540,"waterlevel_datetime":"2026-10-03 15:00","waterlevel_m":null,"waterlevel_msl":"331.70","waterlevel_msl_previous":"331.70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Basin"}},"station":{"id":562804,"tele_station_name":{"th":"ฝายละแอ อ.บันนังสตา จ.ยะลา"},"tele_station_lat":6.143055,"tele_station_long":101.309167,"tele_station_oldcode":"BLGTU06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Lang"},"province_code":"95","province_name":{"th":"ยะลา","en":"Yala"}},"diff_wl_bank":"331.70","diff_wl_bank_text":"ล้นตลิ่ง (ม.)","river_gid":231505,"river_name":"คลองละแอ"}</t>
  </si>
  <si>
    <t>THAIWATER_WL:2659</t>
  </si>
  <si>
    <t>Gt.9</t>
  </si>
  <si>
    <t>คลองทับสะแก</t>
  </si>
  <si>
    <t>{"id":1317575403,"waterlevel_datetime":"2026-10-03 14:00","waterlevel_m":null,"waterlevel_msl":"7.22","waterlevel_msl_previous":"7.22","flow_rate":null,"discharge":"0.54","storage_percent":null,"sort_order":null,"station_type":"tele_waterlevel","agency":{"id":12,"agency_name":{"th":"กรมชลประทาน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2659,"tele_station_name":{"th":"บ้านกลาง"},"tele_station_lat":11.49674,"tele_station_long":99.602303,"tele_station_oldcode":"Gt.9","tele_station_type":"tele_waterlevel","left_bank":18.162,"right_bank":17.867,"min_bank":10.9,"offset":6.9,"sub_basin_id":306,"agency_id":12,"geocode_id":7132,"hydro_id":7,"qmax":100,"is_key_station":true,"warning_level_m":null,"critical_level_m":4,"critical_level_msl":10.9},"geocode":{"area_code":"2","area_name":{"th":"ภาคกลาง","en":"Central"},"amphoe_code":"03","amphoe_name":{"th":"ทับสะแก","en":"Thap Sakae District"},"tumbon_code":"03","tumbon_name":{"th":"นาหูกวาง","en":"Na Hu Kwang"},"province_code":"77","province_name":{"th":"ประจวบคีรีขันธ์","en":"Prachuap Khiri Khan"}},"diff_wl_bank":"3.68","diff_wl_bank_text":"ต่ำกว่าตลิ่ง (ม.)","river_gid":211894,"river_name":"คลองทับสะแก"}</t>
  </si>
  <si>
    <t>THAIWATER_WL:562808</t>
  </si>
  <si>
    <t>BLGTU05</t>
  </si>
  <si>
    <t>เขื่อนบางลาง อ.บันนังสตา จ.ยะลา</t>
  </si>
  <si>
    <t>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</t>
  </si>
  <si>
    <t>{"id":1317592544,"waterlevel_datetime":"2026-10-03 15:00","waterlevel_m":null,"waterlevel_msl":"99.58","waterlevel_msl_previous":"99.58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Thailand","jp":""},"agency_shortname":{"th":"กฟผ.","en":"EGAT","jp":""}},"basin":{"id":26,"basin_code":21,"basin_name":{"th":"ลุ่มน้ำภาคใต้ฝั่งตะวันออกตอนล่าง","en":"Peninsula - Lower East Coast Basin"}},"station":{"id":562808,"tele_station_name":{"th":"เขื่อนบางลาง อ.บันนังสตา จ.ยะลา"},"tele_station_lat":6.153667,"tele_station_long":101.273116,"tele_station_oldcode":"BLGTU05","tele_station_type":"tele_waterlevel","left_bank":0,"right_bank":0,"min_bank":0,"ground_level":0,"offset":null,"sub_basin_id":335,"agency_id":8,"geocode_id":8291,"hydro_id":null,"qmax":null,"is_key_station":false,"warning_level_m":null,"critical_level_m":null,"critical_level_msl":0},"geocode":{"area_code":"5","area_name":{"th":"ภาคใต้","en":"South"},"amphoe_code":"03","amphoe_name":{"th":"บันนังสตา","en":"Bannang Sata District"},"tumbon_code":"06","tumbon_name":{"th":"เขื่อนบางลาง","en":"Khuean Bang Lang"},"province_code":"95","province_name":{"th":"ยะลา","en":"Yala"}},"diff_wl_bank":"99.58","diff_wl_bank_text":"ล้นตลิ่ง (ม.)","river_gid":231453,"river_name":"แม่น้ำปัตตานี"}</t>
  </si>
  <si>
    <t>THAIWATER_WL:1093312</t>
  </si>
  <si>
    <t>Pr.1</t>
  </si>
  <si>
    <t>บ้านเขาน้อย</t>
  </si>
  <si>
    <t>{"id":1317575418,"waterlevel_datetime":"2026-10-03 14:00","waterlevel_m":null,"waterlevel_msl":"1.71","waterlevel_msl_previous":"1.68","flow_rate":null,"discharge":null,"storage_percent":null,"sort_order":null,"station_type":"tele_waterlevel","agency":{"id":12,"agency_name":{"th":"กรมชลประทาน ","en":"Royal Irrigation Department","jp":""},"agency_shortname":{"th":"ชป.","en":"RID","jp":""}},"basin":{"id":20,"basin_code":18,"basin_name":{"th":"ลุ่มน้ำเพชรบุรี-ประจวบคีรีขันธ์","en":"Phetchaburi - Prachuap Khiri Khan Basin"}},"station":{"id":1093312,"tele_station_name":{"th":"บ้านเขาน้อย"},"tele_station_lat":12.38995,"tele_station_long":99.911247,"tele_station_oldcode":"Pr.1","tele_station_type":"tele_waterlevel","left_bank":6.833,"right_bank":6.765000000000001,"min_bank":6,"offset":-2,"sub_basin_id":303,"agency_id":12,"geocode_id":7152,"hydro_id":7,"qmax":null,"is_key_station":true,"warning_level_m":null,"critical_level_m":null,"critical_level_msl":null},"geocode":{"area_code":"2","area_name":{"th":"ภาคกลาง","en":"Central"},"amphoe_code":"06","amphoe_name":{"th":"ปราณบุรี","en":"Pran Buri District"},"tumbon_code":"02","tumbon_name":{"th":"เขาน้อย","en":"Khao Noi"},"province_code":"77","province_name":{"th":"ประจวบคีรีขันธ์","en":"Prachuap Khiri Khan"}},"diff_wl_bank":"4.29","diff_wl_bank_text":"ต่ำกว่าตลิ่ง (ม.)","river_gid":210951,"river_name":"แม่น้ำปราณบุรี"}</t>
  </si>
  <si>
    <t>THAIWATER_WL:3296</t>
  </si>
  <si>
    <t>I.17</t>
  </si>
  <si>
    <t>บ้านเจดีย์งาม</t>
  </si>
  <si>
    <t>ร่องค้าน</t>
  </si>
  <si>
    <t>{"id":1317388153,"waterlevel_datetime":"2026-10-03 06:00","waterlevel_m":null,"waterlevel_msl":"387.72","waterlevel_msl_previous":"387.77","flow_rate":null,"discharge":"6.10","storage_percent":null,"sort_order":null,"station_type":"tele_waterlevel","agency":{"id":12,"agency_name":{"th":"กรมชลประทาน ","en":"Royal Irrigation Department","jp":""},"agency_shortname":{"th":"ชป.","en":"RID","jp":""}},"basin":{"id":2,"basin_code":2,"basin_name":{"th":"ลุ่มน้ำโขงเหนือ","en":"North Khong Basin"}},"station":{"id":3296,"tele_station_name":{"th":"บ้านเจดีย์งาม"},"tele_station_lat":19.16588,"tele_station_long":99.934341,"tele_station_oldcode":"I.17","tele_station_type":"tele_waterlevel","left_bank":776.8399890000001,"right_bank":776.8449889999999,"min_bank":389.77,"offset":386.269989,"sub_basin_id":34,"agency_id":12,"geocode_id":5414,"hydro_id":1,"qmax":174.899994,"is_key_station":true,"warning_level_m":null,"critical_level_m":null,"critical_level_msl":null},"geocode":{"area_code":"3","area_name":{"th":"ภาคเหนือ","en":"North"},"amphoe_code":"05","amphoe_name":{"th":"ดอกคำใต้","en":"Dok Khamtai District"},"tumbon_code":"01","tumbon_name":{"th":"ดอกคำใต้","en":"Dok Khamtai"},"province_code":"56","province_name":{"th":"พะเยา","en":"Phayao"}},"diff_wl_bank":"2.05","diff_wl_bank_text":"ต่ำกว่าตลิ่ง (ม.)","river_gid":23555,"river_name":"ร่องค้าน"}</t>
  </si>
  <si>
    <t>THAIWATER_WL:3294</t>
  </si>
  <si>
    <t>Sw.5A</t>
  </si>
  <si>
    <t>บ้านท่าโป่งแดง</t>
  </si>
  <si>
    <t>{"id":1317388154,"waterlevel_datetime":"2026-10-03 06:00","waterlevel_m":null,"waterlevel_msl":"176.59","waterlevel_msl_previous":"176.66","flow_rate":null,"discharge":"76.10","storage_percent":null,"sort_order":null,"station_type":"tele_waterlevel","agency":{"id":12,"agency_name":{"th":"กรมชลประทาน ","en":"Royal Irrigation Department","jp":""},"agency_shortname":{"th":"ชป.","en":"RID","jp":""}},"basin":{"id":1,"basin_code":1,"basin_name":{"th":"ลุ่มน้ำสาละวิน","en":"Salawin Basin"}},"station":{"id":3294,"tele_station_name":{"th":"บ้านท่าโป่งแดง"},"tele_station_lat":19.27033,"tele_station_long":97.945213,"tele_station_oldcode":"Sw.5A","tele_station_type":"tele_waterlevel","left_bank":359.634995,"right_bank":357.244995,"min_bank":179.76,"offset":175.759995,"sub_basin_id":5,"agency_id":12,"geocode_id":5599,"hydro_id":1,"qmax":606.799988,"is_key_station":true,"warning_level_m":null,"critical_level_m":32.73,"critical_level_msl":208.49},"geocode":{"area_code":"3","area_name":{"th":"ภาคเหนือ","en":"North"},"amphoe_code":"01","amphoe_name":{"th":"เมืองแม่ฮ่องสอน","en":"Mueang Mae Hong Son District"},"tumbon_code":"03","tumbon_name":{"th":"ผาบ่อง","en":"Pha Bong"},"province_code":"58","province_name":{"th":"แม่ฮ่องสอน","en":"Mae Hong Son"}},"diff_wl_bank":"3.17","diff_wl_bank_text":"ต่ำกว่าตลิ่ง (ม.)","river_gid":20063,"river_name":"แม่น้ำปาย"}</t>
  </si>
  <si>
    <t>THAIWATER_WL:558661</t>
  </si>
  <si>
    <t>NPNPD02</t>
  </si>
  <si>
    <t xml:space="preserve">วัดศิริมังคละเต่างอย </t>
  </si>
  <si>
    <t>562 ถนน สี่พระยา แขวงมหาพฤฒาราม เขตบางรัก กรุงเทพมหานคร 10500 ประเทศไทย</t>
  </si>
  <si>
    <t>ChIJbUChGgCZ4jARJkhEa5WiTx4</t>
  </si>
  <si>
    <t>ad3a1af1-7fed-4791-19dd-0371c220c153</t>
  </si>
  <si>
    <t>ศูนย์นันทนาการบางแคเรืองสอน</t>
  </si>
  <si>
    <t>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</t>
  </si>
  <si>
    <t>{"id":1317586693,"waterlevel_datetime":"2026-10-03 14:00","waterlevel_m":null,"waterlevel_msl":"171.80","waterlevel_msl_previous":"171.71","flow_rate":null,"discharge":null,"storage_percent":null,"sort_order":null,"station_type":"tele_waterlevel","agency":{"id":8,"agency_name":{"th":"การไฟฟ้าฝ่ายผลิตแห่งประเทศไทย","en":"Electricity Generating Authority of Thailand","jp":""},"agency_shortname":{"th":"กฟผ.","en":"EGAT","jp":""}},"basin":{"id":3,"basin_code":3,"basin_name":{"th":"ลุ่มน้ำโขงตะวันออกเฉียงเหนือ","en":"Northeast Khong Basin"}},"station":{"id":558661,"tele_station_name":{"th":"วัดศิริมังคละเต่างอย "},"tele_station_lat":16.994,"tele_station_long":104.172,"tele_station_oldcode":"NPNPD02","tele_station_type":"tele_waterlevel","left_bank":0,"right_bank":0,"min_bank":0,"ground_level":0,"offset":null,"sub_basin_id":69,"agency_id":8,"geocode_id":4491,"hydro_id":null,"qmax":null,"is_key_station":false,"warning_level_m":null,"critical_level_m":null,"critical_level_msl":174.5},"geocode":{"area_code":"4","area_name":{"th":"ภาคตะวันออกเฉียงเหนือ","en":"Northeast"},"amphoe_code":"14","amphoe_name":{"th":"เต่างอย","en":"Tao Ngoi District"},"tumbon_code":"01","tumbon_name":{"th":"เต่างอย","en":"Tao Ngoi"},"province_code":"47","province_name":{"th":"สกลนคร","en":"Sakon Nakhon"}},"diff_wl_bank":"171.80","diff_wl_bank_text":"ล้นตลิ่ง (ม.)","river_gid":124501,"river_name":"ลำน้ำพุง"}</t>
  </si>
  <si>
    <t>2026-09-26T06:47:32.000Z</t>
  </si>
  <si>
    <t>{"id":"ad3a1af1-7fed-4791-19dd-0371c220c153","district":"บางแค","category":"ศูนย์พักพิงชั่วคราว","name":"ศูนย์นันทนาการบางแคเรืองสอน","capacity":80,"occupied":0,"available":80,"unitType":"คน","status":"เปิดให้บริการ/ว่าง","routeDetails":"","link":"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","additionalDetails":null,"createdAt":"2026-09-26T06:47:32.000Z","updatedAt":"2026-09-26T06:47:32.000Z"}</t>
  </si>
  <si>
    <t>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</t>
  </si>
  <si>
    <t>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</t>
  </si>
  <si>
    <t>M9JR+GJC 81 ซอย เรืองสอน 3 แขวงหลักสอง บางแค กรุงเทพมหานคร 10160 ประเทศไทย</t>
  </si>
  <si>
    <t>ChIJNceL-5y94jAR6nYPegl_iPQ</t>
  </si>
  <si>
    <t>0cd2c89e-ba36-9d31-b88a-c76c05c1f68d</t>
  </si>
  <si>
    <t>สำนักงานเขตบึงกุ่ม</t>
  </si>
  <si>
    <t>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</t>
  </si>
  <si>
    <t>08.00-18000</t>
  </si>
  <si>
    <t>2026-09-26T05:13:58.000Z</t>
  </si>
  <si>
    <t>{"id":"0cd2c89e-ba36-9d31-b88a-c76c05c1f68d","district":"บึงกุ่ม","category":"ศูนย์พักพิงชั่วคราว","name":"สำนักงานเขตบึงกุ่ม","capacity":50,"occupied":10,"available":40,"unitType":"คน","status":"เปิดให้บริการ/ว่าง","routeDetails":"","link":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,"additionalDetails":"08.00-18000","createdAt":"2026-09-26T05:13:58.000Z","updatedAt":"2026-09-26T05:13:58.000Z"}</t>
  </si>
  <si>
    <t>e553ca42-5773-3169-a174-72e56b67d9e3</t>
  </si>
  <si>
    <t>โรงเรียนคลองลำเจียก (หวังทองบำรุง)</t>
  </si>
  <si>
    <t>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</t>
  </si>
  <si>
    <t>2026-09-26T07:24:55.000Z</t>
  </si>
  <si>
    <t>{"id":"e553ca42-5773-3169-a174-72e56b67d9e3","district":"บึงกุ่ม","category":"ศูนย์พักพิงชั่วคราว","name":"โรงเรียนคลองลำเจียก (หวังทองบำรุง)","capacity":30,"occupied":11,"available":19,"unitType":"คน","status":"เปิดให้บริการ/ว่าง","routeDetails":"","link":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,"additionalDetails":"08.00-18000","createdAt":"2026-09-26T05:13:58.000Z","updatedAt":"2026-09-26T07:24:55.000Z"}</t>
  </si>
  <si>
    <t>3a92071b-d88d-a6ad-93af-f017a934040c</t>
  </si>
  <si>
    <t>โรงเรียนวัดบางเตย</t>
  </si>
  <si>
    <t>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</t>
  </si>
  <si>
    <t>08.00-18.00</t>
  </si>
  <si>
    <t>{"id":"3a92071b-d88d-a6ad-93af-f017a934040c","district":"บึงกุ่ม","category":"ศูนย์พักพิงชั่วคราว","name":"โรงเรียนวัดบางเตย","capacity":0,"occupied":0,"available":0,"unitType":"คน","status":"เปิดให้บริการ/ว่าง","routeDetails":"","link":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,"additionalDetails":"08.00-18.00","createdAt":"2026-09-26T05:13:58.000Z","updatedAt":"2026-09-26T05:13:58.000Z"}</t>
  </si>
  <si>
    <t>8f8815f4-feff-2408-4341-5434aed06878</t>
  </si>
  <si>
    <t>โรงเรียมแย้มจาดวิชชานุสรณ์</t>
  </si>
  <si>
    <t>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</t>
  </si>
  <si>
    <t>{"id":"8f8815f4-feff-2408-4341-5434aed06878","district":"บึงกุ่ม","category":"ศูนย์พักพิงชั่วคราว","name":"โรงเรียมแย้มจาดวิชชานุสรณ์","capacity":0,"occupied":0,"available":0,"unitType":"คน","status":"เปิดให้บริการ/ว่าง","routeDetails":"","link":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,"additionalDetails":"08.00-18000","createdAt":"2026-09-26T05:13:58.000Z","updatedAt":"2026-09-26T05:13:58.000Z"}</t>
  </si>
  <si>
    <t>8f4df65b-c5a8-6569-50a5-112d3fe4a7b1</t>
  </si>
  <si>
    <t>สำนักงานเขตประเวศ</t>
  </si>
  <si>
    <t>https://me-l.co/v55ml1z3</t>
  </si>
  <si>
    <t>ไม่มี</t>
  </si>
  <si>
    <t>2026-09-26T08:38:52.000Z</t>
  </si>
  <si>
    <t>{"id":"8f4df65b-c5a8-6569-50a5-112d3fe4a7b1","district":"ประเวศ","category":"ศูนย์พักพิงชั่วคราว","name":"สำนักงานเขตประเวศ","capacity":500,"occupied":88,"available":412,"unitType":"คน","status":"เปิดให้บริการ/ว่าง","routeDetails":"","link":"https://me-l.co/v55ml1z3","additionalDetails":"ไม่มี","createdAt":"2026-09-26T08:38:52.000Z","updatedAt":"2026-09-26T08:38:52.000Z"}</t>
  </si>
  <si>
    <t>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</t>
  </si>
  <si>
    <t>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</t>
  </si>
  <si>
    <t>33 เฉลิมพระเกียรติ ร. 9 ซอย 81 แขวงประเวศ เขตประเวศ กรุงเทพมหานคร 10250 ประเทศไทย</t>
  </si>
  <si>
    <t>ChIJdzNBOdtgHTER45dqaIkHDU8</t>
  </si>
  <si>
    <t>64a84257-a1fc-9759-ad8d-1b0266abd743</t>
  </si>
  <si>
    <t>โรงเรียนฝึกอาชีพกรุงเทพมหานคร (ประเวศ)</t>
  </si>
  <si>
    <t>https://me-l.co/4nkos9tt</t>
  </si>
  <si>
    <t>2026-09-26T08:49:04.000Z</t>
  </si>
  <si>
    <t>{"id":"64a84257-a1fc-9759-ad8d-1b0266abd743","district":"ประเวศ","category":"ศูนย์พักพิงชั่วคราว","name":"โรงเรียนฝึกอาชีพกรุงเทพมหานคร (ประเวศ)","capacity":50,"occupied":10,"available":40,"unitType":"คน","status":"เปิดให้บริการ/ว่าง","routeDetails":"","link":"https://me-l.co/4nkos9tt","additionalDetails":null,"createdAt":"2026-09-26T08:49:04.000Z","updatedAt":"2026-09-26T08:49:04.000Z"}</t>
  </si>
  <si>
    <t>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</t>
  </si>
  <si>
    <t>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</t>
  </si>
  <si>
    <t>295 ถนน เฉลิมพระเกียรติ ร. 9 แขวงหนองบอน เขตประเวศ กรุงเทพมหานคร 10250 ประเทศไทย</t>
  </si>
  <si>
    <t>ChIJgbNNLhFhHTERSFU46Rh4Ze4</t>
  </si>
  <si>
    <t>5ac1597a-6790-d7a2-04c4-75d255fe2c21</t>
  </si>
  <si>
    <t>อาคารศูนย์บริการสาธารณสุข 51(เดิม)  ในบริเวณวัดไผ่ตัน</t>
  </si>
  <si>
    <t>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</t>
  </si>
  <si>
    <t>08.00-18.00 น.</t>
  </si>
  <si>
    <t>2026-09-26T07:37:46.000Z</t>
  </si>
  <si>
    <t>{"id":"5ac1597a-6790-d7a2-04c4-75d255fe2c21","district":"พญาไท","category":"ศูนย์พักพิงชั่วคราว","name":"อาคารศูนย์บริการสาธารณสุข 51(เดิม)  ในบริเวณวัดไผ่ตัน","capacity":50,"occupied":0,"available":50,"unitType":"คน","status":"เปิดให้บริการ/ว่าง","routeDetails":"","link":"https://www.google.com/search?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sca_esv=fd861737a4dd1940&amp;biw=390&amp;bih=669&amp;sxsrf=APpeQnuRpzBC9WWrWKK44-7ug78WzsTfOA%3A1790408080654&amp;ei=kHW3aofLJ8qTseMPy5712QI&amp;oq=%E0%B8%AD%E0%B8%B2%E0%B8%84%E0%B8%B2%E0%B8%A3%E0%B8%A8%E0%B8%B9%E0%B8%99%E0%B8%A2%E0%B9%8C%E0%B8%9A%E0%B8%A3%E0%B8%B4%E0%B8%81%E0%B8%B2%E0%B8%A3%E0%B8%AA%E0%B8%B2%E0%B8%98%E0%B8%B2%E0%B8%A3%E0%B8%93%E0%B8%AA%E0%B8%B8%E0%B8%82+51+%E0%B9%80%E0%B8%94%E0%B8%B4%E0%B8%A1+%E0%B8%95%E0%B8%B1%E0%B9%89%E0%B8%87%E0%B8%AD%E0%B8%A2%E0%B8%B9%E0%B9%88%E0%B8%A0%E0%B8%B2%E0%B8%A2%E0%B9%83%E0%B8%99%E0%B8%A7%E0%B8%B1%E0%B8%94%E0%B9%84%E0%B8%9C%E0%B9%88%E0%B8%95%E0%B8%B1%E0%B8%99+%E0%B8%8B%E0%B8%AD%E0%B8%A2%E0%B8%9E%E0%B8%AB%E0%B8%A5%E0%B9%82%E0%B8%A2%E0%B8%98%E0%B8%B4%E0%B8%99+15+%E0%B9%81%E0%B8%82%E0%B8%A7%E0%B8%87%E0%B8%9E%E0%B8%8D%E0%B8%B2%E0%B9%84%E0%B8%97+%E0%B9%80%E0%B8%82%E0%B8%95%E0%B8%9E%E0%B8%8D%E0%B8%B2%E0%B9%84%E0%B8%97+%E0%B8%81%E0%B8%A3%E0%B8%B8%E0%B8%87%E0%B9%80%E0%B8%97%E0%B8%9E%E0%B8%A1%E0%B8%AB%E0%B8%B2%E0%B8%99%E0%B8%84%E0%B8%A3&amp;gs_lp=EhNtb2JpbGUtZ3dzLXdpei1zZXJwIqAC4Lit4Liy4LiE4Liy4Lij4Lio4Li54LiZ4Lii4LmM4Lia4Lij4Li04LiB4Liy4Lij4Liq4Liy4LiY4Liy4Lij4LiT4Liq4Li44LiCIDUxIOC5gOC4lOC4tOC4oSDguJXguLHguYnguIfguK3guKLguLnguYjguKDguLLguKLguYPguJnguKfguLHguJTguYTguJzguYjguJXguLHguJkg4LiL4Lit4Lii4Lie4Lir4Lil4LmC4Lii4LiY4Li04LiZIDE1IOC5geC4guC4p-C4h-C4nuC4jeC4suC5hOC4lyDguYDguILguJXguJ7guI3guLLguYTguJcg4LiB4Lij4Li44LiH4LmA4LiX4Lie4Lih4Lir4Liy4LiZ4LiE4LijMgcQIxjqAhgnMgcQIxjqAhgnMgcQIxjqAhgnMgcQIxjqAhgnMgcQIxjqAhgnMgcQIxjqAhgnMgcQIxjqAhgnMg0QIxjwBRjJAhjqAhgnMgcQIxjqAhgnMgcQIxjqAhgnMgcQIxjqAhgnMgoQIxjwBRjqAhgnMg0QLhjHARivARjqAhgnMgcQIxjqAhgnMgcQIxjqAhgnMgcQIxjqAhgnMgcQIxjqAhgnMgcQIxjqAhgnMgcQIxjqAhgnMgcQIxjqAhgnMgcQIxjqAhgnMgcQIxjqAhgnMgcQIxjqAhgnMgcQIxjqAhgnMgcQIxjqAhgnMgcQIxjqAhgnMgcQIxjqAhgnMgcQIxjqAhgnMgcQIxjqAhgnMgcQIxjqAhgnMhAQABgDGI8BGOoCGLQC2AEBMhAQABgDGI8BGOoCGLQC2AEBMhAQLhgDGI8BGOoCGLQC2AEBMhAQABgDGI8BGOoCGLQC2AEBMhAQLhgDGI8BGOoCGLQC2AEBMhAQABgDGI8BGOoCGLQC2AEBMhAQABgDGI8BGOoCGLQC2AEBMhAQABgDGI8BGOoCGLQC2AEBMhAQABgDGI8BGOoCGLQC2AEBMhAQABgDGI8BGOoCGLQC2AEBMhAQABgDGI8BGOoCGLQC2AEBMhAQABgDGI8BGOoCGLQC2AEBMhAQLhgDGI8BGOoCGLQC2AEBMhAQABgDGI8BGOoCGLQC2AEBMhAQABgDGI8BGOoCGLQC2AEBSIksUMUaWMUacAN4AZABAJgBAKABAKoBALgBA8gBAPgBAfgBApgCA6ACI6gCLZgDEfEFYyef746ajDC6BgQIARgKkgcBM6AHALIHALgHAMIHAzMtM8gHIIAIAQ&amp;sclient=mobile-gws-wiz-serp#","additionalDetails":"08.00-18.00 น.","createdAt":"2026-09-26T07:37:46.000Z","updatedAt":"2026-09-26T07:37:46.000Z"}</t>
  </si>
  <si>
    <t>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</t>
  </si>
  <si>
    <t>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</t>
  </si>
  <si>
    <t>12 10 ซอย พหลโยธิน 15 แขวงพญาไท เขตพญาไท กรุงเทพมหานคร 10400 ประเทศไทย</t>
  </si>
  <si>
    <t>ChIJ32PXkhac4jARdVLhg0yxggk</t>
  </si>
  <si>
    <t>f5313405-82de-a3c2-69fa-36b25f99866e</t>
  </si>
  <si>
    <t>วัดธรรมมงคลเถาบุญนนทวิหาร</t>
  </si>
  <si>
    <t>2026-09-26T07:39:38.000Z</t>
  </si>
  <si>
    <t>{"id":"f5313405-82de-a3c2-69fa-36b25f99866e","district":"พระโขนง","category":"ศูนย์พักพิงชั่วคราว","name":"วัดธรรมมงคลเถาบุญนนทวิหาร","capacity":30,"occupied":0,"available":30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</si>
  <si>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</t>
  </si>
  <si>
    <t>2026-10-02T15:38:01+07:00</t>
  </si>
  <si>
    <t>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</t>
  </si>
  <si>
    <t>132 ซอย ปุณณวิถี 20 แขวงบางจาก เขตพระโขนง กรุงเทพมหานคร 10260 ประเทศไทย</t>
  </si>
  <si>
    <t>ChIJAQEzRf-f4jARR6eNfs8yoGg</t>
  </si>
  <si>
    <t>ed542ef7-11b3-3d96-fa5f-fe027618ee14</t>
  </si>
  <si>
    <t>วัดบุญรอดธรรมาราม</t>
  </si>
  <si>
    <t>{"id":"ed542ef7-11b3-3d96-fa5f-fe027618ee14","district":"พระโขนง","category":"ศูนย์พักพิงชั่วคราว","name":"วัดบุญรอดธรรมาราม","capacity":50,"occupied":0,"available":50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</si>
  <si>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</t>
  </si>
  <si>
    <t>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</t>
  </si>
  <si>
    <t>MHVV+CCX ซอย สุขุมวิท 62 แยก 13 แขวงพระโขนงใต้ เขตพระโขนง กรุงเทพมหานคร 10260 ประเทศไทย</t>
  </si>
  <si>
    <t>ChIJffc2YYyf4jARIGTTDhROrdE</t>
  </si>
  <si>
    <t>c40024d9-10b8-1ce2-4a5b-32a5139672e3</t>
  </si>
  <si>
    <t>วัดวชิรธรรมสาธิตวรวิหาร</t>
  </si>
  <si>
    <t>{"id":"c40024d9-10b8-1ce2-4a5b-32a5139672e3","district":"พระโขนง","category":"ศูนย์พักพิงชั่วคราว","name":"วัดวชิรธรรมสาธิตวรวิหาร","capacity":50,"occupied":8,"available":42,"unitType":"คน","status":"เปิดให้บริการ/ว่าง","routeDetails":"","link":null,"additionalDetails":null,"createdAt":"2026-09-26T07:39:38.000Z","updatedAt":"2026-09-26T07:39:38.000Z"}</t>
  </si>
  <si>
    <t>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</t>
  </si>
  <si>
    <t>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</t>
  </si>
  <si>
    <t>1199 ซอย 101/1 ถนน สุขุมวิท แขวงบางจาก เขตพระโขนง กรุงเทพมหานคร 10260 ประเทศไทย</t>
  </si>
  <si>
    <t>ChIJNaDgxg5gHTERNizPXHOjVug</t>
  </si>
  <si>
    <t>ad4ad225-7357-0a5c-c429-df540e248eff</t>
  </si>
  <si>
    <t>อาคารศาลาประชาคม สำนักงานเขตมีนบุรี</t>
  </si>
  <si>
    <t>https://maps.app.goo.gl/qqwV7uN5wtcpXmwX8</t>
  </si>
  <si>
    <t>2026-09-26T05:02:13.000Z</t>
  </si>
  <si>
    <t>2026-09-27T05:44:34.359Z</t>
  </si>
  <si>
    <t>{"id":"ad4ad225-7357-0a5c-c429-df540e248eff","district":"มีนบุรี","category":"ศูนย์พักพิงชั่วคราว","name":"อาคารศาลาประชาคม สำนักงานเขตมีนบุรี","capacity":50,"occupied":32,"available":18,"unitType":"คน","status":"เปิดให้บริการ/ว่าง","routeDetails":"","link":"https://maps.app.goo.gl/qqwV7uN5wtcpXmwX8","additionalDetails":null,"createdAt":"2026-09-26T05:02:13.000Z","updatedAt":"2026-09-27T05:44:34.359Z"}</t>
  </si>
  <si>
    <t>https://www.google.com/maps/place/%E0%B8%AA%E0%B8%B3%E0%B8%99%E0%B8%B1%E0%B8%81%E0%B8%87%E0%B8%B2%E0%B8%99%E0%B9%80%E0%B8%82%E0%B8%95%E0%B8%A1%E0%B8%B5%E0%B8%99%E0%B8%9A%E0%B8%B8%E0%B8%A3%E0%B8%B5/@13.8133554,100.7309014,19z/data=!4m6!3m5!1s0x311d646091629b95:0x9fee9bfced735231!8m2!3d13.8135273!4d100.7313091!16s%2Fg%2F11b62_8tjg!5m1!1e4?entry=tts&amp;g_ep=EgoyMDI2MDkyMy4wIPu8ASoASAFQAw%3D%3D&amp;skid=2376ea4b-f6fa-411d-9fc4-4cb78c28d594</t>
  </si>
  <si>
    <t>108f0d4b-5eb9-6805-0d90-1a90573dd07b</t>
  </si>
  <si>
    <t>โรงเรียนวังเล็กวิทยานุสรณ์</t>
  </si>
  <si>
    <t>https://maps.app.goo.gl/STehFm7UqdtWCgov7</t>
  </si>
  <si>
    <t>2026-09-26T07:42:55.000Z</t>
  </si>
  <si>
    <t>{"id":"108f0d4b-5eb9-6805-0d90-1a90573dd07b","district":"มีนบุรี","category":"ศูนย์พักพิงชั่วคราว","name":"โรงเรียนวังเล็กวิทยานุสรณ์","capacity":100,"occupied":4,"available":96,"unitType":"คน","status":"เปิดให้บริการ/ว่าง","routeDetails":"","link":"https://maps.app.goo.gl/STehFm7UqdtWCgov7","additionalDetails":null,"createdAt":"2026-09-26T05:02:13.000Z","updatedAt":"2026-09-26T07:42:55.000Z"}</t>
  </si>
  <si>
    <t>https://www.google.com/maps/place/%E0%B9%82%E0%B8%A3%E0%B8%87%E0%B9%80%E0%B8%A3%E0%B8%B5%E0%B8%A2%E0%B8%99%E0%B8%A7%E0%B8%B1%E0%B8%87%E0%B9%80%E0%B8%A5%E0%B9%87%E0%B8%81%E0%B8%A7%E0%B8%B4%E0%B8%97%E0%B8%A2%E0%B8%B2%E0%B8%99%E0%B8%B8%E0%B8%AA%E0%B8%A3%E0%B8%93%E0%B9%8C/@13.8036321,100.7523301,15z/data=!3m1!4b1!4m6!3m5!1s0x311d65bb3bf9c5f1:0xf8706c1b10479d18!8m2!3d13.8036328!4d100.7707841!16s%2Fg%2F1tlwc31l!5m1!1e4?entry=tts&amp;g_ep=EgoyMDI2MDkyMy4wIPu8ASoASAFQAw%3D%3D&amp;skid=eb8db42f-786b-4f79-a1fc-4043b8401574</t>
  </si>
  <si>
    <t>a30eb935-4569-4a32-c78e-acaf6acf04ef</t>
  </si>
  <si>
    <t>โรงเรียนศาลาคู้</t>
  </si>
  <si>
    <t>https://maps.app.goo.gl/ommx5M5VvMYWR7ReA</t>
  </si>
  <si>
    <t>2026-09-26T05:05:16.000Z</t>
  </si>
  <si>
    <t>2026-09-26T10:36:35.944Z</t>
  </si>
  <si>
    <t>{"id":"a30eb935-4569-4a32-c78e-acaf6acf04ef","district":"มีนบุรี","category":"ศูนย์พักพิงชั่วคราว","name":"โรงเรียนศาลาคู้","capacity":60,"occupied":0,"available":60,"unitType":"คน","status":"เปิดให้บริการ/ว่าง","routeDetails":"","link":"https://maps.app.goo.gl/ommx5M5VvMYWR7ReA","additionalDetails":null,"createdAt":"2026-09-26T05:05:16.000Z","updatedAt":"2026-09-26T10:36:35.944Z"}</t>
  </si>
  <si>
    <t>https://www.google.com/maps/place/%E0%B9%82%E0%B8%A3%E0%B8%87%E0%B9%80%E0%B8%A3%E0%B8%B5%E0%B8%A2%E0%B8%99+%E0%B8%A8%E0%B8%B2%E0%B8%A5%E0%B8%B2%E0%B8%84%E0%B8%B9%E0%B9%89/@13.8452942,100.7771821,15z/data=!3m1!4b1!4m6!3m5!1s0x311d6577ffd879b3:0x46c66743b307309f!8m2!3d13.8452949!4d100.7956361!16s%2Fg%2F1tlbg0p6!5m1!1e4?entry=tts&amp;g_ep=EgoyMDI2MDkyMy4wIPu8ASoASAFQAw%3D%3D&amp;skid=43e43327-f085-4d5a-9a5d-9e05bb0a2661</t>
  </si>
  <si>
    <t>6ad7cac0-613d-15b9-7d52-00a10414f33d</t>
  </si>
  <si>
    <t>โรงเรียนสุเหร่าทรายกองดิน</t>
  </si>
  <si>
    <t>https://maps.app.goo.gl/6uSbkzoc8Nyn6W2f6</t>
  </si>
  <si>
    <t>2026-09-26T05:03:36.000Z</t>
  </si>
  <si>
    <t>2026-09-27T05:45:23.723Z</t>
  </si>
  <si>
    <t>{"id":"6ad7cac0-613d-15b9-7d52-00a10414f33d","district":"มีนบุรี","category":"ศูนย์พักพิงชั่วคราว","name":"โรงเรียนสุเหร่าทรายกองดิน","capacity":100,"occupied":15,"available":85,"unitType":"คน","status":"เปิดให้บริการ/ว่าง","routeDetails":"","link":"https://maps.app.goo.gl/6uSbkzoc8Nyn6W2f6","additionalDetails":null,"createdAt":"2026-09-26T05:03:36.000Z","updatedAt":"2026-09-27T05:45:23.723Z"}</t>
  </si>
  <si>
    <t>https://www.google.com/maps/place/%E0%B9%82%E0%B8%A3%E0%B8%87%E0%B9%80%E0%B8%A3%E0%B8%B5%E0%B8%A2%E0%B8%99%E0%B8%AA%E0%B8%B8%E0%B9%80%E0%B8%AB%E0%B8%A3%E0%B9%88%E0%B8%B2%E0%B8%97%E0%B8%A3%E0%B8%B2%E0%B8%A2%E0%B8%81%E0%B8%AD%E0%B8%87%E0%B8%94%E0%B8%B4%E0%B8%99/@13.8334015,100.7553081,15z/data=!3m1!4b1!4m6!3m5!1s0x311d64559988d539:0xdf6a547b3a968a14!8m2!3d13.8334022!4d100.7737621!16s%2Fg%2F1hc1_jb91!5m1!1e4?entry=tts&amp;g_ep=EgoyMDI2MDkyMy4wIPu8ASoASAFQAw%3D%3D&amp;skid=87fc198d-4e91-435b-ace4-fa7a3a6f3287</t>
  </si>
  <si>
    <t>d7469fe1-e6a9-298f-224f-b2f4bd46fc6e</t>
  </si>
  <si>
    <t>โรงเรียนสุเหร่าบางชัน</t>
  </si>
  <si>
    <t>https://maps.app.goo.gl/XiobPtqF3zAaWiEd8</t>
  </si>
  <si>
    <t>2026-09-27T05:45:32.335Z</t>
  </si>
  <si>
    <t>{"id":"d7469fe1-e6a9-298f-224f-b2f4bd46fc6e","district":"มีนบุรี","category":"ศูนย์พักพิงชั่วคราว","name":"โรงเรียนสุเหร่าบางชัน","capacity":100,"occupied":57,"available":43,"unitType":"คน","status":"เปิดให้บริการ/ว่าง","routeDetails":"","link":"https://maps.app.goo.gl/XiobPtqF3zAaWiEd8","additionalDetails":null,"createdAt":"2026-09-26T05:05:16.000Z","updatedAt":"2026-09-27T05:45:32.335Z"}</t>
  </si>
  <si>
    <t>https://www.google.com/maps/place/%E0%B9%82%E0%B8%A3%E0%B8%87%E0%B9%80%E0%B8%A3%E0%B8%B5%E0%B8%A2%E0%B8%99%E0%B8%AA%E0%B8%B8%E0%B9%80%E0%B8%AB%E0%B8%A3%E0%B9%88%E0%B8%B2%E0%B8%9A%E0%B8%B2%E0%B8%87%E0%B8%8A%E0%B8%B1%E0%B8%99/@13.8040527,100.6836358,15z/data=!3m1!4b1!4m6!3m5!1s0x311d638fabf4b213:0x8d2a444994f0fabd!8m2!3d13.8040534!4d100.7020898!16s%2Fg%2F1tf33f1r!5m1!1e4?entry=tts&amp;g_ep=EgoyMDI2MDkyMy4wIPu8ASoASAFQAw%3D%3D&amp;skid=2fb5d30f-69f8-4d1a-97c5-591c7135e439</t>
  </si>
  <si>
    <t>58d18f0f-184f-425a-b34c-ec7a042127a3</t>
  </si>
  <si>
    <t>โรงเรียนวัดคลองภูมิ</t>
  </si>
  <si>
    <t>https://maps.app.goo.gl/g6ka5gor8jLLrJ2y6?g_st=ac</t>
  </si>
  <si>
    <t>2026-09-26T10:53:30.733Z</t>
  </si>
  <si>
    <t>2026-09-26T15:04:48.373Z</t>
  </si>
  <si>
    <t>{"id":"58d18f0f-184f-425a-b34c-ec7a042127a3","district":"ยานนาวา","category":"ศูนย์พักพิงชั่วคราว","name":"โรงเรียนวัดคลองภูมิ","capacity":30,"occupied":0,"available":30,"unitType":"คน","status":"เปิดให้บริการ/ว่าง","routeDetails":"","link":"https://maps.app.goo.gl/g6ka5gor8jLLrJ2y6?g_st=ac","additionalDetails":null,"createdAt":"2026-09-26T10:53:30.733Z","updatedAt":"2026-09-26T15:04:48.373Z"}</t>
  </si>
  <si>
    <t>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</t>
  </si>
  <si>
    <t>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</t>
  </si>
  <si>
    <t>24/2 พระราม 3 ซอย 46 แขวงช่องนนทรี เขตยานนาวา กรุงเทพมหานคร 10120 ประเทศไทย</t>
  </si>
  <si>
    <t>ChIJsRS73uah4jARkWqMlTZlFG0</t>
  </si>
  <si>
    <t>ac24b672-1b8b-cbbe-fe67-dbc653b6c1e1</t>
  </si>
  <si>
    <t>ราษฎร์บูรณะ</t>
  </si>
  <si>
    <t>โรงเรียนรัตนจีนะอุทิศ</t>
  </si>
  <si>
    <t>https://maps.app.goo.gl/BM79ZsJkXavdF3qr8</t>
  </si>
  <si>
    <t>2026-09-26T05:51:56.000Z</t>
  </si>
  <si>
    <t>2026-09-26T12:46:31.846Z</t>
  </si>
  <si>
    <t>{"id":"ac24b672-1b8b-cbbe-fe67-dbc653b6c1e1","district":"ราษฎร์บูรณะ","category":"ศูนย์พักพิงชั่วคราว","name":"โรงเรียนรัตนจีนะอุทิศ","capacity":50,"occupied":0,"available":50,"unitType":"คน","status":"เปิดให้บริการ/ว่าง","routeDetails":"","link":"https://maps.app.goo.gl/BM79ZsJkXavdF3qr8","additionalDetails":null,"createdAt":"2026-09-26T05:51:56.000Z","updatedAt":"2026-09-26T12:46:31.846Z"}</t>
  </si>
  <si>
    <t>https://www.google.com/maps/place/%E0%B9%82%E0%B8%A3%E0%B8%87%E0%B9%80%E0%B8%A3%E0%B8%B5%E0%B8%A2%E0%B8%99%E0%B8%A3%E0%B8%B1%E0%B8%95%E0%B8%99%E0%B8%88%E0%B8%B5%E0%B8%99%E0%B8%B0%E0%B8%AD%E0%B8%B8%E0%B8%97%E0%B8%B4%E0%B8%A8/@13.669489,100.4896531,17z/data=!4m6!3m5!1s0x30e2a2670d679567:0xb4c98fa736553d67!8m2!3d13.669489!4d100.492228!16s%2Fg%2F1tvgrt3r?entry=tts&amp;g_ep=EgoyMDI2MDkyMy4wIPu8ASoASAFQAw%3D%3D&amp;skid=bf9904bf-306c-40fc-9102-2b6acb508c68</t>
  </si>
  <si>
    <t>3e4d1238-80fe-3094-c72b-f0b554d263ed</t>
  </si>
  <si>
    <t>โรงเรียนวัดบางปะกอก</t>
  </si>
  <si>
    <t>https://maps.app.goo.gl/2cg64tVEfKALEc4E8</t>
  </si>
  <si>
    <t>2026-09-26T12:47:14.003Z</t>
  </si>
  <si>
    <t>{"id":"3e4d1238-80fe-3094-c72b-f0b554d263ed","district":"ราษฎร์บูรณะ","category":"ศูนย์พักพิงชั่วคราว","name":"โรงเรียนวัดบางปะกอก","capacity":40,"occupied":0,"available":40,"unitType":"คน","status":"เปิดให้บริการ/ว่าง","routeDetails":"","link":"https://maps.app.goo.gl/2cg64tVEfKALEc4E8","additionalDetails":null,"createdAt":"2026-09-26T05:51:56.000Z","updatedAt":"2026-09-26T12:47:14.003Z"}</t>
  </si>
  <si>
    <t>https://www.google.com/maps/place/%E0%B9%82%E0%B8%A3%E0%B8%87%E0%B9%80%E0%B8%A3%E0%B8%B5%E0%B8%A2%E0%B8%99%E0%B8%A7%E0%B8%B1%E0%B8%94%E0%B8%9A%E0%B8%B2%E0%B8%87%E0%B8%9B%E0%B8%B0%E0%B8%81%E0%B8%AD%E0%B8%81/@13.6823631,100.4851198,15z/data=!3m1!4b1!4m6!3m5!1s0x30e2a27a7ba4804f:0xdb7539588f1fb6d!8m2!3d13.6823633!4d100.4953981!16s%2Fg%2F11bbrj2c1v?entry=tts&amp;g_ep=EgoyMDI2MDkyMy4wIPu8ASoASAFQAw%3D%3D&amp;skid=aa5fdc3e-960e-41f8-9d35-231ec4f3adb8</t>
  </si>
  <si>
    <t>3e5b3eb9-8878-1528-57bb-81a577826c46</t>
  </si>
  <si>
    <t>โรงเรียนวัดประเสริฐสุทธาวาส</t>
  </si>
  <si>
    <t>https://maps.app.goo.gl/jocJXZyQenCUBxhB8</t>
  </si>
  <si>
    <t>2026-09-26T12:49:13.397Z</t>
  </si>
  <si>
    <t>{"id":"3e5b3eb9-8878-1528-57bb-81a577826c46","district":"ราษฎร์บูรณะ","category":"ศูนย์พักพิงชั่วคราว","name":"โรงเรียนวัดประเสริฐสุทธาวาส","capacity":20,"occupied":0,"available":20,"unitType":"คน","status":"เปิดให้บริการ/ว่าง","routeDetails":"","link":"https://maps.app.goo.gl/jocJXZyQenCUBxhB8","additionalDetails":null,"createdAt":"2026-09-26T05:51:56.000Z","updatedAt":"2026-09-26T12:49:13.397Z"}</t>
  </si>
  <si>
    <t>https://www.google.com/maps/place/%E0%B9%82%E0%B8%A3%E0%B8%87%E0%B9%80%E0%B8%A3%E0%B8%B5%E0%B8%A2%E0%B8%99%E0%B8%A7%E0%B8%B1%E0%B8%94%E0%B8%9B%E0%B8%A3%E0%B8%B0%E0%B9%80%E0%B8%AA%E0%B8%A3%E0%B8%B4%E0%B8%90%E0%B8%AA%E0%B8%B8%E0%B8%97%E0%B8%98%E0%B8%B2%E0%B8%A7%E0%B8%B2%E0%B8%AA/@13.6802303,100.4935687,15z/data=!3m1!4b1!4m6!3m5!1s0x30e2a2726391f50d:0x3b07e18fd81969fb!8m2!3d13.6802305!4d100.503847!16s%2Fg%2F1tpppf0l?entry=tts&amp;g_ep=EgoyMDI2MDkyMy4wIPu8ASoASAFQAw%3D%3D&amp;skid=26d1ca4c-84b5-4696-9a02-4fb1442da5c1</t>
  </si>
  <si>
    <t>4caacb42-dc54-07c7-5c91-ab53e86ae651</t>
  </si>
  <si>
    <t>โรงเรียนวัดสน</t>
  </si>
  <si>
    <t>https://maps.app.goo.gl/mLWuTF19LmUWtciD9</t>
  </si>
  <si>
    <t>2026-09-26T12:50:40.457Z</t>
  </si>
  <si>
    <t>{"id":"4caacb42-dc54-07c7-5c91-ab53e86ae651","district":"ราษฎร์บูรณะ","category":"ศูนย์พักพิงชั่วคราว","name":"โรงเรียนวัดสน","capacity":30,"occupied":0,"available":30,"unitType":"คน","status":"เปิดให้บริการ/ว่าง","routeDetails":"","link":"https://maps.app.goo.gl/mLWuTF19LmUWtciD9","additionalDetails":null,"createdAt":"2026-09-26T05:51:56.000Z","updatedAt":"2026-09-26T12:50:40.457Z"}</t>
  </si>
  <si>
    <t>https://www.google.com/maps/place/%E0%B9%82%E0%B8%A3%E0%B8%87%E0%B9%80%E0%B8%A3%E0%B8%B5%E0%B8%A2%E0%B8%99%E0%B8%A7%E0%B8%B1%E0%B8%94%E0%B8%AA%E0%B8%99/@13.6725226,100.5031308,15z/data=!3m1!4b1!4m6!3m5!1s0x30e2a216ad4d61e5:0x4aee9180957f7bdf!8m2!3d13.6725228!4d100.5134091!16s%2Fg%2F11hbpx56h8?entry=tts&amp;g_ep=EgoyMDI2MDkyMy4wIPu8ASoASAFQAw%3D%3D&amp;skid=3ab47d47-b6d8-4d39-8d11-a03e466fe179</t>
  </si>
  <si>
    <t>40f69c04-5169-2e5f-a936-ba7aaf4467cb</t>
  </si>
  <si>
    <t>โรงเรียนวัดสารอด</t>
  </si>
  <si>
    <t>https://maps.app.goo.gl/HqLkMx9J73535Kqq9</t>
  </si>
  <si>
    <t>2026-09-26T12:51:24.016Z</t>
  </si>
  <si>
    <t>{"id":"40f69c04-5169-2e5f-a936-ba7aaf4467cb","district":"ราษฎร์บูรณะ","category":"ศูนย์พักพิงชั่วคราว","name":"โรงเรียนวัดสารอด","capacity":40,"occupied":0,"available":40,"unitType":"คน","status":"เปิดให้บริการ/ว่าง","routeDetails":"","link":"https://maps.app.goo.gl/HqLkMx9J73535Kqq9","additionalDetails":null,"createdAt":"2026-09-26T05:51:56.000Z","updatedAt":"2026-09-26T12:51:24.016Z"}</t>
  </si>
  <si>
    <t>https://www.google.com/maps/place/%E0%B9%82%E0%B8%A3%E0%B8%87%E0%B9%80%E0%B8%A3%E0%B8%B5%E0%B8%A2%E0%B8%99%E0%B8%A7%E0%B8%B1%E0%B8%94%E0%B8%AA%E0%B8%B2%E0%B8%A3%E0%B8%AD%E0%B8%94/@13.6733673,100.49305,15z/data=!3m1!4b1!4m6!3m5!1s0x30e2a26bf56d4f73:0x3f52980754421a52!8m2!3d13.6733675!4d100.5033283!16s%2Fg%2F1v2dyz73?entry=tts&amp;g_ep=EgoyMDI2MDkyMy4wIPu8ASoASAFQAw%3D%3D&amp;skid=1aefef7b-e799-466e-a2cc-ee2228af5b25</t>
  </si>
  <si>
    <t>5ef2905b-b808-6460-98b9-2ac12dd3f1ef</t>
  </si>
  <si>
    <t>โรงเรียนวัดแจงร้อน</t>
  </si>
  <si>
    <t>https://maps.app.goo.gl/JwqkUGanTRMf64SVA</t>
  </si>
  <si>
    <t>2026-09-26T12:52:07.385Z</t>
  </si>
  <si>
    <t>{"id":"5ef2905b-b808-6460-98b9-2ac12dd3f1ef","district":"ราษฎร์บูรณะ","category":"ศูนย์พักพิงชั่วคราว","name":"โรงเรียนวัดแจงร้อน","capacity":60,"occupied":0,"available":60,"unitType":"คน","status":"เปิดให้บริการ/ว่าง","routeDetails":"","link":"https://maps.app.goo.gl/JwqkUGanTRMf64SVA","additionalDetails":null,"createdAt":"2026-09-26T05:51:56.000Z","updatedAt":"2026-09-26T12:52:07.385Z"}</t>
  </si>
  <si>
    <t>https://www.google.com/maps/place/%E0%B9%82%E0%B8%A3%E0%B8%87%E0%B9%80%E0%B8%A3%E0%B8%B5%E0%B8%A2%E0%B8%99%E0%B8%A7%E0%B8%B1%E0%B8%94%E0%B9%81%E0%B8%88%E0%B8%87%E0%B8%A3%E0%B9%89%E0%B8%AD%E0%B8%99/@13.6752391,100.50937,15z/data=!3m1!4b1!4m6!3m5!1s0x30e2a211e89d08f5:0x9454597c16f06b3e!8m2!3d13.6752393!4d100.5196483!16s%2Fg%2F1hc324f3f?entry=tts&amp;g_ep=EgoyMDI2MDkyMy4wIPu8ASoASAFQAw%3D%3D&amp;skid=ad2684a3-061f-4bac-b175-09b526a4d4e2</t>
  </si>
  <si>
    <t>09a0444e-4181-c113-8486-412d5d65c3bb</t>
  </si>
  <si>
    <t>ศูนย์นันทนาการลาดกระบัง</t>
  </si>
  <si>
    <t>https://maps.app.goo.gl/zKg8J8C1fJDUEafU9</t>
  </si>
  <si>
    <t>2026-09-26T06:43:50.000Z</t>
  </si>
  <si>
    <t>{"id":"09a0444e-4181-c113-8486-412d5d65c3bb","district":"ลาดกระบัง","category":"ศูนย์พักพิงชั่วคราว","name":"ศูนย์นันทนาการลาดกระบัง","capacity":100,"occupied":0,"available":100,"unitType":"คน","status":"เปิดให้บริการ/ว่าง","routeDetails":"","link":null,"additionalDetails":"https://maps.app.goo.gl/zKg8J8C1fJDUEafU9","createdAt":"2026-09-26T06:43:50.000Z","updatedAt":"2026-09-26T06:43:50.000Z"}</t>
  </si>
  <si>
    <t>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</t>
  </si>
  <si>
    <t>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</si>
  <si>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34/1 ซ. ลาดกระบัง 50 แขวงลาดกระบัง เขตลาดกระบัง กรุงเทพมหานคร 10520 ประเทศไทย</t>
  </si>
  <si>
    <t>ChIJocJWbctnHTERnIaJwzM1RK0</t>
  </si>
  <si>
    <t>4094bbd8-3137-4ccd-bf38-ae725cb44174</t>
  </si>
  <si>
    <t>หอประชุมเจ้าพระยาสุรวงษ์ไวยวัฒน์ (วร บุนนาค)</t>
  </si>
  <si>
    <t>https://maps.app.goo.gl/NDLAChaKvW6ma2u1A</t>
  </si>
  <si>
    <t>2026-09-27T18:50:38.743Z</t>
  </si>
  <si>
    <t>{"id":"4094bbd8-3137-4ccd-bf38-ae725cb44174","district":"ลาดกระบัง","category":"ศูนย์พักพิงชั่วคราว","name":"หอประชุมเจ้าพระยาสุรวงษ์ไวยวัฒน์ (วร บุนนาค)","capacity":1500,"occupied":490,"available":1010,"unitType":"คน","status":"เปิดให้บริการ/ว่าง","routeDetails":"","link":"https://maps.app.goo.gl/NDLAChaKvW6ma2u1A","additionalDetails":null,"createdAt":"2026-09-27T18:50:38.743Z","updatedAt":"2026-09-27T18:50:38.743Z"}</t>
  </si>
  <si>
    <t>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</t>
  </si>
  <si>
    <t>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</t>
  </si>
  <si>
    <t>1 ซอย ฉลองกรุง 1 แขวงลาดกระบัง เขตลาดกระบัง กรุงเทพมหานคร 10520 ประเทศไทย</t>
  </si>
  <si>
    <t>ChIJA1hdoDVmHTERReo0PL9FN88</t>
  </si>
  <si>
    <t>ae48d8db-3682-063f-d0a0-c2f41011e2cf</t>
  </si>
  <si>
    <t>โรงเรียนขุุมทอง</t>
  </si>
  <si>
    <t>https://share.google/41On0UmQrV4qs2ZRU</t>
  </si>
  <si>
    <t>2026-09-26T05:48:47.000Z</t>
  </si>
  <si>
    <t>{"id":"ae48d8db-3682-063f-d0a0-c2f41011e2cf","district":"ลาดกระบัง","category":"ศูนย์พักพิงชั่วคราว","name":"โรงเรียนขุุมทอง","capacity":20,"occupied":9,"available":11,"unitType":"คน","status":"เปิดให้บริการ/ว่าง","routeDetails":"","link":"https://share.google/41On0UmQrV4qs2ZRU","additionalDetails":null,"createdAt":"2026-09-26T05:48:47.000Z","updatedAt":"2026-09-26T05:48:47.000Z"}</t>
  </si>
  <si>
    <t>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</t>
  </si>
  <si>
    <t>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</t>
  </si>
  <si>
    <t>แขวงขุมทอง เขตลาดกระบัง กรุงเทพมหานคร 10520 ประเทศไทย</t>
  </si>
  <si>
    <t>ChIJv_ckAwVpHTERoIriXbIAAQQ</t>
  </si>
  <si>
    <t>f18749f9-1bb1-fc13-0fd9-128f5bb46a9b</t>
  </si>
  <si>
    <t>โรงเรียนตำบลขุมทอง</t>
  </si>
  <si>
    <t>https://share.google/MmRp1bEdHedmV8OeK</t>
  </si>
  <si>
    <t>{"id":"f18749f9-1bb1-fc13-0fd9-128f5bb46a9b","district":"ลาดกระบัง","category":"ศูนย์พักพิงชั่วคราว","name":"โรงเรียนตำบลขุมทอง","capacity":0,"occupied":0,"available":0,"unitType":"คน","status":"เปิดให้บริการ/ว่าง","routeDetails":"","link":null,"additionalDetails":"https://share.google/MmRp1bEdHedmV8OeK","createdAt":"2026-09-26T06:43:50.000Z","updatedAt":"2026-09-26T06:43:50.000Z"}</t>
  </si>
  <si>
    <t>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</t>
  </si>
  <si>
    <t>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</t>
  </si>
  <si>
    <t>130 ถนน ขุมทอง-ลำต้อยติ่ง แขวงขุมทอง เขตลาดกระบัง กรุงเทพมหานคร 10520 ประเทศไทย</t>
  </si>
  <si>
    <t>ChIJG89lBjBpHTERkA1SAZpA4Fg</t>
  </si>
  <si>
    <t>92ce774c-8709-f476-ce12-a42ab1d2f458</t>
  </si>
  <si>
    <t>โรงเรียนประสานสามัคคี</t>
  </si>
  <si>
    <t>https://maps.app.goo.gl/7SqMGMmQ36fMvBL49</t>
  </si>
  <si>
    <t>{"id":"92ce774c-8709-f476-ce12-a42ab1d2f458","district":"ลาดกระบัง","category":"ศูนย์พักพิงชั่วคราว","name":"โรงเรียนประสานสามัคคี","capacity":40,"occupied":0,"available":40,"unitType":"คน","status":"เปิดให้บริการ/ว่าง","routeDetails":"","link":null,"additionalDetails":"https://maps.app.goo.gl/7SqMGMmQ36fMvBL49","createdAt":"2026-09-26T06:43:50.000Z","updatedAt":"2026-09-26T06:43:50.000Z"}</t>
  </si>
  <si>
    <t>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</t>
  </si>
  <si>
    <t>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</t>
  </si>
  <si>
    <t>กรุงเทพมหานคร เลขที่ 1 2 ซอย ทับยาว แขวงทับยาว เขตลาดกระบัง กรุงเทพมหานคร 10520 ประเทศไทย</t>
  </si>
  <si>
    <t>ChIJ9-fx2t1oHTEROpczi8u2Zgc</t>
  </si>
  <si>
    <t>8bb3b656-819d-8ba2-5d1a-394d5600d7a8</t>
  </si>
  <si>
    <t>โรงเรียนวัดบำรุงรื่น</t>
  </si>
  <si>
    <t>https://maps.app.goo.gl/uoQCpQWyq2u1tLvw7</t>
  </si>
  <si>
    <t>{"id":"8bb3b656-819d-8ba2-5d1a-394d5600d7a8","district":"ลาดกระบัง","category":"ศูนย์พักพิงชั่วคราว","name":"โรงเรียนวัดบำรุงรื่น","capacity":0,"occupied":0,"available":0,"unitType":"คน","status":"เปิดให้บริการ/ว่าง","routeDetails":"","link":null,"additionalDetails":"https://maps.app.goo.gl/uoQCpQWyq2u1tLvw7","createdAt":"2026-09-26T06:43:50.000Z","updatedAt":"2026-09-26T06:43:50.000Z"}</t>
  </si>
  <si>
    <t>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</t>
  </si>
  <si>
    <t>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</t>
  </si>
  <si>
    <t>เลขที่ 9 ซอย ร่มเกล้า 25/2 แขวงคลองสามประเวศ เขตลาดกระบัง กรุงเทพมหานคร 10520 ประเทศไทย</t>
  </si>
  <si>
    <t>ChIJyXSgpvxmHTER8ERgoo_CMKQ</t>
  </si>
  <si>
    <t>1d4a03e3-61d7-ae7f-fd30-68dbd475d5a5</t>
  </si>
  <si>
    <t>โรงเรียนวัดปากบึง</t>
  </si>
  <si>
    <t>https://maps.app.goo.gl/SVNzRkZmNRprXpSB8</t>
  </si>
  <si>
    <t>{"id":"1d4a03e3-61d7-ae7f-fd30-68dbd475d5a5","district":"ลาดกระบัง","category":"ศูนย์พักพิงชั่วคราว","name":"โรงเรียนวัดปากบึง","capacity":60,"occupied":0,"available":60,"unitType":"คน","status":"เปิดให้บริการ/ว่าง","routeDetails":"","link":null,"additionalDetails":"https://maps.app.goo.gl/SVNzRkZmNRprXpSB8","createdAt":"2026-09-26T06:43:50.000Z","updatedAt":"2026-09-26T06:43:50.000Z"}</t>
  </si>
  <si>
    <t>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</t>
  </si>
  <si>
    <t>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</t>
  </si>
  <si>
    <t>28 ซอย เคหะร่มเกล้า 2 แขวงคลองสองต้นนุ่น เขตลาดกระบัง กรุงเทพมหานคร 10520 ประเทศไทย</t>
  </si>
  <si>
    <t>ChIJ33AYRCFkHTERql-CZCm-G6w</t>
  </si>
  <si>
    <t>87957c08-9e83-fad5-051d-8173cd27bed6</t>
  </si>
  <si>
    <t>โรงเรียนวัดลาดกระบัง</t>
  </si>
  <si>
    <t>https://maps.app.goo.gl/57CDb5Mzzz3bWPes9</t>
  </si>
  <si>
    <t>{"id":"87957c08-9e83-fad5-051d-8173cd27bed6","district":"ลาดกระบัง","category":"ศูนย์พักพิงชั่วคราว","name":"โรงเรียนวัดลาดกระบัง","capacity":50,"occupied":0,"available":50,"unitType":"คน","status":"เปิดให้บริการ/ว่าง","routeDetails":"","link":null,"additionalDetails":"https://maps.app.goo.gl/57CDb5Mzzz3bWPes9","createdAt":"2026-09-26T06:43:50.000Z","updatedAt":"2026-09-26T06:43:50.000Z"}</t>
  </si>
  <si>
    <t>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</t>
  </si>
  <si>
    <t>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</si>
  <si>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307 ซอย ร่มเกล้า 27 แขวงลาดกระบัง เขตลาดกระบัง กรุงเทพมหานคร 10520 ประเทศไทย</t>
  </si>
  <si>
    <t>ChIJRWjGF_5mHTERjUTmVOEg5lU</t>
  </si>
  <si>
    <t>f972891e-249a-d6ee-d41c-e53a087128d2</t>
  </si>
  <si>
    <t>โรงเรียนวัดลานบุญ</t>
  </si>
  <si>
    <t>{"id":"f972891e-249a-d6ee-d41c-e53a087128d2","district":"ลาดกระบัง","category":"ศูนย์พักพิงชั่วคราว","name":"โรงเรียนวัดลานบุญ","capacity":50,"occupied":30,"available":20,"unitType":"คน","status":"เปิดให้บริการ/ว่าง","routeDetails":"","link":null,"additionalDetails":"https://maps.app.goo.gl/57CDb5Mzzz3bWPes9","createdAt":"2026-09-26T06:43:50.000Z","updatedAt":"2026-09-26T06:43:50.000Z"}</t>
  </si>
  <si>
    <t>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</t>
  </si>
  <si>
    <t>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</t>
  </si>
  <si>
    <t>19, 1 Soi, Khet, Ladkrabang, กรุงเทพมหานคร 10520 ประเทศไทย</t>
  </si>
  <si>
    <t>ChIJMVqyEChnHTERjildMZy8nQE</t>
  </si>
  <si>
    <t>71c4ce5c-d133-efe4-0e62-58419ffc6266</t>
  </si>
  <si>
    <t>โรงเรียนวัดสังฆราชา</t>
  </si>
  <si>
    <t>https://maps.app.goo.gl/NNb4oTgkSBqmEvcp8</t>
  </si>
  <si>
    <t>{"id":"71c4ce5c-d133-efe4-0e62-58419ffc6266","district":"ลาดกระบัง","category":"ศูนย์พักพิงชั่วคราว","name":"โรงเรียนวัดสังฆราชา","capacity":40,"occupied":38,"available":2,"unitType":"คน","status":"ใกล้เต็ม","routeDetails":"","link":null,"additionalDetails":"https://maps.app.goo.gl/NNb4oTgkSBqmEvcp8","createdAt":"2026-09-26T06:43:50.000Z","updatedAt":"2026-09-26T06:43:50.000Z"}</t>
  </si>
  <si>
    <t>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</t>
  </si>
  <si>
    <t>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</t>
  </si>
  <si>
    <t>290 ซ.ลาดกระบัง 3 แขวงลาดกระบัง เขตลาดกระบัง กรุงเทพมหานคร 10520 ประเทศไทย</t>
  </si>
  <si>
    <t>ChIJjTbz5eFmHTERTr4XuH4UW8o</t>
  </si>
  <si>
    <t>8a114428-c8c2-f3fe-86a8-73bd768f9cdf</t>
  </si>
  <si>
    <t>โรงเรียนวัดสุทธาโภชน์</t>
  </si>
  <si>
    <t>https://maps.app.goo.gl/3WiLNbK2NGTxLyGx6</t>
  </si>
  <si>
    <t>{"id":"8a114428-c8c2-f3fe-86a8-73bd768f9cdf","district":"ลาดกระบัง","category":"ศูนย์พักพิงชั่วคราว","name":"โรงเรียนวัดสุทธาโภชน์","capacity":40,"occupied":4,"available":36,"unitType":"คน","status":"เปิดให้บริการ/ว่าง","routeDetails":"","link":null,"additionalDetails":"https://maps.app.goo.gl/3WiLNbK2NGTxLyGx6","createdAt":"2026-09-26T06:43:50.000Z","updatedAt":"2026-09-26T06:43:50.000Z"}</t>
  </si>
  <si>
    <t>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</t>
  </si>
  <si>
    <t>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</t>
  </si>
  <si>
    <t>2 Soi Chalong Krung, แขวงทับยาว เขตลาดกระบัง กรุงเทพมหานคร 10520 ประเทศไทย</t>
  </si>
  <si>
    <t>ChIJy_JHPiFmHTEREJeKrXQpWis</t>
  </si>
  <si>
    <t>785e557e-e447-a3a7-6499-971bf3730fb6</t>
  </si>
  <si>
    <t>โรงเรียนเคหะชุมชนลาดกระบัง</t>
  </si>
  <si>
    <t>https://maps.app.goo.gl/QtgyRXhHBvd4V6jQ8</t>
  </si>
  <si>
    <t>{"id":"785e557e-e447-a3a7-6499-971bf3730fb6","district":"ลาดกระบัง","category":"ศูนย์พักพิงชั่วคราว","name":"โรงเรียนเคหะชุมชนลาดกระบัง","capacity":200,"occupied":160,"available":40,"unitType":"คน","status":"เปิดให้บริการ/ว่าง","routeDetails":"","link":null,"additionalDetails":"https://maps.app.goo.gl/QtgyRXhHBvd4V6jQ8","createdAt":"2026-09-26T06:43:50.000Z","updatedAt":"2026-09-26T06:43:50.000Z"}</t>
  </si>
  <si>
    <t>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</t>
  </si>
  <si>
    <t>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</t>
  </si>
  <si>
    <t>143 ถนน ร่มเกล้า แขวงคลองสองต้นนุ่น เขตลาดกระบัง กรุงเทพมหานคร 10520 ประเทศไทย</t>
  </si>
  <si>
    <t>ChIJyXSgpvxmHTER41032Gn5jdA</t>
  </si>
  <si>
    <t>73063bec-9106-8f60-9180-e25f2eaec5d4</t>
  </si>
  <si>
    <t>โรงเรียนแดงเป้า</t>
  </si>
  <si>
    <t>https://maps.app.goo.gl/769guFdzBuMpHnm36</t>
  </si>
  <si>
    <t>{"id":"73063bec-9106-8f60-9180-e25f2eaec5d4","district":"ลาดกระบัง","category":"ศูนย์พักพิงชั่วคราว","name":"โรงเรียนแดงเป้า","capacity":50,"occupied":12,"available":38,"unitType":"คน","status":"เปิดให้บริการ/ว่าง","routeDetails":"","link":null,"additionalDetails":"https://maps.app.goo.gl/769guFdzBuMpHnm36","createdAt":"2026-09-26T06:43:50.000Z","updatedAt":"2026-09-26T06:43:50.000Z"}</t>
  </si>
  <si>
    <t>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</t>
  </si>
  <si>
    <t>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</t>
  </si>
  <si>
    <t>1 ซ ถนน พัฒนาชนบท 2 แขวงคลองสองต้นนุ่น เขตลาดกระบัง กรุงเทพมหานคร 10520 ประเทศไทย</t>
  </si>
  <si>
    <t>ChIJ1ySZesdmHTERWyn_UMM_Sgs</t>
  </si>
  <si>
    <t>b5a72573-170d-53df-6af8-5d8ceb2e153e</t>
  </si>
  <si>
    <t>โรงเรียนแสงหิรัญวิทยา</t>
  </si>
  <si>
    <t>https://maps.app.goo.gl/KHCU2PvBk9xj1HK5A</t>
  </si>
  <si>
    <t>{"id":"b5a72573-170d-53df-6af8-5d8ceb2e153e","district":"ลาดกระบัง","category":"ศูนย์พักพิงชั่วคราว","name":"โรงเรียนแสงหิรัญวิทยา","capacity":30,"occupied":0,"available":30,"unitType":"คน","status":"เปิดให้บริการ/ว่าง","routeDetails":"","link":null,"additionalDetails":"https://maps.app.goo.gl/KHCU2PvBk9xj1HK5A","createdAt":"2026-09-26T06:43:50.000Z","updatedAt":"2026-09-26T06:43:50.000Z"}</t>
  </si>
  <si>
    <t>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</t>
  </si>
  <si>
    <t>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</t>
  </si>
  <si>
    <t>868 Luangprang Road, Tabyao, Khet Ladkrabang, Bangkok, 10520 แขวงทับยาว เขตลาดกระบัง กรุงเทพมหานคร 10520 ประเทศไทย</t>
  </si>
  <si>
    <t>ChIJeYPOFWVoHTERh9srvbZGgcs</t>
  </si>
  <si>
    <t>70e3808f-2cec-c049-6c34-f9252640f14f</t>
  </si>
  <si>
    <t>วัดลาดปลาเค้า</t>
  </si>
  <si>
    <t>https://maps.app.goo.gl/qqTw6x5uT1e5mQHC8?g_st=ic</t>
  </si>
  <si>
    <t>2026-09-26T08:17:16.000Z</t>
  </si>
  <si>
    <t>2026-09-26T08:27:51.000Z</t>
  </si>
  <si>
    <t>{"id":"70e3808f-2cec-c049-6c34-f9252640f14f","district":"ลาดพร้าว","category":"ศูนย์พักพิงชั่วคราว","name":"วัดลาดปลาเค้า","capacity":300,"occupied":6,"available":294,"unitType":"คน","status":"เปิดให้บริการ/ว่าง","routeDetails":"","link":"https://maps.app.goo.gl/qqTw6x5uT1e5mQHC8?g_st=ic","additionalDetails":null,"createdAt":"2026-09-26T08:17:16.000Z","updatedAt":"2026-09-26T08:27:51.000Z"}</t>
  </si>
  <si>
    <t>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</t>
  </si>
  <si>
    <t>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</t>
  </si>
  <si>
    <t>542 ถ. ลาดปลาเค้า แขวงจรเข้บัว ลาดพร้าว กรุงเทพมหานคร 10230 ประเทศไทย</t>
  </si>
  <si>
    <t>ChIJw76tbkKd4jARBcIOat2318o</t>
  </si>
  <si>
    <t>ce5239a0-c88d-c6b6-2e50-8d3648d550be</t>
  </si>
  <si>
    <t>ศูนย์ส่งเสริมการเรียนรู้ระดับเขตลาดพร้าว</t>
  </si>
  <si>
    <t>https://maps.app.goo.gl/ymnZgx6HL271GUmk8?g_st=ic</t>
  </si>
  <si>
    <t>{"id":"ce5239a0-c88d-c6b6-2e50-8d3648d550be","district":"ลาดพร้าว","category":"ศูนย์พักพิงชั่วคราว","name":"ศูนย์ส่งเสริมการเรียนรู้ระดับเขตลาดพร้าว","capacity":50,"occupied":0,"available":50,"unitType":"คน","status":"เปิดให้บริการ/ว่าง","routeDetails":"","link":"https://maps.app.goo.gl/ymnZgx6HL271GUmk8?g_st=ic","additionalDetails":null,"createdAt":"2026-09-26T08:17:16.000Z","updatedAt":"2026-09-26T08:27:51.000Z"}</t>
  </si>
  <si>
    <t>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</t>
  </si>
  <si>
    <t>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</t>
  </si>
  <si>
    <t>วัดสาครสุ่นประชาสรรค์ ซอย สุคนธสวัสดิ์ 3 แขวงลาดพร้าว ลาดพร้าว กรุงเทพมหานคร 10230 ประเทศไทย</t>
  </si>
  <si>
    <t>ChIJRcPKdUmd4jARxYu3c2OVbW4</t>
  </si>
  <si>
    <t>3f3b5a42-1de4-d401-613c-21be82ca8966</t>
  </si>
  <si>
    <t>โรงเรียนคลองทรงกระเทียม</t>
  </si>
  <si>
    <t>https://maps.app.goo.gl/dLXBqTQrZMLGU7Nh8?g_st=ic</t>
  </si>
  <si>
    <t>{"id":"3f3b5a42-1de4-d401-613c-21be82ca8966","district":"ลาดพร้าว","category":"ศูนย์พักพิงชั่วคราว","name":"โรงเรียนคลองทรงกระเทียม","capacity":60,"occupied":0,"available":60,"unitType":"คน","status":"เปิดให้บริการ/ว่าง","routeDetails":"","link":"https://maps.app.goo.gl/dLXBqTQrZMLGU7Nh8?g_st=ic","additionalDetails":null,"createdAt":"2026-09-26T08:17:16.000Z","updatedAt":"2026-09-26T08:27:51.000Z"}</t>
  </si>
  <si>
    <t>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</t>
  </si>
  <si>
    <t>2026-10-02T15:38:59+07:00</t>
  </si>
  <si>
    <t>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</t>
  </si>
  <si>
    <t>RJ27+849 ซอยโรงเรียนคลองทรงกระเทียม แขวงลาดพร้าว ลาดพร้าว กรุงเทพมหานคร 10230 ประเทศไทย</t>
  </si>
  <si>
    <t>ChIJCWrOvoyd4jARLzmqfpLCH08</t>
  </si>
  <si>
    <t>46ce6821-25ab-4575-ed92-b26fa4f869a5</t>
  </si>
  <si>
    <t>โรงเรียนลอยสายอนุสรณ์</t>
  </si>
  <si>
    <t>https://maps.app.goo.gl/Jywq7HkmQXnKJK138?g_st=ic</t>
  </si>
  <si>
    <t>{"id":"46ce6821-25ab-4575-ed92-b26fa4f869a5","district":"ลาดพร้าว","category":"ศูนย์พักพิงชั่วคราว","name":"โรงเรียนลอยสายอนุสรณ์","capacity":50,"occupied":0,"available":50,"unitType":"คน","status":"เปิดให้บริการ/ว่าง","routeDetails":"","link":"https://maps.app.goo.gl/Jywq7HkmQXnKJK138?g_st=ic","additionalDetails":null,"createdAt":"2026-09-26T08:17:16.000Z","updatedAt":"2026-09-26T08:27:51.000Z"}</t>
  </si>
  <si>
    <t>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</t>
  </si>
  <si>
    <t>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</t>
  </si>
  <si>
    <t>12 ซอย อยู่เย็น แขวงลาดพร้าว ลาดพร้าว กรุงเทพมหานคร 10230 ประเทศไทย</t>
  </si>
  <si>
    <t>ChIJwdvLLLxiHTER7j42UrtwZzw</t>
  </si>
  <si>
    <t>210b3783-4da3-eae5-37cd-69104091b0c8</t>
  </si>
  <si>
    <t>โรงเรียนวัดลาดปลาเค้า</t>
  </si>
  <si>
    <t>https://maps.app.goo.gl/J9amCBHo4EGiZb7D9?g_st=ic</t>
  </si>
  <si>
    <t>{"id":"210b3783-4da3-eae5-37cd-69104091b0c8","district":"ลาดพร้าว","category":"ศูนย์พักพิงชั่วคราว","name":"โรงเรียนวัดลาดปลาเค้า","capacity":100,"occupied":0,"available":100,"unitType":"คน","status":"เปิดให้บริการ/ว่าง","routeDetails":"","link":"https://maps.app.goo.gl/J9amCBHo4EGiZb7D9?g_st=ic","additionalDetails":null,"createdAt":"2026-09-26T08:17:16.000Z","updatedAt":"2026-09-26T08:27:51.000Z"}</t>
  </si>
  <si>
    <t>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</t>
  </si>
  <si>
    <t>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</t>
  </si>
  <si>
    <t>487 ถนน วัดลาดปลาเค้า แขวงจรเข้บัว ลาดพร้าว กรุงเทพมหานคร 10230 ประเทศไทย</t>
  </si>
  <si>
    <t>ChIJr55JR0Kd4jAR7MifFk9edTU</t>
  </si>
  <si>
    <t>7656bb34-1b58-5bd3-6280-11379aac5fa5</t>
  </si>
  <si>
    <t>โรงเรียนวัดลาดพร้าว</t>
  </si>
  <si>
    <t>https://maps.app.goo.gl/JT9g2f4AqSwahrZE6?g_st=ic</t>
  </si>
  <si>
    <t>{"id":"7656bb34-1b58-5bd3-6280-11379aac5fa5","district":"ลาดพร้าว","category":"ศูนย์พักพิงชั่วคราว","name":"โรงเรียนวัดลาดพร้าว","capacity":50,"occupied":0,"available":50,"unitType":"คน","status":"เปิดให้บริการ/ว่าง","routeDetails":"","link":"https://maps.app.goo.gl/JT9g2f4AqSwahrZE6?g_st=ic","additionalDetails":null,"createdAt":"2026-09-26T08:17:16.000Z","updatedAt":"2026-09-26T08:27:51.000Z"}</t>
  </si>
  <si>
    <t>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</t>
  </si>
  <si>
    <t>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</t>
  </si>
  <si>
    <t>RH3R+838 แขวงลาดพร้าว เขตวังทองหลาง จังหวัด กรุงเทพมหานคร 10230 ประเทศไทย</t>
  </si>
  <si>
    <t>ChIJNYPr4Lid4jAR0N1bizks-08</t>
  </si>
  <si>
    <t>7c341567-761f-bfa7-751f-b399f48363d8</t>
  </si>
  <si>
    <t>โรงเรียนเทพวิทยา</t>
  </si>
  <si>
    <t>https://maps.app.goo.gl/t86op6p4kxSo1abb8?g_st=ic</t>
  </si>
  <si>
    <t>{"id":"7c341567-761f-bfa7-751f-b399f48363d8","district":"ลาดพร้าว","category":"ศูนย์พักพิงชั่วคราว","name":"โรงเรียนเทพวิทยา","capacity":50,"occupied":0,"available":50,"unitType":"คน","status":"เปิดให้บริการ/ว่าง","routeDetails":"","link":"https://maps.app.goo.gl/t86op6p4kxSo1abb8?g_st=ic","additionalDetails":null,"createdAt":"2026-09-26T08:17:16.000Z","updatedAt":"2026-09-26T08:27:51.000Z"}</t>
  </si>
  <si>
    <t>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</t>
  </si>
  <si>
    <t>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</t>
  </si>
  <si>
    <t>RHJR+VCF ถ. เสนานิคม 1 แขวงลาดพร้าว ลาดพร้าว กรุงเทพมหานคร 10230 ประเทศไทย</t>
  </si>
  <si>
    <t>ChIJcx10R_2c4jARfMLsV3fxfu4</t>
  </si>
  <si>
    <t>f5e6984e-42e7-218c-d4f7-c5d1f63f80b4</t>
  </si>
  <si>
    <t>โรงเรียนเพชรถนอม</t>
  </si>
  <si>
    <t>https://maps.app.goo.gl/nQ2WXTAcZrT6ixTeA?g_st=ic</t>
  </si>
  <si>
    <t>{"id":"f5e6984e-42e7-218c-d4f7-c5d1f63f80b4","district":"ลาดพร้าว","category":"ศูนย์พักพิงชั่วคราว","name":"โรงเรียนเพชรถนอม","capacity":100,"occupied":0,"available":100,"unitType":"คน","status":"เปิดให้บริการ/ว่าง","routeDetails":"","link":"https://maps.app.goo.gl/nQ2WXTAcZrT6ixTeA?g_st=ic","additionalDetails":null,"createdAt":"2026-09-26T08:17:16.000Z","updatedAt":"2026-09-26T08:27:51.000Z"}</t>
  </si>
  <si>
    <t>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</t>
  </si>
  <si>
    <t>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</t>
  </si>
  <si>
    <t>ซอย สุคนธสวัสดิ์ 10 แขวงลาดพร้าว ลาดพร้าว กรุงเทพมหานคร 10230 ประเทศไทย</t>
  </si>
  <si>
    <t>ChIJhfNwrXid4jARnaiAizuhfTU</t>
  </si>
  <si>
    <t>7f5f5105-0333-4b10-9153-1f419f53bdbc</t>
  </si>
  <si>
    <t>โรงเรียนวัดธาตุทอง (เรือนเขียวสะอาด)</t>
  </si>
  <si>
    <t>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</t>
  </si>
  <si>
    <t>2026-09-26T05:36:19.000Z</t>
  </si>
  <si>
    <t>{"id":"7f5f5105-0333-4b10-9153-1f419f53bdbc","district":"วัฒนา","category":"ศูนย์พักพิงชั่วคราว","name":"โรงเรียนวัดธาตุทอง (เรือนเขียวสะอาด)","capacity":50,"occupied":0,"available":50,"unitType":"คน","status":"เปิดให้บริการ/ว่าง","routeDetails":"","link":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,"additionalDetails":null,"createdAt":"2026-09-26T05:36:19.000Z","updatedAt":"2026-09-26T05:36:19.000Z"}</t>
  </si>
  <si>
    <t>f595791c-1730-ef8f-574d-4689a44f6c6f</t>
  </si>
  <si>
    <t>โรงเรียนสวัสดีวิทยา</t>
  </si>
  <si>
    <t>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</t>
  </si>
  <si>
    <t>2026-09-26T05:26:47.000Z</t>
  </si>
  <si>
    <t>{"id":"f595791c-1730-ef8f-574d-4689a44f6c6f","district":"วัฒนา","category":"ศูนย์พักพิงชั่วคราว","name":"โรงเรียนสวัสดีวิทยา","capacity":30,"occupied":0,"available":30,"unitType":"คน","status":"เปิดให้บริการ/ว่าง","routeDetails":"","link":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,"additionalDetails":null,"createdAt":"2026-09-26T05:26:47.000Z","updatedAt":"2026-09-26T05:26:47.000Z"}</t>
  </si>
  <si>
    <t>ed3b58c3-55c8-4bee-7681-c29a1cf2dd20</t>
  </si>
  <si>
    <t>โรงเรียนสุเหร่าบางมะเขือ</t>
  </si>
  <si>
    <t>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</t>
  </si>
  <si>
    <t>2026-09-26T05:37:35.000Z</t>
  </si>
  <si>
    <t>{"id":"ed3b58c3-55c8-4bee-7681-c29a1cf2dd20","district":"วัฒนา","category":"ศูนย์พักพิงชั่วคราว","name":"โรงเรียนสุเหร่าบางมะเขือ","capacity":10,"occupied":0,"available":10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,"additionalDetails":null,"createdAt":"2026-09-26T05:37:35.000Z","updatedAt":"2026-09-26T05:37:35.000Z"}</t>
  </si>
  <si>
    <t>2b9d72d0-ab1f-578c-d2e3-7205d40f2f4c</t>
  </si>
  <si>
    <t>โรงเรียนสุเหร่าบ้านดอน</t>
  </si>
  <si>
    <t>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</t>
  </si>
  <si>
    <t>2026-09-26T05:30:35.000Z</t>
  </si>
  <si>
    <t>{"id":"2b9d72d0-ab1f-578c-d2e3-7205d40f2f4c","district":"วัฒนา","category":"ศูนย์พักพิงชั่วคราว","name":"โรงเรียนสุเหร่าบ้านดอน","capacity":50,"occupied":1,"available":49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,"additionalDetails":null,"createdAt":"2026-09-26T05:30:35.000Z","updatedAt":"2026-09-26T05:30:35.000Z"}</t>
  </si>
  <si>
    <t>fefd59ba-944e-230c-db96-42bcf6831f43</t>
  </si>
  <si>
    <t>โรงเรียนสุเหร่าสามอิน</t>
  </si>
  <si>
    <t>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</t>
  </si>
  <si>
    <t>2026-09-26T05:34:07.000Z</t>
  </si>
  <si>
    <t>{"id":"fefd59ba-944e-230c-db96-42bcf6831f43","district":"วัฒนา","category":"ศูนย์พักพิงชั่วคราว","name":"โรงเรียนสุเหร่าสามอิน","capacity":100,"occupied":0,"available":100,"unitType":"คน","status":"เปิดให้บริการ/ว่าง","routeDetails":"","link":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,"additionalDetails":null,"createdAt":"2026-09-26T05:34:07.000Z","updatedAt":"2026-09-26T05:34:07.000Z"}</t>
  </si>
  <si>
    <t>012012bb-7bee-2d90-e5fe-c648e1b66142</t>
  </si>
  <si>
    <t>โรงเรียนแจ่มจันทร์</t>
  </si>
  <si>
    <t>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</t>
  </si>
  <si>
    <t>2026-09-26T05:32:05.000Z</t>
  </si>
  <si>
    <t>{"id":"012012bb-7bee-2d90-e5fe-c648e1b66142","district":"วัฒนา","category":"ศูนย์พักพิงชั่วคราว","name":"โรงเรียนแจ่มจันทร์","capacity":20,"occupied":1,"available":19,"unitType":"คน","status":"เปิดให้บริการ/ว่าง","routeDetails":"","link":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,"additionalDetails":null,"createdAt":"2026-09-26T05:32:05.000Z","updatedAt":"2026-09-26T05:32:05.000Z"}</t>
  </si>
  <si>
    <t>92e9c61f-23ba-d76a-0d6b-afb89269c167</t>
  </si>
  <si>
    <t>ศูนย์พัฒนาเด็กก่อนวัยเรียนชุมชนธรรมานุรักษ์</t>
  </si>
  <si>
    <t>2026-09-26T06:33:57.000Z</t>
  </si>
  <si>
    <t>{"id":"92e9c61f-23ba-d76a-0d6b-afb89269c167","district":"สวนหลวง","category":"ศูนย์พักพิงชั่วคราว","name":"ศูนย์พัฒนาเด็กก่อนวัยเรียนชุมชนธรรมานุรักษ์","capacity":0,"occupied":0,"available":0,"unitType":"คน","status":"เปิดให้บริการ/ว่าง","routeDetails":"","link":null,"additionalDetails":null,"createdAt":"2026-09-26T06:33:57.000Z","updatedAt":"2026-09-26T06:33:57.000Z"}</t>
  </si>
  <si>
    <t>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</t>
  </si>
  <si>
    <t>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</t>
  </si>
  <si>
    <t>108 พระราม ที่ 9 แขวงสวนหลวง เขตสวนหลวง กรุงเทพมหานคร 10250 ประเทศไทย</t>
  </si>
  <si>
    <t>ChIJzSyr3tthHTERhUOdPYi1Wc0</t>
  </si>
  <si>
    <t>d9026e04-5cbd-b52d-fe4d-d8d150a4b6d2</t>
  </si>
  <si>
    <t>ห้องประชุมสวนหลวง ชั้น 6 สำนักงานเขตสวนหลวง</t>
  </si>
  <si>
    <t>{"id":"d9026e04-5cbd-b52d-fe4d-d8d150a4b6d2","district":"สวนหลวง","category":"ศูนย์พักพิงชั่วคราว","name":"ห้องประชุมสวนหลวง ชั้น 6 สำนักงานเขตสวนหลวง","capacity":0,"occupied":0,"available":0,"unitType":"คน","status":"เปิดให้บริการ/ว่าง","routeDetails":"","link":null,"additionalDetails":null,"createdAt":"2026-09-26T06:33:57.000Z","updatedAt":"2026-09-26T06:33:57.000Z"}</t>
  </si>
  <si>
    <t>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</t>
  </si>
  <si>
    <t>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</t>
  </si>
  <si>
    <t>2998 ถ. พัฒนาการ แขวงพัฒนาการ เขตสวนหลวง กรุงเทพมหานคร 10250 ประเทศไทย</t>
  </si>
  <si>
    <t>ChIJ-zL4xLJhHTERFaIe2YGWRnI</t>
  </si>
  <si>
    <t>786a9010-5577-4011-90cb-f18ac61451af</t>
  </si>
  <si>
    <t>ศูนย์นันทนาการเขตสะพานสูง</t>
  </si>
  <si>
    <t>https://maps.app.goo.gl/2REkkzWP6mf94LNE6?g_st=ic</t>
  </si>
  <si>
    <t>2026-09-27T02:40:01.712Z</t>
  </si>
  <si>
    <t>2026-09-28T04:06:07.677Z</t>
  </si>
  <si>
    <t>{"id":"786a9010-5577-4011-90cb-f18ac61451af","district":"สะพานสูง","category":"ศูนย์พักพิงชั่วคราว","name":"ศูนย์นันทนาการเขตสะพานสูง","capacity":100,"occupied":70,"available":30,"unitType":"คน","status":"เปิดให้บริการ/ว่าง","routeDetails":"","link":"https://maps.app.goo.gl/2REkkzWP6mf94LNE6?g_st=ic","additionalDetails":null,"createdAt":"2026-09-27T02:40:01.712Z","updatedAt":"2026-09-28T04:06:07.677Z"}</t>
  </si>
  <si>
    <t>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</t>
  </si>
  <si>
    <t>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</t>
  </si>
  <si>
    <t>แขวงสะพานสูง สะพานสูง กรุงเทพมหานคร 10240 ประเทศไทย</t>
  </si>
  <si>
    <t>ChIJWzGM5WBhHTER9B86BJoiHiE</t>
  </si>
  <si>
    <t>e9209803-630c-4768-81ad-8da226b91c72</t>
  </si>
  <si>
    <t>https://maps.app.goo.gl/9d4amU62sLuNHe1w9?g_st=ic</t>
  </si>
  <si>
    <t>2026-09-27T02:39:07.804Z</t>
  </si>
  <si>
    <t>2026-09-28T04:06:17.884Z</t>
  </si>
  <si>
    <t>{"id":"e9209803-630c-4768-81ad-8da226b91c72","district":"สะพานสูง","category":"ศูนย์พักพิงชั่วคราว","name":"โรงเรียนวัดลาดบัวขาว","capacity":80,"occupied":25,"available":55,"unitType":"คน","status":"เปิดให้บริการ/ว่าง","routeDetails":"","link":"https://maps.app.goo.gl/9d4amU62sLuNHe1w9?g_st=ic","additionalDetails":null,"createdAt":"2026-09-27T02:39:07.804Z","updatedAt":"2026-09-28T04:06:17.884Z"}</t>
  </si>
  <si>
    <t>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</t>
  </si>
  <si>
    <t>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</t>
  </si>
  <si>
    <t>170/7 ถ. กาญจนาภิเษก แขวงสะพานสูง สะพานสูง กรุงเทพมหานคร 10250 ประเทศไทย</t>
  </si>
  <si>
    <t>ChIJPwIAF0VhHTERSFdUgB1LB9Y</t>
  </si>
  <si>
    <t>0f7918ff-cedd-4203-a4bc-4a1c65644a95</t>
  </si>
  <si>
    <t>โรงเรียนศรีพฤฒา</t>
  </si>
  <si>
    <t>https://maps.app.goo.gl/29PqwaSCySY2hspa6?g_st=ic</t>
  </si>
  <si>
    <t>2026-09-27T02:35:23.823Z</t>
  </si>
  <si>
    <t>2026-09-28T04:07:55.738Z</t>
  </si>
  <si>
    <t>{"id":"0f7918ff-cedd-4203-a4bc-4a1c65644a95","district":"สะพานสูง","category":"ศูนย์พักพิงชั่วคราว","name":"โรงเรียนศรีพฤฒา","capacity":720,"occupied":720,"available":0,"unitType":"คน","status":"เต็ม","routeDetails":"","link":"https://maps.app.goo.gl/29PqwaSCySY2hspa6?g_st=ic","additionalDetails":null,"createdAt":"2026-09-27T02:35:23.823Z","updatedAt":"2026-09-28T04:07:55.738Z"}</t>
  </si>
  <si>
    <t>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</t>
  </si>
  <si>
    <t>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</t>
  </si>
  <si>
    <t>เลขที่ 61 ถ. นักกีฬาแหลมทอง แขวงทับช้าง สะพานสูง กรุงเทพมหานคร 10250 ประเทศไทย</t>
  </si>
  <si>
    <t>ChIJb5go1DthHTERSvwbGf_G7os</t>
  </si>
  <si>
    <t>730c9de8-15b4-419d-afa7-6726a100827f</t>
  </si>
  <si>
    <t>โรงเรียนสมโภชกรุงอนุสรณ์ (200ปี)</t>
  </si>
  <si>
    <t>https://maps.app.goo.gl/mL6qjZokdgQihY4x6?g_st=ic</t>
  </si>
  <si>
    <t>2026-09-27T01:45:47.442Z</t>
  </si>
  <si>
    <t>2026-09-28T04:08:25.362Z</t>
  </si>
  <si>
    <t>{"id":"730c9de8-15b4-419d-afa7-6726a100827f","district":"สะพานสูง","category":"ศูนย์พักพิงชั่วคราว","name":"โรงเรียนสมโภชกรุงอนุสรณ์ (200ปี)","capacity":360,"occupied":360,"available":0,"unitType":"คน","status":"เต็ม","routeDetails":"","link":"https://maps.app.goo.gl/mL6qjZokdgQihY4x6?g_st=ic","additionalDetails":null,"createdAt":"2026-09-27T01:45:47.442Z","updatedAt":"2026-09-28T04:08:25.362Z"}</t>
  </si>
  <si>
    <t>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</t>
  </si>
  <si>
    <t>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</t>
  </si>
  <si>
    <t>16 ถ. กรุงเทพกรีฑา แขวงสวนหลวง เขตสวนหลวง กรุงเทพมหานคร 10250 ประเทศไทย</t>
  </si>
  <si>
    <t>ChIJPcecmDxhHTERG8gsBXiQ8CA</t>
  </si>
  <si>
    <t>2bc70ccc-aa67-4dc5-ae69-b22d8f58bf94</t>
  </si>
  <si>
    <t>โรงเรียนสามแยกคลองหลอแหล</t>
  </si>
  <si>
    <t>https://maps.app.goo.gl/LhQd8WRQCxCtmrzGA?g_st=ic</t>
  </si>
  <si>
    <t>2026-09-27T01:37:44.031Z</t>
  </si>
  <si>
    <t>2026-09-28T04:06:33.176Z</t>
  </si>
  <si>
    <t>{"id":"2bc70ccc-aa67-4dc5-ae69-b22d8f58bf94","district":"สะพานสูง","category":"ศูนย์พักพิงชั่วคราว","name":"โรงเรียนสามแยกคลองหลอแหล","capacity":300,"occupied":300,"available":0,"unitType":"คน","status":"เต็ม","routeDetails":"","link":"https://maps.app.goo.gl/LhQd8WRQCxCtmrzGA?g_st=ic","additionalDetails":null,"createdAt":"2026-09-27T01:37:44.031Z","updatedAt":"2026-09-28T04:06:33.176Z"}</t>
  </si>
  <si>
    <t>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</t>
  </si>
  <si>
    <t>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</t>
  </si>
  <si>
    <t>ซอย ราษฎร์พัฒนา 10 ถ. ราษฎร์พัฒนา แขวงราษฎร์พัฒนา สะพานสูง กรุงเทพมหานคร 10240 ประเทศไทย</t>
  </si>
  <si>
    <t>ChIJRZR6mvtjHTER4dxwvRYcJSc</t>
  </si>
  <si>
    <t>8247b8db-8742-4645-a7be-e1e18036cf0a</t>
  </si>
  <si>
    <t>โรงเรียนสุเหร่าซีรอ (ราษฎร์สามัคคี)</t>
  </si>
  <si>
    <t>https://maps.app.goo.gl/bGVh12H1RuUdxHrw8?g_st=ic</t>
  </si>
  <si>
    <t>2026-09-27T01:41:00.611Z</t>
  </si>
  <si>
    <t>2026-09-28T04:06:52.410Z</t>
  </si>
  <si>
    <t>{"id":"8247b8db-8742-4645-a7be-e1e18036cf0a","district":"สะพานสูง","category":"ศูนย์พักพิงชั่วคราว","name":"โรงเรียนสุเหร่าซีรอ (ราษฎร์สามัคคี)","capacity":120,"occupied":120,"available":0,"unitType":"คน","status":"เต็ม","routeDetails":"","link":"https://maps.app.goo.gl/bGVh12H1RuUdxHrw8?g_st=ic","additionalDetails":null,"createdAt":"2026-09-27T01:41:00.611Z","updatedAt":"2026-09-28T04:06:52.410Z"}</t>
  </si>
  <si>
    <t>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</t>
  </si>
  <si>
    <t>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</t>
  </si>
  <si>
    <t>3 หมู่ 8 ถ. ราษฎร์พัฒนา แขวงราษฎร์พัฒนา สะพานสูง กรุงเทพมหานคร 10240 ประเทศไทย</t>
  </si>
  <si>
    <t>ChIJy_rlE1lhHTERT3DcIQpAT28</t>
  </si>
  <si>
    <t>296cf755-32af-482c-b455-6cb6b1cfabd3</t>
  </si>
  <si>
    <t>โรงเรียนสุเหร่าทับช้างคลองบน</t>
  </si>
  <si>
    <t>https://maps.app.goo.gl/dUa6Q1Q7uZE13rMU9?g_st=ic</t>
  </si>
  <si>
    <t>2026-09-27T02:38:21.158Z</t>
  </si>
  <si>
    <t>2026-09-28T04:07:07.677Z</t>
  </si>
  <si>
    <t>{"id":"296cf755-32af-482c-b455-6cb6b1cfabd3","district":"สะพานสูง","category":"ศูนย์พักพิงชั่วคราว","name":"โรงเรียนสุเหร่าทับช้างคลองบน","capacity":150,"occupied":50,"available":100,"unitType":"คน","status":"เปิดให้บริการ/ว่าง","routeDetails":"","link":"https://maps.app.goo.gl/dUa6Q1Q7uZE13rMU9?g_st=ic","additionalDetails":null,"createdAt":"2026-09-27T02:38:21.158Z","updatedAt":"2026-09-28T04:07:07.677Z"}</t>
  </si>
  <si>
    <t>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</t>
  </si>
  <si>
    <t>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</t>
  </si>
  <si>
    <t>20 ซอยนักกีฬาแหลมทอง 30 แยก 2 แขวงทับช้าง สะพานสูง กรุงเทพมหานคร 10250 ประเทศไทย</t>
  </si>
  <si>
    <t>ChIJT4qPNzZhHTERAPrezKwAccc</t>
  </si>
  <si>
    <t>c6aee575-ed2c-4ed4-aefb-1fce9936e1d0</t>
  </si>
  <si>
    <t>โรงเรียนสุเหร่าลาดบัวขาว</t>
  </si>
  <si>
    <t>2026-09-27T02:36:54.549Z</t>
  </si>
  <si>
    <t>2026-09-28T04:07:30.779Z</t>
  </si>
  <si>
    <t>{"id":"c6aee575-ed2c-4ed4-aefb-1fce9936e1d0","district":"สะพานสูง","category":"ศูนย์พักพิงชั่วคราว","name":"โรงเรียนสุเหร่าลาดบัวขาว","capacity":215,"occupied":215,"available":0,"unitType":"คน","status":"เต็ม","routeDetails":"","link":"https://maps.app.goo.gl/dUa6Q1Q7uZE13rMU9?g_st=ic","additionalDetails":null,"createdAt":"2026-09-27T02:36:54.549Z","updatedAt":"2026-09-28T04:07:30.779Z"}</t>
  </si>
  <si>
    <t>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</t>
  </si>
  <si>
    <t>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</t>
  </si>
  <si>
    <t>36 ถ. เคหะร่มเกล้า แขวงราษฎร์พัฒนา สะพานสูง กรุงเทพมหานคร 10240 ประเทศไทย</t>
  </si>
  <si>
    <t>ChIJ0TC0Hj1nHTERPfSn2fyvDQc</t>
  </si>
  <si>
    <t>1532c37b-861f-9dc5-3729-daff0b15fd94</t>
  </si>
  <si>
    <t>สำนักงานเขตสัมพันธวงศ์</t>
  </si>
  <si>
    <t>https://maps.app.goo.gl/JSHyKz2iro5FmL8W8?g_st=ic</t>
  </si>
  <si>
    <t>2026-09-26T08:24:21.000Z</t>
  </si>
  <si>
    <t>{"id":"1532c37b-861f-9dc5-3729-daff0b15fd94","district":"สัมพันธวงศ์","category":"ศูนย์พักพิงชั่วคราว","name":"สำนักงานเขตสัมพันธวงศ์","capacity":70,"occupied":0,"available":70,"unitType":"คน","status":"เปิดให้บริการ/ว่าง","routeDetails":"","link":"https://maps.app.goo.gl/JSHyKz2iro5FmL8W8?g_st=ic","additionalDetails":null,"createdAt":"2026-09-26T08:24:21.000Z","updatedAt":"2026-09-26T08:24:21.000Z"}</t>
  </si>
  <si>
    <t>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</t>
  </si>
  <si>
    <t>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</t>
  </si>
  <si>
    <t>37 ถนน โยธา แขวงตลาดน้อย เขตสัมพันธวงศ์ กรุงเทพมหานคร 10100 ประเทศไทย</t>
  </si>
  <si>
    <t>ChIJFS6-G9mY4jART6t02bdSwTc</t>
  </si>
  <si>
    <t>3634a4d1-8d0a-5f3e-2500-7eb6b5e4c130</t>
  </si>
  <si>
    <t>โรงเรียนวัดจักรวรรดิ</t>
  </si>
  <si>
    <t>https://maps.app.goo.gl/mrs2zd7eUGfAeJot8?g_st=ic</t>
  </si>
  <si>
    <t>{"id":"3634a4d1-8d0a-5f3e-2500-7eb6b5e4c130","district":"สัมพันธวงศ์","category":"ศูนย์พักพิงชั่วคราว","name":"โรงเรียนวัดจักรวรรดิ","capacity":40,"occupied":0,"available":40,"unitType":"คน","status":"เปิดให้บริการ/ว่าง","routeDetails":"","link":"https://maps.app.goo.gl/mrs2zd7eUGfAeJot8?g_st=ic","additionalDetails":null,"createdAt":"2026-09-26T08:24:21.000Z","updatedAt":"2026-09-26T08:24:21.000Z"}</t>
  </si>
  <si>
    <t>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</t>
  </si>
  <si>
    <t>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</t>
  </si>
  <si>
    <t>236 ถนน จักรวรรดิ แขวงจักรวรรดิ์ เขตสัมพันธวงศ์ กรุงเทพมหานคร 10100 ประเทศไทย</t>
  </si>
  <si>
    <t>ChIJj9ImIxmZ4jARiIvpEqhoTAs</t>
  </si>
  <si>
    <t>9f3b562c-1902-9b0c-3b38-53d8842d6fc2</t>
  </si>
  <si>
    <t>โรงเรียนประชานุกูล (กรุงเทพมหานคร) ซอยสายไหม 6</t>
  </si>
  <si>
    <t>https://maps.app.goo.gl/cV3CBGSpRnEy5TVL8</t>
  </si>
  <si>
    <t>2026-09-26T06:49:08.000Z</t>
  </si>
  <si>
    <t>{"id":"9f3b562c-1902-9b0c-3b38-53d8842d6fc2","district":"สายไหม","category":"ศูนย์พักพิงชั่วคราว","name":"โรงเรียนประชานุกูล (กรุงเทพมหานคร) ซอยสายไหม 6","capacity":100,"occupied":50,"available":50,"unitType":"คน","status":"เปิดให้บริการ/ว่าง","routeDetails":"","link":"https://maps.app.goo.gl/cV3CBGSpRnEy5TVL8","additionalDetails":null,"createdAt":"2026-09-26T06:49:08.000Z","updatedAt":"2026-09-26T06:49:08.000Z"}</t>
  </si>
  <si>
    <t>https://www.google.com/maps/place/%E0%B9%82%E0%B8%A3%E0%B8%87%E0%B9%80%E0%B8%A3%E0%B8%B5%E0%B8%A2%E0%B8%99%E0%B8%9B%E0%B8%A3%E0%B8%B0%E0%B8%8A%E0%B8%B2%E0%B8%99%E0%B8%B8%E0%B8%81%E0%B8%B9%E0%B8%A5+(%E0%B9%82%E0%B8%A3%E0%B8%87%E0%B9%80%E0%B8%A3%E0%B8%B5%E0%B8%A2%E0%B8%99%E0%B8%82%E0%B8%B3%E0%B8%AA%E0%B8%99%E0%B8%B4%E0%B8%97%E0%B8%AD%E0%B8%99%E0%B8%B8%E0%B9%80%E0%B8%84%E0%B8%A3%E0%B8%B2%E0%B8%B0%E0%B8%AB%E0%B9%8C)/@13.9190334,100.6332131,17z/data=!3m1!4b1!4m6!3m5!1s0x311d7db401f42111:0x414422e0abbd80fb!8m2!3d13.9190334!4d100.635788!16s%2Fg%2F1hc6zj6rz?entry=tts&amp;g_ep=EgoyMDI2MDkyMy4wIPu8ASoASAFQAw%3D%3D&amp;skid=31d0ba9b-2675-4a25-9f5c-1a782bd279c1</t>
  </si>
  <si>
    <t>f21a6060-bbfe-49f5-b641-5be71faf31b8</t>
  </si>
  <si>
    <t>โรงพยาบาลเวชการุณย์รัศมิ์</t>
  </si>
  <si>
    <t>https://maps.app.goo.gl/SLRcXzqWXghEvDbz5</t>
  </si>
  <si>
    <t>สำหรับรองรับผู้ป่วยกลุ่มเปราะบางที่เป็นผู้ประสบอุทกภัย และผู้ป่วยที่มีนัดหมายฟอกไต</t>
  </si>
  <si>
    <t>2026-09-28T05:34:12.396Z</t>
  </si>
  <si>
    <t>2026-10-02T02:33:41.251Z</t>
  </si>
  <si>
    <t>{"id":"f21a6060-bbfe-49f5-b641-5be71faf31b8","district":"หนองจอก","category":"ศูนย์พักพิงชั่วคราว","name":"โรงพยาบาลเวชการุณย์รัศมิ์","capacity":12,"occupied":2,"available":10,"unitType":"คน","status":"เปิดให้บริการ/ว่าง","routeDetails":"","link":"https://maps.app.goo.gl/SLRcXzqWXghEvDbz5","additionalDetails":"สำหรับรองรับผู้ป่วยกลุ่มเปราะบางที่เป็นผู้ประสบอุทกภัย และผู้ป่วยที่มีนัดหมายฟอกไต","createdAt":"2026-09-28T05:34:12.396Z","updatedAt":"2026-10-02T02:33:41.251Z"}</t>
  </si>
  <si>
    <t>https://www.google.com/maps/place/Wetchakarunrasm+Hospital/@13.8540145,100.8011073,33766m/data=!3m1!1e3!4m7!3m6!1s0x311d6e279fab4c2f:0x206bceb378e5b274!8m2!3d13.8568125!4d100.8590321!15sCkvguYLguKPguIfguJ7guKLguLLguJrguLLguKXguYDguKfguIrguIHguLLguKPguLjguJPguKLguYzguKPguLHguKjguKHguLTguYxaUyJR4LmC4Lij4LiHIOC4nuC4ouC4suC4muC4suC4pSDguYDguKfguIog4LiB4Liy4Lij4Li44LiT4Lii4LmMIOC4o-C4sSDguKgg4Lih4Li04LmMkgETZ292ZXJubWVudF9ob3NwaXRhbJoBJENoZERTVWhOTUc5blMwVkpRMEZuVFVOM2IxcDJjelJSUlJBQuABAPoBBAgAEDQ!16s%2Fg%2F1hf0016p7?entry=tts&amp;g_ep=EgoyMDI2MDkyMy4wIPu8ASoASAFQAw%3D%3D&amp;skid=b7a6a7ad-f961-4561-98d1-95c929531d60</t>
  </si>
  <si>
    <t>8a3f7cc0-b704-8634-7da0-4c4d16b62a9e</t>
  </si>
  <si>
    <t>โรงเรียนคลองสอง</t>
  </si>
  <si>
    <t>https://maps.app.goo.gl/q7iC5c83vD9nsXW6A</t>
  </si>
  <si>
    <t>2026-09-26T06:12:13.000Z</t>
  </si>
  <si>
    <t>2026-10-02T02:26:03.611Z</t>
  </si>
  <si>
    <t>{"id":"8a3f7cc0-b704-8634-7da0-4c4d16b62a9e","district":"หนองจอก","category":"ศูนย์พักพิงชั่วคราว","name":"โรงเรียนคลองสอง","capacity":100,"occupied":8,"available":92,"unitType":"คน","status":"เปิดให้บริการ/ว่าง","routeDetails":"","link":"https://maps.app.goo.gl/q7iC5c83vD9nsXW6A","additionalDetails":null,"createdAt":"2026-09-26T06:12:13.000Z","updatedAt":"2026-10-02T02:26:03.611Z"}</t>
  </si>
  <si>
    <t>https://www.google.com/maps/place/%E0%B9%82%E0%B8%A3%E0%B8%87%E0%B9%80%E0%B8%A3%E0%B8%B5%E0%B8%A2%E0%B8%99%E0%B8%84%E0%B8%A5%E0%B8%AD%E0%B8%87%E0%B8%AA%E0%B8%AD%E0%B8%87/@13.9339296,100.6026711,11z/data=!4m7!3m6!1s0x311d6e8251b5b67f:0xa364b9c65133bd5c!8m2!3d13.8022356!4d100.8882855!15sCi3guYLguKPguIfguYDguKPguLXguKLguJnguITguKXguK3guIfguKrguK3guIeSAQtjb2VkX3NjaG9vbOABAA!16s%2Fg%2F1tsjb3pd?entry=tts&amp;g_ep=EgoyMDI2MDkyMy4wIPu8ASoASAFQAw%3D%3D&amp;skid=10da7e35-8b28-40f5-818c-ea2ed3ed4b17</t>
  </si>
  <si>
    <t>353eb0f5-8819-e52b-f793-6afaa70781a9</t>
  </si>
  <si>
    <t>โรงเรียนคารีอุปถัมภ์</t>
  </si>
  <si>
    <t>https://maps.app.goo.gl/TXfCB7iZADkfkkBF9</t>
  </si>
  <si>
    <t>{"id":"353eb0f5-8819-e52b-f793-6afaa70781a9","district":"หนองจอก","category":"ศูนย์พักพิงชั่วคราว","name":"โรงเรียนคารีอุปถัมภ์","capacity":30,"occupied":0,"available":30,"unitType":"คน","status":"เปิดให้บริการ/ว่าง","routeDetails":"","link":"https://maps.app.goo.gl/TXfCB7iZADkfkkBF9","additionalDetails":null,"createdAt":"2026-09-26T06:12:13.000Z","updatedAt":"2026-09-26T06:12:13.000Z"}</t>
  </si>
  <si>
    <t>https://www.google.com/maps/place/%E0%B9%82%E0%B8%A3%E0%B8%87%E0%B9%80%E0%B8%A3%E0%B8%B5%E0%B8%A2%E0%B8%99%E0%B8%84%E0%B8%B2%E0%B8%A3%E0%B8%B5%E0%B8%AD%E0%B8%B8%E0%B8%9B%E0%B8%96%E0%B8%B1%E0%B8%A1%E0%B8%A0%E0%B9%8C/@13.7864734,100.8564203,17z/data=!3m1!4b1!4m6!3m5!1s0x311d6ec2fa689ec7:0x8445ffe3970a535b!8m2!3d13.7864682!4d100.8590006!16s%2Fg%2F11rvw4_lh?entry=tts&amp;g_ep=EgoyMDI2MDkyMy4wIPu8ASoASAFQAw%3D%3D&amp;skid=3fba47b6-5a9c-4123-a4d7-97e575dd1758</t>
  </si>
  <si>
    <t>278cdd3b-319c-50f9-cd2e-691c2075ed58</t>
  </si>
  <si>
    <t>โรงเรียนนีลราษฎร์อุปถัมภ์</t>
  </si>
  <si>
    <t>https://maps.app.goo.gl/jgYDq59rjiwviKd66</t>
  </si>
  <si>
    <t>2026-10-02T02:26:17.051Z</t>
  </si>
  <si>
    <t>{"id":"278cdd3b-319c-50f9-cd2e-691c2075ed58","district":"หนองจอก","category":"ศูนย์พักพิงชั่วคราว","name":"โรงเรียนนีลราษฎร์อุปถัมภ์","capacity":40,"occupied":17,"available":23,"unitType":"คน","status":"เปิดให้บริการ/ว่าง","routeDetails":"","link":"https://maps.app.goo.gl/jgYDq59rjiwviKd66","additionalDetails":null,"createdAt":"2026-09-26T06:12:13.000Z","updatedAt":"2026-10-02T02:26:17.051Z"}</t>
  </si>
  <si>
    <t>https://www.google.com/maps/place/%E0%B9%82%E0%B8%A3%E0%B8%87%E0%B9%80%E0%B8%A3%E0%B8%B5%E0%B8%A2%E0%B8%99%E0%B8%99%E0%B8%B5%E0%B8%A5%E0%B8%A3%E0%B8%B2%E0%B8%A9%E0%B8%8E%E0%B8%A3%E0%B9%8C%E0%B8%AD%E0%B8%B8%E0%B8%9B%E0%B8%96%E0%B8%B1%E0%B8%A1%E0%B8%A0%E0%B9%8C/@13.8351045,100.9082825,17z/data=!3m1!4b1!4m6!3m5!1s0x311d6deafe3174fb:0x75ddba6011e63f3c!8m2!3d13.8350993!4d100.9108628!16s%2Fg%2F1hdzc1nvm?entry=tts&amp;g_ep=EgoyMDI2MDkyMy4wIPu8ASoASAFQAw%3D%3D&amp;skid=4210ec9d-20cb-4215-809f-49195c21888a</t>
  </si>
  <si>
    <t>1be23ea2-e19b-263a-7e89-7d66599ada20</t>
  </si>
  <si>
    <t>โรงเรียนบ้านลำต้นกล้วย</t>
  </si>
  <si>
    <t>https://maps.app.goo.gl/ciFTJKRkFD7fETna6</t>
  </si>
  <si>
    <t>2026-09-28T05:01:44.450Z</t>
  </si>
  <si>
    <t>{"id":"1be23ea2-e19b-263a-7e89-7d66599ada20","district":"หนองจอก","category":"ศูนย์พักพิงชั่วคราว","name":"โรงเรียนบ้านลำต้นกล้วย","capacity":20,"occupied":9,"available":11,"unitType":"คน","status":"เปิดให้บริการ/ว่าง","routeDetails":"","link":"https://maps.app.goo.gl/ciFTJKRkFD7fETna6","additionalDetails":null,"createdAt":"2026-09-26T06:12:13.000Z","updatedAt":"2026-09-28T05:01:44.450Z"}</t>
  </si>
  <si>
    <t>https://www.google.com/maps/place/%E0%B9%82%E0%B8%A3%E0%B8%87%E0%B9%80%E0%B8%A3%E0%B8%B5%E0%B8%A2%E0%B8%99%E0%B8%9A%E0%B9%89%E0%B8%B2%E0%B8%99%E0%B8%A5%E0%B8%B3%E0%B8%95%E0%B9%89%E0%B8%99%E0%B8%81%E0%B8%A5%E0%B9%89%E0%B8%A7%E0%B8%A2/@13.8190433,100.848152,17z/data=!3m1!4b1!4m6!3m5!1s0x311d6e53e0e49eed:0x404d7b51b88d3162!8m2!3d13.8190381!4d100.8507323!16s%2Fg%2F1hc2tbrpf?entry=tts&amp;g_ep=EgoyMDI2MDkyMy4wIPu8ASoASAFQAw%3D%3D&amp;skid=1e73279f-5225-494b-838a-48eaf8282730</t>
  </si>
  <si>
    <t>ad8ee9bc-d9ce-bb3d-7526-a4fe57608e11</t>
  </si>
  <si>
    <t>โรงเรียนผลลีรุ่งเรือง</t>
  </si>
  <si>
    <t>https://maps.app.goo.gl/EiMaZPsE8pG5p3Sb7</t>
  </si>
  <si>
    <t>2026-09-26T07:53:32.000Z</t>
  </si>
  <si>
    <t>2026-09-29T03:11:35.019Z</t>
  </si>
  <si>
    <t>{"id":"ad8ee9bc-d9ce-bb3d-7526-a4fe57608e11","district":"หนองจอก","category":"ศูนย์พักพิงชั่วคราว","name":"โรงเรียนผลลีรุ่งเรือง","capacity":20,"occupied":3,"available":17,"unitType":"คน","status":"เปิดให้บริการ/ว่าง","routeDetails":"","link":"https://maps.app.goo.gl/EiMaZPsE8pG5p3Sb7","additionalDetails":null,"createdAt":"2026-09-26T07:53:32.000Z","updatedAt":"2026-09-29T03:11:35.019Z"}</t>
  </si>
  <si>
    <t>https://www.google.com/maps/place/%E0%B9%82%E0%B8%A3%E0%B8%87%E0%B9%80%E0%B8%A3%E0%B8%B5%E0%B8%A2%E0%B8%99%E0%B8%9C%E0%B8%A5%E0%B8%A5%E0%B8%B5%E0%B8%A3%E0%B8%B8%E0%B9%88%E0%B8%87%E0%B9%80%E0%B8%A3%E0%B8%B7%E0%B8%AD%E0%B8%87/@13.7925452,100.9085005,17z/data=!3m1!4b1!4m6!3m5!1s0x311d6c3f34c91f4b:0x712b6d6301d21072!8m2!3d13.7925452!4d100.9110754!16s%2Fg%2F1hd_46qqv?entry=tts&amp;g_ep=EgoyMDI2MDkyMy4wIPu8ASoASAFQAw%3D%3D&amp;skid=516fec38-9294-4ff1-8646-f3230c6880df</t>
  </si>
  <si>
    <t>0f3dbea9-e72d-e002-27b7-3a08cbc9b954</t>
  </si>
  <si>
    <t>โรงเรียนฝึกอาชีพกรุงเทพมหานคร (หนองจอก)</t>
  </si>
  <si>
    <t>https://maps.app.goo.gl/NrxRK5TZ6NKyz4ev5</t>
  </si>
  <si>
    <t>2026-09-26T07:04:28.000Z</t>
  </si>
  <si>
    <t>{"id":"0f3dbea9-e72d-e002-27b7-3a08cbc9b954","district":"หนองจอก","category":"ศูนย์พักพิงชั่วคราว","name":"โรงเรียนฝึกอาชีพกรุงเทพมหานคร (หนองจอก)","capacity":50,"occupied":0,"available":50,"unitType":"คน","status":"เปิดให้บริการ/ว่าง","routeDetails":"","link":"https://maps.app.goo.gl/NrxRK5TZ6NKyz4ev5","additionalDetails":null,"createdAt":"2026-09-26T07:04:28.000Z","updatedAt":"2026-09-26T07:04:28.000Z"}</t>
  </si>
  <si>
    <t>https://www.google.com/maps/place/%E0%B9%82%E0%B8%A3%E0%B8%87%E0%B9%80%E0%B8%A3%E0%B8%B5%E0%B8%A2%E0%B8%99%E0%B8%9D%E0%B8%B6%E0%B8%81%E0%B8%AD%E0%B8%B2%E0%B8%8A%E0%B8%B5%E0%B8%9E%E0%B8%81%E0%B8%A3%E0%B8%B8%E0%B8%87%E0%B9%80%E0%B8%97%E0%B8%9E%E0%B8%A1%E0%B8%AB%E0%B8%B2%E0%B8%99%E0%B8%84%E0%B8%A3+-+%E0%B8%AB%E0%B8%99%E0%B8%AD%E0%B8%87%E0%B8%88%E0%B8%AD%E0%B8%81/@13.8294479,100.8460686,17z/data=!3m1!4b1!4m6!3m5!1s0x311d6e4c7880332d:0x731d936b5e77d10f!8m2!3d13.8294427!4d100.8486489!16s%2Fg%2F1hd_ztk5z?entry=tts&amp;g_ep=EgoyMDI2MDkyMy4wIPu8ASoASAFQAw%3D%3D&amp;skid=f2e01197-c469-4af1-bd19-b4d07f0fa737</t>
  </si>
  <si>
    <t>c9b40092-412e-7a26-2518-85cd17b4baba</t>
  </si>
  <si>
    <t>โรงเรียนลำบุหรี่พวง</t>
  </si>
  <si>
    <t>https://maps.app.goo.gl/dsD5XwNdEk66Wvwv6</t>
  </si>
  <si>
    <t>2026-09-26T08:10:22.000Z</t>
  </si>
  <si>
    <t>{"id":"c9b40092-412e-7a26-2518-85cd17b4baba","district":"หนองจอก","category":"ศูนย์พักพิงชั่วคราว","name":"โรงเรียนลำบุหรี่พวง","capacity":30,"occupied":3,"available":27,"unitType":"คน","status":"เปิดให้บริการ/ว่าง","routeDetails":"","link":"https://maps.app.goo.gl/dsD5XwNdEk66Wvwv6","additionalDetails":null,"createdAt":"2026-09-26T06:12:13.000Z","updatedAt":"2026-09-26T08:10:22.000Z"}</t>
  </si>
  <si>
    <t>https://www.google.com/maps/place/%E0%B9%82%E0%B8%A3%E0%B8%87%E0%B9%80%E0%B8%A3%E0%B8%B5%E0%B8%A2%E0%B8%99%E0%B8%A5%E0%B8%B3%E0%B8%9A%E0%B8%B8%E0%B8%AB%E0%B8%A3%E0%B8%B5%E0%B9%88%E0%B8%9E%E0%B8%A7%E0%B8%87+%E0%B9%80%E0%B8%82%E0%B8%95%E0%B8%AB%E0%B8%99%E0%B8%AD%E0%B8%87%E0%B8%88%E0%B8%AD%E0%B8%81+%E0%B8%81%E0%B8%A3%E0%B8%B8%E0%B8%87%E0%B9%80%E0%B8%97%E0%B8%9E%E0%B8%A1%E0%B8%AB%E0%B8%B2%E0%B8%99%E0%B8%84%E0%B8%A3/@13.8883051,100.8468019,17z/data=!3m1!4b1!4m6!3m5!1s0x311d71b3bc1ff56b:0xa2769a1bcc2245e!8m2!3d13.8882999!4d100.8493822!16s%2Fg%2F1hf1y_n02?entry=tts&amp;g_ep=EgoyMDI2MDkyMy4wIPu8ASoASAFQAw%3D%3D&amp;skid=6388efee-e8ab-453a-9c5d-266812c926d5</t>
  </si>
  <si>
    <t>20027d8c-48a5-f2db-ff0c-cfb133ff3fe9</t>
  </si>
  <si>
    <t>โรงเรียนลำเจดีย์</t>
  </si>
  <si>
    <t>https://maps.app.goo.gl/qae2bKepKAjX7BSe7</t>
  </si>
  <si>
    <t>2026-09-28T10:13:55.303Z</t>
  </si>
  <si>
    <t>{"id":"20027d8c-48a5-f2db-ff0c-cfb133ff3fe9","district":"หนองจอก","category":"ศูนย์พักพิงชั่วคราว","name":"โรงเรียนลำเจดีย์","capacity":50,"occupied":22,"available":28,"unitType":"คน","status":"เปิดให้บริการ/ว่าง","routeDetails":"","link":"https://maps.app.goo.gl/qae2bKepKAjX7BSe7","additionalDetails":null,"createdAt":"2026-09-26T06:12:13.000Z","updatedAt":"2026-09-28T10:13:55.303Z"}</t>
  </si>
  <si>
    <t>https://www.google.com/maps/place/%E0%B9%82%E0%B8%A3%E0%B8%87%E0%B9%80%E0%B8%A3%E0%B8%B5%E0%B8%A2%E0%B8%99%E0%B8%A5%E0%B8%B3%E0%B9%80%E0%B8%88%E0%B8%94%E0%B8%B5%E0%B8%A2%E0%B9%8C/@13.8782963,100.8174636,17z/data=!3m1!4b1!4m6!3m5!1s0x311d7015b3b4227b:0x338c82b6031d7596!8m2!3d13.8782963!4d100.8200385!16s%2Fg%2F1tgw7clj?entry=tts&amp;g_ep=EgoyMDI2MDkyMy4wIPu8ASoASAFQAw%3D%3D&amp;skid=07894a9f-1300-4d56-9c73-934340e98f30</t>
  </si>
  <si>
    <t>a5defd06-efec-ea2d-de45-ee579a1fa640</t>
  </si>
  <si>
    <t>โรงเรียนวัดทรัพย์โมสร</t>
  </si>
  <si>
    <t>https://maps.app.goo.gl/7FLVy8SLuAA1AHTc6</t>
  </si>
  <si>
    <t>2026-09-28T10:14:14.614Z</t>
  </si>
  <si>
    <t>{"id":"a5defd06-efec-ea2d-de45-ee579a1fa640","district":"หนองจอก","category":"ศูนย์พักพิงชั่วคราว","name":"โรงเรียนวัดทรัพย์โมสร","capacity":60,"occupied":3,"available":57,"unitType":"คน","status":"เปิดให้บริการ/ว่าง","routeDetails":"","link":"https://maps.app.goo.gl/7FLVy8SLuAA1AHTc6","additionalDetails":null,"createdAt":"2026-09-26T06:12:13.000Z","updatedAt":"2026-09-28T10:14:14.614Z"}</t>
  </si>
  <si>
    <t>https://www.google.com/maps/place/%E0%B9%82%E0%B8%A3%E0%B8%87%E0%B9%80%E0%B8%A3%E0%B8%B5%E0%B8%A2%E0%B8%99+%E0%B8%A7%E0%B8%B1%E0%B8%94%E0%B8%97%E0%B8%A3%E0%B8%B1%E0%B8%9E%E0%B8%A2%E0%B9%8C%E0%B8%AA%E0%B9%82%E0%B8%A1%E0%B8%AA%E0%B8%A3/@13.8503373,100.8013368,17z/data=!3m1!4b1!4m6!3m5!1s0x311d6f78b5713159:0x6f64a755c27eb64d!8m2!3d13.8503321!4d100.8039171!16s%2Fg%2F1hc17l0xc?entry=tts&amp;g_ep=EgoyMDI2MDkyMy4wIPu8ASoASAFQAw%3D%3D&amp;skid=7a578a8d-f02b-4a30-a40e-db9f9d06593d</t>
  </si>
  <si>
    <t>4297eda3-e08c-6d69-0a64-fefbc048160e</t>
  </si>
  <si>
    <t>โรงเรียนวัดพระยาปลา (ฝั่งประถมศึกษา)</t>
  </si>
  <si>
    <t>https://maps.app.goo.gl/ozUtE4zfnF6sSJfm8</t>
  </si>
  <si>
    <t>{"id":"4297eda3-e08c-6d69-0a64-fefbc048160e","district":"หนองจอก","category":"ศูนย์พักพิงชั่วคราว","name":"โรงเรียนวัดพระยาปลา (ฝั่งประถมศึกษา)","capacity":80,"occupied":0,"available":80,"unitType":"คน","status":"เปิดให้บริการ/ว่าง","routeDetails":"","link":"https://maps.app.goo.gl/ozUtE4zfnF6sSJfm8","additionalDetails":null,"createdAt":"2026-09-26T06:12:13.000Z","updatedAt":"2026-09-26T06:12:13.000Z"}</t>
  </si>
  <si>
    <t>https://www.google.com/maps/place/%E0%B9%82%E0%B8%A3%E0%B8%87%E0%B9%80%E0%B8%A3%E0%B8%B5%E0%B8%A2%E0%B8%99%E0%B8%A7%E0%B8%B1%E0%B8%94%E0%B8%9E%E0%B8%A3%E0%B8%B0%E0%B8%A2%E0%B8%B2%E0%B8%9B%E0%B8%A5%E0%B8%B2/@13.9163291,100.8617614,17z/data=!4m7!3m6!1s0x311d710dee3023dd:0xc984b6e0b6104959!8m2!3d13.9135041!4d100.8634692!15sCjnguYLguKPguIfguYDguKPguLXguKLguJnguKfguLHguJTguJ7guKPguLDguKLguLLguJvguKXguLKSARhnZW5lcmFsX2VkdWNhdGlvbl9zY2hvb2zgAQA!16s%2Fg%2F1wfvk3q6?entry=tts&amp;g_ep=EgoyMDI2MDkyMy4wIPu8ASoASAFQAw%3D%3D&amp;skid=20ce7941-ca76-4a4e-86fd-ac8786f64866</t>
  </si>
  <si>
    <t>8808c970-b4cc-ceee-e94c-317c7e119aeb</t>
  </si>
  <si>
    <t>โรงเรียนวัดพระยาปลา (ฝั่งมัธยมศึกษา)</t>
  </si>
  <si>
    <t>https://maps.app.goo.gl/otZNDMvU88uB8ZwPA</t>
  </si>
  <si>
    <t>{"id":"8808c970-b4cc-ceee-e94c-317c7e119aeb","district":"หนองจอก","category":"ศูนย์พักพิงชั่วคราว","name":"โรงเรียนวัดพระยาปลา (ฝั่งมัธยมศึกษา)","capacity":50,"occupied":0,"available":50,"unitType":"คน","status":"เปิดให้บริการ/ว่าง","routeDetails":"","link":"https://maps.app.goo.gl/otZNDMvU88uB8ZwPA","additionalDetails":null,"createdAt":"2026-09-26T06:12:13.000Z","updatedAt":"2026-09-26T06:12:13.000Z"}</t>
  </si>
  <si>
    <t>https://www.google.com/maps/place/%E0%B9%82%E0%B8%A3%E0%B8%87%E0%B9%80%E0%B8%A3%E0%B8%B5%E0%B8%A2%E0%B8%99%E0%B8%A1%E0%B8%B1%E0%B8%98%E0%B8%A2%E0%B8%A1%E0%B8%A7%E0%B8%B1%E0%B8%94%E0%B8%9E%E0%B8%A3%E0%B8%B0%E0%B8%A2%E0%B8%B2%E0%B8%9B%E0%B8%A5%E0%B8%B2+Matthayom+Watprayapla+School/@13.9163291,100.8617614,17z/data=!4m7!3m6!1s0x311d716ba5ce82a5:0x8540630df7a5f523!8m2!3d13.9191438!4d100.8652142!15sCjnguYLguKPguIfguYDguKPguLXguKLguJnguKfguLHguJTguJ7guKPguLDguKLguLLguJvguKXguLKSARBzZWNvbmRhcnlfc2Nob29s4AEA!16s%2Fg%2F11gpm2nnw0?entry=tts&amp;g_ep=EgoyMDI2MDkyMy4wIPu8ASoASAFQAw%3D%3D&amp;skid=c351a7c7-f5ed-41df-a3f6-06dbe94a1286</t>
  </si>
  <si>
    <t>97e3cd3b-321a-f199-4b23-f7f3edae8844</t>
  </si>
  <si>
    <t>โรงเรียนวัดราษฎร์บำรุง</t>
  </si>
  <si>
    <t>https://maps.app.goo.gl/Z6s49csj2DjwefFSA</t>
  </si>
  <si>
    <t>2026-09-28T05:02:23.941Z</t>
  </si>
  <si>
    <t>{"id":"97e3cd3b-321a-f199-4b23-f7f3edae8844","district":"หนองจอก","category":"ศูนย์พักพิงชั่วคราว","name":"โรงเรียนวัดราษฎร์บำรุง","capacity":40,"occupied":20,"available":20,"unitType":"คน","status":"เปิดให้บริการ/ว่าง","routeDetails":"","link":"https://maps.app.goo.gl/Z6s49csj2DjwefFSA","additionalDetails":null,"createdAt":"2026-09-26T06:12:13.000Z","updatedAt":"2026-09-28T05:02:23.941Z"}</t>
  </si>
  <si>
    <t>https://www.google.com/maps/place/%E0%B9%82%E0%B8%A3%E0%B8%87%E0%B9%80%E0%B8%A3%E0%B8%B5%E0%B8%A2%E0%B8%99%E0%B8%A7%E0%B8%B1%E0%B8%94%E0%B8%A3%E0%B8%B2%E0%B8%A9%E0%B8%8E%E0%B8%A3%E0%B9%8C%E0%B8%9A%E0%B8%B3%E0%B8%A3%E0%B8%B8%E0%B8%87/@13.7865194,100.8383473,14z/data=!4m7!3m6!1s0x311d7110bf2abc7d:0x2e8e96b2d5f07e38!8m2!3d13.8112539!4d100.8784303!15sCkLguYLguKPguIfguYDguKPguLXguKLguJnguKfguLHguJTguKPguLLguKnguI7guKPguYzguJrguLPguKPguLjguIeSAQ1wdWJsaWNfc2Nob29s4AEA!16s%2Fg%2F11ym_mz36l?entry=tts&amp;g_ep=EgoyMDI2MDkyMy4wIPu8ASoASAFQAw%3D%3D&amp;skid=fbd6f172-4b24-46cc-926d-af1fab426398</t>
  </si>
  <si>
    <t>558b96c9-a212-9075-235e-e9472e743f41</t>
  </si>
  <si>
    <t>โรงเรียนวัดหนองจอก(ภักดีนรเศรษฐ)</t>
  </si>
  <si>
    <t>https://maps.app.goo.gl/eBpYKnPhwVJQwCnJ9</t>
  </si>
  <si>
    <t>{"id":"558b96c9-a212-9075-235e-e9472e743f41","district":"หนองจอก","category":"ศูนย์พักพิงชั่วคราว","name":"โรงเรียนวัดหนองจอก(ภักดีนรเศรษฐ)","capacity":20,"occupied":0,"available":20,"unitType":"คน","status":"เปิดให้บริการ/ว่าง","routeDetails":"","link":"https://maps.app.goo.gl/eBpYKnPhwVJQwCnJ9","additionalDetails":null,"createdAt":"2026-09-26T07:04:28.000Z","updatedAt":"2026-09-26T07:04:28.000Z"}</t>
  </si>
  <si>
    <t>https://www.google.com/maps/place/%E0%B9%82%E0%B8%A3%E0%B8%87%E0%B9%80%E0%B8%A3%E0%B8%B5%E0%B8%A2%E0%B8%99%E0%B8%A7%E0%B8%B1%E0%B8%94%E0%B8%AB%E0%B8%99%E0%B8%AD%E0%B8%87%E0%B8%88%E0%B8%AD%E0%B8%81+(%E0%B8%A0%E0%B8%B1%E0%B8%81%E0%B8%94%E0%B8%B5%E0%B8%99%E0%B8%A3%E0%B9%80%E0%B8%A8%E0%B8%A3%E0%B8%A9%E0%B8%90)/@13.8564644,100.8573933,17z/data=!3m1!4b1!4m6!3m5!1s0x311d6fd6ef869d5b:0x9e47e589fd64d689!8m2!3d13.8564592!4d100.8599736!16s%2Fg%2F11vhk41k60?entry=tts&amp;g_ep=EgoyMDI2MDkyMy4wIPu8ASoASAFQAw%3D%3D&amp;skid=af65146b-40a7-4937-8bc8-ed3c55bf8a2d</t>
  </si>
  <si>
    <t>7580563e-242d-a3c5-93a8-64fdba5806a5</t>
  </si>
  <si>
    <t>โรงเรียนสังฆประชานุสสรณ์</t>
  </si>
  <si>
    <t>https://maps.app.goo.gl/XT4rgiZXfpNQ3H5a8?g_st=al</t>
  </si>
  <si>
    <t>2026-09-28T10:15:00.418Z</t>
  </si>
  <si>
    <t>{"id":"7580563e-242d-a3c5-93a8-64fdba5806a5","district":"หนองจอก","category":"ศูนย์พักพิงชั่วคราว","name":"โรงเรียนสังฆประชานุสสรณ์","capacity":20,"occupied":4,"available":16,"unitType":"คน","status":"เปิดให้บริการ/ว่าง","routeDetails":"","link":"https://maps.app.goo.gl/XT4rgiZXfpNQ3H5a8?g_st=al","additionalDetails":null,"createdAt":"2026-09-26T07:53:32.000Z","updatedAt":"2026-09-28T10:15:00.418Z"}</t>
  </si>
  <si>
    <t>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</t>
  </si>
  <si>
    <t>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</t>
  </si>
  <si>
    <t>3 3-4 หมู่7 แขวงลำผักชี เขตหนองจอก กรุงเทพมหานคร 10530 ประเทศไทย</t>
  </si>
  <si>
    <t>ChIJz_oiXy1vHTER-MvxjgnFvoQ</t>
  </si>
  <si>
    <t>d7ce38ae-dada-b91c-d326-c04d4be15c5a</t>
  </si>
  <si>
    <t>โรงเรียนสุเหร่าคลองสิบ</t>
  </si>
  <si>
    <t>https://maps.app.goo.gl/TBrYRXrww8vpa65y5</t>
  </si>
  <si>
    <t>{"id":"d7ce38ae-dada-b91c-d326-c04d4be15c5a","district":"หนองจอก","category":"ศูนย์พักพิงชั่วคราว","name":"โรงเรียนสุเหร่าคลองสิบ","capacity":100,"occupied":0,"available":100,"unitType":"คน","status":"เปิดให้บริการ/ว่าง","routeDetails":"","link":null,"additionalDetails":"https://maps.app.goo.gl/TBrYRXrww8vpa65y5","createdAt":"2026-09-26T07:53:32.000Z","updatedAt":"2026-09-26T07:53:32.000Z"}</t>
  </si>
  <si>
    <t>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</t>
  </si>
  <si>
    <t>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</t>
  </si>
  <si>
    <t>18 หมู่ 8 แขวงคลองสิบ เขตหนองจอก กรุงเทพมหานคร 10530 ประเทศไทย</t>
  </si>
  <si>
    <t>ChIJS80GtGJwHTERkSRcTUQcYVI</t>
  </si>
  <si>
    <t>e2c10b9d-255b-bfd5-d17a-bffa777dbfa7</t>
  </si>
  <si>
    <t>โรงเรียนสุเหร่าคลองสิบเอ็ด</t>
  </si>
  <si>
    <t>https://maps.app.goo.gl/si7Bas7vEUH8MqDz8</t>
  </si>
  <si>
    <t>{"id":"e2c10b9d-255b-bfd5-d17a-bffa777dbfa7","district":"หนองจอก","category":"ศูนย์พักพิงชั่วคราว","name":"โรงเรียนสุเหร่าคลองสิบเอ็ด","capacity":20,"occupied":0,"available":20,"unitType":"คน","status":"เปิดให้บริการ/ว่าง","routeDetails":"","link":"https://maps.app.goo.gl/si7Bas7vEUH8MqDz8","additionalDetails":null,"createdAt":"2026-09-26T07:53:32.000Z","updatedAt":"2026-09-26T07:53:32.000Z"}</t>
  </si>
  <si>
    <t>https://www.google.com/maps/place/Surao+Khlong+Sip+Ed+School/@13.9128312,100.8364487,1055m/data=!3m2!1e3!4b1!4m6!3m5!1s0x311d70fb790f5eb3:0x7dfadae854c70b24!8m2!3d13.9128312!4d100.8390236!16s%2Fg%2F1th5fxyv?entry=tts&amp;g_ep=EgoyMDI2MDkyMy4wIPu8ASoASAFQAw%3D%3D&amp;skid=04d23b5d-188f-49a6-9bb3-cab22bc35daf</t>
  </si>
  <si>
    <t>1d9ef0bd-1236-50d6-258d-a6cb489f9955</t>
  </si>
  <si>
    <t>โรงเรียนสุเหร่านาตับ</t>
  </si>
  <si>
    <t>https://maps.app.goo.gl/4DCorFhPRR7nfjjz8</t>
  </si>
  <si>
    <t>{"id":"1d9ef0bd-1236-50d6-258d-a6cb489f9955","district":"หนองจอก","category":"ศูนย์พักพิงชั่วคราว","name":"โรงเรียนสุเหร่านาตับ","capacity":50,"occupied":0,"available":50,"unitType":"คน","status":"เปิดให้บริการ/ว่าง","routeDetails":"","link":"https://maps.app.goo.gl/4DCorFhPRR7nfjjz8","additionalDetails":null,"createdAt":"2026-09-26T06:12:13.000Z","updatedAt":"2026-09-26T06:12:13.000Z"}</t>
  </si>
  <si>
    <t>https://www.google.com/maps/place/%E0%B9%82%E0%B8%A3%E0%B8%87%E0%B9%80%E0%B8%A3%E0%B8%B5%E0%B8%A2%E0%B8%99%E0%B8%AA%E0%B8%B8%E0%B9%80%E0%B8%AB%E0%B8%A3%E0%B9%88%E0%B8%B2%E0%B8%99%E0%B8%B2%E0%B8%95%E0%B8%B1%E0%B8%9A/@13.8264198,100.8137222,17z/data=!3m1!4b1!4m6!3m5!1s0x311d6f87421f9ab9:0xefae97f5640fba19!8m2!3d13.8264146!4d100.8163025!16s%2Fg%2F11fln3kmmt?entry=tts&amp;g_ep=EgoyMDI2MDkyMy4wIPu8ASoASAFQAw%3D%3D&amp;skid=f7abff7e-76e6-4822-a3c1-03abad22d97d</t>
  </si>
  <si>
    <t>0febce70-cc94-eb4e-3356-f8b989660a20</t>
  </si>
  <si>
    <t>โรงเรียนสุเหร่าลำแขก</t>
  </si>
  <si>
    <t>https://maps.app.goo.gl/jWYh8tzFpw9cEub59</t>
  </si>
  <si>
    <t>2026-09-29T02:54:29.282Z</t>
  </si>
  <si>
    <t>{"id":"0febce70-cc94-eb4e-3356-f8b989660a20","district":"หนองจอก","category":"ศูนย์พักพิงชั่วคราว","name":"โรงเรียนสุเหร่าลำแขก","capacity":40,"occupied":4,"available":36,"unitType":"คน","status":"เปิดให้บริการ/ว่าง","routeDetails":"","link":"https://maps.app.goo.gl/jWYh8tzFpw9cEub59","additionalDetails":null,"createdAt":"2026-09-26T07:04:28.000Z","updatedAt":"2026-09-29T02:54:29.282Z"}</t>
  </si>
  <si>
    <t>https://www.google.com/maps/place/%E0%B9%82%E0%B8%A3%E0%B8%87%E0%B9%80%E0%B8%A3%E0%B8%B5%E0%B8%A2%E0%B8%99%E0%B8%AA%E0%B8%B8%E0%B9%80%E0%B8%AB%E0%B8%A3%E0%B9%88%E0%B8%B2%E0%B8%A5%E0%B8%B3%E0%B9%81%E0%B8%82%E0%B8%81/@13.8034517,100.8575838,17z/data=!3m1!4b1!4m6!3m5!1s0x311d6ef1c7dce501:0xc5635b209355a28a!8m2!3d13.8034465!4d100.8601641!16s%2Fg%2F1wj_3h_m?entry=tts&amp;g_ep=EgoyMDI2MDkyMy4wIPu8ASoASAFQAw%3D%3D&amp;skid=55bcd753-ce82-4cb6-b83b-df71dcd1fa39</t>
  </si>
  <si>
    <t>610cac79-562a-dbcb-33cc-1d166abc2add</t>
  </si>
  <si>
    <t>โรงเรียนสุเหร่าศาลาแดง</t>
  </si>
  <si>
    <t>https://maps.app.goo.gl/4228AUHU28SfxWNb9</t>
  </si>
  <si>
    <t>2026-10-02T02:27:46.475Z</t>
  </si>
  <si>
    <t>{"id":"610cac79-562a-dbcb-33cc-1d166abc2add","district":"หนองจอก","category":"ศูนย์พักพิงชั่วคราว","name":"โรงเรียนสุเหร่าศาลาแดง","capacity":30,"occupied":24,"available":6,"unitType":"คน","status":"เปิดให้บริการ/ว่าง","routeDetails":"","link":"https://maps.app.goo.gl/4228AUHU28SfxWNb9","additionalDetails":null,"createdAt":"2026-09-26T06:12:13.000Z","updatedAt":"2026-10-02T02:27:46.475Z"}</t>
  </si>
  <si>
    <t>https://www.google.com/maps/place/%E0%B9%82%E0%B8%A3%E0%B8%87%E0%B9%80%E0%B8%A3%E0%B8%B5%E0%B8%A2%E0%B8%99%E0%B8%AA%E0%B8%B8%E0%B9%80%E0%B8%AB%E0%B8%A3%E0%B9%88%E0%B8%B2%E0%B8%A8%E0%B8%B2%E0%B8%A5%E0%B8%B2%E0%B9%81%E0%B8%94%E0%B8%87/@13.8503735,100.8945295,17z/data=!3m1!4b1!4m6!3m5!1s0x311d6e3271695841:0xd4a6134e34049a34!8m2!3d13.8503683!4d100.8971098!16s%2Fg%2F1hc1s1cwf?entry=tts&amp;g_ep=EgoyMDI2MDkyMy4wIPu8ASoASAFQAw%3D%3D&amp;skid=0e0b4d40-0b61-4509-a87d-a90d323b831a</t>
  </si>
  <si>
    <t>ce58a2cd-c2a8-9ef6-d20f-9ec844fa2852</t>
  </si>
  <si>
    <t>โรงเรียนสุเหร่าหะยีมินา</t>
  </si>
  <si>
    <t>https://maps.app.goo.gl/jACSjv3fr2LePb4M8</t>
  </si>
  <si>
    <t>2026-10-02T02:28:08.279Z</t>
  </si>
  <si>
    <t>{"id":"ce58a2cd-c2a8-9ef6-d20f-9ec844fa2852","district":"หนองจอก","category":"ศูนย์พักพิงชั่วคราว","name":"โรงเรียนสุเหร่าหะยีมินา","capacity":60,"occupied":7,"available":53,"unitType":"คน","status":"เปิดให้บริการ/ว่าง","routeDetails":"","link":"https://maps.app.goo.gl/jACSjv3fr2LePb4M8","additionalDetails":null,"createdAt":"2026-09-26T06:12:13.000Z","updatedAt":"2026-10-02T02:28:08.279Z"}</t>
  </si>
  <si>
    <t>https://www.google.com/maps/place/%E0%B9%82%E0%B8%A3%E0%B8%87%E0%B9%80%E0%B8%A3%E0%B8%B5%E0%B8%A2%E0%B8%99+%E0%B8%AA%E0%B8%B8%E0%B9%80%E0%B8%AB%E0%B8%A3%E0%B9%88%E0%B8%B2%E0%B8%AB%E0%B8%B0%E0%B8%A2%E0%B8%B5%E0%B8%A1%E0%B8%B5%E0%B8%99%E0%B8%B2/@13.8553118,100.8667968,17z/data=!3m1!4b1!4m6!3m5!1s0x311d6e0317b7afa9:0x3c3932071d172fd3!8m2!3d13.8553066!4d100.8693771!16s%2Fg%2F1hc4rlb5c?entry=tts&amp;g_ep=EgoyMDI2MDkyMy4wIPu8ASoASAFQAw%3D%3D&amp;skid=d1d93a96-3622-42f8-a842-826dd6bcdad7</t>
  </si>
  <si>
    <t>429a3acc-d15b-4b03-8508-17865246ed42</t>
  </si>
  <si>
    <t>โรงเรียนสุเหร่าอีรั้ว</t>
  </si>
  <si>
    <t>https://maps.app.goo.gl/MhEY87hNkRggH4eLA</t>
  </si>
  <si>
    <t>2026-09-29T03:13:44.636Z</t>
  </si>
  <si>
    <t>{"id":"429a3acc-d15b-4b03-8508-17865246ed42","district":"หนองจอก","category":"ศูนย์พักพิงชั่วคราว","name":"โรงเรียนสุเหร่าอีรั้ว","capacity":60,"occupied":1,"available":59,"unitType":"คน","status":"เปิดให้บริการ/ว่าง","routeDetails":"","link":"https://maps.app.goo.gl/MhEY87hNkRggH4eLA","additionalDetails":null,"createdAt":"2026-09-29T03:13:44.636Z","updatedAt":"2026-09-29T03:13:44.636Z"}</t>
  </si>
  <si>
    <t>https://www.google.com/maps/place/%E0%B9%82%E0%B8%A3%E0%B8%87%E0%B9%80%E0%B8%A3%E0%B8%B5%E0%B8%A2%E0%B8%99%E0%B8%AA%E0%B8%B8%E0%B9%80%E0%B8%AB%E0%B8%A3%E0%B9%88%E0%B8%B2%E0%B8%AD%E0%B8%B5%E0%B8%A3%E0%B8%B1%E0%B9%89%E0%B8%A7/@13.8206018,100.8292151,1055m/data=!3m2!1e3!4b1!4m6!3m5!1s0x311d6fb7b988899b:0x5d6167498808c167!8m2!3d13.8206018!4d100.83179!16s%2Fg%2F11yjb9vmf9?entry=tts&amp;g_ep=EgoyMDI2MDkyMy4wIPu8ASoASAFQAw%3D%3D&amp;skid=38e3e228-edd1-4946-9f9d-2b62741f7d3c</t>
  </si>
  <si>
    <t>621ef21a-e8db-deb8-83b1-c44118416612</t>
  </si>
  <si>
    <t>โรงเรียนหนองจอกพิทยานุสรณ์</t>
  </si>
  <si>
    <t>https://maps.app.goo.gl/RsJNMp56gKesoAY17</t>
  </si>
  <si>
    <t>{"id":"621ef21a-e8db-deb8-83b1-c44118416612","district":"หนองจอก","category":"ศูนย์พักพิงชั่วคราว","name":"โรงเรียนหนองจอกพิทยานุสรณ์","capacity":50,"occupied":0,"available":50,"unitType":"คน","status":"เปิดให้บริการ/ว่าง","routeDetails":"","link":"https://maps.app.goo.gl/RsJNMp56gKesoAY17","additionalDetails":null,"createdAt":"2026-09-26T07:04:28.000Z","updatedAt":"2026-09-26T07:04:28.000Z"}</t>
  </si>
  <si>
    <t>https://www.google.com/maps/place/%E0%B9%82%E0%B8%A3%E0%B8%87%E0%B9%80%E0%B8%A3%E0%B8%B5%E0%B8%A2%E0%B8%99%E0%B8%AB%E0%B8%99%E0%B8%AD%E0%B8%87%E0%B8%88%E0%B8%AD%E0%B8%81%E0%B8%9E%E0%B8%B4%E0%B8%97%E0%B8%A2%E0%B8%B2%E0%B8%99%E0%B8%B8%E0%B8%AA%E0%B8%A3%E0%B8%93%E0%B9%8C/@13.8632649,100.8510418,17z/data=!4m7!3m6!1s0x311d6fd8ec6f54ed:0x554fbe6590d19da5!8m2!3d13.8633241!4d100.8541657!15sCk7guYLguKPguIfguYDguKPguLXguKLguJnguKvguJnguK3guIfguIjguK3guIHguJ7guLTguJfguKLguLLguJnguLjguKrguKPguJPguYySAQ1wdWJsaWNfc2Nob29s4AEA!16s%2Fg%2F11c6png9k6?entry=tts&amp;g_ep=EgoyMDI2MDkyMy4wIPu8ASoASAFQAw%3D%3D&amp;skid=f95c6e09-593e-4933-8971-63c3a7c91bd3</t>
  </si>
  <si>
    <t>49f1d957-ff2d-0cb6-a3df-fe867ce0c196</t>
  </si>
  <si>
    <t>โรงเรียนหลวงแพ่ง (บำรุงรัฐกิจ)</t>
  </si>
  <si>
    <t>https://maps.app.goo.gl/zc1Zw7ow2HLyJdqq5</t>
  </si>
  <si>
    <t>2026-09-29T02:55:15.563Z</t>
  </si>
  <si>
    <t>{"id":"49f1d957-ff2d-0cb6-a3df-fe867ce0c196","district":"หนองจอก","category":"ศูนย์พักพิงชั่วคราว","name":"โรงเรียนหลวงแพ่ง (บำรุงรัฐกิจ)","capacity":20,"occupied":5,"available":15,"unitType":"คน","status":"เปิดให้บริการ/ว่าง","routeDetails":"","link":"https://maps.app.goo.gl/zc1Zw7ow2HLyJdqq5","additionalDetails":null,"createdAt":"2026-09-26T06:12:13.000Z","updatedAt":"2026-09-29T02:55:15.563Z"}</t>
  </si>
  <si>
    <t>https://www.google.com/maps/place/%E0%B9%82%E0%B8%A3%E0%B8%87%E0%B9%80%E0%B8%A3%E0%B8%B5%E0%B8%A2%E0%B8%99%E0%B8%AB%E0%B8%A5%E0%B8%A7%E0%B8%87%E0%B9%81%E0%B8%9E%E0%B9%88%E0%B8%87+(%E0%B8%9A%E0%B8%B3%E0%B8%A3%E0%B8%B8%E0%B8%87%E0%B8%A3%E0%B8%B1%E0%B8%90%E0%B8%81%E0%B8%B4%E0%B8%88)/@13.8154703,100.9350751,17z/data=!3m1!4b1!4m6!3m5!1s0x311d6da9dd7109f5:0x8c143c57b4ed261f!8m2!3d13.8154703!4d100.9350751!16s%2Fg%2F11r90hw_z?entry=tts&amp;g_ep=EgoyMDI2MDkyMy4wIPu8ASoASAFQAw%3D%3D&amp;skid=906365c0-3dd2-48d1-9f8a-271172f697c2</t>
  </si>
  <si>
    <t>fd6e32cc-2225-ea5a-71e2-58ff1c2c8b0a</t>
  </si>
  <si>
    <t>โรงเรียนอิสลามลำไทร</t>
  </si>
  <si>
    <t>https://maps.app.goo.gl/LWYeuWVKcyMC1jrV8</t>
  </si>
  <si>
    <t>2026-09-29T10:05:46.309Z</t>
  </si>
  <si>
    <t>{"id":"fd6e32cc-2225-ea5a-71e2-58ff1c2c8b0a","district":"หนองจอก","category":"ศูนย์พักพิงชั่วคราว","name":"โรงเรียนอิสลามลำไทร","capacity":50,"occupied":1,"available":49,"unitType":"คน","status":"เปิดให้บริการ/ว่าง","routeDetails":"","link":"https://maps.app.goo.gl/LWYeuWVKcyMC1jrV8","additionalDetails":null,"createdAt":"2026-09-26T07:53:32.000Z","updatedAt":"2026-09-29T10:05:46.309Z"}</t>
  </si>
  <si>
    <t>https://www.google.com/maps/place/Islam+Lamsai+School/@13.8321727,100.8386046,1055m/data=!3m2!1e3!4b1!4m6!3m5!1s0x311d6fb44a6a059b:0xb25b3b0fd911643d!8m2!3d13.8321727!4d100.8411795!16s%2Fg%2F1tcyhhs1?entry=tts&amp;g_ep=EgoyMDI2MDkyMy4wIPu8ASoASAFQAw%3D%3D&amp;skid=0651674d-1d70-4158-bb3e-846c323076de</t>
  </si>
  <si>
    <t>b4d829a9-ce79-ed07-8323-b7d37f76731b</t>
  </si>
  <si>
    <t>โรงเรียนการเคหะท่าทราย</t>
  </si>
  <si>
    <t>2026-09-26T07:42:09.000Z</t>
  </si>
  <si>
    <t>{"id":"b4d829a9-ce79-ed07-8323-b7d37f76731b","district":"หลักสี่","category":"ศูนย์พักพิงชั่วคราว","name":"โรงเรียนการเคหะท่าทราย","capacity":200,"occupied":70,"available":130,"unitType":"คน","status":"เปิดให้บริการ/ว่าง","routeDetails":"","link":null,"additionalDetails":null,"createdAt":"2026-09-26T07:42:09.000Z","updatedAt":"2026-09-26T07:42:09.000Z"}</t>
  </si>
  <si>
    <t>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</t>
  </si>
  <si>
    <t>2026-10-02T15:39:23+07:00</t>
  </si>
  <si>
    <t>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</t>
  </si>
  <si>
    <t>304 233 หมู่ 6 แขวงทุ่งสองห้อง เขตหลักสี่ กรุงเทพมหานคร 10210 ประเทศไทย</t>
  </si>
  <si>
    <t>ChIJX1QyczWD4jARBVtGIxMkA5Y</t>
  </si>
  <si>
    <t>fd747b69-e217-0d07-2f83-e21ae0e4312b</t>
  </si>
  <si>
    <t>โรงเรียนทุ่งสองห้อง</t>
  </si>
  <si>
    <t>2026-09-26T07:44:36.000Z</t>
  </si>
  <si>
    <t>{"id":"fd747b69-e217-0d07-2f83-e21ae0e4312b","district":"หลักสี่","category":"ศูนย์พักพิงชั่วคราว","name":"โรงเรียนทุ่งสองห้อง","capacity":50,"occupied":0,"available":50,"unitType":"คน","status":"เปิดให้บริการ/ว่าง","routeDetails":"","link":null,"additionalDetails":null,"createdAt":"2026-09-26T07:44:36.000Z","updatedAt":"2026-09-26T07:44:36.000Z"}</t>
  </si>
  <si>
    <t>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</t>
  </si>
  <si>
    <t>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</t>
  </si>
  <si>
    <t>207 ถนน แจ้งวัฒนะ แขวงทุ่งสองห้อง เขตหลักสี่ กรุงเทพมหานคร 10210 ประเทศไทย</t>
  </si>
  <si>
    <t>ChIJs-tbrjuD4jARb7zx4hhXgow</t>
  </si>
  <si>
    <t>40fdb062-ea65-a686-4cbf-9cf2eef1bd0f</t>
  </si>
  <si>
    <t>โรงเรียนบางเขน (ไว้สาลีอนุสรณ์)</t>
  </si>
  <si>
    <t>2026-09-26T07:41:00.000Z</t>
  </si>
  <si>
    <t>{"id":"40fdb062-ea65-a686-4cbf-9cf2eef1bd0f","district":"หลักสี่","category":"ศูนย์พักพิงชั่วคราว","name":"โรงเรียนบางเขน (ไว้สาลีอนุสรณ์)","capacity":150,"occupied":130,"available":20,"unitType":"คน","status":"เปิดให้บริการ/ว่าง","routeDetails":"","link":null,"additionalDetails":null,"createdAt":"2026-09-26T07:41:00.000Z","updatedAt":"2026-09-26T07:41:00.000Z"}</t>
  </si>
  <si>
    <t>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</t>
  </si>
  <si>
    <t>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</t>
  </si>
  <si>
    <t>VH68+8WW ถ. กำแพงเพชร 6 แขวงตลาดบางเขน เขตหลักสี่ กรุงเทพมหานคร 10210 ประเทศไทย</t>
  </si>
  <si>
    <t>ChIJ-btQnNWC4jARs51tAILhxZg</t>
  </si>
  <si>
    <t>a38fdd2a-6876-5bb5-740f-50b294f14d4b</t>
  </si>
  <si>
    <t>โรงเรียนวัดหลักสี่ (ทองใบทิวารีวิทยา)</t>
  </si>
  <si>
    <t>2026-09-26T07:39:15.000Z</t>
  </si>
  <si>
    <t>{"id":"a38fdd2a-6876-5bb5-740f-50b294f14d4b","district":"หลักสี่","category":"ศูนย์พักพิงชั่วคราว","name":"โรงเรียนวัดหลักสี่ (ทองใบทิวารีวิทยา)","capacity":40,"occupied":0,"available":40,"unitType":"คน","status":"เปิดให้บริการ/ว่าง","routeDetails":"","link":null,"additionalDetails":null,"createdAt":"2026-09-26T07:39:15.000Z","updatedAt":"2026-09-26T07:39:15.000Z"}</t>
  </si>
  <si>
    <t>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</t>
  </si>
  <si>
    <t>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</t>
  </si>
  <si>
    <t>101 ซอยชัยภัทร แขวงตลาดบางเขน เขตหลักสี่ กรุงเทพมหานคร 10210 ประเทศไทย</t>
  </si>
  <si>
    <t>ChIJu699idOC4jARcVgoNz49qrA</t>
  </si>
  <si>
    <t>03f082a0-8c14-8b45-6faf-02fe835f3a39</t>
  </si>
  <si>
    <t>โรงเรียนเคหะทุ่งสองห้องวิทยา 1</t>
  </si>
  <si>
    <t>2026-09-26T07:51:31.000Z</t>
  </si>
  <si>
    <t>{"id":"03f082a0-8c14-8b45-6faf-02fe835f3a39","district":"หลักสี่","category":"ศูนย์พักพิงชั่วคราว","name":"โรงเรียนเคหะทุ่งสองห้องวิทยา 1","capacity":100,"occupied":0,"available":100,"unitType":"คน","status":"เปิดให้บริการ/ว่าง","routeDetails":"","link":null,"additionalDetails":null,"createdAt":"2026-09-26T07:51:31.000Z","updatedAt":"2026-09-26T07:51:31.000Z"}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</si>
  <si>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</si>
  <si>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</t>
  </si>
  <si>
    <t>ซอย กำแพงเพชร 6 ซอย 7 ถ. กำแพงเพชร 6 แขวงทุ่งสองห้อง เขตหลักสี่ กรุงเทพมหานคร 10210 ประเทศไทย</t>
  </si>
  <si>
    <t>ChIJ-eoUpeWC4jARxZZfRjMIxEA</t>
  </si>
  <si>
    <t>d82e09a3-e241-b961-bdde-b8af57f46921</t>
  </si>
  <si>
    <t>โรงเรียนเคหะทุ่งสองห้องวิทยา 2</t>
  </si>
  <si>
    <t>2026-09-26T07:52:06.000Z</t>
  </si>
  <si>
    <t>{"id":"d82e09a3-e241-b961-bdde-b8af57f46921","district":"หลักสี่","category":"ศูนย์พักพิงชั่วคราว","name":"โรงเรียนเคหะทุ่งสองห้องวิทยา 2","capacity":50,"occupied":0,"available":50,"unitType":"คน","status":"เปิดให้บริการ/ว่าง","routeDetails":"","link":null,"additionalDetails":null,"createdAt":"2026-09-26T07:52:06.000Z","updatedAt":"2026-09-26T07:52:06.000Z"}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</si>
  <si>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</t>
  </si>
  <si>
    <t>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</t>
  </si>
  <si>
    <t>ซอย กำแพงเพชร 6 ซอย 7 กำแพงเพชร แขวงทุ่งสองห้อง เขตหลักสี่ กรุงเทพมหานคร 10210 ประเทศไทย</t>
  </si>
  <si>
    <t>ChIJm-4qQOOC4jARBYoRSGKkP_s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</si>
</sst>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0"/>
    <numFmt numFmtId="165" formatCode="yyyy-mm-dd"/>
    <numFmt numFmtId="166" formatCode="yyyy-mm-dd h:mm:ss"/>
    <numFmt numFmtId="167" formatCode="0.000000"/>
  </numFmts>
  <fonts count="21">
    <font>
      <sz val="10.0"/>
      <color rgb="FF000000"/>
      <name val="Arial"/>
      <scheme val="minor"/>
    </font>
    <font>
      <sz val="9.0"/>
      <color rgb="FF000000"/>
      <name val="Google Sans"/>
    </font>
    <font>
      <sz val="9.0"/>
      <color theme="1"/>
      <name val="Google Sans"/>
    </font>
    <font>
      <b/>
      <sz val="8.0"/>
      <color rgb="FFFFFFFF"/>
      <name val="Google Sans"/>
    </font>
    <font>
      <sz val="8.0"/>
      <color theme="1"/>
      <name val="Google Sans"/>
    </font>
    <font>
      <sz val="8.0"/>
      <color rgb="FF221A15"/>
      <name val="Google Sans"/>
    </font>
    <font>
      <b/>
      <sz val="14.0"/>
      <color rgb="FF425D90"/>
      <name val="Montserrat"/>
    </font>
    <font>
      <b/>
      <color theme="1"/>
      <name val="Arial"/>
      <scheme val="minor"/>
    </font>
    <font>
      <b/>
      <sz val="11.0"/>
      <color rgb="FFFFFFFF"/>
      <name val="Montserrat"/>
    </font>
    <font>
      <u/>
      <sz val="8.0"/>
      <color rgb="FF0000FF"/>
      <name val="Google Sans"/>
    </font>
    <font>
      <b/>
      <sz val="12.0"/>
      <color rgb="FF1A1B20"/>
      <name val="Roboto"/>
    </font>
    <font>
      <sz val="10.0"/>
      <color rgb="FF1A1B20"/>
      <name val="Roboto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sz val="11.0"/>
      <color rgb="FF000000"/>
      <name val="Arial"/>
    </font>
    <font>
      <b/>
      <sz val="8.0"/>
      <color theme="1"/>
      <name val="Google Sans"/>
    </font>
    <font>
      <u/>
      <sz val="8.0"/>
      <color rgb="FF0000FF"/>
      <name val="Google Sans"/>
    </font>
    <font>
      <color theme="1"/>
      <name val="Arial"/>
      <scheme val="minor"/>
    </font>
    <font>
      <u/>
      <color rgb="FF0000FF"/>
    </font>
    <font>
      <sz val="8.0"/>
      <color rgb="FF1A1B20"/>
      <name val="Google Sans"/>
    </font>
    <font>
      <u/>
      <sz val="8.0"/>
      <color rgb="FF1A1B20"/>
      <name val="Google Sans"/>
    </font>
  </fonts>
  <fills count="7">
    <fill>
      <patternFill patternType="none"/>
    </fill>
    <fill>
      <patternFill patternType="lightGray"/>
    </fill>
    <fill>
      <patternFill patternType="solid">
        <fgColor rgb="FF174B64"/>
        <bgColor rgb="FF174B64"/>
      </patternFill>
    </fill>
    <fill>
      <patternFill patternType="solid">
        <fgColor rgb="FF425D90"/>
        <bgColor rgb="FF425D90"/>
      </patternFill>
    </fill>
    <fill>
      <patternFill patternType="solid">
        <fgColor rgb="FFFFF7F5"/>
        <bgColor rgb="FFFFF7F5"/>
      </patternFill>
    </fill>
    <fill>
      <patternFill patternType="solid">
        <fgColor rgb="FFFFFFFF"/>
        <bgColor rgb="FFFFFFFF"/>
      </patternFill>
    </fill>
    <fill>
      <patternFill patternType="solid">
        <fgColor rgb="FFE8EEF3"/>
        <bgColor rgb="FFE8EEF3"/>
      </patternFill>
    </fill>
  </fills>
  <borders count="2">
    <border/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left" readingOrder="0" shrinkToFit="0" vertical="bottom" wrapText="0"/>
    </xf>
    <xf borderId="1" fillId="3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0" fillId="0" fontId="4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4" numFmtId="164" xfId="0" applyAlignment="1" applyFont="1" applyNumberFormat="1">
      <alignment readingOrder="0"/>
    </xf>
    <xf borderId="0" fillId="3" fontId="3" numFmtId="0" xfId="0" applyFill="1" applyFont="1"/>
    <xf borderId="0" fillId="0" fontId="4" numFmtId="2" xfId="0" applyAlignment="1" applyFont="1" applyNumberFormat="1">
      <alignment readingOrder="0"/>
    </xf>
    <xf borderId="0" fillId="0" fontId="2" numFmtId="3" xfId="0" applyFont="1" applyNumberFormat="1"/>
    <xf borderId="1" fillId="4" fontId="5" numFmtId="0" xfId="0" applyAlignment="1" applyBorder="1" applyFill="1" applyFont="1">
      <alignment readingOrder="0" shrinkToFit="0" vertical="top" wrapText="1"/>
    </xf>
    <xf borderId="1" fillId="4" fontId="5" numFmtId="165" xfId="0" applyAlignment="1" applyBorder="1" applyFill="1" applyFont="1" applyNumberFormat="1">
      <alignment readingOrder="0" shrinkToFit="0" vertical="top" wrapText="1"/>
    </xf>
    <xf borderId="1" fillId="4" fontId="5" numFmtId="3" xfId="0" applyAlignment="1" applyBorder="1" applyFill="1" applyFont="1" applyNumberFormat="1">
      <alignment readingOrder="0" shrinkToFit="0" vertical="top" wrapText="1"/>
    </xf>
    <xf borderId="0" fillId="0" fontId="6" numFmtId="0" xfId="0" applyAlignment="1" applyFont="1">
      <alignment readingOrder="0"/>
    </xf>
    <xf borderId="1" fillId="0" fontId="4" numFmtId="3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4" numFmtId="166" xfId="0" applyAlignment="1" applyFont="1" applyNumberFormat="1">
      <alignment readingOrder="0"/>
    </xf>
    <xf borderId="1" fillId="3" fontId="8" numFmtId="3" xfId="0" applyAlignment="1" applyBorder="1" applyFill="1" applyFont="1" applyNumberFormat="1">
      <alignment readingOrder="0"/>
    </xf>
    <xf borderId="1" fillId="3" fontId="8" numFmtId="3" xfId="0" applyBorder="1" applyFill="1" applyFont="1" applyNumberFormat="1"/>
    <xf borderId="1" fillId="3" fontId="8" numFmtId="0" xfId="0" applyAlignment="1" applyBorder="1" applyFill="1" applyFont="1">
      <alignment readingOrder="0"/>
    </xf>
    <xf borderId="1" fillId="3" fontId="8" numFmtId="0" xfId="0" applyBorder="1" applyFill="1" applyFont="1"/>
    <xf borderId="0" fillId="0" fontId="9" numFmtId="0" xfId="0" applyAlignment="1" applyFont="1">
      <alignment readingOrder="0"/>
    </xf>
    <xf borderId="0" fillId="0" fontId="4" numFmtId="0" xfId="0" applyFont="1"/>
    <xf borderId="1" fillId="5" fontId="5" numFmtId="0" xfId="0" applyAlignment="1" applyBorder="1" applyFill="1" applyFont="1">
      <alignment readingOrder="0" shrinkToFit="0" vertical="top" wrapText="1"/>
    </xf>
    <xf borderId="1" fillId="0" fontId="10" numFmtId="3" xfId="0" applyBorder="1" applyFont="1" applyNumberFormat="1"/>
    <xf borderId="1" fillId="5" fontId="5" numFmtId="165" xfId="0" applyAlignment="1" applyBorder="1" applyFill="1" applyFont="1" applyNumberFormat="1">
      <alignment readingOrder="0" shrinkToFit="0" vertical="top" wrapText="1"/>
    </xf>
    <xf borderId="1" fillId="5" fontId="5" numFmtId="3" xfId="0" applyAlignment="1" applyBorder="1" applyFill="1" applyFont="1" applyNumberFormat="1">
      <alignment readingOrder="0" shrinkToFit="0" vertical="top" wrapText="1"/>
    </xf>
    <xf borderId="1" fillId="0" fontId="11" numFmtId="0" xfId="0" applyAlignment="1" applyBorder="1" applyFont="1">
      <alignment readingOrder="0"/>
    </xf>
    <xf borderId="1" fillId="0" fontId="11" numFmtId="3" xfId="0" applyBorder="1" applyFont="1" applyNumberFormat="1"/>
    <xf borderId="1" fillId="0" fontId="11" numFmtId="0" xfId="0" applyBorder="1" applyFont="1"/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0" fillId="0" fontId="14" numFmtId="0" xfId="0" applyAlignment="1" applyFont="1">
      <alignment horizontal="left" readingOrder="0" shrinkToFit="0" vertical="bottom" wrapText="0"/>
    </xf>
    <xf borderId="0" fillId="4" fontId="5" numFmtId="0" xfId="0" applyAlignment="1" applyFill="1" applyFont="1">
      <alignment readingOrder="0" shrinkToFit="0" vertical="top" wrapText="1"/>
    </xf>
    <xf borderId="0" fillId="4" fontId="5" numFmtId="165" xfId="0" applyAlignment="1" applyFill="1" applyFont="1" applyNumberFormat="1">
      <alignment readingOrder="0" shrinkToFit="0" vertical="top" wrapText="1"/>
    </xf>
    <xf borderId="0" fillId="4" fontId="5" numFmtId="3" xfId="0" applyAlignment="1" applyFill="1" applyFont="1" applyNumberFormat="1">
      <alignment readingOrder="0" shrinkToFit="0" vertical="top" wrapText="1"/>
    </xf>
    <xf borderId="0" fillId="0" fontId="4" numFmtId="3" xfId="0" applyAlignment="1" applyFont="1" applyNumberFormat="1">
      <alignment readingOrder="0"/>
    </xf>
    <xf borderId="0" fillId="5" fontId="5" numFmtId="0" xfId="0" applyAlignment="1" applyFill="1" applyFont="1">
      <alignment readingOrder="0" shrinkToFit="0" vertical="top" wrapText="1"/>
    </xf>
    <xf borderId="0" fillId="5" fontId="5" numFmtId="165" xfId="0" applyAlignment="1" applyFill="1" applyFont="1" applyNumberFormat="1">
      <alignment readingOrder="0" shrinkToFit="0" vertical="top" wrapText="1"/>
    </xf>
    <xf borderId="0" fillId="5" fontId="5" numFmtId="3" xfId="0" applyAlignment="1" applyFill="1" applyFont="1" applyNumberFormat="1">
      <alignment readingOrder="0" shrinkToFit="0" vertical="top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0" fontId="17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7" numFmtId="0" xfId="0" applyFont="1"/>
    <xf borderId="0" fillId="5" fontId="19" numFmtId="0" xfId="0" applyAlignment="1" applyFill="1" applyFont="1">
      <alignment readingOrder="0" shrinkToFit="0" vertical="top" wrapText="1"/>
    </xf>
    <xf borderId="0" fillId="5" fontId="19" numFmtId="165" xfId="0" applyAlignment="1" applyFill="1" applyFont="1" applyNumberFormat="1">
      <alignment readingOrder="0" shrinkToFit="0" vertical="top" wrapText="1"/>
    </xf>
    <xf borderId="0" fillId="5" fontId="19" numFmtId="3" xfId="0" applyAlignment="1" applyFill="1" applyFont="1" applyNumberFormat="1">
      <alignment readingOrder="0" shrinkToFit="0" vertical="top" wrapText="1"/>
    </xf>
    <xf borderId="0" fillId="0" fontId="19" numFmtId="3" xfId="0" applyAlignment="1" applyFont="1" applyNumberFormat="1">
      <alignment readingOrder="0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shrinkToFit="0" wrapText="1"/>
    </xf>
    <xf borderId="0" fillId="0" fontId="19" numFmtId="166" xfId="0" applyAlignment="1" applyFont="1" applyNumberFormat="1">
      <alignment readingOrder="0"/>
    </xf>
    <xf borderId="0" fillId="0" fontId="17" numFmtId="167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19" numFmtId="0" xfId="0" applyFont="1"/>
    <xf borderId="0" fillId="4" fontId="19" numFmtId="0" xfId="0" applyAlignment="1" applyFill="1" applyFont="1">
      <alignment readingOrder="0" shrinkToFit="0" vertical="top" wrapText="1"/>
    </xf>
    <xf borderId="0" fillId="4" fontId="19" numFmtId="165" xfId="0" applyAlignment="1" applyFill="1" applyFont="1" applyNumberFormat="1">
      <alignment readingOrder="0" shrinkToFit="0" vertical="top" wrapText="1"/>
    </xf>
    <xf borderId="0" fillId="4" fontId="19" numFmtId="3" xfId="0" applyAlignment="1" applyFill="1" applyFont="1" applyNumberFormat="1">
      <alignment readingOrder="0" shrinkToFit="0" vertical="top" wrapText="1"/>
    </xf>
    <xf borderId="0" fillId="4" fontId="5" numFmtId="0" xfId="0" applyAlignment="1" applyFill="1" applyFont="1">
      <alignment shrinkToFit="0" vertical="top" wrapText="1"/>
    </xf>
    <xf borderId="0" fillId="4" fontId="5" numFmtId="3" xfId="0" applyAlignment="1" applyFill="1" applyFont="1" applyNumberFormat="1">
      <alignment shrinkToFit="0" vertical="top" wrapText="1"/>
    </xf>
    <xf borderId="0" fillId="0" fontId="4" numFmtId="3" xfId="0" applyFont="1" applyNumberFormat="1"/>
    <xf borderId="0" fillId="5" fontId="5" numFmtId="0" xfId="0" applyAlignment="1" applyFill="1" applyFont="1">
      <alignment shrinkToFit="0" vertical="top" wrapText="1"/>
    </xf>
    <xf borderId="0" fillId="5" fontId="5" numFmtId="3" xfId="0" applyAlignment="1" applyFill="1" applyFont="1" applyNumberForma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9F9FF"/>
          <bgColor rgb="FFF9F9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Dashboard-style">
      <tableStyleElement dxfId="1" type="firstRowStripe"/>
      <tableStyleElement dxfId="2" type="secondRowStripe"/>
    </tableStyle>
    <tableStyle count="2" pivot="0" name="Dashboard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8:F1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headerRowCount="0" ref="H8:I12" displayName="Table_2" name="Table_2" id="2">
  <tableColumns count="2">
    <tableColumn name="Column1" id="1"/>
    <tableColumn name="Column2" id="2"/>
  </tableColumns>
  <tableStyleInfo name="Dashboard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4" Type="http://schemas.openxmlformats.org/officeDocument/2006/relationships/hyperlink" Target="https://direct.disaster.go.th/directing/home" TargetMode="External"/><Relationship Id="rId83" Type="http://schemas.openxmlformats.org/officeDocument/2006/relationships/hyperlink" Target="https://direct.disaster.go.th/directing/home" TargetMode="External"/><Relationship Id="rId4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6" Type="http://schemas.openxmlformats.org/officeDocument/2006/relationships/hyperlink" Target="https://direct.disaster.go.th/directing/home" TargetMode="External"/><Relationship Id="rId4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5" Type="http://schemas.openxmlformats.org/officeDocument/2006/relationships/hyperlink" Target="https://direct.disaster.go.th/directing/home" TargetMode="External"/><Relationship Id="rId4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8" Type="http://schemas.openxmlformats.org/officeDocument/2006/relationships/hyperlink" Target="https://direct.disaster.go.th/directing/home" TargetMode="External"/><Relationship Id="rId4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7" Type="http://schemas.openxmlformats.org/officeDocument/2006/relationships/hyperlink" Target="https://direct.disaster.go.th/directing/home" TargetMode="External"/><Relationship Id="rId4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89" Type="http://schemas.openxmlformats.org/officeDocument/2006/relationships/hyperlink" Target="https://direct.disaster.go.th/directing/home" TargetMode="External"/><Relationship Id="rId80" Type="http://schemas.openxmlformats.org/officeDocument/2006/relationships/hyperlink" Target="https://direct.disaster.go.th/directing/home" TargetMode="External"/><Relationship Id="rId82" Type="http://schemas.openxmlformats.org/officeDocument/2006/relationships/hyperlink" Target="https://direct.disaster.go.th/directing/home" TargetMode="External"/><Relationship Id="rId81" Type="http://schemas.openxmlformats.org/officeDocument/2006/relationships/hyperlink" Target="https://direct.disaster.go.th/directing/home" TargetMode="External"/><Relationship Id="rId1" Type="http://schemas.openxmlformats.org/officeDocument/2006/relationships/hyperlink" Target="https://direct.disaster.go.th/directing/home" TargetMode="External"/><Relationship Id="rId2" Type="http://schemas.openxmlformats.org/officeDocument/2006/relationships/hyperlink" Target="https://direct.disaster.go.th/directing/home" TargetMode="External"/><Relationship Id="rId3" Type="http://schemas.openxmlformats.org/officeDocument/2006/relationships/hyperlink" Target="https://direct.disaster.go.th/directing/home" TargetMode="External"/><Relationship Id="rId4" Type="http://schemas.openxmlformats.org/officeDocument/2006/relationships/hyperlink" Target="https://direct.disaster.go.th/directing/home" TargetMode="External"/><Relationship Id="rId9" Type="http://schemas.openxmlformats.org/officeDocument/2006/relationships/hyperlink" Target="https://direct.disaster.go.th/directing/home" TargetMode="External"/><Relationship Id="rId4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4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" Type="http://schemas.openxmlformats.org/officeDocument/2006/relationships/hyperlink" Target="https://direct.disaster.go.th/directing/home" TargetMode="External"/><Relationship Id="rId6" Type="http://schemas.openxmlformats.org/officeDocument/2006/relationships/hyperlink" Target="https://direct.disaster.go.th/directing/home" TargetMode="External"/><Relationship Id="rId7" Type="http://schemas.openxmlformats.org/officeDocument/2006/relationships/hyperlink" Target="https://direct.disaster.go.th/directing/home" TargetMode="External"/><Relationship Id="rId8" Type="http://schemas.openxmlformats.org/officeDocument/2006/relationships/hyperlink" Target="https://direct.disaster.go.th/directing/home" TargetMode="External"/><Relationship Id="rId73" Type="http://schemas.openxmlformats.org/officeDocument/2006/relationships/hyperlink" Target="https://direct.disaster.go.th/directing/home" TargetMode="External"/><Relationship Id="rId72" Type="http://schemas.openxmlformats.org/officeDocument/2006/relationships/hyperlink" Target="https://direct.disaster.go.th/directing/home" TargetMode="External"/><Relationship Id="rId31" Type="http://schemas.openxmlformats.org/officeDocument/2006/relationships/hyperlink" Target="https://direct.disaster.go.th/directing/home" TargetMode="External"/><Relationship Id="rId75" Type="http://schemas.openxmlformats.org/officeDocument/2006/relationships/hyperlink" Target="https://direct.disaster.go.th/directing/home" TargetMode="External"/><Relationship Id="rId30" Type="http://schemas.openxmlformats.org/officeDocument/2006/relationships/hyperlink" Target="https://direct.disaster.go.th/directing/home" TargetMode="External"/><Relationship Id="rId74" Type="http://schemas.openxmlformats.org/officeDocument/2006/relationships/hyperlink" Target="https://direct.disaster.go.th/directing/home" TargetMode="External"/><Relationship Id="rId3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77" Type="http://schemas.openxmlformats.org/officeDocument/2006/relationships/hyperlink" Target="https://direct.disaster.go.th/directing/home" TargetMode="External"/><Relationship Id="rId32" Type="http://schemas.openxmlformats.org/officeDocument/2006/relationships/hyperlink" Target="https://direct.disaster.go.th/directing/home" TargetMode="External"/><Relationship Id="rId76" Type="http://schemas.openxmlformats.org/officeDocument/2006/relationships/hyperlink" Target="https://direct.disaster.go.th/directing/home" TargetMode="External"/><Relationship Id="rId3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79" Type="http://schemas.openxmlformats.org/officeDocument/2006/relationships/hyperlink" Target="https://direct.disaster.go.th/directing/home" TargetMode="External"/><Relationship Id="rId3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78" Type="http://schemas.openxmlformats.org/officeDocument/2006/relationships/hyperlink" Target="https://direct.disaster.go.th/directing/home" TargetMode="External"/><Relationship Id="rId71" Type="http://schemas.openxmlformats.org/officeDocument/2006/relationships/hyperlink" Target="https://direct.disaster.go.th/directing/home" TargetMode="External"/><Relationship Id="rId70" Type="http://schemas.openxmlformats.org/officeDocument/2006/relationships/hyperlink" Target="https://direct.disaster.go.th/directing/home" TargetMode="External"/><Relationship Id="rId3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3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0" Type="http://schemas.openxmlformats.org/officeDocument/2006/relationships/hyperlink" Target="https://direct.disaster.go.th/directing/home" TargetMode="External"/><Relationship Id="rId6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6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2" Type="http://schemas.openxmlformats.org/officeDocument/2006/relationships/hyperlink" Target="https://direct.disaster.go.th/directing/home" TargetMode="External"/><Relationship Id="rId66" Type="http://schemas.openxmlformats.org/officeDocument/2006/relationships/hyperlink" Target="https://direct.disaster.go.th/directing/home" TargetMode="External"/><Relationship Id="rId21" Type="http://schemas.openxmlformats.org/officeDocument/2006/relationships/hyperlink" Target="https://direct.disaster.go.th/directing/home" TargetMode="External"/><Relationship Id="rId65" Type="http://schemas.openxmlformats.org/officeDocument/2006/relationships/hyperlink" Target="https://direct.disaster.go.th/directing/home" TargetMode="External"/><Relationship Id="rId24" Type="http://schemas.openxmlformats.org/officeDocument/2006/relationships/hyperlink" Target="https://direct.disaster.go.th/directing/home" TargetMode="External"/><Relationship Id="rId68" Type="http://schemas.openxmlformats.org/officeDocument/2006/relationships/hyperlink" Target="https://direct.disaster.go.th/directing/home" TargetMode="External"/><Relationship Id="rId23" Type="http://schemas.openxmlformats.org/officeDocument/2006/relationships/hyperlink" Target="https://direct.disaster.go.th/directing/home" TargetMode="External"/><Relationship Id="rId67" Type="http://schemas.openxmlformats.org/officeDocument/2006/relationships/hyperlink" Target="https://direct.disaster.go.th/directing/home" TargetMode="External"/><Relationship Id="rId6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26" Type="http://schemas.openxmlformats.org/officeDocument/2006/relationships/hyperlink" Target="https://direct.disaster.go.th/directing/home" TargetMode="External"/><Relationship Id="rId25" Type="http://schemas.openxmlformats.org/officeDocument/2006/relationships/hyperlink" Target="https://direct.disaster.go.th/directing/home" TargetMode="External"/><Relationship Id="rId69" Type="http://schemas.openxmlformats.org/officeDocument/2006/relationships/hyperlink" Target="https://direct.disaster.go.th/directing/home" TargetMode="External"/><Relationship Id="rId28" Type="http://schemas.openxmlformats.org/officeDocument/2006/relationships/hyperlink" Target="https://direct.disaster.go.th/directing/home" TargetMode="External"/><Relationship Id="rId27" Type="http://schemas.openxmlformats.org/officeDocument/2006/relationships/hyperlink" Target="https://direct.disaster.go.th/directing/home" TargetMode="External"/><Relationship Id="rId29" Type="http://schemas.openxmlformats.org/officeDocument/2006/relationships/hyperlink" Target="https://direct.disaster.go.th/directing/home" TargetMode="External"/><Relationship Id="rId51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0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3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52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1" Type="http://schemas.openxmlformats.org/officeDocument/2006/relationships/hyperlink" Target="https://direct.disaster.go.th/directing/home" TargetMode="External"/><Relationship Id="rId55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0" Type="http://schemas.openxmlformats.org/officeDocument/2006/relationships/hyperlink" Target="https://direct.disaster.go.th/directing/home" TargetMode="External"/><Relationship Id="rId54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3" Type="http://schemas.openxmlformats.org/officeDocument/2006/relationships/hyperlink" Target="https://direct.disaster.go.th/directing/home" TargetMode="External"/><Relationship Id="rId57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2" Type="http://schemas.openxmlformats.org/officeDocument/2006/relationships/hyperlink" Target="https://direct.disaster.go.th/directing/home" TargetMode="External"/><Relationship Id="rId56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91" Type="http://schemas.openxmlformats.org/officeDocument/2006/relationships/hyperlink" Target="https://direct.disaster.go.th/directing/home" TargetMode="External"/><Relationship Id="rId90" Type="http://schemas.openxmlformats.org/officeDocument/2006/relationships/hyperlink" Target="https://direct.disaster.go.th/directing/home" TargetMode="External"/><Relationship Id="rId92" Type="http://schemas.openxmlformats.org/officeDocument/2006/relationships/drawing" Target="../drawings/drawing1.xml"/><Relationship Id="rId15" Type="http://schemas.openxmlformats.org/officeDocument/2006/relationships/hyperlink" Target="https://direct.disaster.go.th/directing/home" TargetMode="External"/><Relationship Id="rId59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4" Type="http://schemas.openxmlformats.org/officeDocument/2006/relationships/hyperlink" Target="https://direct.disaster.go.th/directing/home" TargetMode="External"/><Relationship Id="rId58" Type="http://schemas.openxmlformats.org/officeDocument/2006/relationships/hyperlink" Target="https://backofficeminisite.disaster.go.th/apiv1/apps/minisite_directing/194/content/8728/download?filename=5d20575fa6cbe9d1e5a046aeef36e7a3.pdf" TargetMode="External"/><Relationship Id="rId17" Type="http://schemas.openxmlformats.org/officeDocument/2006/relationships/hyperlink" Target="https://direct.disaster.go.th/directing/home" TargetMode="External"/><Relationship Id="rId16" Type="http://schemas.openxmlformats.org/officeDocument/2006/relationships/hyperlink" Target="https://direct.disaster.go.th/directing/home" TargetMode="External"/><Relationship Id="rId19" Type="http://schemas.openxmlformats.org/officeDocument/2006/relationships/hyperlink" Target="https://direct.disaster.go.th/directing/home" TargetMode="External"/><Relationship Id="rId18" Type="http://schemas.openxmlformats.org/officeDocument/2006/relationships/hyperlink" Target="https://direct.disaster.go.th/directing/hom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pi-v3.thaiwater.net/api/v1/thaiwater30/public/canal_waterlevel" TargetMode="External"/><Relationship Id="rId190" Type="http://schemas.openxmlformats.org/officeDocument/2006/relationships/hyperlink" Target="https://api-v3.thaiwater.net/api/v1/thaiwater30/public/canal_waterlevel" TargetMode="External"/><Relationship Id="rId42" Type="http://schemas.openxmlformats.org/officeDocument/2006/relationships/hyperlink" Target="https://api-v3.thaiwater.net/api/v1/thaiwater30/public/canal_waterlevel" TargetMode="External"/><Relationship Id="rId41" Type="http://schemas.openxmlformats.org/officeDocument/2006/relationships/hyperlink" Target="https://api-v3.thaiwater.net/api/v1/thaiwater30/public/canal_waterlevel" TargetMode="External"/><Relationship Id="rId44" Type="http://schemas.openxmlformats.org/officeDocument/2006/relationships/hyperlink" Target="https://api-v3.thaiwater.net/api/v1/thaiwater30/public/canal_waterlevel" TargetMode="External"/><Relationship Id="rId194" Type="http://schemas.openxmlformats.org/officeDocument/2006/relationships/hyperlink" Target="https://api-v3.thaiwater.net/api/v1/thaiwater30/public/canal_waterlevel" TargetMode="External"/><Relationship Id="rId43" Type="http://schemas.openxmlformats.org/officeDocument/2006/relationships/hyperlink" Target="https://api-v3.thaiwater.net/api/v1/thaiwater30/public/canal_waterlevel" TargetMode="External"/><Relationship Id="rId193" Type="http://schemas.openxmlformats.org/officeDocument/2006/relationships/hyperlink" Target="https://api-v3.thaiwater.net/api/v1/thaiwater30/public/canal_waterlevel" TargetMode="External"/><Relationship Id="rId46" Type="http://schemas.openxmlformats.org/officeDocument/2006/relationships/hyperlink" Target="https://api-v3.thaiwater.net/api/v1/thaiwater30/public/canal_waterlevel" TargetMode="External"/><Relationship Id="rId192" Type="http://schemas.openxmlformats.org/officeDocument/2006/relationships/hyperlink" Target="https://api-v3.thaiwater.net/api/v1/thaiwater30/public/canal_waterlevel" TargetMode="External"/><Relationship Id="rId45" Type="http://schemas.openxmlformats.org/officeDocument/2006/relationships/hyperlink" Target="https://api-v3.thaiwater.net/api/v1/thaiwater30/public/canal_waterlevel" TargetMode="External"/><Relationship Id="rId191" Type="http://schemas.openxmlformats.org/officeDocument/2006/relationships/hyperlink" Target="https://api-v3.thaiwater.net/api/v1/thaiwater30/public/canal_waterlevel" TargetMode="External"/><Relationship Id="rId48" Type="http://schemas.openxmlformats.org/officeDocument/2006/relationships/hyperlink" Target="https://api-v3.thaiwater.net/api/v1/thaiwater30/public/canal_waterlevel" TargetMode="External"/><Relationship Id="rId187" Type="http://schemas.openxmlformats.org/officeDocument/2006/relationships/hyperlink" Target="https://api-v3.thaiwater.net/api/v1/thaiwater30/public/canal_waterlevel" TargetMode="External"/><Relationship Id="rId47" Type="http://schemas.openxmlformats.org/officeDocument/2006/relationships/hyperlink" Target="https://api-v3.thaiwater.net/api/v1/thaiwater30/public/canal_waterlevel" TargetMode="External"/><Relationship Id="rId186" Type="http://schemas.openxmlformats.org/officeDocument/2006/relationships/hyperlink" Target="https://api-v3.thaiwater.net/api/v1/thaiwater30/public/canal_waterlevel" TargetMode="External"/><Relationship Id="rId185" Type="http://schemas.openxmlformats.org/officeDocument/2006/relationships/hyperlink" Target="https://api-v3.thaiwater.net/api/v1/thaiwater30/public/canal_waterlevel" TargetMode="External"/><Relationship Id="rId49" Type="http://schemas.openxmlformats.org/officeDocument/2006/relationships/hyperlink" Target="https://api-v3.thaiwater.net/api/v1/thaiwater30/public/canal_waterlevel" TargetMode="External"/><Relationship Id="rId184" Type="http://schemas.openxmlformats.org/officeDocument/2006/relationships/hyperlink" Target="https://api-v3.thaiwater.net/api/v1/thaiwater30/public/canal_waterlevel" TargetMode="External"/><Relationship Id="rId189" Type="http://schemas.openxmlformats.org/officeDocument/2006/relationships/hyperlink" Target="https://api-v3.thaiwater.net/api/v1/thaiwater30/public/canal_waterlevel" TargetMode="External"/><Relationship Id="rId188" Type="http://schemas.openxmlformats.org/officeDocument/2006/relationships/hyperlink" Target="https://api-v3.thaiwater.net/api/v1/thaiwater30/public/canal_waterlevel" TargetMode="External"/><Relationship Id="rId31" Type="http://schemas.openxmlformats.org/officeDocument/2006/relationships/hyperlink" Target="https://api-v3.thaiwater.net/api/v1/thaiwater30/public/canal_waterlevel" TargetMode="External"/><Relationship Id="rId30" Type="http://schemas.openxmlformats.org/officeDocument/2006/relationships/hyperlink" Target="https://api-v3.thaiwater.net/api/v1/thaiwater30/public/canal_waterlevel" TargetMode="External"/><Relationship Id="rId33" Type="http://schemas.openxmlformats.org/officeDocument/2006/relationships/hyperlink" Target="https://api-v3.thaiwater.net/api/v1/thaiwater30/public/canal_waterlevel" TargetMode="External"/><Relationship Id="rId183" Type="http://schemas.openxmlformats.org/officeDocument/2006/relationships/hyperlink" Target="https://api-v3.thaiwater.net/api/v1/thaiwater30/public/canal_waterlevel" TargetMode="External"/><Relationship Id="rId32" Type="http://schemas.openxmlformats.org/officeDocument/2006/relationships/hyperlink" Target="https://api-v3.thaiwater.net/api/v1/thaiwater30/public/canal_waterlevel" TargetMode="External"/><Relationship Id="rId182" Type="http://schemas.openxmlformats.org/officeDocument/2006/relationships/hyperlink" Target="https://api-v3.thaiwater.net/api/v1/thaiwater30/public/canal_waterlevel" TargetMode="External"/><Relationship Id="rId35" Type="http://schemas.openxmlformats.org/officeDocument/2006/relationships/hyperlink" Target="https://api-v3.thaiwater.net/api/v1/thaiwater30/public/canal_waterlevel" TargetMode="External"/><Relationship Id="rId181" Type="http://schemas.openxmlformats.org/officeDocument/2006/relationships/hyperlink" Target="https://api-v3.thaiwater.net/api/v1/thaiwater30/public/canal_waterlevel" TargetMode="External"/><Relationship Id="rId34" Type="http://schemas.openxmlformats.org/officeDocument/2006/relationships/hyperlink" Target="https://api-v3.thaiwater.net/api/v1/thaiwater30/public/canal_waterlevel" TargetMode="External"/><Relationship Id="rId180" Type="http://schemas.openxmlformats.org/officeDocument/2006/relationships/hyperlink" Target="https://api-v3.thaiwater.net/api/v1/thaiwater30/public/canal_waterlevel" TargetMode="External"/><Relationship Id="rId37" Type="http://schemas.openxmlformats.org/officeDocument/2006/relationships/hyperlink" Target="https://api-v3.thaiwater.net/api/v1/thaiwater30/public/canal_waterlevel" TargetMode="External"/><Relationship Id="rId176" Type="http://schemas.openxmlformats.org/officeDocument/2006/relationships/hyperlink" Target="https://api-v3.thaiwater.net/api/v1/thaiwater30/public/canal_waterlevel" TargetMode="External"/><Relationship Id="rId36" Type="http://schemas.openxmlformats.org/officeDocument/2006/relationships/hyperlink" Target="https://api-v3.thaiwater.net/api/v1/thaiwater30/public/canal_waterlevel" TargetMode="External"/><Relationship Id="rId175" Type="http://schemas.openxmlformats.org/officeDocument/2006/relationships/hyperlink" Target="https://api-v3.thaiwater.net/api/v1/thaiwater30/public/canal_waterlevel" TargetMode="External"/><Relationship Id="rId39" Type="http://schemas.openxmlformats.org/officeDocument/2006/relationships/hyperlink" Target="https://api-v3.thaiwater.net/api/v1/thaiwater30/public/canal_waterlevel" TargetMode="External"/><Relationship Id="rId174" Type="http://schemas.openxmlformats.org/officeDocument/2006/relationships/hyperlink" Target="https://api-v3.thaiwater.net/api/v1/thaiwater30/public/canal_waterlevel" TargetMode="External"/><Relationship Id="rId38" Type="http://schemas.openxmlformats.org/officeDocument/2006/relationships/hyperlink" Target="https://api-v3.thaiwater.net/api/v1/thaiwater30/public/canal_waterlevel" TargetMode="External"/><Relationship Id="rId173" Type="http://schemas.openxmlformats.org/officeDocument/2006/relationships/hyperlink" Target="https://api-v3.thaiwater.net/api/v1/thaiwater30/public/canal_waterlevel" TargetMode="External"/><Relationship Id="rId179" Type="http://schemas.openxmlformats.org/officeDocument/2006/relationships/hyperlink" Target="https://api-v3.thaiwater.net/api/v1/thaiwater30/public/canal_waterlevel" TargetMode="External"/><Relationship Id="rId178" Type="http://schemas.openxmlformats.org/officeDocument/2006/relationships/hyperlink" Target="https://api-v3.thaiwater.net/api/v1/thaiwater30/public/canal_waterlevel" TargetMode="External"/><Relationship Id="rId177" Type="http://schemas.openxmlformats.org/officeDocument/2006/relationships/hyperlink" Target="https://api-v3.thaiwater.net/api/v1/thaiwater30/public/canal_waterlevel" TargetMode="External"/><Relationship Id="rId20" Type="http://schemas.openxmlformats.org/officeDocument/2006/relationships/hyperlink" Target="https://api-v3.thaiwater.net/api/v1/thaiwater30/public/canal_waterlevel" TargetMode="External"/><Relationship Id="rId22" Type="http://schemas.openxmlformats.org/officeDocument/2006/relationships/hyperlink" Target="https://api-v3.thaiwater.net/api/v1/thaiwater30/public/canal_waterlevel" TargetMode="External"/><Relationship Id="rId21" Type="http://schemas.openxmlformats.org/officeDocument/2006/relationships/hyperlink" Target="https://api-v3.thaiwater.net/api/v1/thaiwater30/public/canal_waterlevel" TargetMode="External"/><Relationship Id="rId24" Type="http://schemas.openxmlformats.org/officeDocument/2006/relationships/hyperlink" Target="https://api-v3.thaiwater.net/api/v1/thaiwater30/public/canal_waterlevel" TargetMode="External"/><Relationship Id="rId23" Type="http://schemas.openxmlformats.org/officeDocument/2006/relationships/hyperlink" Target="https://api-v3.thaiwater.net/api/v1/thaiwater30/public/canal_waterlevel" TargetMode="External"/><Relationship Id="rId26" Type="http://schemas.openxmlformats.org/officeDocument/2006/relationships/hyperlink" Target="https://api-v3.thaiwater.net/api/v1/thaiwater30/public/canal_waterlevel" TargetMode="External"/><Relationship Id="rId25" Type="http://schemas.openxmlformats.org/officeDocument/2006/relationships/hyperlink" Target="https://api-v3.thaiwater.net/api/v1/thaiwater30/public/canal_waterlevel" TargetMode="External"/><Relationship Id="rId28" Type="http://schemas.openxmlformats.org/officeDocument/2006/relationships/hyperlink" Target="https://api-v3.thaiwater.net/api/v1/thaiwater30/public/canal_waterlevel" TargetMode="External"/><Relationship Id="rId27" Type="http://schemas.openxmlformats.org/officeDocument/2006/relationships/hyperlink" Target="https://api-v3.thaiwater.net/api/v1/thaiwater30/public/canal_waterlevel" TargetMode="External"/><Relationship Id="rId29" Type="http://schemas.openxmlformats.org/officeDocument/2006/relationships/hyperlink" Target="https://api-v3.thaiwater.net/api/v1/thaiwater30/public/canal_waterlevel" TargetMode="External"/><Relationship Id="rId11" Type="http://schemas.openxmlformats.org/officeDocument/2006/relationships/hyperlink" Target="https://api-v3.thaiwater.net/api/v1/thaiwater30/public/canal_waterlevel" TargetMode="External"/><Relationship Id="rId10" Type="http://schemas.openxmlformats.org/officeDocument/2006/relationships/hyperlink" Target="https://api-v3.thaiwater.net/api/v1/thaiwater30/public/canal_waterlevel" TargetMode="External"/><Relationship Id="rId13" Type="http://schemas.openxmlformats.org/officeDocument/2006/relationships/hyperlink" Target="https://api-v3.thaiwater.net/api/v1/thaiwater30/public/canal_waterlevel" TargetMode="External"/><Relationship Id="rId12" Type="http://schemas.openxmlformats.org/officeDocument/2006/relationships/hyperlink" Target="https://api-v3.thaiwater.net/api/v1/thaiwater30/public/canal_waterlevel" TargetMode="External"/><Relationship Id="rId15" Type="http://schemas.openxmlformats.org/officeDocument/2006/relationships/hyperlink" Target="https://api-v3.thaiwater.net/api/v1/thaiwater30/public/canal_waterlevel" TargetMode="External"/><Relationship Id="rId198" Type="http://schemas.openxmlformats.org/officeDocument/2006/relationships/hyperlink" Target="https://api-v3.thaiwater.net/api/v1/thaiwater30/public/canal_waterlevel" TargetMode="External"/><Relationship Id="rId14" Type="http://schemas.openxmlformats.org/officeDocument/2006/relationships/hyperlink" Target="https://api-v3.thaiwater.net/api/v1/thaiwater30/public/canal_waterlevel" TargetMode="External"/><Relationship Id="rId197" Type="http://schemas.openxmlformats.org/officeDocument/2006/relationships/hyperlink" Target="https://api-v3.thaiwater.net/api/v1/thaiwater30/public/canal_waterlevel" TargetMode="External"/><Relationship Id="rId17" Type="http://schemas.openxmlformats.org/officeDocument/2006/relationships/hyperlink" Target="https://api-v3.thaiwater.net/api/v1/thaiwater30/public/canal_waterlevel" TargetMode="External"/><Relationship Id="rId196" Type="http://schemas.openxmlformats.org/officeDocument/2006/relationships/hyperlink" Target="https://api-v3.thaiwater.net/api/v1/thaiwater30/public/canal_waterlevel" TargetMode="External"/><Relationship Id="rId16" Type="http://schemas.openxmlformats.org/officeDocument/2006/relationships/hyperlink" Target="https://api-v3.thaiwater.net/api/v1/thaiwater30/public/canal_waterlevel" TargetMode="External"/><Relationship Id="rId195" Type="http://schemas.openxmlformats.org/officeDocument/2006/relationships/hyperlink" Target="https://api-v3.thaiwater.net/api/v1/thaiwater30/public/canal_waterlevel" TargetMode="External"/><Relationship Id="rId19" Type="http://schemas.openxmlformats.org/officeDocument/2006/relationships/hyperlink" Target="https://api-v3.thaiwater.net/api/v1/thaiwater30/public/canal_waterlevel" TargetMode="External"/><Relationship Id="rId18" Type="http://schemas.openxmlformats.org/officeDocument/2006/relationships/hyperlink" Target="https://api-v3.thaiwater.net/api/v1/thaiwater30/public/canal_waterlevel" TargetMode="External"/><Relationship Id="rId199" Type="http://schemas.openxmlformats.org/officeDocument/2006/relationships/hyperlink" Target="https://api-v3.thaiwater.net/api/v1/thaiwater30/public/canal_waterlevel" TargetMode="External"/><Relationship Id="rId84" Type="http://schemas.openxmlformats.org/officeDocument/2006/relationships/hyperlink" Target="https://api-v3.thaiwater.net/api/v1/thaiwater30/public/canal_waterlevel" TargetMode="External"/><Relationship Id="rId83" Type="http://schemas.openxmlformats.org/officeDocument/2006/relationships/hyperlink" Target="https://api-v3.thaiwater.net/api/v1/thaiwater30/public/canal_waterlevel" TargetMode="External"/><Relationship Id="rId86" Type="http://schemas.openxmlformats.org/officeDocument/2006/relationships/hyperlink" Target="https://api-v3.thaiwater.net/api/v1/thaiwater30/public/canal_waterlevel" TargetMode="External"/><Relationship Id="rId85" Type="http://schemas.openxmlformats.org/officeDocument/2006/relationships/hyperlink" Target="https://api-v3.thaiwater.net/api/v1/thaiwater30/public/canal_waterlevel" TargetMode="External"/><Relationship Id="rId88" Type="http://schemas.openxmlformats.org/officeDocument/2006/relationships/hyperlink" Target="https://api-v3.thaiwater.net/api/v1/thaiwater30/public/canal_waterlevel" TargetMode="External"/><Relationship Id="rId150" Type="http://schemas.openxmlformats.org/officeDocument/2006/relationships/hyperlink" Target="https://api-v3.thaiwater.net/api/v1/thaiwater30/public/canal_waterlevel" TargetMode="External"/><Relationship Id="rId271" Type="http://schemas.openxmlformats.org/officeDocument/2006/relationships/hyperlink" Target="https://api-v3.thaiwater.net/api/v1/thaiwater30/public/canal_waterlevel" TargetMode="External"/><Relationship Id="rId87" Type="http://schemas.openxmlformats.org/officeDocument/2006/relationships/hyperlink" Target="https://api-v3.thaiwater.net/api/v1/thaiwater30/public/canal_waterlevel" TargetMode="External"/><Relationship Id="rId270" Type="http://schemas.openxmlformats.org/officeDocument/2006/relationships/hyperlink" Target="https://api-v3.thaiwater.net/api/v1/thaiwater30/public/canal_waterlevel" TargetMode="External"/><Relationship Id="rId89" Type="http://schemas.openxmlformats.org/officeDocument/2006/relationships/hyperlink" Target="https://api-v3.thaiwater.net/api/v1/thaiwater30/public/canal_waterlevel" TargetMode="External"/><Relationship Id="rId80" Type="http://schemas.openxmlformats.org/officeDocument/2006/relationships/hyperlink" Target="https://api-v3.thaiwater.net/api/v1/thaiwater30/public/canal_waterlevel" TargetMode="External"/><Relationship Id="rId82" Type="http://schemas.openxmlformats.org/officeDocument/2006/relationships/hyperlink" Target="https://api-v3.thaiwater.net/api/v1/thaiwater30/public/canal_waterlevel" TargetMode="External"/><Relationship Id="rId81" Type="http://schemas.openxmlformats.org/officeDocument/2006/relationships/hyperlink" Target="https://api-v3.thaiwater.net/api/v1/thaiwater30/public/canal_waterlevel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api-v3.thaiwater.net/api/v1/thaiwater30/public/canal_waterlevel" TargetMode="External"/><Relationship Id="rId3" Type="http://schemas.openxmlformats.org/officeDocument/2006/relationships/hyperlink" Target="https://api-v3.thaiwater.net/api/v1/thaiwater30/public/canal_waterlevel" TargetMode="External"/><Relationship Id="rId149" Type="http://schemas.openxmlformats.org/officeDocument/2006/relationships/hyperlink" Target="https://api-v3.thaiwater.net/api/v1/thaiwater30/public/canal_waterlevel" TargetMode="External"/><Relationship Id="rId4" Type="http://schemas.openxmlformats.org/officeDocument/2006/relationships/hyperlink" Target="https://api-v3.thaiwater.net/api/v1/thaiwater30/public/canal_waterlevel" TargetMode="External"/><Relationship Id="rId148" Type="http://schemas.openxmlformats.org/officeDocument/2006/relationships/hyperlink" Target="https://api-v3.thaiwater.net/api/v1/thaiwater30/public/canal_waterlevel" TargetMode="External"/><Relationship Id="rId269" Type="http://schemas.openxmlformats.org/officeDocument/2006/relationships/hyperlink" Target="https://api-v3.thaiwater.net/api/v1/thaiwater30/public/canal_waterlevel" TargetMode="External"/><Relationship Id="rId9" Type="http://schemas.openxmlformats.org/officeDocument/2006/relationships/hyperlink" Target="https://api-v3.thaiwater.net/api/v1/thaiwater30/public/canal_waterlevel" TargetMode="External"/><Relationship Id="rId143" Type="http://schemas.openxmlformats.org/officeDocument/2006/relationships/hyperlink" Target="https://api-v3.thaiwater.net/api/v1/thaiwater30/public/canal_waterlevel" TargetMode="External"/><Relationship Id="rId264" Type="http://schemas.openxmlformats.org/officeDocument/2006/relationships/hyperlink" Target="https://api-v3.thaiwater.net/api/v1/thaiwater30/public/canal_waterlevel" TargetMode="External"/><Relationship Id="rId142" Type="http://schemas.openxmlformats.org/officeDocument/2006/relationships/hyperlink" Target="https://api-v3.thaiwater.net/api/v1/thaiwater30/public/canal_waterlevel" TargetMode="External"/><Relationship Id="rId263" Type="http://schemas.openxmlformats.org/officeDocument/2006/relationships/hyperlink" Target="https://api-v3.thaiwater.net/api/v1/thaiwater30/public/canal_waterlevel" TargetMode="External"/><Relationship Id="rId141" Type="http://schemas.openxmlformats.org/officeDocument/2006/relationships/hyperlink" Target="https://api-v3.thaiwater.net/api/v1/thaiwater30/public/canal_waterlevel" TargetMode="External"/><Relationship Id="rId262" Type="http://schemas.openxmlformats.org/officeDocument/2006/relationships/hyperlink" Target="https://api-v3.thaiwater.net/api/v1/thaiwater30/public/canal_waterlevel" TargetMode="External"/><Relationship Id="rId140" Type="http://schemas.openxmlformats.org/officeDocument/2006/relationships/hyperlink" Target="https://api-v3.thaiwater.net/api/v1/thaiwater30/public/canal_waterlevel" TargetMode="External"/><Relationship Id="rId261" Type="http://schemas.openxmlformats.org/officeDocument/2006/relationships/hyperlink" Target="https://api-v3.thaiwater.net/api/v1/thaiwater30/public/canal_waterlevel" TargetMode="External"/><Relationship Id="rId5" Type="http://schemas.openxmlformats.org/officeDocument/2006/relationships/hyperlink" Target="https://api-v3.thaiwater.net/api/v1/thaiwater30/public/canal_waterlevel" TargetMode="External"/><Relationship Id="rId147" Type="http://schemas.openxmlformats.org/officeDocument/2006/relationships/hyperlink" Target="https://api-v3.thaiwater.net/api/v1/thaiwater30/public/canal_waterlevel" TargetMode="External"/><Relationship Id="rId268" Type="http://schemas.openxmlformats.org/officeDocument/2006/relationships/hyperlink" Target="https://api-v3.thaiwater.net/api/v1/thaiwater30/public/canal_waterlevel" TargetMode="External"/><Relationship Id="rId6" Type="http://schemas.openxmlformats.org/officeDocument/2006/relationships/hyperlink" Target="https://api-v3.thaiwater.net/api/v1/thaiwater30/public/canal_waterlevel" TargetMode="External"/><Relationship Id="rId146" Type="http://schemas.openxmlformats.org/officeDocument/2006/relationships/hyperlink" Target="https://api-v3.thaiwater.net/api/v1/thaiwater30/public/canal_waterlevel" TargetMode="External"/><Relationship Id="rId267" Type="http://schemas.openxmlformats.org/officeDocument/2006/relationships/hyperlink" Target="https://api-v3.thaiwater.net/api/v1/thaiwater30/public/canal_waterlevel" TargetMode="External"/><Relationship Id="rId7" Type="http://schemas.openxmlformats.org/officeDocument/2006/relationships/hyperlink" Target="https://api-v3.thaiwater.net/api/v1/thaiwater30/public/canal_waterlevel" TargetMode="External"/><Relationship Id="rId145" Type="http://schemas.openxmlformats.org/officeDocument/2006/relationships/hyperlink" Target="https://api-v3.thaiwater.net/api/v1/thaiwater30/public/canal_waterlevel" TargetMode="External"/><Relationship Id="rId266" Type="http://schemas.openxmlformats.org/officeDocument/2006/relationships/hyperlink" Target="https://api-v3.thaiwater.net/api/v1/thaiwater30/public/canal_waterlevel" TargetMode="External"/><Relationship Id="rId8" Type="http://schemas.openxmlformats.org/officeDocument/2006/relationships/hyperlink" Target="https://api-v3.thaiwater.net/api/v1/thaiwater30/public/canal_waterlevel" TargetMode="External"/><Relationship Id="rId144" Type="http://schemas.openxmlformats.org/officeDocument/2006/relationships/hyperlink" Target="https://api-v3.thaiwater.net/api/v1/thaiwater30/public/canal_waterlevel" TargetMode="External"/><Relationship Id="rId265" Type="http://schemas.openxmlformats.org/officeDocument/2006/relationships/hyperlink" Target="https://api-v3.thaiwater.net/api/v1/thaiwater30/public/canal_waterlevel" TargetMode="External"/><Relationship Id="rId73" Type="http://schemas.openxmlformats.org/officeDocument/2006/relationships/hyperlink" Target="https://api-v3.thaiwater.net/api/v1/thaiwater30/public/canal_waterlevel" TargetMode="External"/><Relationship Id="rId72" Type="http://schemas.openxmlformats.org/officeDocument/2006/relationships/hyperlink" Target="https://api-v3.thaiwater.net/api/v1/thaiwater30/public/canal_waterlevel" TargetMode="External"/><Relationship Id="rId75" Type="http://schemas.openxmlformats.org/officeDocument/2006/relationships/hyperlink" Target="https://api-v3.thaiwater.net/api/v1/thaiwater30/public/canal_waterlevel" TargetMode="External"/><Relationship Id="rId74" Type="http://schemas.openxmlformats.org/officeDocument/2006/relationships/hyperlink" Target="https://api-v3.thaiwater.net/api/v1/thaiwater30/public/canal_waterlevel" TargetMode="External"/><Relationship Id="rId77" Type="http://schemas.openxmlformats.org/officeDocument/2006/relationships/hyperlink" Target="https://api-v3.thaiwater.net/api/v1/thaiwater30/public/canal_waterlevel" TargetMode="External"/><Relationship Id="rId260" Type="http://schemas.openxmlformats.org/officeDocument/2006/relationships/hyperlink" Target="https://api-v3.thaiwater.net/api/v1/thaiwater30/public/canal_waterlevel" TargetMode="External"/><Relationship Id="rId76" Type="http://schemas.openxmlformats.org/officeDocument/2006/relationships/hyperlink" Target="https://api-v3.thaiwater.net/api/v1/thaiwater30/public/canal_waterlevel" TargetMode="External"/><Relationship Id="rId79" Type="http://schemas.openxmlformats.org/officeDocument/2006/relationships/hyperlink" Target="https://api-v3.thaiwater.net/api/v1/thaiwater30/public/canal_waterlevel" TargetMode="External"/><Relationship Id="rId78" Type="http://schemas.openxmlformats.org/officeDocument/2006/relationships/hyperlink" Target="https://api-v3.thaiwater.net/api/v1/thaiwater30/public/canal_waterlevel" TargetMode="External"/><Relationship Id="rId71" Type="http://schemas.openxmlformats.org/officeDocument/2006/relationships/hyperlink" Target="https://api-v3.thaiwater.net/api/v1/thaiwater30/public/canal_waterlevel" TargetMode="External"/><Relationship Id="rId70" Type="http://schemas.openxmlformats.org/officeDocument/2006/relationships/hyperlink" Target="https://api-v3.thaiwater.net/api/v1/thaiwater30/public/canal_waterlevel" TargetMode="External"/><Relationship Id="rId139" Type="http://schemas.openxmlformats.org/officeDocument/2006/relationships/hyperlink" Target="https://api-v3.thaiwater.net/api/v1/thaiwater30/public/canal_waterlevel" TargetMode="External"/><Relationship Id="rId138" Type="http://schemas.openxmlformats.org/officeDocument/2006/relationships/hyperlink" Target="https://api-v3.thaiwater.net/api/v1/thaiwater30/public/canal_waterlevel" TargetMode="External"/><Relationship Id="rId259" Type="http://schemas.openxmlformats.org/officeDocument/2006/relationships/hyperlink" Target="https://api-v3.thaiwater.net/api/v1/thaiwater30/public/canal_waterlevel" TargetMode="External"/><Relationship Id="rId137" Type="http://schemas.openxmlformats.org/officeDocument/2006/relationships/hyperlink" Target="https://api-v3.thaiwater.net/api/v1/thaiwater30/public/canal_waterlevel" TargetMode="External"/><Relationship Id="rId258" Type="http://schemas.openxmlformats.org/officeDocument/2006/relationships/hyperlink" Target="https://api-v3.thaiwater.net/api/v1/thaiwater30/public/canal_waterlevel" TargetMode="External"/><Relationship Id="rId132" Type="http://schemas.openxmlformats.org/officeDocument/2006/relationships/hyperlink" Target="https://api-v3.thaiwater.net/api/v1/thaiwater30/public/canal_waterlevel" TargetMode="External"/><Relationship Id="rId253" Type="http://schemas.openxmlformats.org/officeDocument/2006/relationships/hyperlink" Target="https://api-v3.thaiwater.net/api/v1/thaiwater30/public/canal_waterlevel" TargetMode="External"/><Relationship Id="rId131" Type="http://schemas.openxmlformats.org/officeDocument/2006/relationships/hyperlink" Target="https://api-v3.thaiwater.net/api/v1/thaiwater30/public/canal_waterlevel" TargetMode="External"/><Relationship Id="rId252" Type="http://schemas.openxmlformats.org/officeDocument/2006/relationships/hyperlink" Target="https://api-v3.thaiwater.net/api/v1/thaiwater30/public/canal_waterlevel" TargetMode="External"/><Relationship Id="rId130" Type="http://schemas.openxmlformats.org/officeDocument/2006/relationships/hyperlink" Target="https://api-v3.thaiwater.net/api/v1/thaiwater30/public/canal_waterlevel" TargetMode="External"/><Relationship Id="rId251" Type="http://schemas.openxmlformats.org/officeDocument/2006/relationships/hyperlink" Target="https://api-v3.thaiwater.net/api/v1/thaiwater30/public/canal_waterlevel" TargetMode="External"/><Relationship Id="rId250" Type="http://schemas.openxmlformats.org/officeDocument/2006/relationships/hyperlink" Target="https://api-v3.thaiwater.net/api/v1/thaiwater30/public/canal_waterlevel" TargetMode="External"/><Relationship Id="rId136" Type="http://schemas.openxmlformats.org/officeDocument/2006/relationships/hyperlink" Target="https://api-v3.thaiwater.net/api/v1/thaiwater30/public/canal_waterlevel" TargetMode="External"/><Relationship Id="rId257" Type="http://schemas.openxmlformats.org/officeDocument/2006/relationships/hyperlink" Target="https://api-v3.thaiwater.net/api/v1/thaiwater30/public/canal_waterlevel" TargetMode="External"/><Relationship Id="rId135" Type="http://schemas.openxmlformats.org/officeDocument/2006/relationships/hyperlink" Target="https://api-v3.thaiwater.net/api/v1/thaiwater30/public/canal_waterlevel" TargetMode="External"/><Relationship Id="rId256" Type="http://schemas.openxmlformats.org/officeDocument/2006/relationships/hyperlink" Target="https://api-v3.thaiwater.net/api/v1/thaiwater30/public/canal_waterlevel" TargetMode="External"/><Relationship Id="rId134" Type="http://schemas.openxmlformats.org/officeDocument/2006/relationships/hyperlink" Target="https://api-v3.thaiwater.net/api/v1/thaiwater30/public/canal_waterlevel" TargetMode="External"/><Relationship Id="rId255" Type="http://schemas.openxmlformats.org/officeDocument/2006/relationships/hyperlink" Target="https://api-v3.thaiwater.net/api/v1/thaiwater30/public/canal_waterlevel" TargetMode="External"/><Relationship Id="rId133" Type="http://schemas.openxmlformats.org/officeDocument/2006/relationships/hyperlink" Target="https://api-v3.thaiwater.net/api/v1/thaiwater30/public/canal_waterlevel" TargetMode="External"/><Relationship Id="rId254" Type="http://schemas.openxmlformats.org/officeDocument/2006/relationships/hyperlink" Target="https://api-v3.thaiwater.net/api/v1/thaiwater30/public/canal_waterlevel" TargetMode="External"/><Relationship Id="rId62" Type="http://schemas.openxmlformats.org/officeDocument/2006/relationships/hyperlink" Target="https://api-v3.thaiwater.net/api/v1/thaiwater30/public/canal_waterlevel" TargetMode="External"/><Relationship Id="rId61" Type="http://schemas.openxmlformats.org/officeDocument/2006/relationships/hyperlink" Target="https://api-v3.thaiwater.net/api/v1/thaiwater30/public/canal_waterlevel" TargetMode="External"/><Relationship Id="rId64" Type="http://schemas.openxmlformats.org/officeDocument/2006/relationships/hyperlink" Target="https://api-v3.thaiwater.net/api/v1/thaiwater30/public/canal_waterlevel" TargetMode="External"/><Relationship Id="rId63" Type="http://schemas.openxmlformats.org/officeDocument/2006/relationships/hyperlink" Target="https://api-v3.thaiwater.net/api/v1/thaiwater30/public/canal_waterlevel" TargetMode="External"/><Relationship Id="rId66" Type="http://schemas.openxmlformats.org/officeDocument/2006/relationships/hyperlink" Target="https://api-v3.thaiwater.net/api/v1/thaiwater30/public/canal_waterlevel" TargetMode="External"/><Relationship Id="rId172" Type="http://schemas.openxmlformats.org/officeDocument/2006/relationships/hyperlink" Target="https://api-v3.thaiwater.net/api/v1/thaiwater30/public/canal_waterlevel" TargetMode="External"/><Relationship Id="rId65" Type="http://schemas.openxmlformats.org/officeDocument/2006/relationships/hyperlink" Target="https://api-v3.thaiwater.net/api/v1/thaiwater30/public/canal_waterlevel" TargetMode="External"/><Relationship Id="rId171" Type="http://schemas.openxmlformats.org/officeDocument/2006/relationships/hyperlink" Target="https://api-v3.thaiwater.net/api/v1/thaiwater30/public/canal_waterlevel" TargetMode="External"/><Relationship Id="rId68" Type="http://schemas.openxmlformats.org/officeDocument/2006/relationships/hyperlink" Target="https://api-v3.thaiwater.net/api/v1/thaiwater30/public/canal_waterlevel" TargetMode="External"/><Relationship Id="rId170" Type="http://schemas.openxmlformats.org/officeDocument/2006/relationships/hyperlink" Target="https://api-v3.thaiwater.net/api/v1/thaiwater30/public/canal_waterlevel" TargetMode="External"/><Relationship Id="rId67" Type="http://schemas.openxmlformats.org/officeDocument/2006/relationships/hyperlink" Target="https://api-v3.thaiwater.net/api/v1/thaiwater30/public/canal_waterlevel" TargetMode="External"/><Relationship Id="rId60" Type="http://schemas.openxmlformats.org/officeDocument/2006/relationships/hyperlink" Target="https://api-v3.thaiwater.net/api/v1/thaiwater30/public/canal_waterlevel" TargetMode="External"/><Relationship Id="rId165" Type="http://schemas.openxmlformats.org/officeDocument/2006/relationships/hyperlink" Target="https://api-v3.thaiwater.net/api/v1/thaiwater30/public/canal_waterlevel" TargetMode="External"/><Relationship Id="rId69" Type="http://schemas.openxmlformats.org/officeDocument/2006/relationships/hyperlink" Target="https://api-v3.thaiwater.net/api/v1/thaiwater30/public/canal_waterlevel" TargetMode="External"/><Relationship Id="rId164" Type="http://schemas.openxmlformats.org/officeDocument/2006/relationships/hyperlink" Target="https://api-v3.thaiwater.net/api/v1/thaiwater30/public/canal_waterlevel" TargetMode="External"/><Relationship Id="rId285" Type="http://schemas.openxmlformats.org/officeDocument/2006/relationships/vmlDrawing" Target="../drawings/vmlDrawing1.vml"/><Relationship Id="rId163" Type="http://schemas.openxmlformats.org/officeDocument/2006/relationships/hyperlink" Target="https://api-v3.thaiwater.net/api/v1/thaiwater30/public/canal_waterlevel" TargetMode="External"/><Relationship Id="rId284" Type="http://schemas.openxmlformats.org/officeDocument/2006/relationships/drawing" Target="../drawings/drawing4.xml"/><Relationship Id="rId162" Type="http://schemas.openxmlformats.org/officeDocument/2006/relationships/hyperlink" Target="https://api-v3.thaiwater.net/api/v1/thaiwater30/public/canal_waterlevel" TargetMode="External"/><Relationship Id="rId283" Type="http://schemas.openxmlformats.org/officeDocument/2006/relationships/hyperlink" Target="https://api-v3.thaiwater.net/api/v1/thaiwater30/public/canal_waterlevel" TargetMode="External"/><Relationship Id="rId169" Type="http://schemas.openxmlformats.org/officeDocument/2006/relationships/hyperlink" Target="https://api-v3.thaiwater.net/api/v1/thaiwater30/public/canal_waterlevel" TargetMode="External"/><Relationship Id="rId168" Type="http://schemas.openxmlformats.org/officeDocument/2006/relationships/hyperlink" Target="https://api-v3.thaiwater.net/api/v1/thaiwater30/public/canal_waterlevel" TargetMode="External"/><Relationship Id="rId167" Type="http://schemas.openxmlformats.org/officeDocument/2006/relationships/hyperlink" Target="https://api-v3.thaiwater.net/api/v1/thaiwater30/public/canal_waterlevel" TargetMode="External"/><Relationship Id="rId166" Type="http://schemas.openxmlformats.org/officeDocument/2006/relationships/hyperlink" Target="https://api-v3.thaiwater.net/api/v1/thaiwater30/public/canal_waterlevel" TargetMode="External"/><Relationship Id="rId51" Type="http://schemas.openxmlformats.org/officeDocument/2006/relationships/hyperlink" Target="https://api-v3.thaiwater.net/api/v1/thaiwater30/public/canal_waterlevel" TargetMode="External"/><Relationship Id="rId50" Type="http://schemas.openxmlformats.org/officeDocument/2006/relationships/hyperlink" Target="https://api-v3.thaiwater.net/api/v1/thaiwater30/public/canal_waterlevel" TargetMode="External"/><Relationship Id="rId53" Type="http://schemas.openxmlformats.org/officeDocument/2006/relationships/hyperlink" Target="https://api-v3.thaiwater.net/api/v1/thaiwater30/public/canal_waterlevel" TargetMode="External"/><Relationship Id="rId52" Type="http://schemas.openxmlformats.org/officeDocument/2006/relationships/hyperlink" Target="https://api-v3.thaiwater.net/api/v1/thaiwater30/public/canal_waterlevel" TargetMode="External"/><Relationship Id="rId55" Type="http://schemas.openxmlformats.org/officeDocument/2006/relationships/hyperlink" Target="https://api-v3.thaiwater.net/api/v1/thaiwater30/public/canal_waterlevel" TargetMode="External"/><Relationship Id="rId161" Type="http://schemas.openxmlformats.org/officeDocument/2006/relationships/hyperlink" Target="https://api-v3.thaiwater.net/api/v1/thaiwater30/public/canal_waterlevel" TargetMode="External"/><Relationship Id="rId282" Type="http://schemas.openxmlformats.org/officeDocument/2006/relationships/hyperlink" Target="https://api-v3.thaiwater.net/api/v1/thaiwater30/public/canal_waterlevel" TargetMode="External"/><Relationship Id="rId54" Type="http://schemas.openxmlformats.org/officeDocument/2006/relationships/hyperlink" Target="https://api-v3.thaiwater.net/api/v1/thaiwater30/public/canal_waterlevel" TargetMode="External"/><Relationship Id="rId160" Type="http://schemas.openxmlformats.org/officeDocument/2006/relationships/hyperlink" Target="https://api-v3.thaiwater.net/api/v1/thaiwater30/public/canal_waterlevel" TargetMode="External"/><Relationship Id="rId281" Type="http://schemas.openxmlformats.org/officeDocument/2006/relationships/hyperlink" Target="https://api-v3.thaiwater.net/api/v1/thaiwater30/public/canal_waterlevel" TargetMode="External"/><Relationship Id="rId57" Type="http://schemas.openxmlformats.org/officeDocument/2006/relationships/hyperlink" Target="https://api-v3.thaiwater.net/api/v1/thaiwater30/public/canal_waterlevel" TargetMode="External"/><Relationship Id="rId280" Type="http://schemas.openxmlformats.org/officeDocument/2006/relationships/hyperlink" Target="https://api-v3.thaiwater.net/api/v1/thaiwater30/public/canal_waterlevel" TargetMode="External"/><Relationship Id="rId56" Type="http://schemas.openxmlformats.org/officeDocument/2006/relationships/hyperlink" Target="https://api-v3.thaiwater.net/api/v1/thaiwater30/public/canal_waterlevel" TargetMode="External"/><Relationship Id="rId159" Type="http://schemas.openxmlformats.org/officeDocument/2006/relationships/hyperlink" Target="https://api-v3.thaiwater.net/api/v1/thaiwater30/public/canal_waterlevel" TargetMode="External"/><Relationship Id="rId59" Type="http://schemas.openxmlformats.org/officeDocument/2006/relationships/hyperlink" Target="https://api-v3.thaiwater.net/api/v1/thaiwater30/public/canal_waterlevel" TargetMode="External"/><Relationship Id="rId154" Type="http://schemas.openxmlformats.org/officeDocument/2006/relationships/hyperlink" Target="https://api-v3.thaiwater.net/api/v1/thaiwater30/public/canal_waterlevel" TargetMode="External"/><Relationship Id="rId275" Type="http://schemas.openxmlformats.org/officeDocument/2006/relationships/hyperlink" Target="https://api-v3.thaiwater.net/api/v1/thaiwater30/public/canal_waterlevel" TargetMode="External"/><Relationship Id="rId58" Type="http://schemas.openxmlformats.org/officeDocument/2006/relationships/hyperlink" Target="https://api-v3.thaiwater.net/api/v1/thaiwater30/public/canal_waterlevel" TargetMode="External"/><Relationship Id="rId153" Type="http://schemas.openxmlformats.org/officeDocument/2006/relationships/hyperlink" Target="https://api-v3.thaiwater.net/api/v1/thaiwater30/public/canal_waterlevel" TargetMode="External"/><Relationship Id="rId274" Type="http://schemas.openxmlformats.org/officeDocument/2006/relationships/hyperlink" Target="https://api-v3.thaiwater.net/api/v1/thaiwater30/public/canal_waterlevel" TargetMode="External"/><Relationship Id="rId152" Type="http://schemas.openxmlformats.org/officeDocument/2006/relationships/hyperlink" Target="https://api-v3.thaiwater.net/api/v1/thaiwater30/public/canal_waterlevel" TargetMode="External"/><Relationship Id="rId273" Type="http://schemas.openxmlformats.org/officeDocument/2006/relationships/hyperlink" Target="https://api-v3.thaiwater.net/api/v1/thaiwater30/public/canal_waterlevel" TargetMode="External"/><Relationship Id="rId151" Type="http://schemas.openxmlformats.org/officeDocument/2006/relationships/hyperlink" Target="https://api-v3.thaiwater.net/api/v1/thaiwater30/public/canal_waterlevel" TargetMode="External"/><Relationship Id="rId272" Type="http://schemas.openxmlformats.org/officeDocument/2006/relationships/hyperlink" Target="https://api-v3.thaiwater.net/api/v1/thaiwater30/public/canal_waterlevel" TargetMode="External"/><Relationship Id="rId158" Type="http://schemas.openxmlformats.org/officeDocument/2006/relationships/hyperlink" Target="https://api-v3.thaiwater.net/api/v1/thaiwater30/public/canal_waterlevel" TargetMode="External"/><Relationship Id="rId279" Type="http://schemas.openxmlformats.org/officeDocument/2006/relationships/hyperlink" Target="https://api-v3.thaiwater.net/api/v1/thaiwater30/public/canal_waterlevel" TargetMode="External"/><Relationship Id="rId157" Type="http://schemas.openxmlformats.org/officeDocument/2006/relationships/hyperlink" Target="https://api-v3.thaiwater.net/api/v1/thaiwater30/public/canal_waterlevel" TargetMode="External"/><Relationship Id="rId278" Type="http://schemas.openxmlformats.org/officeDocument/2006/relationships/hyperlink" Target="https://api-v3.thaiwater.net/api/v1/thaiwater30/public/canal_waterlevel" TargetMode="External"/><Relationship Id="rId156" Type="http://schemas.openxmlformats.org/officeDocument/2006/relationships/hyperlink" Target="https://api-v3.thaiwater.net/api/v1/thaiwater30/public/canal_waterlevel" TargetMode="External"/><Relationship Id="rId277" Type="http://schemas.openxmlformats.org/officeDocument/2006/relationships/hyperlink" Target="https://api-v3.thaiwater.net/api/v1/thaiwater30/public/canal_waterlevel" TargetMode="External"/><Relationship Id="rId155" Type="http://schemas.openxmlformats.org/officeDocument/2006/relationships/hyperlink" Target="https://api-v3.thaiwater.net/api/v1/thaiwater30/public/canal_waterlevel" TargetMode="External"/><Relationship Id="rId276" Type="http://schemas.openxmlformats.org/officeDocument/2006/relationships/hyperlink" Target="https://api-v3.thaiwater.net/api/v1/thaiwater30/public/canal_waterlevel" TargetMode="External"/><Relationship Id="rId107" Type="http://schemas.openxmlformats.org/officeDocument/2006/relationships/hyperlink" Target="https://api-v3.thaiwater.net/api/v1/thaiwater30/public/canal_waterlevel" TargetMode="External"/><Relationship Id="rId228" Type="http://schemas.openxmlformats.org/officeDocument/2006/relationships/hyperlink" Target="https://api-v3.thaiwater.net/api/v1/thaiwater30/public/canal_waterlevel" TargetMode="External"/><Relationship Id="rId106" Type="http://schemas.openxmlformats.org/officeDocument/2006/relationships/hyperlink" Target="https://api-v3.thaiwater.net/api/v1/thaiwater30/public/canal_waterlevel" TargetMode="External"/><Relationship Id="rId227" Type="http://schemas.openxmlformats.org/officeDocument/2006/relationships/hyperlink" Target="https://api-v3.thaiwater.net/api/v1/thaiwater30/public/canal_waterlevel" TargetMode="External"/><Relationship Id="rId105" Type="http://schemas.openxmlformats.org/officeDocument/2006/relationships/hyperlink" Target="https://api-v3.thaiwater.net/api/v1/thaiwater30/public/canal_waterlevel" TargetMode="External"/><Relationship Id="rId226" Type="http://schemas.openxmlformats.org/officeDocument/2006/relationships/hyperlink" Target="https://api-v3.thaiwater.net/api/v1/thaiwater30/public/canal_waterlevel" TargetMode="External"/><Relationship Id="rId104" Type="http://schemas.openxmlformats.org/officeDocument/2006/relationships/hyperlink" Target="https://api-v3.thaiwater.net/api/v1/thaiwater30/public/canal_waterlevel" TargetMode="External"/><Relationship Id="rId225" Type="http://schemas.openxmlformats.org/officeDocument/2006/relationships/hyperlink" Target="https://api-v3.thaiwater.net/api/v1/thaiwater30/public/canal_waterlevel" TargetMode="External"/><Relationship Id="rId109" Type="http://schemas.openxmlformats.org/officeDocument/2006/relationships/hyperlink" Target="https://api-v3.thaiwater.net/api/v1/thaiwater30/public/canal_waterlevel" TargetMode="External"/><Relationship Id="rId108" Type="http://schemas.openxmlformats.org/officeDocument/2006/relationships/hyperlink" Target="https://api-v3.thaiwater.net/api/v1/thaiwater30/public/canal_waterlevel" TargetMode="External"/><Relationship Id="rId229" Type="http://schemas.openxmlformats.org/officeDocument/2006/relationships/hyperlink" Target="https://api-v3.thaiwater.net/api/v1/thaiwater30/public/canal_waterlevel" TargetMode="External"/><Relationship Id="rId220" Type="http://schemas.openxmlformats.org/officeDocument/2006/relationships/hyperlink" Target="https://api-v3.thaiwater.net/api/v1/thaiwater30/public/canal_waterlevel" TargetMode="External"/><Relationship Id="rId103" Type="http://schemas.openxmlformats.org/officeDocument/2006/relationships/hyperlink" Target="https://api-v3.thaiwater.net/api/v1/thaiwater30/public/canal_waterlevel" TargetMode="External"/><Relationship Id="rId224" Type="http://schemas.openxmlformats.org/officeDocument/2006/relationships/hyperlink" Target="https://api-v3.thaiwater.net/api/v1/thaiwater30/public/canal_waterlevel" TargetMode="External"/><Relationship Id="rId102" Type="http://schemas.openxmlformats.org/officeDocument/2006/relationships/hyperlink" Target="https://api-v3.thaiwater.net/api/v1/thaiwater30/public/canal_waterlevel" TargetMode="External"/><Relationship Id="rId223" Type="http://schemas.openxmlformats.org/officeDocument/2006/relationships/hyperlink" Target="https://api-v3.thaiwater.net/api/v1/thaiwater30/public/canal_waterlevel" TargetMode="External"/><Relationship Id="rId101" Type="http://schemas.openxmlformats.org/officeDocument/2006/relationships/hyperlink" Target="https://api-v3.thaiwater.net/api/v1/thaiwater30/public/canal_waterlevel" TargetMode="External"/><Relationship Id="rId222" Type="http://schemas.openxmlformats.org/officeDocument/2006/relationships/hyperlink" Target="https://api-v3.thaiwater.net/api/v1/thaiwater30/public/canal_waterlevel" TargetMode="External"/><Relationship Id="rId100" Type="http://schemas.openxmlformats.org/officeDocument/2006/relationships/hyperlink" Target="https://api-v3.thaiwater.net/api/v1/thaiwater30/public/canal_waterlevel" TargetMode="External"/><Relationship Id="rId221" Type="http://schemas.openxmlformats.org/officeDocument/2006/relationships/hyperlink" Target="https://api-v3.thaiwater.net/api/v1/thaiwater30/public/canal_waterlevel" TargetMode="External"/><Relationship Id="rId217" Type="http://schemas.openxmlformats.org/officeDocument/2006/relationships/hyperlink" Target="https://api-v3.thaiwater.net/api/v1/thaiwater30/public/canal_waterlevel" TargetMode="External"/><Relationship Id="rId216" Type="http://schemas.openxmlformats.org/officeDocument/2006/relationships/hyperlink" Target="https://api-v3.thaiwater.net/api/v1/thaiwater30/public/canal_waterlevel" TargetMode="External"/><Relationship Id="rId215" Type="http://schemas.openxmlformats.org/officeDocument/2006/relationships/hyperlink" Target="https://api-v3.thaiwater.net/api/v1/thaiwater30/public/canal_waterlevel" TargetMode="External"/><Relationship Id="rId214" Type="http://schemas.openxmlformats.org/officeDocument/2006/relationships/hyperlink" Target="https://api-v3.thaiwater.net/api/v1/thaiwater30/public/canal_waterlevel" TargetMode="External"/><Relationship Id="rId219" Type="http://schemas.openxmlformats.org/officeDocument/2006/relationships/hyperlink" Target="https://api-v3.thaiwater.net/api/v1/thaiwater30/public/canal_waterlevel" TargetMode="External"/><Relationship Id="rId218" Type="http://schemas.openxmlformats.org/officeDocument/2006/relationships/hyperlink" Target="https://api-v3.thaiwater.net/api/v1/thaiwater30/public/canal_waterlevel" TargetMode="External"/><Relationship Id="rId213" Type="http://schemas.openxmlformats.org/officeDocument/2006/relationships/hyperlink" Target="https://api-v3.thaiwater.net/api/v1/thaiwater30/public/canal_waterlevel" TargetMode="External"/><Relationship Id="rId212" Type="http://schemas.openxmlformats.org/officeDocument/2006/relationships/hyperlink" Target="https://api-v3.thaiwater.net/api/v1/thaiwater30/public/canal_waterlevel" TargetMode="External"/><Relationship Id="rId211" Type="http://schemas.openxmlformats.org/officeDocument/2006/relationships/hyperlink" Target="https://api-v3.thaiwater.net/api/v1/thaiwater30/public/canal_waterlevel" TargetMode="External"/><Relationship Id="rId210" Type="http://schemas.openxmlformats.org/officeDocument/2006/relationships/hyperlink" Target="https://api-v3.thaiwater.net/api/v1/thaiwater30/public/canal_waterlevel" TargetMode="External"/><Relationship Id="rId129" Type="http://schemas.openxmlformats.org/officeDocument/2006/relationships/hyperlink" Target="https://api-v3.thaiwater.net/api/v1/thaiwater30/public/canal_waterlevel" TargetMode="External"/><Relationship Id="rId128" Type="http://schemas.openxmlformats.org/officeDocument/2006/relationships/hyperlink" Target="https://api-v3.thaiwater.net/api/v1/thaiwater30/public/canal_waterlevel" TargetMode="External"/><Relationship Id="rId249" Type="http://schemas.openxmlformats.org/officeDocument/2006/relationships/hyperlink" Target="https://api-v3.thaiwater.net/api/v1/thaiwater30/public/canal_waterlevel" TargetMode="External"/><Relationship Id="rId127" Type="http://schemas.openxmlformats.org/officeDocument/2006/relationships/hyperlink" Target="https://api-v3.thaiwater.net/api/v1/thaiwater30/public/canal_waterlevel" TargetMode="External"/><Relationship Id="rId248" Type="http://schemas.openxmlformats.org/officeDocument/2006/relationships/hyperlink" Target="https://api-v3.thaiwater.net/api/v1/thaiwater30/public/canal_waterlevel" TargetMode="External"/><Relationship Id="rId126" Type="http://schemas.openxmlformats.org/officeDocument/2006/relationships/hyperlink" Target="https://api-v3.thaiwater.net/api/v1/thaiwater30/public/canal_waterlevel" TargetMode="External"/><Relationship Id="rId247" Type="http://schemas.openxmlformats.org/officeDocument/2006/relationships/hyperlink" Target="https://api-v3.thaiwater.net/api/v1/thaiwater30/public/canal_waterlevel" TargetMode="External"/><Relationship Id="rId121" Type="http://schemas.openxmlformats.org/officeDocument/2006/relationships/hyperlink" Target="https://api-v3.thaiwater.net/api/v1/thaiwater30/public/canal_waterlevel" TargetMode="External"/><Relationship Id="rId242" Type="http://schemas.openxmlformats.org/officeDocument/2006/relationships/hyperlink" Target="https://api-v3.thaiwater.net/api/v1/thaiwater30/public/canal_waterlevel" TargetMode="External"/><Relationship Id="rId120" Type="http://schemas.openxmlformats.org/officeDocument/2006/relationships/hyperlink" Target="https://api-v3.thaiwater.net/api/v1/thaiwater30/public/canal_waterlevel" TargetMode="External"/><Relationship Id="rId241" Type="http://schemas.openxmlformats.org/officeDocument/2006/relationships/hyperlink" Target="https://api-v3.thaiwater.net/api/v1/thaiwater30/public/canal_waterlevel" TargetMode="External"/><Relationship Id="rId240" Type="http://schemas.openxmlformats.org/officeDocument/2006/relationships/hyperlink" Target="https://api-v3.thaiwater.net/api/v1/thaiwater30/public/canal_waterlevel" TargetMode="External"/><Relationship Id="rId125" Type="http://schemas.openxmlformats.org/officeDocument/2006/relationships/hyperlink" Target="https://api-v3.thaiwater.net/api/v1/thaiwater30/public/canal_waterlevel" TargetMode="External"/><Relationship Id="rId246" Type="http://schemas.openxmlformats.org/officeDocument/2006/relationships/hyperlink" Target="https://api-v3.thaiwater.net/api/v1/thaiwater30/public/canal_waterlevel" TargetMode="External"/><Relationship Id="rId124" Type="http://schemas.openxmlformats.org/officeDocument/2006/relationships/hyperlink" Target="https://api-v3.thaiwater.net/api/v1/thaiwater30/public/canal_waterlevel" TargetMode="External"/><Relationship Id="rId245" Type="http://schemas.openxmlformats.org/officeDocument/2006/relationships/hyperlink" Target="https://api-v3.thaiwater.net/api/v1/thaiwater30/public/canal_waterlevel" TargetMode="External"/><Relationship Id="rId123" Type="http://schemas.openxmlformats.org/officeDocument/2006/relationships/hyperlink" Target="https://api-v3.thaiwater.net/api/v1/thaiwater30/public/canal_waterlevel" TargetMode="External"/><Relationship Id="rId244" Type="http://schemas.openxmlformats.org/officeDocument/2006/relationships/hyperlink" Target="https://api-v3.thaiwater.net/api/v1/thaiwater30/public/canal_waterlevel" TargetMode="External"/><Relationship Id="rId122" Type="http://schemas.openxmlformats.org/officeDocument/2006/relationships/hyperlink" Target="https://api-v3.thaiwater.net/api/v1/thaiwater30/public/canal_waterlevel" TargetMode="External"/><Relationship Id="rId243" Type="http://schemas.openxmlformats.org/officeDocument/2006/relationships/hyperlink" Target="https://api-v3.thaiwater.net/api/v1/thaiwater30/public/canal_waterlevel" TargetMode="External"/><Relationship Id="rId95" Type="http://schemas.openxmlformats.org/officeDocument/2006/relationships/hyperlink" Target="https://api-v3.thaiwater.net/api/v1/thaiwater30/public/canal_waterlevel" TargetMode="External"/><Relationship Id="rId94" Type="http://schemas.openxmlformats.org/officeDocument/2006/relationships/hyperlink" Target="https://api-v3.thaiwater.net/api/v1/thaiwater30/public/canal_waterlevel" TargetMode="External"/><Relationship Id="rId97" Type="http://schemas.openxmlformats.org/officeDocument/2006/relationships/hyperlink" Target="https://api-v3.thaiwater.net/api/v1/thaiwater30/public/canal_waterlevel" TargetMode="External"/><Relationship Id="rId96" Type="http://schemas.openxmlformats.org/officeDocument/2006/relationships/hyperlink" Target="https://api-v3.thaiwater.net/api/v1/thaiwater30/public/canal_waterlevel" TargetMode="External"/><Relationship Id="rId99" Type="http://schemas.openxmlformats.org/officeDocument/2006/relationships/hyperlink" Target="https://api-v3.thaiwater.net/api/v1/thaiwater30/public/canal_waterlevel" TargetMode="External"/><Relationship Id="rId98" Type="http://schemas.openxmlformats.org/officeDocument/2006/relationships/hyperlink" Target="https://api-v3.thaiwater.net/api/v1/thaiwater30/public/canal_waterlevel" TargetMode="External"/><Relationship Id="rId91" Type="http://schemas.openxmlformats.org/officeDocument/2006/relationships/hyperlink" Target="https://api-v3.thaiwater.net/api/v1/thaiwater30/public/canal_waterlevel" TargetMode="External"/><Relationship Id="rId90" Type="http://schemas.openxmlformats.org/officeDocument/2006/relationships/hyperlink" Target="https://api-v3.thaiwater.net/api/v1/thaiwater30/public/canal_waterlevel" TargetMode="External"/><Relationship Id="rId93" Type="http://schemas.openxmlformats.org/officeDocument/2006/relationships/hyperlink" Target="https://api-v3.thaiwater.net/api/v1/thaiwater30/public/canal_waterlevel" TargetMode="External"/><Relationship Id="rId92" Type="http://schemas.openxmlformats.org/officeDocument/2006/relationships/hyperlink" Target="https://api-v3.thaiwater.net/api/v1/thaiwater30/public/canal_waterlevel" TargetMode="External"/><Relationship Id="rId118" Type="http://schemas.openxmlformats.org/officeDocument/2006/relationships/hyperlink" Target="https://api-v3.thaiwater.net/api/v1/thaiwater30/public/canal_waterlevel" TargetMode="External"/><Relationship Id="rId239" Type="http://schemas.openxmlformats.org/officeDocument/2006/relationships/hyperlink" Target="https://api-v3.thaiwater.net/api/v1/thaiwater30/public/canal_waterlevel" TargetMode="External"/><Relationship Id="rId117" Type="http://schemas.openxmlformats.org/officeDocument/2006/relationships/hyperlink" Target="https://api-v3.thaiwater.net/api/v1/thaiwater30/public/canal_waterlevel" TargetMode="External"/><Relationship Id="rId238" Type="http://schemas.openxmlformats.org/officeDocument/2006/relationships/hyperlink" Target="https://api-v3.thaiwater.net/api/v1/thaiwater30/public/canal_waterlevel" TargetMode="External"/><Relationship Id="rId116" Type="http://schemas.openxmlformats.org/officeDocument/2006/relationships/hyperlink" Target="https://api-v3.thaiwater.net/api/v1/thaiwater30/public/canal_waterlevel" TargetMode="External"/><Relationship Id="rId237" Type="http://schemas.openxmlformats.org/officeDocument/2006/relationships/hyperlink" Target="https://api-v3.thaiwater.net/api/v1/thaiwater30/public/canal_waterlevel" TargetMode="External"/><Relationship Id="rId115" Type="http://schemas.openxmlformats.org/officeDocument/2006/relationships/hyperlink" Target="https://api-v3.thaiwater.net/api/v1/thaiwater30/public/canal_waterlevel" TargetMode="External"/><Relationship Id="rId236" Type="http://schemas.openxmlformats.org/officeDocument/2006/relationships/hyperlink" Target="https://api-v3.thaiwater.net/api/v1/thaiwater30/public/canal_waterlevel" TargetMode="External"/><Relationship Id="rId119" Type="http://schemas.openxmlformats.org/officeDocument/2006/relationships/hyperlink" Target="https://api-v3.thaiwater.net/api/v1/thaiwater30/public/canal_waterlevel" TargetMode="External"/><Relationship Id="rId110" Type="http://schemas.openxmlformats.org/officeDocument/2006/relationships/hyperlink" Target="https://api-v3.thaiwater.net/api/v1/thaiwater30/public/canal_waterlevel" TargetMode="External"/><Relationship Id="rId231" Type="http://schemas.openxmlformats.org/officeDocument/2006/relationships/hyperlink" Target="https://api-v3.thaiwater.net/api/v1/thaiwater30/public/canal_waterlevel" TargetMode="External"/><Relationship Id="rId230" Type="http://schemas.openxmlformats.org/officeDocument/2006/relationships/hyperlink" Target="https://api-v3.thaiwater.net/api/v1/thaiwater30/public/canal_waterlevel" TargetMode="External"/><Relationship Id="rId114" Type="http://schemas.openxmlformats.org/officeDocument/2006/relationships/hyperlink" Target="https://api-v3.thaiwater.net/api/v1/thaiwater30/public/canal_waterlevel" TargetMode="External"/><Relationship Id="rId235" Type="http://schemas.openxmlformats.org/officeDocument/2006/relationships/hyperlink" Target="https://api-v3.thaiwater.net/api/v1/thaiwater30/public/canal_waterlevel" TargetMode="External"/><Relationship Id="rId113" Type="http://schemas.openxmlformats.org/officeDocument/2006/relationships/hyperlink" Target="https://api-v3.thaiwater.net/api/v1/thaiwater30/public/canal_waterlevel" TargetMode="External"/><Relationship Id="rId234" Type="http://schemas.openxmlformats.org/officeDocument/2006/relationships/hyperlink" Target="https://api-v3.thaiwater.net/api/v1/thaiwater30/public/canal_waterlevel" TargetMode="External"/><Relationship Id="rId112" Type="http://schemas.openxmlformats.org/officeDocument/2006/relationships/hyperlink" Target="https://api-v3.thaiwater.net/api/v1/thaiwater30/public/canal_waterlevel" TargetMode="External"/><Relationship Id="rId233" Type="http://schemas.openxmlformats.org/officeDocument/2006/relationships/hyperlink" Target="https://api-v3.thaiwater.net/api/v1/thaiwater30/public/canal_waterlevel" TargetMode="External"/><Relationship Id="rId111" Type="http://schemas.openxmlformats.org/officeDocument/2006/relationships/hyperlink" Target="https://api-v3.thaiwater.net/api/v1/thaiwater30/public/canal_waterlevel" TargetMode="External"/><Relationship Id="rId232" Type="http://schemas.openxmlformats.org/officeDocument/2006/relationships/hyperlink" Target="https://api-v3.thaiwater.net/api/v1/thaiwater30/public/canal_waterlevel" TargetMode="External"/><Relationship Id="rId206" Type="http://schemas.openxmlformats.org/officeDocument/2006/relationships/hyperlink" Target="https://api-v3.thaiwater.net/api/v1/thaiwater30/public/canal_waterlevel" TargetMode="External"/><Relationship Id="rId205" Type="http://schemas.openxmlformats.org/officeDocument/2006/relationships/hyperlink" Target="https://api-v3.thaiwater.net/api/v1/thaiwater30/public/canal_waterlevel" TargetMode="External"/><Relationship Id="rId204" Type="http://schemas.openxmlformats.org/officeDocument/2006/relationships/hyperlink" Target="https://api-v3.thaiwater.net/api/v1/thaiwater30/public/canal_waterlevel" TargetMode="External"/><Relationship Id="rId203" Type="http://schemas.openxmlformats.org/officeDocument/2006/relationships/hyperlink" Target="https://api-v3.thaiwater.net/api/v1/thaiwater30/public/canal_waterlevel" TargetMode="External"/><Relationship Id="rId209" Type="http://schemas.openxmlformats.org/officeDocument/2006/relationships/hyperlink" Target="https://api-v3.thaiwater.net/api/v1/thaiwater30/public/canal_waterlevel" TargetMode="External"/><Relationship Id="rId208" Type="http://schemas.openxmlformats.org/officeDocument/2006/relationships/hyperlink" Target="https://api-v3.thaiwater.net/api/v1/thaiwater30/public/canal_waterlevel" TargetMode="External"/><Relationship Id="rId207" Type="http://schemas.openxmlformats.org/officeDocument/2006/relationships/hyperlink" Target="https://api-v3.thaiwater.net/api/v1/thaiwater30/public/canal_waterlevel" TargetMode="External"/><Relationship Id="rId202" Type="http://schemas.openxmlformats.org/officeDocument/2006/relationships/hyperlink" Target="https://api-v3.thaiwater.net/api/v1/thaiwater30/public/canal_waterlevel" TargetMode="External"/><Relationship Id="rId201" Type="http://schemas.openxmlformats.org/officeDocument/2006/relationships/hyperlink" Target="https://api-v3.thaiwater.net/api/v1/thaiwater30/public/canal_waterlevel" TargetMode="External"/><Relationship Id="rId200" Type="http://schemas.openxmlformats.org/officeDocument/2006/relationships/hyperlink" Target="https://api-v3.thaiwater.net/api/v1/thaiwater30/public/canal_waterlevel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api-v3.thaiwater.net/api/v1/thaiwater30/public/waterlevel_load" TargetMode="External"/><Relationship Id="rId194" Type="http://schemas.openxmlformats.org/officeDocument/2006/relationships/hyperlink" Target="https://api-v3.thaiwater.net/api/v1/thaiwater30/public/waterlevel_load" TargetMode="External"/><Relationship Id="rId193" Type="http://schemas.openxmlformats.org/officeDocument/2006/relationships/hyperlink" Target="https://api-v3.thaiwater.net/api/v1/thaiwater30/public/waterlevel_load" TargetMode="External"/><Relationship Id="rId192" Type="http://schemas.openxmlformats.org/officeDocument/2006/relationships/hyperlink" Target="https://api-v3.thaiwater.net/api/v1/thaiwater30/public/waterlevel_load" TargetMode="External"/><Relationship Id="rId191" Type="http://schemas.openxmlformats.org/officeDocument/2006/relationships/hyperlink" Target="https://api-v3.thaiwater.net/api/v1/thaiwater30/public/waterlevel_load" TargetMode="External"/><Relationship Id="rId187" Type="http://schemas.openxmlformats.org/officeDocument/2006/relationships/hyperlink" Target="https://api-v3.thaiwater.net/api/v1/thaiwater30/public/waterlevel_load" TargetMode="External"/><Relationship Id="rId186" Type="http://schemas.openxmlformats.org/officeDocument/2006/relationships/hyperlink" Target="https://api-v3.thaiwater.net/api/v1/thaiwater30/public/waterlevel_load" TargetMode="External"/><Relationship Id="rId185" Type="http://schemas.openxmlformats.org/officeDocument/2006/relationships/hyperlink" Target="https://api-v3.thaiwater.net/api/v1/thaiwater30/public/waterlevel_load" TargetMode="External"/><Relationship Id="rId184" Type="http://schemas.openxmlformats.org/officeDocument/2006/relationships/hyperlink" Target="https://api-v3.thaiwater.net/api/v1/thaiwater30/public/waterlevel_load" TargetMode="External"/><Relationship Id="rId189" Type="http://schemas.openxmlformats.org/officeDocument/2006/relationships/hyperlink" Target="https://api-v3.thaiwater.net/api/v1/thaiwater30/public/waterlevel_load" TargetMode="External"/><Relationship Id="rId188" Type="http://schemas.openxmlformats.org/officeDocument/2006/relationships/hyperlink" Target="https://api-v3.thaiwater.net/api/v1/thaiwater30/public/waterlevel_load" TargetMode="External"/><Relationship Id="rId183" Type="http://schemas.openxmlformats.org/officeDocument/2006/relationships/hyperlink" Target="https://api-v3.thaiwater.net/api/v1/thaiwater30/public/waterlevel_load" TargetMode="External"/><Relationship Id="rId182" Type="http://schemas.openxmlformats.org/officeDocument/2006/relationships/hyperlink" Target="https://api-v3.thaiwater.net/api/v1/thaiwater30/public/waterlevel_load" TargetMode="External"/><Relationship Id="rId181" Type="http://schemas.openxmlformats.org/officeDocument/2006/relationships/hyperlink" Target="https://api-v3.thaiwater.net/api/v1/thaiwater30/public/waterlevel_load" TargetMode="External"/><Relationship Id="rId180" Type="http://schemas.openxmlformats.org/officeDocument/2006/relationships/hyperlink" Target="https://api-v3.thaiwater.net/api/v1/thaiwater30/public/waterlevel_load" TargetMode="External"/><Relationship Id="rId176" Type="http://schemas.openxmlformats.org/officeDocument/2006/relationships/hyperlink" Target="https://api-v3.thaiwater.net/api/v1/thaiwater30/public/waterlevel_load" TargetMode="External"/><Relationship Id="rId175" Type="http://schemas.openxmlformats.org/officeDocument/2006/relationships/hyperlink" Target="https://api-v3.thaiwater.net/api/v1/thaiwater30/public/waterlevel_load" TargetMode="External"/><Relationship Id="rId174" Type="http://schemas.openxmlformats.org/officeDocument/2006/relationships/hyperlink" Target="https://api-v3.thaiwater.net/api/v1/thaiwater30/public/waterlevel_load" TargetMode="External"/><Relationship Id="rId173" Type="http://schemas.openxmlformats.org/officeDocument/2006/relationships/hyperlink" Target="https://api-v3.thaiwater.net/api/v1/thaiwater30/public/waterlevel_load" TargetMode="External"/><Relationship Id="rId179" Type="http://schemas.openxmlformats.org/officeDocument/2006/relationships/hyperlink" Target="https://api-v3.thaiwater.net/api/v1/thaiwater30/public/waterlevel_load" TargetMode="External"/><Relationship Id="rId178" Type="http://schemas.openxmlformats.org/officeDocument/2006/relationships/hyperlink" Target="https://api-v3.thaiwater.net/api/v1/thaiwater30/public/waterlevel_load" TargetMode="External"/><Relationship Id="rId177" Type="http://schemas.openxmlformats.org/officeDocument/2006/relationships/hyperlink" Target="https://api-v3.thaiwater.net/api/v1/thaiwater30/public/waterlevel_load" TargetMode="External"/><Relationship Id="rId198" Type="http://schemas.openxmlformats.org/officeDocument/2006/relationships/hyperlink" Target="https://api-v3.thaiwater.net/api/v1/thaiwater30/public/waterlevel_load" TargetMode="External"/><Relationship Id="rId197" Type="http://schemas.openxmlformats.org/officeDocument/2006/relationships/hyperlink" Target="https://api-v3.thaiwater.net/api/v1/thaiwater30/public/waterlevel_load" TargetMode="External"/><Relationship Id="rId196" Type="http://schemas.openxmlformats.org/officeDocument/2006/relationships/hyperlink" Target="https://api-v3.thaiwater.net/api/v1/thaiwater30/public/waterlevel_load" TargetMode="External"/><Relationship Id="rId195" Type="http://schemas.openxmlformats.org/officeDocument/2006/relationships/hyperlink" Target="https://api-v3.thaiwater.net/api/v1/thaiwater30/public/waterlevel_load" TargetMode="External"/><Relationship Id="rId199" Type="http://schemas.openxmlformats.org/officeDocument/2006/relationships/hyperlink" Target="https://api-v3.thaiwater.net/api/v1/thaiwater30/public/waterlevel_load" TargetMode="External"/><Relationship Id="rId150" Type="http://schemas.openxmlformats.org/officeDocument/2006/relationships/hyperlink" Target="https://api-v3.thaiwater.net/api/v1/thaiwater30/public/waterlevel_load" TargetMode="External"/><Relationship Id="rId392" Type="http://schemas.openxmlformats.org/officeDocument/2006/relationships/hyperlink" Target="https://api-v3.thaiwater.net/api/v1/thaiwater30/public/waterlevel_load" TargetMode="External"/><Relationship Id="rId391" Type="http://schemas.openxmlformats.org/officeDocument/2006/relationships/hyperlink" Target="https://api-v3.thaiwater.net/api/v1/thaiwater30/public/waterlevel_load" TargetMode="External"/><Relationship Id="rId390" Type="http://schemas.openxmlformats.org/officeDocument/2006/relationships/hyperlink" Target="https://api-v3.thaiwater.net/api/v1/thaiwater30/public/waterlevel_load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api-v3.thaiwater.net/api/v1/thaiwater30/public/waterlevel_load" TargetMode="External"/><Relationship Id="rId3" Type="http://schemas.openxmlformats.org/officeDocument/2006/relationships/hyperlink" Target="https://api-v3.thaiwater.net/api/v1/thaiwater30/public/waterlevel_load" TargetMode="External"/><Relationship Id="rId149" Type="http://schemas.openxmlformats.org/officeDocument/2006/relationships/hyperlink" Target="https://api-v3.thaiwater.net/api/v1/thaiwater30/public/waterlevel_load" TargetMode="External"/><Relationship Id="rId4" Type="http://schemas.openxmlformats.org/officeDocument/2006/relationships/hyperlink" Target="https://api-v3.thaiwater.net/api/v1/thaiwater30/public/waterlevel_load" TargetMode="External"/><Relationship Id="rId148" Type="http://schemas.openxmlformats.org/officeDocument/2006/relationships/hyperlink" Target="https://api-v3.thaiwater.net/api/v1/thaiwater30/public/waterlevel_load" TargetMode="External"/><Relationship Id="rId9" Type="http://schemas.openxmlformats.org/officeDocument/2006/relationships/hyperlink" Target="https://api-v3.thaiwater.net/api/v1/thaiwater30/public/waterlevel_load" TargetMode="External"/><Relationship Id="rId143" Type="http://schemas.openxmlformats.org/officeDocument/2006/relationships/hyperlink" Target="https://api-v3.thaiwater.net/api/v1/thaiwater30/public/waterlevel_load" TargetMode="External"/><Relationship Id="rId385" Type="http://schemas.openxmlformats.org/officeDocument/2006/relationships/hyperlink" Target="https://api-v3.thaiwater.net/api/v1/thaiwater30/public/waterlevel_load" TargetMode="External"/><Relationship Id="rId142" Type="http://schemas.openxmlformats.org/officeDocument/2006/relationships/hyperlink" Target="https://api-v3.thaiwater.net/api/v1/thaiwater30/public/waterlevel_load" TargetMode="External"/><Relationship Id="rId384" Type="http://schemas.openxmlformats.org/officeDocument/2006/relationships/hyperlink" Target="https://api-v3.thaiwater.net/api/v1/thaiwater30/public/waterlevel_load" TargetMode="External"/><Relationship Id="rId141" Type="http://schemas.openxmlformats.org/officeDocument/2006/relationships/hyperlink" Target="https://api-v3.thaiwater.net/api/v1/thaiwater30/public/waterlevel_load" TargetMode="External"/><Relationship Id="rId383" Type="http://schemas.openxmlformats.org/officeDocument/2006/relationships/hyperlink" Target="https://api-v3.thaiwater.net/api/v1/thaiwater30/public/waterlevel_load" TargetMode="External"/><Relationship Id="rId140" Type="http://schemas.openxmlformats.org/officeDocument/2006/relationships/hyperlink" Target="https://api-v3.thaiwater.net/api/v1/thaiwater30/public/waterlevel_load" TargetMode="External"/><Relationship Id="rId382" Type="http://schemas.openxmlformats.org/officeDocument/2006/relationships/hyperlink" Target="https://api-v3.thaiwater.net/api/v1/thaiwater30/public/waterlevel_load" TargetMode="External"/><Relationship Id="rId5" Type="http://schemas.openxmlformats.org/officeDocument/2006/relationships/hyperlink" Target="https://api-v3.thaiwater.net/api/v1/thaiwater30/public/waterlevel_load" TargetMode="External"/><Relationship Id="rId147" Type="http://schemas.openxmlformats.org/officeDocument/2006/relationships/hyperlink" Target="https://api-v3.thaiwater.net/api/v1/thaiwater30/public/waterlevel_load" TargetMode="External"/><Relationship Id="rId389" Type="http://schemas.openxmlformats.org/officeDocument/2006/relationships/hyperlink" Target="https://api-v3.thaiwater.net/api/v1/thaiwater30/public/waterlevel_load" TargetMode="External"/><Relationship Id="rId6" Type="http://schemas.openxmlformats.org/officeDocument/2006/relationships/hyperlink" Target="https://api-v3.thaiwater.net/api/v1/thaiwater30/public/waterlevel_load" TargetMode="External"/><Relationship Id="rId146" Type="http://schemas.openxmlformats.org/officeDocument/2006/relationships/hyperlink" Target="https://api-v3.thaiwater.net/api/v1/thaiwater30/public/waterlevel_load" TargetMode="External"/><Relationship Id="rId388" Type="http://schemas.openxmlformats.org/officeDocument/2006/relationships/hyperlink" Target="https://api-v3.thaiwater.net/api/v1/thaiwater30/public/waterlevel_load" TargetMode="External"/><Relationship Id="rId7" Type="http://schemas.openxmlformats.org/officeDocument/2006/relationships/hyperlink" Target="https://api-v3.thaiwater.net/api/v1/thaiwater30/public/waterlevel_load" TargetMode="External"/><Relationship Id="rId145" Type="http://schemas.openxmlformats.org/officeDocument/2006/relationships/hyperlink" Target="https://api-v3.thaiwater.net/api/v1/thaiwater30/public/waterlevel_load" TargetMode="External"/><Relationship Id="rId387" Type="http://schemas.openxmlformats.org/officeDocument/2006/relationships/hyperlink" Target="https://api-v3.thaiwater.net/api/v1/thaiwater30/public/waterlevel_load" TargetMode="External"/><Relationship Id="rId8" Type="http://schemas.openxmlformats.org/officeDocument/2006/relationships/hyperlink" Target="https://api-v3.thaiwater.net/api/v1/thaiwater30/public/waterlevel_load" TargetMode="External"/><Relationship Id="rId144" Type="http://schemas.openxmlformats.org/officeDocument/2006/relationships/hyperlink" Target="https://api-v3.thaiwater.net/api/v1/thaiwater30/public/waterlevel_load" TargetMode="External"/><Relationship Id="rId386" Type="http://schemas.openxmlformats.org/officeDocument/2006/relationships/hyperlink" Target="https://api-v3.thaiwater.net/api/v1/thaiwater30/public/waterlevel_load" TargetMode="External"/><Relationship Id="rId381" Type="http://schemas.openxmlformats.org/officeDocument/2006/relationships/hyperlink" Target="https://api-v3.thaiwater.net/api/v1/thaiwater30/public/waterlevel_load" TargetMode="External"/><Relationship Id="rId380" Type="http://schemas.openxmlformats.org/officeDocument/2006/relationships/hyperlink" Target="https://api-v3.thaiwater.net/api/v1/thaiwater30/public/waterlevel_load" TargetMode="External"/><Relationship Id="rId139" Type="http://schemas.openxmlformats.org/officeDocument/2006/relationships/hyperlink" Target="https://api-v3.thaiwater.net/api/v1/thaiwater30/public/waterlevel_load" TargetMode="External"/><Relationship Id="rId138" Type="http://schemas.openxmlformats.org/officeDocument/2006/relationships/hyperlink" Target="https://api-v3.thaiwater.net/api/v1/thaiwater30/public/waterlevel_load" TargetMode="External"/><Relationship Id="rId137" Type="http://schemas.openxmlformats.org/officeDocument/2006/relationships/hyperlink" Target="https://api-v3.thaiwater.net/api/v1/thaiwater30/public/waterlevel_load" TargetMode="External"/><Relationship Id="rId379" Type="http://schemas.openxmlformats.org/officeDocument/2006/relationships/hyperlink" Target="https://api-v3.thaiwater.net/api/v1/thaiwater30/public/waterlevel_load" TargetMode="External"/><Relationship Id="rId132" Type="http://schemas.openxmlformats.org/officeDocument/2006/relationships/hyperlink" Target="https://api-v3.thaiwater.net/api/v1/thaiwater30/public/waterlevel_load" TargetMode="External"/><Relationship Id="rId374" Type="http://schemas.openxmlformats.org/officeDocument/2006/relationships/hyperlink" Target="https://api-v3.thaiwater.net/api/v1/thaiwater30/public/waterlevel_load" TargetMode="External"/><Relationship Id="rId131" Type="http://schemas.openxmlformats.org/officeDocument/2006/relationships/hyperlink" Target="https://api-v3.thaiwater.net/api/v1/thaiwater30/public/waterlevel_load" TargetMode="External"/><Relationship Id="rId373" Type="http://schemas.openxmlformats.org/officeDocument/2006/relationships/hyperlink" Target="https://api-v3.thaiwater.net/api/v1/thaiwater30/public/waterlevel_load" TargetMode="External"/><Relationship Id="rId130" Type="http://schemas.openxmlformats.org/officeDocument/2006/relationships/hyperlink" Target="https://api-v3.thaiwater.net/api/v1/thaiwater30/public/waterlevel_load" TargetMode="External"/><Relationship Id="rId372" Type="http://schemas.openxmlformats.org/officeDocument/2006/relationships/hyperlink" Target="https://api-v3.thaiwater.net/api/v1/thaiwater30/public/waterlevel_load" TargetMode="External"/><Relationship Id="rId371" Type="http://schemas.openxmlformats.org/officeDocument/2006/relationships/hyperlink" Target="https://api-v3.thaiwater.net/api/v1/thaiwater30/public/waterlevel_load" TargetMode="External"/><Relationship Id="rId136" Type="http://schemas.openxmlformats.org/officeDocument/2006/relationships/hyperlink" Target="https://api-v3.thaiwater.net/api/v1/thaiwater30/public/waterlevel_load" TargetMode="External"/><Relationship Id="rId378" Type="http://schemas.openxmlformats.org/officeDocument/2006/relationships/hyperlink" Target="https://api-v3.thaiwater.net/api/v1/thaiwater30/public/waterlevel_load" TargetMode="External"/><Relationship Id="rId135" Type="http://schemas.openxmlformats.org/officeDocument/2006/relationships/hyperlink" Target="https://api-v3.thaiwater.net/api/v1/thaiwater30/public/waterlevel_load" TargetMode="External"/><Relationship Id="rId377" Type="http://schemas.openxmlformats.org/officeDocument/2006/relationships/hyperlink" Target="https://api-v3.thaiwater.net/api/v1/thaiwater30/public/waterlevel_load" TargetMode="External"/><Relationship Id="rId134" Type="http://schemas.openxmlformats.org/officeDocument/2006/relationships/hyperlink" Target="https://api-v3.thaiwater.net/api/v1/thaiwater30/public/waterlevel_load" TargetMode="External"/><Relationship Id="rId376" Type="http://schemas.openxmlformats.org/officeDocument/2006/relationships/hyperlink" Target="https://api-v3.thaiwater.net/api/v1/thaiwater30/public/waterlevel_load" TargetMode="External"/><Relationship Id="rId133" Type="http://schemas.openxmlformats.org/officeDocument/2006/relationships/hyperlink" Target="https://api-v3.thaiwater.net/api/v1/thaiwater30/public/waterlevel_load" TargetMode="External"/><Relationship Id="rId375" Type="http://schemas.openxmlformats.org/officeDocument/2006/relationships/hyperlink" Target="https://api-v3.thaiwater.net/api/v1/thaiwater30/public/waterlevel_load" TargetMode="External"/><Relationship Id="rId172" Type="http://schemas.openxmlformats.org/officeDocument/2006/relationships/hyperlink" Target="https://api-v3.thaiwater.net/api/v1/thaiwater30/public/waterlevel_load" TargetMode="External"/><Relationship Id="rId171" Type="http://schemas.openxmlformats.org/officeDocument/2006/relationships/hyperlink" Target="https://api-v3.thaiwater.net/api/v1/thaiwater30/public/waterlevel_load" TargetMode="External"/><Relationship Id="rId170" Type="http://schemas.openxmlformats.org/officeDocument/2006/relationships/hyperlink" Target="https://api-v3.thaiwater.net/api/v1/thaiwater30/public/waterlevel_load" TargetMode="External"/><Relationship Id="rId165" Type="http://schemas.openxmlformats.org/officeDocument/2006/relationships/hyperlink" Target="https://api-v3.thaiwater.net/api/v1/thaiwater30/public/waterlevel_load" TargetMode="External"/><Relationship Id="rId164" Type="http://schemas.openxmlformats.org/officeDocument/2006/relationships/hyperlink" Target="https://api-v3.thaiwater.net/api/v1/thaiwater30/public/waterlevel_load" TargetMode="External"/><Relationship Id="rId163" Type="http://schemas.openxmlformats.org/officeDocument/2006/relationships/hyperlink" Target="https://api-v3.thaiwater.net/api/v1/thaiwater30/public/waterlevel_load" TargetMode="External"/><Relationship Id="rId162" Type="http://schemas.openxmlformats.org/officeDocument/2006/relationships/hyperlink" Target="https://api-v3.thaiwater.net/api/v1/thaiwater30/public/waterlevel_load" TargetMode="External"/><Relationship Id="rId169" Type="http://schemas.openxmlformats.org/officeDocument/2006/relationships/hyperlink" Target="https://api-v3.thaiwater.net/api/v1/thaiwater30/public/waterlevel_load" TargetMode="External"/><Relationship Id="rId168" Type="http://schemas.openxmlformats.org/officeDocument/2006/relationships/hyperlink" Target="https://api-v3.thaiwater.net/api/v1/thaiwater30/public/waterlevel_load" TargetMode="External"/><Relationship Id="rId167" Type="http://schemas.openxmlformats.org/officeDocument/2006/relationships/hyperlink" Target="https://api-v3.thaiwater.net/api/v1/thaiwater30/public/waterlevel_load" TargetMode="External"/><Relationship Id="rId166" Type="http://schemas.openxmlformats.org/officeDocument/2006/relationships/hyperlink" Target="https://api-v3.thaiwater.net/api/v1/thaiwater30/public/waterlevel_load" TargetMode="External"/><Relationship Id="rId161" Type="http://schemas.openxmlformats.org/officeDocument/2006/relationships/hyperlink" Target="https://api-v3.thaiwater.net/api/v1/thaiwater30/public/waterlevel_load" TargetMode="External"/><Relationship Id="rId160" Type="http://schemas.openxmlformats.org/officeDocument/2006/relationships/hyperlink" Target="https://api-v3.thaiwater.net/api/v1/thaiwater30/public/waterlevel_load" TargetMode="External"/><Relationship Id="rId159" Type="http://schemas.openxmlformats.org/officeDocument/2006/relationships/hyperlink" Target="https://api-v3.thaiwater.net/api/v1/thaiwater30/public/waterlevel_load" TargetMode="External"/><Relationship Id="rId154" Type="http://schemas.openxmlformats.org/officeDocument/2006/relationships/hyperlink" Target="https://api-v3.thaiwater.net/api/v1/thaiwater30/public/waterlevel_load" TargetMode="External"/><Relationship Id="rId396" Type="http://schemas.openxmlformats.org/officeDocument/2006/relationships/hyperlink" Target="https://api-v3.thaiwater.net/api/v1/thaiwater30/public/waterlevel_load" TargetMode="External"/><Relationship Id="rId153" Type="http://schemas.openxmlformats.org/officeDocument/2006/relationships/hyperlink" Target="https://api-v3.thaiwater.net/api/v1/thaiwater30/public/waterlevel_load" TargetMode="External"/><Relationship Id="rId395" Type="http://schemas.openxmlformats.org/officeDocument/2006/relationships/hyperlink" Target="https://api-v3.thaiwater.net/api/v1/thaiwater30/public/waterlevel_load" TargetMode="External"/><Relationship Id="rId152" Type="http://schemas.openxmlformats.org/officeDocument/2006/relationships/hyperlink" Target="https://api-v3.thaiwater.net/api/v1/thaiwater30/public/waterlevel_load" TargetMode="External"/><Relationship Id="rId394" Type="http://schemas.openxmlformats.org/officeDocument/2006/relationships/hyperlink" Target="https://api-v3.thaiwater.net/api/v1/thaiwater30/public/waterlevel_load" TargetMode="External"/><Relationship Id="rId151" Type="http://schemas.openxmlformats.org/officeDocument/2006/relationships/hyperlink" Target="https://api-v3.thaiwater.net/api/v1/thaiwater30/public/waterlevel_load" TargetMode="External"/><Relationship Id="rId393" Type="http://schemas.openxmlformats.org/officeDocument/2006/relationships/hyperlink" Target="https://api-v3.thaiwater.net/api/v1/thaiwater30/public/waterlevel_load" TargetMode="External"/><Relationship Id="rId158" Type="http://schemas.openxmlformats.org/officeDocument/2006/relationships/hyperlink" Target="https://api-v3.thaiwater.net/api/v1/thaiwater30/public/waterlevel_load" TargetMode="External"/><Relationship Id="rId157" Type="http://schemas.openxmlformats.org/officeDocument/2006/relationships/hyperlink" Target="https://api-v3.thaiwater.net/api/v1/thaiwater30/public/waterlevel_load" TargetMode="External"/><Relationship Id="rId399" Type="http://schemas.openxmlformats.org/officeDocument/2006/relationships/hyperlink" Target="https://api-v3.thaiwater.net/api/v1/thaiwater30/public/waterlevel_load" TargetMode="External"/><Relationship Id="rId156" Type="http://schemas.openxmlformats.org/officeDocument/2006/relationships/hyperlink" Target="https://api-v3.thaiwater.net/api/v1/thaiwater30/public/waterlevel_load" TargetMode="External"/><Relationship Id="rId398" Type="http://schemas.openxmlformats.org/officeDocument/2006/relationships/hyperlink" Target="https://api-v3.thaiwater.net/api/v1/thaiwater30/public/waterlevel_load" TargetMode="External"/><Relationship Id="rId155" Type="http://schemas.openxmlformats.org/officeDocument/2006/relationships/hyperlink" Target="https://api-v3.thaiwater.net/api/v1/thaiwater30/public/waterlevel_load" TargetMode="External"/><Relationship Id="rId397" Type="http://schemas.openxmlformats.org/officeDocument/2006/relationships/hyperlink" Target="https://api-v3.thaiwater.net/api/v1/thaiwater30/public/waterlevel_load" TargetMode="External"/><Relationship Id="rId808" Type="http://schemas.openxmlformats.org/officeDocument/2006/relationships/hyperlink" Target="https://api-v3.thaiwater.net/api/v1/thaiwater30/public/waterlevel_load" TargetMode="External"/><Relationship Id="rId807" Type="http://schemas.openxmlformats.org/officeDocument/2006/relationships/hyperlink" Target="https://api-v3.thaiwater.net/api/v1/thaiwater30/public/waterlevel_load" TargetMode="External"/><Relationship Id="rId806" Type="http://schemas.openxmlformats.org/officeDocument/2006/relationships/hyperlink" Target="https://api-v3.thaiwater.net/api/v1/thaiwater30/public/waterlevel_load" TargetMode="External"/><Relationship Id="rId805" Type="http://schemas.openxmlformats.org/officeDocument/2006/relationships/hyperlink" Target="https://api-v3.thaiwater.net/api/v1/thaiwater30/public/waterlevel_load" TargetMode="External"/><Relationship Id="rId809" Type="http://schemas.openxmlformats.org/officeDocument/2006/relationships/hyperlink" Target="https://api-v3.thaiwater.net/api/v1/thaiwater30/public/waterlevel_load" TargetMode="External"/><Relationship Id="rId800" Type="http://schemas.openxmlformats.org/officeDocument/2006/relationships/hyperlink" Target="https://api-v3.thaiwater.net/api/v1/thaiwater30/public/waterlevel_load" TargetMode="External"/><Relationship Id="rId804" Type="http://schemas.openxmlformats.org/officeDocument/2006/relationships/hyperlink" Target="https://api-v3.thaiwater.net/api/v1/thaiwater30/public/waterlevel_load" TargetMode="External"/><Relationship Id="rId803" Type="http://schemas.openxmlformats.org/officeDocument/2006/relationships/hyperlink" Target="https://api-v3.thaiwater.net/api/v1/thaiwater30/public/waterlevel_load" TargetMode="External"/><Relationship Id="rId802" Type="http://schemas.openxmlformats.org/officeDocument/2006/relationships/hyperlink" Target="https://api-v3.thaiwater.net/api/v1/thaiwater30/public/waterlevel_load" TargetMode="External"/><Relationship Id="rId801" Type="http://schemas.openxmlformats.org/officeDocument/2006/relationships/hyperlink" Target="https://api-v3.thaiwater.net/api/v1/thaiwater30/public/waterlevel_load" TargetMode="External"/><Relationship Id="rId40" Type="http://schemas.openxmlformats.org/officeDocument/2006/relationships/hyperlink" Target="https://api-v3.thaiwater.net/api/v1/thaiwater30/public/waterlevel_load" TargetMode="External"/><Relationship Id="rId42" Type="http://schemas.openxmlformats.org/officeDocument/2006/relationships/hyperlink" Target="https://api-v3.thaiwater.net/api/v1/thaiwater30/public/waterlevel_load" TargetMode="External"/><Relationship Id="rId41" Type="http://schemas.openxmlformats.org/officeDocument/2006/relationships/hyperlink" Target="https://api-v3.thaiwater.net/api/v1/thaiwater30/public/waterlevel_load" TargetMode="External"/><Relationship Id="rId44" Type="http://schemas.openxmlformats.org/officeDocument/2006/relationships/hyperlink" Target="https://api-v3.thaiwater.net/api/v1/thaiwater30/public/waterlevel_load" TargetMode="External"/><Relationship Id="rId43" Type="http://schemas.openxmlformats.org/officeDocument/2006/relationships/hyperlink" Target="https://api-v3.thaiwater.net/api/v1/thaiwater30/public/waterlevel_load" TargetMode="External"/><Relationship Id="rId46" Type="http://schemas.openxmlformats.org/officeDocument/2006/relationships/hyperlink" Target="https://api-v3.thaiwater.net/api/v1/thaiwater30/public/waterlevel_load" TargetMode="External"/><Relationship Id="rId45" Type="http://schemas.openxmlformats.org/officeDocument/2006/relationships/hyperlink" Target="https://api-v3.thaiwater.net/api/v1/thaiwater30/public/waterlevel_load" TargetMode="External"/><Relationship Id="rId509" Type="http://schemas.openxmlformats.org/officeDocument/2006/relationships/hyperlink" Target="https://api-v3.thaiwater.net/api/v1/thaiwater30/public/waterlevel_load" TargetMode="External"/><Relationship Id="rId508" Type="http://schemas.openxmlformats.org/officeDocument/2006/relationships/hyperlink" Target="https://api-v3.thaiwater.net/api/v1/thaiwater30/public/waterlevel_load" TargetMode="External"/><Relationship Id="rId503" Type="http://schemas.openxmlformats.org/officeDocument/2006/relationships/hyperlink" Target="https://api-v3.thaiwater.net/api/v1/thaiwater30/public/waterlevel_load" TargetMode="External"/><Relationship Id="rId745" Type="http://schemas.openxmlformats.org/officeDocument/2006/relationships/hyperlink" Target="https://api-v3.thaiwater.net/api/v1/thaiwater30/public/waterlevel_load" TargetMode="External"/><Relationship Id="rId502" Type="http://schemas.openxmlformats.org/officeDocument/2006/relationships/hyperlink" Target="https://api-v3.thaiwater.net/api/v1/thaiwater30/public/waterlevel_load" TargetMode="External"/><Relationship Id="rId744" Type="http://schemas.openxmlformats.org/officeDocument/2006/relationships/hyperlink" Target="https://api-v3.thaiwater.net/api/v1/thaiwater30/public/waterlevel_load" TargetMode="External"/><Relationship Id="rId501" Type="http://schemas.openxmlformats.org/officeDocument/2006/relationships/hyperlink" Target="https://api-v3.thaiwater.net/api/v1/thaiwater30/public/waterlevel_load" TargetMode="External"/><Relationship Id="rId743" Type="http://schemas.openxmlformats.org/officeDocument/2006/relationships/hyperlink" Target="https://api-v3.thaiwater.net/api/v1/thaiwater30/public/waterlevel_load" TargetMode="External"/><Relationship Id="rId500" Type="http://schemas.openxmlformats.org/officeDocument/2006/relationships/hyperlink" Target="https://api-v3.thaiwater.net/api/v1/thaiwater30/public/waterlevel_load" TargetMode="External"/><Relationship Id="rId742" Type="http://schemas.openxmlformats.org/officeDocument/2006/relationships/hyperlink" Target="https://api-v3.thaiwater.net/api/v1/thaiwater30/public/waterlevel_load" TargetMode="External"/><Relationship Id="rId507" Type="http://schemas.openxmlformats.org/officeDocument/2006/relationships/hyperlink" Target="https://api-v3.thaiwater.net/api/v1/thaiwater30/public/waterlevel_load" TargetMode="External"/><Relationship Id="rId749" Type="http://schemas.openxmlformats.org/officeDocument/2006/relationships/hyperlink" Target="https://api-v3.thaiwater.net/api/v1/thaiwater30/public/waterlevel_load" TargetMode="External"/><Relationship Id="rId506" Type="http://schemas.openxmlformats.org/officeDocument/2006/relationships/hyperlink" Target="https://api-v3.thaiwater.net/api/v1/thaiwater30/public/waterlevel_load" TargetMode="External"/><Relationship Id="rId748" Type="http://schemas.openxmlformats.org/officeDocument/2006/relationships/hyperlink" Target="https://api-v3.thaiwater.net/api/v1/thaiwater30/public/waterlevel_load" TargetMode="External"/><Relationship Id="rId505" Type="http://schemas.openxmlformats.org/officeDocument/2006/relationships/hyperlink" Target="https://api-v3.thaiwater.net/api/v1/thaiwater30/public/waterlevel_load" TargetMode="External"/><Relationship Id="rId747" Type="http://schemas.openxmlformats.org/officeDocument/2006/relationships/hyperlink" Target="https://api-v3.thaiwater.net/api/v1/thaiwater30/public/waterlevel_load" TargetMode="External"/><Relationship Id="rId504" Type="http://schemas.openxmlformats.org/officeDocument/2006/relationships/hyperlink" Target="https://api-v3.thaiwater.net/api/v1/thaiwater30/public/waterlevel_load" TargetMode="External"/><Relationship Id="rId746" Type="http://schemas.openxmlformats.org/officeDocument/2006/relationships/hyperlink" Target="https://api-v3.thaiwater.net/api/v1/thaiwater30/public/waterlevel_load" TargetMode="External"/><Relationship Id="rId48" Type="http://schemas.openxmlformats.org/officeDocument/2006/relationships/hyperlink" Target="https://api-v3.thaiwater.net/api/v1/thaiwater30/public/waterlevel_load" TargetMode="External"/><Relationship Id="rId47" Type="http://schemas.openxmlformats.org/officeDocument/2006/relationships/hyperlink" Target="https://api-v3.thaiwater.net/api/v1/thaiwater30/public/waterlevel_load" TargetMode="External"/><Relationship Id="rId49" Type="http://schemas.openxmlformats.org/officeDocument/2006/relationships/hyperlink" Target="https://api-v3.thaiwater.net/api/v1/thaiwater30/public/waterlevel_load" TargetMode="External"/><Relationship Id="rId741" Type="http://schemas.openxmlformats.org/officeDocument/2006/relationships/hyperlink" Target="https://api-v3.thaiwater.net/api/v1/thaiwater30/public/waterlevel_load" TargetMode="External"/><Relationship Id="rId740" Type="http://schemas.openxmlformats.org/officeDocument/2006/relationships/hyperlink" Target="https://api-v3.thaiwater.net/api/v1/thaiwater30/public/waterlevel_load" TargetMode="External"/><Relationship Id="rId31" Type="http://schemas.openxmlformats.org/officeDocument/2006/relationships/hyperlink" Target="https://api-v3.thaiwater.net/api/v1/thaiwater30/public/waterlevel_load" TargetMode="External"/><Relationship Id="rId30" Type="http://schemas.openxmlformats.org/officeDocument/2006/relationships/hyperlink" Target="https://api-v3.thaiwater.net/api/v1/thaiwater30/public/waterlevel_load" TargetMode="External"/><Relationship Id="rId33" Type="http://schemas.openxmlformats.org/officeDocument/2006/relationships/hyperlink" Target="https://api-v3.thaiwater.net/api/v1/thaiwater30/public/waterlevel_load" TargetMode="External"/><Relationship Id="rId32" Type="http://schemas.openxmlformats.org/officeDocument/2006/relationships/hyperlink" Target="https://api-v3.thaiwater.net/api/v1/thaiwater30/public/waterlevel_load" TargetMode="External"/><Relationship Id="rId35" Type="http://schemas.openxmlformats.org/officeDocument/2006/relationships/hyperlink" Target="https://api-v3.thaiwater.net/api/v1/thaiwater30/public/waterlevel_load" TargetMode="External"/><Relationship Id="rId34" Type="http://schemas.openxmlformats.org/officeDocument/2006/relationships/hyperlink" Target="https://api-v3.thaiwater.net/api/v1/thaiwater30/public/waterlevel_load" TargetMode="External"/><Relationship Id="rId739" Type="http://schemas.openxmlformats.org/officeDocument/2006/relationships/hyperlink" Target="https://api-v3.thaiwater.net/api/v1/thaiwater30/public/waterlevel_load" TargetMode="External"/><Relationship Id="rId734" Type="http://schemas.openxmlformats.org/officeDocument/2006/relationships/hyperlink" Target="https://api-v3.thaiwater.net/api/v1/thaiwater30/public/waterlevel_load" TargetMode="External"/><Relationship Id="rId733" Type="http://schemas.openxmlformats.org/officeDocument/2006/relationships/hyperlink" Target="https://api-v3.thaiwater.net/api/v1/thaiwater30/public/waterlevel_load" TargetMode="External"/><Relationship Id="rId732" Type="http://schemas.openxmlformats.org/officeDocument/2006/relationships/hyperlink" Target="https://api-v3.thaiwater.net/api/v1/thaiwater30/public/waterlevel_load" TargetMode="External"/><Relationship Id="rId731" Type="http://schemas.openxmlformats.org/officeDocument/2006/relationships/hyperlink" Target="https://api-v3.thaiwater.net/api/v1/thaiwater30/public/waterlevel_load" TargetMode="External"/><Relationship Id="rId738" Type="http://schemas.openxmlformats.org/officeDocument/2006/relationships/hyperlink" Target="https://api-v3.thaiwater.net/api/v1/thaiwater30/public/waterlevel_load" TargetMode="External"/><Relationship Id="rId737" Type="http://schemas.openxmlformats.org/officeDocument/2006/relationships/hyperlink" Target="https://api-v3.thaiwater.net/api/v1/thaiwater30/public/waterlevel_load" TargetMode="External"/><Relationship Id="rId736" Type="http://schemas.openxmlformats.org/officeDocument/2006/relationships/hyperlink" Target="https://api-v3.thaiwater.net/api/v1/thaiwater30/public/waterlevel_load" TargetMode="External"/><Relationship Id="rId735" Type="http://schemas.openxmlformats.org/officeDocument/2006/relationships/hyperlink" Target="https://api-v3.thaiwater.net/api/v1/thaiwater30/public/waterlevel_load" TargetMode="External"/><Relationship Id="rId37" Type="http://schemas.openxmlformats.org/officeDocument/2006/relationships/hyperlink" Target="https://api-v3.thaiwater.net/api/v1/thaiwater30/public/waterlevel_load" TargetMode="External"/><Relationship Id="rId36" Type="http://schemas.openxmlformats.org/officeDocument/2006/relationships/hyperlink" Target="https://api-v3.thaiwater.net/api/v1/thaiwater30/public/waterlevel_load" TargetMode="External"/><Relationship Id="rId39" Type="http://schemas.openxmlformats.org/officeDocument/2006/relationships/hyperlink" Target="https://api-v3.thaiwater.net/api/v1/thaiwater30/public/waterlevel_load" TargetMode="External"/><Relationship Id="rId38" Type="http://schemas.openxmlformats.org/officeDocument/2006/relationships/hyperlink" Target="https://api-v3.thaiwater.net/api/v1/thaiwater30/public/waterlevel_load" TargetMode="External"/><Relationship Id="rId730" Type="http://schemas.openxmlformats.org/officeDocument/2006/relationships/hyperlink" Target="https://api-v3.thaiwater.net/api/v1/thaiwater30/public/waterlevel_load" TargetMode="External"/><Relationship Id="rId20" Type="http://schemas.openxmlformats.org/officeDocument/2006/relationships/hyperlink" Target="https://api-v3.thaiwater.net/api/v1/thaiwater30/public/waterlevel_load" TargetMode="External"/><Relationship Id="rId22" Type="http://schemas.openxmlformats.org/officeDocument/2006/relationships/hyperlink" Target="https://api-v3.thaiwater.net/api/v1/thaiwater30/public/waterlevel_load" TargetMode="External"/><Relationship Id="rId21" Type="http://schemas.openxmlformats.org/officeDocument/2006/relationships/hyperlink" Target="https://api-v3.thaiwater.net/api/v1/thaiwater30/public/waterlevel_load" TargetMode="External"/><Relationship Id="rId24" Type="http://schemas.openxmlformats.org/officeDocument/2006/relationships/hyperlink" Target="https://api-v3.thaiwater.net/api/v1/thaiwater30/public/waterlevel_load" TargetMode="External"/><Relationship Id="rId23" Type="http://schemas.openxmlformats.org/officeDocument/2006/relationships/hyperlink" Target="https://api-v3.thaiwater.net/api/v1/thaiwater30/public/waterlevel_load" TargetMode="External"/><Relationship Id="rId525" Type="http://schemas.openxmlformats.org/officeDocument/2006/relationships/hyperlink" Target="https://api-v3.thaiwater.net/api/v1/thaiwater30/public/waterlevel_load" TargetMode="External"/><Relationship Id="rId767" Type="http://schemas.openxmlformats.org/officeDocument/2006/relationships/hyperlink" Target="https://api-v3.thaiwater.net/api/v1/thaiwater30/public/waterlevel_load" TargetMode="External"/><Relationship Id="rId524" Type="http://schemas.openxmlformats.org/officeDocument/2006/relationships/hyperlink" Target="https://api-v3.thaiwater.net/api/v1/thaiwater30/public/waterlevel_load" TargetMode="External"/><Relationship Id="rId766" Type="http://schemas.openxmlformats.org/officeDocument/2006/relationships/hyperlink" Target="https://api-v3.thaiwater.net/api/v1/thaiwater30/public/waterlevel_load" TargetMode="External"/><Relationship Id="rId523" Type="http://schemas.openxmlformats.org/officeDocument/2006/relationships/hyperlink" Target="https://api-v3.thaiwater.net/api/v1/thaiwater30/public/waterlevel_load" TargetMode="External"/><Relationship Id="rId765" Type="http://schemas.openxmlformats.org/officeDocument/2006/relationships/hyperlink" Target="https://api-v3.thaiwater.net/api/v1/thaiwater30/public/waterlevel_load" TargetMode="External"/><Relationship Id="rId522" Type="http://schemas.openxmlformats.org/officeDocument/2006/relationships/hyperlink" Target="https://api-v3.thaiwater.net/api/v1/thaiwater30/public/waterlevel_load" TargetMode="External"/><Relationship Id="rId764" Type="http://schemas.openxmlformats.org/officeDocument/2006/relationships/hyperlink" Target="https://api-v3.thaiwater.net/api/v1/thaiwater30/public/waterlevel_load" TargetMode="External"/><Relationship Id="rId529" Type="http://schemas.openxmlformats.org/officeDocument/2006/relationships/hyperlink" Target="https://api-v3.thaiwater.net/api/v1/thaiwater30/public/waterlevel_load" TargetMode="External"/><Relationship Id="rId528" Type="http://schemas.openxmlformats.org/officeDocument/2006/relationships/hyperlink" Target="https://api-v3.thaiwater.net/api/v1/thaiwater30/public/waterlevel_load" TargetMode="External"/><Relationship Id="rId527" Type="http://schemas.openxmlformats.org/officeDocument/2006/relationships/hyperlink" Target="https://api-v3.thaiwater.net/api/v1/thaiwater30/public/waterlevel_load" TargetMode="External"/><Relationship Id="rId769" Type="http://schemas.openxmlformats.org/officeDocument/2006/relationships/hyperlink" Target="https://api-v3.thaiwater.net/api/v1/thaiwater30/public/waterlevel_load" TargetMode="External"/><Relationship Id="rId526" Type="http://schemas.openxmlformats.org/officeDocument/2006/relationships/hyperlink" Target="https://api-v3.thaiwater.net/api/v1/thaiwater30/public/waterlevel_load" TargetMode="External"/><Relationship Id="rId768" Type="http://schemas.openxmlformats.org/officeDocument/2006/relationships/hyperlink" Target="https://api-v3.thaiwater.net/api/v1/thaiwater30/public/waterlevel_load" TargetMode="External"/><Relationship Id="rId26" Type="http://schemas.openxmlformats.org/officeDocument/2006/relationships/hyperlink" Target="https://api-v3.thaiwater.net/api/v1/thaiwater30/public/waterlevel_load" TargetMode="External"/><Relationship Id="rId25" Type="http://schemas.openxmlformats.org/officeDocument/2006/relationships/hyperlink" Target="https://api-v3.thaiwater.net/api/v1/thaiwater30/public/waterlevel_load" TargetMode="External"/><Relationship Id="rId28" Type="http://schemas.openxmlformats.org/officeDocument/2006/relationships/hyperlink" Target="https://api-v3.thaiwater.net/api/v1/thaiwater30/public/waterlevel_load" TargetMode="External"/><Relationship Id="rId27" Type="http://schemas.openxmlformats.org/officeDocument/2006/relationships/hyperlink" Target="https://api-v3.thaiwater.net/api/v1/thaiwater30/public/waterlevel_load" TargetMode="External"/><Relationship Id="rId521" Type="http://schemas.openxmlformats.org/officeDocument/2006/relationships/hyperlink" Target="https://api-v3.thaiwater.net/api/v1/thaiwater30/public/waterlevel_load" TargetMode="External"/><Relationship Id="rId763" Type="http://schemas.openxmlformats.org/officeDocument/2006/relationships/hyperlink" Target="https://api-v3.thaiwater.net/api/v1/thaiwater30/public/waterlevel_load" TargetMode="External"/><Relationship Id="rId29" Type="http://schemas.openxmlformats.org/officeDocument/2006/relationships/hyperlink" Target="https://api-v3.thaiwater.net/api/v1/thaiwater30/public/waterlevel_load" TargetMode="External"/><Relationship Id="rId520" Type="http://schemas.openxmlformats.org/officeDocument/2006/relationships/hyperlink" Target="https://api-v3.thaiwater.net/api/v1/thaiwater30/public/waterlevel_load" TargetMode="External"/><Relationship Id="rId762" Type="http://schemas.openxmlformats.org/officeDocument/2006/relationships/hyperlink" Target="https://api-v3.thaiwater.net/api/v1/thaiwater30/public/waterlevel_load" TargetMode="External"/><Relationship Id="rId761" Type="http://schemas.openxmlformats.org/officeDocument/2006/relationships/hyperlink" Target="https://api-v3.thaiwater.net/api/v1/thaiwater30/public/waterlevel_load" TargetMode="External"/><Relationship Id="rId760" Type="http://schemas.openxmlformats.org/officeDocument/2006/relationships/hyperlink" Target="https://api-v3.thaiwater.net/api/v1/thaiwater30/public/waterlevel_load" TargetMode="External"/><Relationship Id="rId11" Type="http://schemas.openxmlformats.org/officeDocument/2006/relationships/hyperlink" Target="https://api-v3.thaiwater.net/api/v1/thaiwater30/public/waterlevel_load" TargetMode="External"/><Relationship Id="rId10" Type="http://schemas.openxmlformats.org/officeDocument/2006/relationships/hyperlink" Target="https://api-v3.thaiwater.net/api/v1/thaiwater30/public/waterlevel_load" TargetMode="External"/><Relationship Id="rId13" Type="http://schemas.openxmlformats.org/officeDocument/2006/relationships/hyperlink" Target="https://api-v3.thaiwater.net/api/v1/thaiwater30/public/waterlevel_load" TargetMode="External"/><Relationship Id="rId12" Type="http://schemas.openxmlformats.org/officeDocument/2006/relationships/hyperlink" Target="https://api-v3.thaiwater.net/api/v1/thaiwater30/public/waterlevel_load" TargetMode="External"/><Relationship Id="rId519" Type="http://schemas.openxmlformats.org/officeDocument/2006/relationships/hyperlink" Target="https://api-v3.thaiwater.net/api/v1/thaiwater30/public/waterlevel_load" TargetMode="External"/><Relationship Id="rId514" Type="http://schemas.openxmlformats.org/officeDocument/2006/relationships/hyperlink" Target="https://api-v3.thaiwater.net/api/v1/thaiwater30/public/waterlevel_load" TargetMode="External"/><Relationship Id="rId756" Type="http://schemas.openxmlformats.org/officeDocument/2006/relationships/hyperlink" Target="https://api-v3.thaiwater.net/api/v1/thaiwater30/public/waterlevel_load" TargetMode="External"/><Relationship Id="rId513" Type="http://schemas.openxmlformats.org/officeDocument/2006/relationships/hyperlink" Target="https://api-v3.thaiwater.net/api/v1/thaiwater30/public/waterlevel_load" TargetMode="External"/><Relationship Id="rId755" Type="http://schemas.openxmlformats.org/officeDocument/2006/relationships/hyperlink" Target="https://api-v3.thaiwater.net/api/v1/thaiwater30/public/waterlevel_load" TargetMode="External"/><Relationship Id="rId512" Type="http://schemas.openxmlformats.org/officeDocument/2006/relationships/hyperlink" Target="https://api-v3.thaiwater.net/api/v1/thaiwater30/public/waterlevel_load" TargetMode="External"/><Relationship Id="rId754" Type="http://schemas.openxmlformats.org/officeDocument/2006/relationships/hyperlink" Target="https://api-v3.thaiwater.net/api/v1/thaiwater30/public/waterlevel_load" TargetMode="External"/><Relationship Id="rId511" Type="http://schemas.openxmlformats.org/officeDocument/2006/relationships/hyperlink" Target="https://api-v3.thaiwater.net/api/v1/thaiwater30/public/waterlevel_load" TargetMode="External"/><Relationship Id="rId753" Type="http://schemas.openxmlformats.org/officeDocument/2006/relationships/hyperlink" Target="https://api-v3.thaiwater.net/api/v1/thaiwater30/public/waterlevel_load" TargetMode="External"/><Relationship Id="rId518" Type="http://schemas.openxmlformats.org/officeDocument/2006/relationships/hyperlink" Target="https://api-v3.thaiwater.net/api/v1/thaiwater30/public/waterlevel_load" TargetMode="External"/><Relationship Id="rId517" Type="http://schemas.openxmlformats.org/officeDocument/2006/relationships/hyperlink" Target="https://api-v3.thaiwater.net/api/v1/thaiwater30/public/waterlevel_load" TargetMode="External"/><Relationship Id="rId759" Type="http://schemas.openxmlformats.org/officeDocument/2006/relationships/hyperlink" Target="https://api-v3.thaiwater.net/api/v1/thaiwater30/public/waterlevel_load" TargetMode="External"/><Relationship Id="rId516" Type="http://schemas.openxmlformats.org/officeDocument/2006/relationships/hyperlink" Target="https://api-v3.thaiwater.net/api/v1/thaiwater30/public/waterlevel_load" TargetMode="External"/><Relationship Id="rId758" Type="http://schemas.openxmlformats.org/officeDocument/2006/relationships/hyperlink" Target="https://api-v3.thaiwater.net/api/v1/thaiwater30/public/waterlevel_load" TargetMode="External"/><Relationship Id="rId515" Type="http://schemas.openxmlformats.org/officeDocument/2006/relationships/hyperlink" Target="https://api-v3.thaiwater.net/api/v1/thaiwater30/public/waterlevel_load" TargetMode="External"/><Relationship Id="rId757" Type="http://schemas.openxmlformats.org/officeDocument/2006/relationships/hyperlink" Target="https://api-v3.thaiwater.net/api/v1/thaiwater30/public/waterlevel_load" TargetMode="External"/><Relationship Id="rId15" Type="http://schemas.openxmlformats.org/officeDocument/2006/relationships/hyperlink" Target="https://api-v3.thaiwater.net/api/v1/thaiwater30/public/waterlevel_load" TargetMode="External"/><Relationship Id="rId14" Type="http://schemas.openxmlformats.org/officeDocument/2006/relationships/hyperlink" Target="https://api-v3.thaiwater.net/api/v1/thaiwater30/public/waterlevel_load" TargetMode="External"/><Relationship Id="rId17" Type="http://schemas.openxmlformats.org/officeDocument/2006/relationships/hyperlink" Target="https://api-v3.thaiwater.net/api/v1/thaiwater30/public/waterlevel_load" TargetMode="External"/><Relationship Id="rId16" Type="http://schemas.openxmlformats.org/officeDocument/2006/relationships/hyperlink" Target="https://api-v3.thaiwater.net/api/v1/thaiwater30/public/waterlevel_load" TargetMode="External"/><Relationship Id="rId19" Type="http://schemas.openxmlformats.org/officeDocument/2006/relationships/hyperlink" Target="https://api-v3.thaiwater.net/api/v1/thaiwater30/public/waterlevel_load" TargetMode="External"/><Relationship Id="rId510" Type="http://schemas.openxmlformats.org/officeDocument/2006/relationships/hyperlink" Target="https://api-v3.thaiwater.net/api/v1/thaiwater30/public/waterlevel_load" TargetMode="External"/><Relationship Id="rId752" Type="http://schemas.openxmlformats.org/officeDocument/2006/relationships/hyperlink" Target="https://api-v3.thaiwater.net/api/v1/thaiwater30/public/waterlevel_load" TargetMode="External"/><Relationship Id="rId18" Type="http://schemas.openxmlformats.org/officeDocument/2006/relationships/hyperlink" Target="https://api-v3.thaiwater.net/api/v1/thaiwater30/public/waterlevel_load" TargetMode="External"/><Relationship Id="rId751" Type="http://schemas.openxmlformats.org/officeDocument/2006/relationships/hyperlink" Target="https://api-v3.thaiwater.net/api/v1/thaiwater30/public/waterlevel_load" TargetMode="External"/><Relationship Id="rId750" Type="http://schemas.openxmlformats.org/officeDocument/2006/relationships/hyperlink" Target="https://api-v3.thaiwater.net/api/v1/thaiwater30/public/waterlevel_load" TargetMode="External"/><Relationship Id="rId84" Type="http://schemas.openxmlformats.org/officeDocument/2006/relationships/hyperlink" Target="https://api-v3.thaiwater.net/api/v1/thaiwater30/public/waterlevel_load" TargetMode="External"/><Relationship Id="rId83" Type="http://schemas.openxmlformats.org/officeDocument/2006/relationships/hyperlink" Target="https://api-v3.thaiwater.net/api/v1/thaiwater30/public/waterlevel_load" TargetMode="External"/><Relationship Id="rId86" Type="http://schemas.openxmlformats.org/officeDocument/2006/relationships/hyperlink" Target="https://api-v3.thaiwater.net/api/v1/thaiwater30/public/waterlevel_load" TargetMode="External"/><Relationship Id="rId85" Type="http://schemas.openxmlformats.org/officeDocument/2006/relationships/hyperlink" Target="https://api-v3.thaiwater.net/api/v1/thaiwater30/public/waterlevel_load" TargetMode="External"/><Relationship Id="rId88" Type="http://schemas.openxmlformats.org/officeDocument/2006/relationships/hyperlink" Target="https://api-v3.thaiwater.net/api/v1/thaiwater30/public/waterlevel_load" TargetMode="External"/><Relationship Id="rId87" Type="http://schemas.openxmlformats.org/officeDocument/2006/relationships/hyperlink" Target="https://api-v3.thaiwater.net/api/v1/thaiwater30/public/waterlevel_load" TargetMode="External"/><Relationship Id="rId89" Type="http://schemas.openxmlformats.org/officeDocument/2006/relationships/hyperlink" Target="https://api-v3.thaiwater.net/api/v1/thaiwater30/public/waterlevel_load" TargetMode="External"/><Relationship Id="rId709" Type="http://schemas.openxmlformats.org/officeDocument/2006/relationships/hyperlink" Target="https://api-v3.thaiwater.net/api/v1/thaiwater30/public/waterlevel_load" TargetMode="External"/><Relationship Id="rId708" Type="http://schemas.openxmlformats.org/officeDocument/2006/relationships/hyperlink" Target="https://api-v3.thaiwater.net/api/v1/thaiwater30/public/waterlevel_load" TargetMode="External"/><Relationship Id="rId707" Type="http://schemas.openxmlformats.org/officeDocument/2006/relationships/hyperlink" Target="https://api-v3.thaiwater.net/api/v1/thaiwater30/public/waterlevel_load" TargetMode="External"/><Relationship Id="rId706" Type="http://schemas.openxmlformats.org/officeDocument/2006/relationships/hyperlink" Target="https://api-v3.thaiwater.net/api/v1/thaiwater30/public/waterlevel_load" TargetMode="External"/><Relationship Id="rId80" Type="http://schemas.openxmlformats.org/officeDocument/2006/relationships/hyperlink" Target="https://api-v3.thaiwater.net/api/v1/thaiwater30/public/waterlevel_load" TargetMode="External"/><Relationship Id="rId82" Type="http://schemas.openxmlformats.org/officeDocument/2006/relationships/hyperlink" Target="https://api-v3.thaiwater.net/api/v1/thaiwater30/public/waterlevel_load" TargetMode="External"/><Relationship Id="rId81" Type="http://schemas.openxmlformats.org/officeDocument/2006/relationships/hyperlink" Target="https://api-v3.thaiwater.net/api/v1/thaiwater30/public/waterlevel_load" TargetMode="External"/><Relationship Id="rId701" Type="http://schemas.openxmlformats.org/officeDocument/2006/relationships/hyperlink" Target="https://api-v3.thaiwater.net/api/v1/thaiwater30/public/waterlevel_load" TargetMode="External"/><Relationship Id="rId700" Type="http://schemas.openxmlformats.org/officeDocument/2006/relationships/hyperlink" Target="https://api-v3.thaiwater.net/api/v1/thaiwater30/public/waterlevel_load" TargetMode="External"/><Relationship Id="rId705" Type="http://schemas.openxmlformats.org/officeDocument/2006/relationships/hyperlink" Target="https://api-v3.thaiwater.net/api/v1/thaiwater30/public/waterlevel_load" TargetMode="External"/><Relationship Id="rId704" Type="http://schemas.openxmlformats.org/officeDocument/2006/relationships/hyperlink" Target="https://api-v3.thaiwater.net/api/v1/thaiwater30/public/waterlevel_load" TargetMode="External"/><Relationship Id="rId703" Type="http://schemas.openxmlformats.org/officeDocument/2006/relationships/hyperlink" Target="https://api-v3.thaiwater.net/api/v1/thaiwater30/public/waterlevel_load" TargetMode="External"/><Relationship Id="rId702" Type="http://schemas.openxmlformats.org/officeDocument/2006/relationships/hyperlink" Target="https://api-v3.thaiwater.net/api/v1/thaiwater30/public/waterlevel_load" TargetMode="External"/><Relationship Id="rId73" Type="http://schemas.openxmlformats.org/officeDocument/2006/relationships/hyperlink" Target="https://api-v3.thaiwater.net/api/v1/thaiwater30/public/waterlevel_load" TargetMode="External"/><Relationship Id="rId72" Type="http://schemas.openxmlformats.org/officeDocument/2006/relationships/hyperlink" Target="https://api-v3.thaiwater.net/api/v1/thaiwater30/public/waterlevel_load" TargetMode="External"/><Relationship Id="rId75" Type="http://schemas.openxmlformats.org/officeDocument/2006/relationships/hyperlink" Target="https://api-v3.thaiwater.net/api/v1/thaiwater30/public/waterlevel_load" TargetMode="External"/><Relationship Id="rId74" Type="http://schemas.openxmlformats.org/officeDocument/2006/relationships/hyperlink" Target="https://api-v3.thaiwater.net/api/v1/thaiwater30/public/waterlevel_load" TargetMode="External"/><Relationship Id="rId77" Type="http://schemas.openxmlformats.org/officeDocument/2006/relationships/hyperlink" Target="https://api-v3.thaiwater.net/api/v1/thaiwater30/public/waterlevel_load" TargetMode="External"/><Relationship Id="rId76" Type="http://schemas.openxmlformats.org/officeDocument/2006/relationships/hyperlink" Target="https://api-v3.thaiwater.net/api/v1/thaiwater30/public/waterlevel_load" TargetMode="External"/><Relationship Id="rId79" Type="http://schemas.openxmlformats.org/officeDocument/2006/relationships/hyperlink" Target="https://api-v3.thaiwater.net/api/v1/thaiwater30/public/waterlevel_load" TargetMode="External"/><Relationship Id="rId78" Type="http://schemas.openxmlformats.org/officeDocument/2006/relationships/hyperlink" Target="https://api-v3.thaiwater.net/api/v1/thaiwater30/public/waterlevel_load" TargetMode="External"/><Relationship Id="rId71" Type="http://schemas.openxmlformats.org/officeDocument/2006/relationships/hyperlink" Target="https://api-v3.thaiwater.net/api/v1/thaiwater30/public/waterlevel_load" TargetMode="External"/><Relationship Id="rId70" Type="http://schemas.openxmlformats.org/officeDocument/2006/relationships/hyperlink" Target="https://api-v3.thaiwater.net/api/v1/thaiwater30/public/waterlevel_load" TargetMode="External"/><Relationship Id="rId62" Type="http://schemas.openxmlformats.org/officeDocument/2006/relationships/hyperlink" Target="https://api-v3.thaiwater.net/api/v1/thaiwater30/public/waterlevel_load" TargetMode="External"/><Relationship Id="rId61" Type="http://schemas.openxmlformats.org/officeDocument/2006/relationships/hyperlink" Target="https://api-v3.thaiwater.net/api/v1/thaiwater30/public/waterlevel_load" TargetMode="External"/><Relationship Id="rId64" Type="http://schemas.openxmlformats.org/officeDocument/2006/relationships/hyperlink" Target="https://api-v3.thaiwater.net/api/v1/thaiwater30/public/waterlevel_load" TargetMode="External"/><Relationship Id="rId63" Type="http://schemas.openxmlformats.org/officeDocument/2006/relationships/hyperlink" Target="https://api-v3.thaiwater.net/api/v1/thaiwater30/public/waterlevel_load" TargetMode="External"/><Relationship Id="rId66" Type="http://schemas.openxmlformats.org/officeDocument/2006/relationships/hyperlink" Target="https://api-v3.thaiwater.net/api/v1/thaiwater30/public/waterlevel_load" TargetMode="External"/><Relationship Id="rId65" Type="http://schemas.openxmlformats.org/officeDocument/2006/relationships/hyperlink" Target="https://api-v3.thaiwater.net/api/v1/thaiwater30/public/waterlevel_load" TargetMode="External"/><Relationship Id="rId68" Type="http://schemas.openxmlformats.org/officeDocument/2006/relationships/hyperlink" Target="https://api-v3.thaiwater.net/api/v1/thaiwater30/public/waterlevel_load" TargetMode="External"/><Relationship Id="rId67" Type="http://schemas.openxmlformats.org/officeDocument/2006/relationships/hyperlink" Target="https://api-v3.thaiwater.net/api/v1/thaiwater30/public/waterlevel_load" TargetMode="External"/><Relationship Id="rId729" Type="http://schemas.openxmlformats.org/officeDocument/2006/relationships/hyperlink" Target="https://api-v3.thaiwater.net/api/v1/thaiwater30/public/waterlevel_load" TargetMode="External"/><Relationship Id="rId728" Type="http://schemas.openxmlformats.org/officeDocument/2006/relationships/hyperlink" Target="https://api-v3.thaiwater.net/api/v1/thaiwater30/public/waterlevel_load" TargetMode="External"/><Relationship Id="rId60" Type="http://schemas.openxmlformats.org/officeDocument/2006/relationships/hyperlink" Target="https://api-v3.thaiwater.net/api/v1/thaiwater30/public/waterlevel_load" TargetMode="External"/><Relationship Id="rId723" Type="http://schemas.openxmlformats.org/officeDocument/2006/relationships/hyperlink" Target="https://api-v3.thaiwater.net/api/v1/thaiwater30/public/waterlevel_load" TargetMode="External"/><Relationship Id="rId722" Type="http://schemas.openxmlformats.org/officeDocument/2006/relationships/hyperlink" Target="https://api-v3.thaiwater.net/api/v1/thaiwater30/public/waterlevel_load" TargetMode="External"/><Relationship Id="rId721" Type="http://schemas.openxmlformats.org/officeDocument/2006/relationships/hyperlink" Target="https://api-v3.thaiwater.net/api/v1/thaiwater30/public/waterlevel_load" TargetMode="External"/><Relationship Id="rId720" Type="http://schemas.openxmlformats.org/officeDocument/2006/relationships/hyperlink" Target="https://api-v3.thaiwater.net/api/v1/thaiwater30/public/waterlevel_load" TargetMode="External"/><Relationship Id="rId727" Type="http://schemas.openxmlformats.org/officeDocument/2006/relationships/hyperlink" Target="https://api-v3.thaiwater.net/api/v1/thaiwater30/public/waterlevel_load" TargetMode="External"/><Relationship Id="rId726" Type="http://schemas.openxmlformats.org/officeDocument/2006/relationships/hyperlink" Target="https://api-v3.thaiwater.net/api/v1/thaiwater30/public/waterlevel_load" TargetMode="External"/><Relationship Id="rId725" Type="http://schemas.openxmlformats.org/officeDocument/2006/relationships/hyperlink" Target="https://api-v3.thaiwater.net/api/v1/thaiwater30/public/waterlevel_load" TargetMode="External"/><Relationship Id="rId724" Type="http://schemas.openxmlformats.org/officeDocument/2006/relationships/hyperlink" Target="https://api-v3.thaiwater.net/api/v1/thaiwater30/public/waterlevel_load" TargetMode="External"/><Relationship Id="rId69" Type="http://schemas.openxmlformats.org/officeDocument/2006/relationships/hyperlink" Target="https://api-v3.thaiwater.net/api/v1/thaiwater30/public/waterlevel_load" TargetMode="External"/><Relationship Id="rId51" Type="http://schemas.openxmlformats.org/officeDocument/2006/relationships/hyperlink" Target="https://api-v3.thaiwater.net/api/v1/thaiwater30/public/waterlevel_load" TargetMode="External"/><Relationship Id="rId50" Type="http://schemas.openxmlformats.org/officeDocument/2006/relationships/hyperlink" Target="https://api-v3.thaiwater.net/api/v1/thaiwater30/public/waterlevel_load" TargetMode="External"/><Relationship Id="rId53" Type="http://schemas.openxmlformats.org/officeDocument/2006/relationships/hyperlink" Target="https://api-v3.thaiwater.net/api/v1/thaiwater30/public/waterlevel_load" TargetMode="External"/><Relationship Id="rId52" Type="http://schemas.openxmlformats.org/officeDocument/2006/relationships/hyperlink" Target="https://api-v3.thaiwater.net/api/v1/thaiwater30/public/waterlevel_load" TargetMode="External"/><Relationship Id="rId55" Type="http://schemas.openxmlformats.org/officeDocument/2006/relationships/hyperlink" Target="https://api-v3.thaiwater.net/api/v1/thaiwater30/public/waterlevel_load" TargetMode="External"/><Relationship Id="rId54" Type="http://schemas.openxmlformats.org/officeDocument/2006/relationships/hyperlink" Target="https://api-v3.thaiwater.net/api/v1/thaiwater30/public/waterlevel_load" TargetMode="External"/><Relationship Id="rId57" Type="http://schemas.openxmlformats.org/officeDocument/2006/relationships/hyperlink" Target="https://api-v3.thaiwater.net/api/v1/thaiwater30/public/waterlevel_load" TargetMode="External"/><Relationship Id="rId56" Type="http://schemas.openxmlformats.org/officeDocument/2006/relationships/hyperlink" Target="https://api-v3.thaiwater.net/api/v1/thaiwater30/public/waterlevel_load" TargetMode="External"/><Relationship Id="rId719" Type="http://schemas.openxmlformats.org/officeDocument/2006/relationships/hyperlink" Target="https://api-v3.thaiwater.net/api/v1/thaiwater30/public/waterlevel_load" TargetMode="External"/><Relationship Id="rId718" Type="http://schemas.openxmlformats.org/officeDocument/2006/relationships/hyperlink" Target="https://api-v3.thaiwater.net/api/v1/thaiwater30/public/waterlevel_load" TargetMode="External"/><Relationship Id="rId717" Type="http://schemas.openxmlformats.org/officeDocument/2006/relationships/hyperlink" Target="https://api-v3.thaiwater.net/api/v1/thaiwater30/public/waterlevel_load" TargetMode="External"/><Relationship Id="rId712" Type="http://schemas.openxmlformats.org/officeDocument/2006/relationships/hyperlink" Target="https://api-v3.thaiwater.net/api/v1/thaiwater30/public/waterlevel_load" TargetMode="External"/><Relationship Id="rId711" Type="http://schemas.openxmlformats.org/officeDocument/2006/relationships/hyperlink" Target="https://api-v3.thaiwater.net/api/v1/thaiwater30/public/waterlevel_load" TargetMode="External"/><Relationship Id="rId710" Type="http://schemas.openxmlformats.org/officeDocument/2006/relationships/hyperlink" Target="https://api-v3.thaiwater.net/api/v1/thaiwater30/public/waterlevel_load" TargetMode="External"/><Relationship Id="rId716" Type="http://schemas.openxmlformats.org/officeDocument/2006/relationships/hyperlink" Target="https://api-v3.thaiwater.net/api/v1/thaiwater30/public/waterlevel_load" TargetMode="External"/><Relationship Id="rId715" Type="http://schemas.openxmlformats.org/officeDocument/2006/relationships/hyperlink" Target="https://api-v3.thaiwater.net/api/v1/thaiwater30/public/waterlevel_load" TargetMode="External"/><Relationship Id="rId714" Type="http://schemas.openxmlformats.org/officeDocument/2006/relationships/hyperlink" Target="https://api-v3.thaiwater.net/api/v1/thaiwater30/public/waterlevel_load" TargetMode="External"/><Relationship Id="rId713" Type="http://schemas.openxmlformats.org/officeDocument/2006/relationships/hyperlink" Target="https://api-v3.thaiwater.net/api/v1/thaiwater30/public/waterlevel_load" TargetMode="External"/><Relationship Id="rId59" Type="http://schemas.openxmlformats.org/officeDocument/2006/relationships/hyperlink" Target="https://api-v3.thaiwater.net/api/v1/thaiwater30/public/waterlevel_load" TargetMode="External"/><Relationship Id="rId58" Type="http://schemas.openxmlformats.org/officeDocument/2006/relationships/hyperlink" Target="https://api-v3.thaiwater.net/api/v1/thaiwater30/public/waterlevel_load" TargetMode="External"/><Relationship Id="rId590" Type="http://schemas.openxmlformats.org/officeDocument/2006/relationships/hyperlink" Target="https://api-v3.thaiwater.net/api/v1/thaiwater30/public/waterlevel_load" TargetMode="External"/><Relationship Id="rId107" Type="http://schemas.openxmlformats.org/officeDocument/2006/relationships/hyperlink" Target="https://api-v3.thaiwater.net/api/v1/thaiwater30/public/waterlevel_load" TargetMode="External"/><Relationship Id="rId349" Type="http://schemas.openxmlformats.org/officeDocument/2006/relationships/hyperlink" Target="https://api-v3.thaiwater.net/api/v1/thaiwater30/public/waterlevel_load" TargetMode="External"/><Relationship Id="rId106" Type="http://schemas.openxmlformats.org/officeDocument/2006/relationships/hyperlink" Target="https://api-v3.thaiwater.net/api/v1/thaiwater30/public/waterlevel_load" TargetMode="External"/><Relationship Id="rId348" Type="http://schemas.openxmlformats.org/officeDocument/2006/relationships/hyperlink" Target="https://api-v3.thaiwater.net/api/v1/thaiwater30/public/waterlevel_load" TargetMode="External"/><Relationship Id="rId105" Type="http://schemas.openxmlformats.org/officeDocument/2006/relationships/hyperlink" Target="https://api-v3.thaiwater.net/api/v1/thaiwater30/public/waterlevel_load" TargetMode="External"/><Relationship Id="rId347" Type="http://schemas.openxmlformats.org/officeDocument/2006/relationships/hyperlink" Target="https://api-v3.thaiwater.net/api/v1/thaiwater30/public/waterlevel_load" TargetMode="External"/><Relationship Id="rId589" Type="http://schemas.openxmlformats.org/officeDocument/2006/relationships/hyperlink" Target="https://api-v3.thaiwater.net/api/v1/thaiwater30/public/waterlevel_load" TargetMode="External"/><Relationship Id="rId104" Type="http://schemas.openxmlformats.org/officeDocument/2006/relationships/hyperlink" Target="https://api-v3.thaiwater.net/api/v1/thaiwater30/public/waterlevel_load" TargetMode="External"/><Relationship Id="rId346" Type="http://schemas.openxmlformats.org/officeDocument/2006/relationships/hyperlink" Target="https://api-v3.thaiwater.net/api/v1/thaiwater30/public/waterlevel_load" TargetMode="External"/><Relationship Id="rId588" Type="http://schemas.openxmlformats.org/officeDocument/2006/relationships/hyperlink" Target="https://api-v3.thaiwater.net/api/v1/thaiwater30/public/waterlevel_load" TargetMode="External"/><Relationship Id="rId109" Type="http://schemas.openxmlformats.org/officeDocument/2006/relationships/hyperlink" Target="https://api-v3.thaiwater.net/api/v1/thaiwater30/public/waterlevel_load" TargetMode="External"/><Relationship Id="rId108" Type="http://schemas.openxmlformats.org/officeDocument/2006/relationships/hyperlink" Target="https://api-v3.thaiwater.net/api/v1/thaiwater30/public/waterlevel_load" TargetMode="External"/><Relationship Id="rId341" Type="http://schemas.openxmlformats.org/officeDocument/2006/relationships/hyperlink" Target="https://api-v3.thaiwater.net/api/v1/thaiwater30/public/waterlevel_load" TargetMode="External"/><Relationship Id="rId583" Type="http://schemas.openxmlformats.org/officeDocument/2006/relationships/hyperlink" Target="https://api-v3.thaiwater.net/api/v1/thaiwater30/public/waterlevel_load" TargetMode="External"/><Relationship Id="rId340" Type="http://schemas.openxmlformats.org/officeDocument/2006/relationships/hyperlink" Target="https://api-v3.thaiwater.net/api/v1/thaiwater30/public/waterlevel_load" TargetMode="External"/><Relationship Id="rId582" Type="http://schemas.openxmlformats.org/officeDocument/2006/relationships/hyperlink" Target="https://api-v3.thaiwater.net/api/v1/thaiwater30/public/waterlevel_load" TargetMode="External"/><Relationship Id="rId581" Type="http://schemas.openxmlformats.org/officeDocument/2006/relationships/hyperlink" Target="https://api-v3.thaiwater.net/api/v1/thaiwater30/public/waterlevel_load" TargetMode="External"/><Relationship Id="rId580" Type="http://schemas.openxmlformats.org/officeDocument/2006/relationships/hyperlink" Target="https://api-v3.thaiwater.net/api/v1/thaiwater30/public/waterlevel_load" TargetMode="External"/><Relationship Id="rId103" Type="http://schemas.openxmlformats.org/officeDocument/2006/relationships/hyperlink" Target="https://api-v3.thaiwater.net/api/v1/thaiwater30/public/waterlevel_load" TargetMode="External"/><Relationship Id="rId345" Type="http://schemas.openxmlformats.org/officeDocument/2006/relationships/hyperlink" Target="https://api-v3.thaiwater.net/api/v1/thaiwater30/public/waterlevel_load" TargetMode="External"/><Relationship Id="rId587" Type="http://schemas.openxmlformats.org/officeDocument/2006/relationships/hyperlink" Target="https://api-v3.thaiwater.net/api/v1/thaiwater30/public/waterlevel_load" TargetMode="External"/><Relationship Id="rId102" Type="http://schemas.openxmlformats.org/officeDocument/2006/relationships/hyperlink" Target="https://api-v3.thaiwater.net/api/v1/thaiwater30/public/waterlevel_load" TargetMode="External"/><Relationship Id="rId344" Type="http://schemas.openxmlformats.org/officeDocument/2006/relationships/hyperlink" Target="https://api-v3.thaiwater.net/api/v1/thaiwater30/public/waterlevel_load" TargetMode="External"/><Relationship Id="rId586" Type="http://schemas.openxmlformats.org/officeDocument/2006/relationships/hyperlink" Target="https://api-v3.thaiwater.net/api/v1/thaiwater30/public/waterlevel_load" TargetMode="External"/><Relationship Id="rId101" Type="http://schemas.openxmlformats.org/officeDocument/2006/relationships/hyperlink" Target="https://api-v3.thaiwater.net/api/v1/thaiwater30/public/waterlevel_load" TargetMode="External"/><Relationship Id="rId343" Type="http://schemas.openxmlformats.org/officeDocument/2006/relationships/hyperlink" Target="https://api-v3.thaiwater.net/api/v1/thaiwater30/public/waterlevel_load" TargetMode="External"/><Relationship Id="rId585" Type="http://schemas.openxmlformats.org/officeDocument/2006/relationships/hyperlink" Target="https://api-v3.thaiwater.net/api/v1/thaiwater30/public/waterlevel_load" TargetMode="External"/><Relationship Id="rId100" Type="http://schemas.openxmlformats.org/officeDocument/2006/relationships/hyperlink" Target="https://api-v3.thaiwater.net/api/v1/thaiwater30/public/waterlevel_load" TargetMode="External"/><Relationship Id="rId342" Type="http://schemas.openxmlformats.org/officeDocument/2006/relationships/hyperlink" Target="https://api-v3.thaiwater.net/api/v1/thaiwater30/public/waterlevel_load" TargetMode="External"/><Relationship Id="rId584" Type="http://schemas.openxmlformats.org/officeDocument/2006/relationships/hyperlink" Target="https://api-v3.thaiwater.net/api/v1/thaiwater30/public/waterlevel_load" TargetMode="External"/><Relationship Id="rId338" Type="http://schemas.openxmlformats.org/officeDocument/2006/relationships/hyperlink" Target="https://api-v3.thaiwater.net/api/v1/thaiwater30/public/waterlevel_load" TargetMode="External"/><Relationship Id="rId337" Type="http://schemas.openxmlformats.org/officeDocument/2006/relationships/hyperlink" Target="https://api-v3.thaiwater.net/api/v1/thaiwater30/public/waterlevel_load" TargetMode="External"/><Relationship Id="rId579" Type="http://schemas.openxmlformats.org/officeDocument/2006/relationships/hyperlink" Target="https://api-v3.thaiwater.net/api/v1/thaiwater30/public/waterlevel_load" TargetMode="External"/><Relationship Id="rId336" Type="http://schemas.openxmlformats.org/officeDocument/2006/relationships/hyperlink" Target="https://api-v3.thaiwater.net/api/v1/thaiwater30/public/waterlevel_load" TargetMode="External"/><Relationship Id="rId578" Type="http://schemas.openxmlformats.org/officeDocument/2006/relationships/hyperlink" Target="https://api-v3.thaiwater.net/api/v1/thaiwater30/public/waterlevel_load" TargetMode="External"/><Relationship Id="rId335" Type="http://schemas.openxmlformats.org/officeDocument/2006/relationships/hyperlink" Target="https://api-v3.thaiwater.net/api/v1/thaiwater30/public/waterlevel_load" TargetMode="External"/><Relationship Id="rId577" Type="http://schemas.openxmlformats.org/officeDocument/2006/relationships/hyperlink" Target="https://api-v3.thaiwater.net/api/v1/thaiwater30/public/waterlevel_load" TargetMode="External"/><Relationship Id="rId339" Type="http://schemas.openxmlformats.org/officeDocument/2006/relationships/hyperlink" Target="https://api-v3.thaiwater.net/api/v1/thaiwater30/public/waterlevel_load" TargetMode="External"/><Relationship Id="rId330" Type="http://schemas.openxmlformats.org/officeDocument/2006/relationships/hyperlink" Target="https://api-v3.thaiwater.net/api/v1/thaiwater30/public/waterlevel_load" TargetMode="External"/><Relationship Id="rId572" Type="http://schemas.openxmlformats.org/officeDocument/2006/relationships/hyperlink" Target="https://api-v3.thaiwater.net/api/v1/thaiwater30/public/waterlevel_load" TargetMode="External"/><Relationship Id="rId571" Type="http://schemas.openxmlformats.org/officeDocument/2006/relationships/hyperlink" Target="https://api-v3.thaiwater.net/api/v1/thaiwater30/public/waterlevel_load" TargetMode="External"/><Relationship Id="rId570" Type="http://schemas.openxmlformats.org/officeDocument/2006/relationships/hyperlink" Target="https://api-v3.thaiwater.net/api/v1/thaiwater30/public/waterlevel_load" TargetMode="External"/><Relationship Id="rId334" Type="http://schemas.openxmlformats.org/officeDocument/2006/relationships/hyperlink" Target="https://api-v3.thaiwater.net/api/v1/thaiwater30/public/waterlevel_load" TargetMode="External"/><Relationship Id="rId576" Type="http://schemas.openxmlformats.org/officeDocument/2006/relationships/hyperlink" Target="https://api-v3.thaiwater.net/api/v1/thaiwater30/public/waterlevel_load" TargetMode="External"/><Relationship Id="rId333" Type="http://schemas.openxmlformats.org/officeDocument/2006/relationships/hyperlink" Target="https://api-v3.thaiwater.net/api/v1/thaiwater30/public/waterlevel_load" TargetMode="External"/><Relationship Id="rId575" Type="http://schemas.openxmlformats.org/officeDocument/2006/relationships/hyperlink" Target="https://api-v3.thaiwater.net/api/v1/thaiwater30/public/waterlevel_load" TargetMode="External"/><Relationship Id="rId332" Type="http://schemas.openxmlformats.org/officeDocument/2006/relationships/hyperlink" Target="https://api-v3.thaiwater.net/api/v1/thaiwater30/public/waterlevel_load" TargetMode="External"/><Relationship Id="rId574" Type="http://schemas.openxmlformats.org/officeDocument/2006/relationships/hyperlink" Target="https://api-v3.thaiwater.net/api/v1/thaiwater30/public/waterlevel_load" TargetMode="External"/><Relationship Id="rId331" Type="http://schemas.openxmlformats.org/officeDocument/2006/relationships/hyperlink" Target="https://api-v3.thaiwater.net/api/v1/thaiwater30/public/waterlevel_load" TargetMode="External"/><Relationship Id="rId573" Type="http://schemas.openxmlformats.org/officeDocument/2006/relationships/hyperlink" Target="https://api-v3.thaiwater.net/api/v1/thaiwater30/public/waterlevel_load" TargetMode="External"/><Relationship Id="rId370" Type="http://schemas.openxmlformats.org/officeDocument/2006/relationships/hyperlink" Target="https://api-v3.thaiwater.net/api/v1/thaiwater30/public/waterlevel_load" TargetMode="External"/><Relationship Id="rId129" Type="http://schemas.openxmlformats.org/officeDocument/2006/relationships/hyperlink" Target="https://api-v3.thaiwater.net/api/v1/thaiwater30/public/waterlevel_load" TargetMode="External"/><Relationship Id="rId128" Type="http://schemas.openxmlformats.org/officeDocument/2006/relationships/hyperlink" Target="https://api-v3.thaiwater.net/api/v1/thaiwater30/public/waterlevel_load" TargetMode="External"/><Relationship Id="rId127" Type="http://schemas.openxmlformats.org/officeDocument/2006/relationships/hyperlink" Target="https://api-v3.thaiwater.net/api/v1/thaiwater30/public/waterlevel_load" TargetMode="External"/><Relationship Id="rId369" Type="http://schemas.openxmlformats.org/officeDocument/2006/relationships/hyperlink" Target="https://api-v3.thaiwater.net/api/v1/thaiwater30/public/waterlevel_load" TargetMode="External"/><Relationship Id="rId126" Type="http://schemas.openxmlformats.org/officeDocument/2006/relationships/hyperlink" Target="https://api-v3.thaiwater.net/api/v1/thaiwater30/public/waterlevel_load" TargetMode="External"/><Relationship Id="rId368" Type="http://schemas.openxmlformats.org/officeDocument/2006/relationships/hyperlink" Target="https://api-v3.thaiwater.net/api/v1/thaiwater30/public/waterlevel_load" TargetMode="External"/><Relationship Id="rId121" Type="http://schemas.openxmlformats.org/officeDocument/2006/relationships/hyperlink" Target="https://api-v3.thaiwater.net/api/v1/thaiwater30/public/waterlevel_load" TargetMode="External"/><Relationship Id="rId363" Type="http://schemas.openxmlformats.org/officeDocument/2006/relationships/hyperlink" Target="https://api-v3.thaiwater.net/api/v1/thaiwater30/public/waterlevel_load" TargetMode="External"/><Relationship Id="rId120" Type="http://schemas.openxmlformats.org/officeDocument/2006/relationships/hyperlink" Target="https://api-v3.thaiwater.net/api/v1/thaiwater30/public/waterlevel_load" TargetMode="External"/><Relationship Id="rId362" Type="http://schemas.openxmlformats.org/officeDocument/2006/relationships/hyperlink" Target="https://api-v3.thaiwater.net/api/v1/thaiwater30/public/waterlevel_load" TargetMode="External"/><Relationship Id="rId361" Type="http://schemas.openxmlformats.org/officeDocument/2006/relationships/hyperlink" Target="https://api-v3.thaiwater.net/api/v1/thaiwater30/public/waterlevel_load" TargetMode="External"/><Relationship Id="rId360" Type="http://schemas.openxmlformats.org/officeDocument/2006/relationships/hyperlink" Target="https://api-v3.thaiwater.net/api/v1/thaiwater30/public/waterlevel_load" TargetMode="External"/><Relationship Id="rId125" Type="http://schemas.openxmlformats.org/officeDocument/2006/relationships/hyperlink" Target="https://api-v3.thaiwater.net/api/v1/thaiwater30/public/waterlevel_load" TargetMode="External"/><Relationship Id="rId367" Type="http://schemas.openxmlformats.org/officeDocument/2006/relationships/hyperlink" Target="https://api-v3.thaiwater.net/api/v1/thaiwater30/public/waterlevel_load" TargetMode="External"/><Relationship Id="rId124" Type="http://schemas.openxmlformats.org/officeDocument/2006/relationships/hyperlink" Target="https://api-v3.thaiwater.net/api/v1/thaiwater30/public/waterlevel_load" TargetMode="External"/><Relationship Id="rId366" Type="http://schemas.openxmlformats.org/officeDocument/2006/relationships/hyperlink" Target="https://api-v3.thaiwater.net/api/v1/thaiwater30/public/waterlevel_load" TargetMode="External"/><Relationship Id="rId123" Type="http://schemas.openxmlformats.org/officeDocument/2006/relationships/hyperlink" Target="https://api-v3.thaiwater.net/api/v1/thaiwater30/public/waterlevel_load" TargetMode="External"/><Relationship Id="rId365" Type="http://schemas.openxmlformats.org/officeDocument/2006/relationships/hyperlink" Target="https://api-v3.thaiwater.net/api/v1/thaiwater30/public/waterlevel_load" TargetMode="External"/><Relationship Id="rId122" Type="http://schemas.openxmlformats.org/officeDocument/2006/relationships/hyperlink" Target="https://api-v3.thaiwater.net/api/v1/thaiwater30/public/waterlevel_load" TargetMode="External"/><Relationship Id="rId364" Type="http://schemas.openxmlformats.org/officeDocument/2006/relationships/hyperlink" Target="https://api-v3.thaiwater.net/api/v1/thaiwater30/public/waterlevel_load" TargetMode="External"/><Relationship Id="rId95" Type="http://schemas.openxmlformats.org/officeDocument/2006/relationships/hyperlink" Target="https://api-v3.thaiwater.net/api/v1/thaiwater30/public/waterlevel_load" TargetMode="External"/><Relationship Id="rId94" Type="http://schemas.openxmlformats.org/officeDocument/2006/relationships/hyperlink" Target="https://api-v3.thaiwater.net/api/v1/thaiwater30/public/waterlevel_load" TargetMode="External"/><Relationship Id="rId97" Type="http://schemas.openxmlformats.org/officeDocument/2006/relationships/hyperlink" Target="https://api-v3.thaiwater.net/api/v1/thaiwater30/public/waterlevel_load" TargetMode="External"/><Relationship Id="rId96" Type="http://schemas.openxmlformats.org/officeDocument/2006/relationships/hyperlink" Target="https://api-v3.thaiwater.net/api/v1/thaiwater30/public/waterlevel_load" TargetMode="External"/><Relationship Id="rId99" Type="http://schemas.openxmlformats.org/officeDocument/2006/relationships/hyperlink" Target="https://api-v3.thaiwater.net/api/v1/thaiwater30/public/waterlevel_load" TargetMode="External"/><Relationship Id="rId98" Type="http://schemas.openxmlformats.org/officeDocument/2006/relationships/hyperlink" Target="https://api-v3.thaiwater.net/api/v1/thaiwater30/public/waterlevel_load" TargetMode="External"/><Relationship Id="rId91" Type="http://schemas.openxmlformats.org/officeDocument/2006/relationships/hyperlink" Target="https://api-v3.thaiwater.net/api/v1/thaiwater30/public/waterlevel_load" TargetMode="External"/><Relationship Id="rId90" Type="http://schemas.openxmlformats.org/officeDocument/2006/relationships/hyperlink" Target="https://api-v3.thaiwater.net/api/v1/thaiwater30/public/waterlevel_load" TargetMode="External"/><Relationship Id="rId93" Type="http://schemas.openxmlformats.org/officeDocument/2006/relationships/hyperlink" Target="https://api-v3.thaiwater.net/api/v1/thaiwater30/public/waterlevel_load" TargetMode="External"/><Relationship Id="rId92" Type="http://schemas.openxmlformats.org/officeDocument/2006/relationships/hyperlink" Target="https://api-v3.thaiwater.net/api/v1/thaiwater30/public/waterlevel_load" TargetMode="External"/><Relationship Id="rId118" Type="http://schemas.openxmlformats.org/officeDocument/2006/relationships/hyperlink" Target="https://api-v3.thaiwater.net/api/v1/thaiwater30/public/waterlevel_load" TargetMode="External"/><Relationship Id="rId117" Type="http://schemas.openxmlformats.org/officeDocument/2006/relationships/hyperlink" Target="https://api-v3.thaiwater.net/api/v1/thaiwater30/public/waterlevel_load" TargetMode="External"/><Relationship Id="rId359" Type="http://schemas.openxmlformats.org/officeDocument/2006/relationships/hyperlink" Target="https://api-v3.thaiwater.net/api/v1/thaiwater30/public/waterlevel_load" TargetMode="External"/><Relationship Id="rId116" Type="http://schemas.openxmlformats.org/officeDocument/2006/relationships/hyperlink" Target="https://api-v3.thaiwater.net/api/v1/thaiwater30/public/waterlevel_load" TargetMode="External"/><Relationship Id="rId358" Type="http://schemas.openxmlformats.org/officeDocument/2006/relationships/hyperlink" Target="https://api-v3.thaiwater.net/api/v1/thaiwater30/public/waterlevel_load" TargetMode="External"/><Relationship Id="rId115" Type="http://schemas.openxmlformats.org/officeDocument/2006/relationships/hyperlink" Target="https://api-v3.thaiwater.net/api/v1/thaiwater30/public/waterlevel_load" TargetMode="External"/><Relationship Id="rId357" Type="http://schemas.openxmlformats.org/officeDocument/2006/relationships/hyperlink" Target="https://api-v3.thaiwater.net/api/v1/thaiwater30/public/waterlevel_load" TargetMode="External"/><Relationship Id="rId599" Type="http://schemas.openxmlformats.org/officeDocument/2006/relationships/hyperlink" Target="https://api-v3.thaiwater.net/api/v1/thaiwater30/public/waterlevel_load" TargetMode="External"/><Relationship Id="rId119" Type="http://schemas.openxmlformats.org/officeDocument/2006/relationships/hyperlink" Target="https://api-v3.thaiwater.net/api/v1/thaiwater30/public/waterlevel_load" TargetMode="External"/><Relationship Id="rId110" Type="http://schemas.openxmlformats.org/officeDocument/2006/relationships/hyperlink" Target="https://api-v3.thaiwater.net/api/v1/thaiwater30/public/waterlevel_load" TargetMode="External"/><Relationship Id="rId352" Type="http://schemas.openxmlformats.org/officeDocument/2006/relationships/hyperlink" Target="https://api-v3.thaiwater.net/api/v1/thaiwater30/public/waterlevel_load" TargetMode="External"/><Relationship Id="rId594" Type="http://schemas.openxmlformats.org/officeDocument/2006/relationships/hyperlink" Target="https://api-v3.thaiwater.net/api/v1/thaiwater30/public/waterlevel_load" TargetMode="External"/><Relationship Id="rId351" Type="http://schemas.openxmlformats.org/officeDocument/2006/relationships/hyperlink" Target="https://api-v3.thaiwater.net/api/v1/thaiwater30/public/waterlevel_load" TargetMode="External"/><Relationship Id="rId593" Type="http://schemas.openxmlformats.org/officeDocument/2006/relationships/hyperlink" Target="https://api-v3.thaiwater.net/api/v1/thaiwater30/public/waterlevel_load" TargetMode="External"/><Relationship Id="rId350" Type="http://schemas.openxmlformats.org/officeDocument/2006/relationships/hyperlink" Target="https://api-v3.thaiwater.net/api/v1/thaiwater30/public/waterlevel_load" TargetMode="External"/><Relationship Id="rId592" Type="http://schemas.openxmlformats.org/officeDocument/2006/relationships/hyperlink" Target="https://api-v3.thaiwater.net/api/v1/thaiwater30/public/waterlevel_load" TargetMode="External"/><Relationship Id="rId591" Type="http://schemas.openxmlformats.org/officeDocument/2006/relationships/hyperlink" Target="https://api-v3.thaiwater.net/api/v1/thaiwater30/public/waterlevel_load" TargetMode="External"/><Relationship Id="rId114" Type="http://schemas.openxmlformats.org/officeDocument/2006/relationships/hyperlink" Target="https://api-v3.thaiwater.net/api/v1/thaiwater30/public/waterlevel_load" TargetMode="External"/><Relationship Id="rId356" Type="http://schemas.openxmlformats.org/officeDocument/2006/relationships/hyperlink" Target="https://api-v3.thaiwater.net/api/v1/thaiwater30/public/waterlevel_load" TargetMode="External"/><Relationship Id="rId598" Type="http://schemas.openxmlformats.org/officeDocument/2006/relationships/hyperlink" Target="https://api-v3.thaiwater.net/api/v1/thaiwater30/public/waterlevel_load" TargetMode="External"/><Relationship Id="rId113" Type="http://schemas.openxmlformats.org/officeDocument/2006/relationships/hyperlink" Target="https://api-v3.thaiwater.net/api/v1/thaiwater30/public/waterlevel_load" TargetMode="External"/><Relationship Id="rId355" Type="http://schemas.openxmlformats.org/officeDocument/2006/relationships/hyperlink" Target="https://api-v3.thaiwater.net/api/v1/thaiwater30/public/waterlevel_load" TargetMode="External"/><Relationship Id="rId597" Type="http://schemas.openxmlformats.org/officeDocument/2006/relationships/hyperlink" Target="https://api-v3.thaiwater.net/api/v1/thaiwater30/public/waterlevel_load" TargetMode="External"/><Relationship Id="rId112" Type="http://schemas.openxmlformats.org/officeDocument/2006/relationships/hyperlink" Target="https://api-v3.thaiwater.net/api/v1/thaiwater30/public/waterlevel_load" TargetMode="External"/><Relationship Id="rId354" Type="http://schemas.openxmlformats.org/officeDocument/2006/relationships/hyperlink" Target="https://api-v3.thaiwater.net/api/v1/thaiwater30/public/waterlevel_load" TargetMode="External"/><Relationship Id="rId596" Type="http://schemas.openxmlformats.org/officeDocument/2006/relationships/hyperlink" Target="https://api-v3.thaiwater.net/api/v1/thaiwater30/public/waterlevel_load" TargetMode="External"/><Relationship Id="rId111" Type="http://schemas.openxmlformats.org/officeDocument/2006/relationships/hyperlink" Target="https://api-v3.thaiwater.net/api/v1/thaiwater30/public/waterlevel_load" TargetMode="External"/><Relationship Id="rId353" Type="http://schemas.openxmlformats.org/officeDocument/2006/relationships/hyperlink" Target="https://api-v3.thaiwater.net/api/v1/thaiwater30/public/waterlevel_load" TargetMode="External"/><Relationship Id="rId595" Type="http://schemas.openxmlformats.org/officeDocument/2006/relationships/hyperlink" Target="https://api-v3.thaiwater.net/api/v1/thaiwater30/public/waterlevel_load" TargetMode="External"/><Relationship Id="rId305" Type="http://schemas.openxmlformats.org/officeDocument/2006/relationships/hyperlink" Target="https://api-v3.thaiwater.net/api/v1/thaiwater30/public/waterlevel_load" TargetMode="External"/><Relationship Id="rId547" Type="http://schemas.openxmlformats.org/officeDocument/2006/relationships/hyperlink" Target="https://api-v3.thaiwater.net/api/v1/thaiwater30/public/waterlevel_load" TargetMode="External"/><Relationship Id="rId789" Type="http://schemas.openxmlformats.org/officeDocument/2006/relationships/hyperlink" Target="https://api-v3.thaiwater.net/api/v1/thaiwater30/public/waterlevel_load" TargetMode="External"/><Relationship Id="rId304" Type="http://schemas.openxmlformats.org/officeDocument/2006/relationships/hyperlink" Target="https://api-v3.thaiwater.net/api/v1/thaiwater30/public/waterlevel_load" TargetMode="External"/><Relationship Id="rId546" Type="http://schemas.openxmlformats.org/officeDocument/2006/relationships/hyperlink" Target="https://api-v3.thaiwater.net/api/v1/thaiwater30/public/waterlevel_load" TargetMode="External"/><Relationship Id="rId788" Type="http://schemas.openxmlformats.org/officeDocument/2006/relationships/hyperlink" Target="https://api-v3.thaiwater.net/api/v1/thaiwater30/public/waterlevel_load" TargetMode="External"/><Relationship Id="rId303" Type="http://schemas.openxmlformats.org/officeDocument/2006/relationships/hyperlink" Target="https://api-v3.thaiwater.net/api/v1/thaiwater30/public/waterlevel_load" TargetMode="External"/><Relationship Id="rId545" Type="http://schemas.openxmlformats.org/officeDocument/2006/relationships/hyperlink" Target="https://api-v3.thaiwater.net/api/v1/thaiwater30/public/waterlevel_load" TargetMode="External"/><Relationship Id="rId787" Type="http://schemas.openxmlformats.org/officeDocument/2006/relationships/hyperlink" Target="https://api-v3.thaiwater.net/api/v1/thaiwater30/public/waterlevel_load" TargetMode="External"/><Relationship Id="rId302" Type="http://schemas.openxmlformats.org/officeDocument/2006/relationships/hyperlink" Target="https://api-v3.thaiwater.net/api/v1/thaiwater30/public/waterlevel_load" TargetMode="External"/><Relationship Id="rId544" Type="http://schemas.openxmlformats.org/officeDocument/2006/relationships/hyperlink" Target="https://api-v3.thaiwater.net/api/v1/thaiwater30/public/waterlevel_load" TargetMode="External"/><Relationship Id="rId786" Type="http://schemas.openxmlformats.org/officeDocument/2006/relationships/hyperlink" Target="https://api-v3.thaiwater.net/api/v1/thaiwater30/public/waterlevel_load" TargetMode="External"/><Relationship Id="rId309" Type="http://schemas.openxmlformats.org/officeDocument/2006/relationships/hyperlink" Target="https://api-v3.thaiwater.net/api/v1/thaiwater30/public/waterlevel_load" TargetMode="External"/><Relationship Id="rId308" Type="http://schemas.openxmlformats.org/officeDocument/2006/relationships/hyperlink" Target="https://api-v3.thaiwater.net/api/v1/thaiwater30/public/waterlevel_load" TargetMode="External"/><Relationship Id="rId307" Type="http://schemas.openxmlformats.org/officeDocument/2006/relationships/hyperlink" Target="https://api-v3.thaiwater.net/api/v1/thaiwater30/public/waterlevel_load" TargetMode="External"/><Relationship Id="rId549" Type="http://schemas.openxmlformats.org/officeDocument/2006/relationships/hyperlink" Target="https://api-v3.thaiwater.net/api/v1/thaiwater30/public/waterlevel_load" TargetMode="External"/><Relationship Id="rId306" Type="http://schemas.openxmlformats.org/officeDocument/2006/relationships/hyperlink" Target="https://api-v3.thaiwater.net/api/v1/thaiwater30/public/waterlevel_load" TargetMode="External"/><Relationship Id="rId548" Type="http://schemas.openxmlformats.org/officeDocument/2006/relationships/hyperlink" Target="https://api-v3.thaiwater.net/api/v1/thaiwater30/public/waterlevel_load" TargetMode="External"/><Relationship Id="rId781" Type="http://schemas.openxmlformats.org/officeDocument/2006/relationships/hyperlink" Target="https://api-v3.thaiwater.net/api/v1/thaiwater30/public/waterlevel_load" TargetMode="External"/><Relationship Id="rId780" Type="http://schemas.openxmlformats.org/officeDocument/2006/relationships/hyperlink" Target="https://api-v3.thaiwater.net/api/v1/thaiwater30/public/waterlevel_load" TargetMode="External"/><Relationship Id="rId301" Type="http://schemas.openxmlformats.org/officeDocument/2006/relationships/hyperlink" Target="https://api-v3.thaiwater.net/api/v1/thaiwater30/public/waterlevel_load" TargetMode="External"/><Relationship Id="rId543" Type="http://schemas.openxmlformats.org/officeDocument/2006/relationships/hyperlink" Target="https://api-v3.thaiwater.net/api/v1/thaiwater30/public/waterlevel_load" TargetMode="External"/><Relationship Id="rId785" Type="http://schemas.openxmlformats.org/officeDocument/2006/relationships/hyperlink" Target="https://api-v3.thaiwater.net/api/v1/thaiwater30/public/waterlevel_load" TargetMode="External"/><Relationship Id="rId300" Type="http://schemas.openxmlformats.org/officeDocument/2006/relationships/hyperlink" Target="https://api-v3.thaiwater.net/api/v1/thaiwater30/public/waterlevel_load" TargetMode="External"/><Relationship Id="rId542" Type="http://schemas.openxmlformats.org/officeDocument/2006/relationships/hyperlink" Target="https://api-v3.thaiwater.net/api/v1/thaiwater30/public/waterlevel_load" TargetMode="External"/><Relationship Id="rId784" Type="http://schemas.openxmlformats.org/officeDocument/2006/relationships/hyperlink" Target="https://api-v3.thaiwater.net/api/v1/thaiwater30/public/waterlevel_load" TargetMode="External"/><Relationship Id="rId541" Type="http://schemas.openxmlformats.org/officeDocument/2006/relationships/hyperlink" Target="https://api-v3.thaiwater.net/api/v1/thaiwater30/public/waterlevel_load" TargetMode="External"/><Relationship Id="rId783" Type="http://schemas.openxmlformats.org/officeDocument/2006/relationships/hyperlink" Target="https://api-v3.thaiwater.net/api/v1/thaiwater30/public/waterlevel_load" TargetMode="External"/><Relationship Id="rId540" Type="http://schemas.openxmlformats.org/officeDocument/2006/relationships/hyperlink" Target="https://api-v3.thaiwater.net/api/v1/thaiwater30/public/waterlevel_load" TargetMode="External"/><Relationship Id="rId782" Type="http://schemas.openxmlformats.org/officeDocument/2006/relationships/hyperlink" Target="https://api-v3.thaiwater.net/api/v1/thaiwater30/public/waterlevel_load" TargetMode="External"/><Relationship Id="rId536" Type="http://schemas.openxmlformats.org/officeDocument/2006/relationships/hyperlink" Target="https://api-v3.thaiwater.net/api/v1/thaiwater30/public/waterlevel_load" TargetMode="External"/><Relationship Id="rId778" Type="http://schemas.openxmlformats.org/officeDocument/2006/relationships/hyperlink" Target="https://api-v3.thaiwater.net/api/v1/thaiwater30/public/waterlevel_load" TargetMode="External"/><Relationship Id="rId535" Type="http://schemas.openxmlformats.org/officeDocument/2006/relationships/hyperlink" Target="https://api-v3.thaiwater.net/api/v1/thaiwater30/public/waterlevel_load" TargetMode="External"/><Relationship Id="rId777" Type="http://schemas.openxmlformats.org/officeDocument/2006/relationships/hyperlink" Target="https://api-v3.thaiwater.net/api/v1/thaiwater30/public/waterlevel_load" TargetMode="External"/><Relationship Id="rId534" Type="http://schemas.openxmlformats.org/officeDocument/2006/relationships/hyperlink" Target="https://api-v3.thaiwater.net/api/v1/thaiwater30/public/waterlevel_load" TargetMode="External"/><Relationship Id="rId776" Type="http://schemas.openxmlformats.org/officeDocument/2006/relationships/hyperlink" Target="https://api-v3.thaiwater.net/api/v1/thaiwater30/public/waterlevel_load" TargetMode="External"/><Relationship Id="rId533" Type="http://schemas.openxmlformats.org/officeDocument/2006/relationships/hyperlink" Target="https://api-v3.thaiwater.net/api/v1/thaiwater30/public/waterlevel_load" TargetMode="External"/><Relationship Id="rId775" Type="http://schemas.openxmlformats.org/officeDocument/2006/relationships/hyperlink" Target="https://api-v3.thaiwater.net/api/v1/thaiwater30/public/waterlevel_load" TargetMode="External"/><Relationship Id="rId539" Type="http://schemas.openxmlformats.org/officeDocument/2006/relationships/hyperlink" Target="https://api-v3.thaiwater.net/api/v1/thaiwater30/public/waterlevel_load" TargetMode="External"/><Relationship Id="rId538" Type="http://schemas.openxmlformats.org/officeDocument/2006/relationships/hyperlink" Target="https://api-v3.thaiwater.net/api/v1/thaiwater30/public/waterlevel_load" TargetMode="External"/><Relationship Id="rId537" Type="http://schemas.openxmlformats.org/officeDocument/2006/relationships/hyperlink" Target="https://api-v3.thaiwater.net/api/v1/thaiwater30/public/waterlevel_load" TargetMode="External"/><Relationship Id="rId779" Type="http://schemas.openxmlformats.org/officeDocument/2006/relationships/hyperlink" Target="https://api-v3.thaiwater.net/api/v1/thaiwater30/public/waterlevel_load" TargetMode="External"/><Relationship Id="rId770" Type="http://schemas.openxmlformats.org/officeDocument/2006/relationships/hyperlink" Target="https://api-v3.thaiwater.net/api/v1/thaiwater30/public/waterlevel_load" TargetMode="External"/><Relationship Id="rId532" Type="http://schemas.openxmlformats.org/officeDocument/2006/relationships/hyperlink" Target="https://api-v3.thaiwater.net/api/v1/thaiwater30/public/waterlevel_load" TargetMode="External"/><Relationship Id="rId774" Type="http://schemas.openxmlformats.org/officeDocument/2006/relationships/hyperlink" Target="https://api-v3.thaiwater.net/api/v1/thaiwater30/public/waterlevel_load" TargetMode="External"/><Relationship Id="rId531" Type="http://schemas.openxmlformats.org/officeDocument/2006/relationships/hyperlink" Target="https://api-v3.thaiwater.net/api/v1/thaiwater30/public/waterlevel_load" TargetMode="External"/><Relationship Id="rId773" Type="http://schemas.openxmlformats.org/officeDocument/2006/relationships/hyperlink" Target="https://api-v3.thaiwater.net/api/v1/thaiwater30/public/waterlevel_load" TargetMode="External"/><Relationship Id="rId530" Type="http://schemas.openxmlformats.org/officeDocument/2006/relationships/hyperlink" Target="https://api-v3.thaiwater.net/api/v1/thaiwater30/public/waterlevel_load" TargetMode="External"/><Relationship Id="rId772" Type="http://schemas.openxmlformats.org/officeDocument/2006/relationships/hyperlink" Target="https://api-v3.thaiwater.net/api/v1/thaiwater30/public/waterlevel_load" TargetMode="External"/><Relationship Id="rId771" Type="http://schemas.openxmlformats.org/officeDocument/2006/relationships/hyperlink" Target="https://api-v3.thaiwater.net/api/v1/thaiwater30/public/waterlevel_load" TargetMode="External"/><Relationship Id="rId327" Type="http://schemas.openxmlformats.org/officeDocument/2006/relationships/hyperlink" Target="https://api-v3.thaiwater.net/api/v1/thaiwater30/public/waterlevel_load" TargetMode="External"/><Relationship Id="rId569" Type="http://schemas.openxmlformats.org/officeDocument/2006/relationships/hyperlink" Target="https://api-v3.thaiwater.net/api/v1/thaiwater30/public/waterlevel_load" TargetMode="External"/><Relationship Id="rId326" Type="http://schemas.openxmlformats.org/officeDocument/2006/relationships/hyperlink" Target="https://api-v3.thaiwater.net/api/v1/thaiwater30/public/waterlevel_load" TargetMode="External"/><Relationship Id="rId568" Type="http://schemas.openxmlformats.org/officeDocument/2006/relationships/hyperlink" Target="https://api-v3.thaiwater.net/api/v1/thaiwater30/public/waterlevel_load" TargetMode="External"/><Relationship Id="rId325" Type="http://schemas.openxmlformats.org/officeDocument/2006/relationships/hyperlink" Target="https://api-v3.thaiwater.net/api/v1/thaiwater30/public/waterlevel_load" TargetMode="External"/><Relationship Id="rId567" Type="http://schemas.openxmlformats.org/officeDocument/2006/relationships/hyperlink" Target="https://api-v3.thaiwater.net/api/v1/thaiwater30/public/waterlevel_load" TargetMode="External"/><Relationship Id="rId324" Type="http://schemas.openxmlformats.org/officeDocument/2006/relationships/hyperlink" Target="https://api-v3.thaiwater.net/api/v1/thaiwater30/public/waterlevel_load" TargetMode="External"/><Relationship Id="rId566" Type="http://schemas.openxmlformats.org/officeDocument/2006/relationships/hyperlink" Target="https://api-v3.thaiwater.net/api/v1/thaiwater30/public/waterlevel_load" TargetMode="External"/><Relationship Id="rId329" Type="http://schemas.openxmlformats.org/officeDocument/2006/relationships/hyperlink" Target="https://api-v3.thaiwater.net/api/v1/thaiwater30/public/waterlevel_load" TargetMode="External"/><Relationship Id="rId328" Type="http://schemas.openxmlformats.org/officeDocument/2006/relationships/hyperlink" Target="https://api-v3.thaiwater.net/api/v1/thaiwater30/public/waterlevel_load" TargetMode="External"/><Relationship Id="rId561" Type="http://schemas.openxmlformats.org/officeDocument/2006/relationships/hyperlink" Target="https://api-v3.thaiwater.net/api/v1/thaiwater30/public/waterlevel_load" TargetMode="External"/><Relationship Id="rId560" Type="http://schemas.openxmlformats.org/officeDocument/2006/relationships/hyperlink" Target="https://api-v3.thaiwater.net/api/v1/thaiwater30/public/waterlevel_load" TargetMode="External"/><Relationship Id="rId323" Type="http://schemas.openxmlformats.org/officeDocument/2006/relationships/hyperlink" Target="https://api-v3.thaiwater.net/api/v1/thaiwater30/public/waterlevel_load" TargetMode="External"/><Relationship Id="rId565" Type="http://schemas.openxmlformats.org/officeDocument/2006/relationships/hyperlink" Target="https://api-v3.thaiwater.net/api/v1/thaiwater30/public/waterlevel_load" TargetMode="External"/><Relationship Id="rId322" Type="http://schemas.openxmlformats.org/officeDocument/2006/relationships/hyperlink" Target="https://api-v3.thaiwater.net/api/v1/thaiwater30/public/waterlevel_load" TargetMode="External"/><Relationship Id="rId564" Type="http://schemas.openxmlformats.org/officeDocument/2006/relationships/hyperlink" Target="https://api-v3.thaiwater.net/api/v1/thaiwater30/public/waterlevel_load" TargetMode="External"/><Relationship Id="rId321" Type="http://schemas.openxmlformats.org/officeDocument/2006/relationships/hyperlink" Target="https://api-v3.thaiwater.net/api/v1/thaiwater30/public/waterlevel_load" TargetMode="External"/><Relationship Id="rId563" Type="http://schemas.openxmlformats.org/officeDocument/2006/relationships/hyperlink" Target="https://api-v3.thaiwater.net/api/v1/thaiwater30/public/waterlevel_load" TargetMode="External"/><Relationship Id="rId320" Type="http://schemas.openxmlformats.org/officeDocument/2006/relationships/hyperlink" Target="https://api-v3.thaiwater.net/api/v1/thaiwater30/public/waterlevel_load" TargetMode="External"/><Relationship Id="rId562" Type="http://schemas.openxmlformats.org/officeDocument/2006/relationships/hyperlink" Target="https://api-v3.thaiwater.net/api/v1/thaiwater30/public/waterlevel_load" TargetMode="External"/><Relationship Id="rId316" Type="http://schemas.openxmlformats.org/officeDocument/2006/relationships/hyperlink" Target="https://api-v3.thaiwater.net/api/v1/thaiwater30/public/waterlevel_load" TargetMode="External"/><Relationship Id="rId558" Type="http://schemas.openxmlformats.org/officeDocument/2006/relationships/hyperlink" Target="https://api-v3.thaiwater.net/api/v1/thaiwater30/public/waterlevel_load" TargetMode="External"/><Relationship Id="rId315" Type="http://schemas.openxmlformats.org/officeDocument/2006/relationships/hyperlink" Target="https://api-v3.thaiwater.net/api/v1/thaiwater30/public/waterlevel_load" TargetMode="External"/><Relationship Id="rId557" Type="http://schemas.openxmlformats.org/officeDocument/2006/relationships/hyperlink" Target="https://api-v3.thaiwater.net/api/v1/thaiwater30/public/waterlevel_load" TargetMode="External"/><Relationship Id="rId799" Type="http://schemas.openxmlformats.org/officeDocument/2006/relationships/hyperlink" Target="https://api-v3.thaiwater.net/api/v1/thaiwater30/public/waterlevel_load" TargetMode="External"/><Relationship Id="rId314" Type="http://schemas.openxmlformats.org/officeDocument/2006/relationships/hyperlink" Target="https://api-v3.thaiwater.net/api/v1/thaiwater30/public/waterlevel_load" TargetMode="External"/><Relationship Id="rId556" Type="http://schemas.openxmlformats.org/officeDocument/2006/relationships/hyperlink" Target="https://api-v3.thaiwater.net/api/v1/thaiwater30/public/waterlevel_load" TargetMode="External"/><Relationship Id="rId798" Type="http://schemas.openxmlformats.org/officeDocument/2006/relationships/hyperlink" Target="https://api-v3.thaiwater.net/api/v1/thaiwater30/public/waterlevel_load" TargetMode="External"/><Relationship Id="rId313" Type="http://schemas.openxmlformats.org/officeDocument/2006/relationships/hyperlink" Target="https://api-v3.thaiwater.net/api/v1/thaiwater30/public/waterlevel_load" TargetMode="External"/><Relationship Id="rId555" Type="http://schemas.openxmlformats.org/officeDocument/2006/relationships/hyperlink" Target="https://api-v3.thaiwater.net/api/v1/thaiwater30/public/waterlevel_load" TargetMode="External"/><Relationship Id="rId797" Type="http://schemas.openxmlformats.org/officeDocument/2006/relationships/hyperlink" Target="https://api-v3.thaiwater.net/api/v1/thaiwater30/public/waterlevel_load" TargetMode="External"/><Relationship Id="rId319" Type="http://schemas.openxmlformats.org/officeDocument/2006/relationships/hyperlink" Target="https://api-v3.thaiwater.net/api/v1/thaiwater30/public/waterlevel_load" TargetMode="External"/><Relationship Id="rId318" Type="http://schemas.openxmlformats.org/officeDocument/2006/relationships/hyperlink" Target="https://api-v3.thaiwater.net/api/v1/thaiwater30/public/waterlevel_load" TargetMode="External"/><Relationship Id="rId317" Type="http://schemas.openxmlformats.org/officeDocument/2006/relationships/hyperlink" Target="https://api-v3.thaiwater.net/api/v1/thaiwater30/public/waterlevel_load" TargetMode="External"/><Relationship Id="rId559" Type="http://schemas.openxmlformats.org/officeDocument/2006/relationships/hyperlink" Target="https://api-v3.thaiwater.net/api/v1/thaiwater30/public/waterlevel_load" TargetMode="External"/><Relationship Id="rId550" Type="http://schemas.openxmlformats.org/officeDocument/2006/relationships/hyperlink" Target="https://api-v3.thaiwater.net/api/v1/thaiwater30/public/waterlevel_load" TargetMode="External"/><Relationship Id="rId792" Type="http://schemas.openxmlformats.org/officeDocument/2006/relationships/hyperlink" Target="https://api-v3.thaiwater.net/api/v1/thaiwater30/public/waterlevel_load" TargetMode="External"/><Relationship Id="rId791" Type="http://schemas.openxmlformats.org/officeDocument/2006/relationships/hyperlink" Target="https://api-v3.thaiwater.net/api/v1/thaiwater30/public/waterlevel_load" TargetMode="External"/><Relationship Id="rId790" Type="http://schemas.openxmlformats.org/officeDocument/2006/relationships/hyperlink" Target="https://api-v3.thaiwater.net/api/v1/thaiwater30/public/waterlevel_load" TargetMode="External"/><Relationship Id="rId312" Type="http://schemas.openxmlformats.org/officeDocument/2006/relationships/hyperlink" Target="https://api-v3.thaiwater.net/api/v1/thaiwater30/public/waterlevel_load" TargetMode="External"/><Relationship Id="rId554" Type="http://schemas.openxmlformats.org/officeDocument/2006/relationships/hyperlink" Target="https://api-v3.thaiwater.net/api/v1/thaiwater30/public/waterlevel_load" TargetMode="External"/><Relationship Id="rId796" Type="http://schemas.openxmlformats.org/officeDocument/2006/relationships/hyperlink" Target="https://api-v3.thaiwater.net/api/v1/thaiwater30/public/waterlevel_load" TargetMode="External"/><Relationship Id="rId311" Type="http://schemas.openxmlformats.org/officeDocument/2006/relationships/hyperlink" Target="https://api-v3.thaiwater.net/api/v1/thaiwater30/public/waterlevel_load" TargetMode="External"/><Relationship Id="rId553" Type="http://schemas.openxmlformats.org/officeDocument/2006/relationships/hyperlink" Target="https://api-v3.thaiwater.net/api/v1/thaiwater30/public/waterlevel_load" TargetMode="External"/><Relationship Id="rId795" Type="http://schemas.openxmlformats.org/officeDocument/2006/relationships/hyperlink" Target="https://api-v3.thaiwater.net/api/v1/thaiwater30/public/waterlevel_load" TargetMode="External"/><Relationship Id="rId310" Type="http://schemas.openxmlformats.org/officeDocument/2006/relationships/hyperlink" Target="https://api-v3.thaiwater.net/api/v1/thaiwater30/public/waterlevel_load" TargetMode="External"/><Relationship Id="rId552" Type="http://schemas.openxmlformats.org/officeDocument/2006/relationships/hyperlink" Target="https://api-v3.thaiwater.net/api/v1/thaiwater30/public/waterlevel_load" TargetMode="External"/><Relationship Id="rId794" Type="http://schemas.openxmlformats.org/officeDocument/2006/relationships/hyperlink" Target="https://api-v3.thaiwater.net/api/v1/thaiwater30/public/waterlevel_load" TargetMode="External"/><Relationship Id="rId551" Type="http://schemas.openxmlformats.org/officeDocument/2006/relationships/hyperlink" Target="https://api-v3.thaiwater.net/api/v1/thaiwater30/public/waterlevel_load" TargetMode="External"/><Relationship Id="rId793" Type="http://schemas.openxmlformats.org/officeDocument/2006/relationships/hyperlink" Target="https://api-v3.thaiwater.net/api/v1/thaiwater30/public/waterlevel_load" TargetMode="External"/><Relationship Id="rId297" Type="http://schemas.openxmlformats.org/officeDocument/2006/relationships/hyperlink" Target="https://api-v3.thaiwater.net/api/v1/thaiwater30/public/waterlevel_load" TargetMode="External"/><Relationship Id="rId296" Type="http://schemas.openxmlformats.org/officeDocument/2006/relationships/hyperlink" Target="https://api-v3.thaiwater.net/api/v1/thaiwater30/public/waterlevel_load" TargetMode="External"/><Relationship Id="rId295" Type="http://schemas.openxmlformats.org/officeDocument/2006/relationships/hyperlink" Target="https://api-v3.thaiwater.net/api/v1/thaiwater30/public/waterlevel_load" TargetMode="External"/><Relationship Id="rId294" Type="http://schemas.openxmlformats.org/officeDocument/2006/relationships/hyperlink" Target="https://api-v3.thaiwater.net/api/v1/thaiwater30/public/waterlevel_load" TargetMode="External"/><Relationship Id="rId299" Type="http://schemas.openxmlformats.org/officeDocument/2006/relationships/hyperlink" Target="https://api-v3.thaiwater.net/api/v1/thaiwater30/public/waterlevel_load" TargetMode="External"/><Relationship Id="rId298" Type="http://schemas.openxmlformats.org/officeDocument/2006/relationships/hyperlink" Target="https://api-v3.thaiwater.net/api/v1/thaiwater30/public/waterlevel_load" TargetMode="External"/><Relationship Id="rId271" Type="http://schemas.openxmlformats.org/officeDocument/2006/relationships/hyperlink" Target="https://api-v3.thaiwater.net/api/v1/thaiwater30/public/waterlevel_load" TargetMode="External"/><Relationship Id="rId270" Type="http://schemas.openxmlformats.org/officeDocument/2006/relationships/hyperlink" Target="https://api-v3.thaiwater.net/api/v1/thaiwater30/public/waterlevel_load" TargetMode="External"/><Relationship Id="rId269" Type="http://schemas.openxmlformats.org/officeDocument/2006/relationships/hyperlink" Target="https://api-v3.thaiwater.net/api/v1/thaiwater30/public/waterlevel_load" TargetMode="External"/><Relationship Id="rId264" Type="http://schemas.openxmlformats.org/officeDocument/2006/relationships/hyperlink" Target="https://api-v3.thaiwater.net/api/v1/thaiwater30/public/waterlevel_load" TargetMode="External"/><Relationship Id="rId263" Type="http://schemas.openxmlformats.org/officeDocument/2006/relationships/hyperlink" Target="https://api-v3.thaiwater.net/api/v1/thaiwater30/public/waterlevel_load" TargetMode="External"/><Relationship Id="rId262" Type="http://schemas.openxmlformats.org/officeDocument/2006/relationships/hyperlink" Target="https://api-v3.thaiwater.net/api/v1/thaiwater30/public/waterlevel_load" TargetMode="External"/><Relationship Id="rId261" Type="http://schemas.openxmlformats.org/officeDocument/2006/relationships/hyperlink" Target="https://api-v3.thaiwater.net/api/v1/thaiwater30/public/waterlevel_load" TargetMode="External"/><Relationship Id="rId268" Type="http://schemas.openxmlformats.org/officeDocument/2006/relationships/hyperlink" Target="https://api-v3.thaiwater.net/api/v1/thaiwater30/public/waterlevel_load" TargetMode="External"/><Relationship Id="rId267" Type="http://schemas.openxmlformats.org/officeDocument/2006/relationships/hyperlink" Target="https://api-v3.thaiwater.net/api/v1/thaiwater30/public/waterlevel_load" TargetMode="External"/><Relationship Id="rId266" Type="http://schemas.openxmlformats.org/officeDocument/2006/relationships/hyperlink" Target="https://api-v3.thaiwater.net/api/v1/thaiwater30/public/waterlevel_load" TargetMode="External"/><Relationship Id="rId265" Type="http://schemas.openxmlformats.org/officeDocument/2006/relationships/hyperlink" Target="https://api-v3.thaiwater.net/api/v1/thaiwater30/public/waterlevel_load" TargetMode="External"/><Relationship Id="rId260" Type="http://schemas.openxmlformats.org/officeDocument/2006/relationships/hyperlink" Target="https://api-v3.thaiwater.net/api/v1/thaiwater30/public/waterlevel_load" TargetMode="External"/><Relationship Id="rId259" Type="http://schemas.openxmlformats.org/officeDocument/2006/relationships/hyperlink" Target="https://api-v3.thaiwater.net/api/v1/thaiwater30/public/waterlevel_load" TargetMode="External"/><Relationship Id="rId258" Type="http://schemas.openxmlformats.org/officeDocument/2006/relationships/hyperlink" Target="https://api-v3.thaiwater.net/api/v1/thaiwater30/public/waterlevel_load" TargetMode="External"/><Relationship Id="rId253" Type="http://schemas.openxmlformats.org/officeDocument/2006/relationships/hyperlink" Target="https://api-v3.thaiwater.net/api/v1/thaiwater30/public/waterlevel_load" TargetMode="External"/><Relationship Id="rId495" Type="http://schemas.openxmlformats.org/officeDocument/2006/relationships/hyperlink" Target="https://api-v3.thaiwater.net/api/v1/thaiwater30/public/waterlevel_load" TargetMode="External"/><Relationship Id="rId252" Type="http://schemas.openxmlformats.org/officeDocument/2006/relationships/hyperlink" Target="https://api-v3.thaiwater.net/api/v1/thaiwater30/public/waterlevel_load" TargetMode="External"/><Relationship Id="rId494" Type="http://schemas.openxmlformats.org/officeDocument/2006/relationships/hyperlink" Target="https://api-v3.thaiwater.net/api/v1/thaiwater30/public/waterlevel_load" TargetMode="External"/><Relationship Id="rId251" Type="http://schemas.openxmlformats.org/officeDocument/2006/relationships/hyperlink" Target="https://api-v3.thaiwater.net/api/v1/thaiwater30/public/waterlevel_load" TargetMode="External"/><Relationship Id="rId493" Type="http://schemas.openxmlformats.org/officeDocument/2006/relationships/hyperlink" Target="https://api-v3.thaiwater.net/api/v1/thaiwater30/public/waterlevel_load" TargetMode="External"/><Relationship Id="rId250" Type="http://schemas.openxmlformats.org/officeDocument/2006/relationships/hyperlink" Target="https://api-v3.thaiwater.net/api/v1/thaiwater30/public/waterlevel_load" TargetMode="External"/><Relationship Id="rId492" Type="http://schemas.openxmlformats.org/officeDocument/2006/relationships/hyperlink" Target="https://api-v3.thaiwater.net/api/v1/thaiwater30/public/waterlevel_load" TargetMode="External"/><Relationship Id="rId257" Type="http://schemas.openxmlformats.org/officeDocument/2006/relationships/hyperlink" Target="https://api-v3.thaiwater.net/api/v1/thaiwater30/public/waterlevel_load" TargetMode="External"/><Relationship Id="rId499" Type="http://schemas.openxmlformats.org/officeDocument/2006/relationships/hyperlink" Target="https://api-v3.thaiwater.net/api/v1/thaiwater30/public/waterlevel_load" TargetMode="External"/><Relationship Id="rId256" Type="http://schemas.openxmlformats.org/officeDocument/2006/relationships/hyperlink" Target="https://api-v3.thaiwater.net/api/v1/thaiwater30/public/waterlevel_load" TargetMode="External"/><Relationship Id="rId498" Type="http://schemas.openxmlformats.org/officeDocument/2006/relationships/hyperlink" Target="https://api-v3.thaiwater.net/api/v1/thaiwater30/public/waterlevel_load" TargetMode="External"/><Relationship Id="rId255" Type="http://schemas.openxmlformats.org/officeDocument/2006/relationships/hyperlink" Target="https://api-v3.thaiwater.net/api/v1/thaiwater30/public/waterlevel_load" TargetMode="External"/><Relationship Id="rId497" Type="http://schemas.openxmlformats.org/officeDocument/2006/relationships/hyperlink" Target="https://api-v3.thaiwater.net/api/v1/thaiwater30/public/waterlevel_load" TargetMode="External"/><Relationship Id="rId254" Type="http://schemas.openxmlformats.org/officeDocument/2006/relationships/hyperlink" Target="https://api-v3.thaiwater.net/api/v1/thaiwater30/public/waterlevel_load" TargetMode="External"/><Relationship Id="rId496" Type="http://schemas.openxmlformats.org/officeDocument/2006/relationships/hyperlink" Target="https://api-v3.thaiwater.net/api/v1/thaiwater30/public/waterlevel_load" TargetMode="External"/><Relationship Id="rId293" Type="http://schemas.openxmlformats.org/officeDocument/2006/relationships/hyperlink" Target="https://api-v3.thaiwater.net/api/v1/thaiwater30/public/waterlevel_load" TargetMode="External"/><Relationship Id="rId292" Type="http://schemas.openxmlformats.org/officeDocument/2006/relationships/hyperlink" Target="https://api-v3.thaiwater.net/api/v1/thaiwater30/public/waterlevel_load" TargetMode="External"/><Relationship Id="rId291" Type="http://schemas.openxmlformats.org/officeDocument/2006/relationships/hyperlink" Target="https://api-v3.thaiwater.net/api/v1/thaiwater30/public/waterlevel_load" TargetMode="External"/><Relationship Id="rId290" Type="http://schemas.openxmlformats.org/officeDocument/2006/relationships/hyperlink" Target="https://api-v3.thaiwater.net/api/v1/thaiwater30/public/waterlevel_load" TargetMode="External"/><Relationship Id="rId286" Type="http://schemas.openxmlformats.org/officeDocument/2006/relationships/hyperlink" Target="https://api-v3.thaiwater.net/api/v1/thaiwater30/public/waterlevel_load" TargetMode="External"/><Relationship Id="rId285" Type="http://schemas.openxmlformats.org/officeDocument/2006/relationships/hyperlink" Target="https://api-v3.thaiwater.net/api/v1/thaiwater30/public/waterlevel_load" TargetMode="External"/><Relationship Id="rId284" Type="http://schemas.openxmlformats.org/officeDocument/2006/relationships/hyperlink" Target="https://api-v3.thaiwater.net/api/v1/thaiwater30/public/waterlevel_load" TargetMode="External"/><Relationship Id="rId283" Type="http://schemas.openxmlformats.org/officeDocument/2006/relationships/hyperlink" Target="https://api-v3.thaiwater.net/api/v1/thaiwater30/public/waterlevel_load" TargetMode="External"/><Relationship Id="rId289" Type="http://schemas.openxmlformats.org/officeDocument/2006/relationships/hyperlink" Target="https://api-v3.thaiwater.net/api/v1/thaiwater30/public/waterlevel_load" TargetMode="External"/><Relationship Id="rId288" Type="http://schemas.openxmlformats.org/officeDocument/2006/relationships/hyperlink" Target="https://api-v3.thaiwater.net/api/v1/thaiwater30/public/waterlevel_load" TargetMode="External"/><Relationship Id="rId287" Type="http://schemas.openxmlformats.org/officeDocument/2006/relationships/hyperlink" Target="https://api-v3.thaiwater.net/api/v1/thaiwater30/public/waterlevel_load" TargetMode="External"/><Relationship Id="rId282" Type="http://schemas.openxmlformats.org/officeDocument/2006/relationships/hyperlink" Target="https://api-v3.thaiwater.net/api/v1/thaiwater30/public/waterlevel_load" TargetMode="External"/><Relationship Id="rId281" Type="http://schemas.openxmlformats.org/officeDocument/2006/relationships/hyperlink" Target="https://api-v3.thaiwater.net/api/v1/thaiwater30/public/waterlevel_load" TargetMode="External"/><Relationship Id="rId280" Type="http://schemas.openxmlformats.org/officeDocument/2006/relationships/hyperlink" Target="https://api-v3.thaiwater.net/api/v1/thaiwater30/public/waterlevel_load" TargetMode="External"/><Relationship Id="rId275" Type="http://schemas.openxmlformats.org/officeDocument/2006/relationships/hyperlink" Target="https://api-v3.thaiwater.net/api/v1/thaiwater30/public/waterlevel_load" TargetMode="External"/><Relationship Id="rId274" Type="http://schemas.openxmlformats.org/officeDocument/2006/relationships/hyperlink" Target="https://api-v3.thaiwater.net/api/v1/thaiwater30/public/waterlevel_load" TargetMode="External"/><Relationship Id="rId273" Type="http://schemas.openxmlformats.org/officeDocument/2006/relationships/hyperlink" Target="https://api-v3.thaiwater.net/api/v1/thaiwater30/public/waterlevel_load" TargetMode="External"/><Relationship Id="rId272" Type="http://schemas.openxmlformats.org/officeDocument/2006/relationships/hyperlink" Target="https://api-v3.thaiwater.net/api/v1/thaiwater30/public/waterlevel_load" TargetMode="External"/><Relationship Id="rId279" Type="http://schemas.openxmlformats.org/officeDocument/2006/relationships/hyperlink" Target="https://api-v3.thaiwater.net/api/v1/thaiwater30/public/waterlevel_load" TargetMode="External"/><Relationship Id="rId278" Type="http://schemas.openxmlformats.org/officeDocument/2006/relationships/hyperlink" Target="https://api-v3.thaiwater.net/api/v1/thaiwater30/public/waterlevel_load" TargetMode="External"/><Relationship Id="rId277" Type="http://schemas.openxmlformats.org/officeDocument/2006/relationships/hyperlink" Target="https://api-v3.thaiwater.net/api/v1/thaiwater30/public/waterlevel_load" TargetMode="External"/><Relationship Id="rId276" Type="http://schemas.openxmlformats.org/officeDocument/2006/relationships/hyperlink" Target="https://api-v3.thaiwater.net/api/v1/thaiwater30/public/waterlevel_load" TargetMode="External"/><Relationship Id="rId629" Type="http://schemas.openxmlformats.org/officeDocument/2006/relationships/hyperlink" Target="https://api-v3.thaiwater.net/api/v1/thaiwater30/public/waterlevel_load" TargetMode="External"/><Relationship Id="rId624" Type="http://schemas.openxmlformats.org/officeDocument/2006/relationships/hyperlink" Target="https://api-v3.thaiwater.net/api/v1/thaiwater30/public/waterlevel_load" TargetMode="External"/><Relationship Id="rId623" Type="http://schemas.openxmlformats.org/officeDocument/2006/relationships/hyperlink" Target="https://api-v3.thaiwater.net/api/v1/thaiwater30/public/waterlevel_load" TargetMode="External"/><Relationship Id="rId622" Type="http://schemas.openxmlformats.org/officeDocument/2006/relationships/hyperlink" Target="https://api-v3.thaiwater.net/api/v1/thaiwater30/public/waterlevel_load" TargetMode="External"/><Relationship Id="rId621" Type="http://schemas.openxmlformats.org/officeDocument/2006/relationships/hyperlink" Target="https://api-v3.thaiwater.net/api/v1/thaiwater30/public/waterlevel_load" TargetMode="External"/><Relationship Id="rId628" Type="http://schemas.openxmlformats.org/officeDocument/2006/relationships/hyperlink" Target="https://api-v3.thaiwater.net/api/v1/thaiwater30/public/waterlevel_load" TargetMode="External"/><Relationship Id="rId627" Type="http://schemas.openxmlformats.org/officeDocument/2006/relationships/hyperlink" Target="https://api-v3.thaiwater.net/api/v1/thaiwater30/public/waterlevel_load" TargetMode="External"/><Relationship Id="rId626" Type="http://schemas.openxmlformats.org/officeDocument/2006/relationships/hyperlink" Target="https://api-v3.thaiwater.net/api/v1/thaiwater30/public/waterlevel_load" TargetMode="External"/><Relationship Id="rId625" Type="http://schemas.openxmlformats.org/officeDocument/2006/relationships/hyperlink" Target="https://api-v3.thaiwater.net/api/v1/thaiwater30/public/waterlevel_load" TargetMode="External"/><Relationship Id="rId620" Type="http://schemas.openxmlformats.org/officeDocument/2006/relationships/hyperlink" Target="https://api-v3.thaiwater.net/api/v1/thaiwater30/public/waterlevel_load" TargetMode="External"/><Relationship Id="rId619" Type="http://schemas.openxmlformats.org/officeDocument/2006/relationships/hyperlink" Target="https://api-v3.thaiwater.net/api/v1/thaiwater30/public/waterlevel_load" TargetMode="External"/><Relationship Id="rId618" Type="http://schemas.openxmlformats.org/officeDocument/2006/relationships/hyperlink" Target="https://api-v3.thaiwater.net/api/v1/thaiwater30/public/waterlevel_load" TargetMode="External"/><Relationship Id="rId613" Type="http://schemas.openxmlformats.org/officeDocument/2006/relationships/hyperlink" Target="https://api-v3.thaiwater.net/api/v1/thaiwater30/public/waterlevel_load" TargetMode="External"/><Relationship Id="rId612" Type="http://schemas.openxmlformats.org/officeDocument/2006/relationships/hyperlink" Target="https://api-v3.thaiwater.net/api/v1/thaiwater30/public/waterlevel_load" TargetMode="External"/><Relationship Id="rId611" Type="http://schemas.openxmlformats.org/officeDocument/2006/relationships/hyperlink" Target="https://api-v3.thaiwater.net/api/v1/thaiwater30/public/waterlevel_load" TargetMode="External"/><Relationship Id="rId610" Type="http://schemas.openxmlformats.org/officeDocument/2006/relationships/hyperlink" Target="https://api-v3.thaiwater.net/api/v1/thaiwater30/public/waterlevel_load" TargetMode="External"/><Relationship Id="rId617" Type="http://schemas.openxmlformats.org/officeDocument/2006/relationships/hyperlink" Target="https://api-v3.thaiwater.net/api/v1/thaiwater30/public/waterlevel_load" TargetMode="External"/><Relationship Id="rId616" Type="http://schemas.openxmlformats.org/officeDocument/2006/relationships/hyperlink" Target="https://api-v3.thaiwater.net/api/v1/thaiwater30/public/waterlevel_load" TargetMode="External"/><Relationship Id="rId615" Type="http://schemas.openxmlformats.org/officeDocument/2006/relationships/hyperlink" Target="https://api-v3.thaiwater.net/api/v1/thaiwater30/public/waterlevel_load" TargetMode="External"/><Relationship Id="rId614" Type="http://schemas.openxmlformats.org/officeDocument/2006/relationships/hyperlink" Target="https://api-v3.thaiwater.net/api/v1/thaiwater30/public/waterlevel_load" TargetMode="External"/><Relationship Id="rId409" Type="http://schemas.openxmlformats.org/officeDocument/2006/relationships/hyperlink" Target="https://api-v3.thaiwater.net/api/v1/thaiwater30/public/waterlevel_load" TargetMode="External"/><Relationship Id="rId404" Type="http://schemas.openxmlformats.org/officeDocument/2006/relationships/hyperlink" Target="https://api-v3.thaiwater.net/api/v1/thaiwater30/public/waterlevel_load" TargetMode="External"/><Relationship Id="rId646" Type="http://schemas.openxmlformats.org/officeDocument/2006/relationships/hyperlink" Target="https://api-v3.thaiwater.net/api/v1/thaiwater30/public/waterlevel_load" TargetMode="External"/><Relationship Id="rId403" Type="http://schemas.openxmlformats.org/officeDocument/2006/relationships/hyperlink" Target="https://api-v3.thaiwater.net/api/v1/thaiwater30/public/waterlevel_load" TargetMode="External"/><Relationship Id="rId645" Type="http://schemas.openxmlformats.org/officeDocument/2006/relationships/hyperlink" Target="https://api-v3.thaiwater.net/api/v1/thaiwater30/public/waterlevel_load" TargetMode="External"/><Relationship Id="rId402" Type="http://schemas.openxmlformats.org/officeDocument/2006/relationships/hyperlink" Target="https://api-v3.thaiwater.net/api/v1/thaiwater30/public/waterlevel_load" TargetMode="External"/><Relationship Id="rId644" Type="http://schemas.openxmlformats.org/officeDocument/2006/relationships/hyperlink" Target="https://api-v3.thaiwater.net/api/v1/thaiwater30/public/waterlevel_load" TargetMode="External"/><Relationship Id="rId401" Type="http://schemas.openxmlformats.org/officeDocument/2006/relationships/hyperlink" Target="https://api-v3.thaiwater.net/api/v1/thaiwater30/public/waterlevel_load" TargetMode="External"/><Relationship Id="rId643" Type="http://schemas.openxmlformats.org/officeDocument/2006/relationships/hyperlink" Target="https://api-v3.thaiwater.net/api/v1/thaiwater30/public/waterlevel_load" TargetMode="External"/><Relationship Id="rId408" Type="http://schemas.openxmlformats.org/officeDocument/2006/relationships/hyperlink" Target="https://api-v3.thaiwater.net/api/v1/thaiwater30/public/waterlevel_load" TargetMode="External"/><Relationship Id="rId407" Type="http://schemas.openxmlformats.org/officeDocument/2006/relationships/hyperlink" Target="https://api-v3.thaiwater.net/api/v1/thaiwater30/public/waterlevel_load" TargetMode="External"/><Relationship Id="rId649" Type="http://schemas.openxmlformats.org/officeDocument/2006/relationships/hyperlink" Target="https://api-v3.thaiwater.net/api/v1/thaiwater30/public/waterlevel_load" TargetMode="External"/><Relationship Id="rId406" Type="http://schemas.openxmlformats.org/officeDocument/2006/relationships/hyperlink" Target="https://api-v3.thaiwater.net/api/v1/thaiwater30/public/waterlevel_load" TargetMode="External"/><Relationship Id="rId648" Type="http://schemas.openxmlformats.org/officeDocument/2006/relationships/hyperlink" Target="https://api-v3.thaiwater.net/api/v1/thaiwater30/public/waterlevel_load" TargetMode="External"/><Relationship Id="rId405" Type="http://schemas.openxmlformats.org/officeDocument/2006/relationships/hyperlink" Target="https://api-v3.thaiwater.net/api/v1/thaiwater30/public/waterlevel_load" TargetMode="External"/><Relationship Id="rId647" Type="http://schemas.openxmlformats.org/officeDocument/2006/relationships/hyperlink" Target="https://api-v3.thaiwater.net/api/v1/thaiwater30/public/waterlevel_load" TargetMode="External"/><Relationship Id="rId400" Type="http://schemas.openxmlformats.org/officeDocument/2006/relationships/hyperlink" Target="https://api-v3.thaiwater.net/api/v1/thaiwater30/public/waterlevel_load" TargetMode="External"/><Relationship Id="rId642" Type="http://schemas.openxmlformats.org/officeDocument/2006/relationships/hyperlink" Target="https://api-v3.thaiwater.net/api/v1/thaiwater30/public/waterlevel_load" TargetMode="External"/><Relationship Id="rId641" Type="http://schemas.openxmlformats.org/officeDocument/2006/relationships/hyperlink" Target="https://api-v3.thaiwater.net/api/v1/thaiwater30/public/waterlevel_load" TargetMode="External"/><Relationship Id="rId640" Type="http://schemas.openxmlformats.org/officeDocument/2006/relationships/hyperlink" Target="https://api-v3.thaiwater.net/api/v1/thaiwater30/public/waterlevel_load" TargetMode="External"/><Relationship Id="rId635" Type="http://schemas.openxmlformats.org/officeDocument/2006/relationships/hyperlink" Target="https://api-v3.thaiwater.net/api/v1/thaiwater30/public/waterlevel_load" TargetMode="External"/><Relationship Id="rId634" Type="http://schemas.openxmlformats.org/officeDocument/2006/relationships/hyperlink" Target="https://api-v3.thaiwater.net/api/v1/thaiwater30/public/waterlevel_load" TargetMode="External"/><Relationship Id="rId633" Type="http://schemas.openxmlformats.org/officeDocument/2006/relationships/hyperlink" Target="https://api-v3.thaiwater.net/api/v1/thaiwater30/public/waterlevel_load" TargetMode="External"/><Relationship Id="rId632" Type="http://schemas.openxmlformats.org/officeDocument/2006/relationships/hyperlink" Target="https://api-v3.thaiwater.net/api/v1/thaiwater30/public/waterlevel_load" TargetMode="External"/><Relationship Id="rId639" Type="http://schemas.openxmlformats.org/officeDocument/2006/relationships/hyperlink" Target="https://api-v3.thaiwater.net/api/v1/thaiwater30/public/waterlevel_load" TargetMode="External"/><Relationship Id="rId638" Type="http://schemas.openxmlformats.org/officeDocument/2006/relationships/hyperlink" Target="https://api-v3.thaiwater.net/api/v1/thaiwater30/public/waterlevel_load" TargetMode="External"/><Relationship Id="rId637" Type="http://schemas.openxmlformats.org/officeDocument/2006/relationships/hyperlink" Target="https://api-v3.thaiwater.net/api/v1/thaiwater30/public/waterlevel_load" TargetMode="External"/><Relationship Id="rId636" Type="http://schemas.openxmlformats.org/officeDocument/2006/relationships/hyperlink" Target="https://api-v3.thaiwater.net/api/v1/thaiwater30/public/waterlevel_load" TargetMode="External"/><Relationship Id="rId631" Type="http://schemas.openxmlformats.org/officeDocument/2006/relationships/hyperlink" Target="https://api-v3.thaiwater.net/api/v1/thaiwater30/public/waterlevel_load" TargetMode="External"/><Relationship Id="rId630" Type="http://schemas.openxmlformats.org/officeDocument/2006/relationships/hyperlink" Target="https://api-v3.thaiwater.net/api/v1/thaiwater30/public/waterlevel_load" TargetMode="External"/><Relationship Id="rId811" Type="http://schemas.openxmlformats.org/officeDocument/2006/relationships/vmlDrawing" Target="../drawings/vmlDrawing2.vml"/><Relationship Id="rId810" Type="http://schemas.openxmlformats.org/officeDocument/2006/relationships/drawing" Target="../drawings/drawing5.xml"/><Relationship Id="rId609" Type="http://schemas.openxmlformats.org/officeDocument/2006/relationships/hyperlink" Target="https://api-v3.thaiwater.net/api/v1/thaiwater30/public/waterlevel_load" TargetMode="External"/><Relationship Id="rId608" Type="http://schemas.openxmlformats.org/officeDocument/2006/relationships/hyperlink" Target="https://api-v3.thaiwater.net/api/v1/thaiwater30/public/waterlevel_load" TargetMode="External"/><Relationship Id="rId607" Type="http://schemas.openxmlformats.org/officeDocument/2006/relationships/hyperlink" Target="https://api-v3.thaiwater.net/api/v1/thaiwater30/public/waterlevel_load" TargetMode="External"/><Relationship Id="rId602" Type="http://schemas.openxmlformats.org/officeDocument/2006/relationships/hyperlink" Target="https://api-v3.thaiwater.net/api/v1/thaiwater30/public/waterlevel_load" TargetMode="External"/><Relationship Id="rId601" Type="http://schemas.openxmlformats.org/officeDocument/2006/relationships/hyperlink" Target="https://api-v3.thaiwater.net/api/v1/thaiwater30/public/waterlevel_load" TargetMode="External"/><Relationship Id="rId600" Type="http://schemas.openxmlformats.org/officeDocument/2006/relationships/hyperlink" Target="https://api-v3.thaiwater.net/api/v1/thaiwater30/public/waterlevel_load" TargetMode="External"/><Relationship Id="rId606" Type="http://schemas.openxmlformats.org/officeDocument/2006/relationships/hyperlink" Target="https://api-v3.thaiwater.net/api/v1/thaiwater30/public/waterlevel_load" TargetMode="External"/><Relationship Id="rId605" Type="http://schemas.openxmlformats.org/officeDocument/2006/relationships/hyperlink" Target="https://api-v3.thaiwater.net/api/v1/thaiwater30/public/waterlevel_load" TargetMode="External"/><Relationship Id="rId604" Type="http://schemas.openxmlformats.org/officeDocument/2006/relationships/hyperlink" Target="https://api-v3.thaiwater.net/api/v1/thaiwater30/public/waterlevel_load" TargetMode="External"/><Relationship Id="rId603" Type="http://schemas.openxmlformats.org/officeDocument/2006/relationships/hyperlink" Target="https://api-v3.thaiwater.net/api/v1/thaiwater30/public/waterlevel_load" TargetMode="External"/><Relationship Id="rId228" Type="http://schemas.openxmlformats.org/officeDocument/2006/relationships/hyperlink" Target="https://api-v3.thaiwater.net/api/v1/thaiwater30/public/waterlevel_load" TargetMode="External"/><Relationship Id="rId227" Type="http://schemas.openxmlformats.org/officeDocument/2006/relationships/hyperlink" Target="https://api-v3.thaiwater.net/api/v1/thaiwater30/public/waterlevel_load" TargetMode="External"/><Relationship Id="rId469" Type="http://schemas.openxmlformats.org/officeDocument/2006/relationships/hyperlink" Target="https://api-v3.thaiwater.net/api/v1/thaiwater30/public/waterlevel_load" TargetMode="External"/><Relationship Id="rId226" Type="http://schemas.openxmlformats.org/officeDocument/2006/relationships/hyperlink" Target="https://api-v3.thaiwater.net/api/v1/thaiwater30/public/waterlevel_load" TargetMode="External"/><Relationship Id="rId468" Type="http://schemas.openxmlformats.org/officeDocument/2006/relationships/hyperlink" Target="https://api-v3.thaiwater.net/api/v1/thaiwater30/public/waterlevel_load" TargetMode="External"/><Relationship Id="rId225" Type="http://schemas.openxmlformats.org/officeDocument/2006/relationships/hyperlink" Target="https://api-v3.thaiwater.net/api/v1/thaiwater30/public/waterlevel_load" TargetMode="External"/><Relationship Id="rId467" Type="http://schemas.openxmlformats.org/officeDocument/2006/relationships/hyperlink" Target="https://api-v3.thaiwater.net/api/v1/thaiwater30/public/waterlevel_load" TargetMode="External"/><Relationship Id="rId229" Type="http://schemas.openxmlformats.org/officeDocument/2006/relationships/hyperlink" Target="https://api-v3.thaiwater.net/api/v1/thaiwater30/public/waterlevel_load" TargetMode="External"/><Relationship Id="rId220" Type="http://schemas.openxmlformats.org/officeDocument/2006/relationships/hyperlink" Target="https://api-v3.thaiwater.net/api/v1/thaiwater30/public/waterlevel_load" TargetMode="External"/><Relationship Id="rId462" Type="http://schemas.openxmlformats.org/officeDocument/2006/relationships/hyperlink" Target="https://api-v3.thaiwater.net/api/v1/thaiwater30/public/waterlevel_load" TargetMode="External"/><Relationship Id="rId461" Type="http://schemas.openxmlformats.org/officeDocument/2006/relationships/hyperlink" Target="https://api-v3.thaiwater.net/api/v1/thaiwater30/public/waterlevel_load" TargetMode="External"/><Relationship Id="rId460" Type="http://schemas.openxmlformats.org/officeDocument/2006/relationships/hyperlink" Target="https://api-v3.thaiwater.net/api/v1/thaiwater30/public/waterlevel_load" TargetMode="External"/><Relationship Id="rId224" Type="http://schemas.openxmlformats.org/officeDocument/2006/relationships/hyperlink" Target="https://api-v3.thaiwater.net/api/v1/thaiwater30/public/waterlevel_load" TargetMode="External"/><Relationship Id="rId466" Type="http://schemas.openxmlformats.org/officeDocument/2006/relationships/hyperlink" Target="https://api-v3.thaiwater.net/api/v1/thaiwater30/public/waterlevel_load" TargetMode="External"/><Relationship Id="rId223" Type="http://schemas.openxmlformats.org/officeDocument/2006/relationships/hyperlink" Target="https://api-v3.thaiwater.net/api/v1/thaiwater30/public/waterlevel_load" TargetMode="External"/><Relationship Id="rId465" Type="http://schemas.openxmlformats.org/officeDocument/2006/relationships/hyperlink" Target="https://api-v3.thaiwater.net/api/v1/thaiwater30/public/waterlevel_load" TargetMode="External"/><Relationship Id="rId222" Type="http://schemas.openxmlformats.org/officeDocument/2006/relationships/hyperlink" Target="https://api-v3.thaiwater.net/api/v1/thaiwater30/public/waterlevel_load" TargetMode="External"/><Relationship Id="rId464" Type="http://schemas.openxmlformats.org/officeDocument/2006/relationships/hyperlink" Target="https://api-v3.thaiwater.net/api/v1/thaiwater30/public/waterlevel_load" TargetMode="External"/><Relationship Id="rId221" Type="http://schemas.openxmlformats.org/officeDocument/2006/relationships/hyperlink" Target="https://api-v3.thaiwater.net/api/v1/thaiwater30/public/waterlevel_load" TargetMode="External"/><Relationship Id="rId463" Type="http://schemas.openxmlformats.org/officeDocument/2006/relationships/hyperlink" Target="https://api-v3.thaiwater.net/api/v1/thaiwater30/public/waterlevel_load" TargetMode="External"/><Relationship Id="rId217" Type="http://schemas.openxmlformats.org/officeDocument/2006/relationships/hyperlink" Target="https://api-v3.thaiwater.net/api/v1/thaiwater30/public/waterlevel_load" TargetMode="External"/><Relationship Id="rId459" Type="http://schemas.openxmlformats.org/officeDocument/2006/relationships/hyperlink" Target="https://api-v3.thaiwater.net/api/v1/thaiwater30/public/waterlevel_load" TargetMode="External"/><Relationship Id="rId216" Type="http://schemas.openxmlformats.org/officeDocument/2006/relationships/hyperlink" Target="https://api-v3.thaiwater.net/api/v1/thaiwater30/public/waterlevel_load" TargetMode="External"/><Relationship Id="rId458" Type="http://schemas.openxmlformats.org/officeDocument/2006/relationships/hyperlink" Target="https://api-v3.thaiwater.net/api/v1/thaiwater30/public/waterlevel_load" TargetMode="External"/><Relationship Id="rId215" Type="http://schemas.openxmlformats.org/officeDocument/2006/relationships/hyperlink" Target="https://api-v3.thaiwater.net/api/v1/thaiwater30/public/waterlevel_load" TargetMode="External"/><Relationship Id="rId457" Type="http://schemas.openxmlformats.org/officeDocument/2006/relationships/hyperlink" Target="https://api-v3.thaiwater.net/api/v1/thaiwater30/public/waterlevel_load" TargetMode="External"/><Relationship Id="rId699" Type="http://schemas.openxmlformats.org/officeDocument/2006/relationships/hyperlink" Target="https://api-v3.thaiwater.net/api/v1/thaiwater30/public/waterlevel_load" TargetMode="External"/><Relationship Id="rId214" Type="http://schemas.openxmlformats.org/officeDocument/2006/relationships/hyperlink" Target="https://api-v3.thaiwater.net/api/v1/thaiwater30/public/waterlevel_load" TargetMode="External"/><Relationship Id="rId456" Type="http://schemas.openxmlformats.org/officeDocument/2006/relationships/hyperlink" Target="https://api-v3.thaiwater.net/api/v1/thaiwater30/public/waterlevel_load" TargetMode="External"/><Relationship Id="rId698" Type="http://schemas.openxmlformats.org/officeDocument/2006/relationships/hyperlink" Target="https://api-v3.thaiwater.net/api/v1/thaiwater30/public/waterlevel_load" TargetMode="External"/><Relationship Id="rId219" Type="http://schemas.openxmlformats.org/officeDocument/2006/relationships/hyperlink" Target="https://api-v3.thaiwater.net/api/v1/thaiwater30/public/waterlevel_load" TargetMode="External"/><Relationship Id="rId218" Type="http://schemas.openxmlformats.org/officeDocument/2006/relationships/hyperlink" Target="https://api-v3.thaiwater.net/api/v1/thaiwater30/public/waterlevel_load" TargetMode="External"/><Relationship Id="rId451" Type="http://schemas.openxmlformats.org/officeDocument/2006/relationships/hyperlink" Target="https://api-v3.thaiwater.net/api/v1/thaiwater30/public/waterlevel_load" TargetMode="External"/><Relationship Id="rId693" Type="http://schemas.openxmlformats.org/officeDocument/2006/relationships/hyperlink" Target="https://api-v3.thaiwater.net/api/v1/thaiwater30/public/waterlevel_load" TargetMode="External"/><Relationship Id="rId450" Type="http://schemas.openxmlformats.org/officeDocument/2006/relationships/hyperlink" Target="https://api-v3.thaiwater.net/api/v1/thaiwater30/public/waterlevel_load" TargetMode="External"/><Relationship Id="rId692" Type="http://schemas.openxmlformats.org/officeDocument/2006/relationships/hyperlink" Target="https://api-v3.thaiwater.net/api/v1/thaiwater30/public/waterlevel_load" TargetMode="External"/><Relationship Id="rId691" Type="http://schemas.openxmlformats.org/officeDocument/2006/relationships/hyperlink" Target="https://api-v3.thaiwater.net/api/v1/thaiwater30/public/waterlevel_load" TargetMode="External"/><Relationship Id="rId690" Type="http://schemas.openxmlformats.org/officeDocument/2006/relationships/hyperlink" Target="https://api-v3.thaiwater.net/api/v1/thaiwater30/public/waterlevel_load" TargetMode="External"/><Relationship Id="rId213" Type="http://schemas.openxmlformats.org/officeDocument/2006/relationships/hyperlink" Target="https://api-v3.thaiwater.net/api/v1/thaiwater30/public/waterlevel_load" TargetMode="External"/><Relationship Id="rId455" Type="http://schemas.openxmlformats.org/officeDocument/2006/relationships/hyperlink" Target="https://api-v3.thaiwater.net/api/v1/thaiwater30/public/waterlevel_load" TargetMode="External"/><Relationship Id="rId697" Type="http://schemas.openxmlformats.org/officeDocument/2006/relationships/hyperlink" Target="https://api-v3.thaiwater.net/api/v1/thaiwater30/public/waterlevel_load" TargetMode="External"/><Relationship Id="rId212" Type="http://schemas.openxmlformats.org/officeDocument/2006/relationships/hyperlink" Target="https://api-v3.thaiwater.net/api/v1/thaiwater30/public/waterlevel_load" TargetMode="External"/><Relationship Id="rId454" Type="http://schemas.openxmlformats.org/officeDocument/2006/relationships/hyperlink" Target="https://api-v3.thaiwater.net/api/v1/thaiwater30/public/waterlevel_load" TargetMode="External"/><Relationship Id="rId696" Type="http://schemas.openxmlformats.org/officeDocument/2006/relationships/hyperlink" Target="https://api-v3.thaiwater.net/api/v1/thaiwater30/public/waterlevel_load" TargetMode="External"/><Relationship Id="rId211" Type="http://schemas.openxmlformats.org/officeDocument/2006/relationships/hyperlink" Target="https://api-v3.thaiwater.net/api/v1/thaiwater30/public/waterlevel_load" TargetMode="External"/><Relationship Id="rId453" Type="http://schemas.openxmlformats.org/officeDocument/2006/relationships/hyperlink" Target="https://api-v3.thaiwater.net/api/v1/thaiwater30/public/waterlevel_load" TargetMode="External"/><Relationship Id="rId695" Type="http://schemas.openxmlformats.org/officeDocument/2006/relationships/hyperlink" Target="https://api-v3.thaiwater.net/api/v1/thaiwater30/public/waterlevel_load" TargetMode="External"/><Relationship Id="rId210" Type="http://schemas.openxmlformats.org/officeDocument/2006/relationships/hyperlink" Target="https://api-v3.thaiwater.net/api/v1/thaiwater30/public/waterlevel_load" TargetMode="External"/><Relationship Id="rId452" Type="http://schemas.openxmlformats.org/officeDocument/2006/relationships/hyperlink" Target="https://api-v3.thaiwater.net/api/v1/thaiwater30/public/waterlevel_load" TargetMode="External"/><Relationship Id="rId694" Type="http://schemas.openxmlformats.org/officeDocument/2006/relationships/hyperlink" Target="https://api-v3.thaiwater.net/api/v1/thaiwater30/public/waterlevel_load" TargetMode="External"/><Relationship Id="rId491" Type="http://schemas.openxmlformats.org/officeDocument/2006/relationships/hyperlink" Target="https://api-v3.thaiwater.net/api/v1/thaiwater30/public/waterlevel_load" TargetMode="External"/><Relationship Id="rId490" Type="http://schemas.openxmlformats.org/officeDocument/2006/relationships/hyperlink" Target="https://api-v3.thaiwater.net/api/v1/thaiwater30/public/waterlevel_load" TargetMode="External"/><Relationship Id="rId249" Type="http://schemas.openxmlformats.org/officeDocument/2006/relationships/hyperlink" Target="https://api-v3.thaiwater.net/api/v1/thaiwater30/public/waterlevel_load" TargetMode="External"/><Relationship Id="rId248" Type="http://schemas.openxmlformats.org/officeDocument/2006/relationships/hyperlink" Target="https://api-v3.thaiwater.net/api/v1/thaiwater30/public/waterlevel_load" TargetMode="External"/><Relationship Id="rId247" Type="http://schemas.openxmlformats.org/officeDocument/2006/relationships/hyperlink" Target="https://api-v3.thaiwater.net/api/v1/thaiwater30/public/waterlevel_load" TargetMode="External"/><Relationship Id="rId489" Type="http://schemas.openxmlformats.org/officeDocument/2006/relationships/hyperlink" Target="https://api-v3.thaiwater.net/api/v1/thaiwater30/public/waterlevel_load" TargetMode="External"/><Relationship Id="rId242" Type="http://schemas.openxmlformats.org/officeDocument/2006/relationships/hyperlink" Target="https://api-v3.thaiwater.net/api/v1/thaiwater30/public/waterlevel_load" TargetMode="External"/><Relationship Id="rId484" Type="http://schemas.openxmlformats.org/officeDocument/2006/relationships/hyperlink" Target="https://api-v3.thaiwater.net/api/v1/thaiwater30/public/waterlevel_load" TargetMode="External"/><Relationship Id="rId241" Type="http://schemas.openxmlformats.org/officeDocument/2006/relationships/hyperlink" Target="https://api-v3.thaiwater.net/api/v1/thaiwater30/public/waterlevel_load" TargetMode="External"/><Relationship Id="rId483" Type="http://schemas.openxmlformats.org/officeDocument/2006/relationships/hyperlink" Target="https://api-v3.thaiwater.net/api/v1/thaiwater30/public/waterlevel_load" TargetMode="External"/><Relationship Id="rId240" Type="http://schemas.openxmlformats.org/officeDocument/2006/relationships/hyperlink" Target="https://api-v3.thaiwater.net/api/v1/thaiwater30/public/waterlevel_load" TargetMode="External"/><Relationship Id="rId482" Type="http://schemas.openxmlformats.org/officeDocument/2006/relationships/hyperlink" Target="https://api-v3.thaiwater.net/api/v1/thaiwater30/public/waterlevel_load" TargetMode="External"/><Relationship Id="rId481" Type="http://schemas.openxmlformats.org/officeDocument/2006/relationships/hyperlink" Target="https://api-v3.thaiwater.net/api/v1/thaiwater30/public/waterlevel_load" TargetMode="External"/><Relationship Id="rId246" Type="http://schemas.openxmlformats.org/officeDocument/2006/relationships/hyperlink" Target="https://api-v3.thaiwater.net/api/v1/thaiwater30/public/waterlevel_load" TargetMode="External"/><Relationship Id="rId488" Type="http://schemas.openxmlformats.org/officeDocument/2006/relationships/hyperlink" Target="https://api-v3.thaiwater.net/api/v1/thaiwater30/public/waterlevel_load" TargetMode="External"/><Relationship Id="rId245" Type="http://schemas.openxmlformats.org/officeDocument/2006/relationships/hyperlink" Target="https://api-v3.thaiwater.net/api/v1/thaiwater30/public/waterlevel_load" TargetMode="External"/><Relationship Id="rId487" Type="http://schemas.openxmlformats.org/officeDocument/2006/relationships/hyperlink" Target="https://api-v3.thaiwater.net/api/v1/thaiwater30/public/waterlevel_load" TargetMode="External"/><Relationship Id="rId244" Type="http://schemas.openxmlformats.org/officeDocument/2006/relationships/hyperlink" Target="https://api-v3.thaiwater.net/api/v1/thaiwater30/public/waterlevel_load" TargetMode="External"/><Relationship Id="rId486" Type="http://schemas.openxmlformats.org/officeDocument/2006/relationships/hyperlink" Target="https://api-v3.thaiwater.net/api/v1/thaiwater30/public/waterlevel_load" TargetMode="External"/><Relationship Id="rId243" Type="http://schemas.openxmlformats.org/officeDocument/2006/relationships/hyperlink" Target="https://api-v3.thaiwater.net/api/v1/thaiwater30/public/waterlevel_load" TargetMode="External"/><Relationship Id="rId485" Type="http://schemas.openxmlformats.org/officeDocument/2006/relationships/hyperlink" Target="https://api-v3.thaiwater.net/api/v1/thaiwater30/public/waterlevel_load" TargetMode="External"/><Relationship Id="rId480" Type="http://schemas.openxmlformats.org/officeDocument/2006/relationships/hyperlink" Target="https://api-v3.thaiwater.net/api/v1/thaiwater30/public/waterlevel_load" TargetMode="External"/><Relationship Id="rId239" Type="http://schemas.openxmlformats.org/officeDocument/2006/relationships/hyperlink" Target="https://api-v3.thaiwater.net/api/v1/thaiwater30/public/waterlevel_load" TargetMode="External"/><Relationship Id="rId238" Type="http://schemas.openxmlformats.org/officeDocument/2006/relationships/hyperlink" Target="https://api-v3.thaiwater.net/api/v1/thaiwater30/public/waterlevel_load" TargetMode="External"/><Relationship Id="rId237" Type="http://schemas.openxmlformats.org/officeDocument/2006/relationships/hyperlink" Target="https://api-v3.thaiwater.net/api/v1/thaiwater30/public/waterlevel_load" TargetMode="External"/><Relationship Id="rId479" Type="http://schemas.openxmlformats.org/officeDocument/2006/relationships/hyperlink" Target="https://api-v3.thaiwater.net/api/v1/thaiwater30/public/waterlevel_load" TargetMode="External"/><Relationship Id="rId236" Type="http://schemas.openxmlformats.org/officeDocument/2006/relationships/hyperlink" Target="https://api-v3.thaiwater.net/api/v1/thaiwater30/public/waterlevel_load" TargetMode="External"/><Relationship Id="rId478" Type="http://schemas.openxmlformats.org/officeDocument/2006/relationships/hyperlink" Target="https://api-v3.thaiwater.net/api/v1/thaiwater30/public/waterlevel_load" TargetMode="External"/><Relationship Id="rId231" Type="http://schemas.openxmlformats.org/officeDocument/2006/relationships/hyperlink" Target="https://api-v3.thaiwater.net/api/v1/thaiwater30/public/waterlevel_load" TargetMode="External"/><Relationship Id="rId473" Type="http://schemas.openxmlformats.org/officeDocument/2006/relationships/hyperlink" Target="https://api-v3.thaiwater.net/api/v1/thaiwater30/public/waterlevel_load" TargetMode="External"/><Relationship Id="rId230" Type="http://schemas.openxmlformats.org/officeDocument/2006/relationships/hyperlink" Target="https://api-v3.thaiwater.net/api/v1/thaiwater30/public/waterlevel_load" TargetMode="External"/><Relationship Id="rId472" Type="http://schemas.openxmlformats.org/officeDocument/2006/relationships/hyperlink" Target="https://api-v3.thaiwater.net/api/v1/thaiwater30/public/waterlevel_load" TargetMode="External"/><Relationship Id="rId471" Type="http://schemas.openxmlformats.org/officeDocument/2006/relationships/hyperlink" Target="https://api-v3.thaiwater.net/api/v1/thaiwater30/public/waterlevel_load" TargetMode="External"/><Relationship Id="rId470" Type="http://schemas.openxmlformats.org/officeDocument/2006/relationships/hyperlink" Target="https://api-v3.thaiwater.net/api/v1/thaiwater30/public/waterlevel_load" TargetMode="External"/><Relationship Id="rId235" Type="http://schemas.openxmlformats.org/officeDocument/2006/relationships/hyperlink" Target="https://api-v3.thaiwater.net/api/v1/thaiwater30/public/waterlevel_load" TargetMode="External"/><Relationship Id="rId477" Type="http://schemas.openxmlformats.org/officeDocument/2006/relationships/hyperlink" Target="https://api-v3.thaiwater.net/api/v1/thaiwater30/public/waterlevel_load" TargetMode="External"/><Relationship Id="rId234" Type="http://schemas.openxmlformats.org/officeDocument/2006/relationships/hyperlink" Target="https://api-v3.thaiwater.net/api/v1/thaiwater30/public/waterlevel_load" TargetMode="External"/><Relationship Id="rId476" Type="http://schemas.openxmlformats.org/officeDocument/2006/relationships/hyperlink" Target="https://api-v3.thaiwater.net/api/v1/thaiwater30/public/waterlevel_load" TargetMode="External"/><Relationship Id="rId233" Type="http://schemas.openxmlformats.org/officeDocument/2006/relationships/hyperlink" Target="https://api-v3.thaiwater.net/api/v1/thaiwater30/public/waterlevel_load" TargetMode="External"/><Relationship Id="rId475" Type="http://schemas.openxmlformats.org/officeDocument/2006/relationships/hyperlink" Target="https://api-v3.thaiwater.net/api/v1/thaiwater30/public/waterlevel_load" TargetMode="External"/><Relationship Id="rId232" Type="http://schemas.openxmlformats.org/officeDocument/2006/relationships/hyperlink" Target="https://api-v3.thaiwater.net/api/v1/thaiwater30/public/waterlevel_load" TargetMode="External"/><Relationship Id="rId474" Type="http://schemas.openxmlformats.org/officeDocument/2006/relationships/hyperlink" Target="https://api-v3.thaiwater.net/api/v1/thaiwater30/public/waterlevel_load" TargetMode="External"/><Relationship Id="rId426" Type="http://schemas.openxmlformats.org/officeDocument/2006/relationships/hyperlink" Target="https://api-v3.thaiwater.net/api/v1/thaiwater30/public/waterlevel_load" TargetMode="External"/><Relationship Id="rId668" Type="http://schemas.openxmlformats.org/officeDocument/2006/relationships/hyperlink" Target="https://api-v3.thaiwater.net/api/v1/thaiwater30/public/waterlevel_load" TargetMode="External"/><Relationship Id="rId425" Type="http://schemas.openxmlformats.org/officeDocument/2006/relationships/hyperlink" Target="https://api-v3.thaiwater.net/api/v1/thaiwater30/public/waterlevel_load" TargetMode="External"/><Relationship Id="rId667" Type="http://schemas.openxmlformats.org/officeDocument/2006/relationships/hyperlink" Target="https://api-v3.thaiwater.net/api/v1/thaiwater30/public/waterlevel_load" TargetMode="External"/><Relationship Id="rId424" Type="http://schemas.openxmlformats.org/officeDocument/2006/relationships/hyperlink" Target="https://api-v3.thaiwater.net/api/v1/thaiwater30/public/waterlevel_load" TargetMode="External"/><Relationship Id="rId666" Type="http://schemas.openxmlformats.org/officeDocument/2006/relationships/hyperlink" Target="https://api-v3.thaiwater.net/api/v1/thaiwater30/public/waterlevel_load" TargetMode="External"/><Relationship Id="rId423" Type="http://schemas.openxmlformats.org/officeDocument/2006/relationships/hyperlink" Target="https://api-v3.thaiwater.net/api/v1/thaiwater30/public/waterlevel_load" TargetMode="External"/><Relationship Id="rId665" Type="http://schemas.openxmlformats.org/officeDocument/2006/relationships/hyperlink" Target="https://api-v3.thaiwater.net/api/v1/thaiwater30/public/waterlevel_load" TargetMode="External"/><Relationship Id="rId429" Type="http://schemas.openxmlformats.org/officeDocument/2006/relationships/hyperlink" Target="https://api-v3.thaiwater.net/api/v1/thaiwater30/public/waterlevel_load" TargetMode="External"/><Relationship Id="rId428" Type="http://schemas.openxmlformats.org/officeDocument/2006/relationships/hyperlink" Target="https://api-v3.thaiwater.net/api/v1/thaiwater30/public/waterlevel_load" TargetMode="External"/><Relationship Id="rId427" Type="http://schemas.openxmlformats.org/officeDocument/2006/relationships/hyperlink" Target="https://api-v3.thaiwater.net/api/v1/thaiwater30/public/waterlevel_load" TargetMode="External"/><Relationship Id="rId669" Type="http://schemas.openxmlformats.org/officeDocument/2006/relationships/hyperlink" Target="https://api-v3.thaiwater.net/api/v1/thaiwater30/public/waterlevel_load" TargetMode="External"/><Relationship Id="rId660" Type="http://schemas.openxmlformats.org/officeDocument/2006/relationships/hyperlink" Target="https://api-v3.thaiwater.net/api/v1/thaiwater30/public/waterlevel_load" TargetMode="External"/><Relationship Id="rId422" Type="http://schemas.openxmlformats.org/officeDocument/2006/relationships/hyperlink" Target="https://api-v3.thaiwater.net/api/v1/thaiwater30/public/waterlevel_load" TargetMode="External"/><Relationship Id="rId664" Type="http://schemas.openxmlformats.org/officeDocument/2006/relationships/hyperlink" Target="https://api-v3.thaiwater.net/api/v1/thaiwater30/public/waterlevel_load" TargetMode="External"/><Relationship Id="rId421" Type="http://schemas.openxmlformats.org/officeDocument/2006/relationships/hyperlink" Target="https://api-v3.thaiwater.net/api/v1/thaiwater30/public/waterlevel_load" TargetMode="External"/><Relationship Id="rId663" Type="http://schemas.openxmlformats.org/officeDocument/2006/relationships/hyperlink" Target="https://api-v3.thaiwater.net/api/v1/thaiwater30/public/waterlevel_load" TargetMode="External"/><Relationship Id="rId420" Type="http://schemas.openxmlformats.org/officeDocument/2006/relationships/hyperlink" Target="https://api-v3.thaiwater.net/api/v1/thaiwater30/public/waterlevel_load" TargetMode="External"/><Relationship Id="rId662" Type="http://schemas.openxmlformats.org/officeDocument/2006/relationships/hyperlink" Target="https://api-v3.thaiwater.net/api/v1/thaiwater30/public/waterlevel_load" TargetMode="External"/><Relationship Id="rId661" Type="http://schemas.openxmlformats.org/officeDocument/2006/relationships/hyperlink" Target="https://api-v3.thaiwater.net/api/v1/thaiwater30/public/waterlevel_load" TargetMode="External"/><Relationship Id="rId415" Type="http://schemas.openxmlformats.org/officeDocument/2006/relationships/hyperlink" Target="https://api-v3.thaiwater.net/api/v1/thaiwater30/public/waterlevel_load" TargetMode="External"/><Relationship Id="rId657" Type="http://schemas.openxmlformats.org/officeDocument/2006/relationships/hyperlink" Target="https://api-v3.thaiwater.net/api/v1/thaiwater30/public/waterlevel_load" TargetMode="External"/><Relationship Id="rId414" Type="http://schemas.openxmlformats.org/officeDocument/2006/relationships/hyperlink" Target="https://api-v3.thaiwater.net/api/v1/thaiwater30/public/waterlevel_load" TargetMode="External"/><Relationship Id="rId656" Type="http://schemas.openxmlformats.org/officeDocument/2006/relationships/hyperlink" Target="https://api-v3.thaiwater.net/api/v1/thaiwater30/public/waterlevel_load" TargetMode="External"/><Relationship Id="rId413" Type="http://schemas.openxmlformats.org/officeDocument/2006/relationships/hyperlink" Target="https://api-v3.thaiwater.net/api/v1/thaiwater30/public/waterlevel_load" TargetMode="External"/><Relationship Id="rId655" Type="http://schemas.openxmlformats.org/officeDocument/2006/relationships/hyperlink" Target="https://api-v3.thaiwater.net/api/v1/thaiwater30/public/waterlevel_load" TargetMode="External"/><Relationship Id="rId412" Type="http://schemas.openxmlformats.org/officeDocument/2006/relationships/hyperlink" Target="https://api-v3.thaiwater.net/api/v1/thaiwater30/public/waterlevel_load" TargetMode="External"/><Relationship Id="rId654" Type="http://schemas.openxmlformats.org/officeDocument/2006/relationships/hyperlink" Target="https://api-v3.thaiwater.net/api/v1/thaiwater30/public/waterlevel_load" TargetMode="External"/><Relationship Id="rId419" Type="http://schemas.openxmlformats.org/officeDocument/2006/relationships/hyperlink" Target="https://api-v3.thaiwater.net/api/v1/thaiwater30/public/waterlevel_load" TargetMode="External"/><Relationship Id="rId418" Type="http://schemas.openxmlformats.org/officeDocument/2006/relationships/hyperlink" Target="https://api-v3.thaiwater.net/api/v1/thaiwater30/public/waterlevel_load" TargetMode="External"/><Relationship Id="rId417" Type="http://schemas.openxmlformats.org/officeDocument/2006/relationships/hyperlink" Target="https://api-v3.thaiwater.net/api/v1/thaiwater30/public/waterlevel_load" TargetMode="External"/><Relationship Id="rId659" Type="http://schemas.openxmlformats.org/officeDocument/2006/relationships/hyperlink" Target="https://api-v3.thaiwater.net/api/v1/thaiwater30/public/waterlevel_load" TargetMode="External"/><Relationship Id="rId416" Type="http://schemas.openxmlformats.org/officeDocument/2006/relationships/hyperlink" Target="https://api-v3.thaiwater.net/api/v1/thaiwater30/public/waterlevel_load" TargetMode="External"/><Relationship Id="rId658" Type="http://schemas.openxmlformats.org/officeDocument/2006/relationships/hyperlink" Target="https://api-v3.thaiwater.net/api/v1/thaiwater30/public/waterlevel_load" TargetMode="External"/><Relationship Id="rId411" Type="http://schemas.openxmlformats.org/officeDocument/2006/relationships/hyperlink" Target="https://api-v3.thaiwater.net/api/v1/thaiwater30/public/waterlevel_load" TargetMode="External"/><Relationship Id="rId653" Type="http://schemas.openxmlformats.org/officeDocument/2006/relationships/hyperlink" Target="https://api-v3.thaiwater.net/api/v1/thaiwater30/public/waterlevel_load" TargetMode="External"/><Relationship Id="rId410" Type="http://schemas.openxmlformats.org/officeDocument/2006/relationships/hyperlink" Target="https://api-v3.thaiwater.net/api/v1/thaiwater30/public/waterlevel_load" TargetMode="External"/><Relationship Id="rId652" Type="http://schemas.openxmlformats.org/officeDocument/2006/relationships/hyperlink" Target="https://api-v3.thaiwater.net/api/v1/thaiwater30/public/waterlevel_load" TargetMode="External"/><Relationship Id="rId651" Type="http://schemas.openxmlformats.org/officeDocument/2006/relationships/hyperlink" Target="https://api-v3.thaiwater.net/api/v1/thaiwater30/public/waterlevel_load" TargetMode="External"/><Relationship Id="rId650" Type="http://schemas.openxmlformats.org/officeDocument/2006/relationships/hyperlink" Target="https://api-v3.thaiwater.net/api/v1/thaiwater30/public/waterlevel_load" TargetMode="External"/><Relationship Id="rId206" Type="http://schemas.openxmlformats.org/officeDocument/2006/relationships/hyperlink" Target="https://api-v3.thaiwater.net/api/v1/thaiwater30/public/waterlevel_load" TargetMode="External"/><Relationship Id="rId448" Type="http://schemas.openxmlformats.org/officeDocument/2006/relationships/hyperlink" Target="https://api-v3.thaiwater.net/api/v1/thaiwater30/public/waterlevel_load" TargetMode="External"/><Relationship Id="rId205" Type="http://schemas.openxmlformats.org/officeDocument/2006/relationships/hyperlink" Target="https://api-v3.thaiwater.net/api/v1/thaiwater30/public/waterlevel_load" TargetMode="External"/><Relationship Id="rId447" Type="http://schemas.openxmlformats.org/officeDocument/2006/relationships/hyperlink" Target="https://api-v3.thaiwater.net/api/v1/thaiwater30/public/waterlevel_load" TargetMode="External"/><Relationship Id="rId689" Type="http://schemas.openxmlformats.org/officeDocument/2006/relationships/hyperlink" Target="https://api-v3.thaiwater.net/api/v1/thaiwater30/public/waterlevel_load" TargetMode="External"/><Relationship Id="rId204" Type="http://schemas.openxmlformats.org/officeDocument/2006/relationships/hyperlink" Target="https://api-v3.thaiwater.net/api/v1/thaiwater30/public/waterlevel_load" TargetMode="External"/><Relationship Id="rId446" Type="http://schemas.openxmlformats.org/officeDocument/2006/relationships/hyperlink" Target="https://api-v3.thaiwater.net/api/v1/thaiwater30/public/waterlevel_load" TargetMode="External"/><Relationship Id="rId688" Type="http://schemas.openxmlformats.org/officeDocument/2006/relationships/hyperlink" Target="https://api-v3.thaiwater.net/api/v1/thaiwater30/public/waterlevel_load" TargetMode="External"/><Relationship Id="rId203" Type="http://schemas.openxmlformats.org/officeDocument/2006/relationships/hyperlink" Target="https://api-v3.thaiwater.net/api/v1/thaiwater30/public/waterlevel_load" TargetMode="External"/><Relationship Id="rId445" Type="http://schemas.openxmlformats.org/officeDocument/2006/relationships/hyperlink" Target="https://api-v3.thaiwater.net/api/v1/thaiwater30/public/waterlevel_load" TargetMode="External"/><Relationship Id="rId687" Type="http://schemas.openxmlformats.org/officeDocument/2006/relationships/hyperlink" Target="https://api-v3.thaiwater.net/api/v1/thaiwater30/public/waterlevel_load" TargetMode="External"/><Relationship Id="rId209" Type="http://schemas.openxmlformats.org/officeDocument/2006/relationships/hyperlink" Target="https://api-v3.thaiwater.net/api/v1/thaiwater30/public/waterlevel_load" TargetMode="External"/><Relationship Id="rId208" Type="http://schemas.openxmlformats.org/officeDocument/2006/relationships/hyperlink" Target="https://api-v3.thaiwater.net/api/v1/thaiwater30/public/waterlevel_load" TargetMode="External"/><Relationship Id="rId207" Type="http://schemas.openxmlformats.org/officeDocument/2006/relationships/hyperlink" Target="https://api-v3.thaiwater.net/api/v1/thaiwater30/public/waterlevel_load" TargetMode="External"/><Relationship Id="rId449" Type="http://schemas.openxmlformats.org/officeDocument/2006/relationships/hyperlink" Target="https://api-v3.thaiwater.net/api/v1/thaiwater30/public/waterlevel_load" TargetMode="External"/><Relationship Id="rId440" Type="http://schemas.openxmlformats.org/officeDocument/2006/relationships/hyperlink" Target="https://api-v3.thaiwater.net/api/v1/thaiwater30/public/waterlevel_load" TargetMode="External"/><Relationship Id="rId682" Type="http://schemas.openxmlformats.org/officeDocument/2006/relationships/hyperlink" Target="https://api-v3.thaiwater.net/api/v1/thaiwater30/public/waterlevel_load" TargetMode="External"/><Relationship Id="rId681" Type="http://schemas.openxmlformats.org/officeDocument/2006/relationships/hyperlink" Target="https://api-v3.thaiwater.net/api/v1/thaiwater30/public/waterlevel_load" TargetMode="External"/><Relationship Id="rId680" Type="http://schemas.openxmlformats.org/officeDocument/2006/relationships/hyperlink" Target="https://api-v3.thaiwater.net/api/v1/thaiwater30/public/waterlevel_load" TargetMode="External"/><Relationship Id="rId202" Type="http://schemas.openxmlformats.org/officeDocument/2006/relationships/hyperlink" Target="https://api-v3.thaiwater.net/api/v1/thaiwater30/public/waterlevel_load" TargetMode="External"/><Relationship Id="rId444" Type="http://schemas.openxmlformats.org/officeDocument/2006/relationships/hyperlink" Target="https://api-v3.thaiwater.net/api/v1/thaiwater30/public/waterlevel_load" TargetMode="External"/><Relationship Id="rId686" Type="http://schemas.openxmlformats.org/officeDocument/2006/relationships/hyperlink" Target="https://api-v3.thaiwater.net/api/v1/thaiwater30/public/waterlevel_load" TargetMode="External"/><Relationship Id="rId201" Type="http://schemas.openxmlformats.org/officeDocument/2006/relationships/hyperlink" Target="https://api-v3.thaiwater.net/api/v1/thaiwater30/public/waterlevel_load" TargetMode="External"/><Relationship Id="rId443" Type="http://schemas.openxmlformats.org/officeDocument/2006/relationships/hyperlink" Target="https://api-v3.thaiwater.net/api/v1/thaiwater30/public/waterlevel_load" TargetMode="External"/><Relationship Id="rId685" Type="http://schemas.openxmlformats.org/officeDocument/2006/relationships/hyperlink" Target="https://api-v3.thaiwater.net/api/v1/thaiwater30/public/waterlevel_load" TargetMode="External"/><Relationship Id="rId200" Type="http://schemas.openxmlformats.org/officeDocument/2006/relationships/hyperlink" Target="https://api-v3.thaiwater.net/api/v1/thaiwater30/public/waterlevel_load" TargetMode="External"/><Relationship Id="rId442" Type="http://schemas.openxmlformats.org/officeDocument/2006/relationships/hyperlink" Target="https://api-v3.thaiwater.net/api/v1/thaiwater30/public/waterlevel_load" TargetMode="External"/><Relationship Id="rId684" Type="http://schemas.openxmlformats.org/officeDocument/2006/relationships/hyperlink" Target="https://api-v3.thaiwater.net/api/v1/thaiwater30/public/waterlevel_load" TargetMode="External"/><Relationship Id="rId441" Type="http://schemas.openxmlformats.org/officeDocument/2006/relationships/hyperlink" Target="https://api-v3.thaiwater.net/api/v1/thaiwater30/public/waterlevel_load" TargetMode="External"/><Relationship Id="rId683" Type="http://schemas.openxmlformats.org/officeDocument/2006/relationships/hyperlink" Target="https://api-v3.thaiwater.net/api/v1/thaiwater30/public/waterlevel_load" TargetMode="External"/><Relationship Id="rId437" Type="http://schemas.openxmlformats.org/officeDocument/2006/relationships/hyperlink" Target="https://api-v3.thaiwater.net/api/v1/thaiwater30/public/waterlevel_load" TargetMode="External"/><Relationship Id="rId679" Type="http://schemas.openxmlformats.org/officeDocument/2006/relationships/hyperlink" Target="https://api-v3.thaiwater.net/api/v1/thaiwater30/public/waterlevel_load" TargetMode="External"/><Relationship Id="rId436" Type="http://schemas.openxmlformats.org/officeDocument/2006/relationships/hyperlink" Target="https://api-v3.thaiwater.net/api/v1/thaiwater30/public/waterlevel_load" TargetMode="External"/><Relationship Id="rId678" Type="http://schemas.openxmlformats.org/officeDocument/2006/relationships/hyperlink" Target="https://api-v3.thaiwater.net/api/v1/thaiwater30/public/waterlevel_load" TargetMode="External"/><Relationship Id="rId435" Type="http://schemas.openxmlformats.org/officeDocument/2006/relationships/hyperlink" Target="https://api-v3.thaiwater.net/api/v1/thaiwater30/public/waterlevel_load" TargetMode="External"/><Relationship Id="rId677" Type="http://schemas.openxmlformats.org/officeDocument/2006/relationships/hyperlink" Target="https://api-v3.thaiwater.net/api/v1/thaiwater30/public/waterlevel_load" TargetMode="External"/><Relationship Id="rId434" Type="http://schemas.openxmlformats.org/officeDocument/2006/relationships/hyperlink" Target="https://api-v3.thaiwater.net/api/v1/thaiwater30/public/waterlevel_load" TargetMode="External"/><Relationship Id="rId676" Type="http://schemas.openxmlformats.org/officeDocument/2006/relationships/hyperlink" Target="https://api-v3.thaiwater.net/api/v1/thaiwater30/public/waterlevel_load" TargetMode="External"/><Relationship Id="rId439" Type="http://schemas.openxmlformats.org/officeDocument/2006/relationships/hyperlink" Target="https://api-v3.thaiwater.net/api/v1/thaiwater30/public/waterlevel_load" TargetMode="External"/><Relationship Id="rId438" Type="http://schemas.openxmlformats.org/officeDocument/2006/relationships/hyperlink" Target="https://api-v3.thaiwater.net/api/v1/thaiwater30/public/waterlevel_load" TargetMode="External"/><Relationship Id="rId671" Type="http://schemas.openxmlformats.org/officeDocument/2006/relationships/hyperlink" Target="https://api-v3.thaiwater.net/api/v1/thaiwater30/public/waterlevel_load" TargetMode="External"/><Relationship Id="rId670" Type="http://schemas.openxmlformats.org/officeDocument/2006/relationships/hyperlink" Target="https://api-v3.thaiwater.net/api/v1/thaiwater30/public/waterlevel_load" TargetMode="External"/><Relationship Id="rId433" Type="http://schemas.openxmlformats.org/officeDocument/2006/relationships/hyperlink" Target="https://api-v3.thaiwater.net/api/v1/thaiwater30/public/waterlevel_load" TargetMode="External"/><Relationship Id="rId675" Type="http://schemas.openxmlformats.org/officeDocument/2006/relationships/hyperlink" Target="https://api-v3.thaiwater.net/api/v1/thaiwater30/public/waterlevel_load" TargetMode="External"/><Relationship Id="rId432" Type="http://schemas.openxmlformats.org/officeDocument/2006/relationships/hyperlink" Target="https://api-v3.thaiwater.net/api/v1/thaiwater30/public/waterlevel_load" TargetMode="External"/><Relationship Id="rId674" Type="http://schemas.openxmlformats.org/officeDocument/2006/relationships/hyperlink" Target="https://api-v3.thaiwater.net/api/v1/thaiwater30/public/waterlevel_load" TargetMode="External"/><Relationship Id="rId431" Type="http://schemas.openxmlformats.org/officeDocument/2006/relationships/hyperlink" Target="https://api-v3.thaiwater.net/api/v1/thaiwater30/public/waterlevel_load" TargetMode="External"/><Relationship Id="rId673" Type="http://schemas.openxmlformats.org/officeDocument/2006/relationships/hyperlink" Target="https://api-v3.thaiwater.net/api/v1/thaiwater30/public/waterlevel_load" TargetMode="External"/><Relationship Id="rId430" Type="http://schemas.openxmlformats.org/officeDocument/2006/relationships/hyperlink" Target="https://api-v3.thaiwater.net/api/v1/thaiwater30/public/waterlevel_load" TargetMode="External"/><Relationship Id="rId672" Type="http://schemas.openxmlformats.org/officeDocument/2006/relationships/hyperlink" Target="https://api-v3.thaiwater.net/api/v1/thaiwater30/public/waterlevel_load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" TargetMode="External"/><Relationship Id="rId194" Type="http://schemas.openxmlformats.org/officeDocument/2006/relationships/hyperlink" Target="https://floodsupport.bangkok.go.th/api/data" TargetMode="External"/><Relationship Id="rId193" Type="http://schemas.openxmlformats.org/officeDocument/2006/relationships/hyperlink" Target="https://maps.app.goo.gl/LC24wmGu2r73UQJR9?g_st=ac" TargetMode="External"/><Relationship Id="rId192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" TargetMode="External"/><Relationship Id="rId191" Type="http://schemas.openxmlformats.org/officeDocument/2006/relationships/hyperlink" Target="https://www.google.com/maps/search/?api=1&amp;query=%E0%B9%82%E0%B8%A3%E0%B8%87%E0%B9%80%E0%B8%A3%E0%B8%B5%E0%B8%A2%E0%B8%99%E0%B8%84%E0%B8%A5%E0%B8%AD%E0%B8%87%E0%B8%97%E0%B8%A7%E0%B8%B5%E0%B8%A7%E0%B8%B1%E0%B8%92%E0%B8%99%E0%B8%B2(%E0%B8%97%E0%B8%AD%E0%B8%87%E0%B8%99%E0%B9%88%E0%B8%A7%E0%B8%A1%E0%B8%AD%E0%B8%99%E0%B8%B8%E0%B8%AA%E0%B8%A3%E0%B8%93%E0%B9%8C)%20%E0%B9%80%E0%B8%82%E0%B8%95%E0%B8%97%E0%B8%A7%E0%B8%B5%E0%B8%A7%E0%B8%B1%E0%B8%92%E0%B8%99%E0%B8%B2%20%E0%B8%81%E0%B8%A3%E0%B8%B8%E0%B8%87%E0%B9%80%E0%B8%97%E0%B8%9E%E0%B8%A1%E0%B8%AB%E0%B8%B2%E0%B8%99%E0%B8%84%E0%B8%A3&amp;query_place_id=ChIJT-TWBJ2W4jARW-FlNPXUSiw" TargetMode="External"/><Relationship Id="rId187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" TargetMode="External"/><Relationship Id="rId186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" TargetMode="External"/><Relationship Id="rId185" Type="http://schemas.openxmlformats.org/officeDocument/2006/relationships/hyperlink" Target="https://www.google.com/maps/search/?api=1&amp;query=%E0%B9%82%E0%B8%A3%E0%B8%87%E0%B9%80%E0%B8%A3%E0%B8%B5%E0%B8%A2%E0%B8%99%E0%B8%84%E0%B8%A5%E0%B8%AD%E0%B8%87%E0%B8%95%E0%B9%89%E0%B8%99%E0%B9%84%E0%B8%97%E0%B8%A3(%E0%B8%AA%E0%B8%B8%E0%B8%82%E0%B8%A5%E0%B9%89%E0%B8%AD%E0%B8%A1%E0%B8%AD%E0%B8%B8%E0%B8%97%E0%B8%B4%E0%B8%A8)%20%E0%B9%80%E0%B8%82%E0%B8%95%E0%B8%97%E0%B8%A7%E0%B8%B5%E0%B8%A7%E0%B8%B1%E0%B8%92%E0%B8%99%E0%B8%B2%20%E0%B8%81%E0%B8%A3%E0%B8%B8%E0%B8%87%E0%B9%80%E0%B8%97%E0%B8%9E%E0%B8%A1%E0%B8%AB%E0%B8%B2%E0%B8%99%E0%B8%84%E0%B8%A3&amp;query_place_id=ChIJV9N_NNyW4jARese-PoDv5GY" TargetMode="External"/><Relationship Id="rId184" Type="http://schemas.openxmlformats.org/officeDocument/2006/relationships/hyperlink" Target="https://floodsupport.bangkok.go.th/api/data" TargetMode="External"/><Relationship Id="rId189" Type="http://schemas.openxmlformats.org/officeDocument/2006/relationships/hyperlink" Target="https://floodsupport.bangkok.go.th/api/data" TargetMode="External"/><Relationship Id="rId188" Type="http://schemas.openxmlformats.org/officeDocument/2006/relationships/hyperlink" Target="https://maps.app.goo.gl/Jn8GzDEPTb1XWuuLA?g_st=ac" TargetMode="External"/><Relationship Id="rId183" Type="http://schemas.openxmlformats.org/officeDocument/2006/relationships/hyperlink" Target="https://maps.app.goo.gl/Lvm3q12TxWnA55786" TargetMode="External"/><Relationship Id="rId182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" TargetMode="External"/><Relationship Id="rId181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" TargetMode="External"/><Relationship Id="rId180" Type="http://schemas.openxmlformats.org/officeDocument/2006/relationships/hyperlink" Target="https://www.google.com/maps/search/?api=1&amp;query=%E0%B9%82%E0%B8%A3%E0%B8%87%E0%B9%80%E0%B8%A3%E0%B8%B5%E0%B8%A2%E0%B8%99%E0%B8%A7%E0%B8%B1%E0%B8%94%E0%B9%80%E0%B8%9A%E0%B8%8D%E0%B8%88%E0%B8%A1%E0%B8%9A%E0%B8%9E%E0%B8%B4%E0%B8%95%E0%B8%A3%20%E0%B9%80%E0%B8%82%E0%B8%95%E0%B8%94%E0%B8%B8%E0%B8%AA%E0%B8%B4%E0%B8%95%20%E0%B8%81%E0%B8%A3%E0%B8%B8%E0%B8%87%E0%B9%80%E0%B8%97%E0%B8%9E%E0%B8%A1%E0%B8%AB%E0%B8%B2%E0%B8%99%E0%B8%84%E0%B8%A3&amp;query_place_id=ChIJiZ7M8kOZ4jARt9HrD7Y94-k" TargetMode="External"/><Relationship Id="rId176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" TargetMode="External"/><Relationship Id="rId175" Type="http://schemas.openxmlformats.org/officeDocument/2006/relationships/hyperlink" Target="https://floodsupport.bangkok.go.th/api/data" TargetMode="External"/><Relationship Id="rId174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" TargetMode="External"/><Relationship Id="rId173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" TargetMode="External"/><Relationship Id="rId179" Type="http://schemas.openxmlformats.org/officeDocument/2006/relationships/hyperlink" Target="https://floodsupport.bangkok.go.th/api/data" TargetMode="External"/><Relationship Id="rId178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" TargetMode="External"/><Relationship Id="rId177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3%E0%B8%B2%E0%B8%8A%E0%B8%81%E0%B8%B8%E0%B8%8D%E0%B8%8A%E0%B8%A3%20%E0%B9%80%E0%B8%82%E0%B8%95%E0%B8%94%E0%B8%B8%E0%B8%AA%E0%B8%B4%E0%B8%95%20%E0%B8%81%E0%B8%A3%E0%B8%B8%E0%B8%87%E0%B9%80%E0%B8%97%E0%B8%9E%E0%B8%A1%E0%B8%AB%E0%B8%B2%E0%B8%99%E0%B8%84%E0%B8%A3&amp;query_place_id=ChIJiYT6umCZ4jARD7oUpQQ5DUs" TargetMode="External"/><Relationship Id="rId198" Type="http://schemas.openxmlformats.org/officeDocument/2006/relationships/hyperlink" Target="https://maps.app.goo.gl/cu6qooLYkhSspMmNA?g_st=ac" TargetMode="External"/><Relationship Id="rId197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" TargetMode="External"/><Relationship Id="rId196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" TargetMode="External"/><Relationship Id="rId195" Type="http://schemas.openxmlformats.org/officeDocument/2006/relationships/hyperlink" Target="https://www.google.com/maps/search/?api=1&amp;query=%E0%B9%82%E0%B8%A3%E0%B8%87%E0%B9%80%E0%B8%A3%E0%B8%B5%E0%B8%A2%E0%B8%99%E0%B8%84%E0%B8%A5%E0%B8%AD%E0%B8%87%E0%B8%9A%E0%B8%B2%E0%B8%87%E0%B8%9E%E0%B8%A3%E0%B8%AB%E0%B8%A1%20%E0%B9%80%E0%B8%82%E0%B8%95%E0%B8%97%E0%B8%A7%E0%B8%B5%E0%B8%A7%E0%B8%B1%E0%B8%92%E0%B8%99%E0%B8%B2%20%E0%B8%81%E0%B8%A3%E0%B8%B8%E0%B8%87%E0%B9%80%E0%B8%97%E0%B8%9E%E0%B8%A1%E0%B8%AB%E0%B8%B2%E0%B8%99%E0%B8%84%E0%B8%A3&amp;query_place_id=ChIJf9sqEuqW4jARlbfVtYlPcdo" TargetMode="External"/><Relationship Id="rId199" Type="http://schemas.openxmlformats.org/officeDocument/2006/relationships/hyperlink" Target="https://floodsupport.bangkok.go.th/api/data" TargetMode="External"/><Relationship Id="rId150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" TargetMode="External"/><Relationship Id="rId392" Type="http://schemas.openxmlformats.org/officeDocument/2006/relationships/hyperlink" Target="https://www.google.com/maps/place/%E0%B9%82%E0%B8%A3%E0%B8%87%E0%B9%80%E0%B8%A3%E0%B8%B5%E0%B8%A2%E0%B8%99%E0%B8%A7%E0%B8%B1%E0%B8%94%E0%B8%9A%E0%B8%B2%E0%B8%87%E0%B8%99%E0%B8%B2%E0%B8%99%E0%B8%AD%E0%B8%81/@13.6762658,100.5855149,17z/data=!3m1!4b1!4m6!3m5!1s0x30e2a0252402b699:0x9847d28d91d52e9e!8m2!3d13.6762606!4d100.5880898!16s%2Fg%2F11d_9dnn39?entry=tts&amp;g_ep=EgoyMDI2MDkyMy4wIPu8ASoASAFQAw%3D%3D&amp;skid=6101beef-186b-4c3f-af27-b6af4e9c6446" TargetMode="External"/><Relationship Id="rId391" Type="http://schemas.openxmlformats.org/officeDocument/2006/relationships/hyperlink" Target="https://floodsupport.bangkok.go.th/api/data" TargetMode="External"/><Relationship Id="rId390" Type="http://schemas.openxmlformats.org/officeDocument/2006/relationships/hyperlink" Target="https://maps.app.goo.gl/1QMKk1eZwPpTpFcm6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maps.app.goo.gl/THU6UjkuSK843fuaA?g_st=ac" TargetMode="External"/><Relationship Id="rId3" Type="http://schemas.openxmlformats.org/officeDocument/2006/relationships/hyperlink" Target="https://floodsupport.bangkok.go.th/api/data" TargetMode="External"/><Relationship Id="rId149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&amp;query_place_id=ChIJt6yHnmaC4jAR5oJnYl6BdRQ" TargetMode="External"/><Relationship Id="rId4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" TargetMode="External"/><Relationship Id="rId148" Type="http://schemas.openxmlformats.org/officeDocument/2006/relationships/hyperlink" Target="https://floodsupport.bangkok.go.th/api/data" TargetMode="External"/><Relationship Id="rId9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" TargetMode="External"/><Relationship Id="rId143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" TargetMode="External"/><Relationship Id="rId385" Type="http://schemas.openxmlformats.org/officeDocument/2006/relationships/hyperlink" Target="https://floodsupport.bangkok.go.th/api/data" TargetMode="External"/><Relationship Id="rId142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" TargetMode="External"/><Relationship Id="rId384" Type="http://schemas.openxmlformats.org/officeDocument/2006/relationships/hyperlink" Target="https://maps.app.goo.gl/tXbQsHRTdVj1ivGV6" TargetMode="External"/><Relationship Id="rId141" Type="http://schemas.openxmlformats.org/officeDocument/2006/relationships/hyperlink" Target="https://www.google.com/maps/search/?api=1&amp;query=%E0%B9%82%E0%B8%A3%E0%B8%87%E0%B9%80%E0%B8%A3%E0%B8%B5%E0%B8%A2%E0%B8%99%E0%B9%80%E0%B8%AA%E0%B8%99%E0%B8%B2%E0%B8%99%E0%B8%B4%E0%B8%84%E0%B8%A1%20%E0%B9%80%E0%B8%82%E0%B8%95%E0%B8%88%E0%B8%95%E0%B8%B8%E0%B8%88%E0%B8%B1%E0%B8%81%E0%B8%A3%20%E0%B8%81%E0%B8%A3%E0%B8%B8%E0%B8%87%E0%B9%80%E0%B8%97%E0%B8%9E%E0%B8%A1%E0%B8%AB%E0%B8%B2%E0%B8%99%E0%B8%84%E0%B8%A3&amp;query_place_id=ChIJ2VKABQ-d4jARGtIFBy53oXs" TargetMode="External"/><Relationship Id="rId383" Type="http://schemas.openxmlformats.org/officeDocument/2006/relationships/hyperlink" Target="https://www.google.com/maps/place/%E0%B8%97%E0%B8%B5%E0%B9%88%E0%B8%97%E0%B8%B3%E0%B8%81%E0%B8%B2%E0%B8%A3%E0%B8%8A%E0%B8%B8%E0%B8%A1%E0%B8%8A%E0%B8%99%E0%B8%A7%E0%B8%B1%E0%B8%94%E0%B8%9C%E0%B9%88%E0%B8%AD%E0%B8%87%E0%B8%9E%E0%B8%A5%E0%B8%AD%E0%B8%A2%E0%B8%AD%E0%B8%99%E0%B8%B8%E0%B8%AA%E0%B8%A3%E0%B8%93%E0%B9%8C+(%E0%B8%A5%E0%B8%B4%E0%B8%82%E0%B8%B4%E0%B8%95+2)/@13.6547179,100.6317825,17z/data=!4m7!3m6!1s0x311d5f007fde0bd3:0x37f40f5dae160af4!8m2!3d13.6543687!4d100.6336279!15sCpAB4Lio4Li54LiZ4Lii4LmM4Lie4Lix4LiS4LiZ4Liy4LmA4LiU4LmH4LiB4LiB4LmI4Lit4LiZ4Lin4Lix4Lii4LmA4Lij4Li14Lii4LiZIOC4nOC5iOC4reC4h-C4nuC4peC4reC4ouC4reC4meC4uOC4quC4o-C4k-C5jCAo4Lil4Li04LiC4Li04LiVIDIpkgEQY29tbXVuaXR5X2NlbnRlcuABAA!16s%2Fg%2F11n3dggfkw?entry=tts&amp;g_ep=EgoyMDI2MDkyMy4wIPu8ASoASAFQAw%3D%3D&amp;skid=c11602e9-0a8e-4cf8-a0d6-f97cfcf4d722" TargetMode="External"/><Relationship Id="rId140" Type="http://schemas.openxmlformats.org/officeDocument/2006/relationships/hyperlink" Target="https://floodsupport.bangkok.go.th/api/data" TargetMode="External"/><Relationship Id="rId382" Type="http://schemas.openxmlformats.org/officeDocument/2006/relationships/hyperlink" Target="https://floodsupport.bangkok.go.th/api/data" TargetMode="External"/><Relationship Id="rId5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1b8IS42Y4jARDrENXILhAzY" TargetMode="External"/><Relationship Id="rId147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" TargetMode="External"/><Relationship Id="rId389" Type="http://schemas.openxmlformats.org/officeDocument/2006/relationships/hyperlink" Target="https://www.google.com/maps/place/%E0%B9%82%E0%B8%A3%E0%B8%87%E0%B9%80%E0%B8%A3%E0%B8%B5%E0%B8%A2%E0%B8%99+%E0%B8%A3%E0%B8%B8%E0%B9%88%E0%B8%87%E0%B9%80%E0%B8%A3%E0%B8%B7%E0%B8%AD%E0%B8%87%E0%B8%AD%E0%B8%B8%E0%B8%9B%E0%B8%96%E0%B8%B1%E0%B8%A1%E0%B8%A0%E0%B9%8C/@13.6770794,100.609593,17z/data=!3m1!4b1!4m6!3m5!1s0x30e2a0044de766a3:0x8e4bf1444e2f5b14!8m2!3d13.6770742!4d100.6121679!16s%2Fg%2F1tdw5hn6?entry=tts&amp;g_ep=EgoyMDI2MDkyMy4wIPu8ASoASAFQAw%3D%3D&amp;skid=07397cda-3746-4793-8851-dde2e76f04d1" TargetMode="External"/><Relationship Id="rId6" Type="http://schemas.openxmlformats.org/officeDocument/2006/relationships/hyperlink" Target="https://www.google.com/maps/search/?api=1&amp;query=%E0%B9%82%E0%B8%A3%E0%B8%87%E0%B9%80%E0%B8%A3%E0%B8%B5%E0%B8%A2%E0%B8%99%E0%B8%A1%E0%B8%B1%E0%B8%98%E0%B8%A2%E0%B8%A1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" TargetMode="External"/><Relationship Id="rId146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" TargetMode="External"/><Relationship Id="rId388" Type="http://schemas.openxmlformats.org/officeDocument/2006/relationships/hyperlink" Target="https://floodsupport.bangkok.go.th/api/data" TargetMode="External"/><Relationship Id="rId7" Type="http://schemas.openxmlformats.org/officeDocument/2006/relationships/hyperlink" Target="https://maps.app.goo.gl/Mck4hhX59JTUj3a27?g_st=ac" TargetMode="External"/><Relationship Id="rId145" Type="http://schemas.openxmlformats.org/officeDocument/2006/relationships/hyperlink" Target="https://www.google.com/maps/search/?api=1&amp;query=%E0%B9%82%E0%B8%A3%E0%B8%87%E0%B9%80%E0%B8%A3%E0%B8%B5%E0%B8%A2%E0%B8%99%E0%B8%9E%E0%B8%AB%E0%B8%A5%E0%B9%82%E0%B8%A2%E0%B8%98%E0%B8%B4%E0%B8%99%20%E0%B9%80%E0%B8%82%E0%B8%95%E0%B8%94%E0%B8%AD%E0%B8%99%E0%B9%80%E0%B8%A1%E0%B8%B7%E0%B8%AD%E0%B8%87%20%E0%B8%81%E0%B8%A3%E0%B8%B8%E0%B8%87%E0%B9%80%E0%B8%97%E0%B8%9E%E0%B8%A1%E0%B8%AB%E0%B8%B2%E0%B8%99%E0%B8%84%E0%B8%A3&amp;query_place_id=ChIJ571OR_aC4jARmkcwVxA8_gA" TargetMode="External"/><Relationship Id="rId387" Type="http://schemas.openxmlformats.org/officeDocument/2006/relationships/hyperlink" Target="https://maps.app.goo.gl/dR9MRoC74BFVyCPVA" TargetMode="External"/><Relationship Id="rId8" Type="http://schemas.openxmlformats.org/officeDocument/2006/relationships/hyperlink" Target="https://floodsupport.bangkok.go.th/api/data" TargetMode="External"/><Relationship Id="rId144" Type="http://schemas.openxmlformats.org/officeDocument/2006/relationships/hyperlink" Target="https://floodsupport.bangkok.go.th/api/data" TargetMode="External"/><Relationship Id="rId386" Type="http://schemas.openxmlformats.org/officeDocument/2006/relationships/hyperlink" Target="https://www.google.com/maps/place/%E0%B9%82%E0%B8%A3%E0%B8%87%E0%B9%80%E0%B8%A3%E0%B8%B5%E0%B8%A2%E0%B8%99%E0%B8%9C%E0%B9%88%E0%B8%AD%E0%B8%87%E0%B8%9E%E0%B8%A5%E0%B8%AD%E0%B8%A2%E0%B8%AD%E0%B8%99%E0%B8%B8%E0%B8%AA%E0%B8%A3%E0%B8%93%E0%B9%8C/@13.6621384,100.6301058,18.29z/data=!4m6!3m5!1s0x311d5f8d44651181:0xb8f622a7d1e9fd3d!8m2!3d13.661408!4d100.6300255!16s%2Fg%2F1tl8h543?entry=tts&amp;g_ep=EgoyMDI2MDkyMy4wIPu8ASoASAFQAw%3D%3D&amp;skid=919428bd-8c7b-4592-a2fa-8ab3ceed8802" TargetMode="External"/><Relationship Id="rId381" Type="http://schemas.openxmlformats.org/officeDocument/2006/relationships/hyperlink" Target="https://maps.app.goo.gl/NbbULJH65LGg27RcA" TargetMode="External"/><Relationship Id="rId380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" TargetMode="External"/><Relationship Id="rId139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" TargetMode="External"/><Relationship Id="rId138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" TargetMode="External"/><Relationship Id="rId137" Type="http://schemas.openxmlformats.org/officeDocument/2006/relationships/hyperlink" Target="https://www.google.com/maps/search/?api=1&amp;query=%E0%B9%82%E0%B8%A3%E0%B8%87%E0%B9%80%E0%B8%A3%E0%B8%B5%E0%B8%A2%E0%B8%99%E0%B8%A7%E0%B8%B1%E0%B8%94%E0%B9%80%E0%B8%AA%E0%B8%A1%E0%B8%B5%E0%B8%A2%E0%B8%99%E0%B8%99%E0%B8%B2%E0%B8%A3%E0%B8%B5%20%E0%B9%80%E0%B8%82%E0%B8%95%E0%B8%88%E0%B8%95%E0%B8%B8%E0%B8%88%E0%B8%B1%E0%B8%81%E0%B8%A3%20%E0%B8%81%E0%B8%A3%E0%B8%B8%E0%B8%87%E0%B9%80%E0%B8%97%E0%B8%9E%E0%B8%A1%E0%B8%AB%E0%B8%B2%E0%B8%99%E0%B8%84%E0%B8%A3&amp;query_place_id=ChIJZ7gNPeyc4jARDSmICHo7fVI" TargetMode="External"/><Relationship Id="rId379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" TargetMode="External"/><Relationship Id="rId132" Type="http://schemas.openxmlformats.org/officeDocument/2006/relationships/hyperlink" Target="https://floodsupport.bangkok.go.th/api/data" TargetMode="External"/><Relationship Id="rId374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" TargetMode="External"/><Relationship Id="rId131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" TargetMode="External"/><Relationship Id="rId373" Type="http://schemas.openxmlformats.org/officeDocument/2006/relationships/hyperlink" Target="https://floodsupport.bangkok.go.th/api/data" TargetMode="External"/><Relationship Id="rId130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" TargetMode="External"/><Relationship Id="rId372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" TargetMode="External"/><Relationship Id="rId371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" TargetMode="External"/><Relationship Id="rId136" Type="http://schemas.openxmlformats.org/officeDocument/2006/relationships/hyperlink" Target="https://floodsupport.bangkok.go.th/api/data" TargetMode="External"/><Relationship Id="rId378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98%E0%B8%A3%E0%B8%A3%E0%B8%A1%E0%B8%9B%E0%B8%A3%E0%B8%B0%E0%B8%8A%E0%B8%B2%E0%B8%98%E0%B8%B4%E0%B8%9B%E0%B8%B1%E0%B8%95%E0%B8%A2%E0%B9%8C%20%E0%B9%80%E0%B8%82%E0%B8%95%E0%B8%9A%E0%B8%B2%E0%B8%87%E0%B8%8B%E0%B8%B7%E0%B9%88%E0%B8%AD%20%E0%B8%81%E0%B8%A3%E0%B8%B8%E0%B8%87%E0%B9%80%E0%B8%97%E0%B8%9E%E0%B8%A1%E0%B8%AB%E0%B8%B2%E0%B8%99%E0%B8%84%E0%B8%A3&amp;query_place_id=ChIJQdeOU5qb4jARK0GxXqv0mTE" TargetMode="External"/><Relationship Id="rId135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" TargetMode="External"/><Relationship Id="rId377" Type="http://schemas.openxmlformats.org/officeDocument/2006/relationships/hyperlink" Target="https://floodsupport.bangkok.go.th/api/data" TargetMode="External"/><Relationship Id="rId134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" TargetMode="External"/><Relationship Id="rId376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" TargetMode="External"/><Relationship Id="rId133" Type="http://schemas.openxmlformats.org/officeDocument/2006/relationships/hyperlink" Target="https://www.google.com/maps/search/?api=1&amp;query=%E0%B9%82%E0%B8%A3%E0%B8%87%E0%B9%80%E0%B8%A3%E0%B8%B5%E0%B8%A2%E0%B8%99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P-eyvMSc4jARukSRleTO0vg" TargetMode="External"/><Relationship Id="rId375" Type="http://schemas.openxmlformats.org/officeDocument/2006/relationships/hyperlink" Target="https://www.google.com/maps/search/?api=1&amp;query=%E0%B9%82%E0%B8%A3%E0%B8%87%E0%B9%80%E0%B8%A3%E0%B8%B5%E0%B8%A2%E0%B8%99%E0%B8%A7%E0%B8%B1%E0%B8%94%E0%B8%9A%E0%B8%B2%E0%B8%87%E0%B9%82%E0%B8%9E%E0%B9%82%E0%B8%AD%E0%B8%A1%E0%B8%B2%E0%B8%A7%E0%B8%B2%E0%B8%AA%20%E0%B9%80%E0%B8%82%E0%B8%95%E0%B8%9A%E0%B8%B2%E0%B8%87%E0%B8%8B%E0%B8%B7%E0%B9%88%E0%B8%AD%20%E0%B8%81%E0%B8%A3%E0%B8%B8%E0%B8%87%E0%B9%80%E0%B8%97%E0%B8%9E%E0%B8%A1%E0%B8%AB%E0%B8%B2%E0%B8%99%E0%B8%84%E0%B8%A3&amp;query_place_id=ChIJQdeOU5qb4jARZNQ-WReBxgc" TargetMode="External"/><Relationship Id="rId172" Type="http://schemas.openxmlformats.org/officeDocument/2006/relationships/hyperlink" Target="https://www.google.com/maps/search/?api=1&amp;query=%E0%B9%82%E0%B8%A3%E0%B8%87%E0%B9%80%E0%B8%A3%E0%B8%B5%E0%B8%A2%E0%B8%99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qVTyfliZ4jARyvOj55uG68E" TargetMode="External"/><Relationship Id="rId171" Type="http://schemas.openxmlformats.org/officeDocument/2006/relationships/hyperlink" Target="https://floodsupport.bangkok.go.th/api/data" TargetMode="External"/><Relationship Id="rId170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" TargetMode="External"/><Relationship Id="rId165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" TargetMode="External"/><Relationship Id="rId164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&amp;query_place_id=ChIJ9YgHagCZ4jARyETW_72spFI" TargetMode="External"/><Relationship Id="rId163" Type="http://schemas.openxmlformats.org/officeDocument/2006/relationships/hyperlink" Target="https://floodsupport.bangkok.go.th/api/data" TargetMode="External"/><Relationship Id="rId162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" TargetMode="External"/><Relationship Id="rId169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" TargetMode="External"/><Relationship Id="rId168" Type="http://schemas.openxmlformats.org/officeDocument/2006/relationships/hyperlink" Target="https://www.google.com/maps/search/?api=1&amp;query=%E0%B9%82%E0%B8%A3%E0%B8%87%E0%B9%80%E0%B8%A3%E0%B8%B5%E0%B8%A2%E0%B8%99%E0%B8%A7%E0%B8%B1%E0%B8%94%E0%B8%AA%E0%B8%A1%E0%B8%93%E0%B8%B2%E0%B8%99%E0%B8%B1%E0%B8%A1%E0%B8%9A%E0%B8%A3%E0%B8%B4%E0%B8%AB%E0%B8%B2%E0%B8%A3%20%E0%B9%80%E0%B8%82%E0%B8%95%E0%B8%94%E0%B8%B8%E0%B8%AA%E0%B8%B4%E0%B8%95%20%E0%B8%81%E0%B8%A3%E0%B8%B8%E0%B8%87%E0%B9%80%E0%B8%97%E0%B8%9E%E0%B8%A1%E0%B8%AB%E0%B8%B2%E0%B8%99%E0%B8%84%E0%B8%A3&amp;query_place_id=ChIJCW0zu0eZ4jARkz5dfG9dlHw" TargetMode="External"/><Relationship Id="rId167" Type="http://schemas.openxmlformats.org/officeDocument/2006/relationships/hyperlink" Target="https://floodsupport.bangkok.go.th/api/data" TargetMode="External"/><Relationship Id="rId166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A%E0%B8%A7%E0%B8%99%E0%B8%AD%E0%B9%89%E0%B8%AD%E0%B8%A2%20%E0%B9%80%E0%B8%82%E0%B8%95%E0%B8%94%E0%B8%B8%E0%B8%AA%E0%B8%B4%E0%B8%95%20%E0%B8%81%E0%B8%A3%E0%B8%B8%E0%B8%87%E0%B9%80%E0%B8%97%E0%B8%9E%E0%B8%A1%E0%B8%AB%E0%B8%B2%E0%B8%99%E0%B8%84%E0%B8%A3" TargetMode="External"/><Relationship Id="rId161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" TargetMode="External"/><Relationship Id="rId160" Type="http://schemas.openxmlformats.org/officeDocument/2006/relationships/hyperlink" Target="https://www.google.com/maps/search/?api=1&amp;query=%E0%B8%A7%E0%B8%B1%E0%B8%94%E0%B8%AA%E0%B8%B8%E0%B8%84%E0%B8%B1%E0%B8%99%E0%B8%98%E0%B8%B2%E0%B8%A3%E0%B8%B2%E0%B8%A1%20%E0%B9%80%E0%B8%82%E0%B8%95%E0%B8%94%E0%B8%B8%E0%B8%AA%E0%B8%B4%E0%B8%95%20%E0%B8%81%E0%B8%A3%E0%B8%B8%E0%B8%87%E0%B9%80%E0%B8%97%E0%B8%9E%E0%B8%A1%E0%B8%AB%E0%B8%B2%E0%B8%99%E0%B8%84%E0%B8%A3&amp;query_place_id=ChIJicjDlFaZ4jARz4sb-EcJ-Pc" TargetMode="External"/><Relationship Id="rId159" Type="http://schemas.openxmlformats.org/officeDocument/2006/relationships/hyperlink" Target="https://floodsupport.bangkok.go.th/api/data" TargetMode="External"/><Relationship Id="rId154" Type="http://schemas.openxmlformats.org/officeDocument/2006/relationships/hyperlink" Target="https://www.google.com/maps/place/Wichuthit+School/@13.767709,100.5540258,17z/data=!3m1!4b1!4m6!3m5!1s0x30e29e97665411c1:0x69001504f6153453!8m2!3d13.767709!4d100.5566007!16s%2Fg%2F1xy2_h_6?entry=tts&amp;g_ep=EgoyMDI2MDkyMy4wIPu8ASoASAFQAw%3D%3D&amp;skid=8db7314f-649e-4255-b7b6-34e3cb8dbed3" TargetMode="External"/><Relationship Id="rId396" Type="http://schemas.openxmlformats.org/officeDocument/2006/relationships/hyperlink" Target="https://maps.app.goo.gl/jRgtw1TyWsWEtSRk8" TargetMode="External"/><Relationship Id="rId153" Type="http://schemas.openxmlformats.org/officeDocument/2006/relationships/hyperlink" Target="https://floodsupport.bangkok.go.th/api/data" TargetMode="External"/><Relationship Id="rId395" Type="http://schemas.openxmlformats.org/officeDocument/2006/relationships/hyperlink" Target="https://www.google.com/maps/place/%E0%B9%82%E0%B8%A3%E0%B8%87%E0%B9%80%E0%B8%A3%E0%B8%B5%E0%B8%A2%E0%B8%99%E0%B8%A7%E0%B8%B1%E0%B8%94%E0%B8%9A%E0%B8%B2%E0%B8%87%E0%B8%99%E0%B8%B2%E0%B9%83%E0%B8%99+(%E0%B8%A3%E0%B8%B7%E0%B9%88%E0%B8%99+%E0%B8%A8%E0%B8%A2%E0%B8%B2%E0%B8%A1%E0%B8%B2%E0%B8%99%E0%B8%99%E0%B8%97%E0%B9%8C)/@13.6711561,100.6016561,17z/data=!3m1!4b1!4m6!3m5!1s0x30e2a0110d08f9d1:0x7c6c07903ec4b66d!8m2!3d13.6711509!4d100.604231!16s%2Fg%2F1tnpbwhh?entry=tts&amp;g_ep=EgoyMDI2MDkyMy4wIPu8ASoASAFQAw%3D%3D&amp;skid=71f00e7c-d696-4d75-9200-702f9953ea5a" TargetMode="External"/><Relationship Id="rId152" Type="http://schemas.openxmlformats.org/officeDocument/2006/relationships/hyperlink" Target="https://maps.app.goo.gl/Ly1YWbV27Q3SkPYY8" TargetMode="External"/><Relationship Id="rId394" Type="http://schemas.openxmlformats.org/officeDocument/2006/relationships/hyperlink" Target="https://floodsupport.bangkok.go.th/api/data" TargetMode="External"/><Relationship Id="rId151" Type="http://schemas.openxmlformats.org/officeDocument/2006/relationships/hyperlink" Target="https://www.google.com/maps/search/?api=1&amp;query=%E0%B9%82%E0%B8%A3%E0%B8%87%E0%B9%80%E0%B8%A3%E0%B8%B5%E0%B8%A2%E0%B8%99%E0%B8%A7%E0%B8%B1%E0%B8%94%E0%B8%94%E0%B8%AD%E0%B8%99%E0%B9%80%E0%B8%A1%E0%B8%B7%E0%B8%AD%E0%B8%87%20%E0%B9%80%E0%B8%82%E0%B8%95%E0%B8%94%E0%B8%AD%E0%B8%99%E0%B9%80%E0%B8%A1%E0%B8%B7%E0%B8%AD%E0%B8%87%20%E0%B8%81%E0%B8%A3%E0%B8%B8%E0%B8%87%E0%B9%80%E0%B8%97%E0%B8%9E%E0%B8%A1%E0%B8%AB%E0%B8%B2%E0%B8%99%E0%B8%84%E0%B8%A3" TargetMode="External"/><Relationship Id="rId393" Type="http://schemas.openxmlformats.org/officeDocument/2006/relationships/hyperlink" Target="https://maps.app.goo.gl/NxFmXudqpDASCYub9" TargetMode="External"/><Relationship Id="rId158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" TargetMode="External"/><Relationship Id="rId157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" TargetMode="External"/><Relationship Id="rId399" Type="http://schemas.openxmlformats.org/officeDocument/2006/relationships/hyperlink" Target="https://maps.app.goo.gl/q1Kf8Yqp4BU849BRA" TargetMode="External"/><Relationship Id="rId156" Type="http://schemas.openxmlformats.org/officeDocument/2006/relationships/hyperlink" Target="https://www.google.com/maps/search/?api=1&amp;query=%E0%B8%A7%E0%B8%B1%E0%B8%94%E0%B8%AA%E0%B8%A7%E0%B8%B1%E0%B8%AA%E0%B8%94%E0%B8%B4%E0%B9%8C%E0%B8%A7%E0%B8%B2%E0%B8%A3%E0%B8%B5%E0%B8%AA%E0%B8%B5%E0%B8%A1%E0%B8%B2%E0%B8%A3%E0%B8%B2%E0%B8%A1%20%E0%B9%80%E0%B8%82%E0%B8%95%E0%B8%94%E0%B8%B8%E0%B8%AA%E0%B8%B4%E0%B8%95%20%E0%B8%81%E0%B8%A3%E0%B8%B8%E0%B8%87%E0%B9%80%E0%B8%97%E0%B8%9E%E0%B8%A1%E0%B8%AB%E0%B8%B2%E0%B8%99%E0%B8%84%E0%B8%A3&amp;query_place_id=ChIJ11dtNHab4jARVJvsqkVWhtw" TargetMode="External"/><Relationship Id="rId398" Type="http://schemas.openxmlformats.org/officeDocument/2006/relationships/hyperlink" Target="https://www.google.com/maps/place/%E0%B9%82%E0%B8%A3%E0%B8%87%E0%B9%80%E0%B8%A3%E0%B8%B5%E0%B8%A2%E0%B8%99%E0%B8%A8%E0%B8%A3%E0%B8%B5%E0%B9%80%E0%B8%AD%E0%B8%B5%E0%B9%88%E0%B8%A2%E0%B8%A1%E0%B8%AD%E0%B8%99%E0%B8%B8%E0%B8%AA%E0%B8%A3%E0%B8%93%E0%B9%8C/@13.6679037,100.6410586,17z/data=!3m1!4b1!4m6!3m5!1s0x30e2a0101606511f:0xf34040112b8a79d0!8m2!3d13.6678985!4d100.6436335!16s%2Fg%2F122770zk?entry=tts&amp;g_ep=EgoyMDI2MDkyMy4wIPu8ASoASAFQAw%3D%3D&amp;skid=3ab43948-ddfa-45ff-8910-de4a4cbf30f4" TargetMode="External"/><Relationship Id="rId155" Type="http://schemas.openxmlformats.org/officeDocument/2006/relationships/hyperlink" Target="https://floodsupport.bangkok.go.th/api/data" TargetMode="External"/><Relationship Id="rId397" Type="http://schemas.openxmlformats.org/officeDocument/2006/relationships/hyperlink" Target="https://floodsupport.bangkok.go.th/api/data" TargetMode="External"/><Relationship Id="rId40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" TargetMode="External"/><Relationship Id="rId42" Type="http://schemas.openxmlformats.org/officeDocument/2006/relationships/hyperlink" Target="https://maps.app.goo.gl/q6nxvLdC1R2f79RS7" TargetMode="External"/><Relationship Id="rId41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" TargetMode="External"/><Relationship Id="rId44" Type="http://schemas.openxmlformats.org/officeDocument/2006/relationships/hyperlink" Target="https://www.google.com/maps/place/%E0%B9%82%E0%B8%A3%E0%B8%87%E0%B8%9E%E0%B8%A2%E0%B8%B2%E0%B8%9A%E0%B8%B2%E0%B8%A5%E0%B8%A3%E0%B8%B1%E0%B8%95%E0%B8%99%E0%B8%9B%E0%B8%A3%E0%B8%B0%E0%B8%8A%E0%B8%B2%E0%B8%A3%E0%B8%B1%E0%B8%81%E0%B8%A9%E0%B9%8C/@13.8762169,100.682032,14213m/data=!3m1!1e3!4m6!3m5!1s0x311d7baae6523b11:0x27bb8ec3d47cfa59!8m2!3d13.9098281!4d100.752979!16s%2Fg%2F11c37yy0_1?entry=tts&amp;g_ep=EgoyMDI2MDkyMy4wIPu8ASoASAFQAw%3D%3D&amp;skid=3f44598e-9be0-4421-80e8-537ccd46f8da" TargetMode="External"/><Relationship Id="rId43" Type="http://schemas.openxmlformats.org/officeDocument/2006/relationships/hyperlink" Target="https://floodsupport.bangkok.go.th/api/data" TargetMode="External"/><Relationship Id="rId46" Type="http://schemas.openxmlformats.org/officeDocument/2006/relationships/hyperlink" Target="https://floodsupport.bangkok.go.th/api/data" TargetMode="External"/><Relationship Id="rId45" Type="http://schemas.openxmlformats.org/officeDocument/2006/relationships/hyperlink" Target="https://maps.app.goo.gl/dHVuNhBCq1myQeyR9" TargetMode="External"/><Relationship Id="rId509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" TargetMode="External"/><Relationship Id="rId508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v_ckAwVpHTERoIriXbIAAQQ" TargetMode="External"/><Relationship Id="rId503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" TargetMode="External"/><Relationship Id="rId745" Type="http://schemas.openxmlformats.org/officeDocument/2006/relationships/hyperlink" Target="https://www.google.com/maps/place/%E0%B9%82%E0%B8%A3%E0%B8%87%E0%B9%80%E0%B8%A3%E0%B8%B5%E0%B8%A2%E0%B8%99%E0%B8%AA%E0%B8%B8%E0%B9%80%E0%B8%AB%E0%B8%A3%E0%B9%88%E0%B8%B2%E0%B8%A5%E0%B8%B3%E0%B9%81%E0%B8%82%E0%B8%81/@13.8034517,100.8575838,17z/data=!3m1!4b1!4m6!3m5!1s0x311d6ef1c7dce501:0xc5635b209355a28a!8m2!3d13.8034465!4d100.8601641!16s%2Fg%2F1wj_3h_m?entry=tts&amp;g_ep=EgoyMDI2MDkyMy4wIPu8ASoASAFQAw%3D%3D&amp;skid=55bcd753-ce82-4cb6-b83b-df71dcd1fa39" TargetMode="External"/><Relationship Id="rId502" Type="http://schemas.openxmlformats.org/officeDocument/2006/relationships/hyperlink" Target="https://floodsupport.bangkok.go.th/api/data" TargetMode="External"/><Relationship Id="rId744" Type="http://schemas.openxmlformats.org/officeDocument/2006/relationships/hyperlink" Target="https://floodsupport.bangkok.go.th/api/data" TargetMode="External"/><Relationship Id="rId501" Type="http://schemas.openxmlformats.org/officeDocument/2006/relationships/hyperlink" Target="https://maps.app.goo.gl/NDLAChaKvW6ma2u1A" TargetMode="External"/><Relationship Id="rId743" Type="http://schemas.openxmlformats.org/officeDocument/2006/relationships/hyperlink" Target="https://maps.app.goo.gl/jWYh8tzFpw9cEub59" TargetMode="External"/><Relationship Id="rId500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42" Type="http://schemas.openxmlformats.org/officeDocument/2006/relationships/hyperlink" Target="https://www.google.com/maps/place/%E0%B9%82%E0%B8%A3%E0%B8%87%E0%B9%80%E0%B8%A3%E0%B8%B5%E0%B8%A2%E0%B8%99%E0%B8%AA%E0%B8%B8%E0%B9%80%E0%B8%AB%E0%B8%A3%E0%B9%88%E0%B8%B2%E0%B8%99%E0%B8%B2%E0%B8%95%E0%B8%B1%E0%B8%9A/@13.8264198,100.8137222,17z/data=!3m1!4b1!4m6!3m5!1s0x311d6f87421f9ab9:0xefae97f5640fba19!8m2!3d13.8264146!4d100.8163025!16s%2Fg%2F11fln3kmmt?entry=tts&amp;g_ep=EgoyMDI2MDkyMy4wIPu8ASoASAFQAw%3D%3D&amp;skid=f7abff7e-76e6-4822-a3c1-03abad22d97d" TargetMode="External"/><Relationship Id="rId507" Type="http://schemas.openxmlformats.org/officeDocument/2006/relationships/hyperlink" Target="https://floodsupport.bangkok.go.th/api/data" TargetMode="External"/><Relationship Id="rId749" Type="http://schemas.openxmlformats.org/officeDocument/2006/relationships/hyperlink" Target="https://maps.app.goo.gl/jACSjv3fr2LePb4M8" TargetMode="External"/><Relationship Id="rId506" Type="http://schemas.openxmlformats.org/officeDocument/2006/relationships/hyperlink" Target="https://share.google/41On0UmQrV4qs2ZRU" TargetMode="External"/><Relationship Id="rId748" Type="http://schemas.openxmlformats.org/officeDocument/2006/relationships/hyperlink" Target="https://www.google.com/maps/place/%E0%B9%82%E0%B8%A3%E0%B8%87%E0%B9%80%E0%B8%A3%E0%B8%B5%E0%B8%A2%E0%B8%99%E0%B8%AA%E0%B8%B8%E0%B9%80%E0%B8%AB%E0%B8%A3%E0%B9%88%E0%B8%B2%E0%B8%A8%E0%B8%B2%E0%B8%A5%E0%B8%B2%E0%B9%81%E0%B8%94%E0%B8%87/@13.8503735,100.8945295,17z/data=!3m1!4b1!4m6!3m5!1s0x311d6e3271695841:0xd4a6134e34049a34!8m2!3d13.8503683!4d100.8971098!16s%2Fg%2F1hc1s1cwf?entry=tts&amp;g_ep=EgoyMDI2MDkyMy4wIPu8ASoASAFQAw%3D%3D&amp;skid=0e0b4d40-0b61-4509-a87d-a90d323b831a" TargetMode="External"/><Relationship Id="rId505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" TargetMode="External"/><Relationship Id="rId747" Type="http://schemas.openxmlformats.org/officeDocument/2006/relationships/hyperlink" Target="https://floodsupport.bangkok.go.th/api/data" TargetMode="External"/><Relationship Id="rId504" Type="http://schemas.openxmlformats.org/officeDocument/2006/relationships/hyperlink" Target="https://www.google.com/maps/search/?api=1&amp;query=%E0%B8%AB%E0%B8%AD%E0%B8%9B%E0%B8%A3%E0%B8%B0%E0%B8%8A%E0%B8%B8%E0%B8%A1%E0%B9%80%E0%B8%88%E0%B9%89%E0%B8%B2%E0%B8%9E%E0%B8%A3%E0%B8%B0%E0%B8%A2%E0%B8%B2%E0%B8%AA%E0%B8%B8%E0%B8%A3%E0%B8%A7%E0%B8%87%E0%B8%A9%E0%B9%8C%E0%B9%84%E0%B8%A7%E0%B8%A2%E0%B8%A7%E0%B8%B1%E0%B8%92%E0%B8%99%E0%B9%8C%20(%E0%B8%A7%E0%B8%A3%20%E0%B8%9A%E0%B8%B8%E0%B8%99%E0%B8%99%E0%B8%B2%E0%B8%84)%20%E0%B9%80%E0%B8%82%E0%B8%95%E0%B8%A5%E0%B8%B2%E0%B8%94%E0%B8%81%E0%B8%A3%E0%B8%B0%E0%B8%9A%E0%B8%B1%E0%B8%87%20%E0%B8%81%E0%B8%A3%E0%B8%B8%E0%B8%87%E0%B9%80%E0%B8%97%E0%B8%9E%E0%B8%A1%E0%B8%AB%E0%B8%B2%E0%B8%99%E0%B8%84%E0%B8%A3&amp;query_place_id=ChIJA1hdoDVmHTERReo0PL9FN88" TargetMode="External"/><Relationship Id="rId746" Type="http://schemas.openxmlformats.org/officeDocument/2006/relationships/hyperlink" Target="https://maps.app.goo.gl/4228AUHU28SfxWNb9" TargetMode="External"/><Relationship Id="rId48" Type="http://schemas.openxmlformats.org/officeDocument/2006/relationships/hyperlink" Target="https://maps.app.goo.gl/ZmDA2wLRjmkuhLKa8" TargetMode="External"/><Relationship Id="rId47" Type="http://schemas.openxmlformats.org/officeDocument/2006/relationships/hyperlink" Target="https://www.google.com/maps/place/%E0%B8%A7%E0%B8%B1%E0%B8%94%E0%B8%9E%E0%B8%A3%E0%B8%B0%E0%B8%A2%E0%B8%B2%E0%B8%AA%E0%B8%B8%E0%B9%80%E0%B8%A3%E0%B8%99%E0%B8%97%E0%B8%A3%E0%B9%8C/@13.8739652,100.6699893,3553m/data=!3m1!1e3!4m6!3m5!1s0x311d7cc84d73e979:0x68ef7c84dbf92006!8m2!3d13.8739455!4d100.6855615!16s%2Fg%2F11ddww_t95?entry=tts&amp;g_ep=EgoyMDI2MDkyMy4wIPu8ASoASAFQAw%3D%3D&amp;skid=f922690d-7bf0-4d4d-a770-215d80d8c8eb" TargetMode="External"/><Relationship Id="rId49" Type="http://schemas.openxmlformats.org/officeDocument/2006/relationships/hyperlink" Target="https://floodsupport.bangkok.go.th/api/data" TargetMode="External"/><Relationship Id="rId741" Type="http://schemas.openxmlformats.org/officeDocument/2006/relationships/hyperlink" Target="https://floodsupport.bangkok.go.th/api/data" TargetMode="External"/><Relationship Id="rId740" Type="http://schemas.openxmlformats.org/officeDocument/2006/relationships/hyperlink" Target="https://maps.app.goo.gl/4DCorFhPRR7nfjjz8" TargetMode="External"/><Relationship Id="rId31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" TargetMode="External"/><Relationship Id="rId30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" TargetMode="External"/><Relationship Id="rId33" Type="http://schemas.openxmlformats.org/officeDocument/2006/relationships/hyperlink" Target="https://floodsupport.bangkok.go.th/api/data" TargetMode="External"/><Relationship Id="rId32" Type="http://schemas.openxmlformats.org/officeDocument/2006/relationships/hyperlink" Target="https://maps.app.goo.gl/vyGbvEjQCpvuzhFw9?g_st=ac" TargetMode="External"/><Relationship Id="rId35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" TargetMode="External"/><Relationship Id="rId34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&amp;query_place_id=ChIJOY9209yY4jARheIvHuGyLxY" TargetMode="External"/><Relationship Id="rId739" Type="http://schemas.openxmlformats.org/officeDocument/2006/relationships/hyperlink" Target="https://www.google.com/maps/place/Surao+Khlong+Sip+Ed+School/@13.9128312,100.8364487,1055m/data=!3m2!1e3!4b1!4m6!3m5!1s0x311d70fb790f5eb3:0x7dfadae854c70b24!8m2!3d13.9128312!4d100.8390236!16s%2Fg%2F1th5fxyv?entry=tts&amp;g_ep=EgoyMDI2MDkyMy4wIPu8ASoASAFQAw%3D%3D&amp;skid=04d23b5d-188f-49a6-9bb3-cab22bc35daf" TargetMode="External"/><Relationship Id="rId734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" TargetMode="External"/><Relationship Id="rId733" Type="http://schemas.openxmlformats.org/officeDocument/2006/relationships/hyperlink" Target="https://floodsupport.bangkok.go.th/api/data" TargetMode="External"/><Relationship Id="rId732" Type="http://schemas.openxmlformats.org/officeDocument/2006/relationships/hyperlink" Target="https://maps.app.goo.gl/TBrYRXrww8vpa65y5" TargetMode="External"/><Relationship Id="rId731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" TargetMode="External"/><Relationship Id="rId738" Type="http://schemas.openxmlformats.org/officeDocument/2006/relationships/hyperlink" Target="https://floodsupport.bangkok.go.th/api/data" TargetMode="External"/><Relationship Id="rId737" Type="http://schemas.openxmlformats.org/officeDocument/2006/relationships/hyperlink" Target="https://maps.app.goo.gl/si7Bas7vEUH8MqDz8" TargetMode="External"/><Relationship Id="rId736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" TargetMode="External"/><Relationship Id="rId735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4%E0%B8%A5%E0%B8%AD%E0%B8%87%E0%B8%AA%E0%B8%B4%E0%B8%9A%20%E0%B9%80%E0%B8%82%E0%B8%95%E0%B8%AB%E0%B8%99%E0%B8%AD%E0%B8%87%E0%B8%88%E0%B8%AD%E0%B8%81%20%E0%B8%81%E0%B8%A3%E0%B8%B8%E0%B8%87%E0%B9%80%E0%B8%97%E0%B8%9E%E0%B8%A1%E0%B8%AB%E0%B8%B2%E0%B8%99%E0%B8%84%E0%B8%A3&amp;query_place_id=ChIJS80GtGJwHTERkSRcTUQcYVI" TargetMode="External"/><Relationship Id="rId37" Type="http://schemas.openxmlformats.org/officeDocument/2006/relationships/hyperlink" Target="https://maps.app.goo.gl/VDLF36p77vs9eniw6?g_st=ac" TargetMode="External"/><Relationship Id="rId36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20%E0%B9%80%E0%B8%82%E0%B8%95%E0%B8%84%E0%B8%A5%E0%B8%AD%E0%B8%87%E0%B8%AA%E0%B8%B2%E0%B8%99%20%E0%B8%81%E0%B8%A3%E0%B8%B8%E0%B8%87%E0%B9%80%E0%B8%97%E0%B8%9E%E0%B8%A1%E0%B8%AB%E0%B8%B2%E0%B8%99%E0%B8%84%E0%B8%A3" TargetMode="External"/><Relationship Id="rId39" Type="http://schemas.openxmlformats.org/officeDocument/2006/relationships/hyperlink" Target="https://www.google.com/maps/search/?api=1&amp;query=%E0%B9%82%E0%B8%A3%E0%B8%87%E0%B9%80%E0%B8%A3%E0%B8%B5%E0%B8%A2%E0%B8%99%E0%B8%A7%E0%B8%B1%E0%B8%94%E0%B9%80%E0%B8%A8%E0%B8%A7%E0%B8%95%E0%B8%89%E0%B8%B1%E0%B8%95%E0%B8%A3%20%E0%B9%80%E0%B8%82%E0%B8%95%E0%B8%84%E0%B8%A5%E0%B8%AD%E0%B8%87%E0%B8%AA%E0%B8%B2%E0%B8%99%20%E0%B8%81%E0%B8%A3%E0%B8%B8%E0%B8%87%E0%B9%80%E0%B8%97%E0%B8%9E%E0%B8%A1%E0%B8%AB%E0%B8%B2%E0%B8%99%E0%B8%84%E0%B8%A3&amp;query_place_id=ChIJt2fOtuqY4jARTNjDSmHzhq0" TargetMode="External"/><Relationship Id="rId38" Type="http://schemas.openxmlformats.org/officeDocument/2006/relationships/hyperlink" Target="https://floodsupport.bangkok.go.th/api/data" TargetMode="External"/><Relationship Id="rId730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" TargetMode="External"/><Relationship Id="rId20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" TargetMode="External"/><Relationship Id="rId22" Type="http://schemas.openxmlformats.org/officeDocument/2006/relationships/hyperlink" Target="https://maps.app.goo.gl/VmSL2ibA2WyXGT41A?g_st=ac" TargetMode="External"/><Relationship Id="rId21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" TargetMode="External"/><Relationship Id="rId24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" TargetMode="External"/><Relationship Id="rId23" Type="http://schemas.openxmlformats.org/officeDocument/2006/relationships/hyperlink" Target="https://floodsupport.bangkok.go.th/api/data" TargetMode="External"/><Relationship Id="rId525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" TargetMode="External"/><Relationship Id="rId767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" TargetMode="External"/><Relationship Id="rId524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" TargetMode="External"/><Relationship Id="rId766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" TargetMode="External"/><Relationship Id="rId523" Type="http://schemas.openxmlformats.org/officeDocument/2006/relationships/hyperlink" Target="https://www.google.com/maps/search/?api=1&amp;query=%E0%B9%82%E0%B8%A3%E0%B8%87%E0%B9%80%E0%B8%A3%E0%B8%B5%E0%B8%A2%E0%B8%99%E0%B8%A7%E0%B8%B1%E0%B8%94%E0%B8%9A%E0%B8%B3%E0%B8%A3%E0%B8%B8%E0%B8%87%E0%B8%A3%E0%B8%B7%E0%B9%88%E0%B8%99%20%E0%B9%80%E0%B8%82%E0%B8%95%E0%B8%A5%E0%B8%B2%E0%B8%94%E0%B8%81%E0%B8%A3%E0%B8%B0%E0%B8%9A%E0%B8%B1%E0%B8%87%20%E0%B8%81%E0%B8%A3%E0%B8%B8%E0%B8%87%E0%B9%80%E0%B8%97%E0%B8%9E%E0%B8%A1%E0%B8%AB%E0%B8%B2%E0%B8%99%E0%B8%84%E0%B8%A3&amp;query_place_id=ChIJyXSgpvxmHTER8ERgoo_CMKQ" TargetMode="External"/><Relationship Id="rId765" Type="http://schemas.openxmlformats.org/officeDocument/2006/relationships/hyperlink" Target="https://www.google.com/maps/search/?api=1&amp;query=%E0%B9%82%E0%B8%A3%E0%B8%87%E0%B9%80%E0%B8%A3%E0%B8%B5%E0%B8%A2%E0%B8%99%E0%B8%81%E0%B8%B2%E0%B8%A3%E0%B9%80%E0%B8%84%E0%B8%AB%E0%B8%B0%E0%B8%97%E0%B9%88%E0%B8%B2%E0%B8%97%E0%B8%A3%E0%B8%B2%E0%B8%A2%20%E0%B9%80%E0%B8%82%E0%B8%95%E0%B8%AB%E0%B8%A5%E0%B8%B1%E0%B8%81%E0%B8%AA%E0%B8%B5%E0%B9%88%20%E0%B8%81%E0%B8%A3%E0%B8%B8%E0%B8%87%E0%B9%80%E0%B8%97%E0%B8%9E%E0%B8%A1%E0%B8%AB%E0%B8%B2%E0%B8%99%E0%B8%84%E0%B8%A3&amp;query_place_id=ChIJX1QyczWD4jARBVtGIxMkA5Y" TargetMode="External"/><Relationship Id="rId522" Type="http://schemas.openxmlformats.org/officeDocument/2006/relationships/hyperlink" Target="https://floodsupport.bangkok.go.th/api/data" TargetMode="External"/><Relationship Id="rId764" Type="http://schemas.openxmlformats.org/officeDocument/2006/relationships/hyperlink" Target="https://floodsupport.bangkok.go.th/api/data" TargetMode="External"/><Relationship Id="rId529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" TargetMode="External"/><Relationship Id="rId528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&amp;query_place_id=ChIJ33AYRCFkHTERql-CZCm-G6w" TargetMode="External"/><Relationship Id="rId527" Type="http://schemas.openxmlformats.org/officeDocument/2006/relationships/hyperlink" Target="https://floodsupport.bangkok.go.th/api/data" TargetMode="External"/><Relationship Id="rId769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" TargetMode="External"/><Relationship Id="rId526" Type="http://schemas.openxmlformats.org/officeDocument/2006/relationships/hyperlink" Target="https://maps.app.goo.gl/SVNzRkZmNRprXpSB8" TargetMode="External"/><Relationship Id="rId768" Type="http://schemas.openxmlformats.org/officeDocument/2006/relationships/hyperlink" Target="https://floodsupport.bangkok.go.th/api/data" TargetMode="External"/><Relationship Id="rId26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" TargetMode="External"/><Relationship Id="rId25" Type="http://schemas.openxmlformats.org/officeDocument/2006/relationships/hyperlink" Target="https://www.google.com/maps/search/?api=1&amp;query=%E0%B9%82%E0%B8%A3%E0%B8%87%E0%B9%80%E0%B8%A3%E0%B8%B5%E0%B8%A2%E0%B8%99%E0%B8%A7%E0%B8%B1%E0%B8%94%E0%B8%9E%E0%B8%B4%E0%B8%8A%E0%B8%B1%E0%B8%A2%E0%B8%8D%E0%B8%B2%E0%B8%95%E0%B8%B4%20%E0%B9%80%E0%B8%82%E0%B8%95%E0%B8%84%E0%B8%A5%E0%B8%AD%E0%B8%87%E0%B8%AA%E0%B8%B2%E0%B8%99%20%E0%B8%81%E0%B8%A3%E0%B8%B8%E0%B8%87%E0%B9%80%E0%B8%97%E0%B8%9E%E0%B8%A1%E0%B8%AB%E0%B8%B2%E0%B8%99%E0%B8%84%E0%B8%A3&amp;query_place_id=ChIJicCvEOOY4jAROYD4hKY9q1Q" TargetMode="External"/><Relationship Id="rId28" Type="http://schemas.openxmlformats.org/officeDocument/2006/relationships/hyperlink" Target="https://floodsupport.bangkok.go.th/api/data" TargetMode="External"/><Relationship Id="rId27" Type="http://schemas.openxmlformats.org/officeDocument/2006/relationships/hyperlink" Target="https://maps.app.goo.gl/rg8VbkBh5VSzg55y7?g_st=ac" TargetMode="External"/><Relationship Id="rId521" Type="http://schemas.openxmlformats.org/officeDocument/2006/relationships/hyperlink" Target="https://maps.app.goo.gl/uoQCpQWyq2u1tLvw7" TargetMode="External"/><Relationship Id="rId763" Type="http://schemas.openxmlformats.org/officeDocument/2006/relationships/hyperlink" Target="https://www.google.com/maps/place/Islam+Lamsai+School/@13.8321727,100.8386046,1055m/data=!3m2!1e3!4b1!4m6!3m5!1s0x311d6fb44a6a059b:0xb25b3b0fd911643d!8m2!3d13.8321727!4d100.8411795!16s%2Fg%2F1tcyhhs1?entry=tts&amp;g_ep=EgoyMDI2MDkyMy4wIPu8ASoASAFQAw%3D%3D&amp;skid=0651674d-1d70-4158-bb3e-846c323076de" TargetMode="External"/><Relationship Id="rId29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8%A3%E0%B8%B2%E0%B8%A1%20%E0%B9%80%E0%B8%82%E0%B8%95%E0%B8%84%E0%B8%A5%E0%B8%AD%E0%B8%87%E0%B8%AA%E0%B8%B2%E0%B8%99%20%E0%B8%81%E0%B8%A3%E0%B8%B8%E0%B8%87%E0%B9%80%E0%B8%97%E0%B8%9E%E0%B8%A1%E0%B8%AB%E0%B8%B2%E0%B8%99%E0%B8%84%E0%B8%A3&amp;query_place_id=ChIJBx4RZ3WZ4jARmc0Uyzh_v3I" TargetMode="External"/><Relationship Id="rId520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" TargetMode="External"/><Relationship Id="rId762" Type="http://schemas.openxmlformats.org/officeDocument/2006/relationships/hyperlink" Target="https://floodsupport.bangkok.go.th/api/data" TargetMode="External"/><Relationship Id="rId761" Type="http://schemas.openxmlformats.org/officeDocument/2006/relationships/hyperlink" Target="https://maps.app.goo.gl/LWYeuWVKcyMC1jrV8" TargetMode="External"/><Relationship Id="rId760" Type="http://schemas.openxmlformats.org/officeDocument/2006/relationships/hyperlink" Target="https://www.google.com/maps/place/%E0%B9%82%E0%B8%A3%E0%B8%87%E0%B9%80%E0%B8%A3%E0%B8%B5%E0%B8%A2%E0%B8%99%E0%B8%AB%E0%B8%A5%E0%B8%A7%E0%B8%87%E0%B9%81%E0%B8%9E%E0%B9%88%E0%B8%87+(%E0%B8%9A%E0%B8%B3%E0%B8%A3%E0%B8%B8%E0%B8%87%E0%B8%A3%E0%B8%B1%E0%B8%90%E0%B8%81%E0%B8%B4%E0%B8%88)/@13.8154703,100.9350751,17z/data=!3m1!4b1!4m6!3m5!1s0x311d6da9dd7109f5:0x8c143c57b4ed261f!8m2!3d13.8154703!4d100.9350751!16s%2Fg%2F11r90hw_z?entry=tts&amp;g_ep=EgoyMDI2MDkyMy4wIPu8ASoASAFQAw%3D%3D&amp;skid=906365c0-3dd2-48d1-9f8a-271172f697c2" TargetMode="External"/><Relationship Id="rId11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" TargetMode="External"/><Relationship Id="rId10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8%E0%B8%A3%E0%B8%A3%E0%B8%A1%E0%B8%8A%E0%B8%B2%E0%B8%95%E0%B8%B4%20%E0%B9%80%E0%B8%82%E0%B8%95%E0%B8%84%E0%B8%A5%E0%B8%AD%E0%B8%87%E0%B8%AA%E0%B8%B2%E0%B8%99%20%E0%B8%81%E0%B8%A3%E0%B8%B8%E0%B8%87%E0%B9%80%E0%B8%97%E0%B8%9E%E0%B8%A1%E0%B8%AB%E0%B8%B2%E0%B8%99%E0%B8%84%E0%B8%A3&amp;query_place_id=ChIJpWwrzN-Y4jARt06NGl0ocZ4" TargetMode="External"/><Relationship Id="rId13" Type="http://schemas.openxmlformats.org/officeDocument/2006/relationships/hyperlink" Target="https://floodsupport.bangkok.go.th/api/data" TargetMode="External"/><Relationship Id="rId12" Type="http://schemas.openxmlformats.org/officeDocument/2006/relationships/hyperlink" Target="https://maps.app.goo.gl/8GDhqan3HNmxio5o6?g_st=ac" TargetMode="External"/><Relationship Id="rId519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" TargetMode="External"/><Relationship Id="rId514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" TargetMode="External"/><Relationship Id="rId756" Type="http://schemas.openxmlformats.org/officeDocument/2006/relationships/hyperlink" Target="https://floodsupport.bangkok.go.th/api/data" TargetMode="External"/><Relationship Id="rId513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&amp;query_place_id=ChIJG89lBjBpHTERkA1SAZpA4Fg" TargetMode="External"/><Relationship Id="rId755" Type="http://schemas.openxmlformats.org/officeDocument/2006/relationships/hyperlink" Target="https://maps.app.goo.gl/RsJNMp56gKesoAY17" TargetMode="External"/><Relationship Id="rId512" Type="http://schemas.openxmlformats.org/officeDocument/2006/relationships/hyperlink" Target="https://floodsupport.bangkok.go.th/api/data" TargetMode="External"/><Relationship Id="rId754" Type="http://schemas.openxmlformats.org/officeDocument/2006/relationships/hyperlink" Target="https://www.google.com/maps/place/%E0%B9%82%E0%B8%A3%E0%B8%87%E0%B9%80%E0%B8%A3%E0%B8%B5%E0%B8%A2%E0%B8%99%E0%B8%AA%E0%B8%B8%E0%B9%80%E0%B8%AB%E0%B8%A3%E0%B9%88%E0%B8%B2%E0%B8%AD%E0%B8%B5%E0%B8%A3%E0%B8%B1%E0%B9%89%E0%B8%A7/@13.8206018,100.8292151,1055m/data=!3m2!1e3!4b1!4m6!3m5!1s0x311d6fb7b988899b:0x5d6167498808c167!8m2!3d13.8206018!4d100.83179!16s%2Fg%2F11yjb9vmf9?entry=tts&amp;g_ep=EgoyMDI2MDkyMy4wIPu8ASoASAFQAw%3D%3D&amp;skid=38e3e228-edd1-4946-9f9d-2b62741f7d3c" TargetMode="External"/><Relationship Id="rId511" Type="http://schemas.openxmlformats.org/officeDocument/2006/relationships/hyperlink" Target="https://share.google/MmRp1bEdHedmV8OeK" TargetMode="External"/><Relationship Id="rId753" Type="http://schemas.openxmlformats.org/officeDocument/2006/relationships/hyperlink" Target="https://floodsupport.bangkok.go.th/api/data" TargetMode="External"/><Relationship Id="rId518" Type="http://schemas.openxmlformats.org/officeDocument/2006/relationships/hyperlink" Target="https://www.google.com/maps/search/?api=1&amp;query=%E0%B9%82%E0%B8%A3%E0%B8%87%E0%B9%80%E0%B8%A3%E0%B8%B5%E0%B8%A2%E0%B8%99%E0%B8%9B%E0%B8%A3%E0%B8%B0%E0%B8%AA%E0%B8%B2%E0%B8%99%E0%B8%AA%E0%B8%B2%E0%B8%A1%E0%B8%B1%E0%B8%84%E0%B8%84%E0%B8%B5%20%E0%B9%80%E0%B8%82%E0%B8%95%E0%B8%A5%E0%B8%B2%E0%B8%94%E0%B8%81%E0%B8%A3%E0%B8%B0%E0%B8%9A%E0%B8%B1%E0%B8%87%20%E0%B8%81%E0%B8%A3%E0%B8%B8%E0%B8%87%E0%B9%80%E0%B8%97%E0%B8%9E%E0%B8%A1%E0%B8%AB%E0%B8%B2%E0%B8%99%E0%B8%84%E0%B8%A3&amp;query_place_id=ChIJ9-fx2t1oHTEROpczi8u2Zgc" TargetMode="External"/><Relationship Id="rId517" Type="http://schemas.openxmlformats.org/officeDocument/2006/relationships/hyperlink" Target="https://floodsupport.bangkok.go.th/api/data" TargetMode="External"/><Relationship Id="rId759" Type="http://schemas.openxmlformats.org/officeDocument/2006/relationships/hyperlink" Target="https://floodsupport.bangkok.go.th/api/data" TargetMode="External"/><Relationship Id="rId516" Type="http://schemas.openxmlformats.org/officeDocument/2006/relationships/hyperlink" Target="https://maps.app.goo.gl/7SqMGMmQ36fMvBL49" TargetMode="External"/><Relationship Id="rId758" Type="http://schemas.openxmlformats.org/officeDocument/2006/relationships/hyperlink" Target="https://maps.app.goo.gl/zc1Zw7ow2HLyJdqq5" TargetMode="External"/><Relationship Id="rId515" Type="http://schemas.openxmlformats.org/officeDocument/2006/relationships/hyperlink" Target="https://www.google.com/maps/search/?api=1&amp;query=%E0%B9%82%E0%B8%A3%E0%B8%87%E0%B9%80%E0%B8%A3%E0%B8%B5%E0%B8%A2%E0%B8%99%E0%B8%95%E0%B8%B3%E0%B8%9A%E0%B8%A5%E0%B8%82%E0%B8%B8%E0%B8%A1%E0%B8%97%E0%B8%AD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57" Type="http://schemas.openxmlformats.org/officeDocument/2006/relationships/hyperlink" Target="https://www.google.com/maps/place/%E0%B9%82%E0%B8%A3%E0%B8%87%E0%B9%80%E0%B8%A3%E0%B8%B5%E0%B8%A2%E0%B8%99%E0%B8%AB%E0%B8%99%E0%B8%AD%E0%B8%87%E0%B8%88%E0%B8%AD%E0%B8%81%E0%B8%9E%E0%B8%B4%E0%B8%97%E0%B8%A2%E0%B8%B2%E0%B8%99%E0%B8%B8%E0%B8%AA%E0%B8%A3%E0%B8%93%E0%B9%8C/@13.8632649,100.8510418,17z/data=!4m7!3m6!1s0x311d6fd8ec6f54ed:0x554fbe6590d19da5!8m2!3d13.8633241!4d100.8541657!15sCk7guYLguKPguIfguYDguKPguLXguKLguJnguKvguJnguK3guIfguIjguK3guIHguJ7guLTguJfguKLguLLguJnguLjguKrguKPguJPguYySAQ1wdWJsaWNfc2Nob29s4AEA!16s%2Fg%2F11c6png9k6?entry=tts&amp;g_ep=EgoyMDI2MDkyMy4wIPu8ASoASAFQAw%3D%3D&amp;skid=f95c6e09-593e-4933-8971-63c3a7c91bd3" TargetMode="External"/><Relationship Id="rId15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" TargetMode="External"/><Relationship Id="rId14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&amp;query_place_id=ChIJpWwrzN-Y4jARK8SxTkahQY0" TargetMode="External"/><Relationship Id="rId17" Type="http://schemas.openxmlformats.org/officeDocument/2006/relationships/hyperlink" Target="https://maps.app.goo.gl/TP3AwKk5fgBeDXP4A?g_st=ac" TargetMode="External"/><Relationship Id="rId16" Type="http://schemas.openxmlformats.org/officeDocument/2006/relationships/hyperlink" Target="https://www.google.com/maps/search/?api=1&amp;query=%E0%B9%82%E0%B8%A3%E0%B8%87%E0%B9%80%E0%B8%A3%E0%B8%B5%E0%B8%A2%E0%B8%99%E0%B8%A7%E0%B8%B1%E0%B8%94%E0%B8%97%E0%B8%AD%E0%B8%87%E0%B8%99%E0%B8%9E%E0%B8%84%E0%B8%B8%E0%B8%93%20%E0%B9%80%E0%B8%82%E0%B8%95%E0%B8%84%E0%B8%A5%E0%B8%AD%E0%B8%87%E0%B8%AA%E0%B8%B2%E0%B8%99%20%E0%B8%81%E0%B8%A3%E0%B8%B8%E0%B8%87%E0%B9%80%E0%B8%97%E0%B8%9E%E0%B8%A1%E0%B8%AB%E0%B8%B2%E0%B8%99%E0%B8%84%E0%B8%A3" TargetMode="External"/><Relationship Id="rId19" Type="http://schemas.openxmlformats.org/officeDocument/2006/relationships/hyperlink" Target="https://www.google.com/maps/search/?api=1&amp;query=%E0%B9%82%E0%B8%A3%E0%B8%87%E0%B9%80%E0%B8%A3%E0%B8%B5%E0%B8%A2%E0%B8%99%E0%B8%A7%E0%B8%B1%E0%B8%94%E0%B8%97%E0%B8%AD%E0%B8%87%E0%B9%80%E0%B8%9E%E0%B8%A5%E0%B8%87%20%E0%B9%80%E0%B8%82%E0%B8%95%E0%B8%84%E0%B8%A5%E0%B8%AD%E0%B8%87%E0%B8%AA%E0%B8%B2%E0%B8%99%20%E0%B8%81%E0%B8%A3%E0%B8%B8%E0%B8%87%E0%B9%80%E0%B8%97%E0%B8%9E%E0%B8%A1%E0%B8%AB%E0%B8%B2%E0%B8%99%E0%B8%84%E0%B8%A3&amp;query_place_id=ChIJXyULaO-Y4jARs6mdjuzH8yU" TargetMode="External"/><Relationship Id="rId510" Type="http://schemas.openxmlformats.org/officeDocument/2006/relationships/hyperlink" Target="https://www.google.com/maps/search/?api=1&amp;query=%E0%B9%82%E0%B8%A3%E0%B8%87%E0%B9%80%E0%B8%A3%E0%B8%B5%E0%B8%A2%E0%B8%99%E0%B8%82%E0%B8%B8%E0%B8%B8%E0%B8%A1%E0%B8%97%E0%B8%AD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52" Type="http://schemas.openxmlformats.org/officeDocument/2006/relationships/hyperlink" Target="https://maps.app.goo.gl/MhEY87hNkRggH4eLA" TargetMode="External"/><Relationship Id="rId18" Type="http://schemas.openxmlformats.org/officeDocument/2006/relationships/hyperlink" Target="https://floodsupport.bangkok.go.th/api/data" TargetMode="External"/><Relationship Id="rId751" Type="http://schemas.openxmlformats.org/officeDocument/2006/relationships/hyperlink" Target="https://www.google.com/maps/place/%E0%B9%82%E0%B8%A3%E0%B8%87%E0%B9%80%E0%B8%A3%E0%B8%B5%E0%B8%A2%E0%B8%99+%E0%B8%AA%E0%B8%B8%E0%B9%80%E0%B8%AB%E0%B8%A3%E0%B9%88%E0%B8%B2%E0%B8%AB%E0%B8%B0%E0%B8%A2%E0%B8%B5%E0%B8%A1%E0%B8%B5%E0%B8%99%E0%B8%B2/@13.8553118,100.8667968,17z/data=!3m1!4b1!4m6!3m5!1s0x311d6e0317b7afa9:0x3c3932071d172fd3!8m2!3d13.8553066!4d100.8693771!16s%2Fg%2F1hc4rlb5c?entry=tts&amp;g_ep=EgoyMDI2MDkyMy4wIPu8ASoASAFQAw%3D%3D&amp;skid=d1d93a96-3622-42f8-a842-826dd6bcdad7" TargetMode="External"/><Relationship Id="rId750" Type="http://schemas.openxmlformats.org/officeDocument/2006/relationships/hyperlink" Target="https://floodsupport.bangkok.go.th/api/data" TargetMode="External"/><Relationship Id="rId84" Type="http://schemas.openxmlformats.org/officeDocument/2006/relationships/hyperlink" Target="https://maps.app.goo.gl/yMsbGVL2nDX6GMBF6" TargetMode="External"/><Relationship Id="rId83" Type="http://schemas.openxmlformats.org/officeDocument/2006/relationships/hyperlink" Target="https://www.google.com/maps/place/%E0%B9%82%E0%B8%A3%E0%B8%87%E0%B9%80%E0%B8%A3%E0%B8%B5%E0%B8%A2%E0%B8%99%E0%B8%A7%E0%B8%B1%E0%B8%94%E0%B8%AA%E0%B8%B8%E0%B8%97%E0%B8%98%E0%B8%B4%E0%B8%AA%E0%B8%B0%E0%B8%AD%E0%B8%B2%E0%B8%94/@13.8693612,100.7035554,3762m/data=!3m1!1e3!4m6!3m5!1s0x311d7b4725858b0d:0x2568d86f1ad808b6!8m2!3d13.877293!4d100.7324536!16s%2Fg%2F1hc3rq3lc?entry=tts&amp;g_ep=EgoyMDI2MDkyMy4wIPu8ASoASAFQAw%3D%3D&amp;skid=8288dd46-8e01-4037-b214-dbf15f90121a" TargetMode="External"/><Relationship Id="rId86" Type="http://schemas.openxmlformats.org/officeDocument/2006/relationships/hyperlink" Target="https://www.google.com/maps/place/%E0%B9%82%E0%B8%A3%E0%B8%87%E0%B9%80%E0%B8%A3%E0%B8%B5%E0%B8%A2%E0%B8%99%E0%B8%A7%E0%B8%B1%E0%B8%94%E0%B9%81%E0%B8%9B%E0%B9%89%E0%B8%99%E0%B8%97%E0%B8%AD%E0%B8%87+%E0%B8%AA%E0%B8%B2%E0%B8%A1%E0%B8%A7%E0%B8%B2%E0%B8%A7%E0%B8%B4%E0%B8%97%E0%B8%A2%E0%B8%B2/@13.8738472,100.6899614,3762m/data=!3m1!1e3!4m6!3m5!1s0x311d7ca034c91bbf:0xef674db09a4a859f!8m2!3d13.8861952!4d100.7086731!16s%2Fg%2F1xpwg7g5?entry=tts&amp;g_ep=EgoyMDI2MDkyMy4wIPu8ASoASAFQAw%3D%3D&amp;skid=1996dd92-2b80-4b59-8b06-d56e17120000" TargetMode="External"/><Relationship Id="rId85" Type="http://schemas.openxmlformats.org/officeDocument/2006/relationships/hyperlink" Target="https://floodsupport.bangkok.go.th/api/data" TargetMode="External"/><Relationship Id="rId88" Type="http://schemas.openxmlformats.org/officeDocument/2006/relationships/hyperlink" Target="https://floodsupport.bangkok.go.th/api/data" TargetMode="External"/><Relationship Id="rId87" Type="http://schemas.openxmlformats.org/officeDocument/2006/relationships/hyperlink" Target="https://maps.app.goo.gl/aEduGCLVwzfCwviFA" TargetMode="External"/><Relationship Id="rId89" Type="http://schemas.openxmlformats.org/officeDocument/2006/relationships/hyperlink" Target="https://www.google.com/maps/place/%E0%B9%82%E0%B8%A3%E0%B8%87%E0%B9%80%E0%B8%A3%E0%B8%B5%E0%B8%A2%E0%B8%99%E0%B8%AA%E0%B8%B8%E0%B9%80%E0%B8%AB%E0%B8%A3%E0%B9%88%E0%B8%B2%E0%B8%84%E0%B8%A5%E0%B8%AD%E0%B8%87%E0%B8%AA%E0%B8%B5%E0%B9%88/@13.8882693,100.707312,7523m/data=!3m1!1e3!4m6!3m5!1s0x311d7a573c6e4549:0x83fcd1ec8da7a81b!8m2!3d13.912987!4d100.770257!16s%2Fg%2F1hc3d2qz2?entry=tts&amp;g_ep=EgoyMDI2MDkyMy4wIPu8ASoASAFQAw%3D%3D&amp;skid=247d6661-03ad-4690-98c9-7b28d134c0d0" TargetMode="External"/><Relationship Id="rId709" Type="http://schemas.openxmlformats.org/officeDocument/2006/relationships/hyperlink" Target="https://maps.app.goo.gl/qae2bKepKAjX7BSe7" TargetMode="External"/><Relationship Id="rId708" Type="http://schemas.openxmlformats.org/officeDocument/2006/relationships/hyperlink" Target="https://www.google.com/maps/place/%E0%B9%82%E0%B8%A3%E0%B8%87%E0%B9%80%E0%B8%A3%E0%B8%B5%E0%B8%A2%E0%B8%99%E0%B8%A5%E0%B8%B3%E0%B8%9A%E0%B8%B8%E0%B8%AB%E0%B8%A3%E0%B8%B5%E0%B9%88%E0%B8%9E%E0%B8%A7%E0%B8%87+%E0%B9%80%E0%B8%82%E0%B8%95%E0%B8%AB%E0%B8%99%E0%B8%AD%E0%B8%87%E0%B8%88%E0%B8%AD%E0%B8%81+%E0%B8%81%E0%B8%A3%E0%B8%B8%E0%B8%87%E0%B9%80%E0%B8%97%E0%B8%9E%E0%B8%A1%E0%B8%AB%E0%B8%B2%E0%B8%99%E0%B8%84%E0%B8%A3/@13.8883051,100.8468019,17z/data=!3m1!4b1!4m6!3m5!1s0x311d71b3bc1ff56b:0xa2769a1bcc2245e!8m2!3d13.8882999!4d100.8493822!16s%2Fg%2F1hf1y_n02?entry=tts&amp;g_ep=EgoyMDI2MDkyMy4wIPu8ASoASAFQAw%3D%3D&amp;skid=6388efee-e8ab-453a-9c5d-266812c926d5" TargetMode="External"/><Relationship Id="rId707" Type="http://schemas.openxmlformats.org/officeDocument/2006/relationships/hyperlink" Target="https://floodsupport.bangkok.go.th/api/data" TargetMode="External"/><Relationship Id="rId706" Type="http://schemas.openxmlformats.org/officeDocument/2006/relationships/hyperlink" Target="https://maps.app.goo.gl/dsD5XwNdEk66Wvwv6" TargetMode="External"/><Relationship Id="rId80" Type="http://schemas.openxmlformats.org/officeDocument/2006/relationships/hyperlink" Target="https://www.google.com/maps/place/%E0%B9%82%E0%B8%A3%E0%B8%87%E0%B9%80%E0%B8%A3%E0%B8%B5%E0%B8%A2%E0%B8%99+%E0%B8%A7%E0%B8%B1%E0%B8%94%E0%B8%AA%E0%B8%B8%E0%B8%82%E0%B9%83%E0%B8%88/@13.8653625,100.7140857,7524m/data=!3m1!1e3!4m6!3m5!1s0x311d7bad08313d91:0x40584661c418975d!8m2!3d13.872037!4d100.7737308!16s%2Fg%2F1hc6t50bt?entry=tts&amp;g_ep=EgoyMDI2MDkyMy4wIPu8ASoASAFQAw%3D%3D&amp;skid=0b822272-dee2-4d9f-98a5-6667b850a7b4" TargetMode="External"/><Relationship Id="rId82" Type="http://schemas.openxmlformats.org/officeDocument/2006/relationships/hyperlink" Target="https://floodsupport.bangkok.go.th/api/data" TargetMode="External"/><Relationship Id="rId81" Type="http://schemas.openxmlformats.org/officeDocument/2006/relationships/hyperlink" Target="https://maps.app.goo.gl/1iF1TVgRTYhgp8gL6" TargetMode="External"/><Relationship Id="rId701" Type="http://schemas.openxmlformats.org/officeDocument/2006/relationships/hyperlink" Target="https://floodsupport.bangkok.go.th/api/data" TargetMode="External"/><Relationship Id="rId700" Type="http://schemas.openxmlformats.org/officeDocument/2006/relationships/hyperlink" Target="https://maps.app.goo.gl/EiMaZPsE8pG5p3Sb7" TargetMode="External"/><Relationship Id="rId705" Type="http://schemas.openxmlformats.org/officeDocument/2006/relationships/hyperlink" Target="https://www.google.com/maps/place/%E0%B9%82%E0%B8%A3%E0%B8%87%E0%B9%80%E0%B8%A3%E0%B8%B5%E0%B8%A2%E0%B8%99%E0%B8%9D%E0%B8%B6%E0%B8%81%E0%B8%AD%E0%B8%B2%E0%B8%8A%E0%B8%B5%E0%B8%9E%E0%B8%81%E0%B8%A3%E0%B8%B8%E0%B8%87%E0%B9%80%E0%B8%97%E0%B8%9E%E0%B8%A1%E0%B8%AB%E0%B8%B2%E0%B8%99%E0%B8%84%E0%B8%A3+-+%E0%B8%AB%E0%B8%99%E0%B8%AD%E0%B8%87%E0%B8%88%E0%B8%AD%E0%B8%81/@13.8294479,100.8460686,17z/data=!3m1!4b1!4m6!3m5!1s0x311d6e4c7880332d:0x731d936b5e77d10f!8m2!3d13.8294427!4d100.8486489!16s%2Fg%2F1hd_ztk5z?entry=tts&amp;g_ep=EgoyMDI2MDkyMy4wIPu8ASoASAFQAw%3D%3D&amp;skid=f2e01197-c469-4af1-bd19-b4d07f0fa737" TargetMode="External"/><Relationship Id="rId704" Type="http://schemas.openxmlformats.org/officeDocument/2006/relationships/hyperlink" Target="https://floodsupport.bangkok.go.th/api/data" TargetMode="External"/><Relationship Id="rId703" Type="http://schemas.openxmlformats.org/officeDocument/2006/relationships/hyperlink" Target="https://maps.app.goo.gl/NrxRK5TZ6NKyz4ev5" TargetMode="External"/><Relationship Id="rId702" Type="http://schemas.openxmlformats.org/officeDocument/2006/relationships/hyperlink" Target="https://www.google.com/maps/place/%E0%B9%82%E0%B8%A3%E0%B8%87%E0%B9%80%E0%B8%A3%E0%B8%B5%E0%B8%A2%E0%B8%99%E0%B8%9C%E0%B8%A5%E0%B8%A5%E0%B8%B5%E0%B8%A3%E0%B8%B8%E0%B9%88%E0%B8%87%E0%B9%80%E0%B8%A3%E0%B8%B7%E0%B8%AD%E0%B8%87/@13.7925452,100.9085005,17z/data=!3m1!4b1!4m6!3m5!1s0x311d6c3f34c91f4b:0x712b6d6301d21072!8m2!3d13.7925452!4d100.9110754!16s%2Fg%2F1hd_46qqv?entry=tts&amp;g_ep=EgoyMDI2MDkyMy4wIPu8ASoASAFQAw%3D%3D&amp;skid=516fec38-9294-4ff1-8646-f3230c6880df" TargetMode="External"/><Relationship Id="rId73" Type="http://schemas.openxmlformats.org/officeDocument/2006/relationships/hyperlink" Target="https://floodsupport.bangkok.go.th/api/data" TargetMode="External"/><Relationship Id="rId72" Type="http://schemas.openxmlformats.org/officeDocument/2006/relationships/hyperlink" Target="https://maps.app.goo.gl/ih9XCP6RpiwQiM4Z8" TargetMode="External"/><Relationship Id="rId75" Type="http://schemas.openxmlformats.org/officeDocument/2006/relationships/hyperlink" Target="https://maps.app.goo.gl/NU3jKUbBVjxgfWW7A" TargetMode="External"/><Relationship Id="rId74" Type="http://schemas.openxmlformats.org/officeDocument/2006/relationships/hyperlink" Target="https://www.google.com/maps/place/%E0%B9%82%E0%B8%A3%E0%B8%87%E0%B9%80%E0%B8%A3%E0%B8%B5%E0%B8%A2%E0%B8%99%E0%B8%A7%E0%B8%B1%E0%B8%94%E0%B8%A5%E0%B8%B3%E0%B8%81%E0%B8%B0%E0%B8%94%E0%B8%B2%E0%B8%99/@13.8930048,100.6851763,15046m/data=!3m1!1e3!4m6!3m5!1s0x311d7bad08dadead:0x87b3f5c785f3a5cc!8m2!3d13.9174808!4d100.752918!16s%2Fg%2F1pzxmz4ky?entry=tts&amp;g_ep=EgoyMDI2MDkyMy4wIPu8ASoASAFQAw%3D%3D&amp;skid=f3d5ec05-2f3c-415f-9dc9-7d025d8292a8" TargetMode="External"/><Relationship Id="rId77" Type="http://schemas.openxmlformats.org/officeDocument/2006/relationships/hyperlink" Target="https://www.google.com/maps/place/%E0%B9%82%E0%B8%A3%E0%B8%87%E0%B9%80%E0%B8%A3%E0%B8%B5%E0%B8%A2%E0%B8%99%E0%B8%A7%E0%B8%B1%E0%B8%94%E0%B8%A8%E0%B8%A3%E0%B8%B5%E0%B8%AA%E0%B8%B8%E0%B8%81/@13.8890686,100.6974667,15046m/data=!3m1!1e3!4m6!3m5!1s0x311d7a7066491661:0x4d1e4c2662edb1a7!8m2!3d13.9184414!4d100.7917995!16s%2Fg%2F1pzv238ls?entry=tts&amp;g_ep=EgoyMDI2MDkyMy4wIPu8ASoASAFQAw%3D%3D&amp;skid=ec657b14-ffa2-4584-bd1d-eb2835fe42c2" TargetMode="External"/><Relationship Id="rId76" Type="http://schemas.openxmlformats.org/officeDocument/2006/relationships/hyperlink" Target="https://floodsupport.bangkok.go.th/api/data" TargetMode="External"/><Relationship Id="rId79" Type="http://schemas.openxmlformats.org/officeDocument/2006/relationships/hyperlink" Target="https://floodsupport.bangkok.go.th/api/data" TargetMode="External"/><Relationship Id="rId78" Type="http://schemas.openxmlformats.org/officeDocument/2006/relationships/hyperlink" Target="https://maps.app.goo.gl/ieoU17oAmX71uCeB8" TargetMode="External"/><Relationship Id="rId71" Type="http://schemas.openxmlformats.org/officeDocument/2006/relationships/hyperlink" Target="https://www.google.com/maps/place/%E0%B9%82%E0%B8%A3%E0%B8%87%E0%B9%80%E0%B8%A3%E0%B8%B5%E0%B8%A2%E0%B8%99%E0%B8%A7%E0%B8%B1%E0%B8%94%E0%B8%9E%E0%B8%A3%E0%B8%B0%E0%B8%A2%E0%B8%B2%E0%B8%AA%E0%B8%B8%E0%B9%80%E0%B8%A3%E0%B8%99%E0%B8%97%E0%B8%A3%E0%B9%8C/@13.8703415,100.6838396,1881m/data=!3m1!1e3!4m6!3m5!1s0x311d7cc9add77fa7:0xaaf02aa606726f29!8m2!3d13.8734813!4d100.6865445!16s%2Fg%2F1tczgynr?entry=tts&amp;g_ep=EgoyMDI2MDkyMy4wIPu8ASoASAFQAw%3D%3D&amp;skid=d29df70b-7383-4ae0-813f-1a2ccf17fe85" TargetMode="External"/><Relationship Id="rId70" Type="http://schemas.openxmlformats.org/officeDocument/2006/relationships/hyperlink" Target="https://floodsupport.bangkok.go.th/api/data" TargetMode="External"/><Relationship Id="rId62" Type="http://schemas.openxmlformats.org/officeDocument/2006/relationships/hyperlink" Target="https://www.google.com/maps/place/%E0%B9%82%E0%B8%A3%E0%B8%87%E0%B9%80%E0%B8%A3%E0%B8%B5%E0%B8%A2%E0%B8%99%E0%B8%9B%E0%B8%A3%E0%B8%B0%E0%B8%8A%E0%B8%B2%E0%B8%A3%E0%B8%B2%E0%B8%A9%E0%B8%8E%E0%B8%A3%E0%B9%8C%E0%B8%AD%E0%B8%B8%E0%B8%9B%E0%B8%96%E0%B8%B1%E0%B8%A1%E0%B8%A0%E0%B9%8C%E0%B8%A7%E0%B8%B4%E0%B8%97%E0%B8%A2%E0%B8%B2/@13.8502625,100.6884104,3762m/data=!3m1!1e3!4m6!3m5!1s0x311d6342f6a78d71:0xcfe99453319a26d2!8m2!3d13.8442089!4d100.6960353!16s%2Fg%2F1td8wl03?entry=tts&amp;g_ep=EgoyMDI2MDkyMy4wIPu8ASoASAFQAw%3D%3D&amp;skid=bb529274-230d-4e84-a6bf-96117ab9399c" TargetMode="External"/><Relationship Id="rId61" Type="http://schemas.openxmlformats.org/officeDocument/2006/relationships/hyperlink" Target="https://floodsupport.bangkok.go.th/api/data" TargetMode="External"/><Relationship Id="rId64" Type="http://schemas.openxmlformats.org/officeDocument/2006/relationships/hyperlink" Target="https://floodsupport.bangkok.go.th/api/data" TargetMode="External"/><Relationship Id="rId63" Type="http://schemas.openxmlformats.org/officeDocument/2006/relationships/hyperlink" Target="https://maps.app.goo.gl/e5LS7sQ78DfoeJ8h6" TargetMode="External"/><Relationship Id="rId66" Type="http://schemas.openxmlformats.org/officeDocument/2006/relationships/hyperlink" Target="https://maps.app.goo.gl/xBho3BYpropp2EWB8" TargetMode="External"/><Relationship Id="rId65" Type="http://schemas.openxmlformats.org/officeDocument/2006/relationships/hyperlink" Target="https://www.google.com/maps/place/%E0%B9%82%E0%B8%A3%E0%B8%87%E0%B9%80%E0%B8%A3%E0%B8%B5%E0%B8%A2%E0%B8%99%E0%B8%A7%E0%B8%B1%E0%B8%94%E0%B8%84%E0%B8%B9%E0%B9%89%E0%B8%9A%E0%B8%AD%E0%B8%99/@13.8545402,100.6644641,3762m/data=!3m1!1e3!4m6!3m5!1s0x311d6325824a48f5:0x3ee305b72ea0d92e!8m2!3d13.8538816!4d100.6736866!16s%2Fg%2F1hc4pfzlt?entry=tts&amp;g_ep=EgoyMDI2MDkyMy4wIPu8ASoASAFQAw%3D%3D&amp;skid=72812040-c068-4f75-bb50-5af3085a9929" TargetMode="External"/><Relationship Id="rId68" Type="http://schemas.openxmlformats.org/officeDocument/2006/relationships/hyperlink" Target="https://www.google.com/maps/place/%E0%B9%82%E0%B8%A3%E0%B8%87%E0%B9%80%E0%B8%A3%E0%B8%B5%E0%B8%A2%E0%B8%99%E0%B8%A7%E0%B8%B1%E0%B8%94%E0%B8%9A%E0%B8%B1%E0%B8%A7%E0%B9%81%E0%B8%81%E0%B9%89%E0%B8%A7/@13.8546088,100.7038939,3762m/data=!3m1!1e3!4m6!3m5!1s0x311d64ec2fe74d9b:0x66d7b97810d11733!8m2!3d13.8508973!4d100.7312155!16s%2Fg%2F1hc6wy6l1?entry=tts&amp;g_ep=EgoyMDI2MDkyMy4wIPu8ASoASAFQAw%3D%3D&amp;skid=8a5546b0-c4d8-49a2-9b21-dbd991861b69" TargetMode="External"/><Relationship Id="rId67" Type="http://schemas.openxmlformats.org/officeDocument/2006/relationships/hyperlink" Target="https://floodsupport.bangkok.go.th/api/data" TargetMode="External"/><Relationship Id="rId729" Type="http://schemas.openxmlformats.org/officeDocument/2006/relationships/hyperlink" Target="https://www.google.com/maps/search/?api=1&amp;query=%E0%B9%82%E0%B8%A3%E0%B8%87%E0%B9%80%E0%B8%A3%E0%B8%B5%E0%B8%A2%E0%B8%99%E0%B8%AA%E0%B8%B1%E0%B8%87%E0%B8%86%E0%B8%9B%E0%B8%A3%E0%B8%B0%E0%B8%8A%E0%B8%B2%E0%B8%99%E0%B8%B8%E0%B8%AA%E0%B8%AA%E0%B8%A3%E0%B8%93%E0%B9%8C%20%E0%B9%80%E0%B8%82%E0%B8%95%E0%B8%AB%E0%B8%99%E0%B8%AD%E0%B8%87%E0%B8%88%E0%B8%AD%E0%B8%81%20%E0%B8%81%E0%B8%A3%E0%B8%B8%E0%B8%87%E0%B9%80%E0%B8%97%E0%B8%9E%E0%B8%A1%E0%B8%AB%E0%B8%B2%E0%B8%99%E0%B8%84%E0%B8%A3&amp;query_place_id=ChIJz_oiXy1vHTER-MvxjgnFvoQ" TargetMode="External"/><Relationship Id="rId728" Type="http://schemas.openxmlformats.org/officeDocument/2006/relationships/hyperlink" Target="https://floodsupport.bangkok.go.th/api/data" TargetMode="External"/><Relationship Id="rId60" Type="http://schemas.openxmlformats.org/officeDocument/2006/relationships/hyperlink" Target="https://maps.app.goo.gl/hCw8Ywu1WXDpcfU26" TargetMode="External"/><Relationship Id="rId723" Type="http://schemas.openxmlformats.org/officeDocument/2006/relationships/hyperlink" Target="https://www.google.com/maps/place/%E0%B9%82%E0%B8%A3%E0%B8%87%E0%B9%80%E0%B8%A3%E0%B8%B5%E0%B8%A2%E0%B8%99%E0%B8%A7%E0%B8%B1%E0%B8%94%E0%B8%A3%E0%B8%B2%E0%B8%A9%E0%B8%8E%E0%B8%A3%E0%B9%8C%E0%B8%9A%E0%B8%B3%E0%B8%A3%E0%B8%B8%E0%B8%87/@13.7865194,100.8383473,14z/data=!4m7!3m6!1s0x311d7110bf2abc7d:0x2e8e96b2d5f07e38!8m2!3d13.8112539!4d100.8784303!15sCkLguYLguKPguIfguYDguKPguLXguKLguJnguKfguLHguJTguKPguLLguKnguI7guKPguYzguJrguLPguKPguLjguIeSAQ1wdWJsaWNfc2Nob29s4AEA!16s%2Fg%2F11ym_mz36l?entry=tts&amp;g_ep=EgoyMDI2MDkyMy4wIPu8ASoASAFQAw%3D%3D&amp;skid=fbd6f172-4b24-46cc-926d-af1fab426398" TargetMode="External"/><Relationship Id="rId722" Type="http://schemas.openxmlformats.org/officeDocument/2006/relationships/hyperlink" Target="https://floodsupport.bangkok.go.th/api/data" TargetMode="External"/><Relationship Id="rId721" Type="http://schemas.openxmlformats.org/officeDocument/2006/relationships/hyperlink" Target="https://maps.app.goo.gl/Z6s49csj2DjwefFSA" TargetMode="External"/><Relationship Id="rId720" Type="http://schemas.openxmlformats.org/officeDocument/2006/relationships/hyperlink" Target="https://www.google.com/maps/place/%E0%B9%82%E0%B8%A3%E0%B8%87%E0%B9%80%E0%B8%A3%E0%B8%B5%E0%B8%A2%E0%B8%99%E0%B8%A1%E0%B8%B1%E0%B8%98%E0%B8%A2%E0%B8%A1%E0%B8%A7%E0%B8%B1%E0%B8%94%E0%B8%9E%E0%B8%A3%E0%B8%B0%E0%B8%A2%E0%B8%B2%E0%B8%9B%E0%B8%A5%E0%B8%B2+Matthayom+Watprayapla+School/@13.9163291,100.8617614,17z/data=!4m7!3m6!1s0x311d716ba5ce82a5:0x8540630df7a5f523!8m2!3d13.9191438!4d100.8652142!15sCjnguYLguKPguIfguYDguKPguLXguKLguJnguKfguLHguJTguJ7guKPguLDguKLguLLguJvguKXguLKSARBzZWNvbmRhcnlfc2Nob29s4AEA!16s%2Fg%2F11gpm2nnw0?entry=tts&amp;g_ep=EgoyMDI2MDkyMy4wIPu8ASoASAFQAw%3D%3D&amp;skid=c351a7c7-f5ed-41df-a3f6-06dbe94a1286" TargetMode="External"/><Relationship Id="rId727" Type="http://schemas.openxmlformats.org/officeDocument/2006/relationships/hyperlink" Target="https://maps.app.goo.gl/XT4rgiZXfpNQ3H5a8?g_st=al" TargetMode="External"/><Relationship Id="rId726" Type="http://schemas.openxmlformats.org/officeDocument/2006/relationships/hyperlink" Target="https://www.google.com/maps/place/%E0%B9%82%E0%B8%A3%E0%B8%87%E0%B9%80%E0%B8%A3%E0%B8%B5%E0%B8%A2%E0%B8%99%E0%B8%A7%E0%B8%B1%E0%B8%94%E0%B8%AB%E0%B8%99%E0%B8%AD%E0%B8%87%E0%B8%88%E0%B8%AD%E0%B8%81+(%E0%B8%A0%E0%B8%B1%E0%B8%81%E0%B8%94%E0%B8%B5%E0%B8%99%E0%B8%A3%E0%B9%80%E0%B8%A8%E0%B8%A3%E0%B8%A9%E0%B8%90)/@13.8564644,100.8573933,17z/data=!3m1!4b1!4m6!3m5!1s0x311d6fd6ef869d5b:0x9e47e589fd64d689!8m2!3d13.8564592!4d100.8599736!16s%2Fg%2F11vhk41k60?entry=tts&amp;g_ep=EgoyMDI2MDkyMy4wIPu8ASoASAFQAw%3D%3D&amp;skid=af65146b-40a7-4937-8bc8-ed3c55bf8a2d" TargetMode="External"/><Relationship Id="rId725" Type="http://schemas.openxmlformats.org/officeDocument/2006/relationships/hyperlink" Target="https://floodsupport.bangkok.go.th/api/data" TargetMode="External"/><Relationship Id="rId724" Type="http://schemas.openxmlformats.org/officeDocument/2006/relationships/hyperlink" Target="https://maps.app.goo.gl/eBpYKnPhwVJQwCnJ9" TargetMode="External"/><Relationship Id="rId69" Type="http://schemas.openxmlformats.org/officeDocument/2006/relationships/hyperlink" Target="https://maps.app.goo.gl/LGP2bB2gYZpDtrXA6" TargetMode="External"/><Relationship Id="rId51" Type="http://schemas.openxmlformats.org/officeDocument/2006/relationships/hyperlink" Target="https://maps.app.goo.gl/nBCZSBqzt99h7gz78" TargetMode="External"/><Relationship Id="rId50" Type="http://schemas.openxmlformats.org/officeDocument/2006/relationships/hyperlink" Target="https://www.google.com/maps/place/%E0%B9%82%E0%B8%A3%E0%B8%87%E0%B9%80%E0%B8%A3%E0%B8%B5%E0%B8%A2%E0%B8%99%E0%B8%81%E0%B8%A5%E0%B8%B2%E0%B8%87%E0%B8%84%E0%B8%A5%E0%B8%AD%E0%B8%87%E0%B8%AA%E0%B8%AD%E0%B8%87/@13.8605365,100.6953645,941m/data=!3m1!1e3!4m6!3m5!1s0x311d6352877d3347:0xed6a7e78e68fa376!8m2!3d13.8623825!4d100.6991111!16s%2Fg%2F1w_vkrfm?entry=tts&amp;g_ep=EgoyMDI2MDkyMy4wIPu8ASoASAFQAw%3D%3D&amp;skid=5182a855-5ce6-4c2e-acae-a1c9f2a4e9f4" TargetMode="External"/><Relationship Id="rId53" Type="http://schemas.openxmlformats.org/officeDocument/2006/relationships/hyperlink" Target="https://www.google.com/maps/place/%E0%B9%82%E0%B8%A3%E0%B8%87%E0%B9%80%E0%B8%A3%E0%B8%B5%E0%B8%A2%E0%B8%99%E0%B8%9A%E0%B8%B2%E0%B8%87%E0%B8%8A%E0%B8%B1%E0%B8%99+(%E0%B8%9B%E0%B8%A5%E0%B8%B7%E0%B9%89%E0%B8%A1%E0%B8%A7%E0%B8%B4%E0%B8%97%E0%B8%A2%E0%B8%B2%E0%B8%99%E0%B8%B8%E0%B8%AA%E0%B8%A3%E0%B8%93%E0%B9%8C)/@13.8364841,100.6678055,7525m/data=!3m1!1e3!4m6!3m5!1s0x311d640881259f41:0xe874070dd2c82570!8m2!3d13.817645!4d100.6988714!16s%2Fg%2F1hc0w10t2?entry=tts&amp;g_ep=EgoyMDI2MDkyMy4wIPu8ASoASAFQAw%3D%3D&amp;skid=856ba570-ed93-4151-addd-f2ead7121e36" TargetMode="External"/><Relationship Id="rId52" Type="http://schemas.openxmlformats.org/officeDocument/2006/relationships/hyperlink" Target="https://floodsupport.bangkok.go.th/api/data" TargetMode="External"/><Relationship Id="rId55" Type="http://schemas.openxmlformats.org/officeDocument/2006/relationships/hyperlink" Target="https://floodsupport.bangkok.go.th/api/data" TargetMode="External"/><Relationship Id="rId54" Type="http://schemas.openxmlformats.org/officeDocument/2006/relationships/hyperlink" Target="https://maps.app.goo.gl/NPNrxXVpuTxvC1Ub7" TargetMode="External"/><Relationship Id="rId57" Type="http://schemas.openxmlformats.org/officeDocument/2006/relationships/hyperlink" Target="https://maps.app.goo.gl/e5K8XirFF2VvePLEA" TargetMode="External"/><Relationship Id="rId56" Type="http://schemas.openxmlformats.org/officeDocument/2006/relationships/hyperlink" Target="https://www.google.com/maps/place/%E0%B9%82%E0%B8%A3%E0%B8%87%E0%B9%80%E0%B8%A3%E0%B8%B5%E0%B8%A2%E0%B8%99%E0%B8%9A%E0%B9%89%E0%B8%B2%E0%B8%99%E0%B8%AB%E0%B8%99%E0%B8%AD%E0%B8%87%E0%B8%A3%E0%B8%B0%E0%B9%81%E0%B8%AB%E0%B8%87+(%E0%B8%8A%E0%B8%A1%E0%B9%81%E0%B8%AA%E0%B8%87%E0%B8%9B%E0%B8%A3%E0%B8%B0%E0%B8%8A%E0%B8%B2%E0%B8%99%E0%B8%B8%E0%B8%81%E0%B8%B9%E0%B8%A5)+%E0%B8%AA%E0%B8%B1%E0%B8%87%E0%B8%81%E0%B8%B1%E0%B8%94%E0%B8%81%E0%B8%A3%E0%B8%B8%E0%B8%87%E0%B9%80%E0%B8%97%E0%B8%9E%E0%B8%A1%E0%B8%AB%E0%B8%B2%E0%B8%99%E0%B8%84%E0%B8%A3/@13.8771447,100.6681371,7523m/data=!3m1!1e3!4m6!3m5!1s0x311d7c8da4db82f9:0xb7a27ce8bfcd0f8a!8m2!3d13.9012456!4d100.6913492!16s%2Fg%2F11bwhb7047?entry=tts&amp;g_ep=EgoyMDI2MDkyMy4wIPu8ASoASAFQAw%3D%3D&amp;skid=2a4a21da-93ac-44ee-a8ed-6da24899c9e6" TargetMode="External"/><Relationship Id="rId719" Type="http://schemas.openxmlformats.org/officeDocument/2006/relationships/hyperlink" Target="https://floodsupport.bangkok.go.th/api/data" TargetMode="External"/><Relationship Id="rId718" Type="http://schemas.openxmlformats.org/officeDocument/2006/relationships/hyperlink" Target="https://maps.app.goo.gl/otZNDMvU88uB8ZwPA" TargetMode="External"/><Relationship Id="rId717" Type="http://schemas.openxmlformats.org/officeDocument/2006/relationships/hyperlink" Target="https://www.google.com/maps/place/%E0%B9%82%E0%B8%A3%E0%B8%87%E0%B9%80%E0%B8%A3%E0%B8%B5%E0%B8%A2%E0%B8%99%E0%B8%A7%E0%B8%B1%E0%B8%94%E0%B8%9E%E0%B8%A3%E0%B8%B0%E0%B8%A2%E0%B8%B2%E0%B8%9B%E0%B8%A5%E0%B8%B2/@13.9163291,100.8617614,17z/data=!4m7!3m6!1s0x311d710dee3023dd:0xc984b6e0b6104959!8m2!3d13.9135041!4d100.8634692!15sCjnguYLguKPguIfguYDguKPguLXguKLguJnguKfguLHguJTguJ7guKPguLDguKLguLLguJvguKXguLKSARhnZW5lcmFsX2VkdWNhdGlvbl9zY2hvb2zgAQA!16s%2Fg%2F1wfvk3q6?entry=tts&amp;g_ep=EgoyMDI2MDkyMy4wIPu8ASoASAFQAw%3D%3D&amp;skid=20ce7941-ca76-4a4e-86fd-ac8786f64866" TargetMode="External"/><Relationship Id="rId712" Type="http://schemas.openxmlformats.org/officeDocument/2006/relationships/hyperlink" Target="https://maps.app.goo.gl/7FLVy8SLuAA1AHTc6" TargetMode="External"/><Relationship Id="rId711" Type="http://schemas.openxmlformats.org/officeDocument/2006/relationships/hyperlink" Target="https://www.google.com/maps/place/%E0%B9%82%E0%B8%A3%E0%B8%87%E0%B9%80%E0%B8%A3%E0%B8%B5%E0%B8%A2%E0%B8%99%E0%B8%A5%E0%B8%B3%E0%B9%80%E0%B8%88%E0%B8%94%E0%B8%B5%E0%B8%A2%E0%B9%8C/@13.8782963,100.8174636,17z/data=!3m1!4b1!4m6!3m5!1s0x311d7015b3b4227b:0x338c82b6031d7596!8m2!3d13.8782963!4d100.8200385!16s%2Fg%2F1tgw7clj?entry=tts&amp;g_ep=EgoyMDI2MDkyMy4wIPu8ASoASAFQAw%3D%3D&amp;skid=07894a9f-1300-4d56-9c73-934340e98f30" TargetMode="External"/><Relationship Id="rId710" Type="http://schemas.openxmlformats.org/officeDocument/2006/relationships/hyperlink" Target="https://floodsupport.bangkok.go.th/api/data" TargetMode="External"/><Relationship Id="rId716" Type="http://schemas.openxmlformats.org/officeDocument/2006/relationships/hyperlink" Target="https://floodsupport.bangkok.go.th/api/data" TargetMode="External"/><Relationship Id="rId715" Type="http://schemas.openxmlformats.org/officeDocument/2006/relationships/hyperlink" Target="https://maps.app.goo.gl/ozUtE4zfnF6sSJfm8" TargetMode="External"/><Relationship Id="rId714" Type="http://schemas.openxmlformats.org/officeDocument/2006/relationships/hyperlink" Target="https://www.google.com/maps/place/%E0%B9%82%E0%B8%A3%E0%B8%87%E0%B9%80%E0%B8%A3%E0%B8%B5%E0%B8%A2%E0%B8%99+%E0%B8%A7%E0%B8%B1%E0%B8%94%E0%B8%97%E0%B8%A3%E0%B8%B1%E0%B8%9E%E0%B8%A2%E0%B9%8C%E0%B8%AA%E0%B9%82%E0%B8%A1%E0%B8%AA%E0%B8%A3/@13.8503373,100.8013368,17z/data=!3m1!4b1!4m6!3m5!1s0x311d6f78b5713159:0x6f64a755c27eb64d!8m2!3d13.8503321!4d100.8039171!16s%2Fg%2F1hc17l0xc?entry=tts&amp;g_ep=EgoyMDI2MDkyMy4wIPu8ASoASAFQAw%3D%3D&amp;skid=7a578a8d-f02b-4a30-a40e-db9f9d06593d" TargetMode="External"/><Relationship Id="rId713" Type="http://schemas.openxmlformats.org/officeDocument/2006/relationships/hyperlink" Target="https://floodsupport.bangkok.go.th/api/data" TargetMode="External"/><Relationship Id="rId59" Type="http://schemas.openxmlformats.org/officeDocument/2006/relationships/hyperlink" Target="https://www.google.com/maps/place/%E0%B9%82%E0%B8%A3%E0%B8%87%E0%B9%80%E0%B8%A3%E0%B8%B5%E0%B8%A2%E0%B8%99%E0%B8%9A%E0%B9%89%E0%B8%B2%E0%B8%99%E0%B9%81%E0%B8%9A%E0%B8%99%E0%B8%8A%E0%B8%B0%E0%B9%82%E0%B8%94+(%E0%B9%80%E0%B8%AA%E0%B8%B5%E0%B8%A2%E0%B8%87+%E0%B8%A7%E0%B8%B4%E0%B8%91%E0%B8%B9%E0%B8%A3%E0%B8%8A%E0%B8%B2%E0%B8%95%E0%B8%B4+%E0%B8%AD%E0%B8%B8%E0%B8%9B%E0%B8%96%E0%B8%B1%E0%B8%A1%E0%B8%A0%E0%B9%8C)/@13.8490879,100.7238859,7524m/data=!3m1!1e3!4m6!3m5!1s0x311d7b128c85f4f5:0xf98d11c7254fce58!8m2!3d13.8765664!4d100.7836207!16s%2Fg%2F11h60drc31?entry=tts&amp;g_ep=EgoyMDI2MDkyMy4wIPu8ASoASAFQAw%3D%3D&amp;skid=dd20f2b0-c0a5-4645-b93c-fe15002d836a" TargetMode="External"/><Relationship Id="rId58" Type="http://schemas.openxmlformats.org/officeDocument/2006/relationships/hyperlink" Target="https://floodsupport.bangkok.go.th/api/data" TargetMode="External"/><Relationship Id="rId590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" TargetMode="External"/><Relationship Id="rId107" Type="http://schemas.openxmlformats.org/officeDocument/2006/relationships/hyperlink" Target="https://www.google.com/maps/place/%E0%B9%82%E0%B8%A3%E0%B8%87%E0%B9%80%E0%B8%A3%E0%B8%B5%E0%B8%A2%E0%B8%99%E0%B8%A7%E0%B8%B1%E0%B8%94%E0%B8%84%E0%B8%A5%E0%B8%AD%E0%B8%87%E0%B9%80%E0%B8%95%E0%B8%A2/@13.7101051,100.558304,17z/data=!3m1!4b1!4m6!3m5!1s0x30e29f6d2ba13bf7:0x56bada636901c42c!8m2!3d13.7100999!4d100.5608789!16s%2Fg%2F1pzt2d_32?authuser=0&amp;entry=tts&amp;g_ep=EgoyMDI2MDkyMy4wIPu8ASoASAFQAw%3D%3D&amp;skid=dc530755-6bc6-4029-8db2-539adb889436" TargetMode="External"/><Relationship Id="rId349" Type="http://schemas.openxmlformats.org/officeDocument/2006/relationships/hyperlink" Target="https://floodsupport.bangkok.go.th/api/data" TargetMode="External"/><Relationship Id="rId106" Type="http://schemas.openxmlformats.org/officeDocument/2006/relationships/hyperlink" Target="https://floodsupport.bangkok.go.th/api/data" TargetMode="External"/><Relationship Id="rId348" Type="http://schemas.openxmlformats.org/officeDocument/2006/relationships/hyperlink" Target="https://maps.app.goo.gl/vjb5VHhVZDzquQoaA?g_st=ic" TargetMode="External"/><Relationship Id="rId105" Type="http://schemas.openxmlformats.org/officeDocument/2006/relationships/hyperlink" Target="https://maps.app.goo.gl/jwrVMbihue7cBwyc9" TargetMode="External"/><Relationship Id="rId347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89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" TargetMode="External"/><Relationship Id="rId104" Type="http://schemas.openxmlformats.org/officeDocument/2006/relationships/hyperlink" Target="https://www.google.com/maps/place/%E0%B9%82%E0%B8%A3%E0%B8%87%E0%B9%80%E0%B8%A3%E0%B8%B5%E0%B8%A2%E0%B8%99%E0%B8%8A%E0%B8%B8%E0%B8%A1%E0%B8%8A%E0%B8%99%E0%B8%AB%E0%B8%A1%E0%B8%B9%E0%B9%88%E0%B8%9A%E0%B9%89%E0%B8%B2%E0%B8%99%E0%B8%9E%E0%B8%B1%E0%B8%92%E0%B8%99%E0%B8%B2/@13.7106539,100.5785415,16.21z/data=!4m6!3m5!1s0x30e29fa00c05f663:0xef90af05a08c2246!8m2!3d13.711051!4d100.5750891!16s%2Fg%2F1tlbllsv?authuser=0&amp;entry=tts&amp;g_ep=EgoyMDI2MDkyMy4wIPu8ASoASAFQAw%3D%3D&amp;skid=a4df6c88-9362-4eeb-8a2a-e449fd49bae7" TargetMode="External"/><Relationship Id="rId346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" TargetMode="External"/><Relationship Id="rId588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r55JR0Kd4jAR7MifFk9edTU" TargetMode="External"/><Relationship Id="rId109" Type="http://schemas.openxmlformats.org/officeDocument/2006/relationships/hyperlink" Target="https://floodsupport.bangkok.go.th/api/data" TargetMode="External"/><Relationship Id="rId108" Type="http://schemas.openxmlformats.org/officeDocument/2006/relationships/hyperlink" Target="https://maps.app.goo.gl/tVhTK4ccvJiKbV8E6" TargetMode="External"/><Relationship Id="rId341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" TargetMode="External"/><Relationship Id="rId583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" TargetMode="External"/><Relationship Id="rId340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&amp;query_place_id=ChIJvXzNpUWY4jARe5QXzS7Gf98" TargetMode="External"/><Relationship Id="rId582" Type="http://schemas.openxmlformats.org/officeDocument/2006/relationships/hyperlink" Target="https://floodsupport.bangkok.go.th/api/data" TargetMode="External"/><Relationship Id="rId581" Type="http://schemas.openxmlformats.org/officeDocument/2006/relationships/hyperlink" Target="https://maps.app.goo.gl/Jywq7HkmQXnKJK138?g_st=ic" TargetMode="External"/><Relationship Id="rId580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" TargetMode="External"/><Relationship Id="rId103" Type="http://schemas.openxmlformats.org/officeDocument/2006/relationships/hyperlink" Target="https://floodsupport.bangkok.go.th/api/data" TargetMode="External"/><Relationship Id="rId345" Type="http://schemas.openxmlformats.org/officeDocument/2006/relationships/hyperlink" Target="https://www.google.com/maps/search/?api=1&amp;query=%E0%B9%82%E0%B8%A3%E0%B8%87%E0%B9%80%E0%B8%A3%E0%B8%B5%E0%B8%A2%E0%B8%99%E0%B8%A7%E0%B8%B1%E0%B8%94%E0%B8%A3%E0%B8%B2%E0%B8%8A%E0%B8%AA%E0%B8%B4%E0%B8%97%E0%B8%98%E0%B8%B2%E0%B8%A3%E0%B8%B2%E0%B8%A1%20%E0%B9%80%E0%B8%82%E0%B8%95%E0%B8%9A%E0%B8%B2%E0%B8%87%E0%B8%81%E0%B8%AD%E0%B8%81%E0%B9%83%E0%B8%AB%E0%B8%8D%E0%B9%88%20%E0%B8%81%E0%B8%A3%E0%B8%B8%E0%B8%87%E0%B9%80%E0%B8%97%E0%B8%9E%E0%B8%A1%E0%B8%AB%E0%B8%B2%E0%B8%99%E0%B8%84%E0%B8%A3&amp;query_place_id=ChIJn2rY8_-Y4jAR5XMZgycbjiw" TargetMode="External"/><Relationship Id="rId587" Type="http://schemas.openxmlformats.org/officeDocument/2006/relationships/hyperlink" Target="https://floodsupport.bangkok.go.th/api/data" TargetMode="External"/><Relationship Id="rId102" Type="http://schemas.openxmlformats.org/officeDocument/2006/relationships/hyperlink" Target="https://maps.app.goo.gl/jAyqFyEuV7L5Zxmg8" TargetMode="External"/><Relationship Id="rId344" Type="http://schemas.openxmlformats.org/officeDocument/2006/relationships/hyperlink" Target="https://floodsupport.bangkok.go.th/api/data" TargetMode="External"/><Relationship Id="rId586" Type="http://schemas.openxmlformats.org/officeDocument/2006/relationships/hyperlink" Target="https://maps.app.goo.gl/J9amCBHo4EGiZb7D9?g_st=ic" TargetMode="External"/><Relationship Id="rId101" Type="http://schemas.openxmlformats.org/officeDocument/2006/relationships/hyperlink" Target="https://www.google.com/maps/place/%E0%B9%82%E0%B8%A3%E0%B8%87%E0%B9%80%E0%B8%A3%E0%B8%B5%E0%B8%A2%E0%B8%99%E0%B8%AA%E0%B8%B8%E0%B9%80%E0%B8%AB%E0%B8%A3%E0%B9%88%E0%B8%B2%E0%B9%81%E0%B8%AA%E0%B8%99%E0%B9%81%E0%B8%AA%E0%B8%9A/@13.8417297,100.7028949,7525m/data=!3m1!1e3!4m6!3m5!1s0x311d64e04cc3302b:0x2ccd7998ceece860!8m2!3d13.8253398!4d100.7516658!16s%2Fg%2F1hc4s4yx5?entry=tts&amp;g_ep=EgoyMDI2MDkyMy4wIPu8ASoASAFQAw%3D%3D&amp;skid=d02e1df4-a8d7-4cfb-b6fd-5c8d7a6c2598" TargetMode="External"/><Relationship Id="rId343" Type="http://schemas.openxmlformats.org/officeDocument/2006/relationships/hyperlink" Target="https://maps.app.goo.gl/m6iri1jNpHM3K1Y59?g_st=ic" TargetMode="External"/><Relationship Id="rId585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" TargetMode="External"/><Relationship Id="rId100" Type="http://schemas.openxmlformats.org/officeDocument/2006/relationships/hyperlink" Target="https://floodsupport.bangkok.go.th/api/data" TargetMode="External"/><Relationship Id="rId342" Type="http://schemas.openxmlformats.org/officeDocument/2006/relationships/hyperlink" Target="https://www.google.com/maps/search/?api=1&amp;query=%E0%B9%82%E0%B8%A3%E0%B8%87%E0%B9%80%E0%B8%A3%E0%B8%B5%E0%B8%A2%E0%B8%99%E0%B8%A7%E0%B8%B1%E0%B8%94%E0%B8%9B%E0%B8%A3%E0%B8%B0%E0%B8%94%E0%B8%B9%E0%B9%88%E0%B8%89%E0%B8%B4%E0%B8%A1%E0%B8%9E%E0%B8%A5%E0%B8%B5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84" Type="http://schemas.openxmlformats.org/officeDocument/2006/relationships/hyperlink" Target="https://www.google.com/maps/search/?api=1&amp;query=%E0%B9%82%E0%B8%A3%E0%B8%87%E0%B9%80%E0%B8%A3%E0%B8%B5%E0%B8%A2%E0%B8%99%E0%B8%A5%E0%B8%AD%E0%B8%A2%E0%B8%AA%E0%B8%B2%E0%B8%A2%E0%B8%AD%E0%B8%99%E0%B8%B8%E0%B8%AA%E0%B8%A3%E0%B8%93%E0%B9%8C%20%E0%B9%80%E0%B8%82%E0%B8%95%E0%B8%A5%E0%B8%B2%E0%B8%94%E0%B8%9E%E0%B8%A3%E0%B9%89%E0%B8%B2%E0%B8%A7%20%E0%B8%81%E0%B8%A3%E0%B8%B8%E0%B8%87%E0%B9%80%E0%B8%97%E0%B8%9E%E0%B8%A1%E0%B8%AB%E0%B8%B2%E0%B8%99%E0%B8%84%E0%B8%A3&amp;query_place_id=ChIJwdvLLLxiHTER7j42UrtwZzw" TargetMode="External"/><Relationship Id="rId338" Type="http://schemas.openxmlformats.org/officeDocument/2006/relationships/hyperlink" Target="https://maps.app.goo.gl/TkZ7VX2z2eMBVS8a9?g_st=ic" TargetMode="External"/><Relationship Id="rId337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79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" TargetMode="External"/><Relationship Id="rId336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" TargetMode="External"/><Relationship Id="rId578" Type="http://schemas.openxmlformats.org/officeDocument/2006/relationships/hyperlink" Target="https://www.google.com/maps/search/?api=1&amp;query=%E0%B9%82%E0%B8%A3%E0%B8%87%E0%B9%80%E0%B8%A3%E0%B8%B5%E0%B8%A2%E0%B8%99%E0%B8%84%E0%B8%A5%E0%B8%AD%E0%B8%87%E0%B8%97%E0%B8%A3%E0%B8%87%E0%B8%81%E0%B8%A3%E0%B8%B0%E0%B9%80%E0%B8%97%E0%B8%B5%E0%B8%A2%E0%B8%A1%20%E0%B9%80%E0%B8%82%E0%B8%95%E0%B8%A5%E0%B8%B2%E0%B8%94%E0%B8%9E%E0%B8%A3%E0%B9%89%E0%B8%B2%E0%B8%A7%20%E0%B8%81%E0%B8%A3%E0%B8%B8%E0%B8%87%E0%B9%80%E0%B8%97%E0%B8%9E%E0%B8%A1%E0%B8%AB%E0%B8%B2%E0%B8%99%E0%B8%84%E0%B8%A3&amp;query_place_id=ChIJCWrOvoyd4jARLzmqfpLCH08" TargetMode="External"/><Relationship Id="rId335" Type="http://schemas.openxmlformats.org/officeDocument/2006/relationships/hyperlink" Target="https://www.google.com/maps/search/?api=1&amp;query=%E0%B9%82%E0%B8%A3%E0%B8%87%E0%B9%80%E0%B8%A3%E0%B8%B5%E0%B8%A2%E0%B8%99%E0%B8%A7%E0%B8%B1%E0%B8%94%E0%B8%97%E0%B9%88%E0%B8%B2%E0%B8%9E%E0%B8%A3%E0%B8%B0%20%E0%B9%80%E0%B8%82%E0%B8%95%E0%B8%9A%E0%B8%B2%E0%B8%87%E0%B8%81%E0%B8%AD%E0%B8%81%E0%B9%83%E0%B8%AB%E0%B8%8D%E0%B9%88%20%E0%B8%81%E0%B8%A3%E0%B8%B8%E0%B8%87%E0%B9%80%E0%B8%97%E0%B8%9E%E0%B8%A1%E0%B8%AB%E0%B8%B2%E0%B8%99%E0%B8%84%E0%B8%A3&amp;query_place_id=ChIJ08FRj02Y4jARX1lUzHofCGc" TargetMode="External"/><Relationship Id="rId577" Type="http://schemas.openxmlformats.org/officeDocument/2006/relationships/hyperlink" Target="https://floodsupport.bangkok.go.th/api/data" TargetMode="External"/><Relationship Id="rId339" Type="http://schemas.openxmlformats.org/officeDocument/2006/relationships/hyperlink" Target="https://floodsupport.bangkok.go.th/api/data" TargetMode="External"/><Relationship Id="rId330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" TargetMode="External"/><Relationship Id="rId572" Type="http://schemas.openxmlformats.org/officeDocument/2006/relationships/hyperlink" Target="https://floodsupport.bangkok.go.th/api/data" TargetMode="External"/><Relationship Id="rId571" Type="http://schemas.openxmlformats.org/officeDocument/2006/relationships/hyperlink" Target="https://maps.app.goo.gl/ymnZgx6HL271GUmk8?g_st=ic" TargetMode="External"/><Relationship Id="rId570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" TargetMode="External"/><Relationship Id="rId334" Type="http://schemas.openxmlformats.org/officeDocument/2006/relationships/hyperlink" Target="https://floodsupport.bangkok.go.th/api/data" TargetMode="External"/><Relationship Id="rId576" Type="http://schemas.openxmlformats.org/officeDocument/2006/relationships/hyperlink" Target="https://maps.app.goo.gl/dLXBqTQrZMLGU7Nh8?g_st=ic" TargetMode="External"/><Relationship Id="rId333" Type="http://schemas.openxmlformats.org/officeDocument/2006/relationships/hyperlink" Target="https://maps.app.goo.gl/QfgRkEdmLnXMaYze7?g_st=ic" TargetMode="External"/><Relationship Id="rId575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" TargetMode="External"/><Relationship Id="rId332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" TargetMode="External"/><Relationship Id="rId574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" TargetMode="External"/><Relationship Id="rId331" Type="http://schemas.openxmlformats.org/officeDocument/2006/relationships/hyperlink" Target="https://www.google.com/maps/search/?api=1&amp;query=%E0%B9%82%E0%B8%A3%E0%B8%87%E0%B9%80%E0%B8%A3%E0%B8%B5%E0%B8%A2%E0%B8%99%E0%B8%A7%E0%B8%B1%E0%B8%94%E0%B8%94%E0%B8%B5%E0%B8%94%E0%B8%A7%E0%B8%94%20%E0%B9%80%E0%B8%82%E0%B8%95%E0%B8%9A%E0%B8%B2%E0%B8%87%E0%B8%81%E0%B8%AD%E0%B8%81%E0%B9%83%E0%B8%AB%E0%B8%8D%E0%B9%88%20%E0%B8%81%E0%B8%A3%E0%B8%B8%E0%B8%87%E0%B9%80%E0%B8%97%E0%B8%9E%E0%B8%A1%E0%B8%AB%E0%B8%B2%E0%B8%99%E0%B8%84%E0%B8%A3&amp;query_place_id=ChIJp-4tYaWZ4jARbAfRK6fY-3Q" TargetMode="External"/><Relationship Id="rId573" Type="http://schemas.openxmlformats.org/officeDocument/2006/relationships/hyperlink" Target="https://www.google.com/maps/search/?api=1&amp;query=%E0%B8%A8%E0%B8%B9%E0%B8%99%E0%B8%A2%E0%B9%8C%E0%B8%AA%E0%B9%88%E0%B8%87%E0%B9%80%E0%B8%AA%E0%B8%A3%E0%B8%B4%E0%B8%A1%E0%B8%81%E0%B8%B2%E0%B8%A3%E0%B9%80%E0%B8%A3%E0%B8%B5%E0%B8%A2%E0%B8%99%E0%B8%A3%E0%B8%B9%E0%B9%89%E0%B8%A3%E0%B8%B0%E0%B8%94%E0%B8%B1%E0%B8%9A%E0%B9%80%E0%B8%82%E0%B8%95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RcPKdUmd4jARxYu3c2OVbW4" TargetMode="External"/><Relationship Id="rId370" Type="http://schemas.openxmlformats.org/officeDocument/2006/relationships/hyperlink" Target="https://www.google.com/maps/search/?api=1&amp;query=%E0%B8%A8%E0%B8%B9%E0%B8%99%E0%B8%A2%E0%B9%8C%E0%B8%9E%E0%B8%B1%E0%B8%92%E0%B8%99%E0%B8%B2%E0%B9%80%E0%B8%94%E0%B9%87%E0%B8%81%E0%B9%80%E0%B8%A5%E0%B9%87%E0%B8%81%E0%B8%8A%E0%B8%B8%E0%B8%A1%E0%B8%8A%E0%B8%99%E0%B8%AB%E0%B8%B1%E0%B8%A7%E0%B8%88%E0%B8%B1%E0%B8%81%E0%B8%A3%E0%B8%A3%E0%B8%96%E0%B9%84%E0%B8%9F%E0%B8%95%E0%B8%B6%E0%B8%81%E0%B9%81%E0%B8%94%E0%B8%87%20%E0%B9%80%E0%B8%82%E0%B8%95%E0%B8%9A%E0%B8%B2%E0%B8%87%E0%B8%8B%E0%B8%B7%E0%B9%88%E0%B8%AD%20%E0%B8%81%E0%B8%A3%E0%B8%B8%E0%B8%87%E0%B9%80%E0%B8%97%E0%B8%9E%E0%B8%A1%E0%B8%AB%E0%B8%B2%E0%B8%99%E0%B8%84%E0%B8%A3&amp;query_place_id=ChIJX5dpCoGb4jARUE_iXbIAAQM" TargetMode="External"/><Relationship Id="rId129" Type="http://schemas.openxmlformats.org/officeDocument/2006/relationships/hyperlink" Target="https://www.google.com/maps/search/?api=1&amp;query=%E0%B9%82%E0%B8%A3%E0%B8%87%E0%B9%80%E0%B8%A3%E0%B8%B5%E0%B8%A2%E0%B8%99%E0%B8%9A%E0%B9%89%E0%B8%B2%E0%B8%99%E0%B8%A5%E0%B8%B2%E0%B8%94%E0%B8%9E%E0%B8%A3%E0%B9%89%E0%B8%B2%E0%B8%A7%20%E0%B9%80%E0%B8%82%E0%B8%95%E0%B8%88%E0%B8%95%E0%B8%B8%E0%B8%88%E0%B8%B1%E0%B8%81%E0%B8%A3%20%E0%B8%81%E0%B8%A3%E0%B8%B8%E0%B8%87%E0%B9%80%E0%B8%97%E0%B8%9E%E0%B8%A1%E0%B8%AB%E0%B8%B2%E0%B8%99%E0%B8%84%E0%B8%A3&amp;query_place_id=ChIJ-UZ_tLmd4jAR7id4i6fnbsI" TargetMode="External"/><Relationship Id="rId128" Type="http://schemas.openxmlformats.org/officeDocument/2006/relationships/hyperlink" Target="https://floodsupport.bangkok.go.th/api/data" TargetMode="External"/><Relationship Id="rId127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" TargetMode="External"/><Relationship Id="rId369" Type="http://schemas.openxmlformats.org/officeDocument/2006/relationships/hyperlink" Target="https://floodsupport.bangkok.go.th/api/data" TargetMode="External"/><Relationship Id="rId126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" TargetMode="External"/><Relationship Id="rId368" Type="http://schemas.openxmlformats.org/officeDocument/2006/relationships/hyperlink" Target="https://www.google.com/maps/place/%E0%B9%82%E0%B8%A3%E0%B8%87%E0%B9%80%E0%B8%A3%E0%B8%B5%E0%B8%A2%E0%B8%99%E0%B8%A7%E0%B8%B1%E0%B8%94%E0%B9%84%E0%B8%9C%E0%B9%88%E0%B9%80%E0%B8%87%E0%B8%B4%E0%B8%99%E0%B9%82%E0%B8%8A%E0%B8%95%E0%B8%99%E0%B8%B2%E0%B8%A3%E0%B8%B2%E0%B8%A1/@13.7006436,100.5185149,2010m/data=!3m1!1e3!4m6!3m5!1s0x30e298b1fadce243:0xd2f029fa0d6fc1c!8m2!3d13.7014667!4d100.5235324!16s%2Fg%2F1tfm8p6w?authuser=0&amp;entry=tts&amp;g_ep=EgoyMDI2MDkyMy4wIPu8ASoASAFQAw%3D%3D&amp;skid=bbd71869-1ea3-4ec8-b0ef-5435845087d0" TargetMode="External"/><Relationship Id="rId121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" TargetMode="External"/><Relationship Id="rId363" Type="http://schemas.openxmlformats.org/officeDocument/2006/relationships/hyperlink" Target="https://maps.app.goo.gl/L8Qb3jKSofWqtdEW7" TargetMode="External"/><Relationship Id="rId120" Type="http://schemas.openxmlformats.org/officeDocument/2006/relationships/hyperlink" Target="https://floodsupport.bangkok.go.th/api/data" TargetMode="External"/><Relationship Id="rId362" Type="http://schemas.openxmlformats.org/officeDocument/2006/relationships/hyperlink" Target="https://www.google.com/maps/place/%E0%B9%82%E0%B8%A3%E0%B8%87%E0%B9%80%E0%B8%A3%E0%B8%B5%E0%B8%A2%E0%B8%99%E0%B8%A7%E0%B8%B1%E0%B8%94%E0%B8%A3%E0%B8%B2%E0%B8%8A%E0%B8%AA%E0%B8%B4%E0%B8%87%E0%B8%82%E0%B8%A3/@13.7050603,100.5043929,218m/data=!3m1!1e3!4m6!3m5!1s0x30e29896469e4c7d:0xc235e7191ff0dc5!8m2!3d13.7053294!4d100.5050592!16s%2Fg%2F1hm55d_k6?authuser=0&amp;entry=tts&amp;g_ep=EgoyMDI2MDkyMy4wIPu8ASoASAFQAw%3D%3D&amp;skid=d55ee233-9d40-4e89-94de-98e594bb0023" TargetMode="External"/><Relationship Id="rId361" Type="http://schemas.openxmlformats.org/officeDocument/2006/relationships/hyperlink" Target="https://floodsupport.bangkok.go.th/api/data" TargetMode="External"/><Relationship Id="rId360" Type="http://schemas.openxmlformats.org/officeDocument/2006/relationships/hyperlink" Target="https://maps.app.goo.gl/8MYDXsxmTYD5W7aQ8" TargetMode="External"/><Relationship Id="rId125" Type="http://schemas.openxmlformats.org/officeDocument/2006/relationships/hyperlink" Target="https://www.google.com/maps/search/?api=1&amp;query=%E0%B8%A7%E0%B8%B1%E0%B8%94%E0%B9%80%E0%B8%97%E0%B8%A7%E0%B8%AA%E0%B8%B8%E0%B8%99%E0%B8%97%E0%B8%A3%20%E0%B9%80%E0%B8%82%E0%B8%95%E0%B8%88%E0%B8%95%E0%B8%B8%E0%B8%88%E0%B8%B1%E0%B8%81%E0%B8%A3%20%E0%B8%81%E0%B8%A3%E0%B8%B8%E0%B8%87%E0%B9%80%E0%B8%97%E0%B8%9E%E0%B8%A1%E0%B8%AB%E0%B8%B2%E0%B8%99%E0%B8%84%E0%B8%A3&amp;query_place_id=ChIJ40zku8Sc4jARb8d4ucY8494" TargetMode="External"/><Relationship Id="rId367" Type="http://schemas.openxmlformats.org/officeDocument/2006/relationships/hyperlink" Target="https://floodsupport.bangkok.go.th/api/data" TargetMode="External"/><Relationship Id="rId124" Type="http://schemas.openxmlformats.org/officeDocument/2006/relationships/hyperlink" Target="https://floodsupport.bangkok.go.th/api/data" TargetMode="External"/><Relationship Id="rId366" Type="http://schemas.openxmlformats.org/officeDocument/2006/relationships/hyperlink" Target="https://maps.app.goo.gl/723UTJHmMcsdKXH88" TargetMode="External"/><Relationship Id="rId123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" TargetMode="External"/><Relationship Id="rId365" Type="http://schemas.openxmlformats.org/officeDocument/2006/relationships/hyperlink" Target="https://www.google.com/maps/place/%E0%B9%82%E0%B8%A3%E0%B8%87%E0%B9%80%E0%B8%A3%E0%B8%B5%E0%B8%A2%E0%B8%99%E0%B8%A7%E0%B8%B1%E0%B8%94%E0%B8%A5%E0%B8%B2%E0%B8%94%E0%B8%9A%E0%B8%B1%E0%B8%A7%E0%B8%82%E0%B8%B2%E0%B8%A7/@13.6991742,100.4979646,460m/data=!3m1!1e3!4m6!3m5!1s0x30e2989abde16d3d:0x544f59eb79678a9d!8m2!3d13.7007609!4d100.4972479!16s%2Fg%2F1pyqvs66j?authuser=0&amp;entry=tts&amp;g_ep=EgoyMDI2MDkyMy4wIPu8ASoASAFQAw%3D%3D&amp;skid=8e56be63-6374-4ca7-b15e-939aa28737f6" TargetMode="External"/><Relationship Id="rId122" Type="http://schemas.openxmlformats.org/officeDocument/2006/relationships/hyperlink" Target="https://www.google.com/maps/search/?api=1&amp;query=%E0%B8%A3%E0%B8%B2%E0%B8%8A%E0%B8%A0%E0%B8%B1%E0%B8%8F%E0%B8%88%E0%B8%B1%E0%B8%99%E0%B8%97%E0%B8%A3%E0%B9%80%E0%B8%81%E0%B8%A9%E0%B8%A1%20%E0%B9%80%E0%B8%82%E0%B8%95%E0%B8%88%E0%B8%95%E0%B8%B8%E0%B8%88%E0%B8%B1%E0%B8%81%E0%B8%A3%20%E0%B8%81%E0%B8%A3%E0%B8%B8%E0%B8%87%E0%B9%80%E0%B8%97%E0%B8%9E%E0%B8%A1%E0%B8%AB%E0%B8%B2%E0%B8%99%E0%B8%84%E0%B8%A3&amp;query_place_id=ChIJ_b98oKud4jARsDILPbMAAQ8" TargetMode="External"/><Relationship Id="rId364" Type="http://schemas.openxmlformats.org/officeDocument/2006/relationships/hyperlink" Target="https://floodsupport.bangkok.go.th/api/data" TargetMode="External"/><Relationship Id="rId95" Type="http://schemas.openxmlformats.org/officeDocument/2006/relationships/hyperlink" Target="https://www.google.com/maps/place/%E0%B9%82%E0%B8%A3%E0%B8%87%E0%B9%80%E0%B8%A3%E0%B8%B5%E0%B8%A2%E0%B8%99+%E0%B8%AA%E0%B8%B8%E0%B9%80%E0%B8%AB%E0%B8%A3%E0%B9%88%E0%B8%B2+%E0%B8%AA%E0%B8%B2%E0%B8%A1%E0%B8%A7%E0%B8%B2/@13.8917634,100.6752495,7523m/data=!3m1!1e3!4m6!3m5!1s0x311d7b75ca23ebab:0xd39b39273fb09350!8m2!3d13.9064317!4d100.7268938!16s%2Fg%2F1tdql386?entry=tts&amp;g_ep=EgoyMDI2MDkyMy4wIPu8ASoASAFQAw%3D%3D&amp;skid=39447780-c4f3-455f-8c5f-cf8c4437758e" TargetMode="External"/><Relationship Id="rId94" Type="http://schemas.openxmlformats.org/officeDocument/2006/relationships/hyperlink" Target="https://floodsupport.bangkok.go.th/api/data" TargetMode="External"/><Relationship Id="rId97" Type="http://schemas.openxmlformats.org/officeDocument/2006/relationships/hyperlink" Target="https://floodsupport.bangkok.go.th/api/data" TargetMode="External"/><Relationship Id="rId96" Type="http://schemas.openxmlformats.org/officeDocument/2006/relationships/hyperlink" Target="https://maps.app.goo.gl/o48wqEwgiNCiHqzR7" TargetMode="External"/><Relationship Id="rId99" Type="http://schemas.openxmlformats.org/officeDocument/2006/relationships/hyperlink" Target="https://maps.app.goo.gl/U8DdrE3R6Piw5QpR9" TargetMode="External"/><Relationship Id="rId98" Type="http://schemas.openxmlformats.org/officeDocument/2006/relationships/hyperlink" Target="https://www.google.com/maps/place/%E0%B9%82%E0%B8%A3%E0%B8%87%E0%B9%80%E0%B8%A3%E0%B8%B5%E0%B8%A2%E0%B8%99%E0%B8%AA%E0%B8%B8%E0%B9%80%E0%B8%AB%E0%B8%A3%E0%B9%88%E0%B8%B2%E0%B9%80%E0%B8%81%E0%B8%B2%E0%B8%B0%E0%B8%82%E0%B8%B8%E0%B8%99%E0%B9%80%E0%B8%93%E0%B8%A3/@13.8455422,100.7224453,7525m/data=!3m1!1e3!4m6!3m5!1s0x311d651628a5ff6b:0xdb11c46b6cce6ed3!8m2!3d13.8552235!4d100.7860228!16s%2Fg%2F1hc21v5n6?entry=tts&amp;g_ep=EgoyMDI2MDkyMy4wIPu8ASoASAFQAw%3D%3D&amp;skid=e22d0863-4336-4d22-a0ef-000670cec018" TargetMode="External"/><Relationship Id="rId91" Type="http://schemas.openxmlformats.org/officeDocument/2006/relationships/hyperlink" Target="https://floodsupport.bangkok.go.th/api/data" TargetMode="External"/><Relationship Id="rId90" Type="http://schemas.openxmlformats.org/officeDocument/2006/relationships/hyperlink" Target="https://maps.app.goo.gl/jk5tBn8iGYDwRL8WA" TargetMode="External"/><Relationship Id="rId93" Type="http://schemas.openxmlformats.org/officeDocument/2006/relationships/hyperlink" Target="https://maps.app.goo.gl/twPo7QmdoBKLcEoA7" TargetMode="External"/><Relationship Id="rId92" Type="http://schemas.openxmlformats.org/officeDocument/2006/relationships/hyperlink" Target="https://www.google.com/maps/place/%E0%B9%82%E0%B8%A3%E0%B8%87%E0%B9%80%E0%B8%A3%E0%B8%B5%E0%B8%A2%E0%B8%99%E0%B8%AA%E0%B8%B8%E0%B9%80%E0%B8%AB%E0%B8%A3%E0%B9%88%E0%B8%B2%E0%B8%84%E0%B8%A5%E0%B8%AD%E0%B8%87%E0%B8%AB%E0%B8%99%E0%B8%B6%E0%B9%88%E0%B8%87+(%E0%B8%A1%E0%B8%B2%E0%B8%99%E0%B8%B0%E0%B8%A3%E0%B8%B2%E0%B8%A9%E0%B8%8E%E0%B8%A3%E0%B9%8C%E0%B8%9A%E0%B8%B3%E0%B8%A3%E0%B8%B8%E0%B8%87)/@13.8503703,100.691893,3762m/data=!3m1!1e3!4m6!3m5!1s0x311d64a012b57327:0xe435c0f47e47a83b!8m2!3d13.8424341!4d100.7111727!16s%2Fg%2F1pzprzj8f?entry=tts&amp;g_ep=EgoyMDI2MDkyMy4wIPu8ASoASAFQAw%3D%3D&amp;skid=560b7687-8931-41b4-8adb-6b21f7e78df0" TargetMode="External"/><Relationship Id="rId118" Type="http://schemas.openxmlformats.org/officeDocument/2006/relationships/hyperlink" Target="https://floodsupport.bangkok.go.th/api/data" TargetMode="External"/><Relationship Id="rId117" Type="http://schemas.openxmlformats.org/officeDocument/2006/relationships/hyperlink" Target="https://maps.app.goo.gl/wPVxWdJ9mRoZ4SeF7" TargetMode="External"/><Relationship Id="rId359" Type="http://schemas.openxmlformats.org/officeDocument/2006/relationships/hyperlink" Target="https://www.google.com/maps/place/%E0%B9%82%E0%B8%A3%E0%B8%87%E0%B9%80%E0%B8%A3%E0%B8%B5%E0%B8%A2%E0%B8%99%E0%B8%A7%E0%B8%B1%E0%B8%94%E0%B8%9A%E0%B8%B2%E0%B8%87%E0%B9%82%E0%B8%84%E0%B8%A5%E0%B9%88%E0%B8%99%E0%B8%AD%E0%B8%81/@13.6875465,100.5129841,240m/data=!3m1!1e3!4m6!3m5!1s0x30e2a20a2e5e0201:0x3eaa2658a586cce!8m2!3d13.6873307!4d100.5123445!16s%2Fg%2F1pyqp8q1d?authuser=0&amp;entry=tts&amp;g_ep=EgoyMDI2MDkyMy4wIPu8ASoASAFQAw%3D%3D&amp;skid=ea6d1384-4552-4982-8dc7-95ba83ff4334" TargetMode="External"/><Relationship Id="rId116" Type="http://schemas.openxmlformats.org/officeDocument/2006/relationships/hyperlink" Target="https://www.google.com/maps/place/%E0%B9%82%E0%B8%A3%E0%B8%87%E0%B9%80%E0%B8%A3%E0%B8%B5%E0%B8%A2%E0%B8%99%E0%B8%84%E0%B8%B1%E0%B8%99%E0%B8%99%E0%B8%B2%E0%B8%A2%E0%B8%B2%E0%B8%A7+(%E0%B8%98%E0%B8%B2%E0%B8%A3%E0%B8%B4%E0%B8%99%E0%B9%80%E0%B8%88%E0%B8%A3%E0%B8%B4%E0%B8%8D%E0%B8%AA%E0%B8%87%E0%B9%80%E0%B8%84%E0%B8%A3%E0%B8%B2%E0%B8%B0%E0%B8%AB%E0%B9%8C)/@13.7933456,100.6919606,17z/data=!3m1!4b1!4m6!3m5!1s0x311d63ecf593c8af:0xc2f297330d7235a8!8m2!3d13.7933404!4d100.6945355!16s%2Fg%2F11jyg92xyb?entry=tts&amp;g_ep=EgoyMDI2MDkyMy4wIPu8ASoASAFQAw%3D%3D&amp;skid=0ce409a5-948d-4deb-938f-a1715113a590" TargetMode="External"/><Relationship Id="rId358" Type="http://schemas.openxmlformats.org/officeDocument/2006/relationships/hyperlink" Target="https://floodsupport.bangkok.go.th/api/data" TargetMode="External"/><Relationship Id="rId115" Type="http://schemas.openxmlformats.org/officeDocument/2006/relationships/hyperlink" Target="https://floodsupport.bangkok.go.th/api/data" TargetMode="External"/><Relationship Id="rId357" Type="http://schemas.openxmlformats.org/officeDocument/2006/relationships/hyperlink" Target="https://maps.app.goo.gl/BKMuTM76opiNQ9xT6" TargetMode="External"/><Relationship Id="rId599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" TargetMode="External"/><Relationship Id="rId119" Type="http://schemas.openxmlformats.org/officeDocument/2006/relationships/hyperlink" Target="https://www.google.com/maps/place/%E0%B9%82%E0%B8%A3%E0%B8%87%E0%B9%80%E0%B8%A3%E0%B8%B5%E0%B8%A2%E0%B8%99%E0%B8%88%E0%B8%B4%E0%B8%99%E0%B8%94%E0%B8%B2%E0%B8%9A%E0%B8%B3%E0%B8%A3%E0%B8%B8%E0%B8%87/@13.8485114,100.6569387,17z/data=!3m1!4b1!4m6!3m5!1s0x311d62dc1d485601:0xcf4d8ec7caa1e524!8m2!3d13.8485062!4d100.6595136!16s%2Fg%2F1v46xtv9?entry=tts&amp;g_ep=EgoyMDI2MDkyMy4wIPu8ASoASAFQAw%3D%3D&amp;skid=d3cf7bbc-6ed9-4116-abc8-ee4e0ccf76dd" TargetMode="External"/><Relationship Id="rId110" Type="http://schemas.openxmlformats.org/officeDocument/2006/relationships/hyperlink" Target="https://www.google.com/maps/place/%E0%B9%82%E0%B8%A3%E0%B8%87%E0%B9%80%E0%B8%A3%E0%B8%B5%E0%B8%A2%E0%B8%99%E0%B8%A7%E0%B8%B1%E0%B8%94%E0%B8%AA%E0%B8%B0%E0%B8%9E%E0%B8%B2%E0%B8%99/@13.704282,100.586052,17z/data=!3m1!4b1!4m6!3m5!1s0x30e29f037d4ab877:0x87a5d27613273db2!8m2!3d13.7042768!4d100.5886269!16s%2Fg%2F11trcwz1cy?authuser=0&amp;entry=tts&amp;g_ep=EgoyMDI2MDkyMy4wIPu8ASoASAFQAw%3D%3D&amp;skid=60093bdb-d0dd-472d-a1a2-58a4b6f0f648" TargetMode="External"/><Relationship Id="rId352" Type="http://schemas.openxmlformats.org/officeDocument/2006/relationships/hyperlink" Target="https://floodsupport.bangkok.go.th/api/data" TargetMode="External"/><Relationship Id="rId594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" TargetMode="External"/><Relationship Id="rId351" Type="http://schemas.openxmlformats.org/officeDocument/2006/relationships/hyperlink" Target="https://maps.app.goo.gl/XTXFj9WedQYrZHWd7" TargetMode="External"/><Relationship Id="rId593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&amp;query_place_id=ChIJNYPr4Lid4jAR0N1bizks-08" TargetMode="External"/><Relationship Id="rId350" Type="http://schemas.openxmlformats.org/officeDocument/2006/relationships/hyperlink" Target="https://maps.google.com?q=13.7413193,100.4825358&amp;entry=gps&amp;shh=CAE&amp;lucs=,94297699,94231188,94280568,100821559,47071704,94218641,94282134,100835694,94286869,100820247,100822504,100838873&amp;g_ep=CAISEjI2LjM4LjEuOTgwODE1NDQ1MBgAINeCAypxLDk0Mjk3Njk5LDk0MjMxMTg4LDk0MjgwNTY4LDEwMDgyMTU1OSw0NzA3MTcwNCw5NDIxODY0MSw5NDI4MjEzNCwxMDA4MzU2OTQsOTQyODY4NjksMTAwODIwMjQ3LDEwMDgyMjUwNCwxMDA4Mzg4NzNCAlRI&amp;skid=841b9e62-58e4-4772-a9ed-9b11cfb579b1&amp;g_st=ic" TargetMode="External"/><Relationship Id="rId592" Type="http://schemas.openxmlformats.org/officeDocument/2006/relationships/hyperlink" Target="https://floodsupport.bangkok.go.th/api/data" TargetMode="External"/><Relationship Id="rId591" Type="http://schemas.openxmlformats.org/officeDocument/2006/relationships/hyperlink" Target="https://maps.app.goo.gl/JT9g2f4AqSwahrZE6?g_st=ic" TargetMode="External"/><Relationship Id="rId114" Type="http://schemas.openxmlformats.org/officeDocument/2006/relationships/hyperlink" Target="https://maps.app.goo.gl/Rq9QRAASxyA2kfXn7" TargetMode="External"/><Relationship Id="rId356" Type="http://schemas.openxmlformats.org/officeDocument/2006/relationships/hyperlink" Target="https://www.google.com/maps/place/%E0%B9%82%E0%B8%A3%E0%B8%87%E0%B9%80%E0%B8%A3%E0%B8%B5%E0%B8%A2%E0%B8%99%E0%B8%84%E0%B8%A5%E0%B8%AD%E0%B8%87%E0%B8%9E%E0%B8%B4%E0%B8%97%E0%B8%A2%E0%B8%B2%E0%B8%A5%E0%B8%87%E0%B8%81%E0%B8%A3%E0%B8%93%E0%B9%8C/@13.5271383,100.4173991,17z/data=!3m1!4b1!4m6!3m5!1s0x30e2bb6823d72897:0xcaef20bc3bfe5b5!8m2!3d13.5271383!4d100.419974!16s%2Fg%2F11kc5wp1rw?entry=tts&amp;g_ep=EgoyMDI2MDkyMy4wIPu8ASoASAFQAw%3D%3D&amp;skid=e450ac4d-e21d-4e2b-9dfe-6273b6c489d0" TargetMode="External"/><Relationship Id="rId598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&amp;query_place_id=ChIJcx10R_2c4jARfMLsV3fxfu4" TargetMode="External"/><Relationship Id="rId113" Type="http://schemas.openxmlformats.org/officeDocument/2006/relationships/hyperlink" Target="https://www.google.com/maps/place/%E0%B9%82%E0%B8%A3%E0%B8%87%E0%B9%80%E0%B8%A3%E0%B8%B5%E0%B8%A2%E0%B8%99%E0%B8%A8%E0%B8%B9%E0%B8%99%E0%B8%A2%E0%B9%8C%E0%B8%A3%E0%B8%A7%E0%B8%A1%E0%B8%99%E0%B9%89%E0%B8%B3%E0%B9%83%E0%B8%88/@13.7131961,100.5676749,17z/data=!3m1!4b1!4m6!3m5!1s0x30e29ff4636d965d:0xf13cc1f1c1589fcc!8m2!3d13.7131909!4d100.5702498!16s%2Fg%2F11fjtbcllb?authuser=0&amp;entry=tts&amp;g_ep=EgoyMDI2MDkyMy4wIPu8ASoASAFQAw%3D%3D&amp;skid=58cdf7b2-0b9f-47ab-bb77-3f49be5f0d48" TargetMode="External"/><Relationship Id="rId355" Type="http://schemas.openxmlformats.org/officeDocument/2006/relationships/hyperlink" Target="https://floodsupport.bangkok.go.th/api/data" TargetMode="External"/><Relationship Id="rId597" Type="http://schemas.openxmlformats.org/officeDocument/2006/relationships/hyperlink" Target="https://floodsupport.bangkok.go.th/api/data" TargetMode="External"/><Relationship Id="rId112" Type="http://schemas.openxmlformats.org/officeDocument/2006/relationships/hyperlink" Target="https://floodsupport.bangkok.go.th/api/data" TargetMode="External"/><Relationship Id="rId354" Type="http://schemas.openxmlformats.org/officeDocument/2006/relationships/hyperlink" Target="https://maps.app.goo.gl/o1Mf1w7cRfwJzY2j9" TargetMode="External"/><Relationship Id="rId596" Type="http://schemas.openxmlformats.org/officeDocument/2006/relationships/hyperlink" Target="https://maps.app.goo.gl/t86op6p4kxSo1abb8?g_st=ic" TargetMode="External"/><Relationship Id="rId111" Type="http://schemas.openxmlformats.org/officeDocument/2006/relationships/hyperlink" Target="https://maps.app.goo.gl/qoCis2v48PdHkiNc9" TargetMode="External"/><Relationship Id="rId353" Type="http://schemas.openxmlformats.org/officeDocument/2006/relationships/hyperlink" Target="https://www.google.com/maps/place/%E0%B8%A8%E0%B8%B9%E0%B8%99%E0%B8%A2%E0%B9%8C%E0%B8%99%E0%B8%B1%E0%B8%99%E0%B8%97%E0%B8%99%E0%B8%B2%E0%B8%81%E0%B8%B2%E0%B8%A3%E0%B8%9A%E0%B8%B2%E0%B8%87%E0%B8%82%E0%B8%B8%E0%B8%99%E0%B9%80%E0%B8%97%E0%B8%B5%E0%B8%A2%E0%B8%99/@13.6462196,100.4179573,17z/data=!3m1!4b1!4m6!3m5!1s0x30e2bcdf10b0a849:0x25b5a2625b610f81!8m2!3d13.6462144!4d100.4205322!16s%2Fg%2F1xg5q3c_?entry=tts&amp;g_ep=EgoyMDI2MDkyMy4wIPu8ASoASAFQAw%3D%3D&amp;skid=437c924e-914e-4d64-af2d-02066b8afcf7" TargetMode="External"/><Relationship Id="rId595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E%E0%B8%A3%E0%B9%89%E0%B8%B2%E0%B8%A7%20%E0%B9%80%E0%B8%82%E0%B8%95%E0%B8%A5%E0%B8%B2%E0%B8%94%E0%B8%9E%E0%B8%A3%E0%B9%89%E0%B8%B2%E0%B8%A7%20%E0%B8%81%E0%B8%A3%E0%B8%B8%E0%B8%87%E0%B9%80%E0%B8%97%E0%B8%9E%E0%B8%A1%E0%B8%AB%E0%B8%B2%E0%B8%99%E0%B8%84%E0%B8%A3" TargetMode="External"/><Relationship Id="rId305" Type="http://schemas.openxmlformats.org/officeDocument/2006/relationships/hyperlink" Target="https://www.google.com/maps/place/Wat+Yang+Suttharam+School/@13.7542801,100.4724993,424m/data=!3m1!1e3!4m6!3m5!1s0x30e299a4a88d6633:0xcffbf5d0e6a0e70a!8m2!3d13.7539946!4d100.4737002!16s%2Fg%2F1tfjsqqf!5m1!1e1?entry=tts&amp;g_ep=EgoyMDI2MDkyMy4wIPu8ASoASAFQAw%3D%3D&amp;skid=e4568c16-d542-4057-a5b9-92f36cc4941b" TargetMode="External"/><Relationship Id="rId547" Type="http://schemas.openxmlformats.org/officeDocument/2006/relationships/hyperlink" Target="https://floodsupport.bangkok.go.th/api/data" TargetMode="External"/><Relationship Id="rId789" Type="http://schemas.openxmlformats.org/officeDocument/2006/relationships/vmlDrawing" Target="../drawings/vmlDrawing3.vml"/><Relationship Id="rId304" Type="http://schemas.openxmlformats.org/officeDocument/2006/relationships/hyperlink" Target="https://floodsupport.bangkok.go.th/api/data" TargetMode="External"/><Relationship Id="rId546" Type="http://schemas.openxmlformats.org/officeDocument/2006/relationships/hyperlink" Target="https://maps.app.goo.gl/3WiLNbK2NGTxLyGx6" TargetMode="External"/><Relationship Id="rId788" Type="http://schemas.openxmlformats.org/officeDocument/2006/relationships/drawing" Target="../drawings/drawing6.xml"/><Relationship Id="rId303" Type="http://schemas.openxmlformats.org/officeDocument/2006/relationships/hyperlink" Target="https://maps.app.goo.gl/G5KyYpqqRTqyCV8cA" TargetMode="External"/><Relationship Id="rId545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787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" TargetMode="External"/><Relationship Id="rId302" Type="http://schemas.openxmlformats.org/officeDocument/2006/relationships/hyperlink" Target="https://www.google.com/maps/place/%E0%B9%82%E0%B8%A3%E0%B8%87%E0%B9%80%E0%B8%A3%E0%B8%B5%E0%B8%A2%E0%B8%99%E0%B8%A7%E0%B8%B1%E0%B8%94%E0%B8%A1%E0%B8%B0%E0%B8%A5%E0%B8%B4/@13.7548972,100.4571944,2154m/data=!3m1!1e3!4m6!3m5!1s0x30e2993801da6723:0x7a819066d29cb8c4!8m2!3d13.7623028!4d100.4605304!16s%2Fg%2F11f7bq9yn5!5m1!1e1?entry=tts&amp;g_ep=EgoyMDI2MDkyMy4wIPu8ASoASAFQAw%3D%3D&amp;skid=85b00e06-983e-4eae-aec5-ff522def41c6" TargetMode="External"/><Relationship Id="rId544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" TargetMode="External"/><Relationship Id="rId786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" TargetMode="External"/><Relationship Id="rId309" Type="http://schemas.openxmlformats.org/officeDocument/2006/relationships/hyperlink" Target="https://floodsupport.bangkok.go.th/api/data" TargetMode="External"/><Relationship Id="rId308" Type="http://schemas.openxmlformats.org/officeDocument/2006/relationships/hyperlink" Target="https://www.google.com/maps/place/Wat+Wiset+Kan+School/@13.756991,100.4796355,1046m/data=!3m2!1e3!4b1!4m6!3m5!1s0x30e299a0fcdef943:0x9d584f9ec4f59aaa!8m2!3d13.7569858!4d100.4822104!16s%2Fg%2F1tkl0s53!5m1!1e1?entry=tts&amp;g_ep=EgoyMDI2MDkyMy4wIPu8ASoASAFQAw%3D%3D&amp;skid=d50b30ce-bd1a-4ffa-8723-e50d3435a501" TargetMode="External"/><Relationship Id="rId307" Type="http://schemas.openxmlformats.org/officeDocument/2006/relationships/hyperlink" Target="https://floodsupport.bangkok.go.th/api/data" TargetMode="External"/><Relationship Id="rId549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" TargetMode="External"/><Relationship Id="rId306" Type="http://schemas.openxmlformats.org/officeDocument/2006/relationships/hyperlink" Target="https://maps.app.goo.gl/T589DZXzaBciMh5Y8" TargetMode="External"/><Relationship Id="rId548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&amp;query_place_id=ChIJy_JHPiFmHTEREJeKrXQpWis" TargetMode="External"/><Relationship Id="rId781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" TargetMode="External"/><Relationship Id="rId780" Type="http://schemas.openxmlformats.org/officeDocument/2006/relationships/hyperlink" Target="https://floodsupport.bangkok.go.th/api/data" TargetMode="External"/><Relationship Id="rId301" Type="http://schemas.openxmlformats.org/officeDocument/2006/relationships/hyperlink" Target="https://floodsupport.bangkok.go.th/api/data" TargetMode="External"/><Relationship Id="rId543" Type="http://schemas.openxmlformats.org/officeDocument/2006/relationships/hyperlink" Target="https://www.google.com/maps/search/?api=1&amp;query=%E0%B9%82%E0%B8%A3%E0%B8%87%E0%B9%80%E0%B8%A3%E0%B8%B5%E0%B8%A2%E0%B8%99%E0%B8%A7%E0%B8%B1%E0%B8%94%E0%B8%AA%E0%B8%B1%E0%B8%87%E0%B8%86%E0%B8%A3%E0%B8%B2%E0%B8%8A%E0%B8%B2%20%E0%B9%80%E0%B8%82%E0%B8%95%E0%B8%A5%E0%B8%B2%E0%B8%94%E0%B8%81%E0%B8%A3%E0%B8%B0%E0%B8%9A%E0%B8%B1%E0%B8%87%20%E0%B8%81%E0%B8%A3%E0%B8%B8%E0%B8%87%E0%B9%80%E0%B8%97%E0%B8%9E%E0%B8%A1%E0%B8%AB%E0%B8%B2%E0%B8%99%E0%B8%84%E0%B8%A3&amp;query_place_id=ChIJjTbz5eFmHTERTr4XuH4UW8o" TargetMode="External"/><Relationship Id="rId785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2%20%E0%B9%80%E0%B8%82%E0%B8%95%E0%B8%AB%E0%B8%A5%E0%B8%B1%E0%B8%81%E0%B8%AA%E0%B8%B5%E0%B9%88%20%E0%B8%81%E0%B8%A3%E0%B8%B8%E0%B8%87%E0%B9%80%E0%B8%97%E0%B8%9E%E0%B8%A1%E0%B8%AB%E0%B8%B2%E0%B8%99%E0%B8%84%E0%B8%A3&amp;query_place_id=ChIJm-4qQOOC4jARBYoRSGKkP_s" TargetMode="External"/><Relationship Id="rId300" Type="http://schemas.openxmlformats.org/officeDocument/2006/relationships/hyperlink" Target="https://maps.app.goo.gl/sTj3Z1czH9ng2MJe7" TargetMode="External"/><Relationship Id="rId542" Type="http://schemas.openxmlformats.org/officeDocument/2006/relationships/hyperlink" Target="https://floodsupport.bangkok.go.th/api/data" TargetMode="External"/><Relationship Id="rId784" Type="http://schemas.openxmlformats.org/officeDocument/2006/relationships/hyperlink" Target="https://floodsupport.bangkok.go.th/api/data" TargetMode="External"/><Relationship Id="rId541" Type="http://schemas.openxmlformats.org/officeDocument/2006/relationships/hyperlink" Target="https://maps.app.goo.gl/NNb4oTgkSBqmEvcp8" TargetMode="External"/><Relationship Id="rId783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" TargetMode="External"/><Relationship Id="rId540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" TargetMode="External"/><Relationship Id="rId782" Type="http://schemas.openxmlformats.org/officeDocument/2006/relationships/hyperlink" Target="https://www.google.com/maps/search/?api=1&amp;query=%E0%B9%82%E0%B8%A3%E0%B8%87%E0%B9%80%E0%B8%A3%E0%B8%B5%E0%B8%A2%E0%B8%99%E0%B9%80%E0%B8%84%E0%B8%AB%E0%B8%B0%E0%B8%97%E0%B8%B8%E0%B9%88%E0%B8%87%E0%B8%AA%E0%B8%AD%E0%B8%87%E0%B8%AB%E0%B9%89%E0%B8%AD%E0%B8%87%E0%B8%A7%E0%B8%B4%E0%B8%97%E0%B8%A2%E0%B8%B2%201%20%E0%B9%80%E0%B8%82%E0%B8%95%E0%B8%AB%E0%B8%A5%E0%B8%B1%E0%B8%81%E0%B8%AA%E0%B8%B5%E0%B9%88%20%E0%B8%81%E0%B8%A3%E0%B8%B8%E0%B8%87%E0%B9%80%E0%B8%97%E0%B8%9E%E0%B8%A1%E0%B8%AB%E0%B8%B2%E0%B8%99%E0%B8%84%E0%B8%A3&amp;query_place_id=ChIJ-eoUpeWC4jARxZZfRjMIxEA" TargetMode="External"/><Relationship Id="rId536" Type="http://schemas.openxmlformats.org/officeDocument/2006/relationships/hyperlink" Target="https://maps.app.goo.gl/57CDb5Mzzz3bWPes9" TargetMode="External"/><Relationship Id="rId778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" TargetMode="External"/><Relationship Id="rId535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77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&amp;query_place_id=ChIJu699idOC4jARcVgoNz49qrA" TargetMode="External"/><Relationship Id="rId534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" TargetMode="External"/><Relationship Id="rId776" Type="http://schemas.openxmlformats.org/officeDocument/2006/relationships/hyperlink" Target="https://floodsupport.bangkok.go.th/api/data" TargetMode="External"/><Relationship Id="rId533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RWjGF_5mHTERjUTmVOEg5lU" TargetMode="External"/><Relationship Id="rId775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" TargetMode="External"/><Relationship Id="rId539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" TargetMode="External"/><Relationship Id="rId538" Type="http://schemas.openxmlformats.org/officeDocument/2006/relationships/hyperlink" Target="https://www.google.com/maps/search/?api=1&amp;query=%E0%B9%82%E0%B8%A3%E0%B8%87%E0%B9%80%E0%B8%A3%E0%B8%B5%E0%B8%A2%E0%B8%99%E0%B8%A7%E0%B8%B1%E0%B8%94%E0%B8%A5%E0%B8%B2%E0%B8%99%E0%B8%9A%E0%B8%B8%E0%B8%8D%20%E0%B9%80%E0%B8%82%E0%B8%95%E0%B8%A5%E0%B8%B2%E0%B8%94%E0%B8%81%E0%B8%A3%E0%B8%B0%E0%B8%9A%E0%B8%B1%E0%B8%87%20%E0%B8%81%E0%B8%A3%E0%B8%B8%E0%B8%87%E0%B9%80%E0%B8%97%E0%B8%9E%E0%B8%A1%E0%B8%AB%E0%B8%B2%E0%B8%99%E0%B8%84%E0%B8%A3&amp;query_place_id=ChIJMVqyEChnHTERjildMZy8nQE" TargetMode="External"/><Relationship Id="rId537" Type="http://schemas.openxmlformats.org/officeDocument/2006/relationships/hyperlink" Target="https://floodsupport.bangkok.go.th/api/data" TargetMode="External"/><Relationship Id="rId779" Type="http://schemas.openxmlformats.org/officeDocument/2006/relationships/hyperlink" Target="https://www.google.com/maps/search/?api=1&amp;query=%E0%B9%82%E0%B8%A3%E0%B8%87%E0%B9%80%E0%B8%A3%E0%B8%B5%E0%B8%A2%E0%B8%99%E0%B8%A7%E0%B8%B1%E0%B8%94%E0%B8%AB%E0%B8%A5%E0%B8%B1%E0%B8%81%E0%B8%AA%E0%B8%B5%E0%B9%88%20(%E0%B8%97%E0%B8%AD%E0%B8%87%E0%B9%83%E0%B8%9A%E0%B8%97%E0%B8%B4%E0%B8%A7%E0%B8%B2%E0%B8%A3%E0%B8%B5%E0%B8%A7%E0%B8%B4%E0%B8%97%E0%B8%A2%E0%B8%B2)%20%E0%B9%80%E0%B8%82%E0%B8%95%E0%B8%AB%E0%B8%A5%E0%B8%B1%E0%B8%81%E0%B8%AA%E0%B8%B5%E0%B9%88%20%E0%B8%81%E0%B8%A3%E0%B8%B8%E0%B8%87%E0%B9%80%E0%B8%97%E0%B8%9E%E0%B8%A1%E0%B8%AB%E0%B8%B2%E0%B8%99%E0%B8%84%E0%B8%A3" TargetMode="External"/><Relationship Id="rId770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&amp;query_place_id=ChIJs-tbrjuD4jARb7zx4hhXgow" TargetMode="External"/><Relationship Id="rId532" Type="http://schemas.openxmlformats.org/officeDocument/2006/relationships/hyperlink" Target="https://floodsupport.bangkok.go.th/api/data" TargetMode="External"/><Relationship Id="rId774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" TargetMode="External"/><Relationship Id="rId531" Type="http://schemas.openxmlformats.org/officeDocument/2006/relationships/hyperlink" Target="https://maps.app.goo.gl/57CDb5Mzzz3bWPes9" TargetMode="External"/><Relationship Id="rId773" Type="http://schemas.openxmlformats.org/officeDocument/2006/relationships/hyperlink" Target="https://www.google.com/maps/search/?api=1&amp;query=%E0%B9%82%E0%B8%A3%E0%B8%87%E0%B9%80%E0%B8%A3%E0%B8%B5%E0%B8%A2%E0%B8%99%E0%B8%9A%E0%B8%B2%E0%B8%87%E0%B9%80%E0%B8%82%E0%B8%99%20(%E0%B9%84%E0%B8%A7%E0%B9%89%E0%B8%AA%E0%B8%B2%E0%B8%A5%E0%B8%B5%E0%B8%AD%E0%B8%99%E0%B8%B8%E0%B8%AA%E0%B8%A3%E0%B8%93%E0%B9%8C)%20%E0%B9%80%E0%B8%82%E0%B8%95%E0%B8%AB%E0%B8%A5%E0%B8%B1%E0%B8%81%E0%B8%AA%E0%B8%B5%E0%B9%88%20%E0%B8%81%E0%B8%A3%E0%B8%B8%E0%B8%87%E0%B9%80%E0%B8%97%E0%B8%9E%E0%B8%A1%E0%B8%AB%E0%B8%B2%E0%B8%99%E0%B8%84%E0%B8%A3&amp;query_place_id=ChIJ-btQnNWC4jARs51tAILhxZg" TargetMode="External"/><Relationship Id="rId530" Type="http://schemas.openxmlformats.org/officeDocument/2006/relationships/hyperlink" Target="https://www.google.com/maps/search/?api=1&amp;query=%E0%B9%82%E0%B8%A3%E0%B8%87%E0%B9%80%E0%B8%A3%E0%B8%B5%E0%B8%A2%E0%B8%99%E0%B8%A7%E0%B8%B1%E0%B8%94%E0%B8%9B%E0%B8%B2%E0%B8%81%E0%B8%9A%E0%B8%B6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772" Type="http://schemas.openxmlformats.org/officeDocument/2006/relationships/hyperlink" Target="https://floodsupport.bangkok.go.th/api/data" TargetMode="External"/><Relationship Id="rId771" Type="http://schemas.openxmlformats.org/officeDocument/2006/relationships/hyperlink" Target="https://www.google.com/maps/search/?api=1&amp;query=%E0%B9%82%E0%B8%A3%E0%B8%87%E0%B9%80%E0%B8%A3%E0%B8%B5%E0%B8%A2%E0%B8%99%E0%B8%97%E0%B8%B8%E0%B9%88%E0%B8%87%E0%B8%AA%E0%B8%AD%E0%B8%87%E0%B8%AB%E0%B9%89%E0%B8%AD%E0%B8%87%20%E0%B9%80%E0%B8%82%E0%B8%95%E0%B8%AB%E0%B8%A5%E0%B8%B1%E0%B8%81%E0%B8%AA%E0%B8%B5%E0%B9%88%20%E0%B8%81%E0%B8%A3%E0%B8%B8%E0%B8%87%E0%B9%80%E0%B8%97%E0%B8%9E%E0%B8%A1%E0%B8%AB%E0%B8%B2%E0%B8%99%E0%B8%84%E0%B8%A3" TargetMode="External"/><Relationship Id="rId327" Type="http://schemas.openxmlformats.org/officeDocument/2006/relationships/hyperlink" Target="https://www.google.com/maps/place/Wat+Sri+Sudaram+School/@13.76674,100.4699265,1046m/data=!3m2!1e3!4b1!4m6!3m5!1s0x30e29990bb60e651:0x5e1f85d7d54289a9!8m2!3d13.7667348!4d100.4725014!16s%2Fg%2F1tgv3z4v!5m1!1e1?entry=tts&amp;g_ep=EgoyMDI2MDkyMy4wIPu8ASoASAFQAw%3D%3D&amp;skid=d8801b39-49bf-4989-909b-c64f1cbb815f" TargetMode="External"/><Relationship Id="rId569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" TargetMode="External"/><Relationship Id="rId326" Type="http://schemas.openxmlformats.org/officeDocument/2006/relationships/hyperlink" Target="https://floodsupport.bangkok.go.th/api/data" TargetMode="External"/><Relationship Id="rId568" Type="http://schemas.openxmlformats.org/officeDocument/2006/relationships/hyperlink" Target="https://www.google.com/maps/search/?api=1&amp;query=%E0%B8%A7%E0%B8%B1%E0%B8%94%E0%B8%A5%E0%B8%B2%E0%B8%94%E0%B8%9B%E0%B8%A5%E0%B8%B2%E0%B9%80%E0%B8%84%E0%B9%89%E0%B8%B2%20%E0%B9%80%E0%B8%82%E0%B8%95%E0%B8%A5%E0%B8%B2%E0%B8%94%E0%B8%9E%E0%B8%A3%E0%B9%89%E0%B8%B2%E0%B8%A7%20%E0%B8%81%E0%B8%A3%E0%B8%B8%E0%B8%87%E0%B9%80%E0%B8%97%E0%B8%9E%E0%B8%A1%E0%B8%AB%E0%B8%B2%E0%B8%99%E0%B8%84%E0%B8%A3&amp;query_place_id=ChIJw76tbkKd4jARBcIOat2318o" TargetMode="External"/><Relationship Id="rId325" Type="http://schemas.openxmlformats.org/officeDocument/2006/relationships/hyperlink" Target="https://maps.app.goo.gl/mCEC959RGxGQQpCFA" TargetMode="External"/><Relationship Id="rId567" Type="http://schemas.openxmlformats.org/officeDocument/2006/relationships/hyperlink" Target="https://floodsupport.bangkok.go.th/api/data" TargetMode="External"/><Relationship Id="rId324" Type="http://schemas.openxmlformats.org/officeDocument/2006/relationships/hyperlink" Target="https://www.google.com/maps/place/Wat+Suwan+Keree+School/@13.7809196,100.466068,1046m/data=!3m2!1e3!4b1!4m6!3m5!1s0x30e299898f534855:0x87be82b57da6c4fb!8m2!3d13.7809144!4d100.4686429!16s%2Fg%2F11b67qspvz!5m1!1e1?entry=tts&amp;g_ep=EgoyMDI2MDkyMy4wIPu8ASoASAFQAw%3D%3D&amp;skid=84b2ecbc-38e8-468b-be64-0ba3da98d800" TargetMode="External"/><Relationship Id="rId566" Type="http://schemas.openxmlformats.org/officeDocument/2006/relationships/hyperlink" Target="https://maps.app.goo.gl/qqTw6x5uT1e5mQHC8?g_st=ic" TargetMode="External"/><Relationship Id="rId329" Type="http://schemas.openxmlformats.org/officeDocument/2006/relationships/hyperlink" Target="https://floodsupport.bangkok.go.th/api/data" TargetMode="External"/><Relationship Id="rId328" Type="http://schemas.openxmlformats.org/officeDocument/2006/relationships/hyperlink" Target="https://maps.app.goo.gl/AAK9oFKoK3aXWG7T6?g_st=ic" TargetMode="External"/><Relationship Id="rId561" Type="http://schemas.openxmlformats.org/officeDocument/2006/relationships/hyperlink" Target="https://maps.app.goo.gl/KHCU2PvBk9xj1HK5A" TargetMode="External"/><Relationship Id="rId560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323" Type="http://schemas.openxmlformats.org/officeDocument/2006/relationships/hyperlink" Target="https://floodsupport.bangkok.go.th/api/data" TargetMode="External"/><Relationship Id="rId565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" TargetMode="External"/><Relationship Id="rId322" Type="http://schemas.openxmlformats.org/officeDocument/2006/relationships/hyperlink" Target="https://maps.app.goo.gl/VpK4JpmMrPMEW24A7" TargetMode="External"/><Relationship Id="rId564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" TargetMode="External"/><Relationship Id="rId321" Type="http://schemas.openxmlformats.org/officeDocument/2006/relationships/hyperlink" Target="https://www.google.com/maps/place/Wat+Pho+Riang+School/@13.7489012,100.4748033,523m/data=!3m1!1e3!4m6!3m5!1s0x30e299b1c0737395:0x80f80d050d01fc62!8m2!3d13.7444852!4d100.4719169!16s%2Fg%2F1tgl619v!5m1!1e1?entry=tts&amp;g_ep=EgoyMDI2MDkyMy4wIPu8ASoASAFQAw%3D%3D&amp;skid=8474ea7f-cf7f-4fef-8d85-1a77a5368e61" TargetMode="External"/><Relationship Id="rId563" Type="http://schemas.openxmlformats.org/officeDocument/2006/relationships/hyperlink" Target="https://www.google.com/maps/search/?api=1&amp;query=%E0%B9%82%E0%B8%A3%E0%B8%87%E0%B9%80%E0%B8%A3%E0%B8%B5%E0%B8%A2%E0%B8%99%E0%B9%81%E0%B8%AA%E0%B8%87%E0%B8%AB%E0%B8%B4%E0%B8%A3%E0%B8%B1%E0%B8%8D%E0%B8%A7%E0%B8%B4%E0%B8%97%E0%B8%A2%E0%B8%B2%20%E0%B9%80%E0%B8%82%E0%B8%95%E0%B8%A5%E0%B8%B2%E0%B8%94%E0%B8%81%E0%B8%A3%E0%B8%B0%E0%B8%9A%E0%B8%B1%E0%B8%87%20%E0%B8%81%E0%B8%A3%E0%B8%B8%E0%B8%87%E0%B9%80%E0%B8%97%E0%B8%9E%E0%B8%A1%E0%B8%AB%E0%B8%B2%E0%B8%99%E0%B8%84%E0%B8%A3&amp;query_place_id=ChIJeYPOFWVoHTERh9srvbZGgcs" TargetMode="External"/><Relationship Id="rId320" Type="http://schemas.openxmlformats.org/officeDocument/2006/relationships/hyperlink" Target="https://floodsupport.bangkok.go.th/api/data" TargetMode="External"/><Relationship Id="rId562" Type="http://schemas.openxmlformats.org/officeDocument/2006/relationships/hyperlink" Target="https://floodsupport.bangkok.go.th/api/data" TargetMode="External"/><Relationship Id="rId316" Type="http://schemas.openxmlformats.org/officeDocument/2006/relationships/hyperlink" Target="https://maps.app.goo.gl/xDf9my4VF9xArpQH7" TargetMode="External"/><Relationship Id="rId558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" TargetMode="External"/><Relationship Id="rId315" Type="http://schemas.openxmlformats.org/officeDocument/2006/relationships/hyperlink" Target="https://www.google.com/maps/place/Wat+Ampawa+School/@13.7489012,100.4748033,296m/data=!3m1!1e3!4m6!3m5!1s0x30e299a5612deea7:0x1a0dbe45b7211ed4!8m2!3d13.7489417!4d100.4756999!16s%2Fg%2F1tg3df0x!5m1!1e1?entry=tts&amp;g_ep=EgoyMDI2MDkyMy4wIPu8ASoASAFQAw%3D%3D&amp;skid=4120a8dd-73b4-42c7-adea-094d527ce9c9" TargetMode="External"/><Relationship Id="rId557" Type="http://schemas.openxmlformats.org/officeDocument/2006/relationships/hyperlink" Target="https://floodsupport.bangkok.go.th/api/data" TargetMode="External"/><Relationship Id="rId314" Type="http://schemas.openxmlformats.org/officeDocument/2006/relationships/hyperlink" Target="https://floodsupport.bangkok.go.th/api/data" TargetMode="External"/><Relationship Id="rId556" Type="http://schemas.openxmlformats.org/officeDocument/2006/relationships/hyperlink" Target="https://maps.app.goo.gl/769guFdzBuMpHnm36" TargetMode="External"/><Relationship Id="rId313" Type="http://schemas.openxmlformats.org/officeDocument/2006/relationships/hyperlink" Target="https://maps.app.goo.gl/ZsP2Pj47Q7fyVy9J7" TargetMode="External"/><Relationship Id="rId555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" TargetMode="External"/><Relationship Id="rId319" Type="http://schemas.openxmlformats.org/officeDocument/2006/relationships/hyperlink" Target="https://maps.app.goo.gl/tRnkZguVB63ysmoC7" TargetMode="External"/><Relationship Id="rId318" Type="http://schemas.openxmlformats.org/officeDocument/2006/relationships/hyperlink" Target="https://www.google.com/maps/place/%E0%B9%82%E0%B8%A3%E0%B8%87%E0%B9%80%E0%B8%A3%E0%B8%B5%E0%B8%A2%E0%B8%99%E0%B8%A7%E0%B8%B1%E0%B8%94%E0%B9%80%E0%B8%88%E0%B9%89%E0%B8%B2%E0%B8%AD%E0%B8%B2%E0%B8%A1/@13.7754871,100.462306,1046m/data=!3m2!1e3!4b1!4m6!3m5!1s0x30e2998c45a6ad3b:0x91b28c2a7151f0e3!8m2!3d13.7754819!4d100.4648809!16s%2Fg%2F1tdcz3x8!5m1!1e1?entry=tts&amp;g_ep=EgoyMDI2MDkyMy4wIPu8ASoASAFQAw%3D%3D&amp;skid=86feea59-dcf4-4ed3-9560-7f890a1ec01e" TargetMode="External"/><Relationship Id="rId317" Type="http://schemas.openxmlformats.org/officeDocument/2006/relationships/hyperlink" Target="https://floodsupport.bangkok.go.th/api/data" TargetMode="External"/><Relationship Id="rId559" Type="http://schemas.openxmlformats.org/officeDocument/2006/relationships/hyperlink" Target="https://www.google.com/maps/search/?api=1&amp;query=%E0%B9%82%E0%B8%A3%E0%B8%87%E0%B9%80%E0%B8%A3%E0%B8%B5%E0%B8%A2%E0%B8%99%E0%B9%81%E0%B8%94%E0%B8%87%E0%B9%80%E0%B8%9B%E0%B9%89%E0%B8%B2%20%E0%B9%80%E0%B8%82%E0%B8%95%E0%B8%A5%E0%B8%B2%E0%B8%94%E0%B8%81%E0%B8%A3%E0%B8%B0%E0%B8%9A%E0%B8%B1%E0%B8%87%20%E0%B8%81%E0%B8%A3%E0%B8%B8%E0%B8%87%E0%B9%80%E0%B8%97%E0%B8%9E%E0%B8%A1%E0%B8%AB%E0%B8%B2%E0%B8%99%E0%B8%84%E0%B8%A3&amp;query_place_id=ChIJ1ySZesdmHTERWyn_UMM_Sgs" TargetMode="External"/><Relationship Id="rId550" Type="http://schemas.openxmlformats.org/officeDocument/2006/relationships/hyperlink" Target="https://www.google.com/maps/search/?api=1&amp;query=%E0%B9%82%E0%B8%A3%E0%B8%87%E0%B9%80%E0%B8%A3%E0%B8%B5%E0%B8%A2%E0%B8%99%E0%B8%A7%E0%B8%B1%E0%B8%94%E0%B8%AA%E0%B8%B8%E0%B8%97%E0%B8%98%E0%B8%B2%E0%B9%82%E0%B8%A0%E0%B8%8A%E0%B8%99%E0%B9%8C%20%E0%B9%80%E0%B8%82%E0%B8%95%E0%B8%A5%E0%B8%B2%E0%B8%94%E0%B8%81%E0%B8%A3%E0%B8%B0%E0%B8%9A%E0%B8%B1%E0%B8%87%20%E0%B8%81%E0%B8%A3%E0%B8%B8%E0%B8%87%E0%B9%80%E0%B8%97%E0%B8%9E%E0%B8%A1%E0%B8%AB%E0%B8%B2%E0%B8%99%E0%B8%84%E0%B8%A3" TargetMode="External"/><Relationship Id="rId312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" TargetMode="External"/><Relationship Id="rId554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" TargetMode="External"/><Relationship Id="rId311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" TargetMode="External"/><Relationship Id="rId553" Type="http://schemas.openxmlformats.org/officeDocument/2006/relationships/hyperlink" Target="https://www.google.com/maps/search/?api=1&amp;query=%E0%B9%82%E0%B8%A3%E0%B8%87%E0%B9%80%E0%B8%A3%E0%B8%B5%E0%B8%A2%E0%B8%99%E0%B9%80%E0%B8%84%E0%B8%AB%E0%B8%B0%E0%B8%8A%E0%B8%B8%E0%B8%A1%E0%B8%8A%E0%B8%99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yXSgpvxmHTER41032Gn5jdA" TargetMode="External"/><Relationship Id="rId310" Type="http://schemas.openxmlformats.org/officeDocument/2006/relationships/hyperlink" Target="https://www.google.com/maps/search/?api=1&amp;query=%E0%B9%82%E0%B8%A3%E0%B8%87%E0%B9%80%E0%B8%A3%E0%B8%B5%E0%B8%A2%E0%B8%99%E0%B8%A7%E0%B8%B1%E0%B8%94%E0%B8%AA%E0%B8%B8%E0%B8%A7%E0%B8%A3%E0%B8%A3%E0%B8%93%E0%B8%B2%E0%B8%A3%E0%B8%B2%E0%B8%A1%20%E0%B9%80%E0%B8%82%E0%B8%95%E0%B8%9A%E0%B8%B2%E0%B8%87%E0%B8%81%E0%B8%AD%E0%B8%81%E0%B8%99%E0%B9%89%E0%B8%AD%E0%B8%A2%20%E0%B8%81%E0%B8%A3%E0%B8%B8%E0%B8%87%E0%B9%80%E0%B8%97%E0%B8%9E%E0%B8%A1%E0%B8%AB%E0%B8%B2%E0%B8%99%E0%B8%84%E0%B8%A3&amp;query_place_id=ChIJS44V3ZiZ4jARWdIN6lQ3awM" TargetMode="External"/><Relationship Id="rId552" Type="http://schemas.openxmlformats.org/officeDocument/2006/relationships/hyperlink" Target="https://floodsupport.bangkok.go.th/api/data" TargetMode="External"/><Relationship Id="rId551" Type="http://schemas.openxmlformats.org/officeDocument/2006/relationships/hyperlink" Target="https://maps.app.goo.gl/QtgyRXhHBvd4V6jQ8" TargetMode="External"/><Relationship Id="rId297" Type="http://schemas.openxmlformats.org/officeDocument/2006/relationships/hyperlink" Target="https://maps.app.goo.gl/uGeVZ32ov1Z2JDPX9" TargetMode="External"/><Relationship Id="rId296" Type="http://schemas.openxmlformats.org/officeDocument/2006/relationships/hyperlink" Target="https://www.google.com/maps/place/Wat+Pathom+But+Isararam+School/@13.7731725,100.4739528,1046m/data=!3m2!1e3!4b1!4m6!3m5!1s0x30e29985b29eec81:0x772a578e9999e536!8m2!3d13.7731673!4d100.4765277!16s%2Fg%2F1hc40vgvn!5m1!1e1?entry=tts&amp;g_ep=EgoyMDI2MDkyMy4wIPu8ASoASAFQAw%3D%3D&amp;skid=1c418db2-f4b0-4064-8c62-920767acf464" TargetMode="External"/><Relationship Id="rId295" Type="http://schemas.openxmlformats.org/officeDocument/2006/relationships/hyperlink" Target="https://floodsupport.bangkok.go.th/api/data" TargetMode="External"/><Relationship Id="rId294" Type="http://schemas.openxmlformats.org/officeDocument/2006/relationships/hyperlink" Target="https://maps.app.goo.gl/phNZeL9hHE3dgBMR9" TargetMode="External"/><Relationship Id="rId299" Type="http://schemas.openxmlformats.org/officeDocument/2006/relationships/hyperlink" Target="https://www.google.com/maps/place/Wat+Praya+Tham+School/@13.7483603,100.4808707,1046m/data=!3m2!1e3!4b1!4m6!3m5!1s0x30e299a819f56dbb:0xc0735babe9954313!8m2!3d13.7483551!4d100.4834456!16s%2Fg%2F1tyct2hy!5m1!1e1?entry=tts&amp;g_ep=EgoyMDI2MDkyMy4wIPu8ASoASAFQAw%3D%3D&amp;skid=94a865c2-06c4-403c-8d7f-3fc87f8b5171" TargetMode="External"/><Relationship Id="rId298" Type="http://schemas.openxmlformats.org/officeDocument/2006/relationships/hyperlink" Target="https://floodsupport.bangkok.go.th/api/data" TargetMode="External"/><Relationship Id="rId271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" TargetMode="External"/><Relationship Id="rId270" Type="http://schemas.openxmlformats.org/officeDocument/2006/relationships/hyperlink" Target="https://floodsupport.bangkok.go.th/api/data" TargetMode="External"/><Relationship Id="rId269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" TargetMode="External"/><Relationship Id="rId264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" TargetMode="External"/><Relationship Id="rId263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&amp;query_place_id=ChIJ8bpvfEOY4jARF07G1m7RhXY" TargetMode="External"/><Relationship Id="rId262" Type="http://schemas.openxmlformats.org/officeDocument/2006/relationships/hyperlink" Target="https://floodsupport.bangkok.go.th/api/data" TargetMode="External"/><Relationship Id="rId261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" TargetMode="External"/><Relationship Id="rId268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" TargetMode="External"/><Relationship Id="rId267" Type="http://schemas.openxmlformats.org/officeDocument/2006/relationships/hyperlink" Target="https://www.google.com/maps/search/?api=1&amp;query=%E0%B9%82%E0%B8%A3%E0%B8%87%E0%B9%80%E0%B8%A3%E0%B8%B5%E0%B8%A2%E0%B8%99%E0%B8%A7%E0%B8%B1%E0%B8%94%E0%B8%9A%E0%B8%B2%E0%B8%87%E0%B8%99%E0%B9%89%E0%B8%B3%E0%B8%8A%E0%B8%99%20%E0%B9%80%E0%B8%82%E0%B8%95%E0%B8%98%E0%B8%99%E0%B8%9A%E0%B8%B8%E0%B8%A3%E0%B8%B5%20%E0%B8%81%E0%B8%A3%E0%B8%B8%E0%B8%87%E0%B9%80%E0%B8%97%E0%B8%9E%E0%B8%A1%E0%B8%AB%E0%B8%B2%E0%B8%99%E0%B8%84%E0%B8%A3&amp;query_place_id=ChIJTSEcMI-Y4jARRbq7t3Fel_I" TargetMode="External"/><Relationship Id="rId266" Type="http://schemas.openxmlformats.org/officeDocument/2006/relationships/hyperlink" Target="https://floodsupport.bangkok.go.th/api/data" TargetMode="External"/><Relationship Id="rId265" Type="http://schemas.openxmlformats.org/officeDocument/2006/relationships/hyperlink" Target="https://www.google.com/maps/search/?api=1&amp;query=%E0%B9%82%E0%B8%A3%E0%B8%87%E0%B9%80%E0%B8%A3%E0%B8%B5%E0%B8%A2%E0%B8%99%E0%B8%A7%E0%B8%B1%E0%B8%94%E0%B8%82%E0%B8%B8%E0%B8%99%E0%B8%88%E0%B8%B1%E0%B8%99%E0%B8%97%E0%B8%A3%E0%B9%8C%20%E0%B9%80%E0%B8%82%E0%B8%95%E0%B8%98%E0%B8%99%E0%B8%9A%E0%B8%B8%E0%B8%A3%E0%B8%B5%20%E0%B8%81%E0%B8%A3%E0%B8%B8%E0%B8%87%E0%B9%80%E0%B8%97%E0%B8%9E%E0%B8%A1%E0%B8%AB%E0%B8%B2%E0%B8%99%E0%B8%84%E0%B8%A3" TargetMode="External"/><Relationship Id="rId260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" TargetMode="External"/><Relationship Id="rId259" Type="http://schemas.openxmlformats.org/officeDocument/2006/relationships/hyperlink" Target="https://www.google.com/maps/search/?api=1&amp;query=%E0%B9%82%E0%B8%A3%E0%B8%87%E0%B9%80%E0%B8%A3%E0%B8%B5%E0%B8%A2%E0%B8%99%E0%B8%A7%E0%B8%B1%E0%B8%94%E0%B8%81%E0%B8%B1%E0%B8%A5%E0%B8%A2%E0%B8%B2%E0%B8%93%E0%B8%A1%E0%B8%B4%E0%B8%95%E0%B8%A3%20%E0%B9%80%E0%B8%82%E0%B8%95%E0%B8%98%E0%B8%99%E0%B8%9A%E0%B8%B8%E0%B8%A3%E0%B8%B5%20%E0%B8%81%E0%B8%A3%E0%B8%B8%E0%B8%87%E0%B9%80%E0%B8%97%E0%B8%9E%E0%B8%A1%E0%B8%AB%E0%B8%B2%E0%B8%99%E0%B8%84%E0%B8%A3&amp;query_place_id=ChIJ5VmW5wOZ4jARNeYaA023R4k" TargetMode="External"/><Relationship Id="rId258" Type="http://schemas.openxmlformats.org/officeDocument/2006/relationships/hyperlink" Target="https://floodsupport.bangkok.go.th/api/data" TargetMode="External"/><Relationship Id="rId253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" TargetMode="External"/><Relationship Id="rId495" Type="http://schemas.openxmlformats.org/officeDocument/2006/relationships/hyperlink" Target="https://www.google.com/maps/place/%E0%B9%82%E0%B8%A3%E0%B8%87%E0%B9%80%E0%B8%A3%E0%B8%B5%E0%B8%A2%E0%B8%99%E0%B8%A7%E0%B8%B1%E0%B8%94%E0%B9%81%E0%B8%88%E0%B8%87%E0%B8%A3%E0%B9%89%E0%B8%AD%E0%B8%99/@13.6752391,100.50937,15z/data=!3m1!4b1!4m6!3m5!1s0x30e2a211e89d08f5:0x9454597c16f06b3e!8m2!3d13.6752393!4d100.5196483!16s%2Fg%2F1hc324f3f?entry=tts&amp;g_ep=EgoyMDI2MDkyMy4wIPu8ASoASAFQAw%3D%3D&amp;skid=ad2684a3-061f-4bac-b175-09b526a4d4e2" TargetMode="External"/><Relationship Id="rId252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" TargetMode="External"/><Relationship Id="rId494" Type="http://schemas.openxmlformats.org/officeDocument/2006/relationships/hyperlink" Target="https://floodsupport.bangkok.go.th/api/data" TargetMode="External"/><Relationship Id="rId251" Type="http://schemas.openxmlformats.org/officeDocument/2006/relationships/hyperlink" Target="https://www.google.com/maps/search/?api=1&amp;query=%E0%B9%82%E0%B8%A3%E0%B8%87%E0%B9%80%E0%B8%A3%E0%B8%B5%E0%B8%A2%E0%B8%99%E0%B8%81%E0%B8%B1%E0%B8%99%E0%B8%95%E0%B8%97%E0%B8%B2%E0%B8%A3%E0%B8%B2%E0%B8%A3%E0%B8%B2%E0%B8%A1%20%E0%B9%80%E0%B8%82%E0%B8%95%E0%B8%98%E0%B8%99%E0%B8%9A%E0%B8%B8%E0%B8%A3%E0%B8%B5%20%E0%B8%81%E0%B8%A3%E0%B8%B8%E0%B8%87%E0%B9%80%E0%B8%97%E0%B8%9E%E0%B8%A1%E0%B8%AB%E0%B8%B2%E0%B8%99%E0%B8%84%E0%B8%A3&amp;query_place_id=ChIJp60uJFyY4jARPoEfoWuG7vw" TargetMode="External"/><Relationship Id="rId493" Type="http://schemas.openxmlformats.org/officeDocument/2006/relationships/hyperlink" Target="https://maps.app.goo.gl/JwqkUGanTRMf64SVA" TargetMode="External"/><Relationship Id="rId250" Type="http://schemas.openxmlformats.org/officeDocument/2006/relationships/hyperlink" Target="https://floodsupport.bangkok.go.th/api/data" TargetMode="External"/><Relationship Id="rId492" Type="http://schemas.openxmlformats.org/officeDocument/2006/relationships/hyperlink" Target="https://www.google.com/maps/place/%E0%B9%82%E0%B8%A3%E0%B8%87%E0%B9%80%E0%B8%A3%E0%B8%B5%E0%B8%A2%E0%B8%99%E0%B8%A7%E0%B8%B1%E0%B8%94%E0%B8%AA%E0%B8%B2%E0%B8%A3%E0%B8%AD%E0%B8%94/@13.6733673,100.49305,15z/data=!3m1!4b1!4m6!3m5!1s0x30e2a26bf56d4f73:0x3f52980754421a52!8m2!3d13.6733675!4d100.5033283!16s%2Fg%2F1v2dyz73?entry=tts&amp;g_ep=EgoyMDI2MDkyMy4wIPu8ASoASAFQAw%3D%3D&amp;skid=1aefef7b-e799-466e-a2cc-ee2228af5b25" TargetMode="External"/><Relationship Id="rId257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" TargetMode="External"/><Relationship Id="rId499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" TargetMode="External"/><Relationship Id="rId256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" TargetMode="External"/><Relationship Id="rId498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A5%E0%B8%B2%E0%B8%94%E0%B8%81%E0%B8%A3%E0%B8%B0%E0%B8%9A%E0%B8%B1%E0%B8%87%20%E0%B9%80%E0%B8%82%E0%B8%95%E0%B8%A5%E0%B8%B2%E0%B8%94%E0%B8%81%E0%B8%A3%E0%B8%B0%E0%B8%9A%E0%B8%B1%E0%B8%87%20%E0%B8%81%E0%B8%A3%E0%B8%B8%E0%B8%87%E0%B9%80%E0%B8%97%E0%B8%9E%E0%B8%A1%E0%B8%AB%E0%B8%B2%E0%B8%99%E0%B8%84%E0%B8%A3&amp;query_place_id=ChIJocJWbctnHTERnIaJwzM1RK0" TargetMode="External"/><Relationship Id="rId255" Type="http://schemas.openxmlformats.org/officeDocument/2006/relationships/hyperlink" Target="https://www.google.com/maps/search/?api=1&amp;query=%E0%B9%82%E0%B8%A3%E0%B8%87%E0%B9%80%E0%B8%A3%E0%B8%B5%E0%B8%A2%E0%B8%99%E0%B8%A7%E0%B8%B1%E0%B8%94%E0%B8%81%E0%B8%A3%E0%B8%B0%E0%B8%88%E0%B8%B1%E0%B8%9A%E0%B8%9E%E0%B8%B4%E0%B8%99%E0%B8%B4%E0%B8%88%20%E0%B9%80%E0%B8%82%E0%B8%95%E0%B8%98%E0%B8%99%E0%B8%9A%E0%B8%B8%E0%B8%A3%E0%B8%B5%20%E0%B8%81%E0%B8%A3%E0%B8%B8%E0%B8%87%E0%B9%80%E0%B8%97%E0%B8%9E%E0%B8%A1%E0%B8%AB%E0%B8%B2%E0%B8%99%E0%B8%84%E0%B8%A3&amp;query_place_id=ChIJyWVDPvWY4jARcs2kvVqW_7I" TargetMode="External"/><Relationship Id="rId497" Type="http://schemas.openxmlformats.org/officeDocument/2006/relationships/hyperlink" Target="https://floodsupport.bangkok.go.th/api/data" TargetMode="External"/><Relationship Id="rId254" Type="http://schemas.openxmlformats.org/officeDocument/2006/relationships/hyperlink" Target="https://floodsupport.bangkok.go.th/api/data" TargetMode="External"/><Relationship Id="rId496" Type="http://schemas.openxmlformats.org/officeDocument/2006/relationships/hyperlink" Target="https://maps.app.goo.gl/zKg8J8C1fJDUEafU9" TargetMode="External"/><Relationship Id="rId293" Type="http://schemas.openxmlformats.org/officeDocument/2006/relationships/hyperlink" Target="https://www.google.com/maps/place/%E0%B9%82%E0%B8%A3%E0%B8%87%E0%B9%80%E0%B8%A3%E0%B8%B5%E0%B8%A2%E0%B8%99%E0%B8%A7%E0%B8%B1%E0%B8%94%E0%B8%9A%E0%B8%B2%E0%B8%87%E0%B9%80%E0%B8%AA%E0%B8%B2%E0%B8%98%E0%B8%87/@13.7433755,100.4648841,1046m/data=!3m2!1e3!4b1!4m6!3m5!1s0x30e299b6abdb94bf:0xc53a05002f807a35!8m2!3d13.7433703!4d100.467459!16s%2Fg%2F1ptzgrj_h!5m1!1e1?entry=tts&amp;g_ep=EgoyMDI2MDkyMy4wIPu8ASoASAFQAw%3D%3D&amp;skid=52bd52f9-3f44-4e53-adaa-255d38c2cf04" TargetMode="External"/><Relationship Id="rId292" Type="http://schemas.openxmlformats.org/officeDocument/2006/relationships/hyperlink" Target="https://floodsupport.bangkok.go.th/api/data" TargetMode="External"/><Relationship Id="rId291" Type="http://schemas.openxmlformats.org/officeDocument/2006/relationships/hyperlink" Target="https://maps.app.goo.gl/5X1wFufXFjNG1PRx9" TargetMode="External"/><Relationship Id="rId290" Type="http://schemas.openxmlformats.org/officeDocument/2006/relationships/hyperlink" Target="https://www.google.com/maps/place/%E0%B9%82%E0%B8%A3%E0%B8%87%E0%B9%80%E0%B8%A3%E0%B8%B5%E0%B8%A2%E0%B8%99%E0%B8%A7%E0%B8%B1%E0%B8%94%E0%B8%9A%E0%B8%B2%E0%B8%87%E0%B8%82%E0%B8%B8%E0%B8%99%E0%B8%99%E0%B8%99%E0%B8%97%E0%B9%8C/@13.7671967,100.4664853,1046m/data=!3m2!1e3!4b1!4m6!3m5!1s0x30e2999109226681:0xa86a0645f210ea2!8m2!3d13.7671915!4d100.4690602!16s%2Fg%2F1pp2tl88f!5m1!1e1?entry=tts&amp;g_ep=EgoyMDI2MDkyMy4wIPu8ASoASAFQAw%3D%3D&amp;skid=0a71ae91-ad21-4c34-af6d-ece8350850a4" TargetMode="External"/><Relationship Id="rId286" Type="http://schemas.openxmlformats.org/officeDocument/2006/relationships/hyperlink" Target="https://floodsupport.bangkok.go.th/api/data" TargetMode="External"/><Relationship Id="rId285" Type="http://schemas.openxmlformats.org/officeDocument/2006/relationships/hyperlink" Target="https://maps.app.goo.gl/fc7zNCiTJbjNv1zc8" TargetMode="External"/><Relationship Id="rId284" Type="http://schemas.openxmlformats.org/officeDocument/2006/relationships/hyperlink" Target="https://www.google.com/maps/place/Wat+Dong+Munlek+School/@13.7514269,100.4727135,1046m/data=!3m2!1e3!4b1!4m6!3m5!1s0x30e299a875861ab9:0xcf456a7aa278a7d5!8m2!3d13.7514217!4d100.4752884!16s%2Fg%2F1hc2bhx43!5m1!1e1?entry=tts&amp;g_ep=EgoyMDI2MDkyMy4wIPu8ASoASAFQAw%3D%3D&amp;skid=5c06af12-ac4f-4c2b-ba56-66d97dda13b3" TargetMode="External"/><Relationship Id="rId283" Type="http://schemas.openxmlformats.org/officeDocument/2006/relationships/hyperlink" Target="https://floodsupport.bangkok.go.th/api/data" TargetMode="External"/><Relationship Id="rId289" Type="http://schemas.openxmlformats.org/officeDocument/2006/relationships/hyperlink" Target="https://floodsupport.bangkok.go.th/api/data" TargetMode="External"/><Relationship Id="rId288" Type="http://schemas.openxmlformats.org/officeDocument/2006/relationships/hyperlink" Target="https://maps.app.goo.gl/PG2qVn4tGCaPwnB98" TargetMode="External"/><Relationship Id="rId287" Type="http://schemas.openxmlformats.org/officeDocument/2006/relationships/hyperlink" Target="https://www.google.com/maps/place/%E0%B9%82%E0%B8%A3%E0%B8%87%E0%B9%80%E0%B8%A3%E0%B8%B5%E0%B8%A2%E0%B8%99%E0%B8%A7%E0%B8%B1%E0%B8%94%E0%B8%94%E0%B8%B8%E0%B8%AA%E0%B8%B4%E0%B8%95%E0%B8%B2%E0%B8%A3%E0%B8%B2%E0%B8%A1/@13.7636107,100.4857019,1046m/data=!3m1!1e3!4m7!3m6!1s0x30e29996585600b5:0x7604d08706c83611!8m2!3d13.7640487!4d100.487278!15sCjzguYLguKPguIfguYDguKPguLXguKLguJnguKfguLHguJTguJTguLjguKrguLTguJXguLLguKPguLLguKGSARFlbGVtZW50YXJ5X3NjaG9vbOABAA!16s%2Fg%2F11vhk6v9ky!5m1!1e1?entry=tts&amp;g_ep=EgoyMDI2MDkyMy4wIPu8ASoASAFQAw%3D%3D&amp;skid=c670abdd-af06-412e-868d-666193b575de" TargetMode="External"/><Relationship Id="rId282" Type="http://schemas.openxmlformats.org/officeDocument/2006/relationships/hyperlink" Target="https://maps.app.goo.gl/UjCcAbUePvdzGMoZ7" TargetMode="External"/><Relationship Id="rId281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" TargetMode="External"/><Relationship Id="rId280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" TargetMode="External"/><Relationship Id="rId275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" TargetMode="External"/><Relationship Id="rId274" Type="http://schemas.openxmlformats.org/officeDocument/2006/relationships/hyperlink" Target="https://floodsupport.bangkok.go.th/api/data" TargetMode="External"/><Relationship Id="rId273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" TargetMode="External"/><Relationship Id="rId272" Type="http://schemas.openxmlformats.org/officeDocument/2006/relationships/hyperlink" Target="https://www.google.com/maps/search/?api=1&amp;query=%E0%B9%82%E0%B8%A3%E0%B8%87%E0%B9%80%E0%B8%A3%E0%B8%B5%E0%B8%A2%E0%B8%99%E0%B8%A7%E0%B8%B1%E0%B8%94%E0%B8%9A%E0%B8%B8%E0%B8%84%E0%B8%84%E0%B9%82%E0%B8%A5%20%E0%B9%80%E0%B8%82%E0%B8%95%E0%B8%98%E0%B8%99%E0%B8%9A%E0%B8%B8%E0%B8%A3%E0%B8%B5%20%E0%B8%81%E0%B8%A3%E0%B8%B8%E0%B8%87%E0%B9%80%E0%B8%97%E0%B8%9E%E0%B8%A1%E0%B8%AB%E0%B8%B2%E0%B8%99%E0%B8%84%E0%B8%A3&amp;query_place_id=ChIJcUBOQoaY4jARn9HLWBIgKIQ" TargetMode="External"/><Relationship Id="rId279" Type="http://schemas.openxmlformats.org/officeDocument/2006/relationships/hyperlink" Target="https://www.google.com/maps/search/?api=1&amp;query=%E0%B9%82%E0%B8%A3%E0%B8%87%E0%B9%80%E0%B8%A3%E0%B8%B5%E0%B8%A2%E0%B8%99%E0%B8%A7%E0%B8%B1%E0%B8%94%E0%B9%83%E0%B8%AB%E0%B8%A1%E0%B9%88%E0%B8%A2%E0%B8%B2%E0%B8%A2%E0%B8%99%E0%B8%B8%E0%B9%89%E0%B8%A2%20%E0%B9%80%E0%B8%82%E0%B8%95%E0%B8%98%E0%B8%99%E0%B8%9A%E0%B8%B8%E0%B8%A3%E0%B8%B5%20%E0%B8%81%E0%B8%A3%E0%B8%B8%E0%B8%87%E0%B9%80%E0%B8%97%E0%B8%9E%E0%B8%A1%E0%B8%AB%E0%B8%B2%E0%B8%99%E0%B8%84%E0%B8%A3&amp;query_place_id=ChIJMZfkmGmY4jARwDtWkHTguew" TargetMode="External"/><Relationship Id="rId278" Type="http://schemas.openxmlformats.org/officeDocument/2006/relationships/hyperlink" Target="https://floodsupport.bangkok.go.th/api/data" TargetMode="External"/><Relationship Id="rId277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" TargetMode="External"/><Relationship Id="rId276" Type="http://schemas.openxmlformats.org/officeDocument/2006/relationships/hyperlink" Target="https://www.google.com/maps/search/?api=1&amp;query=%E0%B9%82%E0%B8%A3%E0%B8%87%E0%B9%80%E0%B8%A3%E0%B8%B5%E0%B8%A2%E0%B8%99%E0%B8%A7%E0%B8%B1%E0%B8%94%E0%B9%83%E0%B8%AB%E0%B8%8D%E0%B9%88%E0%B8%A8%E0%B8%A3%E0%B8%B5%E0%B8%AA%E0%B8%B8%E0%B8%9E%E0%B8%A3%E0%B8%A3%E0%B8%93%20%E0%B9%80%E0%B8%82%E0%B8%95%E0%B8%98%E0%B8%99%E0%B8%9A%E0%B8%B8%E0%B8%A3%E0%B8%B5%20%E0%B8%81%E0%B8%A3%E0%B8%B8%E0%B8%87%E0%B9%80%E0%B8%97%E0%B8%9E%E0%B8%A1%E0%B8%AB%E0%B8%B2%E0%B8%99%E0%B8%84%E0%B8%A3&amp;query_place_id=ChIJTQxd_bKY4jARmdAhRvPGbiU" TargetMode="External"/><Relationship Id="rId629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" TargetMode="External"/><Relationship Id="rId624" Type="http://schemas.openxmlformats.org/officeDocument/2006/relationships/hyperlink" Target="https://floodsupport.bangkok.go.th/api/data" TargetMode="External"/><Relationship Id="rId623" Type="http://schemas.openxmlformats.org/officeDocument/2006/relationships/hyperlink" Target=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 TargetMode="External"/><Relationship Id="rId622" Type="http://schemas.openxmlformats.org/officeDocument/2006/relationships/hyperlink" Target="https://floodsupport.bangkok.go.th/api/data" TargetMode="External"/><Relationship Id="rId621" Type="http://schemas.openxmlformats.org/officeDocument/2006/relationships/hyperlink" Target="https://www.google.com/maps/dir//%E0%B9%82%E0%B8%A3%E0%B8%87%E0%B9%80%E0%B8%A3%E0%B8%B5%E0%B8%A2%E0%B8%99%E0%B9%81%E0%B8%88%E0%B9%88%E0%B8%A1%E0%B8%88%E0%B8%B1%E0%B8%99%E0%B8%97%E0%B8%A3%E0%B9%8C+75+%E0%B8%8B.+%E0%B9%80%E0%B8%AD%E0%B8%81%E0%B8%A1%E0%B8%B1%E0%B8%A2+21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3m1!4b1!4m8!4m7!1m0!1m5!1m1!1s0x30e29e4e6c24f993:0x5abdc4b2a44257a5!2m2!1d100.587692!2d13.7391174?entry=ttu&amp;g_ep=EgoyMDI2MDkyMy4wIKXMDSoASAFQAw%3D%3D" TargetMode="External"/><Relationship Id="rId628" Type="http://schemas.openxmlformats.org/officeDocument/2006/relationships/hyperlink" Target="https://floodsupport.bangkok.go.th/api/data" TargetMode="External"/><Relationship Id="rId627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" TargetMode="External"/><Relationship Id="rId626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" TargetMode="External"/><Relationship Id="rId625" Type="http://schemas.openxmlformats.org/officeDocument/2006/relationships/hyperlink" Target="https://www.google.com/maps/search/?api=1&amp;query=%E0%B8%A8%E0%B8%B9%E0%B8%99%E0%B8%A2%E0%B9%8C%E0%B8%9E%E0%B8%B1%E0%B8%92%E0%B8%99%E0%B8%B2%E0%B9%80%E0%B8%94%E0%B9%87%E0%B8%81%E0%B8%81%E0%B9%88%E0%B8%AD%E0%B8%99%E0%B8%A7%E0%B8%B1%E0%B8%A2%E0%B9%80%E0%B8%A3%E0%B8%B5%E0%B8%A2%E0%B8%99%E0%B8%8A%E0%B8%B8%E0%B8%A1%E0%B8%8A%E0%B8%99%E0%B8%98%E0%B8%A3%E0%B8%A3%E0%B8%A1%E0%B8%B2%E0%B8%99%E0%B8%B8%E0%B8%A3%E0%B8%B1%E0%B8%81%E0%B8%A9%E0%B9%8C%20%E0%B9%80%E0%B8%82%E0%B8%95%E0%B8%AA%E0%B8%A7%E0%B8%99%E0%B8%AB%E0%B8%A5%E0%B8%A7%E0%B8%87%20%E0%B8%81%E0%B8%A3%E0%B8%B8%E0%B8%87%E0%B9%80%E0%B8%97%E0%B8%9E%E0%B8%A1%E0%B8%AB%E0%B8%B2%E0%B8%99%E0%B8%84%E0%B8%A3&amp;query_place_id=ChIJzSyr3tthHTERhUOdPYi1Wc0" TargetMode="External"/><Relationship Id="rId620" Type="http://schemas.openxmlformats.org/officeDocument/2006/relationships/hyperlink" Target=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 TargetMode="External"/><Relationship Id="rId619" Type="http://schemas.openxmlformats.org/officeDocument/2006/relationships/hyperlink" Target="https://floodsupport.bangkok.go.th/api/data" TargetMode="External"/><Relationship Id="rId618" Type="http://schemas.openxmlformats.org/officeDocument/2006/relationships/hyperlink" Target="https://www.google.com/maps/dir//%E0%B9%82%E0%B8%A3%E0%B8%87%E0%B9%80%E0%B8%A3%E0%B8%B5%E0%B8%A2%E0%B8%99%E0%B8%AA%E0%B8%B8%E0%B9%80%E0%B8%AB%E0%B8%A3%E0%B9%88%E0%B8%B2%E0%B8%AA%E0%B8%B2%E0%B8%A1%E0%B8%AD%E0%B8%B4%E0%B8%99+%E0%B8%8B%E0%B8%AD%E0%B8%A2+%E0%B8%AA%E0%B8%B8%E0%B8%82%E0%B8%B8%E0%B8%A1%E0%B8%A7%E0%B8%B4%E0%B8%97+%E0%B9%81%E0%B8%82%E0%B8%A7%E0%B8%87%E0%B8%84%E0%B8%A5%E0%B8%AD%E0%B8%87%E0%B8%95%E0%B8%B1%E0%B8%99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b5941fa4c5:0xccc259cf957db33!2m2!1d100.5962461!2d13.7277882?entry=ttu&amp;g_ep=EgoyMDI2MDkyMy4wIKXMDSoASAFQAw%3D" TargetMode="External"/><Relationship Id="rId613" Type="http://schemas.openxmlformats.org/officeDocument/2006/relationships/hyperlink" Target="https://floodsupport.bangkok.go.th/api/data" TargetMode="External"/><Relationship Id="rId612" Type="http://schemas.openxmlformats.org/officeDocument/2006/relationships/hyperlink" Target=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 TargetMode="External"/><Relationship Id="rId611" Type="http://schemas.openxmlformats.org/officeDocument/2006/relationships/hyperlink" Target=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 TargetMode="External"/><Relationship Id="rId610" Type="http://schemas.openxmlformats.org/officeDocument/2006/relationships/hyperlink" Target="https://floodsupport.bangkok.go.th/api/data" TargetMode="External"/><Relationship Id="rId617" Type="http://schemas.openxmlformats.org/officeDocument/2006/relationships/hyperlink" Target=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 TargetMode="External"/><Relationship Id="rId616" Type="http://schemas.openxmlformats.org/officeDocument/2006/relationships/hyperlink" Target="https://floodsupport.bangkok.go.th/api/data" TargetMode="External"/><Relationship Id="rId615" Type="http://schemas.openxmlformats.org/officeDocument/2006/relationships/hyperlink" Target="https://www.google.com/maps/dir//%E0%B9%82%E0%B8%A3%E0%B8%87%E0%B9%80%E0%B8%A3%E0%B8%B5%E0%B8%A2%E0%B8%99%E0%B8%AA%E0%B8%B8%E0%B9%80%E0%B8%AB%E0%B8%A3%E0%B9%88%E0%B8%B2%E0%B8%9A%E0%B9%89%E0%B8%B2%E0%B8%99%E0%B8%94%E0%B8%AD%E0%B8%99+84+%E0%B8%96.+%E0%B8%AA%E0%B8%B8%E0%B8%82%E0%B8%B8%E0%B8%A1%E0%B8%A7%E0%B8%B4%E0%B8%97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" TargetMode="External"/><Relationship Id="rId614" Type="http://schemas.openxmlformats.org/officeDocument/2006/relationships/hyperlink" Target="https://www.google.com/maps/dir//%E0%B9%82%E0%B8%A3%E0%B8%87%E0%B9%80%E0%B8%A3%E0%B8%B5%E0%B8%A2%E0%B8%99%E0%B8%AA%E0%B8%B8%E0%B9%80%E0%B8%AB%E0%B8%A3%E0%B9%88%E0%B8%B2%E0%B8%9A%E0%B8%B2%E0%B8%87%E0%B8%A1%E0%B8%B0%E0%B9%80%E0%B8%82%E0%B8%B7%E0%B8%AD+%E0%B8%8B%E0%B8%AD%E0%B8%A2+%E0%B8%9B%E0%B8%A3%E0%B8%B5%E0%B8%94%E0%B8%B5%E0%B8%9E%E0%B8%99%E0%B8%A1%E0%B8%A2%E0%B8%87%E0%B8%84%E0%B9%8C2+%E0%B9%81%E0%B8%A2%E0%B8%81+1+%E0%B8%96.+%E0%B8%AA%E0%B8%B8%E0%B8%82%E0%B8%B8%E0%B8%A1%E0%B8%A7%E0%B8%B4%E0%B8%97+71+%E0%B9%81%E0%B8%82%E0%B8%A7%E0%B8%87%E0%B8%9E%E0%B8%A3%E0%B8%B0%E0%B9%82%E0%B8%82%E0%B8%99%E0%B8%87+%E0%B9%80%E0%B8%82%E0%B8%95%E0%B8%A7%E0%B8%B1%E0%B8%92%E0%B8%99%E0%B8%B2+%E0%B8%81%E0%B8%A3%E0%B8%B8%E0%B8%87%E0%B9%80%E0%B8%97%E0%B8%9E%E0%B8%A1%E0%B8%AB%E0%B8%B2%E0%B8%99%E0%B8%84%E0%B8%A3+10110/@13.7986048,100.6174208,12z/data=!4m8!4m7!1m0!1m5!1m1!1s0x30e29fb8a71a8a1d:0x655a370f652d2b85!2m2!1d100.5967501!2d13.7153612?entry=ttu&amp;g_ep=EgoyMDI2MDkyMy4wIKXMDSoASAFQAw%3D%3D" TargetMode="External"/><Relationship Id="rId409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" TargetMode="External"/><Relationship Id="rId404" Type="http://schemas.openxmlformats.org/officeDocument/2006/relationships/hyperlink" Target="https://www.google.com/maps/place/%E0%B9%82%E0%B8%A3%E0%B8%87%E0%B9%80%E0%B8%A3%E0%B8%B5%E0%B8%A2%E0%B8%99%E0%B9%80%E0%B8%9E%E0%B8%B5%E0%B9%89%E0%B8%A2%E0%B8%99%E0%B8%9E%E0%B8%B4%E0%B8%99%E0%B8%AD%E0%B8%99%E0%B8%B8%E0%B8%AA%E0%B8%A3%E0%B8%93%E0%B9%8C/@13.6637067,100.59507,17z/data=!3m1!4b1!4m6!3m5!1s0x30e2a1e3af3df729:0x2a195507be3cae30!8m2!3d13.6637015!4d100.5976449!16s%2Fg%2F11sb4xl6d0?entry=tts&amp;g_ep=EgoyMDI2MDkyMy4wIPu8ASoASAFQAw%3D%3D&amp;skid=7a74b4a8-f29a-4354-99cb-8186a37d37c7" TargetMode="External"/><Relationship Id="rId646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" TargetMode="External"/><Relationship Id="rId403" Type="http://schemas.openxmlformats.org/officeDocument/2006/relationships/hyperlink" Target="https://floodsupport.bangkok.go.th/api/data" TargetMode="External"/><Relationship Id="rId645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" TargetMode="External"/><Relationship Id="rId402" Type="http://schemas.openxmlformats.org/officeDocument/2006/relationships/hyperlink" Target="https://maps.app.goo.gl/s65Kh31qxiYkjTHA7" TargetMode="External"/><Relationship Id="rId644" Type="http://schemas.openxmlformats.org/officeDocument/2006/relationships/hyperlink" Target="https://www.google.com/maps/search/?api=1&amp;query=%E0%B9%82%E0%B8%A3%E0%B8%87%E0%B9%80%E0%B8%A3%E0%B8%B5%E0%B8%A2%E0%B8%99%E0%B8%A8%E0%B8%A3%E0%B8%B5%E0%B8%9E%E0%B8%A4%E0%B8%92%E0%B8%B2%20%E0%B9%80%E0%B8%82%E0%B8%95%E0%B8%AA%E0%B8%B0%E0%B8%9E%E0%B8%B2%E0%B8%99%E0%B8%AA%E0%B8%B9%E0%B8%87%20%E0%B8%81%E0%B8%A3%E0%B8%B8%E0%B8%87%E0%B9%80%E0%B8%97%E0%B8%9E%E0%B8%A1%E0%B8%AB%E0%B8%B2%E0%B8%99%E0%B8%84%E0%B8%A3&amp;query_place_id=ChIJb5go1DthHTERSvwbGf_G7os" TargetMode="External"/><Relationship Id="rId401" Type="http://schemas.openxmlformats.org/officeDocument/2006/relationships/hyperlink" Target="https://www.google.com/maps/place/%E0%B9%82%E0%B8%A3%E0%B8%87%E0%B9%80%E0%B8%A3%E0%B8%B5%E0%B8%A2%E0%B8%99%E0%B8%AD%E0%B8%B3%E0%B8%99%E0%B8%A7%E0%B8%A2%E0%B8%81%E0%B8%99%E0%B8%81%E0%B8%A8%E0%B8%B4%E0%B8%A3%E0%B8%B4%E0%B8%AD%E0%B8%99%E0%B8%B8%E0%B8%AA%E0%B8%A3%E0%B8%93%E0%B9%8C/@13.6749994,100.6164852,17z/data=!3m1!4b1!4m6!3m5!1s0x30e2a007f28f99a3:0x839841a0bbd7ea98!8m2!3d13.6749942!4d100.6190601!16s%2Fg%2F1tg_j2fk?entry=tts&amp;g_ep=EgoyMDI2MDkyMy4wIPu8ASoASAFQAw%3D%3D&amp;skid=57f40649-ceed-4317-bd47-b1cbc617236d" TargetMode="External"/><Relationship Id="rId643" Type="http://schemas.openxmlformats.org/officeDocument/2006/relationships/hyperlink" Target="https://floodsupport.bangkok.go.th/api/data" TargetMode="External"/><Relationship Id="rId408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" TargetMode="External"/><Relationship Id="rId407" Type="http://schemas.openxmlformats.org/officeDocument/2006/relationships/hyperlink" Target="https://www.google.com/maps/search/?api=1&amp;query=%E0%B9%82%E0%B8%A3%E0%B8%87%E0%B9%80%E0%B8%A3%E0%B8%B5%E0%B8%A2%E0%B8%99%E0%B8%A7%E0%B8%B1%E0%B8%94%E0%B8%AB%E0%B8%B1%E0%B8%A7%E0%B8%A5%E0%B8%B3%E0%B9%82%E0%B8%9E%E0%B8%87%20%E0%B9%80%E0%B8%82%E0%B8%95%E0%B8%9A%E0%B8%B2%E0%B8%87%E0%B8%A3%E0%B8%B1%E0%B8%81%20%E0%B8%81%E0%B8%A3%E0%B8%B8%E0%B8%87%E0%B9%80%E0%B8%97%E0%B8%9E%E0%B8%A1%E0%B8%AB%E0%B8%B2%E0%B8%99%E0%B8%84%E0%B8%A3&amp;query_place_id=ChIJYU92IdWY4jARJWYVbmOLVnY" TargetMode="External"/><Relationship Id="rId649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" TargetMode="External"/><Relationship Id="rId406" Type="http://schemas.openxmlformats.org/officeDocument/2006/relationships/hyperlink" Target="https://floodsupport.bangkok.go.th/api/data" TargetMode="External"/><Relationship Id="rId648" Type="http://schemas.openxmlformats.org/officeDocument/2006/relationships/hyperlink" Target="https://floodsupport.bangkok.go.th/api/data" TargetMode="External"/><Relationship Id="rId405" Type="http://schemas.openxmlformats.org/officeDocument/2006/relationships/hyperlink" Target="https://share.google/SN3IeQUtAgTeMzEf6" TargetMode="External"/><Relationship Id="rId647" Type="http://schemas.openxmlformats.org/officeDocument/2006/relationships/hyperlink" Target="https://maps.app.goo.gl/mL6qjZokdgQihY4x6?g_st=ic" TargetMode="External"/><Relationship Id="rId400" Type="http://schemas.openxmlformats.org/officeDocument/2006/relationships/hyperlink" Target="https://floodsupport.bangkok.go.th/api/data" TargetMode="External"/><Relationship Id="rId642" Type="http://schemas.openxmlformats.org/officeDocument/2006/relationships/hyperlink" Target="https://maps.app.goo.gl/29PqwaSCySY2hspa6?g_st=ic" TargetMode="External"/><Relationship Id="rId641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" TargetMode="External"/><Relationship Id="rId640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" TargetMode="External"/><Relationship Id="rId635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" TargetMode="External"/><Relationship Id="rId634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&amp;query_place_id=ChIJWzGM5WBhHTER9B86BJoiHiE" TargetMode="External"/><Relationship Id="rId633" Type="http://schemas.openxmlformats.org/officeDocument/2006/relationships/hyperlink" Target="https://floodsupport.bangkok.go.th/api/data" TargetMode="External"/><Relationship Id="rId632" Type="http://schemas.openxmlformats.org/officeDocument/2006/relationships/hyperlink" Target="https://maps.app.goo.gl/2REkkzWP6mf94LNE6?g_st=ic" TargetMode="External"/><Relationship Id="rId639" Type="http://schemas.openxmlformats.org/officeDocument/2006/relationships/hyperlink" Target="https://www.google.com/maps/search/?api=1&amp;query=%E0%B9%82%E0%B8%A3%E0%B8%87%E0%B9%80%E0%B8%A3%E0%B8%B5%E0%B8%A2%E0%B8%99%E0%B8%A7%E0%B8%B1%E0%B8%94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PwIAF0VhHTERSFdUgB1LB9Y" TargetMode="External"/><Relationship Id="rId638" Type="http://schemas.openxmlformats.org/officeDocument/2006/relationships/hyperlink" Target="https://floodsupport.bangkok.go.th/api/data" TargetMode="External"/><Relationship Id="rId637" Type="http://schemas.openxmlformats.org/officeDocument/2006/relationships/hyperlink" Target="https://maps.app.goo.gl/9d4amU62sLuNHe1w9?g_st=ic" TargetMode="External"/><Relationship Id="rId636" Type="http://schemas.openxmlformats.org/officeDocument/2006/relationships/hyperlink" Target="https://www.google.com/maps/search/?api=1&amp;query=%E0%B8%A8%E0%B8%B9%E0%B8%99%E0%B8%A2%E0%B9%8C%E0%B8%99%E0%B8%B1%E0%B8%99%E0%B8%97%E0%B8%99%E0%B8%B2%E0%B8%81%E0%B8%B2%E0%B8%A3%E0%B9%80%E0%B8%82%E0%B8%95%E0%B8%AA%E0%B8%B0%E0%B8%9E%E0%B8%B2%E0%B8%99%E0%B8%AA%E0%B8%B9%E0%B8%87%20%E0%B9%80%E0%B8%82%E0%B8%95%E0%B8%AA%E0%B8%B0%E0%B8%9E%E0%B8%B2%E0%B8%99%E0%B8%AA%E0%B8%B9%E0%B8%87%20%E0%B8%81%E0%B8%A3%E0%B8%B8%E0%B8%87%E0%B9%80%E0%B8%97%E0%B8%9E%E0%B8%A1%E0%B8%AB%E0%B8%B2%E0%B8%99%E0%B8%84%E0%B8%A3" TargetMode="External"/><Relationship Id="rId631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" TargetMode="External"/><Relationship Id="rId630" Type="http://schemas.openxmlformats.org/officeDocument/2006/relationships/hyperlink" Target="https://www.google.com/maps/search/?api=1&amp;query=%E0%B8%AB%E0%B9%89%E0%B8%AD%E0%B8%87%E0%B8%9B%E0%B8%A3%E0%B8%B0%E0%B8%8A%E0%B8%B8%E0%B8%A1%E0%B8%AA%E0%B8%A7%E0%B8%99%E0%B8%AB%E0%B8%A5%E0%B8%A7%E0%B8%87%20%E0%B8%8A%E0%B8%B1%E0%B9%89%E0%B8%99%206%20%E0%B8%AA%E0%B8%B3%E0%B8%99%E0%B8%B1%E0%B8%81%E0%B8%87%E0%B8%B2%E0%B8%99%E0%B9%80%E0%B8%82%E0%B8%95%E0%B8%AA%E0%B8%A7%E0%B8%99%E0%B8%AB%E0%B8%A5%E0%B8%A7%E0%B8%87%20%E0%B9%80%E0%B8%82%E0%B8%95%E0%B8%AA%E0%B8%A7%E0%B8%99%E0%B8%AB%E0%B8%A5%E0%B8%A7%E0%B8%87%20%E0%B8%81%E0%B8%A3%E0%B8%B8%E0%B8%87%E0%B9%80%E0%B8%97%E0%B8%9E%E0%B8%A1%E0%B8%AB%E0%B8%B2%E0%B8%99%E0%B8%84%E0%B8%A3&amp;query_place_id=ChIJ-zL4xLJhHTERFaIe2YGWRnI" TargetMode="External"/><Relationship Id="rId609" Type="http://schemas.openxmlformats.org/officeDocument/2006/relationships/hyperlink" Target="https://www.google.com/maps/dir//%E0%B9%82%E0%B8%A3%E0%B8%87%E0%B9%80%E0%B8%A3%E0%B8%B5%E0%B8%A2%E0%B8%99%E0%B8%AA%E0%B8%A7%E0%B8%B1%E0%B8%AA%E0%B8%94%E0%B8%B5%E0%B8%A7%E0%B8%B4%E0%B8%97%E0%B8%A2%E0%B8%B2+35%2F10+%E0%B8%8B%E0%B8%AD%E0%B8%A2+%E0%B8%AA%E0%B8%B8%E0%B8%82%E0%B8%B8%E0%B8%A1%E0%B8%A7%E0%B8%B4%E0%B8%97+31+%E0%B9%81%E0%B8%82%E0%B8%A7%E0%B8%87%E0%B8%84%E0%B8%A5%E0%B8%AD%E0%B8%87%E0%B9%80%E0%B8%95%E0%B8%A2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efb9c42273b:0xfc179f752a3d0dff!2m2!1d100.5662747!2d13.7399734?entry=ttu&amp;g_ep=EgoyMDI2MDkyMy4wIKXMDSoASAFQAw%3D%3D" TargetMode="External"/><Relationship Id="rId608" Type="http://schemas.openxmlformats.org/officeDocument/2006/relationships/hyperlink" Target=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 TargetMode="External"/><Relationship Id="rId607" Type="http://schemas.openxmlformats.org/officeDocument/2006/relationships/hyperlink" Target="https://floodsupport.bangkok.go.th/api/data" TargetMode="External"/><Relationship Id="rId602" Type="http://schemas.openxmlformats.org/officeDocument/2006/relationships/hyperlink" Target="https://floodsupport.bangkok.go.th/api/data" TargetMode="External"/><Relationship Id="rId601" Type="http://schemas.openxmlformats.org/officeDocument/2006/relationships/hyperlink" Target="https://maps.app.goo.gl/nQ2WXTAcZrT6ixTeA?g_st=ic" TargetMode="External"/><Relationship Id="rId600" Type="http://schemas.openxmlformats.org/officeDocument/2006/relationships/hyperlink" Target="https://www.google.com/maps/search/?api=1&amp;query=%E0%B9%82%E0%B8%A3%E0%B8%87%E0%B9%80%E0%B8%A3%E0%B8%B5%E0%B8%A2%E0%B8%99%E0%B9%80%E0%B8%97%E0%B8%9E%E0%B8%A7%E0%B8%B4%E0%B8%97%E0%B8%A2%E0%B8%B2%20%E0%B9%80%E0%B8%82%E0%B8%95%E0%B8%A5%E0%B8%B2%E0%B8%94%E0%B8%9E%E0%B8%A3%E0%B9%89%E0%B8%B2%E0%B8%A7%20%E0%B8%81%E0%B8%A3%E0%B8%B8%E0%B8%87%E0%B9%80%E0%B8%97%E0%B8%9E%E0%B8%A1%E0%B8%AB%E0%B8%B2%E0%B8%99%E0%B8%84%E0%B8%A3" TargetMode="External"/><Relationship Id="rId606" Type="http://schemas.openxmlformats.org/officeDocument/2006/relationships/hyperlink" Target="https://www.google.com/maps/dir//%E0%B9%82%E0%B8%A3%E0%B8%87%E0%B9%80%E0%B8%A3%E0%B8%B5%E0%B8%A2%E0%B8%99%E0%B8%A7%E0%B8%B1%E0%B8%94%E0%B8%98%E0%B8%B2%E0%B8%95%E0%B8%B8%E0%B8%97%E0%B8%AD%E0%B8%87(%E0%B9%80%E0%B8%A3%E0%B8%B7%E0%B8%AD%E0%B8%99%E0%B9%80%E0%B8%82%E0%B8%B5%E0%B8%A2%E0%B8%A7%E0%B8%AA%E0%B8%B0%E0%B8%AD%E0%B8%B2%E0%B8%94)+1325+%E0%B8%96.+%E0%B8%AA%E0%B8%B8%E0%B8%82%E0%B8%B8%E0%B8%A1%E0%B8%A7%E0%B8%B4%E0%B8%97+%E0%B9%81%E0%B8%82%E0%B8%A7%E0%B8%87%E0%B8%9E%E0%B8%A3%E0%B8%B0%E0%B9%82%E0%B8%82%E0%B8%99%E0%B8%87%E0%B9%80%E0%B8%AB%E0%B8%99%E0%B8%B7%E0%B8%AD+%E0%B9%80%E0%B8%82%E0%B8%95%E0%B8%A7%E0%B8%B1%E0%B8%92%E0%B8%99%E0%B8%B2+%E0%B8%81%E0%B8%A3%E0%B8%B8%E0%B8%87%E0%B9%80%E0%B8%97%E0%B8%9E%E0%B8%A1%E0%B8%AB%E0%B8%B2%E0%B8%99%E0%B8%84%E0%B8%A3+10110/@13.7986048,100.6174208,12z/data=!4m8!4m7!1m0!1m5!1m1!1s0x30e29f66e118c887:0x7d668b0b96816377!2m2!1d100.5866626!2d13.7196058?entry=ttu&amp;g_ep=EgoyMDI2MDkyMy4wIKXMDSoASAFQAw%3D%3D" TargetMode="External"/><Relationship Id="rId605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" TargetMode="External"/><Relationship Id="rId604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" TargetMode="External"/><Relationship Id="rId603" Type="http://schemas.openxmlformats.org/officeDocument/2006/relationships/hyperlink" Target="https://www.google.com/maps/search/?api=1&amp;query=%E0%B9%82%E0%B8%A3%E0%B8%87%E0%B9%80%E0%B8%A3%E0%B8%B5%E0%B8%A2%E0%B8%99%E0%B9%80%E0%B8%9E%E0%B8%8A%E0%B8%A3%E0%B8%96%E0%B8%99%E0%B8%AD%E0%B8%A1%20%E0%B9%80%E0%B8%82%E0%B8%95%E0%B8%A5%E0%B8%B2%E0%B8%94%E0%B8%9E%E0%B8%A3%E0%B9%89%E0%B8%B2%E0%B8%A7%20%E0%B8%81%E0%B8%A3%E0%B8%B8%E0%B8%87%E0%B9%80%E0%B8%97%E0%B8%9E%E0%B8%A1%E0%B8%AB%E0%B8%B2%E0%B8%99%E0%B8%84%E0%B8%A3&amp;query_place_id=ChIJhfNwrXid4jARnaiAizuhfTU" TargetMode="External"/><Relationship Id="rId228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" TargetMode="External"/><Relationship Id="rId227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&amp;query_place_id=ChIJHaCfb1Ki4jARN7TdTGzhrLM" TargetMode="External"/><Relationship Id="rId469" Type="http://schemas.openxmlformats.org/officeDocument/2006/relationships/hyperlink" Target="https://www.google.com/maps/place/%E0%B9%82%E0%B8%A3%E0%B8%87%E0%B9%80%E0%B8%A3%E0%B8%B5%E0%B8%A2%E0%B8%99%E0%B8%AA%E0%B8%B8%E0%B9%80%E0%B8%AB%E0%B8%A3%E0%B9%88%E0%B8%B2%E0%B8%97%E0%B8%A3%E0%B8%B2%E0%B8%A2%E0%B8%81%E0%B8%AD%E0%B8%87%E0%B8%94%E0%B8%B4%E0%B8%99/@13.8334015,100.7553081,15z/data=!3m1!4b1!4m6!3m5!1s0x311d64559988d539:0xdf6a547b3a968a14!8m2!3d13.8334022!4d100.7737621!16s%2Fg%2F1hc1_jb91!5m1!1e4?entry=tts&amp;g_ep=EgoyMDI2MDkyMy4wIPu8ASoASAFQAw%3D%3D&amp;skid=87fc198d-4e91-435b-ace4-fa7a3a6f3287" TargetMode="External"/><Relationship Id="rId226" Type="http://schemas.openxmlformats.org/officeDocument/2006/relationships/hyperlink" Target="https://floodsupport.bangkok.go.th/api/data" TargetMode="External"/><Relationship Id="rId468" Type="http://schemas.openxmlformats.org/officeDocument/2006/relationships/hyperlink" Target="https://floodsupport.bangkok.go.th/api/data" TargetMode="External"/><Relationship Id="rId225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" TargetMode="External"/><Relationship Id="rId467" Type="http://schemas.openxmlformats.org/officeDocument/2006/relationships/hyperlink" Target="https://maps.app.goo.gl/6uSbkzoc8Nyn6W2f6" TargetMode="External"/><Relationship Id="rId229" Type="http://schemas.openxmlformats.org/officeDocument/2006/relationships/hyperlink" Target="https://www.google.com/maps/search/?api=1&amp;query=%E0%B9%82%E0%B8%A3%E0%B8%87%E0%B9%80%E0%B8%A3%E0%B8%B5%E0%B8%A2%E0%B8%99%E0%B8%99%E0%B8%B2%E0%B8%AB%E0%B8%A5%E0%B8%A7%E0%B8%87%20%E0%B9%80%E0%B8%82%E0%B8%95%E0%B8%97%E0%B8%B8%E0%B9%88%E0%B8%87%E0%B8%84%E0%B8%A3%E0%B8%B8%20%E0%B8%81%E0%B8%A3%E0%B8%B8%E0%B8%87%E0%B9%80%E0%B8%97%E0%B8%9E%E0%B8%A1%E0%B8%AB%E0%B8%B2%E0%B8%99%E0%B8%84%E0%B8%A3" TargetMode="External"/><Relationship Id="rId220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" TargetMode="External"/><Relationship Id="rId462" Type="http://schemas.openxmlformats.org/officeDocument/2006/relationships/hyperlink" Target="https://floodsupport.bangkok.go.th/api/data" TargetMode="External"/><Relationship Id="rId461" Type="http://schemas.openxmlformats.org/officeDocument/2006/relationships/hyperlink" Target="https://maps.app.goo.gl/STehFm7UqdtWCgov7" TargetMode="External"/><Relationship Id="rId460" Type="http://schemas.openxmlformats.org/officeDocument/2006/relationships/hyperlink" Target="https://www.google.com/maps/place/%E0%B8%AA%E0%B8%B3%E0%B8%99%E0%B8%B1%E0%B8%81%E0%B8%87%E0%B8%B2%E0%B8%99%E0%B9%80%E0%B8%82%E0%B8%95%E0%B8%A1%E0%B8%B5%E0%B8%99%E0%B8%9A%E0%B8%B8%E0%B8%A3%E0%B8%B5/@13.8133554,100.7309014,19z/data=!4m6!3m5!1s0x311d646091629b95:0x9fee9bfced735231!8m2!3d13.8135273!4d100.7313091!16s%2Fg%2F11b62_8tjg!5m1!1e4?entry=tts&amp;g_ep=EgoyMDI2MDkyMy4wIPu8ASoASAFQAw%3D%3D&amp;skid=2376ea4b-f6fa-411d-9fc4-4cb78c28d594" TargetMode="External"/><Relationship Id="rId224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" TargetMode="External"/><Relationship Id="rId466" Type="http://schemas.openxmlformats.org/officeDocument/2006/relationships/hyperlink" Target="https://www.google.com/maps/place/%E0%B9%82%E0%B8%A3%E0%B8%87%E0%B9%80%E0%B8%A3%E0%B8%B5%E0%B8%A2%E0%B8%99+%E0%B8%A8%E0%B8%B2%E0%B8%A5%E0%B8%B2%E0%B8%84%E0%B8%B9%E0%B9%89/@13.8452942,100.7771821,15z/data=!3m1!4b1!4m6!3m5!1s0x311d6577ffd879b3:0x46c66743b307309f!8m2!3d13.8452949!4d100.7956361!16s%2Fg%2F1tlbg0p6!5m1!1e4?entry=tts&amp;g_ep=EgoyMDI2MDkyMy4wIPu8ASoASAFQAw%3D%3D&amp;skid=43e43327-f085-4d5a-9a5d-9e05bb0a2661" TargetMode="External"/><Relationship Id="rId223" Type="http://schemas.openxmlformats.org/officeDocument/2006/relationships/hyperlink" Target="https://www.google.com/maps/search/?api=1&amp;query=%E0%B9%82%E0%B8%A3%E0%B8%87%E0%B9%80%E0%B8%A3%E0%B8%B5%E0%B8%A2%E0%B8%99%E0%B8%8A%E0%B8%B9%E0%B8%AA%E0%B8%B4%E0%B8%99%E0%B8%97%E0%B8%AD%E0%B8%87%E0%B8%9B%E0%B8%A3%E0%B8%B0%E0%B8%94%E0%B8%B4%E0%B8%A9%E0%B8%90%E0%B9%8C%E0%B8%AD%E0%B8%99%E0%B8%B8%E0%B8%AA%E0%B8%A3%E0%B8%93%E0%B9%8C%20%E0%B9%80%E0%B8%82%E0%B8%95%E0%B8%97%E0%B8%B8%E0%B9%88%E0%B8%87%E0%B8%84%E0%B8%A3%E0%B8%B8%20%E0%B8%81%E0%B8%A3%E0%B8%B8%E0%B8%87%E0%B9%80%E0%B8%97%E0%B8%9E%E0%B8%A1%E0%B8%AB%E0%B8%B2%E0%B8%99%E0%B8%84%E0%B8%A3&amp;query_place_id=ChIJTZwZTzii4jARW-xaZsjeSlU" TargetMode="External"/><Relationship Id="rId465" Type="http://schemas.openxmlformats.org/officeDocument/2006/relationships/hyperlink" Target="https://floodsupport.bangkok.go.th/api/data" TargetMode="External"/><Relationship Id="rId222" Type="http://schemas.openxmlformats.org/officeDocument/2006/relationships/hyperlink" Target="https://floodsupport.bangkok.go.th/api/data" TargetMode="External"/><Relationship Id="rId464" Type="http://schemas.openxmlformats.org/officeDocument/2006/relationships/hyperlink" Target="https://maps.app.goo.gl/ommx5M5VvMYWR7ReA" TargetMode="External"/><Relationship Id="rId221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" TargetMode="External"/><Relationship Id="rId463" Type="http://schemas.openxmlformats.org/officeDocument/2006/relationships/hyperlink" Target="https://www.google.com/maps/place/%E0%B9%82%E0%B8%A3%E0%B8%87%E0%B9%80%E0%B8%A3%E0%B8%B5%E0%B8%A2%E0%B8%99%E0%B8%A7%E0%B8%B1%E0%B8%87%E0%B9%80%E0%B8%A5%E0%B9%87%E0%B8%81%E0%B8%A7%E0%B8%B4%E0%B8%97%E0%B8%A2%E0%B8%B2%E0%B8%99%E0%B8%B8%E0%B8%AA%E0%B8%A3%E0%B8%93%E0%B9%8C/@13.8036321,100.7523301,15z/data=!3m1!4b1!4m6!3m5!1s0x311d65bb3bf9c5f1:0xf8706c1b10479d18!8m2!3d13.8036328!4d100.7707841!16s%2Fg%2F1tlwc31l!5m1!1e4?entry=tts&amp;g_ep=EgoyMDI2MDkyMy4wIPu8ASoASAFQAw%3D%3D&amp;skid=eb8db42f-786b-4f79-a1fc-4043b8401574" TargetMode="External"/><Relationship Id="rId217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" TargetMode="External"/><Relationship Id="rId459" Type="http://schemas.openxmlformats.org/officeDocument/2006/relationships/hyperlink" Target="https://floodsupport.bangkok.go.th/api/data" TargetMode="External"/><Relationship Id="rId216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" TargetMode="External"/><Relationship Id="rId458" Type="http://schemas.openxmlformats.org/officeDocument/2006/relationships/hyperlink" Target="https://maps.app.goo.gl/qqwV7uN5wtcpXmwX8" TargetMode="External"/><Relationship Id="rId215" Type="http://schemas.openxmlformats.org/officeDocument/2006/relationships/hyperlink" Target="https://www.google.com/maps/search/?api=1&amp;query=%E0%B9%82%E0%B8%A3%E0%B8%87%E0%B9%80%E0%B8%A3%E0%B8%B5%E0%B8%A2%E0%B8%99%E0%B8%A7%E0%B8%B1%E0%B8%94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XV1-kKST4jAR3fEmE2AcZpk" TargetMode="External"/><Relationship Id="rId457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" TargetMode="External"/><Relationship Id="rId699" Type="http://schemas.openxmlformats.org/officeDocument/2006/relationships/hyperlink" Target="https://www.google.com/maps/place/%E0%B9%82%E0%B8%A3%E0%B8%87%E0%B9%80%E0%B8%A3%E0%B8%B5%E0%B8%A2%E0%B8%99%E0%B8%9A%E0%B9%89%E0%B8%B2%E0%B8%99%E0%B8%A5%E0%B8%B3%E0%B8%95%E0%B9%89%E0%B8%99%E0%B8%81%E0%B8%A5%E0%B9%89%E0%B8%A7%E0%B8%A2/@13.8190433,100.848152,17z/data=!3m1!4b1!4m6!3m5!1s0x311d6e53e0e49eed:0x404d7b51b88d3162!8m2!3d13.8190381!4d100.8507323!16s%2Fg%2F1hc2tbrpf?entry=tts&amp;g_ep=EgoyMDI2MDkyMy4wIPu8ASoASAFQAw%3D%3D&amp;skid=1e73279f-5225-494b-838a-48eaf8282730" TargetMode="External"/><Relationship Id="rId214" Type="http://schemas.openxmlformats.org/officeDocument/2006/relationships/hyperlink" Target="https://floodsupport.bangkok.go.th/api/data" TargetMode="External"/><Relationship Id="rId456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" TargetMode="External"/><Relationship Id="rId698" Type="http://schemas.openxmlformats.org/officeDocument/2006/relationships/hyperlink" Target="https://floodsupport.bangkok.go.th/api/data" TargetMode="External"/><Relationship Id="rId219" Type="http://schemas.openxmlformats.org/officeDocument/2006/relationships/hyperlink" Target="https://www.google.com/maps/search/?api=1&amp;query=%E0%B9%82%E0%B8%A3%E0%B8%87%E0%B9%80%E0%B8%A3%E0%B8%B5%E0%B8%A2%E0%B8%99%E0%B8%84%E0%B8%A5%E0%B8%AD%E0%B8%87%E0%B8%A3%E0%B8%B2%E0%B8%87%E0%B8%88%E0%B8%B2%E0%B8%81%20%E0%B9%80%E0%B8%82%E0%B8%95%E0%B8%97%E0%B8%B8%E0%B9%88%E0%B8%87%E0%B8%84%E0%B8%A3%E0%B8%B8%20%E0%B8%81%E0%B8%A3%E0%B8%B8%E0%B8%87%E0%B9%80%E0%B8%97%E0%B8%9E%E0%B8%A1%E0%B8%AB%E0%B8%B2%E0%B8%99%E0%B8%84%E0%B8%A3&amp;query_place_id=ChIJcbIO-86j4jARdzQUtTwpFR8" TargetMode="External"/><Relationship Id="rId218" Type="http://schemas.openxmlformats.org/officeDocument/2006/relationships/hyperlink" Target="https://floodsupport.bangkok.go.th/api/data" TargetMode="External"/><Relationship Id="rId451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" TargetMode="External"/><Relationship Id="rId693" Type="http://schemas.openxmlformats.org/officeDocument/2006/relationships/hyperlink" Target="https://www.google.com/maps/place/%E0%B9%82%E0%B8%A3%E0%B8%87%E0%B9%80%E0%B8%A3%E0%B8%B5%E0%B8%A2%E0%B8%99%E0%B8%84%E0%B8%B2%E0%B8%A3%E0%B8%B5%E0%B8%AD%E0%B8%B8%E0%B8%9B%E0%B8%96%E0%B8%B1%E0%B8%A1%E0%B8%A0%E0%B9%8C/@13.7864734,100.8564203,17z/data=!3m1!4b1!4m6!3m5!1s0x311d6ec2fa689ec7:0x8445ffe3970a535b!8m2!3d13.7864682!4d100.8590006!16s%2Fg%2F11rvw4_lh?entry=tts&amp;g_ep=EgoyMDI2MDkyMy4wIPu8ASoASAFQAw%3D%3D&amp;skid=3fba47b6-5a9c-4123-a4d7-97e575dd1758" TargetMode="External"/><Relationship Id="rId450" Type="http://schemas.openxmlformats.org/officeDocument/2006/relationships/hyperlink" Target="https://floodsupport.bangkok.go.th/api/data" TargetMode="External"/><Relationship Id="rId692" Type="http://schemas.openxmlformats.org/officeDocument/2006/relationships/hyperlink" Target="https://floodsupport.bangkok.go.th/api/data" TargetMode="External"/><Relationship Id="rId691" Type="http://schemas.openxmlformats.org/officeDocument/2006/relationships/hyperlink" Target="https://maps.app.goo.gl/TXfCB7iZADkfkkBF9" TargetMode="External"/><Relationship Id="rId690" Type="http://schemas.openxmlformats.org/officeDocument/2006/relationships/hyperlink" Target="https://www.google.com/maps/place/%E0%B9%82%E0%B8%A3%E0%B8%87%E0%B9%80%E0%B8%A3%E0%B8%B5%E0%B8%A2%E0%B8%99%E0%B8%84%E0%B8%A5%E0%B8%AD%E0%B8%87%E0%B8%AA%E0%B8%AD%E0%B8%87/@13.9339296,100.6026711,11z/data=!4m7!3m6!1s0x311d6e8251b5b67f:0xa364b9c65133bd5c!8m2!3d13.8022356!4d100.8882855!15sCi3guYLguKPguIfguYDguKPguLXguKLguJnguITguKXguK3guIfguKrguK3guIeSAQtjb2VkX3NjaG9vbOABAA!16s%2Fg%2F1tsjb3pd?entry=tts&amp;g_ep=EgoyMDI2MDkyMy4wIPu8ASoASAFQAw%3D%3D&amp;skid=10da7e35-8b28-40f5-818c-ea2ed3ed4b17" TargetMode="External"/><Relationship Id="rId213" Type="http://schemas.openxmlformats.org/officeDocument/2006/relationships/hyperlink" Target="https://maps.app.goo.gl/KQy275Z89uN6XfXz5?g_st=ac" TargetMode="External"/><Relationship Id="rId455" Type="http://schemas.openxmlformats.org/officeDocument/2006/relationships/hyperlink" Target="https://www.google.com/maps/search/?api=1&amp;query=%E0%B8%A7%E0%B8%B1%E0%B8%94%E0%B8%A7%E0%B8%8A%E0%B8%B4%E0%B8%A3%E0%B8%98%E0%B8%A3%E0%B8%A3%E0%B8%A1%E0%B8%AA%E0%B8%B2%E0%B8%98%E0%B8%B4%E0%B8%95%E0%B8%A7%E0%B8%A3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NaDgxg5gHTERNizPXHOjVug" TargetMode="External"/><Relationship Id="rId697" Type="http://schemas.openxmlformats.org/officeDocument/2006/relationships/hyperlink" Target="https://maps.app.goo.gl/ciFTJKRkFD7fETna6" TargetMode="External"/><Relationship Id="rId212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" TargetMode="External"/><Relationship Id="rId454" Type="http://schemas.openxmlformats.org/officeDocument/2006/relationships/hyperlink" Target="https://floodsupport.bangkok.go.th/api/data" TargetMode="External"/><Relationship Id="rId696" Type="http://schemas.openxmlformats.org/officeDocument/2006/relationships/hyperlink" Target="https://www.google.com/maps/place/%E0%B9%82%E0%B8%A3%E0%B8%87%E0%B9%80%E0%B8%A3%E0%B8%B5%E0%B8%A2%E0%B8%99%E0%B8%99%E0%B8%B5%E0%B8%A5%E0%B8%A3%E0%B8%B2%E0%B8%A9%E0%B8%8E%E0%B8%A3%E0%B9%8C%E0%B8%AD%E0%B8%B8%E0%B8%9B%E0%B8%96%E0%B8%B1%E0%B8%A1%E0%B8%A0%E0%B9%8C/@13.8351045,100.9082825,17z/data=!3m1!4b1!4m6!3m5!1s0x311d6deafe3174fb:0x75ddba6011e63f3c!8m2!3d13.8350993!4d100.9108628!16s%2Fg%2F1hdzc1nvm?entry=tts&amp;g_ep=EgoyMDI2MDkyMy4wIPu8ASoASAFQAw%3D%3D&amp;skid=4210ec9d-20cb-4215-809f-49195c21888a" TargetMode="External"/><Relationship Id="rId211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" TargetMode="External"/><Relationship Id="rId453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" TargetMode="External"/><Relationship Id="rId695" Type="http://schemas.openxmlformats.org/officeDocument/2006/relationships/hyperlink" Target="https://floodsupport.bangkok.go.th/api/data" TargetMode="External"/><Relationship Id="rId210" Type="http://schemas.openxmlformats.org/officeDocument/2006/relationships/hyperlink" Target="https://www.google.com/maps/search/?api=1&amp;query=%E0%B9%82%E0%B8%A3%E0%B8%87%E0%B9%80%E0%B8%A3%E0%B8%B5%E0%B8%A2%E0%B8%99%E0%B8%A1%E0%B8%B1%E0%B8%98%E0%B8%A2%E0%B8%A1%E0%B8%9B%E0%B8%B8%E0%B8%A3%E0%B8%93%E0%B8%B2%E0%B8%A7%E0%B8%B2%E0%B8%AA%20%E0%B9%80%E0%B8%82%E0%B8%95%E0%B8%97%E0%B8%A7%E0%B8%B5%E0%B8%A7%E0%B8%B1%E0%B8%92%E0%B8%99%E0%B8%B2%20%E0%B8%81%E0%B8%A3%E0%B8%B8%E0%B8%87%E0%B9%80%E0%B8%97%E0%B8%9E%E0%B8%A1%E0%B8%AB%E0%B8%B2%E0%B8%99%E0%B8%84%E0%B8%A3&amp;query_place_id=ChIJo_USwO-T4jARfXLvk4nMPsw" TargetMode="External"/><Relationship Id="rId452" Type="http://schemas.openxmlformats.org/officeDocument/2006/relationships/hyperlink" Target="https://www.google.com/maps/search/?api=1&amp;query=%E0%B8%A7%E0%B8%B1%E0%B8%94%E0%B8%9A%E0%B8%B8%E0%B8%8D%E0%B8%A3%E0%B8%AD%E0%B8%94%E0%B8%98%E0%B8%A3%E0%B8%A3%E0%B8%A1%E0%B8%B2%E0%B8%A3%E0%B8%B2%E0%B8%A1%20%E0%B9%80%E0%B8%82%E0%B8%95%E0%B8%9E%E0%B8%A3%E0%B8%B0%E0%B9%82%E0%B8%82%E0%B8%99%E0%B8%87%20%E0%B8%81%E0%B8%A3%E0%B8%B8%E0%B8%87%E0%B9%80%E0%B8%97%E0%B8%9E%E0%B8%A1%E0%B8%AB%E0%B8%B2%E0%B8%99%E0%B8%84%E0%B8%A3&amp;query_place_id=ChIJffc2YYyf4jARIGTTDhROrdE" TargetMode="External"/><Relationship Id="rId694" Type="http://schemas.openxmlformats.org/officeDocument/2006/relationships/hyperlink" Target="https://maps.app.goo.gl/jgYDq59rjiwviKd66" TargetMode="External"/><Relationship Id="rId491" Type="http://schemas.openxmlformats.org/officeDocument/2006/relationships/hyperlink" Target="https://floodsupport.bangkok.go.th/api/data" TargetMode="External"/><Relationship Id="rId490" Type="http://schemas.openxmlformats.org/officeDocument/2006/relationships/hyperlink" Target="https://maps.app.goo.gl/HqLkMx9J73535Kqq9" TargetMode="External"/><Relationship Id="rId249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" TargetMode="External"/><Relationship Id="rId248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" TargetMode="External"/><Relationship Id="rId247" Type="http://schemas.openxmlformats.org/officeDocument/2006/relationships/hyperlink" Target="https://www.google.com/maps/search/?api=1&amp;query=%E0%B9%82%E0%B8%A3%E0%B8%87%E0%B9%80%E0%B8%A3%E0%B8%B5%E0%B8%A2%E0%B8%99%E0%B8%AA%E0%B8%B2%E0%B8%A1%E0%B8%B1%E0%B8%84%E0%B8%84%E0%B8%B5%E0%B8%9A%E0%B8%B3%E0%B8%A3%E0%B8%B8%E0%B8%87%20%E0%B9%80%E0%B8%82%E0%B8%95%E0%B8%97%E0%B8%B8%E0%B9%88%E0%B8%87%E0%B8%84%E0%B8%A3%E0%B8%B8%20%E0%B8%81%E0%B8%A3%E0%B8%B8%E0%B8%87%E0%B9%80%E0%B8%97%E0%B8%9E%E0%B8%A1%E0%B8%AB%E0%B8%B2%E0%B8%99%E0%B8%84%E0%B8%A3&amp;query_place_id=ChIJcyMvvTSi4jARiRJYCkn4oJU" TargetMode="External"/><Relationship Id="rId489" Type="http://schemas.openxmlformats.org/officeDocument/2006/relationships/hyperlink" Target="https://www.google.com/maps/place/%E0%B9%82%E0%B8%A3%E0%B8%87%E0%B9%80%E0%B8%A3%E0%B8%B5%E0%B8%A2%E0%B8%99%E0%B8%A7%E0%B8%B1%E0%B8%94%E0%B8%AA%E0%B8%99/@13.6725226,100.5031308,15z/data=!3m1!4b1!4m6!3m5!1s0x30e2a216ad4d61e5:0x4aee9180957f7bdf!8m2!3d13.6725228!4d100.5134091!16s%2Fg%2F11hbpx56h8?entry=tts&amp;g_ep=EgoyMDI2MDkyMy4wIPu8ASoASAFQAw%3D%3D&amp;skid=3ab47d47-b6d8-4d39-8d11-a03e466fe179" TargetMode="External"/><Relationship Id="rId242" Type="http://schemas.openxmlformats.org/officeDocument/2006/relationships/hyperlink" Target="https://floodsupport.bangkok.go.th/api/data" TargetMode="External"/><Relationship Id="rId484" Type="http://schemas.openxmlformats.org/officeDocument/2006/relationships/hyperlink" Target="https://maps.app.goo.gl/jocJXZyQenCUBxhB8" TargetMode="External"/><Relationship Id="rId241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" TargetMode="External"/><Relationship Id="rId483" Type="http://schemas.openxmlformats.org/officeDocument/2006/relationships/hyperlink" Target="https://www.google.com/maps/place/%E0%B9%82%E0%B8%A3%E0%B8%87%E0%B9%80%E0%B8%A3%E0%B8%B5%E0%B8%A2%E0%B8%99%E0%B8%A7%E0%B8%B1%E0%B8%94%E0%B8%9A%E0%B8%B2%E0%B8%87%E0%B8%9B%E0%B8%B0%E0%B8%81%E0%B8%AD%E0%B8%81/@13.6823631,100.4851198,15z/data=!3m1!4b1!4m6!3m5!1s0x30e2a27a7ba4804f:0xdb7539588f1fb6d!8m2!3d13.6823633!4d100.4953981!16s%2Fg%2F11bbrj2c1v?entry=tts&amp;g_ep=EgoyMDI2MDkyMy4wIPu8ASoASAFQAw%3D%3D&amp;skid=aa5fdc3e-960e-41f8-9d35-231ec4f3adb8" TargetMode="External"/><Relationship Id="rId240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" TargetMode="External"/><Relationship Id="rId482" Type="http://schemas.openxmlformats.org/officeDocument/2006/relationships/hyperlink" Target="https://floodsupport.bangkok.go.th/api/data" TargetMode="External"/><Relationship Id="rId481" Type="http://schemas.openxmlformats.org/officeDocument/2006/relationships/hyperlink" Target="https://maps.app.goo.gl/2cg64tVEfKALEc4E8" TargetMode="External"/><Relationship Id="rId246" Type="http://schemas.openxmlformats.org/officeDocument/2006/relationships/hyperlink" Target="https://floodsupport.bangkok.go.th/api/data" TargetMode="External"/><Relationship Id="rId488" Type="http://schemas.openxmlformats.org/officeDocument/2006/relationships/hyperlink" Target="https://floodsupport.bangkok.go.th/api/data" TargetMode="External"/><Relationship Id="rId245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" TargetMode="External"/><Relationship Id="rId487" Type="http://schemas.openxmlformats.org/officeDocument/2006/relationships/hyperlink" Target="https://maps.app.goo.gl/mLWuTF19LmUWtciD9" TargetMode="External"/><Relationship Id="rId244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" TargetMode="External"/><Relationship Id="rId486" Type="http://schemas.openxmlformats.org/officeDocument/2006/relationships/hyperlink" Target="https://www.google.com/maps/place/%E0%B9%82%E0%B8%A3%E0%B8%87%E0%B9%80%E0%B8%A3%E0%B8%B5%E0%B8%A2%E0%B8%99%E0%B8%A7%E0%B8%B1%E0%B8%94%E0%B8%9B%E0%B8%A3%E0%B8%B0%E0%B9%80%E0%B8%AA%E0%B8%A3%E0%B8%B4%E0%B8%90%E0%B8%AA%E0%B8%B8%E0%B8%97%E0%B8%98%E0%B8%B2%E0%B8%A7%E0%B8%B2%E0%B8%AA/@13.6802303,100.4935687,15z/data=!3m1!4b1!4m6!3m5!1s0x30e2a2726391f50d:0x3b07e18fd81969fb!8m2!3d13.6802305!4d100.503847!16s%2Fg%2F1tpppf0l?entry=tts&amp;g_ep=EgoyMDI2MDkyMy4wIPu8ASoASAFQAw%3D%3D&amp;skid=26d1ca4c-84b5-4696-9a02-4fb1442da5c1" TargetMode="External"/><Relationship Id="rId243" Type="http://schemas.openxmlformats.org/officeDocument/2006/relationships/hyperlink" Target="https://www.google.com/maps/search/?api=1&amp;query=%E0%B9%82%E0%B8%A3%E0%B8%87%E0%B9%80%E0%B8%A3%E0%B8%B5%E0%B8%A2%E0%B8%99%E0%B8%A7%E0%B8%B1%E0%B8%94%E0%B8%97%E0%B8%B8%E0%B9%88%E0%B8%87%E0%B8%84%E0%B8%A3%E0%B8%B8%20(%E0%B8%9E%E0%B8%B6%E0%B9%88%E0%B8%87%E0%B8%AA%E0%B8%B2%E0%B8%A2%E0%B8%AD%E0%B8%99%E0%B8%B8%E0%B8%AA%E0%B8%A3%E0%B8%93%E0%B9%8C)%20%E0%B9%80%E0%B8%82%E0%B8%95%E0%B8%97%E0%B8%B8%E0%B9%88%E0%B8%87%E0%B8%84%E0%B8%A3%E0%B8%B8%20%E0%B8%81%E0%B8%A3%E0%B8%B8%E0%B8%87%E0%B9%80%E0%B8%97%E0%B8%9E%E0%B8%A1%E0%B8%AB%E0%B8%B2%E0%B8%99%E0%B8%84%E0%B8%A3&amp;query_place_id=ChIJ2xoFMOqj4jARS9ldkYc7Bw8" TargetMode="External"/><Relationship Id="rId485" Type="http://schemas.openxmlformats.org/officeDocument/2006/relationships/hyperlink" Target="https://floodsupport.bangkok.go.th/api/data" TargetMode="External"/><Relationship Id="rId480" Type="http://schemas.openxmlformats.org/officeDocument/2006/relationships/hyperlink" Target="https://www.google.com/maps/place/%E0%B9%82%E0%B8%A3%E0%B8%87%E0%B9%80%E0%B8%A3%E0%B8%B5%E0%B8%A2%E0%B8%99%E0%B8%A3%E0%B8%B1%E0%B8%95%E0%B8%99%E0%B8%88%E0%B8%B5%E0%B8%99%E0%B8%B0%E0%B8%AD%E0%B8%B8%E0%B8%97%E0%B8%B4%E0%B8%A8/@13.669489,100.4896531,17z/data=!4m6!3m5!1s0x30e2a2670d679567:0xb4c98fa736553d67!8m2!3d13.669489!4d100.492228!16s%2Fg%2F1tvgrt3r?entry=tts&amp;g_ep=EgoyMDI2MDkyMy4wIPu8ASoASAFQAw%3D%3D&amp;skid=bf9904bf-306c-40fc-9102-2b6acb508c68" TargetMode="External"/><Relationship Id="rId239" Type="http://schemas.openxmlformats.org/officeDocument/2006/relationships/hyperlink" Target="https://www.google.com/maps/search/?api=1&amp;query=%E0%B9%82%E0%B8%A3%E0%B8%87%E0%B9%80%E0%B8%A3%E0%B8%B5%E0%B8%A2%E0%B8%99%E0%B8%A3%E0%B8%B2%E0%B8%A9%E0%B8%8E%E0%B8%A3%E0%B9%8C%E0%B8%9A%E0%B8%B9%E0%B8%A3%E0%B8%93%E0%B8%B0%20(%E0%B8%A1%E0%B8%B9%E0%B8%AE%E0%B8%B3%E0%B8%AB%E0%B8%A1%E0%B8%B1%E0%B8%94%E0%B8%AD%E0%B8%B8%E0%B8%97%E0%B8%B4%E0%B8%A8)%20%E0%B9%80%E0%B8%82%E0%B8%95%E0%B8%97%E0%B8%B8%E0%B9%88%E0%B8%87%E0%B8%84%E0%B8%A3%E0%B8%B8%20%E0%B8%81%E0%B8%A3%E0%B8%B8%E0%B8%87%E0%B9%80%E0%B8%97%E0%B8%9E%E0%B8%A1%E0%B8%AB%E0%B8%B2%E0%B8%99%E0%B8%84%E0%B8%A3&amp;query_place_id=ChIJrVUMF7ej4jARXxaQomjgGAI" TargetMode="External"/><Relationship Id="rId238" Type="http://schemas.openxmlformats.org/officeDocument/2006/relationships/hyperlink" Target="https://floodsupport.bangkok.go.th/api/data" TargetMode="External"/><Relationship Id="rId237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" TargetMode="External"/><Relationship Id="rId479" Type="http://schemas.openxmlformats.org/officeDocument/2006/relationships/hyperlink" Target="https://floodsupport.bangkok.go.th/api/data" TargetMode="External"/><Relationship Id="rId236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" TargetMode="External"/><Relationship Id="rId478" Type="http://schemas.openxmlformats.org/officeDocument/2006/relationships/hyperlink" Target="https://maps.app.goo.gl/BM79ZsJkXavdF3qr8" TargetMode="External"/><Relationship Id="rId231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" TargetMode="External"/><Relationship Id="rId473" Type="http://schemas.openxmlformats.org/officeDocument/2006/relationships/hyperlink" Target="https://maps.app.goo.gl/g6ka5gor8jLLrJ2y6?g_st=ac" TargetMode="External"/><Relationship Id="rId230" Type="http://schemas.openxmlformats.org/officeDocument/2006/relationships/hyperlink" Target="https://floodsupport.bangkok.go.th/api/data" TargetMode="External"/><Relationship Id="rId472" Type="http://schemas.openxmlformats.org/officeDocument/2006/relationships/hyperlink" Target="https://www.google.com/maps/place/%E0%B9%82%E0%B8%A3%E0%B8%87%E0%B9%80%E0%B8%A3%E0%B8%B5%E0%B8%A2%E0%B8%99%E0%B8%AA%E0%B8%B8%E0%B9%80%E0%B8%AB%E0%B8%A3%E0%B9%88%E0%B8%B2%E0%B8%9A%E0%B8%B2%E0%B8%87%E0%B8%8A%E0%B8%B1%E0%B8%99/@13.8040527,100.6836358,15z/data=!3m1!4b1!4m6!3m5!1s0x311d638fabf4b213:0x8d2a444994f0fabd!8m2!3d13.8040534!4d100.7020898!16s%2Fg%2F1tf33f1r!5m1!1e4?entry=tts&amp;g_ep=EgoyMDI2MDkyMy4wIPu8ASoASAFQAw%3D%3D&amp;skid=2fb5d30f-69f8-4d1a-97c5-591c7135e439" TargetMode="External"/><Relationship Id="rId471" Type="http://schemas.openxmlformats.org/officeDocument/2006/relationships/hyperlink" Target="https://floodsupport.bangkok.go.th/api/data" TargetMode="External"/><Relationship Id="rId470" Type="http://schemas.openxmlformats.org/officeDocument/2006/relationships/hyperlink" Target="https://maps.app.goo.gl/XiobPtqF3zAaWiEd8" TargetMode="External"/><Relationship Id="rId235" Type="http://schemas.openxmlformats.org/officeDocument/2006/relationships/hyperlink" Target="https://www.google.com/maps/search/?api=1&amp;query=%E0%B9%82%E0%B8%A3%E0%B8%87%E0%B9%80%E0%B8%A3%E0%B8%B5%E0%B8%A2%E0%B8%99%E0%B8%A3%E0%B8%B2%E0%B8%87%E0%B8%A3%E0%B8%B2%E0%B8%8A%E0%B8%9E%E0%B8%A4%E0%B8%81%E0%B8%A9%E0%B9%8C%E0%B8%99%E0%B8%B8%E0%B8%8A%E0%B8%A1%E0%B8%B5%E0%B8%AD%E0%B8%B8%E0%B8%97%E0%B8%B4%E0%B8%A8%20%E0%B9%80%E0%B8%82%E0%B8%95%E0%B8%97%E0%B8%B8%E0%B9%88%E0%B8%87%E0%B8%84%E0%B8%A3%E0%B8%B8%20%E0%B8%81%E0%B8%A3%E0%B8%B8%E0%B8%87%E0%B9%80%E0%B8%97%E0%B8%9E%E0%B8%A1%E0%B8%AB%E0%B8%B2%E0%B8%99%E0%B8%84%E0%B8%A3&amp;query_place_id=ChIJ01yK-aSj4jARyd_9s23K0dk" TargetMode="External"/><Relationship Id="rId477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" TargetMode="External"/><Relationship Id="rId234" Type="http://schemas.openxmlformats.org/officeDocument/2006/relationships/hyperlink" Target="https://floodsupport.bangkok.go.th/api/data" TargetMode="External"/><Relationship Id="rId476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" TargetMode="External"/><Relationship Id="rId233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" TargetMode="External"/><Relationship Id="rId475" Type="http://schemas.openxmlformats.org/officeDocument/2006/relationships/hyperlink" Target="https://www.google.com/maps/search/?api=1&amp;query=%E0%B9%82%E0%B8%A3%E0%B8%87%E0%B9%80%E0%B8%A3%E0%B8%B5%E0%B8%A2%E0%B8%99%E0%B8%A7%E0%B8%B1%E0%B8%94%E0%B8%84%E0%B8%A5%E0%B8%AD%E0%B8%87%E0%B8%A0%E0%B8%B9%E0%B8%A1%E0%B8%B4%20%E0%B9%80%E0%B8%82%E0%B8%95%E0%B8%A2%E0%B8%B2%E0%B8%99%E0%B8%99%E0%B8%B2%E0%B8%A7%E0%B8%B2%20%E0%B8%81%E0%B8%A3%E0%B8%B8%E0%B8%87%E0%B9%80%E0%B8%97%E0%B8%9E%E0%B8%A1%E0%B8%AB%E0%B8%B2%E0%B8%99%E0%B8%84%E0%B8%A3&amp;query_place_id=ChIJsRS73uah4jARkWqMlTZlFG0" TargetMode="External"/><Relationship Id="rId232" Type="http://schemas.openxmlformats.org/officeDocument/2006/relationships/hyperlink" Target="https://www.google.com/maps/search/?api=1&amp;query=%E0%B9%82%E0%B8%A3%E0%B8%87%E0%B9%80%E0%B8%A3%E0%B8%B5%E0%B8%A2%E0%B8%99%E0%B8%9A%E0%B8%B2%E0%B8%87%E0%B8%A1%E0%B8%94%20(%E0%B8%95%E0%B8%B1%E0%B8%99%E0%B9%80%E0%B8%9B%E0%B8%B2%E0%B8%A7%E0%B9%8C%E0%B8%A7%E0%B8%B4%E0%B8%97%E0%B8%A2%E0%B8%B2%E0%B8%84%E0%B8%B2%E0%B8%A3)%20%E0%B9%80%E0%B8%82%E0%B8%95%E0%B8%97%E0%B8%B8%E0%B9%88%E0%B8%87%E0%B8%84%E0%B8%A3%E0%B8%B8%20%E0%B8%81%E0%B8%A3%E0%B8%B8%E0%B8%87%E0%B9%80%E0%B8%97%E0%B8%9E%E0%B8%A1%E0%B8%AB%E0%B8%B2%E0%B8%99%E0%B8%84%E0%B8%A3&amp;query_place_id=ChIJN5mEHeWi4jARzRe4wZegyjo" TargetMode="External"/><Relationship Id="rId474" Type="http://schemas.openxmlformats.org/officeDocument/2006/relationships/hyperlink" Target="https://floodsupport.bangkok.go.th/api/data" TargetMode="External"/><Relationship Id="rId426" Type="http://schemas.openxmlformats.org/officeDocument/2006/relationships/hyperlink" Target=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/><Relationship Id="rId668" Type="http://schemas.openxmlformats.org/officeDocument/2006/relationships/hyperlink" Target="https://floodsupport.bangkok.go.th/api/data" TargetMode="External"/><Relationship Id="rId425" Type="http://schemas.openxmlformats.org/officeDocument/2006/relationships/hyperlink" Target=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 TargetMode="External"/><Relationship Id="rId667" Type="http://schemas.openxmlformats.org/officeDocument/2006/relationships/hyperlink" Target="https://maps.app.goo.gl/dUa6Q1Q7uZE13rMU9?g_st=ic" TargetMode="External"/><Relationship Id="rId424" Type="http://schemas.openxmlformats.org/officeDocument/2006/relationships/hyperlink" Target="https://floodsupport.bangkok.go.th/api/data" TargetMode="External"/><Relationship Id="rId666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" TargetMode="External"/><Relationship Id="rId423" Type="http://schemas.openxmlformats.org/officeDocument/2006/relationships/hyperlink" Target="https://www.google.com/maps/place/%E0%B9%82%E0%B8%A3%E0%B8%87%E0%B9%80%E0%B8%A3%E0%B8%B5%E0%B8%A2%E0%B8%99%E0%B8%84%E0%B8%A5%E0%B8%AD%E0%B8%87%E0%B8%A5%E0%B8%B3%E0%B9%80%E0%B8%88%E0%B8%B5%E0%B8%A2%E0%B8%81(%E0%B8%AB%E0%B8%A7%E0%B8%B1%E0%B8%87%E0%B8%97%E0%B8%AD%E0%B8%87%E0%B8%9A%E0%B8%B3%E0%B8%A3%E0%B8%B8%E0%B8%87)/@13.8183053,100.6317623,17z/data=!3m1!4b1!4m6!3m5!1s0x311d6263b5d7a89b:0x4ef074fec9dc676f!8m2!3d13.8183001!4d100.6343372!16s%2Fg%2F1tg7zy61?entry=ttu&amp;g_ep=EgoyMDI2MDkyMy4wIKXMDSoASAFQAw%3D%3D" TargetMode="External"/><Relationship Id="rId665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" TargetMode="External"/><Relationship Id="rId429" Type="http://schemas.openxmlformats.org/officeDocument/2006/relationships/hyperlink" Target=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/><Relationship Id="rId428" Type="http://schemas.openxmlformats.org/officeDocument/2006/relationships/hyperlink" Target="https://www.google.com/maps/place/%E0%B9%82%E0%B8%A3%E0%B8%87%E0%B9%80%E0%B8%A3%E0%B8%B5%E0%B8%A2%E0%B8%99%E0%B8%A7%E0%B8%B1%E0%B8%94%E0%B8%9A%E0%B8%B2%E0%B8%87%E0%B9%80%E0%B8%95%E0%B8%A2/@13.8032215,100.6466499,17z/data=!4m14!1m7!3m6!1s0x311d6246bcce2755:0x787d39ef3f046e8e!2z4LmC4Lij4LiH4LmA4Lij4Li14Lii4LiZ4Lin4Lix4LiU4Lia4Liy4LiH4LmA4LiV4Lii!8m2!3d13.8032163!4d100.6492248!16s%2Fg%2F1tfjy9x3!3m5!1s0x311d6246bcce2755:0x787d39ef3f046e8e!8m2!3d13.8032163!4d100.6492248!16s%2Fg%2F1tfjy9x3?entry=ttu&amp;g_ep=EgoyMDI2MDkyMy4wIKXMDSoASAFQAw%3D%3D" TargetMode="External"/><Relationship Id="rId427" Type="http://schemas.openxmlformats.org/officeDocument/2006/relationships/hyperlink" Target="https://floodsupport.bangkok.go.th/api/data" TargetMode="External"/><Relationship Id="rId669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" TargetMode="External"/><Relationship Id="rId660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" TargetMode="External"/><Relationship Id="rId422" Type="http://schemas.openxmlformats.org/officeDocument/2006/relationships/hyperlink" Target=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/><Relationship Id="rId664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97%E0%B8%B1%E0%B8%9A%E0%B8%8A%E0%B9%89%E0%B8%B2%E0%B8%87%E0%B8%84%E0%B8%A5%E0%B8%AD%E0%B8%87%E0%B8%9A%E0%B8%99%20%E0%B9%80%E0%B8%82%E0%B8%95%E0%B8%AA%E0%B8%B0%E0%B8%9E%E0%B8%B2%E0%B8%99%E0%B8%AA%E0%B8%B9%E0%B8%87%20%E0%B8%81%E0%B8%A3%E0%B8%B8%E0%B8%87%E0%B9%80%E0%B8%97%E0%B8%9E%E0%B8%A1%E0%B8%AB%E0%B8%B2%E0%B8%99%E0%B8%84%E0%B8%A3&amp;query_place_id=ChIJT4qPNzZhHTERAPrezKwAccc" TargetMode="External"/><Relationship Id="rId421" Type="http://schemas.openxmlformats.org/officeDocument/2006/relationships/hyperlink" Target="https://floodsupport.bangkok.go.th/api/data" TargetMode="External"/><Relationship Id="rId663" Type="http://schemas.openxmlformats.org/officeDocument/2006/relationships/hyperlink" Target="https://floodsupport.bangkok.go.th/api/data" TargetMode="External"/><Relationship Id="rId420" Type="http://schemas.openxmlformats.org/officeDocument/2006/relationships/hyperlink" Target="https://www.google.com/maps/place/%E0%B8%AA%E0%B8%B3%E0%B8%99%E0%B8%B1%E0%B8%81%E0%B8%87%E0%B8%B2%E0%B8%99%E0%B9%80%E0%B8%82%E0%B8%95%E0%B8%9A%E0%B8%B6%E0%B8%87%E0%B8%81%E0%B8%B8%E0%B9%88%E0%B8%A1/@13.7853412,100.6670472,17z/data=!4m10!1m2!2m1!1z4Liq4Liz4LiZ4Lix4LiB4LiH4Liy4LiZ4LmA4LiC4LiV4Lia4Li24LiH4LiB4Li44LmI4Lih!3m6!1s0x311d63d208caace7:0xe0eb5e5a36504d0c!8m2!3d13.7852767!4d100.6696489!15sCjbguKrguLPguJnguLHguIHguIfguLLguJnguYDguILguJXguJrguLbguIfguIHguLjguYjguKFaOiI44Liq4Liz4LiZ4Lix4LiB4LiH4Liy4LiZIOC5gOC4guC4lSDguJrguLbguIfguIHguLjguYjguKGSARpkaXN0cmljdF9nb3Zlcm5tZW50X29mZmljZZoBI0NoWkRTVWhOTUc5blMwVkpRMEZuU1VNekxXTnVZVWxuRUFF4AEA-gEFCI4BEDg!16s%2Fg%2F1hm66vbn1?entry=ttu&amp;g_ep=EgoyMDI2MDkyMy4wIKXMDSoASAFQAw%3D%3D" TargetMode="External"/><Relationship Id="rId662" Type="http://schemas.openxmlformats.org/officeDocument/2006/relationships/hyperlink" Target="https://maps.app.goo.gl/dUa6Q1Q7uZE13rMU9?g_st=ic" TargetMode="External"/><Relationship Id="rId661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" TargetMode="External"/><Relationship Id="rId415" Type="http://schemas.openxmlformats.org/officeDocument/2006/relationships/hyperlink" Target="https://www.google.com/maps/place/%E0%B8%A8%E0%B8%B9%E0%B8%99%E0%B8%A2%E0%B9%8C%E0%B8%99%E0%B8%B1%E0%B8%99%E0%B8%97%E0%B8%99%E0%B8%B2%E0%B8%81%E0%B8%B2%E0%B8%A3%E0%B8%9A%E0%B8%B2%E0%B8%87%E0%B9%81%E0%B8%84(%E0%B9%80%E0%B8%A3%E0%B8%B7%E0%B8%AD%E0%B8%87%E0%B8%AA%E0%B8%AD%E0%B8%99)/data=!4m2!3m1!1s0x0:0xf4887f097a0f76ea?sa=X&amp;ved=1t:2428&amp;ictx=111" TargetMode="External"/><Relationship Id="rId657" Type="http://schemas.openxmlformats.org/officeDocument/2006/relationships/hyperlink" Target="https://maps.app.goo.gl/bGVh12H1RuUdxHrw8?g_st=ic" TargetMode="External"/><Relationship Id="rId414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" TargetMode="External"/><Relationship Id="rId656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" TargetMode="External"/><Relationship Id="rId413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" TargetMode="External"/><Relationship Id="rId655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" TargetMode="External"/><Relationship Id="rId412" Type="http://schemas.openxmlformats.org/officeDocument/2006/relationships/hyperlink" Target="https://www.google.com/maps/search/?api=1&amp;query=%E0%B9%82%E0%B8%A3%E0%B8%87%E0%B9%80%E0%B8%A3%E0%B8%B5%E0%B8%A2%E0%B8%99%E0%B8%A7%E0%B8%B1%E0%B8%94%E0%B9%81%E0%B8%81%E0%B9%89%E0%B8%A7%E0%B9%81%E0%B8%88%E0%B9%88%E0%B8%A1%E0%B8%9F%E0%B9%89%E0%B8%B2%20%E0%B9%80%E0%B8%82%E0%B8%95%E0%B8%9A%E0%B8%B2%E0%B8%87%E0%B8%A3%E0%B8%B1%E0%B8%81%20%E0%B8%81%E0%B8%A3%E0%B8%B8%E0%B8%87%E0%B9%80%E0%B8%97%E0%B8%9E%E0%B8%A1%E0%B8%AB%E0%B8%B2%E0%B8%99%E0%B8%84%E0%B8%A3&amp;query_place_id=ChIJbUChGgCZ4jARJkhEa5WiTx4" TargetMode="External"/><Relationship Id="rId654" Type="http://schemas.openxmlformats.org/officeDocument/2006/relationships/hyperlink" Target="https://www.google.com/maps/search/?api=1&amp;query=%E0%B9%82%E0%B8%A3%E0%B8%87%E0%B9%80%E0%B8%A3%E0%B8%B5%E0%B8%A2%E0%B8%99%E0%B8%AA%E0%B8%B2%E0%B8%A1%E0%B9%81%E0%B8%A2%E0%B8%81%E0%B8%84%E0%B8%A5%E0%B8%AD%E0%B8%87%E0%B8%AB%E0%B8%A5%E0%B8%AD%E0%B9%81%E0%B8%AB%E0%B8%A5%20%E0%B9%80%E0%B8%82%E0%B8%95%E0%B8%AA%E0%B8%B0%E0%B8%9E%E0%B8%B2%E0%B8%99%E0%B8%AA%E0%B8%B9%E0%B8%87%20%E0%B8%81%E0%B8%A3%E0%B8%B8%E0%B8%87%E0%B9%80%E0%B8%97%E0%B8%9E%E0%B8%A1%E0%B8%AB%E0%B8%B2%E0%B8%99%E0%B8%84%E0%B8%A3&amp;query_place_id=ChIJRZR6mvtjHTER4dxwvRYcJSc" TargetMode="External"/><Relationship Id="rId419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" TargetMode="External"/><Relationship Id="rId418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" TargetMode="External"/><Relationship Id="rId417" Type="http://schemas.openxmlformats.org/officeDocument/2006/relationships/hyperlink" Target="https://www.google.com/maps/search/?api=1&amp;query=%E0%B8%A8%E0%B8%B9%E0%B8%99%E0%B8%A2%E0%B9%8C%E0%B8%99%E0%B8%B1%E0%B8%99%E0%B8%97%E0%B8%99%E0%B8%B2%E0%B8%81%E0%B8%B2%E0%B8%A3%E0%B8%9A%E0%B8%B2%E0%B8%87%E0%B9%81%E0%B8%84%E0%B9%80%E0%B8%A3%E0%B8%B7%E0%B8%AD%E0%B8%87%E0%B8%AA%E0%B8%AD%E0%B8%99%20%E0%B9%80%E0%B8%82%E0%B8%95%E0%B8%9A%E0%B8%B2%E0%B8%87%E0%B9%81%E0%B8%84%20%E0%B8%81%E0%B8%A3%E0%B8%B8%E0%B8%87%E0%B9%80%E0%B8%97%E0%B8%9E%E0%B8%A1%E0%B8%AB%E0%B8%B2%E0%B8%99%E0%B8%84%E0%B8%A3&amp;query_place_id=ChIJNceL-5y94jAR6nYPegl_iPQ" TargetMode="External"/><Relationship Id="rId659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8B%E0%B8%B5%E0%B8%A3%E0%B8%AD%20(%E0%B8%A3%E0%B8%B2%E0%B8%A9%E0%B8%8E%E0%B8%A3%E0%B9%8C%E0%B8%AA%E0%B8%B2%E0%B8%A1%E0%B8%B1%E0%B8%84%E0%B8%84%E0%B8%B5)%20%E0%B9%80%E0%B8%82%E0%B8%95%E0%B8%AA%E0%B8%B0%E0%B8%9E%E0%B8%B2%E0%B8%99%E0%B8%AA%E0%B8%B9%E0%B8%87%20%E0%B8%81%E0%B8%A3%E0%B8%B8%E0%B8%87%E0%B9%80%E0%B8%97%E0%B8%9E%E0%B8%A1%E0%B8%AB%E0%B8%B2%E0%B8%99%E0%B8%84%E0%B8%A3&amp;query_place_id=ChIJy_rlE1lhHTERT3DcIQpAT28" TargetMode="External"/><Relationship Id="rId416" Type="http://schemas.openxmlformats.org/officeDocument/2006/relationships/hyperlink" Target="https://floodsupport.bangkok.go.th/api/data" TargetMode="External"/><Relationship Id="rId658" Type="http://schemas.openxmlformats.org/officeDocument/2006/relationships/hyperlink" Target="https://floodsupport.bangkok.go.th/api/data" TargetMode="External"/><Relationship Id="rId411" Type="http://schemas.openxmlformats.org/officeDocument/2006/relationships/hyperlink" Target="https://floodsupport.bangkok.go.th/api/data" TargetMode="External"/><Relationship Id="rId653" Type="http://schemas.openxmlformats.org/officeDocument/2006/relationships/hyperlink" Target="https://floodsupport.bangkok.go.th/api/data" TargetMode="External"/><Relationship Id="rId410" Type="http://schemas.openxmlformats.org/officeDocument/2006/relationships/hyperlink" Target="https://share.google/SU8mNHuRZCgSxXtcj" TargetMode="External"/><Relationship Id="rId652" Type="http://schemas.openxmlformats.org/officeDocument/2006/relationships/hyperlink" Target="https://maps.app.goo.gl/LhQd8WRQCxCtmrzGA?g_st=ic" TargetMode="External"/><Relationship Id="rId651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" TargetMode="External"/><Relationship Id="rId650" Type="http://schemas.openxmlformats.org/officeDocument/2006/relationships/hyperlink" Target="https://www.google.com/maps/search/?api=1&amp;query=%E0%B9%82%E0%B8%A3%E0%B8%87%E0%B9%80%E0%B8%A3%E0%B8%B5%E0%B8%A2%E0%B8%99%E0%B8%AA%E0%B8%A1%E0%B9%82%E0%B8%A0%E0%B8%8A%E0%B8%81%E0%B8%A3%E0%B8%B8%E0%B8%87%E0%B8%AD%E0%B8%99%E0%B8%B8%E0%B8%AA%E0%B8%A3%E0%B8%93%E0%B9%8C%20(200%E0%B8%9B%E0%B8%B5)%20%E0%B9%80%E0%B8%82%E0%B8%95%E0%B8%AA%E0%B8%B0%E0%B8%9E%E0%B8%B2%E0%B8%99%E0%B8%AA%E0%B8%B9%E0%B8%87%20%E0%B8%81%E0%B8%A3%E0%B8%B8%E0%B8%87%E0%B9%80%E0%B8%97%E0%B8%9E%E0%B8%A1%E0%B8%AB%E0%B8%B2%E0%B8%99%E0%B8%84%E0%B8%A3&amp;query_place_id=ChIJPcecmDxhHTERG8gsBXiQ8CA" TargetMode="External"/><Relationship Id="rId206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" TargetMode="External"/><Relationship Id="rId448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" TargetMode="External"/><Relationship Id="rId205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&amp;query_place_id=ChIJtQ8TmSqX4jARFL2i3GX3YtE" TargetMode="External"/><Relationship Id="rId447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&amp;query_place_id=ChIJAQEzRf-f4jARR6eNfs8yoGg" TargetMode="External"/><Relationship Id="rId689" Type="http://schemas.openxmlformats.org/officeDocument/2006/relationships/hyperlink" Target="https://floodsupport.bangkok.go.th/api/data" TargetMode="External"/><Relationship Id="rId204" Type="http://schemas.openxmlformats.org/officeDocument/2006/relationships/hyperlink" Target="https://floodsupport.bangkok.go.th/api/data" TargetMode="External"/><Relationship Id="rId446" Type="http://schemas.openxmlformats.org/officeDocument/2006/relationships/hyperlink" Target="https://floodsupport.bangkok.go.th/api/data" TargetMode="External"/><Relationship Id="rId688" Type="http://schemas.openxmlformats.org/officeDocument/2006/relationships/hyperlink" Target="https://maps.app.goo.gl/q7iC5c83vD9nsXW6A" TargetMode="External"/><Relationship Id="rId203" Type="http://schemas.openxmlformats.org/officeDocument/2006/relationships/hyperlink" Target="https://maps.app.goo.gl/tGytJfNkVqnX3QdW8" TargetMode="External"/><Relationship Id="rId445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" TargetMode="External"/><Relationship Id="rId687" Type="http://schemas.openxmlformats.org/officeDocument/2006/relationships/hyperlink" Target="https://www.google.com/maps/place/Wetchakarunrasm+Hospital/@13.8540145,100.8011073,33766m/data=!3m1!1e3!4m7!3m6!1s0x311d6e279fab4c2f:0x206bceb378e5b274!8m2!3d13.8568125!4d100.8590321!15sCkvguYLguKPguIfguJ7guKLguLLguJrguLLguKXguYDguKfguIrguIHguLLguKPguLjguJPguKLguYzguKPguLHguKjguKHguLTguYxaUyJR4LmC4Lij4LiHIOC4nuC4ouC4suC4muC4suC4pSDguYDguKfguIog4LiB4Liy4Lij4Li44LiT4Lii4LmMIOC4o-C4sSDguKgg4Lih4Li04LmMkgETZ292ZXJubWVudF9ob3NwaXRhbJoBJENoZERTVWhOTUc5blMwVkpRMEZuVFVOM2IxcDJjelJSUlJBQuABAPoBBAgAEDQ!16s%2Fg%2F1hf0016p7?entry=tts&amp;g_ep=EgoyMDI2MDkyMy4wIPu8ASoASAFQAw%3D%3D&amp;skid=b7a6a7ad-f961-4561-98d1-95c929531d60" TargetMode="External"/><Relationship Id="rId209" Type="http://schemas.openxmlformats.org/officeDocument/2006/relationships/hyperlink" Target="https://floodsupport.bangkok.go.th/api/data" TargetMode="External"/><Relationship Id="rId208" Type="http://schemas.openxmlformats.org/officeDocument/2006/relationships/hyperlink" Target="https://maps.app.goo.gl/2SrNrV4o1j3vFM1n9?g_st=ac" TargetMode="External"/><Relationship Id="rId207" Type="http://schemas.openxmlformats.org/officeDocument/2006/relationships/hyperlink" Target="https://www.google.com/maps/search/?api=1&amp;query=%E0%B9%82%E0%B8%A3%E0%B8%87%E0%B9%80%E0%B8%A3%E0%B8%B5%E0%B8%A2%E0%B8%99%E0%B8%95%E0%B8%B1%E0%B9%89%E0%B8%87%E0%B8%9E%E0%B8%B4%E0%B8%A3%E0%B8%B8%E0%B8%AC%E0%B8%AB%E0%B9%8C%E0%B8%98%E0%B8%A3%E0%B8%A3%E0%B8%A1%20%E0%B9%80%E0%B8%82%E0%B8%95%E0%B8%97%E0%B8%A7%E0%B8%B5%E0%B8%A7%E0%B8%B1%E0%B8%92%E0%B8%99%E0%B8%B2%20%E0%B8%81%E0%B8%A3%E0%B8%B8%E0%B8%87%E0%B9%80%E0%B8%97%E0%B8%9E%E0%B8%A1%E0%B8%AB%E0%B8%B2%E0%B8%99%E0%B8%84%E0%B8%A3" TargetMode="External"/><Relationship Id="rId449" Type="http://schemas.openxmlformats.org/officeDocument/2006/relationships/hyperlink" Target="https://www.google.com/maps/search/?api=1&amp;query=%E0%B8%A7%E0%B8%B1%E0%B8%94%E0%B8%98%E0%B8%A3%E0%B8%A3%E0%B8%A1%E0%B8%A1%E0%B8%87%E0%B8%84%E0%B8%A5%E0%B9%80%E0%B8%96%E0%B8%B2%E0%B8%9A%E0%B8%B8%E0%B8%8D%E0%B8%99%E0%B8%99%E0%B8%97%E0%B8%A7%E0%B8%B4%E0%B8%AB%E0%B8%B2%E0%B8%A3%20%E0%B9%80%E0%B8%82%E0%B8%95%E0%B8%9E%E0%B8%A3%E0%B8%B0%E0%B9%82%E0%B8%82%E0%B8%99%E0%B8%87%20%E0%B8%81%E0%B8%A3%E0%B8%B8%E0%B8%87%E0%B9%80%E0%B8%97%E0%B8%9E%E0%B8%A1%E0%B8%AB%E0%B8%B2%E0%B8%99%E0%B8%84%E0%B8%A3" TargetMode="External"/><Relationship Id="rId440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" TargetMode="External"/><Relationship Id="rId682" Type="http://schemas.openxmlformats.org/officeDocument/2006/relationships/hyperlink" Target="https://maps.app.goo.gl/cV3CBGSpRnEy5TVL8" TargetMode="External"/><Relationship Id="rId681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" TargetMode="External"/><Relationship Id="rId680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" TargetMode="External"/><Relationship Id="rId202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" TargetMode="External"/><Relationship Id="rId444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" TargetMode="External"/><Relationship Id="rId686" Type="http://schemas.openxmlformats.org/officeDocument/2006/relationships/hyperlink" Target="https://floodsupport.bangkok.go.th/api/data" TargetMode="External"/><Relationship Id="rId201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" TargetMode="External"/><Relationship Id="rId443" Type="http://schemas.openxmlformats.org/officeDocument/2006/relationships/hyperlink" Target="https://www.google.com/maps/search/?api=1&amp;query=%E0%B8%AD%E0%B8%B2%E0%B8%84%E0%B8%B2%E0%B8%A3%E0%B8%A8%E0%B8%B9%E0%B8%99%E0%B8%A2%E0%B9%8C%E0%B8%9A%E0%B8%A3%E0%B8%B4%E0%B8%81%E0%B8%B2%E0%B8%A3%E0%B8%AA%E0%B8%B2%E0%B8%98%E0%B8%B2%E0%B8%A3%E0%B8%93%E0%B8%AA%E0%B8%B8%E0%B8%82%2051(%E0%B9%80%E0%B8%94%E0%B8%B4%E0%B8%A1)%20%20%E0%B9%83%E0%B8%99%E0%B8%9A%E0%B8%A3%E0%B8%B4%E0%B9%80%E0%B8%A7%E0%B8%93%E0%B8%A7%E0%B8%B1%E0%B8%94%E0%B9%84%E0%B8%9C%E0%B9%88%E0%B8%95%E0%B8%B1%E0%B8%99%20%E0%B9%80%E0%B8%82%E0%B8%95%E0%B8%9E%E0%B8%8D%E0%B8%B2%E0%B9%84%E0%B8%97%20%E0%B8%81%E0%B8%A3%E0%B8%B8%E0%B8%87%E0%B9%80%E0%B8%97%E0%B8%9E%E0%B8%A1%E0%B8%AB%E0%B8%B2%E0%B8%99%E0%B8%84%E0%B8%A3&amp;query_place_id=ChIJ32PXkhac4jARdVLhg0yxggk" TargetMode="External"/><Relationship Id="rId685" Type="http://schemas.openxmlformats.org/officeDocument/2006/relationships/hyperlink" Target="https://maps.app.goo.gl/SLRcXzqWXghEvDbz5" TargetMode="External"/><Relationship Id="rId200" Type="http://schemas.openxmlformats.org/officeDocument/2006/relationships/hyperlink" Target="https://www.google.com/maps/search/?api=1&amp;query=%E0%B9%82%E0%B8%A3%E0%B8%87%E0%B9%80%E0%B8%A3%E0%B8%B5%E0%B8%A2%E0%B8%99%E0%B8%84%E0%B8%A5%E0%B8%AD%E0%B8%87%E0%B8%A1%E0%B8%AB%E0%B8%B2%E0%B8%AA%E0%B8%A7%E0%B8%B1%E0%B8%AA%E0%B8%94%E0%B8%B4%E0%B9%8C%20%E0%B9%80%E0%B8%82%E0%B8%95%E0%B8%97%E0%B8%A7%E0%B8%B5%E0%B8%A7%E0%B8%B1%E0%B8%92%E0%B8%99%E0%B8%B2%20%E0%B8%81%E0%B8%A3%E0%B8%B8%E0%B8%87%E0%B9%80%E0%B8%97%E0%B8%9E%E0%B8%A1%E0%B8%AB%E0%B8%B2%E0%B8%99%E0%B8%84%E0%B8%A3&amp;query_place_id=ChIJa7nT-FiR4jAR-5_hUE7ARjU" TargetMode="External"/><Relationship Id="rId442" Type="http://schemas.openxmlformats.org/officeDocument/2006/relationships/hyperlink" Target="https://floodsupport.bangkok.go.th/api/data" TargetMode="External"/><Relationship Id="rId684" Type="http://schemas.openxmlformats.org/officeDocument/2006/relationships/hyperlink" Target="https://www.google.com/maps/place/%E0%B9%82%E0%B8%A3%E0%B8%87%E0%B9%80%E0%B8%A3%E0%B8%B5%E0%B8%A2%E0%B8%99%E0%B8%9B%E0%B8%A3%E0%B8%B0%E0%B8%8A%E0%B8%B2%E0%B8%99%E0%B8%B8%E0%B8%81%E0%B8%B9%E0%B8%A5+(%E0%B9%82%E0%B8%A3%E0%B8%87%E0%B9%80%E0%B8%A3%E0%B8%B5%E0%B8%A2%E0%B8%99%E0%B8%82%E0%B8%B3%E0%B8%AA%E0%B8%99%E0%B8%B4%E0%B8%97%E0%B8%AD%E0%B8%99%E0%B8%B8%E0%B9%80%E0%B8%84%E0%B8%A3%E0%B8%B2%E0%B8%B0%E0%B8%AB%E0%B9%8C)/@13.9190334,100.6332131,17z/data=!3m1!4b1!4m6!3m5!1s0x311d7db401f42111:0x414422e0abbd80fb!8m2!3d13.9190334!4d100.635788!16s%2Fg%2F1hc6zj6rz?entry=tts&amp;g_ep=EgoyMDI2MDkyMy4wIPu8ASoASAFQAw%3D%3D&amp;skid=31d0ba9b-2675-4a25-9f5c-1a782bd279c1" TargetMode="External"/><Relationship Id="rId441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" TargetMode="External"/><Relationship Id="rId683" Type="http://schemas.openxmlformats.org/officeDocument/2006/relationships/hyperlink" Target="https://floodsupport.bangkok.go.th/api/data" TargetMode="External"/><Relationship Id="rId437" Type="http://schemas.openxmlformats.org/officeDocument/2006/relationships/hyperlink" Target="https://me-l.co/4nkos9tt" TargetMode="External"/><Relationship Id="rId679" Type="http://schemas.openxmlformats.org/officeDocument/2006/relationships/hyperlink" Target="https://www.google.com/maps/search/?api=1&amp;query=%E0%B9%82%E0%B8%A3%E0%B8%87%E0%B9%80%E0%B8%A3%E0%B8%B5%E0%B8%A2%E0%B8%99%E0%B8%A7%E0%B8%B1%E0%B8%94%E0%B8%88%E0%B8%B1%E0%B8%81%E0%B8%A3%E0%B8%A7%E0%B8%A3%E0%B8%A3%E0%B8%94%E0%B8%B4%20%E0%B9%80%E0%B8%82%E0%B8%95%E0%B8%AA%E0%B8%B1%E0%B8%A1%E0%B8%9E%E0%B8%B1%E0%B8%99%E0%B8%98%E0%B8%A7%E0%B8%87%E0%B8%A8%E0%B9%8C%20%E0%B8%81%E0%B8%A3%E0%B8%B8%E0%B8%87%E0%B9%80%E0%B8%97%E0%B8%9E%E0%B8%A1%E0%B8%AB%E0%B8%B2%E0%B8%99%E0%B8%84%E0%B8%A3&amp;query_place_id=ChIJj9ImIxmZ4jARiIvpEqhoTAs" TargetMode="External"/><Relationship Id="rId436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" TargetMode="External"/><Relationship Id="rId678" Type="http://schemas.openxmlformats.org/officeDocument/2006/relationships/hyperlink" Target="https://floodsupport.bangkok.go.th/api/data" TargetMode="External"/><Relationship Id="rId435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" TargetMode="External"/><Relationship Id="rId677" Type="http://schemas.openxmlformats.org/officeDocument/2006/relationships/hyperlink" Target="https://maps.app.goo.gl/mrs2zd7eUGfAeJot8?g_st=ic" TargetMode="External"/><Relationship Id="rId434" Type="http://schemas.openxmlformats.org/officeDocument/2006/relationships/hyperlink" Target="https://www.google.com/maps/search/?api=1&amp;query=%E0%B8%AA%E0%B8%B3%E0%B8%99%E0%B8%B1%E0%B8%81%E0%B8%87%E0%B8%B2%E0%B8%99%E0%B9%80%E0%B8%82%E0%B8%95%E0%B8%9B%E0%B8%A3%E0%B8%B0%E0%B9%80%E0%B8%A7%E0%B8%A8%20%E0%B9%80%E0%B8%82%E0%B8%95%E0%B8%9B%E0%B8%A3%E0%B8%B0%E0%B9%80%E0%B8%A7%E0%B8%A8%20%E0%B8%81%E0%B8%A3%E0%B8%B8%E0%B8%87%E0%B9%80%E0%B8%97%E0%B8%9E%E0%B8%A1%E0%B8%AB%E0%B8%B2%E0%B8%99%E0%B8%84%E0%B8%A3&amp;query_place_id=ChIJdzNBOdtgHTER45dqaIkHDU8" TargetMode="External"/><Relationship Id="rId676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" TargetMode="External"/><Relationship Id="rId439" Type="http://schemas.openxmlformats.org/officeDocument/2006/relationships/hyperlink" Target="https://www.google.com/maps/search/?api=1&amp;query=%E0%B9%82%E0%B8%A3%E0%B8%87%E0%B9%80%E0%B8%A3%E0%B8%B5%E0%B8%A2%E0%B8%99%E0%B8%9D%E0%B8%B6%E0%B8%81%E0%B8%AD%E0%B8%B2%E0%B8%8A%E0%B8%B5%E0%B8%9E%E0%B8%81%E0%B8%A3%E0%B8%B8%E0%B8%87%E0%B9%80%E0%B8%97%E0%B8%9E%E0%B8%A1%E0%B8%AB%E0%B8%B2%E0%B8%99%E0%B8%84%E0%B8%A3%20(%E0%B8%9B%E0%B8%A3%E0%B8%B0%E0%B9%80%E0%B8%A7%E0%B8%A8)%20%E0%B9%80%E0%B8%82%E0%B8%95%E0%B8%9B%E0%B8%A3%E0%B8%B0%E0%B9%80%E0%B8%A7%E0%B8%A8%20%E0%B8%81%E0%B8%A3%E0%B8%B8%E0%B8%87%E0%B9%80%E0%B8%97%E0%B8%9E%E0%B8%A1%E0%B8%AB%E0%B8%B2%E0%B8%99%E0%B8%84%E0%B8%A3&amp;query_place_id=ChIJgbNNLhFhHTERSFU46Rh4Ze4" TargetMode="External"/><Relationship Id="rId438" Type="http://schemas.openxmlformats.org/officeDocument/2006/relationships/hyperlink" Target="https://floodsupport.bangkok.go.th/api/data" TargetMode="External"/><Relationship Id="rId671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" TargetMode="External"/><Relationship Id="rId670" Type="http://schemas.openxmlformats.org/officeDocument/2006/relationships/hyperlink" Target="https://www.google.com/maps/search/?api=1&amp;query=%E0%B9%82%E0%B8%A3%E0%B8%87%E0%B9%80%E0%B8%A3%E0%B8%B5%E0%B8%A2%E0%B8%99%E0%B8%AA%E0%B8%B8%E0%B9%80%E0%B8%AB%E0%B8%A3%E0%B9%88%E0%B8%B2%E0%B8%A5%E0%B8%B2%E0%B8%94%E0%B8%9A%E0%B8%B1%E0%B8%A7%E0%B8%82%E0%B8%B2%E0%B8%A7%20%E0%B9%80%E0%B8%82%E0%B8%95%E0%B8%AA%E0%B8%B0%E0%B8%9E%E0%B8%B2%E0%B8%99%E0%B8%AA%E0%B8%B9%E0%B8%87%20%E0%B8%81%E0%B8%A3%E0%B8%B8%E0%B8%87%E0%B9%80%E0%B8%97%E0%B8%9E%E0%B8%A1%E0%B8%AB%E0%B8%B2%E0%B8%99%E0%B8%84%E0%B8%A3&amp;query_place_id=ChIJ0TC0Hj1nHTERPfSn2fyvDQc" TargetMode="External"/><Relationship Id="rId433" Type="http://schemas.openxmlformats.org/officeDocument/2006/relationships/hyperlink" Target="https://floodsupport.bangkok.go.th/api/data" TargetMode="External"/><Relationship Id="rId675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" TargetMode="External"/><Relationship Id="rId432" Type="http://schemas.openxmlformats.org/officeDocument/2006/relationships/hyperlink" Target="https://me-l.co/v55ml1z3" TargetMode="External"/><Relationship Id="rId674" Type="http://schemas.openxmlformats.org/officeDocument/2006/relationships/hyperlink" Target="https://www.google.com/maps/search/?api=1&amp;query=%E0%B8%AA%E0%B8%B3%E0%B8%99%E0%B8%B1%E0%B8%81%E0%B8%87%E0%B8%B2%E0%B8%99%E0%B9%80%E0%B8%82%E0%B8%95%E0%B8%AA%E0%B8%B1%E0%B8%A1%E0%B8%9E%E0%B8%B1%E0%B8%99%E0%B8%98%E0%B8%A7%E0%B8%87%E0%B8%A8%E0%B9%8C%20%E0%B9%80%E0%B8%82%E0%B8%95%E0%B8%AA%E0%B8%B1%E0%B8%A1%E0%B8%9E%E0%B8%B1%E0%B8%99%E0%B8%98%E0%B8%A7%E0%B8%87%E0%B8%A8%E0%B9%8C%20%E0%B8%81%E0%B8%A3%E0%B8%B8%E0%B8%87%E0%B9%80%E0%B8%97%E0%B8%9E%E0%B8%A1%E0%B8%AB%E0%B8%B2%E0%B8%99%E0%B8%84%E0%B8%A3&amp;query_place_id=ChIJFS6-G9mY4jART6t02bdSwTc" TargetMode="External"/><Relationship Id="rId431" Type="http://schemas.openxmlformats.org/officeDocument/2006/relationships/hyperlink" Target="https://www.google.com/maps/place/%E0%B9%82%E0%B8%A3%E0%B8%87%E0%B9%80%E0%B8%A3%E0%B8%B5%E0%B8%A2%E0%B8%99+%E0%B9%81%E0%B8%A2%E0%B9%89%E0%B8%A1%E0%B8%88%E0%B8%B2%E0%B8%94%E0%B8%A7%E0%B8%B4%E0%B8%8A%E0%B8%8A%E0%B8%B2%E0%B8%99%E0%B8%B8%E0%B8%AA%E0%B8%A3%E0%B8%93%E0%B9%8C/@13.8336434,100.650068,17z/data=!4m14!1m7!3m6!1s0x311d62f03fbf4f27:0x7c0e2bce5bf7dfac!2z4LmC4Lij4LiH4LmA4Lij4Li14Lii4LiZIOC5geC4ouC5ieC4oeC4iOC4suC4lOC4p-C4tOC4iuC4iuC4suC4meC4uOC4quC4o-C4k-C5jA!8m2!3d13.8336382!4d100.6526429!16s%2Fg%2F1vyn1b1x!3m5!1s0x311d62f03fbf4f27:0x7c0e2bce5bf7dfac!8m2!3d13.8336382!4d100.6526429!16s%2Fg%2F1vyn1b1x?entry=ttu&amp;g_ep=EgoyMDI2MDkyMy4wIKXMDSoASAFQAw%3D%3D" TargetMode="External"/><Relationship Id="rId673" Type="http://schemas.openxmlformats.org/officeDocument/2006/relationships/hyperlink" Target="https://floodsupport.bangkok.go.th/api/data" TargetMode="External"/><Relationship Id="rId430" Type="http://schemas.openxmlformats.org/officeDocument/2006/relationships/hyperlink" Target="https://floodsupport.bangkok.go.th/api/data" TargetMode="External"/><Relationship Id="rId672" Type="http://schemas.openxmlformats.org/officeDocument/2006/relationships/hyperlink" Target="https://maps.app.goo.gl/JSHyKz2iro5FmL8W8?g_st=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88"/>
    <col customWidth="1" min="2" max="2" width="10.88"/>
    <col customWidth="1" min="3" max="3" width="6.5"/>
    <col customWidth="1" min="4" max="4" width="8.0"/>
    <col customWidth="1" min="5" max="5" width="12.25"/>
    <col customWidth="1" min="6" max="6" width="21.13"/>
    <col customWidth="1" min="7" max="7" width="18.5"/>
    <col customWidth="1" min="8" max="8" width="24.0"/>
    <col customWidth="1" min="9" max="9" width="20.75"/>
    <col customWidth="1" min="10" max="10" width="18.25"/>
    <col customWidth="1" min="11" max="11" width="15.75"/>
    <col customWidth="1" min="12" max="12" width="16.13"/>
    <col customWidth="1" min="13" max="13" width="13.0"/>
    <col customWidth="1" min="14" max="14" width="41.75"/>
    <col customWidth="1" min="15" max="15" width="15.75"/>
    <col customWidth="1" min="16" max="16" width="36.13"/>
  </cols>
  <sheetData>
    <row r="1">
      <c r="A1" s="6" t="s">
        <v>16</v>
      </c>
      <c r="B1" s="6" t="s">
        <v>27</v>
      </c>
      <c r="C1" s="6" t="s">
        <v>29</v>
      </c>
      <c r="D1" s="6" t="s">
        <v>31</v>
      </c>
      <c r="E1" s="6" t="s">
        <v>33</v>
      </c>
      <c r="F1" s="6" t="s">
        <v>35</v>
      </c>
      <c r="G1" s="6" t="s">
        <v>37</v>
      </c>
      <c r="H1" s="6" t="s">
        <v>38</v>
      </c>
      <c r="I1" s="6" t="s">
        <v>39</v>
      </c>
      <c r="J1" s="8" t="s">
        <v>41</v>
      </c>
      <c r="K1" s="8" t="s">
        <v>45</v>
      </c>
      <c r="L1" s="8" t="s">
        <v>46</v>
      </c>
      <c r="M1" s="8" t="s">
        <v>47</v>
      </c>
      <c r="N1" s="10" t="s">
        <v>48</v>
      </c>
      <c r="O1" s="10" t="s">
        <v>49</v>
      </c>
      <c r="P1" s="10" t="s">
        <v>50</v>
      </c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5" t="s">
        <v>55</v>
      </c>
      <c r="B2" s="16">
        <v>46297.0</v>
      </c>
      <c r="C2" s="15" t="s">
        <v>59</v>
      </c>
      <c r="D2" s="15" t="s">
        <v>61</v>
      </c>
      <c r="E2" s="15" t="s">
        <v>62</v>
      </c>
      <c r="F2" s="17">
        <v>1.0</v>
      </c>
      <c r="G2" s="15" t="s">
        <v>64</v>
      </c>
      <c r="H2" s="17">
        <v>2.0</v>
      </c>
      <c r="I2" s="17">
        <v>2.0</v>
      </c>
      <c r="J2" s="19">
        <v>3.0</v>
      </c>
      <c r="K2" s="19" t="s">
        <v>68</v>
      </c>
      <c r="L2" s="21" t="s">
        <v>69</v>
      </c>
      <c r="M2" s="21" t="s">
        <v>71</v>
      </c>
      <c r="N2" s="7" t="s">
        <v>72</v>
      </c>
      <c r="O2" s="22">
        <v>46297.413194444445</v>
      </c>
      <c r="P2" s="27" t="s">
        <v>76</v>
      </c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9" t="s">
        <v>95</v>
      </c>
      <c r="B3" s="31">
        <v>46297.0</v>
      </c>
      <c r="C3" s="29" t="s">
        <v>59</v>
      </c>
      <c r="D3" s="29" t="s">
        <v>77</v>
      </c>
      <c r="E3" s="29" t="s">
        <v>62</v>
      </c>
      <c r="F3" s="32">
        <v>6.0</v>
      </c>
      <c r="G3" s="29" t="s">
        <v>105</v>
      </c>
      <c r="H3" s="32">
        <v>9.0</v>
      </c>
      <c r="I3" s="32">
        <v>19.0</v>
      </c>
      <c r="J3" s="19">
        <v>82.0</v>
      </c>
      <c r="K3" s="19" t="s">
        <v>68</v>
      </c>
      <c r="L3" s="21" t="s">
        <v>69</v>
      </c>
      <c r="M3" s="21" t="s">
        <v>71</v>
      </c>
      <c r="N3" s="7" t="s">
        <v>72</v>
      </c>
      <c r="O3" s="22">
        <v>46297.413194444445</v>
      </c>
      <c r="P3" s="27" t="s">
        <v>76</v>
      </c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15" t="s">
        <v>111</v>
      </c>
      <c r="B4" s="16">
        <v>46297.0</v>
      </c>
      <c r="C4" s="15" t="s">
        <v>59</v>
      </c>
      <c r="D4" s="15" t="s">
        <v>84</v>
      </c>
      <c r="E4" s="15" t="s">
        <v>62</v>
      </c>
      <c r="F4" s="17">
        <v>2.0</v>
      </c>
      <c r="G4" s="15" t="s">
        <v>119</v>
      </c>
      <c r="H4" s="17">
        <v>21.0</v>
      </c>
      <c r="I4" s="17">
        <v>191.0</v>
      </c>
      <c r="J4" s="19">
        <v>3128.0</v>
      </c>
      <c r="K4" s="19" t="s">
        <v>68</v>
      </c>
      <c r="L4" s="21" t="s">
        <v>69</v>
      </c>
      <c r="M4" s="21" t="s">
        <v>71</v>
      </c>
      <c r="N4" s="7" t="s">
        <v>122</v>
      </c>
      <c r="O4" s="22">
        <v>46297.413194444445</v>
      </c>
      <c r="P4" s="27" t="s">
        <v>76</v>
      </c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">
        <v>129</v>
      </c>
      <c r="B5" s="31">
        <v>46297.0</v>
      </c>
      <c r="C5" s="29" t="s">
        <v>59</v>
      </c>
      <c r="D5" s="29" t="s">
        <v>86</v>
      </c>
      <c r="E5" s="29" t="s">
        <v>62</v>
      </c>
      <c r="F5" s="32">
        <v>14.0</v>
      </c>
      <c r="G5" s="29" t="s">
        <v>133</v>
      </c>
      <c r="H5" s="32">
        <v>85.0</v>
      </c>
      <c r="I5" s="32">
        <v>501.0</v>
      </c>
      <c r="J5" s="19">
        <v>11928.0</v>
      </c>
      <c r="K5" s="19" t="s">
        <v>68</v>
      </c>
      <c r="L5" s="21" t="s">
        <v>139</v>
      </c>
      <c r="M5" s="21" t="s">
        <v>71</v>
      </c>
      <c r="N5" s="7" t="s">
        <v>122</v>
      </c>
      <c r="O5" s="22">
        <v>46297.413194444445</v>
      </c>
      <c r="P5" s="27" t="s">
        <v>76</v>
      </c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15" t="s">
        <v>144</v>
      </c>
      <c r="B6" s="16">
        <v>46297.0</v>
      </c>
      <c r="C6" s="15" t="s">
        <v>145</v>
      </c>
      <c r="D6" s="15" t="s">
        <v>94</v>
      </c>
      <c r="E6" s="15" t="s">
        <v>62</v>
      </c>
      <c r="F6" s="17">
        <v>8.0</v>
      </c>
      <c r="G6" s="15" t="s">
        <v>148</v>
      </c>
      <c r="H6" s="17">
        <v>56.0</v>
      </c>
      <c r="I6" s="17">
        <v>413.0</v>
      </c>
      <c r="J6" s="19">
        <v>4785.0</v>
      </c>
      <c r="K6" s="19" t="s">
        <v>68</v>
      </c>
      <c r="L6" s="21" t="s">
        <v>139</v>
      </c>
      <c r="M6" s="21" t="s">
        <v>71</v>
      </c>
      <c r="N6" s="7" t="s">
        <v>122</v>
      </c>
      <c r="O6" s="22">
        <v>46297.413194444445</v>
      </c>
      <c r="P6" s="27" t="s">
        <v>76</v>
      </c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9" t="s">
        <v>155</v>
      </c>
      <c r="B7" s="31">
        <v>46297.0</v>
      </c>
      <c r="C7" s="29" t="s">
        <v>145</v>
      </c>
      <c r="D7" s="29" t="s">
        <v>101</v>
      </c>
      <c r="E7" s="29" t="s">
        <v>62</v>
      </c>
      <c r="F7" s="32">
        <v>5.0</v>
      </c>
      <c r="G7" s="29" t="s">
        <v>165</v>
      </c>
      <c r="H7" s="32">
        <v>23.0</v>
      </c>
      <c r="I7" s="32">
        <v>84.0</v>
      </c>
      <c r="J7" s="19">
        <v>1657.0</v>
      </c>
      <c r="K7" s="19" t="s">
        <v>68</v>
      </c>
      <c r="L7" s="21" t="s">
        <v>139</v>
      </c>
      <c r="M7" s="21" t="s">
        <v>71</v>
      </c>
      <c r="N7" s="7" t="s">
        <v>122</v>
      </c>
      <c r="O7" s="22">
        <v>46297.413194444445</v>
      </c>
      <c r="P7" s="27" t="s">
        <v>76</v>
      </c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15" t="s">
        <v>173</v>
      </c>
      <c r="B8" s="16">
        <v>46297.0</v>
      </c>
      <c r="C8" s="15" t="s">
        <v>145</v>
      </c>
      <c r="D8" s="15" t="s">
        <v>91</v>
      </c>
      <c r="E8" s="15" t="s">
        <v>62</v>
      </c>
      <c r="F8" s="17">
        <v>7.0</v>
      </c>
      <c r="G8" s="15" t="s">
        <v>176</v>
      </c>
      <c r="H8" s="17">
        <v>38.0</v>
      </c>
      <c r="I8" s="17">
        <v>168.0</v>
      </c>
      <c r="J8" s="19">
        <v>1581.0</v>
      </c>
      <c r="K8" s="19" t="s">
        <v>68</v>
      </c>
      <c r="L8" s="21" t="s">
        <v>139</v>
      </c>
      <c r="M8" s="21" t="s">
        <v>71</v>
      </c>
      <c r="N8" s="7" t="s">
        <v>122</v>
      </c>
      <c r="O8" s="22">
        <v>46297.413194444445</v>
      </c>
      <c r="P8" s="27" t="s">
        <v>76</v>
      </c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9" t="s">
        <v>184</v>
      </c>
      <c r="B9" s="31">
        <v>46297.0</v>
      </c>
      <c r="C9" s="29" t="s">
        <v>145</v>
      </c>
      <c r="D9" s="29" t="s">
        <v>109</v>
      </c>
      <c r="E9" s="29" t="s">
        <v>62</v>
      </c>
      <c r="F9" s="32">
        <v>3.0</v>
      </c>
      <c r="G9" s="29" t="s">
        <v>201</v>
      </c>
      <c r="H9" s="32">
        <v>3.0</v>
      </c>
      <c r="I9" s="32">
        <v>11.0</v>
      </c>
      <c r="J9" s="19">
        <v>974.0</v>
      </c>
      <c r="K9" s="19" t="s">
        <v>68</v>
      </c>
      <c r="L9" s="21" t="s">
        <v>139</v>
      </c>
      <c r="M9" s="21" t="s">
        <v>71</v>
      </c>
      <c r="N9" s="7" t="s">
        <v>122</v>
      </c>
      <c r="O9" s="22">
        <v>46297.413194444445</v>
      </c>
      <c r="P9" s="27" t="s">
        <v>76</v>
      </c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5" t="s">
        <v>205</v>
      </c>
      <c r="B10" s="16">
        <v>46297.0</v>
      </c>
      <c r="C10" s="15" t="s">
        <v>145</v>
      </c>
      <c r="D10" s="15" t="s">
        <v>136</v>
      </c>
      <c r="E10" s="15" t="s">
        <v>62</v>
      </c>
      <c r="F10" s="17">
        <v>9.0</v>
      </c>
      <c r="G10" s="15" t="s">
        <v>211</v>
      </c>
      <c r="H10" s="17">
        <v>92.0</v>
      </c>
      <c r="I10" s="17">
        <v>667.0</v>
      </c>
      <c r="J10" s="19">
        <v>18987.0</v>
      </c>
      <c r="K10" s="19" t="s">
        <v>68</v>
      </c>
      <c r="L10" s="21" t="s">
        <v>139</v>
      </c>
      <c r="M10" s="21" t="s">
        <v>71</v>
      </c>
      <c r="N10" s="7" t="s">
        <v>122</v>
      </c>
      <c r="O10" s="22">
        <v>46297.413194444445</v>
      </c>
      <c r="P10" s="27" t="s">
        <v>76</v>
      </c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9" t="s">
        <v>221</v>
      </c>
      <c r="B11" s="31">
        <v>46297.0</v>
      </c>
      <c r="C11" s="29" t="s">
        <v>145</v>
      </c>
      <c r="D11" s="29" t="s">
        <v>154</v>
      </c>
      <c r="E11" s="29" t="s">
        <v>62</v>
      </c>
      <c r="F11" s="32">
        <v>13.0</v>
      </c>
      <c r="G11" s="29" t="s">
        <v>228</v>
      </c>
      <c r="H11" s="32">
        <v>90.0</v>
      </c>
      <c r="I11" s="32">
        <v>884.0</v>
      </c>
      <c r="J11" s="19">
        <v>9635.0</v>
      </c>
      <c r="K11" s="19">
        <v>2.0</v>
      </c>
      <c r="L11" s="21" t="s">
        <v>139</v>
      </c>
      <c r="M11" s="21" t="s">
        <v>71</v>
      </c>
      <c r="N11" s="7" t="s">
        <v>231</v>
      </c>
      <c r="O11" s="22">
        <v>46297.413194444445</v>
      </c>
      <c r="P11" s="27" t="s">
        <v>76</v>
      </c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15" t="s">
        <v>238</v>
      </c>
      <c r="B12" s="16">
        <v>46297.0</v>
      </c>
      <c r="C12" s="15" t="s">
        <v>145</v>
      </c>
      <c r="D12" s="15" t="s">
        <v>107</v>
      </c>
      <c r="E12" s="15" t="s">
        <v>62</v>
      </c>
      <c r="F12" s="17">
        <v>5.0</v>
      </c>
      <c r="G12" s="15" t="s">
        <v>242</v>
      </c>
      <c r="H12" s="17">
        <v>33.0</v>
      </c>
      <c r="I12" s="17">
        <v>146.0</v>
      </c>
      <c r="J12" s="19">
        <v>2009.0</v>
      </c>
      <c r="K12" s="19" t="s">
        <v>68</v>
      </c>
      <c r="L12" s="21" t="s">
        <v>139</v>
      </c>
      <c r="M12" s="21" t="s">
        <v>71</v>
      </c>
      <c r="N12" s="7" t="s">
        <v>231</v>
      </c>
      <c r="O12" s="22">
        <v>46297.413194444445</v>
      </c>
      <c r="P12" s="27" t="s">
        <v>76</v>
      </c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9" t="s">
        <v>255</v>
      </c>
      <c r="B13" s="31">
        <v>46297.0</v>
      </c>
      <c r="C13" s="29" t="s">
        <v>145</v>
      </c>
      <c r="D13" s="29" t="s">
        <v>97</v>
      </c>
      <c r="E13" s="29" t="s">
        <v>62</v>
      </c>
      <c r="F13" s="32">
        <v>13.0</v>
      </c>
      <c r="G13" s="29" t="s">
        <v>262</v>
      </c>
      <c r="H13" s="32">
        <v>87.0</v>
      </c>
      <c r="I13" s="32">
        <v>566.0</v>
      </c>
      <c r="J13" s="19">
        <v>5393.0</v>
      </c>
      <c r="K13" s="19">
        <v>1.0</v>
      </c>
      <c r="L13" s="21" t="s">
        <v>69</v>
      </c>
      <c r="M13" s="21" t="s">
        <v>71</v>
      </c>
      <c r="N13" s="7" t="s">
        <v>231</v>
      </c>
      <c r="O13" s="22">
        <v>46297.413194444445</v>
      </c>
      <c r="P13" s="27" t="s">
        <v>76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15" t="s">
        <v>275</v>
      </c>
      <c r="B14" s="16">
        <v>46297.0</v>
      </c>
      <c r="C14" s="15" t="s">
        <v>145</v>
      </c>
      <c r="D14" s="15" t="s">
        <v>116</v>
      </c>
      <c r="E14" s="15" t="s">
        <v>62</v>
      </c>
      <c r="F14" s="17">
        <v>13.0</v>
      </c>
      <c r="G14" s="15" t="s">
        <v>280</v>
      </c>
      <c r="H14" s="17">
        <v>169.0</v>
      </c>
      <c r="I14" s="17">
        <v>1104.0</v>
      </c>
      <c r="J14" s="19">
        <v>44865.0</v>
      </c>
      <c r="K14" s="19">
        <v>1.0</v>
      </c>
      <c r="L14" s="21" t="s">
        <v>139</v>
      </c>
      <c r="M14" s="21" t="s">
        <v>71</v>
      </c>
      <c r="N14" s="7" t="s">
        <v>231</v>
      </c>
      <c r="O14" s="22">
        <v>46297.413194444445</v>
      </c>
      <c r="P14" s="27" t="s">
        <v>76</v>
      </c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9" t="s">
        <v>290</v>
      </c>
      <c r="B15" s="31">
        <v>46297.0</v>
      </c>
      <c r="C15" s="29" t="s">
        <v>145</v>
      </c>
      <c r="D15" s="29" t="s">
        <v>167</v>
      </c>
      <c r="E15" s="29" t="s">
        <v>62</v>
      </c>
      <c r="F15" s="32">
        <v>6.0</v>
      </c>
      <c r="G15" s="29" t="s">
        <v>296</v>
      </c>
      <c r="H15" s="32">
        <v>38.0</v>
      </c>
      <c r="I15" s="32">
        <v>382.0</v>
      </c>
      <c r="J15" s="19">
        <v>307704.0</v>
      </c>
      <c r="K15" s="19">
        <v>8.0</v>
      </c>
      <c r="L15" s="21" t="s">
        <v>139</v>
      </c>
      <c r="M15" s="21" t="s">
        <v>71</v>
      </c>
      <c r="N15" s="7" t="s">
        <v>300</v>
      </c>
      <c r="O15" s="22">
        <v>46297.413194444445</v>
      </c>
      <c r="P15" s="27" t="s">
        <v>76</v>
      </c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15" t="s">
        <v>302</v>
      </c>
      <c r="B16" s="16">
        <v>46297.0</v>
      </c>
      <c r="C16" s="15" t="s">
        <v>145</v>
      </c>
      <c r="D16" s="15" t="s">
        <v>118</v>
      </c>
      <c r="E16" s="15" t="s">
        <v>62</v>
      </c>
      <c r="F16" s="17">
        <v>7.0</v>
      </c>
      <c r="G16" s="15" t="s">
        <v>310</v>
      </c>
      <c r="H16" s="17">
        <v>29.0</v>
      </c>
      <c r="I16" s="17">
        <v>510.0</v>
      </c>
      <c r="J16" s="19">
        <v>182290.0</v>
      </c>
      <c r="K16" s="19" t="s">
        <v>68</v>
      </c>
      <c r="L16" s="21" t="s">
        <v>139</v>
      </c>
      <c r="M16" s="21" t="s">
        <v>71</v>
      </c>
      <c r="N16" s="7" t="s">
        <v>300</v>
      </c>
      <c r="O16" s="22">
        <v>46297.413194444445</v>
      </c>
      <c r="P16" s="27" t="s">
        <v>76</v>
      </c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9" t="s">
        <v>318</v>
      </c>
      <c r="B17" s="31">
        <v>46297.0</v>
      </c>
      <c r="C17" s="29" t="s">
        <v>145</v>
      </c>
      <c r="D17" s="29" t="s">
        <v>98</v>
      </c>
      <c r="E17" s="29" t="s">
        <v>62</v>
      </c>
      <c r="F17" s="32">
        <v>3.0</v>
      </c>
      <c r="G17" s="29" t="s">
        <v>325</v>
      </c>
      <c r="H17" s="32">
        <v>3.0</v>
      </c>
      <c r="I17" s="32">
        <v>3.0</v>
      </c>
      <c r="J17" s="19" t="s">
        <v>68</v>
      </c>
      <c r="K17" s="19" t="s">
        <v>68</v>
      </c>
      <c r="L17" s="21" t="s">
        <v>139</v>
      </c>
      <c r="M17" s="21" t="s">
        <v>71</v>
      </c>
      <c r="N17" s="7" t="s">
        <v>300</v>
      </c>
      <c r="O17" s="22">
        <v>46297.413194444445</v>
      </c>
      <c r="P17" s="27" t="s">
        <v>76</v>
      </c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15" t="s">
        <v>331</v>
      </c>
      <c r="B18" s="16">
        <v>46297.0</v>
      </c>
      <c r="C18" s="15" t="s">
        <v>145</v>
      </c>
      <c r="D18" s="15" t="s">
        <v>146</v>
      </c>
      <c r="E18" s="15" t="s">
        <v>62</v>
      </c>
      <c r="F18" s="17">
        <v>7.0</v>
      </c>
      <c r="G18" s="15" t="s">
        <v>336</v>
      </c>
      <c r="H18" s="17">
        <v>105.0</v>
      </c>
      <c r="I18" s="17">
        <v>793.0</v>
      </c>
      <c r="J18" s="19">
        <v>43687.0</v>
      </c>
      <c r="K18" s="19" t="s">
        <v>68</v>
      </c>
      <c r="L18" s="21" t="s">
        <v>139</v>
      </c>
      <c r="M18" s="21" t="s">
        <v>71</v>
      </c>
      <c r="N18" s="7" t="s">
        <v>300</v>
      </c>
      <c r="O18" s="22">
        <v>46297.413194444445</v>
      </c>
      <c r="P18" s="27" t="s">
        <v>76</v>
      </c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9" t="s">
        <v>342</v>
      </c>
      <c r="B19" s="31">
        <v>46297.0</v>
      </c>
      <c r="C19" s="29" t="s">
        <v>145</v>
      </c>
      <c r="D19" s="29" t="s">
        <v>153</v>
      </c>
      <c r="E19" s="29" t="s">
        <v>62</v>
      </c>
      <c r="F19" s="32">
        <v>7.0</v>
      </c>
      <c r="G19" s="29" t="s">
        <v>347</v>
      </c>
      <c r="H19" s="32">
        <v>42.0</v>
      </c>
      <c r="I19" s="32">
        <v>178.0</v>
      </c>
      <c r="J19" s="19">
        <v>3663.0</v>
      </c>
      <c r="K19" s="19" t="s">
        <v>68</v>
      </c>
      <c r="L19" s="21" t="s">
        <v>139</v>
      </c>
      <c r="M19" s="21" t="s">
        <v>71</v>
      </c>
      <c r="N19" s="7" t="s">
        <v>300</v>
      </c>
      <c r="O19" s="22">
        <v>46297.413194444445</v>
      </c>
      <c r="P19" s="27" t="s">
        <v>76</v>
      </c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15" t="s">
        <v>349</v>
      </c>
      <c r="B20" s="16">
        <v>46297.0</v>
      </c>
      <c r="C20" s="15" t="s">
        <v>145</v>
      </c>
      <c r="D20" s="15" t="s">
        <v>121</v>
      </c>
      <c r="E20" s="15" t="s">
        <v>62</v>
      </c>
      <c r="F20" s="17">
        <v>1.0</v>
      </c>
      <c r="G20" s="15" t="s">
        <v>350</v>
      </c>
      <c r="H20" s="17">
        <v>2.0</v>
      </c>
      <c r="I20" s="17">
        <v>3.0</v>
      </c>
      <c r="J20" s="19">
        <v>6.0</v>
      </c>
      <c r="K20" s="19" t="s">
        <v>68</v>
      </c>
      <c r="L20" s="21" t="s">
        <v>139</v>
      </c>
      <c r="M20" s="21" t="s">
        <v>71</v>
      </c>
      <c r="N20" s="7" t="s">
        <v>300</v>
      </c>
      <c r="O20" s="22">
        <v>46297.413194444445</v>
      </c>
      <c r="P20" s="27" t="s">
        <v>76</v>
      </c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9" t="s">
        <v>355</v>
      </c>
      <c r="B21" s="31">
        <v>46297.0</v>
      </c>
      <c r="C21" s="29" t="s">
        <v>348</v>
      </c>
      <c r="D21" s="29" t="s">
        <v>108</v>
      </c>
      <c r="E21" s="29" t="s">
        <v>62</v>
      </c>
      <c r="F21" s="32">
        <v>4.0</v>
      </c>
      <c r="G21" s="29" t="s">
        <v>361</v>
      </c>
      <c r="H21" s="32">
        <v>41.0</v>
      </c>
      <c r="I21" s="32">
        <v>416.0</v>
      </c>
      <c r="J21" s="19">
        <v>49018.0</v>
      </c>
      <c r="K21" s="19" t="s">
        <v>68</v>
      </c>
      <c r="L21" s="21" t="s">
        <v>139</v>
      </c>
      <c r="M21" s="21" t="s">
        <v>71</v>
      </c>
      <c r="N21" s="7" t="s">
        <v>300</v>
      </c>
      <c r="O21" s="22">
        <v>46297.413194444445</v>
      </c>
      <c r="P21" s="27" t="s">
        <v>76</v>
      </c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15" t="s">
        <v>368</v>
      </c>
      <c r="B22" s="16">
        <v>46297.0</v>
      </c>
      <c r="C22" s="15" t="s">
        <v>348</v>
      </c>
      <c r="D22" s="15" t="s">
        <v>163</v>
      </c>
      <c r="E22" s="15" t="s">
        <v>62</v>
      </c>
      <c r="F22" s="17">
        <v>7.0</v>
      </c>
      <c r="G22" s="15" t="s">
        <v>373</v>
      </c>
      <c r="H22" s="17">
        <v>61.0</v>
      </c>
      <c r="I22" s="17">
        <v>625.0</v>
      </c>
      <c r="J22" s="19">
        <v>39977.0</v>
      </c>
      <c r="K22" s="19" t="s">
        <v>68</v>
      </c>
      <c r="L22" s="21" t="s">
        <v>139</v>
      </c>
      <c r="M22" s="21" t="s">
        <v>71</v>
      </c>
      <c r="N22" s="7" t="s">
        <v>300</v>
      </c>
      <c r="O22" s="22">
        <v>46297.413194444445</v>
      </c>
      <c r="P22" s="27" t="s">
        <v>76</v>
      </c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9" t="s">
        <v>379</v>
      </c>
      <c r="B23" s="31">
        <v>46297.0</v>
      </c>
      <c r="C23" s="29" t="s">
        <v>348</v>
      </c>
      <c r="D23" s="29" t="s">
        <v>166</v>
      </c>
      <c r="E23" s="29" t="s">
        <v>62</v>
      </c>
      <c r="F23" s="32">
        <v>11.0</v>
      </c>
      <c r="G23" s="29" t="s">
        <v>385</v>
      </c>
      <c r="H23" s="32">
        <v>89.0</v>
      </c>
      <c r="I23" s="32">
        <v>736.0</v>
      </c>
      <c r="J23" s="19">
        <v>47959.0</v>
      </c>
      <c r="K23" s="19" t="s">
        <v>68</v>
      </c>
      <c r="L23" s="21" t="s">
        <v>139</v>
      </c>
      <c r="M23" s="21" t="s">
        <v>71</v>
      </c>
      <c r="N23" s="7" t="s">
        <v>390</v>
      </c>
      <c r="O23" s="22">
        <v>46297.413194444445</v>
      </c>
      <c r="P23" s="27" t="s">
        <v>76</v>
      </c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15" t="s">
        <v>391</v>
      </c>
      <c r="B24" s="16">
        <v>46297.0</v>
      </c>
      <c r="C24" s="15" t="s">
        <v>348</v>
      </c>
      <c r="D24" s="15" t="s">
        <v>157</v>
      </c>
      <c r="E24" s="15" t="s">
        <v>62</v>
      </c>
      <c r="F24" s="17">
        <v>2.0</v>
      </c>
      <c r="G24" s="15" t="s">
        <v>396</v>
      </c>
      <c r="H24" s="17">
        <v>4.0</v>
      </c>
      <c r="I24" s="17">
        <v>33.0</v>
      </c>
      <c r="J24" s="19">
        <v>4373.0</v>
      </c>
      <c r="K24" s="19">
        <v>6.0</v>
      </c>
      <c r="L24" s="21" t="s">
        <v>69</v>
      </c>
      <c r="M24" s="21" t="s">
        <v>71</v>
      </c>
      <c r="N24" s="7" t="s">
        <v>390</v>
      </c>
      <c r="O24" s="22">
        <v>46297.413194444445</v>
      </c>
      <c r="P24" s="27" t="s">
        <v>76</v>
      </c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9" t="s">
        <v>402</v>
      </c>
      <c r="B25" s="31">
        <v>46297.0</v>
      </c>
      <c r="C25" s="29" t="s">
        <v>348</v>
      </c>
      <c r="D25" s="29" t="s">
        <v>174</v>
      </c>
      <c r="E25" s="29" t="s">
        <v>62</v>
      </c>
      <c r="F25" s="32">
        <v>10.0</v>
      </c>
      <c r="G25" s="29" t="s">
        <v>408</v>
      </c>
      <c r="H25" s="32">
        <v>78.0</v>
      </c>
      <c r="I25" s="32">
        <v>354.0</v>
      </c>
      <c r="J25" s="19">
        <v>118723.0</v>
      </c>
      <c r="K25" s="19" t="s">
        <v>68</v>
      </c>
      <c r="L25" s="21" t="s">
        <v>139</v>
      </c>
      <c r="M25" s="21" t="s">
        <v>71</v>
      </c>
      <c r="N25" s="7" t="s">
        <v>390</v>
      </c>
      <c r="O25" s="22">
        <v>46297.413194444445</v>
      </c>
      <c r="P25" s="27" t="s">
        <v>76</v>
      </c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15" t="s">
        <v>417</v>
      </c>
      <c r="B26" s="16">
        <v>46297.0</v>
      </c>
      <c r="C26" s="15" t="s">
        <v>348</v>
      </c>
      <c r="D26" s="15" t="s">
        <v>178</v>
      </c>
      <c r="E26" s="15" t="s">
        <v>62</v>
      </c>
      <c r="F26" s="17">
        <v>2.0</v>
      </c>
      <c r="G26" s="15" t="s">
        <v>419</v>
      </c>
      <c r="H26" s="17">
        <v>9.0</v>
      </c>
      <c r="I26" s="17">
        <v>73.0</v>
      </c>
      <c r="J26" s="19">
        <v>1760.0</v>
      </c>
      <c r="K26" s="19" t="s">
        <v>68</v>
      </c>
      <c r="L26" s="21" t="s">
        <v>424</v>
      </c>
      <c r="M26" s="21" t="s">
        <v>71</v>
      </c>
      <c r="N26" s="7" t="s">
        <v>390</v>
      </c>
      <c r="O26" s="22">
        <v>46297.413194444445</v>
      </c>
      <c r="P26" s="27" t="s">
        <v>76</v>
      </c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9" t="s">
        <v>426</v>
      </c>
      <c r="B27" s="31">
        <v>46297.0</v>
      </c>
      <c r="C27" s="29" t="s">
        <v>348</v>
      </c>
      <c r="D27" s="29" t="s">
        <v>175</v>
      </c>
      <c r="E27" s="29" t="s">
        <v>62</v>
      </c>
      <c r="F27" s="32">
        <v>2.0</v>
      </c>
      <c r="G27" s="29" t="s">
        <v>430</v>
      </c>
      <c r="H27" s="32">
        <v>10.0</v>
      </c>
      <c r="I27" s="32">
        <v>55.0</v>
      </c>
      <c r="J27" s="19">
        <v>7460.0</v>
      </c>
      <c r="K27" s="19">
        <v>2.0</v>
      </c>
      <c r="L27" s="21" t="s">
        <v>69</v>
      </c>
      <c r="M27" s="21" t="s">
        <v>71</v>
      </c>
      <c r="N27" s="7" t="s">
        <v>390</v>
      </c>
      <c r="O27" s="22">
        <v>46297.413194444445</v>
      </c>
      <c r="P27" s="27" t="s">
        <v>76</v>
      </c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15" t="s">
        <v>439</v>
      </c>
      <c r="B28" s="16">
        <v>46297.0</v>
      </c>
      <c r="C28" s="15" t="s">
        <v>348</v>
      </c>
      <c r="D28" s="15" t="s">
        <v>183</v>
      </c>
      <c r="E28" s="15" t="s">
        <v>62</v>
      </c>
      <c r="F28" s="17">
        <v>3.0</v>
      </c>
      <c r="G28" s="15" t="s">
        <v>441</v>
      </c>
      <c r="H28" s="17">
        <v>17.0</v>
      </c>
      <c r="I28" s="17">
        <v>138.0</v>
      </c>
      <c r="J28" s="19">
        <v>1310.0</v>
      </c>
      <c r="K28" s="19" t="s">
        <v>68</v>
      </c>
      <c r="L28" s="21" t="s">
        <v>69</v>
      </c>
      <c r="M28" s="21" t="s">
        <v>71</v>
      </c>
      <c r="N28" s="7" t="s">
        <v>390</v>
      </c>
      <c r="O28" s="22">
        <v>46297.413194444445</v>
      </c>
      <c r="P28" s="27" t="s">
        <v>76</v>
      </c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9" t="s">
        <v>449</v>
      </c>
      <c r="B29" s="31">
        <v>46297.0</v>
      </c>
      <c r="C29" s="29" t="s">
        <v>397</v>
      </c>
      <c r="D29" s="29" t="s">
        <v>229</v>
      </c>
      <c r="E29" s="29" t="s">
        <v>62</v>
      </c>
      <c r="F29" s="32">
        <v>2.0</v>
      </c>
      <c r="G29" s="29" t="s">
        <v>454</v>
      </c>
      <c r="H29" s="32">
        <v>23.0</v>
      </c>
      <c r="I29" s="32">
        <v>199.0</v>
      </c>
      <c r="J29" s="19">
        <v>3164.0</v>
      </c>
      <c r="K29" s="19" t="s">
        <v>68</v>
      </c>
      <c r="L29" s="21" t="s">
        <v>69</v>
      </c>
      <c r="M29" s="21" t="s">
        <v>71</v>
      </c>
      <c r="N29" s="7" t="s">
        <v>390</v>
      </c>
      <c r="O29" s="22">
        <v>46297.413194444445</v>
      </c>
      <c r="P29" s="27" t="s">
        <v>76</v>
      </c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15" t="s">
        <v>461</v>
      </c>
      <c r="B30" s="16">
        <v>46297.0</v>
      </c>
      <c r="C30" s="15" t="s">
        <v>397</v>
      </c>
      <c r="D30" s="15" t="s">
        <v>220</v>
      </c>
      <c r="E30" s="15" t="s">
        <v>62</v>
      </c>
      <c r="F30" s="17">
        <v>2.0</v>
      </c>
      <c r="G30" s="15" t="s">
        <v>462</v>
      </c>
      <c r="H30" s="17">
        <v>5.0</v>
      </c>
      <c r="I30" s="17">
        <v>8.0</v>
      </c>
      <c r="J30" s="19">
        <v>17.0</v>
      </c>
      <c r="K30" s="19" t="s">
        <v>68</v>
      </c>
      <c r="L30" s="21" t="s">
        <v>69</v>
      </c>
      <c r="M30" s="21" t="s">
        <v>71</v>
      </c>
      <c r="N30" s="7" t="s">
        <v>390</v>
      </c>
      <c r="O30" s="22">
        <v>46297.413194444445</v>
      </c>
      <c r="P30" s="27" t="s">
        <v>76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9" t="s">
        <v>473</v>
      </c>
      <c r="B31" s="31">
        <v>46297.0</v>
      </c>
      <c r="C31" s="29" t="s">
        <v>397</v>
      </c>
      <c r="D31" s="29" t="s">
        <v>230</v>
      </c>
      <c r="E31" s="29" t="s">
        <v>62</v>
      </c>
      <c r="F31" s="32">
        <v>2.0</v>
      </c>
      <c r="G31" s="29" t="s">
        <v>480</v>
      </c>
      <c r="H31" s="32">
        <v>10.0</v>
      </c>
      <c r="I31" s="32">
        <v>65.0</v>
      </c>
      <c r="J31" s="19">
        <v>200.0</v>
      </c>
      <c r="K31" s="19" t="s">
        <v>68</v>
      </c>
      <c r="L31" s="21" t="s">
        <v>69</v>
      </c>
      <c r="M31" s="21" t="s">
        <v>71</v>
      </c>
      <c r="N31" s="7" t="s">
        <v>390</v>
      </c>
      <c r="O31" s="22">
        <v>46297.413194444445</v>
      </c>
      <c r="P31" s="27" t="s">
        <v>76</v>
      </c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15" t="s">
        <v>485</v>
      </c>
      <c r="B32" s="16">
        <v>46297.0</v>
      </c>
      <c r="C32" s="15" t="s">
        <v>397</v>
      </c>
      <c r="D32" s="15" t="s">
        <v>250</v>
      </c>
      <c r="E32" s="15" t="s">
        <v>62</v>
      </c>
      <c r="F32" s="17">
        <v>2.0</v>
      </c>
      <c r="G32" s="15" t="s">
        <v>490</v>
      </c>
      <c r="H32" s="17">
        <v>5.0</v>
      </c>
      <c r="I32" s="17">
        <v>12.0</v>
      </c>
      <c r="J32" s="19">
        <v>243.0</v>
      </c>
      <c r="K32" s="19" t="s">
        <v>68</v>
      </c>
      <c r="L32" s="21" t="s">
        <v>69</v>
      </c>
      <c r="M32" s="21" t="s">
        <v>71</v>
      </c>
      <c r="N32" s="7" t="s">
        <v>390</v>
      </c>
      <c r="O32" s="22">
        <v>46297.413194444445</v>
      </c>
      <c r="P32" s="27" t="s">
        <v>76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9" t="s">
        <v>495</v>
      </c>
      <c r="B33" s="31">
        <v>46297.0</v>
      </c>
      <c r="C33" s="29" t="s">
        <v>312</v>
      </c>
      <c r="D33" s="29" t="s">
        <v>312</v>
      </c>
      <c r="E33" s="29" t="s">
        <v>62</v>
      </c>
      <c r="F33" s="32" t="s">
        <v>68</v>
      </c>
      <c r="G33" s="29" t="s">
        <v>68</v>
      </c>
      <c r="H33" s="32" t="s">
        <v>68</v>
      </c>
      <c r="I33" s="32" t="s">
        <v>68</v>
      </c>
      <c r="J33" s="19">
        <v>329000.0</v>
      </c>
      <c r="K33" s="19">
        <v>4.0</v>
      </c>
      <c r="L33" s="21" t="s">
        <v>69</v>
      </c>
      <c r="M33" s="21" t="s">
        <v>71</v>
      </c>
      <c r="N33" s="7" t="s">
        <v>390</v>
      </c>
      <c r="O33" s="22">
        <v>46297.413194444445</v>
      </c>
      <c r="P33" s="27" t="s">
        <v>76</v>
      </c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41" t="s">
        <v>508</v>
      </c>
      <c r="B34" s="42">
        <v>46296.0</v>
      </c>
      <c r="C34" s="41" t="s">
        <v>59</v>
      </c>
      <c r="D34" s="41" t="s">
        <v>61</v>
      </c>
      <c r="E34" s="41" t="s">
        <v>62</v>
      </c>
      <c r="F34" s="43">
        <v>1.0</v>
      </c>
      <c r="G34" s="41" t="s">
        <v>515</v>
      </c>
      <c r="H34" s="43">
        <v>2.0</v>
      </c>
      <c r="I34" s="43">
        <v>2.0</v>
      </c>
      <c r="J34" s="44">
        <v>3.0</v>
      </c>
      <c r="K34" s="44" t="s">
        <v>68</v>
      </c>
      <c r="L34" s="7" t="s">
        <v>519</v>
      </c>
      <c r="M34" s="7" t="s">
        <v>71</v>
      </c>
      <c r="N34" s="7" t="s">
        <v>522</v>
      </c>
      <c r="O34" s="22">
        <v>46296.850694444445</v>
      </c>
      <c r="P34" s="7" t="s">
        <v>523</v>
      </c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45" t="s">
        <v>524</v>
      </c>
      <c r="B35" s="46">
        <v>46296.0</v>
      </c>
      <c r="C35" s="45" t="s">
        <v>59</v>
      </c>
      <c r="D35" s="45" t="s">
        <v>77</v>
      </c>
      <c r="E35" s="45" t="s">
        <v>62</v>
      </c>
      <c r="F35" s="47">
        <v>6.0</v>
      </c>
      <c r="G35" s="45" t="s">
        <v>532</v>
      </c>
      <c r="H35" s="47">
        <v>9.0</v>
      </c>
      <c r="I35" s="47">
        <v>19.0</v>
      </c>
      <c r="J35" s="44">
        <v>82.0</v>
      </c>
      <c r="K35" s="44" t="s">
        <v>68</v>
      </c>
      <c r="L35" s="7" t="s">
        <v>519</v>
      </c>
      <c r="M35" s="7" t="s">
        <v>71</v>
      </c>
      <c r="N35" s="7" t="s">
        <v>522</v>
      </c>
      <c r="O35" s="22">
        <v>46296.850694444445</v>
      </c>
      <c r="P35" s="7" t="s">
        <v>523</v>
      </c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41" t="s">
        <v>539</v>
      </c>
      <c r="B36" s="42">
        <v>46296.0</v>
      </c>
      <c r="C36" s="41" t="s">
        <v>59</v>
      </c>
      <c r="D36" s="41" t="s">
        <v>84</v>
      </c>
      <c r="E36" s="41" t="s">
        <v>62</v>
      </c>
      <c r="F36" s="43">
        <v>2.0</v>
      </c>
      <c r="G36" s="41" t="s">
        <v>541</v>
      </c>
      <c r="H36" s="43">
        <v>21.0</v>
      </c>
      <c r="I36" s="43">
        <v>191.0</v>
      </c>
      <c r="J36" s="44">
        <v>3128.0</v>
      </c>
      <c r="K36" s="44" t="s">
        <v>68</v>
      </c>
      <c r="L36" s="7" t="s">
        <v>519</v>
      </c>
      <c r="M36" s="7" t="s">
        <v>71</v>
      </c>
      <c r="N36" s="7" t="s">
        <v>547</v>
      </c>
      <c r="O36" s="22">
        <v>46296.850694444445</v>
      </c>
      <c r="P36" s="7" t="s">
        <v>523</v>
      </c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45" t="s">
        <v>548</v>
      </c>
      <c r="B37" s="46">
        <v>46296.0</v>
      </c>
      <c r="C37" s="45" t="s">
        <v>59</v>
      </c>
      <c r="D37" s="45" t="s">
        <v>86</v>
      </c>
      <c r="E37" s="45" t="s">
        <v>62</v>
      </c>
      <c r="F37" s="47">
        <v>14.0</v>
      </c>
      <c r="G37" s="45" t="s">
        <v>554</v>
      </c>
      <c r="H37" s="47">
        <v>85.0</v>
      </c>
      <c r="I37" s="47">
        <v>501.0</v>
      </c>
      <c r="J37" s="44">
        <v>11928.0</v>
      </c>
      <c r="K37" s="44" t="s">
        <v>68</v>
      </c>
      <c r="L37" s="7" t="s">
        <v>557</v>
      </c>
      <c r="M37" s="7" t="s">
        <v>71</v>
      </c>
      <c r="N37" s="7" t="s">
        <v>547</v>
      </c>
      <c r="O37" s="22">
        <v>46296.850694444445</v>
      </c>
      <c r="P37" s="7" t="s">
        <v>523</v>
      </c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41" t="s">
        <v>561</v>
      </c>
      <c r="B38" s="42">
        <v>46296.0</v>
      </c>
      <c r="C38" s="41" t="s">
        <v>145</v>
      </c>
      <c r="D38" s="41" t="s">
        <v>94</v>
      </c>
      <c r="E38" s="41" t="s">
        <v>62</v>
      </c>
      <c r="F38" s="43">
        <v>8.0</v>
      </c>
      <c r="G38" s="41" t="s">
        <v>566</v>
      </c>
      <c r="H38" s="43">
        <v>56.0</v>
      </c>
      <c r="I38" s="43">
        <v>413.0</v>
      </c>
      <c r="J38" s="44">
        <v>4785.0</v>
      </c>
      <c r="K38" s="44" t="s">
        <v>68</v>
      </c>
      <c r="L38" s="7" t="s">
        <v>557</v>
      </c>
      <c r="M38" s="7" t="s">
        <v>71</v>
      </c>
      <c r="N38" s="7" t="s">
        <v>547</v>
      </c>
      <c r="O38" s="22">
        <v>46296.850694444445</v>
      </c>
      <c r="P38" s="7" t="s">
        <v>523</v>
      </c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45" t="s">
        <v>574</v>
      </c>
      <c r="B39" s="46">
        <v>46296.0</v>
      </c>
      <c r="C39" s="45" t="s">
        <v>145</v>
      </c>
      <c r="D39" s="45" t="s">
        <v>101</v>
      </c>
      <c r="E39" s="45" t="s">
        <v>62</v>
      </c>
      <c r="F39" s="47">
        <v>5.0</v>
      </c>
      <c r="G39" s="45" t="s">
        <v>581</v>
      </c>
      <c r="H39" s="47">
        <v>23.0</v>
      </c>
      <c r="I39" s="47">
        <v>84.0</v>
      </c>
      <c r="J39" s="44">
        <v>1657.0</v>
      </c>
      <c r="K39" s="44" t="s">
        <v>68</v>
      </c>
      <c r="L39" s="7" t="s">
        <v>557</v>
      </c>
      <c r="M39" s="7" t="s">
        <v>71</v>
      </c>
      <c r="N39" s="7" t="s">
        <v>547</v>
      </c>
      <c r="O39" s="22">
        <v>46296.850694444445</v>
      </c>
      <c r="P39" s="7" t="s">
        <v>523</v>
      </c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41" t="s">
        <v>591</v>
      </c>
      <c r="B40" s="42">
        <v>46296.0</v>
      </c>
      <c r="C40" s="41" t="s">
        <v>145</v>
      </c>
      <c r="D40" s="41" t="s">
        <v>91</v>
      </c>
      <c r="E40" s="41" t="s">
        <v>62</v>
      </c>
      <c r="F40" s="43">
        <v>7.0</v>
      </c>
      <c r="G40" s="41" t="s">
        <v>592</v>
      </c>
      <c r="H40" s="43">
        <v>38.0</v>
      </c>
      <c r="I40" s="43">
        <v>168.0</v>
      </c>
      <c r="J40" s="44">
        <v>1581.0</v>
      </c>
      <c r="K40" s="44" t="s">
        <v>68</v>
      </c>
      <c r="L40" s="7" t="s">
        <v>557</v>
      </c>
      <c r="M40" s="7" t="s">
        <v>71</v>
      </c>
      <c r="N40" s="7" t="s">
        <v>547</v>
      </c>
      <c r="O40" s="22">
        <v>46296.850694444445</v>
      </c>
      <c r="P40" s="7" t="s">
        <v>523</v>
      </c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45" t="s">
        <v>598</v>
      </c>
      <c r="B41" s="46">
        <v>46296.0</v>
      </c>
      <c r="C41" s="45" t="s">
        <v>145</v>
      </c>
      <c r="D41" s="45" t="s">
        <v>109</v>
      </c>
      <c r="E41" s="45" t="s">
        <v>62</v>
      </c>
      <c r="F41" s="47">
        <v>3.0</v>
      </c>
      <c r="G41" s="45" t="s">
        <v>603</v>
      </c>
      <c r="H41" s="47">
        <v>3.0</v>
      </c>
      <c r="I41" s="47">
        <v>11.0</v>
      </c>
      <c r="J41" s="44">
        <v>974.0</v>
      </c>
      <c r="K41" s="44" t="s">
        <v>68</v>
      </c>
      <c r="L41" s="7" t="s">
        <v>557</v>
      </c>
      <c r="M41" s="7" t="s">
        <v>71</v>
      </c>
      <c r="N41" s="7" t="s">
        <v>547</v>
      </c>
      <c r="O41" s="22">
        <v>46296.850694444445</v>
      </c>
      <c r="P41" s="7" t="s">
        <v>523</v>
      </c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41" t="s">
        <v>614</v>
      </c>
      <c r="B42" s="42">
        <v>46296.0</v>
      </c>
      <c r="C42" s="41" t="s">
        <v>145</v>
      </c>
      <c r="D42" s="41" t="s">
        <v>136</v>
      </c>
      <c r="E42" s="41" t="s">
        <v>62</v>
      </c>
      <c r="F42" s="43">
        <v>9.0</v>
      </c>
      <c r="G42" s="41" t="s">
        <v>620</v>
      </c>
      <c r="H42" s="43">
        <v>92.0</v>
      </c>
      <c r="I42" s="43">
        <v>667.0</v>
      </c>
      <c r="J42" s="44">
        <v>18987.0</v>
      </c>
      <c r="K42" s="44" t="s">
        <v>68</v>
      </c>
      <c r="L42" s="7" t="s">
        <v>557</v>
      </c>
      <c r="M42" s="7" t="s">
        <v>71</v>
      </c>
      <c r="N42" s="7" t="s">
        <v>547</v>
      </c>
      <c r="O42" s="22">
        <v>46296.850694444445</v>
      </c>
      <c r="P42" s="7" t="s">
        <v>523</v>
      </c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45" t="s">
        <v>628</v>
      </c>
      <c r="B43" s="46">
        <v>46296.0</v>
      </c>
      <c r="C43" s="45" t="s">
        <v>145</v>
      </c>
      <c r="D43" s="45" t="s">
        <v>154</v>
      </c>
      <c r="E43" s="45" t="s">
        <v>62</v>
      </c>
      <c r="F43" s="47">
        <v>13.0</v>
      </c>
      <c r="G43" s="45" t="s">
        <v>631</v>
      </c>
      <c r="H43" s="47">
        <v>90.0</v>
      </c>
      <c r="I43" s="47">
        <v>884.0</v>
      </c>
      <c r="J43" s="44">
        <v>9635.0</v>
      </c>
      <c r="K43" s="44">
        <v>2.0</v>
      </c>
      <c r="L43" s="7" t="s">
        <v>557</v>
      </c>
      <c r="M43" s="7" t="s">
        <v>71</v>
      </c>
      <c r="N43" s="7" t="s">
        <v>636</v>
      </c>
      <c r="O43" s="22">
        <v>46296.850694444445</v>
      </c>
      <c r="P43" s="7" t="s">
        <v>523</v>
      </c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41" t="s">
        <v>642</v>
      </c>
      <c r="B44" s="42">
        <v>46296.0</v>
      </c>
      <c r="C44" s="41" t="s">
        <v>145</v>
      </c>
      <c r="D44" s="41" t="s">
        <v>107</v>
      </c>
      <c r="E44" s="41" t="s">
        <v>62</v>
      </c>
      <c r="F44" s="43">
        <v>5.0</v>
      </c>
      <c r="G44" s="41" t="s">
        <v>647</v>
      </c>
      <c r="H44" s="43">
        <v>33.0</v>
      </c>
      <c r="I44" s="43">
        <v>146.0</v>
      </c>
      <c r="J44" s="44">
        <v>2009.0</v>
      </c>
      <c r="K44" s="44" t="s">
        <v>68</v>
      </c>
      <c r="L44" s="7" t="s">
        <v>557</v>
      </c>
      <c r="M44" s="7" t="s">
        <v>71</v>
      </c>
      <c r="N44" s="7" t="s">
        <v>636</v>
      </c>
      <c r="O44" s="22">
        <v>46296.850694444445</v>
      </c>
      <c r="P44" s="7" t="s">
        <v>523</v>
      </c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45" t="s">
        <v>652</v>
      </c>
      <c r="B45" s="46">
        <v>46296.0</v>
      </c>
      <c r="C45" s="45" t="s">
        <v>145</v>
      </c>
      <c r="D45" s="45" t="s">
        <v>97</v>
      </c>
      <c r="E45" s="45" t="s">
        <v>62</v>
      </c>
      <c r="F45" s="47">
        <v>13.0</v>
      </c>
      <c r="G45" s="45" t="s">
        <v>661</v>
      </c>
      <c r="H45" s="47">
        <v>87.0</v>
      </c>
      <c r="I45" s="47">
        <v>566.0</v>
      </c>
      <c r="J45" s="44">
        <v>5393.0</v>
      </c>
      <c r="K45" s="44">
        <v>1.0</v>
      </c>
      <c r="L45" s="7" t="s">
        <v>519</v>
      </c>
      <c r="M45" s="7" t="s">
        <v>71</v>
      </c>
      <c r="N45" s="7" t="s">
        <v>636</v>
      </c>
      <c r="O45" s="22">
        <v>46296.850694444445</v>
      </c>
      <c r="P45" s="7" t="s">
        <v>523</v>
      </c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41" t="s">
        <v>667</v>
      </c>
      <c r="B46" s="42">
        <v>46296.0</v>
      </c>
      <c r="C46" s="41" t="s">
        <v>145</v>
      </c>
      <c r="D46" s="41" t="s">
        <v>116</v>
      </c>
      <c r="E46" s="41" t="s">
        <v>62</v>
      </c>
      <c r="F46" s="43">
        <v>13.0</v>
      </c>
      <c r="G46" s="41" t="s">
        <v>670</v>
      </c>
      <c r="H46" s="43">
        <v>169.0</v>
      </c>
      <c r="I46" s="43">
        <v>1104.0</v>
      </c>
      <c r="J46" s="44">
        <v>44865.0</v>
      </c>
      <c r="K46" s="44">
        <v>1.0</v>
      </c>
      <c r="L46" s="7" t="s">
        <v>557</v>
      </c>
      <c r="M46" s="7" t="s">
        <v>71</v>
      </c>
      <c r="N46" s="7" t="s">
        <v>636</v>
      </c>
      <c r="O46" s="22">
        <v>46296.850694444445</v>
      </c>
      <c r="P46" s="7" t="s">
        <v>523</v>
      </c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45" t="s">
        <v>679</v>
      </c>
      <c r="B47" s="46">
        <v>46296.0</v>
      </c>
      <c r="C47" s="45" t="s">
        <v>145</v>
      </c>
      <c r="D47" s="45" t="s">
        <v>167</v>
      </c>
      <c r="E47" s="45" t="s">
        <v>62</v>
      </c>
      <c r="F47" s="47">
        <v>6.0</v>
      </c>
      <c r="G47" s="45" t="s">
        <v>683</v>
      </c>
      <c r="H47" s="47">
        <v>38.0</v>
      </c>
      <c r="I47" s="47">
        <v>382.0</v>
      </c>
      <c r="J47" s="44">
        <v>307704.0</v>
      </c>
      <c r="K47" s="44">
        <v>8.0</v>
      </c>
      <c r="L47" s="7" t="s">
        <v>557</v>
      </c>
      <c r="M47" s="7" t="s">
        <v>71</v>
      </c>
      <c r="N47" s="7" t="s">
        <v>688</v>
      </c>
      <c r="O47" s="22">
        <v>46296.850694444445</v>
      </c>
      <c r="P47" s="7" t="s">
        <v>523</v>
      </c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41" t="s">
        <v>689</v>
      </c>
      <c r="B48" s="42">
        <v>46296.0</v>
      </c>
      <c r="C48" s="41" t="s">
        <v>145</v>
      </c>
      <c r="D48" s="41" t="s">
        <v>118</v>
      </c>
      <c r="E48" s="41" t="s">
        <v>62</v>
      </c>
      <c r="F48" s="43">
        <v>7.0</v>
      </c>
      <c r="G48" s="41" t="s">
        <v>694</v>
      </c>
      <c r="H48" s="43">
        <v>29.0</v>
      </c>
      <c r="I48" s="43">
        <v>510.0</v>
      </c>
      <c r="J48" s="44">
        <v>182290.0</v>
      </c>
      <c r="K48" s="44" t="s">
        <v>68</v>
      </c>
      <c r="L48" s="7" t="s">
        <v>557</v>
      </c>
      <c r="M48" s="7" t="s">
        <v>71</v>
      </c>
      <c r="N48" s="7" t="s">
        <v>688</v>
      </c>
      <c r="O48" s="22">
        <v>46296.850694444445</v>
      </c>
      <c r="P48" s="7" t="s">
        <v>523</v>
      </c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45" t="s">
        <v>703</v>
      </c>
      <c r="B49" s="46">
        <v>46296.0</v>
      </c>
      <c r="C49" s="45" t="s">
        <v>145</v>
      </c>
      <c r="D49" s="45" t="s">
        <v>98</v>
      </c>
      <c r="E49" s="45" t="s">
        <v>62</v>
      </c>
      <c r="F49" s="47">
        <v>3.0</v>
      </c>
      <c r="G49" s="45" t="s">
        <v>708</v>
      </c>
      <c r="H49" s="47">
        <v>3.0</v>
      </c>
      <c r="I49" s="47">
        <v>3.0</v>
      </c>
      <c r="J49" s="44" t="s">
        <v>68</v>
      </c>
      <c r="K49" s="44" t="s">
        <v>68</v>
      </c>
      <c r="L49" s="7" t="s">
        <v>557</v>
      </c>
      <c r="M49" s="7" t="s">
        <v>71</v>
      </c>
      <c r="N49" s="7" t="s">
        <v>688</v>
      </c>
      <c r="O49" s="22">
        <v>46296.850694444445</v>
      </c>
      <c r="P49" s="7" t="s">
        <v>523</v>
      </c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41" t="s">
        <v>718</v>
      </c>
      <c r="B50" s="42">
        <v>46296.0</v>
      </c>
      <c r="C50" s="41" t="s">
        <v>145</v>
      </c>
      <c r="D50" s="41" t="s">
        <v>146</v>
      </c>
      <c r="E50" s="41" t="s">
        <v>62</v>
      </c>
      <c r="F50" s="43">
        <v>7.0</v>
      </c>
      <c r="G50" s="41" t="s">
        <v>723</v>
      </c>
      <c r="H50" s="43">
        <v>105.0</v>
      </c>
      <c r="I50" s="43">
        <v>793.0</v>
      </c>
      <c r="J50" s="44">
        <v>43687.0</v>
      </c>
      <c r="K50" s="44" t="s">
        <v>68</v>
      </c>
      <c r="L50" s="7" t="s">
        <v>557</v>
      </c>
      <c r="M50" s="7" t="s">
        <v>71</v>
      </c>
      <c r="N50" s="7" t="s">
        <v>688</v>
      </c>
      <c r="O50" s="22">
        <v>46296.850694444445</v>
      </c>
      <c r="P50" s="7" t="s">
        <v>523</v>
      </c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45" t="s">
        <v>732</v>
      </c>
      <c r="B51" s="46">
        <v>46296.0</v>
      </c>
      <c r="C51" s="45" t="s">
        <v>145</v>
      </c>
      <c r="D51" s="45" t="s">
        <v>153</v>
      </c>
      <c r="E51" s="45" t="s">
        <v>62</v>
      </c>
      <c r="F51" s="47">
        <v>7.0</v>
      </c>
      <c r="G51" s="45" t="s">
        <v>736</v>
      </c>
      <c r="H51" s="47">
        <v>42.0</v>
      </c>
      <c r="I51" s="47">
        <v>178.0</v>
      </c>
      <c r="J51" s="44">
        <v>3663.0</v>
      </c>
      <c r="K51" s="44" t="s">
        <v>68</v>
      </c>
      <c r="L51" s="7" t="s">
        <v>557</v>
      </c>
      <c r="M51" s="7" t="s">
        <v>71</v>
      </c>
      <c r="N51" s="7" t="s">
        <v>688</v>
      </c>
      <c r="O51" s="22">
        <v>46296.850694444445</v>
      </c>
      <c r="P51" s="7" t="s">
        <v>523</v>
      </c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41" t="s">
        <v>745</v>
      </c>
      <c r="B52" s="42">
        <v>46296.0</v>
      </c>
      <c r="C52" s="41" t="s">
        <v>145</v>
      </c>
      <c r="D52" s="41" t="s">
        <v>121</v>
      </c>
      <c r="E52" s="41" t="s">
        <v>62</v>
      </c>
      <c r="F52" s="43">
        <v>1.0</v>
      </c>
      <c r="G52" s="41" t="s">
        <v>751</v>
      </c>
      <c r="H52" s="43">
        <v>2.0</v>
      </c>
      <c r="I52" s="43">
        <v>3.0</v>
      </c>
      <c r="J52" s="44">
        <v>6.0</v>
      </c>
      <c r="K52" s="44" t="s">
        <v>68</v>
      </c>
      <c r="L52" s="7" t="s">
        <v>557</v>
      </c>
      <c r="M52" s="7" t="s">
        <v>71</v>
      </c>
      <c r="N52" s="7" t="s">
        <v>688</v>
      </c>
      <c r="O52" s="22">
        <v>46296.850694444445</v>
      </c>
      <c r="P52" s="7" t="s">
        <v>523</v>
      </c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45" t="s">
        <v>757</v>
      </c>
      <c r="B53" s="46">
        <v>46296.0</v>
      </c>
      <c r="C53" s="45" t="s">
        <v>348</v>
      </c>
      <c r="D53" s="45" t="s">
        <v>108</v>
      </c>
      <c r="E53" s="45" t="s">
        <v>62</v>
      </c>
      <c r="F53" s="47">
        <v>4.0</v>
      </c>
      <c r="G53" s="45" t="s">
        <v>768</v>
      </c>
      <c r="H53" s="47">
        <v>41.0</v>
      </c>
      <c r="I53" s="47">
        <v>416.0</v>
      </c>
      <c r="J53" s="44">
        <v>49018.0</v>
      </c>
      <c r="K53" s="44" t="s">
        <v>68</v>
      </c>
      <c r="L53" s="7" t="s">
        <v>557</v>
      </c>
      <c r="M53" s="7" t="s">
        <v>71</v>
      </c>
      <c r="N53" s="7" t="s">
        <v>688</v>
      </c>
      <c r="O53" s="22">
        <v>46296.850694444445</v>
      </c>
      <c r="P53" s="7" t="s">
        <v>523</v>
      </c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41" t="s">
        <v>769</v>
      </c>
      <c r="B54" s="42">
        <v>46296.0</v>
      </c>
      <c r="C54" s="41" t="s">
        <v>348</v>
      </c>
      <c r="D54" s="41" t="s">
        <v>163</v>
      </c>
      <c r="E54" s="41" t="s">
        <v>62</v>
      </c>
      <c r="F54" s="43">
        <v>7.0</v>
      </c>
      <c r="G54" s="41" t="s">
        <v>771</v>
      </c>
      <c r="H54" s="43">
        <v>61.0</v>
      </c>
      <c r="I54" s="43">
        <v>625.0</v>
      </c>
      <c r="J54" s="44">
        <v>39977.0</v>
      </c>
      <c r="K54" s="44" t="s">
        <v>68</v>
      </c>
      <c r="L54" s="7" t="s">
        <v>557</v>
      </c>
      <c r="M54" s="7" t="s">
        <v>71</v>
      </c>
      <c r="N54" s="7" t="s">
        <v>688</v>
      </c>
      <c r="O54" s="22">
        <v>46296.850694444445</v>
      </c>
      <c r="P54" s="7" t="s">
        <v>523</v>
      </c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45" t="s">
        <v>776</v>
      </c>
      <c r="B55" s="46">
        <v>46296.0</v>
      </c>
      <c r="C55" s="45" t="s">
        <v>348</v>
      </c>
      <c r="D55" s="45" t="s">
        <v>166</v>
      </c>
      <c r="E55" s="45" t="s">
        <v>62</v>
      </c>
      <c r="F55" s="47">
        <v>11.0</v>
      </c>
      <c r="G55" s="45" t="s">
        <v>778</v>
      </c>
      <c r="H55" s="47">
        <v>68.0</v>
      </c>
      <c r="I55" s="47">
        <v>556.0</v>
      </c>
      <c r="J55" s="44">
        <v>26169.0</v>
      </c>
      <c r="K55" s="44" t="s">
        <v>68</v>
      </c>
      <c r="L55" s="7" t="s">
        <v>557</v>
      </c>
      <c r="M55" s="7" t="s">
        <v>71</v>
      </c>
      <c r="N55" s="7" t="s">
        <v>783</v>
      </c>
      <c r="O55" s="22">
        <v>46296.850694444445</v>
      </c>
      <c r="P55" s="7" t="s">
        <v>523</v>
      </c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41" t="s">
        <v>784</v>
      </c>
      <c r="B56" s="42">
        <v>46296.0</v>
      </c>
      <c r="C56" s="41" t="s">
        <v>348</v>
      </c>
      <c r="D56" s="41" t="s">
        <v>157</v>
      </c>
      <c r="E56" s="41" t="s">
        <v>62</v>
      </c>
      <c r="F56" s="43">
        <v>2.0</v>
      </c>
      <c r="G56" s="41" t="s">
        <v>785</v>
      </c>
      <c r="H56" s="43">
        <v>4.0</v>
      </c>
      <c r="I56" s="43">
        <v>33.0</v>
      </c>
      <c r="J56" s="44">
        <v>4373.0</v>
      </c>
      <c r="K56" s="44">
        <v>6.0</v>
      </c>
      <c r="L56" s="7" t="s">
        <v>519</v>
      </c>
      <c r="M56" s="7" t="s">
        <v>71</v>
      </c>
      <c r="N56" s="7" t="s">
        <v>783</v>
      </c>
      <c r="O56" s="22">
        <v>46296.850694444445</v>
      </c>
      <c r="P56" s="7" t="s">
        <v>523</v>
      </c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45" t="s">
        <v>790</v>
      </c>
      <c r="B57" s="46">
        <v>46296.0</v>
      </c>
      <c r="C57" s="45" t="s">
        <v>348</v>
      </c>
      <c r="D57" s="45" t="s">
        <v>174</v>
      </c>
      <c r="E57" s="45" t="s">
        <v>62</v>
      </c>
      <c r="F57" s="47">
        <v>10.0</v>
      </c>
      <c r="G57" s="45" t="s">
        <v>791</v>
      </c>
      <c r="H57" s="47">
        <v>78.0</v>
      </c>
      <c r="I57" s="47">
        <v>354.0</v>
      </c>
      <c r="J57" s="44">
        <v>118723.0</v>
      </c>
      <c r="K57" s="44" t="s">
        <v>68</v>
      </c>
      <c r="L57" s="7" t="s">
        <v>557</v>
      </c>
      <c r="M57" s="7" t="s">
        <v>71</v>
      </c>
      <c r="N57" s="7" t="s">
        <v>783</v>
      </c>
      <c r="O57" s="22">
        <v>46296.850694444445</v>
      </c>
      <c r="P57" s="7" t="s">
        <v>523</v>
      </c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41" t="s">
        <v>802</v>
      </c>
      <c r="B58" s="42">
        <v>46296.0</v>
      </c>
      <c r="C58" s="41" t="s">
        <v>348</v>
      </c>
      <c r="D58" s="41" t="s">
        <v>178</v>
      </c>
      <c r="E58" s="41" t="s">
        <v>62</v>
      </c>
      <c r="F58" s="43">
        <v>2.0</v>
      </c>
      <c r="G58" s="41" t="s">
        <v>809</v>
      </c>
      <c r="H58" s="43">
        <v>9.0</v>
      </c>
      <c r="I58" s="43">
        <v>73.0</v>
      </c>
      <c r="J58" s="44">
        <v>1760.0</v>
      </c>
      <c r="K58" s="44" t="s">
        <v>68</v>
      </c>
      <c r="L58" s="7" t="s">
        <v>813</v>
      </c>
      <c r="M58" s="7" t="s">
        <v>71</v>
      </c>
      <c r="N58" s="7" t="s">
        <v>783</v>
      </c>
      <c r="O58" s="22">
        <v>46296.850694444445</v>
      </c>
      <c r="P58" s="7" t="s">
        <v>523</v>
      </c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45" t="s">
        <v>828</v>
      </c>
      <c r="B59" s="46">
        <v>46296.0</v>
      </c>
      <c r="C59" s="45" t="s">
        <v>348</v>
      </c>
      <c r="D59" s="45" t="s">
        <v>175</v>
      </c>
      <c r="E59" s="45" t="s">
        <v>62</v>
      </c>
      <c r="F59" s="47">
        <v>2.0</v>
      </c>
      <c r="G59" s="45" t="s">
        <v>833</v>
      </c>
      <c r="H59" s="47">
        <v>10.0</v>
      </c>
      <c r="I59" s="47">
        <v>55.0</v>
      </c>
      <c r="J59" s="44">
        <v>7460.0</v>
      </c>
      <c r="K59" s="44">
        <v>2.0</v>
      </c>
      <c r="L59" s="7" t="s">
        <v>519</v>
      </c>
      <c r="M59" s="7" t="s">
        <v>71</v>
      </c>
      <c r="N59" s="7" t="s">
        <v>783</v>
      </c>
      <c r="O59" s="22">
        <v>46296.850694444445</v>
      </c>
      <c r="P59" s="7" t="s">
        <v>523</v>
      </c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41" t="s">
        <v>852</v>
      </c>
      <c r="B60" s="42">
        <v>46296.0</v>
      </c>
      <c r="C60" s="41" t="s">
        <v>348</v>
      </c>
      <c r="D60" s="41" t="s">
        <v>183</v>
      </c>
      <c r="E60" s="41" t="s">
        <v>62</v>
      </c>
      <c r="F60" s="43">
        <v>3.0</v>
      </c>
      <c r="G60" s="41" t="s">
        <v>860</v>
      </c>
      <c r="H60" s="43">
        <v>17.0</v>
      </c>
      <c r="I60" s="43">
        <v>138.0</v>
      </c>
      <c r="J60" s="44">
        <v>1310.0</v>
      </c>
      <c r="K60" s="44"/>
      <c r="L60" s="7" t="s">
        <v>519</v>
      </c>
      <c r="M60" s="7" t="s">
        <v>71</v>
      </c>
      <c r="N60" s="7" t="s">
        <v>863</v>
      </c>
      <c r="O60" s="22">
        <v>46296.850694444445</v>
      </c>
      <c r="P60" s="7" t="s">
        <v>523</v>
      </c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45" t="s">
        <v>864</v>
      </c>
      <c r="B61" s="46">
        <v>46296.0</v>
      </c>
      <c r="C61" s="45" t="s">
        <v>397</v>
      </c>
      <c r="D61" s="45" t="s">
        <v>229</v>
      </c>
      <c r="E61" s="45" t="s">
        <v>62</v>
      </c>
      <c r="F61" s="47">
        <v>2.0</v>
      </c>
      <c r="G61" s="45" t="s">
        <v>872</v>
      </c>
      <c r="H61" s="47">
        <v>23.0</v>
      </c>
      <c r="I61" s="47">
        <v>199.0</v>
      </c>
      <c r="J61" s="44">
        <v>3164.0</v>
      </c>
      <c r="K61" s="44" t="s">
        <v>68</v>
      </c>
      <c r="L61" s="7" t="s">
        <v>519</v>
      </c>
      <c r="M61" s="7" t="s">
        <v>71</v>
      </c>
      <c r="N61" s="7" t="s">
        <v>783</v>
      </c>
      <c r="O61" s="22">
        <v>46296.850694444445</v>
      </c>
      <c r="P61" s="7" t="s">
        <v>523</v>
      </c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41" t="s">
        <v>876</v>
      </c>
      <c r="B62" s="42">
        <v>46296.0</v>
      </c>
      <c r="C62" s="41" t="s">
        <v>397</v>
      </c>
      <c r="D62" s="41" t="s">
        <v>220</v>
      </c>
      <c r="E62" s="41" t="s">
        <v>62</v>
      </c>
      <c r="F62" s="43">
        <v>2.0</v>
      </c>
      <c r="G62" s="41" t="s">
        <v>878</v>
      </c>
      <c r="H62" s="43">
        <v>5.0</v>
      </c>
      <c r="I62" s="43">
        <v>8.0</v>
      </c>
      <c r="J62" s="44">
        <v>17.0</v>
      </c>
      <c r="K62" s="44" t="s">
        <v>68</v>
      </c>
      <c r="L62" s="7" t="s">
        <v>519</v>
      </c>
      <c r="M62" s="7" t="s">
        <v>71</v>
      </c>
      <c r="N62" s="7" t="s">
        <v>783</v>
      </c>
      <c r="O62" s="22">
        <v>46296.850694444445</v>
      </c>
      <c r="P62" s="7" t="s">
        <v>523</v>
      </c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45" t="s">
        <v>886</v>
      </c>
      <c r="B63" s="46">
        <v>46296.0</v>
      </c>
      <c r="C63" s="45" t="s">
        <v>397</v>
      </c>
      <c r="D63" s="45" t="s">
        <v>230</v>
      </c>
      <c r="E63" s="45" t="s">
        <v>62</v>
      </c>
      <c r="F63" s="47">
        <v>2.0</v>
      </c>
      <c r="G63" s="45" t="s">
        <v>887</v>
      </c>
      <c r="H63" s="47">
        <v>10.0</v>
      </c>
      <c r="I63" s="47">
        <v>65.0</v>
      </c>
      <c r="J63" s="44">
        <v>200.0</v>
      </c>
      <c r="K63" s="44" t="s">
        <v>68</v>
      </c>
      <c r="L63" s="7" t="s">
        <v>519</v>
      </c>
      <c r="M63" s="7" t="s">
        <v>71</v>
      </c>
      <c r="N63" s="7" t="s">
        <v>783</v>
      </c>
      <c r="O63" s="22">
        <v>46296.850694444445</v>
      </c>
      <c r="P63" s="7" t="s">
        <v>523</v>
      </c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41" t="s">
        <v>901</v>
      </c>
      <c r="B64" s="42">
        <v>46296.0</v>
      </c>
      <c r="C64" s="41" t="s">
        <v>312</v>
      </c>
      <c r="D64" s="41" t="s">
        <v>312</v>
      </c>
      <c r="E64" s="41" t="s">
        <v>62</v>
      </c>
      <c r="F64" s="43" t="s">
        <v>68</v>
      </c>
      <c r="G64" s="41" t="s">
        <v>68</v>
      </c>
      <c r="H64" s="43" t="s">
        <v>68</v>
      </c>
      <c r="I64" s="43" t="s">
        <v>68</v>
      </c>
      <c r="J64" s="44">
        <v>329000.0</v>
      </c>
      <c r="K64" s="44">
        <v>4.0</v>
      </c>
      <c r="L64" s="7" t="s">
        <v>519</v>
      </c>
      <c r="M64" s="7" t="s">
        <v>71</v>
      </c>
      <c r="N64" s="7" t="s">
        <v>783</v>
      </c>
      <c r="O64" s="22">
        <v>46296.850694444445</v>
      </c>
      <c r="P64" s="7" t="s">
        <v>523</v>
      </c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55" t="s">
        <v>906</v>
      </c>
      <c r="B65" s="56">
        <v>46295.0</v>
      </c>
      <c r="C65" s="55" t="s">
        <v>59</v>
      </c>
      <c r="D65" s="55" t="s">
        <v>74</v>
      </c>
      <c r="E65" s="57" t="s">
        <v>62</v>
      </c>
      <c r="F65" s="57">
        <v>2.0</v>
      </c>
      <c r="G65" s="57" t="s">
        <v>912</v>
      </c>
      <c r="H65" s="57">
        <v>2.0</v>
      </c>
      <c r="I65" s="57">
        <v>11.0</v>
      </c>
      <c r="J65" s="58">
        <v>561.0</v>
      </c>
      <c r="K65" s="58" t="s">
        <v>68</v>
      </c>
      <c r="L65" s="59" t="s">
        <v>139</v>
      </c>
      <c r="M65" s="59" t="s">
        <v>71</v>
      </c>
      <c r="N65" s="60" t="s">
        <v>920</v>
      </c>
      <c r="O65" s="61">
        <v>46296.62866898148</v>
      </c>
      <c r="P65" s="63" t="s">
        <v>925</v>
      </c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5" t="s">
        <v>955</v>
      </c>
      <c r="B66" s="66">
        <v>46295.0</v>
      </c>
      <c r="C66" s="65" t="s">
        <v>59</v>
      </c>
      <c r="D66" s="65" t="s">
        <v>61</v>
      </c>
      <c r="E66" s="67" t="s">
        <v>62</v>
      </c>
      <c r="F66" s="67">
        <v>1.0</v>
      </c>
      <c r="G66" s="67" t="s">
        <v>64</v>
      </c>
      <c r="H66" s="67">
        <v>2.0</v>
      </c>
      <c r="I66" s="67">
        <v>2.0</v>
      </c>
      <c r="J66" s="58">
        <v>8.0</v>
      </c>
      <c r="K66" s="58" t="s">
        <v>68</v>
      </c>
      <c r="L66" s="59" t="s">
        <v>69</v>
      </c>
      <c r="M66" s="59" t="s">
        <v>71</v>
      </c>
      <c r="N66" s="60" t="s">
        <v>920</v>
      </c>
      <c r="O66" s="61">
        <v>46296.62866898148</v>
      </c>
      <c r="P66" s="63" t="s">
        <v>925</v>
      </c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55" t="s">
        <v>965</v>
      </c>
      <c r="B67" s="56">
        <v>46295.0</v>
      </c>
      <c r="C67" s="55" t="s">
        <v>59</v>
      </c>
      <c r="D67" s="55" t="s">
        <v>77</v>
      </c>
      <c r="E67" s="57" t="s">
        <v>62</v>
      </c>
      <c r="F67" s="57">
        <v>6.0</v>
      </c>
      <c r="G67" s="57" t="s">
        <v>105</v>
      </c>
      <c r="H67" s="57">
        <v>9.0</v>
      </c>
      <c r="I67" s="57">
        <v>19.0</v>
      </c>
      <c r="J67" s="58">
        <v>82.0</v>
      </c>
      <c r="K67" s="58" t="s">
        <v>68</v>
      </c>
      <c r="L67" s="59" t="s">
        <v>69</v>
      </c>
      <c r="M67" s="59" t="s">
        <v>71</v>
      </c>
      <c r="N67" s="60" t="s">
        <v>920</v>
      </c>
      <c r="O67" s="61">
        <v>46296.62866898148</v>
      </c>
      <c r="P67" s="63" t="s">
        <v>925</v>
      </c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5" t="s">
        <v>977</v>
      </c>
      <c r="B68" s="66">
        <v>46295.0</v>
      </c>
      <c r="C68" s="65" t="s">
        <v>59</v>
      </c>
      <c r="D68" s="65" t="s">
        <v>84</v>
      </c>
      <c r="E68" s="67" t="s">
        <v>62</v>
      </c>
      <c r="F68" s="67">
        <v>8.0</v>
      </c>
      <c r="G68" s="67" t="s">
        <v>982</v>
      </c>
      <c r="H68" s="67">
        <v>47.0</v>
      </c>
      <c r="I68" s="67">
        <v>331.0</v>
      </c>
      <c r="J68" s="58">
        <v>6122.0</v>
      </c>
      <c r="K68" s="58" t="s">
        <v>68</v>
      </c>
      <c r="L68" s="59" t="s">
        <v>69</v>
      </c>
      <c r="M68" s="59" t="s">
        <v>71</v>
      </c>
      <c r="N68" s="60" t="s">
        <v>987</v>
      </c>
      <c r="O68" s="61">
        <v>46296.62866898148</v>
      </c>
      <c r="P68" s="63" t="s">
        <v>925</v>
      </c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55" t="s">
        <v>988</v>
      </c>
      <c r="B69" s="56">
        <v>46295.0</v>
      </c>
      <c r="C69" s="55" t="s">
        <v>59</v>
      </c>
      <c r="D69" s="55" t="s">
        <v>86</v>
      </c>
      <c r="E69" s="57" t="s">
        <v>62</v>
      </c>
      <c r="F69" s="57">
        <v>11.0</v>
      </c>
      <c r="G69" s="57" t="s">
        <v>994</v>
      </c>
      <c r="H69" s="57">
        <v>54.0</v>
      </c>
      <c r="I69" s="57">
        <v>280.0</v>
      </c>
      <c r="J69" s="58">
        <v>7777.0</v>
      </c>
      <c r="K69" s="58" t="s">
        <v>68</v>
      </c>
      <c r="L69" s="59" t="s">
        <v>139</v>
      </c>
      <c r="M69" s="59" t="s">
        <v>71</v>
      </c>
      <c r="N69" s="60" t="s">
        <v>987</v>
      </c>
      <c r="O69" s="61">
        <v>46296.62866898148</v>
      </c>
      <c r="P69" s="63" t="s">
        <v>925</v>
      </c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5" t="s">
        <v>1001</v>
      </c>
      <c r="B70" s="66">
        <v>46295.0</v>
      </c>
      <c r="C70" s="65" t="s">
        <v>145</v>
      </c>
      <c r="D70" s="65" t="s">
        <v>94</v>
      </c>
      <c r="E70" s="67" t="s">
        <v>62</v>
      </c>
      <c r="F70" s="67">
        <v>8.0</v>
      </c>
      <c r="G70" s="67" t="s">
        <v>148</v>
      </c>
      <c r="H70" s="67">
        <v>44.0</v>
      </c>
      <c r="I70" s="67">
        <v>222.0</v>
      </c>
      <c r="J70" s="58">
        <v>1734.0</v>
      </c>
      <c r="K70" s="58" t="s">
        <v>68</v>
      </c>
      <c r="L70" s="59" t="s">
        <v>424</v>
      </c>
      <c r="M70" s="59" t="s">
        <v>71</v>
      </c>
      <c r="N70" s="60" t="s">
        <v>987</v>
      </c>
      <c r="O70" s="61">
        <v>46296.62866898148</v>
      </c>
      <c r="P70" s="63" t="s">
        <v>925</v>
      </c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55" t="s">
        <v>1011</v>
      </c>
      <c r="B71" s="56">
        <v>46295.0</v>
      </c>
      <c r="C71" s="55" t="s">
        <v>145</v>
      </c>
      <c r="D71" s="55" t="s">
        <v>101</v>
      </c>
      <c r="E71" s="57" t="s">
        <v>62</v>
      </c>
      <c r="F71" s="57">
        <v>5.0</v>
      </c>
      <c r="G71" s="57" t="s">
        <v>165</v>
      </c>
      <c r="H71" s="57">
        <v>23.0</v>
      </c>
      <c r="I71" s="57">
        <v>84.0</v>
      </c>
      <c r="J71" s="58">
        <v>1657.0</v>
      </c>
      <c r="K71" s="58" t="s">
        <v>68</v>
      </c>
      <c r="L71" s="59" t="s">
        <v>424</v>
      </c>
      <c r="M71" s="59" t="s">
        <v>71</v>
      </c>
      <c r="N71" s="60" t="s">
        <v>987</v>
      </c>
      <c r="O71" s="61">
        <v>46296.62866898148</v>
      </c>
      <c r="P71" s="63" t="s">
        <v>925</v>
      </c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5" t="s">
        <v>1021</v>
      </c>
      <c r="B72" s="66">
        <v>46295.0</v>
      </c>
      <c r="C72" s="65" t="s">
        <v>145</v>
      </c>
      <c r="D72" s="65" t="s">
        <v>91</v>
      </c>
      <c r="E72" s="67" t="s">
        <v>62</v>
      </c>
      <c r="F72" s="67">
        <v>6.0</v>
      </c>
      <c r="G72" s="67" t="s">
        <v>1025</v>
      </c>
      <c r="H72" s="67">
        <v>28.0</v>
      </c>
      <c r="I72" s="67">
        <v>107.0</v>
      </c>
      <c r="J72" s="58">
        <v>948.0</v>
      </c>
      <c r="K72" s="58" t="s">
        <v>68</v>
      </c>
      <c r="L72" s="59" t="s">
        <v>139</v>
      </c>
      <c r="M72" s="59" t="s">
        <v>71</v>
      </c>
      <c r="N72" s="60" t="s">
        <v>987</v>
      </c>
      <c r="O72" s="61">
        <v>46296.62866898148</v>
      </c>
      <c r="P72" s="63" t="s">
        <v>925</v>
      </c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55" t="s">
        <v>1033</v>
      </c>
      <c r="B73" s="56">
        <v>46295.0</v>
      </c>
      <c r="C73" s="55" t="s">
        <v>145</v>
      </c>
      <c r="D73" s="55" t="s">
        <v>109</v>
      </c>
      <c r="E73" s="57" t="s">
        <v>62</v>
      </c>
      <c r="F73" s="57">
        <v>3.0</v>
      </c>
      <c r="G73" s="57" t="s">
        <v>1037</v>
      </c>
      <c r="H73" s="57">
        <v>3.0</v>
      </c>
      <c r="I73" s="57">
        <v>11.0</v>
      </c>
      <c r="J73" s="58">
        <v>309.0</v>
      </c>
      <c r="K73" s="58" t="s">
        <v>68</v>
      </c>
      <c r="L73" s="59" t="s">
        <v>139</v>
      </c>
      <c r="M73" s="59" t="s">
        <v>71</v>
      </c>
      <c r="N73" s="60" t="s">
        <v>987</v>
      </c>
      <c r="O73" s="61">
        <v>46296.62866898148</v>
      </c>
      <c r="P73" s="63" t="s">
        <v>925</v>
      </c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5" t="s">
        <v>1038</v>
      </c>
      <c r="B74" s="66">
        <v>46295.0</v>
      </c>
      <c r="C74" s="65" t="s">
        <v>145</v>
      </c>
      <c r="D74" s="65" t="s">
        <v>136</v>
      </c>
      <c r="E74" s="67" t="s">
        <v>62</v>
      </c>
      <c r="F74" s="67">
        <v>9.0</v>
      </c>
      <c r="G74" s="67" t="s">
        <v>211</v>
      </c>
      <c r="H74" s="67">
        <v>92.0</v>
      </c>
      <c r="I74" s="67">
        <v>667.0</v>
      </c>
      <c r="J74" s="58">
        <v>18987.0</v>
      </c>
      <c r="K74" s="58" t="s">
        <v>68</v>
      </c>
      <c r="L74" s="59" t="s">
        <v>139</v>
      </c>
      <c r="M74" s="59" t="s">
        <v>71</v>
      </c>
      <c r="N74" s="60" t="s">
        <v>987</v>
      </c>
      <c r="O74" s="61">
        <v>46296.62866898148</v>
      </c>
      <c r="P74" s="63" t="s">
        <v>925</v>
      </c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55" t="s">
        <v>1049</v>
      </c>
      <c r="B75" s="56">
        <v>46295.0</v>
      </c>
      <c r="C75" s="55" t="s">
        <v>145</v>
      </c>
      <c r="D75" s="55" t="s">
        <v>154</v>
      </c>
      <c r="E75" s="57" t="s">
        <v>62</v>
      </c>
      <c r="F75" s="57">
        <v>13.0</v>
      </c>
      <c r="G75" s="57" t="s">
        <v>228</v>
      </c>
      <c r="H75" s="57">
        <v>90.0</v>
      </c>
      <c r="I75" s="57">
        <v>884.0</v>
      </c>
      <c r="J75" s="58">
        <v>9635.0</v>
      </c>
      <c r="K75" s="58">
        <v>2.0</v>
      </c>
      <c r="L75" s="59" t="s">
        <v>139</v>
      </c>
      <c r="M75" s="59" t="s">
        <v>71</v>
      </c>
      <c r="N75" s="60" t="s">
        <v>1061</v>
      </c>
      <c r="O75" s="61">
        <v>46296.62866898148</v>
      </c>
      <c r="P75" s="63" t="s">
        <v>925</v>
      </c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5" t="s">
        <v>1062</v>
      </c>
      <c r="B76" s="66">
        <v>46295.0</v>
      </c>
      <c r="C76" s="65" t="s">
        <v>145</v>
      </c>
      <c r="D76" s="65" t="s">
        <v>107</v>
      </c>
      <c r="E76" s="67" t="s">
        <v>62</v>
      </c>
      <c r="F76" s="67">
        <v>3.0</v>
      </c>
      <c r="G76" s="67" t="s">
        <v>1063</v>
      </c>
      <c r="H76" s="67">
        <v>8.0</v>
      </c>
      <c r="I76" s="67">
        <v>24.0</v>
      </c>
      <c r="J76" s="58">
        <v>298.0</v>
      </c>
      <c r="K76" s="58" t="s">
        <v>68</v>
      </c>
      <c r="L76" s="59" t="s">
        <v>424</v>
      </c>
      <c r="M76" s="59" t="s">
        <v>71</v>
      </c>
      <c r="N76" s="60" t="s">
        <v>1061</v>
      </c>
      <c r="O76" s="61">
        <v>46296.62866898148</v>
      </c>
      <c r="P76" s="63" t="s">
        <v>925</v>
      </c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55" t="s">
        <v>1073</v>
      </c>
      <c r="B77" s="56">
        <v>46295.0</v>
      </c>
      <c r="C77" s="55" t="s">
        <v>145</v>
      </c>
      <c r="D77" s="55" t="s">
        <v>97</v>
      </c>
      <c r="E77" s="57" t="s">
        <v>62</v>
      </c>
      <c r="F77" s="57">
        <v>13.0</v>
      </c>
      <c r="G77" s="57" t="s">
        <v>1074</v>
      </c>
      <c r="H77" s="57">
        <v>87.0</v>
      </c>
      <c r="I77" s="57">
        <v>566.0</v>
      </c>
      <c r="J77" s="58">
        <v>5393.0</v>
      </c>
      <c r="K77" s="58">
        <v>1.0</v>
      </c>
      <c r="L77" s="59" t="s">
        <v>69</v>
      </c>
      <c r="M77" s="59" t="s">
        <v>71</v>
      </c>
      <c r="N77" s="60" t="s">
        <v>1061</v>
      </c>
      <c r="O77" s="61">
        <v>46296.62866898148</v>
      </c>
      <c r="P77" s="63" t="s">
        <v>925</v>
      </c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5" t="s">
        <v>1082</v>
      </c>
      <c r="B78" s="66">
        <v>46295.0</v>
      </c>
      <c r="C78" s="65" t="s">
        <v>145</v>
      </c>
      <c r="D78" s="65" t="s">
        <v>116</v>
      </c>
      <c r="E78" s="67" t="s">
        <v>62</v>
      </c>
      <c r="F78" s="67">
        <v>11.0</v>
      </c>
      <c r="G78" s="67" t="s">
        <v>1085</v>
      </c>
      <c r="H78" s="67">
        <v>146.0</v>
      </c>
      <c r="I78" s="67">
        <v>881.0</v>
      </c>
      <c r="J78" s="58">
        <v>34138.0</v>
      </c>
      <c r="K78" s="58">
        <v>1.0</v>
      </c>
      <c r="L78" s="59" t="s">
        <v>139</v>
      </c>
      <c r="M78" s="59" t="s">
        <v>71</v>
      </c>
      <c r="N78" s="60" t="s">
        <v>1061</v>
      </c>
      <c r="O78" s="61">
        <v>46296.62866898148</v>
      </c>
      <c r="P78" s="63" t="s">
        <v>925</v>
      </c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55" t="s">
        <v>1090</v>
      </c>
      <c r="B79" s="56">
        <v>46295.0</v>
      </c>
      <c r="C79" s="55" t="s">
        <v>145</v>
      </c>
      <c r="D79" s="55" t="s">
        <v>167</v>
      </c>
      <c r="E79" s="57" t="s">
        <v>62</v>
      </c>
      <c r="F79" s="57">
        <v>6.0</v>
      </c>
      <c r="G79" s="57" t="s">
        <v>1095</v>
      </c>
      <c r="H79" s="57">
        <v>38.0</v>
      </c>
      <c r="I79" s="57">
        <v>382.0</v>
      </c>
      <c r="J79" s="58">
        <v>261797.0</v>
      </c>
      <c r="K79" s="58">
        <v>8.0</v>
      </c>
      <c r="L79" s="59" t="s">
        <v>69</v>
      </c>
      <c r="M79" s="59" t="s">
        <v>71</v>
      </c>
      <c r="N79" s="60" t="s">
        <v>1061</v>
      </c>
      <c r="O79" s="61">
        <v>46296.62866898148</v>
      </c>
      <c r="P79" s="63" t="s">
        <v>925</v>
      </c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5" t="s">
        <v>1096</v>
      </c>
      <c r="B80" s="66">
        <v>46295.0</v>
      </c>
      <c r="C80" s="65" t="s">
        <v>145</v>
      </c>
      <c r="D80" s="65" t="s">
        <v>118</v>
      </c>
      <c r="E80" s="67" t="s">
        <v>62</v>
      </c>
      <c r="F80" s="67">
        <v>7.0</v>
      </c>
      <c r="G80" s="67" t="s">
        <v>310</v>
      </c>
      <c r="H80" s="67">
        <v>55.0</v>
      </c>
      <c r="I80" s="67">
        <v>499.0</v>
      </c>
      <c r="J80" s="58">
        <v>113323.0</v>
      </c>
      <c r="K80" s="58" t="s">
        <v>68</v>
      </c>
      <c r="L80" s="59" t="s">
        <v>139</v>
      </c>
      <c r="M80" s="59" t="s">
        <v>71</v>
      </c>
      <c r="N80" s="60" t="s">
        <v>1102</v>
      </c>
      <c r="O80" s="61">
        <v>46296.62866898148</v>
      </c>
      <c r="P80" s="63" t="s">
        <v>925</v>
      </c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55" t="s">
        <v>1108</v>
      </c>
      <c r="B81" s="56">
        <v>46295.0</v>
      </c>
      <c r="C81" s="55" t="s">
        <v>145</v>
      </c>
      <c r="D81" s="55" t="s">
        <v>98</v>
      </c>
      <c r="E81" s="57" t="s">
        <v>62</v>
      </c>
      <c r="F81" s="57">
        <v>3.0</v>
      </c>
      <c r="G81" s="57" t="s">
        <v>325</v>
      </c>
      <c r="H81" s="57">
        <v>3.0</v>
      </c>
      <c r="I81" s="57">
        <v>3.0</v>
      </c>
      <c r="J81" s="58" t="s">
        <v>68</v>
      </c>
      <c r="K81" s="58" t="s">
        <v>68</v>
      </c>
      <c r="L81" s="59" t="s">
        <v>69</v>
      </c>
      <c r="M81" s="59" t="s">
        <v>71</v>
      </c>
      <c r="N81" s="60" t="s">
        <v>1102</v>
      </c>
      <c r="O81" s="61">
        <v>46296.62866898148</v>
      </c>
      <c r="P81" s="63" t="s">
        <v>925</v>
      </c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5" t="s">
        <v>1116</v>
      </c>
      <c r="B82" s="66">
        <v>46295.0</v>
      </c>
      <c r="C82" s="65" t="s">
        <v>145</v>
      </c>
      <c r="D82" s="65" t="s">
        <v>146</v>
      </c>
      <c r="E82" s="67" t="s">
        <v>62</v>
      </c>
      <c r="F82" s="67">
        <v>7.0</v>
      </c>
      <c r="G82" s="67" t="s">
        <v>1119</v>
      </c>
      <c r="H82" s="67">
        <v>55.0</v>
      </c>
      <c r="I82" s="67">
        <v>302.0</v>
      </c>
      <c r="J82" s="58">
        <v>10203.0</v>
      </c>
      <c r="K82" s="58" t="s">
        <v>68</v>
      </c>
      <c r="L82" s="59" t="s">
        <v>424</v>
      </c>
      <c r="M82" s="59" t="s">
        <v>71</v>
      </c>
      <c r="N82" s="60" t="s">
        <v>1102</v>
      </c>
      <c r="O82" s="61">
        <v>46296.62866898148</v>
      </c>
      <c r="P82" s="63" t="s">
        <v>925</v>
      </c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55" t="s">
        <v>1123</v>
      </c>
      <c r="B83" s="56">
        <v>46295.0</v>
      </c>
      <c r="C83" s="55" t="s">
        <v>145</v>
      </c>
      <c r="D83" s="55" t="s">
        <v>153</v>
      </c>
      <c r="E83" s="57" t="s">
        <v>62</v>
      </c>
      <c r="F83" s="57">
        <v>4.0</v>
      </c>
      <c r="G83" s="57" t="s">
        <v>1129</v>
      </c>
      <c r="H83" s="57">
        <v>23.0</v>
      </c>
      <c r="I83" s="57">
        <v>71.0</v>
      </c>
      <c r="J83" s="58">
        <v>207.0</v>
      </c>
      <c r="K83" s="58" t="s">
        <v>68</v>
      </c>
      <c r="L83" s="59" t="s">
        <v>69</v>
      </c>
      <c r="M83" s="59" t="s">
        <v>71</v>
      </c>
      <c r="N83" s="60" t="s">
        <v>1102</v>
      </c>
      <c r="O83" s="61">
        <v>46296.62866898148</v>
      </c>
      <c r="P83" s="63" t="s">
        <v>925</v>
      </c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5" t="s">
        <v>1137</v>
      </c>
      <c r="B84" s="66">
        <v>46295.0</v>
      </c>
      <c r="C84" s="65" t="s">
        <v>348</v>
      </c>
      <c r="D84" s="65" t="s">
        <v>108</v>
      </c>
      <c r="E84" s="67" t="s">
        <v>62</v>
      </c>
      <c r="F84" s="67">
        <v>4.0</v>
      </c>
      <c r="G84" s="67" t="s">
        <v>361</v>
      </c>
      <c r="H84" s="67">
        <v>41.0</v>
      </c>
      <c r="I84" s="67">
        <v>397.0</v>
      </c>
      <c r="J84" s="58">
        <v>28028.0</v>
      </c>
      <c r="K84" s="58" t="s">
        <v>68</v>
      </c>
      <c r="L84" s="59" t="s">
        <v>139</v>
      </c>
      <c r="M84" s="59" t="s">
        <v>71</v>
      </c>
      <c r="N84" s="60" t="s">
        <v>1102</v>
      </c>
      <c r="O84" s="61">
        <v>46296.62866898148</v>
      </c>
      <c r="P84" s="63" t="s">
        <v>925</v>
      </c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55" t="s">
        <v>1150</v>
      </c>
      <c r="B85" s="56">
        <v>46295.0</v>
      </c>
      <c r="C85" s="55" t="s">
        <v>348</v>
      </c>
      <c r="D85" s="55" t="s">
        <v>163</v>
      </c>
      <c r="E85" s="57" t="s">
        <v>62</v>
      </c>
      <c r="F85" s="57">
        <v>7.0</v>
      </c>
      <c r="G85" s="57" t="s">
        <v>1152</v>
      </c>
      <c r="H85" s="57">
        <v>61.0</v>
      </c>
      <c r="I85" s="57">
        <v>625.0</v>
      </c>
      <c r="J85" s="58">
        <v>39977.0</v>
      </c>
      <c r="K85" s="58" t="s">
        <v>68</v>
      </c>
      <c r="L85" s="59" t="s">
        <v>139</v>
      </c>
      <c r="M85" s="59" t="s">
        <v>71</v>
      </c>
      <c r="N85" s="60" t="s">
        <v>1102</v>
      </c>
      <c r="O85" s="61">
        <v>46296.62866898148</v>
      </c>
      <c r="P85" s="63" t="s">
        <v>925</v>
      </c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5" t="s">
        <v>1159</v>
      </c>
      <c r="B86" s="66">
        <v>46295.0</v>
      </c>
      <c r="C86" s="65" t="s">
        <v>348</v>
      </c>
      <c r="D86" s="65" t="s">
        <v>166</v>
      </c>
      <c r="E86" s="67" t="s">
        <v>62</v>
      </c>
      <c r="F86" s="67">
        <v>11.0</v>
      </c>
      <c r="G86" s="67" t="s">
        <v>1161</v>
      </c>
      <c r="H86" s="67">
        <v>65.0</v>
      </c>
      <c r="I86" s="67">
        <v>526.0</v>
      </c>
      <c r="J86" s="58">
        <v>23790.0</v>
      </c>
      <c r="K86" s="58" t="s">
        <v>68</v>
      </c>
      <c r="L86" s="59" t="s">
        <v>139</v>
      </c>
      <c r="M86" s="59" t="s">
        <v>71</v>
      </c>
      <c r="N86" s="60" t="s">
        <v>1102</v>
      </c>
      <c r="O86" s="61">
        <v>46296.62866898148</v>
      </c>
      <c r="P86" s="63" t="s">
        <v>925</v>
      </c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55" t="s">
        <v>1168</v>
      </c>
      <c r="B87" s="56">
        <v>46295.0</v>
      </c>
      <c r="C87" s="55" t="s">
        <v>348</v>
      </c>
      <c r="D87" s="55" t="s">
        <v>157</v>
      </c>
      <c r="E87" s="57" t="s">
        <v>62</v>
      </c>
      <c r="F87" s="57">
        <v>9.0</v>
      </c>
      <c r="G87" s="57" t="s">
        <v>1174</v>
      </c>
      <c r="H87" s="57">
        <v>32.0</v>
      </c>
      <c r="I87" s="57">
        <v>210.0</v>
      </c>
      <c r="J87" s="58">
        <v>15086.0</v>
      </c>
      <c r="K87" s="58">
        <v>6.0</v>
      </c>
      <c r="L87" s="59" t="s">
        <v>139</v>
      </c>
      <c r="M87" s="59" t="s">
        <v>71</v>
      </c>
      <c r="N87" s="60" t="s">
        <v>1175</v>
      </c>
      <c r="O87" s="61">
        <v>46296.62866898148</v>
      </c>
      <c r="P87" s="63" t="s">
        <v>925</v>
      </c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5" t="s">
        <v>1180</v>
      </c>
      <c r="B88" s="66">
        <v>46295.0</v>
      </c>
      <c r="C88" s="65" t="s">
        <v>348</v>
      </c>
      <c r="D88" s="65" t="s">
        <v>174</v>
      </c>
      <c r="E88" s="67" t="s">
        <v>62</v>
      </c>
      <c r="F88" s="67">
        <v>10.0</v>
      </c>
      <c r="G88" s="67" t="s">
        <v>408</v>
      </c>
      <c r="H88" s="67">
        <v>78.0</v>
      </c>
      <c r="I88" s="67">
        <v>354.0</v>
      </c>
      <c r="J88" s="58">
        <v>118723.0</v>
      </c>
      <c r="K88" s="58" t="s">
        <v>68</v>
      </c>
      <c r="L88" s="59" t="s">
        <v>139</v>
      </c>
      <c r="M88" s="59" t="s">
        <v>71</v>
      </c>
      <c r="N88" s="60" t="s">
        <v>1175</v>
      </c>
      <c r="O88" s="61">
        <v>46296.62866898148</v>
      </c>
      <c r="P88" s="63" t="s">
        <v>925</v>
      </c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55" t="s">
        <v>1185</v>
      </c>
      <c r="B89" s="56">
        <v>46295.0</v>
      </c>
      <c r="C89" s="55" t="s">
        <v>348</v>
      </c>
      <c r="D89" s="55" t="s">
        <v>178</v>
      </c>
      <c r="E89" s="57" t="s">
        <v>62</v>
      </c>
      <c r="F89" s="57">
        <v>5.0</v>
      </c>
      <c r="G89" s="57" t="s">
        <v>1193</v>
      </c>
      <c r="H89" s="57">
        <v>5.0</v>
      </c>
      <c r="I89" s="57">
        <v>7.0</v>
      </c>
      <c r="J89" s="58">
        <v>350.0</v>
      </c>
      <c r="K89" s="58" t="s">
        <v>68</v>
      </c>
      <c r="L89" s="59" t="s">
        <v>424</v>
      </c>
      <c r="M89" s="59" t="s">
        <v>71</v>
      </c>
      <c r="N89" s="60" t="s">
        <v>1175</v>
      </c>
      <c r="O89" s="61">
        <v>46296.62866898148</v>
      </c>
      <c r="P89" s="63" t="s">
        <v>925</v>
      </c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5" t="s">
        <v>1196</v>
      </c>
      <c r="B90" s="66">
        <v>46295.0</v>
      </c>
      <c r="C90" s="65" t="s">
        <v>348</v>
      </c>
      <c r="D90" s="65" t="s">
        <v>175</v>
      </c>
      <c r="E90" s="67" t="s">
        <v>62</v>
      </c>
      <c r="F90" s="67">
        <v>8.0</v>
      </c>
      <c r="G90" s="67" t="s">
        <v>1201</v>
      </c>
      <c r="H90" s="67">
        <v>35.0</v>
      </c>
      <c r="I90" s="67">
        <v>299.0</v>
      </c>
      <c r="J90" s="58">
        <v>9326.0</v>
      </c>
      <c r="K90" s="58">
        <v>2.0</v>
      </c>
      <c r="L90" s="59" t="s">
        <v>69</v>
      </c>
      <c r="M90" s="59" t="s">
        <v>71</v>
      </c>
      <c r="N90" s="60" t="s">
        <v>1175</v>
      </c>
      <c r="O90" s="61">
        <v>46296.62866898148</v>
      </c>
      <c r="P90" s="63" t="s">
        <v>925</v>
      </c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55" t="s">
        <v>1207</v>
      </c>
      <c r="B91" s="56">
        <v>46295.0</v>
      </c>
      <c r="C91" s="55" t="s">
        <v>348</v>
      </c>
      <c r="D91" s="55" t="s">
        <v>183</v>
      </c>
      <c r="E91" s="57" t="s">
        <v>62</v>
      </c>
      <c r="F91" s="57">
        <v>3.0</v>
      </c>
      <c r="G91" s="57" t="s">
        <v>441</v>
      </c>
      <c r="H91" s="57">
        <v>17.0</v>
      </c>
      <c r="I91" s="57">
        <v>138.0</v>
      </c>
      <c r="J91" s="58">
        <v>659.0</v>
      </c>
      <c r="K91" s="58"/>
      <c r="L91" s="59" t="s">
        <v>424</v>
      </c>
      <c r="M91" s="59" t="s">
        <v>71</v>
      </c>
      <c r="N91" s="60" t="s">
        <v>1215</v>
      </c>
      <c r="O91" s="61">
        <v>46296.62866898148</v>
      </c>
      <c r="P91" s="63" t="s">
        <v>925</v>
      </c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5" t="s">
        <v>1220</v>
      </c>
      <c r="B92" s="66">
        <v>46295.0</v>
      </c>
      <c r="C92" s="65" t="s">
        <v>397</v>
      </c>
      <c r="D92" s="65" t="s">
        <v>229</v>
      </c>
      <c r="E92" s="67" t="s">
        <v>62</v>
      </c>
      <c r="F92" s="67">
        <v>4.0</v>
      </c>
      <c r="G92" s="67" t="s">
        <v>1221</v>
      </c>
      <c r="H92" s="67">
        <v>30.0</v>
      </c>
      <c r="I92" s="67">
        <v>244.0</v>
      </c>
      <c r="J92" s="58">
        <v>2855.0</v>
      </c>
      <c r="K92" s="58" t="s">
        <v>68</v>
      </c>
      <c r="L92" s="59" t="s">
        <v>69</v>
      </c>
      <c r="M92" s="59" t="s">
        <v>71</v>
      </c>
      <c r="N92" s="60" t="s">
        <v>1175</v>
      </c>
      <c r="O92" s="61">
        <v>46296.62866898148</v>
      </c>
      <c r="P92" s="63" t="s">
        <v>925</v>
      </c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55" t="s">
        <v>1230</v>
      </c>
      <c r="B93" s="56">
        <v>46295.0</v>
      </c>
      <c r="C93" s="55" t="s">
        <v>397</v>
      </c>
      <c r="D93" s="55" t="s">
        <v>220</v>
      </c>
      <c r="E93" s="57" t="s">
        <v>62</v>
      </c>
      <c r="F93" s="57">
        <v>3.0</v>
      </c>
      <c r="G93" s="57" t="s">
        <v>1231</v>
      </c>
      <c r="H93" s="57">
        <v>10.0</v>
      </c>
      <c r="I93" s="57">
        <v>34.0</v>
      </c>
      <c r="J93" s="58">
        <v>39.0</v>
      </c>
      <c r="K93" s="58" t="s">
        <v>68</v>
      </c>
      <c r="L93" s="59" t="s">
        <v>69</v>
      </c>
      <c r="M93" s="59" t="s">
        <v>71</v>
      </c>
      <c r="N93" s="60" t="s">
        <v>1233</v>
      </c>
      <c r="O93" s="61">
        <v>46296.62866898148</v>
      </c>
      <c r="P93" s="63" t="s">
        <v>925</v>
      </c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5" t="s">
        <v>1241</v>
      </c>
      <c r="B94" s="66">
        <v>46295.0</v>
      </c>
      <c r="C94" s="65" t="s">
        <v>397</v>
      </c>
      <c r="D94" s="65" t="s">
        <v>224</v>
      </c>
      <c r="E94" s="67" t="s">
        <v>62</v>
      </c>
      <c r="F94" s="67">
        <v>3.0</v>
      </c>
      <c r="G94" s="67" t="s">
        <v>1245</v>
      </c>
      <c r="H94" s="67">
        <v>3.0</v>
      </c>
      <c r="I94" s="67">
        <v>4.0</v>
      </c>
      <c r="J94" s="58">
        <v>95.0</v>
      </c>
      <c r="K94" s="58" t="s">
        <v>68</v>
      </c>
      <c r="L94" s="59" t="s">
        <v>69</v>
      </c>
      <c r="M94" s="59" t="s">
        <v>71</v>
      </c>
      <c r="N94" s="60" t="s">
        <v>1233</v>
      </c>
      <c r="O94" s="61">
        <v>46296.62866898148</v>
      </c>
      <c r="P94" s="63" t="s">
        <v>925</v>
      </c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55" t="s">
        <v>1249</v>
      </c>
      <c r="B95" s="56">
        <v>46295.0</v>
      </c>
      <c r="C95" s="55" t="s">
        <v>397</v>
      </c>
      <c r="D95" s="55" t="s">
        <v>230</v>
      </c>
      <c r="E95" s="57" t="s">
        <v>62</v>
      </c>
      <c r="F95" s="57">
        <v>2.0</v>
      </c>
      <c r="G95" s="57" t="s">
        <v>480</v>
      </c>
      <c r="H95" s="57">
        <v>10.0</v>
      </c>
      <c r="I95" s="57">
        <v>65.0</v>
      </c>
      <c r="J95" s="58">
        <v>200.0</v>
      </c>
      <c r="K95" s="58" t="s">
        <v>68</v>
      </c>
      <c r="L95" s="59" t="s">
        <v>69</v>
      </c>
      <c r="M95" s="59" t="s">
        <v>71</v>
      </c>
      <c r="N95" s="60" t="s">
        <v>1233</v>
      </c>
      <c r="O95" s="61">
        <v>46296.62866898148</v>
      </c>
      <c r="P95" s="63" t="s">
        <v>925</v>
      </c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5" t="s">
        <v>1255</v>
      </c>
      <c r="B96" s="66">
        <v>46295.0</v>
      </c>
      <c r="C96" s="65" t="s">
        <v>312</v>
      </c>
      <c r="D96" s="65" t="s">
        <v>312</v>
      </c>
      <c r="E96" s="67" t="s">
        <v>62</v>
      </c>
      <c r="F96" s="67" t="s">
        <v>68</v>
      </c>
      <c r="G96" s="67" t="s">
        <v>68</v>
      </c>
      <c r="H96" s="67" t="s">
        <v>68</v>
      </c>
      <c r="I96" s="67" t="s">
        <v>68</v>
      </c>
      <c r="J96" s="58">
        <v>329000.0</v>
      </c>
      <c r="K96" s="58">
        <v>4.0</v>
      </c>
      <c r="L96" s="59" t="s">
        <v>424</v>
      </c>
      <c r="M96" s="59" t="s">
        <v>71</v>
      </c>
      <c r="N96" s="60" t="s">
        <v>1233</v>
      </c>
      <c r="O96" s="61">
        <v>46296.62866898148</v>
      </c>
      <c r="P96" s="63" t="s">
        <v>925</v>
      </c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45" t="s">
        <v>1270</v>
      </c>
      <c r="B97" s="46">
        <v>46298.0</v>
      </c>
      <c r="C97" s="45" t="s">
        <v>59</v>
      </c>
      <c r="D97" s="45" t="s">
        <v>77</v>
      </c>
      <c r="E97" s="45" t="s">
        <v>62</v>
      </c>
      <c r="F97" s="47">
        <v>6.0</v>
      </c>
      <c r="G97" s="45" t="s">
        <v>105</v>
      </c>
      <c r="H97" s="47">
        <v>9.0</v>
      </c>
      <c r="I97" s="47">
        <v>19.0</v>
      </c>
      <c r="J97" s="44">
        <v>82.0</v>
      </c>
      <c r="K97" s="44" t="s">
        <v>68</v>
      </c>
      <c r="L97" s="7" t="s">
        <v>69</v>
      </c>
      <c r="M97" s="7" t="s">
        <v>71</v>
      </c>
      <c r="N97" s="7" t="s">
        <v>1279</v>
      </c>
      <c r="O97" s="22">
        <v>46298.34375</v>
      </c>
      <c r="P97" s="27" t="s">
        <v>76</v>
      </c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41" t="s">
        <v>1280</v>
      </c>
      <c r="B98" s="42">
        <v>46298.0</v>
      </c>
      <c r="C98" s="41" t="s">
        <v>59</v>
      </c>
      <c r="D98" s="41" t="s">
        <v>86</v>
      </c>
      <c r="E98" s="41" t="s">
        <v>62</v>
      </c>
      <c r="F98" s="43">
        <v>14.0</v>
      </c>
      <c r="G98" s="41" t="s">
        <v>133</v>
      </c>
      <c r="H98" s="43">
        <v>92.0</v>
      </c>
      <c r="I98" s="43">
        <v>514.0</v>
      </c>
      <c r="J98" s="44">
        <v>13013.0</v>
      </c>
      <c r="K98" s="44" t="s">
        <v>68</v>
      </c>
      <c r="L98" s="7" t="s">
        <v>139</v>
      </c>
      <c r="M98" s="7" t="s">
        <v>71</v>
      </c>
      <c r="N98" s="7" t="s">
        <v>1291</v>
      </c>
      <c r="O98" s="22">
        <v>46298.34375</v>
      </c>
      <c r="P98" s="27" t="s">
        <v>76</v>
      </c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45" t="s">
        <v>1293</v>
      </c>
      <c r="B99" s="46">
        <v>46298.0</v>
      </c>
      <c r="C99" s="45" t="s">
        <v>145</v>
      </c>
      <c r="D99" s="45" t="s">
        <v>94</v>
      </c>
      <c r="E99" s="45" t="s">
        <v>62</v>
      </c>
      <c r="F99" s="47">
        <v>8.0</v>
      </c>
      <c r="G99" s="45" t="s">
        <v>148</v>
      </c>
      <c r="H99" s="47">
        <v>56.0</v>
      </c>
      <c r="I99" s="47">
        <v>413.0</v>
      </c>
      <c r="J99" s="44">
        <v>4785.0</v>
      </c>
      <c r="K99" s="44" t="s">
        <v>68</v>
      </c>
      <c r="L99" s="7" t="s">
        <v>139</v>
      </c>
      <c r="M99" s="7" t="s">
        <v>71</v>
      </c>
      <c r="N99" s="7" t="s">
        <v>1291</v>
      </c>
      <c r="O99" s="22">
        <v>46298.34375</v>
      </c>
      <c r="P99" s="27" t="s">
        <v>76</v>
      </c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41" t="s">
        <v>1302</v>
      </c>
      <c r="B100" s="42">
        <v>46298.0</v>
      </c>
      <c r="C100" s="41" t="s">
        <v>145</v>
      </c>
      <c r="D100" s="41" t="s">
        <v>101</v>
      </c>
      <c r="E100" s="41" t="s">
        <v>62</v>
      </c>
      <c r="F100" s="43">
        <v>1.0</v>
      </c>
      <c r="G100" s="41" t="s">
        <v>1303</v>
      </c>
      <c r="H100" s="43">
        <v>7.0</v>
      </c>
      <c r="I100" s="43">
        <v>30.0</v>
      </c>
      <c r="J100" s="44">
        <v>975.0</v>
      </c>
      <c r="K100" s="44" t="s">
        <v>68</v>
      </c>
      <c r="L100" s="7" t="s">
        <v>69</v>
      </c>
      <c r="M100" s="7" t="s">
        <v>71</v>
      </c>
      <c r="N100" s="7" t="s">
        <v>1291</v>
      </c>
      <c r="O100" s="22">
        <v>46298.34375</v>
      </c>
      <c r="P100" s="27" t="s">
        <v>76</v>
      </c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45" t="s">
        <v>1312</v>
      </c>
      <c r="B101" s="46">
        <v>46298.0</v>
      </c>
      <c r="C101" s="45" t="s">
        <v>145</v>
      </c>
      <c r="D101" s="45" t="s">
        <v>91</v>
      </c>
      <c r="E101" s="45" t="s">
        <v>62</v>
      </c>
      <c r="F101" s="47">
        <v>8.0</v>
      </c>
      <c r="G101" s="45" t="s">
        <v>1313</v>
      </c>
      <c r="H101" s="47">
        <v>45.0</v>
      </c>
      <c r="I101" s="47">
        <v>318.0</v>
      </c>
      <c r="J101" s="44">
        <v>5811.0</v>
      </c>
      <c r="K101" s="44" t="s">
        <v>68</v>
      </c>
      <c r="L101" s="7" t="s">
        <v>139</v>
      </c>
      <c r="M101" s="7" t="s">
        <v>71</v>
      </c>
      <c r="N101" s="7" t="s">
        <v>1291</v>
      </c>
      <c r="O101" s="22">
        <v>46298.34375</v>
      </c>
      <c r="P101" s="27" t="s">
        <v>76</v>
      </c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41" t="s">
        <v>1318</v>
      </c>
      <c r="B102" s="42">
        <v>46298.0</v>
      </c>
      <c r="C102" s="41" t="s">
        <v>145</v>
      </c>
      <c r="D102" s="41" t="s">
        <v>109</v>
      </c>
      <c r="E102" s="41" t="s">
        <v>62</v>
      </c>
      <c r="F102" s="43">
        <v>3.0</v>
      </c>
      <c r="G102" s="41" t="s">
        <v>201</v>
      </c>
      <c r="H102" s="43">
        <v>4.0</v>
      </c>
      <c r="I102" s="43">
        <v>12.0</v>
      </c>
      <c r="J102" s="44">
        <v>989.0</v>
      </c>
      <c r="K102" s="44" t="s">
        <v>68</v>
      </c>
      <c r="L102" s="7" t="s">
        <v>139</v>
      </c>
      <c r="M102" s="7" t="s">
        <v>71</v>
      </c>
      <c r="N102" s="7" t="s">
        <v>1291</v>
      </c>
      <c r="O102" s="22">
        <v>46298.34375</v>
      </c>
      <c r="P102" s="27" t="s">
        <v>76</v>
      </c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45" t="s">
        <v>1325</v>
      </c>
      <c r="B103" s="46">
        <v>46298.0</v>
      </c>
      <c r="C103" s="45" t="s">
        <v>145</v>
      </c>
      <c r="D103" s="45" t="s">
        <v>136</v>
      </c>
      <c r="E103" s="45" t="s">
        <v>62</v>
      </c>
      <c r="F103" s="47">
        <v>9.0</v>
      </c>
      <c r="G103" s="45" t="s">
        <v>211</v>
      </c>
      <c r="H103" s="47">
        <v>100.0</v>
      </c>
      <c r="I103" s="47">
        <v>884.0</v>
      </c>
      <c r="J103" s="44">
        <v>23912.0</v>
      </c>
      <c r="K103" s="44" t="s">
        <v>68</v>
      </c>
      <c r="L103" s="7" t="s">
        <v>139</v>
      </c>
      <c r="M103" s="7" t="s">
        <v>71</v>
      </c>
      <c r="N103" s="7" t="s">
        <v>1291</v>
      </c>
      <c r="O103" s="22">
        <v>46298.34375</v>
      </c>
      <c r="P103" s="27" t="s">
        <v>76</v>
      </c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41" t="s">
        <v>1333</v>
      </c>
      <c r="B104" s="42">
        <v>46298.0</v>
      </c>
      <c r="C104" s="41" t="s">
        <v>145</v>
      </c>
      <c r="D104" s="41" t="s">
        <v>154</v>
      </c>
      <c r="E104" s="41" t="s">
        <v>62</v>
      </c>
      <c r="F104" s="43">
        <v>12.0</v>
      </c>
      <c r="G104" s="41" t="s">
        <v>1341</v>
      </c>
      <c r="H104" s="43">
        <v>84.0</v>
      </c>
      <c r="I104" s="43">
        <v>818.0</v>
      </c>
      <c r="J104" s="44">
        <v>8237.0</v>
      </c>
      <c r="K104" s="44">
        <v>2.0</v>
      </c>
      <c r="L104" s="7" t="s">
        <v>69</v>
      </c>
      <c r="M104" s="7" t="s">
        <v>71</v>
      </c>
      <c r="N104" s="7" t="s">
        <v>1344</v>
      </c>
      <c r="O104" s="22">
        <v>46298.34375</v>
      </c>
      <c r="P104" s="27" t="s">
        <v>76</v>
      </c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45" t="s">
        <v>1345</v>
      </c>
      <c r="B105" s="46">
        <v>46298.0</v>
      </c>
      <c r="C105" s="45" t="s">
        <v>145</v>
      </c>
      <c r="D105" s="45" t="s">
        <v>107</v>
      </c>
      <c r="E105" s="45" t="s">
        <v>62</v>
      </c>
      <c r="F105" s="47">
        <v>5.0</v>
      </c>
      <c r="G105" s="45" t="s">
        <v>242</v>
      </c>
      <c r="H105" s="47">
        <v>33.0</v>
      </c>
      <c r="I105" s="47">
        <v>129.0</v>
      </c>
      <c r="J105" s="44">
        <v>1938.0</v>
      </c>
      <c r="K105" s="44" t="s">
        <v>68</v>
      </c>
      <c r="L105" s="7" t="s">
        <v>139</v>
      </c>
      <c r="M105" s="7" t="s">
        <v>71</v>
      </c>
      <c r="N105" s="7" t="s">
        <v>1344</v>
      </c>
      <c r="O105" s="22">
        <v>46298.34375</v>
      </c>
      <c r="P105" s="27" t="s">
        <v>76</v>
      </c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41" t="s">
        <v>1355</v>
      </c>
      <c r="B106" s="42">
        <v>46298.0</v>
      </c>
      <c r="C106" s="41" t="s">
        <v>145</v>
      </c>
      <c r="D106" s="41" t="s">
        <v>97</v>
      </c>
      <c r="E106" s="41" t="s">
        <v>62</v>
      </c>
      <c r="F106" s="43">
        <v>8.0</v>
      </c>
      <c r="G106" s="41" t="s">
        <v>1356</v>
      </c>
      <c r="H106" s="43">
        <v>40.0</v>
      </c>
      <c r="I106" s="43">
        <v>186.0</v>
      </c>
      <c r="J106" s="44">
        <v>3066.0</v>
      </c>
      <c r="K106" s="44">
        <v>1.0</v>
      </c>
      <c r="L106" s="7" t="s">
        <v>69</v>
      </c>
      <c r="M106" s="7" t="s">
        <v>71</v>
      </c>
      <c r="N106" s="7" t="s">
        <v>1344</v>
      </c>
      <c r="O106" s="22">
        <v>46298.34375</v>
      </c>
      <c r="P106" s="27" t="s">
        <v>76</v>
      </c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45" t="s">
        <v>1369</v>
      </c>
      <c r="B107" s="46">
        <v>46298.0</v>
      </c>
      <c r="C107" s="45" t="s">
        <v>145</v>
      </c>
      <c r="D107" s="45" t="s">
        <v>116</v>
      </c>
      <c r="E107" s="45" t="s">
        <v>62</v>
      </c>
      <c r="F107" s="47">
        <v>15.0</v>
      </c>
      <c r="G107" s="45" t="s">
        <v>1376</v>
      </c>
      <c r="H107" s="47">
        <v>181.0</v>
      </c>
      <c r="I107" s="47">
        <v>1200.0</v>
      </c>
      <c r="J107" s="44">
        <v>48704.0</v>
      </c>
      <c r="K107" s="44">
        <v>1.0</v>
      </c>
      <c r="L107" s="7" t="s">
        <v>139</v>
      </c>
      <c r="M107" s="7" t="s">
        <v>71</v>
      </c>
      <c r="N107" s="7" t="s">
        <v>1344</v>
      </c>
      <c r="O107" s="22">
        <v>46298.34375</v>
      </c>
      <c r="P107" s="27" t="s">
        <v>76</v>
      </c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41" t="s">
        <v>1381</v>
      </c>
      <c r="B108" s="42">
        <v>46298.0</v>
      </c>
      <c r="C108" s="41" t="s">
        <v>145</v>
      </c>
      <c r="D108" s="41" t="s">
        <v>167</v>
      </c>
      <c r="E108" s="41" t="s">
        <v>62</v>
      </c>
      <c r="F108" s="43">
        <v>6.0</v>
      </c>
      <c r="G108" s="41" t="s">
        <v>296</v>
      </c>
      <c r="H108" s="43">
        <v>38.0</v>
      </c>
      <c r="I108" s="43">
        <v>382.0</v>
      </c>
      <c r="J108" s="44">
        <v>223346.0</v>
      </c>
      <c r="K108" s="44">
        <v>8.0</v>
      </c>
      <c r="L108" s="7" t="s">
        <v>69</v>
      </c>
      <c r="M108" s="7" t="s">
        <v>71</v>
      </c>
      <c r="N108" s="7" t="s">
        <v>1393</v>
      </c>
      <c r="O108" s="22">
        <v>46298.34375</v>
      </c>
      <c r="P108" s="27" t="s">
        <v>76</v>
      </c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45" t="s">
        <v>1394</v>
      </c>
      <c r="B109" s="46">
        <v>46298.0</v>
      </c>
      <c r="C109" s="45" t="s">
        <v>145</v>
      </c>
      <c r="D109" s="45" t="s">
        <v>118</v>
      </c>
      <c r="E109" s="45" t="s">
        <v>62</v>
      </c>
      <c r="F109" s="47">
        <v>7.0</v>
      </c>
      <c r="G109" s="45" t="s">
        <v>310</v>
      </c>
      <c r="H109" s="47">
        <v>62.0</v>
      </c>
      <c r="I109" s="47">
        <v>510.0</v>
      </c>
      <c r="J109" s="44">
        <v>169724.0</v>
      </c>
      <c r="K109" s="44" t="s">
        <v>68</v>
      </c>
      <c r="L109" s="7" t="s">
        <v>139</v>
      </c>
      <c r="M109" s="7" t="s">
        <v>71</v>
      </c>
      <c r="N109" s="7" t="s">
        <v>1393</v>
      </c>
      <c r="O109" s="22">
        <v>46298.34375</v>
      </c>
      <c r="P109" s="27" t="s">
        <v>76</v>
      </c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41" t="s">
        <v>1404</v>
      </c>
      <c r="B110" s="42">
        <v>46298.0</v>
      </c>
      <c r="C110" s="41" t="s">
        <v>145</v>
      </c>
      <c r="D110" s="41" t="s">
        <v>146</v>
      </c>
      <c r="E110" s="41" t="s">
        <v>62</v>
      </c>
      <c r="F110" s="43">
        <v>7.0</v>
      </c>
      <c r="G110" s="41" t="s">
        <v>336</v>
      </c>
      <c r="H110" s="43">
        <v>105.0</v>
      </c>
      <c r="I110" s="43">
        <v>793.0</v>
      </c>
      <c r="J110" s="44">
        <v>43687.0</v>
      </c>
      <c r="K110" s="44" t="s">
        <v>68</v>
      </c>
      <c r="L110" s="7" t="s">
        <v>69</v>
      </c>
      <c r="M110" s="7" t="s">
        <v>71</v>
      </c>
      <c r="N110" s="7" t="s">
        <v>1393</v>
      </c>
      <c r="O110" s="22">
        <v>46298.34375</v>
      </c>
      <c r="P110" s="27" t="s">
        <v>76</v>
      </c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45" t="s">
        <v>1414</v>
      </c>
      <c r="B111" s="46">
        <v>46298.0</v>
      </c>
      <c r="C111" s="45" t="s">
        <v>145</v>
      </c>
      <c r="D111" s="45" t="s">
        <v>153</v>
      </c>
      <c r="E111" s="45" t="s">
        <v>62</v>
      </c>
      <c r="F111" s="47">
        <v>9.0</v>
      </c>
      <c r="G111" s="45" t="s">
        <v>1415</v>
      </c>
      <c r="H111" s="47">
        <v>69.0</v>
      </c>
      <c r="I111" s="47">
        <v>416.0</v>
      </c>
      <c r="J111" s="44">
        <v>15539.0</v>
      </c>
      <c r="K111" s="44" t="s">
        <v>68</v>
      </c>
      <c r="L111" s="7" t="s">
        <v>139</v>
      </c>
      <c r="M111" s="7" t="s">
        <v>71</v>
      </c>
      <c r="N111" s="7" t="s">
        <v>1393</v>
      </c>
      <c r="O111" s="22">
        <v>46298.34375</v>
      </c>
      <c r="P111" s="27" t="s">
        <v>76</v>
      </c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41" t="s">
        <v>1426</v>
      </c>
      <c r="B112" s="42">
        <v>46298.0</v>
      </c>
      <c r="C112" s="41" t="s">
        <v>145</v>
      </c>
      <c r="D112" s="41" t="s">
        <v>121</v>
      </c>
      <c r="E112" s="41" t="s">
        <v>62</v>
      </c>
      <c r="F112" s="43">
        <v>1.0</v>
      </c>
      <c r="G112" s="41" t="s">
        <v>350</v>
      </c>
      <c r="H112" s="43">
        <v>2.0</v>
      </c>
      <c r="I112" s="43">
        <v>3.0</v>
      </c>
      <c r="J112" s="44">
        <v>6.0</v>
      </c>
      <c r="K112" s="44" t="s">
        <v>68</v>
      </c>
      <c r="L112" s="7" t="s">
        <v>139</v>
      </c>
      <c r="M112" s="7" t="s">
        <v>71</v>
      </c>
      <c r="N112" s="7" t="s">
        <v>1393</v>
      </c>
      <c r="O112" s="22">
        <v>46298.34375</v>
      </c>
      <c r="P112" s="27" t="s">
        <v>76</v>
      </c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45" t="s">
        <v>1435</v>
      </c>
      <c r="B113" s="46">
        <v>46298.0</v>
      </c>
      <c r="C113" s="45" t="s">
        <v>348</v>
      </c>
      <c r="D113" s="45" t="s">
        <v>108</v>
      </c>
      <c r="E113" s="45" t="s">
        <v>62</v>
      </c>
      <c r="F113" s="47">
        <v>4.0</v>
      </c>
      <c r="G113" s="45" t="s">
        <v>361</v>
      </c>
      <c r="H113" s="47">
        <v>41.0</v>
      </c>
      <c r="I113" s="47">
        <v>416.0</v>
      </c>
      <c r="J113" s="44">
        <v>49018.0</v>
      </c>
      <c r="K113" s="44" t="s">
        <v>68</v>
      </c>
      <c r="L113" s="7" t="s">
        <v>139</v>
      </c>
      <c r="M113" s="7" t="s">
        <v>71</v>
      </c>
      <c r="N113" s="7" t="s">
        <v>1393</v>
      </c>
      <c r="O113" s="22">
        <v>46298.34375</v>
      </c>
      <c r="P113" s="27" t="s">
        <v>76</v>
      </c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41" t="s">
        <v>1444</v>
      </c>
      <c r="B114" s="42">
        <v>46298.0</v>
      </c>
      <c r="C114" s="41" t="s">
        <v>348</v>
      </c>
      <c r="D114" s="41" t="s">
        <v>163</v>
      </c>
      <c r="E114" s="41" t="s">
        <v>62</v>
      </c>
      <c r="F114" s="43">
        <v>7.0</v>
      </c>
      <c r="G114" s="41" t="s">
        <v>373</v>
      </c>
      <c r="H114" s="43">
        <v>65.0</v>
      </c>
      <c r="I114" s="43">
        <v>687.0</v>
      </c>
      <c r="J114" s="44">
        <v>46160.0</v>
      </c>
      <c r="K114" s="44" t="s">
        <v>68</v>
      </c>
      <c r="L114" s="7" t="s">
        <v>139</v>
      </c>
      <c r="M114" s="7" t="s">
        <v>71</v>
      </c>
      <c r="N114" s="7" t="s">
        <v>1393</v>
      </c>
      <c r="O114" s="22">
        <v>46298.34375</v>
      </c>
      <c r="P114" s="27" t="s">
        <v>76</v>
      </c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45" t="s">
        <v>1453</v>
      </c>
      <c r="B115" s="46">
        <v>46298.0</v>
      </c>
      <c r="C115" s="45" t="s">
        <v>348</v>
      </c>
      <c r="D115" s="45" t="s">
        <v>166</v>
      </c>
      <c r="E115" s="45" t="s">
        <v>62</v>
      </c>
      <c r="F115" s="47">
        <v>11.0</v>
      </c>
      <c r="G115" s="45" t="s">
        <v>385</v>
      </c>
      <c r="H115" s="47">
        <v>88.0</v>
      </c>
      <c r="I115" s="47">
        <v>707.0</v>
      </c>
      <c r="J115" s="44">
        <v>54647.0</v>
      </c>
      <c r="K115" s="44" t="s">
        <v>68</v>
      </c>
      <c r="L115" s="7" t="s">
        <v>139</v>
      </c>
      <c r="M115" s="7" t="s">
        <v>71</v>
      </c>
      <c r="N115" s="7" t="s">
        <v>1462</v>
      </c>
      <c r="O115" s="22">
        <v>46298.34375</v>
      </c>
      <c r="P115" s="27" t="s">
        <v>76</v>
      </c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41" t="s">
        <v>1463</v>
      </c>
      <c r="B116" s="42">
        <v>46298.0</v>
      </c>
      <c r="C116" s="41" t="s">
        <v>348</v>
      </c>
      <c r="D116" s="41" t="s">
        <v>157</v>
      </c>
      <c r="E116" s="41" t="s">
        <v>62</v>
      </c>
      <c r="F116" s="43">
        <v>2.0</v>
      </c>
      <c r="G116" s="41" t="s">
        <v>396</v>
      </c>
      <c r="H116" s="43">
        <v>4.0</v>
      </c>
      <c r="I116" s="43">
        <v>40.0</v>
      </c>
      <c r="J116" s="44">
        <v>5148.0</v>
      </c>
      <c r="K116" s="44">
        <v>6.0</v>
      </c>
      <c r="L116" s="7" t="s">
        <v>69</v>
      </c>
      <c r="M116" s="7" t="s">
        <v>71</v>
      </c>
      <c r="N116" s="7" t="s">
        <v>1462</v>
      </c>
      <c r="O116" s="22">
        <v>46298.34375</v>
      </c>
      <c r="P116" s="27" t="s">
        <v>76</v>
      </c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45" t="s">
        <v>1478</v>
      </c>
      <c r="B117" s="46">
        <v>46298.0</v>
      </c>
      <c r="C117" s="45" t="s">
        <v>348</v>
      </c>
      <c r="D117" s="45" t="s">
        <v>174</v>
      </c>
      <c r="E117" s="45" t="s">
        <v>62</v>
      </c>
      <c r="F117" s="47">
        <v>10.0</v>
      </c>
      <c r="G117" s="45" t="s">
        <v>408</v>
      </c>
      <c r="H117" s="47">
        <v>78.0</v>
      </c>
      <c r="I117" s="47">
        <v>354.0</v>
      </c>
      <c r="J117" s="44">
        <v>118723.0</v>
      </c>
      <c r="K117" s="44" t="s">
        <v>68</v>
      </c>
      <c r="L117" s="7" t="s">
        <v>69</v>
      </c>
      <c r="M117" s="7" t="s">
        <v>71</v>
      </c>
      <c r="N117" s="7" t="s">
        <v>1462</v>
      </c>
      <c r="O117" s="22">
        <v>46298.34375</v>
      </c>
      <c r="P117" s="27" t="s">
        <v>76</v>
      </c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41" t="s">
        <v>1487</v>
      </c>
      <c r="B118" s="42">
        <v>46298.0</v>
      </c>
      <c r="C118" s="41" t="s">
        <v>348</v>
      </c>
      <c r="D118" s="41" t="s">
        <v>178</v>
      </c>
      <c r="E118" s="41" t="s">
        <v>62</v>
      </c>
      <c r="F118" s="43">
        <v>2.0</v>
      </c>
      <c r="G118" s="41" t="s">
        <v>419</v>
      </c>
      <c r="H118" s="43">
        <v>7.0</v>
      </c>
      <c r="I118" s="43">
        <v>58.0</v>
      </c>
      <c r="J118" s="44">
        <v>1310.0</v>
      </c>
      <c r="K118" s="44" t="s">
        <v>68</v>
      </c>
      <c r="L118" s="7" t="s">
        <v>424</v>
      </c>
      <c r="M118" s="7" t="s">
        <v>71</v>
      </c>
      <c r="N118" s="7" t="s">
        <v>1462</v>
      </c>
      <c r="O118" s="22">
        <v>46298.34375</v>
      </c>
      <c r="P118" s="27" t="s">
        <v>76</v>
      </c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45" t="s">
        <v>1498</v>
      </c>
      <c r="B119" s="46">
        <v>46298.0</v>
      </c>
      <c r="C119" s="45" t="s">
        <v>348</v>
      </c>
      <c r="D119" s="45" t="s">
        <v>175</v>
      </c>
      <c r="E119" s="45" t="s">
        <v>62</v>
      </c>
      <c r="F119" s="47">
        <v>2.0</v>
      </c>
      <c r="G119" s="45" t="s">
        <v>430</v>
      </c>
      <c r="H119" s="47">
        <v>10.0</v>
      </c>
      <c r="I119" s="47">
        <v>50.0</v>
      </c>
      <c r="J119" s="44">
        <v>7000.0</v>
      </c>
      <c r="K119" s="44">
        <v>2.0</v>
      </c>
      <c r="L119" s="7" t="s">
        <v>69</v>
      </c>
      <c r="M119" s="7" t="s">
        <v>71</v>
      </c>
      <c r="N119" s="7" t="s">
        <v>1462</v>
      </c>
      <c r="O119" s="22">
        <v>46298.34375</v>
      </c>
      <c r="P119" s="27" t="s">
        <v>76</v>
      </c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41" t="s">
        <v>1507</v>
      </c>
      <c r="B120" s="42">
        <v>46298.0</v>
      </c>
      <c r="C120" s="41" t="s">
        <v>397</v>
      </c>
      <c r="D120" s="41" t="s">
        <v>229</v>
      </c>
      <c r="E120" s="41" t="s">
        <v>62</v>
      </c>
      <c r="F120" s="43">
        <v>2.0</v>
      </c>
      <c r="G120" s="41" t="s">
        <v>1510</v>
      </c>
      <c r="H120" s="43">
        <v>21.0</v>
      </c>
      <c r="I120" s="43">
        <v>188.0</v>
      </c>
      <c r="J120" s="44">
        <v>428.0</v>
      </c>
      <c r="K120" s="44" t="s">
        <v>68</v>
      </c>
      <c r="L120" s="7" t="s">
        <v>69</v>
      </c>
      <c r="M120" s="7" t="s">
        <v>71</v>
      </c>
      <c r="N120" s="7" t="s">
        <v>1462</v>
      </c>
      <c r="O120" s="22">
        <v>46298.34375</v>
      </c>
      <c r="P120" s="27" t="s">
        <v>76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45" t="s">
        <v>1512</v>
      </c>
      <c r="B121" s="46">
        <v>46298.0</v>
      </c>
      <c r="C121" s="45" t="s">
        <v>397</v>
      </c>
      <c r="D121" s="45" t="s">
        <v>220</v>
      </c>
      <c r="E121" s="45" t="s">
        <v>62</v>
      </c>
      <c r="F121" s="47">
        <v>2.0</v>
      </c>
      <c r="G121" s="45" t="s">
        <v>462</v>
      </c>
      <c r="H121" s="47">
        <v>5.0</v>
      </c>
      <c r="I121" s="47">
        <v>11.0</v>
      </c>
      <c r="J121" s="44">
        <v>44.0</v>
      </c>
      <c r="K121" s="44" t="s">
        <v>68</v>
      </c>
      <c r="L121" s="7" t="s">
        <v>69</v>
      </c>
      <c r="M121" s="7" t="s">
        <v>71</v>
      </c>
      <c r="N121" s="7" t="s">
        <v>1462</v>
      </c>
      <c r="O121" s="22">
        <v>46298.34375</v>
      </c>
      <c r="P121" s="27" t="s">
        <v>76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41" t="s">
        <v>1520</v>
      </c>
      <c r="B122" s="42">
        <v>46298.0</v>
      </c>
      <c r="C122" s="41" t="s">
        <v>397</v>
      </c>
      <c r="D122" s="41" t="s">
        <v>230</v>
      </c>
      <c r="E122" s="41" t="s">
        <v>62</v>
      </c>
      <c r="F122" s="43">
        <v>1.0</v>
      </c>
      <c r="G122" s="41" t="s">
        <v>1529</v>
      </c>
      <c r="H122" s="43">
        <v>8.0</v>
      </c>
      <c r="I122" s="43">
        <v>121.0</v>
      </c>
      <c r="J122" s="44" t="s">
        <v>68</v>
      </c>
      <c r="K122" s="44" t="s">
        <v>68</v>
      </c>
      <c r="L122" s="7" t="s">
        <v>69</v>
      </c>
      <c r="M122" s="7" t="s">
        <v>71</v>
      </c>
      <c r="N122" s="7" t="s">
        <v>1462</v>
      </c>
      <c r="O122" s="22">
        <v>46298.34375</v>
      </c>
      <c r="P122" s="27" t="s">
        <v>76</v>
      </c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45" t="s">
        <v>1532</v>
      </c>
      <c r="B123" s="46">
        <v>46298.0</v>
      </c>
      <c r="C123" s="45" t="s">
        <v>312</v>
      </c>
      <c r="D123" s="45" t="s">
        <v>312</v>
      </c>
      <c r="E123" s="45" t="s">
        <v>62</v>
      </c>
      <c r="F123" s="47" t="s">
        <v>68</v>
      </c>
      <c r="G123" s="45" t="s">
        <v>68</v>
      </c>
      <c r="H123" s="47" t="s">
        <v>68</v>
      </c>
      <c r="I123" s="47" t="s">
        <v>68</v>
      </c>
      <c r="J123" s="44">
        <v>329000.0</v>
      </c>
      <c r="K123" s="44">
        <v>4.0</v>
      </c>
      <c r="L123" s="7" t="s">
        <v>69</v>
      </c>
      <c r="M123" s="7" t="s">
        <v>71</v>
      </c>
      <c r="N123" s="7" t="s">
        <v>1462</v>
      </c>
      <c r="O123" s="22">
        <v>46298.34375</v>
      </c>
      <c r="P123" s="27" t="s">
        <v>76</v>
      </c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68"/>
      <c r="B124" s="68"/>
      <c r="C124" s="68"/>
      <c r="D124" s="68"/>
      <c r="E124" s="68"/>
      <c r="F124" s="69"/>
      <c r="G124" s="68"/>
      <c r="H124" s="69"/>
      <c r="I124" s="69"/>
      <c r="J124" s="70"/>
      <c r="K124" s="70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71"/>
      <c r="B125" s="71"/>
      <c r="C125" s="71"/>
      <c r="D125" s="71"/>
      <c r="E125" s="71"/>
      <c r="F125" s="72"/>
      <c r="G125" s="71"/>
      <c r="H125" s="72"/>
      <c r="I125" s="72"/>
      <c r="J125" s="70"/>
      <c r="K125" s="70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68"/>
      <c r="B126" s="68"/>
      <c r="C126" s="68"/>
      <c r="D126" s="68"/>
      <c r="E126" s="68"/>
      <c r="F126" s="69"/>
      <c r="G126" s="68"/>
      <c r="H126" s="69"/>
      <c r="I126" s="69"/>
      <c r="J126" s="70"/>
      <c r="K126" s="70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71"/>
      <c r="B127" s="71"/>
      <c r="C127" s="71"/>
      <c r="D127" s="71"/>
      <c r="E127" s="71"/>
      <c r="F127" s="72"/>
      <c r="G127" s="71"/>
      <c r="H127" s="72"/>
      <c r="I127" s="72"/>
      <c r="J127" s="70"/>
      <c r="K127" s="70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68"/>
      <c r="B128" s="68"/>
      <c r="C128" s="68"/>
      <c r="D128" s="68"/>
      <c r="E128" s="68"/>
      <c r="F128" s="69"/>
      <c r="G128" s="68"/>
      <c r="H128" s="69"/>
      <c r="I128" s="69"/>
      <c r="J128" s="70"/>
      <c r="K128" s="70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71"/>
      <c r="B129" s="71"/>
      <c r="C129" s="71"/>
      <c r="D129" s="71"/>
      <c r="E129" s="71"/>
      <c r="F129" s="72"/>
      <c r="G129" s="71"/>
      <c r="H129" s="72"/>
      <c r="I129" s="72"/>
      <c r="J129" s="70"/>
      <c r="K129" s="70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68"/>
      <c r="B130" s="68"/>
      <c r="C130" s="68"/>
      <c r="D130" s="68"/>
      <c r="E130" s="68"/>
      <c r="F130" s="69"/>
      <c r="G130" s="68"/>
      <c r="H130" s="69"/>
      <c r="I130" s="69"/>
      <c r="J130" s="70"/>
      <c r="K130" s="70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71"/>
      <c r="B131" s="71"/>
      <c r="C131" s="71"/>
      <c r="D131" s="71"/>
      <c r="E131" s="71"/>
      <c r="F131" s="72"/>
      <c r="G131" s="71"/>
      <c r="H131" s="72"/>
      <c r="I131" s="72"/>
      <c r="J131" s="70"/>
      <c r="K131" s="70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68"/>
      <c r="B132" s="68"/>
      <c r="C132" s="68"/>
      <c r="D132" s="68"/>
      <c r="E132" s="68"/>
      <c r="F132" s="69"/>
      <c r="G132" s="68"/>
      <c r="H132" s="69"/>
      <c r="I132" s="69"/>
      <c r="J132" s="70"/>
      <c r="K132" s="70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71"/>
      <c r="B133" s="71"/>
      <c r="C133" s="71"/>
      <c r="D133" s="71"/>
      <c r="E133" s="71"/>
      <c r="F133" s="72"/>
      <c r="G133" s="71"/>
      <c r="H133" s="72"/>
      <c r="I133" s="72"/>
      <c r="J133" s="70"/>
      <c r="K133" s="70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68"/>
      <c r="B134" s="68"/>
      <c r="C134" s="68"/>
      <c r="D134" s="68"/>
      <c r="E134" s="68"/>
      <c r="F134" s="69"/>
      <c r="G134" s="68"/>
      <c r="H134" s="69"/>
      <c r="I134" s="69"/>
      <c r="J134" s="70"/>
      <c r="K134" s="70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71"/>
      <c r="B135" s="71"/>
      <c r="C135" s="71"/>
      <c r="D135" s="71"/>
      <c r="E135" s="71"/>
      <c r="F135" s="72"/>
      <c r="G135" s="71"/>
      <c r="H135" s="72"/>
      <c r="I135" s="72"/>
      <c r="J135" s="70"/>
      <c r="K135" s="70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68"/>
      <c r="B136" s="68"/>
      <c r="C136" s="68"/>
      <c r="D136" s="68"/>
      <c r="E136" s="68"/>
      <c r="F136" s="69"/>
      <c r="G136" s="68"/>
      <c r="H136" s="69"/>
      <c r="I136" s="69"/>
      <c r="J136" s="70"/>
      <c r="K136" s="70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71"/>
      <c r="B137" s="71"/>
      <c r="C137" s="71"/>
      <c r="D137" s="71"/>
      <c r="E137" s="71"/>
      <c r="F137" s="72"/>
      <c r="G137" s="71"/>
      <c r="H137" s="72"/>
      <c r="I137" s="72"/>
      <c r="J137" s="70"/>
      <c r="K137" s="70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68"/>
      <c r="B138" s="68"/>
      <c r="C138" s="68"/>
      <c r="D138" s="68"/>
      <c r="E138" s="68"/>
      <c r="F138" s="69"/>
      <c r="G138" s="68"/>
      <c r="H138" s="69"/>
      <c r="I138" s="69"/>
      <c r="J138" s="70"/>
      <c r="K138" s="70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71"/>
      <c r="B139" s="71"/>
      <c r="C139" s="71"/>
      <c r="D139" s="71"/>
      <c r="E139" s="71"/>
      <c r="F139" s="72"/>
      <c r="G139" s="71"/>
      <c r="H139" s="72"/>
      <c r="I139" s="72"/>
      <c r="J139" s="70"/>
      <c r="K139" s="70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68"/>
      <c r="B140" s="68"/>
      <c r="C140" s="68"/>
      <c r="D140" s="68"/>
      <c r="E140" s="68"/>
      <c r="F140" s="69"/>
      <c r="G140" s="68"/>
      <c r="H140" s="69"/>
      <c r="I140" s="69"/>
      <c r="J140" s="70"/>
      <c r="K140" s="70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71"/>
      <c r="B141" s="71"/>
      <c r="C141" s="71"/>
      <c r="D141" s="71"/>
      <c r="E141" s="71"/>
      <c r="F141" s="72"/>
      <c r="G141" s="71"/>
      <c r="H141" s="72"/>
      <c r="I141" s="72"/>
      <c r="J141" s="70"/>
      <c r="K141" s="70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68"/>
      <c r="B142" s="68"/>
      <c r="C142" s="68"/>
      <c r="D142" s="68"/>
      <c r="E142" s="68"/>
      <c r="F142" s="69"/>
      <c r="G142" s="68"/>
      <c r="H142" s="69"/>
      <c r="I142" s="69"/>
      <c r="J142" s="70"/>
      <c r="K142" s="70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71"/>
      <c r="B143" s="71"/>
      <c r="C143" s="71"/>
      <c r="D143" s="71"/>
      <c r="E143" s="71"/>
      <c r="F143" s="72"/>
      <c r="G143" s="71"/>
      <c r="H143" s="72"/>
      <c r="I143" s="72"/>
      <c r="J143" s="70"/>
      <c r="K143" s="70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68"/>
      <c r="B144" s="68"/>
      <c r="C144" s="68"/>
      <c r="D144" s="68"/>
      <c r="E144" s="68"/>
      <c r="F144" s="69"/>
      <c r="G144" s="68"/>
      <c r="H144" s="69"/>
      <c r="I144" s="69"/>
      <c r="J144" s="70"/>
      <c r="K144" s="70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71"/>
      <c r="B145" s="71"/>
      <c r="C145" s="71"/>
      <c r="D145" s="71"/>
      <c r="E145" s="71"/>
      <c r="F145" s="72"/>
      <c r="G145" s="71"/>
      <c r="H145" s="72"/>
      <c r="I145" s="72"/>
      <c r="J145" s="70"/>
      <c r="K145" s="70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68"/>
      <c r="B146" s="68"/>
      <c r="C146" s="68"/>
      <c r="D146" s="68"/>
      <c r="E146" s="68"/>
      <c r="F146" s="69"/>
      <c r="G146" s="68"/>
      <c r="H146" s="69"/>
      <c r="I146" s="69"/>
      <c r="J146" s="70"/>
      <c r="K146" s="70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71"/>
      <c r="B147" s="71"/>
      <c r="C147" s="71"/>
      <c r="D147" s="71"/>
      <c r="E147" s="71"/>
      <c r="F147" s="72"/>
      <c r="G147" s="71"/>
      <c r="H147" s="72"/>
      <c r="I147" s="72"/>
      <c r="J147" s="70"/>
      <c r="K147" s="70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68"/>
      <c r="B148" s="68"/>
      <c r="C148" s="68"/>
      <c r="D148" s="68"/>
      <c r="E148" s="68"/>
      <c r="F148" s="69"/>
      <c r="G148" s="68"/>
      <c r="H148" s="69"/>
      <c r="I148" s="69"/>
      <c r="J148" s="70"/>
      <c r="K148" s="70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71"/>
      <c r="B149" s="71"/>
      <c r="C149" s="71"/>
      <c r="D149" s="71"/>
      <c r="E149" s="71"/>
      <c r="F149" s="72"/>
      <c r="G149" s="71"/>
      <c r="H149" s="72"/>
      <c r="I149" s="72"/>
      <c r="J149" s="70"/>
      <c r="K149" s="70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68"/>
      <c r="B150" s="68"/>
      <c r="C150" s="68"/>
      <c r="D150" s="68"/>
      <c r="E150" s="68"/>
      <c r="F150" s="69"/>
      <c r="G150" s="68"/>
      <c r="H150" s="69"/>
      <c r="I150" s="69"/>
      <c r="J150" s="70"/>
      <c r="K150" s="70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71"/>
      <c r="B151" s="71"/>
      <c r="C151" s="71"/>
      <c r="D151" s="71"/>
      <c r="E151" s="71"/>
      <c r="F151" s="72"/>
      <c r="G151" s="71"/>
      <c r="H151" s="72"/>
      <c r="I151" s="72"/>
      <c r="J151" s="70"/>
      <c r="K151" s="70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68"/>
      <c r="B152" s="68"/>
      <c r="C152" s="68"/>
      <c r="D152" s="68"/>
      <c r="E152" s="68"/>
      <c r="F152" s="69"/>
      <c r="G152" s="68"/>
      <c r="H152" s="69"/>
      <c r="I152" s="69"/>
      <c r="J152" s="70"/>
      <c r="K152" s="70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71"/>
      <c r="B153" s="71"/>
      <c r="C153" s="71"/>
      <c r="D153" s="71"/>
      <c r="E153" s="71"/>
      <c r="F153" s="72"/>
      <c r="G153" s="71"/>
      <c r="H153" s="72"/>
      <c r="I153" s="72"/>
      <c r="J153" s="70"/>
      <c r="K153" s="70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68"/>
      <c r="B154" s="68"/>
      <c r="C154" s="68"/>
      <c r="D154" s="68"/>
      <c r="E154" s="68"/>
      <c r="F154" s="69"/>
      <c r="G154" s="68"/>
      <c r="H154" s="69"/>
      <c r="I154" s="69"/>
      <c r="J154" s="70"/>
      <c r="K154" s="70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71"/>
      <c r="B155" s="71"/>
      <c r="C155" s="71"/>
      <c r="D155" s="71"/>
      <c r="E155" s="71"/>
      <c r="F155" s="72"/>
      <c r="G155" s="71"/>
      <c r="H155" s="72"/>
      <c r="I155" s="72"/>
      <c r="J155" s="70"/>
      <c r="K155" s="70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68"/>
      <c r="B156" s="68"/>
      <c r="C156" s="68"/>
      <c r="D156" s="68"/>
      <c r="E156" s="68"/>
      <c r="F156" s="69"/>
      <c r="G156" s="68"/>
      <c r="H156" s="69"/>
      <c r="I156" s="69"/>
      <c r="J156" s="70"/>
      <c r="K156" s="70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71"/>
      <c r="B157" s="71"/>
      <c r="C157" s="71"/>
      <c r="D157" s="71"/>
      <c r="E157" s="71"/>
      <c r="F157" s="72"/>
      <c r="G157" s="71"/>
      <c r="H157" s="72"/>
      <c r="I157" s="72"/>
      <c r="J157" s="70"/>
      <c r="K157" s="70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68"/>
      <c r="B158" s="68"/>
      <c r="C158" s="68"/>
      <c r="D158" s="68"/>
      <c r="E158" s="68"/>
      <c r="F158" s="69"/>
      <c r="G158" s="68"/>
      <c r="H158" s="69"/>
      <c r="I158" s="69"/>
      <c r="J158" s="70"/>
      <c r="K158" s="70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71"/>
      <c r="B159" s="71"/>
      <c r="C159" s="71"/>
      <c r="D159" s="71"/>
      <c r="E159" s="71"/>
      <c r="F159" s="72"/>
      <c r="G159" s="71"/>
      <c r="H159" s="72"/>
      <c r="I159" s="72"/>
      <c r="J159" s="70"/>
      <c r="K159" s="70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68"/>
      <c r="B160" s="68"/>
      <c r="C160" s="68"/>
      <c r="D160" s="68"/>
      <c r="E160" s="68"/>
      <c r="F160" s="69"/>
      <c r="G160" s="68"/>
      <c r="H160" s="69"/>
      <c r="I160" s="69"/>
      <c r="J160" s="70"/>
      <c r="K160" s="70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71"/>
      <c r="B161" s="71"/>
      <c r="C161" s="71"/>
      <c r="D161" s="71"/>
      <c r="E161" s="71"/>
      <c r="F161" s="72"/>
      <c r="G161" s="71"/>
      <c r="H161" s="72"/>
      <c r="I161" s="72"/>
      <c r="J161" s="70"/>
      <c r="K161" s="70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68"/>
      <c r="B162" s="68"/>
      <c r="C162" s="68"/>
      <c r="D162" s="68"/>
      <c r="E162" s="68"/>
      <c r="F162" s="69"/>
      <c r="G162" s="68"/>
      <c r="H162" s="69"/>
      <c r="I162" s="69"/>
      <c r="J162" s="70"/>
      <c r="K162" s="70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71"/>
      <c r="B163" s="71"/>
      <c r="C163" s="71"/>
      <c r="D163" s="71"/>
      <c r="E163" s="71"/>
      <c r="F163" s="72"/>
      <c r="G163" s="71"/>
      <c r="H163" s="72"/>
      <c r="I163" s="72"/>
      <c r="J163" s="70"/>
      <c r="K163" s="70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68"/>
      <c r="B164" s="68"/>
      <c r="C164" s="68"/>
      <c r="D164" s="68"/>
      <c r="E164" s="68"/>
      <c r="F164" s="69"/>
      <c r="G164" s="68"/>
      <c r="H164" s="69"/>
      <c r="I164" s="69"/>
      <c r="J164" s="70"/>
      <c r="K164" s="70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71"/>
      <c r="B165" s="71"/>
      <c r="C165" s="71"/>
      <c r="D165" s="71"/>
      <c r="E165" s="71"/>
      <c r="F165" s="72"/>
      <c r="G165" s="71"/>
      <c r="H165" s="72"/>
      <c r="I165" s="72"/>
      <c r="J165" s="70"/>
      <c r="K165" s="70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68"/>
      <c r="B166" s="68"/>
      <c r="C166" s="68"/>
      <c r="D166" s="68"/>
      <c r="E166" s="68"/>
      <c r="F166" s="69"/>
      <c r="G166" s="68"/>
      <c r="H166" s="69"/>
      <c r="I166" s="69"/>
      <c r="J166" s="70"/>
      <c r="K166" s="70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71"/>
      <c r="B167" s="71"/>
      <c r="C167" s="71"/>
      <c r="D167" s="71"/>
      <c r="E167" s="71"/>
      <c r="F167" s="72"/>
      <c r="G167" s="71"/>
      <c r="H167" s="72"/>
      <c r="I167" s="72"/>
      <c r="J167" s="70"/>
      <c r="K167" s="70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68"/>
      <c r="B168" s="68"/>
      <c r="C168" s="68"/>
      <c r="D168" s="68"/>
      <c r="E168" s="68"/>
      <c r="F168" s="69"/>
      <c r="G168" s="68"/>
      <c r="H168" s="69"/>
      <c r="I168" s="69"/>
      <c r="J168" s="70"/>
      <c r="K168" s="70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71"/>
      <c r="B169" s="71"/>
      <c r="C169" s="71"/>
      <c r="D169" s="71"/>
      <c r="E169" s="71"/>
      <c r="F169" s="72"/>
      <c r="G169" s="71"/>
      <c r="H169" s="72"/>
      <c r="I169" s="72"/>
      <c r="J169" s="70"/>
      <c r="K169" s="70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68"/>
      <c r="B170" s="68"/>
      <c r="C170" s="68"/>
      <c r="D170" s="68"/>
      <c r="E170" s="68"/>
      <c r="F170" s="69"/>
      <c r="G170" s="68"/>
      <c r="H170" s="69"/>
      <c r="I170" s="69"/>
      <c r="J170" s="70"/>
      <c r="K170" s="70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71"/>
      <c r="B171" s="71"/>
      <c r="C171" s="71"/>
      <c r="D171" s="71"/>
      <c r="E171" s="71"/>
      <c r="F171" s="72"/>
      <c r="G171" s="71"/>
      <c r="H171" s="72"/>
      <c r="I171" s="72"/>
      <c r="J171" s="70"/>
      <c r="K171" s="70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68"/>
      <c r="B172" s="68"/>
      <c r="C172" s="68"/>
      <c r="D172" s="68"/>
      <c r="E172" s="68"/>
      <c r="F172" s="69"/>
      <c r="G172" s="68"/>
      <c r="H172" s="69"/>
      <c r="I172" s="69"/>
      <c r="J172" s="70"/>
      <c r="K172" s="70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71"/>
      <c r="B173" s="71"/>
      <c r="C173" s="71"/>
      <c r="D173" s="71"/>
      <c r="E173" s="71"/>
      <c r="F173" s="72"/>
      <c r="G173" s="71"/>
      <c r="H173" s="72"/>
      <c r="I173" s="72"/>
      <c r="J173" s="70"/>
      <c r="K173" s="70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68"/>
      <c r="B174" s="68"/>
      <c r="C174" s="68"/>
      <c r="D174" s="68"/>
      <c r="E174" s="68"/>
      <c r="F174" s="69"/>
      <c r="G174" s="68"/>
      <c r="H174" s="69"/>
      <c r="I174" s="69"/>
      <c r="J174" s="70"/>
      <c r="K174" s="70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71"/>
      <c r="B175" s="71"/>
      <c r="C175" s="71"/>
      <c r="D175" s="71"/>
      <c r="E175" s="71"/>
      <c r="F175" s="72"/>
      <c r="G175" s="71"/>
      <c r="H175" s="72"/>
      <c r="I175" s="72"/>
      <c r="J175" s="70"/>
      <c r="K175" s="70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68"/>
      <c r="B176" s="68"/>
      <c r="C176" s="68"/>
      <c r="D176" s="68"/>
      <c r="E176" s="68"/>
      <c r="F176" s="69"/>
      <c r="G176" s="68"/>
      <c r="H176" s="69"/>
      <c r="I176" s="69"/>
      <c r="J176" s="70"/>
      <c r="K176" s="70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71"/>
      <c r="B177" s="71"/>
      <c r="C177" s="71"/>
      <c r="D177" s="71"/>
      <c r="E177" s="71"/>
      <c r="F177" s="72"/>
      <c r="G177" s="71"/>
      <c r="H177" s="72"/>
      <c r="I177" s="72"/>
      <c r="J177" s="70"/>
      <c r="K177" s="70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68"/>
      <c r="B178" s="68"/>
      <c r="C178" s="68"/>
      <c r="D178" s="68"/>
      <c r="E178" s="68"/>
      <c r="F178" s="69"/>
      <c r="G178" s="68"/>
      <c r="H178" s="69"/>
      <c r="I178" s="69"/>
      <c r="J178" s="70"/>
      <c r="K178" s="70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71"/>
      <c r="B179" s="71"/>
      <c r="C179" s="71"/>
      <c r="D179" s="71"/>
      <c r="E179" s="71"/>
      <c r="F179" s="72"/>
      <c r="G179" s="71"/>
      <c r="H179" s="72"/>
      <c r="I179" s="72"/>
      <c r="J179" s="70"/>
      <c r="K179" s="70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68"/>
      <c r="B180" s="68"/>
      <c r="C180" s="68"/>
      <c r="D180" s="68"/>
      <c r="E180" s="68"/>
      <c r="F180" s="69"/>
      <c r="G180" s="68"/>
      <c r="H180" s="69"/>
      <c r="I180" s="69"/>
      <c r="J180" s="70"/>
      <c r="K180" s="70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71"/>
      <c r="B181" s="71"/>
      <c r="C181" s="71"/>
      <c r="D181" s="71"/>
      <c r="E181" s="71"/>
      <c r="F181" s="72"/>
      <c r="G181" s="71"/>
      <c r="H181" s="72"/>
      <c r="I181" s="72"/>
      <c r="J181" s="70"/>
      <c r="K181" s="70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68"/>
      <c r="B182" s="68"/>
      <c r="C182" s="68"/>
      <c r="D182" s="68"/>
      <c r="E182" s="68"/>
      <c r="F182" s="69"/>
      <c r="G182" s="68"/>
      <c r="H182" s="69"/>
      <c r="I182" s="69"/>
      <c r="J182" s="70"/>
      <c r="K182" s="70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71"/>
      <c r="B183" s="71"/>
      <c r="C183" s="71"/>
      <c r="D183" s="71"/>
      <c r="E183" s="71"/>
      <c r="F183" s="72"/>
      <c r="G183" s="71"/>
      <c r="H183" s="72"/>
      <c r="I183" s="72"/>
      <c r="J183" s="70"/>
      <c r="K183" s="70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68"/>
      <c r="B184" s="68"/>
      <c r="C184" s="68"/>
      <c r="D184" s="68"/>
      <c r="E184" s="68"/>
      <c r="F184" s="69"/>
      <c r="G184" s="68"/>
      <c r="H184" s="69"/>
      <c r="I184" s="69"/>
      <c r="J184" s="70"/>
      <c r="K184" s="70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71"/>
      <c r="B185" s="71"/>
      <c r="C185" s="71"/>
      <c r="D185" s="71"/>
      <c r="E185" s="71"/>
      <c r="F185" s="72"/>
      <c r="G185" s="71"/>
      <c r="H185" s="72"/>
      <c r="I185" s="72"/>
      <c r="J185" s="70"/>
      <c r="K185" s="70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68"/>
      <c r="B186" s="68"/>
      <c r="C186" s="68"/>
      <c r="D186" s="68"/>
      <c r="E186" s="68"/>
      <c r="F186" s="69"/>
      <c r="G186" s="68"/>
      <c r="H186" s="69"/>
      <c r="I186" s="69"/>
      <c r="J186" s="70"/>
      <c r="K186" s="70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71"/>
      <c r="B187" s="71"/>
      <c r="C187" s="71"/>
      <c r="D187" s="71"/>
      <c r="E187" s="71"/>
      <c r="F187" s="72"/>
      <c r="G187" s="71"/>
      <c r="H187" s="72"/>
      <c r="I187" s="72"/>
      <c r="J187" s="70"/>
      <c r="K187" s="70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68"/>
      <c r="B188" s="68"/>
      <c r="C188" s="68"/>
      <c r="D188" s="68"/>
      <c r="E188" s="68"/>
      <c r="F188" s="69"/>
      <c r="G188" s="68"/>
      <c r="H188" s="69"/>
      <c r="I188" s="69"/>
      <c r="J188" s="70"/>
      <c r="K188" s="70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71"/>
      <c r="B189" s="71"/>
      <c r="C189" s="71"/>
      <c r="D189" s="71"/>
      <c r="E189" s="71"/>
      <c r="F189" s="72"/>
      <c r="G189" s="71"/>
      <c r="H189" s="72"/>
      <c r="I189" s="72"/>
      <c r="J189" s="70"/>
      <c r="K189" s="70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68"/>
      <c r="B190" s="68"/>
      <c r="C190" s="68"/>
      <c r="D190" s="68"/>
      <c r="E190" s="68"/>
      <c r="F190" s="69"/>
      <c r="G190" s="68"/>
      <c r="H190" s="69"/>
      <c r="I190" s="69"/>
      <c r="J190" s="70"/>
      <c r="K190" s="70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71"/>
      <c r="B191" s="71"/>
      <c r="C191" s="71"/>
      <c r="D191" s="71"/>
      <c r="E191" s="71"/>
      <c r="F191" s="72"/>
      <c r="G191" s="71"/>
      <c r="H191" s="72"/>
      <c r="I191" s="72"/>
      <c r="J191" s="70"/>
      <c r="K191" s="70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68"/>
      <c r="B192" s="68"/>
      <c r="C192" s="68"/>
      <c r="D192" s="68"/>
      <c r="E192" s="68"/>
      <c r="F192" s="69"/>
      <c r="G192" s="68"/>
      <c r="H192" s="69"/>
      <c r="I192" s="69"/>
      <c r="J192" s="70"/>
      <c r="K192" s="70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71"/>
      <c r="B193" s="71"/>
      <c r="C193" s="71"/>
      <c r="D193" s="71"/>
      <c r="E193" s="71"/>
      <c r="F193" s="72"/>
      <c r="G193" s="71"/>
      <c r="H193" s="72"/>
      <c r="I193" s="72"/>
      <c r="J193" s="70"/>
      <c r="K193" s="70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68"/>
      <c r="B194" s="68"/>
      <c r="C194" s="68"/>
      <c r="D194" s="68"/>
      <c r="E194" s="68"/>
      <c r="F194" s="69"/>
      <c r="G194" s="68"/>
      <c r="H194" s="69"/>
      <c r="I194" s="69"/>
      <c r="J194" s="70"/>
      <c r="K194" s="70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71"/>
      <c r="B195" s="71"/>
      <c r="C195" s="71"/>
      <c r="D195" s="71"/>
      <c r="E195" s="71"/>
      <c r="F195" s="72"/>
      <c r="G195" s="71"/>
      <c r="H195" s="72"/>
      <c r="I195" s="72"/>
      <c r="J195" s="70"/>
      <c r="K195" s="70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68"/>
      <c r="B196" s="68"/>
      <c r="C196" s="68"/>
      <c r="D196" s="68"/>
      <c r="E196" s="68"/>
      <c r="F196" s="69"/>
      <c r="G196" s="68"/>
      <c r="H196" s="69"/>
      <c r="I196" s="69"/>
      <c r="J196" s="70"/>
      <c r="K196" s="70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71"/>
      <c r="B197" s="71"/>
      <c r="C197" s="71"/>
      <c r="D197" s="71"/>
      <c r="E197" s="71"/>
      <c r="F197" s="72"/>
      <c r="G197" s="71"/>
      <c r="H197" s="72"/>
      <c r="I197" s="72"/>
      <c r="J197" s="70"/>
      <c r="K197" s="70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68"/>
      <c r="B198" s="68"/>
      <c r="C198" s="68"/>
      <c r="D198" s="68"/>
      <c r="E198" s="68"/>
      <c r="F198" s="69"/>
      <c r="G198" s="68"/>
      <c r="H198" s="69"/>
      <c r="I198" s="69"/>
      <c r="J198" s="70"/>
      <c r="K198" s="70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71"/>
      <c r="B199" s="71"/>
      <c r="C199" s="71"/>
      <c r="D199" s="71"/>
      <c r="E199" s="71"/>
      <c r="F199" s="72"/>
      <c r="G199" s="71"/>
      <c r="H199" s="72"/>
      <c r="I199" s="72"/>
      <c r="J199" s="70"/>
      <c r="K199" s="70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68"/>
      <c r="B200" s="68"/>
      <c r="C200" s="68"/>
      <c r="D200" s="68"/>
      <c r="E200" s="68"/>
      <c r="F200" s="69"/>
      <c r="G200" s="68"/>
      <c r="H200" s="69"/>
      <c r="I200" s="69"/>
      <c r="J200" s="70"/>
      <c r="K200" s="70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71"/>
      <c r="B201" s="71"/>
      <c r="C201" s="71"/>
      <c r="D201" s="71"/>
      <c r="E201" s="71"/>
      <c r="F201" s="72"/>
      <c r="G201" s="71"/>
      <c r="H201" s="72"/>
      <c r="I201" s="72"/>
      <c r="J201" s="70"/>
      <c r="K201" s="70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68"/>
      <c r="B202" s="68"/>
      <c r="C202" s="68"/>
      <c r="D202" s="68"/>
      <c r="E202" s="68"/>
      <c r="F202" s="69"/>
      <c r="G202" s="68"/>
      <c r="H202" s="69"/>
      <c r="I202" s="69"/>
      <c r="J202" s="70"/>
      <c r="K202" s="70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71"/>
      <c r="B203" s="71"/>
      <c r="C203" s="71"/>
      <c r="D203" s="71"/>
      <c r="E203" s="71"/>
      <c r="F203" s="72"/>
      <c r="G203" s="71"/>
      <c r="H203" s="72"/>
      <c r="I203" s="72"/>
      <c r="J203" s="70"/>
      <c r="K203" s="70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68"/>
      <c r="B204" s="68"/>
      <c r="C204" s="68"/>
      <c r="D204" s="68"/>
      <c r="E204" s="68"/>
      <c r="F204" s="69"/>
      <c r="G204" s="68"/>
      <c r="H204" s="69"/>
      <c r="I204" s="69"/>
      <c r="J204" s="70"/>
      <c r="K204" s="70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71"/>
      <c r="B205" s="71"/>
      <c r="C205" s="71"/>
      <c r="D205" s="71"/>
      <c r="E205" s="71"/>
      <c r="F205" s="72"/>
      <c r="G205" s="71"/>
      <c r="H205" s="72"/>
      <c r="I205" s="72"/>
      <c r="J205" s="70"/>
      <c r="K205" s="70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68"/>
      <c r="B206" s="68"/>
      <c r="C206" s="68"/>
      <c r="D206" s="68"/>
      <c r="E206" s="68"/>
      <c r="F206" s="69"/>
      <c r="G206" s="68"/>
      <c r="H206" s="69"/>
      <c r="I206" s="69"/>
      <c r="J206" s="70"/>
      <c r="K206" s="70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71"/>
      <c r="B207" s="71"/>
      <c r="C207" s="71"/>
      <c r="D207" s="71"/>
      <c r="E207" s="71"/>
      <c r="F207" s="72"/>
      <c r="G207" s="71"/>
      <c r="H207" s="72"/>
      <c r="I207" s="72"/>
      <c r="J207" s="70"/>
      <c r="K207" s="70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68"/>
      <c r="B208" s="68"/>
      <c r="C208" s="68"/>
      <c r="D208" s="68"/>
      <c r="E208" s="68"/>
      <c r="F208" s="69"/>
      <c r="G208" s="68"/>
      <c r="H208" s="69"/>
      <c r="I208" s="69"/>
      <c r="J208" s="70"/>
      <c r="K208" s="70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71"/>
      <c r="B209" s="71"/>
      <c r="C209" s="71"/>
      <c r="D209" s="71"/>
      <c r="E209" s="71"/>
      <c r="F209" s="72"/>
      <c r="G209" s="71"/>
      <c r="H209" s="72"/>
      <c r="I209" s="72"/>
      <c r="J209" s="70"/>
      <c r="K209" s="70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68"/>
      <c r="B210" s="68"/>
      <c r="C210" s="68"/>
      <c r="D210" s="68"/>
      <c r="E210" s="68"/>
      <c r="F210" s="69"/>
      <c r="G210" s="68"/>
      <c r="H210" s="69"/>
      <c r="I210" s="69"/>
      <c r="J210" s="70"/>
      <c r="K210" s="70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71"/>
      <c r="B211" s="71"/>
      <c r="C211" s="71"/>
      <c r="D211" s="71"/>
      <c r="E211" s="71"/>
      <c r="F211" s="72"/>
      <c r="G211" s="71"/>
      <c r="H211" s="72"/>
      <c r="I211" s="72"/>
      <c r="J211" s="70"/>
      <c r="K211" s="70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68"/>
      <c r="B212" s="68"/>
      <c r="C212" s="68"/>
      <c r="D212" s="68"/>
      <c r="E212" s="68"/>
      <c r="F212" s="69"/>
      <c r="G212" s="68"/>
      <c r="H212" s="69"/>
      <c r="I212" s="69"/>
      <c r="J212" s="70"/>
      <c r="K212" s="70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71"/>
      <c r="B213" s="71"/>
      <c r="C213" s="71"/>
      <c r="D213" s="71"/>
      <c r="E213" s="71"/>
      <c r="F213" s="72"/>
      <c r="G213" s="71"/>
      <c r="H213" s="72"/>
      <c r="I213" s="72"/>
      <c r="J213" s="70"/>
      <c r="K213" s="70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68"/>
      <c r="B214" s="68"/>
      <c r="C214" s="68"/>
      <c r="D214" s="68"/>
      <c r="E214" s="68"/>
      <c r="F214" s="69"/>
      <c r="G214" s="68"/>
      <c r="H214" s="69"/>
      <c r="I214" s="69"/>
      <c r="J214" s="70"/>
      <c r="K214" s="70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71"/>
      <c r="B215" s="71"/>
      <c r="C215" s="71"/>
      <c r="D215" s="71"/>
      <c r="E215" s="71"/>
      <c r="F215" s="72"/>
      <c r="G215" s="71"/>
      <c r="H215" s="72"/>
      <c r="I215" s="72"/>
      <c r="J215" s="70"/>
      <c r="K215" s="70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68"/>
      <c r="B216" s="68"/>
      <c r="C216" s="68"/>
      <c r="D216" s="68"/>
      <c r="E216" s="68"/>
      <c r="F216" s="69"/>
      <c r="G216" s="68"/>
      <c r="H216" s="69"/>
      <c r="I216" s="69"/>
      <c r="J216" s="70"/>
      <c r="K216" s="70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71"/>
      <c r="B217" s="71"/>
      <c r="C217" s="71"/>
      <c r="D217" s="71"/>
      <c r="E217" s="71"/>
      <c r="F217" s="72"/>
      <c r="G217" s="71"/>
      <c r="H217" s="72"/>
      <c r="I217" s="72"/>
      <c r="J217" s="70"/>
      <c r="K217" s="70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68"/>
      <c r="B218" s="68"/>
      <c r="C218" s="68"/>
      <c r="D218" s="68"/>
      <c r="E218" s="68"/>
      <c r="F218" s="69"/>
      <c r="G218" s="68"/>
      <c r="H218" s="69"/>
      <c r="I218" s="69"/>
      <c r="J218" s="70"/>
      <c r="K218" s="70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71"/>
      <c r="B219" s="71"/>
      <c r="C219" s="71"/>
      <c r="D219" s="71"/>
      <c r="E219" s="71"/>
      <c r="F219" s="72"/>
      <c r="G219" s="71"/>
      <c r="H219" s="72"/>
      <c r="I219" s="72"/>
      <c r="J219" s="70"/>
      <c r="K219" s="70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68"/>
      <c r="B220" s="68"/>
      <c r="C220" s="68"/>
      <c r="D220" s="68"/>
      <c r="E220" s="68"/>
      <c r="F220" s="69"/>
      <c r="G220" s="68"/>
      <c r="H220" s="69"/>
      <c r="I220" s="69"/>
      <c r="J220" s="70"/>
      <c r="K220" s="70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71"/>
      <c r="B221" s="71"/>
      <c r="C221" s="71"/>
      <c r="D221" s="71"/>
      <c r="E221" s="71"/>
      <c r="F221" s="72"/>
      <c r="G221" s="71"/>
      <c r="H221" s="72"/>
      <c r="I221" s="72"/>
      <c r="J221" s="70"/>
      <c r="K221" s="70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68"/>
      <c r="B222" s="68"/>
      <c r="C222" s="68"/>
      <c r="D222" s="68"/>
      <c r="E222" s="68"/>
      <c r="F222" s="69"/>
      <c r="G222" s="68"/>
      <c r="H222" s="69"/>
      <c r="I222" s="69"/>
      <c r="J222" s="70"/>
      <c r="K222" s="70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71"/>
      <c r="B223" s="71"/>
      <c r="C223" s="71"/>
      <c r="D223" s="71"/>
      <c r="E223" s="71"/>
      <c r="F223" s="72"/>
      <c r="G223" s="71"/>
      <c r="H223" s="72"/>
      <c r="I223" s="72"/>
      <c r="J223" s="70"/>
      <c r="K223" s="70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68"/>
      <c r="B224" s="68"/>
      <c r="C224" s="68"/>
      <c r="D224" s="68"/>
      <c r="E224" s="68"/>
      <c r="F224" s="69"/>
      <c r="G224" s="68"/>
      <c r="H224" s="69"/>
      <c r="I224" s="69"/>
      <c r="J224" s="70"/>
      <c r="K224" s="70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71"/>
      <c r="B225" s="71"/>
      <c r="C225" s="71"/>
      <c r="D225" s="71"/>
      <c r="E225" s="71"/>
      <c r="F225" s="72"/>
      <c r="G225" s="71"/>
      <c r="H225" s="72"/>
      <c r="I225" s="72"/>
      <c r="J225" s="70"/>
      <c r="K225" s="70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68"/>
      <c r="B226" s="68"/>
      <c r="C226" s="68"/>
      <c r="D226" s="68"/>
      <c r="E226" s="68"/>
      <c r="F226" s="69"/>
      <c r="G226" s="68"/>
      <c r="H226" s="69"/>
      <c r="I226" s="69"/>
      <c r="J226" s="70"/>
      <c r="K226" s="70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71"/>
      <c r="B227" s="71"/>
      <c r="C227" s="71"/>
      <c r="D227" s="71"/>
      <c r="E227" s="71"/>
      <c r="F227" s="72"/>
      <c r="G227" s="71"/>
      <c r="H227" s="72"/>
      <c r="I227" s="72"/>
      <c r="J227" s="70"/>
      <c r="K227" s="70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68"/>
      <c r="B228" s="68"/>
      <c r="C228" s="68"/>
      <c r="D228" s="68"/>
      <c r="E228" s="68"/>
      <c r="F228" s="69"/>
      <c r="G228" s="68"/>
      <c r="H228" s="69"/>
      <c r="I228" s="69"/>
      <c r="J228" s="70"/>
      <c r="K228" s="70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71"/>
      <c r="B229" s="71"/>
      <c r="C229" s="71"/>
      <c r="D229" s="71"/>
      <c r="E229" s="71"/>
      <c r="F229" s="72"/>
      <c r="G229" s="71"/>
      <c r="H229" s="72"/>
      <c r="I229" s="72"/>
      <c r="J229" s="70"/>
      <c r="K229" s="70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68"/>
      <c r="B230" s="68"/>
      <c r="C230" s="68"/>
      <c r="D230" s="68"/>
      <c r="E230" s="68"/>
      <c r="F230" s="69"/>
      <c r="G230" s="68"/>
      <c r="H230" s="69"/>
      <c r="I230" s="69"/>
      <c r="J230" s="70"/>
      <c r="K230" s="70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71"/>
      <c r="B231" s="71"/>
      <c r="C231" s="71"/>
      <c r="D231" s="71"/>
      <c r="E231" s="71"/>
      <c r="F231" s="72"/>
      <c r="G231" s="71"/>
      <c r="H231" s="72"/>
      <c r="I231" s="72"/>
      <c r="J231" s="70"/>
      <c r="K231" s="70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68"/>
      <c r="B232" s="68"/>
      <c r="C232" s="68"/>
      <c r="D232" s="68"/>
      <c r="E232" s="68"/>
      <c r="F232" s="69"/>
      <c r="G232" s="68"/>
      <c r="H232" s="69"/>
      <c r="I232" s="69"/>
      <c r="J232" s="70"/>
      <c r="K232" s="70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71"/>
      <c r="B233" s="71"/>
      <c r="C233" s="71"/>
      <c r="D233" s="71"/>
      <c r="E233" s="71"/>
      <c r="F233" s="72"/>
      <c r="G233" s="71"/>
      <c r="H233" s="72"/>
      <c r="I233" s="72"/>
      <c r="J233" s="70"/>
      <c r="K233" s="70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68"/>
      <c r="B234" s="68"/>
      <c r="C234" s="68"/>
      <c r="D234" s="68"/>
      <c r="E234" s="68"/>
      <c r="F234" s="69"/>
      <c r="G234" s="68"/>
      <c r="H234" s="69"/>
      <c r="I234" s="69"/>
      <c r="J234" s="70"/>
      <c r="K234" s="70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71"/>
      <c r="B235" s="71"/>
      <c r="C235" s="71"/>
      <c r="D235" s="71"/>
      <c r="E235" s="71"/>
      <c r="F235" s="72"/>
      <c r="G235" s="71"/>
      <c r="H235" s="72"/>
      <c r="I235" s="72"/>
      <c r="J235" s="70"/>
      <c r="K235" s="70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68"/>
      <c r="B236" s="68"/>
      <c r="C236" s="68"/>
      <c r="D236" s="68"/>
      <c r="E236" s="68"/>
      <c r="F236" s="69"/>
      <c r="G236" s="68"/>
      <c r="H236" s="69"/>
      <c r="I236" s="69"/>
      <c r="J236" s="70"/>
      <c r="K236" s="70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71"/>
      <c r="B237" s="71"/>
      <c r="C237" s="71"/>
      <c r="D237" s="71"/>
      <c r="E237" s="71"/>
      <c r="F237" s="72"/>
      <c r="G237" s="71"/>
      <c r="H237" s="72"/>
      <c r="I237" s="72"/>
      <c r="J237" s="70"/>
      <c r="K237" s="70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68"/>
      <c r="B238" s="68"/>
      <c r="C238" s="68"/>
      <c r="D238" s="68"/>
      <c r="E238" s="68"/>
      <c r="F238" s="69"/>
      <c r="G238" s="68"/>
      <c r="H238" s="69"/>
      <c r="I238" s="69"/>
      <c r="J238" s="70"/>
      <c r="K238" s="70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71"/>
      <c r="B239" s="71"/>
      <c r="C239" s="71"/>
      <c r="D239" s="71"/>
      <c r="E239" s="71"/>
      <c r="F239" s="72"/>
      <c r="G239" s="71"/>
      <c r="H239" s="72"/>
      <c r="I239" s="72"/>
      <c r="J239" s="70"/>
      <c r="K239" s="70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68"/>
      <c r="B240" s="68"/>
      <c r="C240" s="68"/>
      <c r="D240" s="68"/>
      <c r="E240" s="68"/>
      <c r="F240" s="69"/>
      <c r="G240" s="68"/>
      <c r="H240" s="69"/>
      <c r="I240" s="69"/>
      <c r="J240" s="70"/>
      <c r="K240" s="70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71"/>
      <c r="B241" s="71"/>
      <c r="C241" s="71"/>
      <c r="D241" s="71"/>
      <c r="E241" s="71"/>
      <c r="F241" s="72"/>
      <c r="G241" s="71"/>
      <c r="H241" s="72"/>
      <c r="I241" s="72"/>
      <c r="J241" s="70"/>
      <c r="K241" s="70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68"/>
      <c r="B242" s="68"/>
      <c r="C242" s="68"/>
      <c r="D242" s="68"/>
      <c r="E242" s="68"/>
      <c r="F242" s="69"/>
      <c r="G242" s="68"/>
      <c r="H242" s="69"/>
      <c r="I242" s="69"/>
      <c r="J242" s="70"/>
      <c r="K242" s="70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71"/>
      <c r="B243" s="71"/>
      <c r="C243" s="71"/>
      <c r="D243" s="71"/>
      <c r="E243" s="71"/>
      <c r="F243" s="72"/>
      <c r="G243" s="71"/>
      <c r="H243" s="72"/>
      <c r="I243" s="72"/>
      <c r="J243" s="70"/>
      <c r="K243" s="70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68"/>
      <c r="B244" s="68"/>
      <c r="C244" s="68"/>
      <c r="D244" s="68"/>
      <c r="E244" s="68"/>
      <c r="F244" s="69"/>
      <c r="G244" s="68"/>
      <c r="H244" s="69"/>
      <c r="I244" s="69"/>
      <c r="J244" s="70"/>
      <c r="K244" s="70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71"/>
      <c r="B245" s="71"/>
      <c r="C245" s="71"/>
      <c r="D245" s="71"/>
      <c r="E245" s="71"/>
      <c r="F245" s="72"/>
      <c r="G245" s="71"/>
      <c r="H245" s="72"/>
      <c r="I245" s="72"/>
      <c r="J245" s="70"/>
      <c r="K245" s="70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68"/>
      <c r="B246" s="68"/>
      <c r="C246" s="68"/>
      <c r="D246" s="68"/>
      <c r="E246" s="68"/>
      <c r="F246" s="69"/>
      <c r="G246" s="68"/>
      <c r="H246" s="69"/>
      <c r="I246" s="69"/>
      <c r="J246" s="70"/>
      <c r="K246" s="70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71"/>
      <c r="B247" s="71"/>
      <c r="C247" s="71"/>
      <c r="D247" s="71"/>
      <c r="E247" s="71"/>
      <c r="F247" s="72"/>
      <c r="G247" s="71"/>
      <c r="H247" s="72"/>
      <c r="I247" s="72"/>
      <c r="J247" s="70"/>
      <c r="K247" s="70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68"/>
      <c r="B248" s="68"/>
      <c r="C248" s="68"/>
      <c r="D248" s="68"/>
      <c r="E248" s="68"/>
      <c r="F248" s="69"/>
      <c r="G248" s="68"/>
      <c r="H248" s="69"/>
      <c r="I248" s="69"/>
      <c r="J248" s="70"/>
      <c r="K248" s="70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71"/>
      <c r="B249" s="71"/>
      <c r="C249" s="71"/>
      <c r="D249" s="71"/>
      <c r="E249" s="71"/>
      <c r="F249" s="72"/>
      <c r="G249" s="71"/>
      <c r="H249" s="72"/>
      <c r="I249" s="72"/>
      <c r="J249" s="70"/>
      <c r="K249" s="70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68"/>
      <c r="B250" s="68"/>
      <c r="C250" s="68"/>
      <c r="D250" s="68"/>
      <c r="E250" s="68"/>
      <c r="F250" s="69"/>
      <c r="G250" s="68"/>
      <c r="H250" s="69"/>
      <c r="I250" s="69"/>
      <c r="J250" s="70"/>
      <c r="K250" s="70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71"/>
      <c r="B251" s="71"/>
      <c r="C251" s="71"/>
      <c r="D251" s="71"/>
      <c r="E251" s="71"/>
      <c r="F251" s="72"/>
      <c r="G251" s="71"/>
      <c r="H251" s="72"/>
      <c r="I251" s="72"/>
      <c r="J251" s="70"/>
      <c r="K251" s="70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68"/>
      <c r="B252" s="68"/>
      <c r="C252" s="68"/>
      <c r="D252" s="68"/>
      <c r="E252" s="68"/>
      <c r="F252" s="69"/>
      <c r="G252" s="68"/>
      <c r="H252" s="69"/>
      <c r="I252" s="69"/>
      <c r="J252" s="70"/>
      <c r="K252" s="70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71"/>
      <c r="B253" s="71"/>
      <c r="C253" s="71"/>
      <c r="D253" s="71"/>
      <c r="E253" s="71"/>
      <c r="F253" s="72"/>
      <c r="G253" s="71"/>
      <c r="H253" s="72"/>
      <c r="I253" s="72"/>
      <c r="J253" s="70"/>
      <c r="K253" s="70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68"/>
      <c r="B254" s="68"/>
      <c r="C254" s="68"/>
      <c r="D254" s="68"/>
      <c r="E254" s="68"/>
      <c r="F254" s="69"/>
      <c r="G254" s="68"/>
      <c r="H254" s="69"/>
      <c r="I254" s="69"/>
      <c r="J254" s="70"/>
      <c r="K254" s="70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71"/>
      <c r="B255" s="71"/>
      <c r="C255" s="71"/>
      <c r="D255" s="71"/>
      <c r="E255" s="71"/>
      <c r="F255" s="72"/>
      <c r="G255" s="71"/>
      <c r="H255" s="72"/>
      <c r="I255" s="72"/>
      <c r="J255" s="70"/>
      <c r="K255" s="70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68"/>
      <c r="B256" s="68"/>
      <c r="C256" s="68"/>
      <c r="D256" s="68"/>
      <c r="E256" s="68"/>
      <c r="F256" s="69"/>
      <c r="G256" s="68"/>
      <c r="H256" s="69"/>
      <c r="I256" s="69"/>
      <c r="J256" s="70"/>
      <c r="K256" s="70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71"/>
      <c r="B257" s="71"/>
      <c r="C257" s="71"/>
      <c r="D257" s="71"/>
      <c r="E257" s="71"/>
      <c r="F257" s="72"/>
      <c r="G257" s="71"/>
      <c r="H257" s="72"/>
      <c r="I257" s="72"/>
      <c r="J257" s="70"/>
      <c r="K257" s="70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68"/>
      <c r="B258" s="68"/>
      <c r="C258" s="68"/>
      <c r="D258" s="68"/>
      <c r="E258" s="68"/>
      <c r="F258" s="69"/>
      <c r="G258" s="68"/>
      <c r="H258" s="69"/>
      <c r="I258" s="69"/>
      <c r="J258" s="70"/>
      <c r="K258" s="70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71"/>
      <c r="B259" s="71"/>
      <c r="C259" s="71"/>
      <c r="D259" s="71"/>
      <c r="E259" s="71"/>
      <c r="F259" s="72"/>
      <c r="G259" s="71"/>
      <c r="H259" s="72"/>
      <c r="I259" s="72"/>
      <c r="J259" s="70"/>
      <c r="K259" s="70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68"/>
      <c r="B260" s="68"/>
      <c r="C260" s="68"/>
      <c r="D260" s="68"/>
      <c r="E260" s="68"/>
      <c r="F260" s="69"/>
      <c r="G260" s="68"/>
      <c r="H260" s="69"/>
      <c r="I260" s="69"/>
      <c r="J260" s="70"/>
      <c r="K260" s="70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71"/>
      <c r="B261" s="71"/>
      <c r="C261" s="71"/>
      <c r="D261" s="71"/>
      <c r="E261" s="71"/>
      <c r="F261" s="72"/>
      <c r="G261" s="71"/>
      <c r="H261" s="72"/>
      <c r="I261" s="72"/>
      <c r="J261" s="70"/>
      <c r="K261" s="70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68"/>
      <c r="B262" s="68"/>
      <c r="C262" s="68"/>
      <c r="D262" s="68"/>
      <c r="E262" s="68"/>
      <c r="F262" s="69"/>
      <c r="G262" s="68"/>
      <c r="H262" s="69"/>
      <c r="I262" s="69"/>
      <c r="J262" s="70"/>
      <c r="K262" s="70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71"/>
      <c r="B263" s="71"/>
      <c r="C263" s="71"/>
      <c r="D263" s="71"/>
      <c r="E263" s="71"/>
      <c r="F263" s="72"/>
      <c r="G263" s="71"/>
      <c r="H263" s="72"/>
      <c r="I263" s="72"/>
      <c r="J263" s="70"/>
      <c r="K263" s="70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68"/>
      <c r="B264" s="68"/>
      <c r="C264" s="68"/>
      <c r="D264" s="68"/>
      <c r="E264" s="68"/>
      <c r="F264" s="69"/>
      <c r="G264" s="68"/>
      <c r="H264" s="69"/>
      <c r="I264" s="69"/>
      <c r="J264" s="70"/>
      <c r="K264" s="70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71"/>
      <c r="B265" s="71"/>
      <c r="C265" s="71"/>
      <c r="D265" s="71"/>
      <c r="E265" s="71"/>
      <c r="F265" s="72"/>
      <c r="G265" s="71"/>
      <c r="H265" s="72"/>
      <c r="I265" s="72"/>
      <c r="J265" s="70"/>
      <c r="K265" s="70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68"/>
      <c r="B266" s="68"/>
      <c r="C266" s="68"/>
      <c r="D266" s="68"/>
      <c r="E266" s="68"/>
      <c r="F266" s="69"/>
      <c r="G266" s="68"/>
      <c r="H266" s="69"/>
      <c r="I266" s="69"/>
      <c r="J266" s="70"/>
      <c r="K266" s="70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71"/>
      <c r="B267" s="71"/>
      <c r="C267" s="71"/>
      <c r="D267" s="71"/>
      <c r="E267" s="71"/>
      <c r="F267" s="72"/>
      <c r="G267" s="71"/>
      <c r="H267" s="72"/>
      <c r="I267" s="72"/>
      <c r="J267" s="70"/>
      <c r="K267" s="70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68"/>
      <c r="B268" s="68"/>
      <c r="C268" s="68"/>
      <c r="D268" s="68"/>
      <c r="E268" s="68"/>
      <c r="F268" s="69"/>
      <c r="G268" s="68"/>
      <c r="H268" s="69"/>
      <c r="I268" s="69"/>
      <c r="J268" s="70"/>
      <c r="K268" s="70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71"/>
      <c r="B269" s="71"/>
      <c r="C269" s="71"/>
      <c r="D269" s="71"/>
      <c r="E269" s="71"/>
      <c r="F269" s="72"/>
      <c r="G269" s="71"/>
      <c r="H269" s="72"/>
      <c r="I269" s="72"/>
      <c r="J269" s="70"/>
      <c r="K269" s="70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68"/>
      <c r="B270" s="68"/>
      <c r="C270" s="68"/>
      <c r="D270" s="68"/>
      <c r="E270" s="68"/>
      <c r="F270" s="69"/>
      <c r="G270" s="68"/>
      <c r="H270" s="69"/>
      <c r="I270" s="69"/>
      <c r="J270" s="70"/>
      <c r="K270" s="70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71"/>
      <c r="B271" s="71"/>
      <c r="C271" s="71"/>
      <c r="D271" s="71"/>
      <c r="E271" s="71"/>
      <c r="F271" s="72"/>
      <c r="G271" s="71"/>
      <c r="H271" s="72"/>
      <c r="I271" s="72"/>
      <c r="J271" s="70"/>
      <c r="K271" s="70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68"/>
      <c r="B272" s="68"/>
      <c r="C272" s="68"/>
      <c r="D272" s="68"/>
      <c r="E272" s="68"/>
      <c r="F272" s="69"/>
      <c r="G272" s="68"/>
      <c r="H272" s="69"/>
      <c r="I272" s="69"/>
      <c r="J272" s="70"/>
      <c r="K272" s="70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71"/>
      <c r="B273" s="71"/>
      <c r="C273" s="71"/>
      <c r="D273" s="71"/>
      <c r="E273" s="71"/>
      <c r="F273" s="72"/>
      <c r="G273" s="71"/>
      <c r="H273" s="72"/>
      <c r="I273" s="72"/>
      <c r="J273" s="70"/>
      <c r="K273" s="70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68"/>
      <c r="B274" s="68"/>
      <c r="C274" s="68"/>
      <c r="D274" s="68"/>
      <c r="E274" s="68"/>
      <c r="F274" s="69"/>
      <c r="G274" s="68"/>
      <c r="H274" s="69"/>
      <c r="I274" s="69"/>
      <c r="J274" s="70"/>
      <c r="K274" s="70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71"/>
      <c r="B275" s="71"/>
      <c r="C275" s="71"/>
      <c r="D275" s="71"/>
      <c r="E275" s="71"/>
      <c r="F275" s="72"/>
      <c r="G275" s="71"/>
      <c r="H275" s="72"/>
      <c r="I275" s="72"/>
      <c r="J275" s="70"/>
      <c r="K275" s="70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68"/>
      <c r="B276" s="68"/>
      <c r="C276" s="68"/>
      <c r="D276" s="68"/>
      <c r="E276" s="68"/>
      <c r="F276" s="69"/>
      <c r="G276" s="68"/>
      <c r="H276" s="69"/>
      <c r="I276" s="69"/>
      <c r="J276" s="70"/>
      <c r="K276" s="70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71"/>
      <c r="B277" s="71"/>
      <c r="C277" s="71"/>
      <c r="D277" s="71"/>
      <c r="E277" s="71"/>
      <c r="F277" s="72"/>
      <c r="G277" s="71"/>
      <c r="H277" s="72"/>
      <c r="I277" s="72"/>
      <c r="J277" s="70"/>
      <c r="K277" s="70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68"/>
      <c r="B278" s="68"/>
      <c r="C278" s="68"/>
      <c r="D278" s="68"/>
      <c r="E278" s="68"/>
      <c r="F278" s="69"/>
      <c r="G278" s="68"/>
      <c r="H278" s="69"/>
      <c r="I278" s="69"/>
      <c r="J278" s="70"/>
      <c r="K278" s="70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71"/>
      <c r="B279" s="71"/>
      <c r="C279" s="71"/>
      <c r="D279" s="71"/>
      <c r="E279" s="71"/>
      <c r="F279" s="72"/>
      <c r="G279" s="71"/>
      <c r="H279" s="72"/>
      <c r="I279" s="72"/>
      <c r="J279" s="70"/>
      <c r="K279" s="70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68"/>
      <c r="B280" s="68"/>
      <c r="C280" s="68"/>
      <c r="D280" s="68"/>
      <c r="E280" s="68"/>
      <c r="F280" s="69"/>
      <c r="G280" s="68"/>
      <c r="H280" s="69"/>
      <c r="I280" s="69"/>
      <c r="J280" s="70"/>
      <c r="K280" s="70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71"/>
      <c r="B281" s="71"/>
      <c r="C281" s="71"/>
      <c r="D281" s="71"/>
      <c r="E281" s="71"/>
      <c r="F281" s="72"/>
      <c r="G281" s="71"/>
      <c r="H281" s="72"/>
      <c r="I281" s="72"/>
      <c r="J281" s="70"/>
      <c r="K281" s="70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68"/>
      <c r="B282" s="68"/>
      <c r="C282" s="68"/>
      <c r="D282" s="68"/>
      <c r="E282" s="68"/>
      <c r="F282" s="69"/>
      <c r="G282" s="68"/>
      <c r="H282" s="69"/>
      <c r="I282" s="69"/>
      <c r="J282" s="70"/>
      <c r="K282" s="70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71"/>
      <c r="B283" s="71"/>
      <c r="C283" s="71"/>
      <c r="D283" s="71"/>
      <c r="E283" s="71"/>
      <c r="F283" s="72"/>
      <c r="G283" s="71"/>
      <c r="H283" s="72"/>
      <c r="I283" s="72"/>
      <c r="J283" s="70"/>
      <c r="K283" s="70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68"/>
      <c r="B284" s="68"/>
      <c r="C284" s="68"/>
      <c r="D284" s="68"/>
      <c r="E284" s="68"/>
      <c r="F284" s="69"/>
      <c r="G284" s="68"/>
      <c r="H284" s="69"/>
      <c r="I284" s="69"/>
      <c r="J284" s="70"/>
      <c r="K284" s="70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71"/>
      <c r="B285" s="71"/>
      <c r="C285" s="71"/>
      <c r="D285" s="71"/>
      <c r="E285" s="71"/>
      <c r="F285" s="72"/>
      <c r="G285" s="71"/>
      <c r="H285" s="72"/>
      <c r="I285" s="72"/>
      <c r="J285" s="70"/>
      <c r="K285" s="70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68"/>
      <c r="B286" s="68"/>
      <c r="C286" s="68"/>
      <c r="D286" s="68"/>
      <c r="E286" s="68"/>
      <c r="F286" s="69"/>
      <c r="G286" s="68"/>
      <c r="H286" s="69"/>
      <c r="I286" s="69"/>
      <c r="J286" s="70"/>
      <c r="K286" s="70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71"/>
      <c r="B287" s="71"/>
      <c r="C287" s="71"/>
      <c r="D287" s="71"/>
      <c r="E287" s="71"/>
      <c r="F287" s="72"/>
      <c r="G287" s="71"/>
      <c r="H287" s="72"/>
      <c r="I287" s="72"/>
      <c r="J287" s="70"/>
      <c r="K287" s="70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68"/>
      <c r="B288" s="68"/>
      <c r="C288" s="68"/>
      <c r="D288" s="68"/>
      <c r="E288" s="68"/>
      <c r="F288" s="69"/>
      <c r="G288" s="68"/>
      <c r="H288" s="69"/>
      <c r="I288" s="69"/>
      <c r="J288" s="70"/>
      <c r="K288" s="70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71"/>
      <c r="B289" s="71"/>
      <c r="C289" s="71"/>
      <c r="D289" s="71"/>
      <c r="E289" s="71"/>
      <c r="F289" s="72"/>
      <c r="G289" s="71"/>
      <c r="H289" s="72"/>
      <c r="I289" s="72"/>
      <c r="J289" s="70"/>
      <c r="K289" s="70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68"/>
      <c r="B290" s="68"/>
      <c r="C290" s="68"/>
      <c r="D290" s="68"/>
      <c r="E290" s="68"/>
      <c r="F290" s="69"/>
      <c r="G290" s="68"/>
      <c r="H290" s="69"/>
      <c r="I290" s="69"/>
      <c r="J290" s="70"/>
      <c r="K290" s="70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71"/>
      <c r="B291" s="71"/>
      <c r="C291" s="71"/>
      <c r="D291" s="71"/>
      <c r="E291" s="71"/>
      <c r="F291" s="72"/>
      <c r="G291" s="71"/>
      <c r="H291" s="72"/>
      <c r="I291" s="72"/>
      <c r="J291" s="70"/>
      <c r="K291" s="70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68"/>
      <c r="B292" s="68"/>
      <c r="C292" s="68"/>
      <c r="D292" s="68"/>
      <c r="E292" s="68"/>
      <c r="F292" s="69"/>
      <c r="G292" s="68"/>
      <c r="H292" s="69"/>
      <c r="I292" s="69"/>
      <c r="J292" s="70"/>
      <c r="K292" s="70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71"/>
      <c r="B293" s="71"/>
      <c r="C293" s="71"/>
      <c r="D293" s="71"/>
      <c r="E293" s="71"/>
      <c r="F293" s="72"/>
      <c r="G293" s="71"/>
      <c r="H293" s="72"/>
      <c r="I293" s="72"/>
      <c r="J293" s="70"/>
      <c r="K293" s="70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68"/>
      <c r="B294" s="68"/>
      <c r="C294" s="68"/>
      <c r="D294" s="68"/>
      <c r="E294" s="68"/>
      <c r="F294" s="69"/>
      <c r="G294" s="68"/>
      <c r="H294" s="69"/>
      <c r="I294" s="69"/>
      <c r="J294" s="70"/>
      <c r="K294" s="70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71"/>
      <c r="B295" s="71"/>
      <c r="C295" s="71"/>
      <c r="D295" s="71"/>
      <c r="E295" s="71"/>
      <c r="F295" s="72"/>
      <c r="G295" s="71"/>
      <c r="H295" s="72"/>
      <c r="I295" s="72"/>
      <c r="J295" s="70"/>
      <c r="K295" s="70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68"/>
      <c r="B296" s="68"/>
      <c r="C296" s="68"/>
      <c r="D296" s="68"/>
      <c r="E296" s="68"/>
      <c r="F296" s="69"/>
      <c r="G296" s="68"/>
      <c r="H296" s="69"/>
      <c r="I296" s="69"/>
      <c r="J296" s="70"/>
      <c r="K296" s="70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71"/>
      <c r="B297" s="71"/>
      <c r="C297" s="71"/>
      <c r="D297" s="71"/>
      <c r="E297" s="71"/>
      <c r="F297" s="72"/>
      <c r="G297" s="71"/>
      <c r="H297" s="72"/>
      <c r="I297" s="72"/>
      <c r="J297" s="70"/>
      <c r="K297" s="70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68"/>
      <c r="B298" s="68"/>
      <c r="C298" s="68"/>
      <c r="D298" s="68"/>
      <c r="E298" s="68"/>
      <c r="F298" s="69"/>
      <c r="G298" s="68"/>
      <c r="H298" s="69"/>
      <c r="I298" s="69"/>
      <c r="J298" s="70"/>
      <c r="K298" s="70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71"/>
      <c r="B299" s="71"/>
      <c r="C299" s="71"/>
      <c r="D299" s="71"/>
      <c r="E299" s="71"/>
      <c r="F299" s="72"/>
      <c r="G299" s="71"/>
      <c r="H299" s="72"/>
      <c r="I299" s="72"/>
      <c r="J299" s="70"/>
      <c r="K299" s="70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68"/>
      <c r="B300" s="68"/>
      <c r="C300" s="68"/>
      <c r="D300" s="68"/>
      <c r="E300" s="68"/>
      <c r="F300" s="69"/>
      <c r="G300" s="68"/>
      <c r="H300" s="69"/>
      <c r="I300" s="69"/>
      <c r="J300" s="70"/>
      <c r="K300" s="70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71"/>
      <c r="B301" s="71"/>
      <c r="C301" s="71"/>
      <c r="D301" s="71"/>
      <c r="E301" s="71"/>
      <c r="F301" s="72"/>
      <c r="G301" s="71"/>
      <c r="H301" s="72"/>
      <c r="I301" s="72"/>
      <c r="J301" s="70"/>
      <c r="K301" s="70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68"/>
      <c r="B302" s="68"/>
      <c r="C302" s="68"/>
      <c r="D302" s="68"/>
      <c r="E302" s="68"/>
      <c r="F302" s="69"/>
      <c r="G302" s="68"/>
      <c r="H302" s="69"/>
      <c r="I302" s="69"/>
      <c r="J302" s="70"/>
      <c r="K302" s="70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71"/>
      <c r="B303" s="71"/>
      <c r="C303" s="71"/>
      <c r="D303" s="71"/>
      <c r="E303" s="71"/>
      <c r="F303" s="72"/>
      <c r="G303" s="71"/>
      <c r="H303" s="72"/>
      <c r="I303" s="72"/>
      <c r="J303" s="70"/>
      <c r="K303" s="70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68"/>
      <c r="B304" s="68"/>
      <c r="C304" s="68"/>
      <c r="D304" s="68"/>
      <c r="E304" s="68"/>
      <c r="F304" s="69"/>
      <c r="G304" s="68"/>
      <c r="H304" s="69"/>
      <c r="I304" s="69"/>
      <c r="J304" s="70"/>
      <c r="K304" s="70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71"/>
      <c r="B305" s="71"/>
      <c r="C305" s="71"/>
      <c r="D305" s="71"/>
      <c r="E305" s="71"/>
      <c r="F305" s="72"/>
      <c r="G305" s="71"/>
      <c r="H305" s="72"/>
      <c r="I305" s="72"/>
      <c r="J305" s="70"/>
      <c r="K305" s="70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68"/>
      <c r="B306" s="68"/>
      <c r="C306" s="68"/>
      <c r="D306" s="68"/>
      <c r="E306" s="68"/>
      <c r="F306" s="69"/>
      <c r="G306" s="68"/>
      <c r="H306" s="69"/>
      <c r="I306" s="69"/>
      <c r="J306" s="70"/>
      <c r="K306" s="70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71"/>
      <c r="B307" s="71"/>
      <c r="C307" s="71"/>
      <c r="D307" s="71"/>
      <c r="E307" s="71"/>
      <c r="F307" s="72"/>
      <c r="G307" s="71"/>
      <c r="H307" s="72"/>
      <c r="I307" s="72"/>
      <c r="J307" s="70"/>
      <c r="K307" s="70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68"/>
      <c r="B308" s="68"/>
      <c r="C308" s="68"/>
      <c r="D308" s="68"/>
      <c r="E308" s="68"/>
      <c r="F308" s="69"/>
      <c r="G308" s="68"/>
      <c r="H308" s="69"/>
      <c r="I308" s="69"/>
      <c r="J308" s="70"/>
      <c r="K308" s="70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71"/>
      <c r="B309" s="71"/>
      <c r="C309" s="71"/>
      <c r="D309" s="71"/>
      <c r="E309" s="71"/>
      <c r="F309" s="72"/>
      <c r="G309" s="71"/>
      <c r="H309" s="72"/>
      <c r="I309" s="72"/>
      <c r="J309" s="70"/>
      <c r="K309" s="70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68"/>
      <c r="B310" s="68"/>
      <c r="C310" s="68"/>
      <c r="D310" s="68"/>
      <c r="E310" s="68"/>
      <c r="F310" s="69"/>
      <c r="G310" s="68"/>
      <c r="H310" s="69"/>
      <c r="I310" s="69"/>
      <c r="J310" s="70"/>
      <c r="K310" s="70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71"/>
      <c r="B311" s="71"/>
      <c r="C311" s="71"/>
      <c r="D311" s="71"/>
      <c r="E311" s="71"/>
      <c r="F311" s="72"/>
      <c r="G311" s="71"/>
      <c r="H311" s="72"/>
      <c r="I311" s="72"/>
      <c r="J311" s="70"/>
      <c r="K311" s="70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68"/>
      <c r="B312" s="68"/>
      <c r="C312" s="68"/>
      <c r="D312" s="68"/>
      <c r="E312" s="68"/>
      <c r="F312" s="69"/>
      <c r="G312" s="68"/>
      <c r="H312" s="69"/>
      <c r="I312" s="69"/>
      <c r="J312" s="70"/>
      <c r="K312" s="70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71"/>
      <c r="B313" s="71"/>
      <c r="C313" s="71"/>
      <c r="D313" s="71"/>
      <c r="E313" s="71"/>
      <c r="F313" s="72"/>
      <c r="G313" s="71"/>
      <c r="H313" s="72"/>
      <c r="I313" s="72"/>
      <c r="J313" s="70"/>
      <c r="K313" s="70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68"/>
      <c r="B314" s="68"/>
      <c r="C314" s="68"/>
      <c r="D314" s="68"/>
      <c r="E314" s="68"/>
      <c r="F314" s="69"/>
      <c r="G314" s="68"/>
      <c r="H314" s="69"/>
      <c r="I314" s="69"/>
      <c r="J314" s="70"/>
      <c r="K314" s="70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71"/>
      <c r="B315" s="71"/>
      <c r="C315" s="71"/>
      <c r="D315" s="71"/>
      <c r="E315" s="71"/>
      <c r="F315" s="72"/>
      <c r="G315" s="71"/>
      <c r="H315" s="72"/>
      <c r="I315" s="72"/>
      <c r="J315" s="70"/>
      <c r="K315" s="70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68"/>
      <c r="B316" s="68"/>
      <c r="C316" s="68"/>
      <c r="D316" s="68"/>
      <c r="E316" s="68"/>
      <c r="F316" s="69"/>
      <c r="G316" s="68"/>
      <c r="H316" s="69"/>
      <c r="I316" s="69"/>
      <c r="J316" s="70"/>
      <c r="K316" s="70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71"/>
      <c r="B317" s="71"/>
      <c r="C317" s="71"/>
      <c r="D317" s="71"/>
      <c r="E317" s="71"/>
      <c r="F317" s="72"/>
      <c r="G317" s="71"/>
      <c r="H317" s="72"/>
      <c r="I317" s="72"/>
      <c r="J317" s="70"/>
      <c r="K317" s="70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68"/>
      <c r="B318" s="68"/>
      <c r="C318" s="68"/>
      <c r="D318" s="68"/>
      <c r="E318" s="68"/>
      <c r="F318" s="69"/>
      <c r="G318" s="68"/>
      <c r="H318" s="69"/>
      <c r="I318" s="69"/>
      <c r="J318" s="70"/>
      <c r="K318" s="70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71"/>
      <c r="B319" s="71"/>
      <c r="C319" s="71"/>
      <c r="D319" s="71"/>
      <c r="E319" s="71"/>
      <c r="F319" s="72"/>
      <c r="G319" s="71"/>
      <c r="H319" s="72"/>
      <c r="I319" s="72"/>
      <c r="J319" s="70"/>
      <c r="K319" s="70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68"/>
      <c r="B320" s="68"/>
      <c r="C320" s="68"/>
      <c r="D320" s="68"/>
      <c r="E320" s="68"/>
      <c r="F320" s="69"/>
      <c r="G320" s="68"/>
      <c r="H320" s="69"/>
      <c r="I320" s="69"/>
      <c r="J320" s="70"/>
      <c r="K320" s="70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71"/>
      <c r="B321" s="71"/>
      <c r="C321" s="71"/>
      <c r="D321" s="71"/>
      <c r="E321" s="71"/>
      <c r="F321" s="72"/>
      <c r="G321" s="71"/>
      <c r="H321" s="72"/>
      <c r="I321" s="72"/>
      <c r="J321" s="70"/>
      <c r="K321" s="70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68"/>
      <c r="B322" s="68"/>
      <c r="C322" s="68"/>
      <c r="D322" s="68"/>
      <c r="E322" s="68"/>
      <c r="F322" s="69"/>
      <c r="G322" s="68"/>
      <c r="H322" s="69"/>
      <c r="I322" s="69"/>
      <c r="J322" s="70"/>
      <c r="K322" s="70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71"/>
      <c r="B323" s="71"/>
      <c r="C323" s="71"/>
      <c r="D323" s="71"/>
      <c r="E323" s="71"/>
      <c r="F323" s="72"/>
      <c r="G323" s="71"/>
      <c r="H323" s="72"/>
      <c r="I323" s="72"/>
      <c r="J323" s="70"/>
      <c r="K323" s="70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68"/>
      <c r="B324" s="68"/>
      <c r="C324" s="68"/>
      <c r="D324" s="68"/>
      <c r="E324" s="68"/>
      <c r="F324" s="69"/>
      <c r="G324" s="68"/>
      <c r="H324" s="69"/>
      <c r="I324" s="69"/>
      <c r="J324" s="70"/>
      <c r="K324" s="70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71"/>
      <c r="B325" s="71"/>
      <c r="C325" s="71"/>
      <c r="D325" s="71"/>
      <c r="E325" s="71"/>
      <c r="F325" s="72"/>
      <c r="G325" s="71"/>
      <c r="H325" s="72"/>
      <c r="I325" s="72"/>
      <c r="J325" s="70"/>
      <c r="K325" s="70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68"/>
      <c r="B326" s="68"/>
      <c r="C326" s="68"/>
      <c r="D326" s="68"/>
      <c r="E326" s="68"/>
      <c r="F326" s="69"/>
      <c r="G326" s="68"/>
      <c r="H326" s="69"/>
      <c r="I326" s="69"/>
      <c r="J326" s="70"/>
      <c r="K326" s="70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71"/>
      <c r="B327" s="71"/>
      <c r="C327" s="71"/>
      <c r="D327" s="71"/>
      <c r="E327" s="71"/>
      <c r="F327" s="72"/>
      <c r="G327" s="71"/>
      <c r="H327" s="72"/>
      <c r="I327" s="72"/>
      <c r="J327" s="70"/>
      <c r="K327" s="70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68"/>
      <c r="B328" s="68"/>
      <c r="C328" s="68"/>
      <c r="D328" s="68"/>
      <c r="E328" s="68"/>
      <c r="F328" s="69"/>
      <c r="G328" s="68"/>
      <c r="H328" s="69"/>
      <c r="I328" s="69"/>
      <c r="J328" s="70"/>
      <c r="K328" s="70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71"/>
      <c r="B329" s="71"/>
      <c r="C329" s="71"/>
      <c r="D329" s="71"/>
      <c r="E329" s="71"/>
      <c r="F329" s="72"/>
      <c r="G329" s="71"/>
      <c r="H329" s="72"/>
      <c r="I329" s="72"/>
      <c r="J329" s="70"/>
      <c r="K329" s="70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68"/>
      <c r="B330" s="68"/>
      <c r="C330" s="68"/>
      <c r="D330" s="68"/>
      <c r="E330" s="68"/>
      <c r="F330" s="69"/>
      <c r="G330" s="68"/>
      <c r="H330" s="69"/>
      <c r="I330" s="69"/>
      <c r="J330" s="70"/>
      <c r="K330" s="70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71"/>
      <c r="B331" s="71"/>
      <c r="C331" s="71"/>
      <c r="D331" s="71"/>
      <c r="E331" s="71"/>
      <c r="F331" s="72"/>
      <c r="G331" s="71"/>
      <c r="H331" s="72"/>
      <c r="I331" s="72"/>
      <c r="J331" s="70"/>
      <c r="K331" s="70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68"/>
      <c r="B332" s="68"/>
      <c r="C332" s="68"/>
      <c r="D332" s="68"/>
      <c r="E332" s="68"/>
      <c r="F332" s="69"/>
      <c r="G332" s="68"/>
      <c r="H332" s="69"/>
      <c r="I332" s="69"/>
      <c r="J332" s="70"/>
      <c r="K332" s="70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71"/>
      <c r="B333" s="71"/>
      <c r="C333" s="71"/>
      <c r="D333" s="71"/>
      <c r="E333" s="71"/>
      <c r="F333" s="72"/>
      <c r="G333" s="71"/>
      <c r="H333" s="72"/>
      <c r="I333" s="72"/>
      <c r="J333" s="70"/>
      <c r="K333" s="70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68"/>
      <c r="B334" s="68"/>
      <c r="C334" s="68"/>
      <c r="D334" s="68"/>
      <c r="E334" s="68"/>
      <c r="F334" s="69"/>
      <c r="G334" s="68"/>
      <c r="H334" s="69"/>
      <c r="I334" s="69"/>
      <c r="J334" s="70"/>
      <c r="K334" s="70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71"/>
      <c r="B335" s="71"/>
      <c r="C335" s="71"/>
      <c r="D335" s="71"/>
      <c r="E335" s="71"/>
      <c r="F335" s="72"/>
      <c r="G335" s="71"/>
      <c r="H335" s="72"/>
      <c r="I335" s="72"/>
      <c r="J335" s="70"/>
      <c r="K335" s="70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68"/>
      <c r="B336" s="68"/>
      <c r="C336" s="68"/>
      <c r="D336" s="68"/>
      <c r="E336" s="68"/>
      <c r="F336" s="69"/>
      <c r="G336" s="68"/>
      <c r="H336" s="69"/>
      <c r="I336" s="69"/>
      <c r="J336" s="70"/>
      <c r="K336" s="70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71"/>
      <c r="B337" s="71"/>
      <c r="C337" s="71"/>
      <c r="D337" s="71"/>
      <c r="E337" s="71"/>
      <c r="F337" s="72"/>
      <c r="G337" s="71"/>
      <c r="H337" s="72"/>
      <c r="I337" s="72"/>
      <c r="J337" s="70"/>
      <c r="K337" s="70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68"/>
      <c r="B338" s="68"/>
      <c r="C338" s="68"/>
      <c r="D338" s="68"/>
      <c r="E338" s="68"/>
      <c r="F338" s="69"/>
      <c r="G338" s="68"/>
      <c r="H338" s="69"/>
      <c r="I338" s="69"/>
      <c r="J338" s="70"/>
      <c r="K338" s="70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71"/>
      <c r="B339" s="71"/>
      <c r="C339" s="71"/>
      <c r="D339" s="71"/>
      <c r="E339" s="71"/>
      <c r="F339" s="72"/>
      <c r="G339" s="71"/>
      <c r="H339" s="72"/>
      <c r="I339" s="72"/>
      <c r="J339" s="70"/>
      <c r="K339" s="70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68"/>
      <c r="B340" s="68"/>
      <c r="C340" s="68"/>
      <c r="D340" s="68"/>
      <c r="E340" s="68"/>
      <c r="F340" s="69"/>
      <c r="G340" s="68"/>
      <c r="H340" s="69"/>
      <c r="I340" s="69"/>
      <c r="J340" s="70"/>
      <c r="K340" s="70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71"/>
      <c r="B341" s="71"/>
      <c r="C341" s="71"/>
      <c r="D341" s="71"/>
      <c r="E341" s="71"/>
      <c r="F341" s="72"/>
      <c r="G341" s="71"/>
      <c r="H341" s="72"/>
      <c r="I341" s="72"/>
      <c r="J341" s="70"/>
      <c r="K341" s="70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68"/>
      <c r="B342" s="68"/>
      <c r="C342" s="68"/>
      <c r="D342" s="68"/>
      <c r="E342" s="68"/>
      <c r="F342" s="69"/>
      <c r="G342" s="68"/>
      <c r="H342" s="69"/>
      <c r="I342" s="69"/>
      <c r="J342" s="70"/>
      <c r="K342" s="70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71"/>
      <c r="B343" s="71"/>
      <c r="C343" s="71"/>
      <c r="D343" s="71"/>
      <c r="E343" s="71"/>
      <c r="F343" s="72"/>
      <c r="G343" s="71"/>
      <c r="H343" s="72"/>
      <c r="I343" s="72"/>
      <c r="J343" s="70"/>
      <c r="K343" s="70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68"/>
      <c r="B344" s="68"/>
      <c r="C344" s="68"/>
      <c r="D344" s="68"/>
      <c r="E344" s="68"/>
      <c r="F344" s="69"/>
      <c r="G344" s="68"/>
      <c r="H344" s="69"/>
      <c r="I344" s="69"/>
      <c r="J344" s="70"/>
      <c r="K344" s="70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71"/>
      <c r="B345" s="71"/>
      <c r="C345" s="71"/>
      <c r="D345" s="71"/>
      <c r="E345" s="71"/>
      <c r="F345" s="72"/>
      <c r="G345" s="71"/>
      <c r="H345" s="72"/>
      <c r="I345" s="72"/>
      <c r="J345" s="70"/>
      <c r="K345" s="70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68"/>
      <c r="B346" s="68"/>
      <c r="C346" s="68"/>
      <c r="D346" s="68"/>
      <c r="E346" s="68"/>
      <c r="F346" s="69"/>
      <c r="G346" s="68"/>
      <c r="H346" s="69"/>
      <c r="I346" s="69"/>
      <c r="J346" s="70"/>
      <c r="K346" s="70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71"/>
      <c r="B347" s="71"/>
      <c r="C347" s="71"/>
      <c r="D347" s="71"/>
      <c r="E347" s="71"/>
      <c r="F347" s="72"/>
      <c r="G347" s="71"/>
      <c r="H347" s="72"/>
      <c r="I347" s="72"/>
      <c r="J347" s="70"/>
      <c r="K347" s="70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68"/>
      <c r="B348" s="68"/>
      <c r="C348" s="68"/>
      <c r="D348" s="68"/>
      <c r="E348" s="68"/>
      <c r="F348" s="69"/>
      <c r="G348" s="68"/>
      <c r="H348" s="69"/>
      <c r="I348" s="69"/>
      <c r="J348" s="70"/>
      <c r="K348" s="70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71"/>
      <c r="B349" s="71"/>
      <c r="C349" s="71"/>
      <c r="D349" s="71"/>
      <c r="E349" s="71"/>
      <c r="F349" s="72"/>
      <c r="G349" s="71"/>
      <c r="H349" s="72"/>
      <c r="I349" s="72"/>
      <c r="J349" s="70"/>
      <c r="K349" s="70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68"/>
      <c r="B350" s="68"/>
      <c r="C350" s="68"/>
      <c r="D350" s="68"/>
      <c r="E350" s="68"/>
      <c r="F350" s="69"/>
      <c r="G350" s="68"/>
      <c r="H350" s="69"/>
      <c r="I350" s="69"/>
      <c r="J350" s="70"/>
      <c r="K350" s="70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71"/>
      <c r="B351" s="71"/>
      <c r="C351" s="71"/>
      <c r="D351" s="71"/>
      <c r="E351" s="71"/>
      <c r="F351" s="72"/>
      <c r="G351" s="71"/>
      <c r="H351" s="72"/>
      <c r="I351" s="72"/>
      <c r="J351" s="70"/>
      <c r="K351" s="70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68"/>
      <c r="B352" s="68"/>
      <c r="C352" s="68"/>
      <c r="D352" s="68"/>
      <c r="E352" s="68"/>
      <c r="F352" s="69"/>
      <c r="G352" s="68"/>
      <c r="H352" s="69"/>
      <c r="I352" s="69"/>
      <c r="J352" s="70"/>
      <c r="K352" s="70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71"/>
      <c r="B353" s="71"/>
      <c r="C353" s="71"/>
      <c r="D353" s="71"/>
      <c r="E353" s="71"/>
      <c r="F353" s="72"/>
      <c r="G353" s="71"/>
      <c r="H353" s="72"/>
      <c r="I353" s="72"/>
      <c r="J353" s="70"/>
      <c r="K353" s="70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68"/>
      <c r="B354" s="68"/>
      <c r="C354" s="68"/>
      <c r="D354" s="68"/>
      <c r="E354" s="68"/>
      <c r="F354" s="69"/>
      <c r="G354" s="68"/>
      <c r="H354" s="69"/>
      <c r="I354" s="69"/>
      <c r="J354" s="70"/>
      <c r="K354" s="70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71"/>
      <c r="B355" s="71"/>
      <c r="C355" s="71"/>
      <c r="D355" s="71"/>
      <c r="E355" s="71"/>
      <c r="F355" s="72"/>
      <c r="G355" s="71"/>
      <c r="H355" s="72"/>
      <c r="I355" s="72"/>
      <c r="J355" s="70"/>
      <c r="K355" s="70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68"/>
      <c r="B356" s="68"/>
      <c r="C356" s="68"/>
      <c r="D356" s="68"/>
      <c r="E356" s="68"/>
      <c r="F356" s="69"/>
      <c r="G356" s="68"/>
      <c r="H356" s="69"/>
      <c r="I356" s="69"/>
      <c r="J356" s="70"/>
      <c r="K356" s="70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71"/>
      <c r="B357" s="71"/>
      <c r="C357" s="71"/>
      <c r="D357" s="71"/>
      <c r="E357" s="71"/>
      <c r="F357" s="72"/>
      <c r="G357" s="71"/>
      <c r="H357" s="72"/>
      <c r="I357" s="72"/>
      <c r="J357" s="70"/>
      <c r="K357" s="70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68"/>
      <c r="B358" s="68"/>
      <c r="C358" s="68"/>
      <c r="D358" s="68"/>
      <c r="E358" s="68"/>
      <c r="F358" s="69"/>
      <c r="G358" s="68"/>
      <c r="H358" s="69"/>
      <c r="I358" s="69"/>
      <c r="J358" s="70"/>
      <c r="K358" s="70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71"/>
      <c r="B359" s="71"/>
      <c r="C359" s="71"/>
      <c r="D359" s="71"/>
      <c r="E359" s="71"/>
      <c r="F359" s="72"/>
      <c r="G359" s="71"/>
      <c r="H359" s="72"/>
      <c r="I359" s="72"/>
      <c r="J359" s="70"/>
      <c r="K359" s="70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68"/>
      <c r="B360" s="68"/>
      <c r="C360" s="68"/>
      <c r="D360" s="68"/>
      <c r="E360" s="68"/>
      <c r="F360" s="69"/>
      <c r="G360" s="68"/>
      <c r="H360" s="69"/>
      <c r="I360" s="69"/>
      <c r="J360" s="70"/>
      <c r="K360" s="70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71"/>
      <c r="B361" s="71"/>
      <c r="C361" s="71"/>
      <c r="D361" s="71"/>
      <c r="E361" s="71"/>
      <c r="F361" s="72"/>
      <c r="G361" s="71"/>
      <c r="H361" s="72"/>
      <c r="I361" s="72"/>
      <c r="J361" s="70"/>
      <c r="K361" s="70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68"/>
      <c r="B362" s="68"/>
      <c r="C362" s="68"/>
      <c r="D362" s="68"/>
      <c r="E362" s="68"/>
      <c r="F362" s="69"/>
      <c r="G362" s="68"/>
      <c r="H362" s="69"/>
      <c r="I362" s="69"/>
      <c r="J362" s="70"/>
      <c r="K362" s="70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71"/>
      <c r="B363" s="71"/>
      <c r="C363" s="71"/>
      <c r="D363" s="71"/>
      <c r="E363" s="71"/>
      <c r="F363" s="72"/>
      <c r="G363" s="71"/>
      <c r="H363" s="72"/>
      <c r="I363" s="72"/>
      <c r="J363" s="70"/>
      <c r="K363" s="70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68"/>
      <c r="B364" s="68"/>
      <c r="C364" s="68"/>
      <c r="D364" s="68"/>
      <c r="E364" s="68"/>
      <c r="F364" s="69"/>
      <c r="G364" s="68"/>
      <c r="H364" s="69"/>
      <c r="I364" s="69"/>
      <c r="J364" s="70"/>
      <c r="K364" s="70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71"/>
      <c r="B365" s="71"/>
      <c r="C365" s="71"/>
      <c r="D365" s="71"/>
      <c r="E365" s="71"/>
      <c r="F365" s="72"/>
      <c r="G365" s="71"/>
      <c r="H365" s="72"/>
      <c r="I365" s="72"/>
      <c r="J365" s="70"/>
      <c r="K365" s="70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68"/>
      <c r="B366" s="68"/>
      <c r="C366" s="68"/>
      <c r="D366" s="68"/>
      <c r="E366" s="68"/>
      <c r="F366" s="69"/>
      <c r="G366" s="68"/>
      <c r="H366" s="69"/>
      <c r="I366" s="69"/>
      <c r="J366" s="70"/>
      <c r="K366" s="70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71"/>
      <c r="B367" s="71"/>
      <c r="C367" s="71"/>
      <c r="D367" s="71"/>
      <c r="E367" s="71"/>
      <c r="F367" s="72"/>
      <c r="G367" s="71"/>
      <c r="H367" s="72"/>
      <c r="I367" s="72"/>
      <c r="J367" s="70"/>
      <c r="K367" s="70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68"/>
      <c r="B368" s="68"/>
      <c r="C368" s="68"/>
      <c r="D368" s="68"/>
      <c r="E368" s="68"/>
      <c r="F368" s="69"/>
      <c r="G368" s="68"/>
      <c r="H368" s="69"/>
      <c r="I368" s="69"/>
      <c r="J368" s="70"/>
      <c r="K368" s="70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71"/>
      <c r="B369" s="71"/>
      <c r="C369" s="71"/>
      <c r="D369" s="71"/>
      <c r="E369" s="71"/>
      <c r="F369" s="72"/>
      <c r="G369" s="71"/>
      <c r="H369" s="72"/>
      <c r="I369" s="72"/>
      <c r="J369" s="70"/>
      <c r="K369" s="70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68"/>
      <c r="B370" s="68"/>
      <c r="C370" s="68"/>
      <c r="D370" s="68"/>
      <c r="E370" s="68"/>
      <c r="F370" s="69"/>
      <c r="G370" s="68"/>
      <c r="H370" s="69"/>
      <c r="I370" s="69"/>
      <c r="J370" s="70"/>
      <c r="K370" s="70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71"/>
      <c r="B371" s="71"/>
      <c r="C371" s="71"/>
      <c r="D371" s="71"/>
      <c r="E371" s="71"/>
      <c r="F371" s="72"/>
      <c r="G371" s="71"/>
      <c r="H371" s="72"/>
      <c r="I371" s="72"/>
      <c r="J371" s="70"/>
      <c r="K371" s="70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68"/>
      <c r="B372" s="68"/>
      <c r="C372" s="68"/>
      <c r="D372" s="68"/>
      <c r="E372" s="68"/>
      <c r="F372" s="69"/>
      <c r="G372" s="68"/>
      <c r="H372" s="69"/>
      <c r="I372" s="69"/>
      <c r="J372" s="70"/>
      <c r="K372" s="70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71"/>
      <c r="B373" s="71"/>
      <c r="C373" s="71"/>
      <c r="D373" s="71"/>
      <c r="E373" s="71"/>
      <c r="F373" s="72"/>
      <c r="G373" s="71"/>
      <c r="H373" s="72"/>
      <c r="I373" s="72"/>
      <c r="J373" s="70"/>
      <c r="K373" s="70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68"/>
      <c r="B374" s="68"/>
      <c r="C374" s="68"/>
      <c r="D374" s="68"/>
      <c r="E374" s="68"/>
      <c r="F374" s="69"/>
      <c r="G374" s="68"/>
      <c r="H374" s="69"/>
      <c r="I374" s="69"/>
      <c r="J374" s="70"/>
      <c r="K374" s="70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71"/>
      <c r="B375" s="71"/>
      <c r="C375" s="71"/>
      <c r="D375" s="71"/>
      <c r="E375" s="71"/>
      <c r="F375" s="72"/>
      <c r="G375" s="71"/>
      <c r="H375" s="72"/>
      <c r="I375" s="72"/>
      <c r="J375" s="70"/>
      <c r="K375" s="70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68"/>
      <c r="B376" s="68"/>
      <c r="C376" s="68"/>
      <c r="D376" s="68"/>
      <c r="E376" s="68"/>
      <c r="F376" s="69"/>
      <c r="G376" s="68"/>
      <c r="H376" s="69"/>
      <c r="I376" s="69"/>
      <c r="J376" s="70"/>
      <c r="K376" s="70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71"/>
      <c r="B377" s="71"/>
      <c r="C377" s="71"/>
      <c r="D377" s="71"/>
      <c r="E377" s="71"/>
      <c r="F377" s="72"/>
      <c r="G377" s="71"/>
      <c r="H377" s="72"/>
      <c r="I377" s="72"/>
      <c r="J377" s="70"/>
      <c r="K377" s="70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68"/>
      <c r="B378" s="68"/>
      <c r="C378" s="68"/>
      <c r="D378" s="68"/>
      <c r="E378" s="68"/>
      <c r="F378" s="69"/>
      <c r="G378" s="68"/>
      <c r="H378" s="69"/>
      <c r="I378" s="69"/>
      <c r="J378" s="70"/>
      <c r="K378" s="70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71"/>
      <c r="B379" s="71"/>
      <c r="C379" s="71"/>
      <c r="D379" s="71"/>
      <c r="E379" s="71"/>
      <c r="F379" s="72"/>
      <c r="G379" s="71"/>
      <c r="H379" s="72"/>
      <c r="I379" s="72"/>
      <c r="J379" s="70"/>
      <c r="K379" s="70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68"/>
      <c r="B380" s="68"/>
      <c r="C380" s="68"/>
      <c r="D380" s="68"/>
      <c r="E380" s="68"/>
      <c r="F380" s="69"/>
      <c r="G380" s="68"/>
      <c r="H380" s="69"/>
      <c r="I380" s="69"/>
      <c r="J380" s="70"/>
      <c r="K380" s="70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71"/>
      <c r="B381" s="71"/>
      <c r="C381" s="71"/>
      <c r="D381" s="71"/>
      <c r="E381" s="71"/>
      <c r="F381" s="72"/>
      <c r="G381" s="71"/>
      <c r="H381" s="72"/>
      <c r="I381" s="72"/>
      <c r="J381" s="70"/>
      <c r="K381" s="70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68"/>
      <c r="B382" s="68"/>
      <c r="C382" s="68"/>
      <c r="D382" s="68"/>
      <c r="E382" s="68"/>
      <c r="F382" s="69"/>
      <c r="G382" s="68"/>
      <c r="H382" s="69"/>
      <c r="I382" s="69"/>
      <c r="J382" s="70"/>
      <c r="K382" s="70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71"/>
      <c r="B383" s="71"/>
      <c r="C383" s="71"/>
      <c r="D383" s="71"/>
      <c r="E383" s="71"/>
      <c r="F383" s="72"/>
      <c r="G383" s="71"/>
      <c r="H383" s="72"/>
      <c r="I383" s="72"/>
      <c r="J383" s="70"/>
      <c r="K383" s="70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68"/>
      <c r="B384" s="68"/>
      <c r="C384" s="68"/>
      <c r="D384" s="68"/>
      <c r="E384" s="68"/>
      <c r="F384" s="69"/>
      <c r="G384" s="68"/>
      <c r="H384" s="69"/>
      <c r="I384" s="69"/>
      <c r="J384" s="70"/>
      <c r="K384" s="70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71"/>
      <c r="B385" s="71"/>
      <c r="C385" s="71"/>
      <c r="D385" s="71"/>
      <c r="E385" s="71"/>
      <c r="F385" s="72"/>
      <c r="G385" s="71"/>
      <c r="H385" s="72"/>
      <c r="I385" s="72"/>
      <c r="J385" s="70"/>
      <c r="K385" s="70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68"/>
      <c r="B386" s="68"/>
      <c r="C386" s="68"/>
      <c r="D386" s="68"/>
      <c r="E386" s="68"/>
      <c r="F386" s="69"/>
      <c r="G386" s="68"/>
      <c r="H386" s="69"/>
      <c r="I386" s="69"/>
      <c r="J386" s="70"/>
      <c r="K386" s="70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71"/>
      <c r="B387" s="71"/>
      <c r="C387" s="71"/>
      <c r="D387" s="71"/>
      <c r="E387" s="71"/>
      <c r="F387" s="72"/>
      <c r="G387" s="71"/>
      <c r="H387" s="72"/>
      <c r="I387" s="72"/>
      <c r="J387" s="70"/>
      <c r="K387" s="70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68"/>
      <c r="B388" s="68"/>
      <c r="C388" s="68"/>
      <c r="D388" s="68"/>
      <c r="E388" s="68"/>
      <c r="F388" s="69"/>
      <c r="G388" s="68"/>
      <c r="H388" s="69"/>
      <c r="I388" s="69"/>
      <c r="J388" s="70"/>
      <c r="K388" s="70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71"/>
      <c r="B389" s="71"/>
      <c r="C389" s="71"/>
      <c r="D389" s="71"/>
      <c r="E389" s="71"/>
      <c r="F389" s="72"/>
      <c r="G389" s="71"/>
      <c r="H389" s="72"/>
      <c r="I389" s="72"/>
      <c r="J389" s="70"/>
      <c r="K389" s="70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68"/>
      <c r="B390" s="68"/>
      <c r="C390" s="68"/>
      <c r="D390" s="68"/>
      <c r="E390" s="68"/>
      <c r="F390" s="69"/>
      <c r="G390" s="68"/>
      <c r="H390" s="69"/>
      <c r="I390" s="69"/>
      <c r="J390" s="70"/>
      <c r="K390" s="70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71"/>
      <c r="B391" s="71"/>
      <c r="C391" s="71"/>
      <c r="D391" s="71"/>
      <c r="E391" s="71"/>
      <c r="F391" s="72"/>
      <c r="G391" s="71"/>
      <c r="H391" s="72"/>
      <c r="I391" s="72"/>
      <c r="J391" s="70"/>
      <c r="K391" s="70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68"/>
      <c r="B392" s="68"/>
      <c r="C392" s="68"/>
      <c r="D392" s="68"/>
      <c r="E392" s="68"/>
      <c r="F392" s="69"/>
      <c r="G392" s="68"/>
      <c r="H392" s="69"/>
      <c r="I392" s="69"/>
      <c r="J392" s="70"/>
      <c r="K392" s="70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71"/>
      <c r="B393" s="71"/>
      <c r="C393" s="71"/>
      <c r="D393" s="71"/>
      <c r="E393" s="71"/>
      <c r="F393" s="72"/>
      <c r="G393" s="71"/>
      <c r="H393" s="72"/>
      <c r="I393" s="72"/>
      <c r="J393" s="70"/>
      <c r="K393" s="70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68"/>
      <c r="B394" s="68"/>
      <c r="C394" s="68"/>
      <c r="D394" s="68"/>
      <c r="E394" s="68"/>
      <c r="F394" s="69"/>
      <c r="G394" s="68"/>
      <c r="H394" s="69"/>
      <c r="I394" s="69"/>
      <c r="J394" s="70"/>
      <c r="K394" s="70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71"/>
      <c r="B395" s="71"/>
      <c r="C395" s="71"/>
      <c r="D395" s="71"/>
      <c r="E395" s="71"/>
      <c r="F395" s="72"/>
      <c r="G395" s="71"/>
      <c r="H395" s="72"/>
      <c r="I395" s="72"/>
      <c r="J395" s="70"/>
      <c r="K395" s="70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68"/>
      <c r="B396" s="68"/>
      <c r="C396" s="68"/>
      <c r="D396" s="68"/>
      <c r="E396" s="68"/>
      <c r="F396" s="69"/>
      <c r="G396" s="68"/>
      <c r="H396" s="69"/>
      <c r="I396" s="69"/>
      <c r="J396" s="70"/>
      <c r="K396" s="70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71"/>
      <c r="B397" s="71"/>
      <c r="C397" s="71"/>
      <c r="D397" s="71"/>
      <c r="E397" s="71"/>
      <c r="F397" s="72"/>
      <c r="G397" s="71"/>
      <c r="H397" s="72"/>
      <c r="I397" s="72"/>
      <c r="J397" s="70"/>
      <c r="K397" s="70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68"/>
      <c r="B398" s="68"/>
      <c r="C398" s="68"/>
      <c r="D398" s="68"/>
      <c r="E398" s="68"/>
      <c r="F398" s="69"/>
      <c r="G398" s="68"/>
      <c r="H398" s="69"/>
      <c r="I398" s="69"/>
      <c r="J398" s="70"/>
      <c r="K398" s="70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71"/>
      <c r="B399" s="71"/>
      <c r="C399" s="71"/>
      <c r="D399" s="71"/>
      <c r="E399" s="71"/>
      <c r="F399" s="72"/>
      <c r="G399" s="71"/>
      <c r="H399" s="72"/>
      <c r="I399" s="72"/>
      <c r="J399" s="70"/>
      <c r="K399" s="70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68"/>
      <c r="B400" s="68"/>
      <c r="C400" s="68"/>
      <c r="D400" s="68"/>
      <c r="E400" s="68"/>
      <c r="F400" s="69"/>
      <c r="G400" s="68"/>
      <c r="H400" s="69"/>
      <c r="I400" s="69"/>
      <c r="J400" s="70"/>
      <c r="K400" s="70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71"/>
      <c r="B401" s="71"/>
      <c r="C401" s="71"/>
      <c r="D401" s="71"/>
      <c r="E401" s="71"/>
      <c r="F401" s="72"/>
      <c r="G401" s="71"/>
      <c r="H401" s="72"/>
      <c r="I401" s="72"/>
      <c r="J401" s="70"/>
      <c r="K401" s="70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68"/>
      <c r="B402" s="68"/>
      <c r="C402" s="68"/>
      <c r="D402" s="68"/>
      <c r="E402" s="68"/>
      <c r="F402" s="69"/>
      <c r="G402" s="68"/>
      <c r="H402" s="69"/>
      <c r="I402" s="69"/>
      <c r="J402" s="70"/>
      <c r="K402" s="70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71"/>
      <c r="B403" s="71"/>
      <c r="C403" s="71"/>
      <c r="D403" s="71"/>
      <c r="E403" s="71"/>
      <c r="F403" s="72"/>
      <c r="G403" s="71"/>
      <c r="H403" s="72"/>
      <c r="I403" s="72"/>
      <c r="J403" s="70"/>
      <c r="K403" s="70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68"/>
      <c r="B404" s="68"/>
      <c r="C404" s="68"/>
      <c r="D404" s="68"/>
      <c r="E404" s="68"/>
      <c r="F404" s="69"/>
      <c r="G404" s="68"/>
      <c r="H404" s="69"/>
      <c r="I404" s="69"/>
      <c r="J404" s="70"/>
      <c r="K404" s="70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71"/>
      <c r="B405" s="71"/>
      <c r="C405" s="71"/>
      <c r="D405" s="71"/>
      <c r="E405" s="71"/>
      <c r="F405" s="72"/>
      <c r="G405" s="71"/>
      <c r="H405" s="72"/>
      <c r="I405" s="72"/>
      <c r="J405" s="70"/>
      <c r="K405" s="70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68"/>
      <c r="B406" s="68"/>
      <c r="C406" s="68"/>
      <c r="D406" s="68"/>
      <c r="E406" s="68"/>
      <c r="F406" s="69"/>
      <c r="G406" s="68"/>
      <c r="H406" s="69"/>
      <c r="I406" s="69"/>
      <c r="J406" s="70"/>
      <c r="K406" s="70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71"/>
      <c r="B407" s="71"/>
      <c r="C407" s="71"/>
      <c r="D407" s="71"/>
      <c r="E407" s="71"/>
      <c r="F407" s="72"/>
      <c r="G407" s="71"/>
      <c r="H407" s="72"/>
      <c r="I407" s="72"/>
      <c r="J407" s="70"/>
      <c r="K407" s="70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68"/>
      <c r="B408" s="68"/>
      <c r="C408" s="68"/>
      <c r="D408" s="68"/>
      <c r="E408" s="68"/>
      <c r="F408" s="69"/>
      <c r="G408" s="68"/>
      <c r="H408" s="69"/>
      <c r="I408" s="69"/>
      <c r="J408" s="70"/>
      <c r="K408" s="70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71"/>
      <c r="B409" s="71"/>
      <c r="C409" s="71"/>
      <c r="D409" s="71"/>
      <c r="E409" s="71"/>
      <c r="F409" s="72"/>
      <c r="G409" s="71"/>
      <c r="H409" s="72"/>
      <c r="I409" s="72"/>
      <c r="J409" s="70"/>
      <c r="K409" s="70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68"/>
      <c r="B410" s="68"/>
      <c r="C410" s="68"/>
      <c r="D410" s="68"/>
      <c r="E410" s="68"/>
      <c r="F410" s="69"/>
      <c r="G410" s="68"/>
      <c r="H410" s="69"/>
      <c r="I410" s="69"/>
      <c r="J410" s="70"/>
      <c r="K410" s="70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71"/>
      <c r="B411" s="71"/>
      <c r="C411" s="71"/>
      <c r="D411" s="71"/>
      <c r="E411" s="71"/>
      <c r="F411" s="72"/>
      <c r="G411" s="71"/>
      <c r="H411" s="72"/>
      <c r="I411" s="72"/>
      <c r="J411" s="70"/>
      <c r="K411" s="70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68"/>
      <c r="B412" s="68"/>
      <c r="C412" s="68"/>
      <c r="D412" s="68"/>
      <c r="E412" s="68"/>
      <c r="F412" s="69"/>
      <c r="G412" s="68"/>
      <c r="H412" s="69"/>
      <c r="I412" s="69"/>
      <c r="J412" s="70"/>
      <c r="K412" s="70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71"/>
      <c r="B413" s="71"/>
      <c r="C413" s="71"/>
      <c r="D413" s="71"/>
      <c r="E413" s="71"/>
      <c r="F413" s="72"/>
      <c r="G413" s="71"/>
      <c r="H413" s="72"/>
      <c r="I413" s="72"/>
      <c r="J413" s="70"/>
      <c r="K413" s="70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68"/>
      <c r="B414" s="68"/>
      <c r="C414" s="68"/>
      <c r="D414" s="68"/>
      <c r="E414" s="68"/>
      <c r="F414" s="69"/>
      <c r="G414" s="68"/>
      <c r="H414" s="69"/>
      <c r="I414" s="69"/>
      <c r="J414" s="70"/>
      <c r="K414" s="70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71"/>
      <c r="B415" s="71"/>
      <c r="C415" s="71"/>
      <c r="D415" s="71"/>
      <c r="E415" s="71"/>
      <c r="F415" s="72"/>
      <c r="G415" s="71"/>
      <c r="H415" s="72"/>
      <c r="I415" s="72"/>
      <c r="J415" s="70"/>
      <c r="K415" s="70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68"/>
      <c r="B416" s="68"/>
      <c r="C416" s="68"/>
      <c r="D416" s="68"/>
      <c r="E416" s="68"/>
      <c r="F416" s="69"/>
      <c r="G416" s="68"/>
      <c r="H416" s="69"/>
      <c r="I416" s="69"/>
      <c r="J416" s="70"/>
      <c r="K416" s="70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71"/>
      <c r="B417" s="71"/>
      <c r="C417" s="71"/>
      <c r="D417" s="71"/>
      <c r="E417" s="71"/>
      <c r="F417" s="72"/>
      <c r="G417" s="71"/>
      <c r="H417" s="72"/>
      <c r="I417" s="72"/>
      <c r="J417" s="70"/>
      <c r="K417" s="70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68"/>
      <c r="B418" s="68"/>
      <c r="C418" s="68"/>
      <c r="D418" s="68"/>
      <c r="E418" s="68"/>
      <c r="F418" s="69"/>
      <c r="G418" s="68"/>
      <c r="H418" s="69"/>
      <c r="I418" s="69"/>
      <c r="J418" s="70"/>
      <c r="K418" s="70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71"/>
      <c r="B419" s="71"/>
      <c r="C419" s="71"/>
      <c r="D419" s="71"/>
      <c r="E419" s="71"/>
      <c r="F419" s="72"/>
      <c r="G419" s="71"/>
      <c r="H419" s="72"/>
      <c r="I419" s="72"/>
      <c r="J419" s="70"/>
      <c r="K419" s="70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68"/>
      <c r="B420" s="68"/>
      <c r="C420" s="68"/>
      <c r="D420" s="68"/>
      <c r="E420" s="68"/>
      <c r="F420" s="69"/>
      <c r="G420" s="68"/>
      <c r="H420" s="69"/>
      <c r="I420" s="69"/>
      <c r="J420" s="70"/>
      <c r="K420" s="70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71"/>
      <c r="B421" s="71"/>
      <c r="C421" s="71"/>
      <c r="D421" s="71"/>
      <c r="E421" s="71"/>
      <c r="F421" s="72"/>
      <c r="G421" s="71"/>
      <c r="H421" s="72"/>
      <c r="I421" s="72"/>
      <c r="J421" s="70"/>
      <c r="K421" s="70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68"/>
      <c r="B422" s="68"/>
      <c r="C422" s="68"/>
      <c r="D422" s="68"/>
      <c r="E422" s="68"/>
      <c r="F422" s="69"/>
      <c r="G422" s="68"/>
      <c r="H422" s="69"/>
      <c r="I422" s="69"/>
      <c r="J422" s="70"/>
      <c r="K422" s="70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71"/>
      <c r="B423" s="71"/>
      <c r="C423" s="71"/>
      <c r="D423" s="71"/>
      <c r="E423" s="71"/>
      <c r="F423" s="72"/>
      <c r="G423" s="71"/>
      <c r="H423" s="72"/>
      <c r="I423" s="72"/>
      <c r="J423" s="70"/>
      <c r="K423" s="70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68"/>
      <c r="B424" s="68"/>
      <c r="C424" s="68"/>
      <c r="D424" s="68"/>
      <c r="E424" s="68"/>
      <c r="F424" s="69"/>
      <c r="G424" s="68"/>
      <c r="H424" s="69"/>
      <c r="I424" s="69"/>
      <c r="J424" s="70"/>
      <c r="K424" s="70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71"/>
      <c r="B425" s="71"/>
      <c r="C425" s="71"/>
      <c r="D425" s="71"/>
      <c r="E425" s="71"/>
      <c r="F425" s="72"/>
      <c r="G425" s="71"/>
      <c r="H425" s="72"/>
      <c r="I425" s="72"/>
      <c r="J425" s="70"/>
      <c r="K425" s="70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68"/>
      <c r="B426" s="68"/>
      <c r="C426" s="68"/>
      <c r="D426" s="68"/>
      <c r="E426" s="68"/>
      <c r="F426" s="69"/>
      <c r="G426" s="68"/>
      <c r="H426" s="69"/>
      <c r="I426" s="69"/>
      <c r="J426" s="70"/>
      <c r="K426" s="70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71"/>
      <c r="B427" s="71"/>
      <c r="C427" s="71"/>
      <c r="D427" s="71"/>
      <c r="E427" s="71"/>
      <c r="F427" s="72"/>
      <c r="G427" s="71"/>
      <c r="H427" s="72"/>
      <c r="I427" s="72"/>
      <c r="J427" s="70"/>
      <c r="K427" s="70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68"/>
      <c r="B428" s="68"/>
      <c r="C428" s="68"/>
      <c r="D428" s="68"/>
      <c r="E428" s="68"/>
      <c r="F428" s="69"/>
      <c r="G428" s="68"/>
      <c r="H428" s="69"/>
      <c r="I428" s="69"/>
      <c r="J428" s="70"/>
      <c r="K428" s="70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71"/>
      <c r="B429" s="71"/>
      <c r="C429" s="71"/>
      <c r="D429" s="71"/>
      <c r="E429" s="71"/>
      <c r="F429" s="72"/>
      <c r="G429" s="71"/>
      <c r="H429" s="72"/>
      <c r="I429" s="72"/>
      <c r="J429" s="70"/>
      <c r="K429" s="70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68"/>
      <c r="B430" s="68"/>
      <c r="C430" s="68"/>
      <c r="D430" s="68"/>
      <c r="E430" s="68"/>
      <c r="F430" s="69"/>
      <c r="G430" s="68"/>
      <c r="H430" s="69"/>
      <c r="I430" s="69"/>
      <c r="J430" s="70"/>
      <c r="K430" s="70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71"/>
      <c r="B431" s="71"/>
      <c r="C431" s="71"/>
      <c r="D431" s="71"/>
      <c r="E431" s="71"/>
      <c r="F431" s="72"/>
      <c r="G431" s="71"/>
      <c r="H431" s="72"/>
      <c r="I431" s="72"/>
      <c r="J431" s="70"/>
      <c r="K431" s="70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68"/>
      <c r="B432" s="68"/>
      <c r="C432" s="68"/>
      <c r="D432" s="68"/>
      <c r="E432" s="68"/>
      <c r="F432" s="69"/>
      <c r="G432" s="68"/>
      <c r="H432" s="69"/>
      <c r="I432" s="69"/>
      <c r="J432" s="70"/>
      <c r="K432" s="70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71"/>
      <c r="B433" s="71"/>
      <c r="C433" s="71"/>
      <c r="D433" s="71"/>
      <c r="E433" s="71"/>
      <c r="F433" s="72"/>
      <c r="G433" s="71"/>
      <c r="H433" s="72"/>
      <c r="I433" s="72"/>
      <c r="J433" s="70"/>
      <c r="K433" s="70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68"/>
      <c r="B434" s="68"/>
      <c r="C434" s="68"/>
      <c r="D434" s="68"/>
      <c r="E434" s="68"/>
      <c r="F434" s="69"/>
      <c r="G434" s="68"/>
      <c r="H434" s="69"/>
      <c r="I434" s="69"/>
      <c r="J434" s="70"/>
      <c r="K434" s="70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71"/>
      <c r="B435" s="71"/>
      <c r="C435" s="71"/>
      <c r="D435" s="71"/>
      <c r="E435" s="71"/>
      <c r="F435" s="72"/>
      <c r="G435" s="71"/>
      <c r="H435" s="72"/>
      <c r="I435" s="72"/>
      <c r="J435" s="70"/>
      <c r="K435" s="70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68"/>
      <c r="B436" s="68"/>
      <c r="C436" s="68"/>
      <c r="D436" s="68"/>
      <c r="E436" s="68"/>
      <c r="F436" s="69"/>
      <c r="G436" s="68"/>
      <c r="H436" s="69"/>
      <c r="I436" s="69"/>
      <c r="J436" s="70"/>
      <c r="K436" s="70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71"/>
      <c r="B437" s="71"/>
      <c r="C437" s="71"/>
      <c r="D437" s="71"/>
      <c r="E437" s="71"/>
      <c r="F437" s="72"/>
      <c r="G437" s="71"/>
      <c r="H437" s="72"/>
      <c r="I437" s="72"/>
      <c r="J437" s="70"/>
      <c r="K437" s="70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68"/>
      <c r="B438" s="68"/>
      <c r="C438" s="68"/>
      <c r="D438" s="68"/>
      <c r="E438" s="68"/>
      <c r="F438" s="69"/>
      <c r="G438" s="68"/>
      <c r="H438" s="69"/>
      <c r="I438" s="69"/>
      <c r="J438" s="70"/>
      <c r="K438" s="70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71"/>
      <c r="B439" s="71"/>
      <c r="C439" s="71"/>
      <c r="D439" s="71"/>
      <c r="E439" s="71"/>
      <c r="F439" s="72"/>
      <c r="G439" s="71"/>
      <c r="H439" s="72"/>
      <c r="I439" s="72"/>
      <c r="J439" s="70"/>
      <c r="K439" s="70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68"/>
      <c r="B440" s="68"/>
      <c r="C440" s="68"/>
      <c r="D440" s="68"/>
      <c r="E440" s="68"/>
      <c r="F440" s="69"/>
      <c r="G440" s="68"/>
      <c r="H440" s="69"/>
      <c r="I440" s="69"/>
      <c r="J440" s="70"/>
      <c r="K440" s="70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71"/>
      <c r="B441" s="71"/>
      <c r="C441" s="71"/>
      <c r="D441" s="71"/>
      <c r="E441" s="71"/>
      <c r="F441" s="72"/>
      <c r="G441" s="71"/>
      <c r="H441" s="72"/>
      <c r="I441" s="72"/>
      <c r="J441" s="70"/>
      <c r="K441" s="70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68"/>
      <c r="B442" s="68"/>
      <c r="C442" s="68"/>
      <c r="D442" s="68"/>
      <c r="E442" s="68"/>
      <c r="F442" s="69"/>
      <c r="G442" s="68"/>
      <c r="H442" s="69"/>
      <c r="I442" s="69"/>
      <c r="J442" s="70"/>
      <c r="K442" s="70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71"/>
      <c r="B443" s="71"/>
      <c r="C443" s="71"/>
      <c r="D443" s="71"/>
      <c r="E443" s="71"/>
      <c r="F443" s="72"/>
      <c r="G443" s="71"/>
      <c r="H443" s="72"/>
      <c r="I443" s="72"/>
      <c r="J443" s="70"/>
      <c r="K443" s="70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68"/>
      <c r="B444" s="68"/>
      <c r="C444" s="68"/>
      <c r="D444" s="68"/>
      <c r="E444" s="68"/>
      <c r="F444" s="69"/>
      <c r="G444" s="68"/>
      <c r="H444" s="69"/>
      <c r="I444" s="69"/>
      <c r="J444" s="70"/>
      <c r="K444" s="70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71"/>
      <c r="B445" s="71"/>
      <c r="C445" s="71"/>
      <c r="D445" s="71"/>
      <c r="E445" s="71"/>
      <c r="F445" s="72"/>
      <c r="G445" s="71"/>
      <c r="H445" s="72"/>
      <c r="I445" s="72"/>
      <c r="J445" s="70"/>
      <c r="K445" s="70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68"/>
      <c r="B446" s="68"/>
      <c r="C446" s="68"/>
      <c r="D446" s="68"/>
      <c r="E446" s="68"/>
      <c r="F446" s="69"/>
      <c r="G446" s="68"/>
      <c r="H446" s="69"/>
      <c r="I446" s="69"/>
      <c r="J446" s="70"/>
      <c r="K446" s="70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71"/>
      <c r="B447" s="71"/>
      <c r="C447" s="71"/>
      <c r="D447" s="71"/>
      <c r="E447" s="71"/>
      <c r="F447" s="72"/>
      <c r="G447" s="71"/>
      <c r="H447" s="72"/>
      <c r="I447" s="72"/>
      <c r="J447" s="70"/>
      <c r="K447" s="70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68"/>
      <c r="B448" s="68"/>
      <c r="C448" s="68"/>
      <c r="D448" s="68"/>
      <c r="E448" s="68"/>
      <c r="F448" s="69"/>
      <c r="G448" s="68"/>
      <c r="H448" s="69"/>
      <c r="I448" s="69"/>
      <c r="J448" s="70"/>
      <c r="K448" s="70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71"/>
      <c r="B449" s="71"/>
      <c r="C449" s="71"/>
      <c r="D449" s="71"/>
      <c r="E449" s="71"/>
      <c r="F449" s="72"/>
      <c r="G449" s="71"/>
      <c r="H449" s="72"/>
      <c r="I449" s="72"/>
      <c r="J449" s="70"/>
      <c r="K449" s="70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68"/>
      <c r="B450" s="68"/>
      <c r="C450" s="68"/>
      <c r="D450" s="68"/>
      <c r="E450" s="68"/>
      <c r="F450" s="69"/>
      <c r="G450" s="68"/>
      <c r="H450" s="69"/>
      <c r="I450" s="69"/>
      <c r="J450" s="70"/>
      <c r="K450" s="70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71"/>
      <c r="B451" s="71"/>
      <c r="C451" s="71"/>
      <c r="D451" s="71"/>
      <c r="E451" s="71"/>
      <c r="F451" s="72"/>
      <c r="G451" s="71"/>
      <c r="H451" s="72"/>
      <c r="I451" s="72"/>
      <c r="J451" s="70"/>
      <c r="K451" s="70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68"/>
      <c r="B452" s="68"/>
      <c r="C452" s="68"/>
      <c r="D452" s="68"/>
      <c r="E452" s="68"/>
      <c r="F452" s="69"/>
      <c r="G452" s="68"/>
      <c r="H452" s="69"/>
      <c r="I452" s="69"/>
      <c r="J452" s="70"/>
      <c r="K452" s="70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71"/>
      <c r="B453" s="71"/>
      <c r="C453" s="71"/>
      <c r="D453" s="71"/>
      <c r="E453" s="71"/>
      <c r="F453" s="72"/>
      <c r="G453" s="71"/>
      <c r="H453" s="72"/>
      <c r="I453" s="72"/>
      <c r="J453" s="70"/>
      <c r="K453" s="70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68"/>
      <c r="B454" s="68"/>
      <c r="C454" s="68"/>
      <c r="D454" s="68"/>
      <c r="E454" s="68"/>
      <c r="F454" s="69"/>
      <c r="G454" s="68"/>
      <c r="H454" s="69"/>
      <c r="I454" s="69"/>
      <c r="J454" s="70"/>
      <c r="K454" s="70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71"/>
      <c r="B455" s="71"/>
      <c r="C455" s="71"/>
      <c r="D455" s="71"/>
      <c r="E455" s="71"/>
      <c r="F455" s="72"/>
      <c r="G455" s="71"/>
      <c r="H455" s="72"/>
      <c r="I455" s="72"/>
      <c r="J455" s="70"/>
      <c r="K455" s="70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68"/>
      <c r="B456" s="68"/>
      <c r="C456" s="68"/>
      <c r="D456" s="68"/>
      <c r="E456" s="68"/>
      <c r="F456" s="69"/>
      <c r="G456" s="68"/>
      <c r="H456" s="69"/>
      <c r="I456" s="69"/>
      <c r="J456" s="70"/>
      <c r="K456" s="70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71"/>
      <c r="B457" s="71"/>
      <c r="C457" s="71"/>
      <c r="D457" s="71"/>
      <c r="E457" s="71"/>
      <c r="F457" s="72"/>
      <c r="G457" s="71"/>
      <c r="H457" s="72"/>
      <c r="I457" s="72"/>
      <c r="J457" s="70"/>
      <c r="K457" s="70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68"/>
      <c r="B458" s="68"/>
      <c r="C458" s="68"/>
      <c r="D458" s="68"/>
      <c r="E458" s="68"/>
      <c r="F458" s="69"/>
      <c r="G458" s="68"/>
      <c r="H458" s="69"/>
      <c r="I458" s="69"/>
      <c r="J458" s="70"/>
      <c r="K458" s="70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71"/>
      <c r="B459" s="71"/>
      <c r="C459" s="71"/>
      <c r="D459" s="71"/>
      <c r="E459" s="71"/>
      <c r="F459" s="72"/>
      <c r="G459" s="71"/>
      <c r="H459" s="72"/>
      <c r="I459" s="72"/>
      <c r="J459" s="70"/>
      <c r="K459" s="70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68"/>
      <c r="B460" s="68"/>
      <c r="C460" s="68"/>
      <c r="D460" s="68"/>
      <c r="E460" s="68"/>
      <c r="F460" s="69"/>
      <c r="G460" s="68"/>
      <c r="H460" s="69"/>
      <c r="I460" s="69"/>
      <c r="J460" s="70"/>
      <c r="K460" s="70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71"/>
      <c r="B461" s="71"/>
      <c r="C461" s="71"/>
      <c r="D461" s="71"/>
      <c r="E461" s="71"/>
      <c r="F461" s="72"/>
      <c r="G461" s="71"/>
      <c r="H461" s="72"/>
      <c r="I461" s="72"/>
      <c r="J461" s="70"/>
      <c r="K461" s="70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68"/>
      <c r="B462" s="68"/>
      <c r="C462" s="68"/>
      <c r="D462" s="68"/>
      <c r="E462" s="68"/>
      <c r="F462" s="69"/>
      <c r="G462" s="68"/>
      <c r="H462" s="69"/>
      <c r="I462" s="69"/>
      <c r="J462" s="70"/>
      <c r="K462" s="70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71"/>
      <c r="B463" s="71"/>
      <c r="C463" s="71"/>
      <c r="D463" s="71"/>
      <c r="E463" s="71"/>
      <c r="F463" s="72"/>
      <c r="G463" s="71"/>
      <c r="H463" s="72"/>
      <c r="I463" s="72"/>
      <c r="J463" s="70"/>
      <c r="K463" s="70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68"/>
      <c r="B464" s="68"/>
      <c r="C464" s="68"/>
      <c r="D464" s="68"/>
      <c r="E464" s="68"/>
      <c r="F464" s="69"/>
      <c r="G464" s="68"/>
      <c r="H464" s="69"/>
      <c r="I464" s="69"/>
      <c r="J464" s="70"/>
      <c r="K464" s="70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71"/>
      <c r="B465" s="71"/>
      <c r="C465" s="71"/>
      <c r="D465" s="71"/>
      <c r="E465" s="71"/>
      <c r="F465" s="72"/>
      <c r="G465" s="71"/>
      <c r="H465" s="72"/>
      <c r="I465" s="72"/>
      <c r="J465" s="70"/>
      <c r="K465" s="70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68"/>
      <c r="B466" s="68"/>
      <c r="C466" s="68"/>
      <c r="D466" s="68"/>
      <c r="E466" s="68"/>
      <c r="F466" s="69"/>
      <c r="G466" s="68"/>
      <c r="H466" s="69"/>
      <c r="I466" s="69"/>
      <c r="J466" s="70"/>
      <c r="K466" s="70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71"/>
      <c r="B467" s="71"/>
      <c r="C467" s="71"/>
      <c r="D467" s="71"/>
      <c r="E467" s="71"/>
      <c r="F467" s="72"/>
      <c r="G467" s="71"/>
      <c r="H467" s="72"/>
      <c r="I467" s="72"/>
      <c r="J467" s="70"/>
      <c r="K467" s="70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68"/>
      <c r="B468" s="68"/>
      <c r="C468" s="68"/>
      <c r="D468" s="68"/>
      <c r="E468" s="68"/>
      <c r="F468" s="69"/>
      <c r="G468" s="68"/>
      <c r="H468" s="69"/>
      <c r="I468" s="69"/>
      <c r="J468" s="70"/>
      <c r="K468" s="70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71"/>
      <c r="B469" s="71"/>
      <c r="C469" s="71"/>
      <c r="D469" s="71"/>
      <c r="E469" s="71"/>
      <c r="F469" s="72"/>
      <c r="G469" s="71"/>
      <c r="H469" s="72"/>
      <c r="I469" s="72"/>
      <c r="J469" s="70"/>
      <c r="K469" s="70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68"/>
      <c r="B470" s="68"/>
      <c r="C470" s="68"/>
      <c r="D470" s="68"/>
      <c r="E470" s="68"/>
      <c r="F470" s="69"/>
      <c r="G470" s="68"/>
      <c r="H470" s="69"/>
      <c r="I470" s="69"/>
      <c r="J470" s="70"/>
      <c r="K470" s="70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71"/>
      <c r="B471" s="71"/>
      <c r="C471" s="71"/>
      <c r="D471" s="71"/>
      <c r="E471" s="71"/>
      <c r="F471" s="72"/>
      <c r="G471" s="71"/>
      <c r="H471" s="72"/>
      <c r="I471" s="72"/>
      <c r="J471" s="70"/>
      <c r="K471" s="70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68"/>
      <c r="B472" s="68"/>
      <c r="C472" s="68"/>
      <c r="D472" s="68"/>
      <c r="E472" s="68"/>
      <c r="F472" s="69"/>
      <c r="G472" s="68"/>
      <c r="H472" s="69"/>
      <c r="I472" s="69"/>
      <c r="J472" s="70"/>
      <c r="K472" s="70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71"/>
      <c r="B473" s="71"/>
      <c r="C473" s="71"/>
      <c r="D473" s="71"/>
      <c r="E473" s="71"/>
      <c r="F473" s="72"/>
      <c r="G473" s="71"/>
      <c r="H473" s="72"/>
      <c r="I473" s="72"/>
      <c r="J473" s="70"/>
      <c r="K473" s="70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68"/>
      <c r="B474" s="68"/>
      <c r="C474" s="68"/>
      <c r="D474" s="68"/>
      <c r="E474" s="68"/>
      <c r="F474" s="69"/>
      <c r="G474" s="68"/>
      <c r="H474" s="69"/>
      <c r="I474" s="69"/>
      <c r="J474" s="70"/>
      <c r="K474" s="70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71"/>
      <c r="B475" s="71"/>
      <c r="C475" s="71"/>
      <c r="D475" s="71"/>
      <c r="E475" s="71"/>
      <c r="F475" s="72"/>
      <c r="G475" s="71"/>
      <c r="H475" s="72"/>
      <c r="I475" s="72"/>
      <c r="J475" s="70"/>
      <c r="K475" s="70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68"/>
      <c r="B476" s="68"/>
      <c r="C476" s="68"/>
      <c r="D476" s="68"/>
      <c r="E476" s="68"/>
      <c r="F476" s="69"/>
      <c r="G476" s="68"/>
      <c r="H476" s="69"/>
      <c r="I476" s="69"/>
      <c r="J476" s="70"/>
      <c r="K476" s="70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71"/>
      <c r="B477" s="71"/>
      <c r="C477" s="71"/>
      <c r="D477" s="71"/>
      <c r="E477" s="71"/>
      <c r="F477" s="72"/>
      <c r="G477" s="71"/>
      <c r="H477" s="72"/>
      <c r="I477" s="72"/>
      <c r="J477" s="70"/>
      <c r="K477" s="70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68"/>
      <c r="B478" s="68"/>
      <c r="C478" s="68"/>
      <c r="D478" s="68"/>
      <c r="E478" s="68"/>
      <c r="F478" s="69"/>
      <c r="G478" s="68"/>
      <c r="H478" s="69"/>
      <c r="I478" s="69"/>
      <c r="J478" s="70"/>
      <c r="K478" s="70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71"/>
      <c r="B479" s="71"/>
      <c r="C479" s="71"/>
      <c r="D479" s="71"/>
      <c r="E479" s="71"/>
      <c r="F479" s="72"/>
      <c r="G479" s="71"/>
      <c r="H479" s="72"/>
      <c r="I479" s="72"/>
      <c r="J479" s="70"/>
      <c r="K479" s="70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68"/>
      <c r="B480" s="68"/>
      <c r="C480" s="68"/>
      <c r="D480" s="68"/>
      <c r="E480" s="68"/>
      <c r="F480" s="69"/>
      <c r="G480" s="68"/>
      <c r="H480" s="69"/>
      <c r="I480" s="69"/>
      <c r="J480" s="70"/>
      <c r="K480" s="70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71"/>
      <c r="B481" s="71"/>
      <c r="C481" s="71"/>
      <c r="D481" s="71"/>
      <c r="E481" s="71"/>
      <c r="F481" s="72"/>
      <c r="G481" s="71"/>
      <c r="H481" s="72"/>
      <c r="I481" s="72"/>
      <c r="J481" s="70"/>
      <c r="K481" s="70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68"/>
      <c r="B482" s="68"/>
      <c r="C482" s="68"/>
      <c r="D482" s="68"/>
      <c r="E482" s="68"/>
      <c r="F482" s="69"/>
      <c r="G482" s="68"/>
      <c r="H482" s="69"/>
      <c r="I482" s="69"/>
      <c r="J482" s="70"/>
      <c r="K482" s="70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71"/>
      <c r="B483" s="71"/>
      <c r="C483" s="71"/>
      <c r="D483" s="71"/>
      <c r="E483" s="71"/>
      <c r="F483" s="72"/>
      <c r="G483" s="71"/>
      <c r="H483" s="72"/>
      <c r="I483" s="72"/>
      <c r="J483" s="70"/>
      <c r="K483" s="70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68"/>
      <c r="B484" s="68"/>
      <c r="C484" s="68"/>
      <c r="D484" s="68"/>
      <c r="E484" s="68"/>
      <c r="F484" s="69"/>
      <c r="G484" s="68"/>
      <c r="H484" s="69"/>
      <c r="I484" s="69"/>
      <c r="J484" s="70"/>
      <c r="K484" s="70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71"/>
      <c r="B485" s="71"/>
      <c r="C485" s="71"/>
      <c r="D485" s="71"/>
      <c r="E485" s="71"/>
      <c r="F485" s="72"/>
      <c r="G485" s="71"/>
      <c r="H485" s="72"/>
      <c r="I485" s="72"/>
      <c r="J485" s="70"/>
      <c r="K485" s="70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68"/>
      <c r="B486" s="68"/>
      <c r="C486" s="68"/>
      <c r="D486" s="68"/>
      <c r="E486" s="68"/>
      <c r="F486" s="69"/>
      <c r="G486" s="68"/>
      <c r="H486" s="69"/>
      <c r="I486" s="69"/>
      <c r="J486" s="70"/>
      <c r="K486" s="70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71"/>
      <c r="B487" s="71"/>
      <c r="C487" s="71"/>
      <c r="D487" s="71"/>
      <c r="E487" s="71"/>
      <c r="F487" s="72"/>
      <c r="G487" s="71"/>
      <c r="H487" s="72"/>
      <c r="I487" s="72"/>
      <c r="J487" s="70"/>
      <c r="K487" s="70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68"/>
      <c r="B488" s="68"/>
      <c r="C488" s="68"/>
      <c r="D488" s="68"/>
      <c r="E488" s="68"/>
      <c r="F488" s="69"/>
      <c r="G488" s="68"/>
      <c r="H488" s="69"/>
      <c r="I488" s="69"/>
      <c r="J488" s="70"/>
      <c r="K488" s="70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71"/>
      <c r="B489" s="71"/>
      <c r="C489" s="71"/>
      <c r="D489" s="71"/>
      <c r="E489" s="71"/>
      <c r="F489" s="72"/>
      <c r="G489" s="71"/>
      <c r="H489" s="72"/>
      <c r="I489" s="72"/>
      <c r="J489" s="70"/>
      <c r="K489" s="70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68"/>
      <c r="B490" s="68"/>
      <c r="C490" s="68"/>
      <c r="D490" s="68"/>
      <c r="E490" s="68"/>
      <c r="F490" s="69"/>
      <c r="G490" s="68"/>
      <c r="H490" s="69"/>
      <c r="I490" s="69"/>
      <c r="J490" s="70"/>
      <c r="K490" s="70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71"/>
      <c r="B491" s="71"/>
      <c r="C491" s="71"/>
      <c r="D491" s="71"/>
      <c r="E491" s="71"/>
      <c r="F491" s="72"/>
      <c r="G491" s="71"/>
      <c r="H491" s="72"/>
      <c r="I491" s="72"/>
      <c r="J491" s="70"/>
      <c r="K491" s="70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68"/>
      <c r="B492" s="68"/>
      <c r="C492" s="68"/>
      <c r="D492" s="68"/>
      <c r="E492" s="68"/>
      <c r="F492" s="69"/>
      <c r="G492" s="68"/>
      <c r="H492" s="69"/>
      <c r="I492" s="69"/>
      <c r="J492" s="70"/>
      <c r="K492" s="70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71"/>
      <c r="B493" s="71"/>
      <c r="C493" s="71"/>
      <c r="D493" s="71"/>
      <c r="E493" s="71"/>
      <c r="F493" s="72"/>
      <c r="G493" s="71"/>
      <c r="H493" s="72"/>
      <c r="I493" s="72"/>
      <c r="J493" s="70"/>
      <c r="K493" s="70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68"/>
      <c r="B494" s="68"/>
      <c r="C494" s="68"/>
      <c r="D494" s="68"/>
      <c r="E494" s="68"/>
      <c r="F494" s="69"/>
      <c r="G494" s="68"/>
      <c r="H494" s="69"/>
      <c r="I494" s="69"/>
      <c r="J494" s="70"/>
      <c r="K494" s="70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71"/>
      <c r="B495" s="71"/>
      <c r="C495" s="71"/>
      <c r="D495" s="71"/>
      <c r="E495" s="71"/>
      <c r="F495" s="72"/>
      <c r="G495" s="71"/>
      <c r="H495" s="72"/>
      <c r="I495" s="72"/>
      <c r="J495" s="70"/>
      <c r="K495" s="70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68"/>
      <c r="B496" s="68"/>
      <c r="C496" s="68"/>
      <c r="D496" s="68"/>
      <c r="E496" s="68"/>
      <c r="F496" s="69"/>
      <c r="G496" s="68"/>
      <c r="H496" s="69"/>
      <c r="I496" s="69"/>
      <c r="J496" s="70"/>
      <c r="K496" s="70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71"/>
      <c r="B497" s="71"/>
      <c r="C497" s="71"/>
      <c r="D497" s="71"/>
      <c r="E497" s="71"/>
      <c r="F497" s="72"/>
      <c r="G497" s="71"/>
      <c r="H497" s="72"/>
      <c r="I497" s="72"/>
      <c r="J497" s="70"/>
      <c r="K497" s="70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68"/>
      <c r="B498" s="68"/>
      <c r="C498" s="68"/>
      <c r="D498" s="68"/>
      <c r="E498" s="68"/>
      <c r="F498" s="69"/>
      <c r="G498" s="68"/>
      <c r="H498" s="69"/>
      <c r="I498" s="69"/>
      <c r="J498" s="70"/>
      <c r="K498" s="70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71"/>
      <c r="B499" s="71"/>
      <c r="C499" s="71"/>
      <c r="D499" s="71"/>
      <c r="E499" s="71"/>
      <c r="F499" s="72"/>
      <c r="G499" s="71"/>
      <c r="H499" s="72"/>
      <c r="I499" s="72"/>
      <c r="J499" s="70"/>
      <c r="K499" s="70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68"/>
      <c r="B500" s="68"/>
      <c r="C500" s="68"/>
      <c r="D500" s="68"/>
      <c r="E500" s="68"/>
      <c r="F500" s="69"/>
      <c r="G500" s="68"/>
      <c r="H500" s="69"/>
      <c r="I500" s="69"/>
      <c r="J500" s="70"/>
      <c r="K500" s="70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71"/>
      <c r="B501" s="71"/>
      <c r="C501" s="71"/>
      <c r="D501" s="71"/>
      <c r="E501" s="71"/>
      <c r="F501" s="72"/>
      <c r="G501" s="71"/>
      <c r="H501" s="72"/>
      <c r="I501" s="72"/>
      <c r="J501" s="70"/>
      <c r="K501" s="70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68"/>
      <c r="B502" s="68"/>
      <c r="C502" s="68"/>
      <c r="D502" s="68"/>
      <c r="E502" s="68"/>
      <c r="F502" s="69"/>
      <c r="G502" s="68"/>
      <c r="H502" s="69"/>
      <c r="I502" s="69"/>
      <c r="J502" s="70"/>
      <c r="K502" s="70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71"/>
      <c r="B503" s="71"/>
      <c r="C503" s="71"/>
      <c r="D503" s="71"/>
      <c r="E503" s="71"/>
      <c r="F503" s="72"/>
      <c r="G503" s="71"/>
      <c r="H503" s="72"/>
      <c r="I503" s="72"/>
      <c r="J503" s="70"/>
      <c r="K503" s="70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68"/>
      <c r="B504" s="68"/>
      <c r="C504" s="68"/>
      <c r="D504" s="68"/>
      <c r="E504" s="68"/>
      <c r="F504" s="69"/>
      <c r="G504" s="68"/>
      <c r="H504" s="69"/>
      <c r="I504" s="69"/>
      <c r="J504" s="70"/>
      <c r="K504" s="70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71"/>
      <c r="B505" s="71"/>
      <c r="C505" s="71"/>
      <c r="D505" s="71"/>
      <c r="E505" s="71"/>
      <c r="F505" s="72"/>
      <c r="G505" s="71"/>
      <c r="H505" s="72"/>
      <c r="I505" s="72"/>
      <c r="J505" s="70"/>
      <c r="K505" s="70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68"/>
      <c r="B506" s="68"/>
      <c r="C506" s="68"/>
      <c r="D506" s="68"/>
      <c r="E506" s="68"/>
      <c r="F506" s="69"/>
      <c r="G506" s="68"/>
      <c r="H506" s="69"/>
      <c r="I506" s="69"/>
      <c r="J506" s="70"/>
      <c r="K506" s="70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71"/>
      <c r="B507" s="71"/>
      <c r="C507" s="71"/>
      <c r="D507" s="71"/>
      <c r="E507" s="71"/>
      <c r="F507" s="72"/>
      <c r="G507" s="71"/>
      <c r="H507" s="72"/>
      <c r="I507" s="72"/>
      <c r="J507" s="70"/>
      <c r="K507" s="70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68"/>
      <c r="B508" s="68"/>
      <c r="C508" s="68"/>
      <c r="D508" s="68"/>
      <c r="E508" s="68"/>
      <c r="F508" s="69"/>
      <c r="G508" s="68"/>
      <c r="H508" s="69"/>
      <c r="I508" s="69"/>
      <c r="J508" s="70"/>
      <c r="K508" s="70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71"/>
      <c r="B509" s="71"/>
      <c r="C509" s="71"/>
      <c r="D509" s="71"/>
      <c r="E509" s="71"/>
      <c r="F509" s="72"/>
      <c r="G509" s="71"/>
      <c r="H509" s="72"/>
      <c r="I509" s="72"/>
      <c r="J509" s="70"/>
      <c r="K509" s="70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68"/>
      <c r="B510" s="68"/>
      <c r="C510" s="68"/>
      <c r="D510" s="68"/>
      <c r="E510" s="68"/>
      <c r="F510" s="69"/>
      <c r="G510" s="68"/>
      <c r="H510" s="69"/>
      <c r="I510" s="69"/>
      <c r="J510" s="70"/>
      <c r="K510" s="70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71"/>
      <c r="B511" s="71"/>
      <c r="C511" s="71"/>
      <c r="D511" s="71"/>
      <c r="E511" s="71"/>
      <c r="F511" s="72"/>
      <c r="G511" s="71"/>
      <c r="H511" s="72"/>
      <c r="I511" s="72"/>
      <c r="J511" s="70"/>
      <c r="K511" s="70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68"/>
      <c r="B512" s="68"/>
      <c r="C512" s="68"/>
      <c r="D512" s="68"/>
      <c r="E512" s="68"/>
      <c r="F512" s="69"/>
      <c r="G512" s="68"/>
      <c r="H512" s="69"/>
      <c r="I512" s="69"/>
      <c r="J512" s="70"/>
      <c r="K512" s="70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71"/>
      <c r="B513" s="71"/>
      <c r="C513" s="71"/>
      <c r="D513" s="71"/>
      <c r="E513" s="71"/>
      <c r="F513" s="72"/>
      <c r="G513" s="71"/>
      <c r="H513" s="72"/>
      <c r="I513" s="72"/>
      <c r="J513" s="70"/>
      <c r="K513" s="70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68"/>
      <c r="B514" s="68"/>
      <c r="C514" s="68"/>
      <c r="D514" s="68"/>
      <c r="E514" s="68"/>
      <c r="F514" s="69"/>
      <c r="G514" s="68"/>
      <c r="H514" s="69"/>
      <c r="I514" s="69"/>
      <c r="J514" s="70"/>
      <c r="K514" s="70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71"/>
      <c r="B515" s="71"/>
      <c r="C515" s="71"/>
      <c r="D515" s="71"/>
      <c r="E515" s="71"/>
      <c r="F515" s="72"/>
      <c r="G515" s="71"/>
      <c r="H515" s="72"/>
      <c r="I515" s="72"/>
      <c r="J515" s="70"/>
      <c r="K515" s="70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68"/>
      <c r="B516" s="68"/>
      <c r="C516" s="68"/>
      <c r="D516" s="68"/>
      <c r="E516" s="68"/>
      <c r="F516" s="69"/>
      <c r="G516" s="68"/>
      <c r="H516" s="69"/>
      <c r="I516" s="69"/>
      <c r="J516" s="70"/>
      <c r="K516" s="70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71"/>
      <c r="B517" s="71"/>
      <c r="C517" s="71"/>
      <c r="D517" s="71"/>
      <c r="E517" s="71"/>
      <c r="F517" s="72"/>
      <c r="G517" s="71"/>
      <c r="H517" s="72"/>
      <c r="I517" s="72"/>
      <c r="J517" s="70"/>
      <c r="K517" s="70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68"/>
      <c r="B518" s="68"/>
      <c r="C518" s="68"/>
      <c r="D518" s="68"/>
      <c r="E518" s="68"/>
      <c r="F518" s="69"/>
      <c r="G518" s="68"/>
      <c r="H518" s="69"/>
      <c r="I518" s="69"/>
      <c r="J518" s="70"/>
      <c r="K518" s="70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71"/>
      <c r="B519" s="71"/>
      <c r="C519" s="71"/>
      <c r="D519" s="71"/>
      <c r="E519" s="71"/>
      <c r="F519" s="72"/>
      <c r="G519" s="71"/>
      <c r="H519" s="72"/>
      <c r="I519" s="72"/>
      <c r="J519" s="70"/>
      <c r="K519" s="70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68"/>
      <c r="B520" s="68"/>
      <c r="C520" s="68"/>
      <c r="D520" s="68"/>
      <c r="E520" s="68"/>
      <c r="F520" s="69"/>
      <c r="G520" s="68"/>
      <c r="H520" s="69"/>
      <c r="I520" s="69"/>
      <c r="J520" s="70"/>
      <c r="K520" s="70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71"/>
      <c r="B521" s="71"/>
      <c r="C521" s="71"/>
      <c r="D521" s="71"/>
      <c r="E521" s="71"/>
      <c r="F521" s="72"/>
      <c r="G521" s="71"/>
      <c r="H521" s="72"/>
      <c r="I521" s="72"/>
      <c r="J521" s="70"/>
      <c r="K521" s="70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68"/>
      <c r="B522" s="68"/>
      <c r="C522" s="68"/>
      <c r="D522" s="68"/>
      <c r="E522" s="68"/>
      <c r="F522" s="69"/>
      <c r="G522" s="68"/>
      <c r="H522" s="69"/>
      <c r="I522" s="69"/>
      <c r="J522" s="70"/>
      <c r="K522" s="70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71"/>
      <c r="B523" s="71"/>
      <c r="C523" s="71"/>
      <c r="D523" s="71"/>
      <c r="E523" s="71"/>
      <c r="F523" s="72"/>
      <c r="G523" s="71"/>
      <c r="H523" s="72"/>
      <c r="I523" s="72"/>
      <c r="J523" s="70"/>
      <c r="K523" s="70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68"/>
      <c r="B524" s="68"/>
      <c r="C524" s="68"/>
      <c r="D524" s="68"/>
      <c r="E524" s="68"/>
      <c r="F524" s="69"/>
      <c r="G524" s="68"/>
      <c r="H524" s="69"/>
      <c r="I524" s="69"/>
      <c r="J524" s="70"/>
      <c r="K524" s="70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71"/>
      <c r="B525" s="71"/>
      <c r="C525" s="71"/>
      <c r="D525" s="71"/>
      <c r="E525" s="71"/>
      <c r="F525" s="72"/>
      <c r="G525" s="71"/>
      <c r="H525" s="72"/>
      <c r="I525" s="72"/>
      <c r="J525" s="70"/>
      <c r="K525" s="70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68"/>
      <c r="B526" s="68"/>
      <c r="C526" s="68"/>
      <c r="D526" s="68"/>
      <c r="E526" s="68"/>
      <c r="F526" s="69"/>
      <c r="G526" s="68"/>
      <c r="H526" s="69"/>
      <c r="I526" s="69"/>
      <c r="J526" s="70"/>
      <c r="K526" s="70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71"/>
      <c r="B527" s="71"/>
      <c r="C527" s="71"/>
      <c r="D527" s="71"/>
      <c r="E527" s="71"/>
      <c r="F527" s="72"/>
      <c r="G527" s="71"/>
      <c r="H527" s="72"/>
      <c r="I527" s="72"/>
      <c r="J527" s="70"/>
      <c r="K527" s="70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68"/>
      <c r="B528" s="68"/>
      <c r="C528" s="68"/>
      <c r="D528" s="68"/>
      <c r="E528" s="68"/>
      <c r="F528" s="69"/>
      <c r="G528" s="68"/>
      <c r="H528" s="69"/>
      <c r="I528" s="69"/>
      <c r="J528" s="70"/>
      <c r="K528" s="70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71"/>
      <c r="B529" s="71"/>
      <c r="C529" s="71"/>
      <c r="D529" s="71"/>
      <c r="E529" s="71"/>
      <c r="F529" s="72"/>
      <c r="G529" s="71"/>
      <c r="H529" s="72"/>
      <c r="I529" s="72"/>
      <c r="J529" s="70"/>
      <c r="K529" s="70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68"/>
      <c r="B530" s="68"/>
      <c r="C530" s="68"/>
      <c r="D530" s="68"/>
      <c r="E530" s="68"/>
      <c r="F530" s="69"/>
      <c r="G530" s="68"/>
      <c r="H530" s="69"/>
      <c r="I530" s="69"/>
      <c r="J530" s="70"/>
      <c r="K530" s="70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71"/>
      <c r="B531" s="71"/>
      <c r="C531" s="71"/>
      <c r="D531" s="71"/>
      <c r="E531" s="71"/>
      <c r="F531" s="72"/>
      <c r="G531" s="71"/>
      <c r="H531" s="72"/>
      <c r="I531" s="72"/>
      <c r="J531" s="70"/>
      <c r="K531" s="70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68"/>
      <c r="B532" s="68"/>
      <c r="C532" s="68"/>
      <c r="D532" s="68"/>
      <c r="E532" s="68"/>
      <c r="F532" s="69"/>
      <c r="G532" s="68"/>
      <c r="H532" s="69"/>
      <c r="I532" s="69"/>
      <c r="J532" s="70"/>
      <c r="K532" s="70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71"/>
      <c r="B533" s="71"/>
      <c r="C533" s="71"/>
      <c r="D533" s="71"/>
      <c r="E533" s="71"/>
      <c r="F533" s="72"/>
      <c r="G533" s="71"/>
      <c r="H533" s="72"/>
      <c r="I533" s="72"/>
      <c r="J533" s="70"/>
      <c r="K533" s="70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68"/>
      <c r="B534" s="68"/>
      <c r="C534" s="68"/>
      <c r="D534" s="68"/>
      <c r="E534" s="68"/>
      <c r="F534" s="69"/>
      <c r="G534" s="68"/>
      <c r="H534" s="69"/>
      <c r="I534" s="69"/>
      <c r="J534" s="70"/>
      <c r="K534" s="70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71"/>
      <c r="B535" s="71"/>
      <c r="C535" s="71"/>
      <c r="D535" s="71"/>
      <c r="E535" s="71"/>
      <c r="F535" s="72"/>
      <c r="G535" s="71"/>
      <c r="H535" s="72"/>
      <c r="I535" s="72"/>
      <c r="J535" s="70"/>
      <c r="K535" s="70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68"/>
      <c r="B536" s="68"/>
      <c r="C536" s="68"/>
      <c r="D536" s="68"/>
      <c r="E536" s="68"/>
      <c r="F536" s="69"/>
      <c r="G536" s="68"/>
      <c r="H536" s="69"/>
      <c r="I536" s="69"/>
      <c r="J536" s="70"/>
      <c r="K536" s="70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71"/>
      <c r="B537" s="71"/>
      <c r="C537" s="71"/>
      <c r="D537" s="71"/>
      <c r="E537" s="71"/>
      <c r="F537" s="72"/>
      <c r="G537" s="71"/>
      <c r="H537" s="72"/>
      <c r="I537" s="72"/>
      <c r="J537" s="70"/>
      <c r="K537" s="70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68"/>
      <c r="B538" s="68"/>
      <c r="C538" s="68"/>
      <c r="D538" s="68"/>
      <c r="E538" s="68"/>
      <c r="F538" s="69"/>
      <c r="G538" s="68"/>
      <c r="H538" s="69"/>
      <c r="I538" s="69"/>
      <c r="J538" s="70"/>
      <c r="K538" s="70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71"/>
      <c r="B539" s="71"/>
      <c r="C539" s="71"/>
      <c r="D539" s="71"/>
      <c r="E539" s="71"/>
      <c r="F539" s="72"/>
      <c r="G539" s="71"/>
      <c r="H539" s="72"/>
      <c r="I539" s="72"/>
      <c r="J539" s="70"/>
      <c r="K539" s="70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68"/>
      <c r="B540" s="68"/>
      <c r="C540" s="68"/>
      <c r="D540" s="68"/>
      <c r="E540" s="68"/>
      <c r="F540" s="69"/>
      <c r="G540" s="68"/>
      <c r="H540" s="69"/>
      <c r="I540" s="69"/>
      <c r="J540" s="70"/>
      <c r="K540" s="70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71"/>
      <c r="B541" s="71"/>
      <c r="C541" s="71"/>
      <c r="D541" s="71"/>
      <c r="E541" s="71"/>
      <c r="F541" s="72"/>
      <c r="G541" s="71"/>
      <c r="H541" s="72"/>
      <c r="I541" s="72"/>
      <c r="J541" s="70"/>
      <c r="K541" s="70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68"/>
      <c r="B542" s="68"/>
      <c r="C542" s="68"/>
      <c r="D542" s="68"/>
      <c r="E542" s="68"/>
      <c r="F542" s="69"/>
      <c r="G542" s="68"/>
      <c r="H542" s="69"/>
      <c r="I542" s="69"/>
      <c r="J542" s="70"/>
      <c r="K542" s="70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71"/>
      <c r="B543" s="71"/>
      <c r="C543" s="71"/>
      <c r="D543" s="71"/>
      <c r="E543" s="71"/>
      <c r="F543" s="72"/>
      <c r="G543" s="71"/>
      <c r="H543" s="72"/>
      <c r="I543" s="72"/>
      <c r="J543" s="70"/>
      <c r="K543" s="70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68"/>
      <c r="B544" s="68"/>
      <c r="C544" s="68"/>
      <c r="D544" s="68"/>
      <c r="E544" s="68"/>
      <c r="F544" s="69"/>
      <c r="G544" s="68"/>
      <c r="H544" s="69"/>
      <c r="I544" s="69"/>
      <c r="J544" s="70"/>
      <c r="K544" s="70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71"/>
      <c r="B545" s="71"/>
      <c r="C545" s="71"/>
      <c r="D545" s="71"/>
      <c r="E545" s="71"/>
      <c r="F545" s="72"/>
      <c r="G545" s="71"/>
      <c r="H545" s="72"/>
      <c r="I545" s="72"/>
      <c r="J545" s="70"/>
      <c r="K545" s="70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68"/>
      <c r="B546" s="68"/>
      <c r="C546" s="68"/>
      <c r="D546" s="68"/>
      <c r="E546" s="68"/>
      <c r="F546" s="69"/>
      <c r="G546" s="68"/>
      <c r="H546" s="69"/>
      <c r="I546" s="69"/>
      <c r="J546" s="70"/>
      <c r="K546" s="70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71"/>
      <c r="B547" s="71"/>
      <c r="C547" s="71"/>
      <c r="D547" s="71"/>
      <c r="E547" s="71"/>
      <c r="F547" s="72"/>
      <c r="G547" s="71"/>
      <c r="H547" s="72"/>
      <c r="I547" s="72"/>
      <c r="J547" s="70"/>
      <c r="K547" s="70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68"/>
      <c r="B548" s="68"/>
      <c r="C548" s="68"/>
      <c r="D548" s="68"/>
      <c r="E548" s="68"/>
      <c r="F548" s="69"/>
      <c r="G548" s="68"/>
      <c r="H548" s="69"/>
      <c r="I548" s="69"/>
      <c r="J548" s="70"/>
      <c r="K548" s="70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71"/>
      <c r="B549" s="71"/>
      <c r="C549" s="71"/>
      <c r="D549" s="71"/>
      <c r="E549" s="71"/>
      <c r="F549" s="72"/>
      <c r="G549" s="71"/>
      <c r="H549" s="72"/>
      <c r="I549" s="72"/>
      <c r="J549" s="70"/>
      <c r="K549" s="70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68"/>
      <c r="B550" s="68"/>
      <c r="C550" s="68"/>
      <c r="D550" s="68"/>
      <c r="E550" s="68"/>
      <c r="F550" s="69"/>
      <c r="G550" s="68"/>
      <c r="H550" s="69"/>
      <c r="I550" s="69"/>
      <c r="J550" s="70"/>
      <c r="K550" s="70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71"/>
      <c r="B551" s="71"/>
      <c r="C551" s="71"/>
      <c r="D551" s="71"/>
      <c r="E551" s="71"/>
      <c r="F551" s="72"/>
      <c r="G551" s="71"/>
      <c r="H551" s="72"/>
      <c r="I551" s="72"/>
      <c r="J551" s="70"/>
      <c r="K551" s="70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68"/>
      <c r="B552" s="68"/>
      <c r="C552" s="68"/>
      <c r="D552" s="68"/>
      <c r="E552" s="68"/>
      <c r="F552" s="69"/>
      <c r="G552" s="68"/>
      <c r="H552" s="69"/>
      <c r="I552" s="69"/>
      <c r="J552" s="70"/>
      <c r="K552" s="70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71"/>
      <c r="B553" s="71"/>
      <c r="C553" s="71"/>
      <c r="D553" s="71"/>
      <c r="E553" s="71"/>
      <c r="F553" s="72"/>
      <c r="G553" s="71"/>
      <c r="H553" s="72"/>
      <c r="I553" s="72"/>
      <c r="J553" s="70"/>
      <c r="K553" s="70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68"/>
      <c r="B554" s="68"/>
      <c r="C554" s="68"/>
      <c r="D554" s="68"/>
      <c r="E554" s="68"/>
      <c r="F554" s="69"/>
      <c r="G554" s="68"/>
      <c r="H554" s="69"/>
      <c r="I554" s="69"/>
      <c r="J554" s="70"/>
      <c r="K554" s="70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71"/>
      <c r="B555" s="71"/>
      <c r="C555" s="71"/>
      <c r="D555" s="71"/>
      <c r="E555" s="71"/>
      <c r="F555" s="72"/>
      <c r="G555" s="71"/>
      <c r="H555" s="72"/>
      <c r="I555" s="72"/>
      <c r="J555" s="70"/>
      <c r="K555" s="70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68"/>
      <c r="B556" s="68"/>
      <c r="C556" s="68"/>
      <c r="D556" s="68"/>
      <c r="E556" s="68"/>
      <c r="F556" s="69"/>
      <c r="G556" s="68"/>
      <c r="H556" s="69"/>
      <c r="I556" s="69"/>
      <c r="J556" s="70"/>
      <c r="K556" s="70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71"/>
      <c r="B557" s="71"/>
      <c r="C557" s="71"/>
      <c r="D557" s="71"/>
      <c r="E557" s="71"/>
      <c r="F557" s="72"/>
      <c r="G557" s="71"/>
      <c r="H557" s="72"/>
      <c r="I557" s="72"/>
      <c r="J557" s="70"/>
      <c r="K557" s="70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68"/>
      <c r="B558" s="68"/>
      <c r="C558" s="68"/>
      <c r="D558" s="68"/>
      <c r="E558" s="68"/>
      <c r="F558" s="69"/>
      <c r="G558" s="68"/>
      <c r="H558" s="69"/>
      <c r="I558" s="69"/>
      <c r="J558" s="70"/>
      <c r="K558" s="70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71"/>
      <c r="B559" s="71"/>
      <c r="C559" s="71"/>
      <c r="D559" s="71"/>
      <c r="E559" s="71"/>
      <c r="F559" s="72"/>
      <c r="G559" s="71"/>
      <c r="H559" s="72"/>
      <c r="I559" s="72"/>
      <c r="J559" s="70"/>
      <c r="K559" s="70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68"/>
      <c r="B560" s="68"/>
      <c r="C560" s="68"/>
      <c r="D560" s="68"/>
      <c r="E560" s="68"/>
      <c r="F560" s="69"/>
      <c r="G560" s="68"/>
      <c r="H560" s="69"/>
      <c r="I560" s="69"/>
      <c r="J560" s="70"/>
      <c r="K560" s="70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71"/>
      <c r="B561" s="71"/>
      <c r="C561" s="71"/>
      <c r="D561" s="71"/>
      <c r="E561" s="71"/>
      <c r="F561" s="72"/>
      <c r="G561" s="71"/>
      <c r="H561" s="72"/>
      <c r="I561" s="72"/>
      <c r="J561" s="70"/>
      <c r="K561" s="70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68"/>
      <c r="B562" s="68"/>
      <c r="C562" s="68"/>
      <c r="D562" s="68"/>
      <c r="E562" s="68"/>
      <c r="F562" s="69"/>
      <c r="G562" s="68"/>
      <c r="H562" s="69"/>
      <c r="I562" s="69"/>
      <c r="J562" s="70"/>
      <c r="K562" s="70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71"/>
      <c r="B563" s="71"/>
      <c r="C563" s="71"/>
      <c r="D563" s="71"/>
      <c r="E563" s="71"/>
      <c r="F563" s="72"/>
      <c r="G563" s="71"/>
      <c r="H563" s="72"/>
      <c r="I563" s="72"/>
      <c r="J563" s="70"/>
      <c r="K563" s="70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68"/>
      <c r="B564" s="68"/>
      <c r="C564" s="68"/>
      <c r="D564" s="68"/>
      <c r="E564" s="68"/>
      <c r="F564" s="69"/>
      <c r="G564" s="68"/>
      <c r="H564" s="69"/>
      <c r="I564" s="69"/>
      <c r="J564" s="70"/>
      <c r="K564" s="70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71"/>
      <c r="B565" s="71"/>
      <c r="C565" s="71"/>
      <c r="D565" s="71"/>
      <c r="E565" s="71"/>
      <c r="F565" s="72"/>
      <c r="G565" s="71"/>
      <c r="H565" s="72"/>
      <c r="I565" s="72"/>
      <c r="J565" s="70"/>
      <c r="K565" s="70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68"/>
      <c r="B566" s="68"/>
      <c r="C566" s="68"/>
      <c r="D566" s="68"/>
      <c r="E566" s="68"/>
      <c r="F566" s="69"/>
      <c r="G566" s="68"/>
      <c r="H566" s="69"/>
      <c r="I566" s="69"/>
      <c r="J566" s="70"/>
      <c r="K566" s="70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71"/>
      <c r="B567" s="71"/>
      <c r="C567" s="71"/>
      <c r="D567" s="71"/>
      <c r="E567" s="71"/>
      <c r="F567" s="72"/>
      <c r="G567" s="71"/>
      <c r="H567" s="72"/>
      <c r="I567" s="72"/>
      <c r="J567" s="70"/>
      <c r="K567" s="70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68"/>
      <c r="B568" s="68"/>
      <c r="C568" s="68"/>
      <c r="D568" s="68"/>
      <c r="E568" s="68"/>
      <c r="F568" s="69"/>
      <c r="G568" s="68"/>
      <c r="H568" s="69"/>
      <c r="I568" s="69"/>
      <c r="J568" s="70"/>
      <c r="K568" s="70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71"/>
      <c r="B569" s="71"/>
      <c r="C569" s="71"/>
      <c r="D569" s="71"/>
      <c r="E569" s="71"/>
      <c r="F569" s="72"/>
      <c r="G569" s="71"/>
      <c r="H569" s="72"/>
      <c r="I569" s="72"/>
      <c r="J569" s="70"/>
      <c r="K569" s="70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68"/>
      <c r="B570" s="68"/>
      <c r="C570" s="68"/>
      <c r="D570" s="68"/>
      <c r="E570" s="68"/>
      <c r="F570" s="69"/>
      <c r="G570" s="68"/>
      <c r="H570" s="69"/>
      <c r="I570" s="69"/>
      <c r="J570" s="70"/>
      <c r="K570" s="70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71"/>
      <c r="B571" s="71"/>
      <c r="C571" s="71"/>
      <c r="D571" s="71"/>
      <c r="E571" s="71"/>
      <c r="F571" s="72"/>
      <c r="G571" s="71"/>
      <c r="H571" s="72"/>
      <c r="I571" s="72"/>
      <c r="J571" s="70"/>
      <c r="K571" s="70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68"/>
      <c r="B572" s="68"/>
      <c r="C572" s="68"/>
      <c r="D572" s="68"/>
      <c r="E572" s="68"/>
      <c r="F572" s="69"/>
      <c r="G572" s="68"/>
      <c r="H572" s="69"/>
      <c r="I572" s="69"/>
      <c r="J572" s="70"/>
      <c r="K572" s="70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71"/>
      <c r="B573" s="71"/>
      <c r="C573" s="71"/>
      <c r="D573" s="71"/>
      <c r="E573" s="71"/>
      <c r="F573" s="72"/>
      <c r="G573" s="71"/>
      <c r="H573" s="72"/>
      <c r="I573" s="72"/>
      <c r="J573" s="70"/>
      <c r="K573" s="70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68"/>
      <c r="B574" s="68"/>
      <c r="C574" s="68"/>
      <c r="D574" s="68"/>
      <c r="E574" s="68"/>
      <c r="F574" s="69"/>
      <c r="G574" s="68"/>
      <c r="H574" s="69"/>
      <c r="I574" s="69"/>
      <c r="J574" s="70"/>
      <c r="K574" s="70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71"/>
      <c r="B575" s="71"/>
      <c r="C575" s="71"/>
      <c r="D575" s="71"/>
      <c r="E575" s="71"/>
      <c r="F575" s="72"/>
      <c r="G575" s="71"/>
      <c r="H575" s="72"/>
      <c r="I575" s="72"/>
      <c r="J575" s="70"/>
      <c r="K575" s="70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68"/>
      <c r="B576" s="68"/>
      <c r="C576" s="68"/>
      <c r="D576" s="68"/>
      <c r="E576" s="68"/>
      <c r="F576" s="69"/>
      <c r="G576" s="68"/>
      <c r="H576" s="69"/>
      <c r="I576" s="69"/>
      <c r="J576" s="70"/>
      <c r="K576" s="70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71"/>
      <c r="B577" s="71"/>
      <c r="C577" s="71"/>
      <c r="D577" s="71"/>
      <c r="E577" s="71"/>
      <c r="F577" s="72"/>
      <c r="G577" s="71"/>
      <c r="H577" s="72"/>
      <c r="I577" s="72"/>
      <c r="J577" s="70"/>
      <c r="K577" s="70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68"/>
      <c r="B578" s="68"/>
      <c r="C578" s="68"/>
      <c r="D578" s="68"/>
      <c r="E578" s="68"/>
      <c r="F578" s="69"/>
      <c r="G578" s="68"/>
      <c r="H578" s="69"/>
      <c r="I578" s="69"/>
      <c r="J578" s="70"/>
      <c r="K578" s="70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71"/>
      <c r="B579" s="71"/>
      <c r="C579" s="71"/>
      <c r="D579" s="71"/>
      <c r="E579" s="71"/>
      <c r="F579" s="72"/>
      <c r="G579" s="71"/>
      <c r="H579" s="72"/>
      <c r="I579" s="72"/>
      <c r="J579" s="70"/>
      <c r="K579" s="70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68"/>
      <c r="B580" s="68"/>
      <c r="C580" s="68"/>
      <c r="D580" s="68"/>
      <c r="E580" s="68"/>
      <c r="F580" s="69"/>
      <c r="G580" s="68"/>
      <c r="H580" s="69"/>
      <c r="I580" s="69"/>
      <c r="J580" s="70"/>
      <c r="K580" s="70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71"/>
      <c r="B581" s="71"/>
      <c r="C581" s="71"/>
      <c r="D581" s="71"/>
      <c r="E581" s="71"/>
      <c r="F581" s="72"/>
      <c r="G581" s="71"/>
      <c r="H581" s="72"/>
      <c r="I581" s="72"/>
      <c r="J581" s="70"/>
      <c r="K581" s="70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68"/>
      <c r="B582" s="68"/>
      <c r="C582" s="68"/>
      <c r="D582" s="68"/>
      <c r="E582" s="68"/>
      <c r="F582" s="69"/>
      <c r="G582" s="68"/>
      <c r="H582" s="69"/>
      <c r="I582" s="69"/>
      <c r="J582" s="70"/>
      <c r="K582" s="70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71"/>
      <c r="B583" s="71"/>
      <c r="C583" s="71"/>
      <c r="D583" s="71"/>
      <c r="E583" s="71"/>
      <c r="F583" s="72"/>
      <c r="G583" s="71"/>
      <c r="H583" s="72"/>
      <c r="I583" s="72"/>
      <c r="J583" s="70"/>
      <c r="K583" s="70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68"/>
      <c r="B584" s="68"/>
      <c r="C584" s="68"/>
      <c r="D584" s="68"/>
      <c r="E584" s="68"/>
      <c r="F584" s="69"/>
      <c r="G584" s="68"/>
      <c r="H584" s="69"/>
      <c r="I584" s="69"/>
      <c r="J584" s="70"/>
      <c r="K584" s="70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71"/>
      <c r="B585" s="71"/>
      <c r="C585" s="71"/>
      <c r="D585" s="71"/>
      <c r="E585" s="71"/>
      <c r="F585" s="72"/>
      <c r="G585" s="71"/>
      <c r="H585" s="72"/>
      <c r="I585" s="72"/>
      <c r="J585" s="70"/>
      <c r="K585" s="70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68"/>
      <c r="B586" s="68"/>
      <c r="C586" s="68"/>
      <c r="D586" s="68"/>
      <c r="E586" s="68"/>
      <c r="F586" s="69"/>
      <c r="G586" s="68"/>
      <c r="H586" s="69"/>
      <c r="I586" s="69"/>
      <c r="J586" s="70"/>
      <c r="K586" s="70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71"/>
      <c r="B587" s="71"/>
      <c r="C587" s="71"/>
      <c r="D587" s="71"/>
      <c r="E587" s="71"/>
      <c r="F587" s="72"/>
      <c r="G587" s="71"/>
      <c r="H587" s="72"/>
      <c r="I587" s="72"/>
      <c r="J587" s="70"/>
      <c r="K587" s="70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68"/>
      <c r="B588" s="68"/>
      <c r="C588" s="68"/>
      <c r="D588" s="68"/>
      <c r="E588" s="68"/>
      <c r="F588" s="69"/>
      <c r="G588" s="68"/>
      <c r="H588" s="69"/>
      <c r="I588" s="69"/>
      <c r="J588" s="70"/>
      <c r="K588" s="70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71"/>
      <c r="B589" s="71"/>
      <c r="C589" s="71"/>
      <c r="D589" s="71"/>
      <c r="E589" s="71"/>
      <c r="F589" s="72"/>
      <c r="G589" s="71"/>
      <c r="H589" s="72"/>
      <c r="I589" s="72"/>
      <c r="J589" s="70"/>
      <c r="K589" s="70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68"/>
      <c r="B590" s="68"/>
      <c r="C590" s="68"/>
      <c r="D590" s="68"/>
      <c r="E590" s="68"/>
      <c r="F590" s="69"/>
      <c r="G590" s="68"/>
      <c r="H590" s="69"/>
      <c r="I590" s="69"/>
      <c r="J590" s="70"/>
      <c r="K590" s="70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71"/>
      <c r="B591" s="71"/>
      <c r="C591" s="71"/>
      <c r="D591" s="71"/>
      <c r="E591" s="71"/>
      <c r="F591" s="72"/>
      <c r="G591" s="71"/>
      <c r="H591" s="72"/>
      <c r="I591" s="72"/>
      <c r="J591" s="70"/>
      <c r="K591" s="70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68"/>
      <c r="B592" s="68"/>
      <c r="C592" s="68"/>
      <c r="D592" s="68"/>
      <c r="E592" s="68"/>
      <c r="F592" s="69"/>
      <c r="G592" s="68"/>
      <c r="H592" s="69"/>
      <c r="I592" s="69"/>
      <c r="J592" s="70"/>
      <c r="K592" s="70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71"/>
      <c r="B593" s="71"/>
      <c r="C593" s="71"/>
      <c r="D593" s="71"/>
      <c r="E593" s="71"/>
      <c r="F593" s="72"/>
      <c r="G593" s="71"/>
      <c r="H593" s="72"/>
      <c r="I593" s="72"/>
      <c r="J593" s="70"/>
      <c r="K593" s="70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68"/>
      <c r="B594" s="68"/>
      <c r="C594" s="68"/>
      <c r="D594" s="68"/>
      <c r="E594" s="68"/>
      <c r="F594" s="69"/>
      <c r="G594" s="68"/>
      <c r="H594" s="69"/>
      <c r="I594" s="69"/>
      <c r="J594" s="70"/>
      <c r="K594" s="70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71"/>
      <c r="B595" s="71"/>
      <c r="C595" s="71"/>
      <c r="D595" s="71"/>
      <c r="E595" s="71"/>
      <c r="F595" s="72"/>
      <c r="G595" s="71"/>
      <c r="H595" s="72"/>
      <c r="I595" s="72"/>
      <c r="J595" s="70"/>
      <c r="K595" s="70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68"/>
      <c r="B596" s="68"/>
      <c r="C596" s="68"/>
      <c r="D596" s="68"/>
      <c r="E596" s="68"/>
      <c r="F596" s="69"/>
      <c r="G596" s="68"/>
      <c r="H596" s="69"/>
      <c r="I596" s="69"/>
      <c r="J596" s="70"/>
      <c r="K596" s="70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71"/>
      <c r="B597" s="71"/>
      <c r="C597" s="71"/>
      <c r="D597" s="71"/>
      <c r="E597" s="71"/>
      <c r="F597" s="72"/>
      <c r="G597" s="71"/>
      <c r="H597" s="72"/>
      <c r="I597" s="72"/>
      <c r="J597" s="70"/>
      <c r="K597" s="70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68"/>
      <c r="B598" s="68"/>
      <c r="C598" s="68"/>
      <c r="D598" s="68"/>
      <c r="E598" s="68"/>
      <c r="F598" s="69"/>
      <c r="G598" s="68"/>
      <c r="H598" s="69"/>
      <c r="I598" s="69"/>
      <c r="J598" s="70"/>
      <c r="K598" s="70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71"/>
      <c r="B599" s="71"/>
      <c r="C599" s="71"/>
      <c r="D599" s="71"/>
      <c r="E599" s="71"/>
      <c r="F599" s="72"/>
      <c r="G599" s="71"/>
      <c r="H599" s="72"/>
      <c r="I599" s="72"/>
      <c r="J599" s="70"/>
      <c r="K599" s="70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68"/>
      <c r="B600" s="68"/>
      <c r="C600" s="68"/>
      <c r="D600" s="68"/>
      <c r="E600" s="68"/>
      <c r="F600" s="69"/>
      <c r="G600" s="68"/>
      <c r="H600" s="69"/>
      <c r="I600" s="69"/>
      <c r="J600" s="70"/>
      <c r="K600" s="70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71"/>
      <c r="B601" s="71"/>
      <c r="C601" s="71"/>
      <c r="D601" s="71"/>
      <c r="E601" s="71"/>
      <c r="F601" s="72"/>
      <c r="G601" s="71"/>
      <c r="H601" s="72"/>
      <c r="I601" s="72"/>
      <c r="J601" s="70"/>
      <c r="K601" s="70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68"/>
      <c r="B602" s="68"/>
      <c r="C602" s="68"/>
      <c r="D602" s="68"/>
      <c r="E602" s="68"/>
      <c r="F602" s="69"/>
      <c r="G602" s="68"/>
      <c r="H602" s="69"/>
      <c r="I602" s="69"/>
      <c r="J602" s="70"/>
      <c r="K602" s="70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71"/>
      <c r="B603" s="71"/>
      <c r="C603" s="71"/>
      <c r="D603" s="71"/>
      <c r="E603" s="71"/>
      <c r="F603" s="72"/>
      <c r="G603" s="71"/>
      <c r="H603" s="72"/>
      <c r="I603" s="72"/>
      <c r="J603" s="70"/>
      <c r="K603" s="70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68"/>
      <c r="B604" s="68"/>
      <c r="C604" s="68"/>
      <c r="D604" s="68"/>
      <c r="E604" s="68"/>
      <c r="F604" s="69"/>
      <c r="G604" s="68"/>
      <c r="H604" s="69"/>
      <c r="I604" s="69"/>
      <c r="J604" s="70"/>
      <c r="K604" s="70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71"/>
      <c r="B605" s="71"/>
      <c r="C605" s="71"/>
      <c r="D605" s="71"/>
      <c r="E605" s="71"/>
      <c r="F605" s="72"/>
      <c r="G605" s="71"/>
      <c r="H605" s="72"/>
      <c r="I605" s="72"/>
      <c r="J605" s="70"/>
      <c r="K605" s="70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68"/>
      <c r="B606" s="68"/>
      <c r="C606" s="68"/>
      <c r="D606" s="68"/>
      <c r="E606" s="68"/>
      <c r="F606" s="69"/>
      <c r="G606" s="68"/>
      <c r="H606" s="69"/>
      <c r="I606" s="69"/>
      <c r="J606" s="70"/>
      <c r="K606" s="70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71"/>
      <c r="B607" s="71"/>
      <c r="C607" s="71"/>
      <c r="D607" s="71"/>
      <c r="E607" s="71"/>
      <c r="F607" s="72"/>
      <c r="G607" s="71"/>
      <c r="H607" s="72"/>
      <c r="I607" s="72"/>
      <c r="J607" s="70"/>
      <c r="K607" s="70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68"/>
      <c r="B608" s="68"/>
      <c r="C608" s="68"/>
      <c r="D608" s="68"/>
      <c r="E608" s="68"/>
      <c r="F608" s="69"/>
      <c r="G608" s="68"/>
      <c r="H608" s="69"/>
      <c r="I608" s="69"/>
      <c r="J608" s="70"/>
      <c r="K608" s="70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71"/>
      <c r="B609" s="71"/>
      <c r="C609" s="71"/>
      <c r="D609" s="71"/>
      <c r="E609" s="71"/>
      <c r="F609" s="72"/>
      <c r="G609" s="71"/>
      <c r="H609" s="72"/>
      <c r="I609" s="72"/>
      <c r="J609" s="70"/>
      <c r="K609" s="70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68"/>
      <c r="B610" s="68"/>
      <c r="C610" s="68"/>
      <c r="D610" s="68"/>
      <c r="E610" s="68"/>
      <c r="F610" s="69"/>
      <c r="G610" s="68"/>
      <c r="H610" s="69"/>
      <c r="I610" s="69"/>
      <c r="J610" s="70"/>
      <c r="K610" s="70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71"/>
      <c r="B611" s="71"/>
      <c r="C611" s="71"/>
      <c r="D611" s="71"/>
      <c r="E611" s="71"/>
      <c r="F611" s="72"/>
      <c r="G611" s="71"/>
      <c r="H611" s="72"/>
      <c r="I611" s="72"/>
      <c r="J611" s="70"/>
      <c r="K611" s="70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68"/>
      <c r="B612" s="68"/>
      <c r="C612" s="68"/>
      <c r="D612" s="68"/>
      <c r="E612" s="68"/>
      <c r="F612" s="69"/>
      <c r="G612" s="68"/>
      <c r="H612" s="69"/>
      <c r="I612" s="69"/>
      <c r="J612" s="70"/>
      <c r="K612" s="70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71"/>
      <c r="B613" s="71"/>
      <c r="C613" s="71"/>
      <c r="D613" s="71"/>
      <c r="E613" s="71"/>
      <c r="F613" s="72"/>
      <c r="G613" s="71"/>
      <c r="H613" s="72"/>
      <c r="I613" s="72"/>
      <c r="J613" s="70"/>
      <c r="K613" s="70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68"/>
      <c r="B614" s="68"/>
      <c r="C614" s="68"/>
      <c r="D614" s="68"/>
      <c r="E614" s="68"/>
      <c r="F614" s="69"/>
      <c r="G614" s="68"/>
      <c r="H614" s="69"/>
      <c r="I614" s="69"/>
      <c r="J614" s="70"/>
      <c r="K614" s="70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71"/>
      <c r="B615" s="71"/>
      <c r="C615" s="71"/>
      <c r="D615" s="71"/>
      <c r="E615" s="71"/>
      <c r="F615" s="72"/>
      <c r="G615" s="71"/>
      <c r="H615" s="72"/>
      <c r="I615" s="72"/>
      <c r="J615" s="70"/>
      <c r="K615" s="70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68"/>
      <c r="B616" s="68"/>
      <c r="C616" s="68"/>
      <c r="D616" s="68"/>
      <c r="E616" s="68"/>
      <c r="F616" s="69"/>
      <c r="G616" s="68"/>
      <c r="H616" s="69"/>
      <c r="I616" s="69"/>
      <c r="J616" s="70"/>
      <c r="K616" s="70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71"/>
      <c r="B617" s="71"/>
      <c r="C617" s="71"/>
      <c r="D617" s="71"/>
      <c r="E617" s="71"/>
      <c r="F617" s="72"/>
      <c r="G617" s="71"/>
      <c r="H617" s="72"/>
      <c r="I617" s="72"/>
      <c r="J617" s="70"/>
      <c r="K617" s="70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68"/>
      <c r="B618" s="68"/>
      <c r="C618" s="68"/>
      <c r="D618" s="68"/>
      <c r="E618" s="68"/>
      <c r="F618" s="69"/>
      <c r="G618" s="68"/>
      <c r="H618" s="69"/>
      <c r="I618" s="69"/>
      <c r="J618" s="70"/>
      <c r="K618" s="70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71"/>
      <c r="B619" s="71"/>
      <c r="C619" s="71"/>
      <c r="D619" s="71"/>
      <c r="E619" s="71"/>
      <c r="F619" s="72"/>
      <c r="G619" s="71"/>
      <c r="H619" s="72"/>
      <c r="I619" s="72"/>
      <c r="J619" s="70"/>
      <c r="K619" s="70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68"/>
      <c r="B620" s="68"/>
      <c r="C620" s="68"/>
      <c r="D620" s="68"/>
      <c r="E620" s="68"/>
      <c r="F620" s="69"/>
      <c r="G620" s="68"/>
      <c r="H620" s="69"/>
      <c r="I620" s="69"/>
      <c r="J620" s="70"/>
      <c r="K620" s="70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71"/>
      <c r="B621" s="71"/>
      <c r="C621" s="71"/>
      <c r="D621" s="71"/>
      <c r="E621" s="71"/>
      <c r="F621" s="72"/>
      <c r="G621" s="71"/>
      <c r="H621" s="72"/>
      <c r="I621" s="72"/>
      <c r="J621" s="70"/>
      <c r="K621" s="70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68"/>
      <c r="B622" s="68"/>
      <c r="C622" s="68"/>
      <c r="D622" s="68"/>
      <c r="E622" s="68"/>
      <c r="F622" s="69"/>
      <c r="G622" s="68"/>
      <c r="H622" s="69"/>
      <c r="I622" s="69"/>
      <c r="J622" s="70"/>
      <c r="K622" s="70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71"/>
      <c r="B623" s="71"/>
      <c r="C623" s="71"/>
      <c r="D623" s="71"/>
      <c r="E623" s="71"/>
      <c r="F623" s="72"/>
      <c r="G623" s="71"/>
      <c r="H623" s="72"/>
      <c r="I623" s="72"/>
      <c r="J623" s="70"/>
      <c r="K623" s="70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68"/>
      <c r="B624" s="68"/>
      <c r="C624" s="68"/>
      <c r="D624" s="68"/>
      <c r="E624" s="68"/>
      <c r="F624" s="69"/>
      <c r="G624" s="68"/>
      <c r="H624" s="69"/>
      <c r="I624" s="69"/>
      <c r="J624" s="70"/>
      <c r="K624" s="70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71"/>
      <c r="B625" s="71"/>
      <c r="C625" s="71"/>
      <c r="D625" s="71"/>
      <c r="E625" s="71"/>
      <c r="F625" s="72"/>
      <c r="G625" s="71"/>
      <c r="H625" s="72"/>
      <c r="I625" s="72"/>
      <c r="J625" s="70"/>
      <c r="K625" s="70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68"/>
      <c r="B626" s="68"/>
      <c r="C626" s="68"/>
      <c r="D626" s="68"/>
      <c r="E626" s="68"/>
      <c r="F626" s="69"/>
      <c r="G626" s="68"/>
      <c r="H626" s="69"/>
      <c r="I626" s="69"/>
      <c r="J626" s="70"/>
      <c r="K626" s="70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71"/>
      <c r="B627" s="71"/>
      <c r="C627" s="71"/>
      <c r="D627" s="71"/>
      <c r="E627" s="71"/>
      <c r="F627" s="72"/>
      <c r="G627" s="71"/>
      <c r="H627" s="72"/>
      <c r="I627" s="72"/>
      <c r="J627" s="70"/>
      <c r="K627" s="70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68"/>
      <c r="B628" s="68"/>
      <c r="C628" s="68"/>
      <c r="D628" s="68"/>
      <c r="E628" s="68"/>
      <c r="F628" s="69"/>
      <c r="G628" s="68"/>
      <c r="H628" s="69"/>
      <c r="I628" s="69"/>
      <c r="J628" s="70"/>
      <c r="K628" s="70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71"/>
      <c r="B629" s="71"/>
      <c r="C629" s="71"/>
      <c r="D629" s="71"/>
      <c r="E629" s="71"/>
      <c r="F629" s="72"/>
      <c r="G629" s="71"/>
      <c r="H629" s="72"/>
      <c r="I629" s="72"/>
      <c r="J629" s="70"/>
      <c r="K629" s="70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68"/>
      <c r="B630" s="68"/>
      <c r="C630" s="68"/>
      <c r="D630" s="68"/>
      <c r="E630" s="68"/>
      <c r="F630" s="69"/>
      <c r="G630" s="68"/>
      <c r="H630" s="69"/>
      <c r="I630" s="69"/>
      <c r="J630" s="70"/>
      <c r="K630" s="70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71"/>
      <c r="B631" s="71"/>
      <c r="C631" s="71"/>
      <c r="D631" s="71"/>
      <c r="E631" s="71"/>
      <c r="F631" s="72"/>
      <c r="G631" s="71"/>
      <c r="H631" s="72"/>
      <c r="I631" s="72"/>
      <c r="J631" s="70"/>
      <c r="K631" s="70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68"/>
      <c r="B632" s="68"/>
      <c r="C632" s="68"/>
      <c r="D632" s="68"/>
      <c r="E632" s="68"/>
      <c r="F632" s="69"/>
      <c r="G632" s="68"/>
      <c r="H632" s="69"/>
      <c r="I632" s="69"/>
      <c r="J632" s="70"/>
      <c r="K632" s="70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71"/>
      <c r="B633" s="71"/>
      <c r="C633" s="71"/>
      <c r="D633" s="71"/>
      <c r="E633" s="71"/>
      <c r="F633" s="72"/>
      <c r="G633" s="71"/>
      <c r="H633" s="72"/>
      <c r="I633" s="72"/>
      <c r="J633" s="70"/>
      <c r="K633" s="70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68"/>
      <c r="B634" s="68"/>
      <c r="C634" s="68"/>
      <c r="D634" s="68"/>
      <c r="E634" s="68"/>
      <c r="F634" s="69"/>
      <c r="G634" s="68"/>
      <c r="H634" s="69"/>
      <c r="I634" s="69"/>
      <c r="J634" s="70"/>
      <c r="K634" s="70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71"/>
      <c r="B635" s="71"/>
      <c r="C635" s="71"/>
      <c r="D635" s="71"/>
      <c r="E635" s="71"/>
      <c r="F635" s="72"/>
      <c r="G635" s="71"/>
      <c r="H635" s="72"/>
      <c r="I635" s="72"/>
      <c r="J635" s="70"/>
      <c r="K635" s="70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68"/>
      <c r="B636" s="68"/>
      <c r="C636" s="68"/>
      <c r="D636" s="68"/>
      <c r="E636" s="68"/>
      <c r="F636" s="69"/>
      <c r="G636" s="68"/>
      <c r="H636" s="69"/>
      <c r="I636" s="69"/>
      <c r="J636" s="70"/>
      <c r="K636" s="70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71"/>
      <c r="B637" s="71"/>
      <c r="C637" s="71"/>
      <c r="D637" s="71"/>
      <c r="E637" s="71"/>
      <c r="F637" s="72"/>
      <c r="G637" s="71"/>
      <c r="H637" s="72"/>
      <c r="I637" s="72"/>
      <c r="J637" s="70"/>
      <c r="K637" s="70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68"/>
      <c r="B638" s="68"/>
      <c r="C638" s="68"/>
      <c r="D638" s="68"/>
      <c r="E638" s="68"/>
      <c r="F638" s="69"/>
      <c r="G638" s="68"/>
      <c r="H638" s="69"/>
      <c r="I638" s="69"/>
      <c r="J638" s="70"/>
      <c r="K638" s="70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71"/>
      <c r="B639" s="71"/>
      <c r="C639" s="71"/>
      <c r="D639" s="71"/>
      <c r="E639" s="71"/>
      <c r="F639" s="72"/>
      <c r="G639" s="71"/>
      <c r="H639" s="72"/>
      <c r="I639" s="72"/>
      <c r="J639" s="70"/>
      <c r="K639" s="70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68"/>
      <c r="B640" s="68"/>
      <c r="C640" s="68"/>
      <c r="D640" s="68"/>
      <c r="E640" s="68"/>
      <c r="F640" s="69"/>
      <c r="G640" s="68"/>
      <c r="H640" s="69"/>
      <c r="I640" s="69"/>
      <c r="J640" s="70"/>
      <c r="K640" s="70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71"/>
      <c r="B641" s="71"/>
      <c r="C641" s="71"/>
      <c r="D641" s="71"/>
      <c r="E641" s="71"/>
      <c r="F641" s="72"/>
      <c r="G641" s="71"/>
      <c r="H641" s="72"/>
      <c r="I641" s="72"/>
      <c r="J641" s="70"/>
      <c r="K641" s="70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68"/>
      <c r="B642" s="68"/>
      <c r="C642" s="68"/>
      <c r="D642" s="68"/>
      <c r="E642" s="68"/>
      <c r="F642" s="69"/>
      <c r="G642" s="68"/>
      <c r="H642" s="69"/>
      <c r="I642" s="69"/>
      <c r="J642" s="70"/>
      <c r="K642" s="70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71"/>
      <c r="B643" s="71"/>
      <c r="C643" s="71"/>
      <c r="D643" s="71"/>
      <c r="E643" s="71"/>
      <c r="F643" s="72"/>
      <c r="G643" s="71"/>
      <c r="H643" s="72"/>
      <c r="I643" s="72"/>
      <c r="J643" s="70"/>
      <c r="K643" s="70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68"/>
      <c r="B644" s="68"/>
      <c r="C644" s="68"/>
      <c r="D644" s="68"/>
      <c r="E644" s="68"/>
      <c r="F644" s="69"/>
      <c r="G644" s="68"/>
      <c r="H644" s="69"/>
      <c r="I644" s="69"/>
      <c r="J644" s="70"/>
      <c r="K644" s="70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71"/>
      <c r="B645" s="71"/>
      <c r="C645" s="71"/>
      <c r="D645" s="71"/>
      <c r="E645" s="71"/>
      <c r="F645" s="72"/>
      <c r="G645" s="71"/>
      <c r="H645" s="72"/>
      <c r="I645" s="72"/>
      <c r="J645" s="70"/>
      <c r="K645" s="70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68"/>
      <c r="B646" s="68"/>
      <c r="C646" s="68"/>
      <c r="D646" s="68"/>
      <c r="E646" s="68"/>
      <c r="F646" s="69"/>
      <c r="G646" s="68"/>
      <c r="H646" s="69"/>
      <c r="I646" s="69"/>
      <c r="J646" s="70"/>
      <c r="K646" s="70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71"/>
      <c r="B647" s="71"/>
      <c r="C647" s="71"/>
      <c r="D647" s="71"/>
      <c r="E647" s="71"/>
      <c r="F647" s="72"/>
      <c r="G647" s="71"/>
      <c r="H647" s="72"/>
      <c r="I647" s="72"/>
      <c r="J647" s="70"/>
      <c r="K647" s="70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68"/>
      <c r="B648" s="68"/>
      <c r="C648" s="68"/>
      <c r="D648" s="68"/>
      <c r="E648" s="68"/>
      <c r="F648" s="69"/>
      <c r="G648" s="68"/>
      <c r="H648" s="69"/>
      <c r="I648" s="69"/>
      <c r="J648" s="70"/>
      <c r="K648" s="70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71"/>
      <c r="B649" s="71"/>
      <c r="C649" s="71"/>
      <c r="D649" s="71"/>
      <c r="E649" s="71"/>
      <c r="F649" s="72"/>
      <c r="G649" s="71"/>
      <c r="H649" s="72"/>
      <c r="I649" s="72"/>
      <c r="J649" s="70"/>
      <c r="K649" s="70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68"/>
      <c r="B650" s="68"/>
      <c r="C650" s="68"/>
      <c r="D650" s="68"/>
      <c r="E650" s="68"/>
      <c r="F650" s="69"/>
      <c r="G650" s="68"/>
      <c r="H650" s="69"/>
      <c r="I650" s="69"/>
      <c r="J650" s="70"/>
      <c r="K650" s="70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71"/>
      <c r="B651" s="71"/>
      <c r="C651" s="71"/>
      <c r="D651" s="71"/>
      <c r="E651" s="71"/>
      <c r="F651" s="72"/>
      <c r="G651" s="71"/>
      <c r="H651" s="72"/>
      <c r="I651" s="72"/>
      <c r="J651" s="70"/>
      <c r="K651" s="70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68"/>
      <c r="B652" s="68"/>
      <c r="C652" s="68"/>
      <c r="D652" s="68"/>
      <c r="E652" s="68"/>
      <c r="F652" s="69"/>
      <c r="G652" s="68"/>
      <c r="H652" s="69"/>
      <c r="I652" s="69"/>
      <c r="J652" s="70"/>
      <c r="K652" s="70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71"/>
      <c r="B653" s="71"/>
      <c r="C653" s="71"/>
      <c r="D653" s="71"/>
      <c r="E653" s="71"/>
      <c r="F653" s="72"/>
      <c r="G653" s="71"/>
      <c r="H653" s="72"/>
      <c r="I653" s="72"/>
      <c r="J653" s="70"/>
      <c r="K653" s="70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68"/>
      <c r="B654" s="68"/>
      <c r="C654" s="68"/>
      <c r="D654" s="68"/>
      <c r="E654" s="68"/>
      <c r="F654" s="69"/>
      <c r="G654" s="68"/>
      <c r="H654" s="69"/>
      <c r="I654" s="69"/>
      <c r="J654" s="70"/>
      <c r="K654" s="70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71"/>
      <c r="B655" s="71"/>
      <c r="C655" s="71"/>
      <c r="D655" s="71"/>
      <c r="E655" s="71"/>
      <c r="F655" s="72"/>
      <c r="G655" s="71"/>
      <c r="H655" s="72"/>
      <c r="I655" s="72"/>
      <c r="J655" s="70"/>
      <c r="K655" s="70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68"/>
      <c r="B656" s="68"/>
      <c r="C656" s="68"/>
      <c r="D656" s="68"/>
      <c r="E656" s="68"/>
      <c r="F656" s="69"/>
      <c r="G656" s="68"/>
      <c r="H656" s="69"/>
      <c r="I656" s="69"/>
      <c r="J656" s="70"/>
      <c r="K656" s="70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71"/>
      <c r="B657" s="71"/>
      <c r="C657" s="71"/>
      <c r="D657" s="71"/>
      <c r="E657" s="71"/>
      <c r="F657" s="72"/>
      <c r="G657" s="71"/>
      <c r="H657" s="72"/>
      <c r="I657" s="72"/>
      <c r="J657" s="70"/>
      <c r="K657" s="70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68"/>
      <c r="B658" s="68"/>
      <c r="C658" s="68"/>
      <c r="D658" s="68"/>
      <c r="E658" s="68"/>
      <c r="F658" s="69"/>
      <c r="G658" s="68"/>
      <c r="H658" s="69"/>
      <c r="I658" s="69"/>
      <c r="J658" s="70"/>
      <c r="K658" s="70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71"/>
      <c r="B659" s="71"/>
      <c r="C659" s="71"/>
      <c r="D659" s="71"/>
      <c r="E659" s="71"/>
      <c r="F659" s="72"/>
      <c r="G659" s="71"/>
      <c r="H659" s="72"/>
      <c r="I659" s="72"/>
      <c r="J659" s="70"/>
      <c r="K659" s="70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68"/>
      <c r="B660" s="68"/>
      <c r="C660" s="68"/>
      <c r="D660" s="68"/>
      <c r="E660" s="68"/>
      <c r="F660" s="69"/>
      <c r="G660" s="68"/>
      <c r="H660" s="69"/>
      <c r="I660" s="69"/>
      <c r="J660" s="70"/>
      <c r="K660" s="70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71"/>
      <c r="B661" s="71"/>
      <c r="C661" s="71"/>
      <c r="D661" s="71"/>
      <c r="E661" s="71"/>
      <c r="F661" s="72"/>
      <c r="G661" s="71"/>
      <c r="H661" s="72"/>
      <c r="I661" s="72"/>
      <c r="J661" s="70"/>
      <c r="K661" s="70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68"/>
      <c r="B662" s="68"/>
      <c r="C662" s="68"/>
      <c r="D662" s="68"/>
      <c r="E662" s="68"/>
      <c r="F662" s="69"/>
      <c r="G662" s="68"/>
      <c r="H662" s="69"/>
      <c r="I662" s="69"/>
      <c r="J662" s="70"/>
      <c r="K662" s="70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71"/>
      <c r="B663" s="71"/>
      <c r="C663" s="71"/>
      <c r="D663" s="71"/>
      <c r="E663" s="71"/>
      <c r="F663" s="72"/>
      <c r="G663" s="71"/>
      <c r="H663" s="72"/>
      <c r="I663" s="72"/>
      <c r="J663" s="70"/>
      <c r="K663" s="70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68"/>
      <c r="B664" s="68"/>
      <c r="C664" s="68"/>
      <c r="D664" s="68"/>
      <c r="E664" s="68"/>
      <c r="F664" s="69"/>
      <c r="G664" s="68"/>
      <c r="H664" s="69"/>
      <c r="I664" s="69"/>
      <c r="J664" s="70"/>
      <c r="K664" s="70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71"/>
      <c r="B665" s="71"/>
      <c r="C665" s="71"/>
      <c r="D665" s="71"/>
      <c r="E665" s="71"/>
      <c r="F665" s="72"/>
      <c r="G665" s="71"/>
      <c r="H665" s="72"/>
      <c r="I665" s="72"/>
      <c r="J665" s="70"/>
      <c r="K665" s="70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68"/>
      <c r="B666" s="68"/>
      <c r="C666" s="68"/>
      <c r="D666" s="68"/>
      <c r="E666" s="68"/>
      <c r="F666" s="69"/>
      <c r="G666" s="68"/>
      <c r="H666" s="69"/>
      <c r="I666" s="69"/>
      <c r="J666" s="70"/>
      <c r="K666" s="70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71"/>
      <c r="B667" s="71"/>
      <c r="C667" s="71"/>
      <c r="D667" s="71"/>
      <c r="E667" s="71"/>
      <c r="F667" s="72"/>
      <c r="G667" s="71"/>
      <c r="H667" s="72"/>
      <c r="I667" s="72"/>
      <c r="J667" s="70"/>
      <c r="K667" s="70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68"/>
      <c r="B668" s="68"/>
      <c r="C668" s="68"/>
      <c r="D668" s="68"/>
      <c r="E668" s="68"/>
      <c r="F668" s="69"/>
      <c r="G668" s="68"/>
      <c r="H668" s="69"/>
      <c r="I668" s="69"/>
      <c r="J668" s="70"/>
      <c r="K668" s="70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71"/>
      <c r="B669" s="71"/>
      <c r="C669" s="71"/>
      <c r="D669" s="71"/>
      <c r="E669" s="71"/>
      <c r="F669" s="72"/>
      <c r="G669" s="71"/>
      <c r="H669" s="72"/>
      <c r="I669" s="72"/>
      <c r="J669" s="70"/>
      <c r="K669" s="70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68"/>
      <c r="B670" s="68"/>
      <c r="C670" s="68"/>
      <c r="D670" s="68"/>
      <c r="E670" s="68"/>
      <c r="F670" s="69"/>
      <c r="G670" s="68"/>
      <c r="H670" s="69"/>
      <c r="I670" s="69"/>
      <c r="J670" s="70"/>
      <c r="K670" s="70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71"/>
      <c r="B671" s="71"/>
      <c r="C671" s="71"/>
      <c r="D671" s="71"/>
      <c r="E671" s="71"/>
      <c r="F671" s="72"/>
      <c r="G671" s="71"/>
      <c r="H671" s="72"/>
      <c r="I671" s="72"/>
      <c r="J671" s="70"/>
      <c r="K671" s="70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68"/>
      <c r="B672" s="68"/>
      <c r="C672" s="68"/>
      <c r="D672" s="68"/>
      <c r="E672" s="68"/>
      <c r="F672" s="69"/>
      <c r="G672" s="68"/>
      <c r="H672" s="69"/>
      <c r="I672" s="69"/>
      <c r="J672" s="70"/>
      <c r="K672" s="70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71"/>
      <c r="B673" s="71"/>
      <c r="C673" s="71"/>
      <c r="D673" s="71"/>
      <c r="E673" s="71"/>
      <c r="F673" s="72"/>
      <c r="G673" s="71"/>
      <c r="H673" s="72"/>
      <c r="I673" s="72"/>
      <c r="J673" s="70"/>
      <c r="K673" s="70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68"/>
      <c r="B674" s="68"/>
      <c r="C674" s="68"/>
      <c r="D674" s="68"/>
      <c r="E674" s="68"/>
      <c r="F674" s="69"/>
      <c r="G674" s="68"/>
      <c r="H674" s="69"/>
      <c r="I674" s="69"/>
      <c r="J674" s="70"/>
      <c r="K674" s="70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71"/>
      <c r="B675" s="71"/>
      <c r="C675" s="71"/>
      <c r="D675" s="71"/>
      <c r="E675" s="71"/>
      <c r="F675" s="72"/>
      <c r="G675" s="71"/>
      <c r="H675" s="72"/>
      <c r="I675" s="72"/>
      <c r="J675" s="70"/>
      <c r="K675" s="70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68"/>
      <c r="B676" s="68"/>
      <c r="C676" s="68"/>
      <c r="D676" s="68"/>
      <c r="E676" s="68"/>
      <c r="F676" s="69"/>
      <c r="G676" s="68"/>
      <c r="H676" s="69"/>
      <c r="I676" s="69"/>
      <c r="J676" s="70"/>
      <c r="K676" s="70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71"/>
      <c r="B677" s="71"/>
      <c r="C677" s="71"/>
      <c r="D677" s="71"/>
      <c r="E677" s="71"/>
      <c r="F677" s="72"/>
      <c r="G677" s="71"/>
      <c r="H677" s="72"/>
      <c r="I677" s="72"/>
      <c r="J677" s="70"/>
      <c r="K677" s="70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68"/>
      <c r="B678" s="68"/>
      <c r="C678" s="68"/>
      <c r="D678" s="68"/>
      <c r="E678" s="68"/>
      <c r="F678" s="69"/>
      <c r="G678" s="68"/>
      <c r="H678" s="69"/>
      <c r="I678" s="69"/>
      <c r="J678" s="70"/>
      <c r="K678" s="70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71"/>
      <c r="B679" s="71"/>
      <c r="C679" s="71"/>
      <c r="D679" s="71"/>
      <c r="E679" s="71"/>
      <c r="F679" s="72"/>
      <c r="G679" s="71"/>
      <c r="H679" s="72"/>
      <c r="I679" s="72"/>
      <c r="J679" s="70"/>
      <c r="K679" s="70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68"/>
      <c r="B680" s="68"/>
      <c r="C680" s="68"/>
      <c r="D680" s="68"/>
      <c r="E680" s="68"/>
      <c r="F680" s="69"/>
      <c r="G680" s="68"/>
      <c r="H680" s="69"/>
      <c r="I680" s="69"/>
      <c r="J680" s="70"/>
      <c r="K680" s="70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71"/>
      <c r="B681" s="71"/>
      <c r="C681" s="71"/>
      <c r="D681" s="71"/>
      <c r="E681" s="71"/>
      <c r="F681" s="72"/>
      <c r="G681" s="71"/>
      <c r="H681" s="72"/>
      <c r="I681" s="72"/>
      <c r="J681" s="70"/>
      <c r="K681" s="70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68"/>
      <c r="B682" s="68"/>
      <c r="C682" s="68"/>
      <c r="D682" s="68"/>
      <c r="E682" s="68"/>
      <c r="F682" s="69"/>
      <c r="G682" s="68"/>
      <c r="H682" s="69"/>
      <c r="I682" s="69"/>
      <c r="J682" s="70"/>
      <c r="K682" s="70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71"/>
      <c r="B683" s="71"/>
      <c r="C683" s="71"/>
      <c r="D683" s="71"/>
      <c r="E683" s="71"/>
      <c r="F683" s="72"/>
      <c r="G683" s="71"/>
      <c r="H683" s="72"/>
      <c r="I683" s="72"/>
      <c r="J683" s="70"/>
      <c r="K683" s="70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68"/>
      <c r="B684" s="68"/>
      <c r="C684" s="68"/>
      <c r="D684" s="68"/>
      <c r="E684" s="68"/>
      <c r="F684" s="69"/>
      <c r="G684" s="68"/>
      <c r="H684" s="69"/>
      <c r="I684" s="69"/>
      <c r="J684" s="70"/>
      <c r="K684" s="70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71"/>
      <c r="B685" s="71"/>
      <c r="C685" s="71"/>
      <c r="D685" s="71"/>
      <c r="E685" s="71"/>
      <c r="F685" s="72"/>
      <c r="G685" s="71"/>
      <c r="H685" s="72"/>
      <c r="I685" s="72"/>
      <c r="J685" s="70"/>
      <c r="K685" s="70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68"/>
      <c r="B686" s="68"/>
      <c r="C686" s="68"/>
      <c r="D686" s="68"/>
      <c r="E686" s="68"/>
      <c r="F686" s="69"/>
      <c r="G686" s="68"/>
      <c r="H686" s="69"/>
      <c r="I686" s="69"/>
      <c r="J686" s="70"/>
      <c r="K686" s="70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71"/>
      <c r="B687" s="71"/>
      <c r="C687" s="71"/>
      <c r="D687" s="71"/>
      <c r="E687" s="71"/>
      <c r="F687" s="72"/>
      <c r="G687" s="71"/>
      <c r="H687" s="72"/>
      <c r="I687" s="72"/>
      <c r="J687" s="70"/>
      <c r="K687" s="70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68"/>
      <c r="B688" s="68"/>
      <c r="C688" s="68"/>
      <c r="D688" s="68"/>
      <c r="E688" s="68"/>
      <c r="F688" s="69"/>
      <c r="G688" s="68"/>
      <c r="H688" s="69"/>
      <c r="I688" s="69"/>
      <c r="J688" s="70"/>
      <c r="K688" s="70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71"/>
      <c r="B689" s="71"/>
      <c r="C689" s="71"/>
      <c r="D689" s="71"/>
      <c r="E689" s="71"/>
      <c r="F689" s="72"/>
      <c r="G689" s="71"/>
      <c r="H689" s="72"/>
      <c r="I689" s="72"/>
      <c r="J689" s="70"/>
      <c r="K689" s="70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68"/>
      <c r="B690" s="68"/>
      <c r="C690" s="68"/>
      <c r="D690" s="68"/>
      <c r="E690" s="68"/>
      <c r="F690" s="69"/>
      <c r="G690" s="68"/>
      <c r="H690" s="69"/>
      <c r="I690" s="69"/>
      <c r="J690" s="70"/>
      <c r="K690" s="70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71"/>
      <c r="B691" s="71"/>
      <c r="C691" s="71"/>
      <c r="D691" s="71"/>
      <c r="E691" s="71"/>
      <c r="F691" s="72"/>
      <c r="G691" s="71"/>
      <c r="H691" s="72"/>
      <c r="I691" s="72"/>
      <c r="J691" s="70"/>
      <c r="K691" s="70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68"/>
      <c r="B692" s="68"/>
      <c r="C692" s="68"/>
      <c r="D692" s="68"/>
      <c r="E692" s="68"/>
      <c r="F692" s="69"/>
      <c r="G692" s="68"/>
      <c r="H692" s="69"/>
      <c r="I692" s="69"/>
      <c r="J692" s="70"/>
      <c r="K692" s="70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71"/>
      <c r="B693" s="71"/>
      <c r="C693" s="71"/>
      <c r="D693" s="71"/>
      <c r="E693" s="71"/>
      <c r="F693" s="72"/>
      <c r="G693" s="71"/>
      <c r="H693" s="72"/>
      <c r="I693" s="72"/>
      <c r="J693" s="70"/>
      <c r="K693" s="70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68"/>
      <c r="B694" s="68"/>
      <c r="C694" s="68"/>
      <c r="D694" s="68"/>
      <c r="E694" s="68"/>
      <c r="F694" s="69"/>
      <c r="G694" s="68"/>
      <c r="H694" s="69"/>
      <c r="I694" s="69"/>
      <c r="J694" s="70"/>
      <c r="K694" s="70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71"/>
      <c r="B695" s="71"/>
      <c r="C695" s="71"/>
      <c r="D695" s="71"/>
      <c r="E695" s="71"/>
      <c r="F695" s="72"/>
      <c r="G695" s="71"/>
      <c r="H695" s="72"/>
      <c r="I695" s="72"/>
      <c r="J695" s="70"/>
      <c r="K695" s="70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68"/>
      <c r="B696" s="68"/>
      <c r="C696" s="68"/>
      <c r="D696" s="68"/>
      <c r="E696" s="68"/>
      <c r="F696" s="69"/>
      <c r="G696" s="68"/>
      <c r="H696" s="69"/>
      <c r="I696" s="69"/>
      <c r="J696" s="70"/>
      <c r="K696" s="70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71"/>
      <c r="B697" s="71"/>
      <c r="C697" s="71"/>
      <c r="D697" s="71"/>
      <c r="E697" s="71"/>
      <c r="F697" s="72"/>
      <c r="G697" s="71"/>
      <c r="H697" s="72"/>
      <c r="I697" s="72"/>
      <c r="J697" s="70"/>
      <c r="K697" s="70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68"/>
      <c r="B698" s="68"/>
      <c r="C698" s="68"/>
      <c r="D698" s="68"/>
      <c r="E698" s="68"/>
      <c r="F698" s="69"/>
      <c r="G698" s="68"/>
      <c r="H698" s="69"/>
      <c r="I698" s="69"/>
      <c r="J698" s="70"/>
      <c r="K698" s="70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71"/>
      <c r="B699" s="71"/>
      <c r="C699" s="71"/>
      <c r="D699" s="71"/>
      <c r="E699" s="71"/>
      <c r="F699" s="72"/>
      <c r="G699" s="71"/>
      <c r="H699" s="72"/>
      <c r="I699" s="72"/>
      <c r="J699" s="70"/>
      <c r="K699" s="70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68"/>
      <c r="B700" s="68"/>
      <c r="C700" s="68"/>
      <c r="D700" s="68"/>
      <c r="E700" s="68"/>
      <c r="F700" s="69"/>
      <c r="G700" s="68"/>
      <c r="H700" s="69"/>
      <c r="I700" s="69"/>
      <c r="J700" s="70"/>
      <c r="K700" s="70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71"/>
      <c r="B701" s="71"/>
      <c r="C701" s="71"/>
      <c r="D701" s="71"/>
      <c r="E701" s="71"/>
      <c r="F701" s="72"/>
      <c r="G701" s="71"/>
      <c r="H701" s="72"/>
      <c r="I701" s="72"/>
      <c r="J701" s="70"/>
      <c r="K701" s="70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68"/>
      <c r="B702" s="68"/>
      <c r="C702" s="68"/>
      <c r="D702" s="68"/>
      <c r="E702" s="68"/>
      <c r="F702" s="69"/>
      <c r="G702" s="68"/>
      <c r="H702" s="69"/>
      <c r="I702" s="69"/>
      <c r="J702" s="70"/>
      <c r="K702" s="70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71"/>
      <c r="B703" s="71"/>
      <c r="C703" s="71"/>
      <c r="D703" s="71"/>
      <c r="E703" s="71"/>
      <c r="F703" s="72"/>
      <c r="G703" s="71"/>
      <c r="H703" s="72"/>
      <c r="I703" s="72"/>
      <c r="J703" s="70"/>
      <c r="K703" s="70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68"/>
      <c r="B704" s="68"/>
      <c r="C704" s="68"/>
      <c r="D704" s="68"/>
      <c r="E704" s="68"/>
      <c r="F704" s="69"/>
      <c r="G704" s="68"/>
      <c r="H704" s="69"/>
      <c r="I704" s="69"/>
      <c r="J704" s="70"/>
      <c r="K704" s="70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71"/>
      <c r="B705" s="71"/>
      <c r="C705" s="71"/>
      <c r="D705" s="71"/>
      <c r="E705" s="71"/>
      <c r="F705" s="72"/>
      <c r="G705" s="71"/>
      <c r="H705" s="72"/>
      <c r="I705" s="72"/>
      <c r="J705" s="70"/>
      <c r="K705" s="70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68"/>
      <c r="B706" s="68"/>
      <c r="C706" s="68"/>
      <c r="D706" s="68"/>
      <c r="E706" s="68"/>
      <c r="F706" s="69"/>
      <c r="G706" s="68"/>
      <c r="H706" s="69"/>
      <c r="I706" s="69"/>
      <c r="J706" s="70"/>
      <c r="K706" s="70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71"/>
      <c r="B707" s="71"/>
      <c r="C707" s="71"/>
      <c r="D707" s="71"/>
      <c r="E707" s="71"/>
      <c r="F707" s="72"/>
      <c r="G707" s="71"/>
      <c r="H707" s="72"/>
      <c r="I707" s="72"/>
      <c r="J707" s="70"/>
      <c r="K707" s="70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68"/>
      <c r="B708" s="68"/>
      <c r="C708" s="68"/>
      <c r="D708" s="68"/>
      <c r="E708" s="68"/>
      <c r="F708" s="69"/>
      <c r="G708" s="68"/>
      <c r="H708" s="69"/>
      <c r="I708" s="69"/>
      <c r="J708" s="70"/>
      <c r="K708" s="70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71"/>
      <c r="B709" s="71"/>
      <c r="C709" s="71"/>
      <c r="D709" s="71"/>
      <c r="E709" s="71"/>
      <c r="F709" s="72"/>
      <c r="G709" s="71"/>
      <c r="H709" s="72"/>
      <c r="I709" s="72"/>
      <c r="J709" s="70"/>
      <c r="K709" s="70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68"/>
      <c r="B710" s="68"/>
      <c r="C710" s="68"/>
      <c r="D710" s="68"/>
      <c r="E710" s="68"/>
      <c r="F710" s="69"/>
      <c r="G710" s="68"/>
      <c r="H710" s="69"/>
      <c r="I710" s="69"/>
      <c r="J710" s="70"/>
      <c r="K710" s="70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71"/>
      <c r="B711" s="71"/>
      <c r="C711" s="71"/>
      <c r="D711" s="71"/>
      <c r="E711" s="71"/>
      <c r="F711" s="72"/>
      <c r="G711" s="71"/>
      <c r="H711" s="72"/>
      <c r="I711" s="72"/>
      <c r="J711" s="70"/>
      <c r="K711" s="70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68"/>
      <c r="B712" s="68"/>
      <c r="C712" s="68"/>
      <c r="D712" s="68"/>
      <c r="E712" s="68"/>
      <c r="F712" s="69"/>
      <c r="G712" s="68"/>
      <c r="H712" s="69"/>
      <c r="I712" s="69"/>
      <c r="J712" s="70"/>
      <c r="K712" s="70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71"/>
      <c r="B713" s="71"/>
      <c r="C713" s="71"/>
      <c r="D713" s="71"/>
      <c r="E713" s="71"/>
      <c r="F713" s="72"/>
      <c r="G713" s="71"/>
      <c r="H713" s="72"/>
      <c r="I713" s="72"/>
      <c r="J713" s="70"/>
      <c r="K713" s="70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68"/>
      <c r="B714" s="68"/>
      <c r="C714" s="68"/>
      <c r="D714" s="68"/>
      <c r="E714" s="68"/>
      <c r="F714" s="69"/>
      <c r="G714" s="68"/>
      <c r="H714" s="69"/>
      <c r="I714" s="69"/>
      <c r="J714" s="70"/>
      <c r="K714" s="70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71"/>
      <c r="B715" s="71"/>
      <c r="C715" s="71"/>
      <c r="D715" s="71"/>
      <c r="E715" s="71"/>
      <c r="F715" s="72"/>
      <c r="G715" s="71"/>
      <c r="H715" s="72"/>
      <c r="I715" s="72"/>
      <c r="J715" s="70"/>
      <c r="K715" s="70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68"/>
      <c r="B716" s="68"/>
      <c r="C716" s="68"/>
      <c r="D716" s="68"/>
      <c r="E716" s="68"/>
      <c r="F716" s="69"/>
      <c r="G716" s="68"/>
      <c r="H716" s="69"/>
      <c r="I716" s="69"/>
      <c r="J716" s="70"/>
      <c r="K716" s="70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71"/>
      <c r="B717" s="71"/>
      <c r="C717" s="71"/>
      <c r="D717" s="71"/>
      <c r="E717" s="71"/>
      <c r="F717" s="72"/>
      <c r="G717" s="71"/>
      <c r="H717" s="72"/>
      <c r="I717" s="72"/>
      <c r="J717" s="70"/>
      <c r="K717" s="70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68"/>
      <c r="B718" s="68"/>
      <c r="C718" s="68"/>
      <c r="D718" s="68"/>
      <c r="E718" s="68"/>
      <c r="F718" s="69"/>
      <c r="G718" s="68"/>
      <c r="H718" s="69"/>
      <c r="I718" s="69"/>
      <c r="J718" s="70"/>
      <c r="K718" s="70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71"/>
      <c r="B719" s="71"/>
      <c r="C719" s="71"/>
      <c r="D719" s="71"/>
      <c r="E719" s="71"/>
      <c r="F719" s="72"/>
      <c r="G719" s="71"/>
      <c r="H719" s="72"/>
      <c r="I719" s="72"/>
      <c r="J719" s="70"/>
      <c r="K719" s="70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68"/>
      <c r="B720" s="68"/>
      <c r="C720" s="68"/>
      <c r="D720" s="68"/>
      <c r="E720" s="68"/>
      <c r="F720" s="69"/>
      <c r="G720" s="68"/>
      <c r="H720" s="69"/>
      <c r="I720" s="69"/>
      <c r="J720" s="70"/>
      <c r="K720" s="70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71"/>
      <c r="B721" s="71"/>
      <c r="C721" s="71"/>
      <c r="D721" s="71"/>
      <c r="E721" s="71"/>
      <c r="F721" s="72"/>
      <c r="G721" s="71"/>
      <c r="H721" s="72"/>
      <c r="I721" s="72"/>
      <c r="J721" s="70"/>
      <c r="K721" s="70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68"/>
      <c r="B722" s="68"/>
      <c r="C722" s="68"/>
      <c r="D722" s="68"/>
      <c r="E722" s="68"/>
      <c r="F722" s="69"/>
      <c r="G722" s="68"/>
      <c r="H722" s="69"/>
      <c r="I722" s="69"/>
      <c r="J722" s="70"/>
      <c r="K722" s="70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71"/>
      <c r="B723" s="71"/>
      <c r="C723" s="71"/>
      <c r="D723" s="71"/>
      <c r="E723" s="71"/>
      <c r="F723" s="72"/>
      <c r="G723" s="71"/>
      <c r="H723" s="72"/>
      <c r="I723" s="72"/>
      <c r="J723" s="70"/>
      <c r="K723" s="70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68"/>
      <c r="B724" s="68"/>
      <c r="C724" s="68"/>
      <c r="D724" s="68"/>
      <c r="E724" s="68"/>
      <c r="F724" s="69"/>
      <c r="G724" s="68"/>
      <c r="H724" s="69"/>
      <c r="I724" s="69"/>
      <c r="J724" s="70"/>
      <c r="K724" s="70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71"/>
      <c r="B725" s="71"/>
      <c r="C725" s="71"/>
      <c r="D725" s="71"/>
      <c r="E725" s="71"/>
      <c r="F725" s="72"/>
      <c r="G725" s="71"/>
      <c r="H725" s="72"/>
      <c r="I725" s="72"/>
      <c r="J725" s="70"/>
      <c r="K725" s="70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68"/>
      <c r="B726" s="68"/>
      <c r="C726" s="68"/>
      <c r="D726" s="68"/>
      <c r="E726" s="68"/>
      <c r="F726" s="69"/>
      <c r="G726" s="68"/>
      <c r="H726" s="69"/>
      <c r="I726" s="69"/>
      <c r="J726" s="70"/>
      <c r="K726" s="70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71"/>
      <c r="B727" s="71"/>
      <c r="C727" s="71"/>
      <c r="D727" s="71"/>
      <c r="E727" s="71"/>
      <c r="F727" s="72"/>
      <c r="G727" s="71"/>
      <c r="H727" s="72"/>
      <c r="I727" s="72"/>
      <c r="J727" s="70"/>
      <c r="K727" s="70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68"/>
      <c r="B728" s="68"/>
      <c r="C728" s="68"/>
      <c r="D728" s="68"/>
      <c r="E728" s="68"/>
      <c r="F728" s="69"/>
      <c r="G728" s="68"/>
      <c r="H728" s="69"/>
      <c r="I728" s="69"/>
      <c r="J728" s="70"/>
      <c r="K728" s="70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71"/>
      <c r="B729" s="71"/>
      <c r="C729" s="71"/>
      <c r="D729" s="71"/>
      <c r="E729" s="71"/>
      <c r="F729" s="72"/>
      <c r="G729" s="71"/>
      <c r="H729" s="72"/>
      <c r="I729" s="72"/>
      <c r="J729" s="70"/>
      <c r="K729" s="70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68"/>
      <c r="B730" s="68"/>
      <c r="C730" s="68"/>
      <c r="D730" s="68"/>
      <c r="E730" s="68"/>
      <c r="F730" s="69"/>
      <c r="G730" s="68"/>
      <c r="H730" s="69"/>
      <c r="I730" s="69"/>
      <c r="J730" s="70"/>
      <c r="K730" s="70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71"/>
      <c r="B731" s="71"/>
      <c r="C731" s="71"/>
      <c r="D731" s="71"/>
      <c r="E731" s="71"/>
      <c r="F731" s="72"/>
      <c r="G731" s="71"/>
      <c r="H731" s="72"/>
      <c r="I731" s="72"/>
      <c r="J731" s="70"/>
      <c r="K731" s="70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68"/>
      <c r="B732" s="68"/>
      <c r="C732" s="68"/>
      <c r="D732" s="68"/>
      <c r="E732" s="68"/>
      <c r="F732" s="69"/>
      <c r="G732" s="68"/>
      <c r="H732" s="69"/>
      <c r="I732" s="69"/>
      <c r="J732" s="70"/>
      <c r="K732" s="70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71"/>
      <c r="B733" s="71"/>
      <c r="C733" s="71"/>
      <c r="D733" s="71"/>
      <c r="E733" s="71"/>
      <c r="F733" s="72"/>
      <c r="G733" s="71"/>
      <c r="H733" s="72"/>
      <c r="I733" s="72"/>
      <c r="J733" s="70"/>
      <c r="K733" s="70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68"/>
      <c r="B734" s="68"/>
      <c r="C734" s="68"/>
      <c r="D734" s="68"/>
      <c r="E734" s="68"/>
      <c r="F734" s="69"/>
      <c r="G734" s="68"/>
      <c r="H734" s="69"/>
      <c r="I734" s="69"/>
      <c r="J734" s="70"/>
      <c r="K734" s="70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71"/>
      <c r="B735" s="71"/>
      <c r="C735" s="71"/>
      <c r="D735" s="71"/>
      <c r="E735" s="71"/>
      <c r="F735" s="72"/>
      <c r="G735" s="71"/>
      <c r="H735" s="72"/>
      <c r="I735" s="72"/>
      <c r="J735" s="70"/>
      <c r="K735" s="70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68"/>
      <c r="B736" s="68"/>
      <c r="C736" s="68"/>
      <c r="D736" s="68"/>
      <c r="E736" s="68"/>
      <c r="F736" s="69"/>
      <c r="G736" s="68"/>
      <c r="H736" s="69"/>
      <c r="I736" s="69"/>
      <c r="J736" s="70"/>
      <c r="K736" s="70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71"/>
      <c r="B737" s="71"/>
      <c r="C737" s="71"/>
      <c r="D737" s="71"/>
      <c r="E737" s="71"/>
      <c r="F737" s="72"/>
      <c r="G737" s="71"/>
      <c r="H737" s="72"/>
      <c r="I737" s="72"/>
      <c r="J737" s="70"/>
      <c r="K737" s="70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68"/>
      <c r="B738" s="68"/>
      <c r="C738" s="68"/>
      <c r="D738" s="68"/>
      <c r="E738" s="68"/>
      <c r="F738" s="69"/>
      <c r="G738" s="68"/>
      <c r="H738" s="69"/>
      <c r="I738" s="69"/>
      <c r="J738" s="70"/>
      <c r="K738" s="70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71"/>
      <c r="B739" s="71"/>
      <c r="C739" s="71"/>
      <c r="D739" s="71"/>
      <c r="E739" s="71"/>
      <c r="F739" s="72"/>
      <c r="G739" s="71"/>
      <c r="H739" s="72"/>
      <c r="I739" s="72"/>
      <c r="J739" s="70"/>
      <c r="K739" s="70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68"/>
      <c r="B740" s="68"/>
      <c r="C740" s="68"/>
      <c r="D740" s="68"/>
      <c r="E740" s="68"/>
      <c r="F740" s="69"/>
      <c r="G740" s="68"/>
      <c r="H740" s="69"/>
      <c r="I740" s="69"/>
      <c r="J740" s="70"/>
      <c r="K740" s="70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71"/>
      <c r="B741" s="71"/>
      <c r="C741" s="71"/>
      <c r="D741" s="71"/>
      <c r="E741" s="71"/>
      <c r="F741" s="72"/>
      <c r="G741" s="71"/>
      <c r="H741" s="72"/>
      <c r="I741" s="72"/>
      <c r="J741" s="70"/>
      <c r="K741" s="70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68"/>
      <c r="B742" s="68"/>
      <c r="C742" s="68"/>
      <c r="D742" s="68"/>
      <c r="E742" s="68"/>
      <c r="F742" s="69"/>
      <c r="G742" s="68"/>
      <c r="H742" s="69"/>
      <c r="I742" s="69"/>
      <c r="J742" s="70"/>
      <c r="K742" s="70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71"/>
      <c r="B743" s="71"/>
      <c r="C743" s="71"/>
      <c r="D743" s="71"/>
      <c r="E743" s="71"/>
      <c r="F743" s="72"/>
      <c r="G743" s="71"/>
      <c r="H743" s="72"/>
      <c r="I743" s="72"/>
      <c r="J743" s="70"/>
      <c r="K743" s="70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68"/>
      <c r="B744" s="68"/>
      <c r="C744" s="68"/>
      <c r="D744" s="68"/>
      <c r="E744" s="68"/>
      <c r="F744" s="69"/>
      <c r="G744" s="68"/>
      <c r="H744" s="69"/>
      <c r="I744" s="69"/>
      <c r="J744" s="70"/>
      <c r="K744" s="70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71"/>
      <c r="B745" s="71"/>
      <c r="C745" s="71"/>
      <c r="D745" s="71"/>
      <c r="E745" s="71"/>
      <c r="F745" s="72"/>
      <c r="G745" s="71"/>
      <c r="H745" s="72"/>
      <c r="I745" s="72"/>
      <c r="J745" s="70"/>
      <c r="K745" s="70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68"/>
      <c r="B746" s="68"/>
      <c r="C746" s="68"/>
      <c r="D746" s="68"/>
      <c r="E746" s="68"/>
      <c r="F746" s="69"/>
      <c r="G746" s="68"/>
      <c r="H746" s="69"/>
      <c r="I746" s="69"/>
      <c r="J746" s="70"/>
      <c r="K746" s="70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71"/>
      <c r="B747" s="71"/>
      <c r="C747" s="71"/>
      <c r="D747" s="71"/>
      <c r="E747" s="71"/>
      <c r="F747" s="72"/>
      <c r="G747" s="71"/>
      <c r="H747" s="72"/>
      <c r="I747" s="72"/>
      <c r="J747" s="70"/>
      <c r="K747" s="70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68"/>
      <c r="B748" s="68"/>
      <c r="C748" s="68"/>
      <c r="D748" s="68"/>
      <c r="E748" s="68"/>
      <c r="F748" s="69"/>
      <c r="G748" s="68"/>
      <c r="H748" s="69"/>
      <c r="I748" s="69"/>
      <c r="J748" s="70"/>
      <c r="K748" s="70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71"/>
      <c r="B749" s="71"/>
      <c r="C749" s="71"/>
      <c r="D749" s="71"/>
      <c r="E749" s="71"/>
      <c r="F749" s="72"/>
      <c r="G749" s="71"/>
      <c r="H749" s="72"/>
      <c r="I749" s="72"/>
      <c r="J749" s="70"/>
      <c r="K749" s="70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68"/>
      <c r="B750" s="68"/>
      <c r="C750" s="68"/>
      <c r="D750" s="68"/>
      <c r="E750" s="68"/>
      <c r="F750" s="69"/>
      <c r="G750" s="68"/>
      <c r="H750" s="69"/>
      <c r="I750" s="69"/>
      <c r="J750" s="70"/>
      <c r="K750" s="70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71"/>
      <c r="B751" s="71"/>
      <c r="C751" s="71"/>
      <c r="D751" s="71"/>
      <c r="E751" s="71"/>
      <c r="F751" s="72"/>
      <c r="G751" s="71"/>
      <c r="H751" s="72"/>
      <c r="I751" s="72"/>
      <c r="J751" s="70"/>
      <c r="K751" s="70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68"/>
      <c r="B752" s="68"/>
      <c r="C752" s="68"/>
      <c r="D752" s="68"/>
      <c r="E752" s="68"/>
      <c r="F752" s="69"/>
      <c r="G752" s="68"/>
      <c r="H752" s="69"/>
      <c r="I752" s="69"/>
      <c r="J752" s="70"/>
      <c r="K752" s="70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71"/>
      <c r="B753" s="71"/>
      <c r="C753" s="71"/>
      <c r="D753" s="71"/>
      <c r="E753" s="71"/>
      <c r="F753" s="72"/>
      <c r="G753" s="71"/>
      <c r="H753" s="72"/>
      <c r="I753" s="72"/>
      <c r="J753" s="70"/>
      <c r="K753" s="70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68"/>
      <c r="B754" s="68"/>
      <c r="C754" s="68"/>
      <c r="D754" s="68"/>
      <c r="E754" s="68"/>
      <c r="F754" s="69"/>
      <c r="G754" s="68"/>
      <c r="H754" s="69"/>
      <c r="I754" s="69"/>
      <c r="J754" s="70"/>
      <c r="K754" s="70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71"/>
      <c r="B755" s="71"/>
      <c r="C755" s="71"/>
      <c r="D755" s="71"/>
      <c r="E755" s="71"/>
      <c r="F755" s="72"/>
      <c r="G755" s="71"/>
      <c r="H755" s="72"/>
      <c r="I755" s="72"/>
      <c r="J755" s="70"/>
      <c r="K755" s="70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68"/>
      <c r="B756" s="68"/>
      <c r="C756" s="68"/>
      <c r="D756" s="68"/>
      <c r="E756" s="68"/>
      <c r="F756" s="69"/>
      <c r="G756" s="68"/>
      <c r="H756" s="69"/>
      <c r="I756" s="69"/>
      <c r="J756" s="70"/>
      <c r="K756" s="70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71"/>
      <c r="B757" s="71"/>
      <c r="C757" s="71"/>
      <c r="D757" s="71"/>
      <c r="E757" s="71"/>
      <c r="F757" s="72"/>
      <c r="G757" s="71"/>
      <c r="H757" s="72"/>
      <c r="I757" s="72"/>
      <c r="J757" s="70"/>
      <c r="K757" s="70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68"/>
      <c r="B758" s="68"/>
      <c r="C758" s="68"/>
      <c r="D758" s="68"/>
      <c r="E758" s="68"/>
      <c r="F758" s="69"/>
      <c r="G758" s="68"/>
      <c r="H758" s="69"/>
      <c r="I758" s="69"/>
      <c r="J758" s="70"/>
      <c r="K758" s="70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71"/>
      <c r="B759" s="71"/>
      <c r="C759" s="71"/>
      <c r="D759" s="71"/>
      <c r="E759" s="71"/>
      <c r="F759" s="72"/>
      <c r="G759" s="71"/>
      <c r="H759" s="72"/>
      <c r="I759" s="72"/>
      <c r="J759" s="70"/>
      <c r="K759" s="70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68"/>
      <c r="B760" s="68"/>
      <c r="C760" s="68"/>
      <c r="D760" s="68"/>
      <c r="E760" s="68"/>
      <c r="F760" s="69"/>
      <c r="G760" s="68"/>
      <c r="H760" s="69"/>
      <c r="I760" s="69"/>
      <c r="J760" s="70"/>
      <c r="K760" s="70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71"/>
      <c r="B761" s="71"/>
      <c r="C761" s="71"/>
      <c r="D761" s="71"/>
      <c r="E761" s="71"/>
      <c r="F761" s="72"/>
      <c r="G761" s="71"/>
      <c r="H761" s="72"/>
      <c r="I761" s="72"/>
      <c r="J761" s="70"/>
      <c r="K761" s="70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68"/>
      <c r="B762" s="68"/>
      <c r="C762" s="68"/>
      <c r="D762" s="68"/>
      <c r="E762" s="68"/>
      <c r="F762" s="69"/>
      <c r="G762" s="68"/>
      <c r="H762" s="69"/>
      <c r="I762" s="69"/>
      <c r="J762" s="70"/>
      <c r="K762" s="70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71"/>
      <c r="B763" s="71"/>
      <c r="C763" s="71"/>
      <c r="D763" s="71"/>
      <c r="E763" s="71"/>
      <c r="F763" s="72"/>
      <c r="G763" s="71"/>
      <c r="H763" s="72"/>
      <c r="I763" s="72"/>
      <c r="J763" s="70"/>
      <c r="K763" s="70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68"/>
      <c r="B764" s="68"/>
      <c r="C764" s="68"/>
      <c r="D764" s="68"/>
      <c r="E764" s="68"/>
      <c r="F764" s="69"/>
      <c r="G764" s="68"/>
      <c r="H764" s="69"/>
      <c r="I764" s="69"/>
      <c r="J764" s="70"/>
      <c r="K764" s="70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71"/>
      <c r="B765" s="71"/>
      <c r="C765" s="71"/>
      <c r="D765" s="71"/>
      <c r="E765" s="71"/>
      <c r="F765" s="72"/>
      <c r="G765" s="71"/>
      <c r="H765" s="72"/>
      <c r="I765" s="72"/>
      <c r="J765" s="70"/>
      <c r="K765" s="70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68"/>
      <c r="B766" s="68"/>
      <c r="C766" s="68"/>
      <c r="D766" s="68"/>
      <c r="E766" s="68"/>
      <c r="F766" s="69"/>
      <c r="G766" s="68"/>
      <c r="H766" s="69"/>
      <c r="I766" s="69"/>
      <c r="J766" s="70"/>
      <c r="K766" s="70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71"/>
      <c r="B767" s="71"/>
      <c r="C767" s="71"/>
      <c r="D767" s="71"/>
      <c r="E767" s="71"/>
      <c r="F767" s="72"/>
      <c r="G767" s="71"/>
      <c r="H767" s="72"/>
      <c r="I767" s="72"/>
      <c r="J767" s="70"/>
      <c r="K767" s="70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68"/>
      <c r="B768" s="68"/>
      <c r="C768" s="68"/>
      <c r="D768" s="68"/>
      <c r="E768" s="68"/>
      <c r="F768" s="69"/>
      <c r="G768" s="68"/>
      <c r="H768" s="69"/>
      <c r="I768" s="69"/>
      <c r="J768" s="70"/>
      <c r="K768" s="70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71"/>
      <c r="B769" s="71"/>
      <c r="C769" s="71"/>
      <c r="D769" s="71"/>
      <c r="E769" s="71"/>
      <c r="F769" s="72"/>
      <c r="G769" s="71"/>
      <c r="H769" s="72"/>
      <c r="I769" s="72"/>
      <c r="J769" s="70"/>
      <c r="K769" s="70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68"/>
      <c r="B770" s="68"/>
      <c r="C770" s="68"/>
      <c r="D770" s="68"/>
      <c r="E770" s="68"/>
      <c r="F770" s="69"/>
      <c r="G770" s="68"/>
      <c r="H770" s="69"/>
      <c r="I770" s="69"/>
      <c r="J770" s="70"/>
      <c r="K770" s="70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71"/>
      <c r="B771" s="71"/>
      <c r="C771" s="71"/>
      <c r="D771" s="71"/>
      <c r="E771" s="71"/>
      <c r="F771" s="72"/>
      <c r="G771" s="71"/>
      <c r="H771" s="72"/>
      <c r="I771" s="72"/>
      <c r="J771" s="70"/>
      <c r="K771" s="70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68"/>
      <c r="B772" s="68"/>
      <c r="C772" s="68"/>
      <c r="D772" s="68"/>
      <c r="E772" s="68"/>
      <c r="F772" s="69"/>
      <c r="G772" s="68"/>
      <c r="H772" s="69"/>
      <c r="I772" s="69"/>
      <c r="J772" s="70"/>
      <c r="K772" s="70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71"/>
      <c r="B773" s="71"/>
      <c r="C773" s="71"/>
      <c r="D773" s="71"/>
      <c r="E773" s="71"/>
      <c r="F773" s="72"/>
      <c r="G773" s="71"/>
      <c r="H773" s="72"/>
      <c r="I773" s="72"/>
      <c r="J773" s="70"/>
      <c r="K773" s="70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68"/>
      <c r="B774" s="68"/>
      <c r="C774" s="68"/>
      <c r="D774" s="68"/>
      <c r="E774" s="68"/>
      <c r="F774" s="69"/>
      <c r="G774" s="68"/>
      <c r="H774" s="69"/>
      <c r="I774" s="69"/>
      <c r="J774" s="70"/>
      <c r="K774" s="70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71"/>
      <c r="B775" s="71"/>
      <c r="C775" s="71"/>
      <c r="D775" s="71"/>
      <c r="E775" s="71"/>
      <c r="F775" s="72"/>
      <c r="G775" s="71"/>
      <c r="H775" s="72"/>
      <c r="I775" s="72"/>
      <c r="J775" s="70"/>
      <c r="K775" s="70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68"/>
      <c r="B776" s="68"/>
      <c r="C776" s="68"/>
      <c r="D776" s="68"/>
      <c r="E776" s="68"/>
      <c r="F776" s="69"/>
      <c r="G776" s="68"/>
      <c r="H776" s="69"/>
      <c r="I776" s="69"/>
      <c r="J776" s="70"/>
      <c r="K776" s="70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71"/>
      <c r="B777" s="71"/>
      <c r="C777" s="71"/>
      <c r="D777" s="71"/>
      <c r="E777" s="71"/>
      <c r="F777" s="72"/>
      <c r="G777" s="71"/>
      <c r="H777" s="72"/>
      <c r="I777" s="72"/>
      <c r="J777" s="70"/>
      <c r="K777" s="70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68"/>
      <c r="B778" s="68"/>
      <c r="C778" s="68"/>
      <c r="D778" s="68"/>
      <c r="E778" s="68"/>
      <c r="F778" s="69"/>
      <c r="G778" s="68"/>
      <c r="H778" s="69"/>
      <c r="I778" s="69"/>
      <c r="J778" s="70"/>
      <c r="K778" s="70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71"/>
      <c r="B779" s="71"/>
      <c r="C779" s="71"/>
      <c r="D779" s="71"/>
      <c r="E779" s="71"/>
      <c r="F779" s="72"/>
      <c r="G779" s="71"/>
      <c r="H779" s="72"/>
      <c r="I779" s="72"/>
      <c r="J779" s="70"/>
      <c r="K779" s="70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68"/>
      <c r="B780" s="68"/>
      <c r="C780" s="68"/>
      <c r="D780" s="68"/>
      <c r="E780" s="68"/>
      <c r="F780" s="69"/>
      <c r="G780" s="68"/>
      <c r="H780" s="69"/>
      <c r="I780" s="69"/>
      <c r="J780" s="70"/>
      <c r="K780" s="70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71"/>
      <c r="B781" s="71"/>
      <c r="C781" s="71"/>
      <c r="D781" s="71"/>
      <c r="E781" s="71"/>
      <c r="F781" s="72"/>
      <c r="G781" s="71"/>
      <c r="H781" s="72"/>
      <c r="I781" s="72"/>
      <c r="J781" s="70"/>
      <c r="K781" s="70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68"/>
      <c r="B782" s="68"/>
      <c r="C782" s="68"/>
      <c r="D782" s="68"/>
      <c r="E782" s="68"/>
      <c r="F782" s="69"/>
      <c r="G782" s="68"/>
      <c r="H782" s="69"/>
      <c r="I782" s="69"/>
      <c r="J782" s="70"/>
      <c r="K782" s="70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71"/>
      <c r="B783" s="71"/>
      <c r="C783" s="71"/>
      <c r="D783" s="71"/>
      <c r="E783" s="71"/>
      <c r="F783" s="72"/>
      <c r="G783" s="71"/>
      <c r="H783" s="72"/>
      <c r="I783" s="72"/>
      <c r="J783" s="70"/>
      <c r="K783" s="70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68"/>
      <c r="B784" s="68"/>
      <c r="C784" s="68"/>
      <c r="D784" s="68"/>
      <c r="E784" s="68"/>
      <c r="F784" s="69"/>
      <c r="G784" s="68"/>
      <c r="H784" s="69"/>
      <c r="I784" s="69"/>
      <c r="J784" s="70"/>
      <c r="K784" s="70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71"/>
      <c r="B785" s="71"/>
      <c r="C785" s="71"/>
      <c r="D785" s="71"/>
      <c r="E785" s="71"/>
      <c r="F785" s="72"/>
      <c r="G785" s="71"/>
      <c r="H785" s="72"/>
      <c r="I785" s="72"/>
      <c r="J785" s="70"/>
      <c r="K785" s="70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68"/>
      <c r="B786" s="68"/>
      <c r="C786" s="68"/>
      <c r="D786" s="68"/>
      <c r="E786" s="68"/>
      <c r="F786" s="69"/>
      <c r="G786" s="68"/>
      <c r="H786" s="69"/>
      <c r="I786" s="69"/>
      <c r="J786" s="70"/>
      <c r="K786" s="70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71"/>
      <c r="B787" s="71"/>
      <c r="C787" s="71"/>
      <c r="D787" s="71"/>
      <c r="E787" s="71"/>
      <c r="F787" s="72"/>
      <c r="G787" s="71"/>
      <c r="H787" s="72"/>
      <c r="I787" s="72"/>
      <c r="J787" s="70"/>
      <c r="K787" s="70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68"/>
      <c r="B788" s="68"/>
      <c r="C788" s="68"/>
      <c r="D788" s="68"/>
      <c r="E788" s="68"/>
      <c r="F788" s="69"/>
      <c r="G788" s="68"/>
      <c r="H788" s="69"/>
      <c r="I788" s="69"/>
      <c r="J788" s="70"/>
      <c r="K788" s="70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71"/>
      <c r="B789" s="71"/>
      <c r="C789" s="71"/>
      <c r="D789" s="71"/>
      <c r="E789" s="71"/>
      <c r="F789" s="72"/>
      <c r="G789" s="71"/>
      <c r="H789" s="72"/>
      <c r="I789" s="72"/>
      <c r="J789" s="70"/>
      <c r="K789" s="70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68"/>
      <c r="B790" s="68"/>
      <c r="C790" s="68"/>
      <c r="D790" s="68"/>
      <c r="E790" s="68"/>
      <c r="F790" s="69"/>
      <c r="G790" s="68"/>
      <c r="H790" s="69"/>
      <c r="I790" s="69"/>
      <c r="J790" s="70"/>
      <c r="K790" s="70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71"/>
      <c r="B791" s="71"/>
      <c r="C791" s="71"/>
      <c r="D791" s="71"/>
      <c r="E791" s="71"/>
      <c r="F791" s="72"/>
      <c r="G791" s="71"/>
      <c r="H791" s="72"/>
      <c r="I791" s="72"/>
      <c r="J791" s="70"/>
      <c r="K791" s="70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68"/>
      <c r="B792" s="68"/>
      <c r="C792" s="68"/>
      <c r="D792" s="68"/>
      <c r="E792" s="68"/>
      <c r="F792" s="69"/>
      <c r="G792" s="68"/>
      <c r="H792" s="69"/>
      <c r="I792" s="69"/>
      <c r="J792" s="70"/>
      <c r="K792" s="70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71"/>
      <c r="B793" s="71"/>
      <c r="C793" s="71"/>
      <c r="D793" s="71"/>
      <c r="E793" s="71"/>
      <c r="F793" s="72"/>
      <c r="G793" s="71"/>
      <c r="H793" s="72"/>
      <c r="I793" s="72"/>
      <c r="J793" s="70"/>
      <c r="K793" s="70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68"/>
      <c r="B794" s="68"/>
      <c r="C794" s="68"/>
      <c r="D794" s="68"/>
      <c r="E794" s="68"/>
      <c r="F794" s="69"/>
      <c r="G794" s="68"/>
      <c r="H794" s="69"/>
      <c r="I794" s="69"/>
      <c r="J794" s="70"/>
      <c r="K794" s="70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71"/>
      <c r="B795" s="71"/>
      <c r="C795" s="71"/>
      <c r="D795" s="71"/>
      <c r="E795" s="71"/>
      <c r="F795" s="72"/>
      <c r="G795" s="71"/>
      <c r="H795" s="72"/>
      <c r="I795" s="72"/>
      <c r="J795" s="70"/>
      <c r="K795" s="70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68"/>
      <c r="B796" s="68"/>
      <c r="C796" s="68"/>
      <c r="D796" s="68"/>
      <c r="E796" s="68"/>
      <c r="F796" s="69"/>
      <c r="G796" s="68"/>
      <c r="H796" s="69"/>
      <c r="I796" s="69"/>
      <c r="J796" s="70"/>
      <c r="K796" s="70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71"/>
      <c r="B797" s="71"/>
      <c r="C797" s="71"/>
      <c r="D797" s="71"/>
      <c r="E797" s="71"/>
      <c r="F797" s="72"/>
      <c r="G797" s="71"/>
      <c r="H797" s="72"/>
      <c r="I797" s="72"/>
      <c r="J797" s="70"/>
      <c r="K797" s="70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68"/>
      <c r="B798" s="68"/>
      <c r="C798" s="68"/>
      <c r="D798" s="68"/>
      <c r="E798" s="68"/>
      <c r="F798" s="69"/>
      <c r="G798" s="68"/>
      <c r="H798" s="69"/>
      <c r="I798" s="69"/>
      <c r="J798" s="70"/>
      <c r="K798" s="70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71"/>
      <c r="B799" s="71"/>
      <c r="C799" s="71"/>
      <c r="D799" s="71"/>
      <c r="E799" s="71"/>
      <c r="F799" s="72"/>
      <c r="G799" s="71"/>
      <c r="H799" s="72"/>
      <c r="I799" s="72"/>
      <c r="J799" s="70"/>
      <c r="K799" s="70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68"/>
      <c r="B800" s="68"/>
      <c r="C800" s="68"/>
      <c r="D800" s="68"/>
      <c r="E800" s="68"/>
      <c r="F800" s="69"/>
      <c r="G800" s="68"/>
      <c r="H800" s="69"/>
      <c r="I800" s="69"/>
      <c r="J800" s="70"/>
      <c r="K800" s="70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71"/>
      <c r="B801" s="71"/>
      <c r="C801" s="71"/>
      <c r="D801" s="71"/>
      <c r="E801" s="71"/>
      <c r="F801" s="72"/>
      <c r="G801" s="71"/>
      <c r="H801" s="72"/>
      <c r="I801" s="72"/>
      <c r="J801" s="70"/>
      <c r="K801" s="70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68"/>
      <c r="B802" s="68"/>
      <c r="C802" s="68"/>
      <c r="D802" s="68"/>
      <c r="E802" s="68"/>
      <c r="F802" s="69"/>
      <c r="G802" s="68"/>
      <c r="H802" s="69"/>
      <c r="I802" s="69"/>
      <c r="J802" s="70"/>
      <c r="K802" s="70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71"/>
      <c r="B803" s="71"/>
      <c r="C803" s="71"/>
      <c r="D803" s="71"/>
      <c r="E803" s="71"/>
      <c r="F803" s="72"/>
      <c r="G803" s="71"/>
      <c r="H803" s="72"/>
      <c r="I803" s="72"/>
      <c r="J803" s="70"/>
      <c r="K803" s="70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68"/>
      <c r="B804" s="68"/>
      <c r="C804" s="68"/>
      <c r="D804" s="68"/>
      <c r="E804" s="68"/>
      <c r="F804" s="69"/>
      <c r="G804" s="68"/>
      <c r="H804" s="69"/>
      <c r="I804" s="69"/>
      <c r="J804" s="70"/>
      <c r="K804" s="70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71"/>
      <c r="B805" s="71"/>
      <c r="C805" s="71"/>
      <c r="D805" s="71"/>
      <c r="E805" s="71"/>
      <c r="F805" s="72"/>
      <c r="G805" s="71"/>
      <c r="H805" s="72"/>
      <c r="I805" s="72"/>
      <c r="J805" s="70"/>
      <c r="K805" s="70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68"/>
      <c r="B806" s="68"/>
      <c r="C806" s="68"/>
      <c r="D806" s="68"/>
      <c r="E806" s="68"/>
      <c r="F806" s="69"/>
      <c r="G806" s="68"/>
      <c r="H806" s="69"/>
      <c r="I806" s="69"/>
      <c r="J806" s="70"/>
      <c r="K806" s="70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71"/>
      <c r="B807" s="71"/>
      <c r="C807" s="71"/>
      <c r="D807" s="71"/>
      <c r="E807" s="71"/>
      <c r="F807" s="72"/>
      <c r="G807" s="71"/>
      <c r="H807" s="72"/>
      <c r="I807" s="72"/>
      <c r="J807" s="70"/>
      <c r="K807" s="70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68"/>
      <c r="B808" s="68"/>
      <c r="C808" s="68"/>
      <c r="D808" s="68"/>
      <c r="E808" s="68"/>
      <c r="F808" s="69"/>
      <c r="G808" s="68"/>
      <c r="H808" s="69"/>
      <c r="I808" s="69"/>
      <c r="J808" s="70"/>
      <c r="K808" s="70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71"/>
      <c r="B809" s="71"/>
      <c r="C809" s="71"/>
      <c r="D809" s="71"/>
      <c r="E809" s="71"/>
      <c r="F809" s="72"/>
      <c r="G809" s="71"/>
      <c r="H809" s="72"/>
      <c r="I809" s="72"/>
      <c r="J809" s="70"/>
      <c r="K809" s="70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68"/>
      <c r="B810" s="68"/>
      <c r="C810" s="68"/>
      <c r="D810" s="68"/>
      <c r="E810" s="68"/>
      <c r="F810" s="69"/>
      <c r="G810" s="68"/>
      <c r="H810" s="69"/>
      <c r="I810" s="69"/>
      <c r="J810" s="70"/>
      <c r="K810" s="70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71"/>
      <c r="B811" s="71"/>
      <c r="C811" s="71"/>
      <c r="D811" s="71"/>
      <c r="E811" s="71"/>
      <c r="F811" s="72"/>
      <c r="G811" s="71"/>
      <c r="H811" s="72"/>
      <c r="I811" s="72"/>
      <c r="J811" s="70"/>
      <c r="K811" s="70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68"/>
      <c r="B812" s="68"/>
      <c r="C812" s="68"/>
      <c r="D812" s="68"/>
      <c r="E812" s="68"/>
      <c r="F812" s="69"/>
      <c r="G812" s="68"/>
      <c r="H812" s="69"/>
      <c r="I812" s="69"/>
      <c r="J812" s="70"/>
      <c r="K812" s="70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71"/>
      <c r="B813" s="71"/>
      <c r="C813" s="71"/>
      <c r="D813" s="71"/>
      <c r="E813" s="71"/>
      <c r="F813" s="72"/>
      <c r="G813" s="71"/>
      <c r="H813" s="72"/>
      <c r="I813" s="72"/>
      <c r="J813" s="70"/>
      <c r="K813" s="70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68"/>
      <c r="B814" s="68"/>
      <c r="C814" s="68"/>
      <c r="D814" s="68"/>
      <c r="E814" s="68"/>
      <c r="F814" s="69"/>
      <c r="G814" s="68"/>
      <c r="H814" s="69"/>
      <c r="I814" s="69"/>
      <c r="J814" s="70"/>
      <c r="K814" s="70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71"/>
      <c r="B815" s="71"/>
      <c r="C815" s="71"/>
      <c r="D815" s="71"/>
      <c r="E815" s="71"/>
      <c r="F815" s="72"/>
      <c r="G815" s="71"/>
      <c r="H815" s="72"/>
      <c r="I815" s="72"/>
      <c r="J815" s="70"/>
      <c r="K815" s="70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68"/>
      <c r="B816" s="68"/>
      <c r="C816" s="68"/>
      <c r="D816" s="68"/>
      <c r="E816" s="68"/>
      <c r="F816" s="69"/>
      <c r="G816" s="68"/>
      <c r="H816" s="69"/>
      <c r="I816" s="69"/>
      <c r="J816" s="70"/>
      <c r="K816" s="70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71"/>
      <c r="B817" s="71"/>
      <c r="C817" s="71"/>
      <c r="D817" s="71"/>
      <c r="E817" s="71"/>
      <c r="F817" s="72"/>
      <c r="G817" s="71"/>
      <c r="H817" s="72"/>
      <c r="I817" s="72"/>
      <c r="J817" s="70"/>
      <c r="K817" s="70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68"/>
      <c r="B818" s="68"/>
      <c r="C818" s="68"/>
      <c r="D818" s="68"/>
      <c r="E818" s="68"/>
      <c r="F818" s="69"/>
      <c r="G818" s="68"/>
      <c r="H818" s="69"/>
      <c r="I818" s="69"/>
      <c r="J818" s="70"/>
      <c r="K818" s="70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71"/>
      <c r="B819" s="71"/>
      <c r="C819" s="71"/>
      <c r="D819" s="71"/>
      <c r="E819" s="71"/>
      <c r="F819" s="72"/>
      <c r="G819" s="71"/>
      <c r="H819" s="72"/>
      <c r="I819" s="72"/>
      <c r="J819" s="70"/>
      <c r="K819" s="70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68"/>
      <c r="B820" s="68"/>
      <c r="C820" s="68"/>
      <c r="D820" s="68"/>
      <c r="E820" s="68"/>
      <c r="F820" s="69"/>
      <c r="G820" s="68"/>
      <c r="H820" s="69"/>
      <c r="I820" s="69"/>
      <c r="J820" s="70"/>
      <c r="K820" s="70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71"/>
      <c r="B821" s="71"/>
      <c r="C821" s="71"/>
      <c r="D821" s="71"/>
      <c r="E821" s="71"/>
      <c r="F821" s="72"/>
      <c r="G821" s="71"/>
      <c r="H821" s="72"/>
      <c r="I821" s="72"/>
      <c r="J821" s="70"/>
      <c r="K821" s="70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68"/>
      <c r="B822" s="68"/>
      <c r="C822" s="68"/>
      <c r="D822" s="68"/>
      <c r="E822" s="68"/>
      <c r="F822" s="69"/>
      <c r="G822" s="68"/>
      <c r="H822" s="69"/>
      <c r="I822" s="69"/>
      <c r="J822" s="70"/>
      <c r="K822" s="70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71"/>
      <c r="B823" s="71"/>
      <c r="C823" s="71"/>
      <c r="D823" s="71"/>
      <c r="E823" s="71"/>
      <c r="F823" s="72"/>
      <c r="G823" s="71"/>
      <c r="H823" s="72"/>
      <c r="I823" s="72"/>
      <c r="J823" s="70"/>
      <c r="K823" s="70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68"/>
      <c r="B824" s="68"/>
      <c r="C824" s="68"/>
      <c r="D824" s="68"/>
      <c r="E824" s="68"/>
      <c r="F824" s="69"/>
      <c r="G824" s="68"/>
      <c r="H824" s="69"/>
      <c r="I824" s="69"/>
      <c r="J824" s="70"/>
      <c r="K824" s="70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71"/>
      <c r="B825" s="71"/>
      <c r="C825" s="71"/>
      <c r="D825" s="71"/>
      <c r="E825" s="71"/>
      <c r="F825" s="72"/>
      <c r="G825" s="71"/>
      <c r="H825" s="72"/>
      <c r="I825" s="72"/>
      <c r="J825" s="70"/>
      <c r="K825" s="70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68"/>
      <c r="B826" s="68"/>
      <c r="C826" s="68"/>
      <c r="D826" s="68"/>
      <c r="E826" s="68"/>
      <c r="F826" s="69"/>
      <c r="G826" s="68"/>
      <c r="H826" s="69"/>
      <c r="I826" s="69"/>
      <c r="J826" s="70"/>
      <c r="K826" s="70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71"/>
      <c r="B827" s="71"/>
      <c r="C827" s="71"/>
      <c r="D827" s="71"/>
      <c r="E827" s="71"/>
      <c r="F827" s="72"/>
      <c r="G827" s="71"/>
      <c r="H827" s="72"/>
      <c r="I827" s="72"/>
      <c r="J827" s="70"/>
      <c r="K827" s="70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68"/>
      <c r="B828" s="68"/>
      <c r="C828" s="68"/>
      <c r="D828" s="68"/>
      <c r="E828" s="68"/>
      <c r="F828" s="69"/>
      <c r="G828" s="68"/>
      <c r="H828" s="69"/>
      <c r="I828" s="69"/>
      <c r="J828" s="70"/>
      <c r="K828" s="70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71"/>
      <c r="B829" s="71"/>
      <c r="C829" s="71"/>
      <c r="D829" s="71"/>
      <c r="E829" s="71"/>
      <c r="F829" s="72"/>
      <c r="G829" s="71"/>
      <c r="H829" s="72"/>
      <c r="I829" s="72"/>
      <c r="J829" s="70"/>
      <c r="K829" s="70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68"/>
      <c r="B830" s="68"/>
      <c r="C830" s="68"/>
      <c r="D830" s="68"/>
      <c r="E830" s="68"/>
      <c r="F830" s="69"/>
      <c r="G830" s="68"/>
      <c r="H830" s="69"/>
      <c r="I830" s="69"/>
      <c r="J830" s="70"/>
      <c r="K830" s="70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71"/>
      <c r="B831" s="71"/>
      <c r="C831" s="71"/>
      <c r="D831" s="71"/>
      <c r="E831" s="71"/>
      <c r="F831" s="72"/>
      <c r="G831" s="71"/>
      <c r="H831" s="72"/>
      <c r="I831" s="72"/>
      <c r="J831" s="70"/>
      <c r="K831" s="70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68"/>
      <c r="B832" s="68"/>
      <c r="C832" s="68"/>
      <c r="D832" s="68"/>
      <c r="E832" s="68"/>
      <c r="F832" s="69"/>
      <c r="G832" s="68"/>
      <c r="H832" s="69"/>
      <c r="I832" s="69"/>
      <c r="J832" s="70"/>
      <c r="K832" s="70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71"/>
      <c r="B833" s="71"/>
      <c r="C833" s="71"/>
      <c r="D833" s="71"/>
      <c r="E833" s="71"/>
      <c r="F833" s="72"/>
      <c r="G833" s="71"/>
      <c r="H833" s="72"/>
      <c r="I833" s="72"/>
      <c r="J833" s="70"/>
      <c r="K833" s="70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68"/>
      <c r="B834" s="68"/>
      <c r="C834" s="68"/>
      <c r="D834" s="68"/>
      <c r="E834" s="68"/>
      <c r="F834" s="69"/>
      <c r="G834" s="68"/>
      <c r="H834" s="69"/>
      <c r="I834" s="69"/>
      <c r="J834" s="70"/>
      <c r="K834" s="70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71"/>
      <c r="B835" s="71"/>
      <c r="C835" s="71"/>
      <c r="D835" s="71"/>
      <c r="E835" s="71"/>
      <c r="F835" s="72"/>
      <c r="G835" s="71"/>
      <c r="H835" s="72"/>
      <c r="I835" s="72"/>
      <c r="J835" s="70"/>
      <c r="K835" s="70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68"/>
      <c r="B836" s="68"/>
      <c r="C836" s="68"/>
      <c r="D836" s="68"/>
      <c r="E836" s="68"/>
      <c r="F836" s="69"/>
      <c r="G836" s="68"/>
      <c r="H836" s="69"/>
      <c r="I836" s="69"/>
      <c r="J836" s="70"/>
      <c r="K836" s="70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71"/>
      <c r="B837" s="71"/>
      <c r="C837" s="71"/>
      <c r="D837" s="71"/>
      <c r="E837" s="71"/>
      <c r="F837" s="72"/>
      <c r="G837" s="71"/>
      <c r="H837" s="72"/>
      <c r="I837" s="72"/>
      <c r="J837" s="70"/>
      <c r="K837" s="70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68"/>
      <c r="B838" s="68"/>
      <c r="C838" s="68"/>
      <c r="D838" s="68"/>
      <c r="E838" s="68"/>
      <c r="F838" s="69"/>
      <c r="G838" s="68"/>
      <c r="H838" s="69"/>
      <c r="I838" s="69"/>
      <c r="J838" s="70"/>
      <c r="K838" s="70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71"/>
      <c r="B839" s="71"/>
      <c r="C839" s="71"/>
      <c r="D839" s="71"/>
      <c r="E839" s="71"/>
      <c r="F839" s="72"/>
      <c r="G839" s="71"/>
      <c r="H839" s="72"/>
      <c r="I839" s="72"/>
      <c r="J839" s="70"/>
      <c r="K839" s="70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68"/>
      <c r="B840" s="68"/>
      <c r="C840" s="68"/>
      <c r="D840" s="68"/>
      <c r="E840" s="68"/>
      <c r="F840" s="69"/>
      <c r="G840" s="68"/>
      <c r="H840" s="69"/>
      <c r="I840" s="69"/>
      <c r="J840" s="70"/>
      <c r="K840" s="70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71"/>
      <c r="B841" s="71"/>
      <c r="C841" s="71"/>
      <c r="D841" s="71"/>
      <c r="E841" s="71"/>
      <c r="F841" s="72"/>
      <c r="G841" s="71"/>
      <c r="H841" s="72"/>
      <c r="I841" s="72"/>
      <c r="J841" s="70"/>
      <c r="K841" s="70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68"/>
      <c r="B842" s="68"/>
      <c r="C842" s="68"/>
      <c r="D842" s="68"/>
      <c r="E842" s="68"/>
      <c r="F842" s="69"/>
      <c r="G842" s="68"/>
      <c r="H842" s="69"/>
      <c r="I842" s="69"/>
      <c r="J842" s="70"/>
      <c r="K842" s="70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71"/>
      <c r="B843" s="71"/>
      <c r="C843" s="71"/>
      <c r="D843" s="71"/>
      <c r="E843" s="71"/>
      <c r="F843" s="72"/>
      <c r="G843" s="71"/>
      <c r="H843" s="72"/>
      <c r="I843" s="72"/>
      <c r="J843" s="70"/>
      <c r="K843" s="70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68"/>
      <c r="B844" s="68"/>
      <c r="C844" s="68"/>
      <c r="D844" s="68"/>
      <c r="E844" s="68"/>
      <c r="F844" s="69"/>
      <c r="G844" s="68"/>
      <c r="H844" s="69"/>
      <c r="I844" s="69"/>
      <c r="J844" s="70"/>
      <c r="K844" s="70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71"/>
      <c r="B845" s="71"/>
      <c r="C845" s="71"/>
      <c r="D845" s="71"/>
      <c r="E845" s="71"/>
      <c r="F845" s="72"/>
      <c r="G845" s="71"/>
      <c r="H845" s="72"/>
      <c r="I845" s="72"/>
      <c r="J845" s="70"/>
      <c r="K845" s="70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68"/>
      <c r="B846" s="68"/>
      <c r="C846" s="68"/>
      <c r="D846" s="68"/>
      <c r="E846" s="68"/>
      <c r="F846" s="69"/>
      <c r="G846" s="68"/>
      <c r="H846" s="69"/>
      <c r="I846" s="69"/>
      <c r="J846" s="70"/>
      <c r="K846" s="70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71"/>
      <c r="B847" s="71"/>
      <c r="C847" s="71"/>
      <c r="D847" s="71"/>
      <c r="E847" s="71"/>
      <c r="F847" s="72"/>
      <c r="G847" s="71"/>
      <c r="H847" s="72"/>
      <c r="I847" s="72"/>
      <c r="J847" s="70"/>
      <c r="K847" s="70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68"/>
      <c r="B848" s="68"/>
      <c r="C848" s="68"/>
      <c r="D848" s="68"/>
      <c r="E848" s="68"/>
      <c r="F848" s="69"/>
      <c r="G848" s="68"/>
      <c r="H848" s="69"/>
      <c r="I848" s="69"/>
      <c r="J848" s="70"/>
      <c r="K848" s="70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71"/>
      <c r="B849" s="71"/>
      <c r="C849" s="71"/>
      <c r="D849" s="71"/>
      <c r="E849" s="71"/>
      <c r="F849" s="72"/>
      <c r="G849" s="71"/>
      <c r="H849" s="72"/>
      <c r="I849" s="72"/>
      <c r="J849" s="70"/>
      <c r="K849" s="70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68"/>
      <c r="B850" s="68"/>
      <c r="C850" s="68"/>
      <c r="D850" s="68"/>
      <c r="E850" s="68"/>
      <c r="F850" s="69"/>
      <c r="G850" s="68"/>
      <c r="H850" s="69"/>
      <c r="I850" s="69"/>
      <c r="J850" s="70"/>
      <c r="K850" s="70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71"/>
      <c r="B851" s="71"/>
      <c r="C851" s="71"/>
      <c r="D851" s="71"/>
      <c r="E851" s="71"/>
      <c r="F851" s="72"/>
      <c r="G851" s="71"/>
      <c r="H851" s="72"/>
      <c r="I851" s="72"/>
      <c r="J851" s="70"/>
      <c r="K851" s="70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68"/>
      <c r="B852" s="68"/>
      <c r="C852" s="68"/>
      <c r="D852" s="68"/>
      <c r="E852" s="68"/>
      <c r="F852" s="69"/>
      <c r="G852" s="68"/>
      <c r="H852" s="69"/>
      <c r="I852" s="69"/>
      <c r="J852" s="70"/>
      <c r="K852" s="70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71"/>
      <c r="B853" s="71"/>
      <c r="C853" s="71"/>
      <c r="D853" s="71"/>
      <c r="E853" s="71"/>
      <c r="F853" s="72"/>
      <c r="G853" s="71"/>
      <c r="H853" s="72"/>
      <c r="I853" s="72"/>
      <c r="J853" s="70"/>
      <c r="K853" s="70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68"/>
      <c r="B854" s="68"/>
      <c r="C854" s="68"/>
      <c r="D854" s="68"/>
      <c r="E854" s="68"/>
      <c r="F854" s="69"/>
      <c r="G854" s="68"/>
      <c r="H854" s="69"/>
      <c r="I854" s="69"/>
      <c r="J854" s="70"/>
      <c r="K854" s="70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71"/>
      <c r="B855" s="71"/>
      <c r="C855" s="71"/>
      <c r="D855" s="71"/>
      <c r="E855" s="71"/>
      <c r="F855" s="72"/>
      <c r="G855" s="71"/>
      <c r="H855" s="72"/>
      <c r="I855" s="72"/>
      <c r="J855" s="70"/>
      <c r="K855" s="70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68"/>
      <c r="B856" s="68"/>
      <c r="C856" s="68"/>
      <c r="D856" s="68"/>
      <c r="E856" s="68"/>
      <c r="F856" s="69"/>
      <c r="G856" s="68"/>
      <c r="H856" s="69"/>
      <c r="I856" s="69"/>
      <c r="J856" s="70"/>
      <c r="K856" s="70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71"/>
      <c r="B857" s="71"/>
      <c r="C857" s="71"/>
      <c r="D857" s="71"/>
      <c r="E857" s="71"/>
      <c r="F857" s="72"/>
      <c r="G857" s="71"/>
      <c r="H857" s="72"/>
      <c r="I857" s="72"/>
      <c r="J857" s="70"/>
      <c r="K857" s="70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68"/>
      <c r="B858" s="68"/>
      <c r="C858" s="68"/>
      <c r="D858" s="68"/>
      <c r="E858" s="68"/>
      <c r="F858" s="69"/>
      <c r="G858" s="68"/>
      <c r="H858" s="69"/>
      <c r="I858" s="69"/>
      <c r="J858" s="70"/>
      <c r="K858" s="70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71"/>
      <c r="B859" s="71"/>
      <c r="C859" s="71"/>
      <c r="D859" s="71"/>
      <c r="E859" s="71"/>
      <c r="F859" s="72"/>
      <c r="G859" s="71"/>
      <c r="H859" s="72"/>
      <c r="I859" s="72"/>
      <c r="J859" s="70"/>
      <c r="K859" s="70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68"/>
      <c r="B860" s="68"/>
      <c r="C860" s="68"/>
      <c r="D860" s="68"/>
      <c r="E860" s="68"/>
      <c r="F860" s="69"/>
      <c r="G860" s="68"/>
      <c r="H860" s="69"/>
      <c r="I860" s="69"/>
      <c r="J860" s="70"/>
      <c r="K860" s="70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71"/>
      <c r="B861" s="71"/>
      <c r="C861" s="71"/>
      <c r="D861" s="71"/>
      <c r="E861" s="71"/>
      <c r="F861" s="72"/>
      <c r="G861" s="71"/>
      <c r="H861" s="72"/>
      <c r="I861" s="72"/>
      <c r="J861" s="70"/>
      <c r="K861" s="70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68"/>
      <c r="B862" s="68"/>
      <c r="C862" s="68"/>
      <c r="D862" s="68"/>
      <c r="E862" s="68"/>
      <c r="F862" s="69"/>
      <c r="G862" s="68"/>
      <c r="H862" s="69"/>
      <c r="I862" s="69"/>
      <c r="J862" s="70"/>
      <c r="K862" s="70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71"/>
      <c r="B863" s="71"/>
      <c r="C863" s="71"/>
      <c r="D863" s="71"/>
      <c r="E863" s="71"/>
      <c r="F863" s="72"/>
      <c r="G863" s="71"/>
      <c r="H863" s="72"/>
      <c r="I863" s="72"/>
      <c r="J863" s="70"/>
      <c r="K863" s="70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68"/>
      <c r="B864" s="68"/>
      <c r="C864" s="68"/>
      <c r="D864" s="68"/>
      <c r="E864" s="68"/>
      <c r="F864" s="69"/>
      <c r="G864" s="68"/>
      <c r="H864" s="69"/>
      <c r="I864" s="69"/>
      <c r="J864" s="70"/>
      <c r="K864" s="70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71"/>
      <c r="B865" s="71"/>
      <c r="C865" s="71"/>
      <c r="D865" s="71"/>
      <c r="E865" s="71"/>
      <c r="F865" s="72"/>
      <c r="G865" s="71"/>
      <c r="H865" s="72"/>
      <c r="I865" s="72"/>
      <c r="J865" s="70"/>
      <c r="K865" s="70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68"/>
      <c r="B866" s="68"/>
      <c r="C866" s="68"/>
      <c r="D866" s="68"/>
      <c r="E866" s="68"/>
      <c r="F866" s="69"/>
      <c r="G866" s="68"/>
      <c r="H866" s="69"/>
      <c r="I866" s="69"/>
      <c r="J866" s="70"/>
      <c r="K866" s="70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71"/>
      <c r="B867" s="71"/>
      <c r="C867" s="71"/>
      <c r="D867" s="71"/>
      <c r="E867" s="71"/>
      <c r="F867" s="72"/>
      <c r="G867" s="71"/>
      <c r="H867" s="72"/>
      <c r="I867" s="72"/>
      <c r="J867" s="70"/>
      <c r="K867" s="70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68"/>
      <c r="B868" s="68"/>
      <c r="C868" s="68"/>
      <c r="D868" s="68"/>
      <c r="E868" s="68"/>
      <c r="F868" s="69"/>
      <c r="G868" s="68"/>
      <c r="H868" s="69"/>
      <c r="I868" s="69"/>
      <c r="J868" s="70"/>
      <c r="K868" s="70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71"/>
      <c r="B869" s="71"/>
      <c r="C869" s="71"/>
      <c r="D869" s="71"/>
      <c r="E869" s="71"/>
      <c r="F869" s="72"/>
      <c r="G869" s="71"/>
      <c r="H869" s="72"/>
      <c r="I869" s="72"/>
      <c r="J869" s="70"/>
      <c r="K869" s="70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68"/>
      <c r="B870" s="68"/>
      <c r="C870" s="68"/>
      <c r="D870" s="68"/>
      <c r="E870" s="68"/>
      <c r="F870" s="69"/>
      <c r="G870" s="68"/>
      <c r="H870" s="69"/>
      <c r="I870" s="69"/>
      <c r="J870" s="70"/>
      <c r="K870" s="70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71"/>
      <c r="B871" s="71"/>
      <c r="C871" s="71"/>
      <c r="D871" s="71"/>
      <c r="E871" s="71"/>
      <c r="F871" s="72"/>
      <c r="G871" s="71"/>
      <c r="H871" s="72"/>
      <c r="I871" s="72"/>
      <c r="J871" s="70"/>
      <c r="K871" s="70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68"/>
      <c r="B872" s="68"/>
      <c r="C872" s="68"/>
      <c r="D872" s="68"/>
      <c r="E872" s="68"/>
      <c r="F872" s="69"/>
      <c r="G872" s="68"/>
      <c r="H872" s="69"/>
      <c r="I872" s="69"/>
      <c r="J872" s="70"/>
      <c r="K872" s="70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71"/>
      <c r="B873" s="71"/>
      <c r="C873" s="71"/>
      <c r="D873" s="71"/>
      <c r="E873" s="71"/>
      <c r="F873" s="72"/>
      <c r="G873" s="71"/>
      <c r="H873" s="72"/>
      <c r="I873" s="72"/>
      <c r="J873" s="70"/>
      <c r="K873" s="70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68"/>
      <c r="B874" s="68"/>
      <c r="C874" s="68"/>
      <c r="D874" s="68"/>
      <c r="E874" s="68"/>
      <c r="F874" s="69"/>
      <c r="G874" s="68"/>
      <c r="H874" s="69"/>
      <c r="I874" s="69"/>
      <c r="J874" s="70"/>
      <c r="K874" s="70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71"/>
      <c r="B875" s="71"/>
      <c r="C875" s="71"/>
      <c r="D875" s="71"/>
      <c r="E875" s="71"/>
      <c r="F875" s="72"/>
      <c r="G875" s="71"/>
      <c r="H875" s="72"/>
      <c r="I875" s="72"/>
      <c r="J875" s="70"/>
      <c r="K875" s="70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68"/>
      <c r="B876" s="68"/>
      <c r="C876" s="68"/>
      <c r="D876" s="68"/>
      <c r="E876" s="68"/>
      <c r="F876" s="69"/>
      <c r="G876" s="68"/>
      <c r="H876" s="69"/>
      <c r="I876" s="69"/>
      <c r="J876" s="70"/>
      <c r="K876" s="70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71"/>
      <c r="B877" s="71"/>
      <c r="C877" s="71"/>
      <c r="D877" s="71"/>
      <c r="E877" s="71"/>
      <c r="F877" s="72"/>
      <c r="G877" s="71"/>
      <c r="H877" s="72"/>
      <c r="I877" s="72"/>
      <c r="J877" s="70"/>
      <c r="K877" s="70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68"/>
      <c r="B878" s="68"/>
      <c r="C878" s="68"/>
      <c r="D878" s="68"/>
      <c r="E878" s="68"/>
      <c r="F878" s="69"/>
      <c r="G878" s="68"/>
      <c r="H878" s="69"/>
      <c r="I878" s="69"/>
      <c r="J878" s="70"/>
      <c r="K878" s="70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71"/>
      <c r="B879" s="71"/>
      <c r="C879" s="71"/>
      <c r="D879" s="71"/>
      <c r="E879" s="71"/>
      <c r="F879" s="72"/>
      <c r="G879" s="71"/>
      <c r="H879" s="72"/>
      <c r="I879" s="72"/>
      <c r="J879" s="70"/>
      <c r="K879" s="70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68"/>
      <c r="B880" s="68"/>
      <c r="C880" s="68"/>
      <c r="D880" s="68"/>
      <c r="E880" s="68"/>
      <c r="F880" s="69"/>
      <c r="G880" s="68"/>
      <c r="H880" s="69"/>
      <c r="I880" s="69"/>
      <c r="J880" s="70"/>
      <c r="K880" s="70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71"/>
      <c r="B881" s="71"/>
      <c r="C881" s="71"/>
      <c r="D881" s="71"/>
      <c r="E881" s="71"/>
      <c r="F881" s="72"/>
      <c r="G881" s="71"/>
      <c r="H881" s="72"/>
      <c r="I881" s="72"/>
      <c r="J881" s="70"/>
      <c r="K881" s="70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68"/>
      <c r="B882" s="68"/>
      <c r="C882" s="68"/>
      <c r="D882" s="68"/>
      <c r="E882" s="68"/>
      <c r="F882" s="69"/>
      <c r="G882" s="68"/>
      <c r="H882" s="69"/>
      <c r="I882" s="69"/>
      <c r="J882" s="70"/>
      <c r="K882" s="70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71"/>
      <c r="B883" s="71"/>
      <c r="C883" s="71"/>
      <c r="D883" s="71"/>
      <c r="E883" s="71"/>
      <c r="F883" s="72"/>
      <c r="G883" s="71"/>
      <c r="H883" s="72"/>
      <c r="I883" s="72"/>
      <c r="J883" s="70"/>
      <c r="K883" s="70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68"/>
      <c r="B884" s="68"/>
      <c r="C884" s="68"/>
      <c r="D884" s="68"/>
      <c r="E884" s="68"/>
      <c r="F884" s="69"/>
      <c r="G884" s="68"/>
      <c r="H884" s="69"/>
      <c r="I884" s="69"/>
      <c r="J884" s="70"/>
      <c r="K884" s="70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71"/>
      <c r="B885" s="71"/>
      <c r="C885" s="71"/>
      <c r="D885" s="71"/>
      <c r="E885" s="71"/>
      <c r="F885" s="72"/>
      <c r="G885" s="71"/>
      <c r="H885" s="72"/>
      <c r="I885" s="72"/>
      <c r="J885" s="70"/>
      <c r="K885" s="70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68"/>
      <c r="B886" s="68"/>
      <c r="C886" s="68"/>
      <c r="D886" s="68"/>
      <c r="E886" s="68"/>
      <c r="F886" s="69"/>
      <c r="G886" s="68"/>
      <c r="H886" s="69"/>
      <c r="I886" s="69"/>
      <c r="J886" s="70"/>
      <c r="K886" s="70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71"/>
      <c r="B887" s="71"/>
      <c r="C887" s="71"/>
      <c r="D887" s="71"/>
      <c r="E887" s="71"/>
      <c r="F887" s="72"/>
      <c r="G887" s="71"/>
      <c r="H887" s="72"/>
      <c r="I887" s="72"/>
      <c r="J887" s="70"/>
      <c r="K887" s="70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68"/>
      <c r="B888" s="68"/>
      <c r="C888" s="68"/>
      <c r="D888" s="68"/>
      <c r="E888" s="68"/>
      <c r="F888" s="69"/>
      <c r="G888" s="68"/>
      <c r="H888" s="69"/>
      <c r="I888" s="69"/>
      <c r="J888" s="70"/>
      <c r="K888" s="70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71"/>
      <c r="B889" s="71"/>
      <c r="C889" s="71"/>
      <c r="D889" s="71"/>
      <c r="E889" s="71"/>
      <c r="F889" s="72"/>
      <c r="G889" s="71"/>
      <c r="H889" s="72"/>
      <c r="I889" s="72"/>
      <c r="J889" s="70"/>
      <c r="K889" s="70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68"/>
      <c r="B890" s="68"/>
      <c r="C890" s="68"/>
      <c r="D890" s="68"/>
      <c r="E890" s="68"/>
      <c r="F890" s="69"/>
      <c r="G890" s="68"/>
      <c r="H890" s="69"/>
      <c r="I890" s="69"/>
      <c r="J890" s="70"/>
      <c r="K890" s="70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71"/>
      <c r="B891" s="71"/>
      <c r="C891" s="71"/>
      <c r="D891" s="71"/>
      <c r="E891" s="71"/>
      <c r="F891" s="72"/>
      <c r="G891" s="71"/>
      <c r="H891" s="72"/>
      <c r="I891" s="72"/>
      <c r="J891" s="70"/>
      <c r="K891" s="70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68"/>
      <c r="B892" s="68"/>
      <c r="C892" s="68"/>
      <c r="D892" s="68"/>
      <c r="E892" s="68"/>
      <c r="F892" s="69"/>
      <c r="G892" s="68"/>
      <c r="H892" s="69"/>
      <c r="I892" s="69"/>
      <c r="J892" s="70"/>
      <c r="K892" s="70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71"/>
      <c r="B893" s="71"/>
      <c r="C893" s="71"/>
      <c r="D893" s="71"/>
      <c r="E893" s="71"/>
      <c r="F893" s="72"/>
      <c r="G893" s="71"/>
      <c r="H893" s="72"/>
      <c r="I893" s="72"/>
      <c r="J893" s="70"/>
      <c r="K893" s="70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68"/>
      <c r="B894" s="68"/>
      <c r="C894" s="68"/>
      <c r="D894" s="68"/>
      <c r="E894" s="68"/>
      <c r="F894" s="69"/>
      <c r="G894" s="68"/>
      <c r="H894" s="69"/>
      <c r="I894" s="69"/>
      <c r="J894" s="70"/>
      <c r="K894" s="70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71"/>
      <c r="B895" s="71"/>
      <c r="C895" s="71"/>
      <c r="D895" s="71"/>
      <c r="E895" s="71"/>
      <c r="F895" s="72"/>
      <c r="G895" s="71"/>
      <c r="H895" s="72"/>
      <c r="I895" s="72"/>
      <c r="J895" s="70"/>
      <c r="K895" s="70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68"/>
      <c r="B896" s="68"/>
      <c r="C896" s="68"/>
      <c r="D896" s="68"/>
      <c r="E896" s="68"/>
      <c r="F896" s="69"/>
      <c r="G896" s="68"/>
      <c r="H896" s="69"/>
      <c r="I896" s="69"/>
      <c r="J896" s="70"/>
      <c r="K896" s="70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71"/>
      <c r="B897" s="71"/>
      <c r="C897" s="71"/>
      <c r="D897" s="71"/>
      <c r="E897" s="71"/>
      <c r="F897" s="72"/>
      <c r="G897" s="71"/>
      <c r="H897" s="72"/>
      <c r="I897" s="72"/>
      <c r="J897" s="70"/>
      <c r="K897" s="70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68"/>
      <c r="B898" s="68"/>
      <c r="C898" s="68"/>
      <c r="D898" s="68"/>
      <c r="E898" s="68"/>
      <c r="F898" s="69"/>
      <c r="G898" s="68"/>
      <c r="H898" s="69"/>
      <c r="I898" s="69"/>
      <c r="J898" s="70"/>
      <c r="K898" s="70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71"/>
      <c r="B899" s="71"/>
      <c r="C899" s="71"/>
      <c r="D899" s="71"/>
      <c r="E899" s="71"/>
      <c r="F899" s="72"/>
      <c r="G899" s="71"/>
      <c r="H899" s="72"/>
      <c r="I899" s="72"/>
      <c r="J899" s="70"/>
      <c r="K899" s="70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68"/>
      <c r="B900" s="68"/>
      <c r="C900" s="68"/>
      <c r="D900" s="68"/>
      <c r="E900" s="68"/>
      <c r="F900" s="69"/>
      <c r="G900" s="68"/>
      <c r="H900" s="69"/>
      <c r="I900" s="69"/>
      <c r="J900" s="70"/>
      <c r="K900" s="70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71"/>
      <c r="B901" s="71"/>
      <c r="C901" s="71"/>
      <c r="D901" s="71"/>
      <c r="E901" s="71"/>
      <c r="F901" s="72"/>
      <c r="G901" s="71"/>
      <c r="H901" s="72"/>
      <c r="I901" s="72"/>
      <c r="J901" s="70"/>
      <c r="K901" s="70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68"/>
      <c r="B902" s="68"/>
      <c r="C902" s="68"/>
      <c r="D902" s="68"/>
      <c r="E902" s="68"/>
      <c r="F902" s="69"/>
      <c r="G902" s="68"/>
      <c r="H902" s="69"/>
      <c r="I902" s="69"/>
      <c r="J902" s="70"/>
      <c r="K902" s="70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71"/>
      <c r="B903" s="71"/>
      <c r="C903" s="71"/>
      <c r="D903" s="71"/>
      <c r="E903" s="71"/>
      <c r="F903" s="72"/>
      <c r="G903" s="71"/>
      <c r="H903" s="72"/>
      <c r="I903" s="72"/>
      <c r="J903" s="70"/>
      <c r="K903" s="70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68"/>
      <c r="B904" s="68"/>
      <c r="C904" s="68"/>
      <c r="D904" s="68"/>
      <c r="E904" s="68"/>
      <c r="F904" s="69"/>
      <c r="G904" s="68"/>
      <c r="H904" s="69"/>
      <c r="I904" s="69"/>
      <c r="J904" s="70"/>
      <c r="K904" s="70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71"/>
      <c r="B905" s="71"/>
      <c r="C905" s="71"/>
      <c r="D905" s="71"/>
      <c r="E905" s="71"/>
      <c r="F905" s="72"/>
      <c r="G905" s="71"/>
      <c r="H905" s="72"/>
      <c r="I905" s="72"/>
      <c r="J905" s="70"/>
      <c r="K905" s="70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68"/>
      <c r="B906" s="68"/>
      <c r="C906" s="68"/>
      <c r="D906" s="68"/>
      <c r="E906" s="68"/>
      <c r="F906" s="69"/>
      <c r="G906" s="68"/>
      <c r="H906" s="69"/>
      <c r="I906" s="69"/>
      <c r="J906" s="70"/>
      <c r="K906" s="70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71"/>
      <c r="B907" s="71"/>
      <c r="C907" s="71"/>
      <c r="D907" s="71"/>
      <c r="E907" s="71"/>
      <c r="F907" s="72"/>
      <c r="G907" s="71"/>
      <c r="H907" s="72"/>
      <c r="I907" s="72"/>
      <c r="J907" s="70"/>
      <c r="K907" s="70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68"/>
      <c r="B908" s="68"/>
      <c r="C908" s="68"/>
      <c r="D908" s="68"/>
      <c r="E908" s="68"/>
      <c r="F908" s="69"/>
      <c r="G908" s="68"/>
      <c r="H908" s="69"/>
      <c r="I908" s="69"/>
      <c r="J908" s="70"/>
      <c r="K908" s="70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71"/>
      <c r="B909" s="71"/>
      <c r="C909" s="71"/>
      <c r="D909" s="71"/>
      <c r="E909" s="71"/>
      <c r="F909" s="72"/>
      <c r="G909" s="71"/>
      <c r="H909" s="72"/>
      <c r="I909" s="72"/>
      <c r="J909" s="70"/>
      <c r="K909" s="70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68"/>
      <c r="B910" s="68"/>
      <c r="C910" s="68"/>
      <c r="D910" s="68"/>
      <c r="E910" s="68"/>
      <c r="F910" s="69"/>
      <c r="G910" s="68"/>
      <c r="H910" s="69"/>
      <c r="I910" s="69"/>
      <c r="J910" s="70"/>
      <c r="K910" s="70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71"/>
      <c r="B911" s="71"/>
      <c r="C911" s="71"/>
      <c r="D911" s="71"/>
      <c r="E911" s="71"/>
      <c r="F911" s="72"/>
      <c r="G911" s="71"/>
      <c r="H911" s="72"/>
      <c r="I911" s="72"/>
      <c r="J911" s="70"/>
      <c r="K911" s="70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68"/>
      <c r="B912" s="68"/>
      <c r="C912" s="68"/>
      <c r="D912" s="68"/>
      <c r="E912" s="68"/>
      <c r="F912" s="69"/>
      <c r="G912" s="68"/>
      <c r="H912" s="69"/>
      <c r="I912" s="69"/>
      <c r="J912" s="70"/>
      <c r="K912" s="70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71"/>
      <c r="B913" s="71"/>
      <c r="C913" s="71"/>
      <c r="D913" s="71"/>
      <c r="E913" s="71"/>
      <c r="F913" s="72"/>
      <c r="G913" s="71"/>
      <c r="H913" s="72"/>
      <c r="I913" s="72"/>
      <c r="J913" s="70"/>
      <c r="K913" s="70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68"/>
      <c r="B914" s="68"/>
      <c r="C914" s="68"/>
      <c r="D914" s="68"/>
      <c r="E914" s="68"/>
      <c r="F914" s="69"/>
      <c r="G914" s="68"/>
      <c r="H914" s="69"/>
      <c r="I914" s="69"/>
      <c r="J914" s="70"/>
      <c r="K914" s="70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71"/>
      <c r="B915" s="71"/>
      <c r="C915" s="71"/>
      <c r="D915" s="71"/>
      <c r="E915" s="71"/>
      <c r="F915" s="72"/>
      <c r="G915" s="71"/>
      <c r="H915" s="72"/>
      <c r="I915" s="72"/>
      <c r="J915" s="70"/>
      <c r="K915" s="70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68"/>
      <c r="B916" s="68"/>
      <c r="C916" s="68"/>
      <c r="D916" s="68"/>
      <c r="E916" s="68"/>
      <c r="F916" s="69"/>
      <c r="G916" s="68"/>
      <c r="H916" s="69"/>
      <c r="I916" s="69"/>
      <c r="J916" s="70"/>
      <c r="K916" s="70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71"/>
      <c r="B917" s="71"/>
      <c r="C917" s="71"/>
      <c r="D917" s="71"/>
      <c r="E917" s="71"/>
      <c r="F917" s="72"/>
      <c r="G917" s="71"/>
      <c r="H917" s="72"/>
      <c r="I917" s="72"/>
      <c r="J917" s="70"/>
      <c r="K917" s="70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68"/>
      <c r="B918" s="68"/>
      <c r="C918" s="68"/>
      <c r="D918" s="68"/>
      <c r="E918" s="68"/>
      <c r="F918" s="69"/>
      <c r="G918" s="68"/>
      <c r="H918" s="69"/>
      <c r="I918" s="69"/>
      <c r="J918" s="70"/>
      <c r="K918" s="70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71"/>
      <c r="B919" s="71"/>
      <c r="C919" s="71"/>
      <c r="D919" s="71"/>
      <c r="E919" s="71"/>
      <c r="F919" s="72"/>
      <c r="G919" s="71"/>
      <c r="H919" s="72"/>
      <c r="I919" s="72"/>
      <c r="J919" s="70"/>
      <c r="K919" s="70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68"/>
      <c r="B920" s="68"/>
      <c r="C920" s="68"/>
      <c r="D920" s="68"/>
      <c r="E920" s="68"/>
      <c r="F920" s="69"/>
      <c r="G920" s="68"/>
      <c r="H920" s="69"/>
      <c r="I920" s="69"/>
      <c r="J920" s="70"/>
      <c r="K920" s="70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71"/>
      <c r="B921" s="71"/>
      <c r="C921" s="71"/>
      <c r="D921" s="71"/>
      <c r="E921" s="71"/>
      <c r="F921" s="72"/>
      <c r="G921" s="71"/>
      <c r="H921" s="72"/>
      <c r="I921" s="72"/>
      <c r="J921" s="70"/>
      <c r="K921" s="70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68"/>
      <c r="B922" s="68"/>
      <c r="C922" s="68"/>
      <c r="D922" s="68"/>
      <c r="E922" s="68"/>
      <c r="F922" s="69"/>
      <c r="G922" s="68"/>
      <c r="H922" s="69"/>
      <c r="I922" s="69"/>
      <c r="J922" s="70"/>
      <c r="K922" s="70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71"/>
      <c r="B923" s="71"/>
      <c r="C923" s="71"/>
      <c r="D923" s="71"/>
      <c r="E923" s="71"/>
      <c r="F923" s="72"/>
      <c r="G923" s="71"/>
      <c r="H923" s="72"/>
      <c r="I923" s="72"/>
      <c r="J923" s="70"/>
      <c r="K923" s="70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68"/>
      <c r="B924" s="68"/>
      <c r="C924" s="68"/>
      <c r="D924" s="68"/>
      <c r="E924" s="68"/>
      <c r="F924" s="69"/>
      <c r="G924" s="68"/>
      <c r="H924" s="69"/>
      <c r="I924" s="69"/>
      <c r="J924" s="70"/>
      <c r="K924" s="70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71"/>
      <c r="B925" s="71"/>
      <c r="C925" s="71"/>
      <c r="D925" s="71"/>
      <c r="E925" s="71"/>
      <c r="F925" s="72"/>
      <c r="G925" s="71"/>
      <c r="H925" s="72"/>
      <c r="I925" s="72"/>
      <c r="J925" s="70"/>
      <c r="K925" s="70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68"/>
      <c r="B926" s="68"/>
      <c r="C926" s="68"/>
      <c r="D926" s="68"/>
      <c r="E926" s="68"/>
      <c r="F926" s="69"/>
      <c r="G926" s="68"/>
      <c r="H926" s="69"/>
      <c r="I926" s="69"/>
      <c r="J926" s="70"/>
      <c r="K926" s="70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71"/>
      <c r="B927" s="71"/>
      <c r="C927" s="71"/>
      <c r="D927" s="71"/>
      <c r="E927" s="71"/>
      <c r="F927" s="72"/>
      <c r="G927" s="71"/>
      <c r="H927" s="72"/>
      <c r="I927" s="72"/>
      <c r="J927" s="70"/>
      <c r="K927" s="70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68"/>
      <c r="B928" s="68"/>
      <c r="C928" s="68"/>
      <c r="D928" s="68"/>
      <c r="E928" s="68"/>
      <c r="F928" s="69"/>
      <c r="G928" s="68"/>
      <c r="H928" s="69"/>
      <c r="I928" s="69"/>
      <c r="J928" s="70"/>
      <c r="K928" s="70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71"/>
      <c r="B929" s="71"/>
      <c r="C929" s="71"/>
      <c r="D929" s="71"/>
      <c r="E929" s="71"/>
      <c r="F929" s="72"/>
      <c r="G929" s="71"/>
      <c r="H929" s="72"/>
      <c r="I929" s="72"/>
      <c r="J929" s="70"/>
      <c r="K929" s="70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68"/>
      <c r="B930" s="68"/>
      <c r="C930" s="68"/>
      <c r="D930" s="68"/>
      <c r="E930" s="68"/>
      <c r="F930" s="69"/>
      <c r="G930" s="68"/>
      <c r="H930" s="69"/>
      <c r="I930" s="69"/>
      <c r="J930" s="70"/>
      <c r="K930" s="70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71"/>
      <c r="B931" s="71"/>
      <c r="C931" s="71"/>
      <c r="D931" s="71"/>
      <c r="E931" s="71"/>
      <c r="F931" s="72"/>
      <c r="G931" s="71"/>
      <c r="H931" s="72"/>
      <c r="I931" s="72"/>
      <c r="J931" s="70"/>
      <c r="K931" s="70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68"/>
      <c r="B932" s="68"/>
      <c r="C932" s="68"/>
      <c r="D932" s="68"/>
      <c r="E932" s="68"/>
      <c r="F932" s="69"/>
      <c r="G932" s="68"/>
      <c r="H932" s="69"/>
      <c r="I932" s="69"/>
      <c r="J932" s="70"/>
      <c r="K932" s="70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71"/>
      <c r="B933" s="71"/>
      <c r="C933" s="71"/>
      <c r="D933" s="71"/>
      <c r="E933" s="71"/>
      <c r="F933" s="72"/>
      <c r="G933" s="71"/>
      <c r="H933" s="72"/>
      <c r="I933" s="72"/>
      <c r="J933" s="70"/>
      <c r="K933" s="70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68"/>
      <c r="B934" s="68"/>
      <c r="C934" s="68"/>
      <c r="D934" s="68"/>
      <c r="E934" s="68"/>
      <c r="F934" s="69"/>
      <c r="G934" s="68"/>
      <c r="H934" s="69"/>
      <c r="I934" s="69"/>
      <c r="J934" s="70"/>
      <c r="K934" s="70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71"/>
      <c r="B935" s="71"/>
      <c r="C935" s="71"/>
      <c r="D935" s="71"/>
      <c r="E935" s="71"/>
      <c r="F935" s="72"/>
      <c r="G935" s="71"/>
      <c r="H935" s="72"/>
      <c r="I935" s="72"/>
      <c r="J935" s="70"/>
      <c r="K935" s="70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68"/>
      <c r="B936" s="68"/>
      <c r="C936" s="68"/>
      <c r="D936" s="68"/>
      <c r="E936" s="68"/>
      <c r="F936" s="69"/>
      <c r="G936" s="68"/>
      <c r="H936" s="69"/>
      <c r="I936" s="69"/>
      <c r="J936" s="70"/>
      <c r="K936" s="70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71"/>
      <c r="B937" s="71"/>
      <c r="C937" s="71"/>
      <c r="D937" s="71"/>
      <c r="E937" s="71"/>
      <c r="F937" s="72"/>
      <c r="G937" s="71"/>
      <c r="H937" s="72"/>
      <c r="I937" s="72"/>
      <c r="J937" s="70"/>
      <c r="K937" s="70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68"/>
      <c r="B938" s="68"/>
      <c r="C938" s="68"/>
      <c r="D938" s="68"/>
      <c r="E938" s="68"/>
      <c r="F938" s="69"/>
      <c r="G938" s="68"/>
      <c r="H938" s="69"/>
      <c r="I938" s="69"/>
      <c r="J938" s="70"/>
      <c r="K938" s="70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71"/>
      <c r="B939" s="71"/>
      <c r="C939" s="71"/>
      <c r="D939" s="71"/>
      <c r="E939" s="71"/>
      <c r="F939" s="72"/>
      <c r="G939" s="71"/>
      <c r="H939" s="72"/>
      <c r="I939" s="72"/>
      <c r="J939" s="70"/>
      <c r="K939" s="70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68"/>
      <c r="B940" s="68"/>
      <c r="C940" s="68"/>
      <c r="D940" s="68"/>
      <c r="E940" s="68"/>
      <c r="F940" s="69"/>
      <c r="G940" s="68"/>
      <c r="H940" s="69"/>
      <c r="I940" s="69"/>
      <c r="J940" s="70"/>
      <c r="K940" s="70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71"/>
      <c r="B941" s="71"/>
      <c r="C941" s="71"/>
      <c r="D941" s="71"/>
      <c r="E941" s="71"/>
      <c r="F941" s="72"/>
      <c r="G941" s="71"/>
      <c r="H941" s="72"/>
      <c r="I941" s="72"/>
      <c r="J941" s="70"/>
      <c r="K941" s="70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68"/>
      <c r="B942" s="68"/>
      <c r="C942" s="68"/>
      <c r="D942" s="68"/>
      <c r="E942" s="68"/>
      <c r="F942" s="69"/>
      <c r="G942" s="68"/>
      <c r="H942" s="69"/>
      <c r="I942" s="69"/>
      <c r="J942" s="70"/>
      <c r="K942" s="70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71"/>
      <c r="B943" s="71"/>
      <c r="C943" s="71"/>
      <c r="D943" s="71"/>
      <c r="E943" s="71"/>
      <c r="F943" s="72"/>
      <c r="G943" s="71"/>
      <c r="H943" s="72"/>
      <c r="I943" s="72"/>
      <c r="J943" s="70"/>
      <c r="K943" s="70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68"/>
      <c r="B944" s="68"/>
      <c r="C944" s="68"/>
      <c r="D944" s="68"/>
      <c r="E944" s="68"/>
      <c r="F944" s="69"/>
      <c r="G944" s="68"/>
      <c r="H944" s="69"/>
      <c r="I944" s="69"/>
      <c r="J944" s="70"/>
      <c r="K944" s="70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71"/>
      <c r="B945" s="71"/>
      <c r="C945" s="71"/>
      <c r="D945" s="71"/>
      <c r="E945" s="71"/>
      <c r="F945" s="72"/>
      <c r="G945" s="71"/>
      <c r="H945" s="72"/>
      <c r="I945" s="72"/>
      <c r="J945" s="70"/>
      <c r="K945" s="70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68"/>
      <c r="B946" s="68"/>
      <c r="C946" s="68"/>
      <c r="D946" s="68"/>
      <c r="E946" s="68"/>
      <c r="F946" s="69"/>
      <c r="G946" s="68"/>
      <c r="H946" s="69"/>
      <c r="I946" s="69"/>
      <c r="J946" s="70"/>
      <c r="K946" s="70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71"/>
      <c r="B947" s="71"/>
      <c r="C947" s="71"/>
      <c r="D947" s="71"/>
      <c r="E947" s="71"/>
      <c r="F947" s="72"/>
      <c r="G947" s="71"/>
      <c r="H947" s="72"/>
      <c r="I947" s="72"/>
      <c r="J947" s="70"/>
      <c r="K947" s="70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68"/>
      <c r="B948" s="68"/>
      <c r="C948" s="68"/>
      <c r="D948" s="68"/>
      <c r="E948" s="68"/>
      <c r="F948" s="69"/>
      <c r="G948" s="68"/>
      <c r="H948" s="69"/>
      <c r="I948" s="69"/>
      <c r="J948" s="70"/>
      <c r="K948" s="70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71"/>
      <c r="B949" s="71"/>
      <c r="C949" s="71"/>
      <c r="D949" s="71"/>
      <c r="E949" s="71"/>
      <c r="F949" s="72"/>
      <c r="G949" s="71"/>
      <c r="H949" s="72"/>
      <c r="I949" s="72"/>
      <c r="J949" s="70"/>
      <c r="K949" s="70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68"/>
      <c r="B950" s="68"/>
      <c r="C950" s="68"/>
      <c r="D950" s="68"/>
      <c r="E950" s="68"/>
      <c r="F950" s="69"/>
      <c r="G950" s="68"/>
      <c r="H950" s="69"/>
      <c r="I950" s="69"/>
      <c r="J950" s="70"/>
      <c r="K950" s="70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71"/>
      <c r="B951" s="71"/>
      <c r="C951" s="71"/>
      <c r="D951" s="71"/>
      <c r="E951" s="71"/>
      <c r="F951" s="72"/>
      <c r="G951" s="71"/>
      <c r="H951" s="72"/>
      <c r="I951" s="72"/>
      <c r="J951" s="70"/>
      <c r="K951" s="70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68"/>
      <c r="B952" s="68"/>
      <c r="C952" s="68"/>
      <c r="D952" s="68"/>
      <c r="E952" s="68"/>
      <c r="F952" s="69"/>
      <c r="G952" s="68"/>
      <c r="H952" s="69"/>
      <c r="I952" s="69"/>
      <c r="J952" s="70"/>
      <c r="K952" s="70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71"/>
      <c r="B953" s="71"/>
      <c r="C953" s="71"/>
      <c r="D953" s="71"/>
      <c r="E953" s="71"/>
      <c r="F953" s="72"/>
      <c r="G953" s="71"/>
      <c r="H953" s="72"/>
      <c r="I953" s="72"/>
      <c r="J953" s="70"/>
      <c r="K953" s="70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68"/>
      <c r="B954" s="68"/>
      <c r="C954" s="68"/>
      <c r="D954" s="68"/>
      <c r="E954" s="68"/>
      <c r="F954" s="69"/>
      <c r="G954" s="68"/>
      <c r="H954" s="69"/>
      <c r="I954" s="69"/>
      <c r="J954" s="70"/>
      <c r="K954" s="70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71"/>
      <c r="B955" s="71"/>
      <c r="C955" s="71"/>
      <c r="D955" s="71"/>
      <c r="E955" s="71"/>
      <c r="F955" s="72"/>
      <c r="G955" s="71"/>
      <c r="H955" s="72"/>
      <c r="I955" s="72"/>
      <c r="J955" s="70"/>
      <c r="K955" s="70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68"/>
      <c r="B956" s="68"/>
      <c r="C956" s="68"/>
      <c r="D956" s="68"/>
      <c r="E956" s="68"/>
      <c r="F956" s="69"/>
      <c r="G956" s="68"/>
      <c r="H956" s="69"/>
      <c r="I956" s="69"/>
      <c r="J956" s="70"/>
      <c r="K956" s="70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71"/>
      <c r="B957" s="71"/>
      <c r="C957" s="71"/>
      <c r="D957" s="71"/>
      <c r="E957" s="71"/>
      <c r="F957" s="72"/>
      <c r="G957" s="71"/>
      <c r="H957" s="72"/>
      <c r="I957" s="72"/>
      <c r="J957" s="70"/>
      <c r="K957" s="70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68"/>
      <c r="B958" s="68"/>
      <c r="C958" s="68"/>
      <c r="D958" s="68"/>
      <c r="E958" s="68"/>
      <c r="F958" s="69"/>
      <c r="G958" s="68"/>
      <c r="H958" s="69"/>
      <c r="I958" s="69"/>
      <c r="J958" s="70"/>
      <c r="K958" s="70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71"/>
      <c r="B959" s="71"/>
      <c r="C959" s="71"/>
      <c r="D959" s="71"/>
      <c r="E959" s="71"/>
      <c r="F959" s="72"/>
      <c r="G959" s="71"/>
      <c r="H959" s="72"/>
      <c r="I959" s="72"/>
      <c r="J959" s="70"/>
      <c r="K959" s="70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68"/>
      <c r="B960" s="68"/>
      <c r="C960" s="68"/>
      <c r="D960" s="68"/>
      <c r="E960" s="68"/>
      <c r="F960" s="69"/>
      <c r="G960" s="68"/>
      <c r="H960" s="69"/>
      <c r="I960" s="69"/>
      <c r="J960" s="70"/>
      <c r="K960" s="70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71"/>
      <c r="B961" s="71"/>
      <c r="C961" s="71"/>
      <c r="D961" s="71"/>
      <c r="E961" s="71"/>
      <c r="F961" s="72"/>
      <c r="G961" s="71"/>
      <c r="H961" s="72"/>
      <c r="I961" s="72"/>
      <c r="J961" s="70"/>
      <c r="K961" s="70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68"/>
      <c r="B962" s="68"/>
      <c r="C962" s="68"/>
      <c r="D962" s="68"/>
      <c r="E962" s="68"/>
      <c r="F962" s="69"/>
      <c r="G962" s="68"/>
      <c r="H962" s="69"/>
      <c r="I962" s="69"/>
      <c r="J962" s="70"/>
      <c r="K962" s="70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71"/>
      <c r="B963" s="71"/>
      <c r="C963" s="71"/>
      <c r="D963" s="71"/>
      <c r="E963" s="71"/>
      <c r="F963" s="72"/>
      <c r="G963" s="71"/>
      <c r="H963" s="72"/>
      <c r="I963" s="72"/>
      <c r="J963" s="70"/>
      <c r="K963" s="70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68"/>
      <c r="B964" s="68"/>
      <c r="C964" s="68"/>
      <c r="D964" s="68"/>
      <c r="E964" s="68"/>
      <c r="F964" s="69"/>
      <c r="G964" s="68"/>
      <c r="H964" s="69"/>
      <c r="I964" s="69"/>
      <c r="J964" s="70"/>
      <c r="K964" s="70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71"/>
      <c r="B965" s="71"/>
      <c r="C965" s="71"/>
      <c r="D965" s="71"/>
      <c r="E965" s="71"/>
      <c r="F965" s="72"/>
      <c r="G965" s="71"/>
      <c r="H965" s="72"/>
      <c r="I965" s="72"/>
      <c r="J965" s="70"/>
      <c r="K965" s="70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68"/>
      <c r="B966" s="68"/>
      <c r="C966" s="68"/>
      <c r="D966" s="68"/>
      <c r="E966" s="68"/>
      <c r="F966" s="69"/>
      <c r="G966" s="68"/>
      <c r="H966" s="69"/>
      <c r="I966" s="69"/>
      <c r="J966" s="70"/>
      <c r="K966" s="70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71"/>
      <c r="B967" s="71"/>
      <c r="C967" s="71"/>
      <c r="D967" s="71"/>
      <c r="E967" s="71"/>
      <c r="F967" s="72"/>
      <c r="G967" s="71"/>
      <c r="H967" s="72"/>
      <c r="I967" s="72"/>
      <c r="J967" s="70"/>
      <c r="K967" s="70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68"/>
      <c r="B968" s="68"/>
      <c r="C968" s="68"/>
      <c r="D968" s="68"/>
      <c r="E968" s="68"/>
      <c r="F968" s="69"/>
      <c r="G968" s="68"/>
      <c r="H968" s="69"/>
      <c r="I968" s="69"/>
      <c r="J968" s="70"/>
      <c r="K968" s="70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71"/>
      <c r="B969" s="71"/>
      <c r="C969" s="71"/>
      <c r="D969" s="71"/>
      <c r="E969" s="71"/>
      <c r="F969" s="72"/>
      <c r="G969" s="71"/>
      <c r="H969" s="72"/>
      <c r="I969" s="72"/>
      <c r="J969" s="70"/>
      <c r="K969" s="70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68"/>
      <c r="B970" s="68"/>
      <c r="C970" s="68"/>
      <c r="D970" s="68"/>
      <c r="E970" s="68"/>
      <c r="F970" s="69"/>
      <c r="G970" s="68"/>
      <c r="H970" s="69"/>
      <c r="I970" s="69"/>
      <c r="J970" s="70"/>
      <c r="K970" s="70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71"/>
      <c r="B971" s="71"/>
      <c r="C971" s="71"/>
      <c r="D971" s="71"/>
      <c r="E971" s="71"/>
      <c r="F971" s="72"/>
      <c r="G971" s="71"/>
      <c r="H971" s="72"/>
      <c r="I971" s="72"/>
      <c r="J971" s="70"/>
      <c r="K971" s="70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68"/>
      <c r="B972" s="68"/>
      <c r="C972" s="68"/>
      <c r="D972" s="68"/>
      <c r="E972" s="68"/>
      <c r="F972" s="69"/>
      <c r="G972" s="68"/>
      <c r="H972" s="69"/>
      <c r="I972" s="69"/>
      <c r="J972" s="70"/>
      <c r="K972" s="70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71"/>
      <c r="B973" s="71"/>
      <c r="C973" s="71"/>
      <c r="D973" s="71"/>
      <c r="E973" s="71"/>
      <c r="F973" s="72"/>
      <c r="G973" s="71"/>
      <c r="H973" s="72"/>
      <c r="I973" s="72"/>
      <c r="J973" s="70"/>
      <c r="K973" s="70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68"/>
      <c r="B974" s="68"/>
      <c r="C974" s="68"/>
      <c r="D974" s="68"/>
      <c r="E974" s="68"/>
      <c r="F974" s="69"/>
      <c r="G974" s="68"/>
      <c r="H974" s="69"/>
      <c r="I974" s="69"/>
      <c r="J974" s="70"/>
      <c r="K974" s="70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71"/>
      <c r="B975" s="71"/>
      <c r="C975" s="71"/>
      <c r="D975" s="71"/>
      <c r="E975" s="71"/>
      <c r="F975" s="72"/>
      <c r="G975" s="71"/>
      <c r="H975" s="72"/>
      <c r="I975" s="72"/>
      <c r="J975" s="70"/>
      <c r="K975" s="70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68"/>
      <c r="B976" s="68"/>
      <c r="C976" s="68"/>
      <c r="D976" s="68"/>
      <c r="E976" s="68"/>
      <c r="F976" s="69"/>
      <c r="G976" s="68"/>
      <c r="H976" s="69"/>
      <c r="I976" s="69"/>
      <c r="J976" s="70"/>
      <c r="K976" s="70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71"/>
      <c r="B977" s="71"/>
      <c r="C977" s="71"/>
      <c r="D977" s="71"/>
      <c r="E977" s="71"/>
      <c r="F977" s="72"/>
      <c r="G977" s="71"/>
      <c r="H977" s="72"/>
      <c r="I977" s="72"/>
      <c r="J977" s="70"/>
      <c r="K977" s="70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68"/>
      <c r="B978" s="68"/>
      <c r="C978" s="68"/>
      <c r="D978" s="68"/>
      <c r="E978" s="68"/>
      <c r="F978" s="69"/>
      <c r="G978" s="68"/>
      <c r="H978" s="69"/>
      <c r="I978" s="69"/>
      <c r="J978" s="70"/>
      <c r="K978" s="70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71"/>
      <c r="B979" s="71"/>
      <c r="C979" s="71"/>
      <c r="D979" s="71"/>
      <c r="E979" s="71"/>
      <c r="F979" s="72"/>
      <c r="G979" s="71"/>
      <c r="H979" s="72"/>
      <c r="I979" s="72"/>
      <c r="J979" s="70"/>
      <c r="K979" s="70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68"/>
      <c r="B980" s="68"/>
      <c r="C980" s="68"/>
      <c r="D980" s="68"/>
      <c r="E980" s="68"/>
      <c r="F980" s="69"/>
      <c r="G980" s="68"/>
      <c r="H980" s="69"/>
      <c r="I980" s="69"/>
      <c r="J980" s="70"/>
      <c r="K980" s="70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71"/>
      <c r="B981" s="71"/>
      <c r="C981" s="71"/>
      <c r="D981" s="71"/>
      <c r="E981" s="71"/>
      <c r="F981" s="72"/>
      <c r="G981" s="71"/>
      <c r="H981" s="72"/>
      <c r="I981" s="72"/>
      <c r="J981" s="70"/>
      <c r="K981" s="70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68"/>
      <c r="B982" s="68"/>
      <c r="C982" s="68"/>
      <c r="D982" s="68"/>
      <c r="E982" s="68"/>
      <c r="F982" s="69"/>
      <c r="G982" s="68"/>
      <c r="H982" s="69"/>
      <c r="I982" s="69"/>
      <c r="J982" s="70"/>
      <c r="K982" s="70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71"/>
      <c r="B983" s="71"/>
      <c r="C983" s="71"/>
      <c r="D983" s="71"/>
      <c r="E983" s="71"/>
      <c r="F983" s="72"/>
      <c r="G983" s="71"/>
      <c r="H983" s="72"/>
      <c r="I983" s="72"/>
      <c r="J983" s="70"/>
      <c r="K983" s="70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68"/>
      <c r="B984" s="68"/>
      <c r="C984" s="68"/>
      <c r="D984" s="68"/>
      <c r="E984" s="68"/>
      <c r="F984" s="69"/>
      <c r="G984" s="68"/>
      <c r="H984" s="69"/>
      <c r="I984" s="69"/>
      <c r="J984" s="70"/>
      <c r="K984" s="70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71"/>
      <c r="B985" s="71"/>
      <c r="C985" s="71"/>
      <c r="D985" s="71"/>
      <c r="E985" s="71"/>
      <c r="F985" s="72"/>
      <c r="G985" s="71"/>
      <c r="H985" s="72"/>
      <c r="I985" s="72"/>
      <c r="J985" s="70"/>
      <c r="K985" s="70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68"/>
      <c r="B986" s="68"/>
      <c r="C986" s="68"/>
      <c r="D986" s="68"/>
      <c r="E986" s="68"/>
      <c r="F986" s="69"/>
      <c r="G986" s="68"/>
      <c r="H986" s="69"/>
      <c r="I986" s="69"/>
      <c r="J986" s="70"/>
      <c r="K986" s="70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71"/>
      <c r="B987" s="71"/>
      <c r="C987" s="71"/>
      <c r="D987" s="71"/>
      <c r="E987" s="71"/>
      <c r="F987" s="72"/>
      <c r="G987" s="71"/>
      <c r="H987" s="72"/>
      <c r="I987" s="72"/>
      <c r="J987" s="70"/>
      <c r="K987" s="70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68"/>
      <c r="B988" s="68"/>
      <c r="C988" s="68"/>
      <c r="D988" s="68"/>
      <c r="E988" s="68"/>
      <c r="F988" s="69"/>
      <c r="G988" s="68"/>
      <c r="H988" s="69"/>
      <c r="I988" s="69"/>
      <c r="J988" s="70"/>
      <c r="K988" s="70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71"/>
      <c r="B989" s="71"/>
      <c r="C989" s="71"/>
      <c r="D989" s="71"/>
      <c r="E989" s="71"/>
      <c r="F989" s="72"/>
      <c r="G989" s="71"/>
      <c r="H989" s="72"/>
      <c r="I989" s="72"/>
      <c r="J989" s="70"/>
      <c r="K989" s="70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68"/>
      <c r="B990" s="68"/>
      <c r="C990" s="68"/>
      <c r="D990" s="68"/>
      <c r="E990" s="68"/>
      <c r="F990" s="69"/>
      <c r="G990" s="68"/>
      <c r="H990" s="69"/>
      <c r="I990" s="69"/>
      <c r="J990" s="70"/>
      <c r="K990" s="70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71"/>
      <c r="B991" s="71"/>
      <c r="C991" s="71"/>
      <c r="D991" s="71"/>
      <c r="E991" s="71"/>
      <c r="F991" s="72"/>
      <c r="G991" s="71"/>
      <c r="H991" s="72"/>
      <c r="I991" s="72"/>
      <c r="J991" s="70"/>
      <c r="K991" s="70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68"/>
      <c r="B992" s="68"/>
      <c r="C992" s="68"/>
      <c r="D992" s="68"/>
      <c r="E992" s="68"/>
      <c r="F992" s="69"/>
      <c r="G992" s="68"/>
      <c r="H992" s="69"/>
      <c r="I992" s="69"/>
      <c r="J992" s="70"/>
      <c r="K992" s="70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71"/>
      <c r="B993" s="71"/>
      <c r="C993" s="71"/>
      <c r="D993" s="71"/>
      <c r="E993" s="71"/>
      <c r="F993" s="72"/>
      <c r="G993" s="71"/>
      <c r="H993" s="72"/>
      <c r="I993" s="72"/>
      <c r="J993" s="70"/>
      <c r="K993" s="70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68"/>
      <c r="B994" s="68"/>
      <c r="C994" s="68"/>
      <c r="D994" s="68"/>
      <c r="E994" s="68"/>
      <c r="F994" s="69"/>
      <c r="G994" s="68"/>
      <c r="H994" s="69"/>
      <c r="I994" s="69"/>
      <c r="J994" s="70"/>
      <c r="K994" s="70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71"/>
      <c r="B995" s="71"/>
      <c r="C995" s="71"/>
      <c r="D995" s="71"/>
      <c r="E995" s="71"/>
      <c r="F995" s="72"/>
      <c r="G995" s="71"/>
      <c r="H995" s="72"/>
      <c r="I995" s="72"/>
      <c r="J995" s="70"/>
      <c r="K995" s="70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68"/>
      <c r="B996" s="68"/>
      <c r="C996" s="68"/>
      <c r="D996" s="68"/>
      <c r="E996" s="68"/>
      <c r="F996" s="69"/>
      <c r="G996" s="68"/>
      <c r="H996" s="69"/>
      <c r="I996" s="69"/>
      <c r="J996" s="70"/>
      <c r="K996" s="70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71"/>
      <c r="B997" s="71"/>
      <c r="C997" s="71"/>
      <c r="D997" s="71"/>
      <c r="E997" s="71"/>
      <c r="F997" s="72"/>
      <c r="G997" s="71"/>
      <c r="H997" s="72"/>
      <c r="I997" s="72"/>
      <c r="J997" s="70"/>
      <c r="K997" s="70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68"/>
      <c r="B998" s="68"/>
      <c r="C998" s="68"/>
      <c r="D998" s="68"/>
      <c r="E998" s="68"/>
      <c r="F998" s="69"/>
      <c r="G998" s="68"/>
      <c r="H998" s="69"/>
      <c r="I998" s="69"/>
      <c r="J998" s="70"/>
      <c r="K998" s="70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71"/>
      <c r="B999" s="71"/>
      <c r="C999" s="71"/>
      <c r="D999" s="71"/>
      <c r="E999" s="71"/>
      <c r="F999" s="72"/>
      <c r="G999" s="71"/>
      <c r="H999" s="72"/>
      <c r="I999" s="72"/>
      <c r="J999" s="70"/>
      <c r="K999" s="70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68"/>
      <c r="B1000" s="68"/>
      <c r="C1000" s="68"/>
      <c r="D1000" s="68"/>
      <c r="E1000" s="68"/>
      <c r="F1000" s="69"/>
      <c r="G1000" s="68"/>
      <c r="H1000" s="69"/>
      <c r="I1000" s="69"/>
      <c r="J1000" s="70"/>
      <c r="K1000" s="70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Z$96">
    <sortState ref="A1:Z96">
      <sortCondition descending="1" ref="O1:O96"/>
      <sortCondition descending="1" ref="B1:B96"/>
    </sortState>
  </autoFilter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65"/>
    <hyperlink r:id="rId34" ref="P66"/>
    <hyperlink r:id="rId35" ref="P67"/>
    <hyperlink r:id="rId36" ref="P68"/>
    <hyperlink r:id="rId37" ref="P69"/>
    <hyperlink r:id="rId38" ref="P70"/>
    <hyperlink r:id="rId39" ref="P71"/>
    <hyperlink r:id="rId40" ref="P72"/>
    <hyperlink r:id="rId41" ref="P73"/>
    <hyperlink r:id="rId42" ref="P74"/>
    <hyperlink r:id="rId43" ref="P75"/>
    <hyperlink r:id="rId44" ref="P76"/>
    <hyperlink r:id="rId45" ref="P77"/>
    <hyperlink r:id="rId46" ref="P78"/>
    <hyperlink r:id="rId47" ref="P79"/>
    <hyperlink r:id="rId48" ref="P80"/>
    <hyperlink r:id="rId49" ref="P81"/>
    <hyperlink r:id="rId50" ref="P82"/>
    <hyperlink r:id="rId51" ref="P83"/>
    <hyperlink r:id="rId52" ref="P84"/>
    <hyperlink r:id="rId53" ref="P85"/>
    <hyperlink r:id="rId54" ref="P86"/>
    <hyperlink r:id="rId55" ref="P87"/>
    <hyperlink r:id="rId56" ref="P88"/>
    <hyperlink r:id="rId57" ref="P89"/>
    <hyperlink r:id="rId58" ref="P90"/>
    <hyperlink r:id="rId59" ref="P91"/>
    <hyperlink r:id="rId60" ref="P92"/>
    <hyperlink r:id="rId61" ref="P93"/>
    <hyperlink r:id="rId62" ref="P94"/>
    <hyperlink r:id="rId63" ref="P95"/>
    <hyperlink r:id="rId64" ref="P96"/>
    <hyperlink r:id="rId65" ref="P97"/>
    <hyperlink r:id="rId66" ref="P98"/>
    <hyperlink r:id="rId67" ref="P99"/>
    <hyperlink r:id="rId68" ref="P100"/>
    <hyperlink r:id="rId69" ref="P101"/>
    <hyperlink r:id="rId70" ref="P102"/>
    <hyperlink r:id="rId71" ref="P103"/>
    <hyperlink r:id="rId72" ref="P104"/>
    <hyperlink r:id="rId73" ref="P105"/>
    <hyperlink r:id="rId74" ref="P106"/>
    <hyperlink r:id="rId75" ref="P107"/>
    <hyperlink r:id="rId76" ref="P108"/>
    <hyperlink r:id="rId77" ref="P109"/>
    <hyperlink r:id="rId78" ref="P110"/>
    <hyperlink r:id="rId79" ref="P111"/>
    <hyperlink r:id="rId80" ref="P112"/>
    <hyperlink r:id="rId81" ref="P113"/>
    <hyperlink r:id="rId82" ref="P114"/>
    <hyperlink r:id="rId83" ref="P115"/>
    <hyperlink r:id="rId84" ref="P116"/>
    <hyperlink r:id="rId85" ref="P117"/>
    <hyperlink r:id="rId86" ref="P118"/>
    <hyperlink r:id="rId87" ref="P119"/>
    <hyperlink r:id="rId88" ref="P120"/>
    <hyperlink r:id="rId89" ref="P121"/>
    <hyperlink r:id="rId90" ref="P122"/>
    <hyperlink r:id="rId91" ref="P123"/>
  </hyperlinks>
  <drawing r:id="rId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75"/>
    <col customWidth="1" min="3" max="3" width="18.88"/>
    <col customWidth="1" min="4" max="4" width="20.38"/>
    <col customWidth="1" min="5" max="5" width="24.0"/>
    <col customWidth="1" min="6" max="6" width="7.7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</row>
    <row r="2">
      <c r="A2" s="4" t="s">
        <v>7</v>
      </c>
      <c r="B2" s="4" t="s">
        <v>9</v>
      </c>
      <c r="C2" s="5">
        <v>34889.0</v>
      </c>
      <c r="D2" s="5">
        <v>1647.0</v>
      </c>
      <c r="E2" s="5">
        <v>356071.0</v>
      </c>
      <c r="F2" s="14">
        <f t="shared" ref="F2:F78" si="1">SUM(C2:E2)</f>
        <v>392607</v>
      </c>
    </row>
    <row r="3">
      <c r="A3" s="4" t="s">
        <v>7</v>
      </c>
      <c r="B3" s="4" t="s">
        <v>53</v>
      </c>
      <c r="C3" s="5">
        <v>32927.0</v>
      </c>
      <c r="D3" s="5">
        <v>1619.0</v>
      </c>
      <c r="E3" s="5">
        <v>262286.0</v>
      </c>
      <c r="F3" s="14">
        <f t="shared" si="1"/>
        <v>296832</v>
      </c>
    </row>
    <row r="4">
      <c r="A4" s="4" t="s">
        <v>7</v>
      </c>
      <c r="B4" s="4" t="s">
        <v>58</v>
      </c>
      <c r="C4" s="5">
        <v>17979.0</v>
      </c>
      <c r="D4" s="4">
        <v>502.0</v>
      </c>
      <c r="E4" s="5">
        <v>114352.0</v>
      </c>
      <c r="F4" s="14">
        <f t="shared" si="1"/>
        <v>132833</v>
      </c>
    </row>
    <row r="5">
      <c r="A5" s="4" t="s">
        <v>7</v>
      </c>
      <c r="B5" s="4" t="s">
        <v>60</v>
      </c>
      <c r="C5" s="5">
        <v>14389.0</v>
      </c>
      <c r="D5" s="4">
        <v>879.0</v>
      </c>
      <c r="E5" s="5">
        <v>115363.0</v>
      </c>
      <c r="F5" s="14">
        <f t="shared" si="1"/>
        <v>130631</v>
      </c>
    </row>
    <row r="6">
      <c r="A6" s="4" t="s">
        <v>7</v>
      </c>
      <c r="B6" s="4" t="s">
        <v>63</v>
      </c>
      <c r="C6" s="5">
        <v>9702.0</v>
      </c>
      <c r="D6" s="4">
        <v>505.0</v>
      </c>
      <c r="E6" s="5">
        <v>118441.0</v>
      </c>
      <c r="F6" s="14">
        <f t="shared" si="1"/>
        <v>128648</v>
      </c>
    </row>
    <row r="7">
      <c r="A7" s="4" t="s">
        <v>7</v>
      </c>
      <c r="B7" s="4" t="s">
        <v>65</v>
      </c>
      <c r="C7" s="5">
        <v>14220.0</v>
      </c>
      <c r="D7" s="4">
        <v>836.0</v>
      </c>
      <c r="E7" s="5">
        <v>188404.0</v>
      </c>
      <c r="F7" s="14">
        <f t="shared" si="1"/>
        <v>203460</v>
      </c>
    </row>
    <row r="8">
      <c r="A8" s="4" t="s">
        <v>7</v>
      </c>
      <c r="B8" s="4" t="s">
        <v>67</v>
      </c>
      <c r="C8" s="5">
        <v>8027.0</v>
      </c>
      <c r="D8" s="4">
        <v>477.0</v>
      </c>
      <c r="E8" s="5">
        <v>112547.0</v>
      </c>
      <c r="F8" s="14">
        <f t="shared" si="1"/>
        <v>121051</v>
      </c>
    </row>
    <row r="9">
      <c r="A9" s="4" t="s">
        <v>7</v>
      </c>
      <c r="B9" s="4" t="s">
        <v>70</v>
      </c>
      <c r="C9" s="5">
        <v>9249.0</v>
      </c>
      <c r="D9" s="4">
        <v>664.0</v>
      </c>
      <c r="E9" s="5">
        <v>36227.0</v>
      </c>
      <c r="F9" s="14">
        <f t="shared" si="1"/>
        <v>46140</v>
      </c>
    </row>
    <row r="10">
      <c r="A10" s="4" t="s">
        <v>73</v>
      </c>
      <c r="B10" s="4" t="s">
        <v>74</v>
      </c>
      <c r="C10" s="5">
        <v>24370.0</v>
      </c>
      <c r="D10" s="5">
        <v>1947.0</v>
      </c>
      <c r="E10" s="5">
        <v>82855.0</v>
      </c>
      <c r="F10" s="14">
        <f t="shared" si="1"/>
        <v>109172</v>
      </c>
    </row>
    <row r="11">
      <c r="A11" s="4" t="s">
        <v>73</v>
      </c>
      <c r="B11" s="4" t="s">
        <v>77</v>
      </c>
      <c r="C11" s="5">
        <v>22824.0</v>
      </c>
      <c r="D11" s="5">
        <v>1550.0</v>
      </c>
      <c r="E11" s="5">
        <v>179264.0</v>
      </c>
      <c r="F11" s="14">
        <f t="shared" si="1"/>
        <v>203638</v>
      </c>
    </row>
    <row r="12">
      <c r="A12" s="4" t="s">
        <v>73</v>
      </c>
      <c r="B12" s="4" t="s">
        <v>61</v>
      </c>
      <c r="C12" s="5">
        <v>17583.0</v>
      </c>
      <c r="D12" s="5">
        <v>1039.0</v>
      </c>
      <c r="E12" s="5">
        <v>178853.0</v>
      </c>
      <c r="F12" s="14">
        <f t="shared" si="1"/>
        <v>197475</v>
      </c>
    </row>
    <row r="13">
      <c r="A13" s="4" t="s">
        <v>73</v>
      </c>
      <c r="B13" s="4" t="s">
        <v>80</v>
      </c>
      <c r="C13" s="5">
        <v>9054.0</v>
      </c>
      <c r="D13" s="4">
        <v>577.0</v>
      </c>
      <c r="E13" s="5">
        <v>104747.0</v>
      </c>
      <c r="F13" s="14">
        <f t="shared" si="1"/>
        <v>114378</v>
      </c>
    </row>
    <row r="14">
      <c r="A14" s="4" t="s">
        <v>73</v>
      </c>
      <c r="B14" s="4" t="s">
        <v>82</v>
      </c>
      <c r="C14" s="5">
        <v>12474.0</v>
      </c>
      <c r="D14" s="4">
        <v>688.0</v>
      </c>
      <c r="E14" s="5">
        <v>125236.0</v>
      </c>
      <c r="F14" s="14">
        <f t="shared" si="1"/>
        <v>138398</v>
      </c>
    </row>
    <row r="15">
      <c r="A15" s="4" t="s">
        <v>83</v>
      </c>
      <c r="B15" s="4" t="s">
        <v>84</v>
      </c>
      <c r="C15" s="5">
        <v>16722.0</v>
      </c>
      <c r="D15" s="4">
        <v>926.0</v>
      </c>
      <c r="E15" s="5">
        <v>136607.0</v>
      </c>
      <c r="F15" s="14">
        <f t="shared" si="1"/>
        <v>154255</v>
      </c>
    </row>
    <row r="16">
      <c r="A16" s="4" t="s">
        <v>83</v>
      </c>
      <c r="B16" s="4" t="s">
        <v>85</v>
      </c>
      <c r="C16" s="5">
        <v>10544.0</v>
      </c>
      <c r="D16" s="4">
        <v>547.0</v>
      </c>
      <c r="E16" s="5">
        <v>112504.0</v>
      </c>
      <c r="F16" s="14">
        <f t="shared" si="1"/>
        <v>123595</v>
      </c>
    </row>
    <row r="17">
      <c r="A17" s="4" t="s">
        <v>83</v>
      </c>
      <c r="B17" s="4" t="s">
        <v>86</v>
      </c>
      <c r="C17" s="5">
        <v>19874.0</v>
      </c>
      <c r="D17" s="5">
        <v>1186.0</v>
      </c>
      <c r="E17" s="5">
        <v>213682.0</v>
      </c>
      <c r="F17" s="14">
        <f t="shared" si="1"/>
        <v>234742</v>
      </c>
    </row>
    <row r="18">
      <c r="A18" s="4" t="s">
        <v>83</v>
      </c>
      <c r="B18" s="4" t="s">
        <v>91</v>
      </c>
      <c r="C18" s="5">
        <v>6440.0</v>
      </c>
      <c r="D18" s="4">
        <v>285.0</v>
      </c>
      <c r="E18" s="5">
        <v>74391.0</v>
      </c>
      <c r="F18" s="14">
        <f t="shared" si="1"/>
        <v>81116</v>
      </c>
    </row>
    <row r="19">
      <c r="A19" s="4" t="s">
        <v>83</v>
      </c>
      <c r="B19" s="4" t="s">
        <v>94</v>
      </c>
      <c r="C19" s="5">
        <v>7044.0</v>
      </c>
      <c r="D19" s="4">
        <v>436.0</v>
      </c>
      <c r="E19" s="5">
        <v>69372.0</v>
      </c>
      <c r="F19" s="14">
        <f t="shared" si="1"/>
        <v>76852</v>
      </c>
    </row>
    <row r="20">
      <c r="A20" s="4" t="s">
        <v>96</v>
      </c>
      <c r="B20" s="4" t="s">
        <v>97</v>
      </c>
      <c r="C20" s="5">
        <v>14234.0</v>
      </c>
      <c r="D20" s="4">
        <v>523.0</v>
      </c>
      <c r="E20" s="5">
        <v>130267.0</v>
      </c>
      <c r="F20" s="14">
        <f t="shared" si="1"/>
        <v>145024</v>
      </c>
    </row>
    <row r="21">
      <c r="A21" s="4" t="s">
        <v>96</v>
      </c>
      <c r="B21" s="4" t="s">
        <v>98</v>
      </c>
      <c r="C21" s="5">
        <v>10774.0</v>
      </c>
      <c r="D21" s="4">
        <v>572.0</v>
      </c>
      <c r="E21" s="5">
        <v>277757.0</v>
      </c>
      <c r="F21" s="14">
        <f t="shared" si="1"/>
        <v>289103</v>
      </c>
    </row>
    <row r="22">
      <c r="A22" s="4" t="s">
        <v>96</v>
      </c>
      <c r="B22" s="4" t="s">
        <v>101</v>
      </c>
      <c r="C22" s="5">
        <v>14730.0</v>
      </c>
      <c r="D22" s="4">
        <v>841.0</v>
      </c>
      <c r="E22" s="5">
        <v>138429.0</v>
      </c>
      <c r="F22" s="14">
        <f t="shared" si="1"/>
        <v>154000</v>
      </c>
    </row>
    <row r="23">
      <c r="A23" s="4" t="s">
        <v>96</v>
      </c>
      <c r="B23" s="4" t="s">
        <v>107</v>
      </c>
      <c r="C23" s="5">
        <v>5417.0</v>
      </c>
      <c r="D23" s="4">
        <v>309.0</v>
      </c>
      <c r="E23" s="5">
        <v>63042.0</v>
      </c>
      <c r="F23" s="14">
        <f t="shared" si="1"/>
        <v>68768</v>
      </c>
    </row>
    <row r="24">
      <c r="A24" s="4" t="s">
        <v>96</v>
      </c>
      <c r="B24" s="4" t="s">
        <v>108</v>
      </c>
      <c r="C24" s="5">
        <v>5887.0</v>
      </c>
      <c r="D24" s="4">
        <v>505.0</v>
      </c>
      <c r="E24" s="5">
        <v>52069.0</v>
      </c>
      <c r="F24" s="14">
        <f t="shared" si="1"/>
        <v>58461</v>
      </c>
    </row>
    <row r="25">
      <c r="A25" s="4" t="s">
        <v>96</v>
      </c>
      <c r="B25" s="4" t="s">
        <v>109</v>
      </c>
      <c r="C25" s="5">
        <v>3872.0</v>
      </c>
      <c r="D25" s="4">
        <v>297.0</v>
      </c>
      <c r="E25" s="5">
        <v>51896.0</v>
      </c>
      <c r="F25" s="14">
        <f t="shared" si="1"/>
        <v>56065</v>
      </c>
    </row>
    <row r="26">
      <c r="A26" s="4" t="s">
        <v>96</v>
      </c>
      <c r="B26" s="4" t="s">
        <v>116</v>
      </c>
      <c r="C26" s="5">
        <v>15656.0</v>
      </c>
      <c r="D26" s="5">
        <v>1029.0</v>
      </c>
      <c r="E26" s="5">
        <v>162726.0</v>
      </c>
      <c r="F26" s="14">
        <f t="shared" si="1"/>
        <v>179411</v>
      </c>
    </row>
    <row r="27">
      <c r="A27" s="4" t="s">
        <v>96</v>
      </c>
      <c r="B27" s="4" t="s">
        <v>118</v>
      </c>
      <c r="C27" s="5">
        <v>19533.0</v>
      </c>
      <c r="D27" s="4">
        <v>552.0</v>
      </c>
      <c r="E27" s="5">
        <v>176465.0</v>
      </c>
      <c r="F27" s="14">
        <f t="shared" si="1"/>
        <v>196550</v>
      </c>
    </row>
    <row r="28">
      <c r="A28" s="4" t="s">
        <v>120</v>
      </c>
      <c r="B28" s="4" t="s">
        <v>121</v>
      </c>
      <c r="C28" s="5">
        <v>10389.0</v>
      </c>
      <c r="D28" s="4">
        <v>877.0</v>
      </c>
      <c r="E28" s="5">
        <v>106252.0</v>
      </c>
      <c r="F28" s="14">
        <f t="shared" si="1"/>
        <v>117518</v>
      </c>
    </row>
    <row r="29">
      <c r="A29" s="4" t="s">
        <v>120</v>
      </c>
      <c r="B29" s="4" t="s">
        <v>124</v>
      </c>
      <c r="C29" s="5">
        <v>8136.0</v>
      </c>
      <c r="D29" s="4">
        <v>614.0</v>
      </c>
      <c r="E29" s="5">
        <v>102896.0</v>
      </c>
      <c r="F29" s="14">
        <f t="shared" si="1"/>
        <v>111646</v>
      </c>
    </row>
    <row r="30">
      <c r="A30" s="4" t="s">
        <v>120</v>
      </c>
      <c r="B30" s="4" t="s">
        <v>130</v>
      </c>
      <c r="C30" s="5">
        <v>3053.0</v>
      </c>
      <c r="D30" s="4">
        <v>208.0</v>
      </c>
      <c r="E30" s="5">
        <v>43668.0</v>
      </c>
      <c r="F30" s="14">
        <f t="shared" si="1"/>
        <v>46929</v>
      </c>
    </row>
    <row r="31">
      <c r="A31" s="4" t="s">
        <v>120</v>
      </c>
      <c r="B31" s="4" t="s">
        <v>131</v>
      </c>
      <c r="C31" s="5">
        <v>11663.0</v>
      </c>
      <c r="D31" s="4">
        <v>944.0</v>
      </c>
      <c r="E31" s="5">
        <v>94286.0</v>
      </c>
      <c r="F31" s="14">
        <f t="shared" si="1"/>
        <v>106893</v>
      </c>
    </row>
    <row r="32">
      <c r="A32" s="4" t="s">
        <v>120</v>
      </c>
      <c r="B32" s="4" t="s">
        <v>136</v>
      </c>
      <c r="C32" s="5">
        <v>18424.0</v>
      </c>
      <c r="D32" s="5">
        <v>1571.0</v>
      </c>
      <c r="E32" s="5">
        <v>180778.0</v>
      </c>
      <c r="F32" s="14">
        <f t="shared" si="1"/>
        <v>200773</v>
      </c>
    </row>
    <row r="33">
      <c r="A33" s="4" t="s">
        <v>120</v>
      </c>
      <c r="B33" s="4" t="s">
        <v>146</v>
      </c>
      <c r="C33" s="5">
        <v>16407.0</v>
      </c>
      <c r="D33" s="4">
        <v>651.0</v>
      </c>
      <c r="E33" s="5">
        <v>197700.0</v>
      </c>
      <c r="F33" s="14">
        <f t="shared" si="1"/>
        <v>214758</v>
      </c>
    </row>
    <row r="34">
      <c r="A34" s="4" t="s">
        <v>120</v>
      </c>
      <c r="B34" s="4" t="s">
        <v>153</v>
      </c>
      <c r="C34" s="5">
        <v>18653.0</v>
      </c>
      <c r="D34" s="5">
        <v>1358.0</v>
      </c>
      <c r="E34" s="5">
        <v>181176.0</v>
      </c>
      <c r="F34" s="14">
        <f t="shared" si="1"/>
        <v>201187</v>
      </c>
    </row>
    <row r="35">
      <c r="A35" s="4" t="s">
        <v>120</v>
      </c>
      <c r="B35" s="4" t="s">
        <v>154</v>
      </c>
      <c r="C35" s="5">
        <v>19481.0</v>
      </c>
      <c r="D35" s="5">
        <v>1181.0</v>
      </c>
      <c r="E35" s="5">
        <v>147647.0</v>
      </c>
      <c r="F35" s="14">
        <f t="shared" si="1"/>
        <v>168309</v>
      </c>
    </row>
    <row r="36">
      <c r="A36" s="4" t="s">
        <v>156</v>
      </c>
      <c r="B36" s="4" t="s">
        <v>157</v>
      </c>
      <c r="C36" s="5">
        <v>16263.0</v>
      </c>
      <c r="D36" s="4">
        <v>862.0</v>
      </c>
      <c r="E36" s="5">
        <v>89533.0</v>
      </c>
      <c r="F36" s="14">
        <f t="shared" si="1"/>
        <v>106658</v>
      </c>
    </row>
    <row r="37">
      <c r="A37" s="4" t="s">
        <v>156</v>
      </c>
      <c r="B37" s="4" t="s">
        <v>163</v>
      </c>
      <c r="C37" s="5">
        <v>14586.0</v>
      </c>
      <c r="D37" s="4">
        <v>977.0</v>
      </c>
      <c r="E37" s="5">
        <v>91896.0</v>
      </c>
      <c r="F37" s="14">
        <f t="shared" si="1"/>
        <v>107459</v>
      </c>
    </row>
    <row r="38">
      <c r="A38" s="4" t="s">
        <v>156</v>
      </c>
      <c r="B38" s="4" t="s">
        <v>166</v>
      </c>
      <c r="C38" s="5">
        <v>13782.0</v>
      </c>
      <c r="D38" s="5">
        <v>1137.0</v>
      </c>
      <c r="E38" s="5">
        <v>136620.0</v>
      </c>
      <c r="F38" s="14">
        <f t="shared" si="1"/>
        <v>151539</v>
      </c>
    </row>
    <row r="39">
      <c r="A39" s="4" t="s">
        <v>156</v>
      </c>
      <c r="B39" s="4" t="s">
        <v>167</v>
      </c>
      <c r="C39" s="5">
        <v>17704.0</v>
      </c>
      <c r="D39" s="4">
        <v>772.0</v>
      </c>
      <c r="E39" s="5">
        <v>202191.0</v>
      </c>
      <c r="F39" s="14">
        <f t="shared" si="1"/>
        <v>220667</v>
      </c>
    </row>
    <row r="40">
      <c r="A40" s="4" t="s">
        <v>156</v>
      </c>
      <c r="B40" s="4" t="s">
        <v>174</v>
      </c>
      <c r="C40" s="5">
        <v>24426.0</v>
      </c>
      <c r="D40" s="5">
        <v>1645.0</v>
      </c>
      <c r="E40" s="5">
        <v>237201.0</v>
      </c>
      <c r="F40" s="14">
        <f t="shared" si="1"/>
        <v>263272</v>
      </c>
    </row>
    <row r="41">
      <c r="A41" s="4" t="s">
        <v>156</v>
      </c>
      <c r="B41" s="4" t="s">
        <v>175</v>
      </c>
      <c r="C41" s="5">
        <v>10260.0</v>
      </c>
      <c r="D41" s="4">
        <v>594.0</v>
      </c>
      <c r="E41" s="5">
        <v>110528.0</v>
      </c>
      <c r="F41" s="14">
        <f t="shared" si="1"/>
        <v>121382</v>
      </c>
    </row>
    <row r="42">
      <c r="A42" s="4" t="s">
        <v>156</v>
      </c>
      <c r="B42" s="4" t="s">
        <v>178</v>
      </c>
      <c r="C42" s="5">
        <v>16149.0</v>
      </c>
      <c r="D42" s="4">
        <v>908.0</v>
      </c>
      <c r="E42" s="5">
        <v>108996.0</v>
      </c>
      <c r="F42" s="14">
        <f t="shared" si="1"/>
        <v>126053</v>
      </c>
    </row>
    <row r="43">
      <c r="A43" s="4" t="s">
        <v>156</v>
      </c>
      <c r="B43" s="4" t="s">
        <v>183</v>
      </c>
      <c r="C43" s="5">
        <v>5262.0</v>
      </c>
      <c r="D43" s="4">
        <v>342.0</v>
      </c>
      <c r="E43" s="5">
        <v>41987.0</v>
      </c>
      <c r="F43" s="14">
        <f t="shared" si="1"/>
        <v>47591</v>
      </c>
    </row>
    <row r="44">
      <c r="A44" s="4" t="s">
        <v>185</v>
      </c>
      <c r="B44" s="4" t="s">
        <v>186</v>
      </c>
      <c r="C44" s="5">
        <v>23905.0</v>
      </c>
      <c r="D44" s="5">
        <v>1348.0</v>
      </c>
      <c r="E44" s="5">
        <v>181328.0</v>
      </c>
      <c r="F44" s="14">
        <f t="shared" si="1"/>
        <v>206581</v>
      </c>
    </row>
    <row r="45">
      <c r="A45" s="4" t="s">
        <v>185</v>
      </c>
      <c r="B45" s="4" t="s">
        <v>190</v>
      </c>
      <c r="C45" s="5">
        <v>42141.0</v>
      </c>
      <c r="D45" s="5">
        <v>2118.0</v>
      </c>
      <c r="E45" s="5">
        <v>332918.0</v>
      </c>
      <c r="F45" s="14">
        <f t="shared" si="1"/>
        <v>377177</v>
      </c>
    </row>
    <row r="46">
      <c r="A46" s="4" t="s">
        <v>185</v>
      </c>
      <c r="B46" s="4" t="s">
        <v>193</v>
      </c>
      <c r="C46" s="5">
        <v>21184.0</v>
      </c>
      <c r="D46" s="4">
        <v>996.0</v>
      </c>
      <c r="E46" s="5">
        <v>180645.0</v>
      </c>
      <c r="F46" s="14">
        <f t="shared" si="1"/>
        <v>202825</v>
      </c>
    </row>
    <row r="47">
      <c r="A47" s="4" t="s">
        <v>185</v>
      </c>
      <c r="B47" s="4" t="s">
        <v>194</v>
      </c>
      <c r="C47" s="5">
        <v>28517.0</v>
      </c>
      <c r="D47" s="5">
        <v>1207.0</v>
      </c>
      <c r="E47" s="5">
        <v>240518.0</v>
      </c>
      <c r="F47" s="14">
        <f t="shared" si="1"/>
        <v>270242</v>
      </c>
    </row>
    <row r="48">
      <c r="A48" s="4" t="s">
        <v>196</v>
      </c>
      <c r="B48" s="4" t="s">
        <v>198</v>
      </c>
      <c r="C48" s="5">
        <v>39966.0</v>
      </c>
      <c r="D48" s="5">
        <v>1890.0</v>
      </c>
      <c r="E48" s="5">
        <v>274831.0</v>
      </c>
      <c r="F48" s="14">
        <f t="shared" si="1"/>
        <v>316687</v>
      </c>
    </row>
    <row r="49">
      <c r="A49" s="4" t="s">
        <v>196</v>
      </c>
      <c r="B49" s="4" t="s">
        <v>202</v>
      </c>
      <c r="C49" s="5">
        <v>34181.0</v>
      </c>
      <c r="D49" s="5">
        <v>1540.0</v>
      </c>
      <c r="E49" s="5">
        <v>196461.0</v>
      </c>
      <c r="F49" s="14">
        <f t="shared" si="1"/>
        <v>232182</v>
      </c>
    </row>
    <row r="50">
      <c r="A50" s="4" t="s">
        <v>196</v>
      </c>
      <c r="B50" s="4" t="s">
        <v>203</v>
      </c>
      <c r="C50" s="5">
        <v>20236.0</v>
      </c>
      <c r="D50" s="4">
        <v>760.0</v>
      </c>
      <c r="E50" s="5">
        <v>112311.0</v>
      </c>
      <c r="F50" s="14">
        <f t="shared" si="1"/>
        <v>133307</v>
      </c>
    </row>
    <row r="51">
      <c r="A51" s="4" t="s">
        <v>196</v>
      </c>
      <c r="B51" s="4" t="s">
        <v>208</v>
      </c>
      <c r="C51" s="5">
        <v>18428.0</v>
      </c>
      <c r="D51" s="5">
        <v>1304.0</v>
      </c>
      <c r="E51" s="5">
        <v>130262.0</v>
      </c>
      <c r="F51" s="14">
        <f t="shared" si="1"/>
        <v>149994</v>
      </c>
    </row>
    <row r="52">
      <c r="A52" s="4" t="s">
        <v>196</v>
      </c>
      <c r="B52" s="4" t="s">
        <v>210</v>
      </c>
      <c r="C52" s="5">
        <v>12449.0</v>
      </c>
      <c r="D52" s="4">
        <v>501.0</v>
      </c>
      <c r="E52" s="5">
        <v>87149.0</v>
      </c>
      <c r="F52" s="14">
        <f t="shared" si="1"/>
        <v>100099</v>
      </c>
    </row>
    <row r="53">
      <c r="A53" s="4" t="s">
        <v>196</v>
      </c>
      <c r="B53" s="4" t="s">
        <v>212</v>
      </c>
      <c r="C53" s="5">
        <v>15217.0</v>
      </c>
      <c r="D53" s="4">
        <v>602.0</v>
      </c>
      <c r="E53" s="5">
        <v>95370.0</v>
      </c>
      <c r="F53" s="14">
        <f t="shared" si="1"/>
        <v>111189</v>
      </c>
    </row>
    <row r="54">
      <c r="A54" s="4" t="s">
        <v>196</v>
      </c>
      <c r="B54" s="4" t="s">
        <v>218</v>
      </c>
      <c r="C54" s="5">
        <v>11385.0</v>
      </c>
      <c r="D54" s="4">
        <v>738.0</v>
      </c>
      <c r="E54" s="5">
        <v>66473.0</v>
      </c>
      <c r="F54" s="14">
        <f t="shared" si="1"/>
        <v>78596</v>
      </c>
    </row>
    <row r="55">
      <c r="A55" s="4" t="s">
        <v>219</v>
      </c>
      <c r="B55" s="4" t="s">
        <v>220</v>
      </c>
      <c r="C55" s="5">
        <v>29115.0</v>
      </c>
      <c r="D55" s="5">
        <v>2601.0</v>
      </c>
      <c r="E55" s="5">
        <v>217187.0</v>
      </c>
      <c r="F55" s="14">
        <f t="shared" si="1"/>
        <v>248903</v>
      </c>
    </row>
    <row r="56">
      <c r="A56" s="4" t="s">
        <v>219</v>
      </c>
      <c r="B56" s="4" t="s">
        <v>224</v>
      </c>
      <c r="C56" s="5">
        <v>57292.0</v>
      </c>
      <c r="D56" s="5">
        <v>3386.0</v>
      </c>
      <c r="E56" s="5">
        <v>488816.0</v>
      </c>
      <c r="F56" s="14">
        <f t="shared" si="1"/>
        <v>549494</v>
      </c>
    </row>
    <row r="57">
      <c r="A57" s="4" t="s">
        <v>219</v>
      </c>
      <c r="B57" s="4" t="s">
        <v>229</v>
      </c>
      <c r="C57" s="5">
        <v>39765.0</v>
      </c>
      <c r="D57" s="5">
        <v>1503.0</v>
      </c>
      <c r="E57" s="5">
        <v>255337.0</v>
      </c>
      <c r="F57" s="14">
        <f t="shared" si="1"/>
        <v>296605</v>
      </c>
    </row>
    <row r="58">
      <c r="A58" s="4" t="s">
        <v>219</v>
      </c>
      <c r="B58" s="4" t="s">
        <v>230</v>
      </c>
      <c r="C58" s="5">
        <v>37715.0</v>
      </c>
      <c r="D58" s="5">
        <v>1829.0</v>
      </c>
      <c r="E58" s="5">
        <v>239792.0</v>
      </c>
      <c r="F58" s="14">
        <f t="shared" si="1"/>
        <v>279336</v>
      </c>
    </row>
    <row r="59">
      <c r="A59" s="4" t="s">
        <v>233</v>
      </c>
      <c r="B59" s="4" t="s">
        <v>234</v>
      </c>
      <c r="C59" s="5">
        <v>109560.0</v>
      </c>
      <c r="D59" s="5">
        <v>2878.0</v>
      </c>
      <c r="E59" s="5">
        <v>298261.0</v>
      </c>
      <c r="F59" s="14">
        <f t="shared" si="1"/>
        <v>410699</v>
      </c>
    </row>
    <row r="60">
      <c r="A60" s="4" t="s">
        <v>233</v>
      </c>
      <c r="B60" s="4" t="s">
        <v>240</v>
      </c>
      <c r="C60" s="5">
        <v>45557.0</v>
      </c>
      <c r="D60" s="5">
        <v>1760.0</v>
      </c>
      <c r="E60" s="5">
        <v>250798.0</v>
      </c>
      <c r="F60" s="14">
        <f t="shared" si="1"/>
        <v>298115</v>
      </c>
    </row>
    <row r="61">
      <c r="A61" s="4" t="s">
        <v>233</v>
      </c>
      <c r="B61" s="4" t="s">
        <v>241</v>
      </c>
      <c r="C61" s="5">
        <v>11040.0</v>
      </c>
      <c r="D61" s="4">
        <v>643.0</v>
      </c>
      <c r="E61" s="5">
        <v>57781.0</v>
      </c>
      <c r="F61" s="14">
        <f t="shared" si="1"/>
        <v>69464</v>
      </c>
    </row>
    <row r="62">
      <c r="A62" s="4" t="s">
        <v>233</v>
      </c>
      <c r="B62" s="4" t="s">
        <v>249</v>
      </c>
      <c r="C62" s="5">
        <v>11214.0</v>
      </c>
      <c r="D62" s="4">
        <v>481.0</v>
      </c>
      <c r="E62" s="5">
        <v>67271.0</v>
      </c>
      <c r="F62" s="14">
        <f t="shared" si="1"/>
        <v>78966</v>
      </c>
    </row>
    <row r="63">
      <c r="A63" s="4" t="s">
        <v>233</v>
      </c>
      <c r="B63" s="4" t="s">
        <v>250</v>
      </c>
      <c r="C63" s="5">
        <v>13667.0</v>
      </c>
      <c r="D63" s="4">
        <v>471.0</v>
      </c>
      <c r="E63" s="5">
        <v>90103.0</v>
      </c>
      <c r="F63" s="14">
        <f t="shared" si="1"/>
        <v>104241</v>
      </c>
    </row>
    <row r="64">
      <c r="A64" s="4" t="s">
        <v>258</v>
      </c>
      <c r="B64" s="4" t="s">
        <v>259</v>
      </c>
      <c r="C64" s="5">
        <v>43765.0</v>
      </c>
      <c r="D64" s="5">
        <v>2659.0</v>
      </c>
      <c r="E64" s="5">
        <v>282229.0</v>
      </c>
      <c r="F64" s="14">
        <f t="shared" si="1"/>
        <v>328653</v>
      </c>
    </row>
    <row r="65">
      <c r="A65" s="4" t="s">
        <v>258</v>
      </c>
      <c r="B65" s="4" t="s">
        <v>260</v>
      </c>
      <c r="C65" s="5">
        <v>28569.0</v>
      </c>
      <c r="D65" s="5">
        <v>2378.0</v>
      </c>
      <c r="E65" s="5">
        <v>174722.0</v>
      </c>
      <c r="F65" s="14">
        <f t="shared" si="1"/>
        <v>205669</v>
      </c>
    </row>
    <row r="66">
      <c r="A66" s="4" t="s">
        <v>258</v>
      </c>
      <c r="B66" s="4" t="s">
        <v>268</v>
      </c>
      <c r="C66" s="5">
        <v>5422.0</v>
      </c>
      <c r="D66" s="4">
        <v>362.0</v>
      </c>
      <c r="E66" s="5">
        <v>43372.0</v>
      </c>
      <c r="F66" s="14">
        <f t="shared" si="1"/>
        <v>49156</v>
      </c>
    </row>
    <row r="67">
      <c r="A67" s="4" t="s">
        <v>258</v>
      </c>
      <c r="B67" s="4" t="s">
        <v>270</v>
      </c>
      <c r="C67" s="5">
        <v>15979.0</v>
      </c>
      <c r="D67" s="5">
        <v>1033.0</v>
      </c>
      <c r="E67" s="5">
        <v>67596.0</v>
      </c>
      <c r="F67" s="14">
        <f t="shared" si="1"/>
        <v>84608</v>
      </c>
    </row>
    <row r="68">
      <c r="A68" s="4" t="s">
        <v>258</v>
      </c>
      <c r="B68" s="4" t="s">
        <v>276</v>
      </c>
      <c r="C68" s="5">
        <v>6811.0</v>
      </c>
      <c r="D68" s="4">
        <v>414.0</v>
      </c>
      <c r="E68" s="5">
        <v>49210.0</v>
      </c>
      <c r="F68" s="14">
        <f t="shared" si="1"/>
        <v>56435</v>
      </c>
    </row>
    <row r="69">
      <c r="A69" s="4" t="s">
        <v>258</v>
      </c>
      <c r="B69" s="4" t="s">
        <v>278</v>
      </c>
      <c r="C69" s="5">
        <v>4636.0</v>
      </c>
      <c r="D69" s="4">
        <v>218.0</v>
      </c>
      <c r="E69" s="5">
        <v>27994.0</v>
      </c>
      <c r="F69" s="14">
        <f t="shared" si="1"/>
        <v>32848</v>
      </c>
    </row>
    <row r="70">
      <c r="A70" s="4" t="s">
        <v>258</v>
      </c>
      <c r="B70" s="4" t="s">
        <v>283</v>
      </c>
      <c r="C70" s="5">
        <v>13542.0</v>
      </c>
      <c r="D70" s="4">
        <v>838.0</v>
      </c>
      <c r="E70" s="5">
        <v>97399.0</v>
      </c>
      <c r="F70" s="14">
        <f t="shared" si="1"/>
        <v>111779</v>
      </c>
    </row>
    <row r="71">
      <c r="A71" s="4" t="s">
        <v>284</v>
      </c>
      <c r="B71" s="4" t="s">
        <v>286</v>
      </c>
      <c r="C71" s="5">
        <v>38514.0</v>
      </c>
      <c r="D71" s="5">
        <v>3167.0</v>
      </c>
      <c r="E71" s="5">
        <v>240193.0</v>
      </c>
      <c r="F71" s="14">
        <f t="shared" si="1"/>
        <v>281874</v>
      </c>
    </row>
    <row r="72">
      <c r="A72" s="4" t="s">
        <v>284</v>
      </c>
      <c r="B72" s="4" t="s">
        <v>291</v>
      </c>
      <c r="C72" s="5">
        <v>12058.0</v>
      </c>
      <c r="D72" s="4">
        <v>990.0</v>
      </c>
      <c r="E72" s="5">
        <v>45339.0</v>
      </c>
      <c r="F72" s="14">
        <f t="shared" si="1"/>
        <v>58387</v>
      </c>
    </row>
    <row r="73">
      <c r="A73" s="4" t="s">
        <v>284</v>
      </c>
      <c r="B73" s="4" t="s">
        <v>292</v>
      </c>
      <c r="C73" s="5">
        <v>17459.0</v>
      </c>
      <c r="D73" s="5">
        <v>1109.0</v>
      </c>
      <c r="E73" s="5">
        <v>117033.0</v>
      </c>
      <c r="F73" s="14">
        <f t="shared" si="1"/>
        <v>135601</v>
      </c>
    </row>
    <row r="74">
      <c r="A74" s="4" t="s">
        <v>284</v>
      </c>
      <c r="B74" s="4" t="s">
        <v>298</v>
      </c>
      <c r="C74" s="5">
        <v>13759.0</v>
      </c>
      <c r="D74" s="4">
        <v>976.0</v>
      </c>
      <c r="E74" s="5">
        <v>102397.0</v>
      </c>
      <c r="F74" s="14">
        <f t="shared" si="1"/>
        <v>117132</v>
      </c>
    </row>
    <row r="75">
      <c r="A75" s="4" t="s">
        <v>284</v>
      </c>
      <c r="B75" s="4" t="s">
        <v>299</v>
      </c>
      <c r="C75" s="5">
        <v>40133.0</v>
      </c>
      <c r="D75" s="5">
        <v>4297.0</v>
      </c>
      <c r="E75" s="5">
        <v>88828.0</v>
      </c>
      <c r="F75" s="14">
        <f t="shared" si="1"/>
        <v>133258</v>
      </c>
    </row>
    <row r="76">
      <c r="A76" s="4" t="s">
        <v>284</v>
      </c>
      <c r="B76" s="4" t="s">
        <v>301</v>
      </c>
      <c r="C76" s="5">
        <v>28753.0</v>
      </c>
      <c r="D76" s="5">
        <v>3236.0</v>
      </c>
      <c r="E76" s="5">
        <v>65170.0</v>
      </c>
      <c r="F76" s="14">
        <f t="shared" si="1"/>
        <v>97159</v>
      </c>
    </row>
    <row r="77">
      <c r="A77" s="4" t="s">
        <v>284</v>
      </c>
      <c r="B77" s="4" t="s">
        <v>304</v>
      </c>
      <c r="C77" s="5">
        <v>38519.0</v>
      </c>
      <c r="D77" s="5">
        <v>4023.0</v>
      </c>
      <c r="E77" s="5">
        <v>91129.0</v>
      </c>
      <c r="F77" s="14">
        <f t="shared" si="1"/>
        <v>133671</v>
      </c>
    </row>
    <row r="78">
      <c r="A78" s="4" t="s">
        <v>311</v>
      </c>
      <c r="B78" s="4" t="s">
        <v>312</v>
      </c>
      <c r="C78" s="5">
        <v>188530.0</v>
      </c>
      <c r="D78" s="5">
        <v>48812.0</v>
      </c>
      <c r="E78" s="5">
        <v>1335665.0</v>
      </c>
      <c r="F78" s="14">
        <f t="shared" si="1"/>
        <v>1573007</v>
      </c>
    </row>
    <row r="79">
      <c r="A79" s="4"/>
      <c r="B79" s="36"/>
      <c r="C79" s="5"/>
      <c r="D79" s="5"/>
      <c r="E79" s="5"/>
      <c r="F79" s="37"/>
    </row>
    <row r="80">
      <c r="A80" s="38"/>
      <c r="B80" s="38"/>
      <c r="C80" s="38"/>
      <c r="D80" s="38"/>
      <c r="E80" s="38"/>
    </row>
    <row r="81">
      <c r="A81" s="38"/>
      <c r="B81" s="38"/>
      <c r="C81" s="38"/>
      <c r="D81" s="38"/>
      <c r="E81" s="38"/>
    </row>
    <row r="82">
      <c r="A82" s="39"/>
      <c r="B82" s="38"/>
      <c r="C82" s="38"/>
      <c r="D82" s="38"/>
      <c r="E82" s="38"/>
    </row>
    <row r="83">
      <c r="A83" s="40"/>
    </row>
    <row r="84">
      <c r="A84" s="40"/>
    </row>
  </sheetData>
  <mergeCells count="2">
    <mergeCell ref="A83:E83"/>
    <mergeCell ref="A84:E8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0.38"/>
    <col customWidth="1" min="4" max="4" width="22.25"/>
    <col customWidth="1" min="5" max="5" width="17.75"/>
    <col customWidth="1" min="6" max="6" width="25.75"/>
    <col customWidth="1" min="8" max="8" width="23.0"/>
    <col customWidth="1" min="9" max="9" width="21.13"/>
  </cols>
  <sheetData>
    <row r="1">
      <c r="B1" s="18" t="s">
        <v>66</v>
      </c>
    </row>
    <row r="2">
      <c r="B2" s="20"/>
      <c r="C2" s="20"/>
      <c r="D2" s="20"/>
      <c r="E2" s="20"/>
    </row>
    <row r="3">
      <c r="B3" s="23" t="s">
        <v>75</v>
      </c>
      <c r="C3" s="24"/>
      <c r="D3" s="23" t="s">
        <v>78</v>
      </c>
      <c r="E3" s="24"/>
      <c r="F3" s="25" t="s">
        <v>79</v>
      </c>
      <c r="G3" s="26"/>
      <c r="H3" s="25" t="s">
        <v>81</v>
      </c>
    </row>
    <row r="4">
      <c r="B4" s="30">
        <f>IFERROR(__xludf.DUMMYFUNCTION("LET(latest, INDEX(SORT(FILTER(Disaster_DB!B2:B1000, Disaster_DB!B2:B1000&lt;&gt;""""), 1, FALSE), 1), COUNTIFS(Disaster_DB!B2:B1000, latest))"),27.0)</f>
        <v>27</v>
      </c>
      <c r="C4" s="30"/>
      <c r="D4" s="30">
        <f>IFERROR(__xludf.DUMMYFUNCTION("LET(latest, INDEX(SORT(FILTER(Disaster_DB!B2:B1000, Disaster_DB!B2:B1000&lt;&gt;""""), 1, FALSE), 1), SUM(ARRAYFORMULA(IF(Disaster_DB!B2:B1000=latest, IFERROR(VALUE(Disaster_DB!J2:J1000), 0), 0))))"),1175292.0)</f>
        <v>1175292</v>
      </c>
      <c r="E4" s="30"/>
      <c r="F4" s="30">
        <f>IFERROR(__xludf.DUMMYFUNCTION("LET(latest, INDEX(SORT(FILTER(Disaster_DB!B2:B1000, Disaster_DB!B2:B1000&lt;&gt;""""), 1, FALSE), 1), SUM(ARRAYFORMULA(IF(Disaster_DB!B2:B1000=latest, IFERROR(VALUE(Disaster_DB!K2:K1000), 0), 0))))"),24.0)</f>
        <v>24</v>
      </c>
      <c r="G4" s="30"/>
      <c r="H4" s="30">
        <f>IFERROR(__xludf.DUMMYFUNCTION("LET(latest, INDEX(SORT(FILTER(Disaster_DB!B2:B1000, Disaster_DB!B2:B1000&lt;&gt;""""), 1, FALSE), 1), SUM(ARRAYFORMULA(IF(Disaster_DB!B2:B1000=latest, IFERROR(VALUE(Disaster_DB!F2:F1000), 0), 0))))"),162.0)</f>
        <v>162</v>
      </c>
    </row>
    <row r="7">
      <c r="B7" s="25" t="s">
        <v>29</v>
      </c>
      <c r="C7" s="25" t="s">
        <v>132</v>
      </c>
      <c r="D7" s="25" t="s">
        <v>78</v>
      </c>
      <c r="E7" s="25" t="s">
        <v>134</v>
      </c>
      <c r="F7" s="25" t="s">
        <v>135</v>
      </c>
      <c r="H7" s="25" t="s">
        <v>31</v>
      </c>
      <c r="I7" s="25" t="s">
        <v>137</v>
      </c>
    </row>
    <row r="8">
      <c r="B8" s="33" t="s">
        <v>59</v>
      </c>
      <c r="C8" s="34">
        <f>COUNTIFS(Disaster_DB!$C$2:$C$123, $B8, Disaster_DB!$B$2:$B$123, MAX(Disaster_DB!$B$2:$B$123))</f>
        <v>2</v>
      </c>
      <c r="D8" s="34">
        <f>SUMIFS(Disaster_DB!$J$2:$J$123, Disaster_DB!$C$2:$C$123, $B8, Disaster_DB!$B$2:$B$123, MAX(Disaster_DB!$B$2:$B$123))</f>
        <v>13095</v>
      </c>
      <c r="E8" s="34">
        <f>SUMIFS(Disaster_DB!$K$2:$K$123, Disaster_DB!$C$2:$C$123, $B8, Disaster_DB!$B$2:$B$123, MAX(Disaster_DB!$B$2:$B$123))</f>
        <v>0</v>
      </c>
      <c r="F8" s="34">
        <f>COUNTIFS(Disaster_DB!$C$2:$C$123, $B8, Disaster_DB!$L$2:$L$123, "เพิ่มขึ้น", Disaster_DB!$B$2:$B$123, MAX(Disaster_DB!$B$2:$B$123))</f>
        <v>1</v>
      </c>
      <c r="H8" s="35" t="str">
        <f>IFERROR(__xludf.DUMMYFUNCTION("QUERY(Disaster_DB!A2:P123, ""SELECT D, J WHERE D IS NOT NULL AND B = date '"" &amp; YEAR(MAX(Disaster_DB!$B$2:$B$123)) &amp; ""-"" &amp; TEXT(MONTH(MAX(Disaster_DB!$B$2:$B$123)),""00"") &amp; ""-"" &amp; TEXT(DAY(MAX(Disaster_DB!$B$2:$B$123)),""00"") &amp; ""' ORDER BY J DESC LI"&amp;"MIT 5"", 0)"),"กรุงเทพมหานคร")</f>
        <v>กรุงเทพมหานคร</v>
      </c>
      <c r="I8" s="34">
        <f>IFERROR(__xludf.DUMMYFUNCTION("""COMPUTED_VALUE"""),329000.0)</f>
        <v>329000</v>
      </c>
    </row>
    <row r="9">
      <c r="B9" s="33" t="s">
        <v>145</v>
      </c>
      <c r="C9" s="34">
        <f>COUNTIFS(Disaster_DB!$C$2:$C$123, $B9, Disaster_DB!$B$2:$B$123, MAX(Disaster_DB!$B$2:$B$123))</f>
        <v>14</v>
      </c>
      <c r="D9" s="34">
        <f>SUMIFS(Disaster_DB!$J$2:$J$123, Disaster_DB!$C$2:$C$123, $B9, Disaster_DB!$B$2:$B$123, MAX(Disaster_DB!$B$2:$B$123))</f>
        <v>550719</v>
      </c>
      <c r="E9" s="34">
        <f>SUMIFS(Disaster_DB!$K$2:$K$123, Disaster_DB!$C$2:$C$123, $B9, Disaster_DB!$B$2:$B$123, MAX(Disaster_DB!$B$2:$B$123))</f>
        <v>12</v>
      </c>
      <c r="F9" s="34">
        <f>COUNTIFS(Disaster_DB!$C$2:$C$123, $B9, Disaster_DB!$L$2:$L$123, "เพิ่มขึ้น", Disaster_DB!$B$2:$B$123, MAX(Disaster_DB!$B$2:$B$123))</f>
        <v>9</v>
      </c>
      <c r="H9" s="35" t="str">
        <f>IFERROR(__xludf.DUMMYFUNCTION("""COMPUTED_VALUE"""),"สมุทรปราการ")</f>
        <v>สมุทรปราการ</v>
      </c>
      <c r="I9" s="34">
        <f>IFERROR(__xludf.DUMMYFUNCTION("""COMPUTED_VALUE"""),223346.0)</f>
        <v>223346</v>
      </c>
    </row>
    <row r="10">
      <c r="B10" s="33" t="s">
        <v>348</v>
      </c>
      <c r="C10" s="34">
        <f>COUNTIFS(Disaster_DB!$C$2:$C$123, $B10, Disaster_DB!$B$2:$B$123, MAX(Disaster_DB!$B$2:$B$123))</f>
        <v>7</v>
      </c>
      <c r="D10" s="34">
        <f>SUMIFS(Disaster_DB!$J$2:$J$123, Disaster_DB!$C$2:$C$123, $B10, Disaster_DB!$B$2:$B$123, MAX(Disaster_DB!$B$2:$B$123))</f>
        <v>282006</v>
      </c>
      <c r="E10" s="34">
        <f>SUMIFS(Disaster_DB!$K$2:$K$123, Disaster_DB!$C$2:$C$123, $B10, Disaster_DB!$B$2:$B$123, MAX(Disaster_DB!$B$2:$B$123))</f>
        <v>8</v>
      </c>
      <c r="F10" s="34">
        <f>COUNTIFS(Disaster_DB!$C$2:$C$123, $B10, Disaster_DB!$L$2:$L$123, "เพิ่มขึ้น", Disaster_DB!$B$2:$B$123, MAX(Disaster_DB!$B$2:$B$123))</f>
        <v>3</v>
      </c>
      <c r="H10" s="35" t="str">
        <f>IFERROR(__xludf.DUMMYFUNCTION("""COMPUTED_VALUE"""),"ปทุมธานี")</f>
        <v>ปทุมธานี</v>
      </c>
      <c r="I10" s="34">
        <f>IFERROR(__xludf.DUMMYFUNCTION("""COMPUTED_VALUE"""),169724.0)</f>
        <v>169724</v>
      </c>
    </row>
    <row r="11">
      <c r="B11" s="33" t="s">
        <v>397</v>
      </c>
      <c r="C11" s="34">
        <f>COUNTIFS(Disaster_DB!$C$2:$C$123, $B11, Disaster_DB!$B$2:$B$123, MAX(Disaster_DB!$B$2:$B$123))</f>
        <v>3</v>
      </c>
      <c r="D11" s="34">
        <f>SUMIFS(Disaster_DB!$J$2:$J$123, Disaster_DB!$C$2:$C$123, $B11, Disaster_DB!$B$2:$B$123, MAX(Disaster_DB!$B$2:$B$123))</f>
        <v>472</v>
      </c>
      <c r="E11" s="34">
        <f>SUMIFS(Disaster_DB!$K$2:$K$123, Disaster_DB!$C$2:$C$123, $B11, Disaster_DB!$B$2:$B$123, MAX(Disaster_DB!$B$2:$B$123))</f>
        <v>0</v>
      </c>
      <c r="F11" s="34">
        <f>COUNTIFS(Disaster_DB!$C$2:$C$123, $B11, Disaster_DB!$L$2:$L$123, "เพิ่มขึ้น", Disaster_DB!$B$2:$B$123, MAX(Disaster_DB!$B$2:$B$123))</f>
        <v>0</v>
      </c>
      <c r="H11" s="35" t="str">
        <f>IFERROR(__xludf.DUMMYFUNCTION("""COMPUTED_VALUE"""),"ชลบุรี")</f>
        <v>ชลบุรี</v>
      </c>
      <c r="I11" s="34">
        <f>IFERROR(__xludf.DUMMYFUNCTION("""COMPUTED_VALUE"""),118723.0)</f>
        <v>118723</v>
      </c>
    </row>
    <row r="12">
      <c r="B12" s="33" t="s">
        <v>312</v>
      </c>
      <c r="C12" s="34">
        <f>COUNTIFS(Disaster_DB!$C$2:$C$123, $B12, Disaster_DB!$B$2:$B$123, MAX(Disaster_DB!$B$2:$B$123))</f>
        <v>1</v>
      </c>
      <c r="D12" s="34">
        <f>SUMIFS(Disaster_DB!$J$2:$J$123, Disaster_DB!$C$2:$C$123, $B12, Disaster_DB!$B$2:$B$123, MAX(Disaster_DB!$B$2:$B$123))</f>
        <v>329000</v>
      </c>
      <c r="E12" s="34">
        <f>SUMIFS(Disaster_DB!$K$2:$K$123, Disaster_DB!$C$2:$C$123, $B12, Disaster_DB!$B$2:$B$123, MAX(Disaster_DB!$B$2:$B$123))</f>
        <v>4</v>
      </c>
      <c r="F12" s="34">
        <f>COUNTIFS(Disaster_DB!$C$2:$C$123, $B12, Disaster_DB!$L$2:$L$123, "เพิ่มขึ้น", Disaster_DB!$B$2:$B$123, MAX(Disaster_DB!$B$2:$B$123))</f>
        <v>0</v>
      </c>
      <c r="H12" s="35" t="str">
        <f>IFERROR(__xludf.DUMMYFUNCTION("""COMPUTED_VALUE"""),"ฉะเชิงเทรา")</f>
        <v>ฉะเชิงเทรา</v>
      </c>
      <c r="I12" s="34">
        <f>IFERROR(__xludf.DUMMYFUNCTION("""COMPUTED_VALUE"""),54647.0)</f>
        <v>54647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3" max="3" width="45.13"/>
    <col customWidth="1" min="4" max="5" width="25.13"/>
    <col customWidth="1" min="8" max="8" width="22.63"/>
    <col customWidth="1" min="21" max="21" width="22.63"/>
    <col customWidth="1" min="22" max="22" width="18.38"/>
    <col customWidth="1" min="23" max="23" width="99.75"/>
  </cols>
  <sheetData>
    <row r="1" ht="30.75" customHeight="1">
      <c r="A1" s="3" t="s">
        <v>3</v>
      </c>
      <c r="B1" s="3" t="s">
        <v>8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28</v>
      </c>
      <c r="T1" s="3" t="s">
        <v>30</v>
      </c>
      <c r="U1" s="3" t="s">
        <v>32</v>
      </c>
      <c r="V1" s="3" t="s">
        <v>34</v>
      </c>
      <c r="W1" s="3" t="s">
        <v>36</v>
      </c>
    </row>
    <row r="2">
      <c r="A2" s="7" t="s">
        <v>40</v>
      </c>
      <c r="B2" s="7" t="s">
        <v>42</v>
      </c>
      <c r="C2" s="7" t="s">
        <v>43</v>
      </c>
      <c r="D2" s="7" t="s">
        <v>44</v>
      </c>
      <c r="E2" s="9"/>
      <c r="F2" s="11">
        <v>13.68138</v>
      </c>
      <c r="G2" s="11">
        <v>100.35047</v>
      </c>
      <c r="H2" s="7" t="s">
        <v>51</v>
      </c>
      <c r="I2" s="13">
        <v>0.12</v>
      </c>
      <c r="J2" s="13"/>
      <c r="K2" s="13"/>
      <c r="L2" s="13"/>
      <c r="M2" s="13"/>
      <c r="N2" s="7" t="s">
        <v>52</v>
      </c>
      <c r="O2" s="7" t="s">
        <v>52</v>
      </c>
      <c r="P2" s="9"/>
      <c r="Q2" s="9"/>
      <c r="R2" s="9">
        <v>2995372.6</v>
      </c>
      <c r="S2" s="7" t="s">
        <v>54</v>
      </c>
      <c r="T2" s="7" t="b">
        <v>0</v>
      </c>
      <c r="U2" s="7" t="s">
        <v>56</v>
      </c>
      <c r="V2" s="27" t="s">
        <v>57</v>
      </c>
      <c r="W2" s="7" t="s">
        <v>87</v>
      </c>
    </row>
    <row r="3">
      <c r="A3" s="7" t="s">
        <v>88</v>
      </c>
      <c r="B3" s="7" t="s">
        <v>89</v>
      </c>
      <c r="C3" s="7" t="s">
        <v>90</v>
      </c>
      <c r="D3" s="7" t="s">
        <v>92</v>
      </c>
      <c r="E3" s="9"/>
      <c r="F3" s="11">
        <v>13.76991</v>
      </c>
      <c r="G3" s="11">
        <v>100.71494</v>
      </c>
      <c r="H3" s="7" t="s">
        <v>93</v>
      </c>
      <c r="I3" s="13">
        <v>0.95</v>
      </c>
      <c r="J3" s="13"/>
      <c r="K3" s="13"/>
      <c r="L3" s="13">
        <v>0.3</v>
      </c>
      <c r="M3" s="13">
        <v>0.4</v>
      </c>
      <c r="N3" s="7" t="s">
        <v>52</v>
      </c>
      <c r="O3" s="7" t="s">
        <v>52</v>
      </c>
      <c r="P3" s="9"/>
      <c r="Q3" s="9"/>
      <c r="R3" s="9">
        <v>7297.6</v>
      </c>
      <c r="S3" s="7" t="s">
        <v>54</v>
      </c>
      <c r="T3" s="7" t="b">
        <v>0</v>
      </c>
      <c r="U3" s="7" t="s">
        <v>56</v>
      </c>
      <c r="V3" s="27" t="s">
        <v>57</v>
      </c>
      <c r="W3" s="7" t="s">
        <v>99</v>
      </c>
    </row>
    <row r="4">
      <c r="A4" s="7" t="s">
        <v>100</v>
      </c>
      <c r="B4" s="7" t="s">
        <v>102</v>
      </c>
      <c r="C4" s="7" t="s">
        <v>103</v>
      </c>
      <c r="D4" s="7" t="s">
        <v>104</v>
      </c>
      <c r="E4" s="9"/>
      <c r="F4" s="11">
        <v>13.84703</v>
      </c>
      <c r="G4" s="11">
        <v>100.6218</v>
      </c>
      <c r="H4" s="7" t="s">
        <v>106</v>
      </c>
      <c r="I4" s="13">
        <v>1.12</v>
      </c>
      <c r="J4" s="13"/>
      <c r="K4" s="13"/>
      <c r="L4" s="13">
        <v>0.7</v>
      </c>
      <c r="M4" s="13">
        <v>0.9</v>
      </c>
      <c r="N4" s="7" t="s">
        <v>52</v>
      </c>
      <c r="O4" s="7" t="s">
        <v>52</v>
      </c>
      <c r="P4" s="9"/>
      <c r="Q4" s="9"/>
      <c r="R4" s="9">
        <v>7293.6</v>
      </c>
      <c r="S4" s="7" t="s">
        <v>54</v>
      </c>
      <c r="T4" s="7" t="b">
        <v>0</v>
      </c>
      <c r="U4" s="7" t="s">
        <v>56</v>
      </c>
      <c r="V4" s="27" t="s">
        <v>57</v>
      </c>
      <c r="W4" s="7" t="s">
        <v>110</v>
      </c>
    </row>
    <row r="5">
      <c r="A5" s="7" t="s">
        <v>112</v>
      </c>
      <c r="B5" s="7" t="s">
        <v>113</v>
      </c>
      <c r="C5" s="7" t="s">
        <v>114</v>
      </c>
      <c r="D5" s="7" t="s">
        <v>115</v>
      </c>
      <c r="E5" s="9"/>
      <c r="F5" s="11">
        <v>13.75228</v>
      </c>
      <c r="G5" s="11">
        <v>100.60555</v>
      </c>
      <c r="H5" s="7" t="s">
        <v>117</v>
      </c>
      <c r="I5" s="13">
        <v>-0.71</v>
      </c>
      <c r="J5" s="13"/>
      <c r="K5" s="13"/>
      <c r="L5" s="13">
        <v>-0.1</v>
      </c>
      <c r="M5" s="13">
        <v>0.1</v>
      </c>
      <c r="N5" s="7" t="s">
        <v>52</v>
      </c>
      <c r="O5" s="7" t="s">
        <v>52</v>
      </c>
      <c r="P5" s="9"/>
      <c r="Q5" s="9"/>
      <c r="R5" s="9">
        <v>1549672.6</v>
      </c>
      <c r="S5" s="7" t="s">
        <v>54</v>
      </c>
      <c r="T5" s="7" t="b">
        <v>0</v>
      </c>
      <c r="U5" s="7" t="s">
        <v>56</v>
      </c>
      <c r="V5" s="27" t="s">
        <v>57</v>
      </c>
      <c r="W5" s="7" t="s">
        <v>123</v>
      </c>
    </row>
    <row r="6">
      <c r="A6" s="7" t="s">
        <v>125</v>
      </c>
      <c r="B6" s="7" t="s">
        <v>126</v>
      </c>
      <c r="C6" s="7" t="s">
        <v>127</v>
      </c>
      <c r="D6" s="7" t="s">
        <v>128</v>
      </c>
      <c r="E6" s="9"/>
      <c r="F6" s="11">
        <v>13.92055</v>
      </c>
      <c r="G6" s="11">
        <v>100.79237</v>
      </c>
      <c r="H6" s="7" t="s">
        <v>93</v>
      </c>
      <c r="I6" s="13">
        <v>1.69</v>
      </c>
      <c r="J6" s="13"/>
      <c r="K6" s="13"/>
      <c r="L6" s="13">
        <v>1.2</v>
      </c>
      <c r="M6" s="13">
        <v>1.7</v>
      </c>
      <c r="N6" s="7" t="s">
        <v>52</v>
      </c>
      <c r="O6" s="7" t="s">
        <v>52</v>
      </c>
      <c r="P6" s="9"/>
      <c r="Q6" s="9"/>
      <c r="R6" s="9">
        <v>7297.6</v>
      </c>
      <c r="S6" s="7" t="s">
        <v>54</v>
      </c>
      <c r="T6" s="7" t="b">
        <v>0</v>
      </c>
      <c r="U6" s="7" t="s">
        <v>56</v>
      </c>
      <c r="V6" s="27" t="s">
        <v>57</v>
      </c>
      <c r="W6" s="7" t="s">
        <v>138</v>
      </c>
    </row>
    <row r="7">
      <c r="A7" s="7" t="s">
        <v>140</v>
      </c>
      <c r="B7" s="7" t="s">
        <v>141</v>
      </c>
      <c r="C7" s="7" t="s">
        <v>142</v>
      </c>
      <c r="D7" s="7" t="s">
        <v>143</v>
      </c>
      <c r="E7" s="9"/>
      <c r="F7" s="11">
        <v>13.73035</v>
      </c>
      <c r="G7" s="11">
        <v>100.5141</v>
      </c>
      <c r="H7" s="7" t="s">
        <v>93</v>
      </c>
      <c r="I7" s="13">
        <v>-0.25</v>
      </c>
      <c r="J7" s="13"/>
      <c r="K7" s="13"/>
      <c r="L7" s="13">
        <v>2.6</v>
      </c>
      <c r="M7" s="13">
        <v>2.8</v>
      </c>
      <c r="N7" s="7" t="s">
        <v>52</v>
      </c>
      <c r="O7" s="7" t="s">
        <v>52</v>
      </c>
      <c r="P7" s="9"/>
      <c r="Q7" s="9"/>
      <c r="R7" s="9">
        <v>7297.6</v>
      </c>
      <c r="S7" s="7" t="s">
        <v>54</v>
      </c>
      <c r="T7" s="7" t="b">
        <v>0</v>
      </c>
      <c r="U7" s="7" t="s">
        <v>56</v>
      </c>
      <c r="V7" s="27" t="s">
        <v>57</v>
      </c>
      <c r="W7" s="7" t="s">
        <v>147</v>
      </c>
    </row>
    <row r="8">
      <c r="A8" s="7" t="s">
        <v>149</v>
      </c>
      <c r="B8" s="7" t="s">
        <v>150</v>
      </c>
      <c r="C8" s="7" t="s">
        <v>151</v>
      </c>
      <c r="D8" s="7" t="s">
        <v>152</v>
      </c>
      <c r="E8" s="9"/>
      <c r="F8" s="11">
        <v>13.8065</v>
      </c>
      <c r="G8" s="11">
        <v>100.64899</v>
      </c>
      <c r="H8" s="7" t="s">
        <v>93</v>
      </c>
      <c r="I8" s="13">
        <v>0.91</v>
      </c>
      <c r="J8" s="13"/>
      <c r="K8" s="13"/>
      <c r="L8" s="13">
        <v>0.4</v>
      </c>
      <c r="M8" s="13">
        <v>0.5</v>
      </c>
      <c r="N8" s="7" t="s">
        <v>52</v>
      </c>
      <c r="O8" s="7" t="s">
        <v>52</v>
      </c>
      <c r="P8" s="9"/>
      <c r="Q8" s="9"/>
      <c r="R8" s="9">
        <v>7297.6</v>
      </c>
      <c r="S8" s="7" t="s">
        <v>54</v>
      </c>
      <c r="T8" s="7" t="b">
        <v>0</v>
      </c>
      <c r="U8" s="7" t="s">
        <v>56</v>
      </c>
      <c r="V8" s="27" t="s">
        <v>57</v>
      </c>
      <c r="W8" s="7" t="s">
        <v>158</v>
      </c>
    </row>
    <row r="9">
      <c r="A9" s="7" t="s">
        <v>159</v>
      </c>
      <c r="B9" s="7" t="s">
        <v>160</v>
      </c>
      <c r="C9" s="7" t="s">
        <v>161</v>
      </c>
      <c r="D9" s="7" t="s">
        <v>162</v>
      </c>
      <c r="E9" s="9"/>
      <c r="F9" s="11">
        <v>13.70339</v>
      </c>
      <c r="G9" s="11">
        <v>100.39142</v>
      </c>
      <c r="H9" s="7" t="s">
        <v>164</v>
      </c>
      <c r="I9" s="13">
        <v>0.79</v>
      </c>
      <c r="J9" s="13"/>
      <c r="K9" s="13"/>
      <c r="L9" s="13">
        <v>0.6</v>
      </c>
      <c r="M9" s="13">
        <v>0.7</v>
      </c>
      <c r="N9" s="7" t="s">
        <v>52</v>
      </c>
      <c r="O9" s="7" t="s">
        <v>52</v>
      </c>
      <c r="P9" s="9"/>
      <c r="Q9" s="9"/>
      <c r="R9" s="9">
        <v>9532.6</v>
      </c>
      <c r="S9" s="7" t="s">
        <v>54</v>
      </c>
      <c r="T9" s="7" t="b">
        <v>0</v>
      </c>
      <c r="U9" s="7" t="s">
        <v>56</v>
      </c>
      <c r="V9" s="27" t="s">
        <v>57</v>
      </c>
      <c r="W9" s="7" t="s">
        <v>168</v>
      </c>
    </row>
    <row r="10">
      <c r="A10" s="7" t="s">
        <v>169</v>
      </c>
      <c r="B10" s="7" t="s">
        <v>170</v>
      </c>
      <c r="C10" s="7" t="s">
        <v>171</v>
      </c>
      <c r="D10" s="7" t="s">
        <v>172</v>
      </c>
      <c r="E10" s="9"/>
      <c r="F10" s="11">
        <v>13.78651</v>
      </c>
      <c r="G10" s="11">
        <v>100.37053</v>
      </c>
      <c r="H10" s="7" t="s">
        <v>93</v>
      </c>
      <c r="I10" s="13">
        <v>0.82</v>
      </c>
      <c r="J10" s="13"/>
      <c r="K10" s="13"/>
      <c r="L10" s="13">
        <v>0.9</v>
      </c>
      <c r="M10" s="13">
        <v>1.0</v>
      </c>
      <c r="N10" s="7" t="s">
        <v>52</v>
      </c>
      <c r="O10" s="7" t="s">
        <v>52</v>
      </c>
      <c r="P10" s="9"/>
      <c r="Q10" s="9"/>
      <c r="R10" s="9">
        <v>7297.6</v>
      </c>
      <c r="S10" s="7" t="s">
        <v>54</v>
      </c>
      <c r="T10" s="7" t="b">
        <v>0</v>
      </c>
      <c r="U10" s="7" t="s">
        <v>56</v>
      </c>
      <c r="V10" s="27" t="s">
        <v>57</v>
      </c>
      <c r="W10" s="7" t="s">
        <v>177</v>
      </c>
    </row>
    <row r="11">
      <c r="A11" s="7" t="s">
        <v>179</v>
      </c>
      <c r="B11" s="7" t="s">
        <v>180</v>
      </c>
      <c r="C11" s="7" t="s">
        <v>181</v>
      </c>
      <c r="D11" s="7" t="s">
        <v>182</v>
      </c>
      <c r="E11" s="9"/>
      <c r="F11" s="11">
        <v>13.74126</v>
      </c>
      <c r="G11" s="11">
        <v>100.51582</v>
      </c>
      <c r="H11" s="7" t="s">
        <v>93</v>
      </c>
      <c r="I11" s="13">
        <v>-0.28</v>
      </c>
      <c r="J11" s="13"/>
      <c r="K11" s="13"/>
      <c r="L11" s="13">
        <v>0.6</v>
      </c>
      <c r="M11" s="13">
        <v>0.7</v>
      </c>
      <c r="N11" s="7" t="s">
        <v>52</v>
      </c>
      <c r="O11" s="7" t="s">
        <v>52</v>
      </c>
      <c r="P11" s="9"/>
      <c r="Q11" s="9"/>
      <c r="R11" s="9">
        <v>7297.6</v>
      </c>
      <c r="S11" s="7" t="s">
        <v>54</v>
      </c>
      <c r="T11" s="7" t="b">
        <v>0</v>
      </c>
      <c r="U11" s="7" t="s">
        <v>56</v>
      </c>
      <c r="V11" s="27" t="s">
        <v>57</v>
      </c>
      <c r="W11" s="7" t="s">
        <v>187</v>
      </c>
    </row>
    <row r="12">
      <c r="A12" s="7" t="s">
        <v>188</v>
      </c>
      <c r="B12" s="7" t="s">
        <v>189</v>
      </c>
      <c r="C12" s="7" t="s">
        <v>191</v>
      </c>
      <c r="D12" s="7" t="s">
        <v>192</v>
      </c>
      <c r="E12" s="9"/>
      <c r="F12" s="11">
        <v>13.62817</v>
      </c>
      <c r="G12" s="11">
        <v>100.43914</v>
      </c>
      <c r="H12" s="7" t="s">
        <v>93</v>
      </c>
      <c r="I12" s="13">
        <v>-0.75</v>
      </c>
      <c r="J12" s="13"/>
      <c r="K12" s="13"/>
      <c r="L12" s="13">
        <v>1.0</v>
      </c>
      <c r="M12" s="13">
        <v>1.2</v>
      </c>
      <c r="N12" s="7" t="s">
        <v>52</v>
      </c>
      <c r="O12" s="7" t="s">
        <v>52</v>
      </c>
      <c r="P12" s="9"/>
      <c r="Q12" s="9"/>
      <c r="R12" s="9">
        <v>7297.6</v>
      </c>
      <c r="S12" s="7" t="s">
        <v>54</v>
      </c>
      <c r="T12" s="7" t="b">
        <v>0</v>
      </c>
      <c r="U12" s="7" t="s">
        <v>56</v>
      </c>
      <c r="V12" s="27" t="s">
        <v>57</v>
      </c>
      <c r="W12" s="7" t="s">
        <v>195</v>
      </c>
    </row>
    <row r="13">
      <c r="A13" s="7" t="s">
        <v>197</v>
      </c>
      <c r="B13" s="7" t="s">
        <v>199</v>
      </c>
      <c r="C13" s="7" t="s">
        <v>200</v>
      </c>
      <c r="D13" s="7" t="s">
        <v>192</v>
      </c>
      <c r="E13" s="9"/>
      <c r="F13" s="11">
        <v>13.63806</v>
      </c>
      <c r="G13" s="11">
        <v>100.44765</v>
      </c>
      <c r="H13" s="7" t="s">
        <v>93</v>
      </c>
      <c r="I13" s="13">
        <v>-0.26</v>
      </c>
      <c r="J13" s="13"/>
      <c r="K13" s="13"/>
      <c r="L13" s="13">
        <v>1.0</v>
      </c>
      <c r="M13" s="13">
        <v>1.2</v>
      </c>
      <c r="N13" s="7" t="s">
        <v>52</v>
      </c>
      <c r="O13" s="7" t="s">
        <v>52</v>
      </c>
      <c r="P13" s="9"/>
      <c r="Q13" s="9"/>
      <c r="R13" s="9">
        <v>7297.6</v>
      </c>
      <c r="S13" s="7" t="s">
        <v>54</v>
      </c>
      <c r="T13" s="7" t="b">
        <v>0</v>
      </c>
      <c r="U13" s="7" t="s">
        <v>56</v>
      </c>
      <c r="V13" s="27" t="s">
        <v>57</v>
      </c>
      <c r="W13" s="7" t="s">
        <v>204</v>
      </c>
    </row>
    <row r="14">
      <c r="A14" s="7" t="s">
        <v>206</v>
      </c>
      <c r="B14" s="7" t="s">
        <v>207</v>
      </c>
      <c r="C14" s="7" t="s">
        <v>209</v>
      </c>
      <c r="D14" s="7" t="s">
        <v>162</v>
      </c>
      <c r="E14" s="9"/>
      <c r="F14" s="11">
        <v>13.71484</v>
      </c>
      <c r="G14" s="11">
        <v>100.39596</v>
      </c>
      <c r="H14" s="7" t="s">
        <v>93</v>
      </c>
      <c r="I14" s="13">
        <v>0.64</v>
      </c>
      <c r="J14" s="13"/>
      <c r="K14" s="13"/>
      <c r="L14" s="13">
        <v>0.6</v>
      </c>
      <c r="M14" s="13">
        <v>0.7</v>
      </c>
      <c r="N14" s="7" t="s">
        <v>52</v>
      </c>
      <c r="O14" s="7" t="s">
        <v>52</v>
      </c>
      <c r="P14" s="9"/>
      <c r="Q14" s="9"/>
      <c r="R14" s="9">
        <v>7297.6</v>
      </c>
      <c r="S14" s="7" t="s">
        <v>54</v>
      </c>
      <c r="T14" s="7" t="b">
        <v>0</v>
      </c>
      <c r="U14" s="7" t="s">
        <v>56</v>
      </c>
      <c r="V14" s="27" t="s">
        <v>57</v>
      </c>
      <c r="W14" s="7" t="s">
        <v>213</v>
      </c>
    </row>
    <row r="15">
      <c r="A15" s="7" t="s">
        <v>214</v>
      </c>
      <c r="B15" s="7" t="s">
        <v>215</v>
      </c>
      <c r="C15" s="7" t="s">
        <v>216</v>
      </c>
      <c r="D15" s="7" t="s">
        <v>217</v>
      </c>
      <c r="E15" s="9"/>
      <c r="F15" s="11">
        <v>13.72221</v>
      </c>
      <c r="G15" s="11">
        <v>100.46868</v>
      </c>
      <c r="H15" s="7" t="s">
        <v>93</v>
      </c>
      <c r="I15" s="13">
        <v>0.3</v>
      </c>
      <c r="J15" s="13"/>
      <c r="K15" s="13"/>
      <c r="L15" s="13">
        <v>0.7</v>
      </c>
      <c r="M15" s="13">
        <v>0.8</v>
      </c>
      <c r="N15" s="7" t="s">
        <v>52</v>
      </c>
      <c r="O15" s="7" t="s">
        <v>52</v>
      </c>
      <c r="P15" s="9"/>
      <c r="Q15" s="9"/>
      <c r="R15" s="9">
        <v>7297.6</v>
      </c>
      <c r="S15" s="7" t="s">
        <v>54</v>
      </c>
      <c r="T15" s="7" t="b">
        <v>0</v>
      </c>
      <c r="U15" s="7" t="s">
        <v>56</v>
      </c>
      <c r="V15" s="27" t="s">
        <v>57</v>
      </c>
      <c r="W15" s="7" t="s">
        <v>222</v>
      </c>
    </row>
    <row r="16">
      <c r="A16" s="7" t="s">
        <v>223</v>
      </c>
      <c r="B16" s="7" t="s">
        <v>225</v>
      </c>
      <c r="C16" s="7" t="s">
        <v>226</v>
      </c>
      <c r="D16" s="7" t="s">
        <v>227</v>
      </c>
      <c r="E16" s="9"/>
      <c r="F16" s="11">
        <v>13.76172</v>
      </c>
      <c r="G16" s="11">
        <v>100.61521</v>
      </c>
      <c r="H16" s="7" t="s">
        <v>93</v>
      </c>
      <c r="I16" s="13">
        <v>0.05</v>
      </c>
      <c r="J16" s="13"/>
      <c r="K16" s="13"/>
      <c r="L16" s="13">
        <v>-0.3</v>
      </c>
      <c r="M16" s="13">
        <v>-0.2</v>
      </c>
      <c r="N16" s="7" t="s">
        <v>52</v>
      </c>
      <c r="O16" s="7" t="s">
        <v>52</v>
      </c>
      <c r="P16" s="9"/>
      <c r="Q16" s="9"/>
      <c r="R16" s="9">
        <v>7297.6</v>
      </c>
      <c r="S16" s="7" t="s">
        <v>54</v>
      </c>
      <c r="T16" s="7" t="b">
        <v>0</v>
      </c>
      <c r="U16" s="7" t="s">
        <v>56</v>
      </c>
      <c r="V16" s="27" t="s">
        <v>57</v>
      </c>
      <c r="W16" s="7" t="s">
        <v>232</v>
      </c>
    </row>
    <row r="17">
      <c r="A17" s="7" t="s">
        <v>235</v>
      </c>
      <c r="B17" s="7" t="s">
        <v>236</v>
      </c>
      <c r="C17" s="7" t="s">
        <v>237</v>
      </c>
      <c r="D17" s="7" t="s">
        <v>162</v>
      </c>
      <c r="E17" s="9"/>
      <c r="F17" s="11">
        <v>13.70769</v>
      </c>
      <c r="G17" s="11">
        <v>100.37369</v>
      </c>
      <c r="H17" s="7" t="s">
        <v>239</v>
      </c>
      <c r="I17" s="13">
        <v>0.95</v>
      </c>
      <c r="J17" s="13"/>
      <c r="K17" s="13"/>
      <c r="L17" s="13">
        <v>0.6</v>
      </c>
      <c r="M17" s="13">
        <v>0.7</v>
      </c>
      <c r="N17" s="7" t="s">
        <v>52</v>
      </c>
      <c r="O17" s="7" t="s">
        <v>52</v>
      </c>
      <c r="P17" s="9"/>
      <c r="Q17" s="9"/>
      <c r="R17" s="9">
        <v>7302.6</v>
      </c>
      <c r="S17" s="7" t="s">
        <v>54</v>
      </c>
      <c r="T17" s="7" t="b">
        <v>0</v>
      </c>
      <c r="U17" s="7" t="s">
        <v>56</v>
      </c>
      <c r="V17" s="27" t="s">
        <v>57</v>
      </c>
      <c r="W17" s="7" t="s">
        <v>243</v>
      </c>
    </row>
    <row r="18">
      <c r="A18" s="7" t="s">
        <v>244</v>
      </c>
      <c r="B18" s="7" t="s">
        <v>245</v>
      </c>
      <c r="C18" s="7" t="s">
        <v>246</v>
      </c>
      <c r="D18" s="7" t="s">
        <v>247</v>
      </c>
      <c r="E18" s="9"/>
      <c r="F18" s="11">
        <v>13.72592</v>
      </c>
      <c r="G18" s="11">
        <v>100.54402</v>
      </c>
      <c r="H18" s="7" t="s">
        <v>248</v>
      </c>
      <c r="I18" s="13">
        <v>-1.3</v>
      </c>
      <c r="J18" s="13"/>
      <c r="K18" s="13"/>
      <c r="L18" s="13">
        <v>0.5</v>
      </c>
      <c r="M18" s="13">
        <v>0.6</v>
      </c>
      <c r="N18" s="7" t="s">
        <v>52</v>
      </c>
      <c r="O18" s="7" t="s">
        <v>52</v>
      </c>
      <c r="P18" s="9"/>
      <c r="Q18" s="9"/>
      <c r="R18" s="9">
        <v>995117.6</v>
      </c>
      <c r="S18" s="7" t="s">
        <v>54</v>
      </c>
      <c r="T18" s="7" t="b">
        <v>0</v>
      </c>
      <c r="U18" s="7" t="s">
        <v>56</v>
      </c>
      <c r="V18" s="27" t="s">
        <v>57</v>
      </c>
      <c r="W18" s="7" t="s">
        <v>251</v>
      </c>
    </row>
    <row r="19">
      <c r="A19" s="7" t="s">
        <v>252</v>
      </c>
      <c r="B19" s="7" t="s">
        <v>253</v>
      </c>
      <c r="C19" s="7" t="s">
        <v>254</v>
      </c>
      <c r="D19" s="7" t="s">
        <v>256</v>
      </c>
      <c r="E19" s="9"/>
      <c r="F19" s="11">
        <v>13.76884</v>
      </c>
      <c r="G19" s="11">
        <v>100.59302</v>
      </c>
      <c r="H19" s="7" t="s">
        <v>257</v>
      </c>
      <c r="I19" s="13">
        <v>-0.42</v>
      </c>
      <c r="J19" s="13"/>
      <c r="K19" s="13"/>
      <c r="L19" s="13">
        <v>0.1</v>
      </c>
      <c r="M19" s="13">
        <v>0.2</v>
      </c>
      <c r="N19" s="7" t="s">
        <v>52</v>
      </c>
      <c r="O19" s="7" t="s">
        <v>52</v>
      </c>
      <c r="P19" s="9"/>
      <c r="Q19" s="9"/>
      <c r="R19" s="9">
        <v>2102487.6</v>
      </c>
      <c r="S19" s="7" t="s">
        <v>54</v>
      </c>
      <c r="T19" s="7" t="b">
        <v>0</v>
      </c>
      <c r="U19" s="7" t="s">
        <v>56</v>
      </c>
      <c r="V19" s="27" t="s">
        <v>57</v>
      </c>
      <c r="W19" s="7" t="s">
        <v>261</v>
      </c>
    </row>
    <row r="20">
      <c r="A20" s="7" t="s">
        <v>263</v>
      </c>
      <c r="B20" s="7" t="s">
        <v>264</v>
      </c>
      <c r="C20" s="7" t="s">
        <v>265</v>
      </c>
      <c r="D20" s="7" t="s">
        <v>266</v>
      </c>
      <c r="E20" s="9"/>
      <c r="F20" s="11">
        <v>13.849379</v>
      </c>
      <c r="G20" s="11">
        <v>100.542947</v>
      </c>
      <c r="H20" s="7" t="s">
        <v>267</v>
      </c>
      <c r="I20" s="13">
        <v>0.186</v>
      </c>
      <c r="J20" s="13"/>
      <c r="K20" s="13"/>
      <c r="L20" s="13"/>
      <c r="M20" s="13"/>
      <c r="N20" s="7" t="s">
        <v>52</v>
      </c>
      <c r="O20" s="7" t="s">
        <v>52</v>
      </c>
      <c r="P20" s="9"/>
      <c r="Q20" s="9"/>
      <c r="R20" s="9">
        <v>3564019.6</v>
      </c>
      <c r="S20" s="7" t="s">
        <v>54</v>
      </c>
      <c r="T20" s="7" t="b">
        <v>0</v>
      </c>
      <c r="U20" s="7" t="s">
        <v>56</v>
      </c>
      <c r="V20" s="27" t="s">
        <v>57</v>
      </c>
      <c r="W20" s="7" t="s">
        <v>269</v>
      </c>
    </row>
    <row r="21">
      <c r="A21" s="7" t="s">
        <v>271</v>
      </c>
      <c r="B21" s="7" t="s">
        <v>272</v>
      </c>
      <c r="C21" s="7" t="s">
        <v>273</v>
      </c>
      <c r="D21" s="7" t="s">
        <v>274</v>
      </c>
      <c r="E21" s="9"/>
      <c r="F21" s="11">
        <v>13.832213</v>
      </c>
      <c r="G21" s="11">
        <v>100.589696</v>
      </c>
      <c r="H21" s="7" t="s">
        <v>267</v>
      </c>
      <c r="I21" s="13">
        <v>-0.157</v>
      </c>
      <c r="J21" s="13"/>
      <c r="K21" s="13"/>
      <c r="L21" s="13"/>
      <c r="M21" s="13"/>
      <c r="N21" s="7" t="s">
        <v>52</v>
      </c>
      <c r="O21" s="7" t="s">
        <v>52</v>
      </c>
      <c r="P21" s="9"/>
      <c r="Q21" s="9"/>
      <c r="R21" s="9">
        <v>3564019.6</v>
      </c>
      <c r="S21" s="7" t="s">
        <v>54</v>
      </c>
      <c r="T21" s="7" t="b">
        <v>0</v>
      </c>
      <c r="U21" s="7" t="s">
        <v>56</v>
      </c>
      <c r="V21" s="27" t="s">
        <v>57</v>
      </c>
      <c r="W21" s="7" t="s">
        <v>277</v>
      </c>
    </row>
    <row r="22">
      <c r="A22" s="7" t="s">
        <v>279</v>
      </c>
      <c r="B22" s="7" t="s">
        <v>281</v>
      </c>
      <c r="C22" s="7" t="s">
        <v>282</v>
      </c>
      <c r="D22" s="7" t="s">
        <v>256</v>
      </c>
      <c r="E22" s="9"/>
      <c r="F22" s="11">
        <v>13.759541</v>
      </c>
      <c r="G22" s="11">
        <v>100.596361</v>
      </c>
      <c r="H22" s="7" t="s">
        <v>267</v>
      </c>
      <c r="I22" s="13">
        <v>-0.301</v>
      </c>
      <c r="J22" s="13"/>
      <c r="K22" s="13"/>
      <c r="L22" s="13"/>
      <c r="M22" s="13"/>
      <c r="N22" s="7" t="s">
        <v>52</v>
      </c>
      <c r="O22" s="7" t="s">
        <v>52</v>
      </c>
      <c r="P22" s="9"/>
      <c r="Q22" s="9"/>
      <c r="R22" s="9">
        <v>3564019.6</v>
      </c>
      <c r="S22" s="7" t="s">
        <v>54</v>
      </c>
      <c r="T22" s="7" t="b">
        <v>0</v>
      </c>
      <c r="U22" s="7" t="s">
        <v>56</v>
      </c>
      <c r="V22" s="27" t="s">
        <v>57</v>
      </c>
      <c r="W22" s="7" t="s">
        <v>285</v>
      </c>
    </row>
    <row r="23">
      <c r="A23" s="7" t="s">
        <v>287</v>
      </c>
      <c r="B23" s="7" t="s">
        <v>288</v>
      </c>
      <c r="C23" s="7" t="s">
        <v>289</v>
      </c>
      <c r="D23" s="7" t="s">
        <v>274</v>
      </c>
      <c r="E23" s="9"/>
      <c r="F23" s="11">
        <v>13.850711</v>
      </c>
      <c r="G23" s="11">
        <v>100.560876</v>
      </c>
      <c r="H23" s="7" t="s">
        <v>267</v>
      </c>
      <c r="I23" s="13">
        <v>-0.031</v>
      </c>
      <c r="J23" s="13"/>
      <c r="K23" s="13"/>
      <c r="L23" s="13"/>
      <c r="M23" s="13"/>
      <c r="N23" s="7" t="s">
        <v>52</v>
      </c>
      <c r="O23" s="7" t="s">
        <v>52</v>
      </c>
      <c r="P23" s="9"/>
      <c r="Q23" s="9"/>
      <c r="R23" s="9">
        <v>3564019.6</v>
      </c>
      <c r="S23" s="7" t="s">
        <v>54</v>
      </c>
      <c r="T23" s="7" t="b">
        <v>0</v>
      </c>
      <c r="U23" s="7" t="s">
        <v>56</v>
      </c>
      <c r="V23" s="27" t="s">
        <v>57</v>
      </c>
      <c r="W23" s="7" t="s">
        <v>293</v>
      </c>
    </row>
    <row r="24">
      <c r="A24" s="7" t="s">
        <v>294</v>
      </c>
      <c r="B24" s="7" t="s">
        <v>295</v>
      </c>
      <c r="C24" s="7" t="s">
        <v>297</v>
      </c>
      <c r="D24" s="7" t="s">
        <v>152</v>
      </c>
      <c r="E24" s="9"/>
      <c r="F24" s="11">
        <v>13.780512</v>
      </c>
      <c r="G24" s="11">
        <v>100.673845</v>
      </c>
      <c r="H24" s="7" t="s">
        <v>267</v>
      </c>
      <c r="I24" s="13">
        <v>-0.343</v>
      </c>
      <c r="J24" s="13"/>
      <c r="K24" s="13"/>
      <c r="L24" s="13"/>
      <c r="M24" s="13"/>
      <c r="N24" s="7" t="s">
        <v>52</v>
      </c>
      <c r="O24" s="7" t="s">
        <v>52</v>
      </c>
      <c r="P24" s="9"/>
      <c r="Q24" s="9"/>
      <c r="R24" s="9">
        <v>3564019.6</v>
      </c>
      <c r="S24" s="7" t="s">
        <v>54</v>
      </c>
      <c r="T24" s="7" t="b">
        <v>0</v>
      </c>
      <c r="U24" s="7" t="s">
        <v>56</v>
      </c>
      <c r="V24" s="27" t="s">
        <v>57</v>
      </c>
      <c r="W24" s="7" t="s">
        <v>303</v>
      </c>
    </row>
    <row r="25">
      <c r="A25" s="7" t="s">
        <v>305</v>
      </c>
      <c r="B25" s="7" t="s">
        <v>306</v>
      </c>
      <c r="C25" s="7" t="s">
        <v>307</v>
      </c>
      <c r="D25" s="7" t="s">
        <v>308</v>
      </c>
      <c r="E25" s="9"/>
      <c r="F25" s="11">
        <v>13.72294</v>
      </c>
      <c r="G25" s="11">
        <v>100.75193</v>
      </c>
      <c r="H25" s="7" t="s">
        <v>309</v>
      </c>
      <c r="I25" s="13">
        <v>-0.37</v>
      </c>
      <c r="J25" s="13"/>
      <c r="K25" s="13"/>
      <c r="L25" s="13">
        <v>0.5</v>
      </c>
      <c r="M25" s="13">
        <v>0.6</v>
      </c>
      <c r="N25" s="7" t="s">
        <v>52</v>
      </c>
      <c r="O25" s="7" t="s">
        <v>52</v>
      </c>
      <c r="P25" s="9"/>
      <c r="Q25" s="9"/>
      <c r="R25" s="9">
        <v>888552.6</v>
      </c>
      <c r="S25" s="7" t="s">
        <v>54</v>
      </c>
      <c r="T25" s="7" t="b">
        <v>0</v>
      </c>
      <c r="U25" s="7" t="s">
        <v>56</v>
      </c>
      <c r="V25" s="27" t="s">
        <v>57</v>
      </c>
      <c r="W25" s="7" t="s">
        <v>313</v>
      </c>
    </row>
    <row r="26">
      <c r="A26" s="7" t="s">
        <v>314</v>
      </c>
      <c r="B26" s="7" t="s">
        <v>315</v>
      </c>
      <c r="C26" s="7" t="s">
        <v>316</v>
      </c>
      <c r="D26" s="7" t="s">
        <v>317</v>
      </c>
      <c r="E26" s="9"/>
      <c r="F26" s="11">
        <v>13.80009</v>
      </c>
      <c r="G26" s="11">
        <v>100.5184</v>
      </c>
      <c r="H26" s="7" t="s">
        <v>93</v>
      </c>
      <c r="I26" s="13">
        <v>-0.79</v>
      </c>
      <c r="J26" s="13"/>
      <c r="K26" s="13"/>
      <c r="L26" s="13">
        <v>3.3</v>
      </c>
      <c r="M26" s="13">
        <v>3.5</v>
      </c>
      <c r="N26" s="7" t="s">
        <v>52</v>
      </c>
      <c r="O26" s="7" t="s">
        <v>52</v>
      </c>
      <c r="P26" s="9"/>
      <c r="Q26" s="9"/>
      <c r="R26" s="9">
        <v>7297.6</v>
      </c>
      <c r="S26" s="7" t="s">
        <v>54</v>
      </c>
      <c r="T26" s="7" t="b">
        <v>0</v>
      </c>
      <c r="U26" s="7" t="s">
        <v>56</v>
      </c>
      <c r="V26" s="27" t="s">
        <v>57</v>
      </c>
      <c r="W26" s="7" t="s">
        <v>319</v>
      </c>
    </row>
    <row r="27">
      <c r="A27" s="7" t="s">
        <v>320</v>
      </c>
      <c r="B27" s="7" t="s">
        <v>321</v>
      </c>
      <c r="C27" s="7" t="s">
        <v>322</v>
      </c>
      <c r="D27" s="7" t="s">
        <v>323</v>
      </c>
      <c r="E27" s="9"/>
      <c r="F27" s="11">
        <v>13.88457</v>
      </c>
      <c r="G27" s="11">
        <v>100.56277</v>
      </c>
      <c r="H27" s="7" t="s">
        <v>324</v>
      </c>
      <c r="I27" s="13">
        <v>-0.8</v>
      </c>
      <c r="J27" s="13"/>
      <c r="K27" s="13"/>
      <c r="L27" s="13">
        <v>0.7</v>
      </c>
      <c r="M27" s="13">
        <v>0.8</v>
      </c>
      <c r="N27" s="7" t="s">
        <v>52</v>
      </c>
      <c r="O27" s="7" t="s">
        <v>52</v>
      </c>
      <c r="P27" s="9"/>
      <c r="Q27" s="9"/>
      <c r="R27" s="9">
        <v>9997.6</v>
      </c>
      <c r="S27" s="7" t="s">
        <v>54</v>
      </c>
      <c r="T27" s="7" t="b">
        <v>0</v>
      </c>
      <c r="U27" s="7" t="s">
        <v>56</v>
      </c>
      <c r="V27" s="27" t="s">
        <v>57</v>
      </c>
      <c r="W27" s="7" t="s">
        <v>326</v>
      </c>
    </row>
    <row r="28">
      <c r="A28" s="7" t="s">
        <v>327</v>
      </c>
      <c r="B28" s="7" t="s">
        <v>328</v>
      </c>
      <c r="C28" s="7" t="s">
        <v>329</v>
      </c>
      <c r="D28" s="7" t="s">
        <v>256</v>
      </c>
      <c r="E28" s="9"/>
      <c r="F28" s="11">
        <v>13.80293</v>
      </c>
      <c r="G28" s="11">
        <v>100.58822</v>
      </c>
      <c r="H28" s="7" t="s">
        <v>330</v>
      </c>
      <c r="I28" s="13">
        <v>0.95</v>
      </c>
      <c r="J28" s="13"/>
      <c r="K28" s="13"/>
      <c r="L28" s="13">
        <v>0.4</v>
      </c>
      <c r="M28" s="13">
        <v>0.55</v>
      </c>
      <c r="N28" s="7" t="s">
        <v>52</v>
      </c>
      <c r="O28" s="7" t="s">
        <v>52</v>
      </c>
      <c r="P28" s="9"/>
      <c r="Q28" s="9"/>
      <c r="R28" s="9">
        <v>10962.6</v>
      </c>
      <c r="S28" s="7" t="s">
        <v>54</v>
      </c>
      <c r="T28" s="7" t="b">
        <v>0</v>
      </c>
      <c r="U28" s="7" t="s">
        <v>56</v>
      </c>
      <c r="V28" s="27" t="s">
        <v>57</v>
      </c>
      <c r="W28" s="7" t="s">
        <v>332</v>
      </c>
    </row>
    <row r="29">
      <c r="A29" s="7" t="s">
        <v>333</v>
      </c>
      <c r="B29" s="7" t="s">
        <v>334</v>
      </c>
      <c r="C29" s="7" t="s">
        <v>335</v>
      </c>
      <c r="D29" s="7" t="s">
        <v>92</v>
      </c>
      <c r="E29" s="9"/>
      <c r="F29" s="11">
        <v>13.7972</v>
      </c>
      <c r="G29" s="11">
        <v>100.70458</v>
      </c>
      <c r="H29" s="7" t="s">
        <v>93</v>
      </c>
      <c r="I29" s="13">
        <v>0.93</v>
      </c>
      <c r="J29" s="13"/>
      <c r="K29" s="13"/>
      <c r="L29" s="13">
        <v>0.4</v>
      </c>
      <c r="M29" s="13">
        <v>0.6</v>
      </c>
      <c r="N29" s="7" t="s">
        <v>52</v>
      </c>
      <c r="O29" s="7" t="s">
        <v>52</v>
      </c>
      <c r="P29" s="9"/>
      <c r="Q29" s="9"/>
      <c r="R29" s="9">
        <v>7297.6</v>
      </c>
      <c r="S29" s="7" t="s">
        <v>54</v>
      </c>
      <c r="T29" s="7" t="b">
        <v>0</v>
      </c>
      <c r="U29" s="7" t="s">
        <v>56</v>
      </c>
      <c r="V29" s="27" t="s">
        <v>57</v>
      </c>
      <c r="W29" s="7" t="s">
        <v>337</v>
      </c>
    </row>
    <row r="30">
      <c r="A30" s="7" t="s">
        <v>338</v>
      </c>
      <c r="B30" s="7" t="s">
        <v>339</v>
      </c>
      <c r="C30" s="7" t="s">
        <v>340</v>
      </c>
      <c r="D30" s="7" t="s">
        <v>341</v>
      </c>
      <c r="E30" s="9"/>
      <c r="F30" s="11">
        <v>13.6594</v>
      </c>
      <c r="G30" s="11">
        <v>100.64935</v>
      </c>
      <c r="H30" s="7" t="s">
        <v>93</v>
      </c>
      <c r="I30" s="13">
        <v>0.06</v>
      </c>
      <c r="J30" s="13"/>
      <c r="K30" s="13"/>
      <c r="L30" s="13"/>
      <c r="M30" s="13"/>
      <c r="N30" s="7" t="s">
        <v>52</v>
      </c>
      <c r="O30" s="7" t="s">
        <v>52</v>
      </c>
      <c r="P30" s="9"/>
      <c r="Q30" s="9"/>
      <c r="R30" s="9">
        <v>7297.6</v>
      </c>
      <c r="S30" s="7" t="s">
        <v>54</v>
      </c>
      <c r="T30" s="7" t="b">
        <v>0</v>
      </c>
      <c r="U30" s="7" t="s">
        <v>56</v>
      </c>
      <c r="V30" s="27" t="s">
        <v>57</v>
      </c>
      <c r="W30" s="7" t="s">
        <v>343</v>
      </c>
    </row>
    <row r="31">
      <c r="A31" s="7" t="s">
        <v>344</v>
      </c>
      <c r="B31" s="7" t="s">
        <v>345</v>
      </c>
      <c r="C31" s="7" t="s">
        <v>346</v>
      </c>
      <c r="D31" s="7" t="s">
        <v>274</v>
      </c>
      <c r="E31" s="9"/>
      <c r="F31" s="11">
        <v>13.83224</v>
      </c>
      <c r="G31" s="11">
        <v>100.58974</v>
      </c>
      <c r="H31" s="7" t="s">
        <v>93</v>
      </c>
      <c r="I31" s="13">
        <v>1.04</v>
      </c>
      <c r="J31" s="13"/>
      <c r="K31" s="13"/>
      <c r="L31" s="13">
        <v>0.6</v>
      </c>
      <c r="M31" s="13">
        <v>0.75</v>
      </c>
      <c r="N31" s="7" t="s">
        <v>52</v>
      </c>
      <c r="O31" s="7" t="s">
        <v>52</v>
      </c>
      <c r="P31" s="9"/>
      <c r="Q31" s="9"/>
      <c r="R31" s="9">
        <v>7297.6</v>
      </c>
      <c r="S31" s="7" t="s">
        <v>54</v>
      </c>
      <c r="T31" s="7" t="b">
        <v>0</v>
      </c>
      <c r="U31" s="7" t="s">
        <v>56</v>
      </c>
      <c r="V31" s="27" t="s">
        <v>57</v>
      </c>
      <c r="W31" s="7" t="s">
        <v>351</v>
      </c>
    </row>
    <row r="32">
      <c r="A32" s="7" t="s">
        <v>352</v>
      </c>
      <c r="B32" s="7" t="s">
        <v>353</v>
      </c>
      <c r="C32" s="7" t="s">
        <v>354</v>
      </c>
      <c r="D32" s="7" t="s">
        <v>227</v>
      </c>
      <c r="E32" s="9"/>
      <c r="F32" s="11">
        <v>13.77609</v>
      </c>
      <c r="G32" s="11">
        <v>100.62816</v>
      </c>
      <c r="H32" s="7" t="s">
        <v>93</v>
      </c>
      <c r="I32" s="13">
        <v>0.64</v>
      </c>
      <c r="J32" s="13"/>
      <c r="K32" s="13"/>
      <c r="L32" s="13">
        <v>-0.2</v>
      </c>
      <c r="M32" s="13">
        <v>0.0</v>
      </c>
      <c r="N32" s="7" t="s">
        <v>52</v>
      </c>
      <c r="O32" s="7" t="s">
        <v>52</v>
      </c>
      <c r="P32" s="9"/>
      <c r="Q32" s="9"/>
      <c r="R32" s="9">
        <v>7297.6</v>
      </c>
      <c r="S32" s="7" t="s">
        <v>54</v>
      </c>
      <c r="T32" s="7" t="b">
        <v>0</v>
      </c>
      <c r="U32" s="7" t="s">
        <v>56</v>
      </c>
      <c r="V32" s="27" t="s">
        <v>57</v>
      </c>
      <c r="W32" s="7" t="s">
        <v>356</v>
      </c>
    </row>
    <row r="33">
      <c r="A33" s="7" t="s">
        <v>357</v>
      </c>
      <c r="B33" s="7" t="s">
        <v>358</v>
      </c>
      <c r="C33" s="7" t="s">
        <v>359</v>
      </c>
      <c r="D33" s="7" t="s">
        <v>360</v>
      </c>
      <c r="E33" s="9"/>
      <c r="F33" s="11">
        <v>13.79619</v>
      </c>
      <c r="G33" s="11">
        <v>100.55035</v>
      </c>
      <c r="H33" s="7" t="s">
        <v>93</v>
      </c>
      <c r="I33" s="13">
        <v>-0.98</v>
      </c>
      <c r="J33" s="13"/>
      <c r="K33" s="13"/>
      <c r="L33" s="13">
        <v>0.4</v>
      </c>
      <c r="M33" s="13">
        <v>0.5</v>
      </c>
      <c r="N33" s="7" t="s">
        <v>52</v>
      </c>
      <c r="O33" s="7" t="s">
        <v>52</v>
      </c>
      <c r="P33" s="9"/>
      <c r="Q33" s="9"/>
      <c r="R33" s="9">
        <v>7297.6</v>
      </c>
      <c r="S33" s="7" t="s">
        <v>54</v>
      </c>
      <c r="T33" s="7" t="b">
        <v>0</v>
      </c>
      <c r="U33" s="7" t="s">
        <v>56</v>
      </c>
      <c r="V33" s="27" t="s">
        <v>57</v>
      </c>
      <c r="W33" s="7" t="s">
        <v>362</v>
      </c>
    </row>
    <row r="34">
      <c r="A34" s="7" t="s">
        <v>363</v>
      </c>
      <c r="B34" s="7" t="s">
        <v>364</v>
      </c>
      <c r="C34" s="7" t="s">
        <v>365</v>
      </c>
      <c r="D34" s="7" t="s">
        <v>366</v>
      </c>
      <c r="E34" s="9"/>
      <c r="F34" s="11">
        <v>13.68206</v>
      </c>
      <c r="G34" s="11">
        <v>100.59226</v>
      </c>
      <c r="H34" s="7" t="s">
        <v>93</v>
      </c>
      <c r="I34" s="13">
        <v>-1.28</v>
      </c>
      <c r="J34" s="13"/>
      <c r="K34" s="13"/>
      <c r="L34" s="13">
        <v>2.6</v>
      </c>
      <c r="M34" s="13">
        <v>2.8</v>
      </c>
      <c r="N34" s="7" t="s">
        <v>52</v>
      </c>
      <c r="O34" s="7" t="s">
        <v>52</v>
      </c>
      <c r="P34" s="9"/>
      <c r="Q34" s="9"/>
      <c r="R34" s="9">
        <v>7297.6</v>
      </c>
      <c r="S34" s="7" t="s">
        <v>54</v>
      </c>
      <c r="T34" s="7" t="b">
        <v>0</v>
      </c>
      <c r="U34" s="7" t="s">
        <v>56</v>
      </c>
      <c r="V34" s="27" t="s">
        <v>57</v>
      </c>
      <c r="W34" s="7" t="s">
        <v>367</v>
      </c>
    </row>
    <row r="35">
      <c r="A35" s="7" t="s">
        <v>369</v>
      </c>
      <c r="B35" s="7" t="s">
        <v>370</v>
      </c>
      <c r="C35" s="7" t="s">
        <v>371</v>
      </c>
      <c r="D35" s="7" t="s">
        <v>372</v>
      </c>
      <c r="E35" s="9"/>
      <c r="F35" s="11">
        <v>13.74261</v>
      </c>
      <c r="G35" s="11">
        <v>100.49492</v>
      </c>
      <c r="H35" s="7" t="s">
        <v>93</v>
      </c>
      <c r="I35" s="13">
        <v>-0.41</v>
      </c>
      <c r="J35" s="13"/>
      <c r="K35" s="13"/>
      <c r="L35" s="13">
        <v>0.6</v>
      </c>
      <c r="M35" s="13">
        <v>0.7</v>
      </c>
      <c r="N35" s="7" t="s">
        <v>52</v>
      </c>
      <c r="O35" s="7" t="s">
        <v>52</v>
      </c>
      <c r="P35" s="9"/>
      <c r="Q35" s="9"/>
      <c r="R35" s="9">
        <v>7297.6</v>
      </c>
      <c r="S35" s="7" t="s">
        <v>54</v>
      </c>
      <c r="T35" s="7" t="b">
        <v>0</v>
      </c>
      <c r="U35" s="7" t="s">
        <v>56</v>
      </c>
      <c r="V35" s="27" t="s">
        <v>57</v>
      </c>
      <c r="W35" s="7" t="s">
        <v>374</v>
      </c>
    </row>
    <row r="36">
      <c r="A36" s="7" t="s">
        <v>375</v>
      </c>
      <c r="B36" s="7" t="s">
        <v>376</v>
      </c>
      <c r="C36" s="7" t="s">
        <v>377</v>
      </c>
      <c r="D36" s="7" t="s">
        <v>323</v>
      </c>
      <c r="E36" s="9"/>
      <c r="F36" s="11">
        <v>13.89975</v>
      </c>
      <c r="G36" s="11">
        <v>100.58673</v>
      </c>
      <c r="H36" s="7" t="s">
        <v>378</v>
      </c>
      <c r="I36" s="13">
        <v>0.0</v>
      </c>
      <c r="J36" s="13"/>
      <c r="K36" s="13"/>
      <c r="L36" s="13">
        <v>0.6</v>
      </c>
      <c r="M36" s="13">
        <v>0.7</v>
      </c>
      <c r="N36" s="7" t="s">
        <v>52</v>
      </c>
      <c r="O36" s="7" t="s">
        <v>52</v>
      </c>
      <c r="P36" s="9"/>
      <c r="Q36" s="9"/>
      <c r="R36" s="9">
        <v>498262.6</v>
      </c>
      <c r="S36" s="7" t="s">
        <v>54</v>
      </c>
      <c r="T36" s="7" t="b">
        <v>0</v>
      </c>
      <c r="U36" s="7" t="s">
        <v>56</v>
      </c>
      <c r="V36" s="27" t="s">
        <v>57</v>
      </c>
      <c r="W36" s="7" t="s">
        <v>380</v>
      </c>
    </row>
    <row r="37">
      <c r="A37" s="7" t="s">
        <v>381</v>
      </c>
      <c r="B37" s="7" t="s">
        <v>382</v>
      </c>
      <c r="C37" s="7" t="s">
        <v>383</v>
      </c>
      <c r="D37" s="7" t="s">
        <v>384</v>
      </c>
      <c r="E37" s="9"/>
      <c r="F37" s="11">
        <v>13.938917</v>
      </c>
      <c r="G37" s="11">
        <v>100.606452</v>
      </c>
      <c r="H37" s="7" t="s">
        <v>267</v>
      </c>
      <c r="I37" s="13">
        <v>0.288</v>
      </c>
      <c r="J37" s="13"/>
      <c r="K37" s="13"/>
      <c r="L37" s="13"/>
      <c r="M37" s="13"/>
      <c r="N37" s="7" t="s">
        <v>52</v>
      </c>
      <c r="O37" s="7" t="s">
        <v>52</v>
      </c>
      <c r="P37" s="9"/>
      <c r="Q37" s="9"/>
      <c r="R37" s="9">
        <v>3564019.6</v>
      </c>
      <c r="S37" s="7" t="s">
        <v>54</v>
      </c>
      <c r="T37" s="7" t="b">
        <v>0</v>
      </c>
      <c r="U37" s="7" t="s">
        <v>56</v>
      </c>
      <c r="V37" s="27" t="s">
        <v>57</v>
      </c>
      <c r="W37" s="7" t="s">
        <v>386</v>
      </c>
    </row>
    <row r="38">
      <c r="A38" s="7" t="s">
        <v>387</v>
      </c>
      <c r="B38" s="7" t="s">
        <v>388</v>
      </c>
      <c r="C38" s="7" t="s">
        <v>389</v>
      </c>
      <c r="D38" s="7" t="s">
        <v>372</v>
      </c>
      <c r="E38" s="9"/>
      <c r="F38" s="11">
        <v>13.7422</v>
      </c>
      <c r="G38" s="11">
        <v>100.49464</v>
      </c>
      <c r="H38" s="7" t="s">
        <v>267</v>
      </c>
      <c r="I38" s="13">
        <v>0.426</v>
      </c>
      <c r="J38" s="13"/>
      <c r="K38" s="13"/>
      <c r="L38" s="13"/>
      <c r="M38" s="13"/>
      <c r="N38" s="7" t="s">
        <v>52</v>
      </c>
      <c r="O38" s="7" t="s">
        <v>52</v>
      </c>
      <c r="P38" s="9"/>
      <c r="Q38" s="9"/>
      <c r="R38" s="9">
        <v>3564019.6</v>
      </c>
      <c r="S38" s="7" t="s">
        <v>54</v>
      </c>
      <c r="T38" s="7" t="b">
        <v>0</v>
      </c>
      <c r="U38" s="7" t="s">
        <v>56</v>
      </c>
      <c r="V38" s="27" t="s">
        <v>57</v>
      </c>
      <c r="W38" s="7" t="s">
        <v>392</v>
      </c>
    </row>
    <row r="39">
      <c r="A39" s="7" t="s">
        <v>393</v>
      </c>
      <c r="B39" s="7" t="s">
        <v>394</v>
      </c>
      <c r="C39" s="7" t="s">
        <v>395</v>
      </c>
      <c r="D39" s="7" t="s">
        <v>182</v>
      </c>
      <c r="E39" s="9"/>
      <c r="F39" s="11">
        <v>13.752819</v>
      </c>
      <c r="G39" s="11">
        <v>100.517188</v>
      </c>
      <c r="H39" s="7" t="s">
        <v>267</v>
      </c>
      <c r="I39" s="13">
        <v>-0.164</v>
      </c>
      <c r="J39" s="13"/>
      <c r="K39" s="13"/>
      <c r="L39" s="13"/>
      <c r="M39" s="13"/>
      <c r="N39" s="7" t="s">
        <v>52</v>
      </c>
      <c r="O39" s="7" t="s">
        <v>52</v>
      </c>
      <c r="P39" s="9"/>
      <c r="Q39" s="9"/>
      <c r="R39" s="9">
        <v>3564019.6</v>
      </c>
      <c r="S39" s="7" t="s">
        <v>54</v>
      </c>
      <c r="T39" s="7" t="b">
        <v>0</v>
      </c>
      <c r="U39" s="7" t="s">
        <v>56</v>
      </c>
      <c r="V39" s="27" t="s">
        <v>57</v>
      </c>
      <c r="W39" s="7" t="s">
        <v>398</v>
      </c>
    </row>
    <row r="40">
      <c r="A40" s="7" t="s">
        <v>399</v>
      </c>
      <c r="B40" s="7" t="s">
        <v>400</v>
      </c>
      <c r="C40" s="7" t="s">
        <v>401</v>
      </c>
      <c r="D40" s="7" t="s">
        <v>192</v>
      </c>
      <c r="E40" s="9"/>
      <c r="F40" s="11">
        <v>13.528701</v>
      </c>
      <c r="G40" s="11">
        <v>100.417622</v>
      </c>
      <c r="H40" s="7" t="s">
        <v>267</v>
      </c>
      <c r="I40" s="13">
        <v>0.414</v>
      </c>
      <c r="J40" s="13"/>
      <c r="K40" s="13"/>
      <c r="L40" s="13"/>
      <c r="M40" s="13"/>
      <c r="N40" s="7" t="s">
        <v>52</v>
      </c>
      <c r="O40" s="7" t="s">
        <v>52</v>
      </c>
      <c r="P40" s="9"/>
      <c r="Q40" s="9"/>
      <c r="R40" s="9">
        <v>3564019.6</v>
      </c>
      <c r="S40" s="7" t="s">
        <v>54</v>
      </c>
      <c r="T40" s="7" t="b">
        <v>0</v>
      </c>
      <c r="U40" s="7" t="s">
        <v>56</v>
      </c>
      <c r="V40" s="27" t="s">
        <v>57</v>
      </c>
      <c r="W40" s="7" t="s">
        <v>403</v>
      </c>
    </row>
    <row r="41">
      <c r="A41" s="7" t="s">
        <v>404</v>
      </c>
      <c r="B41" s="7" t="s">
        <v>405</v>
      </c>
      <c r="C41" s="7" t="s">
        <v>406</v>
      </c>
      <c r="D41" s="7" t="s">
        <v>407</v>
      </c>
      <c r="E41" s="9"/>
      <c r="F41" s="11">
        <v>13.765552</v>
      </c>
      <c r="G41" s="11">
        <v>100.539566</v>
      </c>
      <c r="H41" s="7" t="s">
        <v>267</v>
      </c>
      <c r="I41" s="13">
        <v>-0.512</v>
      </c>
      <c r="J41" s="13"/>
      <c r="K41" s="13"/>
      <c r="L41" s="13"/>
      <c r="M41" s="13"/>
      <c r="N41" s="7" t="s">
        <v>52</v>
      </c>
      <c r="O41" s="7" t="s">
        <v>52</v>
      </c>
      <c r="P41" s="9"/>
      <c r="Q41" s="9"/>
      <c r="R41" s="9">
        <v>3564019.6</v>
      </c>
      <c r="S41" s="7" t="s">
        <v>54</v>
      </c>
      <c r="T41" s="7" t="b">
        <v>0</v>
      </c>
      <c r="U41" s="7" t="s">
        <v>56</v>
      </c>
      <c r="V41" s="27" t="s">
        <v>57</v>
      </c>
      <c r="W41" s="7" t="s">
        <v>409</v>
      </c>
    </row>
    <row r="42">
      <c r="A42" s="7" t="s">
        <v>410</v>
      </c>
      <c r="B42" s="7" t="s">
        <v>411</v>
      </c>
      <c r="C42" s="7" t="s">
        <v>412</v>
      </c>
      <c r="D42" s="7" t="s">
        <v>413</v>
      </c>
      <c r="E42" s="9"/>
      <c r="F42" s="11">
        <v>13.794856</v>
      </c>
      <c r="G42" s="11">
        <v>100.561336</v>
      </c>
      <c r="H42" s="7" t="s">
        <v>267</v>
      </c>
      <c r="I42" s="13">
        <v>0.0</v>
      </c>
      <c r="J42" s="13"/>
      <c r="K42" s="13"/>
      <c r="L42" s="13"/>
      <c r="M42" s="13"/>
      <c r="N42" s="7" t="s">
        <v>52</v>
      </c>
      <c r="O42" s="7" t="s">
        <v>52</v>
      </c>
      <c r="P42" s="9"/>
      <c r="Q42" s="9"/>
      <c r="R42" s="9">
        <v>3564019.6</v>
      </c>
      <c r="S42" s="7" t="s">
        <v>54</v>
      </c>
      <c r="T42" s="7" t="b">
        <v>0</v>
      </c>
      <c r="U42" s="7" t="s">
        <v>56</v>
      </c>
      <c r="V42" s="27" t="s">
        <v>57</v>
      </c>
      <c r="W42" s="7" t="s">
        <v>414</v>
      </c>
    </row>
    <row r="43">
      <c r="A43" s="7" t="s">
        <v>415</v>
      </c>
      <c r="B43" s="7" t="s">
        <v>416</v>
      </c>
      <c r="C43" s="7" t="s">
        <v>418</v>
      </c>
      <c r="D43" s="7" t="s">
        <v>274</v>
      </c>
      <c r="E43" s="9"/>
      <c r="F43" s="11">
        <v>13.855781</v>
      </c>
      <c r="G43" s="11">
        <v>100.566765</v>
      </c>
      <c r="H43" s="7" t="s">
        <v>267</v>
      </c>
      <c r="I43" s="13">
        <v>-5.592</v>
      </c>
      <c r="J43" s="13"/>
      <c r="K43" s="13"/>
      <c r="L43" s="13"/>
      <c r="M43" s="13"/>
      <c r="N43" s="7" t="s">
        <v>52</v>
      </c>
      <c r="O43" s="7" t="s">
        <v>52</v>
      </c>
      <c r="P43" s="9"/>
      <c r="Q43" s="9"/>
      <c r="R43" s="9">
        <v>3564019.6</v>
      </c>
      <c r="S43" s="7" t="s">
        <v>54</v>
      </c>
      <c r="T43" s="7" t="b">
        <v>0</v>
      </c>
      <c r="U43" s="7" t="s">
        <v>56</v>
      </c>
      <c r="V43" s="27" t="s">
        <v>57</v>
      </c>
      <c r="W43" s="7" t="s">
        <v>420</v>
      </c>
    </row>
    <row r="44">
      <c r="A44" s="7" t="s">
        <v>421</v>
      </c>
      <c r="B44" s="7" t="s">
        <v>422</v>
      </c>
      <c r="C44" s="7" t="s">
        <v>423</v>
      </c>
      <c r="D44" s="7" t="s">
        <v>413</v>
      </c>
      <c r="E44" s="9"/>
      <c r="F44" s="11">
        <v>13.756143</v>
      </c>
      <c r="G44" s="11">
        <v>100.55246</v>
      </c>
      <c r="H44" s="7" t="s">
        <v>267</v>
      </c>
      <c r="I44" s="13">
        <v>-0.887</v>
      </c>
      <c r="J44" s="13"/>
      <c r="K44" s="13"/>
      <c r="L44" s="13"/>
      <c r="M44" s="13"/>
      <c r="N44" s="7" t="s">
        <v>52</v>
      </c>
      <c r="O44" s="7" t="s">
        <v>52</v>
      </c>
      <c r="P44" s="9"/>
      <c r="Q44" s="9"/>
      <c r="R44" s="9">
        <v>3564019.6</v>
      </c>
      <c r="S44" s="7" t="s">
        <v>54</v>
      </c>
      <c r="T44" s="7" t="b">
        <v>0</v>
      </c>
      <c r="U44" s="7" t="s">
        <v>56</v>
      </c>
      <c r="V44" s="27" t="s">
        <v>57</v>
      </c>
      <c r="W44" s="7" t="s">
        <v>425</v>
      </c>
    </row>
    <row r="45">
      <c r="A45" s="7" t="s">
        <v>427</v>
      </c>
      <c r="B45" s="7" t="s">
        <v>428</v>
      </c>
      <c r="C45" s="7" t="s">
        <v>429</v>
      </c>
      <c r="D45" s="7" t="s">
        <v>413</v>
      </c>
      <c r="E45" s="9"/>
      <c r="F45" s="11">
        <v>13.796139</v>
      </c>
      <c r="G45" s="11">
        <v>100.574126</v>
      </c>
      <c r="H45" s="7" t="s">
        <v>267</v>
      </c>
      <c r="I45" s="13">
        <v>-0.179</v>
      </c>
      <c r="J45" s="13"/>
      <c r="K45" s="13"/>
      <c r="L45" s="13"/>
      <c r="M45" s="13"/>
      <c r="N45" s="7" t="s">
        <v>52</v>
      </c>
      <c r="O45" s="7" t="s">
        <v>52</v>
      </c>
      <c r="P45" s="9"/>
      <c r="Q45" s="9"/>
      <c r="R45" s="9">
        <v>3564019.6</v>
      </c>
      <c r="S45" s="7" t="s">
        <v>54</v>
      </c>
      <c r="T45" s="7" t="b">
        <v>0</v>
      </c>
      <c r="U45" s="7" t="s">
        <v>56</v>
      </c>
      <c r="V45" s="27" t="s">
        <v>57</v>
      </c>
      <c r="W45" s="7" t="s">
        <v>431</v>
      </c>
    </row>
    <row r="46">
      <c r="A46" s="7" t="s">
        <v>432</v>
      </c>
      <c r="B46" s="7" t="s">
        <v>433</v>
      </c>
      <c r="C46" s="7" t="s">
        <v>434</v>
      </c>
      <c r="D46" s="7" t="s">
        <v>317</v>
      </c>
      <c r="E46" s="9"/>
      <c r="F46" s="11">
        <v>13.805021</v>
      </c>
      <c r="G46" s="11">
        <v>100.53607</v>
      </c>
      <c r="H46" s="7" t="s">
        <v>267</v>
      </c>
      <c r="I46" s="13">
        <v>-0.052</v>
      </c>
      <c r="J46" s="13"/>
      <c r="K46" s="13"/>
      <c r="L46" s="13"/>
      <c r="M46" s="13"/>
      <c r="N46" s="7" t="s">
        <v>52</v>
      </c>
      <c r="O46" s="7" t="s">
        <v>52</v>
      </c>
      <c r="P46" s="9"/>
      <c r="Q46" s="9"/>
      <c r="R46" s="9">
        <v>3564019.6</v>
      </c>
      <c r="S46" s="7" t="s">
        <v>54</v>
      </c>
      <c r="T46" s="7" t="b">
        <v>0</v>
      </c>
      <c r="U46" s="7" t="s">
        <v>56</v>
      </c>
      <c r="V46" s="27" t="s">
        <v>57</v>
      </c>
      <c r="W46" s="7" t="s">
        <v>435</v>
      </c>
    </row>
    <row r="47">
      <c r="A47" s="7" t="s">
        <v>436</v>
      </c>
      <c r="B47" s="7" t="s">
        <v>437</v>
      </c>
      <c r="C47" s="7" t="s">
        <v>438</v>
      </c>
      <c r="D47" s="7" t="s">
        <v>407</v>
      </c>
      <c r="E47" s="9"/>
      <c r="F47" s="11">
        <v>13.748123</v>
      </c>
      <c r="G47" s="11">
        <v>100.562819</v>
      </c>
      <c r="H47" s="7" t="s">
        <v>267</v>
      </c>
      <c r="I47" s="13">
        <v>-0.196</v>
      </c>
      <c r="J47" s="13"/>
      <c r="K47" s="13"/>
      <c r="L47" s="13"/>
      <c r="M47" s="13"/>
      <c r="N47" s="7" t="s">
        <v>52</v>
      </c>
      <c r="O47" s="7" t="s">
        <v>52</v>
      </c>
      <c r="P47" s="9"/>
      <c r="Q47" s="9"/>
      <c r="R47" s="9">
        <v>3564019.6</v>
      </c>
      <c r="S47" s="7" t="s">
        <v>54</v>
      </c>
      <c r="T47" s="7" t="b">
        <v>0</v>
      </c>
      <c r="U47" s="7" t="s">
        <v>56</v>
      </c>
      <c r="V47" s="27" t="s">
        <v>57</v>
      </c>
      <c r="W47" s="7" t="s">
        <v>440</v>
      </c>
    </row>
    <row r="48">
      <c r="A48" s="7" t="s">
        <v>442</v>
      </c>
      <c r="B48" s="7" t="s">
        <v>443</v>
      </c>
      <c r="C48" s="7" t="s">
        <v>444</v>
      </c>
      <c r="D48" s="7" t="s">
        <v>115</v>
      </c>
      <c r="E48" s="9"/>
      <c r="F48" s="11">
        <v>13.76127</v>
      </c>
      <c r="G48" s="11">
        <v>100.615376</v>
      </c>
      <c r="H48" s="7" t="s">
        <v>267</v>
      </c>
      <c r="I48" s="13">
        <v>-0.368</v>
      </c>
      <c r="J48" s="13"/>
      <c r="K48" s="13"/>
      <c r="L48" s="13"/>
      <c r="M48" s="13"/>
      <c r="N48" s="7" t="s">
        <v>52</v>
      </c>
      <c r="O48" s="7" t="s">
        <v>52</v>
      </c>
      <c r="P48" s="9"/>
      <c r="Q48" s="9"/>
      <c r="R48" s="9">
        <v>3564019.6</v>
      </c>
      <c r="S48" s="7" t="s">
        <v>54</v>
      </c>
      <c r="T48" s="7" t="b">
        <v>0</v>
      </c>
      <c r="U48" s="7" t="s">
        <v>56</v>
      </c>
      <c r="V48" s="27" t="s">
        <v>57</v>
      </c>
      <c r="W48" s="7" t="s">
        <v>445</v>
      </c>
    </row>
    <row r="49">
      <c r="A49" s="7" t="s">
        <v>446</v>
      </c>
      <c r="B49" s="7" t="s">
        <v>447</v>
      </c>
      <c r="C49" s="7" t="s">
        <v>448</v>
      </c>
      <c r="D49" s="7" t="s">
        <v>266</v>
      </c>
      <c r="E49" s="9"/>
      <c r="F49" s="11">
        <v>13.83379</v>
      </c>
      <c r="G49" s="11">
        <v>100.522105</v>
      </c>
      <c r="H49" s="7" t="s">
        <v>267</v>
      </c>
      <c r="I49" s="13">
        <v>0.159</v>
      </c>
      <c r="J49" s="13"/>
      <c r="K49" s="13"/>
      <c r="L49" s="13"/>
      <c r="M49" s="13"/>
      <c r="N49" s="7" t="s">
        <v>52</v>
      </c>
      <c r="O49" s="7" t="s">
        <v>52</v>
      </c>
      <c r="P49" s="9"/>
      <c r="Q49" s="9"/>
      <c r="R49" s="9">
        <v>3564019.6</v>
      </c>
      <c r="S49" s="7" t="s">
        <v>54</v>
      </c>
      <c r="T49" s="7" t="b">
        <v>0</v>
      </c>
      <c r="U49" s="7" t="s">
        <v>56</v>
      </c>
      <c r="V49" s="27" t="s">
        <v>57</v>
      </c>
      <c r="W49" s="7" t="s">
        <v>450</v>
      </c>
    </row>
    <row r="50">
      <c r="A50" s="7" t="s">
        <v>451</v>
      </c>
      <c r="B50" s="7" t="s">
        <v>452</v>
      </c>
      <c r="C50" s="7" t="s">
        <v>453</v>
      </c>
      <c r="D50" s="7" t="s">
        <v>360</v>
      </c>
      <c r="E50" s="9"/>
      <c r="F50" s="11">
        <v>13.796218</v>
      </c>
      <c r="G50" s="11">
        <v>100.55032</v>
      </c>
      <c r="H50" s="7" t="s">
        <v>267</v>
      </c>
      <c r="I50" s="13">
        <v>0.176</v>
      </c>
      <c r="J50" s="13"/>
      <c r="K50" s="13"/>
      <c r="L50" s="13"/>
      <c r="M50" s="13"/>
      <c r="N50" s="7" t="s">
        <v>52</v>
      </c>
      <c r="O50" s="7" t="s">
        <v>52</v>
      </c>
      <c r="P50" s="9"/>
      <c r="Q50" s="9"/>
      <c r="R50" s="9">
        <v>3564019.6</v>
      </c>
      <c r="S50" s="7" t="s">
        <v>54</v>
      </c>
      <c r="T50" s="7" t="b">
        <v>0</v>
      </c>
      <c r="U50" s="7" t="s">
        <v>56</v>
      </c>
      <c r="V50" s="27" t="s">
        <v>57</v>
      </c>
      <c r="W50" s="7" t="s">
        <v>455</v>
      </c>
    </row>
    <row r="51">
      <c r="A51" s="7" t="s">
        <v>456</v>
      </c>
      <c r="B51" s="7" t="s">
        <v>457</v>
      </c>
      <c r="C51" s="7" t="s">
        <v>458</v>
      </c>
      <c r="D51" s="7" t="s">
        <v>459</v>
      </c>
      <c r="E51" s="9"/>
      <c r="F51" s="11">
        <v>13.7917</v>
      </c>
      <c r="G51" s="11">
        <v>100.91164</v>
      </c>
      <c r="H51" s="7" t="s">
        <v>460</v>
      </c>
      <c r="I51" s="13">
        <v>0.38</v>
      </c>
      <c r="J51" s="13"/>
      <c r="K51" s="13"/>
      <c r="L51" s="13">
        <v>0.6</v>
      </c>
      <c r="M51" s="13">
        <v>0.8</v>
      </c>
      <c r="N51" s="7" t="s">
        <v>52</v>
      </c>
      <c r="O51" s="7" t="s">
        <v>52</v>
      </c>
      <c r="P51" s="9"/>
      <c r="Q51" s="9"/>
      <c r="R51" s="9">
        <v>1588657.6</v>
      </c>
      <c r="S51" s="7" t="s">
        <v>54</v>
      </c>
      <c r="T51" s="7" t="b">
        <v>0</v>
      </c>
      <c r="U51" s="7" t="s">
        <v>56</v>
      </c>
      <c r="V51" s="27" t="s">
        <v>57</v>
      </c>
      <c r="W51" s="7" t="s">
        <v>463</v>
      </c>
    </row>
    <row r="52">
      <c r="A52" s="7" t="s">
        <v>464</v>
      </c>
      <c r="B52" s="7" t="s">
        <v>465</v>
      </c>
      <c r="C52" s="7" t="s">
        <v>466</v>
      </c>
      <c r="D52" s="7" t="s">
        <v>467</v>
      </c>
      <c r="E52" s="9"/>
      <c r="F52" s="11">
        <v>13.777896</v>
      </c>
      <c r="G52" s="11">
        <v>100.521271</v>
      </c>
      <c r="H52" s="7" t="s">
        <v>267</v>
      </c>
      <c r="I52" s="13">
        <v>-0.464</v>
      </c>
      <c r="J52" s="13"/>
      <c r="K52" s="13"/>
      <c r="L52" s="13"/>
      <c r="M52" s="13"/>
      <c r="N52" s="7" t="s">
        <v>52</v>
      </c>
      <c r="O52" s="7" t="s">
        <v>52</v>
      </c>
      <c r="P52" s="9"/>
      <c r="Q52" s="9"/>
      <c r="R52" s="9">
        <v>3564019.6</v>
      </c>
      <c r="S52" s="7" t="s">
        <v>54</v>
      </c>
      <c r="T52" s="7" t="b">
        <v>0</v>
      </c>
      <c r="U52" s="7" t="s">
        <v>56</v>
      </c>
      <c r="V52" s="27" t="s">
        <v>57</v>
      </c>
      <c r="W52" s="7" t="s">
        <v>468</v>
      </c>
    </row>
    <row r="53">
      <c r="A53" s="7" t="s">
        <v>469</v>
      </c>
      <c r="B53" s="7" t="s">
        <v>470</v>
      </c>
      <c r="C53" s="7" t="s">
        <v>471</v>
      </c>
      <c r="D53" s="7" t="s">
        <v>472</v>
      </c>
      <c r="E53" s="9"/>
      <c r="F53" s="11">
        <v>13.737542</v>
      </c>
      <c r="G53" s="11">
        <v>100.604497</v>
      </c>
      <c r="H53" s="7" t="s">
        <v>267</v>
      </c>
      <c r="I53" s="13">
        <v>-0.358</v>
      </c>
      <c r="J53" s="13"/>
      <c r="K53" s="13"/>
      <c r="L53" s="13"/>
      <c r="M53" s="13"/>
      <c r="N53" s="7" t="s">
        <v>52</v>
      </c>
      <c r="O53" s="7" t="s">
        <v>52</v>
      </c>
      <c r="P53" s="9"/>
      <c r="Q53" s="9"/>
      <c r="R53" s="9">
        <v>3564019.6</v>
      </c>
      <c r="S53" s="7" t="s">
        <v>54</v>
      </c>
      <c r="T53" s="7" t="b">
        <v>0</v>
      </c>
      <c r="U53" s="7" t="s">
        <v>56</v>
      </c>
      <c r="V53" s="27" t="s">
        <v>57</v>
      </c>
      <c r="W53" s="7" t="s">
        <v>474</v>
      </c>
    </row>
    <row r="54">
      <c r="A54" s="7" t="s">
        <v>475</v>
      </c>
      <c r="B54" s="7" t="s">
        <v>476</v>
      </c>
      <c r="C54" s="7" t="s">
        <v>477</v>
      </c>
      <c r="D54" s="7" t="s">
        <v>478</v>
      </c>
      <c r="E54" s="9"/>
      <c r="F54" s="11">
        <v>13.85366</v>
      </c>
      <c r="G54" s="11">
        <v>100.86679</v>
      </c>
      <c r="H54" s="7" t="s">
        <v>479</v>
      </c>
      <c r="I54" s="13">
        <v>1.3</v>
      </c>
      <c r="J54" s="13"/>
      <c r="K54" s="13"/>
      <c r="L54" s="13">
        <v>0.9</v>
      </c>
      <c r="M54" s="13">
        <v>1.1</v>
      </c>
      <c r="N54" s="7" t="s">
        <v>52</v>
      </c>
      <c r="O54" s="7" t="s">
        <v>52</v>
      </c>
      <c r="P54" s="9"/>
      <c r="Q54" s="9"/>
      <c r="R54" s="9">
        <v>9637.6</v>
      </c>
      <c r="S54" s="7" t="s">
        <v>54</v>
      </c>
      <c r="T54" s="7" t="b">
        <v>0</v>
      </c>
      <c r="U54" s="7" t="s">
        <v>56</v>
      </c>
      <c r="V54" s="27" t="s">
        <v>57</v>
      </c>
      <c r="W54" s="7" t="s">
        <v>481</v>
      </c>
    </row>
    <row r="55">
      <c r="A55" s="7" t="s">
        <v>482</v>
      </c>
      <c r="B55" s="7" t="s">
        <v>483</v>
      </c>
      <c r="C55" s="7" t="s">
        <v>484</v>
      </c>
      <c r="D55" s="7" t="s">
        <v>413</v>
      </c>
      <c r="E55" s="9"/>
      <c r="F55" s="11">
        <v>13.79624</v>
      </c>
      <c r="G55" s="11">
        <v>100.57422</v>
      </c>
      <c r="H55" s="7" t="s">
        <v>93</v>
      </c>
      <c r="I55" s="13">
        <v>-0.33</v>
      </c>
      <c r="J55" s="13"/>
      <c r="K55" s="13"/>
      <c r="L55" s="13">
        <v>0.1</v>
      </c>
      <c r="M55" s="13">
        <v>0.2</v>
      </c>
      <c r="N55" s="7" t="s">
        <v>52</v>
      </c>
      <c r="O55" s="7" t="s">
        <v>52</v>
      </c>
      <c r="P55" s="9"/>
      <c r="Q55" s="9"/>
      <c r="R55" s="9">
        <v>7297.6</v>
      </c>
      <c r="S55" s="7" t="s">
        <v>54</v>
      </c>
      <c r="T55" s="7" t="b">
        <v>0</v>
      </c>
      <c r="U55" s="7" t="s">
        <v>56</v>
      </c>
      <c r="V55" s="27" t="s">
        <v>57</v>
      </c>
      <c r="W55" s="7" t="s">
        <v>486</v>
      </c>
    </row>
    <row r="56">
      <c r="A56" s="7" t="s">
        <v>487</v>
      </c>
      <c r="B56" s="7" t="s">
        <v>488</v>
      </c>
      <c r="C56" s="7" t="s">
        <v>489</v>
      </c>
      <c r="D56" s="7" t="s">
        <v>162</v>
      </c>
      <c r="E56" s="9"/>
      <c r="F56" s="11">
        <v>13.75063</v>
      </c>
      <c r="G56" s="11">
        <v>100.3534</v>
      </c>
      <c r="H56" s="7" t="s">
        <v>93</v>
      </c>
      <c r="I56" s="13">
        <v>0.92</v>
      </c>
      <c r="J56" s="13"/>
      <c r="K56" s="13"/>
      <c r="L56" s="13">
        <v>0.8</v>
      </c>
      <c r="M56" s="13">
        <v>0.9</v>
      </c>
      <c r="N56" s="7" t="s">
        <v>52</v>
      </c>
      <c r="O56" s="7" t="s">
        <v>52</v>
      </c>
      <c r="P56" s="9"/>
      <c r="Q56" s="9"/>
      <c r="R56" s="9">
        <v>7297.6</v>
      </c>
      <c r="S56" s="7" t="s">
        <v>54</v>
      </c>
      <c r="T56" s="7" t="b">
        <v>0</v>
      </c>
      <c r="U56" s="7" t="s">
        <v>56</v>
      </c>
      <c r="V56" s="27" t="s">
        <v>57</v>
      </c>
      <c r="W56" s="7" t="s">
        <v>491</v>
      </c>
    </row>
    <row r="57">
      <c r="A57" s="7" t="s">
        <v>492</v>
      </c>
      <c r="B57" s="7" t="s">
        <v>493</v>
      </c>
      <c r="C57" s="7" t="s">
        <v>494</v>
      </c>
      <c r="D57" s="7" t="s">
        <v>172</v>
      </c>
      <c r="E57" s="9"/>
      <c r="F57" s="11">
        <v>13.80014</v>
      </c>
      <c r="G57" s="11">
        <v>100.34874</v>
      </c>
      <c r="H57" s="7" t="s">
        <v>93</v>
      </c>
      <c r="I57" s="13">
        <v>0.93</v>
      </c>
      <c r="J57" s="13"/>
      <c r="K57" s="13"/>
      <c r="L57" s="13">
        <v>0.9</v>
      </c>
      <c r="M57" s="13">
        <v>1.0</v>
      </c>
      <c r="N57" s="7" t="s">
        <v>52</v>
      </c>
      <c r="O57" s="7" t="s">
        <v>52</v>
      </c>
      <c r="P57" s="9"/>
      <c r="Q57" s="9"/>
      <c r="R57" s="9">
        <v>7297.6</v>
      </c>
      <c r="S57" s="7" t="s">
        <v>54</v>
      </c>
      <c r="T57" s="7" t="b">
        <v>0</v>
      </c>
      <c r="U57" s="7" t="s">
        <v>56</v>
      </c>
      <c r="V57" s="27" t="s">
        <v>57</v>
      </c>
      <c r="W57" s="7" t="s">
        <v>496</v>
      </c>
    </row>
    <row r="58">
      <c r="A58" s="7" t="s">
        <v>497</v>
      </c>
      <c r="B58" s="7" t="s">
        <v>498</v>
      </c>
      <c r="C58" s="7" t="s">
        <v>499</v>
      </c>
      <c r="D58" s="7" t="s">
        <v>256</v>
      </c>
      <c r="E58" s="9"/>
      <c r="F58" s="11">
        <v>13.803017</v>
      </c>
      <c r="G58" s="11">
        <v>100.588259</v>
      </c>
      <c r="H58" s="7" t="s">
        <v>267</v>
      </c>
      <c r="I58" s="13">
        <v>-0.033</v>
      </c>
      <c r="J58" s="13"/>
      <c r="K58" s="13"/>
      <c r="L58" s="13"/>
      <c r="M58" s="13"/>
      <c r="N58" s="7" t="s">
        <v>52</v>
      </c>
      <c r="O58" s="7" t="s">
        <v>52</v>
      </c>
      <c r="P58" s="9"/>
      <c r="Q58" s="9"/>
      <c r="R58" s="9">
        <v>3564019.6</v>
      </c>
      <c r="S58" s="7" t="s">
        <v>54</v>
      </c>
      <c r="T58" s="7" t="b">
        <v>0</v>
      </c>
      <c r="U58" s="7" t="s">
        <v>56</v>
      </c>
      <c r="V58" s="27" t="s">
        <v>57</v>
      </c>
      <c r="W58" s="7" t="s">
        <v>500</v>
      </c>
    </row>
    <row r="59">
      <c r="A59" s="7" t="s">
        <v>501</v>
      </c>
      <c r="B59" s="7" t="s">
        <v>502</v>
      </c>
      <c r="C59" s="7" t="s">
        <v>503</v>
      </c>
      <c r="D59" s="7" t="s">
        <v>467</v>
      </c>
      <c r="E59" s="9"/>
      <c r="F59" s="11">
        <v>13.798166</v>
      </c>
      <c r="G59" s="11">
        <v>100.532279</v>
      </c>
      <c r="H59" s="7" t="s">
        <v>267</v>
      </c>
      <c r="I59" s="13">
        <v>-0.095</v>
      </c>
      <c r="J59" s="13"/>
      <c r="K59" s="13"/>
      <c r="L59" s="13"/>
      <c r="M59" s="13"/>
      <c r="N59" s="7" t="s">
        <v>52</v>
      </c>
      <c r="O59" s="7" t="s">
        <v>52</v>
      </c>
      <c r="P59" s="9"/>
      <c r="Q59" s="9"/>
      <c r="R59" s="9">
        <v>3564019.6</v>
      </c>
      <c r="S59" s="7" t="s">
        <v>54</v>
      </c>
      <c r="T59" s="7" t="b">
        <v>0</v>
      </c>
      <c r="U59" s="7" t="s">
        <v>56</v>
      </c>
      <c r="V59" s="27" t="s">
        <v>57</v>
      </c>
      <c r="W59" s="7" t="s">
        <v>504</v>
      </c>
    </row>
    <row r="60">
      <c r="A60" s="7" t="s">
        <v>505</v>
      </c>
      <c r="B60" s="7" t="s">
        <v>506</v>
      </c>
      <c r="C60" s="7" t="s">
        <v>507</v>
      </c>
      <c r="D60" s="7" t="s">
        <v>256</v>
      </c>
      <c r="E60" s="9"/>
      <c r="F60" s="11">
        <v>13.750381</v>
      </c>
      <c r="G60" s="11">
        <v>100.592702</v>
      </c>
      <c r="H60" s="7" t="s">
        <v>267</v>
      </c>
      <c r="I60" s="13">
        <v>-0.936</v>
      </c>
      <c r="J60" s="13"/>
      <c r="K60" s="13"/>
      <c r="L60" s="13"/>
      <c r="M60" s="13"/>
      <c r="N60" s="7" t="s">
        <v>52</v>
      </c>
      <c r="O60" s="7" t="s">
        <v>52</v>
      </c>
      <c r="P60" s="9"/>
      <c r="Q60" s="9"/>
      <c r="R60" s="9">
        <v>3564019.6</v>
      </c>
      <c r="S60" s="7" t="s">
        <v>54</v>
      </c>
      <c r="T60" s="7" t="b">
        <v>0</v>
      </c>
      <c r="U60" s="7" t="s">
        <v>56</v>
      </c>
      <c r="V60" s="27" t="s">
        <v>57</v>
      </c>
      <c r="W60" s="7" t="s">
        <v>509</v>
      </c>
    </row>
    <row r="61">
      <c r="A61" s="7" t="s">
        <v>510</v>
      </c>
      <c r="B61" s="7" t="s">
        <v>511</v>
      </c>
      <c r="C61" s="7" t="s">
        <v>512</v>
      </c>
      <c r="D61" s="7" t="s">
        <v>513</v>
      </c>
      <c r="E61" s="9"/>
      <c r="F61" s="11">
        <v>13.68658</v>
      </c>
      <c r="G61" s="11">
        <v>100.42615</v>
      </c>
      <c r="H61" s="7" t="s">
        <v>514</v>
      </c>
      <c r="I61" s="13">
        <v>-0.19</v>
      </c>
      <c r="J61" s="13"/>
      <c r="K61" s="13"/>
      <c r="L61" s="13">
        <v>1.65</v>
      </c>
      <c r="M61" s="13">
        <v>1.85</v>
      </c>
      <c r="N61" s="7" t="s">
        <v>52</v>
      </c>
      <c r="O61" s="7" t="s">
        <v>52</v>
      </c>
      <c r="P61" s="9"/>
      <c r="Q61" s="9"/>
      <c r="R61" s="9">
        <v>1255747.6</v>
      </c>
      <c r="S61" s="7" t="s">
        <v>54</v>
      </c>
      <c r="T61" s="7" t="b">
        <v>0</v>
      </c>
      <c r="U61" s="7" t="s">
        <v>56</v>
      </c>
      <c r="V61" s="27" t="s">
        <v>57</v>
      </c>
      <c r="W61" s="7" t="s">
        <v>516</v>
      </c>
    </row>
    <row r="62">
      <c r="A62" s="7" t="s">
        <v>517</v>
      </c>
      <c r="B62" s="7" t="s">
        <v>518</v>
      </c>
      <c r="C62" s="7" t="s">
        <v>520</v>
      </c>
      <c r="D62" s="7" t="s">
        <v>384</v>
      </c>
      <c r="E62" s="9"/>
      <c r="F62" s="11">
        <v>13.9272</v>
      </c>
      <c r="G62" s="11">
        <v>100.58565</v>
      </c>
      <c r="H62" s="7" t="s">
        <v>521</v>
      </c>
      <c r="I62" s="13">
        <v>-0.02</v>
      </c>
      <c r="J62" s="13"/>
      <c r="K62" s="13"/>
      <c r="L62" s="13">
        <v>0.7</v>
      </c>
      <c r="M62" s="13">
        <v>0.9</v>
      </c>
      <c r="N62" s="7" t="s">
        <v>52</v>
      </c>
      <c r="O62" s="7" t="s">
        <v>52</v>
      </c>
      <c r="P62" s="9"/>
      <c r="Q62" s="9"/>
      <c r="R62" s="9">
        <v>1285852.6</v>
      </c>
      <c r="S62" s="7" t="s">
        <v>54</v>
      </c>
      <c r="T62" s="7" t="b">
        <v>0</v>
      </c>
      <c r="U62" s="7" t="s">
        <v>56</v>
      </c>
      <c r="V62" s="27" t="s">
        <v>57</v>
      </c>
      <c r="W62" s="7" t="s">
        <v>525</v>
      </c>
    </row>
    <row r="63">
      <c r="A63" s="7" t="s">
        <v>526</v>
      </c>
      <c r="B63" s="7" t="s">
        <v>527</v>
      </c>
      <c r="C63" s="7" t="s">
        <v>528</v>
      </c>
      <c r="D63" s="7" t="s">
        <v>478</v>
      </c>
      <c r="E63" s="9"/>
      <c r="F63" s="11">
        <v>13.81747</v>
      </c>
      <c r="G63" s="11">
        <v>100.85013</v>
      </c>
      <c r="H63" s="7" t="s">
        <v>529</v>
      </c>
      <c r="I63" s="13">
        <v>2.0</v>
      </c>
      <c r="J63" s="13"/>
      <c r="K63" s="13"/>
      <c r="L63" s="13">
        <v>0.8</v>
      </c>
      <c r="M63" s="13">
        <v>0.9</v>
      </c>
      <c r="N63" s="7" t="s">
        <v>52</v>
      </c>
      <c r="O63" s="7" t="s">
        <v>52</v>
      </c>
      <c r="P63" s="9"/>
      <c r="Q63" s="9"/>
      <c r="R63" s="9">
        <v>1115582.6</v>
      </c>
      <c r="S63" s="7" t="s">
        <v>54</v>
      </c>
      <c r="T63" s="7" t="b">
        <v>0</v>
      </c>
      <c r="U63" s="7" t="s">
        <v>56</v>
      </c>
      <c r="V63" s="27" t="s">
        <v>57</v>
      </c>
      <c r="W63" s="7" t="s">
        <v>530</v>
      </c>
    </row>
    <row r="64">
      <c r="A64" s="7" t="s">
        <v>531</v>
      </c>
      <c r="B64" s="7" t="s">
        <v>533</v>
      </c>
      <c r="C64" s="7" t="s">
        <v>534</v>
      </c>
      <c r="D64" s="7" t="s">
        <v>535</v>
      </c>
      <c r="E64" s="9"/>
      <c r="F64" s="11">
        <v>13.78422</v>
      </c>
      <c r="G64" s="11">
        <v>100.46424</v>
      </c>
      <c r="H64" s="7" t="s">
        <v>93</v>
      </c>
      <c r="I64" s="13">
        <v>0.02</v>
      </c>
      <c r="J64" s="13"/>
      <c r="K64" s="13"/>
      <c r="L64" s="13">
        <v>1.65</v>
      </c>
      <c r="M64" s="13">
        <v>1.85</v>
      </c>
      <c r="N64" s="7" t="s">
        <v>52</v>
      </c>
      <c r="O64" s="7" t="s">
        <v>52</v>
      </c>
      <c r="P64" s="9"/>
      <c r="Q64" s="9"/>
      <c r="R64" s="9">
        <v>7297.6</v>
      </c>
      <c r="S64" s="7" t="s">
        <v>54</v>
      </c>
      <c r="T64" s="7" t="b">
        <v>0</v>
      </c>
      <c r="U64" s="7" t="s">
        <v>56</v>
      </c>
      <c r="V64" s="27" t="s">
        <v>57</v>
      </c>
      <c r="W64" s="7" t="s">
        <v>536</v>
      </c>
    </row>
    <row r="65">
      <c r="A65" s="7" t="s">
        <v>537</v>
      </c>
      <c r="B65" s="7" t="s">
        <v>538</v>
      </c>
      <c r="C65" s="7" t="s">
        <v>540</v>
      </c>
      <c r="D65" s="7" t="s">
        <v>372</v>
      </c>
      <c r="E65" s="9"/>
      <c r="F65" s="11">
        <v>13.75655</v>
      </c>
      <c r="G65" s="11">
        <v>100.50563</v>
      </c>
      <c r="H65" s="7" t="s">
        <v>93</v>
      </c>
      <c r="I65" s="13">
        <v>-0.24</v>
      </c>
      <c r="J65" s="13"/>
      <c r="K65" s="13"/>
      <c r="L65" s="13">
        <v>1.65</v>
      </c>
      <c r="M65" s="13">
        <v>1.85</v>
      </c>
      <c r="N65" s="7" t="s">
        <v>52</v>
      </c>
      <c r="O65" s="7" t="s">
        <v>52</v>
      </c>
      <c r="P65" s="9"/>
      <c r="Q65" s="9"/>
      <c r="R65" s="9">
        <v>7297.6</v>
      </c>
      <c r="S65" s="7" t="s">
        <v>54</v>
      </c>
      <c r="T65" s="7" t="b">
        <v>0</v>
      </c>
      <c r="U65" s="7" t="s">
        <v>56</v>
      </c>
      <c r="V65" s="27" t="s">
        <v>57</v>
      </c>
      <c r="W65" s="7" t="s">
        <v>542</v>
      </c>
    </row>
    <row r="66">
      <c r="A66" s="7" t="s">
        <v>543</v>
      </c>
      <c r="B66" s="7" t="s">
        <v>544</v>
      </c>
      <c r="C66" s="7" t="s">
        <v>545</v>
      </c>
      <c r="D66" s="7" t="s">
        <v>413</v>
      </c>
      <c r="E66" s="9"/>
      <c r="F66" s="11">
        <v>13.79486</v>
      </c>
      <c r="G66" s="11">
        <v>100.56157</v>
      </c>
      <c r="H66" s="7" t="s">
        <v>546</v>
      </c>
      <c r="I66" s="13">
        <v>-0.79</v>
      </c>
      <c r="J66" s="13"/>
      <c r="K66" s="13"/>
      <c r="L66" s="13">
        <v>0.3</v>
      </c>
      <c r="M66" s="13">
        <v>0.5</v>
      </c>
      <c r="N66" s="7" t="s">
        <v>52</v>
      </c>
      <c r="O66" s="7" t="s">
        <v>52</v>
      </c>
      <c r="P66" s="9"/>
      <c r="Q66" s="9"/>
      <c r="R66" s="9">
        <v>8007.6</v>
      </c>
      <c r="S66" s="7" t="s">
        <v>54</v>
      </c>
      <c r="T66" s="7" t="b">
        <v>0</v>
      </c>
      <c r="U66" s="7" t="s">
        <v>56</v>
      </c>
      <c r="V66" s="27" t="s">
        <v>57</v>
      </c>
      <c r="W66" s="7" t="s">
        <v>549</v>
      </c>
    </row>
    <row r="67">
      <c r="A67" s="7" t="s">
        <v>550</v>
      </c>
      <c r="B67" s="7" t="s">
        <v>551</v>
      </c>
      <c r="C67" s="7" t="s">
        <v>552</v>
      </c>
      <c r="D67" s="7" t="s">
        <v>308</v>
      </c>
      <c r="E67" s="9"/>
      <c r="F67" s="11">
        <v>13.75363</v>
      </c>
      <c r="G67" s="11">
        <v>100.7689</v>
      </c>
      <c r="H67" s="7" t="s">
        <v>553</v>
      </c>
      <c r="I67" s="13">
        <v>1.05</v>
      </c>
      <c r="J67" s="13"/>
      <c r="K67" s="13"/>
      <c r="L67" s="13">
        <v>0.5</v>
      </c>
      <c r="M67" s="13">
        <v>0.6</v>
      </c>
      <c r="N67" s="7" t="s">
        <v>52</v>
      </c>
      <c r="O67" s="7" t="s">
        <v>52</v>
      </c>
      <c r="P67" s="9"/>
      <c r="Q67" s="9"/>
      <c r="R67" s="9">
        <v>9317.6</v>
      </c>
      <c r="S67" s="7" t="s">
        <v>54</v>
      </c>
      <c r="T67" s="7" t="b">
        <v>0</v>
      </c>
      <c r="U67" s="7" t="s">
        <v>56</v>
      </c>
      <c r="V67" s="27" t="s">
        <v>57</v>
      </c>
      <c r="W67" s="7" t="s">
        <v>555</v>
      </c>
    </row>
    <row r="68">
      <c r="A68" s="7" t="s">
        <v>556</v>
      </c>
      <c r="B68" s="7" t="s">
        <v>558</v>
      </c>
      <c r="C68" s="7" t="s">
        <v>559</v>
      </c>
      <c r="D68" s="7" t="s">
        <v>308</v>
      </c>
      <c r="E68" s="9"/>
      <c r="F68" s="11">
        <v>13.74068</v>
      </c>
      <c r="G68" s="11">
        <v>100.79474</v>
      </c>
      <c r="H68" s="7" t="s">
        <v>560</v>
      </c>
      <c r="I68" s="13">
        <v>0.94</v>
      </c>
      <c r="J68" s="13"/>
      <c r="K68" s="13"/>
      <c r="L68" s="13">
        <v>0.5</v>
      </c>
      <c r="M68" s="13">
        <v>0.6</v>
      </c>
      <c r="N68" s="7" t="s">
        <v>52</v>
      </c>
      <c r="O68" s="7" t="s">
        <v>52</v>
      </c>
      <c r="P68" s="9"/>
      <c r="Q68" s="9"/>
      <c r="R68" s="9">
        <v>7982.6</v>
      </c>
      <c r="S68" s="7" t="s">
        <v>54</v>
      </c>
      <c r="T68" s="7" t="b">
        <v>0</v>
      </c>
      <c r="U68" s="7" t="s">
        <v>56</v>
      </c>
      <c r="V68" s="27" t="s">
        <v>57</v>
      </c>
      <c r="W68" s="7" t="s">
        <v>562</v>
      </c>
    </row>
    <row r="69">
      <c r="A69" s="7" t="s">
        <v>563</v>
      </c>
      <c r="B69" s="7" t="s">
        <v>564</v>
      </c>
      <c r="C69" s="7" t="s">
        <v>565</v>
      </c>
      <c r="D69" s="7" t="s">
        <v>217</v>
      </c>
      <c r="E69" s="9"/>
      <c r="F69" s="11">
        <v>13.71868</v>
      </c>
      <c r="G69" s="11">
        <v>100.44174</v>
      </c>
      <c r="H69" s="7" t="s">
        <v>93</v>
      </c>
      <c r="I69" s="13">
        <v>0.5</v>
      </c>
      <c r="J69" s="13"/>
      <c r="K69" s="13"/>
      <c r="L69" s="13">
        <v>0.6</v>
      </c>
      <c r="M69" s="13">
        <v>0.7</v>
      </c>
      <c r="N69" s="7" t="s">
        <v>52</v>
      </c>
      <c r="O69" s="7" t="s">
        <v>52</v>
      </c>
      <c r="P69" s="9"/>
      <c r="Q69" s="9"/>
      <c r="R69" s="9">
        <v>7297.6</v>
      </c>
      <c r="S69" s="7" t="s">
        <v>54</v>
      </c>
      <c r="T69" s="7" t="b">
        <v>0</v>
      </c>
      <c r="U69" s="7" t="s">
        <v>56</v>
      </c>
      <c r="V69" s="27" t="s">
        <v>57</v>
      </c>
      <c r="W69" s="7" t="s">
        <v>567</v>
      </c>
    </row>
    <row r="70">
      <c r="A70" s="7" t="s">
        <v>569</v>
      </c>
      <c r="B70" s="7" t="s">
        <v>570</v>
      </c>
      <c r="C70" s="7" t="s">
        <v>572</v>
      </c>
      <c r="D70" s="7" t="s">
        <v>92</v>
      </c>
      <c r="E70" s="9"/>
      <c r="F70" s="11">
        <v>13.74247</v>
      </c>
      <c r="G70" s="11">
        <v>100.70891</v>
      </c>
      <c r="H70" s="7" t="s">
        <v>93</v>
      </c>
      <c r="I70" s="13">
        <v>0.89</v>
      </c>
      <c r="J70" s="13"/>
      <c r="K70" s="13"/>
      <c r="L70" s="13">
        <v>0.3</v>
      </c>
      <c r="M70" s="13">
        <v>0.4</v>
      </c>
      <c r="N70" s="7" t="s">
        <v>52</v>
      </c>
      <c r="O70" s="7" t="s">
        <v>52</v>
      </c>
      <c r="P70" s="9"/>
      <c r="Q70" s="9"/>
      <c r="R70" s="9">
        <v>7297.6</v>
      </c>
      <c r="S70" s="7" t="s">
        <v>54</v>
      </c>
      <c r="T70" s="7" t="b">
        <v>0</v>
      </c>
      <c r="U70" s="7" t="s">
        <v>56</v>
      </c>
      <c r="V70" s="27" t="s">
        <v>57</v>
      </c>
      <c r="W70" s="7" t="s">
        <v>577</v>
      </c>
    </row>
    <row r="71">
      <c r="A71" s="7" t="s">
        <v>578</v>
      </c>
      <c r="B71" s="7" t="s">
        <v>580</v>
      </c>
      <c r="C71" s="7" t="s">
        <v>582</v>
      </c>
      <c r="D71" s="7" t="s">
        <v>44</v>
      </c>
      <c r="E71" s="9"/>
      <c r="F71" s="11">
        <v>13.69163</v>
      </c>
      <c r="G71" s="11">
        <v>100.38106</v>
      </c>
      <c r="H71" s="7" t="s">
        <v>93</v>
      </c>
      <c r="I71" s="13">
        <v>0.75</v>
      </c>
      <c r="J71" s="13"/>
      <c r="K71" s="13"/>
      <c r="L71" s="13">
        <v>0.6</v>
      </c>
      <c r="M71" s="13">
        <v>0.7</v>
      </c>
      <c r="N71" s="7" t="s">
        <v>52</v>
      </c>
      <c r="O71" s="7" t="s">
        <v>52</v>
      </c>
      <c r="P71" s="9"/>
      <c r="Q71" s="9"/>
      <c r="R71" s="9">
        <v>7297.6</v>
      </c>
      <c r="S71" s="7" t="s">
        <v>54</v>
      </c>
      <c r="T71" s="7" t="b">
        <v>0</v>
      </c>
      <c r="U71" s="7" t="s">
        <v>56</v>
      </c>
      <c r="V71" s="27" t="s">
        <v>57</v>
      </c>
      <c r="W71" s="7" t="s">
        <v>587</v>
      </c>
    </row>
    <row r="72">
      <c r="A72" s="7" t="s">
        <v>588</v>
      </c>
      <c r="B72" s="7" t="s">
        <v>589</v>
      </c>
      <c r="C72" s="7" t="s">
        <v>590</v>
      </c>
      <c r="D72" s="7" t="s">
        <v>535</v>
      </c>
      <c r="E72" s="9"/>
      <c r="F72" s="11">
        <v>13.75973</v>
      </c>
      <c r="G72" s="11">
        <v>100.45337</v>
      </c>
      <c r="H72" s="7" t="s">
        <v>93</v>
      </c>
      <c r="I72" s="13">
        <v>0.31</v>
      </c>
      <c r="J72" s="13"/>
      <c r="K72" s="13"/>
      <c r="L72" s="13">
        <v>0.6</v>
      </c>
      <c r="M72" s="13">
        <v>0.7</v>
      </c>
      <c r="N72" s="7" t="s">
        <v>52</v>
      </c>
      <c r="O72" s="7" t="s">
        <v>52</v>
      </c>
      <c r="P72" s="9"/>
      <c r="Q72" s="9"/>
      <c r="R72" s="9">
        <v>7297.6</v>
      </c>
      <c r="S72" s="7" t="s">
        <v>54</v>
      </c>
      <c r="T72" s="7" t="b">
        <v>0</v>
      </c>
      <c r="U72" s="7" t="s">
        <v>56</v>
      </c>
      <c r="V72" s="27" t="s">
        <v>57</v>
      </c>
      <c r="W72" s="7" t="s">
        <v>593</v>
      </c>
    </row>
    <row r="73">
      <c r="A73" s="7" t="s">
        <v>594</v>
      </c>
      <c r="B73" s="7" t="s">
        <v>595</v>
      </c>
      <c r="C73" s="7" t="s">
        <v>596</v>
      </c>
      <c r="D73" s="7" t="s">
        <v>256</v>
      </c>
      <c r="E73" s="9"/>
      <c r="F73" s="11">
        <v>13.75502</v>
      </c>
      <c r="G73" s="11">
        <v>100.58113</v>
      </c>
      <c r="H73" s="7" t="s">
        <v>239</v>
      </c>
      <c r="I73" s="13">
        <v>-0.1</v>
      </c>
      <c r="J73" s="13"/>
      <c r="K73" s="13"/>
      <c r="L73" s="13">
        <v>-0.1</v>
      </c>
      <c r="M73" s="13">
        <v>0.0</v>
      </c>
      <c r="N73" s="7" t="s">
        <v>52</v>
      </c>
      <c r="O73" s="7" t="s">
        <v>52</v>
      </c>
      <c r="P73" s="9"/>
      <c r="Q73" s="9"/>
      <c r="R73" s="9">
        <v>7302.6</v>
      </c>
      <c r="S73" s="7" t="s">
        <v>54</v>
      </c>
      <c r="T73" s="7" t="b">
        <v>0</v>
      </c>
      <c r="U73" s="7" t="s">
        <v>56</v>
      </c>
      <c r="V73" s="27" t="s">
        <v>57</v>
      </c>
      <c r="W73" s="7" t="s">
        <v>597</v>
      </c>
    </row>
    <row r="74">
      <c r="A74" s="7" t="s">
        <v>599</v>
      </c>
      <c r="B74" s="7" t="s">
        <v>600</v>
      </c>
      <c r="C74" s="7" t="s">
        <v>601</v>
      </c>
      <c r="D74" s="7" t="s">
        <v>602</v>
      </c>
      <c r="E74" s="9"/>
      <c r="F74" s="11">
        <v>13.72396</v>
      </c>
      <c r="G74" s="11">
        <v>100.68956</v>
      </c>
      <c r="H74" s="7" t="s">
        <v>239</v>
      </c>
      <c r="I74" s="13">
        <v>0.72</v>
      </c>
      <c r="J74" s="13"/>
      <c r="K74" s="13"/>
      <c r="L74" s="13">
        <v>0.3</v>
      </c>
      <c r="M74" s="13">
        <v>0.4</v>
      </c>
      <c r="N74" s="7" t="s">
        <v>52</v>
      </c>
      <c r="O74" s="7" t="s">
        <v>52</v>
      </c>
      <c r="P74" s="9"/>
      <c r="Q74" s="9"/>
      <c r="R74" s="9">
        <v>7302.6</v>
      </c>
      <c r="S74" s="7" t="s">
        <v>54</v>
      </c>
      <c r="T74" s="7" t="b">
        <v>0</v>
      </c>
      <c r="U74" s="7" t="s">
        <v>56</v>
      </c>
      <c r="V74" s="27" t="s">
        <v>57</v>
      </c>
      <c r="W74" s="7" t="s">
        <v>604</v>
      </c>
    </row>
    <row r="75">
      <c r="A75" s="7" t="s">
        <v>605</v>
      </c>
      <c r="B75" s="7" t="s">
        <v>606</v>
      </c>
      <c r="C75" s="7" t="s">
        <v>607</v>
      </c>
      <c r="D75" s="7" t="s">
        <v>256</v>
      </c>
      <c r="E75" s="9"/>
      <c r="F75" s="11">
        <v>13.80104</v>
      </c>
      <c r="G75" s="11">
        <v>100.57494</v>
      </c>
      <c r="H75" s="7" t="s">
        <v>608</v>
      </c>
      <c r="I75" s="13">
        <v>-0.87</v>
      </c>
      <c r="J75" s="13"/>
      <c r="K75" s="13"/>
      <c r="L75" s="13"/>
      <c r="M75" s="13"/>
      <c r="N75" s="7" t="s">
        <v>52</v>
      </c>
      <c r="O75" s="7" t="s">
        <v>52</v>
      </c>
      <c r="P75" s="9"/>
      <c r="Q75" s="9"/>
      <c r="R75" s="9">
        <v>2592322.6</v>
      </c>
      <c r="S75" s="7" t="s">
        <v>54</v>
      </c>
      <c r="T75" s="7" t="b">
        <v>0</v>
      </c>
      <c r="U75" s="7" t="s">
        <v>56</v>
      </c>
      <c r="V75" s="27" t="s">
        <v>57</v>
      </c>
      <c r="W75" s="7" t="s">
        <v>609</v>
      </c>
    </row>
    <row r="76">
      <c r="A76" s="7" t="s">
        <v>610</v>
      </c>
      <c r="B76" s="7" t="s">
        <v>611</v>
      </c>
      <c r="C76" s="7" t="s">
        <v>612</v>
      </c>
      <c r="D76" s="7" t="s">
        <v>256</v>
      </c>
      <c r="E76" s="9"/>
      <c r="F76" s="11">
        <v>13.74851</v>
      </c>
      <c r="G76" s="11">
        <v>100.59904</v>
      </c>
      <c r="H76" s="7" t="s">
        <v>93</v>
      </c>
      <c r="I76" s="13">
        <v>0.12</v>
      </c>
      <c r="J76" s="13"/>
      <c r="K76" s="13"/>
      <c r="L76" s="13">
        <v>-0.1</v>
      </c>
      <c r="M76" s="13">
        <v>0.0</v>
      </c>
      <c r="N76" s="7" t="s">
        <v>52</v>
      </c>
      <c r="O76" s="7" t="s">
        <v>52</v>
      </c>
      <c r="P76" s="9"/>
      <c r="Q76" s="9"/>
      <c r="R76" s="9">
        <v>7297.6</v>
      </c>
      <c r="S76" s="7" t="s">
        <v>54</v>
      </c>
      <c r="T76" s="7" t="b">
        <v>0</v>
      </c>
      <c r="U76" s="7" t="s">
        <v>56</v>
      </c>
      <c r="V76" s="27" t="s">
        <v>57</v>
      </c>
      <c r="W76" s="7" t="s">
        <v>619</v>
      </c>
    </row>
    <row r="77">
      <c r="A77" s="7" t="s">
        <v>621</v>
      </c>
      <c r="B77" s="7" t="s">
        <v>622</v>
      </c>
      <c r="C77" s="7" t="s">
        <v>623</v>
      </c>
      <c r="D77" s="7" t="s">
        <v>624</v>
      </c>
      <c r="E77" s="9"/>
      <c r="F77" s="11">
        <v>13.70918</v>
      </c>
      <c r="G77" s="11">
        <v>100.6217</v>
      </c>
      <c r="H77" s="7" t="s">
        <v>93</v>
      </c>
      <c r="I77" s="13">
        <v>0.15</v>
      </c>
      <c r="J77" s="13"/>
      <c r="K77" s="13"/>
      <c r="L77" s="13">
        <v>-0.5</v>
      </c>
      <c r="M77" s="13">
        <v>-0.4</v>
      </c>
      <c r="N77" s="7" t="s">
        <v>52</v>
      </c>
      <c r="O77" s="7" t="s">
        <v>52</v>
      </c>
      <c r="P77" s="9"/>
      <c r="Q77" s="9"/>
      <c r="R77" s="9">
        <v>7297.6</v>
      </c>
      <c r="S77" s="7" t="s">
        <v>54</v>
      </c>
      <c r="T77" s="7" t="b">
        <v>0</v>
      </c>
      <c r="U77" s="7" t="s">
        <v>56</v>
      </c>
      <c r="V77" s="27" t="s">
        <v>57</v>
      </c>
      <c r="W77" s="7" t="s">
        <v>625</v>
      </c>
    </row>
    <row r="78">
      <c r="A78" s="7" t="s">
        <v>626</v>
      </c>
      <c r="B78" s="7" t="s">
        <v>627</v>
      </c>
      <c r="C78" s="7" t="s">
        <v>629</v>
      </c>
      <c r="D78" s="7" t="s">
        <v>413</v>
      </c>
      <c r="E78" s="9"/>
      <c r="F78" s="11">
        <v>13.77814</v>
      </c>
      <c r="G78" s="11">
        <v>100.57206</v>
      </c>
      <c r="H78" s="7" t="s">
        <v>93</v>
      </c>
      <c r="I78" s="13">
        <v>-0.34</v>
      </c>
      <c r="J78" s="13"/>
      <c r="K78" s="13"/>
      <c r="L78" s="13">
        <v>-0.2</v>
      </c>
      <c r="M78" s="13">
        <v>0.0</v>
      </c>
      <c r="N78" s="7" t="s">
        <v>52</v>
      </c>
      <c r="O78" s="7" t="s">
        <v>52</v>
      </c>
      <c r="P78" s="9"/>
      <c r="Q78" s="9"/>
      <c r="R78" s="9">
        <v>7297.6</v>
      </c>
      <c r="S78" s="7" t="s">
        <v>54</v>
      </c>
      <c r="T78" s="7" t="b">
        <v>0</v>
      </c>
      <c r="U78" s="7" t="s">
        <v>56</v>
      </c>
      <c r="V78" s="27" t="s">
        <v>57</v>
      </c>
      <c r="W78" s="7" t="s">
        <v>632</v>
      </c>
    </row>
    <row r="79">
      <c r="A79" s="7" t="s">
        <v>633</v>
      </c>
      <c r="B79" s="7" t="s">
        <v>634</v>
      </c>
      <c r="C79" s="7" t="s">
        <v>635</v>
      </c>
      <c r="D79" s="7" t="s">
        <v>624</v>
      </c>
      <c r="E79" s="9"/>
      <c r="F79" s="11">
        <v>13.73722</v>
      </c>
      <c r="G79" s="11">
        <v>100.62499</v>
      </c>
      <c r="H79" s="7" t="s">
        <v>93</v>
      </c>
      <c r="I79" s="13">
        <v>0.54</v>
      </c>
      <c r="J79" s="13"/>
      <c r="K79" s="13"/>
      <c r="L79" s="13">
        <v>-0.2</v>
      </c>
      <c r="M79" s="13">
        <v>0.0</v>
      </c>
      <c r="N79" s="7" t="s">
        <v>52</v>
      </c>
      <c r="O79" s="7" t="s">
        <v>52</v>
      </c>
      <c r="P79" s="9"/>
      <c r="Q79" s="9"/>
      <c r="R79" s="9">
        <v>7297.6</v>
      </c>
      <c r="S79" s="7" t="s">
        <v>54</v>
      </c>
      <c r="T79" s="7" t="b">
        <v>0</v>
      </c>
      <c r="U79" s="7" t="s">
        <v>56</v>
      </c>
      <c r="V79" s="27" t="s">
        <v>57</v>
      </c>
      <c r="W79" s="7" t="s">
        <v>641</v>
      </c>
    </row>
    <row r="80">
      <c r="A80" s="7" t="s">
        <v>643</v>
      </c>
      <c r="B80" s="7" t="s">
        <v>644</v>
      </c>
      <c r="C80" s="7" t="s">
        <v>645</v>
      </c>
      <c r="D80" s="7" t="s">
        <v>646</v>
      </c>
      <c r="E80" s="9"/>
      <c r="F80" s="11">
        <v>13.64855</v>
      </c>
      <c r="G80" s="11">
        <v>100.59523</v>
      </c>
      <c r="H80" s="7" t="s">
        <v>93</v>
      </c>
      <c r="I80" s="13">
        <v>0.2</v>
      </c>
      <c r="J80" s="13"/>
      <c r="K80" s="13"/>
      <c r="L80" s="13">
        <v>1.5</v>
      </c>
      <c r="M80" s="13">
        <v>1.8</v>
      </c>
      <c r="N80" s="7" t="s">
        <v>52</v>
      </c>
      <c r="O80" s="7" t="s">
        <v>52</v>
      </c>
      <c r="P80" s="9"/>
      <c r="Q80" s="9"/>
      <c r="R80" s="9">
        <v>7297.6</v>
      </c>
      <c r="S80" s="7" t="s">
        <v>54</v>
      </c>
      <c r="T80" s="7" t="b">
        <v>0</v>
      </c>
      <c r="U80" s="7" t="s">
        <v>56</v>
      </c>
      <c r="V80" s="27" t="s">
        <v>57</v>
      </c>
      <c r="W80" s="7" t="s">
        <v>648</v>
      </c>
    </row>
    <row r="81">
      <c r="A81" s="7" t="s">
        <v>649</v>
      </c>
      <c r="B81" s="7" t="s">
        <v>650</v>
      </c>
      <c r="C81" s="7" t="s">
        <v>651</v>
      </c>
      <c r="D81" s="7" t="s">
        <v>92</v>
      </c>
      <c r="E81" s="9"/>
      <c r="F81" s="11">
        <v>13.74974</v>
      </c>
      <c r="G81" s="11">
        <v>100.70291</v>
      </c>
      <c r="H81" s="7" t="s">
        <v>93</v>
      </c>
      <c r="I81" s="13">
        <v>0.89</v>
      </c>
      <c r="J81" s="13"/>
      <c r="K81" s="13"/>
      <c r="L81" s="13">
        <v>0.3</v>
      </c>
      <c r="M81" s="13">
        <v>0.4</v>
      </c>
      <c r="N81" s="7" t="s">
        <v>52</v>
      </c>
      <c r="O81" s="7" t="s">
        <v>52</v>
      </c>
      <c r="P81" s="9"/>
      <c r="Q81" s="9"/>
      <c r="R81" s="9">
        <v>7297.6</v>
      </c>
      <c r="S81" s="7" t="s">
        <v>54</v>
      </c>
      <c r="T81" s="7" t="b">
        <v>0</v>
      </c>
      <c r="U81" s="7" t="s">
        <v>56</v>
      </c>
      <c r="V81" s="27" t="s">
        <v>57</v>
      </c>
      <c r="W81" s="7" t="s">
        <v>653</v>
      </c>
    </row>
    <row r="82">
      <c r="A82" s="7" t="s">
        <v>654</v>
      </c>
      <c r="B82" s="7" t="s">
        <v>655</v>
      </c>
      <c r="C82" s="7" t="s">
        <v>656</v>
      </c>
      <c r="D82" s="7" t="s">
        <v>413</v>
      </c>
      <c r="E82" s="9"/>
      <c r="F82" s="11">
        <v>13.77895</v>
      </c>
      <c r="G82" s="11">
        <v>100.56654</v>
      </c>
      <c r="H82" s="7" t="s">
        <v>93</v>
      </c>
      <c r="I82" s="13">
        <v>-2.0</v>
      </c>
      <c r="J82" s="13"/>
      <c r="K82" s="13"/>
      <c r="L82" s="13">
        <v>0.0</v>
      </c>
      <c r="M82" s="13">
        <v>0.1</v>
      </c>
      <c r="N82" s="7" t="s">
        <v>52</v>
      </c>
      <c r="O82" s="7" t="s">
        <v>52</v>
      </c>
      <c r="P82" s="9"/>
      <c r="Q82" s="9"/>
      <c r="R82" s="9">
        <v>7297.6</v>
      </c>
      <c r="S82" s="7" t="s">
        <v>54</v>
      </c>
      <c r="T82" s="7" t="b">
        <v>0</v>
      </c>
      <c r="U82" s="7" t="s">
        <v>56</v>
      </c>
      <c r="V82" s="27" t="s">
        <v>57</v>
      </c>
      <c r="W82" s="7" t="s">
        <v>663</v>
      </c>
    </row>
    <row r="83">
      <c r="A83" s="7" t="s">
        <v>664</v>
      </c>
      <c r="B83" s="7" t="s">
        <v>665</v>
      </c>
      <c r="C83" s="7" t="s">
        <v>666</v>
      </c>
      <c r="D83" s="7" t="s">
        <v>472</v>
      </c>
      <c r="E83" s="9"/>
      <c r="F83" s="11">
        <v>13.74783</v>
      </c>
      <c r="G83" s="11">
        <v>100.56304</v>
      </c>
      <c r="H83" s="7" t="s">
        <v>93</v>
      </c>
      <c r="I83" s="13">
        <v>0.14</v>
      </c>
      <c r="J83" s="13"/>
      <c r="K83" s="13"/>
      <c r="L83" s="13">
        <v>0.0</v>
      </c>
      <c r="M83" s="13">
        <v>0.15</v>
      </c>
      <c r="N83" s="7" t="s">
        <v>52</v>
      </c>
      <c r="O83" s="7" t="s">
        <v>52</v>
      </c>
      <c r="P83" s="9"/>
      <c r="Q83" s="9"/>
      <c r="R83" s="9">
        <v>7297.6</v>
      </c>
      <c r="S83" s="7" t="s">
        <v>54</v>
      </c>
      <c r="T83" s="7" t="b">
        <v>0</v>
      </c>
      <c r="U83" s="7" t="s">
        <v>56</v>
      </c>
      <c r="V83" s="27" t="s">
        <v>57</v>
      </c>
      <c r="W83" s="7" t="s">
        <v>671</v>
      </c>
    </row>
    <row r="84">
      <c r="A84" s="7" t="s">
        <v>673</v>
      </c>
      <c r="B84" s="7" t="s">
        <v>675</v>
      </c>
      <c r="C84" s="7" t="s">
        <v>676</v>
      </c>
      <c r="D84" s="7" t="s">
        <v>472</v>
      </c>
      <c r="E84" s="9"/>
      <c r="F84" s="11">
        <v>13.71693</v>
      </c>
      <c r="G84" s="11">
        <v>100.59558</v>
      </c>
      <c r="H84" s="7" t="s">
        <v>93</v>
      </c>
      <c r="I84" s="13">
        <v>-1.5</v>
      </c>
      <c r="J84" s="13"/>
      <c r="K84" s="13"/>
      <c r="L84" s="13">
        <v>-0.3</v>
      </c>
      <c r="M84" s="13">
        <v>0.0</v>
      </c>
      <c r="N84" s="7" t="s">
        <v>52</v>
      </c>
      <c r="O84" s="7" t="s">
        <v>52</v>
      </c>
      <c r="P84" s="9"/>
      <c r="Q84" s="9"/>
      <c r="R84" s="9">
        <v>7297.6</v>
      </c>
      <c r="S84" s="7" t="s">
        <v>54</v>
      </c>
      <c r="T84" s="7" t="b">
        <v>0</v>
      </c>
      <c r="U84" s="7" t="s">
        <v>56</v>
      </c>
      <c r="V84" s="27" t="s">
        <v>57</v>
      </c>
      <c r="W84" s="7" t="s">
        <v>678</v>
      </c>
    </row>
    <row r="85">
      <c r="A85" s="7" t="s">
        <v>680</v>
      </c>
      <c r="B85" s="7" t="s">
        <v>681</v>
      </c>
      <c r="C85" s="7" t="s">
        <v>682</v>
      </c>
      <c r="D85" s="7" t="s">
        <v>459</v>
      </c>
      <c r="E85" s="9"/>
      <c r="F85" s="11">
        <v>13.75489</v>
      </c>
      <c r="G85" s="11">
        <v>100.88956</v>
      </c>
      <c r="H85" s="7" t="s">
        <v>93</v>
      </c>
      <c r="I85" s="13">
        <v>1.02</v>
      </c>
      <c r="J85" s="13"/>
      <c r="K85" s="13"/>
      <c r="L85" s="13">
        <v>0.6</v>
      </c>
      <c r="M85" s="13">
        <v>0.7</v>
      </c>
      <c r="N85" s="7" t="s">
        <v>52</v>
      </c>
      <c r="O85" s="7" t="s">
        <v>52</v>
      </c>
      <c r="P85" s="9"/>
      <c r="Q85" s="9"/>
      <c r="R85" s="9">
        <v>7297.6</v>
      </c>
      <c r="S85" s="7" t="s">
        <v>54</v>
      </c>
      <c r="T85" s="7" t="b">
        <v>0</v>
      </c>
      <c r="U85" s="7" t="s">
        <v>56</v>
      </c>
      <c r="V85" s="27" t="s">
        <v>57</v>
      </c>
      <c r="W85" s="7" t="s">
        <v>684</v>
      </c>
    </row>
    <row r="86">
      <c r="A86" s="7" t="s">
        <v>685</v>
      </c>
      <c r="B86" s="7" t="s">
        <v>686</v>
      </c>
      <c r="C86" s="7" t="s">
        <v>687</v>
      </c>
      <c r="D86" s="7" t="s">
        <v>256</v>
      </c>
      <c r="E86" s="9"/>
      <c r="F86" s="11">
        <v>13.79875</v>
      </c>
      <c r="G86" s="11">
        <v>100.58655</v>
      </c>
      <c r="H86" s="7" t="s">
        <v>93</v>
      </c>
      <c r="I86" s="13">
        <v>0.21</v>
      </c>
      <c r="J86" s="13"/>
      <c r="K86" s="13"/>
      <c r="L86" s="13"/>
      <c r="M86" s="13"/>
      <c r="N86" s="7" t="s">
        <v>52</v>
      </c>
      <c r="O86" s="7" t="s">
        <v>52</v>
      </c>
      <c r="P86" s="9"/>
      <c r="Q86" s="9"/>
      <c r="R86" s="9">
        <v>7297.6</v>
      </c>
      <c r="S86" s="7" t="s">
        <v>54</v>
      </c>
      <c r="T86" s="7" t="b">
        <v>0</v>
      </c>
      <c r="U86" s="7" t="s">
        <v>56</v>
      </c>
      <c r="V86" s="27" t="s">
        <v>57</v>
      </c>
      <c r="W86" s="7" t="s">
        <v>690</v>
      </c>
    </row>
    <row r="87">
      <c r="A87" s="7" t="s">
        <v>691</v>
      </c>
      <c r="B87" s="7" t="s">
        <v>692</v>
      </c>
      <c r="C87" s="7" t="s">
        <v>693</v>
      </c>
      <c r="D87" s="7" t="s">
        <v>227</v>
      </c>
      <c r="E87" s="9"/>
      <c r="F87" s="11">
        <v>13.78408</v>
      </c>
      <c r="G87" s="11">
        <v>100.61341</v>
      </c>
      <c r="H87" s="7" t="s">
        <v>93</v>
      </c>
      <c r="I87" s="13">
        <v>0.25</v>
      </c>
      <c r="J87" s="13"/>
      <c r="K87" s="13"/>
      <c r="L87" s="13">
        <v>-0.2</v>
      </c>
      <c r="M87" s="13">
        <v>0.0</v>
      </c>
      <c r="N87" s="7" t="s">
        <v>52</v>
      </c>
      <c r="O87" s="7" t="s">
        <v>52</v>
      </c>
      <c r="P87" s="9"/>
      <c r="Q87" s="9"/>
      <c r="R87" s="9">
        <v>7297.6</v>
      </c>
      <c r="S87" s="7" t="s">
        <v>54</v>
      </c>
      <c r="T87" s="7" t="b">
        <v>0</v>
      </c>
      <c r="U87" s="7" t="s">
        <v>56</v>
      </c>
      <c r="V87" s="27" t="s">
        <v>57</v>
      </c>
      <c r="W87" s="7" t="s">
        <v>697</v>
      </c>
    </row>
    <row r="88">
      <c r="A88" s="7" t="s">
        <v>699</v>
      </c>
      <c r="B88" s="7" t="s">
        <v>701</v>
      </c>
      <c r="C88" s="7" t="s">
        <v>702</v>
      </c>
      <c r="D88" s="7" t="s">
        <v>317</v>
      </c>
      <c r="E88" s="9"/>
      <c r="F88" s="11">
        <v>13.80463</v>
      </c>
      <c r="G88" s="11">
        <v>100.53595</v>
      </c>
      <c r="H88" s="7" t="s">
        <v>93</v>
      </c>
      <c r="I88" s="13">
        <v>0.66</v>
      </c>
      <c r="J88" s="13"/>
      <c r="K88" s="13"/>
      <c r="L88" s="13">
        <v>0.3</v>
      </c>
      <c r="M88" s="13">
        <v>0.4</v>
      </c>
      <c r="N88" s="7" t="s">
        <v>52</v>
      </c>
      <c r="O88" s="7" t="s">
        <v>52</v>
      </c>
      <c r="P88" s="9"/>
      <c r="Q88" s="9"/>
      <c r="R88" s="9">
        <v>7297.6</v>
      </c>
      <c r="S88" s="7" t="s">
        <v>54</v>
      </c>
      <c r="T88" s="7" t="b">
        <v>0</v>
      </c>
      <c r="U88" s="7" t="s">
        <v>56</v>
      </c>
      <c r="V88" s="27" t="s">
        <v>57</v>
      </c>
      <c r="W88" s="7" t="s">
        <v>704</v>
      </c>
    </row>
    <row r="89">
      <c r="A89" s="7" t="s">
        <v>705</v>
      </c>
      <c r="B89" s="7" t="s">
        <v>706</v>
      </c>
      <c r="C89" s="7" t="s">
        <v>707</v>
      </c>
      <c r="D89" s="7" t="s">
        <v>274</v>
      </c>
      <c r="E89" s="9"/>
      <c r="F89" s="11">
        <v>13.83021</v>
      </c>
      <c r="G89" s="11">
        <v>100.5571</v>
      </c>
      <c r="H89" s="7" t="s">
        <v>93</v>
      </c>
      <c r="I89" s="13">
        <v>-1.24</v>
      </c>
      <c r="J89" s="13"/>
      <c r="K89" s="13"/>
      <c r="L89" s="13">
        <v>0.2</v>
      </c>
      <c r="M89" s="13">
        <v>0.3</v>
      </c>
      <c r="N89" s="7" t="s">
        <v>52</v>
      </c>
      <c r="O89" s="7" t="s">
        <v>52</v>
      </c>
      <c r="P89" s="9"/>
      <c r="Q89" s="9"/>
      <c r="R89" s="9">
        <v>7297.6</v>
      </c>
      <c r="S89" s="7" t="s">
        <v>54</v>
      </c>
      <c r="T89" s="7" t="b">
        <v>0</v>
      </c>
      <c r="U89" s="7" t="s">
        <v>56</v>
      </c>
      <c r="V89" s="27" t="s">
        <v>57</v>
      </c>
      <c r="W89" s="7" t="s">
        <v>711</v>
      </c>
    </row>
    <row r="90">
      <c r="A90" s="7" t="s">
        <v>713</v>
      </c>
      <c r="B90" s="7" t="s">
        <v>714</v>
      </c>
      <c r="C90" s="7" t="s">
        <v>715</v>
      </c>
      <c r="D90" s="7" t="s">
        <v>182</v>
      </c>
      <c r="E90" s="9"/>
      <c r="F90" s="11">
        <v>13.74846</v>
      </c>
      <c r="G90" s="11">
        <v>100.54583</v>
      </c>
      <c r="H90" s="7" t="s">
        <v>717</v>
      </c>
      <c r="I90" s="13">
        <v>-0.33</v>
      </c>
      <c r="J90" s="13"/>
      <c r="K90" s="13"/>
      <c r="L90" s="13">
        <v>0.0</v>
      </c>
      <c r="M90" s="13">
        <v>0.1</v>
      </c>
      <c r="N90" s="7" t="s">
        <v>52</v>
      </c>
      <c r="O90" s="7" t="s">
        <v>52</v>
      </c>
      <c r="P90" s="9"/>
      <c r="Q90" s="9"/>
      <c r="R90" s="9">
        <v>278857.6</v>
      </c>
      <c r="S90" s="7" t="s">
        <v>54</v>
      </c>
      <c r="T90" s="7" t="b">
        <v>0</v>
      </c>
      <c r="U90" s="7" t="s">
        <v>56</v>
      </c>
      <c r="V90" s="27" t="s">
        <v>57</v>
      </c>
      <c r="W90" s="7" t="s">
        <v>719</v>
      </c>
    </row>
    <row r="91">
      <c r="A91" s="7" t="s">
        <v>720</v>
      </c>
      <c r="B91" s="7" t="s">
        <v>721</v>
      </c>
      <c r="C91" s="7" t="s">
        <v>722</v>
      </c>
      <c r="D91" s="7" t="s">
        <v>104</v>
      </c>
      <c r="E91" s="9"/>
      <c r="F91" s="11">
        <v>13.82306</v>
      </c>
      <c r="G91" s="11">
        <v>100.60897</v>
      </c>
      <c r="H91" s="7" t="s">
        <v>93</v>
      </c>
      <c r="I91" s="13">
        <v>-0.12</v>
      </c>
      <c r="J91" s="13"/>
      <c r="K91" s="13"/>
      <c r="L91" s="13">
        <v>0.3</v>
      </c>
      <c r="M91" s="13">
        <v>0.4</v>
      </c>
      <c r="N91" s="7" t="s">
        <v>52</v>
      </c>
      <c r="O91" s="7" t="s">
        <v>52</v>
      </c>
      <c r="P91" s="9"/>
      <c r="Q91" s="9"/>
      <c r="R91" s="9">
        <v>7297.6</v>
      </c>
      <c r="S91" s="7" t="s">
        <v>54</v>
      </c>
      <c r="T91" s="7" t="b">
        <v>0</v>
      </c>
      <c r="U91" s="7" t="s">
        <v>56</v>
      </c>
      <c r="V91" s="27" t="s">
        <v>57</v>
      </c>
      <c r="W91" s="7" t="s">
        <v>724</v>
      </c>
    </row>
    <row r="92">
      <c r="A92" s="7" t="s">
        <v>726</v>
      </c>
      <c r="B92" s="7" t="s">
        <v>727</v>
      </c>
      <c r="C92" s="7" t="s">
        <v>728</v>
      </c>
      <c r="D92" s="7" t="s">
        <v>92</v>
      </c>
      <c r="E92" s="9"/>
      <c r="F92" s="11">
        <v>13.7805</v>
      </c>
      <c r="G92" s="11">
        <v>100.67387</v>
      </c>
      <c r="H92" s="7" t="s">
        <v>93</v>
      </c>
      <c r="I92" s="13">
        <v>0.8</v>
      </c>
      <c r="J92" s="13"/>
      <c r="K92" s="13"/>
      <c r="L92" s="13">
        <v>0.35</v>
      </c>
      <c r="M92" s="13">
        <v>0.45</v>
      </c>
      <c r="N92" s="7" t="s">
        <v>52</v>
      </c>
      <c r="O92" s="7" t="s">
        <v>52</v>
      </c>
      <c r="P92" s="9"/>
      <c r="Q92" s="9"/>
      <c r="R92" s="9">
        <v>7297.6</v>
      </c>
      <c r="S92" s="7" t="s">
        <v>54</v>
      </c>
      <c r="T92" s="7" t="b">
        <v>0</v>
      </c>
      <c r="U92" s="7" t="s">
        <v>56</v>
      </c>
      <c r="V92" s="27" t="s">
        <v>57</v>
      </c>
      <c r="W92" s="7" t="s">
        <v>734</v>
      </c>
    </row>
    <row r="93">
      <c r="A93" s="7" t="s">
        <v>735</v>
      </c>
      <c r="B93" s="7" t="s">
        <v>737</v>
      </c>
      <c r="C93" s="7" t="s">
        <v>738</v>
      </c>
      <c r="D93" s="7" t="s">
        <v>739</v>
      </c>
      <c r="E93" s="9"/>
      <c r="F93" s="11">
        <v>13.82094</v>
      </c>
      <c r="G93" s="11">
        <v>100.74738</v>
      </c>
      <c r="H93" s="7" t="s">
        <v>93</v>
      </c>
      <c r="I93" s="13">
        <v>1.01</v>
      </c>
      <c r="J93" s="13"/>
      <c r="K93" s="13"/>
      <c r="L93" s="13">
        <v>0.6</v>
      </c>
      <c r="M93" s="13">
        <v>0.9</v>
      </c>
      <c r="N93" s="7" t="s">
        <v>52</v>
      </c>
      <c r="O93" s="7" t="s">
        <v>52</v>
      </c>
      <c r="P93" s="9"/>
      <c r="Q93" s="9"/>
      <c r="R93" s="9">
        <v>7297.6</v>
      </c>
      <c r="S93" s="7" t="s">
        <v>54</v>
      </c>
      <c r="T93" s="7" t="b">
        <v>0</v>
      </c>
      <c r="U93" s="7" t="s">
        <v>56</v>
      </c>
      <c r="V93" s="27" t="s">
        <v>57</v>
      </c>
      <c r="W93" s="7" t="s">
        <v>740</v>
      </c>
    </row>
    <row r="94">
      <c r="A94" s="7" t="s">
        <v>741</v>
      </c>
      <c r="B94" s="7" t="s">
        <v>742</v>
      </c>
      <c r="C94" s="7" t="s">
        <v>743</v>
      </c>
      <c r="D94" s="7" t="s">
        <v>624</v>
      </c>
      <c r="E94" s="9"/>
      <c r="F94" s="11">
        <v>13.7091</v>
      </c>
      <c r="G94" s="11">
        <v>100.6307</v>
      </c>
      <c r="H94" s="7" t="s">
        <v>93</v>
      </c>
      <c r="I94" s="13">
        <v>0.33</v>
      </c>
      <c r="J94" s="13"/>
      <c r="K94" s="13"/>
      <c r="L94" s="13">
        <v>0.5</v>
      </c>
      <c r="M94" s="13">
        <v>0.6</v>
      </c>
      <c r="N94" s="7" t="s">
        <v>52</v>
      </c>
      <c r="O94" s="7" t="s">
        <v>52</v>
      </c>
      <c r="P94" s="9"/>
      <c r="Q94" s="9"/>
      <c r="R94" s="9">
        <v>7297.6</v>
      </c>
      <c r="S94" s="7" t="s">
        <v>54</v>
      </c>
      <c r="T94" s="7" t="b">
        <v>0</v>
      </c>
      <c r="U94" s="7" t="s">
        <v>56</v>
      </c>
      <c r="V94" s="27" t="s">
        <v>57</v>
      </c>
      <c r="W94" s="7" t="s">
        <v>752</v>
      </c>
    </row>
    <row r="95">
      <c r="A95" s="7" t="s">
        <v>753</v>
      </c>
      <c r="B95" s="7" t="s">
        <v>754</v>
      </c>
      <c r="C95" s="7" t="s">
        <v>755</v>
      </c>
      <c r="D95" s="7" t="s">
        <v>308</v>
      </c>
      <c r="E95" s="9"/>
      <c r="F95" s="11">
        <v>13.72396</v>
      </c>
      <c r="G95" s="11">
        <v>100.78399</v>
      </c>
      <c r="H95" s="7" t="s">
        <v>239</v>
      </c>
      <c r="I95" s="13">
        <v>0.99</v>
      </c>
      <c r="J95" s="13"/>
      <c r="K95" s="13"/>
      <c r="L95" s="13">
        <v>0.55</v>
      </c>
      <c r="M95" s="13">
        <v>0.65</v>
      </c>
      <c r="N95" s="7" t="s">
        <v>52</v>
      </c>
      <c r="O95" s="7" t="s">
        <v>52</v>
      </c>
      <c r="P95" s="9"/>
      <c r="Q95" s="9"/>
      <c r="R95" s="9">
        <v>7302.6</v>
      </c>
      <c r="S95" s="7" t="s">
        <v>54</v>
      </c>
      <c r="T95" s="7" t="b">
        <v>0</v>
      </c>
      <c r="U95" s="7" t="s">
        <v>56</v>
      </c>
      <c r="V95" s="27" t="s">
        <v>57</v>
      </c>
      <c r="W95" s="7" t="s">
        <v>756</v>
      </c>
    </row>
    <row r="96">
      <c r="A96" s="7" t="s">
        <v>758</v>
      </c>
      <c r="B96" s="7" t="s">
        <v>759</v>
      </c>
      <c r="C96" s="7" t="s">
        <v>760</v>
      </c>
      <c r="D96" s="7" t="s">
        <v>762</v>
      </c>
      <c r="E96" s="9"/>
      <c r="F96" s="11">
        <v>13.83698</v>
      </c>
      <c r="G96" s="11">
        <v>100.68803</v>
      </c>
      <c r="H96" s="7" t="s">
        <v>93</v>
      </c>
      <c r="I96" s="13">
        <v>1.28</v>
      </c>
      <c r="J96" s="13"/>
      <c r="K96" s="13"/>
      <c r="L96" s="13">
        <v>0.7</v>
      </c>
      <c r="M96" s="13">
        <v>0.8</v>
      </c>
      <c r="N96" s="7" t="s">
        <v>52</v>
      </c>
      <c r="O96" s="7" t="s">
        <v>52</v>
      </c>
      <c r="P96" s="9"/>
      <c r="Q96" s="9"/>
      <c r="R96" s="9">
        <v>7297.6</v>
      </c>
      <c r="S96" s="7" t="s">
        <v>54</v>
      </c>
      <c r="T96" s="7" t="b">
        <v>0</v>
      </c>
      <c r="U96" s="7" t="s">
        <v>56</v>
      </c>
      <c r="V96" s="27" t="s">
        <v>57</v>
      </c>
      <c r="W96" s="7" t="s">
        <v>793</v>
      </c>
    </row>
    <row r="97">
      <c r="A97" s="7" t="s">
        <v>797</v>
      </c>
      <c r="B97" s="7" t="s">
        <v>798</v>
      </c>
      <c r="C97" s="7" t="s">
        <v>800</v>
      </c>
      <c r="D97" s="7" t="s">
        <v>535</v>
      </c>
      <c r="E97" s="9"/>
      <c r="F97" s="11">
        <v>13.79815</v>
      </c>
      <c r="G97" s="11">
        <v>100.44488</v>
      </c>
      <c r="H97" s="7" t="s">
        <v>93</v>
      </c>
      <c r="I97" s="13">
        <v>-0.11</v>
      </c>
      <c r="J97" s="13"/>
      <c r="K97" s="13"/>
      <c r="L97" s="13">
        <v>0.6</v>
      </c>
      <c r="M97" s="13">
        <v>0.7</v>
      </c>
      <c r="N97" s="7" t="s">
        <v>52</v>
      </c>
      <c r="O97" s="7" t="s">
        <v>52</v>
      </c>
      <c r="P97" s="9"/>
      <c r="Q97" s="9"/>
      <c r="R97" s="9">
        <v>7297.6</v>
      </c>
      <c r="S97" s="7" t="s">
        <v>54</v>
      </c>
      <c r="T97" s="7" t="b">
        <v>0</v>
      </c>
      <c r="U97" s="7" t="s">
        <v>56</v>
      </c>
      <c r="V97" s="27" t="s">
        <v>57</v>
      </c>
      <c r="W97" s="7" t="s">
        <v>814</v>
      </c>
    </row>
    <row r="98">
      <c r="A98" s="7" t="s">
        <v>817</v>
      </c>
      <c r="B98" s="7" t="s">
        <v>819</v>
      </c>
      <c r="C98" s="7" t="s">
        <v>822</v>
      </c>
      <c r="D98" s="7" t="s">
        <v>162</v>
      </c>
      <c r="E98" s="9"/>
      <c r="F98" s="11">
        <v>13.70818</v>
      </c>
      <c r="G98" s="11">
        <v>100.42615</v>
      </c>
      <c r="H98" s="7" t="s">
        <v>93</v>
      </c>
      <c r="I98" s="13">
        <v>0.45</v>
      </c>
      <c r="J98" s="13"/>
      <c r="K98" s="13"/>
      <c r="L98" s="13">
        <v>0.6</v>
      </c>
      <c r="M98" s="13">
        <v>0.7</v>
      </c>
      <c r="N98" s="7" t="s">
        <v>52</v>
      </c>
      <c r="O98" s="7" t="s">
        <v>52</v>
      </c>
      <c r="P98" s="9"/>
      <c r="Q98" s="9"/>
      <c r="R98" s="9">
        <v>7297.6</v>
      </c>
      <c r="S98" s="7" t="s">
        <v>54</v>
      </c>
      <c r="T98" s="7" t="b">
        <v>0</v>
      </c>
      <c r="U98" s="7" t="s">
        <v>56</v>
      </c>
      <c r="V98" s="27" t="s">
        <v>57</v>
      </c>
      <c r="W98" s="7" t="s">
        <v>838</v>
      </c>
    </row>
    <row r="99">
      <c r="A99" s="7" t="s">
        <v>840</v>
      </c>
      <c r="B99" s="7" t="s">
        <v>841</v>
      </c>
      <c r="C99" s="7" t="s">
        <v>843</v>
      </c>
      <c r="D99" s="7" t="s">
        <v>360</v>
      </c>
      <c r="E99" s="9"/>
      <c r="F99" s="11">
        <v>13.77284</v>
      </c>
      <c r="G99" s="11">
        <v>100.53</v>
      </c>
      <c r="H99" s="7" t="s">
        <v>862</v>
      </c>
      <c r="I99" s="13">
        <v>-0.54</v>
      </c>
      <c r="J99" s="13"/>
      <c r="K99" s="13"/>
      <c r="L99" s="13">
        <v>0.3</v>
      </c>
      <c r="M99" s="13">
        <v>0.4</v>
      </c>
      <c r="N99" s="7" t="s">
        <v>52</v>
      </c>
      <c r="O99" s="7" t="s">
        <v>52</v>
      </c>
      <c r="P99" s="9"/>
      <c r="Q99" s="9"/>
      <c r="R99" s="9">
        <v>322732.6</v>
      </c>
      <c r="S99" s="7" t="s">
        <v>54</v>
      </c>
      <c r="T99" s="7" t="b">
        <v>0</v>
      </c>
      <c r="U99" s="7" t="s">
        <v>56</v>
      </c>
      <c r="V99" s="27" t="s">
        <v>57</v>
      </c>
      <c r="W99" s="7" t="s">
        <v>865</v>
      </c>
    </row>
    <row r="100">
      <c r="A100" s="7" t="s">
        <v>866</v>
      </c>
      <c r="B100" s="7" t="s">
        <v>867</v>
      </c>
      <c r="C100" s="7" t="s">
        <v>868</v>
      </c>
      <c r="D100" s="7" t="s">
        <v>739</v>
      </c>
      <c r="E100" s="9"/>
      <c r="F100" s="11">
        <v>13.81383</v>
      </c>
      <c r="G100" s="11">
        <v>100.76524</v>
      </c>
      <c r="H100" s="7" t="s">
        <v>874</v>
      </c>
      <c r="I100" s="13">
        <v>1.11</v>
      </c>
      <c r="J100" s="13"/>
      <c r="K100" s="13"/>
      <c r="L100" s="13">
        <v>0.8</v>
      </c>
      <c r="M100" s="13">
        <v>0.9</v>
      </c>
      <c r="N100" s="7" t="s">
        <v>52</v>
      </c>
      <c r="O100" s="7" t="s">
        <v>52</v>
      </c>
      <c r="P100" s="9"/>
      <c r="Q100" s="9"/>
      <c r="R100" s="9">
        <v>8082.6</v>
      </c>
      <c r="S100" s="7" t="s">
        <v>54</v>
      </c>
      <c r="T100" s="7" t="b">
        <v>0</v>
      </c>
      <c r="U100" s="7" t="s">
        <v>56</v>
      </c>
      <c r="V100" s="27" t="s">
        <v>57</v>
      </c>
      <c r="W100" s="7" t="s">
        <v>877</v>
      </c>
    </row>
    <row r="101">
      <c r="A101" s="7" t="s">
        <v>879</v>
      </c>
      <c r="B101" s="7" t="s">
        <v>881</v>
      </c>
      <c r="C101" s="7" t="s">
        <v>882</v>
      </c>
      <c r="D101" s="7" t="s">
        <v>247</v>
      </c>
      <c r="E101" s="9"/>
      <c r="F101" s="11">
        <v>13.71979</v>
      </c>
      <c r="G101" s="11">
        <v>100.53124</v>
      </c>
      <c r="H101" s="7" t="s">
        <v>885</v>
      </c>
      <c r="I101" s="13">
        <v>-0.49</v>
      </c>
      <c r="J101" s="13"/>
      <c r="K101" s="13"/>
      <c r="L101" s="13"/>
      <c r="M101" s="13"/>
      <c r="N101" s="7" t="s">
        <v>52</v>
      </c>
      <c r="O101" s="7" t="s">
        <v>52</v>
      </c>
      <c r="P101" s="9"/>
      <c r="Q101" s="9"/>
      <c r="R101" s="9">
        <v>2672892.6</v>
      </c>
      <c r="S101" s="7" t="s">
        <v>54</v>
      </c>
      <c r="T101" s="7" t="b">
        <v>0</v>
      </c>
      <c r="U101" s="7" t="s">
        <v>56</v>
      </c>
      <c r="V101" s="27" t="s">
        <v>57</v>
      </c>
      <c r="W101" s="7" t="s">
        <v>889</v>
      </c>
    </row>
    <row r="102">
      <c r="A102" s="7" t="s">
        <v>891</v>
      </c>
      <c r="B102" s="7" t="s">
        <v>893</v>
      </c>
      <c r="C102" s="7" t="s">
        <v>895</v>
      </c>
      <c r="D102" s="7" t="s">
        <v>407</v>
      </c>
      <c r="E102" s="9"/>
      <c r="F102" s="11">
        <v>13.76308</v>
      </c>
      <c r="G102" s="11">
        <v>100.54288</v>
      </c>
      <c r="H102" s="7" t="s">
        <v>900</v>
      </c>
      <c r="I102" s="13">
        <v>-1.17</v>
      </c>
      <c r="J102" s="13"/>
      <c r="K102" s="13"/>
      <c r="L102" s="13">
        <v>0.2</v>
      </c>
      <c r="M102" s="13">
        <v>0.3</v>
      </c>
      <c r="N102" s="7" t="s">
        <v>52</v>
      </c>
      <c r="O102" s="7" t="s">
        <v>52</v>
      </c>
      <c r="P102" s="9"/>
      <c r="Q102" s="9"/>
      <c r="R102" s="9">
        <v>2098287.6</v>
      </c>
      <c r="S102" s="7" t="s">
        <v>54</v>
      </c>
      <c r="T102" s="7" t="b">
        <v>0</v>
      </c>
      <c r="U102" s="7" t="s">
        <v>56</v>
      </c>
      <c r="V102" s="27" t="s">
        <v>57</v>
      </c>
      <c r="W102" s="7" t="s">
        <v>902</v>
      </c>
    </row>
    <row r="103">
      <c r="A103" s="7" t="s">
        <v>903</v>
      </c>
      <c r="B103" s="7" t="s">
        <v>905</v>
      </c>
      <c r="C103" s="7" t="s">
        <v>907</v>
      </c>
      <c r="D103" s="7" t="s">
        <v>467</v>
      </c>
      <c r="E103" s="9"/>
      <c r="F103" s="11">
        <v>13.77772</v>
      </c>
      <c r="G103" s="11">
        <v>100.52121</v>
      </c>
      <c r="H103" s="7" t="s">
        <v>93</v>
      </c>
      <c r="I103" s="13">
        <v>-0.45</v>
      </c>
      <c r="J103" s="13"/>
      <c r="K103" s="13"/>
      <c r="L103" s="13">
        <v>0.4</v>
      </c>
      <c r="M103" s="13">
        <v>0.5</v>
      </c>
      <c r="N103" s="7" t="s">
        <v>52</v>
      </c>
      <c r="O103" s="7" t="s">
        <v>52</v>
      </c>
      <c r="P103" s="9"/>
      <c r="Q103" s="9"/>
      <c r="R103" s="9">
        <v>7297.6</v>
      </c>
      <c r="S103" s="7" t="s">
        <v>54</v>
      </c>
      <c r="T103" s="7" t="b">
        <v>0</v>
      </c>
      <c r="U103" s="7" t="s">
        <v>56</v>
      </c>
      <c r="V103" s="27" t="s">
        <v>57</v>
      </c>
      <c r="W103" s="7" t="s">
        <v>913</v>
      </c>
    </row>
    <row r="104">
      <c r="A104" s="7" t="s">
        <v>915</v>
      </c>
      <c r="B104" s="7" t="s">
        <v>916</v>
      </c>
      <c r="C104" s="7" t="s">
        <v>918</v>
      </c>
      <c r="D104" s="7" t="s">
        <v>407</v>
      </c>
      <c r="E104" s="9"/>
      <c r="F104" s="11">
        <v>13.76551</v>
      </c>
      <c r="G104" s="11">
        <v>100.5396</v>
      </c>
      <c r="H104" s="7" t="s">
        <v>924</v>
      </c>
      <c r="I104" s="13">
        <v>-0.25</v>
      </c>
      <c r="J104" s="13"/>
      <c r="K104" s="13"/>
      <c r="L104" s="13">
        <v>0.2</v>
      </c>
      <c r="M104" s="13">
        <v>0.3</v>
      </c>
      <c r="N104" s="7" t="s">
        <v>52</v>
      </c>
      <c r="O104" s="7" t="s">
        <v>52</v>
      </c>
      <c r="P104" s="9"/>
      <c r="Q104" s="9"/>
      <c r="R104" s="9">
        <v>8577.6</v>
      </c>
      <c r="S104" s="7" t="s">
        <v>54</v>
      </c>
      <c r="T104" s="7" t="b">
        <v>0</v>
      </c>
      <c r="U104" s="7" t="s">
        <v>56</v>
      </c>
      <c r="V104" s="27" t="s">
        <v>57</v>
      </c>
      <c r="W104" s="7" t="s">
        <v>928</v>
      </c>
    </row>
    <row r="105">
      <c r="A105" s="7" t="s">
        <v>930</v>
      </c>
      <c r="B105" s="7" t="s">
        <v>931</v>
      </c>
      <c r="C105" s="7" t="s">
        <v>933</v>
      </c>
      <c r="D105" s="7" t="s">
        <v>478</v>
      </c>
      <c r="E105" s="9"/>
      <c r="F105" s="11">
        <v>13.85874</v>
      </c>
      <c r="G105" s="11">
        <v>100.86779</v>
      </c>
      <c r="H105" s="7" t="s">
        <v>93</v>
      </c>
      <c r="I105" s="13">
        <v>1.39</v>
      </c>
      <c r="J105" s="13"/>
      <c r="K105" s="13"/>
      <c r="L105" s="13">
        <v>1.6</v>
      </c>
      <c r="M105" s="13">
        <v>1.7</v>
      </c>
      <c r="N105" s="7" t="s">
        <v>52</v>
      </c>
      <c r="O105" s="7" t="s">
        <v>52</v>
      </c>
      <c r="P105" s="9"/>
      <c r="Q105" s="9"/>
      <c r="R105" s="9">
        <v>7297.6</v>
      </c>
      <c r="S105" s="7" t="s">
        <v>54</v>
      </c>
      <c r="T105" s="7" t="b">
        <v>0</v>
      </c>
      <c r="U105" s="7" t="s">
        <v>56</v>
      </c>
      <c r="V105" s="27" t="s">
        <v>57</v>
      </c>
      <c r="W105" s="7" t="s">
        <v>937</v>
      </c>
    </row>
    <row r="106">
      <c r="A106" s="7" t="s">
        <v>938</v>
      </c>
      <c r="B106" s="7" t="s">
        <v>939</v>
      </c>
      <c r="C106" s="7" t="s">
        <v>942</v>
      </c>
      <c r="D106" s="7" t="s">
        <v>944</v>
      </c>
      <c r="E106" s="9"/>
      <c r="F106" s="11">
        <v>13.70682</v>
      </c>
      <c r="G106" s="11">
        <v>100.49744</v>
      </c>
      <c r="H106" s="7" t="s">
        <v>93</v>
      </c>
      <c r="I106" s="13">
        <v>-0.64</v>
      </c>
      <c r="J106" s="13"/>
      <c r="K106" s="13"/>
      <c r="L106" s="13">
        <v>2.6</v>
      </c>
      <c r="M106" s="13">
        <v>2.8</v>
      </c>
      <c r="N106" s="7" t="s">
        <v>52</v>
      </c>
      <c r="O106" s="7" t="s">
        <v>52</v>
      </c>
      <c r="P106" s="9"/>
      <c r="Q106" s="9"/>
      <c r="R106" s="9">
        <v>7297.6</v>
      </c>
      <c r="S106" s="7" t="s">
        <v>54</v>
      </c>
      <c r="T106" s="7" t="b">
        <v>0</v>
      </c>
      <c r="U106" s="7" t="s">
        <v>56</v>
      </c>
      <c r="V106" s="27" t="s">
        <v>57</v>
      </c>
      <c r="W106" s="7" t="s">
        <v>946</v>
      </c>
    </row>
    <row r="107">
      <c r="A107" s="7" t="s">
        <v>947</v>
      </c>
      <c r="B107" s="7" t="s">
        <v>949</v>
      </c>
      <c r="C107" s="7" t="s">
        <v>952</v>
      </c>
      <c r="D107" s="7" t="s">
        <v>341</v>
      </c>
      <c r="E107" s="9"/>
      <c r="F107" s="11">
        <v>13.67123</v>
      </c>
      <c r="G107" s="11">
        <v>100.6439</v>
      </c>
      <c r="H107" s="7" t="s">
        <v>954</v>
      </c>
      <c r="I107" s="13">
        <v>-0.08</v>
      </c>
      <c r="J107" s="13"/>
      <c r="K107" s="13"/>
      <c r="L107" s="13">
        <v>0.8</v>
      </c>
      <c r="M107" s="13">
        <v>1.0</v>
      </c>
      <c r="N107" s="7" t="s">
        <v>52</v>
      </c>
      <c r="O107" s="7" t="s">
        <v>52</v>
      </c>
      <c r="P107" s="9"/>
      <c r="Q107" s="9"/>
      <c r="R107" s="9">
        <v>8087.6</v>
      </c>
      <c r="S107" s="7" t="s">
        <v>54</v>
      </c>
      <c r="T107" s="7" t="b">
        <v>0</v>
      </c>
      <c r="U107" s="7" t="s">
        <v>56</v>
      </c>
      <c r="V107" s="27" t="s">
        <v>57</v>
      </c>
      <c r="W107" s="7" t="s">
        <v>959</v>
      </c>
    </row>
    <row r="108">
      <c r="A108" s="7" t="s">
        <v>961</v>
      </c>
      <c r="B108" s="7" t="s">
        <v>962</v>
      </c>
      <c r="C108" s="7" t="s">
        <v>964</v>
      </c>
      <c r="D108" s="7" t="s">
        <v>739</v>
      </c>
      <c r="E108" s="9"/>
      <c r="F108" s="11">
        <v>13.79955</v>
      </c>
      <c r="G108" s="11">
        <v>100.74475</v>
      </c>
      <c r="H108" s="7" t="s">
        <v>93</v>
      </c>
      <c r="I108" s="13">
        <v>0.8</v>
      </c>
      <c r="J108" s="13"/>
      <c r="K108" s="13"/>
      <c r="L108" s="13">
        <v>0.6</v>
      </c>
      <c r="M108" s="13">
        <v>0.8</v>
      </c>
      <c r="N108" s="7" t="s">
        <v>52</v>
      </c>
      <c r="O108" s="7" t="s">
        <v>52</v>
      </c>
      <c r="P108" s="9"/>
      <c r="Q108" s="9"/>
      <c r="R108" s="9">
        <v>7297.6</v>
      </c>
      <c r="S108" s="7" t="s">
        <v>54</v>
      </c>
      <c r="T108" s="7" t="b">
        <v>0</v>
      </c>
      <c r="U108" s="7" t="s">
        <v>56</v>
      </c>
      <c r="V108" s="27" t="s">
        <v>57</v>
      </c>
      <c r="W108" s="7" t="s">
        <v>969</v>
      </c>
    </row>
    <row r="109">
      <c r="A109" s="7" t="s">
        <v>971</v>
      </c>
      <c r="B109" s="7" t="s">
        <v>973</v>
      </c>
      <c r="C109" s="7" t="s">
        <v>974</v>
      </c>
      <c r="D109" s="7" t="s">
        <v>739</v>
      </c>
      <c r="E109" s="9"/>
      <c r="F109" s="11">
        <v>13.85141</v>
      </c>
      <c r="G109" s="11">
        <v>100.80344</v>
      </c>
      <c r="H109" s="7" t="s">
        <v>93</v>
      </c>
      <c r="I109" s="13">
        <v>1.0</v>
      </c>
      <c r="J109" s="13"/>
      <c r="K109" s="13"/>
      <c r="L109" s="13">
        <v>0.7</v>
      </c>
      <c r="M109" s="13">
        <v>0.8</v>
      </c>
      <c r="N109" s="7" t="s">
        <v>52</v>
      </c>
      <c r="O109" s="7" t="s">
        <v>52</v>
      </c>
      <c r="P109" s="9"/>
      <c r="Q109" s="9"/>
      <c r="R109" s="9">
        <v>7297.6</v>
      </c>
      <c r="S109" s="7" t="s">
        <v>54</v>
      </c>
      <c r="T109" s="7" t="b">
        <v>0</v>
      </c>
      <c r="U109" s="7" t="s">
        <v>56</v>
      </c>
      <c r="V109" s="27" t="s">
        <v>57</v>
      </c>
      <c r="W109" s="7" t="s">
        <v>983</v>
      </c>
    </row>
    <row r="110">
      <c r="A110" s="7" t="s">
        <v>984</v>
      </c>
      <c r="B110" s="7" t="s">
        <v>985</v>
      </c>
      <c r="C110" s="7" t="s">
        <v>986</v>
      </c>
      <c r="D110" s="7" t="s">
        <v>308</v>
      </c>
      <c r="E110" s="9"/>
      <c r="F110" s="11">
        <v>13.7771</v>
      </c>
      <c r="G110" s="11">
        <v>100.73883</v>
      </c>
      <c r="H110" s="7" t="s">
        <v>93</v>
      </c>
      <c r="I110" s="13">
        <v>0.97</v>
      </c>
      <c r="J110" s="13"/>
      <c r="K110" s="13"/>
      <c r="L110" s="13">
        <v>0.4</v>
      </c>
      <c r="M110" s="13">
        <v>0.6</v>
      </c>
      <c r="N110" s="7" t="s">
        <v>52</v>
      </c>
      <c r="O110" s="7" t="s">
        <v>52</v>
      </c>
      <c r="P110" s="9"/>
      <c r="Q110" s="9"/>
      <c r="R110" s="9">
        <v>7297.6</v>
      </c>
      <c r="S110" s="7" t="s">
        <v>54</v>
      </c>
      <c r="T110" s="7" t="b">
        <v>0</v>
      </c>
      <c r="U110" s="7" t="s">
        <v>56</v>
      </c>
      <c r="V110" s="27" t="s">
        <v>57</v>
      </c>
      <c r="W110" s="7" t="s">
        <v>996</v>
      </c>
    </row>
    <row r="111">
      <c r="A111" s="7" t="s">
        <v>997</v>
      </c>
      <c r="B111" s="7" t="s">
        <v>998</v>
      </c>
      <c r="C111" s="7" t="s">
        <v>999</v>
      </c>
      <c r="D111" s="7" t="s">
        <v>384</v>
      </c>
      <c r="E111" s="9"/>
      <c r="F111" s="11">
        <v>13.92316</v>
      </c>
      <c r="G111" s="11">
        <v>100.60051</v>
      </c>
      <c r="H111" s="7" t="s">
        <v>1000</v>
      </c>
      <c r="I111" s="13">
        <v>1.59</v>
      </c>
      <c r="J111" s="13"/>
      <c r="K111" s="13"/>
      <c r="L111" s="13">
        <v>0.7</v>
      </c>
      <c r="M111" s="13">
        <v>0.8</v>
      </c>
      <c r="N111" s="7" t="s">
        <v>52</v>
      </c>
      <c r="O111" s="7" t="s">
        <v>52</v>
      </c>
      <c r="P111" s="9"/>
      <c r="Q111" s="9"/>
      <c r="R111" s="9">
        <v>7572.6</v>
      </c>
      <c r="S111" s="7" t="s">
        <v>54</v>
      </c>
      <c r="T111" s="7" t="b">
        <v>0</v>
      </c>
      <c r="U111" s="7" t="s">
        <v>56</v>
      </c>
      <c r="V111" s="27" t="s">
        <v>57</v>
      </c>
      <c r="W111" s="7" t="s">
        <v>1007</v>
      </c>
    </row>
    <row r="112">
      <c r="A112" s="7" t="s">
        <v>1008</v>
      </c>
      <c r="B112" s="7" t="s">
        <v>1009</v>
      </c>
      <c r="C112" s="7" t="s">
        <v>1010</v>
      </c>
      <c r="D112" s="7" t="s">
        <v>624</v>
      </c>
      <c r="E112" s="9"/>
      <c r="F112" s="11">
        <v>13.70346</v>
      </c>
      <c r="G112" s="11">
        <v>100.64388</v>
      </c>
      <c r="H112" s="7" t="s">
        <v>93</v>
      </c>
      <c r="I112" s="13">
        <v>0.28</v>
      </c>
      <c r="J112" s="13"/>
      <c r="K112" s="13"/>
      <c r="L112" s="13">
        <v>-0.5</v>
      </c>
      <c r="M112" s="13">
        <v>-0.4</v>
      </c>
      <c r="N112" s="7" t="s">
        <v>52</v>
      </c>
      <c r="O112" s="7" t="s">
        <v>52</v>
      </c>
      <c r="P112" s="9"/>
      <c r="Q112" s="9"/>
      <c r="R112" s="9">
        <v>7297.6</v>
      </c>
      <c r="S112" s="7" t="s">
        <v>54</v>
      </c>
      <c r="T112" s="7" t="b">
        <v>0</v>
      </c>
      <c r="U112" s="7" t="s">
        <v>56</v>
      </c>
      <c r="V112" s="27" t="s">
        <v>57</v>
      </c>
      <c r="W112" s="7" t="s">
        <v>1017</v>
      </c>
    </row>
    <row r="113">
      <c r="A113" s="7" t="s">
        <v>1018</v>
      </c>
      <c r="B113" s="7" t="s">
        <v>1019</v>
      </c>
      <c r="C113" s="7" t="s">
        <v>1020</v>
      </c>
      <c r="D113" s="7" t="s">
        <v>478</v>
      </c>
      <c r="E113" s="9"/>
      <c r="F113" s="11">
        <v>13.85537</v>
      </c>
      <c r="G113" s="11">
        <v>100.8721</v>
      </c>
      <c r="H113" s="7" t="s">
        <v>93</v>
      </c>
      <c r="I113" s="13">
        <v>1.29</v>
      </c>
      <c r="J113" s="13"/>
      <c r="K113" s="13"/>
      <c r="L113" s="13">
        <v>1.0</v>
      </c>
      <c r="M113" s="13">
        <v>1.1</v>
      </c>
      <c r="N113" s="7" t="s">
        <v>52</v>
      </c>
      <c r="O113" s="7" t="s">
        <v>52</v>
      </c>
      <c r="P113" s="9"/>
      <c r="Q113" s="9"/>
      <c r="R113" s="9">
        <v>7297.6</v>
      </c>
      <c r="S113" s="7" t="s">
        <v>54</v>
      </c>
      <c r="T113" s="7" t="b">
        <v>0</v>
      </c>
      <c r="U113" s="7" t="s">
        <v>56</v>
      </c>
      <c r="V113" s="27" t="s">
        <v>57</v>
      </c>
      <c r="W113" s="7" t="s">
        <v>1032</v>
      </c>
    </row>
    <row r="114">
      <c r="A114" s="7" t="s">
        <v>1034</v>
      </c>
      <c r="B114" s="7" t="s">
        <v>1035</v>
      </c>
      <c r="C114" s="7" t="s">
        <v>1036</v>
      </c>
      <c r="D114" s="7" t="s">
        <v>152</v>
      </c>
      <c r="E114" s="9"/>
      <c r="F114" s="11">
        <v>13.8242</v>
      </c>
      <c r="G114" s="11">
        <v>100.66005</v>
      </c>
      <c r="H114" s="7" t="s">
        <v>93</v>
      </c>
      <c r="I114" s="13">
        <v>1.03</v>
      </c>
      <c r="J114" s="13"/>
      <c r="K114" s="13"/>
      <c r="L114" s="13">
        <v>0.5</v>
      </c>
      <c r="M114" s="13">
        <v>0.6</v>
      </c>
      <c r="N114" s="7" t="s">
        <v>52</v>
      </c>
      <c r="O114" s="7" t="s">
        <v>52</v>
      </c>
      <c r="P114" s="9"/>
      <c r="Q114" s="9"/>
      <c r="R114" s="9">
        <v>7297.6</v>
      </c>
      <c r="S114" s="7" t="s">
        <v>54</v>
      </c>
      <c r="T114" s="7" t="b">
        <v>0</v>
      </c>
      <c r="U114" s="7" t="s">
        <v>56</v>
      </c>
      <c r="V114" s="27" t="s">
        <v>57</v>
      </c>
      <c r="W114" s="7" t="s">
        <v>1040</v>
      </c>
    </row>
    <row r="115">
      <c r="A115" s="7" t="s">
        <v>1041</v>
      </c>
      <c r="B115" s="7" t="s">
        <v>1042</v>
      </c>
      <c r="C115" s="7" t="s">
        <v>1044</v>
      </c>
      <c r="D115" s="7" t="s">
        <v>247</v>
      </c>
      <c r="E115" s="9"/>
      <c r="F115" s="11">
        <v>13.70724</v>
      </c>
      <c r="G115" s="11">
        <v>100.53762</v>
      </c>
      <c r="H115" s="7" t="s">
        <v>1048</v>
      </c>
      <c r="I115" s="13">
        <v>0.0</v>
      </c>
      <c r="J115" s="13"/>
      <c r="K115" s="13"/>
      <c r="L115" s="13">
        <v>0.5</v>
      </c>
      <c r="M115" s="13">
        <v>0.6</v>
      </c>
      <c r="N115" s="7" t="s">
        <v>52</v>
      </c>
      <c r="O115" s="7" t="s">
        <v>52</v>
      </c>
      <c r="P115" s="9"/>
      <c r="Q115" s="9"/>
      <c r="R115" s="9">
        <v>573377.6</v>
      </c>
      <c r="S115" s="7" t="s">
        <v>54</v>
      </c>
      <c r="T115" s="7" t="b">
        <v>0</v>
      </c>
      <c r="U115" s="7" t="s">
        <v>56</v>
      </c>
      <c r="V115" s="27" t="s">
        <v>57</v>
      </c>
      <c r="W115" s="7" t="s">
        <v>1052</v>
      </c>
    </row>
    <row r="116">
      <c r="A116" s="7" t="s">
        <v>1054</v>
      </c>
      <c r="B116" s="7" t="s">
        <v>1055</v>
      </c>
      <c r="C116" s="7" t="s">
        <v>1057</v>
      </c>
      <c r="D116" s="7" t="s">
        <v>104</v>
      </c>
      <c r="E116" s="9"/>
      <c r="F116" s="11">
        <v>13.84656</v>
      </c>
      <c r="G116" s="11">
        <v>100.60057</v>
      </c>
      <c r="H116" s="7" t="s">
        <v>1060</v>
      </c>
      <c r="I116" s="13">
        <v>-0.36</v>
      </c>
      <c r="J116" s="13"/>
      <c r="K116" s="13"/>
      <c r="L116" s="13">
        <v>0.6</v>
      </c>
      <c r="M116" s="13">
        <v>0.7</v>
      </c>
      <c r="N116" s="7" t="s">
        <v>52</v>
      </c>
      <c r="O116" s="7" t="s">
        <v>52</v>
      </c>
      <c r="P116" s="9"/>
      <c r="Q116" s="9"/>
      <c r="R116" s="9">
        <v>1635812.6</v>
      </c>
      <c r="S116" s="7" t="s">
        <v>54</v>
      </c>
      <c r="T116" s="7" t="b">
        <v>0</v>
      </c>
      <c r="U116" s="7" t="s">
        <v>56</v>
      </c>
      <c r="V116" s="27" t="s">
        <v>57</v>
      </c>
      <c r="W116" s="7" t="s">
        <v>1065</v>
      </c>
    </row>
    <row r="117">
      <c r="A117" s="7" t="s">
        <v>1067</v>
      </c>
      <c r="B117" s="7" t="s">
        <v>1069</v>
      </c>
      <c r="C117" s="7" t="s">
        <v>1071</v>
      </c>
      <c r="D117" s="7" t="s">
        <v>407</v>
      </c>
      <c r="E117" s="9"/>
      <c r="F117" s="11">
        <v>13.76074</v>
      </c>
      <c r="G117" s="11">
        <v>100.53037</v>
      </c>
      <c r="H117" s="7" t="s">
        <v>1072</v>
      </c>
      <c r="I117" s="13">
        <v>-0.67</v>
      </c>
      <c r="J117" s="13"/>
      <c r="K117" s="13"/>
      <c r="L117" s="13">
        <v>-0.2</v>
      </c>
      <c r="M117" s="13">
        <v>0.0</v>
      </c>
      <c r="N117" s="7" t="s">
        <v>52</v>
      </c>
      <c r="O117" s="7" t="s">
        <v>52</v>
      </c>
      <c r="P117" s="9"/>
      <c r="Q117" s="9"/>
      <c r="R117" s="9">
        <v>1213922.6</v>
      </c>
      <c r="S117" s="7" t="s">
        <v>54</v>
      </c>
      <c r="T117" s="7" t="b">
        <v>0</v>
      </c>
      <c r="U117" s="7" t="s">
        <v>56</v>
      </c>
      <c r="V117" s="27" t="s">
        <v>57</v>
      </c>
      <c r="W117" s="7" t="s">
        <v>1075</v>
      </c>
    </row>
    <row r="118">
      <c r="A118" s="7" t="s">
        <v>1076</v>
      </c>
      <c r="B118" s="7" t="s">
        <v>1078</v>
      </c>
      <c r="C118" s="7" t="s">
        <v>1079</v>
      </c>
      <c r="D118" s="7" t="s">
        <v>366</v>
      </c>
      <c r="E118" s="9"/>
      <c r="F118" s="11">
        <v>13.68913</v>
      </c>
      <c r="G118" s="11">
        <v>100.59082</v>
      </c>
      <c r="H118" s="7" t="s">
        <v>93</v>
      </c>
      <c r="I118" s="13">
        <v>-1.49</v>
      </c>
      <c r="J118" s="13"/>
      <c r="K118" s="13"/>
      <c r="L118" s="13">
        <v>2.6</v>
      </c>
      <c r="M118" s="13">
        <v>2.8</v>
      </c>
      <c r="N118" s="7" t="s">
        <v>52</v>
      </c>
      <c r="O118" s="7" t="s">
        <v>52</v>
      </c>
      <c r="P118" s="9"/>
      <c r="Q118" s="9"/>
      <c r="R118" s="9">
        <v>7297.6</v>
      </c>
      <c r="S118" s="7" t="s">
        <v>54</v>
      </c>
      <c r="T118" s="7" t="b">
        <v>0</v>
      </c>
      <c r="U118" s="7" t="s">
        <v>56</v>
      </c>
      <c r="V118" s="27" t="s">
        <v>57</v>
      </c>
      <c r="W118" s="7" t="s">
        <v>1086</v>
      </c>
    </row>
    <row r="119">
      <c r="A119" s="7" t="s">
        <v>1087</v>
      </c>
      <c r="B119" s="7" t="s">
        <v>1089</v>
      </c>
      <c r="C119" s="7" t="s">
        <v>1091</v>
      </c>
      <c r="D119" s="7" t="s">
        <v>366</v>
      </c>
      <c r="E119" s="9"/>
      <c r="F119" s="11">
        <v>13.68443</v>
      </c>
      <c r="G119" s="11">
        <v>100.61107</v>
      </c>
      <c r="H119" s="7" t="s">
        <v>93</v>
      </c>
      <c r="I119" s="13">
        <v>-0.4</v>
      </c>
      <c r="J119" s="13"/>
      <c r="K119" s="13"/>
      <c r="L119" s="13">
        <v>-0.2</v>
      </c>
      <c r="M119" s="13">
        <v>0.0</v>
      </c>
      <c r="N119" s="7" t="s">
        <v>52</v>
      </c>
      <c r="O119" s="7" t="s">
        <v>52</v>
      </c>
      <c r="P119" s="9"/>
      <c r="Q119" s="9"/>
      <c r="R119" s="9">
        <v>7297.6</v>
      </c>
      <c r="S119" s="7" t="s">
        <v>54</v>
      </c>
      <c r="T119" s="7" t="b">
        <v>0</v>
      </c>
      <c r="U119" s="7" t="s">
        <v>56</v>
      </c>
      <c r="V119" s="27" t="s">
        <v>57</v>
      </c>
      <c r="W119" s="7" t="s">
        <v>1097</v>
      </c>
    </row>
    <row r="120">
      <c r="A120" s="7" t="s">
        <v>1098</v>
      </c>
      <c r="B120" s="7" t="s">
        <v>1100</v>
      </c>
      <c r="C120" s="7" t="s">
        <v>1101</v>
      </c>
      <c r="D120" s="7" t="s">
        <v>172</v>
      </c>
      <c r="E120" s="9"/>
      <c r="F120" s="11">
        <v>13.8036</v>
      </c>
      <c r="G120" s="11">
        <v>100.33512</v>
      </c>
      <c r="H120" s="7" t="s">
        <v>93</v>
      </c>
      <c r="I120" s="13">
        <v>1.46</v>
      </c>
      <c r="J120" s="13"/>
      <c r="K120" s="13"/>
      <c r="L120" s="13">
        <v>1.8</v>
      </c>
      <c r="M120" s="13">
        <v>2.0</v>
      </c>
      <c r="N120" s="7" t="s">
        <v>52</v>
      </c>
      <c r="O120" s="7" t="s">
        <v>52</v>
      </c>
      <c r="P120" s="9"/>
      <c r="Q120" s="9"/>
      <c r="R120" s="9">
        <v>7297.6</v>
      </c>
      <c r="S120" s="7" t="s">
        <v>54</v>
      </c>
      <c r="T120" s="7" t="b">
        <v>0</v>
      </c>
      <c r="U120" s="7" t="s">
        <v>56</v>
      </c>
      <c r="V120" s="27" t="s">
        <v>57</v>
      </c>
      <c r="W120" s="7" t="s">
        <v>1109</v>
      </c>
    </row>
    <row r="121">
      <c r="A121" s="7" t="s">
        <v>1110</v>
      </c>
      <c r="B121" s="7" t="s">
        <v>1111</v>
      </c>
      <c r="C121" s="7" t="s">
        <v>1112</v>
      </c>
      <c r="D121" s="7" t="s">
        <v>162</v>
      </c>
      <c r="E121" s="9"/>
      <c r="F121" s="11">
        <v>13.74925</v>
      </c>
      <c r="G121" s="11">
        <v>100.40654</v>
      </c>
      <c r="H121" s="7" t="s">
        <v>93</v>
      </c>
      <c r="I121" s="13">
        <v>0.67</v>
      </c>
      <c r="J121" s="13"/>
      <c r="K121" s="13"/>
      <c r="L121" s="13">
        <v>0.6</v>
      </c>
      <c r="M121" s="13">
        <v>0.7</v>
      </c>
      <c r="N121" s="7" t="s">
        <v>52</v>
      </c>
      <c r="O121" s="7" t="s">
        <v>52</v>
      </c>
      <c r="P121" s="9"/>
      <c r="Q121" s="9"/>
      <c r="R121" s="9">
        <v>7297.6</v>
      </c>
      <c r="S121" s="7" t="s">
        <v>54</v>
      </c>
      <c r="T121" s="7" t="b">
        <v>0</v>
      </c>
      <c r="U121" s="7" t="s">
        <v>56</v>
      </c>
      <c r="V121" s="27" t="s">
        <v>57</v>
      </c>
      <c r="W121" s="7" t="s">
        <v>1118</v>
      </c>
    </row>
    <row r="122">
      <c r="A122" s="7" t="s">
        <v>1120</v>
      </c>
      <c r="B122" s="7" t="s">
        <v>1121</v>
      </c>
      <c r="C122" s="7" t="s">
        <v>1122</v>
      </c>
      <c r="D122" s="7" t="s">
        <v>227</v>
      </c>
      <c r="E122" s="9"/>
      <c r="F122" s="11">
        <v>13.77323</v>
      </c>
      <c r="G122" s="11">
        <v>100.62173</v>
      </c>
      <c r="H122" s="7" t="s">
        <v>93</v>
      </c>
      <c r="I122" s="13">
        <v>0.62</v>
      </c>
      <c r="J122" s="13"/>
      <c r="K122" s="13"/>
      <c r="L122" s="13">
        <v>-0.1</v>
      </c>
      <c r="M122" s="13">
        <v>0.0</v>
      </c>
      <c r="N122" s="7" t="s">
        <v>52</v>
      </c>
      <c r="O122" s="7" t="s">
        <v>52</v>
      </c>
      <c r="P122" s="9"/>
      <c r="Q122" s="9"/>
      <c r="R122" s="9">
        <v>7297.6</v>
      </c>
      <c r="S122" s="7" t="s">
        <v>54</v>
      </c>
      <c r="T122" s="7" t="b">
        <v>0</v>
      </c>
      <c r="U122" s="7" t="s">
        <v>56</v>
      </c>
      <c r="V122" s="27" t="s">
        <v>57</v>
      </c>
      <c r="W122" s="7" t="s">
        <v>1131</v>
      </c>
    </row>
    <row r="123">
      <c r="A123" s="7" t="s">
        <v>1132</v>
      </c>
      <c r="B123" s="7" t="s">
        <v>1133</v>
      </c>
      <c r="C123" s="7" t="s">
        <v>1134</v>
      </c>
      <c r="D123" s="7" t="s">
        <v>1135</v>
      </c>
      <c r="E123" s="9"/>
      <c r="F123" s="11">
        <v>13.7276</v>
      </c>
      <c r="G123" s="11">
        <v>100.52735</v>
      </c>
      <c r="H123" s="7" t="s">
        <v>1136</v>
      </c>
      <c r="I123" s="13">
        <v>-0.64</v>
      </c>
      <c r="J123" s="13"/>
      <c r="K123" s="13"/>
      <c r="L123" s="13">
        <v>0.5</v>
      </c>
      <c r="M123" s="13">
        <v>0.6</v>
      </c>
      <c r="N123" s="7" t="s">
        <v>52</v>
      </c>
      <c r="O123" s="7" t="s">
        <v>52</v>
      </c>
      <c r="P123" s="9"/>
      <c r="Q123" s="9"/>
      <c r="R123" s="9">
        <v>1818557.6</v>
      </c>
      <c r="S123" s="7" t="s">
        <v>54</v>
      </c>
      <c r="T123" s="7" t="b">
        <v>0</v>
      </c>
      <c r="U123" s="7" t="s">
        <v>56</v>
      </c>
      <c r="V123" s="27" t="s">
        <v>57</v>
      </c>
      <c r="W123" s="7" t="s">
        <v>1143</v>
      </c>
    </row>
    <row r="124">
      <c r="A124" s="7" t="s">
        <v>1144</v>
      </c>
      <c r="B124" s="7" t="s">
        <v>1145</v>
      </c>
      <c r="C124" s="7" t="s">
        <v>1147</v>
      </c>
      <c r="D124" s="7" t="s">
        <v>1148</v>
      </c>
      <c r="E124" s="9"/>
      <c r="F124" s="11">
        <v>13.67068</v>
      </c>
      <c r="G124" s="11">
        <v>100.54016</v>
      </c>
      <c r="H124" s="7" t="s">
        <v>93</v>
      </c>
      <c r="I124" s="13">
        <v>-0.59</v>
      </c>
      <c r="J124" s="13"/>
      <c r="K124" s="13"/>
      <c r="L124" s="13">
        <v>2.6</v>
      </c>
      <c r="M124" s="13">
        <v>2.8</v>
      </c>
      <c r="N124" s="7" t="s">
        <v>52</v>
      </c>
      <c r="O124" s="7" t="s">
        <v>52</v>
      </c>
      <c r="P124" s="9"/>
      <c r="Q124" s="9"/>
      <c r="R124" s="9">
        <v>7297.6</v>
      </c>
      <c r="S124" s="7" t="s">
        <v>54</v>
      </c>
      <c r="T124" s="7" t="b">
        <v>0</v>
      </c>
      <c r="U124" s="7" t="s">
        <v>56</v>
      </c>
      <c r="V124" s="27" t="s">
        <v>57</v>
      </c>
      <c r="W124" s="7" t="s">
        <v>1156</v>
      </c>
    </row>
    <row r="125">
      <c r="A125" s="7" t="s">
        <v>1157</v>
      </c>
      <c r="B125" s="7" t="s">
        <v>1158</v>
      </c>
      <c r="C125" s="7" t="s">
        <v>1160</v>
      </c>
      <c r="D125" s="7" t="s">
        <v>115</v>
      </c>
      <c r="E125" s="9"/>
      <c r="F125" s="11">
        <v>13.76127</v>
      </c>
      <c r="G125" s="11">
        <v>100.61532</v>
      </c>
      <c r="H125" s="7" t="s">
        <v>93</v>
      </c>
      <c r="I125" s="13">
        <v>0.42</v>
      </c>
      <c r="J125" s="13"/>
      <c r="K125" s="13"/>
      <c r="L125" s="13">
        <v>0.2</v>
      </c>
      <c r="M125" s="13">
        <v>0.35</v>
      </c>
      <c r="N125" s="7" t="s">
        <v>52</v>
      </c>
      <c r="O125" s="7" t="s">
        <v>52</v>
      </c>
      <c r="P125" s="9"/>
      <c r="Q125" s="9"/>
      <c r="R125" s="9">
        <v>7297.6</v>
      </c>
      <c r="S125" s="7" t="s">
        <v>54</v>
      </c>
      <c r="T125" s="7" t="b">
        <v>0</v>
      </c>
      <c r="U125" s="7" t="s">
        <v>56</v>
      </c>
      <c r="V125" s="27" t="s">
        <v>57</v>
      </c>
      <c r="W125" s="7" t="s">
        <v>1167</v>
      </c>
    </row>
    <row r="126">
      <c r="A126" s="7" t="s">
        <v>1169</v>
      </c>
      <c r="B126" s="7" t="s">
        <v>1170</v>
      </c>
      <c r="C126" s="7" t="s">
        <v>1172</v>
      </c>
      <c r="D126" s="7" t="s">
        <v>227</v>
      </c>
      <c r="E126" s="9"/>
      <c r="F126" s="11">
        <v>13.78678</v>
      </c>
      <c r="G126" s="11">
        <v>100.60758</v>
      </c>
      <c r="H126" s="7" t="s">
        <v>93</v>
      </c>
      <c r="I126" s="13">
        <v>-0.21</v>
      </c>
      <c r="J126" s="13"/>
      <c r="K126" s="13"/>
      <c r="L126" s="13">
        <v>0.3</v>
      </c>
      <c r="M126" s="13">
        <v>0.4</v>
      </c>
      <c r="N126" s="7" t="s">
        <v>52</v>
      </c>
      <c r="O126" s="7" t="s">
        <v>52</v>
      </c>
      <c r="P126" s="9"/>
      <c r="Q126" s="9"/>
      <c r="R126" s="9">
        <v>7297.6</v>
      </c>
      <c r="S126" s="7" t="s">
        <v>54</v>
      </c>
      <c r="T126" s="7" t="b">
        <v>0</v>
      </c>
      <c r="U126" s="7" t="s">
        <v>56</v>
      </c>
      <c r="V126" s="27" t="s">
        <v>57</v>
      </c>
      <c r="W126" s="7" t="s">
        <v>1181</v>
      </c>
    </row>
    <row r="127">
      <c r="A127" s="7" t="s">
        <v>1182</v>
      </c>
      <c r="B127" s="7" t="s">
        <v>1183</v>
      </c>
      <c r="C127" s="7" t="s">
        <v>1184</v>
      </c>
      <c r="D127" s="7" t="s">
        <v>217</v>
      </c>
      <c r="E127" s="9"/>
      <c r="F127" s="11">
        <v>13.73345</v>
      </c>
      <c r="G127" s="11">
        <v>100.43283</v>
      </c>
      <c r="H127" s="7" t="s">
        <v>93</v>
      </c>
      <c r="I127" s="13">
        <v>0.68</v>
      </c>
      <c r="J127" s="13"/>
      <c r="K127" s="13"/>
      <c r="L127" s="13">
        <v>0.6</v>
      </c>
      <c r="M127" s="13">
        <v>0.7</v>
      </c>
      <c r="N127" s="7" t="s">
        <v>52</v>
      </c>
      <c r="O127" s="7" t="s">
        <v>52</v>
      </c>
      <c r="P127" s="9"/>
      <c r="Q127" s="9"/>
      <c r="R127" s="9">
        <v>7297.6</v>
      </c>
      <c r="S127" s="7" t="s">
        <v>54</v>
      </c>
      <c r="T127" s="7" t="b">
        <v>0</v>
      </c>
      <c r="U127" s="7" t="s">
        <v>56</v>
      </c>
      <c r="V127" s="27" t="s">
        <v>57</v>
      </c>
      <c r="W127" s="7" t="s">
        <v>1191</v>
      </c>
    </row>
    <row r="128">
      <c r="A128" s="7" t="s">
        <v>1192</v>
      </c>
      <c r="B128" s="7" t="s">
        <v>1194</v>
      </c>
      <c r="C128" s="7" t="s">
        <v>1195</v>
      </c>
      <c r="D128" s="7" t="s">
        <v>372</v>
      </c>
      <c r="E128" s="9"/>
      <c r="F128" s="11">
        <v>13.7717</v>
      </c>
      <c r="G128" s="11">
        <v>100.50113</v>
      </c>
      <c r="H128" s="7" t="s">
        <v>93</v>
      </c>
      <c r="I128" s="13">
        <v>-0.24</v>
      </c>
      <c r="J128" s="13"/>
      <c r="K128" s="13"/>
      <c r="L128" s="13">
        <v>3.05</v>
      </c>
      <c r="M128" s="13">
        <v>3.25</v>
      </c>
      <c r="N128" s="7" t="s">
        <v>52</v>
      </c>
      <c r="O128" s="7" t="s">
        <v>52</v>
      </c>
      <c r="P128" s="9"/>
      <c r="Q128" s="9"/>
      <c r="R128" s="9">
        <v>7297.6</v>
      </c>
      <c r="S128" s="7" t="s">
        <v>54</v>
      </c>
      <c r="T128" s="7" t="b">
        <v>0</v>
      </c>
      <c r="U128" s="7" t="s">
        <v>56</v>
      </c>
      <c r="V128" s="27" t="s">
        <v>57</v>
      </c>
      <c r="W128" s="7" t="s">
        <v>1203</v>
      </c>
    </row>
    <row r="129">
      <c r="A129" s="7" t="s">
        <v>1204</v>
      </c>
      <c r="B129" s="7" t="s">
        <v>1205</v>
      </c>
      <c r="C129" s="7" t="s">
        <v>1206</v>
      </c>
      <c r="D129" s="7" t="s">
        <v>624</v>
      </c>
      <c r="E129" s="9"/>
      <c r="F129" s="11">
        <v>13.70382</v>
      </c>
      <c r="G129" s="11">
        <v>100.65075</v>
      </c>
      <c r="H129" s="7" t="s">
        <v>93</v>
      </c>
      <c r="I129" s="13">
        <v>-0.31</v>
      </c>
      <c r="J129" s="13"/>
      <c r="K129" s="13"/>
      <c r="L129" s="13">
        <v>0.0</v>
      </c>
      <c r="M129" s="13">
        <v>0.1</v>
      </c>
      <c r="N129" s="7" t="s">
        <v>52</v>
      </c>
      <c r="O129" s="7" t="s">
        <v>52</v>
      </c>
      <c r="P129" s="9"/>
      <c r="Q129" s="9"/>
      <c r="R129" s="9">
        <v>7297.6</v>
      </c>
      <c r="S129" s="7" t="s">
        <v>54</v>
      </c>
      <c r="T129" s="7" t="b">
        <v>0</v>
      </c>
      <c r="U129" s="7" t="s">
        <v>56</v>
      </c>
      <c r="V129" s="27" t="s">
        <v>57</v>
      </c>
      <c r="W129" s="7" t="s">
        <v>1213</v>
      </c>
    </row>
    <row r="130">
      <c r="A130" s="7" t="s">
        <v>1214</v>
      </c>
      <c r="B130" s="7" t="s">
        <v>1216</v>
      </c>
      <c r="C130" s="7" t="s">
        <v>1217</v>
      </c>
      <c r="D130" s="7" t="s">
        <v>1218</v>
      </c>
      <c r="E130" s="9"/>
      <c r="F130" s="11">
        <v>13.63487</v>
      </c>
      <c r="G130" s="11">
        <v>100.50202</v>
      </c>
      <c r="H130" s="7" t="s">
        <v>93</v>
      </c>
      <c r="I130" s="13">
        <v>0.5</v>
      </c>
      <c r="J130" s="13"/>
      <c r="K130" s="13"/>
      <c r="L130" s="13">
        <v>0.8</v>
      </c>
      <c r="M130" s="13">
        <v>0.7</v>
      </c>
      <c r="N130" s="7" t="s">
        <v>52</v>
      </c>
      <c r="O130" s="7" t="s">
        <v>52</v>
      </c>
      <c r="P130" s="9"/>
      <c r="Q130" s="9"/>
      <c r="R130" s="9">
        <v>7297.6</v>
      </c>
      <c r="S130" s="7" t="s">
        <v>54</v>
      </c>
      <c r="T130" s="7" t="b">
        <v>0</v>
      </c>
      <c r="U130" s="7" t="s">
        <v>56</v>
      </c>
      <c r="V130" s="27" t="s">
        <v>57</v>
      </c>
      <c r="W130" s="7" t="s">
        <v>1226</v>
      </c>
    </row>
    <row r="131">
      <c r="A131" s="7" t="s">
        <v>1227</v>
      </c>
      <c r="B131" s="7" t="s">
        <v>1228</v>
      </c>
      <c r="C131" s="7" t="s">
        <v>1229</v>
      </c>
      <c r="D131" s="7" t="s">
        <v>472</v>
      </c>
      <c r="E131" s="9"/>
      <c r="F131" s="11">
        <v>13.74048</v>
      </c>
      <c r="G131" s="11">
        <v>100.58877</v>
      </c>
      <c r="H131" s="7" t="s">
        <v>93</v>
      </c>
      <c r="I131" s="13">
        <v>-1.58</v>
      </c>
      <c r="J131" s="13"/>
      <c r="K131" s="13"/>
      <c r="L131" s="13">
        <v>-0.2</v>
      </c>
      <c r="M131" s="13">
        <v>0.0</v>
      </c>
      <c r="N131" s="7" t="s">
        <v>52</v>
      </c>
      <c r="O131" s="7" t="s">
        <v>52</v>
      </c>
      <c r="P131" s="9"/>
      <c r="Q131" s="9"/>
      <c r="R131" s="9">
        <v>7297.6</v>
      </c>
      <c r="S131" s="7" t="s">
        <v>54</v>
      </c>
      <c r="T131" s="7" t="b">
        <v>0</v>
      </c>
      <c r="U131" s="7" t="s">
        <v>56</v>
      </c>
      <c r="V131" s="27" t="s">
        <v>57</v>
      </c>
      <c r="W131" s="7" t="s">
        <v>1237</v>
      </c>
    </row>
    <row r="132">
      <c r="A132" s="7" t="s">
        <v>1239</v>
      </c>
      <c r="B132" s="7" t="s">
        <v>1240</v>
      </c>
      <c r="C132" s="7" t="s">
        <v>1243</v>
      </c>
      <c r="D132" s="7" t="s">
        <v>227</v>
      </c>
      <c r="E132" s="9"/>
      <c r="F132" s="11">
        <v>13.76206</v>
      </c>
      <c r="G132" s="11">
        <v>100.59756</v>
      </c>
      <c r="H132" s="7" t="s">
        <v>1244</v>
      </c>
      <c r="I132" s="13">
        <v>-0.19</v>
      </c>
      <c r="J132" s="13"/>
      <c r="K132" s="13"/>
      <c r="L132" s="13">
        <v>-0.2</v>
      </c>
      <c r="M132" s="13">
        <v>0.0</v>
      </c>
      <c r="N132" s="7" t="s">
        <v>52</v>
      </c>
      <c r="O132" s="7" t="s">
        <v>52</v>
      </c>
      <c r="P132" s="9"/>
      <c r="Q132" s="9"/>
      <c r="R132" s="9">
        <v>1255752.6</v>
      </c>
      <c r="S132" s="7" t="s">
        <v>54</v>
      </c>
      <c r="T132" s="7" t="b">
        <v>0</v>
      </c>
      <c r="U132" s="7" t="s">
        <v>56</v>
      </c>
      <c r="V132" s="27" t="s">
        <v>57</v>
      </c>
      <c r="W132" s="7" t="s">
        <v>1251</v>
      </c>
    </row>
    <row r="133">
      <c r="A133" s="7" t="s">
        <v>1252</v>
      </c>
      <c r="B133" s="7" t="s">
        <v>1253</v>
      </c>
      <c r="C133" s="7" t="s">
        <v>1254</v>
      </c>
      <c r="D133" s="7" t="s">
        <v>192</v>
      </c>
      <c r="E133" s="9"/>
      <c r="F133" s="11">
        <v>13.52834</v>
      </c>
      <c r="G133" s="11">
        <v>100.41782</v>
      </c>
      <c r="H133" s="7" t="s">
        <v>93</v>
      </c>
      <c r="I133" s="13">
        <v>-0.12</v>
      </c>
      <c r="J133" s="13"/>
      <c r="K133" s="13"/>
      <c r="L133" s="13">
        <v>1.2</v>
      </c>
      <c r="M133" s="13">
        <v>1.4</v>
      </c>
      <c r="N133" s="7" t="s">
        <v>52</v>
      </c>
      <c r="O133" s="7" t="s">
        <v>52</v>
      </c>
      <c r="P133" s="9"/>
      <c r="Q133" s="9"/>
      <c r="R133" s="9">
        <v>7297.6</v>
      </c>
      <c r="S133" s="7" t="s">
        <v>54</v>
      </c>
      <c r="T133" s="7" t="b">
        <v>0</v>
      </c>
      <c r="U133" s="7" t="s">
        <v>56</v>
      </c>
      <c r="V133" s="27" t="s">
        <v>57</v>
      </c>
      <c r="W133" s="7" t="s">
        <v>1264</v>
      </c>
    </row>
    <row r="134">
      <c r="A134" s="7" t="s">
        <v>1265</v>
      </c>
      <c r="B134" s="7" t="s">
        <v>1266</v>
      </c>
      <c r="C134" s="7" t="s">
        <v>1267</v>
      </c>
      <c r="D134" s="7" t="s">
        <v>1269</v>
      </c>
      <c r="E134" s="9"/>
      <c r="F134" s="11">
        <v>13.70099</v>
      </c>
      <c r="G134" s="11">
        <v>100.46486</v>
      </c>
      <c r="H134" s="7" t="s">
        <v>93</v>
      </c>
      <c r="I134" s="13">
        <v>0.23</v>
      </c>
      <c r="J134" s="13"/>
      <c r="K134" s="13"/>
      <c r="L134" s="13">
        <v>0.5</v>
      </c>
      <c r="M134" s="13">
        <v>0.6</v>
      </c>
      <c r="N134" s="7" t="s">
        <v>52</v>
      </c>
      <c r="O134" s="7" t="s">
        <v>52</v>
      </c>
      <c r="P134" s="9"/>
      <c r="Q134" s="9"/>
      <c r="R134" s="9">
        <v>7297.6</v>
      </c>
      <c r="S134" s="7" t="s">
        <v>54</v>
      </c>
      <c r="T134" s="7" t="b">
        <v>0</v>
      </c>
      <c r="U134" s="7" t="s">
        <v>56</v>
      </c>
      <c r="V134" s="27" t="s">
        <v>57</v>
      </c>
      <c r="W134" s="7" t="s">
        <v>1271</v>
      </c>
    </row>
    <row r="135">
      <c r="A135" s="7" t="s">
        <v>1273</v>
      </c>
      <c r="B135" s="7" t="s">
        <v>1274</v>
      </c>
      <c r="C135" s="7" t="s">
        <v>1276</v>
      </c>
      <c r="D135" s="7" t="s">
        <v>172</v>
      </c>
      <c r="E135" s="9"/>
      <c r="F135" s="11">
        <v>13.79744</v>
      </c>
      <c r="G135" s="11">
        <v>100.38155</v>
      </c>
      <c r="H135" s="7" t="s">
        <v>93</v>
      </c>
      <c r="I135" s="13">
        <v>0.8</v>
      </c>
      <c r="J135" s="13"/>
      <c r="K135" s="13"/>
      <c r="L135" s="13">
        <v>0.9</v>
      </c>
      <c r="M135" s="13">
        <v>1.0</v>
      </c>
      <c r="N135" s="7" t="s">
        <v>52</v>
      </c>
      <c r="O135" s="7" t="s">
        <v>52</v>
      </c>
      <c r="P135" s="9"/>
      <c r="Q135" s="9"/>
      <c r="R135" s="9">
        <v>7297.6</v>
      </c>
      <c r="S135" s="7" t="s">
        <v>54</v>
      </c>
      <c r="T135" s="7" t="b">
        <v>0</v>
      </c>
      <c r="U135" s="7" t="s">
        <v>56</v>
      </c>
      <c r="V135" s="27" t="s">
        <v>57</v>
      </c>
      <c r="W135" s="7" t="s">
        <v>1284</v>
      </c>
    </row>
    <row r="136">
      <c r="A136" s="7" t="s">
        <v>1285</v>
      </c>
      <c r="B136" s="7" t="s">
        <v>1286</v>
      </c>
      <c r="C136" s="7" t="s">
        <v>1287</v>
      </c>
      <c r="D136" s="7" t="s">
        <v>256</v>
      </c>
      <c r="E136" s="9"/>
      <c r="F136" s="11">
        <v>13.76874</v>
      </c>
      <c r="G136" s="11">
        <v>100.59356</v>
      </c>
      <c r="H136" s="7" t="s">
        <v>93</v>
      </c>
      <c r="I136" s="13">
        <v>0.41</v>
      </c>
      <c r="J136" s="13"/>
      <c r="K136" s="13"/>
      <c r="L136" s="13">
        <v>0.05</v>
      </c>
      <c r="M136" s="13">
        <v>0.15</v>
      </c>
      <c r="N136" s="7" t="s">
        <v>52</v>
      </c>
      <c r="O136" s="7" t="s">
        <v>52</v>
      </c>
      <c r="P136" s="9"/>
      <c r="Q136" s="9"/>
      <c r="R136" s="9">
        <v>7297.6</v>
      </c>
      <c r="S136" s="7" t="s">
        <v>54</v>
      </c>
      <c r="T136" s="7" t="b">
        <v>0</v>
      </c>
      <c r="U136" s="7" t="s">
        <v>56</v>
      </c>
      <c r="V136" s="27" t="s">
        <v>57</v>
      </c>
      <c r="W136" s="7" t="s">
        <v>1295</v>
      </c>
    </row>
    <row r="137">
      <c r="A137" s="7" t="s">
        <v>1296</v>
      </c>
      <c r="B137" s="7" t="s">
        <v>1298</v>
      </c>
      <c r="C137" s="7" t="s">
        <v>1301</v>
      </c>
      <c r="D137" s="7" t="s">
        <v>274</v>
      </c>
      <c r="E137" s="9"/>
      <c r="F137" s="11">
        <v>13.85069</v>
      </c>
      <c r="G137" s="11">
        <v>100.56091</v>
      </c>
      <c r="H137" s="7" t="s">
        <v>93</v>
      </c>
      <c r="I137" s="13">
        <v>1.0</v>
      </c>
      <c r="J137" s="13"/>
      <c r="K137" s="13"/>
      <c r="L137" s="13">
        <v>0.5</v>
      </c>
      <c r="M137" s="13">
        <v>0.6</v>
      </c>
      <c r="N137" s="7" t="s">
        <v>52</v>
      </c>
      <c r="O137" s="7" t="s">
        <v>52</v>
      </c>
      <c r="P137" s="9"/>
      <c r="Q137" s="9"/>
      <c r="R137" s="9">
        <v>7297.6</v>
      </c>
      <c r="S137" s="7" t="s">
        <v>54</v>
      </c>
      <c r="T137" s="7" t="b">
        <v>0</v>
      </c>
      <c r="U137" s="7" t="s">
        <v>56</v>
      </c>
      <c r="V137" s="27" t="s">
        <v>57</v>
      </c>
      <c r="W137" s="7" t="s">
        <v>1305</v>
      </c>
    </row>
    <row r="138">
      <c r="A138" s="7" t="s">
        <v>1307</v>
      </c>
      <c r="B138" s="7" t="s">
        <v>1309</v>
      </c>
      <c r="C138" s="7" t="s">
        <v>1311</v>
      </c>
      <c r="D138" s="7" t="s">
        <v>472</v>
      </c>
      <c r="E138" s="9"/>
      <c r="F138" s="11">
        <v>13.74126</v>
      </c>
      <c r="G138" s="11">
        <v>100.59642</v>
      </c>
      <c r="H138" s="7" t="s">
        <v>93</v>
      </c>
      <c r="I138" s="13">
        <v>0.16</v>
      </c>
      <c r="J138" s="13"/>
      <c r="K138" s="13"/>
      <c r="L138" s="13">
        <v>0.0</v>
      </c>
      <c r="M138" s="13">
        <v>0.2</v>
      </c>
      <c r="N138" s="7" t="s">
        <v>52</v>
      </c>
      <c r="O138" s="7" t="s">
        <v>52</v>
      </c>
      <c r="P138" s="9"/>
      <c r="Q138" s="9"/>
      <c r="R138" s="9">
        <v>7297.6</v>
      </c>
      <c r="S138" s="7" t="s">
        <v>54</v>
      </c>
      <c r="T138" s="7" t="b">
        <v>0</v>
      </c>
      <c r="U138" s="7" t="s">
        <v>56</v>
      </c>
      <c r="V138" s="27" t="s">
        <v>57</v>
      </c>
      <c r="W138" s="7" t="s">
        <v>1314</v>
      </c>
    </row>
    <row r="139">
      <c r="A139" s="7" t="s">
        <v>1316</v>
      </c>
      <c r="B139" s="7" t="s">
        <v>1319</v>
      </c>
      <c r="C139" s="7" t="s">
        <v>1320</v>
      </c>
      <c r="D139" s="7" t="s">
        <v>602</v>
      </c>
      <c r="E139" s="9"/>
      <c r="F139" s="11">
        <v>13.71599</v>
      </c>
      <c r="G139" s="11">
        <v>100.67942</v>
      </c>
      <c r="H139" s="7" t="s">
        <v>93</v>
      </c>
      <c r="I139" s="13">
        <v>0.62</v>
      </c>
      <c r="J139" s="13"/>
      <c r="K139" s="13"/>
      <c r="L139" s="13">
        <v>-0.1</v>
      </c>
      <c r="M139" s="13">
        <v>0.0</v>
      </c>
      <c r="N139" s="7" t="s">
        <v>52</v>
      </c>
      <c r="O139" s="7" t="s">
        <v>52</v>
      </c>
      <c r="P139" s="9"/>
      <c r="Q139" s="9"/>
      <c r="R139" s="9">
        <v>7297.6</v>
      </c>
      <c r="S139" s="7" t="s">
        <v>54</v>
      </c>
      <c r="T139" s="7" t="b">
        <v>0</v>
      </c>
      <c r="U139" s="7" t="s">
        <v>56</v>
      </c>
      <c r="V139" s="27" t="s">
        <v>57</v>
      </c>
      <c r="W139" s="7" t="s">
        <v>1327</v>
      </c>
    </row>
    <row r="140">
      <c r="A140" s="7" t="s">
        <v>1329</v>
      </c>
      <c r="B140" s="7" t="s">
        <v>1330</v>
      </c>
      <c r="C140" s="7" t="s">
        <v>1331</v>
      </c>
      <c r="D140" s="7" t="s">
        <v>162</v>
      </c>
      <c r="E140" s="9"/>
      <c r="F140" s="11">
        <v>13.71575</v>
      </c>
      <c r="G140" s="11">
        <v>100.41648</v>
      </c>
      <c r="H140" s="7" t="s">
        <v>93</v>
      </c>
      <c r="I140" s="13">
        <v>0.61</v>
      </c>
      <c r="J140" s="13"/>
      <c r="K140" s="13"/>
      <c r="L140" s="13">
        <v>0.7</v>
      </c>
      <c r="M140" s="13">
        <v>0.8</v>
      </c>
      <c r="N140" s="7" t="s">
        <v>52</v>
      </c>
      <c r="O140" s="7" t="s">
        <v>52</v>
      </c>
      <c r="P140" s="9"/>
      <c r="Q140" s="9"/>
      <c r="R140" s="9">
        <v>7297.6</v>
      </c>
      <c r="S140" s="7" t="s">
        <v>54</v>
      </c>
      <c r="T140" s="7" t="b">
        <v>0</v>
      </c>
      <c r="U140" s="7" t="s">
        <v>56</v>
      </c>
      <c r="V140" s="27" t="s">
        <v>57</v>
      </c>
      <c r="W140" s="7" t="s">
        <v>1335</v>
      </c>
    </row>
    <row r="141">
      <c r="A141" s="7" t="s">
        <v>1337</v>
      </c>
      <c r="B141" s="7" t="s">
        <v>1339</v>
      </c>
      <c r="C141" s="7" t="s">
        <v>1342</v>
      </c>
      <c r="D141" s="7" t="s">
        <v>1343</v>
      </c>
      <c r="E141" s="9"/>
      <c r="F141" s="11">
        <v>13.68687</v>
      </c>
      <c r="G141" s="11">
        <v>100.51676</v>
      </c>
      <c r="H141" s="7" t="s">
        <v>93</v>
      </c>
      <c r="I141" s="13">
        <v>-1.05</v>
      </c>
      <c r="J141" s="13"/>
      <c r="K141" s="13"/>
      <c r="L141" s="13">
        <v>2.6</v>
      </c>
      <c r="M141" s="13">
        <v>2.8</v>
      </c>
      <c r="N141" s="7" t="s">
        <v>52</v>
      </c>
      <c r="O141" s="7" t="s">
        <v>52</v>
      </c>
      <c r="P141" s="9"/>
      <c r="Q141" s="9"/>
      <c r="R141" s="9">
        <v>7297.6</v>
      </c>
      <c r="S141" s="7" t="s">
        <v>54</v>
      </c>
      <c r="T141" s="7" t="b">
        <v>0</v>
      </c>
      <c r="U141" s="7" t="s">
        <v>56</v>
      </c>
      <c r="V141" s="27" t="s">
        <v>57</v>
      </c>
      <c r="W141" s="7" t="s">
        <v>1348</v>
      </c>
    </row>
    <row r="142">
      <c r="A142" s="7" t="s">
        <v>1351</v>
      </c>
      <c r="B142" s="7" t="s">
        <v>1352</v>
      </c>
      <c r="C142" s="7" t="s">
        <v>1353</v>
      </c>
      <c r="D142" s="7" t="s">
        <v>624</v>
      </c>
      <c r="E142" s="9"/>
      <c r="F142" s="11">
        <v>13.74381</v>
      </c>
      <c r="G142" s="11">
        <v>100.61168</v>
      </c>
      <c r="H142" s="7" t="s">
        <v>93</v>
      </c>
      <c r="I142" s="13">
        <v>0.2</v>
      </c>
      <c r="J142" s="13"/>
      <c r="K142" s="13"/>
      <c r="L142" s="13">
        <v>0.0</v>
      </c>
      <c r="M142" s="13">
        <v>0.1</v>
      </c>
      <c r="N142" s="7" t="s">
        <v>52</v>
      </c>
      <c r="O142" s="7" t="s">
        <v>52</v>
      </c>
      <c r="P142" s="9"/>
      <c r="Q142" s="9"/>
      <c r="R142" s="9">
        <v>7297.6</v>
      </c>
      <c r="S142" s="7" t="s">
        <v>54</v>
      </c>
      <c r="T142" s="7" t="b">
        <v>0</v>
      </c>
      <c r="U142" s="7" t="s">
        <v>56</v>
      </c>
      <c r="V142" s="27" t="s">
        <v>57</v>
      </c>
      <c r="W142" s="7" t="s">
        <v>1357</v>
      </c>
    </row>
    <row r="143">
      <c r="A143" s="7" t="s">
        <v>1359</v>
      </c>
      <c r="B143" s="7" t="s">
        <v>1361</v>
      </c>
      <c r="C143" s="7" t="s">
        <v>1363</v>
      </c>
      <c r="D143" s="7" t="s">
        <v>217</v>
      </c>
      <c r="E143" s="9"/>
      <c r="F143" s="11">
        <v>13.71253</v>
      </c>
      <c r="G143" s="11">
        <v>100.43219</v>
      </c>
      <c r="H143" s="7" t="s">
        <v>93</v>
      </c>
      <c r="I143" s="13">
        <v>0.45</v>
      </c>
      <c r="J143" s="13"/>
      <c r="K143" s="13"/>
      <c r="L143" s="13">
        <v>1.65</v>
      </c>
      <c r="M143" s="13">
        <v>1.85</v>
      </c>
      <c r="N143" s="7" t="s">
        <v>52</v>
      </c>
      <c r="O143" s="7" t="s">
        <v>52</v>
      </c>
      <c r="P143" s="9"/>
      <c r="Q143" s="9"/>
      <c r="R143" s="9">
        <v>7297.6</v>
      </c>
      <c r="S143" s="7" t="s">
        <v>54</v>
      </c>
      <c r="T143" s="7" t="b">
        <v>0</v>
      </c>
      <c r="U143" s="7" t="s">
        <v>56</v>
      </c>
      <c r="V143" s="27" t="s">
        <v>57</v>
      </c>
      <c r="W143" s="7" t="s">
        <v>1371</v>
      </c>
    </row>
    <row r="144">
      <c r="A144" s="7" t="s">
        <v>1372</v>
      </c>
      <c r="B144" s="7" t="s">
        <v>1373</v>
      </c>
      <c r="C144" s="7" t="s">
        <v>1374</v>
      </c>
      <c r="D144" s="7" t="s">
        <v>513</v>
      </c>
      <c r="E144" s="9"/>
      <c r="F144" s="11">
        <v>13.65786</v>
      </c>
      <c r="G144" s="11">
        <v>100.40551</v>
      </c>
      <c r="H144" s="7" t="s">
        <v>93</v>
      </c>
      <c r="I144" s="13">
        <v>0.44</v>
      </c>
      <c r="J144" s="13"/>
      <c r="K144" s="13"/>
      <c r="L144" s="13">
        <v>0.6</v>
      </c>
      <c r="M144" s="13">
        <v>0.7</v>
      </c>
      <c r="N144" s="7" t="s">
        <v>52</v>
      </c>
      <c r="O144" s="7" t="s">
        <v>52</v>
      </c>
      <c r="P144" s="9"/>
      <c r="Q144" s="9"/>
      <c r="R144" s="9">
        <v>7297.6</v>
      </c>
      <c r="S144" s="7" t="s">
        <v>54</v>
      </c>
      <c r="T144" s="7" t="b">
        <v>0</v>
      </c>
      <c r="U144" s="7" t="s">
        <v>56</v>
      </c>
      <c r="V144" s="27" t="s">
        <v>57</v>
      </c>
      <c r="W144" s="7" t="s">
        <v>1382</v>
      </c>
    </row>
    <row r="145">
      <c r="A145" s="7" t="s">
        <v>1383</v>
      </c>
      <c r="B145" s="7" t="s">
        <v>1384</v>
      </c>
      <c r="C145" s="7" t="s">
        <v>1385</v>
      </c>
      <c r="D145" s="7" t="s">
        <v>762</v>
      </c>
      <c r="E145" s="9"/>
      <c r="F145" s="11">
        <v>13.80274</v>
      </c>
      <c r="G145" s="11">
        <v>100.70165</v>
      </c>
      <c r="H145" s="7" t="s">
        <v>1388</v>
      </c>
      <c r="I145" s="13">
        <v>1.15</v>
      </c>
      <c r="J145" s="13"/>
      <c r="K145" s="13"/>
      <c r="L145" s="13">
        <v>0.8</v>
      </c>
      <c r="M145" s="13">
        <v>1.0</v>
      </c>
      <c r="N145" s="7" t="s">
        <v>52</v>
      </c>
      <c r="O145" s="7" t="s">
        <v>52</v>
      </c>
      <c r="P145" s="9"/>
      <c r="Q145" s="9"/>
      <c r="R145" s="9">
        <v>10632.6</v>
      </c>
      <c r="S145" s="7" t="s">
        <v>54</v>
      </c>
      <c r="T145" s="7" t="b">
        <v>0</v>
      </c>
      <c r="U145" s="7" t="s">
        <v>56</v>
      </c>
      <c r="V145" s="27" t="s">
        <v>57</v>
      </c>
      <c r="W145" s="7" t="s">
        <v>1395</v>
      </c>
    </row>
    <row r="146">
      <c r="A146" s="7" t="s">
        <v>1396</v>
      </c>
      <c r="B146" s="7" t="s">
        <v>1397</v>
      </c>
      <c r="C146" s="7" t="s">
        <v>1398</v>
      </c>
      <c r="D146" s="7" t="s">
        <v>1399</v>
      </c>
      <c r="E146" s="9"/>
      <c r="F146" s="11">
        <v>13.92294</v>
      </c>
      <c r="G146" s="11">
        <v>100.63455</v>
      </c>
      <c r="H146" s="7" t="s">
        <v>93</v>
      </c>
      <c r="I146" s="13">
        <v>1.54</v>
      </c>
      <c r="J146" s="13"/>
      <c r="K146" s="13"/>
      <c r="L146" s="13">
        <v>1.1</v>
      </c>
      <c r="M146" s="13">
        <v>1.8</v>
      </c>
      <c r="N146" s="7" t="s">
        <v>52</v>
      </c>
      <c r="O146" s="7" t="s">
        <v>52</v>
      </c>
      <c r="P146" s="9"/>
      <c r="Q146" s="9"/>
      <c r="R146" s="9">
        <v>7297.6</v>
      </c>
      <c r="S146" s="7" t="s">
        <v>54</v>
      </c>
      <c r="T146" s="7" t="b">
        <v>0</v>
      </c>
      <c r="U146" s="7" t="s">
        <v>56</v>
      </c>
      <c r="V146" s="27" t="s">
        <v>57</v>
      </c>
      <c r="W146" s="7" t="s">
        <v>1405</v>
      </c>
    </row>
    <row r="147">
      <c r="A147" s="7" t="s">
        <v>1406</v>
      </c>
      <c r="B147" s="7" t="s">
        <v>1407</v>
      </c>
      <c r="C147" s="7" t="s">
        <v>1408</v>
      </c>
      <c r="D147" s="7" t="s">
        <v>413</v>
      </c>
      <c r="E147" s="9"/>
      <c r="F147" s="11">
        <v>13.75604</v>
      </c>
      <c r="G147" s="11">
        <v>100.5526</v>
      </c>
      <c r="H147" s="7" t="s">
        <v>93</v>
      </c>
      <c r="I147" s="13">
        <v>-0.74</v>
      </c>
      <c r="J147" s="13"/>
      <c r="K147" s="13"/>
      <c r="L147" s="13">
        <v>0.0</v>
      </c>
      <c r="M147" s="13">
        <v>0.1</v>
      </c>
      <c r="N147" s="7" t="s">
        <v>52</v>
      </c>
      <c r="O147" s="7" t="s">
        <v>52</v>
      </c>
      <c r="P147" s="9"/>
      <c r="Q147" s="9"/>
      <c r="R147" s="9">
        <v>7297.6</v>
      </c>
      <c r="S147" s="7" t="s">
        <v>54</v>
      </c>
      <c r="T147" s="7" t="b">
        <v>0</v>
      </c>
      <c r="U147" s="7" t="s">
        <v>56</v>
      </c>
      <c r="V147" s="27" t="s">
        <v>57</v>
      </c>
      <c r="W147" s="7" t="s">
        <v>1416</v>
      </c>
    </row>
    <row r="148">
      <c r="A148" s="7" t="s">
        <v>1417</v>
      </c>
      <c r="B148" s="7" t="s">
        <v>1418</v>
      </c>
      <c r="C148" s="7" t="s">
        <v>1419</v>
      </c>
      <c r="D148" s="7" t="s">
        <v>478</v>
      </c>
      <c r="E148" s="9"/>
      <c r="F148" s="11">
        <v>13.79205</v>
      </c>
      <c r="G148" s="11">
        <v>100.83524</v>
      </c>
      <c r="H148" s="7" t="s">
        <v>93</v>
      </c>
      <c r="I148" s="13">
        <v>1.19</v>
      </c>
      <c r="J148" s="13"/>
      <c r="K148" s="13"/>
      <c r="L148" s="13">
        <v>0.6</v>
      </c>
      <c r="M148" s="13">
        <v>0.7</v>
      </c>
      <c r="N148" s="7" t="s">
        <v>52</v>
      </c>
      <c r="O148" s="7" t="s">
        <v>52</v>
      </c>
      <c r="P148" s="9"/>
      <c r="Q148" s="9"/>
      <c r="R148" s="9">
        <v>7297.6</v>
      </c>
      <c r="S148" s="7" t="s">
        <v>54</v>
      </c>
      <c r="T148" s="7" t="b">
        <v>0</v>
      </c>
      <c r="U148" s="7" t="s">
        <v>56</v>
      </c>
      <c r="V148" s="27" t="s">
        <v>57</v>
      </c>
      <c r="W148" s="7" t="s">
        <v>1425</v>
      </c>
    </row>
    <row r="149">
      <c r="A149" s="7" t="s">
        <v>1427</v>
      </c>
      <c r="B149" s="7" t="s">
        <v>1428</v>
      </c>
      <c r="C149" s="7" t="s">
        <v>1429</v>
      </c>
      <c r="D149" s="7" t="s">
        <v>256</v>
      </c>
      <c r="E149" s="9"/>
      <c r="F149" s="11">
        <v>13.76324</v>
      </c>
      <c r="G149" s="11">
        <v>100.56823</v>
      </c>
      <c r="H149" s="7" t="s">
        <v>93</v>
      </c>
      <c r="I149" s="13">
        <v>-0.16</v>
      </c>
      <c r="J149" s="13"/>
      <c r="K149" s="13"/>
      <c r="L149" s="13">
        <v>0.2</v>
      </c>
      <c r="M149" s="13">
        <v>0.4</v>
      </c>
      <c r="N149" s="7" t="s">
        <v>52</v>
      </c>
      <c r="O149" s="7" t="s">
        <v>52</v>
      </c>
      <c r="P149" s="9"/>
      <c r="Q149" s="9"/>
      <c r="R149" s="9">
        <v>7297.6</v>
      </c>
      <c r="S149" s="7" t="s">
        <v>54</v>
      </c>
      <c r="T149" s="7" t="b">
        <v>0</v>
      </c>
      <c r="U149" s="7" t="s">
        <v>56</v>
      </c>
      <c r="V149" s="27" t="s">
        <v>57</v>
      </c>
      <c r="W149" s="7" t="s">
        <v>1436</v>
      </c>
    </row>
    <row r="150">
      <c r="A150" s="7" t="s">
        <v>1437</v>
      </c>
      <c r="B150" s="7" t="s">
        <v>1438</v>
      </c>
      <c r="C150" s="7" t="s">
        <v>1439</v>
      </c>
      <c r="D150" s="7" t="s">
        <v>256</v>
      </c>
      <c r="E150" s="9"/>
      <c r="F150" s="11">
        <v>13.75383</v>
      </c>
      <c r="G150" s="11">
        <v>100.58091</v>
      </c>
      <c r="H150" s="7" t="s">
        <v>93</v>
      </c>
      <c r="I150" s="13">
        <v>0.16</v>
      </c>
      <c r="J150" s="13"/>
      <c r="K150" s="13"/>
      <c r="L150" s="13"/>
      <c r="M150" s="13"/>
      <c r="N150" s="7" t="s">
        <v>52</v>
      </c>
      <c r="O150" s="7" t="s">
        <v>52</v>
      </c>
      <c r="P150" s="9"/>
      <c r="Q150" s="9"/>
      <c r="R150" s="9">
        <v>7297.6</v>
      </c>
      <c r="S150" s="7" t="s">
        <v>54</v>
      </c>
      <c r="T150" s="7" t="b">
        <v>0</v>
      </c>
      <c r="U150" s="7" t="s">
        <v>56</v>
      </c>
      <c r="V150" s="27" t="s">
        <v>57</v>
      </c>
      <c r="W150" s="7" t="s">
        <v>1445</v>
      </c>
    </row>
    <row r="151">
      <c r="A151" s="7" t="s">
        <v>1446</v>
      </c>
      <c r="B151" s="7" t="s">
        <v>1447</v>
      </c>
      <c r="C151" s="7" t="s">
        <v>1448</v>
      </c>
      <c r="D151" s="7" t="s">
        <v>467</v>
      </c>
      <c r="E151" s="9"/>
      <c r="F151" s="11">
        <v>13.79154</v>
      </c>
      <c r="G151" s="11">
        <v>100.51662</v>
      </c>
      <c r="H151" s="7" t="s">
        <v>93</v>
      </c>
      <c r="I151" s="13">
        <v>-0.2</v>
      </c>
      <c r="J151" s="13"/>
      <c r="K151" s="13"/>
      <c r="L151" s="13">
        <v>0.8</v>
      </c>
      <c r="M151" s="13">
        <v>1.0</v>
      </c>
      <c r="N151" s="7" t="s">
        <v>52</v>
      </c>
      <c r="O151" s="7" t="s">
        <v>52</v>
      </c>
      <c r="P151" s="9"/>
      <c r="Q151" s="9"/>
      <c r="R151" s="9">
        <v>7297.6</v>
      </c>
      <c r="S151" s="7" t="s">
        <v>54</v>
      </c>
      <c r="T151" s="7" t="b">
        <v>0</v>
      </c>
      <c r="U151" s="7" t="s">
        <v>56</v>
      </c>
      <c r="V151" s="27" t="s">
        <v>57</v>
      </c>
      <c r="W151" s="7" t="s">
        <v>1454</v>
      </c>
    </row>
    <row r="152">
      <c r="A152" s="7" t="s">
        <v>1455</v>
      </c>
      <c r="B152" s="7" t="s">
        <v>1456</v>
      </c>
      <c r="C152" s="7" t="s">
        <v>1457</v>
      </c>
      <c r="D152" s="7" t="s">
        <v>274</v>
      </c>
      <c r="E152" s="9"/>
      <c r="F152" s="11">
        <v>13.79676</v>
      </c>
      <c r="G152" s="11">
        <v>100.56697</v>
      </c>
      <c r="H152" s="7" t="s">
        <v>93</v>
      </c>
      <c r="I152" s="13">
        <v>-0.81</v>
      </c>
      <c r="J152" s="13"/>
      <c r="K152" s="13"/>
      <c r="L152" s="13">
        <v>0.1</v>
      </c>
      <c r="M152" s="13">
        <v>0.2</v>
      </c>
      <c r="N152" s="7" t="s">
        <v>52</v>
      </c>
      <c r="O152" s="7" t="s">
        <v>52</v>
      </c>
      <c r="P152" s="9"/>
      <c r="Q152" s="9"/>
      <c r="R152" s="9">
        <v>7297.6</v>
      </c>
      <c r="S152" s="7" t="s">
        <v>54</v>
      </c>
      <c r="T152" s="7" t="b">
        <v>0</v>
      </c>
      <c r="U152" s="7" t="s">
        <v>56</v>
      </c>
      <c r="V152" s="27" t="s">
        <v>57</v>
      </c>
      <c r="W152" s="7" t="s">
        <v>1464</v>
      </c>
    </row>
    <row r="153">
      <c r="A153" s="7" t="s">
        <v>1465</v>
      </c>
      <c r="B153" s="7" t="s">
        <v>1467</v>
      </c>
      <c r="C153" s="7" t="s">
        <v>1469</v>
      </c>
      <c r="D153" s="7" t="s">
        <v>407</v>
      </c>
      <c r="E153" s="9"/>
      <c r="F153" s="11">
        <v>13.7551</v>
      </c>
      <c r="G153" s="11">
        <v>100.53601</v>
      </c>
      <c r="H153" s="7" t="s">
        <v>1474</v>
      </c>
      <c r="I153" s="13">
        <v>-0.4</v>
      </c>
      <c r="J153" s="13"/>
      <c r="K153" s="13"/>
      <c r="L153" s="13">
        <v>-0.2</v>
      </c>
      <c r="M153" s="13">
        <v>0.0</v>
      </c>
      <c r="N153" s="7" t="s">
        <v>52</v>
      </c>
      <c r="O153" s="7" t="s">
        <v>52</v>
      </c>
      <c r="P153" s="9"/>
      <c r="Q153" s="9"/>
      <c r="R153" s="9">
        <v>1811647.6</v>
      </c>
      <c r="S153" s="7" t="s">
        <v>54</v>
      </c>
      <c r="T153" s="7" t="b">
        <v>0</v>
      </c>
      <c r="U153" s="7" t="s">
        <v>56</v>
      </c>
      <c r="V153" s="27" t="s">
        <v>57</v>
      </c>
      <c r="W153" s="7" t="s">
        <v>1479</v>
      </c>
    </row>
    <row r="154">
      <c r="A154" s="7" t="s">
        <v>1480</v>
      </c>
      <c r="B154" s="7" t="s">
        <v>1481</v>
      </c>
      <c r="C154" s="7" t="s">
        <v>1482</v>
      </c>
      <c r="D154" s="7" t="s">
        <v>384</v>
      </c>
      <c r="E154" s="9"/>
      <c r="F154" s="11">
        <v>13.91159</v>
      </c>
      <c r="G154" s="11">
        <v>100.56559</v>
      </c>
      <c r="H154" s="7" t="s">
        <v>93</v>
      </c>
      <c r="I154" s="13">
        <v>-0.77</v>
      </c>
      <c r="J154" s="13"/>
      <c r="K154" s="13"/>
      <c r="L154" s="13">
        <v>0.3</v>
      </c>
      <c r="M154" s="13">
        <v>0.5</v>
      </c>
      <c r="N154" s="7" t="s">
        <v>52</v>
      </c>
      <c r="O154" s="7" t="s">
        <v>52</v>
      </c>
      <c r="P154" s="9"/>
      <c r="Q154" s="9"/>
      <c r="R154" s="9">
        <v>7297.6</v>
      </c>
      <c r="S154" s="7" t="s">
        <v>54</v>
      </c>
      <c r="T154" s="7" t="b">
        <v>0</v>
      </c>
      <c r="U154" s="7" t="s">
        <v>56</v>
      </c>
      <c r="V154" s="27" t="s">
        <v>57</v>
      </c>
      <c r="W154" s="7" t="s">
        <v>1488</v>
      </c>
    </row>
    <row r="155">
      <c r="A155" s="7" t="s">
        <v>1489</v>
      </c>
      <c r="B155" s="7" t="s">
        <v>1492</v>
      </c>
      <c r="C155" s="7" t="s">
        <v>1493</v>
      </c>
      <c r="D155" s="7" t="s">
        <v>1399</v>
      </c>
      <c r="E155" s="9"/>
      <c r="F155" s="11">
        <v>13.92128</v>
      </c>
      <c r="G155" s="11">
        <v>100.68731</v>
      </c>
      <c r="H155" s="7" t="s">
        <v>93</v>
      </c>
      <c r="I155" s="13">
        <v>1.6</v>
      </c>
      <c r="J155" s="13"/>
      <c r="K155" s="13"/>
      <c r="L155" s="13">
        <v>1.1</v>
      </c>
      <c r="M155" s="13">
        <v>1.8</v>
      </c>
      <c r="N155" s="7" t="s">
        <v>52</v>
      </c>
      <c r="O155" s="7" t="s">
        <v>52</v>
      </c>
      <c r="P155" s="9"/>
      <c r="Q155" s="9"/>
      <c r="R155" s="9">
        <v>7297.6</v>
      </c>
      <c r="S155" s="7" t="s">
        <v>54</v>
      </c>
      <c r="T155" s="7" t="b">
        <v>0</v>
      </c>
      <c r="U155" s="7" t="s">
        <v>56</v>
      </c>
      <c r="V155" s="27" t="s">
        <v>57</v>
      </c>
      <c r="W155" s="7" t="s">
        <v>1499</v>
      </c>
    </row>
    <row r="156">
      <c r="A156" s="7" t="s">
        <v>1501</v>
      </c>
      <c r="B156" s="7" t="s">
        <v>1502</v>
      </c>
      <c r="C156" s="7" t="s">
        <v>1505</v>
      </c>
      <c r="D156" s="7" t="s">
        <v>92</v>
      </c>
      <c r="E156" s="9"/>
      <c r="F156" s="11">
        <v>13.79549</v>
      </c>
      <c r="G156" s="11">
        <v>100.70761</v>
      </c>
      <c r="H156" s="7" t="s">
        <v>1509</v>
      </c>
      <c r="I156" s="13">
        <v>-0.12</v>
      </c>
      <c r="J156" s="13"/>
      <c r="K156" s="13"/>
      <c r="L156" s="13">
        <v>0.4</v>
      </c>
      <c r="M156" s="13">
        <v>0.6</v>
      </c>
      <c r="N156" s="7" t="s">
        <v>52</v>
      </c>
      <c r="O156" s="7" t="s">
        <v>52</v>
      </c>
      <c r="P156" s="9"/>
      <c r="Q156" s="9"/>
      <c r="R156" s="9">
        <v>379022.6</v>
      </c>
      <c r="S156" s="7" t="s">
        <v>54</v>
      </c>
      <c r="T156" s="7" t="b">
        <v>0</v>
      </c>
      <c r="U156" s="7" t="s">
        <v>56</v>
      </c>
      <c r="V156" s="27" t="s">
        <v>57</v>
      </c>
      <c r="W156" s="7" t="s">
        <v>1513</v>
      </c>
    </row>
    <row r="157">
      <c r="A157" s="7" t="s">
        <v>1515</v>
      </c>
      <c r="B157" s="7" t="s">
        <v>1517</v>
      </c>
      <c r="C157" s="7" t="s">
        <v>1519</v>
      </c>
      <c r="D157" s="7" t="s">
        <v>1148</v>
      </c>
      <c r="E157" s="9"/>
      <c r="F157" s="11">
        <v>13.67634</v>
      </c>
      <c r="G157" s="11">
        <v>100.52111</v>
      </c>
      <c r="H157" s="7" t="s">
        <v>93</v>
      </c>
      <c r="I157" s="13">
        <v>0.22</v>
      </c>
      <c r="J157" s="13"/>
      <c r="K157" s="13"/>
      <c r="L157" s="13">
        <v>2.6</v>
      </c>
      <c r="M157" s="13">
        <v>2.8</v>
      </c>
      <c r="N157" s="7" t="s">
        <v>52</v>
      </c>
      <c r="O157" s="7" t="s">
        <v>52</v>
      </c>
      <c r="P157" s="9"/>
      <c r="Q157" s="9"/>
      <c r="R157" s="9">
        <v>7297.6</v>
      </c>
      <c r="S157" s="7" t="s">
        <v>54</v>
      </c>
      <c r="T157" s="7" t="b">
        <v>0</v>
      </c>
      <c r="U157" s="7" t="s">
        <v>56</v>
      </c>
      <c r="V157" s="27" t="s">
        <v>57</v>
      </c>
      <c r="W157" s="7" t="s">
        <v>1524</v>
      </c>
    </row>
    <row r="158">
      <c r="A158" s="7" t="s">
        <v>1526</v>
      </c>
      <c r="B158" s="7" t="s">
        <v>1528</v>
      </c>
      <c r="C158" s="7" t="s">
        <v>1530</v>
      </c>
      <c r="D158" s="7" t="s">
        <v>323</v>
      </c>
      <c r="E158" s="9"/>
      <c r="F158" s="11">
        <v>13.87546</v>
      </c>
      <c r="G158" s="11">
        <v>100.57424</v>
      </c>
      <c r="H158" s="7" t="s">
        <v>1531</v>
      </c>
      <c r="I158" s="13">
        <v>1.56</v>
      </c>
      <c r="J158" s="13"/>
      <c r="K158" s="13"/>
      <c r="L158" s="13">
        <v>0.6</v>
      </c>
      <c r="M158" s="13">
        <v>0.7</v>
      </c>
      <c r="N158" s="7" t="s">
        <v>52</v>
      </c>
      <c r="O158" s="7" t="s">
        <v>52</v>
      </c>
      <c r="P158" s="9"/>
      <c r="Q158" s="9"/>
      <c r="R158" s="9">
        <v>7287.6</v>
      </c>
      <c r="S158" s="7" t="s">
        <v>54</v>
      </c>
      <c r="T158" s="7" t="b">
        <v>0</v>
      </c>
      <c r="U158" s="7" t="s">
        <v>56</v>
      </c>
      <c r="V158" s="27" t="s">
        <v>57</v>
      </c>
      <c r="W158" s="7" t="s">
        <v>1535</v>
      </c>
    </row>
    <row r="159">
      <c r="A159" s="7" t="s">
        <v>1539</v>
      </c>
      <c r="B159" s="7" t="s">
        <v>1541</v>
      </c>
      <c r="C159" s="7" t="s">
        <v>1543</v>
      </c>
      <c r="D159" s="7" t="s">
        <v>308</v>
      </c>
      <c r="E159" s="9"/>
      <c r="F159" s="11">
        <v>13.7302</v>
      </c>
      <c r="G159" s="11">
        <v>100.7541</v>
      </c>
      <c r="H159" s="7" t="s">
        <v>93</v>
      </c>
      <c r="I159" s="13">
        <v>1.0</v>
      </c>
      <c r="J159" s="13"/>
      <c r="K159" s="13"/>
      <c r="L159" s="13">
        <v>0.5</v>
      </c>
      <c r="M159" s="13">
        <v>0.6</v>
      </c>
      <c r="N159" s="7" t="s">
        <v>52</v>
      </c>
      <c r="O159" s="7" t="s">
        <v>52</v>
      </c>
      <c r="P159" s="9"/>
      <c r="Q159" s="9"/>
      <c r="R159" s="9">
        <v>7297.6</v>
      </c>
      <c r="S159" s="7" t="s">
        <v>54</v>
      </c>
      <c r="T159" s="7" t="b">
        <v>0</v>
      </c>
      <c r="U159" s="7" t="s">
        <v>56</v>
      </c>
      <c r="V159" s="27" t="s">
        <v>57</v>
      </c>
      <c r="W159" s="7" t="s">
        <v>1547</v>
      </c>
    </row>
    <row r="160">
      <c r="A160" s="7" t="s">
        <v>1548</v>
      </c>
      <c r="B160" s="7" t="s">
        <v>1549</v>
      </c>
      <c r="C160" s="7" t="s">
        <v>1550</v>
      </c>
      <c r="D160" s="7" t="s">
        <v>172</v>
      </c>
      <c r="E160" s="9"/>
      <c r="F160" s="11">
        <v>13.78838</v>
      </c>
      <c r="G160" s="11">
        <v>100.33518</v>
      </c>
      <c r="H160" s="7" t="s">
        <v>93</v>
      </c>
      <c r="I160" s="13">
        <v>0.88</v>
      </c>
      <c r="J160" s="13"/>
      <c r="K160" s="13"/>
      <c r="L160" s="13">
        <v>0.8</v>
      </c>
      <c r="M160" s="13">
        <v>0.9</v>
      </c>
      <c r="N160" s="7" t="s">
        <v>52</v>
      </c>
      <c r="O160" s="7" t="s">
        <v>52</v>
      </c>
      <c r="P160" s="9"/>
      <c r="Q160" s="9"/>
      <c r="R160" s="9">
        <v>7297.6</v>
      </c>
      <c r="S160" s="7" t="s">
        <v>54</v>
      </c>
      <c r="T160" s="7" t="b">
        <v>0</v>
      </c>
      <c r="U160" s="7" t="s">
        <v>56</v>
      </c>
      <c r="V160" s="27" t="s">
        <v>57</v>
      </c>
      <c r="W160" s="7" t="s">
        <v>1555</v>
      </c>
    </row>
    <row r="161">
      <c r="A161" s="7" t="s">
        <v>1556</v>
      </c>
      <c r="B161" s="7" t="s">
        <v>1557</v>
      </c>
      <c r="C161" s="7" t="s">
        <v>1558</v>
      </c>
      <c r="D161" s="7" t="s">
        <v>308</v>
      </c>
      <c r="E161" s="9"/>
      <c r="F161" s="11">
        <v>13.70102</v>
      </c>
      <c r="G161" s="11">
        <v>100.85095</v>
      </c>
      <c r="H161" s="7" t="s">
        <v>93</v>
      </c>
      <c r="I161" s="13">
        <v>1.0</v>
      </c>
      <c r="J161" s="13"/>
      <c r="K161" s="13"/>
      <c r="L161" s="13">
        <v>0.4</v>
      </c>
      <c r="M161" s="13">
        <v>0.6</v>
      </c>
      <c r="N161" s="7" t="s">
        <v>52</v>
      </c>
      <c r="O161" s="7" t="s">
        <v>52</v>
      </c>
      <c r="P161" s="9"/>
      <c r="Q161" s="9"/>
      <c r="R161" s="9">
        <v>7297.6</v>
      </c>
      <c r="S161" s="7" t="s">
        <v>54</v>
      </c>
      <c r="T161" s="7" t="b">
        <v>0</v>
      </c>
      <c r="U161" s="7" t="s">
        <v>56</v>
      </c>
      <c r="V161" s="27" t="s">
        <v>57</v>
      </c>
      <c r="W161" s="7" t="s">
        <v>1561</v>
      </c>
    </row>
    <row r="162">
      <c r="A162" s="7" t="s">
        <v>1563</v>
      </c>
      <c r="B162" s="7" t="s">
        <v>1565</v>
      </c>
      <c r="C162" s="7" t="s">
        <v>1566</v>
      </c>
      <c r="D162" s="7" t="s">
        <v>247</v>
      </c>
      <c r="E162" s="9"/>
      <c r="F162" s="11">
        <v>13.71861</v>
      </c>
      <c r="G162" s="11">
        <v>100.51499</v>
      </c>
      <c r="H162" s="7" t="s">
        <v>93</v>
      </c>
      <c r="I162" s="13">
        <v>-0.97</v>
      </c>
      <c r="J162" s="13"/>
      <c r="K162" s="13"/>
      <c r="L162" s="13">
        <v>2.6</v>
      </c>
      <c r="M162" s="13">
        <v>2.8</v>
      </c>
      <c r="N162" s="7" t="s">
        <v>52</v>
      </c>
      <c r="O162" s="7" t="s">
        <v>52</v>
      </c>
      <c r="P162" s="9"/>
      <c r="Q162" s="9"/>
      <c r="R162" s="9">
        <v>7297.6</v>
      </c>
      <c r="S162" s="7" t="s">
        <v>54</v>
      </c>
      <c r="T162" s="7" t="b">
        <v>0</v>
      </c>
      <c r="U162" s="7" t="s">
        <v>56</v>
      </c>
      <c r="V162" s="27" t="s">
        <v>57</v>
      </c>
      <c r="W162" s="7" t="s">
        <v>1567</v>
      </c>
    </row>
    <row r="163">
      <c r="A163" s="7" t="s">
        <v>1568</v>
      </c>
      <c r="B163" s="7" t="s">
        <v>1569</v>
      </c>
      <c r="C163" s="7" t="s">
        <v>1570</v>
      </c>
      <c r="D163" s="7" t="s">
        <v>624</v>
      </c>
      <c r="E163" s="9"/>
      <c r="F163" s="11">
        <v>13.71556</v>
      </c>
      <c r="G163" s="11">
        <v>100.6106</v>
      </c>
      <c r="H163" s="7" t="s">
        <v>93</v>
      </c>
      <c r="I163" s="13">
        <v>0.08</v>
      </c>
      <c r="J163" s="13"/>
      <c r="K163" s="13"/>
      <c r="L163" s="13">
        <v>0.2</v>
      </c>
      <c r="M163" s="13">
        <v>0.3</v>
      </c>
      <c r="N163" s="7" t="s">
        <v>52</v>
      </c>
      <c r="O163" s="7" t="s">
        <v>52</v>
      </c>
      <c r="P163" s="9"/>
      <c r="Q163" s="9"/>
      <c r="R163" s="9">
        <v>7297.6</v>
      </c>
      <c r="S163" s="7" t="s">
        <v>54</v>
      </c>
      <c r="T163" s="7" t="b">
        <v>0</v>
      </c>
      <c r="U163" s="7" t="s">
        <v>56</v>
      </c>
      <c r="V163" s="27" t="s">
        <v>57</v>
      </c>
      <c r="W163" s="7" t="s">
        <v>1576</v>
      </c>
    </row>
    <row r="164">
      <c r="A164" s="7" t="s">
        <v>1577</v>
      </c>
      <c r="B164" s="7" t="s">
        <v>1578</v>
      </c>
      <c r="C164" s="7" t="s">
        <v>1579</v>
      </c>
      <c r="D164" s="7" t="s">
        <v>182</v>
      </c>
      <c r="E164" s="9"/>
      <c r="F164" s="11">
        <v>13.74795</v>
      </c>
      <c r="G164" s="11">
        <v>100.53615</v>
      </c>
      <c r="H164" s="7" t="s">
        <v>93</v>
      </c>
      <c r="I164" s="13">
        <v>-1.34</v>
      </c>
      <c r="J164" s="13"/>
      <c r="K164" s="13"/>
      <c r="L164" s="13">
        <v>0.0</v>
      </c>
      <c r="M164" s="13">
        <v>0.1</v>
      </c>
      <c r="N164" s="7" t="s">
        <v>52</v>
      </c>
      <c r="O164" s="7" t="s">
        <v>52</v>
      </c>
      <c r="P164" s="9"/>
      <c r="Q164" s="9"/>
      <c r="R164" s="9">
        <v>7297.6</v>
      </c>
      <c r="S164" s="7" t="s">
        <v>54</v>
      </c>
      <c r="T164" s="7" t="b">
        <v>0</v>
      </c>
      <c r="U164" s="7" t="s">
        <v>56</v>
      </c>
      <c r="V164" s="27" t="s">
        <v>57</v>
      </c>
      <c r="W164" s="7" t="s">
        <v>1583</v>
      </c>
    </row>
    <row r="165">
      <c r="A165" s="7" t="s">
        <v>1585</v>
      </c>
      <c r="B165" s="7" t="s">
        <v>1586</v>
      </c>
      <c r="C165" s="7" t="s">
        <v>1587</v>
      </c>
      <c r="D165" s="7" t="s">
        <v>1588</v>
      </c>
      <c r="E165" s="9"/>
      <c r="F165" s="11">
        <v>13.78876</v>
      </c>
      <c r="G165" s="11">
        <v>100.48166</v>
      </c>
      <c r="H165" s="7" t="s">
        <v>239</v>
      </c>
      <c r="I165" s="13">
        <v>-0.31</v>
      </c>
      <c r="J165" s="13"/>
      <c r="K165" s="13"/>
      <c r="L165" s="13">
        <v>0.7</v>
      </c>
      <c r="M165" s="13">
        <v>0.8</v>
      </c>
      <c r="N165" s="7" t="s">
        <v>52</v>
      </c>
      <c r="O165" s="7" t="s">
        <v>52</v>
      </c>
      <c r="P165" s="9"/>
      <c r="Q165" s="9"/>
      <c r="R165" s="9">
        <v>7302.6</v>
      </c>
      <c r="S165" s="7" t="s">
        <v>54</v>
      </c>
      <c r="T165" s="7" t="b">
        <v>0</v>
      </c>
      <c r="U165" s="7" t="s">
        <v>56</v>
      </c>
      <c r="V165" s="27" t="s">
        <v>57</v>
      </c>
      <c r="W165" s="7" t="s">
        <v>1590</v>
      </c>
    </row>
    <row r="166">
      <c r="A166" s="7" t="s">
        <v>1592</v>
      </c>
      <c r="B166" s="7" t="s">
        <v>1593</v>
      </c>
      <c r="C166" s="7" t="s">
        <v>1594</v>
      </c>
      <c r="D166" s="7" t="s">
        <v>256</v>
      </c>
      <c r="E166" s="9"/>
      <c r="F166" s="11">
        <v>13.7631</v>
      </c>
      <c r="G166" s="11">
        <v>100.59243</v>
      </c>
      <c r="H166" s="7" t="s">
        <v>93</v>
      </c>
      <c r="I166" s="13">
        <v>0.46</v>
      </c>
      <c r="J166" s="13"/>
      <c r="K166" s="13"/>
      <c r="L166" s="13"/>
      <c r="M166" s="13"/>
      <c r="N166" s="7" t="s">
        <v>52</v>
      </c>
      <c r="O166" s="7" t="s">
        <v>52</v>
      </c>
      <c r="P166" s="9"/>
      <c r="Q166" s="9"/>
      <c r="R166" s="9">
        <v>7297.6</v>
      </c>
      <c r="S166" s="7" t="s">
        <v>54</v>
      </c>
      <c r="T166" s="7" t="b">
        <v>0</v>
      </c>
      <c r="U166" s="7" t="s">
        <v>56</v>
      </c>
      <c r="V166" s="27" t="s">
        <v>57</v>
      </c>
      <c r="W166" s="7" t="s">
        <v>1602</v>
      </c>
    </row>
    <row r="167">
      <c r="A167" s="7" t="s">
        <v>1603</v>
      </c>
      <c r="B167" s="7" t="s">
        <v>1604</v>
      </c>
      <c r="C167" s="7" t="s">
        <v>1605</v>
      </c>
      <c r="D167" s="7" t="s">
        <v>535</v>
      </c>
      <c r="E167" s="9"/>
      <c r="F167" s="11">
        <v>13.75707</v>
      </c>
      <c r="G167" s="11">
        <v>100.43334</v>
      </c>
      <c r="H167" s="7" t="s">
        <v>93</v>
      </c>
      <c r="I167" s="13">
        <v>0.54</v>
      </c>
      <c r="J167" s="13"/>
      <c r="K167" s="13"/>
      <c r="L167" s="13">
        <v>0.6</v>
      </c>
      <c r="M167" s="13">
        <v>0.7</v>
      </c>
      <c r="N167" s="7" t="s">
        <v>52</v>
      </c>
      <c r="O167" s="7" t="s">
        <v>52</v>
      </c>
      <c r="P167" s="9"/>
      <c r="Q167" s="9"/>
      <c r="R167" s="9">
        <v>7297.6</v>
      </c>
      <c r="S167" s="7" t="s">
        <v>54</v>
      </c>
      <c r="T167" s="7" t="b">
        <v>0</v>
      </c>
      <c r="U167" s="7" t="s">
        <v>56</v>
      </c>
      <c r="V167" s="27" t="s">
        <v>57</v>
      </c>
      <c r="W167" s="7" t="s">
        <v>1610</v>
      </c>
    </row>
    <row r="168">
      <c r="A168" s="7" t="s">
        <v>1611</v>
      </c>
      <c r="B168" s="7" t="s">
        <v>1612</v>
      </c>
      <c r="C168" s="7" t="s">
        <v>1614</v>
      </c>
      <c r="D168" s="7" t="s">
        <v>1615</v>
      </c>
      <c r="E168" s="9"/>
      <c r="F168" s="11">
        <v>13.74703</v>
      </c>
      <c r="G168" s="11">
        <v>100.48489</v>
      </c>
      <c r="H168" s="7" t="s">
        <v>93</v>
      </c>
      <c r="I168" s="13">
        <v>0.14</v>
      </c>
      <c r="J168" s="13"/>
      <c r="K168" s="13"/>
      <c r="L168" s="13">
        <v>2.8</v>
      </c>
      <c r="M168" s="13">
        <v>3.0</v>
      </c>
      <c r="N168" s="7" t="s">
        <v>52</v>
      </c>
      <c r="O168" s="7" t="s">
        <v>52</v>
      </c>
      <c r="P168" s="9"/>
      <c r="Q168" s="9"/>
      <c r="R168" s="9">
        <v>7297.6</v>
      </c>
      <c r="S168" s="7" t="s">
        <v>54</v>
      </c>
      <c r="T168" s="7" t="b">
        <v>0</v>
      </c>
      <c r="U168" s="7" t="s">
        <v>56</v>
      </c>
      <c r="V168" s="27" t="s">
        <v>57</v>
      </c>
      <c r="W168" s="7" t="s">
        <v>1616</v>
      </c>
    </row>
    <row r="169">
      <c r="A169" s="7" t="s">
        <v>1617</v>
      </c>
      <c r="B169" s="7" t="s">
        <v>1618</v>
      </c>
      <c r="C169" s="7" t="s">
        <v>1619</v>
      </c>
      <c r="D169" s="7" t="s">
        <v>472</v>
      </c>
      <c r="E169" s="9"/>
      <c r="F169" s="11">
        <v>13.73827</v>
      </c>
      <c r="G169" s="11">
        <v>100.57522</v>
      </c>
      <c r="H169" s="7" t="s">
        <v>93</v>
      </c>
      <c r="I169" s="13">
        <v>-1.59</v>
      </c>
      <c r="J169" s="13"/>
      <c r="K169" s="13"/>
      <c r="L169" s="13">
        <v>-0.2</v>
      </c>
      <c r="M169" s="13">
        <v>0.0</v>
      </c>
      <c r="N169" s="7" t="s">
        <v>52</v>
      </c>
      <c r="O169" s="7" t="s">
        <v>52</v>
      </c>
      <c r="P169" s="9"/>
      <c r="Q169" s="9"/>
      <c r="R169" s="9">
        <v>7297.6</v>
      </c>
      <c r="S169" s="7" t="s">
        <v>54</v>
      </c>
      <c r="T169" s="7" t="b">
        <v>0</v>
      </c>
      <c r="U169" s="7" t="s">
        <v>56</v>
      </c>
      <c r="V169" s="27" t="s">
        <v>57</v>
      </c>
      <c r="W169" s="7" t="s">
        <v>1624</v>
      </c>
    </row>
    <row r="170">
      <c r="A170" s="7" t="s">
        <v>1625</v>
      </c>
      <c r="B170" s="7" t="s">
        <v>1626</v>
      </c>
      <c r="C170" s="7" t="s">
        <v>1627</v>
      </c>
      <c r="D170" s="7" t="s">
        <v>472</v>
      </c>
      <c r="E170" s="9"/>
      <c r="F170" s="11">
        <v>13.74233</v>
      </c>
      <c r="G170" s="11">
        <v>100.56054</v>
      </c>
      <c r="H170" s="7" t="s">
        <v>1628</v>
      </c>
      <c r="I170" s="13">
        <v>-1.23</v>
      </c>
      <c r="J170" s="13"/>
      <c r="K170" s="13"/>
      <c r="L170" s="13">
        <v>-0.2</v>
      </c>
      <c r="M170" s="13">
        <v>0.0</v>
      </c>
      <c r="N170" s="7" t="s">
        <v>52</v>
      </c>
      <c r="O170" s="7" t="s">
        <v>52</v>
      </c>
      <c r="P170" s="9"/>
      <c r="Q170" s="9"/>
      <c r="R170" s="9">
        <v>9002.6</v>
      </c>
      <c r="S170" s="7" t="s">
        <v>54</v>
      </c>
      <c r="T170" s="7" t="b">
        <v>0</v>
      </c>
      <c r="U170" s="7" t="s">
        <v>56</v>
      </c>
      <c r="V170" s="27" t="s">
        <v>57</v>
      </c>
      <c r="W170" s="7" t="s">
        <v>1630</v>
      </c>
    </row>
    <row r="171">
      <c r="A171" s="7" t="s">
        <v>1632</v>
      </c>
      <c r="B171" s="7" t="s">
        <v>1635</v>
      </c>
      <c r="C171" s="7" t="s">
        <v>1636</v>
      </c>
      <c r="D171" s="7" t="s">
        <v>323</v>
      </c>
      <c r="E171" s="9"/>
      <c r="F171" s="11">
        <v>13.85509</v>
      </c>
      <c r="G171" s="11">
        <v>100.56001</v>
      </c>
      <c r="H171" s="7" t="s">
        <v>1639</v>
      </c>
      <c r="I171" s="13">
        <v>1.0</v>
      </c>
      <c r="J171" s="13"/>
      <c r="K171" s="13"/>
      <c r="L171" s="13">
        <v>0.1</v>
      </c>
      <c r="M171" s="13">
        <v>0.2</v>
      </c>
      <c r="N171" s="7" t="s">
        <v>52</v>
      </c>
      <c r="O171" s="7" t="s">
        <v>52</v>
      </c>
      <c r="P171" s="9"/>
      <c r="Q171" s="9"/>
      <c r="R171" s="9">
        <v>7447.6</v>
      </c>
      <c r="S171" s="7" t="s">
        <v>54</v>
      </c>
      <c r="T171" s="7" t="b">
        <v>0</v>
      </c>
      <c r="U171" s="7" t="s">
        <v>56</v>
      </c>
      <c r="V171" s="27" t="s">
        <v>57</v>
      </c>
      <c r="W171" s="7" t="s">
        <v>1641</v>
      </c>
    </row>
    <row r="172">
      <c r="A172" s="7" t="s">
        <v>1642</v>
      </c>
      <c r="B172" s="7" t="s">
        <v>1643</v>
      </c>
      <c r="C172" s="7" t="s">
        <v>1644</v>
      </c>
      <c r="D172" s="7" t="s">
        <v>115</v>
      </c>
      <c r="E172" s="9"/>
      <c r="F172" s="11">
        <v>13.7528</v>
      </c>
      <c r="G172" s="11">
        <v>100.63296</v>
      </c>
      <c r="H172" s="7" t="s">
        <v>93</v>
      </c>
      <c r="I172" s="13">
        <v>0.46</v>
      </c>
      <c r="J172" s="13"/>
      <c r="K172" s="13"/>
      <c r="L172" s="13">
        <v>-0.2</v>
      </c>
      <c r="M172" s="13">
        <v>0.0</v>
      </c>
      <c r="N172" s="7" t="s">
        <v>52</v>
      </c>
      <c r="O172" s="7" t="s">
        <v>52</v>
      </c>
      <c r="P172" s="9"/>
      <c r="Q172" s="9"/>
      <c r="R172" s="9">
        <v>7297.6</v>
      </c>
      <c r="S172" s="7" t="s">
        <v>54</v>
      </c>
      <c r="T172" s="7" t="b">
        <v>0</v>
      </c>
      <c r="U172" s="7" t="s">
        <v>56</v>
      </c>
      <c r="V172" s="27" t="s">
        <v>57</v>
      </c>
      <c r="W172" s="7" t="s">
        <v>1649</v>
      </c>
    </row>
    <row r="173">
      <c r="A173" s="7" t="s">
        <v>1650</v>
      </c>
      <c r="B173" s="7" t="s">
        <v>1651</v>
      </c>
      <c r="C173" s="7" t="s">
        <v>1652</v>
      </c>
      <c r="D173" s="7" t="s">
        <v>602</v>
      </c>
      <c r="E173" s="9"/>
      <c r="F173" s="11">
        <v>13.69479</v>
      </c>
      <c r="G173" s="11">
        <v>100.6535</v>
      </c>
      <c r="H173" s="7" t="s">
        <v>93</v>
      </c>
      <c r="I173" s="13">
        <v>-4.27</v>
      </c>
      <c r="J173" s="13"/>
      <c r="K173" s="13"/>
      <c r="L173" s="13">
        <v>-0.1</v>
      </c>
      <c r="M173" s="13">
        <v>0.0</v>
      </c>
      <c r="N173" s="7" t="s">
        <v>52</v>
      </c>
      <c r="O173" s="7" t="s">
        <v>52</v>
      </c>
      <c r="P173" s="9"/>
      <c r="Q173" s="9"/>
      <c r="R173" s="9">
        <v>7297.6</v>
      </c>
      <c r="S173" s="7" t="s">
        <v>54</v>
      </c>
      <c r="T173" s="7" t="b">
        <v>0</v>
      </c>
      <c r="U173" s="7" t="s">
        <v>56</v>
      </c>
      <c r="V173" s="27" t="s">
        <v>57</v>
      </c>
      <c r="W173" s="7" t="s">
        <v>1653</v>
      </c>
    </row>
    <row r="174">
      <c r="A174" s="7" t="s">
        <v>1654</v>
      </c>
      <c r="B174" s="7" t="s">
        <v>1655</v>
      </c>
      <c r="C174" s="7" t="s">
        <v>1656</v>
      </c>
      <c r="D174" s="7" t="s">
        <v>944</v>
      </c>
      <c r="E174" s="9"/>
      <c r="F174" s="11">
        <v>13.69486</v>
      </c>
      <c r="G174" s="11">
        <v>100.48759</v>
      </c>
      <c r="H174" s="7" t="s">
        <v>93</v>
      </c>
      <c r="I174" s="13">
        <v>0.2</v>
      </c>
      <c r="J174" s="13"/>
      <c r="K174" s="13"/>
      <c r="L174" s="13">
        <v>2.6</v>
      </c>
      <c r="M174" s="13">
        <v>2.8</v>
      </c>
      <c r="N174" s="7" t="s">
        <v>52</v>
      </c>
      <c r="O174" s="7" t="s">
        <v>52</v>
      </c>
      <c r="P174" s="9"/>
      <c r="Q174" s="9"/>
      <c r="R174" s="9">
        <v>7297.6</v>
      </c>
      <c r="S174" s="7" t="s">
        <v>54</v>
      </c>
      <c r="T174" s="7" t="b">
        <v>0</v>
      </c>
      <c r="U174" s="7" t="s">
        <v>56</v>
      </c>
      <c r="V174" s="27" t="s">
        <v>57</v>
      </c>
      <c r="W174" s="7" t="s">
        <v>1662</v>
      </c>
    </row>
    <row r="175">
      <c r="A175" s="7" t="s">
        <v>1663</v>
      </c>
      <c r="B175" s="7" t="s">
        <v>1664</v>
      </c>
      <c r="C175" s="7" t="s">
        <v>1665</v>
      </c>
      <c r="D175" s="7" t="s">
        <v>308</v>
      </c>
      <c r="E175" s="9"/>
      <c r="F175" s="11">
        <v>13.77538</v>
      </c>
      <c r="G175" s="11">
        <v>100.75395</v>
      </c>
      <c r="H175" s="7" t="s">
        <v>93</v>
      </c>
      <c r="I175" s="13">
        <v>1.12</v>
      </c>
      <c r="J175" s="13"/>
      <c r="K175" s="13"/>
      <c r="L175" s="13">
        <v>0.6</v>
      </c>
      <c r="M175" s="13">
        <v>0.7</v>
      </c>
      <c r="N175" s="7" t="s">
        <v>52</v>
      </c>
      <c r="O175" s="7" t="s">
        <v>52</v>
      </c>
      <c r="P175" s="9"/>
      <c r="Q175" s="9"/>
      <c r="R175" s="9">
        <v>7297.6</v>
      </c>
      <c r="S175" s="7" t="s">
        <v>54</v>
      </c>
      <c r="T175" s="7" t="b">
        <v>0</v>
      </c>
      <c r="U175" s="7" t="s">
        <v>56</v>
      </c>
      <c r="V175" s="27" t="s">
        <v>57</v>
      </c>
      <c r="W175" s="7" t="s">
        <v>1667</v>
      </c>
    </row>
    <row r="176">
      <c r="A176" s="7" t="s">
        <v>1669</v>
      </c>
      <c r="B176" s="7" t="s">
        <v>1671</v>
      </c>
      <c r="C176" s="7" t="s">
        <v>1673</v>
      </c>
      <c r="D176" s="7" t="s">
        <v>308</v>
      </c>
      <c r="E176" s="9"/>
      <c r="F176" s="11">
        <v>13.72411</v>
      </c>
      <c r="G176" s="11">
        <v>100.74987</v>
      </c>
      <c r="H176" s="7" t="s">
        <v>93</v>
      </c>
      <c r="I176" s="13">
        <v>0.82</v>
      </c>
      <c r="J176" s="13"/>
      <c r="K176" s="13"/>
      <c r="L176" s="13">
        <v>0.4</v>
      </c>
      <c r="M176" s="13">
        <v>0.6</v>
      </c>
      <c r="N176" s="7" t="s">
        <v>52</v>
      </c>
      <c r="O176" s="7" t="s">
        <v>52</v>
      </c>
      <c r="P176" s="9"/>
      <c r="Q176" s="9"/>
      <c r="R176" s="9">
        <v>7297.6</v>
      </c>
      <c r="S176" s="7" t="s">
        <v>54</v>
      </c>
      <c r="T176" s="7" t="b">
        <v>0</v>
      </c>
      <c r="U176" s="7" t="s">
        <v>56</v>
      </c>
      <c r="V176" s="27" t="s">
        <v>57</v>
      </c>
      <c r="W176" s="7" t="s">
        <v>1674</v>
      </c>
    </row>
    <row r="177">
      <c r="A177" s="7" t="s">
        <v>1675</v>
      </c>
      <c r="B177" s="7" t="s">
        <v>1676</v>
      </c>
      <c r="C177" s="7" t="s">
        <v>1677</v>
      </c>
      <c r="D177" s="7" t="s">
        <v>323</v>
      </c>
      <c r="E177" s="9"/>
      <c r="F177" s="11">
        <v>13.87579</v>
      </c>
      <c r="G177" s="11">
        <v>100.55819</v>
      </c>
      <c r="H177" s="7" t="s">
        <v>93</v>
      </c>
      <c r="I177" s="13">
        <v>0.2</v>
      </c>
      <c r="J177" s="13"/>
      <c r="K177" s="13"/>
      <c r="L177" s="13">
        <v>1.6</v>
      </c>
      <c r="M177" s="13">
        <v>1.8</v>
      </c>
      <c r="N177" s="7" t="s">
        <v>52</v>
      </c>
      <c r="O177" s="7" t="s">
        <v>52</v>
      </c>
      <c r="P177" s="9"/>
      <c r="Q177" s="9"/>
      <c r="R177" s="9">
        <v>7297.6</v>
      </c>
      <c r="S177" s="7" t="s">
        <v>54</v>
      </c>
      <c r="T177" s="7" t="b">
        <v>0</v>
      </c>
      <c r="U177" s="7" t="s">
        <v>56</v>
      </c>
      <c r="V177" s="27" t="s">
        <v>57</v>
      </c>
      <c r="W177" s="7" t="s">
        <v>1682</v>
      </c>
    </row>
    <row r="178">
      <c r="A178" s="7" t="s">
        <v>1683</v>
      </c>
      <c r="B178" s="7" t="s">
        <v>1684</v>
      </c>
      <c r="C178" s="7" t="s">
        <v>1685</v>
      </c>
      <c r="D178" s="7" t="s">
        <v>624</v>
      </c>
      <c r="E178" s="9"/>
      <c r="F178" s="11">
        <v>13.71537</v>
      </c>
      <c r="G178" s="11">
        <v>100.64117</v>
      </c>
      <c r="H178" s="7" t="s">
        <v>93</v>
      </c>
      <c r="I178" s="13">
        <v>0.56</v>
      </c>
      <c r="J178" s="13"/>
      <c r="K178" s="13"/>
      <c r="L178" s="13">
        <v>0.4</v>
      </c>
      <c r="M178" s="13">
        <v>0.5</v>
      </c>
      <c r="N178" s="7" t="s">
        <v>52</v>
      </c>
      <c r="O178" s="7" t="s">
        <v>52</v>
      </c>
      <c r="P178" s="9"/>
      <c r="Q178" s="9"/>
      <c r="R178" s="9">
        <v>7297.6</v>
      </c>
      <c r="S178" s="7" t="s">
        <v>54</v>
      </c>
      <c r="T178" s="7" t="b">
        <v>0</v>
      </c>
      <c r="U178" s="7" t="s">
        <v>56</v>
      </c>
      <c r="V178" s="27" t="s">
        <v>57</v>
      </c>
      <c r="W178" s="7" t="s">
        <v>1686</v>
      </c>
    </row>
    <row r="179">
      <c r="A179" s="7" t="s">
        <v>1687</v>
      </c>
      <c r="B179" s="7" t="s">
        <v>1688</v>
      </c>
      <c r="C179" s="7" t="s">
        <v>1689</v>
      </c>
      <c r="D179" s="7" t="s">
        <v>366</v>
      </c>
      <c r="E179" s="9"/>
      <c r="F179" s="11">
        <v>13.6922</v>
      </c>
      <c r="G179" s="11">
        <v>100.5898</v>
      </c>
      <c r="H179" s="7" t="s">
        <v>93</v>
      </c>
      <c r="I179" s="13">
        <v>-1.06</v>
      </c>
      <c r="J179" s="13"/>
      <c r="K179" s="13"/>
      <c r="L179" s="13">
        <v>2.6</v>
      </c>
      <c r="M179" s="13">
        <v>2.8</v>
      </c>
      <c r="N179" s="7" t="s">
        <v>52</v>
      </c>
      <c r="O179" s="7" t="s">
        <v>52</v>
      </c>
      <c r="P179" s="9"/>
      <c r="Q179" s="9"/>
      <c r="R179" s="9">
        <v>7297.6</v>
      </c>
      <c r="S179" s="7" t="s">
        <v>54</v>
      </c>
      <c r="T179" s="7" t="b">
        <v>0</v>
      </c>
      <c r="U179" s="7" t="s">
        <v>56</v>
      </c>
      <c r="V179" s="27" t="s">
        <v>57</v>
      </c>
      <c r="W179" s="7" t="s">
        <v>1695</v>
      </c>
    </row>
    <row r="180">
      <c r="A180" s="7" t="s">
        <v>1696</v>
      </c>
      <c r="B180" s="7" t="s">
        <v>1697</v>
      </c>
      <c r="C180" s="7" t="s">
        <v>1698</v>
      </c>
      <c r="D180" s="7" t="s">
        <v>115</v>
      </c>
      <c r="E180" s="9"/>
      <c r="F180" s="11">
        <v>13.80003</v>
      </c>
      <c r="G180" s="11">
        <v>100.62285</v>
      </c>
      <c r="H180" s="7" t="s">
        <v>93</v>
      </c>
      <c r="I180" s="13">
        <v>0.13</v>
      </c>
      <c r="J180" s="13"/>
      <c r="K180" s="13"/>
      <c r="L180" s="13">
        <v>-0.2</v>
      </c>
      <c r="M180" s="13">
        <v>0.0</v>
      </c>
      <c r="N180" s="7" t="s">
        <v>52</v>
      </c>
      <c r="O180" s="7" t="s">
        <v>52</v>
      </c>
      <c r="P180" s="9"/>
      <c r="Q180" s="9"/>
      <c r="R180" s="9">
        <v>7297.6</v>
      </c>
      <c r="S180" s="7" t="s">
        <v>54</v>
      </c>
      <c r="T180" s="7" t="b">
        <v>0</v>
      </c>
      <c r="U180" s="7" t="s">
        <v>56</v>
      </c>
      <c r="V180" s="27" t="s">
        <v>57</v>
      </c>
      <c r="W180" s="7" t="s">
        <v>1699</v>
      </c>
    </row>
    <row r="181">
      <c r="A181" s="7" t="s">
        <v>1701</v>
      </c>
      <c r="B181" s="7" t="s">
        <v>1702</v>
      </c>
      <c r="C181" s="7" t="s">
        <v>1703</v>
      </c>
      <c r="D181" s="7" t="s">
        <v>172</v>
      </c>
      <c r="E181" s="9"/>
      <c r="F181" s="11">
        <v>13.78884</v>
      </c>
      <c r="G181" s="11">
        <v>100.35271</v>
      </c>
      <c r="H181" s="7" t="s">
        <v>93</v>
      </c>
      <c r="I181" s="13">
        <v>0.93</v>
      </c>
      <c r="J181" s="13"/>
      <c r="K181" s="13"/>
      <c r="L181" s="13">
        <v>0.8</v>
      </c>
      <c r="M181" s="13">
        <v>0.9</v>
      </c>
      <c r="N181" s="7" t="s">
        <v>52</v>
      </c>
      <c r="O181" s="7" t="s">
        <v>52</v>
      </c>
      <c r="P181" s="9"/>
      <c r="Q181" s="9"/>
      <c r="R181" s="9">
        <v>7297.6</v>
      </c>
      <c r="S181" s="7" t="s">
        <v>54</v>
      </c>
      <c r="T181" s="7" t="b">
        <v>0</v>
      </c>
      <c r="U181" s="7" t="s">
        <v>56</v>
      </c>
      <c r="V181" s="27" t="s">
        <v>57</v>
      </c>
      <c r="W181" s="7" t="s">
        <v>1707</v>
      </c>
    </row>
    <row r="182">
      <c r="A182" s="7" t="s">
        <v>1708</v>
      </c>
      <c r="B182" s="7" t="s">
        <v>1709</v>
      </c>
      <c r="C182" s="7" t="s">
        <v>1710</v>
      </c>
      <c r="D182" s="7" t="s">
        <v>172</v>
      </c>
      <c r="E182" s="9"/>
      <c r="F182" s="11">
        <v>13.76866</v>
      </c>
      <c r="G182" s="11">
        <v>100.36401</v>
      </c>
      <c r="H182" s="7" t="s">
        <v>93</v>
      </c>
      <c r="I182" s="13">
        <v>0.78</v>
      </c>
      <c r="J182" s="13"/>
      <c r="K182" s="13"/>
      <c r="L182" s="13">
        <v>0.6</v>
      </c>
      <c r="M182" s="13">
        <v>1.0</v>
      </c>
      <c r="N182" s="7" t="s">
        <v>52</v>
      </c>
      <c r="O182" s="7" t="s">
        <v>52</v>
      </c>
      <c r="P182" s="9"/>
      <c r="Q182" s="9"/>
      <c r="R182" s="9">
        <v>7297.6</v>
      </c>
      <c r="S182" s="7" t="s">
        <v>54</v>
      </c>
      <c r="T182" s="7" t="b">
        <v>0</v>
      </c>
      <c r="U182" s="7" t="s">
        <v>56</v>
      </c>
      <c r="V182" s="27" t="s">
        <v>57</v>
      </c>
      <c r="W182" s="7" t="s">
        <v>1716</v>
      </c>
    </row>
    <row r="183">
      <c r="A183" s="7" t="s">
        <v>1717</v>
      </c>
      <c r="B183" s="7" t="s">
        <v>1718</v>
      </c>
      <c r="C183" s="7" t="s">
        <v>1719</v>
      </c>
      <c r="D183" s="7" t="s">
        <v>467</v>
      </c>
      <c r="E183" s="9"/>
      <c r="F183" s="11">
        <v>13.79815</v>
      </c>
      <c r="G183" s="11">
        <v>100.53226</v>
      </c>
      <c r="H183" s="7" t="s">
        <v>1720</v>
      </c>
      <c r="I183" s="13">
        <v>-0.98</v>
      </c>
      <c r="J183" s="13"/>
      <c r="K183" s="13"/>
      <c r="L183" s="13">
        <v>0.3</v>
      </c>
      <c r="M183" s="13">
        <v>0.4</v>
      </c>
      <c r="N183" s="7" t="s">
        <v>52</v>
      </c>
      <c r="O183" s="7" t="s">
        <v>52</v>
      </c>
      <c r="P183" s="9"/>
      <c r="Q183" s="9"/>
      <c r="R183" s="9">
        <v>13587.6</v>
      </c>
      <c r="S183" s="7" t="s">
        <v>54</v>
      </c>
      <c r="T183" s="7" t="b">
        <v>0</v>
      </c>
      <c r="U183" s="7" t="s">
        <v>56</v>
      </c>
      <c r="V183" s="27" t="s">
        <v>57</v>
      </c>
      <c r="W183" s="7" t="s">
        <v>1721</v>
      </c>
    </row>
    <row r="184">
      <c r="A184" s="7" t="s">
        <v>1722</v>
      </c>
      <c r="B184" s="7" t="s">
        <v>1723</v>
      </c>
      <c r="C184" s="7" t="s">
        <v>1724</v>
      </c>
      <c r="D184" s="7" t="s">
        <v>472</v>
      </c>
      <c r="E184" s="9"/>
      <c r="F184" s="11">
        <v>13.71075</v>
      </c>
      <c r="G184" s="11">
        <v>100.60308</v>
      </c>
      <c r="H184" s="7" t="s">
        <v>93</v>
      </c>
      <c r="I184" s="13">
        <v>-0.07</v>
      </c>
      <c r="J184" s="13"/>
      <c r="K184" s="13"/>
      <c r="L184" s="13">
        <v>-0.5</v>
      </c>
      <c r="M184" s="13">
        <v>-0.4</v>
      </c>
      <c r="N184" s="7" t="s">
        <v>52</v>
      </c>
      <c r="O184" s="7" t="s">
        <v>52</v>
      </c>
      <c r="P184" s="9"/>
      <c r="Q184" s="9"/>
      <c r="R184" s="9">
        <v>7297.6</v>
      </c>
      <c r="S184" s="7" t="s">
        <v>54</v>
      </c>
      <c r="T184" s="7" t="b">
        <v>0</v>
      </c>
      <c r="U184" s="7" t="s">
        <v>56</v>
      </c>
      <c r="V184" s="27" t="s">
        <v>57</v>
      </c>
      <c r="W184" s="7" t="s">
        <v>1730</v>
      </c>
    </row>
    <row r="185">
      <c r="A185" s="7" t="s">
        <v>1731</v>
      </c>
      <c r="B185" s="7" t="s">
        <v>1732</v>
      </c>
      <c r="C185" s="7" t="s">
        <v>1733</v>
      </c>
      <c r="D185" s="7" t="s">
        <v>128</v>
      </c>
      <c r="E185" s="9"/>
      <c r="F185" s="11">
        <v>13.85956</v>
      </c>
      <c r="G185" s="11">
        <v>100.72931</v>
      </c>
      <c r="H185" s="7" t="s">
        <v>93</v>
      </c>
      <c r="I185" s="13">
        <v>1.18</v>
      </c>
      <c r="J185" s="13"/>
      <c r="K185" s="13"/>
      <c r="L185" s="13">
        <v>1.1</v>
      </c>
      <c r="M185" s="13">
        <v>1.3</v>
      </c>
      <c r="N185" s="7" t="s">
        <v>52</v>
      </c>
      <c r="O185" s="7" t="s">
        <v>52</v>
      </c>
      <c r="P185" s="9"/>
      <c r="Q185" s="9"/>
      <c r="R185" s="9">
        <v>7297.6</v>
      </c>
      <c r="S185" s="7" t="s">
        <v>54</v>
      </c>
      <c r="T185" s="7" t="b">
        <v>0</v>
      </c>
      <c r="U185" s="7" t="s">
        <v>56</v>
      </c>
      <c r="V185" s="27" t="s">
        <v>57</v>
      </c>
      <c r="W185" s="7" t="s">
        <v>1734</v>
      </c>
    </row>
    <row r="186">
      <c r="A186" s="7" t="s">
        <v>1736</v>
      </c>
      <c r="B186" s="7" t="s">
        <v>1737</v>
      </c>
      <c r="C186" s="7" t="s">
        <v>1739</v>
      </c>
      <c r="D186" s="7" t="s">
        <v>366</v>
      </c>
      <c r="E186" s="9"/>
      <c r="F186" s="11">
        <v>13.68559</v>
      </c>
      <c r="G186" s="11">
        <v>100.60441</v>
      </c>
      <c r="H186" s="7" t="s">
        <v>93</v>
      </c>
      <c r="I186" s="13">
        <v>-1.24</v>
      </c>
      <c r="J186" s="13"/>
      <c r="K186" s="13"/>
      <c r="L186" s="13">
        <v>-0.2</v>
      </c>
      <c r="M186" s="13">
        <v>0.0</v>
      </c>
      <c r="N186" s="7" t="s">
        <v>52</v>
      </c>
      <c r="O186" s="7" t="s">
        <v>52</v>
      </c>
      <c r="P186" s="9"/>
      <c r="Q186" s="9"/>
      <c r="R186" s="9">
        <v>7297.6</v>
      </c>
      <c r="S186" s="7" t="s">
        <v>54</v>
      </c>
      <c r="T186" s="7" t="b">
        <v>0</v>
      </c>
      <c r="U186" s="7" t="s">
        <v>56</v>
      </c>
      <c r="V186" s="27" t="s">
        <v>57</v>
      </c>
      <c r="W186" s="7" t="s">
        <v>1747</v>
      </c>
    </row>
    <row r="187">
      <c r="A187" s="7" t="s">
        <v>1748</v>
      </c>
      <c r="B187" s="7" t="s">
        <v>1749</v>
      </c>
      <c r="C187" s="7" t="s">
        <v>1750</v>
      </c>
      <c r="D187" s="7" t="s">
        <v>372</v>
      </c>
      <c r="E187" s="9"/>
      <c r="F187" s="11">
        <v>13.74218</v>
      </c>
      <c r="G187" s="11">
        <v>100.49466</v>
      </c>
      <c r="H187" s="7" t="s">
        <v>93</v>
      </c>
      <c r="I187" s="13">
        <v>0.99</v>
      </c>
      <c r="J187" s="13"/>
      <c r="K187" s="13"/>
      <c r="L187" s="13">
        <v>2.8</v>
      </c>
      <c r="M187" s="13">
        <v>3.0</v>
      </c>
      <c r="N187" s="7" t="s">
        <v>52</v>
      </c>
      <c r="O187" s="7" t="s">
        <v>52</v>
      </c>
      <c r="P187" s="9"/>
      <c r="Q187" s="9"/>
      <c r="R187" s="9">
        <v>7297.6</v>
      </c>
      <c r="S187" s="7" t="s">
        <v>54</v>
      </c>
      <c r="T187" s="7" t="b">
        <v>0</v>
      </c>
      <c r="U187" s="7" t="s">
        <v>56</v>
      </c>
      <c r="V187" s="27" t="s">
        <v>57</v>
      </c>
      <c r="W187" s="7" t="s">
        <v>1753</v>
      </c>
    </row>
    <row r="188">
      <c r="A188" s="7" t="s">
        <v>1755</v>
      </c>
      <c r="B188" s="7" t="s">
        <v>1757</v>
      </c>
      <c r="C188" s="7" t="s">
        <v>1758</v>
      </c>
      <c r="D188" s="7" t="s">
        <v>739</v>
      </c>
      <c r="E188" s="9"/>
      <c r="F188" s="11">
        <v>13.80817</v>
      </c>
      <c r="G188" s="11">
        <v>100.73067</v>
      </c>
      <c r="H188" s="7" t="s">
        <v>239</v>
      </c>
      <c r="I188" s="13">
        <v>0.86</v>
      </c>
      <c r="J188" s="13"/>
      <c r="K188" s="13"/>
      <c r="L188" s="13">
        <v>0.4</v>
      </c>
      <c r="M188" s="13">
        <v>0.6</v>
      </c>
      <c r="N188" s="7" t="s">
        <v>52</v>
      </c>
      <c r="O188" s="7" t="s">
        <v>52</v>
      </c>
      <c r="P188" s="9"/>
      <c r="Q188" s="9"/>
      <c r="R188" s="9">
        <v>7302.6</v>
      </c>
      <c r="S188" s="7" t="s">
        <v>54</v>
      </c>
      <c r="T188" s="7" t="b">
        <v>0</v>
      </c>
      <c r="U188" s="7" t="s">
        <v>56</v>
      </c>
      <c r="V188" s="27" t="s">
        <v>57</v>
      </c>
      <c r="W188" s="7" t="s">
        <v>1760</v>
      </c>
    </row>
    <row r="189">
      <c r="A189" s="7" t="s">
        <v>1761</v>
      </c>
      <c r="B189" s="7" t="s">
        <v>1762</v>
      </c>
      <c r="C189" s="7" t="s">
        <v>1763</v>
      </c>
      <c r="D189" s="7" t="s">
        <v>366</v>
      </c>
      <c r="E189" s="9"/>
      <c r="F189" s="11">
        <v>13.69734</v>
      </c>
      <c r="G189" s="11">
        <v>100.6024</v>
      </c>
      <c r="H189" s="7" t="s">
        <v>93</v>
      </c>
      <c r="I189" s="13">
        <v>-0.82</v>
      </c>
      <c r="J189" s="13"/>
      <c r="K189" s="13"/>
      <c r="L189" s="13">
        <v>-0.2</v>
      </c>
      <c r="M189" s="13">
        <v>0.0</v>
      </c>
      <c r="N189" s="7" t="s">
        <v>52</v>
      </c>
      <c r="O189" s="7" t="s">
        <v>52</v>
      </c>
      <c r="P189" s="9"/>
      <c r="Q189" s="9"/>
      <c r="R189" s="9">
        <v>7297.6</v>
      </c>
      <c r="S189" s="7" t="s">
        <v>54</v>
      </c>
      <c r="T189" s="7" t="b">
        <v>0</v>
      </c>
      <c r="U189" s="7" t="s">
        <v>56</v>
      </c>
      <c r="V189" s="27" t="s">
        <v>57</v>
      </c>
      <c r="W189" s="7" t="s">
        <v>1769</v>
      </c>
    </row>
    <row r="190">
      <c r="A190" s="7" t="s">
        <v>1771</v>
      </c>
      <c r="B190" s="7" t="s">
        <v>1772</v>
      </c>
      <c r="C190" s="7" t="s">
        <v>1773</v>
      </c>
      <c r="D190" s="7" t="s">
        <v>274</v>
      </c>
      <c r="E190" s="9"/>
      <c r="F190" s="11">
        <v>13.82993</v>
      </c>
      <c r="G190" s="11">
        <v>100.54935</v>
      </c>
      <c r="H190" s="7" t="s">
        <v>1774</v>
      </c>
      <c r="I190" s="13">
        <v>1.0</v>
      </c>
      <c r="J190" s="13"/>
      <c r="K190" s="13"/>
      <c r="L190" s="13">
        <v>0.4</v>
      </c>
      <c r="M190" s="13">
        <v>0.5</v>
      </c>
      <c r="N190" s="7" t="s">
        <v>52</v>
      </c>
      <c r="O190" s="7" t="s">
        <v>52</v>
      </c>
      <c r="P190" s="9"/>
      <c r="Q190" s="9"/>
      <c r="R190" s="9">
        <v>1317812.6</v>
      </c>
      <c r="S190" s="7" t="s">
        <v>54</v>
      </c>
      <c r="T190" s="7" t="b">
        <v>0</v>
      </c>
      <c r="U190" s="7" t="s">
        <v>56</v>
      </c>
      <c r="V190" s="27" t="s">
        <v>57</v>
      </c>
      <c r="W190" s="7" t="s">
        <v>1776</v>
      </c>
    </row>
    <row r="191">
      <c r="A191" s="7" t="s">
        <v>1778</v>
      </c>
      <c r="B191" s="7" t="s">
        <v>1779</v>
      </c>
      <c r="C191" s="7" t="s">
        <v>1780</v>
      </c>
      <c r="D191" s="7" t="s">
        <v>172</v>
      </c>
      <c r="E191" s="9"/>
      <c r="F191" s="11">
        <v>13.76264</v>
      </c>
      <c r="G191" s="11">
        <v>100.39624</v>
      </c>
      <c r="H191" s="7" t="s">
        <v>93</v>
      </c>
      <c r="I191" s="13">
        <v>0.8</v>
      </c>
      <c r="J191" s="13"/>
      <c r="K191" s="13"/>
      <c r="L191" s="13">
        <v>0.6</v>
      </c>
      <c r="M191" s="13">
        <v>0.7</v>
      </c>
      <c r="N191" s="7" t="s">
        <v>52</v>
      </c>
      <c r="O191" s="7" t="s">
        <v>52</v>
      </c>
      <c r="P191" s="9"/>
      <c r="Q191" s="9"/>
      <c r="R191" s="9">
        <v>7297.6</v>
      </c>
      <c r="S191" s="7" t="s">
        <v>54</v>
      </c>
      <c r="T191" s="7" t="b">
        <v>0</v>
      </c>
      <c r="U191" s="7" t="s">
        <v>56</v>
      </c>
      <c r="V191" s="27" t="s">
        <v>57</v>
      </c>
      <c r="W191" s="7" t="s">
        <v>1785</v>
      </c>
    </row>
    <row r="192">
      <c r="A192" s="7" t="s">
        <v>1786</v>
      </c>
      <c r="B192" s="7" t="s">
        <v>1787</v>
      </c>
      <c r="C192" s="7" t="s">
        <v>1788</v>
      </c>
      <c r="D192" s="7" t="s">
        <v>115</v>
      </c>
      <c r="E192" s="9"/>
      <c r="F192" s="11">
        <v>13.77868</v>
      </c>
      <c r="G192" s="11">
        <v>100.64013</v>
      </c>
      <c r="H192" s="7" t="s">
        <v>93</v>
      </c>
      <c r="I192" s="13">
        <v>0.77</v>
      </c>
      <c r="J192" s="13"/>
      <c r="K192" s="13"/>
      <c r="L192" s="13">
        <v>-0.2</v>
      </c>
      <c r="M192" s="13">
        <v>0.0</v>
      </c>
      <c r="N192" s="7" t="s">
        <v>52</v>
      </c>
      <c r="O192" s="7" t="s">
        <v>52</v>
      </c>
      <c r="P192" s="9"/>
      <c r="Q192" s="9"/>
      <c r="R192" s="9">
        <v>7297.6</v>
      </c>
      <c r="S192" s="7" t="s">
        <v>54</v>
      </c>
      <c r="T192" s="7" t="b">
        <v>0</v>
      </c>
      <c r="U192" s="7" t="s">
        <v>56</v>
      </c>
      <c r="V192" s="27" t="s">
        <v>57</v>
      </c>
      <c r="W192" s="7" t="s">
        <v>1793</v>
      </c>
    </row>
    <row r="193">
      <c r="A193" s="7" t="s">
        <v>1794</v>
      </c>
      <c r="B193" s="7" t="s">
        <v>1795</v>
      </c>
      <c r="C193" s="7" t="s">
        <v>1796</v>
      </c>
      <c r="D193" s="7" t="s">
        <v>535</v>
      </c>
      <c r="E193" s="9"/>
      <c r="F193" s="11">
        <v>13.79063</v>
      </c>
      <c r="G193" s="11">
        <v>100.46199</v>
      </c>
      <c r="H193" s="7" t="s">
        <v>93</v>
      </c>
      <c r="I193" s="13">
        <v>0.23</v>
      </c>
      <c r="J193" s="13"/>
      <c r="K193" s="13"/>
      <c r="L193" s="13">
        <v>0.5</v>
      </c>
      <c r="M193" s="13">
        <v>0.6</v>
      </c>
      <c r="N193" s="7" t="s">
        <v>52</v>
      </c>
      <c r="O193" s="7" t="s">
        <v>52</v>
      </c>
      <c r="P193" s="9"/>
      <c r="Q193" s="9"/>
      <c r="R193" s="9">
        <v>7297.6</v>
      </c>
      <c r="S193" s="7" t="s">
        <v>54</v>
      </c>
      <c r="T193" s="7" t="b">
        <v>0</v>
      </c>
      <c r="U193" s="7" t="s">
        <v>56</v>
      </c>
      <c r="V193" s="27" t="s">
        <v>57</v>
      </c>
      <c r="W193" s="7" t="s">
        <v>1797</v>
      </c>
    </row>
    <row r="194">
      <c r="A194" s="7" t="s">
        <v>1798</v>
      </c>
      <c r="B194" s="7" t="s">
        <v>1799</v>
      </c>
      <c r="C194" s="7" t="s">
        <v>1800</v>
      </c>
      <c r="D194" s="7" t="s">
        <v>217</v>
      </c>
      <c r="E194" s="9"/>
      <c r="F194" s="11">
        <v>13.74219</v>
      </c>
      <c r="G194" s="11">
        <v>100.42747</v>
      </c>
      <c r="H194" s="7" t="s">
        <v>93</v>
      </c>
      <c r="I194" s="13">
        <v>0.6</v>
      </c>
      <c r="J194" s="13"/>
      <c r="K194" s="13"/>
      <c r="L194" s="13">
        <v>0.6</v>
      </c>
      <c r="M194" s="13">
        <v>0.7</v>
      </c>
      <c r="N194" s="7" t="s">
        <v>52</v>
      </c>
      <c r="O194" s="7" t="s">
        <v>52</v>
      </c>
      <c r="P194" s="9"/>
      <c r="Q194" s="9"/>
      <c r="R194" s="9">
        <v>7297.6</v>
      </c>
      <c r="S194" s="7" t="s">
        <v>54</v>
      </c>
      <c r="T194" s="7" t="b">
        <v>0</v>
      </c>
      <c r="U194" s="7" t="s">
        <v>56</v>
      </c>
      <c r="V194" s="27" t="s">
        <v>57</v>
      </c>
      <c r="W194" s="7" t="s">
        <v>1805</v>
      </c>
    </row>
    <row r="195">
      <c r="A195" s="7" t="s">
        <v>1806</v>
      </c>
      <c r="B195" s="7" t="s">
        <v>1807</v>
      </c>
      <c r="C195" s="7" t="s">
        <v>1808</v>
      </c>
      <c r="D195" s="7" t="s">
        <v>407</v>
      </c>
      <c r="E195" s="9"/>
      <c r="F195" s="11">
        <v>13.769</v>
      </c>
      <c r="G195" s="11">
        <v>100.53462</v>
      </c>
      <c r="H195" s="7" t="s">
        <v>1809</v>
      </c>
      <c r="I195" s="13">
        <v>-0.43</v>
      </c>
      <c r="J195" s="13"/>
      <c r="K195" s="13"/>
      <c r="L195" s="13">
        <v>0.2</v>
      </c>
      <c r="M195" s="13">
        <v>0.3</v>
      </c>
      <c r="N195" s="7" t="s">
        <v>52</v>
      </c>
      <c r="O195" s="7" t="s">
        <v>52</v>
      </c>
      <c r="P195" s="9"/>
      <c r="Q195" s="9"/>
      <c r="R195" s="9">
        <v>1656092.6</v>
      </c>
      <c r="S195" s="7" t="s">
        <v>54</v>
      </c>
      <c r="T195" s="7" t="b">
        <v>0</v>
      </c>
      <c r="U195" s="7" t="s">
        <v>56</v>
      </c>
      <c r="V195" s="27" t="s">
        <v>57</v>
      </c>
      <c r="W195" s="7" t="s">
        <v>1814</v>
      </c>
    </row>
    <row r="196">
      <c r="A196" s="7" t="s">
        <v>1816</v>
      </c>
      <c r="B196" s="7" t="s">
        <v>1817</v>
      </c>
      <c r="C196" s="7" t="s">
        <v>1818</v>
      </c>
      <c r="D196" s="7" t="s">
        <v>341</v>
      </c>
      <c r="E196" s="9"/>
      <c r="F196" s="11">
        <v>13.67482</v>
      </c>
      <c r="G196" s="11">
        <v>100.58775</v>
      </c>
      <c r="H196" s="7" t="s">
        <v>93</v>
      </c>
      <c r="I196" s="13">
        <v>-0.78</v>
      </c>
      <c r="J196" s="13"/>
      <c r="K196" s="13"/>
      <c r="L196" s="13">
        <v>2.6</v>
      </c>
      <c r="M196" s="13">
        <v>2.8</v>
      </c>
      <c r="N196" s="7" t="s">
        <v>52</v>
      </c>
      <c r="O196" s="7" t="s">
        <v>52</v>
      </c>
      <c r="P196" s="9"/>
      <c r="Q196" s="9"/>
      <c r="R196" s="9">
        <v>7297.6</v>
      </c>
      <c r="S196" s="7" t="s">
        <v>54</v>
      </c>
      <c r="T196" s="7" t="b">
        <v>0</v>
      </c>
      <c r="U196" s="7" t="s">
        <v>56</v>
      </c>
      <c r="V196" s="27" t="s">
        <v>57</v>
      </c>
      <c r="W196" s="7" t="s">
        <v>1824</v>
      </c>
    </row>
    <row r="197">
      <c r="A197" s="7" t="s">
        <v>1825</v>
      </c>
      <c r="B197" s="7" t="s">
        <v>1826</v>
      </c>
      <c r="C197" s="7" t="s">
        <v>1827</v>
      </c>
      <c r="D197" s="7" t="s">
        <v>104</v>
      </c>
      <c r="E197" s="9"/>
      <c r="F197" s="11">
        <v>13.80028</v>
      </c>
      <c r="G197" s="11">
        <v>100.6068</v>
      </c>
      <c r="H197" s="7" t="s">
        <v>93</v>
      </c>
      <c r="I197" s="13">
        <v>0.24</v>
      </c>
      <c r="J197" s="13"/>
      <c r="K197" s="13"/>
      <c r="L197" s="13">
        <v>-0.2</v>
      </c>
      <c r="M197" s="13">
        <v>0.0</v>
      </c>
      <c r="N197" s="7" t="s">
        <v>52</v>
      </c>
      <c r="O197" s="7" t="s">
        <v>52</v>
      </c>
      <c r="P197" s="9"/>
      <c r="Q197" s="9"/>
      <c r="R197" s="9">
        <v>7297.6</v>
      </c>
      <c r="S197" s="7" t="s">
        <v>54</v>
      </c>
      <c r="T197" s="7" t="b">
        <v>0</v>
      </c>
      <c r="U197" s="7" t="s">
        <v>56</v>
      </c>
      <c r="V197" s="27" t="s">
        <v>57</v>
      </c>
      <c r="W197" s="7" t="s">
        <v>1833</v>
      </c>
    </row>
    <row r="198">
      <c r="A198" s="7" t="s">
        <v>1834</v>
      </c>
      <c r="B198" s="7" t="s">
        <v>1835</v>
      </c>
      <c r="C198" s="7" t="s">
        <v>1836</v>
      </c>
      <c r="D198" s="7" t="s">
        <v>308</v>
      </c>
      <c r="E198" s="9"/>
      <c r="F198" s="11">
        <v>13.77005</v>
      </c>
      <c r="G198" s="11">
        <v>100.81298</v>
      </c>
      <c r="H198" s="7" t="s">
        <v>1838</v>
      </c>
      <c r="I198" s="13">
        <v>0.04</v>
      </c>
      <c r="J198" s="13"/>
      <c r="K198" s="13"/>
      <c r="L198" s="13">
        <v>0.6</v>
      </c>
      <c r="M198" s="13">
        <v>0.7</v>
      </c>
      <c r="N198" s="7" t="s">
        <v>52</v>
      </c>
      <c r="O198" s="7" t="s">
        <v>52</v>
      </c>
      <c r="P198" s="9"/>
      <c r="Q198" s="9"/>
      <c r="R198" s="9">
        <v>663632.6</v>
      </c>
      <c r="S198" s="7" t="s">
        <v>54</v>
      </c>
      <c r="T198" s="7" t="b">
        <v>0</v>
      </c>
      <c r="U198" s="7" t="s">
        <v>56</v>
      </c>
      <c r="V198" s="27" t="s">
        <v>57</v>
      </c>
      <c r="W198" s="7" t="s">
        <v>1843</v>
      </c>
    </row>
    <row r="199">
      <c r="A199" s="7" t="s">
        <v>1844</v>
      </c>
      <c r="B199" s="7" t="s">
        <v>1845</v>
      </c>
      <c r="C199" s="7" t="s">
        <v>1846</v>
      </c>
      <c r="D199" s="7" t="s">
        <v>192</v>
      </c>
      <c r="E199" s="9"/>
      <c r="F199" s="11">
        <v>13.60695</v>
      </c>
      <c r="G199" s="11">
        <v>100.41311</v>
      </c>
      <c r="H199" s="7" t="s">
        <v>93</v>
      </c>
      <c r="I199" s="13">
        <v>-0.77</v>
      </c>
      <c r="J199" s="13"/>
      <c r="K199" s="13"/>
      <c r="L199" s="13">
        <v>1.0</v>
      </c>
      <c r="M199" s="13">
        <v>1.2</v>
      </c>
      <c r="N199" s="7" t="s">
        <v>52</v>
      </c>
      <c r="O199" s="7" t="s">
        <v>52</v>
      </c>
      <c r="P199" s="9"/>
      <c r="Q199" s="9"/>
      <c r="R199" s="9">
        <v>7297.6</v>
      </c>
      <c r="S199" s="7" t="s">
        <v>54</v>
      </c>
      <c r="T199" s="7" t="b">
        <v>0</v>
      </c>
      <c r="U199" s="7" t="s">
        <v>56</v>
      </c>
      <c r="V199" s="27" t="s">
        <v>57</v>
      </c>
      <c r="W199" s="7" t="s">
        <v>1852</v>
      </c>
    </row>
    <row r="200">
      <c r="A200" s="7" t="s">
        <v>1853</v>
      </c>
      <c r="B200" s="7" t="s">
        <v>1854</v>
      </c>
      <c r="C200" s="7" t="s">
        <v>1855</v>
      </c>
      <c r="D200" s="7" t="s">
        <v>762</v>
      </c>
      <c r="E200" s="9"/>
      <c r="F200" s="11">
        <v>13.85077</v>
      </c>
      <c r="G200" s="11">
        <v>100.67829</v>
      </c>
      <c r="H200" s="7" t="s">
        <v>93</v>
      </c>
      <c r="I200" s="13">
        <v>1.26</v>
      </c>
      <c r="J200" s="13"/>
      <c r="K200" s="13"/>
      <c r="L200" s="13">
        <v>1.05</v>
      </c>
      <c r="M200" s="13">
        <v>1.15</v>
      </c>
      <c r="N200" s="7" t="s">
        <v>52</v>
      </c>
      <c r="O200" s="7" t="s">
        <v>52</v>
      </c>
      <c r="P200" s="9"/>
      <c r="Q200" s="9"/>
      <c r="R200" s="9">
        <v>7297.6</v>
      </c>
      <c r="S200" s="7" t="s">
        <v>54</v>
      </c>
      <c r="T200" s="7" t="b">
        <v>0</v>
      </c>
      <c r="U200" s="7" t="s">
        <v>56</v>
      </c>
      <c r="V200" s="27" t="s">
        <v>57</v>
      </c>
      <c r="W200" s="7" t="s">
        <v>1861</v>
      </c>
    </row>
    <row r="201">
      <c r="A201" s="7" t="s">
        <v>1862</v>
      </c>
      <c r="B201" s="7" t="s">
        <v>1863</v>
      </c>
      <c r="C201" s="7" t="s">
        <v>1864</v>
      </c>
      <c r="D201" s="7" t="s">
        <v>1399</v>
      </c>
      <c r="E201" s="9"/>
      <c r="F201" s="11">
        <v>13.87621</v>
      </c>
      <c r="G201" s="11">
        <v>100.68614</v>
      </c>
      <c r="H201" s="7" t="s">
        <v>93</v>
      </c>
      <c r="I201" s="13">
        <v>1.62</v>
      </c>
      <c r="J201" s="13"/>
      <c r="K201" s="13"/>
      <c r="L201" s="13">
        <v>1.0</v>
      </c>
      <c r="M201" s="13">
        <v>1.2</v>
      </c>
      <c r="N201" s="7" t="s">
        <v>52</v>
      </c>
      <c r="O201" s="7" t="s">
        <v>52</v>
      </c>
      <c r="P201" s="9"/>
      <c r="Q201" s="9"/>
      <c r="R201" s="9">
        <v>7297.6</v>
      </c>
      <c r="S201" s="7" t="s">
        <v>54</v>
      </c>
      <c r="T201" s="7" t="b">
        <v>0</v>
      </c>
      <c r="U201" s="7" t="s">
        <v>56</v>
      </c>
      <c r="V201" s="27" t="s">
        <v>57</v>
      </c>
      <c r="W201" s="7" t="s">
        <v>1870</v>
      </c>
    </row>
    <row r="202">
      <c r="A202" s="7" t="s">
        <v>1871</v>
      </c>
      <c r="B202" s="7" t="s">
        <v>1872</v>
      </c>
      <c r="C202" s="7" t="s">
        <v>1873</v>
      </c>
      <c r="D202" s="7" t="s">
        <v>535</v>
      </c>
      <c r="E202" s="9"/>
      <c r="F202" s="11">
        <v>13.79993</v>
      </c>
      <c r="G202" s="11">
        <v>100.41599</v>
      </c>
      <c r="H202" s="7" t="s">
        <v>93</v>
      </c>
      <c r="I202" s="13">
        <v>0.58</v>
      </c>
      <c r="J202" s="13"/>
      <c r="K202" s="13"/>
      <c r="L202" s="13">
        <v>1.8</v>
      </c>
      <c r="M202" s="13">
        <v>2.0</v>
      </c>
      <c r="N202" s="7" t="s">
        <v>52</v>
      </c>
      <c r="O202" s="7" t="s">
        <v>52</v>
      </c>
      <c r="P202" s="9"/>
      <c r="Q202" s="9"/>
      <c r="R202" s="9">
        <v>7297.6</v>
      </c>
      <c r="S202" s="7" t="s">
        <v>54</v>
      </c>
      <c r="T202" s="7" t="b">
        <v>0</v>
      </c>
      <c r="U202" s="7" t="s">
        <v>56</v>
      </c>
      <c r="V202" s="27" t="s">
        <v>57</v>
      </c>
      <c r="W202" s="7" t="s">
        <v>1884</v>
      </c>
    </row>
    <row r="203">
      <c r="A203" s="7" t="s">
        <v>1885</v>
      </c>
      <c r="B203" s="7" t="s">
        <v>1886</v>
      </c>
      <c r="C203" s="7" t="s">
        <v>1887</v>
      </c>
      <c r="D203" s="7" t="s">
        <v>624</v>
      </c>
      <c r="E203" s="9"/>
      <c r="F203" s="11">
        <v>13.7367</v>
      </c>
      <c r="G203" s="11">
        <v>100.61167</v>
      </c>
      <c r="H203" s="7" t="s">
        <v>93</v>
      </c>
      <c r="I203" s="13">
        <v>0.23</v>
      </c>
      <c r="J203" s="13"/>
      <c r="K203" s="13"/>
      <c r="L203" s="13">
        <v>-0.2</v>
      </c>
      <c r="M203" s="13">
        <v>0.0</v>
      </c>
      <c r="N203" s="7" t="s">
        <v>52</v>
      </c>
      <c r="O203" s="7" t="s">
        <v>52</v>
      </c>
      <c r="P203" s="9"/>
      <c r="Q203" s="9"/>
      <c r="R203" s="9">
        <v>7297.6</v>
      </c>
      <c r="S203" s="7" t="s">
        <v>54</v>
      </c>
      <c r="T203" s="7" t="b">
        <v>0</v>
      </c>
      <c r="U203" s="7" t="s">
        <v>56</v>
      </c>
      <c r="V203" s="27" t="s">
        <v>57</v>
      </c>
      <c r="W203" s="7" t="s">
        <v>1893</v>
      </c>
    </row>
    <row r="204">
      <c r="A204" s="7" t="s">
        <v>1894</v>
      </c>
      <c r="B204" s="7" t="s">
        <v>1895</v>
      </c>
      <c r="C204" s="7" t="s">
        <v>1896</v>
      </c>
      <c r="D204" s="7" t="s">
        <v>513</v>
      </c>
      <c r="E204" s="9"/>
      <c r="F204" s="11">
        <v>13.67782</v>
      </c>
      <c r="G204" s="11">
        <v>100.42555</v>
      </c>
      <c r="H204" s="7" t="s">
        <v>1899</v>
      </c>
      <c r="I204" s="13">
        <v>-1.27</v>
      </c>
      <c r="J204" s="13"/>
      <c r="K204" s="13"/>
      <c r="L204" s="13">
        <v>0.6</v>
      </c>
      <c r="M204" s="13">
        <v>0.7</v>
      </c>
      <c r="N204" s="7" t="s">
        <v>52</v>
      </c>
      <c r="O204" s="7" t="s">
        <v>52</v>
      </c>
      <c r="P204" s="9"/>
      <c r="Q204" s="9"/>
      <c r="R204" s="9">
        <v>1255827.6</v>
      </c>
      <c r="S204" s="7" t="s">
        <v>54</v>
      </c>
      <c r="T204" s="7" t="b">
        <v>0</v>
      </c>
      <c r="U204" s="7" t="s">
        <v>56</v>
      </c>
      <c r="V204" s="27" t="s">
        <v>57</v>
      </c>
      <c r="W204" s="7" t="s">
        <v>1908</v>
      </c>
    </row>
    <row r="205">
      <c r="A205" s="7" t="s">
        <v>1909</v>
      </c>
      <c r="B205" s="7" t="s">
        <v>1910</v>
      </c>
      <c r="C205" s="7" t="s">
        <v>1911</v>
      </c>
      <c r="D205" s="7" t="s">
        <v>384</v>
      </c>
      <c r="E205" s="9"/>
      <c r="F205" s="11">
        <v>13.94336</v>
      </c>
      <c r="G205" s="11">
        <v>100.60579</v>
      </c>
      <c r="H205" s="7" t="s">
        <v>1912</v>
      </c>
      <c r="I205" s="13">
        <v>1.57</v>
      </c>
      <c r="J205" s="13"/>
      <c r="K205" s="13"/>
      <c r="L205" s="13">
        <v>0.8</v>
      </c>
      <c r="M205" s="13">
        <v>0.9</v>
      </c>
      <c r="N205" s="7" t="s">
        <v>52</v>
      </c>
      <c r="O205" s="7" t="s">
        <v>52</v>
      </c>
      <c r="P205" s="9"/>
      <c r="Q205" s="9"/>
      <c r="R205" s="9">
        <v>7322.6</v>
      </c>
      <c r="S205" s="7" t="s">
        <v>54</v>
      </c>
      <c r="T205" s="7" t="b">
        <v>0</v>
      </c>
      <c r="U205" s="7" t="s">
        <v>56</v>
      </c>
      <c r="V205" s="27" t="s">
        <v>57</v>
      </c>
      <c r="W205" s="7" t="s">
        <v>1918</v>
      </c>
    </row>
    <row r="206">
      <c r="A206" s="7" t="s">
        <v>1919</v>
      </c>
      <c r="B206" s="7" t="s">
        <v>1920</v>
      </c>
      <c r="C206" s="7" t="s">
        <v>1921</v>
      </c>
      <c r="D206" s="7" t="s">
        <v>172</v>
      </c>
      <c r="E206" s="9"/>
      <c r="F206" s="11">
        <v>13.80251</v>
      </c>
      <c r="G206" s="11">
        <v>100.37078</v>
      </c>
      <c r="H206" s="7" t="s">
        <v>93</v>
      </c>
      <c r="I206" s="13">
        <v>0.88</v>
      </c>
      <c r="J206" s="13"/>
      <c r="K206" s="13"/>
      <c r="L206" s="13">
        <v>1.8</v>
      </c>
      <c r="M206" s="13">
        <v>2.0</v>
      </c>
      <c r="N206" s="7" t="s">
        <v>52</v>
      </c>
      <c r="O206" s="7" t="s">
        <v>52</v>
      </c>
      <c r="P206" s="9"/>
      <c r="Q206" s="9"/>
      <c r="R206" s="9">
        <v>7297.6</v>
      </c>
      <c r="S206" s="7" t="s">
        <v>54</v>
      </c>
      <c r="T206" s="7" t="b">
        <v>0</v>
      </c>
      <c r="U206" s="7" t="s">
        <v>56</v>
      </c>
      <c r="V206" s="27" t="s">
        <v>57</v>
      </c>
      <c r="W206" s="7" t="s">
        <v>1922</v>
      </c>
    </row>
    <row r="207">
      <c r="A207" s="7" t="s">
        <v>1923</v>
      </c>
      <c r="B207" s="7" t="s">
        <v>1924</v>
      </c>
      <c r="C207" s="7" t="s">
        <v>1925</v>
      </c>
      <c r="D207" s="7" t="s">
        <v>256</v>
      </c>
      <c r="E207" s="9"/>
      <c r="F207" s="11">
        <v>13.77211</v>
      </c>
      <c r="G207" s="11">
        <v>100.58021</v>
      </c>
      <c r="H207" s="7" t="s">
        <v>1926</v>
      </c>
      <c r="I207" s="13">
        <v>0.84</v>
      </c>
      <c r="J207" s="13"/>
      <c r="K207" s="13"/>
      <c r="L207" s="13">
        <v>0.1</v>
      </c>
      <c r="M207" s="13">
        <v>0.2</v>
      </c>
      <c r="N207" s="7" t="s">
        <v>52</v>
      </c>
      <c r="O207" s="7" t="s">
        <v>52</v>
      </c>
      <c r="P207" s="9"/>
      <c r="Q207" s="9"/>
      <c r="R207" s="9">
        <v>178447.6</v>
      </c>
      <c r="S207" s="7" t="s">
        <v>54</v>
      </c>
      <c r="T207" s="7" t="b">
        <v>0</v>
      </c>
      <c r="U207" s="7" t="s">
        <v>56</v>
      </c>
      <c r="V207" s="27" t="s">
        <v>57</v>
      </c>
      <c r="W207" s="7" t="s">
        <v>1932</v>
      </c>
    </row>
    <row r="208">
      <c r="A208" s="7" t="s">
        <v>1933</v>
      </c>
      <c r="B208" s="7" t="s">
        <v>1934</v>
      </c>
      <c r="C208" s="7" t="s">
        <v>1935</v>
      </c>
      <c r="D208" s="7" t="s">
        <v>366</v>
      </c>
      <c r="E208" s="9"/>
      <c r="F208" s="11">
        <v>13.7006</v>
      </c>
      <c r="G208" s="11">
        <v>100.60891</v>
      </c>
      <c r="H208" s="7" t="s">
        <v>93</v>
      </c>
      <c r="I208" s="13">
        <v>-0.1</v>
      </c>
      <c r="J208" s="13"/>
      <c r="K208" s="13"/>
      <c r="L208" s="13">
        <v>-0.1</v>
      </c>
      <c r="M208" s="13">
        <v>0.0</v>
      </c>
      <c r="N208" s="7" t="s">
        <v>52</v>
      </c>
      <c r="O208" s="7" t="s">
        <v>52</v>
      </c>
      <c r="P208" s="9"/>
      <c r="Q208" s="9"/>
      <c r="R208" s="9">
        <v>7297.6</v>
      </c>
      <c r="S208" s="7" t="s">
        <v>54</v>
      </c>
      <c r="T208" s="7" t="b">
        <v>0</v>
      </c>
      <c r="U208" s="7" t="s">
        <v>56</v>
      </c>
      <c r="V208" s="27" t="s">
        <v>57</v>
      </c>
      <c r="W208" s="7" t="s">
        <v>1941</v>
      </c>
    </row>
    <row r="209">
      <c r="A209" s="7" t="s">
        <v>1942</v>
      </c>
      <c r="B209" s="7" t="s">
        <v>1943</v>
      </c>
      <c r="C209" s="7" t="s">
        <v>1944</v>
      </c>
      <c r="D209" s="7" t="s">
        <v>513</v>
      </c>
      <c r="E209" s="9"/>
      <c r="F209" s="11">
        <v>13.64249</v>
      </c>
      <c r="G209" s="11">
        <v>100.37944</v>
      </c>
      <c r="H209" s="7" t="s">
        <v>93</v>
      </c>
      <c r="I209" s="13">
        <v>0.68</v>
      </c>
      <c r="J209" s="13"/>
      <c r="K209" s="13"/>
      <c r="L209" s="13">
        <v>0.4</v>
      </c>
      <c r="M209" s="13">
        <v>0.5</v>
      </c>
      <c r="N209" s="7" t="s">
        <v>52</v>
      </c>
      <c r="O209" s="7" t="s">
        <v>52</v>
      </c>
      <c r="P209" s="9"/>
      <c r="Q209" s="9"/>
      <c r="R209" s="9">
        <v>7297.6</v>
      </c>
      <c r="S209" s="7" t="s">
        <v>54</v>
      </c>
      <c r="T209" s="7" t="b">
        <v>0</v>
      </c>
      <c r="U209" s="7" t="s">
        <v>56</v>
      </c>
      <c r="V209" s="27" t="s">
        <v>57</v>
      </c>
      <c r="W209" s="7" t="s">
        <v>1956</v>
      </c>
    </row>
    <row r="210">
      <c r="A210" s="7" t="s">
        <v>1957</v>
      </c>
      <c r="B210" s="7" t="s">
        <v>1958</v>
      </c>
      <c r="C210" s="7" t="s">
        <v>1960</v>
      </c>
      <c r="D210" s="7" t="s">
        <v>535</v>
      </c>
      <c r="E210" s="9"/>
      <c r="F210" s="11">
        <v>13.7789</v>
      </c>
      <c r="G210" s="11">
        <v>100.46431</v>
      </c>
      <c r="H210" s="7" t="s">
        <v>93</v>
      </c>
      <c r="I210" s="13">
        <v>0.29</v>
      </c>
      <c r="J210" s="13"/>
      <c r="K210" s="13"/>
      <c r="L210" s="13">
        <v>1.8</v>
      </c>
      <c r="M210" s="13">
        <v>1.9</v>
      </c>
      <c r="N210" s="7" t="s">
        <v>52</v>
      </c>
      <c r="O210" s="7" t="s">
        <v>52</v>
      </c>
      <c r="P210" s="9"/>
      <c r="Q210" s="9"/>
      <c r="R210" s="9">
        <v>7297.6</v>
      </c>
      <c r="S210" s="7" t="s">
        <v>54</v>
      </c>
      <c r="T210" s="7" t="b">
        <v>0</v>
      </c>
      <c r="U210" s="7" t="s">
        <v>56</v>
      </c>
      <c r="V210" s="27" t="s">
        <v>57</v>
      </c>
      <c r="W210" s="7" t="s">
        <v>1965</v>
      </c>
    </row>
    <row r="211">
      <c r="A211" s="7" t="s">
        <v>1968</v>
      </c>
      <c r="B211" s="7" t="s">
        <v>1970</v>
      </c>
      <c r="C211" s="7" t="s">
        <v>1973</v>
      </c>
      <c r="D211" s="7" t="s">
        <v>1974</v>
      </c>
      <c r="E211" s="9"/>
      <c r="F211" s="11">
        <v>13.88471</v>
      </c>
      <c r="G211" s="11">
        <v>100.60201</v>
      </c>
      <c r="H211" s="7" t="s">
        <v>93</v>
      </c>
      <c r="I211" s="13">
        <v>1.38</v>
      </c>
      <c r="J211" s="13"/>
      <c r="K211" s="13"/>
      <c r="L211" s="13">
        <v>0.8</v>
      </c>
      <c r="M211" s="13">
        <v>0.9</v>
      </c>
      <c r="N211" s="7" t="s">
        <v>52</v>
      </c>
      <c r="O211" s="7" t="s">
        <v>52</v>
      </c>
      <c r="P211" s="9"/>
      <c r="Q211" s="9"/>
      <c r="R211" s="9">
        <v>7297.6</v>
      </c>
      <c r="S211" s="7" t="s">
        <v>54</v>
      </c>
      <c r="T211" s="7" t="b">
        <v>0</v>
      </c>
      <c r="U211" s="7" t="s">
        <v>56</v>
      </c>
      <c r="V211" s="27" t="s">
        <v>57</v>
      </c>
      <c r="W211" s="7" t="s">
        <v>1981</v>
      </c>
    </row>
    <row r="212">
      <c r="A212" s="7" t="s">
        <v>1982</v>
      </c>
      <c r="B212" s="7" t="s">
        <v>1983</v>
      </c>
      <c r="C212" s="7" t="s">
        <v>1984</v>
      </c>
      <c r="D212" s="7" t="s">
        <v>172</v>
      </c>
      <c r="E212" s="9"/>
      <c r="F212" s="11">
        <v>13.78593</v>
      </c>
      <c r="G212" s="11">
        <v>100.38354</v>
      </c>
      <c r="H212" s="7" t="s">
        <v>93</v>
      </c>
      <c r="I212" s="13">
        <v>0.82</v>
      </c>
      <c r="J212" s="13"/>
      <c r="K212" s="13"/>
      <c r="L212" s="13">
        <v>0.9</v>
      </c>
      <c r="M212" s="13">
        <v>1.0</v>
      </c>
      <c r="N212" s="7" t="s">
        <v>52</v>
      </c>
      <c r="O212" s="7" t="s">
        <v>52</v>
      </c>
      <c r="P212" s="9"/>
      <c r="Q212" s="9"/>
      <c r="R212" s="9">
        <v>7297.6</v>
      </c>
      <c r="S212" s="7" t="s">
        <v>54</v>
      </c>
      <c r="T212" s="7" t="b">
        <v>0</v>
      </c>
      <c r="U212" s="7" t="s">
        <v>56</v>
      </c>
      <c r="V212" s="27" t="s">
        <v>57</v>
      </c>
      <c r="W212" s="7" t="s">
        <v>1989</v>
      </c>
    </row>
    <row r="213">
      <c r="A213" s="7" t="s">
        <v>1990</v>
      </c>
      <c r="B213" s="7" t="s">
        <v>1991</v>
      </c>
      <c r="C213" s="7" t="s">
        <v>1992</v>
      </c>
      <c r="D213" s="7" t="s">
        <v>192</v>
      </c>
      <c r="E213" s="9"/>
      <c r="F213" s="11">
        <v>13.62715</v>
      </c>
      <c r="G213" s="11">
        <v>100.43402</v>
      </c>
      <c r="H213" s="7" t="s">
        <v>93</v>
      </c>
      <c r="I213" s="13">
        <v>-0.55</v>
      </c>
      <c r="J213" s="13"/>
      <c r="K213" s="13"/>
      <c r="L213" s="13">
        <v>0.4</v>
      </c>
      <c r="M213" s="13">
        <v>0.5</v>
      </c>
      <c r="N213" s="7" t="s">
        <v>52</v>
      </c>
      <c r="O213" s="7" t="s">
        <v>52</v>
      </c>
      <c r="P213" s="9"/>
      <c r="Q213" s="9"/>
      <c r="R213" s="9">
        <v>7297.6</v>
      </c>
      <c r="S213" s="7" t="s">
        <v>54</v>
      </c>
      <c r="T213" s="7" t="b">
        <v>0</v>
      </c>
      <c r="U213" s="7" t="s">
        <v>56</v>
      </c>
      <c r="V213" s="27" t="s">
        <v>57</v>
      </c>
      <c r="W213" s="7" t="s">
        <v>1998</v>
      </c>
    </row>
    <row r="214">
      <c r="A214" s="7" t="s">
        <v>1999</v>
      </c>
      <c r="B214" s="7" t="s">
        <v>2000</v>
      </c>
      <c r="C214" s="7" t="s">
        <v>2001</v>
      </c>
      <c r="D214" s="7" t="s">
        <v>128</v>
      </c>
      <c r="E214" s="9"/>
      <c r="F214" s="11">
        <v>13.90121</v>
      </c>
      <c r="G214" s="11">
        <v>100.69049</v>
      </c>
      <c r="H214" s="7" t="s">
        <v>93</v>
      </c>
      <c r="I214" s="13">
        <v>1.63</v>
      </c>
      <c r="J214" s="13"/>
      <c r="K214" s="13"/>
      <c r="L214" s="13">
        <v>1.0</v>
      </c>
      <c r="M214" s="13">
        <v>1.2</v>
      </c>
      <c r="N214" s="7" t="s">
        <v>52</v>
      </c>
      <c r="O214" s="7" t="s">
        <v>52</v>
      </c>
      <c r="P214" s="9"/>
      <c r="Q214" s="9"/>
      <c r="R214" s="9">
        <v>7297.6</v>
      </c>
      <c r="S214" s="7" t="s">
        <v>54</v>
      </c>
      <c r="T214" s="7" t="b">
        <v>0</v>
      </c>
      <c r="U214" s="7" t="s">
        <v>56</v>
      </c>
      <c r="V214" s="27" t="s">
        <v>57</v>
      </c>
      <c r="W214" s="7" t="s">
        <v>2007</v>
      </c>
    </row>
    <row r="215">
      <c r="A215" s="7" t="s">
        <v>2008</v>
      </c>
      <c r="B215" s="7" t="s">
        <v>2009</v>
      </c>
      <c r="C215" s="7" t="s">
        <v>2010</v>
      </c>
      <c r="D215" s="7" t="s">
        <v>317</v>
      </c>
      <c r="E215" s="9"/>
      <c r="F215" s="11">
        <v>13.81722</v>
      </c>
      <c r="G215" s="11">
        <v>100.51066</v>
      </c>
      <c r="H215" s="7" t="s">
        <v>93</v>
      </c>
      <c r="I215" s="13">
        <v>-0.83</v>
      </c>
      <c r="J215" s="13"/>
      <c r="K215" s="13"/>
      <c r="L215" s="13">
        <v>3.3</v>
      </c>
      <c r="M215" s="13">
        <v>3.5</v>
      </c>
      <c r="N215" s="7" t="s">
        <v>52</v>
      </c>
      <c r="O215" s="7" t="s">
        <v>52</v>
      </c>
      <c r="P215" s="9"/>
      <c r="Q215" s="9"/>
      <c r="R215" s="9">
        <v>7297.6</v>
      </c>
      <c r="S215" s="7" t="s">
        <v>54</v>
      </c>
      <c r="T215" s="7" t="b">
        <v>0</v>
      </c>
      <c r="U215" s="7" t="s">
        <v>56</v>
      </c>
      <c r="V215" s="27" t="s">
        <v>57</v>
      </c>
      <c r="W215" s="7" t="s">
        <v>2019</v>
      </c>
    </row>
    <row r="216">
      <c r="A216" s="7" t="s">
        <v>2020</v>
      </c>
      <c r="B216" s="7" t="s">
        <v>2021</v>
      </c>
      <c r="C216" s="7" t="s">
        <v>2022</v>
      </c>
      <c r="D216" s="7" t="s">
        <v>535</v>
      </c>
      <c r="E216" s="9"/>
      <c r="F216" s="11">
        <v>13.79841</v>
      </c>
      <c r="G216" s="11">
        <v>100.45451</v>
      </c>
      <c r="H216" s="7" t="s">
        <v>93</v>
      </c>
      <c r="I216" s="13">
        <v>1.38</v>
      </c>
      <c r="J216" s="13"/>
      <c r="K216" s="13"/>
      <c r="L216" s="13">
        <v>1.8</v>
      </c>
      <c r="M216" s="13">
        <v>2.0</v>
      </c>
      <c r="N216" s="7" t="s">
        <v>52</v>
      </c>
      <c r="O216" s="7" t="s">
        <v>52</v>
      </c>
      <c r="P216" s="9"/>
      <c r="Q216" s="9"/>
      <c r="R216" s="9">
        <v>7297.6</v>
      </c>
      <c r="S216" s="7" t="s">
        <v>54</v>
      </c>
      <c r="T216" s="7" t="b">
        <v>0</v>
      </c>
      <c r="U216" s="7" t="s">
        <v>56</v>
      </c>
      <c r="V216" s="27" t="s">
        <v>57</v>
      </c>
      <c r="W216" s="7" t="s">
        <v>2027</v>
      </c>
    </row>
    <row r="217">
      <c r="A217" s="7" t="s">
        <v>2028</v>
      </c>
      <c r="B217" s="7" t="s">
        <v>2029</v>
      </c>
      <c r="C217" s="7" t="s">
        <v>2031</v>
      </c>
      <c r="D217" s="7" t="s">
        <v>624</v>
      </c>
      <c r="E217" s="9"/>
      <c r="F217" s="11">
        <v>13.73309</v>
      </c>
      <c r="G217" s="11">
        <v>100.64107</v>
      </c>
      <c r="H217" s="7" t="s">
        <v>93</v>
      </c>
      <c r="I217" s="13">
        <v>0.57</v>
      </c>
      <c r="J217" s="13"/>
      <c r="K217" s="13"/>
      <c r="L217" s="13">
        <v>-0.2</v>
      </c>
      <c r="M217" s="13">
        <v>0.0</v>
      </c>
      <c r="N217" s="7" t="s">
        <v>52</v>
      </c>
      <c r="O217" s="7" t="s">
        <v>52</v>
      </c>
      <c r="P217" s="9"/>
      <c r="Q217" s="9"/>
      <c r="R217" s="9">
        <v>7297.6</v>
      </c>
      <c r="S217" s="7" t="s">
        <v>54</v>
      </c>
      <c r="T217" s="7" t="b">
        <v>0</v>
      </c>
      <c r="U217" s="7" t="s">
        <v>56</v>
      </c>
      <c r="V217" s="27" t="s">
        <v>57</v>
      </c>
      <c r="W217" s="7" t="s">
        <v>2039</v>
      </c>
    </row>
    <row r="218">
      <c r="A218" s="7" t="s">
        <v>2040</v>
      </c>
      <c r="B218" s="7" t="s">
        <v>2041</v>
      </c>
      <c r="C218" s="7" t="s">
        <v>2042</v>
      </c>
      <c r="D218" s="7" t="s">
        <v>115</v>
      </c>
      <c r="E218" s="9"/>
      <c r="F218" s="11">
        <v>13.76832</v>
      </c>
      <c r="G218" s="11">
        <v>100.63938</v>
      </c>
      <c r="H218" s="7" t="s">
        <v>93</v>
      </c>
      <c r="I218" s="13">
        <v>0.54</v>
      </c>
      <c r="J218" s="13"/>
      <c r="K218" s="13"/>
      <c r="L218" s="13">
        <v>-0.2</v>
      </c>
      <c r="M218" s="13">
        <v>0.0</v>
      </c>
      <c r="N218" s="7" t="s">
        <v>52</v>
      </c>
      <c r="O218" s="7" t="s">
        <v>52</v>
      </c>
      <c r="P218" s="9"/>
      <c r="Q218" s="9"/>
      <c r="R218" s="9">
        <v>7297.6</v>
      </c>
      <c r="S218" s="7" t="s">
        <v>54</v>
      </c>
      <c r="T218" s="7" t="b">
        <v>0</v>
      </c>
      <c r="U218" s="7" t="s">
        <v>56</v>
      </c>
      <c r="V218" s="27" t="s">
        <v>57</v>
      </c>
      <c r="W218" s="7" t="s">
        <v>2048</v>
      </c>
    </row>
    <row r="219">
      <c r="A219" s="7" t="s">
        <v>2049</v>
      </c>
      <c r="B219" s="7" t="s">
        <v>2050</v>
      </c>
      <c r="C219" s="7" t="s">
        <v>2051</v>
      </c>
      <c r="D219" s="7" t="s">
        <v>513</v>
      </c>
      <c r="E219" s="9"/>
      <c r="F219" s="11">
        <v>13.66885</v>
      </c>
      <c r="G219" s="11">
        <v>100.4299</v>
      </c>
      <c r="H219" s="7" t="s">
        <v>93</v>
      </c>
      <c r="I219" s="13">
        <v>0.06</v>
      </c>
      <c r="J219" s="13"/>
      <c r="K219" s="13"/>
      <c r="L219" s="13">
        <v>0.6</v>
      </c>
      <c r="M219" s="13">
        <v>0.7</v>
      </c>
      <c r="N219" s="7" t="s">
        <v>52</v>
      </c>
      <c r="O219" s="7" t="s">
        <v>52</v>
      </c>
      <c r="P219" s="9"/>
      <c r="Q219" s="9"/>
      <c r="R219" s="9">
        <v>7297.6</v>
      </c>
      <c r="S219" s="7" t="s">
        <v>54</v>
      </c>
      <c r="T219" s="7" t="b">
        <v>0</v>
      </c>
      <c r="U219" s="7" t="s">
        <v>56</v>
      </c>
      <c r="V219" s="27" t="s">
        <v>57</v>
      </c>
      <c r="W219" s="7" t="s">
        <v>2052</v>
      </c>
    </row>
    <row r="220">
      <c r="A220" s="7" t="s">
        <v>2053</v>
      </c>
      <c r="B220" s="7" t="s">
        <v>2054</v>
      </c>
      <c r="C220" s="7" t="s">
        <v>2056</v>
      </c>
      <c r="D220" s="7" t="s">
        <v>162</v>
      </c>
      <c r="E220" s="9"/>
      <c r="F220" s="11">
        <v>13.75173</v>
      </c>
      <c r="G220" s="11">
        <v>100.39162</v>
      </c>
      <c r="H220" s="7" t="s">
        <v>93</v>
      </c>
      <c r="I220" s="13">
        <v>0.75</v>
      </c>
      <c r="J220" s="13"/>
      <c r="K220" s="13"/>
      <c r="L220" s="13">
        <v>0.7</v>
      </c>
      <c r="M220" s="13">
        <v>1.0</v>
      </c>
      <c r="N220" s="7" t="s">
        <v>52</v>
      </c>
      <c r="O220" s="7" t="s">
        <v>52</v>
      </c>
      <c r="P220" s="9"/>
      <c r="Q220" s="9"/>
      <c r="R220" s="9">
        <v>7297.6</v>
      </c>
      <c r="S220" s="7" t="s">
        <v>54</v>
      </c>
      <c r="T220" s="7" t="b">
        <v>0</v>
      </c>
      <c r="U220" s="7" t="s">
        <v>56</v>
      </c>
      <c r="V220" s="27" t="s">
        <v>57</v>
      </c>
      <c r="W220" s="7" t="s">
        <v>2061</v>
      </c>
    </row>
    <row r="221">
      <c r="A221" s="7" t="s">
        <v>2062</v>
      </c>
      <c r="B221" s="7" t="s">
        <v>2063</v>
      </c>
      <c r="C221" s="7" t="s">
        <v>2064</v>
      </c>
      <c r="D221" s="7" t="s">
        <v>478</v>
      </c>
      <c r="E221" s="9"/>
      <c r="F221" s="11">
        <v>13.91359</v>
      </c>
      <c r="G221" s="11">
        <v>100.86248</v>
      </c>
      <c r="H221" s="7" t="s">
        <v>93</v>
      </c>
      <c r="I221" s="13">
        <v>1.63</v>
      </c>
      <c r="J221" s="13"/>
      <c r="K221" s="13"/>
      <c r="L221" s="13">
        <v>1.2</v>
      </c>
      <c r="M221" s="13">
        <v>1.7</v>
      </c>
      <c r="N221" s="7" t="s">
        <v>52</v>
      </c>
      <c r="O221" s="7" t="s">
        <v>52</v>
      </c>
      <c r="P221" s="9"/>
      <c r="Q221" s="9"/>
      <c r="R221" s="9">
        <v>7297.6</v>
      </c>
      <c r="S221" s="7" t="s">
        <v>54</v>
      </c>
      <c r="T221" s="7" t="b">
        <v>0</v>
      </c>
      <c r="U221" s="7" t="s">
        <v>56</v>
      </c>
      <c r="V221" s="27" t="s">
        <v>57</v>
      </c>
      <c r="W221" s="7" t="s">
        <v>2069</v>
      </c>
    </row>
    <row r="222">
      <c r="A222" s="7" t="s">
        <v>2070</v>
      </c>
      <c r="B222" s="7" t="s">
        <v>2071</v>
      </c>
      <c r="C222" s="7" t="s">
        <v>2072</v>
      </c>
      <c r="D222" s="7" t="s">
        <v>2073</v>
      </c>
      <c r="E222" s="9"/>
      <c r="F222" s="11">
        <v>13.70901</v>
      </c>
      <c r="G222" s="11">
        <v>100.59503</v>
      </c>
      <c r="H222" s="7" t="s">
        <v>93</v>
      </c>
      <c r="I222" s="13">
        <v>-0.6</v>
      </c>
      <c r="J222" s="13"/>
      <c r="K222" s="13"/>
      <c r="L222" s="13">
        <v>2.6</v>
      </c>
      <c r="M222" s="13">
        <v>2.8</v>
      </c>
      <c r="N222" s="7" t="s">
        <v>52</v>
      </c>
      <c r="O222" s="7" t="s">
        <v>52</v>
      </c>
      <c r="P222" s="9"/>
      <c r="Q222" s="9"/>
      <c r="R222" s="9">
        <v>7297.6</v>
      </c>
      <c r="S222" s="7" t="s">
        <v>54</v>
      </c>
      <c r="T222" s="7" t="b">
        <v>0</v>
      </c>
      <c r="U222" s="7" t="s">
        <v>56</v>
      </c>
      <c r="V222" s="27" t="s">
        <v>57</v>
      </c>
      <c r="W222" s="7" t="s">
        <v>2076</v>
      </c>
    </row>
    <row r="223">
      <c r="A223" s="7" t="s">
        <v>2078</v>
      </c>
      <c r="B223" s="7" t="s">
        <v>2080</v>
      </c>
      <c r="C223" s="7" t="s">
        <v>2081</v>
      </c>
      <c r="D223" s="7" t="s">
        <v>256</v>
      </c>
      <c r="E223" s="9"/>
      <c r="F223" s="11">
        <v>13.75954</v>
      </c>
      <c r="G223" s="11">
        <v>100.59646</v>
      </c>
      <c r="H223" s="7" t="s">
        <v>93</v>
      </c>
      <c r="I223" s="13">
        <v>0.3</v>
      </c>
      <c r="J223" s="13"/>
      <c r="K223" s="13"/>
      <c r="L223" s="13">
        <v>-0.1</v>
      </c>
      <c r="M223" s="13">
        <v>0.1</v>
      </c>
      <c r="N223" s="7" t="s">
        <v>52</v>
      </c>
      <c r="O223" s="7" t="s">
        <v>52</v>
      </c>
      <c r="P223" s="9"/>
      <c r="Q223" s="9"/>
      <c r="R223" s="9">
        <v>7297.6</v>
      </c>
      <c r="S223" s="7" t="s">
        <v>54</v>
      </c>
      <c r="T223" s="7" t="b">
        <v>0</v>
      </c>
      <c r="U223" s="7" t="s">
        <v>56</v>
      </c>
      <c r="V223" s="27" t="s">
        <v>57</v>
      </c>
      <c r="W223" s="7" t="s">
        <v>2085</v>
      </c>
    </row>
    <row r="224">
      <c r="A224" s="7" t="s">
        <v>2086</v>
      </c>
      <c r="B224" s="7" t="s">
        <v>2087</v>
      </c>
      <c r="C224" s="7" t="s">
        <v>2088</v>
      </c>
      <c r="D224" s="7" t="s">
        <v>227</v>
      </c>
      <c r="E224" s="9"/>
      <c r="F224" s="11">
        <v>13.79446</v>
      </c>
      <c r="G224" s="11">
        <v>100.58957</v>
      </c>
      <c r="H224" s="7" t="s">
        <v>93</v>
      </c>
      <c r="I224" s="13">
        <v>0.46</v>
      </c>
      <c r="J224" s="13"/>
      <c r="K224" s="13"/>
      <c r="L224" s="13">
        <v>0.2</v>
      </c>
      <c r="M224" s="13">
        <v>0.4</v>
      </c>
      <c r="N224" s="7" t="s">
        <v>52</v>
      </c>
      <c r="O224" s="7" t="s">
        <v>52</v>
      </c>
      <c r="P224" s="9"/>
      <c r="Q224" s="9"/>
      <c r="R224" s="9">
        <v>7297.6</v>
      </c>
      <c r="S224" s="7" t="s">
        <v>54</v>
      </c>
      <c r="T224" s="7" t="b">
        <v>0</v>
      </c>
      <c r="U224" s="7" t="s">
        <v>56</v>
      </c>
      <c r="V224" s="27" t="s">
        <v>57</v>
      </c>
      <c r="W224" s="7" t="s">
        <v>2094</v>
      </c>
    </row>
    <row r="225">
      <c r="A225" s="7" t="s">
        <v>2095</v>
      </c>
      <c r="B225" s="7" t="s">
        <v>2096</v>
      </c>
      <c r="C225" s="7" t="s">
        <v>2097</v>
      </c>
      <c r="D225" s="7" t="s">
        <v>1588</v>
      </c>
      <c r="E225" s="9"/>
      <c r="F225" s="11">
        <v>13.76741</v>
      </c>
      <c r="G225" s="11">
        <v>100.49361</v>
      </c>
      <c r="H225" s="7" t="s">
        <v>93</v>
      </c>
      <c r="I225" s="13">
        <v>-0.31</v>
      </c>
      <c r="J225" s="13"/>
      <c r="K225" s="13"/>
      <c r="L225" s="13">
        <v>0.6</v>
      </c>
      <c r="M225" s="13">
        <v>0.7</v>
      </c>
      <c r="N225" s="7" t="s">
        <v>52</v>
      </c>
      <c r="O225" s="7" t="s">
        <v>52</v>
      </c>
      <c r="P225" s="9"/>
      <c r="Q225" s="9"/>
      <c r="R225" s="9">
        <v>7297.6</v>
      </c>
      <c r="S225" s="7" t="s">
        <v>54</v>
      </c>
      <c r="T225" s="7" t="b">
        <v>0</v>
      </c>
      <c r="U225" s="7" t="s">
        <v>56</v>
      </c>
      <c r="V225" s="27" t="s">
        <v>57</v>
      </c>
      <c r="W225" s="7" t="s">
        <v>2099</v>
      </c>
    </row>
    <row r="226">
      <c r="A226" s="7" t="s">
        <v>2100</v>
      </c>
      <c r="B226" s="7" t="s">
        <v>2102</v>
      </c>
      <c r="C226" s="7" t="s">
        <v>2103</v>
      </c>
      <c r="D226" s="7" t="s">
        <v>1615</v>
      </c>
      <c r="E226" s="9"/>
      <c r="F226" s="11">
        <v>13.7402</v>
      </c>
      <c r="G226" s="11">
        <v>100.48992</v>
      </c>
      <c r="H226" s="7" t="s">
        <v>93</v>
      </c>
      <c r="I226" s="13">
        <v>0.13</v>
      </c>
      <c r="J226" s="13"/>
      <c r="K226" s="13"/>
      <c r="L226" s="13">
        <v>2.8</v>
      </c>
      <c r="M226" s="13">
        <v>3.0</v>
      </c>
      <c r="N226" s="7" t="s">
        <v>52</v>
      </c>
      <c r="O226" s="7" t="s">
        <v>52</v>
      </c>
      <c r="P226" s="9"/>
      <c r="Q226" s="9"/>
      <c r="R226" s="9">
        <v>7297.6</v>
      </c>
      <c r="S226" s="7" t="s">
        <v>54</v>
      </c>
      <c r="T226" s="7" t="b">
        <v>0</v>
      </c>
      <c r="U226" s="7" t="s">
        <v>56</v>
      </c>
      <c r="V226" s="27" t="s">
        <v>57</v>
      </c>
      <c r="W226" s="7" t="s">
        <v>2108</v>
      </c>
    </row>
    <row r="227">
      <c r="A227" s="7" t="s">
        <v>2109</v>
      </c>
      <c r="B227" s="7" t="s">
        <v>2110</v>
      </c>
      <c r="C227" s="7" t="s">
        <v>2111</v>
      </c>
      <c r="D227" s="7" t="s">
        <v>2073</v>
      </c>
      <c r="E227" s="9"/>
      <c r="F227" s="11">
        <v>13.70635</v>
      </c>
      <c r="G227" s="11">
        <v>100.58779</v>
      </c>
      <c r="H227" s="7" t="s">
        <v>93</v>
      </c>
      <c r="I227" s="13">
        <v>-2.09</v>
      </c>
      <c r="J227" s="13"/>
      <c r="K227" s="13"/>
      <c r="L227" s="13"/>
      <c r="M227" s="13"/>
      <c r="N227" s="7" t="s">
        <v>52</v>
      </c>
      <c r="O227" s="7" t="s">
        <v>52</v>
      </c>
      <c r="P227" s="9"/>
      <c r="Q227" s="9"/>
      <c r="R227" s="9">
        <v>7297.6</v>
      </c>
      <c r="S227" s="7" t="s">
        <v>54</v>
      </c>
      <c r="T227" s="7" t="b">
        <v>0</v>
      </c>
      <c r="U227" s="7" t="s">
        <v>56</v>
      </c>
      <c r="V227" s="27" t="s">
        <v>57</v>
      </c>
      <c r="W227" s="7" t="s">
        <v>2118</v>
      </c>
    </row>
    <row r="228">
      <c r="A228" s="7" t="s">
        <v>2119</v>
      </c>
      <c r="B228" s="7" t="s">
        <v>2120</v>
      </c>
      <c r="C228" s="7" t="s">
        <v>2121</v>
      </c>
      <c r="D228" s="7" t="s">
        <v>341</v>
      </c>
      <c r="E228" s="9"/>
      <c r="F228" s="11">
        <v>13.67099</v>
      </c>
      <c r="G228" s="11">
        <v>100.62222</v>
      </c>
      <c r="H228" s="7" t="s">
        <v>93</v>
      </c>
      <c r="I228" s="13">
        <v>-0.56</v>
      </c>
      <c r="J228" s="13"/>
      <c r="K228" s="13"/>
      <c r="L228" s="13">
        <v>-0.2</v>
      </c>
      <c r="M228" s="13">
        <v>0.0</v>
      </c>
      <c r="N228" s="7" t="s">
        <v>52</v>
      </c>
      <c r="O228" s="7" t="s">
        <v>52</v>
      </c>
      <c r="P228" s="9"/>
      <c r="Q228" s="9"/>
      <c r="R228" s="9">
        <v>7297.6</v>
      </c>
      <c r="S228" s="7" t="s">
        <v>54</v>
      </c>
      <c r="T228" s="7" t="b">
        <v>0</v>
      </c>
      <c r="U228" s="7" t="s">
        <v>56</v>
      </c>
      <c r="V228" s="27" t="s">
        <v>57</v>
      </c>
      <c r="W228" s="7" t="s">
        <v>2122</v>
      </c>
    </row>
    <row r="229">
      <c r="A229" s="7" t="s">
        <v>2123</v>
      </c>
      <c r="B229" s="7" t="s">
        <v>2124</v>
      </c>
      <c r="C229" s="7" t="s">
        <v>2125</v>
      </c>
      <c r="D229" s="7" t="s">
        <v>360</v>
      </c>
      <c r="E229" s="9"/>
      <c r="F229" s="11">
        <v>13.79759</v>
      </c>
      <c r="G229" s="11">
        <v>100.53881</v>
      </c>
      <c r="H229" s="7" t="s">
        <v>93</v>
      </c>
      <c r="I229" s="13">
        <v>-0.93</v>
      </c>
      <c r="J229" s="13"/>
      <c r="K229" s="13"/>
      <c r="L229" s="13">
        <v>0.1</v>
      </c>
      <c r="M229" s="13">
        <v>0.2</v>
      </c>
      <c r="N229" s="7" t="s">
        <v>52</v>
      </c>
      <c r="O229" s="7" t="s">
        <v>52</v>
      </c>
      <c r="P229" s="9"/>
      <c r="Q229" s="9"/>
      <c r="R229" s="9">
        <v>7297.6</v>
      </c>
      <c r="S229" s="7" t="s">
        <v>54</v>
      </c>
      <c r="T229" s="7" t="b">
        <v>0</v>
      </c>
      <c r="U229" s="7" t="s">
        <v>56</v>
      </c>
      <c r="V229" s="27" t="s">
        <v>57</v>
      </c>
      <c r="W229" s="7" t="s">
        <v>2130</v>
      </c>
    </row>
    <row r="230">
      <c r="A230" s="7" t="s">
        <v>2131</v>
      </c>
      <c r="B230" s="7" t="s">
        <v>2132</v>
      </c>
      <c r="C230" s="7" t="s">
        <v>2133</v>
      </c>
      <c r="D230" s="7" t="s">
        <v>513</v>
      </c>
      <c r="E230" s="9"/>
      <c r="F230" s="11">
        <v>13.67055</v>
      </c>
      <c r="G230" s="11">
        <v>100.42713</v>
      </c>
      <c r="H230" s="7" t="s">
        <v>2134</v>
      </c>
      <c r="I230" s="13">
        <v>0.22</v>
      </c>
      <c r="J230" s="13"/>
      <c r="K230" s="13"/>
      <c r="L230" s="13">
        <v>0.6</v>
      </c>
      <c r="M230" s="13">
        <v>0.7</v>
      </c>
      <c r="N230" s="7" t="s">
        <v>52</v>
      </c>
      <c r="O230" s="7" t="s">
        <v>52</v>
      </c>
      <c r="P230" s="9"/>
      <c r="Q230" s="9"/>
      <c r="R230" s="9">
        <v>9262.6</v>
      </c>
      <c r="S230" s="7" t="s">
        <v>54</v>
      </c>
      <c r="T230" s="7" t="b">
        <v>0</v>
      </c>
      <c r="U230" s="7" t="s">
        <v>56</v>
      </c>
      <c r="V230" s="27" t="s">
        <v>57</v>
      </c>
      <c r="W230" s="7" t="s">
        <v>2138</v>
      </c>
    </row>
    <row r="231">
      <c r="A231" s="7" t="s">
        <v>2140</v>
      </c>
      <c r="B231" s="7" t="s">
        <v>2141</v>
      </c>
      <c r="C231" s="7" t="s">
        <v>2143</v>
      </c>
      <c r="D231" s="7" t="s">
        <v>624</v>
      </c>
      <c r="E231" s="9"/>
      <c r="F231" s="11">
        <v>13.74953</v>
      </c>
      <c r="G231" s="11">
        <v>100.63387</v>
      </c>
      <c r="H231" s="7" t="s">
        <v>93</v>
      </c>
      <c r="I231" s="13">
        <v>0.61</v>
      </c>
      <c r="J231" s="13"/>
      <c r="K231" s="13"/>
      <c r="L231" s="13">
        <v>-0.2</v>
      </c>
      <c r="M231" s="13">
        <v>0.0</v>
      </c>
      <c r="N231" s="7" t="s">
        <v>52</v>
      </c>
      <c r="O231" s="7" t="s">
        <v>52</v>
      </c>
      <c r="P231" s="9"/>
      <c r="Q231" s="9"/>
      <c r="R231" s="9">
        <v>7297.6</v>
      </c>
      <c r="S231" s="7" t="s">
        <v>54</v>
      </c>
      <c r="T231" s="7" t="b">
        <v>0</v>
      </c>
      <c r="U231" s="7" t="s">
        <v>56</v>
      </c>
      <c r="V231" s="27" t="s">
        <v>57</v>
      </c>
      <c r="W231" s="7" t="s">
        <v>2144</v>
      </c>
    </row>
    <row r="232">
      <c r="A232" s="7" t="s">
        <v>2145</v>
      </c>
      <c r="B232" s="7" t="s">
        <v>2146</v>
      </c>
      <c r="C232" s="7" t="s">
        <v>2147</v>
      </c>
      <c r="D232" s="7" t="s">
        <v>274</v>
      </c>
      <c r="E232" s="9"/>
      <c r="F232" s="11">
        <v>13.85572</v>
      </c>
      <c r="G232" s="11">
        <v>100.56673</v>
      </c>
      <c r="H232" s="7" t="s">
        <v>93</v>
      </c>
      <c r="I232" s="13">
        <v>1.0</v>
      </c>
      <c r="J232" s="13"/>
      <c r="K232" s="13"/>
      <c r="L232" s="13">
        <v>0.6</v>
      </c>
      <c r="M232" s="13">
        <v>0.7</v>
      </c>
      <c r="N232" s="7" t="s">
        <v>52</v>
      </c>
      <c r="O232" s="7" t="s">
        <v>52</v>
      </c>
      <c r="P232" s="9"/>
      <c r="Q232" s="9"/>
      <c r="R232" s="9">
        <v>7297.6</v>
      </c>
      <c r="S232" s="7" t="s">
        <v>54</v>
      </c>
      <c r="T232" s="7" t="b">
        <v>0</v>
      </c>
      <c r="U232" s="7" t="s">
        <v>56</v>
      </c>
      <c r="V232" s="27" t="s">
        <v>57</v>
      </c>
      <c r="W232" s="7" t="s">
        <v>2153</v>
      </c>
    </row>
    <row r="233">
      <c r="A233" s="7" t="s">
        <v>2154</v>
      </c>
      <c r="B233" s="7" t="s">
        <v>2155</v>
      </c>
      <c r="C233" s="7" t="s">
        <v>2156</v>
      </c>
      <c r="D233" s="7" t="s">
        <v>739</v>
      </c>
      <c r="E233" s="9"/>
      <c r="F233" s="11">
        <v>13.80069</v>
      </c>
      <c r="G233" s="11">
        <v>100.78818</v>
      </c>
      <c r="H233" s="7" t="s">
        <v>93</v>
      </c>
      <c r="I233" s="13">
        <v>1.0</v>
      </c>
      <c r="J233" s="13"/>
      <c r="K233" s="13"/>
      <c r="L233" s="13">
        <v>0.6</v>
      </c>
      <c r="M233" s="13">
        <v>0.7</v>
      </c>
      <c r="N233" s="7" t="s">
        <v>52</v>
      </c>
      <c r="O233" s="7" t="s">
        <v>52</v>
      </c>
      <c r="P233" s="9"/>
      <c r="Q233" s="9"/>
      <c r="R233" s="9">
        <v>7297.6</v>
      </c>
      <c r="S233" s="7" t="s">
        <v>54</v>
      </c>
      <c r="T233" s="7" t="b">
        <v>0</v>
      </c>
      <c r="U233" s="7" t="s">
        <v>56</v>
      </c>
      <c r="V233" s="27" t="s">
        <v>57</v>
      </c>
      <c r="W233" s="7" t="s">
        <v>2157</v>
      </c>
    </row>
    <row r="234">
      <c r="A234" s="7" t="s">
        <v>2159</v>
      </c>
      <c r="B234" s="7" t="s">
        <v>2160</v>
      </c>
      <c r="C234" s="7" t="s">
        <v>2161</v>
      </c>
      <c r="D234" s="7" t="s">
        <v>602</v>
      </c>
      <c r="E234" s="9"/>
      <c r="F234" s="11">
        <v>13.72193</v>
      </c>
      <c r="G234" s="11">
        <v>100.70919</v>
      </c>
      <c r="H234" s="7" t="s">
        <v>93</v>
      </c>
      <c r="I234" s="13">
        <v>0.81</v>
      </c>
      <c r="J234" s="13"/>
      <c r="K234" s="13"/>
      <c r="L234" s="13">
        <v>0.4</v>
      </c>
      <c r="M234" s="13">
        <v>0.5</v>
      </c>
      <c r="N234" s="7" t="s">
        <v>52</v>
      </c>
      <c r="O234" s="7" t="s">
        <v>52</v>
      </c>
      <c r="P234" s="9"/>
      <c r="Q234" s="9"/>
      <c r="R234" s="9">
        <v>7297.6</v>
      </c>
      <c r="S234" s="7" t="s">
        <v>54</v>
      </c>
      <c r="T234" s="7" t="b">
        <v>0</v>
      </c>
      <c r="U234" s="7" t="s">
        <v>56</v>
      </c>
      <c r="V234" s="27" t="s">
        <v>57</v>
      </c>
      <c r="W234" s="7" t="s">
        <v>2166</v>
      </c>
    </row>
    <row r="235">
      <c r="A235" s="7" t="s">
        <v>2167</v>
      </c>
      <c r="B235" s="7" t="s">
        <v>2168</v>
      </c>
      <c r="C235" s="7" t="s">
        <v>2169</v>
      </c>
      <c r="D235" s="7" t="s">
        <v>115</v>
      </c>
      <c r="E235" s="9"/>
      <c r="F235" s="11">
        <v>13.80547</v>
      </c>
      <c r="G235" s="11">
        <v>100.6226</v>
      </c>
      <c r="H235" s="7" t="s">
        <v>93</v>
      </c>
      <c r="I235" s="13">
        <v>0.94</v>
      </c>
      <c r="J235" s="13"/>
      <c r="K235" s="13"/>
      <c r="L235" s="13">
        <v>0.3</v>
      </c>
      <c r="M235" s="13">
        <v>0.4</v>
      </c>
      <c r="N235" s="7" t="s">
        <v>52</v>
      </c>
      <c r="O235" s="7" t="s">
        <v>52</v>
      </c>
      <c r="P235" s="9"/>
      <c r="Q235" s="9"/>
      <c r="R235" s="9">
        <v>7297.6</v>
      </c>
      <c r="S235" s="7" t="s">
        <v>54</v>
      </c>
      <c r="T235" s="7" t="b">
        <v>0</v>
      </c>
      <c r="U235" s="7" t="s">
        <v>56</v>
      </c>
      <c r="V235" s="27" t="s">
        <v>57</v>
      </c>
      <c r="W235" s="7" t="s">
        <v>2174</v>
      </c>
    </row>
    <row r="236">
      <c r="A236" s="7" t="s">
        <v>2176</v>
      </c>
      <c r="B236" s="7" t="s">
        <v>2178</v>
      </c>
      <c r="C236" s="7" t="s">
        <v>2179</v>
      </c>
      <c r="D236" s="7" t="s">
        <v>192</v>
      </c>
      <c r="E236" s="9"/>
      <c r="F236" s="11">
        <v>13.60384</v>
      </c>
      <c r="G236" s="11">
        <v>100.3946</v>
      </c>
      <c r="H236" s="7" t="s">
        <v>93</v>
      </c>
      <c r="I236" s="13">
        <v>-0.09</v>
      </c>
      <c r="J236" s="13"/>
      <c r="K236" s="13"/>
      <c r="L236" s="13">
        <v>1.0</v>
      </c>
      <c r="M236" s="13">
        <v>1.2</v>
      </c>
      <c r="N236" s="7" t="s">
        <v>52</v>
      </c>
      <c r="O236" s="7" t="s">
        <v>52</v>
      </c>
      <c r="P236" s="9"/>
      <c r="Q236" s="9"/>
      <c r="R236" s="9">
        <v>7297.6</v>
      </c>
      <c r="S236" s="7" t="s">
        <v>54</v>
      </c>
      <c r="T236" s="7" t="b">
        <v>0</v>
      </c>
      <c r="U236" s="7" t="s">
        <v>56</v>
      </c>
      <c r="V236" s="27" t="s">
        <v>57</v>
      </c>
      <c r="W236" s="7" t="s">
        <v>2182</v>
      </c>
    </row>
    <row r="237">
      <c r="A237" s="7" t="s">
        <v>2183</v>
      </c>
      <c r="B237" s="7" t="s">
        <v>2184</v>
      </c>
      <c r="C237" s="7" t="s">
        <v>2185</v>
      </c>
      <c r="D237" s="7" t="s">
        <v>467</v>
      </c>
      <c r="E237" s="9"/>
      <c r="F237" s="11">
        <v>13.78484</v>
      </c>
      <c r="G237" s="11">
        <v>100.50837</v>
      </c>
      <c r="H237" s="7" t="s">
        <v>93</v>
      </c>
      <c r="I237" s="13">
        <v>-0.5</v>
      </c>
      <c r="J237" s="13"/>
      <c r="K237" s="13"/>
      <c r="L237" s="13">
        <v>3.3</v>
      </c>
      <c r="M237" s="13">
        <v>3.5</v>
      </c>
      <c r="N237" s="7" t="s">
        <v>52</v>
      </c>
      <c r="O237" s="7" t="s">
        <v>52</v>
      </c>
      <c r="P237" s="9"/>
      <c r="Q237" s="9"/>
      <c r="R237" s="9">
        <v>7297.6</v>
      </c>
      <c r="S237" s="7" t="s">
        <v>54</v>
      </c>
      <c r="T237" s="7" t="b">
        <v>0</v>
      </c>
      <c r="U237" s="7" t="s">
        <v>56</v>
      </c>
      <c r="V237" s="27" t="s">
        <v>57</v>
      </c>
      <c r="W237" s="7" t="s">
        <v>2190</v>
      </c>
    </row>
    <row r="238">
      <c r="A238" s="7" t="s">
        <v>2191</v>
      </c>
      <c r="B238" s="7" t="s">
        <v>2192</v>
      </c>
      <c r="C238" s="7" t="s">
        <v>2193</v>
      </c>
      <c r="D238" s="7" t="s">
        <v>341</v>
      </c>
      <c r="E238" s="9"/>
      <c r="F238" s="11">
        <v>13.66102</v>
      </c>
      <c r="G238" s="11">
        <v>100.63926</v>
      </c>
      <c r="H238" s="7" t="s">
        <v>93</v>
      </c>
      <c r="I238" s="13">
        <v>-0.12</v>
      </c>
      <c r="J238" s="13"/>
      <c r="K238" s="13"/>
      <c r="L238" s="13">
        <v>0.4</v>
      </c>
      <c r="M238" s="13">
        <v>0.6</v>
      </c>
      <c r="N238" s="7" t="s">
        <v>52</v>
      </c>
      <c r="O238" s="7" t="s">
        <v>52</v>
      </c>
      <c r="P238" s="9"/>
      <c r="Q238" s="9"/>
      <c r="R238" s="9">
        <v>7297.6</v>
      </c>
      <c r="S238" s="7" t="s">
        <v>54</v>
      </c>
      <c r="T238" s="7" t="b">
        <v>0</v>
      </c>
      <c r="U238" s="7" t="s">
        <v>56</v>
      </c>
      <c r="V238" s="27" t="s">
        <v>57</v>
      </c>
      <c r="W238" s="7" t="s">
        <v>2195</v>
      </c>
    </row>
    <row r="239">
      <c r="A239" s="7" t="s">
        <v>2197</v>
      </c>
      <c r="B239" s="7" t="s">
        <v>2199</v>
      </c>
      <c r="C239" s="7" t="s">
        <v>2201</v>
      </c>
      <c r="D239" s="7" t="s">
        <v>384</v>
      </c>
      <c r="E239" s="9"/>
      <c r="F239" s="11">
        <v>13.89041</v>
      </c>
      <c r="G239" s="11">
        <v>100.5847</v>
      </c>
      <c r="H239" s="7" t="s">
        <v>93</v>
      </c>
      <c r="I239" s="13">
        <v>1.49</v>
      </c>
      <c r="J239" s="13"/>
      <c r="K239" s="13"/>
      <c r="L239" s="13">
        <v>0.6</v>
      </c>
      <c r="M239" s="13">
        <v>0.7</v>
      </c>
      <c r="N239" s="7" t="s">
        <v>52</v>
      </c>
      <c r="O239" s="7" t="s">
        <v>52</v>
      </c>
      <c r="P239" s="9"/>
      <c r="Q239" s="9"/>
      <c r="R239" s="9">
        <v>7297.6</v>
      </c>
      <c r="S239" s="7" t="s">
        <v>54</v>
      </c>
      <c r="T239" s="7" t="b">
        <v>0</v>
      </c>
      <c r="U239" s="7" t="s">
        <v>56</v>
      </c>
      <c r="V239" s="27" t="s">
        <v>57</v>
      </c>
      <c r="W239" s="7" t="s">
        <v>2205</v>
      </c>
    </row>
    <row r="240">
      <c r="A240" s="7" t="s">
        <v>2206</v>
      </c>
      <c r="B240" s="7" t="s">
        <v>2207</v>
      </c>
      <c r="C240" s="7" t="s">
        <v>2208</v>
      </c>
      <c r="D240" s="7" t="s">
        <v>192</v>
      </c>
      <c r="E240" s="9"/>
      <c r="F240" s="11">
        <v>13.67309</v>
      </c>
      <c r="G240" s="11">
        <v>100.44606</v>
      </c>
      <c r="H240" s="7" t="s">
        <v>93</v>
      </c>
      <c r="I240" s="13">
        <v>-0.33</v>
      </c>
      <c r="J240" s="13"/>
      <c r="K240" s="13"/>
      <c r="L240" s="13">
        <v>0.4</v>
      </c>
      <c r="M240" s="13">
        <v>0.5</v>
      </c>
      <c r="N240" s="7" t="s">
        <v>52</v>
      </c>
      <c r="O240" s="7" t="s">
        <v>52</v>
      </c>
      <c r="P240" s="9"/>
      <c r="Q240" s="9"/>
      <c r="R240" s="9">
        <v>7297.6</v>
      </c>
      <c r="S240" s="7" t="s">
        <v>54</v>
      </c>
      <c r="T240" s="7" t="b">
        <v>0</v>
      </c>
      <c r="U240" s="7" t="s">
        <v>56</v>
      </c>
      <c r="V240" s="27" t="s">
        <v>57</v>
      </c>
      <c r="W240" s="7" t="s">
        <v>2218</v>
      </c>
    </row>
    <row r="241">
      <c r="A241" s="7" t="s">
        <v>2219</v>
      </c>
      <c r="B241" s="7" t="s">
        <v>2220</v>
      </c>
      <c r="C241" s="7" t="s">
        <v>2221</v>
      </c>
      <c r="D241" s="7" t="s">
        <v>372</v>
      </c>
      <c r="E241" s="9"/>
      <c r="F241" s="11">
        <v>13.75512</v>
      </c>
      <c r="G241" s="11">
        <v>100.49554</v>
      </c>
      <c r="H241" s="7" t="s">
        <v>93</v>
      </c>
      <c r="I241" s="13">
        <v>-0.32</v>
      </c>
      <c r="J241" s="13"/>
      <c r="K241" s="13"/>
      <c r="L241" s="13">
        <v>0.6</v>
      </c>
      <c r="M241" s="13">
        <v>0.7</v>
      </c>
      <c r="N241" s="7" t="s">
        <v>52</v>
      </c>
      <c r="O241" s="7" t="s">
        <v>52</v>
      </c>
      <c r="P241" s="9"/>
      <c r="Q241" s="9"/>
      <c r="R241" s="9">
        <v>7297.6</v>
      </c>
      <c r="S241" s="7" t="s">
        <v>54</v>
      </c>
      <c r="T241" s="7" t="b">
        <v>0</v>
      </c>
      <c r="U241" s="7" t="s">
        <v>56</v>
      </c>
      <c r="V241" s="27" t="s">
        <v>57</v>
      </c>
      <c r="W241" s="7" t="s">
        <v>2222</v>
      </c>
    </row>
    <row r="242">
      <c r="A242" s="7" t="s">
        <v>2223</v>
      </c>
      <c r="B242" s="7" t="s">
        <v>2224</v>
      </c>
      <c r="C242" s="7" t="s">
        <v>2226</v>
      </c>
      <c r="D242" s="7" t="s">
        <v>762</v>
      </c>
      <c r="E242" s="9"/>
      <c r="F242" s="11">
        <v>13.8363</v>
      </c>
      <c r="G242" s="11">
        <v>100.66134</v>
      </c>
      <c r="H242" s="7" t="s">
        <v>93</v>
      </c>
      <c r="I242" s="13">
        <v>1.34</v>
      </c>
      <c r="J242" s="13"/>
      <c r="K242" s="13"/>
      <c r="L242" s="13">
        <v>0.8</v>
      </c>
      <c r="M242" s="13">
        <v>1.0</v>
      </c>
      <c r="N242" s="7" t="s">
        <v>52</v>
      </c>
      <c r="O242" s="7" t="s">
        <v>52</v>
      </c>
      <c r="P242" s="9"/>
      <c r="Q242" s="9"/>
      <c r="R242" s="9">
        <v>7297.6</v>
      </c>
      <c r="S242" s="7" t="s">
        <v>54</v>
      </c>
      <c r="T242" s="7" t="b">
        <v>0</v>
      </c>
      <c r="U242" s="7" t="s">
        <v>56</v>
      </c>
      <c r="V242" s="27" t="s">
        <v>57</v>
      </c>
      <c r="W242" s="7" t="s">
        <v>2231</v>
      </c>
    </row>
    <row r="243">
      <c r="A243" s="7" t="s">
        <v>2232</v>
      </c>
      <c r="B243" s="7" t="s">
        <v>2233</v>
      </c>
      <c r="C243" s="7" t="s">
        <v>2234</v>
      </c>
      <c r="D243" s="7" t="s">
        <v>472</v>
      </c>
      <c r="E243" s="9"/>
      <c r="F243" s="11">
        <v>13.7423</v>
      </c>
      <c r="G243" s="11">
        <v>100.56775</v>
      </c>
      <c r="H243" s="7" t="s">
        <v>93</v>
      </c>
      <c r="I243" s="13">
        <v>-1.56</v>
      </c>
      <c r="J243" s="13"/>
      <c r="K243" s="13"/>
      <c r="L243" s="13">
        <v>-0.2</v>
      </c>
      <c r="M243" s="13">
        <v>0.0</v>
      </c>
      <c r="N243" s="7" t="s">
        <v>52</v>
      </c>
      <c r="O243" s="7" t="s">
        <v>52</v>
      </c>
      <c r="P243" s="9"/>
      <c r="Q243" s="9"/>
      <c r="R243" s="9">
        <v>7297.6</v>
      </c>
      <c r="S243" s="7" t="s">
        <v>54</v>
      </c>
      <c r="T243" s="7" t="b">
        <v>0</v>
      </c>
      <c r="U243" s="7" t="s">
        <v>56</v>
      </c>
      <c r="V243" s="27" t="s">
        <v>57</v>
      </c>
      <c r="W243" s="7" t="s">
        <v>2239</v>
      </c>
    </row>
    <row r="244">
      <c r="A244" s="7" t="s">
        <v>2240</v>
      </c>
      <c r="B244" s="7" t="s">
        <v>2241</v>
      </c>
      <c r="C244" s="7" t="s">
        <v>2242</v>
      </c>
      <c r="D244" s="7" t="s">
        <v>467</v>
      </c>
      <c r="E244" s="9"/>
      <c r="F244" s="11">
        <v>13.76099</v>
      </c>
      <c r="G244" s="11">
        <v>100.51212</v>
      </c>
      <c r="H244" s="7" t="s">
        <v>93</v>
      </c>
      <c r="I244" s="13">
        <v>-0.2</v>
      </c>
      <c r="J244" s="13"/>
      <c r="K244" s="13"/>
      <c r="L244" s="13">
        <v>0.6</v>
      </c>
      <c r="M244" s="13">
        <v>0.7</v>
      </c>
      <c r="N244" s="7" t="s">
        <v>52</v>
      </c>
      <c r="O244" s="7" t="s">
        <v>52</v>
      </c>
      <c r="P244" s="9"/>
      <c r="Q244" s="9"/>
      <c r="R244" s="9">
        <v>7297.6</v>
      </c>
      <c r="S244" s="7" t="s">
        <v>54</v>
      </c>
      <c r="T244" s="7" t="b">
        <v>0</v>
      </c>
      <c r="U244" s="7" t="s">
        <v>56</v>
      </c>
      <c r="V244" s="27" t="s">
        <v>57</v>
      </c>
      <c r="W244" s="7" t="s">
        <v>2246</v>
      </c>
    </row>
    <row r="245">
      <c r="A245" s="7" t="s">
        <v>2248</v>
      </c>
      <c r="B245" s="7" t="s">
        <v>2249</v>
      </c>
      <c r="C245" s="7" t="s">
        <v>2250</v>
      </c>
      <c r="D245" s="7" t="s">
        <v>384</v>
      </c>
      <c r="E245" s="9"/>
      <c r="F245" s="11">
        <v>13.89974</v>
      </c>
      <c r="G245" s="11">
        <v>100.61087</v>
      </c>
      <c r="H245" s="7" t="s">
        <v>93</v>
      </c>
      <c r="I245" s="13">
        <v>1.51</v>
      </c>
      <c r="J245" s="13"/>
      <c r="K245" s="13"/>
      <c r="L245" s="13">
        <v>0.8</v>
      </c>
      <c r="M245" s="13">
        <v>0.9</v>
      </c>
      <c r="N245" s="7" t="s">
        <v>52</v>
      </c>
      <c r="O245" s="7" t="s">
        <v>52</v>
      </c>
      <c r="P245" s="9"/>
      <c r="Q245" s="9"/>
      <c r="R245" s="9">
        <v>7297.6</v>
      </c>
      <c r="S245" s="7" t="s">
        <v>54</v>
      </c>
      <c r="T245" s="7" t="b">
        <v>0</v>
      </c>
      <c r="U245" s="7" t="s">
        <v>56</v>
      </c>
      <c r="V245" s="27" t="s">
        <v>57</v>
      </c>
      <c r="W245" s="7" t="s">
        <v>2251</v>
      </c>
    </row>
    <row r="246">
      <c r="A246" s="7" t="s">
        <v>2252</v>
      </c>
      <c r="B246" s="7" t="s">
        <v>2253</v>
      </c>
      <c r="C246" s="7" t="s">
        <v>2254</v>
      </c>
      <c r="D246" s="7" t="s">
        <v>535</v>
      </c>
      <c r="E246" s="9"/>
      <c r="F246" s="11">
        <v>13.7797</v>
      </c>
      <c r="G246" s="11">
        <v>100.42681</v>
      </c>
      <c r="H246" s="7" t="s">
        <v>93</v>
      </c>
      <c r="I246" s="13">
        <v>0.6</v>
      </c>
      <c r="J246" s="13"/>
      <c r="K246" s="13"/>
      <c r="L246" s="13">
        <v>0.9</v>
      </c>
      <c r="M246" s="13">
        <v>1.0</v>
      </c>
      <c r="N246" s="7" t="s">
        <v>52</v>
      </c>
      <c r="O246" s="7" t="s">
        <v>52</v>
      </c>
      <c r="P246" s="9"/>
      <c r="Q246" s="9"/>
      <c r="R246" s="9">
        <v>7297.6</v>
      </c>
      <c r="S246" s="7" t="s">
        <v>54</v>
      </c>
      <c r="T246" s="7" t="b">
        <v>0</v>
      </c>
      <c r="U246" s="7" t="s">
        <v>56</v>
      </c>
      <c r="V246" s="27" t="s">
        <v>57</v>
      </c>
      <c r="W246" s="7" t="s">
        <v>2259</v>
      </c>
    </row>
    <row r="247">
      <c r="A247" s="7" t="s">
        <v>2260</v>
      </c>
      <c r="B247" s="7" t="s">
        <v>2261</v>
      </c>
      <c r="C247" s="7" t="s">
        <v>2262</v>
      </c>
      <c r="D247" s="7" t="s">
        <v>256</v>
      </c>
      <c r="E247" s="9"/>
      <c r="F247" s="11">
        <v>13.75038</v>
      </c>
      <c r="G247" s="11">
        <v>100.59268</v>
      </c>
      <c r="H247" s="7" t="s">
        <v>2263</v>
      </c>
      <c r="I247" s="13">
        <v>0.0</v>
      </c>
      <c r="J247" s="13"/>
      <c r="K247" s="13"/>
      <c r="L247" s="13">
        <v>-0.1</v>
      </c>
      <c r="M247" s="13">
        <v>0.0</v>
      </c>
      <c r="N247" s="7" t="s">
        <v>52</v>
      </c>
      <c r="O247" s="7" t="s">
        <v>52</v>
      </c>
      <c r="P247" s="9"/>
      <c r="Q247" s="9"/>
      <c r="R247" s="9">
        <v>11387.6</v>
      </c>
      <c r="S247" s="7" t="s">
        <v>54</v>
      </c>
      <c r="T247" s="7" t="b">
        <v>0</v>
      </c>
      <c r="U247" s="7" t="s">
        <v>56</v>
      </c>
      <c r="V247" s="27" t="s">
        <v>57</v>
      </c>
      <c r="W247" s="7" t="s">
        <v>2264</v>
      </c>
    </row>
    <row r="248">
      <c r="A248" s="7" t="s">
        <v>2265</v>
      </c>
      <c r="B248" s="7" t="s">
        <v>2266</v>
      </c>
      <c r="C248" s="7" t="s">
        <v>2267</v>
      </c>
      <c r="D248" s="7" t="s">
        <v>274</v>
      </c>
      <c r="E248" s="9"/>
      <c r="F248" s="11">
        <v>13.83042</v>
      </c>
      <c r="G248" s="11">
        <v>100.56229</v>
      </c>
      <c r="H248" s="7" t="s">
        <v>93</v>
      </c>
      <c r="I248" s="13">
        <v>-0.94</v>
      </c>
      <c r="J248" s="13"/>
      <c r="K248" s="13"/>
      <c r="L248" s="13">
        <v>0.2</v>
      </c>
      <c r="M248" s="13">
        <v>0.3</v>
      </c>
      <c r="N248" s="7" t="s">
        <v>52</v>
      </c>
      <c r="O248" s="7" t="s">
        <v>52</v>
      </c>
      <c r="P248" s="9"/>
      <c r="Q248" s="9"/>
      <c r="R248" s="9">
        <v>7297.6</v>
      </c>
      <c r="S248" s="7" t="s">
        <v>54</v>
      </c>
      <c r="T248" s="7" t="b">
        <v>0</v>
      </c>
      <c r="U248" s="7" t="s">
        <v>56</v>
      </c>
      <c r="V248" s="27" t="s">
        <v>57</v>
      </c>
      <c r="W248" s="7" t="s">
        <v>2274</v>
      </c>
    </row>
    <row r="249">
      <c r="A249" s="7" t="s">
        <v>2275</v>
      </c>
      <c r="B249" s="7" t="s">
        <v>2277</v>
      </c>
      <c r="C249" s="7" t="s">
        <v>2278</v>
      </c>
      <c r="D249" s="7" t="s">
        <v>2279</v>
      </c>
      <c r="E249" s="9"/>
      <c r="F249" s="11">
        <v>13.80042</v>
      </c>
      <c r="G249" s="11">
        <v>100.32977</v>
      </c>
      <c r="H249" s="7" t="s">
        <v>93</v>
      </c>
      <c r="I249" s="13">
        <v>0.89</v>
      </c>
      <c r="J249" s="13"/>
      <c r="K249" s="13"/>
      <c r="L249" s="13">
        <v>0.9</v>
      </c>
      <c r="M249" s="13">
        <v>1.0</v>
      </c>
      <c r="N249" s="7" t="s">
        <v>52</v>
      </c>
      <c r="O249" s="7" t="s">
        <v>52</v>
      </c>
      <c r="P249" s="9"/>
      <c r="Q249" s="9"/>
      <c r="R249" s="9">
        <v>7297.6</v>
      </c>
      <c r="S249" s="7" t="s">
        <v>54</v>
      </c>
      <c r="T249" s="7" t="b">
        <v>0</v>
      </c>
      <c r="U249" s="7" t="s">
        <v>56</v>
      </c>
      <c r="V249" s="27" t="s">
        <v>57</v>
      </c>
      <c r="W249" s="7" t="s">
        <v>2280</v>
      </c>
    </row>
    <row r="250">
      <c r="A250" s="7" t="s">
        <v>2281</v>
      </c>
      <c r="B250" s="7" t="s">
        <v>2282</v>
      </c>
      <c r="C250" s="7" t="s">
        <v>2284</v>
      </c>
      <c r="D250" s="7" t="s">
        <v>256</v>
      </c>
      <c r="E250" s="9"/>
      <c r="F250" s="11">
        <v>13.75512</v>
      </c>
      <c r="G250" s="11">
        <v>100.56505</v>
      </c>
      <c r="H250" s="7" t="s">
        <v>93</v>
      </c>
      <c r="I250" s="13">
        <v>-0.1</v>
      </c>
      <c r="J250" s="13"/>
      <c r="K250" s="13"/>
      <c r="L250" s="13">
        <v>0.0</v>
      </c>
      <c r="M250" s="13">
        <v>0.1</v>
      </c>
      <c r="N250" s="7" t="s">
        <v>52</v>
      </c>
      <c r="O250" s="7" t="s">
        <v>52</v>
      </c>
      <c r="P250" s="9"/>
      <c r="Q250" s="9"/>
      <c r="R250" s="9">
        <v>7297.6</v>
      </c>
      <c r="S250" s="7" t="s">
        <v>54</v>
      </c>
      <c r="T250" s="7" t="b">
        <v>0</v>
      </c>
      <c r="U250" s="7" t="s">
        <v>56</v>
      </c>
      <c r="V250" s="27" t="s">
        <v>57</v>
      </c>
      <c r="W250" s="7" t="s">
        <v>2288</v>
      </c>
    </row>
    <row r="251">
      <c r="A251" s="7" t="s">
        <v>2289</v>
      </c>
      <c r="B251" s="7" t="s">
        <v>2290</v>
      </c>
      <c r="C251" s="7" t="s">
        <v>2291</v>
      </c>
      <c r="D251" s="7" t="s">
        <v>602</v>
      </c>
      <c r="E251" s="9"/>
      <c r="F251" s="11">
        <v>13.68353</v>
      </c>
      <c r="G251" s="11">
        <v>100.64666</v>
      </c>
      <c r="H251" s="7" t="s">
        <v>93</v>
      </c>
      <c r="I251" s="13">
        <v>-0.83</v>
      </c>
      <c r="J251" s="13"/>
      <c r="K251" s="13"/>
      <c r="L251" s="13">
        <v>-0.5</v>
      </c>
      <c r="M251" s="13">
        <v>-0.2</v>
      </c>
      <c r="N251" s="7" t="s">
        <v>52</v>
      </c>
      <c r="O251" s="7" t="s">
        <v>52</v>
      </c>
      <c r="P251" s="9"/>
      <c r="Q251" s="9"/>
      <c r="R251" s="9">
        <v>7297.6</v>
      </c>
      <c r="S251" s="7" t="s">
        <v>54</v>
      </c>
      <c r="T251" s="7" t="b">
        <v>0</v>
      </c>
      <c r="U251" s="7" t="s">
        <v>56</v>
      </c>
      <c r="V251" s="27" t="s">
        <v>57</v>
      </c>
      <c r="W251" s="7" t="s">
        <v>2293</v>
      </c>
    </row>
    <row r="252">
      <c r="A252" s="7" t="s">
        <v>2294</v>
      </c>
      <c r="B252" s="7" t="s">
        <v>2295</v>
      </c>
      <c r="C252" s="7" t="s">
        <v>2296</v>
      </c>
      <c r="D252" s="7" t="s">
        <v>513</v>
      </c>
      <c r="E252" s="9"/>
      <c r="F252" s="11">
        <v>13.66731</v>
      </c>
      <c r="G252" s="11">
        <v>100.40662</v>
      </c>
      <c r="H252" s="7" t="s">
        <v>93</v>
      </c>
      <c r="I252" s="13">
        <v>0.48</v>
      </c>
      <c r="J252" s="13"/>
      <c r="K252" s="13"/>
      <c r="L252" s="13">
        <v>0.6</v>
      </c>
      <c r="M252" s="13">
        <v>0.7</v>
      </c>
      <c r="N252" s="7" t="s">
        <v>52</v>
      </c>
      <c r="O252" s="7" t="s">
        <v>52</v>
      </c>
      <c r="P252" s="9"/>
      <c r="Q252" s="9"/>
      <c r="R252" s="9">
        <v>7297.6</v>
      </c>
      <c r="S252" s="7" t="s">
        <v>54</v>
      </c>
      <c r="T252" s="7" t="b">
        <v>0</v>
      </c>
      <c r="U252" s="7" t="s">
        <v>56</v>
      </c>
      <c r="V252" s="27" t="s">
        <v>57</v>
      </c>
      <c r="W252" s="7" t="s">
        <v>2301</v>
      </c>
    </row>
    <row r="253">
      <c r="A253" s="7" t="s">
        <v>2303</v>
      </c>
      <c r="B253" s="7" t="s">
        <v>2304</v>
      </c>
      <c r="C253" s="7" t="s">
        <v>2305</v>
      </c>
      <c r="D253" s="7" t="s">
        <v>366</v>
      </c>
      <c r="E253" s="9"/>
      <c r="F253" s="11">
        <v>13.68886</v>
      </c>
      <c r="G253" s="11">
        <v>100.63809</v>
      </c>
      <c r="H253" s="7" t="s">
        <v>93</v>
      </c>
      <c r="I253" s="13">
        <v>0.2</v>
      </c>
      <c r="J253" s="13"/>
      <c r="K253" s="13"/>
      <c r="L253" s="13">
        <v>0.9</v>
      </c>
      <c r="M253" s="13">
        <v>0.8</v>
      </c>
      <c r="N253" s="7" t="s">
        <v>52</v>
      </c>
      <c r="O253" s="7" t="s">
        <v>52</v>
      </c>
      <c r="P253" s="9"/>
      <c r="Q253" s="9"/>
      <c r="R253" s="9">
        <v>7297.6</v>
      </c>
      <c r="S253" s="7" t="s">
        <v>54</v>
      </c>
      <c r="T253" s="7" t="b">
        <v>0</v>
      </c>
      <c r="U253" s="7" t="s">
        <v>56</v>
      </c>
      <c r="V253" s="27" t="s">
        <v>57</v>
      </c>
      <c r="W253" s="7" t="s">
        <v>2306</v>
      </c>
    </row>
    <row r="254">
      <c r="A254" s="7" t="s">
        <v>2307</v>
      </c>
      <c r="B254" s="7" t="s">
        <v>2308</v>
      </c>
      <c r="C254" s="7" t="s">
        <v>2309</v>
      </c>
      <c r="D254" s="7" t="s">
        <v>317</v>
      </c>
      <c r="E254" s="9"/>
      <c r="F254" s="11">
        <v>13.80504</v>
      </c>
      <c r="G254" s="11">
        <v>100.52867</v>
      </c>
      <c r="H254" s="7" t="s">
        <v>2310</v>
      </c>
      <c r="I254" s="13">
        <v>-0.24</v>
      </c>
      <c r="J254" s="13"/>
      <c r="K254" s="13"/>
      <c r="L254" s="13">
        <v>0.4</v>
      </c>
      <c r="M254" s="13">
        <v>0.5</v>
      </c>
      <c r="N254" s="7" t="s">
        <v>52</v>
      </c>
      <c r="O254" s="7" t="s">
        <v>52</v>
      </c>
      <c r="P254" s="9"/>
      <c r="Q254" s="9"/>
      <c r="R254" s="9">
        <v>172982.6</v>
      </c>
      <c r="S254" s="7" t="s">
        <v>54</v>
      </c>
      <c r="T254" s="7" t="b">
        <v>0</v>
      </c>
      <c r="U254" s="7" t="s">
        <v>56</v>
      </c>
      <c r="V254" s="27" t="s">
        <v>57</v>
      </c>
      <c r="W254" s="7" t="s">
        <v>2316</v>
      </c>
    </row>
    <row r="255">
      <c r="A255" s="7" t="s">
        <v>2317</v>
      </c>
      <c r="B255" s="7" t="s">
        <v>2318</v>
      </c>
      <c r="C255" s="7" t="s">
        <v>2319</v>
      </c>
      <c r="D255" s="7" t="s">
        <v>944</v>
      </c>
      <c r="E255" s="9"/>
      <c r="F255" s="11">
        <v>13.70671</v>
      </c>
      <c r="G255" s="11">
        <v>100.49647</v>
      </c>
      <c r="H255" s="7" t="s">
        <v>93</v>
      </c>
      <c r="I255" s="13">
        <v>-0.86</v>
      </c>
      <c r="J255" s="13"/>
      <c r="K255" s="13"/>
      <c r="L255" s="13">
        <v>2.6</v>
      </c>
      <c r="M255" s="13">
        <v>2.8</v>
      </c>
      <c r="N255" s="7" t="s">
        <v>52</v>
      </c>
      <c r="O255" s="7" t="s">
        <v>52</v>
      </c>
      <c r="P255" s="9"/>
      <c r="Q255" s="9"/>
      <c r="R255" s="9">
        <v>7297.6</v>
      </c>
      <c r="S255" s="7" t="s">
        <v>54</v>
      </c>
      <c r="T255" s="7" t="b">
        <v>0</v>
      </c>
      <c r="U255" s="7" t="s">
        <v>56</v>
      </c>
      <c r="V255" s="27" t="s">
        <v>57</v>
      </c>
      <c r="W255" s="7" t="s">
        <v>2321</v>
      </c>
    </row>
    <row r="256">
      <c r="A256" s="7" t="s">
        <v>2322</v>
      </c>
      <c r="B256" s="7" t="s">
        <v>2323</v>
      </c>
      <c r="C256" s="7" t="s">
        <v>2325</v>
      </c>
      <c r="D256" s="7" t="s">
        <v>44</v>
      </c>
      <c r="E256" s="9"/>
      <c r="F256" s="11">
        <v>13.72619</v>
      </c>
      <c r="G256" s="11">
        <v>100.36426</v>
      </c>
      <c r="H256" s="7" t="s">
        <v>93</v>
      </c>
      <c r="I256" s="13">
        <v>0.88</v>
      </c>
      <c r="J256" s="13"/>
      <c r="K256" s="13"/>
      <c r="L256" s="13">
        <v>0.7</v>
      </c>
      <c r="M256" s="13">
        <v>0.8</v>
      </c>
      <c r="N256" s="7" t="s">
        <v>52</v>
      </c>
      <c r="O256" s="7" t="s">
        <v>52</v>
      </c>
      <c r="P256" s="9"/>
      <c r="Q256" s="9"/>
      <c r="R256" s="9">
        <v>7297.6</v>
      </c>
      <c r="S256" s="7" t="s">
        <v>54</v>
      </c>
      <c r="T256" s="7" t="b">
        <v>0</v>
      </c>
      <c r="U256" s="7" t="s">
        <v>56</v>
      </c>
      <c r="V256" s="27" t="s">
        <v>57</v>
      </c>
      <c r="W256" s="7" t="s">
        <v>2328</v>
      </c>
    </row>
    <row r="257">
      <c r="A257" s="7" t="s">
        <v>2329</v>
      </c>
      <c r="B257" s="7" t="s">
        <v>2330</v>
      </c>
      <c r="C257" s="7" t="s">
        <v>2331</v>
      </c>
      <c r="D257" s="7" t="s">
        <v>2332</v>
      </c>
      <c r="E257" s="9"/>
      <c r="F257" s="11">
        <v>13.75287</v>
      </c>
      <c r="G257" s="11">
        <v>100.51722</v>
      </c>
      <c r="H257" s="7" t="s">
        <v>93</v>
      </c>
      <c r="I257" s="13">
        <v>-0.25</v>
      </c>
      <c r="J257" s="13"/>
      <c r="K257" s="13"/>
      <c r="L257" s="13">
        <v>0.6</v>
      </c>
      <c r="M257" s="13">
        <v>0.7</v>
      </c>
      <c r="N257" s="7" t="s">
        <v>52</v>
      </c>
      <c r="O257" s="7" t="s">
        <v>52</v>
      </c>
      <c r="P257" s="9"/>
      <c r="Q257" s="9"/>
      <c r="R257" s="9">
        <v>7297.6</v>
      </c>
      <c r="S257" s="7" t="s">
        <v>54</v>
      </c>
      <c r="T257" s="7" t="b">
        <v>0</v>
      </c>
      <c r="U257" s="7" t="s">
        <v>56</v>
      </c>
      <c r="V257" s="27" t="s">
        <v>57</v>
      </c>
      <c r="W257" s="7" t="s">
        <v>2335</v>
      </c>
    </row>
    <row r="258">
      <c r="A258" s="7" t="s">
        <v>2337</v>
      </c>
      <c r="B258" s="7" t="s">
        <v>2338</v>
      </c>
      <c r="C258" s="7" t="s">
        <v>2340</v>
      </c>
      <c r="D258" s="7" t="s">
        <v>217</v>
      </c>
      <c r="E258" s="9"/>
      <c r="F258" s="11">
        <v>13.74358</v>
      </c>
      <c r="G258" s="11">
        <v>100.45955</v>
      </c>
      <c r="H258" s="7" t="s">
        <v>93</v>
      </c>
      <c r="I258" s="13">
        <v>0.39</v>
      </c>
      <c r="J258" s="13"/>
      <c r="K258" s="13"/>
      <c r="L258" s="13">
        <v>0.6</v>
      </c>
      <c r="M258" s="13">
        <v>0.7</v>
      </c>
      <c r="N258" s="7" t="s">
        <v>52</v>
      </c>
      <c r="O258" s="7" t="s">
        <v>52</v>
      </c>
      <c r="P258" s="9"/>
      <c r="Q258" s="9"/>
      <c r="R258" s="9">
        <v>7297.6</v>
      </c>
      <c r="S258" s="7" t="s">
        <v>54</v>
      </c>
      <c r="T258" s="7" t="b">
        <v>0</v>
      </c>
      <c r="U258" s="7" t="s">
        <v>56</v>
      </c>
      <c r="V258" s="27" t="s">
        <v>57</v>
      </c>
      <c r="W258" s="7" t="s">
        <v>2341</v>
      </c>
    </row>
    <row r="259">
      <c r="A259" s="7" t="s">
        <v>2342</v>
      </c>
      <c r="B259" s="7" t="s">
        <v>2343</v>
      </c>
      <c r="C259" s="7" t="s">
        <v>2344</v>
      </c>
      <c r="D259" s="7" t="s">
        <v>115</v>
      </c>
      <c r="E259" s="9"/>
      <c r="F259" s="11">
        <v>13.76725</v>
      </c>
      <c r="G259" s="11">
        <v>100.64345</v>
      </c>
      <c r="H259" s="7" t="s">
        <v>2345</v>
      </c>
      <c r="I259" s="13">
        <v>-2.0</v>
      </c>
      <c r="J259" s="13"/>
      <c r="K259" s="13"/>
      <c r="L259" s="13">
        <v>-0.2</v>
      </c>
      <c r="M259" s="13">
        <v>0.0</v>
      </c>
      <c r="N259" s="7" t="s">
        <v>52</v>
      </c>
      <c r="O259" s="7" t="s">
        <v>52</v>
      </c>
      <c r="P259" s="9"/>
      <c r="Q259" s="9"/>
      <c r="R259" s="9">
        <v>167207.6</v>
      </c>
      <c r="S259" s="7" t="s">
        <v>54</v>
      </c>
      <c r="T259" s="7" t="b">
        <v>0</v>
      </c>
      <c r="U259" s="7" t="s">
        <v>56</v>
      </c>
      <c r="V259" s="27" t="s">
        <v>57</v>
      </c>
      <c r="W259" s="7" t="s">
        <v>2351</v>
      </c>
    </row>
    <row r="260">
      <c r="A260" s="7" t="s">
        <v>2352</v>
      </c>
      <c r="B260" s="7" t="s">
        <v>2353</v>
      </c>
      <c r="C260" s="7" t="s">
        <v>2354</v>
      </c>
      <c r="D260" s="7" t="s">
        <v>535</v>
      </c>
      <c r="E260" s="9"/>
      <c r="F260" s="11">
        <v>13.78277</v>
      </c>
      <c r="G260" s="11">
        <v>100.44432</v>
      </c>
      <c r="H260" s="7" t="s">
        <v>93</v>
      </c>
      <c r="I260" s="13">
        <v>-0.5</v>
      </c>
      <c r="J260" s="13"/>
      <c r="K260" s="13"/>
      <c r="L260" s="13">
        <v>1.65</v>
      </c>
      <c r="M260" s="13">
        <v>1.85</v>
      </c>
      <c r="N260" s="7" t="s">
        <v>52</v>
      </c>
      <c r="O260" s="7" t="s">
        <v>52</v>
      </c>
      <c r="P260" s="9"/>
      <c r="Q260" s="9"/>
      <c r="R260" s="9">
        <v>7297.6</v>
      </c>
      <c r="S260" s="7" t="s">
        <v>54</v>
      </c>
      <c r="T260" s="7" t="b">
        <v>0</v>
      </c>
      <c r="U260" s="7" t="s">
        <v>56</v>
      </c>
      <c r="V260" s="27" t="s">
        <v>57</v>
      </c>
      <c r="W260" s="7" t="s">
        <v>2358</v>
      </c>
    </row>
    <row r="261">
      <c r="A261" s="7" t="s">
        <v>2360</v>
      </c>
      <c r="B261" s="7" t="s">
        <v>2361</v>
      </c>
      <c r="C261" s="7" t="s">
        <v>2363</v>
      </c>
      <c r="D261" s="7" t="s">
        <v>217</v>
      </c>
      <c r="E261" s="9"/>
      <c r="F261" s="11">
        <v>13.71167</v>
      </c>
      <c r="G261" s="11">
        <v>100.43889</v>
      </c>
      <c r="H261" s="7" t="s">
        <v>93</v>
      </c>
      <c r="I261" s="13">
        <v>0.39</v>
      </c>
      <c r="J261" s="13"/>
      <c r="K261" s="13"/>
      <c r="L261" s="13">
        <v>0.7</v>
      </c>
      <c r="M261" s="13">
        <v>0.8</v>
      </c>
      <c r="N261" s="7" t="s">
        <v>52</v>
      </c>
      <c r="O261" s="7" t="s">
        <v>52</v>
      </c>
      <c r="P261" s="9"/>
      <c r="Q261" s="9"/>
      <c r="R261" s="9">
        <v>7297.6</v>
      </c>
      <c r="S261" s="7" t="s">
        <v>54</v>
      </c>
      <c r="T261" s="7" t="b">
        <v>0</v>
      </c>
      <c r="U261" s="7" t="s">
        <v>56</v>
      </c>
      <c r="V261" s="27" t="s">
        <v>57</v>
      </c>
      <c r="W261" s="7" t="s">
        <v>2366</v>
      </c>
    </row>
    <row r="262">
      <c r="A262" s="7" t="s">
        <v>2367</v>
      </c>
      <c r="B262" s="7" t="s">
        <v>2368</v>
      </c>
      <c r="C262" s="7" t="s">
        <v>2369</v>
      </c>
      <c r="D262" s="7" t="s">
        <v>899</v>
      </c>
      <c r="E262" s="9"/>
      <c r="F262" s="11">
        <v>13.81303</v>
      </c>
      <c r="G262" s="11">
        <v>100.93742</v>
      </c>
      <c r="H262" s="7" t="s">
        <v>93</v>
      </c>
      <c r="I262" s="13">
        <v>1.09</v>
      </c>
      <c r="J262" s="13"/>
      <c r="K262" s="13"/>
      <c r="L262" s="13">
        <v>1.0</v>
      </c>
      <c r="M262" s="13">
        <v>1.1</v>
      </c>
      <c r="N262" s="7" t="s">
        <v>52</v>
      </c>
      <c r="O262" s="7" t="s">
        <v>52</v>
      </c>
      <c r="P262" s="9"/>
      <c r="Q262" s="9"/>
      <c r="R262" s="9">
        <v>7297.6</v>
      </c>
      <c r="S262" s="7" t="s">
        <v>54</v>
      </c>
      <c r="T262" s="7" t="b">
        <v>0</v>
      </c>
      <c r="U262" s="7" t="s">
        <v>56</v>
      </c>
      <c r="V262" s="27" t="s">
        <v>57</v>
      </c>
      <c r="W262" s="7" t="s">
        <v>2374</v>
      </c>
    </row>
    <row r="263">
      <c r="A263" s="7" t="s">
        <v>2375</v>
      </c>
      <c r="B263" s="7" t="s">
        <v>2376</v>
      </c>
      <c r="C263" s="7" t="s">
        <v>2377</v>
      </c>
      <c r="D263" s="7" t="s">
        <v>472</v>
      </c>
      <c r="E263" s="9"/>
      <c r="F263" s="11">
        <v>13.73776</v>
      </c>
      <c r="G263" s="11">
        <v>100.60436</v>
      </c>
      <c r="H263" s="7" t="s">
        <v>93</v>
      </c>
      <c r="I263" s="13">
        <v>0.09</v>
      </c>
      <c r="J263" s="13"/>
      <c r="K263" s="13"/>
      <c r="L263" s="13">
        <v>-0.2</v>
      </c>
      <c r="M263" s="13">
        <v>0.0</v>
      </c>
      <c r="N263" s="7" t="s">
        <v>52</v>
      </c>
      <c r="O263" s="7" t="s">
        <v>52</v>
      </c>
      <c r="P263" s="9"/>
      <c r="Q263" s="9"/>
      <c r="R263" s="9">
        <v>7297.6</v>
      </c>
      <c r="S263" s="7" t="s">
        <v>54</v>
      </c>
      <c r="T263" s="7" t="b">
        <v>0</v>
      </c>
      <c r="U263" s="7" t="s">
        <v>56</v>
      </c>
      <c r="V263" s="27" t="s">
        <v>57</v>
      </c>
      <c r="W263" s="7" t="s">
        <v>2381</v>
      </c>
    </row>
    <row r="264">
      <c r="A264" s="7" t="s">
        <v>2382</v>
      </c>
      <c r="B264" s="7" t="s">
        <v>2383</v>
      </c>
      <c r="C264" s="7" t="s">
        <v>2384</v>
      </c>
      <c r="D264" s="7" t="s">
        <v>2385</v>
      </c>
      <c r="E264" s="9"/>
      <c r="F264" s="11">
        <v>13.6952</v>
      </c>
      <c r="G264" s="11">
        <v>100.54853</v>
      </c>
      <c r="H264" s="7" t="s">
        <v>93</v>
      </c>
      <c r="I264" s="13">
        <v>-2.41</v>
      </c>
      <c r="J264" s="13"/>
      <c r="K264" s="13"/>
      <c r="L264" s="13">
        <v>2.6</v>
      </c>
      <c r="M264" s="13">
        <v>2.8</v>
      </c>
      <c r="N264" s="7" t="s">
        <v>52</v>
      </c>
      <c r="O264" s="7" t="s">
        <v>52</v>
      </c>
      <c r="P264" s="9"/>
      <c r="Q264" s="9"/>
      <c r="R264" s="9">
        <v>7297.6</v>
      </c>
      <c r="S264" s="7" t="s">
        <v>54</v>
      </c>
      <c r="T264" s="7" t="b">
        <v>0</v>
      </c>
      <c r="U264" s="7" t="s">
        <v>56</v>
      </c>
      <c r="V264" s="27" t="s">
        <v>57</v>
      </c>
      <c r="W264" s="7" t="s">
        <v>2391</v>
      </c>
    </row>
    <row r="265">
      <c r="A265" s="7" t="s">
        <v>2392</v>
      </c>
      <c r="B265" s="7" t="s">
        <v>2393</v>
      </c>
      <c r="C265" s="7" t="s">
        <v>2394</v>
      </c>
      <c r="D265" s="7" t="s">
        <v>308</v>
      </c>
      <c r="E265" s="9"/>
      <c r="F265" s="11">
        <v>13.72975</v>
      </c>
      <c r="G265" s="11">
        <v>100.73899</v>
      </c>
      <c r="H265" s="7" t="s">
        <v>93</v>
      </c>
      <c r="I265" s="13">
        <v>0.99</v>
      </c>
      <c r="J265" s="13"/>
      <c r="K265" s="13"/>
      <c r="L265" s="13">
        <v>0.3</v>
      </c>
      <c r="M265" s="13">
        <v>0.4</v>
      </c>
      <c r="N265" s="7" t="s">
        <v>52</v>
      </c>
      <c r="O265" s="7" t="s">
        <v>52</v>
      </c>
      <c r="P265" s="9"/>
      <c r="Q265" s="9"/>
      <c r="R265" s="9">
        <v>7297.6</v>
      </c>
      <c r="S265" s="7" t="s">
        <v>54</v>
      </c>
      <c r="T265" s="7" t="b">
        <v>0</v>
      </c>
      <c r="U265" s="7" t="s">
        <v>56</v>
      </c>
      <c r="V265" s="27" t="s">
        <v>57</v>
      </c>
      <c r="W265" s="7" t="s">
        <v>2395</v>
      </c>
    </row>
    <row r="266">
      <c r="A266" s="7" t="s">
        <v>2396</v>
      </c>
      <c r="B266" s="7" t="s">
        <v>2397</v>
      </c>
      <c r="C266" s="7" t="s">
        <v>2399</v>
      </c>
      <c r="D266" s="7" t="s">
        <v>256</v>
      </c>
      <c r="E266" s="9"/>
      <c r="F266" s="11">
        <v>13.80278</v>
      </c>
      <c r="G266" s="11">
        <v>100.58458</v>
      </c>
      <c r="H266" s="7" t="s">
        <v>93</v>
      </c>
      <c r="I266" s="13">
        <v>0.42</v>
      </c>
      <c r="J266" s="13"/>
      <c r="K266" s="13"/>
      <c r="L266" s="13">
        <v>0.4</v>
      </c>
      <c r="M266" s="13">
        <v>0.6</v>
      </c>
      <c r="N266" s="7" t="s">
        <v>52</v>
      </c>
      <c r="O266" s="7" t="s">
        <v>52</v>
      </c>
      <c r="P266" s="9"/>
      <c r="Q266" s="9"/>
      <c r="R266" s="9">
        <v>7297.6</v>
      </c>
      <c r="S266" s="7" t="s">
        <v>54</v>
      </c>
      <c r="T266" s="7" t="b">
        <v>0</v>
      </c>
      <c r="U266" s="7" t="s">
        <v>56</v>
      </c>
      <c r="V266" s="27" t="s">
        <v>57</v>
      </c>
      <c r="W266" s="7" t="s">
        <v>2404</v>
      </c>
    </row>
    <row r="267">
      <c r="A267" s="7" t="s">
        <v>2405</v>
      </c>
      <c r="B267" s="7" t="s">
        <v>2406</v>
      </c>
      <c r="C267" s="7" t="s">
        <v>2407</v>
      </c>
      <c r="D267" s="7" t="s">
        <v>341</v>
      </c>
      <c r="E267" s="9"/>
      <c r="F267" s="11">
        <v>13.68202</v>
      </c>
      <c r="G267" s="11">
        <v>100.60746</v>
      </c>
      <c r="H267" s="7" t="s">
        <v>93</v>
      </c>
      <c r="I267" s="13">
        <v>-1.89</v>
      </c>
      <c r="J267" s="13"/>
      <c r="K267" s="13"/>
      <c r="L267" s="13">
        <v>-0.3</v>
      </c>
      <c r="M267" s="13">
        <v>-0.1</v>
      </c>
      <c r="N267" s="7" t="s">
        <v>52</v>
      </c>
      <c r="O267" s="7" t="s">
        <v>52</v>
      </c>
      <c r="P267" s="9"/>
      <c r="Q267" s="9"/>
      <c r="R267" s="9">
        <v>7297.6</v>
      </c>
      <c r="S267" s="7" t="s">
        <v>54</v>
      </c>
      <c r="T267" s="7" t="b">
        <v>0</v>
      </c>
      <c r="U267" s="7" t="s">
        <v>56</v>
      </c>
      <c r="V267" s="27" t="s">
        <v>57</v>
      </c>
      <c r="W267" s="7" t="s">
        <v>2408</v>
      </c>
    </row>
    <row r="268">
      <c r="A268" s="7" t="s">
        <v>2409</v>
      </c>
      <c r="B268" s="7" t="s">
        <v>2410</v>
      </c>
      <c r="C268" s="7" t="s">
        <v>2411</v>
      </c>
      <c r="D268" s="7" t="s">
        <v>115</v>
      </c>
      <c r="E268" s="9"/>
      <c r="F268" s="11">
        <v>13.76509</v>
      </c>
      <c r="G268" s="11">
        <v>100.64791</v>
      </c>
      <c r="H268" s="7" t="s">
        <v>93</v>
      </c>
      <c r="I268" s="13">
        <v>0.4</v>
      </c>
      <c r="J268" s="13"/>
      <c r="K268" s="13"/>
      <c r="L268" s="13">
        <v>0.35</v>
      </c>
      <c r="M268" s="13">
        <v>0.45</v>
      </c>
      <c r="N268" s="7" t="s">
        <v>52</v>
      </c>
      <c r="O268" s="7" t="s">
        <v>52</v>
      </c>
      <c r="P268" s="9"/>
      <c r="Q268" s="9"/>
      <c r="R268" s="9">
        <v>7297.6</v>
      </c>
      <c r="S268" s="7" t="s">
        <v>54</v>
      </c>
      <c r="T268" s="7" t="b">
        <v>0</v>
      </c>
      <c r="U268" s="7" t="s">
        <v>56</v>
      </c>
      <c r="V268" s="27" t="s">
        <v>57</v>
      </c>
      <c r="W268" s="7" t="s">
        <v>2417</v>
      </c>
    </row>
    <row r="269">
      <c r="A269" s="7" t="s">
        <v>2418</v>
      </c>
      <c r="B269" s="7" t="s">
        <v>2419</v>
      </c>
      <c r="C269" s="7" t="s">
        <v>2420</v>
      </c>
      <c r="D269" s="7" t="s">
        <v>602</v>
      </c>
      <c r="E269" s="9"/>
      <c r="F269" s="11">
        <v>13.678</v>
      </c>
      <c r="G269" s="11">
        <v>100.66295</v>
      </c>
      <c r="H269" s="7" t="s">
        <v>93</v>
      </c>
      <c r="I269" s="13">
        <v>0.25</v>
      </c>
      <c r="J269" s="13"/>
      <c r="K269" s="13"/>
      <c r="L269" s="13">
        <v>0.0</v>
      </c>
      <c r="M269" s="13">
        <v>0.1</v>
      </c>
      <c r="N269" s="7" t="s">
        <v>52</v>
      </c>
      <c r="O269" s="7" t="s">
        <v>52</v>
      </c>
      <c r="P269" s="9"/>
      <c r="Q269" s="9"/>
      <c r="R269" s="9">
        <v>7297.6</v>
      </c>
      <c r="S269" s="7" t="s">
        <v>54</v>
      </c>
      <c r="T269" s="7" t="b">
        <v>0</v>
      </c>
      <c r="U269" s="7" t="s">
        <v>56</v>
      </c>
      <c r="V269" s="27" t="s">
        <v>57</v>
      </c>
      <c r="W269" s="7" t="s">
        <v>2424</v>
      </c>
    </row>
    <row r="270">
      <c r="A270" s="7" t="s">
        <v>2426</v>
      </c>
      <c r="B270" s="7" t="s">
        <v>2429</v>
      </c>
      <c r="C270" s="7" t="s">
        <v>2430</v>
      </c>
      <c r="D270" s="7" t="s">
        <v>317</v>
      </c>
      <c r="E270" s="9"/>
      <c r="F270" s="11">
        <v>13.84933</v>
      </c>
      <c r="G270" s="11">
        <v>100.54268</v>
      </c>
      <c r="H270" s="7" t="s">
        <v>93</v>
      </c>
      <c r="I270" s="13">
        <v>0.89</v>
      </c>
      <c r="J270" s="13"/>
      <c r="K270" s="13"/>
      <c r="L270" s="13">
        <v>0.5</v>
      </c>
      <c r="M270" s="13">
        <v>0.7</v>
      </c>
      <c r="N270" s="7" t="s">
        <v>52</v>
      </c>
      <c r="O270" s="7" t="s">
        <v>52</v>
      </c>
      <c r="P270" s="9"/>
      <c r="Q270" s="9"/>
      <c r="R270" s="9">
        <v>7297.6</v>
      </c>
      <c r="S270" s="7" t="s">
        <v>54</v>
      </c>
      <c r="T270" s="7" t="b">
        <v>0</v>
      </c>
      <c r="U270" s="7" t="s">
        <v>56</v>
      </c>
      <c r="V270" s="27" t="s">
        <v>57</v>
      </c>
      <c r="W270" s="7" t="s">
        <v>2433</v>
      </c>
    </row>
    <row r="271">
      <c r="A271" s="7" t="s">
        <v>2434</v>
      </c>
      <c r="B271" s="7" t="s">
        <v>2435</v>
      </c>
      <c r="C271" s="7" t="s">
        <v>2436</v>
      </c>
      <c r="D271" s="7" t="s">
        <v>413</v>
      </c>
      <c r="E271" s="9"/>
      <c r="F271" s="11">
        <v>13.75957</v>
      </c>
      <c r="G271" s="11">
        <v>100.55618</v>
      </c>
      <c r="H271" s="7" t="s">
        <v>93</v>
      </c>
      <c r="I271" s="13">
        <v>-1.03</v>
      </c>
      <c r="J271" s="13"/>
      <c r="K271" s="13"/>
      <c r="L271" s="13">
        <v>0.0</v>
      </c>
      <c r="M271" s="13">
        <v>0.1</v>
      </c>
      <c r="N271" s="7" t="s">
        <v>52</v>
      </c>
      <c r="O271" s="7" t="s">
        <v>52</v>
      </c>
      <c r="P271" s="9"/>
      <c r="Q271" s="9"/>
      <c r="R271" s="9">
        <v>7297.6</v>
      </c>
      <c r="S271" s="7" t="s">
        <v>54</v>
      </c>
      <c r="T271" s="7" t="b">
        <v>0</v>
      </c>
      <c r="U271" s="7" t="s">
        <v>56</v>
      </c>
      <c r="V271" s="27" t="s">
        <v>57</v>
      </c>
      <c r="W271" s="7" t="s">
        <v>2440</v>
      </c>
    </row>
    <row r="272">
      <c r="A272" s="7" t="s">
        <v>2442</v>
      </c>
      <c r="B272" s="7" t="s">
        <v>2443</v>
      </c>
      <c r="C272" s="7" t="s">
        <v>2445</v>
      </c>
      <c r="D272" s="7" t="s">
        <v>341</v>
      </c>
      <c r="E272" s="9"/>
      <c r="F272" s="11">
        <v>13.66948</v>
      </c>
      <c r="G272" s="11">
        <v>100.60535</v>
      </c>
      <c r="H272" s="7" t="s">
        <v>93</v>
      </c>
      <c r="I272" s="13">
        <v>-0.43</v>
      </c>
      <c r="J272" s="13"/>
      <c r="K272" s="13"/>
      <c r="L272" s="13">
        <v>0.5</v>
      </c>
      <c r="M272" s="13">
        <v>0.7</v>
      </c>
      <c r="N272" s="7" t="s">
        <v>52</v>
      </c>
      <c r="O272" s="7" t="s">
        <v>52</v>
      </c>
      <c r="P272" s="9"/>
      <c r="Q272" s="9"/>
      <c r="R272" s="9">
        <v>7297.6</v>
      </c>
      <c r="S272" s="7" t="s">
        <v>54</v>
      </c>
      <c r="T272" s="7" t="b">
        <v>0</v>
      </c>
      <c r="U272" s="7" t="s">
        <v>56</v>
      </c>
      <c r="V272" s="27" t="s">
        <v>57</v>
      </c>
      <c r="W272" s="7" t="s">
        <v>2449</v>
      </c>
    </row>
    <row r="273">
      <c r="A273" s="7" t="s">
        <v>2450</v>
      </c>
      <c r="B273" s="7" t="s">
        <v>2451</v>
      </c>
      <c r="C273" s="7" t="s">
        <v>2452</v>
      </c>
      <c r="D273" s="7" t="s">
        <v>172</v>
      </c>
      <c r="E273" s="9"/>
      <c r="F273" s="11">
        <v>13.80187</v>
      </c>
      <c r="G273" s="11">
        <v>100.39432</v>
      </c>
      <c r="H273" s="7" t="s">
        <v>93</v>
      </c>
      <c r="I273" s="13">
        <v>-1.65</v>
      </c>
      <c r="J273" s="13"/>
      <c r="K273" s="13"/>
      <c r="L273" s="13">
        <v>1.8</v>
      </c>
      <c r="M273" s="13">
        <v>2.0</v>
      </c>
      <c r="N273" s="7" t="s">
        <v>52</v>
      </c>
      <c r="O273" s="7" t="s">
        <v>52</v>
      </c>
      <c r="P273" s="9"/>
      <c r="Q273" s="9"/>
      <c r="R273" s="9">
        <v>7297.6</v>
      </c>
      <c r="S273" s="7" t="s">
        <v>54</v>
      </c>
      <c r="T273" s="7" t="b">
        <v>0</v>
      </c>
      <c r="U273" s="7" t="s">
        <v>56</v>
      </c>
      <c r="V273" s="27" t="s">
        <v>57</v>
      </c>
      <c r="W273" s="7" t="s">
        <v>2457</v>
      </c>
    </row>
    <row r="274">
      <c r="A274" s="7" t="s">
        <v>2458</v>
      </c>
      <c r="B274" s="7" t="s">
        <v>2459</v>
      </c>
      <c r="C274" s="7" t="s">
        <v>2460</v>
      </c>
      <c r="D274" s="7" t="s">
        <v>266</v>
      </c>
      <c r="E274" s="9"/>
      <c r="F274" s="11">
        <v>13.83374</v>
      </c>
      <c r="G274" s="11">
        <v>100.52207</v>
      </c>
      <c r="H274" s="7" t="s">
        <v>93</v>
      </c>
      <c r="I274" s="13">
        <v>0.24</v>
      </c>
      <c r="J274" s="13"/>
      <c r="K274" s="13"/>
      <c r="L274" s="13">
        <v>0.7</v>
      </c>
      <c r="M274" s="13">
        <v>0.9</v>
      </c>
      <c r="N274" s="7" t="s">
        <v>52</v>
      </c>
      <c r="O274" s="7" t="s">
        <v>52</v>
      </c>
      <c r="P274" s="9"/>
      <c r="Q274" s="9"/>
      <c r="R274" s="9">
        <v>7297.6</v>
      </c>
      <c r="S274" s="7" t="s">
        <v>54</v>
      </c>
      <c r="T274" s="7" t="b">
        <v>0</v>
      </c>
      <c r="U274" s="7" t="s">
        <v>56</v>
      </c>
      <c r="V274" s="27" t="s">
        <v>57</v>
      </c>
      <c r="W274" s="7" t="s">
        <v>2461</v>
      </c>
    </row>
    <row r="275">
      <c r="A275" s="7" t="s">
        <v>2463</v>
      </c>
      <c r="B275" s="7" t="s">
        <v>2464</v>
      </c>
      <c r="C275" s="7" t="s">
        <v>2465</v>
      </c>
      <c r="D275" s="7" t="s">
        <v>256</v>
      </c>
      <c r="E275" s="9"/>
      <c r="F275" s="11">
        <v>13.76755</v>
      </c>
      <c r="G275" s="11">
        <v>100.57674</v>
      </c>
      <c r="H275" s="7" t="s">
        <v>93</v>
      </c>
      <c r="I275" s="13">
        <v>-0.24</v>
      </c>
      <c r="J275" s="13"/>
      <c r="K275" s="13"/>
      <c r="L275" s="13">
        <v>0.1</v>
      </c>
      <c r="M275" s="13">
        <v>0.3</v>
      </c>
      <c r="N275" s="7" t="s">
        <v>52</v>
      </c>
      <c r="O275" s="7" t="s">
        <v>52</v>
      </c>
      <c r="P275" s="9"/>
      <c r="Q275" s="9"/>
      <c r="R275" s="9">
        <v>7297.6</v>
      </c>
      <c r="S275" s="7" t="s">
        <v>54</v>
      </c>
      <c r="T275" s="7" t="b">
        <v>0</v>
      </c>
      <c r="U275" s="7" t="s">
        <v>56</v>
      </c>
      <c r="V275" s="27" t="s">
        <v>57</v>
      </c>
      <c r="W275" s="7" t="s">
        <v>2469</v>
      </c>
    </row>
    <row r="276">
      <c r="A276" s="7" t="s">
        <v>2470</v>
      </c>
      <c r="B276" s="7" t="s">
        <v>2471</v>
      </c>
      <c r="C276" s="7" t="s">
        <v>2472</v>
      </c>
      <c r="D276" s="7" t="s">
        <v>341</v>
      </c>
      <c r="E276" s="9"/>
      <c r="F276" s="11">
        <v>13.66749</v>
      </c>
      <c r="G276" s="11">
        <v>100.63337</v>
      </c>
      <c r="H276" s="7" t="s">
        <v>93</v>
      </c>
      <c r="I276" s="13">
        <v>-0.2</v>
      </c>
      <c r="J276" s="13"/>
      <c r="K276" s="13"/>
      <c r="L276" s="13">
        <v>-0.4</v>
      </c>
      <c r="M276" s="13">
        <v>-0.2</v>
      </c>
      <c r="N276" s="7" t="s">
        <v>52</v>
      </c>
      <c r="O276" s="7" t="s">
        <v>52</v>
      </c>
      <c r="P276" s="9"/>
      <c r="Q276" s="9"/>
      <c r="R276" s="9">
        <v>7297.6</v>
      </c>
      <c r="S276" s="7" t="s">
        <v>54</v>
      </c>
      <c r="T276" s="7" t="b">
        <v>0</v>
      </c>
      <c r="U276" s="7" t="s">
        <v>56</v>
      </c>
      <c r="V276" s="27" t="s">
        <v>57</v>
      </c>
      <c r="W276" s="7" t="s">
        <v>2477</v>
      </c>
    </row>
    <row r="277">
      <c r="A277" s="7" t="s">
        <v>2478</v>
      </c>
      <c r="B277" s="7" t="s">
        <v>2479</v>
      </c>
      <c r="C277" s="7" t="s">
        <v>2480</v>
      </c>
      <c r="D277" s="7" t="s">
        <v>217</v>
      </c>
      <c r="E277" s="9"/>
      <c r="F277" s="11">
        <v>13.73823</v>
      </c>
      <c r="G277" s="11">
        <v>100.45901</v>
      </c>
      <c r="H277" s="7" t="s">
        <v>93</v>
      </c>
      <c r="I277" s="13">
        <v>0.35</v>
      </c>
      <c r="J277" s="13"/>
      <c r="K277" s="13"/>
      <c r="L277" s="13">
        <v>0.6</v>
      </c>
      <c r="M277" s="13">
        <v>0.7</v>
      </c>
      <c r="N277" s="7" t="s">
        <v>52</v>
      </c>
      <c r="O277" s="7" t="s">
        <v>52</v>
      </c>
      <c r="P277" s="9"/>
      <c r="Q277" s="9"/>
      <c r="R277" s="9">
        <v>7297.6</v>
      </c>
      <c r="S277" s="7" t="s">
        <v>54</v>
      </c>
      <c r="T277" s="7" t="b">
        <v>0</v>
      </c>
      <c r="U277" s="7" t="s">
        <v>56</v>
      </c>
      <c r="V277" s="27" t="s">
        <v>57</v>
      </c>
      <c r="W277" s="7" t="s">
        <v>2481</v>
      </c>
    </row>
    <row r="278">
      <c r="A278" s="7" t="s">
        <v>2482</v>
      </c>
      <c r="B278" s="7" t="s">
        <v>2483</v>
      </c>
      <c r="C278" s="7" t="s">
        <v>2484</v>
      </c>
      <c r="D278" s="7" t="s">
        <v>274</v>
      </c>
      <c r="E278" s="9"/>
      <c r="F278" s="11">
        <v>13.84162</v>
      </c>
      <c r="G278" s="11">
        <v>100.55997</v>
      </c>
      <c r="H278" s="7" t="s">
        <v>93</v>
      </c>
      <c r="I278" s="13">
        <v>-0.92</v>
      </c>
      <c r="J278" s="13"/>
      <c r="K278" s="13"/>
      <c r="L278" s="13">
        <v>0.2</v>
      </c>
      <c r="M278" s="13">
        <v>0.3</v>
      </c>
      <c r="N278" s="7" t="s">
        <v>52</v>
      </c>
      <c r="O278" s="7" t="s">
        <v>52</v>
      </c>
      <c r="P278" s="9"/>
      <c r="Q278" s="9"/>
      <c r="R278" s="9">
        <v>7297.6</v>
      </c>
      <c r="S278" s="7" t="s">
        <v>54</v>
      </c>
      <c r="T278" s="7" t="b">
        <v>0</v>
      </c>
      <c r="U278" s="7" t="s">
        <v>56</v>
      </c>
      <c r="V278" s="27" t="s">
        <v>57</v>
      </c>
      <c r="W278" s="7" t="s">
        <v>2492</v>
      </c>
    </row>
    <row r="279">
      <c r="A279" s="7" t="s">
        <v>2493</v>
      </c>
      <c r="B279" s="7" t="s">
        <v>2494</v>
      </c>
      <c r="C279" s="7" t="s">
        <v>2495</v>
      </c>
      <c r="D279" s="7" t="s">
        <v>256</v>
      </c>
      <c r="E279" s="9"/>
      <c r="F279" s="11">
        <v>13.76217</v>
      </c>
      <c r="G279" s="11">
        <v>100.58648</v>
      </c>
      <c r="H279" s="7" t="s">
        <v>93</v>
      </c>
      <c r="I279" s="13">
        <v>-0.13</v>
      </c>
      <c r="J279" s="13"/>
      <c r="K279" s="13"/>
      <c r="L279" s="13">
        <v>0.0</v>
      </c>
      <c r="M279" s="13">
        <v>0.1</v>
      </c>
      <c r="N279" s="7" t="s">
        <v>52</v>
      </c>
      <c r="O279" s="7" t="s">
        <v>52</v>
      </c>
      <c r="P279" s="9"/>
      <c r="Q279" s="9"/>
      <c r="R279" s="9">
        <v>7297.6</v>
      </c>
      <c r="S279" s="7" t="s">
        <v>54</v>
      </c>
      <c r="T279" s="7" t="b">
        <v>0</v>
      </c>
      <c r="U279" s="7" t="s">
        <v>56</v>
      </c>
      <c r="V279" s="27" t="s">
        <v>57</v>
      </c>
      <c r="W279" s="7" t="s">
        <v>2496</v>
      </c>
    </row>
    <row r="280">
      <c r="A280" s="7" t="s">
        <v>2497</v>
      </c>
      <c r="B280" s="7" t="s">
        <v>2498</v>
      </c>
      <c r="C280" s="7" t="s">
        <v>2499</v>
      </c>
      <c r="D280" s="7" t="s">
        <v>2500</v>
      </c>
      <c r="E280" s="9"/>
      <c r="F280" s="11">
        <v>13.77927</v>
      </c>
      <c r="G280" s="11">
        <v>100.47591</v>
      </c>
      <c r="H280" s="7" t="s">
        <v>93</v>
      </c>
      <c r="I280" s="13">
        <v>-0.38</v>
      </c>
      <c r="J280" s="13"/>
      <c r="K280" s="13"/>
      <c r="L280" s="13">
        <v>0.6</v>
      </c>
      <c r="M280" s="13">
        <v>0.7</v>
      </c>
      <c r="N280" s="7" t="s">
        <v>52</v>
      </c>
      <c r="O280" s="7" t="s">
        <v>52</v>
      </c>
      <c r="P280" s="9"/>
      <c r="Q280" s="9"/>
      <c r="R280" s="9">
        <v>7297.6</v>
      </c>
      <c r="S280" s="7" t="s">
        <v>54</v>
      </c>
      <c r="T280" s="7" t="b">
        <v>0</v>
      </c>
      <c r="U280" s="7" t="s">
        <v>56</v>
      </c>
      <c r="V280" s="27" t="s">
        <v>57</v>
      </c>
      <c r="W280" s="7" t="s">
        <v>2507</v>
      </c>
    </row>
    <row r="281">
      <c r="A281" s="7" t="s">
        <v>2508</v>
      </c>
      <c r="B281" s="7" t="s">
        <v>2509</v>
      </c>
      <c r="C281" s="7" t="s">
        <v>2510</v>
      </c>
      <c r="D281" s="7" t="s">
        <v>274</v>
      </c>
      <c r="E281" s="9"/>
      <c r="F281" s="11">
        <v>13.85806</v>
      </c>
      <c r="G281" s="11">
        <v>100.58656</v>
      </c>
      <c r="H281" s="7" t="s">
        <v>93</v>
      </c>
      <c r="I281" s="13">
        <v>1.47</v>
      </c>
      <c r="J281" s="13"/>
      <c r="K281" s="13"/>
      <c r="L281" s="13">
        <v>0.7</v>
      </c>
      <c r="M281" s="13">
        <v>0.8</v>
      </c>
      <c r="N281" s="7" t="s">
        <v>52</v>
      </c>
      <c r="O281" s="7" t="s">
        <v>52</v>
      </c>
      <c r="P281" s="9"/>
      <c r="Q281" s="9"/>
      <c r="R281" s="9">
        <v>7297.6</v>
      </c>
      <c r="S281" s="7" t="s">
        <v>54</v>
      </c>
      <c r="T281" s="7" t="b">
        <v>0</v>
      </c>
      <c r="U281" s="7" t="s">
        <v>56</v>
      </c>
      <c r="V281" s="27" t="s">
        <v>57</v>
      </c>
      <c r="W281" s="7" t="s">
        <v>2512</v>
      </c>
    </row>
    <row r="282">
      <c r="A282" s="7" t="s">
        <v>2513</v>
      </c>
      <c r="B282" s="7" t="s">
        <v>2515</v>
      </c>
      <c r="C282" s="7" t="s">
        <v>2516</v>
      </c>
      <c r="D282" s="7" t="s">
        <v>1588</v>
      </c>
      <c r="E282" s="9"/>
      <c r="F282" s="11">
        <v>13.77571</v>
      </c>
      <c r="G282" s="11">
        <v>100.48371</v>
      </c>
      <c r="H282" s="7" t="s">
        <v>93</v>
      </c>
      <c r="I282" s="13">
        <v>-0.39</v>
      </c>
      <c r="J282" s="13"/>
      <c r="K282" s="13"/>
      <c r="L282" s="13">
        <v>0.6</v>
      </c>
      <c r="M282" s="13">
        <v>0.7</v>
      </c>
      <c r="N282" s="7" t="s">
        <v>52</v>
      </c>
      <c r="O282" s="7" t="s">
        <v>52</v>
      </c>
      <c r="P282" s="9"/>
      <c r="Q282" s="9"/>
      <c r="R282" s="9">
        <v>7297.6</v>
      </c>
      <c r="S282" s="7" t="s">
        <v>54</v>
      </c>
      <c r="T282" s="7" t="b">
        <v>0</v>
      </c>
      <c r="U282" s="7" t="s">
        <v>56</v>
      </c>
      <c r="V282" s="27" t="s">
        <v>57</v>
      </c>
      <c r="W282" s="7" t="s">
        <v>2521</v>
      </c>
    </row>
    <row r="283">
      <c r="A283" s="7" t="s">
        <v>2522</v>
      </c>
      <c r="B283" s="7" t="s">
        <v>2523</v>
      </c>
      <c r="C283" s="7" t="s">
        <v>2524</v>
      </c>
      <c r="D283" s="7" t="s">
        <v>472</v>
      </c>
      <c r="E283" s="9"/>
      <c r="F283" s="11">
        <v>13.74019</v>
      </c>
      <c r="G283" s="11">
        <v>100.58037</v>
      </c>
      <c r="H283" s="7" t="s">
        <v>93</v>
      </c>
      <c r="I283" s="13">
        <v>-1.76</v>
      </c>
      <c r="J283" s="13"/>
      <c r="K283" s="13"/>
      <c r="L283" s="13">
        <v>-0.2</v>
      </c>
      <c r="M283" s="13">
        <v>0.0</v>
      </c>
      <c r="N283" s="7" t="s">
        <v>52</v>
      </c>
      <c r="O283" s="7" t="s">
        <v>52</v>
      </c>
      <c r="P283" s="9"/>
      <c r="Q283" s="9"/>
      <c r="R283" s="9">
        <v>7297.6</v>
      </c>
      <c r="S283" s="7" t="s">
        <v>54</v>
      </c>
      <c r="T283" s="7" t="b">
        <v>0</v>
      </c>
      <c r="U283" s="7" t="s">
        <v>56</v>
      </c>
      <c r="V283" s="27" t="s">
        <v>57</v>
      </c>
      <c r="W283" s="7" t="s">
        <v>2529</v>
      </c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</row>
  </sheetData>
  <hyperlinks>
    <hyperlink r:id="rId2" ref="V2"/>
    <hyperlink r:id="rId3" ref="V3"/>
    <hyperlink r:id="rId4" ref="V4"/>
    <hyperlink r:id="rId5" ref="V5"/>
    <hyperlink r:id="rId6" ref="V6"/>
    <hyperlink r:id="rId7" ref="V7"/>
    <hyperlink r:id="rId8" ref="V8"/>
    <hyperlink r:id="rId9" ref="V9"/>
    <hyperlink r:id="rId10" ref="V10"/>
    <hyperlink r:id="rId11" ref="V11"/>
    <hyperlink r:id="rId12" ref="V12"/>
    <hyperlink r:id="rId13" ref="V13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7"/>
    <hyperlink r:id="rId58" ref="V58"/>
    <hyperlink r:id="rId59" ref="V59"/>
    <hyperlink r:id="rId60" ref="V60"/>
    <hyperlink r:id="rId61" ref="V61"/>
    <hyperlink r:id="rId62" ref="V62"/>
    <hyperlink r:id="rId63" ref="V63"/>
    <hyperlink r:id="rId64" ref="V64"/>
    <hyperlink r:id="rId65" ref="V65"/>
    <hyperlink r:id="rId66" ref="V66"/>
    <hyperlink r:id="rId67" ref="V67"/>
    <hyperlink r:id="rId68" ref="V68"/>
    <hyperlink r:id="rId69" ref="V69"/>
    <hyperlink r:id="rId70" ref="V70"/>
    <hyperlink r:id="rId71" ref="V71"/>
    <hyperlink r:id="rId72" ref="V72"/>
    <hyperlink r:id="rId73" ref="V73"/>
    <hyperlink r:id="rId74" ref="V74"/>
    <hyperlink r:id="rId75" ref="V75"/>
    <hyperlink r:id="rId76" ref="V76"/>
    <hyperlink r:id="rId77" ref="V77"/>
    <hyperlink r:id="rId78" ref="V78"/>
    <hyperlink r:id="rId79" ref="V79"/>
    <hyperlink r:id="rId80" ref="V80"/>
    <hyperlink r:id="rId81" ref="V81"/>
    <hyperlink r:id="rId82" ref="V82"/>
    <hyperlink r:id="rId83" ref="V83"/>
    <hyperlink r:id="rId84" ref="V84"/>
    <hyperlink r:id="rId85" ref="V85"/>
    <hyperlink r:id="rId86" ref="V86"/>
    <hyperlink r:id="rId87" ref="V87"/>
    <hyperlink r:id="rId88" ref="V88"/>
    <hyperlink r:id="rId89" ref="V89"/>
    <hyperlink r:id="rId90" ref="V90"/>
    <hyperlink r:id="rId91" ref="V91"/>
    <hyperlink r:id="rId92" ref="V92"/>
    <hyperlink r:id="rId93" ref="V93"/>
    <hyperlink r:id="rId94" ref="V94"/>
    <hyperlink r:id="rId95" ref="V95"/>
    <hyperlink r:id="rId96" ref="V96"/>
    <hyperlink r:id="rId97" ref="V97"/>
    <hyperlink r:id="rId98" ref="V98"/>
    <hyperlink r:id="rId99" ref="V99"/>
    <hyperlink r:id="rId100" ref="V100"/>
    <hyperlink r:id="rId101" ref="V101"/>
    <hyperlink r:id="rId102" ref="V102"/>
    <hyperlink r:id="rId103" ref="V103"/>
    <hyperlink r:id="rId104" ref="V104"/>
    <hyperlink r:id="rId105" ref="V105"/>
    <hyperlink r:id="rId106" ref="V106"/>
    <hyperlink r:id="rId107" ref="V107"/>
    <hyperlink r:id="rId108" ref="V108"/>
    <hyperlink r:id="rId109" ref="V109"/>
    <hyperlink r:id="rId110" ref="V110"/>
    <hyperlink r:id="rId111" ref="V111"/>
    <hyperlink r:id="rId112" ref="V112"/>
    <hyperlink r:id="rId113" ref="V113"/>
    <hyperlink r:id="rId114" ref="V114"/>
    <hyperlink r:id="rId115" ref="V115"/>
    <hyperlink r:id="rId116" ref="V116"/>
    <hyperlink r:id="rId117" ref="V117"/>
    <hyperlink r:id="rId118" ref="V118"/>
    <hyperlink r:id="rId119" ref="V119"/>
    <hyperlink r:id="rId120" ref="V120"/>
    <hyperlink r:id="rId121" ref="V121"/>
    <hyperlink r:id="rId122" ref="V122"/>
    <hyperlink r:id="rId123" ref="V123"/>
    <hyperlink r:id="rId124" ref="V124"/>
    <hyperlink r:id="rId125" ref="V125"/>
    <hyperlink r:id="rId126" ref="V126"/>
    <hyperlink r:id="rId127" ref="V127"/>
    <hyperlink r:id="rId128" ref="V128"/>
    <hyperlink r:id="rId129" ref="V129"/>
    <hyperlink r:id="rId130" ref="V130"/>
    <hyperlink r:id="rId131" ref="V131"/>
    <hyperlink r:id="rId132" ref="V132"/>
    <hyperlink r:id="rId133" ref="V133"/>
    <hyperlink r:id="rId134" ref="V134"/>
    <hyperlink r:id="rId135" ref="V135"/>
    <hyperlink r:id="rId136" ref="V136"/>
    <hyperlink r:id="rId137" ref="V137"/>
    <hyperlink r:id="rId138" ref="V138"/>
    <hyperlink r:id="rId139" ref="V139"/>
    <hyperlink r:id="rId140" ref="V140"/>
    <hyperlink r:id="rId141" ref="V141"/>
    <hyperlink r:id="rId142" ref="V142"/>
    <hyperlink r:id="rId143" ref="V143"/>
    <hyperlink r:id="rId144" ref="V144"/>
    <hyperlink r:id="rId145" ref="V145"/>
    <hyperlink r:id="rId146" ref="V146"/>
    <hyperlink r:id="rId147" ref="V147"/>
    <hyperlink r:id="rId148" ref="V148"/>
    <hyperlink r:id="rId149" ref="V149"/>
    <hyperlink r:id="rId150" ref="V150"/>
    <hyperlink r:id="rId151" ref="V151"/>
    <hyperlink r:id="rId152" ref="V152"/>
    <hyperlink r:id="rId153" ref="V153"/>
    <hyperlink r:id="rId154" ref="V154"/>
    <hyperlink r:id="rId155" ref="V155"/>
    <hyperlink r:id="rId156" ref="V156"/>
    <hyperlink r:id="rId157" ref="V157"/>
    <hyperlink r:id="rId158" ref="V158"/>
    <hyperlink r:id="rId159" ref="V159"/>
    <hyperlink r:id="rId160" ref="V160"/>
    <hyperlink r:id="rId161" ref="V161"/>
    <hyperlink r:id="rId162" ref="V162"/>
    <hyperlink r:id="rId163" ref="V163"/>
    <hyperlink r:id="rId164" ref="V164"/>
    <hyperlink r:id="rId165" ref="V165"/>
    <hyperlink r:id="rId166" ref="V166"/>
    <hyperlink r:id="rId167" ref="V167"/>
    <hyperlink r:id="rId168" ref="V168"/>
    <hyperlink r:id="rId169" ref="V169"/>
    <hyperlink r:id="rId170" ref="V170"/>
    <hyperlink r:id="rId171" ref="V171"/>
    <hyperlink r:id="rId172" ref="V172"/>
    <hyperlink r:id="rId173" ref="V173"/>
    <hyperlink r:id="rId174" ref="V174"/>
    <hyperlink r:id="rId175" ref="V175"/>
    <hyperlink r:id="rId176" ref="V176"/>
    <hyperlink r:id="rId177" ref="V177"/>
    <hyperlink r:id="rId178" ref="V178"/>
    <hyperlink r:id="rId179" ref="V179"/>
    <hyperlink r:id="rId180" ref="V180"/>
    <hyperlink r:id="rId181" ref="V181"/>
    <hyperlink r:id="rId182" ref="V182"/>
    <hyperlink r:id="rId183" ref="V183"/>
    <hyperlink r:id="rId184" ref="V184"/>
    <hyperlink r:id="rId185" ref="V185"/>
    <hyperlink r:id="rId186" ref="V186"/>
    <hyperlink r:id="rId187" ref="V187"/>
    <hyperlink r:id="rId188" ref="V188"/>
    <hyperlink r:id="rId189" ref="V189"/>
    <hyperlink r:id="rId190" ref="V190"/>
    <hyperlink r:id="rId191" ref="V191"/>
    <hyperlink r:id="rId192" ref="V192"/>
    <hyperlink r:id="rId193" ref="V193"/>
    <hyperlink r:id="rId194" ref="V194"/>
    <hyperlink r:id="rId195" ref="V195"/>
    <hyperlink r:id="rId196" ref="V196"/>
    <hyperlink r:id="rId197" ref="V197"/>
    <hyperlink r:id="rId198" ref="V198"/>
    <hyperlink r:id="rId199" ref="V199"/>
    <hyperlink r:id="rId200" ref="V200"/>
    <hyperlink r:id="rId201" ref="V201"/>
    <hyperlink r:id="rId202" ref="V202"/>
    <hyperlink r:id="rId203" ref="V203"/>
    <hyperlink r:id="rId204" ref="V204"/>
    <hyperlink r:id="rId205" ref="V205"/>
    <hyperlink r:id="rId206" ref="V206"/>
    <hyperlink r:id="rId207" ref="V207"/>
    <hyperlink r:id="rId208" ref="V208"/>
    <hyperlink r:id="rId209" ref="V209"/>
    <hyperlink r:id="rId210" ref="V210"/>
    <hyperlink r:id="rId211" ref="V211"/>
    <hyperlink r:id="rId212" ref="V212"/>
    <hyperlink r:id="rId213" ref="V213"/>
    <hyperlink r:id="rId214" ref="V214"/>
    <hyperlink r:id="rId215" ref="V215"/>
    <hyperlink r:id="rId216" ref="V216"/>
    <hyperlink r:id="rId217" ref="V217"/>
    <hyperlink r:id="rId218" ref="V218"/>
    <hyperlink r:id="rId219" ref="V219"/>
    <hyperlink r:id="rId220" ref="V220"/>
    <hyperlink r:id="rId221" ref="V221"/>
    <hyperlink r:id="rId222" ref="V222"/>
    <hyperlink r:id="rId223" ref="V223"/>
    <hyperlink r:id="rId224" ref="V224"/>
    <hyperlink r:id="rId225" ref="V225"/>
    <hyperlink r:id="rId226" ref="V226"/>
    <hyperlink r:id="rId227" ref="V227"/>
    <hyperlink r:id="rId228" ref="V228"/>
    <hyperlink r:id="rId229" ref="V229"/>
    <hyperlink r:id="rId230" ref="V230"/>
    <hyperlink r:id="rId231" ref="V231"/>
    <hyperlink r:id="rId232" ref="V232"/>
    <hyperlink r:id="rId233" ref="V233"/>
    <hyperlink r:id="rId234" ref="V234"/>
    <hyperlink r:id="rId235" ref="V235"/>
    <hyperlink r:id="rId236" ref="V236"/>
    <hyperlink r:id="rId237" ref="V237"/>
    <hyperlink r:id="rId238" ref="V238"/>
    <hyperlink r:id="rId239" ref="V239"/>
    <hyperlink r:id="rId240" ref="V240"/>
    <hyperlink r:id="rId241" ref="V241"/>
    <hyperlink r:id="rId242" ref="V242"/>
    <hyperlink r:id="rId243" ref="V243"/>
    <hyperlink r:id="rId244" ref="V244"/>
    <hyperlink r:id="rId245" ref="V245"/>
    <hyperlink r:id="rId246" ref="V246"/>
    <hyperlink r:id="rId247" ref="V247"/>
    <hyperlink r:id="rId248" ref="V248"/>
    <hyperlink r:id="rId249" ref="V249"/>
    <hyperlink r:id="rId250" ref="V250"/>
    <hyperlink r:id="rId251" ref="V251"/>
    <hyperlink r:id="rId252" ref="V252"/>
    <hyperlink r:id="rId253" ref="V253"/>
    <hyperlink r:id="rId254" ref="V254"/>
    <hyperlink r:id="rId255" ref="V255"/>
    <hyperlink r:id="rId256" ref="V256"/>
    <hyperlink r:id="rId257" ref="V257"/>
    <hyperlink r:id="rId258" ref="V258"/>
    <hyperlink r:id="rId259" ref="V259"/>
    <hyperlink r:id="rId260" ref="V260"/>
    <hyperlink r:id="rId261" ref="V261"/>
    <hyperlink r:id="rId262" ref="V262"/>
    <hyperlink r:id="rId263" ref="V263"/>
    <hyperlink r:id="rId264" ref="V264"/>
    <hyperlink r:id="rId265" ref="V265"/>
    <hyperlink r:id="rId266" ref="V266"/>
    <hyperlink r:id="rId267" ref="V267"/>
    <hyperlink r:id="rId268" ref="V268"/>
    <hyperlink r:id="rId269" ref="V269"/>
    <hyperlink r:id="rId270" ref="V270"/>
    <hyperlink r:id="rId271" ref="V271"/>
    <hyperlink r:id="rId272" ref="V272"/>
    <hyperlink r:id="rId273" ref="V273"/>
    <hyperlink r:id="rId274" ref="V274"/>
    <hyperlink r:id="rId275" ref="V275"/>
    <hyperlink r:id="rId276" ref="V276"/>
    <hyperlink r:id="rId277" ref="V277"/>
    <hyperlink r:id="rId278" ref="V278"/>
    <hyperlink r:id="rId279" ref="V279"/>
    <hyperlink r:id="rId280" ref="V280"/>
    <hyperlink r:id="rId281" ref="V281"/>
    <hyperlink r:id="rId282" ref="V282"/>
    <hyperlink r:id="rId283" ref="V283"/>
  </hyperlinks>
  <drawing r:id="rId284"/>
  <legacyDrawing r:id="rId28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8.75"/>
  </cols>
  <sheetData>
    <row r="1">
      <c r="A1" s="48" t="s">
        <v>3</v>
      </c>
      <c r="B1" s="48" t="s">
        <v>8</v>
      </c>
      <c r="C1" s="48" t="s">
        <v>10</v>
      </c>
      <c r="D1" s="48" t="s">
        <v>11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17</v>
      </c>
      <c r="J1" s="48" t="s">
        <v>18</v>
      </c>
      <c r="K1" s="48" t="s">
        <v>19</v>
      </c>
      <c r="L1" s="48" t="s">
        <v>20</v>
      </c>
      <c r="M1" s="48" t="s">
        <v>21</v>
      </c>
      <c r="N1" s="48" t="s">
        <v>22</v>
      </c>
      <c r="O1" s="48" t="s">
        <v>23</v>
      </c>
      <c r="P1" s="48" t="s">
        <v>24</v>
      </c>
      <c r="Q1" s="48" t="s">
        <v>25</v>
      </c>
      <c r="R1" s="48" t="s">
        <v>26</v>
      </c>
      <c r="S1" s="48" t="s">
        <v>28</v>
      </c>
      <c r="T1" s="48" t="s">
        <v>30</v>
      </c>
      <c r="U1" s="48" t="s">
        <v>32</v>
      </c>
      <c r="V1" s="48" t="s">
        <v>34</v>
      </c>
      <c r="W1" s="48" t="s">
        <v>36</v>
      </c>
      <c r="X1" s="28"/>
      <c r="Y1" s="28"/>
      <c r="Z1" s="28"/>
    </row>
    <row r="2">
      <c r="A2" s="7" t="s">
        <v>568</v>
      </c>
      <c r="B2" s="7" t="s">
        <v>571</v>
      </c>
      <c r="C2" s="7" t="s">
        <v>573</v>
      </c>
      <c r="D2" s="7" t="s">
        <v>136</v>
      </c>
      <c r="E2" s="7" t="s">
        <v>575</v>
      </c>
      <c r="F2" s="9">
        <v>14.15657</v>
      </c>
      <c r="G2" s="9">
        <v>100.12744</v>
      </c>
      <c r="H2" s="7" t="s">
        <v>576</v>
      </c>
      <c r="I2" s="9">
        <v>3.57</v>
      </c>
      <c r="J2" s="28"/>
      <c r="K2" s="28"/>
      <c r="L2" s="28"/>
      <c r="M2" s="28"/>
      <c r="N2" s="7" t="s">
        <v>579</v>
      </c>
      <c r="O2" s="7" t="s">
        <v>583</v>
      </c>
      <c r="P2" s="9">
        <v>5.0</v>
      </c>
      <c r="Q2" s="28"/>
      <c r="R2" s="9">
        <v>12.4</v>
      </c>
      <c r="S2" s="7" t="s">
        <v>584</v>
      </c>
      <c r="T2" s="7" t="b">
        <v>0</v>
      </c>
      <c r="U2" s="7" t="s">
        <v>585</v>
      </c>
      <c r="V2" s="27" t="s">
        <v>586</v>
      </c>
      <c r="W2" s="7" t="s">
        <v>613</v>
      </c>
      <c r="X2" s="28"/>
      <c r="Y2" s="28"/>
      <c r="Z2" s="28"/>
    </row>
    <row r="3">
      <c r="A3" s="7" t="s">
        <v>615</v>
      </c>
      <c r="B3" s="7" t="s">
        <v>616</v>
      </c>
      <c r="C3" s="7" t="s">
        <v>617</v>
      </c>
      <c r="D3" s="7" t="s">
        <v>116</v>
      </c>
      <c r="E3" s="7"/>
      <c r="F3" s="9">
        <v>14.36851</v>
      </c>
      <c r="G3" s="9">
        <v>100.414391</v>
      </c>
      <c r="H3" s="7" t="s">
        <v>618</v>
      </c>
      <c r="I3" s="9">
        <v>5.43</v>
      </c>
      <c r="J3" s="28"/>
      <c r="K3" s="28"/>
      <c r="L3" s="28"/>
      <c r="M3" s="28"/>
      <c r="N3" s="7" t="s">
        <v>579</v>
      </c>
      <c r="O3" s="7" t="s">
        <v>583</v>
      </c>
      <c r="P3" s="9">
        <v>5.0</v>
      </c>
      <c r="Q3" s="28"/>
      <c r="R3" s="9">
        <v>82.4</v>
      </c>
      <c r="S3" s="7" t="s">
        <v>584</v>
      </c>
      <c r="T3" s="7" t="b">
        <v>0</v>
      </c>
      <c r="U3" s="7" t="s">
        <v>585</v>
      </c>
      <c r="V3" s="49" t="s">
        <v>586</v>
      </c>
      <c r="W3" s="7" t="s">
        <v>630</v>
      </c>
      <c r="X3" s="28"/>
      <c r="Y3" s="28"/>
      <c r="Z3" s="28"/>
    </row>
    <row r="4">
      <c r="A4" s="7" t="s">
        <v>637</v>
      </c>
      <c r="B4" s="7" t="s">
        <v>638</v>
      </c>
      <c r="C4" s="7" t="s">
        <v>639</v>
      </c>
      <c r="D4" s="7" t="s">
        <v>116</v>
      </c>
      <c r="E4" s="7" t="s">
        <v>640</v>
      </c>
      <c r="F4" s="9">
        <v>14.4158</v>
      </c>
      <c r="G4" s="9">
        <v>100.44071</v>
      </c>
      <c r="H4" s="7" t="s">
        <v>576</v>
      </c>
      <c r="I4" s="9">
        <v>6.66</v>
      </c>
      <c r="J4" s="28"/>
      <c r="K4" s="28"/>
      <c r="L4" s="28"/>
      <c r="M4" s="28"/>
      <c r="N4" s="7" t="s">
        <v>579</v>
      </c>
      <c r="O4" s="7" t="s">
        <v>583</v>
      </c>
      <c r="P4" s="9">
        <v>5.0</v>
      </c>
      <c r="Q4" s="28"/>
      <c r="R4" s="9">
        <v>12.4</v>
      </c>
      <c r="S4" s="7" t="s">
        <v>584</v>
      </c>
      <c r="T4" s="7" t="b">
        <v>0</v>
      </c>
      <c r="U4" s="7" t="s">
        <v>585</v>
      </c>
      <c r="V4" s="27" t="s">
        <v>586</v>
      </c>
      <c r="W4" s="7" t="s">
        <v>657</v>
      </c>
      <c r="X4" s="28"/>
      <c r="Y4" s="28"/>
      <c r="Z4" s="28"/>
    </row>
    <row r="5">
      <c r="A5" s="7" t="s">
        <v>658</v>
      </c>
      <c r="B5" s="7" t="s">
        <v>659</v>
      </c>
      <c r="C5" s="7" t="s">
        <v>660</v>
      </c>
      <c r="D5" s="7" t="s">
        <v>157</v>
      </c>
      <c r="E5" s="7" t="s">
        <v>662</v>
      </c>
      <c r="F5" s="9">
        <v>13.93635</v>
      </c>
      <c r="G5" s="9">
        <v>101.972321</v>
      </c>
      <c r="H5" s="7" t="s">
        <v>618</v>
      </c>
      <c r="I5" s="9">
        <v>23.26</v>
      </c>
      <c r="J5" s="28"/>
      <c r="K5" s="28"/>
      <c r="L5" s="28"/>
      <c r="M5" s="28"/>
      <c r="N5" s="7" t="s">
        <v>579</v>
      </c>
      <c r="O5" s="7" t="s">
        <v>583</v>
      </c>
      <c r="P5" s="9">
        <v>5.0</v>
      </c>
      <c r="Q5" s="28"/>
      <c r="R5" s="9">
        <v>82.4</v>
      </c>
      <c r="S5" s="7" t="s">
        <v>584</v>
      </c>
      <c r="T5" s="7" t="b">
        <v>0</v>
      </c>
      <c r="U5" s="7" t="s">
        <v>585</v>
      </c>
      <c r="V5" s="27" t="s">
        <v>586</v>
      </c>
      <c r="W5" s="7" t="s">
        <v>668</v>
      </c>
      <c r="X5" s="28"/>
      <c r="Y5" s="28"/>
      <c r="Z5" s="28"/>
    </row>
    <row r="6">
      <c r="A6" s="7" t="s">
        <v>669</v>
      </c>
      <c r="B6" s="7" t="s">
        <v>672</v>
      </c>
      <c r="C6" s="7" t="s">
        <v>674</v>
      </c>
      <c r="D6" s="7" t="s">
        <v>163</v>
      </c>
      <c r="E6" s="7" t="s">
        <v>677</v>
      </c>
      <c r="F6" s="9">
        <v>13.98666</v>
      </c>
      <c r="G6" s="9">
        <v>101.705406</v>
      </c>
      <c r="H6" s="7" t="s">
        <v>618</v>
      </c>
      <c r="I6" s="9">
        <v>11.23</v>
      </c>
      <c r="J6" s="28"/>
      <c r="K6" s="28"/>
      <c r="L6" s="28"/>
      <c r="M6" s="9">
        <v>10.0</v>
      </c>
      <c r="N6" s="7" t="s">
        <v>579</v>
      </c>
      <c r="O6" s="7" t="s">
        <v>583</v>
      </c>
      <c r="P6" s="9">
        <v>5.0</v>
      </c>
      <c r="Q6" s="28"/>
      <c r="R6" s="9">
        <v>82.4</v>
      </c>
      <c r="S6" s="7" t="s">
        <v>584</v>
      </c>
      <c r="T6" s="7" t="b">
        <v>0</v>
      </c>
      <c r="U6" s="7" t="s">
        <v>585</v>
      </c>
      <c r="V6" s="27" t="s">
        <v>586</v>
      </c>
      <c r="W6" s="7" t="s">
        <v>695</v>
      </c>
      <c r="X6" s="28"/>
      <c r="Y6" s="28"/>
      <c r="Z6" s="28"/>
    </row>
    <row r="7">
      <c r="A7" s="7" t="s">
        <v>696</v>
      </c>
      <c r="B7" s="7" t="s">
        <v>698</v>
      </c>
      <c r="C7" s="7" t="s">
        <v>700</v>
      </c>
      <c r="D7" s="7" t="s">
        <v>116</v>
      </c>
      <c r="E7" s="7" t="s">
        <v>640</v>
      </c>
      <c r="F7" s="9">
        <v>14.41588</v>
      </c>
      <c r="G7" s="9">
        <v>100.440804</v>
      </c>
      <c r="H7" s="7" t="s">
        <v>618</v>
      </c>
      <c r="I7" s="9">
        <v>6.7</v>
      </c>
      <c r="J7" s="28"/>
      <c r="K7" s="28"/>
      <c r="L7" s="28"/>
      <c r="M7" s="28"/>
      <c r="N7" s="7" t="s">
        <v>579</v>
      </c>
      <c r="O7" s="7" t="s">
        <v>583</v>
      </c>
      <c r="P7" s="9">
        <v>5.0</v>
      </c>
      <c r="Q7" s="28"/>
      <c r="R7" s="9">
        <v>82.4</v>
      </c>
      <c r="S7" s="7" t="s">
        <v>584</v>
      </c>
      <c r="T7" s="7" t="b">
        <v>0</v>
      </c>
      <c r="U7" s="7" t="s">
        <v>585</v>
      </c>
      <c r="V7" s="27" t="s">
        <v>586</v>
      </c>
      <c r="W7" s="7" t="s">
        <v>709</v>
      </c>
      <c r="X7" s="28"/>
      <c r="Y7" s="28"/>
      <c r="Z7" s="28"/>
    </row>
    <row r="8">
      <c r="A8" s="7" t="s">
        <v>710</v>
      </c>
      <c r="B8" s="7" t="s">
        <v>712</v>
      </c>
      <c r="C8" s="7" t="s">
        <v>716</v>
      </c>
      <c r="D8" s="7" t="s">
        <v>116</v>
      </c>
      <c r="E8" s="7" t="s">
        <v>716</v>
      </c>
      <c r="F8" s="9">
        <v>14.42303</v>
      </c>
      <c r="G8" s="9">
        <v>100.48186</v>
      </c>
      <c r="H8" s="7" t="s">
        <v>576</v>
      </c>
      <c r="I8" s="9">
        <v>7.43</v>
      </c>
      <c r="J8" s="28"/>
      <c r="K8" s="28"/>
      <c r="L8" s="28"/>
      <c r="M8" s="9"/>
      <c r="N8" s="7" t="s">
        <v>579</v>
      </c>
      <c r="O8" s="7" t="s">
        <v>583</v>
      </c>
      <c r="P8" s="9">
        <v>5.0</v>
      </c>
      <c r="Q8" s="28"/>
      <c r="R8" s="9">
        <v>12.4</v>
      </c>
      <c r="S8" s="7" t="s">
        <v>584</v>
      </c>
      <c r="T8" s="7" t="b">
        <v>0</v>
      </c>
      <c r="U8" s="7" t="s">
        <v>585</v>
      </c>
      <c r="V8" s="27" t="s">
        <v>586</v>
      </c>
      <c r="W8" s="7" t="s">
        <v>725</v>
      </c>
      <c r="X8" s="28"/>
      <c r="Y8" s="28"/>
      <c r="Z8" s="28"/>
    </row>
    <row r="9">
      <c r="A9" s="7" t="s">
        <v>729</v>
      </c>
      <c r="B9" s="7" t="s">
        <v>730</v>
      </c>
      <c r="C9" s="7" t="s">
        <v>731</v>
      </c>
      <c r="D9" s="7" t="s">
        <v>136</v>
      </c>
      <c r="E9" s="7" t="s">
        <v>733</v>
      </c>
      <c r="F9" s="9">
        <v>14.21608</v>
      </c>
      <c r="G9" s="9">
        <v>100.05017</v>
      </c>
      <c r="H9" s="7" t="s">
        <v>576</v>
      </c>
      <c r="I9" s="9">
        <v>3.3</v>
      </c>
      <c r="J9" s="28"/>
      <c r="K9" s="28"/>
      <c r="L9" s="28"/>
      <c r="M9" s="9"/>
      <c r="N9" s="7" t="s">
        <v>579</v>
      </c>
      <c r="O9" s="7" t="s">
        <v>583</v>
      </c>
      <c r="P9" s="9">
        <v>5.0</v>
      </c>
      <c r="Q9" s="28"/>
      <c r="R9" s="9">
        <v>12.4</v>
      </c>
      <c r="S9" s="7" t="s">
        <v>584</v>
      </c>
      <c r="T9" s="7" t="b">
        <v>0</v>
      </c>
      <c r="U9" s="7" t="s">
        <v>585</v>
      </c>
      <c r="V9" s="27" t="s">
        <v>586</v>
      </c>
      <c r="W9" s="7" t="s">
        <v>744</v>
      </c>
      <c r="X9" s="28"/>
      <c r="Y9" s="28"/>
      <c r="Z9" s="28"/>
    </row>
    <row r="10">
      <c r="A10" s="7" t="s">
        <v>746</v>
      </c>
      <c r="B10" s="7" t="s">
        <v>747</v>
      </c>
      <c r="C10" s="7" t="s">
        <v>748</v>
      </c>
      <c r="D10" s="7" t="s">
        <v>154</v>
      </c>
      <c r="E10" s="7" t="s">
        <v>749</v>
      </c>
      <c r="F10" s="9">
        <v>14.27618</v>
      </c>
      <c r="G10" s="9">
        <v>98.931068</v>
      </c>
      <c r="H10" s="7" t="s">
        <v>750</v>
      </c>
      <c r="I10" s="9">
        <v>91.42</v>
      </c>
      <c r="J10" s="28"/>
      <c r="K10" s="28"/>
      <c r="L10" s="28"/>
      <c r="M10" s="9"/>
      <c r="N10" s="7" t="s">
        <v>579</v>
      </c>
      <c r="O10" s="7" t="s">
        <v>583</v>
      </c>
      <c r="P10" s="9">
        <v>5.0</v>
      </c>
      <c r="Q10" s="28"/>
      <c r="R10" s="9">
        <v>8962.4</v>
      </c>
      <c r="S10" s="7" t="s">
        <v>54</v>
      </c>
      <c r="T10" s="7" t="b">
        <v>0</v>
      </c>
      <c r="U10" s="7" t="s">
        <v>585</v>
      </c>
      <c r="V10" s="27" t="s">
        <v>586</v>
      </c>
      <c r="W10" s="7" t="s">
        <v>761</v>
      </c>
      <c r="X10" s="28"/>
      <c r="Y10" s="28"/>
      <c r="Z10" s="28"/>
    </row>
    <row r="11">
      <c r="A11" s="7" t="s">
        <v>763</v>
      </c>
      <c r="B11" s="7" t="s">
        <v>764</v>
      </c>
      <c r="C11" s="7" t="s">
        <v>765</v>
      </c>
      <c r="D11" s="7" t="s">
        <v>154</v>
      </c>
      <c r="E11" s="7" t="s">
        <v>767</v>
      </c>
      <c r="F11" s="9">
        <v>14.21513</v>
      </c>
      <c r="G11" s="9">
        <v>99.058197</v>
      </c>
      <c r="H11" s="7" t="s">
        <v>618</v>
      </c>
      <c r="I11" s="9">
        <v>47.54</v>
      </c>
      <c r="J11" s="28"/>
      <c r="K11" s="28"/>
      <c r="L11" s="28"/>
      <c r="M11" s="9"/>
      <c r="N11" s="7" t="s">
        <v>579</v>
      </c>
      <c r="O11" s="7" t="s">
        <v>583</v>
      </c>
      <c r="P11" s="9">
        <v>5.0</v>
      </c>
      <c r="Q11" s="28"/>
      <c r="R11" s="9">
        <v>82.4</v>
      </c>
      <c r="S11" s="7" t="s">
        <v>584</v>
      </c>
      <c r="T11" s="7" t="b">
        <v>0</v>
      </c>
      <c r="U11" s="7" t="s">
        <v>585</v>
      </c>
      <c r="V11" s="27" t="s">
        <v>586</v>
      </c>
      <c r="W11" s="7" t="s">
        <v>770</v>
      </c>
      <c r="X11" s="28"/>
      <c r="Y11" s="28"/>
      <c r="Z11" s="28"/>
    </row>
    <row r="12">
      <c r="A12" s="7" t="s">
        <v>772</v>
      </c>
      <c r="B12" s="7" t="s">
        <v>773</v>
      </c>
      <c r="C12" s="7" t="s">
        <v>774</v>
      </c>
      <c r="D12" s="7" t="s">
        <v>163</v>
      </c>
      <c r="E12" s="7" t="s">
        <v>677</v>
      </c>
      <c r="F12" s="9">
        <v>14.053554</v>
      </c>
      <c r="G12" s="9">
        <v>101.38684</v>
      </c>
      <c r="H12" s="7" t="s">
        <v>775</v>
      </c>
      <c r="I12" s="9">
        <v>5.65</v>
      </c>
      <c r="J12" s="28"/>
      <c r="K12" s="28"/>
      <c r="L12" s="28"/>
      <c r="M12" s="28"/>
      <c r="N12" s="7" t="s">
        <v>579</v>
      </c>
      <c r="O12" s="7" t="s">
        <v>583</v>
      </c>
      <c r="P12" s="9">
        <v>5.0</v>
      </c>
      <c r="Q12" s="28"/>
      <c r="R12" s="9">
        <v>4302.4</v>
      </c>
      <c r="S12" s="7" t="s">
        <v>54</v>
      </c>
      <c r="T12" s="7" t="b">
        <v>0</v>
      </c>
      <c r="U12" s="7" t="s">
        <v>585</v>
      </c>
      <c r="V12" s="27" t="s">
        <v>586</v>
      </c>
      <c r="W12" s="7" t="s">
        <v>777</v>
      </c>
      <c r="X12" s="28"/>
      <c r="Y12" s="28"/>
      <c r="Z12" s="28"/>
    </row>
    <row r="13">
      <c r="A13" s="7" t="s">
        <v>779</v>
      </c>
      <c r="B13" s="7" t="s">
        <v>780</v>
      </c>
      <c r="C13" s="7" t="s">
        <v>781</v>
      </c>
      <c r="D13" s="7" t="s">
        <v>166</v>
      </c>
      <c r="E13" s="7" t="s">
        <v>782</v>
      </c>
      <c r="F13" s="9">
        <v>13.72662</v>
      </c>
      <c r="G13" s="9">
        <v>101.35298</v>
      </c>
      <c r="H13" s="7" t="s">
        <v>576</v>
      </c>
      <c r="I13" s="9">
        <v>6.48</v>
      </c>
      <c r="J13" s="28"/>
      <c r="K13" s="28"/>
      <c r="L13" s="28"/>
      <c r="M13" s="9"/>
      <c r="N13" s="7" t="s">
        <v>579</v>
      </c>
      <c r="O13" s="7" t="s">
        <v>583</v>
      </c>
      <c r="P13" s="9">
        <v>5.0</v>
      </c>
      <c r="Q13" s="28"/>
      <c r="R13" s="9">
        <v>12.4</v>
      </c>
      <c r="S13" s="7" t="s">
        <v>584</v>
      </c>
      <c r="T13" s="7" t="b">
        <v>0</v>
      </c>
      <c r="U13" s="7" t="s">
        <v>585</v>
      </c>
      <c r="V13" s="27" t="s">
        <v>586</v>
      </c>
      <c r="W13" s="7" t="s">
        <v>786</v>
      </c>
      <c r="X13" s="28"/>
      <c r="Y13" s="28"/>
      <c r="Z13" s="28"/>
    </row>
    <row r="14">
      <c r="A14" s="7" t="s">
        <v>787</v>
      </c>
      <c r="B14" s="7" t="s">
        <v>788</v>
      </c>
      <c r="C14" s="7" t="s">
        <v>789</v>
      </c>
      <c r="D14" s="7" t="s">
        <v>136</v>
      </c>
      <c r="E14" s="7" t="s">
        <v>575</v>
      </c>
      <c r="F14" s="9">
        <v>14.157</v>
      </c>
      <c r="G14" s="9">
        <v>100.127907</v>
      </c>
      <c r="H14" s="7" t="s">
        <v>618</v>
      </c>
      <c r="I14" s="9">
        <v>3.38</v>
      </c>
      <c r="J14" s="28"/>
      <c r="K14" s="28"/>
      <c r="L14" s="28"/>
      <c r="M14" s="9"/>
      <c r="N14" s="7" t="s">
        <v>579</v>
      </c>
      <c r="O14" s="7" t="s">
        <v>583</v>
      </c>
      <c r="P14" s="9">
        <v>5.0</v>
      </c>
      <c r="Q14" s="28"/>
      <c r="R14" s="9">
        <v>82.4</v>
      </c>
      <c r="S14" s="7" t="s">
        <v>584</v>
      </c>
      <c r="T14" s="7" t="b">
        <v>0</v>
      </c>
      <c r="U14" s="7" t="s">
        <v>585</v>
      </c>
      <c r="V14" s="27" t="s">
        <v>586</v>
      </c>
      <c r="W14" s="7" t="s">
        <v>792</v>
      </c>
      <c r="X14" s="28"/>
      <c r="Y14" s="28"/>
      <c r="Z14" s="28"/>
    </row>
    <row r="15">
      <c r="A15" s="7" t="s">
        <v>794</v>
      </c>
      <c r="B15" s="7" t="s">
        <v>795</v>
      </c>
      <c r="C15" s="7" t="s">
        <v>796</v>
      </c>
      <c r="D15" s="7" t="s">
        <v>175</v>
      </c>
      <c r="E15" s="7" t="s">
        <v>799</v>
      </c>
      <c r="F15" s="9">
        <v>12.722433</v>
      </c>
      <c r="G15" s="9">
        <v>101.95606</v>
      </c>
      <c r="H15" s="7" t="s">
        <v>576</v>
      </c>
      <c r="I15" s="9">
        <v>5.06</v>
      </c>
      <c r="J15" s="28"/>
      <c r="K15" s="28"/>
      <c r="L15" s="28"/>
      <c r="M15" s="9"/>
      <c r="N15" s="7" t="s">
        <v>579</v>
      </c>
      <c r="O15" s="7" t="s">
        <v>583</v>
      </c>
      <c r="P15" s="9">
        <v>5.0</v>
      </c>
      <c r="Q15" s="28"/>
      <c r="R15" s="9">
        <v>12.4</v>
      </c>
      <c r="S15" s="7" t="s">
        <v>584</v>
      </c>
      <c r="T15" s="7" t="b">
        <v>0</v>
      </c>
      <c r="U15" s="7" t="s">
        <v>585</v>
      </c>
      <c r="V15" s="27" t="s">
        <v>586</v>
      </c>
      <c r="W15" s="7" t="s">
        <v>816</v>
      </c>
      <c r="X15" s="28"/>
      <c r="Y15" s="28"/>
      <c r="Z15" s="28"/>
    </row>
    <row r="16">
      <c r="A16" s="7" t="s">
        <v>821</v>
      </c>
      <c r="B16" s="7" t="s">
        <v>823</v>
      </c>
      <c r="C16" s="7" t="s">
        <v>825</v>
      </c>
      <c r="D16" s="7" t="s">
        <v>167</v>
      </c>
      <c r="E16" s="7" t="s">
        <v>827</v>
      </c>
      <c r="F16" s="9">
        <v>13.689612</v>
      </c>
      <c r="G16" s="9">
        <v>100.554886</v>
      </c>
      <c r="H16" s="7" t="s">
        <v>576</v>
      </c>
      <c r="I16" s="9">
        <v>1.54</v>
      </c>
      <c r="J16" s="28"/>
      <c r="K16" s="28"/>
      <c r="L16" s="28"/>
      <c r="M16" s="9"/>
      <c r="N16" s="7" t="s">
        <v>579</v>
      </c>
      <c r="O16" s="7" t="s">
        <v>583</v>
      </c>
      <c r="P16" s="9">
        <v>5.0</v>
      </c>
      <c r="Q16" s="28"/>
      <c r="R16" s="9">
        <v>12.4</v>
      </c>
      <c r="S16" s="7" t="s">
        <v>584</v>
      </c>
      <c r="T16" s="7" t="b">
        <v>0</v>
      </c>
      <c r="U16" s="7" t="s">
        <v>585</v>
      </c>
      <c r="V16" s="27" t="s">
        <v>586</v>
      </c>
      <c r="W16" s="7" t="s">
        <v>844</v>
      </c>
      <c r="X16" s="28"/>
      <c r="Y16" s="28"/>
      <c r="Z16" s="28"/>
    </row>
    <row r="17">
      <c r="A17" s="7" t="s">
        <v>846</v>
      </c>
      <c r="B17" s="7" t="s">
        <v>847</v>
      </c>
      <c r="C17" s="7" t="s">
        <v>848</v>
      </c>
      <c r="D17" s="7" t="s">
        <v>146</v>
      </c>
      <c r="E17" s="7" t="s">
        <v>575</v>
      </c>
      <c r="F17" s="9">
        <v>14.05221</v>
      </c>
      <c r="G17" s="9">
        <v>100.175087</v>
      </c>
      <c r="H17" s="7" t="s">
        <v>618</v>
      </c>
      <c r="I17" s="9">
        <v>2.58</v>
      </c>
      <c r="J17" s="28"/>
      <c r="K17" s="28"/>
      <c r="L17" s="28"/>
      <c r="M17" s="9"/>
      <c r="N17" s="7" t="s">
        <v>579</v>
      </c>
      <c r="O17" s="7" t="s">
        <v>583</v>
      </c>
      <c r="P17" s="9">
        <v>5.0</v>
      </c>
      <c r="Q17" s="28"/>
      <c r="R17" s="9">
        <v>82.4</v>
      </c>
      <c r="S17" s="7" t="s">
        <v>584</v>
      </c>
      <c r="T17" s="7" t="b">
        <v>0</v>
      </c>
      <c r="U17" s="7" t="s">
        <v>585</v>
      </c>
      <c r="V17" s="27" t="s">
        <v>586</v>
      </c>
      <c r="W17" s="7" t="s">
        <v>853</v>
      </c>
      <c r="X17" s="28"/>
      <c r="Y17" s="28"/>
      <c r="Z17" s="28"/>
    </row>
    <row r="18">
      <c r="A18" s="7" t="s">
        <v>856</v>
      </c>
      <c r="B18" s="7" t="s">
        <v>857</v>
      </c>
      <c r="C18" s="7" t="s">
        <v>858</v>
      </c>
      <c r="D18" s="7" t="s">
        <v>163</v>
      </c>
      <c r="E18" s="7" t="s">
        <v>861</v>
      </c>
      <c r="F18" s="9">
        <v>14.070941</v>
      </c>
      <c r="G18" s="9">
        <v>101.51893</v>
      </c>
      <c r="H18" s="7" t="s">
        <v>576</v>
      </c>
      <c r="I18" s="9">
        <v>7.25</v>
      </c>
      <c r="J18" s="28"/>
      <c r="K18" s="28"/>
      <c r="L18" s="28"/>
      <c r="M18" s="9"/>
      <c r="N18" s="7" t="s">
        <v>579</v>
      </c>
      <c r="O18" s="7" t="s">
        <v>583</v>
      </c>
      <c r="P18" s="9">
        <v>5.0</v>
      </c>
      <c r="Q18" s="28"/>
      <c r="R18" s="9">
        <v>12.4</v>
      </c>
      <c r="S18" s="7" t="s">
        <v>584</v>
      </c>
      <c r="T18" s="7" t="b">
        <v>0</v>
      </c>
      <c r="U18" s="7" t="s">
        <v>585</v>
      </c>
      <c r="V18" s="27" t="s">
        <v>586</v>
      </c>
      <c r="W18" s="7" t="s">
        <v>869</v>
      </c>
      <c r="X18" s="28"/>
      <c r="Y18" s="28"/>
      <c r="Z18" s="28"/>
    </row>
    <row r="19">
      <c r="A19" s="7" t="s">
        <v>870</v>
      </c>
      <c r="B19" s="7" t="s">
        <v>871</v>
      </c>
      <c r="C19" s="7" t="s">
        <v>873</v>
      </c>
      <c r="D19" s="7" t="s">
        <v>136</v>
      </c>
      <c r="E19" s="7" t="s">
        <v>875</v>
      </c>
      <c r="F19" s="9">
        <v>14.4705</v>
      </c>
      <c r="G19" s="9">
        <v>100.11475</v>
      </c>
      <c r="H19" s="7" t="s">
        <v>576</v>
      </c>
      <c r="I19" s="9">
        <v>5.59</v>
      </c>
      <c r="J19" s="28"/>
      <c r="K19" s="28"/>
      <c r="L19" s="28"/>
      <c r="M19" s="9"/>
      <c r="N19" s="7" t="s">
        <v>579</v>
      </c>
      <c r="O19" s="7" t="s">
        <v>583</v>
      </c>
      <c r="P19" s="9">
        <v>5.0</v>
      </c>
      <c r="Q19" s="28"/>
      <c r="R19" s="9">
        <v>12.4</v>
      </c>
      <c r="S19" s="7" t="s">
        <v>584</v>
      </c>
      <c r="T19" s="7" t="b">
        <v>0</v>
      </c>
      <c r="U19" s="7" t="s">
        <v>585</v>
      </c>
      <c r="V19" s="27" t="s">
        <v>586</v>
      </c>
      <c r="W19" s="7" t="s">
        <v>880</v>
      </c>
      <c r="X19" s="28"/>
      <c r="Y19" s="28"/>
      <c r="Z19" s="28"/>
    </row>
    <row r="20">
      <c r="A20" s="7" t="s">
        <v>883</v>
      </c>
      <c r="B20" s="7" t="s">
        <v>884</v>
      </c>
      <c r="C20" s="7" t="s">
        <v>662</v>
      </c>
      <c r="D20" s="7" t="s">
        <v>157</v>
      </c>
      <c r="E20" s="7" t="s">
        <v>662</v>
      </c>
      <c r="F20" s="9">
        <v>13.937376</v>
      </c>
      <c r="G20" s="9">
        <v>101.922035</v>
      </c>
      <c r="H20" s="7" t="s">
        <v>576</v>
      </c>
      <c r="I20" s="9">
        <v>20.51</v>
      </c>
      <c r="J20" s="28"/>
      <c r="K20" s="28"/>
      <c r="L20" s="28"/>
      <c r="M20" s="9"/>
      <c r="N20" s="7" t="s">
        <v>579</v>
      </c>
      <c r="O20" s="7" t="s">
        <v>583</v>
      </c>
      <c r="P20" s="9">
        <v>5.0</v>
      </c>
      <c r="Q20" s="28"/>
      <c r="R20" s="9">
        <v>12.4</v>
      </c>
      <c r="S20" s="7" t="s">
        <v>584</v>
      </c>
      <c r="T20" s="7" t="b">
        <v>0</v>
      </c>
      <c r="U20" s="7" t="s">
        <v>585</v>
      </c>
      <c r="V20" s="27" t="s">
        <v>586</v>
      </c>
      <c r="W20" s="7" t="s">
        <v>894</v>
      </c>
      <c r="X20" s="28"/>
      <c r="Y20" s="28"/>
      <c r="Z20" s="28"/>
    </row>
    <row r="21">
      <c r="A21" s="7" t="s">
        <v>897</v>
      </c>
      <c r="B21" s="7" t="s">
        <v>898</v>
      </c>
      <c r="C21" s="7" t="s">
        <v>899</v>
      </c>
      <c r="D21" s="7" t="s">
        <v>166</v>
      </c>
      <c r="E21" s="7" t="s">
        <v>677</v>
      </c>
      <c r="F21" s="9">
        <v>13.87032</v>
      </c>
      <c r="G21" s="9">
        <v>101.14574</v>
      </c>
      <c r="H21" s="7" t="s">
        <v>576</v>
      </c>
      <c r="I21" s="9">
        <v>2.65</v>
      </c>
      <c r="J21" s="28"/>
      <c r="K21" s="28"/>
      <c r="L21" s="28"/>
      <c r="M21" s="9"/>
      <c r="N21" s="7" t="s">
        <v>579</v>
      </c>
      <c r="O21" s="7" t="s">
        <v>583</v>
      </c>
      <c r="P21" s="9">
        <v>5.0</v>
      </c>
      <c r="Q21" s="28"/>
      <c r="R21" s="9">
        <v>12.4</v>
      </c>
      <c r="S21" s="7" t="s">
        <v>584</v>
      </c>
      <c r="T21" s="7" t="b">
        <v>0</v>
      </c>
      <c r="U21" s="7" t="s">
        <v>585</v>
      </c>
      <c r="V21" s="27" t="s">
        <v>586</v>
      </c>
      <c r="W21" s="7" t="s">
        <v>904</v>
      </c>
      <c r="X21" s="28"/>
      <c r="Y21" s="28"/>
      <c r="Z21" s="28"/>
    </row>
    <row r="22">
      <c r="A22" s="7" t="s">
        <v>908</v>
      </c>
      <c r="B22" s="7" t="s">
        <v>909</v>
      </c>
      <c r="C22" s="7" t="s">
        <v>910</v>
      </c>
      <c r="D22" s="7" t="s">
        <v>91</v>
      </c>
      <c r="E22" s="7" t="s">
        <v>911</v>
      </c>
      <c r="F22" s="9">
        <v>15.25029</v>
      </c>
      <c r="G22" s="9">
        <v>100.08347</v>
      </c>
      <c r="H22" s="7" t="s">
        <v>576</v>
      </c>
      <c r="I22" s="9">
        <v>18.8</v>
      </c>
      <c r="J22" s="28"/>
      <c r="K22" s="28"/>
      <c r="L22" s="28"/>
      <c r="M22" s="28"/>
      <c r="N22" s="7" t="s">
        <v>579</v>
      </c>
      <c r="O22" s="7" t="s">
        <v>583</v>
      </c>
      <c r="P22" s="9">
        <v>5.0</v>
      </c>
      <c r="Q22" s="28"/>
      <c r="R22" s="9">
        <v>12.4</v>
      </c>
      <c r="S22" s="7" t="s">
        <v>584</v>
      </c>
      <c r="T22" s="7" t="b">
        <v>0</v>
      </c>
      <c r="U22" s="7" t="s">
        <v>585</v>
      </c>
      <c r="V22" s="27" t="s">
        <v>586</v>
      </c>
      <c r="W22" s="7" t="s">
        <v>914</v>
      </c>
      <c r="X22" s="28"/>
      <c r="Y22" s="28"/>
      <c r="Z22" s="28"/>
    </row>
    <row r="23">
      <c r="A23" s="7" t="s">
        <v>917</v>
      </c>
      <c r="B23" s="7" t="s">
        <v>919</v>
      </c>
      <c r="C23" s="7" t="s">
        <v>921</v>
      </c>
      <c r="D23" s="7" t="s">
        <v>163</v>
      </c>
      <c r="E23" s="7" t="s">
        <v>677</v>
      </c>
      <c r="F23" s="9">
        <v>13.97348</v>
      </c>
      <c r="G23" s="9">
        <v>101.51751</v>
      </c>
      <c r="H23" s="7" t="s">
        <v>923</v>
      </c>
      <c r="I23" s="9">
        <v>8.45</v>
      </c>
      <c r="J23" s="28"/>
      <c r="K23" s="28"/>
      <c r="L23" s="28"/>
      <c r="M23" s="28"/>
      <c r="N23" s="7" t="s">
        <v>579</v>
      </c>
      <c r="O23" s="7" t="s">
        <v>583</v>
      </c>
      <c r="P23" s="9">
        <v>5.0</v>
      </c>
      <c r="Q23" s="28"/>
      <c r="R23" s="9">
        <v>22.4</v>
      </c>
      <c r="S23" s="7" t="s">
        <v>584</v>
      </c>
      <c r="T23" s="7" t="b">
        <v>0</v>
      </c>
      <c r="U23" s="7" t="s">
        <v>585</v>
      </c>
      <c r="V23" s="27" t="s">
        <v>586</v>
      </c>
      <c r="W23" s="7" t="s">
        <v>929</v>
      </c>
      <c r="X23" s="28"/>
      <c r="Y23" s="28"/>
      <c r="Z23" s="28"/>
    </row>
    <row r="24">
      <c r="A24" s="7" t="s">
        <v>932</v>
      </c>
      <c r="B24" s="7" t="s">
        <v>934</v>
      </c>
      <c r="C24" s="7" t="s">
        <v>935</v>
      </c>
      <c r="D24" s="7" t="s">
        <v>116</v>
      </c>
      <c r="E24" s="7" t="s">
        <v>911</v>
      </c>
      <c r="F24" s="9">
        <v>14.3691</v>
      </c>
      <c r="G24" s="9">
        <v>100.528732</v>
      </c>
      <c r="H24" s="7" t="s">
        <v>618</v>
      </c>
      <c r="I24" s="9">
        <v>5.35</v>
      </c>
      <c r="J24" s="28"/>
      <c r="K24" s="28"/>
      <c r="L24" s="28"/>
      <c r="M24" s="9"/>
      <c r="N24" s="7" t="s">
        <v>579</v>
      </c>
      <c r="O24" s="7" t="s">
        <v>583</v>
      </c>
      <c r="P24" s="9">
        <v>5.0</v>
      </c>
      <c r="Q24" s="28"/>
      <c r="R24" s="9">
        <v>82.4</v>
      </c>
      <c r="S24" s="7" t="s">
        <v>584</v>
      </c>
      <c r="T24" s="7" t="b">
        <v>0</v>
      </c>
      <c r="U24" s="7" t="s">
        <v>585</v>
      </c>
      <c r="V24" s="27" t="s">
        <v>586</v>
      </c>
      <c r="W24" s="7" t="s">
        <v>936</v>
      </c>
      <c r="X24" s="28"/>
      <c r="Y24" s="28"/>
      <c r="Z24" s="28"/>
    </row>
    <row r="25">
      <c r="A25" s="7" t="s">
        <v>940</v>
      </c>
      <c r="B25" s="7" t="s">
        <v>941</v>
      </c>
      <c r="C25" s="7" t="s">
        <v>943</v>
      </c>
      <c r="D25" s="7" t="s">
        <v>163</v>
      </c>
      <c r="E25" s="7" t="s">
        <v>677</v>
      </c>
      <c r="F25" s="9">
        <v>13.97341</v>
      </c>
      <c r="G25" s="9">
        <v>101.517448</v>
      </c>
      <c r="H25" s="7" t="s">
        <v>618</v>
      </c>
      <c r="I25" s="9">
        <v>7.58</v>
      </c>
      <c r="J25" s="28"/>
      <c r="K25" s="28"/>
      <c r="L25" s="28"/>
      <c r="M25" s="9"/>
      <c r="N25" s="7" t="s">
        <v>579</v>
      </c>
      <c r="O25" s="7" t="s">
        <v>583</v>
      </c>
      <c r="P25" s="9">
        <v>5.0</v>
      </c>
      <c r="Q25" s="28"/>
      <c r="R25" s="9">
        <v>82.4</v>
      </c>
      <c r="S25" s="7" t="s">
        <v>584</v>
      </c>
      <c r="T25" s="7" t="b">
        <v>0</v>
      </c>
      <c r="U25" s="7" t="s">
        <v>585</v>
      </c>
      <c r="V25" s="27" t="s">
        <v>586</v>
      </c>
      <c r="W25" s="7" t="s">
        <v>945</v>
      </c>
      <c r="X25" s="28"/>
      <c r="Y25" s="28"/>
      <c r="Z25" s="28"/>
    </row>
    <row r="26">
      <c r="A26" s="7" t="s">
        <v>948</v>
      </c>
      <c r="B26" s="7" t="s">
        <v>950</v>
      </c>
      <c r="C26" s="7" t="s">
        <v>951</v>
      </c>
      <c r="D26" s="7" t="s">
        <v>230</v>
      </c>
      <c r="E26" s="7" t="s">
        <v>953</v>
      </c>
      <c r="F26" s="9">
        <v>14.875494</v>
      </c>
      <c r="G26" s="9">
        <v>103.37887</v>
      </c>
      <c r="H26" s="7" t="s">
        <v>576</v>
      </c>
      <c r="I26" s="9">
        <v>137.98</v>
      </c>
      <c r="J26" s="28"/>
      <c r="K26" s="28"/>
      <c r="L26" s="28"/>
      <c r="M26" s="9"/>
      <c r="N26" s="7" t="s">
        <v>579</v>
      </c>
      <c r="O26" s="7" t="s">
        <v>583</v>
      </c>
      <c r="P26" s="9">
        <v>5.0</v>
      </c>
      <c r="Q26" s="28"/>
      <c r="R26" s="9">
        <v>12.4</v>
      </c>
      <c r="S26" s="7" t="s">
        <v>584</v>
      </c>
      <c r="T26" s="7" t="b">
        <v>0</v>
      </c>
      <c r="U26" s="7" t="s">
        <v>585</v>
      </c>
      <c r="V26" s="27" t="s">
        <v>586</v>
      </c>
      <c r="W26" s="7" t="s">
        <v>956</v>
      </c>
      <c r="X26" s="28"/>
      <c r="Y26" s="28"/>
      <c r="Z26" s="28"/>
    </row>
    <row r="27">
      <c r="A27" s="7" t="s">
        <v>957</v>
      </c>
      <c r="B27" s="7" t="s">
        <v>958</v>
      </c>
      <c r="C27" s="7" t="s">
        <v>960</v>
      </c>
      <c r="D27" s="7" t="s">
        <v>116</v>
      </c>
      <c r="E27" s="7" t="s">
        <v>963</v>
      </c>
      <c r="F27" s="9">
        <v>14.42731</v>
      </c>
      <c r="G27" s="9">
        <v>100.55605</v>
      </c>
      <c r="H27" s="7" t="s">
        <v>576</v>
      </c>
      <c r="I27" s="9">
        <v>5.33</v>
      </c>
      <c r="J27" s="28"/>
      <c r="K27" s="28"/>
      <c r="L27" s="28"/>
      <c r="M27" s="9"/>
      <c r="N27" s="7" t="s">
        <v>579</v>
      </c>
      <c r="O27" s="7" t="s">
        <v>583</v>
      </c>
      <c r="P27" s="9">
        <v>5.0</v>
      </c>
      <c r="Q27" s="28"/>
      <c r="R27" s="9">
        <v>12.4</v>
      </c>
      <c r="S27" s="7" t="s">
        <v>584</v>
      </c>
      <c r="T27" s="7" t="b">
        <v>0</v>
      </c>
      <c r="U27" s="7" t="s">
        <v>585</v>
      </c>
      <c r="V27" s="27" t="s">
        <v>586</v>
      </c>
      <c r="W27" s="7" t="s">
        <v>966</v>
      </c>
      <c r="X27" s="28"/>
      <c r="Y27" s="28"/>
      <c r="Z27" s="28"/>
    </row>
    <row r="28">
      <c r="A28" s="7" t="s">
        <v>967</v>
      </c>
      <c r="B28" s="7" t="s">
        <v>968</v>
      </c>
      <c r="C28" s="7" t="s">
        <v>970</v>
      </c>
      <c r="D28" s="7" t="s">
        <v>146</v>
      </c>
      <c r="E28" s="7" t="s">
        <v>575</v>
      </c>
      <c r="F28" s="9">
        <v>13.80096</v>
      </c>
      <c r="G28" s="9">
        <v>100.188026</v>
      </c>
      <c r="H28" s="7" t="s">
        <v>618</v>
      </c>
      <c r="I28" s="9">
        <v>2.23</v>
      </c>
      <c r="J28" s="28"/>
      <c r="K28" s="28"/>
      <c r="L28" s="28"/>
      <c r="M28" s="9">
        <v>1.6</v>
      </c>
      <c r="N28" s="7" t="s">
        <v>579</v>
      </c>
      <c r="O28" s="7" t="s">
        <v>583</v>
      </c>
      <c r="P28" s="9">
        <v>5.0</v>
      </c>
      <c r="Q28" s="28"/>
      <c r="R28" s="9">
        <v>82.4</v>
      </c>
      <c r="S28" s="7" t="s">
        <v>584</v>
      </c>
      <c r="T28" s="7" t="b">
        <v>0</v>
      </c>
      <c r="U28" s="7" t="s">
        <v>585</v>
      </c>
      <c r="V28" s="27" t="s">
        <v>586</v>
      </c>
      <c r="W28" s="7" t="s">
        <v>978</v>
      </c>
      <c r="X28" s="28"/>
      <c r="Y28" s="28"/>
      <c r="Z28" s="28"/>
    </row>
    <row r="29">
      <c r="A29" s="7" t="s">
        <v>979</v>
      </c>
      <c r="B29" s="7" t="s">
        <v>980</v>
      </c>
      <c r="C29" s="7" t="s">
        <v>981</v>
      </c>
      <c r="D29" s="7" t="s">
        <v>163</v>
      </c>
      <c r="E29" s="7" t="s">
        <v>677</v>
      </c>
      <c r="F29" s="9">
        <v>14.05144</v>
      </c>
      <c r="G29" s="9">
        <v>101.367378</v>
      </c>
      <c r="H29" s="7" t="s">
        <v>618</v>
      </c>
      <c r="I29" s="9">
        <v>4.83</v>
      </c>
      <c r="J29" s="28"/>
      <c r="K29" s="28"/>
      <c r="L29" s="28"/>
      <c r="M29" s="9">
        <v>4.13</v>
      </c>
      <c r="N29" s="7" t="s">
        <v>579</v>
      </c>
      <c r="O29" s="7" t="s">
        <v>583</v>
      </c>
      <c r="P29" s="9">
        <v>5.0</v>
      </c>
      <c r="Q29" s="28"/>
      <c r="R29" s="9">
        <v>82.4</v>
      </c>
      <c r="S29" s="7" t="s">
        <v>584</v>
      </c>
      <c r="T29" s="7" t="b">
        <v>0</v>
      </c>
      <c r="U29" s="7" t="s">
        <v>585</v>
      </c>
      <c r="V29" s="27" t="s">
        <v>586</v>
      </c>
      <c r="W29" s="7" t="s">
        <v>989</v>
      </c>
      <c r="X29" s="28"/>
      <c r="Y29" s="28"/>
      <c r="Z29" s="28"/>
    </row>
    <row r="30">
      <c r="A30" s="7" t="s">
        <v>990</v>
      </c>
      <c r="B30" s="7" t="s">
        <v>991</v>
      </c>
      <c r="C30" s="7" t="s">
        <v>992</v>
      </c>
      <c r="D30" s="7" t="s">
        <v>167</v>
      </c>
      <c r="E30" s="7" t="s">
        <v>993</v>
      </c>
      <c r="F30" s="9">
        <v>13.66949</v>
      </c>
      <c r="G30" s="9">
        <v>100.80058</v>
      </c>
      <c r="H30" s="7" t="s">
        <v>995</v>
      </c>
      <c r="I30" s="9">
        <v>0.6</v>
      </c>
      <c r="J30" s="28"/>
      <c r="K30" s="28"/>
      <c r="L30" s="28"/>
      <c r="M30" s="9"/>
      <c r="N30" s="7" t="s">
        <v>579</v>
      </c>
      <c r="O30" s="7" t="s">
        <v>583</v>
      </c>
      <c r="P30" s="9">
        <v>5.0</v>
      </c>
      <c r="Q30" s="28"/>
      <c r="R30" s="9">
        <v>10862.4</v>
      </c>
      <c r="S30" s="7" t="s">
        <v>54</v>
      </c>
      <c r="T30" s="7" t="b">
        <v>0</v>
      </c>
      <c r="U30" s="7" t="s">
        <v>585</v>
      </c>
      <c r="V30" s="27" t="s">
        <v>586</v>
      </c>
      <c r="W30" s="7" t="s">
        <v>1002</v>
      </c>
      <c r="X30" s="28"/>
      <c r="Y30" s="28"/>
      <c r="Z30" s="28"/>
    </row>
    <row r="31">
      <c r="A31" s="7" t="s">
        <v>1003</v>
      </c>
      <c r="B31" s="7" t="s">
        <v>1004</v>
      </c>
      <c r="C31" s="7" t="s">
        <v>1005</v>
      </c>
      <c r="D31" s="7" t="s">
        <v>178</v>
      </c>
      <c r="E31" s="7" t="s">
        <v>1006</v>
      </c>
      <c r="F31" s="9">
        <v>12.802991</v>
      </c>
      <c r="G31" s="9">
        <v>101.65024</v>
      </c>
      <c r="H31" s="7" t="s">
        <v>576</v>
      </c>
      <c r="I31" s="9">
        <v>4.37</v>
      </c>
      <c r="J31" s="28"/>
      <c r="K31" s="28"/>
      <c r="L31" s="28"/>
      <c r="M31" s="9"/>
      <c r="N31" s="7" t="s">
        <v>579</v>
      </c>
      <c r="O31" s="7" t="s">
        <v>583</v>
      </c>
      <c r="P31" s="9">
        <v>5.0</v>
      </c>
      <c r="Q31" s="28"/>
      <c r="R31" s="9">
        <v>12.4</v>
      </c>
      <c r="S31" s="7" t="s">
        <v>584</v>
      </c>
      <c r="T31" s="7" t="b">
        <v>0</v>
      </c>
      <c r="U31" s="7" t="s">
        <v>585</v>
      </c>
      <c r="V31" s="27" t="s">
        <v>586</v>
      </c>
      <c r="W31" s="7" t="s">
        <v>1012</v>
      </c>
      <c r="X31" s="28"/>
      <c r="Y31" s="28"/>
      <c r="Z31" s="28"/>
    </row>
    <row r="32">
      <c r="A32" s="7" t="s">
        <v>1013</v>
      </c>
      <c r="B32" s="7" t="s">
        <v>1014</v>
      </c>
      <c r="C32" s="7" t="s">
        <v>1015</v>
      </c>
      <c r="D32" s="7" t="s">
        <v>116</v>
      </c>
      <c r="E32" s="7" t="s">
        <v>1016</v>
      </c>
      <c r="F32" s="9">
        <v>14.56014</v>
      </c>
      <c r="G32" s="9">
        <v>100.71987</v>
      </c>
      <c r="H32" s="7" t="s">
        <v>576</v>
      </c>
      <c r="I32" s="9">
        <v>6.85</v>
      </c>
      <c r="J32" s="28"/>
      <c r="K32" s="28"/>
      <c r="L32" s="28"/>
      <c r="M32" s="9"/>
      <c r="N32" s="7" t="s">
        <v>579</v>
      </c>
      <c r="O32" s="7" t="s">
        <v>583</v>
      </c>
      <c r="P32" s="9">
        <v>5.0</v>
      </c>
      <c r="Q32" s="28"/>
      <c r="R32" s="9">
        <v>12.4</v>
      </c>
      <c r="S32" s="7" t="s">
        <v>584</v>
      </c>
      <c r="T32" s="7" t="b">
        <v>0</v>
      </c>
      <c r="U32" s="7" t="s">
        <v>585</v>
      </c>
      <c r="V32" s="27" t="s">
        <v>586</v>
      </c>
      <c r="W32" s="7" t="s">
        <v>1024</v>
      </c>
      <c r="X32" s="28"/>
      <c r="Y32" s="28"/>
      <c r="Z32" s="28"/>
    </row>
    <row r="33">
      <c r="A33" s="7" t="s">
        <v>1026</v>
      </c>
      <c r="B33" s="7" t="s">
        <v>1027</v>
      </c>
      <c r="C33" s="7" t="s">
        <v>1028</v>
      </c>
      <c r="D33" s="7" t="s">
        <v>116</v>
      </c>
      <c r="E33" s="7" t="s">
        <v>911</v>
      </c>
      <c r="F33" s="9">
        <v>14.30455</v>
      </c>
      <c r="G33" s="9">
        <v>100.56645</v>
      </c>
      <c r="H33" s="7" t="s">
        <v>576</v>
      </c>
      <c r="I33" s="9">
        <v>3.31</v>
      </c>
      <c r="J33" s="28"/>
      <c r="K33" s="28"/>
      <c r="L33" s="28"/>
      <c r="M33" s="9"/>
      <c r="N33" s="7" t="s">
        <v>579</v>
      </c>
      <c r="O33" s="7" t="s">
        <v>583</v>
      </c>
      <c r="P33" s="9">
        <v>5.0</v>
      </c>
      <c r="Q33" s="28"/>
      <c r="R33" s="9">
        <v>12.4</v>
      </c>
      <c r="S33" s="7" t="s">
        <v>584</v>
      </c>
      <c r="T33" s="7" t="b">
        <v>0</v>
      </c>
      <c r="U33" s="7" t="s">
        <v>585</v>
      </c>
      <c r="V33" s="27" t="s">
        <v>586</v>
      </c>
      <c r="W33" s="7" t="s">
        <v>1039</v>
      </c>
      <c r="X33" s="28"/>
      <c r="Y33" s="28"/>
      <c r="Z33" s="28"/>
    </row>
    <row r="34">
      <c r="A34" s="7" t="s">
        <v>1043</v>
      </c>
      <c r="B34" s="7" t="s">
        <v>1045</v>
      </c>
      <c r="C34" s="7" t="s">
        <v>1046</v>
      </c>
      <c r="D34" s="7" t="s">
        <v>61</v>
      </c>
      <c r="E34" s="7" t="s">
        <v>1047</v>
      </c>
      <c r="F34" s="9">
        <v>16.8586</v>
      </c>
      <c r="G34" s="9">
        <v>100.05965</v>
      </c>
      <c r="H34" s="7" t="s">
        <v>576</v>
      </c>
      <c r="I34" s="9">
        <v>41.04</v>
      </c>
      <c r="J34" s="28"/>
      <c r="K34" s="28"/>
      <c r="L34" s="28"/>
      <c r="M34" s="9"/>
      <c r="N34" s="7" t="s">
        <v>579</v>
      </c>
      <c r="O34" s="7" t="s">
        <v>583</v>
      </c>
      <c r="P34" s="9">
        <v>5.0</v>
      </c>
      <c r="Q34" s="28"/>
      <c r="R34" s="9">
        <v>12.4</v>
      </c>
      <c r="S34" s="7" t="s">
        <v>584</v>
      </c>
      <c r="T34" s="7" t="b">
        <v>0</v>
      </c>
      <c r="U34" s="7" t="s">
        <v>585</v>
      </c>
      <c r="V34" s="27" t="s">
        <v>586</v>
      </c>
      <c r="W34" s="7" t="s">
        <v>1053</v>
      </c>
      <c r="X34" s="28"/>
      <c r="Y34" s="28"/>
      <c r="Z34" s="28"/>
    </row>
    <row r="35">
      <c r="A35" s="7" t="s">
        <v>1056</v>
      </c>
      <c r="B35" s="7" t="s">
        <v>1058</v>
      </c>
      <c r="C35" s="7" t="s">
        <v>1059</v>
      </c>
      <c r="D35" s="7" t="s">
        <v>163</v>
      </c>
      <c r="E35" s="7" t="s">
        <v>662</v>
      </c>
      <c r="F35" s="9">
        <v>13.91009</v>
      </c>
      <c r="G35" s="9">
        <v>101.838211</v>
      </c>
      <c r="H35" s="7" t="s">
        <v>618</v>
      </c>
      <c r="I35" s="9">
        <v>16.83</v>
      </c>
      <c r="J35" s="28"/>
      <c r="K35" s="28"/>
      <c r="L35" s="28"/>
      <c r="M35" s="9"/>
      <c r="N35" s="7" t="s">
        <v>579</v>
      </c>
      <c r="O35" s="7" t="s">
        <v>583</v>
      </c>
      <c r="P35" s="9">
        <v>5.0</v>
      </c>
      <c r="Q35" s="28"/>
      <c r="R35" s="9">
        <v>82.4</v>
      </c>
      <c r="S35" s="7" t="s">
        <v>584</v>
      </c>
      <c r="T35" s="7" t="b">
        <v>0</v>
      </c>
      <c r="U35" s="7" t="s">
        <v>585</v>
      </c>
      <c r="V35" s="27" t="s">
        <v>586</v>
      </c>
      <c r="W35" s="7" t="s">
        <v>1064</v>
      </c>
      <c r="X35" s="28"/>
      <c r="Y35" s="28"/>
      <c r="Z35" s="28"/>
    </row>
    <row r="36">
      <c r="A36" s="7" t="s">
        <v>1066</v>
      </c>
      <c r="B36" s="7" t="s">
        <v>1068</v>
      </c>
      <c r="C36" s="7" t="s">
        <v>1070</v>
      </c>
      <c r="D36" s="7" t="s">
        <v>146</v>
      </c>
      <c r="E36" s="7" t="s">
        <v>575</v>
      </c>
      <c r="F36" s="9">
        <v>14.01636</v>
      </c>
      <c r="G36" s="9">
        <v>100.17979</v>
      </c>
      <c r="H36" s="7" t="s">
        <v>576</v>
      </c>
      <c r="I36" s="9">
        <v>2.79</v>
      </c>
      <c r="J36" s="28"/>
      <c r="K36" s="28"/>
      <c r="L36" s="28"/>
      <c r="M36" s="9"/>
      <c r="N36" s="7" t="s">
        <v>579</v>
      </c>
      <c r="O36" s="7" t="s">
        <v>583</v>
      </c>
      <c r="P36" s="9">
        <v>5.0</v>
      </c>
      <c r="Q36" s="28"/>
      <c r="R36" s="9">
        <v>12.4</v>
      </c>
      <c r="S36" s="7" t="s">
        <v>584</v>
      </c>
      <c r="T36" s="7" t="b">
        <v>0</v>
      </c>
      <c r="U36" s="7" t="s">
        <v>585</v>
      </c>
      <c r="V36" s="27" t="s">
        <v>586</v>
      </c>
      <c r="W36" s="7" t="s">
        <v>1077</v>
      </c>
      <c r="X36" s="28"/>
      <c r="Y36" s="28"/>
      <c r="Z36" s="28"/>
    </row>
    <row r="37">
      <c r="A37" s="7" t="s">
        <v>1080</v>
      </c>
      <c r="B37" s="7" t="s">
        <v>1081</v>
      </c>
      <c r="C37" s="7" t="s">
        <v>1083</v>
      </c>
      <c r="D37" s="7" t="s">
        <v>154</v>
      </c>
      <c r="E37" s="7" t="s">
        <v>1084</v>
      </c>
      <c r="F37" s="9">
        <v>14.48943</v>
      </c>
      <c r="G37" s="9">
        <v>99.469788</v>
      </c>
      <c r="H37" s="7" t="s">
        <v>618</v>
      </c>
      <c r="I37" s="9">
        <v>103.19</v>
      </c>
      <c r="J37" s="28"/>
      <c r="K37" s="28"/>
      <c r="L37" s="28"/>
      <c r="M37" s="9"/>
      <c r="N37" s="7" t="s">
        <v>579</v>
      </c>
      <c r="O37" s="7" t="s">
        <v>583</v>
      </c>
      <c r="P37" s="9">
        <v>5.0</v>
      </c>
      <c r="Q37" s="28"/>
      <c r="R37" s="9">
        <v>82.4</v>
      </c>
      <c r="S37" s="7" t="s">
        <v>584</v>
      </c>
      <c r="T37" s="7" t="b">
        <v>0</v>
      </c>
      <c r="U37" s="7" t="s">
        <v>585</v>
      </c>
      <c r="V37" s="27" t="s">
        <v>586</v>
      </c>
      <c r="W37" s="7" t="s">
        <v>1088</v>
      </c>
      <c r="X37" s="28"/>
      <c r="Y37" s="28"/>
      <c r="Z37" s="28"/>
    </row>
    <row r="38">
      <c r="A38" s="7" t="s">
        <v>1092</v>
      </c>
      <c r="B38" s="7" t="s">
        <v>1093</v>
      </c>
      <c r="C38" s="7" t="s">
        <v>1094</v>
      </c>
      <c r="D38" s="7" t="s">
        <v>116</v>
      </c>
      <c r="E38" s="7" t="s">
        <v>716</v>
      </c>
      <c r="F38" s="9">
        <v>14.36319</v>
      </c>
      <c r="G38" s="9">
        <v>100.484833</v>
      </c>
      <c r="H38" s="7" t="s">
        <v>618</v>
      </c>
      <c r="I38" s="9">
        <v>4.49</v>
      </c>
      <c r="J38" s="28"/>
      <c r="K38" s="28"/>
      <c r="L38" s="28"/>
      <c r="M38" s="9"/>
      <c r="N38" s="7" t="s">
        <v>579</v>
      </c>
      <c r="O38" s="7" t="s">
        <v>583</v>
      </c>
      <c r="P38" s="9">
        <v>5.0</v>
      </c>
      <c r="Q38" s="28"/>
      <c r="R38" s="9">
        <v>82.4</v>
      </c>
      <c r="S38" s="7" t="s">
        <v>584</v>
      </c>
      <c r="T38" s="7" t="b">
        <v>0</v>
      </c>
      <c r="U38" s="7" t="s">
        <v>585</v>
      </c>
      <c r="V38" s="27" t="s">
        <v>586</v>
      </c>
      <c r="W38" s="7" t="s">
        <v>1103</v>
      </c>
      <c r="X38" s="28"/>
      <c r="Y38" s="28"/>
      <c r="Z38" s="28"/>
    </row>
    <row r="39">
      <c r="A39" s="7" t="s">
        <v>1104</v>
      </c>
      <c r="B39" s="7" t="s">
        <v>1105</v>
      </c>
      <c r="C39" s="7" t="s">
        <v>1106</v>
      </c>
      <c r="D39" s="7" t="s">
        <v>116</v>
      </c>
      <c r="E39" s="7" t="s">
        <v>1107</v>
      </c>
      <c r="F39" s="9">
        <v>14.288251</v>
      </c>
      <c r="G39" s="9">
        <v>100.61132</v>
      </c>
      <c r="H39" s="7" t="s">
        <v>576</v>
      </c>
      <c r="I39" s="9">
        <v>2.74</v>
      </c>
      <c r="J39" s="28"/>
      <c r="K39" s="28"/>
      <c r="L39" s="28"/>
      <c r="M39" s="9"/>
      <c r="N39" s="7" t="s">
        <v>579</v>
      </c>
      <c r="O39" s="7" t="s">
        <v>583</v>
      </c>
      <c r="P39" s="9">
        <v>5.0</v>
      </c>
      <c r="Q39" s="28"/>
      <c r="R39" s="9">
        <v>12.4</v>
      </c>
      <c r="S39" s="7" t="s">
        <v>584</v>
      </c>
      <c r="T39" s="7" t="b">
        <v>0</v>
      </c>
      <c r="U39" s="7" t="s">
        <v>585</v>
      </c>
      <c r="V39" s="27" t="s">
        <v>586</v>
      </c>
      <c r="W39" s="7" t="s">
        <v>1113</v>
      </c>
      <c r="X39" s="28"/>
      <c r="Y39" s="28"/>
      <c r="Z39" s="28"/>
    </row>
    <row r="40">
      <c r="A40" s="7" t="s">
        <v>1114</v>
      </c>
      <c r="B40" s="7" t="s">
        <v>1115</v>
      </c>
      <c r="C40" s="7" t="s">
        <v>1117</v>
      </c>
      <c r="D40" s="7" t="s">
        <v>77</v>
      </c>
      <c r="E40" s="7" t="s">
        <v>1016</v>
      </c>
      <c r="F40" s="9">
        <v>16.11497</v>
      </c>
      <c r="G40" s="9">
        <v>101.09709</v>
      </c>
      <c r="H40" s="7" t="s">
        <v>576</v>
      </c>
      <c r="I40" s="9">
        <v>93.77</v>
      </c>
      <c r="J40" s="28"/>
      <c r="K40" s="28"/>
      <c r="L40" s="28"/>
      <c r="M40" s="9"/>
      <c r="N40" s="7" t="s">
        <v>579</v>
      </c>
      <c r="O40" s="7" t="s">
        <v>583</v>
      </c>
      <c r="P40" s="9">
        <v>5.0</v>
      </c>
      <c r="Q40" s="28"/>
      <c r="R40" s="9">
        <v>12.4</v>
      </c>
      <c r="S40" s="7" t="s">
        <v>584</v>
      </c>
      <c r="T40" s="7" t="b">
        <v>0</v>
      </c>
      <c r="U40" s="7" t="s">
        <v>585</v>
      </c>
      <c r="V40" s="27" t="s">
        <v>586</v>
      </c>
      <c r="W40" s="7" t="s">
        <v>1124</v>
      </c>
      <c r="X40" s="28"/>
      <c r="Y40" s="28"/>
      <c r="Z40" s="28"/>
    </row>
    <row r="41">
      <c r="A41" s="7" t="s">
        <v>1125</v>
      </c>
      <c r="B41" s="7" t="s">
        <v>1126</v>
      </c>
      <c r="C41" s="7" t="s">
        <v>1127</v>
      </c>
      <c r="D41" s="7" t="s">
        <v>108</v>
      </c>
      <c r="E41" s="7" t="s">
        <v>1128</v>
      </c>
      <c r="F41" s="9">
        <v>14.113633</v>
      </c>
      <c r="G41" s="9">
        <v>101.01952</v>
      </c>
      <c r="H41" s="7" t="s">
        <v>1130</v>
      </c>
      <c r="I41" s="9">
        <v>2.79</v>
      </c>
      <c r="J41" s="28"/>
      <c r="K41" s="28"/>
      <c r="L41" s="28"/>
      <c r="M41" s="9"/>
      <c r="N41" s="7" t="s">
        <v>579</v>
      </c>
      <c r="O41" s="7" t="s">
        <v>583</v>
      </c>
      <c r="P41" s="9">
        <v>5.0</v>
      </c>
      <c r="Q41" s="28"/>
      <c r="R41" s="9">
        <v>6082.4</v>
      </c>
      <c r="S41" s="7" t="s">
        <v>54</v>
      </c>
      <c r="T41" s="7" t="b">
        <v>0</v>
      </c>
      <c r="U41" s="7" t="s">
        <v>585</v>
      </c>
      <c r="V41" s="27" t="s">
        <v>586</v>
      </c>
      <c r="W41" s="7" t="s">
        <v>1138</v>
      </c>
      <c r="X41" s="28"/>
      <c r="Y41" s="28"/>
      <c r="Z41" s="28"/>
    </row>
    <row r="42">
      <c r="A42" s="7" t="s">
        <v>1139</v>
      </c>
      <c r="B42" s="7" t="s">
        <v>1140</v>
      </c>
      <c r="C42" s="7" t="s">
        <v>515</v>
      </c>
      <c r="D42" s="7" t="s">
        <v>61</v>
      </c>
      <c r="E42" s="7" t="s">
        <v>1047</v>
      </c>
      <c r="F42" s="9">
        <v>16.757919</v>
      </c>
      <c r="G42" s="9">
        <v>100.115578</v>
      </c>
      <c r="H42" s="7" t="s">
        <v>618</v>
      </c>
      <c r="I42" s="9">
        <v>39.21</v>
      </c>
      <c r="J42" s="28"/>
      <c r="K42" s="28"/>
      <c r="L42" s="28"/>
      <c r="M42" s="9"/>
      <c r="N42" s="7" t="s">
        <v>579</v>
      </c>
      <c r="O42" s="7" t="s">
        <v>583</v>
      </c>
      <c r="P42" s="9">
        <v>5.0</v>
      </c>
      <c r="Q42" s="28"/>
      <c r="R42" s="9">
        <v>82.4</v>
      </c>
      <c r="S42" s="7" t="s">
        <v>584</v>
      </c>
      <c r="T42" s="7" t="b">
        <v>0</v>
      </c>
      <c r="U42" s="7" t="s">
        <v>585</v>
      </c>
      <c r="V42" s="27" t="s">
        <v>586</v>
      </c>
      <c r="W42" s="7" t="s">
        <v>1153</v>
      </c>
      <c r="X42" s="28"/>
      <c r="Y42" s="28"/>
      <c r="Z42" s="28"/>
    </row>
    <row r="43">
      <c r="A43" s="7" t="s">
        <v>1154</v>
      </c>
      <c r="B43" s="7" t="s">
        <v>1155</v>
      </c>
      <c r="C43" s="7" t="s">
        <v>515</v>
      </c>
      <c r="D43" s="7" t="s">
        <v>61</v>
      </c>
      <c r="E43" s="7" t="s">
        <v>1047</v>
      </c>
      <c r="F43" s="9">
        <v>16.762119</v>
      </c>
      <c r="G43" s="9">
        <v>100.121201</v>
      </c>
      <c r="H43" s="7" t="s">
        <v>618</v>
      </c>
      <c r="I43" s="9">
        <v>39.16</v>
      </c>
      <c r="J43" s="28"/>
      <c r="K43" s="28"/>
      <c r="L43" s="28"/>
      <c r="M43" s="9"/>
      <c r="N43" s="7" t="s">
        <v>579</v>
      </c>
      <c r="O43" s="7" t="s">
        <v>583</v>
      </c>
      <c r="P43" s="9">
        <v>5.0</v>
      </c>
      <c r="Q43" s="28"/>
      <c r="R43" s="9">
        <v>82.4</v>
      </c>
      <c r="S43" s="7" t="s">
        <v>584</v>
      </c>
      <c r="T43" s="7" t="b">
        <v>0</v>
      </c>
      <c r="U43" s="7" t="s">
        <v>585</v>
      </c>
      <c r="V43" s="27" t="s">
        <v>586</v>
      </c>
      <c r="W43" s="7" t="s">
        <v>1162</v>
      </c>
      <c r="X43" s="28"/>
      <c r="Y43" s="28"/>
      <c r="Z43" s="28"/>
    </row>
    <row r="44">
      <c r="A44" s="7" t="s">
        <v>1163</v>
      </c>
      <c r="B44" s="7" t="s">
        <v>1164</v>
      </c>
      <c r="C44" s="7" t="s">
        <v>1165</v>
      </c>
      <c r="D44" s="7" t="s">
        <v>312</v>
      </c>
      <c r="E44" s="7" t="s">
        <v>1166</v>
      </c>
      <c r="F44" s="9">
        <v>13.79965</v>
      </c>
      <c r="G44" s="9">
        <v>100.43863</v>
      </c>
      <c r="H44" s="7" t="s">
        <v>576</v>
      </c>
      <c r="I44" s="9">
        <v>2.21</v>
      </c>
      <c r="J44" s="28"/>
      <c r="K44" s="28"/>
      <c r="L44" s="28"/>
      <c r="M44" s="9"/>
      <c r="N44" s="7" t="s">
        <v>579</v>
      </c>
      <c r="O44" s="7" t="s">
        <v>583</v>
      </c>
      <c r="P44" s="9">
        <v>5.0</v>
      </c>
      <c r="Q44" s="28"/>
      <c r="R44" s="9">
        <v>12.4</v>
      </c>
      <c r="S44" s="7" t="s">
        <v>584</v>
      </c>
      <c r="T44" s="7" t="b">
        <v>0</v>
      </c>
      <c r="U44" s="7" t="s">
        <v>585</v>
      </c>
      <c r="V44" s="27" t="s">
        <v>586</v>
      </c>
      <c r="W44" s="7" t="s">
        <v>1176</v>
      </c>
      <c r="X44" s="28"/>
      <c r="Y44" s="28"/>
      <c r="Z44" s="28"/>
    </row>
    <row r="45">
      <c r="A45" s="7" t="s">
        <v>1177</v>
      </c>
      <c r="B45" s="7" t="s">
        <v>1178</v>
      </c>
      <c r="C45" s="7" t="s">
        <v>1179</v>
      </c>
      <c r="D45" s="7" t="s">
        <v>146</v>
      </c>
      <c r="E45" s="7" t="s">
        <v>575</v>
      </c>
      <c r="F45" s="9">
        <v>13.72411</v>
      </c>
      <c r="G45" s="9">
        <v>100.215683</v>
      </c>
      <c r="H45" s="7" t="s">
        <v>618</v>
      </c>
      <c r="I45" s="9">
        <v>1.78</v>
      </c>
      <c r="J45" s="28"/>
      <c r="K45" s="28"/>
      <c r="L45" s="28"/>
      <c r="M45" s="9"/>
      <c r="N45" s="7" t="s">
        <v>579</v>
      </c>
      <c r="O45" s="7" t="s">
        <v>583</v>
      </c>
      <c r="P45" s="9">
        <v>5.0</v>
      </c>
      <c r="Q45" s="28"/>
      <c r="R45" s="9">
        <v>82.4</v>
      </c>
      <c r="S45" s="7" t="s">
        <v>584</v>
      </c>
      <c r="T45" s="7" t="b">
        <v>0</v>
      </c>
      <c r="U45" s="7" t="s">
        <v>585</v>
      </c>
      <c r="V45" s="27" t="s">
        <v>586</v>
      </c>
      <c r="W45" s="7" t="s">
        <v>1186</v>
      </c>
      <c r="X45" s="28"/>
      <c r="Y45" s="28"/>
      <c r="Z45" s="28"/>
    </row>
    <row r="46">
      <c r="A46" s="7" t="s">
        <v>1187</v>
      </c>
      <c r="B46" s="7" t="s">
        <v>1188</v>
      </c>
      <c r="C46" s="7" t="s">
        <v>1189</v>
      </c>
      <c r="D46" s="7" t="s">
        <v>312</v>
      </c>
      <c r="E46" s="7" t="s">
        <v>1190</v>
      </c>
      <c r="F46" s="9">
        <v>13.93183</v>
      </c>
      <c r="G46" s="9">
        <v>100.63952</v>
      </c>
      <c r="H46" s="7" t="s">
        <v>576</v>
      </c>
      <c r="I46" s="9">
        <v>2.05</v>
      </c>
      <c r="J46" s="28"/>
      <c r="K46" s="28"/>
      <c r="L46" s="28"/>
      <c r="M46" s="9"/>
      <c r="N46" s="7" t="s">
        <v>579</v>
      </c>
      <c r="O46" s="7" t="s">
        <v>583</v>
      </c>
      <c r="P46" s="9">
        <v>5.0</v>
      </c>
      <c r="Q46" s="28"/>
      <c r="R46" s="9">
        <v>12.4</v>
      </c>
      <c r="S46" s="7" t="s">
        <v>584</v>
      </c>
      <c r="T46" s="7" t="b">
        <v>0</v>
      </c>
      <c r="U46" s="7" t="s">
        <v>585</v>
      </c>
      <c r="V46" s="27" t="s">
        <v>586</v>
      </c>
      <c r="W46" s="7" t="s">
        <v>1197</v>
      </c>
      <c r="X46" s="28"/>
      <c r="Y46" s="28"/>
      <c r="Z46" s="28"/>
    </row>
    <row r="47">
      <c r="A47" s="7" t="s">
        <v>1198</v>
      </c>
      <c r="B47" s="7" t="s">
        <v>1199</v>
      </c>
      <c r="C47" s="7" t="s">
        <v>1200</v>
      </c>
      <c r="D47" s="7" t="s">
        <v>84</v>
      </c>
      <c r="E47" s="7" t="s">
        <v>1202</v>
      </c>
      <c r="F47" s="9">
        <v>15.91465</v>
      </c>
      <c r="G47" s="9">
        <v>99.4194</v>
      </c>
      <c r="H47" s="7" t="s">
        <v>576</v>
      </c>
      <c r="I47" s="9">
        <v>118.42</v>
      </c>
      <c r="J47" s="28"/>
      <c r="K47" s="28"/>
      <c r="L47" s="28"/>
      <c r="M47" s="9"/>
      <c r="N47" s="7" t="s">
        <v>579</v>
      </c>
      <c r="O47" s="7" t="s">
        <v>583</v>
      </c>
      <c r="P47" s="9">
        <v>5.0</v>
      </c>
      <c r="Q47" s="28"/>
      <c r="R47" s="9">
        <v>12.4</v>
      </c>
      <c r="S47" s="7" t="s">
        <v>584</v>
      </c>
      <c r="T47" s="7" t="b">
        <v>0</v>
      </c>
      <c r="U47" s="7" t="s">
        <v>585</v>
      </c>
      <c r="V47" s="27" t="s">
        <v>586</v>
      </c>
      <c r="W47" s="7" t="s">
        <v>1208</v>
      </c>
      <c r="X47" s="28"/>
      <c r="Y47" s="28"/>
      <c r="Z47" s="28"/>
    </row>
    <row r="48">
      <c r="A48" s="7" t="s">
        <v>1209</v>
      </c>
      <c r="B48" s="7" t="s">
        <v>1210</v>
      </c>
      <c r="C48" s="7" t="s">
        <v>1211</v>
      </c>
      <c r="D48" s="7" t="s">
        <v>163</v>
      </c>
      <c r="E48" s="7" t="s">
        <v>1212</v>
      </c>
      <c r="F48" s="9">
        <v>14.02174</v>
      </c>
      <c r="G48" s="9">
        <v>101.750664</v>
      </c>
      <c r="H48" s="7" t="s">
        <v>618</v>
      </c>
      <c r="I48" s="9">
        <v>12.42</v>
      </c>
      <c r="J48" s="28"/>
      <c r="K48" s="28"/>
      <c r="L48" s="28"/>
      <c r="M48" s="9"/>
      <c r="N48" s="7" t="s">
        <v>579</v>
      </c>
      <c r="O48" s="7" t="s">
        <v>583</v>
      </c>
      <c r="P48" s="9">
        <v>5.0</v>
      </c>
      <c r="Q48" s="28"/>
      <c r="R48" s="9">
        <v>82.4</v>
      </c>
      <c r="S48" s="7" t="s">
        <v>584</v>
      </c>
      <c r="T48" s="7" t="b">
        <v>0</v>
      </c>
      <c r="U48" s="7" t="s">
        <v>585</v>
      </c>
      <c r="V48" s="27" t="s">
        <v>586</v>
      </c>
      <c r="W48" s="7" t="s">
        <v>1222</v>
      </c>
      <c r="X48" s="28"/>
      <c r="Y48" s="28"/>
      <c r="Z48" s="28"/>
    </row>
    <row r="49">
      <c r="A49" s="7" t="s">
        <v>1223</v>
      </c>
      <c r="B49" s="7" t="s">
        <v>1224</v>
      </c>
      <c r="C49" s="7" t="s">
        <v>1225</v>
      </c>
      <c r="D49" s="7" t="s">
        <v>146</v>
      </c>
      <c r="E49" s="7" t="s">
        <v>575</v>
      </c>
      <c r="F49" s="9">
        <v>13.79217</v>
      </c>
      <c r="G49" s="9">
        <v>100.19817</v>
      </c>
      <c r="H49" s="7" t="s">
        <v>576</v>
      </c>
      <c r="I49" s="9">
        <v>2.08</v>
      </c>
      <c r="J49" s="28"/>
      <c r="K49" s="28"/>
      <c r="L49" s="28"/>
      <c r="M49" s="9"/>
      <c r="N49" s="7" t="s">
        <v>579</v>
      </c>
      <c r="O49" s="7" t="s">
        <v>583</v>
      </c>
      <c r="P49" s="9">
        <v>5.0</v>
      </c>
      <c r="Q49" s="28"/>
      <c r="R49" s="9">
        <v>12.4</v>
      </c>
      <c r="S49" s="7" t="s">
        <v>584</v>
      </c>
      <c r="T49" s="7" t="b">
        <v>0</v>
      </c>
      <c r="U49" s="7" t="s">
        <v>585</v>
      </c>
      <c r="V49" s="27" t="s">
        <v>586</v>
      </c>
      <c r="W49" s="7" t="s">
        <v>1232</v>
      </c>
      <c r="X49" s="28"/>
      <c r="Y49" s="28"/>
      <c r="Z49" s="28"/>
    </row>
    <row r="50">
      <c r="A50" s="7" t="s">
        <v>1234</v>
      </c>
      <c r="B50" s="7" t="s">
        <v>1235</v>
      </c>
      <c r="C50" s="7" t="s">
        <v>1236</v>
      </c>
      <c r="D50" s="7" t="s">
        <v>312</v>
      </c>
      <c r="E50" s="7" t="s">
        <v>1238</v>
      </c>
      <c r="F50" s="9">
        <v>13.7407</v>
      </c>
      <c r="G50" s="9">
        <v>100.79468</v>
      </c>
      <c r="H50" s="7" t="s">
        <v>1242</v>
      </c>
      <c r="I50" s="9">
        <v>0.65</v>
      </c>
      <c r="J50" s="28"/>
      <c r="K50" s="28"/>
      <c r="L50" s="28"/>
      <c r="M50" s="28"/>
      <c r="N50" s="7" t="s">
        <v>579</v>
      </c>
      <c r="O50" s="7" t="s">
        <v>583</v>
      </c>
      <c r="P50" s="9">
        <v>5.0</v>
      </c>
      <c r="Q50" s="28"/>
      <c r="R50" s="9">
        <v>8462.4</v>
      </c>
      <c r="S50" s="7" t="s">
        <v>54</v>
      </c>
      <c r="T50" s="7" t="b">
        <v>0</v>
      </c>
      <c r="U50" s="7" t="s">
        <v>585</v>
      </c>
      <c r="V50" s="27" t="s">
        <v>586</v>
      </c>
      <c r="W50" s="7" t="s">
        <v>1246</v>
      </c>
      <c r="X50" s="28"/>
      <c r="Y50" s="28"/>
      <c r="Z50" s="28"/>
    </row>
    <row r="51">
      <c r="A51" s="7" t="s">
        <v>1247</v>
      </c>
      <c r="B51" s="7" t="s">
        <v>1248</v>
      </c>
      <c r="C51" s="7" t="s">
        <v>1250</v>
      </c>
      <c r="D51" s="7" t="s">
        <v>116</v>
      </c>
      <c r="E51" s="7" t="s">
        <v>1016</v>
      </c>
      <c r="F51" s="9">
        <v>14.40269</v>
      </c>
      <c r="G51" s="9">
        <v>100.5864</v>
      </c>
      <c r="H51" s="7" t="s">
        <v>576</v>
      </c>
      <c r="I51" s="9">
        <v>3.93</v>
      </c>
      <c r="J51" s="28"/>
      <c r="K51" s="28"/>
      <c r="L51" s="28"/>
      <c r="M51" s="9"/>
      <c r="N51" s="7" t="s">
        <v>579</v>
      </c>
      <c r="O51" s="7" t="s">
        <v>583</v>
      </c>
      <c r="P51" s="9">
        <v>5.0</v>
      </c>
      <c r="Q51" s="28"/>
      <c r="R51" s="9">
        <v>12.4</v>
      </c>
      <c r="S51" s="7" t="s">
        <v>584</v>
      </c>
      <c r="T51" s="7" t="b">
        <v>0</v>
      </c>
      <c r="U51" s="7" t="s">
        <v>585</v>
      </c>
      <c r="V51" s="27" t="s">
        <v>586</v>
      </c>
      <c r="W51" s="7" t="s">
        <v>1258</v>
      </c>
      <c r="X51" s="28"/>
      <c r="Y51" s="28"/>
      <c r="Z51" s="28"/>
    </row>
    <row r="52">
      <c r="A52" s="7" t="s">
        <v>1259</v>
      </c>
      <c r="B52" s="7" t="s">
        <v>1261</v>
      </c>
      <c r="C52" s="7" t="s">
        <v>1263</v>
      </c>
      <c r="D52" s="7" t="s">
        <v>136</v>
      </c>
      <c r="E52" s="7" t="s">
        <v>575</v>
      </c>
      <c r="F52" s="9">
        <v>14.75138</v>
      </c>
      <c r="G52" s="9">
        <v>100.09592</v>
      </c>
      <c r="H52" s="7" t="s">
        <v>576</v>
      </c>
      <c r="I52" s="9">
        <v>7.96</v>
      </c>
      <c r="J52" s="28"/>
      <c r="K52" s="28"/>
      <c r="L52" s="28"/>
      <c r="M52" s="9"/>
      <c r="N52" s="7" t="s">
        <v>579</v>
      </c>
      <c r="O52" s="7" t="s">
        <v>583</v>
      </c>
      <c r="P52" s="9">
        <v>5.0</v>
      </c>
      <c r="Q52" s="28"/>
      <c r="R52" s="9">
        <v>12.4</v>
      </c>
      <c r="S52" s="7" t="s">
        <v>584</v>
      </c>
      <c r="T52" s="7" t="b">
        <v>0</v>
      </c>
      <c r="U52" s="7" t="s">
        <v>585</v>
      </c>
      <c r="V52" s="27" t="s">
        <v>586</v>
      </c>
      <c r="W52" s="7" t="s">
        <v>1272</v>
      </c>
      <c r="X52" s="28"/>
      <c r="Y52" s="28"/>
      <c r="Z52" s="28"/>
    </row>
    <row r="53">
      <c r="A53" s="7" t="s">
        <v>1275</v>
      </c>
      <c r="B53" s="7" t="s">
        <v>1277</v>
      </c>
      <c r="C53" s="7" t="s">
        <v>1278</v>
      </c>
      <c r="D53" s="7" t="s">
        <v>98</v>
      </c>
      <c r="E53" s="7" t="s">
        <v>911</v>
      </c>
      <c r="F53" s="9">
        <v>13.94749</v>
      </c>
      <c r="G53" s="9">
        <v>100.53507</v>
      </c>
      <c r="H53" s="7" t="s">
        <v>576</v>
      </c>
      <c r="I53" s="9">
        <v>2.55</v>
      </c>
      <c r="J53" s="28"/>
      <c r="K53" s="28"/>
      <c r="L53" s="28"/>
      <c r="M53" s="9"/>
      <c r="N53" s="7" t="s">
        <v>579</v>
      </c>
      <c r="O53" s="7" t="s">
        <v>583</v>
      </c>
      <c r="P53" s="9">
        <v>5.0</v>
      </c>
      <c r="Q53" s="28"/>
      <c r="R53" s="9">
        <v>12.4</v>
      </c>
      <c r="S53" s="7" t="s">
        <v>584</v>
      </c>
      <c r="T53" s="7" t="b">
        <v>0</v>
      </c>
      <c r="U53" s="7" t="s">
        <v>585</v>
      </c>
      <c r="V53" s="27" t="s">
        <v>586</v>
      </c>
      <c r="W53" s="7" t="s">
        <v>1283</v>
      </c>
      <c r="X53" s="28"/>
      <c r="Y53" s="28"/>
      <c r="Z53" s="28"/>
    </row>
    <row r="54">
      <c r="A54" s="7" t="s">
        <v>1288</v>
      </c>
      <c r="B54" s="7" t="s">
        <v>1289</v>
      </c>
      <c r="C54" s="7" t="s">
        <v>1290</v>
      </c>
      <c r="D54" s="7" t="s">
        <v>116</v>
      </c>
      <c r="E54" s="7" t="s">
        <v>1016</v>
      </c>
      <c r="F54" s="9">
        <v>14.56012</v>
      </c>
      <c r="G54" s="9">
        <v>100.71994</v>
      </c>
      <c r="H54" s="7" t="s">
        <v>618</v>
      </c>
      <c r="I54" s="9">
        <v>7.18</v>
      </c>
      <c r="J54" s="28"/>
      <c r="K54" s="28"/>
      <c r="L54" s="28"/>
      <c r="M54" s="9">
        <v>8.0</v>
      </c>
      <c r="N54" s="7" t="s">
        <v>1292</v>
      </c>
      <c r="O54" s="7" t="s">
        <v>583</v>
      </c>
      <c r="P54" s="9">
        <v>4.0</v>
      </c>
      <c r="Q54" s="28"/>
      <c r="R54" s="9">
        <v>82.4</v>
      </c>
      <c r="S54" s="7" t="s">
        <v>584</v>
      </c>
      <c r="T54" s="7" t="b">
        <v>0</v>
      </c>
      <c r="U54" s="7" t="s">
        <v>585</v>
      </c>
      <c r="V54" s="27" t="s">
        <v>586</v>
      </c>
      <c r="W54" s="7" t="s">
        <v>1294</v>
      </c>
      <c r="X54" s="28"/>
      <c r="Y54" s="28"/>
      <c r="Z54" s="28"/>
    </row>
    <row r="55">
      <c r="A55" s="7" t="s">
        <v>1297</v>
      </c>
      <c r="B55" s="7" t="s">
        <v>1299</v>
      </c>
      <c r="C55" s="7" t="s">
        <v>1300</v>
      </c>
      <c r="D55" s="7" t="s">
        <v>109</v>
      </c>
      <c r="E55" s="7" t="s">
        <v>911</v>
      </c>
      <c r="F55" s="9">
        <v>14.79091</v>
      </c>
      <c r="G55" s="9">
        <v>100.45184</v>
      </c>
      <c r="H55" s="7" t="s">
        <v>576</v>
      </c>
      <c r="I55" s="9">
        <v>10.88</v>
      </c>
      <c r="J55" s="28"/>
      <c r="K55" s="28"/>
      <c r="L55" s="28"/>
      <c r="M55" s="9"/>
      <c r="N55" s="7" t="s">
        <v>1292</v>
      </c>
      <c r="O55" s="7" t="s">
        <v>583</v>
      </c>
      <c r="P55" s="9">
        <v>4.0</v>
      </c>
      <c r="Q55" s="28"/>
      <c r="R55" s="9">
        <v>12.4</v>
      </c>
      <c r="S55" s="7" t="s">
        <v>584</v>
      </c>
      <c r="T55" s="7" t="b">
        <v>0</v>
      </c>
      <c r="U55" s="7" t="s">
        <v>585</v>
      </c>
      <c r="V55" s="27" t="s">
        <v>586</v>
      </c>
      <c r="W55" s="7" t="s">
        <v>1304</v>
      </c>
      <c r="X55" s="28"/>
      <c r="Y55" s="28"/>
      <c r="Z55" s="28"/>
    </row>
    <row r="56">
      <c r="A56" s="7" t="s">
        <v>1306</v>
      </c>
      <c r="B56" s="7" t="s">
        <v>1308</v>
      </c>
      <c r="C56" s="7" t="s">
        <v>1310</v>
      </c>
      <c r="D56" s="7" t="s">
        <v>167</v>
      </c>
      <c r="E56" s="7" t="s">
        <v>911</v>
      </c>
      <c r="F56" s="9">
        <v>13.676162</v>
      </c>
      <c r="G56" s="9">
        <v>100.553085</v>
      </c>
      <c r="H56" s="7" t="s">
        <v>576</v>
      </c>
      <c r="I56" s="9">
        <v>1.5</v>
      </c>
      <c r="J56" s="28"/>
      <c r="K56" s="28"/>
      <c r="L56" s="28"/>
      <c r="M56" s="9"/>
      <c r="N56" s="7" t="s">
        <v>1292</v>
      </c>
      <c r="O56" s="7" t="s">
        <v>583</v>
      </c>
      <c r="P56" s="9">
        <v>4.0</v>
      </c>
      <c r="Q56" s="28"/>
      <c r="R56" s="9">
        <v>12.4</v>
      </c>
      <c r="S56" s="7" t="s">
        <v>584</v>
      </c>
      <c r="T56" s="7" t="b">
        <v>0</v>
      </c>
      <c r="U56" s="7" t="s">
        <v>585</v>
      </c>
      <c r="V56" s="27" t="s">
        <v>586</v>
      </c>
      <c r="W56" s="7" t="s">
        <v>1315</v>
      </c>
      <c r="X56" s="28"/>
      <c r="Y56" s="28"/>
      <c r="Z56" s="28"/>
    </row>
    <row r="57">
      <c r="A57" s="7" t="s">
        <v>1317</v>
      </c>
      <c r="B57" s="7" t="s">
        <v>1321</v>
      </c>
      <c r="C57" s="7" t="s">
        <v>1322</v>
      </c>
      <c r="D57" s="7" t="s">
        <v>107</v>
      </c>
      <c r="E57" s="7" t="s">
        <v>911</v>
      </c>
      <c r="F57" s="9">
        <v>14.5765</v>
      </c>
      <c r="G57" s="9">
        <v>100.44852</v>
      </c>
      <c r="H57" s="7" t="s">
        <v>576</v>
      </c>
      <c r="I57" s="9">
        <v>8.65</v>
      </c>
      <c r="J57" s="28"/>
      <c r="K57" s="28"/>
      <c r="L57" s="28"/>
      <c r="M57" s="9"/>
      <c r="N57" s="7" t="s">
        <v>1292</v>
      </c>
      <c r="O57" s="7" t="s">
        <v>583</v>
      </c>
      <c r="P57" s="9">
        <v>4.0</v>
      </c>
      <c r="Q57" s="28"/>
      <c r="R57" s="9">
        <v>12.4</v>
      </c>
      <c r="S57" s="7" t="s">
        <v>584</v>
      </c>
      <c r="T57" s="7" t="b">
        <v>0</v>
      </c>
      <c r="U57" s="7" t="s">
        <v>585</v>
      </c>
      <c r="V57" s="27" t="s">
        <v>586</v>
      </c>
      <c r="W57" s="7" t="s">
        <v>1324</v>
      </c>
      <c r="X57" s="28"/>
      <c r="Y57" s="28"/>
      <c r="Z57" s="28"/>
    </row>
    <row r="58">
      <c r="A58" s="7" t="s">
        <v>1326</v>
      </c>
      <c r="B58" s="7" t="s">
        <v>1328</v>
      </c>
      <c r="C58" s="7" t="s">
        <v>116</v>
      </c>
      <c r="D58" s="7" t="s">
        <v>116</v>
      </c>
      <c r="E58" s="7" t="s">
        <v>911</v>
      </c>
      <c r="F58" s="9">
        <v>14.36913</v>
      </c>
      <c r="G58" s="9">
        <v>100.52861</v>
      </c>
      <c r="H58" s="7" t="s">
        <v>1332</v>
      </c>
      <c r="I58" s="9">
        <v>4.95</v>
      </c>
      <c r="J58" s="28"/>
      <c r="K58" s="28"/>
      <c r="L58" s="28"/>
      <c r="M58" s="9"/>
      <c r="N58" s="7" t="s">
        <v>1292</v>
      </c>
      <c r="O58" s="7" t="s">
        <v>583</v>
      </c>
      <c r="P58" s="9">
        <v>4.0</v>
      </c>
      <c r="Q58" s="28"/>
      <c r="R58" s="9">
        <v>2062.4</v>
      </c>
      <c r="S58" s="7" t="s">
        <v>584</v>
      </c>
      <c r="T58" s="7" t="b">
        <v>0</v>
      </c>
      <c r="U58" s="7" t="s">
        <v>585</v>
      </c>
      <c r="V58" s="27" t="s">
        <v>586</v>
      </c>
      <c r="W58" s="7" t="s">
        <v>1334</v>
      </c>
      <c r="X58" s="28"/>
      <c r="Y58" s="28"/>
      <c r="Z58" s="28"/>
    </row>
    <row r="59">
      <c r="A59" s="7" t="s">
        <v>1336</v>
      </c>
      <c r="B59" s="7" t="s">
        <v>1338</v>
      </c>
      <c r="C59" s="7" t="s">
        <v>1340</v>
      </c>
      <c r="D59" s="7" t="s">
        <v>260</v>
      </c>
      <c r="E59" s="7"/>
      <c r="F59" s="9">
        <v>9.191049</v>
      </c>
      <c r="G59" s="9">
        <v>99.263785</v>
      </c>
      <c r="H59" s="7" t="s">
        <v>923</v>
      </c>
      <c r="I59" s="9">
        <v>1.23</v>
      </c>
      <c r="J59" s="28"/>
      <c r="K59" s="28"/>
      <c r="L59" s="28"/>
      <c r="M59" s="9">
        <v>1.33</v>
      </c>
      <c r="N59" s="7" t="s">
        <v>1292</v>
      </c>
      <c r="O59" s="7" t="s">
        <v>583</v>
      </c>
      <c r="P59" s="9">
        <v>4.0</v>
      </c>
      <c r="Q59" s="28"/>
      <c r="R59" s="9">
        <v>22.4</v>
      </c>
      <c r="S59" s="7" t="s">
        <v>584</v>
      </c>
      <c r="T59" s="7" t="b">
        <v>0</v>
      </c>
      <c r="U59" s="7" t="s">
        <v>585</v>
      </c>
      <c r="V59" s="27" t="s">
        <v>586</v>
      </c>
      <c r="W59" s="7" t="s">
        <v>1346</v>
      </c>
      <c r="X59" s="28"/>
      <c r="Y59" s="28"/>
      <c r="Z59" s="28"/>
    </row>
    <row r="60">
      <c r="A60" s="7" t="s">
        <v>1347</v>
      </c>
      <c r="B60" s="7" t="s">
        <v>1349</v>
      </c>
      <c r="C60" s="7" t="s">
        <v>1350</v>
      </c>
      <c r="D60" s="7" t="s">
        <v>153</v>
      </c>
      <c r="E60" s="7" t="s">
        <v>1354</v>
      </c>
      <c r="F60" s="9">
        <v>13.80568</v>
      </c>
      <c r="G60" s="9">
        <v>99.87159</v>
      </c>
      <c r="H60" s="7" t="s">
        <v>618</v>
      </c>
      <c r="I60" s="9">
        <v>8.89</v>
      </c>
      <c r="J60" s="28"/>
      <c r="K60" s="28"/>
      <c r="L60" s="28"/>
      <c r="M60" s="9"/>
      <c r="N60" s="7" t="s">
        <v>1292</v>
      </c>
      <c r="O60" s="7" t="s">
        <v>583</v>
      </c>
      <c r="P60" s="9">
        <v>4.0</v>
      </c>
      <c r="Q60" s="28"/>
      <c r="R60" s="9">
        <v>82.4</v>
      </c>
      <c r="S60" s="7" t="s">
        <v>584</v>
      </c>
      <c r="T60" s="7" t="b">
        <v>0</v>
      </c>
      <c r="U60" s="7" t="s">
        <v>585</v>
      </c>
      <c r="V60" s="27" t="s">
        <v>586</v>
      </c>
      <c r="W60" s="7" t="s">
        <v>1358</v>
      </c>
      <c r="X60" s="28"/>
      <c r="Y60" s="28"/>
      <c r="Z60" s="28"/>
    </row>
    <row r="61">
      <c r="A61" s="7" t="s">
        <v>1360</v>
      </c>
      <c r="B61" s="7" t="s">
        <v>1362</v>
      </c>
      <c r="C61" s="7" t="s">
        <v>1364</v>
      </c>
      <c r="D61" s="7" t="s">
        <v>178</v>
      </c>
      <c r="E61" s="7" t="s">
        <v>1006</v>
      </c>
      <c r="F61" s="9">
        <v>12.85783</v>
      </c>
      <c r="G61" s="9">
        <v>101.615738</v>
      </c>
      <c r="H61" s="7" t="s">
        <v>618</v>
      </c>
      <c r="I61" s="9">
        <v>9.08</v>
      </c>
      <c r="J61" s="28"/>
      <c r="K61" s="28"/>
      <c r="L61" s="28"/>
      <c r="M61" s="9"/>
      <c r="N61" s="7" t="s">
        <v>1292</v>
      </c>
      <c r="O61" s="7" t="s">
        <v>583</v>
      </c>
      <c r="P61" s="9">
        <v>4.0</v>
      </c>
      <c r="Q61" s="28"/>
      <c r="R61" s="9">
        <v>82.4</v>
      </c>
      <c r="S61" s="7" t="s">
        <v>584</v>
      </c>
      <c r="T61" s="7" t="b">
        <v>0</v>
      </c>
      <c r="U61" s="7" t="s">
        <v>585</v>
      </c>
      <c r="V61" s="27" t="s">
        <v>586</v>
      </c>
      <c r="W61" s="7" t="s">
        <v>1375</v>
      </c>
      <c r="X61" s="28"/>
      <c r="Y61" s="28"/>
      <c r="Z61" s="28"/>
    </row>
    <row r="62">
      <c r="A62" s="7" t="s">
        <v>1377</v>
      </c>
      <c r="B62" s="7" t="s">
        <v>1378</v>
      </c>
      <c r="C62" s="7" t="s">
        <v>1379</v>
      </c>
      <c r="D62" s="7" t="s">
        <v>190</v>
      </c>
      <c r="E62" s="7" t="s">
        <v>1380</v>
      </c>
      <c r="F62" s="9">
        <v>16.48883</v>
      </c>
      <c r="G62" s="9">
        <v>102.41904</v>
      </c>
      <c r="H62" s="7" t="s">
        <v>576</v>
      </c>
      <c r="I62" s="9">
        <v>182.79</v>
      </c>
      <c r="J62" s="28"/>
      <c r="K62" s="28"/>
      <c r="L62" s="28"/>
      <c r="M62" s="9"/>
      <c r="N62" s="7" t="s">
        <v>1292</v>
      </c>
      <c r="O62" s="7" t="s">
        <v>583</v>
      </c>
      <c r="P62" s="9">
        <v>4.0</v>
      </c>
      <c r="Q62" s="28"/>
      <c r="R62" s="9">
        <v>12.4</v>
      </c>
      <c r="S62" s="7" t="s">
        <v>584</v>
      </c>
      <c r="T62" s="7" t="b">
        <v>0</v>
      </c>
      <c r="U62" s="7" t="s">
        <v>585</v>
      </c>
      <c r="V62" s="27" t="s">
        <v>586</v>
      </c>
      <c r="W62" s="7" t="s">
        <v>1387</v>
      </c>
      <c r="X62" s="28"/>
      <c r="Y62" s="28"/>
      <c r="Z62" s="28"/>
    </row>
    <row r="63">
      <c r="A63" s="7" t="s">
        <v>1389</v>
      </c>
      <c r="B63" s="7" t="s">
        <v>1390</v>
      </c>
      <c r="C63" s="7" t="s">
        <v>1391</v>
      </c>
      <c r="D63" s="7" t="s">
        <v>91</v>
      </c>
      <c r="E63" s="7" t="s">
        <v>911</v>
      </c>
      <c r="F63" s="9">
        <v>15.10907</v>
      </c>
      <c r="G63" s="9">
        <v>100.26785</v>
      </c>
      <c r="H63" s="7" t="s">
        <v>576</v>
      </c>
      <c r="I63" s="9">
        <v>15.1</v>
      </c>
      <c r="J63" s="28"/>
      <c r="K63" s="28"/>
      <c r="L63" s="28"/>
      <c r="M63" s="9"/>
      <c r="N63" s="7" t="s">
        <v>1292</v>
      </c>
      <c r="O63" s="7" t="s">
        <v>583</v>
      </c>
      <c r="P63" s="9">
        <v>4.0</v>
      </c>
      <c r="Q63" s="28"/>
      <c r="R63" s="9">
        <v>12.4</v>
      </c>
      <c r="S63" s="7" t="s">
        <v>584</v>
      </c>
      <c r="T63" s="7" t="b">
        <v>0</v>
      </c>
      <c r="U63" s="7" t="s">
        <v>585</v>
      </c>
      <c r="V63" s="27" t="s">
        <v>586</v>
      </c>
      <c r="W63" s="7" t="s">
        <v>1400</v>
      </c>
      <c r="X63" s="28"/>
      <c r="Y63" s="28"/>
      <c r="Z63" s="28"/>
    </row>
    <row r="64">
      <c r="A64" s="7" t="s">
        <v>1401</v>
      </c>
      <c r="B64" s="7" t="s">
        <v>1402</v>
      </c>
      <c r="C64" s="7" t="s">
        <v>1403</v>
      </c>
      <c r="D64" s="7" t="s">
        <v>312</v>
      </c>
      <c r="E64" s="7" t="s">
        <v>911</v>
      </c>
      <c r="F64" s="9">
        <v>13.78815</v>
      </c>
      <c r="G64" s="9">
        <v>100.509148</v>
      </c>
      <c r="H64" s="7" t="s">
        <v>618</v>
      </c>
      <c r="I64" s="9">
        <v>1.98</v>
      </c>
      <c r="J64" s="28"/>
      <c r="K64" s="28"/>
      <c r="L64" s="28"/>
      <c r="M64" s="9"/>
      <c r="N64" s="7" t="s">
        <v>1292</v>
      </c>
      <c r="O64" s="7" t="s">
        <v>583</v>
      </c>
      <c r="P64" s="9">
        <v>4.0</v>
      </c>
      <c r="Q64" s="28"/>
      <c r="R64" s="9">
        <v>82.4</v>
      </c>
      <c r="S64" s="7" t="s">
        <v>584</v>
      </c>
      <c r="T64" s="7" t="b">
        <v>0</v>
      </c>
      <c r="U64" s="7" t="s">
        <v>585</v>
      </c>
      <c r="V64" s="27" t="s">
        <v>586</v>
      </c>
      <c r="W64" s="7" t="s">
        <v>1409</v>
      </c>
      <c r="X64" s="28"/>
      <c r="Y64" s="28"/>
      <c r="Z64" s="28"/>
    </row>
    <row r="65">
      <c r="A65" s="7" t="s">
        <v>1410</v>
      </c>
      <c r="B65" s="7" t="s">
        <v>1411</v>
      </c>
      <c r="C65" s="7" t="s">
        <v>1412</v>
      </c>
      <c r="D65" s="7" t="s">
        <v>74</v>
      </c>
      <c r="E65" s="7" t="s">
        <v>1413</v>
      </c>
      <c r="F65" s="9">
        <v>16.04928</v>
      </c>
      <c r="G65" s="9">
        <v>98.844765</v>
      </c>
      <c r="H65" s="7" t="s">
        <v>576</v>
      </c>
      <c r="I65" s="9">
        <v>454.07</v>
      </c>
      <c r="J65" s="28"/>
      <c r="K65" s="28"/>
      <c r="L65" s="28"/>
      <c r="M65" s="9"/>
      <c r="N65" s="7" t="s">
        <v>1292</v>
      </c>
      <c r="O65" s="7" t="s">
        <v>583</v>
      </c>
      <c r="P65" s="9">
        <v>4.0</v>
      </c>
      <c r="Q65" s="28"/>
      <c r="R65" s="9">
        <v>12.4</v>
      </c>
      <c r="S65" s="7" t="s">
        <v>584</v>
      </c>
      <c r="T65" s="7" t="b">
        <v>0</v>
      </c>
      <c r="U65" s="7" t="s">
        <v>585</v>
      </c>
      <c r="V65" s="27" t="s">
        <v>586</v>
      </c>
      <c r="W65" s="7" t="s">
        <v>1420</v>
      </c>
      <c r="X65" s="28"/>
      <c r="Y65" s="28"/>
      <c r="Z65" s="28"/>
    </row>
    <row r="66">
      <c r="A66" s="7" t="s">
        <v>1421</v>
      </c>
      <c r="B66" s="7" t="s">
        <v>1422</v>
      </c>
      <c r="C66" s="7" t="s">
        <v>1423</v>
      </c>
      <c r="D66" s="7" t="s">
        <v>224</v>
      </c>
      <c r="E66" s="7" t="s">
        <v>1424</v>
      </c>
      <c r="F66" s="9">
        <v>15.31065</v>
      </c>
      <c r="G66" s="9">
        <v>101.74405</v>
      </c>
      <c r="H66" s="7" t="s">
        <v>576</v>
      </c>
      <c r="I66" s="9">
        <v>201.92</v>
      </c>
      <c r="J66" s="28"/>
      <c r="K66" s="28"/>
      <c r="L66" s="28"/>
      <c r="M66" s="9"/>
      <c r="N66" s="7" t="s">
        <v>1292</v>
      </c>
      <c r="O66" s="7" t="s">
        <v>583</v>
      </c>
      <c r="P66" s="9">
        <v>4.0</v>
      </c>
      <c r="Q66" s="28"/>
      <c r="R66" s="9">
        <v>12.4</v>
      </c>
      <c r="S66" s="7" t="s">
        <v>584</v>
      </c>
      <c r="T66" s="7" t="b">
        <v>0</v>
      </c>
      <c r="U66" s="7" t="s">
        <v>585</v>
      </c>
      <c r="V66" s="27" t="s">
        <v>586</v>
      </c>
      <c r="W66" s="7" t="s">
        <v>1430</v>
      </c>
      <c r="X66" s="28"/>
      <c r="Y66" s="28"/>
      <c r="Z66" s="28"/>
    </row>
    <row r="67">
      <c r="A67" s="7" t="s">
        <v>1431</v>
      </c>
      <c r="B67" s="7" t="s">
        <v>1432</v>
      </c>
      <c r="C67" s="7" t="s">
        <v>1433</v>
      </c>
      <c r="D67" s="7" t="s">
        <v>154</v>
      </c>
      <c r="E67" s="7" t="s">
        <v>1084</v>
      </c>
      <c r="F67" s="9">
        <v>14.17509</v>
      </c>
      <c r="G67" s="9">
        <v>99.43382</v>
      </c>
      <c r="H67" s="7" t="s">
        <v>923</v>
      </c>
      <c r="I67" s="9">
        <v>44.8</v>
      </c>
      <c r="J67" s="28"/>
      <c r="K67" s="28"/>
      <c r="L67" s="28"/>
      <c r="M67" s="9">
        <v>45.8</v>
      </c>
      <c r="N67" s="7" t="s">
        <v>1292</v>
      </c>
      <c r="O67" s="7" t="s">
        <v>583</v>
      </c>
      <c r="P67" s="9">
        <v>4.0</v>
      </c>
      <c r="Q67" s="28"/>
      <c r="R67" s="9">
        <v>22.4</v>
      </c>
      <c r="S67" s="7" t="s">
        <v>584</v>
      </c>
      <c r="T67" s="7" t="b">
        <v>0</v>
      </c>
      <c r="U67" s="7" t="s">
        <v>585</v>
      </c>
      <c r="V67" s="27" t="s">
        <v>586</v>
      </c>
      <c r="W67" s="7" t="s">
        <v>1440</v>
      </c>
      <c r="X67" s="28"/>
      <c r="Y67" s="28"/>
      <c r="Z67" s="28"/>
    </row>
    <row r="68">
      <c r="A68" s="7" t="s">
        <v>1441</v>
      </c>
      <c r="B68" s="7" t="s">
        <v>1442</v>
      </c>
      <c r="C68" s="7" t="s">
        <v>1443</v>
      </c>
      <c r="D68" s="7" t="s">
        <v>259</v>
      </c>
      <c r="E68" s="7"/>
      <c r="F68" s="9">
        <v>8.438141</v>
      </c>
      <c r="G68" s="9">
        <v>100.0304</v>
      </c>
      <c r="H68" s="7" t="s">
        <v>576</v>
      </c>
      <c r="I68" s="9">
        <v>0.61</v>
      </c>
      <c r="J68" s="28"/>
      <c r="K68" s="28"/>
      <c r="L68" s="28"/>
      <c r="M68" s="9"/>
      <c r="N68" s="7" t="s">
        <v>1292</v>
      </c>
      <c r="O68" s="7" t="s">
        <v>583</v>
      </c>
      <c r="P68" s="9">
        <v>4.0</v>
      </c>
      <c r="Q68" s="28"/>
      <c r="R68" s="9">
        <v>12.4</v>
      </c>
      <c r="S68" s="7" t="s">
        <v>584</v>
      </c>
      <c r="T68" s="7" t="b">
        <v>0</v>
      </c>
      <c r="U68" s="7" t="s">
        <v>585</v>
      </c>
      <c r="V68" s="27" t="s">
        <v>586</v>
      </c>
      <c r="W68" s="7" t="s">
        <v>1449</v>
      </c>
      <c r="X68" s="28"/>
      <c r="Y68" s="28"/>
      <c r="Z68" s="28"/>
    </row>
    <row r="69">
      <c r="A69" s="7" t="s">
        <v>1450</v>
      </c>
      <c r="B69" s="7" t="s">
        <v>1451</v>
      </c>
      <c r="C69" s="7" t="s">
        <v>1452</v>
      </c>
      <c r="D69" s="7" t="s">
        <v>101</v>
      </c>
      <c r="E69" s="7" t="s">
        <v>963</v>
      </c>
      <c r="F69" s="9">
        <v>14.76049</v>
      </c>
      <c r="G69" s="9">
        <v>100.5996</v>
      </c>
      <c r="H69" s="7" t="s">
        <v>576</v>
      </c>
      <c r="I69" s="9">
        <v>6.34</v>
      </c>
      <c r="J69" s="28"/>
      <c r="K69" s="28"/>
      <c r="L69" s="28"/>
      <c r="M69" s="9"/>
      <c r="N69" s="7" t="s">
        <v>1292</v>
      </c>
      <c r="O69" s="7" t="s">
        <v>583</v>
      </c>
      <c r="P69" s="9">
        <v>4.0</v>
      </c>
      <c r="Q69" s="28"/>
      <c r="R69" s="9">
        <v>12.4</v>
      </c>
      <c r="S69" s="7" t="s">
        <v>584</v>
      </c>
      <c r="T69" s="7" t="b">
        <v>0</v>
      </c>
      <c r="U69" s="7" t="s">
        <v>585</v>
      </c>
      <c r="V69" s="27" t="s">
        <v>586</v>
      </c>
      <c r="W69" s="7" t="s">
        <v>1458</v>
      </c>
      <c r="X69" s="28"/>
      <c r="Y69" s="28"/>
      <c r="Z69" s="28"/>
    </row>
    <row r="70">
      <c r="A70" s="7" t="s">
        <v>1459</v>
      </c>
      <c r="B70" s="7" t="s">
        <v>1460</v>
      </c>
      <c r="C70" s="7" t="s">
        <v>1461</v>
      </c>
      <c r="D70" s="7" t="s">
        <v>154</v>
      </c>
      <c r="E70" s="7" t="s">
        <v>1354</v>
      </c>
      <c r="F70" s="9">
        <v>14.01615</v>
      </c>
      <c r="G70" s="9">
        <v>99.53029</v>
      </c>
      <c r="H70" s="7" t="s">
        <v>923</v>
      </c>
      <c r="I70" s="9">
        <v>23.14</v>
      </c>
      <c r="J70" s="28"/>
      <c r="K70" s="28"/>
      <c r="L70" s="28"/>
      <c r="M70" s="9">
        <v>24.19</v>
      </c>
      <c r="N70" s="7" t="s">
        <v>1292</v>
      </c>
      <c r="O70" s="7" t="s">
        <v>583</v>
      </c>
      <c r="P70" s="9">
        <v>4.0</v>
      </c>
      <c r="Q70" s="28"/>
      <c r="R70" s="9">
        <v>22.4</v>
      </c>
      <c r="S70" s="7" t="s">
        <v>584</v>
      </c>
      <c r="T70" s="7" t="b">
        <v>0</v>
      </c>
      <c r="U70" s="7" t="s">
        <v>585</v>
      </c>
      <c r="V70" s="27" t="s">
        <v>586</v>
      </c>
      <c r="W70" s="7" t="s">
        <v>1471</v>
      </c>
      <c r="X70" s="28"/>
      <c r="Y70" s="28"/>
      <c r="Z70" s="28"/>
    </row>
    <row r="71">
      <c r="A71" s="7" t="s">
        <v>1473</v>
      </c>
      <c r="B71" s="7" t="s">
        <v>1475</v>
      </c>
      <c r="C71" s="7" t="s">
        <v>1476</v>
      </c>
      <c r="D71" s="7" t="s">
        <v>91</v>
      </c>
      <c r="E71" s="7" t="s">
        <v>911</v>
      </c>
      <c r="F71" s="9">
        <v>15.16384</v>
      </c>
      <c r="G71" s="9">
        <v>100.18792</v>
      </c>
      <c r="H71" s="7" t="s">
        <v>618</v>
      </c>
      <c r="I71" s="9">
        <v>15.93</v>
      </c>
      <c r="J71" s="28"/>
      <c r="K71" s="28"/>
      <c r="L71" s="28"/>
      <c r="M71" s="9">
        <v>16.34</v>
      </c>
      <c r="N71" s="7" t="s">
        <v>1292</v>
      </c>
      <c r="O71" s="7" t="s">
        <v>583</v>
      </c>
      <c r="P71" s="9">
        <v>4.0</v>
      </c>
      <c r="Q71" s="28"/>
      <c r="R71" s="9">
        <v>82.4</v>
      </c>
      <c r="S71" s="7" t="s">
        <v>584</v>
      </c>
      <c r="T71" s="7" t="b">
        <v>0</v>
      </c>
      <c r="U71" s="7" t="s">
        <v>585</v>
      </c>
      <c r="V71" s="27" t="s">
        <v>586</v>
      </c>
      <c r="W71" s="7" t="s">
        <v>1483</v>
      </c>
      <c r="X71" s="28"/>
      <c r="Y71" s="28"/>
      <c r="Z71" s="28"/>
    </row>
    <row r="72">
      <c r="A72" s="7" t="s">
        <v>1484</v>
      </c>
      <c r="B72" s="7" t="s">
        <v>1485</v>
      </c>
      <c r="C72" s="7" t="s">
        <v>1486</v>
      </c>
      <c r="D72" s="7" t="s">
        <v>107</v>
      </c>
      <c r="E72" s="7"/>
      <c r="F72" s="9">
        <v>14.498074</v>
      </c>
      <c r="G72" s="9">
        <v>100.44962</v>
      </c>
      <c r="H72" s="7" t="s">
        <v>576</v>
      </c>
      <c r="I72" s="9">
        <v>7.7</v>
      </c>
      <c r="J72" s="28"/>
      <c r="K72" s="28"/>
      <c r="L72" s="28"/>
      <c r="M72" s="9"/>
      <c r="N72" s="7" t="s">
        <v>1292</v>
      </c>
      <c r="O72" s="7" t="s">
        <v>583</v>
      </c>
      <c r="P72" s="9">
        <v>4.0</v>
      </c>
      <c r="Q72" s="28"/>
      <c r="R72" s="9">
        <v>12.4</v>
      </c>
      <c r="S72" s="7" t="s">
        <v>584</v>
      </c>
      <c r="T72" s="7" t="b">
        <v>0</v>
      </c>
      <c r="U72" s="7" t="s">
        <v>585</v>
      </c>
      <c r="V72" s="27" t="s">
        <v>586</v>
      </c>
      <c r="W72" s="7" t="s">
        <v>1490</v>
      </c>
      <c r="X72" s="28"/>
      <c r="Y72" s="28"/>
      <c r="Z72" s="28"/>
    </row>
    <row r="73">
      <c r="A73" s="7" t="s">
        <v>1494</v>
      </c>
      <c r="B73" s="7" t="s">
        <v>1495</v>
      </c>
      <c r="C73" s="7" t="s">
        <v>1497</v>
      </c>
      <c r="D73" s="7" t="s">
        <v>77</v>
      </c>
      <c r="E73" s="7" t="s">
        <v>1016</v>
      </c>
      <c r="F73" s="9">
        <v>15.5783</v>
      </c>
      <c r="G73" s="9">
        <v>101.088623</v>
      </c>
      <c r="H73" s="7" t="s">
        <v>618</v>
      </c>
      <c r="I73" s="9">
        <v>62.54</v>
      </c>
      <c r="J73" s="28"/>
      <c r="K73" s="28"/>
      <c r="L73" s="28"/>
      <c r="M73" s="9"/>
      <c r="N73" s="7" t="s">
        <v>1292</v>
      </c>
      <c r="O73" s="7" t="s">
        <v>583</v>
      </c>
      <c r="P73" s="9">
        <v>4.0</v>
      </c>
      <c r="Q73" s="28"/>
      <c r="R73" s="9">
        <v>82.4</v>
      </c>
      <c r="S73" s="7" t="s">
        <v>584</v>
      </c>
      <c r="T73" s="7" t="b">
        <v>0</v>
      </c>
      <c r="U73" s="7" t="s">
        <v>585</v>
      </c>
      <c r="V73" s="27" t="s">
        <v>586</v>
      </c>
      <c r="W73" s="7" t="s">
        <v>1500</v>
      </c>
      <c r="X73" s="28"/>
      <c r="Y73" s="28"/>
      <c r="Z73" s="28"/>
    </row>
    <row r="74">
      <c r="A74" s="7" t="s">
        <v>1503</v>
      </c>
      <c r="B74" s="7" t="s">
        <v>1504</v>
      </c>
      <c r="C74" s="7" t="s">
        <v>1506</v>
      </c>
      <c r="D74" s="7" t="s">
        <v>157</v>
      </c>
      <c r="E74" s="7" t="s">
        <v>1508</v>
      </c>
      <c r="F74" s="9">
        <v>13.705864</v>
      </c>
      <c r="G74" s="9">
        <v>102.48168</v>
      </c>
      <c r="H74" s="7" t="s">
        <v>576</v>
      </c>
      <c r="I74" s="9">
        <v>44.18</v>
      </c>
      <c r="J74" s="28"/>
      <c r="K74" s="28"/>
      <c r="L74" s="28"/>
      <c r="M74" s="9">
        <v>44.389</v>
      </c>
      <c r="N74" s="7" t="s">
        <v>1292</v>
      </c>
      <c r="O74" s="7" t="s">
        <v>583</v>
      </c>
      <c r="P74" s="9">
        <v>4.0</v>
      </c>
      <c r="Q74" s="28"/>
      <c r="R74" s="9">
        <v>12.4</v>
      </c>
      <c r="S74" s="7" t="s">
        <v>584</v>
      </c>
      <c r="T74" s="7" t="b">
        <v>0</v>
      </c>
      <c r="U74" s="7" t="s">
        <v>585</v>
      </c>
      <c r="V74" s="27" t="s">
        <v>586</v>
      </c>
      <c r="W74" s="7" t="s">
        <v>1511</v>
      </c>
      <c r="X74" s="28"/>
      <c r="Y74" s="28"/>
      <c r="Z74" s="28"/>
    </row>
    <row r="75">
      <c r="A75" s="7" t="s">
        <v>1514</v>
      </c>
      <c r="B75" s="7" t="s">
        <v>1516</v>
      </c>
      <c r="C75" s="7" t="s">
        <v>1518</v>
      </c>
      <c r="D75" s="7" t="s">
        <v>154</v>
      </c>
      <c r="E75" s="7" t="s">
        <v>1354</v>
      </c>
      <c r="F75" s="9">
        <v>13.95094</v>
      </c>
      <c r="G75" s="9">
        <v>99.645477</v>
      </c>
      <c r="H75" s="7" t="s">
        <v>618</v>
      </c>
      <c r="I75" s="9">
        <v>15.65</v>
      </c>
      <c r="J75" s="28"/>
      <c r="K75" s="28"/>
      <c r="L75" s="28"/>
      <c r="M75" s="9"/>
      <c r="N75" s="7" t="s">
        <v>1292</v>
      </c>
      <c r="O75" s="7" t="s">
        <v>583</v>
      </c>
      <c r="P75" s="9">
        <v>4.0</v>
      </c>
      <c r="Q75" s="28"/>
      <c r="R75" s="9">
        <v>82.4</v>
      </c>
      <c r="S75" s="7" t="s">
        <v>584</v>
      </c>
      <c r="T75" s="7" t="b">
        <v>0</v>
      </c>
      <c r="U75" s="7" t="s">
        <v>585</v>
      </c>
      <c r="V75" s="27" t="s">
        <v>586</v>
      </c>
      <c r="W75" s="7" t="s">
        <v>1521</v>
      </c>
      <c r="X75" s="28"/>
      <c r="Y75" s="28"/>
      <c r="Z75" s="28"/>
    </row>
    <row r="76">
      <c r="A76" s="7" t="s">
        <v>1522</v>
      </c>
      <c r="B76" s="7" t="s">
        <v>1523</v>
      </c>
      <c r="C76" s="7" t="s">
        <v>1525</v>
      </c>
      <c r="D76" s="7" t="s">
        <v>183</v>
      </c>
      <c r="E76" s="7" t="s">
        <v>1527</v>
      </c>
      <c r="F76" s="9">
        <v>12.325195</v>
      </c>
      <c r="G76" s="9">
        <v>102.5005</v>
      </c>
      <c r="H76" s="7" t="s">
        <v>576</v>
      </c>
      <c r="I76" s="9">
        <v>0.43</v>
      </c>
      <c r="J76" s="28"/>
      <c r="K76" s="28"/>
      <c r="L76" s="28"/>
      <c r="M76" s="9"/>
      <c r="N76" s="7" t="s">
        <v>1292</v>
      </c>
      <c r="O76" s="7" t="s">
        <v>583</v>
      </c>
      <c r="P76" s="9">
        <v>4.0</v>
      </c>
      <c r="Q76" s="28"/>
      <c r="R76" s="9">
        <v>12.4</v>
      </c>
      <c r="S76" s="7" t="s">
        <v>584</v>
      </c>
      <c r="T76" s="7" t="b">
        <v>0</v>
      </c>
      <c r="U76" s="7" t="s">
        <v>585</v>
      </c>
      <c r="V76" s="27" t="s">
        <v>586</v>
      </c>
      <c r="W76" s="7" t="s">
        <v>1533</v>
      </c>
      <c r="X76" s="28"/>
      <c r="Y76" s="28"/>
      <c r="Z76" s="28"/>
    </row>
    <row r="77">
      <c r="A77" s="7" t="s">
        <v>1534</v>
      </c>
      <c r="B77" s="7" t="s">
        <v>1536</v>
      </c>
      <c r="C77" s="7" t="s">
        <v>1537</v>
      </c>
      <c r="D77" s="7" t="s">
        <v>312</v>
      </c>
      <c r="E77" s="7" t="s">
        <v>1538</v>
      </c>
      <c r="F77" s="9">
        <v>13.85402</v>
      </c>
      <c r="G77" s="9">
        <v>100.58746</v>
      </c>
      <c r="H77" s="7" t="s">
        <v>576</v>
      </c>
      <c r="I77" s="9">
        <v>2.1</v>
      </c>
      <c r="J77" s="28"/>
      <c r="K77" s="28"/>
      <c r="L77" s="28"/>
      <c r="M77" s="9"/>
      <c r="N77" s="7" t="s">
        <v>1292</v>
      </c>
      <c r="O77" s="7" t="s">
        <v>583</v>
      </c>
      <c r="P77" s="9">
        <v>4.0</v>
      </c>
      <c r="Q77" s="28"/>
      <c r="R77" s="9">
        <v>12.4</v>
      </c>
      <c r="S77" s="7" t="s">
        <v>584</v>
      </c>
      <c r="T77" s="7" t="b">
        <v>0</v>
      </c>
      <c r="U77" s="7" t="s">
        <v>585</v>
      </c>
      <c r="V77" s="27" t="s">
        <v>586</v>
      </c>
      <c r="W77" s="7" t="s">
        <v>1542</v>
      </c>
      <c r="X77" s="28"/>
      <c r="Y77" s="28"/>
      <c r="Z77" s="28"/>
    </row>
    <row r="78">
      <c r="A78" s="7" t="s">
        <v>1544</v>
      </c>
      <c r="B78" s="7" t="s">
        <v>1545</v>
      </c>
      <c r="C78" s="7" t="s">
        <v>1546</v>
      </c>
      <c r="D78" s="7" t="s">
        <v>109</v>
      </c>
      <c r="E78" s="7"/>
      <c r="F78" s="9">
        <v>14.870205</v>
      </c>
      <c r="G78" s="9">
        <v>100.408585</v>
      </c>
      <c r="H78" s="7" t="s">
        <v>576</v>
      </c>
      <c r="I78" s="9">
        <v>12.17</v>
      </c>
      <c r="J78" s="28"/>
      <c r="K78" s="28"/>
      <c r="L78" s="28"/>
      <c r="M78" s="9"/>
      <c r="N78" s="7" t="s">
        <v>1292</v>
      </c>
      <c r="O78" s="7" t="s">
        <v>583</v>
      </c>
      <c r="P78" s="9">
        <v>4.0</v>
      </c>
      <c r="Q78" s="28"/>
      <c r="R78" s="9">
        <v>12.4</v>
      </c>
      <c r="S78" s="7" t="s">
        <v>584</v>
      </c>
      <c r="T78" s="7" t="b">
        <v>0</v>
      </c>
      <c r="U78" s="7" t="s">
        <v>585</v>
      </c>
      <c r="V78" s="27" t="s">
        <v>586</v>
      </c>
      <c r="W78" s="7" t="s">
        <v>1551</v>
      </c>
      <c r="X78" s="28"/>
      <c r="Y78" s="28"/>
      <c r="Z78" s="28"/>
    </row>
    <row r="79">
      <c r="A79" s="7" t="s">
        <v>1552</v>
      </c>
      <c r="B79" s="7" t="s">
        <v>1553</v>
      </c>
      <c r="C79" s="7" t="s">
        <v>1554</v>
      </c>
      <c r="D79" s="7" t="s">
        <v>109</v>
      </c>
      <c r="E79" s="7" t="s">
        <v>911</v>
      </c>
      <c r="F79" s="9">
        <v>14.89868</v>
      </c>
      <c r="G79" s="9">
        <v>100.401863</v>
      </c>
      <c r="H79" s="7" t="s">
        <v>618</v>
      </c>
      <c r="I79" s="9">
        <v>12.51</v>
      </c>
      <c r="J79" s="28"/>
      <c r="K79" s="28"/>
      <c r="L79" s="28"/>
      <c r="M79" s="9"/>
      <c r="N79" s="7" t="s">
        <v>1292</v>
      </c>
      <c r="O79" s="7" t="s">
        <v>583</v>
      </c>
      <c r="P79" s="9">
        <v>4.0</v>
      </c>
      <c r="Q79" s="28"/>
      <c r="R79" s="9">
        <v>82.4</v>
      </c>
      <c r="S79" s="7" t="s">
        <v>584</v>
      </c>
      <c r="T79" s="7" t="b">
        <v>0</v>
      </c>
      <c r="U79" s="7" t="s">
        <v>585</v>
      </c>
      <c r="V79" s="27" t="s">
        <v>586</v>
      </c>
      <c r="W79" s="7" t="s">
        <v>1559</v>
      </c>
      <c r="X79" s="28"/>
      <c r="Y79" s="28"/>
      <c r="Z79" s="28"/>
    </row>
    <row r="80">
      <c r="A80" s="7" t="s">
        <v>1560</v>
      </c>
      <c r="B80" s="7" t="s">
        <v>1562</v>
      </c>
      <c r="C80" s="7" t="s">
        <v>1564</v>
      </c>
      <c r="D80" s="7" t="s">
        <v>312</v>
      </c>
      <c r="E80" s="7" t="s">
        <v>911</v>
      </c>
      <c r="F80" s="9">
        <v>13.700301</v>
      </c>
      <c r="G80" s="9">
        <v>100.49277</v>
      </c>
      <c r="H80" s="7" t="s">
        <v>576</v>
      </c>
      <c r="I80" s="9">
        <v>1.33</v>
      </c>
      <c r="J80" s="28"/>
      <c r="K80" s="28"/>
      <c r="L80" s="28"/>
      <c r="M80" s="9"/>
      <c r="N80" s="7" t="s">
        <v>1292</v>
      </c>
      <c r="O80" s="7" t="s">
        <v>583</v>
      </c>
      <c r="P80" s="9">
        <v>4.0</v>
      </c>
      <c r="Q80" s="28"/>
      <c r="R80" s="9">
        <v>12.4</v>
      </c>
      <c r="S80" s="7" t="s">
        <v>584</v>
      </c>
      <c r="T80" s="7" t="b">
        <v>0</v>
      </c>
      <c r="U80" s="7" t="s">
        <v>585</v>
      </c>
      <c r="V80" s="27" t="s">
        <v>586</v>
      </c>
      <c r="W80" s="7" t="s">
        <v>1571</v>
      </c>
      <c r="X80" s="28"/>
      <c r="Y80" s="28"/>
      <c r="Z80" s="28"/>
    </row>
    <row r="81">
      <c r="A81" s="7" t="s">
        <v>1572</v>
      </c>
      <c r="B81" s="7" t="s">
        <v>1573</v>
      </c>
      <c r="C81" s="7" t="s">
        <v>1574</v>
      </c>
      <c r="D81" s="7" t="s">
        <v>118</v>
      </c>
      <c r="E81" s="7" t="s">
        <v>1575</v>
      </c>
      <c r="F81" s="9">
        <v>13.96562</v>
      </c>
      <c r="G81" s="9">
        <v>100.60262</v>
      </c>
      <c r="H81" s="7" t="s">
        <v>576</v>
      </c>
      <c r="I81" s="9">
        <v>1.17</v>
      </c>
      <c r="J81" s="28"/>
      <c r="K81" s="28"/>
      <c r="L81" s="28"/>
      <c r="M81" s="9"/>
      <c r="N81" s="7" t="s">
        <v>1292</v>
      </c>
      <c r="O81" s="7" t="s">
        <v>583</v>
      </c>
      <c r="P81" s="9">
        <v>4.0</v>
      </c>
      <c r="Q81" s="28"/>
      <c r="R81" s="9">
        <v>12.4</v>
      </c>
      <c r="S81" s="7" t="s">
        <v>584</v>
      </c>
      <c r="T81" s="7" t="b">
        <v>0</v>
      </c>
      <c r="U81" s="7" t="s">
        <v>585</v>
      </c>
      <c r="V81" s="27" t="s">
        <v>586</v>
      </c>
      <c r="W81" s="7" t="s">
        <v>1580</v>
      </c>
      <c r="X81" s="28"/>
      <c r="Y81" s="28"/>
      <c r="Z81" s="28"/>
    </row>
    <row r="82">
      <c r="A82" s="7" t="s">
        <v>1581</v>
      </c>
      <c r="B82" s="7" t="s">
        <v>1582</v>
      </c>
      <c r="C82" s="7" t="s">
        <v>1584</v>
      </c>
      <c r="D82" s="7" t="s">
        <v>107</v>
      </c>
      <c r="E82" s="7" t="s">
        <v>911</v>
      </c>
      <c r="F82" s="9">
        <v>14.59044</v>
      </c>
      <c r="G82" s="9">
        <v>100.453293</v>
      </c>
      <c r="H82" s="7" t="s">
        <v>618</v>
      </c>
      <c r="I82" s="9">
        <v>9.12</v>
      </c>
      <c r="J82" s="28"/>
      <c r="K82" s="28"/>
      <c r="L82" s="28"/>
      <c r="M82" s="9"/>
      <c r="N82" s="7" t="s">
        <v>1292</v>
      </c>
      <c r="O82" s="7" t="s">
        <v>583</v>
      </c>
      <c r="P82" s="9">
        <v>4.0</v>
      </c>
      <c r="Q82" s="28"/>
      <c r="R82" s="9">
        <v>82.4</v>
      </c>
      <c r="S82" s="7" t="s">
        <v>584</v>
      </c>
      <c r="T82" s="7" t="b">
        <v>0</v>
      </c>
      <c r="U82" s="7" t="s">
        <v>585</v>
      </c>
      <c r="V82" s="27" t="s">
        <v>586</v>
      </c>
      <c r="W82" s="7" t="s">
        <v>1596</v>
      </c>
      <c r="X82" s="28"/>
      <c r="Y82" s="28"/>
      <c r="Z82" s="28"/>
    </row>
    <row r="83">
      <c r="A83" s="7" t="s">
        <v>1598</v>
      </c>
      <c r="B83" s="7" t="s">
        <v>1599</v>
      </c>
      <c r="C83" s="7" t="s">
        <v>1600</v>
      </c>
      <c r="D83" s="7" t="s">
        <v>116</v>
      </c>
      <c r="E83" s="7" t="s">
        <v>1016</v>
      </c>
      <c r="F83" s="9">
        <v>14.35872</v>
      </c>
      <c r="G83" s="9">
        <v>100.580452</v>
      </c>
      <c r="H83" s="7" t="s">
        <v>618</v>
      </c>
      <c r="I83" s="9">
        <v>4.05</v>
      </c>
      <c r="J83" s="28"/>
      <c r="K83" s="28"/>
      <c r="L83" s="28"/>
      <c r="M83" s="9"/>
      <c r="N83" s="7" t="s">
        <v>1292</v>
      </c>
      <c r="O83" s="7" t="s">
        <v>583</v>
      </c>
      <c r="P83" s="9">
        <v>4.0</v>
      </c>
      <c r="Q83" s="28"/>
      <c r="R83" s="9">
        <v>82.4</v>
      </c>
      <c r="S83" s="7" t="s">
        <v>584</v>
      </c>
      <c r="T83" s="7" t="b">
        <v>0</v>
      </c>
      <c r="U83" s="7" t="s">
        <v>585</v>
      </c>
      <c r="V83" s="27" t="s">
        <v>586</v>
      </c>
      <c r="W83" s="7" t="s">
        <v>1606</v>
      </c>
      <c r="X83" s="28"/>
      <c r="Y83" s="28"/>
      <c r="Z83" s="28"/>
    </row>
    <row r="84">
      <c r="A84" s="7" t="s">
        <v>1607</v>
      </c>
      <c r="B84" s="7" t="s">
        <v>1608</v>
      </c>
      <c r="C84" s="7" t="s">
        <v>1609</v>
      </c>
      <c r="D84" s="7" t="s">
        <v>183</v>
      </c>
      <c r="E84" s="7" t="s">
        <v>1613</v>
      </c>
      <c r="F84" s="9">
        <v>12.262445</v>
      </c>
      <c r="G84" s="9">
        <v>102.52681</v>
      </c>
      <c r="H84" s="7" t="s">
        <v>576</v>
      </c>
      <c r="I84" s="9">
        <v>0.9</v>
      </c>
      <c r="J84" s="28"/>
      <c r="K84" s="28"/>
      <c r="L84" s="28"/>
      <c r="M84" s="9"/>
      <c r="N84" s="7" t="s">
        <v>1292</v>
      </c>
      <c r="O84" s="7" t="s">
        <v>583</v>
      </c>
      <c r="P84" s="9">
        <v>4.0</v>
      </c>
      <c r="Q84" s="28"/>
      <c r="R84" s="9">
        <v>12.4</v>
      </c>
      <c r="S84" s="7" t="s">
        <v>584</v>
      </c>
      <c r="T84" s="7" t="b">
        <v>0</v>
      </c>
      <c r="U84" s="7" t="s">
        <v>585</v>
      </c>
      <c r="V84" s="27" t="s">
        <v>586</v>
      </c>
      <c r="W84" s="7" t="s">
        <v>1620</v>
      </c>
      <c r="X84" s="28"/>
      <c r="Y84" s="28"/>
      <c r="Z84" s="28"/>
    </row>
    <row r="85">
      <c r="A85" s="7" t="s">
        <v>1621</v>
      </c>
      <c r="B85" s="7" t="s">
        <v>1622</v>
      </c>
      <c r="C85" s="7" t="s">
        <v>1623</v>
      </c>
      <c r="D85" s="7" t="s">
        <v>154</v>
      </c>
      <c r="E85" s="7" t="s">
        <v>767</v>
      </c>
      <c r="F85" s="9">
        <v>14.09243</v>
      </c>
      <c r="G85" s="9">
        <v>99.178993</v>
      </c>
      <c r="H85" s="7" t="s">
        <v>618</v>
      </c>
      <c r="I85" s="9">
        <v>40.04</v>
      </c>
      <c r="J85" s="28"/>
      <c r="K85" s="28"/>
      <c r="L85" s="28"/>
      <c r="M85" s="9">
        <v>40.4</v>
      </c>
      <c r="N85" s="7" t="s">
        <v>1292</v>
      </c>
      <c r="O85" s="7" t="s">
        <v>583</v>
      </c>
      <c r="P85" s="9">
        <v>4.0</v>
      </c>
      <c r="Q85" s="28"/>
      <c r="R85" s="9">
        <v>82.4</v>
      </c>
      <c r="S85" s="7" t="s">
        <v>584</v>
      </c>
      <c r="T85" s="7" t="b">
        <v>0</v>
      </c>
      <c r="U85" s="7" t="s">
        <v>585</v>
      </c>
      <c r="V85" s="27" t="s">
        <v>586</v>
      </c>
      <c r="W85" s="7" t="s">
        <v>1629</v>
      </c>
      <c r="X85" s="28"/>
      <c r="Y85" s="28"/>
      <c r="Z85" s="28"/>
    </row>
    <row r="86">
      <c r="A86" s="7" t="s">
        <v>1631</v>
      </c>
      <c r="B86" s="7" t="s">
        <v>1633</v>
      </c>
      <c r="C86" s="7" t="s">
        <v>1634</v>
      </c>
      <c r="D86" s="7" t="s">
        <v>229</v>
      </c>
      <c r="E86" s="7" t="s">
        <v>1638</v>
      </c>
      <c r="F86" s="9">
        <v>15.02688</v>
      </c>
      <c r="G86" s="9">
        <v>102.805687</v>
      </c>
      <c r="H86" s="7" t="s">
        <v>618</v>
      </c>
      <c r="I86" s="9">
        <v>158.38</v>
      </c>
      <c r="J86" s="28"/>
      <c r="K86" s="28"/>
      <c r="L86" s="28"/>
      <c r="M86" s="9"/>
      <c r="N86" s="7" t="s">
        <v>1292</v>
      </c>
      <c r="O86" s="7" t="s">
        <v>583</v>
      </c>
      <c r="P86" s="9">
        <v>4.0</v>
      </c>
      <c r="Q86" s="28"/>
      <c r="R86" s="9">
        <v>82.4</v>
      </c>
      <c r="S86" s="7" t="s">
        <v>584</v>
      </c>
      <c r="T86" s="7" t="b">
        <v>0</v>
      </c>
      <c r="U86" s="7" t="s">
        <v>585</v>
      </c>
      <c r="V86" s="27" t="s">
        <v>586</v>
      </c>
      <c r="W86" s="7" t="s">
        <v>1645</v>
      </c>
      <c r="X86" s="28"/>
      <c r="Y86" s="28"/>
      <c r="Z86" s="28"/>
    </row>
    <row r="87">
      <c r="A87" s="7" t="s">
        <v>1646</v>
      </c>
      <c r="B87" s="7" t="s">
        <v>1647</v>
      </c>
      <c r="C87" s="7" t="s">
        <v>1648</v>
      </c>
      <c r="D87" s="7" t="s">
        <v>259</v>
      </c>
      <c r="E87" s="7" t="s">
        <v>1648</v>
      </c>
      <c r="F87" s="9">
        <v>7.96636</v>
      </c>
      <c r="G87" s="9">
        <v>99.99436</v>
      </c>
      <c r="H87" s="7" t="s">
        <v>576</v>
      </c>
      <c r="I87" s="9">
        <v>22.76</v>
      </c>
      <c r="J87" s="28"/>
      <c r="K87" s="28"/>
      <c r="L87" s="28"/>
      <c r="M87" s="9"/>
      <c r="N87" s="7" t="s">
        <v>1292</v>
      </c>
      <c r="O87" s="7" t="s">
        <v>583</v>
      </c>
      <c r="P87" s="9">
        <v>4.0</v>
      </c>
      <c r="Q87" s="28"/>
      <c r="R87" s="9">
        <v>12.4</v>
      </c>
      <c r="S87" s="7" t="s">
        <v>584</v>
      </c>
      <c r="T87" s="7" t="b">
        <v>0</v>
      </c>
      <c r="U87" s="7" t="s">
        <v>585</v>
      </c>
      <c r="V87" s="27" t="s">
        <v>586</v>
      </c>
      <c r="W87" s="7" t="s">
        <v>1657</v>
      </c>
      <c r="X87" s="28"/>
      <c r="Y87" s="28"/>
      <c r="Z87" s="28"/>
    </row>
    <row r="88">
      <c r="A88" s="7" t="s">
        <v>1658</v>
      </c>
      <c r="B88" s="7" t="s">
        <v>1659</v>
      </c>
      <c r="C88" s="7" t="s">
        <v>1660</v>
      </c>
      <c r="D88" s="7" t="s">
        <v>121</v>
      </c>
      <c r="E88" s="7" t="s">
        <v>1661</v>
      </c>
      <c r="F88" s="9">
        <v>12.81345</v>
      </c>
      <c r="G88" s="9">
        <v>99.79404</v>
      </c>
      <c r="H88" s="7" t="s">
        <v>576</v>
      </c>
      <c r="I88" s="9">
        <v>25.82</v>
      </c>
      <c r="J88" s="28"/>
      <c r="K88" s="28"/>
      <c r="L88" s="28"/>
      <c r="M88" s="9"/>
      <c r="N88" s="7" t="s">
        <v>1292</v>
      </c>
      <c r="O88" s="7" t="s">
        <v>583</v>
      </c>
      <c r="P88" s="9">
        <v>4.0</v>
      </c>
      <c r="Q88" s="28"/>
      <c r="R88" s="9">
        <v>12.4</v>
      </c>
      <c r="S88" s="7" t="s">
        <v>584</v>
      </c>
      <c r="T88" s="7" t="b">
        <v>0</v>
      </c>
      <c r="U88" s="7" t="s">
        <v>585</v>
      </c>
      <c r="V88" s="27" t="s">
        <v>586</v>
      </c>
      <c r="W88" s="7" t="s">
        <v>1666</v>
      </c>
      <c r="X88" s="28"/>
      <c r="Y88" s="28"/>
      <c r="Z88" s="28"/>
    </row>
    <row r="89">
      <c r="A89" s="7" t="s">
        <v>1668</v>
      </c>
      <c r="B89" s="7" t="s">
        <v>1670</v>
      </c>
      <c r="C89" s="7" t="s">
        <v>1672</v>
      </c>
      <c r="D89" s="7" t="s">
        <v>260</v>
      </c>
      <c r="E89" s="7"/>
      <c r="F89" s="9">
        <v>9.074279</v>
      </c>
      <c r="G89" s="9">
        <v>99.217619</v>
      </c>
      <c r="H89" s="7" t="s">
        <v>923</v>
      </c>
      <c r="I89" s="9">
        <v>0.96</v>
      </c>
      <c r="J89" s="28"/>
      <c r="K89" s="28"/>
      <c r="L89" s="28"/>
      <c r="M89" s="9">
        <v>1.69</v>
      </c>
      <c r="N89" s="7" t="s">
        <v>1292</v>
      </c>
      <c r="O89" s="7" t="s">
        <v>583</v>
      </c>
      <c r="P89" s="9">
        <v>4.0</v>
      </c>
      <c r="Q89" s="28"/>
      <c r="R89" s="9">
        <v>22.4</v>
      </c>
      <c r="S89" s="7" t="s">
        <v>584</v>
      </c>
      <c r="T89" s="7" t="b">
        <v>0</v>
      </c>
      <c r="U89" s="7" t="s">
        <v>585</v>
      </c>
      <c r="V89" s="27" t="s">
        <v>586</v>
      </c>
      <c r="W89" s="7" t="s">
        <v>1678</v>
      </c>
      <c r="X89" s="28"/>
      <c r="Y89" s="28"/>
      <c r="Z89" s="28"/>
    </row>
    <row r="90">
      <c r="A90" s="7" t="s">
        <v>1679</v>
      </c>
      <c r="B90" s="7" t="s">
        <v>1680</v>
      </c>
      <c r="C90" s="7" t="s">
        <v>1681</v>
      </c>
      <c r="D90" s="7" t="s">
        <v>166</v>
      </c>
      <c r="E90" s="7" t="s">
        <v>677</v>
      </c>
      <c r="F90" s="9">
        <v>13.54901</v>
      </c>
      <c r="G90" s="9">
        <v>101.00111</v>
      </c>
      <c r="H90" s="7" t="s">
        <v>576</v>
      </c>
      <c r="I90" s="9">
        <v>0.71</v>
      </c>
      <c r="J90" s="28"/>
      <c r="K90" s="28"/>
      <c r="L90" s="28"/>
      <c r="M90" s="9"/>
      <c r="N90" s="7" t="s">
        <v>1292</v>
      </c>
      <c r="O90" s="7" t="s">
        <v>583</v>
      </c>
      <c r="P90" s="9">
        <v>4.0</v>
      </c>
      <c r="Q90" s="28"/>
      <c r="R90" s="9">
        <v>12.4</v>
      </c>
      <c r="S90" s="7" t="s">
        <v>584</v>
      </c>
      <c r="T90" s="7" t="b">
        <v>0</v>
      </c>
      <c r="U90" s="7" t="s">
        <v>585</v>
      </c>
      <c r="V90" s="27" t="s">
        <v>586</v>
      </c>
      <c r="W90" s="7" t="s">
        <v>1690</v>
      </c>
      <c r="X90" s="28"/>
      <c r="Y90" s="28"/>
      <c r="Z90" s="28"/>
    </row>
    <row r="91">
      <c r="A91" s="7" t="s">
        <v>1691</v>
      </c>
      <c r="B91" s="7" t="s">
        <v>1692</v>
      </c>
      <c r="C91" s="7" t="s">
        <v>1693</v>
      </c>
      <c r="D91" s="7" t="s">
        <v>130</v>
      </c>
      <c r="E91" s="7" t="s">
        <v>1354</v>
      </c>
      <c r="F91" s="9">
        <v>13.38362</v>
      </c>
      <c r="G91" s="9">
        <v>99.9836</v>
      </c>
      <c r="H91" s="7" t="s">
        <v>576</v>
      </c>
      <c r="I91" s="9">
        <v>0.98</v>
      </c>
      <c r="J91" s="28"/>
      <c r="K91" s="28"/>
      <c r="L91" s="28"/>
      <c r="M91" s="9"/>
      <c r="N91" s="7" t="s">
        <v>1292</v>
      </c>
      <c r="O91" s="7" t="s">
        <v>583</v>
      </c>
      <c r="P91" s="9">
        <v>4.0</v>
      </c>
      <c r="Q91" s="28"/>
      <c r="R91" s="9">
        <v>12.4</v>
      </c>
      <c r="S91" s="7" t="s">
        <v>584</v>
      </c>
      <c r="T91" s="7" t="b">
        <v>0</v>
      </c>
      <c r="U91" s="7" t="s">
        <v>585</v>
      </c>
      <c r="V91" s="27" t="s">
        <v>586</v>
      </c>
      <c r="W91" s="7" t="s">
        <v>1700</v>
      </c>
      <c r="X91" s="28"/>
      <c r="Y91" s="28"/>
      <c r="Z91" s="28"/>
    </row>
    <row r="92">
      <c r="A92" s="7" t="s">
        <v>1704</v>
      </c>
      <c r="B92" s="7" t="s">
        <v>1705</v>
      </c>
      <c r="C92" s="7" t="s">
        <v>1706</v>
      </c>
      <c r="D92" s="7" t="s">
        <v>116</v>
      </c>
      <c r="E92" s="7" t="s">
        <v>1706</v>
      </c>
      <c r="F92" s="9">
        <v>14.344762</v>
      </c>
      <c r="G92" s="9">
        <v>100.670105</v>
      </c>
      <c r="H92" s="7" t="s">
        <v>576</v>
      </c>
      <c r="I92" s="9">
        <v>2.81</v>
      </c>
      <c r="J92" s="28"/>
      <c r="K92" s="28"/>
      <c r="L92" s="28"/>
      <c r="M92" s="9"/>
      <c r="N92" s="7" t="s">
        <v>1292</v>
      </c>
      <c r="O92" s="7" t="s">
        <v>583</v>
      </c>
      <c r="P92" s="9">
        <v>4.0</v>
      </c>
      <c r="Q92" s="28"/>
      <c r="R92" s="9">
        <v>12.4</v>
      </c>
      <c r="S92" s="7" t="s">
        <v>584</v>
      </c>
      <c r="T92" s="7" t="b">
        <v>0</v>
      </c>
      <c r="U92" s="7" t="s">
        <v>585</v>
      </c>
      <c r="V92" s="27" t="s">
        <v>586</v>
      </c>
      <c r="W92" s="7" t="s">
        <v>1711</v>
      </c>
      <c r="X92" s="28"/>
      <c r="Y92" s="28"/>
      <c r="Z92" s="28"/>
    </row>
    <row r="93">
      <c r="A93" s="7" t="s">
        <v>1712</v>
      </c>
      <c r="B93" s="7" t="s">
        <v>1713</v>
      </c>
      <c r="C93" s="7" t="s">
        <v>1714</v>
      </c>
      <c r="D93" s="7" t="s">
        <v>86</v>
      </c>
      <c r="E93" s="7" t="s">
        <v>1715</v>
      </c>
      <c r="F93" s="9">
        <v>15.169044</v>
      </c>
      <c r="G93" s="9">
        <v>100.41471</v>
      </c>
      <c r="H93" s="7" t="s">
        <v>576</v>
      </c>
      <c r="I93" s="9">
        <v>15.5</v>
      </c>
      <c r="J93" s="28"/>
      <c r="K93" s="28"/>
      <c r="L93" s="28"/>
      <c r="M93" s="9"/>
      <c r="N93" s="7" t="s">
        <v>1292</v>
      </c>
      <c r="O93" s="7" t="s">
        <v>583</v>
      </c>
      <c r="P93" s="9">
        <v>4.0</v>
      </c>
      <c r="Q93" s="28"/>
      <c r="R93" s="9">
        <v>12.4</v>
      </c>
      <c r="S93" s="7" t="s">
        <v>584</v>
      </c>
      <c r="T93" s="7" t="b">
        <v>0</v>
      </c>
      <c r="U93" s="7" t="s">
        <v>585</v>
      </c>
      <c r="V93" s="27" t="s">
        <v>586</v>
      </c>
      <c r="W93" s="7" t="s">
        <v>1725</v>
      </c>
      <c r="X93" s="28"/>
      <c r="Y93" s="28"/>
      <c r="Z93" s="28"/>
    </row>
    <row r="94">
      <c r="A94" s="7" t="s">
        <v>1726</v>
      </c>
      <c r="B94" s="7" t="s">
        <v>1727</v>
      </c>
      <c r="C94" s="7" t="s">
        <v>1728</v>
      </c>
      <c r="D94" s="7" t="s">
        <v>301</v>
      </c>
      <c r="E94" s="7" t="s">
        <v>1729</v>
      </c>
      <c r="F94" s="9">
        <v>6.67525</v>
      </c>
      <c r="G94" s="9">
        <v>101.286354</v>
      </c>
      <c r="H94" s="7" t="s">
        <v>576</v>
      </c>
      <c r="I94" s="9">
        <v>12.9</v>
      </c>
      <c r="J94" s="28"/>
      <c r="K94" s="28"/>
      <c r="L94" s="28"/>
      <c r="M94" s="9"/>
      <c r="N94" s="7" t="s">
        <v>1292</v>
      </c>
      <c r="O94" s="7" t="s">
        <v>583</v>
      </c>
      <c r="P94" s="9">
        <v>4.0</v>
      </c>
      <c r="Q94" s="28"/>
      <c r="R94" s="9">
        <v>12.4</v>
      </c>
      <c r="S94" s="7" t="s">
        <v>584</v>
      </c>
      <c r="T94" s="7" t="b">
        <v>0</v>
      </c>
      <c r="U94" s="7" t="s">
        <v>585</v>
      </c>
      <c r="V94" s="27" t="s">
        <v>586</v>
      </c>
      <c r="W94" s="7" t="s">
        <v>1740</v>
      </c>
      <c r="X94" s="28"/>
      <c r="Y94" s="28"/>
      <c r="Z94" s="28"/>
    </row>
    <row r="95">
      <c r="A95" s="7" t="s">
        <v>1742</v>
      </c>
      <c r="B95" s="7" t="s">
        <v>1743</v>
      </c>
      <c r="C95" s="7" t="s">
        <v>1744</v>
      </c>
      <c r="D95" s="7" t="s">
        <v>109</v>
      </c>
      <c r="E95" s="7" t="s">
        <v>911</v>
      </c>
      <c r="F95" s="9">
        <v>15.00602</v>
      </c>
      <c r="G95" s="9">
        <v>100.33088</v>
      </c>
      <c r="H95" s="7" t="s">
        <v>576</v>
      </c>
      <c r="I95" s="9">
        <v>14.0</v>
      </c>
      <c r="J95" s="28"/>
      <c r="K95" s="28"/>
      <c r="L95" s="28"/>
      <c r="M95" s="9"/>
      <c r="N95" s="7" t="s">
        <v>1292</v>
      </c>
      <c r="O95" s="7" t="s">
        <v>583</v>
      </c>
      <c r="P95" s="9">
        <v>4.0</v>
      </c>
      <c r="Q95" s="28"/>
      <c r="R95" s="9">
        <v>12.4</v>
      </c>
      <c r="S95" s="7" t="s">
        <v>584</v>
      </c>
      <c r="T95" s="7" t="b">
        <v>0</v>
      </c>
      <c r="U95" s="7" t="s">
        <v>585</v>
      </c>
      <c r="V95" s="27" t="s">
        <v>586</v>
      </c>
      <c r="W95" s="7" t="s">
        <v>1751</v>
      </c>
      <c r="X95" s="28"/>
      <c r="Y95" s="28"/>
      <c r="Z95" s="28"/>
    </row>
    <row r="96">
      <c r="A96" s="7" t="s">
        <v>1752</v>
      </c>
      <c r="B96" s="7" t="s">
        <v>1754</v>
      </c>
      <c r="C96" s="7" t="s">
        <v>1756</v>
      </c>
      <c r="D96" s="7" t="s">
        <v>203</v>
      </c>
      <c r="E96" s="7" t="s">
        <v>1759</v>
      </c>
      <c r="F96" s="9">
        <v>16.929113</v>
      </c>
      <c r="G96" s="9">
        <v>104.700676</v>
      </c>
      <c r="H96" s="7" t="s">
        <v>576</v>
      </c>
      <c r="I96" s="9">
        <v>138.35</v>
      </c>
      <c r="J96" s="28"/>
      <c r="K96" s="28"/>
      <c r="L96" s="28"/>
      <c r="M96" s="9"/>
      <c r="N96" s="7" t="s">
        <v>1292</v>
      </c>
      <c r="O96" s="7" t="s">
        <v>583</v>
      </c>
      <c r="P96" s="9">
        <v>4.0</v>
      </c>
      <c r="Q96" s="28"/>
      <c r="R96" s="9">
        <v>12.4</v>
      </c>
      <c r="S96" s="7" t="s">
        <v>584</v>
      </c>
      <c r="T96" s="7" t="b">
        <v>0</v>
      </c>
      <c r="U96" s="7" t="s">
        <v>585</v>
      </c>
      <c r="V96" s="27" t="s">
        <v>586</v>
      </c>
      <c r="W96" s="7" t="s">
        <v>1764</v>
      </c>
      <c r="X96" s="28"/>
      <c r="Y96" s="28"/>
      <c r="Z96" s="28"/>
    </row>
    <row r="97">
      <c r="A97" s="7" t="s">
        <v>1765</v>
      </c>
      <c r="B97" s="7" t="s">
        <v>1766</v>
      </c>
      <c r="C97" s="7" t="s">
        <v>1767</v>
      </c>
      <c r="D97" s="7" t="s">
        <v>98</v>
      </c>
      <c r="E97" s="7" t="s">
        <v>1768</v>
      </c>
      <c r="F97" s="9">
        <v>13.87089</v>
      </c>
      <c r="G97" s="9">
        <v>100.43626</v>
      </c>
      <c r="H97" s="7" t="s">
        <v>576</v>
      </c>
      <c r="I97" s="9">
        <v>1.47</v>
      </c>
      <c r="J97" s="28"/>
      <c r="K97" s="28"/>
      <c r="L97" s="28"/>
      <c r="M97" s="9"/>
      <c r="N97" s="7" t="s">
        <v>1292</v>
      </c>
      <c r="O97" s="7" t="s">
        <v>583</v>
      </c>
      <c r="P97" s="9">
        <v>4.0</v>
      </c>
      <c r="Q97" s="28"/>
      <c r="R97" s="9">
        <v>12.4</v>
      </c>
      <c r="S97" s="7" t="s">
        <v>584</v>
      </c>
      <c r="T97" s="7" t="b">
        <v>0</v>
      </c>
      <c r="U97" s="7" t="s">
        <v>585</v>
      </c>
      <c r="V97" s="27" t="s">
        <v>586</v>
      </c>
      <c r="W97" s="7" t="s">
        <v>1777</v>
      </c>
      <c r="X97" s="28"/>
      <c r="Y97" s="28"/>
      <c r="Z97" s="28"/>
    </row>
    <row r="98">
      <c r="A98" s="7" t="s">
        <v>1781</v>
      </c>
      <c r="B98" s="7" t="s">
        <v>1782</v>
      </c>
      <c r="C98" s="7" t="s">
        <v>1783</v>
      </c>
      <c r="D98" s="7" t="s">
        <v>286</v>
      </c>
      <c r="E98" s="7" t="s">
        <v>1784</v>
      </c>
      <c r="F98" s="9">
        <v>7.261514</v>
      </c>
      <c r="G98" s="9">
        <v>100.42447</v>
      </c>
      <c r="H98" s="7" t="s">
        <v>576</v>
      </c>
      <c r="I98" s="9">
        <v>0.33</v>
      </c>
      <c r="J98" s="28"/>
      <c r="K98" s="28"/>
      <c r="L98" s="28"/>
      <c r="M98" s="28"/>
      <c r="N98" s="7" t="s">
        <v>1292</v>
      </c>
      <c r="O98" s="7" t="s">
        <v>583</v>
      </c>
      <c r="P98" s="9">
        <v>4.0</v>
      </c>
      <c r="Q98" s="28"/>
      <c r="R98" s="9">
        <v>12.4</v>
      </c>
      <c r="S98" s="7" t="s">
        <v>584</v>
      </c>
      <c r="T98" s="7" t="b">
        <v>0</v>
      </c>
      <c r="U98" s="7" t="s">
        <v>585</v>
      </c>
      <c r="V98" s="27" t="s">
        <v>586</v>
      </c>
      <c r="W98" s="7" t="s">
        <v>1789</v>
      </c>
      <c r="X98" s="28"/>
      <c r="Y98" s="28"/>
      <c r="Z98" s="28"/>
    </row>
    <row r="99">
      <c r="A99" s="7" t="s">
        <v>1790</v>
      </c>
      <c r="B99" s="7" t="s">
        <v>1791</v>
      </c>
      <c r="C99" s="7" t="s">
        <v>1792</v>
      </c>
      <c r="D99" s="7" t="s">
        <v>118</v>
      </c>
      <c r="E99" s="7" t="s">
        <v>1792</v>
      </c>
      <c r="F99" s="9">
        <v>14.20612</v>
      </c>
      <c r="G99" s="9">
        <v>100.74476</v>
      </c>
      <c r="H99" s="7" t="s">
        <v>576</v>
      </c>
      <c r="I99" s="9">
        <v>4.08</v>
      </c>
      <c r="J99" s="28"/>
      <c r="K99" s="28"/>
      <c r="L99" s="28"/>
      <c r="M99" s="9"/>
      <c r="N99" s="7" t="s">
        <v>1292</v>
      </c>
      <c r="O99" s="7" t="s">
        <v>583</v>
      </c>
      <c r="P99" s="9">
        <v>4.0</v>
      </c>
      <c r="Q99" s="28"/>
      <c r="R99" s="9">
        <v>12.4</v>
      </c>
      <c r="S99" s="7" t="s">
        <v>584</v>
      </c>
      <c r="T99" s="7" t="b">
        <v>0</v>
      </c>
      <c r="U99" s="7" t="s">
        <v>585</v>
      </c>
      <c r="V99" s="27" t="s">
        <v>586</v>
      </c>
      <c r="W99" s="7" t="s">
        <v>1801</v>
      </c>
      <c r="X99" s="28"/>
      <c r="Y99" s="28"/>
      <c r="Z99" s="28"/>
    </row>
    <row r="100">
      <c r="A100" s="7" t="s">
        <v>1802</v>
      </c>
      <c r="B100" s="7" t="s">
        <v>1803</v>
      </c>
      <c r="C100" s="7" t="s">
        <v>1804</v>
      </c>
      <c r="D100" s="7" t="s">
        <v>153</v>
      </c>
      <c r="E100" s="7" t="s">
        <v>1354</v>
      </c>
      <c r="F100" s="9">
        <v>13.63308</v>
      </c>
      <c r="G100" s="9">
        <v>99.8164</v>
      </c>
      <c r="H100" s="7" t="s">
        <v>576</v>
      </c>
      <c r="I100" s="9">
        <v>5.08</v>
      </c>
      <c r="J100" s="28"/>
      <c r="K100" s="28"/>
      <c r="L100" s="28"/>
      <c r="M100" s="9"/>
      <c r="N100" s="7" t="s">
        <v>1292</v>
      </c>
      <c r="O100" s="7" t="s">
        <v>583</v>
      </c>
      <c r="P100" s="9">
        <v>4.0</v>
      </c>
      <c r="Q100" s="28"/>
      <c r="R100" s="9">
        <v>12.4</v>
      </c>
      <c r="S100" s="7" t="s">
        <v>584</v>
      </c>
      <c r="T100" s="7" t="b">
        <v>0</v>
      </c>
      <c r="U100" s="7" t="s">
        <v>585</v>
      </c>
      <c r="V100" s="27" t="s">
        <v>586</v>
      </c>
      <c r="W100" s="7" t="s">
        <v>1810</v>
      </c>
      <c r="X100" s="28"/>
      <c r="Y100" s="28"/>
      <c r="Z100" s="28"/>
    </row>
    <row r="101">
      <c r="A101" s="7" t="s">
        <v>1811</v>
      </c>
      <c r="B101" s="7" t="s">
        <v>1812</v>
      </c>
      <c r="C101" s="7" t="s">
        <v>1813</v>
      </c>
      <c r="D101" s="7" t="s">
        <v>118</v>
      </c>
      <c r="E101" s="7" t="s">
        <v>1815</v>
      </c>
      <c r="F101" s="9">
        <v>14.2206</v>
      </c>
      <c r="G101" s="9">
        <v>100.89168</v>
      </c>
      <c r="H101" s="7" t="s">
        <v>576</v>
      </c>
      <c r="I101" s="9">
        <v>3.5</v>
      </c>
      <c r="J101" s="28"/>
      <c r="K101" s="28"/>
      <c r="L101" s="28"/>
      <c r="M101" s="9"/>
      <c r="N101" s="7" t="s">
        <v>1292</v>
      </c>
      <c r="O101" s="7" t="s">
        <v>583</v>
      </c>
      <c r="P101" s="9">
        <v>4.0</v>
      </c>
      <c r="Q101" s="28"/>
      <c r="R101" s="9">
        <v>12.4</v>
      </c>
      <c r="S101" s="7" t="s">
        <v>584</v>
      </c>
      <c r="T101" s="7" t="b">
        <v>0</v>
      </c>
      <c r="U101" s="7" t="s">
        <v>585</v>
      </c>
      <c r="V101" s="27" t="s">
        <v>586</v>
      </c>
      <c r="W101" s="7" t="s">
        <v>1819</v>
      </c>
      <c r="X101" s="28"/>
      <c r="Y101" s="28"/>
      <c r="Z101" s="28"/>
    </row>
    <row r="102">
      <c r="A102" s="7" t="s">
        <v>1820</v>
      </c>
      <c r="B102" s="7" t="s">
        <v>1821</v>
      </c>
      <c r="C102" s="7" t="s">
        <v>1822</v>
      </c>
      <c r="D102" s="7" t="s">
        <v>109</v>
      </c>
      <c r="E102" s="7" t="s">
        <v>1823</v>
      </c>
      <c r="F102" s="9">
        <v>15.05502</v>
      </c>
      <c r="G102" s="9">
        <v>100.32081</v>
      </c>
      <c r="H102" s="7" t="s">
        <v>576</v>
      </c>
      <c r="I102" s="9">
        <v>11.05</v>
      </c>
      <c r="J102" s="28"/>
      <c r="K102" s="28"/>
      <c r="L102" s="28"/>
      <c r="M102" s="9"/>
      <c r="N102" s="7" t="s">
        <v>1292</v>
      </c>
      <c r="O102" s="7" t="s">
        <v>583</v>
      </c>
      <c r="P102" s="9">
        <v>4.0</v>
      </c>
      <c r="Q102" s="28"/>
      <c r="R102" s="9">
        <v>12.4</v>
      </c>
      <c r="S102" s="7" t="s">
        <v>584</v>
      </c>
      <c r="T102" s="7" t="b">
        <v>0</v>
      </c>
      <c r="U102" s="7" t="s">
        <v>585</v>
      </c>
      <c r="V102" s="27" t="s">
        <v>586</v>
      </c>
      <c r="W102" s="7" t="s">
        <v>1828</v>
      </c>
      <c r="X102" s="28"/>
      <c r="Y102" s="28"/>
      <c r="Z102" s="28"/>
    </row>
    <row r="103">
      <c r="A103" s="7" t="s">
        <v>1829</v>
      </c>
      <c r="B103" s="7" t="s">
        <v>1830</v>
      </c>
      <c r="C103" s="7" t="s">
        <v>1831</v>
      </c>
      <c r="D103" s="7" t="s">
        <v>153</v>
      </c>
      <c r="E103" s="7" t="s">
        <v>1354</v>
      </c>
      <c r="F103" s="9">
        <v>13.81866</v>
      </c>
      <c r="G103" s="9">
        <v>99.86508</v>
      </c>
      <c r="H103" s="7" t="s">
        <v>576</v>
      </c>
      <c r="I103" s="9">
        <v>8.6</v>
      </c>
      <c r="J103" s="28"/>
      <c r="K103" s="28"/>
      <c r="L103" s="28"/>
      <c r="M103" s="9"/>
      <c r="N103" s="7" t="s">
        <v>1292</v>
      </c>
      <c r="O103" s="7" t="s">
        <v>583</v>
      </c>
      <c r="P103" s="9">
        <v>4.0</v>
      </c>
      <c r="Q103" s="28"/>
      <c r="R103" s="9">
        <v>12.4</v>
      </c>
      <c r="S103" s="7" t="s">
        <v>584</v>
      </c>
      <c r="T103" s="7" t="b">
        <v>0</v>
      </c>
      <c r="U103" s="7" t="s">
        <v>585</v>
      </c>
      <c r="V103" s="27" t="s">
        <v>586</v>
      </c>
      <c r="W103" s="7" t="s">
        <v>1837</v>
      </c>
      <c r="X103" s="28"/>
      <c r="Y103" s="28"/>
      <c r="Z103" s="28"/>
    </row>
    <row r="104">
      <c r="A104" s="7" t="s">
        <v>1839</v>
      </c>
      <c r="B104" s="7" t="s">
        <v>1840</v>
      </c>
      <c r="C104" s="7" t="s">
        <v>1841</v>
      </c>
      <c r="D104" s="7" t="s">
        <v>121</v>
      </c>
      <c r="E104" s="7" t="s">
        <v>1842</v>
      </c>
      <c r="F104" s="9">
        <v>13.26553</v>
      </c>
      <c r="G104" s="9">
        <v>99.9418</v>
      </c>
      <c r="H104" s="7" t="s">
        <v>576</v>
      </c>
      <c r="I104" s="9">
        <v>1.28</v>
      </c>
      <c r="J104" s="28"/>
      <c r="K104" s="28"/>
      <c r="L104" s="28"/>
      <c r="M104" s="9"/>
      <c r="N104" s="7" t="s">
        <v>1292</v>
      </c>
      <c r="O104" s="7" t="s">
        <v>583</v>
      </c>
      <c r="P104" s="9">
        <v>4.0</v>
      </c>
      <c r="Q104" s="28"/>
      <c r="R104" s="9">
        <v>12.4</v>
      </c>
      <c r="S104" s="7" t="s">
        <v>584</v>
      </c>
      <c r="T104" s="7" t="b">
        <v>0</v>
      </c>
      <c r="U104" s="7" t="s">
        <v>585</v>
      </c>
      <c r="V104" s="27" t="s">
        <v>586</v>
      </c>
      <c r="W104" s="7" t="s">
        <v>1847</v>
      </c>
      <c r="X104" s="28"/>
      <c r="Y104" s="28"/>
      <c r="Z104" s="28"/>
    </row>
    <row r="105">
      <c r="A105" s="7" t="s">
        <v>1848</v>
      </c>
      <c r="B105" s="7" t="s">
        <v>1849</v>
      </c>
      <c r="C105" s="7" t="s">
        <v>1850</v>
      </c>
      <c r="D105" s="7" t="s">
        <v>304</v>
      </c>
      <c r="E105" s="7" t="s">
        <v>1851</v>
      </c>
      <c r="F105" s="9">
        <v>5.827553</v>
      </c>
      <c r="G105" s="9">
        <v>101.75235</v>
      </c>
      <c r="H105" s="7" t="s">
        <v>923</v>
      </c>
      <c r="I105" s="9">
        <v>112.45</v>
      </c>
      <c r="J105" s="28"/>
      <c r="K105" s="28"/>
      <c r="L105" s="9"/>
      <c r="M105" s="9"/>
      <c r="N105" s="7" t="s">
        <v>1292</v>
      </c>
      <c r="O105" s="7" t="s">
        <v>583</v>
      </c>
      <c r="P105" s="9">
        <v>4.0</v>
      </c>
      <c r="Q105" s="28"/>
      <c r="R105" s="9">
        <v>22.4</v>
      </c>
      <c r="S105" s="7" t="s">
        <v>584</v>
      </c>
      <c r="T105" s="7" t="b">
        <v>0</v>
      </c>
      <c r="U105" s="7" t="s">
        <v>585</v>
      </c>
      <c r="V105" s="27" t="s">
        <v>586</v>
      </c>
      <c r="W105" s="7" t="s">
        <v>1856</v>
      </c>
      <c r="X105" s="28"/>
      <c r="Y105" s="28"/>
      <c r="Z105" s="28"/>
    </row>
    <row r="106">
      <c r="A106" s="7" t="s">
        <v>1857</v>
      </c>
      <c r="B106" s="7" t="s">
        <v>1858</v>
      </c>
      <c r="C106" s="7" t="s">
        <v>1859</v>
      </c>
      <c r="D106" s="7" t="s">
        <v>94</v>
      </c>
      <c r="E106" s="7" t="s">
        <v>1860</v>
      </c>
      <c r="F106" s="9">
        <v>15.41085</v>
      </c>
      <c r="G106" s="9">
        <v>100.057068</v>
      </c>
      <c r="H106" s="7" t="s">
        <v>618</v>
      </c>
      <c r="I106" s="9">
        <v>20.28</v>
      </c>
      <c r="J106" s="28"/>
      <c r="K106" s="28"/>
      <c r="L106" s="9"/>
      <c r="M106" s="9"/>
      <c r="N106" s="7" t="s">
        <v>1292</v>
      </c>
      <c r="O106" s="7" t="s">
        <v>583</v>
      </c>
      <c r="P106" s="9">
        <v>4.0</v>
      </c>
      <c r="Q106" s="28"/>
      <c r="R106" s="9">
        <v>82.4</v>
      </c>
      <c r="S106" s="7" t="s">
        <v>584</v>
      </c>
      <c r="T106" s="7" t="b">
        <v>0</v>
      </c>
      <c r="U106" s="7" t="s">
        <v>585</v>
      </c>
      <c r="V106" s="27" t="s">
        <v>586</v>
      </c>
      <c r="W106" s="7" t="s">
        <v>1865</v>
      </c>
      <c r="X106" s="28"/>
      <c r="Y106" s="28"/>
      <c r="Z106" s="28"/>
    </row>
    <row r="107">
      <c r="A107" s="7" t="s">
        <v>1866</v>
      </c>
      <c r="B107" s="7" t="s">
        <v>1867</v>
      </c>
      <c r="C107" s="7" t="s">
        <v>1868</v>
      </c>
      <c r="D107" s="7" t="s">
        <v>298</v>
      </c>
      <c r="E107" s="7" t="s">
        <v>1869</v>
      </c>
      <c r="F107" s="9">
        <v>7.48407</v>
      </c>
      <c r="G107" s="9">
        <v>99.89179</v>
      </c>
      <c r="H107" s="7" t="s">
        <v>576</v>
      </c>
      <c r="I107" s="9">
        <v>399.08</v>
      </c>
      <c r="J107" s="28"/>
      <c r="K107" s="28"/>
      <c r="L107" s="9"/>
      <c r="M107" s="9"/>
      <c r="N107" s="7" t="s">
        <v>1292</v>
      </c>
      <c r="O107" s="7" t="s">
        <v>583</v>
      </c>
      <c r="P107" s="9">
        <v>4.0</v>
      </c>
      <c r="Q107" s="28"/>
      <c r="R107" s="9">
        <v>12.4</v>
      </c>
      <c r="S107" s="7" t="s">
        <v>584</v>
      </c>
      <c r="T107" s="7" t="b">
        <v>0</v>
      </c>
      <c r="U107" s="7" t="s">
        <v>585</v>
      </c>
      <c r="V107" s="27" t="s">
        <v>586</v>
      </c>
      <c r="W107" s="7" t="s">
        <v>1874</v>
      </c>
      <c r="X107" s="28"/>
      <c r="Y107" s="28"/>
      <c r="Z107" s="28"/>
    </row>
    <row r="108">
      <c r="A108" s="7" t="s">
        <v>1877</v>
      </c>
      <c r="B108" s="7" t="s">
        <v>1878</v>
      </c>
      <c r="C108" s="7" t="s">
        <v>1879</v>
      </c>
      <c r="D108" s="7" t="s">
        <v>202</v>
      </c>
      <c r="E108" s="7" t="s">
        <v>1881</v>
      </c>
      <c r="F108" s="9">
        <v>17.777582</v>
      </c>
      <c r="G108" s="9">
        <v>104.01503</v>
      </c>
      <c r="H108" s="7" t="s">
        <v>576</v>
      </c>
      <c r="I108" s="9">
        <v>142.57</v>
      </c>
      <c r="J108" s="28"/>
      <c r="K108" s="28"/>
      <c r="L108" s="9"/>
      <c r="M108" s="9"/>
      <c r="N108" s="7" t="s">
        <v>1292</v>
      </c>
      <c r="O108" s="7" t="s">
        <v>583</v>
      </c>
      <c r="P108" s="9">
        <v>4.0</v>
      </c>
      <c r="Q108" s="28"/>
      <c r="R108" s="9">
        <v>12.4</v>
      </c>
      <c r="S108" s="7" t="s">
        <v>584</v>
      </c>
      <c r="T108" s="7" t="b">
        <v>0</v>
      </c>
      <c r="U108" s="7" t="s">
        <v>585</v>
      </c>
      <c r="V108" s="27" t="s">
        <v>586</v>
      </c>
      <c r="W108" s="7" t="s">
        <v>1888</v>
      </c>
      <c r="X108" s="28"/>
      <c r="Y108" s="28"/>
      <c r="Z108" s="28"/>
    </row>
    <row r="109">
      <c r="A109" s="7" t="s">
        <v>1889</v>
      </c>
      <c r="B109" s="7" t="s">
        <v>1890</v>
      </c>
      <c r="C109" s="7" t="s">
        <v>1891</v>
      </c>
      <c r="D109" s="7" t="s">
        <v>224</v>
      </c>
      <c r="E109" s="7" t="s">
        <v>1892</v>
      </c>
      <c r="F109" s="9">
        <v>15.21996</v>
      </c>
      <c r="G109" s="9">
        <v>102.428299</v>
      </c>
      <c r="H109" s="7" t="s">
        <v>618</v>
      </c>
      <c r="I109" s="9">
        <v>154.68</v>
      </c>
      <c r="J109" s="28"/>
      <c r="K109" s="28"/>
      <c r="L109" s="9"/>
      <c r="M109" s="9"/>
      <c r="N109" s="7" t="s">
        <v>1292</v>
      </c>
      <c r="O109" s="7" t="s">
        <v>583</v>
      </c>
      <c r="P109" s="9">
        <v>4.0</v>
      </c>
      <c r="Q109" s="28"/>
      <c r="R109" s="9">
        <v>82.4</v>
      </c>
      <c r="S109" s="7" t="s">
        <v>584</v>
      </c>
      <c r="T109" s="7" t="b">
        <v>0</v>
      </c>
      <c r="U109" s="7" t="s">
        <v>585</v>
      </c>
      <c r="V109" s="27" t="s">
        <v>586</v>
      </c>
      <c r="W109" s="7" t="s">
        <v>1900</v>
      </c>
      <c r="X109" s="28"/>
      <c r="Y109" s="28"/>
      <c r="Z109" s="28"/>
    </row>
    <row r="110">
      <c r="A110" s="7" t="s">
        <v>1901</v>
      </c>
      <c r="B110" s="7" t="s">
        <v>1902</v>
      </c>
      <c r="C110" s="7" t="s">
        <v>1903</v>
      </c>
      <c r="D110" s="7" t="s">
        <v>101</v>
      </c>
      <c r="E110" s="7" t="s">
        <v>1904</v>
      </c>
      <c r="F110" s="9">
        <v>15.082755</v>
      </c>
      <c r="G110" s="9">
        <v>100.554504</v>
      </c>
      <c r="H110" s="7" t="s">
        <v>576</v>
      </c>
      <c r="I110" s="9">
        <v>13.65</v>
      </c>
      <c r="J110" s="28"/>
      <c r="K110" s="28"/>
      <c r="L110" s="28"/>
      <c r="M110" s="9"/>
      <c r="N110" s="7" t="s">
        <v>1292</v>
      </c>
      <c r="O110" s="7" t="s">
        <v>583</v>
      </c>
      <c r="P110" s="9">
        <v>4.0</v>
      </c>
      <c r="Q110" s="28"/>
      <c r="R110" s="9">
        <v>12.4</v>
      </c>
      <c r="S110" s="7" t="s">
        <v>584</v>
      </c>
      <c r="T110" s="7" t="b">
        <v>0</v>
      </c>
      <c r="U110" s="7" t="s">
        <v>585</v>
      </c>
      <c r="V110" s="27" t="s">
        <v>586</v>
      </c>
      <c r="W110" s="7" t="s">
        <v>1913</v>
      </c>
      <c r="X110" s="28"/>
      <c r="Y110" s="28"/>
      <c r="Z110" s="28"/>
    </row>
    <row r="111">
      <c r="A111" s="7" t="s">
        <v>1914</v>
      </c>
      <c r="B111" s="7" t="s">
        <v>1915</v>
      </c>
      <c r="C111" s="7" t="s">
        <v>1916</v>
      </c>
      <c r="D111" s="7" t="s">
        <v>86</v>
      </c>
      <c r="E111" s="7" t="s">
        <v>1917</v>
      </c>
      <c r="F111" s="9">
        <v>15.84175</v>
      </c>
      <c r="G111" s="9">
        <v>99.41808</v>
      </c>
      <c r="H111" s="7" t="s">
        <v>576</v>
      </c>
      <c r="I111" s="9">
        <v>133.72</v>
      </c>
      <c r="J111" s="28"/>
      <c r="K111" s="28"/>
      <c r="L111" s="9"/>
      <c r="M111" s="9"/>
      <c r="N111" s="7" t="s">
        <v>1292</v>
      </c>
      <c r="O111" s="7" t="s">
        <v>583</v>
      </c>
      <c r="P111" s="9">
        <v>4.0</v>
      </c>
      <c r="Q111" s="28"/>
      <c r="R111" s="9">
        <v>12.4</v>
      </c>
      <c r="S111" s="7" t="s">
        <v>584</v>
      </c>
      <c r="T111" s="7" t="b">
        <v>0</v>
      </c>
      <c r="U111" s="7" t="s">
        <v>585</v>
      </c>
      <c r="V111" s="27" t="s">
        <v>586</v>
      </c>
      <c r="W111" s="7" t="s">
        <v>1927</v>
      </c>
      <c r="X111" s="28"/>
      <c r="Y111" s="28"/>
      <c r="Z111" s="28"/>
    </row>
    <row r="112">
      <c r="A112" s="7" t="s">
        <v>1928</v>
      </c>
      <c r="B112" s="7" t="s">
        <v>1929</v>
      </c>
      <c r="C112" s="7" t="s">
        <v>1930</v>
      </c>
      <c r="D112" s="7" t="s">
        <v>230</v>
      </c>
      <c r="E112" s="7" t="s">
        <v>1931</v>
      </c>
      <c r="F112" s="9">
        <v>14.85738</v>
      </c>
      <c r="G112" s="9">
        <v>103.476936</v>
      </c>
      <c r="H112" s="7" t="s">
        <v>618</v>
      </c>
      <c r="I112" s="9">
        <v>139.95</v>
      </c>
      <c r="J112" s="28"/>
      <c r="K112" s="28"/>
      <c r="L112" s="28"/>
      <c r="M112" s="9"/>
      <c r="N112" s="7" t="s">
        <v>1292</v>
      </c>
      <c r="O112" s="7" t="s">
        <v>583</v>
      </c>
      <c r="P112" s="9">
        <v>4.0</v>
      </c>
      <c r="Q112" s="28"/>
      <c r="R112" s="9">
        <v>82.4</v>
      </c>
      <c r="S112" s="7" t="s">
        <v>584</v>
      </c>
      <c r="T112" s="7" t="b">
        <v>0</v>
      </c>
      <c r="U112" s="7" t="s">
        <v>585</v>
      </c>
      <c r="V112" s="27" t="s">
        <v>586</v>
      </c>
      <c r="W112" s="7" t="s">
        <v>1936</v>
      </c>
      <c r="X112" s="28"/>
      <c r="Y112" s="28"/>
      <c r="Z112" s="28"/>
    </row>
    <row r="113">
      <c r="A113" s="7" t="s">
        <v>1937</v>
      </c>
      <c r="B113" s="7" t="s">
        <v>1938</v>
      </c>
      <c r="C113" s="7" t="s">
        <v>1939</v>
      </c>
      <c r="D113" s="7" t="s">
        <v>101</v>
      </c>
      <c r="E113" s="7" t="s">
        <v>1940</v>
      </c>
      <c r="F113" s="9">
        <v>14.818599</v>
      </c>
      <c r="G113" s="9">
        <v>100.576515</v>
      </c>
      <c r="H113" s="7" t="s">
        <v>576</v>
      </c>
      <c r="I113" s="9">
        <v>7.03</v>
      </c>
      <c r="J113" s="28"/>
      <c r="K113" s="28"/>
      <c r="L113" s="9"/>
      <c r="M113" s="9"/>
      <c r="N113" s="7" t="s">
        <v>1292</v>
      </c>
      <c r="O113" s="7" t="s">
        <v>583</v>
      </c>
      <c r="P113" s="9">
        <v>4.0</v>
      </c>
      <c r="Q113" s="28"/>
      <c r="R113" s="9">
        <v>12.4</v>
      </c>
      <c r="S113" s="7" t="s">
        <v>584</v>
      </c>
      <c r="T113" s="7" t="b">
        <v>0</v>
      </c>
      <c r="U113" s="7" t="s">
        <v>585</v>
      </c>
      <c r="V113" s="27" t="s">
        <v>586</v>
      </c>
      <c r="W113" s="7" t="s">
        <v>1945</v>
      </c>
      <c r="X113" s="28"/>
      <c r="Y113" s="28"/>
      <c r="Z113" s="28"/>
    </row>
    <row r="114">
      <c r="A114" s="7" t="s">
        <v>1946</v>
      </c>
      <c r="B114" s="7" t="s">
        <v>1947</v>
      </c>
      <c r="C114" s="7" t="s">
        <v>1948</v>
      </c>
      <c r="D114" s="7" t="s">
        <v>259</v>
      </c>
      <c r="E114" s="7" t="s">
        <v>1949</v>
      </c>
      <c r="F114" s="9">
        <v>8.42915</v>
      </c>
      <c r="G114" s="9">
        <v>99.508362</v>
      </c>
      <c r="H114" s="7" t="s">
        <v>1951</v>
      </c>
      <c r="I114" s="9">
        <v>23.9</v>
      </c>
      <c r="J114" s="28"/>
      <c r="K114" s="28"/>
      <c r="L114" s="9"/>
      <c r="M114" s="9"/>
      <c r="N114" s="7" t="s">
        <v>1292</v>
      </c>
      <c r="O114" s="7" t="s">
        <v>583</v>
      </c>
      <c r="P114" s="9">
        <v>4.0</v>
      </c>
      <c r="Q114" s="28"/>
      <c r="R114" s="9">
        <v>202.4</v>
      </c>
      <c r="S114" s="7" t="s">
        <v>584</v>
      </c>
      <c r="T114" s="7" t="b">
        <v>0</v>
      </c>
      <c r="U114" s="7" t="s">
        <v>585</v>
      </c>
      <c r="V114" s="27" t="s">
        <v>586</v>
      </c>
      <c r="W114" s="7" t="s">
        <v>1959</v>
      </c>
      <c r="X114" s="28"/>
      <c r="Y114" s="28"/>
      <c r="Z114" s="28"/>
    </row>
    <row r="115">
      <c r="A115" s="7" t="s">
        <v>1961</v>
      </c>
      <c r="B115" s="7" t="s">
        <v>1962</v>
      </c>
      <c r="C115" s="7" t="s">
        <v>1963</v>
      </c>
      <c r="D115" s="7" t="s">
        <v>124</v>
      </c>
      <c r="E115" s="7" t="s">
        <v>575</v>
      </c>
      <c r="F115" s="9">
        <v>13.58598</v>
      </c>
      <c r="G115" s="9">
        <v>100.23048</v>
      </c>
      <c r="H115" s="7" t="s">
        <v>576</v>
      </c>
      <c r="I115" s="9">
        <v>0.83</v>
      </c>
      <c r="J115" s="28"/>
      <c r="K115" s="28"/>
      <c r="L115" s="9"/>
      <c r="M115" s="9"/>
      <c r="N115" s="7" t="s">
        <v>1292</v>
      </c>
      <c r="O115" s="7" t="s">
        <v>583</v>
      </c>
      <c r="P115" s="9">
        <v>4.0</v>
      </c>
      <c r="Q115" s="28"/>
      <c r="R115" s="9">
        <v>12.4</v>
      </c>
      <c r="S115" s="7" t="s">
        <v>584</v>
      </c>
      <c r="T115" s="7" t="b">
        <v>0</v>
      </c>
      <c r="U115" s="7" t="s">
        <v>585</v>
      </c>
      <c r="V115" s="27" t="s">
        <v>586</v>
      </c>
      <c r="W115" s="7" t="s">
        <v>1964</v>
      </c>
      <c r="X115" s="28"/>
      <c r="Y115" s="28"/>
      <c r="Z115" s="28"/>
    </row>
    <row r="116">
      <c r="A116" s="7" t="s">
        <v>1966</v>
      </c>
      <c r="B116" s="7" t="s">
        <v>1967</v>
      </c>
      <c r="C116" s="7" t="s">
        <v>1969</v>
      </c>
      <c r="D116" s="7" t="s">
        <v>301</v>
      </c>
      <c r="E116" s="7" t="s">
        <v>1972</v>
      </c>
      <c r="F116" s="9">
        <v>6.1525</v>
      </c>
      <c r="G116" s="9">
        <v>101.080902</v>
      </c>
      <c r="H116" s="7" t="s">
        <v>1951</v>
      </c>
      <c r="I116" s="9">
        <v>35.18</v>
      </c>
      <c r="J116" s="28"/>
      <c r="K116" s="28"/>
      <c r="L116" s="9"/>
      <c r="M116" s="9"/>
      <c r="N116" s="7" t="s">
        <v>1292</v>
      </c>
      <c r="O116" s="7" t="s">
        <v>583</v>
      </c>
      <c r="P116" s="9">
        <v>4.0</v>
      </c>
      <c r="Q116" s="28"/>
      <c r="R116" s="9">
        <v>202.4</v>
      </c>
      <c r="S116" s="7" t="s">
        <v>584</v>
      </c>
      <c r="T116" s="7" t="b">
        <v>0</v>
      </c>
      <c r="U116" s="7" t="s">
        <v>585</v>
      </c>
      <c r="V116" s="27" t="s">
        <v>586</v>
      </c>
      <c r="W116" s="7" t="s">
        <v>1977</v>
      </c>
      <c r="X116" s="28"/>
      <c r="Y116" s="28"/>
      <c r="Z116" s="28"/>
    </row>
    <row r="117">
      <c r="A117" s="7" t="s">
        <v>1978</v>
      </c>
      <c r="B117" s="7" t="s">
        <v>1979</v>
      </c>
      <c r="C117" s="7" t="s">
        <v>1980</v>
      </c>
      <c r="D117" s="7" t="s">
        <v>109</v>
      </c>
      <c r="E117" s="7"/>
      <c r="F117" s="9">
        <v>14.815288</v>
      </c>
      <c r="G117" s="9">
        <v>100.36448</v>
      </c>
      <c r="H117" s="7" t="s">
        <v>576</v>
      </c>
      <c r="I117" s="9">
        <v>8.8</v>
      </c>
      <c r="J117" s="28"/>
      <c r="K117" s="28"/>
      <c r="L117" s="9"/>
      <c r="M117" s="9"/>
      <c r="N117" s="7" t="s">
        <v>1292</v>
      </c>
      <c r="O117" s="7" t="s">
        <v>583</v>
      </c>
      <c r="P117" s="9">
        <v>4.0</v>
      </c>
      <c r="Q117" s="28"/>
      <c r="R117" s="9">
        <v>12.4</v>
      </c>
      <c r="S117" s="7" t="s">
        <v>584</v>
      </c>
      <c r="T117" s="7" t="b">
        <v>0</v>
      </c>
      <c r="U117" s="7" t="s">
        <v>585</v>
      </c>
      <c r="V117" s="27" t="s">
        <v>586</v>
      </c>
      <c r="W117" s="7" t="s">
        <v>1985</v>
      </c>
      <c r="X117" s="28"/>
      <c r="Y117" s="28"/>
      <c r="Z117" s="28"/>
    </row>
    <row r="118">
      <c r="A118" s="7" t="s">
        <v>1986</v>
      </c>
      <c r="B118" s="7" t="s">
        <v>1987</v>
      </c>
      <c r="C118" s="7" t="s">
        <v>1988</v>
      </c>
      <c r="D118" s="7" t="s">
        <v>116</v>
      </c>
      <c r="E118" s="7" t="s">
        <v>640</v>
      </c>
      <c r="F118" s="9">
        <v>14.31976</v>
      </c>
      <c r="G118" s="9">
        <v>100.37952</v>
      </c>
      <c r="H118" s="7" t="s">
        <v>576</v>
      </c>
      <c r="I118" s="9">
        <v>2.92</v>
      </c>
      <c r="J118" s="28"/>
      <c r="K118" s="28"/>
      <c r="L118" s="9"/>
      <c r="M118" s="9"/>
      <c r="N118" s="7" t="s">
        <v>1292</v>
      </c>
      <c r="O118" s="7" t="s">
        <v>583</v>
      </c>
      <c r="P118" s="9">
        <v>4.0</v>
      </c>
      <c r="Q118" s="28"/>
      <c r="R118" s="9">
        <v>12.4</v>
      </c>
      <c r="S118" s="7" t="s">
        <v>584</v>
      </c>
      <c r="T118" s="7" t="b">
        <v>0</v>
      </c>
      <c r="U118" s="7" t="s">
        <v>585</v>
      </c>
      <c r="V118" s="27" t="s">
        <v>586</v>
      </c>
      <c r="W118" s="7" t="s">
        <v>1993</v>
      </c>
      <c r="X118" s="28"/>
      <c r="Y118" s="28"/>
      <c r="Z118" s="28"/>
    </row>
    <row r="119">
      <c r="A119" s="7" t="s">
        <v>1994</v>
      </c>
      <c r="B119" s="7" t="s">
        <v>1995</v>
      </c>
      <c r="C119" s="7" t="s">
        <v>1996</v>
      </c>
      <c r="D119" s="7" t="s">
        <v>260</v>
      </c>
      <c r="E119" s="7" t="s">
        <v>1949</v>
      </c>
      <c r="F119" s="9">
        <v>9.131233</v>
      </c>
      <c r="G119" s="9">
        <v>99.25885</v>
      </c>
      <c r="H119" s="7" t="s">
        <v>1997</v>
      </c>
      <c r="I119" s="9">
        <v>1.22</v>
      </c>
      <c r="J119" s="28"/>
      <c r="K119" s="28"/>
      <c r="L119" s="9"/>
      <c r="M119" s="9"/>
      <c r="N119" s="7" t="s">
        <v>1292</v>
      </c>
      <c r="O119" s="7" t="s">
        <v>583</v>
      </c>
      <c r="P119" s="9">
        <v>4.0</v>
      </c>
      <c r="Q119" s="28"/>
      <c r="R119" s="9">
        <v>1422.4</v>
      </c>
      <c r="S119" s="7" t="s">
        <v>584</v>
      </c>
      <c r="T119" s="7" t="b">
        <v>0</v>
      </c>
      <c r="U119" s="7" t="s">
        <v>585</v>
      </c>
      <c r="V119" s="27" t="s">
        <v>586</v>
      </c>
      <c r="W119" s="7" t="s">
        <v>2002</v>
      </c>
      <c r="X119" s="28"/>
      <c r="Y119" s="28"/>
      <c r="Z119" s="28"/>
    </row>
    <row r="120">
      <c r="A120" s="7" t="s">
        <v>2003</v>
      </c>
      <c r="B120" s="7" t="s">
        <v>2004</v>
      </c>
      <c r="C120" s="7" t="s">
        <v>2005</v>
      </c>
      <c r="D120" s="7" t="s">
        <v>86</v>
      </c>
      <c r="E120" s="7" t="s">
        <v>2006</v>
      </c>
      <c r="F120" s="9">
        <v>15.86918</v>
      </c>
      <c r="G120" s="9">
        <v>100.264732</v>
      </c>
      <c r="H120" s="7" t="s">
        <v>618</v>
      </c>
      <c r="I120" s="9">
        <v>26.18</v>
      </c>
      <c r="J120" s="28"/>
      <c r="K120" s="28"/>
      <c r="L120" s="9">
        <v>23.3</v>
      </c>
      <c r="M120" s="9">
        <v>28.3</v>
      </c>
      <c r="N120" s="7" t="s">
        <v>1292</v>
      </c>
      <c r="O120" s="7" t="s">
        <v>583</v>
      </c>
      <c r="P120" s="9">
        <v>4.0</v>
      </c>
      <c r="Q120" s="28"/>
      <c r="R120" s="9">
        <v>82.4</v>
      </c>
      <c r="S120" s="7" t="s">
        <v>584</v>
      </c>
      <c r="T120" s="7" t="b">
        <v>0</v>
      </c>
      <c r="U120" s="7" t="s">
        <v>585</v>
      </c>
      <c r="V120" s="27" t="s">
        <v>586</v>
      </c>
      <c r="W120" s="7" t="s">
        <v>2011</v>
      </c>
      <c r="X120" s="28"/>
      <c r="Y120" s="28"/>
      <c r="Z120" s="28"/>
    </row>
    <row r="121">
      <c r="A121" s="7" t="s">
        <v>2012</v>
      </c>
      <c r="B121" s="7" t="s">
        <v>2014</v>
      </c>
      <c r="C121" s="7" t="s">
        <v>2015</v>
      </c>
      <c r="D121" s="7" t="s">
        <v>283</v>
      </c>
      <c r="E121" s="7" t="s">
        <v>2017</v>
      </c>
      <c r="F121" s="9">
        <v>10.2312</v>
      </c>
      <c r="G121" s="9">
        <v>99.09844</v>
      </c>
      <c r="H121" s="7" t="s">
        <v>576</v>
      </c>
      <c r="I121" s="9">
        <v>2.09</v>
      </c>
      <c r="J121" s="28"/>
      <c r="K121" s="28"/>
      <c r="L121" s="9"/>
      <c r="M121" s="9"/>
      <c r="N121" s="7" t="s">
        <v>1292</v>
      </c>
      <c r="O121" s="7" t="s">
        <v>583</v>
      </c>
      <c r="P121" s="9">
        <v>4.0</v>
      </c>
      <c r="Q121" s="28"/>
      <c r="R121" s="9">
        <v>12.4</v>
      </c>
      <c r="S121" s="7" t="s">
        <v>584</v>
      </c>
      <c r="T121" s="7" t="b">
        <v>0</v>
      </c>
      <c r="U121" s="7" t="s">
        <v>585</v>
      </c>
      <c r="V121" s="27" t="s">
        <v>586</v>
      </c>
      <c r="W121" s="7" t="s">
        <v>2023</v>
      </c>
      <c r="X121" s="28"/>
      <c r="Y121" s="28"/>
      <c r="Z121" s="28"/>
    </row>
    <row r="122">
      <c r="A122" s="7" t="s">
        <v>2024</v>
      </c>
      <c r="B122" s="7" t="s">
        <v>2025</v>
      </c>
      <c r="C122" s="7" t="s">
        <v>2026</v>
      </c>
      <c r="D122" s="7" t="s">
        <v>86</v>
      </c>
      <c r="E122" s="7" t="s">
        <v>911</v>
      </c>
      <c r="F122" s="9">
        <v>15.42655</v>
      </c>
      <c r="G122" s="9">
        <v>100.13471</v>
      </c>
      <c r="H122" s="7" t="s">
        <v>576</v>
      </c>
      <c r="I122" s="9">
        <v>19.87</v>
      </c>
      <c r="J122" s="28"/>
      <c r="K122" s="28"/>
      <c r="L122" s="9"/>
      <c r="M122" s="9"/>
      <c r="N122" s="7" t="s">
        <v>1292</v>
      </c>
      <c r="O122" s="7" t="s">
        <v>583</v>
      </c>
      <c r="P122" s="9">
        <v>4.0</v>
      </c>
      <c r="Q122" s="28"/>
      <c r="R122" s="9">
        <v>12.4</v>
      </c>
      <c r="S122" s="7" t="s">
        <v>584</v>
      </c>
      <c r="T122" s="7" t="b">
        <v>0</v>
      </c>
      <c r="U122" s="7" t="s">
        <v>585</v>
      </c>
      <c r="V122" s="27" t="s">
        <v>586</v>
      </c>
      <c r="W122" s="7" t="s">
        <v>2032</v>
      </c>
      <c r="X122" s="28"/>
      <c r="Y122" s="28"/>
      <c r="Z122" s="28"/>
    </row>
    <row r="123">
      <c r="A123" s="7" t="s">
        <v>2033</v>
      </c>
      <c r="B123" s="7" t="s">
        <v>2034</v>
      </c>
      <c r="C123" s="7" t="s">
        <v>2035</v>
      </c>
      <c r="D123" s="7" t="s">
        <v>63</v>
      </c>
      <c r="E123" s="7" t="s">
        <v>2036</v>
      </c>
      <c r="F123" s="9">
        <v>19.15985</v>
      </c>
      <c r="G123" s="9">
        <v>99.91412</v>
      </c>
      <c r="H123" s="7" t="s">
        <v>576</v>
      </c>
      <c r="I123" s="9">
        <v>391.83</v>
      </c>
      <c r="J123" s="28"/>
      <c r="K123" s="28"/>
      <c r="L123" s="9"/>
      <c r="M123" s="9"/>
      <c r="N123" s="7" t="s">
        <v>1292</v>
      </c>
      <c r="O123" s="7" t="s">
        <v>583</v>
      </c>
      <c r="P123" s="9">
        <v>4.0</v>
      </c>
      <c r="Q123" s="28"/>
      <c r="R123" s="9">
        <v>12.4</v>
      </c>
      <c r="S123" s="7" t="s">
        <v>584</v>
      </c>
      <c r="T123" s="7" t="b">
        <v>0</v>
      </c>
      <c r="U123" s="7" t="s">
        <v>585</v>
      </c>
      <c r="V123" s="27" t="s">
        <v>586</v>
      </c>
      <c r="W123" s="7" t="s">
        <v>2043</v>
      </c>
      <c r="X123" s="28"/>
      <c r="Y123" s="28"/>
      <c r="Z123" s="28"/>
    </row>
    <row r="124">
      <c r="A124" s="7" t="s">
        <v>2044</v>
      </c>
      <c r="B124" s="7" t="s">
        <v>2045</v>
      </c>
      <c r="C124" s="7" t="s">
        <v>2046</v>
      </c>
      <c r="D124" s="7" t="s">
        <v>124</v>
      </c>
      <c r="E124" s="7" t="s">
        <v>2047</v>
      </c>
      <c r="F124" s="9">
        <v>13.58184</v>
      </c>
      <c r="G124" s="9">
        <v>100.36587</v>
      </c>
      <c r="H124" s="7" t="s">
        <v>576</v>
      </c>
      <c r="I124" s="9">
        <v>0.77</v>
      </c>
      <c r="J124" s="28"/>
      <c r="K124" s="28"/>
      <c r="L124" s="9"/>
      <c r="M124" s="9"/>
      <c r="N124" s="7" t="s">
        <v>1292</v>
      </c>
      <c r="O124" s="7" t="s">
        <v>583</v>
      </c>
      <c r="P124" s="9">
        <v>4.0</v>
      </c>
      <c r="Q124" s="28"/>
      <c r="R124" s="9">
        <v>12.4</v>
      </c>
      <c r="S124" s="7" t="s">
        <v>584</v>
      </c>
      <c r="T124" s="7" t="b">
        <v>0</v>
      </c>
      <c r="U124" s="7" t="s">
        <v>585</v>
      </c>
      <c r="V124" s="27" t="s">
        <v>586</v>
      </c>
      <c r="W124" s="7" t="s">
        <v>2055</v>
      </c>
      <c r="X124" s="28"/>
      <c r="Y124" s="28"/>
      <c r="Z124" s="28"/>
    </row>
    <row r="125">
      <c r="A125" s="7" t="s">
        <v>2057</v>
      </c>
      <c r="B125" s="7" t="s">
        <v>2058</v>
      </c>
      <c r="C125" s="7" t="s">
        <v>2059</v>
      </c>
      <c r="D125" s="7" t="s">
        <v>124</v>
      </c>
      <c r="E125" s="7" t="s">
        <v>2060</v>
      </c>
      <c r="F125" s="9">
        <v>13.57563</v>
      </c>
      <c r="G125" s="9">
        <v>100.07884</v>
      </c>
      <c r="H125" s="7" t="s">
        <v>576</v>
      </c>
      <c r="I125" s="9">
        <v>0.51</v>
      </c>
      <c r="J125" s="28"/>
      <c r="K125" s="28"/>
      <c r="L125" s="9"/>
      <c r="M125" s="9"/>
      <c r="N125" s="7" t="s">
        <v>1292</v>
      </c>
      <c r="O125" s="7" t="s">
        <v>583</v>
      </c>
      <c r="P125" s="9">
        <v>4.0</v>
      </c>
      <c r="Q125" s="28"/>
      <c r="R125" s="9">
        <v>12.4</v>
      </c>
      <c r="S125" s="7" t="s">
        <v>584</v>
      </c>
      <c r="T125" s="7" t="b">
        <v>0</v>
      </c>
      <c r="U125" s="7" t="s">
        <v>585</v>
      </c>
      <c r="V125" s="27" t="s">
        <v>586</v>
      </c>
      <c r="W125" s="7" t="s">
        <v>2065</v>
      </c>
      <c r="X125" s="28"/>
      <c r="Y125" s="28"/>
      <c r="Z125" s="28"/>
    </row>
    <row r="126">
      <c r="A126" s="7" t="s">
        <v>2066</v>
      </c>
      <c r="B126" s="7" t="s">
        <v>2067</v>
      </c>
      <c r="C126" s="7" t="s">
        <v>2068</v>
      </c>
      <c r="D126" s="7" t="s">
        <v>85</v>
      </c>
      <c r="E126" s="7" t="s">
        <v>1047</v>
      </c>
      <c r="F126" s="9">
        <v>16.09481</v>
      </c>
      <c r="G126" s="9">
        <v>100.259903</v>
      </c>
      <c r="H126" s="7" t="s">
        <v>618</v>
      </c>
      <c r="I126" s="9">
        <v>29.33</v>
      </c>
      <c r="J126" s="28"/>
      <c r="K126" s="28"/>
      <c r="L126" s="9"/>
      <c r="M126" s="9"/>
      <c r="N126" s="7" t="s">
        <v>1292</v>
      </c>
      <c r="O126" s="7" t="s">
        <v>583</v>
      </c>
      <c r="P126" s="9">
        <v>4.0</v>
      </c>
      <c r="Q126" s="28"/>
      <c r="R126" s="9">
        <v>82.4</v>
      </c>
      <c r="S126" s="7" t="s">
        <v>584</v>
      </c>
      <c r="T126" s="7" t="b">
        <v>0</v>
      </c>
      <c r="U126" s="7" t="s">
        <v>585</v>
      </c>
      <c r="V126" s="27" t="s">
        <v>586</v>
      </c>
      <c r="W126" s="7" t="s">
        <v>2074</v>
      </c>
      <c r="X126" s="28"/>
      <c r="Y126" s="28"/>
      <c r="Z126" s="28"/>
    </row>
    <row r="127">
      <c r="A127" s="7" t="s">
        <v>2075</v>
      </c>
      <c r="B127" s="7" t="s">
        <v>2077</v>
      </c>
      <c r="C127" s="7" t="s">
        <v>2079</v>
      </c>
      <c r="D127" s="7" t="s">
        <v>224</v>
      </c>
      <c r="E127" s="7" t="s">
        <v>2082</v>
      </c>
      <c r="F127" s="9">
        <v>14.93225</v>
      </c>
      <c r="G127" s="9">
        <v>101.867882</v>
      </c>
      <c r="H127" s="7" t="s">
        <v>618</v>
      </c>
      <c r="I127" s="9">
        <v>203.35</v>
      </c>
      <c r="J127" s="28"/>
      <c r="K127" s="28"/>
      <c r="L127" s="28"/>
      <c r="M127" s="9"/>
      <c r="N127" s="7" t="s">
        <v>1292</v>
      </c>
      <c r="O127" s="7" t="s">
        <v>583</v>
      </c>
      <c r="P127" s="9">
        <v>4.0</v>
      </c>
      <c r="Q127" s="28"/>
      <c r="R127" s="9">
        <v>82.4</v>
      </c>
      <c r="S127" s="7" t="s">
        <v>584</v>
      </c>
      <c r="T127" s="7" t="b">
        <v>0</v>
      </c>
      <c r="U127" s="7" t="s">
        <v>585</v>
      </c>
      <c r="V127" s="27" t="s">
        <v>586</v>
      </c>
      <c r="W127" s="7" t="s">
        <v>2090</v>
      </c>
      <c r="X127" s="28"/>
      <c r="Y127" s="28"/>
      <c r="Z127" s="28"/>
    </row>
    <row r="128">
      <c r="A128" s="7" t="s">
        <v>2091</v>
      </c>
      <c r="B128" s="7" t="s">
        <v>2092</v>
      </c>
      <c r="C128" s="7" t="s">
        <v>2093</v>
      </c>
      <c r="D128" s="7" t="s">
        <v>224</v>
      </c>
      <c r="E128" s="7" t="s">
        <v>1638</v>
      </c>
      <c r="F128" s="9">
        <v>15.28663</v>
      </c>
      <c r="G128" s="9">
        <v>102.68459</v>
      </c>
      <c r="H128" s="7" t="s">
        <v>576</v>
      </c>
      <c r="I128" s="9">
        <v>146.52</v>
      </c>
      <c r="J128" s="28"/>
      <c r="K128" s="28"/>
      <c r="L128" s="28"/>
      <c r="M128" s="9"/>
      <c r="N128" s="7" t="s">
        <v>1292</v>
      </c>
      <c r="O128" s="7" t="s">
        <v>583</v>
      </c>
      <c r="P128" s="9">
        <v>4.0</v>
      </c>
      <c r="Q128" s="28"/>
      <c r="R128" s="9">
        <v>12.4</v>
      </c>
      <c r="S128" s="7" t="s">
        <v>584</v>
      </c>
      <c r="T128" s="7" t="b">
        <v>0</v>
      </c>
      <c r="U128" s="7" t="s">
        <v>585</v>
      </c>
      <c r="V128" s="27" t="s">
        <v>586</v>
      </c>
      <c r="W128" s="7" t="s">
        <v>2098</v>
      </c>
      <c r="X128" s="28"/>
      <c r="Y128" s="28"/>
      <c r="Z128" s="28"/>
    </row>
    <row r="129">
      <c r="A129" s="7" t="s">
        <v>2101</v>
      </c>
      <c r="B129" s="7" t="s">
        <v>2104</v>
      </c>
      <c r="C129" s="7" t="s">
        <v>2105</v>
      </c>
      <c r="D129" s="7" t="s">
        <v>166</v>
      </c>
      <c r="E129" s="7" t="s">
        <v>2106</v>
      </c>
      <c r="F129" s="9">
        <v>13.83819</v>
      </c>
      <c r="G129" s="9">
        <v>100.9666</v>
      </c>
      <c r="H129" s="7" t="s">
        <v>576</v>
      </c>
      <c r="I129" s="9">
        <v>0.72</v>
      </c>
      <c r="J129" s="28"/>
      <c r="K129" s="28"/>
      <c r="L129" s="28"/>
      <c r="M129" s="9"/>
      <c r="N129" s="7" t="s">
        <v>1292</v>
      </c>
      <c r="O129" s="7" t="s">
        <v>583</v>
      </c>
      <c r="P129" s="9">
        <v>4.0</v>
      </c>
      <c r="Q129" s="28"/>
      <c r="R129" s="9">
        <v>12.4</v>
      </c>
      <c r="S129" s="7" t="s">
        <v>584</v>
      </c>
      <c r="T129" s="7" t="b">
        <v>0</v>
      </c>
      <c r="U129" s="7" t="s">
        <v>585</v>
      </c>
      <c r="V129" s="27" t="s">
        <v>586</v>
      </c>
      <c r="W129" s="7" t="s">
        <v>2113</v>
      </c>
      <c r="X129" s="28"/>
      <c r="Y129" s="28"/>
      <c r="Z129" s="28"/>
    </row>
    <row r="130">
      <c r="A130" s="7" t="s">
        <v>2115</v>
      </c>
      <c r="B130" s="7" t="s">
        <v>2116</v>
      </c>
      <c r="C130" s="7" t="s">
        <v>2117</v>
      </c>
      <c r="D130" s="7" t="s">
        <v>116</v>
      </c>
      <c r="E130" s="7" t="s">
        <v>2117</v>
      </c>
      <c r="F130" s="9">
        <v>14.16476</v>
      </c>
      <c r="G130" s="9">
        <v>100.30725</v>
      </c>
      <c r="H130" s="7" t="s">
        <v>576</v>
      </c>
      <c r="I130" s="9">
        <v>2.81</v>
      </c>
      <c r="J130" s="28"/>
      <c r="K130" s="28"/>
      <c r="L130" s="28"/>
      <c r="M130" s="9"/>
      <c r="N130" s="7" t="s">
        <v>1292</v>
      </c>
      <c r="O130" s="7" t="s">
        <v>583</v>
      </c>
      <c r="P130" s="9">
        <v>4.0</v>
      </c>
      <c r="Q130" s="28"/>
      <c r="R130" s="9">
        <v>12.4</v>
      </c>
      <c r="S130" s="7" t="s">
        <v>584</v>
      </c>
      <c r="T130" s="7" t="b">
        <v>0</v>
      </c>
      <c r="U130" s="7" t="s">
        <v>585</v>
      </c>
      <c r="V130" s="27" t="s">
        <v>586</v>
      </c>
      <c r="W130" s="7" t="s">
        <v>2126</v>
      </c>
      <c r="X130" s="28"/>
      <c r="Y130" s="28"/>
      <c r="Z130" s="28"/>
    </row>
    <row r="131">
      <c r="A131" s="7" t="s">
        <v>2127</v>
      </c>
      <c r="B131" s="7" t="s">
        <v>2128</v>
      </c>
      <c r="C131" s="7" t="s">
        <v>2129</v>
      </c>
      <c r="D131" s="7" t="s">
        <v>234</v>
      </c>
      <c r="E131" s="7" t="s">
        <v>1892</v>
      </c>
      <c r="F131" s="9">
        <v>15.22263</v>
      </c>
      <c r="G131" s="9">
        <v>104.859131</v>
      </c>
      <c r="H131" s="7" t="s">
        <v>618</v>
      </c>
      <c r="I131" s="9">
        <v>110.36</v>
      </c>
      <c r="J131" s="28"/>
      <c r="K131" s="28"/>
      <c r="L131" s="28"/>
      <c r="M131" s="9">
        <v>112.0</v>
      </c>
      <c r="N131" s="7" t="s">
        <v>1292</v>
      </c>
      <c r="O131" s="7" t="s">
        <v>583</v>
      </c>
      <c r="P131" s="9">
        <v>4.0</v>
      </c>
      <c r="Q131" s="28"/>
      <c r="R131" s="9">
        <v>82.4</v>
      </c>
      <c r="S131" s="7" t="s">
        <v>584</v>
      </c>
      <c r="T131" s="7" t="b">
        <v>0</v>
      </c>
      <c r="U131" s="7" t="s">
        <v>585</v>
      </c>
      <c r="V131" s="27" t="s">
        <v>586</v>
      </c>
      <c r="W131" s="7" t="s">
        <v>2135</v>
      </c>
      <c r="X131" s="28"/>
      <c r="Y131" s="28"/>
      <c r="Z131" s="28"/>
    </row>
    <row r="132">
      <c r="A132" s="7" t="s">
        <v>2136</v>
      </c>
      <c r="B132" s="7" t="s">
        <v>2137</v>
      </c>
      <c r="C132" s="7" t="s">
        <v>2139</v>
      </c>
      <c r="D132" s="7" t="s">
        <v>260</v>
      </c>
      <c r="E132" s="7" t="s">
        <v>2142</v>
      </c>
      <c r="F132" s="9">
        <v>9.191764</v>
      </c>
      <c r="G132" s="9">
        <v>99.253975</v>
      </c>
      <c r="H132" s="7" t="s">
        <v>576</v>
      </c>
      <c r="I132" s="9">
        <v>1.3</v>
      </c>
      <c r="J132" s="28"/>
      <c r="K132" s="28"/>
      <c r="L132" s="28"/>
      <c r="M132" s="9"/>
      <c r="N132" s="7" t="s">
        <v>1292</v>
      </c>
      <c r="O132" s="7" t="s">
        <v>583</v>
      </c>
      <c r="P132" s="9">
        <v>4.0</v>
      </c>
      <c r="Q132" s="28"/>
      <c r="R132" s="9">
        <v>12.4</v>
      </c>
      <c r="S132" s="7" t="s">
        <v>584</v>
      </c>
      <c r="T132" s="7" t="b">
        <v>0</v>
      </c>
      <c r="U132" s="7" t="s">
        <v>585</v>
      </c>
      <c r="V132" s="27" t="s">
        <v>586</v>
      </c>
      <c r="W132" s="7" t="s">
        <v>2148</v>
      </c>
      <c r="X132" s="28"/>
      <c r="Y132" s="28"/>
      <c r="Z132" s="28"/>
    </row>
    <row r="133">
      <c r="A133" s="7" t="s">
        <v>2149</v>
      </c>
      <c r="B133" s="7" t="s">
        <v>2150</v>
      </c>
      <c r="C133" s="7" t="s">
        <v>2151</v>
      </c>
      <c r="D133" s="7" t="s">
        <v>286</v>
      </c>
      <c r="E133" s="7" t="s">
        <v>2152</v>
      </c>
      <c r="F133" s="9">
        <v>7.134997</v>
      </c>
      <c r="G133" s="9">
        <v>100.45321</v>
      </c>
      <c r="H133" s="7" t="s">
        <v>576</v>
      </c>
      <c r="I133" s="9">
        <v>0.07</v>
      </c>
      <c r="J133" s="28"/>
      <c r="K133" s="28"/>
      <c r="L133" s="28"/>
      <c r="M133" s="9"/>
      <c r="N133" s="7" t="s">
        <v>1292</v>
      </c>
      <c r="O133" s="7" t="s">
        <v>583</v>
      </c>
      <c r="P133" s="9">
        <v>4.0</v>
      </c>
      <c r="Q133" s="28"/>
      <c r="R133" s="9">
        <v>12.4</v>
      </c>
      <c r="S133" s="7" t="s">
        <v>584</v>
      </c>
      <c r="T133" s="7" t="b">
        <v>0</v>
      </c>
      <c r="U133" s="7" t="s">
        <v>585</v>
      </c>
      <c r="V133" s="27" t="s">
        <v>586</v>
      </c>
      <c r="W133" s="7" t="s">
        <v>2158</v>
      </c>
      <c r="X133" s="28"/>
      <c r="Y133" s="28"/>
      <c r="Z133" s="28"/>
    </row>
    <row r="134">
      <c r="A134" s="7" t="s">
        <v>2162</v>
      </c>
      <c r="B134" s="7" t="s">
        <v>2163</v>
      </c>
      <c r="C134" s="7" t="s">
        <v>2164</v>
      </c>
      <c r="D134" s="7" t="s">
        <v>101</v>
      </c>
      <c r="E134" s="7" t="s">
        <v>2165</v>
      </c>
      <c r="F134" s="9">
        <v>14.940779</v>
      </c>
      <c r="G134" s="9">
        <v>100.59284</v>
      </c>
      <c r="H134" s="7" t="s">
        <v>576</v>
      </c>
      <c r="I134" s="9">
        <v>13.04</v>
      </c>
      <c r="J134" s="28"/>
      <c r="K134" s="28"/>
      <c r="L134" s="28"/>
      <c r="M134" s="9"/>
      <c r="N134" s="7" t="s">
        <v>1292</v>
      </c>
      <c r="O134" s="7" t="s">
        <v>583</v>
      </c>
      <c r="P134" s="9">
        <v>4.0</v>
      </c>
      <c r="Q134" s="28"/>
      <c r="R134" s="9">
        <v>12.4</v>
      </c>
      <c r="S134" s="7" t="s">
        <v>584</v>
      </c>
      <c r="T134" s="7" t="b">
        <v>0</v>
      </c>
      <c r="U134" s="7" t="s">
        <v>585</v>
      </c>
      <c r="V134" s="27" t="s">
        <v>586</v>
      </c>
      <c r="W134" s="7" t="s">
        <v>2170</v>
      </c>
      <c r="X134" s="28"/>
      <c r="Y134" s="28"/>
      <c r="Z134" s="28"/>
    </row>
    <row r="135">
      <c r="A135" s="7" t="s">
        <v>2171</v>
      </c>
      <c r="B135" s="7" t="s">
        <v>2172</v>
      </c>
      <c r="C135" s="7" t="s">
        <v>2173</v>
      </c>
      <c r="D135" s="7" t="s">
        <v>154</v>
      </c>
      <c r="E135" s="7" t="s">
        <v>2177</v>
      </c>
      <c r="F135" s="9">
        <v>14.44497</v>
      </c>
      <c r="G135" s="9">
        <v>98.80493</v>
      </c>
      <c r="H135" s="7" t="s">
        <v>923</v>
      </c>
      <c r="I135" s="9">
        <v>59.78</v>
      </c>
      <c r="J135" s="28"/>
      <c r="K135" s="28"/>
      <c r="L135" s="28"/>
      <c r="M135" s="9">
        <v>62.4</v>
      </c>
      <c r="N135" s="7" t="s">
        <v>1292</v>
      </c>
      <c r="O135" s="7" t="s">
        <v>583</v>
      </c>
      <c r="P135" s="9">
        <v>4.0</v>
      </c>
      <c r="Q135" s="28"/>
      <c r="R135" s="9">
        <v>22.4</v>
      </c>
      <c r="S135" s="7" t="s">
        <v>584</v>
      </c>
      <c r="T135" s="7" t="b">
        <v>0</v>
      </c>
      <c r="U135" s="7" t="s">
        <v>585</v>
      </c>
      <c r="V135" s="27" t="s">
        <v>586</v>
      </c>
      <c r="W135" s="7" t="s">
        <v>2186</v>
      </c>
      <c r="X135" s="28"/>
      <c r="Y135" s="28"/>
      <c r="Z135" s="28"/>
    </row>
    <row r="136">
      <c r="A136" s="7" t="s">
        <v>2187</v>
      </c>
      <c r="B136" s="7" t="s">
        <v>2188</v>
      </c>
      <c r="C136" s="7" t="s">
        <v>2189</v>
      </c>
      <c r="D136" s="7" t="s">
        <v>116</v>
      </c>
      <c r="E136" s="7" t="s">
        <v>640</v>
      </c>
      <c r="F136" s="9">
        <v>14.412405</v>
      </c>
      <c r="G136" s="9">
        <v>100.40116</v>
      </c>
      <c r="H136" s="7" t="s">
        <v>576</v>
      </c>
      <c r="I136" s="9">
        <v>6.05</v>
      </c>
      <c r="J136" s="28"/>
      <c r="K136" s="28"/>
      <c r="L136" s="28"/>
      <c r="M136" s="9"/>
      <c r="N136" s="7" t="s">
        <v>1292</v>
      </c>
      <c r="O136" s="7" t="s">
        <v>583</v>
      </c>
      <c r="P136" s="9">
        <v>4.0</v>
      </c>
      <c r="Q136" s="28"/>
      <c r="R136" s="9">
        <v>12.4</v>
      </c>
      <c r="S136" s="7" t="s">
        <v>584</v>
      </c>
      <c r="T136" s="7" t="b">
        <v>0</v>
      </c>
      <c r="U136" s="7" t="s">
        <v>585</v>
      </c>
      <c r="V136" s="27" t="s">
        <v>586</v>
      </c>
      <c r="W136" s="7" t="s">
        <v>2194</v>
      </c>
      <c r="X136" s="28"/>
      <c r="Y136" s="28"/>
      <c r="Z136" s="28"/>
    </row>
    <row r="137">
      <c r="A137" s="7" t="s">
        <v>2196</v>
      </c>
      <c r="B137" s="7" t="s">
        <v>2198</v>
      </c>
      <c r="C137" s="7" t="s">
        <v>2200</v>
      </c>
      <c r="D137" s="7" t="s">
        <v>286</v>
      </c>
      <c r="E137" s="7" t="s">
        <v>2202</v>
      </c>
      <c r="F137" s="9">
        <v>7.10502</v>
      </c>
      <c r="G137" s="9">
        <v>100.193932</v>
      </c>
      <c r="H137" s="7" t="s">
        <v>1951</v>
      </c>
      <c r="I137" s="9">
        <v>33.88</v>
      </c>
      <c r="J137" s="28"/>
      <c r="K137" s="28"/>
      <c r="L137" s="28"/>
      <c r="M137" s="9"/>
      <c r="N137" s="7" t="s">
        <v>1292</v>
      </c>
      <c r="O137" s="7" t="s">
        <v>583</v>
      </c>
      <c r="P137" s="9">
        <v>4.0</v>
      </c>
      <c r="Q137" s="28"/>
      <c r="R137" s="9">
        <v>202.4</v>
      </c>
      <c r="S137" s="7" t="s">
        <v>584</v>
      </c>
      <c r="T137" s="7" t="b">
        <v>0</v>
      </c>
      <c r="U137" s="7" t="s">
        <v>585</v>
      </c>
      <c r="V137" s="27" t="s">
        <v>586</v>
      </c>
      <c r="W137" s="7" t="s">
        <v>2209</v>
      </c>
      <c r="X137" s="28"/>
      <c r="Y137" s="28"/>
      <c r="Z137" s="28"/>
    </row>
    <row r="138">
      <c r="A138" s="7" t="s">
        <v>2210</v>
      </c>
      <c r="B138" s="7" t="s">
        <v>2211</v>
      </c>
      <c r="C138" s="7" t="s">
        <v>2212</v>
      </c>
      <c r="D138" s="7" t="s">
        <v>61</v>
      </c>
      <c r="E138" s="7" t="s">
        <v>2213</v>
      </c>
      <c r="F138" s="9">
        <v>16.670555</v>
      </c>
      <c r="G138" s="9">
        <v>100.32789</v>
      </c>
      <c r="H138" s="7" t="s">
        <v>576</v>
      </c>
      <c r="I138" s="9">
        <v>37.76</v>
      </c>
      <c r="J138" s="28"/>
      <c r="K138" s="28"/>
      <c r="L138" s="28"/>
      <c r="M138" s="9"/>
      <c r="N138" s="7" t="s">
        <v>1292</v>
      </c>
      <c r="O138" s="7" t="s">
        <v>583</v>
      </c>
      <c r="P138" s="9">
        <v>4.0</v>
      </c>
      <c r="Q138" s="28"/>
      <c r="R138" s="9">
        <v>12.4</v>
      </c>
      <c r="S138" s="7" t="s">
        <v>584</v>
      </c>
      <c r="T138" s="7" t="b">
        <v>0</v>
      </c>
      <c r="U138" s="7" t="s">
        <v>585</v>
      </c>
      <c r="V138" s="27" t="s">
        <v>586</v>
      </c>
      <c r="W138" s="7" t="s">
        <v>2214</v>
      </c>
      <c r="X138" s="28"/>
      <c r="Y138" s="28"/>
      <c r="Z138" s="28"/>
    </row>
    <row r="139">
      <c r="A139" s="7" t="s">
        <v>2215</v>
      </c>
      <c r="B139" s="7" t="s">
        <v>2216</v>
      </c>
      <c r="C139" s="7" t="s">
        <v>2217</v>
      </c>
      <c r="D139" s="7" t="s">
        <v>154</v>
      </c>
      <c r="E139" s="7" t="s">
        <v>767</v>
      </c>
      <c r="F139" s="9">
        <v>14.59539</v>
      </c>
      <c r="G139" s="9">
        <v>98.72946</v>
      </c>
      <c r="H139" s="7" t="s">
        <v>923</v>
      </c>
      <c r="I139" s="9">
        <v>70.22</v>
      </c>
      <c r="J139" s="28"/>
      <c r="K139" s="28"/>
      <c r="L139" s="28"/>
      <c r="M139" s="9">
        <v>0.0</v>
      </c>
      <c r="N139" s="7" t="s">
        <v>1292</v>
      </c>
      <c r="O139" s="7" t="s">
        <v>583</v>
      </c>
      <c r="P139" s="9">
        <v>4.0</v>
      </c>
      <c r="Q139" s="28"/>
      <c r="R139" s="9">
        <v>22.4</v>
      </c>
      <c r="S139" s="7" t="s">
        <v>584</v>
      </c>
      <c r="T139" s="7" t="b">
        <v>0</v>
      </c>
      <c r="U139" s="7" t="s">
        <v>585</v>
      </c>
      <c r="V139" s="27" t="s">
        <v>586</v>
      </c>
      <c r="W139" s="7" t="s">
        <v>2225</v>
      </c>
      <c r="X139" s="28"/>
      <c r="Y139" s="28"/>
      <c r="Z139" s="28"/>
    </row>
    <row r="140">
      <c r="A140" s="7" t="s">
        <v>2227</v>
      </c>
      <c r="B140" s="7" t="s">
        <v>2228</v>
      </c>
      <c r="C140" s="7" t="s">
        <v>2229</v>
      </c>
      <c r="D140" s="7" t="s">
        <v>304</v>
      </c>
      <c r="E140" s="7" t="s">
        <v>2230</v>
      </c>
      <c r="F140" s="9">
        <v>5.895713</v>
      </c>
      <c r="G140" s="9">
        <v>101.76639</v>
      </c>
      <c r="H140" s="7" t="s">
        <v>576</v>
      </c>
      <c r="I140" s="9">
        <v>21.34</v>
      </c>
      <c r="J140" s="28"/>
      <c r="K140" s="28"/>
      <c r="L140" s="28"/>
      <c r="M140" s="9"/>
      <c r="N140" s="7" t="s">
        <v>1292</v>
      </c>
      <c r="O140" s="7" t="s">
        <v>583</v>
      </c>
      <c r="P140" s="9">
        <v>4.0</v>
      </c>
      <c r="Q140" s="28"/>
      <c r="R140" s="9">
        <v>12.4</v>
      </c>
      <c r="S140" s="7" t="s">
        <v>584</v>
      </c>
      <c r="T140" s="7" t="b">
        <v>0</v>
      </c>
      <c r="U140" s="7" t="s">
        <v>585</v>
      </c>
      <c r="V140" s="27" t="s">
        <v>586</v>
      </c>
      <c r="W140" s="7" t="s">
        <v>2235</v>
      </c>
      <c r="X140" s="28"/>
      <c r="Y140" s="28"/>
      <c r="Z140" s="28"/>
    </row>
    <row r="141">
      <c r="A141" s="7" t="s">
        <v>2236</v>
      </c>
      <c r="B141" s="7" t="s">
        <v>2237</v>
      </c>
      <c r="C141" s="7" t="s">
        <v>2238</v>
      </c>
      <c r="D141" s="7" t="s">
        <v>230</v>
      </c>
      <c r="E141" s="7" t="s">
        <v>953</v>
      </c>
      <c r="F141" s="9">
        <v>15.14119</v>
      </c>
      <c r="G141" s="9">
        <v>103.429359</v>
      </c>
      <c r="H141" s="7" t="s">
        <v>618</v>
      </c>
      <c r="I141" s="9">
        <v>127.81</v>
      </c>
      <c r="J141" s="28"/>
      <c r="K141" s="28"/>
      <c r="L141" s="28"/>
      <c r="M141" s="9"/>
      <c r="N141" s="7" t="s">
        <v>1292</v>
      </c>
      <c r="O141" s="7" t="s">
        <v>583</v>
      </c>
      <c r="P141" s="9">
        <v>4.0</v>
      </c>
      <c r="Q141" s="28"/>
      <c r="R141" s="9">
        <v>82.4</v>
      </c>
      <c r="S141" s="7" t="s">
        <v>584</v>
      </c>
      <c r="T141" s="7" t="b">
        <v>0</v>
      </c>
      <c r="U141" s="7" t="s">
        <v>585</v>
      </c>
      <c r="V141" s="27" t="s">
        <v>586</v>
      </c>
      <c r="W141" s="7" t="s">
        <v>2243</v>
      </c>
      <c r="X141" s="28"/>
      <c r="Y141" s="28"/>
      <c r="Z141" s="28"/>
    </row>
    <row r="142">
      <c r="A142" s="7" t="s">
        <v>2244</v>
      </c>
      <c r="B142" s="7" t="s">
        <v>2245</v>
      </c>
      <c r="C142" s="7" t="s">
        <v>2247</v>
      </c>
      <c r="D142" s="7" t="s">
        <v>224</v>
      </c>
      <c r="E142" s="7" t="s">
        <v>1892</v>
      </c>
      <c r="F142" s="9">
        <v>14.968</v>
      </c>
      <c r="G142" s="9">
        <v>102.23782</v>
      </c>
      <c r="H142" s="7" t="s">
        <v>576</v>
      </c>
      <c r="I142" s="9">
        <v>166.74</v>
      </c>
      <c r="J142" s="28"/>
      <c r="K142" s="28"/>
      <c r="L142" s="28"/>
      <c r="M142" s="9"/>
      <c r="N142" s="7" t="s">
        <v>1292</v>
      </c>
      <c r="O142" s="7" t="s">
        <v>583</v>
      </c>
      <c r="P142" s="9">
        <v>4.0</v>
      </c>
      <c r="Q142" s="28"/>
      <c r="R142" s="9">
        <v>12.4</v>
      </c>
      <c r="S142" s="7" t="s">
        <v>584</v>
      </c>
      <c r="T142" s="7" t="b">
        <v>0</v>
      </c>
      <c r="U142" s="7" t="s">
        <v>585</v>
      </c>
      <c r="V142" s="27" t="s">
        <v>586</v>
      </c>
      <c r="W142" s="7" t="s">
        <v>2255</v>
      </c>
      <c r="X142" s="28"/>
      <c r="Y142" s="28"/>
      <c r="Z142" s="28"/>
    </row>
    <row r="143">
      <c r="A143" s="7" t="s">
        <v>2256</v>
      </c>
      <c r="B143" s="7" t="s">
        <v>2257</v>
      </c>
      <c r="C143" s="7" t="s">
        <v>2258</v>
      </c>
      <c r="D143" s="7" t="s">
        <v>203</v>
      </c>
      <c r="E143" s="7" t="s">
        <v>1759</v>
      </c>
      <c r="F143" s="9">
        <v>16.92321</v>
      </c>
      <c r="G143" s="9">
        <v>104.71615</v>
      </c>
      <c r="H143" s="7" t="s">
        <v>576</v>
      </c>
      <c r="I143" s="9">
        <v>138.35</v>
      </c>
      <c r="J143" s="28"/>
      <c r="K143" s="28"/>
      <c r="L143" s="28"/>
      <c r="M143" s="9"/>
      <c r="N143" s="7" t="s">
        <v>1292</v>
      </c>
      <c r="O143" s="7" t="s">
        <v>583</v>
      </c>
      <c r="P143" s="9">
        <v>4.0</v>
      </c>
      <c r="Q143" s="28"/>
      <c r="R143" s="9">
        <v>12.4</v>
      </c>
      <c r="S143" s="7" t="s">
        <v>584</v>
      </c>
      <c r="T143" s="7" t="b">
        <v>0</v>
      </c>
      <c r="U143" s="7" t="s">
        <v>585</v>
      </c>
      <c r="V143" s="27" t="s">
        <v>586</v>
      </c>
      <c r="W143" s="7" t="s">
        <v>2268</v>
      </c>
      <c r="X143" s="28"/>
      <c r="Y143" s="28"/>
      <c r="Z143" s="28"/>
    </row>
    <row r="144">
      <c r="A144" s="7" t="s">
        <v>2269</v>
      </c>
      <c r="B144" s="7" t="s">
        <v>2271</v>
      </c>
      <c r="C144" s="7" t="s">
        <v>2273</v>
      </c>
      <c r="D144" s="7" t="s">
        <v>224</v>
      </c>
      <c r="E144" s="7" t="s">
        <v>1892</v>
      </c>
      <c r="F144" s="9">
        <v>14.74504</v>
      </c>
      <c r="G144" s="9">
        <v>102.211777</v>
      </c>
      <c r="H144" s="7" t="s">
        <v>618</v>
      </c>
      <c r="I144" s="9">
        <v>181.29</v>
      </c>
      <c r="J144" s="28"/>
      <c r="K144" s="28"/>
      <c r="L144" s="28"/>
      <c r="M144" s="9"/>
      <c r="N144" s="7" t="s">
        <v>1292</v>
      </c>
      <c r="O144" s="7" t="s">
        <v>583</v>
      </c>
      <c r="P144" s="9">
        <v>4.0</v>
      </c>
      <c r="Q144" s="28"/>
      <c r="R144" s="9">
        <v>82.4</v>
      </c>
      <c r="S144" s="7" t="s">
        <v>584</v>
      </c>
      <c r="T144" s="7" t="b">
        <v>0</v>
      </c>
      <c r="U144" s="7" t="s">
        <v>585</v>
      </c>
      <c r="V144" s="27" t="s">
        <v>586</v>
      </c>
      <c r="W144" s="7" t="s">
        <v>2283</v>
      </c>
      <c r="X144" s="28"/>
      <c r="Y144" s="28"/>
      <c r="Z144" s="28"/>
    </row>
    <row r="145">
      <c r="A145" s="7" t="s">
        <v>2285</v>
      </c>
      <c r="B145" s="7" t="s">
        <v>2286</v>
      </c>
      <c r="C145" s="7" t="s">
        <v>2287</v>
      </c>
      <c r="D145" s="7" t="s">
        <v>91</v>
      </c>
      <c r="E145" s="7" t="s">
        <v>575</v>
      </c>
      <c r="F145" s="9">
        <v>15.225</v>
      </c>
      <c r="G145" s="9">
        <v>100.07824</v>
      </c>
      <c r="H145" s="7" t="s">
        <v>576</v>
      </c>
      <c r="I145" s="9">
        <v>17.9</v>
      </c>
      <c r="J145" s="28"/>
      <c r="K145" s="28"/>
      <c r="L145" s="28"/>
      <c r="M145" s="9"/>
      <c r="N145" s="7" t="s">
        <v>1292</v>
      </c>
      <c r="O145" s="7" t="s">
        <v>583</v>
      </c>
      <c r="P145" s="9">
        <v>4.0</v>
      </c>
      <c r="Q145" s="28"/>
      <c r="R145" s="9">
        <v>12.4</v>
      </c>
      <c r="S145" s="7" t="s">
        <v>584</v>
      </c>
      <c r="T145" s="7" t="b">
        <v>0</v>
      </c>
      <c r="U145" s="7" t="s">
        <v>585</v>
      </c>
      <c r="V145" s="27" t="s">
        <v>586</v>
      </c>
      <c r="W145" s="7" t="s">
        <v>2298</v>
      </c>
      <c r="X145" s="28"/>
      <c r="Y145" s="28"/>
      <c r="Z145" s="28"/>
    </row>
    <row r="146">
      <c r="A146" s="7" t="s">
        <v>2299</v>
      </c>
      <c r="B146" s="7" t="s">
        <v>2300</v>
      </c>
      <c r="C146" s="7" t="s">
        <v>2302</v>
      </c>
      <c r="D146" s="7" t="s">
        <v>260</v>
      </c>
      <c r="E146" s="7"/>
      <c r="F146" s="9">
        <v>9.51646</v>
      </c>
      <c r="G146" s="9">
        <v>99.22589</v>
      </c>
      <c r="H146" s="7" t="s">
        <v>576</v>
      </c>
      <c r="I146" s="9">
        <v>1.21</v>
      </c>
      <c r="J146" s="28"/>
      <c r="K146" s="28"/>
      <c r="L146" s="28"/>
      <c r="M146" s="9"/>
      <c r="N146" s="7" t="s">
        <v>1292</v>
      </c>
      <c r="O146" s="7" t="s">
        <v>583</v>
      </c>
      <c r="P146" s="9">
        <v>4.0</v>
      </c>
      <c r="Q146" s="28"/>
      <c r="R146" s="9">
        <v>12.4</v>
      </c>
      <c r="S146" s="7" t="s">
        <v>584</v>
      </c>
      <c r="T146" s="7" t="b">
        <v>0</v>
      </c>
      <c r="U146" s="7" t="s">
        <v>585</v>
      </c>
      <c r="V146" s="27" t="s">
        <v>586</v>
      </c>
      <c r="W146" s="7" t="s">
        <v>2311</v>
      </c>
      <c r="X146" s="28"/>
      <c r="Y146" s="28"/>
      <c r="Z146" s="28"/>
    </row>
    <row r="147">
      <c r="A147" s="7" t="s">
        <v>2312</v>
      </c>
      <c r="B147" s="7" t="s">
        <v>2313</v>
      </c>
      <c r="C147" s="7" t="s">
        <v>2314</v>
      </c>
      <c r="D147" s="7" t="s">
        <v>304</v>
      </c>
      <c r="E147" s="7" t="s">
        <v>2315</v>
      </c>
      <c r="F147" s="9">
        <v>6.16992</v>
      </c>
      <c r="G147" s="9">
        <v>101.713257</v>
      </c>
      <c r="H147" s="7" t="s">
        <v>1951</v>
      </c>
      <c r="I147" s="9">
        <v>22.35</v>
      </c>
      <c r="J147" s="28"/>
      <c r="K147" s="28"/>
      <c r="L147" s="28"/>
      <c r="M147" s="9"/>
      <c r="N147" s="7" t="s">
        <v>1292</v>
      </c>
      <c r="O147" s="7" t="s">
        <v>583</v>
      </c>
      <c r="P147" s="9">
        <v>4.0</v>
      </c>
      <c r="Q147" s="28"/>
      <c r="R147" s="9">
        <v>202.4</v>
      </c>
      <c r="S147" s="7" t="s">
        <v>584</v>
      </c>
      <c r="T147" s="7" t="b">
        <v>0</v>
      </c>
      <c r="U147" s="7" t="s">
        <v>585</v>
      </c>
      <c r="V147" s="27" t="s">
        <v>586</v>
      </c>
      <c r="W147" s="7" t="s">
        <v>2320</v>
      </c>
      <c r="X147" s="28"/>
      <c r="Y147" s="28"/>
      <c r="Z147" s="28"/>
    </row>
    <row r="148">
      <c r="A148" s="7" t="s">
        <v>2324</v>
      </c>
      <c r="B148" s="7" t="s">
        <v>2326</v>
      </c>
      <c r="C148" s="7" t="s">
        <v>2327</v>
      </c>
      <c r="D148" s="7" t="s">
        <v>202</v>
      </c>
      <c r="E148" s="7" t="s">
        <v>1881</v>
      </c>
      <c r="F148" s="9">
        <v>17.86562</v>
      </c>
      <c r="G148" s="9">
        <v>103.774361</v>
      </c>
      <c r="H148" s="7" t="s">
        <v>618</v>
      </c>
      <c r="I148" s="9">
        <v>147.33</v>
      </c>
      <c r="J148" s="28"/>
      <c r="K148" s="28"/>
      <c r="L148" s="28"/>
      <c r="M148" s="9"/>
      <c r="N148" s="7" t="s">
        <v>1292</v>
      </c>
      <c r="O148" s="7" t="s">
        <v>583</v>
      </c>
      <c r="P148" s="9">
        <v>4.0</v>
      </c>
      <c r="Q148" s="28"/>
      <c r="R148" s="9">
        <v>82.4</v>
      </c>
      <c r="S148" s="7" t="s">
        <v>584</v>
      </c>
      <c r="T148" s="7" t="b">
        <v>0</v>
      </c>
      <c r="U148" s="7" t="s">
        <v>585</v>
      </c>
      <c r="V148" s="27" t="s">
        <v>586</v>
      </c>
      <c r="W148" s="7" t="s">
        <v>2333</v>
      </c>
      <c r="X148" s="28"/>
      <c r="Y148" s="28"/>
      <c r="Z148" s="28"/>
    </row>
    <row r="149">
      <c r="A149" s="7" t="s">
        <v>2334</v>
      </c>
      <c r="B149" s="7" t="s">
        <v>2336</v>
      </c>
      <c r="C149" s="7" t="s">
        <v>2339</v>
      </c>
      <c r="D149" s="7" t="s">
        <v>198</v>
      </c>
      <c r="E149" s="7" t="s">
        <v>1881</v>
      </c>
      <c r="F149" s="9">
        <v>17.821621</v>
      </c>
      <c r="G149" s="9">
        <v>103.386932</v>
      </c>
      <c r="H149" s="7" t="s">
        <v>618</v>
      </c>
      <c r="I149" s="9">
        <v>153.19</v>
      </c>
      <c r="J149" s="28"/>
      <c r="K149" s="28"/>
      <c r="L149" s="28"/>
      <c r="M149" s="9"/>
      <c r="N149" s="7" t="s">
        <v>1292</v>
      </c>
      <c r="O149" s="7" t="s">
        <v>583</v>
      </c>
      <c r="P149" s="9">
        <v>4.0</v>
      </c>
      <c r="Q149" s="28"/>
      <c r="R149" s="9">
        <v>82.4</v>
      </c>
      <c r="S149" s="7" t="s">
        <v>584</v>
      </c>
      <c r="T149" s="7" t="b">
        <v>0</v>
      </c>
      <c r="U149" s="7" t="s">
        <v>585</v>
      </c>
      <c r="V149" s="27" t="s">
        <v>586</v>
      </c>
      <c r="W149" s="7" t="s">
        <v>2346</v>
      </c>
      <c r="X149" s="28"/>
      <c r="Y149" s="28"/>
      <c r="Z149" s="28"/>
    </row>
    <row r="150">
      <c r="A150" s="7" t="s">
        <v>2347</v>
      </c>
      <c r="B150" s="7" t="s">
        <v>2348</v>
      </c>
      <c r="C150" s="7" t="s">
        <v>2349</v>
      </c>
      <c r="D150" s="7" t="s">
        <v>203</v>
      </c>
      <c r="E150" s="7" t="s">
        <v>2350</v>
      </c>
      <c r="F150" s="9">
        <v>16.928366</v>
      </c>
      <c r="G150" s="9">
        <v>104.72031</v>
      </c>
      <c r="H150" s="7" t="s">
        <v>576</v>
      </c>
      <c r="I150" s="9">
        <v>138.9</v>
      </c>
      <c r="J150" s="28"/>
      <c r="K150" s="28"/>
      <c r="L150" s="28"/>
      <c r="M150" s="9"/>
      <c r="N150" s="7" t="s">
        <v>1292</v>
      </c>
      <c r="O150" s="7" t="s">
        <v>583</v>
      </c>
      <c r="P150" s="9">
        <v>4.0</v>
      </c>
      <c r="Q150" s="28"/>
      <c r="R150" s="9">
        <v>12.4</v>
      </c>
      <c r="S150" s="7" t="s">
        <v>584</v>
      </c>
      <c r="T150" s="7" t="b">
        <v>0</v>
      </c>
      <c r="U150" s="7" t="s">
        <v>585</v>
      </c>
      <c r="V150" s="27" t="s">
        <v>586</v>
      </c>
      <c r="W150" s="7" t="s">
        <v>2357</v>
      </c>
      <c r="X150" s="28"/>
      <c r="Y150" s="28"/>
      <c r="Z150" s="28"/>
    </row>
    <row r="151">
      <c r="A151" s="7" t="s">
        <v>2359</v>
      </c>
      <c r="B151" s="7" t="s">
        <v>2362</v>
      </c>
      <c r="C151" s="7" t="s">
        <v>2364</v>
      </c>
      <c r="D151" s="7" t="s">
        <v>108</v>
      </c>
      <c r="E151" s="7" t="s">
        <v>1128</v>
      </c>
      <c r="F151" s="9">
        <v>14.20048</v>
      </c>
      <c r="G151" s="9">
        <v>101.219307</v>
      </c>
      <c r="H151" s="7" t="s">
        <v>618</v>
      </c>
      <c r="I151" s="9">
        <v>6.54</v>
      </c>
      <c r="J151" s="28"/>
      <c r="K151" s="28"/>
      <c r="L151" s="28"/>
      <c r="M151" s="9"/>
      <c r="N151" s="7" t="s">
        <v>1292</v>
      </c>
      <c r="O151" s="7" t="s">
        <v>583</v>
      </c>
      <c r="P151" s="9">
        <v>4.0</v>
      </c>
      <c r="Q151" s="28"/>
      <c r="R151" s="9">
        <v>82.4</v>
      </c>
      <c r="S151" s="7" t="s">
        <v>584</v>
      </c>
      <c r="T151" s="7" t="b">
        <v>0</v>
      </c>
      <c r="U151" s="7" t="s">
        <v>585</v>
      </c>
      <c r="V151" s="27" t="s">
        <v>586</v>
      </c>
      <c r="W151" s="7" t="s">
        <v>2370</v>
      </c>
      <c r="X151" s="28"/>
      <c r="Y151" s="28"/>
      <c r="Z151" s="28"/>
    </row>
    <row r="152">
      <c r="A152" s="7" t="s">
        <v>2371</v>
      </c>
      <c r="B152" s="7" t="s">
        <v>2372</v>
      </c>
      <c r="C152" s="7" t="s">
        <v>2373</v>
      </c>
      <c r="D152" s="7" t="s">
        <v>86</v>
      </c>
      <c r="E152" s="7" t="s">
        <v>911</v>
      </c>
      <c r="F152" s="9">
        <v>15.68849</v>
      </c>
      <c r="G152" s="9">
        <v>100.12381</v>
      </c>
      <c r="H152" s="7" t="s">
        <v>576</v>
      </c>
      <c r="I152" s="9">
        <v>22.88</v>
      </c>
      <c r="J152" s="28"/>
      <c r="K152" s="28"/>
      <c r="L152" s="28"/>
      <c r="M152" s="9"/>
      <c r="N152" s="7" t="s">
        <v>1292</v>
      </c>
      <c r="O152" s="7" t="s">
        <v>583</v>
      </c>
      <c r="P152" s="9">
        <v>4.0</v>
      </c>
      <c r="Q152" s="28"/>
      <c r="R152" s="9">
        <v>12.4</v>
      </c>
      <c r="S152" s="7" t="s">
        <v>584</v>
      </c>
      <c r="T152" s="7" t="b">
        <v>0</v>
      </c>
      <c r="U152" s="7" t="s">
        <v>585</v>
      </c>
      <c r="V152" s="27" t="s">
        <v>586</v>
      </c>
      <c r="W152" s="7" t="s">
        <v>2386</v>
      </c>
      <c r="X152" s="28"/>
      <c r="Y152" s="28"/>
      <c r="Z152" s="28"/>
    </row>
    <row r="153">
      <c r="A153" s="7" t="s">
        <v>2387</v>
      </c>
      <c r="B153" s="7" t="s">
        <v>2388</v>
      </c>
      <c r="C153" s="7" t="s">
        <v>2389</v>
      </c>
      <c r="D153" s="7" t="s">
        <v>304</v>
      </c>
      <c r="E153" s="7" t="s">
        <v>2390</v>
      </c>
      <c r="F153" s="9">
        <v>5.835714</v>
      </c>
      <c r="G153" s="9">
        <v>101.73493</v>
      </c>
      <c r="H153" s="7" t="s">
        <v>576</v>
      </c>
      <c r="I153" s="9">
        <v>92.23</v>
      </c>
      <c r="J153" s="28"/>
      <c r="K153" s="28"/>
      <c r="L153" s="28"/>
      <c r="M153" s="9"/>
      <c r="N153" s="7" t="s">
        <v>1292</v>
      </c>
      <c r="O153" s="7" t="s">
        <v>583</v>
      </c>
      <c r="P153" s="9">
        <v>4.0</v>
      </c>
      <c r="Q153" s="28"/>
      <c r="R153" s="9">
        <v>12.4</v>
      </c>
      <c r="S153" s="7" t="s">
        <v>584</v>
      </c>
      <c r="T153" s="7" t="b">
        <v>0</v>
      </c>
      <c r="U153" s="7" t="s">
        <v>585</v>
      </c>
      <c r="V153" s="27" t="s">
        <v>586</v>
      </c>
      <c r="W153" s="7" t="s">
        <v>2398</v>
      </c>
      <c r="X153" s="28"/>
      <c r="Y153" s="28"/>
      <c r="Z153" s="28"/>
    </row>
    <row r="154">
      <c r="A154" s="7" t="s">
        <v>2400</v>
      </c>
      <c r="B154" s="7" t="s">
        <v>2401</v>
      </c>
      <c r="C154" s="7" t="s">
        <v>2402</v>
      </c>
      <c r="D154" s="7" t="s">
        <v>298</v>
      </c>
      <c r="E154" s="7" t="s">
        <v>2403</v>
      </c>
      <c r="F154" s="9">
        <v>7.61689</v>
      </c>
      <c r="G154" s="9">
        <v>100.078903</v>
      </c>
      <c r="H154" s="7" t="s">
        <v>1951</v>
      </c>
      <c r="I154" s="9">
        <v>6.55</v>
      </c>
      <c r="J154" s="28"/>
      <c r="K154" s="28"/>
      <c r="L154" s="28"/>
      <c r="M154" s="9"/>
      <c r="N154" s="7" t="s">
        <v>1292</v>
      </c>
      <c r="O154" s="7" t="s">
        <v>583</v>
      </c>
      <c r="P154" s="9">
        <v>4.0</v>
      </c>
      <c r="Q154" s="28"/>
      <c r="R154" s="9">
        <v>202.4</v>
      </c>
      <c r="S154" s="7" t="s">
        <v>584</v>
      </c>
      <c r="T154" s="7" t="b">
        <v>0</v>
      </c>
      <c r="U154" s="7" t="s">
        <v>585</v>
      </c>
      <c r="V154" s="27" t="s">
        <v>586</v>
      </c>
      <c r="W154" s="7" t="s">
        <v>2412</v>
      </c>
      <c r="X154" s="28"/>
      <c r="Y154" s="28"/>
      <c r="Z154" s="28"/>
    </row>
    <row r="155">
      <c r="A155" s="7" t="s">
        <v>2413</v>
      </c>
      <c r="B155" s="7" t="s">
        <v>2414</v>
      </c>
      <c r="C155" s="7" t="s">
        <v>2415</v>
      </c>
      <c r="D155" s="7" t="s">
        <v>94</v>
      </c>
      <c r="E155" s="7" t="s">
        <v>2416</v>
      </c>
      <c r="F155" s="9">
        <v>15.45274</v>
      </c>
      <c r="G155" s="9">
        <v>100.031891</v>
      </c>
      <c r="H155" s="7" t="s">
        <v>618</v>
      </c>
      <c r="I155" s="9">
        <v>23.08</v>
      </c>
      <c r="J155" s="28"/>
      <c r="K155" s="28"/>
      <c r="L155" s="28"/>
      <c r="M155" s="9">
        <v>24.35</v>
      </c>
      <c r="N155" s="7" t="s">
        <v>1292</v>
      </c>
      <c r="O155" s="7" t="s">
        <v>583</v>
      </c>
      <c r="P155" s="9">
        <v>4.0</v>
      </c>
      <c r="Q155" s="28"/>
      <c r="R155" s="9">
        <v>82.4</v>
      </c>
      <c r="S155" s="7" t="s">
        <v>584</v>
      </c>
      <c r="T155" s="7" t="b">
        <v>0</v>
      </c>
      <c r="U155" s="7" t="s">
        <v>585</v>
      </c>
      <c r="V155" s="27" t="s">
        <v>586</v>
      </c>
      <c r="W155" s="7" t="s">
        <v>2421</v>
      </c>
      <c r="X155" s="28"/>
      <c r="Y155" s="28"/>
      <c r="Z155" s="28"/>
    </row>
    <row r="156">
      <c r="A156" s="7" t="s">
        <v>2422</v>
      </c>
      <c r="B156" s="7" t="s">
        <v>2425</v>
      </c>
      <c r="C156" s="7" t="s">
        <v>2427</v>
      </c>
      <c r="D156" s="7" t="s">
        <v>298</v>
      </c>
      <c r="E156" s="7" t="s">
        <v>2431</v>
      </c>
      <c r="F156" s="9">
        <v>7.729605</v>
      </c>
      <c r="G156" s="9">
        <v>100.10799</v>
      </c>
      <c r="H156" s="7" t="s">
        <v>576</v>
      </c>
      <c r="I156" s="9">
        <v>0.19</v>
      </c>
      <c r="J156" s="28"/>
      <c r="K156" s="28"/>
      <c r="L156" s="28"/>
      <c r="M156" s="9"/>
      <c r="N156" s="7" t="s">
        <v>1292</v>
      </c>
      <c r="O156" s="7" t="s">
        <v>583</v>
      </c>
      <c r="P156" s="9">
        <v>4.0</v>
      </c>
      <c r="Q156" s="28"/>
      <c r="R156" s="9">
        <v>12.4</v>
      </c>
      <c r="S156" s="7" t="s">
        <v>584</v>
      </c>
      <c r="T156" s="7" t="b">
        <v>0</v>
      </c>
      <c r="U156" s="7" t="s">
        <v>585</v>
      </c>
      <c r="V156" s="27" t="s">
        <v>586</v>
      </c>
      <c r="W156" s="7" t="s">
        <v>2437</v>
      </c>
      <c r="X156" s="28"/>
      <c r="Y156" s="28"/>
      <c r="Z156" s="28"/>
    </row>
    <row r="157">
      <c r="A157" s="7" t="s">
        <v>2438</v>
      </c>
      <c r="B157" s="7" t="s">
        <v>2439</v>
      </c>
      <c r="C157" s="7" t="s">
        <v>2441</v>
      </c>
      <c r="D157" s="7" t="s">
        <v>116</v>
      </c>
      <c r="E157" s="7" t="s">
        <v>2444</v>
      </c>
      <c r="F157" s="9">
        <v>14.464386</v>
      </c>
      <c r="G157" s="9">
        <v>100.366005</v>
      </c>
      <c r="H157" s="7" t="s">
        <v>576</v>
      </c>
      <c r="I157" s="9">
        <v>3.91</v>
      </c>
      <c r="J157" s="28"/>
      <c r="K157" s="28"/>
      <c r="L157" s="28"/>
      <c r="M157" s="9"/>
      <c r="N157" s="7" t="s">
        <v>1292</v>
      </c>
      <c r="O157" s="7" t="s">
        <v>583</v>
      </c>
      <c r="P157" s="9">
        <v>4.0</v>
      </c>
      <c r="Q157" s="28"/>
      <c r="R157" s="9">
        <v>12.4</v>
      </c>
      <c r="S157" s="7" t="s">
        <v>584</v>
      </c>
      <c r="T157" s="7" t="b">
        <v>0</v>
      </c>
      <c r="U157" s="7" t="s">
        <v>585</v>
      </c>
      <c r="V157" s="27" t="s">
        <v>586</v>
      </c>
      <c r="W157" s="7" t="s">
        <v>2453</v>
      </c>
      <c r="X157" s="28"/>
      <c r="Y157" s="28"/>
      <c r="Z157" s="28"/>
    </row>
    <row r="158">
      <c r="A158" s="7" t="s">
        <v>2454</v>
      </c>
      <c r="B158" s="7" t="s">
        <v>2455</v>
      </c>
      <c r="C158" s="7" t="s">
        <v>2456</v>
      </c>
      <c r="D158" s="7" t="s">
        <v>107</v>
      </c>
      <c r="E158" s="7"/>
      <c r="F158" s="9">
        <v>14.553573</v>
      </c>
      <c r="G158" s="9">
        <v>100.316765</v>
      </c>
      <c r="H158" s="7" t="s">
        <v>576</v>
      </c>
      <c r="I158" s="9">
        <v>4.16</v>
      </c>
      <c r="J158" s="28"/>
      <c r="K158" s="28"/>
      <c r="L158" s="28"/>
      <c r="M158" s="9"/>
      <c r="N158" s="7" t="s">
        <v>1292</v>
      </c>
      <c r="O158" s="7" t="s">
        <v>583</v>
      </c>
      <c r="P158" s="9">
        <v>4.0</v>
      </c>
      <c r="Q158" s="28"/>
      <c r="R158" s="9">
        <v>12.4</v>
      </c>
      <c r="S158" s="7" t="s">
        <v>584</v>
      </c>
      <c r="T158" s="7" t="b">
        <v>0</v>
      </c>
      <c r="U158" s="7" t="s">
        <v>585</v>
      </c>
      <c r="V158" s="27" t="s">
        <v>586</v>
      </c>
      <c r="W158" s="7" t="s">
        <v>2462</v>
      </c>
      <c r="X158" s="28"/>
      <c r="Y158" s="28"/>
      <c r="Z158" s="28"/>
    </row>
    <row r="159">
      <c r="A159" s="7" t="s">
        <v>2466</v>
      </c>
      <c r="B159" s="7" t="s">
        <v>2467</v>
      </c>
      <c r="C159" s="7" t="s">
        <v>2468</v>
      </c>
      <c r="D159" s="7" t="s">
        <v>86</v>
      </c>
      <c r="E159" s="7" t="s">
        <v>911</v>
      </c>
      <c r="F159" s="9">
        <v>15.67059</v>
      </c>
      <c r="G159" s="9">
        <v>100.10936</v>
      </c>
      <c r="H159" s="7" t="s">
        <v>618</v>
      </c>
      <c r="I159" s="9">
        <v>23.24</v>
      </c>
      <c r="J159" s="28"/>
      <c r="K159" s="28"/>
      <c r="L159" s="28"/>
      <c r="M159" s="9">
        <v>26.2</v>
      </c>
      <c r="N159" s="7" t="s">
        <v>1292</v>
      </c>
      <c r="O159" s="7" t="s">
        <v>583</v>
      </c>
      <c r="P159" s="9">
        <v>4.0</v>
      </c>
      <c r="Q159" s="28"/>
      <c r="R159" s="9">
        <v>82.4</v>
      </c>
      <c r="S159" s="7" t="s">
        <v>584</v>
      </c>
      <c r="T159" s="7" t="b">
        <v>0</v>
      </c>
      <c r="U159" s="7" t="s">
        <v>585</v>
      </c>
      <c r="V159" s="27" t="s">
        <v>586</v>
      </c>
      <c r="W159" s="7" t="s">
        <v>2473</v>
      </c>
      <c r="X159" s="28"/>
      <c r="Y159" s="28"/>
      <c r="Z159" s="28"/>
    </row>
    <row r="160">
      <c r="A160" s="7" t="s">
        <v>2474</v>
      </c>
      <c r="B160" s="7" t="s">
        <v>2475</v>
      </c>
      <c r="C160" s="7" t="s">
        <v>2476</v>
      </c>
      <c r="D160" s="7" t="s">
        <v>118</v>
      </c>
      <c r="E160" s="7" t="s">
        <v>1190</v>
      </c>
      <c r="F160" s="9">
        <v>13.9416</v>
      </c>
      <c r="G160" s="9">
        <v>100.77499</v>
      </c>
      <c r="H160" s="7" t="s">
        <v>576</v>
      </c>
      <c r="I160" s="9">
        <v>1.67</v>
      </c>
      <c r="J160" s="28"/>
      <c r="K160" s="28"/>
      <c r="L160" s="28"/>
      <c r="M160" s="9"/>
      <c r="N160" s="7" t="s">
        <v>1292</v>
      </c>
      <c r="O160" s="7" t="s">
        <v>583</v>
      </c>
      <c r="P160" s="9">
        <v>4.0</v>
      </c>
      <c r="Q160" s="28"/>
      <c r="R160" s="9">
        <v>12.4</v>
      </c>
      <c r="S160" s="7" t="s">
        <v>584</v>
      </c>
      <c r="T160" s="7" t="b">
        <v>0</v>
      </c>
      <c r="U160" s="7" t="s">
        <v>585</v>
      </c>
      <c r="V160" s="27" t="s">
        <v>586</v>
      </c>
      <c r="W160" s="7" t="s">
        <v>2487</v>
      </c>
      <c r="X160" s="28"/>
      <c r="Y160" s="28"/>
      <c r="Z160" s="28"/>
    </row>
    <row r="161">
      <c r="A161" s="7" t="s">
        <v>2488</v>
      </c>
      <c r="B161" s="7" t="s">
        <v>2490</v>
      </c>
      <c r="C161" s="7" t="s">
        <v>2491</v>
      </c>
      <c r="D161" s="7" t="s">
        <v>86</v>
      </c>
      <c r="E161" s="7" t="s">
        <v>2006</v>
      </c>
      <c r="F161" s="9">
        <v>15.86923</v>
      </c>
      <c r="G161" s="9">
        <v>100.26481</v>
      </c>
      <c r="H161" s="7" t="s">
        <v>576</v>
      </c>
      <c r="I161" s="9">
        <v>25.6</v>
      </c>
      <c r="J161" s="28"/>
      <c r="K161" s="28"/>
      <c r="L161" s="28"/>
      <c r="M161" s="9"/>
      <c r="N161" s="7" t="s">
        <v>1292</v>
      </c>
      <c r="O161" s="7" t="s">
        <v>583</v>
      </c>
      <c r="P161" s="9">
        <v>4.0</v>
      </c>
      <c r="Q161" s="28"/>
      <c r="R161" s="9">
        <v>12.4</v>
      </c>
      <c r="S161" s="7" t="s">
        <v>584</v>
      </c>
      <c r="T161" s="7" t="b">
        <v>0</v>
      </c>
      <c r="U161" s="7" t="s">
        <v>585</v>
      </c>
      <c r="V161" s="27" t="s">
        <v>586</v>
      </c>
      <c r="W161" s="7" t="s">
        <v>2501</v>
      </c>
      <c r="X161" s="28"/>
      <c r="Y161" s="28"/>
      <c r="Z161" s="28"/>
    </row>
    <row r="162">
      <c r="A162" s="7" t="s">
        <v>2502</v>
      </c>
      <c r="B162" s="7" t="s">
        <v>2503</v>
      </c>
      <c r="C162" s="7" t="s">
        <v>2504</v>
      </c>
      <c r="D162" s="7" t="s">
        <v>283</v>
      </c>
      <c r="E162" s="7" t="s">
        <v>2505</v>
      </c>
      <c r="F162" s="9">
        <v>9.85488</v>
      </c>
      <c r="G162" s="9">
        <v>98.8401</v>
      </c>
      <c r="H162" s="7" t="s">
        <v>576</v>
      </c>
      <c r="I162" s="9">
        <v>17.97</v>
      </c>
      <c r="J162" s="28"/>
      <c r="K162" s="28"/>
      <c r="L162" s="28"/>
      <c r="M162" s="9"/>
      <c r="N162" s="7" t="s">
        <v>1292</v>
      </c>
      <c r="O162" s="7" t="s">
        <v>583</v>
      </c>
      <c r="P162" s="9">
        <v>4.0</v>
      </c>
      <c r="Q162" s="28"/>
      <c r="R162" s="9">
        <v>12.4</v>
      </c>
      <c r="S162" s="7" t="s">
        <v>584</v>
      </c>
      <c r="T162" s="7" t="b">
        <v>0</v>
      </c>
      <c r="U162" s="7" t="s">
        <v>585</v>
      </c>
      <c r="V162" s="27" t="s">
        <v>586</v>
      </c>
      <c r="W162" s="7" t="s">
        <v>2514</v>
      </c>
      <c r="X162" s="28"/>
      <c r="Y162" s="28"/>
      <c r="Z162" s="28"/>
    </row>
    <row r="163">
      <c r="A163" s="7" t="s">
        <v>2517</v>
      </c>
      <c r="B163" s="7" t="s">
        <v>2518</v>
      </c>
      <c r="C163" s="7" t="s">
        <v>2519</v>
      </c>
      <c r="D163" s="7" t="s">
        <v>67</v>
      </c>
      <c r="E163" s="7" t="s">
        <v>2520</v>
      </c>
      <c r="F163" s="9">
        <v>18.310793</v>
      </c>
      <c r="G163" s="9">
        <v>98.82355</v>
      </c>
      <c r="H163" s="7" t="s">
        <v>576</v>
      </c>
      <c r="I163" s="9">
        <v>309.9</v>
      </c>
      <c r="J163" s="28"/>
      <c r="K163" s="28"/>
      <c r="L163" s="28"/>
      <c r="M163" s="9"/>
      <c r="N163" s="7" t="s">
        <v>1292</v>
      </c>
      <c r="O163" s="7" t="s">
        <v>583</v>
      </c>
      <c r="P163" s="9">
        <v>4.0</v>
      </c>
      <c r="Q163" s="28"/>
      <c r="R163" s="9">
        <v>12.4</v>
      </c>
      <c r="S163" s="7" t="s">
        <v>584</v>
      </c>
      <c r="T163" s="7" t="b">
        <v>0</v>
      </c>
      <c r="U163" s="7" t="s">
        <v>585</v>
      </c>
      <c r="V163" s="27" t="s">
        <v>586</v>
      </c>
      <c r="W163" s="7" t="s">
        <v>2525</v>
      </c>
      <c r="X163" s="28"/>
      <c r="Y163" s="28"/>
      <c r="Z163" s="28"/>
    </row>
    <row r="164">
      <c r="A164" s="7" t="s">
        <v>2526</v>
      </c>
      <c r="B164" s="7" t="s">
        <v>2527</v>
      </c>
      <c r="C164" s="7" t="s">
        <v>2528</v>
      </c>
      <c r="D164" s="7" t="s">
        <v>234</v>
      </c>
      <c r="E164" s="7" t="s">
        <v>1892</v>
      </c>
      <c r="F164" s="9">
        <v>15.30606</v>
      </c>
      <c r="G164" s="9">
        <v>105.17113</v>
      </c>
      <c r="H164" s="7" t="s">
        <v>618</v>
      </c>
      <c r="I164" s="9">
        <v>110.1</v>
      </c>
      <c r="J164" s="28"/>
      <c r="K164" s="28"/>
      <c r="L164" s="28"/>
      <c r="M164" s="9">
        <v>112.81</v>
      </c>
      <c r="N164" s="7" t="s">
        <v>1292</v>
      </c>
      <c r="O164" s="7" t="s">
        <v>583</v>
      </c>
      <c r="P164" s="9">
        <v>4.0</v>
      </c>
      <c r="Q164" s="28"/>
      <c r="R164" s="9">
        <v>82.4</v>
      </c>
      <c r="S164" s="7" t="s">
        <v>584</v>
      </c>
      <c r="T164" s="7" t="b">
        <v>0</v>
      </c>
      <c r="U164" s="7" t="s">
        <v>585</v>
      </c>
      <c r="V164" s="27" t="s">
        <v>586</v>
      </c>
      <c r="W164" s="7" t="s">
        <v>2530</v>
      </c>
      <c r="X164" s="28"/>
      <c r="Y164" s="28"/>
      <c r="Z164" s="28"/>
    </row>
    <row r="165">
      <c r="A165" s="7" t="s">
        <v>2531</v>
      </c>
      <c r="B165" s="7" t="s">
        <v>2532</v>
      </c>
      <c r="C165" s="7" t="s">
        <v>2533</v>
      </c>
      <c r="D165" s="7" t="s">
        <v>63</v>
      </c>
      <c r="E165" s="7" t="s">
        <v>2534</v>
      </c>
      <c r="F165" s="9">
        <v>19.186546</v>
      </c>
      <c r="G165" s="9">
        <v>99.9439</v>
      </c>
      <c r="H165" s="7" t="s">
        <v>576</v>
      </c>
      <c r="I165" s="9">
        <v>387.27</v>
      </c>
      <c r="J165" s="28"/>
      <c r="K165" s="28"/>
      <c r="L165" s="28"/>
      <c r="M165" s="9"/>
      <c r="N165" s="7" t="s">
        <v>1292</v>
      </c>
      <c r="O165" s="7" t="s">
        <v>583</v>
      </c>
      <c r="P165" s="9">
        <v>4.0</v>
      </c>
      <c r="Q165" s="28"/>
      <c r="R165" s="9">
        <v>12.4</v>
      </c>
      <c r="S165" s="7" t="s">
        <v>584</v>
      </c>
      <c r="T165" s="7" t="b">
        <v>0</v>
      </c>
      <c r="U165" s="7" t="s">
        <v>585</v>
      </c>
      <c r="V165" s="27" t="s">
        <v>586</v>
      </c>
      <c r="W165" s="7" t="s">
        <v>2538</v>
      </c>
      <c r="X165" s="28"/>
      <c r="Y165" s="28"/>
      <c r="Z165" s="28"/>
    </row>
    <row r="166">
      <c r="A166" s="7" t="s">
        <v>2539</v>
      </c>
      <c r="B166" s="7" t="s">
        <v>2540</v>
      </c>
      <c r="C166" s="7" t="s">
        <v>2541</v>
      </c>
      <c r="D166" s="7" t="s">
        <v>220</v>
      </c>
      <c r="E166" s="7" t="s">
        <v>2542</v>
      </c>
      <c r="F166" s="9">
        <v>15.68176</v>
      </c>
      <c r="G166" s="9">
        <v>102.009552</v>
      </c>
      <c r="H166" s="7" t="s">
        <v>618</v>
      </c>
      <c r="I166" s="9">
        <v>183.59</v>
      </c>
      <c r="J166" s="28"/>
      <c r="K166" s="28"/>
      <c r="L166" s="28"/>
      <c r="M166" s="9"/>
      <c r="N166" s="7" t="s">
        <v>1292</v>
      </c>
      <c r="O166" s="7" t="s">
        <v>583</v>
      </c>
      <c r="P166" s="9">
        <v>4.0</v>
      </c>
      <c r="Q166" s="28"/>
      <c r="R166" s="9">
        <v>82.4</v>
      </c>
      <c r="S166" s="7" t="s">
        <v>584</v>
      </c>
      <c r="T166" s="7" t="b">
        <v>0</v>
      </c>
      <c r="U166" s="7" t="s">
        <v>585</v>
      </c>
      <c r="V166" s="27" t="s">
        <v>586</v>
      </c>
      <c r="W166" s="7" t="s">
        <v>2546</v>
      </c>
      <c r="X166" s="28"/>
      <c r="Y166" s="28"/>
      <c r="Z166" s="28"/>
    </row>
    <row r="167">
      <c r="A167" s="7" t="s">
        <v>2547</v>
      </c>
      <c r="B167" s="7" t="s">
        <v>2548</v>
      </c>
      <c r="C167" s="7" t="s">
        <v>2549</v>
      </c>
      <c r="D167" s="7" t="s">
        <v>97</v>
      </c>
      <c r="E167" s="7"/>
      <c r="F167" s="9">
        <v>14.650794</v>
      </c>
      <c r="G167" s="9">
        <v>100.742775</v>
      </c>
      <c r="H167" s="7" t="s">
        <v>576</v>
      </c>
      <c r="I167" s="9">
        <v>9.86</v>
      </c>
      <c r="J167" s="28"/>
      <c r="K167" s="28"/>
      <c r="L167" s="28"/>
      <c r="M167" s="9"/>
      <c r="N167" s="7" t="s">
        <v>1292</v>
      </c>
      <c r="O167" s="7" t="s">
        <v>583</v>
      </c>
      <c r="P167" s="9">
        <v>4.0</v>
      </c>
      <c r="Q167" s="28"/>
      <c r="R167" s="9">
        <v>12.4</v>
      </c>
      <c r="S167" s="7" t="s">
        <v>584</v>
      </c>
      <c r="T167" s="7" t="b">
        <v>0</v>
      </c>
      <c r="U167" s="7" t="s">
        <v>585</v>
      </c>
      <c r="V167" s="27" t="s">
        <v>586</v>
      </c>
      <c r="W167" s="7" t="s">
        <v>2550</v>
      </c>
      <c r="X167" s="28"/>
      <c r="Y167" s="28"/>
      <c r="Z167" s="28"/>
    </row>
    <row r="168">
      <c r="A168" s="7" t="s">
        <v>2551</v>
      </c>
      <c r="B168" s="7" t="s">
        <v>2552</v>
      </c>
      <c r="C168" s="7" t="s">
        <v>2553</v>
      </c>
      <c r="D168" s="7" t="s">
        <v>167</v>
      </c>
      <c r="E168" s="7" t="s">
        <v>911</v>
      </c>
      <c r="F168" s="9">
        <v>13.661021</v>
      </c>
      <c r="G168" s="9">
        <v>100.56727</v>
      </c>
      <c r="H168" s="7" t="s">
        <v>2554</v>
      </c>
      <c r="I168" s="9">
        <v>0.37</v>
      </c>
      <c r="J168" s="28"/>
      <c r="K168" s="28"/>
      <c r="L168" s="28"/>
      <c r="M168" s="9"/>
      <c r="N168" s="7" t="s">
        <v>1292</v>
      </c>
      <c r="O168" s="7" t="s">
        <v>583</v>
      </c>
      <c r="P168" s="9">
        <v>4.0</v>
      </c>
      <c r="Q168" s="28"/>
      <c r="R168" s="9">
        <v>932.4</v>
      </c>
      <c r="S168" s="7" t="s">
        <v>584</v>
      </c>
      <c r="T168" s="7" t="b">
        <v>0</v>
      </c>
      <c r="U168" s="7" t="s">
        <v>585</v>
      </c>
      <c r="V168" s="27" t="s">
        <v>586</v>
      </c>
      <c r="W168" s="7" t="s">
        <v>2555</v>
      </c>
      <c r="X168" s="28"/>
      <c r="Y168" s="28"/>
      <c r="Z168" s="28"/>
    </row>
    <row r="169">
      <c r="A169" s="7" t="s">
        <v>2556</v>
      </c>
      <c r="B169" s="7" t="s">
        <v>2557</v>
      </c>
      <c r="C169" s="7" t="s">
        <v>2558</v>
      </c>
      <c r="D169" s="7" t="s">
        <v>304</v>
      </c>
      <c r="E169" s="7" t="s">
        <v>2559</v>
      </c>
      <c r="F169" s="9">
        <v>5.83916</v>
      </c>
      <c r="G169" s="9">
        <v>101.892143</v>
      </c>
      <c r="H169" s="7" t="s">
        <v>1951</v>
      </c>
      <c r="I169" s="9">
        <v>18.51</v>
      </c>
      <c r="J169" s="28"/>
      <c r="K169" s="28"/>
      <c r="L169" s="28"/>
      <c r="M169" s="9"/>
      <c r="N169" s="7" t="s">
        <v>1292</v>
      </c>
      <c r="O169" s="7" t="s">
        <v>583</v>
      </c>
      <c r="P169" s="9">
        <v>4.0</v>
      </c>
      <c r="Q169" s="28"/>
      <c r="R169" s="9">
        <v>202.4</v>
      </c>
      <c r="S169" s="7" t="s">
        <v>584</v>
      </c>
      <c r="T169" s="7" t="b">
        <v>0</v>
      </c>
      <c r="U169" s="7" t="s">
        <v>585</v>
      </c>
      <c r="V169" s="27" t="s">
        <v>586</v>
      </c>
      <c r="W169" s="7" t="s">
        <v>2563</v>
      </c>
      <c r="X169" s="28"/>
      <c r="Y169" s="28"/>
      <c r="Z169" s="28"/>
    </row>
    <row r="170">
      <c r="A170" s="7" t="s">
        <v>2564</v>
      </c>
      <c r="B170" s="7" t="s">
        <v>2565</v>
      </c>
      <c r="C170" s="7" t="s">
        <v>2566</v>
      </c>
      <c r="D170" s="7" t="s">
        <v>163</v>
      </c>
      <c r="E170" s="7" t="s">
        <v>1212</v>
      </c>
      <c r="F170" s="9">
        <v>14.10461</v>
      </c>
      <c r="G170" s="9">
        <v>101.744179</v>
      </c>
      <c r="H170" s="7" t="s">
        <v>618</v>
      </c>
      <c r="I170" s="9">
        <v>9.06</v>
      </c>
      <c r="J170" s="28"/>
      <c r="K170" s="28"/>
      <c r="L170" s="28"/>
      <c r="M170" s="9"/>
      <c r="N170" s="7" t="s">
        <v>1292</v>
      </c>
      <c r="O170" s="7" t="s">
        <v>583</v>
      </c>
      <c r="P170" s="9">
        <v>4.0</v>
      </c>
      <c r="Q170" s="28"/>
      <c r="R170" s="9">
        <v>82.4</v>
      </c>
      <c r="S170" s="7" t="s">
        <v>584</v>
      </c>
      <c r="T170" s="7" t="b">
        <v>0</v>
      </c>
      <c r="U170" s="7" t="s">
        <v>585</v>
      </c>
      <c r="V170" s="27" t="s">
        <v>586</v>
      </c>
      <c r="W170" s="7" t="s">
        <v>2567</v>
      </c>
      <c r="X170" s="28"/>
      <c r="Y170" s="28"/>
      <c r="Z170" s="28"/>
    </row>
    <row r="171">
      <c r="A171" s="7" t="s">
        <v>2568</v>
      </c>
      <c r="B171" s="7" t="s">
        <v>2569</v>
      </c>
      <c r="C171" s="7" t="s">
        <v>2570</v>
      </c>
      <c r="D171" s="7" t="s">
        <v>301</v>
      </c>
      <c r="E171" s="7" t="s">
        <v>2571</v>
      </c>
      <c r="F171" s="9">
        <v>6.262041</v>
      </c>
      <c r="G171" s="9">
        <v>101.268036</v>
      </c>
      <c r="H171" s="7" t="s">
        <v>576</v>
      </c>
      <c r="I171" s="9">
        <v>34.32</v>
      </c>
      <c r="J171" s="28"/>
      <c r="K171" s="28"/>
      <c r="L171" s="28"/>
      <c r="M171" s="9"/>
      <c r="N171" s="7" t="s">
        <v>1292</v>
      </c>
      <c r="O171" s="7" t="s">
        <v>583</v>
      </c>
      <c r="P171" s="9">
        <v>4.0</v>
      </c>
      <c r="Q171" s="28"/>
      <c r="R171" s="9">
        <v>12.4</v>
      </c>
      <c r="S171" s="7" t="s">
        <v>584</v>
      </c>
      <c r="T171" s="7" t="b">
        <v>0</v>
      </c>
      <c r="U171" s="7" t="s">
        <v>585</v>
      </c>
      <c r="V171" s="27" t="s">
        <v>586</v>
      </c>
      <c r="W171" s="7" t="s">
        <v>2574</v>
      </c>
      <c r="X171" s="28"/>
      <c r="Y171" s="28"/>
      <c r="Z171" s="28"/>
    </row>
    <row r="172">
      <c r="A172" s="7" t="s">
        <v>2575</v>
      </c>
      <c r="B172" s="7" t="s">
        <v>2576</v>
      </c>
      <c r="C172" s="7" t="s">
        <v>2577</v>
      </c>
      <c r="D172" s="7" t="s">
        <v>202</v>
      </c>
      <c r="E172" s="7" t="s">
        <v>1881</v>
      </c>
      <c r="F172" s="9">
        <v>17.594717</v>
      </c>
      <c r="G172" s="9">
        <v>103.38448</v>
      </c>
      <c r="H172" s="7" t="s">
        <v>576</v>
      </c>
      <c r="I172" s="9">
        <v>154.51</v>
      </c>
      <c r="J172" s="28"/>
      <c r="K172" s="28"/>
      <c r="L172" s="28"/>
      <c r="M172" s="9"/>
      <c r="N172" s="7" t="s">
        <v>1292</v>
      </c>
      <c r="O172" s="7" t="s">
        <v>583</v>
      </c>
      <c r="P172" s="9">
        <v>4.0</v>
      </c>
      <c r="Q172" s="28"/>
      <c r="R172" s="9">
        <v>12.4</v>
      </c>
      <c r="S172" s="7" t="s">
        <v>584</v>
      </c>
      <c r="T172" s="7" t="b">
        <v>0</v>
      </c>
      <c r="U172" s="7" t="s">
        <v>585</v>
      </c>
      <c r="V172" s="27" t="s">
        <v>586</v>
      </c>
      <c r="W172" s="7" t="s">
        <v>2578</v>
      </c>
      <c r="X172" s="28"/>
      <c r="Y172" s="28"/>
      <c r="Z172" s="28"/>
    </row>
    <row r="173">
      <c r="A173" s="7" t="s">
        <v>2579</v>
      </c>
      <c r="B173" s="7" t="s">
        <v>2580</v>
      </c>
      <c r="C173" s="7" t="s">
        <v>2581</v>
      </c>
      <c r="D173" s="7" t="s">
        <v>240</v>
      </c>
      <c r="E173" s="7" t="s">
        <v>2582</v>
      </c>
      <c r="F173" s="9">
        <v>15.11808</v>
      </c>
      <c r="G173" s="9">
        <v>104.318642</v>
      </c>
      <c r="H173" s="7" t="s">
        <v>618</v>
      </c>
      <c r="I173" s="9">
        <v>116.01</v>
      </c>
      <c r="J173" s="28"/>
      <c r="K173" s="28"/>
      <c r="L173" s="28"/>
      <c r="M173" s="9"/>
      <c r="N173" s="7" t="s">
        <v>1292</v>
      </c>
      <c r="O173" s="7" t="s">
        <v>583</v>
      </c>
      <c r="P173" s="9">
        <v>4.0</v>
      </c>
      <c r="Q173" s="28"/>
      <c r="R173" s="9">
        <v>82.4</v>
      </c>
      <c r="S173" s="7" t="s">
        <v>584</v>
      </c>
      <c r="T173" s="7" t="b">
        <v>0</v>
      </c>
      <c r="U173" s="7" t="s">
        <v>585</v>
      </c>
      <c r="V173" s="27" t="s">
        <v>586</v>
      </c>
      <c r="W173" s="7" t="s">
        <v>2583</v>
      </c>
      <c r="X173" s="28"/>
      <c r="Y173" s="28"/>
      <c r="Z173" s="28"/>
    </row>
    <row r="174">
      <c r="A174" s="7" t="s">
        <v>2584</v>
      </c>
      <c r="B174" s="7" t="s">
        <v>2585</v>
      </c>
      <c r="C174" s="7" t="s">
        <v>2586</v>
      </c>
      <c r="D174" s="7" t="s">
        <v>80</v>
      </c>
      <c r="E174" s="7" t="s">
        <v>2587</v>
      </c>
      <c r="F174" s="9">
        <v>17.66514</v>
      </c>
      <c r="G174" s="9">
        <v>100.29809</v>
      </c>
      <c r="H174" s="7" t="s">
        <v>923</v>
      </c>
      <c r="I174" s="9">
        <v>66.76</v>
      </c>
      <c r="J174" s="28"/>
      <c r="K174" s="28"/>
      <c r="L174" s="28"/>
      <c r="M174" s="9">
        <v>70.56</v>
      </c>
      <c r="N174" s="7" t="s">
        <v>1292</v>
      </c>
      <c r="O174" s="7" t="s">
        <v>583</v>
      </c>
      <c r="P174" s="9">
        <v>4.0</v>
      </c>
      <c r="Q174" s="28"/>
      <c r="R174" s="9">
        <v>22.4</v>
      </c>
      <c r="S174" s="7" t="s">
        <v>584</v>
      </c>
      <c r="T174" s="7" t="b">
        <v>0</v>
      </c>
      <c r="U174" s="7" t="s">
        <v>585</v>
      </c>
      <c r="V174" s="27" t="s">
        <v>586</v>
      </c>
      <c r="W174" s="7" t="s">
        <v>2591</v>
      </c>
      <c r="X174" s="28"/>
      <c r="Y174" s="28"/>
      <c r="Z174" s="28"/>
    </row>
    <row r="175">
      <c r="A175" s="7" t="s">
        <v>2592</v>
      </c>
      <c r="B175" s="7" t="s">
        <v>2593</v>
      </c>
      <c r="C175" s="7" t="s">
        <v>2594</v>
      </c>
      <c r="D175" s="7" t="s">
        <v>154</v>
      </c>
      <c r="E175" s="7" t="s">
        <v>767</v>
      </c>
      <c r="F175" s="9">
        <v>13.93906</v>
      </c>
      <c r="G175" s="9">
        <v>99.416252</v>
      </c>
      <c r="H175" s="7" t="s">
        <v>618</v>
      </c>
      <c r="I175" s="9">
        <v>28.44</v>
      </c>
      <c r="J175" s="28"/>
      <c r="K175" s="28"/>
      <c r="L175" s="28"/>
      <c r="M175" s="9">
        <v>31.45</v>
      </c>
      <c r="N175" s="7" t="s">
        <v>1292</v>
      </c>
      <c r="O175" s="7" t="s">
        <v>583</v>
      </c>
      <c r="P175" s="9">
        <v>4.0</v>
      </c>
      <c r="Q175" s="28"/>
      <c r="R175" s="9">
        <v>82.4</v>
      </c>
      <c r="S175" s="7" t="s">
        <v>584</v>
      </c>
      <c r="T175" s="7" t="b">
        <v>0</v>
      </c>
      <c r="U175" s="7" t="s">
        <v>585</v>
      </c>
      <c r="V175" s="27" t="s">
        <v>586</v>
      </c>
      <c r="W175" s="7" t="s">
        <v>2595</v>
      </c>
      <c r="X175" s="28"/>
      <c r="Y175" s="28"/>
      <c r="Z175" s="28"/>
    </row>
    <row r="176">
      <c r="A176" s="7" t="s">
        <v>2596</v>
      </c>
      <c r="B176" s="7" t="s">
        <v>2597</v>
      </c>
      <c r="C176" s="7" t="s">
        <v>2598</v>
      </c>
      <c r="D176" s="7" t="s">
        <v>259</v>
      </c>
      <c r="E176" s="7" t="s">
        <v>1648</v>
      </c>
      <c r="F176" s="9">
        <v>8.089498</v>
      </c>
      <c r="G176" s="9">
        <v>100.12784</v>
      </c>
      <c r="H176" s="7" t="s">
        <v>576</v>
      </c>
      <c r="I176" s="9">
        <v>-0.51</v>
      </c>
      <c r="J176" s="28"/>
      <c r="K176" s="28"/>
      <c r="L176" s="28"/>
      <c r="M176" s="9"/>
      <c r="N176" s="7" t="s">
        <v>1292</v>
      </c>
      <c r="O176" s="7" t="s">
        <v>583</v>
      </c>
      <c r="P176" s="9">
        <v>4.0</v>
      </c>
      <c r="Q176" s="28"/>
      <c r="R176" s="9">
        <v>12.4</v>
      </c>
      <c r="S176" s="7" t="s">
        <v>584</v>
      </c>
      <c r="T176" s="7" t="b">
        <v>0</v>
      </c>
      <c r="U176" s="7" t="s">
        <v>585</v>
      </c>
      <c r="V176" s="27" t="s">
        <v>586</v>
      </c>
      <c r="W176" s="7" t="s">
        <v>2601</v>
      </c>
      <c r="X176" s="28"/>
      <c r="Y176" s="28"/>
      <c r="Z176" s="28"/>
    </row>
    <row r="177">
      <c r="A177" s="7" t="s">
        <v>2602</v>
      </c>
      <c r="B177" s="7" t="s">
        <v>2603</v>
      </c>
      <c r="C177" s="7" t="s">
        <v>2604</v>
      </c>
      <c r="D177" s="7" t="s">
        <v>82</v>
      </c>
      <c r="E177" s="7" t="s">
        <v>1047</v>
      </c>
      <c r="F177" s="9">
        <v>16.927441</v>
      </c>
      <c r="G177" s="9">
        <v>99.959427</v>
      </c>
      <c r="H177" s="7" t="s">
        <v>618</v>
      </c>
      <c r="I177" s="9">
        <v>42.81</v>
      </c>
      <c r="J177" s="28"/>
      <c r="K177" s="28"/>
      <c r="L177" s="28"/>
      <c r="M177" s="9"/>
      <c r="N177" s="7" t="s">
        <v>1292</v>
      </c>
      <c r="O177" s="7" t="s">
        <v>583</v>
      </c>
      <c r="P177" s="9">
        <v>4.0</v>
      </c>
      <c r="Q177" s="28"/>
      <c r="R177" s="9">
        <v>82.4</v>
      </c>
      <c r="S177" s="7" t="s">
        <v>584</v>
      </c>
      <c r="T177" s="7" t="b">
        <v>0</v>
      </c>
      <c r="U177" s="7" t="s">
        <v>585</v>
      </c>
      <c r="V177" s="27" t="s">
        <v>586</v>
      </c>
      <c r="W177" s="7" t="s">
        <v>2605</v>
      </c>
      <c r="X177" s="28"/>
      <c r="Y177" s="28"/>
      <c r="Z177" s="28"/>
    </row>
    <row r="178">
      <c r="A178" s="7" t="s">
        <v>2606</v>
      </c>
      <c r="B178" s="7" t="s">
        <v>2607</v>
      </c>
      <c r="C178" s="7" t="s">
        <v>2608</v>
      </c>
      <c r="D178" s="7" t="s">
        <v>250</v>
      </c>
      <c r="E178" s="7" t="s">
        <v>2542</v>
      </c>
      <c r="F178" s="9">
        <v>15.79962</v>
      </c>
      <c r="G178" s="9">
        <v>104.134857</v>
      </c>
      <c r="H178" s="7" t="s">
        <v>618</v>
      </c>
      <c r="I178" s="9">
        <v>123.29</v>
      </c>
      <c r="J178" s="28"/>
      <c r="K178" s="28"/>
      <c r="L178" s="28"/>
      <c r="M178" s="9"/>
      <c r="N178" s="7" t="s">
        <v>1292</v>
      </c>
      <c r="O178" s="7" t="s">
        <v>583</v>
      </c>
      <c r="P178" s="9">
        <v>4.0</v>
      </c>
      <c r="Q178" s="28"/>
      <c r="R178" s="9">
        <v>82.4</v>
      </c>
      <c r="S178" s="7" t="s">
        <v>584</v>
      </c>
      <c r="T178" s="7" t="b">
        <v>0</v>
      </c>
      <c r="U178" s="7" t="s">
        <v>585</v>
      </c>
      <c r="V178" s="27" t="s">
        <v>586</v>
      </c>
      <c r="W178" s="7" t="s">
        <v>2609</v>
      </c>
      <c r="X178" s="28"/>
      <c r="Y178" s="28"/>
      <c r="Z178" s="28"/>
    </row>
    <row r="179">
      <c r="A179" s="7" t="s">
        <v>2610</v>
      </c>
      <c r="B179" s="7" t="s">
        <v>2611</v>
      </c>
      <c r="C179" s="7" t="s">
        <v>2612</v>
      </c>
      <c r="D179" s="7" t="s">
        <v>260</v>
      </c>
      <c r="E179" s="7" t="s">
        <v>1949</v>
      </c>
      <c r="F179" s="9">
        <v>8.986764</v>
      </c>
      <c r="G179" s="9">
        <v>99.2113</v>
      </c>
      <c r="H179" s="7" t="s">
        <v>576</v>
      </c>
      <c r="I179" s="9">
        <v>0.8</v>
      </c>
      <c r="J179" s="28"/>
      <c r="K179" s="28"/>
      <c r="L179" s="28"/>
      <c r="M179" s="9"/>
      <c r="N179" s="7" t="s">
        <v>1292</v>
      </c>
      <c r="O179" s="7" t="s">
        <v>583</v>
      </c>
      <c r="P179" s="9">
        <v>4.0</v>
      </c>
      <c r="Q179" s="28"/>
      <c r="R179" s="9">
        <v>12.4</v>
      </c>
      <c r="S179" s="7" t="s">
        <v>584</v>
      </c>
      <c r="T179" s="7" t="b">
        <v>0</v>
      </c>
      <c r="U179" s="7" t="s">
        <v>585</v>
      </c>
      <c r="V179" s="27" t="s">
        <v>586</v>
      </c>
      <c r="W179" s="7" t="s">
        <v>2616</v>
      </c>
      <c r="X179" s="28"/>
      <c r="Y179" s="28"/>
      <c r="Z179" s="28"/>
    </row>
    <row r="180">
      <c r="A180" s="7" t="s">
        <v>2617</v>
      </c>
      <c r="B180" s="7" t="s">
        <v>2618</v>
      </c>
      <c r="C180" s="7" t="s">
        <v>2619</v>
      </c>
      <c r="D180" s="7" t="s">
        <v>157</v>
      </c>
      <c r="E180" s="7" t="s">
        <v>2620</v>
      </c>
      <c r="F180" s="9">
        <v>14.051278</v>
      </c>
      <c r="G180" s="9">
        <v>102.88541</v>
      </c>
      <c r="H180" s="7" t="s">
        <v>576</v>
      </c>
      <c r="I180" s="9">
        <v>58.18</v>
      </c>
      <c r="J180" s="28"/>
      <c r="K180" s="28"/>
      <c r="L180" s="28"/>
      <c r="M180" s="9"/>
      <c r="N180" s="7" t="s">
        <v>1292</v>
      </c>
      <c r="O180" s="7" t="s">
        <v>583</v>
      </c>
      <c r="P180" s="9">
        <v>4.0</v>
      </c>
      <c r="Q180" s="28"/>
      <c r="R180" s="9">
        <v>12.4</v>
      </c>
      <c r="S180" s="7" t="s">
        <v>584</v>
      </c>
      <c r="T180" s="7" t="b">
        <v>0</v>
      </c>
      <c r="U180" s="7" t="s">
        <v>585</v>
      </c>
      <c r="V180" s="27" t="s">
        <v>586</v>
      </c>
      <c r="W180" s="7" t="s">
        <v>2621</v>
      </c>
      <c r="X180" s="28"/>
      <c r="Y180" s="28"/>
      <c r="Z180" s="28"/>
    </row>
    <row r="181">
      <c r="A181" s="7" t="s">
        <v>2622</v>
      </c>
      <c r="B181" s="7" t="s">
        <v>2623</v>
      </c>
      <c r="C181" s="7" t="s">
        <v>2624</v>
      </c>
      <c r="D181" s="7" t="s">
        <v>298</v>
      </c>
      <c r="E181" s="7" t="s">
        <v>2625</v>
      </c>
      <c r="F181" s="9">
        <v>7.365284</v>
      </c>
      <c r="G181" s="9">
        <v>100.27959</v>
      </c>
      <c r="H181" s="7" t="s">
        <v>576</v>
      </c>
      <c r="I181" s="9">
        <v>0.19</v>
      </c>
      <c r="J181" s="28"/>
      <c r="K181" s="28"/>
      <c r="L181" s="28"/>
      <c r="M181" s="9"/>
      <c r="N181" s="7" t="s">
        <v>1292</v>
      </c>
      <c r="O181" s="7" t="s">
        <v>583</v>
      </c>
      <c r="P181" s="9">
        <v>4.0</v>
      </c>
      <c r="Q181" s="28"/>
      <c r="R181" s="9">
        <v>12.4</v>
      </c>
      <c r="S181" s="7" t="s">
        <v>584</v>
      </c>
      <c r="T181" s="7" t="b">
        <v>0</v>
      </c>
      <c r="U181" s="7" t="s">
        <v>585</v>
      </c>
      <c r="V181" s="27" t="s">
        <v>586</v>
      </c>
      <c r="W181" s="7" t="s">
        <v>2628</v>
      </c>
      <c r="X181" s="28"/>
      <c r="Y181" s="28"/>
      <c r="Z181" s="28"/>
    </row>
    <row r="182">
      <c r="A182" s="7" t="s">
        <v>2629</v>
      </c>
      <c r="B182" s="7" t="s">
        <v>2630</v>
      </c>
      <c r="C182" s="7" t="s">
        <v>2631</v>
      </c>
      <c r="D182" s="7" t="s">
        <v>203</v>
      </c>
      <c r="E182" s="7" t="s">
        <v>1759</v>
      </c>
      <c r="F182" s="9">
        <v>16.962238</v>
      </c>
      <c r="G182" s="9">
        <v>104.52524</v>
      </c>
      <c r="H182" s="7" t="s">
        <v>576</v>
      </c>
      <c r="I182" s="9">
        <v>142.63</v>
      </c>
      <c r="J182" s="28"/>
      <c r="K182" s="28"/>
      <c r="L182" s="28"/>
      <c r="M182" s="9"/>
      <c r="N182" s="7" t="s">
        <v>1292</v>
      </c>
      <c r="O182" s="7" t="s">
        <v>583</v>
      </c>
      <c r="P182" s="9">
        <v>4.0</v>
      </c>
      <c r="Q182" s="28"/>
      <c r="R182" s="9">
        <v>12.4</v>
      </c>
      <c r="S182" s="7" t="s">
        <v>584</v>
      </c>
      <c r="T182" s="7" t="b">
        <v>0</v>
      </c>
      <c r="U182" s="7" t="s">
        <v>585</v>
      </c>
      <c r="V182" s="27" t="s">
        <v>586</v>
      </c>
      <c r="W182" s="7" t="s">
        <v>2632</v>
      </c>
      <c r="X182" s="28"/>
      <c r="Y182" s="28"/>
      <c r="Z182" s="28"/>
    </row>
    <row r="183">
      <c r="A183" s="7" t="s">
        <v>2633</v>
      </c>
      <c r="B183" s="7" t="s">
        <v>2634</v>
      </c>
      <c r="C183" s="7" t="s">
        <v>2635</v>
      </c>
      <c r="D183" s="7" t="s">
        <v>202</v>
      </c>
      <c r="E183" s="7" t="s">
        <v>2636</v>
      </c>
      <c r="F183" s="9">
        <v>17.59971</v>
      </c>
      <c r="G183" s="9">
        <v>103.98087</v>
      </c>
      <c r="H183" s="7" t="s">
        <v>576</v>
      </c>
      <c r="I183" s="9">
        <v>148.68</v>
      </c>
      <c r="J183" s="28"/>
      <c r="K183" s="28"/>
      <c r="L183" s="28"/>
      <c r="M183" s="9"/>
      <c r="N183" s="7" t="s">
        <v>1292</v>
      </c>
      <c r="O183" s="7" t="s">
        <v>583</v>
      </c>
      <c r="P183" s="9">
        <v>4.0</v>
      </c>
      <c r="Q183" s="28"/>
      <c r="R183" s="9">
        <v>12.4</v>
      </c>
      <c r="S183" s="7" t="s">
        <v>584</v>
      </c>
      <c r="T183" s="7" t="b">
        <v>0</v>
      </c>
      <c r="U183" s="7" t="s">
        <v>585</v>
      </c>
      <c r="V183" s="27" t="s">
        <v>586</v>
      </c>
      <c r="W183" s="7" t="s">
        <v>2640</v>
      </c>
      <c r="X183" s="28"/>
      <c r="Y183" s="28"/>
      <c r="Z183" s="28"/>
    </row>
    <row r="184">
      <c r="A184" s="7" t="s">
        <v>2641</v>
      </c>
      <c r="B184" s="7" t="s">
        <v>2642</v>
      </c>
      <c r="C184" s="7" t="s">
        <v>2643</v>
      </c>
      <c r="D184" s="7" t="s">
        <v>220</v>
      </c>
      <c r="E184" s="7" t="s">
        <v>2644</v>
      </c>
      <c r="F184" s="9">
        <v>16.309406</v>
      </c>
      <c r="G184" s="9">
        <v>101.971772</v>
      </c>
      <c r="H184" s="7" t="s">
        <v>923</v>
      </c>
      <c r="I184" s="9">
        <v>224.53</v>
      </c>
      <c r="J184" s="28"/>
      <c r="K184" s="28"/>
      <c r="L184" s="28"/>
      <c r="M184" s="9">
        <v>225.39</v>
      </c>
      <c r="N184" s="7" t="s">
        <v>1292</v>
      </c>
      <c r="O184" s="7" t="s">
        <v>583</v>
      </c>
      <c r="P184" s="9">
        <v>4.0</v>
      </c>
      <c r="Q184" s="28"/>
      <c r="R184" s="9">
        <v>22.4</v>
      </c>
      <c r="S184" s="7" t="s">
        <v>584</v>
      </c>
      <c r="T184" s="7" t="b">
        <v>0</v>
      </c>
      <c r="U184" s="7" t="s">
        <v>585</v>
      </c>
      <c r="V184" s="27" t="s">
        <v>586</v>
      </c>
      <c r="W184" s="7" t="s">
        <v>2647</v>
      </c>
      <c r="X184" s="28"/>
      <c r="Y184" s="28"/>
      <c r="Z184" s="28"/>
    </row>
    <row r="185">
      <c r="A185" s="7" t="s">
        <v>2648</v>
      </c>
      <c r="B185" s="7" t="s">
        <v>2649</v>
      </c>
      <c r="C185" s="7" t="s">
        <v>2650</v>
      </c>
      <c r="D185" s="7" t="s">
        <v>299</v>
      </c>
      <c r="E185" s="7" t="s">
        <v>2651</v>
      </c>
      <c r="F185" s="9">
        <v>6.737094</v>
      </c>
      <c r="G185" s="9">
        <v>101.27308</v>
      </c>
      <c r="H185" s="7" t="s">
        <v>576</v>
      </c>
      <c r="I185" s="9">
        <v>2.09</v>
      </c>
      <c r="J185" s="28"/>
      <c r="K185" s="28"/>
      <c r="L185" s="28"/>
      <c r="M185" s="9"/>
      <c r="N185" s="7" t="s">
        <v>1292</v>
      </c>
      <c r="O185" s="7" t="s">
        <v>583</v>
      </c>
      <c r="P185" s="9">
        <v>4.0</v>
      </c>
      <c r="Q185" s="28"/>
      <c r="R185" s="9">
        <v>12.4</v>
      </c>
      <c r="S185" s="7" t="s">
        <v>584</v>
      </c>
      <c r="T185" s="7" t="b">
        <v>0</v>
      </c>
      <c r="U185" s="7" t="s">
        <v>585</v>
      </c>
      <c r="V185" s="27" t="s">
        <v>586</v>
      </c>
      <c r="W185" s="7" t="s">
        <v>2652</v>
      </c>
      <c r="X185" s="28"/>
      <c r="Y185" s="28"/>
      <c r="Z185" s="28"/>
    </row>
    <row r="186">
      <c r="A186" s="7" t="s">
        <v>2653</v>
      </c>
      <c r="B186" s="7" t="s">
        <v>2654</v>
      </c>
      <c r="C186" s="7" t="s">
        <v>2655</v>
      </c>
      <c r="D186" s="7" t="s">
        <v>97</v>
      </c>
      <c r="E186" s="7"/>
      <c r="F186" s="9">
        <v>14.546983</v>
      </c>
      <c r="G186" s="9">
        <v>100.88976</v>
      </c>
      <c r="H186" s="7" t="s">
        <v>576</v>
      </c>
      <c r="I186" s="9">
        <v>9.17</v>
      </c>
      <c r="J186" s="28"/>
      <c r="K186" s="28"/>
      <c r="L186" s="28"/>
      <c r="M186" s="9"/>
      <c r="N186" s="7" t="s">
        <v>1292</v>
      </c>
      <c r="O186" s="7" t="s">
        <v>583</v>
      </c>
      <c r="P186" s="9">
        <v>4.0</v>
      </c>
      <c r="Q186" s="28"/>
      <c r="R186" s="9">
        <v>12.4</v>
      </c>
      <c r="S186" s="7" t="s">
        <v>584</v>
      </c>
      <c r="T186" s="7" t="b">
        <v>0</v>
      </c>
      <c r="U186" s="7" t="s">
        <v>585</v>
      </c>
      <c r="V186" s="27" t="s">
        <v>586</v>
      </c>
      <c r="W186" s="7" t="s">
        <v>2660</v>
      </c>
      <c r="X186" s="28"/>
      <c r="Y186" s="28"/>
      <c r="Z186" s="28"/>
    </row>
    <row r="187">
      <c r="A187" s="7" t="s">
        <v>2661</v>
      </c>
      <c r="B187" s="7" t="s">
        <v>2663</v>
      </c>
      <c r="C187" s="7" t="s">
        <v>2664</v>
      </c>
      <c r="D187" s="7" t="s">
        <v>183</v>
      </c>
      <c r="E187" s="7" t="s">
        <v>1527</v>
      </c>
      <c r="F187" s="9">
        <v>12.35731</v>
      </c>
      <c r="G187" s="9">
        <v>102.437897</v>
      </c>
      <c r="H187" s="7" t="s">
        <v>618</v>
      </c>
      <c r="I187" s="9">
        <v>2.22</v>
      </c>
      <c r="J187" s="28"/>
      <c r="K187" s="28"/>
      <c r="L187" s="28"/>
      <c r="M187" s="9"/>
      <c r="N187" s="7" t="s">
        <v>1292</v>
      </c>
      <c r="O187" s="7" t="s">
        <v>583</v>
      </c>
      <c r="P187" s="9">
        <v>4.0</v>
      </c>
      <c r="Q187" s="28"/>
      <c r="R187" s="9">
        <v>82.4</v>
      </c>
      <c r="S187" s="7" t="s">
        <v>584</v>
      </c>
      <c r="T187" s="7" t="b">
        <v>0</v>
      </c>
      <c r="U187" s="7" t="s">
        <v>585</v>
      </c>
      <c r="V187" s="27" t="s">
        <v>586</v>
      </c>
      <c r="W187" s="7" t="s">
        <v>2666</v>
      </c>
      <c r="X187" s="28"/>
      <c r="Y187" s="28"/>
      <c r="Z187" s="28"/>
    </row>
    <row r="188">
      <c r="A188" s="7" t="s">
        <v>2667</v>
      </c>
      <c r="B188" s="7" t="s">
        <v>2668</v>
      </c>
      <c r="C188" s="7" t="s">
        <v>2669</v>
      </c>
      <c r="D188" s="7" t="s">
        <v>9</v>
      </c>
      <c r="E188" s="7" t="s">
        <v>2670</v>
      </c>
      <c r="F188" s="9">
        <v>19.85606</v>
      </c>
      <c r="G188" s="9">
        <v>99.19549</v>
      </c>
      <c r="H188" s="7" t="s">
        <v>576</v>
      </c>
      <c r="I188" s="9">
        <v>509.6</v>
      </c>
      <c r="J188" s="28"/>
      <c r="K188" s="28"/>
      <c r="L188" s="28"/>
      <c r="M188" s="9"/>
      <c r="N188" s="7" t="s">
        <v>1292</v>
      </c>
      <c r="O188" s="7" t="s">
        <v>583</v>
      </c>
      <c r="P188" s="9">
        <v>4.0</v>
      </c>
      <c r="Q188" s="28"/>
      <c r="R188" s="9">
        <v>12.4</v>
      </c>
      <c r="S188" s="7" t="s">
        <v>584</v>
      </c>
      <c r="T188" s="7" t="b">
        <v>0</v>
      </c>
      <c r="U188" s="7" t="s">
        <v>585</v>
      </c>
      <c r="V188" s="27" t="s">
        <v>586</v>
      </c>
      <c r="W188" s="7" t="s">
        <v>2671</v>
      </c>
      <c r="X188" s="28"/>
      <c r="Y188" s="28"/>
      <c r="Z188" s="28"/>
    </row>
    <row r="189">
      <c r="A189" s="7" t="s">
        <v>2672</v>
      </c>
      <c r="B189" s="7" t="s">
        <v>2673</v>
      </c>
      <c r="C189" s="7" t="s">
        <v>2674</v>
      </c>
      <c r="D189" s="7" t="s">
        <v>203</v>
      </c>
      <c r="E189" s="7" t="s">
        <v>2675</v>
      </c>
      <c r="F189" s="9">
        <v>17.115396</v>
      </c>
      <c r="G189" s="9">
        <v>104.53788</v>
      </c>
      <c r="H189" s="7" t="s">
        <v>576</v>
      </c>
      <c r="I189" s="9">
        <v>147.39</v>
      </c>
      <c r="J189" s="28"/>
      <c r="K189" s="28"/>
      <c r="L189" s="28"/>
      <c r="M189" s="9"/>
      <c r="N189" s="7" t="s">
        <v>1292</v>
      </c>
      <c r="O189" s="7" t="s">
        <v>583</v>
      </c>
      <c r="P189" s="9">
        <v>4.0</v>
      </c>
      <c r="Q189" s="28"/>
      <c r="R189" s="9">
        <v>12.4</v>
      </c>
      <c r="S189" s="7" t="s">
        <v>584</v>
      </c>
      <c r="T189" s="7" t="b">
        <v>0</v>
      </c>
      <c r="U189" s="7" t="s">
        <v>585</v>
      </c>
      <c r="V189" s="27" t="s">
        <v>586</v>
      </c>
      <c r="W189" s="7" t="s">
        <v>2676</v>
      </c>
      <c r="X189" s="28"/>
      <c r="Y189" s="28"/>
      <c r="Z189" s="28"/>
    </row>
    <row r="190">
      <c r="A190" s="7" t="s">
        <v>2677</v>
      </c>
      <c r="B190" s="7" t="s">
        <v>2678</v>
      </c>
      <c r="C190" s="7" t="s">
        <v>2679</v>
      </c>
      <c r="D190" s="7" t="s">
        <v>85</v>
      </c>
      <c r="E190" s="7" t="s">
        <v>2006</v>
      </c>
      <c r="F190" s="9">
        <v>16.27034</v>
      </c>
      <c r="G190" s="9">
        <v>100.41396</v>
      </c>
      <c r="H190" s="7" t="s">
        <v>576</v>
      </c>
      <c r="I190" s="9">
        <v>31.04</v>
      </c>
      <c r="J190" s="28"/>
      <c r="K190" s="28"/>
      <c r="L190" s="28"/>
      <c r="M190" s="9"/>
      <c r="N190" s="7" t="s">
        <v>1292</v>
      </c>
      <c r="O190" s="7" t="s">
        <v>583</v>
      </c>
      <c r="P190" s="9">
        <v>4.0</v>
      </c>
      <c r="Q190" s="28"/>
      <c r="R190" s="9">
        <v>12.4</v>
      </c>
      <c r="S190" s="7" t="s">
        <v>584</v>
      </c>
      <c r="T190" s="7" t="b">
        <v>0</v>
      </c>
      <c r="U190" s="7" t="s">
        <v>585</v>
      </c>
      <c r="V190" s="27" t="s">
        <v>586</v>
      </c>
      <c r="W190" s="7" t="s">
        <v>2683</v>
      </c>
      <c r="X190" s="28"/>
      <c r="Y190" s="28"/>
      <c r="Z190" s="28"/>
    </row>
    <row r="191">
      <c r="A191" s="7" t="s">
        <v>2684</v>
      </c>
      <c r="B191" s="7" t="s">
        <v>2685</v>
      </c>
      <c r="C191" s="7" t="s">
        <v>2686</v>
      </c>
      <c r="D191" s="7" t="s">
        <v>175</v>
      </c>
      <c r="E191" s="7" t="s">
        <v>2687</v>
      </c>
      <c r="F191" s="9">
        <v>12.61359</v>
      </c>
      <c r="G191" s="9">
        <v>102.114113</v>
      </c>
      <c r="H191" s="7" t="s">
        <v>618</v>
      </c>
      <c r="I191" s="9">
        <v>1.34</v>
      </c>
      <c r="J191" s="28"/>
      <c r="K191" s="28"/>
      <c r="L191" s="28"/>
      <c r="M191" s="9">
        <v>3.44</v>
      </c>
      <c r="N191" s="7" t="s">
        <v>1292</v>
      </c>
      <c r="O191" s="7" t="s">
        <v>583</v>
      </c>
      <c r="P191" s="9">
        <v>4.0</v>
      </c>
      <c r="Q191" s="28"/>
      <c r="R191" s="9">
        <v>82.4</v>
      </c>
      <c r="S191" s="7" t="s">
        <v>584</v>
      </c>
      <c r="T191" s="7" t="b">
        <v>0</v>
      </c>
      <c r="U191" s="7" t="s">
        <v>585</v>
      </c>
      <c r="V191" s="27" t="s">
        <v>586</v>
      </c>
      <c r="W191" s="7" t="s">
        <v>2690</v>
      </c>
      <c r="X191" s="28"/>
      <c r="Y191" s="28"/>
      <c r="Z191" s="28"/>
    </row>
    <row r="192">
      <c r="A192" s="7" t="s">
        <v>2691</v>
      </c>
      <c r="B192" s="7" t="s">
        <v>2692</v>
      </c>
      <c r="C192" s="7" t="s">
        <v>2693</v>
      </c>
      <c r="D192" s="7" t="s">
        <v>154</v>
      </c>
      <c r="E192" s="7" t="s">
        <v>1354</v>
      </c>
      <c r="F192" s="9">
        <v>13.99597</v>
      </c>
      <c r="G192" s="9">
        <v>99.538818</v>
      </c>
      <c r="H192" s="7" t="s">
        <v>618</v>
      </c>
      <c r="I192" s="9">
        <v>22.67</v>
      </c>
      <c r="J192" s="28"/>
      <c r="K192" s="28"/>
      <c r="L192" s="28"/>
      <c r="M192" s="9">
        <v>24.07</v>
      </c>
      <c r="N192" s="7" t="s">
        <v>1292</v>
      </c>
      <c r="O192" s="7" t="s">
        <v>583</v>
      </c>
      <c r="P192" s="9">
        <v>4.0</v>
      </c>
      <c r="Q192" s="28"/>
      <c r="R192" s="9">
        <v>82.4</v>
      </c>
      <c r="S192" s="7" t="s">
        <v>584</v>
      </c>
      <c r="T192" s="7" t="b">
        <v>0</v>
      </c>
      <c r="U192" s="7" t="s">
        <v>585</v>
      </c>
      <c r="V192" s="27" t="s">
        <v>586</v>
      </c>
      <c r="W192" s="7" t="s">
        <v>2694</v>
      </c>
      <c r="X192" s="28"/>
      <c r="Y192" s="28"/>
      <c r="Z192" s="28"/>
    </row>
    <row r="193">
      <c r="A193" s="7" t="s">
        <v>2695</v>
      </c>
      <c r="B193" s="7" t="s">
        <v>2696</v>
      </c>
      <c r="C193" s="7" t="s">
        <v>2697</v>
      </c>
      <c r="D193" s="7" t="s">
        <v>116</v>
      </c>
      <c r="E193" s="7" t="s">
        <v>640</v>
      </c>
      <c r="F193" s="9">
        <v>14.436604</v>
      </c>
      <c r="G193" s="9">
        <v>100.37149</v>
      </c>
      <c r="H193" s="7" t="s">
        <v>576</v>
      </c>
      <c r="I193" s="9">
        <v>3.74</v>
      </c>
      <c r="J193" s="28"/>
      <c r="K193" s="28"/>
      <c r="L193" s="28"/>
      <c r="M193" s="9"/>
      <c r="N193" s="7" t="s">
        <v>1292</v>
      </c>
      <c r="O193" s="7" t="s">
        <v>583</v>
      </c>
      <c r="P193" s="9">
        <v>4.0</v>
      </c>
      <c r="Q193" s="28"/>
      <c r="R193" s="9">
        <v>12.4</v>
      </c>
      <c r="S193" s="7" t="s">
        <v>584</v>
      </c>
      <c r="T193" s="7" t="b">
        <v>0</v>
      </c>
      <c r="U193" s="7" t="s">
        <v>585</v>
      </c>
      <c r="V193" s="27" t="s">
        <v>586</v>
      </c>
      <c r="W193" s="7" t="s">
        <v>2698</v>
      </c>
      <c r="X193" s="28"/>
      <c r="Y193" s="28"/>
      <c r="Z193" s="28"/>
    </row>
    <row r="194">
      <c r="A194" s="7" t="s">
        <v>2699</v>
      </c>
      <c r="B194" s="7" t="s">
        <v>2700</v>
      </c>
      <c r="C194" s="7" t="s">
        <v>2701</v>
      </c>
      <c r="D194" s="7" t="s">
        <v>203</v>
      </c>
      <c r="E194" s="7" t="s">
        <v>1759</v>
      </c>
      <c r="F194" s="9">
        <v>17.065418</v>
      </c>
      <c r="G194" s="9">
        <v>104.57897</v>
      </c>
      <c r="H194" s="7" t="s">
        <v>576</v>
      </c>
      <c r="I194" s="9">
        <v>143.14</v>
      </c>
      <c r="J194" s="28"/>
      <c r="K194" s="28"/>
      <c r="L194" s="28"/>
      <c r="M194" s="9"/>
      <c r="N194" s="7" t="s">
        <v>1292</v>
      </c>
      <c r="O194" s="7" t="s">
        <v>583</v>
      </c>
      <c r="P194" s="9">
        <v>4.0</v>
      </c>
      <c r="Q194" s="28"/>
      <c r="R194" s="9">
        <v>12.4</v>
      </c>
      <c r="S194" s="7" t="s">
        <v>584</v>
      </c>
      <c r="T194" s="7" t="b">
        <v>0</v>
      </c>
      <c r="U194" s="7" t="s">
        <v>585</v>
      </c>
      <c r="V194" s="27" t="s">
        <v>586</v>
      </c>
      <c r="W194" s="7" t="s">
        <v>2705</v>
      </c>
      <c r="X194" s="28"/>
      <c r="Y194" s="28"/>
      <c r="Z194" s="28"/>
    </row>
    <row r="195">
      <c r="A195" s="7" t="s">
        <v>2706</v>
      </c>
      <c r="B195" s="7" t="s">
        <v>2707</v>
      </c>
      <c r="C195" s="7" t="s">
        <v>2708</v>
      </c>
      <c r="D195" s="7" t="s">
        <v>116</v>
      </c>
      <c r="E195" s="7" t="s">
        <v>640</v>
      </c>
      <c r="F195" s="9">
        <v>14.327773</v>
      </c>
      <c r="G195" s="9">
        <v>100.405464</v>
      </c>
      <c r="H195" s="7" t="s">
        <v>576</v>
      </c>
      <c r="I195" s="9">
        <v>2.24</v>
      </c>
      <c r="J195" s="28"/>
      <c r="K195" s="28"/>
      <c r="L195" s="28"/>
      <c r="M195" s="9"/>
      <c r="N195" s="7" t="s">
        <v>1292</v>
      </c>
      <c r="O195" s="7" t="s">
        <v>583</v>
      </c>
      <c r="P195" s="9">
        <v>4.0</v>
      </c>
      <c r="Q195" s="28"/>
      <c r="R195" s="9">
        <v>12.4</v>
      </c>
      <c r="S195" s="7" t="s">
        <v>584</v>
      </c>
      <c r="T195" s="7" t="b">
        <v>0</v>
      </c>
      <c r="U195" s="7" t="s">
        <v>585</v>
      </c>
      <c r="V195" s="27" t="s">
        <v>586</v>
      </c>
      <c r="W195" s="7" t="s">
        <v>2710</v>
      </c>
      <c r="X195" s="28"/>
      <c r="Y195" s="28"/>
      <c r="Z195" s="28"/>
    </row>
    <row r="196">
      <c r="A196" s="7" t="s">
        <v>2711</v>
      </c>
      <c r="B196" s="7" t="s">
        <v>2712</v>
      </c>
      <c r="C196" s="7" t="s">
        <v>2713</v>
      </c>
      <c r="D196" s="7" t="s">
        <v>250</v>
      </c>
      <c r="E196" s="7" t="s">
        <v>2542</v>
      </c>
      <c r="F196" s="9">
        <v>15.52481</v>
      </c>
      <c r="G196" s="9">
        <v>104.249657</v>
      </c>
      <c r="H196" s="7" t="s">
        <v>618</v>
      </c>
      <c r="I196" s="9">
        <v>118.88</v>
      </c>
      <c r="J196" s="28"/>
      <c r="K196" s="28"/>
      <c r="L196" s="28"/>
      <c r="M196" s="9">
        <v>121.98</v>
      </c>
      <c r="N196" s="7" t="s">
        <v>1292</v>
      </c>
      <c r="O196" s="7" t="s">
        <v>583</v>
      </c>
      <c r="P196" s="9">
        <v>4.0</v>
      </c>
      <c r="Q196" s="28"/>
      <c r="R196" s="9">
        <v>82.4</v>
      </c>
      <c r="S196" s="7" t="s">
        <v>584</v>
      </c>
      <c r="T196" s="7" t="b">
        <v>0</v>
      </c>
      <c r="U196" s="7" t="s">
        <v>585</v>
      </c>
      <c r="V196" s="27" t="s">
        <v>586</v>
      </c>
      <c r="W196" s="7" t="s">
        <v>2716</v>
      </c>
      <c r="X196" s="28"/>
      <c r="Y196" s="28"/>
      <c r="Z196" s="28"/>
    </row>
    <row r="197">
      <c r="A197" s="7" t="s">
        <v>2717</v>
      </c>
      <c r="B197" s="7" t="s">
        <v>2718</v>
      </c>
      <c r="C197" s="7" t="s">
        <v>2719</v>
      </c>
      <c r="D197" s="7" t="s">
        <v>154</v>
      </c>
      <c r="E197" s="7" t="s">
        <v>1084</v>
      </c>
      <c r="F197" s="9">
        <v>14.609306</v>
      </c>
      <c r="G197" s="9">
        <v>99.457694</v>
      </c>
      <c r="H197" s="7" t="s">
        <v>923</v>
      </c>
      <c r="I197" s="9">
        <v>128.87</v>
      </c>
      <c r="J197" s="28"/>
      <c r="K197" s="28"/>
      <c r="L197" s="28"/>
      <c r="M197" s="9">
        <v>129.68</v>
      </c>
      <c r="N197" s="7" t="s">
        <v>1292</v>
      </c>
      <c r="O197" s="7" t="s">
        <v>583</v>
      </c>
      <c r="P197" s="9">
        <v>4.0</v>
      </c>
      <c r="Q197" s="28"/>
      <c r="R197" s="9">
        <v>22.4</v>
      </c>
      <c r="S197" s="7" t="s">
        <v>584</v>
      </c>
      <c r="T197" s="7" t="b">
        <v>0</v>
      </c>
      <c r="U197" s="7" t="s">
        <v>585</v>
      </c>
      <c r="V197" s="27" t="s">
        <v>586</v>
      </c>
      <c r="W197" s="7" t="s">
        <v>2720</v>
      </c>
      <c r="X197" s="28"/>
      <c r="Y197" s="28"/>
      <c r="Z197" s="28"/>
    </row>
    <row r="198">
      <c r="A198" s="7" t="s">
        <v>2721</v>
      </c>
      <c r="B198" s="7" t="s">
        <v>2722</v>
      </c>
      <c r="C198" s="7" t="s">
        <v>2723</v>
      </c>
      <c r="D198" s="7" t="s">
        <v>224</v>
      </c>
      <c r="E198" s="7" t="s">
        <v>1892</v>
      </c>
      <c r="F198" s="9">
        <v>14.96803</v>
      </c>
      <c r="G198" s="9">
        <v>102.237831</v>
      </c>
      <c r="H198" s="7" t="s">
        <v>618</v>
      </c>
      <c r="I198" s="9">
        <v>165.58</v>
      </c>
      <c r="J198" s="28"/>
      <c r="K198" s="28"/>
      <c r="L198" s="28"/>
      <c r="M198" s="9"/>
      <c r="N198" s="7" t="s">
        <v>1292</v>
      </c>
      <c r="O198" s="7" t="s">
        <v>583</v>
      </c>
      <c r="P198" s="9">
        <v>4.0</v>
      </c>
      <c r="Q198" s="28"/>
      <c r="R198" s="9">
        <v>82.4</v>
      </c>
      <c r="S198" s="7" t="s">
        <v>584</v>
      </c>
      <c r="T198" s="7" t="b">
        <v>0</v>
      </c>
      <c r="U198" s="7" t="s">
        <v>585</v>
      </c>
      <c r="V198" s="27" t="s">
        <v>586</v>
      </c>
      <c r="W198" s="7" t="s">
        <v>2724</v>
      </c>
      <c r="X198" s="28"/>
      <c r="Y198" s="28"/>
      <c r="Z198" s="28"/>
    </row>
    <row r="199">
      <c r="A199" s="7" t="s">
        <v>2725</v>
      </c>
      <c r="B199" s="7" t="s">
        <v>2726</v>
      </c>
      <c r="C199" s="7" t="s">
        <v>2727</v>
      </c>
      <c r="D199" s="7" t="s">
        <v>82</v>
      </c>
      <c r="E199" s="7" t="s">
        <v>1047</v>
      </c>
      <c r="F199" s="9">
        <v>16.92732</v>
      </c>
      <c r="G199" s="9">
        <v>99.95933</v>
      </c>
      <c r="H199" s="7" t="s">
        <v>576</v>
      </c>
      <c r="I199" s="9">
        <v>41.91</v>
      </c>
      <c r="J199" s="28"/>
      <c r="K199" s="28"/>
      <c r="L199" s="28"/>
      <c r="M199" s="9"/>
      <c r="N199" s="7" t="s">
        <v>1292</v>
      </c>
      <c r="O199" s="7" t="s">
        <v>583</v>
      </c>
      <c r="P199" s="9">
        <v>4.0</v>
      </c>
      <c r="Q199" s="28"/>
      <c r="R199" s="9">
        <v>12.4</v>
      </c>
      <c r="S199" s="7" t="s">
        <v>584</v>
      </c>
      <c r="T199" s="7" t="b">
        <v>0</v>
      </c>
      <c r="U199" s="7" t="s">
        <v>585</v>
      </c>
      <c r="V199" s="27" t="s">
        <v>586</v>
      </c>
      <c r="W199" s="7" t="s">
        <v>2728</v>
      </c>
      <c r="X199" s="28"/>
      <c r="Y199" s="28"/>
      <c r="Z199" s="28"/>
    </row>
    <row r="200">
      <c r="A200" s="7" t="s">
        <v>2729</v>
      </c>
      <c r="B200" s="7" t="s">
        <v>2730</v>
      </c>
      <c r="C200" s="7" t="s">
        <v>2731</v>
      </c>
      <c r="D200" s="7" t="s">
        <v>116</v>
      </c>
      <c r="E200" s="7" t="s">
        <v>2732</v>
      </c>
      <c r="F200" s="9">
        <v>14.44056</v>
      </c>
      <c r="G200" s="9">
        <v>100.35738</v>
      </c>
      <c r="H200" s="7" t="s">
        <v>576</v>
      </c>
      <c r="I200" s="9">
        <v>3.7</v>
      </c>
      <c r="J200" s="28"/>
      <c r="K200" s="28"/>
      <c r="L200" s="28"/>
      <c r="M200" s="9"/>
      <c r="N200" s="7" t="s">
        <v>1292</v>
      </c>
      <c r="O200" s="7" t="s">
        <v>583</v>
      </c>
      <c r="P200" s="9">
        <v>4.0</v>
      </c>
      <c r="Q200" s="28"/>
      <c r="R200" s="9">
        <v>12.4</v>
      </c>
      <c r="S200" s="7" t="s">
        <v>584</v>
      </c>
      <c r="T200" s="7" t="b">
        <v>0</v>
      </c>
      <c r="U200" s="7" t="s">
        <v>585</v>
      </c>
      <c r="V200" s="27" t="s">
        <v>586</v>
      </c>
      <c r="W200" s="7" t="s">
        <v>2736</v>
      </c>
      <c r="X200" s="28"/>
      <c r="Y200" s="28"/>
      <c r="Z200" s="28"/>
    </row>
    <row r="201">
      <c r="A201" s="7" t="s">
        <v>2737</v>
      </c>
      <c r="B201" s="7" t="s">
        <v>2738</v>
      </c>
      <c r="C201" s="7" t="s">
        <v>2739</v>
      </c>
      <c r="D201" s="7" t="s">
        <v>250</v>
      </c>
      <c r="E201" s="7" t="s">
        <v>2739</v>
      </c>
      <c r="F201" s="9">
        <v>16.195435</v>
      </c>
      <c r="G201" s="9">
        <v>104.52569</v>
      </c>
      <c r="H201" s="7" t="s">
        <v>576</v>
      </c>
      <c r="I201" s="9">
        <v>143.52</v>
      </c>
      <c r="J201" s="28"/>
      <c r="K201" s="28"/>
      <c r="L201" s="28"/>
      <c r="M201" s="9"/>
      <c r="N201" s="7" t="s">
        <v>1292</v>
      </c>
      <c r="O201" s="7" t="s">
        <v>583</v>
      </c>
      <c r="P201" s="9">
        <v>4.0</v>
      </c>
      <c r="Q201" s="28"/>
      <c r="R201" s="9">
        <v>12.4</v>
      </c>
      <c r="S201" s="7" t="s">
        <v>584</v>
      </c>
      <c r="T201" s="7" t="b">
        <v>0</v>
      </c>
      <c r="U201" s="7" t="s">
        <v>585</v>
      </c>
      <c r="V201" s="27" t="s">
        <v>586</v>
      </c>
      <c r="W201" s="7" t="s">
        <v>2741</v>
      </c>
      <c r="X201" s="28"/>
      <c r="Y201" s="28"/>
      <c r="Z201" s="28"/>
    </row>
    <row r="202">
      <c r="A202" s="7" t="s">
        <v>2742</v>
      </c>
      <c r="B202" s="7" t="s">
        <v>2743</v>
      </c>
      <c r="C202" s="7" t="s">
        <v>2745</v>
      </c>
      <c r="D202" s="7" t="s">
        <v>154</v>
      </c>
      <c r="E202" s="7" t="s">
        <v>1084</v>
      </c>
      <c r="F202" s="9">
        <v>14.17522</v>
      </c>
      <c r="G202" s="9">
        <v>99.434067</v>
      </c>
      <c r="H202" s="7" t="s">
        <v>618</v>
      </c>
      <c r="I202" s="9">
        <v>44.12</v>
      </c>
      <c r="J202" s="28"/>
      <c r="K202" s="28"/>
      <c r="L202" s="28"/>
      <c r="M202" s="9"/>
      <c r="N202" s="7" t="s">
        <v>1292</v>
      </c>
      <c r="O202" s="7" t="s">
        <v>583</v>
      </c>
      <c r="P202" s="9">
        <v>4.0</v>
      </c>
      <c r="Q202" s="28"/>
      <c r="R202" s="9">
        <v>82.4</v>
      </c>
      <c r="S202" s="7" t="s">
        <v>584</v>
      </c>
      <c r="T202" s="7" t="b">
        <v>0</v>
      </c>
      <c r="U202" s="7" t="s">
        <v>585</v>
      </c>
      <c r="V202" s="27" t="s">
        <v>586</v>
      </c>
      <c r="W202" s="7" t="s">
        <v>2746</v>
      </c>
      <c r="X202" s="28"/>
      <c r="Y202" s="28"/>
      <c r="Z202" s="28"/>
    </row>
    <row r="203">
      <c r="A203" s="7" t="s">
        <v>2747</v>
      </c>
      <c r="B203" s="7" t="s">
        <v>2748</v>
      </c>
      <c r="C203" s="7" t="s">
        <v>2749</v>
      </c>
      <c r="D203" s="7" t="s">
        <v>240</v>
      </c>
      <c r="E203" s="7" t="s">
        <v>2582</v>
      </c>
      <c r="F203" s="9">
        <v>15.01052</v>
      </c>
      <c r="G203" s="9">
        <v>104.128448</v>
      </c>
      <c r="H203" s="7" t="s">
        <v>618</v>
      </c>
      <c r="I203" s="9">
        <v>125.56</v>
      </c>
      <c r="J203" s="28"/>
      <c r="K203" s="28"/>
      <c r="L203" s="28"/>
      <c r="M203" s="9"/>
      <c r="N203" s="7" t="s">
        <v>1292</v>
      </c>
      <c r="O203" s="7" t="s">
        <v>583</v>
      </c>
      <c r="P203" s="9">
        <v>4.0</v>
      </c>
      <c r="Q203" s="28"/>
      <c r="R203" s="9">
        <v>82.4</v>
      </c>
      <c r="S203" s="7" t="s">
        <v>584</v>
      </c>
      <c r="T203" s="7" t="b">
        <v>0</v>
      </c>
      <c r="U203" s="7" t="s">
        <v>585</v>
      </c>
      <c r="V203" s="27" t="s">
        <v>586</v>
      </c>
      <c r="W203" s="7" t="s">
        <v>2750</v>
      </c>
      <c r="X203" s="28"/>
      <c r="Y203" s="28"/>
      <c r="Z203" s="28"/>
    </row>
    <row r="204">
      <c r="A204" s="7" t="s">
        <v>2751</v>
      </c>
      <c r="B204" s="7" t="s">
        <v>2752</v>
      </c>
      <c r="C204" s="7" t="s">
        <v>2753</v>
      </c>
      <c r="D204" s="7" t="s">
        <v>312</v>
      </c>
      <c r="E204" s="7" t="s">
        <v>1190</v>
      </c>
      <c r="F204" s="9">
        <v>13.92245</v>
      </c>
      <c r="G204" s="9">
        <v>100.63438</v>
      </c>
      <c r="H204" s="7" t="s">
        <v>1997</v>
      </c>
      <c r="I204" s="9">
        <v>1.37</v>
      </c>
      <c r="J204" s="28"/>
      <c r="K204" s="28"/>
      <c r="L204" s="28"/>
      <c r="M204" s="9"/>
      <c r="N204" s="7" t="s">
        <v>1292</v>
      </c>
      <c r="O204" s="7" t="s">
        <v>583</v>
      </c>
      <c r="P204" s="9">
        <v>4.0</v>
      </c>
      <c r="Q204" s="28"/>
      <c r="R204" s="9">
        <v>1422.4</v>
      </c>
      <c r="S204" s="7" t="s">
        <v>584</v>
      </c>
      <c r="T204" s="7" t="b">
        <v>0</v>
      </c>
      <c r="U204" s="7" t="s">
        <v>585</v>
      </c>
      <c r="V204" s="27" t="s">
        <v>586</v>
      </c>
      <c r="W204" s="7" t="s">
        <v>2754</v>
      </c>
      <c r="X204" s="28"/>
      <c r="Y204" s="28"/>
      <c r="Z204" s="28"/>
    </row>
    <row r="205">
      <c r="A205" s="7" t="s">
        <v>2756</v>
      </c>
      <c r="B205" s="7" t="s">
        <v>2757</v>
      </c>
      <c r="C205" s="7" t="s">
        <v>2759</v>
      </c>
      <c r="D205" s="7" t="s">
        <v>63</v>
      </c>
      <c r="E205" s="7" t="s">
        <v>2760</v>
      </c>
      <c r="F205" s="9">
        <v>19.21819</v>
      </c>
      <c r="G205" s="9">
        <v>99.862686</v>
      </c>
      <c r="H205" s="7" t="s">
        <v>576</v>
      </c>
      <c r="I205" s="9">
        <v>391.88</v>
      </c>
      <c r="J205" s="28"/>
      <c r="K205" s="28"/>
      <c r="L205" s="28"/>
      <c r="M205" s="9"/>
      <c r="N205" s="7" t="s">
        <v>1292</v>
      </c>
      <c r="O205" s="7" t="s">
        <v>583</v>
      </c>
      <c r="P205" s="9">
        <v>4.0</v>
      </c>
      <c r="Q205" s="28"/>
      <c r="R205" s="9">
        <v>12.4</v>
      </c>
      <c r="S205" s="7" t="s">
        <v>584</v>
      </c>
      <c r="T205" s="7" t="b">
        <v>0</v>
      </c>
      <c r="U205" s="7" t="s">
        <v>585</v>
      </c>
      <c r="V205" s="27" t="s">
        <v>586</v>
      </c>
      <c r="W205" s="7" t="s">
        <v>2762</v>
      </c>
      <c r="X205" s="28"/>
      <c r="Y205" s="28"/>
      <c r="Z205" s="28"/>
    </row>
    <row r="206">
      <c r="A206" s="7" t="s">
        <v>2763</v>
      </c>
      <c r="B206" s="7" t="s">
        <v>2764</v>
      </c>
      <c r="C206" s="7" t="s">
        <v>2765</v>
      </c>
      <c r="D206" s="7" t="s">
        <v>202</v>
      </c>
      <c r="E206" s="7" t="s">
        <v>2765</v>
      </c>
      <c r="F206" s="9">
        <v>17.322742</v>
      </c>
      <c r="G206" s="9">
        <v>103.97923</v>
      </c>
      <c r="H206" s="7" t="s">
        <v>576</v>
      </c>
      <c r="I206" s="9">
        <v>153.07</v>
      </c>
      <c r="J206" s="28"/>
      <c r="K206" s="28"/>
      <c r="L206" s="28"/>
      <c r="M206" s="9"/>
      <c r="N206" s="7" t="s">
        <v>1292</v>
      </c>
      <c r="O206" s="7" t="s">
        <v>583</v>
      </c>
      <c r="P206" s="9">
        <v>4.0</v>
      </c>
      <c r="Q206" s="28"/>
      <c r="R206" s="9">
        <v>12.4</v>
      </c>
      <c r="S206" s="7" t="s">
        <v>584</v>
      </c>
      <c r="T206" s="7" t="b">
        <v>0</v>
      </c>
      <c r="U206" s="7" t="s">
        <v>585</v>
      </c>
      <c r="V206" s="27" t="s">
        <v>586</v>
      </c>
      <c r="W206" s="7" t="s">
        <v>2768</v>
      </c>
      <c r="X206" s="28"/>
      <c r="Y206" s="28"/>
      <c r="Z206" s="28"/>
    </row>
    <row r="207">
      <c r="A207" s="7" t="s">
        <v>2769</v>
      </c>
      <c r="B207" s="7" t="s">
        <v>2770</v>
      </c>
      <c r="C207" s="7" t="s">
        <v>2771</v>
      </c>
      <c r="D207" s="7" t="s">
        <v>298</v>
      </c>
      <c r="E207" s="7" t="s">
        <v>2772</v>
      </c>
      <c r="F207" s="9">
        <v>7.55901</v>
      </c>
      <c r="G207" s="9">
        <v>99.987556</v>
      </c>
      <c r="H207" s="7" t="s">
        <v>1951</v>
      </c>
      <c r="I207" s="9">
        <v>20.66</v>
      </c>
      <c r="J207" s="28"/>
      <c r="K207" s="28"/>
      <c r="L207" s="28"/>
      <c r="M207" s="9"/>
      <c r="N207" s="7" t="s">
        <v>1292</v>
      </c>
      <c r="O207" s="7" t="s">
        <v>583</v>
      </c>
      <c r="P207" s="9">
        <v>4.0</v>
      </c>
      <c r="Q207" s="28"/>
      <c r="R207" s="9">
        <v>202.4</v>
      </c>
      <c r="S207" s="7" t="s">
        <v>584</v>
      </c>
      <c r="T207" s="7" t="b">
        <v>0</v>
      </c>
      <c r="U207" s="7" t="s">
        <v>585</v>
      </c>
      <c r="V207" s="27" t="s">
        <v>586</v>
      </c>
      <c r="W207" s="7" t="s">
        <v>2773</v>
      </c>
      <c r="X207" s="28"/>
      <c r="Y207" s="28"/>
      <c r="Z207" s="28"/>
    </row>
    <row r="208">
      <c r="A208" s="7" t="s">
        <v>2774</v>
      </c>
      <c r="B208" s="7" t="s">
        <v>2775</v>
      </c>
      <c r="C208" s="7" t="s">
        <v>2776</v>
      </c>
      <c r="D208" s="7" t="s">
        <v>291</v>
      </c>
      <c r="E208" s="7" t="s">
        <v>2777</v>
      </c>
      <c r="F208" s="9">
        <v>6.885757</v>
      </c>
      <c r="G208" s="9">
        <v>99.804344</v>
      </c>
      <c r="H208" s="7" t="s">
        <v>576</v>
      </c>
      <c r="I208" s="9">
        <v>0.73</v>
      </c>
      <c r="J208" s="28"/>
      <c r="K208" s="28"/>
      <c r="L208" s="28"/>
      <c r="M208" s="9"/>
      <c r="N208" s="7" t="s">
        <v>1292</v>
      </c>
      <c r="O208" s="7" t="s">
        <v>583</v>
      </c>
      <c r="P208" s="9">
        <v>4.0</v>
      </c>
      <c r="Q208" s="28"/>
      <c r="R208" s="9">
        <v>12.4</v>
      </c>
      <c r="S208" s="7" t="s">
        <v>584</v>
      </c>
      <c r="T208" s="7" t="b">
        <v>0</v>
      </c>
      <c r="U208" s="7" t="s">
        <v>585</v>
      </c>
      <c r="V208" s="27" t="s">
        <v>586</v>
      </c>
      <c r="W208" s="7" t="s">
        <v>2778</v>
      </c>
      <c r="X208" s="28"/>
      <c r="Y208" s="28"/>
      <c r="Z208" s="28"/>
    </row>
    <row r="209">
      <c r="A209" s="7" t="s">
        <v>2779</v>
      </c>
      <c r="B209" s="7" t="s">
        <v>2780</v>
      </c>
      <c r="C209" s="7" t="s">
        <v>2781</v>
      </c>
      <c r="D209" s="7" t="s">
        <v>240</v>
      </c>
      <c r="E209" s="7" t="s">
        <v>2582</v>
      </c>
      <c r="F209" s="9">
        <v>15.118111</v>
      </c>
      <c r="G209" s="9">
        <v>104.31859</v>
      </c>
      <c r="H209" s="7" t="s">
        <v>576</v>
      </c>
      <c r="I209" s="9">
        <v>115.8</v>
      </c>
      <c r="J209" s="28"/>
      <c r="K209" s="28"/>
      <c r="L209" s="28"/>
      <c r="M209" s="9"/>
      <c r="N209" s="7" t="s">
        <v>1292</v>
      </c>
      <c r="O209" s="7" t="s">
        <v>583</v>
      </c>
      <c r="P209" s="9">
        <v>4.0</v>
      </c>
      <c r="Q209" s="28"/>
      <c r="R209" s="9">
        <v>12.4</v>
      </c>
      <c r="S209" s="7" t="s">
        <v>584</v>
      </c>
      <c r="T209" s="7" t="b">
        <v>0</v>
      </c>
      <c r="U209" s="7" t="s">
        <v>585</v>
      </c>
      <c r="V209" s="27" t="s">
        <v>586</v>
      </c>
      <c r="W209" s="7" t="s">
        <v>2782</v>
      </c>
      <c r="X209" s="28"/>
      <c r="Y209" s="28"/>
      <c r="Z209" s="28"/>
    </row>
    <row r="210">
      <c r="A210" s="7" t="s">
        <v>2783</v>
      </c>
      <c r="B210" s="7" t="s">
        <v>2784</v>
      </c>
      <c r="C210" s="7" t="s">
        <v>2785</v>
      </c>
      <c r="D210" s="7" t="s">
        <v>85</v>
      </c>
      <c r="E210" s="7" t="s">
        <v>1047</v>
      </c>
      <c r="F210" s="9">
        <v>16.507441</v>
      </c>
      <c r="G210" s="9">
        <v>100.204086</v>
      </c>
      <c r="H210" s="7" t="s">
        <v>618</v>
      </c>
      <c r="I210" s="9">
        <v>36.02</v>
      </c>
      <c r="J210" s="28"/>
      <c r="K210" s="28"/>
      <c r="L210" s="28"/>
      <c r="M210" s="9"/>
      <c r="N210" s="7" t="s">
        <v>1292</v>
      </c>
      <c r="O210" s="7" t="s">
        <v>583</v>
      </c>
      <c r="P210" s="9">
        <v>4.0</v>
      </c>
      <c r="Q210" s="28"/>
      <c r="R210" s="9">
        <v>82.4</v>
      </c>
      <c r="S210" s="7" t="s">
        <v>584</v>
      </c>
      <c r="T210" s="7" t="b">
        <v>0</v>
      </c>
      <c r="U210" s="7" t="s">
        <v>585</v>
      </c>
      <c r="V210" s="27" t="s">
        <v>586</v>
      </c>
      <c r="W210" s="7" t="s">
        <v>2789</v>
      </c>
      <c r="X210" s="28"/>
      <c r="Y210" s="28"/>
      <c r="Z210" s="28"/>
    </row>
    <row r="211">
      <c r="A211" s="7" t="s">
        <v>2790</v>
      </c>
      <c r="B211" s="7" t="s">
        <v>2791</v>
      </c>
      <c r="C211" s="7" t="s">
        <v>2792</v>
      </c>
      <c r="D211" s="7" t="s">
        <v>234</v>
      </c>
      <c r="E211" s="7" t="s">
        <v>1892</v>
      </c>
      <c r="F211" s="9">
        <v>15.26995</v>
      </c>
      <c r="G211" s="9">
        <v>105.30611</v>
      </c>
      <c r="H211" s="7" t="s">
        <v>618</v>
      </c>
      <c r="I211" s="9">
        <v>107.04</v>
      </c>
      <c r="J211" s="28"/>
      <c r="K211" s="28"/>
      <c r="L211" s="28"/>
      <c r="M211" s="9">
        <v>111.8</v>
      </c>
      <c r="N211" s="7" t="s">
        <v>1292</v>
      </c>
      <c r="O211" s="7" t="s">
        <v>583</v>
      </c>
      <c r="P211" s="9">
        <v>4.0</v>
      </c>
      <c r="Q211" s="28"/>
      <c r="R211" s="9">
        <v>82.4</v>
      </c>
      <c r="S211" s="7" t="s">
        <v>584</v>
      </c>
      <c r="T211" s="7" t="b">
        <v>0</v>
      </c>
      <c r="U211" s="7" t="s">
        <v>585</v>
      </c>
      <c r="V211" s="27" t="s">
        <v>586</v>
      </c>
      <c r="W211" s="7" t="s">
        <v>2793</v>
      </c>
      <c r="X211" s="28"/>
      <c r="Y211" s="28"/>
      <c r="Z211" s="28"/>
    </row>
    <row r="212">
      <c r="A212" s="7" t="s">
        <v>2795</v>
      </c>
      <c r="B212" s="7" t="s">
        <v>2796</v>
      </c>
      <c r="C212" s="7" t="s">
        <v>2797</v>
      </c>
      <c r="D212" s="7" t="s">
        <v>9</v>
      </c>
      <c r="E212" s="7" t="s">
        <v>2799</v>
      </c>
      <c r="F212" s="9">
        <v>18.29126</v>
      </c>
      <c r="G212" s="9">
        <v>98.64756</v>
      </c>
      <c r="H212" s="7" t="s">
        <v>2800</v>
      </c>
      <c r="I212" s="9">
        <v>265.1</v>
      </c>
      <c r="J212" s="28"/>
      <c r="K212" s="28"/>
      <c r="L212" s="28"/>
      <c r="M212" s="9"/>
      <c r="N212" s="7" t="s">
        <v>1292</v>
      </c>
      <c r="O212" s="7" t="s">
        <v>583</v>
      </c>
      <c r="P212" s="9">
        <v>4.0</v>
      </c>
      <c r="Q212" s="28"/>
      <c r="R212" s="9">
        <v>382.4</v>
      </c>
      <c r="S212" s="7" t="s">
        <v>584</v>
      </c>
      <c r="T212" s="7" t="b">
        <v>0</v>
      </c>
      <c r="U212" s="7" t="s">
        <v>585</v>
      </c>
      <c r="V212" s="27" t="s">
        <v>586</v>
      </c>
      <c r="W212" s="7" t="s">
        <v>2801</v>
      </c>
      <c r="X212" s="28"/>
      <c r="Y212" s="28"/>
      <c r="Z212" s="28"/>
    </row>
    <row r="213">
      <c r="A213" s="7" t="s">
        <v>2802</v>
      </c>
      <c r="B213" s="7" t="s">
        <v>2803</v>
      </c>
      <c r="C213" s="7" t="s">
        <v>2804</v>
      </c>
      <c r="D213" s="7" t="s">
        <v>154</v>
      </c>
      <c r="E213" s="7" t="s">
        <v>767</v>
      </c>
      <c r="F213" s="9">
        <v>13.9382</v>
      </c>
      <c r="G213" s="9">
        <v>99.41518</v>
      </c>
      <c r="H213" s="7" t="s">
        <v>923</v>
      </c>
      <c r="I213" s="9">
        <v>28.4</v>
      </c>
      <c r="J213" s="28"/>
      <c r="K213" s="28"/>
      <c r="L213" s="28"/>
      <c r="M213" s="9">
        <v>31.45</v>
      </c>
      <c r="N213" s="7" t="s">
        <v>1292</v>
      </c>
      <c r="O213" s="7" t="s">
        <v>583</v>
      </c>
      <c r="P213" s="9">
        <v>4.0</v>
      </c>
      <c r="Q213" s="28"/>
      <c r="R213" s="9">
        <v>22.4</v>
      </c>
      <c r="S213" s="7" t="s">
        <v>584</v>
      </c>
      <c r="T213" s="7" t="b">
        <v>0</v>
      </c>
      <c r="U213" s="7" t="s">
        <v>585</v>
      </c>
      <c r="V213" s="27" t="s">
        <v>586</v>
      </c>
      <c r="W213" s="7" t="s">
        <v>2805</v>
      </c>
      <c r="X213" s="28"/>
      <c r="Y213" s="28"/>
      <c r="Z213" s="28"/>
    </row>
    <row r="214">
      <c r="A214" s="7" t="s">
        <v>2806</v>
      </c>
      <c r="B214" s="7" t="s">
        <v>2807</v>
      </c>
      <c r="C214" s="7" t="s">
        <v>2808</v>
      </c>
      <c r="D214" s="7" t="s">
        <v>157</v>
      </c>
      <c r="E214" s="7" t="s">
        <v>2809</v>
      </c>
      <c r="F214" s="9">
        <v>13.809611</v>
      </c>
      <c r="G214" s="9">
        <v>102.05431</v>
      </c>
      <c r="H214" s="7" t="s">
        <v>576</v>
      </c>
      <c r="I214" s="9">
        <v>31.88</v>
      </c>
      <c r="J214" s="28"/>
      <c r="K214" s="28"/>
      <c r="L214" s="28"/>
      <c r="M214" s="9"/>
      <c r="N214" s="7" t="s">
        <v>1292</v>
      </c>
      <c r="O214" s="7" t="s">
        <v>583</v>
      </c>
      <c r="P214" s="9">
        <v>4.0</v>
      </c>
      <c r="Q214" s="28"/>
      <c r="R214" s="9">
        <v>12.4</v>
      </c>
      <c r="S214" s="7" t="s">
        <v>584</v>
      </c>
      <c r="T214" s="7" t="b">
        <v>0</v>
      </c>
      <c r="U214" s="7" t="s">
        <v>585</v>
      </c>
      <c r="V214" s="27" t="s">
        <v>586</v>
      </c>
      <c r="W214" s="7" t="s">
        <v>2810</v>
      </c>
      <c r="X214" s="28"/>
      <c r="Y214" s="28"/>
      <c r="Z214" s="28"/>
    </row>
    <row r="215">
      <c r="A215" s="7" t="s">
        <v>2811</v>
      </c>
      <c r="B215" s="7" t="s">
        <v>2812</v>
      </c>
      <c r="C215" s="7" t="s">
        <v>2813</v>
      </c>
      <c r="D215" s="7" t="s">
        <v>97</v>
      </c>
      <c r="E215" s="7" t="s">
        <v>1016</v>
      </c>
      <c r="F215" s="9">
        <v>14.55752</v>
      </c>
      <c r="G215" s="9">
        <v>100.924217</v>
      </c>
      <c r="H215" s="7" t="s">
        <v>618</v>
      </c>
      <c r="I215" s="9">
        <v>9.65</v>
      </c>
      <c r="J215" s="28"/>
      <c r="K215" s="28"/>
      <c r="L215" s="28"/>
      <c r="M215" s="9"/>
      <c r="N215" s="7" t="s">
        <v>1292</v>
      </c>
      <c r="O215" s="7" t="s">
        <v>583</v>
      </c>
      <c r="P215" s="9">
        <v>4.0</v>
      </c>
      <c r="Q215" s="28"/>
      <c r="R215" s="9">
        <v>82.4</v>
      </c>
      <c r="S215" s="7" t="s">
        <v>584</v>
      </c>
      <c r="T215" s="7" t="b">
        <v>0</v>
      </c>
      <c r="U215" s="7" t="s">
        <v>585</v>
      </c>
      <c r="V215" s="27" t="s">
        <v>586</v>
      </c>
      <c r="W215" s="7" t="s">
        <v>2817</v>
      </c>
      <c r="X215" s="28"/>
      <c r="Y215" s="28"/>
      <c r="Z215" s="28"/>
    </row>
    <row r="216">
      <c r="A216" s="7" t="s">
        <v>2818</v>
      </c>
      <c r="B216" s="7" t="s">
        <v>2819</v>
      </c>
      <c r="C216" s="7" t="s">
        <v>2820</v>
      </c>
      <c r="D216" s="7" t="s">
        <v>234</v>
      </c>
      <c r="E216" s="7" t="s">
        <v>2542</v>
      </c>
      <c r="F216" s="9">
        <v>15.32248</v>
      </c>
      <c r="G216" s="9">
        <v>104.54649</v>
      </c>
      <c r="H216" s="7" t="s">
        <v>576</v>
      </c>
      <c r="I216" s="9">
        <v>113.58</v>
      </c>
      <c r="J216" s="28"/>
      <c r="K216" s="28"/>
      <c r="L216" s="28"/>
      <c r="M216" s="9"/>
      <c r="N216" s="7" t="s">
        <v>1292</v>
      </c>
      <c r="O216" s="7" t="s">
        <v>583</v>
      </c>
      <c r="P216" s="9">
        <v>4.0</v>
      </c>
      <c r="Q216" s="28"/>
      <c r="R216" s="9">
        <v>12.4</v>
      </c>
      <c r="S216" s="7" t="s">
        <v>584</v>
      </c>
      <c r="T216" s="7" t="b">
        <v>0</v>
      </c>
      <c r="U216" s="7" t="s">
        <v>585</v>
      </c>
      <c r="V216" s="27" t="s">
        <v>586</v>
      </c>
      <c r="W216" s="7" t="s">
        <v>2822</v>
      </c>
      <c r="X216" s="28"/>
      <c r="Y216" s="28"/>
      <c r="Z216" s="28"/>
    </row>
    <row r="217">
      <c r="A217" s="7" t="s">
        <v>2824</v>
      </c>
      <c r="B217" s="7" t="s">
        <v>2825</v>
      </c>
      <c r="C217" s="7" t="s">
        <v>2826</v>
      </c>
      <c r="D217" s="7" t="s">
        <v>193</v>
      </c>
      <c r="E217" s="7" t="s">
        <v>2542</v>
      </c>
      <c r="F217" s="9">
        <v>16.368304</v>
      </c>
      <c r="G217" s="9">
        <v>102.946387</v>
      </c>
      <c r="H217" s="7" t="s">
        <v>923</v>
      </c>
      <c r="I217" s="9">
        <v>146.88</v>
      </c>
      <c r="J217" s="28"/>
      <c r="K217" s="28"/>
      <c r="L217" s="28"/>
      <c r="M217" s="9">
        <v>149.45</v>
      </c>
      <c r="N217" s="7" t="s">
        <v>1292</v>
      </c>
      <c r="O217" s="7" t="s">
        <v>583</v>
      </c>
      <c r="P217" s="9">
        <v>4.0</v>
      </c>
      <c r="Q217" s="28"/>
      <c r="R217" s="9">
        <v>22.4</v>
      </c>
      <c r="S217" s="7" t="s">
        <v>584</v>
      </c>
      <c r="T217" s="7" t="b">
        <v>0</v>
      </c>
      <c r="U217" s="7" t="s">
        <v>585</v>
      </c>
      <c r="V217" s="27" t="s">
        <v>586</v>
      </c>
      <c r="W217" s="7" t="s">
        <v>2828</v>
      </c>
      <c r="X217" s="28"/>
      <c r="Y217" s="28"/>
      <c r="Z217" s="28"/>
    </row>
    <row r="218">
      <c r="A218" s="7" t="s">
        <v>2829</v>
      </c>
      <c r="B218" s="7" t="s">
        <v>2830</v>
      </c>
      <c r="C218" s="7" t="s">
        <v>2831</v>
      </c>
      <c r="D218" s="7" t="s">
        <v>85</v>
      </c>
      <c r="E218" s="7" t="s">
        <v>2006</v>
      </c>
      <c r="F218" s="9">
        <v>16.4695</v>
      </c>
      <c r="G218" s="9">
        <v>100.330872</v>
      </c>
      <c r="H218" s="7" t="s">
        <v>618</v>
      </c>
      <c r="I218" s="9">
        <v>32.34</v>
      </c>
      <c r="J218" s="28"/>
      <c r="K218" s="28"/>
      <c r="L218" s="28"/>
      <c r="M218" s="9"/>
      <c r="N218" s="7" t="s">
        <v>1292</v>
      </c>
      <c r="O218" s="7" t="s">
        <v>583</v>
      </c>
      <c r="P218" s="9">
        <v>4.0</v>
      </c>
      <c r="Q218" s="28"/>
      <c r="R218" s="9">
        <v>82.4</v>
      </c>
      <c r="S218" s="7" t="s">
        <v>584</v>
      </c>
      <c r="T218" s="7" t="b">
        <v>0</v>
      </c>
      <c r="U218" s="7" t="s">
        <v>585</v>
      </c>
      <c r="V218" s="27" t="s">
        <v>586</v>
      </c>
      <c r="W218" s="7" t="s">
        <v>2832</v>
      </c>
      <c r="X218" s="28"/>
      <c r="Y218" s="28"/>
      <c r="Z218" s="28"/>
    </row>
    <row r="219">
      <c r="A219" s="7" t="s">
        <v>2833</v>
      </c>
      <c r="B219" s="7" t="s">
        <v>2834</v>
      </c>
      <c r="C219" s="7" t="s">
        <v>2835</v>
      </c>
      <c r="D219" s="7" t="s">
        <v>86</v>
      </c>
      <c r="E219" s="7" t="s">
        <v>2836</v>
      </c>
      <c r="F219" s="9">
        <v>15.78585</v>
      </c>
      <c r="G219" s="9">
        <v>99.678329</v>
      </c>
      <c r="H219" s="7" t="s">
        <v>618</v>
      </c>
      <c r="I219" s="9">
        <v>70.01</v>
      </c>
      <c r="J219" s="28"/>
      <c r="K219" s="28"/>
      <c r="L219" s="28"/>
      <c r="M219" s="9"/>
      <c r="N219" s="7" t="s">
        <v>1292</v>
      </c>
      <c r="O219" s="7" t="s">
        <v>583</v>
      </c>
      <c r="P219" s="9">
        <v>4.0</v>
      </c>
      <c r="Q219" s="28"/>
      <c r="R219" s="9">
        <v>82.4</v>
      </c>
      <c r="S219" s="7" t="s">
        <v>584</v>
      </c>
      <c r="T219" s="7" t="b">
        <v>0</v>
      </c>
      <c r="U219" s="7" t="s">
        <v>585</v>
      </c>
      <c r="V219" s="27" t="s">
        <v>586</v>
      </c>
      <c r="W219" s="7" t="s">
        <v>2837</v>
      </c>
      <c r="X219" s="28"/>
      <c r="Y219" s="28"/>
      <c r="Z219" s="28"/>
    </row>
    <row r="220">
      <c r="A220" s="7" t="s">
        <v>2838</v>
      </c>
      <c r="B220" s="7" t="s">
        <v>2839</v>
      </c>
      <c r="C220" s="7" t="s">
        <v>2840</v>
      </c>
      <c r="D220" s="7" t="s">
        <v>220</v>
      </c>
      <c r="E220" s="7" t="s">
        <v>1380</v>
      </c>
      <c r="F220" s="9">
        <v>16.590509</v>
      </c>
      <c r="G220" s="9">
        <v>101.983223</v>
      </c>
      <c r="H220" s="7" t="s">
        <v>618</v>
      </c>
      <c r="I220" s="9">
        <v>228.63</v>
      </c>
      <c r="J220" s="28"/>
      <c r="K220" s="28"/>
      <c r="L220" s="28"/>
      <c r="M220" s="9"/>
      <c r="N220" s="7" t="s">
        <v>1292</v>
      </c>
      <c r="O220" s="7" t="s">
        <v>583</v>
      </c>
      <c r="P220" s="9">
        <v>4.0</v>
      </c>
      <c r="Q220" s="28"/>
      <c r="R220" s="9">
        <v>82.4</v>
      </c>
      <c r="S220" s="7" t="s">
        <v>584</v>
      </c>
      <c r="T220" s="7" t="b">
        <v>0</v>
      </c>
      <c r="U220" s="7" t="s">
        <v>585</v>
      </c>
      <c r="V220" s="27" t="s">
        <v>586</v>
      </c>
      <c r="W220" s="7" t="s">
        <v>2841</v>
      </c>
      <c r="X220" s="28"/>
      <c r="Y220" s="28"/>
      <c r="Z220" s="28"/>
    </row>
    <row r="221">
      <c r="A221" s="7" t="s">
        <v>2842</v>
      </c>
      <c r="B221" s="7" t="s">
        <v>2843</v>
      </c>
      <c r="C221" s="7" t="s">
        <v>2844</v>
      </c>
      <c r="D221" s="7" t="s">
        <v>85</v>
      </c>
      <c r="E221" s="7" t="s">
        <v>1047</v>
      </c>
      <c r="F221" s="9">
        <v>16.31077</v>
      </c>
      <c r="G221" s="9">
        <v>100.27173</v>
      </c>
      <c r="H221" s="7" t="s">
        <v>576</v>
      </c>
      <c r="I221" s="9">
        <v>32.36</v>
      </c>
      <c r="J221" s="28"/>
      <c r="K221" s="28"/>
      <c r="L221" s="28"/>
      <c r="M221" s="9"/>
      <c r="N221" s="7" t="s">
        <v>1292</v>
      </c>
      <c r="O221" s="7" t="s">
        <v>583</v>
      </c>
      <c r="P221" s="9">
        <v>4.0</v>
      </c>
      <c r="Q221" s="28"/>
      <c r="R221" s="9">
        <v>12.4</v>
      </c>
      <c r="S221" s="7" t="s">
        <v>584</v>
      </c>
      <c r="T221" s="7" t="b">
        <v>0</v>
      </c>
      <c r="U221" s="7" t="s">
        <v>585</v>
      </c>
      <c r="V221" s="27" t="s">
        <v>586</v>
      </c>
      <c r="W221" s="7" t="s">
        <v>2846</v>
      </c>
      <c r="X221" s="28"/>
      <c r="Y221" s="28"/>
      <c r="Z221" s="28"/>
    </row>
    <row r="222">
      <c r="A222" s="7" t="s">
        <v>2848</v>
      </c>
      <c r="B222" s="7" t="s">
        <v>2849</v>
      </c>
      <c r="C222" s="7" t="s">
        <v>2850</v>
      </c>
      <c r="D222" s="7" t="s">
        <v>175</v>
      </c>
      <c r="E222" s="7" t="s">
        <v>2851</v>
      </c>
      <c r="F222" s="9">
        <v>12.657133</v>
      </c>
      <c r="G222" s="9">
        <v>102.15435</v>
      </c>
      <c r="H222" s="7" t="s">
        <v>618</v>
      </c>
      <c r="I222" s="9">
        <v>4.34</v>
      </c>
      <c r="J222" s="28"/>
      <c r="K222" s="28"/>
      <c r="L222" s="28"/>
      <c r="M222" s="9"/>
      <c r="N222" s="7" t="s">
        <v>1292</v>
      </c>
      <c r="O222" s="7" t="s">
        <v>583</v>
      </c>
      <c r="P222" s="9">
        <v>4.0</v>
      </c>
      <c r="Q222" s="28"/>
      <c r="R222" s="9">
        <v>82.4</v>
      </c>
      <c r="S222" s="7" t="s">
        <v>584</v>
      </c>
      <c r="T222" s="7" t="b">
        <v>0</v>
      </c>
      <c r="U222" s="7" t="s">
        <v>585</v>
      </c>
      <c r="V222" s="27" t="s">
        <v>586</v>
      </c>
      <c r="W222" s="7" t="s">
        <v>2853</v>
      </c>
      <c r="X222" s="28"/>
      <c r="Y222" s="28"/>
      <c r="Z222" s="28"/>
    </row>
    <row r="223">
      <c r="A223" s="7" t="s">
        <v>2854</v>
      </c>
      <c r="B223" s="7" t="s">
        <v>2855</v>
      </c>
      <c r="C223" s="7" t="s">
        <v>2856</v>
      </c>
      <c r="D223" s="7" t="s">
        <v>175</v>
      </c>
      <c r="E223" s="7" t="s">
        <v>2687</v>
      </c>
      <c r="F223" s="9">
        <v>12.613584</v>
      </c>
      <c r="G223" s="9">
        <v>102.11407</v>
      </c>
      <c r="H223" s="7" t="s">
        <v>576</v>
      </c>
      <c r="I223" s="9">
        <v>1.22</v>
      </c>
      <c r="J223" s="28"/>
      <c r="K223" s="28"/>
      <c r="L223" s="28"/>
      <c r="M223" s="9"/>
      <c r="N223" s="7" t="s">
        <v>1292</v>
      </c>
      <c r="O223" s="7" t="s">
        <v>583</v>
      </c>
      <c r="P223" s="9">
        <v>4.0</v>
      </c>
      <c r="Q223" s="28"/>
      <c r="R223" s="9">
        <v>12.4</v>
      </c>
      <c r="S223" s="7" t="s">
        <v>584</v>
      </c>
      <c r="T223" s="7" t="b">
        <v>0</v>
      </c>
      <c r="U223" s="7" t="s">
        <v>585</v>
      </c>
      <c r="V223" s="27" t="s">
        <v>586</v>
      </c>
      <c r="W223" s="7" t="s">
        <v>2861</v>
      </c>
      <c r="X223" s="28"/>
      <c r="Y223" s="28"/>
      <c r="Z223" s="28"/>
    </row>
    <row r="224">
      <c r="A224" s="7" t="s">
        <v>2862</v>
      </c>
      <c r="B224" s="7" t="s">
        <v>2863</v>
      </c>
      <c r="C224" s="7" t="s">
        <v>2864</v>
      </c>
      <c r="D224" s="7" t="s">
        <v>101</v>
      </c>
      <c r="E224" s="7" t="s">
        <v>1016</v>
      </c>
      <c r="F224" s="9">
        <v>15.32743</v>
      </c>
      <c r="G224" s="9">
        <v>101.212402</v>
      </c>
      <c r="H224" s="7" t="s">
        <v>618</v>
      </c>
      <c r="I224" s="9">
        <v>47.5</v>
      </c>
      <c r="J224" s="28"/>
      <c r="K224" s="28"/>
      <c r="L224" s="28"/>
      <c r="M224" s="9"/>
      <c r="N224" s="7" t="s">
        <v>1292</v>
      </c>
      <c r="O224" s="7" t="s">
        <v>583</v>
      </c>
      <c r="P224" s="9">
        <v>4.0</v>
      </c>
      <c r="Q224" s="28"/>
      <c r="R224" s="9">
        <v>82.4</v>
      </c>
      <c r="S224" s="7" t="s">
        <v>584</v>
      </c>
      <c r="T224" s="7" t="b">
        <v>0</v>
      </c>
      <c r="U224" s="7" t="s">
        <v>585</v>
      </c>
      <c r="V224" s="27" t="s">
        <v>586</v>
      </c>
      <c r="W224" s="7" t="s">
        <v>2865</v>
      </c>
      <c r="X224" s="28"/>
      <c r="Y224" s="28"/>
      <c r="Z224" s="28"/>
    </row>
    <row r="225">
      <c r="A225" s="7" t="s">
        <v>2866</v>
      </c>
      <c r="B225" s="7" t="s">
        <v>2867</v>
      </c>
      <c r="C225" s="7" t="s">
        <v>2868</v>
      </c>
      <c r="D225" s="7" t="s">
        <v>234</v>
      </c>
      <c r="E225" s="7" t="s">
        <v>1892</v>
      </c>
      <c r="F225" s="9">
        <v>15.22652</v>
      </c>
      <c r="G225" s="9">
        <v>104.86159</v>
      </c>
      <c r="H225" s="7" t="s">
        <v>618</v>
      </c>
      <c r="I225" s="9">
        <v>110.34</v>
      </c>
      <c r="J225" s="28"/>
      <c r="K225" s="28"/>
      <c r="L225" s="28"/>
      <c r="M225" s="9">
        <v>113.84</v>
      </c>
      <c r="N225" s="7" t="s">
        <v>1292</v>
      </c>
      <c r="O225" s="7" t="s">
        <v>583</v>
      </c>
      <c r="P225" s="9">
        <v>4.0</v>
      </c>
      <c r="Q225" s="28"/>
      <c r="R225" s="9">
        <v>82.4</v>
      </c>
      <c r="S225" s="7" t="s">
        <v>584</v>
      </c>
      <c r="T225" s="7" t="b">
        <v>0</v>
      </c>
      <c r="U225" s="7" t="s">
        <v>585</v>
      </c>
      <c r="V225" s="27" t="s">
        <v>586</v>
      </c>
      <c r="W225" s="7" t="s">
        <v>2869</v>
      </c>
      <c r="X225" s="28"/>
      <c r="Y225" s="28"/>
      <c r="Z225" s="28"/>
    </row>
    <row r="226">
      <c r="A226" s="7" t="s">
        <v>2870</v>
      </c>
      <c r="B226" s="7" t="s">
        <v>2871</v>
      </c>
      <c r="C226" s="7" t="s">
        <v>2872</v>
      </c>
      <c r="D226" s="7" t="s">
        <v>286</v>
      </c>
      <c r="E226" s="7" t="s">
        <v>2873</v>
      </c>
      <c r="F226" s="9">
        <v>6.534085</v>
      </c>
      <c r="G226" s="9">
        <v>100.963394</v>
      </c>
      <c r="H226" s="7" t="s">
        <v>2877</v>
      </c>
      <c r="I226" s="9">
        <v>17.56</v>
      </c>
      <c r="J226" s="28"/>
      <c r="K226" s="28"/>
      <c r="L226" s="28"/>
      <c r="M226" s="9"/>
      <c r="N226" s="7" t="s">
        <v>1292</v>
      </c>
      <c r="O226" s="7" t="s">
        <v>583</v>
      </c>
      <c r="P226" s="9">
        <v>4.0</v>
      </c>
      <c r="Q226" s="28"/>
      <c r="R226" s="9">
        <v>272.4</v>
      </c>
      <c r="S226" s="7" t="s">
        <v>584</v>
      </c>
      <c r="T226" s="7" t="b">
        <v>0</v>
      </c>
      <c r="U226" s="7" t="s">
        <v>585</v>
      </c>
      <c r="V226" s="27" t="s">
        <v>586</v>
      </c>
      <c r="W226" s="7" t="s">
        <v>2878</v>
      </c>
      <c r="X226" s="28"/>
      <c r="Y226" s="28"/>
      <c r="Z226" s="28"/>
    </row>
    <row r="227">
      <c r="A227" s="7" t="s">
        <v>2879</v>
      </c>
      <c r="B227" s="7" t="s">
        <v>2880</v>
      </c>
      <c r="C227" s="7" t="s">
        <v>2881</v>
      </c>
      <c r="D227" s="7" t="s">
        <v>224</v>
      </c>
      <c r="E227" s="7" t="s">
        <v>2882</v>
      </c>
      <c r="F227" s="9">
        <v>14.98457</v>
      </c>
      <c r="G227" s="9">
        <v>102.092941</v>
      </c>
      <c r="H227" s="7" t="s">
        <v>618</v>
      </c>
      <c r="I227" s="9">
        <v>176.68</v>
      </c>
      <c r="J227" s="28"/>
      <c r="K227" s="28"/>
      <c r="L227" s="28"/>
      <c r="M227" s="9">
        <v>177.6</v>
      </c>
      <c r="N227" s="7" t="s">
        <v>1292</v>
      </c>
      <c r="O227" s="7" t="s">
        <v>583</v>
      </c>
      <c r="P227" s="9">
        <v>4.0</v>
      </c>
      <c r="Q227" s="28"/>
      <c r="R227" s="9">
        <v>82.4</v>
      </c>
      <c r="S227" s="7" t="s">
        <v>584</v>
      </c>
      <c r="T227" s="7" t="b">
        <v>0</v>
      </c>
      <c r="U227" s="7" t="s">
        <v>585</v>
      </c>
      <c r="V227" s="27" t="s">
        <v>586</v>
      </c>
      <c r="W227" s="7" t="s">
        <v>2885</v>
      </c>
      <c r="X227" s="28"/>
      <c r="Y227" s="28"/>
      <c r="Z227" s="28"/>
    </row>
    <row r="228">
      <c r="A228" s="7" t="s">
        <v>2886</v>
      </c>
      <c r="B228" s="7" t="s">
        <v>2887</v>
      </c>
      <c r="C228" s="7" t="s">
        <v>2888</v>
      </c>
      <c r="D228" s="7" t="s">
        <v>86</v>
      </c>
      <c r="E228" s="7" t="s">
        <v>2799</v>
      </c>
      <c r="F228" s="9">
        <v>15.93539</v>
      </c>
      <c r="G228" s="9">
        <v>99.976089</v>
      </c>
      <c r="H228" s="7" t="s">
        <v>618</v>
      </c>
      <c r="I228" s="9">
        <v>35.97</v>
      </c>
      <c r="J228" s="28"/>
      <c r="K228" s="28"/>
      <c r="L228" s="28"/>
      <c r="M228" s="9">
        <v>38.08</v>
      </c>
      <c r="N228" s="7" t="s">
        <v>1292</v>
      </c>
      <c r="O228" s="7" t="s">
        <v>583</v>
      </c>
      <c r="P228" s="9">
        <v>4.0</v>
      </c>
      <c r="Q228" s="28"/>
      <c r="R228" s="9">
        <v>82.4</v>
      </c>
      <c r="S228" s="7" t="s">
        <v>584</v>
      </c>
      <c r="T228" s="7" t="b">
        <v>0</v>
      </c>
      <c r="U228" s="7" t="s">
        <v>585</v>
      </c>
      <c r="V228" s="27" t="s">
        <v>586</v>
      </c>
      <c r="W228" s="7" t="s">
        <v>2889</v>
      </c>
      <c r="X228" s="28"/>
      <c r="Y228" s="28"/>
      <c r="Z228" s="28"/>
    </row>
    <row r="229">
      <c r="A229" s="7" t="s">
        <v>2890</v>
      </c>
      <c r="B229" s="7" t="s">
        <v>2891</v>
      </c>
      <c r="C229" s="7" t="s">
        <v>2892</v>
      </c>
      <c r="D229" s="7" t="s">
        <v>98</v>
      </c>
      <c r="E229" s="7" t="s">
        <v>2893</v>
      </c>
      <c r="F229" s="9">
        <v>13.97396</v>
      </c>
      <c r="G229" s="9">
        <v>100.31901</v>
      </c>
      <c r="H229" s="7" t="s">
        <v>576</v>
      </c>
      <c r="I229" s="9">
        <v>2.19</v>
      </c>
      <c r="J229" s="28"/>
      <c r="K229" s="28"/>
      <c r="L229" s="28"/>
      <c r="M229" s="9"/>
      <c r="N229" s="7" t="s">
        <v>2894</v>
      </c>
      <c r="O229" s="7" t="s">
        <v>583</v>
      </c>
      <c r="P229" s="9">
        <v>3.0</v>
      </c>
      <c r="Q229" s="28"/>
      <c r="R229" s="9">
        <v>12.4</v>
      </c>
      <c r="S229" s="7" t="s">
        <v>584</v>
      </c>
      <c r="T229" s="7" t="b">
        <v>0</v>
      </c>
      <c r="U229" s="7" t="s">
        <v>585</v>
      </c>
      <c r="V229" s="27" t="s">
        <v>586</v>
      </c>
      <c r="W229" s="7" t="s">
        <v>2895</v>
      </c>
      <c r="X229" s="28"/>
      <c r="Y229" s="28"/>
      <c r="Z229" s="28"/>
    </row>
    <row r="230">
      <c r="A230" s="7" t="s">
        <v>2896</v>
      </c>
      <c r="B230" s="7" t="s">
        <v>2897</v>
      </c>
      <c r="C230" s="7" t="s">
        <v>2898</v>
      </c>
      <c r="D230" s="7" t="s">
        <v>260</v>
      </c>
      <c r="E230" s="7"/>
      <c r="F230" s="9">
        <v>9.113061</v>
      </c>
      <c r="G230" s="9">
        <v>99.223751</v>
      </c>
      <c r="H230" s="7" t="s">
        <v>923</v>
      </c>
      <c r="I230" s="9">
        <v>1.25</v>
      </c>
      <c r="J230" s="28"/>
      <c r="K230" s="28"/>
      <c r="L230" s="28"/>
      <c r="M230" s="9">
        <v>2.5</v>
      </c>
      <c r="N230" s="7" t="s">
        <v>2894</v>
      </c>
      <c r="O230" s="7" t="s">
        <v>583</v>
      </c>
      <c r="P230" s="9">
        <v>3.0</v>
      </c>
      <c r="Q230" s="28"/>
      <c r="R230" s="9">
        <v>22.4</v>
      </c>
      <c r="S230" s="7" t="s">
        <v>584</v>
      </c>
      <c r="T230" s="7" t="b">
        <v>0</v>
      </c>
      <c r="U230" s="7" t="s">
        <v>585</v>
      </c>
      <c r="V230" s="27" t="s">
        <v>586</v>
      </c>
      <c r="W230" s="7" t="s">
        <v>2901</v>
      </c>
      <c r="X230" s="28"/>
      <c r="Y230" s="28"/>
      <c r="Z230" s="28"/>
    </row>
    <row r="231">
      <c r="A231" s="7" t="s">
        <v>2902</v>
      </c>
      <c r="B231" s="7" t="s">
        <v>2904</v>
      </c>
      <c r="C231" s="7" t="s">
        <v>2905</v>
      </c>
      <c r="D231" s="7" t="s">
        <v>259</v>
      </c>
      <c r="E231" s="7" t="s">
        <v>2906</v>
      </c>
      <c r="F231" s="9">
        <v>8.232547</v>
      </c>
      <c r="G231" s="9">
        <v>99.70778</v>
      </c>
      <c r="H231" s="7" t="s">
        <v>923</v>
      </c>
      <c r="I231" s="9">
        <v>122.8</v>
      </c>
      <c r="J231" s="28"/>
      <c r="K231" s="28"/>
      <c r="L231" s="28"/>
      <c r="M231" s="9"/>
      <c r="N231" s="7" t="s">
        <v>2894</v>
      </c>
      <c r="O231" s="7" t="s">
        <v>583</v>
      </c>
      <c r="P231" s="9">
        <v>3.0</v>
      </c>
      <c r="Q231" s="28"/>
      <c r="R231" s="9">
        <v>22.4</v>
      </c>
      <c r="S231" s="7" t="s">
        <v>584</v>
      </c>
      <c r="T231" s="7" t="b">
        <v>0</v>
      </c>
      <c r="U231" s="7" t="s">
        <v>585</v>
      </c>
      <c r="V231" s="27" t="s">
        <v>586</v>
      </c>
      <c r="W231" s="7" t="s">
        <v>2907</v>
      </c>
      <c r="X231" s="28"/>
      <c r="Y231" s="28"/>
      <c r="Z231" s="28"/>
    </row>
    <row r="232">
      <c r="A232" s="7" t="s">
        <v>2908</v>
      </c>
      <c r="B232" s="7" t="s">
        <v>2909</v>
      </c>
      <c r="C232" s="7" t="s">
        <v>2910</v>
      </c>
      <c r="D232" s="7" t="s">
        <v>63</v>
      </c>
      <c r="E232" s="7"/>
      <c r="F232" s="9">
        <v>18.881905</v>
      </c>
      <c r="G232" s="9">
        <v>100.28281</v>
      </c>
      <c r="H232" s="7" t="s">
        <v>576</v>
      </c>
      <c r="I232" s="9">
        <v>258.23</v>
      </c>
      <c r="J232" s="28"/>
      <c r="K232" s="28"/>
      <c r="L232" s="28"/>
      <c r="M232" s="9"/>
      <c r="N232" s="7" t="s">
        <v>2894</v>
      </c>
      <c r="O232" s="7" t="s">
        <v>583</v>
      </c>
      <c r="P232" s="9">
        <v>3.0</v>
      </c>
      <c r="Q232" s="28"/>
      <c r="R232" s="9">
        <v>12.4</v>
      </c>
      <c r="S232" s="7" t="s">
        <v>584</v>
      </c>
      <c r="T232" s="7" t="b">
        <v>0</v>
      </c>
      <c r="U232" s="7" t="s">
        <v>585</v>
      </c>
      <c r="V232" s="27" t="s">
        <v>586</v>
      </c>
      <c r="W232" s="7" t="s">
        <v>2913</v>
      </c>
      <c r="X232" s="28"/>
      <c r="Y232" s="28"/>
      <c r="Z232" s="28"/>
    </row>
    <row r="233">
      <c r="A233" s="7" t="s">
        <v>2914</v>
      </c>
      <c r="B233" s="7" t="s">
        <v>2915</v>
      </c>
      <c r="C233" s="7" t="s">
        <v>2916</v>
      </c>
      <c r="D233" s="7" t="s">
        <v>202</v>
      </c>
      <c r="E233" s="7" t="s">
        <v>2636</v>
      </c>
      <c r="F233" s="9">
        <v>17.594904</v>
      </c>
      <c r="G233" s="9">
        <v>103.969406</v>
      </c>
      <c r="H233" s="7" t="s">
        <v>576</v>
      </c>
      <c r="I233" s="9">
        <v>149.15</v>
      </c>
      <c r="J233" s="28"/>
      <c r="K233" s="28"/>
      <c r="L233" s="28"/>
      <c r="M233" s="9"/>
      <c r="N233" s="7" t="s">
        <v>2894</v>
      </c>
      <c r="O233" s="7" t="s">
        <v>583</v>
      </c>
      <c r="P233" s="9">
        <v>3.0</v>
      </c>
      <c r="Q233" s="28"/>
      <c r="R233" s="9">
        <v>12.4</v>
      </c>
      <c r="S233" s="7" t="s">
        <v>584</v>
      </c>
      <c r="T233" s="7" t="b">
        <v>0</v>
      </c>
      <c r="U233" s="7" t="s">
        <v>585</v>
      </c>
      <c r="V233" s="27" t="s">
        <v>586</v>
      </c>
      <c r="W233" s="7" t="s">
        <v>2917</v>
      </c>
      <c r="X233" s="28"/>
      <c r="Y233" s="28"/>
      <c r="Z233" s="28"/>
    </row>
    <row r="234">
      <c r="A234" s="7" t="s">
        <v>2918</v>
      </c>
      <c r="B234" s="7" t="s">
        <v>2919</v>
      </c>
      <c r="C234" s="7" t="s">
        <v>2920</v>
      </c>
      <c r="D234" s="7" t="s">
        <v>61</v>
      </c>
      <c r="E234" s="7" t="s">
        <v>2587</v>
      </c>
      <c r="F234" s="9">
        <v>17.0851</v>
      </c>
      <c r="G234" s="9">
        <v>100.824669</v>
      </c>
      <c r="H234" s="7" t="s">
        <v>618</v>
      </c>
      <c r="I234" s="9">
        <v>196.95</v>
      </c>
      <c r="J234" s="28"/>
      <c r="K234" s="28"/>
      <c r="L234" s="28"/>
      <c r="M234" s="9"/>
      <c r="N234" s="7" t="s">
        <v>2894</v>
      </c>
      <c r="O234" s="7" t="s">
        <v>583</v>
      </c>
      <c r="P234" s="9">
        <v>3.0</v>
      </c>
      <c r="Q234" s="28"/>
      <c r="R234" s="9">
        <v>82.4</v>
      </c>
      <c r="S234" s="7" t="s">
        <v>584</v>
      </c>
      <c r="T234" s="7" t="b">
        <v>0</v>
      </c>
      <c r="U234" s="7" t="s">
        <v>585</v>
      </c>
      <c r="V234" s="27" t="s">
        <v>586</v>
      </c>
      <c r="W234" s="7" t="s">
        <v>2921</v>
      </c>
      <c r="X234" s="28"/>
      <c r="Y234" s="28"/>
      <c r="Z234" s="28"/>
    </row>
    <row r="235">
      <c r="A235" s="7" t="s">
        <v>2922</v>
      </c>
      <c r="B235" s="7" t="s">
        <v>2923</v>
      </c>
      <c r="C235" s="7" t="s">
        <v>2924</v>
      </c>
      <c r="D235" s="7" t="s">
        <v>292</v>
      </c>
      <c r="E235" s="7" t="s">
        <v>2925</v>
      </c>
      <c r="F235" s="9">
        <v>7.668987</v>
      </c>
      <c r="G235" s="9">
        <v>99.45936</v>
      </c>
      <c r="H235" s="7" t="s">
        <v>576</v>
      </c>
      <c r="I235" s="9">
        <v>12.32</v>
      </c>
      <c r="J235" s="28"/>
      <c r="K235" s="28"/>
      <c r="L235" s="28"/>
      <c r="M235" s="9"/>
      <c r="N235" s="7" t="s">
        <v>2894</v>
      </c>
      <c r="O235" s="7" t="s">
        <v>583</v>
      </c>
      <c r="P235" s="9">
        <v>3.0</v>
      </c>
      <c r="Q235" s="28"/>
      <c r="R235" s="9">
        <v>12.4</v>
      </c>
      <c r="S235" s="7" t="s">
        <v>584</v>
      </c>
      <c r="T235" s="7" t="b">
        <v>0</v>
      </c>
      <c r="U235" s="7" t="s">
        <v>585</v>
      </c>
      <c r="V235" s="27" t="s">
        <v>586</v>
      </c>
      <c r="W235" s="7" t="s">
        <v>2927</v>
      </c>
      <c r="X235" s="28"/>
      <c r="Y235" s="28"/>
      <c r="Z235" s="28"/>
    </row>
    <row r="236">
      <c r="A236" s="7" t="s">
        <v>2929</v>
      </c>
      <c r="B236" s="7" t="s">
        <v>2930</v>
      </c>
      <c r="C236" s="7" t="s">
        <v>2931</v>
      </c>
      <c r="D236" s="7" t="s">
        <v>121</v>
      </c>
      <c r="E236" s="7" t="s">
        <v>1661</v>
      </c>
      <c r="F236" s="9">
        <v>12.80623</v>
      </c>
      <c r="G236" s="9">
        <v>99.770569</v>
      </c>
      <c r="H236" s="7" t="s">
        <v>618</v>
      </c>
      <c r="I236" s="9">
        <v>29.4</v>
      </c>
      <c r="J236" s="28"/>
      <c r="K236" s="28"/>
      <c r="L236" s="28"/>
      <c r="M236" s="9"/>
      <c r="N236" s="7" t="s">
        <v>2894</v>
      </c>
      <c r="O236" s="7" t="s">
        <v>583</v>
      </c>
      <c r="P236" s="9">
        <v>3.0</v>
      </c>
      <c r="Q236" s="28"/>
      <c r="R236" s="9">
        <v>82.4</v>
      </c>
      <c r="S236" s="7" t="s">
        <v>584</v>
      </c>
      <c r="T236" s="7" t="b">
        <v>0</v>
      </c>
      <c r="U236" s="7" t="s">
        <v>585</v>
      </c>
      <c r="V236" s="27" t="s">
        <v>586</v>
      </c>
      <c r="W236" s="7" t="s">
        <v>2933</v>
      </c>
      <c r="X236" s="28"/>
      <c r="Y236" s="28"/>
      <c r="Z236" s="28"/>
    </row>
    <row r="237">
      <c r="A237" s="7" t="s">
        <v>2934</v>
      </c>
      <c r="B237" s="7" t="s">
        <v>2935</v>
      </c>
      <c r="C237" s="7" t="s">
        <v>2936</v>
      </c>
      <c r="D237" s="7" t="s">
        <v>291</v>
      </c>
      <c r="E237" s="7" t="s">
        <v>2937</v>
      </c>
      <c r="F237" s="9">
        <v>6.726527</v>
      </c>
      <c r="G237" s="9">
        <v>100.06259</v>
      </c>
      <c r="H237" s="7" t="s">
        <v>576</v>
      </c>
      <c r="I237" s="9">
        <v>14.11</v>
      </c>
      <c r="J237" s="28"/>
      <c r="K237" s="28"/>
      <c r="L237" s="28"/>
      <c r="M237" s="9"/>
      <c r="N237" s="7" t="s">
        <v>2894</v>
      </c>
      <c r="O237" s="7" t="s">
        <v>583</v>
      </c>
      <c r="P237" s="9">
        <v>3.0</v>
      </c>
      <c r="Q237" s="28"/>
      <c r="R237" s="9">
        <v>12.4</v>
      </c>
      <c r="S237" s="7" t="s">
        <v>584</v>
      </c>
      <c r="T237" s="7" t="b">
        <v>0</v>
      </c>
      <c r="U237" s="7" t="s">
        <v>585</v>
      </c>
      <c r="V237" s="27" t="s">
        <v>586</v>
      </c>
      <c r="W237" s="7" t="s">
        <v>2942</v>
      </c>
      <c r="X237" s="28"/>
      <c r="Y237" s="28"/>
      <c r="Z237" s="28"/>
    </row>
    <row r="238">
      <c r="A238" s="7" t="s">
        <v>2943</v>
      </c>
      <c r="B238" s="7" t="s">
        <v>2944</v>
      </c>
      <c r="C238" s="7" t="s">
        <v>2945</v>
      </c>
      <c r="D238" s="7" t="s">
        <v>298</v>
      </c>
      <c r="E238" s="7" t="s">
        <v>2946</v>
      </c>
      <c r="F238" s="9">
        <v>7.62273</v>
      </c>
      <c r="G238" s="9">
        <v>100.146835</v>
      </c>
      <c r="H238" s="7" t="s">
        <v>576</v>
      </c>
      <c r="I238" s="9">
        <v>0.24</v>
      </c>
      <c r="J238" s="28"/>
      <c r="K238" s="28"/>
      <c r="L238" s="28"/>
      <c r="M238" s="9"/>
      <c r="N238" s="7" t="s">
        <v>2894</v>
      </c>
      <c r="O238" s="7" t="s">
        <v>583</v>
      </c>
      <c r="P238" s="9">
        <v>3.0</v>
      </c>
      <c r="Q238" s="28"/>
      <c r="R238" s="9">
        <v>12.4</v>
      </c>
      <c r="S238" s="7" t="s">
        <v>584</v>
      </c>
      <c r="T238" s="7" t="b">
        <v>0</v>
      </c>
      <c r="U238" s="7" t="s">
        <v>585</v>
      </c>
      <c r="V238" s="27" t="s">
        <v>586</v>
      </c>
      <c r="W238" s="7" t="s">
        <v>2947</v>
      </c>
      <c r="X238" s="28"/>
      <c r="Y238" s="28"/>
      <c r="Z238" s="28"/>
    </row>
    <row r="239">
      <c r="A239" s="7" t="s">
        <v>2948</v>
      </c>
      <c r="B239" s="7" t="s">
        <v>2949</v>
      </c>
      <c r="C239" s="7" t="s">
        <v>2950</v>
      </c>
      <c r="D239" s="7" t="s">
        <v>260</v>
      </c>
      <c r="E239" s="7" t="s">
        <v>2951</v>
      </c>
      <c r="F239" s="9">
        <v>9.085781</v>
      </c>
      <c r="G239" s="9">
        <v>99.170006</v>
      </c>
      <c r="H239" s="7" t="s">
        <v>576</v>
      </c>
      <c r="I239" s="9">
        <v>0.85</v>
      </c>
      <c r="J239" s="28"/>
      <c r="K239" s="28"/>
      <c r="L239" s="28"/>
      <c r="M239" s="9"/>
      <c r="N239" s="7" t="s">
        <v>2894</v>
      </c>
      <c r="O239" s="7" t="s">
        <v>583</v>
      </c>
      <c r="P239" s="9">
        <v>3.0</v>
      </c>
      <c r="Q239" s="28"/>
      <c r="R239" s="9">
        <v>12.4</v>
      </c>
      <c r="S239" s="7" t="s">
        <v>584</v>
      </c>
      <c r="T239" s="7" t="b">
        <v>0</v>
      </c>
      <c r="U239" s="7" t="s">
        <v>585</v>
      </c>
      <c r="V239" s="27" t="s">
        <v>586</v>
      </c>
      <c r="W239" s="7" t="s">
        <v>2952</v>
      </c>
      <c r="X239" s="28"/>
      <c r="Y239" s="28"/>
      <c r="Z239" s="28"/>
    </row>
    <row r="240">
      <c r="A240" s="7" t="s">
        <v>2953</v>
      </c>
      <c r="B240" s="7" t="s">
        <v>2954</v>
      </c>
      <c r="C240" s="7" t="s">
        <v>2955</v>
      </c>
      <c r="D240" s="7" t="s">
        <v>121</v>
      </c>
      <c r="E240" s="7" t="s">
        <v>1661</v>
      </c>
      <c r="F240" s="9">
        <v>12.81337</v>
      </c>
      <c r="G240" s="9">
        <v>99.794022</v>
      </c>
      <c r="H240" s="7" t="s">
        <v>618</v>
      </c>
      <c r="I240" s="9">
        <v>25.95</v>
      </c>
      <c r="J240" s="28"/>
      <c r="K240" s="28"/>
      <c r="L240" s="28"/>
      <c r="M240" s="9"/>
      <c r="N240" s="7" t="s">
        <v>2894</v>
      </c>
      <c r="O240" s="7" t="s">
        <v>583</v>
      </c>
      <c r="P240" s="9">
        <v>3.0</v>
      </c>
      <c r="Q240" s="28"/>
      <c r="R240" s="9">
        <v>82.4</v>
      </c>
      <c r="S240" s="7" t="s">
        <v>584</v>
      </c>
      <c r="T240" s="7" t="b">
        <v>0</v>
      </c>
      <c r="U240" s="7" t="s">
        <v>585</v>
      </c>
      <c r="V240" s="27" t="s">
        <v>586</v>
      </c>
      <c r="W240" s="7" t="s">
        <v>2956</v>
      </c>
      <c r="X240" s="28"/>
      <c r="Y240" s="28"/>
      <c r="Z240" s="28"/>
    </row>
    <row r="241">
      <c r="A241" s="7" t="s">
        <v>2957</v>
      </c>
      <c r="B241" s="7" t="s">
        <v>2958</v>
      </c>
      <c r="C241" s="7" t="s">
        <v>2959</v>
      </c>
      <c r="D241" s="7" t="s">
        <v>194</v>
      </c>
      <c r="E241" s="7" t="s">
        <v>2960</v>
      </c>
      <c r="F241" s="9">
        <v>15.57186</v>
      </c>
      <c r="G241" s="9">
        <v>103.819847</v>
      </c>
      <c r="H241" s="7" t="s">
        <v>618</v>
      </c>
      <c r="I241" s="9">
        <v>120.79</v>
      </c>
      <c r="J241" s="28"/>
      <c r="K241" s="28"/>
      <c r="L241" s="28"/>
      <c r="M241" s="9"/>
      <c r="N241" s="7" t="s">
        <v>2894</v>
      </c>
      <c r="O241" s="7" t="s">
        <v>583</v>
      </c>
      <c r="P241" s="9">
        <v>3.0</v>
      </c>
      <c r="Q241" s="28"/>
      <c r="R241" s="9">
        <v>82.4</v>
      </c>
      <c r="S241" s="7" t="s">
        <v>584</v>
      </c>
      <c r="T241" s="7" t="b">
        <v>0</v>
      </c>
      <c r="U241" s="7" t="s">
        <v>585</v>
      </c>
      <c r="V241" s="27" t="s">
        <v>586</v>
      </c>
      <c r="W241" s="7" t="s">
        <v>2961</v>
      </c>
      <c r="X241" s="28"/>
      <c r="Y241" s="28"/>
      <c r="Z241" s="28"/>
    </row>
    <row r="242">
      <c r="A242" s="7" t="s">
        <v>2962</v>
      </c>
      <c r="B242" s="7" t="s">
        <v>2963</v>
      </c>
      <c r="C242" s="7" t="s">
        <v>2964</v>
      </c>
      <c r="D242" s="7" t="s">
        <v>130</v>
      </c>
      <c r="E242" s="7"/>
      <c r="F242" s="9">
        <v>13.3319</v>
      </c>
      <c r="G242" s="9">
        <v>99.96896</v>
      </c>
      <c r="H242" s="7" t="s">
        <v>576</v>
      </c>
      <c r="I242" s="9">
        <v>0.77</v>
      </c>
      <c r="J242" s="28"/>
      <c r="K242" s="28"/>
      <c r="L242" s="28"/>
      <c r="M242" s="9"/>
      <c r="N242" s="7" t="s">
        <v>2894</v>
      </c>
      <c r="O242" s="7" t="s">
        <v>583</v>
      </c>
      <c r="P242" s="9">
        <v>3.0</v>
      </c>
      <c r="Q242" s="28"/>
      <c r="R242" s="9">
        <v>12.4</v>
      </c>
      <c r="S242" s="7" t="s">
        <v>584</v>
      </c>
      <c r="T242" s="7" t="b">
        <v>0</v>
      </c>
      <c r="U242" s="7" t="s">
        <v>585</v>
      </c>
      <c r="V242" s="27" t="s">
        <v>586</v>
      </c>
      <c r="W242" s="7" t="s">
        <v>2968</v>
      </c>
      <c r="X242" s="28"/>
      <c r="Y242" s="28"/>
      <c r="Z242" s="28"/>
    </row>
    <row r="243">
      <c r="A243" s="7" t="s">
        <v>2969</v>
      </c>
      <c r="B243" s="7" t="s">
        <v>2970</v>
      </c>
      <c r="C243" s="7" t="s">
        <v>2971</v>
      </c>
      <c r="D243" s="7" t="s">
        <v>74</v>
      </c>
      <c r="E243" s="7" t="s">
        <v>2971</v>
      </c>
      <c r="F243" s="9">
        <v>16.63925</v>
      </c>
      <c r="G243" s="9">
        <v>99.242813</v>
      </c>
      <c r="H243" s="7" t="s">
        <v>618</v>
      </c>
      <c r="I243" s="9">
        <v>107.02</v>
      </c>
      <c r="J243" s="28"/>
      <c r="K243" s="28"/>
      <c r="L243" s="28"/>
      <c r="M243" s="9"/>
      <c r="N243" s="7" t="s">
        <v>2894</v>
      </c>
      <c r="O243" s="7" t="s">
        <v>583</v>
      </c>
      <c r="P243" s="9">
        <v>3.0</v>
      </c>
      <c r="Q243" s="28"/>
      <c r="R243" s="9">
        <v>82.4</v>
      </c>
      <c r="S243" s="7" t="s">
        <v>584</v>
      </c>
      <c r="T243" s="7" t="b">
        <v>0</v>
      </c>
      <c r="U243" s="7" t="s">
        <v>585</v>
      </c>
      <c r="V243" s="27" t="s">
        <v>586</v>
      </c>
      <c r="W243" s="7" t="s">
        <v>2974</v>
      </c>
      <c r="X243" s="28"/>
      <c r="Y243" s="28"/>
      <c r="Z243" s="28"/>
    </row>
    <row r="244">
      <c r="A244" s="7" t="s">
        <v>2975</v>
      </c>
      <c r="B244" s="7" t="s">
        <v>2976</v>
      </c>
      <c r="C244" s="7" t="s">
        <v>2977</v>
      </c>
      <c r="D244" s="7" t="s">
        <v>61</v>
      </c>
      <c r="E244" s="7" t="s">
        <v>2587</v>
      </c>
      <c r="F244" s="9">
        <v>17.10701</v>
      </c>
      <c r="G244" s="9">
        <v>100.84587</v>
      </c>
      <c r="H244" s="7" t="s">
        <v>576</v>
      </c>
      <c r="I244" s="9">
        <v>200.48</v>
      </c>
      <c r="J244" s="28"/>
      <c r="K244" s="28"/>
      <c r="L244" s="28"/>
      <c r="M244" s="9"/>
      <c r="N244" s="7" t="s">
        <v>2894</v>
      </c>
      <c r="O244" s="7" t="s">
        <v>583</v>
      </c>
      <c r="P244" s="9">
        <v>3.0</v>
      </c>
      <c r="Q244" s="28"/>
      <c r="R244" s="9">
        <v>12.4</v>
      </c>
      <c r="S244" s="7" t="s">
        <v>584</v>
      </c>
      <c r="T244" s="7" t="b">
        <v>0</v>
      </c>
      <c r="U244" s="7" t="s">
        <v>585</v>
      </c>
      <c r="V244" s="27" t="s">
        <v>586</v>
      </c>
      <c r="W244" s="7" t="s">
        <v>2980</v>
      </c>
      <c r="X244" s="28"/>
      <c r="Y244" s="28"/>
      <c r="Z244" s="28"/>
    </row>
    <row r="245">
      <c r="A245" s="7" t="s">
        <v>2981</v>
      </c>
      <c r="B245" s="7" t="s">
        <v>2982</v>
      </c>
      <c r="C245" s="7" t="s">
        <v>2983</v>
      </c>
      <c r="D245" s="7" t="s">
        <v>121</v>
      </c>
      <c r="E245" s="7" t="s">
        <v>1661</v>
      </c>
      <c r="F245" s="9">
        <v>12.86361</v>
      </c>
      <c r="G245" s="9">
        <v>99.678497</v>
      </c>
      <c r="H245" s="7" t="s">
        <v>618</v>
      </c>
      <c r="I245" s="9">
        <v>43.82</v>
      </c>
      <c r="J245" s="28"/>
      <c r="K245" s="28"/>
      <c r="L245" s="28"/>
      <c r="M245" s="9"/>
      <c r="N245" s="7" t="s">
        <v>2894</v>
      </c>
      <c r="O245" s="7" t="s">
        <v>583</v>
      </c>
      <c r="P245" s="9">
        <v>3.0</v>
      </c>
      <c r="Q245" s="28"/>
      <c r="R245" s="9">
        <v>82.4</v>
      </c>
      <c r="S245" s="7" t="s">
        <v>584</v>
      </c>
      <c r="T245" s="7" t="b">
        <v>0</v>
      </c>
      <c r="U245" s="7" t="s">
        <v>585</v>
      </c>
      <c r="V245" s="27" t="s">
        <v>586</v>
      </c>
      <c r="W245" s="7" t="s">
        <v>2984</v>
      </c>
      <c r="X245" s="28"/>
      <c r="Y245" s="28"/>
      <c r="Z245" s="28"/>
    </row>
    <row r="246">
      <c r="A246" s="7" t="s">
        <v>2985</v>
      </c>
      <c r="B246" s="7" t="s">
        <v>2986</v>
      </c>
      <c r="C246" s="7" t="s">
        <v>2987</v>
      </c>
      <c r="D246" s="7" t="s">
        <v>292</v>
      </c>
      <c r="E246" s="7" t="s">
        <v>2988</v>
      </c>
      <c r="F246" s="9">
        <v>7.90741</v>
      </c>
      <c r="G246" s="9">
        <v>99.542389</v>
      </c>
      <c r="H246" s="7" t="s">
        <v>1951</v>
      </c>
      <c r="I246" s="9">
        <v>14.59</v>
      </c>
      <c r="J246" s="28"/>
      <c r="K246" s="28"/>
      <c r="L246" s="28"/>
      <c r="M246" s="9"/>
      <c r="N246" s="7" t="s">
        <v>2894</v>
      </c>
      <c r="O246" s="7" t="s">
        <v>583</v>
      </c>
      <c r="P246" s="9">
        <v>3.0</v>
      </c>
      <c r="Q246" s="28"/>
      <c r="R246" s="9">
        <v>202.4</v>
      </c>
      <c r="S246" s="7" t="s">
        <v>584</v>
      </c>
      <c r="T246" s="7" t="b">
        <v>0</v>
      </c>
      <c r="U246" s="7" t="s">
        <v>585</v>
      </c>
      <c r="V246" s="27" t="s">
        <v>586</v>
      </c>
      <c r="W246" s="7" t="s">
        <v>2989</v>
      </c>
      <c r="X246" s="28"/>
      <c r="Y246" s="28"/>
      <c r="Z246" s="28"/>
    </row>
    <row r="247">
      <c r="A247" s="7" t="s">
        <v>2990</v>
      </c>
      <c r="B247" s="7" t="s">
        <v>2991</v>
      </c>
      <c r="C247" s="7" t="s">
        <v>2992</v>
      </c>
      <c r="D247" s="7" t="s">
        <v>178</v>
      </c>
      <c r="E247" s="7" t="s">
        <v>2993</v>
      </c>
      <c r="F247" s="9">
        <v>12.73796</v>
      </c>
      <c r="G247" s="9">
        <v>101.228401</v>
      </c>
      <c r="H247" s="7" t="s">
        <v>618</v>
      </c>
      <c r="I247" s="9">
        <v>9.43</v>
      </c>
      <c r="J247" s="28"/>
      <c r="K247" s="28"/>
      <c r="L247" s="28"/>
      <c r="M247" s="9"/>
      <c r="N247" s="7" t="s">
        <v>2894</v>
      </c>
      <c r="O247" s="7" t="s">
        <v>583</v>
      </c>
      <c r="P247" s="9">
        <v>3.0</v>
      </c>
      <c r="Q247" s="28"/>
      <c r="R247" s="9">
        <v>82.4</v>
      </c>
      <c r="S247" s="7" t="s">
        <v>584</v>
      </c>
      <c r="T247" s="7" t="b">
        <v>0</v>
      </c>
      <c r="U247" s="7" t="s">
        <v>585</v>
      </c>
      <c r="V247" s="27" t="s">
        <v>586</v>
      </c>
      <c r="W247" s="7" t="s">
        <v>2999</v>
      </c>
      <c r="X247" s="28"/>
      <c r="Y247" s="28"/>
      <c r="Z247" s="28"/>
    </row>
    <row r="248">
      <c r="A248" s="7" t="s">
        <v>3000</v>
      </c>
      <c r="B248" s="7" t="s">
        <v>3001</v>
      </c>
      <c r="C248" s="7" t="s">
        <v>3003</v>
      </c>
      <c r="D248" s="7" t="s">
        <v>220</v>
      </c>
      <c r="E248" s="7"/>
      <c r="F248" s="9">
        <v>16.15583</v>
      </c>
      <c r="G248" s="9">
        <v>101.65372</v>
      </c>
      <c r="H248" s="7" t="s">
        <v>576</v>
      </c>
      <c r="I248" s="9">
        <v>228.49</v>
      </c>
      <c r="J248" s="28"/>
      <c r="K248" s="28"/>
      <c r="L248" s="28"/>
      <c r="M248" s="9"/>
      <c r="N248" s="7" t="s">
        <v>2894</v>
      </c>
      <c r="O248" s="7" t="s">
        <v>583</v>
      </c>
      <c r="P248" s="9">
        <v>3.0</v>
      </c>
      <c r="Q248" s="28"/>
      <c r="R248" s="9">
        <v>12.4</v>
      </c>
      <c r="S248" s="7" t="s">
        <v>584</v>
      </c>
      <c r="T248" s="7" t="b">
        <v>0</v>
      </c>
      <c r="U248" s="7" t="s">
        <v>585</v>
      </c>
      <c r="V248" s="27" t="s">
        <v>586</v>
      </c>
      <c r="W248" s="7" t="s">
        <v>3005</v>
      </c>
      <c r="X248" s="28"/>
      <c r="Y248" s="28"/>
      <c r="Z248" s="28"/>
    </row>
    <row r="249">
      <c r="A249" s="7" t="s">
        <v>3006</v>
      </c>
      <c r="B249" s="7" t="s">
        <v>3007</v>
      </c>
      <c r="C249" s="7" t="s">
        <v>3008</v>
      </c>
      <c r="D249" s="7" t="s">
        <v>146</v>
      </c>
      <c r="E249" s="7" t="s">
        <v>3009</v>
      </c>
      <c r="F249" s="9">
        <v>13.80777</v>
      </c>
      <c r="G249" s="9">
        <v>100.27417</v>
      </c>
      <c r="H249" s="7" t="s">
        <v>576</v>
      </c>
      <c r="I249" s="9">
        <v>0.86</v>
      </c>
      <c r="J249" s="28"/>
      <c r="K249" s="28"/>
      <c r="L249" s="28"/>
      <c r="M249" s="9"/>
      <c r="N249" s="7" t="s">
        <v>2894</v>
      </c>
      <c r="O249" s="7" t="s">
        <v>583</v>
      </c>
      <c r="P249" s="9">
        <v>3.0</v>
      </c>
      <c r="Q249" s="28"/>
      <c r="R249" s="9">
        <v>12.4</v>
      </c>
      <c r="S249" s="7" t="s">
        <v>584</v>
      </c>
      <c r="T249" s="7" t="b">
        <v>0</v>
      </c>
      <c r="U249" s="7" t="s">
        <v>585</v>
      </c>
      <c r="V249" s="27" t="s">
        <v>586</v>
      </c>
      <c r="W249" s="7" t="s">
        <v>3010</v>
      </c>
      <c r="X249" s="28"/>
      <c r="Y249" s="28"/>
      <c r="Z249" s="28"/>
    </row>
    <row r="250">
      <c r="A250" s="7" t="s">
        <v>3011</v>
      </c>
      <c r="B250" s="7" t="s">
        <v>3012</v>
      </c>
      <c r="C250" s="7" t="s">
        <v>3013</v>
      </c>
      <c r="D250" s="7" t="s">
        <v>157</v>
      </c>
      <c r="E250" s="7" t="s">
        <v>2809</v>
      </c>
      <c r="F250" s="9">
        <v>13.8096</v>
      </c>
      <c r="G250" s="9">
        <v>102.054382</v>
      </c>
      <c r="H250" s="7" t="s">
        <v>618</v>
      </c>
      <c r="I250" s="9">
        <v>31.45</v>
      </c>
      <c r="J250" s="28"/>
      <c r="K250" s="28"/>
      <c r="L250" s="28"/>
      <c r="M250" s="9"/>
      <c r="N250" s="7" t="s">
        <v>2894</v>
      </c>
      <c r="O250" s="7" t="s">
        <v>583</v>
      </c>
      <c r="P250" s="9">
        <v>3.0</v>
      </c>
      <c r="Q250" s="28"/>
      <c r="R250" s="9">
        <v>82.4</v>
      </c>
      <c r="S250" s="7" t="s">
        <v>584</v>
      </c>
      <c r="T250" s="7" t="b">
        <v>0</v>
      </c>
      <c r="U250" s="7" t="s">
        <v>585</v>
      </c>
      <c r="V250" s="27" t="s">
        <v>586</v>
      </c>
      <c r="W250" s="7" t="s">
        <v>3014</v>
      </c>
      <c r="X250" s="28"/>
      <c r="Y250" s="28"/>
      <c r="Z250" s="28"/>
    </row>
    <row r="251">
      <c r="A251" s="7" t="s">
        <v>3015</v>
      </c>
      <c r="B251" s="7" t="s">
        <v>3016</v>
      </c>
      <c r="C251" s="7" t="s">
        <v>3017</v>
      </c>
      <c r="D251" s="7" t="s">
        <v>82</v>
      </c>
      <c r="E251" s="7" t="s">
        <v>1047</v>
      </c>
      <c r="F251" s="9">
        <v>17.006359</v>
      </c>
      <c r="G251" s="9">
        <v>99.822113</v>
      </c>
      <c r="H251" s="7" t="s">
        <v>618</v>
      </c>
      <c r="I251" s="9">
        <v>48.38</v>
      </c>
      <c r="J251" s="28"/>
      <c r="K251" s="28"/>
      <c r="L251" s="28"/>
      <c r="M251" s="9">
        <v>50.87</v>
      </c>
      <c r="N251" s="7" t="s">
        <v>2894</v>
      </c>
      <c r="O251" s="7" t="s">
        <v>583</v>
      </c>
      <c r="P251" s="9">
        <v>3.0</v>
      </c>
      <c r="Q251" s="28"/>
      <c r="R251" s="9">
        <v>82.4</v>
      </c>
      <c r="S251" s="7" t="s">
        <v>584</v>
      </c>
      <c r="T251" s="7" t="b">
        <v>0</v>
      </c>
      <c r="U251" s="7" t="s">
        <v>585</v>
      </c>
      <c r="V251" s="27" t="s">
        <v>586</v>
      </c>
      <c r="W251" s="7" t="s">
        <v>3018</v>
      </c>
      <c r="X251" s="28"/>
      <c r="Y251" s="28"/>
      <c r="Z251" s="28"/>
    </row>
    <row r="252">
      <c r="A252" s="7" t="s">
        <v>3019</v>
      </c>
      <c r="B252" s="7" t="s">
        <v>3020</v>
      </c>
      <c r="C252" s="7" t="s">
        <v>3021</v>
      </c>
      <c r="D252" s="7" t="s">
        <v>286</v>
      </c>
      <c r="E252" s="7" t="s">
        <v>2873</v>
      </c>
      <c r="F252" s="9">
        <v>6.825135</v>
      </c>
      <c r="G252" s="9">
        <v>100.972626</v>
      </c>
      <c r="H252" s="7" t="s">
        <v>576</v>
      </c>
      <c r="I252" s="9">
        <v>0.41</v>
      </c>
      <c r="J252" s="28"/>
      <c r="K252" s="28"/>
      <c r="L252" s="28"/>
      <c r="M252" s="9"/>
      <c r="N252" s="7" t="s">
        <v>2894</v>
      </c>
      <c r="O252" s="7" t="s">
        <v>583</v>
      </c>
      <c r="P252" s="9">
        <v>3.0</v>
      </c>
      <c r="Q252" s="28"/>
      <c r="R252" s="9">
        <v>12.4</v>
      </c>
      <c r="S252" s="7" t="s">
        <v>584</v>
      </c>
      <c r="T252" s="7" t="b">
        <v>0</v>
      </c>
      <c r="U252" s="7" t="s">
        <v>585</v>
      </c>
      <c r="V252" s="27" t="s">
        <v>586</v>
      </c>
      <c r="W252" s="7" t="s">
        <v>3023</v>
      </c>
      <c r="X252" s="28"/>
      <c r="Y252" s="28"/>
      <c r="Z252" s="28"/>
    </row>
    <row r="253">
      <c r="A253" s="7" t="s">
        <v>3024</v>
      </c>
      <c r="B253" s="7" t="s">
        <v>3025</v>
      </c>
      <c r="C253" s="7" t="s">
        <v>3026</v>
      </c>
      <c r="D253" s="7" t="s">
        <v>77</v>
      </c>
      <c r="E253" s="7" t="s">
        <v>1016</v>
      </c>
      <c r="F253" s="9">
        <v>16.44786</v>
      </c>
      <c r="G253" s="9">
        <v>101.17017</v>
      </c>
      <c r="H253" s="7" t="s">
        <v>576</v>
      </c>
      <c r="I253" s="9">
        <v>114.24</v>
      </c>
      <c r="J253" s="28"/>
      <c r="K253" s="28"/>
      <c r="L253" s="28"/>
      <c r="M253" s="9"/>
      <c r="N253" s="7" t="s">
        <v>2894</v>
      </c>
      <c r="O253" s="7" t="s">
        <v>583</v>
      </c>
      <c r="P253" s="9">
        <v>3.0</v>
      </c>
      <c r="Q253" s="28"/>
      <c r="R253" s="9">
        <v>12.4</v>
      </c>
      <c r="S253" s="7" t="s">
        <v>584</v>
      </c>
      <c r="T253" s="7" t="b">
        <v>0</v>
      </c>
      <c r="U253" s="7" t="s">
        <v>585</v>
      </c>
      <c r="V253" s="27" t="s">
        <v>586</v>
      </c>
      <c r="W253" s="7" t="s">
        <v>3027</v>
      </c>
      <c r="X253" s="28"/>
      <c r="Y253" s="28"/>
      <c r="Z253" s="28"/>
    </row>
    <row r="254">
      <c r="A254" s="7" t="s">
        <v>3028</v>
      </c>
      <c r="B254" s="7" t="s">
        <v>3029</v>
      </c>
      <c r="C254" s="7" t="s">
        <v>3030</v>
      </c>
      <c r="D254" s="7" t="s">
        <v>193</v>
      </c>
      <c r="E254" s="7"/>
      <c r="F254" s="9">
        <v>15.95648</v>
      </c>
      <c r="G254" s="9">
        <v>103.1543</v>
      </c>
      <c r="H254" s="7" t="s">
        <v>576</v>
      </c>
      <c r="I254" s="9">
        <v>159.81</v>
      </c>
      <c r="J254" s="28"/>
      <c r="K254" s="28"/>
      <c r="L254" s="28"/>
      <c r="M254" s="9"/>
      <c r="N254" s="7" t="s">
        <v>2894</v>
      </c>
      <c r="O254" s="7" t="s">
        <v>583</v>
      </c>
      <c r="P254" s="9">
        <v>3.0</v>
      </c>
      <c r="Q254" s="28"/>
      <c r="R254" s="9">
        <v>12.4</v>
      </c>
      <c r="S254" s="7" t="s">
        <v>584</v>
      </c>
      <c r="T254" s="7" t="b">
        <v>0</v>
      </c>
      <c r="U254" s="7" t="s">
        <v>585</v>
      </c>
      <c r="V254" s="27" t="s">
        <v>586</v>
      </c>
      <c r="W254" s="7" t="s">
        <v>3031</v>
      </c>
      <c r="X254" s="28"/>
      <c r="Y254" s="28"/>
      <c r="Z254" s="28"/>
    </row>
    <row r="255">
      <c r="A255" s="7" t="s">
        <v>3032</v>
      </c>
      <c r="B255" s="7" t="s">
        <v>3033</v>
      </c>
      <c r="C255" s="7" t="s">
        <v>3034</v>
      </c>
      <c r="D255" s="7" t="s">
        <v>286</v>
      </c>
      <c r="E255" s="7" t="s">
        <v>3035</v>
      </c>
      <c r="F255" s="9">
        <v>7.182746</v>
      </c>
      <c r="G255" s="9">
        <v>100.59448</v>
      </c>
      <c r="H255" s="7" t="s">
        <v>576</v>
      </c>
      <c r="I255" s="9">
        <v>0.32</v>
      </c>
      <c r="J255" s="28"/>
      <c r="K255" s="28"/>
      <c r="L255" s="28"/>
      <c r="M255" s="9"/>
      <c r="N255" s="7" t="s">
        <v>2894</v>
      </c>
      <c r="O255" s="7" t="s">
        <v>583</v>
      </c>
      <c r="P255" s="9">
        <v>3.0</v>
      </c>
      <c r="Q255" s="28"/>
      <c r="R255" s="9">
        <v>12.4</v>
      </c>
      <c r="S255" s="7" t="s">
        <v>584</v>
      </c>
      <c r="T255" s="7" t="b">
        <v>0</v>
      </c>
      <c r="U255" s="7" t="s">
        <v>585</v>
      </c>
      <c r="V255" s="27" t="s">
        <v>586</v>
      </c>
      <c r="W255" s="7" t="s">
        <v>3041</v>
      </c>
      <c r="X255" s="28"/>
      <c r="Y255" s="28"/>
      <c r="Z255" s="28"/>
    </row>
    <row r="256">
      <c r="A256" s="7" t="s">
        <v>3043</v>
      </c>
      <c r="B256" s="7" t="s">
        <v>3044</v>
      </c>
      <c r="C256" s="7" t="s">
        <v>3045</v>
      </c>
      <c r="D256" s="7" t="s">
        <v>193</v>
      </c>
      <c r="E256" s="7"/>
      <c r="F256" s="9">
        <v>15.98427</v>
      </c>
      <c r="G256" s="9">
        <v>103.14799</v>
      </c>
      <c r="H256" s="7" t="s">
        <v>576</v>
      </c>
      <c r="I256" s="9">
        <v>164.86</v>
      </c>
      <c r="J256" s="28"/>
      <c r="K256" s="28"/>
      <c r="L256" s="28"/>
      <c r="M256" s="9"/>
      <c r="N256" s="7" t="s">
        <v>2894</v>
      </c>
      <c r="O256" s="7" t="s">
        <v>583</v>
      </c>
      <c r="P256" s="9">
        <v>3.0</v>
      </c>
      <c r="Q256" s="28"/>
      <c r="R256" s="9">
        <v>12.4</v>
      </c>
      <c r="S256" s="7" t="s">
        <v>584</v>
      </c>
      <c r="T256" s="7" t="b">
        <v>0</v>
      </c>
      <c r="U256" s="7" t="s">
        <v>585</v>
      </c>
      <c r="V256" s="27" t="s">
        <v>586</v>
      </c>
      <c r="W256" s="7" t="s">
        <v>3048</v>
      </c>
      <c r="X256" s="28"/>
      <c r="Y256" s="28"/>
      <c r="Z256" s="28"/>
    </row>
    <row r="257">
      <c r="A257" s="7" t="s">
        <v>3049</v>
      </c>
      <c r="B257" s="7" t="s">
        <v>3050</v>
      </c>
      <c r="C257" s="7" t="s">
        <v>3051</v>
      </c>
      <c r="D257" s="7" t="s">
        <v>190</v>
      </c>
      <c r="E257" s="7" t="s">
        <v>2542</v>
      </c>
      <c r="F257" s="9">
        <v>16.096939</v>
      </c>
      <c r="G257" s="9">
        <v>102.570023</v>
      </c>
      <c r="H257" s="7" t="s">
        <v>618</v>
      </c>
      <c r="I257" s="9">
        <v>157.71</v>
      </c>
      <c r="J257" s="28"/>
      <c r="K257" s="28"/>
      <c r="L257" s="28"/>
      <c r="M257" s="9"/>
      <c r="N257" s="7" t="s">
        <v>2894</v>
      </c>
      <c r="O257" s="7" t="s">
        <v>583</v>
      </c>
      <c r="P257" s="9">
        <v>3.0</v>
      </c>
      <c r="Q257" s="28"/>
      <c r="R257" s="9">
        <v>82.4</v>
      </c>
      <c r="S257" s="7" t="s">
        <v>584</v>
      </c>
      <c r="T257" s="7" t="b">
        <v>0</v>
      </c>
      <c r="U257" s="7" t="s">
        <v>585</v>
      </c>
      <c r="V257" s="27" t="s">
        <v>586</v>
      </c>
      <c r="W257" s="7" t="s">
        <v>3052</v>
      </c>
      <c r="X257" s="28"/>
      <c r="Y257" s="28"/>
      <c r="Z257" s="28"/>
    </row>
    <row r="258">
      <c r="A258" s="7" t="s">
        <v>3053</v>
      </c>
      <c r="B258" s="7" t="s">
        <v>3054</v>
      </c>
      <c r="C258" s="7" t="s">
        <v>3055</v>
      </c>
      <c r="D258" s="7" t="s">
        <v>301</v>
      </c>
      <c r="E258" s="7" t="s">
        <v>2230</v>
      </c>
      <c r="F258" s="9">
        <v>6.47977</v>
      </c>
      <c r="G258" s="9">
        <v>101.44474</v>
      </c>
      <c r="H258" s="7" t="s">
        <v>1951</v>
      </c>
      <c r="I258" s="9">
        <v>10.78</v>
      </c>
      <c r="J258" s="28"/>
      <c r="K258" s="28"/>
      <c r="L258" s="28"/>
      <c r="M258" s="9"/>
      <c r="N258" s="7" t="s">
        <v>2894</v>
      </c>
      <c r="O258" s="7" t="s">
        <v>583</v>
      </c>
      <c r="P258" s="9">
        <v>3.0</v>
      </c>
      <c r="Q258" s="28"/>
      <c r="R258" s="9">
        <v>202.4</v>
      </c>
      <c r="S258" s="7" t="s">
        <v>584</v>
      </c>
      <c r="T258" s="7" t="b">
        <v>0</v>
      </c>
      <c r="U258" s="7" t="s">
        <v>585</v>
      </c>
      <c r="V258" s="27" t="s">
        <v>586</v>
      </c>
      <c r="W258" s="7" t="s">
        <v>3056</v>
      </c>
      <c r="X258" s="28"/>
      <c r="Y258" s="28"/>
      <c r="Z258" s="28"/>
    </row>
    <row r="259">
      <c r="A259" s="7" t="s">
        <v>3057</v>
      </c>
      <c r="B259" s="7" t="s">
        <v>3058</v>
      </c>
      <c r="C259" s="7" t="s">
        <v>3059</v>
      </c>
      <c r="D259" s="7" t="s">
        <v>298</v>
      </c>
      <c r="E259" s="7" t="s">
        <v>3060</v>
      </c>
      <c r="F259" s="9">
        <v>7.817578</v>
      </c>
      <c r="G259" s="9">
        <v>100.047485</v>
      </c>
      <c r="H259" s="7" t="s">
        <v>576</v>
      </c>
      <c r="I259" s="9">
        <v>2.67</v>
      </c>
      <c r="J259" s="28"/>
      <c r="K259" s="28"/>
      <c r="L259" s="28"/>
      <c r="M259" s="9"/>
      <c r="N259" s="7" t="s">
        <v>2894</v>
      </c>
      <c r="O259" s="7" t="s">
        <v>583</v>
      </c>
      <c r="P259" s="9">
        <v>3.0</v>
      </c>
      <c r="Q259" s="28"/>
      <c r="R259" s="9">
        <v>12.4</v>
      </c>
      <c r="S259" s="7" t="s">
        <v>584</v>
      </c>
      <c r="T259" s="7" t="b">
        <v>0</v>
      </c>
      <c r="U259" s="7" t="s">
        <v>585</v>
      </c>
      <c r="V259" s="27" t="s">
        <v>586</v>
      </c>
      <c r="W259" s="7" t="s">
        <v>3062</v>
      </c>
      <c r="X259" s="28"/>
      <c r="Y259" s="28"/>
      <c r="Z259" s="28"/>
    </row>
    <row r="260">
      <c r="A260" s="7" t="s">
        <v>3063</v>
      </c>
      <c r="B260" s="7" t="s">
        <v>3064</v>
      </c>
      <c r="C260" s="7" t="s">
        <v>3065</v>
      </c>
      <c r="D260" s="7" t="s">
        <v>224</v>
      </c>
      <c r="E260" s="7" t="s">
        <v>1892</v>
      </c>
      <c r="F260" s="9">
        <v>15.20926</v>
      </c>
      <c r="G260" s="9">
        <v>102.392952</v>
      </c>
      <c r="H260" s="7" t="s">
        <v>618</v>
      </c>
      <c r="I260" s="9">
        <v>155.54</v>
      </c>
      <c r="J260" s="28"/>
      <c r="K260" s="28"/>
      <c r="L260" s="28"/>
      <c r="M260" s="9"/>
      <c r="N260" s="7" t="s">
        <v>2894</v>
      </c>
      <c r="O260" s="7" t="s">
        <v>583</v>
      </c>
      <c r="P260" s="9">
        <v>3.0</v>
      </c>
      <c r="Q260" s="28"/>
      <c r="R260" s="9">
        <v>82.4</v>
      </c>
      <c r="S260" s="7" t="s">
        <v>584</v>
      </c>
      <c r="T260" s="7" t="b">
        <v>0</v>
      </c>
      <c r="U260" s="7" t="s">
        <v>585</v>
      </c>
      <c r="V260" s="27" t="s">
        <v>586</v>
      </c>
      <c r="W260" s="7" t="s">
        <v>3066</v>
      </c>
      <c r="X260" s="28"/>
      <c r="Y260" s="28"/>
      <c r="Z260" s="28"/>
    </row>
    <row r="261">
      <c r="A261" s="7" t="s">
        <v>3067</v>
      </c>
      <c r="B261" s="7" t="s">
        <v>3068</v>
      </c>
      <c r="C261" s="7" t="s">
        <v>3069</v>
      </c>
      <c r="D261" s="7" t="s">
        <v>154</v>
      </c>
      <c r="E261" s="7" t="s">
        <v>1413</v>
      </c>
      <c r="F261" s="9">
        <v>14.06024</v>
      </c>
      <c r="G261" s="9">
        <v>99.44414</v>
      </c>
      <c r="H261" s="7" t="s">
        <v>923</v>
      </c>
      <c r="I261" s="9">
        <v>25.18</v>
      </c>
      <c r="J261" s="28"/>
      <c r="K261" s="28"/>
      <c r="L261" s="28"/>
      <c r="M261" s="9">
        <v>27.0</v>
      </c>
      <c r="N261" s="7" t="s">
        <v>2894</v>
      </c>
      <c r="O261" s="7" t="s">
        <v>583</v>
      </c>
      <c r="P261" s="9">
        <v>3.0</v>
      </c>
      <c r="Q261" s="28"/>
      <c r="R261" s="9">
        <v>22.4</v>
      </c>
      <c r="S261" s="7" t="s">
        <v>584</v>
      </c>
      <c r="T261" s="7" t="b">
        <v>0</v>
      </c>
      <c r="U261" s="7" t="s">
        <v>585</v>
      </c>
      <c r="V261" s="27" t="s">
        <v>586</v>
      </c>
      <c r="W261" s="7" t="s">
        <v>3070</v>
      </c>
      <c r="X261" s="28"/>
      <c r="Y261" s="28"/>
      <c r="Z261" s="28"/>
    </row>
    <row r="262">
      <c r="A262" s="7" t="s">
        <v>3071</v>
      </c>
      <c r="B262" s="7" t="s">
        <v>3072</v>
      </c>
      <c r="C262" s="7" t="s">
        <v>3073</v>
      </c>
      <c r="D262" s="7" t="s">
        <v>234</v>
      </c>
      <c r="E262" s="7" t="s">
        <v>1892</v>
      </c>
      <c r="F262" s="9">
        <v>15.24992</v>
      </c>
      <c r="G262" s="9">
        <v>105.239243</v>
      </c>
      <c r="H262" s="7" t="s">
        <v>618</v>
      </c>
      <c r="I262" s="9">
        <v>108.89</v>
      </c>
      <c r="J262" s="28"/>
      <c r="K262" s="28"/>
      <c r="L262" s="28"/>
      <c r="M262" s="9"/>
      <c r="N262" s="7" t="s">
        <v>2894</v>
      </c>
      <c r="O262" s="7" t="s">
        <v>583</v>
      </c>
      <c r="P262" s="9">
        <v>3.0</v>
      </c>
      <c r="Q262" s="28"/>
      <c r="R262" s="9">
        <v>82.4</v>
      </c>
      <c r="S262" s="7" t="s">
        <v>584</v>
      </c>
      <c r="T262" s="7" t="b">
        <v>0</v>
      </c>
      <c r="U262" s="7" t="s">
        <v>585</v>
      </c>
      <c r="V262" s="27" t="s">
        <v>586</v>
      </c>
      <c r="W262" s="7" t="s">
        <v>3081</v>
      </c>
      <c r="X262" s="28"/>
      <c r="Y262" s="28"/>
      <c r="Z262" s="28"/>
    </row>
    <row r="263">
      <c r="A263" s="7" t="s">
        <v>3083</v>
      </c>
      <c r="B263" s="7" t="s">
        <v>3084</v>
      </c>
      <c r="C263" s="7" t="s">
        <v>3085</v>
      </c>
      <c r="D263" s="7" t="s">
        <v>77</v>
      </c>
      <c r="E263" s="7" t="s">
        <v>1016</v>
      </c>
      <c r="F263" s="9">
        <v>16.42322</v>
      </c>
      <c r="G263" s="9">
        <v>101.162079</v>
      </c>
      <c r="H263" s="7" t="s">
        <v>618</v>
      </c>
      <c r="I263" s="9">
        <v>113.47</v>
      </c>
      <c r="J263" s="28"/>
      <c r="K263" s="28"/>
      <c r="L263" s="28"/>
      <c r="M263" s="9"/>
      <c r="N263" s="7" t="s">
        <v>2894</v>
      </c>
      <c r="O263" s="7" t="s">
        <v>583</v>
      </c>
      <c r="P263" s="9">
        <v>3.0</v>
      </c>
      <c r="Q263" s="28"/>
      <c r="R263" s="9">
        <v>82.4</v>
      </c>
      <c r="S263" s="7" t="s">
        <v>584</v>
      </c>
      <c r="T263" s="7" t="b">
        <v>0</v>
      </c>
      <c r="U263" s="7" t="s">
        <v>585</v>
      </c>
      <c r="V263" s="27" t="s">
        <v>586</v>
      </c>
      <c r="W263" s="7" t="s">
        <v>3086</v>
      </c>
      <c r="X263" s="28"/>
      <c r="Y263" s="28"/>
      <c r="Z263" s="28"/>
    </row>
    <row r="264">
      <c r="A264" s="7" t="s">
        <v>3087</v>
      </c>
      <c r="B264" s="7" t="s">
        <v>3088</v>
      </c>
      <c r="C264" s="7" t="s">
        <v>3089</v>
      </c>
      <c r="D264" s="7" t="s">
        <v>82</v>
      </c>
      <c r="E264" s="7" t="s">
        <v>1047</v>
      </c>
      <c r="F264" s="9">
        <v>17.02127</v>
      </c>
      <c r="G264" s="9">
        <v>99.81973</v>
      </c>
      <c r="H264" s="7" t="s">
        <v>576</v>
      </c>
      <c r="I264" s="9">
        <v>48.5</v>
      </c>
      <c r="J264" s="28"/>
      <c r="K264" s="28"/>
      <c r="L264" s="28"/>
      <c r="M264" s="9"/>
      <c r="N264" s="7" t="s">
        <v>2894</v>
      </c>
      <c r="O264" s="7" t="s">
        <v>583</v>
      </c>
      <c r="P264" s="9">
        <v>3.0</v>
      </c>
      <c r="Q264" s="28"/>
      <c r="R264" s="9">
        <v>12.4</v>
      </c>
      <c r="S264" s="7" t="s">
        <v>584</v>
      </c>
      <c r="T264" s="7" t="b">
        <v>0</v>
      </c>
      <c r="U264" s="7" t="s">
        <v>585</v>
      </c>
      <c r="V264" s="27" t="s">
        <v>586</v>
      </c>
      <c r="W264" s="7" t="s">
        <v>3090</v>
      </c>
      <c r="X264" s="28"/>
      <c r="Y264" s="28"/>
      <c r="Z264" s="28"/>
    </row>
    <row r="265">
      <c r="A265" s="7" t="s">
        <v>3091</v>
      </c>
      <c r="B265" s="7" t="s">
        <v>3092</v>
      </c>
      <c r="C265" s="7" t="s">
        <v>3093</v>
      </c>
      <c r="D265" s="7" t="s">
        <v>260</v>
      </c>
      <c r="E265" s="7" t="s">
        <v>3094</v>
      </c>
      <c r="F265" s="9">
        <v>9.314687</v>
      </c>
      <c r="G265" s="9">
        <v>98.889885</v>
      </c>
      <c r="H265" s="7" t="s">
        <v>576</v>
      </c>
      <c r="I265" s="9">
        <v>121.9</v>
      </c>
      <c r="J265" s="28"/>
      <c r="K265" s="28"/>
      <c r="L265" s="28"/>
      <c r="M265" s="9"/>
      <c r="N265" s="7" t="s">
        <v>2894</v>
      </c>
      <c r="O265" s="7" t="s">
        <v>583</v>
      </c>
      <c r="P265" s="9">
        <v>3.0</v>
      </c>
      <c r="Q265" s="28"/>
      <c r="R265" s="9">
        <v>12.4</v>
      </c>
      <c r="S265" s="7" t="s">
        <v>584</v>
      </c>
      <c r="T265" s="7" t="b">
        <v>0</v>
      </c>
      <c r="U265" s="7" t="s">
        <v>585</v>
      </c>
      <c r="V265" s="27" t="s">
        <v>586</v>
      </c>
      <c r="W265" s="7" t="s">
        <v>3095</v>
      </c>
      <c r="X265" s="28"/>
      <c r="Y265" s="28"/>
      <c r="Z265" s="28"/>
    </row>
    <row r="266">
      <c r="A266" s="7" t="s">
        <v>3096</v>
      </c>
      <c r="B266" s="7" t="s">
        <v>3097</v>
      </c>
      <c r="C266" s="7" t="s">
        <v>3098</v>
      </c>
      <c r="D266" s="7" t="s">
        <v>212</v>
      </c>
      <c r="E266" s="7" t="s">
        <v>3099</v>
      </c>
      <c r="F266" s="9">
        <v>17.082161</v>
      </c>
      <c r="G266" s="9">
        <v>102.450798</v>
      </c>
      <c r="H266" s="7" t="s">
        <v>618</v>
      </c>
      <c r="I266" s="9">
        <v>197.58</v>
      </c>
      <c r="J266" s="28"/>
      <c r="K266" s="28"/>
      <c r="L266" s="28"/>
      <c r="M266" s="9"/>
      <c r="N266" s="7" t="s">
        <v>2894</v>
      </c>
      <c r="O266" s="7" t="s">
        <v>583</v>
      </c>
      <c r="P266" s="9">
        <v>3.0</v>
      </c>
      <c r="Q266" s="28"/>
      <c r="R266" s="9">
        <v>82.4</v>
      </c>
      <c r="S266" s="7" t="s">
        <v>584</v>
      </c>
      <c r="T266" s="7" t="b">
        <v>0</v>
      </c>
      <c r="U266" s="7" t="s">
        <v>585</v>
      </c>
      <c r="V266" s="27" t="s">
        <v>586</v>
      </c>
      <c r="W266" s="7" t="s">
        <v>3100</v>
      </c>
      <c r="X266" s="28"/>
      <c r="Y266" s="28"/>
      <c r="Z266" s="28"/>
    </row>
    <row r="267">
      <c r="A267" s="7" t="s">
        <v>3101</v>
      </c>
      <c r="B267" s="7" t="s">
        <v>3102</v>
      </c>
      <c r="C267" s="7" t="s">
        <v>3103</v>
      </c>
      <c r="D267" s="7" t="s">
        <v>154</v>
      </c>
      <c r="E267" s="7" t="s">
        <v>767</v>
      </c>
      <c r="F267" s="9">
        <v>14.11265</v>
      </c>
      <c r="G267" s="9">
        <v>99.14635</v>
      </c>
      <c r="H267" s="7" t="s">
        <v>576</v>
      </c>
      <c r="I267" s="9">
        <v>40.59</v>
      </c>
      <c r="J267" s="28"/>
      <c r="K267" s="28"/>
      <c r="L267" s="28"/>
      <c r="M267" s="9"/>
      <c r="N267" s="7" t="s">
        <v>2894</v>
      </c>
      <c r="O267" s="7" t="s">
        <v>583</v>
      </c>
      <c r="P267" s="9">
        <v>3.0</v>
      </c>
      <c r="Q267" s="28"/>
      <c r="R267" s="9">
        <v>12.4</v>
      </c>
      <c r="S267" s="7" t="s">
        <v>584</v>
      </c>
      <c r="T267" s="7" t="b">
        <v>0</v>
      </c>
      <c r="U267" s="7" t="s">
        <v>585</v>
      </c>
      <c r="V267" s="27" t="s">
        <v>586</v>
      </c>
      <c r="W267" s="7" t="s">
        <v>3105</v>
      </c>
      <c r="X267" s="28"/>
      <c r="Y267" s="28"/>
      <c r="Z267" s="28"/>
    </row>
    <row r="268">
      <c r="A268" s="7" t="s">
        <v>3106</v>
      </c>
      <c r="B268" s="7" t="s">
        <v>3107</v>
      </c>
      <c r="C268" s="7" t="s">
        <v>3108</v>
      </c>
      <c r="D268" s="7" t="s">
        <v>286</v>
      </c>
      <c r="E268" s="7" t="s">
        <v>3109</v>
      </c>
      <c r="F268" s="9">
        <v>7.769855</v>
      </c>
      <c r="G268" s="9">
        <v>100.30203</v>
      </c>
      <c r="H268" s="7" t="s">
        <v>576</v>
      </c>
      <c r="I268" s="9">
        <v>0.28</v>
      </c>
      <c r="J268" s="28"/>
      <c r="K268" s="28"/>
      <c r="L268" s="28"/>
      <c r="M268" s="9"/>
      <c r="N268" s="7" t="s">
        <v>2894</v>
      </c>
      <c r="O268" s="7" t="s">
        <v>583</v>
      </c>
      <c r="P268" s="9">
        <v>3.0</v>
      </c>
      <c r="Q268" s="28"/>
      <c r="R268" s="9">
        <v>12.4</v>
      </c>
      <c r="S268" s="7" t="s">
        <v>584</v>
      </c>
      <c r="T268" s="7" t="b">
        <v>0</v>
      </c>
      <c r="U268" s="7" t="s">
        <v>585</v>
      </c>
      <c r="V268" s="27" t="s">
        <v>586</v>
      </c>
      <c r="W268" s="7" t="s">
        <v>3110</v>
      </c>
      <c r="X268" s="28"/>
      <c r="Y268" s="28"/>
      <c r="Z268" s="28"/>
    </row>
    <row r="269">
      <c r="A269" s="7" t="s">
        <v>3111</v>
      </c>
      <c r="B269" s="7" t="s">
        <v>3112</v>
      </c>
      <c r="C269" s="7" t="s">
        <v>3113</v>
      </c>
      <c r="D269" s="7" t="s">
        <v>250</v>
      </c>
      <c r="E269" s="7" t="s">
        <v>2739</v>
      </c>
      <c r="F269" s="9">
        <v>15.84008</v>
      </c>
      <c r="G269" s="9">
        <v>104.455704</v>
      </c>
      <c r="H269" s="7" t="s">
        <v>618</v>
      </c>
      <c r="I269" s="9">
        <v>124.54</v>
      </c>
      <c r="J269" s="28"/>
      <c r="K269" s="28"/>
      <c r="L269" s="28"/>
      <c r="M269" s="9"/>
      <c r="N269" s="7" t="s">
        <v>2894</v>
      </c>
      <c r="O269" s="7" t="s">
        <v>583</v>
      </c>
      <c r="P269" s="9">
        <v>3.0</v>
      </c>
      <c r="Q269" s="28"/>
      <c r="R269" s="9">
        <v>82.4</v>
      </c>
      <c r="S269" s="7" t="s">
        <v>584</v>
      </c>
      <c r="T269" s="7" t="b">
        <v>0</v>
      </c>
      <c r="U269" s="7" t="s">
        <v>585</v>
      </c>
      <c r="V269" s="27" t="s">
        <v>586</v>
      </c>
      <c r="W269" s="7" t="s">
        <v>3114</v>
      </c>
      <c r="X269" s="28"/>
      <c r="Y269" s="28"/>
      <c r="Z269" s="28"/>
    </row>
    <row r="270">
      <c r="A270" s="7" t="s">
        <v>3115</v>
      </c>
      <c r="B270" s="7" t="s">
        <v>3116</v>
      </c>
      <c r="C270" s="7" t="s">
        <v>3117</v>
      </c>
      <c r="D270" s="7" t="s">
        <v>286</v>
      </c>
      <c r="E270" s="7" t="s">
        <v>2152</v>
      </c>
      <c r="F270" s="9">
        <v>6.79663</v>
      </c>
      <c r="G270" s="9">
        <v>100.442337</v>
      </c>
      <c r="H270" s="7" t="s">
        <v>1951</v>
      </c>
      <c r="I270" s="9">
        <v>11.66</v>
      </c>
      <c r="J270" s="28"/>
      <c r="K270" s="28"/>
      <c r="L270" s="28"/>
      <c r="M270" s="9"/>
      <c r="N270" s="7" t="s">
        <v>2894</v>
      </c>
      <c r="O270" s="7" t="s">
        <v>583</v>
      </c>
      <c r="P270" s="9">
        <v>3.0</v>
      </c>
      <c r="Q270" s="28"/>
      <c r="R270" s="9">
        <v>202.4</v>
      </c>
      <c r="S270" s="7" t="s">
        <v>584</v>
      </c>
      <c r="T270" s="7" t="b">
        <v>0</v>
      </c>
      <c r="U270" s="7" t="s">
        <v>585</v>
      </c>
      <c r="V270" s="27" t="s">
        <v>586</v>
      </c>
      <c r="W270" s="7" t="s">
        <v>3122</v>
      </c>
      <c r="X270" s="28"/>
      <c r="Y270" s="28"/>
      <c r="Z270" s="28"/>
    </row>
    <row r="271">
      <c r="A271" s="7" t="s">
        <v>3123</v>
      </c>
      <c r="B271" s="7" t="s">
        <v>3124</v>
      </c>
      <c r="C271" s="7" t="s">
        <v>3125</v>
      </c>
      <c r="D271" s="7" t="s">
        <v>186</v>
      </c>
      <c r="E271" s="7" t="s">
        <v>3128</v>
      </c>
      <c r="F271" s="9">
        <v>16.259254</v>
      </c>
      <c r="G271" s="9">
        <v>103.69041</v>
      </c>
      <c r="H271" s="7" t="s">
        <v>576</v>
      </c>
      <c r="I271" s="9">
        <v>130.37</v>
      </c>
      <c r="J271" s="28"/>
      <c r="K271" s="28"/>
      <c r="L271" s="28"/>
      <c r="M271" s="9"/>
      <c r="N271" s="7" t="s">
        <v>2894</v>
      </c>
      <c r="O271" s="7" t="s">
        <v>583</v>
      </c>
      <c r="P271" s="9">
        <v>3.0</v>
      </c>
      <c r="Q271" s="28"/>
      <c r="R271" s="9">
        <v>12.4</v>
      </c>
      <c r="S271" s="7" t="s">
        <v>584</v>
      </c>
      <c r="T271" s="7" t="b">
        <v>0</v>
      </c>
      <c r="U271" s="7" t="s">
        <v>585</v>
      </c>
      <c r="V271" s="27" t="s">
        <v>586</v>
      </c>
      <c r="W271" s="7" t="s">
        <v>3131</v>
      </c>
      <c r="X271" s="28"/>
      <c r="Y271" s="28"/>
      <c r="Z271" s="28"/>
    </row>
    <row r="272">
      <c r="A272" s="7" t="s">
        <v>3132</v>
      </c>
      <c r="B272" s="7" t="s">
        <v>3133</v>
      </c>
      <c r="C272" s="7" t="s">
        <v>3134</v>
      </c>
      <c r="D272" s="7" t="s">
        <v>283</v>
      </c>
      <c r="E272" s="7" t="s">
        <v>3135</v>
      </c>
      <c r="F272" s="9">
        <v>10.49706</v>
      </c>
      <c r="G272" s="9">
        <v>99.17012</v>
      </c>
      <c r="H272" s="7" t="s">
        <v>1951</v>
      </c>
      <c r="I272" s="9">
        <v>0.91</v>
      </c>
      <c r="J272" s="28"/>
      <c r="K272" s="28"/>
      <c r="L272" s="28"/>
      <c r="M272" s="9"/>
      <c r="N272" s="7" t="s">
        <v>2894</v>
      </c>
      <c r="O272" s="7" t="s">
        <v>583</v>
      </c>
      <c r="P272" s="9">
        <v>3.0</v>
      </c>
      <c r="Q272" s="28"/>
      <c r="R272" s="9">
        <v>202.4</v>
      </c>
      <c r="S272" s="7" t="s">
        <v>584</v>
      </c>
      <c r="T272" s="7" t="b">
        <v>0</v>
      </c>
      <c r="U272" s="7" t="s">
        <v>585</v>
      </c>
      <c r="V272" s="27" t="s">
        <v>586</v>
      </c>
      <c r="W272" s="7" t="s">
        <v>3136</v>
      </c>
      <c r="X272" s="28"/>
      <c r="Y272" s="28"/>
      <c r="Z272" s="28"/>
    </row>
    <row r="273">
      <c r="A273" s="7" t="s">
        <v>3137</v>
      </c>
      <c r="B273" s="7" t="s">
        <v>3138</v>
      </c>
      <c r="C273" s="7" t="s">
        <v>3139</v>
      </c>
      <c r="D273" s="7" t="s">
        <v>292</v>
      </c>
      <c r="E273" s="7" t="s">
        <v>3139</v>
      </c>
      <c r="F273" s="9">
        <v>7.568049</v>
      </c>
      <c r="G273" s="9">
        <v>99.65109</v>
      </c>
      <c r="H273" s="7" t="s">
        <v>576</v>
      </c>
      <c r="I273" s="9">
        <v>15.8</v>
      </c>
      <c r="J273" s="28"/>
      <c r="K273" s="28"/>
      <c r="L273" s="28"/>
      <c r="M273" s="9"/>
      <c r="N273" s="7" t="s">
        <v>2894</v>
      </c>
      <c r="O273" s="7" t="s">
        <v>583</v>
      </c>
      <c r="P273" s="9">
        <v>3.0</v>
      </c>
      <c r="Q273" s="28"/>
      <c r="R273" s="9">
        <v>12.4</v>
      </c>
      <c r="S273" s="7" t="s">
        <v>584</v>
      </c>
      <c r="T273" s="7" t="b">
        <v>0</v>
      </c>
      <c r="U273" s="7" t="s">
        <v>585</v>
      </c>
      <c r="V273" s="27" t="s">
        <v>586</v>
      </c>
      <c r="W273" s="7" t="s">
        <v>3140</v>
      </c>
      <c r="X273" s="28"/>
      <c r="Y273" s="28"/>
      <c r="Z273" s="28"/>
    </row>
    <row r="274">
      <c r="A274" s="7" t="s">
        <v>3141</v>
      </c>
      <c r="B274" s="7" t="s">
        <v>3142</v>
      </c>
      <c r="C274" s="7" t="s">
        <v>3143</v>
      </c>
      <c r="D274" s="7" t="s">
        <v>146</v>
      </c>
      <c r="E274" s="7" t="s">
        <v>3144</v>
      </c>
      <c r="F274" s="9">
        <v>13.88207</v>
      </c>
      <c r="G274" s="9">
        <v>100.29086</v>
      </c>
      <c r="H274" s="7" t="s">
        <v>576</v>
      </c>
      <c r="I274" s="9">
        <v>1.95</v>
      </c>
      <c r="J274" s="28"/>
      <c r="K274" s="28"/>
      <c r="L274" s="28"/>
      <c r="M274" s="9"/>
      <c r="N274" s="7" t="s">
        <v>2894</v>
      </c>
      <c r="O274" s="7" t="s">
        <v>583</v>
      </c>
      <c r="P274" s="9">
        <v>3.0</v>
      </c>
      <c r="Q274" s="28"/>
      <c r="R274" s="9">
        <v>12.4</v>
      </c>
      <c r="S274" s="7" t="s">
        <v>584</v>
      </c>
      <c r="T274" s="7" t="b">
        <v>0</v>
      </c>
      <c r="U274" s="7" t="s">
        <v>585</v>
      </c>
      <c r="V274" s="27" t="s">
        <v>586</v>
      </c>
      <c r="W274" s="7" t="s">
        <v>3145</v>
      </c>
      <c r="X274" s="28"/>
      <c r="Y274" s="28"/>
      <c r="Z274" s="28"/>
    </row>
    <row r="275">
      <c r="A275" s="7" t="s">
        <v>3146</v>
      </c>
      <c r="B275" s="7" t="s">
        <v>3147</v>
      </c>
      <c r="C275" s="7" t="s">
        <v>3148</v>
      </c>
      <c r="D275" s="7" t="s">
        <v>154</v>
      </c>
      <c r="E275" s="7" t="s">
        <v>1413</v>
      </c>
      <c r="F275" s="9">
        <v>14.06047</v>
      </c>
      <c r="G275" s="9">
        <v>99.48325</v>
      </c>
      <c r="H275" s="7" t="s">
        <v>576</v>
      </c>
      <c r="I275" s="9">
        <v>23.71</v>
      </c>
      <c r="J275" s="28"/>
      <c r="K275" s="28"/>
      <c r="L275" s="28"/>
      <c r="M275" s="9"/>
      <c r="N275" s="7" t="s">
        <v>2894</v>
      </c>
      <c r="O275" s="7" t="s">
        <v>583</v>
      </c>
      <c r="P275" s="9">
        <v>3.0</v>
      </c>
      <c r="Q275" s="28"/>
      <c r="R275" s="9">
        <v>12.4</v>
      </c>
      <c r="S275" s="7" t="s">
        <v>584</v>
      </c>
      <c r="T275" s="7" t="b">
        <v>0</v>
      </c>
      <c r="U275" s="7" t="s">
        <v>585</v>
      </c>
      <c r="V275" s="27" t="s">
        <v>586</v>
      </c>
      <c r="W275" s="7" t="s">
        <v>3149</v>
      </c>
      <c r="X275" s="28"/>
      <c r="Y275" s="28"/>
      <c r="Z275" s="28"/>
    </row>
    <row r="276">
      <c r="A276" s="7" t="s">
        <v>3150</v>
      </c>
      <c r="B276" s="7" t="s">
        <v>3151</v>
      </c>
      <c r="C276" s="7" t="s">
        <v>3152</v>
      </c>
      <c r="D276" s="7" t="s">
        <v>229</v>
      </c>
      <c r="E276" s="7" t="s">
        <v>3153</v>
      </c>
      <c r="F276" s="9">
        <v>15.51345</v>
      </c>
      <c r="G276" s="9">
        <v>102.843826</v>
      </c>
      <c r="H276" s="7" t="s">
        <v>618</v>
      </c>
      <c r="I276" s="9">
        <v>137.87</v>
      </c>
      <c r="J276" s="28"/>
      <c r="K276" s="28"/>
      <c r="L276" s="28"/>
      <c r="M276" s="9"/>
      <c r="N276" s="7" t="s">
        <v>2894</v>
      </c>
      <c r="O276" s="7" t="s">
        <v>583</v>
      </c>
      <c r="P276" s="9">
        <v>3.0</v>
      </c>
      <c r="Q276" s="28"/>
      <c r="R276" s="9">
        <v>82.4</v>
      </c>
      <c r="S276" s="7" t="s">
        <v>584</v>
      </c>
      <c r="T276" s="7" t="b">
        <v>0</v>
      </c>
      <c r="U276" s="7" t="s">
        <v>585</v>
      </c>
      <c r="V276" s="27" t="s">
        <v>586</v>
      </c>
      <c r="W276" s="7" t="s">
        <v>3154</v>
      </c>
      <c r="X276" s="28"/>
      <c r="Y276" s="28"/>
      <c r="Z276" s="28"/>
    </row>
    <row r="277">
      <c r="A277" s="7" t="s">
        <v>3155</v>
      </c>
      <c r="B277" s="7" t="s">
        <v>3156</v>
      </c>
      <c r="C277" s="7" t="s">
        <v>3157</v>
      </c>
      <c r="D277" s="7" t="s">
        <v>234</v>
      </c>
      <c r="E277" s="7" t="s">
        <v>3158</v>
      </c>
      <c r="F277" s="9">
        <v>14.79088</v>
      </c>
      <c r="G277" s="9">
        <v>105.102768</v>
      </c>
      <c r="H277" s="7" t="s">
        <v>618</v>
      </c>
      <c r="I277" s="9">
        <v>128.85</v>
      </c>
      <c r="J277" s="28"/>
      <c r="K277" s="28"/>
      <c r="L277" s="28"/>
      <c r="M277" s="9"/>
      <c r="N277" s="7" t="s">
        <v>2894</v>
      </c>
      <c r="O277" s="7" t="s">
        <v>583</v>
      </c>
      <c r="P277" s="9">
        <v>3.0</v>
      </c>
      <c r="Q277" s="28"/>
      <c r="R277" s="9">
        <v>82.4</v>
      </c>
      <c r="S277" s="7" t="s">
        <v>584</v>
      </c>
      <c r="T277" s="7" t="b">
        <v>0</v>
      </c>
      <c r="U277" s="7" t="s">
        <v>585</v>
      </c>
      <c r="V277" s="27" t="s">
        <v>586</v>
      </c>
      <c r="W277" s="7" t="s">
        <v>3160</v>
      </c>
      <c r="X277" s="28"/>
      <c r="Y277" s="28"/>
      <c r="Z277" s="28"/>
    </row>
    <row r="278">
      <c r="A278" s="7" t="s">
        <v>3161</v>
      </c>
      <c r="B278" s="7" t="s">
        <v>3162</v>
      </c>
      <c r="C278" s="7" t="s">
        <v>3163</v>
      </c>
      <c r="D278" s="7" t="s">
        <v>234</v>
      </c>
      <c r="E278" s="7" t="s">
        <v>1892</v>
      </c>
      <c r="F278" s="9">
        <v>15.23735</v>
      </c>
      <c r="G278" s="9">
        <v>105.24523</v>
      </c>
      <c r="H278" s="7" t="s">
        <v>618</v>
      </c>
      <c r="I278" s="9">
        <v>105.32</v>
      </c>
      <c r="J278" s="28"/>
      <c r="K278" s="28"/>
      <c r="L278" s="28"/>
      <c r="M278" s="9">
        <v>112.17</v>
      </c>
      <c r="N278" s="7" t="s">
        <v>2894</v>
      </c>
      <c r="O278" s="7" t="s">
        <v>583</v>
      </c>
      <c r="P278" s="9">
        <v>3.0</v>
      </c>
      <c r="Q278" s="28"/>
      <c r="R278" s="9">
        <v>82.4</v>
      </c>
      <c r="S278" s="7" t="s">
        <v>584</v>
      </c>
      <c r="T278" s="7" t="b">
        <v>0</v>
      </c>
      <c r="U278" s="7" t="s">
        <v>585</v>
      </c>
      <c r="V278" s="27" t="s">
        <v>586</v>
      </c>
      <c r="W278" s="7" t="s">
        <v>3164</v>
      </c>
      <c r="X278" s="28"/>
      <c r="Y278" s="28"/>
      <c r="Z278" s="28"/>
    </row>
    <row r="279">
      <c r="A279" s="7" t="s">
        <v>3165</v>
      </c>
      <c r="B279" s="7" t="s">
        <v>3166</v>
      </c>
      <c r="C279" s="7" t="s">
        <v>3167</v>
      </c>
      <c r="D279" s="7" t="s">
        <v>154</v>
      </c>
      <c r="E279" s="7" t="s">
        <v>767</v>
      </c>
      <c r="F279" s="9">
        <v>14.53566</v>
      </c>
      <c r="G279" s="9">
        <v>98.78764</v>
      </c>
      <c r="H279" s="7" t="s">
        <v>923</v>
      </c>
      <c r="I279" s="9">
        <v>66.4</v>
      </c>
      <c r="J279" s="28"/>
      <c r="K279" s="28"/>
      <c r="L279" s="28"/>
      <c r="M279" s="9">
        <v>75.85</v>
      </c>
      <c r="N279" s="7" t="s">
        <v>2894</v>
      </c>
      <c r="O279" s="7" t="s">
        <v>583</v>
      </c>
      <c r="P279" s="9">
        <v>3.0</v>
      </c>
      <c r="Q279" s="28"/>
      <c r="R279" s="9">
        <v>22.4</v>
      </c>
      <c r="S279" s="7" t="s">
        <v>584</v>
      </c>
      <c r="T279" s="7" t="b">
        <v>0</v>
      </c>
      <c r="U279" s="7" t="s">
        <v>585</v>
      </c>
      <c r="V279" s="27" t="s">
        <v>586</v>
      </c>
      <c r="W279" s="7" t="s">
        <v>3168</v>
      </c>
      <c r="X279" s="28"/>
      <c r="Y279" s="28"/>
      <c r="Z279" s="28"/>
    </row>
    <row r="280">
      <c r="A280" s="7" t="s">
        <v>3169</v>
      </c>
      <c r="B280" s="7" t="s">
        <v>3170</v>
      </c>
      <c r="C280" s="7" t="s">
        <v>3171</v>
      </c>
      <c r="D280" s="7" t="s">
        <v>190</v>
      </c>
      <c r="E280" s="7" t="s">
        <v>2542</v>
      </c>
      <c r="F280" s="9">
        <v>16.09691</v>
      </c>
      <c r="G280" s="9">
        <v>102.56997</v>
      </c>
      <c r="H280" s="7" t="s">
        <v>576</v>
      </c>
      <c r="I280" s="9">
        <v>157.13</v>
      </c>
      <c r="J280" s="28"/>
      <c r="K280" s="28"/>
      <c r="L280" s="28"/>
      <c r="M280" s="9"/>
      <c r="N280" s="7" t="s">
        <v>2894</v>
      </c>
      <c r="O280" s="7" t="s">
        <v>583</v>
      </c>
      <c r="P280" s="9">
        <v>3.0</v>
      </c>
      <c r="Q280" s="28"/>
      <c r="R280" s="9">
        <v>12.4</v>
      </c>
      <c r="S280" s="7" t="s">
        <v>584</v>
      </c>
      <c r="T280" s="7" t="b">
        <v>0</v>
      </c>
      <c r="U280" s="7" t="s">
        <v>585</v>
      </c>
      <c r="V280" s="27" t="s">
        <v>586</v>
      </c>
      <c r="W280" s="7" t="s">
        <v>3176</v>
      </c>
      <c r="X280" s="28"/>
      <c r="Y280" s="28"/>
      <c r="Z280" s="28"/>
    </row>
    <row r="281">
      <c r="A281" s="7" t="s">
        <v>3177</v>
      </c>
      <c r="B281" s="7" t="s">
        <v>3178</v>
      </c>
      <c r="C281" s="7" t="s">
        <v>3179</v>
      </c>
      <c r="D281" s="7" t="s">
        <v>53</v>
      </c>
      <c r="E281" s="7" t="s">
        <v>3181</v>
      </c>
      <c r="F281" s="9">
        <v>19.56656</v>
      </c>
      <c r="G281" s="9">
        <v>99.98423</v>
      </c>
      <c r="H281" s="7" t="s">
        <v>576</v>
      </c>
      <c r="I281" s="9">
        <v>382.57</v>
      </c>
      <c r="J281" s="28"/>
      <c r="K281" s="28"/>
      <c r="L281" s="28"/>
      <c r="M281" s="9"/>
      <c r="N281" s="7" t="s">
        <v>2894</v>
      </c>
      <c r="O281" s="7" t="s">
        <v>583</v>
      </c>
      <c r="P281" s="9">
        <v>3.0</v>
      </c>
      <c r="Q281" s="28"/>
      <c r="R281" s="9">
        <v>12.4</v>
      </c>
      <c r="S281" s="7" t="s">
        <v>584</v>
      </c>
      <c r="T281" s="7" t="b">
        <v>0</v>
      </c>
      <c r="U281" s="7" t="s">
        <v>585</v>
      </c>
      <c r="V281" s="27" t="s">
        <v>586</v>
      </c>
      <c r="W281" s="7" t="s">
        <v>3185</v>
      </c>
      <c r="X281" s="28"/>
      <c r="Y281" s="28"/>
      <c r="Z281" s="28"/>
    </row>
    <row r="282">
      <c r="A282" s="7" t="s">
        <v>3186</v>
      </c>
      <c r="B282" s="7" t="s">
        <v>3187</v>
      </c>
      <c r="C282" s="7" t="s">
        <v>3188</v>
      </c>
      <c r="D282" s="7" t="s">
        <v>220</v>
      </c>
      <c r="E282" s="7" t="s">
        <v>2542</v>
      </c>
      <c r="F282" s="9">
        <v>15.68157</v>
      </c>
      <c r="G282" s="9">
        <v>102.0095</v>
      </c>
      <c r="H282" s="7" t="s">
        <v>576</v>
      </c>
      <c r="I282" s="9">
        <v>182.37</v>
      </c>
      <c r="J282" s="28"/>
      <c r="K282" s="28"/>
      <c r="L282" s="28"/>
      <c r="M282" s="9"/>
      <c r="N282" s="7" t="s">
        <v>2894</v>
      </c>
      <c r="O282" s="7" t="s">
        <v>583</v>
      </c>
      <c r="P282" s="9">
        <v>3.0</v>
      </c>
      <c r="Q282" s="28"/>
      <c r="R282" s="9">
        <v>12.4</v>
      </c>
      <c r="S282" s="7" t="s">
        <v>584</v>
      </c>
      <c r="T282" s="7" t="b">
        <v>0</v>
      </c>
      <c r="U282" s="7" t="s">
        <v>585</v>
      </c>
      <c r="V282" s="27" t="s">
        <v>586</v>
      </c>
      <c r="W282" s="7" t="s">
        <v>3189</v>
      </c>
      <c r="X282" s="28"/>
      <c r="Y282" s="28"/>
      <c r="Z282" s="28"/>
    </row>
    <row r="283">
      <c r="A283" s="7" t="s">
        <v>3190</v>
      </c>
      <c r="B283" s="7" t="s">
        <v>3191</v>
      </c>
      <c r="C283" s="7" t="s">
        <v>3192</v>
      </c>
      <c r="D283" s="7" t="s">
        <v>260</v>
      </c>
      <c r="E283" s="7"/>
      <c r="F283" s="9">
        <v>9.24312</v>
      </c>
      <c r="G283" s="9">
        <v>98.919251</v>
      </c>
      <c r="H283" s="7" t="s">
        <v>923</v>
      </c>
      <c r="I283" s="9">
        <v>32.53</v>
      </c>
      <c r="J283" s="28"/>
      <c r="K283" s="28"/>
      <c r="L283" s="28"/>
      <c r="M283" s="9">
        <v>34.881</v>
      </c>
      <c r="N283" s="7" t="s">
        <v>2894</v>
      </c>
      <c r="O283" s="7" t="s">
        <v>583</v>
      </c>
      <c r="P283" s="9">
        <v>3.0</v>
      </c>
      <c r="Q283" s="28"/>
      <c r="R283" s="9">
        <v>22.4</v>
      </c>
      <c r="S283" s="7" t="s">
        <v>584</v>
      </c>
      <c r="T283" s="7" t="b">
        <v>0</v>
      </c>
      <c r="U283" s="7" t="s">
        <v>585</v>
      </c>
      <c r="V283" s="27" t="s">
        <v>586</v>
      </c>
      <c r="W283" s="7" t="s">
        <v>3193</v>
      </c>
      <c r="X283" s="28"/>
      <c r="Y283" s="28"/>
      <c r="Z283" s="28"/>
    </row>
    <row r="284">
      <c r="A284" s="7" t="s">
        <v>3194</v>
      </c>
      <c r="B284" s="7" t="s">
        <v>3195</v>
      </c>
      <c r="C284" s="7" t="s">
        <v>3196</v>
      </c>
      <c r="D284" s="7" t="s">
        <v>80</v>
      </c>
      <c r="E284" s="7" t="s">
        <v>3197</v>
      </c>
      <c r="F284" s="9">
        <v>17.463362</v>
      </c>
      <c r="G284" s="9">
        <v>100.23722</v>
      </c>
      <c r="H284" s="7" t="s">
        <v>576</v>
      </c>
      <c r="I284" s="9">
        <v>63.18</v>
      </c>
      <c r="J284" s="28"/>
      <c r="K284" s="28"/>
      <c r="L284" s="28"/>
      <c r="M284" s="9"/>
      <c r="N284" s="7" t="s">
        <v>2894</v>
      </c>
      <c r="O284" s="7" t="s">
        <v>583</v>
      </c>
      <c r="P284" s="9">
        <v>3.0</v>
      </c>
      <c r="Q284" s="28"/>
      <c r="R284" s="9">
        <v>12.4</v>
      </c>
      <c r="S284" s="7" t="s">
        <v>584</v>
      </c>
      <c r="T284" s="7" t="b">
        <v>0</v>
      </c>
      <c r="U284" s="7" t="s">
        <v>585</v>
      </c>
      <c r="V284" s="27" t="s">
        <v>586</v>
      </c>
      <c r="W284" s="7" t="s">
        <v>3198</v>
      </c>
      <c r="X284" s="28"/>
      <c r="Y284" s="28"/>
      <c r="Z284" s="28"/>
    </row>
    <row r="285">
      <c r="A285" s="7" t="s">
        <v>3199</v>
      </c>
      <c r="B285" s="7" t="s">
        <v>3200</v>
      </c>
      <c r="C285" s="7" t="s">
        <v>3201</v>
      </c>
      <c r="D285" s="7" t="s">
        <v>67</v>
      </c>
      <c r="E285" s="7" t="s">
        <v>3202</v>
      </c>
      <c r="F285" s="9">
        <v>18.653353</v>
      </c>
      <c r="G285" s="9">
        <v>99.06447</v>
      </c>
      <c r="H285" s="7" t="s">
        <v>576</v>
      </c>
      <c r="I285" s="9">
        <v>291.9</v>
      </c>
      <c r="J285" s="28"/>
      <c r="K285" s="28"/>
      <c r="L285" s="28"/>
      <c r="M285" s="9"/>
      <c r="N285" s="7" t="s">
        <v>2894</v>
      </c>
      <c r="O285" s="7" t="s">
        <v>583</v>
      </c>
      <c r="P285" s="9">
        <v>3.0</v>
      </c>
      <c r="Q285" s="28"/>
      <c r="R285" s="9">
        <v>12.4</v>
      </c>
      <c r="S285" s="7" t="s">
        <v>584</v>
      </c>
      <c r="T285" s="7" t="b">
        <v>0</v>
      </c>
      <c r="U285" s="7" t="s">
        <v>585</v>
      </c>
      <c r="V285" s="27" t="s">
        <v>586</v>
      </c>
      <c r="W285" s="7" t="s">
        <v>3204</v>
      </c>
      <c r="X285" s="28"/>
      <c r="Y285" s="28"/>
      <c r="Z285" s="28"/>
    </row>
    <row r="286">
      <c r="A286" s="7" t="s">
        <v>3205</v>
      </c>
      <c r="B286" s="7" t="s">
        <v>3206</v>
      </c>
      <c r="C286" s="7" t="s">
        <v>3207</v>
      </c>
      <c r="D286" s="7" t="s">
        <v>234</v>
      </c>
      <c r="E286" s="7" t="s">
        <v>3158</v>
      </c>
      <c r="F286" s="9">
        <v>15.07663</v>
      </c>
      <c r="G286" s="9">
        <v>105.07114</v>
      </c>
      <c r="H286" s="7" t="s">
        <v>618</v>
      </c>
      <c r="I286" s="9">
        <v>114.89</v>
      </c>
      <c r="J286" s="28"/>
      <c r="K286" s="28"/>
      <c r="L286" s="28"/>
      <c r="M286" s="9">
        <v>119.19</v>
      </c>
      <c r="N286" s="7" t="s">
        <v>2894</v>
      </c>
      <c r="O286" s="7" t="s">
        <v>583</v>
      </c>
      <c r="P286" s="9">
        <v>3.0</v>
      </c>
      <c r="Q286" s="28"/>
      <c r="R286" s="9">
        <v>82.4</v>
      </c>
      <c r="S286" s="7" t="s">
        <v>584</v>
      </c>
      <c r="T286" s="7" t="b">
        <v>0</v>
      </c>
      <c r="U286" s="7" t="s">
        <v>585</v>
      </c>
      <c r="V286" s="27" t="s">
        <v>586</v>
      </c>
      <c r="W286" s="7" t="s">
        <v>3208</v>
      </c>
      <c r="X286" s="28"/>
      <c r="Y286" s="28"/>
      <c r="Z286" s="28"/>
    </row>
    <row r="287">
      <c r="A287" s="7" t="s">
        <v>3209</v>
      </c>
      <c r="B287" s="7" t="s">
        <v>3210</v>
      </c>
      <c r="C287" s="7" t="s">
        <v>3211</v>
      </c>
      <c r="D287" s="7" t="s">
        <v>234</v>
      </c>
      <c r="E287" s="7" t="s">
        <v>2542</v>
      </c>
      <c r="F287" s="9">
        <v>15.30323</v>
      </c>
      <c r="G287" s="9">
        <v>104.50032</v>
      </c>
      <c r="H287" s="7" t="s">
        <v>618</v>
      </c>
      <c r="I287" s="9">
        <v>114.02</v>
      </c>
      <c r="J287" s="28"/>
      <c r="K287" s="28"/>
      <c r="L287" s="28"/>
      <c r="M287" s="9"/>
      <c r="N287" s="7" t="s">
        <v>2894</v>
      </c>
      <c r="O287" s="7" t="s">
        <v>583</v>
      </c>
      <c r="P287" s="9">
        <v>3.0</v>
      </c>
      <c r="Q287" s="28"/>
      <c r="R287" s="9">
        <v>82.4</v>
      </c>
      <c r="S287" s="7" t="s">
        <v>584</v>
      </c>
      <c r="T287" s="7" t="b">
        <v>0</v>
      </c>
      <c r="U287" s="7" t="s">
        <v>585</v>
      </c>
      <c r="V287" s="27" t="s">
        <v>586</v>
      </c>
      <c r="W287" s="7" t="s">
        <v>3212</v>
      </c>
      <c r="X287" s="28"/>
      <c r="Y287" s="28"/>
      <c r="Z287" s="28"/>
    </row>
    <row r="288">
      <c r="A288" s="7" t="s">
        <v>3213</v>
      </c>
      <c r="B288" s="7" t="s">
        <v>3214</v>
      </c>
      <c r="C288" s="7" t="s">
        <v>3215</v>
      </c>
      <c r="D288" s="7" t="s">
        <v>174</v>
      </c>
      <c r="E288" s="7" t="s">
        <v>3216</v>
      </c>
      <c r="F288" s="9">
        <v>13.40472</v>
      </c>
      <c r="G288" s="9">
        <v>101.281776</v>
      </c>
      <c r="H288" s="7" t="s">
        <v>618</v>
      </c>
      <c r="I288" s="9">
        <v>16.48</v>
      </c>
      <c r="J288" s="28"/>
      <c r="K288" s="28"/>
      <c r="L288" s="28"/>
      <c r="M288" s="9"/>
      <c r="N288" s="7" t="s">
        <v>2894</v>
      </c>
      <c r="O288" s="7" t="s">
        <v>583</v>
      </c>
      <c r="P288" s="9">
        <v>3.0</v>
      </c>
      <c r="Q288" s="28"/>
      <c r="R288" s="9">
        <v>82.4</v>
      </c>
      <c r="S288" s="7" t="s">
        <v>584</v>
      </c>
      <c r="T288" s="7" t="b">
        <v>0</v>
      </c>
      <c r="U288" s="7" t="s">
        <v>585</v>
      </c>
      <c r="V288" s="27" t="s">
        <v>586</v>
      </c>
      <c r="W288" s="7" t="s">
        <v>3217</v>
      </c>
      <c r="X288" s="28"/>
      <c r="Y288" s="28"/>
      <c r="Z288" s="28"/>
    </row>
    <row r="289">
      <c r="A289" s="7" t="s">
        <v>3218</v>
      </c>
      <c r="B289" s="7" t="s">
        <v>3220</v>
      </c>
      <c r="C289" s="7" t="s">
        <v>3222</v>
      </c>
      <c r="D289" s="7" t="s">
        <v>186</v>
      </c>
      <c r="E289" s="7" t="s">
        <v>3223</v>
      </c>
      <c r="F289" s="9">
        <v>16.603594</v>
      </c>
      <c r="G289" s="9">
        <v>103.96229</v>
      </c>
      <c r="H289" s="7" t="s">
        <v>576</v>
      </c>
      <c r="I289" s="9">
        <v>159.46</v>
      </c>
      <c r="J289" s="28"/>
      <c r="K289" s="28"/>
      <c r="L289" s="28"/>
      <c r="M289" s="9"/>
      <c r="N289" s="7" t="s">
        <v>2894</v>
      </c>
      <c r="O289" s="7" t="s">
        <v>583</v>
      </c>
      <c r="P289" s="9">
        <v>3.0</v>
      </c>
      <c r="Q289" s="28"/>
      <c r="R289" s="9">
        <v>12.4</v>
      </c>
      <c r="S289" s="7" t="s">
        <v>584</v>
      </c>
      <c r="T289" s="7" t="b">
        <v>0</v>
      </c>
      <c r="U289" s="7" t="s">
        <v>585</v>
      </c>
      <c r="V289" s="27" t="s">
        <v>586</v>
      </c>
      <c r="W289" s="7" t="s">
        <v>3229</v>
      </c>
      <c r="X289" s="28"/>
      <c r="Y289" s="28"/>
      <c r="Z289" s="28"/>
    </row>
    <row r="290">
      <c r="A290" s="7" t="s">
        <v>3231</v>
      </c>
      <c r="B290" s="7" t="s">
        <v>3232</v>
      </c>
      <c r="C290" s="7" t="s">
        <v>3233</v>
      </c>
      <c r="D290" s="7" t="s">
        <v>212</v>
      </c>
      <c r="E290" s="7" t="s">
        <v>3099</v>
      </c>
      <c r="F290" s="9">
        <v>17.182448</v>
      </c>
      <c r="G290" s="9">
        <v>102.431941</v>
      </c>
      <c r="H290" s="7" t="s">
        <v>618</v>
      </c>
      <c r="I290" s="9">
        <v>207.45</v>
      </c>
      <c r="J290" s="28"/>
      <c r="K290" s="28"/>
      <c r="L290" s="28"/>
      <c r="M290" s="9">
        <v>210.62</v>
      </c>
      <c r="N290" s="7" t="s">
        <v>2894</v>
      </c>
      <c r="O290" s="7" t="s">
        <v>583</v>
      </c>
      <c r="P290" s="9">
        <v>3.0</v>
      </c>
      <c r="Q290" s="28"/>
      <c r="R290" s="9">
        <v>82.4</v>
      </c>
      <c r="S290" s="7" t="s">
        <v>584</v>
      </c>
      <c r="T290" s="7" t="b">
        <v>0</v>
      </c>
      <c r="U290" s="7" t="s">
        <v>585</v>
      </c>
      <c r="V290" s="27" t="s">
        <v>586</v>
      </c>
      <c r="W290" s="7" t="s">
        <v>3234</v>
      </c>
      <c r="X290" s="28"/>
      <c r="Y290" s="28"/>
      <c r="Z290" s="28"/>
    </row>
    <row r="291">
      <c r="A291" s="7" t="s">
        <v>3235</v>
      </c>
      <c r="B291" s="7" t="s">
        <v>3236</v>
      </c>
      <c r="C291" s="7" t="s">
        <v>3237</v>
      </c>
      <c r="D291" s="7" t="s">
        <v>9</v>
      </c>
      <c r="E291" s="7" t="s">
        <v>3238</v>
      </c>
      <c r="F291" s="9">
        <v>20.06092</v>
      </c>
      <c r="G291" s="9">
        <v>99.36204</v>
      </c>
      <c r="H291" s="7" t="s">
        <v>576</v>
      </c>
      <c r="I291" s="9">
        <v>445.94</v>
      </c>
      <c r="J291" s="28"/>
      <c r="K291" s="28"/>
      <c r="L291" s="28"/>
      <c r="M291" s="9"/>
      <c r="N291" s="7" t="s">
        <v>2894</v>
      </c>
      <c r="O291" s="7" t="s">
        <v>583</v>
      </c>
      <c r="P291" s="9">
        <v>3.0</v>
      </c>
      <c r="Q291" s="28"/>
      <c r="R291" s="9">
        <v>12.4</v>
      </c>
      <c r="S291" s="7" t="s">
        <v>584</v>
      </c>
      <c r="T291" s="7" t="b">
        <v>0</v>
      </c>
      <c r="U291" s="7" t="s">
        <v>585</v>
      </c>
      <c r="V291" s="27" t="s">
        <v>586</v>
      </c>
      <c r="W291" s="7" t="s">
        <v>3239</v>
      </c>
      <c r="X291" s="28"/>
      <c r="Y291" s="28"/>
      <c r="Z291" s="28"/>
    </row>
    <row r="292">
      <c r="A292" s="7" t="s">
        <v>3240</v>
      </c>
      <c r="B292" s="7" t="s">
        <v>3241</v>
      </c>
      <c r="C292" s="7" t="s">
        <v>3242</v>
      </c>
      <c r="D292" s="7" t="s">
        <v>86</v>
      </c>
      <c r="E292" s="7" t="s">
        <v>1202</v>
      </c>
      <c r="F292" s="9">
        <v>15.92832</v>
      </c>
      <c r="G292" s="9">
        <v>99.502373</v>
      </c>
      <c r="H292" s="7" t="s">
        <v>618</v>
      </c>
      <c r="I292" s="9">
        <v>105.27</v>
      </c>
      <c r="J292" s="28"/>
      <c r="K292" s="28"/>
      <c r="L292" s="28"/>
      <c r="M292" s="9"/>
      <c r="N292" s="7" t="s">
        <v>2894</v>
      </c>
      <c r="O292" s="7" t="s">
        <v>583</v>
      </c>
      <c r="P292" s="9">
        <v>3.0</v>
      </c>
      <c r="Q292" s="28"/>
      <c r="R292" s="9">
        <v>82.4</v>
      </c>
      <c r="S292" s="7" t="s">
        <v>584</v>
      </c>
      <c r="T292" s="7" t="b">
        <v>0</v>
      </c>
      <c r="U292" s="7" t="s">
        <v>585</v>
      </c>
      <c r="V292" s="27" t="s">
        <v>586</v>
      </c>
      <c r="W292" s="7" t="s">
        <v>3243</v>
      </c>
      <c r="X292" s="28"/>
      <c r="Y292" s="28"/>
      <c r="Z292" s="28"/>
    </row>
    <row r="293">
      <c r="A293" s="7" t="s">
        <v>3244</v>
      </c>
      <c r="B293" s="7" t="s">
        <v>3245</v>
      </c>
      <c r="C293" s="7" t="s">
        <v>3246</v>
      </c>
      <c r="D293" s="7" t="s">
        <v>84</v>
      </c>
      <c r="E293" s="7" t="s">
        <v>3247</v>
      </c>
      <c r="F293" s="9">
        <v>16.181589</v>
      </c>
      <c r="G293" s="9">
        <v>99.598358</v>
      </c>
      <c r="H293" s="7" t="s">
        <v>618</v>
      </c>
      <c r="I293" s="9">
        <v>69.03</v>
      </c>
      <c r="J293" s="28"/>
      <c r="K293" s="28"/>
      <c r="L293" s="28"/>
      <c r="M293" s="9"/>
      <c r="N293" s="7" t="s">
        <v>2894</v>
      </c>
      <c r="O293" s="7" t="s">
        <v>583</v>
      </c>
      <c r="P293" s="9">
        <v>3.0</v>
      </c>
      <c r="Q293" s="28"/>
      <c r="R293" s="9">
        <v>82.4</v>
      </c>
      <c r="S293" s="7" t="s">
        <v>584</v>
      </c>
      <c r="T293" s="7" t="b">
        <v>0</v>
      </c>
      <c r="U293" s="7" t="s">
        <v>585</v>
      </c>
      <c r="V293" s="27" t="s">
        <v>586</v>
      </c>
      <c r="W293" s="7" t="s">
        <v>3249</v>
      </c>
      <c r="X293" s="28"/>
      <c r="Y293" s="28"/>
      <c r="Z293" s="28"/>
    </row>
    <row r="294">
      <c r="A294" s="7" t="s">
        <v>3250</v>
      </c>
      <c r="B294" s="7" t="s">
        <v>3251</v>
      </c>
      <c r="C294" s="7" t="s">
        <v>3252</v>
      </c>
      <c r="D294" s="7" t="s">
        <v>224</v>
      </c>
      <c r="E294" s="7" t="s">
        <v>3253</v>
      </c>
      <c r="F294" s="9">
        <v>15.18159</v>
      </c>
      <c r="G294" s="9">
        <v>102.242737</v>
      </c>
      <c r="H294" s="7" t="s">
        <v>618</v>
      </c>
      <c r="I294" s="9">
        <v>161.14</v>
      </c>
      <c r="J294" s="28"/>
      <c r="K294" s="28"/>
      <c r="L294" s="28"/>
      <c r="M294" s="9"/>
      <c r="N294" s="7" t="s">
        <v>2894</v>
      </c>
      <c r="O294" s="7" t="s">
        <v>583</v>
      </c>
      <c r="P294" s="9">
        <v>3.0</v>
      </c>
      <c r="Q294" s="28"/>
      <c r="R294" s="9">
        <v>82.4</v>
      </c>
      <c r="S294" s="7" t="s">
        <v>584</v>
      </c>
      <c r="T294" s="7" t="b">
        <v>0</v>
      </c>
      <c r="U294" s="7" t="s">
        <v>585</v>
      </c>
      <c r="V294" s="27" t="s">
        <v>586</v>
      </c>
      <c r="W294" s="7" t="s">
        <v>3254</v>
      </c>
      <c r="X294" s="28"/>
      <c r="Y294" s="28"/>
      <c r="Z294" s="28"/>
    </row>
    <row r="295">
      <c r="A295" s="7" t="s">
        <v>3255</v>
      </c>
      <c r="B295" s="7" t="s">
        <v>3256</v>
      </c>
      <c r="C295" s="7" t="s">
        <v>3257</v>
      </c>
      <c r="D295" s="7" t="s">
        <v>283</v>
      </c>
      <c r="E295" s="7" t="s">
        <v>2505</v>
      </c>
      <c r="F295" s="9">
        <v>9.953369</v>
      </c>
      <c r="G295" s="9">
        <v>99.06444</v>
      </c>
      <c r="H295" s="7" t="s">
        <v>576</v>
      </c>
      <c r="I295" s="9">
        <v>1.1</v>
      </c>
      <c r="J295" s="28"/>
      <c r="K295" s="28"/>
      <c r="L295" s="28"/>
      <c r="M295" s="9"/>
      <c r="N295" s="7" t="s">
        <v>2894</v>
      </c>
      <c r="O295" s="7" t="s">
        <v>583</v>
      </c>
      <c r="P295" s="9">
        <v>3.0</v>
      </c>
      <c r="Q295" s="28"/>
      <c r="R295" s="9">
        <v>12.4</v>
      </c>
      <c r="S295" s="7" t="s">
        <v>584</v>
      </c>
      <c r="T295" s="7" t="b">
        <v>0</v>
      </c>
      <c r="U295" s="7" t="s">
        <v>585</v>
      </c>
      <c r="V295" s="27" t="s">
        <v>586</v>
      </c>
      <c r="W295" s="7" t="s">
        <v>3258</v>
      </c>
      <c r="X295" s="28"/>
      <c r="Y295" s="28"/>
      <c r="Z295" s="28"/>
    </row>
    <row r="296">
      <c r="A296" s="7" t="s">
        <v>3259</v>
      </c>
      <c r="B296" s="7" t="s">
        <v>3260</v>
      </c>
      <c r="C296" s="7" t="s">
        <v>3261</v>
      </c>
      <c r="D296" s="7" t="s">
        <v>183</v>
      </c>
      <c r="E296" s="7" t="s">
        <v>3262</v>
      </c>
      <c r="F296" s="9">
        <v>12.369261</v>
      </c>
      <c r="G296" s="9">
        <v>102.54332</v>
      </c>
      <c r="H296" s="7" t="s">
        <v>576</v>
      </c>
      <c r="I296" s="9">
        <v>0.46</v>
      </c>
      <c r="J296" s="28"/>
      <c r="K296" s="28"/>
      <c r="L296" s="28"/>
      <c r="M296" s="9"/>
      <c r="N296" s="7" t="s">
        <v>2894</v>
      </c>
      <c r="O296" s="7" t="s">
        <v>583</v>
      </c>
      <c r="P296" s="9">
        <v>3.0</v>
      </c>
      <c r="Q296" s="28"/>
      <c r="R296" s="9">
        <v>12.4</v>
      </c>
      <c r="S296" s="7" t="s">
        <v>584</v>
      </c>
      <c r="T296" s="7" t="b">
        <v>0</v>
      </c>
      <c r="U296" s="7" t="s">
        <v>585</v>
      </c>
      <c r="V296" s="27" t="s">
        <v>586</v>
      </c>
      <c r="W296" s="7" t="s">
        <v>3269</v>
      </c>
      <c r="X296" s="28"/>
      <c r="Y296" s="28"/>
      <c r="Z296" s="28"/>
    </row>
    <row r="297">
      <c r="A297" s="7" t="s">
        <v>3270</v>
      </c>
      <c r="B297" s="7" t="s">
        <v>3271</v>
      </c>
      <c r="C297" s="7" t="s">
        <v>3273</v>
      </c>
      <c r="D297" s="7" t="s">
        <v>292</v>
      </c>
      <c r="E297" s="7" t="s">
        <v>3274</v>
      </c>
      <c r="F297" s="9">
        <v>7.32009</v>
      </c>
      <c r="G297" s="9">
        <v>99.7957</v>
      </c>
      <c r="H297" s="7" t="s">
        <v>1951</v>
      </c>
      <c r="I297" s="9">
        <v>21.79</v>
      </c>
      <c r="J297" s="28"/>
      <c r="K297" s="28"/>
      <c r="L297" s="28"/>
      <c r="M297" s="9"/>
      <c r="N297" s="7" t="s">
        <v>2894</v>
      </c>
      <c r="O297" s="7" t="s">
        <v>583</v>
      </c>
      <c r="P297" s="9">
        <v>3.0</v>
      </c>
      <c r="Q297" s="28"/>
      <c r="R297" s="9">
        <v>202.4</v>
      </c>
      <c r="S297" s="7" t="s">
        <v>584</v>
      </c>
      <c r="T297" s="7" t="b">
        <v>0</v>
      </c>
      <c r="U297" s="7" t="s">
        <v>585</v>
      </c>
      <c r="V297" s="27" t="s">
        <v>586</v>
      </c>
      <c r="W297" s="7" t="s">
        <v>3276</v>
      </c>
      <c r="X297" s="28"/>
      <c r="Y297" s="28"/>
      <c r="Z297" s="28"/>
    </row>
    <row r="298">
      <c r="A298" s="7" t="s">
        <v>3277</v>
      </c>
      <c r="B298" s="7" t="s">
        <v>3278</v>
      </c>
      <c r="C298" s="7" t="s">
        <v>3279</v>
      </c>
      <c r="D298" s="7" t="s">
        <v>260</v>
      </c>
      <c r="E298" s="7" t="s">
        <v>1949</v>
      </c>
      <c r="F298" s="9">
        <v>8.84753</v>
      </c>
      <c r="G298" s="9">
        <v>99.19886</v>
      </c>
      <c r="H298" s="7" t="s">
        <v>1951</v>
      </c>
      <c r="I298" s="9">
        <v>0.53</v>
      </c>
      <c r="J298" s="28"/>
      <c r="K298" s="28"/>
      <c r="L298" s="28"/>
      <c r="M298" s="9"/>
      <c r="N298" s="7" t="s">
        <v>2894</v>
      </c>
      <c r="O298" s="7" t="s">
        <v>583</v>
      </c>
      <c r="P298" s="9">
        <v>3.0</v>
      </c>
      <c r="Q298" s="28"/>
      <c r="R298" s="9">
        <v>202.4</v>
      </c>
      <c r="S298" s="7" t="s">
        <v>584</v>
      </c>
      <c r="T298" s="7" t="b">
        <v>0</v>
      </c>
      <c r="U298" s="7" t="s">
        <v>585</v>
      </c>
      <c r="V298" s="27" t="s">
        <v>586</v>
      </c>
      <c r="W298" s="7" t="s">
        <v>3280</v>
      </c>
      <c r="X298" s="28"/>
      <c r="Y298" s="28"/>
      <c r="Z298" s="28"/>
    </row>
    <row r="299">
      <c r="A299" s="7" t="s">
        <v>3281</v>
      </c>
      <c r="B299" s="7" t="s">
        <v>3282</v>
      </c>
      <c r="C299" s="7" t="s">
        <v>3283</v>
      </c>
      <c r="D299" s="7" t="s">
        <v>9</v>
      </c>
      <c r="E299" s="7" t="s">
        <v>3284</v>
      </c>
      <c r="F299" s="9">
        <v>18.88353</v>
      </c>
      <c r="G299" s="9">
        <v>99.08182</v>
      </c>
      <c r="H299" s="7" t="s">
        <v>576</v>
      </c>
      <c r="I299" s="9">
        <v>320.83</v>
      </c>
      <c r="J299" s="28"/>
      <c r="K299" s="28"/>
      <c r="L299" s="28"/>
      <c r="M299" s="9"/>
      <c r="N299" s="7" t="s">
        <v>2894</v>
      </c>
      <c r="O299" s="7" t="s">
        <v>583</v>
      </c>
      <c r="P299" s="9">
        <v>3.0</v>
      </c>
      <c r="Q299" s="28"/>
      <c r="R299" s="9">
        <v>12.4</v>
      </c>
      <c r="S299" s="7" t="s">
        <v>584</v>
      </c>
      <c r="T299" s="7" t="b">
        <v>0</v>
      </c>
      <c r="U299" s="7" t="s">
        <v>585</v>
      </c>
      <c r="V299" s="27" t="s">
        <v>586</v>
      </c>
      <c r="W299" s="7" t="s">
        <v>3285</v>
      </c>
      <c r="X299" s="28"/>
      <c r="Y299" s="28"/>
      <c r="Z299" s="28"/>
    </row>
    <row r="300">
      <c r="A300" s="7" t="s">
        <v>3286</v>
      </c>
      <c r="B300" s="7" t="s">
        <v>3287</v>
      </c>
      <c r="C300" s="7" t="s">
        <v>3288</v>
      </c>
      <c r="D300" s="7" t="s">
        <v>61</v>
      </c>
      <c r="E300" s="7" t="s">
        <v>3289</v>
      </c>
      <c r="F300" s="9">
        <v>16.95387</v>
      </c>
      <c r="G300" s="9">
        <v>100.12127</v>
      </c>
      <c r="H300" s="7" t="s">
        <v>576</v>
      </c>
      <c r="I300" s="9">
        <v>41.23</v>
      </c>
      <c r="J300" s="28"/>
      <c r="K300" s="28"/>
      <c r="L300" s="28"/>
      <c r="M300" s="9"/>
      <c r="N300" s="7" t="s">
        <v>2894</v>
      </c>
      <c r="O300" s="7" t="s">
        <v>583</v>
      </c>
      <c r="P300" s="9">
        <v>3.0</v>
      </c>
      <c r="Q300" s="28"/>
      <c r="R300" s="9">
        <v>12.4</v>
      </c>
      <c r="S300" s="7" t="s">
        <v>584</v>
      </c>
      <c r="T300" s="7" t="b">
        <v>0</v>
      </c>
      <c r="U300" s="7" t="s">
        <v>585</v>
      </c>
      <c r="V300" s="27" t="s">
        <v>586</v>
      </c>
      <c r="W300" s="7" t="s">
        <v>3290</v>
      </c>
      <c r="X300" s="28"/>
      <c r="Y300" s="28"/>
      <c r="Z300" s="28"/>
    </row>
    <row r="301">
      <c r="A301" s="7" t="s">
        <v>3292</v>
      </c>
      <c r="B301" s="7" t="s">
        <v>3293</v>
      </c>
      <c r="C301" s="7" t="s">
        <v>3294</v>
      </c>
      <c r="D301" s="7" t="s">
        <v>286</v>
      </c>
      <c r="E301" s="7" t="s">
        <v>2152</v>
      </c>
      <c r="F301" s="9">
        <v>6.796687</v>
      </c>
      <c r="G301" s="9">
        <v>100.44239</v>
      </c>
      <c r="H301" s="7" t="s">
        <v>576</v>
      </c>
      <c r="I301" s="9">
        <v>14.19</v>
      </c>
      <c r="J301" s="28"/>
      <c r="K301" s="28"/>
      <c r="L301" s="28"/>
      <c r="M301" s="9"/>
      <c r="N301" s="7" t="s">
        <v>2894</v>
      </c>
      <c r="O301" s="7" t="s">
        <v>583</v>
      </c>
      <c r="P301" s="9">
        <v>3.0</v>
      </c>
      <c r="Q301" s="28"/>
      <c r="R301" s="9">
        <v>12.4</v>
      </c>
      <c r="S301" s="7" t="s">
        <v>584</v>
      </c>
      <c r="T301" s="7" t="b">
        <v>0</v>
      </c>
      <c r="U301" s="7" t="s">
        <v>585</v>
      </c>
      <c r="V301" s="27" t="s">
        <v>586</v>
      </c>
      <c r="W301" s="7" t="s">
        <v>3295</v>
      </c>
      <c r="X301" s="28"/>
      <c r="Y301" s="28"/>
      <c r="Z301" s="28"/>
    </row>
    <row r="302">
      <c r="A302" s="7" t="s">
        <v>3296</v>
      </c>
      <c r="B302" s="7" t="s">
        <v>3297</v>
      </c>
      <c r="C302" s="7" t="s">
        <v>3298</v>
      </c>
      <c r="D302" s="7" t="s">
        <v>259</v>
      </c>
      <c r="E302" s="7" t="s">
        <v>3299</v>
      </c>
      <c r="F302" s="9">
        <v>8.786868</v>
      </c>
      <c r="G302" s="9">
        <v>99.911316</v>
      </c>
      <c r="H302" s="7" t="s">
        <v>1997</v>
      </c>
      <c r="I302" s="9">
        <v>0.67</v>
      </c>
      <c r="J302" s="28"/>
      <c r="K302" s="28"/>
      <c r="L302" s="28"/>
      <c r="M302" s="9"/>
      <c r="N302" s="7" t="s">
        <v>2894</v>
      </c>
      <c r="O302" s="7" t="s">
        <v>583</v>
      </c>
      <c r="P302" s="9">
        <v>3.0</v>
      </c>
      <c r="Q302" s="28"/>
      <c r="R302" s="9">
        <v>1422.4</v>
      </c>
      <c r="S302" s="7" t="s">
        <v>584</v>
      </c>
      <c r="T302" s="7" t="b">
        <v>0</v>
      </c>
      <c r="U302" s="7" t="s">
        <v>585</v>
      </c>
      <c r="V302" s="27" t="s">
        <v>586</v>
      </c>
      <c r="W302" s="7" t="s">
        <v>3300</v>
      </c>
      <c r="X302" s="28"/>
      <c r="Y302" s="28"/>
      <c r="Z302" s="28"/>
    </row>
    <row r="303">
      <c r="A303" s="7" t="s">
        <v>3301</v>
      </c>
      <c r="B303" s="7" t="s">
        <v>3302</v>
      </c>
      <c r="C303" s="7" t="s">
        <v>3303</v>
      </c>
      <c r="D303" s="7" t="s">
        <v>61</v>
      </c>
      <c r="E303" s="7" t="s">
        <v>3304</v>
      </c>
      <c r="F303" s="9">
        <v>16.60887</v>
      </c>
      <c r="G303" s="9">
        <v>100.36977</v>
      </c>
      <c r="H303" s="7" t="s">
        <v>576</v>
      </c>
      <c r="I303" s="9">
        <v>34.37</v>
      </c>
      <c r="J303" s="28"/>
      <c r="K303" s="28"/>
      <c r="L303" s="28"/>
      <c r="M303" s="9"/>
      <c r="N303" s="7" t="s">
        <v>2894</v>
      </c>
      <c r="O303" s="7" t="s">
        <v>583</v>
      </c>
      <c r="P303" s="9">
        <v>3.0</v>
      </c>
      <c r="Q303" s="28"/>
      <c r="R303" s="9">
        <v>12.4</v>
      </c>
      <c r="S303" s="7" t="s">
        <v>584</v>
      </c>
      <c r="T303" s="7" t="b">
        <v>0</v>
      </c>
      <c r="U303" s="7" t="s">
        <v>585</v>
      </c>
      <c r="V303" s="27" t="s">
        <v>586</v>
      </c>
      <c r="W303" s="7" t="s">
        <v>3305</v>
      </c>
      <c r="X303" s="28"/>
      <c r="Y303" s="28"/>
      <c r="Z303" s="28"/>
    </row>
    <row r="304">
      <c r="A304" s="7" t="s">
        <v>3308</v>
      </c>
      <c r="B304" s="7" t="s">
        <v>3309</v>
      </c>
      <c r="C304" s="7" t="s">
        <v>3311</v>
      </c>
      <c r="D304" s="7" t="s">
        <v>61</v>
      </c>
      <c r="E304" s="7" t="s">
        <v>3313</v>
      </c>
      <c r="F304" s="9">
        <v>17.253153</v>
      </c>
      <c r="G304" s="9">
        <v>100.62827</v>
      </c>
      <c r="H304" s="7" t="s">
        <v>576</v>
      </c>
      <c r="I304" s="9">
        <v>186.41</v>
      </c>
      <c r="J304" s="28"/>
      <c r="K304" s="28"/>
      <c r="L304" s="28"/>
      <c r="M304" s="9"/>
      <c r="N304" s="7" t="s">
        <v>2894</v>
      </c>
      <c r="O304" s="7" t="s">
        <v>583</v>
      </c>
      <c r="P304" s="9">
        <v>3.0</v>
      </c>
      <c r="Q304" s="28"/>
      <c r="R304" s="9">
        <v>12.4</v>
      </c>
      <c r="S304" s="7" t="s">
        <v>584</v>
      </c>
      <c r="T304" s="7" t="b">
        <v>0</v>
      </c>
      <c r="U304" s="7" t="s">
        <v>585</v>
      </c>
      <c r="V304" s="27" t="s">
        <v>586</v>
      </c>
      <c r="W304" s="7" t="s">
        <v>3318</v>
      </c>
      <c r="X304" s="28"/>
      <c r="Y304" s="28"/>
      <c r="Z304" s="28"/>
    </row>
    <row r="305">
      <c r="A305" s="7" t="s">
        <v>3319</v>
      </c>
      <c r="B305" s="7" t="s">
        <v>3320</v>
      </c>
      <c r="C305" s="7" t="s">
        <v>3321</v>
      </c>
      <c r="D305" s="7" t="s">
        <v>154</v>
      </c>
      <c r="E305" s="7" t="s">
        <v>1413</v>
      </c>
      <c r="F305" s="9">
        <v>14.05861</v>
      </c>
      <c r="G305" s="9">
        <v>99.445221</v>
      </c>
      <c r="H305" s="7" t="s">
        <v>618</v>
      </c>
      <c r="I305" s="9">
        <v>25.17</v>
      </c>
      <c r="J305" s="28"/>
      <c r="K305" s="28"/>
      <c r="L305" s="28"/>
      <c r="M305" s="9"/>
      <c r="N305" s="7" t="s">
        <v>2894</v>
      </c>
      <c r="O305" s="7" t="s">
        <v>583</v>
      </c>
      <c r="P305" s="9">
        <v>3.0</v>
      </c>
      <c r="Q305" s="28"/>
      <c r="R305" s="9">
        <v>82.4</v>
      </c>
      <c r="S305" s="7" t="s">
        <v>584</v>
      </c>
      <c r="T305" s="7" t="b">
        <v>0</v>
      </c>
      <c r="U305" s="7" t="s">
        <v>585</v>
      </c>
      <c r="V305" s="27" t="s">
        <v>586</v>
      </c>
      <c r="W305" s="7" t="s">
        <v>3322</v>
      </c>
      <c r="X305" s="28"/>
      <c r="Y305" s="28"/>
      <c r="Z305" s="28"/>
    </row>
    <row r="306">
      <c r="A306" s="7" t="s">
        <v>3323</v>
      </c>
      <c r="B306" s="7" t="s">
        <v>3324</v>
      </c>
      <c r="C306" s="7" t="s">
        <v>3325</v>
      </c>
      <c r="D306" s="7" t="s">
        <v>97</v>
      </c>
      <c r="E306" s="7" t="s">
        <v>1016</v>
      </c>
      <c r="F306" s="9">
        <v>14.62918</v>
      </c>
      <c r="G306" s="9">
        <v>101.014427</v>
      </c>
      <c r="H306" s="7" t="s">
        <v>618</v>
      </c>
      <c r="I306" s="9">
        <v>14.01</v>
      </c>
      <c r="J306" s="28"/>
      <c r="K306" s="28"/>
      <c r="L306" s="28"/>
      <c r="M306" s="9"/>
      <c r="N306" s="7" t="s">
        <v>2894</v>
      </c>
      <c r="O306" s="7" t="s">
        <v>583</v>
      </c>
      <c r="P306" s="9">
        <v>3.0</v>
      </c>
      <c r="Q306" s="28"/>
      <c r="R306" s="9">
        <v>82.4</v>
      </c>
      <c r="S306" s="7" t="s">
        <v>584</v>
      </c>
      <c r="T306" s="7" t="b">
        <v>0</v>
      </c>
      <c r="U306" s="7" t="s">
        <v>585</v>
      </c>
      <c r="V306" s="27" t="s">
        <v>586</v>
      </c>
      <c r="W306" s="7" t="s">
        <v>3326</v>
      </c>
      <c r="X306" s="28"/>
      <c r="Y306" s="28"/>
      <c r="Z306" s="28"/>
    </row>
    <row r="307">
      <c r="A307" s="7" t="s">
        <v>3327</v>
      </c>
      <c r="B307" s="7" t="s">
        <v>3328</v>
      </c>
      <c r="C307" s="7" t="s">
        <v>3329</v>
      </c>
      <c r="D307" s="7" t="s">
        <v>163</v>
      </c>
      <c r="E307" s="7" t="s">
        <v>1212</v>
      </c>
      <c r="F307" s="9">
        <v>14.133605</v>
      </c>
      <c r="G307" s="9">
        <v>101.72767</v>
      </c>
      <c r="H307" s="7" t="s">
        <v>576</v>
      </c>
      <c r="I307" s="9">
        <v>12.97</v>
      </c>
      <c r="J307" s="28"/>
      <c r="K307" s="28"/>
      <c r="L307" s="28"/>
      <c r="M307" s="9"/>
      <c r="N307" s="7" t="s">
        <v>2894</v>
      </c>
      <c r="O307" s="7" t="s">
        <v>583</v>
      </c>
      <c r="P307" s="9">
        <v>3.0</v>
      </c>
      <c r="Q307" s="28"/>
      <c r="R307" s="9">
        <v>12.4</v>
      </c>
      <c r="S307" s="7" t="s">
        <v>584</v>
      </c>
      <c r="T307" s="7" t="b">
        <v>0</v>
      </c>
      <c r="U307" s="7" t="s">
        <v>585</v>
      </c>
      <c r="V307" s="27" t="s">
        <v>586</v>
      </c>
      <c r="W307" s="7" t="s">
        <v>3330</v>
      </c>
      <c r="X307" s="28"/>
      <c r="Y307" s="28"/>
      <c r="Z307" s="28"/>
    </row>
    <row r="308">
      <c r="A308" s="7" t="s">
        <v>3331</v>
      </c>
      <c r="B308" s="7" t="s">
        <v>3332</v>
      </c>
      <c r="C308" s="7" t="s">
        <v>3333</v>
      </c>
      <c r="D308" s="7" t="s">
        <v>67</v>
      </c>
      <c r="E308" s="7" t="s">
        <v>3334</v>
      </c>
      <c r="F308" s="9">
        <v>18.546852</v>
      </c>
      <c r="G308" s="9">
        <v>99.25007</v>
      </c>
      <c r="H308" s="7" t="s">
        <v>576</v>
      </c>
      <c r="I308" s="9">
        <v>440.0</v>
      </c>
      <c r="J308" s="28"/>
      <c r="K308" s="28"/>
      <c r="L308" s="28"/>
      <c r="M308" s="9"/>
      <c r="N308" s="7" t="s">
        <v>2894</v>
      </c>
      <c r="O308" s="7" t="s">
        <v>583</v>
      </c>
      <c r="P308" s="9">
        <v>3.0</v>
      </c>
      <c r="Q308" s="28"/>
      <c r="R308" s="9">
        <v>12.4</v>
      </c>
      <c r="S308" s="7" t="s">
        <v>584</v>
      </c>
      <c r="T308" s="7" t="b">
        <v>0</v>
      </c>
      <c r="U308" s="7" t="s">
        <v>585</v>
      </c>
      <c r="V308" s="27" t="s">
        <v>586</v>
      </c>
      <c r="W308" s="7" t="s">
        <v>3336</v>
      </c>
      <c r="X308" s="28"/>
      <c r="Y308" s="28"/>
      <c r="Z308" s="28"/>
    </row>
    <row r="309">
      <c r="A309" s="7" t="s">
        <v>3337</v>
      </c>
      <c r="B309" s="7" t="s">
        <v>3338</v>
      </c>
      <c r="C309" s="7" t="s">
        <v>3339</v>
      </c>
      <c r="D309" s="7" t="s">
        <v>121</v>
      </c>
      <c r="E309" s="7" t="s">
        <v>1661</v>
      </c>
      <c r="F309" s="9">
        <v>13.11125</v>
      </c>
      <c r="G309" s="9">
        <v>99.948219</v>
      </c>
      <c r="H309" s="7" t="s">
        <v>618</v>
      </c>
      <c r="I309" s="9">
        <v>2.87</v>
      </c>
      <c r="J309" s="28"/>
      <c r="K309" s="28"/>
      <c r="L309" s="28"/>
      <c r="M309" s="9">
        <v>5.1</v>
      </c>
      <c r="N309" s="7" t="s">
        <v>2894</v>
      </c>
      <c r="O309" s="7" t="s">
        <v>583</v>
      </c>
      <c r="P309" s="9">
        <v>3.0</v>
      </c>
      <c r="Q309" s="28"/>
      <c r="R309" s="9">
        <v>82.4</v>
      </c>
      <c r="S309" s="7" t="s">
        <v>584</v>
      </c>
      <c r="T309" s="7" t="b">
        <v>0</v>
      </c>
      <c r="U309" s="7" t="s">
        <v>585</v>
      </c>
      <c r="V309" s="27" t="s">
        <v>586</v>
      </c>
      <c r="W309" s="7" t="s">
        <v>3340</v>
      </c>
      <c r="X309" s="28"/>
      <c r="Y309" s="28"/>
      <c r="Z309" s="28"/>
    </row>
    <row r="310">
      <c r="A310" s="7" t="s">
        <v>3341</v>
      </c>
      <c r="B310" s="7" t="s">
        <v>3342</v>
      </c>
      <c r="C310" s="7" t="s">
        <v>3343</v>
      </c>
      <c r="D310" s="7" t="s">
        <v>154</v>
      </c>
      <c r="E310" s="7" t="s">
        <v>767</v>
      </c>
      <c r="F310" s="9">
        <v>14.09336</v>
      </c>
      <c r="G310" s="9">
        <v>99.17583</v>
      </c>
      <c r="H310" s="7" t="s">
        <v>923</v>
      </c>
      <c r="I310" s="9">
        <v>40.09</v>
      </c>
      <c r="J310" s="28"/>
      <c r="K310" s="28"/>
      <c r="L310" s="28"/>
      <c r="M310" s="9">
        <v>40.7</v>
      </c>
      <c r="N310" s="7" t="s">
        <v>2894</v>
      </c>
      <c r="O310" s="7" t="s">
        <v>583</v>
      </c>
      <c r="P310" s="9">
        <v>3.0</v>
      </c>
      <c r="Q310" s="28"/>
      <c r="R310" s="9">
        <v>22.4</v>
      </c>
      <c r="S310" s="7" t="s">
        <v>584</v>
      </c>
      <c r="T310" s="7" t="b">
        <v>0</v>
      </c>
      <c r="U310" s="7" t="s">
        <v>585</v>
      </c>
      <c r="V310" s="27" t="s">
        <v>586</v>
      </c>
      <c r="W310" s="7" t="s">
        <v>3344</v>
      </c>
      <c r="X310" s="28"/>
      <c r="Y310" s="28"/>
      <c r="Z310" s="28"/>
    </row>
    <row r="311">
      <c r="A311" s="7" t="s">
        <v>3345</v>
      </c>
      <c r="B311" s="7" t="s">
        <v>3346</v>
      </c>
      <c r="C311" s="7" t="s">
        <v>3347</v>
      </c>
      <c r="D311" s="7" t="s">
        <v>121</v>
      </c>
      <c r="E311" s="7" t="s">
        <v>1661</v>
      </c>
      <c r="F311" s="9">
        <v>13.04917</v>
      </c>
      <c r="G311" s="9">
        <v>99.918549</v>
      </c>
      <c r="H311" s="7" t="s">
        <v>618</v>
      </c>
      <c r="I311" s="9">
        <v>5.86</v>
      </c>
      <c r="J311" s="28"/>
      <c r="K311" s="28"/>
      <c r="L311" s="28"/>
      <c r="M311" s="9"/>
      <c r="N311" s="7" t="s">
        <v>2894</v>
      </c>
      <c r="O311" s="7" t="s">
        <v>583</v>
      </c>
      <c r="P311" s="9">
        <v>3.0</v>
      </c>
      <c r="Q311" s="28"/>
      <c r="R311" s="9">
        <v>82.4</v>
      </c>
      <c r="S311" s="7" t="s">
        <v>584</v>
      </c>
      <c r="T311" s="7" t="b">
        <v>0</v>
      </c>
      <c r="U311" s="7" t="s">
        <v>585</v>
      </c>
      <c r="V311" s="27" t="s">
        <v>586</v>
      </c>
      <c r="W311" s="7" t="s">
        <v>3352</v>
      </c>
      <c r="X311" s="28"/>
      <c r="Y311" s="28"/>
      <c r="Z311" s="28"/>
    </row>
    <row r="312">
      <c r="A312" s="7" t="s">
        <v>3354</v>
      </c>
      <c r="B312" s="7" t="s">
        <v>3355</v>
      </c>
      <c r="C312" s="7" t="s">
        <v>3356</v>
      </c>
      <c r="D312" s="7" t="s">
        <v>101</v>
      </c>
      <c r="E312" s="7" t="s">
        <v>1016</v>
      </c>
      <c r="F312" s="9">
        <v>14.83464</v>
      </c>
      <c r="G312" s="9">
        <v>101.084297</v>
      </c>
      <c r="H312" s="7" t="s">
        <v>618</v>
      </c>
      <c r="I312" s="9">
        <v>24.53</v>
      </c>
      <c r="J312" s="28"/>
      <c r="K312" s="28"/>
      <c r="L312" s="28"/>
      <c r="M312" s="9"/>
      <c r="N312" s="7" t="s">
        <v>2894</v>
      </c>
      <c r="O312" s="7" t="s">
        <v>583</v>
      </c>
      <c r="P312" s="9">
        <v>3.0</v>
      </c>
      <c r="Q312" s="28"/>
      <c r="R312" s="9">
        <v>82.4</v>
      </c>
      <c r="S312" s="7" t="s">
        <v>584</v>
      </c>
      <c r="T312" s="7" t="b">
        <v>0</v>
      </c>
      <c r="U312" s="7" t="s">
        <v>585</v>
      </c>
      <c r="V312" s="27" t="s">
        <v>586</v>
      </c>
      <c r="W312" s="7" t="s">
        <v>3357</v>
      </c>
      <c r="X312" s="28"/>
      <c r="Y312" s="28"/>
      <c r="Z312" s="28"/>
    </row>
    <row r="313">
      <c r="A313" s="7" t="s">
        <v>3359</v>
      </c>
      <c r="B313" s="7" t="s">
        <v>3360</v>
      </c>
      <c r="C313" s="7" t="s">
        <v>3361</v>
      </c>
      <c r="D313" s="7" t="s">
        <v>61</v>
      </c>
      <c r="E313" s="7" t="s">
        <v>3362</v>
      </c>
      <c r="F313" s="9">
        <v>16.8222</v>
      </c>
      <c r="G313" s="9">
        <v>100.43159</v>
      </c>
      <c r="H313" s="7" t="s">
        <v>576</v>
      </c>
      <c r="I313" s="9">
        <v>44.62</v>
      </c>
      <c r="J313" s="28"/>
      <c r="K313" s="28"/>
      <c r="L313" s="28"/>
      <c r="M313" s="9"/>
      <c r="N313" s="7" t="s">
        <v>2894</v>
      </c>
      <c r="O313" s="7" t="s">
        <v>583</v>
      </c>
      <c r="P313" s="9">
        <v>3.0</v>
      </c>
      <c r="Q313" s="28"/>
      <c r="R313" s="9">
        <v>12.4</v>
      </c>
      <c r="S313" s="7" t="s">
        <v>584</v>
      </c>
      <c r="T313" s="7" t="b">
        <v>0</v>
      </c>
      <c r="U313" s="7" t="s">
        <v>585</v>
      </c>
      <c r="V313" s="27" t="s">
        <v>586</v>
      </c>
      <c r="W313" s="7" t="s">
        <v>3365</v>
      </c>
      <c r="X313" s="28"/>
      <c r="Y313" s="28"/>
      <c r="Z313" s="28"/>
    </row>
    <row r="314">
      <c r="A314" s="7" t="s">
        <v>3366</v>
      </c>
      <c r="B314" s="7" t="s">
        <v>3367</v>
      </c>
      <c r="C314" s="7" t="s">
        <v>3368</v>
      </c>
      <c r="D314" s="7" t="s">
        <v>86</v>
      </c>
      <c r="E314" s="7" t="s">
        <v>2799</v>
      </c>
      <c r="F314" s="9">
        <v>15.85051</v>
      </c>
      <c r="G314" s="9">
        <v>100.05206</v>
      </c>
      <c r="H314" s="7" t="s">
        <v>576</v>
      </c>
      <c r="I314" s="9">
        <v>29.31</v>
      </c>
      <c r="J314" s="28"/>
      <c r="K314" s="28"/>
      <c r="L314" s="28"/>
      <c r="M314" s="9"/>
      <c r="N314" s="7" t="s">
        <v>2894</v>
      </c>
      <c r="O314" s="7" t="s">
        <v>583</v>
      </c>
      <c r="P314" s="9">
        <v>3.0</v>
      </c>
      <c r="Q314" s="28"/>
      <c r="R314" s="9">
        <v>12.4</v>
      </c>
      <c r="S314" s="7" t="s">
        <v>584</v>
      </c>
      <c r="T314" s="7" t="b">
        <v>0</v>
      </c>
      <c r="U314" s="7" t="s">
        <v>585</v>
      </c>
      <c r="V314" s="27" t="s">
        <v>586</v>
      </c>
      <c r="W314" s="7" t="s">
        <v>3369</v>
      </c>
      <c r="X314" s="28"/>
      <c r="Y314" s="28"/>
      <c r="Z314" s="28"/>
    </row>
    <row r="315">
      <c r="A315" s="7" t="s">
        <v>3370</v>
      </c>
      <c r="B315" s="7" t="s">
        <v>3371</v>
      </c>
      <c r="C315" s="7" t="s">
        <v>3372</v>
      </c>
      <c r="D315" s="7" t="s">
        <v>157</v>
      </c>
      <c r="E315" s="7" t="s">
        <v>2809</v>
      </c>
      <c r="F315" s="9">
        <v>13.66804</v>
      </c>
      <c r="G315" s="9">
        <v>102.0756</v>
      </c>
      <c r="H315" s="7" t="s">
        <v>618</v>
      </c>
      <c r="I315" s="9">
        <v>45.12</v>
      </c>
      <c r="J315" s="28"/>
      <c r="K315" s="28"/>
      <c r="L315" s="28"/>
      <c r="M315" s="9"/>
      <c r="N315" s="7" t="s">
        <v>2894</v>
      </c>
      <c r="O315" s="7" t="s">
        <v>583</v>
      </c>
      <c r="P315" s="9">
        <v>3.0</v>
      </c>
      <c r="Q315" s="28"/>
      <c r="R315" s="9">
        <v>82.4</v>
      </c>
      <c r="S315" s="7" t="s">
        <v>584</v>
      </c>
      <c r="T315" s="7" t="b">
        <v>0</v>
      </c>
      <c r="U315" s="7" t="s">
        <v>585</v>
      </c>
      <c r="V315" s="27" t="s">
        <v>586</v>
      </c>
      <c r="W315" s="7" t="s">
        <v>3379</v>
      </c>
      <c r="X315" s="28"/>
      <c r="Y315" s="28"/>
      <c r="Z315" s="28"/>
    </row>
    <row r="316">
      <c r="A316" s="7" t="s">
        <v>3380</v>
      </c>
      <c r="B316" s="7" t="s">
        <v>3381</v>
      </c>
      <c r="C316" s="7" t="s">
        <v>3382</v>
      </c>
      <c r="D316" s="7" t="s">
        <v>91</v>
      </c>
      <c r="E316" s="7" t="s">
        <v>911</v>
      </c>
      <c r="F316" s="9">
        <v>15.3277</v>
      </c>
      <c r="G316" s="9">
        <v>100.10913</v>
      </c>
      <c r="H316" s="7" t="s">
        <v>576</v>
      </c>
      <c r="I316" s="9">
        <v>16.0</v>
      </c>
      <c r="J316" s="28"/>
      <c r="K316" s="28"/>
      <c r="L316" s="28"/>
      <c r="M316" s="9"/>
      <c r="N316" s="7" t="s">
        <v>2894</v>
      </c>
      <c r="O316" s="7" t="s">
        <v>583</v>
      </c>
      <c r="P316" s="9">
        <v>3.0</v>
      </c>
      <c r="Q316" s="28"/>
      <c r="R316" s="9">
        <v>12.4</v>
      </c>
      <c r="S316" s="7" t="s">
        <v>584</v>
      </c>
      <c r="T316" s="7" t="b">
        <v>0</v>
      </c>
      <c r="U316" s="7" t="s">
        <v>585</v>
      </c>
      <c r="V316" s="27" t="s">
        <v>586</v>
      </c>
      <c r="W316" s="7" t="s">
        <v>3383</v>
      </c>
      <c r="X316" s="28"/>
      <c r="Y316" s="28"/>
      <c r="Z316" s="28"/>
    </row>
    <row r="317">
      <c r="A317" s="7" t="s">
        <v>3384</v>
      </c>
      <c r="B317" s="7" t="s">
        <v>3385</v>
      </c>
      <c r="C317" s="7" t="s">
        <v>3386</v>
      </c>
      <c r="D317" s="7" t="s">
        <v>208</v>
      </c>
      <c r="E317" s="7" t="s">
        <v>3387</v>
      </c>
      <c r="F317" s="9">
        <v>17.860956</v>
      </c>
      <c r="G317" s="9">
        <v>101.61144</v>
      </c>
      <c r="H317" s="7" t="s">
        <v>576</v>
      </c>
      <c r="I317" s="9">
        <v>202.3</v>
      </c>
      <c r="J317" s="28"/>
      <c r="K317" s="28"/>
      <c r="L317" s="28"/>
      <c r="M317" s="9"/>
      <c r="N317" s="7" t="s">
        <v>2894</v>
      </c>
      <c r="O317" s="7" t="s">
        <v>583</v>
      </c>
      <c r="P317" s="9">
        <v>3.0</v>
      </c>
      <c r="Q317" s="28"/>
      <c r="R317" s="9">
        <v>12.4</v>
      </c>
      <c r="S317" s="7" t="s">
        <v>584</v>
      </c>
      <c r="T317" s="7" t="b">
        <v>0</v>
      </c>
      <c r="U317" s="7" t="s">
        <v>585</v>
      </c>
      <c r="V317" s="27" t="s">
        <v>586</v>
      </c>
      <c r="W317" s="7" t="s">
        <v>3388</v>
      </c>
      <c r="X317" s="28"/>
      <c r="Y317" s="28"/>
      <c r="Z317" s="28"/>
    </row>
    <row r="318">
      <c r="A318" s="7" t="s">
        <v>3389</v>
      </c>
      <c r="B318" s="7" t="s">
        <v>3390</v>
      </c>
      <c r="C318" s="7" t="s">
        <v>3391</v>
      </c>
      <c r="D318" s="7" t="s">
        <v>82</v>
      </c>
      <c r="E318" s="7"/>
      <c r="F318" s="9">
        <v>16.81476</v>
      </c>
      <c r="G318" s="9">
        <v>99.80374</v>
      </c>
      <c r="H318" s="7" t="s">
        <v>576</v>
      </c>
      <c r="I318" s="9">
        <v>46.46</v>
      </c>
      <c r="J318" s="28"/>
      <c r="K318" s="28"/>
      <c r="L318" s="28"/>
      <c r="M318" s="9"/>
      <c r="N318" s="7" t="s">
        <v>2894</v>
      </c>
      <c r="O318" s="7" t="s">
        <v>583</v>
      </c>
      <c r="P318" s="9">
        <v>3.0</v>
      </c>
      <c r="Q318" s="28"/>
      <c r="R318" s="9">
        <v>12.4</v>
      </c>
      <c r="S318" s="7" t="s">
        <v>584</v>
      </c>
      <c r="T318" s="7" t="b">
        <v>0</v>
      </c>
      <c r="U318" s="7" t="s">
        <v>585</v>
      </c>
      <c r="V318" s="27" t="s">
        <v>586</v>
      </c>
      <c r="W318" s="7" t="s">
        <v>3392</v>
      </c>
      <c r="X318" s="28"/>
      <c r="Y318" s="28"/>
      <c r="Z318" s="28"/>
    </row>
    <row r="319">
      <c r="A319" s="7" t="s">
        <v>3393</v>
      </c>
      <c r="B319" s="7" t="s">
        <v>3394</v>
      </c>
      <c r="C319" s="7" t="s">
        <v>3395</v>
      </c>
      <c r="D319" s="7" t="s">
        <v>183</v>
      </c>
      <c r="E319" s="7" t="s">
        <v>3396</v>
      </c>
      <c r="F319" s="9">
        <v>12.511324</v>
      </c>
      <c r="G319" s="9">
        <v>102.37168</v>
      </c>
      <c r="H319" s="7" t="s">
        <v>576</v>
      </c>
      <c r="I319" s="9">
        <v>3.39</v>
      </c>
      <c r="J319" s="28"/>
      <c r="K319" s="28"/>
      <c r="L319" s="28"/>
      <c r="M319" s="9"/>
      <c r="N319" s="7" t="s">
        <v>2894</v>
      </c>
      <c r="O319" s="7" t="s">
        <v>583</v>
      </c>
      <c r="P319" s="9">
        <v>3.0</v>
      </c>
      <c r="Q319" s="28"/>
      <c r="R319" s="9">
        <v>12.4</v>
      </c>
      <c r="S319" s="7" t="s">
        <v>584</v>
      </c>
      <c r="T319" s="7" t="b">
        <v>0</v>
      </c>
      <c r="U319" s="7" t="s">
        <v>585</v>
      </c>
      <c r="V319" s="27" t="s">
        <v>586</v>
      </c>
      <c r="W319" s="7" t="s">
        <v>3398</v>
      </c>
      <c r="X319" s="28"/>
      <c r="Y319" s="28"/>
      <c r="Z319" s="28"/>
    </row>
    <row r="320">
      <c r="A320" s="7" t="s">
        <v>3399</v>
      </c>
      <c r="B320" s="7" t="s">
        <v>3400</v>
      </c>
      <c r="C320" s="7" t="s">
        <v>3401</v>
      </c>
      <c r="D320" s="7" t="s">
        <v>260</v>
      </c>
      <c r="E320" s="7"/>
      <c r="F320" s="9">
        <v>9.063301</v>
      </c>
      <c r="G320" s="9">
        <v>99.093328</v>
      </c>
      <c r="H320" s="7" t="s">
        <v>923</v>
      </c>
      <c r="I320" s="9">
        <v>0.95</v>
      </c>
      <c r="J320" s="28"/>
      <c r="K320" s="28"/>
      <c r="L320" s="28"/>
      <c r="M320" s="9">
        <v>4.26</v>
      </c>
      <c r="N320" s="7" t="s">
        <v>2894</v>
      </c>
      <c r="O320" s="7" t="s">
        <v>583</v>
      </c>
      <c r="P320" s="9">
        <v>3.0</v>
      </c>
      <c r="Q320" s="28"/>
      <c r="R320" s="9">
        <v>22.4</v>
      </c>
      <c r="S320" s="7" t="s">
        <v>584</v>
      </c>
      <c r="T320" s="7" t="b">
        <v>0</v>
      </c>
      <c r="U320" s="7" t="s">
        <v>585</v>
      </c>
      <c r="V320" s="27" t="s">
        <v>586</v>
      </c>
      <c r="W320" s="7" t="s">
        <v>3402</v>
      </c>
      <c r="X320" s="28"/>
      <c r="Y320" s="28"/>
      <c r="Z320" s="28"/>
    </row>
    <row r="321">
      <c r="A321" s="7" t="s">
        <v>3403</v>
      </c>
      <c r="B321" s="7" t="s">
        <v>3404</v>
      </c>
      <c r="C321" s="7" t="s">
        <v>3405</v>
      </c>
      <c r="D321" s="7" t="s">
        <v>224</v>
      </c>
      <c r="E321" s="7" t="s">
        <v>3406</v>
      </c>
      <c r="F321" s="9">
        <v>14.63599</v>
      </c>
      <c r="G321" s="9">
        <v>101.884697</v>
      </c>
      <c r="H321" s="7" t="s">
        <v>618</v>
      </c>
      <c r="I321" s="9">
        <v>222.4</v>
      </c>
      <c r="J321" s="28"/>
      <c r="K321" s="28"/>
      <c r="L321" s="28"/>
      <c r="M321" s="9"/>
      <c r="N321" s="7" t="s">
        <v>2894</v>
      </c>
      <c r="O321" s="7" t="s">
        <v>583</v>
      </c>
      <c r="P321" s="9">
        <v>3.0</v>
      </c>
      <c r="Q321" s="28"/>
      <c r="R321" s="9">
        <v>82.4</v>
      </c>
      <c r="S321" s="7" t="s">
        <v>584</v>
      </c>
      <c r="T321" s="7" t="b">
        <v>0</v>
      </c>
      <c r="U321" s="7" t="s">
        <v>585</v>
      </c>
      <c r="V321" s="27" t="s">
        <v>586</v>
      </c>
      <c r="W321" s="7" t="s">
        <v>3407</v>
      </c>
      <c r="X321" s="28"/>
      <c r="Y321" s="28"/>
      <c r="Z321" s="28"/>
    </row>
    <row r="322">
      <c r="A322" s="7" t="s">
        <v>3408</v>
      </c>
      <c r="B322" s="7" t="s">
        <v>3409</v>
      </c>
      <c r="C322" s="7" t="s">
        <v>3410</v>
      </c>
      <c r="D322" s="7" t="s">
        <v>178</v>
      </c>
      <c r="E322" s="7" t="s">
        <v>3411</v>
      </c>
      <c r="F322" s="9">
        <v>12.95677</v>
      </c>
      <c r="G322" s="9">
        <v>101.672096</v>
      </c>
      <c r="H322" s="7" t="s">
        <v>3412</v>
      </c>
      <c r="I322" s="9">
        <v>30.75</v>
      </c>
      <c r="J322" s="28"/>
      <c r="K322" s="28"/>
      <c r="L322" s="28"/>
      <c r="M322" s="9"/>
      <c r="N322" s="7" t="s">
        <v>2894</v>
      </c>
      <c r="O322" s="7" t="s">
        <v>583</v>
      </c>
      <c r="P322" s="9">
        <v>3.0</v>
      </c>
      <c r="Q322" s="28"/>
      <c r="R322" s="9">
        <v>562.4</v>
      </c>
      <c r="S322" s="7" t="s">
        <v>584</v>
      </c>
      <c r="T322" s="7" t="b">
        <v>0</v>
      </c>
      <c r="U322" s="7" t="s">
        <v>585</v>
      </c>
      <c r="V322" s="27" t="s">
        <v>586</v>
      </c>
      <c r="W322" s="7" t="s">
        <v>3413</v>
      </c>
      <c r="X322" s="28"/>
      <c r="Y322" s="28"/>
      <c r="Z322" s="28"/>
    </row>
    <row r="323">
      <c r="A323" s="7" t="s">
        <v>3414</v>
      </c>
      <c r="B323" s="7" t="s">
        <v>3415</v>
      </c>
      <c r="C323" s="7" t="s">
        <v>3416</v>
      </c>
      <c r="D323" s="7" t="s">
        <v>230</v>
      </c>
      <c r="E323" s="7" t="s">
        <v>1892</v>
      </c>
      <c r="F323" s="9">
        <v>15.32958</v>
      </c>
      <c r="G323" s="9">
        <v>103.68261</v>
      </c>
      <c r="H323" s="7" t="s">
        <v>618</v>
      </c>
      <c r="I323" s="9">
        <v>121.08</v>
      </c>
      <c r="J323" s="28"/>
      <c r="K323" s="28"/>
      <c r="L323" s="28"/>
      <c r="M323" s="9"/>
      <c r="N323" s="7" t="s">
        <v>2894</v>
      </c>
      <c r="O323" s="7" t="s">
        <v>583</v>
      </c>
      <c r="P323" s="9">
        <v>3.0</v>
      </c>
      <c r="Q323" s="28"/>
      <c r="R323" s="9">
        <v>82.4</v>
      </c>
      <c r="S323" s="7" t="s">
        <v>584</v>
      </c>
      <c r="T323" s="7" t="b">
        <v>0</v>
      </c>
      <c r="U323" s="7" t="s">
        <v>585</v>
      </c>
      <c r="V323" s="27" t="s">
        <v>586</v>
      </c>
      <c r="W323" s="7" t="s">
        <v>3422</v>
      </c>
      <c r="X323" s="28"/>
      <c r="Y323" s="28"/>
      <c r="Z323" s="28"/>
    </row>
    <row r="324">
      <c r="A324" s="7" t="s">
        <v>3423</v>
      </c>
      <c r="B324" s="7" t="s">
        <v>3424</v>
      </c>
      <c r="C324" s="7" t="s">
        <v>3426</v>
      </c>
      <c r="D324" s="7" t="s">
        <v>61</v>
      </c>
      <c r="E324" s="7" t="s">
        <v>3427</v>
      </c>
      <c r="F324" s="9">
        <v>16.84712</v>
      </c>
      <c r="G324" s="9">
        <v>100.512093</v>
      </c>
      <c r="H324" s="7" t="s">
        <v>618</v>
      </c>
      <c r="I324" s="9">
        <v>47.43</v>
      </c>
      <c r="J324" s="28"/>
      <c r="K324" s="28"/>
      <c r="L324" s="28"/>
      <c r="M324" s="9"/>
      <c r="N324" s="7" t="s">
        <v>2894</v>
      </c>
      <c r="O324" s="7" t="s">
        <v>583</v>
      </c>
      <c r="P324" s="9">
        <v>3.0</v>
      </c>
      <c r="Q324" s="28"/>
      <c r="R324" s="9">
        <v>82.4</v>
      </c>
      <c r="S324" s="7" t="s">
        <v>584</v>
      </c>
      <c r="T324" s="7" t="b">
        <v>0</v>
      </c>
      <c r="U324" s="7" t="s">
        <v>585</v>
      </c>
      <c r="V324" s="27" t="s">
        <v>586</v>
      </c>
      <c r="W324" s="7" t="s">
        <v>3428</v>
      </c>
      <c r="X324" s="28"/>
      <c r="Y324" s="28"/>
      <c r="Z324" s="28"/>
    </row>
    <row r="325">
      <c r="A325" s="7" t="s">
        <v>3429</v>
      </c>
      <c r="B325" s="7" t="s">
        <v>3430</v>
      </c>
      <c r="C325" s="7" t="s">
        <v>3431</v>
      </c>
      <c r="D325" s="7" t="s">
        <v>84</v>
      </c>
      <c r="E325" s="7" t="s">
        <v>2799</v>
      </c>
      <c r="F325" s="9">
        <v>16.21414</v>
      </c>
      <c r="G325" s="9">
        <v>99.722328</v>
      </c>
      <c r="H325" s="7" t="s">
        <v>618</v>
      </c>
      <c r="I325" s="9">
        <v>54.09</v>
      </c>
      <c r="J325" s="28"/>
      <c r="K325" s="28"/>
      <c r="L325" s="28"/>
      <c r="M325" s="9"/>
      <c r="N325" s="7" t="s">
        <v>2894</v>
      </c>
      <c r="O325" s="7" t="s">
        <v>583</v>
      </c>
      <c r="P325" s="9">
        <v>3.0</v>
      </c>
      <c r="Q325" s="28"/>
      <c r="R325" s="9">
        <v>82.4</v>
      </c>
      <c r="S325" s="7" t="s">
        <v>584</v>
      </c>
      <c r="T325" s="7" t="b">
        <v>0</v>
      </c>
      <c r="U325" s="7" t="s">
        <v>585</v>
      </c>
      <c r="V325" s="27" t="s">
        <v>586</v>
      </c>
      <c r="W325" s="7" t="s">
        <v>3432</v>
      </c>
      <c r="X325" s="28"/>
      <c r="Y325" s="28"/>
      <c r="Z325" s="28"/>
    </row>
    <row r="326">
      <c r="A326" s="7" t="s">
        <v>3433</v>
      </c>
      <c r="B326" s="7" t="s">
        <v>3434</v>
      </c>
      <c r="C326" s="7" t="s">
        <v>3435</v>
      </c>
      <c r="D326" s="7" t="s">
        <v>212</v>
      </c>
      <c r="E326" s="7" t="s">
        <v>3436</v>
      </c>
      <c r="F326" s="9">
        <v>17.57572</v>
      </c>
      <c r="G326" s="9">
        <v>102.273346</v>
      </c>
      <c r="H326" s="7" t="s">
        <v>576</v>
      </c>
      <c r="I326" s="9">
        <v>197.96</v>
      </c>
      <c r="J326" s="28"/>
      <c r="K326" s="28"/>
      <c r="L326" s="28"/>
      <c r="M326" s="9"/>
      <c r="N326" s="7" t="s">
        <v>2894</v>
      </c>
      <c r="O326" s="7" t="s">
        <v>583</v>
      </c>
      <c r="P326" s="9">
        <v>3.0</v>
      </c>
      <c r="Q326" s="28"/>
      <c r="R326" s="9">
        <v>12.4</v>
      </c>
      <c r="S326" s="7" t="s">
        <v>584</v>
      </c>
      <c r="T326" s="7" t="b">
        <v>0</v>
      </c>
      <c r="U326" s="7" t="s">
        <v>585</v>
      </c>
      <c r="V326" s="27" t="s">
        <v>586</v>
      </c>
      <c r="W326" s="7" t="s">
        <v>3437</v>
      </c>
      <c r="X326" s="28"/>
      <c r="Y326" s="28"/>
      <c r="Z326" s="28"/>
    </row>
    <row r="327">
      <c r="A327" s="7" t="s">
        <v>3438</v>
      </c>
      <c r="B327" s="7" t="s">
        <v>3439</v>
      </c>
      <c r="C327" s="7" t="s">
        <v>3440</v>
      </c>
      <c r="D327" s="7" t="s">
        <v>240</v>
      </c>
      <c r="E327" s="7" t="s">
        <v>1892</v>
      </c>
      <c r="F327" s="9">
        <v>15.13208</v>
      </c>
      <c r="G327" s="9">
        <v>104.488403</v>
      </c>
      <c r="H327" s="7" t="s">
        <v>618</v>
      </c>
      <c r="I327" s="9">
        <v>112.36</v>
      </c>
      <c r="J327" s="28"/>
      <c r="K327" s="28"/>
      <c r="L327" s="28"/>
      <c r="M327" s="9"/>
      <c r="N327" s="7" t="s">
        <v>2894</v>
      </c>
      <c r="O327" s="7" t="s">
        <v>583</v>
      </c>
      <c r="P327" s="9">
        <v>3.0</v>
      </c>
      <c r="Q327" s="28"/>
      <c r="R327" s="9">
        <v>82.4</v>
      </c>
      <c r="S327" s="7" t="s">
        <v>584</v>
      </c>
      <c r="T327" s="7" t="b">
        <v>0</v>
      </c>
      <c r="U327" s="7" t="s">
        <v>585</v>
      </c>
      <c r="V327" s="27" t="s">
        <v>586</v>
      </c>
      <c r="W327" s="7" t="s">
        <v>3442</v>
      </c>
      <c r="X327" s="28"/>
      <c r="Y327" s="28"/>
      <c r="Z327" s="28"/>
    </row>
    <row r="328">
      <c r="A328" s="7" t="s">
        <v>3443</v>
      </c>
      <c r="B328" s="7" t="s">
        <v>3444</v>
      </c>
      <c r="C328" s="7" t="s">
        <v>3445</v>
      </c>
      <c r="D328" s="7" t="s">
        <v>194</v>
      </c>
      <c r="E328" s="7" t="s">
        <v>2542</v>
      </c>
      <c r="F328" s="9">
        <v>16.20825</v>
      </c>
      <c r="G328" s="9">
        <v>103.527641</v>
      </c>
      <c r="H328" s="7" t="s">
        <v>618</v>
      </c>
      <c r="I328" s="9">
        <v>133.33</v>
      </c>
      <c r="J328" s="28"/>
      <c r="K328" s="28"/>
      <c r="L328" s="28"/>
      <c r="M328" s="28"/>
      <c r="N328" s="7" t="s">
        <v>2894</v>
      </c>
      <c r="O328" s="7" t="s">
        <v>583</v>
      </c>
      <c r="P328" s="9">
        <v>3.0</v>
      </c>
      <c r="Q328" s="28"/>
      <c r="R328" s="9">
        <v>82.4</v>
      </c>
      <c r="S328" s="7" t="s">
        <v>584</v>
      </c>
      <c r="T328" s="7" t="b">
        <v>0</v>
      </c>
      <c r="U328" s="7" t="s">
        <v>585</v>
      </c>
      <c r="V328" s="27" t="s">
        <v>586</v>
      </c>
      <c r="W328" s="7" t="s">
        <v>3446</v>
      </c>
      <c r="X328" s="28"/>
      <c r="Y328" s="28"/>
      <c r="Z328" s="28"/>
    </row>
    <row r="329">
      <c r="A329" s="7" t="s">
        <v>3447</v>
      </c>
      <c r="B329" s="7" t="s">
        <v>3448</v>
      </c>
      <c r="C329" s="7" t="s">
        <v>3449</v>
      </c>
      <c r="D329" s="7" t="s">
        <v>260</v>
      </c>
      <c r="E329" s="7" t="s">
        <v>3450</v>
      </c>
      <c r="F329" s="9">
        <v>9.368512</v>
      </c>
      <c r="G329" s="9">
        <v>98.867485</v>
      </c>
      <c r="H329" s="7" t="s">
        <v>576</v>
      </c>
      <c r="I329" s="9">
        <v>152.75</v>
      </c>
      <c r="J329" s="28"/>
      <c r="K329" s="28"/>
      <c r="L329" s="28"/>
      <c r="M329" s="28"/>
      <c r="N329" s="7" t="s">
        <v>2894</v>
      </c>
      <c r="O329" s="7" t="s">
        <v>583</v>
      </c>
      <c r="P329" s="9">
        <v>3.0</v>
      </c>
      <c r="Q329" s="28"/>
      <c r="R329" s="9">
        <v>12.4</v>
      </c>
      <c r="S329" s="7" t="s">
        <v>584</v>
      </c>
      <c r="T329" s="7" t="b">
        <v>0</v>
      </c>
      <c r="U329" s="7" t="s">
        <v>585</v>
      </c>
      <c r="V329" s="27" t="s">
        <v>586</v>
      </c>
      <c r="W329" s="7" t="s">
        <v>3451</v>
      </c>
      <c r="X329" s="28"/>
      <c r="Y329" s="28"/>
      <c r="Z329" s="28"/>
    </row>
    <row r="330">
      <c r="A330" s="7" t="s">
        <v>3452</v>
      </c>
      <c r="B330" s="7" t="s">
        <v>3453</v>
      </c>
      <c r="C330" s="7" t="s">
        <v>3454</v>
      </c>
      <c r="D330" s="7" t="s">
        <v>77</v>
      </c>
      <c r="E330" s="7" t="s">
        <v>1016</v>
      </c>
      <c r="F330" s="9">
        <v>16.78151</v>
      </c>
      <c r="G330" s="9">
        <v>101.2467</v>
      </c>
      <c r="H330" s="7" t="s">
        <v>576</v>
      </c>
      <c r="I330" s="9">
        <v>141.91</v>
      </c>
      <c r="J330" s="28"/>
      <c r="K330" s="28"/>
      <c r="L330" s="28"/>
      <c r="M330" s="9"/>
      <c r="N330" s="7" t="s">
        <v>2894</v>
      </c>
      <c r="O330" s="7" t="s">
        <v>583</v>
      </c>
      <c r="P330" s="9">
        <v>3.0</v>
      </c>
      <c r="Q330" s="28"/>
      <c r="R330" s="9">
        <v>12.4</v>
      </c>
      <c r="S330" s="7" t="s">
        <v>584</v>
      </c>
      <c r="T330" s="7" t="b">
        <v>0</v>
      </c>
      <c r="U330" s="7" t="s">
        <v>585</v>
      </c>
      <c r="V330" s="27" t="s">
        <v>586</v>
      </c>
      <c r="W330" s="7" t="s">
        <v>3459</v>
      </c>
      <c r="X330" s="28"/>
      <c r="Y330" s="28"/>
      <c r="Z330" s="28"/>
    </row>
    <row r="331">
      <c r="A331" s="7" t="s">
        <v>3461</v>
      </c>
      <c r="B331" s="7" t="s">
        <v>3462</v>
      </c>
      <c r="C331" s="7" t="s">
        <v>3463</v>
      </c>
      <c r="D331" s="7" t="s">
        <v>194</v>
      </c>
      <c r="E331" s="7" t="s">
        <v>2542</v>
      </c>
      <c r="F331" s="9">
        <v>16.034149</v>
      </c>
      <c r="G331" s="9">
        <v>103.906937</v>
      </c>
      <c r="H331" s="7" t="s">
        <v>618</v>
      </c>
      <c r="I331" s="9">
        <v>126.69</v>
      </c>
      <c r="J331" s="28"/>
      <c r="K331" s="28"/>
      <c r="L331" s="28"/>
      <c r="M331" s="9"/>
      <c r="N331" s="7" t="s">
        <v>2894</v>
      </c>
      <c r="O331" s="7" t="s">
        <v>583</v>
      </c>
      <c r="P331" s="9">
        <v>3.0</v>
      </c>
      <c r="Q331" s="28"/>
      <c r="R331" s="9">
        <v>82.4</v>
      </c>
      <c r="S331" s="7" t="s">
        <v>584</v>
      </c>
      <c r="T331" s="7" t="b">
        <v>0</v>
      </c>
      <c r="U331" s="7" t="s">
        <v>585</v>
      </c>
      <c r="V331" s="27" t="s">
        <v>586</v>
      </c>
      <c r="W331" s="7" t="s">
        <v>3465</v>
      </c>
      <c r="X331" s="28"/>
      <c r="Y331" s="28"/>
      <c r="Z331" s="28"/>
    </row>
    <row r="332">
      <c r="A332" s="7" t="s">
        <v>3466</v>
      </c>
      <c r="B332" s="7" t="s">
        <v>3467</v>
      </c>
      <c r="C332" s="7" t="s">
        <v>3468</v>
      </c>
      <c r="D332" s="7" t="s">
        <v>74</v>
      </c>
      <c r="E332" s="7" t="s">
        <v>3469</v>
      </c>
      <c r="F332" s="9">
        <v>17.20499</v>
      </c>
      <c r="G332" s="9">
        <v>99.098122</v>
      </c>
      <c r="H332" s="7" t="s">
        <v>618</v>
      </c>
      <c r="I332" s="9">
        <v>133.65</v>
      </c>
      <c r="J332" s="28"/>
      <c r="K332" s="28"/>
      <c r="L332" s="28"/>
      <c r="M332" s="9"/>
      <c r="N332" s="7" t="s">
        <v>2894</v>
      </c>
      <c r="O332" s="7" t="s">
        <v>583</v>
      </c>
      <c r="P332" s="9">
        <v>3.0</v>
      </c>
      <c r="Q332" s="28"/>
      <c r="R332" s="9">
        <v>82.4</v>
      </c>
      <c r="S332" s="7" t="s">
        <v>584</v>
      </c>
      <c r="T332" s="7" t="b">
        <v>0</v>
      </c>
      <c r="U332" s="7" t="s">
        <v>585</v>
      </c>
      <c r="V332" s="27" t="s">
        <v>586</v>
      </c>
      <c r="W332" s="7" t="s">
        <v>3470</v>
      </c>
      <c r="X332" s="28"/>
      <c r="Y332" s="28"/>
      <c r="Z332" s="28"/>
    </row>
    <row r="333">
      <c r="A333" s="7" t="s">
        <v>3471</v>
      </c>
      <c r="B333" s="7" t="s">
        <v>3472</v>
      </c>
      <c r="C333" s="7" t="s">
        <v>3473</v>
      </c>
      <c r="D333" s="7" t="s">
        <v>286</v>
      </c>
      <c r="E333" s="7" t="s">
        <v>3474</v>
      </c>
      <c r="F333" s="9">
        <v>7.079418</v>
      </c>
      <c r="G333" s="9">
        <v>100.42788</v>
      </c>
      <c r="H333" s="7" t="s">
        <v>576</v>
      </c>
      <c r="I333" s="9">
        <v>0.11</v>
      </c>
      <c r="J333" s="28"/>
      <c r="K333" s="28"/>
      <c r="L333" s="28"/>
      <c r="M333" s="9"/>
      <c r="N333" s="7" t="s">
        <v>2894</v>
      </c>
      <c r="O333" s="7" t="s">
        <v>583</v>
      </c>
      <c r="P333" s="9">
        <v>3.0</v>
      </c>
      <c r="Q333" s="28"/>
      <c r="R333" s="9">
        <v>12.4</v>
      </c>
      <c r="S333" s="7" t="s">
        <v>584</v>
      </c>
      <c r="T333" s="7" t="b">
        <v>0</v>
      </c>
      <c r="U333" s="7" t="s">
        <v>585</v>
      </c>
      <c r="V333" s="27" t="s">
        <v>586</v>
      </c>
      <c r="W333" s="7" t="s">
        <v>3475</v>
      </c>
      <c r="X333" s="28"/>
      <c r="Y333" s="28"/>
      <c r="Z333" s="28"/>
    </row>
    <row r="334">
      <c r="A334" s="7" t="s">
        <v>3476</v>
      </c>
      <c r="B334" s="7" t="s">
        <v>3477</v>
      </c>
      <c r="C334" s="7" t="s">
        <v>3478</v>
      </c>
      <c r="D334" s="7" t="s">
        <v>9</v>
      </c>
      <c r="E334" s="7" t="s">
        <v>3479</v>
      </c>
      <c r="F334" s="9">
        <v>20.014154</v>
      </c>
      <c r="G334" s="9">
        <v>99.26691</v>
      </c>
      <c r="H334" s="7" t="s">
        <v>576</v>
      </c>
      <c r="I334" s="9">
        <v>459.6</v>
      </c>
      <c r="J334" s="28"/>
      <c r="K334" s="28"/>
      <c r="L334" s="28"/>
      <c r="M334" s="9"/>
      <c r="N334" s="7" t="s">
        <v>2894</v>
      </c>
      <c r="O334" s="7" t="s">
        <v>583</v>
      </c>
      <c r="P334" s="9">
        <v>3.0</v>
      </c>
      <c r="Q334" s="28"/>
      <c r="R334" s="9">
        <v>12.4</v>
      </c>
      <c r="S334" s="7" t="s">
        <v>584</v>
      </c>
      <c r="T334" s="7" t="b">
        <v>0</v>
      </c>
      <c r="U334" s="7" t="s">
        <v>585</v>
      </c>
      <c r="V334" s="27" t="s">
        <v>586</v>
      </c>
      <c r="W334" s="7" t="s">
        <v>3480</v>
      </c>
      <c r="X334" s="28"/>
      <c r="Y334" s="28"/>
      <c r="Z334" s="28"/>
    </row>
    <row r="335">
      <c r="A335" s="7" t="s">
        <v>3481</v>
      </c>
      <c r="B335" s="7" t="s">
        <v>3482</v>
      </c>
      <c r="C335" s="7" t="s">
        <v>3483</v>
      </c>
      <c r="D335" s="7" t="s">
        <v>65</v>
      </c>
      <c r="E335" s="7" t="s">
        <v>3469</v>
      </c>
      <c r="F335" s="9">
        <v>18.19154</v>
      </c>
      <c r="G335" s="9">
        <v>99.396873</v>
      </c>
      <c r="H335" s="7" t="s">
        <v>2800</v>
      </c>
      <c r="I335" s="9">
        <v>216.93</v>
      </c>
      <c r="J335" s="28"/>
      <c r="K335" s="28"/>
      <c r="L335" s="28"/>
      <c r="M335" s="9"/>
      <c r="N335" s="7" t="s">
        <v>2894</v>
      </c>
      <c r="O335" s="7" t="s">
        <v>583</v>
      </c>
      <c r="P335" s="9">
        <v>3.0</v>
      </c>
      <c r="Q335" s="28"/>
      <c r="R335" s="9">
        <v>382.4</v>
      </c>
      <c r="S335" s="7" t="s">
        <v>584</v>
      </c>
      <c r="T335" s="7" t="b">
        <v>0</v>
      </c>
      <c r="U335" s="7" t="s">
        <v>585</v>
      </c>
      <c r="V335" s="27" t="s">
        <v>586</v>
      </c>
      <c r="W335" s="7" t="s">
        <v>3485</v>
      </c>
      <c r="X335" s="28"/>
      <c r="Y335" s="28"/>
      <c r="Z335" s="28"/>
    </row>
    <row r="336">
      <c r="A336" s="7" t="s">
        <v>3486</v>
      </c>
      <c r="B336" s="7" t="s">
        <v>3487</v>
      </c>
      <c r="C336" s="7" t="s">
        <v>3488</v>
      </c>
      <c r="D336" s="7" t="s">
        <v>175</v>
      </c>
      <c r="E336" s="7" t="s">
        <v>2687</v>
      </c>
      <c r="F336" s="9">
        <v>12.76323</v>
      </c>
      <c r="G336" s="9">
        <v>102.138039</v>
      </c>
      <c r="H336" s="7" t="s">
        <v>618</v>
      </c>
      <c r="I336" s="9">
        <v>9.41</v>
      </c>
      <c r="J336" s="28"/>
      <c r="K336" s="28"/>
      <c r="L336" s="28"/>
      <c r="M336" s="9"/>
      <c r="N336" s="7" t="s">
        <v>2894</v>
      </c>
      <c r="O336" s="7" t="s">
        <v>583</v>
      </c>
      <c r="P336" s="9">
        <v>3.0</v>
      </c>
      <c r="Q336" s="28"/>
      <c r="R336" s="9">
        <v>82.4</v>
      </c>
      <c r="S336" s="7" t="s">
        <v>584</v>
      </c>
      <c r="T336" s="7" t="b">
        <v>0</v>
      </c>
      <c r="U336" s="7" t="s">
        <v>585</v>
      </c>
      <c r="V336" s="27" t="s">
        <v>586</v>
      </c>
      <c r="W336" s="7" t="s">
        <v>3489</v>
      </c>
      <c r="X336" s="28"/>
      <c r="Y336" s="28"/>
      <c r="Z336" s="28"/>
    </row>
    <row r="337">
      <c r="A337" s="7" t="s">
        <v>3490</v>
      </c>
      <c r="B337" s="7" t="s">
        <v>3491</v>
      </c>
      <c r="C337" s="7" t="s">
        <v>3492</v>
      </c>
      <c r="D337" s="7" t="s">
        <v>61</v>
      </c>
      <c r="E337" s="7"/>
      <c r="F337" s="9">
        <v>17.185375</v>
      </c>
      <c r="G337" s="9">
        <v>100.68031</v>
      </c>
      <c r="H337" s="7" t="s">
        <v>576</v>
      </c>
      <c r="I337" s="9">
        <v>183.15</v>
      </c>
      <c r="J337" s="28"/>
      <c r="K337" s="28"/>
      <c r="L337" s="28"/>
      <c r="M337" s="9"/>
      <c r="N337" s="7" t="s">
        <v>2894</v>
      </c>
      <c r="O337" s="7" t="s">
        <v>583</v>
      </c>
      <c r="P337" s="9">
        <v>3.0</v>
      </c>
      <c r="Q337" s="28"/>
      <c r="R337" s="9">
        <v>12.4</v>
      </c>
      <c r="S337" s="7" t="s">
        <v>584</v>
      </c>
      <c r="T337" s="7" t="b">
        <v>0</v>
      </c>
      <c r="U337" s="7" t="s">
        <v>585</v>
      </c>
      <c r="V337" s="27" t="s">
        <v>586</v>
      </c>
      <c r="W337" s="7" t="s">
        <v>3493</v>
      </c>
      <c r="X337" s="28"/>
      <c r="Y337" s="28"/>
      <c r="Z337" s="28"/>
    </row>
    <row r="338">
      <c r="A338" s="7" t="s">
        <v>3494</v>
      </c>
      <c r="B338" s="7" t="s">
        <v>3495</v>
      </c>
      <c r="C338" s="7" t="s">
        <v>3496</v>
      </c>
      <c r="D338" s="7" t="s">
        <v>74</v>
      </c>
      <c r="E338" s="7"/>
      <c r="F338" s="9">
        <v>17.238336</v>
      </c>
      <c r="G338" s="9">
        <v>99.026296</v>
      </c>
      <c r="H338" s="7" t="s">
        <v>923</v>
      </c>
      <c r="I338" s="9">
        <v>132.57</v>
      </c>
      <c r="J338" s="28"/>
      <c r="K338" s="28"/>
      <c r="L338" s="28"/>
      <c r="M338" s="9">
        <v>134.44</v>
      </c>
      <c r="N338" s="7" t="s">
        <v>2894</v>
      </c>
      <c r="O338" s="7" t="s">
        <v>583</v>
      </c>
      <c r="P338" s="9">
        <v>3.0</v>
      </c>
      <c r="Q338" s="28"/>
      <c r="R338" s="9">
        <v>22.4</v>
      </c>
      <c r="S338" s="7" t="s">
        <v>584</v>
      </c>
      <c r="T338" s="7" t="b">
        <v>0</v>
      </c>
      <c r="U338" s="7" t="s">
        <v>585</v>
      </c>
      <c r="V338" s="27" t="s">
        <v>586</v>
      </c>
      <c r="W338" s="7" t="s">
        <v>3497</v>
      </c>
      <c r="X338" s="28"/>
      <c r="Y338" s="28"/>
      <c r="Z338" s="28"/>
    </row>
    <row r="339">
      <c r="A339" s="7" t="s">
        <v>3500</v>
      </c>
      <c r="B339" s="7" t="s">
        <v>3501</v>
      </c>
      <c r="C339" s="7" t="s">
        <v>3503</v>
      </c>
      <c r="D339" s="7" t="s">
        <v>193</v>
      </c>
      <c r="E339" s="7"/>
      <c r="F339" s="9">
        <v>15.95243</v>
      </c>
      <c r="G339" s="9">
        <v>103.19807</v>
      </c>
      <c r="H339" s="7" t="s">
        <v>576</v>
      </c>
      <c r="I339" s="9">
        <v>157.29</v>
      </c>
      <c r="J339" s="28"/>
      <c r="K339" s="28"/>
      <c r="L339" s="28"/>
      <c r="M339" s="28"/>
      <c r="N339" s="7" t="s">
        <v>2894</v>
      </c>
      <c r="O339" s="7" t="s">
        <v>583</v>
      </c>
      <c r="P339" s="9">
        <v>3.0</v>
      </c>
      <c r="Q339" s="28"/>
      <c r="R339" s="9">
        <v>12.4</v>
      </c>
      <c r="S339" s="7" t="s">
        <v>584</v>
      </c>
      <c r="T339" s="7" t="b">
        <v>0</v>
      </c>
      <c r="U339" s="7" t="s">
        <v>585</v>
      </c>
      <c r="V339" s="27" t="s">
        <v>586</v>
      </c>
      <c r="W339" s="7" t="s">
        <v>3506</v>
      </c>
      <c r="X339" s="28"/>
      <c r="Y339" s="28"/>
      <c r="Z339" s="28"/>
    </row>
    <row r="340">
      <c r="A340" s="7" t="s">
        <v>3508</v>
      </c>
      <c r="B340" s="7" t="s">
        <v>3509</v>
      </c>
      <c r="C340" s="7" t="s">
        <v>3510</v>
      </c>
      <c r="D340" s="7" t="s">
        <v>240</v>
      </c>
      <c r="E340" s="7" t="s">
        <v>1892</v>
      </c>
      <c r="F340" s="9">
        <v>15.33953</v>
      </c>
      <c r="G340" s="9">
        <v>104.15237</v>
      </c>
      <c r="H340" s="7" t="s">
        <v>576</v>
      </c>
      <c r="I340" s="9">
        <v>113.92</v>
      </c>
      <c r="J340" s="28"/>
      <c r="K340" s="28"/>
      <c r="L340" s="28"/>
      <c r="M340" s="9"/>
      <c r="N340" s="7" t="s">
        <v>2894</v>
      </c>
      <c r="O340" s="7" t="s">
        <v>583</v>
      </c>
      <c r="P340" s="9">
        <v>3.0</v>
      </c>
      <c r="Q340" s="28"/>
      <c r="R340" s="9">
        <v>12.4</v>
      </c>
      <c r="S340" s="7" t="s">
        <v>584</v>
      </c>
      <c r="T340" s="7" t="b">
        <v>0</v>
      </c>
      <c r="U340" s="7" t="s">
        <v>585</v>
      </c>
      <c r="V340" s="27" t="s">
        <v>586</v>
      </c>
      <c r="W340" s="7" t="s">
        <v>3511</v>
      </c>
      <c r="X340" s="28"/>
      <c r="Y340" s="28"/>
      <c r="Z340" s="28"/>
    </row>
    <row r="341">
      <c r="A341" s="7" t="s">
        <v>3512</v>
      </c>
      <c r="B341" s="7" t="s">
        <v>3513</v>
      </c>
      <c r="C341" s="7" t="s">
        <v>3514</v>
      </c>
      <c r="D341" s="7" t="s">
        <v>203</v>
      </c>
      <c r="E341" s="7" t="s">
        <v>1881</v>
      </c>
      <c r="F341" s="9">
        <v>17.67484</v>
      </c>
      <c r="G341" s="9">
        <v>104.28581</v>
      </c>
      <c r="H341" s="7" t="s">
        <v>576</v>
      </c>
      <c r="I341" s="9">
        <v>137.76</v>
      </c>
      <c r="J341" s="28"/>
      <c r="K341" s="28"/>
      <c r="L341" s="28"/>
      <c r="M341" s="9"/>
      <c r="N341" s="7" t="s">
        <v>2894</v>
      </c>
      <c r="O341" s="7" t="s">
        <v>583</v>
      </c>
      <c r="P341" s="9">
        <v>3.0</v>
      </c>
      <c r="Q341" s="28"/>
      <c r="R341" s="9">
        <v>12.4</v>
      </c>
      <c r="S341" s="7" t="s">
        <v>584</v>
      </c>
      <c r="T341" s="7" t="b">
        <v>0</v>
      </c>
      <c r="U341" s="7" t="s">
        <v>585</v>
      </c>
      <c r="V341" s="27" t="s">
        <v>586</v>
      </c>
      <c r="W341" s="7" t="s">
        <v>3515</v>
      </c>
      <c r="X341" s="28"/>
      <c r="Y341" s="28"/>
      <c r="Z341" s="28"/>
    </row>
    <row r="342">
      <c r="A342" s="7" t="s">
        <v>3516</v>
      </c>
      <c r="B342" s="7" t="s">
        <v>3517</v>
      </c>
      <c r="C342" s="7" t="s">
        <v>3518</v>
      </c>
      <c r="D342" s="7" t="s">
        <v>234</v>
      </c>
      <c r="E342" s="7" t="s">
        <v>1892</v>
      </c>
      <c r="F342" s="9">
        <v>15.310499</v>
      </c>
      <c r="G342" s="9">
        <v>105.49311</v>
      </c>
      <c r="H342" s="7" t="s">
        <v>576</v>
      </c>
      <c r="I342" s="9">
        <v>95.58</v>
      </c>
      <c r="J342" s="28"/>
      <c r="K342" s="28"/>
      <c r="L342" s="28"/>
      <c r="M342" s="9"/>
      <c r="N342" s="7" t="s">
        <v>2894</v>
      </c>
      <c r="O342" s="7" t="s">
        <v>583</v>
      </c>
      <c r="P342" s="9">
        <v>3.0</v>
      </c>
      <c r="Q342" s="28"/>
      <c r="R342" s="9">
        <v>12.4</v>
      </c>
      <c r="S342" s="7" t="s">
        <v>584</v>
      </c>
      <c r="T342" s="7" t="b">
        <v>0</v>
      </c>
      <c r="U342" s="7" t="s">
        <v>585</v>
      </c>
      <c r="V342" s="27" t="s">
        <v>586</v>
      </c>
      <c r="W342" s="7" t="s">
        <v>3519</v>
      </c>
      <c r="X342" s="28"/>
      <c r="Y342" s="28"/>
      <c r="Z342" s="28"/>
    </row>
    <row r="343">
      <c r="A343" s="7" t="s">
        <v>3520</v>
      </c>
      <c r="B343" s="7" t="s">
        <v>3521</v>
      </c>
      <c r="C343" s="7" t="s">
        <v>3522</v>
      </c>
      <c r="D343" s="7" t="s">
        <v>136</v>
      </c>
      <c r="E343" s="7" t="s">
        <v>3523</v>
      </c>
      <c r="F343" s="9">
        <v>14.320748</v>
      </c>
      <c r="G343" s="9">
        <v>100.017395</v>
      </c>
      <c r="H343" s="7" t="s">
        <v>576</v>
      </c>
      <c r="I343" s="9">
        <v>-0.16</v>
      </c>
      <c r="J343" s="28"/>
      <c r="K343" s="28"/>
      <c r="L343" s="28"/>
      <c r="M343" s="9"/>
      <c r="N343" s="7" t="s">
        <v>2894</v>
      </c>
      <c r="O343" s="7" t="s">
        <v>583</v>
      </c>
      <c r="P343" s="9">
        <v>3.0</v>
      </c>
      <c r="Q343" s="28"/>
      <c r="R343" s="9">
        <v>12.4</v>
      </c>
      <c r="S343" s="7" t="s">
        <v>584</v>
      </c>
      <c r="T343" s="7" t="b">
        <v>0</v>
      </c>
      <c r="U343" s="7" t="s">
        <v>585</v>
      </c>
      <c r="V343" s="27" t="s">
        <v>586</v>
      </c>
      <c r="W343" s="7" t="s">
        <v>3525</v>
      </c>
      <c r="X343" s="28"/>
      <c r="Y343" s="28"/>
      <c r="Z343" s="28"/>
    </row>
    <row r="344">
      <c r="A344" s="7" t="s">
        <v>3526</v>
      </c>
      <c r="B344" s="7" t="s">
        <v>3527</v>
      </c>
      <c r="C344" s="7" t="s">
        <v>3528</v>
      </c>
      <c r="D344" s="7" t="s">
        <v>292</v>
      </c>
      <c r="E344" s="7" t="s">
        <v>3274</v>
      </c>
      <c r="F344" s="9">
        <v>7.371991</v>
      </c>
      <c r="G344" s="9">
        <v>99.677246</v>
      </c>
      <c r="H344" s="7" t="s">
        <v>576</v>
      </c>
      <c r="I344" s="9">
        <v>2.16</v>
      </c>
      <c r="J344" s="28"/>
      <c r="K344" s="28"/>
      <c r="L344" s="28"/>
      <c r="M344" s="9"/>
      <c r="N344" s="7" t="s">
        <v>2894</v>
      </c>
      <c r="O344" s="7" t="s">
        <v>583</v>
      </c>
      <c r="P344" s="9">
        <v>3.0</v>
      </c>
      <c r="Q344" s="28"/>
      <c r="R344" s="9">
        <v>12.4</v>
      </c>
      <c r="S344" s="7" t="s">
        <v>584</v>
      </c>
      <c r="T344" s="7" t="b">
        <v>0</v>
      </c>
      <c r="U344" s="7" t="s">
        <v>585</v>
      </c>
      <c r="V344" s="27" t="s">
        <v>586</v>
      </c>
      <c r="W344" s="7" t="s">
        <v>3529</v>
      </c>
      <c r="X344" s="28"/>
      <c r="Y344" s="28"/>
      <c r="Z344" s="28"/>
    </row>
    <row r="345">
      <c r="A345" s="7" t="s">
        <v>3530</v>
      </c>
      <c r="B345" s="7" t="s">
        <v>3531</v>
      </c>
      <c r="C345" s="7" t="s">
        <v>2586</v>
      </c>
      <c r="D345" s="7" t="s">
        <v>84</v>
      </c>
      <c r="E345" s="7" t="s">
        <v>2799</v>
      </c>
      <c r="F345" s="9">
        <v>16.064671</v>
      </c>
      <c r="G345" s="9">
        <v>99.860191</v>
      </c>
      <c r="H345" s="7" t="s">
        <v>618</v>
      </c>
      <c r="I345" s="9">
        <v>42.53</v>
      </c>
      <c r="J345" s="28"/>
      <c r="K345" s="28"/>
      <c r="L345" s="28"/>
      <c r="M345" s="9"/>
      <c r="N345" s="7" t="s">
        <v>2894</v>
      </c>
      <c r="O345" s="7" t="s">
        <v>583</v>
      </c>
      <c r="P345" s="9">
        <v>3.0</v>
      </c>
      <c r="Q345" s="28"/>
      <c r="R345" s="9">
        <v>82.4</v>
      </c>
      <c r="S345" s="7" t="s">
        <v>584</v>
      </c>
      <c r="T345" s="7" t="b">
        <v>0</v>
      </c>
      <c r="U345" s="7" t="s">
        <v>585</v>
      </c>
      <c r="V345" s="27" t="s">
        <v>586</v>
      </c>
      <c r="W345" s="7" t="s">
        <v>3532</v>
      </c>
      <c r="X345" s="28"/>
      <c r="Y345" s="28"/>
      <c r="Z345" s="28"/>
    </row>
    <row r="346">
      <c r="A346" s="7" t="s">
        <v>3533</v>
      </c>
      <c r="B346" s="7" t="s">
        <v>3534</v>
      </c>
      <c r="C346" s="7" t="s">
        <v>3535</v>
      </c>
      <c r="D346" s="7" t="s">
        <v>82</v>
      </c>
      <c r="E346" s="7" t="s">
        <v>3536</v>
      </c>
      <c r="F346" s="9">
        <v>17.074213</v>
      </c>
      <c r="G346" s="9">
        <v>100.00566</v>
      </c>
      <c r="H346" s="7" t="s">
        <v>576</v>
      </c>
      <c r="I346" s="9">
        <v>43.91</v>
      </c>
      <c r="J346" s="28"/>
      <c r="K346" s="28"/>
      <c r="L346" s="28"/>
      <c r="M346" s="9"/>
      <c r="N346" s="7" t="s">
        <v>2894</v>
      </c>
      <c r="O346" s="7" t="s">
        <v>583</v>
      </c>
      <c r="P346" s="9">
        <v>3.0</v>
      </c>
      <c r="Q346" s="28"/>
      <c r="R346" s="9">
        <v>12.4</v>
      </c>
      <c r="S346" s="7" t="s">
        <v>584</v>
      </c>
      <c r="T346" s="7" t="b">
        <v>0</v>
      </c>
      <c r="U346" s="7" t="s">
        <v>585</v>
      </c>
      <c r="V346" s="27" t="s">
        <v>586</v>
      </c>
      <c r="W346" s="7" t="s">
        <v>3537</v>
      </c>
      <c r="X346" s="28"/>
      <c r="Y346" s="28"/>
      <c r="Z346" s="28"/>
    </row>
    <row r="347">
      <c r="A347" s="7" t="s">
        <v>3538</v>
      </c>
      <c r="B347" s="7" t="s">
        <v>3539</v>
      </c>
      <c r="C347" s="7" t="s">
        <v>3540</v>
      </c>
      <c r="D347" s="7" t="s">
        <v>84</v>
      </c>
      <c r="E347" s="7" t="s">
        <v>2799</v>
      </c>
      <c r="F347" s="9">
        <v>16.06475</v>
      </c>
      <c r="G347" s="9">
        <v>99.8603</v>
      </c>
      <c r="H347" s="7" t="s">
        <v>576</v>
      </c>
      <c r="I347" s="9">
        <v>42.38</v>
      </c>
      <c r="J347" s="28"/>
      <c r="K347" s="28"/>
      <c r="L347" s="28"/>
      <c r="M347" s="9"/>
      <c r="N347" s="7" t="s">
        <v>2894</v>
      </c>
      <c r="O347" s="7" t="s">
        <v>583</v>
      </c>
      <c r="P347" s="9">
        <v>3.0</v>
      </c>
      <c r="Q347" s="28"/>
      <c r="R347" s="9">
        <v>12.4</v>
      </c>
      <c r="S347" s="7" t="s">
        <v>584</v>
      </c>
      <c r="T347" s="7" t="b">
        <v>0</v>
      </c>
      <c r="U347" s="7" t="s">
        <v>585</v>
      </c>
      <c r="V347" s="27" t="s">
        <v>586</v>
      </c>
      <c r="W347" s="7" t="s">
        <v>3545</v>
      </c>
      <c r="X347" s="28"/>
      <c r="Y347" s="28"/>
      <c r="Z347" s="28"/>
    </row>
    <row r="348">
      <c r="A348" s="7" t="s">
        <v>3547</v>
      </c>
      <c r="B348" s="7" t="s">
        <v>3548</v>
      </c>
      <c r="C348" s="7" t="s">
        <v>3549</v>
      </c>
      <c r="D348" s="7" t="s">
        <v>178</v>
      </c>
      <c r="E348" s="7" t="s">
        <v>1972</v>
      </c>
      <c r="F348" s="9">
        <v>12.849195</v>
      </c>
      <c r="G348" s="9">
        <v>101.301346</v>
      </c>
      <c r="H348" s="7" t="s">
        <v>576</v>
      </c>
      <c r="I348" s="9">
        <v>12.52</v>
      </c>
      <c r="J348" s="28"/>
      <c r="K348" s="28"/>
      <c r="L348" s="28"/>
      <c r="M348" s="9"/>
      <c r="N348" s="7" t="s">
        <v>2894</v>
      </c>
      <c r="O348" s="7" t="s">
        <v>583</v>
      </c>
      <c r="P348" s="9">
        <v>3.0</v>
      </c>
      <c r="Q348" s="28"/>
      <c r="R348" s="9">
        <v>12.4</v>
      </c>
      <c r="S348" s="7" t="s">
        <v>584</v>
      </c>
      <c r="T348" s="7" t="b">
        <v>0</v>
      </c>
      <c r="U348" s="7" t="s">
        <v>585</v>
      </c>
      <c r="V348" s="27" t="s">
        <v>586</v>
      </c>
      <c r="W348" s="7" t="s">
        <v>3551</v>
      </c>
      <c r="X348" s="28"/>
      <c r="Y348" s="28"/>
      <c r="Z348" s="28"/>
    </row>
    <row r="349">
      <c r="A349" s="7" t="s">
        <v>3552</v>
      </c>
      <c r="B349" s="7" t="s">
        <v>3553</v>
      </c>
      <c r="C349" s="7" t="s">
        <v>3554</v>
      </c>
      <c r="D349" s="7" t="s">
        <v>276</v>
      </c>
      <c r="E349" s="7" t="s">
        <v>3555</v>
      </c>
      <c r="F349" s="9">
        <v>8.82934</v>
      </c>
      <c r="G349" s="9">
        <v>98.36924</v>
      </c>
      <c r="H349" s="7" t="s">
        <v>1951</v>
      </c>
      <c r="I349" s="9">
        <v>-0.3</v>
      </c>
      <c r="J349" s="28"/>
      <c r="K349" s="28"/>
      <c r="L349" s="28"/>
      <c r="M349" s="9"/>
      <c r="N349" s="7" t="s">
        <v>2894</v>
      </c>
      <c r="O349" s="7" t="s">
        <v>583</v>
      </c>
      <c r="P349" s="9">
        <v>3.0</v>
      </c>
      <c r="Q349" s="28"/>
      <c r="R349" s="9">
        <v>202.4</v>
      </c>
      <c r="S349" s="7" t="s">
        <v>584</v>
      </c>
      <c r="T349" s="7" t="b">
        <v>0</v>
      </c>
      <c r="U349" s="7" t="s">
        <v>585</v>
      </c>
      <c r="V349" s="27" t="s">
        <v>586</v>
      </c>
      <c r="W349" s="7" t="s">
        <v>3556</v>
      </c>
      <c r="X349" s="28"/>
      <c r="Y349" s="28"/>
      <c r="Z349" s="28"/>
    </row>
    <row r="350">
      <c r="A350" s="7" t="s">
        <v>3557</v>
      </c>
      <c r="B350" s="7" t="s">
        <v>3558</v>
      </c>
      <c r="C350" s="7" t="s">
        <v>3559</v>
      </c>
      <c r="D350" s="7" t="s">
        <v>286</v>
      </c>
      <c r="E350" s="7"/>
      <c r="F350" s="9">
        <v>7.779112</v>
      </c>
      <c r="G350" s="9">
        <v>100.36791</v>
      </c>
      <c r="H350" s="7" t="s">
        <v>576</v>
      </c>
      <c r="I350" s="9">
        <v>0.62</v>
      </c>
      <c r="J350" s="28"/>
      <c r="K350" s="28"/>
      <c r="L350" s="28"/>
      <c r="M350" s="9"/>
      <c r="N350" s="7" t="s">
        <v>2894</v>
      </c>
      <c r="O350" s="7" t="s">
        <v>583</v>
      </c>
      <c r="P350" s="9">
        <v>3.0</v>
      </c>
      <c r="Q350" s="28"/>
      <c r="R350" s="9">
        <v>12.4</v>
      </c>
      <c r="S350" s="7" t="s">
        <v>584</v>
      </c>
      <c r="T350" s="7" t="b">
        <v>0</v>
      </c>
      <c r="U350" s="7" t="s">
        <v>585</v>
      </c>
      <c r="V350" s="27" t="s">
        <v>586</v>
      </c>
      <c r="W350" s="7" t="s">
        <v>3560</v>
      </c>
      <c r="X350" s="28"/>
      <c r="Y350" s="28"/>
      <c r="Z350" s="28"/>
    </row>
    <row r="351">
      <c r="A351" s="7" t="s">
        <v>3561</v>
      </c>
      <c r="B351" s="7" t="s">
        <v>3562</v>
      </c>
      <c r="C351" s="7" t="s">
        <v>3563</v>
      </c>
      <c r="D351" s="7" t="s">
        <v>190</v>
      </c>
      <c r="E351" s="7" t="s">
        <v>2542</v>
      </c>
      <c r="F351" s="9">
        <v>16.356001</v>
      </c>
      <c r="G351" s="9">
        <v>102.804291</v>
      </c>
      <c r="H351" s="7" t="s">
        <v>618</v>
      </c>
      <c r="I351" s="9">
        <v>147.41</v>
      </c>
      <c r="J351" s="28"/>
      <c r="K351" s="28"/>
      <c r="L351" s="28"/>
      <c r="M351" s="9">
        <v>152.3</v>
      </c>
      <c r="N351" s="7" t="s">
        <v>2894</v>
      </c>
      <c r="O351" s="7" t="s">
        <v>583</v>
      </c>
      <c r="P351" s="9">
        <v>3.0</v>
      </c>
      <c r="Q351" s="28"/>
      <c r="R351" s="9">
        <v>82.4</v>
      </c>
      <c r="S351" s="7" t="s">
        <v>584</v>
      </c>
      <c r="T351" s="7" t="b">
        <v>0</v>
      </c>
      <c r="U351" s="7" t="s">
        <v>585</v>
      </c>
      <c r="V351" s="27" t="s">
        <v>586</v>
      </c>
      <c r="W351" s="7" t="s">
        <v>3564</v>
      </c>
      <c r="X351" s="28"/>
      <c r="Y351" s="28"/>
      <c r="Z351" s="28"/>
    </row>
    <row r="352">
      <c r="A352" s="7" t="s">
        <v>3566</v>
      </c>
      <c r="B352" s="7" t="s">
        <v>3567</v>
      </c>
      <c r="C352" s="7" t="s">
        <v>3568</v>
      </c>
      <c r="D352" s="7" t="s">
        <v>121</v>
      </c>
      <c r="E352" s="7" t="s">
        <v>1661</v>
      </c>
      <c r="F352" s="9">
        <v>13.08562</v>
      </c>
      <c r="G352" s="9">
        <v>99.94393</v>
      </c>
      <c r="H352" s="7" t="s">
        <v>576</v>
      </c>
      <c r="I352" s="9">
        <v>2.99</v>
      </c>
      <c r="J352" s="28"/>
      <c r="K352" s="28"/>
      <c r="L352" s="28"/>
      <c r="M352" s="9"/>
      <c r="N352" s="7" t="s">
        <v>2894</v>
      </c>
      <c r="O352" s="7" t="s">
        <v>583</v>
      </c>
      <c r="P352" s="9">
        <v>3.0</v>
      </c>
      <c r="Q352" s="28"/>
      <c r="R352" s="9">
        <v>12.4</v>
      </c>
      <c r="S352" s="7" t="s">
        <v>584</v>
      </c>
      <c r="T352" s="7" t="b">
        <v>0</v>
      </c>
      <c r="U352" s="7" t="s">
        <v>585</v>
      </c>
      <c r="V352" s="27" t="s">
        <v>586</v>
      </c>
      <c r="W352" s="7" t="s">
        <v>3570</v>
      </c>
      <c r="X352" s="28"/>
      <c r="Y352" s="28"/>
      <c r="Z352" s="28"/>
    </row>
    <row r="353">
      <c r="A353" s="7" t="s">
        <v>3571</v>
      </c>
      <c r="B353" s="7" t="s">
        <v>3572</v>
      </c>
      <c r="C353" s="7" t="s">
        <v>3573</v>
      </c>
      <c r="D353" s="7" t="s">
        <v>286</v>
      </c>
      <c r="E353" s="7" t="s">
        <v>3574</v>
      </c>
      <c r="F353" s="9">
        <v>6.98637</v>
      </c>
      <c r="G353" s="9">
        <v>100.481857</v>
      </c>
      <c r="H353" s="7" t="s">
        <v>1951</v>
      </c>
      <c r="I353" s="9">
        <v>4.68</v>
      </c>
      <c r="J353" s="28"/>
      <c r="K353" s="28"/>
      <c r="L353" s="28"/>
      <c r="M353" s="9"/>
      <c r="N353" s="7" t="s">
        <v>2894</v>
      </c>
      <c r="O353" s="7" t="s">
        <v>583</v>
      </c>
      <c r="P353" s="9">
        <v>3.0</v>
      </c>
      <c r="Q353" s="28"/>
      <c r="R353" s="9">
        <v>202.4</v>
      </c>
      <c r="S353" s="7" t="s">
        <v>584</v>
      </c>
      <c r="T353" s="7" t="b">
        <v>0</v>
      </c>
      <c r="U353" s="7" t="s">
        <v>585</v>
      </c>
      <c r="V353" s="27" t="s">
        <v>586</v>
      </c>
      <c r="W353" s="7" t="s">
        <v>3575</v>
      </c>
      <c r="X353" s="28"/>
      <c r="Y353" s="28"/>
      <c r="Z353" s="28"/>
    </row>
    <row r="354">
      <c r="A354" s="7" t="s">
        <v>3576</v>
      </c>
      <c r="B354" s="7" t="s">
        <v>3577</v>
      </c>
      <c r="C354" s="7" t="s">
        <v>3578</v>
      </c>
      <c r="D354" s="7" t="s">
        <v>9</v>
      </c>
      <c r="E354" s="7" t="s">
        <v>2799</v>
      </c>
      <c r="F354" s="9">
        <v>18.25341</v>
      </c>
      <c r="G354" s="9">
        <v>98.641411</v>
      </c>
      <c r="H354" s="7" t="s">
        <v>3579</v>
      </c>
      <c r="I354" s="9">
        <v>259.43</v>
      </c>
      <c r="J354" s="28"/>
      <c r="K354" s="28"/>
      <c r="L354" s="28"/>
      <c r="M354" s="9"/>
      <c r="N354" s="7" t="s">
        <v>2894</v>
      </c>
      <c r="O354" s="7" t="s">
        <v>583</v>
      </c>
      <c r="P354" s="9">
        <v>3.0</v>
      </c>
      <c r="Q354" s="28"/>
      <c r="R354" s="9">
        <v>262.4</v>
      </c>
      <c r="S354" s="7" t="s">
        <v>584</v>
      </c>
      <c r="T354" s="7" t="b">
        <v>0</v>
      </c>
      <c r="U354" s="7" t="s">
        <v>585</v>
      </c>
      <c r="V354" s="27" t="s">
        <v>586</v>
      </c>
      <c r="W354" s="7" t="s">
        <v>3580</v>
      </c>
      <c r="X354" s="28"/>
      <c r="Y354" s="28"/>
      <c r="Z354" s="28"/>
    </row>
    <row r="355">
      <c r="A355" s="7" t="s">
        <v>3581</v>
      </c>
      <c r="B355" s="7" t="s">
        <v>3582</v>
      </c>
      <c r="C355" s="7" t="s">
        <v>3583</v>
      </c>
      <c r="D355" s="7" t="s">
        <v>82</v>
      </c>
      <c r="E355" s="7" t="s">
        <v>1047</v>
      </c>
      <c r="F355" s="9">
        <v>17.16888</v>
      </c>
      <c r="G355" s="9">
        <v>99.860977</v>
      </c>
      <c r="H355" s="7" t="s">
        <v>618</v>
      </c>
      <c r="I355" s="9">
        <v>51.05</v>
      </c>
      <c r="J355" s="28"/>
      <c r="K355" s="28"/>
      <c r="L355" s="28"/>
      <c r="M355" s="9"/>
      <c r="N355" s="7" t="s">
        <v>2894</v>
      </c>
      <c r="O355" s="7" t="s">
        <v>583</v>
      </c>
      <c r="P355" s="9">
        <v>3.0</v>
      </c>
      <c r="Q355" s="28"/>
      <c r="R355" s="9">
        <v>82.4</v>
      </c>
      <c r="S355" s="7" t="s">
        <v>584</v>
      </c>
      <c r="T355" s="7" t="b">
        <v>0</v>
      </c>
      <c r="U355" s="7" t="s">
        <v>585</v>
      </c>
      <c r="V355" s="27" t="s">
        <v>586</v>
      </c>
      <c r="W355" s="7" t="s">
        <v>3586</v>
      </c>
      <c r="X355" s="28"/>
      <c r="Y355" s="28"/>
      <c r="Z355" s="28"/>
    </row>
    <row r="356">
      <c r="A356" s="7" t="s">
        <v>3588</v>
      </c>
      <c r="B356" s="7" t="s">
        <v>3590</v>
      </c>
      <c r="C356" s="7" t="s">
        <v>3591</v>
      </c>
      <c r="D356" s="7" t="s">
        <v>63</v>
      </c>
      <c r="E356" s="7" t="s">
        <v>3592</v>
      </c>
      <c r="F356" s="9">
        <v>18.882099</v>
      </c>
      <c r="G356" s="9">
        <v>100.291382</v>
      </c>
      <c r="H356" s="7" t="s">
        <v>3579</v>
      </c>
      <c r="I356" s="9">
        <v>260.56</v>
      </c>
      <c r="J356" s="28"/>
      <c r="K356" s="28"/>
      <c r="L356" s="28"/>
      <c r="M356" s="9"/>
      <c r="N356" s="7" t="s">
        <v>2894</v>
      </c>
      <c r="O356" s="7" t="s">
        <v>583</v>
      </c>
      <c r="P356" s="9">
        <v>3.0</v>
      </c>
      <c r="Q356" s="28"/>
      <c r="R356" s="9">
        <v>262.4</v>
      </c>
      <c r="S356" s="7" t="s">
        <v>584</v>
      </c>
      <c r="T356" s="7" t="b">
        <v>0</v>
      </c>
      <c r="U356" s="7" t="s">
        <v>585</v>
      </c>
      <c r="V356" s="27" t="s">
        <v>586</v>
      </c>
      <c r="W356" s="7" t="s">
        <v>3595</v>
      </c>
      <c r="X356" s="28"/>
      <c r="Y356" s="28"/>
      <c r="Z356" s="28"/>
    </row>
    <row r="357">
      <c r="A357" s="7" t="s">
        <v>3596</v>
      </c>
      <c r="B357" s="7" t="s">
        <v>3597</v>
      </c>
      <c r="C357" s="7" t="s">
        <v>3598</v>
      </c>
      <c r="D357" s="7" t="s">
        <v>283</v>
      </c>
      <c r="E357" s="7" t="s">
        <v>3599</v>
      </c>
      <c r="F357" s="9">
        <v>10.5072</v>
      </c>
      <c r="G357" s="9">
        <v>99.117798</v>
      </c>
      <c r="H357" s="7" t="s">
        <v>1951</v>
      </c>
      <c r="I357" s="9">
        <v>5.29</v>
      </c>
      <c r="J357" s="28"/>
      <c r="K357" s="28"/>
      <c r="L357" s="28"/>
      <c r="M357" s="9"/>
      <c r="N357" s="7" t="s">
        <v>2894</v>
      </c>
      <c r="O357" s="7" t="s">
        <v>583</v>
      </c>
      <c r="P357" s="9">
        <v>3.0</v>
      </c>
      <c r="Q357" s="28"/>
      <c r="R357" s="9">
        <v>202.4</v>
      </c>
      <c r="S357" s="7" t="s">
        <v>584</v>
      </c>
      <c r="T357" s="7" t="b">
        <v>0</v>
      </c>
      <c r="U357" s="7" t="s">
        <v>585</v>
      </c>
      <c r="V357" s="27" t="s">
        <v>586</v>
      </c>
      <c r="W357" s="7" t="s">
        <v>3600</v>
      </c>
      <c r="X357" s="28"/>
      <c r="Y357" s="28"/>
      <c r="Z357" s="28"/>
    </row>
    <row r="358">
      <c r="A358" s="7" t="s">
        <v>3601</v>
      </c>
      <c r="B358" s="7" t="s">
        <v>3602</v>
      </c>
      <c r="C358" s="7" t="s">
        <v>3603</v>
      </c>
      <c r="D358" s="7" t="s">
        <v>53</v>
      </c>
      <c r="E358" s="7"/>
      <c r="F358" s="9">
        <v>19.72628</v>
      </c>
      <c r="G358" s="9">
        <v>99.50745</v>
      </c>
      <c r="H358" s="7" t="s">
        <v>923</v>
      </c>
      <c r="I358" s="9">
        <v>507.06</v>
      </c>
      <c r="J358" s="28"/>
      <c r="K358" s="28"/>
      <c r="L358" s="28"/>
      <c r="M358" s="9"/>
      <c r="N358" s="7" t="s">
        <v>2894</v>
      </c>
      <c r="O358" s="7" t="s">
        <v>583</v>
      </c>
      <c r="P358" s="9">
        <v>3.0</v>
      </c>
      <c r="Q358" s="28"/>
      <c r="R358" s="9">
        <v>22.4</v>
      </c>
      <c r="S358" s="7" t="s">
        <v>584</v>
      </c>
      <c r="T358" s="7" t="b">
        <v>0</v>
      </c>
      <c r="U358" s="7" t="s">
        <v>585</v>
      </c>
      <c r="V358" s="27" t="s">
        <v>586</v>
      </c>
      <c r="W358" s="7" t="s">
        <v>3604</v>
      </c>
      <c r="X358" s="28"/>
      <c r="Y358" s="28"/>
      <c r="Z358" s="28"/>
    </row>
    <row r="359">
      <c r="A359" s="7" t="s">
        <v>3605</v>
      </c>
      <c r="B359" s="7" t="s">
        <v>3606</v>
      </c>
      <c r="C359" s="7" t="s">
        <v>3607</v>
      </c>
      <c r="D359" s="7" t="s">
        <v>198</v>
      </c>
      <c r="E359" s="7" t="s">
        <v>3608</v>
      </c>
      <c r="F359" s="9">
        <v>17.482368</v>
      </c>
      <c r="G359" s="9">
        <v>102.79713</v>
      </c>
      <c r="H359" s="7" t="s">
        <v>576</v>
      </c>
      <c r="I359" s="9">
        <v>168.41</v>
      </c>
      <c r="J359" s="28"/>
      <c r="K359" s="28"/>
      <c r="L359" s="28"/>
      <c r="M359" s="9"/>
      <c r="N359" s="7" t="s">
        <v>2894</v>
      </c>
      <c r="O359" s="7" t="s">
        <v>583</v>
      </c>
      <c r="P359" s="9">
        <v>3.0</v>
      </c>
      <c r="Q359" s="28"/>
      <c r="R359" s="9">
        <v>12.4</v>
      </c>
      <c r="S359" s="7" t="s">
        <v>584</v>
      </c>
      <c r="T359" s="7" t="b">
        <v>0</v>
      </c>
      <c r="U359" s="7" t="s">
        <v>585</v>
      </c>
      <c r="V359" s="27" t="s">
        <v>586</v>
      </c>
      <c r="W359" s="7" t="s">
        <v>3609</v>
      </c>
      <c r="X359" s="28"/>
      <c r="Y359" s="28"/>
      <c r="Z359" s="28"/>
    </row>
    <row r="360">
      <c r="A360" s="7" t="s">
        <v>3610</v>
      </c>
      <c r="B360" s="7" t="s">
        <v>3611</v>
      </c>
      <c r="C360" s="7" t="s">
        <v>3612</v>
      </c>
      <c r="D360" s="7" t="s">
        <v>241</v>
      </c>
      <c r="E360" s="7" t="s">
        <v>3613</v>
      </c>
      <c r="F360" s="9">
        <v>16.345835</v>
      </c>
      <c r="G360" s="9">
        <v>104.889885</v>
      </c>
      <c r="H360" s="7" t="s">
        <v>3614</v>
      </c>
      <c r="I360" s="9">
        <v>127.19</v>
      </c>
      <c r="J360" s="28"/>
      <c r="K360" s="28"/>
      <c r="L360" s="28"/>
      <c r="M360" s="9"/>
      <c r="N360" s="7" t="s">
        <v>2894</v>
      </c>
      <c r="O360" s="7" t="s">
        <v>583</v>
      </c>
      <c r="P360" s="9">
        <v>3.0</v>
      </c>
      <c r="Q360" s="28"/>
      <c r="R360" s="9">
        <v>302.4</v>
      </c>
      <c r="S360" s="7" t="s">
        <v>584</v>
      </c>
      <c r="T360" s="7" t="b">
        <v>0</v>
      </c>
      <c r="U360" s="7" t="s">
        <v>585</v>
      </c>
      <c r="V360" s="27" t="s">
        <v>586</v>
      </c>
      <c r="W360" s="7" t="s">
        <v>3616</v>
      </c>
      <c r="X360" s="28"/>
      <c r="Y360" s="28"/>
      <c r="Z360" s="28"/>
    </row>
    <row r="361">
      <c r="A361" s="7" t="s">
        <v>3617</v>
      </c>
      <c r="B361" s="7" t="s">
        <v>3618</v>
      </c>
      <c r="C361" s="7" t="s">
        <v>3619</v>
      </c>
      <c r="D361" s="7" t="s">
        <v>234</v>
      </c>
      <c r="E361" s="7" t="s">
        <v>1892</v>
      </c>
      <c r="F361" s="9">
        <v>15.249705</v>
      </c>
      <c r="G361" s="9">
        <v>105.2393</v>
      </c>
      <c r="H361" s="7" t="s">
        <v>576</v>
      </c>
      <c r="I361" s="9">
        <v>108.55</v>
      </c>
      <c r="J361" s="28"/>
      <c r="K361" s="28"/>
      <c r="L361" s="28"/>
      <c r="M361" s="9"/>
      <c r="N361" s="7" t="s">
        <v>2894</v>
      </c>
      <c r="O361" s="7" t="s">
        <v>583</v>
      </c>
      <c r="P361" s="9">
        <v>3.0</v>
      </c>
      <c r="Q361" s="28"/>
      <c r="R361" s="9">
        <v>12.4</v>
      </c>
      <c r="S361" s="7" t="s">
        <v>584</v>
      </c>
      <c r="T361" s="7" t="b">
        <v>0</v>
      </c>
      <c r="U361" s="7" t="s">
        <v>585</v>
      </c>
      <c r="V361" s="27" t="s">
        <v>586</v>
      </c>
      <c r="W361" s="7" t="s">
        <v>3620</v>
      </c>
      <c r="X361" s="28"/>
      <c r="Y361" s="28"/>
      <c r="Z361" s="28"/>
    </row>
    <row r="362">
      <c r="A362" s="7" t="s">
        <v>3621</v>
      </c>
      <c r="B362" s="7" t="s">
        <v>3622</v>
      </c>
      <c r="C362" s="7" t="s">
        <v>3623</v>
      </c>
      <c r="D362" s="7" t="s">
        <v>220</v>
      </c>
      <c r="E362" s="7" t="s">
        <v>3624</v>
      </c>
      <c r="F362" s="9">
        <v>16.31431</v>
      </c>
      <c r="G362" s="9">
        <v>101.875816</v>
      </c>
      <c r="H362" s="7" t="s">
        <v>618</v>
      </c>
      <c r="I362" s="9">
        <v>228.6</v>
      </c>
      <c r="J362" s="28"/>
      <c r="K362" s="28"/>
      <c r="L362" s="28"/>
      <c r="M362" s="9"/>
      <c r="N362" s="7" t="s">
        <v>2894</v>
      </c>
      <c r="O362" s="7" t="s">
        <v>583</v>
      </c>
      <c r="P362" s="9">
        <v>3.0</v>
      </c>
      <c r="Q362" s="28"/>
      <c r="R362" s="9">
        <v>82.4</v>
      </c>
      <c r="S362" s="7" t="s">
        <v>584</v>
      </c>
      <c r="T362" s="7" t="b">
        <v>0</v>
      </c>
      <c r="U362" s="7" t="s">
        <v>585</v>
      </c>
      <c r="V362" s="27" t="s">
        <v>586</v>
      </c>
      <c r="W362" s="7" t="s">
        <v>3625</v>
      </c>
      <c r="X362" s="28"/>
      <c r="Y362" s="28"/>
      <c r="Z362" s="28"/>
    </row>
    <row r="363">
      <c r="A363" s="7" t="s">
        <v>3626</v>
      </c>
      <c r="B363" s="7" t="s">
        <v>3627</v>
      </c>
      <c r="C363" s="7" t="s">
        <v>3628</v>
      </c>
      <c r="D363" s="7" t="s">
        <v>154</v>
      </c>
      <c r="E363" s="7" t="s">
        <v>767</v>
      </c>
      <c r="F363" s="9">
        <v>14.215</v>
      </c>
      <c r="G363" s="9">
        <v>99.058</v>
      </c>
      <c r="H363" s="7" t="s">
        <v>923</v>
      </c>
      <c r="I363" s="9">
        <v>47.51</v>
      </c>
      <c r="J363" s="28"/>
      <c r="K363" s="28"/>
      <c r="L363" s="28"/>
      <c r="M363" s="9">
        <v>48.52</v>
      </c>
      <c r="N363" s="7" t="s">
        <v>2894</v>
      </c>
      <c r="O363" s="7" t="s">
        <v>583</v>
      </c>
      <c r="P363" s="9">
        <v>3.0</v>
      </c>
      <c r="Q363" s="28"/>
      <c r="R363" s="9">
        <v>22.4</v>
      </c>
      <c r="S363" s="7" t="s">
        <v>584</v>
      </c>
      <c r="T363" s="7" t="b">
        <v>0</v>
      </c>
      <c r="U363" s="7" t="s">
        <v>585</v>
      </c>
      <c r="V363" s="27" t="s">
        <v>586</v>
      </c>
      <c r="W363" s="7" t="s">
        <v>3633</v>
      </c>
      <c r="X363" s="28"/>
      <c r="Y363" s="28"/>
      <c r="Z363" s="28"/>
    </row>
    <row r="364">
      <c r="A364" s="7" t="s">
        <v>3634</v>
      </c>
      <c r="B364" s="7" t="s">
        <v>3635</v>
      </c>
      <c r="C364" s="7" t="s">
        <v>3636</v>
      </c>
      <c r="D364" s="7" t="s">
        <v>190</v>
      </c>
      <c r="E364" s="7" t="s">
        <v>2542</v>
      </c>
      <c r="F364" s="9">
        <v>16.3259</v>
      </c>
      <c r="G364" s="9">
        <v>102.78601</v>
      </c>
      <c r="H364" s="7" t="s">
        <v>576</v>
      </c>
      <c r="I364" s="9">
        <v>147.44</v>
      </c>
      <c r="J364" s="28"/>
      <c r="K364" s="28"/>
      <c r="L364" s="28"/>
      <c r="M364" s="9"/>
      <c r="N364" s="7" t="s">
        <v>2894</v>
      </c>
      <c r="O364" s="7" t="s">
        <v>583</v>
      </c>
      <c r="P364" s="9">
        <v>3.0</v>
      </c>
      <c r="Q364" s="28"/>
      <c r="R364" s="9">
        <v>12.4</v>
      </c>
      <c r="S364" s="7" t="s">
        <v>584</v>
      </c>
      <c r="T364" s="7" t="b">
        <v>0</v>
      </c>
      <c r="U364" s="7" t="s">
        <v>585</v>
      </c>
      <c r="V364" s="27" t="s">
        <v>586</v>
      </c>
      <c r="W364" s="7" t="s">
        <v>3639</v>
      </c>
      <c r="X364" s="28"/>
      <c r="Y364" s="28"/>
      <c r="Z364" s="28"/>
    </row>
    <row r="365">
      <c r="A365" s="7" t="s">
        <v>3640</v>
      </c>
      <c r="B365" s="7" t="s">
        <v>3641</v>
      </c>
      <c r="C365" s="7" t="s">
        <v>3642</v>
      </c>
      <c r="D365" s="7" t="s">
        <v>292</v>
      </c>
      <c r="E365" s="7" t="s">
        <v>3274</v>
      </c>
      <c r="F365" s="9">
        <v>7.37199</v>
      </c>
      <c r="G365" s="9">
        <v>99.677269</v>
      </c>
      <c r="H365" s="7" t="s">
        <v>1951</v>
      </c>
      <c r="I365" s="9">
        <v>1.85</v>
      </c>
      <c r="J365" s="28"/>
      <c r="K365" s="28"/>
      <c r="L365" s="28"/>
      <c r="M365" s="9"/>
      <c r="N365" s="7" t="s">
        <v>2894</v>
      </c>
      <c r="O365" s="7" t="s">
        <v>583</v>
      </c>
      <c r="P365" s="9">
        <v>3.0</v>
      </c>
      <c r="Q365" s="28"/>
      <c r="R365" s="9">
        <v>202.4</v>
      </c>
      <c r="S365" s="7" t="s">
        <v>584</v>
      </c>
      <c r="T365" s="7" t="b">
        <v>0</v>
      </c>
      <c r="U365" s="7" t="s">
        <v>585</v>
      </c>
      <c r="V365" s="27" t="s">
        <v>586</v>
      </c>
      <c r="W365" s="7" t="s">
        <v>3643</v>
      </c>
      <c r="X365" s="28"/>
      <c r="Y365" s="28"/>
      <c r="Z365" s="28"/>
    </row>
    <row r="366">
      <c r="A366" s="7" t="s">
        <v>3644</v>
      </c>
      <c r="B366" s="7" t="s">
        <v>3645</v>
      </c>
      <c r="C366" s="7" t="s">
        <v>3646</v>
      </c>
      <c r="D366" s="7" t="s">
        <v>270</v>
      </c>
      <c r="E366" s="7" t="s">
        <v>3647</v>
      </c>
      <c r="F366" s="9">
        <v>8.109219</v>
      </c>
      <c r="G366" s="9">
        <v>98.905525</v>
      </c>
      <c r="H366" s="7" t="s">
        <v>576</v>
      </c>
      <c r="I366" s="9">
        <v>2.28</v>
      </c>
      <c r="J366" s="28"/>
      <c r="K366" s="28"/>
      <c r="L366" s="28"/>
      <c r="M366" s="9"/>
      <c r="N366" s="7" t="s">
        <v>2894</v>
      </c>
      <c r="O366" s="7" t="s">
        <v>583</v>
      </c>
      <c r="P366" s="9">
        <v>3.0</v>
      </c>
      <c r="Q366" s="28"/>
      <c r="R366" s="9">
        <v>12.4</v>
      </c>
      <c r="S366" s="7" t="s">
        <v>584</v>
      </c>
      <c r="T366" s="7" t="b">
        <v>0</v>
      </c>
      <c r="U366" s="7" t="s">
        <v>585</v>
      </c>
      <c r="V366" s="27" t="s">
        <v>586</v>
      </c>
      <c r="W366" s="7" t="s">
        <v>3648</v>
      </c>
      <c r="X366" s="28"/>
      <c r="Y366" s="28"/>
      <c r="Z366" s="28"/>
    </row>
    <row r="367">
      <c r="A367" s="7" t="s">
        <v>3649</v>
      </c>
      <c r="B367" s="7" t="s">
        <v>3650</v>
      </c>
      <c r="C367" s="7" t="s">
        <v>3651</v>
      </c>
      <c r="D367" s="7" t="s">
        <v>60</v>
      </c>
      <c r="E367" s="7" t="s">
        <v>3652</v>
      </c>
      <c r="F367" s="9">
        <v>18.924017</v>
      </c>
      <c r="G367" s="9">
        <v>100.92668</v>
      </c>
      <c r="H367" s="7" t="s">
        <v>576</v>
      </c>
      <c r="I367" s="9">
        <v>262.16</v>
      </c>
      <c r="J367" s="28"/>
      <c r="K367" s="28"/>
      <c r="L367" s="28"/>
      <c r="M367" s="9"/>
      <c r="N367" s="7" t="s">
        <v>2894</v>
      </c>
      <c r="O367" s="7" t="s">
        <v>583</v>
      </c>
      <c r="P367" s="9">
        <v>3.0</v>
      </c>
      <c r="Q367" s="28"/>
      <c r="R367" s="9">
        <v>12.4</v>
      </c>
      <c r="S367" s="7" t="s">
        <v>584</v>
      </c>
      <c r="T367" s="7" t="b">
        <v>0</v>
      </c>
      <c r="U367" s="7" t="s">
        <v>585</v>
      </c>
      <c r="V367" s="27" t="s">
        <v>586</v>
      </c>
      <c r="W367" s="7" t="s">
        <v>3653</v>
      </c>
      <c r="X367" s="28"/>
      <c r="Y367" s="28"/>
      <c r="Z367" s="28"/>
    </row>
    <row r="368">
      <c r="A368" s="7" t="s">
        <v>3654</v>
      </c>
      <c r="B368" s="7" t="s">
        <v>3655</v>
      </c>
      <c r="C368" s="7" t="s">
        <v>3656</v>
      </c>
      <c r="D368" s="7" t="s">
        <v>77</v>
      </c>
      <c r="E368" s="7" t="s">
        <v>1016</v>
      </c>
      <c r="F368" s="9">
        <v>16.78157</v>
      </c>
      <c r="G368" s="9">
        <v>101.246689</v>
      </c>
      <c r="H368" s="7" t="s">
        <v>618</v>
      </c>
      <c r="I368" s="9">
        <v>142.2</v>
      </c>
      <c r="J368" s="28"/>
      <c r="K368" s="28"/>
      <c r="L368" s="28"/>
      <c r="M368" s="9"/>
      <c r="N368" s="7" t="s">
        <v>2894</v>
      </c>
      <c r="O368" s="7" t="s">
        <v>583</v>
      </c>
      <c r="P368" s="9">
        <v>3.0</v>
      </c>
      <c r="Q368" s="28"/>
      <c r="R368" s="9">
        <v>82.4</v>
      </c>
      <c r="S368" s="7" t="s">
        <v>584</v>
      </c>
      <c r="T368" s="7" t="b">
        <v>0</v>
      </c>
      <c r="U368" s="7" t="s">
        <v>585</v>
      </c>
      <c r="V368" s="27" t="s">
        <v>586</v>
      </c>
      <c r="W368" s="7" t="s">
        <v>3658</v>
      </c>
      <c r="X368" s="28"/>
      <c r="Y368" s="28"/>
      <c r="Z368" s="28"/>
    </row>
    <row r="369">
      <c r="A369" s="7" t="s">
        <v>3659</v>
      </c>
      <c r="B369" s="7" t="s">
        <v>3660</v>
      </c>
      <c r="C369" s="7" t="s">
        <v>3661</v>
      </c>
      <c r="D369" s="7" t="s">
        <v>9</v>
      </c>
      <c r="E369" s="7" t="s">
        <v>2799</v>
      </c>
      <c r="F369" s="9">
        <v>19.00985</v>
      </c>
      <c r="G369" s="9">
        <v>98.95974</v>
      </c>
      <c r="H369" s="7" t="s">
        <v>3579</v>
      </c>
      <c r="I369" s="9">
        <v>315.81</v>
      </c>
      <c r="J369" s="28"/>
      <c r="K369" s="28"/>
      <c r="L369" s="28"/>
      <c r="M369" s="9"/>
      <c r="N369" s="7" t="s">
        <v>2894</v>
      </c>
      <c r="O369" s="7" t="s">
        <v>583</v>
      </c>
      <c r="P369" s="9">
        <v>3.0</v>
      </c>
      <c r="Q369" s="28"/>
      <c r="R369" s="9">
        <v>262.4</v>
      </c>
      <c r="S369" s="7" t="s">
        <v>584</v>
      </c>
      <c r="T369" s="7" t="b">
        <v>0</v>
      </c>
      <c r="U369" s="7" t="s">
        <v>585</v>
      </c>
      <c r="V369" s="27" t="s">
        <v>586</v>
      </c>
      <c r="W369" s="7" t="s">
        <v>3662</v>
      </c>
      <c r="X369" s="28"/>
      <c r="Y369" s="28"/>
      <c r="Z369" s="28"/>
    </row>
    <row r="370">
      <c r="A370" s="7" t="s">
        <v>3663</v>
      </c>
      <c r="B370" s="7" t="s">
        <v>3664</v>
      </c>
      <c r="C370" s="7" t="s">
        <v>3665</v>
      </c>
      <c r="D370" s="7" t="s">
        <v>86</v>
      </c>
      <c r="E370" s="7" t="s">
        <v>3666</v>
      </c>
      <c r="F370" s="9">
        <v>15.7832</v>
      </c>
      <c r="G370" s="9">
        <v>99.65321</v>
      </c>
      <c r="H370" s="7" t="s">
        <v>576</v>
      </c>
      <c r="I370" s="9">
        <v>72.25</v>
      </c>
      <c r="J370" s="28"/>
      <c r="K370" s="28"/>
      <c r="L370" s="28"/>
      <c r="M370" s="9"/>
      <c r="N370" s="7" t="s">
        <v>2894</v>
      </c>
      <c r="O370" s="7" t="s">
        <v>583</v>
      </c>
      <c r="P370" s="9">
        <v>3.0</v>
      </c>
      <c r="Q370" s="28"/>
      <c r="R370" s="9">
        <v>12.4</v>
      </c>
      <c r="S370" s="7" t="s">
        <v>584</v>
      </c>
      <c r="T370" s="7" t="b">
        <v>0</v>
      </c>
      <c r="U370" s="7" t="s">
        <v>585</v>
      </c>
      <c r="V370" s="27" t="s">
        <v>586</v>
      </c>
      <c r="W370" s="7" t="s">
        <v>3667</v>
      </c>
      <c r="X370" s="28"/>
      <c r="Y370" s="28"/>
      <c r="Z370" s="28"/>
    </row>
    <row r="371">
      <c r="A371" s="7" t="s">
        <v>3668</v>
      </c>
      <c r="B371" s="7" t="s">
        <v>3669</v>
      </c>
      <c r="C371" s="7" t="s">
        <v>3670</v>
      </c>
      <c r="D371" s="7" t="s">
        <v>80</v>
      </c>
      <c r="E371" s="7" t="s">
        <v>2006</v>
      </c>
      <c r="F371" s="9">
        <v>17.29433</v>
      </c>
      <c r="G371" s="9">
        <v>100.08282</v>
      </c>
      <c r="H371" s="7" t="s">
        <v>576</v>
      </c>
      <c r="I371" s="9">
        <v>47.66</v>
      </c>
      <c r="J371" s="28"/>
      <c r="K371" s="28"/>
      <c r="L371" s="28"/>
      <c r="M371" s="9"/>
      <c r="N371" s="7" t="s">
        <v>2894</v>
      </c>
      <c r="O371" s="7" t="s">
        <v>583</v>
      </c>
      <c r="P371" s="9">
        <v>3.0</v>
      </c>
      <c r="Q371" s="28"/>
      <c r="R371" s="9">
        <v>12.4</v>
      </c>
      <c r="S371" s="7" t="s">
        <v>584</v>
      </c>
      <c r="T371" s="7" t="b">
        <v>0</v>
      </c>
      <c r="U371" s="7" t="s">
        <v>585</v>
      </c>
      <c r="V371" s="27" t="s">
        <v>586</v>
      </c>
      <c r="W371" s="7" t="s">
        <v>3671</v>
      </c>
      <c r="X371" s="28"/>
      <c r="Y371" s="28"/>
      <c r="Z371" s="28"/>
    </row>
    <row r="372">
      <c r="A372" s="7" t="s">
        <v>3672</v>
      </c>
      <c r="B372" s="7" t="s">
        <v>3673</v>
      </c>
      <c r="C372" s="7" t="s">
        <v>3085</v>
      </c>
      <c r="D372" s="7" t="s">
        <v>84</v>
      </c>
      <c r="E372" s="7" t="s">
        <v>2799</v>
      </c>
      <c r="F372" s="9">
        <v>16.47772</v>
      </c>
      <c r="G372" s="9">
        <v>99.517921</v>
      </c>
      <c r="H372" s="7" t="s">
        <v>618</v>
      </c>
      <c r="I372" s="9">
        <v>73.41</v>
      </c>
      <c r="J372" s="28"/>
      <c r="K372" s="28"/>
      <c r="L372" s="28"/>
      <c r="M372" s="9"/>
      <c r="N372" s="7" t="s">
        <v>2894</v>
      </c>
      <c r="O372" s="7" t="s">
        <v>583</v>
      </c>
      <c r="P372" s="9">
        <v>3.0</v>
      </c>
      <c r="Q372" s="28"/>
      <c r="R372" s="9">
        <v>82.4</v>
      </c>
      <c r="S372" s="7" t="s">
        <v>584</v>
      </c>
      <c r="T372" s="7" t="b">
        <v>0</v>
      </c>
      <c r="U372" s="7" t="s">
        <v>585</v>
      </c>
      <c r="V372" s="27" t="s">
        <v>586</v>
      </c>
      <c r="W372" s="7" t="s">
        <v>3679</v>
      </c>
      <c r="X372" s="28"/>
      <c r="Y372" s="28"/>
      <c r="Z372" s="28"/>
    </row>
    <row r="373">
      <c r="A373" s="7" t="s">
        <v>3680</v>
      </c>
      <c r="B373" s="7" t="s">
        <v>3681</v>
      </c>
      <c r="C373" s="7" t="s">
        <v>3682</v>
      </c>
      <c r="D373" s="7" t="s">
        <v>220</v>
      </c>
      <c r="E373" s="7" t="s">
        <v>2542</v>
      </c>
      <c r="F373" s="9">
        <v>15.7325</v>
      </c>
      <c r="G373" s="9">
        <v>101.830048</v>
      </c>
      <c r="H373" s="7" t="s">
        <v>618</v>
      </c>
      <c r="I373" s="9">
        <v>190.29</v>
      </c>
      <c r="J373" s="28"/>
      <c r="K373" s="28"/>
      <c r="L373" s="28"/>
      <c r="M373" s="9"/>
      <c r="N373" s="7" t="s">
        <v>2894</v>
      </c>
      <c r="O373" s="7" t="s">
        <v>583</v>
      </c>
      <c r="P373" s="9">
        <v>3.0</v>
      </c>
      <c r="Q373" s="28"/>
      <c r="R373" s="9">
        <v>82.4</v>
      </c>
      <c r="S373" s="7" t="s">
        <v>584</v>
      </c>
      <c r="T373" s="7" t="b">
        <v>0</v>
      </c>
      <c r="U373" s="7" t="s">
        <v>585</v>
      </c>
      <c r="V373" s="27" t="s">
        <v>586</v>
      </c>
      <c r="W373" s="7" t="s">
        <v>3686</v>
      </c>
      <c r="X373" s="28"/>
      <c r="Y373" s="28"/>
      <c r="Z373" s="28"/>
    </row>
    <row r="374">
      <c r="A374" s="7" t="s">
        <v>3688</v>
      </c>
      <c r="B374" s="7" t="s">
        <v>3689</v>
      </c>
      <c r="C374" s="7" t="s">
        <v>3690</v>
      </c>
      <c r="D374" s="7" t="s">
        <v>175</v>
      </c>
      <c r="E374" s="7" t="s">
        <v>3691</v>
      </c>
      <c r="F374" s="9">
        <v>13.119586</v>
      </c>
      <c r="G374" s="9">
        <v>101.954346</v>
      </c>
      <c r="H374" s="7" t="s">
        <v>576</v>
      </c>
      <c r="I374" s="9">
        <v>44.78</v>
      </c>
      <c r="J374" s="28"/>
      <c r="K374" s="28"/>
      <c r="L374" s="28"/>
      <c r="M374" s="9"/>
      <c r="N374" s="7" t="s">
        <v>2894</v>
      </c>
      <c r="O374" s="7" t="s">
        <v>583</v>
      </c>
      <c r="P374" s="9">
        <v>3.0</v>
      </c>
      <c r="Q374" s="28"/>
      <c r="R374" s="9">
        <v>12.4</v>
      </c>
      <c r="S374" s="7" t="s">
        <v>584</v>
      </c>
      <c r="T374" s="7" t="b">
        <v>0</v>
      </c>
      <c r="U374" s="7" t="s">
        <v>585</v>
      </c>
      <c r="V374" s="27" t="s">
        <v>586</v>
      </c>
      <c r="W374" s="7" t="s">
        <v>3692</v>
      </c>
      <c r="X374" s="28"/>
      <c r="Y374" s="28"/>
      <c r="Z374" s="28"/>
    </row>
    <row r="375">
      <c r="A375" s="7" t="s">
        <v>3693</v>
      </c>
      <c r="B375" s="7" t="s">
        <v>3694</v>
      </c>
      <c r="C375" s="7" t="s">
        <v>3695</v>
      </c>
      <c r="D375" s="7" t="s">
        <v>292</v>
      </c>
      <c r="E375" s="7" t="s">
        <v>2988</v>
      </c>
      <c r="F375" s="9">
        <v>7.555884</v>
      </c>
      <c r="G375" s="9">
        <v>99.57825</v>
      </c>
      <c r="H375" s="7" t="s">
        <v>576</v>
      </c>
      <c r="I375" s="9">
        <v>0.47</v>
      </c>
      <c r="J375" s="28"/>
      <c r="K375" s="28"/>
      <c r="L375" s="28"/>
      <c r="M375" s="9"/>
      <c r="N375" s="7" t="s">
        <v>2894</v>
      </c>
      <c r="O375" s="7" t="s">
        <v>583</v>
      </c>
      <c r="P375" s="9">
        <v>3.0</v>
      </c>
      <c r="Q375" s="28"/>
      <c r="R375" s="9">
        <v>12.4</v>
      </c>
      <c r="S375" s="7" t="s">
        <v>584</v>
      </c>
      <c r="T375" s="7" t="b">
        <v>0</v>
      </c>
      <c r="U375" s="7" t="s">
        <v>585</v>
      </c>
      <c r="V375" s="27" t="s">
        <v>586</v>
      </c>
      <c r="W375" s="7" t="s">
        <v>3696</v>
      </c>
      <c r="X375" s="28"/>
      <c r="Y375" s="28"/>
      <c r="Z375" s="28"/>
    </row>
    <row r="376">
      <c r="A376" s="7" t="s">
        <v>3697</v>
      </c>
      <c r="B376" s="7" t="s">
        <v>3698</v>
      </c>
      <c r="C376" s="7" t="s">
        <v>3699</v>
      </c>
      <c r="D376" s="7" t="s">
        <v>240</v>
      </c>
      <c r="E376" s="7" t="s">
        <v>3700</v>
      </c>
      <c r="F376" s="9">
        <v>15.00636</v>
      </c>
      <c r="G376" s="9">
        <v>104.633453</v>
      </c>
      <c r="H376" s="7" t="s">
        <v>618</v>
      </c>
      <c r="I376" s="9">
        <v>116.21</v>
      </c>
      <c r="J376" s="28"/>
      <c r="K376" s="28"/>
      <c r="L376" s="28"/>
      <c r="M376" s="9"/>
      <c r="N376" s="7" t="s">
        <v>2894</v>
      </c>
      <c r="O376" s="7" t="s">
        <v>583</v>
      </c>
      <c r="P376" s="9">
        <v>3.0</v>
      </c>
      <c r="Q376" s="28"/>
      <c r="R376" s="9">
        <v>82.4</v>
      </c>
      <c r="S376" s="7" t="s">
        <v>584</v>
      </c>
      <c r="T376" s="7" t="b">
        <v>0</v>
      </c>
      <c r="U376" s="7" t="s">
        <v>585</v>
      </c>
      <c r="V376" s="27" t="s">
        <v>586</v>
      </c>
      <c r="W376" s="7" t="s">
        <v>3701</v>
      </c>
      <c r="X376" s="28"/>
      <c r="Y376" s="28"/>
      <c r="Z376" s="28"/>
    </row>
    <row r="377">
      <c r="A377" s="7" t="s">
        <v>3702</v>
      </c>
      <c r="B377" s="7" t="s">
        <v>3703</v>
      </c>
      <c r="C377" s="7" t="s">
        <v>3704</v>
      </c>
      <c r="D377" s="7" t="s">
        <v>276</v>
      </c>
      <c r="E377" s="7" t="s">
        <v>3705</v>
      </c>
      <c r="F377" s="9">
        <v>8.70251</v>
      </c>
      <c r="G377" s="9">
        <v>98.409027</v>
      </c>
      <c r="H377" s="7" t="s">
        <v>1951</v>
      </c>
      <c r="I377" s="9">
        <v>15.24</v>
      </c>
      <c r="J377" s="28"/>
      <c r="K377" s="28"/>
      <c r="L377" s="28"/>
      <c r="M377" s="9"/>
      <c r="N377" s="7" t="s">
        <v>2894</v>
      </c>
      <c r="O377" s="7" t="s">
        <v>583</v>
      </c>
      <c r="P377" s="9">
        <v>3.0</v>
      </c>
      <c r="Q377" s="28"/>
      <c r="R377" s="9">
        <v>202.4</v>
      </c>
      <c r="S377" s="7" t="s">
        <v>584</v>
      </c>
      <c r="T377" s="7" t="b">
        <v>0</v>
      </c>
      <c r="U377" s="7" t="s">
        <v>585</v>
      </c>
      <c r="V377" s="27" t="s">
        <v>586</v>
      </c>
      <c r="W377" s="7" t="s">
        <v>3706</v>
      </c>
      <c r="X377" s="28"/>
      <c r="Y377" s="28"/>
      <c r="Z377" s="28"/>
    </row>
    <row r="378">
      <c r="A378" s="7" t="s">
        <v>3707</v>
      </c>
      <c r="B378" s="7" t="s">
        <v>3708</v>
      </c>
      <c r="C378" s="7" t="s">
        <v>3709</v>
      </c>
      <c r="D378" s="7" t="s">
        <v>283</v>
      </c>
      <c r="E378" s="7" t="s">
        <v>3135</v>
      </c>
      <c r="F378" s="9">
        <v>10.574472</v>
      </c>
      <c r="G378" s="9">
        <v>99.145744</v>
      </c>
      <c r="H378" s="7" t="s">
        <v>3710</v>
      </c>
      <c r="I378" s="9">
        <v>4.03</v>
      </c>
      <c r="J378" s="28"/>
      <c r="K378" s="28"/>
      <c r="L378" s="28"/>
      <c r="M378" s="9"/>
      <c r="N378" s="7" t="s">
        <v>2894</v>
      </c>
      <c r="O378" s="7" t="s">
        <v>583</v>
      </c>
      <c r="P378" s="9">
        <v>3.0</v>
      </c>
      <c r="Q378" s="28"/>
      <c r="R378" s="9">
        <v>4012.4</v>
      </c>
      <c r="S378" s="7" t="s">
        <v>54</v>
      </c>
      <c r="T378" s="7" t="b">
        <v>0</v>
      </c>
      <c r="U378" s="7" t="s">
        <v>585</v>
      </c>
      <c r="V378" s="27" t="s">
        <v>586</v>
      </c>
      <c r="W378" s="7" t="s">
        <v>3712</v>
      </c>
      <c r="X378" s="28"/>
      <c r="Y378" s="28"/>
      <c r="Z378" s="28"/>
    </row>
    <row r="379">
      <c r="A379" s="7" t="s">
        <v>3713</v>
      </c>
      <c r="B379" s="7" t="s">
        <v>3714</v>
      </c>
      <c r="C379" s="7" t="s">
        <v>3715</v>
      </c>
      <c r="D379" s="7" t="s">
        <v>194</v>
      </c>
      <c r="E379" s="7" t="s">
        <v>2542</v>
      </c>
      <c r="F379" s="9">
        <v>16.115801</v>
      </c>
      <c r="G379" s="9">
        <v>103.846603</v>
      </c>
      <c r="H379" s="7" t="s">
        <v>618</v>
      </c>
      <c r="I379" s="9">
        <v>127.0</v>
      </c>
      <c r="J379" s="28"/>
      <c r="K379" s="28"/>
      <c r="L379" s="28"/>
      <c r="M379" s="9"/>
      <c r="N379" s="7" t="s">
        <v>2894</v>
      </c>
      <c r="O379" s="7" t="s">
        <v>583</v>
      </c>
      <c r="P379" s="9">
        <v>3.0</v>
      </c>
      <c r="Q379" s="28"/>
      <c r="R379" s="9">
        <v>82.4</v>
      </c>
      <c r="S379" s="7" t="s">
        <v>584</v>
      </c>
      <c r="T379" s="7" t="b">
        <v>0</v>
      </c>
      <c r="U379" s="7" t="s">
        <v>585</v>
      </c>
      <c r="V379" s="27" t="s">
        <v>586</v>
      </c>
      <c r="W379" s="7" t="s">
        <v>3716</v>
      </c>
      <c r="X379" s="28"/>
      <c r="Y379" s="28"/>
      <c r="Z379" s="28"/>
    </row>
    <row r="380">
      <c r="A380" s="7" t="s">
        <v>3717</v>
      </c>
      <c r="B380" s="7" t="s">
        <v>3718</v>
      </c>
      <c r="C380" s="7" t="s">
        <v>3719</v>
      </c>
      <c r="D380" s="7" t="s">
        <v>175</v>
      </c>
      <c r="E380" s="7" t="s">
        <v>3691</v>
      </c>
      <c r="F380" s="9">
        <v>13.07735</v>
      </c>
      <c r="G380" s="9">
        <v>101.945534</v>
      </c>
      <c r="H380" s="7" t="s">
        <v>618</v>
      </c>
      <c r="I380" s="9">
        <v>36.04</v>
      </c>
      <c r="J380" s="28"/>
      <c r="K380" s="28"/>
      <c r="L380" s="28"/>
      <c r="M380" s="9"/>
      <c r="N380" s="7" t="s">
        <v>2894</v>
      </c>
      <c r="O380" s="7" t="s">
        <v>583</v>
      </c>
      <c r="P380" s="9">
        <v>3.0</v>
      </c>
      <c r="Q380" s="28"/>
      <c r="R380" s="9">
        <v>82.4</v>
      </c>
      <c r="S380" s="7" t="s">
        <v>584</v>
      </c>
      <c r="T380" s="7" t="b">
        <v>0</v>
      </c>
      <c r="U380" s="7" t="s">
        <v>585</v>
      </c>
      <c r="V380" s="27" t="s">
        <v>586</v>
      </c>
      <c r="W380" s="7" t="s">
        <v>3720</v>
      </c>
      <c r="X380" s="28"/>
      <c r="Y380" s="28"/>
      <c r="Z380" s="28"/>
    </row>
    <row r="381">
      <c r="A381" s="7" t="s">
        <v>3721</v>
      </c>
      <c r="B381" s="7" t="s">
        <v>3722</v>
      </c>
      <c r="C381" s="7" t="s">
        <v>3723</v>
      </c>
      <c r="D381" s="7" t="s">
        <v>304</v>
      </c>
      <c r="E381" s="7" t="s">
        <v>2559</v>
      </c>
      <c r="F381" s="9">
        <v>6.02261</v>
      </c>
      <c r="G381" s="9">
        <v>101.974892</v>
      </c>
      <c r="H381" s="7" t="s">
        <v>1951</v>
      </c>
      <c r="I381" s="9">
        <v>4.58</v>
      </c>
      <c r="J381" s="28"/>
      <c r="K381" s="28"/>
      <c r="L381" s="28"/>
      <c r="M381" s="9">
        <v>8.2</v>
      </c>
      <c r="N381" s="7" t="s">
        <v>2894</v>
      </c>
      <c r="O381" s="7" t="s">
        <v>583</v>
      </c>
      <c r="P381" s="9">
        <v>3.0</v>
      </c>
      <c r="Q381" s="28"/>
      <c r="R381" s="9">
        <v>202.4</v>
      </c>
      <c r="S381" s="7" t="s">
        <v>584</v>
      </c>
      <c r="T381" s="7" t="b">
        <v>0</v>
      </c>
      <c r="U381" s="7" t="s">
        <v>585</v>
      </c>
      <c r="V381" s="27" t="s">
        <v>586</v>
      </c>
      <c r="W381" s="7" t="s">
        <v>3724</v>
      </c>
      <c r="X381" s="28"/>
      <c r="Y381" s="28"/>
      <c r="Z381" s="28"/>
    </row>
    <row r="382">
      <c r="A382" s="7" t="s">
        <v>3725</v>
      </c>
      <c r="B382" s="7" t="s">
        <v>3726</v>
      </c>
      <c r="C382" s="7" t="s">
        <v>3727</v>
      </c>
      <c r="D382" s="7" t="s">
        <v>234</v>
      </c>
      <c r="E382" s="7" t="s">
        <v>2739</v>
      </c>
      <c r="F382" s="9">
        <v>15.50299</v>
      </c>
      <c r="G382" s="9">
        <v>104.595444</v>
      </c>
      <c r="H382" s="7" t="s">
        <v>618</v>
      </c>
      <c r="I382" s="9">
        <v>114.53</v>
      </c>
      <c r="J382" s="28"/>
      <c r="K382" s="28"/>
      <c r="L382" s="28"/>
      <c r="M382" s="9"/>
      <c r="N382" s="7" t="s">
        <v>2894</v>
      </c>
      <c r="O382" s="7" t="s">
        <v>583</v>
      </c>
      <c r="P382" s="9">
        <v>3.0</v>
      </c>
      <c r="Q382" s="28"/>
      <c r="R382" s="9">
        <v>82.4</v>
      </c>
      <c r="S382" s="7" t="s">
        <v>584</v>
      </c>
      <c r="T382" s="7" t="b">
        <v>0</v>
      </c>
      <c r="U382" s="7" t="s">
        <v>585</v>
      </c>
      <c r="V382" s="27" t="s">
        <v>586</v>
      </c>
      <c r="W382" s="7" t="s">
        <v>3733</v>
      </c>
      <c r="X382" s="28"/>
      <c r="Y382" s="28"/>
      <c r="Z382" s="28"/>
    </row>
    <row r="383">
      <c r="A383" s="7" t="s">
        <v>3734</v>
      </c>
      <c r="B383" s="7" t="s">
        <v>3735</v>
      </c>
      <c r="C383" s="7" t="s">
        <v>3736</v>
      </c>
      <c r="D383" s="7" t="s">
        <v>65</v>
      </c>
      <c r="E383" s="7" t="s">
        <v>3469</v>
      </c>
      <c r="F383" s="9">
        <v>17.36661</v>
      </c>
      <c r="G383" s="9">
        <v>99.113007</v>
      </c>
      <c r="H383" s="7" t="s">
        <v>618</v>
      </c>
      <c r="I383" s="9">
        <v>143.87</v>
      </c>
      <c r="J383" s="28"/>
      <c r="K383" s="28"/>
      <c r="L383" s="28"/>
      <c r="M383" s="9"/>
      <c r="N383" s="7" t="s">
        <v>2894</v>
      </c>
      <c r="O383" s="7" t="s">
        <v>583</v>
      </c>
      <c r="P383" s="9">
        <v>3.0</v>
      </c>
      <c r="Q383" s="28"/>
      <c r="R383" s="9">
        <v>82.4</v>
      </c>
      <c r="S383" s="7" t="s">
        <v>584</v>
      </c>
      <c r="T383" s="7" t="b">
        <v>0</v>
      </c>
      <c r="U383" s="7" t="s">
        <v>585</v>
      </c>
      <c r="V383" s="27" t="s">
        <v>586</v>
      </c>
      <c r="W383" s="7" t="s">
        <v>3738</v>
      </c>
      <c r="X383" s="28"/>
      <c r="Y383" s="28"/>
      <c r="Z383" s="28"/>
    </row>
    <row r="384">
      <c r="A384" s="7" t="s">
        <v>3739</v>
      </c>
      <c r="B384" s="7" t="s">
        <v>3740</v>
      </c>
      <c r="C384" s="7" t="s">
        <v>3742</v>
      </c>
      <c r="D384" s="7" t="s">
        <v>58</v>
      </c>
      <c r="E384" s="7" t="s">
        <v>3743</v>
      </c>
      <c r="F384" s="9">
        <v>17.775057</v>
      </c>
      <c r="G384" s="9">
        <v>99.46933</v>
      </c>
      <c r="H384" s="7" t="s">
        <v>576</v>
      </c>
      <c r="I384" s="9">
        <v>155.67</v>
      </c>
      <c r="J384" s="28"/>
      <c r="K384" s="28"/>
      <c r="L384" s="28"/>
      <c r="M384" s="9"/>
      <c r="N384" s="7" t="s">
        <v>2894</v>
      </c>
      <c r="O384" s="7" t="s">
        <v>583</v>
      </c>
      <c r="P384" s="9">
        <v>3.0</v>
      </c>
      <c r="Q384" s="28"/>
      <c r="R384" s="9">
        <v>12.4</v>
      </c>
      <c r="S384" s="7" t="s">
        <v>584</v>
      </c>
      <c r="T384" s="7" t="b">
        <v>0</v>
      </c>
      <c r="U384" s="7" t="s">
        <v>585</v>
      </c>
      <c r="V384" s="27" t="s">
        <v>586</v>
      </c>
      <c r="W384" s="7" t="s">
        <v>3745</v>
      </c>
      <c r="X384" s="28"/>
      <c r="Y384" s="28"/>
      <c r="Z384" s="28"/>
    </row>
    <row r="385">
      <c r="A385" s="7" t="s">
        <v>3746</v>
      </c>
      <c r="B385" s="7" t="s">
        <v>3747</v>
      </c>
      <c r="C385" s="7" t="s">
        <v>3748</v>
      </c>
      <c r="D385" s="7" t="s">
        <v>9</v>
      </c>
      <c r="E385" s="7" t="s">
        <v>2799</v>
      </c>
      <c r="F385" s="9">
        <v>18.786961</v>
      </c>
      <c r="G385" s="9">
        <v>99.005089</v>
      </c>
      <c r="H385" s="7" t="s">
        <v>3579</v>
      </c>
      <c r="I385" s="9">
        <v>301.67</v>
      </c>
      <c r="J385" s="28"/>
      <c r="K385" s="28"/>
      <c r="L385" s="28"/>
      <c r="M385" s="9">
        <v>304.2</v>
      </c>
      <c r="N385" s="7" t="s">
        <v>2894</v>
      </c>
      <c r="O385" s="7" t="s">
        <v>583</v>
      </c>
      <c r="P385" s="9">
        <v>3.0</v>
      </c>
      <c r="Q385" s="28"/>
      <c r="R385" s="9">
        <v>262.4</v>
      </c>
      <c r="S385" s="7" t="s">
        <v>584</v>
      </c>
      <c r="T385" s="7" t="b">
        <v>0</v>
      </c>
      <c r="U385" s="7" t="s">
        <v>585</v>
      </c>
      <c r="V385" s="27" t="s">
        <v>586</v>
      </c>
      <c r="W385" s="7" t="s">
        <v>3749</v>
      </c>
      <c r="X385" s="28"/>
      <c r="Y385" s="28"/>
      <c r="Z385" s="28"/>
    </row>
    <row r="386">
      <c r="A386" s="7" t="s">
        <v>3750</v>
      </c>
      <c r="B386" s="7" t="s">
        <v>3751</v>
      </c>
      <c r="C386" s="7" t="s">
        <v>3752</v>
      </c>
      <c r="D386" s="7" t="s">
        <v>203</v>
      </c>
      <c r="E386" s="7" t="s">
        <v>1759</v>
      </c>
      <c r="F386" s="9">
        <v>17.03068</v>
      </c>
      <c r="G386" s="9">
        <v>104.41476</v>
      </c>
      <c r="H386" s="7" t="s">
        <v>576</v>
      </c>
      <c r="I386" s="9">
        <v>147.22</v>
      </c>
      <c r="J386" s="28"/>
      <c r="K386" s="28"/>
      <c r="L386" s="28"/>
      <c r="M386" s="9"/>
      <c r="N386" s="7" t="s">
        <v>2894</v>
      </c>
      <c r="O386" s="7" t="s">
        <v>583</v>
      </c>
      <c r="P386" s="9">
        <v>3.0</v>
      </c>
      <c r="Q386" s="28"/>
      <c r="R386" s="9">
        <v>12.4</v>
      </c>
      <c r="S386" s="7" t="s">
        <v>584</v>
      </c>
      <c r="T386" s="7" t="b">
        <v>0</v>
      </c>
      <c r="U386" s="7" t="s">
        <v>585</v>
      </c>
      <c r="V386" s="27" t="s">
        <v>586</v>
      </c>
      <c r="W386" s="7" t="s">
        <v>3753</v>
      </c>
      <c r="X386" s="28"/>
      <c r="Y386" s="28"/>
      <c r="Z386" s="28"/>
    </row>
    <row r="387">
      <c r="A387" s="7" t="s">
        <v>3754</v>
      </c>
      <c r="B387" s="7" t="s">
        <v>3755</v>
      </c>
      <c r="C387" s="7" t="s">
        <v>3756</v>
      </c>
      <c r="D387" s="7" t="s">
        <v>108</v>
      </c>
      <c r="E387" s="7" t="s">
        <v>1128</v>
      </c>
      <c r="F387" s="9">
        <v>14.245718</v>
      </c>
      <c r="G387" s="9">
        <v>101.27481</v>
      </c>
      <c r="H387" s="7" t="s">
        <v>576</v>
      </c>
      <c r="I387" s="9">
        <v>5.68</v>
      </c>
      <c r="J387" s="28"/>
      <c r="K387" s="28"/>
      <c r="L387" s="28"/>
      <c r="M387" s="9"/>
      <c r="N387" s="7" t="s">
        <v>2894</v>
      </c>
      <c r="O387" s="7" t="s">
        <v>583</v>
      </c>
      <c r="P387" s="9">
        <v>3.0</v>
      </c>
      <c r="Q387" s="28"/>
      <c r="R387" s="9">
        <v>12.4</v>
      </c>
      <c r="S387" s="7" t="s">
        <v>584</v>
      </c>
      <c r="T387" s="7" t="b">
        <v>0</v>
      </c>
      <c r="U387" s="7" t="s">
        <v>585</v>
      </c>
      <c r="V387" s="27" t="s">
        <v>586</v>
      </c>
      <c r="W387" s="7" t="s">
        <v>3757</v>
      </c>
      <c r="X387" s="28"/>
      <c r="Y387" s="28"/>
      <c r="Z387" s="28"/>
    </row>
    <row r="388">
      <c r="A388" s="7" t="s">
        <v>3758</v>
      </c>
      <c r="B388" s="7" t="s">
        <v>3759</v>
      </c>
      <c r="C388" s="7" t="s">
        <v>3760</v>
      </c>
      <c r="D388" s="7" t="s">
        <v>80</v>
      </c>
      <c r="E388" s="7" t="s">
        <v>3761</v>
      </c>
      <c r="F388" s="9">
        <v>17.718473</v>
      </c>
      <c r="G388" s="9">
        <v>100.577058</v>
      </c>
      <c r="H388" s="7" t="s">
        <v>923</v>
      </c>
      <c r="I388" s="9">
        <v>81.1</v>
      </c>
      <c r="J388" s="28"/>
      <c r="K388" s="28"/>
      <c r="L388" s="28"/>
      <c r="M388" s="9">
        <v>84.41</v>
      </c>
      <c r="N388" s="7" t="s">
        <v>2894</v>
      </c>
      <c r="O388" s="7" t="s">
        <v>583</v>
      </c>
      <c r="P388" s="9">
        <v>3.0</v>
      </c>
      <c r="Q388" s="28"/>
      <c r="R388" s="9">
        <v>22.4</v>
      </c>
      <c r="S388" s="7" t="s">
        <v>584</v>
      </c>
      <c r="T388" s="7" t="b">
        <v>0</v>
      </c>
      <c r="U388" s="7" t="s">
        <v>585</v>
      </c>
      <c r="V388" s="27" t="s">
        <v>586</v>
      </c>
      <c r="W388" s="7" t="s">
        <v>3763</v>
      </c>
      <c r="X388" s="28"/>
      <c r="Y388" s="28"/>
      <c r="Z388" s="28"/>
    </row>
    <row r="389">
      <c r="A389" s="7" t="s">
        <v>3764</v>
      </c>
      <c r="B389" s="7" t="s">
        <v>3765</v>
      </c>
      <c r="C389" s="7" t="s">
        <v>3766</v>
      </c>
      <c r="D389" s="7" t="s">
        <v>260</v>
      </c>
      <c r="E389" s="7"/>
      <c r="F389" s="9">
        <v>8.847581</v>
      </c>
      <c r="G389" s="9">
        <v>99.198984</v>
      </c>
      <c r="H389" s="7" t="s">
        <v>923</v>
      </c>
      <c r="I389" s="9">
        <v>0.72</v>
      </c>
      <c r="J389" s="28"/>
      <c r="K389" s="28"/>
      <c r="L389" s="28"/>
      <c r="M389" s="9">
        <v>6.0</v>
      </c>
      <c r="N389" s="7" t="s">
        <v>2894</v>
      </c>
      <c r="O389" s="7" t="s">
        <v>583</v>
      </c>
      <c r="P389" s="9">
        <v>3.0</v>
      </c>
      <c r="Q389" s="28"/>
      <c r="R389" s="9">
        <v>22.4</v>
      </c>
      <c r="S389" s="7" t="s">
        <v>584</v>
      </c>
      <c r="T389" s="7" t="b">
        <v>0</v>
      </c>
      <c r="U389" s="7" t="s">
        <v>585</v>
      </c>
      <c r="V389" s="27" t="s">
        <v>586</v>
      </c>
      <c r="W389" s="7" t="s">
        <v>3767</v>
      </c>
      <c r="X389" s="28"/>
      <c r="Y389" s="28"/>
      <c r="Z389" s="28"/>
    </row>
    <row r="390">
      <c r="A390" s="7" t="s">
        <v>3768</v>
      </c>
      <c r="B390" s="7" t="s">
        <v>3769</v>
      </c>
      <c r="C390" s="7" t="s">
        <v>3770</v>
      </c>
      <c r="D390" s="7" t="s">
        <v>84</v>
      </c>
      <c r="E390" s="7" t="s">
        <v>3771</v>
      </c>
      <c r="F390" s="9">
        <v>16.49714</v>
      </c>
      <c r="G390" s="9">
        <v>99.51958</v>
      </c>
      <c r="H390" s="7" t="s">
        <v>576</v>
      </c>
      <c r="I390" s="9">
        <v>75.05</v>
      </c>
      <c r="J390" s="28"/>
      <c r="K390" s="28"/>
      <c r="L390" s="28"/>
      <c r="M390" s="9"/>
      <c r="N390" s="7" t="s">
        <v>2894</v>
      </c>
      <c r="O390" s="7" t="s">
        <v>583</v>
      </c>
      <c r="P390" s="9">
        <v>3.0</v>
      </c>
      <c r="Q390" s="28"/>
      <c r="R390" s="9">
        <v>12.4</v>
      </c>
      <c r="S390" s="7" t="s">
        <v>584</v>
      </c>
      <c r="T390" s="7" t="b">
        <v>0</v>
      </c>
      <c r="U390" s="7" t="s">
        <v>585</v>
      </c>
      <c r="V390" s="27" t="s">
        <v>586</v>
      </c>
      <c r="W390" s="7" t="s">
        <v>3772</v>
      </c>
      <c r="X390" s="28"/>
      <c r="Y390" s="28"/>
      <c r="Z390" s="28"/>
    </row>
    <row r="391">
      <c r="A391" s="7" t="s">
        <v>3773</v>
      </c>
      <c r="B391" s="7" t="s">
        <v>3774</v>
      </c>
      <c r="C391" s="7" t="s">
        <v>3775</v>
      </c>
      <c r="D391" s="7" t="s">
        <v>131</v>
      </c>
      <c r="E391" s="7" t="s">
        <v>3776</v>
      </c>
      <c r="F391" s="9">
        <v>11.24042</v>
      </c>
      <c r="G391" s="9">
        <v>99.43526</v>
      </c>
      <c r="H391" s="7" t="s">
        <v>576</v>
      </c>
      <c r="I391" s="9">
        <v>13.62</v>
      </c>
      <c r="J391" s="28"/>
      <c r="K391" s="28"/>
      <c r="L391" s="28"/>
      <c r="M391" s="9"/>
      <c r="N391" s="7" t="s">
        <v>2894</v>
      </c>
      <c r="O391" s="7" t="s">
        <v>583</v>
      </c>
      <c r="P391" s="9">
        <v>3.0</v>
      </c>
      <c r="Q391" s="28"/>
      <c r="R391" s="9">
        <v>12.4</v>
      </c>
      <c r="S391" s="7" t="s">
        <v>584</v>
      </c>
      <c r="T391" s="7" t="b">
        <v>0</v>
      </c>
      <c r="U391" s="7" t="s">
        <v>585</v>
      </c>
      <c r="V391" s="27" t="s">
        <v>586</v>
      </c>
      <c r="W391" s="7" t="s">
        <v>3777</v>
      </c>
      <c r="X391" s="28"/>
      <c r="Y391" s="28"/>
      <c r="Z391" s="28"/>
    </row>
    <row r="392">
      <c r="A392" s="7" t="s">
        <v>3778</v>
      </c>
      <c r="B392" s="7" t="s">
        <v>3779</v>
      </c>
      <c r="C392" s="7" t="s">
        <v>3780</v>
      </c>
      <c r="D392" s="7" t="s">
        <v>259</v>
      </c>
      <c r="E392" s="7" t="s">
        <v>3781</v>
      </c>
      <c r="F392" s="9">
        <v>8.2801</v>
      </c>
      <c r="G392" s="9">
        <v>99.906487</v>
      </c>
      <c r="H392" s="7" t="s">
        <v>1951</v>
      </c>
      <c r="I392" s="9">
        <v>9.07</v>
      </c>
      <c r="J392" s="28"/>
      <c r="K392" s="28"/>
      <c r="L392" s="28"/>
      <c r="M392" s="9"/>
      <c r="N392" s="7" t="s">
        <v>2894</v>
      </c>
      <c r="O392" s="7" t="s">
        <v>583</v>
      </c>
      <c r="P392" s="9">
        <v>3.0</v>
      </c>
      <c r="Q392" s="28"/>
      <c r="R392" s="9">
        <v>202.4</v>
      </c>
      <c r="S392" s="7" t="s">
        <v>584</v>
      </c>
      <c r="T392" s="7" t="b">
        <v>0</v>
      </c>
      <c r="U392" s="7" t="s">
        <v>585</v>
      </c>
      <c r="V392" s="27" t="s">
        <v>586</v>
      </c>
      <c r="W392" s="7" t="s">
        <v>3786</v>
      </c>
      <c r="X392" s="28"/>
      <c r="Y392" s="28"/>
      <c r="Z392" s="28"/>
    </row>
    <row r="393">
      <c r="A393" s="7" t="s">
        <v>3787</v>
      </c>
      <c r="B393" s="7" t="s">
        <v>3788</v>
      </c>
      <c r="C393" s="7" t="s">
        <v>3790</v>
      </c>
      <c r="D393" s="7" t="s">
        <v>186</v>
      </c>
      <c r="E393" s="7" t="s">
        <v>3791</v>
      </c>
      <c r="F393" s="9">
        <v>16.95174</v>
      </c>
      <c r="G393" s="9">
        <v>103.168053</v>
      </c>
      <c r="H393" s="7" t="s">
        <v>618</v>
      </c>
      <c r="I393" s="9">
        <v>162.83</v>
      </c>
      <c r="J393" s="28"/>
      <c r="K393" s="28"/>
      <c r="L393" s="28"/>
      <c r="M393" s="9"/>
      <c r="N393" s="7" t="s">
        <v>2894</v>
      </c>
      <c r="O393" s="7" t="s">
        <v>583</v>
      </c>
      <c r="P393" s="9">
        <v>3.0</v>
      </c>
      <c r="Q393" s="28"/>
      <c r="R393" s="9">
        <v>82.4</v>
      </c>
      <c r="S393" s="7" t="s">
        <v>584</v>
      </c>
      <c r="T393" s="7" t="b">
        <v>0</v>
      </c>
      <c r="U393" s="7" t="s">
        <v>585</v>
      </c>
      <c r="V393" s="27" t="s">
        <v>586</v>
      </c>
      <c r="W393" s="7" t="s">
        <v>3792</v>
      </c>
      <c r="X393" s="28"/>
      <c r="Y393" s="28"/>
      <c r="Z393" s="28"/>
    </row>
    <row r="394">
      <c r="A394" s="7" t="s">
        <v>3793</v>
      </c>
      <c r="B394" s="7" t="s">
        <v>3795</v>
      </c>
      <c r="C394" s="7" t="s">
        <v>3797</v>
      </c>
      <c r="D394" s="7" t="s">
        <v>312</v>
      </c>
      <c r="E394" s="7" t="s">
        <v>3798</v>
      </c>
      <c r="F394" s="9">
        <v>13.69158</v>
      </c>
      <c r="G394" s="9">
        <v>100.38127</v>
      </c>
      <c r="H394" s="7" t="s">
        <v>576</v>
      </c>
      <c r="I394" s="9">
        <v>-2.79</v>
      </c>
      <c r="J394" s="28"/>
      <c r="K394" s="28"/>
      <c r="L394" s="28"/>
      <c r="M394" s="9"/>
      <c r="N394" s="7" t="s">
        <v>2894</v>
      </c>
      <c r="O394" s="7" t="s">
        <v>583</v>
      </c>
      <c r="P394" s="9">
        <v>3.0</v>
      </c>
      <c r="Q394" s="28"/>
      <c r="R394" s="9">
        <v>12.4</v>
      </c>
      <c r="S394" s="7" t="s">
        <v>584</v>
      </c>
      <c r="T394" s="7" t="b">
        <v>0</v>
      </c>
      <c r="U394" s="7" t="s">
        <v>585</v>
      </c>
      <c r="V394" s="27" t="s">
        <v>586</v>
      </c>
      <c r="W394" s="7" t="s">
        <v>3801</v>
      </c>
      <c r="X394" s="28"/>
      <c r="Y394" s="28"/>
      <c r="Z394" s="28"/>
    </row>
    <row r="395">
      <c r="A395" s="7" t="s">
        <v>3802</v>
      </c>
      <c r="B395" s="7" t="s">
        <v>3803</v>
      </c>
      <c r="C395" s="7" t="s">
        <v>3804</v>
      </c>
      <c r="D395" s="7" t="s">
        <v>84</v>
      </c>
      <c r="E395" s="7"/>
      <c r="F395" s="9">
        <v>16.21715</v>
      </c>
      <c r="G395" s="9">
        <v>99.720608</v>
      </c>
      <c r="H395" s="7" t="s">
        <v>923</v>
      </c>
      <c r="I395" s="9">
        <v>54.09</v>
      </c>
      <c r="J395" s="28"/>
      <c r="K395" s="28"/>
      <c r="L395" s="28"/>
      <c r="M395" s="9">
        <v>57.65</v>
      </c>
      <c r="N395" s="7" t="s">
        <v>2894</v>
      </c>
      <c r="O395" s="7" t="s">
        <v>583</v>
      </c>
      <c r="P395" s="9">
        <v>3.0</v>
      </c>
      <c r="Q395" s="28"/>
      <c r="R395" s="9">
        <v>22.4</v>
      </c>
      <c r="S395" s="7" t="s">
        <v>584</v>
      </c>
      <c r="T395" s="7" t="b">
        <v>0</v>
      </c>
      <c r="U395" s="7" t="s">
        <v>585</v>
      </c>
      <c r="V395" s="27" t="s">
        <v>586</v>
      </c>
      <c r="W395" s="7" t="s">
        <v>3805</v>
      </c>
      <c r="X395" s="28"/>
      <c r="Y395" s="28"/>
      <c r="Z395" s="28"/>
    </row>
    <row r="396">
      <c r="A396" s="7" t="s">
        <v>3806</v>
      </c>
      <c r="B396" s="7" t="s">
        <v>3807</v>
      </c>
      <c r="C396" s="7" t="s">
        <v>3808</v>
      </c>
      <c r="D396" s="7" t="s">
        <v>80</v>
      </c>
      <c r="E396" s="7" t="s">
        <v>3809</v>
      </c>
      <c r="F396" s="9">
        <v>17.29251</v>
      </c>
      <c r="G396" s="9">
        <v>100.07764</v>
      </c>
      <c r="H396" s="7" t="s">
        <v>576</v>
      </c>
      <c r="I396" s="9">
        <v>47.82</v>
      </c>
      <c r="J396" s="28"/>
      <c r="K396" s="28"/>
      <c r="L396" s="28"/>
      <c r="M396" s="9"/>
      <c r="N396" s="7" t="s">
        <v>2894</v>
      </c>
      <c r="O396" s="7" t="s">
        <v>583</v>
      </c>
      <c r="P396" s="9">
        <v>3.0</v>
      </c>
      <c r="Q396" s="28"/>
      <c r="R396" s="9">
        <v>12.4</v>
      </c>
      <c r="S396" s="7" t="s">
        <v>584</v>
      </c>
      <c r="T396" s="7" t="b">
        <v>0</v>
      </c>
      <c r="U396" s="7" t="s">
        <v>585</v>
      </c>
      <c r="V396" s="27" t="s">
        <v>586</v>
      </c>
      <c r="W396" s="7" t="s">
        <v>3810</v>
      </c>
      <c r="X396" s="28"/>
      <c r="Y396" s="28"/>
      <c r="Z396" s="28"/>
    </row>
    <row r="397">
      <c r="A397" s="7" t="s">
        <v>3811</v>
      </c>
      <c r="B397" s="7" t="s">
        <v>3812</v>
      </c>
      <c r="C397" s="7" t="s">
        <v>3813</v>
      </c>
      <c r="D397" s="7" t="s">
        <v>53</v>
      </c>
      <c r="E397" s="7" t="s">
        <v>2534</v>
      </c>
      <c r="F397" s="9">
        <v>19.68822</v>
      </c>
      <c r="G397" s="9">
        <v>100.18758</v>
      </c>
      <c r="H397" s="7" t="s">
        <v>576</v>
      </c>
      <c r="I397" s="9">
        <v>361.21</v>
      </c>
      <c r="J397" s="28"/>
      <c r="K397" s="28"/>
      <c r="L397" s="28"/>
      <c r="M397" s="9"/>
      <c r="N397" s="7" t="s">
        <v>2894</v>
      </c>
      <c r="O397" s="7" t="s">
        <v>583</v>
      </c>
      <c r="P397" s="9">
        <v>3.0</v>
      </c>
      <c r="Q397" s="28"/>
      <c r="R397" s="9">
        <v>12.4</v>
      </c>
      <c r="S397" s="7" t="s">
        <v>584</v>
      </c>
      <c r="T397" s="7" t="b">
        <v>0</v>
      </c>
      <c r="U397" s="7" t="s">
        <v>585</v>
      </c>
      <c r="V397" s="27" t="s">
        <v>586</v>
      </c>
      <c r="W397" s="7" t="s">
        <v>3814</v>
      </c>
      <c r="X397" s="28"/>
      <c r="Y397" s="28"/>
      <c r="Z397" s="28"/>
    </row>
    <row r="398">
      <c r="A398" s="7" t="s">
        <v>3815</v>
      </c>
      <c r="B398" s="7" t="s">
        <v>3816</v>
      </c>
      <c r="C398" s="7" t="s">
        <v>3817</v>
      </c>
      <c r="D398" s="7" t="s">
        <v>61</v>
      </c>
      <c r="E398" s="7"/>
      <c r="F398" s="9">
        <v>16.835382</v>
      </c>
      <c r="G398" s="9">
        <v>100.56083</v>
      </c>
      <c r="H398" s="7" t="s">
        <v>576</v>
      </c>
      <c r="I398" s="9">
        <v>64.52</v>
      </c>
      <c r="J398" s="28"/>
      <c r="K398" s="28"/>
      <c r="L398" s="28"/>
      <c r="M398" s="9"/>
      <c r="N398" s="7" t="s">
        <v>2894</v>
      </c>
      <c r="O398" s="7" t="s">
        <v>583</v>
      </c>
      <c r="P398" s="9">
        <v>3.0</v>
      </c>
      <c r="Q398" s="28"/>
      <c r="R398" s="9">
        <v>12.4</v>
      </c>
      <c r="S398" s="7" t="s">
        <v>584</v>
      </c>
      <c r="T398" s="7" t="b">
        <v>0</v>
      </c>
      <c r="U398" s="7" t="s">
        <v>585</v>
      </c>
      <c r="V398" s="27" t="s">
        <v>586</v>
      </c>
      <c r="W398" s="7" t="s">
        <v>3819</v>
      </c>
      <c r="X398" s="28"/>
      <c r="Y398" s="28"/>
      <c r="Z398" s="28"/>
    </row>
    <row r="399">
      <c r="A399" s="7" t="s">
        <v>3820</v>
      </c>
      <c r="B399" s="7" t="s">
        <v>3821</v>
      </c>
      <c r="C399" s="7" t="s">
        <v>3822</v>
      </c>
      <c r="D399" s="7" t="s">
        <v>65</v>
      </c>
      <c r="E399" s="7" t="s">
        <v>3823</v>
      </c>
      <c r="F399" s="9">
        <v>18.14444</v>
      </c>
      <c r="G399" s="9">
        <v>99.408463</v>
      </c>
      <c r="H399" s="7" t="s">
        <v>2800</v>
      </c>
      <c r="I399" s="9">
        <v>215.84</v>
      </c>
      <c r="J399" s="28"/>
      <c r="K399" s="28"/>
      <c r="L399" s="28"/>
      <c r="M399" s="9"/>
      <c r="N399" s="7" t="s">
        <v>2894</v>
      </c>
      <c r="O399" s="7" t="s">
        <v>583</v>
      </c>
      <c r="P399" s="9">
        <v>3.0</v>
      </c>
      <c r="Q399" s="28"/>
      <c r="R399" s="9">
        <v>382.4</v>
      </c>
      <c r="S399" s="7" t="s">
        <v>584</v>
      </c>
      <c r="T399" s="7" t="b">
        <v>0</v>
      </c>
      <c r="U399" s="7" t="s">
        <v>585</v>
      </c>
      <c r="V399" s="27" t="s">
        <v>586</v>
      </c>
      <c r="W399" s="7" t="s">
        <v>3824</v>
      </c>
      <c r="X399" s="28"/>
      <c r="Y399" s="28"/>
      <c r="Z399" s="28"/>
    </row>
    <row r="400">
      <c r="A400" s="7" t="s">
        <v>3825</v>
      </c>
      <c r="B400" s="7" t="s">
        <v>3826</v>
      </c>
      <c r="C400" s="7" t="s">
        <v>3827</v>
      </c>
      <c r="D400" s="7" t="s">
        <v>283</v>
      </c>
      <c r="E400" s="7" t="s">
        <v>3599</v>
      </c>
      <c r="F400" s="9">
        <v>10.50334</v>
      </c>
      <c r="G400" s="9">
        <v>98.964401</v>
      </c>
      <c r="H400" s="7" t="s">
        <v>1951</v>
      </c>
      <c r="I400" s="9">
        <v>38.67</v>
      </c>
      <c r="J400" s="28"/>
      <c r="K400" s="28"/>
      <c r="L400" s="28"/>
      <c r="M400" s="9"/>
      <c r="N400" s="7" t="s">
        <v>2894</v>
      </c>
      <c r="O400" s="7" t="s">
        <v>583</v>
      </c>
      <c r="P400" s="9">
        <v>3.0</v>
      </c>
      <c r="Q400" s="28"/>
      <c r="R400" s="9">
        <v>202.4</v>
      </c>
      <c r="S400" s="7" t="s">
        <v>584</v>
      </c>
      <c r="T400" s="7" t="b">
        <v>0</v>
      </c>
      <c r="U400" s="7" t="s">
        <v>585</v>
      </c>
      <c r="V400" s="27" t="s">
        <v>586</v>
      </c>
      <c r="W400" s="7" t="s">
        <v>3828</v>
      </c>
      <c r="X400" s="28"/>
      <c r="Y400" s="28"/>
      <c r="Z400" s="28"/>
    </row>
    <row r="401">
      <c r="A401" s="7" t="s">
        <v>3829</v>
      </c>
      <c r="B401" s="7" t="s">
        <v>3830</v>
      </c>
      <c r="C401" s="7" t="s">
        <v>3831</v>
      </c>
      <c r="D401" s="7" t="s">
        <v>240</v>
      </c>
      <c r="E401" s="7" t="s">
        <v>1892</v>
      </c>
      <c r="F401" s="9">
        <v>15.33716</v>
      </c>
      <c r="G401" s="9">
        <v>104.15292</v>
      </c>
      <c r="H401" s="7" t="s">
        <v>923</v>
      </c>
      <c r="I401" s="9">
        <v>114.18</v>
      </c>
      <c r="J401" s="28"/>
      <c r="K401" s="28"/>
      <c r="L401" s="28"/>
      <c r="M401" s="9">
        <v>120.38</v>
      </c>
      <c r="N401" s="7" t="s">
        <v>2894</v>
      </c>
      <c r="O401" s="7" t="s">
        <v>583</v>
      </c>
      <c r="P401" s="9">
        <v>3.0</v>
      </c>
      <c r="Q401" s="28"/>
      <c r="R401" s="9">
        <v>22.4</v>
      </c>
      <c r="S401" s="7" t="s">
        <v>584</v>
      </c>
      <c r="T401" s="7" t="b">
        <v>0</v>
      </c>
      <c r="U401" s="7" t="s">
        <v>585</v>
      </c>
      <c r="V401" s="27" t="s">
        <v>586</v>
      </c>
      <c r="W401" s="7" t="s">
        <v>3837</v>
      </c>
      <c r="X401" s="28"/>
      <c r="Y401" s="28"/>
      <c r="Z401" s="28"/>
    </row>
    <row r="402">
      <c r="A402" s="7" t="s">
        <v>3838</v>
      </c>
      <c r="B402" s="7" t="s">
        <v>3839</v>
      </c>
      <c r="C402" s="7" t="s">
        <v>3840</v>
      </c>
      <c r="D402" s="7" t="s">
        <v>230</v>
      </c>
      <c r="E402" s="7" t="s">
        <v>1892</v>
      </c>
      <c r="F402" s="9">
        <v>15.30003</v>
      </c>
      <c r="G402" s="9">
        <v>103.292282</v>
      </c>
      <c r="H402" s="7" t="s">
        <v>618</v>
      </c>
      <c r="I402" s="9">
        <v>125.66</v>
      </c>
      <c r="J402" s="28"/>
      <c r="K402" s="28"/>
      <c r="L402" s="28"/>
      <c r="M402" s="9">
        <v>129.0</v>
      </c>
      <c r="N402" s="7" t="s">
        <v>2894</v>
      </c>
      <c r="O402" s="7" t="s">
        <v>583</v>
      </c>
      <c r="P402" s="9">
        <v>3.0</v>
      </c>
      <c r="Q402" s="28"/>
      <c r="R402" s="9">
        <v>82.4</v>
      </c>
      <c r="S402" s="7" t="s">
        <v>584</v>
      </c>
      <c r="T402" s="7" t="b">
        <v>0</v>
      </c>
      <c r="U402" s="7" t="s">
        <v>585</v>
      </c>
      <c r="V402" s="27" t="s">
        <v>586</v>
      </c>
      <c r="W402" s="7" t="s">
        <v>3844</v>
      </c>
      <c r="X402" s="28"/>
      <c r="Y402" s="28"/>
      <c r="Z402" s="28"/>
    </row>
    <row r="403">
      <c r="A403" s="7" t="s">
        <v>3845</v>
      </c>
      <c r="B403" s="7" t="s">
        <v>3846</v>
      </c>
      <c r="C403" s="7" t="s">
        <v>3848</v>
      </c>
      <c r="D403" s="7" t="s">
        <v>65</v>
      </c>
      <c r="E403" s="7" t="s">
        <v>3469</v>
      </c>
      <c r="F403" s="9">
        <v>18.785219</v>
      </c>
      <c r="G403" s="9">
        <v>99.630409</v>
      </c>
      <c r="H403" s="7" t="s">
        <v>3579</v>
      </c>
      <c r="I403" s="9">
        <v>305.37</v>
      </c>
      <c r="J403" s="28"/>
      <c r="K403" s="28"/>
      <c r="L403" s="28"/>
      <c r="M403" s="9"/>
      <c r="N403" s="7" t="s">
        <v>2894</v>
      </c>
      <c r="O403" s="7" t="s">
        <v>583</v>
      </c>
      <c r="P403" s="9">
        <v>3.0</v>
      </c>
      <c r="Q403" s="28"/>
      <c r="R403" s="9">
        <v>262.4</v>
      </c>
      <c r="S403" s="7" t="s">
        <v>584</v>
      </c>
      <c r="T403" s="7" t="b">
        <v>0</v>
      </c>
      <c r="U403" s="7" t="s">
        <v>585</v>
      </c>
      <c r="V403" s="27" t="s">
        <v>586</v>
      </c>
      <c r="W403" s="7" t="s">
        <v>3849</v>
      </c>
      <c r="X403" s="28"/>
      <c r="Y403" s="28"/>
      <c r="Z403" s="28"/>
    </row>
    <row r="404">
      <c r="A404" s="7" t="s">
        <v>3850</v>
      </c>
      <c r="B404" s="7" t="s">
        <v>3851</v>
      </c>
      <c r="C404" s="7" t="s">
        <v>3852</v>
      </c>
      <c r="D404" s="7" t="s">
        <v>60</v>
      </c>
      <c r="E404" s="7" t="s">
        <v>2006</v>
      </c>
      <c r="F404" s="9">
        <v>18.54992</v>
      </c>
      <c r="G404" s="9">
        <v>100.76151</v>
      </c>
      <c r="H404" s="7" t="s">
        <v>576</v>
      </c>
      <c r="I404" s="9">
        <v>179.72</v>
      </c>
      <c r="J404" s="28"/>
      <c r="K404" s="28"/>
      <c r="L404" s="28"/>
      <c r="M404" s="9"/>
      <c r="N404" s="7" t="s">
        <v>2894</v>
      </c>
      <c r="O404" s="7" t="s">
        <v>583</v>
      </c>
      <c r="P404" s="9">
        <v>3.0</v>
      </c>
      <c r="Q404" s="28"/>
      <c r="R404" s="9">
        <v>12.4</v>
      </c>
      <c r="S404" s="7" t="s">
        <v>584</v>
      </c>
      <c r="T404" s="7" t="b">
        <v>0</v>
      </c>
      <c r="U404" s="7" t="s">
        <v>585</v>
      </c>
      <c r="V404" s="27" t="s">
        <v>586</v>
      </c>
      <c r="W404" s="7" t="s">
        <v>3853</v>
      </c>
      <c r="X404" s="28"/>
      <c r="Y404" s="28"/>
      <c r="Z404" s="28"/>
    </row>
    <row r="405">
      <c r="A405" s="7" t="s">
        <v>3854</v>
      </c>
      <c r="B405" s="7" t="s">
        <v>3855</v>
      </c>
      <c r="C405" s="7" t="s">
        <v>3856</v>
      </c>
      <c r="D405" s="7" t="s">
        <v>202</v>
      </c>
      <c r="E405" s="7" t="s">
        <v>1881</v>
      </c>
      <c r="F405" s="9">
        <v>17.557489</v>
      </c>
      <c r="G405" s="9">
        <v>103.335228</v>
      </c>
      <c r="H405" s="7" t="s">
        <v>618</v>
      </c>
      <c r="I405" s="9">
        <v>155.51</v>
      </c>
      <c r="J405" s="28"/>
      <c r="K405" s="28"/>
      <c r="L405" s="28"/>
      <c r="M405" s="9"/>
      <c r="N405" s="7" t="s">
        <v>2894</v>
      </c>
      <c r="O405" s="7" t="s">
        <v>583</v>
      </c>
      <c r="P405" s="9">
        <v>3.0</v>
      </c>
      <c r="Q405" s="28"/>
      <c r="R405" s="9">
        <v>82.4</v>
      </c>
      <c r="S405" s="7" t="s">
        <v>584</v>
      </c>
      <c r="T405" s="7" t="b">
        <v>0</v>
      </c>
      <c r="U405" s="7" t="s">
        <v>585</v>
      </c>
      <c r="V405" s="27" t="s">
        <v>586</v>
      </c>
      <c r="W405" s="7" t="s">
        <v>3857</v>
      </c>
      <c r="X405" s="28"/>
      <c r="Y405" s="28"/>
      <c r="Z405" s="28"/>
    </row>
    <row r="406">
      <c r="A406" s="7" t="s">
        <v>3858</v>
      </c>
      <c r="B406" s="7" t="s">
        <v>3859</v>
      </c>
      <c r="C406" s="7" t="s">
        <v>3860</v>
      </c>
      <c r="D406" s="7" t="s">
        <v>74</v>
      </c>
      <c r="E406" s="7" t="s">
        <v>3469</v>
      </c>
      <c r="F406" s="9">
        <v>17.32165</v>
      </c>
      <c r="G406" s="9">
        <v>99.077217</v>
      </c>
      <c r="H406" s="7" t="s">
        <v>618</v>
      </c>
      <c r="I406" s="9">
        <v>139.62</v>
      </c>
      <c r="J406" s="28"/>
      <c r="K406" s="28"/>
      <c r="L406" s="28"/>
      <c r="M406" s="9"/>
      <c r="N406" s="7" t="s">
        <v>2894</v>
      </c>
      <c r="O406" s="7" t="s">
        <v>583</v>
      </c>
      <c r="P406" s="9">
        <v>3.0</v>
      </c>
      <c r="Q406" s="28"/>
      <c r="R406" s="9">
        <v>82.4</v>
      </c>
      <c r="S406" s="7" t="s">
        <v>584</v>
      </c>
      <c r="T406" s="7" t="b">
        <v>0</v>
      </c>
      <c r="U406" s="7" t="s">
        <v>585</v>
      </c>
      <c r="V406" s="27" t="s">
        <v>586</v>
      </c>
      <c r="W406" s="7" t="s">
        <v>3862</v>
      </c>
      <c r="X406" s="28"/>
      <c r="Y406" s="28"/>
      <c r="Z406" s="28"/>
    </row>
    <row r="407">
      <c r="A407" s="7" t="s">
        <v>3863</v>
      </c>
      <c r="B407" s="7" t="s">
        <v>3864</v>
      </c>
      <c r="C407" s="7" t="s">
        <v>3865</v>
      </c>
      <c r="D407" s="7" t="s">
        <v>224</v>
      </c>
      <c r="E407" s="7" t="s">
        <v>3866</v>
      </c>
      <c r="F407" s="9">
        <v>14.60611</v>
      </c>
      <c r="G407" s="9">
        <v>101.472778</v>
      </c>
      <c r="H407" s="7" t="s">
        <v>618</v>
      </c>
      <c r="I407" s="9">
        <v>330.99</v>
      </c>
      <c r="J407" s="28"/>
      <c r="K407" s="28"/>
      <c r="L407" s="28"/>
      <c r="M407" s="9"/>
      <c r="N407" s="7" t="s">
        <v>2894</v>
      </c>
      <c r="O407" s="7" t="s">
        <v>583</v>
      </c>
      <c r="P407" s="9">
        <v>3.0</v>
      </c>
      <c r="Q407" s="28"/>
      <c r="R407" s="9">
        <v>82.4</v>
      </c>
      <c r="S407" s="7" t="s">
        <v>584</v>
      </c>
      <c r="T407" s="7" t="b">
        <v>0</v>
      </c>
      <c r="U407" s="7" t="s">
        <v>585</v>
      </c>
      <c r="V407" s="27" t="s">
        <v>586</v>
      </c>
      <c r="W407" s="7" t="s">
        <v>3867</v>
      </c>
      <c r="X407" s="28"/>
      <c r="Y407" s="28"/>
      <c r="Z407" s="28"/>
    </row>
    <row r="408">
      <c r="A408" s="7" t="s">
        <v>3868</v>
      </c>
      <c r="B408" s="7" t="s">
        <v>3869</v>
      </c>
      <c r="C408" s="7" t="s">
        <v>3870</v>
      </c>
      <c r="D408" s="7" t="s">
        <v>108</v>
      </c>
      <c r="E408" s="7" t="s">
        <v>1128</v>
      </c>
      <c r="F408" s="9">
        <v>14.24582</v>
      </c>
      <c r="G408" s="9">
        <v>101.274246</v>
      </c>
      <c r="H408" s="7" t="s">
        <v>618</v>
      </c>
      <c r="I408" s="9">
        <v>5.53</v>
      </c>
      <c r="J408" s="28"/>
      <c r="K408" s="28"/>
      <c r="L408" s="28"/>
      <c r="M408" s="9"/>
      <c r="N408" s="7" t="s">
        <v>2894</v>
      </c>
      <c r="O408" s="7" t="s">
        <v>583</v>
      </c>
      <c r="P408" s="9">
        <v>3.0</v>
      </c>
      <c r="Q408" s="28"/>
      <c r="R408" s="9">
        <v>82.4</v>
      </c>
      <c r="S408" s="7" t="s">
        <v>584</v>
      </c>
      <c r="T408" s="7" t="b">
        <v>0</v>
      </c>
      <c r="U408" s="7" t="s">
        <v>585</v>
      </c>
      <c r="V408" s="27" t="s">
        <v>586</v>
      </c>
      <c r="W408" s="7" t="s">
        <v>3871</v>
      </c>
      <c r="X408" s="28"/>
      <c r="Y408" s="28"/>
      <c r="Z408" s="28"/>
    </row>
    <row r="409">
      <c r="A409" s="7" t="s">
        <v>3872</v>
      </c>
      <c r="B409" s="7" t="s">
        <v>3873</v>
      </c>
      <c r="C409" s="7" t="s">
        <v>3874</v>
      </c>
      <c r="D409" s="7" t="s">
        <v>220</v>
      </c>
      <c r="E409" s="7" t="s">
        <v>2542</v>
      </c>
      <c r="F409" s="9">
        <v>15.9074</v>
      </c>
      <c r="G409" s="9">
        <v>101.708229</v>
      </c>
      <c r="H409" s="7" t="s">
        <v>618</v>
      </c>
      <c r="I409" s="9">
        <v>203.18</v>
      </c>
      <c r="J409" s="28"/>
      <c r="K409" s="28"/>
      <c r="L409" s="28"/>
      <c r="M409" s="28"/>
      <c r="N409" s="7" t="s">
        <v>2894</v>
      </c>
      <c r="O409" s="7" t="s">
        <v>583</v>
      </c>
      <c r="P409" s="9">
        <v>3.0</v>
      </c>
      <c r="Q409" s="28"/>
      <c r="R409" s="9">
        <v>82.4</v>
      </c>
      <c r="S409" s="7" t="s">
        <v>584</v>
      </c>
      <c r="T409" s="7" t="b">
        <v>0</v>
      </c>
      <c r="U409" s="7" t="s">
        <v>585</v>
      </c>
      <c r="V409" s="27" t="s">
        <v>586</v>
      </c>
      <c r="W409" s="7" t="s">
        <v>3879</v>
      </c>
      <c r="X409" s="28"/>
      <c r="Y409" s="28"/>
      <c r="Z409" s="28"/>
    </row>
    <row r="410">
      <c r="A410" s="7" t="s">
        <v>3881</v>
      </c>
      <c r="B410" s="7" t="s">
        <v>3882</v>
      </c>
      <c r="C410" s="7" t="s">
        <v>3883</v>
      </c>
      <c r="D410" s="7" t="s">
        <v>9</v>
      </c>
      <c r="E410" s="7" t="s">
        <v>3884</v>
      </c>
      <c r="F410" s="9">
        <v>18.92746</v>
      </c>
      <c r="G410" s="9">
        <v>98.939774</v>
      </c>
      <c r="H410" s="7" t="s">
        <v>3579</v>
      </c>
      <c r="I410" s="9">
        <v>321.01</v>
      </c>
      <c r="J410" s="28"/>
      <c r="K410" s="28"/>
      <c r="L410" s="28"/>
      <c r="M410" s="9"/>
      <c r="N410" s="7" t="s">
        <v>2894</v>
      </c>
      <c r="O410" s="7" t="s">
        <v>583</v>
      </c>
      <c r="P410" s="9">
        <v>3.0</v>
      </c>
      <c r="Q410" s="28"/>
      <c r="R410" s="9">
        <v>262.4</v>
      </c>
      <c r="S410" s="7" t="s">
        <v>584</v>
      </c>
      <c r="T410" s="7" t="b">
        <v>0</v>
      </c>
      <c r="U410" s="7" t="s">
        <v>585</v>
      </c>
      <c r="V410" s="27" t="s">
        <v>586</v>
      </c>
      <c r="W410" s="7" t="s">
        <v>3889</v>
      </c>
      <c r="X410" s="28"/>
      <c r="Y410" s="28"/>
      <c r="Z410" s="28"/>
    </row>
    <row r="411">
      <c r="A411" s="7" t="s">
        <v>3890</v>
      </c>
      <c r="B411" s="7" t="s">
        <v>3891</v>
      </c>
      <c r="C411" s="7" t="s">
        <v>3892</v>
      </c>
      <c r="D411" s="7" t="s">
        <v>220</v>
      </c>
      <c r="E411" s="7" t="s">
        <v>2542</v>
      </c>
      <c r="F411" s="9">
        <v>15.75292</v>
      </c>
      <c r="G411" s="9">
        <v>102.252609</v>
      </c>
      <c r="H411" s="7" t="s">
        <v>618</v>
      </c>
      <c r="I411" s="9">
        <v>169.59</v>
      </c>
      <c r="J411" s="28"/>
      <c r="K411" s="28"/>
      <c r="L411" s="28"/>
      <c r="M411" s="9"/>
      <c r="N411" s="7" t="s">
        <v>2894</v>
      </c>
      <c r="O411" s="7" t="s">
        <v>583</v>
      </c>
      <c r="P411" s="9">
        <v>3.0</v>
      </c>
      <c r="Q411" s="28"/>
      <c r="R411" s="9">
        <v>82.4</v>
      </c>
      <c r="S411" s="7" t="s">
        <v>584</v>
      </c>
      <c r="T411" s="7" t="b">
        <v>0</v>
      </c>
      <c r="U411" s="7" t="s">
        <v>585</v>
      </c>
      <c r="V411" s="27" t="s">
        <v>586</v>
      </c>
      <c r="W411" s="7" t="s">
        <v>3893</v>
      </c>
      <c r="X411" s="28"/>
      <c r="Y411" s="28"/>
      <c r="Z411" s="28"/>
    </row>
    <row r="412">
      <c r="A412" s="7" t="s">
        <v>3894</v>
      </c>
      <c r="B412" s="7" t="s">
        <v>3895</v>
      </c>
      <c r="C412" s="7" t="s">
        <v>3896</v>
      </c>
      <c r="D412" s="7" t="s">
        <v>9</v>
      </c>
      <c r="E412" s="7" t="s">
        <v>3897</v>
      </c>
      <c r="F412" s="9">
        <v>18.65423</v>
      </c>
      <c r="G412" s="9">
        <v>98.685661</v>
      </c>
      <c r="H412" s="7" t="s">
        <v>3579</v>
      </c>
      <c r="I412" s="9">
        <v>401.6</v>
      </c>
      <c r="J412" s="28"/>
      <c r="K412" s="28"/>
      <c r="L412" s="28"/>
      <c r="M412" s="28"/>
      <c r="N412" s="7" t="s">
        <v>2894</v>
      </c>
      <c r="O412" s="7" t="s">
        <v>583</v>
      </c>
      <c r="P412" s="9">
        <v>3.0</v>
      </c>
      <c r="Q412" s="28"/>
      <c r="R412" s="9">
        <v>262.4</v>
      </c>
      <c r="S412" s="7" t="s">
        <v>584</v>
      </c>
      <c r="T412" s="7" t="b">
        <v>0</v>
      </c>
      <c r="U412" s="7" t="s">
        <v>585</v>
      </c>
      <c r="V412" s="27" t="s">
        <v>586</v>
      </c>
      <c r="W412" s="7" t="s">
        <v>3898</v>
      </c>
      <c r="X412" s="28"/>
      <c r="Y412" s="28"/>
      <c r="Z412" s="28"/>
    </row>
    <row r="413">
      <c r="A413" s="7" t="s">
        <v>3899</v>
      </c>
      <c r="B413" s="7" t="s">
        <v>3900</v>
      </c>
      <c r="C413" s="7" t="s">
        <v>3901</v>
      </c>
      <c r="D413" s="7" t="s">
        <v>286</v>
      </c>
      <c r="E413" s="7" t="s">
        <v>3902</v>
      </c>
      <c r="F413" s="9">
        <v>6.738124</v>
      </c>
      <c r="G413" s="9">
        <v>100.69319</v>
      </c>
      <c r="H413" s="7" t="s">
        <v>576</v>
      </c>
      <c r="I413" s="9">
        <v>20.02</v>
      </c>
      <c r="J413" s="28"/>
      <c r="K413" s="28"/>
      <c r="L413" s="28"/>
      <c r="M413" s="28"/>
      <c r="N413" s="7" t="s">
        <v>2894</v>
      </c>
      <c r="O413" s="7" t="s">
        <v>583</v>
      </c>
      <c r="P413" s="9">
        <v>3.0</v>
      </c>
      <c r="Q413" s="28"/>
      <c r="R413" s="9">
        <v>12.4</v>
      </c>
      <c r="S413" s="7" t="s">
        <v>584</v>
      </c>
      <c r="T413" s="7" t="b">
        <v>0</v>
      </c>
      <c r="U413" s="7" t="s">
        <v>585</v>
      </c>
      <c r="V413" s="27" t="s">
        <v>586</v>
      </c>
      <c r="W413" s="7" t="s">
        <v>3903</v>
      </c>
      <c r="X413" s="28"/>
      <c r="Y413" s="28"/>
      <c r="Z413" s="28"/>
    </row>
    <row r="414">
      <c r="A414" s="7" t="s">
        <v>3904</v>
      </c>
      <c r="B414" s="7" t="s">
        <v>3905</v>
      </c>
      <c r="C414" s="7" t="s">
        <v>3906</v>
      </c>
      <c r="D414" s="7" t="s">
        <v>220</v>
      </c>
      <c r="E414" s="7" t="s">
        <v>2542</v>
      </c>
      <c r="F414" s="9">
        <v>15.93316</v>
      </c>
      <c r="G414" s="9">
        <v>101.69951</v>
      </c>
      <c r="H414" s="7" t="s">
        <v>576</v>
      </c>
      <c r="I414" s="9">
        <v>204.4</v>
      </c>
      <c r="J414" s="28"/>
      <c r="K414" s="28"/>
      <c r="L414" s="28"/>
      <c r="M414" s="9"/>
      <c r="N414" s="7" t="s">
        <v>2894</v>
      </c>
      <c r="O414" s="7" t="s">
        <v>583</v>
      </c>
      <c r="P414" s="9">
        <v>3.0</v>
      </c>
      <c r="Q414" s="28"/>
      <c r="R414" s="9">
        <v>12.4</v>
      </c>
      <c r="S414" s="7" t="s">
        <v>584</v>
      </c>
      <c r="T414" s="7" t="b">
        <v>0</v>
      </c>
      <c r="U414" s="7" t="s">
        <v>585</v>
      </c>
      <c r="V414" s="27" t="s">
        <v>586</v>
      </c>
      <c r="W414" s="7" t="s">
        <v>3908</v>
      </c>
      <c r="X414" s="28"/>
      <c r="Y414" s="28"/>
      <c r="Z414" s="28"/>
    </row>
    <row r="415">
      <c r="A415" s="7" t="s">
        <v>3909</v>
      </c>
      <c r="B415" s="7" t="s">
        <v>3910</v>
      </c>
      <c r="C415" s="7" t="s">
        <v>3911</v>
      </c>
      <c r="D415" s="7" t="s">
        <v>203</v>
      </c>
      <c r="E415" s="7" t="s">
        <v>1759</v>
      </c>
      <c r="F415" s="9">
        <v>16.993015</v>
      </c>
      <c r="G415" s="9">
        <v>104.591446</v>
      </c>
      <c r="H415" s="7" t="s">
        <v>576</v>
      </c>
      <c r="I415" s="9">
        <v>138.29</v>
      </c>
      <c r="J415" s="28"/>
      <c r="K415" s="28"/>
      <c r="L415" s="28"/>
      <c r="M415" s="9"/>
      <c r="N415" s="7" t="s">
        <v>2894</v>
      </c>
      <c r="O415" s="7" t="s">
        <v>583</v>
      </c>
      <c r="P415" s="9">
        <v>3.0</v>
      </c>
      <c r="Q415" s="28"/>
      <c r="R415" s="9">
        <v>12.4</v>
      </c>
      <c r="S415" s="7" t="s">
        <v>584</v>
      </c>
      <c r="T415" s="7" t="b">
        <v>0</v>
      </c>
      <c r="U415" s="7" t="s">
        <v>585</v>
      </c>
      <c r="V415" s="27" t="s">
        <v>586</v>
      </c>
      <c r="W415" s="7" t="s">
        <v>3912</v>
      </c>
      <c r="X415" s="28"/>
      <c r="Y415" s="28"/>
      <c r="Z415" s="28"/>
    </row>
    <row r="416">
      <c r="A416" s="7" t="s">
        <v>3913</v>
      </c>
      <c r="B416" s="7" t="s">
        <v>3914</v>
      </c>
      <c r="C416" s="7" t="s">
        <v>3915</v>
      </c>
      <c r="D416" s="7" t="s">
        <v>58</v>
      </c>
      <c r="E416" s="7" t="s">
        <v>3916</v>
      </c>
      <c r="F416" s="9">
        <v>18.22003</v>
      </c>
      <c r="G416" s="9">
        <v>100.20636</v>
      </c>
      <c r="H416" s="7" t="s">
        <v>3579</v>
      </c>
      <c r="I416" s="9">
        <v>159.25</v>
      </c>
      <c r="J416" s="28"/>
      <c r="K416" s="28"/>
      <c r="L416" s="28"/>
      <c r="M416" s="9"/>
      <c r="N416" s="7" t="s">
        <v>2894</v>
      </c>
      <c r="O416" s="7" t="s">
        <v>583</v>
      </c>
      <c r="P416" s="9">
        <v>3.0</v>
      </c>
      <c r="Q416" s="28"/>
      <c r="R416" s="9">
        <v>262.4</v>
      </c>
      <c r="S416" s="7" t="s">
        <v>584</v>
      </c>
      <c r="T416" s="7" t="b">
        <v>0</v>
      </c>
      <c r="U416" s="7" t="s">
        <v>585</v>
      </c>
      <c r="V416" s="27" t="s">
        <v>586</v>
      </c>
      <c r="W416" s="7" t="s">
        <v>3917</v>
      </c>
      <c r="X416" s="28"/>
      <c r="Y416" s="28"/>
      <c r="Z416" s="28"/>
    </row>
    <row r="417">
      <c r="A417" s="7" t="s">
        <v>3918</v>
      </c>
      <c r="B417" s="7" t="s">
        <v>3919</v>
      </c>
      <c r="C417" s="7" t="s">
        <v>3920</v>
      </c>
      <c r="D417" s="7" t="s">
        <v>260</v>
      </c>
      <c r="E417" s="7" t="s">
        <v>3921</v>
      </c>
      <c r="F417" s="9">
        <v>8.54373</v>
      </c>
      <c r="G417" s="9">
        <v>99.223457</v>
      </c>
      <c r="H417" s="7" t="s">
        <v>3412</v>
      </c>
      <c r="I417" s="9">
        <v>7.25</v>
      </c>
      <c r="J417" s="28"/>
      <c r="K417" s="28"/>
      <c r="L417" s="28"/>
      <c r="M417" s="9"/>
      <c r="N417" s="7" t="s">
        <v>2894</v>
      </c>
      <c r="O417" s="7" t="s">
        <v>583</v>
      </c>
      <c r="P417" s="9">
        <v>3.0</v>
      </c>
      <c r="Q417" s="28"/>
      <c r="R417" s="9">
        <v>562.4</v>
      </c>
      <c r="S417" s="7" t="s">
        <v>584</v>
      </c>
      <c r="T417" s="7" t="b">
        <v>0</v>
      </c>
      <c r="U417" s="7" t="s">
        <v>585</v>
      </c>
      <c r="V417" s="27" t="s">
        <v>586</v>
      </c>
      <c r="W417" s="7" t="s">
        <v>3926</v>
      </c>
      <c r="X417" s="28"/>
      <c r="Y417" s="28"/>
      <c r="Z417" s="28"/>
    </row>
    <row r="418">
      <c r="A418" s="7" t="s">
        <v>3928</v>
      </c>
      <c r="B418" s="7" t="s">
        <v>3929</v>
      </c>
      <c r="C418" s="7" t="s">
        <v>3930</v>
      </c>
      <c r="D418" s="7" t="s">
        <v>67</v>
      </c>
      <c r="E418" s="7" t="s">
        <v>2520</v>
      </c>
      <c r="F418" s="9">
        <v>18.366421</v>
      </c>
      <c r="G418" s="9">
        <v>98.772102</v>
      </c>
      <c r="H418" s="7" t="s">
        <v>3579</v>
      </c>
      <c r="I418" s="9">
        <v>290.35</v>
      </c>
      <c r="J418" s="28"/>
      <c r="K418" s="28"/>
      <c r="L418" s="28"/>
      <c r="M418" s="9"/>
      <c r="N418" s="7" t="s">
        <v>2894</v>
      </c>
      <c r="O418" s="7" t="s">
        <v>583</v>
      </c>
      <c r="P418" s="9">
        <v>3.0</v>
      </c>
      <c r="Q418" s="28"/>
      <c r="R418" s="9">
        <v>262.4</v>
      </c>
      <c r="S418" s="7" t="s">
        <v>584</v>
      </c>
      <c r="T418" s="7" t="b">
        <v>0</v>
      </c>
      <c r="U418" s="7" t="s">
        <v>585</v>
      </c>
      <c r="V418" s="27" t="s">
        <v>586</v>
      </c>
      <c r="W418" s="7" t="s">
        <v>3931</v>
      </c>
      <c r="X418" s="28"/>
      <c r="Y418" s="28"/>
      <c r="Z418" s="28"/>
    </row>
    <row r="419">
      <c r="A419" s="7" t="s">
        <v>3932</v>
      </c>
      <c r="B419" s="7" t="s">
        <v>3933</v>
      </c>
      <c r="C419" s="7" t="s">
        <v>3934</v>
      </c>
      <c r="D419" s="7" t="s">
        <v>234</v>
      </c>
      <c r="E419" s="7" t="s">
        <v>1892</v>
      </c>
      <c r="F419" s="9">
        <v>15.28496</v>
      </c>
      <c r="G419" s="9">
        <v>105.46831</v>
      </c>
      <c r="H419" s="7" t="s">
        <v>618</v>
      </c>
      <c r="I419" s="9">
        <v>99.64</v>
      </c>
      <c r="J419" s="28"/>
      <c r="K419" s="28"/>
      <c r="L419" s="28"/>
      <c r="M419" s="9">
        <v>111.9</v>
      </c>
      <c r="N419" s="7" t="s">
        <v>2894</v>
      </c>
      <c r="O419" s="7" t="s">
        <v>583</v>
      </c>
      <c r="P419" s="9">
        <v>3.0</v>
      </c>
      <c r="Q419" s="28"/>
      <c r="R419" s="9">
        <v>82.4</v>
      </c>
      <c r="S419" s="7" t="s">
        <v>584</v>
      </c>
      <c r="T419" s="7" t="b">
        <v>0</v>
      </c>
      <c r="U419" s="7" t="s">
        <v>585</v>
      </c>
      <c r="V419" s="27" t="s">
        <v>586</v>
      </c>
      <c r="W419" s="7" t="s">
        <v>3939</v>
      </c>
      <c r="X419" s="28"/>
      <c r="Y419" s="28"/>
      <c r="Z419" s="28"/>
    </row>
    <row r="420">
      <c r="A420" s="7" t="s">
        <v>3940</v>
      </c>
      <c r="B420" s="7" t="s">
        <v>3941</v>
      </c>
      <c r="C420" s="7" t="s">
        <v>3942</v>
      </c>
      <c r="D420" s="7" t="s">
        <v>131</v>
      </c>
      <c r="E420" s="7"/>
      <c r="F420" s="9">
        <v>12.5175</v>
      </c>
      <c r="G420" s="9">
        <v>99.97219</v>
      </c>
      <c r="H420" s="7" t="s">
        <v>576</v>
      </c>
      <c r="I420" s="9">
        <v>0.95</v>
      </c>
      <c r="J420" s="28"/>
      <c r="K420" s="28"/>
      <c r="L420" s="28"/>
      <c r="M420" s="9"/>
      <c r="N420" s="7" t="s">
        <v>2894</v>
      </c>
      <c r="O420" s="7" t="s">
        <v>583</v>
      </c>
      <c r="P420" s="9">
        <v>3.0</v>
      </c>
      <c r="Q420" s="28"/>
      <c r="R420" s="9">
        <v>12.4</v>
      </c>
      <c r="S420" s="7" t="s">
        <v>584</v>
      </c>
      <c r="T420" s="7" t="b">
        <v>0</v>
      </c>
      <c r="U420" s="7" t="s">
        <v>585</v>
      </c>
      <c r="V420" s="27" t="s">
        <v>586</v>
      </c>
      <c r="W420" s="7" t="s">
        <v>3943</v>
      </c>
      <c r="X420" s="28"/>
      <c r="Y420" s="28"/>
      <c r="Z420" s="28"/>
    </row>
    <row r="421">
      <c r="A421" s="7" t="s">
        <v>3944</v>
      </c>
      <c r="B421" s="7" t="s">
        <v>3945</v>
      </c>
      <c r="C421" s="7" t="s">
        <v>3946</v>
      </c>
      <c r="D421" s="7" t="s">
        <v>3947</v>
      </c>
      <c r="E421" s="7"/>
      <c r="F421" s="9">
        <v>20.3913</v>
      </c>
      <c r="G421" s="9">
        <v>99.68576</v>
      </c>
      <c r="H421" s="7" t="s">
        <v>576</v>
      </c>
      <c r="I421" s="9">
        <v>512.91</v>
      </c>
      <c r="J421" s="28"/>
      <c r="K421" s="28"/>
      <c r="L421" s="28"/>
      <c r="M421" s="9"/>
      <c r="N421" s="7" t="s">
        <v>2894</v>
      </c>
      <c r="O421" s="7" t="s">
        <v>583</v>
      </c>
      <c r="P421" s="9">
        <v>3.0</v>
      </c>
      <c r="Q421" s="28"/>
      <c r="R421" s="9">
        <v>12.4</v>
      </c>
      <c r="S421" s="7" t="s">
        <v>584</v>
      </c>
      <c r="T421" s="7" t="b">
        <v>0</v>
      </c>
      <c r="U421" s="7" t="s">
        <v>585</v>
      </c>
      <c r="V421" s="27" t="s">
        <v>586</v>
      </c>
      <c r="W421" s="7" t="s">
        <v>3948</v>
      </c>
      <c r="X421" s="28"/>
      <c r="Y421" s="28"/>
      <c r="Z421" s="28"/>
    </row>
    <row r="422">
      <c r="A422" s="7" t="s">
        <v>3949</v>
      </c>
      <c r="B422" s="7" t="s">
        <v>3950</v>
      </c>
      <c r="C422" s="7" t="s">
        <v>3951</v>
      </c>
      <c r="D422" s="7" t="s">
        <v>9</v>
      </c>
      <c r="E422" s="7" t="s">
        <v>3952</v>
      </c>
      <c r="F422" s="9">
        <v>18.57391</v>
      </c>
      <c r="G422" s="9">
        <v>98.86222</v>
      </c>
      <c r="H422" s="7" t="s">
        <v>576</v>
      </c>
      <c r="I422" s="9">
        <v>290.5</v>
      </c>
      <c r="J422" s="28"/>
      <c r="K422" s="28"/>
      <c r="L422" s="28"/>
      <c r="M422" s="9"/>
      <c r="N422" s="7" t="s">
        <v>2894</v>
      </c>
      <c r="O422" s="7" t="s">
        <v>583</v>
      </c>
      <c r="P422" s="9">
        <v>3.0</v>
      </c>
      <c r="Q422" s="28"/>
      <c r="R422" s="9">
        <v>12.4</v>
      </c>
      <c r="S422" s="7" t="s">
        <v>584</v>
      </c>
      <c r="T422" s="7" t="b">
        <v>0</v>
      </c>
      <c r="U422" s="7" t="s">
        <v>585</v>
      </c>
      <c r="V422" s="27" t="s">
        <v>586</v>
      </c>
      <c r="W422" s="7" t="s">
        <v>3953</v>
      </c>
      <c r="X422" s="28"/>
      <c r="Y422" s="28"/>
      <c r="Z422" s="28"/>
    </row>
    <row r="423">
      <c r="A423" s="7" t="s">
        <v>3954</v>
      </c>
      <c r="B423" s="7" t="s">
        <v>3955</v>
      </c>
      <c r="C423" s="7" t="s">
        <v>3956</v>
      </c>
      <c r="D423" s="7" t="s">
        <v>278</v>
      </c>
      <c r="E423" s="7" t="s">
        <v>3956</v>
      </c>
      <c r="F423" s="9">
        <v>9.95839</v>
      </c>
      <c r="G423" s="9">
        <v>98.648537</v>
      </c>
      <c r="H423" s="7" t="s">
        <v>1951</v>
      </c>
      <c r="I423" s="9">
        <v>8.3</v>
      </c>
      <c r="J423" s="28"/>
      <c r="K423" s="28"/>
      <c r="L423" s="28"/>
      <c r="M423" s="9"/>
      <c r="N423" s="7" t="s">
        <v>2894</v>
      </c>
      <c r="O423" s="7" t="s">
        <v>583</v>
      </c>
      <c r="P423" s="9">
        <v>3.0</v>
      </c>
      <c r="Q423" s="28"/>
      <c r="R423" s="9">
        <v>202.4</v>
      </c>
      <c r="S423" s="7" t="s">
        <v>584</v>
      </c>
      <c r="T423" s="7" t="b">
        <v>0</v>
      </c>
      <c r="U423" s="7" t="s">
        <v>585</v>
      </c>
      <c r="V423" s="27" t="s">
        <v>586</v>
      </c>
      <c r="W423" s="7" t="s">
        <v>3958</v>
      </c>
      <c r="X423" s="28"/>
      <c r="Y423" s="28"/>
      <c r="Z423" s="28"/>
    </row>
    <row r="424">
      <c r="A424" s="7" t="s">
        <v>3959</v>
      </c>
      <c r="B424" s="7" t="s">
        <v>3960</v>
      </c>
      <c r="C424" s="7" t="s">
        <v>3961</v>
      </c>
      <c r="D424" s="7" t="s">
        <v>80</v>
      </c>
      <c r="E424" s="7" t="s">
        <v>2006</v>
      </c>
      <c r="F424" s="9">
        <v>17.41834</v>
      </c>
      <c r="G424" s="9">
        <v>100.13075</v>
      </c>
      <c r="H424" s="7" t="s">
        <v>1997</v>
      </c>
      <c r="I424" s="9">
        <v>49.07</v>
      </c>
      <c r="J424" s="28"/>
      <c r="K424" s="28"/>
      <c r="L424" s="28"/>
      <c r="M424" s="9"/>
      <c r="N424" s="7" t="s">
        <v>2894</v>
      </c>
      <c r="O424" s="7" t="s">
        <v>583</v>
      </c>
      <c r="P424" s="9">
        <v>3.0</v>
      </c>
      <c r="Q424" s="28"/>
      <c r="R424" s="9">
        <v>1422.4</v>
      </c>
      <c r="S424" s="7" t="s">
        <v>584</v>
      </c>
      <c r="T424" s="7" t="b">
        <v>0</v>
      </c>
      <c r="U424" s="7" t="s">
        <v>585</v>
      </c>
      <c r="V424" s="27" t="s">
        <v>586</v>
      </c>
      <c r="W424" s="7" t="s">
        <v>3962</v>
      </c>
      <c r="X424" s="28"/>
      <c r="Y424" s="28"/>
      <c r="Z424" s="28"/>
    </row>
    <row r="425">
      <c r="A425" s="7" t="s">
        <v>3963</v>
      </c>
      <c r="B425" s="7" t="s">
        <v>3964</v>
      </c>
      <c r="C425" s="7" t="s">
        <v>3965</v>
      </c>
      <c r="D425" s="7" t="s">
        <v>61</v>
      </c>
      <c r="E425" s="7" t="s">
        <v>2006</v>
      </c>
      <c r="F425" s="9">
        <v>17.033621</v>
      </c>
      <c r="G425" s="9">
        <v>100.197968</v>
      </c>
      <c r="H425" s="7" t="s">
        <v>618</v>
      </c>
      <c r="I425" s="9">
        <v>40.41</v>
      </c>
      <c r="J425" s="28"/>
      <c r="K425" s="28"/>
      <c r="L425" s="28"/>
      <c r="M425" s="9"/>
      <c r="N425" s="7" t="s">
        <v>2894</v>
      </c>
      <c r="O425" s="7" t="s">
        <v>583</v>
      </c>
      <c r="P425" s="9">
        <v>3.0</v>
      </c>
      <c r="Q425" s="28"/>
      <c r="R425" s="9">
        <v>82.4</v>
      </c>
      <c r="S425" s="7" t="s">
        <v>584</v>
      </c>
      <c r="T425" s="7" t="b">
        <v>0</v>
      </c>
      <c r="U425" s="7" t="s">
        <v>585</v>
      </c>
      <c r="V425" s="27" t="s">
        <v>586</v>
      </c>
      <c r="W425" s="7" t="s">
        <v>3966</v>
      </c>
      <c r="X425" s="28"/>
      <c r="Y425" s="28"/>
      <c r="Z425" s="28"/>
    </row>
    <row r="426">
      <c r="A426" s="7" t="s">
        <v>3967</v>
      </c>
      <c r="B426" s="7" t="s">
        <v>3968</v>
      </c>
      <c r="C426" s="7" t="s">
        <v>3969</v>
      </c>
      <c r="D426" s="7" t="s">
        <v>53</v>
      </c>
      <c r="E426" s="7"/>
      <c r="F426" s="9">
        <v>20.44454</v>
      </c>
      <c r="G426" s="9">
        <v>99.88048</v>
      </c>
      <c r="H426" s="7" t="s">
        <v>576</v>
      </c>
      <c r="I426" s="9">
        <v>394.88</v>
      </c>
      <c r="J426" s="28"/>
      <c r="K426" s="28"/>
      <c r="L426" s="28"/>
      <c r="M426" s="9"/>
      <c r="N426" s="7" t="s">
        <v>2894</v>
      </c>
      <c r="O426" s="7" t="s">
        <v>583</v>
      </c>
      <c r="P426" s="9">
        <v>3.0</v>
      </c>
      <c r="Q426" s="28"/>
      <c r="R426" s="9">
        <v>12.4</v>
      </c>
      <c r="S426" s="7" t="s">
        <v>584</v>
      </c>
      <c r="T426" s="7" t="b">
        <v>0</v>
      </c>
      <c r="U426" s="7" t="s">
        <v>585</v>
      </c>
      <c r="V426" s="27" t="s">
        <v>586</v>
      </c>
      <c r="W426" s="7" t="s">
        <v>3970</v>
      </c>
      <c r="X426" s="28"/>
      <c r="Y426" s="28"/>
      <c r="Z426" s="28"/>
    </row>
    <row r="427">
      <c r="A427" s="7" t="s">
        <v>3973</v>
      </c>
      <c r="B427" s="7" t="s">
        <v>3975</v>
      </c>
      <c r="C427" s="7" t="s">
        <v>3976</v>
      </c>
      <c r="D427" s="7" t="s">
        <v>101</v>
      </c>
      <c r="E427" s="7" t="s">
        <v>3978</v>
      </c>
      <c r="F427" s="9">
        <v>15.22528</v>
      </c>
      <c r="G427" s="9">
        <v>101.277458</v>
      </c>
      <c r="H427" s="7" t="s">
        <v>618</v>
      </c>
      <c r="I427" s="9">
        <v>57.09</v>
      </c>
      <c r="J427" s="28"/>
      <c r="K427" s="28"/>
      <c r="L427" s="28"/>
      <c r="M427" s="9"/>
      <c r="N427" s="7" t="s">
        <v>2894</v>
      </c>
      <c r="O427" s="7" t="s">
        <v>583</v>
      </c>
      <c r="P427" s="9">
        <v>3.0</v>
      </c>
      <c r="Q427" s="28"/>
      <c r="R427" s="9">
        <v>82.4</v>
      </c>
      <c r="S427" s="7" t="s">
        <v>584</v>
      </c>
      <c r="T427" s="7" t="b">
        <v>0</v>
      </c>
      <c r="U427" s="7" t="s">
        <v>585</v>
      </c>
      <c r="V427" s="27" t="s">
        <v>586</v>
      </c>
      <c r="W427" s="7" t="s">
        <v>3980</v>
      </c>
      <c r="X427" s="28"/>
      <c r="Y427" s="28"/>
      <c r="Z427" s="28"/>
    </row>
    <row r="428">
      <c r="A428" s="7" t="s">
        <v>3981</v>
      </c>
      <c r="B428" s="7" t="s">
        <v>3982</v>
      </c>
      <c r="C428" s="7" t="s">
        <v>3983</v>
      </c>
      <c r="D428" s="7" t="s">
        <v>163</v>
      </c>
      <c r="E428" s="7" t="s">
        <v>2620</v>
      </c>
      <c r="F428" s="9">
        <v>14.16131</v>
      </c>
      <c r="G428" s="9">
        <v>101.883057</v>
      </c>
      <c r="H428" s="7" t="s">
        <v>618</v>
      </c>
      <c r="I428" s="9">
        <v>36.48</v>
      </c>
      <c r="J428" s="28"/>
      <c r="K428" s="28"/>
      <c r="L428" s="28"/>
      <c r="M428" s="9"/>
      <c r="N428" s="7" t="s">
        <v>2894</v>
      </c>
      <c r="O428" s="7" t="s">
        <v>583</v>
      </c>
      <c r="P428" s="9">
        <v>3.0</v>
      </c>
      <c r="Q428" s="28"/>
      <c r="R428" s="9">
        <v>82.4</v>
      </c>
      <c r="S428" s="7" t="s">
        <v>584</v>
      </c>
      <c r="T428" s="7" t="b">
        <v>0</v>
      </c>
      <c r="U428" s="7" t="s">
        <v>585</v>
      </c>
      <c r="V428" s="27" t="s">
        <v>586</v>
      </c>
      <c r="W428" s="7" t="s">
        <v>3988</v>
      </c>
      <c r="X428" s="28"/>
      <c r="Y428" s="28"/>
      <c r="Z428" s="28"/>
    </row>
    <row r="429">
      <c r="A429" s="7" t="s">
        <v>3989</v>
      </c>
      <c r="B429" s="7" t="s">
        <v>3990</v>
      </c>
      <c r="C429" s="7" t="s">
        <v>3991</v>
      </c>
      <c r="D429" s="7" t="s">
        <v>218</v>
      </c>
      <c r="E429" s="7" t="s">
        <v>3992</v>
      </c>
      <c r="F429" s="9">
        <v>18.282616</v>
      </c>
      <c r="G429" s="9">
        <v>103.88075</v>
      </c>
      <c r="H429" s="7" t="s">
        <v>576</v>
      </c>
      <c r="I429" s="9">
        <v>144.98</v>
      </c>
      <c r="J429" s="28"/>
      <c r="K429" s="28"/>
      <c r="L429" s="28"/>
      <c r="M429" s="9"/>
      <c r="N429" s="7" t="s">
        <v>2894</v>
      </c>
      <c r="O429" s="7" t="s">
        <v>583</v>
      </c>
      <c r="P429" s="9">
        <v>3.0</v>
      </c>
      <c r="Q429" s="28"/>
      <c r="R429" s="9">
        <v>12.4</v>
      </c>
      <c r="S429" s="7" t="s">
        <v>584</v>
      </c>
      <c r="T429" s="7" t="b">
        <v>0</v>
      </c>
      <c r="U429" s="7" t="s">
        <v>585</v>
      </c>
      <c r="V429" s="27" t="s">
        <v>586</v>
      </c>
      <c r="W429" s="7" t="s">
        <v>3993</v>
      </c>
      <c r="X429" s="28"/>
      <c r="Y429" s="28"/>
      <c r="Z429" s="28"/>
    </row>
    <row r="430">
      <c r="A430" s="7" t="s">
        <v>3994</v>
      </c>
      <c r="B430" s="7" t="s">
        <v>3995</v>
      </c>
      <c r="C430" s="7" t="s">
        <v>3996</v>
      </c>
      <c r="D430" s="7" t="s">
        <v>61</v>
      </c>
      <c r="E430" s="7" t="s">
        <v>3427</v>
      </c>
      <c r="F430" s="9">
        <v>16.85502</v>
      </c>
      <c r="G430" s="9">
        <v>100.66681</v>
      </c>
      <c r="H430" s="7" t="s">
        <v>576</v>
      </c>
      <c r="I430" s="9">
        <v>136.65</v>
      </c>
      <c r="J430" s="28"/>
      <c r="K430" s="28"/>
      <c r="L430" s="28"/>
      <c r="M430" s="9"/>
      <c r="N430" s="7" t="s">
        <v>2894</v>
      </c>
      <c r="O430" s="7" t="s">
        <v>583</v>
      </c>
      <c r="P430" s="9">
        <v>3.0</v>
      </c>
      <c r="Q430" s="28"/>
      <c r="R430" s="9">
        <v>12.4</v>
      </c>
      <c r="S430" s="7" t="s">
        <v>584</v>
      </c>
      <c r="T430" s="7" t="b">
        <v>0</v>
      </c>
      <c r="U430" s="7" t="s">
        <v>585</v>
      </c>
      <c r="V430" s="27" t="s">
        <v>586</v>
      </c>
      <c r="W430" s="7" t="s">
        <v>3998</v>
      </c>
      <c r="X430" s="28"/>
      <c r="Y430" s="28"/>
      <c r="Z430" s="28"/>
    </row>
    <row r="431">
      <c r="A431" s="7" t="s">
        <v>3999</v>
      </c>
      <c r="B431" s="7" t="s">
        <v>4000</v>
      </c>
      <c r="C431" s="7" t="s">
        <v>4001</v>
      </c>
      <c r="D431" s="7" t="s">
        <v>121</v>
      </c>
      <c r="E431" s="7" t="s">
        <v>1661</v>
      </c>
      <c r="F431" s="9">
        <v>12.97398</v>
      </c>
      <c r="G431" s="9">
        <v>99.88784</v>
      </c>
      <c r="H431" s="7" t="s">
        <v>618</v>
      </c>
      <c r="I431" s="9">
        <v>8.87</v>
      </c>
      <c r="J431" s="28"/>
      <c r="K431" s="28"/>
      <c r="L431" s="28"/>
      <c r="M431" s="9">
        <v>13.9</v>
      </c>
      <c r="N431" s="7" t="s">
        <v>2894</v>
      </c>
      <c r="O431" s="7" t="s">
        <v>583</v>
      </c>
      <c r="P431" s="9">
        <v>3.0</v>
      </c>
      <c r="Q431" s="28"/>
      <c r="R431" s="9">
        <v>82.4</v>
      </c>
      <c r="S431" s="7" t="s">
        <v>584</v>
      </c>
      <c r="T431" s="7" t="b">
        <v>0</v>
      </c>
      <c r="U431" s="7" t="s">
        <v>585</v>
      </c>
      <c r="V431" s="27" t="s">
        <v>586</v>
      </c>
      <c r="W431" s="7" t="s">
        <v>4002</v>
      </c>
      <c r="X431" s="28"/>
      <c r="Y431" s="28"/>
      <c r="Z431" s="28"/>
    </row>
    <row r="432">
      <c r="A432" s="7" t="s">
        <v>4003</v>
      </c>
      <c r="B432" s="7" t="s">
        <v>4004</v>
      </c>
      <c r="C432" s="7" t="s">
        <v>4005</v>
      </c>
      <c r="D432" s="7" t="s">
        <v>60</v>
      </c>
      <c r="E432" s="7" t="s">
        <v>2006</v>
      </c>
      <c r="F432" s="9">
        <v>18.73796</v>
      </c>
      <c r="G432" s="9">
        <v>100.75609</v>
      </c>
      <c r="H432" s="7" t="s">
        <v>576</v>
      </c>
      <c r="I432" s="9">
        <v>190.7</v>
      </c>
      <c r="J432" s="28"/>
      <c r="K432" s="28"/>
      <c r="L432" s="28"/>
      <c r="M432" s="9"/>
      <c r="N432" s="7" t="s">
        <v>2894</v>
      </c>
      <c r="O432" s="7" t="s">
        <v>583</v>
      </c>
      <c r="P432" s="9">
        <v>3.0</v>
      </c>
      <c r="Q432" s="28"/>
      <c r="R432" s="9">
        <v>12.4</v>
      </c>
      <c r="S432" s="7" t="s">
        <v>584</v>
      </c>
      <c r="T432" s="7" t="b">
        <v>0</v>
      </c>
      <c r="U432" s="7" t="s">
        <v>585</v>
      </c>
      <c r="V432" s="27" t="s">
        <v>586</v>
      </c>
      <c r="W432" s="7" t="s">
        <v>4006</v>
      </c>
      <c r="X432" s="28"/>
      <c r="Y432" s="28"/>
      <c r="Z432" s="28"/>
    </row>
    <row r="433">
      <c r="A433" s="7" t="s">
        <v>4007</v>
      </c>
      <c r="B433" s="7" t="s">
        <v>4009</v>
      </c>
      <c r="C433" s="7" t="s">
        <v>4011</v>
      </c>
      <c r="D433" s="7" t="s">
        <v>65</v>
      </c>
      <c r="E433" s="7"/>
      <c r="F433" s="9">
        <v>18.6275</v>
      </c>
      <c r="G433" s="9">
        <v>100.04149</v>
      </c>
      <c r="H433" s="7" t="s">
        <v>576</v>
      </c>
      <c r="I433" s="9">
        <v>228.64</v>
      </c>
      <c r="J433" s="28"/>
      <c r="K433" s="28"/>
      <c r="L433" s="28"/>
      <c r="M433" s="9"/>
      <c r="N433" s="7" t="s">
        <v>2894</v>
      </c>
      <c r="O433" s="7" t="s">
        <v>583</v>
      </c>
      <c r="P433" s="9">
        <v>3.0</v>
      </c>
      <c r="Q433" s="28"/>
      <c r="R433" s="9">
        <v>12.4</v>
      </c>
      <c r="S433" s="7" t="s">
        <v>584</v>
      </c>
      <c r="T433" s="7" t="b">
        <v>0</v>
      </c>
      <c r="U433" s="7" t="s">
        <v>585</v>
      </c>
      <c r="V433" s="27" t="s">
        <v>586</v>
      </c>
      <c r="W433" s="7" t="s">
        <v>4016</v>
      </c>
      <c r="X433" s="28"/>
      <c r="Y433" s="28"/>
      <c r="Z433" s="28"/>
    </row>
    <row r="434">
      <c r="A434" s="7" t="s">
        <v>4018</v>
      </c>
      <c r="B434" s="7" t="s">
        <v>4019</v>
      </c>
      <c r="C434" s="7" t="s">
        <v>4020</v>
      </c>
      <c r="D434" s="7" t="s">
        <v>312</v>
      </c>
      <c r="E434" s="7" t="s">
        <v>4021</v>
      </c>
      <c r="F434" s="9">
        <v>13.74325</v>
      </c>
      <c r="G434" s="9">
        <v>100.562164</v>
      </c>
      <c r="H434" s="7" t="s">
        <v>576</v>
      </c>
      <c r="I434" s="9">
        <v>1.32</v>
      </c>
      <c r="J434" s="28"/>
      <c r="K434" s="28"/>
      <c r="L434" s="28"/>
      <c r="M434" s="9"/>
      <c r="N434" s="7" t="s">
        <v>2894</v>
      </c>
      <c r="O434" s="7" t="s">
        <v>583</v>
      </c>
      <c r="P434" s="9">
        <v>3.0</v>
      </c>
      <c r="Q434" s="28"/>
      <c r="R434" s="9">
        <v>12.4</v>
      </c>
      <c r="S434" s="7" t="s">
        <v>584</v>
      </c>
      <c r="T434" s="7" t="b">
        <v>0</v>
      </c>
      <c r="U434" s="7" t="s">
        <v>585</v>
      </c>
      <c r="V434" s="27" t="s">
        <v>586</v>
      </c>
      <c r="W434" s="7" t="s">
        <v>4022</v>
      </c>
      <c r="X434" s="28"/>
      <c r="Y434" s="28"/>
      <c r="Z434" s="28"/>
    </row>
    <row r="435">
      <c r="A435" s="7" t="s">
        <v>4023</v>
      </c>
      <c r="B435" s="7" t="s">
        <v>4024</v>
      </c>
      <c r="C435" s="7" t="s">
        <v>4025</v>
      </c>
      <c r="D435" s="7" t="s">
        <v>240</v>
      </c>
      <c r="E435" s="7" t="s">
        <v>1892</v>
      </c>
      <c r="F435" s="9">
        <v>15.33969</v>
      </c>
      <c r="G435" s="9">
        <v>104.15403</v>
      </c>
      <c r="H435" s="7" t="s">
        <v>4026</v>
      </c>
      <c r="I435" s="9">
        <v>113.98</v>
      </c>
      <c r="J435" s="28"/>
      <c r="K435" s="28"/>
      <c r="L435" s="28"/>
      <c r="M435" s="9"/>
      <c r="N435" s="7" t="s">
        <v>2894</v>
      </c>
      <c r="O435" s="7" t="s">
        <v>583</v>
      </c>
      <c r="P435" s="9">
        <v>3.0</v>
      </c>
      <c r="Q435" s="28"/>
      <c r="R435" s="9">
        <v>622.4</v>
      </c>
      <c r="S435" s="7" t="s">
        <v>584</v>
      </c>
      <c r="T435" s="7" t="b">
        <v>0</v>
      </c>
      <c r="U435" s="7" t="s">
        <v>585</v>
      </c>
      <c r="V435" s="27" t="s">
        <v>586</v>
      </c>
      <c r="W435" s="7" t="s">
        <v>4027</v>
      </c>
      <c r="X435" s="28"/>
      <c r="Y435" s="28"/>
      <c r="Z435" s="28"/>
    </row>
    <row r="436">
      <c r="A436" s="7" t="s">
        <v>4028</v>
      </c>
      <c r="B436" s="7" t="s">
        <v>4029</v>
      </c>
      <c r="C436" s="7" t="s">
        <v>4030</v>
      </c>
      <c r="D436" s="7" t="s">
        <v>183</v>
      </c>
      <c r="E436" s="7" t="s">
        <v>1527</v>
      </c>
      <c r="F436" s="9">
        <v>12.4765</v>
      </c>
      <c r="G436" s="9">
        <v>102.477867</v>
      </c>
      <c r="H436" s="7" t="s">
        <v>618</v>
      </c>
      <c r="I436" s="9">
        <v>7.26</v>
      </c>
      <c r="J436" s="28"/>
      <c r="K436" s="28"/>
      <c r="L436" s="28"/>
      <c r="M436" s="9"/>
      <c r="N436" s="7" t="s">
        <v>2894</v>
      </c>
      <c r="O436" s="7" t="s">
        <v>583</v>
      </c>
      <c r="P436" s="9">
        <v>3.0</v>
      </c>
      <c r="Q436" s="28"/>
      <c r="R436" s="9">
        <v>82.4</v>
      </c>
      <c r="S436" s="7" t="s">
        <v>584</v>
      </c>
      <c r="T436" s="7" t="b">
        <v>0</v>
      </c>
      <c r="U436" s="7" t="s">
        <v>585</v>
      </c>
      <c r="V436" s="27" t="s">
        <v>586</v>
      </c>
      <c r="W436" s="7" t="s">
        <v>4031</v>
      </c>
      <c r="X436" s="28"/>
      <c r="Y436" s="28"/>
      <c r="Z436" s="28"/>
    </row>
    <row r="437">
      <c r="A437" s="7" t="s">
        <v>4032</v>
      </c>
      <c r="B437" s="7" t="s">
        <v>4033</v>
      </c>
      <c r="C437" s="7" t="s">
        <v>4034</v>
      </c>
      <c r="D437" s="7" t="s">
        <v>292</v>
      </c>
      <c r="E437" s="7" t="s">
        <v>2988</v>
      </c>
      <c r="F437" s="9">
        <v>7.64556</v>
      </c>
      <c r="G437" s="9">
        <v>99.532204</v>
      </c>
      <c r="H437" s="7" t="s">
        <v>1951</v>
      </c>
      <c r="I437" s="9">
        <v>3.77</v>
      </c>
      <c r="J437" s="28"/>
      <c r="K437" s="28"/>
      <c r="L437" s="28"/>
      <c r="M437" s="9"/>
      <c r="N437" s="7" t="s">
        <v>2894</v>
      </c>
      <c r="O437" s="7" t="s">
        <v>583</v>
      </c>
      <c r="P437" s="9">
        <v>3.0</v>
      </c>
      <c r="Q437" s="28"/>
      <c r="R437" s="9">
        <v>202.4</v>
      </c>
      <c r="S437" s="7" t="s">
        <v>584</v>
      </c>
      <c r="T437" s="7" t="b">
        <v>0</v>
      </c>
      <c r="U437" s="7" t="s">
        <v>585</v>
      </c>
      <c r="V437" s="27" t="s">
        <v>586</v>
      </c>
      <c r="W437" s="7" t="s">
        <v>4035</v>
      </c>
      <c r="X437" s="28"/>
      <c r="Y437" s="28"/>
      <c r="Z437" s="28"/>
    </row>
    <row r="438">
      <c r="A438" s="7" t="s">
        <v>4036</v>
      </c>
      <c r="B438" s="7" t="s">
        <v>4037</v>
      </c>
      <c r="C438" s="7" t="s">
        <v>4038</v>
      </c>
      <c r="D438" s="7" t="s">
        <v>61</v>
      </c>
      <c r="E438" s="7" t="s">
        <v>3313</v>
      </c>
      <c r="F438" s="9">
        <v>17.25317</v>
      </c>
      <c r="G438" s="9">
        <v>100.628242</v>
      </c>
      <c r="H438" s="7" t="s">
        <v>618</v>
      </c>
      <c r="I438" s="9">
        <v>186.55</v>
      </c>
      <c r="J438" s="28"/>
      <c r="K438" s="28"/>
      <c r="L438" s="28"/>
      <c r="M438" s="9"/>
      <c r="N438" s="7" t="s">
        <v>2894</v>
      </c>
      <c r="O438" s="7" t="s">
        <v>583</v>
      </c>
      <c r="P438" s="9">
        <v>3.0</v>
      </c>
      <c r="Q438" s="28"/>
      <c r="R438" s="9">
        <v>82.4</v>
      </c>
      <c r="S438" s="7" t="s">
        <v>584</v>
      </c>
      <c r="T438" s="7" t="b">
        <v>0</v>
      </c>
      <c r="U438" s="7" t="s">
        <v>585</v>
      </c>
      <c r="V438" s="27" t="s">
        <v>586</v>
      </c>
      <c r="W438" s="7" t="s">
        <v>4040</v>
      </c>
      <c r="X438" s="28"/>
      <c r="Y438" s="28"/>
      <c r="Z438" s="28"/>
    </row>
    <row r="439">
      <c r="A439" s="7" t="s">
        <v>4041</v>
      </c>
      <c r="B439" s="7" t="s">
        <v>4042</v>
      </c>
      <c r="C439" s="7" t="s">
        <v>4043</v>
      </c>
      <c r="D439" s="7" t="s">
        <v>61</v>
      </c>
      <c r="E439" s="7" t="s">
        <v>4044</v>
      </c>
      <c r="F439" s="9">
        <v>16.69232</v>
      </c>
      <c r="G439" s="9">
        <v>100.670921</v>
      </c>
      <c r="H439" s="7" t="s">
        <v>618</v>
      </c>
      <c r="I439" s="9">
        <v>54.35</v>
      </c>
      <c r="J439" s="28"/>
      <c r="K439" s="28"/>
      <c r="L439" s="28"/>
      <c r="M439" s="9"/>
      <c r="N439" s="7" t="s">
        <v>2894</v>
      </c>
      <c r="O439" s="7" t="s">
        <v>583</v>
      </c>
      <c r="P439" s="9">
        <v>3.0</v>
      </c>
      <c r="Q439" s="28"/>
      <c r="R439" s="9">
        <v>82.4</v>
      </c>
      <c r="S439" s="7" t="s">
        <v>584</v>
      </c>
      <c r="T439" s="7" t="b">
        <v>0</v>
      </c>
      <c r="U439" s="7" t="s">
        <v>585</v>
      </c>
      <c r="V439" s="27" t="s">
        <v>586</v>
      </c>
      <c r="W439" s="7" t="s">
        <v>4045</v>
      </c>
      <c r="X439" s="28"/>
      <c r="Y439" s="28"/>
      <c r="Z439" s="28"/>
    </row>
    <row r="440">
      <c r="A440" s="7" t="s">
        <v>4046</v>
      </c>
      <c r="B440" s="7" t="s">
        <v>4047</v>
      </c>
      <c r="C440" s="7" t="s">
        <v>4034</v>
      </c>
      <c r="D440" s="7" t="s">
        <v>9</v>
      </c>
      <c r="E440" s="7" t="s">
        <v>3952</v>
      </c>
      <c r="F440" s="9">
        <v>18.54735</v>
      </c>
      <c r="G440" s="9">
        <v>98.862282</v>
      </c>
      <c r="H440" s="7" t="s">
        <v>3579</v>
      </c>
      <c r="I440" s="9">
        <v>285.28</v>
      </c>
      <c r="J440" s="28"/>
      <c r="K440" s="28"/>
      <c r="L440" s="28"/>
      <c r="M440" s="9"/>
      <c r="N440" s="7" t="s">
        <v>2894</v>
      </c>
      <c r="O440" s="7" t="s">
        <v>583</v>
      </c>
      <c r="P440" s="9">
        <v>3.0</v>
      </c>
      <c r="Q440" s="28"/>
      <c r="R440" s="9">
        <v>262.4</v>
      </c>
      <c r="S440" s="7" t="s">
        <v>584</v>
      </c>
      <c r="T440" s="7" t="b">
        <v>0</v>
      </c>
      <c r="U440" s="7" t="s">
        <v>585</v>
      </c>
      <c r="V440" s="27" t="s">
        <v>586</v>
      </c>
      <c r="W440" s="7" t="s">
        <v>4048</v>
      </c>
      <c r="X440" s="28"/>
      <c r="Y440" s="28"/>
      <c r="Z440" s="28"/>
    </row>
    <row r="441">
      <c r="A441" s="7" t="s">
        <v>4049</v>
      </c>
      <c r="B441" s="7" t="s">
        <v>4050</v>
      </c>
      <c r="C441" s="7" t="s">
        <v>4051</v>
      </c>
      <c r="D441" s="7" t="s">
        <v>65</v>
      </c>
      <c r="E441" s="7" t="s">
        <v>4011</v>
      </c>
      <c r="F441" s="9">
        <v>18.76083</v>
      </c>
      <c r="G441" s="9">
        <v>99.972557</v>
      </c>
      <c r="H441" s="7" t="s">
        <v>3579</v>
      </c>
      <c r="I441" s="9">
        <v>269.49</v>
      </c>
      <c r="J441" s="28"/>
      <c r="K441" s="28"/>
      <c r="L441" s="28"/>
      <c r="M441" s="9"/>
      <c r="N441" s="7" t="s">
        <v>2894</v>
      </c>
      <c r="O441" s="7" t="s">
        <v>583</v>
      </c>
      <c r="P441" s="9">
        <v>3.0</v>
      </c>
      <c r="Q441" s="28"/>
      <c r="R441" s="9">
        <v>262.4</v>
      </c>
      <c r="S441" s="7" t="s">
        <v>584</v>
      </c>
      <c r="T441" s="7" t="b">
        <v>0</v>
      </c>
      <c r="U441" s="7" t="s">
        <v>585</v>
      </c>
      <c r="V441" s="27" t="s">
        <v>586</v>
      </c>
      <c r="W441" s="7" t="s">
        <v>4056</v>
      </c>
      <c r="X441" s="28"/>
      <c r="Y441" s="28"/>
      <c r="Z441" s="28"/>
    </row>
    <row r="442">
      <c r="A442" s="7" t="s">
        <v>4057</v>
      </c>
      <c r="B442" s="7" t="s">
        <v>4058</v>
      </c>
      <c r="C442" s="7" t="s">
        <v>4059</v>
      </c>
      <c r="D442" s="7" t="s">
        <v>190</v>
      </c>
      <c r="E442" s="7" t="s">
        <v>2542</v>
      </c>
      <c r="F442" s="9">
        <v>16.250316</v>
      </c>
      <c r="G442" s="9">
        <v>102.743923</v>
      </c>
      <c r="H442" s="7" t="s">
        <v>923</v>
      </c>
      <c r="I442" s="9">
        <v>148.22</v>
      </c>
      <c r="J442" s="28"/>
      <c r="K442" s="28"/>
      <c r="L442" s="28"/>
      <c r="M442" s="9">
        <v>154.72</v>
      </c>
      <c r="N442" s="7" t="s">
        <v>2894</v>
      </c>
      <c r="O442" s="7" t="s">
        <v>583</v>
      </c>
      <c r="P442" s="9">
        <v>3.0</v>
      </c>
      <c r="Q442" s="28"/>
      <c r="R442" s="9">
        <v>22.4</v>
      </c>
      <c r="S442" s="7" t="s">
        <v>584</v>
      </c>
      <c r="T442" s="7" t="b">
        <v>0</v>
      </c>
      <c r="U442" s="7" t="s">
        <v>585</v>
      </c>
      <c r="V442" s="27" t="s">
        <v>586</v>
      </c>
      <c r="W442" s="7" t="s">
        <v>4062</v>
      </c>
      <c r="X442" s="28"/>
      <c r="Y442" s="28"/>
      <c r="Z442" s="28"/>
    </row>
    <row r="443">
      <c r="A443" s="7" t="s">
        <v>4063</v>
      </c>
      <c r="B443" s="7" t="s">
        <v>4064</v>
      </c>
      <c r="C443" s="7" t="s">
        <v>4065</v>
      </c>
      <c r="D443" s="7" t="s">
        <v>82</v>
      </c>
      <c r="E443" s="7"/>
      <c r="F443" s="9">
        <v>17.03065</v>
      </c>
      <c r="G443" s="9">
        <v>99.71174</v>
      </c>
      <c r="H443" s="7" t="s">
        <v>576</v>
      </c>
      <c r="I443" s="9">
        <v>52.91</v>
      </c>
      <c r="J443" s="28"/>
      <c r="K443" s="28"/>
      <c r="L443" s="28"/>
      <c r="M443" s="9"/>
      <c r="N443" s="7" t="s">
        <v>2894</v>
      </c>
      <c r="O443" s="7" t="s">
        <v>583</v>
      </c>
      <c r="P443" s="9">
        <v>3.0</v>
      </c>
      <c r="Q443" s="28"/>
      <c r="R443" s="9">
        <v>12.4</v>
      </c>
      <c r="S443" s="7" t="s">
        <v>584</v>
      </c>
      <c r="T443" s="7" t="b">
        <v>0</v>
      </c>
      <c r="U443" s="7" t="s">
        <v>585</v>
      </c>
      <c r="V443" s="27" t="s">
        <v>586</v>
      </c>
      <c r="W443" s="7" t="s">
        <v>4066</v>
      </c>
      <c r="X443" s="28"/>
      <c r="Y443" s="28"/>
      <c r="Z443" s="28"/>
    </row>
    <row r="444">
      <c r="A444" s="7" t="s">
        <v>4067</v>
      </c>
      <c r="B444" s="7" t="s">
        <v>4068</v>
      </c>
      <c r="C444" s="7" t="s">
        <v>4069</v>
      </c>
      <c r="D444" s="7" t="s">
        <v>82</v>
      </c>
      <c r="E444" s="7" t="s">
        <v>1047</v>
      </c>
      <c r="F444" s="9">
        <v>17.2019</v>
      </c>
      <c r="G444" s="9">
        <v>99.86388</v>
      </c>
      <c r="H444" s="7" t="s">
        <v>576</v>
      </c>
      <c r="I444" s="9">
        <v>51.75</v>
      </c>
      <c r="J444" s="28"/>
      <c r="K444" s="28"/>
      <c r="L444" s="28"/>
      <c r="M444" s="9"/>
      <c r="N444" s="7" t="s">
        <v>2894</v>
      </c>
      <c r="O444" s="7" t="s">
        <v>583</v>
      </c>
      <c r="P444" s="9">
        <v>3.0</v>
      </c>
      <c r="Q444" s="28"/>
      <c r="R444" s="9">
        <v>12.4</v>
      </c>
      <c r="S444" s="7" t="s">
        <v>584</v>
      </c>
      <c r="T444" s="7" t="b">
        <v>0</v>
      </c>
      <c r="U444" s="7" t="s">
        <v>585</v>
      </c>
      <c r="V444" s="27" t="s">
        <v>586</v>
      </c>
      <c r="W444" s="7" t="s">
        <v>4070</v>
      </c>
      <c r="X444" s="28"/>
      <c r="Y444" s="28"/>
      <c r="Z444" s="28"/>
    </row>
    <row r="445">
      <c r="A445" s="7" t="s">
        <v>4071</v>
      </c>
      <c r="B445" s="7" t="s">
        <v>4072</v>
      </c>
      <c r="C445" s="7" t="s">
        <v>4073</v>
      </c>
      <c r="D445" s="7" t="s">
        <v>283</v>
      </c>
      <c r="E445" s="7" t="s">
        <v>2505</v>
      </c>
      <c r="F445" s="9">
        <v>9.95473</v>
      </c>
      <c r="G445" s="9">
        <v>99.08004</v>
      </c>
      <c r="H445" s="7" t="s">
        <v>1951</v>
      </c>
      <c r="I445" s="9">
        <v>0.84</v>
      </c>
      <c r="J445" s="28"/>
      <c r="K445" s="28"/>
      <c r="L445" s="28"/>
      <c r="M445" s="9"/>
      <c r="N445" s="7" t="s">
        <v>2894</v>
      </c>
      <c r="O445" s="7" t="s">
        <v>583</v>
      </c>
      <c r="P445" s="9">
        <v>3.0</v>
      </c>
      <c r="Q445" s="28"/>
      <c r="R445" s="9">
        <v>202.4</v>
      </c>
      <c r="S445" s="7" t="s">
        <v>584</v>
      </c>
      <c r="T445" s="7" t="b">
        <v>0</v>
      </c>
      <c r="U445" s="7" t="s">
        <v>585</v>
      </c>
      <c r="V445" s="27" t="s">
        <v>586</v>
      </c>
      <c r="W445" s="7" t="s">
        <v>4074</v>
      </c>
      <c r="X445" s="28"/>
      <c r="Y445" s="28"/>
      <c r="Z445" s="28"/>
    </row>
    <row r="446">
      <c r="A446" s="7" t="s">
        <v>4075</v>
      </c>
      <c r="B446" s="7" t="s">
        <v>4076</v>
      </c>
      <c r="C446" s="7" t="s">
        <v>4077</v>
      </c>
      <c r="D446" s="7" t="s">
        <v>61</v>
      </c>
      <c r="E446" s="7" t="s">
        <v>2006</v>
      </c>
      <c r="F446" s="9">
        <v>16.80608</v>
      </c>
      <c r="G446" s="9">
        <v>100.245827</v>
      </c>
      <c r="H446" s="7" t="s">
        <v>618</v>
      </c>
      <c r="I446" s="9">
        <v>36.95</v>
      </c>
      <c r="J446" s="28"/>
      <c r="K446" s="28"/>
      <c r="L446" s="28"/>
      <c r="M446" s="9">
        <v>44.87</v>
      </c>
      <c r="N446" s="7" t="s">
        <v>2894</v>
      </c>
      <c r="O446" s="7" t="s">
        <v>583</v>
      </c>
      <c r="P446" s="9">
        <v>3.0</v>
      </c>
      <c r="Q446" s="28"/>
      <c r="R446" s="9">
        <v>82.4</v>
      </c>
      <c r="S446" s="7" t="s">
        <v>584</v>
      </c>
      <c r="T446" s="7" t="b">
        <v>0</v>
      </c>
      <c r="U446" s="7" t="s">
        <v>585</v>
      </c>
      <c r="V446" s="27" t="s">
        <v>586</v>
      </c>
      <c r="W446" s="7" t="s">
        <v>4079</v>
      </c>
      <c r="X446" s="28"/>
      <c r="Y446" s="28"/>
      <c r="Z446" s="28"/>
    </row>
    <row r="447">
      <c r="A447" s="7" t="s">
        <v>4080</v>
      </c>
      <c r="B447" s="7" t="s">
        <v>4081</v>
      </c>
      <c r="C447" s="7" t="s">
        <v>4082</v>
      </c>
      <c r="D447" s="7" t="s">
        <v>163</v>
      </c>
      <c r="E447" s="7" t="s">
        <v>2620</v>
      </c>
      <c r="F447" s="9">
        <v>14.136408</v>
      </c>
      <c r="G447" s="9">
        <v>101.857475</v>
      </c>
      <c r="H447" s="7" t="s">
        <v>4083</v>
      </c>
      <c r="I447" s="9">
        <v>31.64</v>
      </c>
      <c r="J447" s="28"/>
      <c r="K447" s="28"/>
      <c r="L447" s="28"/>
      <c r="M447" s="9"/>
      <c r="N447" s="7" t="s">
        <v>2894</v>
      </c>
      <c r="O447" s="7" t="s">
        <v>583</v>
      </c>
      <c r="P447" s="9">
        <v>3.0</v>
      </c>
      <c r="Q447" s="28"/>
      <c r="R447" s="9">
        <v>32.4</v>
      </c>
      <c r="S447" s="7" t="s">
        <v>584</v>
      </c>
      <c r="T447" s="7" t="b">
        <v>0</v>
      </c>
      <c r="U447" s="7" t="s">
        <v>585</v>
      </c>
      <c r="V447" s="27" t="s">
        <v>586</v>
      </c>
      <c r="W447" s="7" t="s">
        <v>4084</v>
      </c>
      <c r="X447" s="28"/>
      <c r="Y447" s="28"/>
      <c r="Z447" s="28"/>
    </row>
    <row r="448">
      <c r="A448" s="7" t="s">
        <v>4085</v>
      </c>
      <c r="B448" s="7" t="s">
        <v>4086</v>
      </c>
      <c r="C448" s="7" t="s">
        <v>4087</v>
      </c>
      <c r="D448" s="7" t="s">
        <v>198</v>
      </c>
      <c r="E448" s="7" t="s">
        <v>3608</v>
      </c>
      <c r="F448" s="9">
        <v>17.2659</v>
      </c>
      <c r="G448" s="9">
        <v>102.59243</v>
      </c>
      <c r="H448" s="7" t="s">
        <v>618</v>
      </c>
      <c r="I448" s="9">
        <v>204.3</v>
      </c>
      <c r="J448" s="28"/>
      <c r="K448" s="28"/>
      <c r="L448" s="28"/>
      <c r="M448" s="9"/>
      <c r="N448" s="7" t="s">
        <v>2894</v>
      </c>
      <c r="O448" s="7" t="s">
        <v>583</v>
      </c>
      <c r="P448" s="9">
        <v>3.0</v>
      </c>
      <c r="Q448" s="28"/>
      <c r="R448" s="9">
        <v>82.4</v>
      </c>
      <c r="S448" s="7" t="s">
        <v>584</v>
      </c>
      <c r="T448" s="7" t="b">
        <v>0</v>
      </c>
      <c r="U448" s="7" t="s">
        <v>585</v>
      </c>
      <c r="V448" s="27" t="s">
        <v>586</v>
      </c>
      <c r="W448" s="7" t="s">
        <v>4088</v>
      </c>
      <c r="X448" s="28"/>
      <c r="Y448" s="28"/>
      <c r="Z448" s="28"/>
    </row>
    <row r="449">
      <c r="A449" s="7" t="s">
        <v>4089</v>
      </c>
      <c r="B449" s="7" t="s">
        <v>4090</v>
      </c>
      <c r="C449" s="7" t="s">
        <v>4091</v>
      </c>
      <c r="D449" s="7" t="s">
        <v>131</v>
      </c>
      <c r="E449" s="7" t="s">
        <v>4092</v>
      </c>
      <c r="F449" s="9">
        <v>11.20557</v>
      </c>
      <c r="G449" s="9">
        <v>99.508499</v>
      </c>
      <c r="H449" s="7" t="s">
        <v>618</v>
      </c>
      <c r="I449" s="9">
        <v>1.13</v>
      </c>
      <c r="J449" s="28"/>
      <c r="K449" s="28"/>
      <c r="L449" s="28"/>
      <c r="M449" s="9">
        <v>8.3</v>
      </c>
      <c r="N449" s="7" t="s">
        <v>2894</v>
      </c>
      <c r="O449" s="7" t="s">
        <v>583</v>
      </c>
      <c r="P449" s="9">
        <v>3.0</v>
      </c>
      <c r="Q449" s="28"/>
      <c r="R449" s="9">
        <v>82.4</v>
      </c>
      <c r="S449" s="7" t="s">
        <v>584</v>
      </c>
      <c r="T449" s="7" t="b">
        <v>0</v>
      </c>
      <c r="U449" s="7" t="s">
        <v>585</v>
      </c>
      <c r="V449" s="27" t="s">
        <v>586</v>
      </c>
      <c r="W449" s="7" t="s">
        <v>4093</v>
      </c>
      <c r="X449" s="28"/>
      <c r="Y449" s="28"/>
      <c r="Z449" s="28"/>
    </row>
    <row r="450">
      <c r="A450" s="7" t="s">
        <v>4094</v>
      </c>
      <c r="B450" s="7" t="s">
        <v>4095</v>
      </c>
      <c r="C450" s="7" t="s">
        <v>4096</v>
      </c>
      <c r="D450" s="7" t="s">
        <v>65</v>
      </c>
      <c r="E450" s="7" t="s">
        <v>3469</v>
      </c>
      <c r="F450" s="9">
        <v>18.29973</v>
      </c>
      <c r="G450" s="9">
        <v>99.51123</v>
      </c>
      <c r="H450" s="7" t="s">
        <v>3579</v>
      </c>
      <c r="I450" s="9">
        <v>230.09</v>
      </c>
      <c r="J450" s="28"/>
      <c r="K450" s="28"/>
      <c r="L450" s="28"/>
      <c r="M450" s="9">
        <v>234.5</v>
      </c>
      <c r="N450" s="7" t="s">
        <v>2894</v>
      </c>
      <c r="O450" s="7" t="s">
        <v>583</v>
      </c>
      <c r="P450" s="9">
        <v>3.0</v>
      </c>
      <c r="Q450" s="28"/>
      <c r="R450" s="9">
        <v>262.4</v>
      </c>
      <c r="S450" s="7" t="s">
        <v>584</v>
      </c>
      <c r="T450" s="7" t="b">
        <v>0</v>
      </c>
      <c r="U450" s="7" t="s">
        <v>585</v>
      </c>
      <c r="V450" s="27" t="s">
        <v>586</v>
      </c>
      <c r="W450" s="7" t="s">
        <v>4097</v>
      </c>
      <c r="X450" s="28"/>
      <c r="Y450" s="28"/>
      <c r="Z450" s="28"/>
    </row>
    <row r="451">
      <c r="A451" s="7" t="s">
        <v>4098</v>
      </c>
      <c r="B451" s="7" t="s">
        <v>4099</v>
      </c>
      <c r="C451" s="7" t="s">
        <v>4100</v>
      </c>
      <c r="D451" s="7" t="s">
        <v>224</v>
      </c>
      <c r="E451" s="7" t="s">
        <v>4101</v>
      </c>
      <c r="F451" s="9">
        <v>14.93281</v>
      </c>
      <c r="G451" s="9">
        <v>101.951889</v>
      </c>
      <c r="H451" s="7" t="s">
        <v>618</v>
      </c>
      <c r="I451" s="9">
        <v>193.34</v>
      </c>
      <c r="J451" s="28"/>
      <c r="K451" s="28"/>
      <c r="L451" s="28"/>
      <c r="M451" s="9"/>
      <c r="N451" s="7" t="s">
        <v>2894</v>
      </c>
      <c r="O451" s="7" t="s">
        <v>583</v>
      </c>
      <c r="P451" s="9">
        <v>3.0</v>
      </c>
      <c r="Q451" s="28"/>
      <c r="R451" s="9">
        <v>82.4</v>
      </c>
      <c r="S451" s="7" t="s">
        <v>584</v>
      </c>
      <c r="T451" s="7" t="b">
        <v>0</v>
      </c>
      <c r="U451" s="7" t="s">
        <v>585</v>
      </c>
      <c r="V451" s="27" t="s">
        <v>586</v>
      </c>
      <c r="W451" s="7" t="s">
        <v>4106</v>
      </c>
      <c r="X451" s="28"/>
      <c r="Y451" s="28"/>
      <c r="Z451" s="28"/>
    </row>
    <row r="452">
      <c r="A452" s="7" t="s">
        <v>4107</v>
      </c>
      <c r="B452" s="7" t="s">
        <v>4109</v>
      </c>
      <c r="C452" s="7" t="s">
        <v>4110</v>
      </c>
      <c r="D452" s="7" t="s">
        <v>131</v>
      </c>
      <c r="E452" s="7" t="s">
        <v>4111</v>
      </c>
      <c r="F452" s="9">
        <v>12.50849</v>
      </c>
      <c r="G452" s="9">
        <v>99.84201</v>
      </c>
      <c r="H452" s="7" t="s">
        <v>576</v>
      </c>
      <c r="I452" s="9">
        <v>29.29</v>
      </c>
      <c r="J452" s="28"/>
      <c r="K452" s="28"/>
      <c r="L452" s="28"/>
      <c r="M452" s="9"/>
      <c r="N452" s="7" t="s">
        <v>2894</v>
      </c>
      <c r="O452" s="7" t="s">
        <v>583</v>
      </c>
      <c r="P452" s="9">
        <v>3.0</v>
      </c>
      <c r="Q452" s="28"/>
      <c r="R452" s="9">
        <v>12.4</v>
      </c>
      <c r="S452" s="7" t="s">
        <v>584</v>
      </c>
      <c r="T452" s="7" t="b">
        <v>0</v>
      </c>
      <c r="U452" s="7" t="s">
        <v>585</v>
      </c>
      <c r="V452" s="27" t="s">
        <v>586</v>
      </c>
      <c r="W452" s="7" t="s">
        <v>4113</v>
      </c>
      <c r="X452" s="28"/>
      <c r="Y452" s="28"/>
      <c r="Z452" s="28"/>
    </row>
    <row r="453">
      <c r="A453" s="7" t="s">
        <v>4114</v>
      </c>
      <c r="B453" s="7" t="s">
        <v>4115</v>
      </c>
      <c r="C453" s="7" t="s">
        <v>4116</v>
      </c>
      <c r="D453" s="7" t="s">
        <v>67</v>
      </c>
      <c r="E453" s="7" t="s">
        <v>3334</v>
      </c>
      <c r="F453" s="9">
        <v>18.471687</v>
      </c>
      <c r="G453" s="9">
        <v>98.95513</v>
      </c>
      <c r="H453" s="7" t="s">
        <v>576</v>
      </c>
      <c r="I453" s="9">
        <v>303.91</v>
      </c>
      <c r="J453" s="28"/>
      <c r="K453" s="28"/>
      <c r="L453" s="28"/>
      <c r="M453" s="9"/>
      <c r="N453" s="7" t="s">
        <v>2894</v>
      </c>
      <c r="O453" s="7" t="s">
        <v>583</v>
      </c>
      <c r="P453" s="9">
        <v>3.0</v>
      </c>
      <c r="Q453" s="28"/>
      <c r="R453" s="9">
        <v>12.4</v>
      </c>
      <c r="S453" s="7" t="s">
        <v>584</v>
      </c>
      <c r="T453" s="7" t="b">
        <v>0</v>
      </c>
      <c r="U453" s="7" t="s">
        <v>585</v>
      </c>
      <c r="V453" s="27" t="s">
        <v>586</v>
      </c>
      <c r="W453" s="7" t="s">
        <v>4117</v>
      </c>
      <c r="X453" s="28"/>
      <c r="Y453" s="28"/>
      <c r="Z453" s="28"/>
    </row>
    <row r="454">
      <c r="A454" s="7" t="s">
        <v>4118</v>
      </c>
      <c r="B454" s="7" t="s">
        <v>4119</v>
      </c>
      <c r="C454" s="7" t="s">
        <v>4120</v>
      </c>
      <c r="D454" s="7" t="s">
        <v>229</v>
      </c>
      <c r="E454" s="7" t="s">
        <v>1892</v>
      </c>
      <c r="F454" s="9">
        <v>15.299888</v>
      </c>
      <c r="G454" s="9">
        <v>103.29234</v>
      </c>
      <c r="H454" s="7" t="s">
        <v>576</v>
      </c>
      <c r="I454" s="9">
        <v>125.4</v>
      </c>
      <c r="J454" s="28"/>
      <c r="K454" s="28"/>
      <c r="L454" s="28"/>
      <c r="M454" s="9"/>
      <c r="N454" s="7" t="s">
        <v>2894</v>
      </c>
      <c r="O454" s="7" t="s">
        <v>583</v>
      </c>
      <c r="P454" s="9">
        <v>3.0</v>
      </c>
      <c r="Q454" s="28"/>
      <c r="R454" s="9">
        <v>12.4</v>
      </c>
      <c r="S454" s="7" t="s">
        <v>584</v>
      </c>
      <c r="T454" s="7" t="b">
        <v>0</v>
      </c>
      <c r="U454" s="7" t="s">
        <v>585</v>
      </c>
      <c r="V454" s="27" t="s">
        <v>586</v>
      </c>
      <c r="W454" s="7" t="s">
        <v>4121</v>
      </c>
      <c r="X454" s="28"/>
      <c r="Y454" s="28"/>
      <c r="Z454" s="28"/>
    </row>
    <row r="455">
      <c r="A455" s="7" t="s">
        <v>4122</v>
      </c>
      <c r="B455" s="7" t="s">
        <v>4123</v>
      </c>
      <c r="C455" s="7" t="s">
        <v>4124</v>
      </c>
      <c r="D455" s="7" t="s">
        <v>60</v>
      </c>
      <c r="E455" s="7" t="s">
        <v>2006</v>
      </c>
      <c r="F455" s="9">
        <v>18.774879</v>
      </c>
      <c r="G455" s="9">
        <v>100.779694</v>
      </c>
      <c r="H455" s="7" t="s">
        <v>3579</v>
      </c>
      <c r="I455" s="9">
        <v>193.16</v>
      </c>
      <c r="J455" s="28"/>
      <c r="K455" s="28"/>
      <c r="L455" s="28"/>
      <c r="M455" s="9"/>
      <c r="N455" s="7" t="s">
        <v>2894</v>
      </c>
      <c r="O455" s="7" t="s">
        <v>583</v>
      </c>
      <c r="P455" s="9">
        <v>3.0</v>
      </c>
      <c r="Q455" s="28"/>
      <c r="R455" s="9">
        <v>262.4</v>
      </c>
      <c r="S455" s="7" t="s">
        <v>584</v>
      </c>
      <c r="T455" s="7" t="b">
        <v>0</v>
      </c>
      <c r="U455" s="7" t="s">
        <v>585</v>
      </c>
      <c r="V455" s="27" t="s">
        <v>586</v>
      </c>
      <c r="W455" s="7" t="s">
        <v>4126</v>
      </c>
      <c r="X455" s="28"/>
      <c r="Y455" s="28"/>
      <c r="Z455" s="28"/>
    </row>
    <row r="456">
      <c r="A456" s="7" t="s">
        <v>4127</v>
      </c>
      <c r="B456" s="7" t="s">
        <v>4128</v>
      </c>
      <c r="C456" s="7" t="s">
        <v>4129</v>
      </c>
      <c r="D456" s="7" t="s">
        <v>61</v>
      </c>
      <c r="E456" s="7" t="s">
        <v>2006</v>
      </c>
      <c r="F456" s="9">
        <v>16.58046</v>
      </c>
      <c r="G456" s="9">
        <v>100.23858</v>
      </c>
      <c r="H456" s="7" t="s">
        <v>576</v>
      </c>
      <c r="I456" s="9">
        <v>33.54</v>
      </c>
      <c r="J456" s="28"/>
      <c r="K456" s="28"/>
      <c r="L456" s="28"/>
      <c r="M456" s="9"/>
      <c r="N456" s="7" t="s">
        <v>2894</v>
      </c>
      <c r="O456" s="7" t="s">
        <v>583</v>
      </c>
      <c r="P456" s="9">
        <v>3.0</v>
      </c>
      <c r="Q456" s="28"/>
      <c r="R456" s="9">
        <v>12.4</v>
      </c>
      <c r="S456" s="7" t="s">
        <v>584</v>
      </c>
      <c r="T456" s="7" t="b">
        <v>0</v>
      </c>
      <c r="U456" s="7" t="s">
        <v>585</v>
      </c>
      <c r="V456" s="27" t="s">
        <v>586</v>
      </c>
      <c r="W456" s="7" t="s">
        <v>4130</v>
      </c>
      <c r="X456" s="28"/>
      <c r="Y456" s="28"/>
      <c r="Z456" s="28"/>
    </row>
    <row r="457">
      <c r="A457" s="7" t="s">
        <v>4131</v>
      </c>
      <c r="B457" s="7" t="s">
        <v>4132</v>
      </c>
      <c r="C457" s="7" t="s">
        <v>4133</v>
      </c>
      <c r="D457" s="7" t="s">
        <v>80</v>
      </c>
      <c r="E457" s="7" t="s">
        <v>2006</v>
      </c>
      <c r="F457" s="9">
        <v>17.418329</v>
      </c>
      <c r="G457" s="9">
        <v>100.130913</v>
      </c>
      <c r="H457" s="7" t="s">
        <v>618</v>
      </c>
      <c r="I457" s="9">
        <v>49.49</v>
      </c>
      <c r="J457" s="28"/>
      <c r="K457" s="28"/>
      <c r="L457" s="28"/>
      <c r="M457" s="9"/>
      <c r="N457" s="7" t="s">
        <v>2894</v>
      </c>
      <c r="O457" s="7" t="s">
        <v>583</v>
      </c>
      <c r="P457" s="9">
        <v>3.0</v>
      </c>
      <c r="Q457" s="28"/>
      <c r="R457" s="9">
        <v>82.4</v>
      </c>
      <c r="S457" s="7" t="s">
        <v>584</v>
      </c>
      <c r="T457" s="7" t="b">
        <v>0</v>
      </c>
      <c r="U457" s="7" t="s">
        <v>585</v>
      </c>
      <c r="V457" s="27" t="s">
        <v>586</v>
      </c>
      <c r="W457" s="7" t="s">
        <v>4134</v>
      </c>
      <c r="X457" s="28"/>
      <c r="Y457" s="28"/>
      <c r="Z457" s="28"/>
    </row>
    <row r="458">
      <c r="A458" s="7" t="s">
        <v>4135</v>
      </c>
      <c r="B458" s="7" t="s">
        <v>4136</v>
      </c>
      <c r="C458" s="7" t="s">
        <v>4137</v>
      </c>
      <c r="D458" s="7" t="s">
        <v>154</v>
      </c>
      <c r="E458" s="7" t="s">
        <v>767</v>
      </c>
      <c r="F458" s="9">
        <v>14.53559</v>
      </c>
      <c r="G458" s="9">
        <v>98.78764</v>
      </c>
      <c r="H458" s="7" t="s">
        <v>576</v>
      </c>
      <c r="I458" s="9">
        <v>64.19</v>
      </c>
      <c r="J458" s="28"/>
      <c r="K458" s="28"/>
      <c r="L458" s="28"/>
      <c r="M458" s="9"/>
      <c r="N458" s="7" t="s">
        <v>2894</v>
      </c>
      <c r="O458" s="7" t="s">
        <v>583</v>
      </c>
      <c r="P458" s="9">
        <v>3.0</v>
      </c>
      <c r="Q458" s="28"/>
      <c r="R458" s="9">
        <v>12.4</v>
      </c>
      <c r="S458" s="7" t="s">
        <v>584</v>
      </c>
      <c r="T458" s="7" t="b">
        <v>0</v>
      </c>
      <c r="U458" s="7" t="s">
        <v>585</v>
      </c>
      <c r="V458" s="27" t="s">
        <v>586</v>
      </c>
      <c r="W458" s="7" t="s">
        <v>4138</v>
      </c>
      <c r="X458" s="28"/>
      <c r="Y458" s="28"/>
      <c r="Z458" s="28"/>
    </row>
    <row r="459">
      <c r="A459" s="7" t="s">
        <v>4139</v>
      </c>
      <c r="B459" s="7" t="s">
        <v>4140</v>
      </c>
      <c r="C459" s="7" t="s">
        <v>4141</v>
      </c>
      <c r="D459" s="7" t="s">
        <v>203</v>
      </c>
      <c r="E459" s="7" t="s">
        <v>1759</v>
      </c>
      <c r="F459" s="9">
        <v>16.922241</v>
      </c>
      <c r="G459" s="9">
        <v>104.71625</v>
      </c>
      <c r="H459" s="7" t="s">
        <v>576</v>
      </c>
      <c r="I459" s="9">
        <v>133.02</v>
      </c>
      <c r="J459" s="28"/>
      <c r="K459" s="28"/>
      <c r="L459" s="28"/>
      <c r="M459" s="9"/>
      <c r="N459" s="7" t="s">
        <v>2894</v>
      </c>
      <c r="O459" s="7" t="s">
        <v>583</v>
      </c>
      <c r="P459" s="9">
        <v>3.0</v>
      </c>
      <c r="Q459" s="28"/>
      <c r="R459" s="9">
        <v>12.4</v>
      </c>
      <c r="S459" s="7" t="s">
        <v>584</v>
      </c>
      <c r="T459" s="7" t="b">
        <v>0</v>
      </c>
      <c r="U459" s="7" t="s">
        <v>585</v>
      </c>
      <c r="V459" s="27" t="s">
        <v>586</v>
      </c>
      <c r="W459" s="7" t="s">
        <v>4142</v>
      </c>
      <c r="X459" s="28"/>
      <c r="Y459" s="28"/>
      <c r="Z459" s="28"/>
    </row>
    <row r="460">
      <c r="A460" s="7" t="s">
        <v>4143</v>
      </c>
      <c r="B460" s="7" t="s">
        <v>4144</v>
      </c>
      <c r="C460" s="7" t="s">
        <v>4145</v>
      </c>
      <c r="D460" s="7" t="s">
        <v>80</v>
      </c>
      <c r="E460" s="7" t="s">
        <v>2006</v>
      </c>
      <c r="F460" s="9">
        <v>17.418528</v>
      </c>
      <c r="G460" s="9">
        <v>100.130819</v>
      </c>
      <c r="H460" s="7" t="s">
        <v>923</v>
      </c>
      <c r="I460" s="9">
        <v>49.34</v>
      </c>
      <c r="J460" s="28"/>
      <c r="K460" s="28"/>
      <c r="L460" s="28"/>
      <c r="M460" s="9">
        <v>56.92</v>
      </c>
      <c r="N460" s="7" t="s">
        <v>2894</v>
      </c>
      <c r="O460" s="7" t="s">
        <v>583</v>
      </c>
      <c r="P460" s="9">
        <v>3.0</v>
      </c>
      <c r="Q460" s="28"/>
      <c r="R460" s="9">
        <v>22.4</v>
      </c>
      <c r="S460" s="7" t="s">
        <v>584</v>
      </c>
      <c r="T460" s="7" t="b">
        <v>0</v>
      </c>
      <c r="U460" s="7" t="s">
        <v>585</v>
      </c>
      <c r="V460" s="27" t="s">
        <v>586</v>
      </c>
      <c r="W460" s="7" t="s">
        <v>4151</v>
      </c>
      <c r="X460" s="28"/>
      <c r="Y460" s="28"/>
      <c r="Z460" s="28"/>
    </row>
    <row r="461">
      <c r="A461" s="7" t="s">
        <v>4153</v>
      </c>
      <c r="B461" s="7" t="s">
        <v>4154</v>
      </c>
      <c r="C461" s="7" t="s">
        <v>4155</v>
      </c>
      <c r="D461" s="7" t="s">
        <v>63</v>
      </c>
      <c r="E461" s="7"/>
      <c r="F461" s="9">
        <v>19.0328</v>
      </c>
      <c r="G461" s="9">
        <v>99.92907</v>
      </c>
      <c r="H461" s="7" t="s">
        <v>576</v>
      </c>
      <c r="I461" s="9">
        <v>434.9</v>
      </c>
      <c r="J461" s="28"/>
      <c r="K461" s="28"/>
      <c r="L461" s="28"/>
      <c r="M461" s="9"/>
      <c r="N461" s="7" t="s">
        <v>2894</v>
      </c>
      <c r="O461" s="7" t="s">
        <v>583</v>
      </c>
      <c r="P461" s="9">
        <v>3.0</v>
      </c>
      <c r="Q461" s="28"/>
      <c r="R461" s="9">
        <v>12.4</v>
      </c>
      <c r="S461" s="7" t="s">
        <v>584</v>
      </c>
      <c r="T461" s="7" t="b">
        <v>0</v>
      </c>
      <c r="U461" s="7" t="s">
        <v>585</v>
      </c>
      <c r="V461" s="27" t="s">
        <v>586</v>
      </c>
      <c r="W461" s="7" t="s">
        <v>4156</v>
      </c>
      <c r="X461" s="28"/>
      <c r="Y461" s="28"/>
      <c r="Z461" s="28"/>
    </row>
    <row r="462">
      <c r="A462" s="7" t="s">
        <v>4157</v>
      </c>
      <c r="B462" s="7" t="s">
        <v>4158</v>
      </c>
      <c r="C462" s="7" t="s">
        <v>4159</v>
      </c>
      <c r="D462" s="7" t="s">
        <v>291</v>
      </c>
      <c r="E462" s="7" t="s">
        <v>4160</v>
      </c>
      <c r="F462" s="9">
        <v>6.77741</v>
      </c>
      <c r="G462" s="9">
        <v>100.071487</v>
      </c>
      <c r="H462" s="7" t="s">
        <v>1951</v>
      </c>
      <c r="I462" s="9">
        <v>20.02</v>
      </c>
      <c r="J462" s="28"/>
      <c r="K462" s="28"/>
      <c r="L462" s="28"/>
      <c r="M462" s="9"/>
      <c r="N462" s="7" t="s">
        <v>2894</v>
      </c>
      <c r="O462" s="7" t="s">
        <v>583</v>
      </c>
      <c r="P462" s="9">
        <v>3.0</v>
      </c>
      <c r="Q462" s="28"/>
      <c r="R462" s="9">
        <v>202.4</v>
      </c>
      <c r="S462" s="7" t="s">
        <v>584</v>
      </c>
      <c r="T462" s="7" t="b">
        <v>0</v>
      </c>
      <c r="U462" s="7" t="s">
        <v>585</v>
      </c>
      <c r="V462" s="27" t="s">
        <v>586</v>
      </c>
      <c r="W462" s="7" t="s">
        <v>4161</v>
      </c>
      <c r="X462" s="28"/>
      <c r="Y462" s="28"/>
      <c r="Z462" s="28"/>
    </row>
    <row r="463">
      <c r="A463" s="7" t="s">
        <v>4162</v>
      </c>
      <c r="B463" s="7" t="s">
        <v>4163</v>
      </c>
      <c r="C463" s="7" t="s">
        <v>4164</v>
      </c>
      <c r="D463" s="7" t="s">
        <v>74</v>
      </c>
      <c r="E463" s="7" t="s">
        <v>2799</v>
      </c>
      <c r="F463" s="9">
        <v>16.78657</v>
      </c>
      <c r="G463" s="9">
        <v>99.18398</v>
      </c>
      <c r="H463" s="7" t="s">
        <v>576</v>
      </c>
      <c r="I463" s="9">
        <v>99.76</v>
      </c>
      <c r="J463" s="28"/>
      <c r="K463" s="28"/>
      <c r="L463" s="28"/>
      <c r="M463" s="9"/>
      <c r="N463" s="7" t="s">
        <v>2894</v>
      </c>
      <c r="O463" s="7" t="s">
        <v>583</v>
      </c>
      <c r="P463" s="9">
        <v>3.0</v>
      </c>
      <c r="Q463" s="28"/>
      <c r="R463" s="9">
        <v>12.4</v>
      </c>
      <c r="S463" s="7" t="s">
        <v>584</v>
      </c>
      <c r="T463" s="7" t="b">
        <v>0</v>
      </c>
      <c r="U463" s="7" t="s">
        <v>585</v>
      </c>
      <c r="V463" s="27" t="s">
        <v>586</v>
      </c>
      <c r="W463" s="7" t="s">
        <v>4165</v>
      </c>
      <c r="X463" s="28"/>
      <c r="Y463" s="28"/>
      <c r="Z463" s="28"/>
    </row>
    <row r="464">
      <c r="A464" s="7" t="s">
        <v>4166</v>
      </c>
      <c r="B464" s="7" t="s">
        <v>4167</v>
      </c>
      <c r="C464" s="7" t="s">
        <v>4168</v>
      </c>
      <c r="D464" s="7" t="s">
        <v>203</v>
      </c>
      <c r="E464" s="7" t="s">
        <v>1759</v>
      </c>
      <c r="F464" s="9">
        <v>17.000439</v>
      </c>
      <c r="G464" s="9">
        <v>104.42528</v>
      </c>
      <c r="H464" s="7" t="s">
        <v>576</v>
      </c>
      <c r="I464" s="9">
        <v>142.62</v>
      </c>
      <c r="J464" s="28"/>
      <c r="K464" s="28"/>
      <c r="L464" s="28"/>
      <c r="M464" s="9"/>
      <c r="N464" s="7" t="s">
        <v>2894</v>
      </c>
      <c r="O464" s="7" t="s">
        <v>583</v>
      </c>
      <c r="P464" s="9">
        <v>3.0</v>
      </c>
      <c r="Q464" s="28"/>
      <c r="R464" s="9">
        <v>12.4</v>
      </c>
      <c r="S464" s="7" t="s">
        <v>584</v>
      </c>
      <c r="T464" s="7" t="b">
        <v>0</v>
      </c>
      <c r="U464" s="7" t="s">
        <v>585</v>
      </c>
      <c r="V464" s="27" t="s">
        <v>586</v>
      </c>
      <c r="W464" s="7" t="s">
        <v>4169</v>
      </c>
      <c r="X464" s="28"/>
      <c r="Y464" s="28"/>
      <c r="Z464" s="28"/>
    </row>
    <row r="465">
      <c r="A465" s="7" t="s">
        <v>4170</v>
      </c>
      <c r="B465" s="7" t="s">
        <v>4171</v>
      </c>
      <c r="C465" s="7" t="s">
        <v>4172</v>
      </c>
      <c r="D465" s="7" t="s">
        <v>224</v>
      </c>
      <c r="E465" s="7"/>
      <c r="F465" s="9">
        <v>14.550208</v>
      </c>
      <c r="G465" s="9">
        <v>101.459465</v>
      </c>
      <c r="H465" s="7" t="s">
        <v>576</v>
      </c>
      <c r="I465" s="9">
        <v>345.87</v>
      </c>
      <c r="J465" s="28"/>
      <c r="K465" s="28"/>
      <c r="L465" s="28"/>
      <c r="M465" s="9"/>
      <c r="N465" s="7" t="s">
        <v>2894</v>
      </c>
      <c r="O465" s="7" t="s">
        <v>583</v>
      </c>
      <c r="P465" s="9">
        <v>3.0</v>
      </c>
      <c r="Q465" s="28"/>
      <c r="R465" s="9">
        <v>12.4</v>
      </c>
      <c r="S465" s="7" t="s">
        <v>584</v>
      </c>
      <c r="T465" s="7" t="b">
        <v>0</v>
      </c>
      <c r="U465" s="7" t="s">
        <v>585</v>
      </c>
      <c r="V465" s="27" t="s">
        <v>586</v>
      </c>
      <c r="W465" s="7" t="s">
        <v>4173</v>
      </c>
      <c r="X465" s="28"/>
      <c r="Y465" s="28"/>
      <c r="Z465" s="28"/>
    </row>
    <row r="466">
      <c r="A466" s="7" t="s">
        <v>4174</v>
      </c>
      <c r="B466" s="7" t="s">
        <v>4175</v>
      </c>
      <c r="C466" s="7" t="s">
        <v>4176</v>
      </c>
      <c r="D466" s="7" t="s">
        <v>175</v>
      </c>
      <c r="E466" s="7" t="s">
        <v>3691</v>
      </c>
      <c r="F466" s="9">
        <v>12.986792</v>
      </c>
      <c r="G466" s="9">
        <v>101.89965</v>
      </c>
      <c r="H466" s="7" t="s">
        <v>576</v>
      </c>
      <c r="I466" s="9">
        <v>23.79</v>
      </c>
      <c r="J466" s="28"/>
      <c r="K466" s="28"/>
      <c r="L466" s="28"/>
      <c r="M466" s="9"/>
      <c r="N466" s="7" t="s">
        <v>2894</v>
      </c>
      <c r="O466" s="7" t="s">
        <v>583</v>
      </c>
      <c r="P466" s="9">
        <v>3.0</v>
      </c>
      <c r="Q466" s="28"/>
      <c r="R466" s="9">
        <v>12.4</v>
      </c>
      <c r="S466" s="7" t="s">
        <v>584</v>
      </c>
      <c r="T466" s="7" t="b">
        <v>0</v>
      </c>
      <c r="U466" s="7" t="s">
        <v>585</v>
      </c>
      <c r="V466" s="27" t="s">
        <v>586</v>
      </c>
      <c r="W466" s="7" t="s">
        <v>4178</v>
      </c>
      <c r="X466" s="28"/>
      <c r="Y466" s="28"/>
      <c r="Z466" s="28"/>
    </row>
    <row r="467">
      <c r="A467" s="7" t="s">
        <v>4179</v>
      </c>
      <c r="B467" s="7" t="s">
        <v>4180</v>
      </c>
      <c r="C467" s="7" t="s">
        <v>4181</v>
      </c>
      <c r="D467" s="7" t="s">
        <v>276</v>
      </c>
      <c r="E467" s="7" t="s">
        <v>3555</v>
      </c>
      <c r="F467" s="9">
        <v>8.829399</v>
      </c>
      <c r="G467" s="9">
        <v>98.36931</v>
      </c>
      <c r="H467" s="7" t="s">
        <v>576</v>
      </c>
      <c r="I467" s="9">
        <v>-0.05</v>
      </c>
      <c r="J467" s="28"/>
      <c r="K467" s="28"/>
      <c r="L467" s="28"/>
      <c r="M467" s="9"/>
      <c r="N467" s="7" t="s">
        <v>2894</v>
      </c>
      <c r="O467" s="7" t="s">
        <v>583</v>
      </c>
      <c r="P467" s="9">
        <v>3.0</v>
      </c>
      <c r="Q467" s="28"/>
      <c r="R467" s="9">
        <v>12.4</v>
      </c>
      <c r="S467" s="7" t="s">
        <v>584</v>
      </c>
      <c r="T467" s="7" t="b">
        <v>0</v>
      </c>
      <c r="U467" s="7" t="s">
        <v>585</v>
      </c>
      <c r="V467" s="27" t="s">
        <v>586</v>
      </c>
      <c r="W467" s="7" t="s">
        <v>4182</v>
      </c>
      <c r="X467" s="28"/>
      <c r="Y467" s="28"/>
      <c r="Z467" s="28"/>
    </row>
    <row r="468">
      <c r="A468" s="7" t="s">
        <v>4183</v>
      </c>
      <c r="B468" s="7" t="s">
        <v>4184</v>
      </c>
      <c r="C468" s="7" t="s">
        <v>4185</v>
      </c>
      <c r="D468" s="7" t="s">
        <v>260</v>
      </c>
      <c r="E468" s="7"/>
      <c r="F468" s="9">
        <v>8.822734</v>
      </c>
      <c r="G468" s="9">
        <v>98.832075</v>
      </c>
      <c r="H468" s="7" t="s">
        <v>923</v>
      </c>
      <c r="I468" s="9">
        <v>12.58</v>
      </c>
      <c r="J468" s="28"/>
      <c r="K468" s="28"/>
      <c r="L468" s="28"/>
      <c r="M468" s="9">
        <v>17.473</v>
      </c>
      <c r="N468" s="7" t="s">
        <v>2894</v>
      </c>
      <c r="O468" s="7" t="s">
        <v>583</v>
      </c>
      <c r="P468" s="9">
        <v>3.0</v>
      </c>
      <c r="Q468" s="28"/>
      <c r="R468" s="9">
        <v>22.4</v>
      </c>
      <c r="S468" s="7" t="s">
        <v>584</v>
      </c>
      <c r="T468" s="7" t="b">
        <v>0</v>
      </c>
      <c r="U468" s="7" t="s">
        <v>585</v>
      </c>
      <c r="V468" s="27" t="s">
        <v>586</v>
      </c>
      <c r="W468" s="7" t="s">
        <v>4186</v>
      </c>
      <c r="X468" s="28"/>
      <c r="Y468" s="28"/>
      <c r="Z468" s="28"/>
    </row>
    <row r="469">
      <c r="A469" s="7" t="s">
        <v>4187</v>
      </c>
      <c r="B469" s="7" t="s">
        <v>4188</v>
      </c>
      <c r="C469" s="7" t="s">
        <v>4189</v>
      </c>
      <c r="D469" s="7" t="s">
        <v>224</v>
      </c>
      <c r="E469" s="7" t="s">
        <v>4190</v>
      </c>
      <c r="F469" s="9">
        <v>14.69785</v>
      </c>
      <c r="G469" s="9">
        <v>101.415154</v>
      </c>
      <c r="H469" s="7" t="s">
        <v>618</v>
      </c>
      <c r="I469" s="9">
        <v>293.75</v>
      </c>
      <c r="J469" s="28"/>
      <c r="K469" s="28"/>
      <c r="L469" s="28"/>
      <c r="M469" s="9"/>
      <c r="N469" s="7" t="s">
        <v>2894</v>
      </c>
      <c r="O469" s="7" t="s">
        <v>583</v>
      </c>
      <c r="P469" s="9">
        <v>3.0</v>
      </c>
      <c r="Q469" s="28"/>
      <c r="R469" s="9">
        <v>82.4</v>
      </c>
      <c r="S469" s="7" t="s">
        <v>584</v>
      </c>
      <c r="T469" s="7" t="b">
        <v>0</v>
      </c>
      <c r="U469" s="7" t="s">
        <v>585</v>
      </c>
      <c r="V469" s="27" t="s">
        <v>586</v>
      </c>
      <c r="W469" s="7" t="s">
        <v>4193</v>
      </c>
      <c r="X469" s="28"/>
      <c r="Y469" s="28"/>
      <c r="Z469" s="28"/>
    </row>
    <row r="470">
      <c r="A470" s="7" t="s">
        <v>4194</v>
      </c>
      <c r="B470" s="7" t="s">
        <v>4196</v>
      </c>
      <c r="C470" s="7" t="s">
        <v>4197</v>
      </c>
      <c r="D470" s="7" t="s">
        <v>163</v>
      </c>
      <c r="E470" s="7" t="s">
        <v>4199</v>
      </c>
      <c r="F470" s="9">
        <v>14.06587</v>
      </c>
      <c r="G470" s="9">
        <v>101.922638</v>
      </c>
      <c r="H470" s="7" t="s">
        <v>618</v>
      </c>
      <c r="I470" s="9">
        <v>15.71</v>
      </c>
      <c r="J470" s="28"/>
      <c r="K470" s="28"/>
      <c r="L470" s="28"/>
      <c r="M470" s="9"/>
      <c r="N470" s="7" t="s">
        <v>2894</v>
      </c>
      <c r="O470" s="7" t="s">
        <v>583</v>
      </c>
      <c r="P470" s="9">
        <v>3.0</v>
      </c>
      <c r="Q470" s="28"/>
      <c r="R470" s="9">
        <v>82.4</v>
      </c>
      <c r="S470" s="7" t="s">
        <v>584</v>
      </c>
      <c r="T470" s="7" t="b">
        <v>0</v>
      </c>
      <c r="U470" s="7" t="s">
        <v>585</v>
      </c>
      <c r="V470" s="27" t="s">
        <v>586</v>
      </c>
      <c r="W470" s="7" t="s">
        <v>4202</v>
      </c>
      <c r="X470" s="28"/>
      <c r="Y470" s="28"/>
      <c r="Z470" s="28"/>
    </row>
    <row r="471">
      <c r="A471" s="7" t="s">
        <v>4203</v>
      </c>
      <c r="B471" s="7" t="s">
        <v>4204</v>
      </c>
      <c r="C471" s="7" t="s">
        <v>4205</v>
      </c>
      <c r="D471" s="7" t="s">
        <v>186</v>
      </c>
      <c r="E471" s="7" t="s">
        <v>3223</v>
      </c>
      <c r="F471" s="9">
        <v>16.68523</v>
      </c>
      <c r="G471" s="9">
        <v>104.08213</v>
      </c>
      <c r="H471" s="7" t="s">
        <v>618</v>
      </c>
      <c r="I471" s="9">
        <v>173.36</v>
      </c>
      <c r="J471" s="28"/>
      <c r="K471" s="28"/>
      <c r="L471" s="28"/>
      <c r="M471" s="9"/>
      <c r="N471" s="7" t="s">
        <v>2894</v>
      </c>
      <c r="O471" s="7" t="s">
        <v>583</v>
      </c>
      <c r="P471" s="9">
        <v>3.0</v>
      </c>
      <c r="Q471" s="28"/>
      <c r="R471" s="9">
        <v>82.4</v>
      </c>
      <c r="S471" s="7" t="s">
        <v>584</v>
      </c>
      <c r="T471" s="7" t="b">
        <v>0</v>
      </c>
      <c r="U471" s="7" t="s">
        <v>585</v>
      </c>
      <c r="V471" s="27" t="s">
        <v>586</v>
      </c>
      <c r="W471" s="7" t="s">
        <v>4206</v>
      </c>
      <c r="X471" s="28"/>
      <c r="Y471" s="28"/>
      <c r="Z471" s="28"/>
    </row>
    <row r="472">
      <c r="A472" s="7" t="s">
        <v>4207</v>
      </c>
      <c r="B472" s="7" t="s">
        <v>4208</v>
      </c>
      <c r="C472" s="7" t="s">
        <v>4209</v>
      </c>
      <c r="D472" s="7" t="s">
        <v>61</v>
      </c>
      <c r="E472" s="7" t="s">
        <v>2006</v>
      </c>
      <c r="F472" s="9">
        <v>16.86469</v>
      </c>
      <c r="G472" s="9">
        <v>100.24476</v>
      </c>
      <c r="H472" s="7" t="s">
        <v>576</v>
      </c>
      <c r="I472" s="9">
        <v>37.54</v>
      </c>
      <c r="J472" s="28"/>
      <c r="K472" s="28"/>
      <c r="L472" s="28"/>
      <c r="M472" s="9"/>
      <c r="N472" s="7" t="s">
        <v>2894</v>
      </c>
      <c r="O472" s="7" t="s">
        <v>583</v>
      </c>
      <c r="P472" s="9">
        <v>3.0</v>
      </c>
      <c r="Q472" s="28"/>
      <c r="R472" s="9">
        <v>12.4</v>
      </c>
      <c r="S472" s="7" t="s">
        <v>584</v>
      </c>
      <c r="T472" s="7" t="b">
        <v>0</v>
      </c>
      <c r="U472" s="7" t="s">
        <v>585</v>
      </c>
      <c r="V472" s="27" t="s">
        <v>586</v>
      </c>
      <c r="W472" s="7" t="s">
        <v>4210</v>
      </c>
      <c r="X472" s="28"/>
      <c r="Y472" s="28"/>
      <c r="Z472" s="28"/>
    </row>
    <row r="473">
      <c r="A473" s="7" t="s">
        <v>4211</v>
      </c>
      <c r="B473" s="7" t="s">
        <v>4212</v>
      </c>
      <c r="C473" s="7" t="s">
        <v>4213</v>
      </c>
      <c r="D473" s="7" t="s">
        <v>9</v>
      </c>
      <c r="E473" s="7" t="s">
        <v>2799</v>
      </c>
      <c r="F473" s="9">
        <v>18.86651</v>
      </c>
      <c r="G473" s="9">
        <v>98.978188</v>
      </c>
      <c r="H473" s="7" t="s">
        <v>3579</v>
      </c>
      <c r="I473" s="9">
        <v>303.15</v>
      </c>
      <c r="J473" s="28"/>
      <c r="K473" s="28"/>
      <c r="L473" s="28"/>
      <c r="M473" s="9"/>
      <c r="N473" s="7" t="s">
        <v>2894</v>
      </c>
      <c r="O473" s="7" t="s">
        <v>583</v>
      </c>
      <c r="P473" s="9">
        <v>3.0</v>
      </c>
      <c r="Q473" s="28"/>
      <c r="R473" s="9">
        <v>262.4</v>
      </c>
      <c r="S473" s="7" t="s">
        <v>584</v>
      </c>
      <c r="T473" s="7" t="b">
        <v>0</v>
      </c>
      <c r="U473" s="7" t="s">
        <v>585</v>
      </c>
      <c r="V473" s="27" t="s">
        <v>586</v>
      </c>
      <c r="W473" s="7" t="s">
        <v>4214</v>
      </c>
      <c r="X473" s="28"/>
      <c r="Y473" s="28"/>
      <c r="Z473" s="28"/>
    </row>
    <row r="474">
      <c r="A474" s="7" t="s">
        <v>4215</v>
      </c>
      <c r="B474" s="7" t="s">
        <v>4216</v>
      </c>
      <c r="C474" s="7" t="s">
        <v>4217</v>
      </c>
      <c r="D474" s="7" t="s">
        <v>9</v>
      </c>
      <c r="E474" s="7"/>
      <c r="F474" s="9">
        <v>17.387731</v>
      </c>
      <c r="G474" s="9">
        <v>98.467658</v>
      </c>
      <c r="H474" s="7" t="s">
        <v>923</v>
      </c>
      <c r="I474" s="9">
        <v>421.31</v>
      </c>
      <c r="J474" s="28"/>
      <c r="K474" s="28"/>
      <c r="L474" s="28"/>
      <c r="M474" s="9">
        <v>426.24</v>
      </c>
      <c r="N474" s="7" t="s">
        <v>2894</v>
      </c>
      <c r="O474" s="7" t="s">
        <v>583</v>
      </c>
      <c r="P474" s="9">
        <v>3.0</v>
      </c>
      <c r="Q474" s="28"/>
      <c r="R474" s="9">
        <v>22.4</v>
      </c>
      <c r="S474" s="7" t="s">
        <v>584</v>
      </c>
      <c r="T474" s="7" t="b">
        <v>0</v>
      </c>
      <c r="U474" s="7" t="s">
        <v>585</v>
      </c>
      <c r="V474" s="27" t="s">
        <v>586</v>
      </c>
      <c r="W474" s="7" t="s">
        <v>4218</v>
      </c>
      <c r="X474" s="28"/>
      <c r="Y474" s="28"/>
      <c r="Z474" s="28"/>
    </row>
    <row r="475">
      <c r="A475" s="7" t="s">
        <v>4219</v>
      </c>
      <c r="B475" s="7" t="s">
        <v>4220</v>
      </c>
      <c r="C475" s="7" t="s">
        <v>4222</v>
      </c>
      <c r="D475" s="7" t="s">
        <v>67</v>
      </c>
      <c r="E475" s="7" t="s">
        <v>3334</v>
      </c>
      <c r="F475" s="9">
        <v>18.43327</v>
      </c>
      <c r="G475" s="9">
        <v>99.085129</v>
      </c>
      <c r="H475" s="7" t="s">
        <v>3579</v>
      </c>
      <c r="I475" s="9">
        <v>367.04</v>
      </c>
      <c r="J475" s="28"/>
      <c r="K475" s="28"/>
      <c r="L475" s="28"/>
      <c r="M475" s="9"/>
      <c r="N475" s="7" t="s">
        <v>2894</v>
      </c>
      <c r="O475" s="7" t="s">
        <v>583</v>
      </c>
      <c r="P475" s="9">
        <v>3.0</v>
      </c>
      <c r="Q475" s="28"/>
      <c r="R475" s="9">
        <v>262.4</v>
      </c>
      <c r="S475" s="7" t="s">
        <v>584</v>
      </c>
      <c r="T475" s="7" t="b">
        <v>0</v>
      </c>
      <c r="U475" s="7" t="s">
        <v>585</v>
      </c>
      <c r="V475" s="27" t="s">
        <v>586</v>
      </c>
      <c r="W475" s="7" t="s">
        <v>4223</v>
      </c>
      <c r="X475" s="28"/>
      <c r="Y475" s="28"/>
      <c r="Z475" s="28"/>
    </row>
    <row r="476">
      <c r="A476" s="7" t="s">
        <v>4224</v>
      </c>
      <c r="B476" s="7" t="s">
        <v>4225</v>
      </c>
      <c r="C476" s="7" t="s">
        <v>4226</v>
      </c>
      <c r="D476" s="7" t="s">
        <v>291</v>
      </c>
      <c r="E476" s="7" t="s">
        <v>2777</v>
      </c>
      <c r="F476" s="9">
        <v>6.940811</v>
      </c>
      <c r="G476" s="9">
        <v>99.872925</v>
      </c>
      <c r="H476" s="7" t="s">
        <v>576</v>
      </c>
      <c r="I476" s="9">
        <v>7.53</v>
      </c>
      <c r="J476" s="28"/>
      <c r="K476" s="28"/>
      <c r="L476" s="28"/>
      <c r="M476" s="9"/>
      <c r="N476" s="7" t="s">
        <v>2894</v>
      </c>
      <c r="O476" s="7" t="s">
        <v>583</v>
      </c>
      <c r="P476" s="9">
        <v>3.0</v>
      </c>
      <c r="Q476" s="28"/>
      <c r="R476" s="9">
        <v>12.4</v>
      </c>
      <c r="S476" s="7" t="s">
        <v>584</v>
      </c>
      <c r="T476" s="7" t="b">
        <v>0</v>
      </c>
      <c r="U476" s="7" t="s">
        <v>585</v>
      </c>
      <c r="V476" s="27" t="s">
        <v>586</v>
      </c>
      <c r="W476" s="7" t="s">
        <v>4227</v>
      </c>
      <c r="X476" s="28"/>
      <c r="Y476" s="28"/>
      <c r="Z476" s="28"/>
    </row>
    <row r="477">
      <c r="A477" s="7" t="s">
        <v>4228</v>
      </c>
      <c r="B477" s="7" t="s">
        <v>4229</v>
      </c>
      <c r="C477" s="7" t="s">
        <v>3085</v>
      </c>
      <c r="D477" s="7" t="s">
        <v>80</v>
      </c>
      <c r="E477" s="7" t="s">
        <v>2006</v>
      </c>
      <c r="F477" s="9">
        <v>17.609871</v>
      </c>
      <c r="G477" s="9">
        <v>100.099609</v>
      </c>
      <c r="H477" s="7" t="s">
        <v>618</v>
      </c>
      <c r="I477" s="9">
        <v>52.77</v>
      </c>
      <c r="J477" s="28"/>
      <c r="K477" s="28"/>
      <c r="L477" s="28"/>
      <c r="M477" s="9">
        <v>59.3</v>
      </c>
      <c r="N477" s="7" t="s">
        <v>2894</v>
      </c>
      <c r="O477" s="7" t="s">
        <v>583</v>
      </c>
      <c r="P477" s="9">
        <v>3.0</v>
      </c>
      <c r="Q477" s="28"/>
      <c r="R477" s="9">
        <v>82.4</v>
      </c>
      <c r="S477" s="7" t="s">
        <v>584</v>
      </c>
      <c r="T477" s="7" t="b">
        <v>0</v>
      </c>
      <c r="U477" s="7" t="s">
        <v>585</v>
      </c>
      <c r="V477" s="27" t="s">
        <v>586</v>
      </c>
      <c r="W477" s="7" t="s">
        <v>4230</v>
      </c>
      <c r="X477" s="28"/>
      <c r="Y477" s="28"/>
      <c r="Z477" s="28"/>
    </row>
    <row r="478">
      <c r="A478" s="7" t="s">
        <v>4231</v>
      </c>
      <c r="B478" s="7" t="s">
        <v>4232</v>
      </c>
      <c r="C478" s="7" t="s">
        <v>4233</v>
      </c>
      <c r="D478" s="7" t="s">
        <v>74</v>
      </c>
      <c r="E478" s="7" t="s">
        <v>3469</v>
      </c>
      <c r="F478" s="9">
        <v>17.26053</v>
      </c>
      <c r="G478" s="9">
        <v>99.07797</v>
      </c>
      <c r="H478" s="7" t="s">
        <v>576</v>
      </c>
      <c r="I478" s="9">
        <v>134.25</v>
      </c>
      <c r="J478" s="28"/>
      <c r="K478" s="28"/>
      <c r="L478" s="28"/>
      <c r="M478" s="9"/>
      <c r="N478" s="7" t="s">
        <v>2894</v>
      </c>
      <c r="O478" s="7" t="s">
        <v>583</v>
      </c>
      <c r="P478" s="9">
        <v>3.0</v>
      </c>
      <c r="Q478" s="28"/>
      <c r="R478" s="9">
        <v>12.4</v>
      </c>
      <c r="S478" s="7" t="s">
        <v>584</v>
      </c>
      <c r="T478" s="7" t="b">
        <v>0</v>
      </c>
      <c r="U478" s="7" t="s">
        <v>585</v>
      </c>
      <c r="V478" s="27" t="s">
        <v>586</v>
      </c>
      <c r="W478" s="7" t="s">
        <v>4236</v>
      </c>
      <c r="X478" s="28"/>
      <c r="Y478" s="28"/>
      <c r="Z478" s="28"/>
    </row>
    <row r="479">
      <c r="A479" s="7" t="s">
        <v>4238</v>
      </c>
      <c r="B479" s="7" t="s">
        <v>4239</v>
      </c>
      <c r="C479" s="7" t="s">
        <v>4241</v>
      </c>
      <c r="D479" s="7" t="s">
        <v>53</v>
      </c>
      <c r="E479" s="7" t="s">
        <v>4242</v>
      </c>
      <c r="F479" s="9">
        <v>20.15754</v>
      </c>
      <c r="G479" s="9">
        <v>99.85966</v>
      </c>
      <c r="H479" s="7" t="s">
        <v>576</v>
      </c>
      <c r="I479" s="9">
        <v>409.54</v>
      </c>
      <c r="J479" s="28"/>
      <c r="K479" s="28"/>
      <c r="L479" s="28"/>
      <c r="M479" s="9"/>
      <c r="N479" s="7" t="s">
        <v>2894</v>
      </c>
      <c r="O479" s="7" t="s">
        <v>583</v>
      </c>
      <c r="P479" s="9">
        <v>3.0</v>
      </c>
      <c r="Q479" s="28"/>
      <c r="R479" s="9">
        <v>12.4</v>
      </c>
      <c r="S479" s="7" t="s">
        <v>584</v>
      </c>
      <c r="T479" s="7" t="b">
        <v>0</v>
      </c>
      <c r="U479" s="7" t="s">
        <v>585</v>
      </c>
      <c r="V479" s="27" t="s">
        <v>586</v>
      </c>
      <c r="W479" s="7" t="s">
        <v>4245</v>
      </c>
      <c r="X479" s="28"/>
      <c r="Y479" s="28"/>
      <c r="Z479" s="28"/>
    </row>
    <row r="480">
      <c r="A480" s="7" t="s">
        <v>4246</v>
      </c>
      <c r="B480" s="7" t="s">
        <v>4247</v>
      </c>
      <c r="C480" s="7" t="s">
        <v>4248</v>
      </c>
      <c r="D480" s="7" t="s">
        <v>291</v>
      </c>
      <c r="E480" s="7" t="s">
        <v>2777</v>
      </c>
      <c r="F480" s="9">
        <v>6.94082</v>
      </c>
      <c r="G480" s="9">
        <v>99.872917</v>
      </c>
      <c r="H480" s="7" t="s">
        <v>1951</v>
      </c>
      <c r="I480" s="9">
        <v>7.69</v>
      </c>
      <c r="J480" s="28"/>
      <c r="K480" s="28"/>
      <c r="L480" s="28"/>
      <c r="M480" s="9"/>
      <c r="N480" s="7" t="s">
        <v>2894</v>
      </c>
      <c r="O480" s="7" t="s">
        <v>583</v>
      </c>
      <c r="P480" s="9">
        <v>3.0</v>
      </c>
      <c r="Q480" s="28"/>
      <c r="R480" s="9">
        <v>202.4</v>
      </c>
      <c r="S480" s="7" t="s">
        <v>584</v>
      </c>
      <c r="T480" s="7" t="b">
        <v>0</v>
      </c>
      <c r="U480" s="7" t="s">
        <v>585</v>
      </c>
      <c r="V480" s="27" t="s">
        <v>586</v>
      </c>
      <c r="W480" s="7" t="s">
        <v>4249</v>
      </c>
      <c r="X480" s="28"/>
      <c r="Y480" s="28"/>
      <c r="Z480" s="28"/>
    </row>
    <row r="481">
      <c r="A481" s="7" t="s">
        <v>4250</v>
      </c>
      <c r="B481" s="7" t="s">
        <v>4251</v>
      </c>
      <c r="C481" s="7" t="s">
        <v>4252</v>
      </c>
      <c r="D481" s="7" t="s">
        <v>82</v>
      </c>
      <c r="E481" s="7" t="s">
        <v>4065</v>
      </c>
      <c r="F481" s="9">
        <v>17.050436</v>
      </c>
      <c r="G481" s="9">
        <v>99.664345</v>
      </c>
      <c r="H481" s="7" t="s">
        <v>576</v>
      </c>
      <c r="I481" s="9">
        <v>60.88</v>
      </c>
      <c r="J481" s="28"/>
      <c r="K481" s="28"/>
      <c r="L481" s="28"/>
      <c r="M481" s="9"/>
      <c r="N481" s="7" t="s">
        <v>2894</v>
      </c>
      <c r="O481" s="7" t="s">
        <v>583</v>
      </c>
      <c r="P481" s="9">
        <v>3.0</v>
      </c>
      <c r="Q481" s="28"/>
      <c r="R481" s="9">
        <v>12.4</v>
      </c>
      <c r="S481" s="7" t="s">
        <v>584</v>
      </c>
      <c r="T481" s="7" t="b">
        <v>0</v>
      </c>
      <c r="U481" s="7" t="s">
        <v>585</v>
      </c>
      <c r="V481" s="27" t="s">
        <v>586</v>
      </c>
      <c r="W481" s="7" t="s">
        <v>4253</v>
      </c>
      <c r="X481" s="28"/>
      <c r="Y481" s="28"/>
      <c r="Z481" s="28"/>
    </row>
    <row r="482">
      <c r="A482" s="7" t="s">
        <v>4254</v>
      </c>
      <c r="B482" s="7" t="s">
        <v>4255</v>
      </c>
      <c r="C482" s="7" t="s">
        <v>4256</v>
      </c>
      <c r="D482" s="7" t="s">
        <v>3947</v>
      </c>
      <c r="E482" s="7"/>
      <c r="F482" s="9">
        <v>20.44352</v>
      </c>
      <c r="G482" s="9">
        <v>99.86226</v>
      </c>
      <c r="H482" s="7" t="s">
        <v>576</v>
      </c>
      <c r="I482" s="9">
        <v>401.71</v>
      </c>
      <c r="J482" s="28"/>
      <c r="K482" s="28"/>
      <c r="L482" s="28"/>
      <c r="M482" s="9"/>
      <c r="N482" s="7" t="s">
        <v>2894</v>
      </c>
      <c r="O482" s="7" t="s">
        <v>583</v>
      </c>
      <c r="P482" s="9">
        <v>3.0</v>
      </c>
      <c r="Q482" s="28"/>
      <c r="R482" s="9">
        <v>12.4</v>
      </c>
      <c r="S482" s="7" t="s">
        <v>584</v>
      </c>
      <c r="T482" s="7" t="b">
        <v>0</v>
      </c>
      <c r="U482" s="7" t="s">
        <v>585</v>
      </c>
      <c r="V482" s="27" t="s">
        <v>586</v>
      </c>
      <c r="W482" s="7" t="s">
        <v>4257</v>
      </c>
      <c r="X482" s="28"/>
      <c r="Y482" s="28"/>
      <c r="Z482" s="28"/>
    </row>
    <row r="483">
      <c r="A483" s="7" t="s">
        <v>4258</v>
      </c>
      <c r="B483" s="7" t="s">
        <v>4259</v>
      </c>
      <c r="C483" s="7" t="s">
        <v>4260</v>
      </c>
      <c r="D483" s="7" t="s">
        <v>234</v>
      </c>
      <c r="E483" s="7" t="s">
        <v>4261</v>
      </c>
      <c r="F483" s="9">
        <v>15.50421</v>
      </c>
      <c r="G483" s="9">
        <v>104.966202</v>
      </c>
      <c r="H483" s="7" t="s">
        <v>618</v>
      </c>
      <c r="I483" s="9">
        <v>111.21</v>
      </c>
      <c r="J483" s="28"/>
      <c r="K483" s="28"/>
      <c r="L483" s="28"/>
      <c r="M483" s="9"/>
      <c r="N483" s="7" t="s">
        <v>2894</v>
      </c>
      <c r="O483" s="7" t="s">
        <v>583</v>
      </c>
      <c r="P483" s="9">
        <v>3.0</v>
      </c>
      <c r="Q483" s="28"/>
      <c r="R483" s="9">
        <v>82.4</v>
      </c>
      <c r="S483" s="7" t="s">
        <v>584</v>
      </c>
      <c r="T483" s="7" t="b">
        <v>0</v>
      </c>
      <c r="U483" s="7" t="s">
        <v>585</v>
      </c>
      <c r="V483" s="27" t="s">
        <v>586</v>
      </c>
      <c r="W483" s="7" t="s">
        <v>4263</v>
      </c>
      <c r="X483" s="28"/>
      <c r="Y483" s="28"/>
      <c r="Z483" s="28"/>
    </row>
    <row r="484">
      <c r="A484" s="7" t="s">
        <v>4264</v>
      </c>
      <c r="B484" s="7" t="s">
        <v>4265</v>
      </c>
      <c r="C484" s="7" t="s">
        <v>4266</v>
      </c>
      <c r="D484" s="7" t="s">
        <v>286</v>
      </c>
      <c r="E484" s="7" t="s">
        <v>4267</v>
      </c>
      <c r="F484" s="9">
        <v>6.63504</v>
      </c>
      <c r="G484" s="9">
        <v>100.39341</v>
      </c>
      <c r="H484" s="7" t="s">
        <v>1951</v>
      </c>
      <c r="I484" s="9">
        <v>33.29</v>
      </c>
      <c r="J484" s="28"/>
      <c r="K484" s="28"/>
      <c r="L484" s="28"/>
      <c r="M484" s="9"/>
      <c r="N484" s="7" t="s">
        <v>2894</v>
      </c>
      <c r="O484" s="7" t="s">
        <v>583</v>
      </c>
      <c r="P484" s="9">
        <v>3.0</v>
      </c>
      <c r="Q484" s="28"/>
      <c r="R484" s="9">
        <v>202.4</v>
      </c>
      <c r="S484" s="7" t="s">
        <v>584</v>
      </c>
      <c r="T484" s="7" t="b">
        <v>0</v>
      </c>
      <c r="U484" s="7" t="s">
        <v>585</v>
      </c>
      <c r="V484" s="27" t="s">
        <v>586</v>
      </c>
      <c r="W484" s="7" t="s">
        <v>4268</v>
      </c>
      <c r="X484" s="28"/>
      <c r="Y484" s="28"/>
      <c r="Z484" s="28"/>
    </row>
    <row r="485">
      <c r="A485" s="7" t="s">
        <v>4269</v>
      </c>
      <c r="B485" s="7" t="s">
        <v>4270</v>
      </c>
      <c r="C485" s="7" t="s">
        <v>4271</v>
      </c>
      <c r="D485" s="7" t="s">
        <v>270</v>
      </c>
      <c r="E485" s="7" t="s">
        <v>3647</v>
      </c>
      <c r="F485" s="9">
        <v>8.187541</v>
      </c>
      <c r="G485" s="9">
        <v>98.87916</v>
      </c>
      <c r="H485" s="7" t="s">
        <v>576</v>
      </c>
      <c r="I485" s="9">
        <v>23.91</v>
      </c>
      <c r="J485" s="28"/>
      <c r="K485" s="28"/>
      <c r="L485" s="28"/>
      <c r="M485" s="9"/>
      <c r="N485" s="7" t="s">
        <v>2894</v>
      </c>
      <c r="O485" s="7" t="s">
        <v>583</v>
      </c>
      <c r="P485" s="9">
        <v>3.0</v>
      </c>
      <c r="Q485" s="28"/>
      <c r="R485" s="9">
        <v>12.4</v>
      </c>
      <c r="S485" s="7" t="s">
        <v>584</v>
      </c>
      <c r="T485" s="7" t="b">
        <v>0</v>
      </c>
      <c r="U485" s="7" t="s">
        <v>585</v>
      </c>
      <c r="V485" s="27" t="s">
        <v>586</v>
      </c>
      <c r="W485" s="7" t="s">
        <v>4272</v>
      </c>
      <c r="X485" s="28"/>
      <c r="Y485" s="28"/>
      <c r="Z485" s="28"/>
    </row>
    <row r="486">
      <c r="A486" s="7" t="s">
        <v>4273</v>
      </c>
      <c r="B486" s="7" t="s">
        <v>4274</v>
      </c>
      <c r="C486" s="7" t="s">
        <v>4275</v>
      </c>
      <c r="D486" s="7" t="s">
        <v>80</v>
      </c>
      <c r="E486" s="7" t="s">
        <v>2006</v>
      </c>
      <c r="F486" s="9">
        <v>17.61011</v>
      </c>
      <c r="G486" s="9">
        <v>100.09943</v>
      </c>
      <c r="H486" s="7" t="s">
        <v>576</v>
      </c>
      <c r="I486" s="9">
        <v>52.82</v>
      </c>
      <c r="J486" s="28"/>
      <c r="K486" s="28"/>
      <c r="L486" s="28"/>
      <c r="M486" s="9"/>
      <c r="N486" s="7" t="s">
        <v>2894</v>
      </c>
      <c r="O486" s="7" t="s">
        <v>583</v>
      </c>
      <c r="P486" s="9">
        <v>3.0</v>
      </c>
      <c r="Q486" s="28"/>
      <c r="R486" s="9">
        <v>12.4</v>
      </c>
      <c r="S486" s="7" t="s">
        <v>584</v>
      </c>
      <c r="T486" s="7" t="b">
        <v>0</v>
      </c>
      <c r="U486" s="7" t="s">
        <v>585</v>
      </c>
      <c r="V486" s="27" t="s">
        <v>586</v>
      </c>
      <c r="W486" s="7" t="s">
        <v>4276</v>
      </c>
      <c r="X486" s="28"/>
      <c r="Y486" s="28"/>
      <c r="Z486" s="28"/>
    </row>
    <row r="487">
      <c r="A487" s="7" t="s">
        <v>4277</v>
      </c>
      <c r="B487" s="7" t="s">
        <v>4278</v>
      </c>
      <c r="C487" s="7" t="s">
        <v>4279</v>
      </c>
      <c r="D487" s="7" t="s">
        <v>301</v>
      </c>
      <c r="E487" s="7" t="s">
        <v>2571</v>
      </c>
      <c r="F487" s="9">
        <v>6.552798</v>
      </c>
      <c r="G487" s="9">
        <v>101.266294</v>
      </c>
      <c r="H487" s="7" t="s">
        <v>1951</v>
      </c>
      <c r="I487" s="9">
        <v>12.75</v>
      </c>
      <c r="J487" s="28"/>
      <c r="K487" s="28"/>
      <c r="L487" s="28"/>
      <c r="M487" s="9">
        <v>16.5</v>
      </c>
      <c r="N487" s="7" t="s">
        <v>2894</v>
      </c>
      <c r="O487" s="7" t="s">
        <v>583</v>
      </c>
      <c r="P487" s="9">
        <v>3.0</v>
      </c>
      <c r="Q487" s="28"/>
      <c r="R487" s="9">
        <v>202.4</v>
      </c>
      <c r="S487" s="7" t="s">
        <v>584</v>
      </c>
      <c r="T487" s="7" t="b">
        <v>0</v>
      </c>
      <c r="U487" s="7" t="s">
        <v>585</v>
      </c>
      <c r="V487" s="27" t="s">
        <v>586</v>
      </c>
      <c r="W487" s="7" t="s">
        <v>4283</v>
      </c>
      <c r="X487" s="28"/>
      <c r="Y487" s="28"/>
      <c r="Z487" s="28"/>
    </row>
    <row r="488">
      <c r="A488" s="7" t="s">
        <v>4285</v>
      </c>
      <c r="B488" s="7" t="s">
        <v>4286</v>
      </c>
      <c r="C488" s="7" t="s">
        <v>4287</v>
      </c>
      <c r="D488" s="7" t="s">
        <v>183</v>
      </c>
      <c r="E488" s="7" t="s">
        <v>4287</v>
      </c>
      <c r="F488" s="9">
        <v>12.513374</v>
      </c>
      <c r="G488" s="9">
        <v>102.50484</v>
      </c>
      <c r="H488" s="7" t="s">
        <v>576</v>
      </c>
      <c r="I488" s="9">
        <v>9.34</v>
      </c>
      <c r="J488" s="28"/>
      <c r="K488" s="28"/>
      <c r="L488" s="28"/>
      <c r="M488" s="9"/>
      <c r="N488" s="7" t="s">
        <v>2894</v>
      </c>
      <c r="O488" s="7" t="s">
        <v>583</v>
      </c>
      <c r="P488" s="9">
        <v>3.0</v>
      </c>
      <c r="Q488" s="28"/>
      <c r="R488" s="9">
        <v>12.4</v>
      </c>
      <c r="S488" s="7" t="s">
        <v>584</v>
      </c>
      <c r="T488" s="7" t="b">
        <v>0</v>
      </c>
      <c r="U488" s="7" t="s">
        <v>585</v>
      </c>
      <c r="V488" s="27" t="s">
        <v>586</v>
      </c>
      <c r="W488" s="7" t="s">
        <v>4290</v>
      </c>
      <c r="X488" s="28"/>
      <c r="Y488" s="28"/>
      <c r="Z488" s="28"/>
    </row>
    <row r="489">
      <c r="A489" s="7" t="s">
        <v>4291</v>
      </c>
      <c r="B489" s="7" t="s">
        <v>4292</v>
      </c>
      <c r="C489" s="7" t="s">
        <v>4293</v>
      </c>
      <c r="D489" s="7" t="s">
        <v>276</v>
      </c>
      <c r="E489" s="7" t="s">
        <v>4294</v>
      </c>
      <c r="F489" s="9">
        <v>8.83334</v>
      </c>
      <c r="G489" s="9">
        <v>98.458527</v>
      </c>
      <c r="H489" s="7" t="s">
        <v>1951</v>
      </c>
      <c r="I489" s="9">
        <v>13.84</v>
      </c>
      <c r="J489" s="28"/>
      <c r="K489" s="28"/>
      <c r="L489" s="9"/>
      <c r="M489" s="9"/>
      <c r="N489" s="7" t="s">
        <v>2894</v>
      </c>
      <c r="O489" s="7" t="s">
        <v>583</v>
      </c>
      <c r="P489" s="9">
        <v>3.0</v>
      </c>
      <c r="Q489" s="28"/>
      <c r="R489" s="9">
        <v>202.4</v>
      </c>
      <c r="S489" s="7" t="s">
        <v>584</v>
      </c>
      <c r="T489" s="7" t="b">
        <v>0</v>
      </c>
      <c r="U489" s="7" t="s">
        <v>585</v>
      </c>
      <c r="V489" s="27" t="s">
        <v>586</v>
      </c>
      <c r="W489" s="7" t="s">
        <v>4295</v>
      </c>
      <c r="X489" s="28"/>
      <c r="Y489" s="28"/>
      <c r="Z489" s="28"/>
    </row>
    <row r="490">
      <c r="A490" s="7" t="s">
        <v>4296</v>
      </c>
      <c r="B490" s="7" t="s">
        <v>4297</v>
      </c>
      <c r="C490" s="7" t="s">
        <v>4298</v>
      </c>
      <c r="D490" s="7" t="s">
        <v>193</v>
      </c>
      <c r="E490" s="7" t="s">
        <v>2542</v>
      </c>
      <c r="F490" s="9">
        <v>16.36607</v>
      </c>
      <c r="G490" s="9">
        <v>102.949753</v>
      </c>
      <c r="H490" s="7" t="s">
        <v>618</v>
      </c>
      <c r="I490" s="9">
        <v>142.22</v>
      </c>
      <c r="J490" s="28"/>
      <c r="K490" s="28"/>
      <c r="L490" s="9"/>
      <c r="M490" s="9"/>
      <c r="N490" s="7" t="s">
        <v>2894</v>
      </c>
      <c r="O490" s="7" t="s">
        <v>583</v>
      </c>
      <c r="P490" s="9">
        <v>3.0</v>
      </c>
      <c r="Q490" s="28"/>
      <c r="R490" s="9">
        <v>82.4</v>
      </c>
      <c r="S490" s="7" t="s">
        <v>584</v>
      </c>
      <c r="T490" s="7" t="b">
        <v>0</v>
      </c>
      <c r="U490" s="7" t="s">
        <v>585</v>
      </c>
      <c r="V490" s="27" t="s">
        <v>586</v>
      </c>
      <c r="W490" s="7" t="s">
        <v>4299</v>
      </c>
      <c r="X490" s="28"/>
      <c r="Y490" s="28"/>
      <c r="Z490" s="28"/>
    </row>
    <row r="491">
      <c r="A491" s="7" t="s">
        <v>4300</v>
      </c>
      <c r="B491" s="7" t="s">
        <v>4301</v>
      </c>
      <c r="C491" s="7" t="s">
        <v>4302</v>
      </c>
      <c r="D491" s="7" t="s">
        <v>304</v>
      </c>
      <c r="E491" s="7" t="s">
        <v>2559</v>
      </c>
      <c r="F491" s="9">
        <v>6.07114</v>
      </c>
      <c r="G491" s="9">
        <v>102.035881</v>
      </c>
      <c r="H491" s="7" t="s">
        <v>1951</v>
      </c>
      <c r="I491" s="9">
        <v>2.6</v>
      </c>
      <c r="J491" s="28"/>
      <c r="K491" s="28"/>
      <c r="L491" s="9"/>
      <c r="M491" s="9"/>
      <c r="N491" s="7" t="s">
        <v>2894</v>
      </c>
      <c r="O491" s="7" t="s">
        <v>583</v>
      </c>
      <c r="P491" s="9">
        <v>3.0</v>
      </c>
      <c r="Q491" s="28"/>
      <c r="R491" s="9">
        <v>202.4</v>
      </c>
      <c r="S491" s="7" t="s">
        <v>584</v>
      </c>
      <c r="T491" s="7" t="b">
        <v>0</v>
      </c>
      <c r="U491" s="7" t="s">
        <v>585</v>
      </c>
      <c r="V491" s="27" t="s">
        <v>586</v>
      </c>
      <c r="W491" s="7" t="s">
        <v>4303</v>
      </c>
      <c r="X491" s="28"/>
      <c r="Y491" s="28"/>
      <c r="Z491" s="28"/>
    </row>
    <row r="492">
      <c r="A492" s="7" t="s">
        <v>4304</v>
      </c>
      <c r="B492" s="7" t="s">
        <v>4305</v>
      </c>
      <c r="C492" s="7" t="s">
        <v>4306</v>
      </c>
      <c r="D492" s="7" t="s">
        <v>63</v>
      </c>
      <c r="E492" s="7"/>
      <c r="F492" s="9">
        <v>19.165922</v>
      </c>
      <c r="G492" s="9">
        <v>99.9343</v>
      </c>
      <c r="H492" s="7" t="s">
        <v>576</v>
      </c>
      <c r="I492" s="9">
        <v>387.21</v>
      </c>
      <c r="J492" s="28"/>
      <c r="K492" s="28"/>
      <c r="L492" s="28"/>
      <c r="M492" s="9"/>
      <c r="N492" s="7" t="s">
        <v>2894</v>
      </c>
      <c r="O492" s="7" t="s">
        <v>583</v>
      </c>
      <c r="P492" s="9">
        <v>3.0</v>
      </c>
      <c r="Q492" s="28"/>
      <c r="R492" s="9">
        <v>12.4</v>
      </c>
      <c r="S492" s="7" t="s">
        <v>584</v>
      </c>
      <c r="T492" s="7" t="b">
        <v>0</v>
      </c>
      <c r="U492" s="7" t="s">
        <v>585</v>
      </c>
      <c r="V492" s="27" t="s">
        <v>586</v>
      </c>
      <c r="W492" s="7" t="s">
        <v>4307</v>
      </c>
      <c r="X492" s="28"/>
      <c r="Y492" s="28"/>
      <c r="Z492" s="28"/>
    </row>
    <row r="493">
      <c r="A493" s="7" t="s">
        <v>4308</v>
      </c>
      <c r="B493" s="7" t="s">
        <v>4309</v>
      </c>
      <c r="C493" s="7" t="s">
        <v>4310</v>
      </c>
      <c r="D493" s="7" t="s">
        <v>301</v>
      </c>
      <c r="E493" s="7" t="s">
        <v>2571</v>
      </c>
      <c r="F493" s="9">
        <v>6.552715</v>
      </c>
      <c r="G493" s="9">
        <v>101.266197</v>
      </c>
      <c r="H493" s="7" t="s">
        <v>923</v>
      </c>
      <c r="I493" s="9">
        <v>12.75</v>
      </c>
      <c r="J493" s="28"/>
      <c r="K493" s="28"/>
      <c r="L493" s="9">
        <v>16.0</v>
      </c>
      <c r="M493" s="9">
        <v>16.5</v>
      </c>
      <c r="N493" s="7" t="s">
        <v>2894</v>
      </c>
      <c r="O493" s="7" t="s">
        <v>583</v>
      </c>
      <c r="P493" s="9">
        <v>3.0</v>
      </c>
      <c r="Q493" s="28"/>
      <c r="R493" s="9">
        <v>22.4</v>
      </c>
      <c r="S493" s="7" t="s">
        <v>584</v>
      </c>
      <c r="T493" s="7" t="b">
        <v>0</v>
      </c>
      <c r="U493" s="7" t="s">
        <v>585</v>
      </c>
      <c r="V493" s="27" t="s">
        <v>586</v>
      </c>
      <c r="W493" s="7" t="s">
        <v>4312</v>
      </c>
      <c r="X493" s="28"/>
      <c r="Y493" s="28"/>
      <c r="Z493" s="28"/>
    </row>
    <row r="494">
      <c r="A494" s="7" t="s">
        <v>4313</v>
      </c>
      <c r="B494" s="7" t="s">
        <v>4314</v>
      </c>
      <c r="C494" s="7" t="s">
        <v>4315</v>
      </c>
      <c r="D494" s="7" t="s">
        <v>9</v>
      </c>
      <c r="E494" s="7"/>
      <c r="F494" s="9">
        <v>17.37028</v>
      </c>
      <c r="G494" s="9">
        <v>98.48728</v>
      </c>
      <c r="H494" s="7" t="s">
        <v>576</v>
      </c>
      <c r="I494" s="9">
        <v>409.03</v>
      </c>
      <c r="J494" s="28"/>
      <c r="K494" s="28"/>
      <c r="L494" s="28"/>
      <c r="M494" s="9"/>
      <c r="N494" s="7" t="s">
        <v>2894</v>
      </c>
      <c r="O494" s="7" t="s">
        <v>583</v>
      </c>
      <c r="P494" s="9">
        <v>3.0</v>
      </c>
      <c r="Q494" s="28"/>
      <c r="R494" s="9">
        <v>12.4</v>
      </c>
      <c r="S494" s="7" t="s">
        <v>584</v>
      </c>
      <c r="T494" s="7" t="b">
        <v>0</v>
      </c>
      <c r="U494" s="7" t="s">
        <v>585</v>
      </c>
      <c r="V494" s="27" t="s">
        <v>586</v>
      </c>
      <c r="W494" s="7" t="s">
        <v>4316</v>
      </c>
      <c r="X494" s="28"/>
      <c r="Y494" s="28"/>
      <c r="Z494" s="28"/>
    </row>
    <row r="495">
      <c r="A495" s="7" t="s">
        <v>4317</v>
      </c>
      <c r="B495" s="7" t="s">
        <v>4318</v>
      </c>
      <c r="C495" s="7" t="s">
        <v>4319</v>
      </c>
      <c r="D495" s="7" t="s">
        <v>291</v>
      </c>
      <c r="E495" s="7" t="s">
        <v>2937</v>
      </c>
      <c r="F495" s="9">
        <v>6.72662</v>
      </c>
      <c r="G495" s="9">
        <v>100.062737</v>
      </c>
      <c r="H495" s="7" t="s">
        <v>1951</v>
      </c>
      <c r="I495" s="9">
        <v>14.09</v>
      </c>
      <c r="J495" s="28"/>
      <c r="K495" s="28"/>
      <c r="L495" s="28"/>
      <c r="M495" s="9">
        <v>16.2</v>
      </c>
      <c r="N495" s="7" t="s">
        <v>2894</v>
      </c>
      <c r="O495" s="7" t="s">
        <v>583</v>
      </c>
      <c r="P495" s="9">
        <v>3.0</v>
      </c>
      <c r="Q495" s="28"/>
      <c r="R495" s="9">
        <v>202.4</v>
      </c>
      <c r="S495" s="7" t="s">
        <v>584</v>
      </c>
      <c r="T495" s="7" t="b">
        <v>0</v>
      </c>
      <c r="U495" s="7" t="s">
        <v>585</v>
      </c>
      <c r="V495" s="27" t="s">
        <v>586</v>
      </c>
      <c r="W495" s="7" t="s">
        <v>4320</v>
      </c>
      <c r="X495" s="28"/>
      <c r="Y495" s="28"/>
      <c r="Z495" s="28"/>
    </row>
    <row r="496">
      <c r="A496" s="7" t="s">
        <v>4321</v>
      </c>
      <c r="B496" s="7" t="s">
        <v>4322</v>
      </c>
      <c r="C496" s="7" t="s">
        <v>4323</v>
      </c>
      <c r="D496" s="7" t="s">
        <v>208</v>
      </c>
      <c r="E496" s="7" t="s">
        <v>3387</v>
      </c>
      <c r="F496" s="9">
        <v>17.31229</v>
      </c>
      <c r="G496" s="9">
        <v>101.772461</v>
      </c>
      <c r="H496" s="7" t="s">
        <v>618</v>
      </c>
      <c r="I496" s="9">
        <v>241.73</v>
      </c>
      <c r="J496" s="28"/>
      <c r="K496" s="28"/>
      <c r="L496" s="28"/>
      <c r="M496" s="9"/>
      <c r="N496" s="7" t="s">
        <v>2894</v>
      </c>
      <c r="O496" s="7" t="s">
        <v>583</v>
      </c>
      <c r="P496" s="9">
        <v>3.0</v>
      </c>
      <c r="Q496" s="28"/>
      <c r="R496" s="9">
        <v>82.4</v>
      </c>
      <c r="S496" s="7" t="s">
        <v>584</v>
      </c>
      <c r="T496" s="7" t="b">
        <v>0</v>
      </c>
      <c r="U496" s="7" t="s">
        <v>585</v>
      </c>
      <c r="V496" s="27" t="s">
        <v>586</v>
      </c>
      <c r="W496" s="7" t="s">
        <v>4324</v>
      </c>
      <c r="X496" s="28"/>
      <c r="Y496" s="28"/>
      <c r="Z496" s="28"/>
    </row>
    <row r="497">
      <c r="A497" s="7" t="s">
        <v>4325</v>
      </c>
      <c r="B497" s="7" t="s">
        <v>4326</v>
      </c>
      <c r="C497" s="7" t="s">
        <v>4327</v>
      </c>
      <c r="D497" s="7" t="s">
        <v>82</v>
      </c>
      <c r="E497" s="7"/>
      <c r="F497" s="9">
        <v>17.586782</v>
      </c>
      <c r="G497" s="9">
        <v>99.81109</v>
      </c>
      <c r="H497" s="7" t="s">
        <v>576</v>
      </c>
      <c r="I497" s="9">
        <v>82.89</v>
      </c>
      <c r="J497" s="28"/>
      <c r="K497" s="28"/>
      <c r="L497" s="28"/>
      <c r="M497" s="9"/>
      <c r="N497" s="7" t="s">
        <v>2894</v>
      </c>
      <c r="O497" s="7" t="s">
        <v>583</v>
      </c>
      <c r="P497" s="9">
        <v>3.0</v>
      </c>
      <c r="Q497" s="28"/>
      <c r="R497" s="9">
        <v>12.4</v>
      </c>
      <c r="S497" s="7" t="s">
        <v>584</v>
      </c>
      <c r="T497" s="7" t="b">
        <v>0</v>
      </c>
      <c r="U497" s="7" t="s">
        <v>585</v>
      </c>
      <c r="V497" s="27" t="s">
        <v>586</v>
      </c>
      <c r="W497" s="7" t="s">
        <v>4331</v>
      </c>
      <c r="X497" s="28"/>
      <c r="Y497" s="28"/>
      <c r="Z497" s="28"/>
    </row>
    <row r="498">
      <c r="A498" s="7" t="s">
        <v>4333</v>
      </c>
      <c r="B498" s="7" t="s">
        <v>4334</v>
      </c>
      <c r="C498" s="7" t="s">
        <v>4335</v>
      </c>
      <c r="D498" s="7" t="s">
        <v>84</v>
      </c>
      <c r="E498" s="7" t="s">
        <v>2799</v>
      </c>
      <c r="F498" s="9">
        <v>16.47816</v>
      </c>
      <c r="G498" s="9">
        <v>99.51866</v>
      </c>
      <c r="H498" s="7" t="s">
        <v>576</v>
      </c>
      <c r="I498" s="9">
        <v>73.14</v>
      </c>
      <c r="J498" s="28"/>
      <c r="K498" s="28"/>
      <c r="L498" s="28"/>
      <c r="M498" s="9"/>
      <c r="N498" s="7" t="s">
        <v>2894</v>
      </c>
      <c r="O498" s="7" t="s">
        <v>583</v>
      </c>
      <c r="P498" s="9">
        <v>3.0</v>
      </c>
      <c r="Q498" s="28"/>
      <c r="R498" s="9">
        <v>12.4</v>
      </c>
      <c r="S498" s="7" t="s">
        <v>584</v>
      </c>
      <c r="T498" s="7" t="b">
        <v>0</v>
      </c>
      <c r="U498" s="7" t="s">
        <v>585</v>
      </c>
      <c r="V498" s="27" t="s">
        <v>586</v>
      </c>
      <c r="W498" s="7" t="s">
        <v>4338</v>
      </c>
      <c r="X498" s="28"/>
      <c r="Y498" s="28"/>
      <c r="Z498" s="28"/>
    </row>
    <row r="499">
      <c r="A499" s="7" t="s">
        <v>4339</v>
      </c>
      <c r="B499" s="7" t="s">
        <v>4340</v>
      </c>
      <c r="C499" s="7" t="s">
        <v>4341</v>
      </c>
      <c r="D499" s="7" t="s">
        <v>283</v>
      </c>
      <c r="E499" s="7" t="s">
        <v>3135</v>
      </c>
      <c r="F499" s="9">
        <v>10.59451</v>
      </c>
      <c r="G499" s="9">
        <v>99.141769</v>
      </c>
      <c r="H499" s="7" t="s">
        <v>1951</v>
      </c>
      <c r="I499" s="9">
        <v>4.68</v>
      </c>
      <c r="J499" s="28"/>
      <c r="K499" s="28"/>
      <c r="L499" s="28"/>
      <c r="M499" s="9"/>
      <c r="N499" s="7" t="s">
        <v>2894</v>
      </c>
      <c r="O499" s="7" t="s">
        <v>583</v>
      </c>
      <c r="P499" s="9">
        <v>3.0</v>
      </c>
      <c r="Q499" s="28"/>
      <c r="R499" s="9">
        <v>202.4</v>
      </c>
      <c r="S499" s="7" t="s">
        <v>584</v>
      </c>
      <c r="T499" s="7" t="b">
        <v>0</v>
      </c>
      <c r="U499" s="7" t="s">
        <v>585</v>
      </c>
      <c r="V499" s="27" t="s">
        <v>586</v>
      </c>
      <c r="W499" s="7" t="s">
        <v>4342</v>
      </c>
      <c r="X499" s="28"/>
      <c r="Y499" s="28"/>
      <c r="Z499" s="28"/>
    </row>
    <row r="500">
      <c r="A500" s="7" t="s">
        <v>4343</v>
      </c>
      <c r="B500" s="7" t="s">
        <v>4344</v>
      </c>
      <c r="C500" s="7" t="s">
        <v>4345</v>
      </c>
      <c r="D500" s="7" t="s">
        <v>9</v>
      </c>
      <c r="E500" s="7"/>
      <c r="F500" s="9">
        <v>18.507551</v>
      </c>
      <c r="G500" s="9">
        <v>98.66203</v>
      </c>
      <c r="H500" s="7" t="s">
        <v>576</v>
      </c>
      <c r="I500" s="9">
        <v>429.72</v>
      </c>
      <c r="J500" s="28"/>
      <c r="K500" s="28"/>
      <c r="L500" s="28"/>
      <c r="M500" s="9"/>
      <c r="N500" s="7" t="s">
        <v>2894</v>
      </c>
      <c r="O500" s="7" t="s">
        <v>583</v>
      </c>
      <c r="P500" s="9">
        <v>3.0</v>
      </c>
      <c r="Q500" s="28"/>
      <c r="R500" s="9">
        <v>12.4</v>
      </c>
      <c r="S500" s="7" t="s">
        <v>584</v>
      </c>
      <c r="T500" s="7" t="b">
        <v>0</v>
      </c>
      <c r="U500" s="7" t="s">
        <v>585</v>
      </c>
      <c r="V500" s="27" t="s">
        <v>586</v>
      </c>
      <c r="W500" s="7" t="s">
        <v>4346</v>
      </c>
      <c r="X500" s="28"/>
      <c r="Y500" s="28"/>
      <c r="Z500" s="28"/>
    </row>
    <row r="501">
      <c r="A501" s="7" t="s">
        <v>4347</v>
      </c>
      <c r="B501" s="7" t="s">
        <v>4348</v>
      </c>
      <c r="C501" s="7" t="s">
        <v>4349</v>
      </c>
      <c r="D501" s="7" t="s">
        <v>9</v>
      </c>
      <c r="E501" s="7" t="s">
        <v>4350</v>
      </c>
      <c r="F501" s="9">
        <v>19.369551</v>
      </c>
      <c r="G501" s="9">
        <v>98.969101</v>
      </c>
      <c r="H501" s="7" t="s">
        <v>3579</v>
      </c>
      <c r="I501" s="9">
        <v>380.09</v>
      </c>
      <c r="J501" s="28"/>
      <c r="K501" s="28"/>
      <c r="L501" s="28"/>
      <c r="M501" s="9"/>
      <c r="N501" s="7" t="s">
        <v>2894</v>
      </c>
      <c r="O501" s="7" t="s">
        <v>583</v>
      </c>
      <c r="P501" s="9">
        <v>3.0</v>
      </c>
      <c r="Q501" s="28"/>
      <c r="R501" s="9">
        <v>262.4</v>
      </c>
      <c r="S501" s="7" t="s">
        <v>584</v>
      </c>
      <c r="T501" s="7" t="b">
        <v>0</v>
      </c>
      <c r="U501" s="7" t="s">
        <v>585</v>
      </c>
      <c r="V501" s="27" t="s">
        <v>586</v>
      </c>
      <c r="W501" s="7" t="s">
        <v>4351</v>
      </c>
      <c r="X501" s="28"/>
      <c r="Y501" s="28"/>
      <c r="Z501" s="28"/>
    </row>
    <row r="502">
      <c r="A502" s="7" t="s">
        <v>4352</v>
      </c>
      <c r="B502" s="7" t="s">
        <v>4353</v>
      </c>
      <c r="C502" s="7" t="s">
        <v>4354</v>
      </c>
      <c r="D502" s="7" t="s">
        <v>61</v>
      </c>
      <c r="E502" s="7" t="s">
        <v>2587</v>
      </c>
      <c r="F502" s="9">
        <v>17.12855</v>
      </c>
      <c r="G502" s="9">
        <v>100.588066</v>
      </c>
      <c r="H502" s="7" t="s">
        <v>618</v>
      </c>
      <c r="I502" s="9">
        <v>162.56</v>
      </c>
      <c r="J502" s="28"/>
      <c r="K502" s="28"/>
      <c r="L502" s="28"/>
      <c r="M502" s="9"/>
      <c r="N502" s="7" t="s">
        <v>2894</v>
      </c>
      <c r="O502" s="7" t="s">
        <v>583</v>
      </c>
      <c r="P502" s="9">
        <v>3.0</v>
      </c>
      <c r="Q502" s="28"/>
      <c r="R502" s="9">
        <v>82.4</v>
      </c>
      <c r="S502" s="7" t="s">
        <v>584</v>
      </c>
      <c r="T502" s="7" t="b">
        <v>0</v>
      </c>
      <c r="U502" s="7" t="s">
        <v>585</v>
      </c>
      <c r="V502" s="27" t="s">
        <v>586</v>
      </c>
      <c r="W502" s="7" t="s">
        <v>4356</v>
      </c>
      <c r="X502" s="28"/>
      <c r="Y502" s="28"/>
      <c r="Z502" s="28"/>
    </row>
    <row r="503">
      <c r="A503" s="7" t="s">
        <v>4357</v>
      </c>
      <c r="B503" s="7" t="s">
        <v>4358</v>
      </c>
      <c r="C503" s="7" t="s">
        <v>4359</v>
      </c>
      <c r="D503" s="7" t="s">
        <v>260</v>
      </c>
      <c r="E503" s="7" t="s">
        <v>3921</v>
      </c>
      <c r="F503" s="9">
        <v>8.537499</v>
      </c>
      <c r="G503" s="9">
        <v>99.181015</v>
      </c>
      <c r="H503" s="7" t="s">
        <v>576</v>
      </c>
      <c r="I503" s="9">
        <v>8.12</v>
      </c>
      <c r="J503" s="28"/>
      <c r="K503" s="28"/>
      <c r="L503" s="28"/>
      <c r="M503" s="9"/>
      <c r="N503" s="7" t="s">
        <v>2894</v>
      </c>
      <c r="O503" s="7" t="s">
        <v>583</v>
      </c>
      <c r="P503" s="9">
        <v>3.0</v>
      </c>
      <c r="Q503" s="28"/>
      <c r="R503" s="9">
        <v>12.4</v>
      </c>
      <c r="S503" s="7" t="s">
        <v>584</v>
      </c>
      <c r="T503" s="7" t="b">
        <v>0</v>
      </c>
      <c r="U503" s="7" t="s">
        <v>585</v>
      </c>
      <c r="V503" s="27" t="s">
        <v>586</v>
      </c>
      <c r="W503" s="7" t="s">
        <v>4360</v>
      </c>
      <c r="X503" s="28"/>
      <c r="Y503" s="28"/>
      <c r="Z503" s="28"/>
    </row>
    <row r="504">
      <c r="A504" s="7" t="s">
        <v>4361</v>
      </c>
      <c r="B504" s="7" t="s">
        <v>4362</v>
      </c>
      <c r="C504" s="7" t="s">
        <v>4363</v>
      </c>
      <c r="D504" s="7" t="s">
        <v>240</v>
      </c>
      <c r="E504" s="7" t="s">
        <v>3700</v>
      </c>
      <c r="F504" s="9">
        <v>14.64329</v>
      </c>
      <c r="G504" s="9">
        <v>104.6595</v>
      </c>
      <c r="H504" s="7" t="s">
        <v>618</v>
      </c>
      <c r="I504" s="9">
        <v>144.14</v>
      </c>
      <c r="J504" s="28"/>
      <c r="K504" s="28"/>
      <c r="L504" s="28"/>
      <c r="M504" s="9"/>
      <c r="N504" s="7" t="s">
        <v>2894</v>
      </c>
      <c r="O504" s="7" t="s">
        <v>583</v>
      </c>
      <c r="P504" s="9">
        <v>3.0</v>
      </c>
      <c r="Q504" s="28"/>
      <c r="R504" s="9">
        <v>82.4</v>
      </c>
      <c r="S504" s="7" t="s">
        <v>584</v>
      </c>
      <c r="T504" s="7" t="b">
        <v>0</v>
      </c>
      <c r="U504" s="7" t="s">
        <v>585</v>
      </c>
      <c r="V504" s="27" t="s">
        <v>586</v>
      </c>
      <c r="W504" s="7" t="s">
        <v>4364</v>
      </c>
      <c r="X504" s="28"/>
      <c r="Y504" s="28"/>
      <c r="Z504" s="28"/>
    </row>
    <row r="505">
      <c r="A505" s="7" t="s">
        <v>4365</v>
      </c>
      <c r="B505" s="7" t="s">
        <v>4366</v>
      </c>
      <c r="C505" s="7" t="s">
        <v>1831</v>
      </c>
      <c r="D505" s="7" t="s">
        <v>9</v>
      </c>
      <c r="E505" s="7" t="s">
        <v>3202</v>
      </c>
      <c r="F505" s="9">
        <v>18.69521</v>
      </c>
      <c r="G505" s="9">
        <v>99.078751</v>
      </c>
      <c r="H505" s="7" t="s">
        <v>3579</v>
      </c>
      <c r="I505" s="9">
        <v>292.14</v>
      </c>
      <c r="J505" s="28"/>
      <c r="K505" s="28"/>
      <c r="L505" s="9"/>
      <c r="M505" s="9"/>
      <c r="N505" s="7" t="s">
        <v>2894</v>
      </c>
      <c r="O505" s="7" t="s">
        <v>583</v>
      </c>
      <c r="P505" s="9">
        <v>3.0</v>
      </c>
      <c r="Q505" s="28"/>
      <c r="R505" s="9">
        <v>262.4</v>
      </c>
      <c r="S505" s="7" t="s">
        <v>584</v>
      </c>
      <c r="T505" s="7" t="b">
        <v>0</v>
      </c>
      <c r="U505" s="7" t="s">
        <v>585</v>
      </c>
      <c r="V505" s="27" t="s">
        <v>586</v>
      </c>
      <c r="W505" s="7" t="s">
        <v>4369</v>
      </c>
      <c r="X505" s="28"/>
      <c r="Y505" s="28"/>
      <c r="Z505" s="28"/>
    </row>
    <row r="506">
      <c r="A506" s="7" t="s">
        <v>4371</v>
      </c>
      <c r="B506" s="7" t="s">
        <v>4372</v>
      </c>
      <c r="C506" s="7" t="s">
        <v>4374</v>
      </c>
      <c r="D506" s="7" t="s">
        <v>260</v>
      </c>
      <c r="E506" s="7" t="s">
        <v>4375</v>
      </c>
      <c r="F506" s="9">
        <v>9.282515</v>
      </c>
      <c r="G506" s="9">
        <v>98.87693</v>
      </c>
      <c r="H506" s="7" t="s">
        <v>576</v>
      </c>
      <c r="I506" s="9">
        <v>47.12</v>
      </c>
      <c r="J506" s="28"/>
      <c r="K506" s="28"/>
      <c r="L506" s="28"/>
      <c r="M506" s="9"/>
      <c r="N506" s="7" t="s">
        <v>2894</v>
      </c>
      <c r="O506" s="7" t="s">
        <v>583</v>
      </c>
      <c r="P506" s="9">
        <v>3.0</v>
      </c>
      <c r="Q506" s="28"/>
      <c r="R506" s="9">
        <v>12.4</v>
      </c>
      <c r="S506" s="7" t="s">
        <v>584</v>
      </c>
      <c r="T506" s="7" t="b">
        <v>0</v>
      </c>
      <c r="U506" s="7" t="s">
        <v>585</v>
      </c>
      <c r="V506" s="27" t="s">
        <v>586</v>
      </c>
      <c r="W506" s="7" t="s">
        <v>4380</v>
      </c>
      <c r="X506" s="28"/>
      <c r="Y506" s="28"/>
      <c r="Z506" s="28"/>
    </row>
    <row r="507">
      <c r="A507" s="7" t="s">
        <v>4381</v>
      </c>
      <c r="B507" s="7" t="s">
        <v>4382</v>
      </c>
      <c r="C507" s="7" t="s">
        <v>4383</v>
      </c>
      <c r="D507" s="7" t="s">
        <v>53</v>
      </c>
      <c r="E507" s="7"/>
      <c r="F507" s="9">
        <v>20.444576</v>
      </c>
      <c r="G507" s="9">
        <v>99.87177</v>
      </c>
      <c r="H507" s="7" t="s">
        <v>576</v>
      </c>
      <c r="I507" s="9">
        <v>396.16</v>
      </c>
      <c r="J507" s="28"/>
      <c r="K507" s="28"/>
      <c r="L507" s="28"/>
      <c r="M507" s="9"/>
      <c r="N507" s="7" t="s">
        <v>2894</v>
      </c>
      <c r="O507" s="7" t="s">
        <v>583</v>
      </c>
      <c r="P507" s="9">
        <v>3.0</v>
      </c>
      <c r="Q507" s="28"/>
      <c r="R507" s="9">
        <v>12.4</v>
      </c>
      <c r="S507" s="7" t="s">
        <v>584</v>
      </c>
      <c r="T507" s="7" t="b">
        <v>0</v>
      </c>
      <c r="U507" s="7" t="s">
        <v>585</v>
      </c>
      <c r="V507" s="27" t="s">
        <v>586</v>
      </c>
      <c r="W507" s="7" t="s">
        <v>4384</v>
      </c>
      <c r="X507" s="28"/>
      <c r="Y507" s="28"/>
      <c r="Z507" s="28"/>
    </row>
    <row r="508">
      <c r="A508" s="7" t="s">
        <v>4385</v>
      </c>
      <c r="B508" s="7" t="s">
        <v>4386</v>
      </c>
      <c r="C508" s="7" t="s">
        <v>4387</v>
      </c>
      <c r="D508" s="7" t="s">
        <v>84</v>
      </c>
      <c r="E508" s="7" t="s">
        <v>1202</v>
      </c>
      <c r="F508" s="9">
        <v>15.90176</v>
      </c>
      <c r="G508" s="9">
        <v>99.4704</v>
      </c>
      <c r="H508" s="7" t="s">
        <v>576</v>
      </c>
      <c r="I508" s="9">
        <v>109.83</v>
      </c>
      <c r="J508" s="28"/>
      <c r="K508" s="28"/>
      <c r="L508" s="28"/>
      <c r="M508" s="9"/>
      <c r="N508" s="7" t="s">
        <v>2894</v>
      </c>
      <c r="O508" s="7" t="s">
        <v>583</v>
      </c>
      <c r="P508" s="9">
        <v>3.0</v>
      </c>
      <c r="Q508" s="28"/>
      <c r="R508" s="9">
        <v>12.4</v>
      </c>
      <c r="S508" s="7" t="s">
        <v>584</v>
      </c>
      <c r="T508" s="7" t="b">
        <v>0</v>
      </c>
      <c r="U508" s="7" t="s">
        <v>585</v>
      </c>
      <c r="V508" s="27" t="s">
        <v>586</v>
      </c>
      <c r="W508" s="7" t="s">
        <v>4388</v>
      </c>
      <c r="X508" s="28"/>
      <c r="Y508" s="28"/>
      <c r="Z508" s="28"/>
    </row>
    <row r="509">
      <c r="A509" s="7" t="s">
        <v>4389</v>
      </c>
      <c r="B509" s="7" t="s">
        <v>4390</v>
      </c>
      <c r="C509" s="7" t="s">
        <v>4391</v>
      </c>
      <c r="D509" s="7" t="s">
        <v>175</v>
      </c>
      <c r="E509" s="7" t="s">
        <v>4392</v>
      </c>
      <c r="F509" s="9">
        <v>12.74451</v>
      </c>
      <c r="G509" s="9">
        <v>102.206421</v>
      </c>
      <c r="H509" s="7" t="s">
        <v>618</v>
      </c>
      <c r="I509" s="9">
        <v>8.29</v>
      </c>
      <c r="J509" s="28"/>
      <c r="K509" s="28"/>
      <c r="L509" s="9"/>
      <c r="M509" s="9"/>
      <c r="N509" s="7" t="s">
        <v>2894</v>
      </c>
      <c r="O509" s="7" t="s">
        <v>583</v>
      </c>
      <c r="P509" s="9">
        <v>3.0</v>
      </c>
      <c r="Q509" s="28"/>
      <c r="R509" s="9">
        <v>82.4</v>
      </c>
      <c r="S509" s="7" t="s">
        <v>584</v>
      </c>
      <c r="T509" s="7" t="b">
        <v>0</v>
      </c>
      <c r="U509" s="7" t="s">
        <v>585</v>
      </c>
      <c r="V509" s="27" t="s">
        <v>586</v>
      </c>
      <c r="W509" s="7" t="s">
        <v>4393</v>
      </c>
      <c r="X509" s="28"/>
      <c r="Y509" s="28"/>
      <c r="Z509" s="28"/>
    </row>
    <row r="510">
      <c r="A510" s="7" t="s">
        <v>4394</v>
      </c>
      <c r="B510" s="7" t="s">
        <v>4395</v>
      </c>
      <c r="C510" s="7" t="s">
        <v>4396</v>
      </c>
      <c r="D510" s="7" t="s">
        <v>250</v>
      </c>
      <c r="E510" s="7" t="s">
        <v>4397</v>
      </c>
      <c r="F510" s="9">
        <v>15.80624</v>
      </c>
      <c r="G510" s="9">
        <v>104.32795</v>
      </c>
      <c r="H510" s="7" t="s">
        <v>618</v>
      </c>
      <c r="I510" s="9">
        <v>125.63</v>
      </c>
      <c r="J510" s="28"/>
      <c r="K510" s="28"/>
      <c r="L510" s="9"/>
      <c r="M510" s="9"/>
      <c r="N510" s="7" t="s">
        <v>2894</v>
      </c>
      <c r="O510" s="7" t="s">
        <v>583</v>
      </c>
      <c r="P510" s="9">
        <v>3.0</v>
      </c>
      <c r="Q510" s="28"/>
      <c r="R510" s="9">
        <v>82.4</v>
      </c>
      <c r="S510" s="7" t="s">
        <v>584</v>
      </c>
      <c r="T510" s="7" t="b">
        <v>0</v>
      </c>
      <c r="U510" s="7" t="s">
        <v>585</v>
      </c>
      <c r="V510" s="27" t="s">
        <v>586</v>
      </c>
      <c r="W510" s="7" t="s">
        <v>4399</v>
      </c>
      <c r="X510" s="28"/>
      <c r="Y510" s="28"/>
      <c r="Z510" s="28"/>
    </row>
    <row r="511">
      <c r="A511" s="7" t="s">
        <v>4400</v>
      </c>
      <c r="B511" s="7" t="s">
        <v>4401</v>
      </c>
      <c r="C511" s="7" t="s">
        <v>4402</v>
      </c>
      <c r="D511" s="7" t="s">
        <v>286</v>
      </c>
      <c r="E511" s="7" t="s">
        <v>2152</v>
      </c>
      <c r="F511" s="9">
        <v>6.931234</v>
      </c>
      <c r="G511" s="9">
        <v>100.43985</v>
      </c>
      <c r="H511" s="7" t="s">
        <v>576</v>
      </c>
      <c r="I511" s="9">
        <v>2.63</v>
      </c>
      <c r="J511" s="28"/>
      <c r="K511" s="28"/>
      <c r="L511" s="9"/>
      <c r="M511" s="9"/>
      <c r="N511" s="7" t="s">
        <v>2894</v>
      </c>
      <c r="O511" s="7" t="s">
        <v>583</v>
      </c>
      <c r="P511" s="9">
        <v>3.0</v>
      </c>
      <c r="Q511" s="28"/>
      <c r="R511" s="9">
        <v>12.4</v>
      </c>
      <c r="S511" s="7" t="s">
        <v>584</v>
      </c>
      <c r="T511" s="7" t="b">
        <v>0</v>
      </c>
      <c r="U511" s="7" t="s">
        <v>585</v>
      </c>
      <c r="V511" s="27" t="s">
        <v>586</v>
      </c>
      <c r="W511" s="7" t="s">
        <v>4403</v>
      </c>
      <c r="X511" s="28"/>
      <c r="Y511" s="28"/>
      <c r="Z511" s="28"/>
    </row>
    <row r="512">
      <c r="A512" s="7" t="s">
        <v>4404</v>
      </c>
      <c r="B512" s="7" t="s">
        <v>4405</v>
      </c>
      <c r="C512" s="7" t="s">
        <v>4406</v>
      </c>
      <c r="D512" s="7" t="s">
        <v>67</v>
      </c>
      <c r="E512" s="7" t="s">
        <v>3334</v>
      </c>
      <c r="F512" s="9">
        <v>18.519119</v>
      </c>
      <c r="G512" s="9">
        <v>98.942291</v>
      </c>
      <c r="H512" s="7" t="s">
        <v>3579</v>
      </c>
      <c r="I512" s="9">
        <v>289.38</v>
      </c>
      <c r="J512" s="28"/>
      <c r="K512" s="28"/>
      <c r="L512" s="28"/>
      <c r="M512" s="9"/>
      <c r="N512" s="7" t="s">
        <v>2894</v>
      </c>
      <c r="O512" s="7" t="s">
        <v>583</v>
      </c>
      <c r="P512" s="9">
        <v>3.0</v>
      </c>
      <c r="Q512" s="28"/>
      <c r="R512" s="9">
        <v>262.4</v>
      </c>
      <c r="S512" s="7" t="s">
        <v>584</v>
      </c>
      <c r="T512" s="7" t="b">
        <v>0</v>
      </c>
      <c r="U512" s="7" t="s">
        <v>585</v>
      </c>
      <c r="V512" s="27" t="s">
        <v>586</v>
      </c>
      <c r="W512" s="7" t="s">
        <v>4407</v>
      </c>
      <c r="X512" s="28"/>
      <c r="Y512" s="28"/>
      <c r="Z512" s="28"/>
    </row>
    <row r="513">
      <c r="A513" s="7" t="s">
        <v>4408</v>
      </c>
      <c r="B513" s="7" t="s">
        <v>4409</v>
      </c>
      <c r="C513" s="7" t="s">
        <v>4410</v>
      </c>
      <c r="D513" s="7" t="s">
        <v>193</v>
      </c>
      <c r="E513" s="7" t="s">
        <v>2542</v>
      </c>
      <c r="F513" s="9">
        <v>16.23231</v>
      </c>
      <c r="G513" s="9">
        <v>103.27106</v>
      </c>
      <c r="H513" s="7" t="s">
        <v>576</v>
      </c>
      <c r="I513" s="9">
        <v>137.51</v>
      </c>
      <c r="J513" s="28"/>
      <c r="K513" s="28"/>
      <c r="L513" s="28"/>
      <c r="M513" s="9"/>
      <c r="N513" s="7" t="s">
        <v>2894</v>
      </c>
      <c r="O513" s="7" t="s">
        <v>583</v>
      </c>
      <c r="P513" s="9">
        <v>3.0</v>
      </c>
      <c r="Q513" s="28"/>
      <c r="R513" s="9">
        <v>12.4</v>
      </c>
      <c r="S513" s="7" t="s">
        <v>584</v>
      </c>
      <c r="T513" s="7" t="b">
        <v>0</v>
      </c>
      <c r="U513" s="7" t="s">
        <v>585</v>
      </c>
      <c r="V513" s="27" t="s">
        <v>586</v>
      </c>
      <c r="W513" s="7" t="s">
        <v>4415</v>
      </c>
      <c r="X513" s="28"/>
      <c r="Y513" s="28"/>
      <c r="Z513" s="28"/>
    </row>
    <row r="514">
      <c r="A514" s="7" t="s">
        <v>4416</v>
      </c>
      <c r="B514" s="7" t="s">
        <v>4417</v>
      </c>
      <c r="C514" s="7" t="s">
        <v>4418</v>
      </c>
      <c r="D514" s="7" t="s">
        <v>74</v>
      </c>
      <c r="E514" s="7"/>
      <c r="F514" s="9">
        <v>17.049092</v>
      </c>
      <c r="G514" s="9">
        <v>99.066017</v>
      </c>
      <c r="H514" s="7" t="s">
        <v>923</v>
      </c>
      <c r="I514" s="9">
        <v>119.38</v>
      </c>
      <c r="J514" s="28"/>
      <c r="K514" s="28"/>
      <c r="L514" s="9"/>
      <c r="M514" s="9">
        <v>121.95</v>
      </c>
      <c r="N514" s="7" t="s">
        <v>2894</v>
      </c>
      <c r="O514" s="7" t="s">
        <v>583</v>
      </c>
      <c r="P514" s="9">
        <v>3.0</v>
      </c>
      <c r="Q514" s="28"/>
      <c r="R514" s="9">
        <v>22.4</v>
      </c>
      <c r="S514" s="7" t="s">
        <v>584</v>
      </c>
      <c r="T514" s="7" t="b">
        <v>0</v>
      </c>
      <c r="U514" s="7" t="s">
        <v>585</v>
      </c>
      <c r="V514" s="27" t="s">
        <v>586</v>
      </c>
      <c r="W514" s="7" t="s">
        <v>4422</v>
      </c>
      <c r="X514" s="28"/>
      <c r="Y514" s="28"/>
      <c r="Z514" s="28"/>
    </row>
    <row r="515">
      <c r="A515" s="7" t="s">
        <v>4423</v>
      </c>
      <c r="B515" s="7" t="s">
        <v>4424</v>
      </c>
      <c r="C515" s="7" t="s">
        <v>4425</v>
      </c>
      <c r="D515" s="7" t="s">
        <v>301</v>
      </c>
      <c r="E515" s="7" t="s">
        <v>2571</v>
      </c>
      <c r="F515" s="9">
        <v>6.160477</v>
      </c>
      <c r="G515" s="9">
        <v>101.276104</v>
      </c>
      <c r="H515" s="7" t="s">
        <v>923</v>
      </c>
      <c r="I515" s="9">
        <v>43.22</v>
      </c>
      <c r="J515" s="28"/>
      <c r="K515" s="28"/>
      <c r="L515" s="28"/>
      <c r="M515" s="9">
        <v>48.678</v>
      </c>
      <c r="N515" s="7" t="s">
        <v>2894</v>
      </c>
      <c r="O515" s="7" t="s">
        <v>583</v>
      </c>
      <c r="P515" s="9">
        <v>3.0</v>
      </c>
      <c r="Q515" s="28"/>
      <c r="R515" s="9">
        <v>22.4</v>
      </c>
      <c r="S515" s="7" t="s">
        <v>584</v>
      </c>
      <c r="T515" s="7" t="b">
        <v>0</v>
      </c>
      <c r="U515" s="7" t="s">
        <v>585</v>
      </c>
      <c r="V515" s="27" t="s">
        <v>586</v>
      </c>
      <c r="W515" s="7" t="s">
        <v>4426</v>
      </c>
      <c r="X515" s="28"/>
      <c r="Y515" s="28"/>
      <c r="Z515" s="28"/>
    </row>
    <row r="516">
      <c r="A516" s="7" t="s">
        <v>4427</v>
      </c>
      <c r="B516" s="7" t="s">
        <v>4428</v>
      </c>
      <c r="C516" s="7" t="s">
        <v>4429</v>
      </c>
      <c r="D516" s="7" t="s">
        <v>259</v>
      </c>
      <c r="E516" s="7" t="s">
        <v>2906</v>
      </c>
      <c r="F516" s="9">
        <v>8.218343</v>
      </c>
      <c r="G516" s="9">
        <v>99.71981</v>
      </c>
      <c r="H516" s="7" t="s">
        <v>576</v>
      </c>
      <c r="I516" s="9">
        <v>93.27</v>
      </c>
      <c r="J516" s="28"/>
      <c r="K516" s="28"/>
      <c r="L516" s="9"/>
      <c r="M516" s="9"/>
      <c r="N516" s="7" t="s">
        <v>2894</v>
      </c>
      <c r="O516" s="7" t="s">
        <v>583</v>
      </c>
      <c r="P516" s="9">
        <v>3.0</v>
      </c>
      <c r="Q516" s="28"/>
      <c r="R516" s="9">
        <v>12.4</v>
      </c>
      <c r="S516" s="7" t="s">
        <v>584</v>
      </c>
      <c r="T516" s="7" t="b">
        <v>0</v>
      </c>
      <c r="U516" s="7" t="s">
        <v>585</v>
      </c>
      <c r="V516" s="27" t="s">
        <v>586</v>
      </c>
      <c r="W516" s="7" t="s">
        <v>4430</v>
      </c>
      <c r="X516" s="28"/>
      <c r="Y516" s="28"/>
      <c r="Z516" s="28"/>
    </row>
    <row r="517">
      <c r="A517" s="7" t="s">
        <v>4431</v>
      </c>
      <c r="B517" s="7" t="s">
        <v>4432</v>
      </c>
      <c r="C517" s="7" t="s">
        <v>4433</v>
      </c>
      <c r="D517" s="7" t="s">
        <v>286</v>
      </c>
      <c r="E517" s="7" t="s">
        <v>2152</v>
      </c>
      <c r="F517" s="9">
        <v>6.93124</v>
      </c>
      <c r="G517" s="9">
        <v>100.439857</v>
      </c>
      <c r="H517" s="7" t="s">
        <v>1951</v>
      </c>
      <c r="I517" s="9">
        <v>2.69</v>
      </c>
      <c r="J517" s="28"/>
      <c r="K517" s="28"/>
      <c r="L517" s="9"/>
      <c r="M517" s="9"/>
      <c r="N517" s="7" t="s">
        <v>2894</v>
      </c>
      <c r="O517" s="7" t="s">
        <v>583</v>
      </c>
      <c r="P517" s="9">
        <v>3.0</v>
      </c>
      <c r="Q517" s="28"/>
      <c r="R517" s="9">
        <v>202.4</v>
      </c>
      <c r="S517" s="7" t="s">
        <v>584</v>
      </c>
      <c r="T517" s="7" t="b">
        <v>0</v>
      </c>
      <c r="U517" s="7" t="s">
        <v>585</v>
      </c>
      <c r="V517" s="27" t="s">
        <v>586</v>
      </c>
      <c r="W517" s="7" t="s">
        <v>4434</v>
      </c>
      <c r="X517" s="28"/>
      <c r="Y517" s="28"/>
      <c r="Z517" s="28"/>
    </row>
    <row r="518">
      <c r="A518" s="7" t="s">
        <v>4435</v>
      </c>
      <c r="B518" s="7" t="s">
        <v>4436</v>
      </c>
      <c r="C518" s="7" t="s">
        <v>4437</v>
      </c>
      <c r="D518" s="7" t="s">
        <v>53</v>
      </c>
      <c r="E518" s="7" t="s">
        <v>4438</v>
      </c>
      <c r="F518" s="9">
        <v>19.71244</v>
      </c>
      <c r="G518" s="9">
        <v>99.620811</v>
      </c>
      <c r="H518" s="7" t="s">
        <v>3579</v>
      </c>
      <c r="I518" s="9">
        <v>433.89</v>
      </c>
      <c r="J518" s="28"/>
      <c r="K518" s="28"/>
      <c r="L518" s="9"/>
      <c r="M518" s="9"/>
      <c r="N518" s="7" t="s">
        <v>2894</v>
      </c>
      <c r="O518" s="7" t="s">
        <v>583</v>
      </c>
      <c r="P518" s="9">
        <v>3.0</v>
      </c>
      <c r="Q518" s="28"/>
      <c r="R518" s="9">
        <v>262.4</v>
      </c>
      <c r="S518" s="7" t="s">
        <v>584</v>
      </c>
      <c r="T518" s="7" t="b">
        <v>0</v>
      </c>
      <c r="U518" s="7" t="s">
        <v>585</v>
      </c>
      <c r="V518" s="27" t="s">
        <v>586</v>
      </c>
      <c r="W518" s="7" t="s">
        <v>4440</v>
      </c>
      <c r="X518" s="28"/>
      <c r="Y518" s="28"/>
      <c r="Z518" s="28"/>
    </row>
    <row r="519">
      <c r="A519" s="7" t="s">
        <v>4441</v>
      </c>
      <c r="B519" s="7" t="s">
        <v>4442</v>
      </c>
      <c r="C519" s="7" t="s">
        <v>4443</v>
      </c>
      <c r="D519" s="7" t="s">
        <v>291</v>
      </c>
      <c r="E519" s="7" t="s">
        <v>4444</v>
      </c>
      <c r="F519" s="9">
        <v>6.928349</v>
      </c>
      <c r="G519" s="9">
        <v>99.936035</v>
      </c>
      <c r="H519" s="7" t="s">
        <v>576</v>
      </c>
      <c r="I519" s="9">
        <v>21.86</v>
      </c>
      <c r="J519" s="28"/>
      <c r="K519" s="28"/>
      <c r="L519" s="9"/>
      <c r="M519" s="9"/>
      <c r="N519" s="7" t="s">
        <v>2894</v>
      </c>
      <c r="O519" s="7" t="s">
        <v>583</v>
      </c>
      <c r="P519" s="9">
        <v>3.0</v>
      </c>
      <c r="Q519" s="28"/>
      <c r="R519" s="9">
        <v>12.4</v>
      </c>
      <c r="S519" s="7" t="s">
        <v>584</v>
      </c>
      <c r="T519" s="7" t="b">
        <v>0</v>
      </c>
      <c r="U519" s="7" t="s">
        <v>585</v>
      </c>
      <c r="V519" s="27" t="s">
        <v>586</v>
      </c>
      <c r="W519" s="7" t="s">
        <v>4445</v>
      </c>
      <c r="X519" s="28"/>
      <c r="Y519" s="28"/>
      <c r="Z519" s="28"/>
    </row>
    <row r="520">
      <c r="A520" s="7" t="s">
        <v>4446</v>
      </c>
      <c r="B520" s="7" t="s">
        <v>4447</v>
      </c>
      <c r="C520" s="7" t="s">
        <v>4448</v>
      </c>
      <c r="D520" s="7" t="s">
        <v>198</v>
      </c>
      <c r="E520" s="7" t="s">
        <v>3608</v>
      </c>
      <c r="F520" s="9">
        <v>17.482571</v>
      </c>
      <c r="G520" s="9">
        <v>102.797394</v>
      </c>
      <c r="H520" s="7" t="s">
        <v>618</v>
      </c>
      <c r="I520" s="9">
        <v>168.37</v>
      </c>
      <c r="J520" s="28"/>
      <c r="K520" s="28"/>
      <c r="L520" s="9"/>
      <c r="M520" s="9"/>
      <c r="N520" s="7" t="s">
        <v>2894</v>
      </c>
      <c r="O520" s="7" t="s">
        <v>583</v>
      </c>
      <c r="P520" s="9">
        <v>3.0</v>
      </c>
      <c r="Q520" s="28"/>
      <c r="R520" s="9">
        <v>82.4</v>
      </c>
      <c r="S520" s="7" t="s">
        <v>584</v>
      </c>
      <c r="T520" s="7" t="b">
        <v>0</v>
      </c>
      <c r="U520" s="7" t="s">
        <v>585</v>
      </c>
      <c r="V520" s="27" t="s">
        <v>586</v>
      </c>
      <c r="W520" s="7" t="s">
        <v>4449</v>
      </c>
      <c r="X520" s="28"/>
      <c r="Y520" s="28"/>
      <c r="Z520" s="28"/>
    </row>
    <row r="521">
      <c r="A521" s="7" t="s">
        <v>4450</v>
      </c>
      <c r="B521" s="7" t="s">
        <v>4451</v>
      </c>
      <c r="C521" s="7" t="s">
        <v>4452</v>
      </c>
      <c r="D521" s="7" t="s">
        <v>283</v>
      </c>
      <c r="E521" s="7" t="s">
        <v>2017</v>
      </c>
      <c r="F521" s="9">
        <v>10.203275</v>
      </c>
      <c r="G521" s="9">
        <v>99.04355</v>
      </c>
      <c r="H521" s="7" t="s">
        <v>923</v>
      </c>
      <c r="I521" s="9">
        <v>1.45</v>
      </c>
      <c r="J521" s="28"/>
      <c r="K521" s="28"/>
      <c r="L521" s="9"/>
      <c r="M521" s="9"/>
      <c r="N521" s="7" t="s">
        <v>2894</v>
      </c>
      <c r="O521" s="7" t="s">
        <v>583</v>
      </c>
      <c r="P521" s="9">
        <v>3.0</v>
      </c>
      <c r="Q521" s="28"/>
      <c r="R521" s="9">
        <v>22.4</v>
      </c>
      <c r="S521" s="7" t="s">
        <v>584</v>
      </c>
      <c r="T521" s="7" t="b">
        <v>0</v>
      </c>
      <c r="U521" s="7" t="s">
        <v>585</v>
      </c>
      <c r="V521" s="27" t="s">
        <v>586</v>
      </c>
      <c r="W521" s="7" t="s">
        <v>4457</v>
      </c>
      <c r="X521" s="28"/>
      <c r="Y521" s="28"/>
      <c r="Z521" s="28"/>
    </row>
    <row r="522">
      <c r="A522" s="7" t="s">
        <v>4458</v>
      </c>
      <c r="B522" s="7" t="s">
        <v>4460</v>
      </c>
      <c r="C522" s="7" t="s">
        <v>515</v>
      </c>
      <c r="D522" s="7" t="s">
        <v>61</v>
      </c>
      <c r="E522" s="7" t="s">
        <v>1047</v>
      </c>
      <c r="F522" s="9">
        <v>16.70818</v>
      </c>
      <c r="G522" s="9">
        <v>100.17179</v>
      </c>
      <c r="H522" s="7" t="s">
        <v>576</v>
      </c>
      <c r="I522" s="9">
        <v>33.48</v>
      </c>
      <c r="J522" s="28"/>
      <c r="K522" s="28"/>
      <c r="L522" s="28"/>
      <c r="M522" s="9"/>
      <c r="N522" s="7" t="s">
        <v>2894</v>
      </c>
      <c r="O522" s="7" t="s">
        <v>583</v>
      </c>
      <c r="P522" s="9">
        <v>3.0</v>
      </c>
      <c r="Q522" s="28"/>
      <c r="R522" s="9">
        <v>12.4</v>
      </c>
      <c r="S522" s="7" t="s">
        <v>584</v>
      </c>
      <c r="T522" s="7" t="b">
        <v>0</v>
      </c>
      <c r="U522" s="7" t="s">
        <v>585</v>
      </c>
      <c r="V522" s="27" t="s">
        <v>586</v>
      </c>
      <c r="W522" s="7" t="s">
        <v>4463</v>
      </c>
      <c r="X522" s="28"/>
      <c r="Y522" s="28"/>
      <c r="Z522" s="28"/>
    </row>
    <row r="523">
      <c r="A523" s="7" t="s">
        <v>4464</v>
      </c>
      <c r="B523" s="7" t="s">
        <v>4465</v>
      </c>
      <c r="C523" s="7" t="s">
        <v>4466</v>
      </c>
      <c r="D523" s="7" t="s">
        <v>65</v>
      </c>
      <c r="E523" s="7" t="s">
        <v>3469</v>
      </c>
      <c r="F523" s="9">
        <v>18.51882</v>
      </c>
      <c r="G523" s="9">
        <v>99.629997</v>
      </c>
      <c r="H523" s="7" t="s">
        <v>3579</v>
      </c>
      <c r="I523" s="9">
        <v>259.58</v>
      </c>
      <c r="J523" s="28"/>
      <c r="K523" s="28"/>
      <c r="L523" s="9"/>
      <c r="M523" s="9"/>
      <c r="N523" s="7" t="s">
        <v>2894</v>
      </c>
      <c r="O523" s="7" t="s">
        <v>583</v>
      </c>
      <c r="P523" s="9">
        <v>3.0</v>
      </c>
      <c r="Q523" s="28"/>
      <c r="R523" s="9">
        <v>262.4</v>
      </c>
      <c r="S523" s="7" t="s">
        <v>584</v>
      </c>
      <c r="T523" s="7" t="b">
        <v>0</v>
      </c>
      <c r="U523" s="7" t="s">
        <v>585</v>
      </c>
      <c r="V523" s="27" t="s">
        <v>586</v>
      </c>
      <c r="W523" s="7" t="s">
        <v>4467</v>
      </c>
      <c r="X523" s="28"/>
      <c r="Y523" s="28"/>
      <c r="Z523" s="28"/>
    </row>
    <row r="524">
      <c r="A524" s="7" t="s">
        <v>4468</v>
      </c>
      <c r="B524" s="7" t="s">
        <v>4469</v>
      </c>
      <c r="C524" s="7" t="s">
        <v>4470</v>
      </c>
      <c r="D524" s="7" t="s">
        <v>224</v>
      </c>
      <c r="E524" s="7" t="s">
        <v>4190</v>
      </c>
      <c r="F524" s="9">
        <v>14.51204</v>
      </c>
      <c r="G524" s="9">
        <v>101.380348</v>
      </c>
      <c r="H524" s="7" t="s">
        <v>618</v>
      </c>
      <c r="I524" s="9">
        <v>372.98</v>
      </c>
      <c r="J524" s="28"/>
      <c r="K524" s="28"/>
      <c r="L524" s="9"/>
      <c r="M524" s="9"/>
      <c r="N524" s="7" t="s">
        <v>2894</v>
      </c>
      <c r="O524" s="7" t="s">
        <v>583</v>
      </c>
      <c r="P524" s="9">
        <v>3.0</v>
      </c>
      <c r="Q524" s="28"/>
      <c r="R524" s="9">
        <v>82.4</v>
      </c>
      <c r="S524" s="7" t="s">
        <v>584</v>
      </c>
      <c r="T524" s="7" t="b">
        <v>0</v>
      </c>
      <c r="U524" s="7" t="s">
        <v>585</v>
      </c>
      <c r="V524" s="27" t="s">
        <v>586</v>
      </c>
      <c r="W524" s="7" t="s">
        <v>4471</v>
      </c>
      <c r="X524" s="28"/>
      <c r="Y524" s="28"/>
      <c r="Z524" s="28"/>
    </row>
    <row r="525">
      <c r="A525" s="7" t="s">
        <v>4472</v>
      </c>
      <c r="B525" s="7" t="s">
        <v>4473</v>
      </c>
      <c r="C525" s="7" t="s">
        <v>4474</v>
      </c>
      <c r="D525" s="7" t="s">
        <v>97</v>
      </c>
      <c r="E525" s="7" t="s">
        <v>4475</v>
      </c>
      <c r="F525" s="9">
        <v>14.78944</v>
      </c>
      <c r="G525" s="9">
        <v>101.117104</v>
      </c>
      <c r="H525" s="7" t="s">
        <v>618</v>
      </c>
      <c r="I525" s="9">
        <v>44.32</v>
      </c>
      <c r="J525" s="28"/>
      <c r="K525" s="28"/>
      <c r="L525" s="9"/>
      <c r="M525" s="9"/>
      <c r="N525" s="7" t="s">
        <v>2894</v>
      </c>
      <c r="O525" s="7" t="s">
        <v>583</v>
      </c>
      <c r="P525" s="9">
        <v>3.0</v>
      </c>
      <c r="Q525" s="28"/>
      <c r="R525" s="9">
        <v>82.4</v>
      </c>
      <c r="S525" s="7" t="s">
        <v>584</v>
      </c>
      <c r="T525" s="7" t="b">
        <v>0</v>
      </c>
      <c r="U525" s="7" t="s">
        <v>585</v>
      </c>
      <c r="V525" s="27" t="s">
        <v>586</v>
      </c>
      <c r="W525" s="7" t="s">
        <v>4476</v>
      </c>
      <c r="X525" s="28"/>
      <c r="Y525" s="28"/>
      <c r="Z525" s="28"/>
    </row>
    <row r="526">
      <c r="A526" s="7" t="s">
        <v>4477</v>
      </c>
      <c r="B526" s="7" t="s">
        <v>4478</v>
      </c>
      <c r="C526" s="7" t="s">
        <v>4479</v>
      </c>
      <c r="D526" s="7" t="s">
        <v>65</v>
      </c>
      <c r="E526" s="7" t="s">
        <v>3469</v>
      </c>
      <c r="F526" s="9">
        <v>17.641491</v>
      </c>
      <c r="G526" s="9">
        <v>99.23201</v>
      </c>
      <c r="H526" s="7" t="s">
        <v>4026</v>
      </c>
      <c r="I526" s="9">
        <v>161.37</v>
      </c>
      <c r="J526" s="28"/>
      <c r="K526" s="28"/>
      <c r="L526" s="9"/>
      <c r="M526" s="9"/>
      <c r="N526" s="7" t="s">
        <v>2894</v>
      </c>
      <c r="O526" s="7" t="s">
        <v>583</v>
      </c>
      <c r="P526" s="9">
        <v>3.0</v>
      </c>
      <c r="Q526" s="28"/>
      <c r="R526" s="9">
        <v>622.4</v>
      </c>
      <c r="S526" s="7" t="s">
        <v>584</v>
      </c>
      <c r="T526" s="7" t="b">
        <v>0</v>
      </c>
      <c r="U526" s="7" t="s">
        <v>585</v>
      </c>
      <c r="V526" s="27" t="s">
        <v>586</v>
      </c>
      <c r="W526" s="7" t="s">
        <v>4482</v>
      </c>
      <c r="X526" s="28"/>
      <c r="Y526" s="28"/>
      <c r="Z526" s="28"/>
    </row>
    <row r="527">
      <c r="A527" s="7" t="s">
        <v>4483</v>
      </c>
      <c r="B527" s="7" t="s">
        <v>4484</v>
      </c>
      <c r="C527" s="7" t="s">
        <v>4485</v>
      </c>
      <c r="D527" s="7" t="s">
        <v>82</v>
      </c>
      <c r="E527" s="7" t="s">
        <v>1047</v>
      </c>
      <c r="F527" s="9">
        <v>17.302389</v>
      </c>
      <c r="G527" s="9">
        <v>99.830307</v>
      </c>
      <c r="H527" s="7" t="s">
        <v>618</v>
      </c>
      <c r="I527" s="9">
        <v>54.12</v>
      </c>
      <c r="J527" s="28"/>
      <c r="K527" s="28"/>
      <c r="L527" s="28"/>
      <c r="M527" s="9"/>
      <c r="N527" s="7" t="s">
        <v>2894</v>
      </c>
      <c r="O527" s="7" t="s">
        <v>583</v>
      </c>
      <c r="P527" s="9">
        <v>3.0</v>
      </c>
      <c r="Q527" s="28"/>
      <c r="R527" s="9">
        <v>82.4</v>
      </c>
      <c r="S527" s="7" t="s">
        <v>584</v>
      </c>
      <c r="T527" s="7" t="b">
        <v>0</v>
      </c>
      <c r="U527" s="7" t="s">
        <v>585</v>
      </c>
      <c r="V527" s="27" t="s">
        <v>586</v>
      </c>
      <c r="W527" s="7" t="s">
        <v>4486</v>
      </c>
      <c r="X527" s="28"/>
      <c r="Y527" s="28"/>
      <c r="Z527" s="28"/>
    </row>
    <row r="528">
      <c r="A528" s="7" t="s">
        <v>4487</v>
      </c>
      <c r="B528" s="7" t="s">
        <v>4488</v>
      </c>
      <c r="C528" s="7" t="s">
        <v>4489</v>
      </c>
      <c r="D528" s="7" t="s">
        <v>154</v>
      </c>
      <c r="E528" s="7" t="s">
        <v>767</v>
      </c>
      <c r="F528" s="9">
        <v>14.73758</v>
      </c>
      <c r="G528" s="9">
        <v>98.63576</v>
      </c>
      <c r="H528" s="7" t="s">
        <v>923</v>
      </c>
      <c r="I528" s="9">
        <v>80.47</v>
      </c>
      <c r="J528" s="28"/>
      <c r="K528" s="28"/>
      <c r="L528" s="9"/>
      <c r="M528" s="9">
        <v>0.0</v>
      </c>
      <c r="N528" s="7" t="s">
        <v>2894</v>
      </c>
      <c r="O528" s="7" t="s">
        <v>583</v>
      </c>
      <c r="P528" s="9">
        <v>3.0</v>
      </c>
      <c r="Q528" s="28"/>
      <c r="R528" s="9">
        <v>22.4</v>
      </c>
      <c r="S528" s="7" t="s">
        <v>584</v>
      </c>
      <c r="T528" s="7" t="b">
        <v>0</v>
      </c>
      <c r="U528" s="7" t="s">
        <v>585</v>
      </c>
      <c r="V528" s="27" t="s">
        <v>586</v>
      </c>
      <c r="W528" s="7" t="s">
        <v>4490</v>
      </c>
      <c r="X528" s="28"/>
      <c r="Y528" s="28"/>
      <c r="Z528" s="28"/>
    </row>
    <row r="529">
      <c r="A529" s="7" t="s">
        <v>4491</v>
      </c>
      <c r="B529" s="7" t="s">
        <v>4492</v>
      </c>
      <c r="C529" s="7" t="s">
        <v>4493</v>
      </c>
      <c r="D529" s="7" t="s">
        <v>220</v>
      </c>
      <c r="E529" s="7" t="s">
        <v>4494</v>
      </c>
      <c r="F529" s="9">
        <v>15.95536</v>
      </c>
      <c r="G529" s="9">
        <v>102.03363</v>
      </c>
      <c r="H529" s="7" t="s">
        <v>618</v>
      </c>
      <c r="I529" s="9">
        <v>194.2</v>
      </c>
      <c r="J529" s="28"/>
      <c r="K529" s="28"/>
      <c r="L529" s="28"/>
      <c r="M529" s="9"/>
      <c r="N529" s="7" t="s">
        <v>2894</v>
      </c>
      <c r="O529" s="7" t="s">
        <v>583</v>
      </c>
      <c r="P529" s="9">
        <v>3.0</v>
      </c>
      <c r="Q529" s="28"/>
      <c r="R529" s="9">
        <v>82.4</v>
      </c>
      <c r="S529" s="7" t="s">
        <v>584</v>
      </c>
      <c r="T529" s="7" t="b">
        <v>0</v>
      </c>
      <c r="U529" s="7" t="s">
        <v>585</v>
      </c>
      <c r="V529" s="27" t="s">
        <v>586</v>
      </c>
      <c r="W529" s="7" t="s">
        <v>4495</v>
      </c>
      <c r="X529" s="28"/>
      <c r="Y529" s="28"/>
      <c r="Z529" s="28"/>
    </row>
    <row r="530">
      <c r="A530" s="7" t="s">
        <v>4496</v>
      </c>
      <c r="B530" s="7" t="s">
        <v>4497</v>
      </c>
      <c r="C530" s="7" t="s">
        <v>4498</v>
      </c>
      <c r="D530" s="7" t="s">
        <v>260</v>
      </c>
      <c r="E530" s="7" t="s">
        <v>2951</v>
      </c>
      <c r="F530" s="9">
        <v>9.029423</v>
      </c>
      <c r="G530" s="9">
        <v>98.969635</v>
      </c>
      <c r="H530" s="7" t="s">
        <v>576</v>
      </c>
      <c r="I530" s="9">
        <v>4.18</v>
      </c>
      <c r="J530" s="28"/>
      <c r="K530" s="28"/>
      <c r="L530" s="28"/>
      <c r="M530" s="9"/>
      <c r="N530" s="7" t="s">
        <v>2894</v>
      </c>
      <c r="O530" s="7" t="s">
        <v>583</v>
      </c>
      <c r="P530" s="9">
        <v>3.0</v>
      </c>
      <c r="Q530" s="28"/>
      <c r="R530" s="9">
        <v>12.4</v>
      </c>
      <c r="S530" s="7" t="s">
        <v>584</v>
      </c>
      <c r="T530" s="7" t="b">
        <v>0</v>
      </c>
      <c r="U530" s="7" t="s">
        <v>585</v>
      </c>
      <c r="V530" s="27" t="s">
        <v>586</v>
      </c>
      <c r="W530" s="7" t="s">
        <v>4504</v>
      </c>
      <c r="X530" s="28"/>
      <c r="Y530" s="28"/>
      <c r="Z530" s="28"/>
    </row>
    <row r="531">
      <c r="A531" s="7" t="s">
        <v>4506</v>
      </c>
      <c r="B531" s="7" t="s">
        <v>4507</v>
      </c>
      <c r="C531" s="7" t="s">
        <v>4508</v>
      </c>
      <c r="D531" s="7" t="s">
        <v>60</v>
      </c>
      <c r="E531" s="7" t="s">
        <v>4509</v>
      </c>
      <c r="F531" s="9">
        <v>18.584002</v>
      </c>
      <c r="G531" s="9">
        <v>100.600266</v>
      </c>
      <c r="H531" s="7" t="s">
        <v>576</v>
      </c>
      <c r="I531" s="9">
        <v>228.07</v>
      </c>
      <c r="J531" s="28"/>
      <c r="K531" s="28"/>
      <c r="L531" s="28"/>
      <c r="M531" s="9"/>
      <c r="N531" s="7" t="s">
        <v>2894</v>
      </c>
      <c r="O531" s="7" t="s">
        <v>583</v>
      </c>
      <c r="P531" s="9">
        <v>3.0</v>
      </c>
      <c r="Q531" s="28"/>
      <c r="R531" s="9">
        <v>12.4</v>
      </c>
      <c r="S531" s="7" t="s">
        <v>584</v>
      </c>
      <c r="T531" s="7" t="b">
        <v>0</v>
      </c>
      <c r="U531" s="7" t="s">
        <v>585</v>
      </c>
      <c r="V531" s="27" t="s">
        <v>586</v>
      </c>
      <c r="W531" s="7" t="s">
        <v>4511</v>
      </c>
      <c r="X531" s="28"/>
      <c r="Y531" s="28"/>
      <c r="Z531" s="28"/>
    </row>
    <row r="532">
      <c r="A532" s="7" t="s">
        <v>4512</v>
      </c>
      <c r="B532" s="7" t="s">
        <v>4513</v>
      </c>
      <c r="C532" s="7" t="s">
        <v>4514</v>
      </c>
      <c r="D532" s="7" t="s">
        <v>298</v>
      </c>
      <c r="E532" s="7" t="s">
        <v>4515</v>
      </c>
      <c r="F532" s="9">
        <v>7.56871</v>
      </c>
      <c r="G532" s="9">
        <v>100.0485</v>
      </c>
      <c r="H532" s="7" t="s">
        <v>1951</v>
      </c>
      <c r="I532" s="9">
        <v>13.24</v>
      </c>
      <c r="J532" s="28"/>
      <c r="K532" s="28"/>
      <c r="L532" s="9"/>
      <c r="M532" s="9"/>
      <c r="N532" s="7" t="s">
        <v>2894</v>
      </c>
      <c r="O532" s="7" t="s">
        <v>583</v>
      </c>
      <c r="P532" s="9">
        <v>3.0</v>
      </c>
      <c r="Q532" s="28"/>
      <c r="R532" s="9">
        <v>202.4</v>
      </c>
      <c r="S532" s="7" t="s">
        <v>584</v>
      </c>
      <c r="T532" s="7" t="b">
        <v>0</v>
      </c>
      <c r="U532" s="7" t="s">
        <v>585</v>
      </c>
      <c r="V532" s="27" t="s">
        <v>586</v>
      </c>
      <c r="W532" s="7" t="s">
        <v>4516</v>
      </c>
      <c r="X532" s="28"/>
      <c r="Y532" s="28"/>
      <c r="Z532" s="28"/>
    </row>
    <row r="533">
      <c r="A533" s="7" t="s">
        <v>4517</v>
      </c>
      <c r="B533" s="7" t="s">
        <v>4518</v>
      </c>
      <c r="C533" s="7" t="s">
        <v>4519</v>
      </c>
      <c r="D533" s="7" t="s">
        <v>63</v>
      </c>
      <c r="E533" s="7" t="s">
        <v>1047</v>
      </c>
      <c r="F533" s="9">
        <v>18.94628</v>
      </c>
      <c r="G533" s="9">
        <v>100.258949</v>
      </c>
      <c r="H533" s="7" t="s">
        <v>3579</v>
      </c>
      <c r="I533" s="9">
        <v>258.8</v>
      </c>
      <c r="J533" s="28"/>
      <c r="K533" s="28"/>
      <c r="L533" s="9"/>
      <c r="M533" s="9"/>
      <c r="N533" s="7" t="s">
        <v>2894</v>
      </c>
      <c r="O533" s="7" t="s">
        <v>583</v>
      </c>
      <c r="P533" s="9">
        <v>3.0</v>
      </c>
      <c r="Q533" s="28"/>
      <c r="R533" s="9">
        <v>262.4</v>
      </c>
      <c r="S533" s="7" t="s">
        <v>584</v>
      </c>
      <c r="T533" s="7" t="b">
        <v>0</v>
      </c>
      <c r="U533" s="7" t="s">
        <v>585</v>
      </c>
      <c r="V533" s="27" t="s">
        <v>586</v>
      </c>
      <c r="W533" s="7" t="s">
        <v>4520</v>
      </c>
      <c r="X533" s="28"/>
      <c r="Y533" s="28"/>
      <c r="Z533" s="28"/>
    </row>
    <row r="534">
      <c r="A534" s="7" t="s">
        <v>4521</v>
      </c>
      <c r="B534" s="7" t="s">
        <v>4522</v>
      </c>
      <c r="C534" s="7" t="s">
        <v>4523</v>
      </c>
      <c r="D534" s="7" t="s">
        <v>60</v>
      </c>
      <c r="E534" s="7" t="s">
        <v>4524</v>
      </c>
      <c r="F534" s="9">
        <v>18.548229</v>
      </c>
      <c r="G534" s="9">
        <v>100.808617</v>
      </c>
      <c r="H534" s="7" t="s">
        <v>3579</v>
      </c>
      <c r="I534" s="9">
        <v>185.13</v>
      </c>
      <c r="J534" s="28"/>
      <c r="K534" s="28"/>
      <c r="L534" s="28"/>
      <c r="M534" s="9"/>
      <c r="N534" s="7" t="s">
        <v>2894</v>
      </c>
      <c r="O534" s="7" t="s">
        <v>583</v>
      </c>
      <c r="P534" s="9">
        <v>3.0</v>
      </c>
      <c r="Q534" s="28"/>
      <c r="R534" s="9">
        <v>262.4</v>
      </c>
      <c r="S534" s="7" t="s">
        <v>584</v>
      </c>
      <c r="T534" s="7" t="b">
        <v>0</v>
      </c>
      <c r="U534" s="7" t="s">
        <v>585</v>
      </c>
      <c r="V534" s="27" t="s">
        <v>586</v>
      </c>
      <c r="W534" s="7" t="s">
        <v>4525</v>
      </c>
      <c r="X534" s="28"/>
      <c r="Y534" s="28"/>
      <c r="Z534" s="28"/>
    </row>
    <row r="535">
      <c r="A535" s="7" t="s">
        <v>4526</v>
      </c>
      <c r="B535" s="7" t="s">
        <v>4527</v>
      </c>
      <c r="C535" s="7" t="s">
        <v>4528</v>
      </c>
      <c r="D535" s="7" t="s">
        <v>186</v>
      </c>
      <c r="E535" s="7" t="s">
        <v>4530</v>
      </c>
      <c r="F535" s="9">
        <v>16.411083</v>
      </c>
      <c r="G535" s="9">
        <v>103.467125</v>
      </c>
      <c r="H535" s="7" t="s">
        <v>576</v>
      </c>
      <c r="I535" s="9">
        <v>136.11</v>
      </c>
      <c r="J535" s="28"/>
      <c r="K535" s="28"/>
      <c r="L535" s="28"/>
      <c r="M535" s="9"/>
      <c r="N535" s="7" t="s">
        <v>2894</v>
      </c>
      <c r="O535" s="7" t="s">
        <v>583</v>
      </c>
      <c r="P535" s="9">
        <v>3.0</v>
      </c>
      <c r="Q535" s="28"/>
      <c r="R535" s="9">
        <v>12.4</v>
      </c>
      <c r="S535" s="7" t="s">
        <v>584</v>
      </c>
      <c r="T535" s="7" t="b">
        <v>0</v>
      </c>
      <c r="U535" s="7" t="s">
        <v>585</v>
      </c>
      <c r="V535" s="27" t="s">
        <v>586</v>
      </c>
      <c r="W535" s="7" t="s">
        <v>4531</v>
      </c>
      <c r="X535" s="28"/>
      <c r="Y535" s="28"/>
      <c r="Z535" s="28"/>
    </row>
    <row r="536">
      <c r="A536" s="7" t="s">
        <v>4532</v>
      </c>
      <c r="B536" s="7" t="s">
        <v>4533</v>
      </c>
      <c r="C536" s="7" t="s">
        <v>4534</v>
      </c>
      <c r="D536" s="7" t="s">
        <v>193</v>
      </c>
      <c r="E536" s="7"/>
      <c r="F536" s="9">
        <v>15.82878</v>
      </c>
      <c r="G536" s="9">
        <v>103.35448</v>
      </c>
      <c r="H536" s="7" t="s">
        <v>576</v>
      </c>
      <c r="I536" s="9">
        <v>136.08</v>
      </c>
      <c r="J536" s="28"/>
      <c r="K536" s="28"/>
      <c r="L536" s="9"/>
      <c r="M536" s="9"/>
      <c r="N536" s="7" t="s">
        <v>2894</v>
      </c>
      <c r="O536" s="7" t="s">
        <v>583</v>
      </c>
      <c r="P536" s="9">
        <v>3.0</v>
      </c>
      <c r="Q536" s="28"/>
      <c r="R536" s="9">
        <v>12.4</v>
      </c>
      <c r="S536" s="7" t="s">
        <v>584</v>
      </c>
      <c r="T536" s="7" t="b">
        <v>0</v>
      </c>
      <c r="U536" s="7" t="s">
        <v>585</v>
      </c>
      <c r="V536" s="27" t="s">
        <v>586</v>
      </c>
      <c r="W536" s="7" t="s">
        <v>4535</v>
      </c>
      <c r="X536" s="28"/>
      <c r="Y536" s="28"/>
      <c r="Z536" s="28"/>
    </row>
    <row r="537">
      <c r="A537" s="7" t="s">
        <v>4536</v>
      </c>
      <c r="B537" s="7" t="s">
        <v>4537</v>
      </c>
      <c r="C537" s="7" t="s">
        <v>4538</v>
      </c>
      <c r="D537" s="7" t="s">
        <v>77</v>
      </c>
      <c r="E537" s="7" t="s">
        <v>3427</v>
      </c>
      <c r="F537" s="9">
        <v>16.56912</v>
      </c>
      <c r="G537" s="9">
        <v>100.891792</v>
      </c>
      <c r="H537" s="7" t="s">
        <v>618</v>
      </c>
      <c r="I537" s="9">
        <v>687.4</v>
      </c>
      <c r="J537" s="28"/>
      <c r="K537" s="28"/>
      <c r="L537" s="9"/>
      <c r="M537" s="9"/>
      <c r="N537" s="7" t="s">
        <v>2894</v>
      </c>
      <c r="O537" s="7" t="s">
        <v>583</v>
      </c>
      <c r="P537" s="9">
        <v>3.0</v>
      </c>
      <c r="Q537" s="28"/>
      <c r="R537" s="9">
        <v>82.4</v>
      </c>
      <c r="S537" s="7" t="s">
        <v>584</v>
      </c>
      <c r="T537" s="7" t="b">
        <v>0</v>
      </c>
      <c r="U537" s="7" t="s">
        <v>585</v>
      </c>
      <c r="V537" s="27" t="s">
        <v>586</v>
      </c>
      <c r="W537" s="7" t="s">
        <v>4539</v>
      </c>
      <c r="X537" s="28"/>
      <c r="Y537" s="28"/>
      <c r="Z537" s="28"/>
    </row>
    <row r="538">
      <c r="A538" s="7" t="s">
        <v>4540</v>
      </c>
      <c r="B538" s="7" t="s">
        <v>4541</v>
      </c>
      <c r="C538" s="7" t="s">
        <v>1969</v>
      </c>
      <c r="D538" s="7" t="s">
        <v>53</v>
      </c>
      <c r="E538" s="7" t="s">
        <v>4242</v>
      </c>
      <c r="F538" s="9">
        <v>20.15753</v>
      </c>
      <c r="G538" s="9">
        <v>99.859596</v>
      </c>
      <c r="H538" s="7" t="s">
        <v>3579</v>
      </c>
      <c r="I538" s="9">
        <v>407.1</v>
      </c>
      <c r="J538" s="28"/>
      <c r="K538" s="28"/>
      <c r="L538" s="28"/>
      <c r="M538" s="9"/>
      <c r="N538" s="7" t="s">
        <v>2894</v>
      </c>
      <c r="O538" s="7" t="s">
        <v>583</v>
      </c>
      <c r="P538" s="9">
        <v>3.0</v>
      </c>
      <c r="Q538" s="28"/>
      <c r="R538" s="9">
        <v>262.4</v>
      </c>
      <c r="S538" s="7" t="s">
        <v>584</v>
      </c>
      <c r="T538" s="7" t="b">
        <v>0</v>
      </c>
      <c r="U538" s="7" t="s">
        <v>585</v>
      </c>
      <c r="V538" s="27" t="s">
        <v>586</v>
      </c>
      <c r="W538" s="7" t="s">
        <v>4546</v>
      </c>
      <c r="X538" s="28"/>
      <c r="Y538" s="28"/>
      <c r="Z538" s="28"/>
    </row>
    <row r="539">
      <c r="A539" s="7" t="s">
        <v>4548</v>
      </c>
      <c r="B539" s="7" t="s">
        <v>4549</v>
      </c>
      <c r="C539" s="7" t="s">
        <v>4550</v>
      </c>
      <c r="D539" s="7" t="s">
        <v>58</v>
      </c>
      <c r="E539" s="7" t="s">
        <v>1047</v>
      </c>
      <c r="F539" s="9">
        <v>17.90118</v>
      </c>
      <c r="G539" s="9">
        <v>99.605652</v>
      </c>
      <c r="H539" s="7" t="s">
        <v>3579</v>
      </c>
      <c r="I539" s="9">
        <v>95.67</v>
      </c>
      <c r="J539" s="28"/>
      <c r="K539" s="28"/>
      <c r="L539" s="28"/>
      <c r="M539" s="9"/>
      <c r="N539" s="7" t="s">
        <v>2894</v>
      </c>
      <c r="O539" s="7" t="s">
        <v>583</v>
      </c>
      <c r="P539" s="9">
        <v>3.0</v>
      </c>
      <c r="Q539" s="28"/>
      <c r="R539" s="9">
        <v>262.4</v>
      </c>
      <c r="S539" s="7" t="s">
        <v>584</v>
      </c>
      <c r="T539" s="7" t="b">
        <v>0</v>
      </c>
      <c r="U539" s="7" t="s">
        <v>585</v>
      </c>
      <c r="V539" s="27" t="s">
        <v>586</v>
      </c>
      <c r="W539" s="7" t="s">
        <v>4553</v>
      </c>
      <c r="X539" s="28"/>
      <c r="Y539" s="28"/>
      <c r="Z539" s="28"/>
    </row>
    <row r="540">
      <c r="A540" s="7" t="s">
        <v>4554</v>
      </c>
      <c r="B540" s="7" t="s">
        <v>4555</v>
      </c>
      <c r="C540" s="7" t="s">
        <v>4556</v>
      </c>
      <c r="D540" s="7" t="s">
        <v>292</v>
      </c>
      <c r="E540" s="7" t="s">
        <v>2988</v>
      </c>
      <c r="F540" s="9">
        <v>7.96409</v>
      </c>
      <c r="G540" s="9">
        <v>99.59775</v>
      </c>
      <c r="H540" s="7" t="s">
        <v>576</v>
      </c>
      <c r="I540" s="9">
        <v>19.5</v>
      </c>
      <c r="J540" s="28"/>
      <c r="K540" s="28"/>
      <c r="L540" s="28"/>
      <c r="M540" s="9"/>
      <c r="N540" s="7" t="s">
        <v>2894</v>
      </c>
      <c r="O540" s="7" t="s">
        <v>583</v>
      </c>
      <c r="P540" s="9">
        <v>3.0</v>
      </c>
      <c r="Q540" s="28"/>
      <c r="R540" s="9">
        <v>12.4</v>
      </c>
      <c r="S540" s="7" t="s">
        <v>584</v>
      </c>
      <c r="T540" s="7" t="b">
        <v>0</v>
      </c>
      <c r="U540" s="7" t="s">
        <v>585</v>
      </c>
      <c r="V540" s="27" t="s">
        <v>586</v>
      </c>
      <c r="W540" s="7" t="s">
        <v>4557</v>
      </c>
      <c r="X540" s="28"/>
      <c r="Y540" s="28"/>
      <c r="Z540" s="28"/>
    </row>
    <row r="541">
      <c r="A541" s="7" t="s">
        <v>4558</v>
      </c>
      <c r="B541" s="7" t="s">
        <v>4559</v>
      </c>
      <c r="C541" s="7" t="s">
        <v>4560</v>
      </c>
      <c r="D541" s="7" t="s">
        <v>260</v>
      </c>
      <c r="E541" s="7" t="s">
        <v>1949</v>
      </c>
      <c r="F541" s="9">
        <v>8.57098</v>
      </c>
      <c r="G541" s="9">
        <v>99.253868</v>
      </c>
      <c r="H541" s="7" t="s">
        <v>1951</v>
      </c>
      <c r="I541" s="9">
        <v>5.64</v>
      </c>
      <c r="J541" s="28"/>
      <c r="K541" s="28"/>
      <c r="L541" s="28"/>
      <c r="M541" s="9"/>
      <c r="N541" s="7" t="s">
        <v>2894</v>
      </c>
      <c r="O541" s="7" t="s">
        <v>583</v>
      </c>
      <c r="P541" s="9">
        <v>3.0</v>
      </c>
      <c r="Q541" s="28"/>
      <c r="R541" s="9">
        <v>202.4</v>
      </c>
      <c r="S541" s="7" t="s">
        <v>584</v>
      </c>
      <c r="T541" s="7" t="b">
        <v>0</v>
      </c>
      <c r="U541" s="7" t="s">
        <v>585</v>
      </c>
      <c r="V541" s="27" t="s">
        <v>586</v>
      </c>
      <c r="W541" s="7" t="s">
        <v>4561</v>
      </c>
      <c r="X541" s="28"/>
      <c r="Y541" s="28"/>
      <c r="Z541" s="28"/>
    </row>
    <row r="542">
      <c r="A542" s="7" t="s">
        <v>4562</v>
      </c>
      <c r="B542" s="7" t="s">
        <v>4563</v>
      </c>
      <c r="C542" s="7" t="s">
        <v>4564</v>
      </c>
      <c r="D542" s="7" t="s">
        <v>286</v>
      </c>
      <c r="E542" s="7" t="s">
        <v>2152</v>
      </c>
      <c r="F542" s="9">
        <v>7.00218</v>
      </c>
      <c r="G542" s="9">
        <v>100.456062</v>
      </c>
      <c r="H542" s="7" t="s">
        <v>1951</v>
      </c>
      <c r="I542" s="9">
        <v>0.85</v>
      </c>
      <c r="J542" s="28"/>
      <c r="K542" s="28"/>
      <c r="L542" s="28"/>
      <c r="M542" s="9">
        <v>7.44</v>
      </c>
      <c r="N542" s="7" t="s">
        <v>2894</v>
      </c>
      <c r="O542" s="7" t="s">
        <v>583</v>
      </c>
      <c r="P542" s="9">
        <v>3.0</v>
      </c>
      <c r="Q542" s="28"/>
      <c r="R542" s="9">
        <v>202.4</v>
      </c>
      <c r="S542" s="7" t="s">
        <v>584</v>
      </c>
      <c r="T542" s="7" t="b">
        <v>0</v>
      </c>
      <c r="U542" s="7" t="s">
        <v>585</v>
      </c>
      <c r="V542" s="27" t="s">
        <v>586</v>
      </c>
      <c r="W542" s="7" t="s">
        <v>4565</v>
      </c>
      <c r="X542" s="28"/>
      <c r="Y542" s="28"/>
      <c r="Z542" s="28"/>
    </row>
    <row r="543">
      <c r="A543" s="7" t="s">
        <v>4566</v>
      </c>
      <c r="B543" s="7" t="s">
        <v>4567</v>
      </c>
      <c r="C543" s="7" t="s">
        <v>4568</v>
      </c>
      <c r="D543" s="7" t="s">
        <v>61</v>
      </c>
      <c r="E543" s="7" t="s">
        <v>2587</v>
      </c>
      <c r="F543" s="9">
        <v>16.998826</v>
      </c>
      <c r="G543" s="9">
        <v>100.325921</v>
      </c>
      <c r="H543" s="7" t="s">
        <v>923</v>
      </c>
      <c r="I543" s="9">
        <v>42.62</v>
      </c>
      <c r="J543" s="28"/>
      <c r="K543" s="28"/>
      <c r="L543" s="28"/>
      <c r="M543" s="9">
        <v>49.31</v>
      </c>
      <c r="N543" s="7" t="s">
        <v>2894</v>
      </c>
      <c r="O543" s="7" t="s">
        <v>583</v>
      </c>
      <c r="P543" s="9">
        <v>3.0</v>
      </c>
      <c r="Q543" s="28"/>
      <c r="R543" s="9">
        <v>22.4</v>
      </c>
      <c r="S543" s="7" t="s">
        <v>584</v>
      </c>
      <c r="T543" s="7" t="b">
        <v>0</v>
      </c>
      <c r="U543" s="7" t="s">
        <v>585</v>
      </c>
      <c r="V543" s="27" t="s">
        <v>586</v>
      </c>
      <c r="W543" s="7" t="s">
        <v>4570</v>
      </c>
      <c r="X543" s="28"/>
      <c r="Y543" s="28"/>
      <c r="Z543" s="28"/>
    </row>
    <row r="544">
      <c r="A544" s="7" t="s">
        <v>4571</v>
      </c>
      <c r="B544" s="7" t="s">
        <v>4572</v>
      </c>
      <c r="C544" s="7" t="s">
        <v>4573</v>
      </c>
      <c r="D544" s="7" t="s">
        <v>58</v>
      </c>
      <c r="E544" s="7" t="s">
        <v>1047</v>
      </c>
      <c r="F544" s="9">
        <v>18.13367</v>
      </c>
      <c r="G544" s="9">
        <v>100.12458</v>
      </c>
      <c r="H544" s="7" t="s">
        <v>576</v>
      </c>
      <c r="I544" s="9">
        <v>145.0</v>
      </c>
      <c r="J544" s="28"/>
      <c r="K544" s="28"/>
      <c r="L544" s="28"/>
      <c r="M544" s="9"/>
      <c r="N544" s="7" t="s">
        <v>2894</v>
      </c>
      <c r="O544" s="7" t="s">
        <v>583</v>
      </c>
      <c r="P544" s="9">
        <v>3.0</v>
      </c>
      <c r="Q544" s="28"/>
      <c r="R544" s="9">
        <v>12.4</v>
      </c>
      <c r="S544" s="7" t="s">
        <v>584</v>
      </c>
      <c r="T544" s="7" t="b">
        <v>0</v>
      </c>
      <c r="U544" s="7" t="s">
        <v>585</v>
      </c>
      <c r="V544" s="27" t="s">
        <v>586</v>
      </c>
      <c r="W544" s="7" t="s">
        <v>4574</v>
      </c>
      <c r="X544" s="28"/>
      <c r="Y544" s="28"/>
      <c r="Z544" s="28"/>
    </row>
    <row r="545">
      <c r="A545" s="7" t="s">
        <v>4575</v>
      </c>
      <c r="B545" s="7" t="s">
        <v>4576</v>
      </c>
      <c r="C545" s="7" t="s">
        <v>4577</v>
      </c>
      <c r="D545" s="7" t="s">
        <v>58</v>
      </c>
      <c r="E545" s="7" t="s">
        <v>1047</v>
      </c>
      <c r="F545" s="9">
        <v>18.58613</v>
      </c>
      <c r="G545" s="9">
        <v>100.151337</v>
      </c>
      <c r="H545" s="7" t="s">
        <v>4578</v>
      </c>
      <c r="I545" s="9">
        <v>182.68</v>
      </c>
      <c r="J545" s="28"/>
      <c r="K545" s="28"/>
      <c r="L545" s="28"/>
      <c r="M545" s="9"/>
      <c r="N545" s="7" t="s">
        <v>2894</v>
      </c>
      <c r="O545" s="7" t="s">
        <v>583</v>
      </c>
      <c r="P545" s="9">
        <v>3.0</v>
      </c>
      <c r="Q545" s="28"/>
      <c r="R545" s="9">
        <v>322.4</v>
      </c>
      <c r="S545" s="7" t="s">
        <v>584</v>
      </c>
      <c r="T545" s="7" t="b">
        <v>0</v>
      </c>
      <c r="U545" s="7" t="s">
        <v>585</v>
      </c>
      <c r="V545" s="27" t="s">
        <v>586</v>
      </c>
      <c r="W545" s="7" t="s">
        <v>4579</v>
      </c>
      <c r="X545" s="28"/>
      <c r="Y545" s="28"/>
      <c r="Z545" s="28"/>
    </row>
    <row r="546">
      <c r="A546" s="7" t="s">
        <v>4580</v>
      </c>
      <c r="B546" s="7" t="s">
        <v>4581</v>
      </c>
      <c r="C546" s="7" t="s">
        <v>4582</v>
      </c>
      <c r="D546" s="7" t="s">
        <v>77</v>
      </c>
      <c r="E546" s="7" t="s">
        <v>1016</v>
      </c>
      <c r="F546" s="9">
        <v>17.004061</v>
      </c>
      <c r="G546" s="9">
        <v>101.352898</v>
      </c>
      <c r="H546" s="7" t="s">
        <v>618</v>
      </c>
      <c r="I546" s="9">
        <v>193.52</v>
      </c>
      <c r="J546" s="28"/>
      <c r="K546" s="28"/>
      <c r="L546" s="9"/>
      <c r="M546" s="9"/>
      <c r="N546" s="7" t="s">
        <v>2894</v>
      </c>
      <c r="O546" s="7" t="s">
        <v>583</v>
      </c>
      <c r="P546" s="9">
        <v>3.0</v>
      </c>
      <c r="Q546" s="28"/>
      <c r="R546" s="9">
        <v>82.4</v>
      </c>
      <c r="S546" s="7" t="s">
        <v>584</v>
      </c>
      <c r="T546" s="7" t="b">
        <v>0</v>
      </c>
      <c r="U546" s="7" t="s">
        <v>585</v>
      </c>
      <c r="V546" s="27" t="s">
        <v>586</v>
      </c>
      <c r="W546" s="7" t="s">
        <v>4590</v>
      </c>
      <c r="X546" s="28"/>
      <c r="Y546" s="28"/>
      <c r="Z546" s="28"/>
    </row>
    <row r="547">
      <c r="A547" s="7" t="s">
        <v>4591</v>
      </c>
      <c r="B547" s="7" t="s">
        <v>4592</v>
      </c>
      <c r="C547" s="7" t="s">
        <v>4593</v>
      </c>
      <c r="D547" s="7" t="s">
        <v>203</v>
      </c>
      <c r="E547" s="7" t="s">
        <v>1759</v>
      </c>
      <c r="F547" s="9">
        <v>17.05715</v>
      </c>
      <c r="G547" s="9">
        <v>104.3636</v>
      </c>
      <c r="H547" s="7" t="s">
        <v>576</v>
      </c>
      <c r="I547" s="9">
        <v>146.11</v>
      </c>
      <c r="J547" s="28"/>
      <c r="K547" s="28"/>
      <c r="L547" s="9"/>
      <c r="M547" s="9"/>
      <c r="N547" s="7" t="s">
        <v>2894</v>
      </c>
      <c r="O547" s="7" t="s">
        <v>583</v>
      </c>
      <c r="P547" s="9">
        <v>3.0</v>
      </c>
      <c r="Q547" s="28"/>
      <c r="R547" s="9">
        <v>12.4</v>
      </c>
      <c r="S547" s="7" t="s">
        <v>584</v>
      </c>
      <c r="T547" s="7" t="b">
        <v>0</v>
      </c>
      <c r="U547" s="7" t="s">
        <v>585</v>
      </c>
      <c r="V547" s="27" t="s">
        <v>586</v>
      </c>
      <c r="W547" s="7" t="s">
        <v>4594</v>
      </c>
      <c r="X547" s="28"/>
      <c r="Y547" s="28"/>
      <c r="Z547" s="28"/>
    </row>
    <row r="548">
      <c r="A548" s="7" t="s">
        <v>4595</v>
      </c>
      <c r="B548" s="7" t="s">
        <v>4596</v>
      </c>
      <c r="C548" s="7" t="s">
        <v>4597</v>
      </c>
      <c r="D548" s="7" t="s">
        <v>82</v>
      </c>
      <c r="E548" s="7"/>
      <c r="F548" s="9">
        <v>17.22242</v>
      </c>
      <c r="G548" s="9">
        <v>99.70545</v>
      </c>
      <c r="H548" s="7" t="s">
        <v>576</v>
      </c>
      <c r="I548" s="9">
        <v>57.54</v>
      </c>
      <c r="J548" s="28"/>
      <c r="K548" s="28"/>
      <c r="L548" s="28"/>
      <c r="M548" s="9"/>
      <c r="N548" s="7" t="s">
        <v>2894</v>
      </c>
      <c r="O548" s="7" t="s">
        <v>583</v>
      </c>
      <c r="P548" s="9">
        <v>3.0</v>
      </c>
      <c r="Q548" s="28"/>
      <c r="R548" s="9">
        <v>12.4</v>
      </c>
      <c r="S548" s="7" t="s">
        <v>584</v>
      </c>
      <c r="T548" s="7" t="b">
        <v>0</v>
      </c>
      <c r="U548" s="7" t="s">
        <v>585</v>
      </c>
      <c r="V548" s="27" t="s">
        <v>586</v>
      </c>
      <c r="W548" s="7" t="s">
        <v>4598</v>
      </c>
      <c r="X548" s="28"/>
      <c r="Y548" s="28"/>
      <c r="Z548" s="28"/>
    </row>
    <row r="549">
      <c r="A549" s="7" t="s">
        <v>4599</v>
      </c>
      <c r="B549" s="7" t="s">
        <v>4600</v>
      </c>
      <c r="C549" s="7" t="s">
        <v>4601</v>
      </c>
      <c r="D549" s="7" t="s">
        <v>9</v>
      </c>
      <c r="E549" s="7"/>
      <c r="F549" s="9">
        <v>18.178275</v>
      </c>
      <c r="G549" s="9">
        <v>98.630519</v>
      </c>
      <c r="H549" s="7" t="s">
        <v>1951</v>
      </c>
      <c r="I549" s="9">
        <v>256.55</v>
      </c>
      <c r="J549" s="28"/>
      <c r="K549" s="28"/>
      <c r="L549" s="9"/>
      <c r="M549" s="9">
        <v>261.91</v>
      </c>
      <c r="N549" s="7" t="s">
        <v>2894</v>
      </c>
      <c r="O549" s="7" t="s">
        <v>583</v>
      </c>
      <c r="P549" s="9">
        <v>3.0</v>
      </c>
      <c r="Q549" s="28"/>
      <c r="R549" s="9">
        <v>202.4</v>
      </c>
      <c r="S549" s="7" t="s">
        <v>584</v>
      </c>
      <c r="T549" s="7" t="b">
        <v>0</v>
      </c>
      <c r="U549" s="7" t="s">
        <v>585</v>
      </c>
      <c r="V549" s="27" t="s">
        <v>586</v>
      </c>
      <c r="W549" s="7" t="s">
        <v>4602</v>
      </c>
      <c r="X549" s="28"/>
      <c r="Y549" s="28"/>
      <c r="Z549" s="28"/>
    </row>
    <row r="550">
      <c r="A550" s="7" t="s">
        <v>4603</v>
      </c>
      <c r="B550" s="7" t="s">
        <v>4604</v>
      </c>
      <c r="C550" s="7" t="s">
        <v>3761</v>
      </c>
      <c r="D550" s="7" t="s">
        <v>80</v>
      </c>
      <c r="E550" s="7" t="s">
        <v>3761</v>
      </c>
      <c r="F550" s="9">
        <v>17.79087</v>
      </c>
      <c r="G550" s="9">
        <v>100.74902</v>
      </c>
      <c r="H550" s="7" t="s">
        <v>576</v>
      </c>
      <c r="I550" s="9">
        <v>154.67</v>
      </c>
      <c r="J550" s="28"/>
      <c r="K550" s="28"/>
      <c r="L550" s="9"/>
      <c r="M550" s="9"/>
      <c r="N550" s="7" t="s">
        <v>2894</v>
      </c>
      <c r="O550" s="7" t="s">
        <v>583</v>
      </c>
      <c r="P550" s="9">
        <v>3.0</v>
      </c>
      <c r="Q550" s="28"/>
      <c r="R550" s="9">
        <v>12.4</v>
      </c>
      <c r="S550" s="7" t="s">
        <v>584</v>
      </c>
      <c r="T550" s="7" t="b">
        <v>0</v>
      </c>
      <c r="U550" s="7" t="s">
        <v>585</v>
      </c>
      <c r="V550" s="27" t="s">
        <v>586</v>
      </c>
      <c r="W550" s="7" t="s">
        <v>4606</v>
      </c>
      <c r="X550" s="28"/>
      <c r="Y550" s="28"/>
      <c r="Z550" s="28"/>
    </row>
    <row r="551">
      <c r="A551" s="7" t="s">
        <v>4607</v>
      </c>
      <c r="B551" s="7" t="s">
        <v>4608</v>
      </c>
      <c r="C551" s="7" t="s">
        <v>4609</v>
      </c>
      <c r="D551" s="7" t="s">
        <v>260</v>
      </c>
      <c r="E551" s="7"/>
      <c r="F551" s="9">
        <v>9.029581</v>
      </c>
      <c r="G551" s="9">
        <v>98.969587</v>
      </c>
      <c r="H551" s="7" t="s">
        <v>923</v>
      </c>
      <c r="I551" s="9">
        <v>1.75</v>
      </c>
      <c r="J551" s="28"/>
      <c r="K551" s="28"/>
      <c r="L551" s="28"/>
      <c r="M551" s="9">
        <v>10.2</v>
      </c>
      <c r="N551" s="7" t="s">
        <v>2894</v>
      </c>
      <c r="O551" s="7" t="s">
        <v>583</v>
      </c>
      <c r="P551" s="9">
        <v>3.0</v>
      </c>
      <c r="Q551" s="28"/>
      <c r="R551" s="9">
        <v>22.4</v>
      </c>
      <c r="S551" s="7" t="s">
        <v>584</v>
      </c>
      <c r="T551" s="7" t="b">
        <v>0</v>
      </c>
      <c r="U551" s="7" t="s">
        <v>585</v>
      </c>
      <c r="V551" s="27" t="s">
        <v>586</v>
      </c>
      <c r="W551" s="7" t="s">
        <v>4610</v>
      </c>
      <c r="X551" s="28"/>
      <c r="Y551" s="28"/>
      <c r="Z551" s="28"/>
    </row>
    <row r="552">
      <c r="A552" s="7" t="s">
        <v>4611</v>
      </c>
      <c r="B552" s="7" t="s">
        <v>4612</v>
      </c>
      <c r="C552" s="7" t="s">
        <v>4613</v>
      </c>
      <c r="D552" s="7" t="s">
        <v>9</v>
      </c>
      <c r="E552" s="7" t="s">
        <v>4614</v>
      </c>
      <c r="F552" s="9">
        <v>18.771976</v>
      </c>
      <c r="G552" s="9">
        <v>98.862595</v>
      </c>
      <c r="H552" s="7" t="s">
        <v>576</v>
      </c>
      <c r="I552" s="9">
        <v>379.61</v>
      </c>
      <c r="J552" s="28"/>
      <c r="K552" s="28"/>
      <c r="L552" s="9"/>
      <c r="M552" s="9"/>
      <c r="N552" s="7" t="s">
        <v>2894</v>
      </c>
      <c r="O552" s="7" t="s">
        <v>583</v>
      </c>
      <c r="P552" s="9">
        <v>3.0</v>
      </c>
      <c r="Q552" s="28"/>
      <c r="R552" s="9">
        <v>12.4</v>
      </c>
      <c r="S552" s="7" t="s">
        <v>584</v>
      </c>
      <c r="T552" s="7" t="b">
        <v>0</v>
      </c>
      <c r="U552" s="7" t="s">
        <v>585</v>
      </c>
      <c r="V552" s="27" t="s">
        <v>586</v>
      </c>
      <c r="W552" s="7" t="s">
        <v>4622</v>
      </c>
      <c r="X552" s="28"/>
      <c r="Y552" s="28"/>
      <c r="Z552" s="28"/>
    </row>
    <row r="553">
      <c r="A553" s="7" t="s">
        <v>4623</v>
      </c>
      <c r="B553" s="7" t="s">
        <v>4624</v>
      </c>
      <c r="C553" s="7" t="s">
        <v>4625</v>
      </c>
      <c r="D553" s="7" t="s">
        <v>136</v>
      </c>
      <c r="E553" s="7" t="s">
        <v>875</v>
      </c>
      <c r="F553" s="9">
        <v>14.194874</v>
      </c>
      <c r="G553" s="9">
        <v>100.13267</v>
      </c>
      <c r="H553" s="7" t="s">
        <v>576</v>
      </c>
      <c r="I553" s="9">
        <v>1.39</v>
      </c>
      <c r="J553" s="28"/>
      <c r="K553" s="28"/>
      <c r="L553" s="9"/>
      <c r="M553" s="9"/>
      <c r="N553" s="7" t="s">
        <v>2894</v>
      </c>
      <c r="O553" s="7" t="s">
        <v>583</v>
      </c>
      <c r="P553" s="9">
        <v>3.0</v>
      </c>
      <c r="Q553" s="28"/>
      <c r="R553" s="9">
        <v>12.4</v>
      </c>
      <c r="S553" s="7" t="s">
        <v>584</v>
      </c>
      <c r="T553" s="7" t="b">
        <v>0</v>
      </c>
      <c r="U553" s="7" t="s">
        <v>585</v>
      </c>
      <c r="V553" s="27" t="s">
        <v>586</v>
      </c>
      <c r="W553" s="7" t="s">
        <v>4626</v>
      </c>
      <c r="X553" s="28"/>
      <c r="Y553" s="28"/>
      <c r="Z553" s="28"/>
    </row>
    <row r="554">
      <c r="A554" s="7" t="s">
        <v>4627</v>
      </c>
      <c r="B554" s="7" t="s">
        <v>4628</v>
      </c>
      <c r="C554" s="7" t="s">
        <v>4629</v>
      </c>
      <c r="D554" s="7" t="s">
        <v>9</v>
      </c>
      <c r="E554" s="7" t="s">
        <v>4630</v>
      </c>
      <c r="F554" s="9">
        <v>19.015091</v>
      </c>
      <c r="G554" s="9">
        <v>98.880836</v>
      </c>
      <c r="H554" s="7" t="s">
        <v>3412</v>
      </c>
      <c r="I554" s="9">
        <v>341.29</v>
      </c>
      <c r="J554" s="28"/>
      <c r="K554" s="28"/>
      <c r="L554" s="9"/>
      <c r="M554" s="9"/>
      <c r="N554" s="7" t="s">
        <v>2894</v>
      </c>
      <c r="O554" s="7" t="s">
        <v>583</v>
      </c>
      <c r="P554" s="9">
        <v>3.0</v>
      </c>
      <c r="Q554" s="28"/>
      <c r="R554" s="9">
        <v>562.4</v>
      </c>
      <c r="S554" s="7" t="s">
        <v>584</v>
      </c>
      <c r="T554" s="7" t="b">
        <v>0</v>
      </c>
      <c r="U554" s="7" t="s">
        <v>585</v>
      </c>
      <c r="V554" s="27" t="s">
        <v>586</v>
      </c>
      <c r="W554" s="7" t="s">
        <v>4631</v>
      </c>
      <c r="X554" s="28"/>
      <c r="Y554" s="28"/>
      <c r="Z554" s="28"/>
    </row>
    <row r="555">
      <c r="A555" s="7" t="s">
        <v>4632</v>
      </c>
      <c r="B555" s="7" t="s">
        <v>4633</v>
      </c>
      <c r="C555" s="7" t="s">
        <v>4634</v>
      </c>
      <c r="D555" s="7" t="s">
        <v>58</v>
      </c>
      <c r="E555" s="7" t="s">
        <v>1047</v>
      </c>
      <c r="F555" s="9">
        <v>18.599714</v>
      </c>
      <c r="G555" s="9">
        <v>100.1496</v>
      </c>
      <c r="H555" s="7" t="s">
        <v>923</v>
      </c>
      <c r="I555" s="9">
        <v>183.52</v>
      </c>
      <c r="J555" s="28"/>
      <c r="K555" s="28"/>
      <c r="L555" s="28"/>
      <c r="M555" s="9"/>
      <c r="N555" s="7" t="s">
        <v>2894</v>
      </c>
      <c r="O555" s="7" t="s">
        <v>583</v>
      </c>
      <c r="P555" s="9">
        <v>3.0</v>
      </c>
      <c r="Q555" s="28"/>
      <c r="R555" s="9">
        <v>22.4</v>
      </c>
      <c r="S555" s="7" t="s">
        <v>584</v>
      </c>
      <c r="T555" s="7" t="b">
        <v>0</v>
      </c>
      <c r="U555" s="7" t="s">
        <v>585</v>
      </c>
      <c r="V555" s="27" t="s">
        <v>586</v>
      </c>
      <c r="W555" s="7" t="s">
        <v>4635</v>
      </c>
      <c r="X555" s="28"/>
      <c r="Y555" s="28"/>
      <c r="Z555" s="28"/>
    </row>
    <row r="556">
      <c r="A556" s="7" t="s">
        <v>4636</v>
      </c>
      <c r="B556" s="7" t="s">
        <v>4637</v>
      </c>
      <c r="C556" s="7" t="s">
        <v>4514</v>
      </c>
      <c r="D556" s="7" t="s">
        <v>74</v>
      </c>
      <c r="E556" s="7" t="s">
        <v>2799</v>
      </c>
      <c r="F556" s="9">
        <v>16.855261</v>
      </c>
      <c r="G556" s="9">
        <v>99.124489</v>
      </c>
      <c r="H556" s="7" t="s">
        <v>618</v>
      </c>
      <c r="I556" s="9">
        <v>104.85</v>
      </c>
      <c r="J556" s="28"/>
      <c r="K556" s="28"/>
      <c r="L556" s="9"/>
      <c r="M556" s="9"/>
      <c r="N556" s="7" t="s">
        <v>2894</v>
      </c>
      <c r="O556" s="7" t="s">
        <v>583</v>
      </c>
      <c r="P556" s="9">
        <v>3.0</v>
      </c>
      <c r="Q556" s="28"/>
      <c r="R556" s="9">
        <v>82.4</v>
      </c>
      <c r="S556" s="7" t="s">
        <v>584</v>
      </c>
      <c r="T556" s="7" t="b">
        <v>0</v>
      </c>
      <c r="U556" s="7" t="s">
        <v>585</v>
      </c>
      <c r="V556" s="27" t="s">
        <v>586</v>
      </c>
      <c r="W556" s="7" t="s">
        <v>4639</v>
      </c>
      <c r="X556" s="28"/>
      <c r="Y556" s="28"/>
      <c r="Z556" s="28"/>
    </row>
    <row r="557">
      <c r="A557" s="7" t="s">
        <v>4640</v>
      </c>
      <c r="B557" s="7" t="s">
        <v>4641</v>
      </c>
      <c r="C557" s="7" t="s">
        <v>4642</v>
      </c>
      <c r="D557" s="7" t="s">
        <v>9</v>
      </c>
      <c r="E557" s="7" t="s">
        <v>4643</v>
      </c>
      <c r="F557" s="9">
        <v>19.133591</v>
      </c>
      <c r="G557" s="9">
        <v>99.166328</v>
      </c>
      <c r="H557" s="7" t="s">
        <v>2800</v>
      </c>
      <c r="I557" s="9">
        <v>413.79</v>
      </c>
      <c r="J557" s="28"/>
      <c r="K557" s="28"/>
      <c r="L557" s="9"/>
      <c r="M557" s="9"/>
      <c r="N557" s="7" t="s">
        <v>2894</v>
      </c>
      <c r="O557" s="7" t="s">
        <v>583</v>
      </c>
      <c r="P557" s="9">
        <v>3.0</v>
      </c>
      <c r="Q557" s="28"/>
      <c r="R557" s="9">
        <v>382.4</v>
      </c>
      <c r="S557" s="7" t="s">
        <v>584</v>
      </c>
      <c r="T557" s="7" t="b">
        <v>0</v>
      </c>
      <c r="U557" s="7" t="s">
        <v>585</v>
      </c>
      <c r="V557" s="27" t="s">
        <v>586</v>
      </c>
      <c r="W557" s="7" t="s">
        <v>4644</v>
      </c>
      <c r="X557" s="28"/>
      <c r="Y557" s="28"/>
      <c r="Z557" s="28"/>
    </row>
    <row r="558">
      <c r="A558" s="7" t="s">
        <v>4645</v>
      </c>
      <c r="B558" s="7" t="s">
        <v>4646</v>
      </c>
      <c r="C558" s="7" t="s">
        <v>4647</v>
      </c>
      <c r="D558" s="7" t="s">
        <v>260</v>
      </c>
      <c r="E558" s="7"/>
      <c r="F558" s="9">
        <v>9.068123</v>
      </c>
      <c r="G558" s="9">
        <v>98.98318</v>
      </c>
      <c r="H558" s="7" t="s">
        <v>923</v>
      </c>
      <c r="I558" s="9">
        <v>8.36</v>
      </c>
      <c r="J558" s="28"/>
      <c r="K558" s="28"/>
      <c r="L558" s="9"/>
      <c r="M558" s="9">
        <v>11.49</v>
      </c>
      <c r="N558" s="7" t="s">
        <v>2894</v>
      </c>
      <c r="O558" s="7" t="s">
        <v>583</v>
      </c>
      <c r="P558" s="9">
        <v>3.0</v>
      </c>
      <c r="Q558" s="28"/>
      <c r="R558" s="9">
        <v>22.4</v>
      </c>
      <c r="S558" s="7" t="s">
        <v>584</v>
      </c>
      <c r="T558" s="7" t="b">
        <v>0</v>
      </c>
      <c r="U558" s="7" t="s">
        <v>585</v>
      </c>
      <c r="V558" s="27" t="s">
        <v>586</v>
      </c>
      <c r="W558" s="7" t="s">
        <v>4648</v>
      </c>
      <c r="X558" s="28"/>
      <c r="Y558" s="28"/>
      <c r="Z558" s="28"/>
    </row>
    <row r="559">
      <c r="A559" s="7" t="s">
        <v>4649</v>
      </c>
      <c r="B559" s="7" t="s">
        <v>4650</v>
      </c>
      <c r="C559" s="7" t="s">
        <v>4651</v>
      </c>
      <c r="D559" s="7" t="s">
        <v>224</v>
      </c>
      <c r="E559" s="7" t="s">
        <v>3406</v>
      </c>
      <c r="F559" s="9">
        <v>14.49406</v>
      </c>
      <c r="G559" s="9">
        <v>101.684914</v>
      </c>
      <c r="H559" s="7" t="s">
        <v>3412</v>
      </c>
      <c r="I559" s="9">
        <v>387.0</v>
      </c>
      <c r="J559" s="28"/>
      <c r="K559" s="28"/>
      <c r="L559" s="28"/>
      <c r="M559" s="9"/>
      <c r="N559" s="7" t="s">
        <v>2894</v>
      </c>
      <c r="O559" s="7" t="s">
        <v>583</v>
      </c>
      <c r="P559" s="9">
        <v>3.0</v>
      </c>
      <c r="Q559" s="28"/>
      <c r="R559" s="9">
        <v>562.4</v>
      </c>
      <c r="S559" s="7" t="s">
        <v>584</v>
      </c>
      <c r="T559" s="7" t="b">
        <v>0</v>
      </c>
      <c r="U559" s="7" t="s">
        <v>585</v>
      </c>
      <c r="V559" s="27" t="s">
        <v>586</v>
      </c>
      <c r="W559" s="7" t="s">
        <v>4652</v>
      </c>
      <c r="X559" s="28"/>
      <c r="Y559" s="28"/>
      <c r="Z559" s="28"/>
    </row>
    <row r="560">
      <c r="A560" s="7" t="s">
        <v>4653</v>
      </c>
      <c r="B560" s="7" t="s">
        <v>4654</v>
      </c>
      <c r="C560" s="7" t="s">
        <v>4655</v>
      </c>
      <c r="D560" s="7" t="s">
        <v>292</v>
      </c>
      <c r="E560" s="7" t="s">
        <v>2988</v>
      </c>
      <c r="F560" s="9">
        <v>7.58883</v>
      </c>
      <c r="G560" s="9">
        <v>99.576874</v>
      </c>
      <c r="H560" s="7" t="s">
        <v>1951</v>
      </c>
      <c r="I560" s="9">
        <v>0.67</v>
      </c>
      <c r="J560" s="28"/>
      <c r="K560" s="28"/>
      <c r="L560" s="28"/>
      <c r="M560" s="9"/>
      <c r="N560" s="7" t="s">
        <v>2894</v>
      </c>
      <c r="O560" s="7" t="s">
        <v>583</v>
      </c>
      <c r="P560" s="9">
        <v>3.0</v>
      </c>
      <c r="Q560" s="28"/>
      <c r="R560" s="9">
        <v>202.4</v>
      </c>
      <c r="S560" s="7" t="s">
        <v>584</v>
      </c>
      <c r="T560" s="7" t="b">
        <v>0</v>
      </c>
      <c r="U560" s="7" t="s">
        <v>585</v>
      </c>
      <c r="V560" s="27" t="s">
        <v>586</v>
      </c>
      <c r="W560" s="7" t="s">
        <v>4661</v>
      </c>
      <c r="X560" s="28"/>
      <c r="Y560" s="28"/>
      <c r="Z560" s="28"/>
    </row>
    <row r="561">
      <c r="A561" s="7" t="s">
        <v>4663</v>
      </c>
      <c r="B561" s="7" t="s">
        <v>4664</v>
      </c>
      <c r="C561" s="7" t="s">
        <v>4665</v>
      </c>
      <c r="D561" s="7" t="s">
        <v>259</v>
      </c>
      <c r="E561" s="7" t="s">
        <v>4666</v>
      </c>
      <c r="F561" s="9">
        <v>7.954553</v>
      </c>
      <c r="G561" s="9">
        <v>99.896324</v>
      </c>
      <c r="H561" s="7" t="s">
        <v>576</v>
      </c>
      <c r="I561" s="9">
        <v>10.79</v>
      </c>
      <c r="J561" s="28"/>
      <c r="K561" s="28"/>
      <c r="L561" s="28"/>
      <c r="M561" s="9"/>
      <c r="N561" s="7" t="s">
        <v>2894</v>
      </c>
      <c r="O561" s="7" t="s">
        <v>583</v>
      </c>
      <c r="P561" s="9">
        <v>3.0</v>
      </c>
      <c r="Q561" s="28"/>
      <c r="R561" s="9">
        <v>12.4</v>
      </c>
      <c r="S561" s="7" t="s">
        <v>584</v>
      </c>
      <c r="T561" s="7" t="b">
        <v>0</v>
      </c>
      <c r="U561" s="7" t="s">
        <v>585</v>
      </c>
      <c r="V561" s="27" t="s">
        <v>586</v>
      </c>
      <c r="W561" s="7" t="s">
        <v>4668</v>
      </c>
      <c r="X561" s="28"/>
      <c r="Y561" s="28"/>
      <c r="Z561" s="28"/>
    </row>
    <row r="562">
      <c r="A562" s="7" t="s">
        <v>4669</v>
      </c>
      <c r="B562" s="7" t="s">
        <v>4670</v>
      </c>
      <c r="C562" s="7" t="s">
        <v>4671</v>
      </c>
      <c r="D562" s="7" t="s">
        <v>53</v>
      </c>
      <c r="E562" s="7" t="s">
        <v>4672</v>
      </c>
      <c r="F562" s="9">
        <v>20.218361</v>
      </c>
      <c r="G562" s="9">
        <v>99.856987</v>
      </c>
      <c r="H562" s="7" t="s">
        <v>4578</v>
      </c>
      <c r="I562" s="9">
        <v>394.91</v>
      </c>
      <c r="J562" s="28"/>
      <c r="K562" s="28"/>
      <c r="L562" s="28"/>
      <c r="M562" s="9"/>
      <c r="N562" s="7" t="s">
        <v>2894</v>
      </c>
      <c r="O562" s="7" t="s">
        <v>583</v>
      </c>
      <c r="P562" s="9">
        <v>3.0</v>
      </c>
      <c r="Q562" s="28"/>
      <c r="R562" s="9">
        <v>322.4</v>
      </c>
      <c r="S562" s="7" t="s">
        <v>584</v>
      </c>
      <c r="T562" s="7" t="b">
        <v>0</v>
      </c>
      <c r="U562" s="7" t="s">
        <v>585</v>
      </c>
      <c r="V562" s="27" t="s">
        <v>586</v>
      </c>
      <c r="W562" s="7" t="s">
        <v>4673</v>
      </c>
      <c r="X562" s="28"/>
      <c r="Y562" s="28"/>
      <c r="Z562" s="28"/>
    </row>
    <row r="563">
      <c r="A563" s="7" t="s">
        <v>4674</v>
      </c>
      <c r="B563" s="7" t="s">
        <v>4675</v>
      </c>
      <c r="C563" s="7" t="s">
        <v>4676</v>
      </c>
      <c r="D563" s="7" t="s">
        <v>61</v>
      </c>
      <c r="E563" s="7" t="s">
        <v>2587</v>
      </c>
      <c r="F563" s="9">
        <v>16.998871</v>
      </c>
      <c r="G563" s="9">
        <v>100.32663</v>
      </c>
      <c r="H563" s="7" t="s">
        <v>618</v>
      </c>
      <c r="I563" s="9">
        <v>42.56</v>
      </c>
      <c r="J563" s="28"/>
      <c r="K563" s="28"/>
      <c r="L563" s="28"/>
      <c r="M563" s="9"/>
      <c r="N563" s="7" t="s">
        <v>2894</v>
      </c>
      <c r="O563" s="7" t="s">
        <v>583</v>
      </c>
      <c r="P563" s="9">
        <v>3.0</v>
      </c>
      <c r="Q563" s="28"/>
      <c r="R563" s="9">
        <v>82.4</v>
      </c>
      <c r="S563" s="7" t="s">
        <v>584</v>
      </c>
      <c r="T563" s="7" t="b">
        <v>0</v>
      </c>
      <c r="U563" s="7" t="s">
        <v>585</v>
      </c>
      <c r="V563" s="27" t="s">
        <v>586</v>
      </c>
      <c r="W563" s="7" t="s">
        <v>4677</v>
      </c>
      <c r="X563" s="28"/>
      <c r="Y563" s="28"/>
      <c r="Z563" s="28"/>
    </row>
    <row r="564">
      <c r="A564" s="7" t="s">
        <v>4678</v>
      </c>
      <c r="B564" s="7" t="s">
        <v>4679</v>
      </c>
      <c r="C564" s="7" t="s">
        <v>4680</v>
      </c>
      <c r="D564" s="7" t="s">
        <v>101</v>
      </c>
      <c r="E564" s="7"/>
      <c r="F564" s="9">
        <v>15.511389</v>
      </c>
      <c r="G564" s="9">
        <v>101.34012</v>
      </c>
      <c r="H564" s="7" t="s">
        <v>576</v>
      </c>
      <c r="I564" s="9">
        <v>130.27</v>
      </c>
      <c r="J564" s="28"/>
      <c r="K564" s="28"/>
      <c r="L564" s="9"/>
      <c r="M564" s="9"/>
      <c r="N564" s="7" t="s">
        <v>2894</v>
      </c>
      <c r="O564" s="7" t="s">
        <v>583</v>
      </c>
      <c r="P564" s="9">
        <v>3.0</v>
      </c>
      <c r="Q564" s="28"/>
      <c r="R564" s="9">
        <v>12.4</v>
      </c>
      <c r="S564" s="7" t="s">
        <v>584</v>
      </c>
      <c r="T564" s="7" t="b">
        <v>0</v>
      </c>
      <c r="U564" s="7" t="s">
        <v>585</v>
      </c>
      <c r="V564" s="27" t="s">
        <v>586</v>
      </c>
      <c r="W564" s="7" t="s">
        <v>4682</v>
      </c>
      <c r="X564" s="28"/>
      <c r="Y564" s="28"/>
      <c r="Z564" s="28"/>
    </row>
    <row r="565">
      <c r="A565" s="7" t="s">
        <v>4683</v>
      </c>
      <c r="B565" s="7" t="s">
        <v>4684</v>
      </c>
      <c r="C565" s="7" t="s">
        <v>4685</v>
      </c>
      <c r="D565" s="7" t="s">
        <v>9</v>
      </c>
      <c r="E565" s="7"/>
      <c r="F565" s="9">
        <v>19.238968</v>
      </c>
      <c r="G565" s="9">
        <v>99.18048</v>
      </c>
      <c r="H565" s="7" t="s">
        <v>576</v>
      </c>
      <c r="I565" s="9">
        <v>398.57</v>
      </c>
      <c r="J565" s="28"/>
      <c r="K565" s="28"/>
      <c r="L565" s="9"/>
      <c r="M565" s="9"/>
      <c r="N565" s="7" t="s">
        <v>2894</v>
      </c>
      <c r="O565" s="7" t="s">
        <v>583</v>
      </c>
      <c r="P565" s="9">
        <v>3.0</v>
      </c>
      <c r="Q565" s="28"/>
      <c r="R565" s="9">
        <v>12.4</v>
      </c>
      <c r="S565" s="7" t="s">
        <v>584</v>
      </c>
      <c r="T565" s="7" t="b">
        <v>0</v>
      </c>
      <c r="U565" s="7" t="s">
        <v>585</v>
      </c>
      <c r="V565" s="27" t="s">
        <v>586</v>
      </c>
      <c r="W565" s="7" t="s">
        <v>4686</v>
      </c>
      <c r="X565" s="28"/>
      <c r="Y565" s="28"/>
      <c r="Z565" s="28"/>
    </row>
    <row r="566">
      <c r="A566" s="7" t="s">
        <v>4687</v>
      </c>
      <c r="B566" s="7" t="s">
        <v>4688</v>
      </c>
      <c r="C566" s="7" t="s">
        <v>4689</v>
      </c>
      <c r="D566" s="7" t="s">
        <v>9</v>
      </c>
      <c r="E566" s="7" t="s">
        <v>2799</v>
      </c>
      <c r="F566" s="9">
        <v>19.36728</v>
      </c>
      <c r="G566" s="9">
        <v>98.96884</v>
      </c>
      <c r="H566" s="7" t="s">
        <v>576</v>
      </c>
      <c r="I566" s="9">
        <v>379.14</v>
      </c>
      <c r="J566" s="28"/>
      <c r="K566" s="28"/>
      <c r="L566" s="9"/>
      <c r="M566" s="9"/>
      <c r="N566" s="7" t="s">
        <v>2894</v>
      </c>
      <c r="O566" s="7" t="s">
        <v>583</v>
      </c>
      <c r="P566" s="9">
        <v>3.0</v>
      </c>
      <c r="Q566" s="28"/>
      <c r="R566" s="9">
        <v>12.4</v>
      </c>
      <c r="S566" s="7" t="s">
        <v>584</v>
      </c>
      <c r="T566" s="7" t="b">
        <v>0</v>
      </c>
      <c r="U566" s="7" t="s">
        <v>585</v>
      </c>
      <c r="V566" s="27" t="s">
        <v>586</v>
      </c>
      <c r="W566" s="7" t="s">
        <v>4690</v>
      </c>
      <c r="X566" s="28"/>
      <c r="Y566" s="28"/>
      <c r="Z566" s="28"/>
    </row>
    <row r="567">
      <c r="A567" s="7" t="s">
        <v>4691</v>
      </c>
      <c r="B567" s="7" t="s">
        <v>4692</v>
      </c>
      <c r="C567" s="7" t="s">
        <v>4693</v>
      </c>
      <c r="D567" s="7" t="s">
        <v>9</v>
      </c>
      <c r="E567" s="7" t="s">
        <v>4694</v>
      </c>
      <c r="F567" s="9">
        <v>19.220449</v>
      </c>
      <c r="G567" s="9">
        <v>98.847214</v>
      </c>
      <c r="H567" s="7" t="s">
        <v>3579</v>
      </c>
      <c r="I567" s="9">
        <v>441.4</v>
      </c>
      <c r="J567" s="28"/>
      <c r="K567" s="28"/>
      <c r="L567" s="28"/>
      <c r="M567" s="9"/>
      <c r="N567" s="7" t="s">
        <v>2894</v>
      </c>
      <c r="O567" s="7" t="s">
        <v>583</v>
      </c>
      <c r="P567" s="9">
        <v>3.0</v>
      </c>
      <c r="Q567" s="28"/>
      <c r="R567" s="9">
        <v>262.4</v>
      </c>
      <c r="S567" s="7" t="s">
        <v>584</v>
      </c>
      <c r="T567" s="7" t="b">
        <v>0</v>
      </c>
      <c r="U567" s="7" t="s">
        <v>585</v>
      </c>
      <c r="V567" s="27" t="s">
        <v>586</v>
      </c>
      <c r="W567" s="7" t="s">
        <v>4695</v>
      </c>
      <c r="X567" s="28"/>
      <c r="Y567" s="28"/>
      <c r="Z567" s="28"/>
    </row>
    <row r="568">
      <c r="A568" s="7" t="s">
        <v>4696</v>
      </c>
      <c r="B568" s="7" t="s">
        <v>4697</v>
      </c>
      <c r="C568" s="7" t="s">
        <v>4698</v>
      </c>
      <c r="D568" s="7" t="s">
        <v>61</v>
      </c>
      <c r="E568" s="7" t="s">
        <v>2006</v>
      </c>
      <c r="F568" s="9">
        <v>16.67167</v>
      </c>
      <c r="G568" s="9">
        <v>100.24581</v>
      </c>
      <c r="H568" s="7" t="s">
        <v>576</v>
      </c>
      <c r="I568" s="9">
        <v>37.05</v>
      </c>
      <c r="J568" s="28"/>
      <c r="K568" s="28"/>
      <c r="L568" s="28"/>
      <c r="M568" s="9"/>
      <c r="N568" s="7" t="s">
        <v>2894</v>
      </c>
      <c r="O568" s="7" t="s">
        <v>583</v>
      </c>
      <c r="P568" s="9">
        <v>3.0</v>
      </c>
      <c r="Q568" s="28"/>
      <c r="R568" s="9">
        <v>12.4</v>
      </c>
      <c r="S568" s="7" t="s">
        <v>584</v>
      </c>
      <c r="T568" s="7" t="b">
        <v>0</v>
      </c>
      <c r="U568" s="7" t="s">
        <v>585</v>
      </c>
      <c r="V568" s="27" t="s">
        <v>586</v>
      </c>
      <c r="W568" s="7" t="s">
        <v>4704</v>
      </c>
      <c r="X568" s="28"/>
      <c r="Y568" s="28"/>
      <c r="Z568" s="28"/>
    </row>
    <row r="569">
      <c r="A569" s="7" t="s">
        <v>4705</v>
      </c>
      <c r="B569" s="7" t="s">
        <v>4706</v>
      </c>
      <c r="C569" s="7" t="s">
        <v>4707</v>
      </c>
      <c r="D569" s="7" t="s">
        <v>241</v>
      </c>
      <c r="E569" s="7" t="s">
        <v>4708</v>
      </c>
      <c r="F569" s="9">
        <v>16.546862</v>
      </c>
      <c r="G569" s="9">
        <v>104.730385</v>
      </c>
      <c r="H569" s="7" t="s">
        <v>576</v>
      </c>
      <c r="I569" s="9">
        <v>128.81</v>
      </c>
      <c r="J569" s="28"/>
      <c r="K569" s="28"/>
      <c r="L569" s="28"/>
      <c r="M569" s="9"/>
      <c r="N569" s="7" t="s">
        <v>4709</v>
      </c>
      <c r="O569" s="7" t="s">
        <v>583</v>
      </c>
      <c r="P569" s="9">
        <v>2.0</v>
      </c>
      <c r="Q569" s="28"/>
      <c r="R569" s="9">
        <v>12.4</v>
      </c>
      <c r="S569" s="7" t="s">
        <v>584</v>
      </c>
      <c r="T569" s="7" t="b">
        <v>0</v>
      </c>
      <c r="U569" s="7" t="s">
        <v>585</v>
      </c>
      <c r="V569" s="27" t="s">
        <v>586</v>
      </c>
      <c r="W569" s="7" t="s">
        <v>4713</v>
      </c>
      <c r="X569" s="28"/>
      <c r="Y569" s="28"/>
      <c r="Z569" s="28"/>
    </row>
    <row r="570">
      <c r="A570" s="7" t="s">
        <v>4714</v>
      </c>
      <c r="B570" s="7" t="s">
        <v>4715</v>
      </c>
      <c r="C570" s="7" t="s">
        <v>4716</v>
      </c>
      <c r="D570" s="7" t="s">
        <v>9</v>
      </c>
      <c r="E570" s="7" t="s">
        <v>4718</v>
      </c>
      <c r="F570" s="9">
        <v>18.20228</v>
      </c>
      <c r="G570" s="9">
        <v>98.614441</v>
      </c>
      <c r="H570" s="7" t="s">
        <v>4026</v>
      </c>
      <c r="I570" s="9">
        <v>261.86</v>
      </c>
      <c r="J570" s="28"/>
      <c r="K570" s="28"/>
      <c r="L570" s="28"/>
      <c r="M570" s="9"/>
      <c r="N570" s="7" t="s">
        <v>4709</v>
      </c>
      <c r="O570" s="7" t="s">
        <v>583</v>
      </c>
      <c r="P570" s="9">
        <v>2.0</v>
      </c>
      <c r="Q570" s="28"/>
      <c r="R570" s="9">
        <v>622.4</v>
      </c>
      <c r="S570" s="7" t="s">
        <v>584</v>
      </c>
      <c r="T570" s="7" t="b">
        <v>0</v>
      </c>
      <c r="U570" s="7" t="s">
        <v>585</v>
      </c>
      <c r="V570" s="27" t="s">
        <v>586</v>
      </c>
      <c r="W570" s="7" t="s">
        <v>4719</v>
      </c>
      <c r="X570" s="28"/>
      <c r="Y570" s="28"/>
      <c r="Z570" s="28"/>
    </row>
    <row r="571">
      <c r="A571" s="7" t="s">
        <v>4720</v>
      </c>
      <c r="B571" s="7" t="s">
        <v>4721</v>
      </c>
      <c r="C571" s="7" t="s">
        <v>4722</v>
      </c>
      <c r="D571" s="7" t="s">
        <v>58</v>
      </c>
      <c r="E571" s="7" t="s">
        <v>4723</v>
      </c>
      <c r="F571" s="9">
        <v>18.243488</v>
      </c>
      <c r="G571" s="9">
        <v>99.97737</v>
      </c>
      <c r="H571" s="7" t="s">
        <v>576</v>
      </c>
      <c r="I571" s="9">
        <v>182.33</v>
      </c>
      <c r="J571" s="28"/>
      <c r="K571" s="28"/>
      <c r="L571" s="28"/>
      <c r="M571" s="9"/>
      <c r="N571" s="7" t="s">
        <v>4709</v>
      </c>
      <c r="O571" s="7" t="s">
        <v>583</v>
      </c>
      <c r="P571" s="9">
        <v>2.0</v>
      </c>
      <c r="Q571" s="28"/>
      <c r="R571" s="9">
        <v>12.4</v>
      </c>
      <c r="S571" s="7" t="s">
        <v>584</v>
      </c>
      <c r="T571" s="7" t="b">
        <v>0</v>
      </c>
      <c r="U571" s="7" t="s">
        <v>585</v>
      </c>
      <c r="V571" s="27" t="s">
        <v>586</v>
      </c>
      <c r="W571" s="7" t="s">
        <v>4724</v>
      </c>
      <c r="X571" s="28"/>
      <c r="Y571" s="28"/>
      <c r="Z571" s="28"/>
    </row>
    <row r="572">
      <c r="A572" s="7" t="s">
        <v>4725</v>
      </c>
      <c r="B572" s="7" t="s">
        <v>4726</v>
      </c>
      <c r="C572" s="7" t="s">
        <v>4727</v>
      </c>
      <c r="D572" s="7" t="s">
        <v>9</v>
      </c>
      <c r="E572" s="7" t="s">
        <v>2799</v>
      </c>
      <c r="F572" s="9">
        <v>18.17859</v>
      </c>
      <c r="G572" s="9">
        <v>98.63017</v>
      </c>
      <c r="H572" s="7" t="s">
        <v>576</v>
      </c>
      <c r="I572" s="9">
        <v>256.36</v>
      </c>
      <c r="J572" s="28"/>
      <c r="K572" s="28"/>
      <c r="L572" s="28"/>
      <c r="M572" s="9"/>
      <c r="N572" s="7" t="s">
        <v>4709</v>
      </c>
      <c r="O572" s="7" t="s">
        <v>583</v>
      </c>
      <c r="P572" s="9">
        <v>2.0</v>
      </c>
      <c r="Q572" s="28"/>
      <c r="R572" s="9">
        <v>12.4</v>
      </c>
      <c r="S572" s="7" t="s">
        <v>584</v>
      </c>
      <c r="T572" s="7" t="b">
        <v>0</v>
      </c>
      <c r="U572" s="7" t="s">
        <v>585</v>
      </c>
      <c r="V572" s="27" t="s">
        <v>586</v>
      </c>
      <c r="W572" s="7" t="s">
        <v>4730</v>
      </c>
      <c r="X572" s="28"/>
      <c r="Y572" s="28"/>
      <c r="Z572" s="28"/>
    </row>
    <row r="573">
      <c r="A573" s="7" t="s">
        <v>4731</v>
      </c>
      <c r="B573" s="7" t="s">
        <v>4732</v>
      </c>
      <c r="C573" s="7" t="s">
        <v>4734</v>
      </c>
      <c r="D573" s="7" t="s">
        <v>304</v>
      </c>
      <c r="E573" s="7" t="s">
        <v>2230</v>
      </c>
      <c r="F573" s="9">
        <v>6.22716</v>
      </c>
      <c r="G573" s="9">
        <v>101.496948</v>
      </c>
      <c r="H573" s="7" t="s">
        <v>1951</v>
      </c>
      <c r="I573" s="9">
        <v>23.5</v>
      </c>
      <c r="J573" s="28"/>
      <c r="K573" s="28"/>
      <c r="L573" s="28"/>
      <c r="M573" s="9"/>
      <c r="N573" s="7" t="s">
        <v>4709</v>
      </c>
      <c r="O573" s="7" t="s">
        <v>583</v>
      </c>
      <c r="P573" s="9">
        <v>2.0</v>
      </c>
      <c r="Q573" s="28"/>
      <c r="R573" s="9">
        <v>202.4</v>
      </c>
      <c r="S573" s="7" t="s">
        <v>584</v>
      </c>
      <c r="T573" s="7" t="b">
        <v>0</v>
      </c>
      <c r="U573" s="7" t="s">
        <v>585</v>
      </c>
      <c r="V573" s="27" t="s">
        <v>586</v>
      </c>
      <c r="W573" s="7" t="s">
        <v>4735</v>
      </c>
      <c r="X573" s="28"/>
      <c r="Y573" s="28"/>
      <c r="Z573" s="28"/>
    </row>
    <row r="574">
      <c r="A574" s="7" t="s">
        <v>4736</v>
      </c>
      <c r="B574" s="7" t="s">
        <v>4737</v>
      </c>
      <c r="C574" s="7" t="s">
        <v>4738</v>
      </c>
      <c r="D574" s="7" t="s">
        <v>65</v>
      </c>
      <c r="E574" s="7" t="s">
        <v>3469</v>
      </c>
      <c r="F574" s="9">
        <v>17.44521</v>
      </c>
      <c r="G574" s="9">
        <v>99.12897</v>
      </c>
      <c r="H574" s="7" t="s">
        <v>576</v>
      </c>
      <c r="I574" s="9">
        <v>147.58</v>
      </c>
      <c r="J574" s="28"/>
      <c r="K574" s="28"/>
      <c r="L574" s="28"/>
      <c r="M574" s="9"/>
      <c r="N574" s="7" t="s">
        <v>4709</v>
      </c>
      <c r="O574" s="7" t="s">
        <v>583</v>
      </c>
      <c r="P574" s="9">
        <v>2.0</v>
      </c>
      <c r="Q574" s="28"/>
      <c r="R574" s="9">
        <v>12.4</v>
      </c>
      <c r="S574" s="7" t="s">
        <v>584</v>
      </c>
      <c r="T574" s="7" t="b">
        <v>0</v>
      </c>
      <c r="U574" s="7" t="s">
        <v>585</v>
      </c>
      <c r="V574" s="27" t="s">
        <v>586</v>
      </c>
      <c r="W574" s="7" t="s">
        <v>4743</v>
      </c>
      <c r="X574" s="28"/>
      <c r="Y574" s="28"/>
      <c r="Z574" s="28"/>
    </row>
    <row r="575">
      <c r="A575" s="7" t="s">
        <v>4744</v>
      </c>
      <c r="B575" s="7" t="s">
        <v>4745</v>
      </c>
      <c r="C575" s="7" t="s">
        <v>4746</v>
      </c>
      <c r="D575" s="7" t="s">
        <v>259</v>
      </c>
      <c r="E575" s="7" t="s">
        <v>1949</v>
      </c>
      <c r="F575" s="9">
        <v>8.555</v>
      </c>
      <c r="G575" s="9">
        <v>99.569283</v>
      </c>
      <c r="H575" s="7" t="s">
        <v>1951</v>
      </c>
      <c r="I575" s="9">
        <v>39.66</v>
      </c>
      <c r="J575" s="28"/>
      <c r="K575" s="28"/>
      <c r="L575" s="28"/>
      <c r="M575" s="9"/>
      <c r="N575" s="7" t="s">
        <v>4709</v>
      </c>
      <c r="O575" s="7" t="s">
        <v>583</v>
      </c>
      <c r="P575" s="9">
        <v>2.0</v>
      </c>
      <c r="Q575" s="28"/>
      <c r="R575" s="9">
        <v>202.4</v>
      </c>
      <c r="S575" s="7" t="s">
        <v>584</v>
      </c>
      <c r="T575" s="7" t="b">
        <v>0</v>
      </c>
      <c r="U575" s="7" t="s">
        <v>585</v>
      </c>
      <c r="V575" s="27" t="s">
        <v>586</v>
      </c>
      <c r="W575" s="7" t="s">
        <v>4747</v>
      </c>
      <c r="X575" s="28"/>
      <c r="Y575" s="28"/>
      <c r="Z575" s="28"/>
    </row>
    <row r="576">
      <c r="A576" s="7" t="s">
        <v>4748</v>
      </c>
      <c r="B576" s="7" t="s">
        <v>4749</v>
      </c>
      <c r="C576" s="7" t="s">
        <v>4750</v>
      </c>
      <c r="D576" s="7" t="s">
        <v>9</v>
      </c>
      <c r="E576" s="7" t="s">
        <v>4751</v>
      </c>
      <c r="F576" s="9">
        <v>19.14599</v>
      </c>
      <c r="G576" s="9">
        <v>99.007332</v>
      </c>
      <c r="H576" s="7" t="s">
        <v>3579</v>
      </c>
      <c r="I576" s="9">
        <v>338.21</v>
      </c>
      <c r="J576" s="28"/>
      <c r="K576" s="28"/>
      <c r="L576" s="28"/>
      <c r="M576" s="9"/>
      <c r="N576" s="7" t="s">
        <v>4709</v>
      </c>
      <c r="O576" s="7" t="s">
        <v>583</v>
      </c>
      <c r="P576" s="9">
        <v>2.0</v>
      </c>
      <c r="Q576" s="28"/>
      <c r="R576" s="9">
        <v>262.4</v>
      </c>
      <c r="S576" s="7" t="s">
        <v>584</v>
      </c>
      <c r="T576" s="7" t="b">
        <v>0</v>
      </c>
      <c r="U576" s="7" t="s">
        <v>585</v>
      </c>
      <c r="V576" s="27" t="s">
        <v>586</v>
      </c>
      <c r="W576" s="7" t="s">
        <v>4752</v>
      </c>
      <c r="X576" s="28"/>
      <c r="Y576" s="28"/>
      <c r="Z576" s="28"/>
    </row>
    <row r="577">
      <c r="A577" s="7" t="s">
        <v>4753</v>
      </c>
      <c r="B577" s="7" t="s">
        <v>4754</v>
      </c>
      <c r="C577" s="7" t="s">
        <v>4755</v>
      </c>
      <c r="D577" s="7" t="s">
        <v>298</v>
      </c>
      <c r="E577" s="7" t="s">
        <v>4756</v>
      </c>
      <c r="F577" s="9">
        <v>7.37654</v>
      </c>
      <c r="G577" s="9">
        <v>100.10043</v>
      </c>
      <c r="H577" s="7" t="s">
        <v>576</v>
      </c>
      <c r="I577" s="9">
        <v>16.2</v>
      </c>
      <c r="J577" s="28"/>
      <c r="K577" s="28"/>
      <c r="L577" s="28"/>
      <c r="M577" s="9"/>
      <c r="N577" s="7" t="s">
        <v>4709</v>
      </c>
      <c r="O577" s="7" t="s">
        <v>583</v>
      </c>
      <c r="P577" s="9">
        <v>2.0</v>
      </c>
      <c r="Q577" s="28"/>
      <c r="R577" s="9">
        <v>12.4</v>
      </c>
      <c r="S577" s="7" t="s">
        <v>584</v>
      </c>
      <c r="T577" s="7" t="b">
        <v>0</v>
      </c>
      <c r="U577" s="7" t="s">
        <v>585</v>
      </c>
      <c r="V577" s="27" t="s">
        <v>586</v>
      </c>
      <c r="W577" s="7" t="s">
        <v>4757</v>
      </c>
      <c r="X577" s="28"/>
      <c r="Y577" s="28"/>
      <c r="Z577" s="28"/>
    </row>
    <row r="578">
      <c r="A578" s="7" t="s">
        <v>4758</v>
      </c>
      <c r="B578" s="7" t="s">
        <v>4759</v>
      </c>
      <c r="C578" s="7" t="s">
        <v>4760</v>
      </c>
      <c r="D578" s="7" t="s">
        <v>60</v>
      </c>
      <c r="E578" s="7" t="s">
        <v>4761</v>
      </c>
      <c r="F578" s="9">
        <v>19.175901</v>
      </c>
      <c r="G578" s="9">
        <v>100.92981</v>
      </c>
      <c r="H578" s="7" t="s">
        <v>576</v>
      </c>
      <c r="I578" s="9">
        <v>257.02</v>
      </c>
      <c r="J578" s="28"/>
      <c r="K578" s="28"/>
      <c r="L578" s="28"/>
      <c r="M578" s="9"/>
      <c r="N578" s="7" t="s">
        <v>4709</v>
      </c>
      <c r="O578" s="7" t="s">
        <v>583</v>
      </c>
      <c r="P578" s="9">
        <v>2.0</v>
      </c>
      <c r="Q578" s="28"/>
      <c r="R578" s="9">
        <v>12.4</v>
      </c>
      <c r="S578" s="7" t="s">
        <v>584</v>
      </c>
      <c r="T578" s="7" t="b">
        <v>0</v>
      </c>
      <c r="U578" s="7" t="s">
        <v>585</v>
      </c>
      <c r="V578" s="27" t="s">
        <v>586</v>
      </c>
      <c r="W578" s="7" t="s">
        <v>4765</v>
      </c>
      <c r="X578" s="28"/>
      <c r="Y578" s="28"/>
      <c r="Z578" s="28"/>
    </row>
    <row r="579">
      <c r="A579" s="7" t="s">
        <v>4766</v>
      </c>
      <c r="B579" s="7" t="s">
        <v>4767</v>
      </c>
      <c r="C579" s="7" t="s">
        <v>4768</v>
      </c>
      <c r="D579" s="7" t="s">
        <v>193</v>
      </c>
      <c r="E579" s="7" t="s">
        <v>2542</v>
      </c>
      <c r="F579" s="9">
        <v>16.231939</v>
      </c>
      <c r="G579" s="9">
        <v>103.271019</v>
      </c>
      <c r="H579" s="7" t="s">
        <v>618</v>
      </c>
      <c r="I579" s="9">
        <v>137.73</v>
      </c>
      <c r="J579" s="28"/>
      <c r="K579" s="28"/>
      <c r="L579" s="28"/>
      <c r="M579" s="9"/>
      <c r="N579" s="7" t="s">
        <v>4709</v>
      </c>
      <c r="O579" s="7" t="s">
        <v>583</v>
      </c>
      <c r="P579" s="9">
        <v>2.0</v>
      </c>
      <c r="Q579" s="28"/>
      <c r="R579" s="9">
        <v>82.4</v>
      </c>
      <c r="S579" s="7" t="s">
        <v>584</v>
      </c>
      <c r="T579" s="7" t="b">
        <v>0</v>
      </c>
      <c r="U579" s="7" t="s">
        <v>585</v>
      </c>
      <c r="V579" s="27" t="s">
        <v>586</v>
      </c>
      <c r="W579" s="7" t="s">
        <v>4771</v>
      </c>
      <c r="X579" s="28"/>
      <c r="Y579" s="28"/>
      <c r="Z579" s="28"/>
    </row>
    <row r="580">
      <c r="A580" s="7" t="s">
        <v>4772</v>
      </c>
      <c r="B580" s="7" t="s">
        <v>4773</v>
      </c>
      <c r="C580" s="7" t="s">
        <v>4774</v>
      </c>
      <c r="D580" s="7" t="s">
        <v>190</v>
      </c>
      <c r="E580" s="7" t="s">
        <v>4776</v>
      </c>
      <c r="F580" s="9">
        <v>16.724766</v>
      </c>
      <c r="G580" s="9">
        <v>102.803416</v>
      </c>
      <c r="H580" s="7" t="s">
        <v>3579</v>
      </c>
      <c r="I580" s="9">
        <v>162.48</v>
      </c>
      <c r="J580" s="28"/>
      <c r="K580" s="28"/>
      <c r="L580" s="28"/>
      <c r="M580" s="9">
        <v>164.91</v>
      </c>
      <c r="N580" s="7" t="s">
        <v>4709</v>
      </c>
      <c r="O580" s="7" t="s">
        <v>583</v>
      </c>
      <c r="P580" s="9">
        <v>2.0</v>
      </c>
      <c r="Q580" s="28"/>
      <c r="R580" s="9">
        <v>262.4</v>
      </c>
      <c r="S580" s="7" t="s">
        <v>584</v>
      </c>
      <c r="T580" s="7" t="b">
        <v>0</v>
      </c>
      <c r="U580" s="7" t="s">
        <v>585</v>
      </c>
      <c r="V580" s="27" t="s">
        <v>586</v>
      </c>
      <c r="W580" s="7" t="s">
        <v>4777</v>
      </c>
      <c r="X580" s="28"/>
      <c r="Y580" s="28"/>
      <c r="Z580" s="28"/>
    </row>
    <row r="581">
      <c r="A581" s="7" t="s">
        <v>4778</v>
      </c>
      <c r="B581" s="7" t="s">
        <v>4779</v>
      </c>
      <c r="C581" s="7" t="s">
        <v>4780</v>
      </c>
      <c r="D581" s="7" t="s">
        <v>299</v>
      </c>
      <c r="E581" s="7" t="s">
        <v>2571</v>
      </c>
      <c r="F581" s="9">
        <v>6.715493</v>
      </c>
      <c r="G581" s="9">
        <v>101.285399</v>
      </c>
      <c r="H581" s="7" t="s">
        <v>1951</v>
      </c>
      <c r="I581" s="9">
        <v>4.34</v>
      </c>
      <c r="J581" s="28"/>
      <c r="K581" s="28"/>
      <c r="L581" s="28"/>
      <c r="M581" s="9"/>
      <c r="N581" s="7" t="s">
        <v>4709</v>
      </c>
      <c r="O581" s="7" t="s">
        <v>583</v>
      </c>
      <c r="P581" s="9">
        <v>2.0</v>
      </c>
      <c r="Q581" s="28"/>
      <c r="R581" s="9">
        <v>202.4</v>
      </c>
      <c r="S581" s="7" t="s">
        <v>584</v>
      </c>
      <c r="T581" s="7" t="b">
        <v>0</v>
      </c>
      <c r="U581" s="7" t="s">
        <v>585</v>
      </c>
      <c r="V581" s="27" t="s">
        <v>586</v>
      </c>
      <c r="W581" s="7" t="s">
        <v>4781</v>
      </c>
      <c r="X581" s="28"/>
      <c r="Y581" s="28"/>
      <c r="Z581" s="28"/>
    </row>
    <row r="582">
      <c r="A582" s="7" t="s">
        <v>4782</v>
      </c>
      <c r="B582" s="7" t="s">
        <v>4783</v>
      </c>
      <c r="C582" s="7" t="s">
        <v>4784</v>
      </c>
      <c r="D582" s="7" t="s">
        <v>67</v>
      </c>
      <c r="E582" s="7" t="s">
        <v>4785</v>
      </c>
      <c r="F582" s="9">
        <v>18.511826</v>
      </c>
      <c r="G582" s="9">
        <v>99.07731</v>
      </c>
      <c r="H582" s="7" t="s">
        <v>576</v>
      </c>
      <c r="I582" s="9">
        <v>317.89</v>
      </c>
      <c r="J582" s="28"/>
      <c r="K582" s="28"/>
      <c r="L582" s="28"/>
      <c r="M582" s="9"/>
      <c r="N582" s="7" t="s">
        <v>4709</v>
      </c>
      <c r="O582" s="7" t="s">
        <v>583</v>
      </c>
      <c r="P582" s="9">
        <v>2.0</v>
      </c>
      <c r="Q582" s="28"/>
      <c r="R582" s="9">
        <v>12.4</v>
      </c>
      <c r="S582" s="7" t="s">
        <v>584</v>
      </c>
      <c r="T582" s="7" t="b">
        <v>0</v>
      </c>
      <c r="U582" s="7" t="s">
        <v>585</v>
      </c>
      <c r="V582" s="27" t="s">
        <v>586</v>
      </c>
      <c r="W582" s="7" t="s">
        <v>4786</v>
      </c>
      <c r="X582" s="28"/>
      <c r="Y582" s="28"/>
      <c r="Z582" s="28"/>
    </row>
    <row r="583">
      <c r="A583" s="7" t="s">
        <v>4787</v>
      </c>
      <c r="B583" s="7" t="s">
        <v>4788</v>
      </c>
      <c r="C583" s="7" t="s">
        <v>4789</v>
      </c>
      <c r="D583" s="7" t="s">
        <v>60</v>
      </c>
      <c r="E583" s="7" t="s">
        <v>2006</v>
      </c>
      <c r="F583" s="9">
        <v>18.77485</v>
      </c>
      <c r="G583" s="9">
        <v>100.77974</v>
      </c>
      <c r="H583" s="7" t="s">
        <v>923</v>
      </c>
      <c r="I583" s="9">
        <v>193.11</v>
      </c>
      <c r="J583" s="28"/>
      <c r="K583" s="28"/>
      <c r="L583" s="28"/>
      <c r="M583" s="9">
        <v>199.2</v>
      </c>
      <c r="N583" s="7" t="s">
        <v>4709</v>
      </c>
      <c r="O583" s="7" t="s">
        <v>583</v>
      </c>
      <c r="P583" s="9">
        <v>2.0</v>
      </c>
      <c r="Q583" s="28"/>
      <c r="R583" s="9">
        <v>22.4</v>
      </c>
      <c r="S583" s="7" t="s">
        <v>584</v>
      </c>
      <c r="T583" s="7" t="b">
        <v>0</v>
      </c>
      <c r="U583" s="7" t="s">
        <v>585</v>
      </c>
      <c r="V583" s="27" t="s">
        <v>586</v>
      </c>
      <c r="W583" s="7" t="s">
        <v>4793</v>
      </c>
      <c r="X583" s="28"/>
      <c r="Y583" s="28"/>
      <c r="Z583" s="28"/>
    </row>
    <row r="584">
      <c r="A584" s="7" t="s">
        <v>4794</v>
      </c>
      <c r="B584" s="7" t="s">
        <v>4795</v>
      </c>
      <c r="C584" s="7" t="s">
        <v>4796</v>
      </c>
      <c r="D584" s="7" t="s">
        <v>60</v>
      </c>
      <c r="E584" s="7" t="s">
        <v>2006</v>
      </c>
      <c r="F584" s="9">
        <v>19.09611</v>
      </c>
      <c r="G584" s="9">
        <v>100.80258</v>
      </c>
      <c r="H584" s="7" t="s">
        <v>576</v>
      </c>
      <c r="I584" s="9">
        <v>218.3</v>
      </c>
      <c r="J584" s="28"/>
      <c r="K584" s="28"/>
      <c r="L584" s="28"/>
      <c r="M584" s="9"/>
      <c r="N584" s="7" t="s">
        <v>4709</v>
      </c>
      <c r="O584" s="7" t="s">
        <v>583</v>
      </c>
      <c r="P584" s="9">
        <v>2.0</v>
      </c>
      <c r="Q584" s="28"/>
      <c r="R584" s="9">
        <v>12.4</v>
      </c>
      <c r="S584" s="7" t="s">
        <v>584</v>
      </c>
      <c r="T584" s="7" t="b">
        <v>0</v>
      </c>
      <c r="U584" s="7" t="s">
        <v>585</v>
      </c>
      <c r="V584" s="27" t="s">
        <v>586</v>
      </c>
      <c r="W584" s="7" t="s">
        <v>4799</v>
      </c>
      <c r="X584" s="28"/>
      <c r="Y584" s="28"/>
      <c r="Z584" s="28"/>
    </row>
    <row r="585">
      <c r="A585" s="7" t="s">
        <v>4800</v>
      </c>
      <c r="B585" s="7" t="s">
        <v>4802</v>
      </c>
      <c r="C585" s="7" t="s">
        <v>4803</v>
      </c>
      <c r="D585" s="7" t="s">
        <v>53</v>
      </c>
      <c r="E585" s="7" t="s">
        <v>4438</v>
      </c>
      <c r="F585" s="9">
        <v>19.301765</v>
      </c>
      <c r="G585" s="9">
        <v>99.51751</v>
      </c>
      <c r="H585" s="7" t="s">
        <v>576</v>
      </c>
      <c r="I585" s="9">
        <v>544.26</v>
      </c>
      <c r="J585" s="28"/>
      <c r="K585" s="28"/>
      <c r="L585" s="28"/>
      <c r="M585" s="9"/>
      <c r="N585" s="7" t="s">
        <v>4709</v>
      </c>
      <c r="O585" s="7" t="s">
        <v>583</v>
      </c>
      <c r="P585" s="9">
        <v>2.0</v>
      </c>
      <c r="Q585" s="28"/>
      <c r="R585" s="9">
        <v>12.4</v>
      </c>
      <c r="S585" s="7" t="s">
        <v>584</v>
      </c>
      <c r="T585" s="7" t="b">
        <v>0</v>
      </c>
      <c r="U585" s="7" t="s">
        <v>585</v>
      </c>
      <c r="V585" s="27" t="s">
        <v>586</v>
      </c>
      <c r="W585" s="7" t="s">
        <v>4804</v>
      </c>
      <c r="X585" s="28"/>
      <c r="Y585" s="28"/>
      <c r="Z585" s="28"/>
    </row>
    <row r="586">
      <c r="A586" s="7" t="s">
        <v>4805</v>
      </c>
      <c r="B586" s="7" t="s">
        <v>4806</v>
      </c>
      <c r="C586" s="7" t="s">
        <v>4807</v>
      </c>
      <c r="D586" s="7" t="s">
        <v>154</v>
      </c>
      <c r="E586" s="7" t="s">
        <v>4808</v>
      </c>
      <c r="F586" s="9">
        <v>13.78093</v>
      </c>
      <c r="G586" s="9">
        <v>99.42085</v>
      </c>
      <c r="H586" s="7" t="s">
        <v>923</v>
      </c>
      <c r="I586" s="9">
        <v>50.3</v>
      </c>
      <c r="J586" s="28"/>
      <c r="K586" s="28"/>
      <c r="L586" s="28"/>
      <c r="M586" s="9">
        <v>53.0</v>
      </c>
      <c r="N586" s="7" t="s">
        <v>4709</v>
      </c>
      <c r="O586" s="7" t="s">
        <v>583</v>
      </c>
      <c r="P586" s="9">
        <v>2.0</v>
      </c>
      <c r="Q586" s="28"/>
      <c r="R586" s="9">
        <v>22.4</v>
      </c>
      <c r="S586" s="7" t="s">
        <v>584</v>
      </c>
      <c r="T586" s="7" t="b">
        <v>0</v>
      </c>
      <c r="U586" s="7" t="s">
        <v>585</v>
      </c>
      <c r="V586" s="27" t="s">
        <v>586</v>
      </c>
      <c r="W586" s="7" t="s">
        <v>4809</v>
      </c>
      <c r="X586" s="28"/>
      <c r="Y586" s="28"/>
      <c r="Z586" s="28"/>
    </row>
    <row r="587">
      <c r="A587" s="7" t="s">
        <v>4810</v>
      </c>
      <c r="B587" s="7" t="s">
        <v>4811</v>
      </c>
      <c r="C587" s="7" t="s">
        <v>4812</v>
      </c>
      <c r="D587" s="7" t="s">
        <v>60</v>
      </c>
      <c r="E587" s="7" t="s">
        <v>2006</v>
      </c>
      <c r="F587" s="9">
        <v>18.549993</v>
      </c>
      <c r="G587" s="9">
        <v>100.760637</v>
      </c>
      <c r="H587" s="7" t="s">
        <v>923</v>
      </c>
      <c r="I587" s="9">
        <v>178.51</v>
      </c>
      <c r="J587" s="28"/>
      <c r="K587" s="28"/>
      <c r="L587" s="28"/>
      <c r="M587" s="9">
        <v>183.9</v>
      </c>
      <c r="N587" s="7" t="s">
        <v>4709</v>
      </c>
      <c r="O587" s="7" t="s">
        <v>583</v>
      </c>
      <c r="P587" s="9">
        <v>2.0</v>
      </c>
      <c r="Q587" s="28"/>
      <c r="R587" s="9">
        <v>22.4</v>
      </c>
      <c r="S587" s="7" t="s">
        <v>584</v>
      </c>
      <c r="T587" s="7" t="b">
        <v>0</v>
      </c>
      <c r="U587" s="7" t="s">
        <v>585</v>
      </c>
      <c r="V587" s="27" t="s">
        <v>586</v>
      </c>
      <c r="W587" s="7" t="s">
        <v>4813</v>
      </c>
      <c r="X587" s="28"/>
      <c r="Y587" s="28"/>
      <c r="Z587" s="28"/>
    </row>
    <row r="588">
      <c r="A588" s="7" t="s">
        <v>4814</v>
      </c>
      <c r="B588" s="7" t="s">
        <v>4815</v>
      </c>
      <c r="C588" s="7" t="s">
        <v>4816</v>
      </c>
      <c r="D588" s="7" t="s">
        <v>259</v>
      </c>
      <c r="E588" s="7" t="s">
        <v>3299</v>
      </c>
      <c r="F588" s="9">
        <v>8.73097</v>
      </c>
      <c r="G588" s="9">
        <v>99.746094</v>
      </c>
      <c r="H588" s="7" t="s">
        <v>1951</v>
      </c>
      <c r="I588" s="9">
        <v>26.62</v>
      </c>
      <c r="J588" s="28"/>
      <c r="K588" s="28"/>
      <c r="L588" s="28"/>
      <c r="M588" s="9"/>
      <c r="N588" s="7" t="s">
        <v>4709</v>
      </c>
      <c r="O588" s="7" t="s">
        <v>583</v>
      </c>
      <c r="P588" s="9">
        <v>2.0</v>
      </c>
      <c r="Q588" s="28"/>
      <c r="R588" s="9">
        <v>202.4</v>
      </c>
      <c r="S588" s="7" t="s">
        <v>584</v>
      </c>
      <c r="T588" s="7" t="b">
        <v>0</v>
      </c>
      <c r="U588" s="7" t="s">
        <v>585</v>
      </c>
      <c r="V588" s="27" t="s">
        <v>586</v>
      </c>
      <c r="W588" s="7" t="s">
        <v>4820</v>
      </c>
      <c r="X588" s="28"/>
      <c r="Y588" s="28"/>
      <c r="Z588" s="28"/>
    </row>
    <row r="589">
      <c r="A589" s="7" t="s">
        <v>4821</v>
      </c>
      <c r="B589" s="7" t="s">
        <v>4822</v>
      </c>
      <c r="C589" s="7" t="s">
        <v>4823</v>
      </c>
      <c r="D589" s="7" t="s">
        <v>259</v>
      </c>
      <c r="E589" s="7" t="s">
        <v>1949</v>
      </c>
      <c r="F589" s="9">
        <v>8.391227</v>
      </c>
      <c r="G589" s="9">
        <v>99.39519</v>
      </c>
      <c r="H589" s="7" t="s">
        <v>576</v>
      </c>
      <c r="I589" s="9">
        <v>13.34</v>
      </c>
      <c r="J589" s="28"/>
      <c r="K589" s="28"/>
      <c r="L589" s="28"/>
      <c r="M589" s="9"/>
      <c r="N589" s="7" t="s">
        <v>4709</v>
      </c>
      <c r="O589" s="7" t="s">
        <v>583</v>
      </c>
      <c r="P589" s="9">
        <v>2.0</v>
      </c>
      <c r="Q589" s="28"/>
      <c r="R589" s="9">
        <v>12.4</v>
      </c>
      <c r="S589" s="7" t="s">
        <v>584</v>
      </c>
      <c r="T589" s="7" t="b">
        <v>0</v>
      </c>
      <c r="U589" s="7" t="s">
        <v>585</v>
      </c>
      <c r="V589" s="27" t="s">
        <v>586</v>
      </c>
      <c r="W589" s="7" t="s">
        <v>4826</v>
      </c>
      <c r="X589" s="28"/>
      <c r="Y589" s="28"/>
      <c r="Z589" s="28"/>
    </row>
    <row r="590">
      <c r="A590" s="7" t="s">
        <v>4828</v>
      </c>
      <c r="B590" s="7" t="s">
        <v>4829</v>
      </c>
      <c r="C590" s="7" t="s">
        <v>4830</v>
      </c>
      <c r="D590" s="7" t="s">
        <v>194</v>
      </c>
      <c r="E590" s="7" t="s">
        <v>4831</v>
      </c>
      <c r="F590" s="9">
        <v>16.288441</v>
      </c>
      <c r="G590" s="9">
        <v>104.00489</v>
      </c>
      <c r="H590" s="7" t="s">
        <v>618</v>
      </c>
      <c r="I590" s="9">
        <v>132.48</v>
      </c>
      <c r="J590" s="28"/>
      <c r="K590" s="28"/>
      <c r="L590" s="28"/>
      <c r="M590" s="9"/>
      <c r="N590" s="7" t="s">
        <v>4709</v>
      </c>
      <c r="O590" s="7" t="s">
        <v>583</v>
      </c>
      <c r="P590" s="9">
        <v>2.0</v>
      </c>
      <c r="Q590" s="28"/>
      <c r="R590" s="9">
        <v>82.4</v>
      </c>
      <c r="S590" s="7" t="s">
        <v>584</v>
      </c>
      <c r="T590" s="7" t="b">
        <v>0</v>
      </c>
      <c r="U590" s="7" t="s">
        <v>585</v>
      </c>
      <c r="V590" s="27" t="s">
        <v>586</v>
      </c>
      <c r="W590" s="7" t="s">
        <v>4832</v>
      </c>
      <c r="X590" s="28"/>
      <c r="Y590" s="28"/>
      <c r="Z590" s="28"/>
    </row>
    <row r="591">
      <c r="A591" s="7" t="s">
        <v>4833</v>
      </c>
      <c r="B591" s="7" t="s">
        <v>4834</v>
      </c>
      <c r="C591" s="7" t="s">
        <v>4835</v>
      </c>
      <c r="D591" s="7" t="s">
        <v>292</v>
      </c>
      <c r="E591" s="7" t="s">
        <v>2988</v>
      </c>
      <c r="F591" s="9">
        <v>7.729391</v>
      </c>
      <c r="G591" s="9">
        <v>99.55152</v>
      </c>
      <c r="H591" s="7" t="s">
        <v>576</v>
      </c>
      <c r="I591" s="9">
        <v>6.74</v>
      </c>
      <c r="J591" s="28"/>
      <c r="K591" s="28"/>
      <c r="L591" s="28"/>
      <c r="M591" s="9"/>
      <c r="N591" s="7" t="s">
        <v>4709</v>
      </c>
      <c r="O591" s="7" t="s">
        <v>583</v>
      </c>
      <c r="P591" s="9">
        <v>2.0</v>
      </c>
      <c r="Q591" s="28"/>
      <c r="R591" s="9">
        <v>12.4</v>
      </c>
      <c r="S591" s="7" t="s">
        <v>584</v>
      </c>
      <c r="T591" s="7" t="b">
        <v>0</v>
      </c>
      <c r="U591" s="7" t="s">
        <v>585</v>
      </c>
      <c r="V591" s="27" t="s">
        <v>586</v>
      </c>
      <c r="W591" s="7" t="s">
        <v>4836</v>
      </c>
      <c r="X591" s="28"/>
      <c r="Y591" s="28"/>
      <c r="Z591" s="28"/>
    </row>
    <row r="592">
      <c r="A592" s="7" t="s">
        <v>4837</v>
      </c>
      <c r="B592" s="7" t="s">
        <v>4838</v>
      </c>
      <c r="C592" s="7" t="s">
        <v>4839</v>
      </c>
      <c r="D592" s="7" t="s">
        <v>63</v>
      </c>
      <c r="E592" s="7"/>
      <c r="F592" s="9">
        <v>19.09763</v>
      </c>
      <c r="G592" s="9">
        <v>99.91642</v>
      </c>
      <c r="H592" s="7" t="s">
        <v>576</v>
      </c>
      <c r="I592" s="9">
        <v>398.12</v>
      </c>
      <c r="J592" s="28"/>
      <c r="K592" s="28"/>
      <c r="L592" s="28"/>
      <c r="M592" s="9"/>
      <c r="N592" s="7" t="s">
        <v>4709</v>
      </c>
      <c r="O592" s="7" t="s">
        <v>583</v>
      </c>
      <c r="P592" s="9">
        <v>2.0</v>
      </c>
      <c r="Q592" s="28"/>
      <c r="R592" s="9">
        <v>12.4</v>
      </c>
      <c r="S592" s="7" t="s">
        <v>584</v>
      </c>
      <c r="T592" s="7" t="b">
        <v>0</v>
      </c>
      <c r="U592" s="7" t="s">
        <v>585</v>
      </c>
      <c r="V592" s="27" t="s">
        <v>586</v>
      </c>
      <c r="W592" s="7" t="s">
        <v>4843</v>
      </c>
      <c r="X592" s="28"/>
      <c r="Y592" s="28"/>
      <c r="Z592" s="28"/>
    </row>
    <row r="593">
      <c r="A593" s="7" t="s">
        <v>4844</v>
      </c>
      <c r="B593" s="7" t="s">
        <v>4845</v>
      </c>
      <c r="C593" s="7" t="s">
        <v>4846</v>
      </c>
      <c r="D593" s="7" t="s">
        <v>86</v>
      </c>
      <c r="E593" s="7" t="s">
        <v>1715</v>
      </c>
      <c r="F593" s="9">
        <v>15.181689</v>
      </c>
      <c r="G593" s="9">
        <v>100.41453</v>
      </c>
      <c r="H593" s="7" t="s">
        <v>576</v>
      </c>
      <c r="I593" s="9">
        <v>4.67</v>
      </c>
      <c r="J593" s="28"/>
      <c r="K593" s="28"/>
      <c r="L593" s="28"/>
      <c r="M593" s="9"/>
      <c r="N593" s="7" t="s">
        <v>4709</v>
      </c>
      <c r="O593" s="7" t="s">
        <v>583</v>
      </c>
      <c r="P593" s="9">
        <v>2.0</v>
      </c>
      <c r="Q593" s="28"/>
      <c r="R593" s="9">
        <v>12.4</v>
      </c>
      <c r="S593" s="7" t="s">
        <v>584</v>
      </c>
      <c r="T593" s="7" t="b">
        <v>0</v>
      </c>
      <c r="U593" s="7" t="s">
        <v>585</v>
      </c>
      <c r="V593" s="27" t="s">
        <v>586</v>
      </c>
      <c r="W593" s="7" t="s">
        <v>4848</v>
      </c>
      <c r="X593" s="28"/>
      <c r="Y593" s="28"/>
      <c r="Z593" s="28"/>
    </row>
    <row r="594">
      <c r="A594" s="7" t="s">
        <v>4849</v>
      </c>
      <c r="B594" s="7" t="s">
        <v>4850</v>
      </c>
      <c r="C594" s="7" t="s">
        <v>4851</v>
      </c>
      <c r="D594" s="7" t="s">
        <v>210</v>
      </c>
      <c r="E594" s="7" t="s">
        <v>4853</v>
      </c>
      <c r="F594" s="9">
        <v>18.151169</v>
      </c>
      <c r="G594" s="9">
        <v>102.17911</v>
      </c>
      <c r="H594" s="7" t="s">
        <v>4854</v>
      </c>
      <c r="I594" s="9">
        <v>169.29</v>
      </c>
      <c r="J594" s="28"/>
      <c r="K594" s="28"/>
      <c r="L594" s="28"/>
      <c r="M594" s="9"/>
      <c r="N594" s="7" t="s">
        <v>4709</v>
      </c>
      <c r="O594" s="7" t="s">
        <v>583</v>
      </c>
      <c r="P594" s="9">
        <v>2.0</v>
      </c>
      <c r="Q594" s="28"/>
      <c r="R594" s="9">
        <v>212.4</v>
      </c>
      <c r="S594" s="7" t="s">
        <v>584</v>
      </c>
      <c r="T594" s="7" t="b">
        <v>0</v>
      </c>
      <c r="U594" s="7" t="s">
        <v>585</v>
      </c>
      <c r="V594" s="27" t="s">
        <v>586</v>
      </c>
      <c r="W594" s="7" t="s">
        <v>4856</v>
      </c>
      <c r="X594" s="28"/>
      <c r="Y594" s="28"/>
      <c r="Z594" s="28"/>
    </row>
    <row r="595">
      <c r="A595" s="7" t="s">
        <v>4857</v>
      </c>
      <c r="B595" s="7" t="s">
        <v>4858</v>
      </c>
      <c r="C595" s="7" t="s">
        <v>4859</v>
      </c>
      <c r="D595" s="7" t="s">
        <v>65</v>
      </c>
      <c r="E595" s="7" t="s">
        <v>3469</v>
      </c>
      <c r="F595" s="9">
        <v>18.15915</v>
      </c>
      <c r="G595" s="9">
        <v>99.38407</v>
      </c>
      <c r="H595" s="7" t="s">
        <v>576</v>
      </c>
      <c r="I595" s="9">
        <v>210.71</v>
      </c>
      <c r="J595" s="28"/>
      <c r="K595" s="28"/>
      <c r="L595" s="28"/>
      <c r="M595" s="9"/>
      <c r="N595" s="7" t="s">
        <v>4709</v>
      </c>
      <c r="O595" s="7" t="s">
        <v>583</v>
      </c>
      <c r="P595" s="9">
        <v>2.0</v>
      </c>
      <c r="Q595" s="28"/>
      <c r="R595" s="9">
        <v>12.4</v>
      </c>
      <c r="S595" s="7" t="s">
        <v>584</v>
      </c>
      <c r="T595" s="7" t="b">
        <v>0</v>
      </c>
      <c r="U595" s="7" t="s">
        <v>585</v>
      </c>
      <c r="V595" s="27" t="s">
        <v>586</v>
      </c>
      <c r="W595" s="7" t="s">
        <v>4860</v>
      </c>
      <c r="X595" s="28"/>
      <c r="Y595" s="28"/>
      <c r="Z595" s="28"/>
    </row>
    <row r="596">
      <c r="A596" s="7" t="s">
        <v>4861</v>
      </c>
      <c r="B596" s="7" t="s">
        <v>4862</v>
      </c>
      <c r="C596" s="7" t="s">
        <v>4863</v>
      </c>
      <c r="D596" s="7" t="s">
        <v>301</v>
      </c>
      <c r="E596" s="7" t="s">
        <v>2571</v>
      </c>
      <c r="F596" s="9">
        <v>5.920578</v>
      </c>
      <c r="G596" s="9">
        <v>101.182086</v>
      </c>
      <c r="H596" s="7" t="s">
        <v>923</v>
      </c>
      <c r="I596" s="9">
        <v>117.07</v>
      </c>
      <c r="J596" s="28"/>
      <c r="K596" s="28"/>
      <c r="L596" s="28"/>
      <c r="M596" s="9">
        <v>120.37</v>
      </c>
      <c r="N596" s="7" t="s">
        <v>4709</v>
      </c>
      <c r="O596" s="7" t="s">
        <v>583</v>
      </c>
      <c r="P596" s="9">
        <v>2.0</v>
      </c>
      <c r="Q596" s="28"/>
      <c r="R596" s="9">
        <v>22.4</v>
      </c>
      <c r="S596" s="7" t="s">
        <v>584</v>
      </c>
      <c r="T596" s="7" t="b">
        <v>0</v>
      </c>
      <c r="U596" s="7" t="s">
        <v>585</v>
      </c>
      <c r="V596" s="27" t="s">
        <v>586</v>
      </c>
      <c r="W596" s="7" t="s">
        <v>4865</v>
      </c>
      <c r="X596" s="28"/>
      <c r="Y596" s="28"/>
      <c r="Z596" s="28"/>
    </row>
    <row r="597">
      <c r="A597" s="7" t="s">
        <v>4867</v>
      </c>
      <c r="B597" s="7" t="s">
        <v>4868</v>
      </c>
      <c r="C597" s="7" t="s">
        <v>4869</v>
      </c>
      <c r="D597" s="7" t="s">
        <v>108</v>
      </c>
      <c r="E597" s="7"/>
      <c r="F597" s="9">
        <v>14.321305</v>
      </c>
      <c r="G597" s="9">
        <v>101.30604</v>
      </c>
      <c r="H597" s="7" t="s">
        <v>576</v>
      </c>
      <c r="I597" s="9">
        <v>26.98</v>
      </c>
      <c r="J597" s="28"/>
      <c r="K597" s="28"/>
      <c r="L597" s="28"/>
      <c r="M597" s="9"/>
      <c r="N597" s="7" t="s">
        <v>4709</v>
      </c>
      <c r="O597" s="7" t="s">
        <v>583</v>
      </c>
      <c r="P597" s="9">
        <v>2.0</v>
      </c>
      <c r="Q597" s="28"/>
      <c r="R597" s="9">
        <v>12.4</v>
      </c>
      <c r="S597" s="7" t="s">
        <v>584</v>
      </c>
      <c r="T597" s="7" t="b">
        <v>0</v>
      </c>
      <c r="U597" s="7" t="s">
        <v>585</v>
      </c>
      <c r="V597" s="27" t="s">
        <v>586</v>
      </c>
      <c r="W597" s="7" t="s">
        <v>4871</v>
      </c>
      <c r="X597" s="28"/>
      <c r="Y597" s="28"/>
      <c r="Z597" s="28"/>
    </row>
    <row r="598">
      <c r="A598" s="7" t="s">
        <v>4872</v>
      </c>
      <c r="B598" s="7" t="s">
        <v>4873</v>
      </c>
      <c r="C598" s="7" t="s">
        <v>4874</v>
      </c>
      <c r="D598" s="7" t="s">
        <v>9</v>
      </c>
      <c r="E598" s="7"/>
      <c r="F598" s="9">
        <v>18.435266</v>
      </c>
      <c r="G598" s="9">
        <v>98.740107</v>
      </c>
      <c r="H598" s="7" t="s">
        <v>923</v>
      </c>
      <c r="I598" s="9">
        <v>272.92</v>
      </c>
      <c r="J598" s="28"/>
      <c r="K598" s="28"/>
      <c r="L598" s="28"/>
      <c r="M598" s="9">
        <v>280.63</v>
      </c>
      <c r="N598" s="7" t="s">
        <v>4709</v>
      </c>
      <c r="O598" s="7" t="s">
        <v>583</v>
      </c>
      <c r="P598" s="9">
        <v>2.0</v>
      </c>
      <c r="Q598" s="28"/>
      <c r="R598" s="9">
        <v>22.4</v>
      </c>
      <c r="S598" s="7" t="s">
        <v>584</v>
      </c>
      <c r="T598" s="7" t="b">
        <v>0</v>
      </c>
      <c r="U598" s="7" t="s">
        <v>585</v>
      </c>
      <c r="V598" s="27" t="s">
        <v>586</v>
      </c>
      <c r="W598" s="7" t="s">
        <v>4878</v>
      </c>
      <c r="X598" s="28"/>
      <c r="Y598" s="28"/>
      <c r="Z598" s="28"/>
    </row>
    <row r="599">
      <c r="A599" s="7" t="s">
        <v>4879</v>
      </c>
      <c r="B599" s="7" t="s">
        <v>4880</v>
      </c>
      <c r="C599" s="7" t="s">
        <v>4881</v>
      </c>
      <c r="D599" s="7" t="s">
        <v>298</v>
      </c>
      <c r="E599" s="7" t="s">
        <v>2772</v>
      </c>
      <c r="F599" s="9">
        <v>7.558824</v>
      </c>
      <c r="G599" s="9">
        <v>99.98739</v>
      </c>
      <c r="H599" s="7" t="s">
        <v>576</v>
      </c>
      <c r="I599" s="9">
        <v>19.77</v>
      </c>
      <c r="J599" s="28"/>
      <c r="K599" s="28"/>
      <c r="L599" s="28"/>
      <c r="M599" s="9"/>
      <c r="N599" s="7" t="s">
        <v>4709</v>
      </c>
      <c r="O599" s="7" t="s">
        <v>583</v>
      </c>
      <c r="P599" s="9">
        <v>2.0</v>
      </c>
      <c r="Q599" s="28"/>
      <c r="R599" s="9">
        <v>12.4</v>
      </c>
      <c r="S599" s="7" t="s">
        <v>584</v>
      </c>
      <c r="T599" s="7" t="b">
        <v>0</v>
      </c>
      <c r="U599" s="7" t="s">
        <v>585</v>
      </c>
      <c r="V599" s="27" t="s">
        <v>586</v>
      </c>
      <c r="W599" s="7" t="s">
        <v>4882</v>
      </c>
      <c r="X599" s="28"/>
      <c r="Y599" s="28"/>
      <c r="Z599" s="28"/>
    </row>
    <row r="600">
      <c r="A600" s="7" t="s">
        <v>4883</v>
      </c>
      <c r="B600" s="7" t="s">
        <v>4884</v>
      </c>
      <c r="C600" s="7" t="s">
        <v>4885</v>
      </c>
      <c r="D600" s="7" t="s">
        <v>74</v>
      </c>
      <c r="E600" s="7" t="s">
        <v>4886</v>
      </c>
      <c r="F600" s="9">
        <v>17.12535</v>
      </c>
      <c r="G600" s="9">
        <v>98.6394</v>
      </c>
      <c r="H600" s="7" t="s">
        <v>923</v>
      </c>
      <c r="I600" s="9">
        <v>299.03</v>
      </c>
      <c r="J600" s="28"/>
      <c r="K600" s="28"/>
      <c r="L600" s="28"/>
      <c r="M600" s="9"/>
      <c r="N600" s="7" t="s">
        <v>4709</v>
      </c>
      <c r="O600" s="7" t="s">
        <v>583</v>
      </c>
      <c r="P600" s="9">
        <v>2.0</v>
      </c>
      <c r="Q600" s="28"/>
      <c r="R600" s="9">
        <v>22.4</v>
      </c>
      <c r="S600" s="7" t="s">
        <v>584</v>
      </c>
      <c r="T600" s="7" t="b">
        <v>0</v>
      </c>
      <c r="U600" s="7" t="s">
        <v>585</v>
      </c>
      <c r="V600" s="27" t="s">
        <v>586</v>
      </c>
      <c r="W600" s="7" t="s">
        <v>4887</v>
      </c>
      <c r="X600" s="28"/>
      <c r="Y600" s="28"/>
      <c r="Z600" s="28"/>
    </row>
    <row r="601">
      <c r="A601" s="7" t="s">
        <v>4888</v>
      </c>
      <c r="B601" s="7" t="s">
        <v>4889</v>
      </c>
      <c r="C601" s="7" t="s">
        <v>4890</v>
      </c>
      <c r="D601" s="7" t="s">
        <v>74</v>
      </c>
      <c r="E601" s="7"/>
      <c r="F601" s="9">
        <v>16.856702</v>
      </c>
      <c r="G601" s="9">
        <v>99.125294</v>
      </c>
      <c r="H601" s="7" t="s">
        <v>923</v>
      </c>
      <c r="I601" s="9">
        <v>104.84</v>
      </c>
      <c r="J601" s="28"/>
      <c r="K601" s="28"/>
      <c r="L601" s="28"/>
      <c r="M601" s="9">
        <v>109.78</v>
      </c>
      <c r="N601" s="7" t="s">
        <v>4709</v>
      </c>
      <c r="O601" s="7" t="s">
        <v>583</v>
      </c>
      <c r="P601" s="9">
        <v>2.0</v>
      </c>
      <c r="Q601" s="28"/>
      <c r="R601" s="9">
        <v>22.4</v>
      </c>
      <c r="S601" s="7" t="s">
        <v>584</v>
      </c>
      <c r="T601" s="7" t="b">
        <v>0</v>
      </c>
      <c r="U601" s="7" t="s">
        <v>585</v>
      </c>
      <c r="V601" s="27" t="s">
        <v>586</v>
      </c>
      <c r="W601" s="7" t="s">
        <v>4891</v>
      </c>
      <c r="X601" s="28"/>
      <c r="Y601" s="28"/>
      <c r="Z601" s="28"/>
    </row>
    <row r="602">
      <c r="A602" s="7" t="s">
        <v>4892</v>
      </c>
      <c r="B602" s="7" t="s">
        <v>4894</v>
      </c>
      <c r="C602" s="7" t="s">
        <v>4895</v>
      </c>
      <c r="D602" s="7" t="s">
        <v>208</v>
      </c>
      <c r="E602" s="7" t="s">
        <v>3387</v>
      </c>
      <c r="F602" s="9">
        <v>17.312359</v>
      </c>
      <c r="G602" s="9">
        <v>101.7726</v>
      </c>
      <c r="H602" s="7" t="s">
        <v>576</v>
      </c>
      <c r="I602" s="9">
        <v>240.28</v>
      </c>
      <c r="J602" s="28"/>
      <c r="K602" s="28"/>
      <c r="L602" s="28"/>
      <c r="M602" s="9"/>
      <c r="N602" s="7" t="s">
        <v>4709</v>
      </c>
      <c r="O602" s="7" t="s">
        <v>583</v>
      </c>
      <c r="P602" s="9">
        <v>2.0</v>
      </c>
      <c r="Q602" s="28"/>
      <c r="R602" s="9">
        <v>12.4</v>
      </c>
      <c r="S602" s="7" t="s">
        <v>584</v>
      </c>
      <c r="T602" s="7" t="b">
        <v>0</v>
      </c>
      <c r="U602" s="7" t="s">
        <v>585</v>
      </c>
      <c r="V602" s="27" t="s">
        <v>586</v>
      </c>
      <c r="W602" s="7" t="s">
        <v>4898</v>
      </c>
      <c r="X602" s="28"/>
      <c r="Y602" s="28"/>
      <c r="Z602" s="28"/>
    </row>
    <row r="603">
      <c r="A603" s="7" t="s">
        <v>4899</v>
      </c>
      <c r="B603" s="7" t="s">
        <v>4900</v>
      </c>
      <c r="C603" s="7" t="s">
        <v>4901</v>
      </c>
      <c r="D603" s="7" t="s">
        <v>260</v>
      </c>
      <c r="E603" s="7" t="s">
        <v>4902</v>
      </c>
      <c r="F603" s="9">
        <v>9.598671</v>
      </c>
      <c r="G603" s="9">
        <v>98.94901</v>
      </c>
      <c r="H603" s="7" t="s">
        <v>576</v>
      </c>
      <c r="I603" s="9">
        <v>89.19</v>
      </c>
      <c r="J603" s="28"/>
      <c r="K603" s="28"/>
      <c r="L603" s="28"/>
      <c r="M603" s="9"/>
      <c r="N603" s="7" t="s">
        <v>4709</v>
      </c>
      <c r="O603" s="7" t="s">
        <v>583</v>
      </c>
      <c r="P603" s="9">
        <v>2.0</v>
      </c>
      <c r="Q603" s="28"/>
      <c r="R603" s="9">
        <v>12.4</v>
      </c>
      <c r="S603" s="7" t="s">
        <v>584</v>
      </c>
      <c r="T603" s="7" t="b">
        <v>0</v>
      </c>
      <c r="U603" s="7" t="s">
        <v>585</v>
      </c>
      <c r="V603" s="27" t="s">
        <v>586</v>
      </c>
      <c r="W603" s="7" t="s">
        <v>4906</v>
      </c>
      <c r="X603" s="28"/>
      <c r="Y603" s="28"/>
      <c r="Z603" s="28"/>
    </row>
    <row r="604">
      <c r="A604" s="7" t="s">
        <v>4907</v>
      </c>
      <c r="B604" s="7" t="s">
        <v>4908</v>
      </c>
      <c r="C604" s="7" t="s">
        <v>4909</v>
      </c>
      <c r="D604" s="7" t="s">
        <v>186</v>
      </c>
      <c r="E604" s="7" t="s">
        <v>3128</v>
      </c>
      <c r="F604" s="9">
        <v>16.34078</v>
      </c>
      <c r="G604" s="9">
        <v>103.577011</v>
      </c>
      <c r="H604" s="7" t="s">
        <v>618</v>
      </c>
      <c r="I604" s="9">
        <v>131.59</v>
      </c>
      <c r="J604" s="28"/>
      <c r="K604" s="28"/>
      <c r="L604" s="28"/>
      <c r="M604" s="9"/>
      <c r="N604" s="7" t="s">
        <v>4709</v>
      </c>
      <c r="O604" s="7" t="s">
        <v>583</v>
      </c>
      <c r="P604" s="9">
        <v>2.0</v>
      </c>
      <c r="Q604" s="28"/>
      <c r="R604" s="9">
        <v>82.4</v>
      </c>
      <c r="S604" s="7" t="s">
        <v>584</v>
      </c>
      <c r="T604" s="7" t="b">
        <v>0</v>
      </c>
      <c r="U604" s="7" t="s">
        <v>585</v>
      </c>
      <c r="V604" s="27" t="s">
        <v>586</v>
      </c>
      <c r="W604" s="7" t="s">
        <v>4910</v>
      </c>
      <c r="X604" s="28"/>
      <c r="Y604" s="28"/>
      <c r="Z604" s="28"/>
    </row>
    <row r="605">
      <c r="A605" s="7" t="s">
        <v>4911</v>
      </c>
      <c r="B605" s="7" t="s">
        <v>4912</v>
      </c>
      <c r="C605" s="7" t="s">
        <v>4913</v>
      </c>
      <c r="D605" s="7" t="s">
        <v>292</v>
      </c>
      <c r="E605" s="7" t="s">
        <v>2988</v>
      </c>
      <c r="F605" s="9">
        <v>7.77079</v>
      </c>
      <c r="G605" s="9">
        <v>99.53743</v>
      </c>
      <c r="H605" s="7" t="s">
        <v>1951</v>
      </c>
      <c r="I605" s="9">
        <v>8.08</v>
      </c>
      <c r="J605" s="28"/>
      <c r="K605" s="28"/>
      <c r="L605" s="28"/>
      <c r="M605" s="9"/>
      <c r="N605" s="7" t="s">
        <v>4709</v>
      </c>
      <c r="O605" s="7" t="s">
        <v>583</v>
      </c>
      <c r="P605" s="9">
        <v>2.0</v>
      </c>
      <c r="Q605" s="28"/>
      <c r="R605" s="9">
        <v>202.4</v>
      </c>
      <c r="S605" s="7" t="s">
        <v>584</v>
      </c>
      <c r="T605" s="7" t="b">
        <v>0</v>
      </c>
      <c r="U605" s="7" t="s">
        <v>585</v>
      </c>
      <c r="V605" s="27" t="s">
        <v>586</v>
      </c>
      <c r="W605" s="7" t="s">
        <v>4914</v>
      </c>
      <c r="X605" s="28"/>
      <c r="Y605" s="28"/>
      <c r="Z605" s="28"/>
    </row>
    <row r="606">
      <c r="A606" s="7" t="s">
        <v>4915</v>
      </c>
      <c r="B606" s="7" t="s">
        <v>4916</v>
      </c>
      <c r="C606" s="7" t="s">
        <v>4917</v>
      </c>
      <c r="D606" s="7" t="s">
        <v>208</v>
      </c>
      <c r="E606" s="7" t="s">
        <v>3387</v>
      </c>
      <c r="F606" s="9">
        <v>17.13114</v>
      </c>
      <c r="G606" s="9">
        <v>101.679489</v>
      </c>
      <c r="H606" s="7" t="s">
        <v>618</v>
      </c>
      <c r="I606" s="9">
        <v>260.42</v>
      </c>
      <c r="J606" s="28"/>
      <c r="K606" s="28"/>
      <c r="L606" s="28"/>
      <c r="M606" s="9"/>
      <c r="N606" s="7" t="s">
        <v>4709</v>
      </c>
      <c r="O606" s="7" t="s">
        <v>583</v>
      </c>
      <c r="P606" s="9">
        <v>2.0</v>
      </c>
      <c r="Q606" s="28"/>
      <c r="R606" s="9">
        <v>82.4</v>
      </c>
      <c r="S606" s="7" t="s">
        <v>584</v>
      </c>
      <c r="T606" s="7" t="b">
        <v>0</v>
      </c>
      <c r="U606" s="7" t="s">
        <v>585</v>
      </c>
      <c r="V606" s="27" t="s">
        <v>586</v>
      </c>
      <c r="W606" s="7" t="s">
        <v>4921</v>
      </c>
      <c r="X606" s="28"/>
      <c r="Y606" s="28"/>
      <c r="Z606" s="28"/>
    </row>
    <row r="607">
      <c r="A607" s="7" t="s">
        <v>4922</v>
      </c>
      <c r="B607" s="7" t="s">
        <v>4923</v>
      </c>
      <c r="C607" s="7" t="s">
        <v>4924</v>
      </c>
      <c r="D607" s="7" t="s">
        <v>74</v>
      </c>
      <c r="E607" s="7"/>
      <c r="F607" s="9">
        <v>17.204904</v>
      </c>
      <c r="G607" s="9">
        <v>99.098093</v>
      </c>
      <c r="H607" s="7" t="s">
        <v>923</v>
      </c>
      <c r="I607" s="9">
        <v>133.57</v>
      </c>
      <c r="J607" s="28"/>
      <c r="K607" s="28"/>
      <c r="L607" s="28"/>
      <c r="M607" s="9">
        <v>138.0</v>
      </c>
      <c r="N607" s="7" t="s">
        <v>4709</v>
      </c>
      <c r="O607" s="7" t="s">
        <v>583</v>
      </c>
      <c r="P607" s="9">
        <v>2.0</v>
      </c>
      <c r="Q607" s="28"/>
      <c r="R607" s="9">
        <v>22.4</v>
      </c>
      <c r="S607" s="7" t="s">
        <v>584</v>
      </c>
      <c r="T607" s="7" t="b">
        <v>0</v>
      </c>
      <c r="U607" s="7" t="s">
        <v>585</v>
      </c>
      <c r="V607" s="27" t="s">
        <v>586</v>
      </c>
      <c r="W607" s="7" t="s">
        <v>4926</v>
      </c>
      <c r="X607" s="28"/>
      <c r="Y607" s="28"/>
      <c r="Z607" s="28"/>
    </row>
    <row r="608">
      <c r="A608" s="7" t="s">
        <v>4928</v>
      </c>
      <c r="B608" s="7" t="s">
        <v>4929</v>
      </c>
      <c r="C608" s="7" t="s">
        <v>4930</v>
      </c>
      <c r="D608" s="7" t="s">
        <v>60</v>
      </c>
      <c r="E608" s="7" t="s">
        <v>4524</v>
      </c>
      <c r="F608" s="9">
        <v>18.643177</v>
      </c>
      <c r="G608" s="9">
        <v>101.010826</v>
      </c>
      <c r="H608" s="7" t="s">
        <v>576</v>
      </c>
      <c r="I608" s="9">
        <v>244.46</v>
      </c>
      <c r="J608" s="28"/>
      <c r="K608" s="28"/>
      <c r="L608" s="28"/>
      <c r="M608" s="9"/>
      <c r="N608" s="7" t="s">
        <v>4709</v>
      </c>
      <c r="O608" s="7" t="s">
        <v>583</v>
      </c>
      <c r="P608" s="9">
        <v>2.0</v>
      </c>
      <c r="Q608" s="28"/>
      <c r="R608" s="9">
        <v>12.4</v>
      </c>
      <c r="S608" s="7" t="s">
        <v>584</v>
      </c>
      <c r="T608" s="7" t="b">
        <v>0</v>
      </c>
      <c r="U608" s="7" t="s">
        <v>585</v>
      </c>
      <c r="V608" s="27" t="s">
        <v>586</v>
      </c>
      <c r="W608" s="7" t="s">
        <v>4932</v>
      </c>
      <c r="X608" s="28"/>
      <c r="Y608" s="28"/>
      <c r="Z608" s="28"/>
    </row>
    <row r="609">
      <c r="A609" s="7" t="s">
        <v>4933</v>
      </c>
      <c r="B609" s="7" t="s">
        <v>4934</v>
      </c>
      <c r="C609" s="7" t="s">
        <v>4935</v>
      </c>
      <c r="D609" s="7" t="s">
        <v>74</v>
      </c>
      <c r="E609" s="7" t="s">
        <v>2799</v>
      </c>
      <c r="F609" s="9">
        <v>17.04066</v>
      </c>
      <c r="G609" s="9">
        <v>99.06628</v>
      </c>
      <c r="H609" s="7" t="s">
        <v>576</v>
      </c>
      <c r="I609" s="9">
        <v>118.74</v>
      </c>
      <c r="J609" s="28"/>
      <c r="K609" s="28"/>
      <c r="L609" s="28"/>
      <c r="M609" s="9"/>
      <c r="N609" s="7" t="s">
        <v>4709</v>
      </c>
      <c r="O609" s="7" t="s">
        <v>583</v>
      </c>
      <c r="P609" s="9">
        <v>2.0</v>
      </c>
      <c r="Q609" s="28"/>
      <c r="R609" s="9">
        <v>12.4</v>
      </c>
      <c r="S609" s="7" t="s">
        <v>584</v>
      </c>
      <c r="T609" s="7" t="b">
        <v>0</v>
      </c>
      <c r="U609" s="7" t="s">
        <v>585</v>
      </c>
      <c r="V609" s="27" t="s">
        <v>586</v>
      </c>
      <c r="W609" s="7" t="s">
        <v>4936</v>
      </c>
      <c r="X609" s="28"/>
      <c r="Y609" s="28"/>
      <c r="Z609" s="28"/>
    </row>
    <row r="610">
      <c r="A610" s="7" t="s">
        <v>4937</v>
      </c>
      <c r="B610" s="7" t="s">
        <v>4938</v>
      </c>
      <c r="C610" s="7" t="s">
        <v>4939</v>
      </c>
      <c r="D610" s="7" t="s">
        <v>208</v>
      </c>
      <c r="E610" s="7" t="s">
        <v>3387</v>
      </c>
      <c r="F610" s="9">
        <v>17.509344</v>
      </c>
      <c r="G610" s="9">
        <v>101.73663</v>
      </c>
      <c r="H610" s="7" t="s">
        <v>576</v>
      </c>
      <c r="I610" s="9">
        <v>230.89</v>
      </c>
      <c r="J610" s="28"/>
      <c r="K610" s="28"/>
      <c r="L610" s="28"/>
      <c r="M610" s="9"/>
      <c r="N610" s="7" t="s">
        <v>4709</v>
      </c>
      <c r="O610" s="7" t="s">
        <v>583</v>
      </c>
      <c r="P610" s="9">
        <v>2.0</v>
      </c>
      <c r="Q610" s="28"/>
      <c r="R610" s="9">
        <v>12.4</v>
      </c>
      <c r="S610" s="7" t="s">
        <v>584</v>
      </c>
      <c r="T610" s="7" t="b">
        <v>0</v>
      </c>
      <c r="U610" s="7" t="s">
        <v>585</v>
      </c>
      <c r="V610" s="27" t="s">
        <v>586</v>
      </c>
      <c r="W610" s="7" t="s">
        <v>4945</v>
      </c>
      <c r="X610" s="28"/>
      <c r="Y610" s="28"/>
      <c r="Z610" s="28"/>
    </row>
    <row r="611">
      <c r="A611" s="7" t="s">
        <v>4946</v>
      </c>
      <c r="B611" s="7" t="s">
        <v>4947</v>
      </c>
      <c r="C611" s="7" t="s">
        <v>4948</v>
      </c>
      <c r="D611" s="7" t="s">
        <v>53</v>
      </c>
      <c r="E611" s="7" t="s">
        <v>4949</v>
      </c>
      <c r="F611" s="9">
        <v>20.030533</v>
      </c>
      <c r="G611" s="9">
        <v>100.48944</v>
      </c>
      <c r="H611" s="7" t="s">
        <v>576</v>
      </c>
      <c r="I611" s="9">
        <v>381.42</v>
      </c>
      <c r="J611" s="28"/>
      <c r="K611" s="28"/>
      <c r="L611" s="28"/>
      <c r="M611" s="9"/>
      <c r="N611" s="7" t="s">
        <v>4709</v>
      </c>
      <c r="O611" s="7" t="s">
        <v>583</v>
      </c>
      <c r="P611" s="9">
        <v>2.0</v>
      </c>
      <c r="Q611" s="28"/>
      <c r="R611" s="9">
        <v>12.4</v>
      </c>
      <c r="S611" s="7" t="s">
        <v>584</v>
      </c>
      <c r="T611" s="7" t="b">
        <v>0</v>
      </c>
      <c r="U611" s="7" t="s">
        <v>585</v>
      </c>
      <c r="V611" s="27" t="s">
        <v>586</v>
      </c>
      <c r="W611" s="7" t="s">
        <v>4950</v>
      </c>
      <c r="X611" s="28"/>
      <c r="Y611" s="28"/>
      <c r="Z611" s="28"/>
    </row>
    <row r="612">
      <c r="A612" s="7" t="s">
        <v>4951</v>
      </c>
      <c r="B612" s="7" t="s">
        <v>4952</v>
      </c>
      <c r="C612" s="7" t="s">
        <v>4953</v>
      </c>
      <c r="D612" s="7" t="s">
        <v>260</v>
      </c>
      <c r="E612" s="7"/>
      <c r="F612" s="9">
        <v>8.962559</v>
      </c>
      <c r="G612" s="9">
        <v>98.814738</v>
      </c>
      <c r="H612" s="7" t="s">
        <v>923</v>
      </c>
      <c r="I612" s="9">
        <v>10.12</v>
      </c>
      <c r="J612" s="28"/>
      <c r="K612" s="28"/>
      <c r="L612" s="28"/>
      <c r="M612" s="9">
        <v>17.3901</v>
      </c>
      <c r="N612" s="7" t="s">
        <v>4709</v>
      </c>
      <c r="O612" s="7" t="s">
        <v>583</v>
      </c>
      <c r="P612" s="9">
        <v>2.0</v>
      </c>
      <c r="Q612" s="28"/>
      <c r="R612" s="9">
        <v>22.4</v>
      </c>
      <c r="S612" s="7" t="s">
        <v>584</v>
      </c>
      <c r="T612" s="7" t="b">
        <v>0</v>
      </c>
      <c r="U612" s="7" t="s">
        <v>585</v>
      </c>
      <c r="V612" s="27" t="s">
        <v>586</v>
      </c>
      <c r="W612" s="7" t="s">
        <v>4954</v>
      </c>
      <c r="X612" s="28"/>
      <c r="Y612" s="28"/>
      <c r="Z612" s="28"/>
    </row>
    <row r="613">
      <c r="A613" s="7" t="s">
        <v>4955</v>
      </c>
      <c r="B613" s="7" t="s">
        <v>4956</v>
      </c>
      <c r="C613" s="7" t="s">
        <v>4957</v>
      </c>
      <c r="D613" s="7" t="s">
        <v>9</v>
      </c>
      <c r="E613" s="7" t="s">
        <v>3897</v>
      </c>
      <c r="F613" s="9">
        <v>18.59133</v>
      </c>
      <c r="G613" s="9">
        <v>98.796623</v>
      </c>
      <c r="H613" s="7" t="s">
        <v>3579</v>
      </c>
      <c r="I613" s="9">
        <v>304.17</v>
      </c>
      <c r="J613" s="28"/>
      <c r="K613" s="28"/>
      <c r="L613" s="28"/>
      <c r="M613" s="9"/>
      <c r="N613" s="7" t="s">
        <v>4709</v>
      </c>
      <c r="O613" s="7" t="s">
        <v>583</v>
      </c>
      <c r="P613" s="9">
        <v>2.0</v>
      </c>
      <c r="Q613" s="28"/>
      <c r="R613" s="9">
        <v>262.4</v>
      </c>
      <c r="S613" s="7" t="s">
        <v>584</v>
      </c>
      <c r="T613" s="7" t="b">
        <v>0</v>
      </c>
      <c r="U613" s="7" t="s">
        <v>585</v>
      </c>
      <c r="V613" s="27" t="s">
        <v>586</v>
      </c>
      <c r="W613" s="7" t="s">
        <v>4958</v>
      </c>
      <c r="X613" s="28"/>
      <c r="Y613" s="28"/>
      <c r="Z613" s="28"/>
    </row>
    <row r="614">
      <c r="A614" s="7" t="s">
        <v>4959</v>
      </c>
      <c r="B614" s="7" t="s">
        <v>4960</v>
      </c>
      <c r="C614" s="7" t="s">
        <v>4961</v>
      </c>
      <c r="D614" s="7" t="s">
        <v>58</v>
      </c>
      <c r="E614" s="7" t="s">
        <v>1047</v>
      </c>
      <c r="F614" s="9">
        <v>18.0208</v>
      </c>
      <c r="G614" s="9">
        <v>100.0588</v>
      </c>
      <c r="H614" s="7" t="s">
        <v>576</v>
      </c>
      <c r="I614" s="9">
        <v>138.98</v>
      </c>
      <c r="J614" s="28"/>
      <c r="K614" s="28"/>
      <c r="L614" s="28"/>
      <c r="M614" s="9"/>
      <c r="N614" s="7" t="s">
        <v>4709</v>
      </c>
      <c r="O614" s="7" t="s">
        <v>583</v>
      </c>
      <c r="P614" s="9">
        <v>2.0</v>
      </c>
      <c r="Q614" s="28"/>
      <c r="R614" s="9">
        <v>12.4</v>
      </c>
      <c r="S614" s="7" t="s">
        <v>584</v>
      </c>
      <c r="T614" s="7" t="b">
        <v>0</v>
      </c>
      <c r="U614" s="7" t="s">
        <v>585</v>
      </c>
      <c r="V614" s="27" t="s">
        <v>586</v>
      </c>
      <c r="W614" s="7" t="s">
        <v>4962</v>
      </c>
      <c r="X614" s="28"/>
      <c r="Y614" s="28"/>
      <c r="Z614" s="28"/>
    </row>
    <row r="615">
      <c r="A615" s="7" t="s">
        <v>4964</v>
      </c>
      <c r="B615" s="7" t="s">
        <v>4965</v>
      </c>
      <c r="C615" s="7" t="s">
        <v>4966</v>
      </c>
      <c r="D615" s="7" t="s">
        <v>65</v>
      </c>
      <c r="E615" s="7" t="s">
        <v>4967</v>
      </c>
      <c r="F615" s="9">
        <v>18.722269</v>
      </c>
      <c r="G615" s="9">
        <v>99.567268</v>
      </c>
      <c r="H615" s="7" t="s">
        <v>3579</v>
      </c>
      <c r="I615" s="9">
        <v>291.4</v>
      </c>
      <c r="J615" s="28"/>
      <c r="K615" s="28"/>
      <c r="L615" s="28"/>
      <c r="M615" s="9"/>
      <c r="N615" s="7" t="s">
        <v>4709</v>
      </c>
      <c r="O615" s="7" t="s">
        <v>583</v>
      </c>
      <c r="P615" s="9">
        <v>2.0</v>
      </c>
      <c r="Q615" s="28"/>
      <c r="R615" s="9">
        <v>262.4</v>
      </c>
      <c r="S615" s="7" t="s">
        <v>584</v>
      </c>
      <c r="T615" s="7" t="b">
        <v>0</v>
      </c>
      <c r="U615" s="7" t="s">
        <v>585</v>
      </c>
      <c r="V615" s="27" t="s">
        <v>586</v>
      </c>
      <c r="W615" s="7" t="s">
        <v>4968</v>
      </c>
      <c r="X615" s="28"/>
      <c r="Y615" s="28"/>
      <c r="Z615" s="28"/>
    </row>
    <row r="616">
      <c r="A616" s="7" t="s">
        <v>4969</v>
      </c>
      <c r="B616" s="7" t="s">
        <v>4970</v>
      </c>
      <c r="C616" s="7" t="s">
        <v>4971</v>
      </c>
      <c r="D616" s="7" t="s">
        <v>278</v>
      </c>
      <c r="E616" s="7" t="s">
        <v>3956</v>
      </c>
      <c r="F616" s="9">
        <v>9.961575</v>
      </c>
      <c r="G616" s="9">
        <v>98.644485</v>
      </c>
      <c r="H616" s="7" t="s">
        <v>576</v>
      </c>
      <c r="I616" s="9">
        <v>8.23</v>
      </c>
      <c r="J616" s="28"/>
      <c r="K616" s="28"/>
      <c r="L616" s="28"/>
      <c r="M616" s="9"/>
      <c r="N616" s="7" t="s">
        <v>4709</v>
      </c>
      <c r="O616" s="7" t="s">
        <v>583</v>
      </c>
      <c r="P616" s="9">
        <v>2.0</v>
      </c>
      <c r="Q616" s="28"/>
      <c r="R616" s="9">
        <v>12.4</v>
      </c>
      <c r="S616" s="7" t="s">
        <v>584</v>
      </c>
      <c r="T616" s="7" t="b">
        <v>0</v>
      </c>
      <c r="U616" s="7" t="s">
        <v>585</v>
      </c>
      <c r="V616" s="27" t="s">
        <v>586</v>
      </c>
      <c r="W616" s="7" t="s">
        <v>4972</v>
      </c>
      <c r="X616" s="28"/>
      <c r="Y616" s="28"/>
      <c r="Z616" s="28"/>
    </row>
    <row r="617">
      <c r="A617" s="7" t="s">
        <v>4973</v>
      </c>
      <c r="B617" s="7" t="s">
        <v>4974</v>
      </c>
      <c r="C617" s="7" t="s">
        <v>4975</v>
      </c>
      <c r="D617" s="7" t="s">
        <v>58</v>
      </c>
      <c r="E617" s="7" t="s">
        <v>1047</v>
      </c>
      <c r="F617" s="9">
        <v>18.46601</v>
      </c>
      <c r="G617" s="9">
        <v>100.151665</v>
      </c>
      <c r="H617" s="7" t="s">
        <v>576</v>
      </c>
      <c r="I617" s="9">
        <v>171.42</v>
      </c>
      <c r="J617" s="28"/>
      <c r="K617" s="28"/>
      <c r="L617" s="28"/>
      <c r="M617" s="9"/>
      <c r="N617" s="7" t="s">
        <v>4709</v>
      </c>
      <c r="O617" s="7" t="s">
        <v>583</v>
      </c>
      <c r="P617" s="9">
        <v>2.0</v>
      </c>
      <c r="Q617" s="28"/>
      <c r="R617" s="9">
        <v>12.4</v>
      </c>
      <c r="S617" s="7" t="s">
        <v>584</v>
      </c>
      <c r="T617" s="7" t="b">
        <v>0</v>
      </c>
      <c r="U617" s="7" t="s">
        <v>585</v>
      </c>
      <c r="V617" s="27" t="s">
        <v>586</v>
      </c>
      <c r="W617" s="7" t="s">
        <v>4976</v>
      </c>
      <c r="X617" s="28"/>
      <c r="Y617" s="28"/>
      <c r="Z617" s="28"/>
    </row>
    <row r="618">
      <c r="A618" s="7" t="s">
        <v>4977</v>
      </c>
      <c r="B618" s="7" t="s">
        <v>4978</v>
      </c>
      <c r="C618" s="7" t="s">
        <v>4979</v>
      </c>
      <c r="D618" s="7" t="s">
        <v>298</v>
      </c>
      <c r="E618" s="7" t="s">
        <v>4980</v>
      </c>
      <c r="F618" s="9">
        <v>7.33842</v>
      </c>
      <c r="G618" s="9">
        <v>100.109978</v>
      </c>
      <c r="H618" s="7" t="s">
        <v>3412</v>
      </c>
      <c r="I618" s="9">
        <v>21.98</v>
      </c>
      <c r="J618" s="28"/>
      <c r="K618" s="28"/>
      <c r="L618" s="28"/>
      <c r="M618" s="9"/>
      <c r="N618" s="7" t="s">
        <v>4709</v>
      </c>
      <c r="O618" s="7" t="s">
        <v>583</v>
      </c>
      <c r="P618" s="9">
        <v>2.0</v>
      </c>
      <c r="Q618" s="28"/>
      <c r="R618" s="9">
        <v>562.4</v>
      </c>
      <c r="S618" s="7" t="s">
        <v>584</v>
      </c>
      <c r="T618" s="7" t="b">
        <v>0</v>
      </c>
      <c r="U618" s="7" t="s">
        <v>585</v>
      </c>
      <c r="V618" s="27" t="s">
        <v>586</v>
      </c>
      <c r="W618" s="7" t="s">
        <v>4986</v>
      </c>
      <c r="X618" s="28"/>
      <c r="Y618" s="28"/>
      <c r="Z618" s="28"/>
    </row>
    <row r="619">
      <c r="A619" s="7" t="s">
        <v>4987</v>
      </c>
      <c r="B619" s="7" t="s">
        <v>4988</v>
      </c>
      <c r="C619" s="7" t="s">
        <v>4989</v>
      </c>
      <c r="D619" s="7" t="s">
        <v>80</v>
      </c>
      <c r="E619" s="7" t="s">
        <v>3761</v>
      </c>
      <c r="F619" s="9">
        <v>17.997021</v>
      </c>
      <c r="G619" s="9">
        <v>100.879089</v>
      </c>
      <c r="H619" s="7" t="s">
        <v>618</v>
      </c>
      <c r="I619" s="9">
        <v>209.97</v>
      </c>
      <c r="J619" s="28"/>
      <c r="K619" s="28"/>
      <c r="L619" s="28"/>
      <c r="M619" s="9"/>
      <c r="N619" s="7" t="s">
        <v>4709</v>
      </c>
      <c r="O619" s="7" t="s">
        <v>583</v>
      </c>
      <c r="P619" s="9">
        <v>2.0</v>
      </c>
      <c r="Q619" s="28"/>
      <c r="R619" s="9">
        <v>82.4</v>
      </c>
      <c r="S619" s="7" t="s">
        <v>584</v>
      </c>
      <c r="T619" s="7" t="b">
        <v>0</v>
      </c>
      <c r="U619" s="7" t="s">
        <v>585</v>
      </c>
      <c r="V619" s="27" t="s">
        <v>586</v>
      </c>
      <c r="W619" s="7" t="s">
        <v>4991</v>
      </c>
      <c r="X619" s="28"/>
      <c r="Y619" s="28"/>
      <c r="Z619" s="28"/>
    </row>
    <row r="620">
      <c r="A620" s="7" t="s">
        <v>4993</v>
      </c>
      <c r="B620" s="7" t="s">
        <v>4994</v>
      </c>
      <c r="C620" s="7" t="s">
        <v>4995</v>
      </c>
      <c r="D620" s="7" t="s">
        <v>283</v>
      </c>
      <c r="E620" s="7" t="s">
        <v>4997</v>
      </c>
      <c r="F620" s="9">
        <v>10.66562</v>
      </c>
      <c r="G620" s="9">
        <v>99.171227</v>
      </c>
      <c r="H620" s="7" t="s">
        <v>1951</v>
      </c>
      <c r="I620" s="9">
        <v>9.19</v>
      </c>
      <c r="J620" s="28"/>
      <c r="K620" s="28"/>
      <c r="L620" s="28"/>
      <c r="M620" s="9"/>
      <c r="N620" s="7" t="s">
        <v>4709</v>
      </c>
      <c r="O620" s="7" t="s">
        <v>583</v>
      </c>
      <c r="P620" s="9">
        <v>2.0</v>
      </c>
      <c r="Q620" s="28"/>
      <c r="R620" s="9">
        <v>202.4</v>
      </c>
      <c r="S620" s="7" t="s">
        <v>584</v>
      </c>
      <c r="T620" s="7" t="b">
        <v>0</v>
      </c>
      <c r="U620" s="7" t="s">
        <v>585</v>
      </c>
      <c r="V620" s="27" t="s">
        <v>586</v>
      </c>
      <c r="W620" s="7" t="s">
        <v>4998</v>
      </c>
      <c r="X620" s="28"/>
      <c r="Y620" s="28"/>
      <c r="Z620" s="28"/>
    </row>
    <row r="621">
      <c r="A621" s="7" t="s">
        <v>4999</v>
      </c>
      <c r="B621" s="7" t="s">
        <v>5000</v>
      </c>
      <c r="C621" s="7" t="s">
        <v>5001</v>
      </c>
      <c r="D621" s="7" t="s">
        <v>60</v>
      </c>
      <c r="E621" s="7" t="s">
        <v>4524</v>
      </c>
      <c r="F621" s="9">
        <v>18.548273</v>
      </c>
      <c r="G621" s="9">
        <v>100.808617</v>
      </c>
      <c r="H621" s="7" t="s">
        <v>923</v>
      </c>
      <c r="I621" s="9">
        <v>185.15</v>
      </c>
      <c r="J621" s="28"/>
      <c r="K621" s="28"/>
      <c r="L621" s="28"/>
      <c r="M621" s="9">
        <v>193.8</v>
      </c>
      <c r="N621" s="7" t="s">
        <v>4709</v>
      </c>
      <c r="O621" s="7" t="s">
        <v>583</v>
      </c>
      <c r="P621" s="9">
        <v>2.0</v>
      </c>
      <c r="Q621" s="28"/>
      <c r="R621" s="9">
        <v>22.4</v>
      </c>
      <c r="S621" s="7" t="s">
        <v>584</v>
      </c>
      <c r="T621" s="7" t="b">
        <v>0</v>
      </c>
      <c r="U621" s="7" t="s">
        <v>585</v>
      </c>
      <c r="V621" s="27" t="s">
        <v>586</v>
      </c>
      <c r="W621" s="7" t="s">
        <v>5002</v>
      </c>
      <c r="X621" s="28"/>
      <c r="Y621" s="28"/>
      <c r="Z621" s="28"/>
    </row>
    <row r="622">
      <c r="A622" s="7" t="s">
        <v>5003</v>
      </c>
      <c r="B622" s="7" t="s">
        <v>5004</v>
      </c>
      <c r="C622" s="7" t="s">
        <v>5005</v>
      </c>
      <c r="D622" s="7" t="s">
        <v>65</v>
      </c>
      <c r="E622" s="7" t="s">
        <v>3469</v>
      </c>
      <c r="F622" s="9">
        <v>17.75171</v>
      </c>
      <c r="G622" s="9">
        <v>99.23061</v>
      </c>
      <c r="H622" s="7" t="s">
        <v>576</v>
      </c>
      <c r="I622" s="9">
        <v>171.34</v>
      </c>
      <c r="J622" s="28"/>
      <c r="K622" s="28"/>
      <c r="L622" s="28"/>
      <c r="M622" s="9"/>
      <c r="N622" s="7" t="s">
        <v>4709</v>
      </c>
      <c r="O622" s="7" t="s">
        <v>583</v>
      </c>
      <c r="P622" s="9">
        <v>2.0</v>
      </c>
      <c r="Q622" s="28"/>
      <c r="R622" s="9">
        <v>12.4</v>
      </c>
      <c r="S622" s="7" t="s">
        <v>584</v>
      </c>
      <c r="T622" s="7" t="b">
        <v>0</v>
      </c>
      <c r="U622" s="7" t="s">
        <v>585</v>
      </c>
      <c r="V622" s="27" t="s">
        <v>586</v>
      </c>
      <c r="W622" s="7" t="s">
        <v>5009</v>
      </c>
      <c r="X622" s="28"/>
      <c r="Y622" s="28"/>
      <c r="Z622" s="28"/>
    </row>
    <row r="623">
      <c r="A623" s="7" t="s">
        <v>5010</v>
      </c>
      <c r="B623" s="7" t="s">
        <v>5011</v>
      </c>
      <c r="C623" s="7" t="s">
        <v>5012</v>
      </c>
      <c r="D623" s="7" t="s">
        <v>80</v>
      </c>
      <c r="E623" s="7" t="s">
        <v>2006</v>
      </c>
      <c r="F623" s="9">
        <v>17.668222</v>
      </c>
      <c r="G623" s="9">
        <v>100.21413</v>
      </c>
      <c r="H623" s="7" t="s">
        <v>923</v>
      </c>
      <c r="I623" s="9">
        <v>55.8</v>
      </c>
      <c r="J623" s="28"/>
      <c r="K623" s="28"/>
      <c r="L623" s="28"/>
      <c r="M623" s="9">
        <v>68.95</v>
      </c>
      <c r="N623" s="7" t="s">
        <v>4709</v>
      </c>
      <c r="O623" s="7" t="s">
        <v>583</v>
      </c>
      <c r="P623" s="9">
        <v>2.0</v>
      </c>
      <c r="Q623" s="28"/>
      <c r="R623" s="9">
        <v>22.4</v>
      </c>
      <c r="S623" s="7" t="s">
        <v>584</v>
      </c>
      <c r="T623" s="7" t="b">
        <v>0</v>
      </c>
      <c r="U623" s="7" t="s">
        <v>585</v>
      </c>
      <c r="V623" s="27" t="s">
        <v>586</v>
      </c>
      <c r="W623" s="7" t="s">
        <v>5014</v>
      </c>
      <c r="X623" s="28"/>
      <c r="Y623" s="28"/>
      <c r="Z623" s="28"/>
    </row>
    <row r="624">
      <c r="A624" s="7" t="s">
        <v>5015</v>
      </c>
      <c r="B624" s="7" t="s">
        <v>5016</v>
      </c>
      <c r="C624" s="7" t="s">
        <v>5017</v>
      </c>
      <c r="D624" s="7" t="s">
        <v>194</v>
      </c>
      <c r="E624" s="7" t="s">
        <v>4831</v>
      </c>
      <c r="F624" s="9">
        <v>16.442511</v>
      </c>
      <c r="G624" s="9">
        <v>104.030724</v>
      </c>
      <c r="H624" s="7" t="s">
        <v>618</v>
      </c>
      <c r="I624" s="9">
        <v>140.54</v>
      </c>
      <c r="J624" s="28"/>
      <c r="K624" s="28"/>
      <c r="L624" s="28"/>
      <c r="M624" s="9"/>
      <c r="N624" s="7" t="s">
        <v>4709</v>
      </c>
      <c r="O624" s="7" t="s">
        <v>583</v>
      </c>
      <c r="P624" s="9">
        <v>2.0</v>
      </c>
      <c r="Q624" s="28"/>
      <c r="R624" s="9">
        <v>82.4</v>
      </c>
      <c r="S624" s="7" t="s">
        <v>584</v>
      </c>
      <c r="T624" s="7" t="b">
        <v>0</v>
      </c>
      <c r="U624" s="7" t="s">
        <v>585</v>
      </c>
      <c r="V624" s="27" t="s">
        <v>586</v>
      </c>
      <c r="W624" s="7" t="s">
        <v>5020</v>
      </c>
      <c r="X624" s="28"/>
      <c r="Y624" s="28"/>
      <c r="Z624" s="28"/>
    </row>
    <row r="625">
      <c r="A625" s="7" t="s">
        <v>5021</v>
      </c>
      <c r="B625" s="7" t="s">
        <v>5022</v>
      </c>
      <c r="C625" s="7" t="s">
        <v>5023</v>
      </c>
      <c r="D625" s="7" t="s">
        <v>259</v>
      </c>
      <c r="E625" s="7" t="s">
        <v>5024</v>
      </c>
      <c r="F625" s="9">
        <v>8.432906</v>
      </c>
      <c r="G625" s="9">
        <v>99.782646</v>
      </c>
      <c r="H625" s="7" t="s">
        <v>576</v>
      </c>
      <c r="I625" s="9">
        <v>42.9</v>
      </c>
      <c r="J625" s="28"/>
      <c r="K625" s="28"/>
      <c r="L625" s="28"/>
      <c r="M625" s="9"/>
      <c r="N625" s="7" t="s">
        <v>4709</v>
      </c>
      <c r="O625" s="7" t="s">
        <v>583</v>
      </c>
      <c r="P625" s="9">
        <v>2.0</v>
      </c>
      <c r="Q625" s="28"/>
      <c r="R625" s="9">
        <v>12.4</v>
      </c>
      <c r="S625" s="7" t="s">
        <v>584</v>
      </c>
      <c r="T625" s="7" t="b">
        <v>0</v>
      </c>
      <c r="U625" s="7" t="s">
        <v>585</v>
      </c>
      <c r="V625" s="27" t="s">
        <v>586</v>
      </c>
      <c r="W625" s="7" t="s">
        <v>5025</v>
      </c>
      <c r="X625" s="28"/>
      <c r="Y625" s="28"/>
      <c r="Z625" s="28"/>
    </row>
    <row r="626">
      <c r="A626" s="7" t="s">
        <v>5026</v>
      </c>
      <c r="B626" s="7" t="s">
        <v>5027</v>
      </c>
      <c r="C626" s="7" t="s">
        <v>5028</v>
      </c>
      <c r="D626" s="7" t="s">
        <v>3947</v>
      </c>
      <c r="E626" s="7"/>
      <c r="F626" s="9">
        <v>20.47149</v>
      </c>
      <c r="G626" s="9">
        <v>99.95349</v>
      </c>
      <c r="H626" s="7" t="s">
        <v>576</v>
      </c>
      <c r="I626" s="9">
        <v>395.46</v>
      </c>
      <c r="J626" s="28"/>
      <c r="K626" s="28"/>
      <c r="L626" s="28"/>
      <c r="M626" s="9"/>
      <c r="N626" s="7" t="s">
        <v>4709</v>
      </c>
      <c r="O626" s="7" t="s">
        <v>583</v>
      </c>
      <c r="P626" s="9">
        <v>2.0</v>
      </c>
      <c r="Q626" s="28"/>
      <c r="R626" s="9">
        <v>12.4</v>
      </c>
      <c r="S626" s="7" t="s">
        <v>584</v>
      </c>
      <c r="T626" s="7" t="b">
        <v>0</v>
      </c>
      <c r="U626" s="7" t="s">
        <v>585</v>
      </c>
      <c r="V626" s="27" t="s">
        <v>586</v>
      </c>
      <c r="W626" s="7" t="s">
        <v>5029</v>
      </c>
      <c r="X626" s="28"/>
      <c r="Y626" s="28"/>
      <c r="Z626" s="28"/>
    </row>
    <row r="627">
      <c r="A627" s="7" t="s">
        <v>5030</v>
      </c>
      <c r="B627" s="7" t="s">
        <v>5031</v>
      </c>
      <c r="C627" s="7" t="s">
        <v>5032</v>
      </c>
      <c r="D627" s="7" t="s">
        <v>260</v>
      </c>
      <c r="E627" s="7" t="s">
        <v>5033</v>
      </c>
      <c r="F627" s="9">
        <v>9.492312</v>
      </c>
      <c r="G627" s="9">
        <v>98.91996</v>
      </c>
      <c r="H627" s="7" t="s">
        <v>576</v>
      </c>
      <c r="I627" s="9">
        <v>96.97</v>
      </c>
      <c r="J627" s="28"/>
      <c r="K627" s="28"/>
      <c r="L627" s="28"/>
      <c r="M627" s="9"/>
      <c r="N627" s="7" t="s">
        <v>4709</v>
      </c>
      <c r="O627" s="7" t="s">
        <v>583</v>
      </c>
      <c r="P627" s="9">
        <v>2.0</v>
      </c>
      <c r="Q627" s="28"/>
      <c r="R627" s="9">
        <v>12.4</v>
      </c>
      <c r="S627" s="7" t="s">
        <v>584</v>
      </c>
      <c r="T627" s="7" t="b">
        <v>0</v>
      </c>
      <c r="U627" s="7" t="s">
        <v>585</v>
      </c>
      <c r="V627" s="27" t="s">
        <v>586</v>
      </c>
      <c r="W627" s="7" t="s">
        <v>5037</v>
      </c>
      <c r="X627" s="28"/>
      <c r="Y627" s="28"/>
      <c r="Z627" s="28"/>
    </row>
    <row r="628">
      <c r="A628" s="7" t="s">
        <v>5038</v>
      </c>
      <c r="B628" s="7" t="s">
        <v>5039</v>
      </c>
      <c r="C628" s="7" t="s">
        <v>5040</v>
      </c>
      <c r="D628" s="7" t="s">
        <v>203</v>
      </c>
      <c r="E628" s="7" t="s">
        <v>1759</v>
      </c>
      <c r="F628" s="9">
        <v>16.961792</v>
      </c>
      <c r="G628" s="9">
        <v>104.52589</v>
      </c>
      <c r="H628" s="7" t="s">
        <v>576</v>
      </c>
      <c r="I628" s="9">
        <v>138.39</v>
      </c>
      <c r="J628" s="28"/>
      <c r="K628" s="28"/>
      <c r="L628" s="28"/>
      <c r="M628" s="9"/>
      <c r="N628" s="7" t="s">
        <v>4709</v>
      </c>
      <c r="O628" s="7" t="s">
        <v>583</v>
      </c>
      <c r="P628" s="9">
        <v>2.0</v>
      </c>
      <c r="Q628" s="28"/>
      <c r="R628" s="9">
        <v>12.4</v>
      </c>
      <c r="S628" s="7" t="s">
        <v>584</v>
      </c>
      <c r="T628" s="7" t="b">
        <v>0</v>
      </c>
      <c r="U628" s="7" t="s">
        <v>585</v>
      </c>
      <c r="V628" s="27" t="s">
        <v>586</v>
      </c>
      <c r="W628" s="7" t="s">
        <v>5041</v>
      </c>
      <c r="X628" s="28"/>
      <c r="Y628" s="28"/>
      <c r="Z628" s="28"/>
    </row>
    <row r="629">
      <c r="A629" s="7" t="s">
        <v>5043</v>
      </c>
      <c r="B629" s="7" t="s">
        <v>5044</v>
      </c>
      <c r="C629" s="7" t="s">
        <v>5045</v>
      </c>
      <c r="D629" s="7" t="s">
        <v>53</v>
      </c>
      <c r="E629" s="7" t="s">
        <v>4438</v>
      </c>
      <c r="F629" s="9">
        <v>19.65265</v>
      </c>
      <c r="G629" s="9">
        <v>99.5379</v>
      </c>
      <c r="H629" s="7" t="s">
        <v>576</v>
      </c>
      <c r="I629" s="9">
        <v>451.19</v>
      </c>
      <c r="J629" s="28"/>
      <c r="K629" s="28"/>
      <c r="L629" s="28"/>
      <c r="M629" s="9"/>
      <c r="N629" s="7" t="s">
        <v>4709</v>
      </c>
      <c r="O629" s="7" t="s">
        <v>583</v>
      </c>
      <c r="P629" s="9">
        <v>2.0</v>
      </c>
      <c r="Q629" s="28"/>
      <c r="R629" s="9">
        <v>12.4</v>
      </c>
      <c r="S629" s="7" t="s">
        <v>584</v>
      </c>
      <c r="T629" s="7" t="b">
        <v>0</v>
      </c>
      <c r="U629" s="7" t="s">
        <v>585</v>
      </c>
      <c r="V629" s="27" t="s">
        <v>586</v>
      </c>
      <c r="W629" s="7" t="s">
        <v>5048</v>
      </c>
      <c r="X629" s="28"/>
      <c r="Y629" s="28"/>
      <c r="Z629" s="28"/>
    </row>
    <row r="630">
      <c r="A630" s="7" t="s">
        <v>5049</v>
      </c>
      <c r="B630" s="7" t="s">
        <v>5050</v>
      </c>
      <c r="C630" s="7" t="s">
        <v>5051</v>
      </c>
      <c r="D630" s="7" t="s">
        <v>259</v>
      </c>
      <c r="E630" s="7" t="s">
        <v>5024</v>
      </c>
      <c r="F630" s="9">
        <v>8.39629</v>
      </c>
      <c r="G630" s="9">
        <v>99.920143</v>
      </c>
      <c r="H630" s="7" t="s">
        <v>1951</v>
      </c>
      <c r="I630" s="9">
        <v>8.11</v>
      </c>
      <c r="J630" s="28"/>
      <c r="K630" s="28"/>
      <c r="L630" s="28"/>
      <c r="M630" s="9">
        <v>10.8</v>
      </c>
      <c r="N630" s="7" t="s">
        <v>4709</v>
      </c>
      <c r="O630" s="7" t="s">
        <v>583</v>
      </c>
      <c r="P630" s="9">
        <v>2.0</v>
      </c>
      <c r="Q630" s="28"/>
      <c r="R630" s="9">
        <v>202.4</v>
      </c>
      <c r="S630" s="7" t="s">
        <v>584</v>
      </c>
      <c r="T630" s="7" t="b">
        <v>0</v>
      </c>
      <c r="U630" s="7" t="s">
        <v>585</v>
      </c>
      <c r="V630" s="27" t="s">
        <v>586</v>
      </c>
      <c r="W630" s="7" t="s">
        <v>5052</v>
      </c>
      <c r="X630" s="28"/>
      <c r="Y630" s="28"/>
      <c r="Z630" s="28"/>
    </row>
    <row r="631">
      <c r="A631" s="7" t="s">
        <v>5053</v>
      </c>
      <c r="B631" s="7" t="s">
        <v>5054</v>
      </c>
      <c r="C631" s="7" t="s">
        <v>5055</v>
      </c>
      <c r="D631" s="7" t="s">
        <v>58</v>
      </c>
      <c r="E631" s="7" t="s">
        <v>1047</v>
      </c>
      <c r="F631" s="9">
        <v>18.133909</v>
      </c>
      <c r="G631" s="9">
        <v>100.124641</v>
      </c>
      <c r="H631" s="7" t="s">
        <v>3579</v>
      </c>
      <c r="I631" s="9">
        <v>145.11</v>
      </c>
      <c r="J631" s="28"/>
      <c r="K631" s="28"/>
      <c r="L631" s="28"/>
      <c r="M631" s="9"/>
      <c r="N631" s="7" t="s">
        <v>4709</v>
      </c>
      <c r="O631" s="7" t="s">
        <v>583</v>
      </c>
      <c r="P631" s="9">
        <v>2.0</v>
      </c>
      <c r="Q631" s="28"/>
      <c r="R631" s="9">
        <v>262.4</v>
      </c>
      <c r="S631" s="7" t="s">
        <v>584</v>
      </c>
      <c r="T631" s="7" t="b">
        <v>0</v>
      </c>
      <c r="U631" s="7" t="s">
        <v>585</v>
      </c>
      <c r="V631" s="27" t="s">
        <v>586</v>
      </c>
      <c r="W631" s="7" t="s">
        <v>5059</v>
      </c>
      <c r="X631" s="28"/>
      <c r="Y631" s="28"/>
      <c r="Z631" s="28"/>
    </row>
    <row r="632">
      <c r="A632" s="7" t="s">
        <v>5060</v>
      </c>
      <c r="B632" s="7" t="s">
        <v>5061</v>
      </c>
      <c r="C632" s="7" t="s">
        <v>5062</v>
      </c>
      <c r="D632" s="7" t="s">
        <v>65</v>
      </c>
      <c r="E632" s="7" t="s">
        <v>3469</v>
      </c>
      <c r="F632" s="9">
        <v>18.34301</v>
      </c>
      <c r="G632" s="9">
        <v>99.537178</v>
      </c>
      <c r="H632" s="7" t="s">
        <v>2800</v>
      </c>
      <c r="I632" s="9">
        <v>232.54</v>
      </c>
      <c r="J632" s="28"/>
      <c r="K632" s="28"/>
      <c r="L632" s="28"/>
      <c r="M632" s="9"/>
      <c r="N632" s="7" t="s">
        <v>4709</v>
      </c>
      <c r="O632" s="7" t="s">
        <v>583</v>
      </c>
      <c r="P632" s="9">
        <v>2.0</v>
      </c>
      <c r="Q632" s="28"/>
      <c r="R632" s="9">
        <v>382.4</v>
      </c>
      <c r="S632" s="7" t="s">
        <v>584</v>
      </c>
      <c r="T632" s="7" t="b">
        <v>0</v>
      </c>
      <c r="U632" s="7" t="s">
        <v>585</v>
      </c>
      <c r="V632" s="27" t="s">
        <v>586</v>
      </c>
      <c r="W632" s="7" t="s">
        <v>5063</v>
      </c>
      <c r="X632" s="28"/>
      <c r="Y632" s="28"/>
      <c r="Z632" s="28"/>
    </row>
    <row r="633">
      <c r="A633" s="7" t="s">
        <v>5064</v>
      </c>
      <c r="B633" s="7" t="s">
        <v>5066</v>
      </c>
      <c r="C633" s="7" t="s">
        <v>5067</v>
      </c>
      <c r="D633" s="7" t="s">
        <v>186</v>
      </c>
      <c r="E633" s="7" t="s">
        <v>5068</v>
      </c>
      <c r="F633" s="9">
        <v>16.83222</v>
      </c>
      <c r="G633" s="9">
        <v>103.369171</v>
      </c>
      <c r="H633" s="7" t="s">
        <v>3412</v>
      </c>
      <c r="I633" s="9">
        <v>164.19</v>
      </c>
      <c r="J633" s="28"/>
      <c r="K633" s="28"/>
      <c r="L633" s="28"/>
      <c r="M633" s="9"/>
      <c r="N633" s="7" t="s">
        <v>4709</v>
      </c>
      <c r="O633" s="7" t="s">
        <v>583</v>
      </c>
      <c r="P633" s="9">
        <v>2.0</v>
      </c>
      <c r="Q633" s="28"/>
      <c r="R633" s="9">
        <v>562.4</v>
      </c>
      <c r="S633" s="7" t="s">
        <v>584</v>
      </c>
      <c r="T633" s="7" t="b">
        <v>0</v>
      </c>
      <c r="U633" s="7" t="s">
        <v>585</v>
      </c>
      <c r="V633" s="27" t="s">
        <v>586</v>
      </c>
      <c r="W633" s="7" t="s">
        <v>5071</v>
      </c>
      <c r="X633" s="28"/>
      <c r="Y633" s="28"/>
      <c r="Z633" s="28"/>
    </row>
    <row r="634">
      <c r="A634" s="7" t="s">
        <v>5072</v>
      </c>
      <c r="B634" s="7" t="s">
        <v>5073</v>
      </c>
      <c r="C634" s="7" t="s">
        <v>5074</v>
      </c>
      <c r="D634" s="7" t="s">
        <v>260</v>
      </c>
      <c r="E634" s="7"/>
      <c r="F634" s="9">
        <v>8.915783</v>
      </c>
      <c r="G634" s="9">
        <v>98.885678</v>
      </c>
      <c r="H634" s="7" t="s">
        <v>923</v>
      </c>
      <c r="I634" s="9">
        <v>5.34</v>
      </c>
      <c r="J634" s="28"/>
      <c r="K634" s="28"/>
      <c r="L634" s="28"/>
      <c r="M634" s="9">
        <v>20.524</v>
      </c>
      <c r="N634" s="7" t="s">
        <v>4709</v>
      </c>
      <c r="O634" s="7" t="s">
        <v>583</v>
      </c>
      <c r="P634" s="9">
        <v>2.0</v>
      </c>
      <c r="Q634" s="28"/>
      <c r="R634" s="9">
        <v>22.4</v>
      </c>
      <c r="S634" s="7" t="s">
        <v>584</v>
      </c>
      <c r="T634" s="7" t="b">
        <v>0</v>
      </c>
      <c r="U634" s="7" t="s">
        <v>585</v>
      </c>
      <c r="V634" s="27" t="s">
        <v>586</v>
      </c>
      <c r="W634" s="7" t="s">
        <v>5075</v>
      </c>
      <c r="X634" s="28"/>
      <c r="Y634" s="28"/>
      <c r="Z634" s="28"/>
    </row>
    <row r="635">
      <c r="A635" s="7" t="s">
        <v>5076</v>
      </c>
      <c r="B635" s="7" t="s">
        <v>5077</v>
      </c>
      <c r="C635" s="7" t="s">
        <v>5078</v>
      </c>
      <c r="D635" s="7" t="s">
        <v>175</v>
      </c>
      <c r="E635" s="7" t="s">
        <v>5079</v>
      </c>
      <c r="F635" s="9">
        <v>12.79196</v>
      </c>
      <c r="G635" s="9">
        <v>102.254669</v>
      </c>
      <c r="H635" s="7" t="s">
        <v>618</v>
      </c>
      <c r="I635" s="9">
        <v>22.76</v>
      </c>
      <c r="J635" s="28"/>
      <c r="K635" s="28"/>
      <c r="L635" s="28"/>
      <c r="M635" s="9"/>
      <c r="N635" s="7" t="s">
        <v>4709</v>
      </c>
      <c r="O635" s="7" t="s">
        <v>583</v>
      </c>
      <c r="P635" s="9">
        <v>2.0</v>
      </c>
      <c r="Q635" s="28"/>
      <c r="R635" s="9">
        <v>82.4</v>
      </c>
      <c r="S635" s="7" t="s">
        <v>584</v>
      </c>
      <c r="T635" s="7" t="b">
        <v>0</v>
      </c>
      <c r="U635" s="7" t="s">
        <v>585</v>
      </c>
      <c r="V635" s="27" t="s">
        <v>586</v>
      </c>
      <c r="W635" s="7" t="s">
        <v>5081</v>
      </c>
      <c r="X635" s="28"/>
      <c r="Y635" s="28"/>
      <c r="Z635" s="28"/>
    </row>
    <row r="636">
      <c r="A636" s="7" t="s">
        <v>5083</v>
      </c>
      <c r="B636" s="7" t="s">
        <v>5084</v>
      </c>
      <c r="C636" s="7" t="s">
        <v>5085</v>
      </c>
      <c r="D636" s="7" t="s">
        <v>108</v>
      </c>
      <c r="E636" s="7"/>
      <c r="F636" s="9">
        <v>14.315195</v>
      </c>
      <c r="G636" s="9">
        <v>101.312836</v>
      </c>
      <c r="H636" s="7" t="s">
        <v>576</v>
      </c>
      <c r="I636" s="9">
        <v>23.61</v>
      </c>
      <c r="J636" s="28"/>
      <c r="K636" s="28"/>
      <c r="L636" s="28"/>
      <c r="M636" s="9"/>
      <c r="N636" s="7" t="s">
        <v>4709</v>
      </c>
      <c r="O636" s="7" t="s">
        <v>583</v>
      </c>
      <c r="P636" s="9">
        <v>2.0</v>
      </c>
      <c r="Q636" s="28"/>
      <c r="R636" s="9">
        <v>12.4</v>
      </c>
      <c r="S636" s="7" t="s">
        <v>584</v>
      </c>
      <c r="T636" s="7" t="b">
        <v>0</v>
      </c>
      <c r="U636" s="7" t="s">
        <v>585</v>
      </c>
      <c r="V636" s="27" t="s">
        <v>586</v>
      </c>
      <c r="W636" s="7" t="s">
        <v>5087</v>
      </c>
      <c r="X636" s="28"/>
      <c r="Y636" s="28"/>
      <c r="Z636" s="28"/>
    </row>
    <row r="637">
      <c r="A637" s="7" t="s">
        <v>5088</v>
      </c>
      <c r="B637" s="7" t="s">
        <v>5089</v>
      </c>
      <c r="C637" s="7" t="s">
        <v>5090</v>
      </c>
      <c r="D637" s="7" t="s">
        <v>65</v>
      </c>
      <c r="E637" s="7" t="s">
        <v>5092</v>
      </c>
      <c r="F637" s="9">
        <v>18.310881</v>
      </c>
      <c r="G637" s="9">
        <v>99.45784</v>
      </c>
      <c r="H637" s="7" t="s">
        <v>2800</v>
      </c>
      <c r="I637" s="9">
        <v>229.93</v>
      </c>
      <c r="J637" s="28"/>
      <c r="K637" s="28"/>
      <c r="L637" s="28"/>
      <c r="M637" s="9"/>
      <c r="N637" s="7" t="s">
        <v>4709</v>
      </c>
      <c r="O637" s="7" t="s">
        <v>583</v>
      </c>
      <c r="P637" s="9">
        <v>2.0</v>
      </c>
      <c r="Q637" s="28"/>
      <c r="R637" s="9">
        <v>382.4</v>
      </c>
      <c r="S637" s="7" t="s">
        <v>584</v>
      </c>
      <c r="T637" s="7" t="b">
        <v>0</v>
      </c>
      <c r="U637" s="7" t="s">
        <v>585</v>
      </c>
      <c r="V637" s="27" t="s">
        <v>586</v>
      </c>
      <c r="W637" s="7" t="s">
        <v>5095</v>
      </c>
      <c r="X637" s="28"/>
      <c r="Y637" s="28"/>
      <c r="Z637" s="28"/>
    </row>
    <row r="638">
      <c r="A638" s="7" t="s">
        <v>5096</v>
      </c>
      <c r="B638" s="7" t="s">
        <v>5097</v>
      </c>
      <c r="C638" s="7" t="s">
        <v>5098</v>
      </c>
      <c r="D638" s="7" t="s">
        <v>74</v>
      </c>
      <c r="E638" s="7"/>
      <c r="F638" s="9">
        <v>16.983826</v>
      </c>
      <c r="G638" s="9">
        <v>98.52675</v>
      </c>
      <c r="H638" s="7" t="s">
        <v>576</v>
      </c>
      <c r="I638" s="9">
        <v>173.2</v>
      </c>
      <c r="J638" s="28"/>
      <c r="K638" s="28"/>
      <c r="L638" s="28"/>
      <c r="M638" s="9"/>
      <c r="N638" s="7" t="s">
        <v>4709</v>
      </c>
      <c r="O638" s="7" t="s">
        <v>583</v>
      </c>
      <c r="P638" s="9">
        <v>2.0</v>
      </c>
      <c r="Q638" s="28"/>
      <c r="R638" s="9">
        <v>12.4</v>
      </c>
      <c r="S638" s="7" t="s">
        <v>584</v>
      </c>
      <c r="T638" s="7" t="b">
        <v>0</v>
      </c>
      <c r="U638" s="7" t="s">
        <v>585</v>
      </c>
      <c r="V638" s="27" t="s">
        <v>586</v>
      </c>
      <c r="W638" s="7" t="s">
        <v>5099</v>
      </c>
      <c r="X638" s="28"/>
      <c r="Y638" s="28"/>
      <c r="Z638" s="28"/>
    </row>
    <row r="639">
      <c r="A639" s="7" t="s">
        <v>5100</v>
      </c>
      <c r="B639" s="7" t="s">
        <v>5101</v>
      </c>
      <c r="C639" s="7" t="s">
        <v>5102</v>
      </c>
      <c r="D639" s="7" t="s">
        <v>190</v>
      </c>
      <c r="E639" s="7" t="s">
        <v>4776</v>
      </c>
      <c r="F639" s="9">
        <v>16.571498</v>
      </c>
      <c r="G639" s="9">
        <v>102.881228</v>
      </c>
      <c r="H639" s="7" t="s">
        <v>923</v>
      </c>
      <c r="I639" s="9">
        <v>147.19</v>
      </c>
      <c r="J639" s="28"/>
      <c r="K639" s="28"/>
      <c r="L639" s="28"/>
      <c r="M639" s="9">
        <v>155.0</v>
      </c>
      <c r="N639" s="7" t="s">
        <v>4709</v>
      </c>
      <c r="O639" s="7" t="s">
        <v>583</v>
      </c>
      <c r="P639" s="9">
        <v>2.0</v>
      </c>
      <c r="Q639" s="28"/>
      <c r="R639" s="9">
        <v>22.4</v>
      </c>
      <c r="S639" s="7" t="s">
        <v>584</v>
      </c>
      <c r="T639" s="7" t="b">
        <v>0</v>
      </c>
      <c r="U639" s="7" t="s">
        <v>585</v>
      </c>
      <c r="V639" s="27" t="s">
        <v>586</v>
      </c>
      <c r="W639" s="7" t="s">
        <v>5103</v>
      </c>
      <c r="X639" s="28"/>
      <c r="Y639" s="28"/>
      <c r="Z639" s="28"/>
    </row>
    <row r="640">
      <c r="A640" s="7" t="s">
        <v>5104</v>
      </c>
      <c r="B640" s="7" t="s">
        <v>5105</v>
      </c>
      <c r="C640" s="7" t="s">
        <v>5106</v>
      </c>
      <c r="D640" s="7" t="s">
        <v>270</v>
      </c>
      <c r="E640" s="7" t="s">
        <v>5108</v>
      </c>
      <c r="F640" s="9">
        <v>8.525791</v>
      </c>
      <c r="G640" s="9">
        <v>98.88188</v>
      </c>
      <c r="H640" s="7" t="s">
        <v>576</v>
      </c>
      <c r="I640" s="9">
        <v>36.9</v>
      </c>
      <c r="J640" s="28"/>
      <c r="K640" s="28"/>
      <c r="L640" s="28"/>
      <c r="M640" s="9"/>
      <c r="N640" s="7" t="s">
        <v>4709</v>
      </c>
      <c r="O640" s="7" t="s">
        <v>583</v>
      </c>
      <c r="P640" s="9">
        <v>2.0</v>
      </c>
      <c r="Q640" s="28"/>
      <c r="R640" s="9">
        <v>12.4</v>
      </c>
      <c r="S640" s="7" t="s">
        <v>584</v>
      </c>
      <c r="T640" s="7" t="b">
        <v>0</v>
      </c>
      <c r="U640" s="7" t="s">
        <v>585</v>
      </c>
      <c r="V640" s="27" t="s">
        <v>586</v>
      </c>
      <c r="W640" s="7" t="s">
        <v>5111</v>
      </c>
      <c r="X640" s="28"/>
      <c r="Y640" s="28"/>
      <c r="Z640" s="28"/>
    </row>
    <row r="641">
      <c r="A641" s="7" t="s">
        <v>5112</v>
      </c>
      <c r="B641" s="7" t="s">
        <v>5113</v>
      </c>
      <c r="C641" s="7" t="s">
        <v>5114</v>
      </c>
      <c r="D641" s="7" t="s">
        <v>67</v>
      </c>
      <c r="E641" s="7" t="s">
        <v>2520</v>
      </c>
      <c r="F641" s="9">
        <v>18.14139</v>
      </c>
      <c r="G641" s="9">
        <v>98.896606</v>
      </c>
      <c r="H641" s="7" t="s">
        <v>3579</v>
      </c>
      <c r="I641" s="9">
        <v>365.27</v>
      </c>
      <c r="J641" s="28"/>
      <c r="K641" s="28"/>
      <c r="L641" s="28"/>
      <c r="M641" s="9"/>
      <c r="N641" s="7" t="s">
        <v>4709</v>
      </c>
      <c r="O641" s="7" t="s">
        <v>583</v>
      </c>
      <c r="P641" s="9">
        <v>2.0</v>
      </c>
      <c r="Q641" s="28"/>
      <c r="R641" s="9">
        <v>262.4</v>
      </c>
      <c r="S641" s="7" t="s">
        <v>584</v>
      </c>
      <c r="T641" s="7" t="b">
        <v>0</v>
      </c>
      <c r="U641" s="7" t="s">
        <v>585</v>
      </c>
      <c r="V641" s="27" t="s">
        <v>586</v>
      </c>
      <c r="W641" s="7" t="s">
        <v>5115</v>
      </c>
      <c r="X641" s="28"/>
      <c r="Y641" s="28"/>
      <c r="Z641" s="28"/>
    </row>
    <row r="642">
      <c r="A642" s="7" t="s">
        <v>5116</v>
      </c>
      <c r="B642" s="7" t="s">
        <v>5117</v>
      </c>
      <c r="C642" s="7" t="s">
        <v>5118</v>
      </c>
      <c r="D642" s="7" t="s">
        <v>131</v>
      </c>
      <c r="E642" s="7" t="s">
        <v>5120</v>
      </c>
      <c r="F642" s="9">
        <v>12.38992</v>
      </c>
      <c r="G642" s="9">
        <v>99.91119</v>
      </c>
      <c r="H642" s="7" t="s">
        <v>576</v>
      </c>
      <c r="I642" s="9">
        <v>0.0</v>
      </c>
      <c r="J642" s="28"/>
      <c r="K642" s="28"/>
      <c r="L642" s="28"/>
      <c r="M642" s="9"/>
      <c r="N642" s="7" t="s">
        <v>4709</v>
      </c>
      <c r="O642" s="7" t="s">
        <v>583</v>
      </c>
      <c r="P642" s="9">
        <v>2.0</v>
      </c>
      <c r="Q642" s="28"/>
      <c r="R642" s="9">
        <v>12.4</v>
      </c>
      <c r="S642" s="7" t="s">
        <v>584</v>
      </c>
      <c r="T642" s="7" t="b">
        <v>0</v>
      </c>
      <c r="U642" s="7" t="s">
        <v>585</v>
      </c>
      <c r="V642" s="27" t="s">
        <v>586</v>
      </c>
      <c r="W642" s="7" t="s">
        <v>5123</v>
      </c>
      <c r="X642" s="28"/>
      <c r="Y642" s="28"/>
      <c r="Z642" s="28"/>
    </row>
    <row r="643">
      <c r="A643" s="7" t="s">
        <v>5124</v>
      </c>
      <c r="B643" s="7" t="s">
        <v>5125</v>
      </c>
      <c r="C643" s="7" t="s">
        <v>5126</v>
      </c>
      <c r="D643" s="7" t="s">
        <v>9</v>
      </c>
      <c r="E643" s="7" t="s">
        <v>5127</v>
      </c>
      <c r="F643" s="9">
        <v>17.78546</v>
      </c>
      <c r="G643" s="9">
        <v>98.372391</v>
      </c>
      <c r="H643" s="7" t="s">
        <v>3412</v>
      </c>
      <c r="I643" s="9">
        <v>788.49</v>
      </c>
      <c r="J643" s="28"/>
      <c r="K643" s="28"/>
      <c r="L643" s="28"/>
      <c r="M643" s="9"/>
      <c r="N643" s="7" t="s">
        <v>4709</v>
      </c>
      <c r="O643" s="7" t="s">
        <v>583</v>
      </c>
      <c r="P643" s="9">
        <v>2.0</v>
      </c>
      <c r="Q643" s="28"/>
      <c r="R643" s="9">
        <v>562.4</v>
      </c>
      <c r="S643" s="7" t="s">
        <v>584</v>
      </c>
      <c r="T643" s="7" t="b">
        <v>0</v>
      </c>
      <c r="U643" s="7" t="s">
        <v>585</v>
      </c>
      <c r="V643" s="27" t="s">
        <v>586</v>
      </c>
      <c r="W643" s="7" t="s">
        <v>5128</v>
      </c>
      <c r="X643" s="28"/>
      <c r="Y643" s="28"/>
      <c r="Z643" s="28"/>
    </row>
    <row r="644">
      <c r="A644" s="7" t="s">
        <v>5129</v>
      </c>
      <c r="B644" s="7" t="s">
        <v>5130</v>
      </c>
      <c r="C644" s="7" t="s">
        <v>5131</v>
      </c>
      <c r="D644" s="7" t="s">
        <v>224</v>
      </c>
      <c r="E644" s="7" t="s">
        <v>3406</v>
      </c>
      <c r="F644" s="9">
        <v>14.50134</v>
      </c>
      <c r="G644" s="9">
        <v>101.768478</v>
      </c>
      <c r="H644" s="7" t="s">
        <v>618</v>
      </c>
      <c r="I644" s="9">
        <v>273.27</v>
      </c>
      <c r="J644" s="28"/>
      <c r="K644" s="28"/>
      <c r="L644" s="28"/>
      <c r="M644" s="9"/>
      <c r="N644" s="7" t="s">
        <v>4709</v>
      </c>
      <c r="O644" s="7" t="s">
        <v>583</v>
      </c>
      <c r="P644" s="9">
        <v>2.0</v>
      </c>
      <c r="Q644" s="28"/>
      <c r="R644" s="9">
        <v>82.4</v>
      </c>
      <c r="S644" s="7" t="s">
        <v>584</v>
      </c>
      <c r="T644" s="7" t="b">
        <v>0</v>
      </c>
      <c r="U644" s="7" t="s">
        <v>585</v>
      </c>
      <c r="V644" s="27" t="s">
        <v>586</v>
      </c>
      <c r="W644" s="7" t="s">
        <v>5132</v>
      </c>
      <c r="X644" s="28"/>
      <c r="Y644" s="28"/>
      <c r="Z644" s="28"/>
    </row>
    <row r="645">
      <c r="A645" s="7" t="s">
        <v>5133</v>
      </c>
      <c r="B645" s="7" t="s">
        <v>5134</v>
      </c>
      <c r="C645" s="7" t="s">
        <v>5135</v>
      </c>
      <c r="D645" s="7" t="s">
        <v>202</v>
      </c>
      <c r="E645" s="7" t="s">
        <v>5136</v>
      </c>
      <c r="F645" s="9">
        <v>17.208937</v>
      </c>
      <c r="G645" s="9">
        <v>104.101845</v>
      </c>
      <c r="H645" s="7" t="s">
        <v>576</v>
      </c>
      <c r="I645" s="9">
        <v>159.75</v>
      </c>
      <c r="J645" s="28"/>
      <c r="K645" s="28"/>
      <c r="L645" s="28"/>
      <c r="M645" s="9"/>
      <c r="N645" s="7" t="s">
        <v>4709</v>
      </c>
      <c r="O645" s="7" t="s">
        <v>583</v>
      </c>
      <c r="P645" s="9">
        <v>2.0</v>
      </c>
      <c r="Q645" s="28"/>
      <c r="R645" s="9">
        <v>12.4</v>
      </c>
      <c r="S645" s="7" t="s">
        <v>584</v>
      </c>
      <c r="T645" s="7" t="b">
        <v>0</v>
      </c>
      <c r="U645" s="7" t="s">
        <v>585</v>
      </c>
      <c r="V645" s="27" t="s">
        <v>586</v>
      </c>
      <c r="W645" s="7" t="s">
        <v>5137</v>
      </c>
      <c r="X645" s="28"/>
      <c r="Y645" s="28"/>
      <c r="Z645" s="28"/>
    </row>
    <row r="646">
      <c r="A646" s="7" t="s">
        <v>5138</v>
      </c>
      <c r="B646" s="7" t="s">
        <v>5139</v>
      </c>
      <c r="C646" s="7" t="s">
        <v>5140</v>
      </c>
      <c r="D646" s="7" t="s">
        <v>154</v>
      </c>
      <c r="E646" s="7" t="s">
        <v>2177</v>
      </c>
      <c r="F646" s="9">
        <v>14.43409</v>
      </c>
      <c r="G646" s="9">
        <v>98.80909</v>
      </c>
      <c r="H646" s="7" t="s">
        <v>618</v>
      </c>
      <c r="I646" s="9">
        <v>59.13</v>
      </c>
      <c r="J646" s="28"/>
      <c r="K646" s="28"/>
      <c r="L646" s="28"/>
      <c r="M646" s="9"/>
      <c r="N646" s="7" t="s">
        <v>4709</v>
      </c>
      <c r="O646" s="7" t="s">
        <v>583</v>
      </c>
      <c r="P646" s="9">
        <v>2.0</v>
      </c>
      <c r="Q646" s="28"/>
      <c r="R646" s="9">
        <v>82.4</v>
      </c>
      <c r="S646" s="7" t="s">
        <v>584</v>
      </c>
      <c r="T646" s="7" t="b">
        <v>0</v>
      </c>
      <c r="U646" s="7" t="s">
        <v>585</v>
      </c>
      <c r="V646" s="27" t="s">
        <v>586</v>
      </c>
      <c r="W646" s="7" t="s">
        <v>5142</v>
      </c>
      <c r="X646" s="28"/>
      <c r="Y646" s="28"/>
      <c r="Z646" s="28"/>
    </row>
    <row r="647">
      <c r="A647" s="7" t="s">
        <v>5143</v>
      </c>
      <c r="B647" s="7" t="s">
        <v>5144</v>
      </c>
      <c r="C647" s="7" t="s">
        <v>5145</v>
      </c>
      <c r="D647" s="7" t="s">
        <v>259</v>
      </c>
      <c r="E647" s="7" t="s">
        <v>3781</v>
      </c>
      <c r="F647" s="9">
        <v>8.3062</v>
      </c>
      <c r="G647" s="9">
        <v>99.859917</v>
      </c>
      <c r="H647" s="7" t="s">
        <v>1951</v>
      </c>
      <c r="I647" s="9">
        <v>15.2</v>
      </c>
      <c r="J647" s="28"/>
      <c r="K647" s="28"/>
      <c r="L647" s="28"/>
      <c r="M647" s="9"/>
      <c r="N647" s="7" t="s">
        <v>4709</v>
      </c>
      <c r="O647" s="7" t="s">
        <v>583</v>
      </c>
      <c r="P647" s="9">
        <v>2.0</v>
      </c>
      <c r="Q647" s="28"/>
      <c r="R647" s="9">
        <v>202.4</v>
      </c>
      <c r="S647" s="7" t="s">
        <v>584</v>
      </c>
      <c r="T647" s="7" t="b">
        <v>0</v>
      </c>
      <c r="U647" s="7" t="s">
        <v>585</v>
      </c>
      <c r="V647" s="27" t="s">
        <v>586</v>
      </c>
      <c r="W647" s="7" t="s">
        <v>5146</v>
      </c>
      <c r="X647" s="28"/>
      <c r="Y647" s="28"/>
      <c r="Z647" s="28"/>
    </row>
    <row r="648">
      <c r="A648" s="7" t="s">
        <v>5147</v>
      </c>
      <c r="B648" s="7" t="s">
        <v>5148</v>
      </c>
      <c r="C648" s="7" t="s">
        <v>5149</v>
      </c>
      <c r="D648" s="7" t="s">
        <v>65</v>
      </c>
      <c r="E648" s="7"/>
      <c r="F648" s="9">
        <v>17.641503</v>
      </c>
      <c r="G648" s="9">
        <v>99.232057</v>
      </c>
      <c r="H648" s="7" t="s">
        <v>923</v>
      </c>
      <c r="I648" s="9">
        <v>161.25</v>
      </c>
      <c r="J648" s="28"/>
      <c r="K648" s="28"/>
      <c r="L648" s="28"/>
      <c r="M648" s="9">
        <v>165.8</v>
      </c>
      <c r="N648" s="7" t="s">
        <v>4709</v>
      </c>
      <c r="O648" s="7" t="s">
        <v>583</v>
      </c>
      <c r="P648" s="9">
        <v>2.0</v>
      </c>
      <c r="Q648" s="28"/>
      <c r="R648" s="9">
        <v>22.4</v>
      </c>
      <c r="S648" s="7" t="s">
        <v>584</v>
      </c>
      <c r="T648" s="7" t="b">
        <v>0</v>
      </c>
      <c r="U648" s="7" t="s">
        <v>585</v>
      </c>
      <c r="V648" s="27" t="s">
        <v>586</v>
      </c>
      <c r="W648" s="7" t="s">
        <v>5150</v>
      </c>
      <c r="X648" s="28"/>
      <c r="Y648" s="28"/>
      <c r="Z648" s="28"/>
    </row>
    <row r="649">
      <c r="A649" s="7" t="s">
        <v>5151</v>
      </c>
      <c r="B649" s="7" t="s">
        <v>5152</v>
      </c>
      <c r="C649" s="7" t="s">
        <v>5153</v>
      </c>
      <c r="D649" s="7" t="s">
        <v>190</v>
      </c>
      <c r="E649" s="7" t="s">
        <v>4776</v>
      </c>
      <c r="F649" s="9">
        <v>16.88054</v>
      </c>
      <c r="G649" s="9">
        <v>102.145442</v>
      </c>
      <c r="H649" s="7" t="s">
        <v>1951</v>
      </c>
      <c r="I649" s="9">
        <v>192.85</v>
      </c>
      <c r="J649" s="28"/>
      <c r="K649" s="28"/>
      <c r="L649" s="28"/>
      <c r="M649" s="9">
        <v>202.33</v>
      </c>
      <c r="N649" s="7" t="s">
        <v>4709</v>
      </c>
      <c r="O649" s="7" t="s">
        <v>583</v>
      </c>
      <c r="P649" s="9">
        <v>2.0</v>
      </c>
      <c r="Q649" s="28"/>
      <c r="R649" s="9">
        <v>202.4</v>
      </c>
      <c r="S649" s="7" t="s">
        <v>584</v>
      </c>
      <c r="T649" s="7" t="b">
        <v>0</v>
      </c>
      <c r="U649" s="7" t="s">
        <v>585</v>
      </c>
      <c r="V649" s="27" t="s">
        <v>586</v>
      </c>
      <c r="W649" s="7" t="s">
        <v>5156</v>
      </c>
      <c r="X649" s="28"/>
      <c r="Y649" s="28"/>
      <c r="Z649" s="28"/>
    </row>
    <row r="650">
      <c r="A650" s="7" t="s">
        <v>5158</v>
      </c>
      <c r="B650" s="7" t="s">
        <v>5159</v>
      </c>
      <c r="C650" s="7" t="s">
        <v>5161</v>
      </c>
      <c r="D650" s="7" t="s">
        <v>154</v>
      </c>
      <c r="E650" s="7" t="s">
        <v>4808</v>
      </c>
      <c r="F650" s="9">
        <v>13.78092</v>
      </c>
      <c r="G650" s="9">
        <v>99.420921</v>
      </c>
      <c r="H650" s="7" t="s">
        <v>618</v>
      </c>
      <c r="I650" s="9">
        <v>50.03</v>
      </c>
      <c r="J650" s="28"/>
      <c r="K650" s="28"/>
      <c r="L650" s="28"/>
      <c r="M650" s="9"/>
      <c r="N650" s="7" t="s">
        <v>4709</v>
      </c>
      <c r="O650" s="7" t="s">
        <v>583</v>
      </c>
      <c r="P650" s="9">
        <v>2.0</v>
      </c>
      <c r="Q650" s="28"/>
      <c r="R650" s="9">
        <v>82.4</v>
      </c>
      <c r="S650" s="7" t="s">
        <v>584</v>
      </c>
      <c r="T650" s="7" t="b">
        <v>0</v>
      </c>
      <c r="U650" s="7" t="s">
        <v>585</v>
      </c>
      <c r="V650" s="27" t="s">
        <v>586</v>
      </c>
      <c r="W650" s="7" t="s">
        <v>5163</v>
      </c>
      <c r="X650" s="28"/>
      <c r="Y650" s="28"/>
      <c r="Z650" s="28"/>
    </row>
    <row r="651">
      <c r="A651" s="7" t="s">
        <v>5164</v>
      </c>
      <c r="B651" s="7" t="s">
        <v>5165</v>
      </c>
      <c r="C651" s="7" t="s">
        <v>5166</v>
      </c>
      <c r="D651" s="7" t="s">
        <v>259</v>
      </c>
      <c r="E651" s="7" t="s">
        <v>5167</v>
      </c>
      <c r="F651" s="9">
        <v>8.178368</v>
      </c>
      <c r="G651" s="9">
        <v>99.70351</v>
      </c>
      <c r="H651" s="7" t="s">
        <v>5168</v>
      </c>
      <c r="I651" s="9">
        <v>59.85</v>
      </c>
      <c r="J651" s="28"/>
      <c r="K651" s="28"/>
      <c r="L651" s="28"/>
      <c r="M651" s="9"/>
      <c r="N651" s="7" t="s">
        <v>4709</v>
      </c>
      <c r="O651" s="7" t="s">
        <v>583</v>
      </c>
      <c r="P651" s="9">
        <v>2.0</v>
      </c>
      <c r="Q651" s="28"/>
      <c r="R651" s="9">
        <v>3032.4</v>
      </c>
      <c r="S651" s="7" t="s">
        <v>54</v>
      </c>
      <c r="T651" s="7" t="b">
        <v>0</v>
      </c>
      <c r="U651" s="7" t="s">
        <v>585</v>
      </c>
      <c r="V651" s="27" t="s">
        <v>586</v>
      </c>
      <c r="W651" s="7" t="s">
        <v>5171</v>
      </c>
      <c r="X651" s="28"/>
      <c r="Y651" s="28"/>
      <c r="Z651" s="28"/>
    </row>
    <row r="652">
      <c r="A652" s="7" t="s">
        <v>5172</v>
      </c>
      <c r="B652" s="7" t="s">
        <v>5173</v>
      </c>
      <c r="C652" s="7" t="s">
        <v>5174</v>
      </c>
      <c r="D652" s="7" t="s">
        <v>283</v>
      </c>
      <c r="E652" s="7" t="s">
        <v>5175</v>
      </c>
      <c r="F652" s="9">
        <v>10.6375</v>
      </c>
      <c r="G652" s="9">
        <v>99.050163</v>
      </c>
      <c r="H652" s="7" t="s">
        <v>1951</v>
      </c>
      <c r="I652" s="9">
        <v>18.59</v>
      </c>
      <c r="J652" s="28"/>
      <c r="K652" s="28"/>
      <c r="L652" s="28"/>
      <c r="M652" s="9"/>
      <c r="N652" s="7" t="s">
        <v>4709</v>
      </c>
      <c r="O652" s="7" t="s">
        <v>583</v>
      </c>
      <c r="P652" s="9">
        <v>2.0</v>
      </c>
      <c r="Q652" s="28"/>
      <c r="R652" s="9">
        <v>202.4</v>
      </c>
      <c r="S652" s="7" t="s">
        <v>584</v>
      </c>
      <c r="T652" s="7" t="b">
        <v>0</v>
      </c>
      <c r="U652" s="7" t="s">
        <v>585</v>
      </c>
      <c r="V652" s="27" t="s">
        <v>586</v>
      </c>
      <c r="W652" s="7" t="s">
        <v>5176</v>
      </c>
      <c r="X652" s="28"/>
      <c r="Y652" s="28"/>
      <c r="Z652" s="28"/>
    </row>
    <row r="653">
      <c r="A653" s="7" t="s">
        <v>5177</v>
      </c>
      <c r="B653" s="7" t="s">
        <v>5178</v>
      </c>
      <c r="C653" s="7" t="s">
        <v>5179</v>
      </c>
      <c r="D653" s="7" t="s">
        <v>190</v>
      </c>
      <c r="E653" s="7" t="s">
        <v>4776</v>
      </c>
      <c r="F653" s="9">
        <v>16.528994</v>
      </c>
      <c r="G653" s="9">
        <v>102.906006</v>
      </c>
      <c r="H653" s="7" t="s">
        <v>576</v>
      </c>
      <c r="I653" s="9">
        <v>147.14</v>
      </c>
      <c r="J653" s="28"/>
      <c r="K653" s="28"/>
      <c r="L653" s="28"/>
      <c r="M653" s="9"/>
      <c r="N653" s="7" t="s">
        <v>4709</v>
      </c>
      <c r="O653" s="7" t="s">
        <v>583</v>
      </c>
      <c r="P653" s="9">
        <v>2.0</v>
      </c>
      <c r="Q653" s="28"/>
      <c r="R653" s="9">
        <v>12.4</v>
      </c>
      <c r="S653" s="7" t="s">
        <v>584</v>
      </c>
      <c r="T653" s="7" t="b">
        <v>0</v>
      </c>
      <c r="U653" s="7" t="s">
        <v>585</v>
      </c>
      <c r="V653" s="27" t="s">
        <v>586</v>
      </c>
      <c r="W653" s="7" t="s">
        <v>5180</v>
      </c>
      <c r="X653" s="28"/>
      <c r="Y653" s="28"/>
      <c r="Z653" s="28"/>
    </row>
    <row r="654">
      <c r="A654" s="7" t="s">
        <v>5181</v>
      </c>
      <c r="B654" s="7" t="s">
        <v>5182</v>
      </c>
      <c r="C654" s="7" t="s">
        <v>751</v>
      </c>
      <c r="D654" s="7" t="s">
        <v>121</v>
      </c>
      <c r="E654" s="7" t="s">
        <v>5183</v>
      </c>
      <c r="F654" s="9">
        <v>12.92212</v>
      </c>
      <c r="G654" s="9">
        <v>99.81754</v>
      </c>
      <c r="H654" s="7" t="s">
        <v>576</v>
      </c>
      <c r="I654" s="9">
        <v>18.44</v>
      </c>
      <c r="J654" s="28"/>
      <c r="K654" s="28"/>
      <c r="L654" s="28"/>
      <c r="M654" s="9"/>
      <c r="N654" s="7" t="s">
        <v>4709</v>
      </c>
      <c r="O654" s="7" t="s">
        <v>583</v>
      </c>
      <c r="P654" s="9">
        <v>2.0</v>
      </c>
      <c r="Q654" s="28"/>
      <c r="R654" s="9">
        <v>12.4</v>
      </c>
      <c r="S654" s="7" t="s">
        <v>584</v>
      </c>
      <c r="T654" s="7" t="b">
        <v>0</v>
      </c>
      <c r="U654" s="7" t="s">
        <v>585</v>
      </c>
      <c r="V654" s="27" t="s">
        <v>586</v>
      </c>
      <c r="W654" s="7" t="s">
        <v>5184</v>
      </c>
      <c r="X654" s="28"/>
      <c r="Y654" s="28"/>
      <c r="Z654" s="28"/>
    </row>
    <row r="655">
      <c r="A655" s="7" t="s">
        <v>5185</v>
      </c>
      <c r="B655" s="7" t="s">
        <v>5186</v>
      </c>
      <c r="C655" s="7" t="s">
        <v>5187</v>
      </c>
      <c r="D655" s="7" t="s">
        <v>67</v>
      </c>
      <c r="E655" s="7" t="s">
        <v>5188</v>
      </c>
      <c r="F655" s="9">
        <v>17.636518</v>
      </c>
      <c r="G655" s="9">
        <v>98.77956</v>
      </c>
      <c r="H655" s="7" t="s">
        <v>576</v>
      </c>
      <c r="I655" s="9">
        <v>258.14</v>
      </c>
      <c r="J655" s="28"/>
      <c r="K655" s="28"/>
      <c r="L655" s="28"/>
      <c r="M655" s="9"/>
      <c r="N655" s="7" t="s">
        <v>4709</v>
      </c>
      <c r="O655" s="7" t="s">
        <v>583</v>
      </c>
      <c r="P655" s="9">
        <v>2.0</v>
      </c>
      <c r="Q655" s="28"/>
      <c r="R655" s="9">
        <v>12.4</v>
      </c>
      <c r="S655" s="7" t="s">
        <v>584</v>
      </c>
      <c r="T655" s="7" t="b">
        <v>0</v>
      </c>
      <c r="U655" s="7" t="s">
        <v>585</v>
      </c>
      <c r="V655" s="27" t="s">
        <v>586</v>
      </c>
      <c r="W655" s="7" t="s">
        <v>5190</v>
      </c>
      <c r="X655" s="28"/>
      <c r="Y655" s="28"/>
      <c r="Z655" s="28"/>
    </row>
    <row r="656">
      <c r="A656" s="7" t="s">
        <v>5191</v>
      </c>
      <c r="B656" s="7" t="s">
        <v>5192</v>
      </c>
      <c r="C656" s="7" t="s">
        <v>5193</v>
      </c>
      <c r="D656" s="7" t="s">
        <v>208</v>
      </c>
      <c r="E656" s="7" t="s">
        <v>5194</v>
      </c>
      <c r="F656" s="9">
        <v>16.847639</v>
      </c>
      <c r="G656" s="9">
        <v>101.94426</v>
      </c>
      <c r="H656" s="7" t="s">
        <v>618</v>
      </c>
      <c r="I656" s="9">
        <v>230.22</v>
      </c>
      <c r="J656" s="28"/>
      <c r="K656" s="28"/>
      <c r="L656" s="28"/>
      <c r="M656" s="9"/>
      <c r="N656" s="7" t="s">
        <v>4709</v>
      </c>
      <c r="O656" s="7" t="s">
        <v>583</v>
      </c>
      <c r="P656" s="9">
        <v>2.0</v>
      </c>
      <c r="Q656" s="28"/>
      <c r="R656" s="9">
        <v>82.4</v>
      </c>
      <c r="S656" s="7" t="s">
        <v>584</v>
      </c>
      <c r="T656" s="7" t="b">
        <v>0</v>
      </c>
      <c r="U656" s="7" t="s">
        <v>585</v>
      </c>
      <c r="V656" s="27" t="s">
        <v>586</v>
      </c>
      <c r="W656" s="7" t="s">
        <v>5195</v>
      </c>
      <c r="X656" s="28"/>
      <c r="Y656" s="28"/>
      <c r="Z656" s="28"/>
    </row>
    <row r="657">
      <c r="A657" s="7" t="s">
        <v>5196</v>
      </c>
      <c r="B657" s="7" t="s">
        <v>5197</v>
      </c>
      <c r="C657" s="7" t="s">
        <v>5198</v>
      </c>
      <c r="D657" s="7" t="s">
        <v>224</v>
      </c>
      <c r="E657" s="7" t="s">
        <v>5199</v>
      </c>
      <c r="F657" s="9">
        <v>14.85019</v>
      </c>
      <c r="G657" s="9">
        <v>101.616791</v>
      </c>
      <c r="H657" s="7" t="s">
        <v>618</v>
      </c>
      <c r="I657" s="9">
        <v>238.81</v>
      </c>
      <c r="J657" s="28"/>
      <c r="K657" s="28"/>
      <c r="L657" s="28"/>
      <c r="M657" s="9"/>
      <c r="N657" s="7" t="s">
        <v>4709</v>
      </c>
      <c r="O657" s="7" t="s">
        <v>583</v>
      </c>
      <c r="P657" s="9">
        <v>2.0</v>
      </c>
      <c r="Q657" s="28"/>
      <c r="R657" s="9">
        <v>82.4</v>
      </c>
      <c r="S657" s="7" t="s">
        <v>584</v>
      </c>
      <c r="T657" s="7" t="b">
        <v>0</v>
      </c>
      <c r="U657" s="7" t="s">
        <v>585</v>
      </c>
      <c r="V657" s="27" t="s">
        <v>586</v>
      </c>
      <c r="W657" s="7" t="s">
        <v>5200</v>
      </c>
      <c r="X657" s="28"/>
      <c r="Y657" s="28"/>
      <c r="Z657" s="28"/>
    </row>
    <row r="658">
      <c r="A658" s="7" t="s">
        <v>5201</v>
      </c>
      <c r="B658" s="7" t="s">
        <v>5202</v>
      </c>
      <c r="C658" s="7" t="s">
        <v>5203</v>
      </c>
      <c r="D658" s="7" t="s">
        <v>80</v>
      </c>
      <c r="E658" s="7" t="s">
        <v>2006</v>
      </c>
      <c r="F658" s="9">
        <v>17.73687</v>
      </c>
      <c r="G658" s="9">
        <v>100.531586</v>
      </c>
      <c r="H658" s="7" t="s">
        <v>618</v>
      </c>
      <c r="I658" s="9">
        <v>71.0</v>
      </c>
      <c r="J658" s="28"/>
      <c r="K658" s="28"/>
      <c r="L658" s="28"/>
      <c r="M658" s="9"/>
      <c r="N658" s="7" t="s">
        <v>4709</v>
      </c>
      <c r="O658" s="7" t="s">
        <v>583</v>
      </c>
      <c r="P658" s="9">
        <v>2.0</v>
      </c>
      <c r="Q658" s="28"/>
      <c r="R658" s="9">
        <v>82.4</v>
      </c>
      <c r="S658" s="7" t="s">
        <v>584</v>
      </c>
      <c r="T658" s="7" t="b">
        <v>0</v>
      </c>
      <c r="U658" s="7" t="s">
        <v>585</v>
      </c>
      <c r="V658" s="27" t="s">
        <v>586</v>
      </c>
      <c r="W658" s="7" t="s">
        <v>5206</v>
      </c>
      <c r="X658" s="28"/>
      <c r="Y658" s="28"/>
      <c r="Z658" s="28"/>
    </row>
    <row r="659">
      <c r="A659" s="7" t="s">
        <v>5208</v>
      </c>
      <c r="B659" s="7" t="s">
        <v>5210</v>
      </c>
      <c r="C659" s="7" t="s">
        <v>5211</v>
      </c>
      <c r="D659" s="7" t="s">
        <v>9</v>
      </c>
      <c r="E659" s="7"/>
      <c r="F659" s="9">
        <v>18.7955</v>
      </c>
      <c r="G659" s="9">
        <v>98.7307</v>
      </c>
      <c r="H659" s="7" t="s">
        <v>923</v>
      </c>
      <c r="I659" s="9">
        <v>441.14</v>
      </c>
      <c r="J659" s="28"/>
      <c r="K659" s="28"/>
      <c r="L659" s="28"/>
      <c r="M659" s="28"/>
      <c r="N659" s="7" t="s">
        <v>4709</v>
      </c>
      <c r="O659" s="7" t="s">
        <v>583</v>
      </c>
      <c r="P659" s="9">
        <v>2.0</v>
      </c>
      <c r="Q659" s="28"/>
      <c r="R659" s="9">
        <v>22.4</v>
      </c>
      <c r="S659" s="7" t="s">
        <v>584</v>
      </c>
      <c r="T659" s="7" t="b">
        <v>0</v>
      </c>
      <c r="U659" s="7" t="s">
        <v>585</v>
      </c>
      <c r="V659" s="27" t="s">
        <v>586</v>
      </c>
      <c r="W659" s="7" t="s">
        <v>5213</v>
      </c>
      <c r="X659" s="28"/>
      <c r="Y659" s="28"/>
      <c r="Z659" s="28"/>
    </row>
    <row r="660">
      <c r="A660" s="7" t="s">
        <v>5214</v>
      </c>
      <c r="B660" s="7" t="s">
        <v>5215</v>
      </c>
      <c r="C660" s="7" t="s">
        <v>5216</v>
      </c>
      <c r="D660" s="7" t="s">
        <v>283</v>
      </c>
      <c r="E660" s="7" t="s">
        <v>5217</v>
      </c>
      <c r="F660" s="9">
        <v>10.112872</v>
      </c>
      <c r="G660" s="9">
        <v>99.07568</v>
      </c>
      <c r="H660" s="7" t="s">
        <v>576</v>
      </c>
      <c r="I660" s="9">
        <v>4.27</v>
      </c>
      <c r="J660" s="28"/>
      <c r="K660" s="28"/>
      <c r="L660" s="28"/>
      <c r="M660" s="9"/>
      <c r="N660" s="7" t="s">
        <v>4709</v>
      </c>
      <c r="O660" s="7" t="s">
        <v>583</v>
      </c>
      <c r="P660" s="9">
        <v>2.0</v>
      </c>
      <c r="Q660" s="28"/>
      <c r="R660" s="9">
        <v>12.4</v>
      </c>
      <c r="S660" s="7" t="s">
        <v>584</v>
      </c>
      <c r="T660" s="7" t="b">
        <v>0</v>
      </c>
      <c r="U660" s="7" t="s">
        <v>585</v>
      </c>
      <c r="V660" s="27" t="s">
        <v>586</v>
      </c>
      <c r="W660" s="7" t="s">
        <v>5220</v>
      </c>
      <c r="X660" s="28"/>
      <c r="Y660" s="28"/>
      <c r="Z660" s="28"/>
    </row>
    <row r="661">
      <c r="A661" s="7" t="s">
        <v>5221</v>
      </c>
      <c r="B661" s="7" t="s">
        <v>5222</v>
      </c>
      <c r="C661" s="7" t="s">
        <v>5223</v>
      </c>
      <c r="D661" s="7" t="s">
        <v>60</v>
      </c>
      <c r="E661" s="7" t="s">
        <v>5224</v>
      </c>
      <c r="F661" s="9">
        <v>19.23041</v>
      </c>
      <c r="G661" s="9">
        <v>100.754089</v>
      </c>
      <c r="H661" s="7" t="s">
        <v>3579</v>
      </c>
      <c r="I661" s="9">
        <v>249.99</v>
      </c>
      <c r="J661" s="28"/>
      <c r="K661" s="28"/>
      <c r="L661" s="28"/>
      <c r="M661" s="9"/>
      <c r="N661" s="7" t="s">
        <v>4709</v>
      </c>
      <c r="O661" s="7" t="s">
        <v>583</v>
      </c>
      <c r="P661" s="9">
        <v>2.0</v>
      </c>
      <c r="Q661" s="28"/>
      <c r="R661" s="9">
        <v>262.4</v>
      </c>
      <c r="S661" s="7" t="s">
        <v>584</v>
      </c>
      <c r="T661" s="7" t="b">
        <v>0</v>
      </c>
      <c r="U661" s="7" t="s">
        <v>585</v>
      </c>
      <c r="V661" s="27" t="s">
        <v>586</v>
      </c>
      <c r="W661" s="7" t="s">
        <v>5225</v>
      </c>
      <c r="X661" s="28"/>
      <c r="Y661" s="28"/>
      <c r="Z661" s="28"/>
    </row>
    <row r="662">
      <c r="A662" s="7" t="s">
        <v>5226</v>
      </c>
      <c r="B662" s="7" t="s">
        <v>5227</v>
      </c>
      <c r="C662" s="7" t="s">
        <v>5228</v>
      </c>
      <c r="D662" s="7" t="s">
        <v>301</v>
      </c>
      <c r="E662" s="7" t="s">
        <v>5229</v>
      </c>
      <c r="F662" s="9">
        <v>6.47481</v>
      </c>
      <c r="G662" s="9">
        <v>101.139521</v>
      </c>
      <c r="H662" s="7" t="s">
        <v>923</v>
      </c>
      <c r="I662" s="9">
        <v>23.2</v>
      </c>
      <c r="J662" s="28"/>
      <c r="K662" s="28"/>
      <c r="L662" s="28"/>
      <c r="M662" s="9">
        <v>26.9</v>
      </c>
      <c r="N662" s="7" t="s">
        <v>4709</v>
      </c>
      <c r="O662" s="7" t="s">
        <v>583</v>
      </c>
      <c r="P662" s="9">
        <v>2.0</v>
      </c>
      <c r="Q662" s="28"/>
      <c r="R662" s="9">
        <v>22.4</v>
      </c>
      <c r="S662" s="7" t="s">
        <v>584</v>
      </c>
      <c r="T662" s="7" t="b">
        <v>0</v>
      </c>
      <c r="U662" s="7" t="s">
        <v>585</v>
      </c>
      <c r="V662" s="27" t="s">
        <v>586</v>
      </c>
      <c r="W662" s="7" t="s">
        <v>5230</v>
      </c>
      <c r="X662" s="28"/>
      <c r="Y662" s="28"/>
      <c r="Z662" s="28"/>
    </row>
    <row r="663">
      <c r="A663" s="7" t="s">
        <v>5231</v>
      </c>
      <c r="B663" s="7" t="s">
        <v>5232</v>
      </c>
      <c r="C663" s="7" t="s">
        <v>5233</v>
      </c>
      <c r="D663" s="7" t="s">
        <v>203</v>
      </c>
      <c r="E663" s="7" t="s">
        <v>2675</v>
      </c>
      <c r="F663" s="9">
        <v>17.11483</v>
      </c>
      <c r="G663" s="9">
        <v>104.53841</v>
      </c>
      <c r="H663" s="7" t="s">
        <v>576</v>
      </c>
      <c r="I663" s="9">
        <v>142.68</v>
      </c>
      <c r="J663" s="28"/>
      <c r="K663" s="28"/>
      <c r="L663" s="28"/>
      <c r="M663" s="9"/>
      <c r="N663" s="7" t="s">
        <v>4709</v>
      </c>
      <c r="O663" s="7" t="s">
        <v>583</v>
      </c>
      <c r="P663" s="9">
        <v>2.0</v>
      </c>
      <c r="Q663" s="28"/>
      <c r="R663" s="9">
        <v>12.4</v>
      </c>
      <c r="S663" s="7" t="s">
        <v>584</v>
      </c>
      <c r="T663" s="7" t="b">
        <v>0</v>
      </c>
      <c r="U663" s="7" t="s">
        <v>585</v>
      </c>
      <c r="V663" s="27" t="s">
        <v>586</v>
      </c>
      <c r="W663" s="7" t="s">
        <v>5234</v>
      </c>
      <c r="X663" s="28"/>
      <c r="Y663" s="28"/>
      <c r="Z663" s="28"/>
    </row>
    <row r="664">
      <c r="A664" s="7" t="s">
        <v>5235</v>
      </c>
      <c r="B664" s="7" t="s">
        <v>5236</v>
      </c>
      <c r="C664" s="7" t="s">
        <v>5237</v>
      </c>
      <c r="D664" s="7" t="s">
        <v>53</v>
      </c>
      <c r="E664" s="7" t="s">
        <v>4438</v>
      </c>
      <c r="F664" s="9">
        <v>19.173138</v>
      </c>
      <c r="G664" s="9">
        <v>99.50559</v>
      </c>
      <c r="H664" s="7" t="s">
        <v>576</v>
      </c>
      <c r="I664" s="9">
        <v>587.47</v>
      </c>
      <c r="J664" s="28"/>
      <c r="K664" s="28"/>
      <c r="L664" s="28"/>
      <c r="M664" s="9"/>
      <c r="N664" s="7" t="s">
        <v>4709</v>
      </c>
      <c r="O664" s="7" t="s">
        <v>583</v>
      </c>
      <c r="P664" s="9">
        <v>2.0</v>
      </c>
      <c r="Q664" s="28"/>
      <c r="R664" s="9">
        <v>12.4</v>
      </c>
      <c r="S664" s="7" t="s">
        <v>584</v>
      </c>
      <c r="T664" s="7" t="b">
        <v>0</v>
      </c>
      <c r="U664" s="7" t="s">
        <v>585</v>
      </c>
      <c r="V664" s="27" t="s">
        <v>586</v>
      </c>
      <c r="W664" s="7" t="s">
        <v>5239</v>
      </c>
      <c r="X664" s="28"/>
      <c r="Y664" s="28"/>
      <c r="Z664" s="28"/>
    </row>
    <row r="665">
      <c r="A665" s="7" t="s">
        <v>5240</v>
      </c>
      <c r="B665" s="7" t="s">
        <v>5241</v>
      </c>
      <c r="C665" s="7" t="s">
        <v>5242</v>
      </c>
      <c r="D665" s="7" t="s">
        <v>9</v>
      </c>
      <c r="E665" s="7" t="s">
        <v>5243</v>
      </c>
      <c r="F665" s="9">
        <v>19.638411</v>
      </c>
      <c r="G665" s="9">
        <v>98.635262</v>
      </c>
      <c r="H665" s="7" t="s">
        <v>2800</v>
      </c>
      <c r="I665" s="9">
        <v>741.8</v>
      </c>
      <c r="J665" s="28"/>
      <c r="K665" s="28"/>
      <c r="L665" s="28"/>
      <c r="M665" s="9"/>
      <c r="N665" s="7" t="s">
        <v>4709</v>
      </c>
      <c r="O665" s="7" t="s">
        <v>583</v>
      </c>
      <c r="P665" s="9">
        <v>2.0</v>
      </c>
      <c r="Q665" s="28"/>
      <c r="R665" s="9">
        <v>382.4</v>
      </c>
      <c r="S665" s="7" t="s">
        <v>584</v>
      </c>
      <c r="T665" s="7" t="b">
        <v>0</v>
      </c>
      <c r="U665" s="7" t="s">
        <v>585</v>
      </c>
      <c r="V665" s="27" t="s">
        <v>586</v>
      </c>
      <c r="W665" s="7" t="s">
        <v>5244</v>
      </c>
      <c r="X665" s="28"/>
      <c r="Y665" s="28"/>
      <c r="Z665" s="28"/>
    </row>
    <row r="666">
      <c r="A666" s="7" t="s">
        <v>5245</v>
      </c>
      <c r="B666" s="7" t="s">
        <v>5246</v>
      </c>
      <c r="C666" s="7" t="s">
        <v>5247</v>
      </c>
      <c r="D666" s="7" t="s">
        <v>84</v>
      </c>
      <c r="E666" s="7" t="s">
        <v>2799</v>
      </c>
      <c r="F666" s="9">
        <v>16.6282</v>
      </c>
      <c r="G666" s="9">
        <v>99.43257</v>
      </c>
      <c r="H666" s="7" t="s">
        <v>576</v>
      </c>
      <c r="I666" s="9">
        <v>81.08</v>
      </c>
      <c r="J666" s="28"/>
      <c r="K666" s="28"/>
      <c r="L666" s="28"/>
      <c r="M666" s="9"/>
      <c r="N666" s="7" t="s">
        <v>4709</v>
      </c>
      <c r="O666" s="7" t="s">
        <v>583</v>
      </c>
      <c r="P666" s="9">
        <v>2.0</v>
      </c>
      <c r="Q666" s="28"/>
      <c r="R666" s="9">
        <v>12.4</v>
      </c>
      <c r="S666" s="7" t="s">
        <v>584</v>
      </c>
      <c r="T666" s="7" t="b">
        <v>0</v>
      </c>
      <c r="U666" s="7" t="s">
        <v>585</v>
      </c>
      <c r="V666" s="27" t="s">
        <v>586</v>
      </c>
      <c r="W666" s="7" t="s">
        <v>5248</v>
      </c>
      <c r="X666" s="28"/>
      <c r="Y666" s="28"/>
      <c r="Z666" s="28"/>
    </row>
    <row r="667">
      <c r="A667" s="7" t="s">
        <v>5249</v>
      </c>
      <c r="B667" s="7" t="s">
        <v>5250</v>
      </c>
      <c r="C667" s="7" t="s">
        <v>5251</v>
      </c>
      <c r="D667" s="7" t="s">
        <v>9</v>
      </c>
      <c r="E667" s="7" t="s">
        <v>4718</v>
      </c>
      <c r="F667" s="9">
        <v>18.232069</v>
      </c>
      <c r="G667" s="9">
        <v>98.439766</v>
      </c>
      <c r="H667" s="7" t="s">
        <v>576</v>
      </c>
      <c r="I667" s="9">
        <v>332.45</v>
      </c>
      <c r="J667" s="28"/>
      <c r="K667" s="28"/>
      <c r="L667" s="28"/>
      <c r="M667" s="9"/>
      <c r="N667" s="7" t="s">
        <v>4709</v>
      </c>
      <c r="O667" s="7" t="s">
        <v>583</v>
      </c>
      <c r="P667" s="9">
        <v>2.0</v>
      </c>
      <c r="Q667" s="28"/>
      <c r="R667" s="9">
        <v>12.4</v>
      </c>
      <c r="S667" s="7" t="s">
        <v>584</v>
      </c>
      <c r="T667" s="7" t="b">
        <v>0</v>
      </c>
      <c r="U667" s="7" t="s">
        <v>585</v>
      </c>
      <c r="V667" s="27" t="s">
        <v>586</v>
      </c>
      <c r="W667" s="7" t="s">
        <v>5254</v>
      </c>
      <c r="X667" s="28"/>
      <c r="Y667" s="28"/>
      <c r="Z667" s="28"/>
    </row>
    <row r="668">
      <c r="A668" s="7" t="s">
        <v>5256</v>
      </c>
      <c r="B668" s="7" t="s">
        <v>5258</v>
      </c>
      <c r="C668" s="7" t="s">
        <v>4676</v>
      </c>
      <c r="D668" s="7" t="s">
        <v>186</v>
      </c>
      <c r="E668" s="7" t="s">
        <v>5259</v>
      </c>
      <c r="F668" s="9">
        <v>16.952499</v>
      </c>
      <c r="G668" s="9">
        <v>103.496674</v>
      </c>
      <c r="H668" s="7" t="s">
        <v>3412</v>
      </c>
      <c r="I668" s="9">
        <v>161.8</v>
      </c>
      <c r="J668" s="28"/>
      <c r="K668" s="28"/>
      <c r="L668" s="28"/>
      <c r="M668" s="9"/>
      <c r="N668" s="7" t="s">
        <v>4709</v>
      </c>
      <c r="O668" s="7" t="s">
        <v>583</v>
      </c>
      <c r="P668" s="9">
        <v>2.0</v>
      </c>
      <c r="Q668" s="28"/>
      <c r="R668" s="9">
        <v>562.4</v>
      </c>
      <c r="S668" s="7" t="s">
        <v>584</v>
      </c>
      <c r="T668" s="7" t="b">
        <v>0</v>
      </c>
      <c r="U668" s="7" t="s">
        <v>585</v>
      </c>
      <c r="V668" s="27" t="s">
        <v>586</v>
      </c>
      <c r="W668" s="7" t="s">
        <v>5261</v>
      </c>
      <c r="X668" s="28"/>
      <c r="Y668" s="28"/>
      <c r="Z668" s="28"/>
    </row>
    <row r="669">
      <c r="A669" s="7" t="s">
        <v>5262</v>
      </c>
      <c r="B669" s="7" t="s">
        <v>5263</v>
      </c>
      <c r="C669" s="7" t="s">
        <v>5264</v>
      </c>
      <c r="D669" s="7" t="s">
        <v>9</v>
      </c>
      <c r="E669" s="7" t="s">
        <v>2799</v>
      </c>
      <c r="F669" s="9">
        <v>19.00979</v>
      </c>
      <c r="G669" s="9">
        <v>98.95975</v>
      </c>
      <c r="H669" s="7" t="s">
        <v>576</v>
      </c>
      <c r="I669" s="9">
        <v>314.76</v>
      </c>
      <c r="J669" s="28"/>
      <c r="K669" s="28"/>
      <c r="L669" s="28"/>
      <c r="M669" s="9"/>
      <c r="N669" s="7" t="s">
        <v>4709</v>
      </c>
      <c r="O669" s="7" t="s">
        <v>583</v>
      </c>
      <c r="P669" s="9">
        <v>2.0</v>
      </c>
      <c r="Q669" s="28"/>
      <c r="R669" s="9">
        <v>12.4</v>
      </c>
      <c r="S669" s="7" t="s">
        <v>584</v>
      </c>
      <c r="T669" s="7" t="b">
        <v>0</v>
      </c>
      <c r="U669" s="7" t="s">
        <v>585</v>
      </c>
      <c r="V669" s="27" t="s">
        <v>586</v>
      </c>
      <c r="W669" s="7" t="s">
        <v>5268</v>
      </c>
      <c r="X669" s="28"/>
      <c r="Y669" s="28"/>
      <c r="Z669" s="28"/>
    </row>
    <row r="670">
      <c r="A670" s="7" t="s">
        <v>5269</v>
      </c>
      <c r="B670" s="7" t="s">
        <v>5270</v>
      </c>
      <c r="C670" s="7" t="s">
        <v>5271</v>
      </c>
      <c r="D670" s="7" t="s">
        <v>60</v>
      </c>
      <c r="E670" s="7" t="s">
        <v>2006</v>
      </c>
      <c r="F670" s="9">
        <v>18.85971</v>
      </c>
      <c r="G670" s="9">
        <v>100.8171</v>
      </c>
      <c r="H670" s="7" t="s">
        <v>576</v>
      </c>
      <c r="I670" s="9">
        <v>197.21</v>
      </c>
      <c r="J670" s="28"/>
      <c r="K670" s="28"/>
      <c r="L670" s="28"/>
      <c r="M670" s="9"/>
      <c r="N670" s="7" t="s">
        <v>4709</v>
      </c>
      <c r="O670" s="7" t="s">
        <v>583</v>
      </c>
      <c r="P670" s="9">
        <v>2.0</v>
      </c>
      <c r="Q670" s="28"/>
      <c r="R670" s="9">
        <v>12.4</v>
      </c>
      <c r="S670" s="7" t="s">
        <v>584</v>
      </c>
      <c r="T670" s="7" t="b">
        <v>0</v>
      </c>
      <c r="U670" s="7" t="s">
        <v>585</v>
      </c>
      <c r="V670" s="27" t="s">
        <v>586</v>
      </c>
      <c r="W670" s="7" t="s">
        <v>5272</v>
      </c>
      <c r="X670" s="28"/>
      <c r="Y670" s="28"/>
      <c r="Z670" s="28"/>
    </row>
    <row r="671">
      <c r="A671" s="7" t="s">
        <v>5273</v>
      </c>
      <c r="B671" s="7" t="s">
        <v>5274</v>
      </c>
      <c r="C671" s="7" t="s">
        <v>5275</v>
      </c>
      <c r="D671" s="7" t="s">
        <v>260</v>
      </c>
      <c r="E671" s="7" t="s">
        <v>4375</v>
      </c>
      <c r="F671" s="9">
        <v>9.206472</v>
      </c>
      <c r="G671" s="9">
        <v>98.95253</v>
      </c>
      <c r="H671" s="7" t="s">
        <v>576</v>
      </c>
      <c r="I671" s="9">
        <v>23.46</v>
      </c>
      <c r="J671" s="28"/>
      <c r="K671" s="28"/>
      <c r="L671" s="28"/>
      <c r="M671" s="9"/>
      <c r="N671" s="7" t="s">
        <v>4709</v>
      </c>
      <c r="O671" s="7" t="s">
        <v>583</v>
      </c>
      <c r="P671" s="9">
        <v>2.0</v>
      </c>
      <c r="Q671" s="28"/>
      <c r="R671" s="9">
        <v>12.4</v>
      </c>
      <c r="S671" s="7" t="s">
        <v>584</v>
      </c>
      <c r="T671" s="7" t="b">
        <v>0</v>
      </c>
      <c r="U671" s="7" t="s">
        <v>585</v>
      </c>
      <c r="V671" s="27" t="s">
        <v>586</v>
      </c>
      <c r="W671" s="7" t="s">
        <v>5276</v>
      </c>
      <c r="X671" s="28"/>
      <c r="Y671" s="28"/>
      <c r="Z671" s="28"/>
    </row>
    <row r="672">
      <c r="A672" s="7" t="s">
        <v>5277</v>
      </c>
      <c r="B672" s="7" t="s">
        <v>5278</v>
      </c>
      <c r="C672" s="7" t="s">
        <v>5279</v>
      </c>
      <c r="D672" s="7" t="s">
        <v>278</v>
      </c>
      <c r="E672" s="7" t="s">
        <v>5280</v>
      </c>
      <c r="F672" s="9">
        <v>9.590022</v>
      </c>
      <c r="G672" s="9">
        <v>98.63291</v>
      </c>
      <c r="H672" s="7" t="s">
        <v>5281</v>
      </c>
      <c r="I672" s="9">
        <v>9.5</v>
      </c>
      <c r="J672" s="28"/>
      <c r="K672" s="28"/>
      <c r="L672" s="28"/>
      <c r="M672" s="9"/>
      <c r="N672" s="7" t="s">
        <v>4709</v>
      </c>
      <c r="O672" s="7" t="s">
        <v>583</v>
      </c>
      <c r="P672" s="9">
        <v>2.0</v>
      </c>
      <c r="Q672" s="28"/>
      <c r="R672" s="9">
        <v>192.4</v>
      </c>
      <c r="S672" s="7" t="s">
        <v>584</v>
      </c>
      <c r="T672" s="7" t="b">
        <v>0</v>
      </c>
      <c r="U672" s="7" t="s">
        <v>585</v>
      </c>
      <c r="V672" s="27" t="s">
        <v>586</v>
      </c>
      <c r="W672" s="7" t="s">
        <v>5282</v>
      </c>
      <c r="X672" s="28"/>
      <c r="Y672" s="28"/>
      <c r="Z672" s="28"/>
    </row>
    <row r="673">
      <c r="A673" s="7" t="s">
        <v>5283</v>
      </c>
      <c r="B673" s="7" t="s">
        <v>5284</v>
      </c>
      <c r="C673" s="7" t="s">
        <v>5285</v>
      </c>
      <c r="D673" s="7" t="s">
        <v>259</v>
      </c>
      <c r="E673" s="7" t="s">
        <v>5286</v>
      </c>
      <c r="F673" s="9">
        <v>8.166437</v>
      </c>
      <c r="G673" s="9">
        <v>99.704285</v>
      </c>
      <c r="H673" s="7" t="s">
        <v>576</v>
      </c>
      <c r="I673" s="9">
        <v>57.95</v>
      </c>
      <c r="J673" s="28"/>
      <c r="K673" s="28"/>
      <c r="L673" s="28"/>
      <c r="M673" s="9"/>
      <c r="N673" s="7" t="s">
        <v>4709</v>
      </c>
      <c r="O673" s="7" t="s">
        <v>583</v>
      </c>
      <c r="P673" s="9">
        <v>2.0</v>
      </c>
      <c r="Q673" s="28"/>
      <c r="R673" s="9">
        <v>12.4</v>
      </c>
      <c r="S673" s="7" t="s">
        <v>584</v>
      </c>
      <c r="T673" s="7" t="b">
        <v>0</v>
      </c>
      <c r="U673" s="7" t="s">
        <v>585</v>
      </c>
      <c r="V673" s="27" t="s">
        <v>586</v>
      </c>
      <c r="W673" s="7" t="s">
        <v>5287</v>
      </c>
      <c r="X673" s="28"/>
      <c r="Y673" s="28"/>
      <c r="Z673" s="28"/>
    </row>
    <row r="674">
      <c r="A674" s="7" t="s">
        <v>5288</v>
      </c>
      <c r="B674" s="7" t="s">
        <v>5289</v>
      </c>
      <c r="C674" s="7" t="s">
        <v>5290</v>
      </c>
      <c r="D674" s="7" t="s">
        <v>283</v>
      </c>
      <c r="E674" s="7" t="s">
        <v>5175</v>
      </c>
      <c r="F674" s="9">
        <v>10.607499</v>
      </c>
      <c r="G674" s="9">
        <v>99.095345</v>
      </c>
      <c r="H674" s="7" t="s">
        <v>576</v>
      </c>
      <c r="I674" s="9">
        <v>8.32</v>
      </c>
      <c r="J674" s="28"/>
      <c r="K674" s="28"/>
      <c r="L674" s="28"/>
      <c r="M674" s="28"/>
      <c r="N674" s="7" t="s">
        <v>4709</v>
      </c>
      <c r="O674" s="7" t="s">
        <v>583</v>
      </c>
      <c r="P674" s="9">
        <v>2.0</v>
      </c>
      <c r="Q674" s="28"/>
      <c r="R674" s="9">
        <v>12.4</v>
      </c>
      <c r="S674" s="7" t="s">
        <v>584</v>
      </c>
      <c r="T674" s="7" t="b">
        <v>0</v>
      </c>
      <c r="U674" s="7" t="s">
        <v>585</v>
      </c>
      <c r="V674" s="27" t="s">
        <v>586</v>
      </c>
      <c r="W674" s="7" t="s">
        <v>5291</v>
      </c>
      <c r="X674" s="28"/>
      <c r="Y674" s="28"/>
      <c r="Z674" s="28"/>
    </row>
    <row r="675">
      <c r="A675" s="7" t="s">
        <v>5292</v>
      </c>
      <c r="B675" s="7" t="s">
        <v>5293</v>
      </c>
      <c r="C675" s="7" t="s">
        <v>5294</v>
      </c>
      <c r="D675" s="7" t="s">
        <v>292</v>
      </c>
      <c r="E675" s="7" t="s">
        <v>2988</v>
      </c>
      <c r="F675" s="9">
        <v>7.55583</v>
      </c>
      <c r="G675" s="9">
        <v>99.578438</v>
      </c>
      <c r="H675" s="7" t="s">
        <v>1951</v>
      </c>
      <c r="I675" s="9">
        <v>1.05</v>
      </c>
      <c r="J675" s="28"/>
      <c r="K675" s="28"/>
      <c r="L675" s="28"/>
      <c r="M675" s="9"/>
      <c r="N675" s="7" t="s">
        <v>4709</v>
      </c>
      <c r="O675" s="7" t="s">
        <v>583</v>
      </c>
      <c r="P675" s="9">
        <v>2.0</v>
      </c>
      <c r="Q675" s="28"/>
      <c r="R675" s="9">
        <v>202.4</v>
      </c>
      <c r="S675" s="7" t="s">
        <v>584</v>
      </c>
      <c r="T675" s="7" t="b">
        <v>0</v>
      </c>
      <c r="U675" s="7" t="s">
        <v>585</v>
      </c>
      <c r="V675" s="27" t="s">
        <v>586</v>
      </c>
      <c r="W675" s="7" t="s">
        <v>5296</v>
      </c>
      <c r="X675" s="28"/>
      <c r="Y675" s="28"/>
      <c r="Z675" s="28"/>
    </row>
    <row r="676">
      <c r="A676" s="7" t="s">
        <v>5297</v>
      </c>
      <c r="B676" s="7" t="s">
        <v>5298</v>
      </c>
      <c r="C676" s="7" t="s">
        <v>5299</v>
      </c>
      <c r="D676" s="7" t="s">
        <v>53</v>
      </c>
      <c r="E676" s="7" t="s">
        <v>4438</v>
      </c>
      <c r="F676" s="9">
        <v>19.82637</v>
      </c>
      <c r="G676" s="9">
        <v>99.77892</v>
      </c>
      <c r="H676" s="7" t="s">
        <v>576</v>
      </c>
      <c r="I676" s="9">
        <v>401.0</v>
      </c>
      <c r="J676" s="28"/>
      <c r="K676" s="28"/>
      <c r="L676" s="28"/>
      <c r="M676" s="9"/>
      <c r="N676" s="7" t="s">
        <v>4709</v>
      </c>
      <c r="O676" s="7" t="s">
        <v>583</v>
      </c>
      <c r="P676" s="9">
        <v>2.0</v>
      </c>
      <c r="Q676" s="28"/>
      <c r="R676" s="9">
        <v>12.4</v>
      </c>
      <c r="S676" s="7" t="s">
        <v>584</v>
      </c>
      <c r="T676" s="7" t="b">
        <v>0</v>
      </c>
      <c r="U676" s="7" t="s">
        <v>585</v>
      </c>
      <c r="V676" s="27" t="s">
        <v>586</v>
      </c>
      <c r="W676" s="7" t="s">
        <v>5300</v>
      </c>
      <c r="X676" s="28"/>
      <c r="Y676" s="28"/>
      <c r="Z676" s="28"/>
    </row>
    <row r="677">
      <c r="A677" s="7" t="s">
        <v>5301</v>
      </c>
      <c r="B677" s="7" t="s">
        <v>5302</v>
      </c>
      <c r="C677" s="7" t="s">
        <v>5303</v>
      </c>
      <c r="D677" s="7" t="s">
        <v>208</v>
      </c>
      <c r="E677" s="7" t="s">
        <v>5194</v>
      </c>
      <c r="F677" s="9">
        <v>16.847333</v>
      </c>
      <c r="G677" s="9">
        <v>101.943603</v>
      </c>
      <c r="H677" s="7" t="s">
        <v>923</v>
      </c>
      <c r="I677" s="9">
        <v>227.83</v>
      </c>
      <c r="J677" s="28"/>
      <c r="K677" s="28"/>
      <c r="L677" s="28"/>
      <c r="M677" s="9">
        <v>237.39</v>
      </c>
      <c r="N677" s="7" t="s">
        <v>4709</v>
      </c>
      <c r="O677" s="7" t="s">
        <v>583</v>
      </c>
      <c r="P677" s="9">
        <v>2.0</v>
      </c>
      <c r="Q677" s="28"/>
      <c r="R677" s="9">
        <v>22.4</v>
      </c>
      <c r="S677" s="7" t="s">
        <v>584</v>
      </c>
      <c r="T677" s="7" t="b">
        <v>0</v>
      </c>
      <c r="U677" s="7" t="s">
        <v>585</v>
      </c>
      <c r="V677" s="27" t="s">
        <v>586</v>
      </c>
      <c r="W677" s="7" t="s">
        <v>5304</v>
      </c>
      <c r="X677" s="28"/>
      <c r="Y677" s="28"/>
      <c r="Z677" s="28"/>
    </row>
    <row r="678">
      <c r="A678" s="7" t="s">
        <v>5305</v>
      </c>
      <c r="B678" s="7" t="s">
        <v>5306</v>
      </c>
      <c r="C678" s="7" t="s">
        <v>5307</v>
      </c>
      <c r="D678" s="7" t="s">
        <v>53</v>
      </c>
      <c r="E678" s="7" t="s">
        <v>4438</v>
      </c>
      <c r="F678" s="9">
        <v>19.622379</v>
      </c>
      <c r="G678" s="9">
        <v>99.476936</v>
      </c>
      <c r="H678" s="7" t="s">
        <v>3412</v>
      </c>
      <c r="I678" s="9">
        <v>462.23</v>
      </c>
      <c r="J678" s="28"/>
      <c r="K678" s="28"/>
      <c r="L678" s="28"/>
      <c r="M678" s="28"/>
      <c r="N678" s="7" t="s">
        <v>4709</v>
      </c>
      <c r="O678" s="7" t="s">
        <v>583</v>
      </c>
      <c r="P678" s="9">
        <v>2.0</v>
      </c>
      <c r="Q678" s="28"/>
      <c r="R678" s="9">
        <v>562.4</v>
      </c>
      <c r="S678" s="7" t="s">
        <v>584</v>
      </c>
      <c r="T678" s="7" t="b">
        <v>0</v>
      </c>
      <c r="U678" s="7" t="s">
        <v>585</v>
      </c>
      <c r="V678" s="27" t="s">
        <v>586</v>
      </c>
      <c r="W678" s="7" t="s">
        <v>5308</v>
      </c>
      <c r="X678" s="28"/>
      <c r="Y678" s="28"/>
      <c r="Z678" s="28"/>
    </row>
    <row r="679">
      <c r="A679" s="7" t="s">
        <v>5309</v>
      </c>
      <c r="B679" s="7" t="s">
        <v>5310</v>
      </c>
      <c r="C679" s="7" t="s">
        <v>5311</v>
      </c>
      <c r="D679" s="7" t="s">
        <v>60</v>
      </c>
      <c r="E679" s="7" t="s">
        <v>5224</v>
      </c>
      <c r="F679" s="9">
        <v>18.99374</v>
      </c>
      <c r="G679" s="9">
        <v>100.940102</v>
      </c>
      <c r="H679" s="7" t="s">
        <v>3579</v>
      </c>
      <c r="I679" s="9">
        <v>265.15</v>
      </c>
      <c r="J679" s="28"/>
      <c r="K679" s="28"/>
      <c r="L679" s="28"/>
      <c r="M679" s="9"/>
      <c r="N679" s="7" t="s">
        <v>4709</v>
      </c>
      <c r="O679" s="7" t="s">
        <v>583</v>
      </c>
      <c r="P679" s="9">
        <v>2.0</v>
      </c>
      <c r="Q679" s="28"/>
      <c r="R679" s="9">
        <v>262.4</v>
      </c>
      <c r="S679" s="7" t="s">
        <v>584</v>
      </c>
      <c r="T679" s="7" t="b">
        <v>0</v>
      </c>
      <c r="U679" s="7" t="s">
        <v>585</v>
      </c>
      <c r="V679" s="27" t="s">
        <v>586</v>
      </c>
      <c r="W679" s="7" t="s">
        <v>5312</v>
      </c>
      <c r="X679" s="28"/>
      <c r="Y679" s="28"/>
      <c r="Z679" s="28"/>
    </row>
    <row r="680">
      <c r="A680" s="7" t="s">
        <v>5313</v>
      </c>
      <c r="B680" s="7" t="s">
        <v>5314</v>
      </c>
      <c r="C680" s="7" t="s">
        <v>5315</v>
      </c>
      <c r="D680" s="7" t="s">
        <v>202</v>
      </c>
      <c r="E680" s="7" t="s">
        <v>5315</v>
      </c>
      <c r="F680" s="9">
        <v>16.996609</v>
      </c>
      <c r="G680" s="9">
        <v>104.17364</v>
      </c>
      <c r="H680" s="7" t="s">
        <v>576</v>
      </c>
      <c r="I680" s="9">
        <v>168.7</v>
      </c>
      <c r="J680" s="28"/>
      <c r="K680" s="28"/>
      <c r="L680" s="28"/>
      <c r="M680" s="9"/>
      <c r="N680" s="7" t="s">
        <v>4709</v>
      </c>
      <c r="O680" s="7" t="s">
        <v>583</v>
      </c>
      <c r="P680" s="9">
        <v>2.0</v>
      </c>
      <c r="Q680" s="28"/>
      <c r="R680" s="9">
        <v>12.4</v>
      </c>
      <c r="S680" s="7" t="s">
        <v>584</v>
      </c>
      <c r="T680" s="7" t="b">
        <v>0</v>
      </c>
      <c r="U680" s="7" t="s">
        <v>585</v>
      </c>
      <c r="V680" s="27" t="s">
        <v>586</v>
      </c>
      <c r="W680" s="7" t="s">
        <v>5321</v>
      </c>
      <c r="X680" s="28"/>
      <c r="Y680" s="28"/>
      <c r="Z680" s="28"/>
    </row>
    <row r="681">
      <c r="A681" s="7" t="s">
        <v>5322</v>
      </c>
      <c r="B681" s="7" t="s">
        <v>5323</v>
      </c>
      <c r="C681" s="7" t="s">
        <v>5324</v>
      </c>
      <c r="D681" s="7" t="s">
        <v>67</v>
      </c>
      <c r="E681" s="7" t="s">
        <v>2520</v>
      </c>
      <c r="F681" s="9">
        <v>17.805399</v>
      </c>
      <c r="G681" s="9">
        <v>98.953316</v>
      </c>
      <c r="H681" s="7" t="s">
        <v>576</v>
      </c>
      <c r="I681" s="9">
        <v>440.68</v>
      </c>
      <c r="J681" s="28"/>
      <c r="K681" s="28"/>
      <c r="L681" s="28"/>
      <c r="M681" s="9"/>
      <c r="N681" s="7" t="s">
        <v>4709</v>
      </c>
      <c r="O681" s="7" t="s">
        <v>583</v>
      </c>
      <c r="P681" s="9">
        <v>2.0</v>
      </c>
      <c r="Q681" s="28"/>
      <c r="R681" s="9">
        <v>12.4</v>
      </c>
      <c r="S681" s="7" t="s">
        <v>584</v>
      </c>
      <c r="T681" s="7" t="b">
        <v>0</v>
      </c>
      <c r="U681" s="7" t="s">
        <v>585</v>
      </c>
      <c r="V681" s="27" t="s">
        <v>586</v>
      </c>
      <c r="W681" s="7" t="s">
        <v>5325</v>
      </c>
      <c r="X681" s="28"/>
      <c r="Y681" s="28"/>
      <c r="Z681" s="28"/>
    </row>
    <row r="682">
      <c r="A682" s="7" t="s">
        <v>5326</v>
      </c>
      <c r="B682" s="7" t="s">
        <v>5327</v>
      </c>
      <c r="C682" s="7" t="s">
        <v>5328</v>
      </c>
      <c r="D682" s="7" t="s">
        <v>65</v>
      </c>
      <c r="E682" s="7" t="s">
        <v>3469</v>
      </c>
      <c r="F682" s="9">
        <v>18.990931</v>
      </c>
      <c r="G682" s="9">
        <v>99.621109</v>
      </c>
      <c r="H682" s="7" t="s">
        <v>3579</v>
      </c>
      <c r="I682" s="9">
        <v>382.08</v>
      </c>
      <c r="J682" s="28"/>
      <c r="K682" s="28"/>
      <c r="L682" s="28"/>
      <c r="M682" s="9"/>
      <c r="N682" s="7" t="s">
        <v>4709</v>
      </c>
      <c r="O682" s="7" t="s">
        <v>583</v>
      </c>
      <c r="P682" s="9">
        <v>2.0</v>
      </c>
      <c r="Q682" s="28"/>
      <c r="R682" s="9">
        <v>262.4</v>
      </c>
      <c r="S682" s="7" t="s">
        <v>584</v>
      </c>
      <c r="T682" s="7" t="b">
        <v>0</v>
      </c>
      <c r="U682" s="7" t="s">
        <v>585</v>
      </c>
      <c r="V682" s="27" t="s">
        <v>586</v>
      </c>
      <c r="W682" s="7" t="s">
        <v>5330</v>
      </c>
      <c r="X682" s="28"/>
      <c r="Y682" s="28"/>
      <c r="Z682" s="28"/>
    </row>
    <row r="683">
      <c r="A683" s="7" t="s">
        <v>5332</v>
      </c>
      <c r="B683" s="7" t="s">
        <v>5333</v>
      </c>
      <c r="C683" s="7" t="s">
        <v>5334</v>
      </c>
      <c r="D683" s="7" t="s">
        <v>58</v>
      </c>
      <c r="E683" s="7" t="s">
        <v>1047</v>
      </c>
      <c r="F683" s="9">
        <v>18.26591</v>
      </c>
      <c r="G683" s="9">
        <v>100.17706</v>
      </c>
      <c r="H683" s="7" t="s">
        <v>576</v>
      </c>
      <c r="I683" s="9">
        <v>153.94</v>
      </c>
      <c r="J683" s="28"/>
      <c r="K683" s="28"/>
      <c r="L683" s="28"/>
      <c r="M683" s="9"/>
      <c r="N683" s="7" t="s">
        <v>4709</v>
      </c>
      <c r="O683" s="7" t="s">
        <v>583</v>
      </c>
      <c r="P683" s="9">
        <v>2.0</v>
      </c>
      <c r="Q683" s="28"/>
      <c r="R683" s="9">
        <v>12.4</v>
      </c>
      <c r="S683" s="7" t="s">
        <v>584</v>
      </c>
      <c r="T683" s="7" t="b">
        <v>0</v>
      </c>
      <c r="U683" s="7" t="s">
        <v>585</v>
      </c>
      <c r="V683" s="27" t="s">
        <v>586</v>
      </c>
      <c r="W683" s="7" t="s">
        <v>5335</v>
      </c>
      <c r="X683" s="28"/>
      <c r="Y683" s="28"/>
      <c r="Z683" s="28"/>
    </row>
    <row r="684">
      <c r="A684" s="7" t="s">
        <v>5336</v>
      </c>
      <c r="B684" s="7" t="s">
        <v>5337</v>
      </c>
      <c r="C684" s="7" t="s">
        <v>5338</v>
      </c>
      <c r="D684" s="7" t="s">
        <v>53</v>
      </c>
      <c r="E684" s="7" t="s">
        <v>3238</v>
      </c>
      <c r="F684" s="9">
        <v>19.92195</v>
      </c>
      <c r="G684" s="9">
        <v>99.81826</v>
      </c>
      <c r="H684" s="7" t="s">
        <v>576</v>
      </c>
      <c r="I684" s="9">
        <v>389.2</v>
      </c>
      <c r="J684" s="28"/>
      <c r="K684" s="28"/>
      <c r="L684" s="28"/>
      <c r="M684" s="9"/>
      <c r="N684" s="7" t="s">
        <v>4709</v>
      </c>
      <c r="O684" s="7" t="s">
        <v>583</v>
      </c>
      <c r="P684" s="9">
        <v>2.0</v>
      </c>
      <c r="Q684" s="28"/>
      <c r="R684" s="9">
        <v>12.4</v>
      </c>
      <c r="S684" s="7" t="s">
        <v>584</v>
      </c>
      <c r="T684" s="7" t="b">
        <v>0</v>
      </c>
      <c r="U684" s="7" t="s">
        <v>585</v>
      </c>
      <c r="V684" s="27" t="s">
        <v>586</v>
      </c>
      <c r="W684" s="7" t="s">
        <v>5339</v>
      </c>
      <c r="X684" s="28"/>
      <c r="Y684" s="28"/>
      <c r="Z684" s="28"/>
    </row>
    <row r="685">
      <c r="A685" s="7" t="s">
        <v>5340</v>
      </c>
      <c r="B685" s="7" t="s">
        <v>5341</v>
      </c>
      <c r="C685" s="7" t="s">
        <v>5342</v>
      </c>
      <c r="D685" s="7" t="s">
        <v>63</v>
      </c>
      <c r="E685" s="7" t="s">
        <v>5343</v>
      </c>
      <c r="F685" s="9">
        <v>19.321678</v>
      </c>
      <c r="G685" s="9">
        <v>100.456184</v>
      </c>
      <c r="H685" s="7" t="s">
        <v>576</v>
      </c>
      <c r="I685" s="9">
        <v>444.08</v>
      </c>
      <c r="J685" s="28"/>
      <c r="K685" s="28"/>
      <c r="L685" s="28"/>
      <c r="M685" s="9"/>
      <c r="N685" s="7" t="s">
        <v>4709</v>
      </c>
      <c r="O685" s="7" t="s">
        <v>583</v>
      </c>
      <c r="P685" s="9">
        <v>2.0</v>
      </c>
      <c r="Q685" s="28"/>
      <c r="R685" s="9">
        <v>12.4</v>
      </c>
      <c r="S685" s="7" t="s">
        <v>584</v>
      </c>
      <c r="T685" s="7" t="b">
        <v>0</v>
      </c>
      <c r="U685" s="7" t="s">
        <v>585</v>
      </c>
      <c r="V685" s="27" t="s">
        <v>586</v>
      </c>
      <c r="W685" s="7" t="s">
        <v>5344</v>
      </c>
      <c r="X685" s="28"/>
      <c r="Y685" s="28"/>
      <c r="Z685" s="28"/>
    </row>
    <row r="686">
      <c r="A686" s="7" t="s">
        <v>5345</v>
      </c>
      <c r="B686" s="7" t="s">
        <v>5346</v>
      </c>
      <c r="C686" s="7" t="s">
        <v>5347</v>
      </c>
      <c r="D686" s="7" t="s">
        <v>9</v>
      </c>
      <c r="E686" s="7" t="s">
        <v>3202</v>
      </c>
      <c r="F686" s="9">
        <v>18.9643</v>
      </c>
      <c r="G686" s="9">
        <v>99.237518</v>
      </c>
      <c r="H686" s="7" t="s">
        <v>2800</v>
      </c>
      <c r="I686" s="9">
        <v>442.67</v>
      </c>
      <c r="J686" s="28"/>
      <c r="K686" s="28"/>
      <c r="L686" s="28"/>
      <c r="M686" s="9"/>
      <c r="N686" s="7" t="s">
        <v>4709</v>
      </c>
      <c r="O686" s="7" t="s">
        <v>583</v>
      </c>
      <c r="P686" s="9">
        <v>2.0</v>
      </c>
      <c r="Q686" s="28"/>
      <c r="R686" s="9">
        <v>382.4</v>
      </c>
      <c r="S686" s="7" t="s">
        <v>584</v>
      </c>
      <c r="T686" s="7" t="b">
        <v>0</v>
      </c>
      <c r="U686" s="7" t="s">
        <v>585</v>
      </c>
      <c r="V686" s="27" t="s">
        <v>586</v>
      </c>
      <c r="W686" s="7" t="s">
        <v>5348</v>
      </c>
      <c r="X686" s="28"/>
      <c r="Y686" s="28"/>
      <c r="Z686" s="28"/>
    </row>
    <row r="687">
      <c r="A687" s="7" t="s">
        <v>5349</v>
      </c>
      <c r="B687" s="7" t="s">
        <v>5350</v>
      </c>
      <c r="C687" s="7" t="s">
        <v>5351</v>
      </c>
      <c r="D687" s="7" t="s">
        <v>276</v>
      </c>
      <c r="E687" s="7" t="s">
        <v>5352</v>
      </c>
      <c r="F687" s="9">
        <v>8.477331</v>
      </c>
      <c r="G687" s="9">
        <v>98.52832</v>
      </c>
      <c r="H687" s="7" t="s">
        <v>576</v>
      </c>
      <c r="I687" s="9">
        <v>2.67</v>
      </c>
      <c r="J687" s="28"/>
      <c r="K687" s="28"/>
      <c r="L687" s="28"/>
      <c r="M687" s="9"/>
      <c r="N687" s="7" t="s">
        <v>4709</v>
      </c>
      <c r="O687" s="7" t="s">
        <v>583</v>
      </c>
      <c r="P687" s="9">
        <v>2.0</v>
      </c>
      <c r="Q687" s="28"/>
      <c r="R687" s="9">
        <v>12.4</v>
      </c>
      <c r="S687" s="7" t="s">
        <v>584</v>
      </c>
      <c r="T687" s="7" t="b">
        <v>0</v>
      </c>
      <c r="U687" s="7" t="s">
        <v>585</v>
      </c>
      <c r="V687" s="27" t="s">
        <v>586</v>
      </c>
      <c r="W687" s="7" t="s">
        <v>5354</v>
      </c>
      <c r="X687" s="28"/>
      <c r="Y687" s="28"/>
      <c r="Z687" s="28"/>
    </row>
    <row r="688">
      <c r="A688" s="7" t="s">
        <v>5356</v>
      </c>
      <c r="B688" s="7" t="s">
        <v>5357</v>
      </c>
      <c r="C688" s="7" t="s">
        <v>5358</v>
      </c>
      <c r="D688" s="7" t="s">
        <v>80</v>
      </c>
      <c r="E688" s="7" t="s">
        <v>3761</v>
      </c>
      <c r="F688" s="9">
        <v>17.74103</v>
      </c>
      <c r="G688" s="9">
        <v>100.679276</v>
      </c>
      <c r="H688" s="7" t="s">
        <v>618</v>
      </c>
      <c r="I688" s="9">
        <v>137.42</v>
      </c>
      <c r="J688" s="28"/>
      <c r="K688" s="28"/>
      <c r="L688" s="28"/>
      <c r="M688" s="9"/>
      <c r="N688" s="7" t="s">
        <v>4709</v>
      </c>
      <c r="O688" s="7" t="s">
        <v>583</v>
      </c>
      <c r="P688" s="9">
        <v>2.0</v>
      </c>
      <c r="Q688" s="28"/>
      <c r="R688" s="9">
        <v>82.4</v>
      </c>
      <c r="S688" s="7" t="s">
        <v>584</v>
      </c>
      <c r="T688" s="7" t="b">
        <v>0</v>
      </c>
      <c r="U688" s="7" t="s">
        <v>585</v>
      </c>
      <c r="V688" s="27" t="s">
        <v>586</v>
      </c>
      <c r="W688" s="7" t="s">
        <v>5360</v>
      </c>
      <c r="X688" s="28"/>
      <c r="Y688" s="28"/>
      <c r="Z688" s="28"/>
    </row>
    <row r="689">
      <c r="A689" s="7" t="s">
        <v>5361</v>
      </c>
      <c r="B689" s="7" t="s">
        <v>5362</v>
      </c>
      <c r="C689" s="7" t="s">
        <v>5363</v>
      </c>
      <c r="D689" s="7" t="s">
        <v>74</v>
      </c>
      <c r="E689" s="7"/>
      <c r="F689" s="9">
        <v>16.840886</v>
      </c>
      <c r="G689" s="9">
        <v>99.068334</v>
      </c>
      <c r="H689" s="7" t="s">
        <v>923</v>
      </c>
      <c r="I689" s="9">
        <v>128.28</v>
      </c>
      <c r="J689" s="28"/>
      <c r="K689" s="28"/>
      <c r="L689" s="28"/>
      <c r="M689" s="9">
        <v>132.22</v>
      </c>
      <c r="N689" s="7" t="s">
        <v>4709</v>
      </c>
      <c r="O689" s="7" t="s">
        <v>583</v>
      </c>
      <c r="P689" s="9">
        <v>2.0</v>
      </c>
      <c r="Q689" s="28"/>
      <c r="R689" s="9">
        <v>22.4</v>
      </c>
      <c r="S689" s="7" t="s">
        <v>584</v>
      </c>
      <c r="T689" s="7" t="b">
        <v>0</v>
      </c>
      <c r="U689" s="7" t="s">
        <v>585</v>
      </c>
      <c r="V689" s="27" t="s">
        <v>586</v>
      </c>
      <c r="W689" s="7" t="s">
        <v>5366</v>
      </c>
      <c r="X689" s="28"/>
      <c r="Y689" s="28"/>
      <c r="Z689" s="28"/>
    </row>
    <row r="690">
      <c r="A690" s="7" t="s">
        <v>5368</v>
      </c>
      <c r="B690" s="7" t="s">
        <v>5369</v>
      </c>
      <c r="C690" s="7" t="s">
        <v>5370</v>
      </c>
      <c r="D690" s="7" t="s">
        <v>70</v>
      </c>
      <c r="E690" s="7" t="s">
        <v>5371</v>
      </c>
      <c r="F690" s="9">
        <v>19.36703</v>
      </c>
      <c r="G690" s="9">
        <v>97.96665</v>
      </c>
      <c r="H690" s="7" t="s">
        <v>576</v>
      </c>
      <c r="I690" s="9">
        <v>200.93</v>
      </c>
      <c r="J690" s="28"/>
      <c r="K690" s="28"/>
      <c r="L690" s="28"/>
      <c r="M690" s="9"/>
      <c r="N690" s="7" t="s">
        <v>4709</v>
      </c>
      <c r="O690" s="7" t="s">
        <v>583</v>
      </c>
      <c r="P690" s="9">
        <v>2.0</v>
      </c>
      <c r="Q690" s="28"/>
      <c r="R690" s="9">
        <v>12.4</v>
      </c>
      <c r="S690" s="7" t="s">
        <v>584</v>
      </c>
      <c r="T690" s="7" t="b">
        <v>0</v>
      </c>
      <c r="U690" s="7" t="s">
        <v>585</v>
      </c>
      <c r="V690" s="27" t="s">
        <v>586</v>
      </c>
      <c r="W690" s="7" t="s">
        <v>5372</v>
      </c>
      <c r="X690" s="28"/>
      <c r="Y690" s="28"/>
      <c r="Z690" s="28"/>
    </row>
    <row r="691">
      <c r="A691" s="7" t="s">
        <v>5373</v>
      </c>
      <c r="B691" s="7" t="s">
        <v>5374</v>
      </c>
      <c r="C691" s="7" t="s">
        <v>5375</v>
      </c>
      <c r="D691" s="7" t="s">
        <v>131</v>
      </c>
      <c r="E691" s="7" t="s">
        <v>5376</v>
      </c>
      <c r="F691" s="9">
        <v>11.06431</v>
      </c>
      <c r="G691" s="9">
        <v>99.372253</v>
      </c>
      <c r="H691" s="7" t="s">
        <v>618</v>
      </c>
      <c r="I691" s="9">
        <v>38.25</v>
      </c>
      <c r="J691" s="28"/>
      <c r="K691" s="28"/>
      <c r="L691" s="28"/>
      <c r="M691" s="9"/>
      <c r="N691" s="7" t="s">
        <v>4709</v>
      </c>
      <c r="O691" s="7" t="s">
        <v>583</v>
      </c>
      <c r="P691" s="9">
        <v>2.0</v>
      </c>
      <c r="Q691" s="28"/>
      <c r="R691" s="9">
        <v>82.4</v>
      </c>
      <c r="S691" s="7" t="s">
        <v>584</v>
      </c>
      <c r="T691" s="7" t="b">
        <v>0</v>
      </c>
      <c r="U691" s="7" t="s">
        <v>585</v>
      </c>
      <c r="V691" s="27" t="s">
        <v>586</v>
      </c>
      <c r="W691" s="7" t="s">
        <v>5377</v>
      </c>
      <c r="X691" s="28"/>
      <c r="Y691" s="28"/>
      <c r="Z691" s="28"/>
    </row>
    <row r="692">
      <c r="A692" s="7" t="s">
        <v>5378</v>
      </c>
      <c r="B692" s="7" t="s">
        <v>5379</v>
      </c>
      <c r="C692" s="7" t="s">
        <v>1831</v>
      </c>
      <c r="D692" s="7" t="s">
        <v>65</v>
      </c>
      <c r="E692" s="7" t="s">
        <v>5380</v>
      </c>
      <c r="F692" s="9">
        <v>18.709379</v>
      </c>
      <c r="G692" s="9">
        <v>99.957626</v>
      </c>
      <c r="H692" s="7" t="s">
        <v>5381</v>
      </c>
      <c r="I692" s="9">
        <v>266.07</v>
      </c>
      <c r="J692" s="28"/>
      <c r="K692" s="28"/>
      <c r="L692" s="28"/>
      <c r="M692" s="9"/>
      <c r="N692" s="7" t="s">
        <v>4709</v>
      </c>
      <c r="O692" s="7" t="s">
        <v>583</v>
      </c>
      <c r="P692" s="9">
        <v>2.0</v>
      </c>
      <c r="Q692" s="28"/>
      <c r="R692" s="9">
        <v>2002.4</v>
      </c>
      <c r="S692" s="7" t="s">
        <v>584</v>
      </c>
      <c r="T692" s="7" t="b">
        <v>0</v>
      </c>
      <c r="U692" s="7" t="s">
        <v>585</v>
      </c>
      <c r="V692" s="27" t="s">
        <v>586</v>
      </c>
      <c r="W692" s="7" t="s">
        <v>5382</v>
      </c>
      <c r="X692" s="28"/>
      <c r="Y692" s="28"/>
      <c r="Z692" s="28"/>
    </row>
    <row r="693">
      <c r="A693" s="7" t="s">
        <v>5383</v>
      </c>
      <c r="B693" s="7" t="s">
        <v>5384</v>
      </c>
      <c r="C693" s="7" t="s">
        <v>5385</v>
      </c>
      <c r="D693" s="7" t="s">
        <v>82</v>
      </c>
      <c r="E693" s="7" t="s">
        <v>1047</v>
      </c>
      <c r="F693" s="9">
        <v>17.51715</v>
      </c>
      <c r="G693" s="9">
        <v>99.75877</v>
      </c>
      <c r="H693" s="7" t="s">
        <v>576</v>
      </c>
      <c r="I693" s="9">
        <v>60.84</v>
      </c>
      <c r="J693" s="28"/>
      <c r="K693" s="28"/>
      <c r="L693" s="28"/>
      <c r="M693" s="9"/>
      <c r="N693" s="7" t="s">
        <v>4709</v>
      </c>
      <c r="O693" s="7" t="s">
        <v>583</v>
      </c>
      <c r="P693" s="9">
        <v>2.0</v>
      </c>
      <c r="Q693" s="28"/>
      <c r="R693" s="9">
        <v>12.4</v>
      </c>
      <c r="S693" s="7" t="s">
        <v>584</v>
      </c>
      <c r="T693" s="7" t="b">
        <v>0</v>
      </c>
      <c r="U693" s="7" t="s">
        <v>585</v>
      </c>
      <c r="V693" s="27" t="s">
        <v>586</v>
      </c>
      <c r="W693" s="7" t="s">
        <v>5389</v>
      </c>
      <c r="X693" s="28"/>
      <c r="Y693" s="28"/>
      <c r="Z693" s="28"/>
    </row>
    <row r="694">
      <c r="A694" s="7" t="s">
        <v>5390</v>
      </c>
      <c r="B694" s="7" t="s">
        <v>5391</v>
      </c>
      <c r="C694" s="7" t="s">
        <v>5392</v>
      </c>
      <c r="D694" s="7" t="s">
        <v>186</v>
      </c>
      <c r="E694" s="7" t="s">
        <v>5393</v>
      </c>
      <c r="F694" s="9">
        <v>16.772221</v>
      </c>
      <c r="G694" s="9">
        <v>103.648331</v>
      </c>
      <c r="H694" s="7" t="s">
        <v>3412</v>
      </c>
      <c r="I694" s="9">
        <v>161.57</v>
      </c>
      <c r="J694" s="28"/>
      <c r="K694" s="28"/>
      <c r="L694" s="28"/>
      <c r="M694" s="9"/>
      <c r="N694" s="7" t="s">
        <v>4709</v>
      </c>
      <c r="O694" s="7" t="s">
        <v>583</v>
      </c>
      <c r="P694" s="9">
        <v>2.0</v>
      </c>
      <c r="Q694" s="28"/>
      <c r="R694" s="9">
        <v>562.4</v>
      </c>
      <c r="S694" s="7" t="s">
        <v>584</v>
      </c>
      <c r="T694" s="7" t="b">
        <v>0</v>
      </c>
      <c r="U694" s="7" t="s">
        <v>585</v>
      </c>
      <c r="V694" s="27" t="s">
        <v>586</v>
      </c>
      <c r="W694" s="7" t="s">
        <v>5395</v>
      </c>
      <c r="X694" s="28"/>
      <c r="Y694" s="28"/>
      <c r="Z694" s="28"/>
    </row>
    <row r="695">
      <c r="A695" s="7" t="s">
        <v>5396</v>
      </c>
      <c r="B695" s="7" t="s">
        <v>5397</v>
      </c>
      <c r="C695" s="7" t="s">
        <v>5398</v>
      </c>
      <c r="D695" s="7" t="s">
        <v>202</v>
      </c>
      <c r="E695" s="7" t="s">
        <v>5399</v>
      </c>
      <c r="F695" s="9">
        <v>17.166727</v>
      </c>
      <c r="G695" s="9">
        <v>104.118996</v>
      </c>
      <c r="H695" s="7" t="s">
        <v>576</v>
      </c>
      <c r="I695" s="9">
        <v>157.51</v>
      </c>
      <c r="J695" s="28"/>
      <c r="K695" s="28"/>
      <c r="L695" s="28"/>
      <c r="M695" s="9"/>
      <c r="N695" s="7" t="s">
        <v>4709</v>
      </c>
      <c r="O695" s="7" t="s">
        <v>583</v>
      </c>
      <c r="P695" s="9">
        <v>2.0</v>
      </c>
      <c r="Q695" s="28"/>
      <c r="R695" s="9">
        <v>12.4</v>
      </c>
      <c r="S695" s="7" t="s">
        <v>584</v>
      </c>
      <c r="T695" s="7" t="b">
        <v>0</v>
      </c>
      <c r="U695" s="7" t="s">
        <v>585</v>
      </c>
      <c r="V695" s="27" t="s">
        <v>586</v>
      </c>
      <c r="W695" s="7" t="s">
        <v>5402</v>
      </c>
      <c r="X695" s="28"/>
      <c r="Y695" s="28"/>
      <c r="Z695" s="28"/>
    </row>
    <row r="696">
      <c r="A696" s="7" t="s">
        <v>5403</v>
      </c>
      <c r="B696" s="7" t="s">
        <v>5404</v>
      </c>
      <c r="C696" s="7" t="s">
        <v>5405</v>
      </c>
      <c r="D696" s="7" t="s">
        <v>153</v>
      </c>
      <c r="E696" s="7" t="s">
        <v>5406</v>
      </c>
      <c r="F696" s="9">
        <v>13.56008</v>
      </c>
      <c r="G696" s="9">
        <v>99.36224</v>
      </c>
      <c r="H696" s="7" t="s">
        <v>576</v>
      </c>
      <c r="I696" s="9">
        <v>95.72</v>
      </c>
      <c r="J696" s="28"/>
      <c r="K696" s="28"/>
      <c r="L696" s="28"/>
      <c r="M696" s="9"/>
      <c r="N696" s="7" t="s">
        <v>4709</v>
      </c>
      <c r="O696" s="7" t="s">
        <v>583</v>
      </c>
      <c r="P696" s="9">
        <v>2.0</v>
      </c>
      <c r="Q696" s="28"/>
      <c r="R696" s="9">
        <v>12.4</v>
      </c>
      <c r="S696" s="7" t="s">
        <v>584</v>
      </c>
      <c r="T696" s="7" t="b">
        <v>0</v>
      </c>
      <c r="U696" s="7" t="s">
        <v>585</v>
      </c>
      <c r="V696" s="27" t="s">
        <v>586</v>
      </c>
      <c r="W696" s="7" t="s">
        <v>5407</v>
      </c>
      <c r="X696" s="28"/>
      <c r="Y696" s="28"/>
      <c r="Z696" s="28"/>
    </row>
    <row r="697">
      <c r="A697" s="7" t="s">
        <v>5408</v>
      </c>
      <c r="B697" s="7" t="s">
        <v>5409</v>
      </c>
      <c r="C697" s="7" t="s">
        <v>5410</v>
      </c>
      <c r="D697" s="7" t="s">
        <v>260</v>
      </c>
      <c r="E697" s="7" t="s">
        <v>5411</v>
      </c>
      <c r="F697" s="9">
        <v>9.576583</v>
      </c>
      <c r="G697" s="9">
        <v>99.12956</v>
      </c>
      <c r="H697" s="7" t="s">
        <v>576</v>
      </c>
      <c r="I697" s="9">
        <v>6.07</v>
      </c>
      <c r="J697" s="28"/>
      <c r="K697" s="28"/>
      <c r="L697" s="28"/>
      <c r="M697" s="9"/>
      <c r="N697" s="7" t="s">
        <v>4709</v>
      </c>
      <c r="O697" s="7" t="s">
        <v>583</v>
      </c>
      <c r="P697" s="9">
        <v>2.0</v>
      </c>
      <c r="Q697" s="28"/>
      <c r="R697" s="9">
        <v>12.4</v>
      </c>
      <c r="S697" s="7" t="s">
        <v>584</v>
      </c>
      <c r="T697" s="7" t="b">
        <v>0</v>
      </c>
      <c r="U697" s="7" t="s">
        <v>585</v>
      </c>
      <c r="V697" s="27" t="s">
        <v>586</v>
      </c>
      <c r="W697" s="7" t="s">
        <v>5412</v>
      </c>
      <c r="X697" s="28"/>
      <c r="Y697" s="28"/>
      <c r="Z697" s="28"/>
    </row>
    <row r="698">
      <c r="A698" s="7" t="s">
        <v>5413</v>
      </c>
      <c r="B698" s="7" t="s">
        <v>5414</v>
      </c>
      <c r="C698" s="7" t="s">
        <v>5415</v>
      </c>
      <c r="D698" s="7" t="s">
        <v>259</v>
      </c>
      <c r="E698" s="7" t="s">
        <v>5024</v>
      </c>
      <c r="F698" s="9">
        <v>8.43379</v>
      </c>
      <c r="G698" s="9">
        <v>99.78328</v>
      </c>
      <c r="H698" s="7" t="s">
        <v>576</v>
      </c>
      <c r="I698" s="9">
        <v>43.1</v>
      </c>
      <c r="J698" s="28"/>
      <c r="K698" s="28"/>
      <c r="L698" s="28"/>
      <c r="M698" s="9"/>
      <c r="N698" s="7" t="s">
        <v>4709</v>
      </c>
      <c r="O698" s="7" t="s">
        <v>583</v>
      </c>
      <c r="P698" s="9">
        <v>2.0</v>
      </c>
      <c r="Q698" s="28"/>
      <c r="R698" s="9">
        <v>12.4</v>
      </c>
      <c r="S698" s="7" t="s">
        <v>584</v>
      </c>
      <c r="T698" s="7" t="b">
        <v>0</v>
      </c>
      <c r="U698" s="7" t="s">
        <v>585</v>
      </c>
      <c r="V698" s="27" t="s">
        <v>586</v>
      </c>
      <c r="W698" s="7" t="s">
        <v>5418</v>
      </c>
      <c r="X698" s="28"/>
      <c r="Y698" s="28"/>
      <c r="Z698" s="28"/>
    </row>
    <row r="699">
      <c r="A699" s="7" t="s">
        <v>5419</v>
      </c>
      <c r="B699" s="7" t="s">
        <v>5421</v>
      </c>
      <c r="C699" s="7" t="s">
        <v>5422</v>
      </c>
      <c r="D699" s="7" t="s">
        <v>65</v>
      </c>
      <c r="E699" s="7" t="s">
        <v>5423</v>
      </c>
      <c r="F699" s="9">
        <v>18.596041</v>
      </c>
      <c r="G699" s="9">
        <v>99.622063</v>
      </c>
      <c r="H699" s="7" t="s">
        <v>3579</v>
      </c>
      <c r="I699" s="9">
        <v>286.54</v>
      </c>
      <c r="J699" s="28"/>
      <c r="K699" s="28"/>
      <c r="L699" s="28"/>
      <c r="M699" s="9"/>
      <c r="N699" s="7" t="s">
        <v>4709</v>
      </c>
      <c r="O699" s="7" t="s">
        <v>583</v>
      </c>
      <c r="P699" s="9">
        <v>2.0</v>
      </c>
      <c r="Q699" s="28"/>
      <c r="R699" s="9">
        <v>262.4</v>
      </c>
      <c r="S699" s="7" t="s">
        <v>584</v>
      </c>
      <c r="T699" s="7" t="b">
        <v>0</v>
      </c>
      <c r="U699" s="7" t="s">
        <v>585</v>
      </c>
      <c r="V699" s="27" t="s">
        <v>586</v>
      </c>
      <c r="W699" s="7" t="s">
        <v>5424</v>
      </c>
      <c r="X699" s="28"/>
      <c r="Y699" s="28"/>
      <c r="Z699" s="28"/>
    </row>
    <row r="700">
      <c r="A700" s="7" t="s">
        <v>5425</v>
      </c>
      <c r="B700" s="7" t="s">
        <v>5427</v>
      </c>
      <c r="C700" s="7" t="s">
        <v>5429</v>
      </c>
      <c r="D700" s="7" t="s">
        <v>65</v>
      </c>
      <c r="E700" s="7" t="s">
        <v>3469</v>
      </c>
      <c r="F700" s="9">
        <v>19.232492</v>
      </c>
      <c r="G700" s="9">
        <v>99.63247</v>
      </c>
      <c r="H700" s="7" t="s">
        <v>576</v>
      </c>
      <c r="I700" s="9">
        <v>442.81</v>
      </c>
      <c r="J700" s="28"/>
      <c r="K700" s="28"/>
      <c r="L700" s="28"/>
      <c r="M700" s="28"/>
      <c r="N700" s="7" t="s">
        <v>4709</v>
      </c>
      <c r="O700" s="7" t="s">
        <v>583</v>
      </c>
      <c r="P700" s="9">
        <v>2.0</v>
      </c>
      <c r="Q700" s="28"/>
      <c r="R700" s="9">
        <v>12.4</v>
      </c>
      <c r="S700" s="7" t="s">
        <v>584</v>
      </c>
      <c r="T700" s="7" t="b">
        <v>0</v>
      </c>
      <c r="U700" s="7" t="s">
        <v>585</v>
      </c>
      <c r="V700" s="27" t="s">
        <v>586</v>
      </c>
      <c r="W700" s="7" t="s">
        <v>5432</v>
      </c>
      <c r="X700" s="28"/>
      <c r="Y700" s="28"/>
      <c r="Z700" s="28"/>
    </row>
    <row r="701">
      <c r="A701" s="7" t="s">
        <v>5433</v>
      </c>
      <c r="B701" s="7" t="s">
        <v>5434</v>
      </c>
      <c r="C701" s="7" t="s">
        <v>5435</v>
      </c>
      <c r="D701" s="7" t="s">
        <v>163</v>
      </c>
      <c r="E701" s="7"/>
      <c r="F701" s="9">
        <v>14.26568</v>
      </c>
      <c r="G701" s="9">
        <v>101.89133</v>
      </c>
      <c r="H701" s="7" t="s">
        <v>576</v>
      </c>
      <c r="I701" s="9">
        <v>79.49</v>
      </c>
      <c r="J701" s="28"/>
      <c r="K701" s="28"/>
      <c r="L701" s="28"/>
      <c r="M701" s="9"/>
      <c r="N701" s="7" t="s">
        <v>4709</v>
      </c>
      <c r="O701" s="7" t="s">
        <v>583</v>
      </c>
      <c r="P701" s="9">
        <v>2.0</v>
      </c>
      <c r="Q701" s="28"/>
      <c r="R701" s="9">
        <v>12.4</v>
      </c>
      <c r="S701" s="7" t="s">
        <v>584</v>
      </c>
      <c r="T701" s="7" t="b">
        <v>0</v>
      </c>
      <c r="U701" s="7" t="s">
        <v>585</v>
      </c>
      <c r="V701" s="27" t="s">
        <v>586</v>
      </c>
      <c r="W701" s="7" t="s">
        <v>5436</v>
      </c>
      <c r="X701" s="28"/>
      <c r="Y701" s="28"/>
      <c r="Z701" s="28"/>
    </row>
    <row r="702">
      <c r="A702" s="7" t="s">
        <v>5437</v>
      </c>
      <c r="B702" s="7" t="s">
        <v>5438</v>
      </c>
      <c r="C702" s="7" t="s">
        <v>5439</v>
      </c>
      <c r="D702" s="7" t="s">
        <v>58</v>
      </c>
      <c r="E702" s="7" t="s">
        <v>5440</v>
      </c>
      <c r="F702" s="9">
        <v>18.26643</v>
      </c>
      <c r="G702" s="9">
        <v>100.237633</v>
      </c>
      <c r="H702" s="7" t="s">
        <v>3412</v>
      </c>
      <c r="I702" s="9">
        <v>170.79</v>
      </c>
      <c r="J702" s="28"/>
      <c r="K702" s="28"/>
      <c r="L702" s="28"/>
      <c r="M702" s="9"/>
      <c r="N702" s="7" t="s">
        <v>4709</v>
      </c>
      <c r="O702" s="7" t="s">
        <v>583</v>
      </c>
      <c r="P702" s="9">
        <v>2.0</v>
      </c>
      <c r="Q702" s="28"/>
      <c r="R702" s="9">
        <v>562.4</v>
      </c>
      <c r="S702" s="7" t="s">
        <v>584</v>
      </c>
      <c r="T702" s="7" t="b">
        <v>0</v>
      </c>
      <c r="U702" s="7" t="s">
        <v>585</v>
      </c>
      <c r="V702" s="27" t="s">
        <v>586</v>
      </c>
      <c r="W702" s="7" t="s">
        <v>5441</v>
      </c>
      <c r="X702" s="28"/>
      <c r="Y702" s="28"/>
      <c r="Z702" s="28"/>
    </row>
    <row r="703">
      <c r="A703" s="7" t="s">
        <v>5442</v>
      </c>
      <c r="B703" s="7" t="s">
        <v>5443</v>
      </c>
      <c r="C703" s="7" t="s">
        <v>5444</v>
      </c>
      <c r="D703" s="7" t="s">
        <v>9</v>
      </c>
      <c r="E703" s="7" t="s">
        <v>4718</v>
      </c>
      <c r="F703" s="9">
        <v>19.073114</v>
      </c>
      <c r="G703" s="9">
        <v>98.30675</v>
      </c>
      <c r="H703" s="7" t="s">
        <v>576</v>
      </c>
      <c r="I703" s="9">
        <v>950.05</v>
      </c>
      <c r="J703" s="28"/>
      <c r="K703" s="28"/>
      <c r="L703" s="28"/>
      <c r="M703" s="9"/>
      <c r="N703" s="7" t="s">
        <v>4709</v>
      </c>
      <c r="O703" s="7" t="s">
        <v>583</v>
      </c>
      <c r="P703" s="9">
        <v>2.0</v>
      </c>
      <c r="Q703" s="28"/>
      <c r="R703" s="9">
        <v>12.4</v>
      </c>
      <c r="S703" s="7" t="s">
        <v>584</v>
      </c>
      <c r="T703" s="7" t="b">
        <v>0</v>
      </c>
      <c r="U703" s="7" t="s">
        <v>585</v>
      </c>
      <c r="V703" s="27" t="s">
        <v>586</v>
      </c>
      <c r="W703" s="7" t="s">
        <v>5445</v>
      </c>
      <c r="X703" s="28"/>
      <c r="Y703" s="28"/>
      <c r="Z703" s="28"/>
    </row>
    <row r="704">
      <c r="A704" s="7" t="s">
        <v>5446</v>
      </c>
      <c r="B704" s="7" t="s">
        <v>5447</v>
      </c>
      <c r="C704" s="7" t="s">
        <v>5448</v>
      </c>
      <c r="D704" s="7" t="s">
        <v>53</v>
      </c>
      <c r="E704" s="7" t="s">
        <v>5449</v>
      </c>
      <c r="F704" s="9">
        <v>19.745991</v>
      </c>
      <c r="G704" s="9">
        <v>99.500763</v>
      </c>
      <c r="H704" s="7" t="s">
        <v>2800</v>
      </c>
      <c r="I704" s="9">
        <v>515.51</v>
      </c>
      <c r="J704" s="28"/>
      <c r="K704" s="28"/>
      <c r="L704" s="28"/>
      <c r="M704" s="28"/>
      <c r="N704" s="7" t="s">
        <v>4709</v>
      </c>
      <c r="O704" s="7" t="s">
        <v>583</v>
      </c>
      <c r="P704" s="9">
        <v>2.0</v>
      </c>
      <c r="Q704" s="28"/>
      <c r="R704" s="9">
        <v>382.4</v>
      </c>
      <c r="S704" s="7" t="s">
        <v>584</v>
      </c>
      <c r="T704" s="7" t="b">
        <v>0</v>
      </c>
      <c r="U704" s="7" t="s">
        <v>585</v>
      </c>
      <c r="V704" s="27" t="s">
        <v>586</v>
      </c>
      <c r="W704" s="7" t="s">
        <v>5453</v>
      </c>
      <c r="X704" s="28"/>
      <c r="Y704" s="28"/>
      <c r="Z704" s="28"/>
    </row>
    <row r="705">
      <c r="A705" s="7" t="s">
        <v>5454</v>
      </c>
      <c r="B705" s="7" t="s">
        <v>5455</v>
      </c>
      <c r="C705" s="7" t="s">
        <v>5456</v>
      </c>
      <c r="D705" s="7" t="s">
        <v>60</v>
      </c>
      <c r="E705" s="7" t="s">
        <v>2006</v>
      </c>
      <c r="F705" s="9">
        <v>19.015169</v>
      </c>
      <c r="G705" s="9">
        <v>100.780212</v>
      </c>
      <c r="H705" s="7" t="s">
        <v>3579</v>
      </c>
      <c r="I705" s="9">
        <v>212.36</v>
      </c>
      <c r="J705" s="28"/>
      <c r="K705" s="28"/>
      <c r="L705" s="28"/>
      <c r="M705" s="28"/>
      <c r="N705" s="7" t="s">
        <v>4709</v>
      </c>
      <c r="O705" s="7" t="s">
        <v>583</v>
      </c>
      <c r="P705" s="9">
        <v>2.0</v>
      </c>
      <c r="Q705" s="28"/>
      <c r="R705" s="9">
        <v>262.4</v>
      </c>
      <c r="S705" s="7" t="s">
        <v>584</v>
      </c>
      <c r="T705" s="7" t="b">
        <v>0</v>
      </c>
      <c r="U705" s="7" t="s">
        <v>585</v>
      </c>
      <c r="V705" s="27" t="s">
        <v>586</v>
      </c>
      <c r="W705" s="7" t="s">
        <v>5458</v>
      </c>
      <c r="X705" s="28"/>
      <c r="Y705" s="28"/>
      <c r="Z705" s="28"/>
    </row>
    <row r="706">
      <c r="A706" s="7" t="s">
        <v>5460</v>
      </c>
      <c r="B706" s="7" t="s">
        <v>5461</v>
      </c>
      <c r="C706" s="7" t="s">
        <v>4509</v>
      </c>
      <c r="D706" s="7" t="s">
        <v>60</v>
      </c>
      <c r="E706" s="7" t="s">
        <v>4509</v>
      </c>
      <c r="F706" s="9">
        <v>18.571873</v>
      </c>
      <c r="G706" s="9">
        <v>100.74266</v>
      </c>
      <c r="H706" s="7" t="s">
        <v>576</v>
      </c>
      <c r="I706" s="9">
        <v>183.78</v>
      </c>
      <c r="J706" s="28"/>
      <c r="K706" s="28"/>
      <c r="L706" s="28"/>
      <c r="M706" s="28"/>
      <c r="N706" s="7" t="s">
        <v>4709</v>
      </c>
      <c r="O706" s="7" t="s">
        <v>583</v>
      </c>
      <c r="P706" s="9">
        <v>2.0</v>
      </c>
      <c r="Q706" s="28"/>
      <c r="R706" s="9">
        <v>12.4</v>
      </c>
      <c r="S706" s="7" t="s">
        <v>584</v>
      </c>
      <c r="T706" s="7" t="b">
        <v>0</v>
      </c>
      <c r="U706" s="7" t="s">
        <v>585</v>
      </c>
      <c r="V706" s="27" t="s">
        <v>586</v>
      </c>
      <c r="W706" s="7" t="s">
        <v>5463</v>
      </c>
      <c r="X706" s="28"/>
      <c r="Y706" s="28"/>
      <c r="Z706" s="28"/>
    </row>
    <row r="707">
      <c r="A707" s="7" t="s">
        <v>5464</v>
      </c>
      <c r="B707" s="7" t="s">
        <v>5465</v>
      </c>
      <c r="C707" s="7" t="s">
        <v>5466</v>
      </c>
      <c r="D707" s="7" t="s">
        <v>276</v>
      </c>
      <c r="E707" s="7" t="s">
        <v>5352</v>
      </c>
      <c r="F707" s="9">
        <v>8.51336</v>
      </c>
      <c r="G707" s="9">
        <v>98.503563</v>
      </c>
      <c r="H707" s="7" t="s">
        <v>1951</v>
      </c>
      <c r="I707" s="9">
        <v>7.89</v>
      </c>
      <c r="J707" s="28"/>
      <c r="K707" s="28"/>
      <c r="L707" s="28"/>
      <c r="M707" s="9"/>
      <c r="N707" s="7" t="s">
        <v>4709</v>
      </c>
      <c r="O707" s="7" t="s">
        <v>583</v>
      </c>
      <c r="P707" s="9">
        <v>2.0</v>
      </c>
      <c r="Q707" s="28"/>
      <c r="R707" s="9">
        <v>202.4</v>
      </c>
      <c r="S707" s="7" t="s">
        <v>584</v>
      </c>
      <c r="T707" s="7" t="b">
        <v>0</v>
      </c>
      <c r="U707" s="7" t="s">
        <v>585</v>
      </c>
      <c r="V707" s="27" t="s">
        <v>586</v>
      </c>
      <c r="W707" s="7" t="s">
        <v>5467</v>
      </c>
      <c r="X707" s="28"/>
      <c r="Y707" s="28"/>
      <c r="Z707" s="28"/>
    </row>
    <row r="708">
      <c r="A708" s="7" t="s">
        <v>5468</v>
      </c>
      <c r="B708" s="7" t="s">
        <v>5469</v>
      </c>
      <c r="C708" s="7" t="s">
        <v>5470</v>
      </c>
      <c r="D708" s="7" t="s">
        <v>276</v>
      </c>
      <c r="E708" s="7" t="s">
        <v>3555</v>
      </c>
      <c r="F708" s="9">
        <v>8.77622</v>
      </c>
      <c r="G708" s="9">
        <v>98.390472</v>
      </c>
      <c r="H708" s="7" t="s">
        <v>1951</v>
      </c>
      <c r="I708" s="9">
        <v>3.5</v>
      </c>
      <c r="J708" s="28"/>
      <c r="K708" s="28"/>
      <c r="L708" s="28"/>
      <c r="M708" s="9"/>
      <c r="N708" s="7" t="s">
        <v>4709</v>
      </c>
      <c r="O708" s="7" t="s">
        <v>583</v>
      </c>
      <c r="P708" s="9">
        <v>2.0</v>
      </c>
      <c r="Q708" s="28"/>
      <c r="R708" s="9">
        <v>202.4</v>
      </c>
      <c r="S708" s="7" t="s">
        <v>584</v>
      </c>
      <c r="T708" s="7" t="b">
        <v>0</v>
      </c>
      <c r="U708" s="7" t="s">
        <v>585</v>
      </c>
      <c r="V708" s="27" t="s">
        <v>586</v>
      </c>
      <c r="W708" s="7" t="s">
        <v>5471</v>
      </c>
      <c r="X708" s="28"/>
      <c r="Y708" s="28"/>
      <c r="Z708" s="28"/>
    </row>
    <row r="709">
      <c r="A709" s="7" t="s">
        <v>5472</v>
      </c>
      <c r="B709" s="7" t="s">
        <v>5473</v>
      </c>
      <c r="C709" s="7" t="s">
        <v>5474</v>
      </c>
      <c r="D709" s="7" t="s">
        <v>304</v>
      </c>
      <c r="E709" s="7" t="s">
        <v>2230</v>
      </c>
      <c r="F709" s="9">
        <v>6.227293</v>
      </c>
      <c r="G709" s="9">
        <v>101.49695</v>
      </c>
      <c r="H709" s="7" t="s">
        <v>576</v>
      </c>
      <c r="I709" s="9">
        <v>24.49</v>
      </c>
      <c r="J709" s="28"/>
      <c r="K709" s="28"/>
      <c r="L709" s="28"/>
      <c r="M709" s="9"/>
      <c r="N709" s="7" t="s">
        <v>4709</v>
      </c>
      <c r="O709" s="7" t="s">
        <v>583</v>
      </c>
      <c r="P709" s="9">
        <v>2.0</v>
      </c>
      <c r="Q709" s="28"/>
      <c r="R709" s="9">
        <v>12.4</v>
      </c>
      <c r="S709" s="7" t="s">
        <v>584</v>
      </c>
      <c r="T709" s="7" t="b">
        <v>0</v>
      </c>
      <c r="U709" s="7" t="s">
        <v>585</v>
      </c>
      <c r="V709" s="27" t="s">
        <v>586</v>
      </c>
      <c r="W709" s="7" t="s">
        <v>5478</v>
      </c>
      <c r="X709" s="28"/>
      <c r="Y709" s="28"/>
      <c r="Z709" s="28"/>
    </row>
    <row r="710">
      <c r="A710" s="7" t="s">
        <v>5479</v>
      </c>
      <c r="B710" s="7" t="s">
        <v>5480</v>
      </c>
      <c r="C710" s="7" t="s">
        <v>5481</v>
      </c>
      <c r="D710" s="7" t="s">
        <v>202</v>
      </c>
      <c r="E710" s="7" t="s">
        <v>1759</v>
      </c>
      <c r="F710" s="9">
        <v>17.1422</v>
      </c>
      <c r="G710" s="9">
        <v>104.2901</v>
      </c>
      <c r="H710" s="7" t="s">
        <v>618</v>
      </c>
      <c r="I710" s="9">
        <v>151.25</v>
      </c>
      <c r="J710" s="28"/>
      <c r="K710" s="28"/>
      <c r="L710" s="28"/>
      <c r="M710" s="9"/>
      <c r="N710" s="7" t="s">
        <v>4709</v>
      </c>
      <c r="O710" s="7" t="s">
        <v>583</v>
      </c>
      <c r="P710" s="9">
        <v>2.0</v>
      </c>
      <c r="Q710" s="28"/>
      <c r="R710" s="9">
        <v>82.4</v>
      </c>
      <c r="S710" s="7" t="s">
        <v>584</v>
      </c>
      <c r="T710" s="7" t="b">
        <v>0</v>
      </c>
      <c r="U710" s="7" t="s">
        <v>585</v>
      </c>
      <c r="V710" s="27" t="s">
        <v>586</v>
      </c>
      <c r="W710" s="7" t="s">
        <v>5483</v>
      </c>
      <c r="X710" s="28"/>
      <c r="Y710" s="28"/>
      <c r="Z710" s="28"/>
    </row>
    <row r="711">
      <c r="A711" s="7" t="s">
        <v>5484</v>
      </c>
      <c r="B711" s="7" t="s">
        <v>5485</v>
      </c>
      <c r="C711" s="7" t="s">
        <v>5486</v>
      </c>
      <c r="D711" s="7" t="s">
        <v>9</v>
      </c>
      <c r="E711" s="7" t="s">
        <v>5488</v>
      </c>
      <c r="F711" s="9">
        <v>18.739611</v>
      </c>
      <c r="G711" s="9">
        <v>99.218651</v>
      </c>
      <c r="H711" s="7" t="s">
        <v>2800</v>
      </c>
      <c r="I711" s="9">
        <v>341.0</v>
      </c>
      <c r="J711" s="28"/>
      <c r="K711" s="28"/>
      <c r="L711" s="28"/>
      <c r="M711" s="9"/>
      <c r="N711" s="7" t="s">
        <v>4709</v>
      </c>
      <c r="O711" s="7" t="s">
        <v>583</v>
      </c>
      <c r="P711" s="9">
        <v>2.0</v>
      </c>
      <c r="Q711" s="28"/>
      <c r="R711" s="9">
        <v>382.4</v>
      </c>
      <c r="S711" s="7" t="s">
        <v>584</v>
      </c>
      <c r="T711" s="7" t="b">
        <v>0</v>
      </c>
      <c r="U711" s="7" t="s">
        <v>585</v>
      </c>
      <c r="V711" s="27" t="s">
        <v>586</v>
      </c>
      <c r="W711" s="7" t="s">
        <v>5490</v>
      </c>
      <c r="X711" s="28"/>
      <c r="Y711" s="28"/>
      <c r="Z711" s="28"/>
    </row>
    <row r="712">
      <c r="A712" s="7" t="s">
        <v>5491</v>
      </c>
      <c r="B712" s="7" t="s">
        <v>5492</v>
      </c>
      <c r="C712" s="7" t="s">
        <v>5493</v>
      </c>
      <c r="D712" s="7" t="s">
        <v>304</v>
      </c>
      <c r="E712" s="7" t="s">
        <v>5494</v>
      </c>
      <c r="F712" s="9">
        <v>6.33992</v>
      </c>
      <c r="G712" s="9">
        <v>101.726959</v>
      </c>
      <c r="H712" s="7" t="s">
        <v>1951</v>
      </c>
      <c r="I712" s="9">
        <v>10.85</v>
      </c>
      <c r="J712" s="28"/>
      <c r="K712" s="28"/>
      <c r="L712" s="28"/>
      <c r="M712" s="9"/>
      <c r="N712" s="7" t="s">
        <v>4709</v>
      </c>
      <c r="O712" s="7" t="s">
        <v>583</v>
      </c>
      <c r="P712" s="9">
        <v>2.0</v>
      </c>
      <c r="Q712" s="28"/>
      <c r="R712" s="9">
        <v>202.4</v>
      </c>
      <c r="S712" s="7" t="s">
        <v>584</v>
      </c>
      <c r="T712" s="7" t="b">
        <v>0</v>
      </c>
      <c r="U712" s="7" t="s">
        <v>585</v>
      </c>
      <c r="V712" s="27" t="s">
        <v>586</v>
      </c>
      <c r="W712" s="7" t="s">
        <v>5495</v>
      </c>
      <c r="X712" s="28"/>
      <c r="Y712" s="28"/>
      <c r="Z712" s="28"/>
    </row>
    <row r="713">
      <c r="A713" s="7" t="s">
        <v>5496</v>
      </c>
      <c r="B713" s="7" t="s">
        <v>5497</v>
      </c>
      <c r="C713" s="7" t="s">
        <v>5498</v>
      </c>
      <c r="D713" s="7" t="s">
        <v>299</v>
      </c>
      <c r="E713" s="7" t="s">
        <v>2571</v>
      </c>
      <c r="F713" s="9">
        <v>6.859914</v>
      </c>
      <c r="G713" s="9">
        <v>101.251309</v>
      </c>
      <c r="H713" s="7" t="s">
        <v>923</v>
      </c>
      <c r="I713" s="9">
        <v>0.18</v>
      </c>
      <c r="J713" s="28"/>
      <c r="K713" s="28"/>
      <c r="L713" s="28"/>
      <c r="M713" s="9">
        <v>1.33</v>
      </c>
      <c r="N713" s="7" t="s">
        <v>4709</v>
      </c>
      <c r="O713" s="7" t="s">
        <v>583</v>
      </c>
      <c r="P713" s="9">
        <v>2.0</v>
      </c>
      <c r="Q713" s="28"/>
      <c r="R713" s="9">
        <v>22.4</v>
      </c>
      <c r="S713" s="7" t="s">
        <v>584</v>
      </c>
      <c r="T713" s="7" t="b">
        <v>0</v>
      </c>
      <c r="U713" s="7" t="s">
        <v>585</v>
      </c>
      <c r="V713" s="27" t="s">
        <v>586</v>
      </c>
      <c r="W713" s="7" t="s">
        <v>5499</v>
      </c>
      <c r="X713" s="28"/>
      <c r="Y713" s="28"/>
      <c r="Z713" s="28"/>
    </row>
    <row r="714">
      <c r="A714" s="7" t="s">
        <v>5500</v>
      </c>
      <c r="B714" s="7" t="s">
        <v>5501</v>
      </c>
      <c r="C714" s="7" t="s">
        <v>5502</v>
      </c>
      <c r="D714" s="7" t="s">
        <v>136</v>
      </c>
      <c r="E714" s="7" t="s">
        <v>5503</v>
      </c>
      <c r="F714" s="9">
        <v>14.83506</v>
      </c>
      <c r="G714" s="9">
        <v>99.66543</v>
      </c>
      <c r="H714" s="7" t="s">
        <v>576</v>
      </c>
      <c r="I714" s="9">
        <v>62.43</v>
      </c>
      <c r="J714" s="28"/>
      <c r="K714" s="28"/>
      <c r="L714" s="28"/>
      <c r="M714" s="9"/>
      <c r="N714" s="7" t="s">
        <v>4709</v>
      </c>
      <c r="O714" s="7" t="s">
        <v>583</v>
      </c>
      <c r="P714" s="9">
        <v>2.0</v>
      </c>
      <c r="Q714" s="28"/>
      <c r="R714" s="9">
        <v>12.4</v>
      </c>
      <c r="S714" s="7" t="s">
        <v>584</v>
      </c>
      <c r="T714" s="7" t="b">
        <v>0</v>
      </c>
      <c r="U714" s="7" t="s">
        <v>585</v>
      </c>
      <c r="V714" s="27" t="s">
        <v>586</v>
      </c>
      <c r="W714" s="7" t="s">
        <v>5507</v>
      </c>
      <c r="X714" s="28"/>
      <c r="Y714" s="28"/>
      <c r="Z714" s="28"/>
    </row>
    <row r="715">
      <c r="A715" s="7" t="s">
        <v>5508</v>
      </c>
      <c r="B715" s="7" t="s">
        <v>5509</v>
      </c>
      <c r="C715" s="7" t="s">
        <v>5510</v>
      </c>
      <c r="D715" s="7" t="s">
        <v>183</v>
      </c>
      <c r="E715" s="7" t="s">
        <v>5511</v>
      </c>
      <c r="F715" s="9">
        <v>12.25058</v>
      </c>
      <c r="G715" s="9">
        <v>102.475716</v>
      </c>
      <c r="H715" s="7" t="s">
        <v>576</v>
      </c>
      <c r="I715" s="9">
        <v>2.04</v>
      </c>
      <c r="J715" s="28"/>
      <c r="K715" s="28"/>
      <c r="L715" s="28"/>
      <c r="M715" s="9"/>
      <c r="N715" s="7" t="s">
        <v>4709</v>
      </c>
      <c r="O715" s="7" t="s">
        <v>583</v>
      </c>
      <c r="P715" s="9">
        <v>2.0</v>
      </c>
      <c r="Q715" s="28"/>
      <c r="R715" s="9">
        <v>12.4</v>
      </c>
      <c r="S715" s="7" t="s">
        <v>584</v>
      </c>
      <c r="T715" s="7" t="b">
        <v>0</v>
      </c>
      <c r="U715" s="7" t="s">
        <v>585</v>
      </c>
      <c r="V715" s="27" t="s">
        <v>586</v>
      </c>
      <c r="W715" s="7" t="s">
        <v>5512</v>
      </c>
      <c r="X715" s="28"/>
      <c r="Y715" s="28"/>
      <c r="Z715" s="28"/>
    </row>
    <row r="716">
      <c r="A716" s="7" t="s">
        <v>5514</v>
      </c>
      <c r="B716" s="7" t="s">
        <v>5515</v>
      </c>
      <c r="C716" s="7" t="s">
        <v>5516</v>
      </c>
      <c r="D716" s="7" t="s">
        <v>9</v>
      </c>
      <c r="E716" s="7" t="s">
        <v>4694</v>
      </c>
      <c r="F716" s="9">
        <v>19.122181</v>
      </c>
      <c r="G716" s="9">
        <v>98.944412</v>
      </c>
      <c r="H716" s="7" t="s">
        <v>3579</v>
      </c>
      <c r="I716" s="9">
        <v>333.15</v>
      </c>
      <c r="J716" s="28"/>
      <c r="K716" s="28"/>
      <c r="L716" s="28"/>
      <c r="M716" s="9"/>
      <c r="N716" s="7" t="s">
        <v>4709</v>
      </c>
      <c r="O716" s="7" t="s">
        <v>583</v>
      </c>
      <c r="P716" s="9">
        <v>2.0</v>
      </c>
      <c r="Q716" s="28"/>
      <c r="R716" s="9">
        <v>262.4</v>
      </c>
      <c r="S716" s="7" t="s">
        <v>584</v>
      </c>
      <c r="T716" s="7" t="b">
        <v>0</v>
      </c>
      <c r="U716" s="7" t="s">
        <v>585</v>
      </c>
      <c r="V716" s="27" t="s">
        <v>586</v>
      </c>
      <c r="W716" s="7" t="s">
        <v>5519</v>
      </c>
      <c r="X716" s="28"/>
      <c r="Y716" s="28"/>
      <c r="Z716" s="28"/>
    </row>
    <row r="717">
      <c r="A717" s="7" t="s">
        <v>5520</v>
      </c>
      <c r="B717" s="7" t="s">
        <v>5521</v>
      </c>
      <c r="C717" s="7" t="s">
        <v>5522</v>
      </c>
      <c r="D717" s="7" t="s">
        <v>65</v>
      </c>
      <c r="E717" s="7"/>
      <c r="F717" s="9">
        <v>18.474373</v>
      </c>
      <c r="G717" s="9">
        <v>99.46628</v>
      </c>
      <c r="H717" s="7" t="s">
        <v>576</v>
      </c>
      <c r="I717" s="9">
        <v>266.36</v>
      </c>
      <c r="J717" s="28"/>
      <c r="K717" s="28"/>
      <c r="L717" s="28"/>
      <c r="M717" s="9"/>
      <c r="N717" s="7" t="s">
        <v>4709</v>
      </c>
      <c r="O717" s="7" t="s">
        <v>583</v>
      </c>
      <c r="P717" s="9">
        <v>2.0</v>
      </c>
      <c r="Q717" s="28"/>
      <c r="R717" s="9">
        <v>12.4</v>
      </c>
      <c r="S717" s="7" t="s">
        <v>584</v>
      </c>
      <c r="T717" s="7" t="b">
        <v>0</v>
      </c>
      <c r="U717" s="7" t="s">
        <v>585</v>
      </c>
      <c r="V717" s="27" t="s">
        <v>586</v>
      </c>
      <c r="W717" s="7" t="s">
        <v>5523</v>
      </c>
      <c r="X717" s="28"/>
      <c r="Y717" s="28"/>
      <c r="Z717" s="28"/>
    </row>
    <row r="718">
      <c r="A718" s="7" t="s">
        <v>5524</v>
      </c>
      <c r="B718" s="7" t="s">
        <v>5525</v>
      </c>
      <c r="C718" s="7" t="s">
        <v>5526</v>
      </c>
      <c r="D718" s="7" t="s">
        <v>9</v>
      </c>
      <c r="E718" s="7" t="s">
        <v>4694</v>
      </c>
      <c r="F718" s="9">
        <v>19.12207</v>
      </c>
      <c r="G718" s="9">
        <v>98.94447</v>
      </c>
      <c r="H718" s="7" t="s">
        <v>576</v>
      </c>
      <c r="I718" s="9">
        <v>330.1</v>
      </c>
      <c r="J718" s="28"/>
      <c r="K718" s="28"/>
      <c r="L718" s="28"/>
      <c r="M718" s="9"/>
      <c r="N718" s="7" t="s">
        <v>4709</v>
      </c>
      <c r="O718" s="7" t="s">
        <v>583</v>
      </c>
      <c r="P718" s="9">
        <v>2.0</v>
      </c>
      <c r="Q718" s="28"/>
      <c r="R718" s="9">
        <v>12.4</v>
      </c>
      <c r="S718" s="7" t="s">
        <v>584</v>
      </c>
      <c r="T718" s="7" t="b">
        <v>0</v>
      </c>
      <c r="U718" s="7" t="s">
        <v>585</v>
      </c>
      <c r="V718" s="27" t="s">
        <v>586</v>
      </c>
      <c r="W718" s="7" t="s">
        <v>5527</v>
      </c>
      <c r="X718" s="28"/>
      <c r="Y718" s="28"/>
      <c r="Z718" s="28"/>
    </row>
    <row r="719">
      <c r="A719" s="7" t="s">
        <v>5528</v>
      </c>
      <c r="B719" s="7" t="s">
        <v>5529</v>
      </c>
      <c r="C719" s="7" t="s">
        <v>5530</v>
      </c>
      <c r="D719" s="7" t="s">
        <v>65</v>
      </c>
      <c r="E719" s="7"/>
      <c r="F719" s="9">
        <v>18.784391</v>
      </c>
      <c r="G719" s="9">
        <v>99.56949</v>
      </c>
      <c r="H719" s="7" t="s">
        <v>576</v>
      </c>
      <c r="I719" s="9">
        <v>308.85</v>
      </c>
      <c r="J719" s="28"/>
      <c r="K719" s="28"/>
      <c r="L719" s="28"/>
      <c r="M719" s="9"/>
      <c r="N719" s="7" t="s">
        <v>4709</v>
      </c>
      <c r="O719" s="7" t="s">
        <v>583</v>
      </c>
      <c r="P719" s="9">
        <v>2.0</v>
      </c>
      <c r="Q719" s="28"/>
      <c r="R719" s="9">
        <v>12.4</v>
      </c>
      <c r="S719" s="7" t="s">
        <v>584</v>
      </c>
      <c r="T719" s="7" t="b">
        <v>0</v>
      </c>
      <c r="U719" s="7" t="s">
        <v>585</v>
      </c>
      <c r="V719" s="27" t="s">
        <v>586</v>
      </c>
      <c r="W719" s="7" t="s">
        <v>5531</v>
      </c>
      <c r="X719" s="28"/>
      <c r="Y719" s="28"/>
      <c r="Z719" s="28"/>
    </row>
    <row r="720">
      <c r="A720" s="7" t="s">
        <v>5532</v>
      </c>
      <c r="B720" s="7" t="s">
        <v>5533</v>
      </c>
      <c r="C720" s="7" t="s">
        <v>5534</v>
      </c>
      <c r="D720" s="7" t="s">
        <v>53</v>
      </c>
      <c r="E720" s="7" t="s">
        <v>3238</v>
      </c>
      <c r="F720" s="9">
        <v>20.2197</v>
      </c>
      <c r="G720" s="9">
        <v>100.12121</v>
      </c>
      <c r="H720" s="7" t="s">
        <v>576</v>
      </c>
      <c r="I720" s="9">
        <v>356.6</v>
      </c>
      <c r="J720" s="28"/>
      <c r="K720" s="28"/>
      <c r="L720" s="28"/>
      <c r="M720" s="9"/>
      <c r="N720" s="7" t="s">
        <v>4709</v>
      </c>
      <c r="O720" s="7" t="s">
        <v>583</v>
      </c>
      <c r="P720" s="9">
        <v>2.0</v>
      </c>
      <c r="Q720" s="28"/>
      <c r="R720" s="9">
        <v>12.4</v>
      </c>
      <c r="S720" s="7" t="s">
        <v>584</v>
      </c>
      <c r="T720" s="7" t="b">
        <v>0</v>
      </c>
      <c r="U720" s="7" t="s">
        <v>585</v>
      </c>
      <c r="V720" s="27" t="s">
        <v>586</v>
      </c>
      <c r="W720" s="7" t="s">
        <v>5539</v>
      </c>
      <c r="X720" s="28"/>
      <c r="Y720" s="28"/>
      <c r="Z720" s="28"/>
    </row>
    <row r="721">
      <c r="A721" s="7" t="s">
        <v>5540</v>
      </c>
      <c r="B721" s="7" t="s">
        <v>5541</v>
      </c>
      <c r="C721" s="7" t="s">
        <v>5543</v>
      </c>
      <c r="D721" s="7" t="s">
        <v>299</v>
      </c>
      <c r="E721" s="7" t="s">
        <v>2571</v>
      </c>
      <c r="F721" s="9">
        <v>6.82152</v>
      </c>
      <c r="G721" s="9">
        <v>101.244888</v>
      </c>
      <c r="H721" s="7" t="s">
        <v>1951</v>
      </c>
      <c r="I721" s="9">
        <v>0.29</v>
      </c>
      <c r="J721" s="28"/>
      <c r="K721" s="28"/>
      <c r="L721" s="28"/>
      <c r="M721" s="9"/>
      <c r="N721" s="7" t="s">
        <v>4709</v>
      </c>
      <c r="O721" s="7" t="s">
        <v>583</v>
      </c>
      <c r="P721" s="9">
        <v>2.0</v>
      </c>
      <c r="Q721" s="28"/>
      <c r="R721" s="9">
        <v>202.4</v>
      </c>
      <c r="S721" s="7" t="s">
        <v>584</v>
      </c>
      <c r="T721" s="7" t="b">
        <v>0</v>
      </c>
      <c r="U721" s="7" t="s">
        <v>585</v>
      </c>
      <c r="V721" s="27" t="s">
        <v>586</v>
      </c>
      <c r="W721" s="7" t="s">
        <v>5545</v>
      </c>
      <c r="X721" s="28"/>
      <c r="Y721" s="28"/>
      <c r="Z721" s="28"/>
    </row>
    <row r="722">
      <c r="A722" s="7" t="s">
        <v>5546</v>
      </c>
      <c r="B722" s="7" t="s">
        <v>5547</v>
      </c>
      <c r="C722" s="7" t="s">
        <v>5548</v>
      </c>
      <c r="D722" s="7" t="s">
        <v>268</v>
      </c>
      <c r="E722" s="7" t="s">
        <v>5549</v>
      </c>
      <c r="F722" s="9">
        <v>7.9034</v>
      </c>
      <c r="G722" s="9">
        <v>98.349678</v>
      </c>
      <c r="H722" s="7" t="s">
        <v>1951</v>
      </c>
      <c r="I722" s="9">
        <v>14.42</v>
      </c>
      <c r="J722" s="28"/>
      <c r="K722" s="28"/>
      <c r="L722" s="28"/>
      <c r="M722" s="9"/>
      <c r="N722" s="7" t="s">
        <v>4709</v>
      </c>
      <c r="O722" s="7" t="s">
        <v>583</v>
      </c>
      <c r="P722" s="9">
        <v>2.0</v>
      </c>
      <c r="Q722" s="28"/>
      <c r="R722" s="9">
        <v>202.4</v>
      </c>
      <c r="S722" s="7" t="s">
        <v>584</v>
      </c>
      <c r="T722" s="7" t="b">
        <v>0</v>
      </c>
      <c r="U722" s="7" t="s">
        <v>585</v>
      </c>
      <c r="V722" s="27" t="s">
        <v>586</v>
      </c>
      <c r="W722" s="7" t="s">
        <v>5550</v>
      </c>
      <c r="X722" s="28"/>
      <c r="Y722" s="28"/>
      <c r="Z722" s="28"/>
    </row>
    <row r="723">
      <c r="A723" s="7" t="s">
        <v>5551</v>
      </c>
      <c r="B723" s="7" t="s">
        <v>5552</v>
      </c>
      <c r="C723" s="7" t="s">
        <v>5553</v>
      </c>
      <c r="D723" s="7" t="s">
        <v>298</v>
      </c>
      <c r="E723" s="7" t="s">
        <v>1972</v>
      </c>
      <c r="F723" s="9">
        <v>7.70724</v>
      </c>
      <c r="G723" s="9">
        <v>99.841743</v>
      </c>
      <c r="H723" s="7" t="s">
        <v>1951</v>
      </c>
      <c r="I723" s="9">
        <v>50.55</v>
      </c>
      <c r="J723" s="28"/>
      <c r="K723" s="28"/>
      <c r="L723" s="28"/>
      <c r="M723" s="9"/>
      <c r="N723" s="7" t="s">
        <v>4709</v>
      </c>
      <c r="O723" s="7" t="s">
        <v>583</v>
      </c>
      <c r="P723" s="9">
        <v>2.0</v>
      </c>
      <c r="Q723" s="28"/>
      <c r="R723" s="9">
        <v>202.4</v>
      </c>
      <c r="S723" s="7" t="s">
        <v>584</v>
      </c>
      <c r="T723" s="7" t="b">
        <v>0</v>
      </c>
      <c r="U723" s="7" t="s">
        <v>585</v>
      </c>
      <c r="V723" s="27" t="s">
        <v>586</v>
      </c>
      <c r="W723" s="7" t="s">
        <v>5554</v>
      </c>
      <c r="X723" s="28"/>
      <c r="Y723" s="28"/>
      <c r="Z723" s="28"/>
    </row>
    <row r="724">
      <c r="A724" s="7" t="s">
        <v>5555</v>
      </c>
      <c r="B724" s="7" t="s">
        <v>5556</v>
      </c>
      <c r="C724" s="7" t="s">
        <v>5557</v>
      </c>
      <c r="D724" s="7" t="s">
        <v>278</v>
      </c>
      <c r="E724" s="7" t="s">
        <v>5558</v>
      </c>
      <c r="F724" s="9">
        <v>10.40327</v>
      </c>
      <c r="G724" s="9">
        <v>98.776932</v>
      </c>
      <c r="H724" s="7" t="s">
        <v>1951</v>
      </c>
      <c r="I724" s="9">
        <v>0.43</v>
      </c>
      <c r="J724" s="28"/>
      <c r="K724" s="28"/>
      <c r="L724" s="28"/>
      <c r="M724" s="9"/>
      <c r="N724" s="7" t="s">
        <v>4709</v>
      </c>
      <c r="O724" s="7" t="s">
        <v>583</v>
      </c>
      <c r="P724" s="9">
        <v>2.0</v>
      </c>
      <c r="Q724" s="28"/>
      <c r="R724" s="9">
        <v>202.4</v>
      </c>
      <c r="S724" s="7" t="s">
        <v>584</v>
      </c>
      <c r="T724" s="7" t="b">
        <v>0</v>
      </c>
      <c r="U724" s="7" t="s">
        <v>585</v>
      </c>
      <c r="V724" s="27" t="s">
        <v>586</v>
      </c>
      <c r="W724" s="7" t="s">
        <v>5559</v>
      </c>
      <c r="X724" s="28"/>
      <c r="Y724" s="28"/>
      <c r="Z724" s="28"/>
    </row>
    <row r="725">
      <c r="A725" s="7" t="s">
        <v>5560</v>
      </c>
      <c r="B725" s="7" t="s">
        <v>5561</v>
      </c>
      <c r="C725" s="7" t="s">
        <v>5562</v>
      </c>
      <c r="D725" s="7" t="s">
        <v>82</v>
      </c>
      <c r="E725" s="7" t="s">
        <v>5562</v>
      </c>
      <c r="F725" s="9">
        <v>17.792339</v>
      </c>
      <c r="G725" s="9">
        <v>99.787033</v>
      </c>
      <c r="H725" s="7" t="s">
        <v>618</v>
      </c>
      <c r="I725" s="9">
        <v>115.05</v>
      </c>
      <c r="J725" s="28"/>
      <c r="K725" s="28"/>
      <c r="L725" s="28"/>
      <c r="M725" s="9"/>
      <c r="N725" s="7" t="s">
        <v>4709</v>
      </c>
      <c r="O725" s="7" t="s">
        <v>583</v>
      </c>
      <c r="P725" s="9">
        <v>2.0</v>
      </c>
      <c r="Q725" s="28"/>
      <c r="R725" s="9">
        <v>82.4</v>
      </c>
      <c r="S725" s="7" t="s">
        <v>584</v>
      </c>
      <c r="T725" s="7" t="b">
        <v>0</v>
      </c>
      <c r="U725" s="7" t="s">
        <v>585</v>
      </c>
      <c r="V725" s="27" t="s">
        <v>586</v>
      </c>
      <c r="W725" s="7" t="s">
        <v>5563</v>
      </c>
      <c r="X725" s="28"/>
      <c r="Y725" s="28"/>
      <c r="Z725" s="28"/>
    </row>
    <row r="726">
      <c r="A726" s="7" t="s">
        <v>5564</v>
      </c>
      <c r="B726" s="7" t="s">
        <v>5565</v>
      </c>
      <c r="C726" s="7" t="s">
        <v>5566</v>
      </c>
      <c r="D726" s="7" t="s">
        <v>60</v>
      </c>
      <c r="E726" s="7" t="s">
        <v>5567</v>
      </c>
      <c r="F726" s="9">
        <v>19.286142</v>
      </c>
      <c r="G726" s="9">
        <v>100.90128</v>
      </c>
      <c r="H726" s="7" t="s">
        <v>576</v>
      </c>
      <c r="I726" s="9">
        <v>266.17</v>
      </c>
      <c r="J726" s="28"/>
      <c r="K726" s="28"/>
      <c r="L726" s="28"/>
      <c r="M726" s="9"/>
      <c r="N726" s="7" t="s">
        <v>4709</v>
      </c>
      <c r="O726" s="7" t="s">
        <v>583</v>
      </c>
      <c r="P726" s="9">
        <v>2.0</v>
      </c>
      <c r="Q726" s="28"/>
      <c r="R726" s="9">
        <v>12.4</v>
      </c>
      <c r="S726" s="7" t="s">
        <v>584</v>
      </c>
      <c r="T726" s="7" t="b">
        <v>0</v>
      </c>
      <c r="U726" s="7" t="s">
        <v>585</v>
      </c>
      <c r="V726" s="27" t="s">
        <v>586</v>
      </c>
      <c r="W726" s="7" t="s">
        <v>5569</v>
      </c>
      <c r="X726" s="28"/>
      <c r="Y726" s="28"/>
      <c r="Z726" s="28"/>
    </row>
    <row r="727">
      <c r="A727" s="7" t="s">
        <v>5570</v>
      </c>
      <c r="B727" s="7" t="s">
        <v>5571</v>
      </c>
      <c r="C727" s="7" t="s">
        <v>5572</v>
      </c>
      <c r="D727" s="7" t="s">
        <v>9</v>
      </c>
      <c r="E727" s="7" t="s">
        <v>5573</v>
      </c>
      <c r="F727" s="9">
        <v>18.916401</v>
      </c>
      <c r="G727" s="9">
        <v>99.235817</v>
      </c>
      <c r="H727" s="7" t="s">
        <v>2800</v>
      </c>
      <c r="I727" s="9">
        <v>455.52</v>
      </c>
      <c r="J727" s="28"/>
      <c r="K727" s="28"/>
      <c r="L727" s="28"/>
      <c r="M727" s="9"/>
      <c r="N727" s="7" t="s">
        <v>4709</v>
      </c>
      <c r="O727" s="7" t="s">
        <v>583</v>
      </c>
      <c r="P727" s="9">
        <v>2.0</v>
      </c>
      <c r="Q727" s="28"/>
      <c r="R727" s="9">
        <v>382.4</v>
      </c>
      <c r="S727" s="7" t="s">
        <v>584</v>
      </c>
      <c r="T727" s="7" t="b">
        <v>0</v>
      </c>
      <c r="U727" s="7" t="s">
        <v>585</v>
      </c>
      <c r="V727" s="27" t="s">
        <v>586</v>
      </c>
      <c r="W727" s="7" t="s">
        <v>5574</v>
      </c>
      <c r="X727" s="28"/>
      <c r="Y727" s="28"/>
      <c r="Z727" s="28"/>
    </row>
    <row r="728">
      <c r="A728" s="7" t="s">
        <v>5575</v>
      </c>
      <c r="B728" s="7" t="s">
        <v>5576</v>
      </c>
      <c r="C728" s="7" t="s">
        <v>5577</v>
      </c>
      <c r="D728" s="7" t="s">
        <v>260</v>
      </c>
      <c r="E728" s="7" t="s">
        <v>5578</v>
      </c>
      <c r="F728" s="9">
        <v>9.398603</v>
      </c>
      <c r="G728" s="9">
        <v>99.16833</v>
      </c>
      <c r="H728" s="7" t="s">
        <v>576</v>
      </c>
      <c r="I728" s="9">
        <v>6.84</v>
      </c>
      <c r="J728" s="28"/>
      <c r="K728" s="28"/>
      <c r="L728" s="28"/>
      <c r="M728" s="9"/>
      <c r="N728" s="7" t="s">
        <v>4709</v>
      </c>
      <c r="O728" s="7" t="s">
        <v>583</v>
      </c>
      <c r="P728" s="9">
        <v>2.0</v>
      </c>
      <c r="Q728" s="28"/>
      <c r="R728" s="9">
        <v>12.4</v>
      </c>
      <c r="S728" s="7" t="s">
        <v>584</v>
      </c>
      <c r="T728" s="7" t="b">
        <v>0</v>
      </c>
      <c r="U728" s="7" t="s">
        <v>585</v>
      </c>
      <c r="V728" s="27" t="s">
        <v>586</v>
      </c>
      <c r="W728" s="7" t="s">
        <v>5579</v>
      </c>
      <c r="X728" s="28"/>
      <c r="Y728" s="28"/>
      <c r="Z728" s="28"/>
    </row>
    <row r="729">
      <c r="A729" s="7" t="s">
        <v>5580</v>
      </c>
      <c r="B729" s="7" t="s">
        <v>5581</v>
      </c>
      <c r="C729" s="7" t="s">
        <v>5582</v>
      </c>
      <c r="D729" s="7" t="s">
        <v>301</v>
      </c>
      <c r="E729" s="7" t="s">
        <v>2571</v>
      </c>
      <c r="F729" s="9">
        <v>6.262132</v>
      </c>
      <c r="G729" s="9">
        <v>101.268237</v>
      </c>
      <c r="H729" s="7" t="s">
        <v>923</v>
      </c>
      <c r="I729" s="9">
        <v>35.17</v>
      </c>
      <c r="J729" s="28"/>
      <c r="K729" s="28"/>
      <c r="L729" s="28"/>
      <c r="M729" s="9">
        <v>40.3</v>
      </c>
      <c r="N729" s="7" t="s">
        <v>4709</v>
      </c>
      <c r="O729" s="7" t="s">
        <v>583</v>
      </c>
      <c r="P729" s="9">
        <v>2.0</v>
      </c>
      <c r="Q729" s="28"/>
      <c r="R729" s="9">
        <v>22.4</v>
      </c>
      <c r="S729" s="7" t="s">
        <v>584</v>
      </c>
      <c r="T729" s="7" t="b">
        <v>0</v>
      </c>
      <c r="U729" s="7" t="s">
        <v>585</v>
      </c>
      <c r="V729" s="27" t="s">
        <v>586</v>
      </c>
      <c r="W729" s="7" t="s">
        <v>5583</v>
      </c>
      <c r="X729" s="28"/>
      <c r="Y729" s="28"/>
      <c r="Z729" s="28"/>
    </row>
    <row r="730">
      <c r="A730" s="7" t="s">
        <v>5584</v>
      </c>
      <c r="B730" s="7" t="s">
        <v>5585</v>
      </c>
      <c r="C730" s="7" t="s">
        <v>5586</v>
      </c>
      <c r="D730" s="7" t="s">
        <v>198</v>
      </c>
      <c r="E730" s="7"/>
      <c r="F730" s="9">
        <v>17.69902</v>
      </c>
      <c r="G730" s="9">
        <v>102.4467</v>
      </c>
      <c r="H730" s="7" t="s">
        <v>576</v>
      </c>
      <c r="I730" s="9">
        <v>170.54</v>
      </c>
      <c r="J730" s="28"/>
      <c r="K730" s="28"/>
      <c r="L730" s="28"/>
      <c r="M730" s="9"/>
      <c r="N730" s="7" t="s">
        <v>4709</v>
      </c>
      <c r="O730" s="7" t="s">
        <v>583</v>
      </c>
      <c r="P730" s="9">
        <v>2.0</v>
      </c>
      <c r="Q730" s="28"/>
      <c r="R730" s="9">
        <v>12.4</v>
      </c>
      <c r="S730" s="7" t="s">
        <v>584</v>
      </c>
      <c r="T730" s="7" t="b">
        <v>0</v>
      </c>
      <c r="U730" s="7" t="s">
        <v>585</v>
      </c>
      <c r="V730" s="27" t="s">
        <v>586</v>
      </c>
      <c r="W730" s="7" t="s">
        <v>5587</v>
      </c>
      <c r="X730" s="28"/>
      <c r="Y730" s="28"/>
      <c r="Z730" s="28"/>
    </row>
    <row r="731">
      <c r="A731" s="7" t="s">
        <v>5588</v>
      </c>
      <c r="B731" s="7" t="s">
        <v>5589</v>
      </c>
      <c r="C731" s="7" t="s">
        <v>5590</v>
      </c>
      <c r="D731" s="7" t="s">
        <v>9</v>
      </c>
      <c r="E731" s="7" t="s">
        <v>5592</v>
      </c>
      <c r="F731" s="9">
        <v>19.284189</v>
      </c>
      <c r="G731" s="9">
        <v>99.186943</v>
      </c>
      <c r="H731" s="7" t="s">
        <v>3412</v>
      </c>
      <c r="I731" s="9">
        <v>409.11</v>
      </c>
      <c r="J731" s="28"/>
      <c r="K731" s="28"/>
      <c r="L731" s="28"/>
      <c r="M731" s="9"/>
      <c r="N731" s="7" t="s">
        <v>4709</v>
      </c>
      <c r="O731" s="7" t="s">
        <v>583</v>
      </c>
      <c r="P731" s="9">
        <v>2.0</v>
      </c>
      <c r="Q731" s="28"/>
      <c r="R731" s="9">
        <v>562.4</v>
      </c>
      <c r="S731" s="7" t="s">
        <v>584</v>
      </c>
      <c r="T731" s="7" t="b">
        <v>0</v>
      </c>
      <c r="U731" s="7" t="s">
        <v>585</v>
      </c>
      <c r="V731" s="27" t="s">
        <v>586</v>
      </c>
      <c r="W731" s="7" t="s">
        <v>5596</v>
      </c>
      <c r="X731" s="28"/>
      <c r="Y731" s="28"/>
      <c r="Z731" s="28"/>
    </row>
    <row r="732">
      <c r="A732" s="7" t="s">
        <v>5598</v>
      </c>
      <c r="B732" s="7" t="s">
        <v>5599</v>
      </c>
      <c r="C732" s="7" t="s">
        <v>5600</v>
      </c>
      <c r="D732" s="7" t="s">
        <v>77</v>
      </c>
      <c r="E732" s="7" t="s">
        <v>5601</v>
      </c>
      <c r="F732" s="9">
        <v>16.327471</v>
      </c>
      <c r="G732" s="9">
        <v>100.801727</v>
      </c>
      <c r="H732" s="7" t="s">
        <v>618</v>
      </c>
      <c r="I732" s="9">
        <v>104.2</v>
      </c>
      <c r="J732" s="28"/>
      <c r="K732" s="28"/>
      <c r="L732" s="28"/>
      <c r="M732" s="9"/>
      <c r="N732" s="7" t="s">
        <v>4709</v>
      </c>
      <c r="O732" s="7" t="s">
        <v>583</v>
      </c>
      <c r="P732" s="9">
        <v>2.0</v>
      </c>
      <c r="Q732" s="28"/>
      <c r="R732" s="9">
        <v>82.4</v>
      </c>
      <c r="S732" s="7" t="s">
        <v>584</v>
      </c>
      <c r="T732" s="7" t="b">
        <v>0</v>
      </c>
      <c r="U732" s="7" t="s">
        <v>585</v>
      </c>
      <c r="V732" s="27" t="s">
        <v>586</v>
      </c>
      <c r="W732" s="7" t="s">
        <v>5603</v>
      </c>
      <c r="X732" s="28"/>
      <c r="Y732" s="28"/>
      <c r="Z732" s="28"/>
    </row>
    <row r="733">
      <c r="A733" s="7" t="s">
        <v>5604</v>
      </c>
      <c r="B733" s="7" t="s">
        <v>5605</v>
      </c>
      <c r="C733" s="7" t="s">
        <v>5606</v>
      </c>
      <c r="D733" s="7" t="s">
        <v>224</v>
      </c>
      <c r="E733" s="7" t="s">
        <v>5607</v>
      </c>
      <c r="F733" s="9">
        <v>14.72852</v>
      </c>
      <c r="G733" s="9">
        <v>101.564293</v>
      </c>
      <c r="H733" s="7" t="s">
        <v>618</v>
      </c>
      <c r="I733" s="9">
        <v>295.71</v>
      </c>
      <c r="J733" s="28"/>
      <c r="K733" s="28"/>
      <c r="L733" s="28"/>
      <c r="M733" s="9"/>
      <c r="N733" s="7" t="s">
        <v>4709</v>
      </c>
      <c r="O733" s="7" t="s">
        <v>583</v>
      </c>
      <c r="P733" s="9">
        <v>2.0</v>
      </c>
      <c r="Q733" s="28"/>
      <c r="R733" s="9">
        <v>82.4</v>
      </c>
      <c r="S733" s="7" t="s">
        <v>584</v>
      </c>
      <c r="T733" s="7" t="b">
        <v>0</v>
      </c>
      <c r="U733" s="7" t="s">
        <v>585</v>
      </c>
      <c r="V733" s="27" t="s">
        <v>586</v>
      </c>
      <c r="W733" s="7" t="s">
        <v>5608</v>
      </c>
      <c r="X733" s="28"/>
      <c r="Y733" s="28"/>
      <c r="Z733" s="28"/>
    </row>
    <row r="734">
      <c r="A734" s="7" t="s">
        <v>5609</v>
      </c>
      <c r="B734" s="7" t="s">
        <v>5610</v>
      </c>
      <c r="C734" s="7" t="s">
        <v>5611</v>
      </c>
      <c r="D734" s="7" t="s">
        <v>60</v>
      </c>
      <c r="E734" s="7" t="s">
        <v>2006</v>
      </c>
      <c r="F734" s="9">
        <v>19.015332</v>
      </c>
      <c r="G734" s="9">
        <v>100.780161</v>
      </c>
      <c r="H734" s="7" t="s">
        <v>923</v>
      </c>
      <c r="I734" s="9">
        <v>212.36</v>
      </c>
      <c r="J734" s="28"/>
      <c r="K734" s="28"/>
      <c r="L734" s="28"/>
      <c r="M734" s="9">
        <v>220.4</v>
      </c>
      <c r="N734" s="7" t="s">
        <v>4709</v>
      </c>
      <c r="O734" s="7" t="s">
        <v>583</v>
      </c>
      <c r="P734" s="9">
        <v>2.0</v>
      </c>
      <c r="Q734" s="28"/>
      <c r="R734" s="9">
        <v>22.4</v>
      </c>
      <c r="S734" s="7" t="s">
        <v>584</v>
      </c>
      <c r="T734" s="7" t="b">
        <v>0</v>
      </c>
      <c r="U734" s="7" t="s">
        <v>585</v>
      </c>
      <c r="V734" s="27" t="s">
        <v>586</v>
      </c>
      <c r="W734" s="7" t="s">
        <v>5612</v>
      </c>
      <c r="X734" s="28"/>
      <c r="Y734" s="28"/>
      <c r="Z734" s="28"/>
    </row>
    <row r="735">
      <c r="A735" s="7" t="s">
        <v>5613</v>
      </c>
      <c r="B735" s="7" t="s">
        <v>5614</v>
      </c>
      <c r="C735" s="7" t="s">
        <v>5615</v>
      </c>
      <c r="D735" s="7" t="s">
        <v>260</v>
      </c>
      <c r="E735" s="7"/>
      <c r="F735" s="9">
        <v>8.57104</v>
      </c>
      <c r="G735" s="9">
        <v>99.25391</v>
      </c>
      <c r="H735" s="7" t="s">
        <v>923</v>
      </c>
      <c r="I735" s="9">
        <v>3.98</v>
      </c>
      <c r="J735" s="28"/>
      <c r="K735" s="28"/>
      <c r="L735" s="28"/>
      <c r="M735" s="9">
        <v>11.7</v>
      </c>
      <c r="N735" s="7" t="s">
        <v>4709</v>
      </c>
      <c r="O735" s="7" t="s">
        <v>583</v>
      </c>
      <c r="P735" s="9">
        <v>2.0</v>
      </c>
      <c r="Q735" s="28"/>
      <c r="R735" s="9">
        <v>22.4</v>
      </c>
      <c r="S735" s="7" t="s">
        <v>584</v>
      </c>
      <c r="T735" s="7" t="b">
        <v>0</v>
      </c>
      <c r="U735" s="7" t="s">
        <v>585</v>
      </c>
      <c r="V735" s="27" t="s">
        <v>586</v>
      </c>
      <c r="W735" s="7" t="s">
        <v>5616</v>
      </c>
      <c r="X735" s="28"/>
      <c r="Y735" s="28"/>
      <c r="Z735" s="28"/>
    </row>
    <row r="736">
      <c r="A736" s="7" t="s">
        <v>5617</v>
      </c>
      <c r="B736" s="7" t="s">
        <v>5618</v>
      </c>
      <c r="C736" s="7" t="s">
        <v>5619</v>
      </c>
      <c r="D736" s="7" t="s">
        <v>220</v>
      </c>
      <c r="E736" s="7" t="s">
        <v>2644</v>
      </c>
      <c r="F736" s="9">
        <v>16.293755</v>
      </c>
      <c r="G736" s="9">
        <v>101.904798</v>
      </c>
      <c r="H736" s="7" t="s">
        <v>618</v>
      </c>
      <c r="I736" s="9">
        <v>228.14</v>
      </c>
      <c r="J736" s="28"/>
      <c r="K736" s="28"/>
      <c r="L736" s="28"/>
      <c r="M736" s="9"/>
      <c r="N736" s="7" t="s">
        <v>4709</v>
      </c>
      <c r="O736" s="7" t="s">
        <v>583</v>
      </c>
      <c r="P736" s="9">
        <v>2.0</v>
      </c>
      <c r="Q736" s="28"/>
      <c r="R736" s="9">
        <v>82.4</v>
      </c>
      <c r="S736" s="7" t="s">
        <v>584</v>
      </c>
      <c r="T736" s="7" t="b">
        <v>0</v>
      </c>
      <c r="U736" s="7" t="s">
        <v>585</v>
      </c>
      <c r="V736" s="27" t="s">
        <v>586</v>
      </c>
      <c r="W736" s="7" t="s">
        <v>5621</v>
      </c>
      <c r="X736" s="28"/>
      <c r="Y736" s="28"/>
      <c r="Z736" s="28"/>
    </row>
    <row r="737">
      <c r="A737" s="7" t="s">
        <v>5622</v>
      </c>
      <c r="B737" s="7" t="s">
        <v>5623</v>
      </c>
      <c r="C737" s="7" t="s">
        <v>5624</v>
      </c>
      <c r="D737" s="7" t="s">
        <v>203</v>
      </c>
      <c r="E737" s="7" t="s">
        <v>2350</v>
      </c>
      <c r="F737" s="9">
        <v>16.927904</v>
      </c>
      <c r="G737" s="9">
        <v>104.72032</v>
      </c>
      <c r="H737" s="7" t="s">
        <v>576</v>
      </c>
      <c r="I737" s="9">
        <v>133.45</v>
      </c>
      <c r="J737" s="28"/>
      <c r="K737" s="28"/>
      <c r="L737" s="28"/>
      <c r="M737" s="9"/>
      <c r="N737" s="7" t="s">
        <v>4709</v>
      </c>
      <c r="O737" s="7" t="s">
        <v>583</v>
      </c>
      <c r="P737" s="9">
        <v>2.0</v>
      </c>
      <c r="Q737" s="28"/>
      <c r="R737" s="9">
        <v>12.4</v>
      </c>
      <c r="S737" s="7" t="s">
        <v>584</v>
      </c>
      <c r="T737" s="7" t="b">
        <v>0</v>
      </c>
      <c r="U737" s="7" t="s">
        <v>585</v>
      </c>
      <c r="V737" s="27" t="s">
        <v>586</v>
      </c>
      <c r="W737" s="7" t="s">
        <v>5625</v>
      </c>
      <c r="X737" s="28"/>
      <c r="Y737" s="28"/>
      <c r="Z737" s="28"/>
    </row>
    <row r="738">
      <c r="A738" s="7" t="s">
        <v>5626</v>
      </c>
      <c r="B738" s="7" t="s">
        <v>5627</v>
      </c>
      <c r="C738" s="7" t="s">
        <v>5628</v>
      </c>
      <c r="D738" s="7" t="s">
        <v>286</v>
      </c>
      <c r="E738" s="7" t="s">
        <v>5629</v>
      </c>
      <c r="F738" s="9">
        <v>6.98306</v>
      </c>
      <c r="G738" s="9">
        <v>100.328331</v>
      </c>
      <c r="H738" s="7" t="s">
        <v>1951</v>
      </c>
      <c r="I738" s="9">
        <v>17.57</v>
      </c>
      <c r="J738" s="28"/>
      <c r="K738" s="28"/>
      <c r="L738" s="28"/>
      <c r="M738" s="9"/>
      <c r="N738" s="7" t="s">
        <v>4709</v>
      </c>
      <c r="O738" s="7" t="s">
        <v>583</v>
      </c>
      <c r="P738" s="9">
        <v>2.0</v>
      </c>
      <c r="Q738" s="28"/>
      <c r="R738" s="9">
        <v>202.4</v>
      </c>
      <c r="S738" s="7" t="s">
        <v>584</v>
      </c>
      <c r="T738" s="7" t="b">
        <v>0</v>
      </c>
      <c r="U738" s="7" t="s">
        <v>585</v>
      </c>
      <c r="V738" s="27" t="s">
        <v>586</v>
      </c>
      <c r="W738" s="7" t="s">
        <v>5630</v>
      </c>
      <c r="X738" s="28"/>
      <c r="Y738" s="28"/>
      <c r="Z738" s="28"/>
    </row>
    <row r="739">
      <c r="A739" s="7" t="s">
        <v>5631</v>
      </c>
      <c r="B739" s="7" t="s">
        <v>5632</v>
      </c>
      <c r="C739" s="7" t="s">
        <v>5633</v>
      </c>
      <c r="D739" s="7" t="s">
        <v>82</v>
      </c>
      <c r="E739" s="7" t="s">
        <v>5634</v>
      </c>
      <c r="F739" s="9">
        <v>17.219545</v>
      </c>
      <c r="G739" s="9">
        <v>99.8896</v>
      </c>
      <c r="H739" s="7" t="s">
        <v>576</v>
      </c>
      <c r="I739" s="9">
        <v>53.0</v>
      </c>
      <c r="J739" s="28"/>
      <c r="K739" s="28"/>
      <c r="L739" s="28"/>
      <c r="M739" s="9"/>
      <c r="N739" s="7" t="s">
        <v>4709</v>
      </c>
      <c r="O739" s="7" t="s">
        <v>583</v>
      </c>
      <c r="P739" s="9">
        <v>2.0</v>
      </c>
      <c r="Q739" s="28"/>
      <c r="R739" s="9">
        <v>12.4</v>
      </c>
      <c r="S739" s="7" t="s">
        <v>584</v>
      </c>
      <c r="T739" s="7" t="b">
        <v>0</v>
      </c>
      <c r="U739" s="7" t="s">
        <v>585</v>
      </c>
      <c r="V739" s="27" t="s">
        <v>586</v>
      </c>
      <c r="W739" s="7" t="s">
        <v>5635</v>
      </c>
      <c r="X739" s="28"/>
      <c r="Y739" s="28"/>
      <c r="Z739" s="28"/>
    </row>
    <row r="740">
      <c r="A740" s="7" t="s">
        <v>5637</v>
      </c>
      <c r="B740" s="7" t="s">
        <v>5639</v>
      </c>
      <c r="C740" s="7" t="s">
        <v>5640</v>
      </c>
      <c r="D740" s="7" t="s">
        <v>259</v>
      </c>
      <c r="E740" s="7" t="s">
        <v>2906</v>
      </c>
      <c r="F740" s="9">
        <v>8.212035</v>
      </c>
      <c r="G740" s="9">
        <v>99.703316</v>
      </c>
      <c r="H740" s="7" t="s">
        <v>576</v>
      </c>
      <c r="I740" s="9">
        <v>66.91</v>
      </c>
      <c r="J740" s="28"/>
      <c r="K740" s="28"/>
      <c r="L740" s="28"/>
      <c r="M740" s="9"/>
      <c r="N740" s="7" t="s">
        <v>4709</v>
      </c>
      <c r="O740" s="7" t="s">
        <v>583</v>
      </c>
      <c r="P740" s="9">
        <v>2.0</v>
      </c>
      <c r="Q740" s="28"/>
      <c r="R740" s="9">
        <v>12.4</v>
      </c>
      <c r="S740" s="7" t="s">
        <v>584</v>
      </c>
      <c r="T740" s="7" t="b">
        <v>0</v>
      </c>
      <c r="U740" s="7" t="s">
        <v>585</v>
      </c>
      <c r="V740" s="27" t="s">
        <v>586</v>
      </c>
      <c r="W740" s="7" t="s">
        <v>5644</v>
      </c>
      <c r="X740" s="28"/>
      <c r="Y740" s="28"/>
      <c r="Z740" s="28"/>
    </row>
    <row r="741">
      <c r="A741" s="7" t="s">
        <v>5646</v>
      </c>
      <c r="B741" s="7" t="s">
        <v>5647</v>
      </c>
      <c r="C741" s="7" t="s">
        <v>5648</v>
      </c>
      <c r="D741" s="7" t="s">
        <v>260</v>
      </c>
      <c r="E741" s="7" t="s">
        <v>5649</v>
      </c>
      <c r="F741" s="9">
        <v>9.155624</v>
      </c>
      <c r="G741" s="9">
        <v>98.895035</v>
      </c>
      <c r="H741" s="7" t="s">
        <v>576</v>
      </c>
      <c r="I741" s="9">
        <v>77.88</v>
      </c>
      <c r="J741" s="28"/>
      <c r="K741" s="28"/>
      <c r="L741" s="28"/>
      <c r="M741" s="9"/>
      <c r="N741" s="7" t="s">
        <v>4709</v>
      </c>
      <c r="O741" s="7" t="s">
        <v>583</v>
      </c>
      <c r="P741" s="9">
        <v>2.0</v>
      </c>
      <c r="Q741" s="28"/>
      <c r="R741" s="9">
        <v>12.4</v>
      </c>
      <c r="S741" s="7" t="s">
        <v>584</v>
      </c>
      <c r="T741" s="7" t="b">
        <v>0</v>
      </c>
      <c r="U741" s="7" t="s">
        <v>585</v>
      </c>
      <c r="V741" s="27" t="s">
        <v>586</v>
      </c>
      <c r="W741" s="7" t="s">
        <v>5650</v>
      </c>
      <c r="X741" s="28"/>
      <c r="Y741" s="28"/>
      <c r="Z741" s="28"/>
    </row>
    <row r="742">
      <c r="A742" s="7" t="s">
        <v>5651</v>
      </c>
      <c r="B742" s="7" t="s">
        <v>5652</v>
      </c>
      <c r="C742" s="7" t="s">
        <v>5653</v>
      </c>
      <c r="D742" s="7" t="s">
        <v>202</v>
      </c>
      <c r="E742" s="7" t="s">
        <v>5654</v>
      </c>
      <c r="F742" s="9">
        <v>17.126015</v>
      </c>
      <c r="G742" s="9">
        <v>104.140945</v>
      </c>
      <c r="H742" s="7" t="s">
        <v>576</v>
      </c>
      <c r="I742" s="9">
        <v>160.85</v>
      </c>
      <c r="J742" s="28"/>
      <c r="K742" s="28"/>
      <c r="L742" s="28"/>
      <c r="M742" s="9"/>
      <c r="N742" s="7" t="s">
        <v>4709</v>
      </c>
      <c r="O742" s="7" t="s">
        <v>583</v>
      </c>
      <c r="P742" s="9">
        <v>2.0</v>
      </c>
      <c r="Q742" s="28"/>
      <c r="R742" s="9">
        <v>12.4</v>
      </c>
      <c r="S742" s="7" t="s">
        <v>584</v>
      </c>
      <c r="T742" s="7" t="b">
        <v>0</v>
      </c>
      <c r="U742" s="7" t="s">
        <v>585</v>
      </c>
      <c r="V742" s="27" t="s">
        <v>586</v>
      </c>
      <c r="W742" s="7" t="s">
        <v>5655</v>
      </c>
      <c r="X742" s="28"/>
      <c r="Y742" s="28"/>
      <c r="Z742" s="28"/>
    </row>
    <row r="743">
      <c r="A743" s="7" t="s">
        <v>5656</v>
      </c>
      <c r="B743" s="7" t="s">
        <v>5657</v>
      </c>
      <c r="C743" s="7" t="s">
        <v>5658</v>
      </c>
      <c r="D743" s="7" t="s">
        <v>82</v>
      </c>
      <c r="E743" s="7" t="s">
        <v>5634</v>
      </c>
      <c r="F743" s="9">
        <v>17.341522</v>
      </c>
      <c r="G743" s="9">
        <v>99.85578</v>
      </c>
      <c r="H743" s="7" t="s">
        <v>576</v>
      </c>
      <c r="I743" s="9">
        <v>54.11</v>
      </c>
      <c r="J743" s="28"/>
      <c r="K743" s="28"/>
      <c r="L743" s="28"/>
      <c r="M743" s="9"/>
      <c r="N743" s="7" t="s">
        <v>4709</v>
      </c>
      <c r="O743" s="7" t="s">
        <v>583</v>
      </c>
      <c r="P743" s="9">
        <v>2.0</v>
      </c>
      <c r="Q743" s="28"/>
      <c r="R743" s="9">
        <v>12.4</v>
      </c>
      <c r="S743" s="7" t="s">
        <v>584</v>
      </c>
      <c r="T743" s="7" t="b">
        <v>0</v>
      </c>
      <c r="U743" s="7" t="s">
        <v>585</v>
      </c>
      <c r="V743" s="27" t="s">
        <v>586</v>
      </c>
      <c r="W743" s="7" t="s">
        <v>5659</v>
      </c>
      <c r="X743" s="28"/>
      <c r="Y743" s="28"/>
      <c r="Z743" s="28"/>
    </row>
    <row r="744">
      <c r="A744" s="7" t="s">
        <v>5660</v>
      </c>
      <c r="B744" s="7" t="s">
        <v>5661</v>
      </c>
      <c r="C744" s="7" t="s">
        <v>5662</v>
      </c>
      <c r="D744" s="7" t="s">
        <v>190</v>
      </c>
      <c r="E744" s="7" t="s">
        <v>4776</v>
      </c>
      <c r="F744" s="9">
        <v>16.65448</v>
      </c>
      <c r="G744" s="9">
        <v>102.823486</v>
      </c>
      <c r="H744" s="7" t="s">
        <v>618</v>
      </c>
      <c r="I744" s="9">
        <v>151.59</v>
      </c>
      <c r="J744" s="28"/>
      <c r="K744" s="28"/>
      <c r="L744" s="28"/>
      <c r="M744" s="9"/>
      <c r="N744" s="7" t="s">
        <v>583</v>
      </c>
      <c r="O744" s="7" t="s">
        <v>583</v>
      </c>
      <c r="P744" s="9">
        <v>1.0</v>
      </c>
      <c r="Q744" s="28"/>
      <c r="R744" s="9">
        <v>82.4</v>
      </c>
      <c r="S744" s="7" t="s">
        <v>584</v>
      </c>
      <c r="T744" s="7" t="b">
        <v>0</v>
      </c>
      <c r="U744" s="7" t="s">
        <v>585</v>
      </c>
      <c r="V744" s="27" t="s">
        <v>586</v>
      </c>
      <c r="W744" s="7" t="s">
        <v>5663</v>
      </c>
      <c r="X744" s="28"/>
      <c r="Y744" s="28"/>
      <c r="Z744" s="28"/>
    </row>
    <row r="745">
      <c r="A745" s="7" t="s">
        <v>5664</v>
      </c>
      <c r="B745" s="7" t="s">
        <v>5665</v>
      </c>
      <c r="C745" s="7" t="s">
        <v>5666</v>
      </c>
      <c r="D745" s="7" t="s">
        <v>63</v>
      </c>
      <c r="E745" s="7" t="s">
        <v>5667</v>
      </c>
      <c r="F745" s="9">
        <v>19.228998</v>
      </c>
      <c r="G745" s="9">
        <v>100.326294</v>
      </c>
      <c r="H745" s="7" t="s">
        <v>576</v>
      </c>
      <c r="I745" s="9">
        <v>310.52</v>
      </c>
      <c r="J745" s="28"/>
      <c r="K745" s="28"/>
      <c r="L745" s="28"/>
      <c r="M745" s="9"/>
      <c r="N745" s="7" t="s">
        <v>583</v>
      </c>
      <c r="O745" s="7" t="s">
        <v>583</v>
      </c>
      <c r="P745" s="9">
        <v>1.0</v>
      </c>
      <c r="Q745" s="28"/>
      <c r="R745" s="9">
        <v>12.4</v>
      </c>
      <c r="S745" s="7" t="s">
        <v>584</v>
      </c>
      <c r="T745" s="7" t="b">
        <v>0</v>
      </c>
      <c r="U745" s="7" t="s">
        <v>585</v>
      </c>
      <c r="V745" s="27" t="s">
        <v>586</v>
      </c>
      <c r="W745" s="7" t="s">
        <v>5669</v>
      </c>
      <c r="X745" s="28"/>
      <c r="Y745" s="28"/>
      <c r="Z745" s="28"/>
    </row>
    <row r="746">
      <c r="A746" s="7" t="s">
        <v>5670</v>
      </c>
      <c r="B746" s="7" t="s">
        <v>5671</v>
      </c>
      <c r="C746" s="7" t="s">
        <v>5672</v>
      </c>
      <c r="D746" s="7" t="s">
        <v>260</v>
      </c>
      <c r="E746" s="7" t="s">
        <v>1949</v>
      </c>
      <c r="F746" s="9">
        <v>9.11322</v>
      </c>
      <c r="G746" s="9">
        <v>99.223679</v>
      </c>
      <c r="H746" s="7" t="s">
        <v>1951</v>
      </c>
      <c r="I746" s="9">
        <v>0.2</v>
      </c>
      <c r="J746" s="28"/>
      <c r="K746" s="28"/>
      <c r="L746" s="28"/>
      <c r="M746" s="9">
        <v>2.5</v>
      </c>
      <c r="N746" s="7" t="s">
        <v>583</v>
      </c>
      <c r="O746" s="7" t="s">
        <v>583</v>
      </c>
      <c r="P746" s="9">
        <v>1.0</v>
      </c>
      <c r="Q746" s="28"/>
      <c r="R746" s="9">
        <v>202.4</v>
      </c>
      <c r="S746" s="7" t="s">
        <v>584</v>
      </c>
      <c r="T746" s="7" t="b">
        <v>0</v>
      </c>
      <c r="U746" s="7" t="s">
        <v>585</v>
      </c>
      <c r="V746" s="27" t="s">
        <v>586</v>
      </c>
      <c r="W746" s="7" t="s">
        <v>5673</v>
      </c>
      <c r="X746" s="28"/>
      <c r="Y746" s="28"/>
      <c r="Z746" s="28"/>
    </row>
    <row r="747">
      <c r="A747" s="7" t="s">
        <v>5674</v>
      </c>
      <c r="B747" s="7" t="s">
        <v>5675</v>
      </c>
      <c r="C747" s="7" t="s">
        <v>5676</v>
      </c>
      <c r="D747" s="7" t="s">
        <v>259</v>
      </c>
      <c r="E747" s="7" t="s">
        <v>2906</v>
      </c>
      <c r="F747" s="9">
        <v>8.174942</v>
      </c>
      <c r="G747" s="9">
        <v>99.67887</v>
      </c>
      <c r="H747" s="7" t="s">
        <v>576</v>
      </c>
      <c r="I747" s="9">
        <v>50.98</v>
      </c>
      <c r="J747" s="28"/>
      <c r="K747" s="28"/>
      <c r="L747" s="28"/>
      <c r="M747" s="9"/>
      <c r="N747" s="7" t="s">
        <v>583</v>
      </c>
      <c r="O747" s="7" t="s">
        <v>583</v>
      </c>
      <c r="P747" s="9">
        <v>1.0</v>
      </c>
      <c r="Q747" s="28"/>
      <c r="R747" s="9">
        <v>12.4</v>
      </c>
      <c r="S747" s="7" t="s">
        <v>584</v>
      </c>
      <c r="T747" s="7" t="b">
        <v>0</v>
      </c>
      <c r="U747" s="7" t="s">
        <v>585</v>
      </c>
      <c r="V747" s="27" t="s">
        <v>586</v>
      </c>
      <c r="W747" s="7" t="s">
        <v>5677</v>
      </c>
      <c r="X747" s="28"/>
      <c r="Y747" s="28"/>
      <c r="Z747" s="28"/>
    </row>
    <row r="748">
      <c r="A748" s="7" t="s">
        <v>5678</v>
      </c>
      <c r="B748" s="7" t="s">
        <v>5679</v>
      </c>
      <c r="C748" s="7" t="s">
        <v>5680</v>
      </c>
      <c r="D748" s="7" t="s">
        <v>58</v>
      </c>
      <c r="E748" s="7"/>
      <c r="F748" s="9">
        <v>17.801989</v>
      </c>
      <c r="G748" s="9">
        <v>99.849495</v>
      </c>
      <c r="H748" s="7" t="s">
        <v>576</v>
      </c>
      <c r="I748" s="9">
        <v>144.3</v>
      </c>
      <c r="J748" s="28"/>
      <c r="K748" s="28"/>
      <c r="L748" s="28"/>
      <c r="M748" s="28"/>
      <c r="N748" s="7" t="s">
        <v>583</v>
      </c>
      <c r="O748" s="7" t="s">
        <v>583</v>
      </c>
      <c r="P748" s="9">
        <v>1.0</v>
      </c>
      <c r="Q748" s="28"/>
      <c r="R748" s="9">
        <v>12.4</v>
      </c>
      <c r="S748" s="7" t="s">
        <v>584</v>
      </c>
      <c r="T748" s="7" t="b">
        <v>0</v>
      </c>
      <c r="U748" s="7" t="s">
        <v>585</v>
      </c>
      <c r="V748" s="27" t="s">
        <v>586</v>
      </c>
      <c r="W748" s="7" t="s">
        <v>5681</v>
      </c>
      <c r="X748" s="28"/>
      <c r="Y748" s="28"/>
      <c r="Z748" s="28"/>
    </row>
    <row r="749">
      <c r="A749" s="7" t="s">
        <v>5682</v>
      </c>
      <c r="B749" s="7" t="s">
        <v>5683</v>
      </c>
      <c r="C749" s="7" t="s">
        <v>5684</v>
      </c>
      <c r="D749" s="7" t="s">
        <v>60</v>
      </c>
      <c r="E749" s="7" t="s">
        <v>5224</v>
      </c>
      <c r="F749" s="9">
        <v>19.356688</v>
      </c>
      <c r="G749" s="9">
        <v>100.706436</v>
      </c>
      <c r="H749" s="7" t="s">
        <v>576</v>
      </c>
      <c r="I749" s="9">
        <v>279.23</v>
      </c>
      <c r="J749" s="28"/>
      <c r="K749" s="28"/>
      <c r="L749" s="28"/>
      <c r="M749" s="28"/>
      <c r="N749" s="7" t="s">
        <v>583</v>
      </c>
      <c r="O749" s="7" t="s">
        <v>583</v>
      </c>
      <c r="P749" s="9">
        <v>1.0</v>
      </c>
      <c r="Q749" s="28"/>
      <c r="R749" s="9">
        <v>12.4</v>
      </c>
      <c r="S749" s="7" t="s">
        <v>584</v>
      </c>
      <c r="T749" s="7" t="b">
        <v>0</v>
      </c>
      <c r="U749" s="7" t="s">
        <v>585</v>
      </c>
      <c r="V749" s="27" t="s">
        <v>586</v>
      </c>
      <c r="W749" s="7" t="s">
        <v>5690</v>
      </c>
      <c r="X749" s="28"/>
      <c r="Y749" s="28"/>
      <c r="Z749" s="28"/>
    </row>
    <row r="750">
      <c r="A750" s="7" t="s">
        <v>5691</v>
      </c>
      <c r="B750" s="7" t="s">
        <v>5692</v>
      </c>
      <c r="C750" s="7" t="s">
        <v>5693</v>
      </c>
      <c r="D750" s="7" t="s">
        <v>286</v>
      </c>
      <c r="E750" s="7" t="s">
        <v>5694</v>
      </c>
      <c r="F750" s="9">
        <v>6.916742</v>
      </c>
      <c r="G750" s="9">
        <v>100.72962</v>
      </c>
      <c r="H750" s="7" t="s">
        <v>576</v>
      </c>
      <c r="I750" s="9">
        <v>2.85</v>
      </c>
      <c r="J750" s="28"/>
      <c r="K750" s="28"/>
      <c r="L750" s="28"/>
      <c r="M750" s="9"/>
      <c r="N750" s="7" t="s">
        <v>583</v>
      </c>
      <c r="O750" s="7" t="s">
        <v>583</v>
      </c>
      <c r="P750" s="9">
        <v>1.0</v>
      </c>
      <c r="Q750" s="28"/>
      <c r="R750" s="9">
        <v>12.4</v>
      </c>
      <c r="S750" s="7" t="s">
        <v>584</v>
      </c>
      <c r="T750" s="7" t="b">
        <v>0</v>
      </c>
      <c r="U750" s="7" t="s">
        <v>585</v>
      </c>
      <c r="V750" s="27" t="s">
        <v>586</v>
      </c>
      <c r="W750" s="7" t="s">
        <v>5695</v>
      </c>
      <c r="X750" s="28"/>
      <c r="Y750" s="28"/>
      <c r="Z750" s="28"/>
    </row>
    <row r="751">
      <c r="A751" s="7" t="s">
        <v>5697</v>
      </c>
      <c r="B751" s="7" t="s">
        <v>5698</v>
      </c>
      <c r="C751" s="7" t="s">
        <v>5699</v>
      </c>
      <c r="D751" s="7" t="s">
        <v>260</v>
      </c>
      <c r="E751" s="7" t="s">
        <v>5700</v>
      </c>
      <c r="F751" s="9">
        <v>9.252886</v>
      </c>
      <c r="G751" s="9">
        <v>98.85421</v>
      </c>
      <c r="H751" s="7" t="s">
        <v>923</v>
      </c>
      <c r="I751" s="9">
        <v>110.69</v>
      </c>
      <c r="J751" s="28"/>
      <c r="K751" s="28"/>
      <c r="L751" s="28"/>
      <c r="M751" s="9"/>
      <c r="N751" s="7" t="s">
        <v>583</v>
      </c>
      <c r="O751" s="7" t="s">
        <v>583</v>
      </c>
      <c r="P751" s="9">
        <v>1.0</v>
      </c>
      <c r="Q751" s="28"/>
      <c r="R751" s="9">
        <v>22.4</v>
      </c>
      <c r="S751" s="7" t="s">
        <v>584</v>
      </c>
      <c r="T751" s="7" t="b">
        <v>0</v>
      </c>
      <c r="U751" s="7" t="s">
        <v>585</v>
      </c>
      <c r="V751" s="27" t="s">
        <v>586</v>
      </c>
      <c r="W751" s="7" t="s">
        <v>5703</v>
      </c>
      <c r="X751" s="28"/>
      <c r="Y751" s="28"/>
      <c r="Z751" s="28"/>
    </row>
    <row r="752">
      <c r="A752" s="7" t="s">
        <v>5704</v>
      </c>
      <c r="B752" s="7" t="s">
        <v>5705</v>
      </c>
      <c r="C752" s="7" t="s">
        <v>5706</v>
      </c>
      <c r="D752" s="7" t="s">
        <v>183</v>
      </c>
      <c r="E752" s="7" t="s">
        <v>5707</v>
      </c>
      <c r="F752" s="9">
        <v>12.7065</v>
      </c>
      <c r="G752" s="9">
        <v>102.415</v>
      </c>
      <c r="H752" s="7" t="s">
        <v>923</v>
      </c>
      <c r="I752" s="9">
        <v>95.0</v>
      </c>
      <c r="J752" s="28"/>
      <c r="K752" s="28"/>
      <c r="L752" s="28"/>
      <c r="M752" s="9"/>
      <c r="N752" s="7" t="s">
        <v>583</v>
      </c>
      <c r="O752" s="7" t="s">
        <v>583</v>
      </c>
      <c r="P752" s="9">
        <v>1.0</v>
      </c>
      <c r="Q752" s="28"/>
      <c r="R752" s="9">
        <v>22.4</v>
      </c>
      <c r="S752" s="7" t="s">
        <v>584</v>
      </c>
      <c r="T752" s="7" t="b">
        <v>0</v>
      </c>
      <c r="U752" s="7" t="s">
        <v>585</v>
      </c>
      <c r="V752" s="27" t="s">
        <v>586</v>
      </c>
      <c r="W752" s="7" t="s">
        <v>5708</v>
      </c>
      <c r="X752" s="28"/>
      <c r="Y752" s="28"/>
      <c r="Z752" s="28"/>
    </row>
    <row r="753">
      <c r="A753" s="7" t="s">
        <v>5709</v>
      </c>
      <c r="B753" s="7" t="s">
        <v>5710</v>
      </c>
      <c r="C753" s="7" t="s">
        <v>5711</v>
      </c>
      <c r="D753" s="7" t="s">
        <v>175</v>
      </c>
      <c r="E753" s="7" t="s">
        <v>2687</v>
      </c>
      <c r="F753" s="9">
        <v>13.003336</v>
      </c>
      <c r="G753" s="9">
        <v>102.04864</v>
      </c>
      <c r="H753" s="7" t="s">
        <v>576</v>
      </c>
      <c r="I753" s="9">
        <v>52.36</v>
      </c>
      <c r="J753" s="28"/>
      <c r="K753" s="28"/>
      <c r="L753" s="28"/>
      <c r="M753" s="9"/>
      <c r="N753" s="7" t="s">
        <v>583</v>
      </c>
      <c r="O753" s="7" t="s">
        <v>583</v>
      </c>
      <c r="P753" s="9">
        <v>1.0</v>
      </c>
      <c r="Q753" s="28"/>
      <c r="R753" s="9">
        <v>12.4</v>
      </c>
      <c r="S753" s="7" t="s">
        <v>584</v>
      </c>
      <c r="T753" s="7" t="b">
        <v>0</v>
      </c>
      <c r="U753" s="7" t="s">
        <v>585</v>
      </c>
      <c r="V753" s="27" t="s">
        <v>586</v>
      </c>
      <c r="W753" s="7" t="s">
        <v>5712</v>
      </c>
      <c r="X753" s="28"/>
      <c r="Y753" s="28"/>
      <c r="Z753" s="28"/>
    </row>
    <row r="754">
      <c r="A754" s="7" t="s">
        <v>5713</v>
      </c>
      <c r="B754" s="7" t="s">
        <v>5714</v>
      </c>
      <c r="C754" s="7" t="s">
        <v>5715</v>
      </c>
      <c r="D754" s="7" t="s">
        <v>260</v>
      </c>
      <c r="E754" s="7" t="s">
        <v>5716</v>
      </c>
      <c r="F754" s="9">
        <v>8.889655</v>
      </c>
      <c r="G754" s="9">
        <v>98.82028</v>
      </c>
      <c r="H754" s="7" t="s">
        <v>576</v>
      </c>
      <c r="I754" s="9">
        <v>30.98</v>
      </c>
      <c r="J754" s="28"/>
      <c r="K754" s="28"/>
      <c r="L754" s="28"/>
      <c r="M754" s="28"/>
      <c r="N754" s="7" t="s">
        <v>583</v>
      </c>
      <c r="O754" s="7" t="s">
        <v>583</v>
      </c>
      <c r="P754" s="9">
        <v>1.0</v>
      </c>
      <c r="Q754" s="28"/>
      <c r="R754" s="9">
        <v>12.4</v>
      </c>
      <c r="S754" s="7" t="s">
        <v>584</v>
      </c>
      <c r="T754" s="7" t="b">
        <v>0</v>
      </c>
      <c r="U754" s="7" t="s">
        <v>585</v>
      </c>
      <c r="V754" s="27" t="s">
        <v>586</v>
      </c>
      <c r="W754" s="7" t="s">
        <v>5717</v>
      </c>
      <c r="X754" s="28"/>
      <c r="Y754" s="28"/>
      <c r="Z754" s="28"/>
    </row>
    <row r="755">
      <c r="A755" s="7" t="s">
        <v>5718</v>
      </c>
      <c r="B755" s="7" t="s">
        <v>5719</v>
      </c>
      <c r="C755" s="7" t="s">
        <v>5720</v>
      </c>
      <c r="D755" s="7" t="s">
        <v>65</v>
      </c>
      <c r="E755" s="7"/>
      <c r="F755" s="9">
        <v>18.810192</v>
      </c>
      <c r="G755" s="9">
        <v>99.50328</v>
      </c>
      <c r="H755" s="7" t="s">
        <v>576</v>
      </c>
      <c r="I755" s="9">
        <v>353.3</v>
      </c>
      <c r="J755" s="28"/>
      <c r="K755" s="28"/>
      <c r="L755" s="28"/>
      <c r="M755" s="9"/>
      <c r="N755" s="7" t="s">
        <v>583</v>
      </c>
      <c r="O755" s="7" t="s">
        <v>583</v>
      </c>
      <c r="P755" s="9">
        <v>1.0</v>
      </c>
      <c r="Q755" s="28"/>
      <c r="R755" s="9">
        <v>12.4</v>
      </c>
      <c r="S755" s="7" t="s">
        <v>584</v>
      </c>
      <c r="T755" s="7" t="b">
        <v>0</v>
      </c>
      <c r="U755" s="7" t="s">
        <v>585</v>
      </c>
      <c r="V755" s="27" t="s">
        <v>586</v>
      </c>
      <c r="W755" s="7" t="s">
        <v>5721</v>
      </c>
      <c r="X755" s="28"/>
      <c r="Y755" s="28"/>
      <c r="Z755" s="28"/>
    </row>
    <row r="756">
      <c r="A756" s="7" t="s">
        <v>5722</v>
      </c>
      <c r="B756" s="7" t="s">
        <v>5723</v>
      </c>
      <c r="C756" s="7" t="s">
        <v>5724</v>
      </c>
      <c r="D756" s="7" t="s">
        <v>9</v>
      </c>
      <c r="E756" s="7" t="s">
        <v>5725</v>
      </c>
      <c r="F756" s="9">
        <v>18.919376</v>
      </c>
      <c r="G756" s="9">
        <v>98.20057</v>
      </c>
      <c r="H756" s="7" t="s">
        <v>576</v>
      </c>
      <c r="I756" s="9">
        <v>1183.82</v>
      </c>
      <c r="J756" s="28"/>
      <c r="K756" s="28"/>
      <c r="L756" s="28"/>
      <c r="M756" s="9"/>
      <c r="N756" s="7" t="s">
        <v>583</v>
      </c>
      <c r="O756" s="7" t="s">
        <v>583</v>
      </c>
      <c r="P756" s="9">
        <v>1.0</v>
      </c>
      <c r="Q756" s="28"/>
      <c r="R756" s="9">
        <v>12.4</v>
      </c>
      <c r="S756" s="7" t="s">
        <v>584</v>
      </c>
      <c r="T756" s="7" t="b">
        <v>0</v>
      </c>
      <c r="U756" s="7" t="s">
        <v>585</v>
      </c>
      <c r="V756" s="27" t="s">
        <v>586</v>
      </c>
      <c r="W756" s="7" t="s">
        <v>5729</v>
      </c>
      <c r="X756" s="28"/>
      <c r="Y756" s="28"/>
      <c r="Z756" s="28"/>
    </row>
    <row r="757">
      <c r="A757" s="7" t="s">
        <v>5730</v>
      </c>
      <c r="B757" s="7" t="s">
        <v>5731</v>
      </c>
      <c r="C757" s="7" t="s">
        <v>5732</v>
      </c>
      <c r="D757" s="7" t="s">
        <v>186</v>
      </c>
      <c r="E757" s="7" t="s">
        <v>5733</v>
      </c>
      <c r="F757" s="9">
        <v>16.86068</v>
      </c>
      <c r="G757" s="9">
        <v>103.594856</v>
      </c>
      <c r="H757" s="7" t="s">
        <v>618</v>
      </c>
      <c r="I757" s="9">
        <v>164.47</v>
      </c>
      <c r="J757" s="28"/>
      <c r="K757" s="28"/>
      <c r="L757" s="28"/>
      <c r="M757" s="9"/>
      <c r="N757" s="7" t="s">
        <v>583</v>
      </c>
      <c r="O757" s="7" t="s">
        <v>583</v>
      </c>
      <c r="P757" s="9">
        <v>1.0</v>
      </c>
      <c r="Q757" s="28"/>
      <c r="R757" s="9">
        <v>82.4</v>
      </c>
      <c r="S757" s="7" t="s">
        <v>584</v>
      </c>
      <c r="T757" s="7" t="b">
        <v>0</v>
      </c>
      <c r="U757" s="7" t="s">
        <v>585</v>
      </c>
      <c r="V757" s="27" t="s">
        <v>586</v>
      </c>
      <c r="W757" s="7" t="s">
        <v>5734</v>
      </c>
      <c r="X757" s="28"/>
      <c r="Y757" s="28"/>
      <c r="Z757" s="28"/>
    </row>
    <row r="758">
      <c r="A758" s="7" t="s">
        <v>5735</v>
      </c>
      <c r="B758" s="7" t="s">
        <v>5736</v>
      </c>
      <c r="C758" s="7" t="s">
        <v>5737</v>
      </c>
      <c r="D758" s="7" t="s">
        <v>82</v>
      </c>
      <c r="E758" s="7"/>
      <c r="F758" s="9">
        <v>17.43854</v>
      </c>
      <c r="G758" s="9">
        <v>99.6882</v>
      </c>
      <c r="H758" s="7" t="s">
        <v>576</v>
      </c>
      <c r="I758" s="9">
        <v>70.57</v>
      </c>
      <c r="J758" s="28"/>
      <c r="K758" s="28"/>
      <c r="L758" s="28"/>
      <c r="M758" s="9"/>
      <c r="N758" s="7" t="s">
        <v>583</v>
      </c>
      <c r="O758" s="7" t="s">
        <v>583</v>
      </c>
      <c r="P758" s="9">
        <v>1.0</v>
      </c>
      <c r="Q758" s="28"/>
      <c r="R758" s="9">
        <v>12.4</v>
      </c>
      <c r="S758" s="7" t="s">
        <v>584</v>
      </c>
      <c r="T758" s="7" t="b">
        <v>0</v>
      </c>
      <c r="U758" s="7" t="s">
        <v>585</v>
      </c>
      <c r="V758" s="27" t="s">
        <v>586</v>
      </c>
      <c r="W758" s="7" t="s">
        <v>5740</v>
      </c>
      <c r="X758" s="28"/>
      <c r="Y758" s="28"/>
      <c r="Z758" s="28"/>
    </row>
    <row r="759">
      <c r="A759" s="7" t="s">
        <v>5741</v>
      </c>
      <c r="B759" s="7" t="s">
        <v>5742</v>
      </c>
      <c r="C759" s="7" t="s">
        <v>5743</v>
      </c>
      <c r="D759" s="7" t="s">
        <v>198</v>
      </c>
      <c r="E759" s="7"/>
      <c r="F759" s="9">
        <v>17.39577</v>
      </c>
      <c r="G759" s="9">
        <v>103.30043</v>
      </c>
      <c r="H759" s="7" t="s">
        <v>576</v>
      </c>
      <c r="I759" s="9">
        <v>163.99</v>
      </c>
      <c r="J759" s="28"/>
      <c r="K759" s="28"/>
      <c r="L759" s="28"/>
      <c r="M759" s="9"/>
      <c r="N759" s="7" t="s">
        <v>583</v>
      </c>
      <c r="O759" s="7" t="s">
        <v>583</v>
      </c>
      <c r="P759" s="9">
        <v>1.0</v>
      </c>
      <c r="Q759" s="28"/>
      <c r="R759" s="9">
        <v>12.4</v>
      </c>
      <c r="S759" s="7" t="s">
        <v>584</v>
      </c>
      <c r="T759" s="7" t="b">
        <v>0</v>
      </c>
      <c r="U759" s="7" t="s">
        <v>585</v>
      </c>
      <c r="V759" s="27" t="s">
        <v>586</v>
      </c>
      <c r="W759" s="7" t="s">
        <v>5744</v>
      </c>
      <c r="X759" s="28"/>
      <c r="Y759" s="28"/>
      <c r="Z759" s="28"/>
    </row>
    <row r="760">
      <c r="A760" s="7" t="s">
        <v>5745</v>
      </c>
      <c r="B760" s="7" t="s">
        <v>5746</v>
      </c>
      <c r="C760" s="7" t="s">
        <v>5747</v>
      </c>
      <c r="D760" s="7" t="s">
        <v>53</v>
      </c>
      <c r="E760" s="7" t="s">
        <v>2534</v>
      </c>
      <c r="F760" s="9">
        <v>20.19635</v>
      </c>
      <c r="G760" s="9">
        <v>100.44173</v>
      </c>
      <c r="H760" s="7" t="s">
        <v>576</v>
      </c>
      <c r="I760" s="9">
        <v>334.69</v>
      </c>
      <c r="J760" s="28"/>
      <c r="K760" s="28"/>
      <c r="L760" s="28"/>
      <c r="M760" s="9"/>
      <c r="N760" s="7" t="s">
        <v>583</v>
      </c>
      <c r="O760" s="7" t="s">
        <v>583</v>
      </c>
      <c r="P760" s="9">
        <v>1.0</v>
      </c>
      <c r="Q760" s="28"/>
      <c r="R760" s="9">
        <v>12.4</v>
      </c>
      <c r="S760" s="7" t="s">
        <v>584</v>
      </c>
      <c r="T760" s="7" t="b">
        <v>0</v>
      </c>
      <c r="U760" s="7" t="s">
        <v>585</v>
      </c>
      <c r="V760" s="27" t="s">
        <v>586</v>
      </c>
      <c r="W760" s="7" t="s">
        <v>5748</v>
      </c>
      <c r="X760" s="28"/>
      <c r="Y760" s="28"/>
      <c r="Z760" s="28"/>
    </row>
    <row r="761">
      <c r="A761" s="7" t="s">
        <v>5749</v>
      </c>
      <c r="B761" s="7" t="s">
        <v>5750</v>
      </c>
      <c r="C761" s="7" t="s">
        <v>5751</v>
      </c>
      <c r="D761" s="7" t="s">
        <v>74</v>
      </c>
      <c r="E761" s="7" t="s">
        <v>2799</v>
      </c>
      <c r="F761" s="9">
        <v>17.23818</v>
      </c>
      <c r="G761" s="9">
        <v>99.02626</v>
      </c>
      <c r="H761" s="7" t="s">
        <v>618</v>
      </c>
      <c r="I761" s="9">
        <v>128.0</v>
      </c>
      <c r="J761" s="28"/>
      <c r="K761" s="28"/>
      <c r="L761" s="28"/>
      <c r="M761" s="9"/>
      <c r="N761" s="7" t="s">
        <v>583</v>
      </c>
      <c r="O761" s="7" t="s">
        <v>583</v>
      </c>
      <c r="P761" s="9">
        <v>1.0</v>
      </c>
      <c r="Q761" s="28"/>
      <c r="R761" s="9">
        <v>82.4</v>
      </c>
      <c r="S761" s="7" t="s">
        <v>584</v>
      </c>
      <c r="T761" s="7" t="b">
        <v>0</v>
      </c>
      <c r="U761" s="7" t="s">
        <v>585</v>
      </c>
      <c r="V761" s="27" t="s">
        <v>586</v>
      </c>
      <c r="W761" s="7" t="s">
        <v>5752</v>
      </c>
      <c r="X761" s="28"/>
      <c r="Y761" s="28"/>
      <c r="Z761" s="28"/>
    </row>
    <row r="762">
      <c r="A762" s="7" t="s">
        <v>5754</v>
      </c>
      <c r="B762" s="7" t="s">
        <v>5755</v>
      </c>
      <c r="C762" s="7" t="s">
        <v>5757</v>
      </c>
      <c r="D762" s="7" t="s">
        <v>131</v>
      </c>
      <c r="E762" s="7"/>
      <c r="F762" s="9">
        <v>12.6096</v>
      </c>
      <c r="G762" s="9">
        <v>99.9453</v>
      </c>
      <c r="H762" s="7" t="s">
        <v>576</v>
      </c>
      <c r="I762" s="9">
        <v>7.27</v>
      </c>
      <c r="J762" s="28"/>
      <c r="K762" s="28"/>
      <c r="L762" s="28"/>
      <c r="M762" s="9"/>
      <c r="N762" s="7" t="s">
        <v>583</v>
      </c>
      <c r="O762" s="7" t="s">
        <v>583</v>
      </c>
      <c r="P762" s="9">
        <v>1.0</v>
      </c>
      <c r="Q762" s="28"/>
      <c r="R762" s="9">
        <v>12.4</v>
      </c>
      <c r="S762" s="7" t="s">
        <v>584</v>
      </c>
      <c r="T762" s="7" t="b">
        <v>0</v>
      </c>
      <c r="U762" s="7" t="s">
        <v>585</v>
      </c>
      <c r="V762" s="27" t="s">
        <v>586</v>
      </c>
      <c r="W762" s="7" t="s">
        <v>5759</v>
      </c>
      <c r="X762" s="28"/>
      <c r="Y762" s="28"/>
      <c r="Z762" s="28"/>
    </row>
    <row r="763">
      <c r="A763" s="7" t="s">
        <v>5760</v>
      </c>
      <c r="B763" s="7" t="s">
        <v>5761</v>
      </c>
      <c r="C763" s="7" t="s">
        <v>5762</v>
      </c>
      <c r="D763" s="7" t="s">
        <v>299</v>
      </c>
      <c r="E763" s="7" t="s">
        <v>2571</v>
      </c>
      <c r="F763" s="9">
        <v>6.866</v>
      </c>
      <c r="G763" s="9">
        <v>101.252129</v>
      </c>
      <c r="H763" s="7" t="s">
        <v>1951</v>
      </c>
      <c r="I763" s="9">
        <v>0.06</v>
      </c>
      <c r="J763" s="28"/>
      <c r="K763" s="28"/>
      <c r="L763" s="28"/>
      <c r="M763" s="9">
        <v>1.15</v>
      </c>
      <c r="N763" s="7" t="s">
        <v>583</v>
      </c>
      <c r="O763" s="7" t="s">
        <v>583</v>
      </c>
      <c r="P763" s="9">
        <v>1.0</v>
      </c>
      <c r="Q763" s="28"/>
      <c r="R763" s="9">
        <v>202.4</v>
      </c>
      <c r="S763" s="7" t="s">
        <v>584</v>
      </c>
      <c r="T763" s="7" t="b">
        <v>0</v>
      </c>
      <c r="U763" s="7" t="s">
        <v>585</v>
      </c>
      <c r="V763" s="27" t="s">
        <v>586</v>
      </c>
      <c r="W763" s="7" t="s">
        <v>5765</v>
      </c>
      <c r="X763" s="28"/>
      <c r="Y763" s="28"/>
      <c r="Z763" s="28"/>
    </row>
    <row r="764">
      <c r="A764" s="7" t="s">
        <v>5766</v>
      </c>
      <c r="B764" s="7" t="s">
        <v>5767</v>
      </c>
      <c r="C764" s="7" t="s">
        <v>5768</v>
      </c>
      <c r="D764" s="7" t="s">
        <v>53</v>
      </c>
      <c r="E764" s="7" t="s">
        <v>4438</v>
      </c>
      <c r="F764" s="9">
        <v>19.108244</v>
      </c>
      <c r="G764" s="9">
        <v>99.45519</v>
      </c>
      <c r="H764" s="7" t="s">
        <v>576</v>
      </c>
      <c r="I764" s="9">
        <v>663.2</v>
      </c>
      <c r="J764" s="28"/>
      <c r="K764" s="28"/>
      <c r="L764" s="28"/>
      <c r="M764" s="9"/>
      <c r="N764" s="7" t="s">
        <v>583</v>
      </c>
      <c r="O764" s="7" t="s">
        <v>583</v>
      </c>
      <c r="P764" s="9">
        <v>1.0</v>
      </c>
      <c r="Q764" s="28"/>
      <c r="R764" s="9">
        <v>12.4</v>
      </c>
      <c r="S764" s="7" t="s">
        <v>584</v>
      </c>
      <c r="T764" s="7" t="b">
        <v>0</v>
      </c>
      <c r="U764" s="7" t="s">
        <v>585</v>
      </c>
      <c r="V764" s="27" t="s">
        <v>586</v>
      </c>
      <c r="W764" s="7" t="s">
        <v>5769</v>
      </c>
      <c r="X764" s="28"/>
      <c r="Y764" s="28"/>
      <c r="Z764" s="28"/>
    </row>
    <row r="765">
      <c r="A765" s="7" t="s">
        <v>5770</v>
      </c>
      <c r="B765" s="7" t="s">
        <v>5771</v>
      </c>
      <c r="C765" s="7" t="s">
        <v>5772</v>
      </c>
      <c r="D765" s="7" t="s">
        <v>186</v>
      </c>
      <c r="E765" s="7" t="s">
        <v>3128</v>
      </c>
      <c r="F765" s="9">
        <v>16.581209</v>
      </c>
      <c r="G765" s="9">
        <v>103.437111</v>
      </c>
      <c r="H765" s="7" t="s">
        <v>618</v>
      </c>
      <c r="I765" s="9">
        <v>137.66</v>
      </c>
      <c r="J765" s="28"/>
      <c r="K765" s="28"/>
      <c r="L765" s="28"/>
      <c r="M765" s="9"/>
      <c r="N765" s="7" t="s">
        <v>583</v>
      </c>
      <c r="O765" s="7" t="s">
        <v>583</v>
      </c>
      <c r="P765" s="9">
        <v>1.0</v>
      </c>
      <c r="Q765" s="28"/>
      <c r="R765" s="9">
        <v>82.4</v>
      </c>
      <c r="S765" s="7" t="s">
        <v>584</v>
      </c>
      <c r="T765" s="7" t="b">
        <v>0</v>
      </c>
      <c r="U765" s="7" t="s">
        <v>585</v>
      </c>
      <c r="V765" s="27" t="s">
        <v>586</v>
      </c>
      <c r="W765" s="7" t="s">
        <v>5774</v>
      </c>
      <c r="X765" s="28"/>
      <c r="Y765" s="28"/>
      <c r="Z765" s="28"/>
    </row>
    <row r="766">
      <c r="A766" s="7" t="s">
        <v>5776</v>
      </c>
      <c r="B766" s="7" t="s">
        <v>5777</v>
      </c>
      <c r="C766" s="7" t="s">
        <v>5778</v>
      </c>
      <c r="D766" s="7" t="s">
        <v>60</v>
      </c>
      <c r="E766" s="7" t="s">
        <v>5780</v>
      </c>
      <c r="F766" s="9">
        <v>19.026337</v>
      </c>
      <c r="G766" s="9">
        <v>100.73505</v>
      </c>
      <c r="H766" s="7" t="s">
        <v>576</v>
      </c>
      <c r="I766" s="9">
        <v>263.72</v>
      </c>
      <c r="J766" s="28"/>
      <c r="K766" s="28"/>
      <c r="L766" s="28"/>
      <c r="M766" s="9"/>
      <c r="N766" s="7" t="s">
        <v>583</v>
      </c>
      <c r="O766" s="7" t="s">
        <v>583</v>
      </c>
      <c r="P766" s="9">
        <v>1.0</v>
      </c>
      <c r="Q766" s="28"/>
      <c r="R766" s="9">
        <v>12.4</v>
      </c>
      <c r="S766" s="7" t="s">
        <v>584</v>
      </c>
      <c r="T766" s="7" t="b">
        <v>0</v>
      </c>
      <c r="U766" s="7" t="s">
        <v>585</v>
      </c>
      <c r="V766" s="27" t="s">
        <v>586</v>
      </c>
      <c r="W766" s="7" t="s">
        <v>5781</v>
      </c>
      <c r="X766" s="28"/>
      <c r="Y766" s="28"/>
      <c r="Z766" s="28"/>
    </row>
    <row r="767">
      <c r="A767" s="7" t="s">
        <v>5782</v>
      </c>
      <c r="B767" s="7" t="s">
        <v>5784</v>
      </c>
      <c r="C767" s="7" t="s">
        <v>5785</v>
      </c>
      <c r="D767" s="7" t="s">
        <v>63</v>
      </c>
      <c r="E767" s="7"/>
      <c r="F767" s="9">
        <v>19.019968</v>
      </c>
      <c r="G767" s="9">
        <v>100.264275</v>
      </c>
      <c r="H767" s="7" t="s">
        <v>576</v>
      </c>
      <c r="I767" s="9">
        <v>269.62</v>
      </c>
      <c r="J767" s="28"/>
      <c r="K767" s="28"/>
      <c r="L767" s="28"/>
      <c r="M767" s="9"/>
      <c r="N767" s="7" t="s">
        <v>583</v>
      </c>
      <c r="O767" s="7" t="s">
        <v>583</v>
      </c>
      <c r="P767" s="9">
        <v>1.0</v>
      </c>
      <c r="Q767" s="28"/>
      <c r="R767" s="9">
        <v>12.4</v>
      </c>
      <c r="S767" s="7" t="s">
        <v>584</v>
      </c>
      <c r="T767" s="7" t="b">
        <v>0</v>
      </c>
      <c r="U767" s="7" t="s">
        <v>585</v>
      </c>
      <c r="V767" s="27" t="s">
        <v>586</v>
      </c>
      <c r="W767" s="7" t="s">
        <v>5787</v>
      </c>
      <c r="X767" s="28"/>
      <c r="Y767" s="28"/>
      <c r="Z767" s="28"/>
    </row>
    <row r="768">
      <c r="A768" s="7" t="s">
        <v>5788</v>
      </c>
      <c r="B768" s="7" t="s">
        <v>5789</v>
      </c>
      <c r="C768" s="7" t="s">
        <v>5790</v>
      </c>
      <c r="D768" s="7" t="s">
        <v>260</v>
      </c>
      <c r="E768" s="7" t="s">
        <v>5791</v>
      </c>
      <c r="F768" s="9">
        <v>9.021284</v>
      </c>
      <c r="G768" s="9">
        <v>99.633125</v>
      </c>
      <c r="H768" s="7" t="s">
        <v>5792</v>
      </c>
      <c r="I768" s="9">
        <v>42.3</v>
      </c>
      <c r="J768" s="28"/>
      <c r="K768" s="28"/>
      <c r="L768" s="28"/>
      <c r="M768" s="9"/>
      <c r="N768" s="7" t="s">
        <v>583</v>
      </c>
      <c r="O768" s="7" t="s">
        <v>583</v>
      </c>
      <c r="P768" s="9">
        <v>1.0</v>
      </c>
      <c r="Q768" s="28"/>
      <c r="R768" s="9">
        <v>332.4</v>
      </c>
      <c r="S768" s="7" t="s">
        <v>584</v>
      </c>
      <c r="T768" s="7" t="b">
        <v>0</v>
      </c>
      <c r="U768" s="7" t="s">
        <v>585</v>
      </c>
      <c r="V768" s="27" t="s">
        <v>586</v>
      </c>
      <c r="W768" s="7" t="s">
        <v>5793</v>
      </c>
      <c r="X768" s="28"/>
      <c r="Y768" s="28"/>
      <c r="Z768" s="28"/>
    </row>
    <row r="769">
      <c r="A769" s="7" t="s">
        <v>5794</v>
      </c>
      <c r="B769" s="7" t="s">
        <v>5795</v>
      </c>
      <c r="C769" s="7" t="s">
        <v>5796</v>
      </c>
      <c r="D769" s="7" t="s">
        <v>65</v>
      </c>
      <c r="E769" s="7"/>
      <c r="F769" s="9">
        <v>18.889063</v>
      </c>
      <c r="G769" s="9">
        <v>99.940125</v>
      </c>
      <c r="H769" s="7" t="s">
        <v>576</v>
      </c>
      <c r="I769" s="9">
        <v>332.29</v>
      </c>
      <c r="J769" s="28"/>
      <c r="K769" s="28"/>
      <c r="L769" s="28"/>
      <c r="M769" s="28"/>
      <c r="N769" s="7" t="s">
        <v>583</v>
      </c>
      <c r="O769" s="7" t="s">
        <v>583</v>
      </c>
      <c r="P769" s="9">
        <v>1.0</v>
      </c>
      <c r="Q769" s="28"/>
      <c r="R769" s="9">
        <v>12.4</v>
      </c>
      <c r="S769" s="7" t="s">
        <v>584</v>
      </c>
      <c r="T769" s="7" t="b">
        <v>0</v>
      </c>
      <c r="U769" s="7" t="s">
        <v>585</v>
      </c>
      <c r="V769" s="27" t="s">
        <v>586</v>
      </c>
      <c r="W769" s="7" t="s">
        <v>5797</v>
      </c>
      <c r="X769" s="28"/>
      <c r="Y769" s="28"/>
      <c r="Z769" s="28"/>
    </row>
    <row r="770">
      <c r="A770" s="7" t="s">
        <v>5798</v>
      </c>
      <c r="B770" s="7" t="s">
        <v>5799</v>
      </c>
      <c r="C770" s="7" t="s">
        <v>5800</v>
      </c>
      <c r="D770" s="7" t="s">
        <v>259</v>
      </c>
      <c r="E770" s="7" t="s">
        <v>5024</v>
      </c>
      <c r="F770" s="9">
        <v>8.40836</v>
      </c>
      <c r="G770" s="9">
        <v>99.797852</v>
      </c>
      <c r="H770" s="7" t="s">
        <v>1951</v>
      </c>
      <c r="I770" s="9">
        <v>31.43</v>
      </c>
      <c r="J770" s="28"/>
      <c r="K770" s="28"/>
      <c r="L770" s="28"/>
      <c r="M770" s="9"/>
      <c r="N770" s="7" t="s">
        <v>583</v>
      </c>
      <c r="O770" s="7" t="s">
        <v>583</v>
      </c>
      <c r="P770" s="9">
        <v>1.0</v>
      </c>
      <c r="Q770" s="28"/>
      <c r="R770" s="9">
        <v>202.4</v>
      </c>
      <c r="S770" s="7" t="s">
        <v>584</v>
      </c>
      <c r="T770" s="7" t="b">
        <v>0</v>
      </c>
      <c r="U770" s="7" t="s">
        <v>585</v>
      </c>
      <c r="V770" s="27" t="s">
        <v>586</v>
      </c>
      <c r="W770" s="7" t="s">
        <v>5804</v>
      </c>
      <c r="X770" s="28"/>
      <c r="Y770" s="28"/>
      <c r="Z770" s="28"/>
    </row>
    <row r="771">
      <c r="A771" s="7" t="s">
        <v>5805</v>
      </c>
      <c r="B771" s="7" t="s">
        <v>5806</v>
      </c>
      <c r="C771" s="7" t="s">
        <v>5807</v>
      </c>
      <c r="D771" s="7" t="s">
        <v>60</v>
      </c>
      <c r="E771" s="7" t="s">
        <v>5808</v>
      </c>
      <c r="F771" s="9">
        <v>19.432049</v>
      </c>
      <c r="G771" s="9">
        <v>101.15271</v>
      </c>
      <c r="H771" s="7" t="s">
        <v>576</v>
      </c>
      <c r="I771" s="9">
        <v>621.05</v>
      </c>
      <c r="J771" s="28"/>
      <c r="K771" s="28"/>
      <c r="L771" s="28"/>
      <c r="M771" s="9"/>
      <c r="N771" s="7" t="s">
        <v>583</v>
      </c>
      <c r="O771" s="7" t="s">
        <v>583</v>
      </c>
      <c r="P771" s="9">
        <v>1.0</v>
      </c>
      <c r="Q771" s="28"/>
      <c r="R771" s="9">
        <v>12.4</v>
      </c>
      <c r="S771" s="7" t="s">
        <v>584</v>
      </c>
      <c r="T771" s="7" t="b">
        <v>0</v>
      </c>
      <c r="U771" s="7" t="s">
        <v>585</v>
      </c>
      <c r="V771" s="27" t="s">
        <v>586</v>
      </c>
      <c r="W771" s="7" t="s">
        <v>5810</v>
      </c>
      <c r="X771" s="28"/>
      <c r="Y771" s="28"/>
      <c r="Z771" s="28"/>
    </row>
    <row r="772">
      <c r="A772" s="7" t="s">
        <v>5811</v>
      </c>
      <c r="B772" s="7" t="s">
        <v>5813</v>
      </c>
      <c r="C772" s="7" t="s">
        <v>5814</v>
      </c>
      <c r="D772" s="7" t="s">
        <v>259</v>
      </c>
      <c r="E772" s="7" t="s">
        <v>5815</v>
      </c>
      <c r="F772" s="9">
        <v>7.889575</v>
      </c>
      <c r="G772" s="9">
        <v>99.87421</v>
      </c>
      <c r="H772" s="7" t="s">
        <v>576</v>
      </c>
      <c r="I772" s="9">
        <v>23.74</v>
      </c>
      <c r="J772" s="28"/>
      <c r="K772" s="28"/>
      <c r="L772" s="28"/>
      <c r="M772" s="9"/>
      <c r="N772" s="7" t="s">
        <v>583</v>
      </c>
      <c r="O772" s="7" t="s">
        <v>583</v>
      </c>
      <c r="P772" s="9">
        <v>1.0</v>
      </c>
      <c r="Q772" s="28"/>
      <c r="R772" s="9">
        <v>12.4</v>
      </c>
      <c r="S772" s="7" t="s">
        <v>584</v>
      </c>
      <c r="T772" s="7" t="b">
        <v>0</v>
      </c>
      <c r="U772" s="7" t="s">
        <v>585</v>
      </c>
      <c r="V772" s="27" t="s">
        <v>586</v>
      </c>
      <c r="W772" s="7" t="s">
        <v>5817</v>
      </c>
      <c r="X772" s="28"/>
      <c r="Y772" s="28"/>
      <c r="Z772" s="28"/>
    </row>
    <row r="773">
      <c r="A773" s="7" t="s">
        <v>5818</v>
      </c>
      <c r="B773" s="7" t="s">
        <v>5819</v>
      </c>
      <c r="C773" s="7" t="s">
        <v>5820</v>
      </c>
      <c r="D773" s="7" t="s">
        <v>63</v>
      </c>
      <c r="E773" s="7"/>
      <c r="F773" s="9">
        <v>19.337248</v>
      </c>
      <c r="G773" s="9">
        <v>100.43124</v>
      </c>
      <c r="H773" s="7" t="s">
        <v>576</v>
      </c>
      <c r="I773" s="9">
        <v>424.51</v>
      </c>
      <c r="J773" s="28"/>
      <c r="K773" s="28"/>
      <c r="L773" s="28"/>
      <c r="M773" s="28"/>
      <c r="N773" s="7" t="s">
        <v>583</v>
      </c>
      <c r="O773" s="7" t="s">
        <v>583</v>
      </c>
      <c r="P773" s="9">
        <v>1.0</v>
      </c>
      <c r="Q773" s="28"/>
      <c r="R773" s="9">
        <v>12.4</v>
      </c>
      <c r="S773" s="7" t="s">
        <v>584</v>
      </c>
      <c r="T773" s="7" t="b">
        <v>0</v>
      </c>
      <c r="U773" s="7" t="s">
        <v>585</v>
      </c>
      <c r="V773" s="27" t="s">
        <v>586</v>
      </c>
      <c r="W773" s="7" t="s">
        <v>5821</v>
      </c>
      <c r="X773" s="28"/>
      <c r="Y773" s="28"/>
      <c r="Z773" s="28"/>
    </row>
    <row r="774">
      <c r="A774" s="7" t="s">
        <v>5822</v>
      </c>
      <c r="B774" s="7" t="s">
        <v>5823</v>
      </c>
      <c r="C774" s="7" t="s">
        <v>5824</v>
      </c>
      <c r="D774" s="7" t="s">
        <v>94</v>
      </c>
      <c r="E774" s="7" t="s">
        <v>5825</v>
      </c>
      <c r="F774" s="9">
        <v>15.51829</v>
      </c>
      <c r="G774" s="9">
        <v>99.483528</v>
      </c>
      <c r="H774" s="7" t="s">
        <v>618</v>
      </c>
      <c r="I774" s="9">
        <v>122.67</v>
      </c>
      <c r="J774" s="28"/>
      <c r="K774" s="28"/>
      <c r="L774" s="28"/>
      <c r="M774" s="28"/>
      <c r="N774" s="7" t="s">
        <v>583</v>
      </c>
      <c r="O774" s="7" t="s">
        <v>583</v>
      </c>
      <c r="P774" s="9">
        <v>1.0</v>
      </c>
      <c r="Q774" s="28"/>
      <c r="R774" s="9">
        <v>82.4</v>
      </c>
      <c r="S774" s="7" t="s">
        <v>584</v>
      </c>
      <c r="T774" s="7" t="b">
        <v>0</v>
      </c>
      <c r="U774" s="7" t="s">
        <v>585</v>
      </c>
      <c r="V774" s="27" t="s">
        <v>586</v>
      </c>
      <c r="W774" s="7" t="s">
        <v>5826</v>
      </c>
      <c r="X774" s="28"/>
      <c r="Y774" s="28"/>
      <c r="Z774" s="28"/>
    </row>
    <row r="775">
      <c r="A775" s="7" t="s">
        <v>5827</v>
      </c>
      <c r="B775" s="7" t="s">
        <v>5828</v>
      </c>
      <c r="C775" s="7" t="s">
        <v>5829</v>
      </c>
      <c r="D775" s="7" t="s">
        <v>186</v>
      </c>
      <c r="E775" s="7" t="s">
        <v>5830</v>
      </c>
      <c r="F775" s="9">
        <v>16.665831</v>
      </c>
      <c r="G775" s="9">
        <v>103.308609</v>
      </c>
      <c r="H775" s="7" t="s">
        <v>3412</v>
      </c>
      <c r="I775" s="9">
        <v>172.01</v>
      </c>
      <c r="J775" s="28"/>
      <c r="K775" s="28"/>
      <c r="L775" s="28"/>
      <c r="M775" s="28"/>
      <c r="N775" s="7" t="s">
        <v>583</v>
      </c>
      <c r="O775" s="7" t="s">
        <v>583</v>
      </c>
      <c r="P775" s="9">
        <v>1.0</v>
      </c>
      <c r="Q775" s="28"/>
      <c r="R775" s="9">
        <v>562.4</v>
      </c>
      <c r="S775" s="7" t="s">
        <v>584</v>
      </c>
      <c r="T775" s="7" t="b">
        <v>0</v>
      </c>
      <c r="U775" s="7" t="s">
        <v>585</v>
      </c>
      <c r="V775" s="27" t="s">
        <v>586</v>
      </c>
      <c r="W775" s="7" t="s">
        <v>5831</v>
      </c>
      <c r="X775" s="28"/>
      <c r="Y775" s="28"/>
      <c r="Z775" s="28"/>
    </row>
    <row r="776">
      <c r="A776" s="7" t="s">
        <v>5832</v>
      </c>
      <c r="B776" s="7" t="s">
        <v>5833</v>
      </c>
      <c r="C776" s="7" t="s">
        <v>5834</v>
      </c>
      <c r="D776" s="7" t="s">
        <v>9</v>
      </c>
      <c r="E776" s="7"/>
      <c r="F776" s="9">
        <v>19.507914</v>
      </c>
      <c r="G776" s="9">
        <v>98.95879</v>
      </c>
      <c r="H776" s="7" t="s">
        <v>576</v>
      </c>
      <c r="I776" s="9">
        <v>428.56</v>
      </c>
      <c r="J776" s="28"/>
      <c r="K776" s="28"/>
      <c r="L776" s="28"/>
      <c r="M776" s="28"/>
      <c r="N776" s="7" t="s">
        <v>583</v>
      </c>
      <c r="O776" s="7" t="s">
        <v>583</v>
      </c>
      <c r="P776" s="9">
        <v>1.0</v>
      </c>
      <c r="Q776" s="28"/>
      <c r="R776" s="9">
        <v>12.4</v>
      </c>
      <c r="S776" s="7" t="s">
        <v>584</v>
      </c>
      <c r="T776" s="7" t="b">
        <v>0</v>
      </c>
      <c r="U776" s="7" t="s">
        <v>585</v>
      </c>
      <c r="V776" s="27" t="s">
        <v>586</v>
      </c>
      <c r="W776" s="7" t="s">
        <v>5838</v>
      </c>
      <c r="X776" s="28"/>
      <c r="Y776" s="28"/>
      <c r="Z776" s="28"/>
    </row>
    <row r="777">
      <c r="A777" s="7" t="s">
        <v>5839</v>
      </c>
      <c r="B777" s="7" t="s">
        <v>5840</v>
      </c>
      <c r="C777" s="7" t="s">
        <v>5841</v>
      </c>
      <c r="D777" s="7" t="s">
        <v>259</v>
      </c>
      <c r="E777" s="7" t="s">
        <v>5842</v>
      </c>
      <c r="F777" s="9">
        <v>7.8768</v>
      </c>
      <c r="G777" s="9">
        <v>99.93328</v>
      </c>
      <c r="H777" s="7" t="s">
        <v>576</v>
      </c>
      <c r="I777" s="9">
        <v>13.27</v>
      </c>
      <c r="J777" s="28"/>
      <c r="K777" s="28"/>
      <c r="L777" s="28"/>
      <c r="M777" s="9"/>
      <c r="N777" s="7" t="s">
        <v>583</v>
      </c>
      <c r="O777" s="7" t="s">
        <v>583</v>
      </c>
      <c r="P777" s="9">
        <v>1.0</v>
      </c>
      <c r="Q777" s="28"/>
      <c r="R777" s="9">
        <v>12.4</v>
      </c>
      <c r="S777" s="7" t="s">
        <v>584</v>
      </c>
      <c r="T777" s="7" t="b">
        <v>0</v>
      </c>
      <c r="U777" s="7" t="s">
        <v>585</v>
      </c>
      <c r="V777" s="27" t="s">
        <v>586</v>
      </c>
      <c r="W777" s="7" t="s">
        <v>5844</v>
      </c>
      <c r="X777" s="28"/>
      <c r="Y777" s="28"/>
      <c r="Z777" s="28"/>
    </row>
    <row r="778">
      <c r="A778" s="7" t="s">
        <v>5846</v>
      </c>
      <c r="B778" s="7" t="s">
        <v>5847</v>
      </c>
      <c r="C778" s="7" t="s">
        <v>5848</v>
      </c>
      <c r="D778" s="7" t="s">
        <v>301</v>
      </c>
      <c r="E778" s="7" t="s">
        <v>5849</v>
      </c>
      <c r="F778" s="9">
        <v>5.785312</v>
      </c>
      <c r="G778" s="9">
        <v>101.058685</v>
      </c>
      <c r="H778" s="7" t="s">
        <v>576</v>
      </c>
      <c r="I778" s="9">
        <v>281.7</v>
      </c>
      <c r="J778" s="28"/>
      <c r="K778" s="28"/>
      <c r="L778" s="28"/>
      <c r="M778" s="9"/>
      <c r="N778" s="7" t="s">
        <v>583</v>
      </c>
      <c r="O778" s="7" t="s">
        <v>583</v>
      </c>
      <c r="P778" s="9">
        <v>1.0</v>
      </c>
      <c r="Q778" s="28"/>
      <c r="R778" s="9">
        <v>12.4</v>
      </c>
      <c r="S778" s="7" t="s">
        <v>584</v>
      </c>
      <c r="T778" s="7" t="b">
        <v>0</v>
      </c>
      <c r="U778" s="7" t="s">
        <v>585</v>
      </c>
      <c r="V778" s="27" t="s">
        <v>586</v>
      </c>
      <c r="W778" s="7" t="s">
        <v>5850</v>
      </c>
      <c r="X778" s="28"/>
      <c r="Y778" s="28"/>
      <c r="Z778" s="28"/>
    </row>
    <row r="779">
      <c r="A779" s="7" t="s">
        <v>5851</v>
      </c>
      <c r="B779" s="7" t="s">
        <v>5852</v>
      </c>
      <c r="C779" s="7" t="s">
        <v>5853</v>
      </c>
      <c r="D779" s="7" t="s">
        <v>9</v>
      </c>
      <c r="E779" s="7" t="s">
        <v>5854</v>
      </c>
      <c r="F779" s="9">
        <v>18.885838</v>
      </c>
      <c r="G779" s="9">
        <v>98.826904</v>
      </c>
      <c r="H779" s="7" t="s">
        <v>576</v>
      </c>
      <c r="I779" s="9">
        <v>735.24</v>
      </c>
      <c r="J779" s="28"/>
      <c r="K779" s="28"/>
      <c r="L779" s="28"/>
      <c r="M779" s="28"/>
      <c r="N779" s="7" t="s">
        <v>583</v>
      </c>
      <c r="O779" s="7" t="s">
        <v>583</v>
      </c>
      <c r="P779" s="9">
        <v>1.0</v>
      </c>
      <c r="Q779" s="28"/>
      <c r="R779" s="9">
        <v>12.4</v>
      </c>
      <c r="S779" s="7" t="s">
        <v>584</v>
      </c>
      <c r="T779" s="7" t="b">
        <v>0</v>
      </c>
      <c r="U779" s="7" t="s">
        <v>585</v>
      </c>
      <c r="V779" s="27" t="s">
        <v>586</v>
      </c>
      <c r="W779" s="7" t="s">
        <v>5855</v>
      </c>
      <c r="X779" s="28"/>
      <c r="Y779" s="28"/>
      <c r="Z779" s="28"/>
    </row>
    <row r="780">
      <c r="A780" s="7" t="s">
        <v>5856</v>
      </c>
      <c r="B780" s="7" t="s">
        <v>5857</v>
      </c>
      <c r="C780" s="7" t="s">
        <v>5858</v>
      </c>
      <c r="D780" s="7" t="s">
        <v>121</v>
      </c>
      <c r="E780" s="7" t="s">
        <v>5859</v>
      </c>
      <c r="F780" s="9">
        <v>12.81504</v>
      </c>
      <c r="G780" s="9">
        <v>99.700867</v>
      </c>
      <c r="H780" s="7" t="s">
        <v>618</v>
      </c>
      <c r="I780" s="9">
        <v>39.39</v>
      </c>
      <c r="J780" s="28"/>
      <c r="K780" s="28"/>
      <c r="L780" s="28"/>
      <c r="M780" s="9"/>
      <c r="N780" s="7" t="s">
        <v>583</v>
      </c>
      <c r="O780" s="7" t="s">
        <v>583</v>
      </c>
      <c r="P780" s="9">
        <v>1.0</v>
      </c>
      <c r="Q780" s="28"/>
      <c r="R780" s="9">
        <v>82.4</v>
      </c>
      <c r="S780" s="7" t="s">
        <v>584</v>
      </c>
      <c r="T780" s="7" t="b">
        <v>0</v>
      </c>
      <c r="U780" s="7" t="s">
        <v>585</v>
      </c>
      <c r="V780" s="27" t="s">
        <v>586</v>
      </c>
      <c r="W780" s="7" t="s">
        <v>5860</v>
      </c>
      <c r="X780" s="28"/>
      <c r="Y780" s="28"/>
      <c r="Z780" s="28"/>
    </row>
    <row r="781">
      <c r="A781" s="7" t="s">
        <v>5861</v>
      </c>
      <c r="B781" s="7" t="s">
        <v>5862</v>
      </c>
      <c r="C781" s="7" t="s">
        <v>5863</v>
      </c>
      <c r="D781" s="7" t="s">
        <v>60</v>
      </c>
      <c r="E781" s="7" t="s">
        <v>3652</v>
      </c>
      <c r="F781" s="9">
        <v>18.846567</v>
      </c>
      <c r="G781" s="9">
        <v>101.028946</v>
      </c>
      <c r="H781" s="7" t="s">
        <v>576</v>
      </c>
      <c r="I781" s="9">
        <v>356.72</v>
      </c>
      <c r="J781" s="28"/>
      <c r="K781" s="28"/>
      <c r="L781" s="28"/>
      <c r="M781" s="28"/>
      <c r="N781" s="7" t="s">
        <v>583</v>
      </c>
      <c r="O781" s="7" t="s">
        <v>583</v>
      </c>
      <c r="P781" s="9">
        <v>1.0</v>
      </c>
      <c r="Q781" s="28"/>
      <c r="R781" s="9">
        <v>12.4</v>
      </c>
      <c r="S781" s="7" t="s">
        <v>584</v>
      </c>
      <c r="T781" s="7" t="b">
        <v>0</v>
      </c>
      <c r="U781" s="7" t="s">
        <v>585</v>
      </c>
      <c r="V781" s="27" t="s">
        <v>586</v>
      </c>
      <c r="W781" s="7" t="s">
        <v>5867</v>
      </c>
      <c r="X781" s="28"/>
      <c r="Y781" s="28"/>
      <c r="Z781" s="28"/>
    </row>
    <row r="782">
      <c r="A782" s="7" t="s">
        <v>5868</v>
      </c>
      <c r="B782" s="7" t="s">
        <v>5869</v>
      </c>
      <c r="C782" s="7" t="s">
        <v>5870</v>
      </c>
      <c r="D782" s="7" t="s">
        <v>260</v>
      </c>
      <c r="E782" s="7" t="s">
        <v>5871</v>
      </c>
      <c r="F782" s="9">
        <v>8.935923</v>
      </c>
      <c r="G782" s="9">
        <v>99.60879</v>
      </c>
      <c r="H782" s="7" t="s">
        <v>576</v>
      </c>
      <c r="I782" s="9">
        <v>66.54</v>
      </c>
      <c r="J782" s="28"/>
      <c r="K782" s="28"/>
      <c r="L782" s="28"/>
      <c r="M782" s="9"/>
      <c r="N782" s="7" t="s">
        <v>583</v>
      </c>
      <c r="O782" s="7" t="s">
        <v>583</v>
      </c>
      <c r="P782" s="9">
        <v>1.0</v>
      </c>
      <c r="Q782" s="28"/>
      <c r="R782" s="9">
        <v>12.4</v>
      </c>
      <c r="S782" s="7" t="s">
        <v>584</v>
      </c>
      <c r="T782" s="7" t="b">
        <v>0</v>
      </c>
      <c r="U782" s="7" t="s">
        <v>585</v>
      </c>
      <c r="V782" s="27" t="s">
        <v>586</v>
      </c>
      <c r="W782" s="7" t="s">
        <v>5874</v>
      </c>
      <c r="X782" s="28"/>
      <c r="Y782" s="28"/>
      <c r="Z782" s="28"/>
    </row>
    <row r="783">
      <c r="A783" s="7" t="s">
        <v>5875</v>
      </c>
      <c r="B783" s="7" t="s">
        <v>5876</v>
      </c>
      <c r="C783" s="7" t="s">
        <v>5878</v>
      </c>
      <c r="D783" s="7" t="s">
        <v>301</v>
      </c>
      <c r="E783" s="7" t="s">
        <v>2571</v>
      </c>
      <c r="F783" s="9">
        <v>6.411704</v>
      </c>
      <c r="G783" s="9">
        <v>101.27776</v>
      </c>
      <c r="H783" s="7" t="s">
        <v>576</v>
      </c>
      <c r="I783" s="9">
        <v>5.9</v>
      </c>
      <c r="J783" s="28"/>
      <c r="K783" s="28"/>
      <c r="L783" s="28"/>
      <c r="M783" s="9"/>
      <c r="N783" s="7" t="s">
        <v>583</v>
      </c>
      <c r="O783" s="7" t="s">
        <v>583</v>
      </c>
      <c r="P783" s="9">
        <v>1.0</v>
      </c>
      <c r="Q783" s="28"/>
      <c r="R783" s="9">
        <v>12.4</v>
      </c>
      <c r="S783" s="7" t="s">
        <v>584</v>
      </c>
      <c r="T783" s="7" t="b">
        <v>0</v>
      </c>
      <c r="U783" s="7" t="s">
        <v>585</v>
      </c>
      <c r="V783" s="27" t="s">
        <v>586</v>
      </c>
      <c r="W783" s="7" t="s">
        <v>5879</v>
      </c>
      <c r="X783" s="28"/>
      <c r="Y783" s="28"/>
      <c r="Z783" s="28"/>
    </row>
    <row r="784">
      <c r="A784" s="7" t="s">
        <v>5880</v>
      </c>
      <c r="B784" s="7" t="s">
        <v>5881</v>
      </c>
      <c r="C784" s="7" t="s">
        <v>5882</v>
      </c>
      <c r="D784" s="7" t="s">
        <v>198</v>
      </c>
      <c r="E784" s="7"/>
      <c r="F784" s="9">
        <v>17.38925</v>
      </c>
      <c r="G784" s="9">
        <v>103.08734</v>
      </c>
      <c r="H784" s="7" t="s">
        <v>576</v>
      </c>
      <c r="I784" s="9">
        <v>162.92</v>
      </c>
      <c r="J784" s="28"/>
      <c r="K784" s="28"/>
      <c r="L784" s="28"/>
      <c r="M784" s="9"/>
      <c r="N784" s="7" t="s">
        <v>583</v>
      </c>
      <c r="O784" s="7" t="s">
        <v>583</v>
      </c>
      <c r="P784" s="9">
        <v>1.0</v>
      </c>
      <c r="Q784" s="28"/>
      <c r="R784" s="9">
        <v>12.4</v>
      </c>
      <c r="S784" s="7" t="s">
        <v>584</v>
      </c>
      <c r="T784" s="7" t="b">
        <v>0</v>
      </c>
      <c r="U784" s="7" t="s">
        <v>585</v>
      </c>
      <c r="V784" s="27" t="s">
        <v>586</v>
      </c>
      <c r="W784" s="7" t="s">
        <v>5883</v>
      </c>
      <c r="X784" s="28"/>
      <c r="Y784" s="28"/>
      <c r="Z784" s="28"/>
    </row>
    <row r="785">
      <c r="A785" s="7" t="s">
        <v>5884</v>
      </c>
      <c r="B785" s="7" t="s">
        <v>5885</v>
      </c>
      <c r="C785" s="7" t="s">
        <v>5886</v>
      </c>
      <c r="D785" s="7" t="s">
        <v>60</v>
      </c>
      <c r="E785" s="7" t="s">
        <v>5887</v>
      </c>
      <c r="F785" s="9">
        <v>18.584373</v>
      </c>
      <c r="G785" s="9">
        <v>100.50956</v>
      </c>
      <c r="H785" s="7" t="s">
        <v>576</v>
      </c>
      <c r="I785" s="9">
        <v>289.94</v>
      </c>
      <c r="J785" s="28"/>
      <c r="K785" s="28"/>
      <c r="L785" s="28"/>
      <c r="M785" s="9"/>
      <c r="N785" s="7" t="s">
        <v>583</v>
      </c>
      <c r="O785" s="7" t="s">
        <v>583</v>
      </c>
      <c r="P785" s="9">
        <v>1.0</v>
      </c>
      <c r="Q785" s="28"/>
      <c r="R785" s="9">
        <v>12.4</v>
      </c>
      <c r="S785" s="7" t="s">
        <v>584</v>
      </c>
      <c r="T785" s="7" t="b">
        <v>0</v>
      </c>
      <c r="U785" s="7" t="s">
        <v>585</v>
      </c>
      <c r="V785" s="27" t="s">
        <v>586</v>
      </c>
      <c r="W785" s="7" t="s">
        <v>5888</v>
      </c>
      <c r="X785" s="28"/>
      <c r="Y785" s="28"/>
      <c r="Z785" s="28"/>
    </row>
    <row r="786">
      <c r="A786" s="7" t="s">
        <v>5889</v>
      </c>
      <c r="B786" s="7" t="s">
        <v>5890</v>
      </c>
      <c r="C786" s="7" t="s">
        <v>5891</v>
      </c>
      <c r="D786" s="7" t="s">
        <v>9</v>
      </c>
      <c r="E786" s="7" t="s">
        <v>5892</v>
      </c>
      <c r="F786" s="9">
        <v>17.799877</v>
      </c>
      <c r="G786" s="9">
        <v>98.36419</v>
      </c>
      <c r="H786" s="7" t="s">
        <v>576</v>
      </c>
      <c r="I786" s="9">
        <v>794.55</v>
      </c>
      <c r="J786" s="28"/>
      <c r="K786" s="28"/>
      <c r="L786" s="28"/>
      <c r="M786" s="9"/>
      <c r="N786" s="7" t="s">
        <v>583</v>
      </c>
      <c r="O786" s="7" t="s">
        <v>583</v>
      </c>
      <c r="P786" s="9">
        <v>1.0</v>
      </c>
      <c r="Q786" s="28"/>
      <c r="R786" s="9">
        <v>12.4</v>
      </c>
      <c r="S786" s="7" t="s">
        <v>584</v>
      </c>
      <c r="T786" s="7" t="b">
        <v>0</v>
      </c>
      <c r="U786" s="7" t="s">
        <v>585</v>
      </c>
      <c r="V786" s="27" t="s">
        <v>586</v>
      </c>
      <c r="W786" s="7" t="s">
        <v>5896</v>
      </c>
      <c r="X786" s="28"/>
      <c r="Y786" s="28"/>
      <c r="Z786" s="28"/>
    </row>
    <row r="787">
      <c r="A787" s="7" t="s">
        <v>5897</v>
      </c>
      <c r="B787" s="7" t="s">
        <v>5898</v>
      </c>
      <c r="C787" s="7" t="s">
        <v>5899</v>
      </c>
      <c r="D787" s="7" t="s">
        <v>80</v>
      </c>
      <c r="E787" s="7" t="s">
        <v>5900</v>
      </c>
      <c r="F787" s="9">
        <v>17.71633</v>
      </c>
      <c r="G787" s="9">
        <v>100.124115</v>
      </c>
      <c r="H787" s="7" t="s">
        <v>576</v>
      </c>
      <c r="I787" s="9">
        <v>69.11</v>
      </c>
      <c r="J787" s="28"/>
      <c r="K787" s="28"/>
      <c r="L787" s="28"/>
      <c r="M787" s="9"/>
      <c r="N787" s="7" t="s">
        <v>583</v>
      </c>
      <c r="O787" s="7" t="s">
        <v>583</v>
      </c>
      <c r="P787" s="9">
        <v>1.0</v>
      </c>
      <c r="Q787" s="28"/>
      <c r="R787" s="9">
        <v>12.4</v>
      </c>
      <c r="S787" s="7" t="s">
        <v>584</v>
      </c>
      <c r="T787" s="7" t="b">
        <v>0</v>
      </c>
      <c r="U787" s="7" t="s">
        <v>585</v>
      </c>
      <c r="V787" s="27" t="s">
        <v>586</v>
      </c>
      <c r="W787" s="7" t="s">
        <v>5902</v>
      </c>
      <c r="X787" s="28"/>
      <c r="Y787" s="28"/>
      <c r="Z787" s="28"/>
    </row>
    <row r="788">
      <c r="A788" s="7" t="s">
        <v>5903</v>
      </c>
      <c r="B788" s="7" t="s">
        <v>5905</v>
      </c>
      <c r="C788" s="7" t="s">
        <v>5906</v>
      </c>
      <c r="D788" s="7" t="s">
        <v>60</v>
      </c>
      <c r="E788" s="7" t="s">
        <v>3652</v>
      </c>
      <c r="F788" s="9">
        <v>18.484377</v>
      </c>
      <c r="G788" s="9">
        <v>100.93808</v>
      </c>
      <c r="H788" s="7" t="s">
        <v>576</v>
      </c>
      <c r="I788" s="9">
        <v>291.02</v>
      </c>
      <c r="J788" s="28"/>
      <c r="K788" s="28"/>
      <c r="L788" s="28"/>
      <c r="M788" s="9"/>
      <c r="N788" s="7" t="s">
        <v>583</v>
      </c>
      <c r="O788" s="7" t="s">
        <v>583</v>
      </c>
      <c r="P788" s="9">
        <v>1.0</v>
      </c>
      <c r="Q788" s="28"/>
      <c r="R788" s="9">
        <v>12.4</v>
      </c>
      <c r="S788" s="7" t="s">
        <v>584</v>
      </c>
      <c r="T788" s="7" t="b">
        <v>0</v>
      </c>
      <c r="U788" s="7" t="s">
        <v>585</v>
      </c>
      <c r="V788" s="27" t="s">
        <v>586</v>
      </c>
      <c r="W788" s="7" t="s">
        <v>5908</v>
      </c>
      <c r="X788" s="28"/>
      <c r="Y788" s="28"/>
      <c r="Z788" s="28"/>
    </row>
    <row r="789">
      <c r="A789" s="7" t="s">
        <v>5909</v>
      </c>
      <c r="B789" s="7" t="s">
        <v>5910</v>
      </c>
      <c r="C789" s="7" t="s">
        <v>5911</v>
      </c>
      <c r="D789" s="7" t="s">
        <v>163</v>
      </c>
      <c r="E789" s="7" t="s">
        <v>677</v>
      </c>
      <c r="F789" s="9">
        <v>13.986616</v>
      </c>
      <c r="G789" s="9">
        <v>101.70547</v>
      </c>
      <c r="H789" s="7" t="s">
        <v>954</v>
      </c>
      <c r="I789" s="9">
        <v>-2.55</v>
      </c>
      <c r="J789" s="28"/>
      <c r="K789" s="28"/>
      <c r="L789" s="28"/>
      <c r="M789" s="9"/>
      <c r="N789" s="7" t="s">
        <v>583</v>
      </c>
      <c r="O789" s="7" t="s">
        <v>583</v>
      </c>
      <c r="P789" s="9">
        <v>1.0</v>
      </c>
      <c r="Q789" s="28"/>
      <c r="R789" s="9">
        <v>8112.4</v>
      </c>
      <c r="S789" s="7" t="s">
        <v>54</v>
      </c>
      <c r="T789" s="7" t="b">
        <v>0</v>
      </c>
      <c r="U789" s="7" t="s">
        <v>585</v>
      </c>
      <c r="V789" s="27" t="s">
        <v>586</v>
      </c>
      <c r="W789" s="7" t="s">
        <v>5912</v>
      </c>
      <c r="X789" s="28"/>
      <c r="Y789" s="28"/>
      <c r="Z789" s="28"/>
    </row>
    <row r="790">
      <c r="A790" s="7" t="s">
        <v>5913</v>
      </c>
      <c r="B790" s="7" t="s">
        <v>5914</v>
      </c>
      <c r="C790" s="7" t="s">
        <v>5915</v>
      </c>
      <c r="D790" s="7" t="s">
        <v>65</v>
      </c>
      <c r="E790" s="7" t="s">
        <v>5915</v>
      </c>
      <c r="F790" s="9">
        <v>17.33189</v>
      </c>
      <c r="G790" s="9">
        <v>99.461807</v>
      </c>
      <c r="H790" s="7" t="s">
        <v>618</v>
      </c>
      <c r="I790" s="9">
        <v>101.45</v>
      </c>
      <c r="J790" s="28"/>
      <c r="K790" s="28"/>
      <c r="L790" s="28"/>
      <c r="M790" s="9"/>
      <c r="N790" s="7" t="s">
        <v>583</v>
      </c>
      <c r="O790" s="7" t="s">
        <v>583</v>
      </c>
      <c r="P790" s="9">
        <v>1.0</v>
      </c>
      <c r="Q790" s="28"/>
      <c r="R790" s="9">
        <v>82.4</v>
      </c>
      <c r="S790" s="7" t="s">
        <v>584</v>
      </c>
      <c r="T790" s="7" t="b">
        <v>0</v>
      </c>
      <c r="U790" s="7" t="s">
        <v>585</v>
      </c>
      <c r="V790" s="27" t="s">
        <v>586</v>
      </c>
      <c r="W790" s="7" t="s">
        <v>5916</v>
      </c>
      <c r="X790" s="28"/>
      <c r="Y790" s="28"/>
      <c r="Z790" s="28"/>
    </row>
    <row r="791">
      <c r="A791" s="7" t="s">
        <v>5917</v>
      </c>
      <c r="B791" s="7" t="s">
        <v>5918</v>
      </c>
      <c r="C791" s="7" t="s">
        <v>5919</v>
      </c>
      <c r="D791" s="7" t="s">
        <v>283</v>
      </c>
      <c r="E791" s="7" t="s">
        <v>5217</v>
      </c>
      <c r="F791" s="9">
        <v>10.077709</v>
      </c>
      <c r="G791" s="9">
        <v>98.98693</v>
      </c>
      <c r="H791" s="7" t="s">
        <v>576</v>
      </c>
      <c r="I791" s="9">
        <v>66.86</v>
      </c>
      <c r="J791" s="28"/>
      <c r="K791" s="28"/>
      <c r="L791" s="28"/>
      <c r="M791" s="9"/>
      <c r="N791" s="7" t="s">
        <v>583</v>
      </c>
      <c r="O791" s="7" t="s">
        <v>583</v>
      </c>
      <c r="P791" s="9">
        <v>1.0</v>
      </c>
      <c r="Q791" s="28"/>
      <c r="R791" s="9">
        <v>12.4</v>
      </c>
      <c r="S791" s="7" t="s">
        <v>584</v>
      </c>
      <c r="T791" s="7" t="b">
        <v>0</v>
      </c>
      <c r="U791" s="7" t="s">
        <v>585</v>
      </c>
      <c r="V791" s="27" t="s">
        <v>586</v>
      </c>
      <c r="W791" s="7" t="s">
        <v>5923</v>
      </c>
      <c r="X791" s="28"/>
      <c r="Y791" s="28"/>
      <c r="Z791" s="28"/>
    </row>
    <row r="792">
      <c r="A792" s="7" t="s">
        <v>5924</v>
      </c>
      <c r="B792" s="7" t="s">
        <v>5925</v>
      </c>
      <c r="C792" s="7" t="s">
        <v>5926</v>
      </c>
      <c r="D792" s="7" t="s">
        <v>291</v>
      </c>
      <c r="E792" s="7" t="s">
        <v>2777</v>
      </c>
      <c r="F792" s="9">
        <v>6.87577</v>
      </c>
      <c r="G792" s="9">
        <v>99.782639</v>
      </c>
      <c r="H792" s="7" t="s">
        <v>1951</v>
      </c>
      <c r="I792" s="9">
        <v>-0.39</v>
      </c>
      <c r="J792" s="28"/>
      <c r="K792" s="28"/>
      <c r="L792" s="28"/>
      <c r="M792" s="9">
        <v>3.0</v>
      </c>
      <c r="N792" s="7" t="s">
        <v>583</v>
      </c>
      <c r="O792" s="7" t="s">
        <v>583</v>
      </c>
      <c r="P792" s="9">
        <v>1.0</v>
      </c>
      <c r="Q792" s="28"/>
      <c r="R792" s="9">
        <v>202.4</v>
      </c>
      <c r="S792" s="7" t="s">
        <v>584</v>
      </c>
      <c r="T792" s="7" t="b">
        <v>0</v>
      </c>
      <c r="U792" s="7" t="s">
        <v>585</v>
      </c>
      <c r="V792" s="27" t="s">
        <v>586</v>
      </c>
      <c r="W792" s="7" t="s">
        <v>5930</v>
      </c>
      <c r="X792" s="28"/>
      <c r="Y792" s="28"/>
      <c r="Z792" s="28"/>
    </row>
    <row r="793">
      <c r="A793" s="7" t="s">
        <v>5931</v>
      </c>
      <c r="B793" s="7" t="s">
        <v>5932</v>
      </c>
      <c r="C793" s="7" t="s">
        <v>5933</v>
      </c>
      <c r="D793" s="7" t="s">
        <v>153</v>
      </c>
      <c r="E793" s="7" t="s">
        <v>5406</v>
      </c>
      <c r="F793" s="9">
        <v>13.56012</v>
      </c>
      <c r="G793" s="9">
        <v>99.36201</v>
      </c>
      <c r="H793" s="7" t="s">
        <v>923</v>
      </c>
      <c r="I793" s="9">
        <v>95.81</v>
      </c>
      <c r="J793" s="28"/>
      <c r="K793" s="28"/>
      <c r="L793" s="28"/>
      <c r="M793" s="9">
        <v>99.32</v>
      </c>
      <c r="N793" s="7" t="s">
        <v>583</v>
      </c>
      <c r="O793" s="7" t="s">
        <v>583</v>
      </c>
      <c r="P793" s="9">
        <v>1.0</v>
      </c>
      <c r="Q793" s="28"/>
      <c r="R793" s="9">
        <v>22.4</v>
      </c>
      <c r="S793" s="7" t="s">
        <v>584</v>
      </c>
      <c r="T793" s="7" t="b">
        <v>0</v>
      </c>
      <c r="U793" s="7" t="s">
        <v>585</v>
      </c>
      <c r="V793" s="27" t="s">
        <v>586</v>
      </c>
      <c r="W793" s="7" t="s">
        <v>5934</v>
      </c>
      <c r="X793" s="28"/>
      <c r="Y793" s="28"/>
      <c r="Z793" s="28"/>
    </row>
    <row r="794">
      <c r="A794" s="7" t="s">
        <v>5935</v>
      </c>
      <c r="B794" s="7" t="s">
        <v>5936</v>
      </c>
      <c r="C794" s="7" t="s">
        <v>5937</v>
      </c>
      <c r="D794" s="7" t="s">
        <v>60</v>
      </c>
      <c r="E794" s="7" t="s">
        <v>5938</v>
      </c>
      <c r="F794" s="9">
        <v>19.148926</v>
      </c>
      <c r="G794" s="9">
        <v>100.94644</v>
      </c>
      <c r="H794" s="7" t="s">
        <v>576</v>
      </c>
      <c r="I794" s="9">
        <v>296.12</v>
      </c>
      <c r="J794" s="28"/>
      <c r="K794" s="28"/>
      <c r="L794" s="28"/>
      <c r="M794" s="9"/>
      <c r="N794" s="7" t="s">
        <v>583</v>
      </c>
      <c r="O794" s="7" t="s">
        <v>583</v>
      </c>
      <c r="P794" s="9">
        <v>1.0</v>
      </c>
      <c r="Q794" s="28"/>
      <c r="R794" s="9">
        <v>12.4</v>
      </c>
      <c r="S794" s="7" t="s">
        <v>584</v>
      </c>
      <c r="T794" s="7" t="b">
        <v>0</v>
      </c>
      <c r="U794" s="7" t="s">
        <v>585</v>
      </c>
      <c r="V794" s="27" t="s">
        <v>586</v>
      </c>
      <c r="W794" s="7" t="s">
        <v>5939</v>
      </c>
      <c r="X794" s="28"/>
      <c r="Y794" s="28"/>
      <c r="Z794" s="28"/>
    </row>
    <row r="795">
      <c r="A795" s="7" t="s">
        <v>5940</v>
      </c>
      <c r="B795" s="7" t="s">
        <v>5941</v>
      </c>
      <c r="C795" s="7" t="s">
        <v>5942</v>
      </c>
      <c r="D795" s="7" t="s">
        <v>94</v>
      </c>
      <c r="E795" s="7" t="s">
        <v>5943</v>
      </c>
      <c r="F795" s="9">
        <v>15.27736</v>
      </c>
      <c r="G795" s="9">
        <v>99.15219</v>
      </c>
      <c r="H795" s="7" t="s">
        <v>923</v>
      </c>
      <c r="I795" s="9">
        <v>210.61</v>
      </c>
      <c r="J795" s="28"/>
      <c r="K795" s="28"/>
      <c r="L795" s="28"/>
      <c r="M795" s="9">
        <v>0.0</v>
      </c>
      <c r="N795" s="7" t="s">
        <v>52</v>
      </c>
      <c r="O795" s="7" t="s">
        <v>583</v>
      </c>
      <c r="P795" s="28"/>
      <c r="Q795" s="28"/>
      <c r="R795" s="9">
        <v>22.4</v>
      </c>
      <c r="S795" s="7" t="s">
        <v>584</v>
      </c>
      <c r="T795" s="7" t="b">
        <v>0</v>
      </c>
      <c r="U795" s="7" t="s">
        <v>585</v>
      </c>
      <c r="V795" s="27" t="s">
        <v>586</v>
      </c>
      <c r="W795" s="7" t="s">
        <v>5944</v>
      </c>
      <c r="X795" s="28"/>
      <c r="Y795" s="28"/>
      <c r="Z795" s="28"/>
    </row>
    <row r="796">
      <c r="A796" s="7" t="s">
        <v>5945</v>
      </c>
      <c r="B796" s="7" t="s">
        <v>5946</v>
      </c>
      <c r="C796" s="7" t="s">
        <v>5947</v>
      </c>
      <c r="D796" s="7" t="s">
        <v>229</v>
      </c>
      <c r="E796" s="7" t="s">
        <v>1892</v>
      </c>
      <c r="F796" s="9">
        <v>15.43527</v>
      </c>
      <c r="G796" s="9">
        <v>103.012627</v>
      </c>
      <c r="H796" s="7" t="s">
        <v>618</v>
      </c>
      <c r="I796" s="9">
        <v>133.61</v>
      </c>
      <c r="J796" s="28"/>
      <c r="K796" s="28"/>
      <c r="L796" s="28"/>
      <c r="M796" s="9"/>
      <c r="N796" s="7" t="s">
        <v>52</v>
      </c>
      <c r="O796" s="7" t="s">
        <v>583</v>
      </c>
      <c r="P796" s="28"/>
      <c r="Q796" s="28"/>
      <c r="R796" s="9">
        <v>82.4</v>
      </c>
      <c r="S796" s="7" t="s">
        <v>584</v>
      </c>
      <c r="T796" s="7" t="b">
        <v>0</v>
      </c>
      <c r="U796" s="7" t="s">
        <v>585</v>
      </c>
      <c r="V796" s="27" t="s">
        <v>586</v>
      </c>
      <c r="W796" s="7" t="s">
        <v>5949</v>
      </c>
      <c r="X796" s="28"/>
      <c r="Y796" s="28"/>
      <c r="Z796" s="28"/>
    </row>
    <row r="797">
      <c r="A797" s="7" t="s">
        <v>5950</v>
      </c>
      <c r="B797" s="7" t="s">
        <v>5951</v>
      </c>
      <c r="C797" s="7" t="s">
        <v>3983</v>
      </c>
      <c r="D797" s="7" t="s">
        <v>131</v>
      </c>
      <c r="E797" s="7" t="s">
        <v>5952</v>
      </c>
      <c r="F797" s="9">
        <v>12.09765</v>
      </c>
      <c r="G797" s="9">
        <v>99.78846</v>
      </c>
      <c r="H797" s="7" t="s">
        <v>618</v>
      </c>
      <c r="I797" s="9">
        <v>20.69</v>
      </c>
      <c r="J797" s="28"/>
      <c r="K797" s="28"/>
      <c r="L797" s="28"/>
      <c r="M797" s="9"/>
      <c r="N797" s="7" t="s">
        <v>52</v>
      </c>
      <c r="O797" s="7" t="s">
        <v>583</v>
      </c>
      <c r="P797" s="28"/>
      <c r="Q797" s="28"/>
      <c r="R797" s="9">
        <v>82.4</v>
      </c>
      <c r="S797" s="7" t="s">
        <v>584</v>
      </c>
      <c r="T797" s="7" t="b">
        <v>0</v>
      </c>
      <c r="U797" s="7" t="s">
        <v>585</v>
      </c>
      <c r="V797" s="27" t="s">
        <v>586</v>
      </c>
      <c r="W797" s="7" t="s">
        <v>5953</v>
      </c>
      <c r="X797" s="28"/>
      <c r="Y797" s="28"/>
      <c r="Z797" s="28"/>
    </row>
    <row r="798">
      <c r="A798" s="7" t="s">
        <v>5954</v>
      </c>
      <c r="B798" s="7" t="s">
        <v>5955</v>
      </c>
      <c r="C798" s="7" t="s">
        <v>5956</v>
      </c>
      <c r="D798" s="7" t="s">
        <v>202</v>
      </c>
      <c r="E798" s="7" t="s">
        <v>5957</v>
      </c>
      <c r="F798" s="9">
        <v>16.97249</v>
      </c>
      <c r="G798" s="9">
        <v>103.983376</v>
      </c>
      <c r="H798" s="7" t="s">
        <v>923</v>
      </c>
      <c r="I798" s="9">
        <v>279.38</v>
      </c>
      <c r="J798" s="28"/>
      <c r="K798" s="28"/>
      <c r="L798" s="28"/>
      <c r="M798" s="9">
        <v>0.0</v>
      </c>
      <c r="N798" s="7" t="s">
        <v>52</v>
      </c>
      <c r="O798" s="7" t="s">
        <v>583</v>
      </c>
      <c r="P798" s="28"/>
      <c r="Q798" s="28"/>
      <c r="R798" s="9">
        <v>22.4</v>
      </c>
      <c r="S798" s="7" t="s">
        <v>584</v>
      </c>
      <c r="T798" s="7" t="b">
        <v>0</v>
      </c>
      <c r="U798" s="7" t="s">
        <v>585</v>
      </c>
      <c r="V798" s="27" t="s">
        <v>586</v>
      </c>
      <c r="W798" s="7" t="s">
        <v>5958</v>
      </c>
      <c r="X798" s="28"/>
      <c r="Y798" s="28"/>
      <c r="Z798" s="28"/>
    </row>
    <row r="799">
      <c r="A799" s="7" t="s">
        <v>5959</v>
      </c>
      <c r="B799" s="7" t="s">
        <v>5960</v>
      </c>
      <c r="C799" s="7" t="s">
        <v>5961</v>
      </c>
      <c r="D799" s="7" t="s">
        <v>108</v>
      </c>
      <c r="E799" s="7" t="s">
        <v>5962</v>
      </c>
      <c r="F799" s="9">
        <v>14.28644</v>
      </c>
      <c r="G799" s="9">
        <v>101.070473</v>
      </c>
      <c r="H799" s="7" t="s">
        <v>618</v>
      </c>
      <c r="I799" s="9">
        <v>9.35</v>
      </c>
      <c r="J799" s="28"/>
      <c r="K799" s="28"/>
      <c r="L799" s="28"/>
      <c r="M799" s="9"/>
      <c r="N799" s="7" t="s">
        <v>52</v>
      </c>
      <c r="O799" s="7" t="s">
        <v>583</v>
      </c>
      <c r="P799" s="28"/>
      <c r="Q799" s="28"/>
      <c r="R799" s="9">
        <v>82.4</v>
      </c>
      <c r="S799" s="7" t="s">
        <v>584</v>
      </c>
      <c r="T799" s="7" t="b">
        <v>0</v>
      </c>
      <c r="U799" s="7" t="s">
        <v>585</v>
      </c>
      <c r="V799" s="27" t="s">
        <v>586</v>
      </c>
      <c r="W799" s="7" t="s">
        <v>5963</v>
      </c>
      <c r="X799" s="28"/>
      <c r="Y799" s="28"/>
      <c r="Z799" s="28"/>
    </row>
    <row r="800">
      <c r="A800" s="7" t="s">
        <v>5964</v>
      </c>
      <c r="B800" s="7" t="s">
        <v>5965</v>
      </c>
      <c r="C800" s="7" t="s">
        <v>5966</v>
      </c>
      <c r="D800" s="7" t="s">
        <v>131</v>
      </c>
      <c r="E800" s="7" t="s">
        <v>5969</v>
      </c>
      <c r="F800" s="9">
        <v>11.40416</v>
      </c>
      <c r="G800" s="9">
        <v>99.519218</v>
      </c>
      <c r="H800" s="7" t="s">
        <v>618</v>
      </c>
      <c r="I800" s="9">
        <v>23.75</v>
      </c>
      <c r="J800" s="28"/>
      <c r="K800" s="28"/>
      <c r="L800" s="28"/>
      <c r="M800" s="9"/>
      <c r="N800" s="7" t="s">
        <v>52</v>
      </c>
      <c r="O800" s="7" t="s">
        <v>583</v>
      </c>
      <c r="P800" s="28"/>
      <c r="Q800" s="28"/>
      <c r="R800" s="9">
        <v>82.4</v>
      </c>
      <c r="S800" s="7" t="s">
        <v>584</v>
      </c>
      <c r="T800" s="7" t="b">
        <v>0</v>
      </c>
      <c r="U800" s="7" t="s">
        <v>585</v>
      </c>
      <c r="V800" s="27" t="s">
        <v>586</v>
      </c>
      <c r="W800" s="7" t="s">
        <v>5973</v>
      </c>
      <c r="X800" s="28"/>
      <c r="Y800" s="28"/>
      <c r="Z800" s="28"/>
    </row>
    <row r="801">
      <c r="A801" s="7" t="s">
        <v>5974</v>
      </c>
      <c r="B801" s="7" t="s">
        <v>5975</v>
      </c>
      <c r="C801" s="7" t="s">
        <v>5976</v>
      </c>
      <c r="D801" s="7" t="s">
        <v>154</v>
      </c>
      <c r="E801" s="7" t="s">
        <v>5977</v>
      </c>
      <c r="F801" s="9">
        <v>14.233779</v>
      </c>
      <c r="G801" s="9">
        <v>99.235022</v>
      </c>
      <c r="H801" s="7" t="s">
        <v>923</v>
      </c>
      <c r="I801" s="9">
        <v>57.66</v>
      </c>
      <c r="J801" s="28"/>
      <c r="K801" s="28"/>
      <c r="L801" s="28"/>
      <c r="M801" s="9">
        <v>0.0</v>
      </c>
      <c r="N801" s="7" t="s">
        <v>52</v>
      </c>
      <c r="O801" s="7" t="s">
        <v>583</v>
      </c>
      <c r="P801" s="28"/>
      <c r="Q801" s="28"/>
      <c r="R801" s="9">
        <v>22.4</v>
      </c>
      <c r="S801" s="7" t="s">
        <v>584</v>
      </c>
      <c r="T801" s="7" t="b">
        <v>0</v>
      </c>
      <c r="U801" s="7" t="s">
        <v>585</v>
      </c>
      <c r="V801" s="27" t="s">
        <v>586</v>
      </c>
      <c r="W801" s="7" t="s">
        <v>5979</v>
      </c>
      <c r="X801" s="28"/>
      <c r="Y801" s="28"/>
      <c r="Z801" s="28"/>
    </row>
    <row r="802">
      <c r="A802" s="7" t="s">
        <v>5980</v>
      </c>
      <c r="B802" s="7" t="s">
        <v>5982</v>
      </c>
      <c r="C802" s="7" t="s">
        <v>5983</v>
      </c>
      <c r="D802" s="7" t="s">
        <v>259</v>
      </c>
      <c r="E802" s="7" t="s">
        <v>5024</v>
      </c>
      <c r="F802" s="9">
        <v>8.40118</v>
      </c>
      <c r="G802" s="9">
        <v>99.802</v>
      </c>
      <c r="H802" s="7" t="s">
        <v>576</v>
      </c>
      <c r="I802" s="9">
        <v>23.16</v>
      </c>
      <c r="J802" s="28"/>
      <c r="K802" s="28"/>
      <c r="L802" s="28"/>
      <c r="M802" s="9"/>
      <c r="N802" s="7" t="s">
        <v>52</v>
      </c>
      <c r="O802" s="7" t="s">
        <v>583</v>
      </c>
      <c r="P802" s="28"/>
      <c r="Q802" s="28"/>
      <c r="R802" s="9">
        <v>12.4</v>
      </c>
      <c r="S802" s="7" t="s">
        <v>584</v>
      </c>
      <c r="T802" s="7" t="b">
        <v>0</v>
      </c>
      <c r="U802" s="7" t="s">
        <v>585</v>
      </c>
      <c r="V802" s="27" t="s">
        <v>586</v>
      </c>
      <c r="W802" s="7" t="s">
        <v>5984</v>
      </c>
      <c r="X802" s="28"/>
      <c r="Y802" s="28"/>
      <c r="Z802" s="28"/>
    </row>
    <row r="803">
      <c r="A803" s="7" t="s">
        <v>5985</v>
      </c>
      <c r="B803" s="7" t="s">
        <v>5986</v>
      </c>
      <c r="C803" s="7" t="s">
        <v>5987</v>
      </c>
      <c r="D803" s="7" t="s">
        <v>301</v>
      </c>
      <c r="E803" s="7" t="s">
        <v>5988</v>
      </c>
      <c r="F803" s="9">
        <v>6.143055</v>
      </c>
      <c r="G803" s="9">
        <v>101.309167</v>
      </c>
      <c r="H803" s="7" t="s">
        <v>923</v>
      </c>
      <c r="I803" s="9">
        <v>331.7</v>
      </c>
      <c r="J803" s="28"/>
      <c r="K803" s="28"/>
      <c r="L803" s="28"/>
      <c r="M803" s="9">
        <v>0.0</v>
      </c>
      <c r="N803" s="7" t="s">
        <v>52</v>
      </c>
      <c r="O803" s="7" t="s">
        <v>583</v>
      </c>
      <c r="P803" s="28"/>
      <c r="Q803" s="28"/>
      <c r="R803" s="9">
        <v>22.4</v>
      </c>
      <c r="S803" s="7" t="s">
        <v>584</v>
      </c>
      <c r="T803" s="7" t="b">
        <v>0</v>
      </c>
      <c r="U803" s="7" t="s">
        <v>585</v>
      </c>
      <c r="V803" s="27" t="s">
        <v>586</v>
      </c>
      <c r="W803" s="7" t="s">
        <v>5989</v>
      </c>
      <c r="X803" s="28"/>
      <c r="Y803" s="28"/>
      <c r="Z803" s="28"/>
    </row>
    <row r="804">
      <c r="A804" s="7" t="s">
        <v>5990</v>
      </c>
      <c r="B804" s="7" t="s">
        <v>5991</v>
      </c>
      <c r="C804" s="7" t="s">
        <v>4034</v>
      </c>
      <c r="D804" s="7" t="s">
        <v>131</v>
      </c>
      <c r="E804" s="7" t="s">
        <v>5992</v>
      </c>
      <c r="F804" s="9">
        <v>11.49674</v>
      </c>
      <c r="G804" s="9">
        <v>99.602303</v>
      </c>
      <c r="H804" s="7" t="s">
        <v>618</v>
      </c>
      <c r="I804" s="9">
        <v>7.22</v>
      </c>
      <c r="J804" s="28"/>
      <c r="K804" s="28"/>
      <c r="L804" s="28"/>
      <c r="M804" s="9">
        <v>10.9</v>
      </c>
      <c r="N804" s="7" t="s">
        <v>52</v>
      </c>
      <c r="O804" s="7" t="s">
        <v>583</v>
      </c>
      <c r="P804" s="28"/>
      <c r="Q804" s="28"/>
      <c r="R804" s="9">
        <v>82.4</v>
      </c>
      <c r="S804" s="7" t="s">
        <v>584</v>
      </c>
      <c r="T804" s="7" t="b">
        <v>0</v>
      </c>
      <c r="U804" s="7" t="s">
        <v>585</v>
      </c>
      <c r="V804" s="27" t="s">
        <v>586</v>
      </c>
      <c r="W804" s="7" t="s">
        <v>5993</v>
      </c>
      <c r="X804" s="28"/>
      <c r="Y804" s="28"/>
      <c r="Z804" s="28"/>
    </row>
    <row r="805">
      <c r="A805" s="7" t="s">
        <v>5994</v>
      </c>
      <c r="B805" s="7" t="s">
        <v>5995</v>
      </c>
      <c r="C805" s="7" t="s">
        <v>5996</v>
      </c>
      <c r="D805" s="7" t="s">
        <v>301</v>
      </c>
      <c r="E805" s="7" t="s">
        <v>2571</v>
      </c>
      <c r="F805" s="9">
        <v>6.153667</v>
      </c>
      <c r="G805" s="9">
        <v>101.273116</v>
      </c>
      <c r="H805" s="7" t="s">
        <v>923</v>
      </c>
      <c r="I805" s="9">
        <v>99.58</v>
      </c>
      <c r="J805" s="28"/>
      <c r="K805" s="28"/>
      <c r="L805" s="28"/>
      <c r="M805" s="9">
        <v>0.0</v>
      </c>
      <c r="N805" s="7" t="s">
        <v>52</v>
      </c>
      <c r="O805" s="7" t="s">
        <v>583</v>
      </c>
      <c r="P805" s="28"/>
      <c r="Q805" s="28"/>
      <c r="R805" s="9">
        <v>22.4</v>
      </c>
      <c r="S805" s="7" t="s">
        <v>584</v>
      </c>
      <c r="T805" s="7" t="b">
        <v>0</v>
      </c>
      <c r="U805" s="7" t="s">
        <v>585</v>
      </c>
      <c r="V805" s="27" t="s">
        <v>586</v>
      </c>
      <c r="W805" s="7" t="s">
        <v>5998</v>
      </c>
      <c r="X805" s="28"/>
      <c r="Y805" s="28"/>
      <c r="Z805" s="28"/>
    </row>
    <row r="806">
      <c r="A806" s="7" t="s">
        <v>5999</v>
      </c>
      <c r="B806" s="7" t="s">
        <v>6000</v>
      </c>
      <c r="C806" s="7" t="s">
        <v>6001</v>
      </c>
      <c r="D806" s="7" t="s">
        <v>131</v>
      </c>
      <c r="E806" s="7" t="s">
        <v>5120</v>
      </c>
      <c r="F806" s="9">
        <v>12.38995</v>
      </c>
      <c r="G806" s="9">
        <v>99.911247</v>
      </c>
      <c r="H806" s="7" t="s">
        <v>618</v>
      </c>
      <c r="I806" s="9">
        <v>1.71</v>
      </c>
      <c r="J806" s="28"/>
      <c r="K806" s="28"/>
      <c r="L806" s="28"/>
      <c r="M806" s="9"/>
      <c r="N806" s="7" t="s">
        <v>52</v>
      </c>
      <c r="O806" s="7" t="s">
        <v>583</v>
      </c>
      <c r="P806" s="28"/>
      <c r="Q806" s="28"/>
      <c r="R806" s="9">
        <v>82.4</v>
      </c>
      <c r="S806" s="7" t="s">
        <v>584</v>
      </c>
      <c r="T806" s="7" t="b">
        <v>0</v>
      </c>
      <c r="U806" s="7" t="s">
        <v>585</v>
      </c>
      <c r="V806" s="27" t="s">
        <v>586</v>
      </c>
      <c r="W806" s="7" t="s">
        <v>6002</v>
      </c>
      <c r="X806" s="28"/>
      <c r="Y806" s="28"/>
      <c r="Z806" s="28"/>
    </row>
    <row r="807">
      <c r="A807" s="7" t="s">
        <v>6003</v>
      </c>
      <c r="B807" s="7" t="s">
        <v>6004</v>
      </c>
      <c r="C807" s="7" t="s">
        <v>6005</v>
      </c>
      <c r="D807" s="7" t="s">
        <v>63</v>
      </c>
      <c r="E807" s="7" t="s">
        <v>6006</v>
      </c>
      <c r="F807" s="9">
        <v>19.16588</v>
      </c>
      <c r="G807" s="9">
        <v>99.934341</v>
      </c>
      <c r="H807" s="7" t="s">
        <v>3412</v>
      </c>
      <c r="I807" s="9">
        <v>387.72</v>
      </c>
      <c r="J807" s="28"/>
      <c r="K807" s="28"/>
      <c r="L807" s="28"/>
      <c r="M807" s="9"/>
      <c r="N807" s="7" t="s">
        <v>52</v>
      </c>
      <c r="O807" s="7" t="s">
        <v>583</v>
      </c>
      <c r="P807" s="28"/>
      <c r="Q807" s="28"/>
      <c r="R807" s="9">
        <v>562.4</v>
      </c>
      <c r="S807" s="7" t="s">
        <v>584</v>
      </c>
      <c r="T807" s="7" t="b">
        <v>0</v>
      </c>
      <c r="U807" s="7" t="s">
        <v>585</v>
      </c>
      <c r="V807" s="27" t="s">
        <v>586</v>
      </c>
      <c r="W807" s="7" t="s">
        <v>6007</v>
      </c>
      <c r="X807" s="28"/>
      <c r="Y807" s="28"/>
      <c r="Z807" s="28"/>
    </row>
    <row r="808">
      <c r="A808" s="7" t="s">
        <v>6008</v>
      </c>
      <c r="B808" s="7" t="s">
        <v>6009</v>
      </c>
      <c r="C808" s="7" t="s">
        <v>6010</v>
      </c>
      <c r="D808" s="7" t="s">
        <v>70</v>
      </c>
      <c r="E808" s="7" t="s">
        <v>5371</v>
      </c>
      <c r="F808" s="9">
        <v>19.27033</v>
      </c>
      <c r="G808" s="9">
        <v>97.945213</v>
      </c>
      <c r="H808" s="7" t="s">
        <v>3412</v>
      </c>
      <c r="I808" s="9">
        <v>176.59</v>
      </c>
      <c r="J808" s="28"/>
      <c r="K808" s="28"/>
      <c r="L808" s="28"/>
      <c r="M808" s="9">
        <v>208.49</v>
      </c>
      <c r="N808" s="7" t="s">
        <v>52</v>
      </c>
      <c r="O808" s="7" t="s">
        <v>583</v>
      </c>
      <c r="P808" s="28"/>
      <c r="Q808" s="28"/>
      <c r="R808" s="9">
        <v>562.4</v>
      </c>
      <c r="S808" s="7" t="s">
        <v>584</v>
      </c>
      <c r="T808" s="7" t="b">
        <v>0</v>
      </c>
      <c r="U808" s="7" t="s">
        <v>585</v>
      </c>
      <c r="V808" s="27" t="s">
        <v>586</v>
      </c>
      <c r="W808" s="7" t="s">
        <v>6011</v>
      </c>
      <c r="X808" s="28"/>
      <c r="Y808" s="28"/>
      <c r="Z808" s="28"/>
    </row>
    <row r="809">
      <c r="A809" s="7" t="s">
        <v>6012</v>
      </c>
      <c r="B809" s="7" t="s">
        <v>6013</v>
      </c>
      <c r="C809" s="7" t="s">
        <v>6014</v>
      </c>
      <c r="D809" s="7" t="s">
        <v>202</v>
      </c>
      <c r="E809" s="7" t="s">
        <v>5315</v>
      </c>
      <c r="F809" s="9">
        <v>16.994</v>
      </c>
      <c r="G809" s="9">
        <v>104.172</v>
      </c>
      <c r="H809" s="7" t="s">
        <v>618</v>
      </c>
      <c r="I809" s="9">
        <v>171.8</v>
      </c>
      <c r="J809" s="28"/>
      <c r="K809" s="28"/>
      <c r="L809" s="28"/>
      <c r="M809" s="9">
        <v>174.5</v>
      </c>
      <c r="N809" s="7" t="s">
        <v>52</v>
      </c>
      <c r="O809" s="7" t="s">
        <v>583</v>
      </c>
      <c r="P809" s="28"/>
      <c r="Q809" s="28"/>
      <c r="R809" s="9">
        <v>82.4</v>
      </c>
      <c r="S809" s="7" t="s">
        <v>584</v>
      </c>
      <c r="T809" s="7" t="b">
        <v>0</v>
      </c>
      <c r="U809" s="7" t="s">
        <v>585</v>
      </c>
      <c r="V809" s="27" t="s">
        <v>586</v>
      </c>
      <c r="W809" s="7" t="s">
        <v>6020</v>
      </c>
      <c r="X809" s="28"/>
      <c r="Y809" s="28"/>
      <c r="Z809" s="28"/>
    </row>
    <row r="810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hyperlinks>
    <hyperlink r:id="rId2" ref="V2"/>
    <hyperlink r:id="rId3" ref="V3"/>
    <hyperlink r:id="rId4" ref="V4"/>
    <hyperlink r:id="rId5" ref="V5"/>
    <hyperlink r:id="rId6" ref="V6"/>
    <hyperlink r:id="rId7" ref="V7"/>
    <hyperlink r:id="rId8" ref="V8"/>
    <hyperlink r:id="rId9" ref="V9"/>
    <hyperlink r:id="rId10" ref="V10"/>
    <hyperlink r:id="rId11" ref="V11"/>
    <hyperlink r:id="rId12" ref="V12"/>
    <hyperlink r:id="rId13" ref="V13"/>
    <hyperlink r:id="rId14" ref="V14"/>
    <hyperlink r:id="rId15" ref="V15"/>
    <hyperlink r:id="rId16" ref="V16"/>
    <hyperlink r:id="rId17" ref="V17"/>
    <hyperlink r:id="rId18" ref="V18"/>
    <hyperlink r:id="rId19" ref="V19"/>
    <hyperlink r:id="rId20" ref="V20"/>
    <hyperlink r:id="rId21" ref="V21"/>
    <hyperlink r:id="rId22" ref="V22"/>
    <hyperlink r:id="rId23" ref="V23"/>
    <hyperlink r:id="rId24" ref="V24"/>
    <hyperlink r:id="rId25" ref="V25"/>
    <hyperlink r:id="rId26" ref="V26"/>
    <hyperlink r:id="rId27" ref="V27"/>
    <hyperlink r:id="rId28" ref="V28"/>
    <hyperlink r:id="rId29" ref="V29"/>
    <hyperlink r:id="rId30" ref="V30"/>
    <hyperlink r:id="rId31" ref="V31"/>
    <hyperlink r:id="rId32" ref="V32"/>
    <hyperlink r:id="rId33" ref="V33"/>
    <hyperlink r:id="rId34" ref="V34"/>
    <hyperlink r:id="rId35" ref="V35"/>
    <hyperlink r:id="rId36" ref="V36"/>
    <hyperlink r:id="rId37" ref="V37"/>
    <hyperlink r:id="rId38" ref="V38"/>
    <hyperlink r:id="rId39" ref="V39"/>
    <hyperlink r:id="rId40" ref="V40"/>
    <hyperlink r:id="rId41" ref="V41"/>
    <hyperlink r:id="rId42" ref="V42"/>
    <hyperlink r:id="rId43" ref="V43"/>
    <hyperlink r:id="rId44" ref="V44"/>
    <hyperlink r:id="rId45" ref="V45"/>
    <hyperlink r:id="rId46" ref="V46"/>
    <hyperlink r:id="rId47" ref="V47"/>
    <hyperlink r:id="rId48" ref="V48"/>
    <hyperlink r:id="rId49" ref="V49"/>
    <hyperlink r:id="rId50" ref="V50"/>
    <hyperlink r:id="rId51" ref="V51"/>
    <hyperlink r:id="rId52" ref="V52"/>
    <hyperlink r:id="rId53" ref="V53"/>
    <hyperlink r:id="rId54" ref="V54"/>
    <hyperlink r:id="rId55" ref="V55"/>
    <hyperlink r:id="rId56" ref="V56"/>
    <hyperlink r:id="rId57" ref="V57"/>
    <hyperlink r:id="rId58" ref="V58"/>
    <hyperlink r:id="rId59" ref="V59"/>
    <hyperlink r:id="rId60" ref="V60"/>
    <hyperlink r:id="rId61" ref="V61"/>
    <hyperlink r:id="rId62" ref="V62"/>
    <hyperlink r:id="rId63" ref="V63"/>
    <hyperlink r:id="rId64" ref="V64"/>
    <hyperlink r:id="rId65" ref="V65"/>
    <hyperlink r:id="rId66" ref="V66"/>
    <hyperlink r:id="rId67" ref="V67"/>
    <hyperlink r:id="rId68" ref="V68"/>
    <hyperlink r:id="rId69" ref="V69"/>
    <hyperlink r:id="rId70" ref="V70"/>
    <hyperlink r:id="rId71" ref="V71"/>
    <hyperlink r:id="rId72" ref="V72"/>
    <hyperlink r:id="rId73" ref="V73"/>
    <hyperlink r:id="rId74" ref="V74"/>
    <hyperlink r:id="rId75" ref="V75"/>
    <hyperlink r:id="rId76" ref="V76"/>
    <hyperlink r:id="rId77" ref="V77"/>
    <hyperlink r:id="rId78" ref="V78"/>
    <hyperlink r:id="rId79" ref="V79"/>
    <hyperlink r:id="rId80" ref="V80"/>
    <hyperlink r:id="rId81" ref="V81"/>
    <hyperlink r:id="rId82" ref="V82"/>
    <hyperlink r:id="rId83" ref="V83"/>
    <hyperlink r:id="rId84" ref="V84"/>
    <hyperlink r:id="rId85" ref="V85"/>
    <hyperlink r:id="rId86" ref="V86"/>
    <hyperlink r:id="rId87" ref="V87"/>
    <hyperlink r:id="rId88" ref="V88"/>
    <hyperlink r:id="rId89" ref="V89"/>
    <hyperlink r:id="rId90" ref="V90"/>
    <hyperlink r:id="rId91" ref="V91"/>
    <hyperlink r:id="rId92" ref="V92"/>
    <hyperlink r:id="rId93" ref="V93"/>
    <hyperlink r:id="rId94" ref="V94"/>
    <hyperlink r:id="rId95" ref="V95"/>
    <hyperlink r:id="rId96" ref="V96"/>
    <hyperlink r:id="rId97" ref="V97"/>
    <hyperlink r:id="rId98" ref="V98"/>
    <hyperlink r:id="rId99" ref="V99"/>
    <hyperlink r:id="rId100" ref="V100"/>
    <hyperlink r:id="rId101" ref="V101"/>
    <hyperlink r:id="rId102" ref="V102"/>
    <hyperlink r:id="rId103" ref="V103"/>
    <hyperlink r:id="rId104" ref="V104"/>
    <hyperlink r:id="rId105" ref="V105"/>
    <hyperlink r:id="rId106" ref="V106"/>
    <hyperlink r:id="rId107" ref="V107"/>
    <hyperlink r:id="rId108" ref="V108"/>
    <hyperlink r:id="rId109" ref="V109"/>
    <hyperlink r:id="rId110" ref="V110"/>
    <hyperlink r:id="rId111" ref="V111"/>
    <hyperlink r:id="rId112" ref="V112"/>
    <hyperlink r:id="rId113" ref="V113"/>
    <hyperlink r:id="rId114" ref="V114"/>
    <hyperlink r:id="rId115" ref="V115"/>
    <hyperlink r:id="rId116" ref="V116"/>
    <hyperlink r:id="rId117" ref="V117"/>
    <hyperlink r:id="rId118" ref="V118"/>
    <hyperlink r:id="rId119" ref="V119"/>
    <hyperlink r:id="rId120" ref="V120"/>
    <hyperlink r:id="rId121" ref="V121"/>
    <hyperlink r:id="rId122" ref="V122"/>
    <hyperlink r:id="rId123" ref="V123"/>
    <hyperlink r:id="rId124" ref="V124"/>
    <hyperlink r:id="rId125" ref="V125"/>
    <hyperlink r:id="rId126" ref="V126"/>
    <hyperlink r:id="rId127" ref="V127"/>
    <hyperlink r:id="rId128" ref="V128"/>
    <hyperlink r:id="rId129" ref="V129"/>
    <hyperlink r:id="rId130" ref="V130"/>
    <hyperlink r:id="rId131" ref="V131"/>
    <hyperlink r:id="rId132" ref="V132"/>
    <hyperlink r:id="rId133" ref="V133"/>
    <hyperlink r:id="rId134" ref="V134"/>
    <hyperlink r:id="rId135" ref="V135"/>
    <hyperlink r:id="rId136" ref="V136"/>
    <hyperlink r:id="rId137" ref="V137"/>
    <hyperlink r:id="rId138" ref="V138"/>
    <hyperlink r:id="rId139" ref="V139"/>
    <hyperlink r:id="rId140" ref="V140"/>
    <hyperlink r:id="rId141" ref="V141"/>
    <hyperlink r:id="rId142" ref="V142"/>
    <hyperlink r:id="rId143" ref="V143"/>
    <hyperlink r:id="rId144" ref="V144"/>
    <hyperlink r:id="rId145" ref="V145"/>
    <hyperlink r:id="rId146" ref="V146"/>
    <hyperlink r:id="rId147" ref="V147"/>
    <hyperlink r:id="rId148" ref="V148"/>
    <hyperlink r:id="rId149" ref="V149"/>
    <hyperlink r:id="rId150" ref="V150"/>
    <hyperlink r:id="rId151" ref="V151"/>
    <hyperlink r:id="rId152" ref="V152"/>
    <hyperlink r:id="rId153" ref="V153"/>
    <hyperlink r:id="rId154" ref="V154"/>
    <hyperlink r:id="rId155" ref="V155"/>
    <hyperlink r:id="rId156" ref="V156"/>
    <hyperlink r:id="rId157" ref="V157"/>
    <hyperlink r:id="rId158" ref="V158"/>
    <hyperlink r:id="rId159" ref="V159"/>
    <hyperlink r:id="rId160" ref="V160"/>
    <hyperlink r:id="rId161" ref="V161"/>
    <hyperlink r:id="rId162" ref="V162"/>
    <hyperlink r:id="rId163" ref="V163"/>
    <hyperlink r:id="rId164" ref="V164"/>
    <hyperlink r:id="rId165" ref="V165"/>
    <hyperlink r:id="rId166" ref="V166"/>
    <hyperlink r:id="rId167" ref="V167"/>
    <hyperlink r:id="rId168" ref="V168"/>
    <hyperlink r:id="rId169" ref="V169"/>
    <hyperlink r:id="rId170" ref="V170"/>
    <hyperlink r:id="rId171" ref="V171"/>
    <hyperlink r:id="rId172" ref="V172"/>
    <hyperlink r:id="rId173" ref="V173"/>
    <hyperlink r:id="rId174" ref="V174"/>
    <hyperlink r:id="rId175" ref="V175"/>
    <hyperlink r:id="rId176" ref="V176"/>
    <hyperlink r:id="rId177" ref="V177"/>
    <hyperlink r:id="rId178" ref="V178"/>
    <hyperlink r:id="rId179" ref="V179"/>
    <hyperlink r:id="rId180" ref="V180"/>
    <hyperlink r:id="rId181" ref="V181"/>
    <hyperlink r:id="rId182" ref="V182"/>
    <hyperlink r:id="rId183" ref="V183"/>
    <hyperlink r:id="rId184" ref="V184"/>
    <hyperlink r:id="rId185" ref="V185"/>
    <hyperlink r:id="rId186" ref="V186"/>
    <hyperlink r:id="rId187" ref="V187"/>
    <hyperlink r:id="rId188" ref="V188"/>
    <hyperlink r:id="rId189" ref="V189"/>
    <hyperlink r:id="rId190" ref="V190"/>
    <hyperlink r:id="rId191" ref="V191"/>
    <hyperlink r:id="rId192" ref="V192"/>
    <hyperlink r:id="rId193" ref="V193"/>
    <hyperlink r:id="rId194" ref="V194"/>
    <hyperlink r:id="rId195" ref="V195"/>
    <hyperlink r:id="rId196" ref="V196"/>
    <hyperlink r:id="rId197" ref="V197"/>
    <hyperlink r:id="rId198" ref="V198"/>
    <hyperlink r:id="rId199" ref="V199"/>
    <hyperlink r:id="rId200" ref="V200"/>
    <hyperlink r:id="rId201" ref="V201"/>
    <hyperlink r:id="rId202" ref="V202"/>
    <hyperlink r:id="rId203" ref="V203"/>
    <hyperlink r:id="rId204" ref="V204"/>
    <hyperlink r:id="rId205" ref="V205"/>
    <hyperlink r:id="rId206" ref="V206"/>
    <hyperlink r:id="rId207" ref="V207"/>
    <hyperlink r:id="rId208" ref="V208"/>
    <hyperlink r:id="rId209" ref="V209"/>
    <hyperlink r:id="rId210" ref="V210"/>
    <hyperlink r:id="rId211" ref="V211"/>
    <hyperlink r:id="rId212" ref="V212"/>
    <hyperlink r:id="rId213" ref="V213"/>
    <hyperlink r:id="rId214" ref="V214"/>
    <hyperlink r:id="rId215" ref="V215"/>
    <hyperlink r:id="rId216" ref="V216"/>
    <hyperlink r:id="rId217" ref="V217"/>
    <hyperlink r:id="rId218" ref="V218"/>
    <hyperlink r:id="rId219" ref="V219"/>
    <hyperlink r:id="rId220" ref="V220"/>
    <hyperlink r:id="rId221" ref="V221"/>
    <hyperlink r:id="rId222" ref="V222"/>
    <hyperlink r:id="rId223" ref="V223"/>
    <hyperlink r:id="rId224" ref="V224"/>
    <hyperlink r:id="rId225" ref="V225"/>
    <hyperlink r:id="rId226" ref="V226"/>
    <hyperlink r:id="rId227" ref="V227"/>
    <hyperlink r:id="rId228" ref="V228"/>
    <hyperlink r:id="rId229" ref="V229"/>
    <hyperlink r:id="rId230" ref="V230"/>
    <hyperlink r:id="rId231" ref="V231"/>
    <hyperlink r:id="rId232" ref="V232"/>
    <hyperlink r:id="rId233" ref="V233"/>
    <hyperlink r:id="rId234" ref="V234"/>
    <hyperlink r:id="rId235" ref="V235"/>
    <hyperlink r:id="rId236" ref="V236"/>
    <hyperlink r:id="rId237" ref="V237"/>
    <hyperlink r:id="rId238" ref="V238"/>
    <hyperlink r:id="rId239" ref="V239"/>
    <hyperlink r:id="rId240" ref="V240"/>
    <hyperlink r:id="rId241" ref="V241"/>
    <hyperlink r:id="rId242" ref="V242"/>
    <hyperlink r:id="rId243" ref="V243"/>
    <hyperlink r:id="rId244" ref="V244"/>
    <hyperlink r:id="rId245" ref="V245"/>
    <hyperlink r:id="rId246" ref="V246"/>
    <hyperlink r:id="rId247" ref="V247"/>
    <hyperlink r:id="rId248" ref="V248"/>
    <hyperlink r:id="rId249" ref="V249"/>
    <hyperlink r:id="rId250" ref="V250"/>
    <hyperlink r:id="rId251" ref="V251"/>
    <hyperlink r:id="rId252" ref="V252"/>
    <hyperlink r:id="rId253" ref="V253"/>
    <hyperlink r:id="rId254" ref="V254"/>
    <hyperlink r:id="rId255" ref="V255"/>
    <hyperlink r:id="rId256" ref="V256"/>
    <hyperlink r:id="rId257" ref="V257"/>
    <hyperlink r:id="rId258" ref="V258"/>
    <hyperlink r:id="rId259" ref="V259"/>
    <hyperlink r:id="rId260" ref="V260"/>
    <hyperlink r:id="rId261" ref="V261"/>
    <hyperlink r:id="rId262" ref="V262"/>
    <hyperlink r:id="rId263" ref="V263"/>
    <hyperlink r:id="rId264" ref="V264"/>
    <hyperlink r:id="rId265" ref="V265"/>
    <hyperlink r:id="rId266" ref="V266"/>
    <hyperlink r:id="rId267" ref="V267"/>
    <hyperlink r:id="rId268" ref="V268"/>
    <hyperlink r:id="rId269" ref="V269"/>
    <hyperlink r:id="rId270" ref="V270"/>
    <hyperlink r:id="rId271" ref="V271"/>
    <hyperlink r:id="rId272" ref="V272"/>
    <hyperlink r:id="rId273" ref="V273"/>
    <hyperlink r:id="rId274" ref="V274"/>
    <hyperlink r:id="rId275" ref="V275"/>
    <hyperlink r:id="rId276" ref="V276"/>
    <hyperlink r:id="rId277" ref="V277"/>
    <hyperlink r:id="rId278" ref="V278"/>
    <hyperlink r:id="rId279" ref="V279"/>
    <hyperlink r:id="rId280" ref="V280"/>
    <hyperlink r:id="rId281" ref="V281"/>
    <hyperlink r:id="rId282" ref="V282"/>
    <hyperlink r:id="rId283" ref="V283"/>
    <hyperlink r:id="rId284" ref="V284"/>
    <hyperlink r:id="rId285" ref="V285"/>
    <hyperlink r:id="rId286" ref="V286"/>
    <hyperlink r:id="rId287" ref="V287"/>
    <hyperlink r:id="rId288" ref="V288"/>
    <hyperlink r:id="rId289" ref="V289"/>
    <hyperlink r:id="rId290" ref="V290"/>
    <hyperlink r:id="rId291" ref="V291"/>
    <hyperlink r:id="rId292" ref="V292"/>
    <hyperlink r:id="rId293" ref="V293"/>
    <hyperlink r:id="rId294" ref="V294"/>
    <hyperlink r:id="rId295" ref="V295"/>
    <hyperlink r:id="rId296" ref="V296"/>
    <hyperlink r:id="rId297" ref="V297"/>
    <hyperlink r:id="rId298" ref="V298"/>
    <hyperlink r:id="rId299" ref="V299"/>
    <hyperlink r:id="rId300" ref="V300"/>
    <hyperlink r:id="rId301" ref="V301"/>
    <hyperlink r:id="rId302" ref="V302"/>
    <hyperlink r:id="rId303" ref="V303"/>
    <hyperlink r:id="rId304" ref="V304"/>
    <hyperlink r:id="rId305" ref="V305"/>
    <hyperlink r:id="rId306" ref="V306"/>
    <hyperlink r:id="rId307" ref="V307"/>
    <hyperlink r:id="rId308" ref="V308"/>
    <hyperlink r:id="rId309" ref="V309"/>
    <hyperlink r:id="rId310" ref="V310"/>
    <hyperlink r:id="rId311" ref="V311"/>
    <hyperlink r:id="rId312" ref="V312"/>
    <hyperlink r:id="rId313" ref="V313"/>
    <hyperlink r:id="rId314" ref="V314"/>
    <hyperlink r:id="rId315" ref="V315"/>
    <hyperlink r:id="rId316" ref="V316"/>
    <hyperlink r:id="rId317" ref="V317"/>
    <hyperlink r:id="rId318" ref="V318"/>
    <hyperlink r:id="rId319" ref="V319"/>
    <hyperlink r:id="rId320" ref="V320"/>
    <hyperlink r:id="rId321" ref="V321"/>
    <hyperlink r:id="rId322" ref="V322"/>
    <hyperlink r:id="rId323" ref="V323"/>
    <hyperlink r:id="rId324" ref="V324"/>
    <hyperlink r:id="rId325" ref="V325"/>
    <hyperlink r:id="rId326" ref="V326"/>
    <hyperlink r:id="rId327" ref="V327"/>
    <hyperlink r:id="rId328" ref="V328"/>
    <hyperlink r:id="rId329" ref="V329"/>
    <hyperlink r:id="rId330" ref="V330"/>
    <hyperlink r:id="rId331" ref="V331"/>
    <hyperlink r:id="rId332" ref="V332"/>
    <hyperlink r:id="rId333" ref="V333"/>
    <hyperlink r:id="rId334" ref="V334"/>
    <hyperlink r:id="rId335" ref="V335"/>
    <hyperlink r:id="rId336" ref="V336"/>
    <hyperlink r:id="rId337" ref="V337"/>
    <hyperlink r:id="rId338" ref="V338"/>
    <hyperlink r:id="rId339" ref="V339"/>
    <hyperlink r:id="rId340" ref="V340"/>
    <hyperlink r:id="rId341" ref="V341"/>
    <hyperlink r:id="rId342" ref="V342"/>
    <hyperlink r:id="rId343" ref="V343"/>
    <hyperlink r:id="rId344" ref="V344"/>
    <hyperlink r:id="rId345" ref="V345"/>
    <hyperlink r:id="rId346" ref="V346"/>
    <hyperlink r:id="rId347" ref="V347"/>
    <hyperlink r:id="rId348" ref="V348"/>
    <hyperlink r:id="rId349" ref="V349"/>
    <hyperlink r:id="rId350" ref="V350"/>
    <hyperlink r:id="rId351" ref="V351"/>
    <hyperlink r:id="rId352" ref="V352"/>
    <hyperlink r:id="rId353" ref="V353"/>
    <hyperlink r:id="rId354" ref="V354"/>
    <hyperlink r:id="rId355" ref="V355"/>
    <hyperlink r:id="rId356" ref="V356"/>
    <hyperlink r:id="rId357" ref="V357"/>
    <hyperlink r:id="rId358" ref="V358"/>
    <hyperlink r:id="rId359" ref="V359"/>
    <hyperlink r:id="rId360" ref="V360"/>
    <hyperlink r:id="rId361" ref="V361"/>
    <hyperlink r:id="rId362" ref="V362"/>
    <hyperlink r:id="rId363" ref="V363"/>
    <hyperlink r:id="rId364" ref="V364"/>
    <hyperlink r:id="rId365" ref="V365"/>
    <hyperlink r:id="rId366" ref="V366"/>
    <hyperlink r:id="rId367" ref="V367"/>
    <hyperlink r:id="rId368" ref="V368"/>
    <hyperlink r:id="rId369" ref="V369"/>
    <hyperlink r:id="rId370" ref="V370"/>
    <hyperlink r:id="rId371" ref="V371"/>
    <hyperlink r:id="rId372" ref="V372"/>
    <hyperlink r:id="rId373" ref="V373"/>
    <hyperlink r:id="rId374" ref="V374"/>
    <hyperlink r:id="rId375" ref="V375"/>
    <hyperlink r:id="rId376" ref="V376"/>
    <hyperlink r:id="rId377" ref="V377"/>
    <hyperlink r:id="rId378" ref="V378"/>
    <hyperlink r:id="rId379" ref="V379"/>
    <hyperlink r:id="rId380" ref="V380"/>
    <hyperlink r:id="rId381" ref="V381"/>
    <hyperlink r:id="rId382" ref="V382"/>
    <hyperlink r:id="rId383" ref="V383"/>
    <hyperlink r:id="rId384" ref="V384"/>
    <hyperlink r:id="rId385" ref="V385"/>
    <hyperlink r:id="rId386" ref="V386"/>
    <hyperlink r:id="rId387" ref="V387"/>
    <hyperlink r:id="rId388" ref="V388"/>
    <hyperlink r:id="rId389" ref="V389"/>
    <hyperlink r:id="rId390" ref="V390"/>
    <hyperlink r:id="rId391" ref="V391"/>
    <hyperlink r:id="rId392" ref="V392"/>
    <hyperlink r:id="rId393" ref="V393"/>
    <hyperlink r:id="rId394" ref="V394"/>
    <hyperlink r:id="rId395" ref="V395"/>
    <hyperlink r:id="rId396" ref="V396"/>
    <hyperlink r:id="rId397" ref="V397"/>
    <hyperlink r:id="rId398" ref="V398"/>
    <hyperlink r:id="rId399" ref="V399"/>
    <hyperlink r:id="rId400" ref="V400"/>
    <hyperlink r:id="rId401" ref="V401"/>
    <hyperlink r:id="rId402" ref="V402"/>
    <hyperlink r:id="rId403" ref="V403"/>
    <hyperlink r:id="rId404" ref="V404"/>
    <hyperlink r:id="rId405" ref="V405"/>
    <hyperlink r:id="rId406" ref="V406"/>
    <hyperlink r:id="rId407" ref="V407"/>
    <hyperlink r:id="rId408" ref="V408"/>
    <hyperlink r:id="rId409" ref="V409"/>
    <hyperlink r:id="rId410" ref="V410"/>
    <hyperlink r:id="rId411" ref="V411"/>
    <hyperlink r:id="rId412" ref="V412"/>
    <hyperlink r:id="rId413" ref="V413"/>
    <hyperlink r:id="rId414" ref="V414"/>
    <hyperlink r:id="rId415" ref="V415"/>
    <hyperlink r:id="rId416" ref="V416"/>
    <hyperlink r:id="rId417" ref="V417"/>
    <hyperlink r:id="rId418" ref="V418"/>
    <hyperlink r:id="rId419" ref="V419"/>
    <hyperlink r:id="rId420" ref="V420"/>
    <hyperlink r:id="rId421" ref="V421"/>
    <hyperlink r:id="rId422" ref="V422"/>
    <hyperlink r:id="rId423" ref="V423"/>
    <hyperlink r:id="rId424" ref="V424"/>
    <hyperlink r:id="rId425" ref="V425"/>
    <hyperlink r:id="rId426" ref="V426"/>
    <hyperlink r:id="rId427" ref="V427"/>
    <hyperlink r:id="rId428" ref="V428"/>
    <hyperlink r:id="rId429" ref="V429"/>
    <hyperlink r:id="rId430" ref="V430"/>
    <hyperlink r:id="rId431" ref="V431"/>
    <hyperlink r:id="rId432" ref="V432"/>
    <hyperlink r:id="rId433" ref="V433"/>
    <hyperlink r:id="rId434" ref="V434"/>
    <hyperlink r:id="rId435" ref="V435"/>
    <hyperlink r:id="rId436" ref="V436"/>
    <hyperlink r:id="rId437" ref="V437"/>
    <hyperlink r:id="rId438" ref="V438"/>
    <hyperlink r:id="rId439" ref="V439"/>
    <hyperlink r:id="rId440" ref="V440"/>
    <hyperlink r:id="rId441" ref="V441"/>
    <hyperlink r:id="rId442" ref="V442"/>
    <hyperlink r:id="rId443" ref="V443"/>
    <hyperlink r:id="rId444" ref="V444"/>
    <hyperlink r:id="rId445" ref="V445"/>
    <hyperlink r:id="rId446" ref="V446"/>
    <hyperlink r:id="rId447" ref="V447"/>
    <hyperlink r:id="rId448" ref="V448"/>
    <hyperlink r:id="rId449" ref="V449"/>
    <hyperlink r:id="rId450" ref="V450"/>
    <hyperlink r:id="rId451" ref="V451"/>
    <hyperlink r:id="rId452" ref="V452"/>
    <hyperlink r:id="rId453" ref="V453"/>
    <hyperlink r:id="rId454" ref="V454"/>
    <hyperlink r:id="rId455" ref="V455"/>
    <hyperlink r:id="rId456" ref="V456"/>
    <hyperlink r:id="rId457" ref="V457"/>
    <hyperlink r:id="rId458" ref="V458"/>
    <hyperlink r:id="rId459" ref="V459"/>
    <hyperlink r:id="rId460" ref="V460"/>
    <hyperlink r:id="rId461" ref="V461"/>
    <hyperlink r:id="rId462" ref="V462"/>
    <hyperlink r:id="rId463" ref="V463"/>
    <hyperlink r:id="rId464" ref="V464"/>
    <hyperlink r:id="rId465" ref="V465"/>
    <hyperlink r:id="rId466" ref="V466"/>
    <hyperlink r:id="rId467" ref="V467"/>
    <hyperlink r:id="rId468" ref="V468"/>
    <hyperlink r:id="rId469" ref="V469"/>
    <hyperlink r:id="rId470" ref="V470"/>
    <hyperlink r:id="rId471" ref="V471"/>
    <hyperlink r:id="rId472" ref="V472"/>
    <hyperlink r:id="rId473" ref="V473"/>
    <hyperlink r:id="rId474" ref="V474"/>
    <hyperlink r:id="rId475" ref="V475"/>
    <hyperlink r:id="rId476" ref="V476"/>
    <hyperlink r:id="rId477" ref="V477"/>
    <hyperlink r:id="rId478" ref="V478"/>
    <hyperlink r:id="rId479" ref="V479"/>
    <hyperlink r:id="rId480" ref="V480"/>
    <hyperlink r:id="rId481" ref="V481"/>
    <hyperlink r:id="rId482" ref="V482"/>
    <hyperlink r:id="rId483" ref="V483"/>
    <hyperlink r:id="rId484" ref="V484"/>
    <hyperlink r:id="rId485" ref="V485"/>
    <hyperlink r:id="rId486" ref="V486"/>
    <hyperlink r:id="rId487" ref="V487"/>
    <hyperlink r:id="rId488" ref="V488"/>
    <hyperlink r:id="rId489" ref="V489"/>
    <hyperlink r:id="rId490" ref="V490"/>
    <hyperlink r:id="rId491" ref="V491"/>
    <hyperlink r:id="rId492" ref="V492"/>
    <hyperlink r:id="rId493" ref="V493"/>
    <hyperlink r:id="rId494" ref="V494"/>
    <hyperlink r:id="rId495" ref="V495"/>
    <hyperlink r:id="rId496" ref="V496"/>
    <hyperlink r:id="rId497" ref="V497"/>
    <hyperlink r:id="rId498" ref="V498"/>
    <hyperlink r:id="rId499" ref="V499"/>
    <hyperlink r:id="rId500" ref="V500"/>
    <hyperlink r:id="rId501" ref="V501"/>
    <hyperlink r:id="rId502" ref="V502"/>
    <hyperlink r:id="rId503" ref="V503"/>
    <hyperlink r:id="rId504" ref="V504"/>
    <hyperlink r:id="rId505" ref="V505"/>
    <hyperlink r:id="rId506" ref="V506"/>
    <hyperlink r:id="rId507" ref="V507"/>
    <hyperlink r:id="rId508" ref="V508"/>
    <hyperlink r:id="rId509" ref="V509"/>
    <hyperlink r:id="rId510" ref="V510"/>
    <hyperlink r:id="rId511" ref="V511"/>
    <hyperlink r:id="rId512" ref="V512"/>
    <hyperlink r:id="rId513" ref="V513"/>
    <hyperlink r:id="rId514" ref="V514"/>
    <hyperlink r:id="rId515" ref="V515"/>
    <hyperlink r:id="rId516" ref="V516"/>
    <hyperlink r:id="rId517" ref="V517"/>
    <hyperlink r:id="rId518" ref="V518"/>
    <hyperlink r:id="rId519" ref="V519"/>
    <hyperlink r:id="rId520" ref="V520"/>
    <hyperlink r:id="rId521" ref="V521"/>
    <hyperlink r:id="rId522" ref="V522"/>
    <hyperlink r:id="rId523" ref="V523"/>
    <hyperlink r:id="rId524" ref="V524"/>
    <hyperlink r:id="rId525" ref="V525"/>
    <hyperlink r:id="rId526" ref="V526"/>
    <hyperlink r:id="rId527" ref="V527"/>
    <hyperlink r:id="rId528" ref="V528"/>
    <hyperlink r:id="rId529" ref="V529"/>
    <hyperlink r:id="rId530" ref="V530"/>
    <hyperlink r:id="rId531" ref="V531"/>
    <hyperlink r:id="rId532" ref="V532"/>
    <hyperlink r:id="rId533" ref="V533"/>
    <hyperlink r:id="rId534" ref="V534"/>
    <hyperlink r:id="rId535" ref="V535"/>
    <hyperlink r:id="rId536" ref="V536"/>
    <hyperlink r:id="rId537" ref="V537"/>
    <hyperlink r:id="rId538" ref="V538"/>
    <hyperlink r:id="rId539" ref="V539"/>
    <hyperlink r:id="rId540" ref="V540"/>
    <hyperlink r:id="rId541" ref="V541"/>
    <hyperlink r:id="rId542" ref="V542"/>
    <hyperlink r:id="rId543" ref="V543"/>
    <hyperlink r:id="rId544" ref="V544"/>
    <hyperlink r:id="rId545" ref="V545"/>
    <hyperlink r:id="rId546" ref="V546"/>
    <hyperlink r:id="rId547" ref="V547"/>
    <hyperlink r:id="rId548" ref="V548"/>
    <hyperlink r:id="rId549" ref="V549"/>
    <hyperlink r:id="rId550" ref="V550"/>
    <hyperlink r:id="rId551" ref="V551"/>
    <hyperlink r:id="rId552" ref="V552"/>
    <hyperlink r:id="rId553" ref="V553"/>
    <hyperlink r:id="rId554" ref="V554"/>
    <hyperlink r:id="rId555" ref="V555"/>
    <hyperlink r:id="rId556" ref="V556"/>
    <hyperlink r:id="rId557" ref="V557"/>
    <hyperlink r:id="rId558" ref="V558"/>
    <hyperlink r:id="rId559" ref="V559"/>
    <hyperlink r:id="rId560" ref="V560"/>
    <hyperlink r:id="rId561" ref="V561"/>
    <hyperlink r:id="rId562" ref="V562"/>
    <hyperlink r:id="rId563" ref="V563"/>
    <hyperlink r:id="rId564" ref="V564"/>
    <hyperlink r:id="rId565" ref="V565"/>
    <hyperlink r:id="rId566" ref="V566"/>
    <hyperlink r:id="rId567" ref="V567"/>
    <hyperlink r:id="rId568" ref="V568"/>
    <hyperlink r:id="rId569" ref="V569"/>
    <hyperlink r:id="rId570" ref="V570"/>
    <hyperlink r:id="rId571" ref="V571"/>
    <hyperlink r:id="rId572" ref="V572"/>
    <hyperlink r:id="rId573" ref="V573"/>
    <hyperlink r:id="rId574" ref="V574"/>
    <hyperlink r:id="rId575" ref="V575"/>
    <hyperlink r:id="rId576" ref="V576"/>
    <hyperlink r:id="rId577" ref="V577"/>
    <hyperlink r:id="rId578" ref="V578"/>
    <hyperlink r:id="rId579" ref="V579"/>
    <hyperlink r:id="rId580" ref="V580"/>
    <hyperlink r:id="rId581" ref="V581"/>
    <hyperlink r:id="rId582" ref="V582"/>
    <hyperlink r:id="rId583" ref="V583"/>
    <hyperlink r:id="rId584" ref="V584"/>
    <hyperlink r:id="rId585" ref="V585"/>
    <hyperlink r:id="rId586" ref="V586"/>
    <hyperlink r:id="rId587" ref="V587"/>
    <hyperlink r:id="rId588" ref="V588"/>
    <hyperlink r:id="rId589" ref="V589"/>
    <hyperlink r:id="rId590" ref="V590"/>
    <hyperlink r:id="rId591" ref="V591"/>
    <hyperlink r:id="rId592" ref="V592"/>
    <hyperlink r:id="rId593" ref="V593"/>
    <hyperlink r:id="rId594" ref="V594"/>
    <hyperlink r:id="rId595" ref="V595"/>
    <hyperlink r:id="rId596" ref="V596"/>
    <hyperlink r:id="rId597" ref="V597"/>
    <hyperlink r:id="rId598" ref="V598"/>
    <hyperlink r:id="rId599" ref="V599"/>
    <hyperlink r:id="rId600" ref="V600"/>
    <hyperlink r:id="rId601" ref="V601"/>
    <hyperlink r:id="rId602" ref="V602"/>
    <hyperlink r:id="rId603" ref="V603"/>
    <hyperlink r:id="rId604" ref="V604"/>
    <hyperlink r:id="rId605" ref="V605"/>
    <hyperlink r:id="rId606" ref="V606"/>
    <hyperlink r:id="rId607" ref="V607"/>
    <hyperlink r:id="rId608" ref="V608"/>
    <hyperlink r:id="rId609" ref="V609"/>
    <hyperlink r:id="rId610" ref="V610"/>
    <hyperlink r:id="rId611" ref="V611"/>
    <hyperlink r:id="rId612" ref="V612"/>
    <hyperlink r:id="rId613" ref="V613"/>
    <hyperlink r:id="rId614" ref="V614"/>
    <hyperlink r:id="rId615" ref="V615"/>
    <hyperlink r:id="rId616" ref="V616"/>
    <hyperlink r:id="rId617" ref="V617"/>
    <hyperlink r:id="rId618" ref="V618"/>
    <hyperlink r:id="rId619" ref="V619"/>
    <hyperlink r:id="rId620" ref="V620"/>
    <hyperlink r:id="rId621" ref="V621"/>
    <hyperlink r:id="rId622" ref="V622"/>
    <hyperlink r:id="rId623" ref="V623"/>
    <hyperlink r:id="rId624" ref="V624"/>
    <hyperlink r:id="rId625" ref="V625"/>
    <hyperlink r:id="rId626" ref="V626"/>
    <hyperlink r:id="rId627" ref="V627"/>
    <hyperlink r:id="rId628" ref="V628"/>
    <hyperlink r:id="rId629" ref="V629"/>
    <hyperlink r:id="rId630" ref="V630"/>
    <hyperlink r:id="rId631" ref="V631"/>
    <hyperlink r:id="rId632" ref="V632"/>
    <hyperlink r:id="rId633" ref="V633"/>
    <hyperlink r:id="rId634" ref="V634"/>
    <hyperlink r:id="rId635" ref="V635"/>
    <hyperlink r:id="rId636" ref="V636"/>
    <hyperlink r:id="rId637" ref="V637"/>
    <hyperlink r:id="rId638" ref="V638"/>
    <hyperlink r:id="rId639" ref="V639"/>
    <hyperlink r:id="rId640" ref="V640"/>
    <hyperlink r:id="rId641" ref="V641"/>
    <hyperlink r:id="rId642" ref="V642"/>
    <hyperlink r:id="rId643" ref="V643"/>
    <hyperlink r:id="rId644" ref="V644"/>
    <hyperlink r:id="rId645" ref="V645"/>
    <hyperlink r:id="rId646" ref="V646"/>
    <hyperlink r:id="rId647" ref="V647"/>
    <hyperlink r:id="rId648" ref="V648"/>
    <hyperlink r:id="rId649" ref="V649"/>
    <hyperlink r:id="rId650" ref="V650"/>
    <hyperlink r:id="rId651" ref="V651"/>
    <hyperlink r:id="rId652" ref="V652"/>
    <hyperlink r:id="rId653" ref="V653"/>
    <hyperlink r:id="rId654" ref="V654"/>
    <hyperlink r:id="rId655" ref="V655"/>
    <hyperlink r:id="rId656" ref="V656"/>
    <hyperlink r:id="rId657" ref="V657"/>
    <hyperlink r:id="rId658" ref="V658"/>
    <hyperlink r:id="rId659" ref="V659"/>
    <hyperlink r:id="rId660" ref="V660"/>
    <hyperlink r:id="rId661" ref="V661"/>
    <hyperlink r:id="rId662" ref="V662"/>
    <hyperlink r:id="rId663" ref="V663"/>
    <hyperlink r:id="rId664" ref="V664"/>
    <hyperlink r:id="rId665" ref="V665"/>
    <hyperlink r:id="rId666" ref="V666"/>
    <hyperlink r:id="rId667" ref="V667"/>
    <hyperlink r:id="rId668" ref="V668"/>
    <hyperlink r:id="rId669" ref="V669"/>
    <hyperlink r:id="rId670" ref="V670"/>
    <hyperlink r:id="rId671" ref="V671"/>
    <hyperlink r:id="rId672" ref="V672"/>
    <hyperlink r:id="rId673" ref="V673"/>
    <hyperlink r:id="rId674" ref="V674"/>
    <hyperlink r:id="rId675" ref="V675"/>
    <hyperlink r:id="rId676" ref="V676"/>
    <hyperlink r:id="rId677" ref="V677"/>
    <hyperlink r:id="rId678" ref="V678"/>
    <hyperlink r:id="rId679" ref="V679"/>
    <hyperlink r:id="rId680" ref="V680"/>
    <hyperlink r:id="rId681" ref="V681"/>
    <hyperlink r:id="rId682" ref="V682"/>
    <hyperlink r:id="rId683" ref="V683"/>
    <hyperlink r:id="rId684" ref="V684"/>
    <hyperlink r:id="rId685" ref="V685"/>
    <hyperlink r:id="rId686" ref="V686"/>
    <hyperlink r:id="rId687" ref="V687"/>
    <hyperlink r:id="rId688" ref="V688"/>
    <hyperlink r:id="rId689" ref="V689"/>
    <hyperlink r:id="rId690" ref="V690"/>
    <hyperlink r:id="rId691" ref="V691"/>
    <hyperlink r:id="rId692" ref="V692"/>
    <hyperlink r:id="rId693" ref="V693"/>
    <hyperlink r:id="rId694" ref="V694"/>
    <hyperlink r:id="rId695" ref="V695"/>
    <hyperlink r:id="rId696" ref="V696"/>
    <hyperlink r:id="rId697" ref="V697"/>
    <hyperlink r:id="rId698" ref="V698"/>
    <hyperlink r:id="rId699" ref="V699"/>
    <hyperlink r:id="rId700" ref="V700"/>
    <hyperlink r:id="rId701" ref="V701"/>
    <hyperlink r:id="rId702" ref="V702"/>
    <hyperlink r:id="rId703" ref="V703"/>
    <hyperlink r:id="rId704" ref="V704"/>
    <hyperlink r:id="rId705" ref="V705"/>
    <hyperlink r:id="rId706" ref="V706"/>
    <hyperlink r:id="rId707" ref="V707"/>
    <hyperlink r:id="rId708" ref="V708"/>
    <hyperlink r:id="rId709" ref="V709"/>
    <hyperlink r:id="rId710" ref="V710"/>
    <hyperlink r:id="rId711" ref="V711"/>
    <hyperlink r:id="rId712" ref="V712"/>
    <hyperlink r:id="rId713" ref="V713"/>
    <hyperlink r:id="rId714" ref="V714"/>
    <hyperlink r:id="rId715" ref="V715"/>
    <hyperlink r:id="rId716" ref="V716"/>
    <hyperlink r:id="rId717" ref="V717"/>
    <hyperlink r:id="rId718" ref="V718"/>
    <hyperlink r:id="rId719" ref="V719"/>
    <hyperlink r:id="rId720" ref="V720"/>
    <hyperlink r:id="rId721" ref="V721"/>
    <hyperlink r:id="rId722" ref="V722"/>
    <hyperlink r:id="rId723" ref="V723"/>
    <hyperlink r:id="rId724" ref="V724"/>
    <hyperlink r:id="rId725" ref="V725"/>
    <hyperlink r:id="rId726" ref="V726"/>
    <hyperlink r:id="rId727" ref="V727"/>
    <hyperlink r:id="rId728" ref="V728"/>
    <hyperlink r:id="rId729" ref="V729"/>
    <hyperlink r:id="rId730" ref="V730"/>
    <hyperlink r:id="rId731" ref="V731"/>
    <hyperlink r:id="rId732" ref="V732"/>
    <hyperlink r:id="rId733" ref="V733"/>
    <hyperlink r:id="rId734" ref="V734"/>
    <hyperlink r:id="rId735" ref="V735"/>
    <hyperlink r:id="rId736" ref="V736"/>
    <hyperlink r:id="rId737" ref="V737"/>
    <hyperlink r:id="rId738" ref="V738"/>
    <hyperlink r:id="rId739" ref="V739"/>
    <hyperlink r:id="rId740" ref="V740"/>
    <hyperlink r:id="rId741" ref="V741"/>
    <hyperlink r:id="rId742" ref="V742"/>
    <hyperlink r:id="rId743" ref="V743"/>
    <hyperlink r:id="rId744" ref="V744"/>
    <hyperlink r:id="rId745" ref="V745"/>
    <hyperlink r:id="rId746" ref="V746"/>
    <hyperlink r:id="rId747" ref="V747"/>
    <hyperlink r:id="rId748" ref="V748"/>
    <hyperlink r:id="rId749" ref="V749"/>
    <hyperlink r:id="rId750" ref="V750"/>
    <hyperlink r:id="rId751" ref="V751"/>
    <hyperlink r:id="rId752" ref="V752"/>
    <hyperlink r:id="rId753" ref="V753"/>
    <hyperlink r:id="rId754" ref="V754"/>
    <hyperlink r:id="rId755" ref="V755"/>
    <hyperlink r:id="rId756" ref="V756"/>
    <hyperlink r:id="rId757" ref="V757"/>
    <hyperlink r:id="rId758" ref="V758"/>
    <hyperlink r:id="rId759" ref="V759"/>
    <hyperlink r:id="rId760" ref="V760"/>
    <hyperlink r:id="rId761" ref="V761"/>
    <hyperlink r:id="rId762" ref="V762"/>
    <hyperlink r:id="rId763" ref="V763"/>
    <hyperlink r:id="rId764" ref="V764"/>
    <hyperlink r:id="rId765" ref="V765"/>
    <hyperlink r:id="rId766" ref="V766"/>
    <hyperlink r:id="rId767" ref="V767"/>
    <hyperlink r:id="rId768" ref="V768"/>
    <hyperlink r:id="rId769" ref="V769"/>
    <hyperlink r:id="rId770" ref="V770"/>
    <hyperlink r:id="rId771" ref="V771"/>
    <hyperlink r:id="rId772" ref="V772"/>
    <hyperlink r:id="rId773" ref="V773"/>
    <hyperlink r:id="rId774" ref="V774"/>
    <hyperlink r:id="rId775" ref="V775"/>
    <hyperlink r:id="rId776" ref="V776"/>
    <hyperlink r:id="rId777" ref="V777"/>
    <hyperlink r:id="rId778" ref="V778"/>
    <hyperlink r:id="rId779" ref="V779"/>
    <hyperlink r:id="rId780" ref="V780"/>
    <hyperlink r:id="rId781" ref="V781"/>
    <hyperlink r:id="rId782" ref="V782"/>
    <hyperlink r:id="rId783" ref="V783"/>
    <hyperlink r:id="rId784" ref="V784"/>
    <hyperlink r:id="rId785" ref="V785"/>
    <hyperlink r:id="rId786" ref="V786"/>
    <hyperlink r:id="rId787" ref="V787"/>
    <hyperlink r:id="rId788" ref="V788"/>
    <hyperlink r:id="rId789" ref="V789"/>
    <hyperlink r:id="rId790" ref="V790"/>
    <hyperlink r:id="rId791" ref="V791"/>
    <hyperlink r:id="rId792" ref="V792"/>
    <hyperlink r:id="rId793" ref="V793"/>
    <hyperlink r:id="rId794" ref="V794"/>
    <hyperlink r:id="rId795" ref="V795"/>
    <hyperlink r:id="rId796" ref="V796"/>
    <hyperlink r:id="rId797" ref="V797"/>
    <hyperlink r:id="rId798" ref="V798"/>
    <hyperlink r:id="rId799" ref="V799"/>
    <hyperlink r:id="rId800" ref="V800"/>
    <hyperlink r:id="rId801" ref="V801"/>
    <hyperlink r:id="rId802" ref="V802"/>
    <hyperlink r:id="rId803" ref="V803"/>
    <hyperlink r:id="rId804" ref="V804"/>
    <hyperlink r:id="rId805" ref="V805"/>
    <hyperlink r:id="rId806" ref="V806"/>
    <hyperlink r:id="rId807" ref="V807"/>
    <hyperlink r:id="rId808" ref="V808"/>
    <hyperlink r:id="rId809" ref="V809"/>
  </hyperlinks>
  <drawing r:id="rId810"/>
  <legacyDrawing r:id="rId8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0.13"/>
    <col customWidth="1" min="4" max="4" width="34.88"/>
    <col customWidth="1" min="12" max="12" width="9.38"/>
    <col customWidth="1" min="13" max="17" width="23.88"/>
    <col customWidth="1" min="22" max="22" width="28.38"/>
  </cols>
  <sheetData>
    <row r="1">
      <c r="A1" s="50" t="s">
        <v>766</v>
      </c>
      <c r="B1" s="50" t="s">
        <v>801</v>
      </c>
      <c r="C1" s="50" t="s">
        <v>803</v>
      </c>
      <c r="D1" s="50" t="s">
        <v>804</v>
      </c>
      <c r="E1" s="50" t="s">
        <v>805</v>
      </c>
      <c r="F1" s="50" t="s">
        <v>806</v>
      </c>
      <c r="G1" s="50" t="s">
        <v>807</v>
      </c>
      <c r="H1" s="50" t="s">
        <v>808</v>
      </c>
      <c r="I1" s="50" t="s">
        <v>810</v>
      </c>
      <c r="J1" s="50" t="s">
        <v>811</v>
      </c>
      <c r="K1" s="50" t="s">
        <v>812</v>
      </c>
      <c r="L1" s="50" t="s">
        <v>815</v>
      </c>
      <c r="M1" s="50" t="s">
        <v>818</v>
      </c>
      <c r="N1" s="50" t="s">
        <v>820</v>
      </c>
      <c r="O1" s="50" t="s">
        <v>824</v>
      </c>
      <c r="P1" s="50" t="s">
        <v>826</v>
      </c>
      <c r="Q1" s="50" t="s">
        <v>32</v>
      </c>
      <c r="R1" s="50" t="s">
        <v>34</v>
      </c>
      <c r="S1" s="50" t="s">
        <v>829</v>
      </c>
      <c r="T1" s="50" t="s">
        <v>13</v>
      </c>
      <c r="U1" s="50" t="s">
        <v>14</v>
      </c>
      <c r="V1" s="50" t="s">
        <v>830</v>
      </c>
      <c r="W1" s="50" t="s">
        <v>831</v>
      </c>
      <c r="X1" s="50" t="s">
        <v>832</v>
      </c>
      <c r="Y1" s="50" t="s">
        <v>834</v>
      </c>
      <c r="Z1" s="50" t="s">
        <v>835</v>
      </c>
      <c r="AA1" s="50" t="s">
        <v>836</v>
      </c>
      <c r="AB1" s="50" t="s">
        <v>837</v>
      </c>
      <c r="AC1" s="50" t="s">
        <v>839</v>
      </c>
      <c r="AD1" s="50" t="s">
        <v>842</v>
      </c>
    </row>
    <row r="2">
      <c r="A2" s="51" t="s">
        <v>845</v>
      </c>
      <c r="B2" s="51" t="s">
        <v>849</v>
      </c>
      <c r="C2" s="51" t="s">
        <v>850</v>
      </c>
      <c r="D2" s="51" t="s">
        <v>851</v>
      </c>
      <c r="E2" s="52">
        <v>100.0</v>
      </c>
      <c r="F2" s="52">
        <v>0.0</v>
      </c>
      <c r="G2" s="52">
        <v>100.0</v>
      </c>
      <c r="H2" s="51" t="s">
        <v>854</v>
      </c>
      <c r="I2" s="51" t="s">
        <v>855</v>
      </c>
      <c r="J2" s="53" t="s">
        <v>859</v>
      </c>
      <c r="K2" s="54"/>
      <c r="M2" s="51" t="s">
        <v>888</v>
      </c>
      <c r="N2" s="51" t="s">
        <v>888</v>
      </c>
      <c r="O2" s="51" t="s">
        <v>890</v>
      </c>
      <c r="P2" s="51" t="b">
        <v>0</v>
      </c>
      <c r="Q2" s="51" t="s">
        <v>892</v>
      </c>
      <c r="R2" s="53" t="s">
        <v>896</v>
      </c>
      <c r="S2" s="51" t="s">
        <v>922</v>
      </c>
      <c r="T2" s="62">
        <v>13.7130297</v>
      </c>
      <c r="U2" s="62">
        <v>100.4950825</v>
      </c>
      <c r="V2" s="51" t="s">
        <v>926</v>
      </c>
      <c r="W2" s="53" t="s">
        <v>927</v>
      </c>
      <c r="X2" s="51" t="s">
        <v>972</v>
      </c>
      <c r="Y2" s="53" t="s">
        <v>927</v>
      </c>
      <c r="Z2" s="51" t="s">
        <v>975</v>
      </c>
      <c r="AA2" s="53" t="s">
        <v>976</v>
      </c>
      <c r="AB2" s="51" t="s">
        <v>1022</v>
      </c>
      <c r="AC2" s="51" t="s">
        <v>1023</v>
      </c>
      <c r="AD2" s="51" t="s">
        <v>972</v>
      </c>
    </row>
    <row r="3">
      <c r="A3" s="51" t="s">
        <v>1029</v>
      </c>
      <c r="B3" s="51" t="s">
        <v>849</v>
      </c>
      <c r="C3" s="51" t="s">
        <v>1030</v>
      </c>
      <c r="D3" s="51" t="s">
        <v>851</v>
      </c>
      <c r="E3" s="52">
        <v>30.0</v>
      </c>
      <c r="F3" s="52">
        <v>0.0</v>
      </c>
      <c r="G3" s="52">
        <v>30.0</v>
      </c>
      <c r="H3" s="51" t="s">
        <v>854</v>
      </c>
      <c r="I3" s="51" t="s">
        <v>855</v>
      </c>
      <c r="J3" s="53" t="s">
        <v>1031</v>
      </c>
      <c r="K3" s="54"/>
      <c r="M3" s="51" t="s">
        <v>888</v>
      </c>
      <c r="N3" s="51" t="s">
        <v>888</v>
      </c>
      <c r="O3" s="51" t="s">
        <v>890</v>
      </c>
      <c r="P3" s="51" t="b">
        <v>0</v>
      </c>
      <c r="Q3" s="51" t="s">
        <v>892</v>
      </c>
      <c r="R3" s="53" t="s">
        <v>896</v>
      </c>
      <c r="S3" s="51" t="s">
        <v>1050</v>
      </c>
      <c r="T3" s="62">
        <v>13.7340315</v>
      </c>
      <c r="U3" s="62">
        <v>100.5064553</v>
      </c>
      <c r="V3" s="51" t="s">
        <v>926</v>
      </c>
      <c r="W3" s="53" t="s">
        <v>1051</v>
      </c>
      <c r="X3" s="51" t="s">
        <v>972</v>
      </c>
      <c r="Y3" s="53" t="s">
        <v>1051</v>
      </c>
      <c r="Z3" s="51" t="s">
        <v>975</v>
      </c>
      <c r="AA3" s="53" t="s">
        <v>1099</v>
      </c>
      <c r="AB3" s="51" t="s">
        <v>1141</v>
      </c>
      <c r="AC3" s="51" t="s">
        <v>1142</v>
      </c>
      <c r="AD3" s="51" t="s">
        <v>972</v>
      </c>
    </row>
    <row r="4">
      <c r="A4" s="51" t="s">
        <v>1146</v>
      </c>
      <c r="B4" s="51" t="s">
        <v>849</v>
      </c>
      <c r="C4" s="51" t="s">
        <v>1149</v>
      </c>
      <c r="D4" s="51" t="s">
        <v>851</v>
      </c>
      <c r="E4" s="52">
        <v>30.0</v>
      </c>
      <c r="F4" s="52">
        <v>0.0</v>
      </c>
      <c r="G4" s="52">
        <v>30.0</v>
      </c>
      <c r="H4" s="51" t="s">
        <v>854</v>
      </c>
      <c r="I4" s="51" t="s">
        <v>855</v>
      </c>
      <c r="J4" s="53" t="s">
        <v>1151</v>
      </c>
      <c r="K4" s="54"/>
      <c r="M4" s="51" t="s">
        <v>888</v>
      </c>
      <c r="N4" s="51" t="s">
        <v>888</v>
      </c>
      <c r="O4" s="51" t="s">
        <v>890</v>
      </c>
      <c r="P4" s="51" t="b">
        <v>0</v>
      </c>
      <c r="Q4" s="51" t="s">
        <v>892</v>
      </c>
      <c r="R4" s="53" t="s">
        <v>896</v>
      </c>
      <c r="S4" s="51" t="s">
        <v>1171</v>
      </c>
      <c r="T4" s="62">
        <v>13.7323046</v>
      </c>
      <c r="U4" s="62">
        <v>100.5079075</v>
      </c>
      <c r="V4" s="51" t="s">
        <v>926</v>
      </c>
      <c r="W4" s="53" t="s">
        <v>1173</v>
      </c>
      <c r="X4" s="51" t="s">
        <v>972</v>
      </c>
      <c r="Y4" s="53" t="s">
        <v>1173</v>
      </c>
      <c r="Z4" s="51" t="s">
        <v>975</v>
      </c>
      <c r="AA4" s="53" t="s">
        <v>1219</v>
      </c>
      <c r="AB4" s="51" t="s">
        <v>1256</v>
      </c>
      <c r="AC4" s="51" t="s">
        <v>1257</v>
      </c>
      <c r="AD4" s="51" t="s">
        <v>972</v>
      </c>
    </row>
    <row r="5">
      <c r="A5" s="51" t="s">
        <v>1260</v>
      </c>
      <c r="B5" s="51" t="s">
        <v>849</v>
      </c>
      <c r="C5" s="51" t="s">
        <v>1262</v>
      </c>
      <c r="D5" s="51" t="s">
        <v>851</v>
      </c>
      <c r="E5" s="52">
        <v>50.0</v>
      </c>
      <c r="F5" s="52">
        <v>0.0</v>
      </c>
      <c r="G5" s="52">
        <v>50.0</v>
      </c>
      <c r="H5" s="51" t="s">
        <v>854</v>
      </c>
      <c r="I5" s="51" t="s">
        <v>855</v>
      </c>
      <c r="J5" s="53" t="s">
        <v>1268</v>
      </c>
      <c r="K5" s="54"/>
      <c r="M5" s="51" t="s">
        <v>888</v>
      </c>
      <c r="N5" s="51" t="s">
        <v>888</v>
      </c>
      <c r="O5" s="51" t="s">
        <v>890</v>
      </c>
      <c r="P5" s="51" t="b">
        <v>0</v>
      </c>
      <c r="Q5" s="51" t="s">
        <v>892</v>
      </c>
      <c r="R5" s="53" t="s">
        <v>896</v>
      </c>
      <c r="S5" s="51" t="s">
        <v>1281</v>
      </c>
      <c r="T5" s="62">
        <v>13.7245957</v>
      </c>
      <c r="U5" s="62">
        <v>100.5006612</v>
      </c>
      <c r="V5" s="51" t="s">
        <v>926</v>
      </c>
      <c r="W5" s="53" t="s">
        <v>1282</v>
      </c>
      <c r="X5" s="51" t="s">
        <v>972</v>
      </c>
      <c r="Y5" s="53" t="s">
        <v>1282</v>
      </c>
      <c r="Z5" s="51" t="s">
        <v>975</v>
      </c>
      <c r="AA5" s="53" t="s">
        <v>1323</v>
      </c>
      <c r="AB5" s="51" t="s">
        <v>1365</v>
      </c>
      <c r="AC5" s="51" t="s">
        <v>1366</v>
      </c>
      <c r="AD5" s="51" t="s">
        <v>972</v>
      </c>
    </row>
    <row r="6">
      <c r="A6" s="51" t="s">
        <v>1367</v>
      </c>
      <c r="B6" s="51" t="s">
        <v>849</v>
      </c>
      <c r="C6" s="51" t="s">
        <v>1368</v>
      </c>
      <c r="D6" s="51" t="s">
        <v>851</v>
      </c>
      <c r="E6" s="52">
        <v>50.0</v>
      </c>
      <c r="F6" s="52">
        <v>0.0</v>
      </c>
      <c r="G6" s="52">
        <v>50.0</v>
      </c>
      <c r="H6" s="51" t="s">
        <v>854</v>
      </c>
      <c r="I6" s="51" t="s">
        <v>855</v>
      </c>
      <c r="J6" s="53" t="s">
        <v>1370</v>
      </c>
      <c r="K6" s="54"/>
      <c r="M6" s="51" t="s">
        <v>888</v>
      </c>
      <c r="N6" s="51" t="s">
        <v>888</v>
      </c>
      <c r="O6" s="51" t="s">
        <v>890</v>
      </c>
      <c r="P6" s="51" t="b">
        <v>0</v>
      </c>
      <c r="Q6" s="51" t="s">
        <v>892</v>
      </c>
      <c r="R6" s="53" t="s">
        <v>896</v>
      </c>
      <c r="S6" s="51" t="s">
        <v>1386</v>
      </c>
      <c r="T6" s="62">
        <v>13.732624</v>
      </c>
      <c r="U6" s="62">
        <v>100.4972155</v>
      </c>
      <c r="V6" s="51" t="s">
        <v>926</v>
      </c>
      <c r="W6" s="53" t="s">
        <v>1392</v>
      </c>
      <c r="X6" s="51" t="s">
        <v>972</v>
      </c>
      <c r="Y6" s="53" t="s">
        <v>1392</v>
      </c>
      <c r="Z6" s="51" t="s">
        <v>975</v>
      </c>
      <c r="AA6" s="53" t="s">
        <v>1434</v>
      </c>
      <c r="AB6" s="51" t="s">
        <v>1466</v>
      </c>
      <c r="AC6" s="51" t="s">
        <v>1468</v>
      </c>
      <c r="AD6" s="51" t="s">
        <v>972</v>
      </c>
    </row>
    <row r="7">
      <c r="A7" s="51" t="s">
        <v>1470</v>
      </c>
      <c r="B7" s="51" t="s">
        <v>849</v>
      </c>
      <c r="C7" s="51" t="s">
        <v>1472</v>
      </c>
      <c r="D7" s="51" t="s">
        <v>851</v>
      </c>
      <c r="E7" s="52">
        <v>50.0</v>
      </c>
      <c r="F7" s="52">
        <v>0.0</v>
      </c>
      <c r="G7" s="52">
        <v>50.0</v>
      </c>
      <c r="H7" s="51" t="s">
        <v>854</v>
      </c>
      <c r="I7" s="51" t="s">
        <v>855</v>
      </c>
      <c r="J7" s="53" t="s">
        <v>1477</v>
      </c>
      <c r="K7" s="54"/>
      <c r="M7" s="51" t="s">
        <v>888</v>
      </c>
      <c r="N7" s="51" t="s">
        <v>888</v>
      </c>
      <c r="O7" s="51" t="s">
        <v>890</v>
      </c>
      <c r="P7" s="51" t="b">
        <v>0</v>
      </c>
      <c r="Q7" s="51" t="s">
        <v>892</v>
      </c>
      <c r="R7" s="53" t="s">
        <v>896</v>
      </c>
      <c r="S7" s="51" t="s">
        <v>1491</v>
      </c>
      <c r="T7" s="62">
        <v>13.7131526</v>
      </c>
      <c r="U7" s="62">
        <v>100.4934734</v>
      </c>
      <c r="V7" s="51" t="s">
        <v>926</v>
      </c>
      <c r="W7" s="53" t="s">
        <v>1496</v>
      </c>
      <c r="X7" s="51" t="s">
        <v>972</v>
      </c>
      <c r="Y7" s="53" t="s">
        <v>1496</v>
      </c>
      <c r="Z7" s="51" t="s">
        <v>975</v>
      </c>
      <c r="AA7" s="53" t="s">
        <v>1540</v>
      </c>
      <c r="AB7" s="51" t="s">
        <v>1589</v>
      </c>
      <c r="AC7" s="51" t="s">
        <v>1591</v>
      </c>
      <c r="AD7" s="51" t="s">
        <v>972</v>
      </c>
    </row>
    <row r="8">
      <c r="A8" s="51" t="s">
        <v>1595</v>
      </c>
      <c r="B8" s="51" t="s">
        <v>849</v>
      </c>
      <c r="C8" s="51" t="s">
        <v>1597</v>
      </c>
      <c r="D8" s="51" t="s">
        <v>851</v>
      </c>
      <c r="E8" s="52">
        <v>50.0</v>
      </c>
      <c r="F8" s="52">
        <v>0.0</v>
      </c>
      <c r="G8" s="52">
        <v>50.0</v>
      </c>
      <c r="H8" s="51" t="s">
        <v>854</v>
      </c>
      <c r="I8" s="51" t="s">
        <v>855</v>
      </c>
      <c r="J8" s="53" t="s">
        <v>1601</v>
      </c>
      <c r="K8" s="54"/>
      <c r="M8" s="51" t="s">
        <v>888</v>
      </c>
      <c r="N8" s="51" t="s">
        <v>888</v>
      </c>
      <c r="O8" s="51" t="s">
        <v>890</v>
      </c>
      <c r="P8" s="51" t="b">
        <v>0</v>
      </c>
      <c r="Q8" s="51" t="s">
        <v>892</v>
      </c>
      <c r="R8" s="53" t="s">
        <v>896</v>
      </c>
      <c r="S8" s="51" t="s">
        <v>1637</v>
      </c>
      <c r="T8" s="62">
        <v>13.7241399</v>
      </c>
      <c r="U8" s="62">
        <v>100.5101084</v>
      </c>
      <c r="V8" s="51" t="s">
        <v>926</v>
      </c>
      <c r="W8" s="53" t="s">
        <v>1640</v>
      </c>
      <c r="X8" s="51" t="s">
        <v>972</v>
      </c>
      <c r="Y8" s="53" t="s">
        <v>1640</v>
      </c>
      <c r="Z8" s="51" t="s">
        <v>975</v>
      </c>
      <c r="AA8" s="53" t="s">
        <v>1694</v>
      </c>
      <c r="AB8" s="51" t="s">
        <v>1735</v>
      </c>
      <c r="AC8" s="51" t="s">
        <v>1738</v>
      </c>
      <c r="AD8" s="51" t="s">
        <v>972</v>
      </c>
    </row>
    <row r="9">
      <c r="A9" s="51" t="s">
        <v>1741</v>
      </c>
      <c r="B9" s="51" t="s">
        <v>849</v>
      </c>
      <c r="C9" s="51" t="s">
        <v>1745</v>
      </c>
      <c r="D9" s="51" t="s">
        <v>851</v>
      </c>
      <c r="E9" s="52">
        <v>30.0</v>
      </c>
      <c r="F9" s="52">
        <v>0.0</v>
      </c>
      <c r="G9" s="52">
        <v>30.0</v>
      </c>
      <c r="H9" s="51" t="s">
        <v>854</v>
      </c>
      <c r="I9" s="51" t="s">
        <v>855</v>
      </c>
      <c r="J9" s="53" t="s">
        <v>1746</v>
      </c>
      <c r="K9" s="54"/>
      <c r="M9" s="51" t="s">
        <v>888</v>
      </c>
      <c r="N9" s="51" t="s">
        <v>888</v>
      </c>
      <c r="O9" s="51" t="s">
        <v>890</v>
      </c>
      <c r="P9" s="51" t="b">
        <v>0</v>
      </c>
      <c r="Q9" s="51" t="s">
        <v>892</v>
      </c>
      <c r="R9" s="53" t="s">
        <v>896</v>
      </c>
      <c r="S9" s="51" t="s">
        <v>1770</v>
      </c>
      <c r="T9" s="62">
        <v>13.7131755</v>
      </c>
      <c r="U9" s="62">
        <v>100.5060327</v>
      </c>
      <c r="V9" s="51" t="s">
        <v>926</v>
      </c>
      <c r="W9" s="53" t="s">
        <v>1775</v>
      </c>
      <c r="X9" s="51" t="s">
        <v>972</v>
      </c>
      <c r="Y9" s="53" t="s">
        <v>1775</v>
      </c>
      <c r="Z9" s="51" t="s">
        <v>975</v>
      </c>
      <c r="AA9" s="53" t="s">
        <v>1832</v>
      </c>
      <c r="AB9" s="51" t="s">
        <v>1875</v>
      </c>
      <c r="AC9" s="51" t="s">
        <v>1876</v>
      </c>
      <c r="AD9" s="51" t="s">
        <v>972</v>
      </c>
    </row>
    <row r="10">
      <c r="A10" s="51" t="s">
        <v>1880</v>
      </c>
      <c r="B10" s="51" t="s">
        <v>128</v>
      </c>
      <c r="C10" s="51" t="s">
        <v>1882</v>
      </c>
      <c r="D10" s="51" t="s">
        <v>851</v>
      </c>
      <c r="E10" s="52">
        <v>450.0</v>
      </c>
      <c r="F10" s="52">
        <v>3.0</v>
      </c>
      <c r="G10" s="52">
        <v>447.0</v>
      </c>
      <c r="H10" s="51" t="s">
        <v>854</v>
      </c>
      <c r="I10" s="51" t="s">
        <v>855</v>
      </c>
      <c r="J10" s="53" t="s">
        <v>1883</v>
      </c>
      <c r="K10" s="54"/>
      <c r="M10" s="51" t="s">
        <v>1897</v>
      </c>
      <c r="N10" s="51" t="s">
        <v>1898</v>
      </c>
      <c r="O10" s="51" t="s">
        <v>890</v>
      </c>
      <c r="P10" s="51" t="b">
        <v>0</v>
      </c>
      <c r="Q10" s="51" t="s">
        <v>892</v>
      </c>
      <c r="R10" s="53" t="s">
        <v>896</v>
      </c>
      <c r="S10" s="51" t="s">
        <v>1905</v>
      </c>
      <c r="T10" s="62">
        <v>13.9098281</v>
      </c>
      <c r="U10" s="62">
        <v>100.752979</v>
      </c>
      <c r="V10" s="51" t="s">
        <v>1906</v>
      </c>
      <c r="W10" s="53" t="s">
        <v>1907</v>
      </c>
      <c r="X10" s="51" t="s">
        <v>972</v>
      </c>
      <c r="Y10" s="54"/>
      <c r="Z10" s="51" t="s">
        <v>1950</v>
      </c>
      <c r="AA10" s="54"/>
      <c r="AB10" s="54"/>
      <c r="AC10" s="54"/>
      <c r="AD10" s="54"/>
    </row>
    <row r="11">
      <c r="A11" s="51" t="s">
        <v>1952</v>
      </c>
      <c r="B11" s="51" t="s">
        <v>128</v>
      </c>
      <c r="C11" s="51" t="s">
        <v>1953</v>
      </c>
      <c r="D11" s="51" t="s">
        <v>851</v>
      </c>
      <c r="E11" s="52">
        <v>60.0</v>
      </c>
      <c r="F11" s="52">
        <v>60.0</v>
      </c>
      <c r="G11" s="52">
        <v>0.0</v>
      </c>
      <c r="H11" s="51" t="s">
        <v>854</v>
      </c>
      <c r="I11" s="51" t="s">
        <v>1954</v>
      </c>
      <c r="J11" s="53" t="s">
        <v>1955</v>
      </c>
      <c r="K11" s="54"/>
      <c r="M11" s="51" t="s">
        <v>1971</v>
      </c>
      <c r="N11" s="51" t="s">
        <v>1971</v>
      </c>
      <c r="O11" s="51" t="s">
        <v>890</v>
      </c>
      <c r="P11" s="51" t="b">
        <v>0</v>
      </c>
      <c r="Q11" s="51" t="s">
        <v>892</v>
      </c>
      <c r="R11" s="53" t="s">
        <v>896</v>
      </c>
      <c r="S11" s="51" t="s">
        <v>1975</v>
      </c>
      <c r="T11" s="62">
        <v>13.8739455</v>
      </c>
      <c r="U11" s="62">
        <v>100.6855615</v>
      </c>
      <c r="V11" s="51" t="s">
        <v>1906</v>
      </c>
      <c r="W11" s="53" t="s">
        <v>1976</v>
      </c>
      <c r="X11" s="51" t="s">
        <v>972</v>
      </c>
      <c r="Y11" s="54"/>
      <c r="Z11" s="51" t="s">
        <v>1950</v>
      </c>
      <c r="AA11" s="54"/>
      <c r="AB11" s="54"/>
      <c r="AC11" s="54"/>
      <c r="AD11" s="54"/>
    </row>
    <row r="12">
      <c r="A12" s="51" t="s">
        <v>2013</v>
      </c>
      <c r="B12" s="51" t="s">
        <v>128</v>
      </c>
      <c r="C12" s="51" t="s">
        <v>2016</v>
      </c>
      <c r="D12" s="51" t="s">
        <v>851</v>
      </c>
      <c r="E12" s="52">
        <v>30.0</v>
      </c>
      <c r="F12" s="52">
        <v>6.0</v>
      </c>
      <c r="G12" s="52">
        <v>24.0</v>
      </c>
      <c r="H12" s="51" t="s">
        <v>854</v>
      </c>
      <c r="I12" s="51" t="s">
        <v>855</v>
      </c>
      <c r="J12" s="53" t="s">
        <v>2018</v>
      </c>
      <c r="K12" s="54"/>
      <c r="M12" s="51" t="s">
        <v>2030</v>
      </c>
      <c r="N12" s="51" t="s">
        <v>2030</v>
      </c>
      <c r="O12" s="51" t="s">
        <v>890</v>
      </c>
      <c r="P12" s="51" t="b">
        <v>0</v>
      </c>
      <c r="Q12" s="51" t="s">
        <v>892</v>
      </c>
      <c r="R12" s="53" t="s">
        <v>896</v>
      </c>
      <c r="S12" s="51" t="s">
        <v>2037</v>
      </c>
      <c r="T12" s="62">
        <v>13.8623825</v>
      </c>
      <c r="U12" s="62">
        <v>100.6991111</v>
      </c>
      <c r="V12" s="51" t="s">
        <v>1906</v>
      </c>
      <c r="W12" s="53" t="s">
        <v>2038</v>
      </c>
      <c r="X12" s="51" t="s">
        <v>972</v>
      </c>
      <c r="Y12" s="54"/>
      <c r="Z12" s="51" t="s">
        <v>1950</v>
      </c>
      <c r="AA12" s="54"/>
      <c r="AB12" s="54"/>
      <c r="AC12" s="54"/>
      <c r="AD12" s="54"/>
    </row>
    <row r="13">
      <c r="A13" s="51" t="s">
        <v>2083</v>
      </c>
      <c r="B13" s="51" t="s">
        <v>128</v>
      </c>
      <c r="C13" s="51" t="s">
        <v>2084</v>
      </c>
      <c r="D13" s="51" t="s">
        <v>851</v>
      </c>
      <c r="E13" s="52">
        <v>100.0</v>
      </c>
      <c r="F13" s="52">
        <v>100.0</v>
      </c>
      <c r="G13" s="52">
        <v>0.0</v>
      </c>
      <c r="H13" s="51" t="s">
        <v>854</v>
      </c>
      <c r="I13" s="51" t="s">
        <v>1954</v>
      </c>
      <c r="J13" s="53" t="s">
        <v>2089</v>
      </c>
      <c r="K13" s="54"/>
      <c r="M13" s="51" t="s">
        <v>2030</v>
      </c>
      <c r="N13" s="51" t="s">
        <v>2107</v>
      </c>
      <c r="O13" s="51" t="s">
        <v>890</v>
      </c>
      <c r="P13" s="51" t="b">
        <v>0</v>
      </c>
      <c r="Q13" s="51" t="s">
        <v>892</v>
      </c>
      <c r="R13" s="53" t="s">
        <v>896</v>
      </c>
      <c r="S13" s="51" t="s">
        <v>2112</v>
      </c>
      <c r="T13" s="62">
        <v>13.817645</v>
      </c>
      <c r="U13" s="62">
        <v>100.6988714</v>
      </c>
      <c r="V13" s="51" t="s">
        <v>1906</v>
      </c>
      <c r="W13" s="53" t="s">
        <v>2114</v>
      </c>
      <c r="X13" s="51" t="s">
        <v>972</v>
      </c>
      <c r="Y13" s="54"/>
      <c r="Z13" s="51" t="s">
        <v>1950</v>
      </c>
      <c r="AA13" s="54"/>
      <c r="AB13" s="54"/>
      <c r="AC13" s="54"/>
      <c r="AD13" s="54"/>
    </row>
    <row r="14">
      <c r="A14" s="51" t="s">
        <v>2175</v>
      </c>
      <c r="B14" s="51" t="s">
        <v>128</v>
      </c>
      <c r="C14" s="51" t="s">
        <v>2180</v>
      </c>
      <c r="D14" s="51" t="s">
        <v>851</v>
      </c>
      <c r="E14" s="52">
        <v>20.0</v>
      </c>
      <c r="F14" s="52">
        <v>17.0</v>
      </c>
      <c r="G14" s="52">
        <v>3.0</v>
      </c>
      <c r="H14" s="51" t="s">
        <v>854</v>
      </c>
      <c r="I14" s="51" t="s">
        <v>855</v>
      </c>
      <c r="J14" s="53" t="s">
        <v>2181</v>
      </c>
      <c r="K14" s="54"/>
      <c r="M14" s="51" t="s">
        <v>2030</v>
      </c>
      <c r="N14" s="51" t="s">
        <v>2030</v>
      </c>
      <c r="O14" s="51" t="s">
        <v>890</v>
      </c>
      <c r="P14" s="51" t="b">
        <v>0</v>
      </c>
      <c r="Q14" s="51" t="s">
        <v>892</v>
      </c>
      <c r="R14" s="53" t="s">
        <v>896</v>
      </c>
      <c r="S14" s="51" t="s">
        <v>2203</v>
      </c>
      <c r="T14" s="62">
        <v>13.9012456</v>
      </c>
      <c r="U14" s="62">
        <v>100.6913492</v>
      </c>
      <c r="V14" s="51" t="s">
        <v>1906</v>
      </c>
      <c r="W14" s="53" t="s">
        <v>2204</v>
      </c>
      <c r="X14" s="51" t="s">
        <v>972</v>
      </c>
      <c r="Y14" s="54"/>
      <c r="Z14" s="51" t="s">
        <v>1950</v>
      </c>
      <c r="AA14" s="54"/>
      <c r="AB14" s="54"/>
      <c r="AC14" s="54"/>
      <c r="AD14" s="54"/>
    </row>
    <row r="15">
      <c r="A15" s="51" t="s">
        <v>2270</v>
      </c>
      <c r="B15" s="51" t="s">
        <v>128</v>
      </c>
      <c r="C15" s="51" t="s">
        <v>2272</v>
      </c>
      <c r="D15" s="51" t="s">
        <v>851</v>
      </c>
      <c r="E15" s="52">
        <v>30.0</v>
      </c>
      <c r="F15" s="52">
        <v>0.0</v>
      </c>
      <c r="G15" s="52">
        <v>30.0</v>
      </c>
      <c r="H15" s="51" t="s">
        <v>854</v>
      </c>
      <c r="I15" s="51" t="s">
        <v>855</v>
      </c>
      <c r="J15" s="53" t="s">
        <v>2276</v>
      </c>
      <c r="K15" s="54"/>
      <c r="M15" s="51" t="s">
        <v>2030</v>
      </c>
      <c r="N15" s="51" t="s">
        <v>2030</v>
      </c>
      <c r="O15" s="51" t="s">
        <v>890</v>
      </c>
      <c r="P15" s="51" t="b">
        <v>0</v>
      </c>
      <c r="Q15" s="51" t="s">
        <v>892</v>
      </c>
      <c r="R15" s="53" t="s">
        <v>896</v>
      </c>
      <c r="S15" s="51" t="s">
        <v>2292</v>
      </c>
      <c r="T15" s="62">
        <v>13.8765664</v>
      </c>
      <c r="U15" s="62">
        <v>100.7836207</v>
      </c>
      <c r="V15" s="51" t="s">
        <v>1906</v>
      </c>
      <c r="W15" s="53" t="s">
        <v>2297</v>
      </c>
      <c r="X15" s="51" t="s">
        <v>972</v>
      </c>
      <c r="Y15" s="54"/>
      <c r="Z15" s="51" t="s">
        <v>1950</v>
      </c>
      <c r="AA15" s="54"/>
      <c r="AB15" s="54"/>
      <c r="AC15" s="54"/>
      <c r="AD15" s="54"/>
    </row>
    <row r="16">
      <c r="A16" s="51" t="s">
        <v>2355</v>
      </c>
      <c r="B16" s="51" t="s">
        <v>128</v>
      </c>
      <c r="C16" s="51" t="s">
        <v>2356</v>
      </c>
      <c r="D16" s="51" t="s">
        <v>851</v>
      </c>
      <c r="E16" s="52">
        <v>100.0</v>
      </c>
      <c r="F16" s="52">
        <v>147.0</v>
      </c>
      <c r="G16" s="52">
        <v>0.0</v>
      </c>
      <c r="H16" s="51" t="s">
        <v>854</v>
      </c>
      <c r="I16" s="51" t="s">
        <v>1954</v>
      </c>
      <c r="J16" s="53" t="s">
        <v>2365</v>
      </c>
      <c r="K16" s="54"/>
      <c r="M16" s="51" t="s">
        <v>2030</v>
      </c>
      <c r="N16" s="51" t="s">
        <v>2378</v>
      </c>
      <c r="O16" s="51" t="s">
        <v>890</v>
      </c>
      <c r="P16" s="51" t="b">
        <v>0</v>
      </c>
      <c r="Q16" s="51" t="s">
        <v>892</v>
      </c>
      <c r="R16" s="53" t="s">
        <v>896</v>
      </c>
      <c r="S16" s="51" t="s">
        <v>2379</v>
      </c>
      <c r="T16" s="62">
        <v>13.8442089</v>
      </c>
      <c r="U16" s="62">
        <v>100.6960353</v>
      </c>
      <c r="V16" s="51" t="s">
        <v>1906</v>
      </c>
      <c r="W16" s="53" t="s">
        <v>2380</v>
      </c>
      <c r="X16" s="51" t="s">
        <v>972</v>
      </c>
      <c r="Y16" s="54"/>
      <c r="Z16" s="51" t="s">
        <v>1950</v>
      </c>
      <c r="AA16" s="54"/>
      <c r="AB16" s="54"/>
      <c r="AC16" s="54"/>
      <c r="AD16" s="54"/>
    </row>
    <row r="17">
      <c r="A17" s="51" t="s">
        <v>2423</v>
      </c>
      <c r="B17" s="51" t="s">
        <v>128</v>
      </c>
      <c r="C17" s="51" t="s">
        <v>2428</v>
      </c>
      <c r="D17" s="51" t="s">
        <v>851</v>
      </c>
      <c r="E17" s="52">
        <v>50.0</v>
      </c>
      <c r="F17" s="52">
        <v>40.0</v>
      </c>
      <c r="G17" s="52">
        <v>10.0</v>
      </c>
      <c r="H17" s="51" t="s">
        <v>854</v>
      </c>
      <c r="I17" s="51" t="s">
        <v>855</v>
      </c>
      <c r="J17" s="53" t="s">
        <v>2432</v>
      </c>
      <c r="M17" s="51" t="s">
        <v>2030</v>
      </c>
      <c r="N17" s="51" t="s">
        <v>2446</v>
      </c>
      <c r="O17" s="51" t="s">
        <v>890</v>
      </c>
      <c r="P17" s="51" t="b">
        <v>0</v>
      </c>
      <c r="Q17" s="51" t="s">
        <v>892</v>
      </c>
      <c r="R17" s="53" t="s">
        <v>896</v>
      </c>
      <c r="S17" s="51" t="s">
        <v>2447</v>
      </c>
      <c r="T17" s="62">
        <v>13.8538816</v>
      </c>
      <c r="U17" s="62">
        <v>100.6736866</v>
      </c>
      <c r="V17" s="51" t="s">
        <v>1906</v>
      </c>
      <c r="W17" s="53" t="s">
        <v>2448</v>
      </c>
      <c r="X17" s="51" t="s">
        <v>972</v>
      </c>
      <c r="Y17" s="54"/>
      <c r="Z17" s="51" t="s">
        <v>1950</v>
      </c>
      <c r="AA17" s="54"/>
      <c r="AB17" s="54"/>
      <c r="AC17" s="54"/>
      <c r="AD17" s="54"/>
    </row>
    <row r="18">
      <c r="A18" s="51" t="s">
        <v>2485</v>
      </c>
      <c r="B18" s="51" t="s">
        <v>128</v>
      </c>
      <c r="C18" s="51" t="s">
        <v>2486</v>
      </c>
      <c r="D18" s="51" t="s">
        <v>851</v>
      </c>
      <c r="E18" s="52">
        <v>20.0</v>
      </c>
      <c r="F18" s="52">
        <v>0.0</v>
      </c>
      <c r="G18" s="52">
        <v>20.0</v>
      </c>
      <c r="H18" s="51" t="s">
        <v>854</v>
      </c>
      <c r="I18" s="51" t="s">
        <v>855</v>
      </c>
      <c r="J18" s="53" t="s">
        <v>2489</v>
      </c>
      <c r="M18" s="51" t="s">
        <v>2030</v>
      </c>
      <c r="N18" s="51" t="s">
        <v>2030</v>
      </c>
      <c r="O18" s="51" t="s">
        <v>890</v>
      </c>
      <c r="P18" s="51" t="b">
        <v>0</v>
      </c>
      <c r="Q18" s="51" t="s">
        <v>892</v>
      </c>
      <c r="R18" s="53" t="s">
        <v>896</v>
      </c>
      <c r="S18" s="51" t="s">
        <v>2506</v>
      </c>
      <c r="T18" s="62">
        <v>13.8508973</v>
      </c>
      <c r="U18" s="62">
        <v>100.7312155</v>
      </c>
      <c r="V18" s="51" t="s">
        <v>1906</v>
      </c>
      <c r="W18" s="53" t="s">
        <v>2511</v>
      </c>
      <c r="X18" s="51" t="s">
        <v>972</v>
      </c>
      <c r="Y18" s="54"/>
      <c r="Z18" s="51" t="s">
        <v>1950</v>
      </c>
      <c r="AA18" s="54"/>
      <c r="AB18" s="54"/>
      <c r="AC18" s="54"/>
      <c r="AD18" s="54"/>
    </row>
    <row r="19">
      <c r="A19" s="51" t="s">
        <v>2535</v>
      </c>
      <c r="B19" s="51" t="s">
        <v>128</v>
      </c>
      <c r="C19" s="51" t="s">
        <v>2536</v>
      </c>
      <c r="D19" s="51" t="s">
        <v>851</v>
      </c>
      <c r="E19" s="52">
        <v>100.0</v>
      </c>
      <c r="F19" s="52">
        <v>78.0</v>
      </c>
      <c r="G19" s="52">
        <v>22.0</v>
      </c>
      <c r="H19" s="51" t="s">
        <v>854</v>
      </c>
      <c r="I19" s="51" t="s">
        <v>855</v>
      </c>
      <c r="J19" s="53" t="s">
        <v>2537</v>
      </c>
      <c r="M19" s="51" t="s">
        <v>2030</v>
      </c>
      <c r="N19" s="51" t="s">
        <v>2543</v>
      </c>
      <c r="O19" s="51" t="s">
        <v>890</v>
      </c>
      <c r="P19" s="51" t="b">
        <v>0</v>
      </c>
      <c r="Q19" s="51" t="s">
        <v>892</v>
      </c>
      <c r="R19" s="53" t="s">
        <v>896</v>
      </c>
      <c r="S19" s="51" t="s">
        <v>2544</v>
      </c>
      <c r="T19" s="62">
        <v>13.8734813</v>
      </c>
      <c r="U19" s="62">
        <v>100.6865445</v>
      </c>
      <c r="V19" s="51" t="s">
        <v>1906</v>
      </c>
      <c r="W19" s="53" t="s">
        <v>2545</v>
      </c>
      <c r="X19" s="51" t="s">
        <v>972</v>
      </c>
      <c r="Y19" s="54"/>
      <c r="Z19" s="51" t="s">
        <v>1950</v>
      </c>
      <c r="AA19" s="54"/>
      <c r="AB19" s="54"/>
      <c r="AC19" s="54"/>
      <c r="AD19" s="54"/>
    </row>
    <row r="20">
      <c r="A20" s="51" t="s">
        <v>2560</v>
      </c>
      <c r="B20" s="51" t="s">
        <v>128</v>
      </c>
      <c r="C20" s="51" t="s">
        <v>2561</v>
      </c>
      <c r="D20" s="51" t="s">
        <v>851</v>
      </c>
      <c r="E20" s="52">
        <v>40.0</v>
      </c>
      <c r="F20" s="52">
        <v>0.0</v>
      </c>
      <c r="G20" s="52">
        <v>40.0</v>
      </c>
      <c r="H20" s="51" t="s">
        <v>854</v>
      </c>
      <c r="I20" s="51" t="s">
        <v>855</v>
      </c>
      <c r="J20" s="53" t="s">
        <v>2562</v>
      </c>
      <c r="M20" s="51" t="s">
        <v>2030</v>
      </c>
      <c r="N20" s="51" t="s">
        <v>2030</v>
      </c>
      <c r="O20" s="51" t="s">
        <v>890</v>
      </c>
      <c r="P20" s="51" t="b">
        <v>0</v>
      </c>
      <c r="Q20" s="51" t="s">
        <v>892</v>
      </c>
      <c r="R20" s="53" t="s">
        <v>896</v>
      </c>
      <c r="S20" s="51" t="s">
        <v>2572</v>
      </c>
      <c r="T20" s="62">
        <v>13.9174808</v>
      </c>
      <c r="U20" s="62">
        <v>100.752918</v>
      </c>
      <c r="V20" s="51" t="s">
        <v>1906</v>
      </c>
      <c r="W20" s="53" t="s">
        <v>2573</v>
      </c>
      <c r="X20" s="51" t="s">
        <v>972</v>
      </c>
      <c r="Y20" s="54"/>
      <c r="Z20" s="51" t="s">
        <v>1950</v>
      </c>
      <c r="AA20" s="54"/>
      <c r="AB20" s="54"/>
      <c r="AC20" s="54"/>
      <c r="AD20" s="54"/>
    </row>
    <row r="21">
      <c r="A21" s="51" t="s">
        <v>2588</v>
      </c>
      <c r="B21" s="51" t="s">
        <v>128</v>
      </c>
      <c r="C21" s="51" t="s">
        <v>2589</v>
      </c>
      <c r="D21" s="51" t="s">
        <v>851</v>
      </c>
      <c r="E21" s="52">
        <v>20.0</v>
      </c>
      <c r="F21" s="52">
        <v>0.0</v>
      </c>
      <c r="G21" s="52">
        <v>20.0</v>
      </c>
      <c r="H21" s="51" t="s">
        <v>854</v>
      </c>
      <c r="I21" s="51" t="s">
        <v>855</v>
      </c>
      <c r="J21" s="53" t="s">
        <v>2590</v>
      </c>
      <c r="M21" s="51" t="s">
        <v>2030</v>
      </c>
      <c r="N21" s="51" t="s">
        <v>2030</v>
      </c>
      <c r="O21" s="51" t="s">
        <v>890</v>
      </c>
      <c r="P21" s="51" t="b">
        <v>0</v>
      </c>
      <c r="Q21" s="51" t="s">
        <v>892</v>
      </c>
      <c r="R21" s="53" t="s">
        <v>896</v>
      </c>
      <c r="S21" s="51" t="s">
        <v>2599</v>
      </c>
      <c r="T21" s="62">
        <v>13.9184414</v>
      </c>
      <c r="U21" s="62">
        <v>100.7917995</v>
      </c>
      <c r="V21" s="51" t="s">
        <v>1906</v>
      </c>
      <c r="W21" s="53" t="s">
        <v>2600</v>
      </c>
      <c r="X21" s="51" t="s">
        <v>972</v>
      </c>
      <c r="Y21" s="54"/>
      <c r="Z21" s="51" t="s">
        <v>1950</v>
      </c>
      <c r="AA21" s="54"/>
      <c r="AB21" s="54"/>
      <c r="AC21" s="54"/>
      <c r="AD21" s="54"/>
    </row>
    <row r="22">
      <c r="A22" s="51" t="s">
        <v>2613</v>
      </c>
      <c r="B22" s="51" t="s">
        <v>128</v>
      </c>
      <c r="C22" s="51" t="s">
        <v>2614</v>
      </c>
      <c r="D22" s="51" t="s">
        <v>851</v>
      </c>
      <c r="E22" s="52">
        <v>20.0</v>
      </c>
      <c r="F22" s="52">
        <v>0.0</v>
      </c>
      <c r="G22" s="52">
        <v>20.0</v>
      </c>
      <c r="H22" s="51" t="s">
        <v>854</v>
      </c>
      <c r="I22" s="51" t="s">
        <v>855</v>
      </c>
      <c r="J22" s="53" t="s">
        <v>2615</v>
      </c>
      <c r="M22" s="51" t="s">
        <v>2030</v>
      </c>
      <c r="N22" s="51" t="s">
        <v>2030</v>
      </c>
      <c r="O22" s="51" t="s">
        <v>890</v>
      </c>
      <c r="P22" s="51" t="b">
        <v>0</v>
      </c>
      <c r="Q22" s="51" t="s">
        <v>892</v>
      </c>
      <c r="R22" s="53" t="s">
        <v>896</v>
      </c>
      <c r="S22" s="51" t="s">
        <v>2626</v>
      </c>
      <c r="T22" s="62">
        <v>13.872037</v>
      </c>
      <c r="U22" s="62">
        <v>100.7737308</v>
      </c>
      <c r="V22" s="51" t="s">
        <v>1906</v>
      </c>
      <c r="W22" s="53" t="s">
        <v>2627</v>
      </c>
      <c r="X22" s="51" t="s">
        <v>972</v>
      </c>
      <c r="Y22" s="54"/>
      <c r="Z22" s="51" t="s">
        <v>1950</v>
      </c>
      <c r="AA22" s="54"/>
      <c r="AB22" s="54"/>
      <c r="AC22" s="54"/>
      <c r="AD22" s="54"/>
    </row>
    <row r="23">
      <c r="A23" s="51" t="s">
        <v>2637</v>
      </c>
      <c r="B23" s="51" t="s">
        <v>128</v>
      </c>
      <c r="C23" s="51" t="s">
        <v>2638</v>
      </c>
      <c r="D23" s="51" t="s">
        <v>851</v>
      </c>
      <c r="E23" s="52">
        <v>50.0</v>
      </c>
      <c r="F23" s="52">
        <v>0.0</v>
      </c>
      <c r="G23" s="52">
        <v>50.0</v>
      </c>
      <c r="H23" s="51" t="s">
        <v>854</v>
      </c>
      <c r="I23" s="51" t="s">
        <v>855</v>
      </c>
      <c r="J23" s="53" t="s">
        <v>2639</v>
      </c>
      <c r="M23" s="51" t="s">
        <v>2030</v>
      </c>
      <c r="N23" s="51" t="s">
        <v>2030</v>
      </c>
      <c r="O23" s="51" t="s">
        <v>890</v>
      </c>
      <c r="P23" s="51" t="b">
        <v>0</v>
      </c>
      <c r="Q23" s="51" t="s">
        <v>892</v>
      </c>
      <c r="R23" s="53" t="s">
        <v>896</v>
      </c>
      <c r="S23" s="51" t="s">
        <v>2645</v>
      </c>
      <c r="T23" s="62">
        <v>13.877293</v>
      </c>
      <c r="U23" s="62">
        <v>100.7324536</v>
      </c>
      <c r="V23" s="51" t="s">
        <v>1906</v>
      </c>
      <c r="W23" s="53" t="s">
        <v>2646</v>
      </c>
      <c r="X23" s="51" t="s">
        <v>972</v>
      </c>
      <c r="Y23" s="54"/>
      <c r="Z23" s="51" t="s">
        <v>1950</v>
      </c>
      <c r="AA23" s="54"/>
      <c r="AB23" s="54"/>
      <c r="AC23" s="54"/>
      <c r="AD23" s="54"/>
    </row>
    <row r="24">
      <c r="A24" s="51" t="s">
        <v>2656</v>
      </c>
      <c r="B24" s="51" t="s">
        <v>128</v>
      </c>
      <c r="C24" s="51" t="s">
        <v>2657</v>
      </c>
      <c r="D24" s="51" t="s">
        <v>851</v>
      </c>
      <c r="E24" s="52">
        <v>50.0</v>
      </c>
      <c r="F24" s="52">
        <v>25.0</v>
      </c>
      <c r="G24" s="52">
        <v>25.0</v>
      </c>
      <c r="H24" s="51" t="s">
        <v>854</v>
      </c>
      <c r="I24" s="51" t="s">
        <v>855</v>
      </c>
      <c r="J24" s="53" t="s">
        <v>2658</v>
      </c>
      <c r="M24" s="51" t="s">
        <v>2030</v>
      </c>
      <c r="N24" s="51" t="s">
        <v>2659</v>
      </c>
      <c r="O24" s="51" t="s">
        <v>890</v>
      </c>
      <c r="P24" s="51" t="b">
        <v>0</v>
      </c>
      <c r="Q24" s="51" t="s">
        <v>892</v>
      </c>
      <c r="R24" s="53" t="s">
        <v>896</v>
      </c>
      <c r="S24" s="51" t="s">
        <v>2662</v>
      </c>
      <c r="T24" s="62">
        <v>13.8861952</v>
      </c>
      <c r="U24" s="62">
        <v>100.7086731</v>
      </c>
      <c r="V24" s="51" t="s">
        <v>1906</v>
      </c>
      <c r="W24" s="53" t="s">
        <v>2665</v>
      </c>
      <c r="X24" s="51" t="s">
        <v>972</v>
      </c>
      <c r="Y24" s="54"/>
      <c r="Z24" s="51" t="s">
        <v>1950</v>
      </c>
      <c r="AA24" s="54"/>
      <c r="AB24" s="54"/>
      <c r="AC24" s="54"/>
      <c r="AD24" s="54"/>
    </row>
    <row r="25">
      <c r="A25" s="51" t="s">
        <v>2680</v>
      </c>
      <c r="B25" s="51" t="s">
        <v>128</v>
      </c>
      <c r="C25" s="51" t="s">
        <v>2681</v>
      </c>
      <c r="D25" s="51" t="s">
        <v>851</v>
      </c>
      <c r="E25" s="52">
        <v>15.0</v>
      </c>
      <c r="F25" s="52">
        <v>0.0</v>
      </c>
      <c r="G25" s="52">
        <v>15.0</v>
      </c>
      <c r="H25" s="51" t="s">
        <v>854</v>
      </c>
      <c r="I25" s="51" t="s">
        <v>855</v>
      </c>
      <c r="J25" s="53" t="s">
        <v>2682</v>
      </c>
      <c r="K25" s="54"/>
      <c r="M25" s="51" t="s">
        <v>2030</v>
      </c>
      <c r="N25" s="51" t="s">
        <v>2030</v>
      </c>
      <c r="O25" s="51" t="s">
        <v>890</v>
      </c>
      <c r="P25" s="51" t="b">
        <v>0</v>
      </c>
      <c r="Q25" s="51" t="s">
        <v>892</v>
      </c>
      <c r="R25" s="53" t="s">
        <v>896</v>
      </c>
      <c r="S25" s="51" t="s">
        <v>2688</v>
      </c>
      <c r="T25" s="62">
        <v>13.912987</v>
      </c>
      <c r="U25" s="62">
        <v>100.770257</v>
      </c>
      <c r="V25" s="51" t="s">
        <v>1906</v>
      </c>
      <c r="W25" s="53" t="s">
        <v>2689</v>
      </c>
      <c r="X25" s="51" t="s">
        <v>972</v>
      </c>
      <c r="Y25" s="54"/>
      <c r="Z25" s="51" t="s">
        <v>1950</v>
      </c>
      <c r="AA25" s="54"/>
      <c r="AB25" s="54"/>
      <c r="AC25" s="54"/>
      <c r="AD25" s="54"/>
    </row>
    <row r="26">
      <c r="A26" s="51" t="s">
        <v>2702</v>
      </c>
      <c r="B26" s="51" t="s">
        <v>128</v>
      </c>
      <c r="C26" s="51" t="s">
        <v>2703</v>
      </c>
      <c r="D26" s="51" t="s">
        <v>851</v>
      </c>
      <c r="E26" s="52">
        <v>30.0</v>
      </c>
      <c r="F26" s="52">
        <v>31.0</v>
      </c>
      <c r="G26" s="52">
        <v>0.0</v>
      </c>
      <c r="H26" s="51" t="s">
        <v>854</v>
      </c>
      <c r="I26" s="51" t="s">
        <v>1954</v>
      </c>
      <c r="J26" s="53" t="s">
        <v>2704</v>
      </c>
      <c r="K26" s="54"/>
      <c r="M26" s="51" t="s">
        <v>2030</v>
      </c>
      <c r="N26" s="51" t="s">
        <v>2709</v>
      </c>
      <c r="O26" s="51" t="s">
        <v>890</v>
      </c>
      <c r="P26" s="51" t="b">
        <v>0</v>
      </c>
      <c r="Q26" s="51" t="s">
        <v>892</v>
      </c>
      <c r="R26" s="53" t="s">
        <v>896</v>
      </c>
      <c r="S26" s="51" t="s">
        <v>2714</v>
      </c>
      <c r="T26" s="62">
        <v>13.8424341</v>
      </c>
      <c r="U26" s="62">
        <v>100.7111727</v>
      </c>
      <c r="V26" s="51" t="s">
        <v>1906</v>
      </c>
      <c r="W26" s="53" t="s">
        <v>2715</v>
      </c>
      <c r="X26" s="51" t="s">
        <v>972</v>
      </c>
      <c r="Y26" s="54"/>
      <c r="Z26" s="51" t="s">
        <v>1950</v>
      </c>
      <c r="AA26" s="54"/>
      <c r="AB26" s="54"/>
      <c r="AC26" s="54"/>
      <c r="AD26" s="54"/>
    </row>
    <row r="27">
      <c r="A27" s="51" t="s">
        <v>2733</v>
      </c>
      <c r="B27" s="51" t="s">
        <v>128</v>
      </c>
      <c r="C27" s="51" t="s">
        <v>2734</v>
      </c>
      <c r="D27" s="51" t="s">
        <v>851</v>
      </c>
      <c r="E27" s="52">
        <v>100.0</v>
      </c>
      <c r="F27" s="52">
        <v>4.0</v>
      </c>
      <c r="G27" s="52">
        <v>96.0</v>
      </c>
      <c r="H27" s="51" t="s">
        <v>854</v>
      </c>
      <c r="I27" s="51" t="s">
        <v>855</v>
      </c>
      <c r="J27" s="53" t="s">
        <v>2735</v>
      </c>
      <c r="K27" s="54"/>
      <c r="M27" s="51" t="s">
        <v>2030</v>
      </c>
      <c r="N27" s="51" t="s">
        <v>2030</v>
      </c>
      <c r="O27" s="51" t="s">
        <v>890</v>
      </c>
      <c r="P27" s="51" t="b">
        <v>0</v>
      </c>
      <c r="Q27" s="51" t="s">
        <v>892</v>
      </c>
      <c r="R27" s="53" t="s">
        <v>896</v>
      </c>
      <c r="S27" s="51" t="s">
        <v>2740</v>
      </c>
      <c r="T27" s="62">
        <v>13.9064317</v>
      </c>
      <c r="U27" s="62">
        <v>100.7268938</v>
      </c>
      <c r="V27" s="51" t="s">
        <v>1906</v>
      </c>
      <c r="W27" s="53" t="s">
        <v>2744</v>
      </c>
      <c r="X27" s="51" t="s">
        <v>972</v>
      </c>
      <c r="Y27" s="54"/>
      <c r="Z27" s="51" t="s">
        <v>1950</v>
      </c>
      <c r="AA27" s="54"/>
      <c r="AB27" s="54"/>
      <c r="AC27" s="54"/>
      <c r="AD27" s="54"/>
    </row>
    <row r="28">
      <c r="A28" s="51" t="s">
        <v>2755</v>
      </c>
      <c r="B28" s="51" t="s">
        <v>128</v>
      </c>
      <c r="C28" s="51" t="s">
        <v>2758</v>
      </c>
      <c r="D28" s="51" t="s">
        <v>851</v>
      </c>
      <c r="E28" s="52">
        <v>20.0</v>
      </c>
      <c r="F28" s="52">
        <v>0.0</v>
      </c>
      <c r="G28" s="52">
        <v>20.0</v>
      </c>
      <c r="H28" s="51" t="s">
        <v>854</v>
      </c>
      <c r="I28" s="51" t="s">
        <v>855</v>
      </c>
      <c r="J28" s="53" t="s">
        <v>2761</v>
      </c>
      <c r="K28" s="54"/>
      <c r="M28" s="51" t="s">
        <v>2030</v>
      </c>
      <c r="N28" s="51" t="s">
        <v>2030</v>
      </c>
      <c r="O28" s="51" t="s">
        <v>890</v>
      </c>
      <c r="P28" s="51" t="b">
        <v>0</v>
      </c>
      <c r="Q28" s="51" t="s">
        <v>892</v>
      </c>
      <c r="R28" s="53" t="s">
        <v>896</v>
      </c>
      <c r="S28" s="51" t="s">
        <v>2766</v>
      </c>
      <c r="T28" s="62">
        <v>13.8552235</v>
      </c>
      <c r="U28" s="62">
        <v>100.7860228</v>
      </c>
      <c r="V28" s="51" t="s">
        <v>1906</v>
      </c>
      <c r="W28" s="53" t="s">
        <v>2767</v>
      </c>
      <c r="X28" s="51" t="s">
        <v>972</v>
      </c>
      <c r="Y28" s="54"/>
      <c r="Z28" s="51" t="s">
        <v>1950</v>
      </c>
      <c r="AA28" s="54"/>
      <c r="AB28" s="54"/>
      <c r="AC28" s="54"/>
      <c r="AD28" s="54"/>
    </row>
    <row r="29">
      <c r="A29" s="51" t="s">
        <v>2786</v>
      </c>
      <c r="B29" s="51" t="s">
        <v>128</v>
      </c>
      <c r="C29" s="51" t="s">
        <v>2787</v>
      </c>
      <c r="D29" s="51" t="s">
        <v>851</v>
      </c>
      <c r="E29" s="52">
        <v>20.0</v>
      </c>
      <c r="F29" s="52">
        <v>0.0</v>
      </c>
      <c r="G29" s="52">
        <v>20.0</v>
      </c>
      <c r="H29" s="51" t="s">
        <v>854</v>
      </c>
      <c r="I29" s="51" t="s">
        <v>855</v>
      </c>
      <c r="J29" s="53" t="s">
        <v>2788</v>
      </c>
      <c r="K29" s="54"/>
      <c r="M29" s="51" t="s">
        <v>2030</v>
      </c>
      <c r="N29" s="51" t="s">
        <v>2030</v>
      </c>
      <c r="O29" s="51" t="s">
        <v>890</v>
      </c>
      <c r="P29" s="51" t="b">
        <v>0</v>
      </c>
      <c r="Q29" s="51" t="s">
        <v>892</v>
      </c>
      <c r="R29" s="53" t="s">
        <v>896</v>
      </c>
      <c r="S29" s="51" t="s">
        <v>2794</v>
      </c>
      <c r="T29" s="62">
        <v>13.8253398</v>
      </c>
      <c r="U29" s="62">
        <v>100.7516658</v>
      </c>
      <c r="V29" s="51" t="s">
        <v>1906</v>
      </c>
      <c r="W29" s="53" t="s">
        <v>2798</v>
      </c>
      <c r="X29" s="51" t="s">
        <v>972</v>
      </c>
      <c r="Y29" s="54"/>
      <c r="Z29" s="51" t="s">
        <v>1950</v>
      </c>
      <c r="AA29" s="54"/>
      <c r="AB29" s="54"/>
      <c r="AC29" s="54"/>
      <c r="AD29" s="54"/>
    </row>
    <row r="30">
      <c r="A30" s="51" t="s">
        <v>2814</v>
      </c>
      <c r="B30" s="51" t="s">
        <v>2073</v>
      </c>
      <c r="C30" s="51" t="s">
        <v>2815</v>
      </c>
      <c r="D30" s="51" t="s">
        <v>851</v>
      </c>
      <c r="E30" s="52">
        <v>80.0</v>
      </c>
      <c r="F30" s="52">
        <v>0.0</v>
      </c>
      <c r="G30" s="52">
        <v>80.0</v>
      </c>
      <c r="H30" s="51" t="s">
        <v>854</v>
      </c>
      <c r="I30" s="51" t="s">
        <v>855</v>
      </c>
      <c r="J30" s="53" t="s">
        <v>2816</v>
      </c>
      <c r="K30" s="54"/>
      <c r="M30" s="51" t="s">
        <v>2821</v>
      </c>
      <c r="N30" s="51" t="s">
        <v>2821</v>
      </c>
      <c r="O30" s="51" t="s">
        <v>890</v>
      </c>
      <c r="P30" s="51" t="b">
        <v>0</v>
      </c>
      <c r="Q30" s="51" t="s">
        <v>892</v>
      </c>
      <c r="R30" s="53" t="s">
        <v>896</v>
      </c>
      <c r="S30" s="51" t="s">
        <v>2823</v>
      </c>
      <c r="T30" s="62">
        <v>13.711051</v>
      </c>
      <c r="U30" s="62">
        <v>100.5750891</v>
      </c>
      <c r="V30" s="51" t="s">
        <v>1906</v>
      </c>
      <c r="W30" s="53" t="s">
        <v>2827</v>
      </c>
      <c r="X30" s="51" t="s">
        <v>972</v>
      </c>
      <c r="Y30" s="54"/>
      <c r="Z30" s="51" t="s">
        <v>1950</v>
      </c>
      <c r="AA30" s="54"/>
      <c r="AB30" s="54"/>
      <c r="AC30" s="54"/>
      <c r="AD30" s="54"/>
    </row>
    <row r="31">
      <c r="A31" s="51" t="s">
        <v>2845</v>
      </c>
      <c r="B31" s="51" t="s">
        <v>2073</v>
      </c>
      <c r="C31" s="51" t="s">
        <v>2847</v>
      </c>
      <c r="D31" s="51" t="s">
        <v>851</v>
      </c>
      <c r="E31" s="52">
        <v>40.0</v>
      </c>
      <c r="F31" s="52">
        <v>0.0</v>
      </c>
      <c r="G31" s="52">
        <v>40.0</v>
      </c>
      <c r="H31" s="51" t="s">
        <v>854</v>
      </c>
      <c r="I31" s="51" t="s">
        <v>855</v>
      </c>
      <c r="J31" s="53" t="s">
        <v>2852</v>
      </c>
      <c r="K31" s="54"/>
      <c r="M31" s="51" t="s">
        <v>2857</v>
      </c>
      <c r="N31" s="51" t="s">
        <v>2858</v>
      </c>
      <c r="O31" s="51" t="s">
        <v>890</v>
      </c>
      <c r="P31" s="51" t="b">
        <v>0</v>
      </c>
      <c r="Q31" s="51" t="s">
        <v>892</v>
      </c>
      <c r="R31" s="53" t="s">
        <v>896</v>
      </c>
      <c r="S31" s="51" t="s">
        <v>2859</v>
      </c>
      <c r="T31" s="62">
        <v>13.7100999</v>
      </c>
      <c r="U31" s="62">
        <v>100.5608789</v>
      </c>
      <c r="V31" s="51" t="s">
        <v>1906</v>
      </c>
      <c r="W31" s="53" t="s">
        <v>2860</v>
      </c>
      <c r="X31" s="51" t="s">
        <v>972</v>
      </c>
      <c r="Y31" s="54"/>
      <c r="Z31" s="51" t="s">
        <v>1950</v>
      </c>
      <c r="AA31" s="54"/>
      <c r="AB31" s="54"/>
      <c r="AC31" s="54"/>
      <c r="AD31" s="54"/>
    </row>
    <row r="32">
      <c r="A32" s="51" t="s">
        <v>2874</v>
      </c>
      <c r="B32" s="51" t="s">
        <v>2073</v>
      </c>
      <c r="C32" s="51" t="s">
        <v>2875</v>
      </c>
      <c r="D32" s="51" t="s">
        <v>851</v>
      </c>
      <c r="E32" s="52">
        <v>30.0</v>
      </c>
      <c r="F32" s="52">
        <v>0.0</v>
      </c>
      <c r="G32" s="52">
        <v>30.0</v>
      </c>
      <c r="H32" s="51" t="s">
        <v>854</v>
      </c>
      <c r="I32" s="51" t="s">
        <v>855</v>
      </c>
      <c r="J32" s="53" t="s">
        <v>2876</v>
      </c>
      <c r="K32" s="54"/>
      <c r="M32" s="51" t="s">
        <v>2821</v>
      </c>
      <c r="N32" s="51" t="s">
        <v>2821</v>
      </c>
      <c r="O32" s="51" t="s">
        <v>890</v>
      </c>
      <c r="P32" s="51" t="b">
        <v>0</v>
      </c>
      <c r="Q32" s="51" t="s">
        <v>892</v>
      </c>
      <c r="R32" s="53" t="s">
        <v>896</v>
      </c>
      <c r="S32" s="51" t="s">
        <v>2883</v>
      </c>
      <c r="T32" s="62">
        <v>13.7042768</v>
      </c>
      <c r="U32" s="62">
        <v>100.5886269</v>
      </c>
      <c r="V32" s="51" t="s">
        <v>1906</v>
      </c>
      <c r="W32" s="53" t="s">
        <v>2884</v>
      </c>
      <c r="X32" s="51" t="s">
        <v>972</v>
      </c>
      <c r="Y32" s="54"/>
      <c r="Z32" s="51" t="s">
        <v>1950</v>
      </c>
      <c r="AA32" s="54"/>
      <c r="AB32" s="54"/>
      <c r="AC32" s="54"/>
      <c r="AD32" s="54"/>
    </row>
    <row r="33">
      <c r="A33" s="51" t="s">
        <v>2899</v>
      </c>
      <c r="B33" s="51" t="s">
        <v>2073</v>
      </c>
      <c r="C33" s="51" t="s">
        <v>2900</v>
      </c>
      <c r="D33" s="51" t="s">
        <v>851</v>
      </c>
      <c r="E33" s="52">
        <v>100.0</v>
      </c>
      <c r="F33" s="52">
        <v>0.0</v>
      </c>
      <c r="G33" s="52">
        <v>100.0</v>
      </c>
      <c r="H33" s="51" t="s">
        <v>854</v>
      </c>
      <c r="I33" s="51" t="s">
        <v>855</v>
      </c>
      <c r="J33" s="53" t="s">
        <v>2903</v>
      </c>
      <c r="K33" s="54"/>
      <c r="M33" s="51" t="s">
        <v>2821</v>
      </c>
      <c r="N33" s="51" t="s">
        <v>2821</v>
      </c>
      <c r="O33" s="51" t="s">
        <v>890</v>
      </c>
      <c r="P33" s="51" t="b">
        <v>0</v>
      </c>
      <c r="Q33" s="51" t="s">
        <v>892</v>
      </c>
      <c r="R33" s="53" t="s">
        <v>896</v>
      </c>
      <c r="S33" s="51" t="s">
        <v>2911</v>
      </c>
      <c r="T33" s="62">
        <v>13.7131909</v>
      </c>
      <c r="U33" s="62">
        <v>100.5702498</v>
      </c>
      <c r="V33" s="51" t="s">
        <v>1906</v>
      </c>
      <c r="W33" s="53" t="s">
        <v>2912</v>
      </c>
      <c r="X33" s="51" t="s">
        <v>972</v>
      </c>
      <c r="Y33" s="54"/>
      <c r="Z33" s="51" t="s">
        <v>1950</v>
      </c>
      <c r="AA33" s="54"/>
      <c r="AB33" s="54"/>
      <c r="AC33" s="54"/>
      <c r="AD33" s="54"/>
    </row>
    <row r="34">
      <c r="A34" s="51" t="s">
        <v>2926</v>
      </c>
      <c r="B34" s="51" t="s">
        <v>762</v>
      </c>
      <c r="C34" s="51" t="s">
        <v>2928</v>
      </c>
      <c r="D34" s="51" t="s">
        <v>851</v>
      </c>
      <c r="E34" s="52">
        <v>50.0</v>
      </c>
      <c r="F34" s="52">
        <v>24.0</v>
      </c>
      <c r="G34" s="52">
        <v>26.0</v>
      </c>
      <c r="H34" s="51" t="s">
        <v>854</v>
      </c>
      <c r="I34" s="51" t="s">
        <v>855</v>
      </c>
      <c r="J34" s="53" t="s">
        <v>2932</v>
      </c>
      <c r="K34" s="54"/>
      <c r="M34" s="51" t="s">
        <v>2938</v>
      </c>
      <c r="N34" s="51" t="s">
        <v>2939</v>
      </c>
      <c r="O34" s="51" t="s">
        <v>890</v>
      </c>
      <c r="P34" s="51" t="b">
        <v>0</v>
      </c>
      <c r="Q34" s="51" t="s">
        <v>892</v>
      </c>
      <c r="R34" s="53" t="s">
        <v>896</v>
      </c>
      <c r="S34" s="51" t="s">
        <v>2940</v>
      </c>
      <c r="T34" s="62">
        <v>13.7933404</v>
      </c>
      <c r="U34" s="62">
        <v>100.6945355</v>
      </c>
      <c r="V34" s="51" t="s">
        <v>1906</v>
      </c>
      <c r="W34" s="53" t="s">
        <v>2941</v>
      </c>
      <c r="X34" s="51" t="s">
        <v>972</v>
      </c>
      <c r="Y34" s="54"/>
      <c r="Z34" s="51" t="s">
        <v>1950</v>
      </c>
      <c r="AA34" s="54"/>
      <c r="AB34" s="54"/>
      <c r="AC34" s="54"/>
      <c r="AD34" s="54"/>
    </row>
    <row r="35">
      <c r="A35" s="51" t="s">
        <v>2965</v>
      </c>
      <c r="B35" s="51" t="s">
        <v>762</v>
      </c>
      <c r="C35" s="51" t="s">
        <v>2966</v>
      </c>
      <c r="D35" s="51" t="s">
        <v>851</v>
      </c>
      <c r="E35" s="52">
        <v>400.0</v>
      </c>
      <c r="F35" s="52">
        <v>82.0</v>
      </c>
      <c r="G35" s="52">
        <v>318.0</v>
      </c>
      <c r="H35" s="51" t="s">
        <v>854</v>
      </c>
      <c r="I35" s="51" t="s">
        <v>855</v>
      </c>
      <c r="J35" s="53" t="s">
        <v>2967</v>
      </c>
      <c r="K35" s="54"/>
      <c r="M35" s="51" t="s">
        <v>2972</v>
      </c>
      <c r="N35" s="51" t="s">
        <v>2973</v>
      </c>
      <c r="O35" s="51" t="s">
        <v>890</v>
      </c>
      <c r="P35" s="51" t="b">
        <v>0</v>
      </c>
      <c r="Q35" s="51" t="s">
        <v>892</v>
      </c>
      <c r="R35" s="53" t="s">
        <v>896</v>
      </c>
      <c r="S35" s="51" t="s">
        <v>2978</v>
      </c>
      <c r="T35" s="62">
        <v>13.8485062</v>
      </c>
      <c r="U35" s="62">
        <v>100.6595136</v>
      </c>
      <c r="V35" s="51" t="s">
        <v>1906</v>
      </c>
      <c r="W35" s="53" t="s">
        <v>2979</v>
      </c>
      <c r="X35" s="51" t="s">
        <v>972</v>
      </c>
      <c r="Y35" s="54"/>
      <c r="Z35" s="51" t="s">
        <v>1950</v>
      </c>
      <c r="AA35" s="54"/>
      <c r="AB35" s="54"/>
      <c r="AC35" s="54"/>
      <c r="AD35" s="54"/>
    </row>
    <row r="36">
      <c r="A36" s="51" t="s">
        <v>2994</v>
      </c>
      <c r="B36" s="51" t="s">
        <v>274</v>
      </c>
      <c r="C36" s="51" t="s">
        <v>2995</v>
      </c>
      <c r="D36" s="51" t="s">
        <v>851</v>
      </c>
      <c r="E36" s="52">
        <v>100.0</v>
      </c>
      <c r="F36" s="52">
        <v>2.0</v>
      </c>
      <c r="G36" s="52">
        <v>98.0</v>
      </c>
      <c r="H36" s="51" t="s">
        <v>854</v>
      </c>
      <c r="I36" s="51" t="s">
        <v>855</v>
      </c>
      <c r="J36" s="54"/>
      <c r="K36" s="51" t="s">
        <v>2996</v>
      </c>
      <c r="M36" s="51" t="s">
        <v>2997</v>
      </c>
      <c r="N36" s="51" t="s">
        <v>2998</v>
      </c>
      <c r="O36" s="51" t="s">
        <v>890</v>
      </c>
      <c r="P36" s="51" t="b">
        <v>0</v>
      </c>
      <c r="Q36" s="51" t="s">
        <v>892</v>
      </c>
      <c r="R36" s="53" t="s">
        <v>896</v>
      </c>
      <c r="S36" s="51" t="s">
        <v>3002</v>
      </c>
      <c r="T36" s="62">
        <v>13.8188209</v>
      </c>
      <c r="U36" s="62">
        <v>100.577309</v>
      </c>
      <c r="V36" s="51" t="s">
        <v>926</v>
      </c>
      <c r="W36" s="53" t="s">
        <v>3004</v>
      </c>
      <c r="X36" s="51" t="s">
        <v>972</v>
      </c>
      <c r="Y36" s="53" t="s">
        <v>3004</v>
      </c>
      <c r="Z36" s="51" t="s">
        <v>975</v>
      </c>
      <c r="AA36" s="53" t="s">
        <v>3022</v>
      </c>
      <c r="AB36" s="51" t="s">
        <v>3036</v>
      </c>
      <c r="AC36" s="51" t="s">
        <v>3037</v>
      </c>
      <c r="AD36" s="51" t="s">
        <v>972</v>
      </c>
    </row>
    <row r="37">
      <c r="A37" s="51" t="s">
        <v>3038</v>
      </c>
      <c r="B37" s="51" t="s">
        <v>274</v>
      </c>
      <c r="C37" s="51" t="s">
        <v>3039</v>
      </c>
      <c r="D37" s="51" t="s">
        <v>851</v>
      </c>
      <c r="E37" s="52">
        <v>100.0</v>
      </c>
      <c r="F37" s="52">
        <v>70.0</v>
      </c>
      <c r="G37" s="52">
        <v>30.0</v>
      </c>
      <c r="H37" s="51" t="s">
        <v>854</v>
      </c>
      <c r="I37" s="51" t="s">
        <v>855</v>
      </c>
      <c r="J37" s="54"/>
      <c r="K37" s="51" t="s">
        <v>3040</v>
      </c>
      <c r="M37" s="51" t="s">
        <v>2997</v>
      </c>
      <c r="N37" s="51" t="s">
        <v>3042</v>
      </c>
      <c r="O37" s="51" t="s">
        <v>890</v>
      </c>
      <c r="P37" s="51" t="b">
        <v>0</v>
      </c>
      <c r="Q37" s="51" t="s">
        <v>892</v>
      </c>
      <c r="R37" s="53" t="s">
        <v>896</v>
      </c>
      <c r="S37" s="51" t="s">
        <v>3046</v>
      </c>
      <c r="T37" s="62">
        <v>13.8543639</v>
      </c>
      <c r="U37" s="62">
        <v>100.562375</v>
      </c>
      <c r="V37" s="51" t="s">
        <v>926</v>
      </c>
      <c r="W37" s="53" t="s">
        <v>3047</v>
      </c>
      <c r="X37" s="51" t="s">
        <v>972</v>
      </c>
      <c r="Y37" s="53" t="s">
        <v>3047</v>
      </c>
      <c r="Z37" s="51" t="s">
        <v>975</v>
      </c>
      <c r="AA37" s="53" t="s">
        <v>3061</v>
      </c>
      <c r="AB37" s="51" t="s">
        <v>3074</v>
      </c>
      <c r="AC37" s="51" t="s">
        <v>3075</v>
      </c>
      <c r="AD37" s="51" t="s">
        <v>972</v>
      </c>
    </row>
    <row r="38">
      <c r="A38" s="51" t="s">
        <v>3076</v>
      </c>
      <c r="B38" s="51" t="s">
        <v>274</v>
      </c>
      <c r="C38" s="51" t="s">
        <v>3077</v>
      </c>
      <c r="D38" s="51" t="s">
        <v>851</v>
      </c>
      <c r="E38" s="52">
        <v>50.0</v>
      </c>
      <c r="F38" s="52">
        <v>16.0</v>
      </c>
      <c r="G38" s="52">
        <v>34.0</v>
      </c>
      <c r="H38" s="51" t="s">
        <v>854</v>
      </c>
      <c r="I38" s="51" t="s">
        <v>855</v>
      </c>
      <c r="J38" s="54"/>
      <c r="K38" s="51" t="s">
        <v>3078</v>
      </c>
      <c r="M38" s="51" t="s">
        <v>2997</v>
      </c>
      <c r="N38" s="51" t="s">
        <v>3079</v>
      </c>
      <c r="O38" s="51" t="s">
        <v>890</v>
      </c>
      <c r="P38" s="51" t="b">
        <v>0</v>
      </c>
      <c r="Q38" s="51" t="s">
        <v>892</v>
      </c>
      <c r="R38" s="53" t="s">
        <v>896</v>
      </c>
      <c r="S38" s="51" t="s">
        <v>3080</v>
      </c>
      <c r="T38" s="62">
        <v>13.8038528</v>
      </c>
      <c r="U38" s="62">
        <v>100.5876155</v>
      </c>
      <c r="V38" s="51" t="s">
        <v>926</v>
      </c>
      <c r="W38" s="53" t="s">
        <v>3082</v>
      </c>
      <c r="X38" s="51" t="s">
        <v>972</v>
      </c>
      <c r="Y38" s="53" t="s">
        <v>3082</v>
      </c>
      <c r="Z38" s="51" t="s">
        <v>975</v>
      </c>
      <c r="AA38" s="53" t="s">
        <v>3104</v>
      </c>
      <c r="AB38" s="51" t="s">
        <v>3118</v>
      </c>
      <c r="AC38" s="51" t="s">
        <v>3119</v>
      </c>
      <c r="AD38" s="51" t="s">
        <v>972</v>
      </c>
    </row>
    <row r="39">
      <c r="A39" s="51" t="s">
        <v>3120</v>
      </c>
      <c r="B39" s="51" t="s">
        <v>274</v>
      </c>
      <c r="C39" s="51" t="s">
        <v>3121</v>
      </c>
      <c r="D39" s="51" t="s">
        <v>851</v>
      </c>
      <c r="E39" s="52">
        <v>80.0</v>
      </c>
      <c r="F39" s="52">
        <v>15.0</v>
      </c>
      <c r="G39" s="52">
        <v>65.0</v>
      </c>
      <c r="H39" s="51" t="s">
        <v>854</v>
      </c>
      <c r="I39" s="51" t="s">
        <v>855</v>
      </c>
      <c r="J39" s="54"/>
      <c r="K39" s="51" t="s">
        <v>3126</v>
      </c>
      <c r="M39" s="51" t="s">
        <v>2997</v>
      </c>
      <c r="N39" s="51" t="s">
        <v>3127</v>
      </c>
      <c r="O39" s="51" t="s">
        <v>890</v>
      </c>
      <c r="P39" s="51" t="b">
        <v>0</v>
      </c>
      <c r="Q39" s="51" t="s">
        <v>892</v>
      </c>
      <c r="R39" s="53" t="s">
        <v>896</v>
      </c>
      <c r="S39" s="51" t="s">
        <v>3129</v>
      </c>
      <c r="T39" s="62">
        <v>13.854062</v>
      </c>
      <c r="U39" s="62">
        <v>100.5623154</v>
      </c>
      <c r="V39" s="51" t="s">
        <v>926</v>
      </c>
      <c r="W39" s="53" t="s">
        <v>3130</v>
      </c>
      <c r="X39" s="51" t="s">
        <v>972</v>
      </c>
      <c r="Y39" s="53" t="s">
        <v>3130</v>
      </c>
      <c r="Z39" s="51" t="s">
        <v>975</v>
      </c>
      <c r="AA39" s="53" t="s">
        <v>3159</v>
      </c>
      <c r="AB39" s="51" t="s">
        <v>3172</v>
      </c>
      <c r="AC39" s="51" t="s">
        <v>3173</v>
      </c>
      <c r="AD39" s="51" t="s">
        <v>972</v>
      </c>
    </row>
    <row r="40">
      <c r="A40" s="51" t="s">
        <v>3174</v>
      </c>
      <c r="B40" s="51" t="s">
        <v>274</v>
      </c>
      <c r="C40" s="51" t="s">
        <v>3175</v>
      </c>
      <c r="D40" s="51" t="s">
        <v>851</v>
      </c>
      <c r="E40" s="52">
        <v>150.0</v>
      </c>
      <c r="F40" s="52">
        <v>12.0</v>
      </c>
      <c r="G40" s="52">
        <v>138.0</v>
      </c>
      <c r="H40" s="51" t="s">
        <v>854</v>
      </c>
      <c r="I40" s="51" t="s">
        <v>855</v>
      </c>
      <c r="J40" s="54"/>
      <c r="K40" s="51" t="s">
        <v>3180</v>
      </c>
      <c r="M40" s="51" t="s">
        <v>2997</v>
      </c>
      <c r="N40" s="51" t="s">
        <v>3182</v>
      </c>
      <c r="O40" s="51" t="s">
        <v>890</v>
      </c>
      <c r="P40" s="51" t="b">
        <v>0</v>
      </c>
      <c r="Q40" s="51" t="s">
        <v>892</v>
      </c>
      <c r="R40" s="53" t="s">
        <v>896</v>
      </c>
      <c r="S40" s="51" t="s">
        <v>3183</v>
      </c>
      <c r="T40" s="62">
        <v>13.8405167</v>
      </c>
      <c r="U40" s="62">
        <v>100.5561327</v>
      </c>
      <c r="V40" s="51" t="s">
        <v>926</v>
      </c>
      <c r="W40" s="53" t="s">
        <v>3184</v>
      </c>
      <c r="X40" s="51" t="s">
        <v>972</v>
      </c>
      <c r="Y40" s="53" t="s">
        <v>3184</v>
      </c>
      <c r="Z40" s="51" t="s">
        <v>975</v>
      </c>
      <c r="AA40" s="53" t="s">
        <v>3203</v>
      </c>
      <c r="AB40" s="51" t="s">
        <v>3219</v>
      </c>
      <c r="AC40" s="51" t="s">
        <v>3221</v>
      </c>
      <c r="AD40" s="51" t="s">
        <v>972</v>
      </c>
    </row>
    <row r="41">
      <c r="A41" s="51" t="s">
        <v>3224</v>
      </c>
      <c r="B41" s="51" t="s">
        <v>274</v>
      </c>
      <c r="C41" s="51" t="s">
        <v>3225</v>
      </c>
      <c r="D41" s="51" t="s">
        <v>851</v>
      </c>
      <c r="E41" s="52">
        <v>150.0</v>
      </c>
      <c r="F41" s="52">
        <v>299.0</v>
      </c>
      <c r="G41" s="52">
        <v>0.0</v>
      </c>
      <c r="H41" s="51" t="s">
        <v>854</v>
      </c>
      <c r="I41" s="51" t="s">
        <v>1954</v>
      </c>
      <c r="J41" s="54"/>
      <c r="K41" s="51" t="s">
        <v>3226</v>
      </c>
      <c r="M41" s="51" t="s">
        <v>2997</v>
      </c>
      <c r="N41" s="51" t="s">
        <v>3227</v>
      </c>
      <c r="O41" s="51" t="s">
        <v>890</v>
      </c>
      <c r="P41" s="51" t="b">
        <v>0</v>
      </c>
      <c r="Q41" s="51" t="s">
        <v>892</v>
      </c>
      <c r="R41" s="53" t="s">
        <v>896</v>
      </c>
      <c r="S41" s="51" t="s">
        <v>3228</v>
      </c>
      <c r="T41" s="62">
        <v>13.8316674</v>
      </c>
      <c r="U41" s="62">
        <v>100.5885199</v>
      </c>
      <c r="V41" s="51" t="s">
        <v>926</v>
      </c>
      <c r="W41" s="53" t="s">
        <v>3230</v>
      </c>
      <c r="X41" s="51" t="s">
        <v>972</v>
      </c>
      <c r="Y41" s="53" t="s">
        <v>3230</v>
      </c>
      <c r="Z41" s="51" t="s">
        <v>975</v>
      </c>
      <c r="AA41" s="53" t="s">
        <v>3248</v>
      </c>
      <c r="AB41" s="51" t="s">
        <v>3263</v>
      </c>
      <c r="AC41" s="51" t="s">
        <v>3264</v>
      </c>
      <c r="AD41" s="51" t="s">
        <v>972</v>
      </c>
    </row>
    <row r="42">
      <c r="A42" s="51" t="s">
        <v>3265</v>
      </c>
      <c r="B42" s="51" t="s">
        <v>384</v>
      </c>
      <c r="C42" s="51" t="s">
        <v>3266</v>
      </c>
      <c r="D42" s="51" t="s">
        <v>851</v>
      </c>
      <c r="E42" s="52">
        <v>60.0</v>
      </c>
      <c r="F42" s="52">
        <v>30.0</v>
      </c>
      <c r="G42" s="52">
        <v>30.0</v>
      </c>
      <c r="H42" s="51" t="s">
        <v>854</v>
      </c>
      <c r="I42" s="51" t="s">
        <v>855</v>
      </c>
      <c r="J42" s="54"/>
      <c r="K42" s="54"/>
      <c r="M42" s="51" t="s">
        <v>3267</v>
      </c>
      <c r="N42" s="51" t="s">
        <v>3268</v>
      </c>
      <c r="O42" s="51" t="s">
        <v>890</v>
      </c>
      <c r="P42" s="51" t="b">
        <v>0</v>
      </c>
      <c r="Q42" s="51" t="s">
        <v>892</v>
      </c>
      <c r="R42" s="53" t="s">
        <v>896</v>
      </c>
      <c r="S42" s="51" t="s">
        <v>3272</v>
      </c>
      <c r="T42" s="62">
        <v>13.940476</v>
      </c>
      <c r="U42" s="62">
        <v>100.615561</v>
      </c>
      <c r="V42" s="51" t="s">
        <v>926</v>
      </c>
      <c r="W42" s="53" t="s">
        <v>3275</v>
      </c>
      <c r="X42" s="51" t="s">
        <v>972</v>
      </c>
      <c r="Y42" s="53" t="s">
        <v>3275</v>
      </c>
      <c r="Z42" s="51" t="s">
        <v>975</v>
      </c>
      <c r="AA42" s="53" t="s">
        <v>3291</v>
      </c>
      <c r="AB42" s="51" t="s">
        <v>3306</v>
      </c>
      <c r="AC42" s="51" t="s">
        <v>3307</v>
      </c>
      <c r="AD42" s="51" t="s">
        <v>972</v>
      </c>
    </row>
    <row r="43">
      <c r="A43" s="51" t="s">
        <v>3310</v>
      </c>
      <c r="B43" s="51" t="s">
        <v>384</v>
      </c>
      <c r="C43" s="51" t="s">
        <v>3312</v>
      </c>
      <c r="D43" s="51" t="s">
        <v>851</v>
      </c>
      <c r="E43" s="52">
        <v>50.0</v>
      </c>
      <c r="F43" s="52">
        <v>42.0</v>
      </c>
      <c r="G43" s="52">
        <v>8.0</v>
      </c>
      <c r="H43" s="51" t="s">
        <v>854</v>
      </c>
      <c r="I43" s="51" t="s">
        <v>855</v>
      </c>
      <c r="J43" s="54"/>
      <c r="K43" s="54"/>
      <c r="M43" s="51" t="s">
        <v>3314</v>
      </c>
      <c r="N43" s="51" t="s">
        <v>3315</v>
      </c>
      <c r="O43" s="51" t="s">
        <v>890</v>
      </c>
      <c r="P43" s="51" t="b">
        <v>0</v>
      </c>
      <c r="Q43" s="51" t="s">
        <v>892</v>
      </c>
      <c r="R43" s="53" t="s">
        <v>896</v>
      </c>
      <c r="S43" s="51" t="s">
        <v>3316</v>
      </c>
      <c r="T43" s="62">
        <v>13.9220176</v>
      </c>
      <c r="U43" s="62">
        <v>100.6025786</v>
      </c>
      <c r="V43" s="51" t="s">
        <v>926</v>
      </c>
      <c r="W43" s="53" t="s">
        <v>3317</v>
      </c>
      <c r="X43" s="51" t="s">
        <v>972</v>
      </c>
      <c r="Y43" s="53" t="s">
        <v>3317</v>
      </c>
      <c r="Z43" s="51" t="s">
        <v>975</v>
      </c>
      <c r="AA43" s="53" t="s">
        <v>3335</v>
      </c>
      <c r="AB43" s="51" t="s">
        <v>3348</v>
      </c>
      <c r="AC43" s="51" t="s">
        <v>3349</v>
      </c>
      <c r="AD43" s="51" t="s">
        <v>972</v>
      </c>
    </row>
    <row r="44">
      <c r="A44" s="51" t="s">
        <v>3350</v>
      </c>
      <c r="B44" s="51" t="s">
        <v>413</v>
      </c>
      <c r="C44" s="51" t="s">
        <v>3351</v>
      </c>
      <c r="D44" s="51" t="s">
        <v>851</v>
      </c>
      <c r="E44" s="52">
        <v>200.0</v>
      </c>
      <c r="F44" s="52">
        <v>0.0</v>
      </c>
      <c r="G44" s="52">
        <v>200.0</v>
      </c>
      <c r="H44" s="51" t="s">
        <v>854</v>
      </c>
      <c r="I44" s="51" t="s">
        <v>855</v>
      </c>
      <c r="J44" s="53" t="s">
        <v>3353</v>
      </c>
      <c r="K44" s="54"/>
      <c r="M44" s="51" t="s">
        <v>3358</v>
      </c>
      <c r="N44" s="51" t="s">
        <v>3358</v>
      </c>
      <c r="O44" s="51" t="s">
        <v>890</v>
      </c>
      <c r="P44" s="51" t="b">
        <v>0</v>
      </c>
      <c r="Q44" s="51" t="s">
        <v>892</v>
      </c>
      <c r="R44" s="53" t="s">
        <v>896</v>
      </c>
      <c r="S44" s="51" t="s">
        <v>3363</v>
      </c>
      <c r="T44" s="62">
        <v>13.767709</v>
      </c>
      <c r="U44" s="62">
        <v>100.5566007</v>
      </c>
      <c r="V44" s="51" t="s">
        <v>1906</v>
      </c>
      <c r="W44" s="53" t="s">
        <v>3364</v>
      </c>
      <c r="X44" s="51" t="s">
        <v>972</v>
      </c>
      <c r="Z44" s="51" t="s">
        <v>1950</v>
      </c>
      <c r="AA44" s="54"/>
      <c r="AD44" s="54"/>
    </row>
    <row r="45">
      <c r="A45" s="51" t="s">
        <v>3373</v>
      </c>
      <c r="B45" s="51" t="s">
        <v>467</v>
      </c>
      <c r="C45" s="51" t="s">
        <v>3374</v>
      </c>
      <c r="D45" s="51" t="s">
        <v>851</v>
      </c>
      <c r="E45" s="52">
        <v>50.0</v>
      </c>
      <c r="F45" s="52">
        <v>0.0</v>
      </c>
      <c r="G45" s="52">
        <v>50.0</v>
      </c>
      <c r="H45" s="51" t="s">
        <v>854</v>
      </c>
      <c r="I45" s="51" t="s">
        <v>855</v>
      </c>
      <c r="J45" s="54"/>
      <c r="K45" s="51" t="s">
        <v>3375</v>
      </c>
      <c r="M45" s="51" t="s">
        <v>3376</v>
      </c>
      <c r="N45" s="51" t="s">
        <v>3376</v>
      </c>
      <c r="O45" s="51" t="s">
        <v>890</v>
      </c>
      <c r="P45" s="51" t="b">
        <v>0</v>
      </c>
      <c r="Q45" s="51" t="s">
        <v>892</v>
      </c>
      <c r="R45" s="53" t="s">
        <v>896</v>
      </c>
      <c r="S45" s="51" t="s">
        <v>3377</v>
      </c>
      <c r="T45" s="62">
        <v>13.7810125</v>
      </c>
      <c r="U45" s="62">
        <v>100.5155781</v>
      </c>
      <c r="V45" s="51" t="s">
        <v>926</v>
      </c>
      <c r="W45" s="53" t="s">
        <v>3378</v>
      </c>
      <c r="X45" s="51" t="s">
        <v>972</v>
      </c>
      <c r="Y45" s="53" t="s">
        <v>3378</v>
      </c>
      <c r="Z45" s="51" t="s">
        <v>975</v>
      </c>
      <c r="AA45" s="53" t="s">
        <v>3397</v>
      </c>
      <c r="AB45" s="51" t="s">
        <v>3417</v>
      </c>
      <c r="AC45" s="51" t="s">
        <v>3418</v>
      </c>
      <c r="AD45" s="51" t="s">
        <v>972</v>
      </c>
    </row>
    <row r="46">
      <c r="A46" s="51" t="s">
        <v>3419</v>
      </c>
      <c r="B46" s="51" t="s">
        <v>467</v>
      </c>
      <c r="C46" s="51" t="s">
        <v>3420</v>
      </c>
      <c r="D46" s="51" t="s">
        <v>851</v>
      </c>
      <c r="E46" s="52">
        <v>50.0</v>
      </c>
      <c r="F46" s="52">
        <v>0.0</v>
      </c>
      <c r="G46" s="52">
        <v>50.0</v>
      </c>
      <c r="H46" s="51" t="s">
        <v>854</v>
      </c>
      <c r="I46" s="51" t="s">
        <v>855</v>
      </c>
      <c r="J46" s="54"/>
      <c r="K46" s="51" t="s">
        <v>3375</v>
      </c>
      <c r="M46" s="51" t="s">
        <v>3376</v>
      </c>
      <c r="N46" s="51" t="s">
        <v>3376</v>
      </c>
      <c r="O46" s="51" t="s">
        <v>890</v>
      </c>
      <c r="P46" s="51" t="b">
        <v>0</v>
      </c>
      <c r="Q46" s="51" t="s">
        <v>892</v>
      </c>
      <c r="R46" s="53" t="s">
        <v>896</v>
      </c>
      <c r="S46" s="51" t="s">
        <v>3421</v>
      </c>
      <c r="T46" s="62">
        <v>13.7769653</v>
      </c>
      <c r="U46" s="62">
        <v>100.5229662</v>
      </c>
      <c r="V46" s="51" t="s">
        <v>926</v>
      </c>
      <c r="W46" s="53" t="s">
        <v>3425</v>
      </c>
      <c r="X46" s="51" t="s">
        <v>972</v>
      </c>
      <c r="Y46" s="53" t="s">
        <v>3425</v>
      </c>
      <c r="Z46" s="51" t="s">
        <v>975</v>
      </c>
      <c r="AA46" s="53" t="s">
        <v>3441</v>
      </c>
      <c r="AB46" s="51" t="s">
        <v>3455</v>
      </c>
      <c r="AC46" s="51" t="s">
        <v>3456</v>
      </c>
      <c r="AD46" s="51" t="s">
        <v>972</v>
      </c>
    </row>
    <row r="47">
      <c r="A47" s="51" t="s">
        <v>3457</v>
      </c>
      <c r="B47" s="51" t="s">
        <v>467</v>
      </c>
      <c r="C47" s="51" t="s">
        <v>3458</v>
      </c>
      <c r="D47" s="51" t="s">
        <v>851</v>
      </c>
      <c r="E47" s="52">
        <v>20.0</v>
      </c>
      <c r="F47" s="52">
        <v>0.0</v>
      </c>
      <c r="G47" s="52">
        <v>20.0</v>
      </c>
      <c r="H47" s="51" t="s">
        <v>854</v>
      </c>
      <c r="I47" s="51" t="s">
        <v>855</v>
      </c>
      <c r="J47" s="54"/>
      <c r="K47" s="51" t="s">
        <v>3375</v>
      </c>
      <c r="M47" s="51" t="s">
        <v>3376</v>
      </c>
      <c r="N47" s="51" t="s">
        <v>3376</v>
      </c>
      <c r="O47" s="51" t="s">
        <v>890</v>
      </c>
      <c r="P47" s="51" t="b">
        <v>0</v>
      </c>
      <c r="Q47" s="51" t="s">
        <v>892</v>
      </c>
      <c r="R47" s="53" t="s">
        <v>896</v>
      </c>
      <c r="S47" s="51" t="s">
        <v>3460</v>
      </c>
      <c r="T47" s="62">
        <v>13.7803224</v>
      </c>
      <c r="U47" s="62">
        <v>100.5113954</v>
      </c>
      <c r="V47" s="51" t="s">
        <v>926</v>
      </c>
      <c r="W47" s="53" t="s">
        <v>3464</v>
      </c>
      <c r="X47" s="51" t="s">
        <v>972</v>
      </c>
      <c r="Y47" s="53" t="s">
        <v>3464</v>
      </c>
      <c r="Z47" s="51" t="s">
        <v>975</v>
      </c>
      <c r="AA47" s="53" t="s">
        <v>3484</v>
      </c>
      <c r="AB47" s="51" t="s">
        <v>3498</v>
      </c>
      <c r="AC47" s="51" t="s">
        <v>3499</v>
      </c>
      <c r="AD47" s="51" t="s">
        <v>972</v>
      </c>
    </row>
    <row r="48">
      <c r="A48" s="51" t="s">
        <v>3502</v>
      </c>
      <c r="B48" s="51" t="s">
        <v>467</v>
      </c>
      <c r="C48" s="51" t="s">
        <v>3504</v>
      </c>
      <c r="D48" s="51" t="s">
        <v>851</v>
      </c>
      <c r="E48" s="52">
        <v>50.0</v>
      </c>
      <c r="F48" s="52">
        <v>0.0</v>
      </c>
      <c r="G48" s="52">
        <v>50.0</v>
      </c>
      <c r="H48" s="51" t="s">
        <v>854</v>
      </c>
      <c r="I48" s="51" t="s">
        <v>855</v>
      </c>
      <c r="J48" s="54"/>
      <c r="K48" s="51" t="s">
        <v>3375</v>
      </c>
      <c r="M48" s="51" t="s">
        <v>3376</v>
      </c>
      <c r="N48" s="51" t="s">
        <v>3376</v>
      </c>
      <c r="O48" s="51" t="s">
        <v>890</v>
      </c>
      <c r="P48" s="51" t="b">
        <v>0</v>
      </c>
      <c r="Q48" s="51" t="s">
        <v>892</v>
      </c>
      <c r="R48" s="53" t="s">
        <v>896</v>
      </c>
      <c r="S48" s="51" t="s">
        <v>3505</v>
      </c>
      <c r="T48" s="62">
        <v>13.7600327</v>
      </c>
      <c r="U48" s="62">
        <v>100.5162609</v>
      </c>
      <c r="V48" s="51" t="s">
        <v>926</v>
      </c>
      <c r="W48" s="53" t="s">
        <v>3507</v>
      </c>
      <c r="X48" s="51" t="s">
        <v>972</v>
      </c>
      <c r="Y48" s="53" t="s">
        <v>3507</v>
      </c>
      <c r="Z48" s="51" t="s">
        <v>975</v>
      </c>
      <c r="AA48" s="53" t="s">
        <v>3524</v>
      </c>
      <c r="AB48" s="51" t="s">
        <v>3541</v>
      </c>
      <c r="AC48" s="51" t="s">
        <v>3542</v>
      </c>
      <c r="AD48" s="51" t="s">
        <v>972</v>
      </c>
    </row>
    <row r="49">
      <c r="A49" s="51" t="s">
        <v>3543</v>
      </c>
      <c r="B49" s="51" t="s">
        <v>467</v>
      </c>
      <c r="C49" s="51" t="s">
        <v>3544</v>
      </c>
      <c r="D49" s="51" t="s">
        <v>851</v>
      </c>
      <c r="E49" s="52">
        <v>50.0</v>
      </c>
      <c r="F49" s="52">
        <v>0.0</v>
      </c>
      <c r="G49" s="52">
        <v>50.0</v>
      </c>
      <c r="H49" s="51" t="s">
        <v>854</v>
      </c>
      <c r="I49" s="51" t="s">
        <v>855</v>
      </c>
      <c r="J49" s="54"/>
      <c r="K49" s="51" t="s">
        <v>3375</v>
      </c>
      <c r="M49" s="51" t="s">
        <v>3376</v>
      </c>
      <c r="N49" s="51" t="s">
        <v>3376</v>
      </c>
      <c r="O49" s="51" t="s">
        <v>890</v>
      </c>
      <c r="P49" s="51" t="b">
        <v>0</v>
      </c>
      <c r="Q49" s="51" t="s">
        <v>892</v>
      </c>
      <c r="R49" s="53" t="s">
        <v>896</v>
      </c>
      <c r="S49" s="51" t="s">
        <v>3546</v>
      </c>
      <c r="T49" s="62">
        <v>13.7807299</v>
      </c>
      <c r="U49" s="62">
        <v>100.5158336</v>
      </c>
      <c r="V49" s="51" t="s">
        <v>926</v>
      </c>
      <c r="W49" s="53" t="s">
        <v>3550</v>
      </c>
      <c r="X49" s="51" t="s">
        <v>3565</v>
      </c>
      <c r="Y49" s="53" t="s">
        <v>3550</v>
      </c>
      <c r="Z49" s="51" t="s">
        <v>975</v>
      </c>
      <c r="AA49" s="53" t="s">
        <v>3569</v>
      </c>
      <c r="AB49" s="51" t="s">
        <v>3584</v>
      </c>
      <c r="AC49" s="51" t="s">
        <v>3585</v>
      </c>
      <c r="AD49" s="51" t="s">
        <v>3565</v>
      </c>
    </row>
    <row r="50">
      <c r="A50" s="51" t="s">
        <v>3587</v>
      </c>
      <c r="B50" s="51" t="s">
        <v>467</v>
      </c>
      <c r="C50" s="51" t="s">
        <v>3589</v>
      </c>
      <c r="D50" s="51" t="s">
        <v>851</v>
      </c>
      <c r="E50" s="52">
        <v>50.0</v>
      </c>
      <c r="F50" s="52">
        <v>0.0</v>
      </c>
      <c r="G50" s="52">
        <v>50.0</v>
      </c>
      <c r="H50" s="51" t="s">
        <v>854</v>
      </c>
      <c r="I50" s="51" t="s">
        <v>855</v>
      </c>
      <c r="J50" s="54"/>
      <c r="K50" s="51" t="s">
        <v>3375</v>
      </c>
      <c r="M50" s="51" t="s">
        <v>3376</v>
      </c>
      <c r="N50" s="51" t="s">
        <v>3376</v>
      </c>
      <c r="O50" s="51" t="s">
        <v>890</v>
      </c>
      <c r="P50" s="51" t="b">
        <v>0</v>
      </c>
      <c r="Q50" s="51" t="s">
        <v>892</v>
      </c>
      <c r="R50" s="53" t="s">
        <v>896</v>
      </c>
      <c r="S50" s="51" t="s">
        <v>3593</v>
      </c>
      <c r="T50" s="62">
        <v>13.7729871</v>
      </c>
      <c r="U50" s="62">
        <v>100.5018339</v>
      </c>
      <c r="V50" s="51" t="s">
        <v>926</v>
      </c>
      <c r="W50" s="53" t="s">
        <v>3594</v>
      </c>
      <c r="X50" s="51" t="s">
        <v>3565</v>
      </c>
      <c r="Y50" s="53" t="s">
        <v>3594</v>
      </c>
      <c r="Z50" s="51" t="s">
        <v>975</v>
      </c>
      <c r="AA50" s="53" t="s">
        <v>3615</v>
      </c>
      <c r="AB50" s="51" t="s">
        <v>3629</v>
      </c>
      <c r="AC50" s="51" t="s">
        <v>3630</v>
      </c>
      <c r="AD50" s="51" t="s">
        <v>3565</v>
      </c>
    </row>
    <row r="51">
      <c r="A51" s="51" t="s">
        <v>3631</v>
      </c>
      <c r="B51" s="51" t="s">
        <v>467</v>
      </c>
      <c r="C51" s="51" t="s">
        <v>3632</v>
      </c>
      <c r="D51" s="51" t="s">
        <v>851</v>
      </c>
      <c r="E51" s="52">
        <v>50.0</v>
      </c>
      <c r="F51" s="52">
        <v>0.0</v>
      </c>
      <c r="G51" s="52">
        <v>50.0</v>
      </c>
      <c r="H51" s="51" t="s">
        <v>854</v>
      </c>
      <c r="I51" s="51" t="s">
        <v>855</v>
      </c>
      <c r="J51" s="54"/>
      <c r="K51" s="51" t="s">
        <v>3375</v>
      </c>
      <c r="M51" s="51" t="s">
        <v>3376</v>
      </c>
      <c r="N51" s="51" t="s">
        <v>3376</v>
      </c>
      <c r="O51" s="51" t="s">
        <v>890</v>
      </c>
      <c r="P51" s="51" t="b">
        <v>0</v>
      </c>
      <c r="Q51" s="51" t="s">
        <v>892</v>
      </c>
      <c r="R51" s="53" t="s">
        <v>896</v>
      </c>
      <c r="S51" s="51" t="s">
        <v>3637</v>
      </c>
      <c r="T51" s="62">
        <v>13.7650429</v>
      </c>
      <c r="U51" s="62">
        <v>100.5130032</v>
      </c>
      <c r="V51" s="51" t="s">
        <v>926</v>
      </c>
      <c r="W51" s="53" t="s">
        <v>3638</v>
      </c>
      <c r="X51" s="51" t="s">
        <v>3565</v>
      </c>
      <c r="Y51" s="53" t="s">
        <v>3638</v>
      </c>
      <c r="Z51" s="51" t="s">
        <v>975</v>
      </c>
      <c r="AA51" s="53" t="s">
        <v>3657</v>
      </c>
      <c r="AB51" s="51" t="s">
        <v>3674</v>
      </c>
      <c r="AC51" s="51" t="s">
        <v>3675</v>
      </c>
      <c r="AD51" s="51" t="s">
        <v>3565</v>
      </c>
    </row>
    <row r="52">
      <c r="A52" s="51" t="s">
        <v>3676</v>
      </c>
      <c r="B52" s="51" t="s">
        <v>172</v>
      </c>
      <c r="C52" s="51" t="s">
        <v>3677</v>
      </c>
      <c r="D52" s="51" t="s">
        <v>851</v>
      </c>
      <c r="E52" s="52">
        <v>50.0</v>
      </c>
      <c r="F52" s="52">
        <v>0.0</v>
      </c>
      <c r="G52" s="52">
        <v>50.0</v>
      </c>
      <c r="H52" s="51" t="s">
        <v>854</v>
      </c>
      <c r="I52" s="51" t="s">
        <v>855</v>
      </c>
      <c r="J52" s="53" t="s">
        <v>3678</v>
      </c>
      <c r="M52" s="51" t="s">
        <v>3683</v>
      </c>
      <c r="N52" s="51" t="s">
        <v>3684</v>
      </c>
      <c r="O52" s="51" t="s">
        <v>890</v>
      </c>
      <c r="P52" s="51" t="b">
        <v>0</v>
      </c>
      <c r="Q52" s="51" t="s">
        <v>892</v>
      </c>
      <c r="R52" s="53" t="s">
        <v>896</v>
      </c>
      <c r="S52" s="51" t="s">
        <v>3685</v>
      </c>
      <c r="T52" s="62">
        <v>13.7831533</v>
      </c>
      <c r="U52" s="62">
        <v>100.3839709</v>
      </c>
      <c r="V52" s="51" t="s">
        <v>926</v>
      </c>
      <c r="W52" s="53" t="s">
        <v>3687</v>
      </c>
      <c r="X52" s="51" t="s">
        <v>3565</v>
      </c>
      <c r="Y52" s="53" t="s">
        <v>3687</v>
      </c>
      <c r="Z52" s="51" t="s">
        <v>975</v>
      </c>
      <c r="AA52" s="53" t="s">
        <v>3711</v>
      </c>
      <c r="AB52" s="51" t="s">
        <v>3728</v>
      </c>
      <c r="AC52" s="51" t="s">
        <v>3729</v>
      </c>
      <c r="AD52" s="51" t="s">
        <v>3565</v>
      </c>
    </row>
    <row r="53">
      <c r="A53" s="51" t="s">
        <v>3730</v>
      </c>
      <c r="B53" s="51" t="s">
        <v>172</v>
      </c>
      <c r="C53" s="51" t="s">
        <v>3731</v>
      </c>
      <c r="D53" s="51" t="s">
        <v>851</v>
      </c>
      <c r="E53" s="52">
        <v>50.0</v>
      </c>
      <c r="F53" s="52">
        <v>0.0</v>
      </c>
      <c r="G53" s="52">
        <v>50.0</v>
      </c>
      <c r="H53" s="51" t="s">
        <v>854</v>
      </c>
      <c r="I53" s="51" t="s">
        <v>855</v>
      </c>
      <c r="J53" s="53" t="s">
        <v>3732</v>
      </c>
      <c r="M53" s="51" t="s">
        <v>3737</v>
      </c>
      <c r="N53" s="51" t="s">
        <v>3737</v>
      </c>
      <c r="O53" s="51" t="s">
        <v>890</v>
      </c>
      <c r="P53" s="51" t="b">
        <v>0</v>
      </c>
      <c r="Q53" s="51" t="s">
        <v>892</v>
      </c>
      <c r="R53" s="53" t="s">
        <v>896</v>
      </c>
      <c r="S53" s="51" t="s">
        <v>3741</v>
      </c>
      <c r="T53" s="62">
        <v>13.7555154</v>
      </c>
      <c r="U53" s="62">
        <v>100.3520195</v>
      </c>
      <c r="V53" s="51" t="s">
        <v>926</v>
      </c>
      <c r="W53" s="53" t="s">
        <v>3744</v>
      </c>
      <c r="X53" s="51" t="s">
        <v>3565</v>
      </c>
      <c r="Y53" s="53" t="s">
        <v>3744</v>
      </c>
      <c r="Z53" s="51" t="s">
        <v>975</v>
      </c>
      <c r="AA53" s="53" t="s">
        <v>3762</v>
      </c>
      <c r="AB53" s="51" t="s">
        <v>3782</v>
      </c>
      <c r="AC53" s="51" t="s">
        <v>3783</v>
      </c>
      <c r="AD53" s="51" t="s">
        <v>3565</v>
      </c>
    </row>
    <row r="54">
      <c r="A54" s="51" t="s">
        <v>3784</v>
      </c>
      <c r="B54" s="51" t="s">
        <v>172</v>
      </c>
      <c r="C54" s="51" t="s">
        <v>3785</v>
      </c>
      <c r="D54" s="51" t="s">
        <v>851</v>
      </c>
      <c r="E54" s="52">
        <v>35.0</v>
      </c>
      <c r="F54" s="52">
        <v>3.0</v>
      </c>
      <c r="G54" s="52">
        <v>32.0</v>
      </c>
      <c r="H54" s="51" t="s">
        <v>854</v>
      </c>
      <c r="I54" s="51" t="s">
        <v>855</v>
      </c>
      <c r="J54" s="53" t="s">
        <v>3789</v>
      </c>
      <c r="M54" s="51" t="s">
        <v>3794</v>
      </c>
      <c r="N54" s="51" t="s">
        <v>3796</v>
      </c>
      <c r="O54" s="51" t="s">
        <v>890</v>
      </c>
      <c r="P54" s="51" t="b">
        <v>0</v>
      </c>
      <c r="Q54" s="51" t="s">
        <v>892</v>
      </c>
      <c r="R54" s="53" t="s">
        <v>896</v>
      </c>
      <c r="S54" s="51" t="s">
        <v>3799</v>
      </c>
      <c r="T54" s="62">
        <v>13.7631885</v>
      </c>
      <c r="U54" s="62">
        <v>100.3766884</v>
      </c>
      <c r="V54" s="51" t="s">
        <v>926</v>
      </c>
      <c r="W54" s="53" t="s">
        <v>3800</v>
      </c>
      <c r="X54" s="51" t="s">
        <v>3565</v>
      </c>
      <c r="Y54" s="53" t="s">
        <v>3800</v>
      </c>
      <c r="Z54" s="51" t="s">
        <v>975</v>
      </c>
      <c r="AA54" s="53" t="s">
        <v>3818</v>
      </c>
      <c r="AB54" s="51" t="s">
        <v>3832</v>
      </c>
      <c r="AC54" s="51" t="s">
        <v>3833</v>
      </c>
      <c r="AD54" s="51" t="s">
        <v>3565</v>
      </c>
    </row>
    <row r="55">
      <c r="A55" s="51" t="s">
        <v>3834</v>
      </c>
      <c r="B55" s="51" t="s">
        <v>172</v>
      </c>
      <c r="C55" s="51" t="s">
        <v>3835</v>
      </c>
      <c r="D55" s="51" t="s">
        <v>851</v>
      </c>
      <c r="E55" s="52">
        <v>20.0</v>
      </c>
      <c r="F55" s="52">
        <v>0.0</v>
      </c>
      <c r="G55" s="52">
        <v>20.0</v>
      </c>
      <c r="H55" s="51" t="s">
        <v>854</v>
      </c>
      <c r="I55" s="51" t="s">
        <v>855</v>
      </c>
      <c r="J55" s="53" t="s">
        <v>3836</v>
      </c>
      <c r="K55" s="54"/>
      <c r="M55" s="51" t="s">
        <v>3841</v>
      </c>
      <c r="N55" s="51" t="s">
        <v>3842</v>
      </c>
      <c r="O55" s="51" t="s">
        <v>890</v>
      </c>
      <c r="P55" s="51" t="b">
        <v>0</v>
      </c>
      <c r="Q55" s="51" t="s">
        <v>892</v>
      </c>
      <c r="R55" s="53" t="s">
        <v>896</v>
      </c>
      <c r="S55" s="51" t="s">
        <v>3843</v>
      </c>
      <c r="T55" s="62">
        <v>13.8023348</v>
      </c>
      <c r="U55" s="62">
        <v>100.3523819</v>
      </c>
      <c r="V55" s="51" t="s">
        <v>926</v>
      </c>
      <c r="W55" s="53" t="s">
        <v>3847</v>
      </c>
      <c r="X55" s="51" t="s">
        <v>3565</v>
      </c>
      <c r="Y55" s="53" t="s">
        <v>3847</v>
      </c>
      <c r="Z55" s="51" t="s">
        <v>975</v>
      </c>
      <c r="AA55" s="53" t="s">
        <v>3861</v>
      </c>
      <c r="AB55" s="51" t="s">
        <v>3875</v>
      </c>
      <c r="AC55" s="51" t="s">
        <v>3876</v>
      </c>
      <c r="AD55" s="51" t="s">
        <v>3565</v>
      </c>
    </row>
    <row r="56">
      <c r="A56" s="51" t="s">
        <v>3877</v>
      </c>
      <c r="B56" s="51" t="s">
        <v>172</v>
      </c>
      <c r="C56" s="51" t="s">
        <v>3878</v>
      </c>
      <c r="D56" s="51" t="s">
        <v>851</v>
      </c>
      <c r="E56" s="52">
        <v>20.0</v>
      </c>
      <c r="F56" s="52">
        <v>0.0</v>
      </c>
      <c r="G56" s="52">
        <v>20.0</v>
      </c>
      <c r="H56" s="51" t="s">
        <v>854</v>
      </c>
      <c r="I56" s="51" t="s">
        <v>855</v>
      </c>
      <c r="J56" s="53" t="s">
        <v>3880</v>
      </c>
      <c r="K56" s="54"/>
      <c r="M56" s="51" t="s">
        <v>3885</v>
      </c>
      <c r="N56" s="51" t="s">
        <v>3886</v>
      </c>
      <c r="O56" s="51" t="s">
        <v>890</v>
      </c>
      <c r="P56" s="51" t="b">
        <v>0</v>
      </c>
      <c r="Q56" s="51" t="s">
        <v>892</v>
      </c>
      <c r="R56" s="53" t="s">
        <v>896</v>
      </c>
      <c r="S56" s="51" t="s">
        <v>3887</v>
      </c>
      <c r="T56" s="62">
        <v>13.7795511</v>
      </c>
      <c r="U56" s="62">
        <v>100.3445842</v>
      </c>
      <c r="V56" s="51" t="s">
        <v>926</v>
      </c>
      <c r="W56" s="53" t="s">
        <v>3888</v>
      </c>
      <c r="X56" s="51" t="s">
        <v>3565</v>
      </c>
      <c r="Y56" s="53" t="s">
        <v>3888</v>
      </c>
      <c r="Z56" s="51" t="s">
        <v>975</v>
      </c>
      <c r="AA56" s="53" t="s">
        <v>3907</v>
      </c>
      <c r="AB56" s="51" t="s">
        <v>3922</v>
      </c>
      <c r="AC56" s="51" t="s">
        <v>3923</v>
      </c>
      <c r="AD56" s="51" t="s">
        <v>3565</v>
      </c>
    </row>
    <row r="57">
      <c r="A57" s="51" t="s">
        <v>3924</v>
      </c>
      <c r="B57" s="51" t="s">
        <v>172</v>
      </c>
      <c r="C57" s="51" t="s">
        <v>3925</v>
      </c>
      <c r="D57" s="51" t="s">
        <v>851</v>
      </c>
      <c r="E57" s="52">
        <v>20.0</v>
      </c>
      <c r="F57" s="52">
        <v>6.0</v>
      </c>
      <c r="G57" s="52">
        <v>14.0</v>
      </c>
      <c r="H57" s="51" t="s">
        <v>854</v>
      </c>
      <c r="I57" s="51" t="s">
        <v>855</v>
      </c>
      <c r="J57" s="53" t="s">
        <v>3927</v>
      </c>
      <c r="K57" s="54"/>
      <c r="M57" s="51" t="s">
        <v>3935</v>
      </c>
      <c r="N57" s="51" t="s">
        <v>3936</v>
      </c>
      <c r="O57" s="51" t="s">
        <v>890</v>
      </c>
      <c r="P57" s="51" t="b">
        <v>0</v>
      </c>
      <c r="Q57" s="51" t="s">
        <v>892</v>
      </c>
      <c r="R57" s="53" t="s">
        <v>896</v>
      </c>
      <c r="S57" s="51" t="s">
        <v>3937</v>
      </c>
      <c r="T57" s="62">
        <v>13.8018387</v>
      </c>
      <c r="U57" s="62">
        <v>100.337289</v>
      </c>
      <c r="V57" s="51" t="s">
        <v>926</v>
      </c>
      <c r="W57" s="53" t="s">
        <v>3938</v>
      </c>
      <c r="X57" s="51" t="s">
        <v>3565</v>
      </c>
      <c r="Y57" s="53" t="s">
        <v>3938</v>
      </c>
      <c r="Z57" s="51" t="s">
        <v>975</v>
      </c>
      <c r="AA57" s="53" t="s">
        <v>3957</v>
      </c>
      <c r="AB57" s="51" t="s">
        <v>3971</v>
      </c>
      <c r="AC57" s="51" t="s">
        <v>3972</v>
      </c>
      <c r="AD57" s="51" t="s">
        <v>3565</v>
      </c>
    </row>
    <row r="58">
      <c r="A58" s="51" t="s">
        <v>3974</v>
      </c>
      <c r="B58" s="51" t="s">
        <v>172</v>
      </c>
      <c r="C58" s="51" t="s">
        <v>3977</v>
      </c>
      <c r="D58" s="51" t="s">
        <v>851</v>
      </c>
      <c r="E58" s="52">
        <v>30.0</v>
      </c>
      <c r="F58" s="52">
        <v>0.0</v>
      </c>
      <c r="G58" s="52">
        <v>30.0</v>
      </c>
      <c r="H58" s="51" t="s">
        <v>854</v>
      </c>
      <c r="I58" s="51" t="s">
        <v>855</v>
      </c>
      <c r="J58" s="53" t="s">
        <v>3979</v>
      </c>
      <c r="K58" s="54"/>
      <c r="M58" s="51" t="s">
        <v>3984</v>
      </c>
      <c r="N58" s="51" t="s">
        <v>3985</v>
      </c>
      <c r="O58" s="51" t="s">
        <v>890</v>
      </c>
      <c r="P58" s="51" t="b">
        <v>0</v>
      </c>
      <c r="Q58" s="51" t="s">
        <v>892</v>
      </c>
      <c r="R58" s="53" t="s">
        <v>896</v>
      </c>
      <c r="S58" s="51" t="s">
        <v>3986</v>
      </c>
      <c r="T58" s="62">
        <v>13.8017671</v>
      </c>
      <c r="U58" s="62">
        <v>100.3353099</v>
      </c>
      <c r="V58" s="51" t="s">
        <v>926</v>
      </c>
      <c r="W58" s="53" t="s">
        <v>3987</v>
      </c>
      <c r="X58" s="51" t="s">
        <v>3565</v>
      </c>
      <c r="Y58" s="53" t="s">
        <v>3987</v>
      </c>
      <c r="Z58" s="51" t="s">
        <v>975</v>
      </c>
      <c r="AA58" s="53" t="s">
        <v>3997</v>
      </c>
      <c r="AB58" s="51" t="s">
        <v>4008</v>
      </c>
      <c r="AC58" s="51" t="s">
        <v>4010</v>
      </c>
      <c r="AD58" s="51" t="s">
        <v>3565</v>
      </c>
    </row>
    <row r="59">
      <c r="A59" s="51" t="s">
        <v>4012</v>
      </c>
      <c r="B59" s="51" t="s">
        <v>1218</v>
      </c>
      <c r="C59" s="51" t="s">
        <v>4013</v>
      </c>
      <c r="D59" s="51" t="s">
        <v>851</v>
      </c>
      <c r="E59" s="52">
        <v>20.0</v>
      </c>
      <c r="F59" s="52">
        <v>0.0</v>
      </c>
      <c r="G59" s="52">
        <v>20.0</v>
      </c>
      <c r="H59" s="51" t="s">
        <v>854</v>
      </c>
      <c r="I59" s="51" t="s">
        <v>855</v>
      </c>
      <c r="J59" s="54"/>
      <c r="K59" s="54"/>
      <c r="M59" s="51" t="s">
        <v>4014</v>
      </c>
      <c r="N59" s="51" t="s">
        <v>4014</v>
      </c>
      <c r="O59" s="51" t="s">
        <v>890</v>
      </c>
      <c r="P59" s="51" t="b">
        <v>0</v>
      </c>
      <c r="Q59" s="51" t="s">
        <v>892</v>
      </c>
      <c r="R59" s="53" t="s">
        <v>896</v>
      </c>
      <c r="S59" s="51" t="s">
        <v>4015</v>
      </c>
      <c r="T59" s="62">
        <v>13.635602</v>
      </c>
      <c r="U59" s="62">
        <v>100.514796</v>
      </c>
      <c r="V59" s="51" t="s">
        <v>926</v>
      </c>
      <c r="W59" s="53" t="s">
        <v>4017</v>
      </c>
      <c r="X59" s="51" t="s">
        <v>3565</v>
      </c>
      <c r="Y59" s="53" t="s">
        <v>4017</v>
      </c>
      <c r="Z59" s="51" t="s">
        <v>975</v>
      </c>
      <c r="AA59" s="53" t="s">
        <v>4039</v>
      </c>
      <c r="AB59" s="51" t="s">
        <v>4052</v>
      </c>
      <c r="AC59" s="51" t="s">
        <v>4053</v>
      </c>
      <c r="AD59" s="51" t="s">
        <v>3565</v>
      </c>
    </row>
    <row r="60">
      <c r="A60" s="51" t="s">
        <v>4054</v>
      </c>
      <c r="B60" s="51" t="s">
        <v>1218</v>
      </c>
      <c r="C60" s="51" t="s">
        <v>4055</v>
      </c>
      <c r="D60" s="51" t="s">
        <v>851</v>
      </c>
      <c r="E60" s="52">
        <v>80.0</v>
      </c>
      <c r="F60" s="52">
        <v>0.0</v>
      </c>
      <c r="G60" s="52">
        <v>80.0</v>
      </c>
      <c r="H60" s="51" t="s">
        <v>854</v>
      </c>
      <c r="I60" s="51" t="s">
        <v>855</v>
      </c>
      <c r="J60" s="54"/>
      <c r="K60" s="54"/>
      <c r="M60" s="51" t="s">
        <v>4014</v>
      </c>
      <c r="N60" s="51" t="s">
        <v>4014</v>
      </c>
      <c r="O60" s="51" t="s">
        <v>890</v>
      </c>
      <c r="P60" s="51" t="b">
        <v>0</v>
      </c>
      <c r="Q60" s="51" t="s">
        <v>892</v>
      </c>
      <c r="R60" s="53" t="s">
        <v>896</v>
      </c>
      <c r="S60" s="51" t="s">
        <v>4060</v>
      </c>
      <c r="T60" s="62">
        <v>13.6571837</v>
      </c>
      <c r="U60" s="62">
        <v>100.5093465</v>
      </c>
      <c r="V60" s="51" t="s">
        <v>926</v>
      </c>
      <c r="W60" s="53" t="s">
        <v>4061</v>
      </c>
      <c r="X60" s="51" t="s">
        <v>3565</v>
      </c>
      <c r="Y60" s="53" t="s">
        <v>4061</v>
      </c>
      <c r="Z60" s="51" t="s">
        <v>975</v>
      </c>
      <c r="AA60" s="53" t="s">
        <v>4078</v>
      </c>
      <c r="AB60" s="51" t="s">
        <v>4102</v>
      </c>
      <c r="AC60" s="51" t="s">
        <v>4103</v>
      </c>
      <c r="AD60" s="51" t="s">
        <v>3565</v>
      </c>
    </row>
    <row r="61">
      <c r="A61" s="51" t="s">
        <v>4104</v>
      </c>
      <c r="B61" s="51" t="s">
        <v>1218</v>
      </c>
      <c r="C61" s="51" t="s">
        <v>4105</v>
      </c>
      <c r="D61" s="51" t="s">
        <v>851</v>
      </c>
      <c r="E61" s="52">
        <v>150.0</v>
      </c>
      <c r="F61" s="52">
        <v>0.0</v>
      </c>
      <c r="G61" s="52">
        <v>150.0</v>
      </c>
      <c r="H61" s="51" t="s">
        <v>854</v>
      </c>
      <c r="I61" s="51" t="s">
        <v>855</v>
      </c>
      <c r="J61" s="54"/>
      <c r="K61" s="54"/>
      <c r="M61" s="51" t="s">
        <v>4014</v>
      </c>
      <c r="N61" s="51" t="s">
        <v>4014</v>
      </c>
      <c r="O61" s="51" t="s">
        <v>890</v>
      </c>
      <c r="P61" s="51" t="b">
        <v>0</v>
      </c>
      <c r="Q61" s="51" t="s">
        <v>892</v>
      </c>
      <c r="R61" s="53" t="s">
        <v>896</v>
      </c>
      <c r="S61" s="51" t="s">
        <v>4108</v>
      </c>
      <c r="T61" s="62">
        <v>13.6481596</v>
      </c>
      <c r="U61" s="62">
        <v>100.4946768</v>
      </c>
      <c r="V61" s="51" t="s">
        <v>926</v>
      </c>
      <c r="W61" s="53" t="s">
        <v>4112</v>
      </c>
      <c r="X61" s="51" t="s">
        <v>3565</v>
      </c>
      <c r="Y61" s="53" t="s">
        <v>4112</v>
      </c>
      <c r="Z61" s="51" t="s">
        <v>975</v>
      </c>
      <c r="AA61" s="53" t="s">
        <v>4125</v>
      </c>
      <c r="AB61" s="51" t="s">
        <v>4146</v>
      </c>
      <c r="AC61" s="51" t="s">
        <v>4147</v>
      </c>
      <c r="AD61" s="51" t="s">
        <v>3565</v>
      </c>
    </row>
    <row r="62">
      <c r="A62" s="51" t="s">
        <v>4148</v>
      </c>
      <c r="B62" s="51" t="s">
        <v>1218</v>
      </c>
      <c r="C62" s="51" t="s">
        <v>4149</v>
      </c>
      <c r="D62" s="51" t="s">
        <v>851</v>
      </c>
      <c r="E62" s="52">
        <v>80.0</v>
      </c>
      <c r="F62" s="52">
        <v>0.0</v>
      </c>
      <c r="G62" s="52">
        <v>80.0</v>
      </c>
      <c r="H62" s="51" t="s">
        <v>854</v>
      </c>
      <c r="I62" s="51" t="s">
        <v>855</v>
      </c>
      <c r="J62" s="54"/>
      <c r="K62" s="54"/>
      <c r="M62" s="51" t="s">
        <v>4014</v>
      </c>
      <c r="N62" s="51" t="s">
        <v>4014</v>
      </c>
      <c r="O62" s="51" t="s">
        <v>890</v>
      </c>
      <c r="P62" s="51" t="b">
        <v>0</v>
      </c>
      <c r="Q62" s="51" t="s">
        <v>892</v>
      </c>
      <c r="R62" s="53" t="s">
        <v>896</v>
      </c>
      <c r="S62" s="51" t="s">
        <v>4150</v>
      </c>
      <c r="T62" s="62">
        <v>13.654497</v>
      </c>
      <c r="U62" s="62">
        <v>100.471773</v>
      </c>
      <c r="V62" s="51" t="s">
        <v>926</v>
      </c>
      <c r="W62" s="53" t="s">
        <v>4152</v>
      </c>
      <c r="X62" s="51" t="s">
        <v>3565</v>
      </c>
      <c r="Y62" s="53" t="s">
        <v>4152</v>
      </c>
      <c r="Z62" s="51" t="s">
        <v>975</v>
      </c>
      <c r="AA62" s="53" t="s">
        <v>4177</v>
      </c>
      <c r="AB62" s="51" t="s">
        <v>4191</v>
      </c>
      <c r="AC62" s="51" t="s">
        <v>4192</v>
      </c>
      <c r="AD62" s="51" t="s">
        <v>3565</v>
      </c>
    </row>
    <row r="63">
      <c r="A63" s="51" t="s">
        <v>4195</v>
      </c>
      <c r="B63" s="51" t="s">
        <v>1218</v>
      </c>
      <c r="C63" s="51" t="s">
        <v>4198</v>
      </c>
      <c r="D63" s="51" t="s">
        <v>851</v>
      </c>
      <c r="E63" s="52">
        <v>50.0</v>
      </c>
      <c r="F63" s="52">
        <v>0.0</v>
      </c>
      <c r="G63" s="52">
        <v>50.0</v>
      </c>
      <c r="H63" s="51" t="s">
        <v>854</v>
      </c>
      <c r="I63" s="51" t="s">
        <v>855</v>
      </c>
      <c r="J63" s="54"/>
      <c r="M63" s="51" t="s">
        <v>4014</v>
      </c>
      <c r="N63" s="51" t="s">
        <v>4014</v>
      </c>
      <c r="O63" s="51" t="s">
        <v>890</v>
      </c>
      <c r="P63" s="51" t="b">
        <v>0</v>
      </c>
      <c r="Q63" s="51" t="s">
        <v>892</v>
      </c>
      <c r="R63" s="53" t="s">
        <v>896</v>
      </c>
      <c r="S63" s="51" t="s">
        <v>4200</v>
      </c>
      <c r="T63" s="62">
        <v>13.6324729</v>
      </c>
      <c r="U63" s="62">
        <v>100.4826965</v>
      </c>
      <c r="V63" s="51" t="s">
        <v>926</v>
      </c>
      <c r="W63" s="53" t="s">
        <v>4201</v>
      </c>
      <c r="X63" s="51" t="s">
        <v>3565</v>
      </c>
      <c r="Y63" s="53" t="s">
        <v>4201</v>
      </c>
      <c r="Z63" s="51" t="s">
        <v>975</v>
      </c>
      <c r="AA63" s="53" t="s">
        <v>4221</v>
      </c>
      <c r="AB63" s="51" t="s">
        <v>4234</v>
      </c>
      <c r="AC63" s="51" t="s">
        <v>4235</v>
      </c>
      <c r="AD63" s="51" t="s">
        <v>3565</v>
      </c>
    </row>
    <row r="64">
      <c r="A64" s="51" t="s">
        <v>4237</v>
      </c>
      <c r="B64" s="51" t="s">
        <v>1218</v>
      </c>
      <c r="C64" s="51" t="s">
        <v>4240</v>
      </c>
      <c r="D64" s="51" t="s">
        <v>851</v>
      </c>
      <c r="E64" s="52">
        <v>150.0</v>
      </c>
      <c r="F64" s="52">
        <v>0.0</v>
      </c>
      <c r="G64" s="52">
        <v>150.0</v>
      </c>
      <c r="H64" s="51" t="s">
        <v>854</v>
      </c>
      <c r="I64" s="51" t="s">
        <v>855</v>
      </c>
      <c r="J64" s="54"/>
      <c r="M64" s="51" t="s">
        <v>4014</v>
      </c>
      <c r="N64" s="51" t="s">
        <v>4014</v>
      </c>
      <c r="O64" s="51" t="s">
        <v>890</v>
      </c>
      <c r="P64" s="51" t="b">
        <v>0</v>
      </c>
      <c r="Q64" s="51" t="s">
        <v>892</v>
      </c>
      <c r="R64" s="53" t="s">
        <v>896</v>
      </c>
      <c r="S64" s="51" t="s">
        <v>4243</v>
      </c>
      <c r="T64" s="62">
        <v>13.635009</v>
      </c>
      <c r="U64" s="62">
        <v>100.502986</v>
      </c>
      <c r="V64" s="51" t="s">
        <v>926</v>
      </c>
      <c r="W64" s="53" t="s">
        <v>4244</v>
      </c>
      <c r="X64" s="51" t="s">
        <v>3565</v>
      </c>
      <c r="Y64" s="53" t="s">
        <v>4244</v>
      </c>
      <c r="Z64" s="51" t="s">
        <v>975</v>
      </c>
      <c r="AA64" s="53" t="s">
        <v>4262</v>
      </c>
      <c r="AB64" s="51" t="s">
        <v>4280</v>
      </c>
      <c r="AC64" s="51" t="s">
        <v>4281</v>
      </c>
      <c r="AD64" s="51" t="s">
        <v>3565</v>
      </c>
    </row>
    <row r="65">
      <c r="A65" s="51" t="s">
        <v>4282</v>
      </c>
      <c r="B65" s="51" t="s">
        <v>1218</v>
      </c>
      <c r="C65" s="51" t="s">
        <v>4284</v>
      </c>
      <c r="D65" s="51" t="s">
        <v>851</v>
      </c>
      <c r="E65" s="52">
        <v>150.0</v>
      </c>
      <c r="F65" s="52">
        <v>0.0</v>
      </c>
      <c r="G65" s="52">
        <v>150.0</v>
      </c>
      <c r="H65" s="51" t="s">
        <v>854</v>
      </c>
      <c r="I65" s="51" t="s">
        <v>855</v>
      </c>
      <c r="J65" s="54"/>
      <c r="M65" s="51" t="s">
        <v>4014</v>
      </c>
      <c r="N65" s="51" t="s">
        <v>4014</v>
      </c>
      <c r="O65" s="51" t="s">
        <v>890</v>
      </c>
      <c r="P65" s="51" t="b">
        <v>0</v>
      </c>
      <c r="Q65" s="51" t="s">
        <v>892</v>
      </c>
      <c r="R65" s="53" t="s">
        <v>896</v>
      </c>
      <c r="S65" s="51" t="s">
        <v>4288</v>
      </c>
      <c r="T65" s="62">
        <v>13.6193444</v>
      </c>
      <c r="U65" s="62">
        <v>100.5121511</v>
      </c>
      <c r="V65" s="51" t="s">
        <v>926</v>
      </c>
      <c r="W65" s="53" t="s">
        <v>4289</v>
      </c>
      <c r="X65" s="51" t="s">
        <v>3565</v>
      </c>
      <c r="Y65" s="53" t="s">
        <v>4289</v>
      </c>
      <c r="Z65" s="51" t="s">
        <v>975</v>
      </c>
      <c r="AA65" s="53" t="s">
        <v>4311</v>
      </c>
      <c r="AB65" s="51" t="s">
        <v>4328</v>
      </c>
      <c r="AC65" s="51" t="s">
        <v>4329</v>
      </c>
      <c r="AD65" s="51" t="s">
        <v>3565</v>
      </c>
    </row>
    <row r="66">
      <c r="A66" s="51" t="s">
        <v>4330</v>
      </c>
      <c r="B66" s="51" t="s">
        <v>1218</v>
      </c>
      <c r="C66" s="51" t="s">
        <v>4332</v>
      </c>
      <c r="D66" s="51" t="s">
        <v>851</v>
      </c>
      <c r="E66" s="52">
        <v>50.0</v>
      </c>
      <c r="F66" s="52">
        <v>0.0</v>
      </c>
      <c r="G66" s="52">
        <v>50.0</v>
      </c>
      <c r="H66" s="51" t="s">
        <v>854</v>
      </c>
      <c r="I66" s="51" t="s">
        <v>855</v>
      </c>
      <c r="J66" s="54"/>
      <c r="K66" s="54"/>
      <c r="M66" s="51" t="s">
        <v>4014</v>
      </c>
      <c r="N66" s="51" t="s">
        <v>4014</v>
      </c>
      <c r="O66" s="51" t="s">
        <v>890</v>
      </c>
      <c r="P66" s="51" t="b">
        <v>0</v>
      </c>
      <c r="Q66" s="51" t="s">
        <v>892</v>
      </c>
      <c r="R66" s="53" t="s">
        <v>896</v>
      </c>
      <c r="S66" s="51" t="s">
        <v>4336</v>
      </c>
      <c r="T66" s="62">
        <v>13.6454466</v>
      </c>
      <c r="U66" s="62">
        <v>100.5115098</v>
      </c>
      <c r="V66" s="51" t="s">
        <v>926</v>
      </c>
      <c r="W66" s="53" t="s">
        <v>4337</v>
      </c>
      <c r="X66" s="51" t="s">
        <v>3565</v>
      </c>
      <c r="Y66" s="53" t="s">
        <v>4337</v>
      </c>
      <c r="Z66" s="51" t="s">
        <v>975</v>
      </c>
      <c r="AA66" s="53" t="s">
        <v>4355</v>
      </c>
      <c r="AB66" s="51" t="s">
        <v>4367</v>
      </c>
      <c r="AC66" s="51" t="s">
        <v>4368</v>
      </c>
      <c r="AD66" s="51" t="s">
        <v>3565</v>
      </c>
    </row>
    <row r="67">
      <c r="A67" s="51" t="s">
        <v>4370</v>
      </c>
      <c r="B67" s="51" t="s">
        <v>944</v>
      </c>
      <c r="C67" s="51" t="s">
        <v>4373</v>
      </c>
      <c r="D67" s="51" t="s">
        <v>851</v>
      </c>
      <c r="E67" s="52">
        <v>50.0</v>
      </c>
      <c r="F67" s="52">
        <v>0.0</v>
      </c>
      <c r="G67" s="52">
        <v>50.0</v>
      </c>
      <c r="H67" s="51" t="s">
        <v>854</v>
      </c>
      <c r="I67" s="51" t="s">
        <v>855</v>
      </c>
      <c r="J67" s="54"/>
      <c r="K67" s="51" t="s">
        <v>4376</v>
      </c>
      <c r="M67" s="51" t="s">
        <v>4377</v>
      </c>
      <c r="N67" s="51" t="s">
        <v>4377</v>
      </c>
      <c r="O67" s="51" t="s">
        <v>890</v>
      </c>
      <c r="P67" s="51" t="b">
        <v>0</v>
      </c>
      <c r="Q67" s="51" t="s">
        <v>892</v>
      </c>
      <c r="R67" s="53" t="s">
        <v>896</v>
      </c>
      <c r="S67" s="51" t="s">
        <v>4378</v>
      </c>
      <c r="T67" s="62">
        <v>13.7177866</v>
      </c>
      <c r="U67" s="62">
        <v>100.4786083</v>
      </c>
      <c r="V67" s="51" t="s">
        <v>926</v>
      </c>
      <c r="W67" s="53" t="s">
        <v>4379</v>
      </c>
      <c r="X67" s="51" t="s">
        <v>3565</v>
      </c>
      <c r="Y67" s="53" t="s">
        <v>4379</v>
      </c>
      <c r="Z67" s="51" t="s">
        <v>975</v>
      </c>
      <c r="AA67" s="53" t="s">
        <v>4398</v>
      </c>
      <c r="AB67" s="51" t="s">
        <v>4411</v>
      </c>
      <c r="AC67" s="51" t="s">
        <v>4412</v>
      </c>
      <c r="AD67" s="51" t="s">
        <v>3565</v>
      </c>
    </row>
    <row r="68">
      <c r="A68" s="51" t="s">
        <v>4413</v>
      </c>
      <c r="B68" s="51" t="s">
        <v>944</v>
      </c>
      <c r="C68" s="51" t="s">
        <v>4414</v>
      </c>
      <c r="D68" s="51" t="s">
        <v>851</v>
      </c>
      <c r="E68" s="52">
        <v>50.0</v>
      </c>
      <c r="F68" s="52">
        <v>0.0</v>
      </c>
      <c r="G68" s="52">
        <v>50.0</v>
      </c>
      <c r="H68" s="51" t="s">
        <v>854</v>
      </c>
      <c r="I68" s="51" t="s">
        <v>855</v>
      </c>
      <c r="J68" s="54"/>
      <c r="K68" s="51" t="s">
        <v>4419</v>
      </c>
      <c r="M68" s="51" t="s">
        <v>4377</v>
      </c>
      <c r="N68" s="51" t="s">
        <v>4377</v>
      </c>
      <c r="O68" s="51" t="s">
        <v>890</v>
      </c>
      <c r="P68" s="51" t="b">
        <v>0</v>
      </c>
      <c r="Q68" s="51" t="s">
        <v>892</v>
      </c>
      <c r="R68" s="53" t="s">
        <v>896</v>
      </c>
      <c r="S68" s="51" t="s">
        <v>4420</v>
      </c>
      <c r="T68" s="62">
        <v>13.7149851</v>
      </c>
      <c r="U68" s="62">
        <v>100.4862721</v>
      </c>
      <c r="V68" s="51" t="s">
        <v>926</v>
      </c>
      <c r="W68" s="53" t="s">
        <v>4421</v>
      </c>
      <c r="X68" s="51" t="s">
        <v>3565</v>
      </c>
      <c r="Y68" s="53" t="s">
        <v>4421</v>
      </c>
      <c r="Z68" s="51" t="s">
        <v>975</v>
      </c>
      <c r="AA68" s="53" t="s">
        <v>4439</v>
      </c>
      <c r="AB68" s="51" t="s">
        <v>4453</v>
      </c>
      <c r="AC68" s="51" t="s">
        <v>4454</v>
      </c>
      <c r="AD68" s="51" t="s">
        <v>3565</v>
      </c>
    </row>
    <row r="69">
      <c r="A69" s="51" t="s">
        <v>4455</v>
      </c>
      <c r="B69" s="51" t="s">
        <v>944</v>
      </c>
      <c r="C69" s="51" t="s">
        <v>4456</v>
      </c>
      <c r="D69" s="51" t="s">
        <v>851</v>
      </c>
      <c r="E69" s="52">
        <v>50.0</v>
      </c>
      <c r="F69" s="52">
        <v>0.0</v>
      </c>
      <c r="G69" s="52">
        <v>50.0</v>
      </c>
      <c r="H69" s="51" t="s">
        <v>854</v>
      </c>
      <c r="I69" s="51" t="s">
        <v>855</v>
      </c>
      <c r="J69" s="54"/>
      <c r="K69" s="51" t="s">
        <v>4459</v>
      </c>
      <c r="M69" s="51" t="s">
        <v>4377</v>
      </c>
      <c r="N69" s="51" t="s">
        <v>4377</v>
      </c>
      <c r="O69" s="51" t="s">
        <v>890</v>
      </c>
      <c r="P69" s="51" t="b">
        <v>0</v>
      </c>
      <c r="Q69" s="51" t="s">
        <v>892</v>
      </c>
      <c r="R69" s="53" t="s">
        <v>896</v>
      </c>
      <c r="S69" s="51" t="s">
        <v>4461</v>
      </c>
      <c r="T69" s="62">
        <v>13.7401637</v>
      </c>
      <c r="U69" s="62">
        <v>100.4923062</v>
      </c>
      <c r="V69" s="51" t="s">
        <v>926</v>
      </c>
      <c r="W69" s="53" t="s">
        <v>4462</v>
      </c>
      <c r="X69" s="51" t="s">
        <v>4480</v>
      </c>
      <c r="Y69" s="53" t="s">
        <v>4462</v>
      </c>
      <c r="Z69" s="51" t="s">
        <v>975</v>
      </c>
      <c r="AA69" s="53" t="s">
        <v>4481</v>
      </c>
      <c r="AB69" s="51" t="s">
        <v>4499</v>
      </c>
      <c r="AC69" s="51" t="s">
        <v>4500</v>
      </c>
      <c r="AD69" s="51" t="s">
        <v>4480</v>
      </c>
    </row>
    <row r="70">
      <c r="A70" s="51" t="s">
        <v>4501</v>
      </c>
      <c r="B70" s="51" t="s">
        <v>944</v>
      </c>
      <c r="C70" s="51" t="s">
        <v>4502</v>
      </c>
      <c r="D70" s="51" t="s">
        <v>851</v>
      </c>
      <c r="E70" s="52">
        <v>50.0</v>
      </c>
      <c r="F70" s="52">
        <v>0.0</v>
      </c>
      <c r="G70" s="52">
        <v>50.0</v>
      </c>
      <c r="H70" s="51" t="s">
        <v>854</v>
      </c>
      <c r="I70" s="51" t="s">
        <v>855</v>
      </c>
      <c r="J70" s="54"/>
      <c r="K70" s="51" t="s">
        <v>4503</v>
      </c>
      <c r="M70" s="51" t="s">
        <v>4377</v>
      </c>
      <c r="N70" s="51" t="s">
        <v>4377</v>
      </c>
      <c r="O70" s="51" t="s">
        <v>890</v>
      </c>
      <c r="P70" s="51" t="b">
        <v>0</v>
      </c>
      <c r="Q70" s="51" t="s">
        <v>892</v>
      </c>
      <c r="R70" s="53" t="s">
        <v>896</v>
      </c>
      <c r="S70" s="51" t="s">
        <v>4505</v>
      </c>
      <c r="T70" s="62">
        <v>13.719673</v>
      </c>
      <c r="U70" s="62">
        <v>100.4710084</v>
      </c>
      <c r="V70" s="51" t="s">
        <v>926</v>
      </c>
      <c r="W70" s="53" t="s">
        <v>4510</v>
      </c>
      <c r="X70" s="51" t="s">
        <v>4480</v>
      </c>
      <c r="Y70" s="53" t="s">
        <v>4510</v>
      </c>
      <c r="Z70" s="51" t="s">
        <v>975</v>
      </c>
      <c r="AA70" s="53" t="s">
        <v>4529</v>
      </c>
      <c r="AB70" s="51" t="s">
        <v>4542</v>
      </c>
      <c r="AC70" s="51" t="s">
        <v>4543</v>
      </c>
      <c r="AD70" s="51" t="s">
        <v>4480</v>
      </c>
    </row>
    <row r="71">
      <c r="A71" s="51" t="s">
        <v>4544</v>
      </c>
      <c r="B71" s="51" t="s">
        <v>944</v>
      </c>
      <c r="C71" s="51" t="s">
        <v>4545</v>
      </c>
      <c r="D71" s="51" t="s">
        <v>851</v>
      </c>
      <c r="E71" s="52">
        <v>30.0</v>
      </c>
      <c r="F71" s="52">
        <v>0.0</v>
      </c>
      <c r="G71" s="52">
        <v>30.0</v>
      </c>
      <c r="H71" s="51" t="s">
        <v>854</v>
      </c>
      <c r="I71" s="51" t="s">
        <v>855</v>
      </c>
      <c r="J71" s="54"/>
      <c r="K71" s="51" t="s">
        <v>4547</v>
      </c>
      <c r="M71" s="51" t="s">
        <v>4377</v>
      </c>
      <c r="N71" s="51" t="s">
        <v>4377</v>
      </c>
      <c r="O71" s="51" t="s">
        <v>890</v>
      </c>
      <c r="P71" s="51" t="b">
        <v>0</v>
      </c>
      <c r="Q71" s="51" t="s">
        <v>892</v>
      </c>
      <c r="R71" s="53" t="s">
        <v>896</v>
      </c>
      <c r="S71" s="51" t="s">
        <v>4551</v>
      </c>
      <c r="T71" s="62">
        <v>13.7040284</v>
      </c>
      <c r="U71" s="62">
        <v>100.4908307</v>
      </c>
      <c r="V71" s="51" t="s">
        <v>926</v>
      </c>
      <c r="W71" s="53" t="s">
        <v>4552</v>
      </c>
      <c r="X71" s="51" t="s">
        <v>4480</v>
      </c>
      <c r="Y71" s="53" t="s">
        <v>4552</v>
      </c>
      <c r="Z71" s="51" t="s">
        <v>975</v>
      </c>
      <c r="AA71" s="53" t="s">
        <v>4569</v>
      </c>
      <c r="AB71" s="51" t="s">
        <v>4583</v>
      </c>
      <c r="AC71" s="51" t="s">
        <v>4584</v>
      </c>
      <c r="AD71" s="51" t="s">
        <v>4480</v>
      </c>
    </row>
    <row r="72">
      <c r="A72" s="51" t="s">
        <v>4585</v>
      </c>
      <c r="B72" s="51" t="s">
        <v>944</v>
      </c>
      <c r="C72" s="51" t="s">
        <v>4586</v>
      </c>
      <c r="D72" s="51" t="s">
        <v>851</v>
      </c>
      <c r="E72" s="52">
        <v>20.0</v>
      </c>
      <c r="F72" s="52">
        <v>0.0</v>
      </c>
      <c r="G72" s="52">
        <v>20.0</v>
      </c>
      <c r="H72" s="51" t="s">
        <v>854</v>
      </c>
      <c r="I72" s="51" t="s">
        <v>855</v>
      </c>
      <c r="J72" s="54"/>
      <c r="K72" s="51" t="s">
        <v>4587</v>
      </c>
      <c r="M72" s="51" t="s">
        <v>4377</v>
      </c>
      <c r="N72" s="51" t="s">
        <v>4377</v>
      </c>
      <c r="O72" s="51" t="s">
        <v>890</v>
      </c>
      <c r="P72" s="51" t="b">
        <v>0</v>
      </c>
      <c r="Q72" s="51" t="s">
        <v>892</v>
      </c>
      <c r="R72" s="53" t="s">
        <v>896</v>
      </c>
      <c r="S72" s="51" t="s">
        <v>4588</v>
      </c>
      <c r="T72" s="62">
        <v>13.7000978</v>
      </c>
      <c r="U72" s="62">
        <v>100.4883307</v>
      </c>
      <c r="V72" s="51" t="s">
        <v>926</v>
      </c>
      <c r="W72" s="53" t="s">
        <v>4589</v>
      </c>
      <c r="X72" s="51" t="s">
        <v>4480</v>
      </c>
      <c r="Y72" s="53" t="s">
        <v>4589</v>
      </c>
      <c r="Z72" s="51" t="s">
        <v>975</v>
      </c>
      <c r="AA72" s="53" t="s">
        <v>4605</v>
      </c>
      <c r="AB72" s="51" t="s">
        <v>4615</v>
      </c>
      <c r="AC72" s="51" t="s">
        <v>4616</v>
      </c>
      <c r="AD72" s="51" t="s">
        <v>4480</v>
      </c>
    </row>
    <row r="73">
      <c r="A73" s="51" t="s">
        <v>4617</v>
      </c>
      <c r="B73" s="51" t="s">
        <v>944</v>
      </c>
      <c r="C73" s="51" t="s">
        <v>4618</v>
      </c>
      <c r="D73" s="51" t="s">
        <v>851</v>
      </c>
      <c r="E73" s="52">
        <v>10.0</v>
      </c>
      <c r="F73" s="52">
        <v>0.0</v>
      </c>
      <c r="G73" s="52">
        <v>10.0</v>
      </c>
      <c r="H73" s="51" t="s">
        <v>854</v>
      </c>
      <c r="I73" s="51" t="s">
        <v>855</v>
      </c>
      <c r="J73" s="54"/>
      <c r="K73" s="51" t="s">
        <v>4619</v>
      </c>
      <c r="M73" s="51" t="s">
        <v>4377</v>
      </c>
      <c r="N73" s="51" t="s">
        <v>4377</v>
      </c>
      <c r="O73" s="51" t="s">
        <v>890</v>
      </c>
      <c r="P73" s="51" t="b">
        <v>0</v>
      </c>
      <c r="Q73" s="51" t="s">
        <v>892</v>
      </c>
      <c r="R73" s="53" t="s">
        <v>896</v>
      </c>
      <c r="S73" s="51" t="s">
        <v>4620</v>
      </c>
      <c r="T73" s="62">
        <v>13.7290951</v>
      </c>
      <c r="U73" s="62">
        <v>100.4886828</v>
      </c>
      <c r="V73" s="51" t="s">
        <v>926</v>
      </c>
      <c r="W73" s="53" t="s">
        <v>4621</v>
      </c>
      <c r="X73" s="51" t="s">
        <v>4480</v>
      </c>
      <c r="Y73" s="53" t="s">
        <v>4621</v>
      </c>
      <c r="Z73" s="51" t="s">
        <v>975</v>
      </c>
      <c r="AA73" s="53" t="s">
        <v>4638</v>
      </c>
      <c r="AB73" s="51" t="s">
        <v>4656</v>
      </c>
      <c r="AC73" s="51" t="s">
        <v>4657</v>
      </c>
      <c r="AD73" s="51" t="s">
        <v>4480</v>
      </c>
    </row>
    <row r="74">
      <c r="A74" s="51" t="s">
        <v>4658</v>
      </c>
      <c r="B74" s="51" t="s">
        <v>944</v>
      </c>
      <c r="C74" s="51" t="s">
        <v>4659</v>
      </c>
      <c r="D74" s="51" t="s">
        <v>851</v>
      </c>
      <c r="E74" s="52">
        <v>10.0</v>
      </c>
      <c r="F74" s="52">
        <v>0.0</v>
      </c>
      <c r="G74" s="52">
        <v>10.0</v>
      </c>
      <c r="H74" s="51" t="s">
        <v>854</v>
      </c>
      <c r="I74" s="51" t="s">
        <v>855</v>
      </c>
      <c r="J74" s="54"/>
      <c r="K74" s="51" t="s">
        <v>4660</v>
      </c>
      <c r="M74" s="51" t="s">
        <v>4377</v>
      </c>
      <c r="N74" s="51" t="s">
        <v>4377</v>
      </c>
      <c r="O74" s="51" t="s">
        <v>890</v>
      </c>
      <c r="P74" s="51" t="b">
        <v>0</v>
      </c>
      <c r="Q74" s="51" t="s">
        <v>892</v>
      </c>
      <c r="R74" s="53" t="s">
        <v>896</v>
      </c>
      <c r="S74" s="51" t="s">
        <v>4662</v>
      </c>
      <c r="T74" s="62">
        <v>13.7120446</v>
      </c>
      <c r="U74" s="62">
        <v>100.4690124</v>
      </c>
      <c r="V74" s="51" t="s">
        <v>926</v>
      </c>
      <c r="W74" s="53" t="s">
        <v>4667</v>
      </c>
      <c r="X74" s="51" t="s">
        <v>4480</v>
      </c>
      <c r="Y74" s="53" t="s">
        <v>4667</v>
      </c>
      <c r="Z74" s="51" t="s">
        <v>975</v>
      </c>
      <c r="AA74" s="53" t="s">
        <v>4681</v>
      </c>
      <c r="AB74" s="51" t="s">
        <v>4699</v>
      </c>
      <c r="AC74" s="51" t="s">
        <v>4700</v>
      </c>
      <c r="AD74" s="51" t="s">
        <v>4480</v>
      </c>
    </row>
    <row r="75">
      <c r="A75" s="51" t="s">
        <v>4701</v>
      </c>
      <c r="B75" s="51" t="s">
        <v>2500</v>
      </c>
      <c r="C75" s="51" t="s">
        <v>4702</v>
      </c>
      <c r="D75" s="51" t="s">
        <v>851</v>
      </c>
      <c r="E75" s="52">
        <v>30.0</v>
      </c>
      <c r="F75" s="52">
        <v>0.0</v>
      </c>
      <c r="G75" s="52">
        <v>30.0</v>
      </c>
      <c r="H75" s="51" t="s">
        <v>854</v>
      </c>
      <c r="I75" s="51" t="s">
        <v>855</v>
      </c>
      <c r="J75" s="53" t="s">
        <v>4703</v>
      </c>
      <c r="K75" s="51" t="s">
        <v>4710</v>
      </c>
      <c r="M75" s="51" t="s">
        <v>4711</v>
      </c>
      <c r="N75" s="51" t="s">
        <v>4711</v>
      </c>
      <c r="O75" s="51" t="s">
        <v>890</v>
      </c>
      <c r="P75" s="51" t="b">
        <v>0</v>
      </c>
      <c r="Q75" s="51" t="s">
        <v>892</v>
      </c>
      <c r="R75" s="53" t="s">
        <v>896</v>
      </c>
      <c r="S75" s="51" t="s">
        <v>4712</v>
      </c>
      <c r="T75" s="62">
        <v>13.7514217</v>
      </c>
      <c r="U75" s="62">
        <v>100.4752884</v>
      </c>
      <c r="V75" s="51" t="s">
        <v>1906</v>
      </c>
      <c r="W75" s="53" t="s">
        <v>4717</v>
      </c>
      <c r="X75" s="51" t="s">
        <v>972</v>
      </c>
      <c r="Z75" s="51" t="s">
        <v>1950</v>
      </c>
    </row>
    <row r="76">
      <c r="A76" s="51" t="s">
        <v>4728</v>
      </c>
      <c r="B76" s="51" t="s">
        <v>2500</v>
      </c>
      <c r="C76" s="51" t="s">
        <v>4729</v>
      </c>
      <c r="D76" s="51" t="s">
        <v>851</v>
      </c>
      <c r="E76" s="52">
        <v>100.0</v>
      </c>
      <c r="F76" s="52">
        <v>0.0</v>
      </c>
      <c r="G76" s="52">
        <v>100.0</v>
      </c>
      <c r="H76" s="51" t="s">
        <v>854</v>
      </c>
      <c r="I76" s="51" t="s">
        <v>855</v>
      </c>
      <c r="J76" s="53" t="s">
        <v>4733</v>
      </c>
      <c r="K76" s="51" t="s">
        <v>4739</v>
      </c>
      <c r="M76" s="51" t="s">
        <v>4711</v>
      </c>
      <c r="N76" s="51" t="s">
        <v>4740</v>
      </c>
      <c r="O76" s="51" t="s">
        <v>890</v>
      </c>
      <c r="P76" s="51" t="b">
        <v>0</v>
      </c>
      <c r="Q76" s="51" t="s">
        <v>892</v>
      </c>
      <c r="R76" s="53" t="s">
        <v>896</v>
      </c>
      <c r="S76" s="51" t="s">
        <v>4741</v>
      </c>
      <c r="T76" s="62">
        <v>13.7640487</v>
      </c>
      <c r="U76" s="62">
        <v>100.487278</v>
      </c>
      <c r="V76" s="51" t="s">
        <v>1906</v>
      </c>
      <c r="W76" s="53" t="s">
        <v>4742</v>
      </c>
      <c r="X76" s="51" t="s">
        <v>972</v>
      </c>
      <c r="Z76" s="51" t="s">
        <v>1950</v>
      </c>
    </row>
    <row r="77">
      <c r="A77" s="51" t="s">
        <v>4762</v>
      </c>
      <c r="B77" s="51" t="s">
        <v>2500</v>
      </c>
      <c r="C77" s="51" t="s">
        <v>4763</v>
      </c>
      <c r="D77" s="51" t="s">
        <v>851</v>
      </c>
      <c r="E77" s="52">
        <v>30.0</v>
      </c>
      <c r="F77" s="52">
        <v>0.0</v>
      </c>
      <c r="G77" s="52">
        <v>30.0</v>
      </c>
      <c r="H77" s="51" t="s">
        <v>854</v>
      </c>
      <c r="I77" s="51" t="s">
        <v>855</v>
      </c>
      <c r="J77" s="53" t="s">
        <v>4764</v>
      </c>
      <c r="K77" s="51" t="s">
        <v>4769</v>
      </c>
      <c r="M77" s="51" t="s">
        <v>4711</v>
      </c>
      <c r="N77" s="51" t="s">
        <v>4711</v>
      </c>
      <c r="O77" s="51" t="s">
        <v>890</v>
      </c>
      <c r="P77" s="51" t="b">
        <v>0</v>
      </c>
      <c r="Q77" s="51" t="s">
        <v>892</v>
      </c>
      <c r="R77" s="53" t="s">
        <v>896</v>
      </c>
      <c r="S77" s="51" t="s">
        <v>4770</v>
      </c>
      <c r="T77" s="62">
        <v>13.7671915</v>
      </c>
      <c r="U77" s="62">
        <v>100.4690602</v>
      </c>
      <c r="V77" s="51" t="s">
        <v>1906</v>
      </c>
      <c r="W77" s="53" t="s">
        <v>4775</v>
      </c>
      <c r="X77" s="51" t="s">
        <v>972</v>
      </c>
      <c r="Z77" s="51" t="s">
        <v>1950</v>
      </c>
    </row>
    <row r="78">
      <c r="A78" s="51" t="s">
        <v>4790</v>
      </c>
      <c r="B78" s="51" t="s">
        <v>2500</v>
      </c>
      <c r="C78" s="51" t="s">
        <v>4791</v>
      </c>
      <c r="D78" s="51" t="s">
        <v>851</v>
      </c>
      <c r="E78" s="52">
        <v>30.0</v>
      </c>
      <c r="F78" s="52">
        <v>0.0</v>
      </c>
      <c r="G78" s="52">
        <v>30.0</v>
      </c>
      <c r="H78" s="51" t="s">
        <v>854</v>
      </c>
      <c r="I78" s="51" t="s">
        <v>855</v>
      </c>
      <c r="J78" s="53" t="s">
        <v>4792</v>
      </c>
      <c r="K78" s="51" t="s">
        <v>4797</v>
      </c>
      <c r="M78" s="51" t="s">
        <v>4711</v>
      </c>
      <c r="N78" s="51" t="s">
        <v>4711</v>
      </c>
      <c r="O78" s="51" t="s">
        <v>890</v>
      </c>
      <c r="P78" s="51" t="b">
        <v>0</v>
      </c>
      <c r="Q78" s="51" t="s">
        <v>892</v>
      </c>
      <c r="R78" s="53" t="s">
        <v>896</v>
      </c>
      <c r="S78" s="51" t="s">
        <v>4798</v>
      </c>
      <c r="T78" s="62">
        <v>13.7433703</v>
      </c>
      <c r="U78" s="62">
        <v>100.467459</v>
      </c>
      <c r="V78" s="51" t="s">
        <v>1906</v>
      </c>
      <c r="W78" s="53" t="s">
        <v>4801</v>
      </c>
      <c r="X78" s="51" t="s">
        <v>3565</v>
      </c>
      <c r="Z78" s="51" t="s">
        <v>1950</v>
      </c>
      <c r="AA78" s="54"/>
    </row>
    <row r="79">
      <c r="A79" s="51" t="s">
        <v>4817</v>
      </c>
      <c r="B79" s="51" t="s">
        <v>2500</v>
      </c>
      <c r="C79" s="51" t="s">
        <v>4818</v>
      </c>
      <c r="D79" s="51" t="s">
        <v>851</v>
      </c>
      <c r="E79" s="52">
        <v>30.0</v>
      </c>
      <c r="F79" s="52">
        <v>0.0</v>
      </c>
      <c r="G79" s="52">
        <v>30.0</v>
      </c>
      <c r="H79" s="51" t="s">
        <v>854</v>
      </c>
      <c r="I79" s="51" t="s">
        <v>855</v>
      </c>
      <c r="J79" s="53" t="s">
        <v>4819</v>
      </c>
      <c r="K79" s="51" t="s">
        <v>4824</v>
      </c>
      <c r="M79" s="51" t="s">
        <v>4711</v>
      </c>
      <c r="N79" s="51" t="s">
        <v>4711</v>
      </c>
      <c r="O79" s="51" t="s">
        <v>890</v>
      </c>
      <c r="P79" s="51" t="b">
        <v>0</v>
      </c>
      <c r="Q79" s="51" t="s">
        <v>892</v>
      </c>
      <c r="R79" s="53" t="s">
        <v>896</v>
      </c>
      <c r="S79" s="51" t="s">
        <v>4825</v>
      </c>
      <c r="T79" s="62">
        <v>13.7731673</v>
      </c>
      <c r="U79" s="62">
        <v>100.4765277</v>
      </c>
      <c r="V79" s="51" t="s">
        <v>1906</v>
      </c>
      <c r="W79" s="53" t="s">
        <v>4827</v>
      </c>
      <c r="X79" s="51" t="s">
        <v>3565</v>
      </c>
      <c r="Z79" s="51" t="s">
        <v>1950</v>
      </c>
      <c r="AA79" s="54"/>
    </row>
    <row r="80">
      <c r="A80" s="51" t="s">
        <v>4840</v>
      </c>
      <c r="B80" s="51" t="s">
        <v>2500</v>
      </c>
      <c r="C80" s="51" t="s">
        <v>4841</v>
      </c>
      <c r="D80" s="51" t="s">
        <v>851</v>
      </c>
      <c r="E80" s="52">
        <v>20.0</v>
      </c>
      <c r="F80" s="52">
        <v>0.0</v>
      </c>
      <c r="G80" s="52">
        <v>20.0</v>
      </c>
      <c r="H80" s="51" t="s">
        <v>854</v>
      </c>
      <c r="I80" s="51" t="s">
        <v>855</v>
      </c>
      <c r="J80" s="53" t="s">
        <v>4842</v>
      </c>
      <c r="K80" s="51" t="s">
        <v>4847</v>
      </c>
      <c r="M80" s="51" t="s">
        <v>4711</v>
      </c>
      <c r="N80" s="51" t="s">
        <v>4711</v>
      </c>
      <c r="O80" s="51" t="s">
        <v>890</v>
      </c>
      <c r="P80" s="51" t="b">
        <v>0</v>
      </c>
      <c r="Q80" s="51" t="s">
        <v>892</v>
      </c>
      <c r="R80" s="53" t="s">
        <v>896</v>
      </c>
      <c r="S80" s="51" t="s">
        <v>4852</v>
      </c>
      <c r="T80" s="62">
        <v>13.7483551</v>
      </c>
      <c r="U80" s="62">
        <v>100.4834456</v>
      </c>
      <c r="V80" s="51" t="s">
        <v>1906</v>
      </c>
      <c r="W80" s="53" t="s">
        <v>4855</v>
      </c>
      <c r="X80" s="51" t="s">
        <v>3565</v>
      </c>
      <c r="Z80" s="51" t="s">
        <v>1950</v>
      </c>
      <c r="AA80" s="54"/>
    </row>
    <row r="81">
      <c r="A81" s="51" t="s">
        <v>4864</v>
      </c>
      <c r="B81" s="51" t="s">
        <v>2500</v>
      </c>
      <c r="C81" s="51" t="s">
        <v>4866</v>
      </c>
      <c r="D81" s="51" t="s">
        <v>851</v>
      </c>
      <c r="E81" s="52">
        <v>100.0</v>
      </c>
      <c r="F81" s="52">
        <v>0.0</v>
      </c>
      <c r="G81" s="52">
        <v>100.0</v>
      </c>
      <c r="H81" s="51" t="s">
        <v>854</v>
      </c>
      <c r="I81" s="51" t="s">
        <v>855</v>
      </c>
      <c r="J81" s="53" t="s">
        <v>4870</v>
      </c>
      <c r="K81" s="51" t="s">
        <v>4875</v>
      </c>
      <c r="M81" s="51" t="s">
        <v>4711</v>
      </c>
      <c r="N81" s="51" t="s">
        <v>4711</v>
      </c>
      <c r="O81" s="51" t="s">
        <v>890</v>
      </c>
      <c r="P81" s="51" t="b">
        <v>0</v>
      </c>
      <c r="Q81" s="51" t="s">
        <v>892</v>
      </c>
      <c r="R81" s="53" t="s">
        <v>896</v>
      </c>
      <c r="S81" s="51" t="s">
        <v>4876</v>
      </c>
      <c r="T81" s="62">
        <v>13.7623028</v>
      </c>
      <c r="U81" s="62">
        <v>100.4605304</v>
      </c>
      <c r="V81" s="51" t="s">
        <v>1906</v>
      </c>
      <c r="W81" s="53" t="s">
        <v>4877</v>
      </c>
      <c r="X81" s="51" t="s">
        <v>3565</v>
      </c>
      <c r="Z81" s="51" t="s">
        <v>1950</v>
      </c>
      <c r="AA81" s="54"/>
    </row>
    <row r="82">
      <c r="A82" s="51" t="s">
        <v>4893</v>
      </c>
      <c r="B82" s="51" t="s">
        <v>2500</v>
      </c>
      <c r="C82" s="51" t="s">
        <v>4896</v>
      </c>
      <c r="D82" s="51" t="s">
        <v>851</v>
      </c>
      <c r="E82" s="52">
        <v>100.0</v>
      </c>
      <c r="F82" s="52">
        <v>0.0</v>
      </c>
      <c r="G82" s="52">
        <v>100.0</v>
      </c>
      <c r="H82" s="51" t="s">
        <v>854</v>
      </c>
      <c r="I82" s="51" t="s">
        <v>855</v>
      </c>
      <c r="J82" s="53" t="s">
        <v>4897</v>
      </c>
      <c r="K82" s="51" t="s">
        <v>4903</v>
      </c>
      <c r="M82" s="51" t="s">
        <v>4711</v>
      </c>
      <c r="N82" s="51" t="s">
        <v>4711</v>
      </c>
      <c r="O82" s="51" t="s">
        <v>890</v>
      </c>
      <c r="P82" s="51" t="b">
        <v>0</v>
      </c>
      <c r="Q82" s="51" t="s">
        <v>892</v>
      </c>
      <c r="R82" s="53" t="s">
        <v>896</v>
      </c>
      <c r="S82" s="51" t="s">
        <v>4904</v>
      </c>
      <c r="T82" s="62">
        <v>13.7539946</v>
      </c>
      <c r="U82" s="62">
        <v>100.4737002</v>
      </c>
      <c r="V82" s="51" t="s">
        <v>1906</v>
      </c>
      <c r="W82" s="53" t="s">
        <v>4905</v>
      </c>
      <c r="X82" s="51" t="s">
        <v>3565</v>
      </c>
      <c r="Z82" s="51" t="s">
        <v>1950</v>
      </c>
      <c r="AA82" s="54"/>
    </row>
    <row r="83">
      <c r="A83" s="51" t="s">
        <v>4918</v>
      </c>
      <c r="B83" s="51" t="s">
        <v>2500</v>
      </c>
      <c r="C83" s="51" t="s">
        <v>4919</v>
      </c>
      <c r="D83" s="51" t="s">
        <v>851</v>
      </c>
      <c r="E83" s="52">
        <v>50.0</v>
      </c>
      <c r="F83" s="52">
        <v>0.0</v>
      </c>
      <c r="G83" s="52">
        <v>50.0</v>
      </c>
      <c r="H83" s="51" t="s">
        <v>854</v>
      </c>
      <c r="I83" s="51" t="s">
        <v>855</v>
      </c>
      <c r="J83" s="53" t="s">
        <v>4920</v>
      </c>
      <c r="K83" s="51" t="s">
        <v>4925</v>
      </c>
      <c r="M83" s="51" t="s">
        <v>4711</v>
      </c>
      <c r="N83" s="51" t="s">
        <v>4711</v>
      </c>
      <c r="O83" s="51" t="s">
        <v>890</v>
      </c>
      <c r="P83" s="51" t="b">
        <v>0</v>
      </c>
      <c r="Q83" s="51" t="s">
        <v>892</v>
      </c>
      <c r="R83" s="53" t="s">
        <v>896</v>
      </c>
      <c r="S83" s="51" t="s">
        <v>4927</v>
      </c>
      <c r="T83" s="62">
        <v>13.7569858</v>
      </c>
      <c r="U83" s="62">
        <v>100.4822104</v>
      </c>
      <c r="V83" s="51" t="s">
        <v>1906</v>
      </c>
      <c r="W83" s="53" t="s">
        <v>4931</v>
      </c>
      <c r="X83" s="51" t="s">
        <v>3565</v>
      </c>
      <c r="Z83" s="51" t="s">
        <v>1950</v>
      </c>
      <c r="AA83" s="54"/>
    </row>
    <row r="84">
      <c r="A84" s="51" t="s">
        <v>4940</v>
      </c>
      <c r="B84" s="51" t="s">
        <v>2500</v>
      </c>
      <c r="C84" s="51" t="s">
        <v>4941</v>
      </c>
      <c r="D84" s="51" t="s">
        <v>851</v>
      </c>
      <c r="E84" s="52">
        <v>100.0</v>
      </c>
      <c r="F84" s="52">
        <v>0.0</v>
      </c>
      <c r="G84" s="52">
        <v>100.0</v>
      </c>
      <c r="H84" s="51" t="s">
        <v>854</v>
      </c>
      <c r="I84" s="51" t="s">
        <v>855</v>
      </c>
      <c r="J84" s="54"/>
      <c r="K84" s="51" t="s">
        <v>4942</v>
      </c>
      <c r="M84" s="51" t="s">
        <v>4711</v>
      </c>
      <c r="N84" s="51" t="s">
        <v>4711</v>
      </c>
      <c r="O84" s="51" t="s">
        <v>890</v>
      </c>
      <c r="P84" s="51" t="b">
        <v>0</v>
      </c>
      <c r="Q84" s="51" t="s">
        <v>892</v>
      </c>
      <c r="R84" s="53" t="s">
        <v>896</v>
      </c>
      <c r="S84" s="51" t="s">
        <v>4943</v>
      </c>
      <c r="T84" s="62">
        <v>13.7619913</v>
      </c>
      <c r="U84" s="62">
        <v>100.4777789</v>
      </c>
      <c r="V84" s="51" t="s">
        <v>926</v>
      </c>
      <c r="W84" s="53" t="s">
        <v>4944</v>
      </c>
      <c r="X84" s="51" t="s">
        <v>4480</v>
      </c>
      <c r="Y84" s="53" t="s">
        <v>4944</v>
      </c>
      <c r="Z84" s="51" t="s">
        <v>975</v>
      </c>
      <c r="AA84" s="53" t="s">
        <v>4963</v>
      </c>
      <c r="AB84" s="51" t="s">
        <v>4981</v>
      </c>
      <c r="AC84" s="51" t="s">
        <v>4982</v>
      </c>
      <c r="AD84" s="51" t="s">
        <v>4480</v>
      </c>
    </row>
    <row r="85">
      <c r="A85" s="51" t="s">
        <v>4983</v>
      </c>
      <c r="B85" s="51" t="s">
        <v>2500</v>
      </c>
      <c r="C85" s="51" t="s">
        <v>4984</v>
      </c>
      <c r="D85" s="51" t="s">
        <v>851</v>
      </c>
      <c r="E85" s="52">
        <v>50.0</v>
      </c>
      <c r="F85" s="52">
        <v>0.0</v>
      </c>
      <c r="G85" s="52">
        <v>50.0</v>
      </c>
      <c r="H85" s="51" t="s">
        <v>854</v>
      </c>
      <c r="I85" s="51" t="s">
        <v>855</v>
      </c>
      <c r="J85" s="53" t="s">
        <v>4985</v>
      </c>
      <c r="K85" s="51" t="s">
        <v>4990</v>
      </c>
      <c r="M85" s="51" t="s">
        <v>4711</v>
      </c>
      <c r="N85" s="51" t="s">
        <v>4711</v>
      </c>
      <c r="O85" s="51" t="s">
        <v>890</v>
      </c>
      <c r="P85" s="51" t="b">
        <v>0</v>
      </c>
      <c r="Q85" s="51" t="s">
        <v>892</v>
      </c>
      <c r="R85" s="53" t="s">
        <v>896</v>
      </c>
      <c r="S85" s="51" t="s">
        <v>4992</v>
      </c>
      <c r="T85" s="62">
        <v>13.7489417</v>
      </c>
      <c r="U85" s="62">
        <v>100.4756999</v>
      </c>
      <c r="V85" s="51" t="s">
        <v>1906</v>
      </c>
      <c r="W85" s="53" t="s">
        <v>4996</v>
      </c>
      <c r="X85" s="51" t="s">
        <v>3565</v>
      </c>
      <c r="Z85" s="51" t="s">
        <v>1950</v>
      </c>
      <c r="AA85" s="54"/>
    </row>
    <row r="86">
      <c r="A86" s="51" t="s">
        <v>5006</v>
      </c>
      <c r="B86" s="51" t="s">
        <v>2500</v>
      </c>
      <c r="C86" s="51" t="s">
        <v>5007</v>
      </c>
      <c r="D86" s="51" t="s">
        <v>851</v>
      </c>
      <c r="E86" s="52">
        <v>50.0</v>
      </c>
      <c r="F86" s="52">
        <v>0.0</v>
      </c>
      <c r="G86" s="52">
        <v>50.0</v>
      </c>
      <c r="H86" s="51" t="s">
        <v>854</v>
      </c>
      <c r="I86" s="51" t="s">
        <v>855</v>
      </c>
      <c r="J86" s="53" t="s">
        <v>5008</v>
      </c>
      <c r="K86" s="51" t="s">
        <v>5013</v>
      </c>
      <c r="M86" s="51" t="s">
        <v>4711</v>
      </c>
      <c r="N86" s="51" t="s">
        <v>4711</v>
      </c>
      <c r="O86" s="51" t="s">
        <v>890</v>
      </c>
      <c r="P86" s="51" t="b">
        <v>0</v>
      </c>
      <c r="Q86" s="51" t="s">
        <v>892</v>
      </c>
      <c r="R86" s="53" t="s">
        <v>896</v>
      </c>
      <c r="S86" s="51" t="s">
        <v>5018</v>
      </c>
      <c r="T86" s="62">
        <v>13.7754819</v>
      </c>
      <c r="U86" s="62">
        <v>100.4648809</v>
      </c>
      <c r="V86" s="51" t="s">
        <v>1906</v>
      </c>
      <c r="W86" s="53" t="s">
        <v>5019</v>
      </c>
      <c r="X86" s="51" t="s">
        <v>3565</v>
      </c>
      <c r="Z86" s="51" t="s">
        <v>1950</v>
      </c>
      <c r="AA86" s="54"/>
    </row>
    <row r="87">
      <c r="A87" s="51" t="s">
        <v>5034</v>
      </c>
      <c r="B87" s="51" t="s">
        <v>2500</v>
      </c>
      <c r="C87" s="51" t="s">
        <v>5035</v>
      </c>
      <c r="D87" s="51" t="s">
        <v>851</v>
      </c>
      <c r="E87" s="52">
        <v>30.0</v>
      </c>
      <c r="F87" s="52">
        <v>0.0</v>
      </c>
      <c r="G87" s="52">
        <v>30.0</v>
      </c>
      <c r="H87" s="51" t="s">
        <v>854</v>
      </c>
      <c r="I87" s="51" t="s">
        <v>855</v>
      </c>
      <c r="J87" s="53" t="s">
        <v>5036</v>
      </c>
      <c r="K87" s="51" t="s">
        <v>5042</v>
      </c>
      <c r="M87" s="51" t="s">
        <v>4711</v>
      </c>
      <c r="N87" s="51" t="s">
        <v>4711</v>
      </c>
      <c r="O87" s="51" t="s">
        <v>890</v>
      </c>
      <c r="P87" s="51" t="b">
        <v>0</v>
      </c>
      <c r="Q87" s="51" t="s">
        <v>892</v>
      </c>
      <c r="R87" s="53" t="s">
        <v>896</v>
      </c>
      <c r="S87" s="51" t="s">
        <v>5046</v>
      </c>
      <c r="T87" s="62">
        <v>13.7444852</v>
      </c>
      <c r="U87" s="62">
        <v>100.4719169</v>
      </c>
      <c r="V87" s="51" t="s">
        <v>1906</v>
      </c>
      <c r="W87" s="53" t="s">
        <v>5047</v>
      </c>
      <c r="X87" s="51" t="s">
        <v>3565</v>
      </c>
      <c r="Z87" s="51" t="s">
        <v>1950</v>
      </c>
      <c r="AA87" s="54"/>
    </row>
    <row r="88">
      <c r="A88" s="51" t="s">
        <v>5056</v>
      </c>
      <c r="B88" s="51" t="s">
        <v>2500</v>
      </c>
      <c r="C88" s="51" t="s">
        <v>5057</v>
      </c>
      <c r="D88" s="51" t="s">
        <v>851</v>
      </c>
      <c r="E88" s="52">
        <v>50.0</v>
      </c>
      <c r="F88" s="52">
        <v>0.0</v>
      </c>
      <c r="G88" s="52">
        <v>50.0</v>
      </c>
      <c r="H88" s="51" t="s">
        <v>854</v>
      </c>
      <c r="I88" s="51" t="s">
        <v>855</v>
      </c>
      <c r="J88" s="53" t="s">
        <v>5058</v>
      </c>
      <c r="K88" s="51" t="s">
        <v>5065</v>
      </c>
      <c r="M88" s="51" t="s">
        <v>4711</v>
      </c>
      <c r="N88" s="51" t="s">
        <v>4711</v>
      </c>
      <c r="O88" s="51" t="s">
        <v>890</v>
      </c>
      <c r="P88" s="51" t="b">
        <v>0</v>
      </c>
      <c r="Q88" s="51" t="s">
        <v>892</v>
      </c>
      <c r="R88" s="53" t="s">
        <v>896</v>
      </c>
      <c r="S88" s="51" t="s">
        <v>5069</v>
      </c>
      <c r="T88" s="62">
        <v>13.7809144</v>
      </c>
      <c r="U88" s="62">
        <v>100.4686429</v>
      </c>
      <c r="V88" s="51" t="s">
        <v>1906</v>
      </c>
      <c r="W88" s="53" t="s">
        <v>5070</v>
      </c>
      <c r="X88" s="51" t="s">
        <v>3565</v>
      </c>
      <c r="Z88" s="51" t="s">
        <v>1950</v>
      </c>
      <c r="AA88" s="54"/>
    </row>
    <row r="89">
      <c r="A89" s="51" t="s">
        <v>5080</v>
      </c>
      <c r="B89" s="51" t="s">
        <v>2500</v>
      </c>
      <c r="C89" s="51" t="s">
        <v>5082</v>
      </c>
      <c r="D89" s="51" t="s">
        <v>851</v>
      </c>
      <c r="E89" s="52">
        <v>50.0</v>
      </c>
      <c r="F89" s="52">
        <v>0.0</v>
      </c>
      <c r="G89" s="52">
        <v>50.0</v>
      </c>
      <c r="H89" s="51" t="s">
        <v>854</v>
      </c>
      <c r="I89" s="51" t="s">
        <v>855</v>
      </c>
      <c r="J89" s="53" t="s">
        <v>5086</v>
      </c>
      <c r="K89" s="51" t="s">
        <v>5091</v>
      </c>
      <c r="M89" s="51" t="s">
        <v>4711</v>
      </c>
      <c r="N89" s="51" t="s">
        <v>4711</v>
      </c>
      <c r="O89" s="51" t="s">
        <v>890</v>
      </c>
      <c r="P89" s="51" t="b">
        <v>0</v>
      </c>
      <c r="Q89" s="51" t="s">
        <v>892</v>
      </c>
      <c r="R89" s="53" t="s">
        <v>896</v>
      </c>
      <c r="S89" s="51" t="s">
        <v>5093</v>
      </c>
      <c r="T89" s="62">
        <v>13.7667348</v>
      </c>
      <c r="U89" s="62">
        <v>100.4725014</v>
      </c>
      <c r="V89" s="51" t="s">
        <v>1906</v>
      </c>
      <c r="W89" s="53" t="s">
        <v>5094</v>
      </c>
      <c r="X89" s="51" t="s">
        <v>3565</v>
      </c>
      <c r="Z89" s="51" t="s">
        <v>1950</v>
      </c>
      <c r="AA89" s="54"/>
    </row>
    <row r="90">
      <c r="A90" s="51" t="s">
        <v>5107</v>
      </c>
      <c r="B90" s="51" t="s">
        <v>1615</v>
      </c>
      <c r="C90" s="51" t="s">
        <v>5109</v>
      </c>
      <c r="D90" s="51" t="s">
        <v>851</v>
      </c>
      <c r="E90" s="52">
        <v>40.0</v>
      </c>
      <c r="F90" s="52">
        <v>0.0</v>
      </c>
      <c r="G90" s="52">
        <v>40.0</v>
      </c>
      <c r="H90" s="51" t="s">
        <v>854</v>
      </c>
      <c r="I90" s="51" t="s">
        <v>855</v>
      </c>
      <c r="J90" s="53" t="s">
        <v>5110</v>
      </c>
      <c r="M90" s="51" t="s">
        <v>5119</v>
      </c>
      <c r="N90" s="51" t="s">
        <v>5119</v>
      </c>
      <c r="O90" s="51" t="s">
        <v>890</v>
      </c>
      <c r="P90" s="51" t="b">
        <v>0</v>
      </c>
      <c r="Q90" s="51" t="s">
        <v>892</v>
      </c>
      <c r="R90" s="53" t="s">
        <v>896</v>
      </c>
      <c r="S90" s="51" t="s">
        <v>5121</v>
      </c>
      <c r="T90" s="62">
        <v>13.7415668</v>
      </c>
      <c r="U90" s="62">
        <v>100.4748502</v>
      </c>
      <c r="V90" s="51" t="s">
        <v>926</v>
      </c>
      <c r="W90" s="53" t="s">
        <v>5122</v>
      </c>
      <c r="X90" s="51" t="s">
        <v>4480</v>
      </c>
      <c r="Y90" s="53" t="s">
        <v>5122</v>
      </c>
      <c r="Z90" s="51" t="s">
        <v>975</v>
      </c>
      <c r="AA90" s="53" t="s">
        <v>5141</v>
      </c>
      <c r="AB90" s="51" t="s">
        <v>5154</v>
      </c>
      <c r="AC90" s="51" t="s">
        <v>5155</v>
      </c>
      <c r="AD90" s="51" t="s">
        <v>4480</v>
      </c>
    </row>
    <row r="91">
      <c r="A91" s="51" t="s">
        <v>5157</v>
      </c>
      <c r="B91" s="51" t="s">
        <v>1615</v>
      </c>
      <c r="C91" s="51" t="s">
        <v>5160</v>
      </c>
      <c r="D91" s="51" t="s">
        <v>851</v>
      </c>
      <c r="E91" s="52">
        <v>50.0</v>
      </c>
      <c r="F91" s="52">
        <v>0.0</v>
      </c>
      <c r="G91" s="52">
        <v>50.0</v>
      </c>
      <c r="H91" s="51" t="s">
        <v>854</v>
      </c>
      <c r="I91" s="51" t="s">
        <v>855</v>
      </c>
      <c r="J91" s="53" t="s">
        <v>5162</v>
      </c>
      <c r="M91" s="51" t="s">
        <v>5119</v>
      </c>
      <c r="N91" s="51" t="s">
        <v>5119</v>
      </c>
      <c r="O91" s="51" t="s">
        <v>890</v>
      </c>
      <c r="P91" s="51" t="b">
        <v>0</v>
      </c>
      <c r="Q91" s="51" t="s">
        <v>892</v>
      </c>
      <c r="R91" s="53" t="s">
        <v>896</v>
      </c>
      <c r="S91" s="51" t="s">
        <v>5169</v>
      </c>
      <c r="T91" s="62">
        <v>13.7336986</v>
      </c>
      <c r="U91" s="62">
        <v>100.472719</v>
      </c>
      <c r="V91" s="51" t="s">
        <v>926</v>
      </c>
      <c r="W91" s="53" t="s">
        <v>5170</v>
      </c>
      <c r="X91" s="51" t="s">
        <v>4480</v>
      </c>
      <c r="Y91" s="53" t="s">
        <v>5170</v>
      </c>
      <c r="Z91" s="51" t="s">
        <v>975</v>
      </c>
      <c r="AA91" s="53" t="s">
        <v>5189</v>
      </c>
      <c r="AB91" s="51" t="s">
        <v>5204</v>
      </c>
      <c r="AC91" s="51" t="s">
        <v>5205</v>
      </c>
      <c r="AD91" s="51" t="s">
        <v>4480</v>
      </c>
    </row>
    <row r="92">
      <c r="A92" s="51" t="s">
        <v>5207</v>
      </c>
      <c r="B92" s="51" t="s">
        <v>1615</v>
      </c>
      <c r="C92" s="51" t="s">
        <v>5209</v>
      </c>
      <c r="D92" s="51" t="s">
        <v>851</v>
      </c>
      <c r="E92" s="52">
        <v>50.0</v>
      </c>
      <c r="F92" s="52">
        <v>0.0</v>
      </c>
      <c r="G92" s="52">
        <v>50.0</v>
      </c>
      <c r="H92" s="51" t="s">
        <v>854</v>
      </c>
      <c r="I92" s="51" t="s">
        <v>855</v>
      </c>
      <c r="J92" s="53" t="s">
        <v>5212</v>
      </c>
      <c r="M92" s="51" t="s">
        <v>5119</v>
      </c>
      <c r="N92" s="51" t="s">
        <v>5119</v>
      </c>
      <c r="O92" s="51" t="s">
        <v>890</v>
      </c>
      <c r="P92" s="51" t="b">
        <v>0</v>
      </c>
      <c r="Q92" s="51" t="s">
        <v>892</v>
      </c>
      <c r="R92" s="53" t="s">
        <v>896</v>
      </c>
      <c r="S92" s="51" t="s">
        <v>5218</v>
      </c>
      <c r="T92" s="62">
        <v>13.7238269</v>
      </c>
      <c r="U92" s="62">
        <v>100.4701718</v>
      </c>
      <c r="V92" s="51" t="s">
        <v>926</v>
      </c>
      <c r="W92" s="53" t="s">
        <v>5219</v>
      </c>
      <c r="X92" s="51" t="s">
        <v>4480</v>
      </c>
      <c r="Y92" s="53" t="s">
        <v>5219</v>
      </c>
      <c r="Z92" s="51" t="s">
        <v>975</v>
      </c>
      <c r="AA92" s="53" t="s">
        <v>5238</v>
      </c>
      <c r="AB92" s="51" t="s">
        <v>5252</v>
      </c>
      <c r="AC92" s="51" t="s">
        <v>5253</v>
      </c>
      <c r="AD92" s="51" t="s">
        <v>4480</v>
      </c>
    </row>
    <row r="93">
      <c r="A93" s="51" t="s">
        <v>5255</v>
      </c>
      <c r="B93" s="51" t="s">
        <v>1615</v>
      </c>
      <c r="C93" s="51" t="s">
        <v>5257</v>
      </c>
      <c r="D93" s="51" t="s">
        <v>851</v>
      </c>
      <c r="E93" s="52">
        <v>80.0</v>
      </c>
      <c r="F93" s="52">
        <v>0.0</v>
      </c>
      <c r="G93" s="52">
        <v>80.0</v>
      </c>
      <c r="H93" s="51" t="s">
        <v>854</v>
      </c>
      <c r="I93" s="51" t="s">
        <v>855</v>
      </c>
      <c r="J93" s="53" t="s">
        <v>5260</v>
      </c>
      <c r="M93" s="51" t="s">
        <v>5265</v>
      </c>
      <c r="N93" s="51" t="s">
        <v>5265</v>
      </c>
      <c r="O93" s="51" t="s">
        <v>890</v>
      </c>
      <c r="P93" s="51" t="b">
        <v>0</v>
      </c>
      <c r="Q93" s="51" t="s">
        <v>892</v>
      </c>
      <c r="R93" s="53" t="s">
        <v>896</v>
      </c>
      <c r="S93" s="51" t="s">
        <v>5266</v>
      </c>
      <c r="T93" s="62">
        <v>13.7354176</v>
      </c>
      <c r="U93" s="62">
        <v>100.4852845</v>
      </c>
      <c r="V93" s="51" t="s">
        <v>926</v>
      </c>
      <c r="W93" s="53" t="s">
        <v>5267</v>
      </c>
      <c r="X93" s="51" t="s">
        <v>4480</v>
      </c>
      <c r="Y93" s="53" t="s">
        <v>5267</v>
      </c>
      <c r="Z93" s="51" t="s">
        <v>975</v>
      </c>
      <c r="AA93" s="53" t="s">
        <v>5295</v>
      </c>
      <c r="AB93" s="51" t="s">
        <v>5316</v>
      </c>
      <c r="AC93" s="51" t="s">
        <v>5317</v>
      </c>
      <c r="AD93" s="51" t="s">
        <v>4480</v>
      </c>
    </row>
    <row r="94">
      <c r="A94" s="51" t="s">
        <v>5318</v>
      </c>
      <c r="B94" s="51" t="s">
        <v>1615</v>
      </c>
      <c r="C94" s="51" t="s">
        <v>5319</v>
      </c>
      <c r="D94" s="51" t="s">
        <v>851</v>
      </c>
      <c r="E94" s="52">
        <v>20.0</v>
      </c>
      <c r="F94" s="52">
        <v>0.0</v>
      </c>
      <c r="G94" s="52">
        <v>20.0</v>
      </c>
      <c r="H94" s="51" t="s">
        <v>854</v>
      </c>
      <c r="I94" s="51" t="s">
        <v>855</v>
      </c>
      <c r="J94" s="53" t="s">
        <v>5320</v>
      </c>
      <c r="M94" s="51" t="s">
        <v>5265</v>
      </c>
      <c r="N94" s="51" t="s">
        <v>5265</v>
      </c>
      <c r="O94" s="51" t="s">
        <v>890</v>
      </c>
      <c r="P94" s="51" t="b">
        <v>0</v>
      </c>
      <c r="Q94" s="51" t="s">
        <v>892</v>
      </c>
      <c r="R94" s="53" t="s">
        <v>896</v>
      </c>
      <c r="S94" s="51" t="s">
        <v>5329</v>
      </c>
      <c r="T94" s="62">
        <v>13.7413193</v>
      </c>
      <c r="U94" s="62">
        <v>100.4825358</v>
      </c>
      <c r="V94" s="51" t="s">
        <v>1906</v>
      </c>
      <c r="W94" s="53" t="s">
        <v>5331</v>
      </c>
      <c r="X94" s="51" t="s">
        <v>3565</v>
      </c>
      <c r="Z94" s="51" t="s">
        <v>1950</v>
      </c>
      <c r="AA94" s="54"/>
    </row>
    <row r="95">
      <c r="A95" s="51" t="s">
        <v>5353</v>
      </c>
      <c r="B95" s="51" t="s">
        <v>192</v>
      </c>
      <c r="C95" s="51" t="s">
        <v>5355</v>
      </c>
      <c r="D95" s="51" t="s">
        <v>851</v>
      </c>
      <c r="E95" s="52">
        <v>300.0</v>
      </c>
      <c r="F95" s="52">
        <v>0.0</v>
      </c>
      <c r="G95" s="52">
        <v>300.0</v>
      </c>
      <c r="H95" s="51" t="s">
        <v>854</v>
      </c>
      <c r="I95" s="51" t="s">
        <v>855</v>
      </c>
      <c r="J95" s="53" t="s">
        <v>5359</v>
      </c>
      <c r="M95" s="51" t="s">
        <v>5364</v>
      </c>
      <c r="N95" s="51" t="s">
        <v>5364</v>
      </c>
      <c r="O95" s="51" t="s">
        <v>890</v>
      </c>
      <c r="P95" s="51" t="b">
        <v>0</v>
      </c>
      <c r="Q95" s="51" t="s">
        <v>892</v>
      </c>
      <c r="R95" s="53" t="s">
        <v>896</v>
      </c>
      <c r="S95" s="51" t="s">
        <v>5365</v>
      </c>
      <c r="T95" s="62">
        <v>13.6462144</v>
      </c>
      <c r="U95" s="62">
        <v>100.4205322</v>
      </c>
      <c r="V95" s="51" t="s">
        <v>1906</v>
      </c>
      <c r="W95" s="53" t="s">
        <v>5367</v>
      </c>
      <c r="X95" s="51" t="s">
        <v>3565</v>
      </c>
      <c r="Z95" s="51" t="s">
        <v>1950</v>
      </c>
      <c r="AA95" s="54"/>
    </row>
    <row r="96">
      <c r="A96" s="51" t="s">
        <v>5386</v>
      </c>
      <c r="B96" s="51" t="s">
        <v>192</v>
      </c>
      <c r="C96" s="51" t="s">
        <v>5387</v>
      </c>
      <c r="D96" s="51" t="s">
        <v>851</v>
      </c>
      <c r="E96" s="52">
        <v>30.0</v>
      </c>
      <c r="F96" s="52">
        <v>0.0</v>
      </c>
      <c r="G96" s="52">
        <v>30.0</v>
      </c>
      <c r="H96" s="51" t="s">
        <v>854</v>
      </c>
      <c r="I96" s="51" t="s">
        <v>855</v>
      </c>
      <c r="J96" s="53" t="s">
        <v>5388</v>
      </c>
      <c r="M96" s="51" t="s">
        <v>5394</v>
      </c>
      <c r="N96" s="51" t="s">
        <v>5394</v>
      </c>
      <c r="O96" s="51" t="s">
        <v>890</v>
      </c>
      <c r="P96" s="51" t="b">
        <v>0</v>
      </c>
      <c r="Q96" s="51" t="s">
        <v>892</v>
      </c>
      <c r="R96" s="53" t="s">
        <v>896</v>
      </c>
      <c r="S96" s="51" t="s">
        <v>5400</v>
      </c>
      <c r="T96" s="62">
        <v>13.5271383</v>
      </c>
      <c r="U96" s="62">
        <v>100.419974</v>
      </c>
      <c r="V96" s="51" t="s">
        <v>1906</v>
      </c>
      <c r="W96" s="53" t="s">
        <v>5401</v>
      </c>
      <c r="X96" s="51" t="s">
        <v>3565</v>
      </c>
      <c r="Z96" s="51" t="s">
        <v>1950</v>
      </c>
      <c r="AA96" s="54"/>
    </row>
    <row r="97">
      <c r="A97" s="51" t="s">
        <v>5416</v>
      </c>
      <c r="B97" s="51" t="s">
        <v>1343</v>
      </c>
      <c r="C97" s="51" t="s">
        <v>5417</v>
      </c>
      <c r="D97" s="51" t="s">
        <v>851</v>
      </c>
      <c r="E97" s="52">
        <v>30.0</v>
      </c>
      <c r="F97" s="52">
        <v>0.0</v>
      </c>
      <c r="G97" s="52">
        <v>30.0</v>
      </c>
      <c r="H97" s="51" t="s">
        <v>854</v>
      </c>
      <c r="I97" s="51" t="s">
        <v>855</v>
      </c>
      <c r="J97" s="53" t="s">
        <v>5420</v>
      </c>
      <c r="K97" s="51" t="s">
        <v>5426</v>
      </c>
      <c r="M97" s="51" t="s">
        <v>5428</v>
      </c>
      <c r="N97" s="51" t="s">
        <v>5428</v>
      </c>
      <c r="O97" s="51" t="s">
        <v>890</v>
      </c>
      <c r="P97" s="51" t="b">
        <v>0</v>
      </c>
      <c r="Q97" s="51" t="s">
        <v>892</v>
      </c>
      <c r="R97" s="53" t="s">
        <v>896</v>
      </c>
      <c r="S97" s="51" t="s">
        <v>5430</v>
      </c>
      <c r="T97" s="62">
        <v>13.6873307</v>
      </c>
      <c r="U97" s="62">
        <v>100.5123445</v>
      </c>
      <c r="V97" s="51" t="s">
        <v>1906</v>
      </c>
      <c r="W97" s="53" t="s">
        <v>5431</v>
      </c>
      <c r="X97" s="51" t="s">
        <v>3565</v>
      </c>
      <c r="Z97" s="51" t="s">
        <v>1950</v>
      </c>
      <c r="AA97" s="54"/>
    </row>
    <row r="98">
      <c r="A98" s="51" t="s">
        <v>5450</v>
      </c>
      <c r="B98" s="51" t="s">
        <v>1343</v>
      </c>
      <c r="C98" s="51" t="s">
        <v>5451</v>
      </c>
      <c r="D98" s="51" t="s">
        <v>851</v>
      </c>
      <c r="E98" s="52">
        <v>30.0</v>
      </c>
      <c r="F98" s="52">
        <v>0.0</v>
      </c>
      <c r="G98" s="52">
        <v>30.0</v>
      </c>
      <c r="H98" s="51" t="s">
        <v>854</v>
      </c>
      <c r="I98" s="51" t="s">
        <v>855</v>
      </c>
      <c r="J98" s="53" t="s">
        <v>5452</v>
      </c>
      <c r="K98" s="51" t="s">
        <v>5457</v>
      </c>
      <c r="M98" s="51" t="s">
        <v>5428</v>
      </c>
      <c r="N98" s="51" t="s">
        <v>5428</v>
      </c>
      <c r="O98" s="51" t="s">
        <v>890</v>
      </c>
      <c r="P98" s="51" t="b">
        <v>0</v>
      </c>
      <c r="Q98" s="51" t="s">
        <v>892</v>
      </c>
      <c r="R98" s="53" t="s">
        <v>896</v>
      </c>
      <c r="S98" s="51" t="s">
        <v>5459</v>
      </c>
      <c r="T98" s="62">
        <v>13.7053294</v>
      </c>
      <c r="U98" s="62">
        <v>100.5050592</v>
      </c>
      <c r="V98" s="51" t="s">
        <v>1906</v>
      </c>
      <c r="W98" s="53" t="s">
        <v>5462</v>
      </c>
      <c r="X98" s="51" t="s">
        <v>3565</v>
      </c>
      <c r="Z98" s="51" t="s">
        <v>1950</v>
      </c>
      <c r="AA98" s="54"/>
    </row>
    <row r="99">
      <c r="A99" s="51" t="s">
        <v>5475</v>
      </c>
      <c r="B99" s="51" t="s">
        <v>1343</v>
      </c>
      <c r="C99" s="51" t="s">
        <v>5476</v>
      </c>
      <c r="D99" s="51" t="s">
        <v>851</v>
      </c>
      <c r="E99" s="52">
        <v>20.0</v>
      </c>
      <c r="F99" s="52">
        <v>0.0</v>
      </c>
      <c r="G99" s="52">
        <v>20.0</v>
      </c>
      <c r="H99" s="51" t="s">
        <v>854</v>
      </c>
      <c r="I99" s="51" t="s">
        <v>855</v>
      </c>
      <c r="J99" s="53" t="s">
        <v>5477</v>
      </c>
      <c r="K99" s="51" t="s">
        <v>5482</v>
      </c>
      <c r="M99" s="51" t="s">
        <v>5428</v>
      </c>
      <c r="N99" s="51" t="s">
        <v>5428</v>
      </c>
      <c r="O99" s="51" t="s">
        <v>890</v>
      </c>
      <c r="P99" s="51" t="b">
        <v>0</v>
      </c>
      <c r="Q99" s="51" t="s">
        <v>892</v>
      </c>
      <c r="R99" s="53" t="s">
        <v>896</v>
      </c>
      <c r="S99" s="51" t="s">
        <v>5487</v>
      </c>
      <c r="T99" s="62">
        <v>13.7007609</v>
      </c>
      <c r="U99" s="62">
        <v>100.4972479</v>
      </c>
      <c r="V99" s="51" t="s">
        <v>1906</v>
      </c>
      <c r="W99" s="53" t="s">
        <v>5489</v>
      </c>
      <c r="X99" s="51" t="s">
        <v>3565</v>
      </c>
      <c r="Z99" s="51" t="s">
        <v>1950</v>
      </c>
      <c r="AA99" s="54"/>
    </row>
    <row r="100">
      <c r="A100" s="51" t="s">
        <v>5504</v>
      </c>
      <c r="B100" s="51" t="s">
        <v>1343</v>
      </c>
      <c r="C100" s="51" t="s">
        <v>5505</v>
      </c>
      <c r="D100" s="51" t="s">
        <v>851</v>
      </c>
      <c r="E100" s="52">
        <v>100.0</v>
      </c>
      <c r="F100" s="52">
        <v>0.0</v>
      </c>
      <c r="G100" s="52">
        <v>100.0</v>
      </c>
      <c r="H100" s="51" t="s">
        <v>854</v>
      </c>
      <c r="I100" s="51" t="s">
        <v>855</v>
      </c>
      <c r="J100" s="53" t="s">
        <v>5506</v>
      </c>
      <c r="K100" s="51" t="s">
        <v>5513</v>
      </c>
      <c r="M100" s="51" t="s">
        <v>5428</v>
      </c>
      <c r="N100" s="51" t="s">
        <v>5428</v>
      </c>
      <c r="O100" s="51" t="s">
        <v>890</v>
      </c>
      <c r="P100" s="51" t="b">
        <v>0</v>
      </c>
      <c r="Q100" s="51" t="s">
        <v>892</v>
      </c>
      <c r="R100" s="53" t="s">
        <v>896</v>
      </c>
      <c r="S100" s="51" t="s">
        <v>5517</v>
      </c>
      <c r="T100" s="62">
        <v>13.7014667</v>
      </c>
      <c r="U100" s="62">
        <v>100.5235324</v>
      </c>
      <c r="V100" s="51" t="s">
        <v>1906</v>
      </c>
      <c r="W100" s="53" t="s">
        <v>5518</v>
      </c>
      <c r="X100" s="51" t="s">
        <v>3565</v>
      </c>
      <c r="Z100" s="51" t="s">
        <v>1950</v>
      </c>
      <c r="AA100" s="54"/>
    </row>
    <row r="101">
      <c r="A101" s="51" t="s">
        <v>5535</v>
      </c>
      <c r="B101" s="51" t="s">
        <v>317</v>
      </c>
      <c r="C101" s="51" t="s">
        <v>5536</v>
      </c>
      <c r="D101" s="51" t="s">
        <v>851</v>
      </c>
      <c r="E101" s="52">
        <v>60.0</v>
      </c>
      <c r="F101" s="52">
        <v>55.0</v>
      </c>
      <c r="G101" s="52">
        <v>5.0</v>
      </c>
      <c r="H101" s="51" t="s">
        <v>854</v>
      </c>
      <c r="I101" s="51" t="s">
        <v>5537</v>
      </c>
      <c r="J101" s="54"/>
      <c r="K101" s="51">
        <v>8.12681104E8</v>
      </c>
      <c r="M101" s="51" t="s">
        <v>5538</v>
      </c>
      <c r="N101" s="51" t="s">
        <v>5538</v>
      </c>
      <c r="O101" s="51" t="s">
        <v>890</v>
      </c>
      <c r="P101" s="51" t="b">
        <v>0</v>
      </c>
      <c r="Q101" s="51" t="s">
        <v>892</v>
      </c>
      <c r="R101" s="53" t="s">
        <v>896</v>
      </c>
      <c r="S101" s="51" t="s">
        <v>5542</v>
      </c>
      <c r="T101" s="62">
        <v>13.8063886</v>
      </c>
      <c r="U101" s="62">
        <v>100.5307932</v>
      </c>
      <c r="V101" s="51" t="s">
        <v>926</v>
      </c>
      <c r="W101" s="53" t="s">
        <v>5544</v>
      </c>
      <c r="X101" s="51" t="s">
        <v>4480</v>
      </c>
      <c r="Y101" s="53" t="s">
        <v>5544</v>
      </c>
      <c r="Z101" s="51" t="s">
        <v>975</v>
      </c>
      <c r="AA101" s="53" t="s">
        <v>5568</v>
      </c>
      <c r="AB101" s="51" t="s">
        <v>5591</v>
      </c>
      <c r="AC101" s="51" t="s">
        <v>5593</v>
      </c>
      <c r="AD101" s="51" t="s">
        <v>4480</v>
      </c>
    </row>
    <row r="102">
      <c r="A102" s="51" t="s">
        <v>5594</v>
      </c>
      <c r="B102" s="51" t="s">
        <v>317</v>
      </c>
      <c r="C102" s="51" t="s">
        <v>5595</v>
      </c>
      <c r="D102" s="51" t="s">
        <v>851</v>
      </c>
      <c r="E102" s="52">
        <v>50.0</v>
      </c>
      <c r="F102" s="52">
        <v>0.0</v>
      </c>
      <c r="G102" s="52">
        <v>50.0</v>
      </c>
      <c r="H102" s="51" t="s">
        <v>854</v>
      </c>
      <c r="I102" s="51" t="s">
        <v>855</v>
      </c>
      <c r="J102" s="54"/>
      <c r="K102" s="51">
        <v>8.98328837E8</v>
      </c>
      <c r="M102" s="51" t="s">
        <v>5538</v>
      </c>
      <c r="N102" s="51" t="s">
        <v>5538</v>
      </c>
      <c r="O102" s="51" t="s">
        <v>890</v>
      </c>
      <c r="P102" s="51" t="b">
        <v>0</v>
      </c>
      <c r="Q102" s="51" t="s">
        <v>892</v>
      </c>
      <c r="R102" s="53" t="s">
        <v>896</v>
      </c>
      <c r="S102" s="51" t="s">
        <v>5597</v>
      </c>
      <c r="T102" s="62">
        <v>13.8088714</v>
      </c>
      <c r="U102" s="62">
        <v>100.5198508</v>
      </c>
      <c r="V102" s="51" t="s">
        <v>926</v>
      </c>
      <c r="W102" s="53" t="s">
        <v>5602</v>
      </c>
      <c r="X102" s="51" t="s">
        <v>4480</v>
      </c>
      <c r="Y102" s="53" t="s">
        <v>5602</v>
      </c>
      <c r="Z102" s="51" t="s">
        <v>975</v>
      </c>
      <c r="AA102" s="53" t="s">
        <v>5620</v>
      </c>
      <c r="AB102" s="51" t="s">
        <v>5636</v>
      </c>
      <c r="AC102" s="51" t="s">
        <v>5638</v>
      </c>
      <c r="AD102" s="51" t="s">
        <v>4480</v>
      </c>
    </row>
    <row r="103">
      <c r="A103" s="51" t="s">
        <v>5641</v>
      </c>
      <c r="B103" s="51" t="s">
        <v>317</v>
      </c>
      <c r="C103" s="51" t="s">
        <v>5642</v>
      </c>
      <c r="D103" s="51" t="s">
        <v>851</v>
      </c>
      <c r="E103" s="52">
        <v>50.0</v>
      </c>
      <c r="F103" s="52">
        <v>0.0</v>
      </c>
      <c r="G103" s="52">
        <v>50.0</v>
      </c>
      <c r="H103" s="51" t="s">
        <v>854</v>
      </c>
      <c r="I103" s="51" t="s">
        <v>855</v>
      </c>
      <c r="J103" s="54"/>
      <c r="M103" s="51" t="s">
        <v>5538</v>
      </c>
      <c r="N103" s="51" t="s">
        <v>5538</v>
      </c>
      <c r="O103" s="51" t="s">
        <v>890</v>
      </c>
      <c r="P103" s="51" t="b">
        <v>0</v>
      </c>
      <c r="Q103" s="51" t="s">
        <v>892</v>
      </c>
      <c r="R103" s="53" t="s">
        <v>896</v>
      </c>
      <c r="S103" s="51" t="s">
        <v>5643</v>
      </c>
      <c r="T103" s="62">
        <v>13.8016443</v>
      </c>
      <c r="U103" s="62">
        <v>100.5235517</v>
      </c>
      <c r="V103" s="51" t="s">
        <v>926</v>
      </c>
      <c r="W103" s="53" t="s">
        <v>5645</v>
      </c>
      <c r="X103" s="51" t="s">
        <v>4480</v>
      </c>
      <c r="Y103" s="53" t="s">
        <v>5645</v>
      </c>
      <c r="Z103" s="51" t="s">
        <v>975</v>
      </c>
      <c r="AA103" s="53" t="s">
        <v>5668</v>
      </c>
      <c r="AB103" s="51" t="s">
        <v>5685</v>
      </c>
      <c r="AC103" s="51" t="s">
        <v>5686</v>
      </c>
      <c r="AD103" s="51" t="s">
        <v>4480</v>
      </c>
    </row>
    <row r="104">
      <c r="A104" s="51" t="s">
        <v>5687</v>
      </c>
      <c r="B104" s="51" t="s">
        <v>341</v>
      </c>
      <c r="C104" s="51" t="s">
        <v>5688</v>
      </c>
      <c r="D104" s="51" t="s">
        <v>851</v>
      </c>
      <c r="E104" s="52">
        <v>20.0</v>
      </c>
      <c r="F104" s="52">
        <v>7.0</v>
      </c>
      <c r="G104" s="52">
        <v>13.0</v>
      </c>
      <c r="H104" s="51" t="s">
        <v>854</v>
      </c>
      <c r="I104" s="51" t="s">
        <v>855</v>
      </c>
      <c r="J104" s="53" t="s">
        <v>5689</v>
      </c>
      <c r="K104" s="54"/>
      <c r="M104" s="51" t="s">
        <v>5696</v>
      </c>
      <c r="N104" s="51" t="s">
        <v>5696</v>
      </c>
      <c r="O104" s="51" t="s">
        <v>890</v>
      </c>
      <c r="P104" s="51" t="b">
        <v>0</v>
      </c>
      <c r="Q104" s="51" t="s">
        <v>892</v>
      </c>
      <c r="R104" s="53" t="s">
        <v>896</v>
      </c>
      <c r="S104" s="51" t="s">
        <v>5701</v>
      </c>
      <c r="T104" s="62">
        <v>13.6543687</v>
      </c>
      <c r="U104" s="62">
        <v>100.6336279</v>
      </c>
      <c r="V104" s="51" t="s">
        <v>1906</v>
      </c>
      <c r="W104" s="53" t="s">
        <v>5702</v>
      </c>
      <c r="X104" s="51" t="s">
        <v>3565</v>
      </c>
      <c r="Z104" s="51" t="s">
        <v>1950</v>
      </c>
      <c r="AA104" s="54"/>
    </row>
    <row r="105">
      <c r="A105" s="51" t="s">
        <v>5726</v>
      </c>
      <c r="B105" s="51" t="s">
        <v>341</v>
      </c>
      <c r="C105" s="51" t="s">
        <v>5727</v>
      </c>
      <c r="D105" s="51" t="s">
        <v>851</v>
      </c>
      <c r="E105" s="52">
        <v>50.0</v>
      </c>
      <c r="F105" s="52">
        <v>0.0</v>
      </c>
      <c r="G105" s="52">
        <v>50.0</v>
      </c>
      <c r="H105" s="51" t="s">
        <v>854</v>
      </c>
      <c r="I105" s="51" t="s">
        <v>855</v>
      </c>
      <c r="J105" s="53" t="s">
        <v>5728</v>
      </c>
      <c r="K105" s="54"/>
      <c r="M105" s="51" t="s">
        <v>5696</v>
      </c>
      <c r="N105" s="51" t="s">
        <v>5696</v>
      </c>
      <c r="O105" s="51" t="s">
        <v>890</v>
      </c>
      <c r="P105" s="51" t="b">
        <v>0</v>
      </c>
      <c r="Q105" s="51" t="s">
        <v>892</v>
      </c>
      <c r="R105" s="53" t="s">
        <v>896</v>
      </c>
      <c r="S105" s="51" t="s">
        <v>5738</v>
      </c>
      <c r="T105" s="62">
        <v>13.661408</v>
      </c>
      <c r="U105" s="62">
        <v>100.6300255</v>
      </c>
      <c r="V105" s="51" t="s">
        <v>1906</v>
      </c>
      <c r="W105" s="53" t="s">
        <v>5739</v>
      </c>
      <c r="X105" s="51" t="s">
        <v>3565</v>
      </c>
      <c r="Z105" s="51" t="s">
        <v>1950</v>
      </c>
      <c r="AA105" s="54"/>
    </row>
    <row r="106">
      <c r="A106" s="51" t="s">
        <v>5753</v>
      </c>
      <c r="B106" s="51" t="s">
        <v>341</v>
      </c>
      <c r="C106" s="51" t="s">
        <v>5756</v>
      </c>
      <c r="D106" s="51" t="s">
        <v>851</v>
      </c>
      <c r="E106" s="52">
        <v>50.0</v>
      </c>
      <c r="F106" s="52">
        <v>0.0</v>
      </c>
      <c r="G106" s="52">
        <v>50.0</v>
      </c>
      <c r="H106" s="51" t="s">
        <v>854</v>
      </c>
      <c r="I106" s="51" t="s">
        <v>855</v>
      </c>
      <c r="J106" s="53" t="s">
        <v>5758</v>
      </c>
      <c r="K106" s="54"/>
      <c r="M106" s="51" t="s">
        <v>5696</v>
      </c>
      <c r="N106" s="51" t="s">
        <v>5696</v>
      </c>
      <c r="O106" s="51" t="s">
        <v>890</v>
      </c>
      <c r="P106" s="51" t="b">
        <v>0</v>
      </c>
      <c r="Q106" s="51" t="s">
        <v>892</v>
      </c>
      <c r="R106" s="53" t="s">
        <v>896</v>
      </c>
      <c r="S106" s="51" t="s">
        <v>5763</v>
      </c>
      <c r="T106" s="62">
        <v>13.6770742</v>
      </c>
      <c r="U106" s="62">
        <v>100.6121679</v>
      </c>
      <c r="V106" s="51" t="s">
        <v>1906</v>
      </c>
      <c r="W106" s="53" t="s">
        <v>5764</v>
      </c>
      <c r="X106" s="51" t="s">
        <v>3565</v>
      </c>
      <c r="Z106" s="51" t="s">
        <v>1950</v>
      </c>
      <c r="AA106" s="54"/>
    </row>
    <row r="107">
      <c r="A107" s="51" t="s">
        <v>5773</v>
      </c>
      <c r="B107" s="51" t="s">
        <v>341</v>
      </c>
      <c r="C107" s="51" t="s">
        <v>5775</v>
      </c>
      <c r="D107" s="51" t="s">
        <v>851</v>
      </c>
      <c r="E107" s="52">
        <v>50.0</v>
      </c>
      <c r="F107" s="52">
        <v>0.0</v>
      </c>
      <c r="G107" s="52">
        <v>50.0</v>
      </c>
      <c r="H107" s="51" t="s">
        <v>854</v>
      </c>
      <c r="I107" s="51" t="s">
        <v>855</v>
      </c>
      <c r="J107" s="53" t="s">
        <v>5779</v>
      </c>
      <c r="K107" s="54"/>
      <c r="M107" s="51" t="s">
        <v>5696</v>
      </c>
      <c r="N107" s="51" t="s">
        <v>5696</v>
      </c>
      <c r="O107" s="51" t="s">
        <v>890</v>
      </c>
      <c r="P107" s="51" t="b">
        <v>0</v>
      </c>
      <c r="Q107" s="51" t="s">
        <v>892</v>
      </c>
      <c r="R107" s="53" t="s">
        <v>896</v>
      </c>
      <c r="S107" s="51" t="s">
        <v>5783</v>
      </c>
      <c r="T107" s="62">
        <v>13.6762606</v>
      </c>
      <c r="U107" s="62">
        <v>100.5880898</v>
      </c>
      <c r="V107" s="51" t="s">
        <v>1906</v>
      </c>
      <c r="W107" s="53" t="s">
        <v>5786</v>
      </c>
      <c r="X107" s="51" t="s">
        <v>3565</v>
      </c>
      <c r="Z107" s="51" t="s">
        <v>1950</v>
      </c>
      <c r="AA107" s="54"/>
    </row>
    <row r="108">
      <c r="A108" s="51" t="s">
        <v>5801</v>
      </c>
      <c r="B108" s="51" t="s">
        <v>341</v>
      </c>
      <c r="C108" s="51" t="s">
        <v>5802</v>
      </c>
      <c r="D108" s="51" t="s">
        <v>851</v>
      </c>
      <c r="E108" s="52">
        <v>50.0</v>
      </c>
      <c r="F108" s="52">
        <v>5.0</v>
      </c>
      <c r="G108" s="52">
        <v>45.0</v>
      </c>
      <c r="H108" s="51" t="s">
        <v>854</v>
      </c>
      <c r="I108" s="51" t="s">
        <v>855</v>
      </c>
      <c r="J108" s="53" t="s">
        <v>5803</v>
      </c>
      <c r="K108" s="54"/>
      <c r="M108" s="51" t="s">
        <v>5696</v>
      </c>
      <c r="N108" s="51" t="s">
        <v>5809</v>
      </c>
      <c r="O108" s="51" t="s">
        <v>890</v>
      </c>
      <c r="P108" s="51" t="b">
        <v>0</v>
      </c>
      <c r="Q108" s="51" t="s">
        <v>892</v>
      </c>
      <c r="R108" s="53" t="s">
        <v>896</v>
      </c>
      <c r="S108" s="51" t="s">
        <v>5812</v>
      </c>
      <c r="T108" s="62">
        <v>13.6711509</v>
      </c>
      <c r="U108" s="62">
        <v>100.604231</v>
      </c>
      <c r="V108" s="51" t="s">
        <v>1906</v>
      </c>
      <c r="W108" s="53" t="s">
        <v>5816</v>
      </c>
      <c r="X108" s="51" t="s">
        <v>3565</v>
      </c>
      <c r="Z108" s="51" t="s">
        <v>1950</v>
      </c>
      <c r="AA108" s="54"/>
    </row>
    <row r="109">
      <c r="A109" s="51" t="s">
        <v>5835</v>
      </c>
      <c r="B109" s="51" t="s">
        <v>341</v>
      </c>
      <c r="C109" s="51" t="s">
        <v>5836</v>
      </c>
      <c r="D109" s="51" t="s">
        <v>851</v>
      </c>
      <c r="E109" s="52">
        <v>50.0</v>
      </c>
      <c r="F109" s="52">
        <v>0.0</v>
      </c>
      <c r="G109" s="52">
        <v>50.0</v>
      </c>
      <c r="H109" s="51" t="s">
        <v>854</v>
      </c>
      <c r="I109" s="51" t="s">
        <v>855</v>
      </c>
      <c r="J109" s="53" t="s">
        <v>5837</v>
      </c>
      <c r="K109" s="54"/>
      <c r="M109" s="51" t="s">
        <v>5696</v>
      </c>
      <c r="N109" s="51" t="s">
        <v>5696</v>
      </c>
      <c r="O109" s="51" t="s">
        <v>890</v>
      </c>
      <c r="P109" s="51" t="b">
        <v>0</v>
      </c>
      <c r="Q109" s="51" t="s">
        <v>892</v>
      </c>
      <c r="R109" s="53" t="s">
        <v>896</v>
      </c>
      <c r="S109" s="51" t="s">
        <v>5843</v>
      </c>
      <c r="T109" s="62">
        <v>13.6678985</v>
      </c>
      <c r="U109" s="62">
        <v>100.6436335</v>
      </c>
      <c r="V109" s="51" t="s">
        <v>1906</v>
      </c>
      <c r="W109" s="53" t="s">
        <v>5845</v>
      </c>
      <c r="X109" s="51" t="s">
        <v>3565</v>
      </c>
      <c r="Z109" s="51" t="s">
        <v>1950</v>
      </c>
      <c r="AA109" s="54"/>
    </row>
    <row r="110">
      <c r="A110" s="51" t="s">
        <v>5864</v>
      </c>
      <c r="B110" s="51" t="s">
        <v>341</v>
      </c>
      <c r="C110" s="51" t="s">
        <v>5865</v>
      </c>
      <c r="D110" s="51" t="s">
        <v>851</v>
      </c>
      <c r="E110" s="52">
        <v>20.0</v>
      </c>
      <c r="F110" s="52">
        <v>15.0</v>
      </c>
      <c r="G110" s="52">
        <v>5.0</v>
      </c>
      <c r="H110" s="51" t="s">
        <v>854</v>
      </c>
      <c r="I110" s="51" t="s">
        <v>855</v>
      </c>
      <c r="J110" s="53" t="s">
        <v>5866</v>
      </c>
      <c r="K110" s="54"/>
      <c r="M110" s="51" t="s">
        <v>5696</v>
      </c>
      <c r="N110" s="51" t="s">
        <v>5872</v>
      </c>
      <c r="O110" s="51" t="s">
        <v>890</v>
      </c>
      <c r="P110" s="51" t="b">
        <v>0</v>
      </c>
      <c r="Q110" s="51" t="s">
        <v>892</v>
      </c>
      <c r="R110" s="53" t="s">
        <v>896</v>
      </c>
      <c r="S110" s="51" t="s">
        <v>5873</v>
      </c>
      <c r="T110" s="62">
        <v>13.6749942</v>
      </c>
      <c r="U110" s="62">
        <v>100.6190601</v>
      </c>
      <c r="V110" s="51" t="s">
        <v>1906</v>
      </c>
      <c r="W110" s="53" t="s">
        <v>5877</v>
      </c>
      <c r="X110" s="51" t="s">
        <v>3565</v>
      </c>
      <c r="Z110" s="51" t="s">
        <v>1950</v>
      </c>
      <c r="AA110" s="54"/>
    </row>
    <row r="111">
      <c r="A111" s="51" t="s">
        <v>5893</v>
      </c>
      <c r="B111" s="51" t="s">
        <v>341</v>
      </c>
      <c r="C111" s="51" t="s">
        <v>5894</v>
      </c>
      <c r="D111" s="51" t="s">
        <v>851</v>
      </c>
      <c r="E111" s="52">
        <v>70.0</v>
      </c>
      <c r="F111" s="52">
        <v>0.0</v>
      </c>
      <c r="G111" s="52">
        <v>70.0</v>
      </c>
      <c r="H111" s="51" t="s">
        <v>854</v>
      </c>
      <c r="I111" s="51" t="s">
        <v>855</v>
      </c>
      <c r="J111" s="53" t="s">
        <v>5895</v>
      </c>
      <c r="K111" s="54"/>
      <c r="M111" s="51" t="s">
        <v>5696</v>
      </c>
      <c r="N111" s="51" t="s">
        <v>5901</v>
      </c>
      <c r="O111" s="51" t="s">
        <v>890</v>
      </c>
      <c r="P111" s="51" t="b">
        <v>0</v>
      </c>
      <c r="Q111" s="51" t="s">
        <v>892</v>
      </c>
      <c r="R111" s="53" t="s">
        <v>896</v>
      </c>
      <c r="S111" s="51" t="s">
        <v>5904</v>
      </c>
      <c r="T111" s="62">
        <v>13.6637015</v>
      </c>
      <c r="U111" s="62">
        <v>100.5976449</v>
      </c>
      <c r="V111" s="51" t="s">
        <v>1906</v>
      </c>
      <c r="W111" s="53" t="s">
        <v>5907</v>
      </c>
      <c r="X111" s="51" t="s">
        <v>3565</v>
      </c>
      <c r="Z111" s="51" t="s">
        <v>1950</v>
      </c>
      <c r="AA111" s="54"/>
    </row>
    <row r="112">
      <c r="A112" s="51" t="s">
        <v>5920</v>
      </c>
      <c r="B112" s="51" t="s">
        <v>1135</v>
      </c>
      <c r="C112" s="51" t="s">
        <v>5921</v>
      </c>
      <c r="D112" s="51" t="s">
        <v>851</v>
      </c>
      <c r="E112" s="52">
        <v>100.0</v>
      </c>
      <c r="F112" s="52">
        <v>0.0</v>
      </c>
      <c r="G112" s="52">
        <v>100.0</v>
      </c>
      <c r="H112" s="51" t="s">
        <v>854</v>
      </c>
      <c r="I112" s="51" t="s">
        <v>855</v>
      </c>
      <c r="J112" s="53" t="s">
        <v>5922</v>
      </c>
      <c r="K112" s="54"/>
      <c r="M112" s="51" t="s">
        <v>5927</v>
      </c>
      <c r="N112" s="51" t="s">
        <v>5927</v>
      </c>
      <c r="O112" s="51" t="s">
        <v>890</v>
      </c>
      <c r="P112" s="51" t="b">
        <v>0</v>
      </c>
      <c r="Q112" s="51" t="s">
        <v>892</v>
      </c>
      <c r="R112" s="53" t="s">
        <v>896</v>
      </c>
      <c r="S112" s="51" t="s">
        <v>5928</v>
      </c>
      <c r="T112" s="62">
        <v>13.7321799</v>
      </c>
      <c r="U112" s="62">
        <v>100.5287698</v>
      </c>
      <c r="V112" s="51" t="s">
        <v>926</v>
      </c>
      <c r="W112" s="53" t="s">
        <v>5929</v>
      </c>
      <c r="X112" s="51" t="s">
        <v>4480</v>
      </c>
      <c r="Y112" s="53" t="s">
        <v>5929</v>
      </c>
      <c r="Z112" s="51" t="s">
        <v>975</v>
      </c>
      <c r="AA112" s="53" t="s">
        <v>5948</v>
      </c>
      <c r="AB112" s="51" t="s">
        <v>5967</v>
      </c>
      <c r="AC112" s="51" t="s">
        <v>5968</v>
      </c>
      <c r="AD112" s="51" t="s">
        <v>4480</v>
      </c>
    </row>
    <row r="113">
      <c r="A113" s="51" t="s">
        <v>5970</v>
      </c>
      <c r="B113" s="51" t="s">
        <v>1135</v>
      </c>
      <c r="C113" s="51" t="s">
        <v>5971</v>
      </c>
      <c r="D113" s="51" t="s">
        <v>851</v>
      </c>
      <c r="E113" s="52">
        <v>50.0</v>
      </c>
      <c r="F113" s="52">
        <v>0.0</v>
      </c>
      <c r="G113" s="52">
        <v>50.0</v>
      </c>
      <c r="H113" s="51" t="s">
        <v>854</v>
      </c>
      <c r="I113" s="51" t="s">
        <v>855</v>
      </c>
      <c r="J113" s="53" t="s">
        <v>5972</v>
      </c>
      <c r="M113" s="51" t="s">
        <v>5927</v>
      </c>
      <c r="N113" s="51" t="s">
        <v>5927</v>
      </c>
      <c r="O113" s="51" t="s">
        <v>890</v>
      </c>
      <c r="P113" s="51" t="b">
        <v>0</v>
      </c>
      <c r="Q113" s="51" t="s">
        <v>892</v>
      </c>
      <c r="R113" s="53" t="s">
        <v>896</v>
      </c>
      <c r="S113" s="51" t="s">
        <v>5978</v>
      </c>
      <c r="T113" s="62">
        <v>13.7317999</v>
      </c>
      <c r="U113" s="62">
        <v>100.5196229</v>
      </c>
      <c r="V113" s="51" t="s">
        <v>926</v>
      </c>
      <c r="W113" s="53" t="s">
        <v>5981</v>
      </c>
      <c r="X113" s="51" t="s">
        <v>4480</v>
      </c>
      <c r="Y113" s="53" t="s">
        <v>5981</v>
      </c>
      <c r="Z113" s="51" t="s">
        <v>975</v>
      </c>
      <c r="AA113" s="53" t="s">
        <v>5997</v>
      </c>
      <c r="AB113" s="51" t="s">
        <v>6015</v>
      </c>
      <c r="AC113" s="51" t="s">
        <v>6016</v>
      </c>
      <c r="AD113" s="51" t="s">
        <v>4480</v>
      </c>
    </row>
    <row r="114">
      <c r="A114" s="51" t="s">
        <v>6017</v>
      </c>
      <c r="B114" s="51" t="s">
        <v>162</v>
      </c>
      <c r="C114" s="51" t="s">
        <v>6018</v>
      </c>
      <c r="D114" s="51" t="s">
        <v>851</v>
      </c>
      <c r="E114" s="52">
        <v>80.0</v>
      </c>
      <c r="F114" s="52">
        <v>0.0</v>
      </c>
      <c r="G114" s="52">
        <v>80.0</v>
      </c>
      <c r="H114" s="51" t="s">
        <v>854</v>
      </c>
      <c r="I114" s="51" t="s">
        <v>855</v>
      </c>
      <c r="J114" s="53" t="s">
        <v>6019</v>
      </c>
      <c r="M114" s="51" t="s">
        <v>6021</v>
      </c>
      <c r="N114" s="51" t="s">
        <v>6021</v>
      </c>
      <c r="O114" s="51" t="s">
        <v>890</v>
      </c>
      <c r="P114" s="51" t="b">
        <v>0</v>
      </c>
      <c r="Q114" s="51" t="s">
        <v>892</v>
      </c>
      <c r="R114" s="53" t="s">
        <v>896</v>
      </c>
      <c r="S114" s="51" t="s">
        <v>6022</v>
      </c>
      <c r="T114" s="62">
        <v>13.6809619</v>
      </c>
      <c r="U114" s="62">
        <v>100.3916666</v>
      </c>
      <c r="V114" s="51" t="s">
        <v>926</v>
      </c>
      <c r="W114" s="53" t="s">
        <v>6023</v>
      </c>
      <c r="X114" s="51" t="s">
        <v>4480</v>
      </c>
      <c r="Y114" s="53" t="s">
        <v>6023</v>
      </c>
      <c r="Z114" s="51" t="s">
        <v>975</v>
      </c>
      <c r="AA114" s="53" t="s">
        <v>6024</v>
      </c>
      <c r="AB114" s="51" t="s">
        <v>6025</v>
      </c>
      <c r="AC114" s="51" t="s">
        <v>6026</v>
      </c>
      <c r="AD114" s="51" t="s">
        <v>4480</v>
      </c>
    </row>
    <row r="115">
      <c r="A115" s="51" t="s">
        <v>6027</v>
      </c>
      <c r="B115" s="51" t="s">
        <v>152</v>
      </c>
      <c r="C115" s="51" t="s">
        <v>6028</v>
      </c>
      <c r="D115" s="51" t="s">
        <v>851</v>
      </c>
      <c r="E115" s="52">
        <v>50.0</v>
      </c>
      <c r="F115" s="52">
        <v>10.0</v>
      </c>
      <c r="G115" s="52">
        <v>40.0</v>
      </c>
      <c r="H115" s="51" t="s">
        <v>854</v>
      </c>
      <c r="I115" s="51" t="s">
        <v>855</v>
      </c>
      <c r="J115" s="53" t="s">
        <v>6029</v>
      </c>
      <c r="K115" s="51" t="s">
        <v>6030</v>
      </c>
      <c r="M115" s="51" t="s">
        <v>6031</v>
      </c>
      <c r="N115" s="51" t="s">
        <v>6031</v>
      </c>
      <c r="O115" s="51" t="s">
        <v>890</v>
      </c>
      <c r="P115" s="51" t="b">
        <v>0</v>
      </c>
      <c r="Q115" s="51" t="s">
        <v>892</v>
      </c>
      <c r="R115" s="53" t="s">
        <v>896</v>
      </c>
      <c r="S115" s="51" t="s">
        <v>6032</v>
      </c>
      <c r="T115" s="62">
        <v>13.7852767</v>
      </c>
      <c r="U115" s="62">
        <v>100.6696489</v>
      </c>
      <c r="V115" s="51" t="s">
        <v>1906</v>
      </c>
      <c r="W115" s="53" t="s">
        <v>6029</v>
      </c>
      <c r="X115" s="51" t="s">
        <v>972</v>
      </c>
      <c r="Z115" s="51" t="s">
        <v>1950</v>
      </c>
    </row>
    <row r="116">
      <c r="A116" s="51" t="s">
        <v>6033</v>
      </c>
      <c r="B116" s="51" t="s">
        <v>152</v>
      </c>
      <c r="C116" s="51" t="s">
        <v>6034</v>
      </c>
      <c r="D116" s="51" t="s">
        <v>851</v>
      </c>
      <c r="E116" s="52">
        <v>30.0</v>
      </c>
      <c r="F116" s="52">
        <v>11.0</v>
      </c>
      <c r="G116" s="52">
        <v>19.0</v>
      </c>
      <c r="H116" s="51" t="s">
        <v>854</v>
      </c>
      <c r="I116" s="51" t="s">
        <v>855</v>
      </c>
      <c r="J116" s="53" t="s">
        <v>6035</v>
      </c>
      <c r="K116" s="51" t="s">
        <v>6030</v>
      </c>
      <c r="M116" s="51" t="s">
        <v>6031</v>
      </c>
      <c r="N116" s="51" t="s">
        <v>6036</v>
      </c>
      <c r="O116" s="51" t="s">
        <v>890</v>
      </c>
      <c r="P116" s="51" t="b">
        <v>0</v>
      </c>
      <c r="Q116" s="51" t="s">
        <v>892</v>
      </c>
      <c r="R116" s="53" t="s">
        <v>896</v>
      </c>
      <c r="S116" s="51" t="s">
        <v>6037</v>
      </c>
      <c r="T116" s="62">
        <v>13.8183001</v>
      </c>
      <c r="U116" s="62">
        <v>100.6343372</v>
      </c>
      <c r="V116" s="51" t="s">
        <v>1906</v>
      </c>
      <c r="W116" s="53" t="s">
        <v>6035</v>
      </c>
      <c r="X116" s="51" t="s">
        <v>972</v>
      </c>
      <c r="Z116" s="51" t="s">
        <v>1950</v>
      </c>
    </row>
    <row r="117">
      <c r="A117" s="51" t="s">
        <v>6038</v>
      </c>
      <c r="B117" s="51" t="s">
        <v>152</v>
      </c>
      <c r="C117" s="51" t="s">
        <v>6039</v>
      </c>
      <c r="D117" s="51" t="s">
        <v>851</v>
      </c>
      <c r="E117" s="52">
        <v>0.0</v>
      </c>
      <c r="F117" s="52">
        <v>0.0</v>
      </c>
      <c r="G117" s="52">
        <v>0.0</v>
      </c>
      <c r="H117" s="51" t="s">
        <v>854</v>
      </c>
      <c r="I117" s="51" t="s">
        <v>855</v>
      </c>
      <c r="J117" s="53" t="s">
        <v>6040</v>
      </c>
      <c r="K117" s="51" t="s">
        <v>6041</v>
      </c>
      <c r="M117" s="51" t="s">
        <v>6031</v>
      </c>
      <c r="N117" s="51" t="s">
        <v>6031</v>
      </c>
      <c r="O117" s="51" t="s">
        <v>890</v>
      </c>
      <c r="P117" s="51" t="b">
        <v>0</v>
      </c>
      <c r="Q117" s="51" t="s">
        <v>892</v>
      </c>
      <c r="R117" s="53" t="s">
        <v>896</v>
      </c>
      <c r="S117" s="51" t="s">
        <v>6042</v>
      </c>
      <c r="T117" s="62">
        <v>13.8032163</v>
      </c>
      <c r="U117" s="62">
        <v>100.6492248</v>
      </c>
      <c r="V117" s="51" t="s">
        <v>1906</v>
      </c>
      <c r="W117" s="53" t="s">
        <v>6040</v>
      </c>
      <c r="X117" s="51" t="s">
        <v>972</v>
      </c>
      <c r="Z117" s="51" t="s">
        <v>1950</v>
      </c>
    </row>
    <row r="118">
      <c r="A118" s="51" t="s">
        <v>6043</v>
      </c>
      <c r="B118" s="51" t="s">
        <v>152</v>
      </c>
      <c r="C118" s="51" t="s">
        <v>6044</v>
      </c>
      <c r="D118" s="51" t="s">
        <v>851</v>
      </c>
      <c r="E118" s="52">
        <v>0.0</v>
      </c>
      <c r="F118" s="52">
        <v>0.0</v>
      </c>
      <c r="G118" s="52">
        <v>0.0</v>
      </c>
      <c r="H118" s="51" t="s">
        <v>854</v>
      </c>
      <c r="I118" s="51" t="s">
        <v>855</v>
      </c>
      <c r="J118" s="53" t="s">
        <v>6045</v>
      </c>
      <c r="K118" s="51" t="s">
        <v>6030</v>
      </c>
      <c r="M118" s="51" t="s">
        <v>6031</v>
      </c>
      <c r="N118" s="51" t="s">
        <v>6031</v>
      </c>
      <c r="O118" s="51" t="s">
        <v>890</v>
      </c>
      <c r="P118" s="51" t="b">
        <v>0</v>
      </c>
      <c r="Q118" s="51" t="s">
        <v>892</v>
      </c>
      <c r="R118" s="53" t="s">
        <v>896</v>
      </c>
      <c r="S118" s="51" t="s">
        <v>6046</v>
      </c>
      <c r="T118" s="62">
        <v>13.8336382</v>
      </c>
      <c r="U118" s="62">
        <v>100.6526429</v>
      </c>
      <c r="V118" s="51" t="s">
        <v>1906</v>
      </c>
      <c r="W118" s="53" t="s">
        <v>6045</v>
      </c>
      <c r="X118" s="51" t="s">
        <v>972</v>
      </c>
      <c r="Z118" s="51" t="s">
        <v>1950</v>
      </c>
    </row>
    <row r="119">
      <c r="A119" s="51" t="s">
        <v>6047</v>
      </c>
      <c r="B119" s="51" t="s">
        <v>602</v>
      </c>
      <c r="C119" s="51" t="s">
        <v>6048</v>
      </c>
      <c r="D119" s="51" t="s">
        <v>851</v>
      </c>
      <c r="E119" s="52">
        <v>500.0</v>
      </c>
      <c r="F119" s="52">
        <v>88.0</v>
      </c>
      <c r="G119" s="52">
        <v>412.0</v>
      </c>
      <c r="H119" s="51" t="s">
        <v>854</v>
      </c>
      <c r="I119" s="51" t="s">
        <v>855</v>
      </c>
      <c r="J119" s="53" t="s">
        <v>6049</v>
      </c>
      <c r="K119" s="51" t="s">
        <v>6050</v>
      </c>
      <c r="M119" s="51" t="s">
        <v>6051</v>
      </c>
      <c r="N119" s="51" t="s">
        <v>6051</v>
      </c>
      <c r="O119" s="51" t="s">
        <v>890</v>
      </c>
      <c r="P119" s="51" t="b">
        <v>0</v>
      </c>
      <c r="Q119" s="51" t="s">
        <v>892</v>
      </c>
      <c r="R119" s="53" t="s">
        <v>896</v>
      </c>
      <c r="S119" s="51" t="s">
        <v>6052</v>
      </c>
      <c r="T119" s="62">
        <v>13.7172432</v>
      </c>
      <c r="U119" s="62">
        <v>100.6946855</v>
      </c>
      <c r="V119" s="51" t="s">
        <v>926</v>
      </c>
      <c r="W119" s="53" t="s">
        <v>6053</v>
      </c>
      <c r="X119" s="51" t="s">
        <v>4480</v>
      </c>
      <c r="Y119" s="53" t="s">
        <v>6053</v>
      </c>
      <c r="Z119" s="51" t="s">
        <v>975</v>
      </c>
      <c r="AA119" s="53" t="s">
        <v>6054</v>
      </c>
      <c r="AB119" s="51" t="s">
        <v>6055</v>
      </c>
      <c r="AC119" s="51" t="s">
        <v>6056</v>
      </c>
      <c r="AD119" s="51" t="s">
        <v>4480</v>
      </c>
    </row>
    <row r="120">
      <c r="A120" s="51" t="s">
        <v>6057</v>
      </c>
      <c r="B120" s="51" t="s">
        <v>602</v>
      </c>
      <c r="C120" s="51" t="s">
        <v>6058</v>
      </c>
      <c r="D120" s="51" t="s">
        <v>851</v>
      </c>
      <c r="E120" s="52">
        <v>50.0</v>
      </c>
      <c r="F120" s="52">
        <v>10.0</v>
      </c>
      <c r="G120" s="52">
        <v>40.0</v>
      </c>
      <c r="H120" s="51" t="s">
        <v>854</v>
      </c>
      <c r="I120" s="51" t="s">
        <v>855</v>
      </c>
      <c r="J120" s="53" t="s">
        <v>6059</v>
      </c>
      <c r="K120" s="54"/>
      <c r="M120" s="51" t="s">
        <v>6060</v>
      </c>
      <c r="N120" s="51" t="s">
        <v>6060</v>
      </c>
      <c r="O120" s="51" t="s">
        <v>890</v>
      </c>
      <c r="P120" s="51" t="b">
        <v>0</v>
      </c>
      <c r="Q120" s="51" t="s">
        <v>892</v>
      </c>
      <c r="R120" s="53" t="s">
        <v>896</v>
      </c>
      <c r="S120" s="51" t="s">
        <v>6061</v>
      </c>
      <c r="T120" s="62">
        <v>13.683518</v>
      </c>
      <c r="U120" s="62">
        <v>100.6652647</v>
      </c>
      <c r="V120" s="51" t="s">
        <v>926</v>
      </c>
      <c r="W120" s="53" t="s">
        <v>6062</v>
      </c>
      <c r="X120" s="51" t="s">
        <v>4480</v>
      </c>
      <c r="Y120" s="53" t="s">
        <v>6062</v>
      </c>
      <c r="Z120" s="51" t="s">
        <v>975</v>
      </c>
      <c r="AA120" s="53" t="s">
        <v>6063</v>
      </c>
      <c r="AB120" s="51" t="s">
        <v>6064</v>
      </c>
      <c r="AC120" s="51" t="s">
        <v>6065</v>
      </c>
      <c r="AD120" s="51" t="s">
        <v>4480</v>
      </c>
    </row>
    <row r="121">
      <c r="A121" s="51" t="s">
        <v>6066</v>
      </c>
      <c r="B121" s="51" t="s">
        <v>360</v>
      </c>
      <c r="C121" s="51" t="s">
        <v>6067</v>
      </c>
      <c r="D121" s="51" t="s">
        <v>851</v>
      </c>
      <c r="E121" s="52">
        <v>50.0</v>
      </c>
      <c r="F121" s="52">
        <v>0.0</v>
      </c>
      <c r="G121" s="52">
        <v>50.0</v>
      </c>
      <c r="H121" s="51" t="s">
        <v>854</v>
      </c>
      <c r="I121" s="51" t="s">
        <v>855</v>
      </c>
      <c r="J121" s="51" t="s">
        <v>6068</v>
      </c>
      <c r="K121" s="51" t="s">
        <v>6069</v>
      </c>
      <c r="M121" s="51" t="s">
        <v>6070</v>
      </c>
      <c r="N121" s="51" t="s">
        <v>6070</v>
      </c>
      <c r="O121" s="51" t="s">
        <v>890</v>
      </c>
      <c r="P121" s="51" t="b">
        <v>0</v>
      </c>
      <c r="Q121" s="51" t="s">
        <v>892</v>
      </c>
      <c r="R121" s="53" t="s">
        <v>896</v>
      </c>
      <c r="S121" s="51" t="s">
        <v>6071</v>
      </c>
      <c r="T121" s="62">
        <v>13.795375</v>
      </c>
      <c r="U121" s="62">
        <v>100.5490804</v>
      </c>
      <c r="V121" s="51" t="s">
        <v>926</v>
      </c>
      <c r="W121" s="53" t="s">
        <v>6072</v>
      </c>
      <c r="X121" s="51" t="s">
        <v>4480</v>
      </c>
      <c r="Y121" s="53" t="s">
        <v>6072</v>
      </c>
      <c r="Z121" s="51" t="s">
        <v>975</v>
      </c>
      <c r="AA121" s="53" t="s">
        <v>6073</v>
      </c>
      <c r="AB121" s="51" t="s">
        <v>6074</v>
      </c>
      <c r="AC121" s="51" t="s">
        <v>6075</v>
      </c>
      <c r="AD121" s="51" t="s">
        <v>4480</v>
      </c>
    </row>
    <row r="122">
      <c r="A122" s="51" t="s">
        <v>6076</v>
      </c>
      <c r="B122" s="51" t="s">
        <v>366</v>
      </c>
      <c r="C122" s="51" t="s">
        <v>6077</v>
      </c>
      <c r="D122" s="51" t="s">
        <v>851</v>
      </c>
      <c r="E122" s="52">
        <v>30.0</v>
      </c>
      <c r="F122" s="52">
        <v>0.0</v>
      </c>
      <c r="G122" s="52">
        <v>30.0</v>
      </c>
      <c r="H122" s="51" t="s">
        <v>854</v>
      </c>
      <c r="I122" s="51" t="s">
        <v>855</v>
      </c>
      <c r="J122" s="54"/>
      <c r="K122" s="54"/>
      <c r="M122" s="51" t="s">
        <v>6078</v>
      </c>
      <c r="N122" s="51" t="s">
        <v>6078</v>
      </c>
      <c r="O122" s="51" t="s">
        <v>890</v>
      </c>
      <c r="P122" s="51" t="b">
        <v>0</v>
      </c>
      <c r="Q122" s="51" t="s">
        <v>892</v>
      </c>
      <c r="R122" s="53" t="s">
        <v>896</v>
      </c>
      <c r="S122" s="51" t="s">
        <v>6079</v>
      </c>
      <c r="T122" s="62">
        <v>13.6876336</v>
      </c>
      <c r="U122" s="62">
        <v>100.6147515</v>
      </c>
      <c r="V122" s="51" t="s">
        <v>926</v>
      </c>
      <c r="W122" s="53" t="s">
        <v>6080</v>
      </c>
      <c r="X122" s="51" t="s">
        <v>6081</v>
      </c>
      <c r="Y122" s="53" t="s">
        <v>6080</v>
      </c>
      <c r="Z122" s="51" t="s">
        <v>975</v>
      </c>
      <c r="AA122" s="53" t="s">
        <v>6082</v>
      </c>
      <c r="AB122" s="51" t="s">
        <v>6083</v>
      </c>
      <c r="AC122" s="51" t="s">
        <v>6084</v>
      </c>
      <c r="AD122" s="51" t="s">
        <v>6081</v>
      </c>
    </row>
    <row r="123">
      <c r="A123" s="51" t="s">
        <v>6085</v>
      </c>
      <c r="B123" s="51" t="s">
        <v>366</v>
      </c>
      <c r="C123" s="51" t="s">
        <v>6086</v>
      </c>
      <c r="D123" s="51" t="s">
        <v>851</v>
      </c>
      <c r="E123" s="52">
        <v>50.0</v>
      </c>
      <c r="F123" s="52">
        <v>0.0</v>
      </c>
      <c r="G123" s="52">
        <v>50.0</v>
      </c>
      <c r="H123" s="51" t="s">
        <v>854</v>
      </c>
      <c r="I123" s="51" t="s">
        <v>855</v>
      </c>
      <c r="J123" s="54"/>
      <c r="K123" s="54"/>
      <c r="M123" s="51" t="s">
        <v>6078</v>
      </c>
      <c r="N123" s="51" t="s">
        <v>6078</v>
      </c>
      <c r="O123" s="51" t="s">
        <v>890</v>
      </c>
      <c r="P123" s="51" t="b">
        <v>0</v>
      </c>
      <c r="Q123" s="51" t="s">
        <v>892</v>
      </c>
      <c r="R123" s="53" t="s">
        <v>896</v>
      </c>
      <c r="S123" s="51" t="s">
        <v>6087</v>
      </c>
      <c r="T123" s="62">
        <v>13.6936111</v>
      </c>
      <c r="U123" s="62">
        <v>100.5936112</v>
      </c>
      <c r="V123" s="51" t="s">
        <v>926</v>
      </c>
      <c r="W123" s="53" t="s">
        <v>6088</v>
      </c>
      <c r="X123" s="51" t="s">
        <v>6081</v>
      </c>
      <c r="Y123" s="53" t="s">
        <v>6088</v>
      </c>
      <c r="Z123" s="51" t="s">
        <v>975</v>
      </c>
      <c r="AA123" s="53" t="s">
        <v>6089</v>
      </c>
      <c r="AB123" s="51" t="s">
        <v>6090</v>
      </c>
      <c r="AC123" s="51" t="s">
        <v>6091</v>
      </c>
      <c r="AD123" s="51" t="s">
        <v>6081</v>
      </c>
    </row>
    <row r="124">
      <c r="A124" s="51" t="s">
        <v>6092</v>
      </c>
      <c r="B124" s="51" t="s">
        <v>366</v>
      </c>
      <c r="C124" s="51" t="s">
        <v>6093</v>
      </c>
      <c r="D124" s="51" t="s">
        <v>851</v>
      </c>
      <c r="E124" s="52">
        <v>50.0</v>
      </c>
      <c r="F124" s="52">
        <v>8.0</v>
      </c>
      <c r="G124" s="52">
        <v>42.0</v>
      </c>
      <c r="H124" s="51" t="s">
        <v>854</v>
      </c>
      <c r="I124" s="51" t="s">
        <v>855</v>
      </c>
      <c r="J124" s="54"/>
      <c r="K124" s="54"/>
      <c r="M124" s="51" t="s">
        <v>6078</v>
      </c>
      <c r="N124" s="51" t="s">
        <v>6078</v>
      </c>
      <c r="O124" s="51" t="s">
        <v>890</v>
      </c>
      <c r="P124" s="51" t="b">
        <v>0</v>
      </c>
      <c r="Q124" s="51" t="s">
        <v>892</v>
      </c>
      <c r="R124" s="53" t="s">
        <v>896</v>
      </c>
      <c r="S124" s="51" t="s">
        <v>6094</v>
      </c>
      <c r="T124" s="62">
        <v>13.6911439</v>
      </c>
      <c r="U124" s="62">
        <v>100.6349475</v>
      </c>
      <c r="V124" s="51" t="s">
        <v>926</v>
      </c>
      <c r="W124" s="53" t="s">
        <v>6095</v>
      </c>
      <c r="X124" s="51" t="s">
        <v>6081</v>
      </c>
      <c r="Y124" s="53" t="s">
        <v>6095</v>
      </c>
      <c r="Z124" s="51" t="s">
        <v>975</v>
      </c>
      <c r="AA124" s="53" t="s">
        <v>6096</v>
      </c>
      <c r="AB124" s="51" t="s">
        <v>6097</v>
      </c>
      <c r="AC124" s="51" t="s">
        <v>6098</v>
      </c>
      <c r="AD124" s="51" t="s">
        <v>6081</v>
      </c>
    </row>
    <row r="125">
      <c r="A125" s="51" t="s">
        <v>6099</v>
      </c>
      <c r="B125" s="51" t="s">
        <v>739</v>
      </c>
      <c r="C125" s="51" t="s">
        <v>6100</v>
      </c>
      <c r="D125" s="51" t="s">
        <v>851</v>
      </c>
      <c r="E125" s="52">
        <v>50.0</v>
      </c>
      <c r="F125" s="52">
        <v>32.0</v>
      </c>
      <c r="G125" s="52">
        <v>18.0</v>
      </c>
      <c r="H125" s="51" t="s">
        <v>854</v>
      </c>
      <c r="I125" s="51" t="s">
        <v>855</v>
      </c>
      <c r="J125" s="53" t="s">
        <v>6101</v>
      </c>
      <c r="M125" s="51" t="s">
        <v>6102</v>
      </c>
      <c r="N125" s="51" t="s">
        <v>6103</v>
      </c>
      <c r="O125" s="51" t="s">
        <v>890</v>
      </c>
      <c r="P125" s="51" t="b">
        <v>0</v>
      </c>
      <c r="Q125" s="51" t="s">
        <v>892</v>
      </c>
      <c r="R125" s="53" t="s">
        <v>896</v>
      </c>
      <c r="S125" s="51" t="s">
        <v>6104</v>
      </c>
      <c r="T125" s="62">
        <v>13.8135273</v>
      </c>
      <c r="U125" s="62">
        <v>100.7313091</v>
      </c>
      <c r="V125" s="51" t="s">
        <v>1906</v>
      </c>
      <c r="W125" s="53" t="s">
        <v>6105</v>
      </c>
      <c r="X125" s="51" t="s">
        <v>3565</v>
      </c>
      <c r="Z125" s="51" t="s">
        <v>1950</v>
      </c>
      <c r="AA125" s="54"/>
      <c r="AD125" s="54"/>
    </row>
    <row r="126">
      <c r="A126" s="51" t="s">
        <v>6106</v>
      </c>
      <c r="B126" s="51" t="s">
        <v>739</v>
      </c>
      <c r="C126" s="51" t="s">
        <v>6107</v>
      </c>
      <c r="D126" s="51" t="s">
        <v>851</v>
      </c>
      <c r="E126" s="52">
        <v>100.0</v>
      </c>
      <c r="F126" s="52">
        <v>4.0</v>
      </c>
      <c r="G126" s="52">
        <v>96.0</v>
      </c>
      <c r="H126" s="51" t="s">
        <v>854</v>
      </c>
      <c r="I126" s="51" t="s">
        <v>855</v>
      </c>
      <c r="J126" s="53" t="s">
        <v>6108</v>
      </c>
      <c r="K126" s="54"/>
      <c r="M126" s="51" t="s">
        <v>6102</v>
      </c>
      <c r="N126" s="51" t="s">
        <v>6109</v>
      </c>
      <c r="O126" s="51" t="s">
        <v>890</v>
      </c>
      <c r="P126" s="51" t="b">
        <v>0</v>
      </c>
      <c r="Q126" s="51" t="s">
        <v>892</v>
      </c>
      <c r="R126" s="53" t="s">
        <v>896</v>
      </c>
      <c r="S126" s="51" t="s">
        <v>6110</v>
      </c>
      <c r="T126" s="62">
        <v>13.8036328</v>
      </c>
      <c r="U126" s="62">
        <v>100.7707841</v>
      </c>
      <c r="V126" s="51" t="s">
        <v>1906</v>
      </c>
      <c r="W126" s="53" t="s">
        <v>6111</v>
      </c>
      <c r="X126" s="51" t="s">
        <v>3565</v>
      </c>
      <c r="Z126" s="51" t="s">
        <v>1950</v>
      </c>
      <c r="AA126" s="54"/>
      <c r="AD126" s="54"/>
    </row>
    <row r="127">
      <c r="A127" s="51" t="s">
        <v>6112</v>
      </c>
      <c r="B127" s="51" t="s">
        <v>739</v>
      </c>
      <c r="C127" s="51" t="s">
        <v>6113</v>
      </c>
      <c r="D127" s="51" t="s">
        <v>851</v>
      </c>
      <c r="E127" s="52">
        <v>60.0</v>
      </c>
      <c r="F127" s="52">
        <v>0.0</v>
      </c>
      <c r="G127" s="52">
        <v>60.0</v>
      </c>
      <c r="H127" s="51" t="s">
        <v>854</v>
      </c>
      <c r="I127" s="51" t="s">
        <v>855</v>
      </c>
      <c r="J127" s="53" t="s">
        <v>6114</v>
      </c>
      <c r="M127" s="51" t="s">
        <v>6115</v>
      </c>
      <c r="N127" s="51" t="s">
        <v>6116</v>
      </c>
      <c r="O127" s="51" t="s">
        <v>890</v>
      </c>
      <c r="P127" s="51" t="b">
        <v>0</v>
      </c>
      <c r="Q127" s="51" t="s">
        <v>892</v>
      </c>
      <c r="R127" s="53" t="s">
        <v>896</v>
      </c>
      <c r="S127" s="51" t="s">
        <v>6117</v>
      </c>
      <c r="T127" s="62">
        <v>13.8452949</v>
      </c>
      <c r="U127" s="62">
        <v>100.7956361</v>
      </c>
      <c r="V127" s="51" t="s">
        <v>1906</v>
      </c>
      <c r="W127" s="53" t="s">
        <v>6118</v>
      </c>
      <c r="X127" s="51" t="s">
        <v>3565</v>
      </c>
      <c r="Z127" s="51" t="s">
        <v>1950</v>
      </c>
      <c r="AA127" s="54"/>
      <c r="AD127" s="54"/>
    </row>
    <row r="128">
      <c r="A128" s="51" t="s">
        <v>6119</v>
      </c>
      <c r="B128" s="51" t="s">
        <v>739</v>
      </c>
      <c r="C128" s="51" t="s">
        <v>6120</v>
      </c>
      <c r="D128" s="51" t="s">
        <v>851</v>
      </c>
      <c r="E128" s="52">
        <v>100.0</v>
      </c>
      <c r="F128" s="52">
        <v>15.0</v>
      </c>
      <c r="G128" s="52">
        <v>85.0</v>
      </c>
      <c r="H128" s="51" t="s">
        <v>854</v>
      </c>
      <c r="I128" s="51" t="s">
        <v>855</v>
      </c>
      <c r="J128" s="53" t="s">
        <v>6121</v>
      </c>
      <c r="M128" s="51" t="s">
        <v>6122</v>
      </c>
      <c r="N128" s="51" t="s">
        <v>6123</v>
      </c>
      <c r="O128" s="51" t="s">
        <v>890</v>
      </c>
      <c r="P128" s="51" t="b">
        <v>0</v>
      </c>
      <c r="Q128" s="51" t="s">
        <v>892</v>
      </c>
      <c r="R128" s="53" t="s">
        <v>896</v>
      </c>
      <c r="S128" s="51" t="s">
        <v>6124</v>
      </c>
      <c r="T128" s="62">
        <v>13.8334022</v>
      </c>
      <c r="U128" s="62">
        <v>100.7737621</v>
      </c>
      <c r="V128" s="51" t="s">
        <v>1906</v>
      </c>
      <c r="W128" s="53" t="s">
        <v>6125</v>
      </c>
      <c r="X128" s="51" t="s">
        <v>3565</v>
      </c>
      <c r="Z128" s="51" t="s">
        <v>1950</v>
      </c>
      <c r="AA128" s="54"/>
      <c r="AD128" s="54"/>
    </row>
    <row r="129">
      <c r="A129" s="51" t="s">
        <v>6126</v>
      </c>
      <c r="B129" s="51" t="s">
        <v>739</v>
      </c>
      <c r="C129" s="51" t="s">
        <v>6127</v>
      </c>
      <c r="D129" s="51" t="s">
        <v>851</v>
      </c>
      <c r="E129" s="52">
        <v>100.0</v>
      </c>
      <c r="F129" s="52">
        <v>57.0</v>
      </c>
      <c r="G129" s="52">
        <v>43.0</v>
      </c>
      <c r="H129" s="51" t="s">
        <v>854</v>
      </c>
      <c r="I129" s="51" t="s">
        <v>855</v>
      </c>
      <c r="J129" s="53" t="s">
        <v>6128</v>
      </c>
      <c r="K129" s="54"/>
      <c r="M129" s="51" t="s">
        <v>6115</v>
      </c>
      <c r="N129" s="51" t="s">
        <v>6129</v>
      </c>
      <c r="O129" s="51" t="s">
        <v>890</v>
      </c>
      <c r="P129" s="51" t="b">
        <v>0</v>
      </c>
      <c r="Q129" s="51" t="s">
        <v>892</v>
      </c>
      <c r="R129" s="53" t="s">
        <v>896</v>
      </c>
      <c r="S129" s="51" t="s">
        <v>6130</v>
      </c>
      <c r="T129" s="62">
        <v>13.8040534</v>
      </c>
      <c r="U129" s="62">
        <v>100.7020898</v>
      </c>
      <c r="V129" s="51" t="s">
        <v>1906</v>
      </c>
      <c r="W129" s="53" t="s">
        <v>6131</v>
      </c>
      <c r="X129" s="51" t="s">
        <v>3565</v>
      </c>
      <c r="Z129" s="51" t="s">
        <v>1950</v>
      </c>
      <c r="AA129" s="54"/>
      <c r="AD129" s="54"/>
    </row>
    <row r="130">
      <c r="A130" s="51" t="s">
        <v>6132</v>
      </c>
      <c r="B130" s="51" t="s">
        <v>2385</v>
      </c>
      <c r="C130" s="51" t="s">
        <v>6133</v>
      </c>
      <c r="D130" s="51" t="s">
        <v>851</v>
      </c>
      <c r="E130" s="52">
        <v>30.0</v>
      </c>
      <c r="F130" s="52">
        <v>0.0</v>
      </c>
      <c r="G130" s="52">
        <v>30.0</v>
      </c>
      <c r="H130" s="51" t="s">
        <v>854</v>
      </c>
      <c r="I130" s="51" t="s">
        <v>855</v>
      </c>
      <c r="J130" s="53" t="s">
        <v>6134</v>
      </c>
      <c r="M130" s="51" t="s">
        <v>6135</v>
      </c>
      <c r="N130" s="51" t="s">
        <v>6136</v>
      </c>
      <c r="O130" s="51" t="s">
        <v>890</v>
      </c>
      <c r="P130" s="51" t="b">
        <v>0</v>
      </c>
      <c r="Q130" s="51" t="s">
        <v>892</v>
      </c>
      <c r="R130" s="53" t="s">
        <v>896</v>
      </c>
      <c r="S130" s="51" t="s">
        <v>6137</v>
      </c>
      <c r="T130" s="62">
        <v>13.6805669</v>
      </c>
      <c r="U130" s="62">
        <v>100.5484888</v>
      </c>
      <c r="V130" s="51" t="s">
        <v>926</v>
      </c>
      <c r="W130" s="53" t="s">
        <v>6138</v>
      </c>
      <c r="X130" s="51" t="s">
        <v>6081</v>
      </c>
      <c r="Y130" s="53" t="s">
        <v>6138</v>
      </c>
      <c r="Z130" s="51" t="s">
        <v>975</v>
      </c>
      <c r="AA130" s="53" t="s">
        <v>6139</v>
      </c>
      <c r="AB130" s="51" t="s">
        <v>6140</v>
      </c>
      <c r="AC130" s="51" t="s">
        <v>6141</v>
      </c>
      <c r="AD130" s="51" t="s">
        <v>6081</v>
      </c>
    </row>
    <row r="131">
      <c r="A131" s="51" t="s">
        <v>6142</v>
      </c>
      <c r="B131" s="51" t="s">
        <v>6143</v>
      </c>
      <c r="C131" s="51" t="s">
        <v>6144</v>
      </c>
      <c r="D131" s="51" t="s">
        <v>851</v>
      </c>
      <c r="E131" s="52">
        <v>50.0</v>
      </c>
      <c r="F131" s="52">
        <v>0.0</v>
      </c>
      <c r="G131" s="52">
        <v>50.0</v>
      </c>
      <c r="H131" s="51" t="s">
        <v>854</v>
      </c>
      <c r="I131" s="51" t="s">
        <v>855</v>
      </c>
      <c r="J131" s="53" t="s">
        <v>6145</v>
      </c>
      <c r="M131" s="51" t="s">
        <v>6146</v>
      </c>
      <c r="N131" s="51" t="s">
        <v>6147</v>
      </c>
      <c r="O131" s="51" t="s">
        <v>890</v>
      </c>
      <c r="P131" s="51" t="b">
        <v>0</v>
      </c>
      <c r="Q131" s="51" t="s">
        <v>892</v>
      </c>
      <c r="R131" s="53" t="s">
        <v>896</v>
      </c>
      <c r="S131" s="51" t="s">
        <v>6148</v>
      </c>
      <c r="T131" s="62">
        <v>13.669489</v>
      </c>
      <c r="U131" s="62">
        <v>100.492228</v>
      </c>
      <c r="V131" s="51" t="s">
        <v>1906</v>
      </c>
      <c r="W131" s="53" t="s">
        <v>6149</v>
      </c>
      <c r="X131" s="51" t="s">
        <v>3565</v>
      </c>
      <c r="Z131" s="51" t="s">
        <v>1950</v>
      </c>
      <c r="AA131" s="54"/>
      <c r="AD131" s="54"/>
    </row>
    <row r="132">
      <c r="A132" s="51" t="s">
        <v>6150</v>
      </c>
      <c r="B132" s="51" t="s">
        <v>6143</v>
      </c>
      <c r="C132" s="51" t="s">
        <v>6151</v>
      </c>
      <c r="D132" s="51" t="s">
        <v>851</v>
      </c>
      <c r="E132" s="52">
        <v>40.0</v>
      </c>
      <c r="F132" s="52">
        <v>0.0</v>
      </c>
      <c r="G132" s="52">
        <v>40.0</v>
      </c>
      <c r="H132" s="51" t="s">
        <v>854</v>
      </c>
      <c r="I132" s="51" t="s">
        <v>855</v>
      </c>
      <c r="J132" s="53" t="s">
        <v>6152</v>
      </c>
      <c r="M132" s="51" t="s">
        <v>6146</v>
      </c>
      <c r="N132" s="51" t="s">
        <v>6153</v>
      </c>
      <c r="O132" s="51" t="s">
        <v>890</v>
      </c>
      <c r="P132" s="51" t="b">
        <v>0</v>
      </c>
      <c r="Q132" s="51" t="s">
        <v>892</v>
      </c>
      <c r="R132" s="53" t="s">
        <v>896</v>
      </c>
      <c r="S132" s="51" t="s">
        <v>6154</v>
      </c>
      <c r="T132" s="62">
        <v>13.6823633</v>
      </c>
      <c r="U132" s="62">
        <v>100.4953981</v>
      </c>
      <c r="V132" s="51" t="s">
        <v>1906</v>
      </c>
      <c r="W132" s="53" t="s">
        <v>6155</v>
      </c>
      <c r="X132" s="51" t="s">
        <v>3565</v>
      </c>
      <c r="Z132" s="51" t="s">
        <v>1950</v>
      </c>
      <c r="AA132" s="54"/>
      <c r="AD132" s="54"/>
    </row>
    <row r="133">
      <c r="A133" s="51" t="s">
        <v>6156</v>
      </c>
      <c r="B133" s="51" t="s">
        <v>6143</v>
      </c>
      <c r="C133" s="51" t="s">
        <v>6157</v>
      </c>
      <c r="D133" s="51" t="s">
        <v>851</v>
      </c>
      <c r="E133" s="52">
        <v>20.0</v>
      </c>
      <c r="F133" s="52">
        <v>0.0</v>
      </c>
      <c r="G133" s="52">
        <v>20.0</v>
      </c>
      <c r="H133" s="51" t="s">
        <v>854</v>
      </c>
      <c r="I133" s="51" t="s">
        <v>855</v>
      </c>
      <c r="J133" s="53" t="s">
        <v>6158</v>
      </c>
      <c r="M133" s="51" t="s">
        <v>6146</v>
      </c>
      <c r="N133" s="51" t="s">
        <v>6159</v>
      </c>
      <c r="O133" s="51" t="s">
        <v>890</v>
      </c>
      <c r="P133" s="51" t="b">
        <v>0</v>
      </c>
      <c r="Q133" s="51" t="s">
        <v>892</v>
      </c>
      <c r="R133" s="53" t="s">
        <v>896</v>
      </c>
      <c r="S133" s="51" t="s">
        <v>6160</v>
      </c>
      <c r="T133" s="62">
        <v>13.6802305</v>
      </c>
      <c r="U133" s="62">
        <v>100.503847</v>
      </c>
      <c r="V133" s="51" t="s">
        <v>1906</v>
      </c>
      <c r="W133" s="53" t="s">
        <v>6161</v>
      </c>
      <c r="X133" s="51" t="s">
        <v>3565</v>
      </c>
      <c r="Z133" s="51" t="s">
        <v>1950</v>
      </c>
      <c r="AA133" s="54"/>
      <c r="AD133" s="54"/>
    </row>
    <row r="134">
      <c r="A134" s="51" t="s">
        <v>6162</v>
      </c>
      <c r="B134" s="51" t="s">
        <v>6143</v>
      </c>
      <c r="C134" s="51" t="s">
        <v>6163</v>
      </c>
      <c r="D134" s="51" t="s">
        <v>851</v>
      </c>
      <c r="E134" s="52">
        <v>30.0</v>
      </c>
      <c r="F134" s="52">
        <v>0.0</v>
      </c>
      <c r="G134" s="52">
        <v>30.0</v>
      </c>
      <c r="H134" s="51" t="s">
        <v>854</v>
      </c>
      <c r="I134" s="51" t="s">
        <v>855</v>
      </c>
      <c r="J134" s="53" t="s">
        <v>6164</v>
      </c>
      <c r="M134" s="51" t="s">
        <v>6146</v>
      </c>
      <c r="N134" s="51" t="s">
        <v>6165</v>
      </c>
      <c r="O134" s="51" t="s">
        <v>890</v>
      </c>
      <c r="P134" s="51" t="b">
        <v>0</v>
      </c>
      <c r="Q134" s="51" t="s">
        <v>892</v>
      </c>
      <c r="R134" s="53" t="s">
        <v>896</v>
      </c>
      <c r="S134" s="51" t="s">
        <v>6166</v>
      </c>
      <c r="T134" s="62">
        <v>13.6725228</v>
      </c>
      <c r="U134" s="62">
        <v>100.5134091</v>
      </c>
      <c r="V134" s="51" t="s">
        <v>1906</v>
      </c>
      <c r="W134" s="53" t="s">
        <v>6167</v>
      </c>
      <c r="X134" s="51" t="s">
        <v>3565</v>
      </c>
      <c r="Z134" s="51" t="s">
        <v>1950</v>
      </c>
      <c r="AA134" s="54"/>
    </row>
    <row r="135">
      <c r="A135" s="51" t="s">
        <v>6168</v>
      </c>
      <c r="B135" s="51" t="s">
        <v>6143</v>
      </c>
      <c r="C135" s="51" t="s">
        <v>6169</v>
      </c>
      <c r="D135" s="51" t="s">
        <v>851</v>
      </c>
      <c r="E135" s="52">
        <v>40.0</v>
      </c>
      <c r="F135" s="52">
        <v>0.0</v>
      </c>
      <c r="G135" s="52">
        <v>40.0</v>
      </c>
      <c r="H135" s="51" t="s">
        <v>854</v>
      </c>
      <c r="I135" s="51" t="s">
        <v>855</v>
      </c>
      <c r="J135" s="53" t="s">
        <v>6170</v>
      </c>
      <c r="M135" s="51" t="s">
        <v>6146</v>
      </c>
      <c r="N135" s="51" t="s">
        <v>6171</v>
      </c>
      <c r="O135" s="51" t="s">
        <v>890</v>
      </c>
      <c r="P135" s="51" t="b">
        <v>0</v>
      </c>
      <c r="Q135" s="51" t="s">
        <v>892</v>
      </c>
      <c r="R135" s="53" t="s">
        <v>896</v>
      </c>
      <c r="S135" s="51" t="s">
        <v>6172</v>
      </c>
      <c r="T135" s="62">
        <v>13.6733675</v>
      </c>
      <c r="U135" s="62">
        <v>100.5033283</v>
      </c>
      <c r="V135" s="51" t="s">
        <v>1906</v>
      </c>
      <c r="W135" s="53" t="s">
        <v>6173</v>
      </c>
      <c r="X135" s="51" t="s">
        <v>3565</v>
      </c>
      <c r="Z135" s="51" t="s">
        <v>1950</v>
      </c>
      <c r="AA135" s="54"/>
    </row>
    <row r="136">
      <c r="A136" s="51" t="s">
        <v>6174</v>
      </c>
      <c r="B136" s="51" t="s">
        <v>6143</v>
      </c>
      <c r="C136" s="51" t="s">
        <v>6175</v>
      </c>
      <c r="D136" s="51" t="s">
        <v>851</v>
      </c>
      <c r="E136" s="52">
        <v>60.0</v>
      </c>
      <c r="F136" s="52">
        <v>0.0</v>
      </c>
      <c r="G136" s="52">
        <v>60.0</v>
      </c>
      <c r="H136" s="51" t="s">
        <v>854</v>
      </c>
      <c r="I136" s="51" t="s">
        <v>855</v>
      </c>
      <c r="J136" s="53" t="s">
        <v>6176</v>
      </c>
      <c r="M136" s="51" t="s">
        <v>6146</v>
      </c>
      <c r="N136" s="51" t="s">
        <v>6177</v>
      </c>
      <c r="O136" s="51" t="s">
        <v>890</v>
      </c>
      <c r="P136" s="51" t="b">
        <v>0</v>
      </c>
      <c r="Q136" s="51" t="s">
        <v>892</v>
      </c>
      <c r="R136" s="53" t="s">
        <v>896</v>
      </c>
      <c r="S136" s="51" t="s">
        <v>6178</v>
      </c>
      <c r="T136" s="62">
        <v>13.6752393</v>
      </c>
      <c r="U136" s="62">
        <v>100.5196483</v>
      </c>
      <c r="V136" s="51" t="s">
        <v>1906</v>
      </c>
      <c r="W136" s="53" t="s">
        <v>6179</v>
      </c>
      <c r="X136" s="51" t="s">
        <v>3565</v>
      </c>
      <c r="Z136" s="51" t="s">
        <v>1950</v>
      </c>
      <c r="AA136" s="54"/>
    </row>
    <row r="137">
      <c r="A137" s="51" t="s">
        <v>6180</v>
      </c>
      <c r="B137" s="51" t="s">
        <v>308</v>
      </c>
      <c r="C137" s="51" t="s">
        <v>6181</v>
      </c>
      <c r="D137" s="51" t="s">
        <v>851</v>
      </c>
      <c r="E137" s="52">
        <v>100.0</v>
      </c>
      <c r="F137" s="52">
        <v>0.0</v>
      </c>
      <c r="G137" s="52">
        <v>100.0</v>
      </c>
      <c r="H137" s="51" t="s">
        <v>854</v>
      </c>
      <c r="I137" s="51" t="s">
        <v>855</v>
      </c>
      <c r="J137" s="54"/>
      <c r="K137" s="53" t="s">
        <v>6182</v>
      </c>
      <c r="M137" s="51" t="s">
        <v>6183</v>
      </c>
      <c r="N137" s="51" t="s">
        <v>6183</v>
      </c>
      <c r="O137" s="51" t="s">
        <v>890</v>
      </c>
      <c r="P137" s="51" t="b">
        <v>0</v>
      </c>
      <c r="Q137" s="51" t="s">
        <v>892</v>
      </c>
      <c r="R137" s="53" t="s">
        <v>896</v>
      </c>
      <c r="S137" s="51" t="s">
        <v>6184</v>
      </c>
      <c r="T137" s="62">
        <v>13.7215518</v>
      </c>
      <c r="U137" s="62">
        <v>100.781746</v>
      </c>
      <c r="V137" s="51" t="s">
        <v>926</v>
      </c>
      <c r="W137" s="53" t="s">
        <v>6185</v>
      </c>
      <c r="X137" s="51" t="s">
        <v>6081</v>
      </c>
      <c r="Y137" s="53" t="s">
        <v>6185</v>
      </c>
      <c r="Z137" s="51" t="s">
        <v>975</v>
      </c>
      <c r="AA137" s="53" t="s">
        <v>6186</v>
      </c>
      <c r="AB137" s="51" t="s">
        <v>6187</v>
      </c>
      <c r="AC137" s="51" t="s">
        <v>6188</v>
      </c>
      <c r="AD137" s="51" t="s">
        <v>6081</v>
      </c>
    </row>
    <row r="138">
      <c r="A138" s="51" t="s">
        <v>6189</v>
      </c>
      <c r="B138" s="51" t="s">
        <v>308</v>
      </c>
      <c r="C138" s="51" t="s">
        <v>6190</v>
      </c>
      <c r="D138" s="51" t="s">
        <v>851</v>
      </c>
      <c r="E138" s="52">
        <v>1500.0</v>
      </c>
      <c r="F138" s="52">
        <v>490.0</v>
      </c>
      <c r="G138" s="52">
        <v>1010.0</v>
      </c>
      <c r="H138" s="51" t="s">
        <v>854</v>
      </c>
      <c r="I138" s="51" t="s">
        <v>855</v>
      </c>
      <c r="J138" s="53" t="s">
        <v>6191</v>
      </c>
      <c r="M138" s="51" t="s">
        <v>6192</v>
      </c>
      <c r="N138" s="51" t="s">
        <v>6192</v>
      </c>
      <c r="O138" s="51" t="s">
        <v>890</v>
      </c>
      <c r="P138" s="51" t="b">
        <v>0</v>
      </c>
      <c r="Q138" s="51" t="s">
        <v>892</v>
      </c>
      <c r="R138" s="53" t="s">
        <v>896</v>
      </c>
      <c r="S138" s="51" t="s">
        <v>6193</v>
      </c>
      <c r="T138" s="62">
        <v>13.7265549</v>
      </c>
      <c r="U138" s="62">
        <v>100.7792658</v>
      </c>
      <c r="V138" s="51" t="s">
        <v>926</v>
      </c>
      <c r="W138" s="53" t="s">
        <v>6194</v>
      </c>
      <c r="X138" s="51" t="s">
        <v>6081</v>
      </c>
      <c r="Y138" s="53" t="s">
        <v>6194</v>
      </c>
      <c r="Z138" s="51" t="s">
        <v>975</v>
      </c>
      <c r="AA138" s="53" t="s">
        <v>6195</v>
      </c>
      <c r="AB138" s="51" t="s">
        <v>6196</v>
      </c>
      <c r="AC138" s="51" t="s">
        <v>6197</v>
      </c>
      <c r="AD138" s="51" t="s">
        <v>6081</v>
      </c>
    </row>
    <row r="139">
      <c r="A139" s="51" t="s">
        <v>6198</v>
      </c>
      <c r="B139" s="51" t="s">
        <v>308</v>
      </c>
      <c r="C139" s="51" t="s">
        <v>6199</v>
      </c>
      <c r="D139" s="51" t="s">
        <v>851</v>
      </c>
      <c r="E139" s="52">
        <v>20.0</v>
      </c>
      <c r="F139" s="52">
        <v>9.0</v>
      </c>
      <c r="G139" s="52">
        <v>11.0</v>
      </c>
      <c r="H139" s="51" t="s">
        <v>854</v>
      </c>
      <c r="I139" s="51" t="s">
        <v>855</v>
      </c>
      <c r="J139" s="53" t="s">
        <v>6200</v>
      </c>
      <c r="K139" s="54"/>
      <c r="M139" s="51" t="s">
        <v>6201</v>
      </c>
      <c r="N139" s="51" t="s">
        <v>6201</v>
      </c>
      <c r="O139" s="51" t="s">
        <v>890</v>
      </c>
      <c r="P139" s="51" t="b">
        <v>0</v>
      </c>
      <c r="Q139" s="51" t="s">
        <v>892</v>
      </c>
      <c r="R139" s="53" t="s">
        <v>896</v>
      </c>
      <c r="S139" s="51" t="s">
        <v>6202</v>
      </c>
      <c r="T139" s="62">
        <v>13.721122</v>
      </c>
      <c r="U139" s="62">
        <v>100.855595</v>
      </c>
      <c r="V139" s="51" t="s">
        <v>926</v>
      </c>
      <c r="W139" s="53" t="s">
        <v>6203</v>
      </c>
      <c r="X139" s="51" t="s">
        <v>6081</v>
      </c>
      <c r="Y139" s="53" t="s">
        <v>6203</v>
      </c>
      <c r="Z139" s="51" t="s">
        <v>975</v>
      </c>
      <c r="AA139" s="53" t="s">
        <v>6204</v>
      </c>
      <c r="AB139" s="51" t="s">
        <v>6205</v>
      </c>
      <c r="AC139" s="51" t="s">
        <v>6206</v>
      </c>
      <c r="AD139" s="51" t="s">
        <v>6081</v>
      </c>
    </row>
    <row r="140">
      <c r="A140" s="51" t="s">
        <v>6207</v>
      </c>
      <c r="B140" s="51" t="s">
        <v>308</v>
      </c>
      <c r="C140" s="51" t="s">
        <v>6208</v>
      </c>
      <c r="D140" s="51" t="s">
        <v>851</v>
      </c>
      <c r="E140" s="52">
        <v>0.0</v>
      </c>
      <c r="F140" s="52">
        <v>0.0</v>
      </c>
      <c r="G140" s="52">
        <v>0.0</v>
      </c>
      <c r="H140" s="51" t="s">
        <v>854</v>
      </c>
      <c r="I140" s="51" t="s">
        <v>855</v>
      </c>
      <c r="J140" s="54"/>
      <c r="K140" s="53" t="s">
        <v>6209</v>
      </c>
      <c r="M140" s="51" t="s">
        <v>6183</v>
      </c>
      <c r="N140" s="51" t="s">
        <v>6183</v>
      </c>
      <c r="O140" s="51" t="s">
        <v>890</v>
      </c>
      <c r="P140" s="51" t="b">
        <v>0</v>
      </c>
      <c r="Q140" s="51" t="s">
        <v>892</v>
      </c>
      <c r="R140" s="53" t="s">
        <v>896</v>
      </c>
      <c r="S140" s="51" t="s">
        <v>6210</v>
      </c>
      <c r="T140" s="62">
        <v>13.7547359</v>
      </c>
      <c r="U140" s="62">
        <v>100.8568239</v>
      </c>
      <c r="V140" s="51" t="s">
        <v>926</v>
      </c>
      <c r="W140" s="53" t="s">
        <v>6211</v>
      </c>
      <c r="X140" s="51" t="s">
        <v>6081</v>
      </c>
      <c r="Y140" s="53" t="s">
        <v>6211</v>
      </c>
      <c r="Z140" s="51" t="s">
        <v>975</v>
      </c>
      <c r="AA140" s="53" t="s">
        <v>6212</v>
      </c>
      <c r="AB140" s="51" t="s">
        <v>6213</v>
      </c>
      <c r="AC140" s="51" t="s">
        <v>6214</v>
      </c>
      <c r="AD140" s="51" t="s">
        <v>6081</v>
      </c>
    </row>
    <row r="141">
      <c r="A141" s="51" t="s">
        <v>6215</v>
      </c>
      <c r="B141" s="51" t="s">
        <v>308</v>
      </c>
      <c r="C141" s="51" t="s">
        <v>6216</v>
      </c>
      <c r="D141" s="51" t="s">
        <v>851</v>
      </c>
      <c r="E141" s="52">
        <v>40.0</v>
      </c>
      <c r="F141" s="52">
        <v>0.0</v>
      </c>
      <c r="G141" s="52">
        <v>40.0</v>
      </c>
      <c r="H141" s="51" t="s">
        <v>854</v>
      </c>
      <c r="I141" s="51" t="s">
        <v>855</v>
      </c>
      <c r="J141" s="54"/>
      <c r="K141" s="53" t="s">
        <v>6217</v>
      </c>
      <c r="M141" s="51" t="s">
        <v>6183</v>
      </c>
      <c r="N141" s="51" t="s">
        <v>6183</v>
      </c>
      <c r="O141" s="51" t="s">
        <v>890</v>
      </c>
      <c r="P141" s="51" t="b">
        <v>0</v>
      </c>
      <c r="Q141" s="51" t="s">
        <v>892</v>
      </c>
      <c r="R141" s="53" t="s">
        <v>896</v>
      </c>
      <c r="S141" s="51" t="s">
        <v>6218</v>
      </c>
      <c r="T141" s="62">
        <v>13.7318721</v>
      </c>
      <c r="U141" s="62">
        <v>100.8375407</v>
      </c>
      <c r="V141" s="51" t="s">
        <v>926</v>
      </c>
      <c r="W141" s="53" t="s">
        <v>6219</v>
      </c>
      <c r="X141" s="51" t="s">
        <v>6081</v>
      </c>
      <c r="Y141" s="53" t="s">
        <v>6219</v>
      </c>
      <c r="Z141" s="51" t="s">
        <v>975</v>
      </c>
      <c r="AA141" s="53" t="s">
        <v>6220</v>
      </c>
      <c r="AB141" s="51" t="s">
        <v>6221</v>
      </c>
      <c r="AC141" s="51" t="s">
        <v>6222</v>
      </c>
      <c r="AD141" s="51" t="s">
        <v>6081</v>
      </c>
    </row>
    <row r="142">
      <c r="A142" s="51" t="s">
        <v>6223</v>
      </c>
      <c r="B142" s="51" t="s">
        <v>308</v>
      </c>
      <c r="C142" s="51" t="s">
        <v>6224</v>
      </c>
      <c r="D142" s="51" t="s">
        <v>851</v>
      </c>
      <c r="E142" s="52">
        <v>0.0</v>
      </c>
      <c r="F142" s="52">
        <v>0.0</v>
      </c>
      <c r="G142" s="52">
        <v>0.0</v>
      </c>
      <c r="H142" s="51" t="s">
        <v>854</v>
      </c>
      <c r="I142" s="51" t="s">
        <v>855</v>
      </c>
      <c r="J142" s="54"/>
      <c r="K142" s="53" t="s">
        <v>6225</v>
      </c>
      <c r="M142" s="51" t="s">
        <v>6183</v>
      </c>
      <c r="N142" s="51" t="s">
        <v>6183</v>
      </c>
      <c r="O142" s="51" t="s">
        <v>890</v>
      </c>
      <c r="P142" s="51" t="b">
        <v>0</v>
      </c>
      <c r="Q142" s="51" t="s">
        <v>892</v>
      </c>
      <c r="R142" s="53" t="s">
        <v>896</v>
      </c>
      <c r="S142" s="51" t="s">
        <v>6226</v>
      </c>
      <c r="T142" s="62">
        <v>13.7425751</v>
      </c>
      <c r="U142" s="62">
        <v>100.7555636</v>
      </c>
      <c r="V142" s="51" t="s">
        <v>926</v>
      </c>
      <c r="W142" s="53" t="s">
        <v>6227</v>
      </c>
      <c r="X142" s="51" t="s">
        <v>6081</v>
      </c>
      <c r="Y142" s="53" t="s">
        <v>6227</v>
      </c>
      <c r="Z142" s="51" t="s">
        <v>975</v>
      </c>
      <c r="AA142" s="53" t="s">
        <v>6228</v>
      </c>
      <c r="AB142" s="51" t="s">
        <v>6229</v>
      </c>
      <c r="AC142" s="51" t="s">
        <v>6230</v>
      </c>
      <c r="AD142" s="51" t="s">
        <v>6081</v>
      </c>
    </row>
    <row r="143">
      <c r="A143" s="51" t="s">
        <v>6231</v>
      </c>
      <c r="B143" s="51" t="s">
        <v>308</v>
      </c>
      <c r="C143" s="51" t="s">
        <v>6232</v>
      </c>
      <c r="D143" s="51" t="s">
        <v>851</v>
      </c>
      <c r="E143" s="52">
        <v>60.0</v>
      </c>
      <c r="F143" s="52">
        <v>0.0</v>
      </c>
      <c r="G143" s="52">
        <v>60.0</v>
      </c>
      <c r="H143" s="51" t="s">
        <v>854</v>
      </c>
      <c r="I143" s="51" t="s">
        <v>855</v>
      </c>
      <c r="J143" s="54"/>
      <c r="K143" s="53" t="s">
        <v>6233</v>
      </c>
      <c r="M143" s="51" t="s">
        <v>6183</v>
      </c>
      <c r="N143" s="51" t="s">
        <v>6183</v>
      </c>
      <c r="O143" s="51" t="s">
        <v>890</v>
      </c>
      <c r="P143" s="51" t="b">
        <v>0</v>
      </c>
      <c r="Q143" s="51" t="s">
        <v>892</v>
      </c>
      <c r="R143" s="53" t="s">
        <v>896</v>
      </c>
      <c r="S143" s="51" t="s">
        <v>6234</v>
      </c>
      <c r="T143" s="62">
        <v>13.7769157</v>
      </c>
      <c r="U143" s="62">
        <v>100.7380994</v>
      </c>
      <c r="V143" s="51" t="s">
        <v>926</v>
      </c>
      <c r="W143" s="53" t="s">
        <v>6235</v>
      </c>
      <c r="X143" s="51" t="s">
        <v>6081</v>
      </c>
      <c r="Y143" s="53" t="s">
        <v>6235</v>
      </c>
      <c r="Z143" s="51" t="s">
        <v>975</v>
      </c>
      <c r="AA143" s="53" t="s">
        <v>6236</v>
      </c>
      <c r="AB143" s="51" t="s">
        <v>6237</v>
      </c>
      <c r="AC143" s="51" t="s">
        <v>6238</v>
      </c>
      <c r="AD143" s="51" t="s">
        <v>6081</v>
      </c>
    </row>
    <row r="144">
      <c r="A144" s="51" t="s">
        <v>6239</v>
      </c>
      <c r="B144" s="51" t="s">
        <v>308</v>
      </c>
      <c r="C144" s="51" t="s">
        <v>6240</v>
      </c>
      <c r="D144" s="51" t="s">
        <v>851</v>
      </c>
      <c r="E144" s="52">
        <v>50.0</v>
      </c>
      <c r="F144" s="52">
        <v>0.0</v>
      </c>
      <c r="G144" s="52">
        <v>50.0</v>
      </c>
      <c r="H144" s="51" t="s">
        <v>854</v>
      </c>
      <c r="I144" s="51" t="s">
        <v>855</v>
      </c>
      <c r="J144" s="54"/>
      <c r="K144" s="53" t="s">
        <v>6241</v>
      </c>
      <c r="M144" s="51" t="s">
        <v>6183</v>
      </c>
      <c r="N144" s="51" t="s">
        <v>6183</v>
      </c>
      <c r="O144" s="51" t="s">
        <v>890</v>
      </c>
      <c r="P144" s="51" t="b">
        <v>0</v>
      </c>
      <c r="Q144" s="51" t="s">
        <v>892</v>
      </c>
      <c r="R144" s="53" t="s">
        <v>896</v>
      </c>
      <c r="S144" s="51" t="s">
        <v>6242</v>
      </c>
      <c r="T144" s="62">
        <v>13.7267593</v>
      </c>
      <c r="U144" s="62">
        <v>100.7530557</v>
      </c>
      <c r="V144" s="51" t="s">
        <v>926</v>
      </c>
      <c r="W144" s="53" t="s">
        <v>6243</v>
      </c>
      <c r="X144" s="51" t="s">
        <v>6081</v>
      </c>
      <c r="Y144" s="53" t="s">
        <v>6243</v>
      </c>
      <c r="Z144" s="51" t="s">
        <v>975</v>
      </c>
      <c r="AA144" s="53" t="s">
        <v>6244</v>
      </c>
      <c r="AB144" s="51" t="s">
        <v>6245</v>
      </c>
      <c r="AC144" s="51" t="s">
        <v>6246</v>
      </c>
      <c r="AD144" s="51" t="s">
        <v>6081</v>
      </c>
    </row>
    <row r="145">
      <c r="A145" s="51" t="s">
        <v>6247</v>
      </c>
      <c r="B145" s="51" t="s">
        <v>308</v>
      </c>
      <c r="C145" s="51" t="s">
        <v>6248</v>
      </c>
      <c r="D145" s="51" t="s">
        <v>851</v>
      </c>
      <c r="E145" s="52">
        <v>50.0</v>
      </c>
      <c r="F145" s="52">
        <v>30.0</v>
      </c>
      <c r="G145" s="52">
        <v>20.0</v>
      </c>
      <c r="H145" s="51" t="s">
        <v>854</v>
      </c>
      <c r="I145" s="51" t="s">
        <v>855</v>
      </c>
      <c r="J145" s="54"/>
      <c r="K145" s="53" t="s">
        <v>6241</v>
      </c>
      <c r="M145" s="51" t="s">
        <v>6183</v>
      </c>
      <c r="N145" s="51" t="s">
        <v>6183</v>
      </c>
      <c r="O145" s="51" t="s">
        <v>890</v>
      </c>
      <c r="P145" s="51" t="b">
        <v>0</v>
      </c>
      <c r="Q145" s="51" t="s">
        <v>892</v>
      </c>
      <c r="R145" s="53" t="s">
        <v>896</v>
      </c>
      <c r="S145" s="51" t="s">
        <v>6249</v>
      </c>
      <c r="T145" s="62">
        <v>13.7252099</v>
      </c>
      <c r="U145" s="62">
        <v>100.7202428</v>
      </c>
      <c r="V145" s="51" t="s">
        <v>926</v>
      </c>
      <c r="W145" s="53" t="s">
        <v>6250</v>
      </c>
      <c r="X145" s="51" t="s">
        <v>6081</v>
      </c>
      <c r="Y145" s="53" t="s">
        <v>6250</v>
      </c>
      <c r="Z145" s="51" t="s">
        <v>975</v>
      </c>
      <c r="AA145" s="53" t="s">
        <v>6251</v>
      </c>
      <c r="AB145" s="51" t="s">
        <v>6252</v>
      </c>
      <c r="AC145" s="51" t="s">
        <v>6253</v>
      </c>
      <c r="AD145" s="51" t="s">
        <v>6081</v>
      </c>
    </row>
    <row r="146">
      <c r="A146" s="51" t="s">
        <v>6254</v>
      </c>
      <c r="B146" s="51" t="s">
        <v>308</v>
      </c>
      <c r="C146" s="51" t="s">
        <v>6255</v>
      </c>
      <c r="D146" s="51" t="s">
        <v>851</v>
      </c>
      <c r="E146" s="52">
        <v>40.0</v>
      </c>
      <c r="F146" s="52">
        <v>38.0</v>
      </c>
      <c r="G146" s="52">
        <v>2.0</v>
      </c>
      <c r="H146" s="51" t="s">
        <v>854</v>
      </c>
      <c r="I146" s="51" t="s">
        <v>5537</v>
      </c>
      <c r="J146" s="54"/>
      <c r="K146" s="53" t="s">
        <v>6256</v>
      </c>
      <c r="M146" s="51" t="s">
        <v>6183</v>
      </c>
      <c r="N146" s="51" t="s">
        <v>6183</v>
      </c>
      <c r="O146" s="51" t="s">
        <v>890</v>
      </c>
      <c r="P146" s="51" t="b">
        <v>0</v>
      </c>
      <c r="Q146" s="51" t="s">
        <v>892</v>
      </c>
      <c r="R146" s="53" t="s">
        <v>896</v>
      </c>
      <c r="S146" s="51" t="s">
        <v>6257</v>
      </c>
      <c r="T146" s="62">
        <v>13.7259899</v>
      </c>
      <c r="U146" s="62">
        <v>100.7377622</v>
      </c>
      <c r="V146" s="51" t="s">
        <v>926</v>
      </c>
      <c r="W146" s="53" t="s">
        <v>6258</v>
      </c>
      <c r="X146" s="51" t="s">
        <v>6081</v>
      </c>
      <c r="Y146" s="53" t="s">
        <v>6258</v>
      </c>
      <c r="Z146" s="51" t="s">
        <v>975</v>
      </c>
      <c r="AA146" s="53" t="s">
        <v>6259</v>
      </c>
      <c r="AB146" s="51" t="s">
        <v>6260</v>
      </c>
      <c r="AC146" s="51" t="s">
        <v>6261</v>
      </c>
      <c r="AD146" s="51" t="s">
        <v>6081</v>
      </c>
    </row>
    <row r="147">
      <c r="A147" s="51" t="s">
        <v>6262</v>
      </c>
      <c r="B147" s="51" t="s">
        <v>308</v>
      </c>
      <c r="C147" s="51" t="s">
        <v>6263</v>
      </c>
      <c r="D147" s="51" t="s">
        <v>851</v>
      </c>
      <c r="E147" s="52">
        <v>40.0</v>
      </c>
      <c r="F147" s="52">
        <v>4.0</v>
      </c>
      <c r="G147" s="52">
        <v>36.0</v>
      </c>
      <c r="H147" s="51" t="s">
        <v>854</v>
      </c>
      <c r="I147" s="51" t="s">
        <v>855</v>
      </c>
      <c r="J147" s="54"/>
      <c r="K147" s="53" t="s">
        <v>6264</v>
      </c>
      <c r="M147" s="51" t="s">
        <v>6183</v>
      </c>
      <c r="N147" s="51" t="s">
        <v>6183</v>
      </c>
      <c r="O147" s="51" t="s">
        <v>890</v>
      </c>
      <c r="P147" s="51" t="b">
        <v>0</v>
      </c>
      <c r="Q147" s="51" t="s">
        <v>892</v>
      </c>
      <c r="R147" s="53" t="s">
        <v>896</v>
      </c>
      <c r="S147" s="51" t="s">
        <v>6265</v>
      </c>
      <c r="T147" s="62">
        <v>13.740961</v>
      </c>
      <c r="U147" s="62">
        <v>100.7966461</v>
      </c>
      <c r="V147" s="51" t="s">
        <v>926</v>
      </c>
      <c r="W147" s="53" t="s">
        <v>6266</v>
      </c>
      <c r="X147" s="51" t="s">
        <v>6081</v>
      </c>
      <c r="Y147" s="53" t="s">
        <v>6266</v>
      </c>
      <c r="Z147" s="51" t="s">
        <v>975</v>
      </c>
      <c r="AA147" s="53" t="s">
        <v>6267</v>
      </c>
      <c r="AB147" s="51" t="s">
        <v>6268</v>
      </c>
      <c r="AC147" s="51" t="s">
        <v>6269</v>
      </c>
      <c r="AD147" s="51" t="s">
        <v>6081</v>
      </c>
    </row>
    <row r="148">
      <c r="A148" s="51" t="s">
        <v>6270</v>
      </c>
      <c r="B148" s="51" t="s">
        <v>308</v>
      </c>
      <c r="C148" s="51" t="s">
        <v>6271</v>
      </c>
      <c r="D148" s="51" t="s">
        <v>851</v>
      </c>
      <c r="E148" s="52">
        <v>200.0</v>
      </c>
      <c r="F148" s="52">
        <v>160.0</v>
      </c>
      <c r="G148" s="52">
        <v>40.0</v>
      </c>
      <c r="H148" s="51" t="s">
        <v>854</v>
      </c>
      <c r="I148" s="51" t="s">
        <v>855</v>
      </c>
      <c r="J148" s="54"/>
      <c r="K148" s="53" t="s">
        <v>6272</v>
      </c>
      <c r="M148" s="51" t="s">
        <v>6183</v>
      </c>
      <c r="N148" s="51" t="s">
        <v>6183</v>
      </c>
      <c r="O148" s="51" t="s">
        <v>890</v>
      </c>
      <c r="P148" s="51" t="b">
        <v>0</v>
      </c>
      <c r="Q148" s="51" t="s">
        <v>892</v>
      </c>
      <c r="R148" s="53" t="s">
        <v>896</v>
      </c>
      <c r="S148" s="51" t="s">
        <v>6273</v>
      </c>
      <c r="T148" s="62">
        <v>13.7658461</v>
      </c>
      <c r="U148" s="62">
        <v>100.7299901</v>
      </c>
      <c r="V148" s="51" t="s">
        <v>926</v>
      </c>
      <c r="W148" s="53" t="s">
        <v>6274</v>
      </c>
      <c r="X148" s="51" t="s">
        <v>6081</v>
      </c>
      <c r="Y148" s="53" t="s">
        <v>6274</v>
      </c>
      <c r="Z148" s="51" t="s">
        <v>975</v>
      </c>
      <c r="AA148" s="53" t="s">
        <v>6275</v>
      </c>
      <c r="AB148" s="51" t="s">
        <v>6276</v>
      </c>
      <c r="AC148" s="51" t="s">
        <v>6277</v>
      </c>
      <c r="AD148" s="51" t="s">
        <v>6081</v>
      </c>
    </row>
    <row r="149">
      <c r="A149" s="51" t="s">
        <v>6278</v>
      </c>
      <c r="B149" s="51" t="s">
        <v>308</v>
      </c>
      <c r="C149" s="51" t="s">
        <v>6279</v>
      </c>
      <c r="D149" s="51" t="s">
        <v>851</v>
      </c>
      <c r="E149" s="52">
        <v>50.0</v>
      </c>
      <c r="F149" s="52">
        <v>12.0</v>
      </c>
      <c r="G149" s="52">
        <v>38.0</v>
      </c>
      <c r="H149" s="51" t="s">
        <v>854</v>
      </c>
      <c r="I149" s="51" t="s">
        <v>855</v>
      </c>
      <c r="J149" s="54"/>
      <c r="K149" s="53" t="s">
        <v>6280</v>
      </c>
      <c r="M149" s="51" t="s">
        <v>6183</v>
      </c>
      <c r="N149" s="51" t="s">
        <v>6183</v>
      </c>
      <c r="O149" s="51" t="s">
        <v>890</v>
      </c>
      <c r="P149" s="51" t="b">
        <v>0</v>
      </c>
      <c r="Q149" s="51" t="s">
        <v>892</v>
      </c>
      <c r="R149" s="53" t="s">
        <v>896</v>
      </c>
      <c r="S149" s="51" t="s">
        <v>6281</v>
      </c>
      <c r="T149" s="62">
        <v>13.7480228</v>
      </c>
      <c r="U149" s="62">
        <v>100.7248356</v>
      </c>
      <c r="V149" s="51" t="s">
        <v>926</v>
      </c>
      <c r="W149" s="53" t="s">
        <v>6282</v>
      </c>
      <c r="X149" s="51" t="s">
        <v>6081</v>
      </c>
      <c r="Y149" s="53" t="s">
        <v>6282</v>
      </c>
      <c r="Z149" s="51" t="s">
        <v>975</v>
      </c>
      <c r="AA149" s="53" t="s">
        <v>6283</v>
      </c>
      <c r="AB149" s="51" t="s">
        <v>6284</v>
      </c>
      <c r="AC149" s="51" t="s">
        <v>6285</v>
      </c>
      <c r="AD149" s="51" t="s">
        <v>6081</v>
      </c>
    </row>
    <row r="150">
      <c r="A150" s="51" t="s">
        <v>6286</v>
      </c>
      <c r="B150" s="51" t="s">
        <v>308</v>
      </c>
      <c r="C150" s="51" t="s">
        <v>6287</v>
      </c>
      <c r="D150" s="51" t="s">
        <v>851</v>
      </c>
      <c r="E150" s="52">
        <v>30.0</v>
      </c>
      <c r="F150" s="52">
        <v>0.0</v>
      </c>
      <c r="G150" s="52">
        <v>30.0</v>
      </c>
      <c r="H150" s="51" t="s">
        <v>854</v>
      </c>
      <c r="I150" s="51" t="s">
        <v>855</v>
      </c>
      <c r="J150" s="54"/>
      <c r="K150" s="53" t="s">
        <v>6288</v>
      </c>
      <c r="M150" s="51" t="s">
        <v>6183</v>
      </c>
      <c r="N150" s="51" t="s">
        <v>6183</v>
      </c>
      <c r="O150" s="51" t="s">
        <v>890</v>
      </c>
      <c r="P150" s="51" t="b">
        <v>0</v>
      </c>
      <c r="Q150" s="51" t="s">
        <v>892</v>
      </c>
      <c r="R150" s="53" t="s">
        <v>896</v>
      </c>
      <c r="S150" s="51" t="s">
        <v>6289</v>
      </c>
      <c r="T150" s="62">
        <v>13.7133277</v>
      </c>
      <c r="U150" s="62">
        <v>100.8130692</v>
      </c>
      <c r="V150" s="51" t="s">
        <v>926</v>
      </c>
      <c r="W150" s="53" t="s">
        <v>6290</v>
      </c>
      <c r="X150" s="51" t="s">
        <v>6081</v>
      </c>
      <c r="Y150" s="53" t="s">
        <v>6290</v>
      </c>
      <c r="Z150" s="51" t="s">
        <v>975</v>
      </c>
      <c r="AA150" s="53" t="s">
        <v>6291</v>
      </c>
      <c r="AB150" s="51" t="s">
        <v>6292</v>
      </c>
      <c r="AC150" s="51" t="s">
        <v>6293</v>
      </c>
      <c r="AD150" s="51" t="s">
        <v>6081</v>
      </c>
    </row>
    <row r="151">
      <c r="A151" s="51" t="s">
        <v>6294</v>
      </c>
      <c r="B151" s="51" t="s">
        <v>104</v>
      </c>
      <c r="C151" s="51" t="s">
        <v>6295</v>
      </c>
      <c r="D151" s="51" t="s">
        <v>851</v>
      </c>
      <c r="E151" s="52">
        <v>300.0</v>
      </c>
      <c r="F151" s="52">
        <v>6.0</v>
      </c>
      <c r="G151" s="52">
        <v>294.0</v>
      </c>
      <c r="H151" s="51" t="s">
        <v>854</v>
      </c>
      <c r="I151" s="51" t="s">
        <v>855</v>
      </c>
      <c r="J151" s="53" t="s">
        <v>6296</v>
      </c>
      <c r="K151" s="54"/>
      <c r="M151" s="51" t="s">
        <v>6297</v>
      </c>
      <c r="N151" s="51" t="s">
        <v>6298</v>
      </c>
      <c r="O151" s="51" t="s">
        <v>890</v>
      </c>
      <c r="P151" s="51" t="b">
        <v>0</v>
      </c>
      <c r="Q151" s="51" t="s">
        <v>892</v>
      </c>
      <c r="R151" s="53" t="s">
        <v>896</v>
      </c>
      <c r="S151" s="51" t="s">
        <v>6299</v>
      </c>
      <c r="T151" s="62">
        <v>13.8468301</v>
      </c>
      <c r="U151" s="62">
        <v>100.6038448</v>
      </c>
      <c r="V151" s="51" t="s">
        <v>926</v>
      </c>
      <c r="W151" s="53" t="s">
        <v>6300</v>
      </c>
      <c r="X151" s="51" t="s">
        <v>6081</v>
      </c>
      <c r="Y151" s="53" t="s">
        <v>6300</v>
      </c>
      <c r="Z151" s="51" t="s">
        <v>975</v>
      </c>
      <c r="AA151" s="53" t="s">
        <v>6301</v>
      </c>
      <c r="AB151" s="51" t="s">
        <v>6302</v>
      </c>
      <c r="AC151" s="51" t="s">
        <v>6303</v>
      </c>
      <c r="AD151" s="51" t="s">
        <v>6081</v>
      </c>
    </row>
    <row r="152">
      <c r="A152" s="51" t="s">
        <v>6304</v>
      </c>
      <c r="B152" s="51" t="s">
        <v>104</v>
      </c>
      <c r="C152" s="51" t="s">
        <v>6305</v>
      </c>
      <c r="D152" s="51" t="s">
        <v>851</v>
      </c>
      <c r="E152" s="52">
        <v>50.0</v>
      </c>
      <c r="F152" s="52">
        <v>0.0</v>
      </c>
      <c r="G152" s="52">
        <v>50.0</v>
      </c>
      <c r="H152" s="51" t="s">
        <v>854</v>
      </c>
      <c r="I152" s="51" t="s">
        <v>855</v>
      </c>
      <c r="J152" s="53" t="s">
        <v>6306</v>
      </c>
      <c r="K152" s="54"/>
      <c r="M152" s="51" t="s">
        <v>6297</v>
      </c>
      <c r="N152" s="51" t="s">
        <v>6298</v>
      </c>
      <c r="O152" s="51" t="s">
        <v>890</v>
      </c>
      <c r="P152" s="51" t="b">
        <v>0</v>
      </c>
      <c r="Q152" s="51" t="s">
        <v>892</v>
      </c>
      <c r="R152" s="53" t="s">
        <v>896</v>
      </c>
      <c r="S152" s="51" t="s">
        <v>6307</v>
      </c>
      <c r="T152" s="62">
        <v>13.8269098</v>
      </c>
      <c r="U152" s="62">
        <v>100.6178578</v>
      </c>
      <c r="V152" s="51" t="s">
        <v>926</v>
      </c>
      <c r="W152" s="53" t="s">
        <v>6308</v>
      </c>
      <c r="X152" s="51" t="s">
        <v>6081</v>
      </c>
      <c r="Y152" s="53" t="s">
        <v>6308</v>
      </c>
      <c r="Z152" s="51" t="s">
        <v>975</v>
      </c>
      <c r="AA152" s="53" t="s">
        <v>6309</v>
      </c>
      <c r="AB152" s="51" t="s">
        <v>6310</v>
      </c>
      <c r="AC152" s="51" t="s">
        <v>6311</v>
      </c>
      <c r="AD152" s="51" t="s">
        <v>6081</v>
      </c>
    </row>
    <row r="153">
      <c r="A153" s="51" t="s">
        <v>6312</v>
      </c>
      <c r="B153" s="51" t="s">
        <v>104</v>
      </c>
      <c r="C153" s="51" t="s">
        <v>6313</v>
      </c>
      <c r="D153" s="51" t="s">
        <v>851</v>
      </c>
      <c r="E153" s="52">
        <v>60.0</v>
      </c>
      <c r="F153" s="52">
        <v>0.0</v>
      </c>
      <c r="G153" s="52">
        <v>60.0</v>
      </c>
      <c r="H153" s="51" t="s">
        <v>854</v>
      </c>
      <c r="I153" s="51" t="s">
        <v>855</v>
      </c>
      <c r="J153" s="53" t="s">
        <v>6314</v>
      </c>
      <c r="K153" s="54"/>
      <c r="M153" s="51" t="s">
        <v>6297</v>
      </c>
      <c r="N153" s="51" t="s">
        <v>6298</v>
      </c>
      <c r="O153" s="51" t="s">
        <v>890</v>
      </c>
      <c r="P153" s="51" t="b">
        <v>0</v>
      </c>
      <c r="Q153" s="51" t="s">
        <v>892</v>
      </c>
      <c r="R153" s="53" t="s">
        <v>896</v>
      </c>
      <c r="S153" s="51" t="s">
        <v>6315</v>
      </c>
      <c r="T153" s="62">
        <v>13.800799</v>
      </c>
      <c r="U153" s="62">
        <v>100.612844</v>
      </c>
      <c r="V153" s="51" t="s">
        <v>926</v>
      </c>
      <c r="W153" s="53" t="s">
        <v>6316</v>
      </c>
      <c r="X153" s="51" t="s">
        <v>6317</v>
      </c>
      <c r="Y153" s="53" t="s">
        <v>6316</v>
      </c>
      <c r="Z153" s="51" t="s">
        <v>975</v>
      </c>
      <c r="AA153" s="53" t="s">
        <v>6318</v>
      </c>
      <c r="AB153" s="51" t="s">
        <v>6319</v>
      </c>
      <c r="AC153" s="51" t="s">
        <v>6320</v>
      </c>
      <c r="AD153" s="51" t="s">
        <v>6317</v>
      </c>
    </row>
    <row r="154">
      <c r="A154" s="51" t="s">
        <v>6321</v>
      </c>
      <c r="B154" s="51" t="s">
        <v>104</v>
      </c>
      <c r="C154" s="51" t="s">
        <v>6322</v>
      </c>
      <c r="D154" s="51" t="s">
        <v>851</v>
      </c>
      <c r="E154" s="52">
        <v>50.0</v>
      </c>
      <c r="F154" s="52">
        <v>0.0</v>
      </c>
      <c r="G154" s="52">
        <v>50.0</v>
      </c>
      <c r="H154" s="51" t="s">
        <v>854</v>
      </c>
      <c r="I154" s="51" t="s">
        <v>855</v>
      </c>
      <c r="J154" s="53" t="s">
        <v>6323</v>
      </c>
      <c r="K154" s="54"/>
      <c r="M154" s="51" t="s">
        <v>6297</v>
      </c>
      <c r="N154" s="51" t="s">
        <v>6298</v>
      </c>
      <c r="O154" s="51" t="s">
        <v>890</v>
      </c>
      <c r="P154" s="51" t="b">
        <v>0</v>
      </c>
      <c r="Q154" s="51" t="s">
        <v>892</v>
      </c>
      <c r="R154" s="53" t="s">
        <v>896</v>
      </c>
      <c r="S154" s="51" t="s">
        <v>6324</v>
      </c>
      <c r="T154" s="62">
        <v>13.8402549</v>
      </c>
      <c r="U154" s="62">
        <v>100.6330959</v>
      </c>
      <c r="V154" s="51" t="s">
        <v>926</v>
      </c>
      <c r="W154" s="53" t="s">
        <v>6325</v>
      </c>
      <c r="X154" s="51" t="s">
        <v>6317</v>
      </c>
      <c r="Y154" s="53" t="s">
        <v>6325</v>
      </c>
      <c r="Z154" s="51" t="s">
        <v>975</v>
      </c>
      <c r="AA154" s="53" t="s">
        <v>6326</v>
      </c>
      <c r="AB154" s="51" t="s">
        <v>6327</v>
      </c>
      <c r="AC154" s="51" t="s">
        <v>6328</v>
      </c>
      <c r="AD154" s="51" t="s">
        <v>6317</v>
      </c>
    </row>
    <row r="155">
      <c r="A155" s="51" t="s">
        <v>6329</v>
      </c>
      <c r="B155" s="51" t="s">
        <v>104</v>
      </c>
      <c r="C155" s="51" t="s">
        <v>6330</v>
      </c>
      <c r="D155" s="51" t="s">
        <v>851</v>
      </c>
      <c r="E155" s="52">
        <v>100.0</v>
      </c>
      <c r="F155" s="52">
        <v>0.0</v>
      </c>
      <c r="G155" s="52">
        <v>100.0</v>
      </c>
      <c r="H155" s="51" t="s">
        <v>854</v>
      </c>
      <c r="I155" s="51" t="s">
        <v>855</v>
      </c>
      <c r="J155" s="53" t="s">
        <v>6331</v>
      </c>
      <c r="M155" s="51" t="s">
        <v>6297</v>
      </c>
      <c r="N155" s="51" t="s">
        <v>6298</v>
      </c>
      <c r="O155" s="51" t="s">
        <v>890</v>
      </c>
      <c r="P155" s="51" t="b">
        <v>0</v>
      </c>
      <c r="Q155" s="51" t="s">
        <v>892</v>
      </c>
      <c r="R155" s="53" t="s">
        <v>896</v>
      </c>
      <c r="S155" s="51" t="s">
        <v>6332</v>
      </c>
      <c r="T155" s="62">
        <v>13.847633</v>
      </c>
      <c r="U155" s="62">
        <v>100.604251</v>
      </c>
      <c r="V155" s="51" t="s">
        <v>926</v>
      </c>
      <c r="W155" s="53" t="s">
        <v>6333</v>
      </c>
      <c r="X155" s="51" t="s">
        <v>6317</v>
      </c>
      <c r="Y155" s="53" t="s">
        <v>6333</v>
      </c>
      <c r="Z155" s="51" t="s">
        <v>975</v>
      </c>
      <c r="AA155" s="53" t="s">
        <v>6334</v>
      </c>
      <c r="AB155" s="51" t="s">
        <v>6335</v>
      </c>
      <c r="AC155" s="51" t="s">
        <v>6336</v>
      </c>
      <c r="AD155" s="51" t="s">
        <v>6317</v>
      </c>
    </row>
    <row r="156">
      <c r="A156" s="51" t="s">
        <v>6337</v>
      </c>
      <c r="B156" s="51" t="s">
        <v>104</v>
      </c>
      <c r="C156" s="51" t="s">
        <v>6338</v>
      </c>
      <c r="D156" s="51" t="s">
        <v>851</v>
      </c>
      <c r="E156" s="52">
        <v>50.0</v>
      </c>
      <c r="F156" s="52">
        <v>0.0</v>
      </c>
      <c r="G156" s="52">
        <v>50.0</v>
      </c>
      <c r="H156" s="51" t="s">
        <v>854</v>
      </c>
      <c r="I156" s="51" t="s">
        <v>855</v>
      </c>
      <c r="J156" s="53" t="s">
        <v>6339</v>
      </c>
      <c r="M156" s="51" t="s">
        <v>6297</v>
      </c>
      <c r="N156" s="51" t="s">
        <v>6298</v>
      </c>
      <c r="O156" s="51" t="s">
        <v>890</v>
      </c>
      <c r="P156" s="51" t="b">
        <v>0</v>
      </c>
      <c r="Q156" s="51" t="s">
        <v>892</v>
      </c>
      <c r="R156" s="53" t="s">
        <v>896</v>
      </c>
      <c r="S156" s="51" t="s">
        <v>6340</v>
      </c>
      <c r="T156" s="62">
        <v>13.80328</v>
      </c>
      <c r="U156" s="62">
        <v>100.5902015</v>
      </c>
      <c r="V156" s="51" t="s">
        <v>926</v>
      </c>
      <c r="W156" s="53" t="s">
        <v>6341</v>
      </c>
      <c r="X156" s="51" t="s">
        <v>6317</v>
      </c>
      <c r="Y156" s="53" t="s">
        <v>6341</v>
      </c>
      <c r="Z156" s="51" t="s">
        <v>975</v>
      </c>
      <c r="AA156" s="53" t="s">
        <v>6342</v>
      </c>
      <c r="AB156" s="51" t="s">
        <v>6343</v>
      </c>
      <c r="AC156" s="51" t="s">
        <v>6344</v>
      </c>
      <c r="AD156" s="51" t="s">
        <v>6317</v>
      </c>
    </row>
    <row r="157">
      <c r="A157" s="51" t="s">
        <v>6345</v>
      </c>
      <c r="B157" s="51" t="s">
        <v>104</v>
      </c>
      <c r="C157" s="51" t="s">
        <v>6346</v>
      </c>
      <c r="D157" s="51" t="s">
        <v>851</v>
      </c>
      <c r="E157" s="52">
        <v>50.0</v>
      </c>
      <c r="F157" s="52">
        <v>0.0</v>
      </c>
      <c r="G157" s="52">
        <v>50.0</v>
      </c>
      <c r="H157" s="51" t="s">
        <v>854</v>
      </c>
      <c r="I157" s="51" t="s">
        <v>855</v>
      </c>
      <c r="J157" s="53" t="s">
        <v>6347</v>
      </c>
      <c r="K157" s="54"/>
      <c r="M157" s="51" t="s">
        <v>6297</v>
      </c>
      <c r="N157" s="51" t="s">
        <v>6298</v>
      </c>
      <c r="O157" s="51" t="s">
        <v>890</v>
      </c>
      <c r="P157" s="51" t="b">
        <v>0</v>
      </c>
      <c r="Q157" s="51" t="s">
        <v>892</v>
      </c>
      <c r="R157" s="53" t="s">
        <v>896</v>
      </c>
      <c r="S157" s="51" t="s">
        <v>6348</v>
      </c>
      <c r="T157" s="62">
        <v>13.8321985</v>
      </c>
      <c r="U157" s="62">
        <v>100.5910546</v>
      </c>
      <c r="V157" s="51" t="s">
        <v>926</v>
      </c>
      <c r="W157" s="53" t="s">
        <v>6349</v>
      </c>
      <c r="X157" s="51" t="s">
        <v>6317</v>
      </c>
      <c r="Y157" s="53" t="s">
        <v>6349</v>
      </c>
      <c r="Z157" s="51" t="s">
        <v>975</v>
      </c>
      <c r="AA157" s="53" t="s">
        <v>6350</v>
      </c>
      <c r="AB157" s="51" t="s">
        <v>6351</v>
      </c>
      <c r="AC157" s="51" t="s">
        <v>6352</v>
      </c>
      <c r="AD157" s="51" t="s">
        <v>6317</v>
      </c>
    </row>
    <row r="158">
      <c r="A158" s="51" t="s">
        <v>6353</v>
      </c>
      <c r="B158" s="51" t="s">
        <v>104</v>
      </c>
      <c r="C158" s="51" t="s">
        <v>6354</v>
      </c>
      <c r="D158" s="51" t="s">
        <v>851</v>
      </c>
      <c r="E158" s="52">
        <v>100.0</v>
      </c>
      <c r="F158" s="52">
        <v>0.0</v>
      </c>
      <c r="G158" s="52">
        <v>100.0</v>
      </c>
      <c r="H158" s="51" t="s">
        <v>854</v>
      </c>
      <c r="I158" s="51" t="s">
        <v>855</v>
      </c>
      <c r="J158" s="53" t="s">
        <v>6355</v>
      </c>
      <c r="M158" s="51" t="s">
        <v>6297</v>
      </c>
      <c r="N158" s="51" t="s">
        <v>6298</v>
      </c>
      <c r="O158" s="51" t="s">
        <v>890</v>
      </c>
      <c r="P158" s="51" t="b">
        <v>0</v>
      </c>
      <c r="Q158" s="51" t="s">
        <v>892</v>
      </c>
      <c r="R158" s="53" t="s">
        <v>896</v>
      </c>
      <c r="S158" s="51" t="s">
        <v>6356</v>
      </c>
      <c r="T158" s="62">
        <v>13.8230153</v>
      </c>
      <c r="U158" s="62">
        <v>100.6145937</v>
      </c>
      <c r="V158" s="51" t="s">
        <v>926</v>
      </c>
      <c r="W158" s="53" t="s">
        <v>6357</v>
      </c>
      <c r="X158" s="51" t="s">
        <v>6317</v>
      </c>
      <c r="Y158" s="53" t="s">
        <v>6357</v>
      </c>
      <c r="Z158" s="51" t="s">
        <v>975</v>
      </c>
      <c r="AA158" s="53" t="s">
        <v>6358</v>
      </c>
      <c r="AB158" s="51" t="s">
        <v>6359</v>
      </c>
      <c r="AC158" s="51" t="s">
        <v>6360</v>
      </c>
      <c r="AD158" s="51" t="s">
        <v>6317</v>
      </c>
    </row>
    <row r="159">
      <c r="A159" s="51" t="s">
        <v>6361</v>
      </c>
      <c r="B159" s="51" t="s">
        <v>472</v>
      </c>
      <c r="C159" s="51" t="s">
        <v>6362</v>
      </c>
      <c r="D159" s="51" t="s">
        <v>851</v>
      </c>
      <c r="E159" s="52">
        <v>50.0</v>
      </c>
      <c r="F159" s="52">
        <v>0.0</v>
      </c>
      <c r="G159" s="52">
        <v>50.0</v>
      </c>
      <c r="H159" s="51" t="s">
        <v>854</v>
      </c>
      <c r="I159" s="51" t="s">
        <v>855</v>
      </c>
      <c r="J159" s="53" t="s">
        <v>6363</v>
      </c>
      <c r="K159" s="54"/>
      <c r="M159" s="51" t="s">
        <v>6364</v>
      </c>
      <c r="N159" s="51" t="s">
        <v>6364</v>
      </c>
      <c r="O159" s="51" t="s">
        <v>890</v>
      </c>
      <c r="P159" s="51" t="b">
        <v>0</v>
      </c>
      <c r="Q159" s="51" t="s">
        <v>892</v>
      </c>
      <c r="R159" s="53" t="s">
        <v>896</v>
      </c>
      <c r="S159" s="51" t="s">
        <v>6365</v>
      </c>
      <c r="T159" s="62">
        <v>13.7986048</v>
      </c>
      <c r="U159" s="62">
        <v>100.6174208</v>
      </c>
      <c r="V159" s="51" t="s">
        <v>1906</v>
      </c>
      <c r="W159" s="53" t="s">
        <v>6363</v>
      </c>
      <c r="X159" s="51" t="s">
        <v>972</v>
      </c>
      <c r="Y159" s="54"/>
      <c r="Z159" s="51" t="s">
        <v>1950</v>
      </c>
      <c r="AA159" s="54"/>
      <c r="AB159" s="54"/>
      <c r="AC159" s="54"/>
      <c r="AD159" s="54"/>
    </row>
    <row r="160">
      <c r="A160" s="51" t="s">
        <v>6366</v>
      </c>
      <c r="B160" s="51" t="s">
        <v>472</v>
      </c>
      <c r="C160" s="51" t="s">
        <v>6367</v>
      </c>
      <c r="D160" s="51" t="s">
        <v>851</v>
      </c>
      <c r="E160" s="52">
        <v>30.0</v>
      </c>
      <c r="F160" s="52">
        <v>0.0</v>
      </c>
      <c r="G160" s="52">
        <v>30.0</v>
      </c>
      <c r="H160" s="51" t="s">
        <v>854</v>
      </c>
      <c r="I160" s="51" t="s">
        <v>855</v>
      </c>
      <c r="J160" s="53" t="s">
        <v>6368</v>
      </c>
      <c r="K160" s="54"/>
      <c r="M160" s="51" t="s">
        <v>6369</v>
      </c>
      <c r="N160" s="51" t="s">
        <v>6369</v>
      </c>
      <c r="O160" s="51" t="s">
        <v>890</v>
      </c>
      <c r="P160" s="51" t="b">
        <v>0</v>
      </c>
      <c r="Q160" s="51" t="s">
        <v>892</v>
      </c>
      <c r="R160" s="53" t="s">
        <v>896</v>
      </c>
      <c r="S160" s="51" t="s">
        <v>6370</v>
      </c>
      <c r="T160" s="62">
        <v>13.7986048</v>
      </c>
      <c r="U160" s="62">
        <v>100.6174208</v>
      </c>
      <c r="V160" s="51" t="s">
        <v>1906</v>
      </c>
      <c r="W160" s="53" t="s">
        <v>6368</v>
      </c>
      <c r="X160" s="51" t="s">
        <v>972</v>
      </c>
      <c r="Y160" s="54"/>
      <c r="Z160" s="51" t="s">
        <v>1950</v>
      </c>
      <c r="AA160" s="54"/>
      <c r="AB160" s="54"/>
      <c r="AC160" s="54"/>
      <c r="AD160" s="54"/>
    </row>
    <row r="161">
      <c r="A161" s="51" t="s">
        <v>6371</v>
      </c>
      <c r="B161" s="51" t="s">
        <v>472</v>
      </c>
      <c r="C161" s="51" t="s">
        <v>6372</v>
      </c>
      <c r="D161" s="51" t="s">
        <v>851</v>
      </c>
      <c r="E161" s="52">
        <v>10.0</v>
      </c>
      <c r="F161" s="52">
        <v>0.0</v>
      </c>
      <c r="G161" s="52">
        <v>10.0</v>
      </c>
      <c r="H161" s="51" t="s">
        <v>854</v>
      </c>
      <c r="I161" s="51" t="s">
        <v>855</v>
      </c>
      <c r="J161" s="53" t="s">
        <v>6373</v>
      </c>
      <c r="K161" s="54"/>
      <c r="M161" s="51" t="s">
        <v>6374</v>
      </c>
      <c r="N161" s="51" t="s">
        <v>6374</v>
      </c>
      <c r="O161" s="51" t="s">
        <v>890</v>
      </c>
      <c r="P161" s="51" t="b">
        <v>0</v>
      </c>
      <c r="Q161" s="51" t="s">
        <v>892</v>
      </c>
      <c r="R161" s="53" t="s">
        <v>896</v>
      </c>
      <c r="S161" s="51" t="s">
        <v>6375</v>
      </c>
      <c r="T161" s="62">
        <v>13.7986048</v>
      </c>
      <c r="U161" s="62">
        <v>100.6174208</v>
      </c>
      <c r="V161" s="51" t="s">
        <v>1906</v>
      </c>
      <c r="W161" s="53" t="s">
        <v>6373</v>
      </c>
      <c r="X161" s="51" t="s">
        <v>972</v>
      </c>
      <c r="Y161" s="54"/>
      <c r="Z161" s="51" t="s">
        <v>1950</v>
      </c>
      <c r="AA161" s="54"/>
      <c r="AB161" s="54"/>
      <c r="AC161" s="54"/>
      <c r="AD161" s="54"/>
    </row>
    <row r="162">
      <c r="A162" s="51" t="s">
        <v>6376</v>
      </c>
      <c r="B162" s="51" t="s">
        <v>472</v>
      </c>
      <c r="C162" s="51" t="s">
        <v>6377</v>
      </c>
      <c r="D162" s="51" t="s">
        <v>851</v>
      </c>
      <c r="E162" s="52">
        <v>50.0</v>
      </c>
      <c r="F162" s="52">
        <v>1.0</v>
      </c>
      <c r="G162" s="52">
        <v>49.0</v>
      </c>
      <c r="H162" s="51" t="s">
        <v>854</v>
      </c>
      <c r="I162" s="51" t="s">
        <v>855</v>
      </c>
      <c r="J162" s="53" t="s">
        <v>6378</v>
      </c>
      <c r="K162" s="54"/>
      <c r="M162" s="51" t="s">
        <v>6379</v>
      </c>
      <c r="N162" s="51" t="s">
        <v>6379</v>
      </c>
      <c r="O162" s="51" t="s">
        <v>890</v>
      </c>
      <c r="P162" s="51" t="b">
        <v>0</v>
      </c>
      <c r="Q162" s="51" t="s">
        <v>892</v>
      </c>
      <c r="R162" s="53" t="s">
        <v>896</v>
      </c>
      <c r="S162" s="51" t="s">
        <v>6380</v>
      </c>
      <c r="T162" s="62">
        <v>13.7986048</v>
      </c>
      <c r="U162" s="62">
        <v>100.6174208</v>
      </c>
      <c r="V162" s="51" t="s">
        <v>1906</v>
      </c>
      <c r="W162" s="53" t="s">
        <v>6378</v>
      </c>
      <c r="X162" s="51" t="s">
        <v>972</v>
      </c>
      <c r="Y162" s="54"/>
      <c r="Z162" s="51" t="s">
        <v>1950</v>
      </c>
      <c r="AA162" s="54"/>
      <c r="AB162" s="54"/>
      <c r="AC162" s="54"/>
      <c r="AD162" s="54"/>
    </row>
    <row r="163">
      <c r="A163" s="51" t="s">
        <v>6381</v>
      </c>
      <c r="B163" s="51" t="s">
        <v>472</v>
      </c>
      <c r="C163" s="51" t="s">
        <v>6382</v>
      </c>
      <c r="D163" s="51" t="s">
        <v>851</v>
      </c>
      <c r="E163" s="52">
        <v>100.0</v>
      </c>
      <c r="F163" s="52">
        <v>0.0</v>
      </c>
      <c r="G163" s="52">
        <v>100.0</v>
      </c>
      <c r="H163" s="51" t="s">
        <v>854</v>
      </c>
      <c r="I163" s="51" t="s">
        <v>855</v>
      </c>
      <c r="J163" s="53" t="s">
        <v>6383</v>
      </c>
      <c r="M163" s="51" t="s">
        <v>6384</v>
      </c>
      <c r="N163" s="51" t="s">
        <v>6384</v>
      </c>
      <c r="O163" s="51" t="s">
        <v>890</v>
      </c>
      <c r="P163" s="51" t="b">
        <v>0</v>
      </c>
      <c r="Q163" s="51" t="s">
        <v>892</v>
      </c>
      <c r="R163" s="53" t="s">
        <v>896</v>
      </c>
      <c r="S163" s="51" t="s">
        <v>6385</v>
      </c>
      <c r="T163" s="62">
        <v>13.7986048</v>
      </c>
      <c r="U163" s="62">
        <v>100.6174208</v>
      </c>
      <c r="V163" s="51" t="s">
        <v>1906</v>
      </c>
      <c r="W163" s="53" t="s">
        <v>6383</v>
      </c>
      <c r="X163" s="51" t="s">
        <v>972</v>
      </c>
      <c r="Y163" s="54"/>
      <c r="Z163" s="51" t="s">
        <v>1950</v>
      </c>
      <c r="AA163" s="54"/>
      <c r="AB163" s="54"/>
      <c r="AC163" s="54"/>
      <c r="AD163" s="54"/>
    </row>
    <row r="164">
      <c r="A164" s="51" t="s">
        <v>6386</v>
      </c>
      <c r="B164" s="51" t="s">
        <v>472</v>
      </c>
      <c r="C164" s="51" t="s">
        <v>6387</v>
      </c>
      <c r="D164" s="51" t="s">
        <v>851</v>
      </c>
      <c r="E164" s="52">
        <v>20.0</v>
      </c>
      <c r="F164" s="52">
        <v>1.0</v>
      </c>
      <c r="G164" s="52">
        <v>19.0</v>
      </c>
      <c r="H164" s="51" t="s">
        <v>854</v>
      </c>
      <c r="I164" s="51" t="s">
        <v>855</v>
      </c>
      <c r="J164" s="53" t="s">
        <v>6388</v>
      </c>
      <c r="M164" s="51" t="s">
        <v>6389</v>
      </c>
      <c r="N164" s="51" t="s">
        <v>6389</v>
      </c>
      <c r="O164" s="51" t="s">
        <v>890</v>
      </c>
      <c r="P164" s="51" t="b">
        <v>0</v>
      </c>
      <c r="Q164" s="51" t="s">
        <v>892</v>
      </c>
      <c r="R164" s="53" t="s">
        <v>896</v>
      </c>
      <c r="S164" s="51" t="s">
        <v>6390</v>
      </c>
      <c r="T164" s="62">
        <v>13.7986048</v>
      </c>
      <c r="U164" s="62">
        <v>100.6174208</v>
      </c>
      <c r="V164" s="51" t="s">
        <v>1906</v>
      </c>
      <c r="W164" s="53" t="s">
        <v>6388</v>
      </c>
      <c r="X164" s="51" t="s">
        <v>972</v>
      </c>
      <c r="Z164" s="51" t="s">
        <v>1950</v>
      </c>
    </row>
    <row r="165">
      <c r="A165" s="51" t="s">
        <v>6391</v>
      </c>
      <c r="B165" s="51" t="s">
        <v>624</v>
      </c>
      <c r="C165" s="51" t="s">
        <v>6392</v>
      </c>
      <c r="D165" s="51" t="s">
        <v>851</v>
      </c>
      <c r="E165" s="52">
        <v>0.0</v>
      </c>
      <c r="F165" s="52">
        <v>0.0</v>
      </c>
      <c r="G165" s="52">
        <v>0.0</v>
      </c>
      <c r="H165" s="51" t="s">
        <v>854</v>
      </c>
      <c r="I165" s="51" t="s">
        <v>855</v>
      </c>
      <c r="J165" s="54"/>
      <c r="M165" s="51" t="s">
        <v>6393</v>
      </c>
      <c r="N165" s="51" t="s">
        <v>6393</v>
      </c>
      <c r="O165" s="51" t="s">
        <v>890</v>
      </c>
      <c r="P165" s="51" t="b">
        <v>0</v>
      </c>
      <c r="Q165" s="51" t="s">
        <v>892</v>
      </c>
      <c r="R165" s="53" t="s">
        <v>896</v>
      </c>
      <c r="S165" s="51" t="s">
        <v>6394</v>
      </c>
      <c r="T165" s="62">
        <v>13.7462066</v>
      </c>
      <c r="U165" s="62">
        <v>100.6256802</v>
      </c>
      <c r="V165" s="51" t="s">
        <v>926</v>
      </c>
      <c r="W165" s="53" t="s">
        <v>6395</v>
      </c>
      <c r="X165" s="51" t="s">
        <v>6317</v>
      </c>
      <c r="Y165" s="53" t="s">
        <v>6395</v>
      </c>
      <c r="Z165" s="51" t="s">
        <v>975</v>
      </c>
      <c r="AA165" s="53" t="s">
        <v>6396</v>
      </c>
      <c r="AB165" s="51" t="s">
        <v>6397</v>
      </c>
      <c r="AC165" s="51" t="s">
        <v>6398</v>
      </c>
      <c r="AD165" s="51" t="s">
        <v>6317</v>
      </c>
    </row>
    <row r="166">
      <c r="A166" s="51" t="s">
        <v>6399</v>
      </c>
      <c r="B166" s="51" t="s">
        <v>624</v>
      </c>
      <c r="C166" s="51" t="s">
        <v>6400</v>
      </c>
      <c r="D166" s="51" t="s">
        <v>851</v>
      </c>
      <c r="E166" s="52">
        <v>0.0</v>
      </c>
      <c r="F166" s="52">
        <v>0.0</v>
      </c>
      <c r="G166" s="52">
        <v>0.0</v>
      </c>
      <c r="H166" s="51" t="s">
        <v>854</v>
      </c>
      <c r="I166" s="51" t="s">
        <v>855</v>
      </c>
      <c r="J166" s="54"/>
      <c r="K166" s="54"/>
      <c r="M166" s="51" t="s">
        <v>6393</v>
      </c>
      <c r="N166" s="51" t="s">
        <v>6393</v>
      </c>
      <c r="O166" s="51" t="s">
        <v>890</v>
      </c>
      <c r="P166" s="51" t="b">
        <v>0</v>
      </c>
      <c r="Q166" s="51" t="s">
        <v>892</v>
      </c>
      <c r="R166" s="53" t="s">
        <v>896</v>
      </c>
      <c r="S166" s="51" t="s">
        <v>6401</v>
      </c>
      <c r="T166" s="62">
        <v>13.7302011</v>
      </c>
      <c r="U166" s="62">
        <v>100.6513761</v>
      </c>
      <c r="V166" s="51" t="s">
        <v>926</v>
      </c>
      <c r="W166" s="53" t="s">
        <v>6402</v>
      </c>
      <c r="X166" s="51" t="s">
        <v>6317</v>
      </c>
      <c r="Y166" s="53" t="s">
        <v>6402</v>
      </c>
      <c r="Z166" s="51" t="s">
        <v>975</v>
      </c>
      <c r="AA166" s="53" t="s">
        <v>6403</v>
      </c>
      <c r="AB166" s="51" t="s">
        <v>6404</v>
      </c>
      <c r="AC166" s="51" t="s">
        <v>6405</v>
      </c>
      <c r="AD166" s="51" t="s">
        <v>6317</v>
      </c>
    </row>
    <row r="167">
      <c r="A167" s="51" t="s">
        <v>6406</v>
      </c>
      <c r="B167" s="51" t="s">
        <v>92</v>
      </c>
      <c r="C167" s="51" t="s">
        <v>6407</v>
      </c>
      <c r="D167" s="51" t="s">
        <v>851</v>
      </c>
      <c r="E167" s="52">
        <v>100.0</v>
      </c>
      <c r="F167" s="52">
        <v>70.0</v>
      </c>
      <c r="G167" s="52">
        <v>30.0</v>
      </c>
      <c r="H167" s="51" t="s">
        <v>854</v>
      </c>
      <c r="I167" s="51" t="s">
        <v>855</v>
      </c>
      <c r="J167" s="53" t="s">
        <v>6408</v>
      </c>
      <c r="M167" s="51" t="s">
        <v>6409</v>
      </c>
      <c r="N167" s="51" t="s">
        <v>6410</v>
      </c>
      <c r="O167" s="51" t="s">
        <v>890</v>
      </c>
      <c r="P167" s="51" t="b">
        <v>0</v>
      </c>
      <c r="Q167" s="51" t="s">
        <v>892</v>
      </c>
      <c r="R167" s="53" t="s">
        <v>896</v>
      </c>
      <c r="S167" s="51" t="s">
        <v>6411</v>
      </c>
      <c r="T167" s="62">
        <v>13.7698687</v>
      </c>
      <c r="U167" s="62">
        <v>100.6851012</v>
      </c>
      <c r="V167" s="51" t="s">
        <v>926</v>
      </c>
      <c r="W167" s="53" t="s">
        <v>6412</v>
      </c>
      <c r="X167" s="51" t="s">
        <v>6317</v>
      </c>
      <c r="Y167" s="53" t="s">
        <v>6412</v>
      </c>
      <c r="Z167" s="51" t="s">
        <v>975</v>
      </c>
      <c r="AA167" s="53" t="s">
        <v>6413</v>
      </c>
      <c r="AB167" s="51" t="s">
        <v>6414</v>
      </c>
      <c r="AC167" s="51" t="s">
        <v>6415</v>
      </c>
      <c r="AD167" s="51" t="s">
        <v>6317</v>
      </c>
    </row>
    <row r="168">
      <c r="A168" s="51" t="s">
        <v>6416</v>
      </c>
      <c r="B168" s="51" t="s">
        <v>92</v>
      </c>
      <c r="C168" s="51" t="s">
        <v>5476</v>
      </c>
      <c r="D168" s="51" t="s">
        <v>851</v>
      </c>
      <c r="E168" s="52">
        <v>80.0</v>
      </c>
      <c r="F168" s="52">
        <v>25.0</v>
      </c>
      <c r="G168" s="52">
        <v>55.0</v>
      </c>
      <c r="H168" s="51" t="s">
        <v>854</v>
      </c>
      <c r="I168" s="51" t="s">
        <v>855</v>
      </c>
      <c r="J168" s="53" t="s">
        <v>6417</v>
      </c>
      <c r="M168" s="51" t="s">
        <v>6418</v>
      </c>
      <c r="N168" s="51" t="s">
        <v>6419</v>
      </c>
      <c r="O168" s="51" t="s">
        <v>890</v>
      </c>
      <c r="P168" s="51" t="b">
        <v>0</v>
      </c>
      <c r="Q168" s="51" t="s">
        <v>892</v>
      </c>
      <c r="R168" s="53" t="s">
        <v>896</v>
      </c>
      <c r="S168" s="51" t="s">
        <v>6420</v>
      </c>
      <c r="T168" s="62">
        <v>13.7581902</v>
      </c>
      <c r="U168" s="62">
        <v>100.6963909</v>
      </c>
      <c r="V168" s="51" t="s">
        <v>926</v>
      </c>
      <c r="W168" s="53" t="s">
        <v>6421</v>
      </c>
      <c r="X168" s="51" t="s">
        <v>6317</v>
      </c>
      <c r="Y168" s="53" t="s">
        <v>6421</v>
      </c>
      <c r="Z168" s="51" t="s">
        <v>975</v>
      </c>
      <c r="AA168" s="53" t="s">
        <v>6422</v>
      </c>
      <c r="AB168" s="51" t="s">
        <v>6423</v>
      </c>
      <c r="AC168" s="51" t="s">
        <v>6424</v>
      </c>
      <c r="AD168" s="51" t="s">
        <v>6317</v>
      </c>
    </row>
    <row r="169">
      <c r="A169" s="51" t="s">
        <v>6425</v>
      </c>
      <c r="B169" s="51" t="s">
        <v>92</v>
      </c>
      <c r="C169" s="51" t="s">
        <v>6426</v>
      </c>
      <c r="D169" s="51" t="s">
        <v>851</v>
      </c>
      <c r="E169" s="52">
        <v>720.0</v>
      </c>
      <c r="F169" s="52">
        <v>720.0</v>
      </c>
      <c r="G169" s="52">
        <v>0.0</v>
      </c>
      <c r="H169" s="51" t="s">
        <v>854</v>
      </c>
      <c r="I169" s="51" t="s">
        <v>1954</v>
      </c>
      <c r="J169" s="53" t="s">
        <v>6427</v>
      </c>
      <c r="M169" s="51" t="s">
        <v>6428</v>
      </c>
      <c r="N169" s="51" t="s">
        <v>6429</v>
      </c>
      <c r="O169" s="51" t="s">
        <v>890</v>
      </c>
      <c r="P169" s="51" t="b">
        <v>0</v>
      </c>
      <c r="Q169" s="51" t="s">
        <v>892</v>
      </c>
      <c r="R169" s="53" t="s">
        <v>896</v>
      </c>
      <c r="S169" s="51" t="s">
        <v>6430</v>
      </c>
      <c r="T169" s="62">
        <v>13.7446344</v>
      </c>
      <c r="U169" s="62">
        <v>100.6953015</v>
      </c>
      <c r="V169" s="51" t="s">
        <v>926</v>
      </c>
      <c r="W169" s="53" t="s">
        <v>6431</v>
      </c>
      <c r="X169" s="51" t="s">
        <v>6317</v>
      </c>
      <c r="Y169" s="53" t="s">
        <v>6431</v>
      </c>
      <c r="Z169" s="51" t="s">
        <v>975</v>
      </c>
      <c r="AA169" s="53" t="s">
        <v>6432</v>
      </c>
      <c r="AB169" s="51" t="s">
        <v>6433</v>
      </c>
      <c r="AC169" s="51" t="s">
        <v>6434</v>
      </c>
      <c r="AD169" s="51" t="s">
        <v>6317</v>
      </c>
    </row>
    <row r="170">
      <c r="A170" s="51" t="s">
        <v>6435</v>
      </c>
      <c r="B170" s="51" t="s">
        <v>92</v>
      </c>
      <c r="C170" s="51" t="s">
        <v>6436</v>
      </c>
      <c r="D170" s="51" t="s">
        <v>851</v>
      </c>
      <c r="E170" s="52">
        <v>360.0</v>
      </c>
      <c r="F170" s="52">
        <v>360.0</v>
      </c>
      <c r="G170" s="52">
        <v>0.0</v>
      </c>
      <c r="H170" s="51" t="s">
        <v>854</v>
      </c>
      <c r="I170" s="51" t="s">
        <v>1954</v>
      </c>
      <c r="J170" s="53" t="s">
        <v>6437</v>
      </c>
      <c r="M170" s="51" t="s">
        <v>6438</v>
      </c>
      <c r="N170" s="51" t="s">
        <v>6439</v>
      </c>
      <c r="O170" s="51" t="s">
        <v>890</v>
      </c>
      <c r="P170" s="51" t="b">
        <v>0</v>
      </c>
      <c r="Q170" s="51" t="s">
        <v>892</v>
      </c>
      <c r="R170" s="53" t="s">
        <v>896</v>
      </c>
      <c r="S170" s="51" t="s">
        <v>6440</v>
      </c>
      <c r="T170" s="62">
        <v>13.740531</v>
      </c>
      <c r="U170" s="62">
        <v>100.6924</v>
      </c>
      <c r="V170" s="51" t="s">
        <v>926</v>
      </c>
      <c r="W170" s="53" t="s">
        <v>6441</v>
      </c>
      <c r="X170" s="51" t="s">
        <v>6317</v>
      </c>
      <c r="Y170" s="53" t="s">
        <v>6441</v>
      </c>
      <c r="Z170" s="51" t="s">
        <v>975</v>
      </c>
      <c r="AA170" s="53" t="s">
        <v>6442</v>
      </c>
      <c r="AB170" s="51" t="s">
        <v>6443</v>
      </c>
      <c r="AC170" s="51" t="s">
        <v>6444</v>
      </c>
      <c r="AD170" s="51" t="s">
        <v>6317</v>
      </c>
    </row>
    <row r="171">
      <c r="A171" s="51" t="s">
        <v>6445</v>
      </c>
      <c r="B171" s="51" t="s">
        <v>92</v>
      </c>
      <c r="C171" s="51" t="s">
        <v>6446</v>
      </c>
      <c r="D171" s="51" t="s">
        <v>851</v>
      </c>
      <c r="E171" s="52">
        <v>300.0</v>
      </c>
      <c r="F171" s="52">
        <v>300.0</v>
      </c>
      <c r="G171" s="52">
        <v>0.0</v>
      </c>
      <c r="H171" s="51" t="s">
        <v>854</v>
      </c>
      <c r="I171" s="51" t="s">
        <v>1954</v>
      </c>
      <c r="J171" s="53" t="s">
        <v>6447</v>
      </c>
      <c r="M171" s="51" t="s">
        <v>6448</v>
      </c>
      <c r="N171" s="51" t="s">
        <v>6449</v>
      </c>
      <c r="O171" s="51" t="s">
        <v>890</v>
      </c>
      <c r="P171" s="51" t="b">
        <v>0</v>
      </c>
      <c r="Q171" s="51" t="s">
        <v>892</v>
      </c>
      <c r="R171" s="53" t="s">
        <v>896</v>
      </c>
      <c r="S171" s="51" t="s">
        <v>6450</v>
      </c>
      <c r="T171" s="62">
        <v>13.7797121</v>
      </c>
      <c r="U171" s="62">
        <v>100.7018671</v>
      </c>
      <c r="V171" s="51" t="s">
        <v>926</v>
      </c>
      <c r="W171" s="53" t="s">
        <v>6451</v>
      </c>
      <c r="X171" s="51" t="s">
        <v>6317</v>
      </c>
      <c r="Y171" s="53" t="s">
        <v>6451</v>
      </c>
      <c r="Z171" s="51" t="s">
        <v>975</v>
      </c>
      <c r="AA171" s="53" t="s">
        <v>6452</v>
      </c>
      <c r="AB171" s="51" t="s">
        <v>6453</v>
      </c>
      <c r="AC171" s="51" t="s">
        <v>6454</v>
      </c>
      <c r="AD171" s="51" t="s">
        <v>6317</v>
      </c>
    </row>
    <row r="172">
      <c r="A172" s="51" t="s">
        <v>6455</v>
      </c>
      <c r="B172" s="51" t="s">
        <v>92</v>
      </c>
      <c r="C172" s="51" t="s">
        <v>6456</v>
      </c>
      <c r="D172" s="51" t="s">
        <v>851</v>
      </c>
      <c r="E172" s="52">
        <v>120.0</v>
      </c>
      <c r="F172" s="52">
        <v>120.0</v>
      </c>
      <c r="G172" s="52">
        <v>0.0</v>
      </c>
      <c r="H172" s="51" t="s">
        <v>854</v>
      </c>
      <c r="I172" s="51" t="s">
        <v>1954</v>
      </c>
      <c r="J172" s="53" t="s">
        <v>6457</v>
      </c>
      <c r="M172" s="51" t="s">
        <v>6458</v>
      </c>
      <c r="N172" s="51" t="s">
        <v>6459</v>
      </c>
      <c r="O172" s="51" t="s">
        <v>890</v>
      </c>
      <c r="P172" s="51" t="b">
        <v>0</v>
      </c>
      <c r="Q172" s="51" t="s">
        <v>892</v>
      </c>
      <c r="R172" s="53" t="s">
        <v>896</v>
      </c>
      <c r="S172" s="51" t="s">
        <v>6460</v>
      </c>
      <c r="T172" s="62">
        <v>13.7690431</v>
      </c>
      <c r="U172" s="62">
        <v>100.6948743</v>
      </c>
      <c r="V172" s="51" t="s">
        <v>926</v>
      </c>
      <c r="W172" s="53" t="s">
        <v>6461</v>
      </c>
      <c r="X172" s="51" t="s">
        <v>6317</v>
      </c>
      <c r="Y172" s="53" t="s">
        <v>6461</v>
      </c>
      <c r="Z172" s="51" t="s">
        <v>975</v>
      </c>
      <c r="AA172" s="53" t="s">
        <v>6462</v>
      </c>
      <c r="AB172" s="51" t="s">
        <v>6463</v>
      </c>
      <c r="AC172" s="51" t="s">
        <v>6464</v>
      </c>
      <c r="AD172" s="51" t="s">
        <v>6317</v>
      </c>
    </row>
    <row r="173">
      <c r="A173" s="51" t="s">
        <v>6465</v>
      </c>
      <c r="B173" s="51" t="s">
        <v>92</v>
      </c>
      <c r="C173" s="51" t="s">
        <v>6466</v>
      </c>
      <c r="D173" s="51" t="s">
        <v>851</v>
      </c>
      <c r="E173" s="52">
        <v>150.0</v>
      </c>
      <c r="F173" s="52">
        <v>50.0</v>
      </c>
      <c r="G173" s="52">
        <v>100.0</v>
      </c>
      <c r="H173" s="51" t="s">
        <v>854</v>
      </c>
      <c r="I173" s="51" t="s">
        <v>855</v>
      </c>
      <c r="J173" s="53" t="s">
        <v>6467</v>
      </c>
      <c r="M173" s="51" t="s">
        <v>6468</v>
      </c>
      <c r="N173" s="51" t="s">
        <v>6469</v>
      </c>
      <c r="O173" s="51" t="s">
        <v>890</v>
      </c>
      <c r="P173" s="51" t="b">
        <v>0</v>
      </c>
      <c r="Q173" s="51" t="s">
        <v>892</v>
      </c>
      <c r="R173" s="53" t="s">
        <v>896</v>
      </c>
      <c r="S173" s="51" t="s">
        <v>6470</v>
      </c>
      <c r="T173" s="62">
        <v>13.7435547</v>
      </c>
      <c r="U173" s="62">
        <v>100.6998924</v>
      </c>
      <c r="V173" s="51" t="s">
        <v>926</v>
      </c>
      <c r="W173" s="53" t="s">
        <v>6471</v>
      </c>
      <c r="X173" s="51" t="s">
        <v>6317</v>
      </c>
      <c r="Y173" s="53" t="s">
        <v>6471</v>
      </c>
      <c r="Z173" s="51" t="s">
        <v>975</v>
      </c>
      <c r="AA173" s="53" t="s">
        <v>6472</v>
      </c>
      <c r="AB173" s="51" t="s">
        <v>6473</v>
      </c>
      <c r="AC173" s="51" t="s">
        <v>6474</v>
      </c>
      <c r="AD173" s="51" t="s">
        <v>6317</v>
      </c>
    </row>
    <row r="174">
      <c r="A174" s="51" t="s">
        <v>6475</v>
      </c>
      <c r="B174" s="51" t="s">
        <v>92</v>
      </c>
      <c r="C174" s="51" t="s">
        <v>6476</v>
      </c>
      <c r="D174" s="51" t="s">
        <v>851</v>
      </c>
      <c r="E174" s="52">
        <v>215.0</v>
      </c>
      <c r="F174" s="52">
        <v>215.0</v>
      </c>
      <c r="G174" s="52">
        <v>0.0</v>
      </c>
      <c r="H174" s="51" t="s">
        <v>854</v>
      </c>
      <c r="I174" s="51" t="s">
        <v>1954</v>
      </c>
      <c r="J174" s="53" t="s">
        <v>6467</v>
      </c>
      <c r="K174" s="54"/>
      <c r="M174" s="51" t="s">
        <v>6477</v>
      </c>
      <c r="N174" s="51" t="s">
        <v>6478</v>
      </c>
      <c r="O174" s="51" t="s">
        <v>890</v>
      </c>
      <c r="P174" s="51" t="b">
        <v>0</v>
      </c>
      <c r="Q174" s="51" t="s">
        <v>892</v>
      </c>
      <c r="R174" s="53" t="s">
        <v>896</v>
      </c>
      <c r="S174" s="51" t="s">
        <v>6479</v>
      </c>
      <c r="T174" s="62">
        <v>13.7701227</v>
      </c>
      <c r="U174" s="62">
        <v>100.7141447</v>
      </c>
      <c r="V174" s="51" t="s">
        <v>926</v>
      </c>
      <c r="W174" s="53" t="s">
        <v>6480</v>
      </c>
      <c r="X174" s="51" t="s">
        <v>6317</v>
      </c>
      <c r="Y174" s="53" t="s">
        <v>6480</v>
      </c>
      <c r="Z174" s="51" t="s">
        <v>975</v>
      </c>
      <c r="AA174" s="53" t="s">
        <v>6481</v>
      </c>
      <c r="AB174" s="51" t="s">
        <v>6482</v>
      </c>
      <c r="AC174" s="51" t="s">
        <v>6483</v>
      </c>
      <c r="AD174" s="51" t="s">
        <v>6317</v>
      </c>
    </row>
    <row r="175">
      <c r="A175" s="51" t="s">
        <v>6484</v>
      </c>
      <c r="B175" s="51" t="s">
        <v>143</v>
      </c>
      <c r="C175" s="51" t="s">
        <v>6485</v>
      </c>
      <c r="D175" s="51" t="s">
        <v>851</v>
      </c>
      <c r="E175" s="52">
        <v>70.0</v>
      </c>
      <c r="F175" s="52">
        <v>0.0</v>
      </c>
      <c r="G175" s="52">
        <v>70.0</v>
      </c>
      <c r="H175" s="51" t="s">
        <v>854</v>
      </c>
      <c r="I175" s="51" t="s">
        <v>855</v>
      </c>
      <c r="J175" s="53" t="s">
        <v>6486</v>
      </c>
      <c r="M175" s="51" t="s">
        <v>6487</v>
      </c>
      <c r="N175" s="51" t="s">
        <v>6487</v>
      </c>
      <c r="O175" s="51" t="s">
        <v>890</v>
      </c>
      <c r="P175" s="51" t="b">
        <v>0</v>
      </c>
      <c r="Q175" s="51" t="s">
        <v>892</v>
      </c>
      <c r="R175" s="53" t="s">
        <v>896</v>
      </c>
      <c r="S175" s="51" t="s">
        <v>6488</v>
      </c>
      <c r="T175" s="62">
        <v>13.7315476</v>
      </c>
      <c r="U175" s="62">
        <v>100.5139127</v>
      </c>
      <c r="V175" s="51" t="s">
        <v>926</v>
      </c>
      <c r="W175" s="53" t="s">
        <v>6489</v>
      </c>
      <c r="X175" s="51" t="s">
        <v>6317</v>
      </c>
      <c r="Y175" s="53" t="s">
        <v>6489</v>
      </c>
      <c r="Z175" s="51" t="s">
        <v>975</v>
      </c>
      <c r="AA175" s="53" t="s">
        <v>6490</v>
      </c>
      <c r="AB175" s="51" t="s">
        <v>6491</v>
      </c>
      <c r="AC175" s="51" t="s">
        <v>6492</v>
      </c>
      <c r="AD175" s="51" t="s">
        <v>6317</v>
      </c>
    </row>
    <row r="176">
      <c r="A176" s="51" t="s">
        <v>6493</v>
      </c>
      <c r="B176" s="51" t="s">
        <v>143</v>
      </c>
      <c r="C176" s="51" t="s">
        <v>6494</v>
      </c>
      <c r="D176" s="51" t="s">
        <v>851</v>
      </c>
      <c r="E176" s="52">
        <v>40.0</v>
      </c>
      <c r="F176" s="52">
        <v>0.0</v>
      </c>
      <c r="G176" s="52">
        <v>40.0</v>
      </c>
      <c r="H176" s="51" t="s">
        <v>854</v>
      </c>
      <c r="I176" s="51" t="s">
        <v>855</v>
      </c>
      <c r="J176" s="53" t="s">
        <v>6495</v>
      </c>
      <c r="M176" s="51" t="s">
        <v>6487</v>
      </c>
      <c r="N176" s="51" t="s">
        <v>6487</v>
      </c>
      <c r="O176" s="51" t="s">
        <v>890</v>
      </c>
      <c r="P176" s="51" t="b">
        <v>0</v>
      </c>
      <c r="Q176" s="51" t="s">
        <v>892</v>
      </c>
      <c r="R176" s="53" t="s">
        <v>896</v>
      </c>
      <c r="S176" s="51" t="s">
        <v>6496</v>
      </c>
      <c r="T176" s="62">
        <v>13.742536</v>
      </c>
      <c r="U176" s="62">
        <v>100.5037511</v>
      </c>
      <c r="V176" s="51" t="s">
        <v>926</v>
      </c>
      <c r="W176" s="53" t="s">
        <v>6497</v>
      </c>
      <c r="X176" s="51" t="s">
        <v>6317</v>
      </c>
      <c r="Y176" s="53" t="s">
        <v>6497</v>
      </c>
      <c r="Z176" s="51" t="s">
        <v>975</v>
      </c>
      <c r="AA176" s="53" t="s">
        <v>6498</v>
      </c>
      <c r="AB176" s="51" t="s">
        <v>6499</v>
      </c>
      <c r="AC176" s="51" t="s">
        <v>6500</v>
      </c>
      <c r="AD176" s="51" t="s">
        <v>6317</v>
      </c>
    </row>
    <row r="177">
      <c r="A177" s="51" t="s">
        <v>6501</v>
      </c>
      <c r="B177" s="51" t="s">
        <v>1399</v>
      </c>
      <c r="C177" s="51" t="s">
        <v>6502</v>
      </c>
      <c r="D177" s="51" t="s">
        <v>851</v>
      </c>
      <c r="E177" s="52">
        <v>100.0</v>
      </c>
      <c r="F177" s="52">
        <v>50.0</v>
      </c>
      <c r="G177" s="52">
        <v>50.0</v>
      </c>
      <c r="H177" s="51" t="s">
        <v>854</v>
      </c>
      <c r="I177" s="51" t="s">
        <v>855</v>
      </c>
      <c r="J177" s="53" t="s">
        <v>6503</v>
      </c>
      <c r="M177" s="51" t="s">
        <v>6504</v>
      </c>
      <c r="N177" s="51" t="s">
        <v>6504</v>
      </c>
      <c r="O177" s="51" t="s">
        <v>890</v>
      </c>
      <c r="P177" s="51" t="b">
        <v>0</v>
      </c>
      <c r="Q177" s="51" t="s">
        <v>892</v>
      </c>
      <c r="R177" s="53" t="s">
        <v>896</v>
      </c>
      <c r="S177" s="51" t="s">
        <v>6505</v>
      </c>
      <c r="T177" s="62">
        <v>13.9190334</v>
      </c>
      <c r="U177" s="62">
        <v>100.635788</v>
      </c>
      <c r="V177" s="51" t="s">
        <v>1906</v>
      </c>
      <c r="W177" s="53" t="s">
        <v>6506</v>
      </c>
      <c r="X177" s="51" t="s">
        <v>4480</v>
      </c>
      <c r="Z177" s="51" t="s">
        <v>1950</v>
      </c>
      <c r="AA177" s="54"/>
    </row>
    <row r="178">
      <c r="A178" s="51" t="s">
        <v>6507</v>
      </c>
      <c r="B178" s="51" t="s">
        <v>478</v>
      </c>
      <c r="C178" s="51" t="s">
        <v>6508</v>
      </c>
      <c r="D178" s="51" t="s">
        <v>851</v>
      </c>
      <c r="E178" s="52">
        <v>12.0</v>
      </c>
      <c r="F178" s="52">
        <v>2.0</v>
      </c>
      <c r="G178" s="52">
        <v>10.0</v>
      </c>
      <c r="H178" s="51" t="s">
        <v>854</v>
      </c>
      <c r="I178" s="51" t="s">
        <v>855</v>
      </c>
      <c r="J178" s="53" t="s">
        <v>6509</v>
      </c>
      <c r="K178" s="51" t="s">
        <v>6510</v>
      </c>
      <c r="M178" s="51" t="s">
        <v>6511</v>
      </c>
      <c r="N178" s="51" t="s">
        <v>6512</v>
      </c>
      <c r="O178" s="51" t="s">
        <v>890</v>
      </c>
      <c r="P178" s="51" t="b">
        <v>0</v>
      </c>
      <c r="Q178" s="51" t="s">
        <v>892</v>
      </c>
      <c r="R178" s="53" t="s">
        <v>896</v>
      </c>
      <c r="S178" s="51" t="s">
        <v>6513</v>
      </c>
      <c r="T178" s="62">
        <v>13.8568125</v>
      </c>
      <c r="U178" s="62">
        <v>100.8590321</v>
      </c>
      <c r="V178" s="51" t="s">
        <v>1906</v>
      </c>
      <c r="W178" s="53" t="s">
        <v>6514</v>
      </c>
      <c r="X178" s="51" t="s">
        <v>4480</v>
      </c>
      <c r="Z178" s="51" t="s">
        <v>1950</v>
      </c>
      <c r="AA178" s="54"/>
    </row>
    <row r="179">
      <c r="A179" s="51" t="s">
        <v>6515</v>
      </c>
      <c r="B179" s="51" t="s">
        <v>478</v>
      </c>
      <c r="C179" s="51" t="s">
        <v>6516</v>
      </c>
      <c r="D179" s="51" t="s">
        <v>851</v>
      </c>
      <c r="E179" s="52">
        <v>100.0</v>
      </c>
      <c r="F179" s="52">
        <v>8.0</v>
      </c>
      <c r="G179" s="52">
        <v>92.0</v>
      </c>
      <c r="H179" s="51" t="s">
        <v>854</v>
      </c>
      <c r="I179" s="51" t="s">
        <v>855</v>
      </c>
      <c r="J179" s="53" t="s">
        <v>6517</v>
      </c>
      <c r="M179" s="51" t="s">
        <v>6518</v>
      </c>
      <c r="N179" s="51" t="s">
        <v>6519</v>
      </c>
      <c r="O179" s="51" t="s">
        <v>890</v>
      </c>
      <c r="P179" s="51" t="b">
        <v>0</v>
      </c>
      <c r="Q179" s="51" t="s">
        <v>892</v>
      </c>
      <c r="R179" s="53" t="s">
        <v>896</v>
      </c>
      <c r="S179" s="51" t="s">
        <v>6520</v>
      </c>
      <c r="T179" s="62">
        <v>13.8022356</v>
      </c>
      <c r="U179" s="62">
        <v>100.8882855</v>
      </c>
      <c r="V179" s="51" t="s">
        <v>1906</v>
      </c>
      <c r="W179" s="53" t="s">
        <v>6521</v>
      </c>
      <c r="X179" s="51" t="s">
        <v>4480</v>
      </c>
      <c r="Z179" s="51" t="s">
        <v>1950</v>
      </c>
      <c r="AA179" s="54"/>
    </row>
    <row r="180">
      <c r="A180" s="51" t="s">
        <v>6522</v>
      </c>
      <c r="B180" s="51" t="s">
        <v>478</v>
      </c>
      <c r="C180" s="51" t="s">
        <v>6523</v>
      </c>
      <c r="D180" s="51" t="s">
        <v>851</v>
      </c>
      <c r="E180" s="52">
        <v>30.0</v>
      </c>
      <c r="F180" s="52">
        <v>0.0</v>
      </c>
      <c r="G180" s="52">
        <v>30.0</v>
      </c>
      <c r="H180" s="51" t="s">
        <v>854</v>
      </c>
      <c r="I180" s="51" t="s">
        <v>855</v>
      </c>
      <c r="J180" s="53" t="s">
        <v>6524</v>
      </c>
      <c r="M180" s="51" t="s">
        <v>6518</v>
      </c>
      <c r="N180" s="51" t="s">
        <v>6518</v>
      </c>
      <c r="O180" s="51" t="s">
        <v>890</v>
      </c>
      <c r="P180" s="51" t="b">
        <v>0</v>
      </c>
      <c r="Q180" s="51" t="s">
        <v>892</v>
      </c>
      <c r="R180" s="53" t="s">
        <v>896</v>
      </c>
      <c r="S180" s="51" t="s">
        <v>6525</v>
      </c>
      <c r="T180" s="62">
        <v>13.7864682</v>
      </c>
      <c r="U180" s="62">
        <v>100.8590006</v>
      </c>
      <c r="V180" s="51" t="s">
        <v>1906</v>
      </c>
      <c r="W180" s="53" t="s">
        <v>6526</v>
      </c>
      <c r="X180" s="51" t="s">
        <v>4480</v>
      </c>
      <c r="Z180" s="51" t="s">
        <v>1950</v>
      </c>
      <c r="AA180" s="54"/>
    </row>
    <row r="181">
      <c r="A181" s="51" t="s">
        <v>6527</v>
      </c>
      <c r="B181" s="51" t="s">
        <v>478</v>
      </c>
      <c r="C181" s="51" t="s">
        <v>6528</v>
      </c>
      <c r="D181" s="51" t="s">
        <v>851</v>
      </c>
      <c r="E181" s="52">
        <v>40.0</v>
      </c>
      <c r="F181" s="52">
        <v>17.0</v>
      </c>
      <c r="G181" s="52">
        <v>23.0</v>
      </c>
      <c r="H181" s="51" t="s">
        <v>854</v>
      </c>
      <c r="I181" s="51" t="s">
        <v>855</v>
      </c>
      <c r="J181" s="53" t="s">
        <v>6529</v>
      </c>
      <c r="M181" s="51" t="s">
        <v>6518</v>
      </c>
      <c r="N181" s="51" t="s">
        <v>6530</v>
      </c>
      <c r="O181" s="51" t="s">
        <v>890</v>
      </c>
      <c r="P181" s="51" t="b">
        <v>0</v>
      </c>
      <c r="Q181" s="51" t="s">
        <v>892</v>
      </c>
      <c r="R181" s="53" t="s">
        <v>896</v>
      </c>
      <c r="S181" s="51" t="s">
        <v>6531</v>
      </c>
      <c r="T181" s="62">
        <v>13.8350993</v>
      </c>
      <c r="U181" s="62">
        <v>100.9108628</v>
      </c>
      <c r="V181" s="51" t="s">
        <v>1906</v>
      </c>
      <c r="W181" s="53" t="s">
        <v>6532</v>
      </c>
      <c r="X181" s="51" t="s">
        <v>4480</v>
      </c>
      <c r="Z181" s="51" t="s">
        <v>1950</v>
      </c>
      <c r="AA181" s="54"/>
    </row>
    <row r="182">
      <c r="A182" s="51" t="s">
        <v>6533</v>
      </c>
      <c r="B182" s="51" t="s">
        <v>478</v>
      </c>
      <c r="C182" s="51" t="s">
        <v>6534</v>
      </c>
      <c r="D182" s="51" t="s">
        <v>851</v>
      </c>
      <c r="E182" s="52">
        <v>20.0</v>
      </c>
      <c r="F182" s="52">
        <v>9.0</v>
      </c>
      <c r="G182" s="52">
        <v>11.0</v>
      </c>
      <c r="H182" s="51" t="s">
        <v>854</v>
      </c>
      <c r="I182" s="51" t="s">
        <v>855</v>
      </c>
      <c r="J182" s="53" t="s">
        <v>6535</v>
      </c>
      <c r="M182" s="51" t="s">
        <v>6518</v>
      </c>
      <c r="N182" s="51" t="s">
        <v>6536</v>
      </c>
      <c r="O182" s="51" t="s">
        <v>890</v>
      </c>
      <c r="P182" s="51" t="b">
        <v>0</v>
      </c>
      <c r="Q182" s="51" t="s">
        <v>892</v>
      </c>
      <c r="R182" s="53" t="s">
        <v>896</v>
      </c>
      <c r="S182" s="51" t="s">
        <v>6537</v>
      </c>
      <c r="T182" s="62">
        <v>13.8190381</v>
      </c>
      <c r="U182" s="62">
        <v>100.8507323</v>
      </c>
      <c r="V182" s="51" t="s">
        <v>1906</v>
      </c>
      <c r="W182" s="53" t="s">
        <v>6538</v>
      </c>
      <c r="X182" s="51" t="s">
        <v>4480</v>
      </c>
      <c r="Z182" s="51" t="s">
        <v>1950</v>
      </c>
      <c r="AA182" s="54"/>
    </row>
    <row r="183">
      <c r="A183" s="51" t="s">
        <v>6539</v>
      </c>
      <c r="B183" s="51" t="s">
        <v>478</v>
      </c>
      <c r="C183" s="51" t="s">
        <v>6540</v>
      </c>
      <c r="D183" s="51" t="s">
        <v>851</v>
      </c>
      <c r="E183" s="52">
        <v>20.0</v>
      </c>
      <c r="F183" s="52">
        <v>3.0</v>
      </c>
      <c r="G183" s="52">
        <v>17.0</v>
      </c>
      <c r="H183" s="51" t="s">
        <v>854</v>
      </c>
      <c r="I183" s="51" t="s">
        <v>855</v>
      </c>
      <c r="J183" s="53" t="s">
        <v>6541</v>
      </c>
      <c r="K183" s="54"/>
      <c r="M183" s="51" t="s">
        <v>6542</v>
      </c>
      <c r="N183" s="51" t="s">
        <v>6543</v>
      </c>
      <c r="O183" s="51" t="s">
        <v>890</v>
      </c>
      <c r="P183" s="51" t="b">
        <v>0</v>
      </c>
      <c r="Q183" s="51" t="s">
        <v>892</v>
      </c>
      <c r="R183" s="53" t="s">
        <v>896</v>
      </c>
      <c r="S183" s="51" t="s">
        <v>6544</v>
      </c>
      <c r="T183" s="62">
        <v>13.7925452</v>
      </c>
      <c r="U183" s="62">
        <v>100.9110754</v>
      </c>
      <c r="V183" s="51" t="s">
        <v>1906</v>
      </c>
      <c r="W183" s="53" t="s">
        <v>6545</v>
      </c>
      <c r="X183" s="51" t="s">
        <v>4480</v>
      </c>
      <c r="Z183" s="51" t="s">
        <v>1950</v>
      </c>
      <c r="AA183" s="54"/>
    </row>
    <row r="184">
      <c r="A184" s="51" t="s">
        <v>6546</v>
      </c>
      <c r="B184" s="51" t="s">
        <v>478</v>
      </c>
      <c r="C184" s="51" t="s">
        <v>6547</v>
      </c>
      <c r="D184" s="51" t="s">
        <v>851</v>
      </c>
      <c r="E184" s="52">
        <v>50.0</v>
      </c>
      <c r="F184" s="52">
        <v>0.0</v>
      </c>
      <c r="G184" s="52">
        <v>50.0</v>
      </c>
      <c r="H184" s="51" t="s">
        <v>854</v>
      </c>
      <c r="I184" s="51" t="s">
        <v>855</v>
      </c>
      <c r="J184" s="53" t="s">
        <v>6548</v>
      </c>
      <c r="M184" s="51" t="s">
        <v>6549</v>
      </c>
      <c r="N184" s="51" t="s">
        <v>6549</v>
      </c>
      <c r="O184" s="51" t="s">
        <v>890</v>
      </c>
      <c r="P184" s="51" t="b">
        <v>0</v>
      </c>
      <c r="Q184" s="51" t="s">
        <v>892</v>
      </c>
      <c r="R184" s="53" t="s">
        <v>896</v>
      </c>
      <c r="S184" s="51" t="s">
        <v>6550</v>
      </c>
      <c r="T184" s="62">
        <v>13.8294427</v>
      </c>
      <c r="U184" s="62">
        <v>100.8486489</v>
      </c>
      <c r="V184" s="51" t="s">
        <v>1906</v>
      </c>
      <c r="W184" s="53" t="s">
        <v>6551</v>
      </c>
      <c r="X184" s="51" t="s">
        <v>4480</v>
      </c>
      <c r="Z184" s="51" t="s">
        <v>1950</v>
      </c>
      <c r="AA184" s="54"/>
    </row>
    <row r="185">
      <c r="A185" s="51" t="s">
        <v>6552</v>
      </c>
      <c r="B185" s="51" t="s">
        <v>478</v>
      </c>
      <c r="C185" s="51" t="s">
        <v>6553</v>
      </c>
      <c r="D185" s="51" t="s">
        <v>851</v>
      </c>
      <c r="E185" s="52">
        <v>30.0</v>
      </c>
      <c r="F185" s="52">
        <v>3.0</v>
      </c>
      <c r="G185" s="52">
        <v>27.0</v>
      </c>
      <c r="H185" s="51" t="s">
        <v>854</v>
      </c>
      <c r="I185" s="51" t="s">
        <v>855</v>
      </c>
      <c r="J185" s="53" t="s">
        <v>6554</v>
      </c>
      <c r="M185" s="51" t="s">
        <v>6518</v>
      </c>
      <c r="N185" s="51" t="s">
        <v>6555</v>
      </c>
      <c r="O185" s="51" t="s">
        <v>890</v>
      </c>
      <c r="P185" s="51" t="b">
        <v>0</v>
      </c>
      <c r="Q185" s="51" t="s">
        <v>892</v>
      </c>
      <c r="R185" s="53" t="s">
        <v>896</v>
      </c>
      <c r="S185" s="51" t="s">
        <v>6556</v>
      </c>
      <c r="T185" s="62">
        <v>13.8882999</v>
      </c>
      <c r="U185" s="62">
        <v>100.8493822</v>
      </c>
      <c r="V185" s="51" t="s">
        <v>1906</v>
      </c>
      <c r="W185" s="53" t="s">
        <v>6557</v>
      </c>
      <c r="X185" s="51" t="s">
        <v>4480</v>
      </c>
      <c r="Z185" s="51" t="s">
        <v>1950</v>
      </c>
      <c r="AA185" s="54"/>
    </row>
    <row r="186">
      <c r="A186" s="51" t="s">
        <v>6558</v>
      </c>
      <c r="B186" s="51" t="s">
        <v>478</v>
      </c>
      <c r="C186" s="51" t="s">
        <v>6559</v>
      </c>
      <c r="D186" s="51" t="s">
        <v>851</v>
      </c>
      <c r="E186" s="52">
        <v>50.0</v>
      </c>
      <c r="F186" s="52">
        <v>22.0</v>
      </c>
      <c r="G186" s="52">
        <v>28.0</v>
      </c>
      <c r="H186" s="51" t="s">
        <v>854</v>
      </c>
      <c r="I186" s="51" t="s">
        <v>855</v>
      </c>
      <c r="J186" s="53" t="s">
        <v>6560</v>
      </c>
      <c r="M186" s="51" t="s">
        <v>6518</v>
      </c>
      <c r="N186" s="51" t="s">
        <v>6561</v>
      </c>
      <c r="O186" s="51" t="s">
        <v>890</v>
      </c>
      <c r="P186" s="51" t="b">
        <v>0</v>
      </c>
      <c r="Q186" s="51" t="s">
        <v>892</v>
      </c>
      <c r="R186" s="53" t="s">
        <v>896</v>
      </c>
      <c r="S186" s="51" t="s">
        <v>6562</v>
      </c>
      <c r="T186" s="62">
        <v>13.8782963</v>
      </c>
      <c r="U186" s="62">
        <v>100.8200385</v>
      </c>
      <c r="V186" s="51" t="s">
        <v>1906</v>
      </c>
      <c r="W186" s="53" t="s">
        <v>6563</v>
      </c>
      <c r="X186" s="51" t="s">
        <v>4480</v>
      </c>
      <c r="Z186" s="51" t="s">
        <v>1950</v>
      </c>
      <c r="AA186" s="54"/>
    </row>
    <row r="187">
      <c r="A187" s="51" t="s">
        <v>6564</v>
      </c>
      <c r="B187" s="51" t="s">
        <v>478</v>
      </c>
      <c r="C187" s="51" t="s">
        <v>6565</v>
      </c>
      <c r="D187" s="51" t="s">
        <v>851</v>
      </c>
      <c r="E187" s="52">
        <v>60.0</v>
      </c>
      <c r="F187" s="52">
        <v>3.0</v>
      </c>
      <c r="G187" s="52">
        <v>57.0</v>
      </c>
      <c r="H187" s="51" t="s">
        <v>854</v>
      </c>
      <c r="I187" s="51" t="s">
        <v>855</v>
      </c>
      <c r="J187" s="53" t="s">
        <v>6566</v>
      </c>
      <c r="K187" s="54"/>
      <c r="M187" s="51" t="s">
        <v>6518</v>
      </c>
      <c r="N187" s="51" t="s">
        <v>6567</v>
      </c>
      <c r="O187" s="51" t="s">
        <v>890</v>
      </c>
      <c r="P187" s="51" t="b">
        <v>0</v>
      </c>
      <c r="Q187" s="51" t="s">
        <v>892</v>
      </c>
      <c r="R187" s="53" t="s">
        <v>896</v>
      </c>
      <c r="S187" s="51" t="s">
        <v>6568</v>
      </c>
      <c r="T187" s="62">
        <v>13.8503321</v>
      </c>
      <c r="U187" s="62">
        <v>100.8039171</v>
      </c>
      <c r="V187" s="51" t="s">
        <v>1906</v>
      </c>
      <c r="W187" s="53" t="s">
        <v>6569</v>
      </c>
      <c r="X187" s="51" t="s">
        <v>4480</v>
      </c>
      <c r="Z187" s="51" t="s">
        <v>1950</v>
      </c>
      <c r="AA187" s="54"/>
    </row>
    <row r="188">
      <c r="A188" s="51" t="s">
        <v>6570</v>
      </c>
      <c r="B188" s="51" t="s">
        <v>478</v>
      </c>
      <c r="C188" s="51" t="s">
        <v>6571</v>
      </c>
      <c r="D188" s="51" t="s">
        <v>851</v>
      </c>
      <c r="E188" s="52">
        <v>80.0</v>
      </c>
      <c r="F188" s="52">
        <v>0.0</v>
      </c>
      <c r="G188" s="52">
        <v>80.0</v>
      </c>
      <c r="H188" s="51" t="s">
        <v>854</v>
      </c>
      <c r="I188" s="51" t="s">
        <v>855</v>
      </c>
      <c r="J188" s="53" t="s">
        <v>6572</v>
      </c>
      <c r="M188" s="51" t="s">
        <v>6518</v>
      </c>
      <c r="N188" s="51" t="s">
        <v>6518</v>
      </c>
      <c r="O188" s="51" t="s">
        <v>890</v>
      </c>
      <c r="P188" s="51" t="b">
        <v>0</v>
      </c>
      <c r="Q188" s="51" t="s">
        <v>892</v>
      </c>
      <c r="R188" s="53" t="s">
        <v>896</v>
      </c>
      <c r="S188" s="51" t="s">
        <v>6573</v>
      </c>
      <c r="T188" s="62">
        <v>13.9135041</v>
      </c>
      <c r="U188" s="62">
        <v>100.8634692</v>
      </c>
      <c r="V188" s="51" t="s">
        <v>1906</v>
      </c>
      <c r="W188" s="53" t="s">
        <v>6574</v>
      </c>
      <c r="X188" s="51" t="s">
        <v>4480</v>
      </c>
      <c r="Z188" s="51" t="s">
        <v>1950</v>
      </c>
      <c r="AA188" s="54"/>
    </row>
    <row r="189">
      <c r="A189" s="51" t="s">
        <v>6575</v>
      </c>
      <c r="B189" s="51" t="s">
        <v>478</v>
      </c>
      <c r="C189" s="51" t="s">
        <v>6576</v>
      </c>
      <c r="D189" s="51" t="s">
        <v>851</v>
      </c>
      <c r="E189" s="52">
        <v>50.0</v>
      </c>
      <c r="F189" s="52">
        <v>0.0</v>
      </c>
      <c r="G189" s="52">
        <v>50.0</v>
      </c>
      <c r="H189" s="51" t="s">
        <v>854</v>
      </c>
      <c r="I189" s="51" t="s">
        <v>855</v>
      </c>
      <c r="J189" s="53" t="s">
        <v>6577</v>
      </c>
      <c r="M189" s="51" t="s">
        <v>6518</v>
      </c>
      <c r="N189" s="51" t="s">
        <v>6518</v>
      </c>
      <c r="O189" s="51" t="s">
        <v>890</v>
      </c>
      <c r="P189" s="51" t="b">
        <v>0</v>
      </c>
      <c r="Q189" s="51" t="s">
        <v>892</v>
      </c>
      <c r="R189" s="53" t="s">
        <v>896</v>
      </c>
      <c r="S189" s="51" t="s">
        <v>6578</v>
      </c>
      <c r="T189" s="62">
        <v>13.9191438</v>
      </c>
      <c r="U189" s="62">
        <v>100.8652142</v>
      </c>
      <c r="V189" s="51" t="s">
        <v>1906</v>
      </c>
      <c r="W189" s="53" t="s">
        <v>6579</v>
      </c>
      <c r="X189" s="51" t="s">
        <v>4480</v>
      </c>
      <c r="Z189" s="51" t="s">
        <v>1950</v>
      </c>
      <c r="AA189" s="54"/>
    </row>
    <row r="190">
      <c r="A190" s="51" t="s">
        <v>6580</v>
      </c>
      <c r="B190" s="51" t="s">
        <v>478</v>
      </c>
      <c r="C190" s="51" t="s">
        <v>6581</v>
      </c>
      <c r="D190" s="51" t="s">
        <v>851</v>
      </c>
      <c r="E190" s="52">
        <v>40.0</v>
      </c>
      <c r="F190" s="52">
        <v>20.0</v>
      </c>
      <c r="G190" s="52">
        <v>20.0</v>
      </c>
      <c r="H190" s="51" t="s">
        <v>854</v>
      </c>
      <c r="I190" s="51" t="s">
        <v>855</v>
      </c>
      <c r="J190" s="53" t="s">
        <v>6582</v>
      </c>
      <c r="M190" s="51" t="s">
        <v>6518</v>
      </c>
      <c r="N190" s="51" t="s">
        <v>6583</v>
      </c>
      <c r="O190" s="51" t="s">
        <v>890</v>
      </c>
      <c r="P190" s="51" t="b">
        <v>0</v>
      </c>
      <c r="Q190" s="51" t="s">
        <v>892</v>
      </c>
      <c r="R190" s="53" t="s">
        <v>896</v>
      </c>
      <c r="S190" s="51" t="s">
        <v>6584</v>
      </c>
      <c r="T190" s="62">
        <v>13.8112539</v>
      </c>
      <c r="U190" s="62">
        <v>100.8784303</v>
      </c>
      <c r="V190" s="51" t="s">
        <v>1906</v>
      </c>
      <c r="W190" s="53" t="s">
        <v>6585</v>
      </c>
      <c r="X190" s="51" t="s">
        <v>4480</v>
      </c>
      <c r="Z190" s="51" t="s">
        <v>1950</v>
      </c>
      <c r="AA190" s="54"/>
    </row>
    <row r="191">
      <c r="A191" s="51" t="s">
        <v>6586</v>
      </c>
      <c r="B191" s="51" t="s">
        <v>478</v>
      </c>
      <c r="C191" s="51" t="s">
        <v>6587</v>
      </c>
      <c r="D191" s="51" t="s">
        <v>851</v>
      </c>
      <c r="E191" s="52">
        <v>20.0</v>
      </c>
      <c r="F191" s="52">
        <v>0.0</v>
      </c>
      <c r="G191" s="52">
        <v>20.0</v>
      </c>
      <c r="H191" s="51" t="s">
        <v>854</v>
      </c>
      <c r="I191" s="51" t="s">
        <v>855</v>
      </c>
      <c r="J191" s="53" t="s">
        <v>6588</v>
      </c>
      <c r="M191" s="51" t="s">
        <v>6549</v>
      </c>
      <c r="N191" s="51" t="s">
        <v>6549</v>
      </c>
      <c r="O191" s="51" t="s">
        <v>890</v>
      </c>
      <c r="P191" s="51" t="b">
        <v>0</v>
      </c>
      <c r="Q191" s="51" t="s">
        <v>892</v>
      </c>
      <c r="R191" s="53" t="s">
        <v>896</v>
      </c>
      <c r="S191" s="51" t="s">
        <v>6589</v>
      </c>
      <c r="T191" s="62">
        <v>13.8564592</v>
      </c>
      <c r="U191" s="62">
        <v>100.8599736</v>
      </c>
      <c r="V191" s="51" t="s">
        <v>1906</v>
      </c>
      <c r="W191" s="53" t="s">
        <v>6590</v>
      </c>
      <c r="X191" s="51" t="s">
        <v>4480</v>
      </c>
      <c r="Z191" s="51" t="s">
        <v>1950</v>
      </c>
      <c r="AA191" s="54"/>
    </row>
    <row r="192">
      <c r="A192" s="51" t="s">
        <v>6591</v>
      </c>
      <c r="B192" s="51" t="s">
        <v>478</v>
      </c>
      <c r="C192" s="51" t="s">
        <v>6592</v>
      </c>
      <c r="D192" s="51" t="s">
        <v>851</v>
      </c>
      <c r="E192" s="52">
        <v>20.0</v>
      </c>
      <c r="F192" s="52">
        <v>4.0</v>
      </c>
      <c r="G192" s="52">
        <v>16.0</v>
      </c>
      <c r="H192" s="51" t="s">
        <v>854</v>
      </c>
      <c r="I192" s="51" t="s">
        <v>855</v>
      </c>
      <c r="J192" s="53" t="s">
        <v>6593</v>
      </c>
      <c r="M192" s="51" t="s">
        <v>6542</v>
      </c>
      <c r="N192" s="51" t="s">
        <v>6594</v>
      </c>
      <c r="O192" s="51" t="s">
        <v>890</v>
      </c>
      <c r="P192" s="51" t="b">
        <v>0</v>
      </c>
      <c r="Q192" s="51" t="s">
        <v>892</v>
      </c>
      <c r="R192" s="53" t="s">
        <v>896</v>
      </c>
      <c r="S192" s="51" t="s">
        <v>6595</v>
      </c>
      <c r="T192" s="62">
        <v>13.770173</v>
      </c>
      <c r="U192" s="62">
        <v>100.8365719</v>
      </c>
      <c r="V192" s="51" t="s">
        <v>926</v>
      </c>
      <c r="W192" s="53" t="s">
        <v>6596</v>
      </c>
      <c r="X192" s="51" t="s">
        <v>6317</v>
      </c>
      <c r="Y192" s="53" t="s">
        <v>6596</v>
      </c>
      <c r="Z192" s="51" t="s">
        <v>975</v>
      </c>
      <c r="AA192" s="53" t="s">
        <v>6597</v>
      </c>
      <c r="AB192" s="51" t="s">
        <v>6598</v>
      </c>
      <c r="AC192" s="51" t="s">
        <v>6599</v>
      </c>
      <c r="AD192" s="51" t="s">
        <v>6317</v>
      </c>
    </row>
    <row r="193">
      <c r="A193" s="51" t="s">
        <v>6600</v>
      </c>
      <c r="B193" s="51" t="s">
        <v>478</v>
      </c>
      <c r="C193" s="51" t="s">
        <v>6601</v>
      </c>
      <c r="D193" s="51" t="s">
        <v>851</v>
      </c>
      <c r="E193" s="52">
        <v>100.0</v>
      </c>
      <c r="F193" s="52">
        <v>0.0</v>
      </c>
      <c r="G193" s="52">
        <v>100.0</v>
      </c>
      <c r="H193" s="51" t="s">
        <v>854</v>
      </c>
      <c r="I193" s="51" t="s">
        <v>855</v>
      </c>
      <c r="J193" s="54"/>
      <c r="K193" s="53" t="s">
        <v>6602</v>
      </c>
      <c r="M193" s="51" t="s">
        <v>6542</v>
      </c>
      <c r="N193" s="51" t="s">
        <v>6542</v>
      </c>
      <c r="O193" s="51" t="s">
        <v>890</v>
      </c>
      <c r="P193" s="51" t="b">
        <v>0</v>
      </c>
      <c r="Q193" s="51" t="s">
        <v>892</v>
      </c>
      <c r="R193" s="53" t="s">
        <v>896</v>
      </c>
      <c r="S193" s="51" t="s">
        <v>6603</v>
      </c>
      <c r="T193" s="62">
        <v>13.9042876</v>
      </c>
      <c r="U193" s="62">
        <v>100.811806</v>
      </c>
      <c r="V193" s="51" t="s">
        <v>926</v>
      </c>
      <c r="W193" s="53" t="s">
        <v>6604</v>
      </c>
      <c r="X193" s="51" t="s">
        <v>6317</v>
      </c>
      <c r="Y193" s="53" t="s">
        <v>6604</v>
      </c>
      <c r="Z193" s="51" t="s">
        <v>975</v>
      </c>
      <c r="AA193" s="53" t="s">
        <v>6605</v>
      </c>
      <c r="AB193" s="51" t="s">
        <v>6606</v>
      </c>
      <c r="AC193" s="51" t="s">
        <v>6607</v>
      </c>
      <c r="AD193" s="51" t="s">
        <v>6317</v>
      </c>
    </row>
    <row r="194">
      <c r="A194" s="51" t="s">
        <v>6608</v>
      </c>
      <c r="B194" s="51" t="s">
        <v>478</v>
      </c>
      <c r="C194" s="51" t="s">
        <v>6609</v>
      </c>
      <c r="D194" s="51" t="s">
        <v>851</v>
      </c>
      <c r="E194" s="52">
        <v>20.0</v>
      </c>
      <c r="F194" s="52">
        <v>0.0</v>
      </c>
      <c r="G194" s="52">
        <v>20.0</v>
      </c>
      <c r="H194" s="51" t="s">
        <v>854</v>
      </c>
      <c r="I194" s="51" t="s">
        <v>855</v>
      </c>
      <c r="J194" s="53" t="s">
        <v>6610</v>
      </c>
      <c r="M194" s="51" t="s">
        <v>6542</v>
      </c>
      <c r="N194" s="51" t="s">
        <v>6542</v>
      </c>
      <c r="O194" s="51" t="s">
        <v>890</v>
      </c>
      <c r="P194" s="51" t="b">
        <v>0</v>
      </c>
      <c r="Q194" s="51" t="s">
        <v>892</v>
      </c>
      <c r="R194" s="53" t="s">
        <v>896</v>
      </c>
      <c r="S194" s="51" t="s">
        <v>6611</v>
      </c>
      <c r="T194" s="62">
        <v>13.9128312</v>
      </c>
      <c r="U194" s="62">
        <v>100.8390236</v>
      </c>
      <c r="V194" s="51" t="s">
        <v>1906</v>
      </c>
      <c r="W194" s="53" t="s">
        <v>6612</v>
      </c>
      <c r="X194" s="51" t="s">
        <v>4480</v>
      </c>
      <c r="Z194" s="51" t="s">
        <v>1950</v>
      </c>
      <c r="AA194" s="54"/>
    </row>
    <row r="195">
      <c r="A195" s="51" t="s">
        <v>6613</v>
      </c>
      <c r="B195" s="51" t="s">
        <v>478</v>
      </c>
      <c r="C195" s="51" t="s">
        <v>6614</v>
      </c>
      <c r="D195" s="51" t="s">
        <v>851</v>
      </c>
      <c r="E195" s="52">
        <v>50.0</v>
      </c>
      <c r="F195" s="52">
        <v>0.0</v>
      </c>
      <c r="G195" s="52">
        <v>50.0</v>
      </c>
      <c r="H195" s="51" t="s">
        <v>854</v>
      </c>
      <c r="I195" s="51" t="s">
        <v>855</v>
      </c>
      <c r="J195" s="53" t="s">
        <v>6615</v>
      </c>
      <c r="M195" s="51" t="s">
        <v>6518</v>
      </c>
      <c r="N195" s="51" t="s">
        <v>6518</v>
      </c>
      <c r="O195" s="51" t="s">
        <v>890</v>
      </c>
      <c r="P195" s="51" t="b">
        <v>0</v>
      </c>
      <c r="Q195" s="51" t="s">
        <v>892</v>
      </c>
      <c r="R195" s="53" t="s">
        <v>896</v>
      </c>
      <c r="S195" s="51" t="s">
        <v>6616</v>
      </c>
      <c r="T195" s="62">
        <v>13.8264146</v>
      </c>
      <c r="U195" s="62">
        <v>100.8163025</v>
      </c>
      <c r="V195" s="51" t="s">
        <v>1906</v>
      </c>
      <c r="W195" s="53" t="s">
        <v>6617</v>
      </c>
      <c r="X195" s="51" t="s">
        <v>4480</v>
      </c>
      <c r="Z195" s="51" t="s">
        <v>1950</v>
      </c>
      <c r="AA195" s="54"/>
    </row>
    <row r="196">
      <c r="A196" s="51" t="s">
        <v>6618</v>
      </c>
      <c r="B196" s="51" t="s">
        <v>478</v>
      </c>
      <c r="C196" s="51" t="s">
        <v>6619</v>
      </c>
      <c r="D196" s="51" t="s">
        <v>851</v>
      </c>
      <c r="E196" s="52">
        <v>40.0</v>
      </c>
      <c r="F196" s="52">
        <v>4.0</v>
      </c>
      <c r="G196" s="52">
        <v>36.0</v>
      </c>
      <c r="H196" s="51" t="s">
        <v>854</v>
      </c>
      <c r="I196" s="51" t="s">
        <v>855</v>
      </c>
      <c r="J196" s="53" t="s">
        <v>6620</v>
      </c>
      <c r="M196" s="51" t="s">
        <v>6549</v>
      </c>
      <c r="N196" s="51" t="s">
        <v>6621</v>
      </c>
      <c r="O196" s="51" t="s">
        <v>890</v>
      </c>
      <c r="P196" s="51" t="b">
        <v>0</v>
      </c>
      <c r="Q196" s="51" t="s">
        <v>892</v>
      </c>
      <c r="R196" s="53" t="s">
        <v>896</v>
      </c>
      <c r="S196" s="51" t="s">
        <v>6622</v>
      </c>
      <c r="T196" s="62">
        <v>13.8034465</v>
      </c>
      <c r="U196" s="62">
        <v>100.8601641</v>
      </c>
      <c r="V196" s="51" t="s">
        <v>1906</v>
      </c>
      <c r="W196" s="53" t="s">
        <v>6623</v>
      </c>
      <c r="X196" s="51" t="s">
        <v>4480</v>
      </c>
      <c r="Z196" s="51" t="s">
        <v>1950</v>
      </c>
      <c r="AA196" s="54"/>
    </row>
    <row r="197">
      <c r="A197" s="51" t="s">
        <v>6624</v>
      </c>
      <c r="B197" s="51" t="s">
        <v>478</v>
      </c>
      <c r="C197" s="51" t="s">
        <v>6625</v>
      </c>
      <c r="D197" s="51" t="s">
        <v>851</v>
      </c>
      <c r="E197" s="52">
        <v>30.0</v>
      </c>
      <c r="F197" s="52">
        <v>24.0</v>
      </c>
      <c r="G197" s="52">
        <v>6.0</v>
      </c>
      <c r="H197" s="51" t="s">
        <v>854</v>
      </c>
      <c r="I197" s="51" t="s">
        <v>855</v>
      </c>
      <c r="J197" s="53" t="s">
        <v>6626</v>
      </c>
      <c r="M197" s="51" t="s">
        <v>6518</v>
      </c>
      <c r="N197" s="51" t="s">
        <v>6627</v>
      </c>
      <c r="O197" s="51" t="s">
        <v>890</v>
      </c>
      <c r="P197" s="51" t="b">
        <v>0</v>
      </c>
      <c r="Q197" s="51" t="s">
        <v>892</v>
      </c>
      <c r="R197" s="53" t="s">
        <v>896</v>
      </c>
      <c r="S197" s="51" t="s">
        <v>6628</v>
      </c>
      <c r="T197" s="62">
        <v>13.8503683</v>
      </c>
      <c r="U197" s="62">
        <v>100.8971098</v>
      </c>
      <c r="V197" s="51" t="s">
        <v>1906</v>
      </c>
      <c r="W197" s="53" t="s">
        <v>6629</v>
      </c>
      <c r="X197" s="51" t="s">
        <v>4480</v>
      </c>
      <c r="Z197" s="51" t="s">
        <v>1950</v>
      </c>
      <c r="AA197" s="54"/>
    </row>
    <row r="198">
      <c r="A198" s="51" t="s">
        <v>6630</v>
      </c>
      <c r="B198" s="51" t="s">
        <v>478</v>
      </c>
      <c r="C198" s="51" t="s">
        <v>6631</v>
      </c>
      <c r="D198" s="51" t="s">
        <v>851</v>
      </c>
      <c r="E198" s="52">
        <v>60.0</v>
      </c>
      <c r="F198" s="52">
        <v>7.0</v>
      </c>
      <c r="G198" s="52">
        <v>53.0</v>
      </c>
      <c r="H198" s="51" t="s">
        <v>854</v>
      </c>
      <c r="I198" s="51" t="s">
        <v>855</v>
      </c>
      <c r="J198" s="53" t="s">
        <v>6632</v>
      </c>
      <c r="M198" s="51" t="s">
        <v>6518</v>
      </c>
      <c r="N198" s="51" t="s">
        <v>6633</v>
      </c>
      <c r="O198" s="51" t="s">
        <v>890</v>
      </c>
      <c r="P198" s="51" t="b">
        <v>0</v>
      </c>
      <c r="Q198" s="51" t="s">
        <v>892</v>
      </c>
      <c r="R198" s="53" t="s">
        <v>896</v>
      </c>
      <c r="S198" s="51" t="s">
        <v>6634</v>
      </c>
      <c r="T198" s="62">
        <v>13.8553066</v>
      </c>
      <c r="U198" s="62">
        <v>100.8693771</v>
      </c>
      <c r="V198" s="51" t="s">
        <v>1906</v>
      </c>
      <c r="W198" s="53" t="s">
        <v>6635</v>
      </c>
      <c r="X198" s="51" t="s">
        <v>4480</v>
      </c>
      <c r="Z198" s="51" t="s">
        <v>1950</v>
      </c>
      <c r="AA198" s="54"/>
    </row>
    <row r="199">
      <c r="A199" s="51" t="s">
        <v>6636</v>
      </c>
      <c r="B199" s="51" t="s">
        <v>478</v>
      </c>
      <c r="C199" s="51" t="s">
        <v>6637</v>
      </c>
      <c r="D199" s="51" t="s">
        <v>851</v>
      </c>
      <c r="E199" s="52">
        <v>60.0</v>
      </c>
      <c r="F199" s="52">
        <v>1.0</v>
      </c>
      <c r="G199" s="52">
        <v>59.0</v>
      </c>
      <c r="H199" s="51" t="s">
        <v>854</v>
      </c>
      <c r="I199" s="51" t="s">
        <v>855</v>
      </c>
      <c r="J199" s="53" t="s">
        <v>6638</v>
      </c>
      <c r="M199" s="51" t="s">
        <v>6639</v>
      </c>
      <c r="N199" s="51" t="s">
        <v>6639</v>
      </c>
      <c r="O199" s="51" t="s">
        <v>890</v>
      </c>
      <c r="P199" s="51" t="b">
        <v>0</v>
      </c>
      <c r="Q199" s="51" t="s">
        <v>892</v>
      </c>
      <c r="R199" s="53" t="s">
        <v>896</v>
      </c>
      <c r="S199" s="51" t="s">
        <v>6640</v>
      </c>
      <c r="T199" s="62">
        <v>13.8206018</v>
      </c>
      <c r="U199" s="62">
        <v>100.83179</v>
      </c>
      <c r="V199" s="51" t="s">
        <v>1906</v>
      </c>
      <c r="W199" s="53" t="s">
        <v>6641</v>
      </c>
      <c r="X199" s="51" t="s">
        <v>4480</v>
      </c>
      <c r="Z199" s="51" t="s">
        <v>1950</v>
      </c>
      <c r="AA199" s="54"/>
    </row>
    <row r="200">
      <c r="A200" s="51" t="s">
        <v>6642</v>
      </c>
      <c r="B200" s="51" t="s">
        <v>478</v>
      </c>
      <c r="C200" s="51" t="s">
        <v>6643</v>
      </c>
      <c r="D200" s="51" t="s">
        <v>851</v>
      </c>
      <c r="E200" s="52">
        <v>50.0</v>
      </c>
      <c r="F200" s="52">
        <v>0.0</v>
      </c>
      <c r="G200" s="52">
        <v>50.0</v>
      </c>
      <c r="H200" s="51" t="s">
        <v>854</v>
      </c>
      <c r="I200" s="51" t="s">
        <v>855</v>
      </c>
      <c r="J200" s="53" t="s">
        <v>6644</v>
      </c>
      <c r="M200" s="51" t="s">
        <v>6549</v>
      </c>
      <c r="N200" s="51" t="s">
        <v>6549</v>
      </c>
      <c r="O200" s="51" t="s">
        <v>890</v>
      </c>
      <c r="P200" s="51" t="b">
        <v>0</v>
      </c>
      <c r="Q200" s="51" t="s">
        <v>892</v>
      </c>
      <c r="R200" s="53" t="s">
        <v>896</v>
      </c>
      <c r="S200" s="51" t="s">
        <v>6645</v>
      </c>
      <c r="T200" s="62">
        <v>13.8633241</v>
      </c>
      <c r="U200" s="62">
        <v>100.8541657</v>
      </c>
      <c r="V200" s="51" t="s">
        <v>1906</v>
      </c>
      <c r="W200" s="53" t="s">
        <v>6646</v>
      </c>
      <c r="X200" s="51" t="s">
        <v>4480</v>
      </c>
      <c r="Z200" s="51" t="s">
        <v>1950</v>
      </c>
      <c r="AA200" s="54"/>
    </row>
    <row r="201">
      <c r="A201" s="51" t="s">
        <v>6647</v>
      </c>
      <c r="B201" s="51" t="s">
        <v>478</v>
      </c>
      <c r="C201" s="51" t="s">
        <v>6648</v>
      </c>
      <c r="D201" s="51" t="s">
        <v>851</v>
      </c>
      <c r="E201" s="52">
        <v>20.0</v>
      </c>
      <c r="F201" s="52">
        <v>5.0</v>
      </c>
      <c r="G201" s="52">
        <v>15.0</v>
      </c>
      <c r="H201" s="51" t="s">
        <v>854</v>
      </c>
      <c r="I201" s="51" t="s">
        <v>855</v>
      </c>
      <c r="J201" s="53" t="s">
        <v>6649</v>
      </c>
      <c r="M201" s="51" t="s">
        <v>6518</v>
      </c>
      <c r="N201" s="51" t="s">
        <v>6650</v>
      </c>
      <c r="O201" s="51" t="s">
        <v>890</v>
      </c>
      <c r="P201" s="51" t="b">
        <v>0</v>
      </c>
      <c r="Q201" s="51" t="s">
        <v>892</v>
      </c>
      <c r="R201" s="53" t="s">
        <v>896</v>
      </c>
      <c r="S201" s="51" t="s">
        <v>6651</v>
      </c>
      <c r="T201" s="62">
        <v>13.8154703</v>
      </c>
      <c r="U201" s="62">
        <v>100.9350751</v>
      </c>
      <c r="V201" s="51" t="s">
        <v>1906</v>
      </c>
      <c r="W201" s="53" t="s">
        <v>6652</v>
      </c>
      <c r="X201" s="51" t="s">
        <v>4480</v>
      </c>
      <c r="Z201" s="51" t="s">
        <v>1950</v>
      </c>
      <c r="AA201" s="54"/>
    </row>
    <row r="202">
      <c r="A202" s="51" t="s">
        <v>6653</v>
      </c>
      <c r="B202" s="51" t="s">
        <v>478</v>
      </c>
      <c r="C202" s="51" t="s">
        <v>6654</v>
      </c>
      <c r="D202" s="51" t="s">
        <v>851</v>
      </c>
      <c r="E202" s="52">
        <v>50.0</v>
      </c>
      <c r="F202" s="52">
        <v>1.0</v>
      </c>
      <c r="G202" s="52">
        <v>49.0</v>
      </c>
      <c r="H202" s="51" t="s">
        <v>854</v>
      </c>
      <c r="I202" s="51" t="s">
        <v>855</v>
      </c>
      <c r="J202" s="53" t="s">
        <v>6655</v>
      </c>
      <c r="M202" s="51" t="s">
        <v>6542</v>
      </c>
      <c r="N202" s="51" t="s">
        <v>6656</v>
      </c>
      <c r="O202" s="51" t="s">
        <v>890</v>
      </c>
      <c r="P202" s="51" t="b">
        <v>0</v>
      </c>
      <c r="Q202" s="51" t="s">
        <v>892</v>
      </c>
      <c r="R202" s="53" t="s">
        <v>896</v>
      </c>
      <c r="S202" s="51" t="s">
        <v>6657</v>
      </c>
      <c r="T202" s="62">
        <v>13.8321727</v>
      </c>
      <c r="U202" s="62">
        <v>100.8411795</v>
      </c>
      <c r="V202" s="51" t="s">
        <v>1906</v>
      </c>
      <c r="W202" s="53" t="s">
        <v>6658</v>
      </c>
      <c r="X202" s="51" t="s">
        <v>4480</v>
      </c>
      <c r="Z202" s="51" t="s">
        <v>1950</v>
      </c>
      <c r="AA202" s="54"/>
    </row>
    <row r="203">
      <c r="A203" s="51" t="s">
        <v>6659</v>
      </c>
      <c r="B203" s="51" t="s">
        <v>323</v>
      </c>
      <c r="C203" s="51" t="s">
        <v>6660</v>
      </c>
      <c r="D203" s="51" t="s">
        <v>851</v>
      </c>
      <c r="E203" s="52">
        <v>200.0</v>
      </c>
      <c r="F203" s="52">
        <v>70.0</v>
      </c>
      <c r="G203" s="52">
        <v>130.0</v>
      </c>
      <c r="H203" s="51" t="s">
        <v>854</v>
      </c>
      <c r="I203" s="51" t="s">
        <v>855</v>
      </c>
      <c r="J203" s="54"/>
      <c r="M203" s="51" t="s">
        <v>6661</v>
      </c>
      <c r="N203" s="51" t="s">
        <v>6661</v>
      </c>
      <c r="O203" s="51" t="s">
        <v>890</v>
      </c>
      <c r="P203" s="51" t="b">
        <v>0</v>
      </c>
      <c r="Q203" s="51" t="s">
        <v>892</v>
      </c>
      <c r="R203" s="53" t="s">
        <v>896</v>
      </c>
      <c r="S203" s="51" t="s">
        <v>6662</v>
      </c>
      <c r="T203" s="62">
        <v>13.8733123</v>
      </c>
      <c r="U203" s="62">
        <v>100.5536687</v>
      </c>
      <c r="V203" s="51" t="s">
        <v>926</v>
      </c>
      <c r="W203" s="53" t="s">
        <v>6663</v>
      </c>
      <c r="X203" s="51" t="s">
        <v>6664</v>
      </c>
      <c r="Y203" s="53" t="s">
        <v>6663</v>
      </c>
      <c r="Z203" s="51" t="s">
        <v>975</v>
      </c>
      <c r="AA203" s="53" t="s">
        <v>6665</v>
      </c>
      <c r="AB203" s="51" t="s">
        <v>6666</v>
      </c>
      <c r="AC203" s="51" t="s">
        <v>6667</v>
      </c>
      <c r="AD203" s="51" t="s">
        <v>6664</v>
      </c>
    </row>
    <row r="204">
      <c r="A204" s="51" t="s">
        <v>6668</v>
      </c>
      <c r="B204" s="51" t="s">
        <v>323</v>
      </c>
      <c r="C204" s="51" t="s">
        <v>6669</v>
      </c>
      <c r="D204" s="51" t="s">
        <v>851</v>
      </c>
      <c r="E204" s="52">
        <v>50.0</v>
      </c>
      <c r="F204" s="52">
        <v>0.0</v>
      </c>
      <c r="G204" s="52">
        <v>50.0</v>
      </c>
      <c r="H204" s="51" t="s">
        <v>854</v>
      </c>
      <c r="I204" s="51" t="s">
        <v>855</v>
      </c>
      <c r="J204" s="54"/>
      <c r="M204" s="51" t="s">
        <v>6670</v>
      </c>
      <c r="N204" s="51" t="s">
        <v>6670</v>
      </c>
      <c r="O204" s="51" t="s">
        <v>890</v>
      </c>
      <c r="P204" s="51" t="b">
        <v>0</v>
      </c>
      <c r="Q204" s="51" t="s">
        <v>892</v>
      </c>
      <c r="R204" s="53" t="s">
        <v>896</v>
      </c>
      <c r="S204" s="51" t="s">
        <v>6671</v>
      </c>
      <c r="T204" s="62">
        <v>13.8849504</v>
      </c>
      <c r="U204" s="62">
        <v>100.561078</v>
      </c>
      <c r="V204" s="51" t="s">
        <v>926</v>
      </c>
      <c r="W204" s="53" t="s">
        <v>6672</v>
      </c>
      <c r="X204" s="51" t="s">
        <v>6664</v>
      </c>
      <c r="Y204" s="53" t="s">
        <v>6672</v>
      </c>
      <c r="Z204" s="51" t="s">
        <v>975</v>
      </c>
      <c r="AA204" s="53" t="s">
        <v>6673</v>
      </c>
      <c r="AB204" s="51" t="s">
        <v>6674</v>
      </c>
      <c r="AC204" s="51" t="s">
        <v>6675</v>
      </c>
      <c r="AD204" s="51" t="s">
        <v>6664</v>
      </c>
    </row>
    <row r="205">
      <c r="A205" s="51" t="s">
        <v>6676</v>
      </c>
      <c r="B205" s="51" t="s">
        <v>323</v>
      </c>
      <c r="C205" s="51" t="s">
        <v>6677</v>
      </c>
      <c r="D205" s="51" t="s">
        <v>851</v>
      </c>
      <c r="E205" s="52">
        <v>150.0</v>
      </c>
      <c r="F205" s="52">
        <v>130.0</v>
      </c>
      <c r="G205" s="52">
        <v>20.0</v>
      </c>
      <c r="H205" s="51" t="s">
        <v>854</v>
      </c>
      <c r="I205" s="51" t="s">
        <v>855</v>
      </c>
      <c r="J205" s="54"/>
      <c r="M205" s="51" t="s">
        <v>6678</v>
      </c>
      <c r="N205" s="51" t="s">
        <v>6678</v>
      </c>
      <c r="O205" s="51" t="s">
        <v>890</v>
      </c>
      <c r="P205" s="51" t="b">
        <v>0</v>
      </c>
      <c r="Q205" s="51" t="s">
        <v>892</v>
      </c>
      <c r="R205" s="53" t="s">
        <v>896</v>
      </c>
      <c r="S205" s="51" t="s">
        <v>6679</v>
      </c>
      <c r="T205" s="62">
        <v>13.8608626</v>
      </c>
      <c r="U205" s="62">
        <v>100.5673138</v>
      </c>
      <c r="V205" s="51" t="s">
        <v>926</v>
      </c>
      <c r="W205" s="53" t="s">
        <v>6680</v>
      </c>
      <c r="X205" s="51" t="s">
        <v>6664</v>
      </c>
      <c r="Y205" s="53" t="s">
        <v>6680</v>
      </c>
      <c r="Z205" s="51" t="s">
        <v>975</v>
      </c>
      <c r="AA205" s="53" t="s">
        <v>6681</v>
      </c>
      <c r="AB205" s="51" t="s">
        <v>6682</v>
      </c>
      <c r="AC205" s="51" t="s">
        <v>6683</v>
      </c>
      <c r="AD205" s="51" t="s">
        <v>6664</v>
      </c>
    </row>
    <row r="206">
      <c r="A206" s="51" t="s">
        <v>6684</v>
      </c>
      <c r="B206" s="51" t="s">
        <v>323</v>
      </c>
      <c r="C206" s="51" t="s">
        <v>6685</v>
      </c>
      <c r="D206" s="51" t="s">
        <v>851</v>
      </c>
      <c r="E206" s="52">
        <v>40.0</v>
      </c>
      <c r="F206" s="52">
        <v>0.0</v>
      </c>
      <c r="G206" s="52">
        <v>40.0</v>
      </c>
      <c r="H206" s="51" t="s">
        <v>854</v>
      </c>
      <c r="I206" s="51" t="s">
        <v>855</v>
      </c>
      <c r="J206" s="54"/>
      <c r="M206" s="51" t="s">
        <v>6686</v>
      </c>
      <c r="N206" s="51" t="s">
        <v>6686</v>
      </c>
      <c r="O206" s="51" t="s">
        <v>890</v>
      </c>
      <c r="P206" s="51" t="b">
        <v>0</v>
      </c>
      <c r="Q206" s="51" t="s">
        <v>892</v>
      </c>
      <c r="R206" s="53" t="s">
        <v>896</v>
      </c>
      <c r="S206" s="51" t="s">
        <v>6687</v>
      </c>
      <c r="T206" s="62">
        <v>13.8892587</v>
      </c>
      <c r="U206" s="62">
        <v>100.582423</v>
      </c>
      <c r="V206" s="51" t="s">
        <v>926</v>
      </c>
      <c r="W206" s="53" t="s">
        <v>6688</v>
      </c>
      <c r="X206" s="51" t="s">
        <v>6664</v>
      </c>
      <c r="Y206" s="53" t="s">
        <v>6688</v>
      </c>
      <c r="Z206" s="51" t="s">
        <v>975</v>
      </c>
      <c r="AA206" s="53" t="s">
        <v>6689</v>
      </c>
      <c r="AB206" s="51" t="s">
        <v>6690</v>
      </c>
      <c r="AC206" s="51" t="s">
        <v>6691</v>
      </c>
      <c r="AD206" s="51" t="s">
        <v>6664</v>
      </c>
    </row>
    <row r="207">
      <c r="A207" s="51" t="s">
        <v>6692</v>
      </c>
      <c r="B207" s="51" t="s">
        <v>323</v>
      </c>
      <c r="C207" s="51" t="s">
        <v>6693</v>
      </c>
      <c r="D207" s="51" t="s">
        <v>851</v>
      </c>
      <c r="E207" s="52">
        <v>100.0</v>
      </c>
      <c r="F207" s="52">
        <v>0.0</v>
      </c>
      <c r="G207" s="52">
        <v>100.0</v>
      </c>
      <c r="H207" s="51" t="s">
        <v>854</v>
      </c>
      <c r="I207" s="51" t="s">
        <v>855</v>
      </c>
      <c r="J207" s="54"/>
      <c r="K207" s="54"/>
      <c r="M207" s="51" t="s">
        <v>6694</v>
      </c>
      <c r="N207" s="51" t="s">
        <v>6694</v>
      </c>
      <c r="O207" s="51" t="s">
        <v>890</v>
      </c>
      <c r="P207" s="51" t="b">
        <v>0</v>
      </c>
      <c r="Q207" s="51" t="s">
        <v>892</v>
      </c>
      <c r="R207" s="53" t="s">
        <v>896</v>
      </c>
      <c r="S207" s="51" t="s">
        <v>6695</v>
      </c>
      <c r="T207" s="62">
        <v>13.9004436</v>
      </c>
      <c r="U207" s="62">
        <v>100.5838619</v>
      </c>
      <c r="V207" s="51" t="s">
        <v>926</v>
      </c>
      <c r="W207" s="53" t="s">
        <v>6696</v>
      </c>
      <c r="X207" s="51" t="s">
        <v>6664</v>
      </c>
      <c r="Y207" s="53" t="s">
        <v>6696</v>
      </c>
      <c r="Z207" s="51" t="s">
        <v>975</v>
      </c>
      <c r="AA207" s="53" t="s">
        <v>6697</v>
      </c>
      <c r="AB207" s="51" t="s">
        <v>6698</v>
      </c>
      <c r="AC207" s="51" t="s">
        <v>6699</v>
      </c>
      <c r="AD207" s="51" t="s">
        <v>6664</v>
      </c>
    </row>
    <row r="208">
      <c r="A208" s="51" t="s">
        <v>6700</v>
      </c>
      <c r="B208" s="51" t="s">
        <v>323</v>
      </c>
      <c r="C208" s="51" t="s">
        <v>6701</v>
      </c>
      <c r="D208" s="51" t="s">
        <v>851</v>
      </c>
      <c r="E208" s="52">
        <v>50.0</v>
      </c>
      <c r="F208" s="52">
        <v>0.0</v>
      </c>
      <c r="G208" s="52">
        <v>50.0</v>
      </c>
      <c r="H208" s="51" t="s">
        <v>854</v>
      </c>
      <c r="I208" s="51" t="s">
        <v>855</v>
      </c>
      <c r="J208" s="54"/>
      <c r="K208" s="54"/>
      <c r="M208" s="51" t="s">
        <v>6702</v>
      </c>
      <c r="N208" s="51" t="s">
        <v>6702</v>
      </c>
      <c r="O208" s="51" t="s">
        <v>890</v>
      </c>
      <c r="P208" s="51" t="b">
        <v>0</v>
      </c>
      <c r="Q208" s="51" t="s">
        <v>892</v>
      </c>
      <c r="R208" s="53" t="s">
        <v>896</v>
      </c>
      <c r="S208" s="51" t="s">
        <v>6703</v>
      </c>
      <c r="T208" s="62">
        <v>13.9024962</v>
      </c>
      <c r="U208" s="62">
        <v>100.5790266</v>
      </c>
      <c r="V208" s="51" t="s">
        <v>926</v>
      </c>
      <c r="W208" s="53" t="s">
        <v>6704</v>
      </c>
      <c r="X208" s="51" t="s">
        <v>6664</v>
      </c>
      <c r="Y208" s="53" t="s">
        <v>6704</v>
      </c>
      <c r="Z208" s="51" t="s">
        <v>975</v>
      </c>
      <c r="AA208" s="53" t="s">
        <v>6705</v>
      </c>
      <c r="AB208" s="51" t="s">
        <v>6706</v>
      </c>
      <c r="AC208" s="51" t="s">
        <v>6707</v>
      </c>
      <c r="AD208" s="51" t="s">
        <v>6664</v>
      </c>
    </row>
  </sheetData>
  <autoFilter ref="$A$1:$AD$208">
    <sortState ref="A1:AD208">
      <sortCondition ref="V1:V208"/>
      <sortCondition ref="T1:T208"/>
    </sortState>
  </autoFilter>
  <hyperlinks>
    <hyperlink r:id="rId2" ref="J2"/>
    <hyperlink r:id="rId3" ref="R2"/>
    <hyperlink r:id="rId4" ref="W2"/>
    <hyperlink r:id="rId5" ref="Y2"/>
    <hyperlink r:id="rId6" ref="AA2"/>
    <hyperlink r:id="rId7" ref="J3"/>
    <hyperlink r:id="rId8" ref="R3"/>
    <hyperlink r:id="rId9" ref="W3"/>
    <hyperlink r:id="rId10" ref="Y3"/>
    <hyperlink r:id="rId11" ref="AA3"/>
    <hyperlink r:id="rId12" ref="J4"/>
    <hyperlink r:id="rId13" ref="R4"/>
    <hyperlink r:id="rId14" ref="W4"/>
    <hyperlink r:id="rId15" ref="Y4"/>
    <hyperlink r:id="rId16" ref="AA4"/>
    <hyperlink r:id="rId17" ref="J5"/>
    <hyperlink r:id="rId18" ref="R5"/>
    <hyperlink r:id="rId19" ref="W5"/>
    <hyperlink r:id="rId20" ref="Y5"/>
    <hyperlink r:id="rId21" ref="AA5"/>
    <hyperlink r:id="rId22" ref="J6"/>
    <hyperlink r:id="rId23" ref="R6"/>
    <hyperlink r:id="rId24" ref="W6"/>
    <hyperlink r:id="rId25" ref="Y6"/>
    <hyperlink r:id="rId26" ref="AA6"/>
    <hyperlink r:id="rId27" ref="J7"/>
    <hyperlink r:id="rId28" ref="R7"/>
    <hyperlink r:id="rId29" ref="W7"/>
    <hyperlink r:id="rId30" ref="Y7"/>
    <hyperlink r:id="rId31" ref="AA7"/>
    <hyperlink r:id="rId32" ref="J8"/>
    <hyperlink r:id="rId33" ref="R8"/>
    <hyperlink r:id="rId34" ref="W8"/>
    <hyperlink r:id="rId35" ref="Y8"/>
    <hyperlink r:id="rId36" ref="AA8"/>
    <hyperlink r:id="rId37" ref="J9"/>
    <hyperlink r:id="rId38" ref="R9"/>
    <hyperlink r:id="rId39" ref="W9"/>
    <hyperlink r:id="rId40" ref="Y9"/>
    <hyperlink r:id="rId41" ref="AA9"/>
    <hyperlink r:id="rId42" ref="J10"/>
    <hyperlink r:id="rId43" ref="R10"/>
    <hyperlink r:id="rId44" ref="W10"/>
    <hyperlink r:id="rId45" ref="J11"/>
    <hyperlink r:id="rId46" ref="R11"/>
    <hyperlink r:id="rId47" ref="W11"/>
    <hyperlink r:id="rId48" ref="J12"/>
    <hyperlink r:id="rId49" ref="R12"/>
    <hyperlink r:id="rId50" ref="W12"/>
    <hyperlink r:id="rId51" ref="J13"/>
    <hyperlink r:id="rId52" ref="R13"/>
    <hyperlink r:id="rId53" ref="W13"/>
    <hyperlink r:id="rId54" ref="J14"/>
    <hyperlink r:id="rId55" ref="R14"/>
    <hyperlink r:id="rId56" ref="W14"/>
    <hyperlink r:id="rId57" ref="J15"/>
    <hyperlink r:id="rId58" ref="R15"/>
    <hyperlink r:id="rId59" ref="W15"/>
    <hyperlink r:id="rId60" ref="J16"/>
    <hyperlink r:id="rId61" ref="R16"/>
    <hyperlink r:id="rId62" ref="W16"/>
    <hyperlink r:id="rId63" ref="J17"/>
    <hyperlink r:id="rId64" ref="R17"/>
    <hyperlink r:id="rId65" ref="W17"/>
    <hyperlink r:id="rId66" ref="J18"/>
    <hyperlink r:id="rId67" ref="R18"/>
    <hyperlink r:id="rId68" ref="W18"/>
    <hyperlink r:id="rId69" ref="J19"/>
    <hyperlink r:id="rId70" ref="R19"/>
    <hyperlink r:id="rId71" ref="W19"/>
    <hyperlink r:id="rId72" ref="J20"/>
    <hyperlink r:id="rId73" ref="R20"/>
    <hyperlink r:id="rId74" ref="W20"/>
    <hyperlink r:id="rId75" ref="J21"/>
    <hyperlink r:id="rId76" ref="R21"/>
    <hyperlink r:id="rId77" ref="W21"/>
    <hyperlink r:id="rId78" ref="J22"/>
    <hyperlink r:id="rId79" ref="R22"/>
    <hyperlink r:id="rId80" ref="W22"/>
    <hyperlink r:id="rId81" ref="J23"/>
    <hyperlink r:id="rId82" ref="R23"/>
    <hyperlink r:id="rId83" ref="W23"/>
    <hyperlink r:id="rId84" ref="J24"/>
    <hyperlink r:id="rId85" ref="R24"/>
    <hyperlink r:id="rId86" ref="W24"/>
    <hyperlink r:id="rId87" ref="J25"/>
    <hyperlink r:id="rId88" ref="R25"/>
    <hyperlink r:id="rId89" ref="W25"/>
    <hyperlink r:id="rId90" ref="J26"/>
    <hyperlink r:id="rId91" ref="R26"/>
    <hyperlink r:id="rId92" ref="W26"/>
    <hyperlink r:id="rId93" ref="J27"/>
    <hyperlink r:id="rId94" ref="R27"/>
    <hyperlink r:id="rId95" ref="W27"/>
    <hyperlink r:id="rId96" ref="J28"/>
    <hyperlink r:id="rId97" ref="R28"/>
    <hyperlink r:id="rId98" ref="W28"/>
    <hyperlink r:id="rId99" ref="J29"/>
    <hyperlink r:id="rId100" ref="R29"/>
    <hyperlink r:id="rId101" ref="W29"/>
    <hyperlink r:id="rId102" ref="J30"/>
    <hyperlink r:id="rId103" ref="R30"/>
    <hyperlink r:id="rId104" ref="W30"/>
    <hyperlink r:id="rId105" ref="J31"/>
    <hyperlink r:id="rId106" ref="R31"/>
    <hyperlink r:id="rId107" ref="W31"/>
    <hyperlink r:id="rId108" ref="J32"/>
    <hyperlink r:id="rId109" ref="R32"/>
    <hyperlink r:id="rId110" ref="W32"/>
    <hyperlink r:id="rId111" ref="J33"/>
    <hyperlink r:id="rId112" ref="R33"/>
    <hyperlink r:id="rId113" ref="W33"/>
    <hyperlink r:id="rId114" ref="J34"/>
    <hyperlink r:id="rId115" ref="R34"/>
    <hyperlink r:id="rId116" ref="W34"/>
    <hyperlink r:id="rId117" ref="J35"/>
    <hyperlink r:id="rId118" ref="R35"/>
    <hyperlink r:id="rId119" ref="W35"/>
    <hyperlink r:id="rId120" ref="R36"/>
    <hyperlink r:id="rId121" ref="W36"/>
    <hyperlink r:id="rId122" ref="Y36"/>
    <hyperlink r:id="rId123" ref="AA36"/>
    <hyperlink r:id="rId124" ref="R37"/>
    <hyperlink r:id="rId125" ref="W37"/>
    <hyperlink r:id="rId126" ref="Y37"/>
    <hyperlink r:id="rId127" ref="AA37"/>
    <hyperlink r:id="rId128" ref="R38"/>
    <hyperlink r:id="rId129" ref="W38"/>
    <hyperlink r:id="rId130" ref="Y38"/>
    <hyperlink r:id="rId131" ref="AA38"/>
    <hyperlink r:id="rId132" ref="R39"/>
    <hyperlink r:id="rId133" ref="W39"/>
    <hyperlink r:id="rId134" ref="Y39"/>
    <hyperlink r:id="rId135" ref="AA39"/>
    <hyperlink r:id="rId136" ref="R40"/>
    <hyperlink r:id="rId137" ref="W40"/>
    <hyperlink r:id="rId138" ref="Y40"/>
    <hyperlink r:id="rId139" ref="AA40"/>
    <hyperlink r:id="rId140" ref="R41"/>
    <hyperlink r:id="rId141" ref="W41"/>
    <hyperlink r:id="rId142" ref="Y41"/>
    <hyperlink r:id="rId143" ref="AA41"/>
    <hyperlink r:id="rId144" ref="R42"/>
    <hyperlink r:id="rId145" ref="W42"/>
    <hyperlink r:id="rId146" ref="Y42"/>
    <hyperlink r:id="rId147" ref="AA42"/>
    <hyperlink r:id="rId148" ref="R43"/>
    <hyperlink r:id="rId149" ref="W43"/>
    <hyperlink r:id="rId150" ref="Y43"/>
    <hyperlink r:id="rId151" ref="AA43"/>
    <hyperlink r:id="rId152" ref="J44"/>
    <hyperlink r:id="rId153" ref="R44"/>
    <hyperlink r:id="rId154" ref="W44"/>
    <hyperlink r:id="rId155" ref="R45"/>
    <hyperlink r:id="rId156" ref="W45"/>
    <hyperlink r:id="rId157" ref="Y45"/>
    <hyperlink r:id="rId158" ref="AA45"/>
    <hyperlink r:id="rId159" ref="R46"/>
    <hyperlink r:id="rId160" ref="W46"/>
    <hyperlink r:id="rId161" ref="Y46"/>
    <hyperlink r:id="rId162" ref="AA46"/>
    <hyperlink r:id="rId163" ref="R47"/>
    <hyperlink r:id="rId164" ref="W47"/>
    <hyperlink r:id="rId165" ref="Y47"/>
    <hyperlink r:id="rId166" ref="AA47"/>
    <hyperlink r:id="rId167" ref="R48"/>
    <hyperlink r:id="rId168" ref="W48"/>
    <hyperlink r:id="rId169" ref="Y48"/>
    <hyperlink r:id="rId170" ref="AA48"/>
    <hyperlink r:id="rId171" ref="R49"/>
    <hyperlink r:id="rId172" ref="W49"/>
    <hyperlink r:id="rId173" ref="Y49"/>
    <hyperlink r:id="rId174" ref="AA49"/>
    <hyperlink r:id="rId175" ref="R50"/>
    <hyperlink r:id="rId176" ref="W50"/>
    <hyperlink r:id="rId177" ref="Y50"/>
    <hyperlink r:id="rId178" ref="AA50"/>
    <hyperlink r:id="rId179" ref="R51"/>
    <hyperlink r:id="rId180" ref="W51"/>
    <hyperlink r:id="rId181" ref="Y51"/>
    <hyperlink r:id="rId182" ref="AA51"/>
    <hyperlink r:id="rId183" ref="J52"/>
    <hyperlink r:id="rId184" ref="R52"/>
    <hyperlink r:id="rId185" ref="W52"/>
    <hyperlink r:id="rId186" ref="Y52"/>
    <hyperlink r:id="rId187" ref="AA52"/>
    <hyperlink r:id="rId188" ref="J53"/>
    <hyperlink r:id="rId189" ref="R53"/>
    <hyperlink r:id="rId190" ref="W53"/>
    <hyperlink r:id="rId191" ref="Y53"/>
    <hyperlink r:id="rId192" ref="AA53"/>
    <hyperlink r:id="rId193" ref="J54"/>
    <hyperlink r:id="rId194" ref="R54"/>
    <hyperlink r:id="rId195" ref="W54"/>
    <hyperlink r:id="rId196" ref="Y54"/>
    <hyperlink r:id="rId197" ref="AA54"/>
    <hyperlink r:id="rId198" ref="J55"/>
    <hyperlink r:id="rId199" ref="R55"/>
    <hyperlink r:id="rId200" ref="W55"/>
    <hyperlink r:id="rId201" ref="Y55"/>
    <hyperlink r:id="rId202" ref="AA55"/>
    <hyperlink r:id="rId203" ref="J56"/>
    <hyperlink r:id="rId204" ref="R56"/>
    <hyperlink r:id="rId205" ref="W56"/>
    <hyperlink r:id="rId206" ref="Y56"/>
    <hyperlink r:id="rId207" ref="AA56"/>
    <hyperlink r:id="rId208" ref="J57"/>
    <hyperlink r:id="rId209" ref="R57"/>
    <hyperlink r:id="rId210" ref="W57"/>
    <hyperlink r:id="rId211" ref="Y57"/>
    <hyperlink r:id="rId212" ref="AA57"/>
    <hyperlink r:id="rId213" ref="J58"/>
    <hyperlink r:id="rId214" ref="R58"/>
    <hyperlink r:id="rId215" ref="W58"/>
    <hyperlink r:id="rId216" ref="Y58"/>
    <hyperlink r:id="rId217" ref="AA58"/>
    <hyperlink r:id="rId218" ref="R59"/>
    <hyperlink r:id="rId219" ref="W59"/>
    <hyperlink r:id="rId220" ref="Y59"/>
    <hyperlink r:id="rId221" ref="AA59"/>
    <hyperlink r:id="rId222" ref="R60"/>
    <hyperlink r:id="rId223" ref="W60"/>
    <hyperlink r:id="rId224" ref="Y60"/>
    <hyperlink r:id="rId225" ref="AA60"/>
    <hyperlink r:id="rId226" ref="R61"/>
    <hyperlink r:id="rId227" ref="W61"/>
    <hyperlink r:id="rId228" ref="Y61"/>
    <hyperlink r:id="rId229" ref="AA61"/>
    <hyperlink r:id="rId230" ref="R62"/>
    <hyperlink r:id="rId231" ref="W62"/>
    <hyperlink r:id="rId232" ref="Y62"/>
    <hyperlink r:id="rId233" ref="AA62"/>
    <hyperlink r:id="rId234" ref="R63"/>
    <hyperlink r:id="rId235" ref="W63"/>
    <hyperlink r:id="rId236" ref="Y63"/>
    <hyperlink r:id="rId237" ref="AA63"/>
    <hyperlink r:id="rId238" ref="R64"/>
    <hyperlink r:id="rId239" ref="W64"/>
    <hyperlink r:id="rId240" ref="Y64"/>
    <hyperlink r:id="rId241" ref="AA64"/>
    <hyperlink r:id="rId242" ref="R65"/>
    <hyperlink r:id="rId243" ref="W65"/>
    <hyperlink r:id="rId244" ref="Y65"/>
    <hyperlink r:id="rId245" ref="AA65"/>
    <hyperlink r:id="rId246" ref="R66"/>
    <hyperlink r:id="rId247" ref="W66"/>
    <hyperlink r:id="rId248" ref="Y66"/>
    <hyperlink r:id="rId249" ref="AA66"/>
    <hyperlink r:id="rId250" ref="R67"/>
    <hyperlink r:id="rId251" ref="W67"/>
    <hyperlink r:id="rId252" ref="Y67"/>
    <hyperlink r:id="rId253" ref="AA67"/>
    <hyperlink r:id="rId254" ref="R68"/>
    <hyperlink r:id="rId255" ref="W68"/>
    <hyperlink r:id="rId256" ref="Y68"/>
    <hyperlink r:id="rId257" ref="AA68"/>
    <hyperlink r:id="rId258" ref="R69"/>
    <hyperlink r:id="rId259" ref="W69"/>
    <hyperlink r:id="rId260" ref="Y69"/>
    <hyperlink r:id="rId261" ref="AA69"/>
    <hyperlink r:id="rId262" ref="R70"/>
    <hyperlink r:id="rId263" ref="W70"/>
    <hyperlink r:id="rId264" ref="Y70"/>
    <hyperlink r:id="rId265" ref="AA70"/>
    <hyperlink r:id="rId266" ref="R71"/>
    <hyperlink r:id="rId267" ref="W71"/>
    <hyperlink r:id="rId268" ref="Y71"/>
    <hyperlink r:id="rId269" ref="AA71"/>
    <hyperlink r:id="rId270" ref="R72"/>
    <hyperlink r:id="rId271" ref="W72"/>
    <hyperlink r:id="rId272" ref="Y72"/>
    <hyperlink r:id="rId273" ref="AA72"/>
    <hyperlink r:id="rId274" ref="R73"/>
    <hyperlink r:id="rId275" ref="W73"/>
    <hyperlink r:id="rId276" ref="Y73"/>
    <hyperlink r:id="rId277" ref="AA73"/>
    <hyperlink r:id="rId278" ref="R74"/>
    <hyperlink r:id="rId279" ref="W74"/>
    <hyperlink r:id="rId280" ref="Y74"/>
    <hyperlink r:id="rId281" ref="AA74"/>
    <hyperlink r:id="rId282" ref="J75"/>
    <hyperlink r:id="rId283" ref="R75"/>
    <hyperlink r:id="rId284" ref="W75"/>
    <hyperlink r:id="rId285" ref="J76"/>
    <hyperlink r:id="rId286" ref="R76"/>
    <hyperlink r:id="rId287" ref="W76"/>
    <hyperlink r:id="rId288" ref="J77"/>
    <hyperlink r:id="rId289" ref="R77"/>
    <hyperlink r:id="rId290" ref="W77"/>
    <hyperlink r:id="rId291" ref="J78"/>
    <hyperlink r:id="rId292" ref="R78"/>
    <hyperlink r:id="rId293" ref="W78"/>
    <hyperlink r:id="rId294" ref="J79"/>
    <hyperlink r:id="rId295" ref="R79"/>
    <hyperlink r:id="rId296" ref="W79"/>
    <hyperlink r:id="rId297" ref="J80"/>
    <hyperlink r:id="rId298" ref="R80"/>
    <hyperlink r:id="rId299" ref="W80"/>
    <hyperlink r:id="rId300" ref="J81"/>
    <hyperlink r:id="rId301" ref="R81"/>
    <hyperlink r:id="rId302" ref="W81"/>
    <hyperlink r:id="rId303" ref="J82"/>
    <hyperlink r:id="rId304" ref="R82"/>
    <hyperlink r:id="rId305" ref="W82"/>
    <hyperlink r:id="rId306" ref="J83"/>
    <hyperlink r:id="rId307" ref="R83"/>
    <hyperlink r:id="rId308" ref="W83"/>
    <hyperlink r:id="rId309" ref="R84"/>
    <hyperlink r:id="rId310" ref="W84"/>
    <hyperlink r:id="rId311" ref="Y84"/>
    <hyperlink r:id="rId312" ref="AA84"/>
    <hyperlink r:id="rId313" ref="J85"/>
    <hyperlink r:id="rId314" ref="R85"/>
    <hyperlink r:id="rId315" ref="W85"/>
    <hyperlink r:id="rId316" ref="J86"/>
    <hyperlink r:id="rId317" ref="R86"/>
    <hyperlink r:id="rId318" ref="W86"/>
    <hyperlink r:id="rId319" ref="J87"/>
    <hyperlink r:id="rId320" ref="R87"/>
    <hyperlink r:id="rId321" ref="W87"/>
    <hyperlink r:id="rId322" ref="J88"/>
    <hyperlink r:id="rId323" ref="R88"/>
    <hyperlink r:id="rId324" ref="W88"/>
    <hyperlink r:id="rId325" ref="J89"/>
    <hyperlink r:id="rId326" ref="R89"/>
    <hyperlink r:id="rId327" ref="W89"/>
    <hyperlink r:id="rId328" ref="J90"/>
    <hyperlink r:id="rId329" ref="R90"/>
    <hyperlink r:id="rId330" ref="W90"/>
    <hyperlink r:id="rId331" ref="Y90"/>
    <hyperlink r:id="rId332" ref="AA90"/>
    <hyperlink r:id="rId333" ref="J91"/>
    <hyperlink r:id="rId334" ref="R91"/>
    <hyperlink r:id="rId335" ref="W91"/>
    <hyperlink r:id="rId336" ref="Y91"/>
    <hyperlink r:id="rId337" ref="AA91"/>
    <hyperlink r:id="rId338" ref="J92"/>
    <hyperlink r:id="rId339" ref="R92"/>
    <hyperlink r:id="rId340" ref="W92"/>
    <hyperlink r:id="rId341" ref="Y92"/>
    <hyperlink r:id="rId342" ref="AA92"/>
    <hyperlink r:id="rId343" ref="J93"/>
    <hyperlink r:id="rId344" ref="R93"/>
    <hyperlink r:id="rId345" ref="W93"/>
    <hyperlink r:id="rId346" ref="Y93"/>
    <hyperlink r:id="rId347" ref="AA93"/>
    <hyperlink r:id="rId348" ref="J94"/>
    <hyperlink r:id="rId349" ref="R94"/>
    <hyperlink r:id="rId350" ref="W94"/>
    <hyperlink r:id="rId351" ref="J95"/>
    <hyperlink r:id="rId352" ref="R95"/>
    <hyperlink r:id="rId353" ref="W95"/>
    <hyperlink r:id="rId354" ref="J96"/>
    <hyperlink r:id="rId355" ref="R96"/>
    <hyperlink r:id="rId356" ref="W96"/>
    <hyperlink r:id="rId357" ref="J97"/>
    <hyperlink r:id="rId358" ref="R97"/>
    <hyperlink r:id="rId359" ref="W97"/>
    <hyperlink r:id="rId360" ref="J98"/>
    <hyperlink r:id="rId361" ref="R98"/>
    <hyperlink r:id="rId362" ref="W98"/>
    <hyperlink r:id="rId363" ref="J99"/>
    <hyperlink r:id="rId364" ref="R99"/>
    <hyperlink r:id="rId365" ref="W99"/>
    <hyperlink r:id="rId366" ref="J100"/>
    <hyperlink r:id="rId367" ref="R100"/>
    <hyperlink r:id="rId368" ref="W100"/>
    <hyperlink r:id="rId369" ref="R101"/>
    <hyperlink r:id="rId370" ref="W101"/>
    <hyperlink r:id="rId371" ref="Y101"/>
    <hyperlink r:id="rId372" ref="AA101"/>
    <hyperlink r:id="rId373" ref="R102"/>
    <hyperlink r:id="rId374" ref="W102"/>
    <hyperlink r:id="rId375" ref="Y102"/>
    <hyperlink r:id="rId376" ref="AA102"/>
    <hyperlink r:id="rId377" ref="R103"/>
    <hyperlink r:id="rId378" ref="W103"/>
    <hyperlink r:id="rId379" ref="Y103"/>
    <hyperlink r:id="rId380" ref="AA103"/>
    <hyperlink r:id="rId381" ref="J104"/>
    <hyperlink r:id="rId382" ref="R104"/>
    <hyperlink r:id="rId383" ref="W104"/>
    <hyperlink r:id="rId384" ref="J105"/>
    <hyperlink r:id="rId385" ref="R105"/>
    <hyperlink r:id="rId386" ref="W105"/>
    <hyperlink r:id="rId387" ref="J106"/>
    <hyperlink r:id="rId388" ref="R106"/>
    <hyperlink r:id="rId389" ref="W106"/>
    <hyperlink r:id="rId390" ref="J107"/>
    <hyperlink r:id="rId391" ref="R107"/>
    <hyperlink r:id="rId392" ref="W107"/>
    <hyperlink r:id="rId393" ref="J108"/>
    <hyperlink r:id="rId394" ref="R108"/>
    <hyperlink r:id="rId395" ref="W108"/>
    <hyperlink r:id="rId396" ref="J109"/>
    <hyperlink r:id="rId397" ref="R109"/>
    <hyperlink r:id="rId398" ref="W109"/>
    <hyperlink r:id="rId399" ref="J110"/>
    <hyperlink r:id="rId400" ref="R110"/>
    <hyperlink r:id="rId401" ref="W110"/>
    <hyperlink r:id="rId402" ref="J111"/>
    <hyperlink r:id="rId403" ref="R111"/>
    <hyperlink r:id="rId404" ref="W111"/>
    <hyperlink r:id="rId405" ref="J112"/>
    <hyperlink r:id="rId406" ref="R112"/>
    <hyperlink r:id="rId407" ref="W112"/>
    <hyperlink r:id="rId408" ref="Y112"/>
    <hyperlink r:id="rId409" ref="AA112"/>
    <hyperlink r:id="rId410" ref="J113"/>
    <hyperlink r:id="rId411" ref="R113"/>
    <hyperlink r:id="rId412" ref="W113"/>
    <hyperlink r:id="rId413" ref="Y113"/>
    <hyperlink r:id="rId414" ref="AA113"/>
    <hyperlink r:id="rId415" ref="J114"/>
    <hyperlink r:id="rId416" ref="R114"/>
    <hyperlink r:id="rId417" ref="W114"/>
    <hyperlink r:id="rId418" ref="Y114"/>
    <hyperlink r:id="rId419" ref="AA114"/>
    <hyperlink r:id="rId420" ref="J115"/>
    <hyperlink r:id="rId421" ref="R115"/>
    <hyperlink r:id="rId422" ref="W115"/>
    <hyperlink r:id="rId423" ref="J116"/>
    <hyperlink r:id="rId424" ref="R116"/>
    <hyperlink r:id="rId425" ref="W116"/>
    <hyperlink r:id="rId426" ref="J117"/>
    <hyperlink r:id="rId427" ref="R117"/>
    <hyperlink r:id="rId428" ref="W117"/>
    <hyperlink r:id="rId429" ref="J118"/>
    <hyperlink r:id="rId430" ref="R118"/>
    <hyperlink r:id="rId431" ref="W118"/>
    <hyperlink r:id="rId432" ref="J119"/>
    <hyperlink r:id="rId433" ref="R119"/>
    <hyperlink r:id="rId434" ref="W119"/>
    <hyperlink r:id="rId435" ref="Y119"/>
    <hyperlink r:id="rId436" ref="AA119"/>
    <hyperlink r:id="rId437" ref="J120"/>
    <hyperlink r:id="rId438" ref="R120"/>
    <hyperlink r:id="rId439" ref="W120"/>
    <hyperlink r:id="rId440" ref="Y120"/>
    <hyperlink r:id="rId441" ref="AA120"/>
    <hyperlink r:id="rId442" ref="R121"/>
    <hyperlink r:id="rId443" ref="W121"/>
    <hyperlink r:id="rId444" ref="Y121"/>
    <hyperlink r:id="rId445" ref="AA121"/>
    <hyperlink r:id="rId446" ref="R122"/>
    <hyperlink r:id="rId447" ref="W122"/>
    <hyperlink r:id="rId448" ref="Y122"/>
    <hyperlink r:id="rId449" ref="AA122"/>
    <hyperlink r:id="rId450" ref="R123"/>
    <hyperlink r:id="rId451" ref="W123"/>
    <hyperlink r:id="rId452" ref="Y123"/>
    <hyperlink r:id="rId453" ref="AA123"/>
    <hyperlink r:id="rId454" ref="R124"/>
    <hyperlink r:id="rId455" ref="W124"/>
    <hyperlink r:id="rId456" ref="Y124"/>
    <hyperlink r:id="rId457" ref="AA124"/>
    <hyperlink r:id="rId458" ref="J125"/>
    <hyperlink r:id="rId459" ref="R125"/>
    <hyperlink r:id="rId460" ref="W125"/>
    <hyperlink r:id="rId461" ref="J126"/>
    <hyperlink r:id="rId462" ref="R126"/>
    <hyperlink r:id="rId463" ref="W126"/>
    <hyperlink r:id="rId464" ref="J127"/>
    <hyperlink r:id="rId465" ref="R127"/>
    <hyperlink r:id="rId466" ref="W127"/>
    <hyperlink r:id="rId467" ref="J128"/>
    <hyperlink r:id="rId468" ref="R128"/>
    <hyperlink r:id="rId469" ref="W128"/>
    <hyperlink r:id="rId470" ref="J129"/>
    <hyperlink r:id="rId471" ref="R129"/>
    <hyperlink r:id="rId472" ref="W129"/>
    <hyperlink r:id="rId473" ref="J130"/>
    <hyperlink r:id="rId474" ref="R130"/>
    <hyperlink r:id="rId475" ref="W130"/>
    <hyperlink r:id="rId476" ref="Y130"/>
    <hyperlink r:id="rId477" ref="AA130"/>
    <hyperlink r:id="rId478" ref="J131"/>
    <hyperlink r:id="rId479" ref="R131"/>
    <hyperlink r:id="rId480" ref="W131"/>
    <hyperlink r:id="rId481" ref="J132"/>
    <hyperlink r:id="rId482" ref="R132"/>
    <hyperlink r:id="rId483" ref="W132"/>
    <hyperlink r:id="rId484" ref="J133"/>
    <hyperlink r:id="rId485" ref="R133"/>
    <hyperlink r:id="rId486" ref="W133"/>
    <hyperlink r:id="rId487" ref="J134"/>
    <hyperlink r:id="rId488" ref="R134"/>
    <hyperlink r:id="rId489" ref="W134"/>
    <hyperlink r:id="rId490" ref="J135"/>
    <hyperlink r:id="rId491" ref="R135"/>
    <hyperlink r:id="rId492" ref="W135"/>
    <hyperlink r:id="rId493" ref="J136"/>
    <hyperlink r:id="rId494" ref="R136"/>
    <hyperlink r:id="rId495" ref="W136"/>
    <hyperlink r:id="rId496" ref="K137"/>
    <hyperlink r:id="rId497" ref="R137"/>
    <hyperlink r:id="rId498" ref="W137"/>
    <hyperlink r:id="rId499" ref="Y137"/>
    <hyperlink r:id="rId500" ref="AA137"/>
    <hyperlink r:id="rId501" ref="J138"/>
    <hyperlink r:id="rId502" ref="R138"/>
    <hyperlink r:id="rId503" ref="W138"/>
    <hyperlink r:id="rId504" ref="Y138"/>
    <hyperlink r:id="rId505" ref="AA138"/>
    <hyperlink r:id="rId506" ref="J139"/>
    <hyperlink r:id="rId507" ref="R139"/>
    <hyperlink r:id="rId508" ref="W139"/>
    <hyperlink r:id="rId509" ref="Y139"/>
    <hyperlink r:id="rId510" ref="AA139"/>
    <hyperlink r:id="rId511" ref="K140"/>
    <hyperlink r:id="rId512" ref="R140"/>
    <hyperlink r:id="rId513" ref="W140"/>
    <hyperlink r:id="rId514" ref="Y140"/>
    <hyperlink r:id="rId515" ref="AA140"/>
    <hyperlink r:id="rId516" ref="K141"/>
    <hyperlink r:id="rId517" ref="R141"/>
    <hyperlink r:id="rId518" ref="W141"/>
    <hyperlink r:id="rId519" ref="Y141"/>
    <hyperlink r:id="rId520" ref="AA141"/>
    <hyperlink r:id="rId521" ref="K142"/>
    <hyperlink r:id="rId522" ref="R142"/>
    <hyperlink r:id="rId523" ref="W142"/>
    <hyperlink r:id="rId524" ref="Y142"/>
    <hyperlink r:id="rId525" ref="AA142"/>
    <hyperlink r:id="rId526" ref="K143"/>
    <hyperlink r:id="rId527" ref="R143"/>
    <hyperlink r:id="rId528" ref="W143"/>
    <hyperlink r:id="rId529" ref="Y143"/>
    <hyperlink r:id="rId530" ref="AA143"/>
    <hyperlink r:id="rId531" ref="K144"/>
    <hyperlink r:id="rId532" ref="R144"/>
    <hyperlink r:id="rId533" ref="W144"/>
    <hyperlink r:id="rId534" ref="Y144"/>
    <hyperlink r:id="rId535" ref="AA144"/>
    <hyperlink r:id="rId536" ref="K145"/>
    <hyperlink r:id="rId537" ref="R145"/>
    <hyperlink r:id="rId538" ref="W145"/>
    <hyperlink r:id="rId539" ref="Y145"/>
    <hyperlink r:id="rId540" ref="AA145"/>
    <hyperlink r:id="rId541" ref="K146"/>
    <hyperlink r:id="rId542" ref="R146"/>
    <hyperlink r:id="rId543" ref="W146"/>
    <hyperlink r:id="rId544" ref="Y146"/>
    <hyperlink r:id="rId545" ref="AA146"/>
    <hyperlink r:id="rId546" ref="K147"/>
    <hyperlink r:id="rId547" ref="R147"/>
    <hyperlink r:id="rId548" ref="W147"/>
    <hyperlink r:id="rId549" ref="Y147"/>
    <hyperlink r:id="rId550" ref="AA147"/>
    <hyperlink r:id="rId551" ref="K148"/>
    <hyperlink r:id="rId552" ref="R148"/>
    <hyperlink r:id="rId553" ref="W148"/>
    <hyperlink r:id="rId554" ref="Y148"/>
    <hyperlink r:id="rId555" ref="AA148"/>
    <hyperlink r:id="rId556" ref="K149"/>
    <hyperlink r:id="rId557" ref="R149"/>
    <hyperlink r:id="rId558" ref="W149"/>
    <hyperlink r:id="rId559" ref="Y149"/>
    <hyperlink r:id="rId560" ref="AA149"/>
    <hyperlink r:id="rId561" ref="K150"/>
    <hyperlink r:id="rId562" ref="R150"/>
    <hyperlink r:id="rId563" ref="W150"/>
    <hyperlink r:id="rId564" ref="Y150"/>
    <hyperlink r:id="rId565" ref="AA150"/>
    <hyperlink r:id="rId566" ref="J151"/>
    <hyperlink r:id="rId567" ref="R151"/>
    <hyperlink r:id="rId568" ref="W151"/>
    <hyperlink r:id="rId569" ref="Y151"/>
    <hyperlink r:id="rId570" ref="AA151"/>
    <hyperlink r:id="rId571" ref="J152"/>
    <hyperlink r:id="rId572" ref="R152"/>
    <hyperlink r:id="rId573" ref="W152"/>
    <hyperlink r:id="rId574" ref="Y152"/>
    <hyperlink r:id="rId575" ref="AA152"/>
    <hyperlink r:id="rId576" ref="J153"/>
    <hyperlink r:id="rId577" ref="R153"/>
    <hyperlink r:id="rId578" ref="W153"/>
    <hyperlink r:id="rId579" ref="Y153"/>
    <hyperlink r:id="rId580" ref="AA153"/>
    <hyperlink r:id="rId581" ref="J154"/>
    <hyperlink r:id="rId582" ref="R154"/>
    <hyperlink r:id="rId583" ref="W154"/>
    <hyperlink r:id="rId584" ref="Y154"/>
    <hyperlink r:id="rId585" ref="AA154"/>
    <hyperlink r:id="rId586" ref="J155"/>
    <hyperlink r:id="rId587" ref="R155"/>
    <hyperlink r:id="rId588" ref="W155"/>
    <hyperlink r:id="rId589" ref="Y155"/>
    <hyperlink r:id="rId590" ref="AA155"/>
    <hyperlink r:id="rId591" ref="J156"/>
    <hyperlink r:id="rId592" ref="R156"/>
    <hyperlink r:id="rId593" ref="W156"/>
    <hyperlink r:id="rId594" ref="Y156"/>
    <hyperlink r:id="rId595" ref="AA156"/>
    <hyperlink r:id="rId596" ref="J157"/>
    <hyperlink r:id="rId597" ref="R157"/>
    <hyperlink r:id="rId598" ref="W157"/>
    <hyperlink r:id="rId599" ref="Y157"/>
    <hyperlink r:id="rId600" ref="AA157"/>
    <hyperlink r:id="rId601" ref="J158"/>
    <hyperlink r:id="rId602" ref="R158"/>
    <hyperlink r:id="rId603" ref="W158"/>
    <hyperlink r:id="rId604" ref="Y158"/>
    <hyperlink r:id="rId605" ref="AA158"/>
    <hyperlink r:id="rId606" ref="J159"/>
    <hyperlink r:id="rId607" ref="R159"/>
    <hyperlink r:id="rId608" ref="W159"/>
    <hyperlink r:id="rId609" ref="J160"/>
    <hyperlink r:id="rId610" ref="R160"/>
    <hyperlink r:id="rId611" ref="W160"/>
    <hyperlink r:id="rId612" ref="J161"/>
    <hyperlink r:id="rId613" ref="R161"/>
    <hyperlink r:id="rId614" ref="W161"/>
    <hyperlink r:id="rId615" ref="J162"/>
    <hyperlink r:id="rId616" ref="R162"/>
    <hyperlink r:id="rId617" ref="W162"/>
    <hyperlink r:id="rId618" ref="J163"/>
    <hyperlink r:id="rId619" ref="R163"/>
    <hyperlink r:id="rId620" ref="W163"/>
    <hyperlink r:id="rId621" ref="J164"/>
    <hyperlink r:id="rId622" ref="R164"/>
    <hyperlink r:id="rId623" ref="W164"/>
    <hyperlink r:id="rId624" ref="R165"/>
    <hyperlink r:id="rId625" ref="W165"/>
    <hyperlink r:id="rId626" ref="Y165"/>
    <hyperlink r:id="rId627" ref="AA165"/>
    <hyperlink r:id="rId628" ref="R166"/>
    <hyperlink r:id="rId629" ref="W166"/>
    <hyperlink r:id="rId630" ref="Y166"/>
    <hyperlink r:id="rId631" ref="AA166"/>
    <hyperlink r:id="rId632" ref="J167"/>
    <hyperlink r:id="rId633" ref="R167"/>
    <hyperlink r:id="rId634" ref="W167"/>
    <hyperlink r:id="rId635" ref="Y167"/>
    <hyperlink r:id="rId636" ref="AA167"/>
    <hyperlink r:id="rId637" ref="J168"/>
    <hyperlink r:id="rId638" ref="R168"/>
    <hyperlink r:id="rId639" ref="W168"/>
    <hyperlink r:id="rId640" ref="Y168"/>
    <hyperlink r:id="rId641" ref="AA168"/>
    <hyperlink r:id="rId642" ref="J169"/>
    <hyperlink r:id="rId643" ref="R169"/>
    <hyperlink r:id="rId644" ref="W169"/>
    <hyperlink r:id="rId645" ref="Y169"/>
    <hyperlink r:id="rId646" ref="AA169"/>
    <hyperlink r:id="rId647" ref="J170"/>
    <hyperlink r:id="rId648" ref="R170"/>
    <hyperlink r:id="rId649" ref="W170"/>
    <hyperlink r:id="rId650" ref="Y170"/>
    <hyperlink r:id="rId651" ref="AA170"/>
    <hyperlink r:id="rId652" ref="J171"/>
    <hyperlink r:id="rId653" ref="R171"/>
    <hyperlink r:id="rId654" ref="W171"/>
    <hyperlink r:id="rId655" ref="Y171"/>
    <hyperlink r:id="rId656" ref="AA171"/>
    <hyperlink r:id="rId657" ref="J172"/>
    <hyperlink r:id="rId658" ref="R172"/>
    <hyperlink r:id="rId659" ref="W172"/>
    <hyperlink r:id="rId660" ref="Y172"/>
    <hyperlink r:id="rId661" ref="AA172"/>
    <hyperlink r:id="rId662" ref="J173"/>
    <hyperlink r:id="rId663" ref="R173"/>
    <hyperlink r:id="rId664" ref="W173"/>
    <hyperlink r:id="rId665" ref="Y173"/>
    <hyperlink r:id="rId666" ref="AA173"/>
    <hyperlink r:id="rId667" ref="J174"/>
    <hyperlink r:id="rId668" ref="R174"/>
    <hyperlink r:id="rId669" ref="W174"/>
    <hyperlink r:id="rId670" ref="Y174"/>
    <hyperlink r:id="rId671" ref="AA174"/>
    <hyperlink r:id="rId672" ref="J175"/>
    <hyperlink r:id="rId673" ref="R175"/>
    <hyperlink r:id="rId674" ref="W175"/>
    <hyperlink r:id="rId675" ref="Y175"/>
    <hyperlink r:id="rId676" ref="AA175"/>
    <hyperlink r:id="rId677" ref="J176"/>
    <hyperlink r:id="rId678" ref="R176"/>
    <hyperlink r:id="rId679" ref="W176"/>
    <hyperlink r:id="rId680" ref="Y176"/>
    <hyperlink r:id="rId681" ref="AA176"/>
    <hyperlink r:id="rId682" ref="J177"/>
    <hyperlink r:id="rId683" ref="R177"/>
    <hyperlink r:id="rId684" ref="W177"/>
    <hyperlink r:id="rId685" ref="J178"/>
    <hyperlink r:id="rId686" ref="R178"/>
    <hyperlink r:id="rId687" ref="W178"/>
    <hyperlink r:id="rId688" ref="J179"/>
    <hyperlink r:id="rId689" ref="R179"/>
    <hyperlink r:id="rId690" ref="W179"/>
    <hyperlink r:id="rId691" ref="J180"/>
    <hyperlink r:id="rId692" ref="R180"/>
    <hyperlink r:id="rId693" ref="W180"/>
    <hyperlink r:id="rId694" ref="J181"/>
    <hyperlink r:id="rId695" ref="R181"/>
    <hyperlink r:id="rId696" ref="W181"/>
    <hyperlink r:id="rId697" ref="J182"/>
    <hyperlink r:id="rId698" ref="R182"/>
    <hyperlink r:id="rId699" ref="W182"/>
    <hyperlink r:id="rId700" ref="J183"/>
    <hyperlink r:id="rId701" ref="R183"/>
    <hyperlink r:id="rId702" ref="W183"/>
    <hyperlink r:id="rId703" ref="J184"/>
    <hyperlink r:id="rId704" ref="R184"/>
    <hyperlink r:id="rId705" ref="W184"/>
    <hyperlink r:id="rId706" ref="J185"/>
    <hyperlink r:id="rId707" ref="R185"/>
    <hyperlink r:id="rId708" ref="W185"/>
    <hyperlink r:id="rId709" ref="J186"/>
    <hyperlink r:id="rId710" ref="R186"/>
    <hyperlink r:id="rId711" ref="W186"/>
    <hyperlink r:id="rId712" ref="J187"/>
    <hyperlink r:id="rId713" ref="R187"/>
    <hyperlink r:id="rId714" ref="W187"/>
    <hyperlink r:id="rId715" ref="J188"/>
    <hyperlink r:id="rId716" ref="R188"/>
    <hyperlink r:id="rId717" ref="W188"/>
    <hyperlink r:id="rId718" ref="J189"/>
    <hyperlink r:id="rId719" ref="R189"/>
    <hyperlink r:id="rId720" ref="W189"/>
    <hyperlink r:id="rId721" ref="J190"/>
    <hyperlink r:id="rId722" ref="R190"/>
    <hyperlink r:id="rId723" ref="W190"/>
    <hyperlink r:id="rId724" ref="J191"/>
    <hyperlink r:id="rId725" ref="R191"/>
    <hyperlink r:id="rId726" ref="W191"/>
    <hyperlink r:id="rId727" ref="J192"/>
    <hyperlink r:id="rId728" ref="R192"/>
    <hyperlink r:id="rId729" ref="W192"/>
    <hyperlink r:id="rId730" ref="Y192"/>
    <hyperlink r:id="rId731" ref="AA192"/>
    <hyperlink r:id="rId732" ref="K193"/>
    <hyperlink r:id="rId733" ref="R193"/>
    <hyperlink r:id="rId734" ref="W193"/>
    <hyperlink r:id="rId735" ref="Y193"/>
    <hyperlink r:id="rId736" ref="AA193"/>
    <hyperlink r:id="rId737" ref="J194"/>
    <hyperlink r:id="rId738" ref="R194"/>
    <hyperlink r:id="rId739" ref="W194"/>
    <hyperlink r:id="rId740" ref="J195"/>
    <hyperlink r:id="rId741" ref="R195"/>
    <hyperlink r:id="rId742" ref="W195"/>
    <hyperlink r:id="rId743" ref="J196"/>
    <hyperlink r:id="rId744" ref="R196"/>
    <hyperlink r:id="rId745" ref="W196"/>
    <hyperlink r:id="rId746" ref="J197"/>
    <hyperlink r:id="rId747" ref="R197"/>
    <hyperlink r:id="rId748" ref="W197"/>
    <hyperlink r:id="rId749" ref="J198"/>
    <hyperlink r:id="rId750" ref="R198"/>
    <hyperlink r:id="rId751" ref="W198"/>
    <hyperlink r:id="rId752" ref="J199"/>
    <hyperlink r:id="rId753" ref="R199"/>
    <hyperlink r:id="rId754" ref="W199"/>
    <hyperlink r:id="rId755" ref="J200"/>
    <hyperlink r:id="rId756" ref="R200"/>
    <hyperlink r:id="rId757" ref="W200"/>
    <hyperlink r:id="rId758" ref="J201"/>
    <hyperlink r:id="rId759" ref="R201"/>
    <hyperlink r:id="rId760" ref="W201"/>
    <hyperlink r:id="rId761" ref="J202"/>
    <hyperlink r:id="rId762" ref="R202"/>
    <hyperlink r:id="rId763" ref="W202"/>
    <hyperlink r:id="rId764" ref="R203"/>
    <hyperlink r:id="rId765" ref="W203"/>
    <hyperlink r:id="rId766" ref="Y203"/>
    <hyperlink r:id="rId767" ref="AA203"/>
    <hyperlink r:id="rId768" ref="R204"/>
    <hyperlink r:id="rId769" ref="W204"/>
    <hyperlink r:id="rId770" ref="Y204"/>
    <hyperlink r:id="rId771" ref="AA204"/>
    <hyperlink r:id="rId772" ref="R205"/>
    <hyperlink r:id="rId773" ref="W205"/>
    <hyperlink r:id="rId774" ref="Y205"/>
    <hyperlink r:id="rId775" ref="AA205"/>
    <hyperlink r:id="rId776" ref="R206"/>
    <hyperlink r:id="rId777" ref="W206"/>
    <hyperlink r:id="rId778" ref="Y206"/>
    <hyperlink r:id="rId779" ref="AA206"/>
    <hyperlink r:id="rId780" ref="R207"/>
    <hyperlink r:id="rId781" ref="W207"/>
    <hyperlink r:id="rId782" ref="Y207"/>
    <hyperlink r:id="rId783" ref="AA207"/>
    <hyperlink r:id="rId784" ref="R208"/>
    <hyperlink r:id="rId785" ref="W208"/>
    <hyperlink r:id="rId786" ref="Y208"/>
    <hyperlink r:id="rId787" ref="AA208"/>
  </hyperlinks>
  <drawing r:id="rId788"/>
  <legacyDrawing r:id="rId789"/>
</worksheet>
</file>