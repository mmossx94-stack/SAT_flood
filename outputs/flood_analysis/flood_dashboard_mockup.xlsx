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worksheets/sheet5.xml" ContentType="application/vnd.openxmlformats-officedocument.spreadsheetml.worksheet+xml"/>
  <Override PartName="/xl/comments2.xml" ContentType="application/vnd.openxmlformats-officedocument.spreadsheetml.comments+xml"/>
  <Override PartName="/xl/worksheets/sheet6.xml" ContentType="application/vnd.openxmlformats-officedocument.spreadsheetml.worksheet+xml"/>
  <Override PartName="/xl/comments3.xml" ContentType="application/vnd.openxmlformats-officedocument.spreadsheetml.comments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3921dbbaad44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aster_DB" sheetId="1" r:id="Ra260e9c6f8b7435e"/>
    <x:sheet xmlns:r="http://schemas.openxmlformats.org/officeDocument/2006/relationships" name="Vulnerable_group" sheetId="2" r:id="R02fec7c903104bc4"/>
    <x:sheet xmlns:r="http://schemas.openxmlformats.org/officeDocument/2006/relationships" name="Dashboard" sheetId="3" r:id="Rf1ae2597cc2b462a"/>
    <x:sheet xmlns:r="http://schemas.openxmlformats.org/officeDocument/2006/relationships" name="BKK_water_DB" sheetId="4" r:id="R7c37799cd1d24b27"/>
    <x:sheet xmlns:r="http://schemas.openxmlformats.org/officeDocument/2006/relationships" name="thai_water_DB" sheetId="5" r:id="Rcc0c7b4bcd0a4c93"/>
    <x:sheet xmlns:r="http://schemas.openxmlformats.org/officeDocument/2006/relationships" name="shelter_DB" sheetId="6" r:id="Rc6fe9a25d85c4a8f"/>
    <x:sheet xmlns:r="http://schemas.openxmlformats.org/officeDocument/2006/relationships" name="Dashboard_Mockup" sheetId="7" r:id="R1574c44663b64879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อัปเดตสำเร็จ: 2026-10-01T15:57:33+07:00
จำนวนสถานี: 282
แหล่งข้อมูลรอบนี้: สำนักการระบายน้ำ กทม. ผ่าน ThaiWater
เหตุผลใช้สำรอง: https://weather.bangkok.go.th/water/Summary ตอบ HTTP 403
ระดับน้ำ ม.รทก. ไม่ใช่ความลึกน้ำท่วมถนน
สถานะน้ำและเครื่องวัดยึดต้นทาง ไม่คำนวณสถานะจากเกณฑ์ใหม่
รหัสเครื่องวัด 0/3 ยังไม่ยืนยันความหมาย จึงแสดงไม่ทราบ
null และ -99 แสดงว่างในคอลัมน์ระดับน้ำ; ค่าเดิมอยู่ใน raw_station_json
เวลาเป็นข้อความ ISO เวลาไทย มี +07:00; freshness คำนวณ ณ เวลาดึง ไม่เปลี่ยนเองระหว่างรอบ
ข้อมูลเป็นชุดล่าสุด รวมสถานีพื้นที่นอก กทม. ตามต้นทาง
ThaiWater: ไม่ได้ให้สถานะเครื่อง/สถานะเตือนแบบ กทม. จึงแสดงไม่ทราบ ไม่คำนวณแทน
ThaiWater: station_id ใช้คำนำหน้า THAIWATER: เพราะเป็นคนละระบบรหัส; จับคู่ข้ามแหล่งด้วย station_code
ThaiWater: canal_out เก็บใน raw_station_json เท่านั้น จนยืนยันความหมายของฟิลด์ได้
การสลับแหล่งแทนที่ทั้งชุด จำนวนและเวลาวัดอาจต่างกัน ไม่รวมข้อมูลข้ามแหล่ง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A1" authorId="0">
      <x:text>
        <x:r>
          <x:t>แหล่งข้อมูล: https://api-v3.thaiwater.net/api/v1/thaiwater30/public/waterlevel_load
รับข้อมูล: 2026-10-01T15:22:23+07:00
จำนวน: 807 สถานี</x:t>
        </x:r>
      </x:text>
    </x:comment>
  </x:commentList>
</x:comments>
</file>

<file path=xl/comments3.xml><?xml version="1.0" encoding="utf-8"?>
<x:comments xmlns:x="http://schemas.openxmlformats.org/spreadsheetml/2006/main">
  <x:authors>
    <x:author/>
  </x:authors>
  <x:commentList>
    <x:comment ref="A1" authorId="0">
      <x:text>
        <x:r>
          <x:t>ข้อมูลจาก BMA Flood Support เฉพาะศูนย์พักพิงชั่วคราว
จำนวน 207
รับข้อมูล 2026-10-01T16:01:43+07:00
เวลา created/updated/generated เก็บตามต้นทาง ไม่แทนด้วยเวลาที่ดึง
source_stale คือสถานะข้อมูลสำรองที่ API รายงาน ไม่ใช่การรับรองว่าทุกศูนย์อัปเดตล่าสุด
ช่องว่างไม่ใช่ศูนย์ ที่ว่างและสถานะใช้ค่าต้นทาง ไม่คำนวณใหม่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<x:sst xmlns:x="http://schemas.openxmlformats.org/spreadsheetml/2006/main">
  <x:si>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Record_ID</x:t>
  </x:si>
  <x:si>
    <x:t xml:space="preserve">Report_Date</x:t>
  </x:si>
  <x:si>
    <x:t xml:space="preserve">Region</x:t>
  </x:si>
  <x:si>
    <x:t xml:space="preserve">Province</x:t>
  </x:si>
  <x:si>
    <x:t xml:space="preserve">Disaster_Type</x:t>
  </x:si>
  <x:si>
    <x:t xml:space="preserve">Affected_Districts_Count</x:t>
  </x:si>
  <x:si>
    <x:t xml:space="preserve">District_Names</x:t>
  </x:si>
  <x:si>
    <x:t xml:space="preserve">Affected_Subdistricts_Count</x:t>
  </x:si>
  <x:si>
    <x:t xml:space="preserve">Affected_Villages_Count</x:t>
  </x:si>
  <x:si>
    <x:t xml:space="preserve">Affected_Households</x:t>
  </x:si>
  <x:si>
    <x:t xml:space="preserve">Casualties_Deaths</x:t>
  </x:si>
  <x:si>
    <x:t xml:space="preserve">Water_Level_Trend</x:t>
  </x:si>
  <x:si>
    <x:t xml:space="preserve">Current_Status</x:t>
  </x:si>
  <x:si>
    <x:t xml:space="preserve">Remarks</x:t>
  </x:si>
  <x:si>
    <x:t xml:space="preserve">Ingested_At</x:t>
  </x:si>
  <x:si>
    <x:t xml:space="preserve">Source_URL</x:t>
  </x:si>
  <x:si>
    <x:t xml:space="preserve">2026-09-30_ตาก_อุทกภัย</x:t>
  </x:si>
  <x:si>
    <x:t xml:space="preserve">ภาคเหนือ</x:t>
  </x:si>
  <x:si>
    <x:t xml:space="preserve">ตาก</x:t>
  </x:si>
  <x:si>
    <x:t xml:space="preserve">อุทกภัย</x:t>
  </x:si>
  <x:si>
    <x:t xml:space="preserve">อ.บ้านตาก อ.แม่สอด</x:t>
  </x:si>
  <x:si>
    <x:t xml:space="preserve">-</x:t>
  </x:si>
  <x:si>
    <x:t xml:space="preserve">เพิ่มขึ้น</x:t>
  </x:si>
  <x:si>
    <x:t xml:space="preserve">กำลังประสบภัย</x:t>
  </x:si>
  <x:si>
    <x:t xml:space="preserve">ปภ. รายงาน 545/2569 วันที่ 30 ก.ย. 2569 เวลา 06.00 น. ตารางหน้า 1; บาดเจ็บ: -; สูญหาย: -; คงเครื่องหมาย - และช่องว่างตามต้นฉบับ</x:t>
  </x:si>
  <x:si>
    <x:t xml:space="preserve">https://backofficeminisite.disaster.go.th/apiv1/apps/minisite_directing/194/content/8728/download?filename=5d20575fa6cbe9d1e5a046aeef36e7a3.pdf</x:t>
  </x:si>
  <x:si>
    <x:t xml:space="preserve">2026-09-30_พิษณุโลก_อุทกภัย</x:t>
  </x:si>
  <x:si>
    <x:t xml:space="preserve">พิษณุโลก</x:t>
  </x:si>
  <x:si>
    <x:t xml:space="preserve">อ.บางระกำ</x:t>
  </x:si>
  <x:si>
    <x:t xml:space="preserve">ลดลง</x:t>
  </x:si>
  <x:si>
    <x:t xml:space="preserve">2026-09-30_เพชรบูรณ์_อุทกภัย</x:t>
  </x:si>
  <x:si>
    <x:t xml:space="preserve">เพชรบูรณ์</x:t>
  </x:si>
  <x:si>
    <x:t xml:space="preserve">อ.เมืองฯ อ.ชนแดน อ.บึงสามพัน อ.วิเชียรบุรี อ.ศรีเทพ อ.หนองไผ่</x:t>
  </x:si>
  <x:si>
    <x:t xml:space="preserve">2026-09-30_กำแพงเพชร_อุทกภัย</x:t>
  </x:si>
  <x:si>
    <x:t xml:space="preserve">กำแพงเพชร</x:t>
  </x:si>
  <x:si>
    <x:t xml:space="preserve">อ.ปางศิลาทอง อ.เมืองฯ อ.ขาณุวรลักษบุรี อ.คลองขลุง อ.คลองลาน อ.บึงสามัคคี อ.ทรายทองวัฒนา อ.โกสัมพีนคร</x:t>
  </x:si>
  <x:si>
    <x:t xml:space="preserve">ปภ. รายงาน 545/2569 วันที่ 30 ก.ย. 2569 เวลา 06.00 น. ตารางหน้า 2; บาดเจ็บ: -; สูญหาย: -; คงเครื่องหมาย - และช่องว่างตามต้นฉบับ</x:t>
  </x:si>
  <x:si>
    <x:t xml:space="preserve">2026-09-30_นครสวรรค์_อุทกภัย</x:t>
  </x:si>
  <x:si>
    <x:t xml:space="preserve">นครสวรรค์</x:t>
  </x:si>
  <x:si>
    <x:t xml:space="preserve">อ.พยุหะคีรี อ.แม่วงก์ อ.ตาคลี อ.ไพศาลี อ.ลาดยาว อ.บรรพตพิสัย อ.เก้าเลี้ยว อ.เมืองฯ อ.ชุมแสง อ.ท่าตะโก อ.ตากฟ้า</x:t>
  </x:si>
  <x:si>
    <x:t xml:space="preserve">2026-09-30_อุทัยธานี_อุทกภัย</x:t>
  </x:si>
  <x:si>
    <x:t xml:space="preserve">ภาคกลาง</x:t>
  </x:si>
  <x:si>
    <x:t xml:space="preserve">อุทัยธานี</x:t>
  </x:si>
  <x:si>
    <x:t xml:space="preserve">อ.หนองฉาง อ.ห้วยคต อ.สว่างอารมณ์ อ.หนองขาหย่าง อ.บ้านไร่ อ.ลานสัก อ.เมืองฯ อ.ทัพทัน</x:t>
  </x:si>
  <x:si>
    <x:t xml:space="preserve">ทรงตัว</x:t>
  </x:si>
  <x:si>
    <x:t xml:space="preserve">2026-09-30_ลพบุรี_อุทกภัย</x:t>
  </x:si>
  <x:si>
    <x:t xml:space="preserve">ลพบุรี</x:t>
  </x:si>
  <x:si>
    <x:t xml:space="preserve">อ.เมืองฯ อ.ท่าหลวง อ.พัฒนานิคม อ.โคกสำโรง อ.บ้านหมี่</x:t>
  </x:si>
  <x:si>
    <x:t xml:space="preserve">2026-09-30_ชัยนาท_อุทกภัย</x:t>
  </x:si>
  <x:si>
    <x:t xml:space="preserve">ชัยนาท</x:t>
  </x:si>
  <x:si>
    <x:t xml:space="preserve">อ.เมืองฯ อ.มโนรมย์ อ.วัดสิงห์ อ.สรรพยา อ.หันคา อ.หนองมะโมง</x:t>
  </x:si>
  <x:si>
    <x:t xml:space="preserve">2026-09-30_สิงห์บุรี_อุทกภัย</x:t>
  </x:si>
  <x:si>
    <x:t xml:space="preserve">สิงห์บุรี</x:t>
  </x:si>
  <x:si>
    <x:t xml:space="preserve">อ.เมืองฯ อ.อินทร์บุรี อ.พรหมบุรี</x:t>
  </x:si>
  <x:si>
    <x:t xml:space="preserve">2026-09-30_สุพรรณบุรี_อุทกภัย</x:t>
  </x:si>
  <x:si>
    <x:t xml:space="preserve">สุพรรณบุรี</x:t>
  </x:si>
  <x:si>
    <x:t xml:space="preserve">อ.บางปลาม้า อ.สองพี่น้อง อ.ดอนเจดีย์ อ.ศรีประจันต์ อ.เมืองฯ อ.สามชุก อ.เดิมบางนางบวช อ.อู่ทอง อ.ด่านช้าง</x:t>
  </x:si>
  <x:si>
    <x:t xml:space="preserve">2026-09-30_กาญจนบุรี_อุทกภัย</x:t>
  </x:si>
  <x:si>
    <x:t xml:space="preserve">กาญจนบุรี</x:t>
  </x:si>
  <x:si>
    <x:t xml:space="preserve">อ.ไทรโยค อ.เลาขวัญ อ.ห้วยกระเจา อ.หนองปรือ อ.พนมทวน อ.ด่านมะขามเตี้ย อ.ท่าม่วง อ.ท่ามะกา อ.บ่อพลอย อ.ศรีสวัสดิ์ อ.ทองผาภูมิ อ.เมืองฯ อ.สังขละบุรี</x:t>
  </x:si>
  <x:si>
    <x:t xml:space="preserve">ปภ. รายงาน 545/2569 วันที่ 30 ก.ย. 2569 เวลา 06.00 น. ตารางหน้า 3; บาดเจ็บ: -; สูญหาย: -; คงเครื่องหมาย - และช่องว่างตามต้นฉบับ</x:t>
  </x:si>
  <x:si>
    <x:t xml:space="preserve">2026-09-30_อ่างทอง_อุทกภัย</x:t>
  </x:si>
  <x:si>
    <x:t xml:space="preserve">อ่างทอง</x:t>
  </x:si>
  <x:si>
    <x:t xml:space="preserve">อ.ป่าโมก อ.ไชโย อ.วิเศษชัยชาญ</x:t>
  </x:si>
  <x:si>
    <x:t xml:space="preserve">2026-09-30_สระบุรี_อุทกภัย</x:t>
  </x:si>
  <x:si>
    <x:t xml:space="preserve">สระบุรี</x:t>
  </x:si>
  <x:si>
    <x:t xml:space="preserve">อ.หนองแซง อ.มวกเหล็ก อ.เมืองฯ อ.พระพุทธบาท อ.แก่งคอย อ.หนองแค อ.วังม่วง อ.หนองโดน อ.วิหารแดง อ.บ้านหมอ อ.ดอนพุด อ.เสาไห้ อ.เฉลิมพระเกียรติ</x:t>
  </x:si>
  <x:si>
    <x:t xml:space="preserve">2026-09-30_พระนครศรีอยุธยา_อุทกภัย</x:t>
  </x:si>
  <x:si>
    <x:t xml:space="preserve">พระนครศรีอยุธยา</x:t>
  </x:si>
  <x:si>
    <x:t xml:space="preserve">อ.เสนา อ.บางบาล อ.ผักไห่ อ.บางไทร อ.บางปะอิน อ.พระนครศรีอยุธยา อ.บางปะหัน อ.บัวหลวง อ.นครหลวง อ.วังน้อย อ.อุทัย</x:t>
  </x:si>
  <x:si>
    <x:t xml:space="preserve">2026-09-30_สมุทรปราการ_อุทกภัย</x:t>
  </x:si>
  <x:si>
    <x:t xml:space="preserve">สมุทรปราการ</x:t>
  </x:si>
  <x:si>
    <x:t xml:space="preserve">อ.เมืองฯ อ.บางเสาธง อ.บางพลี อ.บางบ่อ อ.พระประแดง อ.พระสมุทรเจดีย์</x:t>
  </x:si>
  <x:si>
    <x:t xml:space="preserve">2026-09-30_ปทุมธานี_อุทกภัย</x:t>
  </x:si>
  <x:si>
    <x:t xml:space="preserve">ปทุมธานี</x:t>
  </x:si>
  <x:si>
    <x:t xml:space="preserve">อ.ธัญบุรี อ.เมืองฯ อ.สามโคก อ.คลองหลวง อ.ลำลูกกา อ.หนองเสือ อ.ลาดหลุมแก้ว</x:t>
  </x:si>
  <x:si>
    <x:t xml:space="preserve">ปภ. รายงาน 545/2569 วันที่ 30 ก.ย. 2569 เวลา 06.00 น. ตารางหน้า 4; บาดเจ็บ: -; สูญหาย: -; คงเครื่องหมาย - และช่องว่างตามต้นฉบับ</x:t>
  </x:si>
  <x:si>
    <x:t xml:space="preserve">2026-09-30_นนทบุรี_อุทกภัย</x:t>
  </x:si>
  <x:si>
    <x:t xml:space="preserve">นนทบุรี</x:t>
  </x:si>
  <x:si>
    <x:t xml:space="preserve">อ.เมืองฯ อ.บางกรวย อ.ปากเกร็ด</x:t>
  </x:si>
  <x:si>
    <x:t xml:space="preserve">2026-09-30_นครปฐม_อุทกภัย</x:t>
  </x:si>
  <x:si>
    <x:t xml:space="preserve">นครปฐม</x:t>
  </x:si>
  <x:si>
    <x:t xml:space="preserve">อ.เมืองฯ อ.พุทธมณฑล อ.กำแพงแสน อ.นครชัยศรี อ.สามพราน อ.บางเลน อ.ดอนตูม</x:t>
  </x:si>
  <x:si>
    <x:t xml:space="preserve">2026-09-30_ราชบุรี_อุทกภัย</x:t>
  </x:si>
  <x:si>
    <x:t xml:space="preserve">ราชบุรี</x:t>
  </x:si>
  <x:si>
    <x:t xml:space="preserve">อ.โพธาราม อ.บางแพ อ.ดำเนินสะดวก อ.เมืองฯ</x:t>
  </x:si>
  <x:si>
    <x:t xml:space="preserve">2026-09-30_นครนายก_อุทกภัย</x:t>
  </x:si>
  <x:si>
    <x:t xml:space="preserve">ภาคตะวันออก</x:t>
  </x:si>
  <x:si>
    <x:t xml:space="preserve">นครนายก</x:t>
  </x:si>
  <x:si>
    <x:t xml:space="preserve">อ.ปากพลี อ.เมืองฯ อ.บ้านนา อ.องครักษ์</x:t>
  </x:si>
  <x:si>
    <x:t xml:space="preserve">2026-09-30_ปราจีนบุรี_อุทกภัย</x:t>
  </x:si>
  <x:si>
    <x:t xml:space="preserve">ปราจีนบุรี</x:t>
  </x:si>
  <x:si>
    <x:t xml:space="preserve">อ.กบินทร์บุรี อ.ศรีมหาโพธิ อ.นาดี อ.เมืองฯ อ.ประจันตคาม อ.บ้านสร้าง อ.ศรีมโหสถ</x:t>
  </x:si>
  <x:si>
    <x:t xml:space="preserve">2026-09-30_ฉะเชิงเทรา_อุทกภัย</x:t>
  </x:si>
  <x:si>
    <x:t xml:space="preserve">ฉะเชิงเทรา</x:t>
  </x:si>
  <x:si>
    <x:t xml:space="preserve">อ.บางน้ำเปรี้ยว อ.พนมสารคาม อ.บางคล้า อ.ท่าตะเกียบ อ.สนามชัยเขต อ.แปลงยาว อ.เมืองฯ อ.บ้านโพธิ์ อ.บางปะกง อ.คลองเขื่อน อ.ราชสาส์น</x:t>
  </x:si>
  <x:si>
    <x:t xml:space="preserve">2026-09-30_สระแก้ว_อุทกภัย</x:t>
  </x:si>
  <x:si>
    <x:t xml:space="preserve">สระแก้ว</x:t>
  </x:si>
  <x:si>
    <x:t xml:space="preserve">อ.เมืองฯ อ.วัฒนานคร อ.อรัญประเทศ อ.โคกสูง อ.คลองหาด อ.วังน้ำเย็น อ.เขาฉกรรจ์ อ.ตาพระยา อ.วังสมบูรณ์</x:t>
  </x:si>
  <x:si>
    <x:t xml:space="preserve">ปภ. รายงาน 545/2569 วันที่ 30 ก.ย. 2569 เวลา 06.00 น. ตารางหน้า 5; บาดเจ็บ: -; สูญหาย: -; คงเครื่องหมาย - และช่องว่างตามต้นฉบับ</x:t>
  </x:si>
  <x:si>
    <x:t xml:space="preserve">2026-09-30_ชลบุรี_อุทกภัย</x:t>
  </x:si>
  <x:si>
    <x:t xml:space="preserve">ชลบุรี</x:t>
  </x:si>
  <x:si>
    <x:t xml:space="preserve">อ.เมืองฯ อ.สัตหีบ อ.พนัสนิคม อ.ศรีราชา อ.บางละมุง อ.บ้านบึง อ.หนองใหญ่ อ.เกาะจันทร์ อ.พานทอง อ.บ่อทอง</x:t>
  </x:si>
  <x:si>
    <x:t xml:space="preserve">2026-09-30_ระยอง_อุทกภัย</x:t>
  </x:si>
  <x:si>
    <x:t xml:space="preserve">ระยอง</x:t>
  </x:si>
  <x:si>
    <x:t xml:space="preserve">อ.ปลวกแดง อ.บ้านค่าย อ.เขาชะเมา อ.นิคมพัฒนา อ.แกลง</x:t>
  </x:si>
  <x:si>
    <x:t xml:space="preserve">2026-09-30_จันทบุรี_อุทกภัย</x:t>
  </x:si>
  <x:si>
    <x:t xml:space="preserve">จันทบุรี</x:t>
  </x:si>
  <x:si>
    <x:t xml:space="preserve">อ.แก่งหางแมว อ.โป่งน้ำร้อน อ.นายายอาม อ.มะขาม อ.ท่าใหม่ อ.ขลุง อ.เมืองฯ อ.แหลมสิงห์</x:t>
  </x:si>
  <x:si>
    <x:t xml:space="preserve">2026-09-30_ตราด_อุทกภัย</x:t>
  </x:si>
  <x:si>
    <x:t xml:space="preserve">ตราด</x:t>
  </x:si>
  <x:si>
    <x:t xml:space="preserve">อ.บ่อไร่ อ.เขาสมิง อ.เมืองฯ</x:t>
  </x:si>
  <x:si>
    <x:t xml:space="preserve">ปภ. รายงาน 545/2569 วันที่ 30 ก.ย. 2569 เวลา 06.00 น. ตารางหน้า 5; บาดเจ็บ: ช่องว่าง; สูญหาย: ช่องว่าง; คงเครื่องหมาย - และช่องว่างตามต้นฉบับ</x:t>
  </x:si>
  <x:si>
    <x:t xml:space="preserve">2026-09-30_บุรีรัมย์_อุทกภัย</x:t>
  </x:si>
  <x:si>
    <x:t xml:space="preserve">ภาคตะวันออกเฉียงเหนือ</x:t>
  </x:si>
  <x:si>
    <x:t xml:space="preserve">บุรีรัมย์</x:t>
  </x:si>
  <x:si>
    <x:t xml:space="preserve">อ.นางรอง อ.เฉลิมพระเกียรติ อ.ประโคนชัย อ.พลับพลาชัย</x:t>
  </x:si>
  <x:si>
    <x:t xml:space="preserve">2026-09-30_ชัยภูมิ_อุทกภัย</x:t>
  </x:si>
  <x:si>
    <x:t xml:space="preserve">ชัยภูมิ</x:t>
  </x:si>
  <x:si>
    <x:t xml:space="preserve">อ.เกษตรสมบูรณ์ อ.บำเหน็จณรงค์ อ.ภูเขียว</x:t>
  </x:si>
  <x:si>
    <x:t xml:space="preserve">ปภ. รายงาน 545/2569 วันที่ 30 ก.ย. 2569 เวลา 06.00 น. ตารางหน้า 6; บาดเจ็บ: -; สูญหาย: -; คงเครื่องหมาย - และช่องว่างตามต้นฉบับ</x:t>
  </x:si>
  <x:si>
    <x:t xml:space="preserve">2026-09-30_นครราชสีมา_อุทกภัย</x:t>
  </x:si>
  <x:si>
    <x:t xml:space="preserve">นครราชสีมา</x:t>
  </x:si>
  <x:si>
    <x:t xml:space="preserve">อ.ปากช่อง อ.ปักธงชัย อ.ด่านขุนทด</x:t>
  </x:si>
  <x:si>
    <x:t xml:space="preserve">2026-09-30_สุรินทร์_อุทกภัย</x:t>
  </x:si>
  <x:si>
    <x:t xml:space="preserve">สุรินทร์</x:t>
  </x:si>
  <x:si>
    <x:t xml:space="preserve">อ.พนมดงรัก อ.ปราสาท</x:t>
  </x:si>
  <x:si>
    <x:t xml:space="preserve">2026-09-30_กรุงเทพมหานคร_อุทกภัย</x:t>
  </x:si>
  <x:si>
    <x:t xml:space="preserve">กรุงเทพมหานคร</x:t>
  </x:si>
  <x:si>
    <x:t xml:space="preserve">2026-10-01_พิษณุโลก_อุทกภัย</x:t>
  </x:si>
  <x:si>
    <x:t xml:space="preserve">บางระกำ</x:t>
  </x:si>
  <x:si>
    <x:t xml:space="preserve">ปภ. รายงาน 547/2569 วันที่ 1 ต.ค. 2569 เวลา 06.00 น. ตารางหน้า 1; บาดเจ็บ: -; สูญหาย: -</x:t>
  </x:si>
  <x:si>
    <x:t xml:space="preserve">รายงานสถานการณ์สาธารณภัยวันที่1ต.คเวลา06.0.pdf</x:t>
  </x:si>
  <x:si>
    <x:t xml:space="preserve">2026-10-01_เพชรบูรณ์_อุทกภัย</x:t>
  </x:si>
  <x:si>
    <x:t xml:space="preserve">เมืองฯ ชนแดน บึงสามพัน วิเชียรบุรี ศรีเทพ หนองไผ่</x:t>
  </x:si>
  <x:si>
    <x:t xml:space="preserve">2026-10-01_กำแพงเพชร_อุทกภัย</x:t>
  </x:si>
  <x:si>
    <x:t xml:space="preserve">ปางศิลาทอง เมืองฯ ขาณุวรลักษบุรี คลองขลุง คลองลาน บึงสามัคคี ทรายทองวัฒนา โกสัมพีนคร</x:t>
  </x:si>
  <x:si>
    <x:t xml:space="preserve">ปภ. รายงาน 547/2569 วันที่ 1 ต.ค. 2569 เวลา 06.00 น. ตารางหน้า 2; บาดเจ็บ: -; สูญหาย: -</x:t>
  </x:si>
  <x:si>
    <x:t xml:space="preserve">2026-10-01_นครสวรรค์_อุทกภัย</x:t>
  </x:si>
  <x:si>
    <x:t xml:space="preserve">พยุหะคีรี แม่วงก์ ตาคลี ไพศาลี ลาดยาว บรรพตพิสัย เก้าเลี้ยว เมืองฯ ชุมแสง ท่าตะโก ตากฟ้า</x:t>
  </x:si>
  <x:si>
    <x:t xml:space="preserve">2026-10-01_อุทัยธานี_อุทกภัย</x:t>
  </x:si>
  <x:si>
    <x:t xml:space="preserve">หนองฉาง ห้วยคต สว่างอารมณ์ หนองขาหย่าง บ้านไร่ ลานสัก อ.เมืองฯ ทัพทัน</x:t>
  </x:si>
  <x:si>
    <x:t xml:space="preserve">2026-10-01_ลพบุรี_อุทกภัย</x:t>
  </x:si>
  <x:si>
    <x:t xml:space="preserve">เมืองฯ ท่าหลวง พัฒนานิคม โคกสำโรง บ้านหมี่</x:t>
  </x:si>
  <x:si>
    <x:t xml:space="preserve">2026-10-01_ชัยนาท_อุทกภัย</x:t>
  </x:si>
  <x:si>
    <x:t xml:space="preserve">เมืองฯ วัดสิงห์ มโนรมย์ สรรพยา หันคา หนองมะโมง สรรคบุรี</x:t>
  </x:si>
  <x:si>
    <x:t xml:space="preserve">2026-10-01_สิงห์บุรี_อุทกภัย</x:t>
  </x:si>
  <x:si>
    <x:t xml:space="preserve">อินทร์บุรี พรหมบุรี เมืองฯ</x:t>
  </x:si>
  <x:si>
    <x:t xml:space="preserve">2026-10-01_สุพรรณบุรี_อุทกภัย</x:t>
  </x:si>
  <x:si>
    <x:t xml:space="preserve">บางปลาม้า สองพี่น้อง ดอนเจดีย์ ศรีประจันต์ เมืองฯ สามชุก เดิมบางนางบวช อู่ทอง ด่านช้าง</x:t>
  </x:si>
  <x:si>
    <x:t xml:space="preserve">ปภ. รายงาน 547/2569 วันที่ 1 ต.ค. 2569 เวลา 06.00 น. ตารางหน้า 3; บาดเจ็บ: -; สูญหาย: -</x:t>
  </x:si>
  <x:si>
    <x:t xml:space="preserve">2026-10-01_กาญจนบุรี_อุทกภัย</x:t>
  </x:si>
  <x:si>
    <x:t xml:space="preserve">ไทรโยค เลาขวัญ ห้วยกระเจา หนองปรือ พนมทวน ด่านมะขามเตี้ย ท่าม่วง ท่ามะกา บ่อพลอย ศรีสวัสดิ์ ทองผาภูมิ เมืองฯ สังขละบุรี</x:t>
  </x:si>
  <x:si>
    <x:t xml:space="preserve">2026-10-01_อ่างทอง_อุทกภัย</x:t>
  </x:si>
  <x:si>
    <x:t xml:space="preserve">ป่าโมก ไชโย วิเศษชัยชาญ</x:t>
  </x:si>
  <x:si>
    <x:t xml:space="preserve">2026-10-01_สระบุรี_อุทกภัย</x:t>
  </x:si>
  <x:si>
    <x:t xml:space="preserve">หนองแซง มวกเหล็ก เมืองฯ วังม่วง แก่งคอย หนองแค พระพุทธบาท หนองโดน วิหารแดง บ้านหมอ ดอนพุด เสาไห้ เฉลิมพระเกียรติ</x:t>
  </x:si>
  <x:si>
    <x:t xml:space="preserve">2026-10-01_พระนครศรีอยุธยา_อุทกภัย</x:t>
  </x:si>
  <x:si>
    <x:t xml:space="preserve">เสนา บางบาล ผักไห่ บางไทร พระนครศรีอยุธยา บางปะอิน บางปะหัน ลาดบัวหลวง นครหลวง วังน้อย อุทัย ท่าเรือ ภาชี</x:t>
  </x:si>
  <x:si>
    <x:t xml:space="preserve">ปภ. รายงาน 547/2569 วันที่ 1 ต.ค. 2569 เวลา 06.00 น. ตารางหน้า 4; บาดเจ็บ: -; สูญหาย: -</x:t>
  </x:si>
  <x:si>
    <x:t xml:space="preserve">2026-10-01_สมุทรปราการ_อุทกภัย</x:t>
  </x:si>
  <x:si>
    <x:t xml:space="preserve">บางเสาธง บางบ่อ บางพลี เมืองฯ พระประแดง พระสมุทรเจดีย์</x:t>
  </x:si>
  <x:si>
    <x:t xml:space="preserve">2026-10-01_ปทุมธานี_อุทกภัย</x:t>
  </x:si>
  <x:si>
    <x:t xml:space="preserve">ธัญบุรี เมืองฯ สามโคก คลองหลวง ลำลูกกา หนองเสือ ลาดหลุมแก้ว</x:t>
  </x:si>
  <x:si>
    <x:t xml:space="preserve">2026-10-01_นนทบุรี_อุทกภัย</x:t>
  </x:si>
  <x:si>
    <x:t xml:space="preserve">เมืองฯ บางกรวย ปากเกร็ด</x:t>
  </x:si>
  <x:si>
    <x:t xml:space="preserve">2026-10-01_นครปฐม_อุทกภัย</x:t>
  </x:si>
  <x:si>
    <x:t xml:space="preserve">เมืองฯ กำแพงแสน นครชัยศรี พุทธมณฑล สามพราน บางเลน ดอนตูม</x:t>
  </x:si>
  <x:si>
    <x:t xml:space="preserve">2026-10-01_ราชบุรี_อุทกภัย</x:t>
  </x:si>
  <x:si>
    <x:t xml:space="preserve">โพธาราม บางแพ เมืองฯ ดำเนินสะดวก บ้านโป่ง วัดเพลง จอมบึง</x:t>
  </x:si>
  <x:si>
    <x:t xml:space="preserve">2026-10-01_นครนายก_อุทกภัย</x:t>
  </x:si>
  <x:si>
    <x:t xml:space="preserve">ปากพลี เมืองฯ บ้านนา องครักษ์</x:t>
  </x:si>
  <x:si>
    <x:t xml:space="preserve">2026-10-01_ปราจีนบุรี_อุทกภัย</x:t>
  </x:si>
  <x:si>
    <x:t xml:space="preserve">กบินทร์บุรี นาดี ศรีมหาโพธิ เมืองฯ ประจันตคาม บ้านสร้าง ศรีมโหสถ</x:t>
  </x:si>
  <x:si>
    <x:t xml:space="preserve">ปภ. รายงาน 547/2569 วันที่ 1 ต.ค. 2569 เวลา 06.00 น. ตารางหน้า 5; บาดเจ็บ: -; สูญหาย: -</x:t>
  </x:si>
  <x:si>
    <x:t xml:space="preserve">2026-10-01_ฉะเชิงเทรา_อุทกภัย</x:t>
  </x:si>
  <x:si>
    <x:t xml:space="preserve">บางน้ำเปรี้ยว พนมสารคาม บางคล้า แปลงยาว ท่าตะเกียบ สนามชัยเขต เมืองฯ บ้านโพธิ์ บางปะกง คลองเขื่อน ราชสาส์น</x:t>
  </x:si>
  <x:si>
    <x:t xml:space="preserve">2026-10-01_สระแก้ว_อุทกภัย</x:t>
  </x:si>
  <x:si>
    <x:t xml:space="preserve">วัฒนานคร อรัญประเทศ เมืองฯ โคกสูง วังน้ำเย็น คลองหาด เขาฉกรรจ์ ตาพระยา วังสมบูรณ์</x:t>
  </x:si>
  <x:si>
    <x:t xml:space="preserve">2026-10-01_ชลบุรี_อุทกภัย</x:t>
  </x:si>
  <x:si>
    <x:t xml:space="preserve">เมืองฯ สัตหีบ พนัสนิคม ศรีราชา บางละมุง บ้านบึง หนองใหญ่ เกาะจันทร์ พานทอง บ่อทอง</x:t>
  </x:si>
  <x:si>
    <x:t xml:space="preserve">2026-10-01_ระยอง_อุทกภัย</x:t>
  </x:si>
  <x:si>
    <x:t xml:space="preserve">เมืองฯ แกลง</x:t>
  </x:si>
  <x:si>
    <x:t xml:space="preserve">2026-10-01_จันทบุรี_อุทกภัย</x:t>
  </x:si>
  <x:si>
    <x:t xml:space="preserve">แก่งหางแมว นายายอาม เขาคิชฌกูฏ มะขาม ท่าใหม่ เมืองฯ</x:t>
  </x:si>
  <x:si>
    <x:t xml:space="preserve">ปภ. รายงาน 547/2569 วันที่ 1 ต.ค. 2569 เวลา 06.00 น. ตารางหน้า 6; บาดเจ็บ: -; สูญหาย: -</x:t>
  </x:si>
  <x:si>
    <x:t xml:space="preserve">2026-10-01_ตราด_อุทกภัย</x:t>
  </x:si>
  <x:si>
    <x:t xml:space="preserve">บ่อไร่ เขาสมิง เมืองฯ</x:t>
  </x:si>
  <x:si>
    <x:t xml:space="preserve">ปภ. รายงาน 547/2569 วันที่ 1 ต.ค. 2569 เวลา 06.00 น. ตารางหน้า 6; บาดเจ็บ: ช่องว่าง; สูญหาย: ช่องว่าง</x:t>
  </x:si>
  <x:si>
    <x:t xml:space="preserve">2026-10-01_บุรีรัมย์_อุทกภัย</x:t>
  </x:si>
  <x:si>
    <x:t xml:space="preserve">นางรอง เฉลิมพระเกียรติ ประโคนชัย พลับพลาชัย</x:t>
  </x:si>
  <x:si>
    <x:t xml:space="preserve">2026-10-01_ชัยภูมิ_อุทกภัย</x:t>
  </x:si>
  <x:si>
    <x:t xml:space="preserve">บำเหน็จณรงค์ จัตุรัส</x:t>
  </x:si>
  <x:si>
    <x:t xml:space="preserve">2026-10-01_สุรินทร์_อุทกภัย</x:t>
  </x:si>
  <x:si>
    <x:t xml:space="preserve">พนมดงรัก ปราสาท</x:t>
  </x:si>
  <x:si>
    <x:t xml:space="preserve">2026-10-01_ชุมพร_อุทกภัย</x:t>
  </x:si>
  <x:si>
    <x:t xml:space="preserve">ภาคใต้</x:t>
  </x:si>
  <x:si>
    <x:t xml:space="preserve">ชุมพร</x:t>
  </x:si>
  <x:si>
    <x:t xml:space="preserve">ท่าแซะ</x:t>
  </x:si>
  <x:si>
    <x:t xml:space="preserve">2026-10-01_กรุงเทพมหานคร_อุทกภัย</x:t>
  </x:si>
  <x:si>
    <x:t xml:space="preserve">เขตสุขภาพ</x:t>
  </x:si>
  <x:si>
    <x:t xml:space="preserve">จังหวัด</x:t>
  </x:si>
  <x:si>
    <x:t xml:space="preserve">จำนวนเด็ก 0-4 ปีทั้งหมด (คน)</x:t>
  </x:si>
  <x:si>
    <x:t xml:space="preserve">จำนวนหญิงตั้งครรภ์ทั้งหมด (คน)</x:t>
  </x:si>
  <x:si>
    <x:t xml:space="preserve">จำนวนผู้สูงอายุ 60 ปีขึ้นไปทั้งหมด (คน)</x:t>
  </x:si>
  <x:si>
    <x:t xml:space="preserve">รวมทั้งหมด</x:t>
  </x:si>
  <x:si>
    <x:t xml:space="preserve">เขตสุขภาพที่ 1</x:t>
  </x:si>
  <x:si>
    <x:t xml:space="preserve">เชียงใหม่</x:t>
  </x:si>
  <x:si>
    <x:t xml:space="preserve">เชียงราย</x:t>
  </x:si>
  <x:si>
    <x:t xml:space="preserve">แพร่</x:t>
  </x:si>
  <x:si>
    <x:t xml:space="preserve">น่าน</x:t>
  </x:si>
  <x:si>
    <x:t xml:space="preserve">พะเยา</x:t>
  </x:si>
  <x:si>
    <x:t xml:space="preserve">ลำปาง</x:t>
  </x:si>
  <x:si>
    <x:t xml:space="preserve">ลำพูน</x:t>
  </x:si>
  <x:si>
    <x:t xml:space="preserve">แม่ฮ่องสอน</x:t>
  </x:si>
  <x:si>
    <x:t xml:space="preserve">เขตสุขภาพที่ 2</x:t>
  </x:si>
  <x:si>
    <x:t xml:space="preserve">อุตรดิตถ์</x:t>
  </x:si>
  <x:si>
    <x:t xml:space="preserve">สุโขทัย</x:t>
  </x:si>
  <x:si>
    <x:t xml:space="preserve">เขตสุขภาพที่ 3</x:t>
  </x:si>
  <x:si>
    <x:t xml:space="preserve">พิจิตร</x:t>
  </x:si>
  <x:si>
    <x:t xml:space="preserve">เขตสุขภาพที่ 4</x:t>
  </x:si>
  <x:si>
    <x:t xml:space="preserve">เขตสุขภาพที่ 5</x:t>
  </x:si>
  <x:si>
    <x:t xml:space="preserve">เพชรบุรี</x:t>
  </x:si>
  <x:si>
    <x:t xml:space="preserve">สมุทรสาคร</x:t>
  </x:si>
  <x:si>
    <x:t xml:space="preserve">สมุทรสงคราม</x:t>
  </x:si>
  <x:si>
    <x:t xml:space="preserve">ประจวบคีรีขันธ์</x:t>
  </x:si>
  <x:si>
    <x:t xml:space="preserve">เขตสุขภาพที่ 6</x:t>
  </x:si>
  <x:si>
    <x:t xml:space="preserve">เขตสุขภาพที่ 7</x:t>
  </x:si>
  <x:si>
    <x:t xml:space="preserve">กาฬสินธุ์</x:t>
  </x:si>
  <x:si>
    <x:t xml:space="preserve">ขอนแก่น</x:t>
  </x:si>
  <x:si>
    <x:t xml:space="preserve">มหาสารคาม</x:t>
  </x:si>
  <x:si>
    <x:t xml:space="preserve">ร้อยเอ็ด</x:t>
  </x:si>
  <x:si>
    <x:t xml:space="preserve">เขตสุขภาพที่ 8</x:t>
  </x:si>
  <x:si>
    <x:t xml:space="preserve">อุดรธานี</x:t>
  </x:si>
  <x:si>
    <x:t xml:space="preserve">สกลนคร</x:t>
  </x:si>
  <x:si>
    <x:t xml:space="preserve">นครพนม</x:t>
  </x:si>
  <x:si>
    <x:t xml:space="preserve">เลย</x:t>
  </x:si>
  <x:si>
    <x:t xml:space="preserve">หนองคาย</x:t>
  </x:si>
  <x:si>
    <x:t xml:space="preserve">หนองบัวลำภู</x:t>
  </x:si>
  <x:si>
    <x:t xml:space="preserve">บึงกาฬ</x:t>
  </x:si>
  <x:si>
    <x:t xml:space="preserve">เขตสุขภาพที่ 9</x:t>
  </x:si>
  <x:si>
    <x:t xml:space="preserve">เขตสุขภาพที่ 10</x:t>
  </x:si>
  <x:si>
    <x:t xml:space="preserve">อุบลราชธานี</x:t>
  </x:si>
  <x:si>
    <x:t xml:space="preserve">ศรีสะเกษ</x:t>
  </x:si>
  <x:si>
    <x:t xml:space="preserve">มุกดาหาร</x:t>
  </x:si>
  <x:si>
    <x:t xml:space="preserve">อำนาจเจริญ</x:t>
  </x:si>
  <x:si>
    <x:t xml:space="preserve">ยโสธร</x:t>
  </x:si>
  <x:si>
    <x:t xml:space="preserve">เขตสุขภาพที่ 11</x:t>
  </x:si>
  <x:si>
    <x:t xml:space="preserve">นครศรีธรรมราช</x:t>
  </x:si>
  <x:si>
    <x:t xml:space="preserve">สุราษฎร์ธานี</x:t>
  </x:si>
  <x:si>
    <x:t xml:space="preserve">ภูเก็ต</x:t>
  </x:si>
  <x:si>
    <x:t xml:space="preserve">กระบี่</x:t>
  </x:si>
  <x:si>
    <x:t xml:space="preserve">พังงา</x:t>
  </x:si>
  <x:si>
    <x:t xml:space="preserve">ระนอง</x:t>
  </x:si>
  <x:si>
    <x:t xml:space="preserve">เขตสุขภาพที่ 12</x:t>
  </x:si>
  <x:si>
    <x:t xml:space="preserve">สงขลา</x:t>
  </x:si>
  <x:si>
    <x:t xml:space="preserve">สตูล</x:t>
  </x:si>
  <x:si>
    <x:t xml:space="preserve">ตรัง</x:t>
  </x:si>
  <x:si>
    <x:t xml:space="preserve">พัทลุง</x:t>
  </x:si>
  <x:si>
    <x:t xml:space="preserve">ปัตตานี</x:t>
  </x:si>
  <x:si>
    <x:t xml:space="preserve">ยะลา</x:t>
  </x:si>
  <x:si>
    <x:t xml:space="preserve">นราธิวาส</x:t>
  </x:si>
  <x:si>
    <x:t xml:space="preserve">เขตสุขภาพที่ 13</x:t>
  </x:si>
  <x:si>
    <x:t xml:space="preserve">Disaster Situation Dashboard</x:t>
  </x:si>
  <x:si>
    <x:t xml:space="preserve">Total Affected Provinces</x:t>
  </x:si>
  <x:si>
    <x:t xml:space="preserve">Total Affected Households</x:t>
  </x:si>
  <x:si>
    <x:t xml:space="preserve">Total Fatalities</x:t>
  </x:si>
  <x:si>
    <x:t xml:space="preserve">Total Affected Districts</x:t>
  </x:si>
  <x:si>
    <x:t xml:space="preserve">Number of Provinces</x:t>
  </x:si>
  <x:si>
    <x:t xml:space="preserve">Total Deaths</x:t>
  </x:si>
  <x:si>
    <x:t xml:space="preserve">Rising Water Trend Count</x:t>
  </x:si>
  <x:si>
    <x:t xml:space="preserve">Affected Households</x:t>
  </x:si>
  <x:si>
    <x:t xml:space="preserve">station_id</x:t>
  </x:si>
  <x:si>
    <x:t xml:space="preserve">station_code</x:t>
  </x:si>
  <x:si>
    <x:t xml:space="preserve">station_name</x:t>
  </x:si>
  <x:si>
    <x:t xml:space="preserve">district_or_area</x:t>
  </x:si>
  <x:si>
    <x:t xml:space="preserve">canal</x:t>
  </x:si>
  <x:si>
    <x:t xml:space="preserve">latitude</x:t>
  </x:si>
  <x:si>
    <x:t xml:space="preserve">longitude</x:t>
  </x:si>
  <x:si>
    <x:t xml:space="preserve">observed_at_th</x:t>
  </x:si>
  <x:si>
    <x:t xml:space="preserve">water_in_m_msl</x:t>
  </x:si>
  <x:si>
    <x:t xml:space="preserve">water_out01_m_msl</x:t>
  </x:si>
  <x:si>
    <x:t xml:space="preserve">water_out02_m_msl</x:t>
  </x:si>
  <x:si>
    <x:t xml:space="preserve">warning_in_source</x:t>
  </x:si>
  <x:si>
    <x:t xml:space="preserve">critical_in_source</x:t>
  </x:si>
  <x:si>
    <x:t xml:space="preserve">flood_status_source</x:t>
  </x:si>
  <x:si>
    <x:t xml:space="preserve">sensor_status_source</x:t>
  </x:si>
  <x:si>
    <x:t xml:space="preserve">flood_status_code</x:t>
  </x:si>
  <x:si>
    <x:t xml:space="preserve">sensor_status_code</x:t>
  </x:si>
  <x:si>
    <x:t xml:space="preserve">age_minutes_at_fetch</x:t>
  </x:si>
  <x:si>
    <x:t xml:space="preserve">freshness_at_fetch</x:t>
  </x:si>
  <x:si>
    <x:t xml:space="preserve">has_minus99_source</x:t>
  </x:si>
  <x:si>
    <x:t xml:space="preserve">fetched_at_th</x:t>
  </x:si>
  <x:si>
    <x:t xml:space="preserve">source_url</x:t>
  </x:si>
  <x:si>
    <x:t xml:space="preserve">raw_station_json</x:t>
  </x:si>
  <x:si>
    <x:t xml:space="preserve">THAIWATER:153</x:t>
  </x:si>
  <x:si>
    <x:t xml:space="preserve">WL.PSC.04</x:t>
  </x:si>
  <x:si>
    <x:t xml:space="preserve">ค.ภาษีเจริญ-ค.มหาศร</x:t>
  </x:si>
  <x:si>
    <x:t xml:space="preserve">หนองแขม</x:t>
  </x:si>
  <x:si>
    <x:t xml:space="preserve">2021-01-22T12:05:00+07:00</x:t>
  </x:si>
  <x:si>
    <x:t xml:space="preserve">ไม่ทราบ</x:t>
  </x:si>
  <x:si>
    <x:t xml:space="preserve">ข้อมูลเก่าเกิน 60 นาที</x:t>
  </x:si>
  <x:si>
    <x:t xml:space="preserve">2026-10-01T15:57:33+07:00</x:t>
  </x:si>
  <x:si>
    <x:t xml:space="preserve">https://api-v3.thaiwater.net/api/v1/thaiwater30/public/canal_waterlevel</x:t>
  </x:si>
  <x:si>
    <x:t xml:space="preserve">{"canal_datetime":"2021-01-22 12:05","canal_value":0.12,"canal_out":0,"agency":{"agency_name":{"th":"สำนักการระบายน้ำ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Bangkok","jp":""}},"geocode":{"area_code":"1","area_name":{"th":"กรุงเทพมหานคร","en":"Bangkok"},"amphoe_name":{"th":"หนองแขม","en":"Nong Khaem District"},"tumbon_name":{"th":"หนองแขม","en":"Nong Khaem"},"province_code":"10","province_name":{"th":"กรุงเทพมหานคร","en":"Bangkok"}},"station":{"id":153,"canal_name":{"th":"ค.ภาษีเจริญ-ค.มหาศร"},"canal_lat":13.68138,"canal_long":100.35047,"canal_oldcode":"WL.PSC.04","bank":null,"warning_level":null,"critical_level":null}}</x:t>
  </x:si>
  <x:si>
    <x:t xml:space="preserve">THAIWATER:218</x:t>
  </x:si>
  <x:si>
    <x:t xml:space="preserve">WL.LBK.02</x:t>
  </x:si>
  <x:si>
    <x:t xml:space="preserve">ค.ลาดบัวขาว ถ.เคหะร่มเกล้า</x:t>
  </x:si>
  <x:si>
    <x:t xml:space="preserve">สะพานสูง</x:t>
  </x:si>
  <x:si>
    <x:t xml:space="preserve">2026-09-28T13:20:00+07:00</x:t>
  </x:si>
  <x:si>
    <x:t xml:space="preserve">{"canal_datetime":"2026-09-28 13:20","canal_value":0.95,"canal_out":0,"agency":{"agency_name":{"th":"สำนักการระบายน้ำ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Bangkok","jp":""}},"geocode":{"area_code":"1","area_name":{"th":"กรุงเทพมหานคร","en":"Bangkok"},"amphoe_name":{"th":"สะพานสูง","en":"Saphan Sung District"},"tumbon_name":{"th":"สะพานสูง","en":"Saphan Sung"},"province_code":"10","province_name":{"th":"กรุงเทพมหานคร","en":"Bangkok"}},"station":{"id":218,"canal_name":{"th":"ค.ลาดบัวขาว ถ.เคหะร่มเกล้า"},"canal_lat":13.76991,"canal_long":100.71494,"canal_oldcode":"WL.LBK.02","bank":1,"warning_level":0.3,"critical_level":0.4}}</x:t>
  </x:si>
  <x:si>
    <x:t xml:space="preserve">THAIWATER:185</x:t>
  </x:si>
  <x:si>
    <x:t xml:space="preserve">WL.LPI.02</x:t>
  </x:si>
  <x:si>
    <x:t xml:space="preserve">ค.หลุมไผ่ ถ.ประเสริฐมนูกิจ29</x:t>
  </x:si>
  <x:si>
    <x:t xml:space="preserve">ลาดพร้าว</x:t>
  </x:si>
  <x:si>
    <x:t xml:space="preserve">2026-09-28T13:24:00+07:00</x:t>
  </x:si>
  <x:si>
    <x:t xml:space="preserve">{"canal_datetime":"2026-09-28 13:24","canal_value":1.12,"canal_out":0,"agency":{"agency_name":{"th":"สำนักการระบายน้ำ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Bangkok","jp":""}},"geocode":{"area_code":"1","area_name":{"th":"กรุงเทพมหานคร","en":"Bangkok"},"amphoe_name":{"th":"ลาดพร้าว","en":"Lat Phrao District"},"tumbon_name":{"th":"จรเข้บัว","en":"Chorakhe Bua"},"province_code":"10","province_name":{"th":"กรุงเทพมหานคร","en":"Bangkok"}},"station":{"id":185,"canal_name":{"th":"ค.หลุมไผ่ ถ.ประเสริฐมนูกิจ29"},"canal_lat":13.84703,"canal_long":100.6218,"canal_oldcode":"WL.LPI.02","bank":1.8,"warning_level":0.7,"critical_level":0.9}}</x:t>
  </x:si>
  <x:si>
    <x:t xml:space="preserve">THAIWATER:212</x:t>
  </x:si>
  <x:si>
    <x:t xml:space="preserve">WL.SSB.05</x:t>
  </x:si>
  <x:si>
    <x:t xml:space="preserve">ค.แสนแสบ รามคำแหง 9</x:t>
  </x:si>
  <x:si>
    <x:t xml:space="preserve">บางกะปิ</x:t>
  </x:si>
  <x:si>
    <x:t xml:space="preserve">2023-10-23T11:05:00+07:00</x:t>
  </x:si>
  <x:si>
    <x:t xml:space="preserve">{"canal_datetime":"2023-10-23 11:05","canal_value":-0.71,"canal_out":0,"agency":{"agency_name":{"th":"สำนักการระบายน้ำ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Bangkok","jp":""}},"geocode":{"area_code":"1","area_name":{"th":"กรุงเทพมหานคร","en":"Bangkok"},"amphoe_name":{"th":"บางกะปิ","en":"Bang Kapi District"},"tumbon_name":{"th":"หัวหมาก","en":"Hua Mak"},"province_code":"10","province_name":{"th":"กรุงเทพมหานคร","en":"Bangkok"}},"station":{"id":212,"canal_name":{"th":"ค.แสนแสบ รามคำแหง 9"},"canal_lat":13.75228,"canal_long":100.60555,"canal_oldcode":"WL.SSB.05","bank":2,"warning_level":-0.1,"critical_level":0.1}}</x:t>
  </x:si>
  <x:si>
    <x:t xml:space="preserve">THAIWATER:99</x:t>
  </x:si>
  <x:si>
    <x:t xml:space="preserve">WL.KKO.01</x:t>
  </x:si>
  <x:si>
    <x:t xml:space="preserve">ค.เก้า-วัดศรีสุขฯ</x:t>
  </x:si>
  <x:si>
    <x:t xml:space="preserve">คลองสามวา</x:t>
  </x:si>
  <x:si>
    <x:t xml:space="preserve">{"canal_datetime":"2026-09-28 13:20","canal_value":1.69,"canal_out":0,"agency":{"agency_name":{"th":"สำนักการระบายน้ำ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Bangkok","jp":""}},"geocode":{"area_code":"1","area_name":{"th":"กรุงเทพมหานคร","en":"Bangkok"},"amphoe_name":{"th":"คลองสามวา","en":"Khlong Sam Wa District"},"tumbon_name":{"th":"สามวาตะวันออก","en":"Sam Wa Tawan Ok"},"province_code":"10","province_name":{"th":"กรุงเทพมหานคร","en":"Bangkok"}},"station":{"id":99,"canal_name":{"th":"ค.เก้า-วัดศรีสุขฯ"},"canal_lat":13.92055,"canal_long":100.79237,"canal_oldcode":"WL.KKO.01","bank":1.85,"warning_level":1.2,"critical_level":1.7}}</x:t>
  </x:si>
  <x:si>
    <x:t xml:space="preserve">THAIWATER:80</x:t>
  </x:si>
  <x:si>
    <x:t xml:space="preserve">WL.KKS.04</x:t>
  </x:si>
  <x:si>
    <x:t xml:space="preserve">ส.กรุงเกษม</x:t>
  </x:si>
  <x:si>
    <x:t xml:space="preserve">สัมพันธวงศ์</x:t>
  </x:si>
  <x:si>
    <x:t xml:space="preserve">{"canal_datetime":"2026-09-28 13:20","canal_value":-0.25,"canal_out":0.86,"agency":{"agency_name":{"th":"สำนักการระบายน้ำ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Bangkok","jp":""}},"geocode":{"area_code":"1","area_name":{"th":"กรุงเทพมหานคร","en":"Bangkok"},"amphoe_name":{"th":"สัมพันธวงศ์","en":"Samphanthawong District"},"tumbon_name":{"th":"ตลาดน้อย","en":"Talat Noi"},"province_code":"10","province_name":{"th":"กรุงเทพมหานคร","en":"Bangkok"}},"station":{"id":80,"canal_name":{"th":"ส.กรุงเกษม"},"canal_lat":13.73035,"canal_long":100.5141,"canal_oldcode":"WL.KKS.04","bank":2.8,"warning_level":2.6,"critical_level":2.8}}</x:t>
  </x:si>
  <x:si>
    <x:t xml:space="preserve">THAIWATER:232</x:t>
  </x:si>
  <x:si>
    <x:t xml:space="preserve">WL.BTY.01</x:t>
  </x:si>
  <x:si>
    <x:t xml:space="preserve">ค.บางเตย ถ.นวมินทร์ 66/3</x:t>
  </x:si>
  <x:si>
    <x:t xml:space="preserve">บึงกุ่ม</x:t>
  </x:si>
  <x:si>
    <x:t xml:space="preserve">{"canal_datetime":"2026-09-28 13:20","canal_value":0.91,"canal_out":0,"agency":{"agency_name":{"th":"สำนักการระบายน้ำ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Bangkok","jp":""}},"geocode":{"area_code":"1","area_name":{"th":"กรุงเทพมหานคร","en":"Bangkok"},"amphoe_name":{"th":"บึงกุ่ม","en":"Bueng Kum District"},"tumbon_name":{"th":"คลองกุ่ม","en":"Khlong Kum"},"province_code":"10","province_name":{"th":"กรุงเทพมหานคร","en":"Bangkok"}},"station":{"id":232,"canal_name":{"th":"ค.บางเตย ถ.นวมินทร์ 66/3"},"canal_lat":13.8065,"canal_long":100.64899,"canal_oldcode":"WL.BTY.01","bank":1.8,"warning_level":0.4,"critical_level":0.5}}</x:t>
  </x:si>
  <x:si>
    <x:t xml:space="preserve">THAIWATER:225</x:t>
  </x:si>
  <x:si>
    <x:t xml:space="preserve">WL.RSK.01</x:t>
  </x:si>
  <x:si>
    <x:t xml:space="preserve">ค.ราษฎร์สามัคคี ถ.เพชรเกษม 63</x:t>
  </x:si>
  <x:si>
    <x:t xml:space="preserve">บางแค</x:t>
  </x:si>
  <x:si>
    <x:t xml:space="preserve">2026-09-27T00:05:00+07:00</x:t>
  </x:si>
  <x:si>
    <x:t xml:space="preserve">{"canal_datetime":"2026-09-27 00:05","canal_value":0.79,"canal_out":0,"agency":{"agency_name":{"th":"สำนักการระบายน้ำ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Bangkok","jp":""}},"geocode":{"area_code":"1","area_name":{"th":"กรุงเทพมหานคร","en":"Bangkok"},"amphoe_name":{"th":"บางแค","en":"Bang Khae District"},"tumbon_name":{"th":"หลักสอง","en":"Lak Song"},"province_code":"10","province_name":{"th":"กรุงเทพมหานคร","en":"Bangkok"}},"station":{"id":225,"canal_name":{"th":"ค.ราษฎร์สามัคคี ถ.เพชรเกษม 63"},"canal_lat":13.70339,"canal_long":100.39142,"canal_oldcode":"WL.RSK.01","bank":1.85,"warning_level":0.6,"critical_level":0.7}}</x:t>
  </x:si>
  <x:si>
    <x:t xml:space="preserve">THAIWATER:256</x:t>
  </x:si>
  <x:si>
    <x:t xml:space="preserve">WL.SBR.02</x:t>
  </x:si>
  <x:si>
    <x:t xml:space="preserve">ค.บางขุนศรีบุรีรักษ์ ถ.บรมราชชนนี</x:t>
  </x:si>
  <x:si>
    <x:t xml:space="preserve">ทวีวัฒนา</x:t>
  </x:si>
  <x:si>
    <x:t xml:space="preserve">{"canal_datetime":"2026-09-28 13:20","canal_value":0.82,"canal_out":0,"agency":{"agency_name":{"th":"สำนักการระบายน้ำ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Bangkok","jp":""}},"geocode":{"area_code":"1","area_name":{"th":"กรุงเทพมหานคร","en":"Bangkok"},"amphoe_name":{"th":"ทวีวัฒนา","en":"Thawi Watthana District"},"tumbon_name":{"th":"ศาลาธรรมสพน์","en":"Sala Thammasop"},"province_code":"10","province_name":{"th":"กรุงเทพมหานคร","en":"Bangkok"}},"station":{"id":256,"canal_name":{"th":"ค.บางขุนศรีบุรีรักษ์ ถ.บรมราชชนนี"},"canal_lat":13.78651,"canal_long":100.37053,"canal_oldcode":"WL.SBR.02","bank":1.1,"warning_level":0.9,"critical_level":1}}</x:t>
  </x:si>
  <x:si>
    <x:t xml:space="preserve">THAIWATER:275</x:t>
  </x:si>
  <x:si>
    <x:t xml:space="preserve">WL.KKS.03</x:t>
  </x:si>
  <x:si>
    <x:t xml:space="preserve">ค.ผดุงกรุงเกษม หัวลำโพง</x:t>
  </x:si>
  <x:si>
    <x:t xml:space="preserve">ปทุมวัน</x:t>
  </x:si>
  <x:si>
    <x:t xml:space="preserve">{"canal_datetime":"2026-09-28 13:20","canal_value":-0.28,"canal_out":0,"agency":{"agency_name":{"th":"สำนักการระบายน้ำ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Bangkok","jp":""}},"geocode":{"area_code":"1","area_name":{"th":"กรุงเทพมหานคร","en":"Bangkok"},"amphoe_name":{"th":"ปทุมวัน","en":"Pathum Wan District"},"tumbon_name":{"th":"รองเมือง","en":"Rong Mueang"},"province_code":"10","province_name":{"th":"กรุงเทพมหานคร","en":"Bangkok"}},"station":{"id":275,"canal_name":{"th":"ค.ผดุงกรุงเกษม หัวลำโพง"},"canal_lat":13.74126,"canal_long":100.51582,"canal_oldcode":"WL.KKS.03","bank":1,"warning_level":0.6,"critical_level":0.7}}</x:t>
  </x:si>
  <x:si>
    <x:t xml:space="preserve">THAIWATER:148</x:t>
  </x:si>
  <x:si>
    <x:t xml:space="preserve">WL.RMT.01</x:t>
  </x:si>
  <x:si>
    <x:t xml:space="preserve">ส.คลองพระยาราชมนตรี</x:t>
  </x:si>
  <x:si>
    <x:t xml:space="preserve">บางขุนเทียน</x:t>
  </x:si>
  <x:si>
    <x:t xml:space="preserve">{"canal_datetime":"2026-09-28 13:20","canal_value":-0.75,"canal_out":1,"agency":{"agency_name":{"th":"สำนักการระบายน้ำ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Bangkok","jp":""}},"geocode":{"area_code":"1","area_name":{"th":"กรุงเทพมหานคร","en":"Bangkok"},"amphoe_name":{"th":"บางขุนเทียน","en":"Bang Khun Thian District"},"tumbon_name":{"th":"แสมดำ","en":"Samae Dam"},"province_code":"10","province_name":{"th":"กรุงเทพมหานคร","en":"Bangkok"}},"station":{"id":148,"canal_name":{"th":"ส.คลองพระยาราชมนตรี"},"canal_lat":13.62817,"canal_long":100.43914,"canal_oldcode":"WL.RMT.01","bank":1.98,"warning_level":1,"critical_level":1.2}}</x:t>
  </x:si>
  <x:si>
    <x:t xml:space="preserve">THAIWATER:155</x:t>
  </x:si>
  <x:si>
    <x:t xml:space="preserve">WL.SNC.01</x:t>
  </x:si>
  <x:si>
    <x:t xml:space="preserve">ส.คลองสนามชัย</x:t>
  </x:si>
  <x:si>
    <x:t xml:space="preserve">{"canal_datetime":"2026-09-28 13:20","canal_value":-0.26,"canal_out":1.2,"agency":{"agency_name":{"th":"สำนักการระบายน้ำ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Bangkok","jp":""}},"geocode":{"area_code":"1","area_name":{"th":"กรุงเทพมหานคร","en":"Bangkok"},"amphoe_name":{"th":"บางขุนเทียน","en":"Bang Khun Thian District"},"tumbon_name":{"th":"ท่าข้าม","en":"Tha Kham"},"province_code":"10","province_name":{"th":"กรุงเทพมหานคร","en":"Bangkok"}},"station":{"id":155,"canal_name":{"th":"ส.คลองสนามชัย"},"canal_lat":13.63806,"canal_long":100.44765,"canal_oldcode":"WL.SNC.01","bank":1.98,"warning_level":1,"critical_level":1.2}}</x:t>
  </x:si>
  <x:si>
    <x:t xml:space="preserve">THAIWATER:46</x:t>
  </x:si>
  <x:si>
    <x:t xml:space="preserve">WL.BJK.04</x:t>
  </x:si>
  <x:si>
    <x:t xml:space="preserve">ค.บางจาก ถ.พุทธฯสาย 2 </x:t>
  </x:si>
  <x:si>
    <x:t xml:space="preserve">{"canal_datetime":"2026-09-28 13:20","canal_value":0.64,"canal_out":0,"agency":{"agency_name":{"th":"สำนักการระบายน้ำ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Bangkok","jp":""}},"geocode":{"area_code":"1","area_name":{"th":"กรุงเทพมหานคร","en":"Bangkok"},"amphoe_name":{"th":"บางแค","en":"Bang Khae District"},"tumbon_name":{"th":"บางแคเหนือ","en":"Bang Khae Nuea"},"province_code":"10","province_name":{"th":"กรุงเทพมหานคร","en":"Bangkok"}},"station":{"id":46,"canal_name":{"th":"ค.บางจาก ถ.พุทธฯสาย 2 "},"canal_lat":13.71484,"canal_long":100.39596,"canal_oldcode":"WL.BJK.04","bank":1.59,"warning_level":0.6,"critical_level":0.7}}</x:t>
  </x:si>
  <x:si>
    <x:t xml:space="preserve">THAIWATER:137</x:t>
  </x:si>
  <x:si>
    <x:t xml:space="preserve">WL.PSC.01</x:t>
  </x:si>
  <x:si>
    <x:t xml:space="preserve">ส.คลองภาษีเจริญ</x:t>
  </x:si>
  <x:si>
    <x:t xml:space="preserve">ภาษีเจริญ</x:t>
  </x:si>
  <x:si>
    <x:t xml:space="preserve">{"canal_datetime":"2026-09-28 13:20","canal_value":0.3,"canal_out":0.32,"agency":{"agency_name":{"th":"สำนักการระบายน้ำ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Bangkok","jp":""}},"geocode":{"area_code":"1","area_name":{"th":"กรุงเทพมหานคร","en":"Bangkok"},"amphoe_name":{"th":"ภาษีเจริญ","en":"Phasi Charoen District"},"tumbon_name":{"th":"ปากคลองภาษีเจริญ","en":"Pak Khlong Phasi Charoen"},"province_code":"10","province_name":{"th":"กรุงเทพมหานคร","en":"Bangkok"}},"station":{"id":137,"canal_name":{"th":"ส.คลองภาษีเจริญ"},"canal_lat":13.72221,"canal_long":100.46868,"canal_oldcode":"WL.PSC.01","bank":1.98,"warning_level":0.7,"critical_level":0.8}}</x:t>
  </x:si>
  <x:si>
    <x:t xml:space="preserve">THAIWATER:74</x:t>
  </x:si>
  <x:si>
    <x:t xml:space="preserve">WL.CKS.01</x:t>
  </x:si>
  <x:si>
    <x:t xml:space="preserve">ส.คลองเจ้าคุณสิงห์</x:t>
  </x:si>
  <x:si>
    <x:t xml:space="preserve">วังทองหลาง</x:t>
  </x:si>
  <x:si>
    <x:t xml:space="preserve">{"canal_datetime":"2026-09-28 13:20","canal_value":0.05,"canal_out":0,"agency":{"agency_name":{"th":"สำนักการระบายน้ำ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Bangkok","jp":""}},"geocode":{"area_code":"1","area_name":{"th":"กรุงเทพมหานคร","en":"Bangkok"},"amphoe_name":{"th":"วังทองหลาง","en":"Wang Thonglang District"},"tumbon_name":{"th":"วังทองหลาง","en":"Wang Thong Lang"},"province_code":"10","province_name":{"th":"กรุงเทพมหานคร","en":"Bangkok"}},"station":{"id":74,"canal_name":{"th":"ส.คลองเจ้าคุณสิงห์"},"canal_lat":13.76172,"canal_long":100.61521,"canal_oldcode":"WL.CKS.01","bank":1.85,"warning_level":-0.3,"critical_level":-0.2}}</x:t>
  </x:si>
  <x:si>
    <x:t xml:space="preserve">THAIWATER:284</x:t>
  </x:si>
  <x:si>
    <x:t xml:space="preserve">WL.TWW.03</x:t>
  </x:si>
  <x:si>
    <x:t xml:space="preserve">ค.ทวีวัฒนา ถ.เพชรเกษม</x:t>
  </x:si>
  <x:si>
    <x:t xml:space="preserve">2026-09-28T13:15:00+07:00</x:t>
  </x:si>
  <x:si>
    <x:t xml:space="preserve">{"canal_datetime":"2026-09-28 13:15","canal_value":0.95,"canal_out":0,"agency":{"agency_name":{"th":"สำนักการระบายน้ำ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Bangkok","jp":""}},"geocode":{"area_code":"1","area_name":{"th":"กรุงเทพมหานคร","en":"Bangkok"},"amphoe_name":{"th":"บางแค","en":"Bang Khae District"},"tumbon_name":{"th":"หลักสอง","en":"Lak Song"},"province_code":"10","province_name":{"th":"กรุงเทพมหานคร","en":"Bangkok"}},"station":{"id":284,"canal_name":{"th":"ค.ทวีวัฒนา ถ.เพชรเกษม"},"canal_lat":13.70769,"canal_long":100.37369,"canal_oldcode":"WL.TWW.03","bank":1,"warning_level":0.6,"critical_level":0.7}}</x:t>
  </x:si>
  <x:si>
    <x:t xml:space="preserve">THAIWATER:270</x:t>
  </x:si>
  <x:si>
    <x:t xml:space="preserve">WL.STR.02</x:t>
  </x:si>
  <x:si>
    <x:t xml:space="preserve">ค.สาทร ถ.พระรามที่ 4</x:t>
  </x:si>
  <x:si>
    <x:t xml:space="preserve">สาทร</x:t>
  </x:si>
  <x:si>
    <x:t xml:space="preserve">2024-11-11T13:40:00+07:00</x:t>
  </x:si>
  <x:si>
    <x:t xml:space="preserve">{"canal_datetime":"2024-11-11 13:40","canal_value":-1.3,"canal_out":0,"agency":{"agency_name":{"th":"สำนักการระบายน้ำ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Bangkok","jp":""}},"geocode":{"area_code":"1","area_name":{"th":"กรุงเทพมหานคร","en":"Bangkok"},"amphoe_name":{"th":"สาทร","en":"Sathon District"},"tumbon_name":{"th":"ทุ่งมหาเมฆ","en":"Thung Mahamek"},"province_code":"10","province_name":{"th":"กรุงเทพมหานคร","en":"Bangkok"}},"station":{"id":270,"canal_name":{"th":"ค.สาทร ถ.พระรามที่ 4"},"canal_lat":13.72592,"canal_long":100.54402,"canal_oldcode":"WL.STR.02","bank":0.7,"warning_level":0.5,"critical_level":0.6}}</x:t>
  </x:si>
  <x:si>
    <x:t xml:space="preserve">THAIWATER:199</x:t>
  </x:si>
  <x:si>
    <x:t xml:space="preserve">WL.CTC.01</x:t>
  </x:si>
  <x:si>
    <x:t xml:space="preserve">ค.ชวดตาเชียง ส.คลองชวดตาเชียง</x:t>
  </x:si>
  <x:si>
    <x:t xml:space="preserve">ห้วยขวาง</x:t>
  </x:si>
  <x:si>
    <x:t xml:space="preserve">2022-10-04T13:30:00+07:00</x:t>
  </x:si>
  <x:si>
    <x:t xml:space="preserve">{"canal_datetime":"2022-10-04 13:30","canal_value":-0.42,"canal_out":0,"agency":{"agency_name":{"th":"สำนักการระบายน้ำ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District"},"tumbon_name":{"th":"สามเสนนอก","en":"Sam Sen Nok"},"province_code":"10","province_name":{"th":"กรุงเทพมหานคร","en":"Bangkok"}},"station":{"id":199,"canal_name":{"th":"ค.ชวดตาเชียง ส.คลองชวดตาเชียง"},"canal_lat":13.76884,"canal_long":100.59302,"canal_oldcode":"WL.CTC.01","bank":0.9,"warning_level":0.1,"critical_level":0.2}}</x:t>
  </x:si>
  <x:si>
    <x:t xml:space="preserve">THAIWATER:23</x:t>
  </x:si>
  <x:si>
    <x:t xml:space="preserve">BK02</x:t>
  </x:si>
  <x:si>
    <x:t xml:space="preserve">คลองบางเขน ช่วง ถ.ประชาชื่น เขตจตุจักร</x:t>
  </x:si>
  <x:si>
    <x:t xml:space="preserve">เมืองนนทบุรี</x:t>
  </x:si>
  <x:si>
    <x:t xml:space="preserve">2019-12-24T14:38:00+07:00</x:t>
  </x:si>
  <x:si>
    <x:t xml:space="preserve">{"canal_datetime":"2019-12-24 14:38","canal_value":0.186,"canal_out":0,"agency":{"agency_name":{"th":"สำนักการระบายน้ำ กรุงเทพมหานคร","en":"Department of Bangkok","jp":""}},"geocode":{"area_code":"2","area_name":{"th":"ภาคกลาง","en":"Central"},"amphoe_name":{"th":"เมืองนนทบุรี","en":"Mueang Nonthaburi District"},"tumbon_name":{"th":"บางเขน","en":"Bang Khen"},"province_code":"12","province_name":{"th":"นนทบุรี","en":"Nonthaburi"}},"station":{"id":23,"canal_name":{"th":"คลองบางเขน ช่วง ถ.ประชาชื่น เขตจตุจักร"},"canal_lat":13.849379,"canal_long":100.542947,"canal_oldcode":"BK02","bank":null,"warning_level":null,"critical_level":null}}</x:t>
  </x:si>
  <x:si>
    <x:t xml:space="preserve">THAIWATER:18</x:t>
  </x:si>
  <x:si>
    <x:t xml:space="preserve">LP03</x:t>
  </x:si>
  <x:si>
    <x:t xml:space="preserve">คลองลาดพร้าวช่วง ซ.เสนานิคม เขตลาดพร้าว</x:t>
  </x:si>
  <x:si>
    <x:t xml:space="preserve">จตุจักร</x:t>
  </x:si>
  <x:si>
    <x:t xml:space="preserve">{"canal_datetime":"2019-12-24 14:38","canal_value":-0.157,"canal_out":0,"agency":{"agency_name":{"th":"สำนักการระบายน้ำ กรุงเทพมหานคร","en":"Department of Bangkok","jp":""}},"geocode":{"area_code":"2","area_name":{"th":"ภาคกลาง","en":"Central"},"amphoe_name":{"th":"จตุจักร","en":"Chatuchak District"},"tumbon_name":{"th":"จันทรเกษม","en":"Chantharakasem"},"province_code":"10","province_name":{"th":"กรุงเทพมหานคร","en":"Bangkok"}},"station":{"id":18,"canal_name":{"th":"คลองลาดพร้าวช่วง ซ.เสนานิคม เขตลาดพร้าว"},"canal_lat":13.832213,"canal_long":100.589696,"canal_oldcode":"LP03","bank":null,"warning_level":null,"critical_level":null}}</x:t>
  </x:si>
  <x:si>
    <x:t xml:space="preserve">THAIWATER:7</x:t>
  </x:si>
  <x:si>
    <x:t xml:space="preserve">LP01</x:t>
  </x:si>
  <x:si>
    <x:t xml:space="preserve">คลองลาดพร้าวช่วง ถ.ประดิษฐ์มนูธรรม</x:t>
  </x:si>
  <x:si>
    <x:t xml:space="preserve">{"canal_datetime":"2019-12-24 14:38","canal_value":-0.301,"canal_out":0,"agency":{"agency_name":{"th":"สำนักการระบายน้ำ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District"},"tumbon_name":{"th":"บางกะปิ","en":"Bang Kapi"},"province_code":"10","province_name":{"th":"กรุงเทพมหานคร","en":"Bangkok"}},"station":{"id":7,"canal_name":{"th":"คลองลาดพร้าวช่วง ถ.ประดิษฐ์มนูธรรม"},"canal_lat":13.759541,"canal_long":100.596361,"canal_oldcode":"LP01","bank":null,"warning_level":null,"critical_level":null}}</x:t>
  </x:si>
  <x:si>
    <x:t xml:space="preserve">THAIWATER:17</x:t>
  </x:si>
  <x:si>
    <x:t xml:space="preserve">KP02</x:t>
  </x:si>
  <x:si>
    <x:t xml:space="preserve">คลองเปรมประชากร ช่วงวัดเทวสุนทร</x:t>
  </x:si>
  <x:si>
    <x:t xml:space="preserve">{"canal_datetime":"2019-12-24 14:38","canal_value":-0.031,"canal_out":0,"agency":{"agency_name":{"th":"สำนักการระบายน้ำ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Bangkok","jp":""}},"geocode":{"area_code":"1","area_name":{"th":"กรุงเทพมหานคร","en":"Bangkok"},"amphoe_name":{"th":"จตุจักร","en":"Chatuchak District"},"tumbon_name":{"th":"ลาดยาว","en":"Lat Yao"},"province_code":"10","province_name":{"th":"กรุงเทพมหานคร","en":"Bangkok"}},"station":{"id":17,"canal_name":{"th":"คลองเปรมประชากร ช่วงวัดเทวสุนทร"},"canal_lat":13.850711,"canal_long":100.560876,"canal_oldcode":"KP02","bank":null,"warning_level":null,"critical_level":null}}</x:t>
  </x:si>
  <x:si>
    <x:t xml:space="preserve">THAIWATER:14</x:t>
  </x:si>
  <x:si>
    <x:t xml:space="preserve">SS06</x:t>
  </x:si>
  <x:si>
    <x:t xml:space="preserve">คลองแสนแสบช่วง ซ.เสรีไทย 24 เขตบึงกุ่ม</x:t>
  </x:si>
  <x:si>
    <x:t xml:space="preserve">{"canal_datetime":"2019-12-24 14:38","canal_value":-0.343,"canal_out":0,"agency":{"agency_name":{"th":"สำนักการระบายน้ำ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Bangkok","jp":""}},"geocode":{"area_code":"1","area_name":{"th":"กรุงเทพมหานคร","en":"Bangkok"},"amphoe_name":{"th":"บึงกุ่ม","en":"Bueng Kum District"},"tumbon_name":{"th":"คลองกุ่ม","en":"Khlong Kum"},"province_code":"10","province_name":{"th":"กรุงเทพมหานคร","en":"Bangkok"}},"station":{"id":14,"canal_name":{"th":"คลองแสนแสบช่วง ซ.เสรีไทย 24 เขตบึงกุ่ม"},"canal_lat":13.780512,"canal_long":100.673845,"canal_oldcode":"SS06","bank":null,"warning_level":null,"critical_level":null}}</x:t>
  </x:si>
  <x:si>
    <x:t xml:space="preserve">THAIWATER:246</x:t>
  </x:si>
  <x:si>
    <x:t xml:space="preserve">WL.TPK.01</x:t>
  </x:si>
  <x:si>
    <x:t xml:space="preserve">ค.ลาดกระบัง ซ.ลาดกระบัง 54/6</x:t>
  </x:si>
  <x:si>
    <x:t xml:space="preserve">ลาดกระบัง</x:t>
  </x:si>
  <x:si>
    <x:t xml:space="preserve">2025-01-24T13:45:00+07:00</x:t>
  </x:si>
  <x:si>
    <x:t xml:space="preserve">{"canal_datetime":"2025-01-24 13:45","canal_value":-0.37,"canal_out":0,"agency":{"agency_name":{"th":"สำนักการระบายน้ำ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Bangkok","jp":""}},"geocode":{"area_code":"1","area_name":{"th":"กรุงเทพมหานคร","en":"Bangkok"},"amphoe_name":{"th":"ลาดกระบัง","en":"Lat Krabang District"},"tumbon_name":{"th":"ลาดกระบัง","en":"Lat Krabang"},"province_code":"10","province_name":{"th":"กรุงเทพมหานคร","en":"Bangkok"}},"station":{"id":246,"canal_name":{"th":"ค.ลาดกระบัง ซ.ลาดกระบัง 54/6"},"canal_lat":13.72294,"canal_long":100.75193,"canal_oldcode":"WL.TPK.01","bank":1,"warning_level":0.5,"critical_level":0.6}}</x:t>
  </x:si>
  <x:si>
    <x:t xml:space="preserve">THAIWATER:70</x:t>
  </x:si>
  <x:si>
    <x:t xml:space="preserve">WL.BSU.01</x:t>
  </x:si>
  <x:si>
    <x:t xml:space="preserve">ส.คลองบางซื่อ</x:t>
  </x:si>
  <x:si>
    <x:t xml:space="preserve">บางซื่อ</x:t>
  </x:si>
  <x:si>
    <x:t xml:space="preserve">{"canal_datetime":"2026-09-28 13:20","canal_value":-0.79,"canal_out":1.48,"agency":{"agency_name":{"th":"สำนักการระบายน้ำ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Bangkok","jp":""}},"geocode":{"area_code":"1","area_name":{"th":"กรุงเทพมหานคร","en":"Bangkok"},"amphoe_name":{"th":"บางซื่อ","en":"Bang Sue District"},"tumbon_name":{"th":"บางซื่อ","en":"Bang Sue"},"province_code":"10","province_name":{"th":"กรุงเทพมหานคร","en":"Bangkok"}},"station":{"id":70,"canal_name":{"th":"ส.คลองบางซื่อ"},"canal_lat":13.80009,"canal_long":100.5184,"canal_oldcode":"WL.BSU.01","bank":3.5,"warning_level":3.3,"critical_level":3.5}}</x:t>
  </x:si>
  <x:si>
    <x:t xml:space="preserve">THAIWATER:221</x:t>
  </x:si>
  <x:si>
    <x:t xml:space="preserve">WL.RKC.01</x:t>
  </x:si>
  <x:si>
    <x:t xml:space="preserve">ค.ข้างศูนย์ราชการ</x:t>
  </x:si>
  <x:si>
    <x:t xml:space="preserve">หลักสี่</x:t>
  </x:si>
  <x:si>
    <x:t xml:space="preserve">2026-09-26T16:20:00+07:00</x:t>
  </x:si>
  <x:si>
    <x:t xml:space="preserve">{"canal_datetime":"2026-09-26 16:20","canal_value":-0.8,"canal_out":0,"agency":{"agency_name":{"th":"สำนักการระบายน้ำ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Bangkok","jp":""}},"geocode":{"area_code":"1","area_name":{"th":"กรุงเทพมหานคร","en":"Bangkok"},"amphoe_name":{"th":"หลักสี่","en":"Lak Si District"},"tumbon_name":{"th":"ทุ่งสองห้อง","en":"Thung Song Hong"},"province_code":"10","province_name":{"th":"กรุงเทพมหานคร","en":"Bangkok"}},"station":{"id":221,"canal_name":{"th":"ค.ข้างศูนย์ราชการ"},"canal_lat":13.88457,"canal_long":100.56277,"canal_oldcode":"WL.RKC.01","bank":1,"warning_level":0.7,"critical_level":0.8}}</x:t>
  </x:si>
  <x:si>
    <x:t xml:space="preserve">THAIWATER:113</x:t>
  </x:si>
  <x:si>
    <x:t xml:space="preserve">WL.LPW.02</x:t>
  </x:si>
  <x:si>
    <x:t xml:space="preserve">ค.ลาดพร้าว-วัดลาดพร้าว</x:t>
  </x:si>
  <x:si>
    <x:t xml:space="preserve">2026-09-26T00:15:00+07:00</x:t>
  </x:si>
  <x:si>
    <x:t xml:space="preserve">{"canal_datetime":"2026-09-26 00:15","canal_value":0.95,"canal_out":0,"agency":{"agency_name":{"th":"สำนักการระบายน้ำ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District"},"tumbon_name":{"th":"สามเสนนอก","en":"Sam Sen Nok"},"province_code":"10","province_name":{"th":"กรุงเทพมหานคร","en":"Bangkok"}},"station":{"id":113,"canal_name":{"th":"ค.ลาดพร้าว-วัดลาดพร้าว"},"canal_lat":13.80293,"canal_long":100.58822,"canal_oldcode":"WL.LPW.02","bank":1.9,"warning_level":0.4,"critical_level":0.55}}</x:t>
  </x:si>
  <x:si>
    <x:t xml:space="preserve">THAIWATER:71</x:t>
  </x:si>
  <x:si>
    <x:t xml:space="preserve">WL.SSB.09</x:t>
  </x:si>
  <x:si>
    <x:t xml:space="preserve">ปตร.คลองแสนแสบ-บางชัน</x:t>
  </x:si>
  <x:si>
    <x:t xml:space="preserve">{"canal_datetime":"2026-09-28 13:20","canal_value":0.93,"canal_out":0.62,"agency":{"agency_name":{"th":"สำนักการระบายน้ำ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Bangkok","jp":""}},"geocode":{"area_code":"1","area_name":{"th":"กรุงเทพมหานคร","en":"Bangkok"},"amphoe_name":{"th":"สะพานสูง","en":"Saphan Sung District"},"tumbon_name":{"th":"สะพานสูง","en":"Saphan Sung"},"province_code":"10","province_name":{"th":"กรุงเทพมหานคร","en":"Bangkok"}},"station":{"id":71,"canal_name":{"th":"ปตร.คลองแสนแสบ-บางชัน"},"canal_lat":13.7972,"canal_long":100.70458,"canal_oldcode":"WL.SSB.09","bank":1.98,"warning_level":0.4,"critical_level":0.6}}</x:t>
  </x:si>
  <x:si>
    <x:t xml:space="preserve">THAIWATER:667</x:t>
  </x:si>
  <x:si>
    <x:t xml:space="preserve">WL.BNA.04</x:t>
  </x:si>
  <x:si>
    <x:t xml:space="preserve">ค.บางนา ซ.บางนา-ตราด 56</x:t>
  </x:si>
  <x:si>
    <x:t xml:space="preserve">บางนา</x:t>
  </x:si>
  <x:si>
    <x:t xml:space="preserve">{"canal_datetime":"2026-09-28 13:20","canal_value":0.06,"canal_out":0,"agency":{"agency_name":{"th":"สำนักการระบายน้ำ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Bangkok","jp":""}},"geocode":{"area_code":"1","area_name":{"th":"กรุงเทพมหานคร","en":"Bangkok"},"amphoe_name":{"th":"บางนา","en":"Bang Na District"},"tumbon_name":{"th":"บางนา","en":"Bang Na"},"province_code":"10","province_name":{"th":"กรุงเทพมหานคร","en":"Bangkok"}},"station":{"id":667,"canal_name":{"th":"ค.บางนา ซ.บางนา-ตราด 56"},"canal_lat":13.6594,"canal_long":100.64935,"canal_oldcode":"WL.BNA.04","bank":null,"warning_level":null,"critical_level":null}}</x:t>
  </x:si>
  <x:si>
    <x:t xml:space="preserve">THAIWATER:114</x:t>
  </x:si>
  <x:si>
    <x:t xml:space="preserve">WL.LPW.03</x:t>
  </x:si>
  <x:si>
    <x:t xml:space="preserve">ค.ลาดพร้าว-เสนานิคม</x:t>
  </x:si>
  <x:si>
    <x:t xml:space="preserve">{"canal_datetime":"2026-09-28 13:20","canal_value":1.04,"canal_out":0,"agency":{"agency_name":{"th":"สำนักการระบายน้ำ กรุงเทพมหานคร","en":"Department of Bangkok","jp":""}},"geocode":{"area_code":"2","area_name":{"th":"ภาคกลาง","en":"Central"},"amphoe_name":{"th":"จตุจักร","en":"Chatuchak District"},"tumbon_name":{"th":"จันทรเกษม","en":"Chantharakasem"},"province_code":"10","province_name":{"th":"กรุงเทพมหานคร","en":"Bangkok"}},"station":{"id":114,"canal_name":{"th":"ค.ลาดพร้าว-เสนานิคม"},"canal_lat":13.83224,"canal_long":100.58974,"canal_oldcode":"WL.LPW.03","bank":1.9,"warning_level":0.6,"critical_level":0.75}}</x:t>
  </x:si>
  <x:si>
    <x:t xml:space="preserve">THAIWATER:250</x:t>
  </x:si>
  <x:si>
    <x:t xml:space="preserve">WL.KJN.01</x:t>
  </x:si>
  <x:si>
    <x:t xml:space="preserve">ค.จั่น ถ.ลาดพร้าว</x:t>
  </x:si>
  <x:si>
    <x:t xml:space="preserve">{"canal_datetime":"2026-09-28 13:20","canal_value":0.64,"canal_out":0,"agency":{"agency_name":{"th":"สำนักการระบายน้ำ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Bangkok","jp":""}},"geocode":{"area_code":"1","area_name":{"th":"กรุงเทพมหานคร","en":"Bangkok"},"amphoe_name":{"th":"วังทองหลาง","en":"Wang Thonglang District"},"tumbon_name":{"th":"วังทองหลาง","en":"Wang Thong Lang"},"province_code":"10","province_name":{"th":"กรุงเทพมหานคร","en":"Bangkok"}},"station":{"id":250,"canal_name":{"th":"ค.จั่น ถ.ลาดพร้าว"},"canal_lat":13.77609,"canal_long":100.62816,"canal_oldcode":"WL.KJN.01","bank":1,"warning_level":-0.2,"critical_level":0}}</x:t>
  </x:si>
  <x:si>
    <x:t xml:space="preserve">THAIWATER:55</x:t>
  </x:si>
  <x:si>
    <x:t xml:space="preserve">WL.BSU.04</x:t>
  </x:si>
  <x:si>
    <x:t xml:space="preserve">ค.บางซื่อ ถ.พหลฯ</x:t>
  </x:si>
  <x:si>
    <x:t xml:space="preserve">พญาไท</x:t>
  </x:si>
  <x:si>
    <x:t xml:space="preserve">{"canal_datetime":"2026-09-28 13:20","canal_value":-0.98,"canal_out":0,"agency":{"agency_name":{"th":"สำนักการระบายน้ำ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Bangkok","jp":""}},"geocode":{"area_code":"1","area_name":{"th":"กรุงเทพมหานคร","en":"Bangkok"},"amphoe_name":{"th":"พญาไท","en":"Phaya Thai District"},"tumbon_name":{"th":"สามเสนใน","en":"Sam Sen Nai"},"province_code":"10","province_name":{"th":"กรุงเทพมหานคร","en":"Bangkok"}},"station":{"id":55,"canal_name":{"th":"ค.บางซื่อ ถ.พหลฯ"},"canal_lat":13.79619,"canal_long":100.55035,"canal_oldcode":"WL.BSU.04","bank":1.9,"warning_level":0.4,"critical_level":0.5}}</x:t>
  </x:si>
  <x:si>
    <x:t xml:space="preserve">THAIWATER:89</x:t>
  </x:si>
  <x:si>
    <x:t xml:space="preserve">WL.BOA.01</x:t>
  </x:si>
  <x:si>
    <x:t xml:space="preserve">ส.บางอ้อ</x:t>
  </x:si>
  <x:si>
    <x:t xml:space="preserve">พระโขนง</x:t>
  </x:si>
  <x:si>
    <x:t xml:space="preserve">{"canal_datetime":"2026-09-28 13:20","canal_value":-1.28,"canal_out":0.29,"agency":{"agency_name":{"th":"สำนักการระบายน้ำ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Bangkok","jp":""}},"geocode":{"area_code":"1","area_name":{"th":"กรุงเทพมหานคร","en":"Bangkok"},"amphoe_name":{"th":"พระโขนง","en":"Phra Khanong District"},"tumbon_name":{"th":"บางจาก","en":"Bang Chak"},"province_code":"10","province_name":{"th":"กรุงเทพมหานคร","en":"Bangkok"}},"station":{"id":89,"canal_name":{"th":"ส.บางอ้อ"},"canal_lat":13.68206,"canal_long":100.59226,"canal_oldcode":"WL.BOA.01","bank":2.8,"warning_level":2.6,"critical_level":2.8}}</x:t>
  </x:si>
  <x:si>
    <x:t xml:space="preserve">THAIWATER:277</x:t>
  </x:si>
  <x:si>
    <x:t xml:space="preserve">WL.KLD.01</x:t>
  </x:si>
  <x:si>
    <x:t xml:space="preserve">ค.หลอด ส.ปากคลองตลาด</x:t>
  </x:si>
  <x:si>
    <x:t xml:space="preserve">พระนคร</x:t>
  </x:si>
  <x:si>
    <x:t xml:space="preserve">{"canal_datetime":"2026-09-28 13:20","canal_value":-0.41,"canal_out":0,"agency":{"agency_name":{"th":"สำนักการระบายน้ำ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Bangkok","jp":""}},"geocode":{"area_code":"1","area_name":{"th":"กรุงเทพมหานคร","en":"Bangkok"},"amphoe_name":{"th":"พระนคร","en":"Phra Nakhon District"},"tumbon_name":{"th":"วังบูรพาภิรมย์","en":"Wang Burapha Phirom"},"province_code":"10","province_name":{"th":"กรุงเทพมหานคร","en":"Bangkok"}},"station":{"id":277,"canal_name":{"th":"ค.หลอด ส.ปากคลองตลาด"},"canal_lat":13.74261,"canal_long":100.49492,"canal_oldcode":"WL.KLD.01","bank":1.8,"warning_level":0.6,"critical_level":0.7}}</x:t>
  </x:si>
  <x:si>
    <x:t xml:space="preserve">THAIWATER:65</x:t>
  </x:si>
  <x:si>
    <x:t xml:space="preserve">WL.TUT.01</x:t>
  </x:si>
  <x:si>
    <x:t xml:space="preserve">ส.คลองตาอูฐ</x:t>
  </x:si>
  <x:si>
    <x:t xml:space="preserve">2025-10-22T14:35:00+07:00</x:t>
  </x:si>
  <x:si>
    <x:t xml:space="preserve">{"canal_datetime":"2025-10-22 14:35","canal_value":0,"canal_out":0.04,"agency":{"agency_name":{"th":"สำนักการระบายน้ำ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Bangkok","jp":""}},"geocode":{"area_code":"1","area_name":{"th":"กรุงเทพมหานคร","en":"Bangkok"},"amphoe_name":{"th":"หลักสี่","en":"Lak Si District"},"tumbon_name":{"th":"ทุ่งสองห้อง","en":"Thung Song Hong"},"province_code":"10","province_name":{"th":"กรุงเทพมหานคร","en":"Bangkok"}},"station":{"id":65,"canal_name":{"th":"ส.คลองตาอูฐ"},"canal_lat":13.89975,"canal_long":100.58673,"canal_oldcode":"WL.TUT.01","bank":1.98,"warning_level":0.6,"critical_level":0.7}}</x:t>
  </x:si>
  <x:si>
    <x:t xml:space="preserve">THAIWATER:19</x:t>
  </x:si>
  <x:si>
    <x:t xml:space="preserve">KP03</x:t>
  </x:si>
  <x:si>
    <x:t xml:space="preserve">คลองเปรมประชากร ช่วง สน.ดอนเมือง</x:t>
  </x:si>
  <x:si>
    <x:t xml:space="preserve">ดอนเมือง</x:t>
  </x:si>
  <x:si>
    <x:t xml:space="preserve">{"canal_datetime":"2019-12-24 14:38","canal_value":0.288,"canal_out":0,"agency":{"agency_name":{"th":"สำนักการระบายน้ำ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Bangkok","jp":""}},"geocode":{"area_code":"1","area_name":{"th":"กรุงเทพมหานคร","en":"Bangkok"},"amphoe_name":{"th":"ดอนเมือง","en":"Don Mueang District"},"tumbon_name":{"th":"สีกัน","en":"Si Kan"},"province_code":"10","province_name":{"th":"กรุงเทพมหานคร","en":"Bangkok"}},"station":{"id":19,"canal_name":{"th":"คลองเปรมประชากร ช่วง สน.ดอนเมือง"},"canal_lat":13.938917,"canal_long":100.606452,"canal_oldcode":"KP03","bank":null,"warning_level":null,"critical_level":null}}</x:t>
  </x:si>
  <x:si>
    <x:t xml:space="preserve">THAIWATER:1</x:t>
  </x:si>
  <x:si>
    <x:t xml:space="preserve">PK01</x:t>
  </x:si>
  <x:si>
    <x:t xml:space="preserve">แม่น้ำเจ้าพระยา บริเวณปากคลองตลาด</x:t>
  </x:si>
  <x:si>
    <x:t xml:space="preserve">{"canal_datetime":"2019-12-24 14:38","canal_value":0.426,"canal_out":0,"agency":{"agency_name":{"th":"สำนักการระบายน้ำ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Bangkok","jp":""}},"geocode":{"area_code":"1","area_name":{"th":"กรุงเทพมหานคร","en":"Bangkok"},"amphoe_name":{"th":"พระนคร","en":"Phra Nakhon District"},"tumbon_name":{"th":"วังบูรพาภิรมย์","en":"Wang Burapha Phirom"},"province_code":"10","province_name":{"th":"กรุงเทพมหานคร","en":"Bangkok"}},"station":{"id":1,"canal_name":{"th":"แม่น้ำเจ้าพระยา บริเวณปากคลองตลาด"},"canal_lat":13.7422,"canal_long":100.49464,"canal_oldcode":"PK01","bank":null,"warning_level":null,"critical_level":null}}</x:t>
  </x:si>
  <x:si>
    <x:t xml:space="preserve">THAIWATER:5</x:t>
  </x:si>
  <x:si>
    <x:t xml:space="preserve">SS01</x:t>
  </x:si>
  <x:si>
    <x:t xml:space="preserve">คลองแสนแสบ ช่วง ค.ผดุงกรุงเกษม (โบ้เบ้)</x:t>
  </x:si>
  <x:si>
    <x:t xml:space="preserve">{"canal_datetime":"2019-12-24 14:38","canal_value":-0.164,"canal_out":0,"agency":{"agency_name":{"th":"สำนักการระบายน้ำ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Bangkok","jp":""}},"geocode":{"area_code":"1","area_name":{"th":"กรุงเทพมหานคร","en":"Bangkok"},"amphoe_name":{"th":"ปทุมวัน","en":"Pathum Wan District"},"tumbon_name":{"th":"รองเมือง","en":"Rong Mueang"},"province_code":"10","province_name":{"th":"กรุงเทพมหานคร","en":"Bangkok"}},"station":{"id":5,"canal_name":{"th":"คลองแสนแสบ ช่วง ค.ผดุงกรุงเกษม (โบ้เบ้)"},"canal_lat":13.752819,"canal_long":100.517188,"canal_oldcode":"SS01","bank":null,"warning_level":null,"critical_level":null}}</x:t>
  </x:si>
  <x:si>
    <x:t xml:space="preserve">THAIWATER:10</x:t>
  </x:si>
  <x:si>
    <x:t xml:space="preserve">PL01</x:t>
  </x:si>
  <x:si>
    <x:t xml:space="preserve">คลองพิทยาลงกรณ์ ช่วง ร.ร.พิทยาลงกรณ์</x:t>
  </x:si>
  <x:si>
    <x:t xml:space="preserve">{"canal_datetime":"2019-12-24 14:38","canal_value":0.414,"canal_out":0,"agency":{"agency_name":{"th":"สำนักการระบายน้ำ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Bangkok","jp":""}},"geocode":{"area_code":"1","area_name":{"th":"กรุงเทพมหานคร","en":"Bangkok"},"amphoe_name":{"th":"บางขุนเทียน","en":"Bang Khun Thian District"},"tumbon_name":{"th":"ท่าข้าม","en":"Tha Kham"},"province_code":"10","province_name":{"th":"กรุงเทพมหานคร","en":"Bangkok"}},"station":{"id":10,"canal_name":{"th":"คลองพิทยาลงกรณ์ ช่วง ร.ร.พิทยาลงกรณ์"},"canal_lat":13.528701,"canal_long":100.417622,"canal_oldcode":"PL01","bank":null,"warning_level":null,"critical_level":null}}</x:t>
  </x:si>
  <x:si>
    <x:t xml:space="preserve">THAIWATER:20</x:t>
  </x:si>
  <x:si>
    <x:t xml:space="preserve">SA02</x:t>
  </x:si>
  <x:si>
    <x:t xml:space="preserve">คลองสามเสนช่วง ถ.พหลโยธิน เขตพญาไท</x:t>
  </x:si>
  <x:si>
    <x:t xml:space="preserve">ราชเทวี</x:t>
  </x:si>
  <x:si>
    <x:t xml:space="preserve">{"canal_datetime":"2019-12-24 14:38","canal_value":-0.512,"canal_out":0,"agency":{"agency_name":{"th":"สำนักการระบายน้ำ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Bangkok","jp":""}},"geocode":{"area_code":"1","area_name":{"th":"กรุงเทพมหานคร","en":"Bangkok"},"amphoe_name":{"th":"ราชเทวี","en":"Ratchathewi District"},"tumbon_name":{"th":"ถนนพญาไท","en":"Thanon Phaya Thai"},"province_code":"10","province_name":{"th":"กรุงเทพมหานคร","en":"Bangkok"}},"station":{"id":20,"canal_name":{"th":"คลองสามเสนช่วง ถ.พหลโยธิน เขตพญาไท"},"canal_lat":13.765552,"canal_long":100.539566,"canal_oldcode":"SA02","bank":null,"warning_level":null,"critical_level":null}}</x:t>
  </x:si>
  <x:si>
    <x:t xml:space="preserve">THAIWATER:11</x:t>
  </x:si>
  <x:si>
    <x:t xml:space="preserve">BS03</x:t>
  </x:si>
  <x:si>
    <x:t xml:space="preserve">คลองบางซื่อช่วง ถ.วิภาวดี เขตจตุจักร</x:t>
  </x:si>
  <x:si>
    <x:t xml:space="preserve">ดินแดง</x:t>
  </x:si>
  <x:si>
    <x:t xml:space="preserve">{"canal_datetime":"2019-12-24 14:38","canal_value":0,"canal_out":0,"agency":{"agency_name":{"th":"สำนักการระบายน้ำ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Bangkok","jp":""}},"geocode":{"area_code":"1","area_name":{"th":"กรุงเทพมหานคร","en":"Bangkok"},"amphoe_name":{"th":"ดินแดง","en":"Din Daeng District"},"tumbon_name":{"th":"ดินแดง","en":"Din Daeng"},"province_code":"10","province_name":{"th":"กรุงเทพมหานคร","en":"Bangkok"}},"station":{"id":11,"canal_name":{"th":"คลองบางซื่อช่วง ถ.วิภาวดี เขตจตุจักร"},"canal_lat":13.794856,"canal_long":100.561336,"canal_oldcode":"BS03","bank":null,"warning_level":null,"critical_level":null}}</x:t>
  </x:si>
  <x:si>
    <x:t xml:space="preserve">THAIWATER:16</x:t>
  </x:si>
  <x:si>
    <x:t xml:space="preserve">BK03</x:t>
  </x:si>
  <x:si>
    <x:t xml:space="preserve">คลองบางเขน ช่วง ถ.วิภาวดี  เขตหลักสี่</x:t>
  </x:si>
  <x:si>
    <x:t xml:space="preserve">{"canal_datetime":"2019-12-24 14:38","canal_value":-5.592,"canal_out":0,"agency":{"agency_name":{"th":"สำนักการระบายน้ำ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Bangkok","jp":""}},"geocode":{"area_code":"1","area_name":{"th":"กรุงเทพมหานคร","en":"Bangkok"},"amphoe_name":{"th":"จตุจักร","en":"Chatuchak District"},"tumbon_name":{"th":"ลาดยาว","en":"Lat Yao"},"province_code":"10","province_name":{"th":"กรุงเทพมหานคร","en":"Bangkok"}},"station":{"id":16,"canal_name":{"th":"คลองบางเขน ช่วง ถ.วิภาวดี  เขตหลักสี่"},"canal_lat":13.855781,"canal_long":100.566765,"canal_oldcode":"BK03","bank":null,"warning_level":null,"critical_level":null}}</x:t>
  </x:si>
  <x:si>
    <x:t xml:space="preserve">THAIWATER:12</x:t>
  </x:si>
  <x:si>
    <x:t xml:space="preserve">SA03</x:t>
  </x:si>
  <x:si>
    <x:t xml:space="preserve">คลองสามเสนช่วง ถ.ดินแดง เขตราชเทวี</x:t>
  </x:si>
  <x:si>
    <x:t xml:space="preserve">{"canal_datetime":"2019-12-24 14:38","canal_value":-0.887,"canal_out":0,"agency":{"agency_name":{"th":"สำนักการระบายน้ำ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Bangkok","jp":""}},"geocode":{"area_code":"1","area_name":{"th":"กรุงเทพมหานคร","en":"Bangkok"},"amphoe_name":{"th":"ดินแดง","en":"Din Daeng District"},"tumbon_name":{"th":"ดินแดง","en":"Din Daeng"},"province_code":"10","province_name":{"th":"กรุงเทพมหานคร","en":"Bangkok"}},"station":{"id":12,"canal_name":{"th":"คลองสามเสนช่วง ถ.ดินแดง เขตราชเทวี"},"canal_lat":13.756143,"canal_long":100.55246,"canal_oldcode":"SA03","bank":null,"warning_level":null,"critical_level":null}}</x:t>
  </x:si>
  <x:si>
    <x:t xml:space="preserve">THAIWATER:13</x:t>
  </x:si>
  <x:si>
    <x:t xml:space="preserve">BS04</x:t>
  </x:si>
  <x:si>
    <x:t xml:space="preserve">คลองบางซื่อช่วง ถ.รัชดาภิเษก เขตดินแดง</x:t>
  </x:si>
  <x:si>
    <x:t xml:space="preserve">{"canal_datetime":"2019-12-24 14:38","canal_value":-0.179,"canal_out":0,"agency":{"agency_name":{"th":"สำนักการระบายน้ำ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Bangkok","jp":""}},"geocode":{"area_code":"1","area_name":{"th":"กรุงเทพมหานคร","en":"Bangkok"},"amphoe_name":{"th":"ดินแดง","en":"Din Daeng District"},"tumbon_name":{"th":"ดินแดง","en":"Din Daeng"},"province_code":"10","province_name":{"th":"กรุงเทพมหานคร","en":"Bangkok"}},"station":{"id":13,"canal_name":{"th":"คลองบางซื่อช่วง ถ.รัชดาภิเษก เขตดินแดง"},"canal_lat":13.796139,"canal_long":100.574126,"canal_oldcode":"BS04","bank":null,"warning_level":null,"critical_level":null}}</x:t>
  </x:si>
  <x:si>
    <x:t xml:space="preserve">THAIWATER:15</x:t>
  </x:si>
  <x:si>
    <x:t xml:space="preserve">KP01</x:t>
  </x:si>
  <x:si>
    <x:t xml:space="preserve">คลองเปรมประชากร ช่วงอุโมงค์คลองเปรมฯ</x:t>
  </x:si>
  <x:si>
    <x:t xml:space="preserve">{"canal_datetime":"2019-12-24 14:38","canal_value":-0.052,"canal_out":0,"agency":{"agency_name":{"th":"สำนักการระบายน้ำ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Bangkok","jp":""}},"geocode":{"area_code":"1","area_name":{"th":"กรุงเทพมหานคร","en":"Bangkok"},"amphoe_name":{"th":"บางซื่อ","en":"Bang Sue District"},"tumbon_name":{"th":"บางซื่อ","en":"Bang Sue"},"province_code":"10","province_name":{"th":"กรุงเทพมหานคร","en":"Bangkok"}},"station":{"id":15,"canal_name":{"th":"คลองเปรมประชากร ช่วงอุโมงค์คลองเปรมฯ"},"canal_lat":13.805021,"canal_long":100.53607,"canal_oldcode":"KP01","bank":null,"warning_level":null,"critical_level":null}}</x:t>
  </x:si>
  <x:si>
    <x:t xml:space="preserve">THAIWATER:21</x:t>
  </x:si>
  <x:si>
    <x:t xml:space="preserve">SS03</x:t>
  </x:si>
  <x:si>
    <x:t xml:space="preserve">คลองแสนแสบช่วงอโศก เขตวัฒนา</x:t>
  </x:si>
  <x:si>
    <x:t xml:space="preserve">{"canal_datetime":"2019-12-24 14:38","canal_value":-0.196,"canal_out":0,"agency":{"agency_name":{"th":"สำนักการระบายน้ำ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Bangkok","jp":""}},"geocode":{"area_code":"1","area_name":{"th":"กรุงเทพมหานคร","en":"Bangkok"},"amphoe_name":{"th":"ราชเทวี","en":"Ratchathewi District"},"tumbon_name":{"th":"มักกะสัน","en":"Makkasan"},"province_code":"10","province_name":{"th":"กรุงเทพมหานคร","en":"Bangkok"}},"station":{"id":21,"canal_name":{"th":"คลองแสนแสบช่วงอโศก เขตวัฒนา"},"canal_lat":13.748123,"canal_long":100.562819,"canal_oldcode":"SS03","bank":null,"warning_level":null,"critical_level":null}}</x:t>
  </x:si>
  <x:si>
    <x:t xml:space="preserve">THAIWATER:4</x:t>
  </x:si>
  <x:si>
    <x:t xml:space="preserve">SS05</x:t>
  </x:si>
  <x:si>
    <x:t xml:space="preserve">คลองแสนแสบช่วง ส.คลองเจ้าคุณสิงห์</x:t>
  </x:si>
  <x:si>
    <x:t xml:space="preserve">{"canal_datetime":"2019-12-24 14:38","canal_value":-0.368,"canal_out":0,"agency":{"agency_name":{"th":"สำนักการระบายน้ำ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Bangkok","jp":""}},"geocode":{"area_code":"1","area_name":{"th":"กรุงเทพมหานคร","en":"Bangkok"},"amphoe_name":{"th":"บางกะปิ","en":"Bang Kapi District"},"tumbon_name":{"th":"หัวหมาก","en":"Hua Mak"},"province_code":"10","province_name":{"th":"กรุงเทพมหานคร","en":"Bangkok"}},"station":{"id":4,"canal_name":{"th":"คลองแสนแสบช่วง ส.คลองเจ้าคุณสิงห์"},"canal_lat":13.76127,"canal_long":100.615376,"canal_oldcode":"SS05","bank":null,"warning_level":null,"critical_level":null}}</x:t>
  </x:si>
  <x:si>
    <x:t xml:space="preserve">THAIWATER:24</x:t>
  </x:si>
  <x:si>
    <x:t xml:space="preserve">BK01</x:t>
  </x:si>
  <x:si>
    <x:t xml:space="preserve">คลองบางเขน ช่วง ถ.กรุงเทพ-นนท์ เขตบางซื่อ</x:t>
  </x:si>
  <x:si>
    <x:t xml:space="preserve">{"canal_datetime":"2019-12-24 14:38","canal_value":0.159,"canal_out":0,"agency":{"agency_name":{"th":"สำนักการระบายน้ำ กรุงเทพมหานคร","en":"Department of Bangkok","jp":""}},"geocode":{"area_code":"2","area_name":{"th":"ภาคกลาง","en":"Central"},"amphoe_name":{"th":"เมืองนนทบุรี","en":"Mueang Nonthaburi District"},"tumbon_name":{"th":"บางเขน","en":"Bang Khen"},"province_code":"12","province_name":{"th":"นนทบุรี","en":"Nonthaburi"}},"station":{"id":24,"canal_name":{"th":"คลองบางเขน ช่วง ถ.กรุงเทพ-นนท์ เขตบางซื่อ"},"canal_lat":13.83379,"canal_long":100.522105,"canal_oldcode":"BK01","bank":null,"warning_level":null,"critical_level":null}}</x:t>
  </x:si>
  <x:si>
    <x:t xml:space="preserve">THAIWATER:6</x:t>
  </x:si>
  <x:si>
    <x:t xml:space="preserve">BS02</x:t>
  </x:si>
  <x:si>
    <x:t xml:space="preserve">คลองบางซื่อช่วง ถ.พหลโยธิน เขตจตุจักร</x:t>
  </x:si>
  <x:si>
    <x:t xml:space="preserve">{"canal_datetime":"2019-12-24 14:38","canal_value":0.176,"canal_out":0,"agency":{"agency_name":{"th":"สำนักการระบายน้ำ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Bangkok","jp":""}},"geocode":{"area_code":"1","area_name":{"th":"กรุงเทพมหานคร","en":"Bangkok"},"amphoe_name":{"th":"พญาไท","en":"Phaya Thai District"},"tumbon_name":{"th":"สามเสนใน","en":"Sam Sen Nai"},"province_code":"10","province_name":{"th":"กรุงเทพมหานคร","en":"Bangkok"}},"station":{"id":6,"canal_name":{"th":"คลองบางซื่อช่วง ถ.พหลโยธิน เขตจตุจักร"},"canal_lat":13.796218,"canal_long":100.55032,"canal_oldcode":"BS02","bank":null,"warning_level":null,"critical_level":null}}</x:t>
  </x:si>
  <x:si>
    <x:t xml:space="preserve">THAIWATER:213</x:t>
  </x:si>
  <x:si>
    <x:t xml:space="preserve">WL.LPG.01</x:t>
  </x:si>
  <x:si>
    <x:t xml:space="preserve">ค.หลวงแพ่ง รร.ผลลีรุ่งเรือง</x:t>
  </x:si>
  <x:si>
    <x:t xml:space="preserve">เมืองฉะเชิงเทรา</x:t>
  </x:si>
  <x:si>
    <x:t xml:space="preserve">2023-09-26T09:20:00+07:00</x:t>
  </x:si>
  <x:si>
    <x:t xml:space="preserve">{"canal_datetime":"2023-09-26 09:20","canal_value":0.38,"canal_out":0,"agency":{"agency_name":{"th":"สำนักการระบายน้ำ กรุงเทพมหานคร","en":"Department of Bangkok","jp":""}},"geocode":{"area_code":"2","area_name":{"th":"ภาคกลาง","en":"Central"},"amphoe_name":{"th":"เมืองฉะเชิงเทรา","en":"Mueang Chachoengsao District"},"tumbon_name":{"th":"คลองหลวงแพ่ง","en":"KHLONG LUANG PHAENG"},"province_code":"24","province_name":{"th":"ฉะเชิงเทรา","en":"Chachoengsao"}},"station":{"id":213,"canal_name":{"th":"ค.หลวงแพ่ง รร.ผลลีรุ่งเรือง"},"canal_lat":13.7917,"canal_long":100.91164,"canal_oldcode":"WL.LPG.01","bank":3.3,"warning_level":0.6,"critical_level":0.8}}</x:t>
  </x:si>
  <x:si>
    <x:t xml:space="preserve">THAIWATER:2</x:t>
  </x:si>
  <x:si>
    <x:t xml:space="preserve">SA01</x:t>
  </x:si>
  <x:si>
    <x:t xml:space="preserve">คลองสามเสนช่วง ถ.พระรามที่ 5 เขตดุสิต</x:t>
  </x:si>
  <x:si>
    <x:t xml:space="preserve">ดุสิต</x:t>
  </x:si>
  <x:si>
    <x:t xml:space="preserve">{"canal_datetime":"2019-12-24 14:38","canal_value":-0.464,"canal_out":0,"agency":{"agency_name":{"th":"สำนักการระบายน้ำ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Bangkok","jp":""}},"geocode":{"area_code":"1","area_name":{"th":"กรุงเทพมหานคร","en":"Bangkok"},"amphoe_name":{"th":"ดุสิต","en":"Dusit District"},"tumbon_name":{"th":"ดุสิต","en":"Dusit"},"province_code":"10","province_name":{"th":"กรุงเทพมหานคร","en":"Bangkok"}},"station":{"id":2,"canal_name":{"th":"คลองสามเสนช่วง ถ.พระรามที่ 5 เขตดุสิต"},"canal_lat":13.777896,"canal_long":100.521271,"canal_oldcode":"SA01","bank":null,"warning_level":null,"critical_level":null}}</x:t>
  </x:si>
  <x:si>
    <x:t xml:space="preserve">THAIWATER:22</x:t>
  </x:si>
  <x:si>
    <x:t xml:space="preserve">SS04</x:t>
  </x:si>
  <x:si>
    <x:t xml:space="preserve">คลองแสนแสบช่วงคลองตัน สุขุมวิท 71</x:t>
  </x:si>
  <x:si>
    <x:t xml:space="preserve">วัฒนา</x:t>
  </x:si>
  <x:si>
    <x:t xml:space="preserve">{"canal_datetime":"2019-12-24 14:38","canal_value":-0.358,"canal_out":0,"agency":{"agency_name":{"th":"สำนักการระบายน้ำ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Bangkok","jp":""}},"geocode":{"area_code":"1","area_name":{"th":"กรุงเทพมหานคร","en":"Bangkok"},"amphoe_name":{"th":"วัฒนา","en":"Vadhana District"},"tumbon_name":{"th":"คลองตันเหนือ","en":"Khlong Tan Nuea"},"province_code":"10","province_name":{"th":"กรุงเทพมหานคร","en":"Bangkok"}},"station":{"id":22,"canal_name":{"th":"คลองแสนแสบช่วงคลองตัน สุขุมวิท 71"},"canal_lat":13.737542,"canal_long":100.604497,"canal_oldcode":"SS04","bank":null,"warning_level":null,"critical_level":null}}</x:t>
  </x:si>
  <x:si>
    <x:t xml:space="preserve">THAIWATER:174</x:t>
  </x:si>
  <x:si>
    <x:t xml:space="preserve">WL.LPT.01</x:t>
  </x:si>
  <x:si>
    <x:t xml:space="preserve">ค.ลำปลาทิว ถ.สังฆสันติสุข</x:t>
  </x:si>
  <x:si>
    <x:t xml:space="preserve">หนองจอก</x:t>
  </x:si>
  <x:si>
    <x:t xml:space="preserve">2026-09-26T22:20:00+07:00</x:t>
  </x:si>
  <x:si>
    <x:t xml:space="preserve">{"canal_datetime":"2026-09-26 22:20","canal_value":1.3,"canal_out":0,"agency":{"agency_name":{"th":"สำนักการระบายน้ำ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Bangkok","jp":""}},"geocode":{"area_code":"1","area_name":{"th":"กรุงเทพมหานคร","en":"Bangkok"},"amphoe_name":{"th":"หนองจอก","en":"Nong Chok District"},"tumbon_name":{"th":"กระทุ่มราย","en":"Krathum Rai"},"province_code":"10","province_name":{"th":"กรุงเทพมหานคร","en":"Bangkok"}},"station":{"id":174,"canal_name":{"th":"ค.ลำปลาทิว ถ.สังฆสันติสุข"},"canal_lat":13.85366,"canal_long":100.86679,"canal_oldcode":"WL.LPT.01","bank":2,"warning_level":0.9,"critical_level":1.1}}</x:t>
  </x:si>
  <x:si>
    <x:t xml:space="preserve">THAIWATER:57</x:t>
  </x:si>
  <x:si>
    <x:t xml:space="preserve">WL.BSU.06</x:t>
  </x:si>
  <x:si>
    <x:t xml:space="preserve">ค.บางซื่อ ถ.รัชดาฯ</x:t>
  </x:si>
  <x:si>
    <x:t xml:space="preserve">{"canal_datetime":"2026-09-28 13:20","canal_value":-0.33,"canal_out":0,"agency":{"agency_name":{"th":"สำนักการระบายน้ำ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Bangkok","jp":""}},"geocode":{"area_code":"1","area_name":{"th":"กรุงเทพมหานคร","en":"Bangkok"},"amphoe_name":{"th":"ดินแดง","en":"Din Daeng District"},"tumbon_name":{"th":"ดินแดง","en":"Din Daeng"},"province_code":"10","province_name":{"th":"กรุงเทพมหานคร","en":"Bangkok"}},"station":{"id":57,"canal_name":{"th":"ค.บางซื่อ ถ.รัชดาฯ"},"canal_lat":13.79624,"canal_long":100.57422,"canal_oldcode":"WL.BSU.06","bank":1.9,"warning_level":0.1,"critical_level":0.2}}</x:t>
  </x:si>
  <x:si>
    <x:t xml:space="preserve">THAIWATER:152</x:t>
  </x:si>
  <x:si>
    <x:t xml:space="preserve">WL.TWW.04</x:t>
  </x:si>
  <x:si>
    <x:t xml:space="preserve">ค.ทวีฯ-บางเชือกหนัง</x:t>
  </x:si>
  <x:si>
    <x:t xml:space="preserve">{"canal_datetime":"2026-09-28 13:20","canal_value":0.92,"canal_out":0,"agency":{"agency_name":{"th":"สำนักการระบายน้ำ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Bangkok","jp":""}},"geocode":{"area_code":"1","area_name":{"th":"กรุงเทพมหานคร","en":"Bangkok"},"amphoe_name":{"th":"บางแค","en":"Bang Khae District"},"tumbon_name":{"th":"บางไผ่","en":"Bang Phai"},"province_code":"10","province_name":{"th":"กรุงเทพมหานคร","en":"Bangkok"}},"station":{"id":152,"canal_name":{"th":"ค.ทวีฯ-บางเชือกหนัง"},"canal_lat":13.75063,"canal_long":100.3534,"canal_oldcode":"WL.TWW.04","bank":1.83,"warning_level":0.8,"critical_level":0.9}}</x:t>
  </x:si>
  <x:si>
    <x:t xml:space="preserve">THAIWATER:282</x:t>
  </x:si>
  <x:si>
    <x:t xml:space="preserve">WL.KSO.02</x:t>
  </x:si>
  <x:si>
    <x:t xml:space="preserve">ค.ซอย ถ.ศาลาธรรมสพน์</x:t>
  </x:si>
  <x:si>
    <x:t xml:space="preserve">{"canal_datetime":"2026-09-28 13:20","canal_value":0.93,"canal_out":0,"agency":{"agency_name":{"th":"สำนักการระบายน้ำ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Bangkok","jp":""}},"geocode":{"area_code":"1","area_name":{"th":"กรุงเทพมหานคร","en":"Bangkok"},"amphoe_name":{"th":"ทวีวัฒนา","en":"Thawi Watthana District"},"tumbon_name":{"th":"ศาลาธรรมสพน์","en":"Sala Thammasop"},"province_code":"10","province_name":{"th":"กรุงเทพมหานคร","en":"Bangkok"}},"station":{"id":282,"canal_name":{"th":"ค.ซอย ถ.ศาลาธรรมสพน์"},"canal_lat":13.80014,"canal_long":100.34874,"canal_oldcode":"WL.KSO.02","bank":2,"warning_level":0.9,"critical_level":1}}</x:t>
  </x:si>
  <x:si>
    <x:t xml:space="preserve">THAIWATER:9</x:t>
  </x:si>
  <x:si>
    <x:t xml:space="preserve">LP02</x:t>
  </x:si>
  <x:si>
    <x:t xml:space="preserve">คลองลาดพร้าวช่วงวัดลาดพร้าว เขตลาดพร้าว</x:t>
  </x:si>
  <x:si>
    <x:t xml:space="preserve">{"canal_datetime":"2019-12-24 14:38","canal_value":-0.033,"canal_out":0,"agency":{"agency_name":{"th":"สำนักการระบายน้ำ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District"},"tumbon_name":{"th":"สามเสนนอก","en":"Sam Sen Nok"},"province_code":"10","province_name":{"th":"กรุงเทพมหานคร","en":"Bangkok"}},"station":{"id":9,"canal_name":{"th":"คลองลาดพร้าวช่วงวัดลาดพร้าว เขตลาดพร้าว"},"canal_lat":13.803017,"canal_long":100.588259,"canal_oldcode":"LP02","bank":null,"warning_level":null,"critical_level":null}}</x:t>
  </x:si>
  <x:si>
    <x:t xml:space="preserve">THAIWATER:3</x:t>
  </x:si>
  <x:si>
    <x:t xml:space="preserve">BS01</x:t>
  </x:si>
  <x:si>
    <x:t xml:space="preserve">คลองบางซื่อช่วง ถ.พระรามที่ 5 เขตบางซื่อ</x:t>
  </x:si>
  <x:si>
    <x:t xml:space="preserve">{"canal_datetime":"2019-12-24 14:38","canal_value":-0.095,"canal_out":0,"agency":{"agency_name":{"th":"สำนักการระบายน้ำ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Bangkok","jp":""}},"geocode":{"area_code":"1","area_name":{"th":"กรุงเทพมหานคร","en":"Bangkok"},"amphoe_name":{"th":"ดุสิต","en":"Dusit District"},"tumbon_name":{"th":"ถนนนครไชยศรี","en":"Thanon Nakhon Chaisi"},"province_code":"10","province_name":{"th":"กรุงเทพมหานคร","en":"Bangkok"}},"station":{"id":3,"canal_name":{"th":"คลองบางซื่อช่วง ถ.พระรามที่ 5 เขตบางซื่อ"},"canal_lat":13.798166,"canal_long":100.532279,"canal_oldcode":"BS01","bank":null,"warning_level":null,"critical_level":null}}</x:t>
  </x:si>
  <x:si>
    <x:t xml:space="preserve">THAIWATER:8</x:t>
  </x:si>
  <x:si>
    <x:t xml:space="preserve">SA04</x:t>
  </x:si>
  <x:si>
    <x:t xml:space="preserve">คลองสามเสนช่วง ถ.เอกมัย เขตห้วยขวาง</x:t>
  </x:si>
  <x:si>
    <x:t xml:space="preserve">{"canal_datetime":"2019-12-24 14:38","canal_value":-0.936,"canal_out":0,"agency":{"agency_name":{"th":"สำนักการระบายน้ำ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District"},"tumbon_name":{"th":"บางกะปิ","en":"Bang Kapi"},"province_code":"10","province_name":{"th":"กรุงเทพมหานคร","en":"Bangkok"}},"station":{"id":8,"canal_name":{"th":"คลองสามเสนช่วง ถ.เอกมัย เขตห้วยขวาง"},"canal_lat":13.750381,"canal_long":100.592702,"canal_oldcode":"SA04","bank":null,"warning_level":null,"critical_level":null}}</x:t>
  </x:si>
  <x:si>
    <x:t xml:space="preserve">THAIWATER:295</x:t>
  </x:si>
  <x:si>
    <x:t xml:space="preserve">WL.BKL.01</x:t>
  </x:si>
  <x:si>
    <x:t xml:space="preserve">ค.บางโคลัด ถ.บางบอน 1</x:t>
  </x:si>
  <x:si>
    <x:t xml:space="preserve">บางบอน</x:t>
  </x:si>
  <x:si>
    <x:t xml:space="preserve">2024-05-14T13:50:00+07:00</x:t>
  </x:si>
  <x:si>
    <x:t xml:space="preserve">{"canal_datetime":"2024-05-14 13:50","canal_value":-0.19,"canal_out":0,"agency":{"agency_name":{"th":"สำนักการระบายน้ำ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Bangkok","jp":""}},"geocode":{"area_code":"1","area_name":{"th":"กรุงเทพมหานคร","en":"Bangkok"},"amphoe_name":{"th":"บางบอน","en":"Bang Bon District"},"tumbon_name":{"th":"บางบอน","en":"Bang Bon"},"province_code":"10","province_name":{"th":"กรุงเทพมหานคร","en":"Bangkok"}},"station":{"id":295,"canal_name":{"th":"ค.บางโคลัด ถ.บางบอน 1"},"canal_lat":13.68658,"canal_long":100.42615,"canal_oldcode":"WL.BKL.01","bank":1.4,"warning_level":1.65,"critical_level":1.85}}</x:t>
  </x:si>
  <x:si>
    <x:t xml:space="preserve">THAIWATER:200</x:t>
  </x:si>
  <x:si>
    <x:t xml:space="preserve">WL.KNK.01</x:t>
  </x:si>
  <x:si>
    <x:t xml:space="preserve">ค.คูนายกิม ถ.ประชาอุทิศ</x:t>
  </x:si>
  <x:si>
    <x:t xml:space="preserve">2024-04-23T16:05:00+07:00</x:t>
  </x:si>
  <x:si>
    <x:t xml:space="preserve">{"canal_datetime":"2024-04-23 16:05","canal_value":-0.02,"canal_out":0,"agency":{"agency_name":{"th":"สำนักการระบายน้ำ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Bangkok","jp":""}},"geocode":{"area_code":"1","area_name":{"th":"กรุงเทพมหานคร","en":"Bangkok"},"amphoe_name":{"th":"ดอนเมือง","en":"Don Mueang District"},"tumbon_name":{"th":"สีกัน","en":"Si Kan"},"province_code":"10","province_name":{"th":"กรุงเทพมหานคร","en":"Bangkok"}},"station":{"id":200,"canal_name":{"th":"ค.คูนายกิม ถ.ประชาอุทิศ"},"canal_lat":13.9272,"canal_long":100.58565,"canal_oldcode":"WL.KNK.01","bank":2,"warning_level":0.7,"critical_level":0.9}}</x:t>
  </x:si>
  <x:si>
    <x:t xml:space="preserve">THAIWATER:175</x:t>
  </x:si>
  <x:si>
    <x:t xml:space="preserve">WL.LPT.04</x:t>
  </x:si>
  <x:si>
    <x:t xml:space="preserve">ค.ลำปลาทิว ซ.เชื่อมสัมพันธ์ 25</x:t>
  </x:si>
  <x:si>
    <x:t xml:space="preserve">2024-08-19T21:55:00+07:00</x:t>
  </x:si>
  <x:si>
    <x:t xml:space="preserve">{"canal_datetime":"2024-08-19 21:55","canal_value":2,"canal_out":0,"agency":{"agency_name":{"th":"สำนักการระบายน้ำ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Bangkok","jp":""}},"geocode":{"area_code":"1","area_name":{"th":"กรุงเทพมหานคร","en":"Bangkok"},"amphoe_name":{"th":"หนองจอก","en":"Nong Chok District"},"tumbon_name":{"th":"โคกแฝด","en":"Khok Faet"},"province_code":"10","province_name":{"th":"กรุงเทพมหานคร","en":"Bangkok"}},"station":{"id":175,"canal_name":{"th":"ค.ลำปลาทิว ซ.เชื่อมสัมพันธ์ 25"},"canal_lat":13.81747,"canal_long":100.85013,"canal_oldcode":"WL.LPT.04","bank":2,"warning_level":0.8,"critical_level":0.9}}</x:t>
  </x:si>
  <x:si>
    <x:t xml:space="preserve">THAIWATER:297</x:t>
  </x:si>
  <x:si>
    <x:t xml:space="preserve">WL.WKT.01</x:t>
  </x:si>
  <x:si>
    <x:t xml:space="preserve">ค.วัดไก่เตี้ย ส.คลองวัดไก่เตี้ย</x:t>
  </x:si>
  <x:si>
    <x:t xml:space="preserve">ตลิ่งชัน</x:t>
  </x:si>
  <x:si>
    <x:t xml:space="preserve">{"canal_datetime":"2026-09-28 13:20","canal_value":0.02,"canal_out":0,"agency":{"agency_name":{"th":"สำนักการระบายน้ำ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Bangkok","jp":""}},"geocode":{"area_code":"1","area_name":{"th":"กรุงเทพมหานคร","en":"Bangkok"},"amphoe_name":{"th":"ตลิ่งชัน","en":"Taling Chan District"},"tumbon_name":{"th":"ตลิ่งชัน","en":"Taling Chan"},"province_code":"10","province_name":{"th":"กรุงเทพมหานคร","en":"Bangkok"}},"station":{"id":297,"canal_name":{"th":"ค.วัดไก่เตี้ย ส.คลองวัดไก่เตี้ย"},"canal_lat":13.78422,"canal_long":100.46424,"canal_oldcode":"WL.WKT.01","bank":2,"warning_level":1.65,"critical_level":1.85}}</x:t>
  </x:si>
  <x:si>
    <x:t xml:space="preserve">THAIWATER:278</x:t>
  </x:si>
  <x:si>
    <x:t xml:space="preserve">WL.BLP.02</x:t>
  </x:si>
  <x:si>
    <x:t xml:space="preserve">ค.บางลำพู สะพานผ่านฟ้า</x:t>
  </x:si>
  <x:si>
    <x:t xml:space="preserve">{"canal_datetime":"2026-09-28 13:20","canal_value":-0.24,"canal_out":0,"agency":{"agency_name":{"th":"สำนักการระบายน้ำ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Bangkok","jp":""}},"geocode":{"area_code":"1","area_name":{"th":"กรุงเทพมหานคร","en":"Bangkok"},"amphoe_name":{"th":"พระนคร","en":"Phra Nakhon District"},"tumbon_name":{"th":"บ้านพานถม","en":"Ban Phan Thom"},"province_code":"10","province_name":{"th":"กรุงเทพมหานคร","en":"Bangkok"}},"station":{"id":278,"canal_name":{"th":"ค.บางลำพู สะพานผ่านฟ้า"},"canal_lat":13.75655,"canal_long":100.50563,"canal_oldcode":"WL.BLP.02","bank":1,"warning_level":1.65,"critical_level":1.85}}</x:t>
  </x:si>
  <x:si>
    <x:t xml:space="preserve">THAIWATER:56</x:t>
  </x:si>
  <x:si>
    <x:t xml:space="preserve">WL.BSU.05</x:t>
  </x:si>
  <x:si>
    <x:t xml:space="preserve">ค.บางซื่อ ถ.วิภาวดีฯ</x:t>
  </x:si>
  <x:si>
    <x:t xml:space="preserve">2026-09-28T01:30:00+07:00</x:t>
  </x:si>
  <x:si>
    <x:t xml:space="preserve">{"canal_datetime":"2026-09-28 01:30","canal_value":-0.79,"canal_out":0,"agency":{"agency_name":{"th":"สำนักการระบายน้ำ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Bangkok","jp":""}},"geocode":{"area_code":"1","area_name":{"th":"กรุงเทพมหานคร","en":"Bangkok"},"amphoe_name":{"th":"ดินแดง","en":"Din Daeng District"},"tumbon_name":{"th":"ดินแดง","en":"Din Daeng"},"province_code":"10","province_name":{"th":"กรุงเทพมหานคร","en":"Bangkok"}},"station":{"id":56,"canal_name":{"th":"ค.บางซื่อ ถ.วิภาวดีฯ"},"canal_lat":13.79486,"canal_long":100.56157,"canal_oldcode":"WL.BSU.05","bank":1.9,"warning_level":0.3,"critical_level":0.5}}</x:t>
  </x:si>
  <x:si>
    <x:t xml:space="preserve">THAIWATER:244</x:t>
  </x:si>
  <x:si>
    <x:t xml:space="preserve">WL.KSI.02</x:t>
  </x:si>
  <x:si>
    <x:t xml:space="preserve">ค.สี่ ถ.เจ้าคุณทหาร</x:t>
  </x:si>
  <x:si>
    <x:t xml:space="preserve">2026-09-27T03:40:00+07:00</x:t>
  </x:si>
  <x:si>
    <x:t xml:space="preserve">{"canal_datetime":"2026-09-27 03:40","canal_value":1.05,"canal_out":0,"agency":{"agency_name":{"th":"สำนักการระบายน้ำ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Bangkok","jp":""}},"geocode":{"area_code":"1","area_name":{"th":"กรุงเทพมหานคร","en":"Bangkok"},"amphoe_name":{"th":"ลาดกระบัง","en":"Lat Krabang District"},"tumbon_name":{"th":"คลองสามประเวศ","en":"Khlong Sam Prawet"},"province_code":"10","province_name":{"th":"กรุงเทพมหานคร","en":"Bangkok"}},"station":{"id":244,"canal_name":{"th":"ค.สี่ ถ.เจ้าคุณทหาร"},"canal_lat":13.75363,"canal_long":100.7689,"canal_oldcode":"WL.KSI.02","bank":1,"warning_level":0.5,"critical_level":0.6}}</x:t>
  </x:si>
  <x:si>
    <x:t xml:space="preserve">THAIWATER:177</x:t>
  </x:si>
  <x:si>
    <x:t xml:space="preserve">WL.LPT.03</x:t>
  </x:si>
  <x:si>
    <x:t xml:space="preserve">ค.ลำปลาทิว ซ.ฉลองกรุง 8</x:t>
  </x:si>
  <x:si>
    <x:t xml:space="preserve">2026-09-28T01:55:00+07:00</x:t>
  </x:si>
  <x:si>
    <x:t xml:space="preserve">{"canal_datetime":"2026-09-28 01:55","canal_value":0.94,"canal_out":0,"agency":{"agency_name":{"th":"สำนักการระบายน้ำ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Bangkok","jp":""}},"geocode":{"area_code":"1","area_name":{"th":"กรุงเทพมหานคร","en":"Bangkok"},"amphoe_name":{"th":"ลาดกระบัง","en":"Lat Krabang District"},"tumbon_name":{"th":"ลำปลาทิว","en":"Lam Pla Thio"},"province_code":"10","province_name":{"th":"กรุงเทพมหานคร","en":"Bangkok"}},"station":{"id":177,"canal_name":{"th":"ค.ลำปลาทิว ซ.ฉลองกรุง 8"},"canal_lat":13.74068,"canal_long":100.79474,"canal_oldcode":"WL.LPT.03","bank":0.5,"warning_level":0.5,"critical_level":0.6}}</x:t>
  </x:si>
  <x:si>
    <x:t xml:space="preserve">THAIWATER:45</x:t>
  </x:si>
  <x:si>
    <x:t xml:space="preserve">WL.BJK.03</x:t>
  </x:si>
  <x:si>
    <x:t xml:space="preserve">ค.บางจาก-ค.บางหว้า </x:t>
  </x:si>
  <x:si>
    <x:t xml:space="preserve">{"canal_datetime":"2026-09-28 13:20","canal_value":0.5,"canal_out":0,"agency":{"agency_name":{"th":"สำนักการระบายน้ำ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Bangkok","jp":""}},"geocode":{"area_code":"1","area_name":{"th":"กรุงเทพมหานคร","en":"Bangkok"},"amphoe_name":{"th":"ภาษีเจริญ","en":"Phasi Charoen District"},"tumbon_name":{"th":"บางด้วน","en":"Bang Duan"},"province_code":"10","province_name":{"th":"กรุงเทพมหานคร","en":"Bangkok"}},"station":{"id":45,"canal_name":{"th":"ค.บางจาก-ค.บางหว้า "},"canal_lat":13.71868,"canal_long":100.44174,"canal_oldcode":"WL.BJK.03","bank":1.07,"warning_level":0.6,"critical_level":0.7}}</x:t>
  </x:si>
  <x:si>
    <x:t xml:space="preserve">THAIWATER:247</x:t>
  </x:si>
  <x:si>
    <x:t xml:space="preserve">WL.TPK.03</x:t>
  </x:si>
  <x:si>
    <x:t xml:space="preserve">ค.ตาพุก ค.ทับช้างบน</x:t>
  </x:si>
  <x:si>
    <x:t xml:space="preserve">{"canal_datetime":"2026-09-28 13:20","canal_value":0.89,"canal_out":0,"agency":{"agency_name":{"th":"สำนักการระบายน้ำ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Bangkok","jp":""}},"geocode":{"area_code":"1","area_name":{"th":"กรุงเทพมหานคร","en":"Bangkok"},"amphoe_name":{"th":"สะพานสูง","en":"Saphan Sung District"},"tumbon_name":{"th":"สะพานสูง","en":"Saphan Sung"},"province_code":"10","province_name":{"th":"กรุงเทพมหานคร","en":"Bangkok"}},"station":{"id":247,"canal_name":{"th":"ค.ตาพุก ค.ทับช้างบน"},"canal_lat":13.74247,"canal_long":100.70891,"canal_oldcode":"WL.TPK.03","bank":1,"warning_level":0.3,"critical_level":0.4}}</x:t>
  </x:si>
  <x:si>
    <x:t xml:space="preserve">THAIWATER:142</x:t>
  </x:si>
  <x:si>
    <x:t xml:space="preserve">WL.TWW.05</x:t>
  </x:si>
  <x:si>
    <x:t xml:space="preserve">ค.ทวีวัฒนา-ภาษีฯ</x:t>
  </x:si>
  <x:si>
    <x:t xml:space="preserve">{"canal_datetime":"2026-09-28 13:20","canal_value":0.75,"canal_out":0,"agency":{"agency_name":{"th":"สำนักการระบายน้ำ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Bangkok","jp":""}},"geocode":{"area_code":"1","area_name":{"th":"กรุงเทพมหานคร","en":"Bangkok"},"amphoe_name":{"th":"หนองแขม","en":"Nong Khaem District"},"tumbon_name":{"th":"หนองแขม","en":"Nong Khaem"},"province_code":"10","province_name":{"th":"กรุงเทพมหานคร","en":"Bangkok"}},"station":{"id":142,"canal_name":{"th":"ค.ทวีวัฒนา-ภาษีฯ"},"canal_lat":13.69163,"canal_long":100.38106,"canal_oldcode":"WL.TWW.05","bank":1.85,"warning_level":0.6,"critical_level":0.7}}</x:t>
  </x:si>
  <x:si>
    <x:t xml:space="preserve">THAIWATER:50</x:t>
  </x:si>
  <x:si>
    <x:t xml:space="preserve">WL.BPM.01</x:t>
  </x:si>
  <x:si>
    <x:t xml:space="preserve">ค.บางพรม-ค.ชักพระ</x:t>
  </x:si>
  <x:si>
    <x:t xml:space="preserve">{"canal_datetime":"2026-09-28 13:20","canal_value":0.31,"canal_out":0,"agency":{"agency_name":{"th":"สำนักการระบายน้ำ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Bangkok","jp":""}},"geocode":{"area_code":"1","area_name":{"th":"กรุงเทพมหานคร","en":"Bangkok"},"amphoe_name":{"th":"ตลิ่งชัน","en":"Taling Chan District"},"tumbon_name":{"th":"บางระมาด","en":"Bang Ramat"},"province_code":"10","province_name":{"th":"กรุงเทพมหานคร","en":"Bangkok"}},"station":{"id":50,"canal_name":{"th":"ค.บางพรม-ค.ชักพระ"},"canal_lat":13.75973,"canal_long":100.45337,"canal_oldcode":"WL.BPM.01","bank":1.87,"warning_level":0.6,"critical_level":0.7}}</x:t>
  </x:si>
  <x:si>
    <x:t xml:space="preserve">THAIWATER:226</x:t>
  </x:si>
  <x:si>
    <x:t xml:space="preserve">WL.CYI.02</x:t>
  </x:si>
  <x:si>
    <x:t xml:space="preserve">ค.ชวดใหญ่ ถ.พระราม 9</x:t>
  </x:si>
  <x:si>
    <x:t xml:space="preserve">{"canal_datetime":"2026-09-28 13:15","canal_value":-0.1,"canal_out":0,"agency":{"agency_name":{"th":"สำนักการระบายน้ำ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District"},"tumbon_name":{"th":"บางกะปิ","en":"Bang Kapi"},"province_code":"10","province_name":{"th":"กรุงเทพมหานคร","en":"Bangkok"}},"station":{"id":226,"canal_name":{"th":"ค.ชวดใหญ่ ถ.พระราม 9"},"canal_lat":13.75502,"canal_long":100.58113,"canal_oldcode":"WL.CYI.02","bank":1.85,"warning_level":-0.1,"critical_level":0}}</x:t>
  </x:si>
  <x:si>
    <x:t xml:space="preserve">THAIWATER:82</x:t>
  </x:si>
  <x:si>
    <x:t xml:space="preserve">WL.PWT.03</x:t>
  </x:si>
  <x:si>
    <x:t xml:space="preserve">ปตร.คลองประเวศฯ-วัดกระทุ่มฯ</x:t>
  </x:si>
  <x:si>
    <x:t xml:space="preserve">ประเวศ</x:t>
  </x:si>
  <x:si>
    <x:t xml:space="preserve">{"canal_datetime":"2026-09-28 13:15","canal_value":0.72,"canal_out":0.73,"agency":{"agency_name":{"th":"สำนักการระบายน้ำ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Bangkok","jp":""}},"geocode":{"area_code":"1","area_name":{"th":"กรุงเทพมหานคร","en":"Bangkok"},"amphoe_name":{"th":"ประเวศ","en":"Prawet District"},"tumbon_name":{"th":"ประเวศ","en":"Prawet"},"province_code":"10","province_name":{"th":"กรุงเทพมหานคร","en":"Bangkok"}},"station":{"id":82,"canal_name":{"th":"ปตร.คลองประเวศฯ-วัดกระทุ่มฯ"},"canal_lat":13.72396,"canal_long":100.68956,"canal_oldcode":"WL.PWT.03","bank":1.98,"warning_level":0.3,"critical_level":0.4}}</x:t>
  </x:si>
  <x:si>
    <x:t xml:space="preserve">THAIWATER:117</x:t>
  </x:si>
  <x:si>
    <x:t xml:space="preserve">WL.NKW.01</x:t>
  </x:si>
  <x:si>
    <x:t xml:space="preserve">ค.น้ำแก้ว-รัชดาฯ</x:t>
  </x:si>
  <x:si>
    <x:t xml:space="preserve">2021-10-29T09:35:00+07:00</x:t>
  </x:si>
  <x:si>
    <x:t xml:space="preserve">{"canal_datetime":"2021-10-29 09:35","canal_value":-0.87,"canal_out":0,"agency":{"agency_name":{"th":"สำนักการระบายน้ำ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District"},"tumbon_name":{"th":"สามเสนนอก","en":"Sam Sen Nok"},"province_code":"10","province_name":{"th":"กรุงเทพมหานคร","en":"Bangkok"}},"station":{"id":117,"canal_name":{"th":"ค.น้ำแก้ว-รัชดาฯ"},"canal_lat":13.80104,"canal_long":100.57494,"canal_oldcode":"WL.NKW.01","bank":null,"warning_level":null,"critical_level":null}}</x:t>
  </x:si>
  <x:si>
    <x:t xml:space="preserve">THAIWATER:78</x:t>
  </x:si>
  <x:si>
    <x:t xml:space="preserve">WL.SSN.08</x:t>
  </x:si>
  <x:si>
    <x:t xml:space="preserve">ส.สามเสน-ค.แสนแสบ</x:t>
  </x:si>
  <x:si>
    <x:t xml:space="preserve">{"canal_datetime":"2026-09-28 13:20","canal_value":0.12,"canal_out":0.21,"agency":{"agency_name":{"th":"สำนักการระบายน้ำ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District"},"tumbon_name":{"th":"บางกะปิ","en":"Bang Kapi"},"province_code":"10","province_name":{"th":"กรุงเทพมหานคร","en":"Bangkok"}},"station":{"id":78,"canal_name":{"th":"ส.สามเสน-ค.แสนแสบ"},"canal_lat":13.74851,"canal_long":100.59904,"canal_oldcode":"WL.SSN.08","bank":1.98,"warning_level":-0.1,"critical_level":0}}</x:t>
  </x:si>
  <x:si>
    <x:t xml:space="preserve">THAIWATER:192</x:t>
  </x:si>
  <x:si>
    <x:t xml:space="preserve">WL.BLY.01</x:t>
  </x:si>
  <x:si>
    <x:t xml:space="preserve">ค.บ้านหลาย ถ.สุขุมวิท 77</x:t>
  </x:si>
  <x:si>
    <x:t xml:space="preserve">สวนหลวง</x:t>
  </x:si>
  <x:si>
    <x:t xml:space="preserve">{"canal_datetime":"2026-09-28 13:20","canal_value":0.15,"canal_out":0,"agency":{"agency_name":{"th":"สำนักการระบายน้ำ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Bangkok","jp":""}},"geocode":{"area_code":"1","area_name":{"th":"กรุงเทพมหานคร","en":"Bangkok"},"amphoe_name":{"th":"สวนหลวง","en":"Suan Luang District"},"tumbon_name":{"th":"สวนหลวง","en":"Suan Luang"},"province_code":"10","province_name":{"th":"กรุงเทพมหานคร","en":"Bangkok"}},"station":{"id":192,"canal_name":{"th":"ค.บ้านหลาย ถ.สุขุมวิท 77"},"canal_lat":13.70918,"canal_long":100.6217,"canal_oldcode":"WL.BLY.01","bank":0.6,"warning_level":-0.5,"critical_level":-0.4}}</x:t>
  </x:si>
  <x:si>
    <x:t xml:space="preserve">THAIWATER:197</x:t>
  </x:si>
  <x:si>
    <x:t xml:space="preserve">WL.HKG.01</x:t>
  </x:si>
  <x:si>
    <x:t xml:space="preserve">ค.ห้วยขวาง ถ.ประชาสงเคราะห์</x:t>
  </x:si>
  <x:si>
    <x:t xml:space="preserve">{"canal_datetime":"2026-09-28 13:20","canal_value":-0.34,"canal_out":0,"agency":{"agency_name":{"th":"สำนักการระบายน้ำ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Bangkok","jp":""}},"geocode":{"area_code":"1","area_name":{"th":"กรุงเทพมหานคร","en":"Bangkok"},"amphoe_name":{"th":"ดินแดง","en":"Din Daeng District"},"tumbon_name":{"th":"ดินแดง","en":"Din Daeng"},"province_code":"10","province_name":{"th":"กรุงเทพมหานคร","en":"Bangkok"}},"station":{"id":197,"canal_name":{"th":"ค.ห้วยขวาง ถ.ประชาสงเคราะห์"},"canal_lat":13.77814,"canal_long":100.57206,"canal_oldcode":"WL.HKG.01","bank":0,"warning_level":-0.2,"critical_level":0}}</x:t>
  </x:si>
  <x:si>
    <x:t xml:space="preserve">THAIWATER:210</x:t>
  </x:si>
  <x:si>
    <x:t xml:space="preserve">WL.KLA.01</x:t>
  </x:si>
  <x:si>
    <x:t xml:space="preserve">ค.ลาว ถ.พัฒนาการ</x:t>
  </x:si>
  <x:si>
    <x:t xml:space="preserve">{"canal_datetime":"2026-09-28 13:20","canal_value":0.54,"canal_out":0,"agency":{"agency_name":{"th":"สำนักการระบายน้ำ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Bangkok","jp":""}},"geocode":{"area_code":"1","area_name":{"th":"กรุงเทพมหานคร","en":"Bangkok"},"amphoe_name":{"th":"สวนหลวง","en":"Suan Luang District"},"tumbon_name":{"th":"สวนหลวง","en":"Suan Luang"},"province_code":"10","province_name":{"th":"กรุงเทพมหานคร","en":"Bangkok"}},"station":{"id":210,"canal_name":{"th":"ค.ลาว ถ.พัฒนาการ"},"canal_lat":13.73722,"canal_long":100.62499,"canal_oldcode":"WL.KLA.01","bank":1.26,"warning_level":-0.2,"critical_level":0}}</x:t>
  </x:si>
  <x:si>
    <x:t xml:space="preserve">THAIWATER:92</x:t>
  </x:si>
  <x:si>
    <x:t xml:space="preserve">WL.SRG.01</x:t>
  </x:si>
  <x:si>
    <x:t xml:space="preserve">ส.คลองสำโรง</x:t>
  </x:si>
  <x:si>
    <x:t xml:space="preserve">เมืองสมุทรปราการ</x:t>
  </x:si>
  <x:si>
    <x:t xml:space="preserve">{"canal_datetime":"2026-09-28 13:20","canal_value":0.2,"canal_out":0.98,"agency":{"agency_name":{"th":"สำนักการระบายน้ำ กรุงเทพมหานคร","en":"Department of Bangkok","jp":""}},"geocode":{"area_code":"2","area_name":{"th":"ภาคกลาง","en":"Central"},"amphoe_name":{"th":"เมืองสมุทรปราการ","en":"Mueang Samut Prakan District"},"tumbon_name":{"th":"เทพารักษ์","en":"Thepharak"},"province_code":"11","province_name":{"th":"สมุทรปราการ","en":"Samut Prakan"}},"station":{"id":92,"canal_name":{"th":"ส.คลองสำโรง"},"canal_lat":13.64855,"canal_long":100.59523,"canal_oldcode":"WL.SRG.01","bank":1.98,"warning_level":1.5,"critical_level":1.8}}</x:t>
  </x:si>
  <x:si>
    <x:t xml:space="preserve">THAIWATER:219</x:t>
  </x:si>
  <x:si>
    <x:t xml:space="preserve">WL.LBK.03</x:t>
  </x:si>
  <x:si>
    <x:t xml:space="preserve">ค.ลาดบัวขาว ซ.กาญจนาภิเษก 24</x:t>
  </x:si>
  <x:si>
    <x:t xml:space="preserve">{"canal_datetime":"2026-09-28 13:20","canal_value":0.89,"canal_out":0,"agency":{"agency_name":{"th":"สำนักการระบายน้ำ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Bangkok","jp":""}},"geocode":{"area_code":"1","area_name":{"th":"กรุงเทพมหานคร","en":"Bangkok"},"amphoe_name":{"th":"สะพานสูง","en":"Saphan Sung District"},"tumbon_name":{"th":"สะพานสูง","en":"Saphan Sung"},"province_code":"10","province_name":{"th":"กรุงเทพมหานคร","en":"Bangkok"}},"station":{"id":219,"canal_name":{"th":"ค.ลาดบัวขาว ซ.กาญจนาภิเษก 24"},"canal_lat":13.74974,"canal_long":100.70291,"canal_oldcode":"WL.LBK.03","bank":1.85,"warning_level":0.3,"critical_level":0.4}}</x:t>
  </x:si>
  <x:si>
    <x:t xml:space="preserve">THAIWATER:235</x:t>
  </x:si>
  <x:si>
    <x:t xml:space="preserve">WL.NSG.01</x:t>
  </x:si>
  <x:si>
    <x:t xml:space="preserve">ค.นาซอง ถ.ประชาสุข</x:t>
  </x:si>
  <x:si>
    <x:t xml:space="preserve">{"canal_datetime":"2026-09-28 13:20","canal_value":-2,"canal_out":0,"agency":{"agency_name":{"th":"สำนักการระบายน้ำ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Bangkok","jp":""}},"geocode":{"area_code":"1","area_name":{"th":"กรุงเทพมหานคร","en":"Bangkok"},"amphoe_name":{"th":"ดินแดง","en":"Din Daeng District"},"tumbon_name":{"th":"ดินแดง","en":"Din Daeng"},"province_code":"10","province_name":{"th":"กรุงเทพมหานคร","en":"Bangkok"}},"station":{"id":235,"canal_name":{"th":"ค.นาซอง ถ.ประชาสุข"},"canal_lat":13.77895,"canal_long":100.56654,"canal_oldcode":"WL.NSG.01","bank":1.85,"warning_level":0,"critical_level":0.1}}</x:t>
  </x:si>
  <x:si>
    <x:t xml:space="preserve">THAIWATER:127</x:t>
  </x:si>
  <x:si>
    <x:t xml:space="preserve">WL.SSB.03</x:t>
  </x:si>
  <x:si>
    <x:t xml:space="preserve">ค.แสนแสบ-อโศก</x:t>
  </x:si>
  <x:si>
    <x:t xml:space="preserve">{"canal_datetime":"2026-09-28 13:20","canal_value":0.14,"canal_out":0,"agency":{"agency_name":{"th":"สำนักการระบายน้ำ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Bangkok","jp":""}},"geocode":{"area_code":"1","area_name":{"th":"กรุงเทพมหานคร","en":"Bangkok"},"amphoe_name":{"th":"วัฒนา","en":"Vadhana District"},"tumbon_name":{"th":"คลองเตยเหนือ","en":"Khlong Toei Nuea"},"province_code":"10","province_name":{"th":"กรุงเทพมหานคร","en":"Bangkok"}},"station":{"id":127,"canal_name":{"th":"ค.แสนแสบ-อโศก"},"canal_lat":13.74783,"canal_long":100.56304,"canal_oldcode":"WL.SSB.03","bank":1.9,"warning_level":0,"critical_level":0.15}}</x:t>
  </x:si>
  <x:si>
    <x:t xml:space="preserve">THAIWATER:272</x:t>
  </x:si>
  <x:si>
    <x:t xml:space="preserve">WL.BMK.01</x:t>
  </x:si>
  <x:si>
    <x:t xml:space="preserve">ค.บางมะเขือ ถ.สุขุมวิท 71</x:t>
  </x:si>
  <x:si>
    <x:t xml:space="preserve">{"canal_datetime":"2026-09-28 13:20","canal_value":-1.5,"canal_out":0,"agency":{"agency_name":{"th":"สำนักการระบายน้ำ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Bangkok","jp":""}},"geocode":{"area_code":"1","area_name":{"th":"กรุงเทพมหานคร","en":"Bangkok"},"amphoe_name":{"th":"วัฒนา","en":"Vadhana District"},"tumbon_name":{"th":"พระโขนงเหนือ","en":"Phra Khanong Nuea"},"province_code":"10","province_name":{"th":"กรุงเทพมหานคร","en":"Bangkok"}},"station":{"id":272,"canal_name":{"th":"ค.บางมะเขือ ถ.สุขุมวิท 71"},"canal_lat":13.71693,"canal_long":100.59558,"canal_oldcode":"WL.BMK.01","bank":0,"warning_level":-0.3,"critical_level":0}}</x:t>
  </x:si>
  <x:si>
    <x:t xml:space="preserve">THAIWATER:214</x:t>
  </x:si>
  <x:si>
    <x:t xml:space="preserve">WL.LPG.03</x:t>
  </x:si>
  <x:si>
    <x:t xml:space="preserve">ค.หลวงแพ่ง วัดลำต้อยติ่ง</x:t>
  </x:si>
  <x:si>
    <x:t xml:space="preserve">{"canal_datetime":"2026-09-28 13:20","canal_value":1.02,"canal_out":0,"agency":{"agency_name":{"th":"สำนักการระบายน้ำ กรุงเทพมหานคร","en":"Department of Bangkok","jp":""}},"geocode":{"area_code":"2","area_name":{"th":"ภาคกลาง","en":"Central"},"amphoe_name":{"th":"เมืองฉะเชิงเทรา","en":"Mueang Chachoengsao District"},"tumbon_name":{"th":"คลองหลวงแพ่ง","en":"KHLONG LUANG PHAENG"},"province_code":"24","province_name":{"th":"ฉะเชิงเทรา","en":"Chachoengsao"}},"station":{"id":214,"canal_name":{"th":"ค.หลวงแพ่ง วัดลำต้อยติ่ง"},"canal_lat":13.75489,"canal_long":100.88956,"canal_oldcode":"WL.LPG.03","bank":1.85,"warning_level":0.6,"critical_level":0.7}}</x:t>
  </x:si>
  <x:si>
    <x:t xml:space="preserve">THAIWATER:669</x:t>
  </x:si>
  <x:si>
    <x:t xml:space="preserve">WL.BSU.07</x:t>
  </x:si>
  <x:si>
    <x:t xml:space="preserve">ค.บางซื่อ ถ.ลาดพร้าว</x:t>
  </x:si>
  <x:si>
    <x:t xml:space="preserve">{"canal_datetime":"2026-09-28 13:20","canal_value":0.21,"canal_out":0,"agency":{"agency_name":{"th":"สำนักการระบายน้ำ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District"},"tumbon_name":{"th":"สามเสนนอก","en":"Sam Sen Nok"},"province_code":"10","province_name":{"th":"กรุงเทพมหานคร","en":"Bangkok"}},"station":{"id":669,"canal_name":{"th":"ค.บางซื่อ ถ.ลาดพร้าว"},"canal_lat":13.79875,"canal_long":100.58655,"canal_oldcode":"WL.BSU.07","bank":null,"warning_level":null,"critical_level":null}}</x:t>
  </x:si>
  <x:si>
    <x:t xml:space="preserve">THAIWATER:182</x:t>
  </x:si>
  <x:si>
    <x:t xml:space="preserve">WL.CKS.02</x:t>
  </x:si>
  <x:si>
    <x:t xml:space="preserve">ค.เจ้าคุณสิงห์ ถ.ลาดพร้าว</x:t>
  </x:si>
  <x:si>
    <x:t xml:space="preserve">{"canal_datetime":"2026-09-28 13:20","canal_value":0.25,"canal_out":0,"agency":{"agency_name":{"th":"สำนักการระบายน้ำ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Bangkok","jp":""}},"geocode":{"area_code":"1","area_name":{"th":"กรุงเทพมหานคร","en":"Bangkok"},"amphoe_name":{"th":"วังทองหลาง","en":"Wang Thonglang District"},"tumbon_name":{"th":"วังทองหลาง","en":"Wang Thong Lang"},"province_code":"10","province_name":{"th":"กรุงเทพมหานคร","en":"Bangkok"}},"station":{"id":182,"canal_name":{"th":"ค.เจ้าคุณสิงห์ ถ.ลาดพร้าว"},"canal_lat":13.78408,"canal_long":100.61341,"canal_oldcode":"WL.CKS.02","bank":1,"warning_level":-0.2,"critical_level":0}}</x:t>
  </x:si>
  <x:si>
    <x:t xml:space="preserve">THAIWATER:109</x:t>
  </x:si>
  <x:si>
    <x:t xml:space="preserve">WL.KPM.01</x:t>
  </x:si>
  <x:si>
    <x:t xml:space="preserve">ค.เปรมฯ-อุโมงค์</x:t>
  </x:si>
  <x:si>
    <x:t xml:space="preserve">{"canal_datetime":"2026-09-28 13:20","canal_value":0.66,"canal_out":0,"agency":{"agency_name":{"th":"สำนักการระบายน้ำ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Bangkok","jp":""}},"geocode":{"area_code":"1","area_name":{"th":"กรุงเทพมหานคร","en":"Bangkok"},"amphoe_name":{"th":"บางซื่อ","en":"Bang Sue District"},"tumbon_name":{"th":"บางซื่อ","en":"Bang Sue"},"province_code":"10","province_name":{"th":"กรุงเทพมหานคร","en":"Bangkok"}},"station":{"id":109,"canal_name":{"th":"ค.เปรมฯ-อุโมงค์"},"canal_lat":13.80463,"canal_long":100.53595,"canal_oldcode":"WL.KPM.01","bank":1.85,"warning_level":0.3,"critical_level":0.4}}</x:t>
  </x:si>
  <x:si>
    <x:t xml:space="preserve">THAIWATER:97</x:t>
  </x:si>
  <x:si>
    <x:t xml:space="preserve">WL.VPV.01</x:t>
  </x:si>
  <x:si>
    <x:t xml:space="preserve">ส.รัชดา-วิภาวดี</x:t>
  </x:si>
  <x:si>
    <x:t xml:space="preserve">{"canal_datetime":"2026-09-28 13:20","canal_value":-1.24,"canal_out":0,"agency":{"agency_name":{"th":"สำนักการระบายน้ำ กรุงเทพมหานคร","en":"Department of Bangkok","jp":""}},"geocode":{"area_code":"2","area_name":{"th":"ภาคกลาง","en":"Central"},"amphoe_name":{"th":"จตุจักร","en":"Chatuchak District"},"tumbon_name":{"th":"จตุจักร","en":"Chatuchak"},"province_code":"10","province_name":{"th":"กรุงเทพมหานคร","en":"Bangkok"}},"station":{"id":97,"canal_name":{"th":"ส.รัชดา-วิภาวดี"},"canal_lat":13.83021,"canal_long":100.5571,"canal_oldcode":"WL.VPV.01","bank":1.85,"warning_level":0.2,"critical_level":0.3}}</x:t>
  </x:si>
  <x:si>
    <x:t xml:space="preserve">THAIWATER:211</x:t>
  </x:si>
  <x:si>
    <x:t xml:space="preserve">WL.SSB.02</x:t>
  </x:si>
  <x:si>
    <x:t xml:space="preserve">ค.แสนแสบ ซ.สมคิด</x:t>
  </x:si>
  <x:si>
    <x:t xml:space="preserve">2026-03-23T23:20:00+07:00</x:t>
  </x:si>
  <x:si>
    <x:t xml:space="preserve">{"canal_datetime":"2026-03-23 23:20","canal_value":-0.33,"canal_out":0,"agency":{"agency_name":{"th":"สำนักการระบายน้ำ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Bangkok","jp":""}},"geocode":{"area_code":"1","area_name":{"th":"กรุงเทพมหานคร","en":"Bangkok"},"amphoe_name":{"th":"ปทุมวัน","en":"Pathum Wan District"},"tumbon_name":{"th":"ลุมพินี","en":"Lumphini"},"province_code":"10","province_name":{"th":"กรุงเทพมหานคร","en":"Bangkok"}},"station":{"id":211,"canal_name":{"th":"ค.แสนแสบ ซ.สมคิด"},"canal_lat":13.74846,"canal_long":100.54583,"canal_oldcode":"WL.SSB.02","bank":1.85,"warning_level":0,"critical_level":0.1}}</x:t>
  </x:si>
  <x:si>
    <x:t xml:space="preserve">THAIWATER:252</x:t>
  </x:si>
  <x:si>
    <x:t xml:space="preserve">WL.SNO.01</x:t>
  </x:si>
  <x:si>
    <x:t xml:space="preserve">ค.เสือน้อย ถ.สุคนธสวัสดิ์</x:t>
  </x:si>
  <x:si>
    <x:t xml:space="preserve">{"canal_datetime":"2026-09-28 13:20","canal_value":-0.12,"canal_out":0,"agency":{"agency_name":{"th":"สำนักการระบายน้ำ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Bangkok","jp":""}},"geocode":{"area_code":"1","area_name":{"th":"กรุงเทพมหานคร","en":"Bangkok"},"amphoe_name":{"th":"ลาดพร้าว","en":"Lat Phrao District"},"tumbon_name":{"th":"ลาดพร้าว","en":"Lat Phrao"},"province_code":"10","province_name":{"th":"กรุงเทพมหานคร","en":"Bangkok"}},"station":{"id":252,"canal_name":{"th":"ค.เสือน้อย ถ.สุคนธสวัสดิ์"},"canal_lat":13.82306,"canal_long":100.60897,"canal_oldcode":"WL.SNO.01","bank":1,"warning_level":0.3,"critical_level":0.4}}</x:t>
  </x:si>
  <x:si>
    <x:t xml:space="preserve">THAIWATER:130</x:t>
  </x:si>
  <x:si>
    <x:t xml:space="preserve">WL.SSB.08</x:t>
  </x:si>
  <x:si>
    <x:t xml:space="preserve">ค.แสนแสบ-เสรีไทย 24</x:t>
  </x:si>
  <x:si>
    <x:t xml:space="preserve">{"canal_datetime":"2026-09-28 13:20","canal_value":0.8,"canal_out":0,"agency":{"agency_name":{"th":"สำนักการระบายน้ำ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Bangkok","jp":""}},"geocode":{"area_code":"1","area_name":{"th":"กรุงเทพมหานคร","en":"Bangkok"},"amphoe_name":{"th":"สะพานสูง","en":"Saphan Sung District"},"tumbon_name":{"th":"สะพานสูง","en":"Saphan Sung"},"province_code":"10","province_name":{"th":"กรุงเทพมหานคร","en":"Bangkok"}},"station":{"id":130,"canal_name":{"th":"ค.แสนแสบ-เสรีไทย 24"},"canal_lat":13.7805,"canal_long":100.67387,"canal_oldcode":"WL.SSB.08","bank":1.91,"warning_level":0.35,"critical_level":0.45}}</x:t>
  </x:si>
  <x:si>
    <x:t xml:space="preserve">THAIWATER:67</x:t>
  </x:si>
  <x:si>
    <x:t xml:space="preserve">WL.SSB.10</x:t>
  </x:si>
  <x:si>
    <x:t xml:space="preserve">ปตร.คลองแสนแสบ-ถ.ประชาร่วมใจ</x:t>
  </x:si>
  <x:si>
    <x:t xml:space="preserve">มีนบุรี</x:t>
  </x:si>
  <x:si>
    <x:t xml:space="preserve">{"canal_datetime":"2026-09-28 13:20","canal_value":1.01,"canal_out":1.24,"agency":{"agency_name":{"th":"สำนักการระบายน้ำ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Bangkok","jp":""}},"geocode":{"area_code":"1","area_name":{"th":"กรุงเทพมหานคร","en":"Bangkok"},"amphoe_name":{"th":"มีนบุรี","en":"Min Buri District"},"tumbon_name":{"th":"มีนบุรี","en":"Min Buri"},"province_code":"10","province_name":{"th":"กรุงเทพมหานคร","en":"Bangkok"}},"station":{"id":67,"canal_name":{"th":"ปตร.คลองแสนแสบ-ถ.ประชาร่วมใจ"},"canal_lat":13.82094,"canal_long":100.74738,"canal_oldcode":"WL.SSB.10","bank":1.98,"warning_level":0.6,"critical_level":0.9}}</x:t>
  </x:si>
  <x:si>
    <x:t xml:space="preserve">THAIWATER:204</x:t>
  </x:si>
  <x:si>
    <x:t xml:space="preserve">WL.KKD.01</x:t>
  </x:si>
  <x:si>
    <x:t xml:space="preserve">ค.เคล็ด ถ.สุขุมวิท 77</x:t>
  </x:si>
  <x:si>
    <x:t xml:space="preserve">{"canal_datetime":"2026-09-28 13:20","canal_value":0.33,"canal_out":0,"agency":{"agency_name":{"th":"สำนักการระบายน้ำ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Bangkok","jp":""}},"geocode":{"area_code":"1","area_name":{"th":"กรุงเทพมหานคร","en":"Bangkok"},"amphoe_name":{"th":"สวนหลวง","en":"Suan Luang District"},"tumbon_name":{"th":"สวนหลวง","en":"Suan Luang"},"province_code":"10","province_name":{"th":"กรุงเทพมหานคร","en":"Bangkok"}},"station":{"id":204,"canal_name":{"th":"ค.เคล็ด ถ.สุขุมวิท 77"},"canal_lat":13.7091,"canal_long":100.6307,"canal_oldcode":"WL.KKD.01","bank":0.9,"warning_level":0.5,"critical_level":0.6}}</x:t>
  </x:si>
  <x:si>
    <x:t xml:space="preserve">THAIWATER:106</x:t>
  </x:si>
  <x:si>
    <x:t xml:space="preserve">WL.PWT.05</x:t>
  </x:si>
  <x:si>
    <x:t xml:space="preserve">ค.ประเวศฯ-รพ.ลาดกระบัง</x:t>
  </x:si>
  <x:si>
    <x:t xml:space="preserve">{"canal_datetime":"2026-09-28 13:15","canal_value":0.99,"canal_out":0,"agency":{"agency_name":{"th":"สำนักการระบายน้ำ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Bangkok","jp":""}},"geocode":{"area_code":"1","area_name":{"th":"กรุงเทพมหานคร","en":"Bangkok"},"amphoe_name":{"th":"ลาดกระบัง","en":"Lat Krabang District"},"tumbon_name":{"th":"ลาดกระบัง","en":"Lat Krabang"},"province_code":"10","province_name":{"th":"กรุงเทพมหานคร","en":"Bangkok"}},"station":{"id":106,"canal_name":{"th":"ค.ประเวศฯ-รพ.ลาดกระบัง"},"canal_lat":13.72396,"canal_long":100.78399,"canal_oldcode":"WL.PWT.05","bank":1.85,"warning_level":0.55,"critical_level":0.65}}</x:t>
  </x:si>
  <x:si>
    <x:t xml:space="preserve">THAIWATER:169</x:t>
  </x:si>
  <x:si>
    <x:t xml:space="preserve">WL.PSR.05</x:t>
  </x:si>
  <x:si>
    <x:t xml:space="preserve">ค.พระยาสุเรนทร์ ปัญญาอินทรา</x:t>
  </x:si>
  <x:si>
    <x:t xml:space="preserve">คันนายาว</x:t>
  </x:si>
  <x:si>
    <x:t xml:space="preserve">{"canal_datetime":"2026-09-28 13:20","canal_value":1.28,"canal_out":0,"agency":{"agency_name":{"th":"สำนักการระบายน้ำ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Bangkok","jp":""}},"geocode":{"area_code":"1","area_name":{"th":"กรุงเทพมหานคร","en":"Bangkok"},"amphoe_name":{"th":"คันนายาว","en":"Khan Na Yao District"},"tumbon_name":{"th":"คันนายาว","en":"Khan Na Yao"},"province_code":"10","province_name":{"th":"กรุงเทพมหานคร","en":"Bangkok"}},"station":{"id":169,"canal_name":{"th":"ค.พระยาสุเรนทร์ ปัญญาอินทรา"},"canal_lat":13.83698,"canal_long":100.68803,"canal_oldcode":"WL.PSR.05","bank":1,"warning_level":0.7,"critical_level":0.8}}</x:t>
  </x:si>
  <x:si>
    <x:t xml:space="preserve">THAIWATER:264</x:t>
  </x:si>
  <x:si>
    <x:t xml:space="preserve">WL.SCO.01</x:t>
  </x:si>
  <x:si>
    <x:t xml:space="preserve">ค.ศาลเจ้า ถ.สวนผัก</x:t>
  </x:si>
  <x:si>
    <x:t xml:space="preserve">{"canal_datetime":"2026-09-28 13:20","canal_value":-0.11,"canal_out":0,"agency":{"agency_name":{"th":"สำนักการระบายน้ำ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Bangkok","jp":""}},"geocode":{"area_code":"1","area_name":{"th":"กรุงเทพมหานคร","en":"Bangkok"},"amphoe_name":{"th":"ตลิ่งชัน","en":"Taling Chan District"},"tumbon_name":{"th":"ตลิ่งชัน","en":"Taling Chan"},"province_code":"10","province_name":{"th":"กรุงเทพมหานคร","en":"Bangkok"}},"station":{"id":264,"canal_name":{"th":"ค.ศาลเจ้า ถ.สวนผัก"},"canal_lat":13.79815,"canal_long":100.44488,"canal_oldcode":"WL.SCO.01","bank":1,"warning_level":0.6,"critical_level":0.7}}</x:t>
  </x:si>
  <x:si>
    <x:t xml:space="preserve">THAIWATER:138</x:t>
  </x:si>
  <x:si>
    <x:t xml:space="preserve">WL.PSC.03</x:t>
  </x:si>
  <x:si>
    <x:t xml:space="preserve">ค.ราชมนตรี-ภาษีเจริญ</x:t>
  </x:si>
  <x:si>
    <x:t xml:space="preserve">{"canal_datetime":"2026-09-28 13:20","canal_value":0.45,"canal_out":0,"agency":{"agency_name":{"th":"สำนักการระบายน้ำ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Bangkok","jp":""}},"geocode":{"area_code":"1","area_name":{"th":"กรุงเทพมหานคร","en":"Bangkok"},"amphoe_name":{"th":"บางแค","en":"Bang Khae District"},"tumbon_name":{"th":"บางแค","en":"Bang Khae"},"province_code":"10","province_name":{"th":"กรุงเทพมหานคร","en":"Bangkok"}},"station":{"id":138,"canal_name":{"th":"ค.ราชมนตรี-ภาษีเจริญ"},"canal_lat":13.70818,"canal_long":100.42615,"canal_oldcode":"WL.PSC.03","bank":1.87,"warning_level":0.6,"critical_level":0.7}}</x:t>
  </x:si>
  <x:si>
    <x:t xml:space="preserve">THAIWATER:163</x:t>
  </x:si>
  <x:si>
    <x:t xml:space="preserve">WL.SSN.03</x:t>
  </x:si>
  <x:si>
    <x:t xml:space="preserve">ค.สามเสน ถ.พระราม 6</x:t>
  </x:si>
  <x:si>
    <x:t xml:space="preserve">2026-02-21T12:05:00+07:00</x:t>
  </x:si>
  <x:si>
    <x:t xml:space="preserve">{"canal_datetime":"2026-02-21 12:05","canal_value":-0.54,"canal_out":0,"agency":{"agency_name":{"th":"สำนักการระบายน้ำ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Bangkok","jp":""}},"geocode":{"area_code":"1","area_name":{"th":"กรุงเทพมหานคร","en":"Bangkok"},"amphoe_name":{"th":"พญาไท","en":"Phaya Thai District"},"tumbon_name":{"th":"สามเสนใน","en":"Sam Sen Nai"},"province_code":"10","province_name":{"th":"กรุงเทพมหานคร","en":"Bangkok"}},"station":{"id":163,"canal_name":{"th":"ค.สามเสน ถ.พระราม 6"},"canal_lat":13.77284,"canal_long":100.53,"canal_oldcode":"WL.SSN.03","bank":1,"warning_level":0.3,"critical_level":0.4}}</x:t>
  </x:si>
  <x:si>
    <x:t xml:space="preserve">THAIWATER:245</x:t>
  </x:si>
  <x:si>
    <x:t xml:space="preserve">WL.KSI.01</x:t>
  </x:si>
  <x:si>
    <x:t xml:space="preserve">ค.สี่ ถ.สุวินทวงศ์</x:t>
  </x:si>
  <x:si>
    <x:t xml:space="preserve">2026-09-28T00:15:00+07:00</x:t>
  </x:si>
  <x:si>
    <x:t xml:space="preserve">{"canal_datetime":"2026-09-28 00:15","canal_value":1.11,"canal_out":0,"agency":{"agency_name":{"th":"สำนักการระบายน้ำ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Bangkok","jp":""}},"geocode":{"area_code":"1","area_name":{"th":"กรุงเทพมหานคร","en":"Bangkok"},"amphoe_name":{"th":"มีนบุรี","en":"Min Buri District"},"tumbon_name":{"th":"แสนแสบ","en":"Saen Saep"},"province_code":"10","province_name":{"th":"กรุงเทพมหานคร","en":"Bangkok"}},"station":{"id":245,"canal_name":{"th":"ค.สี่ ถ.สุวินทวงศ์"},"canal_lat":13.81383,"canal_long":100.76524,"canal_oldcode":"WL.KSI.01","bank":2,"warning_level":0.8,"critical_level":0.9}}</x:t>
  </x:si>
  <x:si>
    <x:t xml:space="preserve">THAIWATER:268</x:t>
  </x:si>
  <x:si>
    <x:t xml:space="preserve">WL.CNS.04</x:t>
  </x:si>
  <x:si>
    <x:t xml:space="preserve">ค.ช่องนนทรี ถ.สาทรใต้</x:t>
  </x:si>
  <x:si>
    <x:t xml:space="preserve">2021-09-03T10:45:00+07:00</x:t>
  </x:si>
  <x:si>
    <x:t xml:space="preserve">{"canal_datetime":"2021-09-03 10:45","canal_value":-0.49,"canal_out":0,"agency":{"agency_name":{"th":"สำนักการระบายน้ำ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Bangkok","jp":""}},"geocode":{"area_code":"1","area_name":{"th":"กรุงเทพมหานคร","en":"Bangkok"},"amphoe_name":{"th":"สาทร","en":"Sathon District"},"tumbon_name":{"th":"ยานนาวา","en":"Yan Nawa"},"province_code":"10","province_name":{"th":"กรุงเทพมหานคร","en":"Bangkok"}},"station":{"id":268,"canal_name":{"th":"ค.ช่องนนทรี ถ.สาทรใต้"},"canal_lat":13.71979,"canal_long":100.53124,"canal_oldcode":"WL.CNS.04","bank":null,"warning_level":null,"critical_level":null}}</x:t>
  </x:si>
  <x:si>
    <x:t xml:space="preserve">THAIWATER:188</x:t>
  </x:si>
  <x:si>
    <x:t xml:space="preserve">WL.SPP.01</x:t>
  </x:si>
  <x:si>
    <x:t xml:space="preserve">บ่อสูบน้ำสะพานพรหม</x:t>
  </x:si>
  <x:si>
    <x:t xml:space="preserve">2022-10-07T11:30:00+07:00</x:t>
  </x:si>
  <x:si>
    <x:t xml:space="preserve">{"canal_datetime":"2022-10-07 11:30","canal_value":-1.17,"canal_out":0,"agency":{"agency_name":{"th":"สำนักการระบายน้ำ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Bangkok","jp":""}},"geocode":{"area_code":"1","area_name":{"th":"กรุงเทพมหานคร","en":"Bangkok"},"amphoe_name":{"th":"ราชเทวี","en":"Ratchathewi District"},"tumbon_name":{"th":"ถนนพญาไท","en":"Thanon Phaya Thai"},"province_code":"10","province_name":{"th":"กรุงเทพมหานคร","en":"Bangkok"}},"station":{"id":188,"canal_name":{"th":"บ่อสูบน้ำสะพานพรหม"},"canal_lat":13.76308,"canal_long":100.54288,"canal_oldcode":"WL.SPP.01","bank":0.6,"warning_level":0.2,"critical_level":0.3}}</x:t>
  </x:si>
  <x:si>
    <x:t xml:space="preserve">THAIWATER:122</x:t>
  </x:si>
  <x:si>
    <x:t xml:space="preserve">WL.SSN.02</x:t>
  </x:si>
  <x:si>
    <x:t xml:space="preserve">ค.สามเสน ถ.พระราม 5</x:t>
  </x:si>
  <x:si>
    <x:t xml:space="preserve">{"canal_datetime":"2026-09-28 13:20","canal_value":-0.45,"canal_out":0,"agency":{"agency_name":{"th":"สำนักการระบายน้ำ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Bangkok","jp":""}},"geocode":{"area_code":"1","area_name":{"th":"กรุงเทพมหานคร","en":"Bangkok"},"amphoe_name":{"th":"ดุสิต","en":"Dusit District"},"tumbon_name":{"th":"สวนจิตรลดา","en":"Suan Chitlada"},"province_code":"10","province_name":{"th":"กรุงเทพมหานคร","en":"Bangkok"}},"station":{"id":122,"canal_name":{"th":"ค.สามเสน ถ.พระราม 5"},"canal_lat":13.77772,"canal_long":100.52121,"canal_oldcode":"WL.SSN.02","bank":1.94,"warning_level":0.4,"critical_level":0.5}}</x:t>
  </x:si>
  <x:si>
    <x:t xml:space="preserve">THAIWATER:123</x:t>
  </x:si>
  <x:si>
    <x:t xml:space="preserve">WL.SSN.04</x:t>
  </x:si>
  <x:si>
    <x:t xml:space="preserve">ค.สามเสน-ถ.พหลฯ</x:t>
  </x:si>
  <x:si>
    <x:t xml:space="preserve">2026-09-27T16:00:00+07:00</x:t>
  </x:si>
  <x:si>
    <x:t xml:space="preserve">{"canal_datetime":"2026-09-27 16:00","canal_value":-0.25,"canal_out":0,"agency":{"agency_name":{"th":"สำนักการระบายน้ำ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Bangkok","jp":""}},"geocode":{"area_code":"1","area_name":{"th":"กรุงเทพมหานคร","en":"Bangkok"},"amphoe_name":{"th":"ราชเทวี","en":"Ratchathewi District"},"tumbon_name":{"th":"ถนนพญาไท","en":"Thanon Phaya Thai"},"province_code":"10","province_name":{"th":"กรุงเทพมหานคร","en":"Bangkok"}},"station":{"id":123,"canal_name":{"th":"ค.สามเสน-ถ.พหลฯ"},"canal_lat":13.76551,"canal_long":100.5396,"canal_oldcode":"WL.SSN.04","bank":1.9,"warning_level":0.2,"critical_level":0.3}}</x:t>
  </x:si>
  <x:si>
    <x:t xml:space="preserve">THAIWATER:101</x:t>
  </x:si>
  <x:si>
    <x:t xml:space="preserve">WL.SSM.01</x:t>
  </x:si>
  <x:si>
    <x:t xml:space="preserve">ปตร.คลองสิบสาม</x:t>
  </x:si>
  <x:si>
    <x:t xml:space="preserve">{"canal_datetime":"2026-09-28 13:20","canal_value":1.39,"canal_out":0,"agency":{"agency_name":{"th":"สำนักการระบายน้ำ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Bangkok","jp":""}},"geocode":{"area_code":"1","area_name":{"th":"กรุงเทพมหานคร","en":"Bangkok"},"amphoe_name":{"th":"หนองจอก","en":"Nong Chok District"},"tumbon_name":{"th":"หนองจอก","en":"Nong Chok"},"province_code":"10","province_name":{"th":"กรุงเทพมหานคร","en":"Bangkok"}},"station":{"id":101,"canal_name":{"th":"ปตร.คลองสิบสาม"},"canal_lat":13.85874,"canal_long":100.86779,"canal_oldcode":"WL.SSM.01","bank":1.98,"warning_level":1.6,"critical_level":1.7}}</x:t>
  </x:si>
  <x:si>
    <x:t xml:space="preserve">THAIWATER:149</x:t>
  </x:si>
  <x:si>
    <x:t xml:space="preserve">WL.BSK.01</x:t>
  </x:si>
  <x:si>
    <x:t xml:space="preserve">ส.คลองบางไส้ไก่</x:t>
  </x:si>
  <x:si>
    <x:t xml:space="preserve">ธนบุรี</x:t>
  </x:si>
  <x:si>
    <x:t xml:space="preserve">{"canal_datetime":"2026-09-28 13:20","canal_value":-0.64,"canal_out":0.71,"agency":{"agency_name":{"th":"สำนักการระบายน้ำ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Bangkok","jp":""}},"geocode":{"area_code":"1","area_name":{"th":"กรุงเทพมหานคร","en":"Bangkok"},"amphoe_name":{"th":"ธนบุรี","en":"Thon Buri District"},"tumbon_name":{"th":"สำเหร่","en":"Samre"},"province_code":"10","province_name":{"th":"กรุงเทพมหานคร","en":"Bangkok"}},"station":{"id":149,"canal_name":{"th":"ส.คลองบางไส้ไก่"},"canal_lat":13.70682,"canal_long":100.49744,"canal_oldcode":"WL.BSK.01","bank":2.8,"warning_level":2.6,"critical_level":2.8}}</x:t>
  </x:si>
  <x:si>
    <x:t xml:space="preserve">THAIWATER:206</x:t>
  </x:si>
  <x:si>
    <x:t xml:space="preserve">WL.KKD.03</x:t>
  </x:si>
  <x:si>
    <x:t xml:space="preserve">ค.เคล็ด ถ.ศรีนครินทร์ </x:t>
  </x:si>
  <x:si>
    <x:t xml:space="preserve">2026-09-28T00:10:00+07:00</x:t>
  </x:si>
  <x:si>
    <x:t xml:space="preserve">{"canal_datetime":"2026-09-28 00:10","canal_value":-0.08,"canal_out":0,"agency":{"agency_name":{"th":"สำนักการระบายน้ำ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Bangkok","jp":""}},"geocode":{"area_code":"1","area_name":{"th":"กรุงเทพมหานคร","en":"Bangkok"},"amphoe_name":{"th":"บางนา","en":"Bang Na District"},"tumbon_name":{"th":"บางนา","en":"Bang Na"},"province_code":"10","province_name":{"th":"กรุงเทพมหานคร","en":"Bangkok"}},"station":{"id":206,"canal_name":{"th":"ค.เคล็ด ถ.ศรีนครินทร์ "},"canal_lat":13.67123,"canal_long":100.6439,"canal_oldcode":"WL.KKD.03","bank":1,"warning_level":0.8,"critical_level":1}}</x:t>
  </x:si>
  <x:si>
    <x:t xml:space="preserve">THAIWATER:69</x:t>
  </x:si>
  <x:si>
    <x:t xml:space="preserve">WL.BKG.01</x:t>
  </x:si>
  <x:si>
    <x:t xml:space="preserve">ปตร.คลองบึงขวาง</x:t>
  </x:si>
  <x:si>
    <x:t xml:space="preserve">{"canal_datetime":"2026-09-28 13:20","canal_value":0.8,"canal_out":-2,"agency":{"agency_name":{"th":"สำนักการระบายน้ำ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Bangkok","jp":""}},"geocode":{"area_code":"1","area_name":{"th":"กรุงเทพมหานคร","en":"Bangkok"},"amphoe_name":{"th":"มีนบุรี","en":"Min Buri District"},"tumbon_name":{"th":"แสนแสบ","en":"Saen Saep"},"province_code":"10","province_name":{"th":"กรุงเทพมหานคร","en":"Bangkok"}},"station":{"id":69,"canal_name":{"th":"ปตร.คลองบึงขวาง"},"canal_lat":13.79955,"canal_long":100.74475,"canal_oldcode":"WL.BKG.01","bank":1.98,"warning_level":0.6,"critical_level":0.8}}</x:t>
  </x:si>
  <x:si>
    <x:t xml:space="preserve">THAIWATER:102</x:t>
  </x:si>
  <x:si>
    <x:t xml:space="preserve">WL.SSB.11</x:t>
  </x:si>
  <x:si>
    <x:t xml:space="preserve">ค.แสนแสบ-วัดทรัพย์ฯ</x:t>
  </x:si>
  <x:si>
    <x:t xml:space="preserve">{"canal_datetime":"2026-09-28 13:20","canal_value":1,"canal_out":0,"agency":{"agency_name":{"th":"สำนักการระบายน้ำ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Bangkok","jp":""}},"geocode":{"area_code":"1","area_name":{"th":"กรุงเทพมหานคร","en":"Bangkok"},"amphoe_name":{"th":"มีนบุรี","en":"Min Buri District"},"tumbon_name":{"th":"แสนแสบ","en":"Saen Saep"},"province_code":"10","province_name":{"th":"กรุงเทพมหานคร","en":"Bangkok"}},"station":{"id":102,"canal_name":{"th":"ค.แสนแสบ-วัดทรัพย์ฯ"},"canal_lat":13.85141,"canal_long":100.80344,"canal_oldcode":"WL.SSB.11","bank":1.85,"warning_level":0.7,"critical_level":0.8}}</x:t>
  </x:si>
  <x:si>
    <x:t xml:space="preserve">THAIWATER:172</x:t>
  </x:si>
  <x:si>
    <x:t xml:space="preserve">WL.STN.02</x:t>
  </x:si>
  <x:si>
    <x:t xml:space="preserve">ค.สองต้นน่น ซ.ร่มเกล้า 20</x:t>
  </x:si>
  <x:si>
    <x:t xml:space="preserve">{"canal_datetime":"2026-09-28 13:20","canal_value":0.97,"canal_out":0,"agency":{"agency_name":{"th":"สำนักการระบายน้ำ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Bangkok","jp":""}},"geocode":{"area_code":"1","area_name":{"th":"กรุงเทพมหานคร","en":"Bangkok"},"amphoe_name":{"th":"ลาดกระบัง","en":"Lat Krabang District"},"tumbon_name":{"th":"คลองสองต้นนุ่น","en":"Khlong Song Ton Nun"},"province_code":"10","province_name":{"th":"กรุงเทพมหานคร","en":"Bangkok"}},"station":{"id":172,"canal_name":{"th":"ค.สองต้นน่น ซ.ร่มเกล้า 20"},"canal_lat":13.7771,"canal_long":100.73883,"canal_oldcode":"WL.STN.02","bank":1,"warning_level":0.4,"critical_level":0.6}}</x:t>
  </x:si>
  <x:si>
    <x:t xml:space="preserve">THAIWATER:161</x:t>
  </x:si>
  <x:si>
    <x:t xml:space="preserve">WL.KPM.05</x:t>
  </x:si>
  <x:si>
    <x:t xml:space="preserve">ค.เปรมประชากร ถ.สรงประภา</x:t>
  </x:si>
  <x:si>
    <x:t xml:space="preserve">2026-09-28T08:45:00+07:00</x:t>
  </x:si>
  <x:si>
    <x:t xml:space="preserve">{"canal_datetime":"2026-09-28 08:45","canal_value":1.59,"canal_out":0,"agency":{"agency_name":{"th":"สำนักการระบายน้ำ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Bangkok","jp":""}},"geocode":{"area_code":"1","area_name":{"th":"กรุงเทพมหานคร","en":"Bangkok"},"amphoe_name":{"th":"ดอนเมือง","en":"Don Mueang District"},"tumbon_name":{"th":"สีกัน","en":"Si Kan"},"province_code":"10","province_name":{"th":"กรุงเทพมหานคร","en":"Bangkok"}},"station":{"id":161,"canal_name":{"th":"ค.เปรมประชากร ถ.สรงประภา"},"canal_lat":13.92316,"canal_long":100.60051,"canal_oldcode":"WL.KPM.05","bank":2,"warning_level":0.7,"critical_level":0.8}}</x:t>
  </x:si>
  <x:si>
    <x:t xml:space="preserve">THAIWATER:207</x:t>
  </x:si>
  <x:si>
    <x:t xml:space="preserve">WL.KSK.01</x:t>
  </x:si>
  <x:si>
    <x:t xml:space="preserve">ค.ขุนสกล ซ.ศรีนครินทร์ 36</x:t>
  </x:si>
  <x:si>
    <x:t xml:space="preserve">{"canal_datetime":"2026-09-28 13:20","canal_value":0.28,"canal_out":0,"agency":{"agency_name":{"th":"สำนักการระบายน้ำ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Bangkok","jp":""}},"geocode":{"area_code":"1","area_name":{"th":"กรุงเทพมหานคร","en":"Bangkok"},"amphoe_name":{"th":"สวนหลวง","en":"Suan Luang District"},"tumbon_name":{"th":"สวนหลวง","en":"Suan Luang"},"province_code":"10","province_name":{"th":"กรุงเทพมหานคร","en":"Bangkok"}},"station":{"id":207,"canal_name":{"th":"ค.ขุนสกล ซ.ศรีนครินทร์ 36"},"canal_lat":13.70346,"canal_long":100.64388,"canal_oldcode":"WL.KSK.01","bank":0.9,"warning_level":-0.5,"critical_level":-0.4}}</x:t>
  </x:si>
  <x:si>
    <x:t xml:space="preserve">THAIWATER:93</x:t>
  </x:si>
  <x:si>
    <x:t xml:space="preserve">WL.SSB.12</x:t>
  </x:si>
  <x:si>
    <x:t xml:space="preserve">ส.คลองแสนแสบ หนองจอก</x:t>
  </x:si>
  <x:si>
    <x:t xml:space="preserve">{"canal_datetime":"2026-09-28 13:20","canal_value":1.29,"canal_out":1.5,"agency":{"agency_name":{"th":"สำนักการระบายน้ำ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Bangkok","jp":""}},"geocode":{"area_code":"1","area_name":{"th":"กรุงเทพมหานคร","en":"Bangkok"},"amphoe_name":{"th":"หนองจอก","en":"Nong Chok District"},"tumbon_name":{"th":"กระทุ่มราย","en":"Krathum Rai"},"province_code":"10","province_name":{"th":"กรุงเทพมหานคร","en":"Bangkok"}},"station":{"id":93,"canal_name":{"th":"ส.คลองแสนแสบ หนองจอก"},"canal_lat":13.85537,"canal_long":100.8721,"canal_oldcode":"WL.SSB.12","bank":1.98,"warning_level":1,"critical_level":1.1}}</x:t>
  </x:si>
  <x:si>
    <x:t xml:space="preserve">THAIWATER:196</x:t>
  </x:si>
  <x:si>
    <x:t xml:space="preserve">WL.LCL.02</x:t>
  </x:si>
  <x:si>
    <x:t xml:space="preserve">ค.ลำชะล่า ซ.นวมินทร์ 86</x:t>
  </x:si>
  <x:si>
    <x:t xml:space="preserve">{"canal_datetime":"2026-09-28 13:20","canal_value":1.03,"canal_out":0,"agency":{"agency_name":{"th":"สำนักการระบายน้ำ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Bangkok","jp":""}},"geocode":{"area_code":"1","area_name":{"th":"กรุงเทพมหานคร","en":"Bangkok"},"amphoe_name":{"th":"บึงกุ่ม","en":"Bueng Kum District"},"tumbon_name":{"th":"คลองกุ่ม","en":"Khlong Kum"},"province_code":"10","province_name":{"th":"กรุงเทพมหานคร","en":"Bangkok"}},"station":{"id":196,"canal_name":{"th":"ค.ลำชะล่า ซ.นวมินทร์ 86"},"canal_lat":13.8242,"canal_long":100.66005,"canal_oldcode":"WL.LCL.02","bank":1.2,"warning_level":0.5,"critical_level":0.6}}</x:t>
  </x:si>
  <x:si>
    <x:t xml:space="preserve">THAIWATER:267</x:t>
  </x:si>
  <x:si>
    <x:t xml:space="preserve">WL.CNS.03</x:t>
  </x:si>
  <x:si>
    <x:t xml:space="preserve">ค.ช่องนนทรี ถ.จันทน์</x:t>
  </x:si>
  <x:si>
    <x:t xml:space="preserve">2025-08-31T10:40:00+07:00</x:t>
  </x:si>
  <x:si>
    <x:t xml:space="preserve">{"canal_datetime":"2025-08-31 10:40","canal_value":0,"canal_out":0,"agency":{"agency_name":{"th":"สำนักการระบายน้ำ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Bangkok","jp":""}},"geocode":{"area_code":"1","area_name":{"th":"กรุงเทพมหานคร","en":"Bangkok"},"amphoe_name":{"th":"สาทร","en":"Sathon District"},"tumbon_name":{"th":"ทุ่งวัดดอน","en":"Thung Wat Don"},"province_code":"10","province_name":{"th":"กรุงเทพมหานคร","en":"Bangkok"}},"station":{"id":267,"canal_name":{"th":"ค.ช่องนนทรี ถ.จันทน์"},"canal_lat":13.70724,"canal_long":100.53762,"canal_oldcode":"WL.CNS.03","bank":1,"warning_level":0.5,"critical_level":0.6}}</x:t>
  </x:si>
  <x:si>
    <x:t xml:space="preserve">THAIWATER:184</x:t>
  </x:si>
  <x:si>
    <x:t xml:space="preserve">WL.LPI.01</x:t>
  </x:si>
  <x:si>
    <x:t xml:space="preserve">ค.หลุมไผ่ ซ.ลาดปลาเค้า 63</x:t>
  </x:si>
  <x:si>
    <x:t xml:space="preserve">2023-08-24T15:25:00+07:00</x:t>
  </x:si>
  <x:si>
    <x:t xml:space="preserve">{"canal_datetime":"2023-08-24 15:25","canal_value":-0.36,"canal_out":0,"agency":{"agency_name":{"th":"สำนักการระบายน้ำ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Bangkok","jp":""}},"geocode":{"area_code":"1","area_name":{"th":"กรุงเทพมหานคร","en":"Bangkok"},"amphoe_name":{"th":"ลาดพร้าว","en":"Lat Phrao District"},"tumbon_name":{"th":"จรเข้บัว","en":"Chorakhe Bua"},"province_code":"10","province_name":{"th":"กรุงเทพมหานคร","en":"Bangkok"}},"station":{"id":184,"canal_name":{"th":"ค.หลุมไผ่ ซ.ลาดปลาเค้า 63"},"canal_lat":13.84656,"canal_long":100.60057,"canal_oldcode":"WL.LPI.01","bank":2,"warning_level":0.6,"critical_level":0.7}}</x:t>
  </x:si>
  <x:si>
    <x:t xml:space="preserve">THAIWATER:222</x:t>
  </x:si>
  <x:si>
    <x:t xml:space="preserve">WL.MID.01</x:t>
  </x:si>
  <x:si>
    <x:t xml:space="preserve">คูน้ำกรมสารวัตรทหาร</x:t>
  </x:si>
  <x:si>
    <x:t xml:space="preserve">2024-06-12T14:55:00+07:00</x:t>
  </x:si>
  <x:si>
    <x:t xml:space="preserve">{"canal_datetime":"2024-06-12 14:55","canal_value":-0.67,"canal_out":0,"agency":{"agency_name":{"th":"สำนักการระบายน้ำ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Bangkok","jp":""}},"geocode":{"area_code":"1","area_name":{"th":"กรุงเทพมหานคร","en":"Bangkok"},"amphoe_name":{"th":"ราชเทวี","en":"Ratchathewi District"},"tumbon_name":{"th":"ทุ่งพญาไท","en":"Thung Phaya Thai"},"province_code":"10","province_name":{"th":"กรุงเทพมหานคร","en":"Bangkok"}},"station":{"id":222,"canal_name":{"th":"คูน้ำกรมสารวัตรทหาร"},"canal_lat":13.76074,"canal_long":100.53037,"canal_oldcode":"WL.MID.01","bank":0.4,"warning_level":-0.2,"critical_level":0}}</x:t>
  </x:si>
  <x:si>
    <x:t xml:space="preserve">THAIWATER:95</x:t>
  </x:si>
  <x:si>
    <x:t xml:space="preserve">WL.BJK.01</x:t>
  </x:si>
  <x:si>
    <x:t xml:space="preserve">ส.บางจาก</x:t>
  </x:si>
  <x:si>
    <x:t xml:space="preserve">{"canal_datetime":"2026-09-28 13:20","canal_value":-1.49,"canal_out":0.24,"agency":{"agency_name":{"th":"สำนักการระบายน้ำ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Bangkok","jp":""}},"geocode":{"area_code":"1","area_name":{"th":"กรุงเทพมหานคร","en":"Bangkok"},"amphoe_name":{"th":"พระโขนง","en":"Phra Khanong District"},"tumbon_name":{"th":"บางจาก","en":"Bang Chak"},"province_code":"10","province_name":{"th":"กรุงเทพมหานคร","en":"Bangkok"}},"station":{"id":95,"canal_name":{"th":"ส.บางจาก"},"canal_lat":13.68913,"canal_long":100.59082,"canal_oldcode":"WL.BJK.01","bank":2.8,"warning_level":2.6,"critical_level":2.8}}</x:t>
  </x:si>
  <x:si>
    <x:t xml:space="preserve">THAIWATER:238</x:t>
  </x:si>
  <x:si>
    <x:t xml:space="preserve">WL.BNJ.04</x:t>
  </x:si>
  <x:si>
    <x:t xml:space="preserve">ค.บางนางจีน ถ.สุขุมวิท 101/1</x:t>
  </x:si>
  <x:si>
    <x:t xml:space="preserve">{"canal_datetime":"2026-09-28 13:20","canal_value":-0.4,"canal_out":0,"agency":{"agency_name":{"th":"สำนักการระบายน้ำ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Bangkok","jp":""}},"geocode":{"area_code":"1","area_name":{"th":"กรุงเทพมหานคร","en":"Bangkok"},"amphoe_name":{"th":"พระโขนง","en":"Phra Khanong District"},"tumbon_name":{"th":"บางจาก","en":"Bang Chak"},"province_code":"10","province_name":{"th":"กรุงเทพมหานคร","en":"Bangkok"}},"station":{"id":238,"canal_name":{"th":"ค.บางนางจีน ถ.สุขุมวิท 101/1"},"canal_lat":13.68443,"canal_long":100.61107,"canal_oldcode":"WL.BNJ.04","bank":0,"warning_level":-0.2,"critical_level":0}}</x:t>
  </x:si>
  <x:si>
    <x:t xml:space="preserve">THAIWATER:293</x:t>
  </x:si>
  <x:si>
    <x:t xml:space="preserve">WL.MSW.02</x:t>
  </x:si>
  <x:si>
    <x:t xml:space="preserve">ค.มหาสวัสดิ์ วัดปุรณาวาส</x:t>
  </x:si>
  <x:si>
    <x:t xml:space="preserve">{"canal_datetime":"2026-09-28 13:20","canal_value":1.46,"canal_out":0,"agency":{"agency_name":{"th":"สำนักการระบายน้ำ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Bangkok","jp":""}},"geocode":{"area_code":"1","area_name":{"th":"กรุงเทพมหานคร","en":"Bangkok"},"amphoe_name":{"th":"ทวีวัฒนา","en":"Thawi Watthana District"},"tumbon_name":{"th":"ศาลาธรรมสพน์","en":"Sala Thammasop"},"province_code":"10","province_name":{"th":"กรุงเทพมหานคร","en":"Bangkok"}},"station":{"id":293,"canal_name":{"th":"ค.มหาสวัสดิ์ วัดปุรณาวาส"},"canal_lat":13.8036,"canal_long":100.33512,"canal_oldcode":"WL.MSW.02","bank":1.5,"warning_level":1.8,"critical_level":2}}</x:t>
  </x:si>
  <x:si>
    <x:t xml:space="preserve">THAIWATER:43</x:t>
  </x:si>
  <x:si>
    <x:t xml:space="preserve">WL.BCN.01</x:t>
  </x:si>
  <x:si>
    <x:t xml:space="preserve">ค.บางเชือกหนัง ถ.กาญจนาฯ </x:t>
  </x:si>
  <x:si>
    <x:t xml:space="preserve">{"canal_datetime":"2026-09-28 13:20","canal_value":0.67,"canal_out":0,"agency":{"agency_name":{"th":"สำนักการระบายน้ำ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Bangkok","jp":""}},"geocode":{"area_code":"1","area_name":{"th":"กรุงเทพมหานคร","en":"Bangkok"},"amphoe_name":{"th":"บางแค","en":"Bang Khae District"},"tumbon_name":{"th":"บางไผ่","en":"Bang Phai"},"province_code":"10","province_name":{"th":"กรุงเทพมหานคร","en":"Bangkok"}},"station":{"id":43,"canal_name":{"th":"ค.บางเชือกหนัง ถ.กาญจนาฯ "},"canal_lat":13.74925,"canal_long":100.40654,"canal_oldcode":"WL.BCN.01","bank":1.26,"warning_level":0.6,"critical_level":0.7}}</x:t>
  </x:si>
  <x:si>
    <x:t xml:space="preserve">THAIWATER:254</x:t>
  </x:si>
  <x:si>
    <x:t xml:space="preserve">WL.KJT.01</x:t>
  </x:si>
  <x:si>
    <x:t xml:space="preserve">ค.จิต ซ.ลาดพร้าว 122</x:t>
  </x:si>
  <x:si>
    <x:t xml:space="preserve">{"canal_datetime":"2026-09-28 13:20","canal_value":0.62,"canal_out":0,"agency":{"agency_name":{"th":"สำนักการระบายน้ำ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Bangkok","jp":""}},"geocode":{"area_code":"1","area_name":{"th":"กรุงเทพมหานคร","en":"Bangkok"},"amphoe_name":{"th":"วังทองหลาง","en":"Wang Thonglang District"},"tumbon_name":{"th":"วังทองหลาง","en":"Wang Thong Lang"},"province_code":"10","province_name":{"th":"กรุงเทพมหานคร","en":"Bangkok"}},"station":{"id":254,"canal_name":{"th":"ค.จิต ซ.ลาดพร้าว 122"},"canal_lat":13.77323,"canal_long":100.62173,"canal_oldcode":"WL.KJT.01","bank":0.75,"warning_level":-0.1,"critical_level":0}}</x:t>
  </x:si>
  <x:si>
    <x:t xml:space="preserve">THAIWATER:269</x:t>
  </x:si>
  <x:si>
    <x:t xml:space="preserve">WL.CNS.02</x:t>
  </x:si>
  <x:si>
    <x:t xml:space="preserve">ค.ช่องนนทรี ถ.นราธิวาสราชนครินทร์</x:t>
  </x:si>
  <x:si>
    <x:t xml:space="preserve">บางรัก</x:t>
  </x:si>
  <x:si>
    <x:t xml:space="preserve">2023-04-19T17:40:00+07:00</x:t>
  </x:si>
  <x:si>
    <x:t xml:space="preserve">{"canal_datetime":"2023-04-19 17:40","canal_value":-0.64,"canal_out":0,"agency":{"agency_name":{"th":"สำนักการระบายน้ำ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Bangkok","jp":""}},"geocode":{"area_code":"1","area_name":{"th":"กรุงเทพมหานคร","en":"Bangkok"},"amphoe_name":{"th":"บางรัก","en":"Bang Rak District"},"tumbon_name":{"th":"สุริยวงศ์","en":"Suriyawong"},"province_code":"10","province_name":{"th":"กรุงเทพมหานคร","en":"Bangkok"}},"station":{"id":269,"canal_name":{"th":"ค.ช่องนนทรี ถ.นราธิวาสราชนครินทร์"},"canal_lat":13.7276,"canal_long":100.52735,"canal_oldcode":"WL.CNS.02","bank":1,"warning_level":0.5,"critical_level":0.6}}</x:t>
  </x:si>
  <x:si>
    <x:t xml:space="preserve">THAIWATER:96</x:t>
  </x:si>
  <x:si>
    <x:t xml:space="preserve">WL.KDN.01</x:t>
  </x:si>
  <x:si>
    <x:t xml:space="preserve">ปตร.คลองวัดด่าน</x:t>
  </x:si>
  <x:si>
    <x:t xml:space="preserve">พระประแดง</x:t>
  </x:si>
  <x:si>
    <x:t xml:space="preserve">{"canal_datetime":"2026-09-28 13:20","canal_value":-0.59,"canal_out":0.39,"agency":{"agency_name":{"th":"สำนักการระบายน้ำ กรุงเทพมหานคร","en":"Department of Bangkok","jp":""}},"geocode":{"area_code":"2","area_name":{"th":"ภาคกลาง","en":"Central"},"amphoe_name":{"th":"พระประแดง","en":"Phra Pradaeng District"},"tumbon_name":{"th":"ทรงคนอง","en":"Song Khanong"},"province_code":"11","province_name":{"th":"สมุทรปราการ","en":"Samut Prakan"}},"station":{"id":96,"canal_name":{"th":"ปตร.คลองวัดด่าน"},"canal_lat":13.67068,"canal_long":100.54016,"canal_oldcode":"WL.KDN.01","bank":2.8,"warning_level":2.6,"critical_level":2.8}}</x:t>
  </x:si>
  <x:si>
    <x:t xml:space="preserve">THAIWATER:129</x:t>
  </x:si>
  <x:si>
    <x:t xml:space="preserve">WL.SSB.06</x:t>
  </x:si>
  <x:si>
    <x:t xml:space="preserve">ค.แสนแสบ-เจ้าคุณสิงห์</x:t>
  </x:si>
  <x:si>
    <x:t xml:space="preserve">{"canal_datetime":"2026-09-28 13:20","canal_value":0.42,"canal_out":0,"agency":{"agency_name":{"th":"สำนักการระบายน้ำ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Bangkok","jp":""}},"geocode":{"area_code":"1","area_name":{"th":"กรุงเทพมหานคร","en":"Bangkok"},"amphoe_name":{"th":"บางกะปิ","en":"Bang Kapi District"},"tumbon_name":{"th":"หัวหมาก","en":"Hua Mak"},"province_code":"10","province_name":{"th":"กรุงเทพมหานคร","en":"Bangkok"}},"station":{"id":129,"canal_name":{"th":"ค.แสนแสบ-เจ้าคุณสิงห์"},"canal_lat":13.76127,"canal_long":100.61532,"canal_oldcode":"WL.SSB.06","bank":1.91,"warning_level":0.2,"critical_level":0.35}}</x:t>
  </x:si>
  <x:si>
    <x:t xml:space="preserve">THAIWATER:234</x:t>
  </x:si>
  <x:si>
    <x:t xml:space="preserve">WL.WTK.01</x:t>
  </x:si>
  <x:si>
    <x:t xml:space="preserve">ค.วัดตึก ถ.ลาดพร้าว</x:t>
  </x:si>
  <x:si>
    <x:t xml:space="preserve">{"canal_datetime":"2026-09-28 13:20","canal_value":-0.21,"canal_out":0,"agency":{"agency_name":{"th":"สำนักการระบายน้ำ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Bangkok","jp":""}},"geocode":{"area_code":"1","area_name":{"th":"กรุงเทพมหานคร","en":"Bangkok"},"amphoe_name":{"th":"วังทองหลาง","en":"Wang Thonglang District"},"tumbon_name":{"th":"วังทองหลาง","en":"Wang Thong Lang"},"province_code":"10","province_name":{"th":"กรุงเทพมหานคร","en":"Bangkok"}},"station":{"id":234,"canal_name":{"th":"ค.วัดตึก ถ.ลาดพร้าว"},"canal_lat":13.78678,"canal_long":100.60758,"canal_oldcode":"WL.WTK.01","bank":1,"warning_level":0.3,"critical_level":0.4}}</x:t>
  </x:si>
  <x:si>
    <x:t xml:space="preserve">THAIWATER:59</x:t>
  </x:si>
  <x:si>
    <x:t xml:space="preserve">WL.BWK.02</x:t>
  </x:si>
  <x:si>
    <x:t xml:space="preserve">ค.บางแวก ถ.พุทธฯฑลสาย 1</x:t>
  </x:si>
  <x:si>
    <x:t xml:space="preserve">{"canal_datetime":"2026-09-28 13:20","canal_value":0.68,"canal_out":0,"agency":{"agency_name":{"th":"สำนักการระบายน้ำ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Bangkok","jp":""}},"geocode":{"area_code":"1","area_name":{"th":"กรุงเทพมหานคร","en":"Bangkok"},"amphoe_name":{"th":"ภาษีเจริญ","en":"Phasi Charoen District"},"tumbon_name":{"th":"บางแวก","en":"Bang Waek"},"province_code":"10","province_name":{"th":"กรุงเทพมหานคร","en":"Bangkok"}},"station":{"id":59,"canal_name":{"th":"ค.บางแวก ถ.พุทธฯฑลสาย 1"},"canal_lat":13.73345,"canal_long":100.43283,"canal_oldcode":"WL.BWK.02","bank":1.91,"warning_level":0.6,"critical_level":0.7}}</x:t>
  </x:si>
  <x:si>
    <x:t xml:space="preserve">THAIWATER:75</x:t>
  </x:si>
  <x:si>
    <x:t xml:space="preserve">WL.KKS.01</x:t>
  </x:si>
  <x:si>
    <x:t xml:space="preserve">ส.เทเวศร์</x:t>
  </x:si>
  <x:si>
    <x:t xml:space="preserve">{"canal_datetime":"2026-09-28 13:20","canal_value":-0.24,"canal_out":1.24,"agency":{"agency_name":{"th":"สำนักการระบายน้ำ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Bangkok","jp":""}},"geocode":{"area_code":"1","area_name":{"th":"กรุงเทพมหานคร","en":"Bangkok"},"amphoe_name":{"th":"พระนคร","en":"Phra Nakhon District"},"tumbon_name":{"th":"วัดสามพระยา","en":"Wat Sam Phraya"},"province_code":"10","province_name":{"th":"กรุงเทพมหานคร","en":"Bangkok"}},"station":{"id":75,"canal_name":{"th":"ส.เทเวศร์"},"canal_lat":13.7717,"canal_long":100.50113,"canal_oldcode":"WL.KKS.01","bank":3.25,"warning_level":3.05,"critical_level":3.25}}</x:t>
  </x:si>
  <x:si>
    <x:t xml:space="preserve">THAIWATER:215</x:t>
  </x:si>
  <x:si>
    <x:t xml:space="preserve">WL.KNB.01</x:t>
  </x:si>
  <x:si>
    <x:t xml:space="preserve">ค.หนองบอน อ่อนนุช 66 ซ.13</x:t>
  </x:si>
  <x:si>
    <x:t xml:space="preserve">{"canal_datetime":"2026-09-28 13:20","canal_value":-0.31,"canal_out":0,"agency":{"agency_name":{"th":"สำนักการระบายน้ำ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Bangkok","jp":""}},"geocode":{"area_code":"1","area_name":{"th":"กรุงเทพมหานคร","en":"Bangkok"},"amphoe_name":{"th":"สวนหลวง","en":"Suan Luang District"},"tumbon_name":{"th":"สวนหลวง","en":"Suan Luang"},"province_code":"10","province_name":{"th":"กรุงเทพมหานคร","en":"Bangkok"}},"station":{"id":215,"canal_name":{"th":"ค.หนองบอน อ่อนนุช 66 ซ.13"},"canal_lat":13.70382,"canal_long":100.65075,"canal_oldcode":"WL.KNB.01","bank":2,"warning_level":0,"critical_level":0.1}}</x:t>
  </x:si>
  <x:si>
    <x:t xml:space="preserve">THAIWATER:145</x:t>
  </x:si>
  <x:si>
    <x:t xml:space="preserve">WL.RJK.01</x:t>
  </x:si>
  <x:si>
    <x:t xml:space="preserve">ปตร.คลองรางจาก-ประชาอุทิศ</x:t>
  </x:si>
  <x:si>
    <x:t xml:space="preserve">ทุ่งครุ</x:t>
  </x:si>
  <x:si>
    <x:t xml:space="preserve">{"canal_datetime":"2026-09-28 13:20","canal_value":0.5,"canal_out":0.5,"agency":{"agency_name":{"th":"สำนักการระบายน้ำ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Bangkok","jp":""}},"geocode":{"area_code":"1","area_name":{"th":"กรุงเทพมหานคร","en":"Bangkok"},"amphoe_name":{"th":"ทุ่งครุ","en":"Thung Khru District"},"tumbon_name":{"th":"ทุ่งครุ","en":"Thung Khru"},"province_code":"10","province_name":{"th":"กรุงเทพมหานคร","en":"Bangkok"}},"station":{"id":145,"canal_name":{"th":"ปตร.คลองรางจาก-ประชาอุทิศ"},"canal_lat":13.63487,"canal_long":100.50202,"canal_oldcode":"WL.RJK.01","bank":1.98,"warning_level":0.8,"critical_level":0.7}}</x:t>
  </x:si>
  <x:si>
    <x:t xml:space="preserve">THAIWATER:271</x:t>
  </x:si>
  <x:si>
    <x:t xml:space="preserve">WL.KPG.01</x:t>
  </x:si>
  <x:si>
    <x:t xml:space="preserve">ค.เป้ง ซ.เอกมัย 23</x:t>
  </x:si>
  <x:si>
    <x:t xml:space="preserve">{"canal_datetime":"2026-09-28 13:20","canal_value":-1.58,"canal_out":0,"agency":{"agency_name":{"th":"สำนักการระบายน้ำ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Bangkok","jp":""}},"geocode":{"area_code":"1","area_name":{"th":"กรุงเทพมหานคร","en":"Bangkok"},"amphoe_name":{"th":"วัฒนา","en":"Vadhana District"},"tumbon_name":{"th":"คลองตันเหนือ","en":"Khlong Tan Nuea"},"province_code":"10","province_name":{"th":"กรุงเทพมหานคร","en":"Bangkok"}},"station":{"id":271,"canal_name":{"th":"ค.เป้ง ซ.เอกมัย 23"},"canal_lat":13.74048,"canal_long":100.58877,"canal_oldcode":"WL.KPG.01","bank":0,"warning_level":-0.2,"critical_level":0}}</x:t>
  </x:si>
  <x:si>
    <x:t xml:space="preserve">THAIWATER:255</x:t>
  </x:si>
  <x:si>
    <x:t xml:space="preserve">WL.PPA.02</x:t>
  </x:si>
  <x:si>
    <x:t xml:space="preserve">ค.พลับพลา ศูนย์แพทย์พัฒนา</x:t>
  </x:si>
  <x:si>
    <x:t xml:space="preserve">2024-05-14T13:45:00+07:00</x:t>
  </x:si>
  <x:si>
    <x:t xml:space="preserve">{"canal_datetime":"2024-05-14 13:45","canal_value":-0.19,"canal_out":0,"agency":{"agency_name":{"th":"สำนักการระบายน้ำ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Bangkok","jp":""}},"geocode":{"area_code":"1","area_name":{"th":"กรุงเทพมหานคร","en":"Bangkok"},"amphoe_name":{"th":"วังทองหลาง","en":"Wang Thonglang District"},"tumbon_name":{"th":"วังทองหลาง","en":"Wang Thong Lang"},"province_code":"10","province_name":{"th":"กรุงเทพมหานคร","en":"Bangkok"}},"station":{"id":255,"canal_name":{"th":"ค.พลับพลา ศูนย์แพทย์พัฒนา"},"canal_lat":13.76206,"canal_long":100.59756,"canal_oldcode":"WL.PPA.02","bank":0.4,"warning_level":-0.2,"critical_level":0}}</x:t>
  </x:si>
  <x:si>
    <x:t xml:space="preserve">THAIWATER:119</x:t>
  </x:si>
  <x:si>
    <x:t xml:space="preserve">WL.PLK.01</x:t>
  </x:si>
  <x:si>
    <x:t xml:space="preserve">ค.พิทยาฯ-รร.พิทยาลงกรณ์</x:t>
  </x:si>
  <x:si>
    <x:t xml:space="preserve">{"canal_datetime":"2026-09-28 13:20","canal_value":-0.12,"canal_out":0,"agency":{"agency_name":{"th":"สำนักการระบายน้ำ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Bangkok","jp":""}},"geocode":{"area_code":"1","area_name":{"th":"กรุงเทพมหานคร","en":"Bangkok"},"amphoe_name":{"th":"บางขุนเทียน","en":"Bang Khun Thian District"},"tumbon_name":{"th":"ท่าข้าม","en":"Tha Kham"},"province_code":"10","province_name":{"th":"กรุงเทพมหานคร","en":"Bangkok"}},"station":{"id":119,"canal_name":{"th":"ค.พิทยาฯ-รร.พิทยาลงกรณ์"},"canal_lat":13.52834,"canal_long":100.41782,"canal_oldcode":"WL.PLK.01","bank":1.9,"warning_level":1.2,"critical_level":1.4}}</x:t>
  </x:si>
  <x:si>
    <x:t xml:space="preserve">THAIWATER:140</x:t>
  </x:si>
  <x:si>
    <x:t xml:space="preserve">WL.SNC.02</x:t>
  </x:si>
  <x:si>
    <x:t xml:space="preserve">ค.สนามชัย-บางขุนเทียน</x:t>
  </x:si>
  <x:si>
    <x:t xml:space="preserve">จอมทอง</x:t>
  </x:si>
  <x:si>
    <x:t xml:space="preserve">{"canal_datetime":"2026-09-28 13:20","canal_value":0.23,"canal_out":0,"agency":{"agency_name":{"th":"สำนักการระบายน้ำ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Bangkok","jp":""}},"geocode":{"area_code":"1","area_name":{"th":"กรุงเทพมหานคร","en":"Bangkok"},"amphoe_name":{"th":"จอมทอง","en":"Chom Thong District"},"tumbon_name":{"th":"บางขุนเทียน","en":"Bang Khun Thian"},"province_code":"10","province_name":{"th":"กรุงเทพมหานคร","en":"Bangkok"}},"station":{"id":140,"canal_name":{"th":"ค.สนามชัย-บางขุนเทียน"},"canal_lat":13.70099,"canal_long":100.46486,"canal_oldcode":"WL.SNC.02","bank":1.87,"warning_level":0.5,"critical_level":0.6}}</x:t>
  </x:si>
  <x:si>
    <x:t xml:space="preserve">THAIWATER:260</x:t>
  </x:si>
  <x:si>
    <x:t xml:space="preserve">WL.KKY.01</x:t>
  </x:si>
  <x:si>
    <x:t xml:space="preserve">ค.ควาย ถ.ศาลาธรรมสพน์</x:t>
  </x:si>
  <x:si>
    <x:t xml:space="preserve">{"canal_datetime":"2026-09-28 13:20","canal_value":0.8,"canal_out":0,"agency":{"agency_name":{"th":"สำนักการระบายน้ำ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Bangkok","jp":""}},"geocode":{"area_code":"1","area_name":{"th":"กรุงเทพมหานคร","en":"Bangkok"},"amphoe_name":{"th":"ทวีวัฒนา","en":"Thawi Watthana District"},"tumbon_name":{"th":"ศาลาธรรมสพน์","en":"Sala Thammasop"},"province_code":"10","province_name":{"th":"กรุงเทพมหานคร","en":"Bangkok"}},"station":{"id":260,"canal_name":{"th":"ค.ควาย ถ.ศาลาธรรมสพน์"},"canal_lat":13.79744,"canal_long":100.38155,"canal_oldcode":"WL.KKY.01","bank":1,"warning_level":0.9,"critical_level":1}}</x:t>
  </x:si>
  <x:si>
    <x:t xml:space="preserve">THAIWATER:158</x:t>
  </x:si>
  <x:si>
    <x:t xml:space="preserve">WL.LPW.04</x:t>
  </x:si>
  <x:si>
    <x:t xml:space="preserve">ค.ลาดพร้าว ถ.ประชาอุทิศ</x:t>
  </x:si>
  <x:si>
    <x:t xml:space="preserve">{"canal_datetime":"2026-09-28 13:20","canal_value":0.41,"canal_out":0,"agency":{"agency_name":{"th":"สำนักการระบายน้ำ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District"},"tumbon_name":{"th":"สามเสนนอก","en":"Sam Sen Nok"},"province_code":"10","province_name":{"th":"กรุงเทพมหานคร","en":"Bangkok"}},"station":{"id":158,"canal_name":{"th":"ค.ลาดพร้าว ถ.ประชาอุทิศ"},"canal_lat":13.76874,"canal_long":100.59356,"canal_oldcode":"WL.LPW.04","bank":1,"warning_level":0.05,"critical_level":0.15}}</x:t>
  </x:si>
  <x:si>
    <x:t xml:space="preserve">THAIWATER:110</x:t>
  </x:si>
  <x:si>
    <x:t xml:space="preserve">WL.KPM.03</x:t>
  </x:si>
  <x:si>
    <x:t xml:space="preserve">ค.เปรมฯ-วัดเทวฯ</x:t>
  </x:si>
  <x:si>
    <x:t xml:space="preserve">{"canal_datetime":"2026-09-28 13:20","canal_value":1,"canal_out":0,"agency":{"agency_name":{"th":"สำนักการระบายน้ำ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Bangkok","jp":""}},"geocode":{"area_code":"1","area_name":{"th":"กรุงเทพมหานคร","en":"Bangkok"},"amphoe_name":{"th":"จตุจักร","en":"Chatuchak District"},"tumbon_name":{"th":"ลาดยาว","en":"Lat Yao"},"province_code":"10","province_name":{"th":"กรุงเทพมหานคร","en":"Bangkok"}},"station":{"id":110,"canal_name":{"th":"ค.เปรมฯ-วัดเทวฯ"},"canal_lat":13.85069,"canal_long":100.56091,"canal_oldcode":"WL.KPM.03","bank":1.91,"warning_level":0.5,"critical_level":0.6}}</x:t>
  </x:si>
  <x:si>
    <x:t xml:space="preserve">THAIWATER:79</x:t>
  </x:si>
  <x:si>
    <x:t xml:space="preserve">WL.SSB.04</x:t>
  </x:si>
  <x:si>
    <x:t xml:space="preserve">ส.แสนแสบ-คลองตัน</x:t>
  </x:si>
  <x:si>
    <x:t xml:space="preserve">{"canal_datetime":"2026-09-28 13:20","canal_value":0.16,"canal_out":0.19,"agency":{"agency_name":{"th":"สำนักการระบายน้ำ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Bangkok","jp":""}},"geocode":{"area_code":"1","area_name":{"th":"กรุงเทพมหานคร","en":"Bangkok"},"amphoe_name":{"th":"วัฒนา","en":"Vadhana District"},"tumbon_name":{"th":"คลองตันเหนือ","en":"Khlong Tan Nuea"},"province_code":"10","province_name":{"th":"กรุงเทพมหานคร","en":"Bangkok"}},"station":{"id":79,"canal_name":{"th":"ส.แสนแสบ-คลองตัน"},"canal_lat":13.74126,"canal_long":100.59642,"canal_oldcode":"WL.SSB.04","bank":1.98,"warning_level":0,"critical_level":0.2}}</x:t>
  </x:si>
  <x:si>
    <x:t xml:space="preserve">THAIWATER:233</x:t>
  </x:si>
  <x:si>
    <x:t xml:space="preserve">WL.SLL.01</x:t>
  </x:si>
  <x:si>
    <x:t xml:space="preserve">ค.ศาลาลอย ถ.อ่อนนุช 61</x:t>
  </x:si>
  <x:si>
    <x:t xml:space="preserve">{"canal_datetime":"2026-09-28 13:20","canal_value":0.62,"canal_out":0,"agency":{"agency_name":{"th":"สำนักการระบายน้ำ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Bangkok","jp":""}},"geocode":{"area_code":"1","area_name":{"th":"กรุงเทพมหานคร","en":"Bangkok"},"amphoe_name":{"th":"ประเวศ","en":"Prawet District"},"tumbon_name":{"th":"ประเวศ","en":"Prawet"},"province_code":"10","province_name":{"th":"กรุงเทพมหานคร","en":"Bangkok"}},"station":{"id":233,"canal_name":{"th":"ค.ศาลาลอย ถ.อ่อนนุช 61"},"canal_lat":13.71599,"canal_long":100.67942,"canal_oldcode":"WL.SLL.01","bank":0.5,"warning_level":-0.1,"critical_level":0}}</x:t>
  </x:si>
  <x:si>
    <x:t xml:space="preserve">THAIWATER:294</x:t>
  </x:si>
  <x:si>
    <x:t xml:space="preserve">WL.BJK.02</x:t>
  </x:si>
  <x:si>
    <x:t xml:space="preserve">ค.บางจาก ซ.เพชรเกษม 68</x:t>
  </x:si>
  <x:si>
    <x:t xml:space="preserve">{"canal_datetime":"2026-09-28 13:20","canal_value":0.61,"canal_out":0,"agency":{"agency_name":{"th":"สำนักการระบายน้ำ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Bangkok","jp":""}},"geocode":{"area_code":"1","area_name":{"th":"กรุงเทพมหานคร","en":"Bangkok"},"amphoe_name":{"th":"บางแค","en":"Bang Khae District"},"tumbon_name":{"th":"บางแคเหนือ","en":"Bang Khae Nuea"},"province_code":"10","province_name":{"th":"กรุงเทพมหานคร","en":"Bangkok"}},"station":{"id":294,"canal_name":{"th":"ค.บางจาก ซ.เพชรเกษม 68"},"canal_lat":13.71575,"canal_long":100.41648,"canal_oldcode":"WL.BJK.02","bank":1.2,"warning_level":0.7,"critical_level":0.8}}</x:t>
  </x:si>
  <x:si>
    <x:t xml:space="preserve">THAIWATER:88</x:t>
  </x:si>
  <x:si>
    <x:t xml:space="preserve">WL.WSI.01</x:t>
  </x:si>
  <x:si>
    <x:t xml:space="preserve">ส.คลองวัดไทร</x:t>
  </x:si>
  <x:si>
    <x:t xml:space="preserve">บางคอแหลม</x:t>
  </x:si>
  <x:si>
    <x:t xml:space="preserve">{"canal_datetime":"2026-09-28 13:20","canal_value":-1.05,"canal_out":0.57,"agency":{"agency_name":{"th":"สำนักการระบายน้ำ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Bangkok","jp":""}},"geocode":{"area_code":"1","area_name":{"th":"กรุงเทพมหานคร","en":"Bangkok"},"amphoe_name":{"th":"บางคอแหลม","en":"Bang Kho Laem District"},"tumbon_name":{"th":"บางโคล่","en":"Bang Khlo"},"province_code":"10","province_name":{"th":"กรุงเทพมหานคร","en":"Bangkok"}},"station":{"id":88,"canal_name":{"th":"ส.คลองวัดไทร"},"canal_lat":13.68687,"canal_long":100.51676,"canal_oldcode":"WL.WSI.01","bank":2.8,"warning_level":2.6,"critical_level":2.8}}</x:t>
  </x:si>
  <x:si>
    <x:t xml:space="preserve">THAIWATER:180</x:t>
  </x:si>
  <x:si>
    <x:t xml:space="preserve">WL.KJA.01</x:t>
  </x:si>
  <x:si>
    <x:t xml:space="preserve">ค.กะจะ ถ.พระราม 9 </x:t>
  </x:si>
  <x:si>
    <x:t xml:space="preserve">{"canal_datetime":"2026-09-28 13:20","canal_value":0.2,"canal_out":0,"agency":{"agency_name":{"th":"สำนักการระบายน้ำ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Bangkok","jp":""}},"geocode":{"area_code":"1","area_name":{"th":"กรุงเทพมหานคร","en":"Bangkok"},"amphoe_name":{"th":"สวนหลวง","en":"Suan Luang District"},"tumbon_name":{"th":"สวนหลวง","en":"Suan Luang"},"province_code":"10","province_name":{"th":"กรุงเทพมหานคร","en":"Bangkok"}},"station":{"id":180,"canal_name":{"th":"ค.กะจะ ถ.พระราม 9 "},"canal_lat":13.74381,"canal_long":100.61168,"canal_oldcode":"WL.KJA.01","bank":2,"warning_level":0,"critical_level":0.1}}</x:t>
  </x:si>
  <x:si>
    <x:t xml:space="preserve">THAIWATER:296</x:t>
  </x:si>
  <x:si>
    <x:t xml:space="preserve">WL.YPE.01</x:t>
  </x:si>
  <x:si>
    <x:t xml:space="preserve">ค.ยายเพียร ถ.เพชรเกษม</x:t>
  </x:si>
  <x:si>
    <x:t xml:space="preserve">{"canal_datetime":"2026-09-28 13:20","canal_value":0.45,"canal_out":0,"agency":{"agency_name":{"th":"สำนักการระบายน้ำ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Bangkok","jp":""}},"geocode":{"area_code":"1","area_name":{"th":"กรุงเทพมหานคร","en":"Bangkok"},"amphoe_name":{"th":"ภาษีเจริญ","en":"Phasi Charoen District"},"tumbon_name":{"th":"บางหว้า","en":"Bang Wa"},"province_code":"10","province_name":{"th":"กรุงเทพมหานคร","en":"Bangkok"}},"station":{"id":296,"canal_name":{"th":"ค.ยายเพียร ถ.เพชรเกษม"},"canal_lat":13.71253,"canal_long":100.43219,"canal_oldcode":"WL.YPE.01","bank":0.75,"warning_level":1.65,"critical_level":1.85}}</x:t>
  </x:si>
  <x:si>
    <x:t xml:space="preserve">THAIWATER:285</x:t>
  </x:si>
  <x:si>
    <x:t xml:space="preserve">WL.BBN.02</x:t>
  </x:si>
  <x:si>
    <x:t xml:space="preserve">ค.บางบอน ถ.กาญจนาภิเษก</x:t>
  </x:si>
  <x:si>
    <x:t xml:space="preserve">{"canal_datetime":"2026-09-28 13:20","canal_value":0.44,"canal_out":0,"agency":{"agency_name":{"th":"สำนักการระบายน้ำ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Bangkok","jp":""}},"geocode":{"area_code":"1","area_name":{"th":"กรุงเทพมหานคร","en":"Bangkok"},"amphoe_name":{"th":"บางบอน","en":"Bang Bon District"},"tumbon_name":{"th":"บางบอน","en":"Bang Bon"},"province_code":"10","province_name":{"th":"กรุงเทพมหานคร","en":"Bangkok"}},"station":{"id":285,"canal_name":{"th":"ค.บางบอน ถ.กาญจนาภิเษก"},"canal_lat":13.65786,"canal_long":100.40551,"canal_oldcode":"WL.BBN.02","bank":1,"warning_level":0.6,"critical_level":0.7}}</x:t>
  </x:si>
  <x:si>
    <x:t xml:space="preserve">THAIWATER:170</x:t>
  </x:si>
  <x:si>
    <x:t xml:space="preserve">WL.PSR.06</x:t>
  </x:si>
  <x:si>
    <x:t xml:space="preserve">ค.พระยาสุเรนทร์ บางชัน</x:t>
  </x:si>
  <x:si>
    <x:t xml:space="preserve">2026-09-26T05:45:00+07:00</x:t>
  </x:si>
  <x:si>
    <x:t xml:space="preserve">{"canal_datetime":"2026-09-26 05:45","canal_value":1.15,"canal_out":0,"agency":{"agency_name":{"th":"สำนักการระบายน้ำ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Bangkok","jp":""}},"geocode":{"area_code":"1","area_name":{"th":"กรุงเทพมหานคร","en":"Bangkok"},"amphoe_name":{"th":"คันนายาว","en":"Khan Na Yao District"},"tumbon_name":{"th":"คันนายาว","en":"Khan Na Yao"},"province_code":"10","province_name":{"th":"กรุงเทพมหานคร","en":"Bangkok"}},"station":{"id":170,"canal_name":{"th":"ค.พระยาสุเรนทร์ บางชัน"},"canal_lat":13.80274,"canal_long":100.70165,"canal_oldcode":"WL.PSR.06","bank":2,"warning_level":0.8,"critical_level":1}}</x:t>
  </x:si>
  <x:si>
    <x:t xml:space="preserve">THAIWATER:61</x:t>
  </x:si>
  <x:si>
    <x:t xml:space="preserve">WL.SST.01</x:t>
  </x:si>
  <x:si>
    <x:t xml:space="preserve">ปตร.คลองสองสายใต้</x:t>
  </x:si>
  <x:si>
    <x:t xml:space="preserve">สายไหม</x:t>
  </x:si>
  <x:si>
    <x:t xml:space="preserve">{"canal_datetime":"2026-09-28 13:20","canal_value":1.54,"canal_out":2.06,"agency":{"agency_name":{"th":"สำนักการระบายน้ำ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Bangkok","jp":""}},"geocode":{"area_code":"1","area_name":{"th":"กรุงเทพมหานคร","en":"Bangkok"},"amphoe_name":{"th":"สายไหม","en":"Sai Mai District"},"tumbon_name":{"th":"สายไหม","en":"Sai Mai"},"province_code":"10","province_name":{"th":"กรุงเทพมหานคร","en":"Bangkok"}},"station":{"id":61,"canal_name":{"th":"ปตร.คลองสองสายใต้"},"canal_lat":13.92294,"canal_long":100.63455,"canal_oldcode":"WL.SST.01","bank":1.98,"warning_level":1.1,"critical_level":1.8}}</x:t>
  </x:si>
  <x:si>
    <x:t xml:space="preserve">THAIWATER:124</x:t>
  </x:si>
  <x:si>
    <x:t xml:space="preserve">WL.SSN.06</x:t>
  </x:si>
  <x:si>
    <x:t xml:space="preserve">ค.สามเสน-ดินแดง</x:t>
  </x:si>
  <x:si>
    <x:t xml:space="preserve">{"canal_datetime":"2026-09-28 13:20","canal_value":-0.74,"canal_out":0,"agency":{"agency_name":{"th":"สำนักการระบายน้ำ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Bangkok","jp":""}},"geocode":{"area_code":"1","area_name":{"th":"กรุงเทพมหานคร","en":"Bangkok"},"amphoe_name":{"th":"ดินแดง","en":"Din Daeng District"},"tumbon_name":{"th":"ดินแดง","en":"Din Daeng"},"province_code":"10","province_name":{"th":"กรุงเทพมหานคร","en":"Bangkok"}},"station":{"id":124,"canal_name":{"th":"ค.สามเสน-ดินแดง"},"canal_lat":13.75604,"canal_long":100.5526,"canal_oldcode":"WL.SSN.06","bank":1.94,"warning_level":0,"critical_level":0.1}}</x:t>
  </x:si>
  <x:si>
    <x:t xml:space="preserve">THAIWATER:105</x:t>
  </x:si>
  <x:si>
    <x:t xml:space="preserve">WL.LPC.01</x:t>
  </x:si>
  <x:si>
    <x:t xml:space="preserve">ค.ลำผักชี รร.ลำผักชี</x:t>
  </x:si>
  <x:si>
    <x:t xml:space="preserve">{"canal_datetime":"2026-09-28 13:20","canal_value":1.19,"canal_out":0,"agency":{"agency_name":{"th":"สำนักการระบายน้ำ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Bangkok","jp":""}},"geocode":{"area_code":"1","area_name":{"th":"กรุงเทพมหานคร","en":"Bangkok"},"amphoe_name":{"th":"หนองจอก","en":"Nong Chok District"},"tumbon_name":{"th":"ลำผักชี","en":"Lam Phak Chi"},"province_code":"10","province_name":{"th":"กรุงเทพมหานคร","en":"Bangkok"}},"station":{"id":105,"canal_name":{"th":"ค.ลำผักชี รร.ลำผักชี"},"canal_lat":13.79205,"canal_long":100.83524,"canal_oldcode":"WL.LPC.01","bank":1.85,"warning_level":0.6,"critical_level":0.7}}</x:t>
  </x:si>
  <x:si>
    <x:t xml:space="preserve">THAIWATER:157</x:t>
  </x:si>
  <x:si>
    <x:t xml:space="preserve">WL.YSN.02</x:t>
  </x:si>
  <x:si>
    <x:t xml:space="preserve">ค.คลองยายสุ่น ถ.รัชดาภิเษก</x:t>
  </x:si>
  <x:si>
    <x:t xml:space="preserve">{"canal_datetime":"2026-09-28 13:20","canal_value":-0.16,"canal_out":0,"agency":{"agency_name":{"th":"สำนักการระบายน้ำ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District"},"tumbon_name":{"th":"ห้วยขวาง","en":"Huai Khwang"},"province_code":"10","province_name":{"th":"กรุงเทพมหานคร","en":"Bangkok"}},"station":{"id":157,"canal_name":{"th":"ค.คลองยายสุ่น ถ.รัชดาภิเษก"},"canal_lat":13.76324,"canal_long":100.56823,"canal_oldcode":"WL.YSN.02","bank":1.84,"warning_level":0.2,"critical_level":0.4}}</x:t>
  </x:si>
  <x:si>
    <x:t xml:space="preserve">THAIWATER:670</x:t>
  </x:si>
  <x:si>
    <x:t xml:space="preserve">WL.SSN.10</x:t>
  </x:si>
  <x:si>
    <x:t xml:space="preserve">ค.สามเสน คลองชวดใหญ่</x:t>
  </x:si>
  <x:si>
    <x:t xml:space="preserve">{"canal_datetime":"2026-09-28 13:20","canal_value":0.16,"canal_out":0,"agency":{"agency_name":{"th":"สำนักการระบายน้ำ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District"},"tumbon_name":{"th":"บางกะปิ","en":"Bang Kapi"},"province_code":"10","province_name":{"th":"กรุงเทพมหานคร","en":"Bangkok"}},"station":{"id":670,"canal_name":{"th":"ค.สามเสน คลองชวดใหญ่"},"canal_lat":13.75383,"canal_long":100.58091,"canal_oldcode":"WL.SSN.10","bank":null,"warning_level":null,"critical_level":null}}</x:t>
  </x:si>
  <x:si>
    <x:t xml:space="preserve">THAIWATER:183</x:t>
  </x:si>
  <x:si>
    <x:t xml:space="preserve">WL.BKB.01</x:t>
  </x:si>
  <x:si>
    <x:t xml:space="preserve">ค.บางกระบือ ถ.สามเสน</x:t>
  </x:si>
  <x:si>
    <x:t xml:space="preserve">{"canal_datetime":"2026-09-28 13:20","canal_value":-0.2,"canal_out":0,"agency":{"agency_name":{"th":"สำนักการระบายน้ำ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Bangkok","jp":""}},"geocode":{"area_code":"1","area_name":{"th":"กรุงเทพมหานคร","en":"Bangkok"},"amphoe_name":{"th":"ดุสิต","en":"Dusit District"},"tumbon_name":{"th":"ถนนนครไชยศรี","en":"Thanon Nakhon Chaisi"},"province_code":"10","province_name":{"th":"กรุงเทพมหานคร","en":"Bangkok"}},"station":{"id":183,"canal_name":{"th":"ค.บางกระบือ ถ.สามเสน"},"canal_lat":13.79154,"canal_long":100.51662,"canal_oldcode":"WL.BKB.01","bank":1,"warning_level":0.8,"critical_level":1}}</x:t>
  </x:si>
  <x:si>
    <x:t xml:space="preserve">THAIWATER:220</x:t>
  </x:si>
  <x:si>
    <x:t xml:space="preserve">WL.PYW.01</x:t>
  </x:si>
  <x:si>
    <x:t xml:space="preserve">ค.พญาเวิก ปตร.คลองพญาเวิก</x:t>
  </x:si>
  <x:si>
    <x:t xml:space="preserve">{"canal_datetime":"2026-09-28 13:20","canal_value":-0.81,"canal_out":0,"agency":{"agency_name":{"th":"สำนักการระบายน้ำ กรุงเทพมหานคร","en":"Department of Bangkok","jp":""}},"geocode":{"area_code":"2","area_name":{"th":"ภาคกลาง","en":"Central"},"amphoe_name":{"th":"จตุจักร","en":"Chatuchak District"},"tumbon_name":{"th":"จอมพล","en":"Chomphon"},"province_code":"10","province_name":{"th":"กรุงเทพมหานคร","en":"Bangkok"}},"station":{"id":220,"canal_name":{"th":"ค.พญาเวิก ปตร.คลองพญาเวิก"},"canal_lat":13.79676,"canal_long":100.56697,"canal_oldcode":"WL.PYW.01","bank":1,"warning_level":0.1,"critical_level":0.2}}</x:t>
  </x:si>
  <x:si>
    <x:t xml:space="preserve">THAIWATER:187</x:t>
  </x:si>
  <x:si>
    <x:t xml:space="preserve">WL.IDE.01</x:t>
  </x:si>
  <x:si>
    <x:t xml:space="preserve">บ่อสูบน้ำอินโดนีเซีย</x:t>
  </x:si>
  <x:si>
    <x:t xml:space="preserve">2023-04-24T12:50:00+07:00</x:t>
  </x:si>
  <x:si>
    <x:t xml:space="preserve">{"canal_datetime":"2023-04-24 12:50","canal_value":-0.4,"canal_out":0,"agency":{"agency_name":{"th":"สำนักการระบายน้ำ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Bangkok","jp":""}},"geocode":{"area_code":"1","area_name":{"th":"กรุงเทพมหานคร","en":"Bangkok"},"amphoe_name":{"th":"ราชเทวี","en":"Ratchathewi District"},"tumbon_name":{"th":"ถนนพญาไท","en":"Thanon Phaya Thai"},"province_code":"10","province_name":{"th":"กรุงเทพมหานคร","en":"Bangkok"}},"station":{"id":187,"canal_name":{"th":"บ่อสูบน้ำอินโดนีเซีย"},"canal_lat":13.7551,"canal_long":100.53601,"canal_oldcode":"WL.IDE.01","bank":1,"warning_level":-0.2,"critical_level":0}}</x:t>
  </x:si>
  <x:si>
    <x:t xml:space="preserve">THAIWATER:201</x:t>
  </x:si>
  <x:si>
    <x:t xml:space="preserve">WL.TUT.02</x:t>
  </x:si>
  <x:si>
    <x:t xml:space="preserve">ค.ตาอูฐ ซ.แจ้งวัฒนะ 14</x:t>
  </x:si>
  <x:si>
    <x:t xml:space="preserve">{"canal_datetime":"2026-09-28 13:20","canal_value":-0.77,"canal_out":0,"agency":{"agency_name":{"th":"สำนักการระบายน้ำ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Bangkok","jp":""}},"geocode":{"area_code":"1","area_name":{"th":"กรุงเทพมหานคร","en":"Bangkok"},"amphoe_name":{"th":"ดอนเมือง","en":"Don Mueang District"},"tumbon_name":{"th":"สีกัน","en":"Si Kan"},"province_code":"10","province_name":{"th":"กรุงเทพมหานคร","en":"Bangkok"}},"station":{"id":201,"canal_name":{"th":"ค.ตาอูฐ ซ.แจ้งวัฒนะ 14"},"canal_lat":13.91159,"canal_long":100.56559,"canal_oldcode":"WL.TUT.02","bank":0.8,"warning_level":0.3,"critical_level":0.5}}</x:t>
  </x:si>
  <x:si>
    <x:t xml:space="preserve">THAIWATER:62</x:t>
  </x:si>
  <x:si>
    <x:t xml:space="preserve">WL.PSR.01</x:t>
  </x:si>
  <x:si>
    <x:t xml:space="preserve">ปตร.คลองพระยาสุเรนทร์</x:t>
  </x:si>
  <x:si>
    <x:t xml:space="preserve">{"canal_datetime":"2026-09-28 13:20","canal_value":1.6,"canal_out":2.05,"agency":{"agency_name":{"th":"สำนักการระบายน้ำ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Bangkok","jp":""}},"geocode":{"area_code":"1","area_name":{"th":"กรุงเทพมหานคร","en":"Bangkok"},"amphoe_name":{"th":"สายไหม","en":"Sai Mai District"},"tumbon_name":{"th":"สายไหม","en":"Sai Mai"},"province_code":"10","province_name":{"th":"กรุงเทพมหานคร","en":"Bangkok"}},"station":{"id":62,"canal_name":{"th":"ปตร.คลองพระยาสุเรนทร์"},"canal_lat":13.92128,"canal_long":100.68731,"canal_oldcode":"WL.PSR.01","bank":1.98,"warning_level":1.1,"critical_level":1.8}}</x:t>
  </x:si>
  <x:si>
    <x:t xml:space="preserve">THAIWATER:217</x:t>
  </x:si>
  <x:si>
    <x:t xml:space="preserve">WL.LBK.01</x:t>
  </x:si>
  <x:si>
    <x:t xml:space="preserve">ค.ลาดบัวขาว ถ.รามคำแหง</x:t>
  </x:si>
  <x:si>
    <x:t xml:space="preserve">2026-01-13T09:55:00+07:00</x:t>
  </x:si>
  <x:si>
    <x:t xml:space="preserve">{"canal_datetime":"2026-01-13 09:55","canal_value":-0.12,"canal_out":0,"agency":{"agency_name":{"th":"สำนักการระบายน้ำ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Bangkok","jp":""}},"geocode":{"area_code":"1","area_name":{"th":"กรุงเทพมหานคร","en":"Bangkok"},"amphoe_name":{"th":"สะพานสูง","en":"Saphan Sung District"},"tumbon_name":{"th":"สะพานสูง","en":"Saphan Sung"},"province_code":"10","province_name":{"th":"กรุงเทพมหานคร","en":"Bangkok"}},"station":{"id":217,"canal_name":{"th":"ค.ลาดบัวขาว ถ.รามคำแหง"},"canal_lat":13.79549,"canal_long":100.70761,"canal_oldcode":"WL.LBK.01","bank":2,"warning_level":0.4,"critical_level":0.6}}</x:t>
  </x:si>
  <x:si>
    <x:t xml:space="preserve">THAIWATER:144</x:t>
  </x:si>
  <x:si>
    <x:t xml:space="preserve">WL.JRN.01</x:t>
  </x:si>
  <x:si>
    <x:t xml:space="preserve">ส.คลองแจงร้อน</x:t>
  </x:si>
  <x:si>
    <x:t xml:space="preserve">{"canal_datetime":"2026-09-28 13:20","canal_value":0.22,"canal_out":0.53,"agency":{"agency_name":{"th":"สำนักการระบายน้ำ กรุงเทพมหานคร","en":"Department of Bangkok","jp":""}},"geocode":{"area_code":"2","area_name":{"th":"ภาคกลาง","en":"Central"},"amphoe_name":{"th":"พระประแดง","en":"Phra Pradaeng District"},"tumbon_name":{"th":"บางพึ่ง","en":"Bang Phueng"},"province_code":"11","province_name":{"th":"สมุทรปราการ","en":"Samut Prakan"}},"station":{"id":144,"canal_name":{"th":"ส.คลองแจงร้อน"},"canal_lat":13.67634,"canal_long":100.52111,"canal_oldcode":"WL.JRN.01","bank":2.8,"warning_level":2.6,"critical_level":2.8}}</x:t>
  </x:si>
  <x:si>
    <x:t xml:space="preserve">THAIWATER:160</x:t>
  </x:si>
  <x:si>
    <x:t xml:space="preserve">WL.KPM.04</x:t>
  </x:si>
  <x:si>
    <x:t xml:space="preserve">ค.เปรมประชากร-ค.บางตลาด*</x:t>
  </x:si>
  <x:si>
    <x:t xml:space="preserve">2026-09-28T13:30:00+07:00</x:t>
  </x:si>
  <x:si>
    <x:t xml:space="preserve">{"canal_datetime":"2026-09-28 13:30","canal_value":1.56,"canal_out":0,"agency":{"agency_name":{"th":"สำนักการระบายน้ำ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Bangkok","jp":""}},"geocode":{"area_code":"1","area_name":{"th":"กรุงเทพมหานคร","en":"Bangkok"},"amphoe_name":{"th":"หลักสี่","en":"Lak Si District"},"tumbon_name":{"th":"ทุ่งสองห้อง","en":"Thung Song Hong"},"province_code":"10","province_name":{"th":"กรุงเทพมหานคร","en":"Bangkok"}},"station":{"id":160,"canal_name":{"th":"ค.เปรมประชากร-ค.บางตลาด*"},"canal_lat":13.87546,"canal_long":100.57424,"canal_oldcode":"WL.KPM.04","bank":2,"warning_level":0.6,"critical_level":0.7}}</x:t>
  </x:si>
  <x:si>
    <x:t xml:space="preserve">THAIWATER:243</x:t>
  </x:si>
  <x:si>
    <x:t xml:space="preserve">WL.KSM.02</x:t>
  </x:si>
  <x:si>
    <x:t xml:space="preserve">ค.สาม มอเตอร์เวย์</x:t>
  </x:si>
  <x:si>
    <x:t xml:space="preserve">{"canal_datetime":"2026-09-28 13:20","canal_value":1,"canal_out":0,"agency":{"agency_name":{"th":"สำนักการระบายน้ำ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Bangkok","jp":""}},"geocode":{"area_code":"1","area_name":{"th":"กรุงเทพมหานคร","en":"Bangkok"},"amphoe_name":{"th":"ลาดกระบัง","en":"Lat Krabang District"},"tumbon_name":{"th":"คลองสามประเวศ","en":"Khlong Sam Prawet"},"province_code":"10","province_name":{"th":"กรุงเทพมหานคร","en":"Bangkok"}},"station":{"id":243,"canal_name":{"th":"ค.สาม มอเตอร์เวย์"},"canal_lat":13.7302,"canal_long":100.7541,"canal_oldcode":"WL.KSM.02","bank":1.4,"warning_level":0.5,"critical_level":0.6}}</x:t>
  </x:si>
  <x:si>
    <x:t xml:space="preserve">THAIWATER:283</x:t>
  </x:si>
  <x:si>
    <x:t xml:space="preserve">WL.TWW.02</x:t>
  </x:si>
  <x:si>
    <x:t xml:space="preserve">ค.ทวีวัฒนา ถ.บรมราชชนนี</x:t>
  </x:si>
  <x:si>
    <x:t xml:space="preserve">{"canal_datetime":"2026-09-28 13:20","canal_value":0.88,"canal_out":0,"agency":{"agency_name":{"th":"สำนักการระบายน้ำ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Bangkok","jp":""}},"geocode":{"area_code":"1","area_name":{"th":"กรุงเทพมหานคร","en":"Bangkok"},"amphoe_name":{"th":"ทวีวัฒนา","en":"Thawi Watthana District"},"tumbon_name":{"th":"ศาลาธรรมสพน์","en":"Sala Thammasop"},"province_code":"10","province_name":{"th":"กรุงเทพมหานคร","en":"Bangkok"}},"station":{"id":283,"canal_name":{"th":"ค.ทวีวัฒนา ถ.บรมราชชนนี"},"canal_lat":13.78838,"canal_long":100.33518,"canal_oldcode":"WL.TWW.02","bank":2,"warning_level":0.8,"critical_level":0.9}}</x:t>
  </x:si>
  <x:si>
    <x:t xml:space="preserve">THAIWATER:107</x:t>
  </x:si>
  <x:si>
    <x:t xml:space="preserve">WL.PWT.06</x:t>
  </x:si>
  <x:si>
    <x:t xml:space="preserve">ค.ประเวศฯ-ถ.ร่วมพัฒนา</x:t>
  </x:si>
  <x:si>
    <x:t xml:space="preserve">{"canal_datetime":"2026-09-28 13:20","canal_value":1,"canal_out":0,"agency":{"agency_name":{"th":"สำนักการระบายน้ำ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Bangkok","jp":""}},"geocode":{"area_code":"1","area_name":{"th":"กรุงเทพมหานคร","en":"Bangkok"},"amphoe_name":{"th":"ลาดกระบัง","en":"Lat Krabang District"},"tumbon_name":{"th":"ขุมทอง","en":"Khum Thong"},"province_code":"10","province_name":{"th":"กรุงเทพมหานคร","en":"Bangkok"}},"station":{"id":107,"canal_name":{"th":"ค.ประเวศฯ-ถ.ร่วมพัฒนา"},"canal_lat":13.70102,"canal_long":100.85095,"canal_oldcode":"WL.PWT.06","bank":1.85,"warning_level":0.4,"critical_level":0.6}}</x:t>
  </x:si>
  <x:si>
    <x:t xml:space="preserve">THAIWATER:83</x:t>
  </x:si>
  <x:si>
    <x:t xml:space="preserve">WL.STR.01</x:t>
  </x:si>
  <x:si>
    <x:t xml:space="preserve">ส.สาทร</x:t>
  </x:si>
  <x:si>
    <x:t xml:space="preserve">{"canal_datetime":"2026-09-28 13:20","canal_value":-0.97,"canal_out":0.23,"agency":{"agency_name":{"th":"สำนักการระบายน้ำ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Bangkok","jp":""}},"geocode":{"area_code":"1","area_name":{"th":"กรุงเทพมหานคร","en":"Bangkok"},"amphoe_name":{"th":"สาทร","en":"Sathon District"},"tumbon_name":{"th":"ยานนาวา","en":"Yan Nawa"},"province_code":"10","province_name":{"th":"กรุงเทพมหานคร","en":"Bangkok"}},"station":{"id":83,"canal_name":{"th":"ส.สาทร"},"canal_lat":13.71861,"canal_long":100.51499,"canal_oldcode":"WL.STR.01","bank":2.8,"warning_level":2.6,"critical_level":2.8}}</x:t>
  </x:si>
  <x:si>
    <x:t xml:space="preserve">THAIWATER:280</x:t>
  </x:si>
  <x:si>
    <x:t xml:space="preserve">WL.PWT.01</x:t>
  </x:si>
  <x:si>
    <x:t xml:space="preserve">ค.ประเวศ ซ.อ่อนนุช 17</x:t>
  </x:si>
  <x:si>
    <x:t xml:space="preserve">{"canal_datetime":"2026-09-28 13:20","canal_value":0.08,"canal_out":0,"agency":{"agency_name":{"th":"สำนักการระบายน้ำ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Bangkok","jp":""}},"geocode":{"area_code":"1","area_name":{"th":"กรุงเทพมหานคร","en":"Bangkok"},"amphoe_name":{"th":"สวนหลวง","en":"Suan Luang District"},"tumbon_name":{"th":"สวนหลวง","en":"Suan Luang"},"province_code":"10","province_name":{"th":"กรุงเทพมหานคร","en":"Bangkok"}},"station":{"id":280,"canal_name":{"th":"ค.ประเวศ ซ.อ่อนนุช 17"},"canal_lat":13.71556,"canal_long":100.6106,"canal_oldcode":"WL.PWT.01","bank":1.85,"warning_level":0.2,"critical_level":0.3}}</x:t>
  </x:si>
  <x:si>
    <x:t xml:space="preserve">THAIWATER:98</x:t>
  </x:si>
  <x:si>
    <x:t xml:space="preserve">WL.ORC.01</x:t>
  </x:si>
  <x:si>
    <x:t xml:space="preserve">ส.คลองอรชร</x:t>
  </x:si>
  <x:si>
    <x:t xml:space="preserve">{"canal_datetime":"2026-09-28 13:20","canal_value":-1.34,"canal_out":-0.12,"agency":{"agency_name":{"th":"สำนักการระบายน้ำ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Bangkok","jp":""}},"geocode":{"area_code":"1","area_name":{"th":"กรุงเทพมหานคร","en":"Bangkok"},"amphoe_name":{"th":"ปทุมวัน","en":"Pathum Wan District"},"tumbon_name":{"th":"ปทุมวัน","en":"Pathum Wan"},"province_code":"10","province_name":{"th":"กรุงเทพมหานคร","en":"Bangkok"}},"station":{"id":98,"canal_name":{"th":"ส.คลองอรชร"},"canal_lat":13.74795,"canal_long":100.53615,"canal_oldcode":"WL.ORC.01","bank":1.85,"warning_level":0,"critical_level":0.1}}</x:t>
  </x:si>
  <x:si>
    <x:t xml:space="preserve">THAIWATER:258</x:t>
  </x:si>
  <x:si>
    <x:t xml:space="preserve">WL.BBR.02</x:t>
  </x:si>
  <x:si>
    <x:t xml:space="preserve">ค.บางบำหรุ ถ.สิรินธร</x:t>
  </x:si>
  <x:si>
    <x:t xml:space="preserve">บางพลัด</x:t>
  </x:si>
  <x:si>
    <x:t xml:space="preserve">{"canal_datetime":"2026-09-28 13:15","canal_value":-0.31,"canal_out":0,"agency":{"agency_name":{"th":"สำนักการระบายน้ำ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Bangkok","jp":""}},"geocode":{"area_code":"1","area_name":{"th":"กรุงเทพมหานคร","en":"Bangkok"},"amphoe_name":{"th":"บางพลัด","en":"Bang Phlat District"},"tumbon_name":{"th":"บางบำหรุ","en":"Bang Bamru"},"province_code":"10","province_name":{"th":"กรุงเทพมหานคร","en":"Bangkok"}},"station":{"id":258,"canal_name":{"th":"ค.บางบำหรุ ถ.สิรินธร"},"canal_lat":13.78876,"canal_long":100.48166,"canal_oldcode":"WL.BBR.02","bank":1,"warning_level":0.7,"critical_level":0.8}}</x:t>
  </x:si>
  <x:si>
    <x:t xml:space="preserve">THAIWATER:668</x:t>
  </x:si>
  <x:si>
    <x:t xml:space="preserve">WL.CYI.03</x:t>
  </x:si>
  <x:si>
    <x:t xml:space="preserve">ค.ชวดใหญ่ คลองลาดพร้าว</x:t>
  </x:si>
  <x:si>
    <x:t xml:space="preserve">{"canal_datetime":"2026-09-28 13:20","canal_value":0.46,"canal_out":0,"agency":{"agency_name":{"th":"สำนักการระบายน้ำ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District"},"tumbon_name":{"th":"บางกะปิ","en":"Bang Kapi"},"province_code":"10","province_name":{"th":"กรุงเทพมหานคร","en":"Bangkok"}},"station":{"id":668,"canal_name":{"th":"ค.ชวดใหญ่ คลองลาดพร้าว"},"canal_lat":13.7631,"canal_long":100.59243,"canal_oldcode":"WL.CYI.03","bank":null,"warning_level":null,"critical_level":null}}</x:t>
  </x:si>
  <x:si>
    <x:t xml:space="preserve">THAIWATER:51</x:t>
  </x:si>
  <x:si>
    <x:t xml:space="preserve">WL.BPM.02</x:t>
  </x:si>
  <x:si>
    <x:t xml:space="preserve">ค.บางพรม ถ.ฉิมพลี</x:t>
  </x:si>
  <x:si>
    <x:t xml:space="preserve">{"canal_datetime":"2026-09-28 13:20","canal_value":0.54,"canal_out":0,"agency":{"agency_name":{"th":"สำนักการระบายน้ำ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Bangkok","jp":""}},"geocode":{"area_code":"1","area_name":{"th":"กรุงเทพมหานคร","en":"Bangkok"},"amphoe_name":{"th":"ตลิ่งชัน","en":"Taling Chan District"},"tumbon_name":{"th":"บางพรม","en":"Bang Phrom"},"province_code":"10","province_name":{"th":"กรุงเทพมหานคร","en":"Bangkok"}},"station":{"id":51,"canal_name":{"th":"ค.บางพรม ถ.ฉิมพลี"},"canal_lat":13.75707,"canal_long":100.43334,"canal_oldcode":"WL.BPM.02","bank":1.91,"warning_level":0.6,"critical_level":0.7}}</x:t>
  </x:si>
  <x:si>
    <x:t xml:space="preserve">THAIWATER:134</x:t>
  </x:si>
  <x:si>
    <x:t xml:space="preserve">WL.KMN.01</x:t>
  </x:si>
  <x:si>
    <x:t xml:space="preserve">ส.คลองมอญ</x:t>
  </x:si>
  <x:si>
    <x:t xml:space="preserve">บางกอกใหญ่</x:t>
  </x:si>
  <x:si>
    <x:t xml:space="preserve">{"canal_datetime":"2026-09-28 13:20","canal_value":0.14,"canal_out":1.1,"agency":{"agency_name":{"th":"สำนักการระบายน้ำ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Bangkok","jp":""}},"geocode":{"area_code":"1","area_name":{"th":"กรุงเทพมหานคร","en":"Bangkok"},"amphoe_name":{"th":"บางกอกใหญ่","en":"Bangkok Yai District"},"tumbon_name":{"th":"วัดอรุณ","en":"Wat Arun"},"province_code":"10","province_name":{"th":"กรุงเทพมหานคร","en":"Bangkok"}},"station":{"id":134,"canal_name":{"th":"ส.คลองมอญ"},"canal_lat":13.74703,"canal_long":100.48489,"canal_oldcode":"WL.KMN.01","bank":3,"warning_level":2.8,"critical_level":3}}</x:t>
  </x:si>
  <x:si>
    <x:t xml:space="preserve">THAIWATER:186</x:t>
  </x:si>
  <x:si>
    <x:t xml:space="preserve">WL.PSI.01</x:t>
  </x:si>
  <x:si>
    <x:t xml:space="preserve">ค.พร้อมศรี 2 ถ.สุขุมวิท 49/13</x:t>
  </x:si>
  <x:si>
    <x:t xml:space="preserve">{"canal_datetime":"2026-09-28 13:20","canal_value":-1.59,"canal_out":0,"agency":{"agency_name":{"th":"สำนักการระบายน้ำ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Bangkok","jp":""}},"geocode":{"area_code":"1","area_name":{"th":"กรุงเทพมหานคร","en":"Bangkok"},"amphoe_name":{"th":"วัฒนา","en":"Vadhana District"},"tumbon_name":{"th":"คลองตันเหนือ","en":"Khlong Tan Nuea"},"province_code":"10","province_name":{"th":"กรุงเทพมหานคร","en":"Bangkok"}},"station":{"id":186,"canal_name":{"th":"ค.พร้อมศรี 2 ถ.สุขุมวิท 49/13"},"canal_lat":13.73827,"canal_long":100.57522,"canal_oldcode":"WL.PSI.01","bank":0,"warning_level":-0.2,"critical_level":0}}</x:t>
  </x:si>
  <x:si>
    <x:t xml:space="preserve">THAIWATER:273</x:t>
  </x:si>
  <x:si>
    <x:t xml:space="preserve">WL.WTN.02</x:t>
  </x:si>
  <x:si>
    <x:t xml:space="preserve">คูน้ำวัฒนา รร.วัฒนาวิทยาลัย</x:t>
  </x:si>
  <x:si>
    <x:t xml:space="preserve">2026-09-27T08:55:00+07:00</x:t>
  </x:si>
  <x:si>
    <x:t xml:space="preserve">{"canal_datetime":"2026-09-27 08:55","canal_value":-1.23,"canal_out":0,"agency":{"agency_name":{"th":"สำนักการระบายน้ำ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Bangkok","jp":""}},"geocode":{"area_code":"1","area_name":{"th":"กรุงเทพมหานคร","en":"Bangkok"},"amphoe_name":{"th":"วัฒนา","en":"Vadhana District"},"tumbon_name":{"th":"คลองเตยเหนือ","en":"Khlong Toei Nuea"},"province_code":"10","province_name":{"th":"กรุงเทพมหานคร","en":"Bangkok"}},"station":{"id":273,"canal_name":{"th":"คูน้ำวัฒนา รร.วัฒนาวิทยาลัย"},"canal_lat":13.74233,"canal_long":100.56054,"canal_oldcode":"WL.WTN.02","bank":0.2,"warning_level":-0.2,"critical_level":0}}</x:t>
  </x:si>
  <x:si>
    <x:t xml:space="preserve">THAIWATER:253</x:t>
  </x:si>
  <x:si>
    <x:t xml:space="preserve">WL.TTN.01</x:t>
  </x:si>
  <x:si>
    <x:t xml:space="preserve">ค.ลาดโตนด ปตร.คลองลาดโตนด</x:t>
  </x:si>
  <x:si>
    <x:t xml:space="preserve">2026-09-28T10:50:00+07:00</x:t>
  </x:si>
  <x:si>
    <x:t xml:space="preserve">{"canal_datetime":"2026-09-28 10:50","canal_value":1,"canal_out":0,"agency":{"agency_name":{"th":"สำนักการระบายน้ำ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Bangkok","jp":""}},"geocode":{"area_code":"1","area_name":{"th":"กรุงเทพมหานคร","en":"Bangkok"},"amphoe_name":{"th":"หลักสี่","en":"Lak Si District"},"tumbon_name":{"th":"ทุ่งสองห้อง","en":"Thung Song Hong"},"province_code":"10","province_name":{"th":"กรุงเทพมหานคร","en":"Bangkok"}},"station":{"id":253,"canal_name":{"th":"ค.ลาดโตนด ปตร.คลองลาดโตนด"},"canal_lat":13.85509,"canal_long":100.56001,"canal_oldcode":"WL.TTN.01","bank":1,"warning_level":0.1,"critical_level":0.2}}</x:t>
  </x:si>
  <x:si>
    <x:t xml:space="preserve">THAIWATER:178</x:t>
  </x:si>
  <x:si>
    <x:t xml:space="preserve">WL.KJG.01</x:t>
  </x:si>
  <x:si>
    <x:t xml:space="preserve">ค.จิก ถ.หัวหมาก</x:t>
  </x:si>
  <x:si>
    <x:t xml:space="preserve">{"canal_datetime":"2026-09-28 13:20","canal_value":0.46,"canal_out":0,"agency":{"agency_name":{"th":"สำนักการระบายน้ำ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Bangkok","jp":""}},"geocode":{"area_code":"1","area_name":{"th":"กรุงเทพมหานคร","en":"Bangkok"},"amphoe_name":{"th":"บางกะปิ","en":"Bang Kapi District"},"tumbon_name":{"th":"หัวหมาก","en":"Hua Mak"},"province_code":"10","province_name":{"th":"กรุงเทพมหานคร","en":"Bangkok"}},"station":{"id":178,"canal_name":{"th":"ค.จิก ถ.หัวหมาก"},"canal_lat":13.7528,"canal_long":100.63296,"canal_oldcode":"WL.KJG.01","bank":1,"warning_level":-0.2,"critical_level":0}}</x:t>
  </x:si>
  <x:si>
    <x:t xml:space="preserve">THAIWATER:108</x:t>
  </x:si>
  <x:si>
    <x:t xml:space="preserve">WL.NBN.01</x:t>
  </x:si>
  <x:si>
    <x:t xml:space="preserve">ส.บึงหนองบอน</x:t>
  </x:si>
  <x:si>
    <x:t xml:space="preserve">{"canal_datetime":"2026-09-28 13:20","canal_value":-4.27,"canal_out":-0.47,"agency":{"agency_name":{"th":"สำนักการระบายน้ำ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Bangkok","jp":""}},"geocode":{"area_code":"1","area_name":{"th":"กรุงเทพมหานคร","en":"Bangkok"},"amphoe_name":{"th":"ประเวศ","en":"Prawet District"},"tumbon_name":{"th":"หนองบอน","en":"Nong Bon"},"province_code":"10","province_name":{"th":"กรุงเทพมหานคร","en":"Bangkok"}},"station":{"id":108,"canal_name":{"th":"ส.บึงหนองบอน"},"canal_lat":13.69479,"canal_long":100.6535,"canal_oldcode":"WL.NBN.01","bank":1.98,"warning_level":-0.1,"critical_level":0}}</x:t>
  </x:si>
  <x:si>
    <x:t xml:space="preserve">THAIWATER:141</x:t>
  </x:si>
  <x:si>
    <x:t xml:space="preserve">WL.DKN.01</x:t>
  </x:si>
  <x:si>
    <x:t xml:space="preserve">ส.ดาวคะนอง</x:t>
  </x:si>
  <x:si>
    <x:t xml:space="preserve">{"canal_datetime":"2026-09-28 13:20","canal_value":0.2,"canal_out":0.66,"agency":{"agency_name":{"th":"สำนักการระบายน้ำ กรุงเทพมหานคร","en":"Department of Bangkok","jp":""}},"geocode":{"area_code":"2","area_name":{"th":"กรุงเทพมหานคร","en":"Bangkok"},"amphoe_name":{"th":"ธนบุรี","en":"Thon Buri District"},"tumbon_name":{"th":"ดาวคะนอง","en":"Dao Khanong"},"province_code":"10","province_name":{"th":"กรุงเทพมหานคร","en":"Bangkok"}},"station":{"id":141,"canal_name":{"th":"ส.ดาวคะนอง"},"canal_lat":13.69486,"canal_long":100.48759,"canal_oldcode":"WL.DKN.01","bank":1.99,"warning_level":2.6,"critical_level":2.8}}</x:t>
  </x:si>
  <x:si>
    <x:t xml:space="preserve">THAIWATER:242</x:t>
  </x:si>
  <x:si>
    <x:t xml:space="preserve">WL.KSM.01</x:t>
  </x:si>
  <x:si>
    <x:t xml:space="preserve">ค.สาม ร่มเกล้า 17</x:t>
  </x:si>
  <x:si>
    <x:t xml:space="preserve">{"canal_datetime":"2026-09-28 13:20","canal_value":1.12,"canal_out":0,"agency":{"agency_name":{"th":"สำนักการระบายน้ำ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Bangkok","jp":""}},"geocode":{"area_code":"1","area_name":{"th":"กรุงเทพมหานคร","en":"Bangkok"},"amphoe_name":{"th":"ลาดกระบัง","en":"Lat Krabang District"},"tumbon_name":{"th":"คลองสามประเวศ","en":"Khlong Sam Prawet"},"province_code":"10","province_name":{"th":"กรุงเทพมหานคร","en":"Bangkok"}},"station":{"id":242,"canal_name":{"th":"ค.สาม ร่มเกล้า 17"},"canal_lat":13.77538,"canal_long":100.75395,"canal_oldcode":"WL.KSM.01","bank":1.5,"warning_level":0.6,"critical_level":0.7}}</x:t>
  </x:si>
  <x:si>
    <x:t xml:space="preserve">THAIWATER:81</x:t>
  </x:si>
  <x:si>
    <x:t xml:space="preserve">WL.PWT.04</x:t>
  </x:si>
  <x:si>
    <x:t xml:space="preserve">ปตร.คลองประเวศฯ-ลาดกระบัง</x:t>
  </x:si>
  <x:si>
    <x:t xml:space="preserve">{"canal_datetime":"2026-09-28 13:20","canal_value":0.82,"canal_out":0.94,"agency":{"agency_name":{"th":"สำนักการระบายน้ำ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Bangkok","jp":""}},"geocode":{"area_code":"1","area_name":{"th":"กรุงเทพมหานคร","en":"Bangkok"},"amphoe_name":{"th":"ลาดกระบัง","en":"Lat Krabang District"},"tumbon_name":{"th":"ลาดกระบัง","en":"Lat Krabang"},"province_code":"10","province_name":{"th":"กรุงเทพมหานคร","en":"Bangkok"}},"station":{"id":81,"canal_name":{"th":"ปตร.คลองประเวศฯ-ลาดกระบัง"},"canal_lat":13.72411,"canal_long":100.74987,"canal_oldcode":"WL.PWT.04","bank":1.98,"warning_level":0.4,"critical_level":0.6}}</x:t>
  </x:si>
  <x:si>
    <x:t xml:space="preserve">THAIWATER:165</x:t>
  </x:si>
  <x:si>
    <x:t xml:space="preserve">WL.BTL.01</x:t>
  </x:si>
  <x:si>
    <x:t xml:space="preserve">ค.บางตลาด-ท่าทราย</x:t>
  </x:si>
  <x:si>
    <x:t xml:space="preserve">{"canal_datetime":"2026-09-28 13:20","canal_value":0.2,"canal_out":0,"agency":{"agency_name":{"th":"สำนักการระบายน้ำ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Bangkok","jp":""}},"geocode":{"area_code":"1","area_name":{"th":"กรุงเทพมหานคร","en":"Bangkok"},"amphoe_name":{"th":"หลักสี่","en":"Lak Si District"},"tumbon_name":{"th":"ทุ่งสองห้อง","en":"Thung Song Hong"},"province_code":"10","province_name":{"th":"กรุงเทพมหานคร","en":"Bangkok"}},"station":{"id":165,"canal_name":{"th":"ค.บางตลาด-ท่าทราย"},"canal_lat":13.87579,"canal_long":100.55819,"canal_oldcode":"WL.BTL.01","bank":1,"warning_level":1.6,"critical_level":1.8}}</x:t>
  </x:si>
  <x:si>
    <x:t xml:space="preserve">THAIWATER:84</x:t>
  </x:si>
  <x:si>
    <x:t xml:space="preserve">WL.PWT.02</x:t>
  </x:si>
  <x:si>
    <x:t xml:space="preserve">ค.ประเวศฯ-วัดขจรฯ</x:t>
  </x:si>
  <x:si>
    <x:t xml:space="preserve">{"canal_datetime":"2026-09-28 13:20","canal_value":0.56,"canal_out":0,"agency":{"agency_name":{"th":"สำนักการระบายน้ำ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Bangkok","jp":""}},"geocode":{"area_code":"1","area_name":{"th":"กรุงเทพมหานคร","en":"Bangkok"},"amphoe_name":{"th":"สวนหลวง","en":"Suan Luang District"},"tumbon_name":{"th":"สวนหลวง","en":"Suan Luang"},"province_code":"10","province_name":{"th":"กรุงเทพมหานคร","en":"Bangkok"}},"station":{"id":84,"canal_name":{"th":"ค.ประเวศฯ-วัดขจรฯ"},"canal_lat":13.71537,"canal_long":100.64117,"canal_oldcode":"WL.PWT.02","bank":1.85,"warning_level":0.4,"critical_level":0.5}}</x:t>
  </x:si>
  <x:si>
    <x:t xml:space="preserve">THAIWATER:87</x:t>
  </x:si>
  <x:si>
    <x:t xml:space="preserve">WL.KJK.01</x:t>
  </x:si>
  <x:si>
    <x:t xml:space="preserve">ส.คลองเจ็ก</x:t>
  </x:si>
  <x:si>
    <x:t xml:space="preserve">{"canal_datetime":"2026-09-28 13:20","canal_value":-1.06,"canal_out":0.26,"agency":{"agency_name":{"th":"สำนักการระบายน้ำ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Bangkok","jp":""}},"geocode":{"area_code":"1","area_name":{"th":"กรุงเทพมหานคร","en":"Bangkok"},"amphoe_name":{"th":"พระโขนง","en":"Phra Khanong District"},"tumbon_name":{"th":"บางจาก","en":"Bang Chak"},"province_code":"10","province_name":{"th":"กรุงเทพมหานคร","en":"Bangkok"}},"station":{"id":87,"canal_name":{"th":"ส.คลองเจ็ก"},"canal_lat":13.6922,"canal_long":100.5898,"canal_oldcode":"WL.KJK.01","bank":2.8,"warning_level":2.6,"critical_level":2.8}}</x:t>
  </x:si>
  <x:si>
    <x:t xml:space="preserve">THAIWATER:195</x:t>
  </x:si>
  <x:si>
    <x:t xml:space="preserve">WL.SKT.02</x:t>
  </x:si>
  <x:si>
    <x:t xml:space="preserve">ค.ทรงกระเทียม ปตร.คลองทรงกระเทียม</x:t>
  </x:si>
  <x:si>
    <x:t xml:space="preserve">{"canal_datetime":"2026-09-28 13:20","canal_value":0.13,"canal_out":0,"agency":{"agency_name":{"th":"สำนักการระบายน้ำ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Bangkok","jp":""}},"geocode":{"area_code":"1","area_name":{"th":"กรุงเทพมหานคร","en":"Bangkok"},"amphoe_name":{"th":"บางกะปิ","en":"Bang Kapi District"},"tumbon_name":{"th":"คลองจั่น","en":"Khlong Chan"},"province_code":"10","province_name":{"th":"กรุงเทพมหานคร","en":"Bangkok"}},"station":{"id":195,"canal_name":{"th":"ค.ทรงกระเทียม ปตร.คลองทรงกระเทียม"},"canal_lat":13.80003,"canal_long":100.62285,"canal_oldcode":"WL.SKT.02","bank":0.8,"warning_level":-0.2,"critical_level":0}}</x:t>
  </x:si>
  <x:si>
    <x:t xml:space="preserve">THAIWATER:281</x:t>
  </x:si>
  <x:si>
    <x:t xml:space="preserve">WL.KSO.01</x:t>
  </x:si>
  <x:si>
    <x:t xml:space="preserve">ค.ซอย ถ.บรมราชชนนี</x:t>
  </x:si>
  <x:si>
    <x:t xml:space="preserve">{"canal_datetime":"2026-09-28 13:20","canal_value":0.93,"canal_out":0,"agency":{"agency_name":{"th":"สำนักการระบายน้ำ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Bangkok","jp":""}},"geocode":{"area_code":"1","area_name":{"th":"กรุงเทพมหานคร","en":"Bangkok"},"amphoe_name":{"th":"ทวีวัฒนา","en":"Thawi Watthana District"},"tumbon_name":{"th":"ศาลาธรรมสพน์","en":"Sala Thammasop"},"province_code":"10","province_name":{"th":"กรุงเทพมหานคร","en":"Bangkok"}},"station":{"id":281,"canal_name":{"th":"ค.ซอย ถ.บรมราชชนนี"},"canal_lat":13.78884,"canal_long":100.35271,"canal_oldcode":"WL.KSO.01","bank":2,"warning_level":0.8,"critical_level":0.9}}</x:t>
  </x:si>
  <x:si>
    <x:t xml:space="preserve">THAIWATER:53</x:t>
  </x:si>
  <x:si>
    <x:t xml:space="preserve">WL.BPM.04</x:t>
  </x:si>
  <x:si>
    <x:t xml:space="preserve">ค.บางพรม ถ.พุทธฯสาย 3</x:t>
  </x:si>
  <x:si>
    <x:t xml:space="preserve">{"canal_datetime":"2026-09-28 13:20","canal_value":0.78,"canal_out":0,"agency":{"agency_name":{"th":"สำนักการระบายน้ำ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Bangkok","jp":""}},"geocode":{"area_code":"1","area_name":{"th":"กรุงเทพมหานคร","en":"Bangkok"},"amphoe_name":{"th":"ทวีวัฒนา","en":"Thawi Watthana District"},"tumbon_name":{"th":"ทวีวัฒนา","en":"Thawi Watthana"},"province_code":"10","province_name":{"th":"กรุงเทพมหานคร","en":"Bangkok"}},"station":{"id":53,"canal_name":{"th":"ค.บางพรม ถ.พุทธฯสาย 3"},"canal_lat":13.76866,"canal_long":100.36401,"canal_oldcode":"WL.BPM.04","bank":1.91,"warning_level":0.6,"critical_level":1}}</x:t>
  </x:si>
  <x:si>
    <x:t xml:space="preserve">THAIWATER:54</x:t>
  </x:si>
  <x:si>
    <x:t xml:space="preserve">WL.BSU.02</x:t>
  </x:si>
  <x:si>
    <x:t xml:space="preserve">ค.เปรมฯ ถ.พระราม 5</x:t>
  </x:si>
  <x:si>
    <x:t xml:space="preserve">2026-09-24T04:30:00+07:00</x:t>
  </x:si>
  <x:si>
    <x:t xml:space="preserve">{"canal_datetime":"2026-09-24 04:30","canal_value":-0.98,"canal_out":0,"agency":{"agency_name":{"th":"สำนักการระบายน้ำ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Bangkok","jp":""}},"geocode":{"area_code":"1","area_name":{"th":"กรุงเทพมหานคร","en":"Bangkok"},"amphoe_name":{"th":"ดุสิต","en":"Dusit District"},"tumbon_name":{"th":"ถนนนครไชยศรี","en":"Thanon Nakhon Chaisi"},"province_code":"10","province_name":{"th":"กรุงเทพมหานคร","en":"Bangkok"}},"station":{"id":54,"canal_name":{"th":"ค.เปรมฯ ถ.พระราม 5"},"canal_lat":13.79815,"canal_long":100.53226,"canal_oldcode":"WL.BSU.02","bank":1.91,"warning_level":0.3,"critical_level":0.4}}</x:t>
  </x:si>
  <x:si>
    <x:t xml:space="preserve">THAIWATER:208</x:t>
  </x:si>
  <x:si>
    <x:t xml:space="preserve">WL.BNJ.01</x:t>
  </x:si>
  <x:si>
    <x:t xml:space="preserve">ค.บางนางจีน ส.สูบน้ำบางนางจีน</x:t>
  </x:si>
  <x:si>
    <x:t xml:space="preserve">{"canal_datetime":"2026-09-28 13:20","canal_value":-0.07,"canal_out":0,"agency":{"agency_name":{"th":"สำนักการระบายน้ำ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Bangkok","jp":""}},"geocode":{"area_code":"1","area_name":{"th":"กรุงเทพมหานคร","en":"Bangkok"},"amphoe_name":{"th":"วัฒนา","en":"Vadhana District"},"tumbon_name":{"th":"พระโขนงเหนือ","en":"Phra Khanong Nuea"},"province_code":"10","province_name":{"th":"กรุงเทพมหานคร","en":"Bangkok"}},"station":{"id":208,"canal_name":{"th":"ค.บางนางจีน ส.สูบน้ำบางนางจีน"},"canal_lat":13.71075,"canal_long":100.60308,"canal_oldcode":"WL.BNJ.01","bank":0.7,"warning_level":-0.5,"critical_level":-0.4}}</x:t>
  </x:si>
  <x:si>
    <x:t xml:space="preserve">THAIWATER:63</x:t>
  </x:si>
  <x:si>
    <x:t xml:space="preserve">WL.SWA.01</x:t>
  </x:si>
  <x:si>
    <x:t xml:space="preserve">ปตร.คลองสามวา </x:t>
  </x:si>
  <x:si>
    <x:t xml:space="preserve">{"canal_datetime":"2026-09-28 13:20","canal_value":1.18,"canal_out":1.53,"agency":{"agency_name":{"th":"สำนักการระบายน้ำ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Bangkok","jp":""}},"geocode":{"area_code":"1","area_name":{"th":"กรุงเทพมหานคร","en":"Bangkok"},"amphoe_name":{"th":"คลองสามวา","en":"Khlong Sam Wa District"},"tumbon_name":{"th":"บางขัน","en":"Bang Khan"},"province_code":"10","province_name":{"th":"กรุงเทพมหานคร","en":"Bangkok"}},"station":{"id":63,"canal_name":{"th":"ปตร.คลองสามวา "},"canal_lat":13.85956,"canal_long":100.72931,"canal_oldcode":"WL.SWA.01","bank":1.98,"warning_level":1.1,"critical_level":1.3}}</x:t>
  </x:si>
  <x:si>
    <x:t xml:space="preserve">THAIWATER:240</x:t>
  </x:si>
  <x:si>
    <x:t xml:space="preserve">WL.BOA.02</x:t>
  </x:si>
  <x:si>
    <x:t xml:space="preserve">ค.บางอ้อ ซ.สุขุมวิท 64</x:t>
  </x:si>
  <x:si>
    <x:t xml:space="preserve">{"canal_datetime":"2026-09-28 13:20","canal_value":-1.24,"canal_out":0,"agency":{"agency_name":{"th":"สำนักการระบายน้ำ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Bangkok","jp":""}},"geocode":{"area_code":"1","area_name":{"th":"กรุงเทพมหานคร","en":"Bangkok"},"amphoe_name":{"th":"พระโขนง","en":"Phra Khanong District"},"tumbon_name":{"th":"บางจาก","en":"Bang Chak"},"province_code":"10","province_name":{"th":"กรุงเทพมหานคร","en":"Bangkok"}},"station":{"id":240,"canal_name":{"th":"ค.บางอ้อ ซ.สุขุมวิท 64"},"canal_lat":13.68559,"canal_long":100.60441,"canal_oldcode":"WL.BOA.02","bank":0,"warning_level":-0.2,"critical_level":0}}</x:t>
  </x:si>
  <x:si>
    <x:t xml:space="preserve">THAIWATER:118</x:t>
  </x:si>
  <x:si>
    <x:t xml:space="preserve">WL.PKG.01</x:t>
  </x:si>
  <x:si>
    <x:t xml:space="preserve">ส.ปากคลองตลาด</x:t>
  </x:si>
  <x:si>
    <x:t xml:space="preserve">{"canal_datetime":"2026-09-28 13:20","canal_value":0.99,"canal_out":0,"agency":{"agency_name":{"th":"สำนักการระบายน้ำ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Bangkok","jp":""}},"geocode":{"area_code":"1","area_name":{"th":"กรุงเทพมหานคร","en":"Bangkok"},"amphoe_name":{"th":"พระนคร","en":"Phra Nakhon District"},"tumbon_name":{"th":"พระบรมมหาราชวัง","en":"Phraborom Maharatchawang"},"province_code":"10","province_name":{"th":"กรุงเทพมหานคร","en":"Bangkok"}},"station":{"id":118,"canal_name":{"th":"ส.ปากคลองตลาด"},"canal_lat":13.74218,"canal_long":100.49466,"canal_oldcode":"WL.PKG.01","bank":3,"warning_level":2.8,"critical_level":3}}</x:t>
  </x:si>
  <x:si>
    <x:t xml:space="preserve">THAIWATER:171</x:t>
  </x:si>
  <x:si>
    <x:t xml:space="preserve">WL.STN.01</x:t>
  </x:si>
  <x:si>
    <x:t xml:space="preserve">ค.สองต้นนุ่น ถ.รามคำแหง </x:t>
  </x:si>
  <x:si>
    <x:t xml:space="preserve">{"canal_datetime":"2026-09-28 13:15","canal_value":0.86,"canal_out":0,"agency":{"agency_name":{"th":"สำนักการระบายน้ำ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Bangkok","jp":""}},"geocode":{"area_code":"1","area_name":{"th":"กรุงเทพมหานคร","en":"Bangkok"},"amphoe_name":{"th":"มีนบุรี","en":"Min Buri District"},"tumbon_name":{"th":"มีนบุรี","en":"Min Buri"},"province_code":"10","province_name":{"th":"กรุงเทพมหานคร","en":"Bangkok"}},"station":{"id":171,"canal_name":{"th":"ค.สองต้นนุ่น ถ.รามคำแหง "},"canal_lat":13.80817,"canal_long":100.73067,"canal_oldcode":"WL.STN.01","bank":2,"warning_level":0.4,"critical_level":0.6}}</x:t>
  </x:si>
  <x:si>
    <x:t xml:space="preserve">THAIWATER:241</x:t>
  </x:si>
  <x:si>
    <x:t xml:space="preserve">WL.KJK.02</x:t>
  </x:si>
  <x:si>
    <x:t xml:space="preserve">ค.เจ็ก ถ.สุขุมวิท 60/1</x:t>
  </x:si>
  <x:si>
    <x:t xml:space="preserve">{"canal_datetime":"2026-09-28 13:20","canal_value":-0.82,"canal_out":0,"agency":{"agency_name":{"th":"สำนักการระบายน้ำ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Bangkok","jp":""}},"geocode":{"area_code":"1","area_name":{"th":"กรุงเทพมหานคร","en":"Bangkok"},"amphoe_name":{"th":"พระโขนง","en":"Phra Khanong District"},"tumbon_name":{"th":"บางจาก","en":"Bang Chak"},"province_code":"10","province_name":{"th":"กรุงเทพมหานคร","en":"Bangkok"}},"station":{"id":241,"canal_name":{"th":"ค.เจ็ก ถ.สุขุมวิท 60/1"},"canal_lat":13.69734,"canal_long":100.6024,"canal_oldcode":"WL.KJK.02","bank":0,"warning_level":-0.2,"critical_level":0}}</x:t>
  </x:si>
  <x:si>
    <x:t xml:space="preserve">THAIWATER:159</x:t>
  </x:si>
  <x:si>
    <x:t xml:space="preserve">WL.KPM.02</x:t>
  </x:si>
  <x:si>
    <x:t xml:space="preserve">ค.เปรมประชากร ถ.รัชดาภิเษก</x:t>
  </x:si>
  <x:si>
    <x:t xml:space="preserve">2024-04-01T11:25:00+07:00</x:t>
  </x:si>
  <x:si>
    <x:t xml:space="preserve">{"canal_datetime":"2024-04-01 11:25","canal_value":1,"canal_out":0,"agency":{"agency_name":{"th":"สำนักการระบายน้ำ กรุงเทพมหานคร","en":"Department of Bangkok","jp":""}},"geocode":{"area_code":"2","area_name":{"th":"ภาคกลาง","en":"Central"},"amphoe_name":{"th":"จตุจักร","en":"Chatuchak District"},"tumbon_name":{"th":"จตุจักร","en":"Chatuchak"},"province_code":"10","province_name":{"th":"กรุงเทพมหานคร","en":"Bangkok"}},"station":{"id":159,"canal_name":{"th":"ค.เปรมประชากร ถ.รัชดาภิเษก"},"canal_lat":13.82993,"canal_long":100.54935,"canal_oldcode":"WL.KPM.02","bank":1,"warning_level":0.4,"critical_level":0.5}}</x:t>
  </x:si>
  <x:si>
    <x:t xml:space="preserve">THAIWATER:52</x:t>
  </x:si>
  <x:si>
    <x:t xml:space="preserve">WL.BPM.03</x:t>
  </x:si>
  <x:si>
    <x:t xml:space="preserve">ค.บางพรม ถ.กาญจนาฯ</x:t>
  </x:si>
  <x:si>
    <x:t xml:space="preserve">{"canal_datetime":"2026-09-28 13:20","canal_value":0.8,"canal_out":0,"agency":{"agency_name":{"th":"สำนักการระบายน้ำ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Bangkok","jp":""}},"geocode":{"area_code":"1","area_name":{"th":"กรุงเทพมหานคร","en":"Bangkok"},"amphoe_name":{"th":"ทวีวัฒนา","en":"Thawi Watthana District"},"tumbon_name":{"th":"ทวีวัฒนา","en":"Thawi Watthana"},"province_code":"10","province_name":{"th":"กรุงเทพมหานคร","en":"Bangkok"}},"station":{"id":52,"canal_name":{"th":"ค.บางพรม ถ.กาญจนาฯ"},"canal_lat":13.76264,"canal_long":100.39624,"canal_oldcode":"WL.BPM.03","bank":1.91,"warning_level":0.6,"critical_level":0.7}}</x:t>
  </x:si>
  <x:si>
    <x:t xml:space="preserve">THAIWATER:229</x:t>
  </x:si>
  <x:si>
    <x:t xml:space="preserve">WL.YPN.01</x:t>
  </x:si>
  <x:si>
    <x:t xml:space="preserve">ค.ยายเผื่อน แฮปปี้แลนด์</x:t>
  </x:si>
  <x:si>
    <x:t xml:space="preserve">{"canal_datetime":"2026-09-28 13:20","canal_value":0.77,"canal_out":0,"agency":{"agency_name":{"th":"สำนักการระบายน้ำ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Bangkok","jp":""}},"geocode":{"area_code":"1","area_name":{"th":"กรุงเทพมหานคร","en":"Bangkok"},"amphoe_name":{"th":"บางกะปิ","en":"Bang Kapi District"},"tumbon_name":{"th":"คลองจั่น","en":"Khlong Chan"},"province_code":"10","province_name":{"th":"กรุงเทพมหานคร","en":"Bangkok"}},"station":{"id":229,"canal_name":{"th":"ค.ยายเผื่อน แฮปปี้แลนด์"},"canal_lat":13.77868,"canal_long":100.64013,"canal_oldcode":"WL.YPN.01","bank":0,"warning_level":-0.2,"critical_level":0}}</x:t>
  </x:si>
  <x:si>
    <x:t xml:space="preserve">THAIWATER:290</x:t>
  </x:si>
  <x:si>
    <x:t xml:space="preserve">WL.SDN.01</x:t>
  </x:si>
  <x:si>
    <x:t xml:space="preserve">ค.สวนแดน ถ.ชัยพฤกษ์</x:t>
  </x:si>
  <x:si>
    <x:t xml:space="preserve">{"canal_datetime":"2026-09-28 13:20","canal_value":0.23,"canal_out":0,"agency":{"agency_name":{"th":"สำนักการระบายน้ำ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Bangkok","jp":""}},"geocode":{"area_code":"1","area_name":{"th":"กรุงเทพมหานคร","en":"Bangkok"},"amphoe_name":{"th":"ตลิ่งชัน","en":"Taling Chan District"},"tumbon_name":{"th":"ตลิ่งชัน","en":"Taling Chan"},"province_code":"10","province_name":{"th":"กรุงเทพมหานคร","en":"Bangkok"}},"station":{"id":290,"canal_name":{"th":"ค.สวนแดน ถ.ชัยพฤกษ์"},"canal_lat":13.79063,"canal_long":100.46199,"canal_oldcode":"WL.SDN.01","bank":1.85,"warning_level":0.5,"critical_level":0.6}}</x:t>
  </x:si>
  <x:si>
    <x:t xml:space="preserve">THAIWATER:135</x:t>
  </x:si>
  <x:si>
    <x:t xml:space="preserve">WL.BCN.02</x:t>
  </x:si>
  <x:si>
    <x:t xml:space="preserve">ค.บางเชือกหนัง-ถ.พุทธมณฑลสาย 1</x:t>
  </x:si>
  <x:si>
    <x:t xml:space="preserve">{"canal_datetime":"2026-09-28 13:20","canal_value":0.6,"canal_out":0,"agency":{"agency_name":{"th":"สำนักการระบายน้ำ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Bangkok","jp":""}},"geocode":{"area_code":"1","area_name":{"th":"กรุงเทพมหานคร","en":"Bangkok"},"amphoe_name":{"th":"ภาษีเจริญ","en":"Phasi Charoen District"},"tumbon_name":{"th":"คลองขวาง","en":"Khlong Khwang"},"province_code":"10","province_name":{"th":"กรุงเทพมหานคร","en":"Bangkok"}},"station":{"id":135,"canal_name":{"th":"ค.บางเชือกหนัง-ถ.พุทธมณฑลสาย 1"},"canal_lat":13.74219,"canal_long":100.42747,"canal_oldcode":"WL.BCN.02","bank":1.85,"warning_level":0.6,"critical_level":0.7}}</x:t>
  </x:si>
  <x:si>
    <x:t xml:space="preserve">THAIWATER:76</x:t>
  </x:si>
  <x:si>
    <x:t xml:space="preserve">WL.SSN.05</x:t>
  </x:si>
  <x:si>
    <x:t xml:space="preserve">ค.สามเสน-รพ.พระมงกุฎฯ</x:t>
  </x:si>
  <x:si>
    <x:t xml:space="preserve">2023-08-10T13:25:00+07:00</x:t>
  </x:si>
  <x:si>
    <x:t xml:space="preserve">{"canal_datetime":"2023-08-10 13:25","canal_value":-0.43,"canal_out":0,"agency":{"agency_name":{"th":"สำนักการระบายน้ำ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Bangkok","jp":""}},"geocode":{"area_code":"1","area_name":{"th":"กรุงเทพมหานคร","en":"Bangkok"},"amphoe_name":{"th":"ราชเทวี","en":"Ratchathewi District"},"tumbon_name":{"th":"ทุ่งพญาไท","en":"Thung Phaya Thai"},"province_code":"10","province_name":{"th":"กรุงเทพมหานคร","en":"Bangkok"}},"station":{"id":76,"canal_name":{"th":"ค.สามเสน-รพ.พระมงกุฎฯ"},"canal_lat":13.769,"canal_long":100.53462,"canal_oldcode":"WL.SSN.05","bank":1.85,"warning_level":0.2,"critical_level":0.3}}</x:t>
  </x:si>
  <x:si>
    <x:t xml:space="preserve">THAIWATER:90</x:t>
  </x:si>
  <x:si>
    <x:t xml:space="preserve">WL.BNA.01</x:t>
  </x:si>
  <x:si>
    <x:t xml:space="preserve">ส.บางนา</x:t>
  </x:si>
  <x:si>
    <x:t xml:space="preserve">{"canal_datetime":"2026-09-28 13:20","canal_value":-0.78,"canal_out":0.15,"agency":{"agency_name":{"th":"สำนักการระบายน้ำ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Bangkok","jp":""}},"geocode":{"area_code":"1","area_name":{"th":"กรุงเทพมหานคร","en":"Bangkok"},"amphoe_name":{"th":"บางนา","en":"Bang Na District"},"tumbon_name":{"th":"บางนา","en":"Bang Na"},"province_code":"10","province_name":{"th":"กรุงเทพมหานคร","en":"Bangkok"}},"station":{"id":90,"canal_name":{"th":"ส.บางนา"},"canal_lat":13.67482,"canal_long":100.58775,"canal_oldcode":"WL.BNA.01","bank":2.8,"warning_level":2.6,"critical_level":2.8}}</x:t>
  </x:si>
  <x:si>
    <x:t xml:space="preserve">THAIWATER:194</x:t>
  </x:si>
  <x:si>
    <x:t xml:space="preserve">WL.SKT.01</x:t>
  </x:si>
  <x:si>
    <x:t xml:space="preserve">ค.ทรงกระเทียม ถ.นาคนิวาส</x:t>
  </x:si>
  <x:si>
    <x:t xml:space="preserve">{"canal_datetime":"2026-09-28 13:20","canal_value":0.24,"canal_out":0,"agency":{"agency_name":{"th":"สำนักการระบายน้ำ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Bangkok","jp":""}},"geocode":{"area_code":"1","area_name":{"th":"กรุงเทพมหานคร","en":"Bangkok"},"amphoe_name":{"th":"ลาดพร้าว","en":"Lat Phrao District"},"tumbon_name":{"th":"ลาดพร้าว","en":"Lat Phrao"},"province_code":"10","province_name":{"th":"กรุงเทพมหานคร","en":"Bangkok"}},"station":{"id":194,"canal_name":{"th":"ค.ทรงกระเทียม ถ.นาคนิวาส"},"canal_lat":13.80028,"canal_long":100.6068,"canal_oldcode":"WL.SKT.01","bank":1,"warning_level":-0.2,"critical_level":0}}</x:t>
  </x:si>
  <x:si>
    <x:t xml:space="preserve">THAIWATER:176</x:t>
  </x:si>
  <x:si>
    <x:t xml:space="preserve">WL.LPT.02</x:t>
  </x:si>
  <x:si>
    <x:t xml:space="preserve">ค.ลำปลาทิว ซ.ฉลองกรุง 54</x:t>
  </x:si>
  <x:si>
    <x:t xml:space="preserve">2025-06-29T18:25:00+07:00</x:t>
  </x:si>
  <x:si>
    <x:t xml:space="preserve">{"canal_datetime":"2025-06-29 18:25","canal_value":0.04,"canal_out":0,"agency":{"agency_name":{"th":"สำนักการระบายน้ำ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Bangkok","jp":""}},"geocode":{"area_code":"1","area_name":{"th":"กรุงเทพมหานคร","en":"Bangkok"},"amphoe_name":{"th":"ลาดกระบัง","en":"Lat Krabang District"},"tumbon_name":{"th":"ลำปลาทิว","en":"Lam Pla Thio"},"province_code":"10","province_name":{"th":"กรุงเทพมหานคร","en":"Bangkok"}},"station":{"id":176,"canal_name":{"th":"ค.ลำปลาทิว ซ.ฉลองกรุง 54"},"canal_lat":13.77005,"canal_long":100.81298,"canal_oldcode":"WL.LPT.02","bank":1.26,"warning_level":0.6,"critical_level":0.7}}</x:t>
  </x:si>
  <x:si>
    <x:t xml:space="preserve">THAIWATER:146</x:t>
  </x:si>
  <x:si>
    <x:t xml:space="preserve">WL.LPN.01</x:t>
  </x:si>
  <x:si>
    <x:t xml:space="preserve">ส.คลองเลนเปน</x:t>
  </x:si>
  <x:si>
    <x:t xml:space="preserve">{"canal_datetime":"2026-09-28 13:20","canal_value":-0.77,"canal_out":1,"agency":{"agency_name":{"th":"สำนักการระบายน้ำ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Bangkok","jp":""}},"geocode":{"area_code":"1","area_name":{"th":"กรุงเทพมหานคร","en":"Bangkok"},"amphoe_name":{"th":"บางขุนเทียน","en":"Bang Khun Thian District"},"tumbon_name":{"th":"แสมดำ","en":"Samae Dam"},"province_code":"10","province_name":{"th":"กรุงเทพมหานคร","en":"Bangkok"}},"station":{"id":146,"canal_name":{"th":"ส.คลองเลนเปน"},"canal_lat":13.60695,"canal_long":100.41311,"canal_oldcode":"WL.LPN.01","bank":1.98,"warning_level":1,"critical_level":1.2}}</x:t>
  </x:si>
  <x:si>
    <x:t xml:space="preserve">THAIWATER:166</x:t>
  </x:si>
  <x:si>
    <x:t xml:space="preserve">WL.PSR.04</x:t>
  </x:si>
  <x:si>
    <x:t xml:space="preserve">ปตร.พระยาสุเรนทร์ ตอนคู้บอน</x:t>
  </x:si>
  <x:si>
    <x:t xml:space="preserve">{"canal_datetime":"2026-09-28 13:20","canal_value":1.26,"canal_out":0,"agency":{"agency_name":{"th":"สำนักการระบายน้ำ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Bangkok","jp":""}},"geocode":{"area_code":"1","area_name":{"th":"กรุงเทพมหานคร","en":"Bangkok"},"amphoe_name":{"th":"คันนายาว","en":"Khan Na Yao District"},"tumbon_name":{"th":"คันนายาว","en":"Khan Na Yao"},"province_code":"10","province_name":{"th":"กรุงเทพมหานคร","en":"Bangkok"}},"station":{"id":166,"canal_name":{"th":"ปตร.พระยาสุเรนทร์ ตอนคู้บอน"},"canal_lat":13.85077,"canal_long":100.67829,"canal_oldcode":"WL.PSR.04","bank":1.6,"warning_level":1.05,"critical_level":1.15}}</x:t>
  </x:si>
  <x:si>
    <x:t xml:space="preserve">THAIWATER:167</x:t>
  </x:si>
  <x:si>
    <x:t xml:space="preserve">WL.PSR.03</x:t>
  </x:si>
  <x:si>
    <x:t xml:space="preserve">ค.พระยาสุเรนทร์ ถ.จตุโชติ</x:t>
  </x:si>
  <x:si>
    <x:t xml:space="preserve">{"canal_datetime":"2026-09-28 13:20","canal_value":1.62,"canal_out":0,"agency":{"agency_name":{"th":"สำนักการระบายน้ำ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Bangkok","jp":""}},"geocode":{"area_code":"1","area_name":{"th":"กรุงเทพมหานคร","en":"Bangkok"},"amphoe_name":{"th":"สายไหม","en":"Sai Mai District"},"tumbon_name":{"th":"ออเงิน","en":"O Ngoen"},"province_code":"10","province_name":{"th":"กรุงเทพมหานคร","en":"Bangkok"}},"station":{"id":167,"canal_name":{"th":"ค.พระยาสุเรนทร์ ถ.จตุโชติ"},"canal_lat":13.87621,"canal_long":100.68614,"canal_oldcode":"WL.PSR.03","bank":1.5,"warning_level":1,"critical_level":1.2}}</x:t>
  </x:si>
  <x:si>
    <x:t xml:space="preserve">THAIWATER:132</x:t>
  </x:si>
  <x:si>
    <x:t xml:space="preserve">WL.KBU.01</x:t>
  </x:si>
  <x:si>
    <x:t xml:space="preserve">ปตร.คลองบัว ทางรถไฟ</x:t>
  </x:si>
  <x:si>
    <x:t xml:space="preserve">{"canal_datetime":"2026-09-28 13:20","canal_value":0.58,"canal_out":1.37,"agency":{"agency_name":{"th":"สำนักการระบายน้ำ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Bangkok","jp":""}},"geocode":{"area_code":"1","area_name":{"th":"กรุงเทพมหานคร","en":"Bangkok"},"amphoe_name":{"th":"ตลิ่งชัน","en":"Taling Chan District"},"tumbon_name":{"th":"ฉิมพลี","en":"Chimphli"},"province_code":"10","province_name":{"th":"กรุงเทพมหานคร","en":"Bangkok"}},"station":{"id":132,"canal_name":{"th":"ปตร.คลองบัว ทางรถไฟ"},"canal_lat":13.79993,"canal_long":100.41599,"canal_oldcode":"WL.KBU.01","bank":1.98,"warning_level":1.8,"critical_level":2}}</x:t>
  </x:si>
  <x:si>
    <x:t xml:space="preserve">THAIWATER:179</x:t>
  </x:si>
  <x:si>
    <x:t xml:space="preserve">WL.BPA.01</x:t>
  </x:si>
  <x:si>
    <x:t xml:space="preserve">ค.บ้านป่า ถ.พัฒนาการ</x:t>
  </x:si>
  <x:si>
    <x:t xml:space="preserve">{"canal_datetime":"2026-09-28 13:20","canal_value":0.23,"canal_out":0,"agency":{"agency_name":{"th":"สำนักการระบายน้ำ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Bangkok","jp":""}},"geocode":{"area_code":"1","area_name":{"th":"กรุงเทพมหานคร","en":"Bangkok"},"amphoe_name":{"th":"สวนหลวง","en":"Suan Luang District"},"tumbon_name":{"th":"สวนหลวง","en":"Suan Luang"},"province_code":"10","province_name":{"th":"กรุงเทพมหานคร","en":"Bangkok"}},"station":{"id":179,"canal_name":{"th":"ค.บ้านป่า ถ.พัฒนาการ"},"canal_lat":13.7367,"canal_long":100.61167,"canal_oldcode":"WL.BPA.01","bank":0.7,"warning_level":-0.2,"critical_level":0}}</x:t>
  </x:si>
  <x:si>
    <x:t xml:space="preserve">THAIWATER:263</x:t>
  </x:si>
  <x:si>
    <x:t xml:space="preserve">WL.BPN.01</x:t>
  </x:si>
  <x:si>
    <x:t xml:space="preserve">ค.บางพราน ถ.บางบอน 1</x:t>
  </x:si>
  <x:si>
    <x:t xml:space="preserve">2024-05-14T12:30:00+07:00</x:t>
  </x:si>
  <x:si>
    <x:t xml:space="preserve">{"canal_datetime":"2024-05-14 12:30","canal_value":-1.27,"canal_out":0,"agency":{"agency_name":{"th":"สำนักการระบายน้ำ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Bangkok","jp":""}},"geocode":{"area_code":"1","area_name":{"th":"กรุงเทพมหานคร","en":"Bangkok"},"amphoe_name":{"th":"บางบอน","en":"Bang Bon District"},"tumbon_name":{"th":"บางบอน","en":"Bang Bon"},"province_code":"10","province_name":{"th":"กรุงเทพมหานคร","en":"Bangkok"}},"station":{"id":263,"canal_name":{"th":"ค.บางพราน ถ.บางบอน 1"},"canal_lat":13.67782,"canal_long":100.42555,"canal_oldcode":"WL.BPN.01","bank":1,"warning_level":0.6,"critical_level":0.7}}</x:t>
  </x:si>
  <x:si>
    <x:t xml:space="preserve">THAIWATER:111</x:t>
  </x:si>
  <x:si>
    <x:t xml:space="preserve">WL.KPM.06</x:t>
  </x:si>
  <x:si>
    <x:t xml:space="preserve">ค.เปรมประชากร-ค.บ้านใหม่</x:t>
  </x:si>
  <x:si>
    <x:t xml:space="preserve">2026-09-28T12:55:00+07:00</x:t>
  </x:si>
  <x:si>
    <x:t xml:space="preserve">{"canal_datetime":"2026-09-28 12:55","canal_value":1.57,"canal_out":0,"agency":{"agency_name":{"th":"สำนักการระบายน้ำ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Bangkok","jp":""}},"geocode":{"area_code":"1","area_name":{"th":"กรุงเทพมหานคร","en":"Bangkok"},"amphoe_name":{"th":"ดอนเมือง","en":"Don Mueang District"},"tumbon_name":{"th":"สีกัน","en":"Si Kan"},"province_code":"10","province_name":{"th":"กรุงเทพมหานคร","en":"Bangkok"}},"station":{"id":111,"canal_name":{"th":"ค.เปรมประชากร-ค.บ้านใหม่"},"canal_lat":13.94336,"canal_long":100.60579,"canal_oldcode":"WL.KPM.06","bank":1.91,"warning_level":0.8,"critical_level":0.9}}</x:t>
  </x:si>
  <x:si>
    <x:t xml:space="preserve">THAIWATER:150</x:t>
  </x:si>
  <x:si>
    <x:t xml:space="preserve">WL.SBR.01</x:t>
  </x:si>
  <x:si>
    <x:t xml:space="preserve">ปตร.คลองขุนศรีฯ-ค.มหาสวัสดิ์</x:t>
  </x:si>
  <x:si>
    <x:t xml:space="preserve">{"canal_datetime":"2026-09-28 13:20","canal_value":0.88,"canal_out":1.48,"agency":{"agency_name":{"th":"สำนักการระบายน้ำ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Bangkok","jp":""}},"geocode":{"area_code":"1","area_name":{"th":"กรุงเทพมหานคร","en":"Bangkok"},"amphoe_name":{"th":"ทวีวัฒนา","en":"Thawi Watthana District"},"tumbon_name":{"th":"ศาลาธรรมสพน์","en":"Sala Thammasop"},"province_code":"10","province_name":{"th":"กรุงเทพมหานคร","en":"Bangkok"}},"station":{"id":150,"canal_name":{"th":"ปตร.คลองขุนศรีฯ-ค.มหาสวัสดิ์"},"canal_lat":13.80251,"canal_long":100.37078,"canal_oldcode":"WL.SBR.01","bank":1.98,"warning_level":1.8,"critical_level":2}}</x:t>
  </x:si>
  <x:si>
    <x:t xml:space="preserve">THAIWATER:189</x:t>
  </x:si>
  <x:si>
    <x:t xml:space="preserve">WL.CBJ.01</x:t>
  </x:si>
  <x:si>
    <x:t xml:space="preserve">ค.ชวดบางจาก ถ.ประชาอุทิศ</x:t>
  </x:si>
  <x:si>
    <x:t xml:space="preserve">2026-06-01T16:50:00+07:00</x:t>
  </x:si>
  <x:si>
    <x:t xml:space="preserve">{"canal_datetime":"2026-06-01 16:50","canal_value":0.84,"canal_out":0,"agency":{"agency_name":{"th":"สำนักการระบายน้ำ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District"},"tumbon_name":{"th":"สามเสนนอก","en":"Sam Sen Nok"},"province_code":"10","province_name":{"th":"กรุงเทพมหานคร","en":"Bangkok"}},"station":{"id":189,"canal_name":{"th":"ค.ชวดบางจาก ถ.ประชาอุทิศ"},"canal_lat":13.77211,"canal_long":100.58021,"canal_oldcode":"WL.CBJ.01","bank":1,"warning_level":0.1,"critical_level":0.2}}</x:t>
  </x:si>
  <x:si>
    <x:t xml:space="preserve">THAIWATER:209</x:t>
  </x:si>
  <x:si>
    <x:t xml:space="preserve">WL.BNJ.03</x:t>
  </x:si>
  <x:si>
    <x:t xml:space="preserve">ค.บางนางจีน ซ.สุขุมวิท 93</x:t>
  </x:si>
  <x:si>
    <x:t xml:space="preserve">{"canal_datetime":"2026-09-28 13:20","canal_value":-0.1,"canal_out":0,"agency":{"agency_name":{"th":"สำนักการระบายน้ำ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Bangkok","jp":""}},"geocode":{"area_code":"1","area_name":{"th":"กรุงเทพมหานคร","en":"Bangkok"},"amphoe_name":{"th":"พระโขนง","en":"Phra Khanong District"},"tumbon_name":{"th":"บางจาก","en":"Bang Chak"},"province_code":"10","province_name":{"th":"กรุงเทพมหานคร","en":"Bangkok"}},"station":{"id":209,"canal_name":{"th":"ค.บางนางจีน ซ.สุขุมวิท 93"},"canal_lat":13.7006,"canal_long":100.60891,"canal_oldcode":"WL.BNJ.03","bank":0,"warning_level":-0.1,"critical_level":0}}</x:t>
  </x:si>
  <x:si>
    <x:t xml:space="preserve">THAIWATER:154</x:t>
  </x:si>
  <x:si>
    <x:t xml:space="preserve">WL.BBN.03</x:t>
  </x:si>
  <x:si>
    <x:t xml:space="preserve">ค.บางบอน-ค.สะแกงาม</x:t>
  </x:si>
  <x:si>
    <x:t xml:space="preserve">{"canal_datetime":"2026-09-28 13:20","canal_value":0.68,"canal_out":0,"agency":{"agency_name":{"th":"สำนักการระบายน้ำ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Bangkok","jp":""}},"geocode":{"area_code":"1","area_name":{"th":"กรุงเทพมหานคร","en":"Bangkok"},"amphoe_name":{"th":"บางบอน","en":"Bang Bon District"},"tumbon_name":{"th":"บางบอน","en":"Bang Bon"},"province_code":"10","province_name":{"th":"กรุงเทพมหานคร","en":"Bangkok"}},"station":{"id":154,"canal_name":{"th":"ค.บางบอน-ค.สะแกงาม"},"canal_lat":13.64249,"canal_long":100.37944,"canal_oldcode":"WL.BBN.03","bank":1.84,"warning_level":0.4,"critical_level":0.5}}</x:t>
  </x:si>
  <x:si>
    <x:t xml:space="preserve">THAIWATER:133</x:t>
  </x:si>
  <x:si>
    <x:t xml:space="preserve">WL.CPA.01</x:t>
  </x:si>
  <x:si>
    <x:t xml:space="preserve">ส.คลองชักพระ</x:t>
  </x:si>
  <x:si>
    <x:t xml:space="preserve">{"canal_datetime":"2026-09-28 13:20","canal_value":0.29,"canal_out":1.29,"agency":{"agency_name":{"th":"สำนักการระบายน้ำ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Bangkok","jp":""}},"geocode":{"area_code":"1","area_name":{"th":"กรุงเทพมหานคร","en":"Bangkok"},"amphoe_name":{"th":"ตลิ่งชัน","en":"Taling Chan District"},"tumbon_name":{"th":"คลองชักพระ","en":"Khlong Chak Phra"},"province_code":"10","province_name":{"th":"กรุงเทพมหานคร","en":"Bangkok"}},"station":{"id":133,"canal_name":{"th":"ส.คลองชักพระ"},"canal_lat":13.7789,"canal_long":100.46431,"canal_oldcode":"WL.CPA.01","bank":1.98,"warning_level":1.8,"critical_level":1.9}}</x:t>
  </x:si>
  <x:si>
    <x:t xml:space="preserve">THAIWATER:190</x:t>
  </x:si>
  <x:si>
    <x:t xml:space="preserve">WL.LOA.01</x:t>
  </x:si>
  <x:si>
    <x:t xml:space="preserve">ค.รางอ้อ-รางแก้ว ถ.พหลโยธิน</x:t>
  </x:si>
  <x:si>
    <x:t xml:space="preserve">บางเขน</x:t>
  </x:si>
  <x:si>
    <x:t xml:space="preserve">{"canal_datetime":"2026-09-28 13:20","canal_value":1.38,"canal_out":0,"agency":{"agency_name":{"th":"สำนักการระบายน้ำ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Bangkok","jp":""}},"geocode":{"area_code":"1","area_name":{"th":"กรุงเทพมหานคร","en":"Bangkok"},"amphoe_name":{"th":"บางเขน","en":"Bang Khen District"},"tumbon_name":{"th":"อนุสาวรีย์","en":"Anusawari"},"province_code":"10","province_name":{"th":"กรุงเทพมหานคร","en":"Bangkok"}},"station":{"id":190,"canal_name":{"th":"ค.รางอ้อ-รางแก้ว ถ.พหลโยธิน"},"canal_lat":13.88471,"canal_long":100.60201,"canal_oldcode":"WL.LOA.01","bank":1.5,"warning_level":0.8,"critical_level":0.9}}</x:t>
  </x:si>
  <x:si>
    <x:t xml:space="preserve">THAIWATER:261</x:t>
  </x:si>
  <x:si>
    <x:t xml:space="preserve">WL.KKY.02</x:t>
  </x:si>
  <x:si>
    <x:t xml:space="preserve">ค.ควาย ถ.บรมราชชนนี</x:t>
  </x:si>
  <x:si>
    <x:t xml:space="preserve">{"canal_datetime":"2026-09-28 13:20","canal_value":0.82,"canal_out":0,"agency":{"agency_name":{"th":"สำนักการระบายน้ำ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Bangkok","jp":""}},"geocode":{"area_code":"1","area_name":{"th":"กรุงเทพมหานคร","en":"Bangkok"},"amphoe_name":{"th":"ทวีวัฒนา","en":"Thawi Watthana District"},"tumbon_name":{"th":"ศาลาธรรมสพน์","en":"Sala Thammasop"},"province_code":"10","province_name":{"th":"กรุงเทพมหานคร","en":"Bangkok"}},"station":{"id":261,"canal_name":{"th":"ค.ควาย ถ.บรมราชชนนี"},"canal_lat":13.78593,"canal_long":100.38354,"canal_oldcode":"WL.KKY.02","bank":2,"warning_level":0.9,"critical_level":1}}</x:t>
  </x:si>
  <x:si>
    <x:t xml:space="preserve">THAIWATER:257</x:t>
  </x:si>
  <x:si>
    <x:t xml:space="preserve">WL.SKG.01</x:t>
  </x:si>
  <x:si>
    <x:t xml:space="preserve">ค.สะแกงาม ถ.กาญจนาภิเษก</x:t>
  </x:si>
  <x:si>
    <x:t xml:space="preserve">{"canal_datetime":"2026-09-28 13:20","canal_value":-0.55,"canal_out":0,"agency":{"agency_name":{"th":"สำนักการระบายน้ำ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Bangkok","jp":""}},"geocode":{"area_code":"1","area_name":{"th":"กรุงเทพมหานคร","en":"Bangkok"},"amphoe_name":{"th":"บางขุนเทียน","en":"Bang Khun Thian District"},"tumbon_name":{"th":"แสมดำ","en":"Samae Dam"},"province_code":"10","province_name":{"th":"กรุงเทพมหานคร","en":"Bangkok"}},"station":{"id":257,"canal_name":{"th":"ค.สะแกงาม ถ.กาญจนาภิเษก"},"canal_lat":13.62715,"canal_long":100.43402,"canal_oldcode":"WL.SKG.01","bank":1,"warning_level":0.4,"critical_level":0.5}}</x:t>
  </x:si>
  <x:si>
    <x:t xml:space="preserve">THAIWATER:168</x:t>
  </x:si>
  <x:si>
    <x:t xml:space="preserve">WL.PSR.02</x:t>
  </x:si>
  <x:si>
    <x:t xml:space="preserve">ค.พระยาสุเรนทร์ ถ.หนองระแหง</x:t>
  </x:si>
  <x:si>
    <x:t xml:space="preserve">{"canal_datetime":"2026-09-28 13:20","canal_value":1.63,"canal_out":0,"agency":{"agency_name":{"th":"สำนักการระบายน้ำ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Bangkok","jp":""}},"geocode":{"area_code":"1","area_name":{"th":"กรุงเทพมหานคร","en":"Bangkok"},"amphoe_name":{"th":"คลองสามวา","en":"Khlong Sam Wa District"},"tumbon_name":{"th":"สามวาตะวันตก","en":"Sam Wa Tawan Tok"},"province_code":"10","province_name":{"th":"กรุงเทพมหานคร","en":"Bangkok"}},"station":{"id":168,"canal_name":{"th":"ค.พระยาสุเรนทร์ ถ.หนองระแหง"},"canal_lat":13.90121,"canal_long":100.69049,"canal_oldcode":"WL.PSR.02","bank":2,"warning_level":1,"critical_level":1.2}}</x:t>
  </x:si>
  <x:si>
    <x:t xml:space="preserve">THAIWATER:68</x:t>
  </x:si>
  <x:si>
    <x:t xml:space="preserve">WL.BKA.01</x:t>
  </x:si>
  <x:si>
    <x:t xml:space="preserve">ส.คลองบางเขนใหม่</x:t>
  </x:si>
  <x:si>
    <x:t xml:space="preserve">{"canal_datetime":"2026-09-28 13:20","canal_value":-0.83,"canal_out":1.55,"agency":{"agency_name":{"th":"สำนักการระบายน้ำ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Bangkok","jp":""}},"geocode":{"area_code":"1","area_name":{"th":"กรุงเทพมหานคร","en":"Bangkok"},"amphoe_name":{"th":"บางซื่อ","en":"Bang Sue District"},"tumbon_name":{"th":"บางซื่อ","en":"Bang Sue"},"province_code":"10","province_name":{"th":"กรุงเทพมหานคร","en":"Bangkok"}},"station":{"id":68,"canal_name":{"th":"ส.คลองบางเขนใหม่"},"canal_lat":13.81722,"canal_long":100.51066,"canal_oldcode":"WL.BKA.01","bank":3.5,"warning_level":3.3,"critical_level":3.5}}</x:t>
  </x:si>
  <x:si>
    <x:t xml:space="preserve">THAIWATER:115</x:t>
  </x:si>
  <x:si>
    <x:t xml:space="preserve">WL.MSW.01</x:t>
  </x:si>
  <x:si>
    <x:t xml:space="preserve">ค.มหาสวัสดิ์-สวนแดน 2</x:t>
  </x:si>
  <x:si>
    <x:t xml:space="preserve">{"canal_datetime":"2026-09-28 13:20","canal_value":1.38,"canal_out":0,"agency":{"agency_name":{"th":"สำนักการระบายน้ำ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Bangkok","jp":""}},"geocode":{"area_code":"1","area_name":{"th":"กรุงเทพมหานคร","en":"Bangkok"},"amphoe_name":{"th":"ตลิ่งชัน","en":"Taling Chan District"},"tumbon_name":{"th":"ตลิ่งชัน","en":"Taling Chan"},"province_code":"10","province_name":{"th":"กรุงเทพมหานคร","en":"Bangkok"}},"station":{"id":115,"canal_name":{"th":"ค.มหาสวัสดิ์-สวนแดน 2"},"canal_lat":13.79841,"canal_long":100.45451,"canal_oldcode":"WL.MSW.01","bank":1.9,"warning_level":1.8,"critical_level":2}}</x:t>
  </x:si>
  <x:si>
    <x:t xml:space="preserve">THAIWATER:231</x:t>
  </x:si>
  <x:si>
    <x:t xml:space="preserve">WL.HMK.01</x:t>
  </x:si>
  <x:si>
    <x:t xml:space="preserve">ค.หัวหมาก ถ.ศรีนครินทร์</x:t>
  </x:si>
  <x:si>
    <x:t xml:space="preserve">{"canal_datetime":"2026-09-28 13:20","canal_value":0.57,"canal_out":0,"agency":{"agency_name":{"th":"สำนักการระบายน้ำ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Bangkok","jp":""}},"geocode":{"area_code":"1","area_name":{"th":"กรุงเทพมหานคร","en":"Bangkok"},"amphoe_name":{"th":"สวนหลวง","en":"Suan Luang District"},"tumbon_name":{"th":"สวนหลวง","en":"Suan Luang"},"province_code":"10","province_name":{"th":"กรุงเทพมหานคร","en":"Bangkok"}},"station":{"id":231,"canal_name":{"th":"ค.หัวหมาก ถ.ศรีนครินทร์"},"canal_lat":13.73309,"canal_long":100.64107,"canal_oldcode":"WL.HMK.01","bank":1,"warning_level":-0.2,"critical_level":0}}</x:t>
  </x:si>
  <x:si>
    <x:t xml:space="preserve">THAIWATER:228</x:t>
  </x:si>
  <x:si>
    <x:t xml:space="preserve">WL.YPN.02</x:t>
  </x:si>
  <x:si>
    <x:t xml:space="preserve">ค.ยายเผื่อน ถ.ลาดพร้าว</x:t>
  </x:si>
  <x:si>
    <x:t xml:space="preserve">{"canal_datetime":"2026-09-28 13:20","canal_value":0.54,"canal_out":0,"agency":{"agency_name":{"th":"สำนักการระบายน้ำ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Bangkok","jp":""}},"geocode":{"area_code":"1","area_name":{"th":"กรุงเทพมหานคร","en":"Bangkok"},"amphoe_name":{"th":"บางกะปิ","en":"Bang Kapi District"},"tumbon_name":{"th":"คลองจั่น","en":"Khlong Chan"},"province_code":"10","province_name":{"th":"กรุงเทพมหานคร","en":"Bangkok"}},"station":{"id":228,"canal_name":{"th":"ค.ยายเผื่อน ถ.ลาดพร้าว"},"canal_lat":13.76832,"canal_long":100.63938,"canal_oldcode":"WL.YPN.02","bank":0.7,"warning_level":-0.2,"critical_level":0}}</x:t>
  </x:si>
  <x:si>
    <x:t xml:space="preserve">THAIWATER:120</x:t>
  </x:si>
  <x:si>
    <x:t xml:space="preserve">WL.RMT.02</x:t>
  </x:si>
  <x:si>
    <x:t xml:space="preserve">ค.ราชมนตรี-พระราม 2</x:t>
  </x:si>
  <x:si>
    <x:t xml:space="preserve">{"canal_datetime":"2026-09-28 13:20","canal_value":0.06,"canal_out":0,"agency":{"agency_name":{"th":"สำนักการระบายน้ำ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Bangkok","jp":""}},"geocode":{"area_code":"1","area_name":{"th":"กรุงเทพมหานคร","en":"Bangkok"},"amphoe_name":{"th":"บางบอน","en":"Bang Bon District"},"tumbon_name":{"th":"บางบอน","en":"Bang Bon"},"province_code":"10","province_name":{"th":"กรุงเทพมหานคร","en":"Bangkok"}},"station":{"id":120,"canal_name":{"th":"ค.ราชมนตรี-พระราม 2"},"canal_lat":13.66885,"canal_long":100.4299,"canal_oldcode":"WL.RMT.02","bank":1.9,"warning_level":0.6,"critical_level":0.7}}</x:t>
  </x:si>
  <x:si>
    <x:t xml:space="preserve">THAIWATER:44</x:t>
  </x:si>
  <x:si>
    <x:t xml:space="preserve">WL.BCN.03</x:t>
  </x:si>
  <x:si>
    <x:t xml:space="preserve">ค.บางเชือกหนัง ถ.พุทธฯสาย 2 </x:t>
  </x:si>
  <x:si>
    <x:t xml:space="preserve">{"canal_datetime":"2026-09-28 13:20","canal_value":0.75,"canal_out":0,"agency":{"agency_name":{"th":"สำนักการระบายน้ำ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Bangkok","jp":""}},"geocode":{"area_code":"1","area_name":{"th":"กรุงเทพมหานคร","en":"Bangkok"},"amphoe_name":{"th":"บางแค","en":"Bang Khae District"},"tumbon_name":{"th":"บางไผ่","en":"Bang Phai"},"province_code":"10","province_name":{"th":"กรุงเทพมหานคร","en":"Bangkok"}},"station":{"id":44,"canal_name":{"th":"ค.บางเชือกหนัง ถ.พุทธฯสาย 2 "},"canal_lat":13.75173,"canal_long":100.39162,"canal_oldcode":"WL.BCN.03","bank":1.62,"warning_level":0.7,"critical_level":1}}</x:t>
  </x:si>
  <x:si>
    <x:t xml:space="preserve">THAIWATER:100</x:t>
  </x:si>
  <x:si>
    <x:t xml:space="preserve">WL.SSG.01</x:t>
  </x:si>
  <x:si>
    <x:t xml:space="preserve">ค.สิบสอง-ถ.ประชาสำราญ</x:t>
  </x:si>
  <x:si>
    <x:t xml:space="preserve">{"canal_datetime":"2026-09-28 13:20","canal_value":1.63,"canal_out":0,"agency":{"agency_name":{"th":"สำนักการระบายน้ำ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Bangkok","jp":""}},"geocode":{"area_code":"1","area_name":{"th":"กรุงเทพมหานคร","en":"Bangkok"},"amphoe_name":{"th":"หนองจอก","en":"Nong Chok District"},"tumbon_name":{"th":"คลองสิบสอง","en":"Khlong Sip Song"},"province_code":"10","province_name":{"th":"กรุงเทพมหานคร","en":"Bangkok"}},"station":{"id":100,"canal_name":{"th":"ค.สิบสอง-ถ.ประชาสำราญ"},"canal_lat":13.91359,"canal_long":100.86248,"canal_oldcode":"WL.SSG.01","bank":1.85,"warning_level":1.2,"critical_level":1.7}}</x:t>
  </x:si>
  <x:si>
    <x:t xml:space="preserve">THAIWATER:85</x:t>
  </x:si>
  <x:si>
    <x:t xml:space="preserve">WL.PKN.01</x:t>
  </x:si>
  <x:si>
    <x:t xml:space="preserve">ส.พระโขนง</x:t>
  </x:si>
  <x:si>
    <x:t xml:space="preserve">คลองเตย</x:t>
  </x:si>
  <x:si>
    <x:t xml:space="preserve">{"canal_datetime":"2026-09-28 13:20","canal_value":-0.6,"canal_out":0.63,"agency":{"agency_name":{"th":"สำนักการระบายน้ำ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Bangkok","jp":""}},"geocode":{"area_code":"1","area_name":{"th":"กรุงเทพมหานคร","en":"Bangkok"},"amphoe_name":{"th":"คลองเตย","en":"Khlong Toei District"},"tumbon_name":{"th":"พระโขนง","en":"Phra Khanong"},"province_code":"10","province_name":{"th":"กรุงเทพมหานคร","en":"Bangkok"}},"station":{"id":85,"canal_name":{"th":"ส.พระโขนง"},"canal_lat":13.70901,"canal_long":100.59503,"canal_oldcode":"WL.PKN.01","bank":2.8,"warning_level":2.6,"critical_level":2.8}}</x:t>
  </x:si>
  <x:si>
    <x:t xml:space="preserve">THAIWATER:112</x:t>
  </x:si>
  <x:si>
    <x:t xml:space="preserve">WL.LPW.05</x:t>
  </x:si>
  <x:si>
    <x:t xml:space="preserve">ค.ลาดพร้าว ถ.ประดิษฐ์มนูธรรม</x:t>
  </x:si>
  <x:si>
    <x:t xml:space="preserve">{"canal_datetime":"2026-09-28 13:20","canal_value":0.3,"canal_out":0,"agency":{"agency_name":{"th":"สำนักการระบายน้ำ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District"},"tumbon_name":{"th":"บางกะปิ","en":"Bang Kapi"},"province_code":"10","province_name":{"th":"กรุงเทพมหานคร","en":"Bangkok"}},"station":{"id":112,"canal_name":{"th":"ค.ลาดพร้าว ถ.ประดิษฐ์มนูธรรม"},"canal_lat":13.75954,"canal_long":100.59646,"canal_oldcode":"WL.LPW.05","bank":1.9,"warning_level":-0.1,"critical_level":0.1}}</x:t>
  </x:si>
  <x:si>
    <x:t xml:space="preserve">THAIWATER:72</x:t>
  </x:si>
  <x:si>
    <x:t xml:space="preserve">WL.LPW.01</x:t>
  </x:si>
  <x:si>
    <x:t xml:space="preserve">ปตร.คลองลาดพร้าว</x:t>
  </x:si>
  <x:si>
    <x:t xml:space="preserve">{"canal_datetime":"2026-09-28 13:20","canal_value":0.46,"canal_out":-0.04,"agency":{"agency_name":{"th":"สำนักการระบายน้ำ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Bangkok","jp":""}},"geocode":{"area_code":"1","area_name":{"th":"กรุงเทพมหานคร","en":"Bangkok"},"amphoe_name":{"th":"วังทองหลาง","en":"Wang Thonglang District"},"tumbon_name":{"th":"วังทองหลาง","en":"Wang Thong Lang"},"province_code":"10","province_name":{"th":"กรุงเทพมหานคร","en":"Bangkok"}},"station":{"id":72,"canal_name":{"th":"ปตร.คลองลาดพร้าว"},"canal_lat":13.79446,"canal_long":100.58957,"canal_oldcode":"WL.LPW.01","bank":1.98,"warning_level":0.2,"critical_level":0.4}}</x:t>
  </x:si>
  <x:si>
    <x:t xml:space="preserve">THAIWATER:287</x:t>
  </x:si>
  <x:si>
    <x:t xml:space="preserve">WL.BYK.02</x:t>
  </x:si>
  <x:si>
    <x:t xml:space="preserve">ค.บางยี่ขัน ส.คลองบางยี่ขัน</x:t>
  </x:si>
  <x:si>
    <x:t xml:space="preserve">{"canal_datetime":"2026-09-28 13:20","canal_value":-0.31,"canal_out":0,"agency":{"agency_name":{"th":"สำนักการระบายน้ำ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Bangkok","jp":""}},"geocode":{"area_code":"1","area_name":{"th":"กรุงเทพมหานคร","en":"Bangkok"},"amphoe_name":{"th":"บางพลัด","en":"Bang Phlat District"},"tumbon_name":{"th":"บางยี่ขัน","en":"Bang Yi Khan"},"province_code":"10","province_name":{"th":"กรุงเทพมหานคร","en":"Bangkok"}},"station":{"id":287,"canal_name":{"th":"ค.บางยี่ขัน ส.คลองบางยี่ขัน"},"canal_lat":13.76741,"canal_long":100.49361,"canal_oldcode":"WL.BYK.02","bank":1,"warning_level":0.6,"critical_level":0.7}}</x:t>
  </x:si>
  <x:si>
    <x:t xml:space="preserve">THAIWATER:136</x:t>
  </x:si>
  <x:si>
    <x:t xml:space="preserve">WL.BKY.01</x:t>
  </x:si>
  <x:si>
    <x:t xml:space="preserve">ส.คลองบางกอกใหญ่</x:t>
  </x:si>
  <x:si>
    <x:t xml:space="preserve">{"canal_datetime":"2026-09-28 13:20","canal_value":0.13,"canal_out":1.08,"agency":{"agency_name":{"th":"สำนักการระบายน้ำ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Bangkok","jp":""}},"geocode":{"area_code":"1","area_name":{"th":"กรุงเทพมหานคร","en":"Bangkok"},"amphoe_name":{"th":"บางกอกใหญ่","en":"Bangkok Yai District"},"tumbon_name":{"th":"วัดอรุณ","en":"Wat Arun"},"province_code":"10","province_name":{"th":"กรุงเทพมหานคร","en":"Bangkok"}},"station":{"id":136,"canal_name":{"th":"ส.คลองบางกอกใหญ่"},"canal_lat":13.7402,"canal_long":100.48992,"canal_oldcode":"WL.BKY.01","bank":3,"warning_level":2.8,"critical_level":3}}</x:t>
  </x:si>
  <x:si>
    <x:t xml:space="preserve">THAIWATER:86</x:t>
  </x:si>
  <x:si>
    <x:t xml:space="preserve">WL.KTY.01</x:t>
  </x:si>
  <x:si>
    <x:t xml:space="preserve">ส.คลองเตย</x:t>
  </x:si>
  <x:si>
    <x:t xml:space="preserve">{"canal_datetime":"2026-09-28 13:20","canal_value":-2.09,"canal_out":0.27,"agency":{"agency_name":{"th":"สำนักการระบายน้ำ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Bangkok","jp":""}},"geocode":{"area_code":"1","area_name":{"th":"กรุงเทพมหานคร","en":"Bangkok"},"amphoe_name":{"th":"คลองเตย","en":"Khlong Toei District"},"tumbon_name":{"th":"คลองเตย","en":"Khlong Toei"},"province_code":"10","province_name":{"th":"กรุงเทพมหานคร","en":"Bangkok"}},"station":{"id":86,"canal_name":{"th":"ส.คลองเตย"},"canal_lat":13.70635,"canal_long":100.58779,"canal_oldcode":"WL.KTY.01","bank":null,"warning_level":null,"critical_level":null}}</x:t>
  </x:si>
  <x:si>
    <x:t xml:space="preserve">THAIWATER:230</x:t>
  </x:si>
  <x:si>
    <x:t xml:space="preserve">WL.LSG.01</x:t>
  </x:si>
  <x:si>
    <x:t xml:space="preserve">ค.หลอด 2 ถ.บางนา ตราด</x:t>
  </x:si>
  <x:si>
    <x:t xml:space="preserve">{"canal_datetime":"2026-09-28 13:20","canal_value":-0.56,"canal_out":0,"agency":{"agency_name":{"th":"สำนักการระบายน้ำ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Bangkok","jp":""}},"geocode":{"area_code":"1","area_name":{"th":"กรุงเทพมหานคร","en":"Bangkok"},"amphoe_name":{"th":"บางนา","en":"Bang Na District"},"tumbon_name":{"th":"บางนา","en":"Bang Na"},"province_code":"10","province_name":{"th":"กรุงเทพมหานคร","en":"Bangkok"}},"station":{"id":230,"canal_name":{"th":"ค.หลอด 2 ถ.บางนา ตราด"},"canal_lat":13.67099,"canal_long":100.62222,"canal_oldcode":"WL.LSG.01","bank":0.3,"warning_level":-0.2,"critical_level":0}}</x:t>
  </x:si>
  <x:si>
    <x:t xml:space="preserve">THAIWATER:162</x:t>
  </x:si>
  <x:si>
    <x:t xml:space="preserve">WL.BSU.03</x:t>
  </x:si>
  <x:si>
    <x:t xml:space="preserve">ค.บางซื่อ ถ.พระราม 6</x:t>
  </x:si>
  <x:si>
    <x:t xml:space="preserve">{"canal_datetime":"2026-09-28 13:20","canal_value":-0.93,"canal_out":0,"agency":{"agency_name":{"th":"สำนักการระบายน้ำ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Bangkok","jp":""}},"geocode":{"area_code":"1","area_name":{"th":"กรุงเทพมหานคร","en":"Bangkok"},"amphoe_name":{"th":"พญาไท","en":"Phaya Thai District"},"tumbon_name":{"th":"สามเสนใน","en":"Sam Sen Nai"},"province_code":"10","province_name":{"th":"กรุงเทพมหานคร","en":"Bangkok"}},"station":{"id":162,"canal_name":{"th":"ค.บางซื่อ ถ.พระราม 6"},"canal_lat":13.79759,"canal_long":100.53881,"canal_oldcode":"WL.BSU.03","bank":2,"warning_level":0.1,"critical_level":0.2}}</x:t>
  </x:si>
  <x:si>
    <x:t xml:space="preserve">THAIWATER:286</x:t>
  </x:si>
  <x:si>
    <x:t xml:space="preserve">WL.BBN.01</x:t>
  </x:si>
  <x:si>
    <x:t xml:space="preserve">ค.บางบอน ถ.บางขุนเทียน</x:t>
  </x:si>
  <x:si>
    <x:t xml:space="preserve">2026-09-27T04:35:00+07:00</x:t>
  </x:si>
  <x:si>
    <x:t xml:space="preserve">{"canal_datetime":"2026-09-27 04:35","canal_value":0.22,"canal_out":0,"agency":{"agency_name":{"th":"สำนักการระบายน้ำ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Bangkok","jp":""}},"geocode":{"area_code":"1","area_name":{"th":"กรุงเทพมหานคร","en":"Bangkok"},"amphoe_name":{"th":"บางบอน","en":"Bang Bon District"},"tumbon_name":{"th":"บางบอน","en":"Bang Bon"},"province_code":"10","province_name":{"th":"กรุงเทพมหานคร","en":"Bangkok"}},"station":{"id":286,"canal_name":{"th":"ค.บางบอน ถ.บางขุนเทียน"},"canal_lat":13.67055,"canal_long":100.42713,"canal_oldcode":"WL.BBN.01","bank":1.6,"warning_level":0.6,"critical_level":0.7}}</x:t>
  </x:si>
  <x:si>
    <x:t xml:space="preserve">THAIWATER:181</x:t>
  </x:si>
  <x:si>
    <x:t xml:space="preserve">WL.KJA.02</x:t>
  </x:si>
  <x:si>
    <x:t xml:space="preserve">ค.กะจะ ถ.พระราม 9 ซ.57</x:t>
  </x:si>
  <x:si>
    <x:t xml:space="preserve">{"canal_datetime":"2026-09-28 13:20","canal_value":0.61,"canal_out":0,"agency":{"agency_name":{"th":"สำนักการระบายน้ำ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Bangkok","jp":""}},"geocode":{"area_code":"1","area_name":{"th":"กรุงเทพมหานคร","en":"Bangkok"},"amphoe_name":{"th":"สวนหลวง","en":"Suan Luang District"},"tumbon_name":{"th":"สวนหลวง","en":"Suan Luang"},"province_code":"10","province_name":{"th":"กรุงเทพมหานคร","en":"Bangkok"}},"station":{"id":181,"canal_name":{"th":"ค.กะจะ ถ.พระราม 9 ซ.57"},"canal_lat":13.74953,"canal_long":100.63387,"canal_oldcode":"WL.KJA.02","bank":1,"warning_level":-0.2,"critical_level":0}}</x:t>
  </x:si>
  <x:si>
    <x:t xml:space="preserve">THAIWATER:49</x:t>
  </x:si>
  <x:si>
    <x:t xml:space="preserve">WL.BKA.04</x:t>
  </x:si>
  <x:si>
    <x:t xml:space="preserve">ค.บางเขน ถ.วิภาวดีฯ</x:t>
  </x:si>
  <x:si>
    <x:t xml:space="preserve">{"canal_datetime":"2026-09-28 13:20","canal_value":1,"canal_out":0,"agency":{"agency_name":{"th":"สำนักการระบายน้ำ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Bangkok","jp":""}},"geocode":{"area_code":"1","area_name":{"th":"กรุงเทพมหานคร","en":"Bangkok"},"amphoe_name":{"th":"จตุจักร","en":"Chatuchak District"},"tumbon_name":{"th":"ลาดยาว","en":"Lat Yao"},"province_code":"10","province_name":{"th":"กรุงเทพมหานคร","en":"Bangkok"}},"station":{"id":49,"canal_name":{"th":"ค.บางเขน ถ.วิภาวดีฯ"},"canal_lat":13.85572,"canal_long":100.56673,"canal_oldcode":"WL.BKA.04","bank":1.9,"warning_level":0.6,"critical_level":0.7}}</x:t>
  </x:si>
  <x:si>
    <x:t xml:space="preserve">THAIWATER:104</x:t>
  </x:si>
  <x:si>
    <x:t xml:space="preserve">WL.BYI.01</x:t>
  </x:si>
  <x:si>
    <x:t xml:space="preserve">ค.บึงใหญ่-วัดทองสัมฤทธิ์</x:t>
  </x:si>
  <x:si>
    <x:t xml:space="preserve">{"canal_datetime":"2026-09-28 13:20","canal_value":1,"canal_out":0,"agency":{"agency_name":{"th":"สำนักการระบายน้ำ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Bangkok","jp":""}},"geocode":{"area_code":"1","area_name":{"th":"กรุงเทพมหานคร","en":"Bangkok"},"amphoe_name":{"th":"มีนบุรี","en":"Min Buri District"},"tumbon_name":{"th":"แสนแสบ","en":"Saen Saep"},"province_code":"10","province_name":{"th":"กรุงเทพมหานคร","en":"Bangkok"}},"station":{"id":104,"canal_name":{"th":"ค.บึงใหญ่-วัดทองสัมฤทธิ์"},"canal_lat":13.80069,"canal_long":100.78818,"canal_oldcode":"WL.BYI.01","bank":1.85,"warning_level":0.6,"critical_level":0.7}}</x:t>
  </x:si>
  <x:si>
    <x:t xml:space="preserve">THAIWATER:248</x:t>
  </x:si>
  <x:si>
    <x:t xml:space="preserve">WL.TPK.02</x:t>
  </x:si>
  <x:si>
    <x:t xml:space="preserve">ค.ตาพุก ถ.ลาดกระบัง</x:t>
  </x:si>
  <x:si>
    <x:t xml:space="preserve">{"canal_datetime":"2026-09-28 13:20","canal_value":0.81,"canal_out":0,"agency":{"agency_name":{"th":"สำนักการระบายน้ำ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Bangkok","jp":""}},"geocode":{"area_code":"1","area_name":{"th":"กรุงเทพมหานคร","en":"Bangkok"},"amphoe_name":{"th":"ประเวศ","en":"Prawet District"},"tumbon_name":{"th":"ประเวศ","en":"Prawet"},"province_code":"10","province_name":{"th":"กรุงเทพมหานคร","en":"Bangkok"}},"station":{"id":248,"canal_name":{"th":"ค.ตาพุก ถ.ลาดกระบัง"},"canal_lat":13.72193,"canal_long":100.70919,"canal_oldcode":"WL.TPK.02","bank":1,"warning_level":0.4,"critical_level":0.5}}</x:t>
  </x:si>
  <x:si>
    <x:t xml:space="preserve">THAIWATER:251</x:t>
  </x:si>
  <x:si>
    <x:t xml:space="preserve">WL.KJN.02</x:t>
  </x:si>
  <x:si>
    <x:t xml:space="preserve">ค.จั่น ถ.โยธินพัฒนา</x:t>
  </x:si>
  <x:si>
    <x:t xml:space="preserve">{"canal_datetime":"2026-09-28 13:20","canal_value":0.94,"canal_out":0,"agency":{"agency_name":{"th":"สำนักการระบายน้ำ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Bangkok","jp":""}},"geocode":{"area_code":"1","area_name":{"th":"กรุงเทพมหานคร","en":"Bangkok"},"amphoe_name":{"th":"บางกะปิ","en":"Bang Kapi District"},"tumbon_name":{"th":"คลองจั่น","en":"Khlong Chan"},"province_code":"10","province_name":{"th":"กรุงเทพมหานคร","en":"Bangkok"}},"station":{"id":251,"canal_name":{"th":"ค.จั่น ถ.โยธินพัฒนา"},"canal_lat":13.80547,"canal_long":100.6226,"canal_oldcode":"WL.KJN.02","bank":1,"warning_level":0.3,"critical_level":0.4}}</x:t>
  </x:si>
  <x:si>
    <x:t xml:space="preserve">THAIWATER:147</x:t>
  </x:si>
  <x:si>
    <x:t xml:space="preserve">WL.RHN.01</x:t>
  </x:si>
  <x:si>
    <x:t xml:space="preserve">ส.คลองระหาญ</x:t>
  </x:si>
  <x:si>
    <x:t xml:space="preserve">{"canal_datetime":"2026-09-28 13:20","canal_value":-0.09,"canal_out":-0.1,"agency":{"agency_name":{"th":"สำนักการระบายน้ำ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Bangkok","jp":""}},"geocode":{"area_code":"1","area_name":{"th":"กรุงเทพมหานคร","en":"Bangkok"},"amphoe_name":{"th":"บางขุนเทียน","en":"Bang Khun Thian District"},"tumbon_name":{"th":"แสมดำ","en":"Samae Dam"},"province_code":"10","province_name":{"th":"กรุงเทพมหานคร","en":"Bangkok"}},"station":{"id":147,"canal_name":{"th":"ส.คลองระหาญ"},"canal_lat":13.60384,"canal_long":100.3946,"canal_oldcode":"WL.RHN.01","bank":1.98,"warning_level":1,"critical_level":1.2}}</x:t>
  </x:si>
  <x:si>
    <x:t xml:space="preserve">THAIWATER:73</x:t>
  </x:si>
  <x:si>
    <x:t xml:space="preserve">WL.SSN.01</x:t>
  </x:si>
  <x:si>
    <x:t xml:space="preserve">ส.สามเสน</x:t>
  </x:si>
  <x:si>
    <x:t xml:space="preserve">{"canal_datetime":"2026-09-28 13:20","canal_value":-0.5,"canal_out":1.33,"agency":{"agency_name":{"th":"สำนักการระบายน้ำ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Bangkok","jp":""}},"geocode":{"area_code":"1","area_name":{"th":"กรุงเทพมหานคร","en":"Bangkok"},"amphoe_name":{"th":"ดุสิต","en":"Dusit District"},"tumbon_name":{"th":"วชิรพยาบาล","en":"Wachira Phayaban"},"province_code":"10","province_name":{"th":"กรุงเทพมหานคร","en":"Bangkok"}},"station":{"id":73,"canal_name":{"th":"ส.สามเสน"},"canal_lat":13.78484,"canal_long":100.50837,"canal_oldcode":"WL.SSN.01","bank":3.5,"warning_level":3.3,"critical_level":3.5}}</x:t>
  </x:si>
  <x:si>
    <x:t xml:space="preserve">THAIWATER:91</x:t>
  </x:si>
  <x:si>
    <x:t xml:space="preserve">WL.BNA.03</x:t>
  </x:si>
  <x:si>
    <x:t xml:space="preserve">ค.บางนา ถ.ศรีนครินทร์</x:t>
  </x:si>
  <x:si>
    <x:t xml:space="preserve">{"canal_datetime":"2026-09-28 13:20","canal_value":-0.12,"canal_out":0,"agency":{"agency_name":{"th":"สำนักการระบายน้ำ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Bangkok","jp":""}},"geocode":{"area_code":"1","area_name":{"th":"กรุงเทพมหานคร","en":"Bangkok"},"amphoe_name":{"th":"บางนา","en":"Bang Na District"},"tumbon_name":{"th":"บางนา","en":"Bang Na"},"province_code":"10","province_name":{"th":"กรุงเทพมหานคร","en":"Bangkok"}},"station":{"id":91,"canal_name":{"th":"ค.บางนา ถ.ศรีนครินทร์"},"canal_lat":13.66102,"canal_long":100.63926,"canal_oldcode":"WL.BNA.03","bank":1.85,"warning_level":0.4,"critical_level":0.6}}</x:t>
  </x:si>
  <x:si>
    <x:t xml:space="preserve">THAIWATER:249</x:t>
  </x:si>
  <x:si>
    <x:t xml:space="preserve">WL.WLS.01</x:t>
  </x:si>
  <x:si>
    <x:t xml:space="preserve">ค.วัดหลักสี่ ถ.วิภาวดีรังสิต</x:t>
  </x:si>
  <x:si>
    <x:t xml:space="preserve">{"canal_datetime":"2026-09-28 13:20","canal_value":1.49,"canal_out":0,"agency":{"agency_name":{"th":"สำนักการระบายน้ำ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Bangkok","jp":""}},"geocode":{"area_code":"1","area_name":{"th":"กรุงเทพมหานคร","en":"Bangkok"},"amphoe_name":{"th":"ดอนเมือง","en":"Don Mueang District"},"tumbon_name":{"th":"สีกัน","en":"Si Kan"},"province_code":"10","province_name":{"th":"กรุงเทพมหานคร","en":"Bangkok"}},"station":{"id":249,"canal_name":{"th":"ค.วัดหลักสี่ ถ.วิภาวดีรังสิต"},"canal_lat":13.89041,"canal_long":100.5847,"canal_oldcode":"WL.WLS.01","bank":2,"warning_level":0.6,"critical_level":0.7}}</x:t>
  </x:si>
  <x:si>
    <x:t xml:space="preserve">THAIWATER:143</x:t>
  </x:si>
  <x:si>
    <x:t xml:space="preserve">WL.SBT.01</x:t>
  </x:si>
  <x:si>
    <x:t xml:space="preserve">ส.คลองสี่บาท</x:t>
  </x:si>
  <x:si>
    <x:t xml:space="preserve">{"canal_datetime":"2026-09-28 13:20","canal_value":-0.33,"canal_out":0.14,"agency":{"agency_name":{"th":"สำนักการระบายน้ำ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Bangkok","jp":""}},"geocode":{"area_code":"1","area_name":{"th":"กรุงเทพมหานคร","en":"Bangkok"},"amphoe_name":{"th":"บางขุนเทียน","en":"Bang Khun Thian District"},"tumbon_name":{"th":"แสมดำ","en":"Samae Dam"},"province_code":"10","province_name":{"th":"กรุงเทพมหานคร","en":"Bangkok"}},"station":{"id":143,"canal_name":{"th":"ส.คลองสี่บาท"},"canal_lat":13.67309,"canal_long":100.44606,"canal_oldcode":"WL.SBT.01","bank":1.98,"warning_level":0.4,"critical_level":0.5}}</x:t>
  </x:si>
  <x:si>
    <x:t xml:space="preserve">THAIWATER:276</x:t>
  </x:si>
  <x:si>
    <x:t xml:space="preserve">WL.KLD.02</x:t>
  </x:si>
  <x:si>
    <x:t xml:space="preserve">ค.หลอด ถ.ราชดำเนินใน</x:t>
  </x:si>
  <x:si>
    <x:t xml:space="preserve">{"canal_datetime":"2026-09-28 13:20","canal_value":-0.32,"canal_out":0,"agency":{"agency_name":{"th":"สำนักการระบายน้ำ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Bangkok","jp":""}},"geocode":{"area_code":"1","area_name":{"th":"กรุงเทพมหานคร","en":"Bangkok"},"amphoe_name":{"th":"พระนคร","en":"Phra Nakhon District"},"tumbon_name":{"th":"ศาลเจ้าพ่อเสือ","en":"San Chaopho Suea"},"province_code":"10","province_name":{"th":"กรุงเทพมหานคร","en":"Bangkok"}},"station":{"id":276,"canal_name":{"th":"ค.หลอด ถ.ราชดำเนินใน"},"canal_lat":13.75512,"canal_long":100.49554,"canal_oldcode":"WL.KLD.02","bank":1,"warning_level":0.6,"critical_level":0.7}}</x:t>
  </x:si>
  <x:si>
    <x:t xml:space="preserve">THAIWATER:66</x:t>
  </x:si>
  <x:si>
    <x:t xml:space="preserve">WL.LCL.01</x:t>
  </x:si>
  <x:si>
    <x:t xml:space="preserve">ค.ลำชะล่า ถ.นวมินทร์</x:t>
  </x:si>
  <x:si>
    <x:t xml:space="preserve">{"canal_datetime":"2026-09-28 13:20","canal_value":1.34,"canal_out":0,"agency":{"agency_name":{"th":"สำนักการระบายน้ำ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Bangkok","jp":""}},"geocode":{"area_code":"1","area_name":{"th":"กรุงเทพมหานคร","en":"Bangkok"},"amphoe_name":{"th":"คันนายาว","en":"Khan Na Yao District"},"tumbon_name":{"th":"คันนายาว","en":"Khan Na Yao"},"province_code":"10","province_name":{"th":"กรุงเทพมหานคร","en":"Bangkok"}},"station":{"id":66,"canal_name":{"th":"ค.ลำชะล่า ถ.นวมินทร์"},"canal_lat":13.8363,"canal_long":100.66134,"canal_oldcode":"WL.LCL.01","bank":1.85,"warning_level":0.8,"critical_level":1}}</x:t>
  </x:si>
  <x:si>
    <x:t xml:space="preserve">THAIWATER:224</x:t>
  </x:si>
  <x:si>
    <x:t xml:space="preserve">WL.SWU.01</x:t>
  </x:si>
  <x:si>
    <x:t xml:space="preserve">คูน้ำ มศว.</x:t>
  </x:si>
  <x:si>
    <x:t xml:space="preserve">{"canal_datetime":"2026-09-28 13:20","canal_value":-1.56,"canal_out":0,"agency":{"agency_name":{"th":"สำนักการระบายน้ำ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Bangkok","jp":""}},"geocode":{"area_code":"1","area_name":{"th":"กรุงเทพมหานคร","en":"Bangkok"},"amphoe_name":{"th":"วัฒนา","en":"Vadhana District"},"tumbon_name":{"th":"คลองเตยเหนือ","en":"Khlong Toei Nuea"},"province_code":"10","province_name":{"th":"กรุงเทพมหานคร","en":"Bangkok"}},"station":{"id":224,"canal_name":{"th":"คูน้ำ มศว."},"canal_lat":13.7423,"canal_long":100.56775,"canal_oldcode":"WL.SWU.01","bank":0.4,"warning_level":-0.2,"critical_level":0}}</x:t>
  </x:si>
  <x:si>
    <x:t xml:space="preserve">THAIWATER:274</x:t>
  </x:si>
  <x:si>
    <x:t xml:space="preserve">WL.KKS.02</x:t>
  </x:si>
  <x:si>
    <x:t xml:space="preserve">ค.ผดุงกรุงเกษม ทำเนียบรัฐบาล</x:t>
  </x:si>
  <x:si>
    <x:t xml:space="preserve">{"canal_datetime":"2026-09-28 13:20","canal_value":-0.2,"canal_out":0,"agency":{"agency_name":{"th":"สำนักการระบายน้ำ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Bangkok","jp":""}},"geocode":{"area_code":"1","area_name":{"th":"กรุงเทพมหานคร","en":"Bangkok"},"amphoe_name":{"th":"ดุสิต","en":"Dusit District"},"tumbon_name":{"th":"สวนจิตรลดา","en":"Suan Chitlada"},"province_code":"10","province_name":{"th":"กรุงเทพมหานคร","en":"Bangkok"}},"station":{"id":274,"canal_name":{"th":"ค.ผดุงกรุงเกษม ทำเนียบรัฐบาล"},"canal_lat":13.76099,"canal_long":100.51212,"canal_oldcode":"WL.KKS.02","bank":1,"warning_level":0.6,"critical_level":0.7}}</x:t>
  </x:si>
  <x:si>
    <x:t xml:space="preserve">THAIWATER:156</x:t>
  </x:si>
  <x:si>
    <x:t xml:space="preserve">WL.KSG.01</x:t>
  </x:si>
  <x:si>
    <x:t xml:space="preserve">จุดวัดคลองสอง ตอนถนนพหลโยธิน</x:t>
  </x:si>
  <x:si>
    <x:t xml:space="preserve">{"canal_datetime":"2026-09-28 13:20","canal_value":1.51,"canal_out":0,"agency":{"agency_name":{"th":"สำนักการระบายน้ำ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Bangkok","jp":""}},"geocode":{"area_code":"1","area_name":{"th":"กรุงเทพมหานคร","en":"Bangkok"},"amphoe_name":{"th":"ดอนเมือง","en":"Don Mueang District"},"tumbon_name":{"th":"สีกัน","en":"Si Kan"},"province_code":"10","province_name":{"th":"กรุงเทพมหานคร","en":"Bangkok"}},"station":{"id":156,"canal_name":{"th":"จุดวัดคลองสอง ตอนถนนพหลโยธิน"},"canal_lat":13.89974,"canal_long":100.61087,"canal_oldcode":"WL.KSG.01","bank":2,"warning_level":0.8,"critical_level":0.9}}</x:t>
  </x:si>
  <x:si>
    <x:t xml:space="preserve">THAIWATER:289</x:t>
  </x:si>
  <x:si>
    <x:t xml:space="preserve">WL.KBU.02</x:t>
  </x:si>
  <x:si>
    <x:t xml:space="preserve">ค.บัว ถ.พุทธมณฑลสาย 1</x:t>
  </x:si>
  <x:si>
    <x:t xml:space="preserve">{"canal_datetime":"2026-09-28 13:20","canal_value":0.6,"canal_out":0,"agency":{"agency_name":{"th":"สำนักการระบายน้ำ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Bangkok","jp":""}},"geocode":{"area_code":"1","area_name":{"th":"กรุงเทพมหานคร","en":"Bangkok"},"amphoe_name":{"th":"ตลิ่งชัน","en":"Taling Chan District"},"tumbon_name":{"th":"ฉิมพลี","en":"Chimphli"},"province_code":"10","province_name":{"th":"กรุงเทพมหานคร","en":"Bangkok"}},"station":{"id":289,"canal_name":{"th":"ค.บัว ถ.พุทธมณฑลสาย 1"},"canal_lat":13.7797,"canal_long":100.42681,"canal_oldcode":"WL.KBU.02","bank":1.4,"warning_level":0.9,"critical_level":1}}</x:t>
  </x:si>
  <x:si>
    <x:t xml:space="preserve">THAIWATER:125</x:t>
  </x:si>
  <x:si>
    <x:t xml:space="preserve">WL.SSN.09</x:t>
  </x:si>
  <x:si>
    <x:t xml:space="preserve">ค.สามเสน-ถ.เอกมัย</x:t>
  </x:si>
  <x:si>
    <x:t xml:space="preserve">2026-09-25T17:10:00+07:00</x:t>
  </x:si>
  <x:si>
    <x:t xml:space="preserve">{"canal_datetime":"2026-09-25 17:10","canal_value":0,"canal_out":0,"agency":{"agency_name":{"th":"สำนักการระบายน้ำ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District"},"tumbon_name":{"th":"บางกะปิ","en":"Bang Kapi"},"province_code":"10","province_name":{"th":"กรุงเทพมหานคร","en":"Bangkok"}},"station":{"id":125,"canal_name":{"th":"ค.สามเสน-ถ.เอกมัย"},"canal_lat":13.75038,"canal_long":100.59268,"canal_oldcode":"WL.SSN.09","bank":1.94,"warning_level":-0.1,"critical_level":0}}</x:t>
  </x:si>
  <x:si>
    <x:t xml:space="preserve">THAIWATER:266</x:t>
  </x:si>
  <x:si>
    <x:t xml:space="preserve">WL.LYW.01</x:t>
  </x:si>
  <x:si>
    <x:t xml:space="preserve">ค.ลาดยาว ถ.รัชดาภิเษก</x:t>
  </x:si>
  <x:si>
    <x:t xml:space="preserve">{"canal_datetime":"2026-09-28 13:20","canal_value":-0.94,"canal_out":0,"agency":{"agency_name":{"th":"สำนักการระบายน้ำ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Bangkok","jp":""}},"geocode":{"area_code":"1","area_name":{"th":"กรุงเทพมหานคร","en":"Bangkok"},"amphoe_name":{"th":"จตุจักร","en":"Chatuchak District"},"tumbon_name":{"th":"ลาดยาว","en":"Lat Yao"},"province_code":"10","province_name":{"th":"กรุงเทพมหานคร","en":"Bangkok"}},"station":{"id":266,"canal_name":{"th":"ค.ลาดยาว ถ.รัชดาภิเษก"},"canal_lat":13.83042,"canal_long":100.56229,"canal_oldcode":"WL.LYW.01","bank":1.5,"warning_level":0.2,"critical_level":0.3}}</x:t>
  </x:si>
  <x:si>
    <x:t xml:space="preserve">THAIWATER:131</x:t>
  </x:si>
  <x:si>
    <x:t xml:space="preserve">WL.TWW.01</x:t>
  </x:si>
  <x:si>
    <x:t xml:space="preserve">ปตร.คลองทวีวัฒนา</x:t>
  </x:si>
  <x:si>
    <x:t xml:space="preserve">พุทธมณฑล</x:t>
  </x:si>
  <x:si>
    <x:t xml:space="preserve">{"canal_datetime":"2026-09-28 13:20","canal_value":0.89,"canal_out":1.43,"agency":{"agency_name":{"th":"สำนักการระบายน้ำ กรุงเทพมหานคร","en":"Department of Bangkok","jp":""}},"geocode":{"area_code":"2","area_name":{"th":"ภาคกลาง","en":"Central"},"amphoe_name":{"th":"พุทธมณฑล","en":"Phutthamonthon District"},"tumbon_name":{"th":"ศาลายา","en":"Sala Ya"},"province_code":"73","province_name":{"th":"นครปฐม","en":"Nakhon Pathom"}},"station":{"id":131,"canal_name":{"th":"ปตร.คลองทวีวัฒนา"},"canal_lat":13.80042,"canal_long":100.32977,"canal_oldcode":"WL.TWW.01","bank":1.98,"warning_level":0.9,"critical_level":1}}</x:t>
  </x:si>
  <x:si>
    <x:t xml:space="preserve">THAIWATER:164</x:t>
  </x:si>
  <x:si>
    <x:t xml:space="preserve">WL.SSN.07</x:t>
  </x:si>
  <x:si>
    <x:t xml:space="preserve">ค.สามเสน ถ.อโศก</x:t>
  </x:si>
  <x:si>
    <x:t xml:space="preserve">{"canal_datetime":"2026-09-28 13:20","canal_value":-0.1,"canal_out":0,"agency":{"agency_name":{"th":"สำนักการระบายน้ำ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District"},"tumbon_name":{"th":"ห้วยขวาง","en":"Huai Khwang"},"province_code":"10","province_name":{"th":"กรุงเทพมหานคร","en":"Bangkok"}},"station":{"id":164,"canal_name":{"th":"ค.สามเสน ถ.อโศก"},"canal_lat":13.75512,"canal_long":100.56505,"canal_oldcode":"WL.SSN.07","bank":0.6,"warning_level":0,"critical_level":0.1}}</x:t>
  </x:si>
  <x:si>
    <x:t xml:space="preserve">THAIWATER:203</x:t>
  </x:si>
  <x:si>
    <x:t xml:space="preserve">WL.TCG.01</x:t>
  </x:si>
  <x:si>
    <x:t xml:space="preserve">ค.ตาช้าง ถ.ศรีนครินทร์</x:t>
  </x:si>
  <x:si>
    <x:t xml:space="preserve">{"canal_datetime":"2026-09-28 13:20","canal_value":-0.83,"canal_out":0,"agency":{"agency_name":{"th":"สำนักการระบายน้ำ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Bangkok","jp":""}},"geocode":{"area_code":"1","area_name":{"th":"กรุงเทพมหานคร","en":"Bangkok"},"amphoe_name":{"th":"ประเวศ","en":"Prawet District"},"tumbon_name":{"th":"หนองบอน","en":"Nong Bon"},"province_code":"10","province_name":{"th":"กรุงเทพมหานคร","en":"Bangkok"}},"station":{"id":203,"canal_name":{"th":"ค.ตาช้าง ถ.ศรีนครินทร์"},"canal_lat":13.68353,"canal_long":100.64666,"canal_oldcode":"WL.TCG.01","bank":1,"warning_level":-0.5,"critical_level":-0.2}}</x:t>
  </x:si>
  <x:si>
    <x:t xml:space="preserve">THAIWATER:262</x:t>
  </x:si>
  <x:si>
    <x:t xml:space="preserve">WL.BPN.02</x:t>
  </x:si>
  <x:si>
    <x:t xml:space="preserve">ค.บางพราน ถ.บางบอน 2</x:t>
  </x:si>
  <x:si>
    <x:t xml:space="preserve">{"canal_datetime":"2026-09-28 13:20","canal_value":0.48,"canal_out":0,"agency":{"agency_name":{"th":"สำนักการระบายน้ำ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Bangkok","jp":""}},"geocode":{"area_code":"1","area_name":{"th":"กรุงเทพมหานคร","en":"Bangkok"},"amphoe_name":{"th":"บางบอน","en":"Bang Bon District"},"tumbon_name":{"th":"บางบอน","en":"Bang Bon"},"province_code":"10","province_name":{"th":"กรุงเทพมหานคร","en":"Bangkok"}},"station":{"id":262,"canal_name":{"th":"ค.บางพราน ถ.บางบอน 2"},"canal_lat":13.66731,"canal_long":100.40662,"canal_oldcode":"WL.BPN.02","bank":2,"warning_level":0.6,"critical_level":0.7}}</x:t>
  </x:si>
  <x:si>
    <x:t xml:space="preserve">THAIWATER:205</x:t>
  </x:si>
  <x:si>
    <x:t xml:space="preserve">WL.KKD.02</x:t>
  </x:si>
  <x:si>
    <x:t xml:space="preserve">ค.เคล็ด ถ.สุภาพงษ์ 1</x:t>
  </x:si>
  <x:si>
    <x:t xml:space="preserve">{"canal_datetime":"2026-09-28 13:20","canal_value":0.2,"canal_out":0,"agency":{"agency_name":{"th":"สำนักการระบายน้ำ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Bangkok","jp":""}},"geocode":{"area_code":"1","area_name":{"th":"กรุงเทพมหานคร","en":"Bangkok"},"amphoe_name":{"th":"พระโขนง","en":"Phra Khanong District"},"tumbon_name":{"th":"บางจาก","en":"Bang Chak"},"province_code":"10","province_name":{"th":"กรุงเทพมหานคร","en":"Bangkok"}},"station":{"id":205,"canal_name":{"th":"ค.เคล็ด ถ.สุภาพงษ์ 1"},"canal_lat":13.68886,"canal_long":100.63809,"canal_oldcode":"WL.KKD.02","bank":1.85,"warning_level":0.9,"critical_level":0.8}}</x:t>
  </x:si>
  <x:si>
    <x:t xml:space="preserve">THAIWATER:237</x:t>
  </x:si>
  <x:si>
    <x:t xml:space="preserve">WL.KTK.03</x:t>
  </x:si>
  <x:si>
    <x:t xml:space="preserve">ค.ขรัวตาแก่น ซ.สะพานขวา</x:t>
  </x:si>
  <x:si>
    <x:t xml:space="preserve">2026-06-05T11:55:00+07:00</x:t>
  </x:si>
  <x:si>
    <x:t xml:space="preserve">{"canal_datetime":"2026-06-05 11:55","canal_value":-0.24,"canal_out":0,"agency":{"agency_name":{"th":"สำนักการระบายน้ำ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Bangkok","jp":""}},"geocode":{"area_code":"1","area_name":{"th":"กรุงเทพมหานคร","en":"Bangkok"},"amphoe_name":{"th":"บางซื่อ","en":"Bang Sue District"},"tumbon_name":{"th":"บางซื่อ","en":"Bang Sue"},"province_code":"10","province_name":{"th":"กรุงเทพมหานคร","en":"Bangkok"}},"station":{"id":237,"canal_name":{"th":"ค.ขรัวตาแก่น ซ.สะพานขวา"},"canal_lat":13.80504,"canal_long":100.52867,"canal_oldcode":"WL.KTK.03","bank":1,"warning_level":0.4,"critical_level":0.5}}</x:t>
  </x:si>
  <x:si>
    <x:t xml:space="preserve">THAIWATER:139</x:t>
  </x:si>
  <x:si>
    <x:t xml:space="preserve">WL.SRE.01</x:t>
  </x:si>
  <x:si>
    <x:t xml:space="preserve">ส.คลองสำเหร่</x:t>
  </x:si>
  <x:si>
    <x:t xml:space="preserve">{"canal_datetime":"2026-09-28 13:20","canal_value":-0.86,"canal_out":0.76,"agency":{"agency_name":{"th":"สำนักการระบายน้ำ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Bangkok","jp":""}},"geocode":{"area_code":"1","area_name":{"th":"กรุงเทพมหานคร","en":"Bangkok"},"amphoe_name":{"th":"ธนบุรี","en":"Thon Buri District"},"tumbon_name":{"th":"สำเหร่","en":"Samre"},"province_code":"10","province_name":{"th":"กรุงเทพมหานคร","en":"Bangkok"}},"station":{"id":139,"canal_name":{"th":"ส.คลองสำเหร่"},"canal_lat":13.70671,"canal_long":100.49647,"canal_oldcode":"WL.SRE.01","bank":2.8,"warning_level":2.6,"critical_level":2.8}}</x:t>
  </x:si>
  <x:si>
    <x:t xml:space="preserve">THAIWATER:60</x:t>
  </x:si>
  <x:si>
    <x:t xml:space="preserve">WL.BWK.03</x:t>
  </x:si>
  <x:si>
    <x:t xml:space="preserve">ค.บางแวก-ค.ทวีวัฒนา</x:t>
  </x:si>
  <x:si>
    <x:t xml:space="preserve">{"canal_datetime":"2026-09-28 13:20","canal_value":0.88,"canal_out":0,"agency":{"agency_name":{"th":"สำนักการระบายน้ำ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Bangkok","jp":""}},"geocode":{"area_code":"1","area_name":{"th":"กรุงเทพมหานคร","en":"Bangkok"},"amphoe_name":{"th":"หนองแขม","en":"Nong Khaem District"},"tumbon_name":{"th":"หนองค้างพลู","en":"Nong Khang Phlu"},"province_code":"10","province_name":{"th":"กรุงเทพมหานคร","en":"Bangkok"}},"station":{"id":60,"canal_name":{"th":"ค.บางแวก-ค.ทวีวัฒนา"},"canal_lat":13.72619,"canal_long":100.36426,"canal_oldcode":"WL.BWK.03","bank":1.91,"warning_level":0.7,"critical_level":0.8}}</x:t>
  </x:si>
  <x:si>
    <x:t xml:space="preserve">THAIWATER:126</x:t>
  </x:si>
  <x:si>
    <x:t xml:space="preserve">WL.SSB.01</x:t>
  </x:si>
  <x:si>
    <x:t xml:space="preserve">ค.แสนแสบ-โบ๊เบ๊</x:t>
  </x:si>
  <x:si>
    <x:t xml:space="preserve">ป้อมปราบศัตรูพ่าย</x:t>
  </x:si>
  <x:si>
    <x:t xml:space="preserve">{"canal_datetime":"2026-09-28 13:20","canal_value":-0.25,"canal_out":0,"agency":{"agency_name":{"th":"สำนักการระบายน้ำ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Bangkok","jp":""}},"geocode":{"area_code":"1","area_name":{"th":"กรุงเทพมหานคร","en":"Bangkok"},"amphoe_name":{"th":"ป้อมปราบศัตรูพ่าย","en":"Pom Prap Sattru Phai District"},"tumbon_name":{"th":"คลองมหานาค","en":"Khlong Mahanak"},"province_code":"10","province_name":{"th":"กรุงเทพมหานคร","en":"Bangkok"}},"station":{"id":126,"canal_name":{"th":"ค.แสนแสบ-โบ๊เบ๊"},"canal_lat":13.75287,"canal_long":100.51722,"canal_oldcode":"WL.SSB.01","bank":1.9,"warning_level":0.6,"critical_level":0.7}}</x:t>
  </x:si>
  <x:si>
    <x:t xml:space="preserve">THAIWATER:151</x:t>
  </x:si>
  <x:si>
    <x:t xml:space="preserve">WL.BKY.02</x:t>
  </x:si>
  <x:si>
    <x:t xml:space="preserve">ค.บางเชือกหนัง-วัดปากน้ำฝั่งใต้</x:t>
  </x:si>
  <x:si>
    <x:t xml:space="preserve">{"canal_datetime":"2026-09-28 13:20","canal_value":0.39,"canal_out":0,"agency":{"agency_name":{"th":"สำนักการระบายน้ำ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Bangkok","jp":""}},"geocode":{"area_code":"1","area_name":{"th":"กรุงเทพมหานคร","en":"Bangkok"},"amphoe_name":{"th":"ภาษีเจริญ","en":"Phasi Charoen District"},"tumbon_name":{"th":"บางแวก","en":"Bang Waek"},"province_code":"10","province_name":{"th":"กรุงเทพมหานคร","en":"Bangkok"}},"station":{"id":151,"canal_name":{"th":"ค.บางเชือกหนัง-วัดปากน้ำฝั่งใต้"},"canal_lat":13.74358,"canal_long":100.45955,"canal_oldcode":"WL.BKY.02","bank":1.8,"warning_level":0.6,"critical_level":0.7}}</x:t>
  </x:si>
  <x:si>
    <x:t xml:space="preserve">THAIWATER:191</x:t>
  </x:si>
  <x:si>
    <x:t xml:space="preserve">WL.TNG.01</x:t>
  </x:si>
  <x:si>
    <x:t xml:space="preserve">ค.ตาหนัง ถ.ลาดพร้าว</x:t>
  </x:si>
  <x:si>
    <x:t xml:space="preserve">2026-06-09T12:10:00+07:00</x:t>
  </x:si>
  <x:si>
    <x:t xml:space="preserve">{"canal_datetime":"2026-06-09 12:10","canal_value":-2,"canal_out":0,"agency":{"agency_name":{"th":"สำนักการระบายน้ำ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Bangkok","jp":""}},"geocode":{"area_code":"1","area_name":{"th":"กรุงเทพมหานคร","en":"Bangkok"},"amphoe_name":{"th":"บางกะปิ","en":"Bang Kapi District"},"tumbon_name":{"th":"คลองจั่น","en":"Khlong Chan"},"province_code":"10","province_name":{"th":"กรุงเทพมหานคร","en":"Bangkok"}},"station":{"id":191,"canal_name":{"th":"ค.ตาหนัง ถ.ลาดพร้าว"},"canal_lat":13.76725,"canal_long":100.64345,"canal_oldcode":"WL.TNG.01","bank":0.3,"warning_level":-0.2,"critical_level":0}}</x:t>
  </x:si>
  <x:si>
    <x:t xml:space="preserve">THAIWATER:291</x:t>
  </x:si>
  <x:si>
    <x:t xml:space="preserve">WL.KJU.01</x:t>
  </x:si>
  <x:si>
    <x:t xml:space="preserve">ค.ขุนจันทร์ ถ.ฉิมพลี</x:t>
  </x:si>
  <x:si>
    <x:t xml:space="preserve">{"canal_datetime":"2026-09-28 13:20","canal_value":-0.5,"canal_out":0,"agency":{"agency_name":{"th":"สำนักการระบายน้ำ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Bangkok","jp":""}},"geocode":{"area_code":"1","area_name":{"th":"กรุงเทพมหานคร","en":"Bangkok"},"amphoe_name":{"th":"ตลิ่งชัน","en":"Taling Chan District"},"tumbon_name":{"th":"ฉิมพลี","en":"Chimphli"},"province_code":"10","province_name":{"th":"กรุงเทพมหานคร","en":"Bangkok"}},"station":{"id":291,"canal_name":{"th":"ค.ขุนจันทร์ ถ.ฉิมพลี"},"canal_lat":13.78277,"canal_long":100.44432,"canal_oldcode":"WL.KJU.01","bank":1,"warning_level":1.65,"critical_level":1.85}}</x:t>
  </x:si>
  <x:si>
    <x:t xml:space="preserve">THAIWATER:292</x:t>
  </x:si>
  <x:si>
    <x:t xml:space="preserve">WL.PSC.02</x:t>
  </x:si>
  <x:si>
    <x:t xml:space="preserve">ค.ภาษีเจริญ วัดรางบัว</x:t>
  </x:si>
  <x:si>
    <x:t xml:space="preserve">{"canal_datetime":"2026-09-28 13:20","canal_value":0.39,"canal_out":0,"agency":{"agency_name":{"th":"สำนักการระบายน้ำ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Bangkok","jp":""}},"geocode":{"area_code":"1","area_name":{"th":"กรุงเทพมหานคร","en":"Bangkok"},"amphoe_name":{"th":"ภาษีเจริญ","en":"Phasi Charoen District"},"tumbon_name":{"th":"บางหว้า","en":"Bang Wa"},"province_code":"10","province_name":{"th":"กรุงเทพมหานคร","en":"Bangkok"}},"station":{"id":292,"canal_name":{"th":"ค.ภาษีเจริญ วัดรางบัว"},"canal_lat":13.71167,"canal_long":100.43889,"canal_oldcode":"WL.PSC.02","bank":1,"warning_level":0.7,"critical_level":0.8}}</x:t>
  </x:si>
  <x:si>
    <x:t xml:space="preserve">THAIWATER:103</x:t>
  </x:si>
  <x:si>
    <x:t xml:space="preserve">WL.LPG.02</x:t>
  </x:si>
  <x:si>
    <x:t xml:space="preserve">ปตร.คลองหลวงแพ่ง</x:t>
  </x:si>
  <x:si>
    <x:t xml:space="preserve">บางน้ำเปรี้ยว</x:t>
  </x:si>
  <x:si>
    <x:t xml:space="preserve">{"canal_datetime":"2026-09-28 13:20","canal_value":1.09,"canal_out":1.53,"agency":{"agency_name":{"th":"สำนักการระบายน้ำ กรุงเทพมหานคร","en":"Department of Bangkok","jp":""}},"geocode":{"area_code":"2","area_name":{"th":"ภาคกลาง","en":"Central"},"amphoe_name":{"th":"บางน้ำเปรี้ยว","en":"Bang Nam Priao District"},"tumbon_name":{"th":"ศาลาแดง","en":"Sala Daeng"},"province_code":"24","province_name":{"th":"ฉะเชิงเทรา","en":"Chachoengsao"}},"station":{"id":103,"canal_name":{"th":"ปตร.คลองหลวงแพ่ง"},"canal_lat":13.81303,"canal_long":100.93742,"canal_oldcode":"WL.LPG.02","bank":1.98,"warning_level":1,"critical_level":1.1}}</x:t>
  </x:si>
  <x:si>
    <x:t xml:space="preserve">THAIWATER:128</x:t>
  </x:si>
  <x:si>
    <x:t xml:space="preserve">WL.KLT.01</x:t>
  </x:si>
  <x:si>
    <x:t xml:space="preserve">ค.ตัน-ทางด่วน</x:t>
  </x:si>
  <x:si>
    <x:t xml:space="preserve">{"canal_datetime":"2026-09-28 13:20","canal_value":0.09,"canal_out":0,"agency":{"agency_name":{"th":"สำนักการระบายน้ำ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Bangkok","jp":""}},"geocode":{"area_code":"1","area_name":{"th":"กรุงเทพมหานคร","en":"Bangkok"},"amphoe_name":{"th":"วัฒนา","en":"Vadhana District"},"tumbon_name":{"th":"คลองตันเหนือ","en":"Khlong Tan Nuea"},"province_code":"10","province_name":{"th":"กรุงเทพมหานคร","en":"Bangkok"}},"station":{"id":128,"canal_name":{"th":"ค.ตัน-ทางด่วน"},"canal_lat":13.73776,"canal_long":100.60436,"canal_oldcode":"WL.KLT.01","bank":1.91,"warning_level":-0.2,"critical_level":0}}</x:t>
  </x:si>
  <x:si>
    <x:t xml:space="preserve">THAIWATER:94</x:t>
  </x:si>
  <x:si>
    <x:t xml:space="preserve">WL.CNS.01</x:t>
  </x:si>
  <x:si>
    <x:t xml:space="preserve">ส.คลองช่องนนทรี</x:t>
  </x:si>
  <x:si>
    <x:t xml:space="preserve">ยานนาวา</x:t>
  </x:si>
  <x:si>
    <x:t xml:space="preserve">{"canal_datetime":"2026-09-28 13:20","canal_value":-2.41,"canal_out":0.34,"agency":{"agency_name":{"th":"สำนักการระบายน้ำ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Bangkok","jp":""}},"geocode":{"area_code":"1","area_name":{"th":"กรุงเทพมหานคร","en":"Bangkok"},"amphoe_name":{"th":"ยานนาวา","en":"Yan Nawa District"},"tumbon_name":{"th":"ช่องนนทรี","en":"Chong Nonsi"},"province_code":"10","province_name":{"th":"กรุงเทพมหานคร","en":"Bangkok"}},"station":{"id":94,"canal_name":{"th":"ส.คลองช่องนนทรี"},"canal_lat":13.6952,"canal_long":100.54853,"canal_oldcode":"WL.CNS.01","bank":2.8,"warning_level":2.6,"critical_level":2.8}}</x:t>
  </x:si>
  <x:si>
    <x:t xml:space="preserve">THAIWATER:173</x:t>
  </x:si>
  <x:si>
    <x:t xml:space="preserve">WL.STN.03</x:t>
  </x:si>
  <x:si>
    <x:t xml:space="preserve">ค.สองต้นนุ่น ถ.มอเตอร์เวย์</x:t>
  </x:si>
  <x:si>
    <x:t xml:space="preserve">{"canal_datetime":"2026-09-28 13:20","canal_value":0.99,"canal_out":0,"agency":{"agency_name":{"th":"สำนักการระบายน้ำ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Bangkok","jp":""}},"geocode":{"area_code":"1","area_name":{"th":"กรุงเทพมหานคร","en":"Bangkok"},"amphoe_name":{"th":"ลาดกระบัง","en":"Lat Krabang District"},"tumbon_name":{"th":"คลองสองต้นนุ่น","en":"Khlong Song Ton Nun"},"province_code":"10","province_name":{"th":"กรุงเทพมหานคร","en":"Bangkok"}},"station":{"id":173,"canal_name":{"th":"ค.สองต้นนุ่น ถ.มอเตอร์เวย์"},"canal_lat":13.72975,"canal_long":100.73899,"canal_oldcode":"WL.STN.03","bank":2,"warning_level":0.3,"critical_level":0.4}}</x:t>
  </x:si>
  <x:si>
    <x:t xml:space="preserve">THAIWATER:202</x:t>
  </x:si>
  <x:si>
    <x:t xml:space="preserve">WL.NKW.02</x:t>
  </x:si>
  <x:si>
    <x:t xml:space="preserve">ค.น้ำแก้ว ซ.ลาดพร้าว 41</x:t>
  </x:si>
  <x:si>
    <x:t xml:space="preserve">{"canal_datetime":"2026-09-28 13:20","canal_value":0.42,"canal_out":0,"agency":{"agency_name":{"th":"สำนักการระบายน้ำ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District"},"tumbon_name":{"th":"สามเสนนอก","en":"Sam Sen Nok"},"province_code":"10","province_name":{"th":"กรุงเทพมหานคร","en":"Bangkok"}},"station":{"id":202,"canal_name":{"th":"ค.น้ำแก้ว ซ.ลาดพร้าว 41"},"canal_lat":13.80278,"canal_long":100.58458,"canal_oldcode":"WL.NKW.02","bank":0.6,"warning_level":0.4,"critical_level":0.6}}</x:t>
  </x:si>
  <x:si>
    <x:t xml:space="preserve">THAIWATER:239</x:t>
  </x:si>
  <x:si>
    <x:t xml:space="preserve">WL.BNJ.02</x:t>
  </x:si>
  <x:si>
    <x:t xml:space="preserve">ค.บางนางจีน ซ.สุขุมวิท 66/1</x:t>
  </x:si>
  <x:si>
    <x:t xml:space="preserve">{"canal_datetime":"2026-09-28 13:20","canal_value":-1.89,"canal_out":0,"agency":{"agency_name":{"th":"สำนักการระบายน้ำ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Bangkok","jp":""}},"geocode":{"area_code":"1","area_name":{"th":"กรุงเทพมหานคร","en":"Bangkok"},"amphoe_name":{"th":"บางนา","en":"Bang Na District"},"tumbon_name":{"th":"บางนา","en":"Bang Na"},"province_code":"10","province_name":{"th":"กรุงเทพมหานคร","en":"Bangkok"}},"station":{"id":239,"canal_name":{"th":"ค.บางนางจีน ซ.สุขุมวิท 66/1"},"canal_lat":13.68202,"canal_long":100.60746,"canal_oldcode":"WL.BNJ.02","bank":0,"warning_level":-0.3,"critical_level":-0.1}}</x:t>
  </x:si>
  <x:si>
    <x:t xml:space="preserve">THAIWATER:77</x:t>
  </x:si>
  <x:si>
    <x:t xml:space="preserve">WL.SSB.07</x:t>
  </x:si>
  <x:si>
    <x:t xml:space="preserve">ค.แสนแสบ-สนข.บางกะปิ</x:t>
  </x:si>
  <x:si>
    <x:t xml:space="preserve">{"canal_datetime":"2026-09-28 13:20","canal_value":0.4,"canal_out":0,"agency":{"agency_name":{"th":"สำนักการระบายน้ำ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Bangkok","jp":""}},"geocode":{"area_code":"1","area_name":{"th":"กรุงเทพมหานคร","en":"Bangkok"},"amphoe_name":{"th":"บางกะปิ","en":"Bang Kapi District"},"tumbon_name":{"th":"หัวหมาก","en":"Hua Mak"},"province_code":"10","province_name":{"th":"กรุงเทพมหานคร","en":"Bangkok"}},"station":{"id":77,"canal_name":{"th":"ค.แสนแสบ-สนข.บางกะปิ"},"canal_lat":13.76509,"canal_long":100.64791,"canal_oldcode":"WL.SSB.07","bank":1.85,"warning_level":0.35,"critical_level":0.45}}</x:t>
  </x:si>
  <x:si>
    <x:t xml:space="preserve">THAIWATER:216</x:t>
  </x:si>
  <x:si>
    <x:t xml:space="preserve">WL.KNB.02</x:t>
  </x:si>
  <x:si>
    <x:t xml:space="preserve">ค.หนองบอน ถ.เฉลิมพระเกียรติรัชกาลที่ 9</x:t>
  </x:si>
  <x:si>
    <x:t xml:space="preserve">{"canal_datetime":"2026-09-28 13:20","canal_value":0.25,"canal_out":0,"agency":{"agency_name":{"th":"สำนักการระบายน้ำ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Bangkok","jp":""}},"geocode":{"area_code":"1","area_name":{"th":"กรุงเทพมหานคร","en":"Bangkok"},"amphoe_name":{"th":"ประเวศ","en":"Prawet District"},"tumbon_name":{"th":"หนองบอน","en":"Nong Bon"},"province_code":"10","province_name":{"th":"กรุงเทพมหานคร","en":"Bangkok"}},"station":{"id":216,"canal_name":{"th":"ค.หนองบอน ถ.เฉลิมพระเกียรติรัชกาลที่ 9"},"canal_lat":13.678,"canal_long":100.66295,"canal_oldcode":"WL.KNB.02","bank":1.5,"warning_level":0,"critical_level":0.1}}</x:t>
  </x:si>
  <x:si>
    <x:t xml:space="preserve">THAIWATER:48</x:t>
  </x:si>
  <x:si>
    <x:t xml:space="preserve">WL.BKA.03</x:t>
  </x:si>
  <x:si>
    <x:t xml:space="preserve">ค.บางเขน ถ.ประชาชื่น</x:t>
  </x:si>
  <x:si>
    <x:t xml:space="preserve">{"canal_datetime":"2026-09-28 13:20","canal_value":0.89,"canal_out":0,"agency":{"agency_name":{"th":"สำนักการระบายน้ำ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Bangkok","jp":""}},"geocode":{"area_code":"1","area_name":{"th":"กรุงเทพมหานคร","en":"Bangkok"},"amphoe_name":{"th":"บางซื่อ","en":"Bang Sue District"},"tumbon_name":{"th":"บางซื่อ","en":"Bang Sue"},"province_code":"10","province_name":{"th":"กรุงเทพมหานคร","en":"Bangkok"}},"station":{"id":48,"canal_name":{"th":"ค.บางเขน ถ.ประชาชื่น"},"canal_lat":13.84933,"canal_long":100.54268,"canal_oldcode":"WL.BKA.03","bank":0.9,"warning_level":0.5,"critical_level":0.7}}</x:t>
  </x:si>
  <x:si>
    <x:t xml:space="preserve">THAIWATER:236</x:t>
  </x:si>
  <x:si>
    <x:t xml:space="preserve">WL.FTM.01</x:t>
  </x:si>
  <x:si>
    <x:t xml:space="preserve">ค.โบสถ์แม่พระ ถ.ดินแดง</x:t>
  </x:si>
  <x:si>
    <x:t xml:space="preserve">{"canal_datetime":"2026-09-28 13:20","canal_value":-1.03,"canal_out":0,"agency":{"agency_name":{"th":"สำนักการระบายน้ำ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Bangkok","jp":""}},"geocode":{"area_code":"1","area_name":{"th":"กรุงเทพมหานคร","en":"Bangkok"},"amphoe_name":{"th":"ดินแดง","en":"Din Daeng District"},"tumbon_name":{"th":"ดินแดง","en":"Din Daeng"},"province_code":"10","province_name":{"th":"กรุงเทพมหานคร","en":"Bangkok"}},"station":{"id":236,"canal_name":{"th":"ค.โบสถ์แม่พระ ถ.ดินแดง"},"canal_lat":13.75957,"canal_long":100.55618,"canal_oldcode":"WL.FTM.01","bank":1,"warning_level":0,"critical_level":0.1}}</x:t>
  </x:si>
  <x:si>
    <x:t xml:space="preserve">THAIWATER:279</x:t>
  </x:si>
  <x:si>
    <x:t xml:space="preserve">WL.BNA.02</x:t>
  </x:si>
  <x:si>
    <x:t xml:space="preserve">ค.บางนา ถ.สุขุมวิท</x:t>
  </x:si>
  <x:si>
    <x:t xml:space="preserve">{"canal_datetime":"2026-09-28 13:20","canal_value":-0.43,"canal_out":0,"agency":{"agency_name":{"th":"สำนักการระบายน้ำ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Bangkok","jp":""}},"geocode":{"area_code":"1","area_name":{"th":"กรุงเทพมหานคร","en":"Bangkok"},"amphoe_name":{"th":"บางนา","en":"Bang Na District"},"tumbon_name":{"th":"บางนา","en":"Bang Na"},"province_code":"10","province_name":{"th":"กรุงเทพมหานคร","en":"Bangkok"}},"station":{"id":279,"canal_name":{"th":"ค.บางนา ถ.สุขุมวิท"},"canal_lat":13.66948,"canal_long":100.60535,"canal_oldcode":"WL.BNA.02","bank":2,"warning_level":0.5,"critical_level":0.7}}</x:t>
  </x:si>
  <x:si>
    <x:t xml:space="preserve">THAIWATER:116</x:t>
  </x:si>
  <x:si>
    <x:t xml:space="preserve">WL.MSW.03</x:t>
  </x:si>
  <x:si>
    <x:t xml:space="preserve">ค.มหาสวัสดิ์-ถ.พุทธฯสาย 2</x:t>
  </x:si>
  <x:si>
    <x:t xml:space="preserve">{"canal_datetime":"2026-09-28 13:20","canal_value":-1.65,"canal_out":0,"agency":{"agency_name":{"th":"สำนักการระบายน้ำ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Bangkok","jp":""}},"geocode":{"area_code":"1","area_name":{"th":"กรุงเทพมหานคร","en":"Bangkok"},"amphoe_name":{"th":"ทวีวัฒนา","en":"Thawi Watthana District"},"tumbon_name":{"th":"ศาลาธรรมสพน์","en":"Sala Thammasop"},"province_code":"10","province_name":{"th":"กรุงเทพมหานคร","en":"Bangkok"}},"station":{"id":116,"canal_name":{"th":"ค.มหาสวัสดิ์-ถ.พุทธฯสาย 2"},"canal_lat":13.80187,"canal_long":100.39432,"canal_oldcode":"WL.MSW.03","bank":1.9,"warning_level":1.8,"critical_level":2}}</x:t>
  </x:si>
  <x:si>
    <x:t xml:space="preserve">THAIWATER:47</x:t>
  </x:si>
  <x:si>
    <x:t xml:space="preserve">WL.BKA.02</x:t>
  </x:si>
  <x:si>
    <x:t xml:space="preserve">ค.บางเขน ถ.กรุงเทพ-นนท์</x:t>
  </x:si>
  <x:si>
    <x:t xml:space="preserve">{"canal_datetime":"2026-09-28 13:20","canal_value":0.24,"canal_out":0,"agency":{"agency_name":{"th":"สำนักการระบายน้ำ กรุงเทพมหานคร","en":"Department of Bangkok","jp":""}},"geocode":{"area_code":"2","area_name":{"th":"ภาคกลาง","en":"Central"},"amphoe_name":{"th":"เมืองนนทบุรี","en":"Mueang Nonthaburi District"},"tumbon_name":{"th":"บางเขน","en":"Bang Khen"},"province_code":"12","province_name":{"th":"นนทบุรี","en":"Nonthaburi"}},"station":{"id":47,"canal_name":{"th":"ค.บางเขน ถ.กรุงเทพ-นนท์"},"canal_lat":13.83374,"canal_long":100.52207,"canal_oldcode":"WL.BKA.02","bank":0.95,"warning_level":0.7,"critical_level":0.9}}</x:t>
  </x:si>
  <x:si>
    <x:t xml:space="preserve">THAIWATER:198</x:t>
  </x:si>
  <x:si>
    <x:t xml:space="preserve">WL.HKG.02</x:t>
  </x:si>
  <x:si>
    <x:t xml:space="preserve">ค.ห้วยขวาง ถ.เทียมร่วมมิตร</x:t>
  </x:si>
  <x:si>
    <x:t xml:space="preserve">{"canal_datetime":"2026-09-28 13:20","canal_value":-0.24,"canal_out":0,"agency":{"agency_name":{"th":"สำนักการระบายน้ำ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District"},"tumbon_name":{"th":"ห้วยขวาง","en":"Huai Khwang"},"province_code":"10","province_name":{"th":"กรุงเทพมหานคร","en":"Bangkok"}},"station":{"id":198,"canal_name":{"th":"ค.ห้วยขวาง ถ.เทียมร่วมมิตร"},"canal_lat":13.76755,"canal_long":100.57674,"canal_oldcode":"WL.HKG.02","bank":0.3,"warning_level":0.1,"critical_level":0.3}}</x:t>
  </x:si>
  <x:si>
    <x:t xml:space="preserve">THAIWATER:193</x:t>
  </x:si>
  <x:si>
    <x:t xml:space="preserve">WL.LSM.01</x:t>
  </x:si>
  <x:si>
    <x:t xml:space="preserve">ค.หลอด 3 บางนา ตราด</x:t>
  </x:si>
  <x:si>
    <x:t xml:space="preserve">{"canal_datetime":"2026-09-28 13:20","canal_value":-0.2,"canal_out":0,"agency":{"agency_name":{"th":"สำนักการระบายน้ำ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Bangkok","jp":""}},"geocode":{"area_code":"1","area_name":{"th":"กรุงเทพมหานคร","en":"Bangkok"},"amphoe_name":{"th":"บางนา","en":"Bang Na District"},"tumbon_name":{"th":"บางนา","en":"Bang Na"},"province_code":"10","province_name":{"th":"กรุงเทพมหานคร","en":"Bangkok"}},"station":{"id":193,"canal_name":{"th":"ค.หลอด 3 บางนา ตราด"},"canal_lat":13.66749,"canal_long":100.63337,"canal_oldcode":"WL.LSM.01","bank":-0.2,"warning_level":-0.4,"critical_level":-0.2}}</x:t>
  </x:si>
  <x:si>
    <x:t xml:space="preserve">THAIWATER:58</x:t>
  </x:si>
  <x:si>
    <x:t xml:space="preserve">WL.BWK.01</x:t>
  </x:si>
  <x:si>
    <x:t xml:space="preserve">ค.บางแวก-ค.บางกอกใหญ่</x:t>
  </x:si>
  <x:si>
    <x:t xml:space="preserve">{"canal_datetime":"2026-09-28 13:20","canal_value":0.35,"canal_out":0,"agency":{"agency_name":{"th":"สำนักการระบายน้ำ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Bangkok","jp":""}},"geocode":{"area_code":"1","area_name":{"th":"กรุงเทพมหานคร","en":"Bangkok"},"amphoe_name":{"th":"ภาษีเจริญ","en":"Phasi Charoen District"},"tumbon_name":{"th":"บางแวก","en":"Bang Waek"},"province_code":"10","province_name":{"th":"กรุงเทพมหานคร","en":"Bangkok"}},"station":{"id":58,"canal_name":{"th":"ค.บางแวก-ค.บางกอกใหญ่"},"canal_lat":13.73823,"canal_long":100.45901,"canal_oldcode":"WL.BWK.01","bank":1.9,"warning_level":0.6,"critical_level":0.7}}</x:t>
  </x:si>
  <x:si>
    <x:t xml:space="preserve">THAIWATER:265</x:t>
  </x:si>
  <x:si>
    <x:t xml:space="preserve">WL.LYW.02</x:t>
  </x:si>
  <x:si>
    <x:t xml:space="preserve">ค.ลาดยาว ถ.วิภาวดีรังสิต 44</x:t>
  </x:si>
  <x:si>
    <x:t xml:space="preserve">{"canal_datetime":"2026-09-28 13:20","canal_value":-0.92,"canal_out":0,"agency":{"agency_name":{"th":"สำนักการระบายน้ำ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Bangkok","jp":""}},"geocode":{"area_code":"1","area_name":{"th":"กรุงเทพมหานคร","en":"Bangkok"},"amphoe_name":{"th":"จตุจักร","en":"Chatuchak District"},"tumbon_name":{"th":"ลาดยาว","en":"Lat Yao"},"province_code":"10","province_name":{"th":"กรุงเทพมหานคร","en":"Bangkok"}},"station":{"id":265,"canal_name":{"th":"ค.ลาดยาว ถ.วิภาวดีรังสิต 44"},"canal_lat":13.84162,"canal_long":100.55997,"canal_oldcode":"WL.LYW.02","bank":0.5,"warning_level":0.2,"critical_level":0.3}}</x:t>
  </x:si>
  <x:si>
    <x:t xml:space="preserve">THAIWATER:227</x:t>
  </x:si>
  <x:si>
    <x:t xml:space="preserve">WL.CYI.01</x:t>
  </x:si>
  <x:si>
    <x:t xml:space="preserve">ค.ชวดใหญ่ ถ.พระราม 9 ซ.13</x:t>
  </x:si>
  <x:si>
    <x:t xml:space="preserve">{"canal_datetime":"2026-09-28 13:20","canal_value":-0.13,"canal_out":0,"agency":{"agency_name":{"th":"สำนักการระบายน้ำ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District"},"tumbon_name":{"th":"ห้วยขวาง","en":"Huai Khwang"},"province_code":"10","province_name":{"th":"กรุงเทพมหานคร","en":"Bangkok"}},"station":{"id":227,"canal_name":{"th":"ค.ชวดใหญ่ ถ.พระราม 9 ซ.13"},"canal_lat":13.76217,"canal_long":100.58648,"canal_oldcode":"WL.CYI.01","bank":0.6,"warning_level":0,"critical_level":0.1}}</x:t>
  </x:si>
  <x:si>
    <x:t xml:space="preserve">THAIWATER:259</x:t>
  </x:si>
  <x:si>
    <x:t xml:space="preserve">WL.BBR.01</x:t>
  </x:si>
  <x:si>
    <x:t xml:space="preserve">ค.บางบำหรุ ถ.บรมราชชนนี</x:t>
  </x:si>
  <x:si>
    <x:t xml:space="preserve">บางกอกน้อย</x:t>
  </x:si>
  <x:si>
    <x:t xml:space="preserve">{"canal_datetime":"2026-09-28 13:20","canal_value":-0.38,"canal_out":0,"agency":{"agency_name":{"th":"สำนักการระบายน้ำ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Bangkok","jp":""}},"geocode":{"area_code":"1","area_name":{"th":"กรุงเทพมหานคร","en":"Bangkok"},"amphoe_name":{"th":"บางกอกน้อย","en":"Bangkok Noi District"},"tumbon_name":{"th":"อรุณอมรินทร์","en":"Arun Ammarin"},"province_code":"10","province_name":{"th":"กรุงเทพมหานคร","en":"Bangkok"}},"station":{"id":259,"canal_name":{"th":"ค.บางบำหรุ ถ.บรมราชชนนี"},"canal_lat":13.77927,"canal_long":100.47591,"canal_oldcode":"WL.BBR.01","bank":1,"warning_level":0.6,"critical_level":0.7}}</x:t>
  </x:si>
  <x:si>
    <x:t xml:space="preserve">THAIWATER:64</x:t>
  </x:si>
  <x:si>
    <x:t xml:space="preserve">WL.BBU.01</x:t>
  </x:si>
  <x:si>
    <x:t xml:space="preserve">ค.บางบัว</x:t>
  </x:si>
  <x:si>
    <x:t xml:space="preserve">{"canal_datetime":"2026-09-28 13:20","canal_value":1.47,"canal_out":0,"agency":{"agency_name":{"th":"สำนักการระบายน้ำ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Bangkok","jp":""}},"geocode":{"area_code":"1","area_name":{"th":"กรุงเทพมหานคร","en":"Bangkok"},"amphoe_name":{"th":"จตุจักร","en":"Chatuchak District"},"tumbon_name":{"th":"เสนานิคม","en":"Sena Nikhom"},"province_code":"10","province_name":{"th":"กรุงเทพมหานคร","en":"Bangkok"}},"station":{"id":64,"canal_name":{"th":"ค.บางบัว"},"canal_lat":13.85806,"canal_long":100.58656,"canal_oldcode":"WL.BBU.01","bank":1.85,"warning_level":0.7,"critical_level":0.8}}</x:t>
  </x:si>
  <x:si>
    <x:t xml:space="preserve">THAIWATER:288</x:t>
  </x:si>
  <x:si>
    <x:t xml:space="preserve">WL.BYK.01</x:t>
  </x:si>
  <x:si>
    <x:t xml:space="preserve">ค.บางยี่ขัน ถ.จรัญสนิทวงศ์</x:t>
  </x:si>
  <x:si>
    <x:t xml:space="preserve">{"canal_datetime":"2026-09-28 13:20","canal_value":-0.39,"canal_out":0,"agency":{"agency_name":{"th":"สำนักการระบายน้ำ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Bangkok","jp":""}},"geocode":{"area_code":"1","area_name":{"th":"กรุงเทพมหานคร","en":"Bangkok"},"amphoe_name":{"th":"บางพลัด","en":"Bang Phlat District"},"tumbon_name":{"th":"บางบำหรุ","en":"Bang Bamru"},"province_code":"10","province_name":{"th":"กรุงเทพมหานคร","en":"Bangkok"}},"station":{"id":288,"canal_name":{"th":"ค.บางยี่ขัน ถ.จรัญสนิทวงศ์"},"canal_lat":13.77571,"canal_long":100.48371,"canal_oldcode":"WL.BYK.01","bank":1,"warning_level":0.6,"critical_level":0.7}}</x:t>
  </x:si>
  <x:si>
    <x:t xml:space="preserve">THAIWATER:223</x:t>
  </x:si>
  <x:si>
    <x:t xml:space="preserve">WL.TSK.01</x:t>
  </x:si>
  <x:si>
    <x:t xml:space="preserve">คูน้ำต่อศักดิ์ ซ.ทองหล่อ 25</x:t>
  </x:si>
  <x:si>
    <x:t xml:space="preserve">{"canal_datetime":"2026-09-28 13:20","canal_value":-1.76,"canal_out":0,"agency":{"agency_name":{"th":"สำนักการระบายน้ำ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Bangkok","jp":""}},"geocode":{"area_code":"1","area_name":{"th":"กรุงเทพมหานคร","en":"Bangkok"},"amphoe_name":{"th":"วัฒนา","en":"Vadhana District"},"tumbon_name":{"th":"คลองตันเหนือ","en":"Khlong Tan Nuea"},"province_code":"10","province_name":{"th":"กรุงเทพมหานคร","en":"Bangkok"}},"station":{"id":223,"canal_name":{"th":"คูน้ำต่อศักดิ์ ซ.ทองหล่อ 25"},"canal_lat":13.74019,"canal_long":100.58037,"canal_oldcode":"WL.TSK.01","bank":0,"warning_level":-0.2,"critical_level":0}}</x:t>
  </x:si>
  <x:si>
    <x:t xml:space="preserve">THAIWATER_WL:505018</x:t>
  </x:si>
  <x:si>
    <x:t xml:space="preserve">K.58</x:t>
  </x:si>
  <x:si>
    <x:t xml:space="preserve">บ้านปากแซง</x:t>
  </x:si>
  <x:si>
    <x:t xml:space="preserve">แม่น้ำแควน้อย</x:t>
  </x:si>
  <x:si>
    <x:t xml:space="preserve">2026-10-01T23:00:00+07:00</x:t>
  </x:si>
  <x:si>
    <x:t xml:space="preserve">ล้นตลิ่ง</x:t>
  </x:si>
  <x:si>
    <x:t xml:space="preserve">ปกติ</x:t>
  </x:si>
  <x:si>
    <x:t xml:space="preserve">ภายใน 60 นาที</x:t>
  </x:si>
  <x:si>
    <x:t xml:space="preserve">2026-10-01T15:22:23+07:00</x:t>
  </x:si>
  <x:si>
    <x:t xml:space="preserve">https://api-v3.thaiwater.net/api/v1/thaiwater30/public/waterlevel_load</x:t>
  </x:si>
  <x:si>
    <x:t xml:space="preserve">{"id":1316004504,"waterlevel_datetime":"2026-10-01 23:00","waterlevel_m":null,"waterlevel_msl":"50.27","waterlevel_msl_previous":"50.44","flow_rate":null,"discharge":null,"storage_percent":"148.91","sort_order":null,"station_type":"tele_waterlevel","situation_level":5,"agency":{"id":12,"agency_name":{"th":"กรมชลประทาน ","en":"Royal Irrigation Department","jp":""},"agency_shortname":{"th":"ชป.","en":"RID","jp":""}},"basin":{"id":15,"basin_code":14,"basin_name":{"th":"ลุ่มน้ำแม่กลอง","en":"Mae Klong Basin"}},"station":{"id":505018,"tele_station_name":{"th":"บ้านปากแซง"},"tele_station_lat":14.21513,"tele_station_long":99.058197,"tele_station_oldcode":"K.58","tele_station_type":"tele_waterlevel","left_bank":97.251,"right_bank":96.106,"min_bank":45.8,"ground_level":36.66,"offset":39.5,"sub_basin_id":273,"agency_id":12,"geocode_id":6598,"hydro_id":7,"qmax":630,"is_key_station":true,"warning_level_m":null,"critical_level_m":null,"critical_level_msl":null},"geocode":{"area_code":"2","area_name":{"th":"ภาคกลาง","en":"Central"},"amphoe_code":"02","amphoe_name":{"th":"ไทรโยค","en":"Sai Yok District"},"tumbon_code":"02","tumbon_name":{"th":"ท่าเสา","en":"Tha Sao"},"province_code":"71","province_name":{"th":"กาญจนบุรี","en":"Kanchanaburi"}},"diff_wl_bank":"4.47","diff_wl_bank_text":"ล้นตลิ่ง (ม.)","river_gid":183975,"river_name":"แม่น้ำแควน้อย"}</x:t>
  </x:si>
  <x:si>
    <x:t xml:space="preserve">THAIWATER_WL:1098950</x:t>
  </x:si>
  <x:si>
    <x:t xml:space="preserve">Kgt.12A</x:t>
  </x:si>
  <x:si>
    <x:t xml:space="preserve">บ้านแก้ง</x:t>
  </x:si>
  <x:si>
    <x:t xml:space="preserve">คลองพระปรง</x:t>
  </x:si>
  <x:si>
    <x:t xml:space="preserve">2026-10-01T14:00:00+07:00</x:t>
  </x:si>
  <x:si>
    <x:t xml:space="preserve">{"id":1316342999,"waterlevel_datetime":"2026-10-01 14:00","waterlevel_m":null,"waterlevel_msl":"23.99","waterlevel_msl_previous":"24.00","flow_rate":null,"discharge":"196.70","storage_percent":"135.21","sort_order":null,"station_type":"tele_waterlevel","situation_level":5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1098950,"tele_station_name":{"th":"บ้านแก้ง"},"tele_station_lat":13.93635,"tele_station_long":101.972321,"tele_station_oldcode":"Kgt.12A","tele_station_type":"tele_waterlevel","left_bank":35.701,"right_bank":35.847,"min_bank":21,"ground_level":12.509,"offset":12.43,"sub_basin_id":278,"agency_id":12,"geocode_id":1605,"hydro_id":6,"qmax":116,"is_key_station":true,"warning_level_m":null,"critical_level_m":null,"critical_level_msl":null},"geocode":{"area_code":"2","area_name":{"th":"ภาคกลาง","en":"Central"},"amphoe_code":"01","amphoe_name":{"th":"เมืองสระแก้ว","en":"Mueang Sa Kaeo District"},"tumbon_code":"02","tumbon_name":{"th":"บ้านแก้ง","en":"Ban Kaeng"},"province_code":"27","province_name":{"th":"สระแก้ว","en":"Sa Kaeo"}},"diff_wl_bank":"2.99","diff_wl_bank_text":"ล้นตลิ่ง (ม.)","river_gid":195444,"river_name":"คลองพระปรง"}</x:t>
  </x:si>
  <x:si>
    <x:t xml:space="preserve">THAIWATER_WL:131</x:t>
  </x:si>
  <x:si>
    <x:t xml:space="preserve">CHN005</x:t>
  </x:si>
  <x:si>
    <x:t xml:space="preserve">นายายอาม</x:t>
  </x:si>
  <x:si>
    <x:t xml:space="preserve">คลองวังโตนด</x:t>
  </x:si>
  <x:si>
    <x:t xml:space="preserve">2026-10-01T15:10:00+07:00</x:t>
  </x:si>
  <x:si>
    <x:t xml:space="preserve">{"id":1316367980,"waterlevel_datetime":"2026-10-01 15:10","waterlevel_m":null,"waterlevel_msl":"6.22","waterlevel_msl_previous":"6.24","flow_rate":null,"discharge":null,"storage_percent":"128.95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Organization)","jp":""},"agency_shortname":{"th":"สสน.","en":"HII","jp":""}},"basin":{"id":18,"basin_code":17,"basin_name":{"th":"ลุ่มน้ำชายฝั่งทะเลตะวันออก","en":"East Coast Gulf Basin"}},"station":{"id":131,"tele_station_name":{"en":"Na Yai Am","th":"นายายอาม"},"tele_station_lat":12.722433,"tele_station_long":101.95606,"tele_station_oldcode":"CHN005","tele_station_type":"tele_waterlevel","left_bank":7.2559,"right_bank":4.2759,"min_bank":4.28,"ground_level":-2.44,"offset":null,"sub_basin_id":295,"agency_id":9,"geocode_id":1325,"hydro_id":null,"qmax":null,"is_key_station":false,"warning_level_m":null,"critical_level_m":null,"critical_level_msl":null},"geocode":{"area_code":"2","area_name":{"th":"ภาคกลาง","en":"Central"},"amphoe_code":"09","amphoe_name":{"th":"นายายอาม","en":"Na Yai Am District"},"tumbon_code":"06","tumbon_name":{"th":"วังใหม่","en":"Wang Mai"},"province_code":"22","province_name":{"th":"จันทบุรี","en":"Chanthaburi"}},"diff_wl_bank":"1.94","diff_wl_bank_text":"ล้นตลิ่ง (ม.)","river_gid":204477,"river_name":"คลองวังโตนด"}</x:t>
  </x:si>
  <x:si>
    <x:t xml:space="preserve">THAIWATER_WL:1095849</x:t>
  </x:si>
  <x:si>
    <x:t xml:space="preserve">C.67</x:t>
  </x:si>
  <x:si>
    <x:t xml:space="preserve">สะพานหัวเวียง</x:t>
  </x:si>
  <x:si>
    <x:t xml:space="preserve">{"id":1316341303,"waterlevel_datetime":"2026-10-01 14:00","waterlevel_m":null,"waterlevel_msl":"5.24","waterlevel_msl_previous":"5.23","flow_rate":null,"discharge":null,"storage_percent":"126.69","sort_order":null,"station_type":"tele_waterlevel","situation_level":5,"agency":{"id":12,"agency_name":{"th":"กรมชลประทาน ","en":"Royal Irrigation Department","jp":""},"agency_shortname":{"th":"ชป.","en":"RID","jp":""}},"basin":{"id":10,"basin_code":10,"basin_name":{"th":"ลุ่มน้ำเจ้าพระยา","en":"Chao Phraya Basin"}},"station":{"id":1095849,"tele_station_name":{"th":"สะพานหัวเวียง"},"tele_station_lat":14.36851,"tele_station_long":100.414391,"tele_station_oldcode":"C.67","tele_station_type":"tele_waterlevel","left_bank":6.576,"right_bank":6.698,"min_bank":2.75,"ground_level":-6.58,"offset":null,"sub_basin_id":240,"agency_id":12,"geocode_id":570,"hydro_id":5,"qmax":null,"is_key_station":false,"warning_level_m":null,"critical_level_m":null,"critical_level_msl":null},"geocode":{"area_code":"2","area_name":{"th":"ภาคกลาง","en":"Central"},"amphoe_code":"12","amphoe_name":{"th":"เสนา","en":"Sena District"},"tumbon_code":"06","tumbon_name":{"th":"หัวเวียง","en":"Hua Wiang"},"province_code":"14","province_name":{"th":"พระนครศรีอยุธยา","en":"Phra Nakhon Si Ayutthaya"}},"diff_wl_bank":"2.49","diff_wl_bank_text":"ล้นตลิ่ง (ม.)"}</x:t>
  </x:si>
  <x:si>
    <x:t xml:space="preserve">THAIWATER_WL:575568</x:t>
  </x:si>
  <x:si>
    <x:t xml:space="preserve">BKC004</x:t>
  </x:si>
  <x:si>
    <x:t xml:space="preserve">ปตร. คลองลัดบางยอ 2</x:t>
  </x:si>
  <x:si>
    <x:t xml:space="preserve">แม่น้ำเจ้าพระยา</x:t>
  </x:si>
  <x:si>
    <x:t xml:space="preserve">2026-09-30T19:40:00+07:00</x:t>
  </x:si>
  <x:si>
    <x:t xml:space="preserve">{"id":1315862531,"waterlevel_datetime":"2026-09-30 19:40","waterlevel_m":null,"waterlevel_msl":"1.57","waterlevel_msl_previous":"1.57","flow_rate":null,"discharge":null,"storage_percent":"126.23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Basin"}},"station":{"id":575568,"tele_station_name":{"en":"Khlong Lat Bang Yo 2 Gate","th":"ปตร. คลองลัดบางยอ 2"},"tele_station_lat":13.661021,"tele_station_long":100.56727,"tele_station_oldcode":"BKC004","tele_station_type":"tele_waterlevel","left_bank":1.49,"right_bank":0.905,"min_bank":0.91,"ground_level":-1.63,"offset":null,"sub_basin_id":240,"agency_id":9,"geocode_id":252,"hydro_id":null,"qmax":null,"is_key_station":false,"warning_level_m":null,"critical_level_m":null,"critical_level_msl":null},"geocode":{"area_code":"2","area_name":{"th":"ภาคกลาง","en":"Central"},"amphoe_code":"04","amphoe_name":{"th":"พระประแดง","en":"Phra Pradaeng District"},"tumbon_code":"11","tumbon_name":{"th":"บางกระสอบ","en":"Bang Krasop"},"province_code":"11","province_name":{"th":"สมุทรปราการ","en":"Samut Prakan"}},"diff_wl_bank":"0.67","diff_wl_bank_text":"ล้นตลิ่ง (ม.)","river_gid":188375,"river_name":"แม่น้ำเจ้าพระยา"}</x:t>
  </x:si>
  <x:si>
    <x:t xml:space="preserve">THAIWATER_WL:737</x:t>
  </x:si>
  <x:si>
    <x:t xml:space="preserve">THA006</x:t>
  </x:si>
  <x:si>
    <x:t xml:space="preserve">วัดท่าเจดีย์ (TTC06)</x:t>
  </x:si>
  <x:si>
    <x:t xml:space="preserve">แม่น้ำท่าจีน</x:t>
  </x:si>
  <x:si>
    <x:t xml:space="preserve">{"id":1316368384,"waterlevel_datetime":"2026-10-01 15:10","waterlevel_m":null,"waterlevel_msl":"3.22","waterlevel_msl_previous":"3.22","flow_rate":null,"discharge":null,"storage_percent":"125.71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Organization)","jp":""},"agency_shortname":{"th":"สสน.","en":"HII","jp":""}},"basin":{"id":14,"basin_code":13,"basin_name":{"th":"ลุ่มน้ำท่าจีน","en":"Tha Chin Basin"}},"station":{"id":737,"tele_station_name":{"en":"Tha Chedi Temple (TTC06)","th":"วัดท่าเจดีย์ (TTC06)"},"tele_station_lat":14.15657,"tele_station_long":100.12744,"tele_station_oldcode":"THA006","tele_station_type":"tele_waterlevel","left_bank":4.39,"right_bank":2.139,"min_bank":2.14,"ground_level":-2.065,"offset":null,"sub_basin_id":259,"agency_id":9,"geocode_id":6772,"hydro_id":null,"qmax":null,"is_key_station":false,"warning_level_m":null,"critical_level_m":null,"critical_level_msl":null},"geocode":{"area_code":"2","area_name":{"th":"ภาคกลาง","en":"Central"},"amphoe_code":"07","amphoe_name":{"th":"สองพี่น้อง","en":"Song Phi Nong District"},"tumbon_code":"03","tumbon_name":{"th":"บางตาเถร","en":"Bang Ta Then"},"province_code":"72","province_name":{"th":"สุพรรณบุรี","en":"Suphan Buri"}},"diff_wl_bank":"1.08","diff_wl_bank_text":"ล้นตลิ่ง (ม.)","river_gid":184492,"river_name":"แม่น้ำท่าจีน"}</x:t>
  </x:si>
  <x:si>
    <x:t xml:space="preserve">THAIWATER_WL:48</x:t>
  </x:si>
  <x:si>
    <x:t xml:space="preserve">CPY009</x:t>
  </x:si>
  <x:si>
    <x:t xml:space="preserve">คลองบางหลวง</x:t>
  </x:si>
  <x:si>
    <x:t xml:space="preserve">แม่น้ำน้อย</x:t>
  </x:si>
  <x:si>
    <x:t xml:space="preserve">{"id":1316367995,"waterlevel_datetime":"2026-10-01 15:10","waterlevel_m":null,"waterlevel_msl":"6.37","waterlevel_msl_previous":"6.37","flow_rate":null,"discharge":null,"storage_percent":"123.61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Basin"}},"station":{"id":48,"tele_station_name":{"en":"Chao Phraya 9","th":"คลองบางหลวง"},"tele_station_lat":14.4158,"tele_station_long":100.44071,"tele_station_oldcode":"CPY009","tele_station_type":"tele_waterlevel","left_bank":6.153,"right_bank":4.311,"min_bank":4.31,"ground_level":-4.397,"offset":null,"sub_basin_id":240,"agency_id":9,"geocode_id":478,"hydro_id":null,"qmax":null,"is_key_station":false,"warning_level_m":null,"critical_level_m":null,"critical_level_msl":null},"geocode":{"area_code":"2","area_name":{"th":"ภาคกลาง","en":"Central"},"amphoe_code":"05","amphoe_name":{"th":"บางบาล","en":"Bang Ban District"},"tumbon_code":"13","tumbon_name":{"th":"บางหลวงโดด","en":"Bang Luang Dot"},"province_code":"14","province_name":{"th":"พระนครศรีอยุธยา","en":"Phra Nakhon Si Ayutthaya"}},"diff_wl_bank":"2.06","diff_wl_bank_text":"ล้นตลิ่ง (ม.)","river_gid":182183,"river_name":"แม่น้ำน้อย"}</x:t>
  </x:si>
  <x:si>
    <x:t xml:space="preserve">THAIWATER_WL:2572</x:t>
  </x:si>
  <x:si>
    <x:t xml:space="preserve">K.10</x:t>
  </x:si>
  <x:si>
    <x:t xml:space="preserve">บ้านลุ่มสุ่ม</x:t>
  </x:si>
  <x:si>
    <x:t xml:space="preserve">{"id":1316004496,"waterlevel_datetime":"2026-10-01 23:00","waterlevel_m":null,"waterlevel_msl":"43.76","waterlevel_msl_previous":"43.76","flow_rate":null,"discharge":null,"storage_percent":"123.39","sort_order":null,"station_type":"tele_waterlevel","situation_level":5,"agency":{"id":12,"agency_name":{"th":"กรมชลประทาน ","en":"Royal Irrigation Department","jp":""},"agency_shortname":{"th":"ชป.","en":"RID","jp":""}},"basin":{"id":15,"basin_code":14,"basin_name":{"th":"ลุ่มน้ำแม่กลอง","en":"Mae Klong Basin"}},"station":{"id":2572,"tele_station_name":{"th":"บ้านลุ่มสุ่ม"},"tele_station_lat":14.09243,"tele_station_long":99.178993,"tele_station_oldcode":"K.10","tele_station_type":"tele_waterlevel","left_bank":76.625,"right_bank":76.389,"min_bank":40.7,"ground_level":27.62,"offset":30.4,"sub_basin_id":273,"agency_id":12,"geocode_id":6597,"hydro_id":7,"qmax":1020,"is_key_station":true,"warning_level_m":null,"critical_level_m":10.3,"critical_level_msl":40.4},"geocode":{"area_code":"2","area_name":{"th":"ภาคกลาง","en":"Central"},"amphoe_code":"02","amphoe_name":{"th":"ไทรโยค","en":"Sai Yok District"},"tumbon_code":"01","tumbon_name":{"th":"ลุ่มสุ่ม","en":"Lum Sum"},"province_code":"71","province_name":{"th":"กาญจนบุรี","en":"Kanchanaburi"}},"diff_wl_bank":"3.06","diff_wl_bank_text":"ล้นตลิ่ง (ม.)","river_gid":184805,"river_name":"แม่น้ำแควน้อย"}</x:t>
  </x:si>
  <x:si>
    <x:t xml:space="preserve">THAIWATER_WL:200</x:t>
  </x:si>
  <x:si>
    <x:t xml:space="preserve">SKE003</x:t>
  </x:si>
  <x:si>
    <x:t xml:space="preserve">คลองพรหมโหด</x:t>
  </x:si>
  <x:si>
    <x:t xml:space="preserve">ห้วยพรมโหด</x:t>
  </x:si>
  <x:si>
    <x:t xml:space="preserve">{"id":1316368314,"waterlevel_datetime":"2026-10-01 15:10","waterlevel_m":null,"waterlevel_msl":"45.12","waterlevel_msl_previous":"45.13","flow_rate":null,"discharge":null,"storage_percent":"122.91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Organization)","jp":""},"agency_shortname":{"th":"สสน.","en":"HII","jp":""}},"basin":{"id":17,"basin_code":16,"basin_name":{"th":"ลุ่มน้ำโตนเลสาบ","en":"Tonle Sap Basin"}},"station":{"id":200,"tele_station_name":{"en":"Klong Prom Hod","th":"คลองพรหมโหด"},"tele_station_lat":13.705864,"tele_station_long":102.48168,"tele_station_oldcode":"SKE003","tele_station_type":"tele_waterlevel","left_bank":44.661,"right_bank":44.296,"min_bank":44.3,"ground_level":40.699,"offset":null,"sub_basin_id":288,"agency_id":9,"geocode_id":1651,"hydro_id":null,"qmax":null,"is_key_station":true,"warning_level_m":null,"critical_level_m":null,"critical_level_msl":44.389},"geocode":{"area_code":"2","area_name":{"th":"ภาคกลาง","en":"Central"},"amphoe_code":"06","amphoe_name":{"th":"อรัญประเทศ","en":"Aranyaprathet District"},"tumbon_code":"08","tumbon_name":{"th":"บ้านใหม่หนองไทร","en":"Ban Mai Nong Sai"},"province_code":"27","province_name":{"th":"สระแก้ว","en":"Sa Kaeo"}},"diff_wl_bank":"0.82","diff_wl_bank_text":"ล้นตลิ่ง (ม.)","river_gid":197020,"river_name":"ห้วยพรมโหด"}</x:t>
  </x:si>
  <x:si>
    <x:t xml:space="preserve">THAIWATER_WL:832059</x:t>
  </x:si>
  <x:si>
    <x:t xml:space="preserve">K.49</x:t>
  </x:si>
  <x:si>
    <x:t xml:space="preserve">บ้านยางสูง</x:t>
  </x:si>
  <x:si>
    <x:t xml:space="preserve">ลำตะเพิน</x:t>
  </x:si>
  <x:si>
    <x:t xml:space="preserve">{"id":1316004502,"waterlevel_datetime":"2026-10-01 23:00","waterlevel_m":null,"waterlevel_msl":"103.87","waterlevel_msl_previous":"103.89","flow_rate":null,"discharge":null,"storage_percent":"122.72","sort_order":null,"station_type":"tele_waterlevel","situation_level":5,"agency":{"id":12,"agency_name":{"th":"กรมชลประทาน ","en":"Royal Irrigation Department","jp":""},"agency_shortname":{"th":"ชป.","en":"RID","jp":""}},"basin":{"id":15,"basin_code":14,"basin_name":{"th":"ลุ่มน้ำแม่กลอง","en":"Mae Klong Basin"}},"station":{"id":832059,"tele_station_name":{"th":"บ้านยางสูง"},"tele_station_lat":14.48943,"tele_station_long":99.469788,"tele_station_oldcode":"K.49","tele_station_type":"tele_waterlevel","left_bank":204.36,"right_bank":204.66,"min_bank":103,"ground_level":99.17,"offset":98.5,"sub_basin_id":267,"agency_id":12,"geocode_id":6608,"hydro_id":7,"qmax":null,"is_key_station":true,"warning_level_m":null,"critical_level_m":null,"critical_level_msl":null},"geocode":{"area_code":"2","area_name":{"th":"ภาคกลาง","en":"Central"},"amphoe_code":"03","amphoe_name":{"th":"บ่อพลอย","en":"Bo Phloi District"},"tumbon_code":"05","tumbon_name":{"th":"หลุมรัง","en":"Lum Rang"},"province_code":"71","province_name":{"th":"กาญจนบุรี","en":"Kanchanaburi"}},"diff_wl_bank":"0.87","diff_wl_bank_text":"ล้นตลิ่ง (ม.)","river_gid":181404,"river_name":"ลำตะเพิน"}</x:t>
  </x:si>
  <x:si>
    <x:t xml:space="preserve">THAIWATER_WL:736</x:t>
  </x:si>
  <x:si>
    <x:t xml:space="preserve">THA010</x:t>
  </x:si>
  <x:si>
    <x:t xml:space="preserve">สองพี่น้อง</x:t>
  </x:si>
  <x:si>
    <x:t xml:space="preserve">คลองสองพี่น้อง</x:t>
  </x:si>
  <x:si>
    <x:t xml:space="preserve">{"id":1316368388,"waterlevel_datetime":"2026-10-01 15:10","waterlevel_m":null,"waterlevel_msl":"3.28","waterlevel_msl_previous":"3.28","flow_rate":null,"discharge":null,"storage_percent":"121.15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Organization)","jp":""},"agency_shortname":{"th":"สสน.","en":"HII","jp":""}},"basin":{"id":14,"basin_code":13,"basin_name":{"th":"ลุ่มน้ำท่าจีน","en":"Tha Chin Basin"}},"station":{"id":736,"tele_station_name":{"en":"Song Phi Nong","th":"สองพี่น้อง"},"tele_station_lat":14.21608,"tele_station_long":100.05017,"tele_station_oldcode":"THA010","tele_station_type":"tele_waterlevel","left_bank":2.439,"right_bank":5.407,"min_bank":2.44,"ground_level":-1.518,"offset":null,"sub_basin_id":259,"agency_id":9,"geocode_id":6770,"hydro_id":null,"qmax":null,"is_key_station":false,"warning_level_m":null,"critical_level_m":null,"critical_level_msl":null},"geocode":{"area_code":"2","area_name":{"th":"ภาคกลาง","en":"Central"},"amphoe_code":"07","amphoe_name":{"th":"สองพี่น้อง","en":"Song Phi Nong District"},"tumbon_code":"01","tumbon_name":{"th":"สองพี่น้อง","en":"Song Phi Nong"},"province_code":"72","province_name":{"th":"สุพรรณบุรี","en":"Suphan Buri"}},"diff_wl_bank":"0.84","diff_wl_bank_text":"ล้นตลิ่ง (ม.)","river_gid":183831,"river_name":"คลองสองพี่น้อง"}</x:t>
  </x:si>
  <x:si>
    <x:t xml:space="preserve">THAIWATER_WL:2688</x:t>
  </x:si>
  <x:si>
    <x:t xml:space="preserve">K.32A</x:t>
  </x:si>
  <x:si>
    <x:t xml:space="preserve">บ้านบ้องตี้น้อย</x:t>
  </x:si>
  <x:si>
    <x:t xml:space="preserve">ห้วยบ้องตี้</x:t>
  </x:si>
  <x:si>
    <x:t xml:space="preserve">2026-09-27T10:00:00+07:00</x:t>
  </x:si>
  <x:si>
    <x:t xml:space="preserve">{"id":1313742779,"waterlevel_datetime":"2026-09-27 10:00","waterlevel_m":null,"waterlevel_msl":"91.42","waterlevel_msl_previous":"91.00","flow_rate":null,"discharge":null,"storage_percent":"120.72","sort_order":null,"station_type":"tele_waterlevel","situation_level":5,"agency":{"id":12,"agency_name":{"th":"กรมชลประทาน ","en":"Royal Irrigation Department","jp":""},"agency_shortname":{"th":"ชป.","en":"RID","jp":""}},"basin":{"id":15,"basin_code":14,"basin_name":{"th":"ลุ่มน้ำแม่กลอง","en":"Mae Klong Basin"}},"station":{"id":2688,"tele_station_name":{"th":"บ้านบ้องตี้น้อย"},"tele_station_lat":14.27618,"tele_station_long":98.931068,"tele_station_oldcode":"K.32A","tele_station_type":"tele_waterlevel","left_bank":173.801997,"right_bank":174.462997,"min_bank":90.2,"ground_level":84.311,"offset":84.199997,"sub_basin_id":273,"agency_id":12,"geocode_id":6601,"hydro_id":7,"qmax":350,"is_key_station":false,"warning_level_m":null,"critical_level_m":null,"critical_level_msl":null},"geocode":{"area_code":"2","area_name":{"th":"ภาคกลาง","en":"Central"},"amphoe_code":"02","amphoe_name":{"th":"ไทรโยค","en":"Sai Yok District"},"tumbon_code":"05","tumbon_name":{"th":"วังกระแจะ","en":"Wang Krachae"},"province_code":"71","province_name":{"th":"กาญจนบุรี","en":"Kanchanaburi"}},"diff_wl_bank":"1.22","diff_wl_bank_text":"ล้นตลิ่ง (ม.)","river_gid":183200,"river_name":"ห้วยบ้องตี้"}</x:t>
  </x:si>
  <x:si>
    <x:t xml:space="preserve">THAIWATER_WL:2611</x:t>
  </x:si>
  <x:si>
    <x:t xml:space="preserve">C.36</x:t>
  </x:si>
  <x:si>
    <x:t xml:space="preserve">บ้านบางหลวงโดด</x:t>
  </x:si>
  <x:si>
    <x:t xml:space="preserve">{"id":1316341287,"waterlevel_datetime":"2026-10-01 14:00","waterlevel_m":null,"waterlevel_msl":"6.41","waterlevel_msl_previous":"6.40","flow_rate":null,"discharge":"844.00","storage_percent":"120.59","sort_order":null,"station_type":"tele_waterlevel","situation_level":5,"agency":{"id":12,"agency_name":{"th":"กรมชลประทาน ","en":"Royal Irrigation Department","jp":""},"agency_shortname":{"th":"ชป.","en":"RID","jp":""}},"basin":{"id":10,"basin_code":10,"basin_name":{"th":"ลุ่มน้ำเจ้าพระยา","en":"Chao Phraya Basin"}},"station":{"id":2611,"tele_station_name":{"th":"บ้านบางหลวงโดด"},"tele_station_lat":14.41588,"tele_station_long":100.440804,"tele_station_oldcode":"C.36","tele_station_type":"tele_waterlevel","left_bank":7.434,"right_bank":7.787,"min_bank":4.3,"ground_level":-5.95,"offset":null,"sub_basin_id":240,"agency_id":12,"geocode_id":478,"hydro_id":5,"qmax":441,"is_key_station":true,"warning_level_m":null,"critical_level_m":null,"critical_level_msl":null},"geocode":{"area_code":"2","area_name":{"th":"ภาคกลาง","en":"Central"},"amphoe_code":"05","amphoe_name":{"th":"บางบาล","en":"Bang Ban District"},"tumbon_code":"13","tumbon_name":{"th":"บางหลวงโดด","en":"Bang Luang Dot"},"province_code":"14","province_name":{"th":"พระนครศรีอยุธยา","en":"Phra Nakhon Si Ayutthaya"}},"diff_wl_bank":"2.11","diff_wl_bank_text":"ล้นตลิ่ง (ม.)","river_gid":182183,"river_name":"แม่น้ำน้อย"}</x:t>
  </x:si>
  <x:si>
    <x:t xml:space="preserve">THAIWATER_WL:47</x:t>
  </x:si>
  <x:si>
    <x:t xml:space="preserve">CPY010</x:t>
  </x:si>
  <x:si>
    <x:t xml:space="preserve">คลองบางบาล</x:t>
  </x:si>
  <x:si>
    <x:t xml:space="preserve">{"id":1316367996,"waterlevel_datetime":"2026-10-01 15:10","waterlevel_m":null,"waterlevel_msl":"7.11","waterlevel_msl_previous":"7.11","flow_rate":null,"discharge":null,"storage_percent":"118.09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Basin"}},"station":{"id":47,"tele_station_name":{"en":"Chao Phraya 10","th":"คลองบางบาล"},"tele_station_lat":14.42303,"tele_station_long":100.48186,"tele_station_oldcode":"CPY010","tele_station_type":"tele_waterlevel","left_bank":5.841,"right_bank":8.432,"min_bank":5.84,"ground_level":-1.178,"offset":null,"sub_basin_id":240,"agency_id":9,"geocode_id":468,"hydro_id":null,"qmax":null,"is_key_station":false,"warning_level_m":null,"critical_level_m":null,"critical_level_msl":null},"geocode":{"area_code":"2","area_name":{"th":"ภาคกลาง","en":"Central"},"amphoe_code":"05","amphoe_name":{"th":"บางบาล","en":"Bang Ban District"},"tumbon_code":"03","tumbon_name":{"th":"ไทรน้อย","en":"Sai Noi"},"province_code":"14","province_name":{"th":"พระนครศรีอยุธยา","en":"Phra Nakhon Si Ayutthaya"}},"diff_wl_bank":"1.27","diff_wl_bank_text":"ล้นตลิ่ง (ม.)","river_gid":182220,"river_name":"คลองบางบาล"}</x:t>
  </x:si>
  <x:si>
    <x:t xml:space="preserve">THAIWATER_WL:160</x:t>
  </x:si>
  <x:si>
    <x:t xml:space="preserve">PRC002</x:t>
  </x:si>
  <x:si>
    <x:t xml:space="preserve">เมืองปราจีนบุรี</x:t>
  </x:si>
  <x:si>
    <x:t xml:space="preserve">แม่น้ำบางปะกง</x:t>
  </x:si>
  <x:si>
    <x:t xml:space="preserve">2026-09-30T15:40:00+07:00</x:t>
  </x:si>
  <x:si>
    <x:t xml:space="preserve">{"id":1315745881,"waterlevel_datetime":"2026-09-30 15:40","waterlevel_m":null,"waterlevel_msl":"5.65","waterlevel_msl_previous":"5.65","flow_rate":null,"discharge":null,"storage_percent":"118.03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Basin"}},"station":{"id":160,"tele_station_name":{"en":"Prachinburi 2","th":"เมืองปราจีนบุรี"},"tele_station_lat":14.053554,"tele_station_long":101.38684,"tele_station_oldcode":"PRC002","tele_station_type":"tele_waterlevel","left_bank":5.339,"right_bank":4.044,"min_bank":4.04,"ground_level":-4.865,"offset":null,"sub_basin_id":281,"agency_id":9,"geocode_id":1485,"hydro_id":null,"qmax":null,"is_key_station":false,"warning_level_m":null,"critical_level_m":null,"critical_level_msl":null},"geocode":{"area_code":"2","area_name":{"th":"ภาคกลาง","en":"Central"},"amphoe_code":"01","amphoe_name":{"th":"เมืองปราจีนบุรี","en":"Mueang Prachin Buri District"},"tumbon_code":"01","tumbon_name":{"th":"หน้าเมือง","en":"Na Mueang"},"province_code":"25","province_name":{"th":"ปราจีนบุรี","en":"Prachin Buri"}},"diff_wl_bank":"1.61","diff_wl_bank_text":"ล้นตลิ่ง (ม.)","river_gid":194664,"river_name":"แม่น้ำบางปะกง"}</x:t>
  </x:si>
  <x:si>
    <x:t xml:space="preserve">THAIWATER_WL:156</x:t>
  </x:si>
  <x:si>
    <x:t xml:space="preserve">BPK004</x:t>
  </x:si>
  <x:si>
    <x:t xml:space="preserve">พนมสารคาม</x:t>
  </x:si>
  <x:si>
    <x:t xml:space="preserve">คลองท่าลาด</x:t>
  </x:si>
  <x:si>
    <x:t xml:space="preserve">{"id":1316367956,"waterlevel_datetime":"2026-10-01 15:10","waterlevel_m":null,"waterlevel_msl":"6.63","waterlevel_msl_previous":"6.63","flow_rate":null,"discharge":null,"storage_percent":"117.45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Basin"}},"station":{"id":156,"tele_station_name":{"en":"Phanom Sarakham","th":"พนมสารคาม"},"tele_station_lat":13.72662,"tele_station_long":101.35298,"tele_station_oldcode":"BPK004","tele_station_type":"tele_waterlevel","left_bank":7.575,"right_bank":5.395,"min_bank":5.4,"ground_level":-1.66,"offset":null,"sub_basin_id":284,"agency_id":9,"geocode_id":1452,"hydro_id":null,"qmax":null,"is_key_station":false,"warning_level_m":null,"critical_level_m":null,"critical_level_msl":null},"geocode":{"area_code":"2","area_name":{"th":"ภาคกลาง","en":"Central"},"amphoe_code":"06","amphoe_name":{"th":"พนมสารคาม","en":"Phanom Sarakham District"},"tumbon_code":"01","tumbon_name":{"th":"เกาะขนุน","en":"Ko Khanun"},"province_code":"24","province_name":{"th":"ฉะเชิงเทรา","en":"Chachoengsao"}},"diff_wl_bank":"1.23","diff_wl_bank_text":"ล้นตลิ่ง (ม.)","river_gid":196933,"river_name":"คลองท่าลาด"}</x:t>
  </x:si>
  <x:si>
    <x:t xml:space="preserve">THAIWATER_WL:832066</x:t>
  </x:si>
  <x:si>
    <x:t xml:space="preserve">K.55A</x:t>
  </x:si>
  <x:si>
    <x:t xml:space="preserve">สะพานค่ายหลวง</x:t>
  </x:si>
  <x:si>
    <x:t xml:space="preserve">แม่น้ำแม่กลอง</x:t>
  </x:si>
  <x:si>
    <x:t xml:space="preserve">{"id":1316004493,"waterlevel_datetime":"2026-10-01 23:00","waterlevel_m":null,"waterlevel_msl":"10.61","waterlevel_msl_previous":"10.61","flow_rate":null,"discharge":"2154.23","storage_percent":"116.98","sort_order":null,"station_type":"tele_waterlevel","situation_level":5,"agency":{"id":12,"agency_name":{"th":"กรมชลประทาน ","en":"Royal Irrigation Department","jp":""},"agency_shortname":{"th":"ชป.","en":"RID","jp":""}},"basin":{"id":15,"basin_code":14,"basin_name":{"th":"ลุ่มน้ำแม่กลอง","en":"Mae Klong Basin"}},"station":{"id":832066,"tele_station_name":{"th":"สะพานค่ายหลวง"},"tele_station_lat":13.80568,"tele_station_long":99.87159,"tele_station_oldcode":"K.55A","tele_station_type":"tele_waterlevel","left_bank":11.307,"right_bank":10.397,"min_bank":9,"ground_level":-0.48,"offset":0,"sub_basin_id":276,"agency_id":12,"geocode_id":6518,"hydro_id":7,"qmax":1730,"is_key_station":true,"warning_level_m":null,"critical_level_m":null,"critical_level_msl":null},"geocode":{"area_code":"2","area_name":{"th":"ภาคกลาง","en":"Central"},"amphoe_code":"05","amphoe_name":{"th":"บ้านโป่ง","en":"Ban Pong District"},"tumbon_code":"01","tumbon_name":{"th":"บ้านโป่ง","en":"Ban Pong"},"province_code":"70","province_name":{"th":"ราชบุรี","en":"Ratchaburi"}},"diff_wl_bank":"1.61","diff_wl_bank_text":"ล้นตลิ่ง (ม.)","river_gid":186743,"river_name":"แม่น้ำแม่กลอง"}</x:t>
  </x:si>
  <x:si>
    <x:t xml:space="preserve">THAIWATER_WL:190</x:t>
  </x:si>
  <x:si>
    <x:t xml:space="preserve">SKE001</x:t>
  </x:si>
  <x:si>
    <x:t xml:space="preserve">{"id":1316368312,"waterlevel_datetime":"2026-10-01 15:10","waterlevel_m":null,"waterlevel_msl":"21.05","waterlevel_msl_previous":"21.05","flow_rate":null,"discharge":null,"storage_percent":"115.23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Basin"}},"station":{"id":190,"tele_station_name":{"en":"Klong Pra Prong","th":"คลองพระปรง"},"tele_station_lat":13.937376,"tele_station_long":101.922035,"tele_station_oldcode":"SKE001","tele_station_type":"tele_waterlevel","left_bank":19.615,"right_bank":21.249,"min_bank":19.61,"ground_level":10.194,"offset":null,"sub_basin_id":278,"agency_id":9,"geocode_id":1605,"hydro_id":null,"qmax":null,"is_key_station":false,"warning_level_m":null,"critical_level_m":null,"critical_level_msl":null},"geocode":{"area_code":"2","area_name":{"th":"ภาคกลาง","en":"Central"},"amphoe_code":"01","amphoe_name":{"th":"เมืองสระแก้ว","en":"Mueang Sa Kaeo District"},"tumbon_code":"02","tumbon_name":{"th":"บ้านแก้ง","en":"Ban Kaeng"},"province_code":"27","province_name":{"th":"สระแก้ว","en":"Sa Kaeo"}},"diff_wl_bank":"1.44","diff_wl_bank_text":"ล้นตลิ่ง (ม.)","river_gid":195500,"river_name":"คลองพระปรง"}</x:t>
  </x:si>
  <x:si>
    <x:t xml:space="preserve">THAIWATER_WL:169</x:t>
  </x:si>
  <x:si>
    <x:t xml:space="preserve">PRC004</x:t>
  </x:si>
  <x:si>
    <x:t xml:space="preserve">ประจันตคาม (KGT7A)</x:t>
  </x:si>
  <x:si>
    <x:t xml:space="preserve">คลองอินทร์ไตร</x:t>
  </x:si>
  <x:si>
    <x:t xml:space="preserve">{"id":1316368246,"waterlevel_datetime":"2026-10-01 15:10","waterlevel_m":null,"waterlevel_msl":"7.47","waterlevel_msl_previous":"7.47","flow_rate":null,"discharge":null,"storage_percent":"114.04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Basin"}},"station":{"id":169,"tele_station_name":{"en":"Prachinburi 4","th":"ประจันตคาม (KGT7A)"},"tele_station_lat":14.070941,"tele_station_long":101.51893,"tele_station_oldcode":"PRC004","tele_station_type":"tele_waterlevel","left_bank":6.8545,"right_bank":6.6625,"min_bank":6.66,"ground_level":0.91,"offset":null,"sub_basin_id":281,"agency_id":9,"geocode_id":1531,"hydro_id":null,"qmax":null,"is_key_station":false,"warning_level_m":null,"critical_level_m":null,"critical_level_msl":null},"geocode":{"area_code":"2","area_name":{"th":"ภาคกลาง","en":"Central"},"amphoe_code":"07","amphoe_name":{"th":"ประจันตคาม","en":"Prachantakham District"},"tumbon_code":"01","tumbon_name":{"th":"ประจันตคาม","en":"Prachantakham"},"province_code":"25","province_name":{"th":"ปราจีนบุรี","en":"Prachin Buri"}},"diff_wl_bank":"0.81","diff_wl_bank_text":"ล้นตลิ่ง (ม.)","river_gid":194592,"river_name":"คลองอินทร์ไตร"}</x:t>
  </x:si>
  <x:si>
    <x:t xml:space="preserve">THAIWATER_WL:505039</x:t>
  </x:si>
  <x:si>
    <x:t xml:space="preserve">T.13</x:t>
  </x:si>
  <x:si>
    <x:t xml:space="preserve">บ้านบางการ้อง</x:t>
  </x:si>
  <x:si>
    <x:t xml:space="preserve">{"id":1316004513,"waterlevel_datetime":"2026-10-01 23:00","waterlevel_m":null,"waterlevel_msl":"3.37","waterlevel_msl_previous":"3.36","flow_rate":null,"discharge":null,"storage_percent":"113.72","sort_order":null,"station_type":"tele_waterlevel","situation_level":5,"agency":{"id":12,"agency_name":{"th":"กรมชลประทาน ","en":"Royal Irrigation Department","jp":""},"agency_shortname":{"th":"ชป.","en":"RID","jp":""}},"basin":{"id":14,"basin_code":13,"basin_name":{"th":"ลุ่มน้ำท่าจีน","en":"Tha Chin Basin"}},"station":{"id":505039,"tele_station_name":{"th":"บ้านบางการ้อง"},"tele_station_lat":14.157,"tele_station_long":100.127907,"tele_station_oldcode":"T.13","tele_station_type":"tele_waterlevel","left_bank":0.10400000000000009,"right_bank":0.13400000000000034,"min_bank":2.4,"ground_level":-4.67,"offset":-4,"sub_basin_id":259,"agency_id":12,"geocode_id":6772,"hydro_id":7,"qmax":null,"is_key_station":true,"warning_level_m":null,"critical_level_m":null,"critical_level_msl":null},"geocode":{"area_code":"2","area_name":{"th":"ภาคกลาง","en":"Central"},"amphoe_code":"07","amphoe_name":{"th":"สองพี่น้อง","en":"Song Phi Nong District"},"tumbon_code":"03","tumbon_name":{"th":"บางตาเถร","en":"Bang Ta Then"},"province_code":"72","province_name":{"th":"สุพรรณบุรี","en":"Suphan Buri"}},"diff_wl_bank":"0.97","diff_wl_bank_text":"ล้นตลิ่ง (ม.)","river_gid":184341,"river_name":"แม่น้ำท่าจีน"}</x:t>
  </x:si>
  <x:si>
    <x:t xml:space="preserve">THAIWATER_WL:170</x:t>
  </x:si>
  <x:si>
    <x:t xml:space="preserve">PRC005</x:t>
  </x:si>
  <x:si>
    <x:t xml:space="preserve">ศรีมหาโพธิ (KGT6)</x:t>
  </x:si>
  <x:si>
    <x:t xml:space="preserve">2026-10-01T13:50:00+07:00</x:t>
  </x:si>
  <x:si>
    <x:t xml:space="preserve">{"id":1316327752,"waterlevel_datetime":"2026-10-01 13:50","waterlevel_m":null,"waterlevel_msl":"8.74","waterlevel_msl_previous":"8.75","flow_rate":null,"discharge":null,"storage_percent":"111.43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Basin"}},"station":{"id":170,"tele_station_name":{"en":"Prachinburi 5","th":"ศรีมหาโพธิ (KGT6)"},"tele_station_lat":13.97348,"tele_station_long":101.51751,"tele_station_oldcode":"PRC005","tele_station_type":"tele_waterlevel","left_bank":7.5808,"right_bank":7.9828,"min_bank":7.58,"ground_level":-2.56,"offset":null,"sub_basin_id":281,"agency_id":9,"geocode_id":1543,"hydro_id":null,"qmax":null,"is_key_station":false,"warning_level_m":null,"critical_level_m":null,"critical_level_msl":null},"geocode":{"area_code":"2","area_name":{"th":"ภาคกลาง","en":"Central"},"amphoe_code":"08","amphoe_name":{"th":"ศรีมหาโพธิ","en":"Si Maha Phot District"},"tumbon_code":"03","tumbon_name":{"th":"บ้านทาม","en":"Ban Tham"},"province_code":"25","province_name":{"th":"ปราจีนบุรี","en":"Prachin Buri"}},"diff_wl_bank":"1.16","diff_wl_bank_text":"ล้นตลิ่ง (ม.)","river_gid":195215,"river_name":"แม่น้ำบางปะกง"}</x:t>
  </x:si>
  <x:si>
    <x:t xml:space="preserve">THAIWATER_WL:528052</x:t>
  </x:si>
  <x:si>
    <x:t xml:space="preserve">T.15</x:t>
  </x:si>
  <x:si>
    <x:t xml:space="preserve">วัดบางไผ่นารถ</x:t>
  </x:si>
  <x:si>
    <x:t xml:space="preserve">{"id":1316004515,"waterlevel_datetime":"2026-10-01 23:00","waterlevel_m":null,"waterlevel_msl":"2.60","waterlevel_msl_previous":"2.60","flow_rate":null,"discharge":null,"storage_percent":"110.61","sort_order":null,"station_type":"tele_waterlevel","situation_level":5,"agency":{"id":12,"agency_name":{"th":"กรมชลประทาน ","en":"Royal Irrigation Department","jp":""},"agency_shortname":{"th":"ชป.","en":"RID","jp":""}},"basin":{"id":14,"basin_code":13,"basin_name":{"th":"ลุ่มน้ำท่าจีน","en":"Tha Chin Basin"}},"station":{"id":528052,"tele_station_name":{"th":"วัดบางไผ่นารถ"},"tele_station_lat":14.05221,"tele_station_long":100.175087,"tele_station_oldcode":"T.15","tele_station_type":"tele_waterlevel","left_bank":-2.582,"right_bank":-2.785,"min_bank":1.8,"ground_level":-5.74,"offset":-6,"sub_basin_id":259,"agency_id":12,"geocode_id":6897,"hydro_id":7,"qmax":null,"is_key_station":true,"warning_level_m":null,"critical_level_m":null,"critical_level_msl":null},"geocode":{"area_code":"2","area_name":{"th":"ภาคกลาง","en":"Central"},"amphoe_code":"05","amphoe_name":{"th":"บางเลน","en":"Bang Len District"},"tumbon_code":"06","tumbon_name":{"th":"บางไทรป่า","en":"Bang Sai Pa"},"province_code":"73","province_name":{"th":"นครปฐม","en":"Nakhon Pathom"}},"diff_wl_bank":"0.80","diff_wl_bank_text":"ล้นตลิ่ง (ม.)","river_gid":184977,"river_name":"แม่น้ำท่าจีน"}</x:t>
  </x:si>
  <x:si>
    <x:t xml:space="preserve">THAIWATER_WL:731</x:t>
  </x:si>
  <x:si>
    <x:t xml:space="preserve">THA005</x:t>
  </x:si>
  <x:si>
    <x:t xml:space="preserve">เมืองสุพรรณบุรี</x:t>
  </x:si>
  <x:si>
    <x:t xml:space="preserve">แม่น้ำสุพรรณ</x:t>
  </x:si>
  <x:si>
    <x:t xml:space="preserve">{"id":1316368383,"waterlevel_datetime":"2026-10-01 15:10","waterlevel_m":null,"waterlevel_msl":"5.65","waterlevel_msl_previous":"5.64","flow_rate":null,"discharge":null,"storage_percent":"110.49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Organization)","jp":""},"agency_shortname":{"th":"สสน.","en":"HII","jp":""}},"basin":{"id":14,"basin_code":13,"basin_name":{"th":"ลุ่มน้ำท่าจีน","en":"Tha Chin Basin"}},"station":{"id":731,"tele_station_name":{"en":"Tha Chin 5","th":"เมืองสุพรรณบุรี"},"tele_station_lat":14.4705,"tele_station_long":100.11475,"tele_station_oldcode":"THA005","tele_station_type":"tele_waterlevel","left_bank":7.387,"right_bank":4.959,"min_bank":4.96,"ground_level":-1.6,"offset":null,"sub_basin_id":259,"agency_id":9,"geocode_id":6695,"hydro_id":null,"qmax":null,"is_key_station":false,"warning_level_m":null,"critical_level_m":null,"critical_level_msl":null},"geocode":{"area_code":"2","area_name":{"th":"ภาคกลาง","en":"Central"},"amphoe_code":"01","amphoe_name":{"th":"เมืองสุพรรณบุรี","en":"Mueang Suphan Buri District"},"tumbon_code":"01","tumbon_name":{"th":"ท่าพี่เลี้ยง","en":"Tha Phi Liang"},"province_code":"72","province_name":{"th":"สุพรรณบุรี","en":"Suphan Buri"}},"diff_wl_bank":"0.69","diff_wl_bank_text":"ล้นตลิ่ง (ม.)","river_gid":181538,"river_name":"แม่น้ำสุพรรณ"}</x:t>
  </x:si>
  <x:si>
    <x:t xml:space="preserve">THAIWATER_WL:709</x:t>
  </x:si>
  <x:si>
    <x:t xml:space="preserve">RAJ002</x:t>
  </x:si>
  <x:si>
    <x:t xml:space="preserve">บ้านโป่ง</x:t>
  </x:si>
  <x:si>
    <x:t xml:space="preserve">{"id":1316368260,"waterlevel_datetime":"2026-10-01 15:10","waterlevel_m":null,"waterlevel_msl":"10.52","waterlevel_msl_previous":"10.53","flow_rate":null,"discharge":null,"storage_percent":"110.20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Organization)","jp":""},"agency_shortname":{"th":"สสน.","en":"HII","jp":""}},"basin":{"id":15,"basin_code":14,"basin_name":{"th":"ลุ่มน้ำแม่กลอง","en":"Mae Klong Basin"}},"station":{"id":709,"tele_station_name":{"en":"Ratchaburi 2","th":"บ้านโป่ง"},"tele_station_lat":13.81866,"tele_station_long":99.86508,"tele_station_oldcode":"RAJ002","tele_station_type":"tele_waterlevel","left_bank":9.56,"right_bank":9.56,"min_bank":9.56,"ground_level":0.132,"offset":null,"sub_basin_id":276,"agency_id":9,"geocode_id":6531,"hydro_id":null,"qmax":null,"is_key_station":false,"warning_level_m":null,"critical_level_m":null,"critical_level_msl":null},"geocode":{"area_code":"2","area_name":{"th":"ภาคกลาง","en":"Central"},"amphoe_code":"05","amphoe_name":{"th":"บ้านโป่ง","en":"Ban Pong District"},"tumbon_code":"14","tumbon_name":{"th":"เบิกไพร","en":"Boek Phrai"},"province_code":"70","province_name":{"th":"ราชบุรี","en":"Ratchaburi"}},"diff_wl_bank":"0.96","diff_wl_bank_text":"ล้นตลิ่ง (ม.)","river_gid":186647,"river_name":"แม่น้ำแม่กลอง"}</x:t>
  </x:si>
  <x:si>
    <x:t xml:space="preserve">THAIWATER_WL:700556</x:t>
  </x:si>
  <x:si>
    <x:t xml:space="preserve">MKSND06</x:t>
  </x:si>
  <x:si>
    <x:t xml:space="preserve">โรงเรียนบ้านทุ่งนานางหรอก</x:t>
  </x:si>
  <x:si>
    <x:t xml:space="preserve">2026-10-01T15:00:00+07:00</x:t>
  </x:si>
  <x:si>
    <x:t xml:space="preserve">{"id":1316366855,"waterlevel_datetime":"2026-10-01 15:00","waterlevel_m":null,"waterlevel_msl":"46.73","waterlevel_msl_previous":"46.75","flow_rate":null,"discharge":"0.00","storage_percent":"109.98","sort_order":null,"station_type":"tele_waterlevel","situation_level":5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700556,"tele_station_name":{"th":"โรงเรียนบ้านทุ่งนานางหรอก"},"tele_station_lat":14.17509,"tele_station_long":99.43382,"tele_station_oldcode":"MKSND06","tele_station_type":"tele_waterlevel","left_bank":45.14,"right_bank":46.28,"min_bank":45.14,"ground_level":29.2,"offset":null,"sub_basin_id":267,"agency_id":8,"geocode_id":6589,"hydro_id":null,"qmax":null,"is_key_station":false,"warning_level_m":null,"critical_level_m":null,"critical_level_msl":45.8},"geocode":{"area_code":"2","area_name":{"th":"ภาคกลาง","en":"Central"},"amphoe_code":"01","amphoe_name":{"th":"เมืองกาญจนบุรี","en":"Mueang Kanchanaburi District"},"tumbon_code":"07","tumbon_name":{"th":"ลาดหญ้า","en":"Lat Ya"},"province_code":"71","province_name":{"th":"กาญจนบุรี","en":"Kanchanaburi"}},"diff_wl_bank":"1.59","diff_wl_bank_text":"ล้นตลิ่ง (ม.)","river_gid":184230,"river_name":"ลำตะเพิน"}</x:t>
  </x:si>
  <x:si>
    <x:t xml:space="preserve">THAIWATER_WL:115</x:t>
  </x:si>
  <x:si>
    <x:t xml:space="preserve">RAY001</x:t>
  </x:si>
  <x:si>
    <x:t xml:space="preserve">เมืองแกลง</x:t>
  </x:si>
  <x:si>
    <x:t xml:space="preserve">แม่น้ำประแสร์</x:t>
  </x:si>
  <x:si>
    <x:t xml:space="preserve">{"id":1316368262,"waterlevel_datetime":"2026-10-01 15:10","waterlevel_m":null,"waterlevel_msl":"4.60","waterlevel_msl_previous":"4.60","flow_rate":null,"discharge":null,"storage_percent":"109.89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Organization)","jp":""},"agency_shortname":{"th":"สสน.","en":"HII","jp":""}},"basin":{"id":18,"basin_code":17,"basin_name":{"th":"ลุ่มน้ำชายฝั่งทะเลตะวันออก","en":"East Coast Gulf Basin"}},"station":{"id":115,"tele_station_name":{"en":"Mueang Klaeng","th":"เมืองแกลง"},"tele_station_lat":12.802991,"tele_station_long":101.65024,"tele_station_oldcode":"RAY001","tele_station_type":"tele_waterlevel","left_bank":3.966,"right_bank":4.375,"min_bank":3.97,"ground_level":-2.445,"offset":null,"sub_basin_id":293,"agency_id":9,"geocode_id":1207,"hydro_id":null,"qmax":null,"is_key_station":false,"warning_level_m":null,"critical_level_m":null,"critical_level_msl":null},"geocode":{"area_code":"2","area_name":{"th":"ภาคกลาง","en":"Central"},"amphoe_code":"03","amphoe_name":{"th":"แกลง","en":"Klaeng District"},"tumbon_code":"08","tumbon_name":{"th":"บ้านนา","en":"Ban Na"},"province_code":"21","province_name":{"th":"ระยอง","en":"Rayong"}},"diff_wl_bank":"0.63","diff_wl_bank_text":"ล้นตลิ่ง (ม.)","river_gid":203698,"river_name":"แม่น้ำประแสร์"}</x:t>
  </x:si>
  <x:si>
    <x:t xml:space="preserve">THAIWATER_WL:504994</x:t>
  </x:si>
  <x:si>
    <x:t xml:space="preserve">Kgt.13A</x:t>
  </x:si>
  <x:si>
    <x:t xml:space="preserve">บ้านโนนสุขภูมิ</x:t>
  </x:si>
  <x:si>
    <x:t xml:space="preserve">{"id":1316342988,"waterlevel_datetime":"2026-10-01 14:00","waterlevel_m":null,"waterlevel_msl":"17.22","waterlevel_msl_previous":"17.24","flow_rate":null,"discharge":"383.80","storage_percent":"109.53","sort_order":null,"station_type":"tele_waterlevel","situation_level":5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504994,"tele_station_name":{"th":"บ้านโนนสุขภูมิ"},"tele_station_lat":13.91009,"tele_station_long":101.838211,"tele_station_oldcode":"Kgt.13A","tele_station_type":"tele_waterlevel","left_bank":17.7,"right_bank":16.859,"min_bank":16.17,"ground_level":5.151,"offset":0,"sub_basin_id":279,"agency_id":12,"geocode_id":1508,"hydro_id":6,"qmax":341.799988,"is_key_station":true,"warning_level_m":null,"critical_level_m":null,"critical_level_msl":null},"geocode":{"area_code":"2","area_name":{"th":"ภาคกลาง","en":"Central"},"amphoe_code":"02","amphoe_name":{"th":"กบินทร์บุรี","en":"Kabin Buri District"},"tumbon_code":"10","tumbon_name":{"th":"บ่อทอง","en":"Bo Thong"},"province_code":"25","province_name":{"th":"ปราจีนบุรี","en":"Prachin Buri"}},"diff_wl_bank":"1.05","diff_wl_bank_text":"ล้นตลิ่ง (ม.)","river_gid":195567,"river_name":"คลองพระปรง"}</x:t>
  </x:si>
  <x:si>
    <x:t xml:space="preserve">THAIWATER_WL:504990</x:t>
  </x:si>
  <x:si>
    <x:t xml:space="preserve">Kgt.6</x:t>
  </x:si>
  <x:si>
    <x:t xml:space="preserve">บ้านทาม</x:t>
  </x:si>
  <x:si>
    <x:t xml:space="preserve">{"id":1316342997,"waterlevel_datetime":"2026-10-01 14:00","waterlevel_m":null,"waterlevel_msl":"7.85","waterlevel_msl_previous":"7.87","flow_rate":null,"discharge":null,"storage_percent":"109.11","sort_order":null,"station_type":"tele_waterlevel","situation_level":5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504990,"tele_station_name":{"th":"บ้านทาม"},"tele_station_lat":13.97341,"tele_station_long":101.517448,"tele_station_oldcode":"Kgt.6","tele_station_type":"tele_waterlevel","left_bank":7.1,"right_bank":7.1,"min_bank":6.61,"ground_level":-7,"offset":0,"sub_basin_id":281,"agency_id":12,"geocode_id":1541,"hydro_id":6,"qmax":null,"is_key_station":false,"warning_level_m":null,"critical_level_m":null,"critical_level_msl":null},"geocode":{"area_code":"2","area_name":{"th":"ภาคกลาง","en":"Central"},"amphoe_code":"08","amphoe_name":{"th":"ศรีมหาโพธิ","en":"Si Maha Phot District"},"tumbon_code":"01","tumbon_name":{"th":"ศรีมหาโพธิ์","en":"Si Mahapho"},"province_code":"25","province_name":{"th":"ปราจีนบุรี","en":"Prachin Buri"}},"diff_wl_bank":"1.24","diff_wl_bank_text":"ล้นตลิ่ง (ม.)","river_gid":195215,"river_name":"แม่น้ำบางปะกง"}</x:t>
  </x:si>
  <x:si>
    <x:t xml:space="preserve">THAIWATER_WL:80</x:t>
  </x:si>
  <x:si>
    <x:t xml:space="preserve">CPY004</x:t>
  </x:si>
  <x:si>
    <x:t xml:space="preserve">สะพานธรรมจักร(วัดธรรมามูล)</x:t>
  </x:si>
  <x:si>
    <x:t xml:space="preserve">{"id":1316367990,"waterlevel_datetime":"2026-10-01 15:10","waterlevel_m":null,"waterlevel_msl":"18.79","waterlevel_msl_previous":"18.79","flow_rate":null,"discharge":null,"storage_percent":"108.66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Basin"}},"station":{"id":80,"tele_station_name":{"en":"Chao Phraya 4","th":"สะพานธรรมจักร(วัดธรรมามูล)"},"tele_station_lat":15.25029,"tele_station_long":100.08347,"tele_station_oldcode":"CPY004","tele_station_type":"tele_waterlevel","left_bank":19.655,"right_bank":17.541,"min_bank":17.54,"ground_level":3.115,"offset":null,"sub_basin_id":240,"agency_id":9,"geocode_id":895,"hydro_id":null,"qmax":null,"is_key_station":false,"warning_level_m":null,"critical_level_m":null,"critical_level_msl":null},"geocode":{"area_code":"2","area_name":{"th":"ภาคกลาง","en":"Central"},"amphoe_code":"01","amphoe_name":{"th":"เมืองชัยนาท","en":"Mueang Chai Nat District"},"tumbon_code":"07","tumbon_name":{"th":"ธรรมามูล","en":"Thammamun"},"province_code":"18","province_name":{"th":"ชัยนาท","en":"Chai Nat"}},"diff_wl_bank":"1.25","diff_wl_bank_text":"ล้นตลิ่ง (ม.)","river_gid":175361,"river_name":"แม่น้ำเจ้าพระยา"}</x:t>
  </x:si>
  <x:si>
    <x:t xml:space="preserve">THAIWATER_WL:504999</x:t>
  </x:si>
  <x:si>
    <x:t xml:space="preserve">Kgt.43A</x:t>
  </x:si>
  <x:si>
    <x:t xml:space="preserve">บ้านนาแขม</x:t>
  </x:si>
  <x:si>
    <x:t xml:space="preserve">แควหนุมาน</x:t>
  </x:si>
  <x:si>
    <x:t xml:space="preserve">{"id":1316343005,"waterlevel_datetime":"2026-10-01 14:00","waterlevel_m":null,"waterlevel_msl":"13.13","waterlevel_msl_previous":"13.15","flow_rate":null,"discharge":"670.20","storage_percent":"108.43","sort_order":null,"station_type":"tele_waterlevel","situation_level":5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504999,"tele_station_name":{"th":"บ้านนาแขม"},"tele_station_lat":14.02174,"tele_station_long":101.750664,"tele_station_oldcode":"Kgt.43A","tele_station_type":"tele_waterlevel","left_bank":15.498000000000001,"right_bank":15.592,"min_bank":12.22,"ground_level":1.421,"offset":2.07,"sub_basin_id":280,"agency_id":12,"geocode_id":1500,"hydro_id":6,"qmax":542.799988,"is_key_station":true,"warning_level_m":null,"critical_level_m":null,"critical_level_msl":null},"geocode":{"area_code":"2","area_name":{"th":"ภาคกลาง","en":"Central"},"amphoe_code":"02","amphoe_name":{"th":"กบินทร์บุรี","en":"Kabin Buri District"},"tumbon_code":"02","tumbon_name":{"th":"เมืองเก่า","en":"Mueang Kao"},"province_code":"25","province_name":{"th":"ปราจีนบุรี","en":"Prachin Buri"}},"diff_wl_bank":"0.91","diff_wl_bank_text":"ล้นตลิ่ง (ม.)","river_gid":194925,"river_name":"แควหนุมาน"}</x:t>
  </x:si>
  <x:si>
    <x:t xml:space="preserve">THAIWATER_WL:245</x:t>
  </x:si>
  <x:si>
    <x:t xml:space="preserve">MUN009</x:t>
  </x:si>
  <x:si>
    <x:t xml:space="preserve">เมืองสุรินทร์</x:t>
  </x:si>
  <x:si>
    <x:t xml:space="preserve">ลำชี</x:t>
  </x:si>
  <x:si>
    <x:t xml:space="preserve">{"id":1316368150,"waterlevel_datetime":"2026-10-01 15:10","waterlevel_m":null,"waterlevel_msl":"138.10","waterlevel_msl_previous":"138.10","flow_rate":null,"discharge":null,"storage_percent":"108.41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Basin"}},"station":{"id":245,"tele_station_name":{"en":"Mun 9","th":"เมืองสุรินทร์"},"tele_station_lat":14.875494,"tele_station_long":103.37887,"tele_station_oldcode":"MUN009","tele_station_type":"tele_waterlevel","left_bank":137.971,"right_bank":137.326,"min_bank":137.33,"ground_level":128.12,"offset":null,"sub_basin_id":125,"agency_id":9,"geocode_id":2226,"hydro_id":null,"qmax":null,"is_key_station":false,"warning_level_m":null,"critical_level_m":null,"critical_level_msl":null},"geocode":{"area_code":"4","area_name":{"th":"ภาคตะวันออกเฉียงเหนือ","en":"Northeast"},"amphoe_code":"01","amphoe_name":{"th":"เมืองสุรินทร์","en":"Mueang Surin District"},"tumbon_code":"22","tumbon_name":{"th":"ตระแสง","en":"Trasaeng"},"province_code":"32","province_name":{"th":"สุรินทร์","en":"Surin"}},"diff_wl_bank":"0.77","diff_wl_bank_text":"ล้นตลิ่ง (ม.)","river_gid":150132,"river_name":"ลำชี"}</x:t>
  </x:si>
  <x:si>
    <x:t xml:space="preserve">THAIWATER_WL:2676</x:t>
  </x:si>
  <x:si>
    <x:t xml:space="preserve">T.1</x:t>
  </x:si>
  <x:si>
    <x:t xml:space="preserve">ที่ว่าการอ.นครชัยศรี</x:t>
  </x:si>
  <x:si>
    <x:t xml:space="preserve">{"id":1316004511,"waterlevel_datetime":"2026-10-01 23:00","waterlevel_m":null,"waterlevel_msl":"2.32","waterlevel_msl_previous":"2.30","flow_rate":null,"discharge":null,"storage_percent":"107.74","sort_order":null,"station_type":"tele_waterlevel","situation_level":5,"agency":{"id":12,"agency_name":{"th":"กรมชลประทาน ","en":"Royal Irrigation Department","jp":""},"agency_shortname":{"th":"ชป.","en":"RID","jp":""}},"basin":{"id":14,"basin_code":13,"basin_name":{"th":"ลุ่มน้ำท่าจีน","en":"Tha Chin Basin"}},"station":{"id":2676,"tele_station_name":{"th":"ที่ว่าการอ.นครชัยศรี"},"tele_station_lat":13.80096,"tele_station_long":100.188026,"tele_station_oldcode":"T.1","tele_station_type":"tele_waterlevel","left_bank":-7.585999999999999,"right_bank":-7.577999999999999,"min_bank":1.5,"ground_level":-9.1,"offset":-9.7,"sub_basin_id":259,"agency_id":12,"geocode_id":6858,"hydro_id":7,"qmax":null,"is_key_station":true,"warning_level_m":null,"critical_level_m":1.6,"critical_level_msl":1.6},"geocode":{"area_code":"2","area_name":{"th":"ภาคกลาง","en":"Central"},"amphoe_code":"03","amphoe_name":{"th":"นครชัยศรี","en":"Nakhon Chai Si District"},"tumbon_code":"01","tumbon_name":{"th":"นครชัยศรี","en":"Nakhon Chai Si"},"province_code":"73","province_name":{"th":"นครปฐม","en":"Nakhon Pathom"}},"diff_wl_bank":"0.82","diff_wl_bank_text":"ล้นตลิ่ง (ม.)","river_gid":186788,"river_name":"แม่น้ำท่าจีน"}</x:t>
  </x:si>
  <x:si>
    <x:t xml:space="preserve">THAIWATER_WL:2683</x:t>
  </x:si>
  <x:si>
    <x:t xml:space="preserve">Kgt.1</x:t>
  </x:si>
  <x:si>
    <x:t xml:space="preserve">สะพานณรงค์ดำริ</x:t>
  </x:si>
  <x:si>
    <x:t xml:space="preserve">{"id":1316343020,"waterlevel_datetime":"2026-10-01 14:00","waterlevel_m":null,"waterlevel_msl":"4.92","waterlevel_msl_previous":"4.93","flow_rate":null,"discharge":null,"storage_percent":"107.73","sort_order":null,"station_type":"tele_waterlevel","situation_level":5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2683,"tele_station_name":{"th":"สะพานณรงค์ดำริ"},"tele_station_lat":14.05144,"tele_station_long":101.367378,"tele_station_oldcode":"Kgt.1","tele_station_type":"tele_waterlevel","left_bank":3.408,"right_bank":3.122,"min_bank":4.13,"ground_level":-6.089,"offset":0,"sub_basin_id":281,"agency_id":12,"geocode_id":1485,"hydro_id":6,"qmax":698,"is_key_station":true,"warning_level_m":null,"critical_level_m":4.13,"critical_level_msl":4.13},"geocode":{"area_code":"2","area_name":{"th":"ภาคกลาง","en":"Central"},"amphoe_code":"01","amphoe_name":{"th":"เมืองปราจีนบุรี","en":"Mueang Prachin Buri District"},"tumbon_code":"01","tumbon_name":{"th":"หน้าเมือง","en":"Na Mueang"},"province_code":"25","province_name":{"th":"ปราจีนบุรี","en":"Prachin Buri"}},"diff_wl_bank":"0.79","diff_wl_bank_text":"ล้นตลิ่ง (ม.)","river_gid":194740,"river_name":"แม่น้ำบางปะกง"}</x:t>
  </x:si>
  <x:si>
    <x:t xml:space="preserve">THAIWATER_WL:191</x:t>
  </x:si>
  <x:si>
    <x:t xml:space="preserve">SKE002</x:t>
  </x:si>
  <x:si>
    <x:t xml:space="preserve">เมืองสระแก้ว</x:t>
  </x:si>
  <x:si>
    <x:t xml:space="preserve">คลองพระสะทึง</x:t>
  </x:si>
  <x:si>
    <x:t xml:space="preserve">{"id":1316368313,"waterlevel_datetime":"2026-10-01 15:10","waterlevel_m":null,"waterlevel_msl":"35.52","waterlevel_msl_previous":"35.52","flow_rate":null,"discharge":null,"storage_percent":"107.26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Basin"}},"station":{"id":191,"tele_station_name":{"en":"Mueang Sa Kaeo","th":"เมืองสระแก้ว"},"tele_station_lat":13.809611,"tele_station_long":102.05431,"tele_station_oldcode":"SKE002","tele_station_type":"tele_waterlevel","left_bank":35.156,"right_bank":34.76,"min_bank":34.76,"ground_level":24.287,"offset":null,"sub_basin_id":277,"agency_id":9,"geocode_id":1610,"hydro_id":null,"qmax":null,"is_key_station":false,"warning_level_m":null,"critical_level_m":null,"critical_level_msl":null},"geocode":{"area_code":"2","area_name":{"th":"ภาคกลาง","en":"Central"},"amphoe_code":"01","amphoe_name":{"th":"เมืองสระแก้ว","en":"Mueang Sa Kaeo District"},"tumbon_code":"08","tumbon_name":{"th":"สระขวัญ","en":"Sa Khwan"},"province_code":"27","province_name":{"th":"สระแก้ว","en":"Sa Kaeo"}},"diff_wl_bank":"0.76","diff_wl_bank_text":"ล้นตลิ่ง (ม.)","river_gid":196387,"river_name":"คลองพระสะทึง"}</x:t>
  </x:si>
  <x:si>
    <x:t xml:space="preserve">THAIWATER_WL:700</x:t>
  </x:si>
  <x:si>
    <x:t xml:space="preserve">PAS003</x:t>
  </x:si>
  <x:si>
    <x:t xml:space="preserve">หนองไผ่</x:t>
  </x:si>
  <x:si>
    <x:t xml:space="preserve">แม่น้ำป่าสัก</x:t>
  </x:si>
  <x:si>
    <x:t xml:space="preserve">{"id":1316368224,"waterlevel_datetime":"2026-10-01 15:10","waterlevel_m":null,"waterlevel_msl":"93.92","waterlevel_msl_previous":"93.92","flow_rate":null,"discharge":null,"storage_percent":"107.11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Organization)","jp":""},"agency_shortname":{"th":"สสน.","en":"HII","jp":""}},"basin":{"id":13,"basin_code":12,"basin_name":{"th":"ลุ่มน้ำป่าสัก","en":"Pasak Basin"}},"station":{"id":700,"tele_station_name":{"en":"Pa Sak 3","th":"หนองไผ่"},"tele_station_lat":16.11497,"tele_station_long":101.09709,"tele_station_oldcode":"PAS003","tele_station_type":"tele_waterlevel","left_bank":93.54,"right_bank":96.021,"min_bank":93.54,"ground_level":88.24,"offset":null,"sub_basin_id":251,"agency_id":9,"geocode_id":6426,"hydro_id":null,"qmax":null,"is_key_station":false,"warning_level_m":null,"critical_level_m":null,"critical_level_msl":null},"geocode":{"area_code":"3","area_name":{"th":"ภาคเหนือ","en":"North"},"amphoe_code":"07","amphoe_name":{"th":"หนองไผ่","en":"Nong Phai District"},"tumbon_code":"02","tumbon_name":{"th":"นาเฉลียง","en":"Na Chaliang"},"province_code":"67","province_name":{"th":"เพชรบูรณ์","en":"Phetchabun"}},"diff_wl_bank":"0.38","diff_wl_bank_text":"ล้นตลิ่ง (ม.)","river_gid":165260,"river_name":"แม่น้ำป่าสัก"}</x:t>
  </x:si>
  <x:si>
    <x:t xml:space="preserve">THAIWATER_WL:151</x:t>
  </x:si>
  <x:si>
    <x:t xml:space="preserve">BPK003</x:t>
  </x:si>
  <x:si>
    <x:t xml:space="preserve">{"id":1316367955,"waterlevel_datetime":"2026-10-01 15:10","waterlevel_m":null,"waterlevel_msl":"2.29","waterlevel_msl_previous":"2.28","flow_rate":null,"discharge":null,"storage_percent":"106.59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Basin"}},"station":{"id":151,"tele_station_name":{"en":"Bang Nam Priao","th":"บางน้ำเปรี้ยว"},"tele_station_lat":13.87032,"tele_station_long":101.14574,"tele_station_oldcode":"BPK003","tele_station_type":"tele_waterlevel","left_bank":1.47,"right_bank":1.851,"min_bank":1.47,"ground_level":-10.948,"offset":null,"sub_basin_id":283,"agency_id":9,"geocode_id":1411,"hydro_id":null,"qmax":null,"is_key_station":false,"warning_level_m":null,"critical_level_m":null,"critical_level_msl":null},"geocode":{"area_code":"2","area_name":{"th":"ภาคกลาง","en":"Central"},"amphoe_code":"03","amphoe_name":{"th":"บางน้ำเปรี้ยว","en":"Bang Nam Priao District"},"tumbon_code":"02","tumbon_name":{"th":"บางขนาก","en":"Bang Khanak"},"province_code":"24","province_name":{"th":"ฉะเชิงเทรา","en":"Chachoengsao"}},"diff_wl_bank":"0.82","diff_wl_bank_text":"ล้นตลิ่ง (ม.)","river_gid":195962,"river_name":"แม่น้ำบางปะกง"}</x:t>
  </x:si>
  <x:si>
    <x:t xml:space="preserve">THAIWATER_WL:21</x:t>
  </x:si>
  <x:si>
    <x:t xml:space="preserve">BKK017</x:t>
  </x:si>
  <x:si>
    <x:t xml:space="preserve">คลองจระเข้ใหญ่ บางเสาธง (วัดศรีวารีน้อย)</x:t>
  </x:si>
  <x:si>
    <x:t xml:space="preserve">คลองหัวตะเข้</x:t>
  </x:si>
  <x:si>
    <x:t xml:space="preserve">2026-09-26T02:20:00+07:00</x:t>
  </x:si>
  <x:si>
    <x:t xml:space="preserve">{"id":1312931682,"waterlevel_datetime":"2026-09-26 02:20","waterlevel_m":null,"waterlevel_msl":"0.60","waterlevel_msl_previous":"0.59","flow_rate":null,"discharge":null,"storage_percent":"106.31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Basin"}},"station":{"id":21,"tele_station_name":{"en":"Sri Varee Noi Temple","th":"คลองจระเข้ใหญ่ บางเสาธง (วัดศรีวารีน้อย)"},"tele_station_lat":13.66949,"tele_station_long":100.80058,"tele_station_oldcode":"BKK017","tele_station_type":"tele_waterlevel","left_bank":0.432,"right_bank":0.518,"min_bank":0.43,"ground_level":-2.181,"offset":null,"sub_basin_id":286,"agency_id":9,"geocode_id":266,"hydro_id":null,"qmax":null,"is_key_station":false,"warning_level_m":null,"critical_level_m":null,"critical_level_msl":null},"geocode":{"area_code":"2","area_name":{"th":"ภาคกลาง","en":"Central"},"amphoe_code":"06","amphoe_name":{"th":"บางเสาธง","en":"Bang Sao Thong District"},"tumbon_code":"03","tumbon_name":{"th":"ศีรษะจรเข้ใหญ่","en":"Sisa Chorakhe Yai"},"province_code":"11","province_name":{"th":"สมุทรปราการ","en":"Samut Prakan"}},"diff_wl_bank":"0.16","diff_wl_bank_text":"ล้นตลิ่ง (ม.)","river_gid":197605,"river_name":"คลองหัวตะเข้"}</x:t>
  </x:si>
  <x:si>
    <x:t xml:space="preserve">THAIWATER_WL:745</x:t>
  </x:si>
  <x:si>
    <x:t xml:space="preserve">THA007</x:t>
  </x:si>
  <x:si>
    <x:t xml:space="preserve">บางเลน</x:t>
  </x:si>
  <x:si>
    <x:t xml:space="preserve">{"id":1316368385,"waterlevel_datetime":"2026-10-01 15:10","waterlevel_m":null,"waterlevel_msl":"2.82","waterlevel_msl_previous":"2.82","flow_rate":null,"discharge":null,"storage_percent":"106.31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Organization)","jp":""},"agency_shortname":{"th":"สสน.","en":"HII","jp":""}},"basin":{"id":14,"basin_code":13,"basin_name":{"th":"ลุ่มน้ำท่าจีน","en":"Tha Chin Basin"}},"station":{"id":745,"tele_station_name":{"en":"Tha Chin 7","th":"บางเลน"},"tele_station_lat":14.01636,"tele_station_long":100.17979,"tele_station_oldcode":"THA007","tele_station_type":"tele_waterlevel","left_bank":2.206,"right_bank":4.904,"min_bank":2.21,"ground_level":-7.51,"offset":null,"sub_basin_id":259,"agency_id":9,"geocode_id":6892,"hydro_id":null,"qmax":null,"is_key_station":false,"warning_level_m":null,"critical_level_m":null,"critical_level_msl":null},"geocode":{"area_code":"2","area_name":{"th":"ภาคกลาง","en":"Central"},"amphoe_code":"05","amphoe_name":{"th":"บางเลน","en":"Bang Len District"},"tumbon_code":"01","tumbon_name":{"th":"บางเลน","en":"Bang Len"},"province_code":"73","province_name":{"th":"นครปฐม","en":"Nakhon Pathom"}},"diff_wl_bank":"0.61","diff_wl_bank_text":"ล้นตลิ่ง (ม.)","river_gid":185206,"river_name":"แม่น้ำท่าจีน"}</x:t>
  </x:si>
  <x:si>
    <x:t xml:space="preserve">THAIWATER_WL:2686</x:t>
  </x:si>
  <x:si>
    <x:t xml:space="preserve">K.12</x:t>
  </x:si>
  <x:si>
    <x:t xml:space="preserve">บ้านทุ่งนานางหรอก</x:t>
  </x:si>
  <x:si>
    <x:t xml:space="preserve">{"id":1316004498,"waterlevel_datetime":"2026-10-01 23:00","waterlevel_m":null,"waterlevel_msl":"46.18","waterlevel_msl_previous":"46.10","flow_rate":null,"discharge":null,"storage_percent":"105.97","sort_order":null,"station_type":"tele_waterlevel","situation_level":5,"agency":{"id":12,"agency_name":{"th":"กรมชลประทาน ","en":"Royal Irrigation Department","jp":""},"agency_shortname":{"th":"ชป.","en":"RID","jp":""}},"basin":{"id":15,"basin_code":14,"basin_name":{"th":"ลุ่มน้ำแม่กลอง","en":"Mae Klong Basin"}},"station":{"id":2686,"tele_station_name":{"th":"บ้านทุ่งนานางหรอก"},"tele_station_lat":14.17522,"tele_station_long":99.434067,"tele_station_oldcode":"K.12","tele_station_type":"tele_waterlevel","left_bank":88.358001,"right_bank":86.668001,"min_bank":45.8,"ground_level":39.43,"offset":39.700001,"sub_basin_id":267,"agency_id":12,"geocode_id":6589,"hydro_id":7,"qmax":230,"is_key_station":true,"warning_level_m":null,"critical_level_m":null,"critical_level_msl":null},"geocode":{"area_code":"2","area_name":{"th":"ภาคกลาง","en":"Central"},"amphoe_code":"01","amphoe_name":{"th":"เมืองกาญจนบุรี","en":"Mueang Kanchanaburi District"},"tumbon_code":"07","tumbon_name":{"th":"ลาดหญ้า","en":"Lat Ya"},"province_code":"71","province_name":{"th":"กาญจนบุรี","en":"Kanchanaburi"}},"diff_wl_bank":"0.38","diff_wl_bank_text":"ล้นตลิ่ง (ม.)","river_gid":184230,"river_name":"ลำตะเพิน"}</x:t>
  </x:si>
  <x:si>
    <x:t xml:space="preserve">THAIWATER_WL:2609</x:t>
  </x:si>
  <x:si>
    <x:t xml:space="preserve">C.35</x:t>
  </x:si>
  <x:si>
    <x:t xml:space="preserve">บ้านป้อม</x:t>
  </x:si>
  <x:si>
    <x:t xml:space="preserve">{"id":1316341286,"waterlevel_datetime":"2026-10-01 14:00","waterlevel_m":null,"waterlevel_msl":"5.10","waterlevel_msl_previous":"5.09","flow_rate":null,"discharge":"1379.00","storage_percent":"105.51","sort_order":null,"station_type":"tele_waterlevel","situation_level":5,"agency":{"id":12,"agency_name":{"th":"กรมชลประทาน ","en":"Royal Irrigation Department","jp":""},"agency_shortname":{"th":"ชป.","en":"RID","jp":""}},"basin":{"id":10,"basin_code":10,"basin_name":{"th":"ลุ่มน้ำเจ้าพระยา","en":"Chao Phraya Basin"}},"station":{"id":2609,"tele_station_name":{"th":"บ้านป้อม"},"tele_station_lat":14.3691,"tele_station_long":100.528732,"tele_station_oldcode":"C.35","tele_station_type":"tele_waterlevel","left_bank":5.06,"right_bank":6.209,"min_bank":4.35,"ground_level":-9.25,"offset":null,"sub_basin_id":240,"agency_id":12,"geocode_id":415,"hydro_id":5,"qmax":1159,"is_key_station":true,"warning_level_m":null,"critical_level_m":null,"critical_level_msl":null},"geocode":{"area_code":"2","area_name":{"th":"ภาคกลาง","en":"Central"},"amphoe_code":"01","amphoe_name":{"th":"พระนครศรีอยุธยา","en":"Phra Nakhon Si Ayutthaya District"},"tumbon_code":"20","tumbon_name":{"th":"บ้านป้อม","en":"Ban Pom"},"province_code":"14","province_name":{"th":"พระนครศรีอยุธยา","en":"Phra Nakhon Si Ayutthaya"}},"diff_wl_bank":"0.75","diff_wl_bank_text":"ล้นตลิ่ง (ม.)","river_gid":182479,"river_name":"แม่น้ำเจ้าพระยา"}</x:t>
  </x:si>
  <x:si>
    <x:t xml:space="preserve">THAIWATER_WL:8</x:t>
  </x:si>
  <x:si>
    <x:t xml:space="preserve">BKK020</x:t>
  </x:si>
  <x:si>
    <x:t xml:space="preserve">คลองลาดพร้าว ปากคลอง2สายใต้</x:t>
  </x:si>
  <x:si>
    <x:t xml:space="preserve">คลองหกวา</x:t>
  </x:si>
  <x:si>
    <x:t xml:space="preserve">{"id":1316367952,"waterlevel_datetime":"2026-10-01 15:10","waterlevel_m":null,"waterlevel_msl":"2.12","waterlevel_msl_previous":"2.12","flow_rate":null,"discharge":null,"storage_percent":"105.20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Basin"}},"station":{"id":8,"tele_station_name":{"en":"Klong Ladprao Klong 2 Sai Tai","th":"คลองลาดพร้าว ปากคลอง2สายใต้"},"tele_station_lat":13.93183,"tele_station_long":100.63952,"tele_station_oldcode":"BKK020","tele_station_type":"tele_waterlevel","left_bank":1.97,"right_bank":1.97,"min_bank":1.97,"ground_level":-1.01,"offset":null,"sub_basin_id":283,"agency_id":9,"geocode_id":170,"hydro_id":null,"qmax":null,"is_key_station":false,"warning_level_m":null,"critical_level_m":null,"critical_level_msl":null},"geocode":{"area_code":"1","area_name":{"th":"กรุงเทพมหานคร","en":"Bangkok"},"amphoe_code":"38","amphoe_name":{"th":"ลาดพร้าว","en":"Lat Phrao District"},"tumbon_code":"01","tumbon_name":{"th":"ลาดพร้าว","en":"Lat Phrao"},"province_code":"10","province_name":{"th":"กรุงเทพมหานคร","en":"Bangkok"}},"diff_wl_bank":"0.16","diff_wl_bank_text":"ล้นตลิ่ง (ม.)","river_gid":195492,"river_name":"คลองหกวา"}</x:t>
  </x:si>
  <x:si>
    <x:t xml:space="preserve">THAIWATER_WL:665</x:t>
  </x:si>
  <x:si>
    <x:t xml:space="preserve">VLGE13</x:t>
  </x:si>
  <x:si>
    <x:t xml:space="preserve">ชุมแสงสงคราม</x:t>
  </x:si>
  <x:si>
    <x:t xml:space="preserve">แม่น้ำยม</x:t>
  </x:si>
  <x:si>
    <x:t xml:space="preserve">{"id":1316368412,"waterlevel_datetime":"2026-10-01 15:10","waterlevel_m":null,"waterlevel_msl":"40.95","waterlevel_msl_previous":"40.95","flow_rate":null,"discharge":null,"storage_percent":"105.13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Basin"}},"station":{"id":665,"tele_station_name":{"en":"Chum Saeng Songkhram Communuty","th":"ชุมแสงสงคราม"},"tele_station_lat":16.8586,"tele_station_long":100.05965,"tele_station_oldcode":"VLGE13","tele_station_type":"tele_waterlevel","left_bank":40.536,"right_bank":43.361,"min_bank":40.54,"ground_level":32.365,"offset":null,"sub_basin_id":213,"agency_id":9,"geocode_id":6180,"hydro_id":null,"qmax":null,"is_key_station":false,"warning_level_m":null,"critical_level_m":null,"critical_level_msl":null},"geocode":{"area_code":"3","area_name":{"th":"ภาคเหนือ","en":"North"},"amphoe_code":"04","amphoe_name":{"th":"บางระกำ","en":"Bang Rakam District"},"tumbon_code":"07","tumbon_name":{"th":"ชุมแสงสงคราม","en":"Chum Saeng Songkhram"},"province_code":"65","province_name":{"th":"พิษณุโลก","en":"Phitsanulok"}},"diff_wl_bank":"0.42","diff_wl_bank_text":"ล้นตลิ่ง (ม.)","river_gid":91331,"river_name":"แม่น้ำยม"}</x:t>
  </x:si>
  <x:si>
    <x:t xml:space="preserve">THAIWATER_WL:700553</x:t>
  </x:si>
  <x:si>
    <x:t xml:space="preserve">MKSND03</x:t>
  </x:si>
  <x:si>
    <x:t xml:space="preserve">วัดไชยชุมพลชนะสงคราม (วัดใต้)</x:t>
  </x:si>
  <x:si>
    <x:t xml:space="preserve">{"id":1316367390,"waterlevel_datetime":"2026-10-01 15:00","waterlevel_m":null,"waterlevel_msl":"23.89","waterlevel_msl_previous":"23.93","flow_rate":null,"discharge":null,"storage_percent":"104.86","sort_order":null,"station_type":"tele_waterlevel","situation_level":5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Basin"}},"station":{"id":700553,"tele_station_name":{"th":"วัดไชยชุมพลชนะสงคราม (วัดใต้)"},"tele_station_lat":14.01615,"tele_station_long":99.53029,"tele_station_oldcode":"MKSND03","tele_station_type":"tele_waterlevel","left_bank":25.93,"right_bank":23.41,"min_bank":23.41,"ground_level":13.55,"offset":null,"sub_basin_id":276,"agency_id":8,"geocode_id":6592,"hydro_id":null,"qmax":null,"is_key_station":false,"warning_level_m":null,"critical_level_m":null,"critical_level_msl":24.19},"geocode":{"area_code":"2","area_name":{"th":"ภาคกลาง","en":"Central"},"amphoe_code":"01","amphoe_name":{"th":"เมืองกาญจนบุรี","en":"Mueang Kanchanaburi District"},"tumbon_code":"10","tumbon_name":{"th":"หนองหญ้า","en":"Nong Ya"},"province_code":"71","province_name":{"th":"กาญจนบุรี","en":"Kanchanaburi"}},"diff_wl_bank":"0.48","diff_wl_bank_text":"ล้นตลิ่ง (ม.)","river_gid":185386,"river_name":"แม่น้ำแม่กลอง"}</x:t>
  </x:si>
  <x:si>
    <x:t xml:space="preserve">THAIWATER_WL:49</x:t>
  </x:si>
  <x:si>
    <x:t xml:space="preserve">CPY012</x:t>
  </x:si>
  <x:si>
    <x:t xml:space="preserve">บางปะอิน</x:t>
  </x:si>
  <x:si>
    <x:t xml:space="preserve">{"id":1316367998,"waterlevel_datetime":"2026-10-01 15:10","waterlevel_m":null,"waterlevel_msl":"3.13","waterlevel_msl_previous":"3.12","flow_rate":null,"discharge":null,"storage_percent":"104.57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Basin"}},"station":{"id":49,"tele_station_name":{"en":"Chao Phraya 12","th":"บางปะอิน"},"tele_station_lat":14.30455,"tele_station_long":100.56645,"tele_station_oldcode":"CPY012","tele_station_type":"tele_waterlevel","left_bank":2.617,"right_bank":3.457,"min_bank":2.62,"ground_level":-8.585,"offset":null,"sub_basin_id":240,"agency_id":9,"geocode_id":500,"hydro_id":null,"qmax":null,"is_key_station":false,"warning_level_m":null,"critical_level_m":null,"critical_level_msl":null},"geocode":{"area_code":"2","area_name":{"th":"ภาคกลาง","en":"Central"},"amphoe_code":"06","amphoe_name":{"th":"บางปะอิน","en":"Bang Pa-in District"},"tumbon_code":"18","tumbon_name":{"th":"ขนอนหลวง","en":"Khanon Luang"},"province_code":"14","province_name":{"th":"พระนครศรีอยุธยา","en":"Phra Nakhon Si Ayutthaya"}},"diff_wl_bank":"0.51","diff_wl_bank_text":"ล้นตลิ่ง (ม.)","river_gid":182892,"river_name":"แม่น้ำเจ้าพระยา"}</x:t>
  </x:si>
  <x:si>
    <x:t xml:space="preserve">THAIWATER_WL:619</x:t>
  </x:si>
  <x:si>
    <x:t xml:space="preserve">SKG003</x:t>
  </x:si>
  <x:si>
    <x:t xml:space="preserve">สะพานต้นน้ำ (เกาะแก้ว-ตลิ่งสูง)</x:t>
  </x:si>
  <x:si>
    <x:t xml:space="preserve">แม่น้ำแม่วงก์</x:t>
  </x:si>
  <x:si>
    <x:t xml:space="preserve">{"id":1316368315,"waterlevel_datetime":"2026-10-01 15:10","waterlevel_m":null,"waterlevel_msl":"118.83","waterlevel_msl_previous":"118.83","flow_rate":null,"discharge":null,"storage_percent":"104.49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Organization)","jp":""},"agency_shortname":{"th":"สสน.","en":"HII","jp":""}},"basin":{"id":12,"basin_code":11,"basin_name":{"th":"ลุ่มน้ำสะแกกรัง","en":"Sakae Krang Basin"}},"station":{"id":619,"tele_station_name":{"en":"Ton num Bridge","th":"สะพานต้นน้ำ (เกาะแก้ว-ตลิ่งสูง)"},"tele_station_lat":15.91465,"tele_station_long":99.4194,"tele_station_oldcode":"SKG003","tele_station_type":"tele_waterlevel","left_bank":119.23,"right_bank":118.12,"min_bank":118.12,"ground_level":102.34,"offset":null,"sub_basin_id":241,"agency_id":9,"geocode_id":5913,"hydro_id":null,"qmax":null,"is_key_station":false,"warning_level_m":null,"critical_level_m":null,"critical_level_msl":null},"geocode":{"area_code":"3","area_name":{"th":"ภาคเหนือ","en":"North"},"amphoe_code":"04","amphoe_name":{"th":"ขาณุวรลักษบุรี","en":"Khanu Woralaksaburi District"},"tumbon_code":"11","tumbon_name":{"th":"ปางมะค่า","en":"Pang Makha"},"province_code":"62","province_name":{"th":"กำแพงเพชร","en":"Kamphaeng Phet"}},"diff_wl_bank":"0.71","diff_wl_bank_text":"ล้นตลิ่ง (ม.)","river_gid":166731,"river_name":"แม่น้ำแม่วงก์"}</x:t>
  </x:si>
  <x:si>
    <x:t xml:space="preserve">THAIWATER_WL:50</x:t>
  </x:si>
  <x:si>
    <x:t xml:space="preserve">LBI001</x:t>
  </x:si>
  <x:si>
    <x:t xml:space="preserve">บางปะหัน</x:t>
  </x:si>
  <x:si>
    <x:t xml:space="preserve">แม่น้ำลพบุรี</x:t>
  </x:si>
  <x:si>
    <x:t xml:space="preserve">{"id":1316368076,"waterlevel_datetime":"2026-10-01 15:10","waterlevel_m":null,"waterlevel_msl":"5.09","waterlevel_msl_previous":"5.08","flow_rate":null,"discharge":null,"storage_percent":"104.34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Basin"}},"station":{"id":50,"tele_station_name":{"en":"Lop Buri 1","th":"บางปะหัน"},"tele_station_lat":14.42731,"tele_station_long":100.55605,"tele_station_oldcode":"LBI001","tele_station_type":"tele_waterlevel","left_bank":4.691,"right_bank":9.096,"min_bank":4.69,"ground_level":-4.415,"offset":null,"sub_basin_id":240,"agency_id":9,"geocode_id":515,"hydro_id":null,"qmax":null,"is_key_station":false,"warning_level_m":null,"critical_level_m":null,"critical_level_msl":null},"geocode":{"area_code":"2","area_name":{"th":"ภาคกลาง","en":"Central"},"amphoe_code":"07","amphoe_name":{"th":"บางปะหัน","en":"Bang Pahan District"},"tumbon_code":"14","tumbon_name":{"th":"โพธิ์สามต้น","en":"Pho Sam Ton"},"province_code":"14","province_name":{"th":"พระนครศรีอยุธยา","en":"Phra Nakhon Si Ayutthaya"}},"diff_wl_bank":"0.40","diff_wl_bank_text":"ล้นตลิ่ง (ม.)","river_gid":182038,"river_name":"แม่น้ำลพบุรี"}</x:t>
  </x:si>
  <x:si>
    <x:t xml:space="preserve">THAIWATER_WL:471584</x:t>
  </x:si>
  <x:si>
    <x:t xml:space="preserve">HDA005</x:t>
  </x:si>
  <x:si>
    <x:t xml:space="preserve">วัดขนอนใต้</x:t>
  </x:si>
  <x:si>
    <x:t xml:space="preserve">คลองโพธิ์</x:t>
  </x:si>
  <x:si>
    <x:t xml:space="preserve">{"id":1316368045,"waterlevel_datetime":"2026-10-01 15:10","waterlevel_m":null,"waterlevel_msl":"2.71","waterlevel_msl_previous":"2.71","flow_rate":null,"discharge":null,"storage_percent":"103.84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Basin"}},"station":{"id":471584,"tele_station_name":{"en":"Khanon Ti Temple","th":"วัดขนอนใต้"},"tele_station_lat":14.288251,"tele_station_long":100.61132,"tele_station_oldcode":"HDA005","tele_station_type":"tele_waterlevel","left_bank":2.613,"right_bank":2.537,"min_bank":2.54,"ground_level":-1.967,"offset":null,"sub_basin_id":240,"agency_id":9,"geocode_id":486,"hydro_id":null,"qmax":null,"is_key_station":false,"warning_level_m":null,"critical_level_m":null,"critical_level_msl":null},"geocode":{"area_code":"2","area_name":{"th":"ภาคกลาง","en":"Central"},"amphoe_code":"06","amphoe_name":{"th":"บางปะอิน","en":"Bang Pa-in District"},"tumbon_code":"04","tumbon_name":{"th":"บ้านกรด","en":"Ban Krot"},"province_code":"14","province_name":{"th":"พระนครศรีอยุธยา","en":"Phra Nakhon Si Ayutthaya"}},"diff_wl_bank":"0.17","diff_wl_bank_text":"ล้นตลิ่ง (ม.)","river_gid":183056,"river_name":"คลองโพธิ์"}</x:t>
  </x:si>
  <x:si>
    <x:t xml:space="preserve">THAIWATER_WL:189</x:t>
  </x:si>
  <x:si>
    <x:t xml:space="preserve">NYK000</x:t>
  </x:si>
  <x:si>
    <x:t xml:space="preserve">องครักษ์</x:t>
  </x:si>
  <x:si>
    <x:t xml:space="preserve">แม่น้ำนครนายก</x:t>
  </x:si>
  <x:si>
    <x:t xml:space="preserve">2026-09-29T10:00:00+07:00</x:t>
  </x:si>
  <x:si>
    <x:t xml:space="preserve">{"id":1314954493,"waterlevel_datetime":"2026-09-29 10:00","waterlevel_m":null,"waterlevel_msl":"2.79","waterlevel_msl_previous":"-0.18","flow_rate":null,"discharge":null,"storage_percent":"103.70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189,"tele_station_name":{"en":"Ongkharak","th":"องครักษ์"},"tele_station_lat":14.113633,"tele_station_long":101.01952,"tele_station_oldcode":"NYK000","tele_station_type":"tele_waterlevel","left_bank":2.577,"right_bank":2.953,"min_bank":2.58,"ground_level":-3.173,"offset":null,"sub_basin_id":282,"agency_id":9,"geocode_id":1599,"hydro_id":null,"qmax":null,"is_key_station":false,"warning_level_m":null,"critical_level_m":null,"critical_level_msl":null},"geocode":{"area_code":"2","area_name":{"th":"ภาคกลาง","en":"Central"},"amphoe_code":"04","amphoe_name":{"th":"องครักษ์","en":"Ongkharak District"},"tumbon_code":"09","tumbon_name":{"th":"องครักษ์","en":"Ongkharak"},"province_code":"26","province_name":{"th":"นครนายก","en":"Nakhon Nayok"}},"diff_wl_bank":"0.21","diff_wl_bank_text":"ล้นตลิ่ง (ม.)","river_gid":207467,"river_name":"แม่น้ำนครนายก"}</x:t>
  </x:si>
  <x:si>
    <x:t xml:space="preserve">THAIWATER_WL:2799</x:t>
  </x:si>
  <x:si>
    <x:t xml:space="preserve">S.42</x:t>
  </x:si>
  <x:si>
    <x:t xml:space="preserve">บ้านบ่อวัง</x:t>
  </x:si>
  <x:si>
    <x:t xml:space="preserve">{"id":1316341589,"waterlevel_datetime":"2026-10-01 14:00","waterlevel_m":null,"waterlevel_msl":"63.09","waterlevel_msl_previous":"63.10","flow_rate":null,"discharge":"283.20","storage_percent":"103.66","sort_order":null,"station_type":"tele_waterlevel","situation_level":5,"agency":{"id":12,"agency_name":{"th":"กรมชลประทาน ","en":"Royal Irrigation Department","jp":""},"agency_shortname":{"th":"ชป.","en":"RID","jp":""}},"basin":{"id":13,"basin_code":12,"basin_name":{"th":"ลุ่มน้ำป่าสัก","en":"Pasak Basin"}},"station":{"id":2799,"tele_station_name":{"th":"บ้านบ่อวัง"},"tele_station_lat":15.5783,"tele_station_long":101.088623,"tele_station_oldcode":"S.42","tele_station_type":"tele_waterlevel","left_bank":116.002001,"right_bank":116.55000100000001,"min_bank":62.79,"ground_level":54.6,"offset":51.790001,"sub_basin_id":251,"agency_id":12,"geocode_id":6403,"hydro_id":2,"qmax":250,"is_key_station":true,"warning_level_m":null,"critical_level_m":null,"critical_level_msl":null},"geocode":{"area_code":"3","area_name":{"th":"ภาคเหนือ","en":"North"},"amphoe_code":"05","amphoe_name":{"th":"วิเชียรบุรี","en":"Wichian Buri District"},"tumbon_code":"02","tumbon_name":{"th":"สระประดู่","en":"Sa Pradu"},"province_code":"67","province_name":{"th":"เพชรบูรณ์","en":"Phetchabun"}},"diff_wl_bank":"0.30","diff_wl_bank_text":"ล้นตลิ่ง (ม.)","river_gid":170722,"river_name":"แม่น้ำป่าสัก"}</x:t>
  </x:si>
  <x:si>
    <x:t xml:space="preserve">THAIWATER_WL:700590</x:t>
  </x:si>
  <x:si>
    <x:t xml:space="preserve">MKVKD07</x:t>
  </x:si>
  <x:si>
    <x:t xml:space="preserve">บ้านแม่น้ำน้อย</x:t>
  </x:si>
  <x:si>
    <x:t xml:space="preserve">ห้วยแม่น้ำน้อย</x:t>
  </x:si>
  <x:si>
    <x:t xml:space="preserve">{"id":1316366863,"waterlevel_datetime":"2026-10-01 15:00","waterlevel_m":null,"waterlevel_msl":"60.66","waterlevel_msl_previous":"60.73","flow_rate":null,"discharge":"297.27","storage_percent":"103.65","sort_order":null,"station_type":"tele_waterlevel","situation_level":5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700590,"tele_station_name":{"th":"บ้านแม่น้ำน้อย"},"tele_station_lat":14.44497,"tele_station_long":98.80493,"tele_station_oldcode":"MKVKD07","tele_station_type":"tele_waterlevel","left_bank":72.14,"right_bank":60.48,"min_bank":60.48,"ground_level":55.63,"offset":null,"sub_basin_id":272,"agency_id":8,"geocode_id":6600,"hydro_id":null,"qmax":null,"is_key_station":false,"warning_level_m":null,"critical_level_m":null,"critical_level_msl":62.4},"geocode":{"area_code":"2","area_name":{"th":"ภาคกลาง","en":"Central"},"amphoe_code":"02","amphoe_name":{"th":"ไทรโยค","en":"Sai Yok District"},"tumbon_code":"04","tumbon_name":{"th":"ไทรโยค","en":"Sai Yok"},"province_code":"71","province_name":{"th":"กาญจนบุรี","en":"Kanchanaburi"}},"diff_wl_bank":"0.18","diff_wl_bank_text":"ล้นตลิ่ง (ม.)","river_gid":181830,"river_name":"ห้วยแม่น้ำน้อย"}</x:t>
  </x:si>
  <x:si>
    <x:t xml:space="preserve">THAIWATER_WL:2677</x:t>
  </x:si>
  <x:si>
    <x:t xml:space="preserve">Kgt.10</x:t>
  </x:si>
  <x:si>
    <x:t xml:space="preserve">บ้านเนินผาสุก</x:t>
  </x:si>
  <x:si>
    <x:t xml:space="preserve">2026-10-01T06:00:00+07:00</x:t>
  </x:si>
  <x:si>
    <x:t xml:space="preserve">{"id":1316161121,"waterlevel_datetime":"2026-10-01 06:00","waterlevel_m":null,"waterlevel_msl":"35.35","waterlevel_msl_previous":null,"flow_rate":null,"discharge":"321.00","storage_percent":"103.32","sort_order":null,"station_type":"tele_waterlevel","situation_level":5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2677,"tele_station_name":{"th":"บ้านเนินผาสุก"},"tele_station_lat":13.8096,"tele_station_long":102.054382,"tele_station_oldcode":"Kgt.10","tele_station_type":"tele_waterlevel","left_bank":58.801,"right_bank":59.247,"min_bank":35,"ground_level":24.468,"offset":24,"sub_basin_id":277,"agency_id":12,"geocode_id":1610,"hydro_id":6,"qmax":300,"is_key_station":false,"warning_level_m":null,"critical_level_m":null,"critical_level_msl":null},"geocode":{"area_code":"2","area_name":{"th":"ภาคกลาง","en":"Central"},"amphoe_code":"01","amphoe_name":{"th":"เมืองสระแก้ว","en":"Mueang Sa Kaeo District"},"tumbon_code":"08","tumbon_name":{"th":"สระขวัญ","en":"Sa Khwan"},"province_code":"27","province_name":{"th":"สระแก้ว","en":"Sa Kaeo"}},"diff_wl_bank":"0.35","diff_wl_bank_text":"ล้นตลิ่ง (ม.)","river_gid":196387,"river_name":"คลองพระสะทึง"}</x:t>
  </x:si>
  <x:si>
    <x:t xml:space="preserve">THAIWATER_WL:2669</x:t>
  </x:si>
  <x:si>
    <x:t xml:space="preserve">Z.11</x:t>
  </x:si>
  <x:si>
    <x:t xml:space="preserve">บ้านเขาวังไทร</x:t>
  </x:si>
  <x:si>
    <x:t xml:space="preserve">{"id":1316343008,"waterlevel_datetime":"2026-10-01 14:00","waterlevel_m":null,"waterlevel_msl":"9.29","waterlevel_msl_previous":"9.30","flow_rate":null,"discharge":"174.95","storage_percent":"102.17","sort_order":null,"station_type":"tele_waterlevel","situation_level":5,"agency":{"id":12,"agency_name":{"th":"กรมชลประทาน ","en":"Royal Irrigation Department","jp":""},"agency_shortname":{"th":"ชป.","en":"RID","jp":""}},"basin":{"id":18,"basin_code":17,"basin_name":{"th":"ลุ่มน้ำชายฝั่งทะเลตะวันออก","en":"East Coast Gulf Basin"}},"station":{"id":2669,"tele_station_name":{"th":"บ้านเขาวังไทร"},"tele_station_lat":12.85783,"tele_station_long":101.615738,"tele_station_oldcode":"Z.11","tele_station_type":"tele_waterlevel","left_bank":11.364999999999998,"right_bank":11.739999999999998,"min_bank":9.16,"ground_level":3.172,"offset":2.63,"sub_basin_id":293,"agency_id":12,"geocode_id":1206,"hydro_id":6,"qmax":168,"is_key_station":true,"warning_level_m":null,"critical_level_m":null,"critical_level_msl":null},"geocode":{"area_code":"2","area_name":{"th":"ภาคกลาง","en":"Central"},"amphoe_code":"03","amphoe_name":{"th":"แกลง","en":"Klaeng District"},"tumbon_code":"07","tumbon_name":{"th":"กระแสบน","en":"Krasae Bon"},"province_code":"21","province_name":{"th":"ระยอง","en":"Rayong"}},"diff_wl_bank":"0.13","diff_wl_bank_text":"ล้นตลิ่ง (ม.)","river_gid":203211,"river_name":"แม่น้ำประแสร์"}</x:t>
  </x:si>
  <x:si>
    <x:t xml:space="preserve">THAIWATER_WL:1109511</x:t>
  </x:si>
  <x:si>
    <x:t xml:space="preserve">ONE022</x:t>
  </x:si>
  <x:si>
    <x:t xml:space="preserve">คลองสามบาท บ้านกุดพิมาน</x:t>
  </x:si>
  <x:si>
    <x:t xml:space="preserve">ห้วยสามบาท</x:t>
  </x:si>
  <x:si>
    <x:t xml:space="preserve">{"id":1316368200,"waterlevel_datetime":"2026-10-01 15:10","waterlevel_m":null,"waterlevel_msl":"202.01","waterlevel_msl_previous":"202.02","flow_rate":null,"discharge":null,"storage_percent":"101.83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Basin"}},"station":{"id":1109511,"tele_station_name":{"en":"Khlong Sam Bat Ban Kut Phiman","th":"คลองสามบาท บ้านกุดพิมาน"},"tele_station_lat":15.31065,"tele_station_long":101.74405,"tele_station_oldcode":"ONE022","tele_station_type":"tele_waterlevel","left_bank":201.966,"right_bank":202.576,"min_bank":201.97,"ground_level":199.568,"offset":null,"sub_basin_id":110,"agency_id":9,"geocode_id":1755,"hydro_id":null,"qmax":null,"is_key_station":false,"warning_level_m":null,"critical_level_m":null,"critical_level_msl":null},"geocode":{"area_code":"4","area_name":{"th":"ภาคตะวันออกเฉียงเหนือ","en":"Northeast"},"amphoe_code":"08","amphoe_name":{"th":"ด่านขุนทด","en":"Dan Khun Thot District"},"tumbon_code":"01","tumbon_name":{"th":"กุดพิมาน","en":"Kut Phiman"},"province_code":"30","province_name":{"th":"นครราชสีมา","en":"Nakhon Ratchasima"}},"diff_wl_bank":"0.04","diff_wl_bank_text":"ล้นตลิ่ง (ม.)","river_gid":146339,"river_name":"ห้วยสามบาท"}</x:t>
  </x:si>
  <x:si>
    <x:t xml:space="preserve">THAIWATER_WL:748</x:t>
  </x:si>
  <x:si>
    <x:t xml:space="preserve">THA008</x:t>
  </x:si>
  <x:si>
    <x:t xml:space="preserve">สะพานนครชัยศรี</x:t>
  </x:si>
  <x:si>
    <x:t xml:space="preserve">{"id":1316368386,"waterlevel_datetime":"2026-10-01 15:10","waterlevel_m":null,"waterlevel_msl":"2.12","waterlevel_msl_previous":"2.13","flow_rate":null,"discharge":null,"storage_percent":"101.76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Organization)","jp":""},"agency_shortname":{"th":"สสน.","en":"HII","jp":""}},"basin":{"id":14,"basin_code":13,"basin_name":{"th":"ลุ่มน้ำท่าจีน","en":"Tha Chin Basin"}},"station":{"id":748,"tele_station_name":{"en":"Nakhon Chai Si Bridge","th":"สะพานนครชัยศรี"},"tele_station_lat":13.79217,"tele_station_long":100.19817,"tele_station_oldcode":"THA008","tele_station_type":"tele_waterlevel","left_bank":1.946,"right_bank":2.321,"min_bank":1.95,"ground_level":-7.99,"offset":null,"sub_basin_id":259,"agency_id":9,"geocode_id":6881,"hydro_id":null,"qmax":null,"is_key_station":false,"warning_level_m":null,"critical_level_m":null,"critical_level_msl":null},"geocode":{"area_code":"2","area_name":{"th":"ภาคกลาง","en":"Central"},"amphoe_code":"03","amphoe_name":{"th":"นครชัยศรี","en":"Nakhon Chai Si District"},"tumbon_code":"24","tumbon_name":{"th":"ไทยาวาส","en":"Thaiyawat"},"province_code":"73","province_name":{"th":"นครปฐม","en":"Nakhon Pathom"}},"diff_wl_bank":"0.18","diff_wl_bank_text":"ล้นตลิ่ง (ม.)","river_gid":186822,"river_name":"แม่น้ำท่าจีน"}</x:t>
  </x:si>
  <x:si>
    <x:t xml:space="preserve">THAIWATER_WL:738</x:t>
  </x:si>
  <x:si>
    <x:t xml:space="preserve">THA004</x:t>
  </x:si>
  <x:si>
    <x:t xml:space="preserve">สามชุก</x:t>
  </x:si>
  <x:si>
    <x:t xml:space="preserve">{"id":1316368382,"waterlevel_datetime":"2026-10-01 15:10","waterlevel_m":null,"waterlevel_msl":"8.02","waterlevel_msl_previous":"8.02","flow_rate":null,"discharge":null,"storage_percent":"101.48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Organization)","jp":""},"agency_shortname":{"th":"สสน.","en":"HII","jp":""}},"basin":{"id":14,"basin_code":13,"basin_name":{"th":"ลุ่มน้ำท่าจีน","en":"Tha Chin Basin"}},"station":{"id":738,"tele_station_name":{"en":"Tha Chin 4","th":"สามชุก"},"tele_station_lat":14.75138,"tele_station_long":100.09592,"tele_station_oldcode":"THA004","tele_station_type":"tele_waterlevel","left_bank":7.942,"right_bank":7.948,"min_bank":7.94,"ground_level":2.54,"offset":null,"sub_basin_id":259,"agency_id":9,"geocode_id":6788,"hydro_id":null,"qmax":null,"is_key_station":false,"warning_level_m":null,"critical_level_m":null,"critical_level_msl":null},"geocode":{"area_code":"2","area_name":{"th":"ภาคกลาง","en":"Central"},"amphoe_code":"08","amphoe_name":{"th":"สามชุก","en":"Sam Chuk District"},"tumbon_code":"03","tumbon_name":{"th":"สามชุก","en":"Sam Chuk"},"province_code":"72","province_name":{"th":"สุพรรณบุรี","en":"Suphan Buri"}},"diff_wl_bank":"0.08","diff_wl_bank_text":"ล้นตลิ่ง (ม.)","river_gid":180288,"river_name":"แม่น้ำท่าจีน"}</x:t>
  </x:si>
  <x:si>
    <x:t xml:space="preserve">THAIWATER_WL:2941</x:t>
  </x:si>
  <x:si>
    <x:t xml:space="preserve">Y.16</x:t>
  </x:si>
  <x:si>
    <x:t xml:space="preserve">{"id":1316341560,"waterlevel_datetime":"2026-10-01 14:00","waterlevel_m":null,"waterlevel_msl":"39.04","waterlevel_msl_previous":"39.08","flow_rate":null,"discharge":null,"storage_percent":"101.36","sort_order":null,"station_type":"tele_waterlevel","situation_level":5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2941,"tele_station_name":{"th":"บางระกำ"},"tele_station_lat":16.757919,"tele_station_long":100.115578,"tele_station_oldcode":"Y.16","tele_station_type":"tele_waterlevel","left_bank":70.525999,"right_bank":71.552999,"min_bank":38.93,"ground_level":30.84,"offset":31.629999,"sub_basin_id":215,"agency_id":12,"geocode_id":6174,"hydro_id":2,"qmax":230,"is_key_station":true,"warning_level_m":null,"critical_level_m":null,"critical_level_msl":null},"geocode":{"area_code":"3","area_name":{"th":"ภาคเหนือ","en":"North"},"amphoe_code":"04","amphoe_name":{"th":"บางระกำ","en":"Bang Rakam District"},"tumbon_code":"01","tumbon_name":{"th":"บางระกำ","en":"Bang Rakam"},"province_code":"65","province_name":{"th":"พิษณุโลก","en":"Phitsanulok"}},"diff_wl_bank":"0.11","diff_wl_bank_text":"ล้นตลิ่ง (ม.)","river_gid":92709,"river_name":"แม่น้ำยม"}</x:t>
  </x:si>
  <x:si>
    <x:t xml:space="preserve">THAIWATER_WL:2608</x:t>
  </x:si>
  <x:si>
    <x:t xml:space="preserve">C.37</x:t>
  </x:si>
  <x:si>
    <x:t xml:space="preserve">บ้านบางบาล</x:t>
  </x:si>
  <x:si>
    <x:t xml:space="preserve">{"id":1316341288,"waterlevel_datetime":"2026-10-01 14:00","waterlevel_m":null,"waterlevel_msl":"4.23","waterlevel_msl_previous":"4.23","flow_rate":null,"discharge":"101.00","storage_percent":"101.25","sort_order":null,"station_type":"tele_waterlevel","situation_level":5,"agency":{"id":12,"agency_name":{"th":"กรมชลประทาน ","en":"Royal Irrigation Department","jp":""},"agency_shortname":{"th":"ชป.","en":"RID","jp":""}},"basin":{"id":10,"basin_code":10,"basin_name":{"th":"ลุ่มน้ำเจ้าพระยา","en":"Chao Phraya Basin"}},"station":{"id":2608,"tele_station_name":{"th":"บ้านบางบาล"},"tele_station_lat":14.36319,"tele_station_long":100.484833,"tele_station_oldcode":"C.37","tele_station_type":"tele_waterlevel","left_bank":7.113,"right_bank":7.103,"min_bank":4.14,"ground_level":-3.04,"offset":null,"sub_basin_id":240,"agency_id":12,"geocode_id":469,"hydro_id":5,"qmax":97,"is_key_station":true,"warning_level_m":null,"critical_level_m":null,"critical_level_msl":null},"geocode":{"area_code":"2","area_name":{"th":"ภาคกลาง","en":"Central"},"amphoe_code":"05","amphoe_name":{"th":"บางบาล","en":"Bang Ban District"},"tumbon_code":"04","tumbon_name":{"th":"สะพานไทย","en":"Saphan Thai"},"province_code":"14","province_name":{"th":"พระนครศรีอยุธยา","en":"Phra Nakhon Si Ayutthaya"}},"diff_wl_bank":"0.09","diff_wl_bank_text":"ล้นตลิ่ง (ม.)","river_gid":182399,"river_name":"คลองบางบาล"}</x:t>
  </x:si>
  <x:si>
    <x:t xml:space="preserve">THAIWATER_WL:1422375</x:t>
  </x:si>
  <x:si>
    <x:t xml:space="preserve">RPBD15</x:t>
  </x:si>
  <x:si>
    <x:t xml:space="preserve">วัดโชติการาม อ.เมืองสุราษฎร์ธานี</x:t>
  </x:si>
  <x:si>
    <x:t xml:space="preserve">{"id":1316365560,"waterlevel_datetime":"2026-10-01 15:00","waterlevel_m":null,"waterlevel_msl":"1.40","waterlevel_msl_previous":"1.29","flow_rate":null,"discharge":null,"storage_percent":"100.74","sort_order":null,"station_type":"tele_waterlevel","situation_level":5,"agency":{"id":8,"agency_name":{"th":"การไฟฟ้าฝ่ายผลิตแห่งประเทศไทย","en":"Electricity Generating Authority of Thailand","jp":""},"agency_shortname":{"th":"กฟผ.","en":"EGAT","jp":""}},"basin":{"id":22,"basin_code":19,"basin_name":{"th":"ลุ่มน้ำภาคใต้ฝั่งตะวันออกตอนบน","en":"Peninsula - Upper East Coast Basin"}},"station":{"id":1422375,"tele_station_name":{"th":"วัดโชติการาม อ.เมืองสุราษฎร์ธานี"},"tele_station_lat":9.191049,"tele_station_long":99.263785,"tele_station_oldcode":"RPBD15","tele_station_type":"tele_waterlevel","left_bank":1.3295,"right_bank":2.0637,"min_bank":1.33,"ground_level":-7.87,"offset":null,"sub_basin_id":324,"agency_id":8,"geocode_id":7516,"hydro_id":null,"qmax":null,"is_key_station":false,"warning_level_m":null,"critical_level_m":null,"critical_level_msl":1.33},"geocode":{"area_code":"5","area_name":{"th":"ภาคใต้","en":"South"},"amphoe_code":"01","amphoe_name":{"th":"เมืองสุราษฎร์ธานี","en":"Mueang Surat Thani District"},"tumbon_code":"09","tumbon_name":{"th":"บางโพธิ์","en":"Bang Pho"},"province_code":"84","province_name":{"th":"สุราษฎร์ธานี","en":"Surat Thani"}},"diff_wl_bank":"0.07","diff_wl_bank_text":"ล้นตลิ่ง (ม.)"}</x:t>
  </x:si>
  <x:si>
    <x:t xml:space="preserve">THAIWATER_WL:3</x:t>
  </x:si>
  <x:si>
    <x:t xml:space="preserve">BKK009</x:t>
  </x:si>
  <x:si>
    <x:t xml:space="preserve">คลองลำปลาทิว ลาดกระบัง</x:t>
  </x:si>
  <x:si>
    <x:t xml:space="preserve">คลองลำปลาทิว</x:t>
  </x:si>
  <x:si>
    <x:t xml:space="preserve">2026-09-27T18:20:00+07:00</x:t>
  </x:si>
  <x:si>
    <x:t xml:space="preserve">{"id":1313957424,"waterlevel_datetime":"2026-09-27 18:20","waterlevel_m":null,"waterlevel_msl":"0.65","waterlevel_msl_previous":"0.65","flow_rate":null,"discharge":null,"storage_percent":"100.72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Basin"}},"station":{"id":3,"tele_station_name":{"en":"Krung Thep 9","th":"คลองลำปลาทิว ลาดกระบัง"},"tele_station_lat":13.7407,"tele_station_long":100.79468,"tele_station_oldcode":"BKK009","tele_station_type":"tele_waterlevel","left_bank":0.6228,"right_bank":1.188,"min_bank":0.62,"ground_level":-3.171,"offset":null,"sub_basin_id":286,"agency_id":9,"geocode_id":59,"hydro_id":null,"qmax":null,"is_key_station":false,"warning_level_m":null,"critical_level_m":null,"critical_level_msl":null},"geocode":{"area_code":"1","area_name":{"th":"กรุงเทพมหานคร","en":"Bangkok"},"amphoe_code":"11","amphoe_name":{"th":"ลาดกระบัง","en":"Lat Krabang District"},"tumbon_code":"01","tumbon_name":{"th":"ลาดกระบัง","en":"Lat Krabang"},"province_code":"10","province_name":{"th":"กรุงเทพมหานคร","en":"Bangkok"}},"diff_wl_bank":"0.03","diff_wl_bank_text":"ล้นตลิ่ง (ม.)","river_gid":196969,"river_name":"คลองลำปลาทิว"}</x:t>
  </x:si>
  <x:si>
    <x:t xml:space="preserve">THAIWATER_WL:710</x:t>
  </x:si>
  <x:si>
    <x:t xml:space="preserve">RAJ001</x:t>
  </x:si>
  <x:si>
    <x:t xml:space="preserve">โพธาราม</x:t>
  </x:si>
  <x:si>
    <x:t xml:space="preserve">{"id":1316368259,"waterlevel_datetime":"2026-10-01 15:10","waterlevel_m":null,"waterlevel_msl":"5.95","waterlevel_msl_previous":"5.95","flow_rate":null,"discharge":null,"storage_percent":"100.31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Organization)","jp":""},"agency_shortname":{"th":"สสน.","en":"HII","jp":""}},"basin":{"id":15,"basin_code":14,"basin_name":{"th":"ลุ่มน้ำแม่กลอง","en":"Mae Klong Basin"}},"station":{"id":710,"tele_station_name":{"en":"Ratchaburi 1","th":"โพธาราม"},"tele_station_lat":13.63308,"tele_station_long":99.8164,"tele_station_oldcode":"RAJ001","tele_station_type":"tele_waterlevel","left_bank":5.92,"right_bank":5.92,"min_bank":5.92,"ground_level":-3.091,"offset":null,"sub_basin_id":276,"agency_id":9,"geocode_id":6550,"hydro_id":null,"qmax":null,"is_key_station":false,"warning_level_m":null,"critical_level_m":null,"critical_level_msl":null},"geocode":{"area_code":"2","area_name":{"th":"ภาคกลาง","en":"Central"},"amphoe_code":"07","amphoe_name":{"th":"โพธาราม","en":"Photharam District"},"tumbon_code":"09","tumbon_name":{"th":"เจ็ดเสมียน","en":"Chet Samian"},"province_code":"70","province_name":{"th":"ราชบุรี","en":"Ratchaburi"}},"diff_wl_bank":"0.03","diff_wl_bank_text":"ล้นตลิ่ง (ม.)","river_gid":188824,"river_name":"แม่น้ำแม่กลอง"}</x:t>
  </x:si>
  <x:si>
    <x:t xml:space="preserve">THAIWATER_WL:504897</x:t>
  </x:si>
  <x:si>
    <x:t xml:space="preserve">Y.64</x:t>
  </x:si>
  <x:si>
    <x:t xml:space="preserve">{"id":1316341568,"waterlevel_datetime":"2026-10-01 14:00","waterlevel_m":null,"waterlevel_msl":"38.93","waterlevel_msl_previous":"38.94","flow_rate":null,"discharge":null,"storage_percent":"100.25","sort_order":null,"station_type":"tele_waterlevel","situation_level":5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504897,"tele_station_name":{"th":"บางระกำ"},"tele_station_lat":16.762119,"tele_station_long":100.121201,"tele_station_oldcode":"Y.64","tele_station_type":"tele_waterlevel","left_bank":72.860998,"right_bank":74.168998,"min_bank":38.91,"ground_level":30.78,"offset":32.509998,"sub_basin_id":215,"agency_id":12,"geocode_id":6174,"hydro_id":2,"qmax":352,"is_key_station":true,"warning_level_m":null,"critical_level_m":null,"critical_level_msl":null},"geocode":{"area_code":"3","area_name":{"th":"ภาคเหนือ","en":"North"},"amphoe_code":"04","amphoe_name":{"th":"บางระกำ","en":"Bang Rakam District"},"tumbon_code":"01","tumbon_name":{"th":"บางระกำ","en":"Bang Rakam"},"province_code":"65","province_name":{"th":"พิษณุโลก","en":"Phitsanulok"}},"diff_wl_bank":"0.02","diff_wl_bank_text":"ล้นตลิ่ง (ม.)","river_gid":93387,"river_name":"แม่น้ำยม"}</x:t>
  </x:si>
  <x:si>
    <x:t xml:space="preserve">THAIWATER_WL:27</x:t>
  </x:si>
  <x:si>
    <x:t xml:space="preserve">BKK002</x:t>
  </x:si>
  <x:si>
    <x:t xml:space="preserve">คลองเปรมประชากร หลักหก</x:t>
  </x:si>
  <x:si>
    <x:t xml:space="preserve">คลองเปรมประชากร</x:t>
  </x:si>
  <x:si>
    <x:t xml:space="preserve">{"id":1316367943,"waterlevel_datetime":"2026-10-01 15:10","waterlevel_m":null,"waterlevel_msl":"1.29","waterlevel_msl_previous":"1.30","flow_rate":null,"discharge":null,"storage_percent":"100.08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Basin"}},"station":{"id":27,"tele_station_name":{"en":"Krung Thep 2","th":"คลองเปรมประชากร หลักหก"},"tele_station_lat":13.96562,"tele_station_long":100.60262,"tele_station_oldcode":"BKK002","tele_station_type":"tele_waterlevel","left_bank":1.575,"right_bank":1.292,"min_bank":1.29,"ground_level":-1.372,"offset":null,"sub_basin_id":240,"agency_id":9,"geocode_id":341,"hydro_id":null,"qmax":null,"is_key_station":false,"warning_level_m":null,"critical_level_m":null,"critical_level_msl":null},"geocode":{"area_code":"2","area_name":{"th":"ภาคกลาง","en":"Central"},"amphoe_code":"01","amphoe_name":{"th":"เมืองปทุมธานี","en":"Mueang Pathum Thani District"},"tumbon_code":"14","tumbon_name":{"th":"หลักหก","en":"Lak Hok"},"province_code":"13","province_name":{"th":"ปทุมธานี","en":"Pathum Thani"}},"diff_wl_bank":"0.00","diff_wl_bank_text":"ล้นตลิ่ง (ม.)","river_gid":185640,"river_name":"คลองเปรมประชากร"}</x:t>
  </x:si>
  <x:si>
    <x:t xml:space="preserve">THAIWATER_WL:505041</x:t>
  </x:si>
  <x:si>
    <x:t xml:space="preserve">T.14</x:t>
  </x:si>
  <x:si>
    <x:t xml:space="preserve">ร.ร.บ้านสามพราน</x:t>
  </x:si>
  <x:si>
    <x:t xml:space="preserve">วิกฤติ</x:t>
  </x:si>
  <x:si>
    <x:t xml:space="preserve">{"id":1316004514,"waterlevel_datetime":"2026-10-01 23:00","waterlevel_m":null,"waterlevel_msl":"1.47","waterlevel_msl_previous":"1.71","flow_rate":null,"discharge":null,"storage_percent":"99.71","sort_order":null,"station_type":"tele_waterlevel","situation_level":4,"agency":{"id":12,"agency_name":{"th":"กรมชลประทาน ","en":"Royal Irrigation Department","jp":""},"agency_shortname":{"th":"ชป.","en":"RID","jp":""}},"basin":{"id":14,"basin_code":13,"basin_name":{"th":"ลุ่มน้ำท่าจีน","en":"Tha Chin Basin"}},"station":{"id":505041,"tele_station_name":{"th":"ร.ร.บ้านสามพราน"},"tele_station_lat":13.72411,"tele_station_long":100.215683,"tele_station_oldcode":"T.14","tele_station_type":"tele_waterlevel","left_bank":-6.148000000000001,"right_bank":-5.545000000000001,"min_bank":1.5,"ground_level":-8.76,"offset":-8.8,"sub_basin_id":259,"agency_id":12,"geocode_id":6913,"hydro_id":7,"qmax":null,"is_key_station":true,"warning_level_m":null,"critical_level_m":null,"critical_level_msl":null},"geocode":{"area_code":"2","area_name":{"th":"ภาคกลาง","en":"Central"},"amphoe_code":"06","amphoe_name":{"th":"สามพราน","en":"Sam Phran District"},"tumbon_code":"06","tumbon_name":{"th":"สามพราน","en":"Sam Phran"},"province_code":"73","province_name":{"th":"นครปฐม","en":"Nakhon Pathom"}},"diff_wl_bank":"0.03","diff_wl_bank_text":"ต่ำกว่าตลิ่ง (ม.)","river_gid":187557,"river_name":"แม่น้ำท่าจีน"}</x:t>
  </x:si>
  <x:si>
    <x:t xml:space="preserve">THAIWATER_WL:40</x:t>
  </x:si>
  <x:si>
    <x:t xml:space="preserve">PAS008</x:t>
  </x:si>
  <x:si>
    <x:t xml:space="preserve">ท่าเรือ</x:t>
  </x:si>
  <x:si>
    <x:t xml:space="preserve">{"id":1316368225,"waterlevel_datetime":"2026-10-01 15:10","waterlevel_m":null,"waterlevel_msl":"6.09","waterlevel_msl_previous":"6.09","flow_rate":null,"discharge":null,"storage_percent":"99.70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Organization)","jp":""},"agency_shortname":{"th":"สสน.","en":"HII","jp":""}},"basin":{"id":13,"basin_code":12,"basin_name":{"th":"ลุ่มน้ำป่าสัก","en":"Pasak Basin"}},"station":{"id":40,"tele_station_name":{"en":"Pa Sak 8","th":"ท่าเรือ"},"tele_station_lat":14.56014,"tele_station_long":100.71987,"tele_station_oldcode":"PAS008","tele_station_type":"tele_waterlevel","left_bank":7.381,"right_bank":6.124,"min_bank":6.12,"ground_level":-5.446,"offset":null,"sub_basin_id":257,"agency_id":9,"geocode_id":418,"hydro_id":null,"qmax":null,"is_key_station":false,"warning_level_m":null,"critical_level_m":null,"critical_level_msl":null},"geocode":{"area_code":"2","area_name":{"th":"ภาคกลาง","en":"Central"},"amphoe_code":"02","amphoe_name":{"th":"ท่าเรือ","en":"Tha Ruea District"},"tumbon_code":"01","tumbon_name":{"th":"ท่าเรือ","en":"Tha Ruea"},"province_code":"14","province_name":{"th":"พระนครศรีอยุธยา","en":"Phra Nakhon Si Ayutthaya"}},"diff_wl_bank":"0.03","diff_wl_bank_text":"ต่ำกว่าตลิ่ง (ม.)","river_gid":181108,"river_name":"แม่น้ำป่าสัก"}</x:t>
  </x:si>
  <x:si>
    <x:t xml:space="preserve">THAIWATER_WL:2682</x:t>
  </x:si>
  <x:si>
    <x:t xml:space="preserve">K.35A</x:t>
  </x:si>
  <x:si>
    <x:t xml:space="preserve">บ้านหนองบัว</x:t>
  </x:si>
  <x:si>
    <x:t xml:space="preserve">แม่น้ำแควใหญ่</x:t>
  </x:si>
  <x:si>
    <x:t xml:space="preserve">{"id":1316004500,"waterlevel_datetime":"2026-10-01 23:00","waterlevel_m":null,"waterlevel_msl":"26.98","waterlevel_msl_previous":"26.80","flow_rate":null,"discharge":"434.60","storage_percent":"99.56","sort_order":null,"station_type":"tele_waterlevel","situation_level":4,"agency":{"id":12,"agency_name":{"th":"กรมชลประทาน ","en":"Royal Irrigation Department","jp":""},"agency_shortname":{"th":"ชป.","en":"RID","jp":""}},"basin":{"id":15,"basin_code":14,"basin_name":{"th":"ลุ่มน้ำแม่กลอง","en":"Mae Klong Basin"}},"station":{"id":2682,"tele_station_name":{"th":"บ้านหนองบัว"},"tele_station_lat":14.05861,"tele_station_long":99.445221,"tele_station_oldcode":"K.35A","tele_station_type":"tele_waterlevel","left_bank":52.739999999999995,"right_bank":52.659,"min_bank":27,"ground_level":22.482,"offset":21.5,"sub_basin_id":268,"agency_id":12,"geocode_id":6588,"hydro_id":7,"qmax":440,"is_key_station":true,"warning_level_m":null,"critical_level_m":null,"critical_level_msl":null},"geocode":{"area_code":"2","area_name":{"th":"ภาคกลาง","en":"Central"},"amphoe_code":"01","amphoe_name":{"th":"เมืองกาญจนบุรี","en":"Mueang Kanchanaburi District"},"tumbon_code":"06","tumbon_name":{"th":"หนองบัว","en":"Nong Bua"},"province_code":"71","province_name":{"th":"กาญจนบุรี","en":"Kanchanaburi"}},"diff_wl_bank":"0.02","diff_wl_bank_text":"ต่ำกว่าตลิ่ง (ม.)","river_gid":184989,"river_name":"แม่น้ำแควใหญ่"}</x:t>
  </x:si>
  <x:si>
    <x:t xml:space="preserve">THAIWATER_WL:2571</x:t>
  </x:si>
  <x:si>
    <x:t xml:space="preserve">K.37</x:t>
  </x:si>
  <x:si>
    <x:t xml:space="preserve">บ้านวังเย็น</x:t>
  </x:si>
  <x:si>
    <x:t xml:space="preserve">{"id":1316004501,"waterlevel_datetime":"2026-10-01 23:00","waterlevel_m":null,"waterlevel_msl":"31.39","waterlevel_msl_previous":"31.39","flow_rate":null,"discharge":"1892.86","storage_percent":"99.54","sort_order":null,"station_type":"tele_waterlevel","situation_level":4,"agency":{"id":12,"agency_name":{"th":"กรมชลประทาน ","en":"Royal Irrigation Department","jp":""},"agency_shortname":{"th":"ชป.","en":"RID","jp":""}},"basin":{"id":15,"basin_code":14,"basin_name":{"th":"ลุ่มน้ำแม่กลอง","en":"Mae Klong Basin"}},"station":{"id":2571,"tele_station_name":{"th":"บ้านวังเย็น"},"tele_station_lat":13.93906,"tele_station_long":99.416252,"tele_station_oldcode":"K.37","tele_station_type":"tele_waterlevel","left_bank":52.380999,"right_bank":52.031999,"min_bank":31.45,"ground_level":18.33,"offset":19.799999,"sub_basin_id":275,"agency_id":12,"geocode_id":6681,"hydro_id":7,"qmax":1910,"is_key_station":true,"warning_level_m":null,"critical_level_m":11.65,"critical_level_msl":31.45},"geocode":{"area_code":"2","area_name":{"th":"ภาคกลาง","en":"Central"},"amphoe_code":"11","amphoe_name":{"th":"ด่านมะขามเตี้ย","en":"Dan Makham Tia District"},"tumbon_code":"02","tumbon_name":{"th":"กลอนโด","en":"Klon Do"},"province_code":"71","province_name":{"th":"กาญจนบุรี","en":"Kanchanaburi"}},"diff_wl_bank":"0.06","diff_wl_bank_text":"ต่ำกว่าตลิ่ง (ม.)","river_gid":185920,"river_name":"แม่น้ำแควน้อย"}</x:t>
  </x:si>
  <x:si>
    <x:t xml:space="preserve">THAIWATER_WL:1373691</x:t>
  </x:si>
  <x:si>
    <x:t xml:space="preserve">PTTEP3</x:t>
  </x:si>
  <x:si>
    <x:t xml:space="preserve">สะพานนางพระยา-บางหลวง ชุมชนปากนคร</x:t>
  </x:si>
  <x:si>
    <x:t xml:space="preserve">{"id":1316368251,"waterlevel_datetime":"2026-10-01 15:10","waterlevel_m":null,"waterlevel_msl":"0.69","waterlevel_msl_previous":"0.69","flow_rate":null,"discharge":null,"storage_percent":"99.23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Basin"}},"station":{"id":1373691,"tele_station_name":{"en":"Nang Phraya Bridge-Bang Luang Pak Nakhon Community","th":"สะพานนางพระยา-บางหลวง ชุมชนปากนคร"},"tele_station_lat":8.438141,"tele_station_long":100.0304,"tele_station_oldcode":"PTTEP3","tele_station_type":"tele_waterlevel","left_bank":0.73,"right_bank":0.8,"min_bank":0.73,"ground_level":-4.481,"offset":null,"sub_basin_id":327,"sponsor_by":"บริษัท ปตท.สำรวจและผลิตปิโตรเลียม จำกัด (มหาชน)","agency_id":9,"geocode_id":7177,"hydro_id":null,"qmax":null,"is_key_station":false,"warning_level_m":null,"critical_level_m":null,"critical_level_msl":null},"geocode":{"area_code":"5","area_name":{"th":"ภาคใต้","en":"South"},"amphoe_code":"01","amphoe_name":{"th":"เมืองนครศรีธรรมราช","en":"Mueang Nakhon Si Thammarat District"},"tumbon_code":"06","tumbon_name":{"th":"ท่าไร่","en":"Tha Rai"},"province_code":"80","province_name":{"th":"นครศรีธรรมราช","en":"Nakhon Si Thammarat"}},"diff_wl_bank":"0.04","diff_wl_bank_text":"ต่ำกว่าตลิ่ง (ม.)"}</x:t>
  </x:si>
  <x:si>
    <x:t xml:space="preserve">THAIWATER_WL:1121258</x:t>
  </x:si>
  <x:si>
    <x:t xml:space="preserve">MOU431</x:t>
  </x:si>
  <x:si>
    <x:t xml:space="preserve">สะพานแม่น้ำแควใหญ่</x:t>
  </x:si>
  <x:si>
    <x:t xml:space="preserve">{"id":1316367797,"waterlevel_datetime":"2026-10-01 15:10","waterlevel_m":null,"waterlevel_msl":"454.30","waterlevel_msl_previous":"454.30","flow_rate":null,"discharge":null,"storage_percent":"98.75","sort_order":null,"station_type":"tele_waterlevel","situation_level":4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Foundation","jp":""},"agency_shortname":{"th":"พพภ","en":"FOP","jp":""}},"basin":{"id":15,"basin_code":14,"basin_name":{"th":"ลุ่มน้ำแม่กลอง","en":"Mae Klong Basin"}},"station":{"id":1121258,"tele_station_name":{"en":"Khwae Yai Bridge","th":"สะพานแม่น้ำแควใหญ่"},"tele_station_lat":16.04928,"tele_station_long":98.844765,"tele_station_oldcode":"MOU431","tele_station_type":"tele_waterlevel","left_bank":455.345,"right_bank":454.79,"min_bank":454.79,"ground_level":415.668,"offset":null,"sub_basin_id":260,"sponsor_by":"มูลนิธิอาสาเพื่อนพึ่ง (ภาฯ) ยามยาก สภากาชาดไทย","agency_id":91,"geocode_id":6031,"hydro_id":null,"qmax":null,"is_key_station":false,"warning_level_m":null,"critical_level_m":null,"critical_level_msl":null},"geocode":{"area_code":"3","area_name":{"th":"ภาคเหนือ","en":"North"},"amphoe_code":"08","amphoe_name":{"th":"อุ้มผาง","en":"Umphang District"},"tumbon_code":"06","tumbon_name":{"th":"แม่กลอง","en":"Mae Klong"},"province_code":"63","province_name":{"th":"ตาก","en":"Tak"}},"diff_wl_bank":"0.49","diff_wl_bank_text":"ต่ำกว่าตลิ่ง (ม.)","river_gid":165896,"river_name":"แม่น้ำแควใหญ่"}</x:t>
  </x:si>
  <x:si>
    <x:t xml:space="preserve">THAIWATER_WL:26</x:t>
  </x:si>
  <x:si>
    <x:t xml:space="preserve">CPY014</x:t>
  </x:si>
  <x:si>
    <x:t xml:space="preserve">สะพานนวลฉวี</x:t>
  </x:si>
  <x:si>
    <x:t xml:space="preserve">{"id":1316367999,"waterlevel_datetime":"2026-10-01 15:10","waterlevel_m":null,"waterlevel_msl":"2.30","waterlevel_msl_previous":"2.31","flow_rate":null,"discharge":null,"storage_percent":"98.73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Basin"}},"station":{"id":26,"tele_station_name":{"en":"Chao Phraya 14","th":"สะพานนวลฉวี"},"tele_station_lat":13.94749,"tele_station_long":100.53507,"tele_station_oldcode":"CPY014","tele_station_type":"tele_waterlevel","left_bank":2.5,"right_bank":2.5,"min_bank":2.5,"ground_level":-13.306,"offset":null,"sub_basin_id":240,"agency_id":9,"geocode_id":316,"hydro_id":null,"qmax":null,"is_key_station":false,"warning_level_m":null,"critical_level_m":null,"critical_level_msl":null},"geocode":{"area_code":"2","area_name":{"th":"ภาคกลาง","en":"Central"},"amphoe_code":"06","amphoe_name":{"th":"ปากเกร็ด","en":"Pak Kret District"},"tumbon_code":"03","tumbon_name":{"th":"บ้านใหม่","en":"Ban Mai"},"province_code":"12","province_name":{"th":"นนทบุรี","en":"Nonthaburi"}},"diff_wl_bank":"0.20","diff_wl_bank_text":"ต่ำกว่าตลิ่ง (ม.)","river_gid":185972,"river_name":"แม่น้ำเจ้าพระยา"}</x:t>
  </x:si>
  <x:si>
    <x:t xml:space="preserve">THAIWATER_WL:2920</x:t>
  </x:si>
  <x:si>
    <x:t xml:space="preserve">E.85</x:t>
  </x:si>
  <x:si>
    <x:t xml:space="preserve">บ้านโนนหัน</x:t>
  </x:si>
  <x:si>
    <x:t xml:space="preserve">ลำเชิญ</x:t>
  </x:si>
  <x:si>
    <x:t xml:space="preserve">{"id":1316353912,"waterlevel_datetime":"2026-10-01 14:00","waterlevel_m":null,"waterlevel_msl":"229.93","waterlevel_msl_previous":"229.93","flow_rate":null,"discharge":"41.30","storage_percent":"98.57","sort_order":null,"station_type":"tele_waterlevel","situation_level":4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2920,"tele_station_name":{"th":"บ้านโนนหัน"},"tele_station_lat":16.590509,"tele_station_long":101.983223,"tele_station_oldcode":"E.85","tele_station_type":"tele_waterlevel","left_bank":459.750003,"right_bank":459.65700300000003,"min_bank":230,"ground_level":225.102,"offset":224.800003,"sub_basin_id":90,"agency_id":12,"geocode_id":3071,"hydro_id":3,"qmax":70,"is_key_station":false,"warning_level_m":null,"critical_level_m":null,"critical_level_msl":null},"geocode":{"area_code":"4","area_name":{"th":"ภาคตะวันออกเฉียงเหนือ","en":"Northeast"},"amphoe_code":"13","amphoe_name":{"th":"คอนสาร","en":"Khon San District"},"tumbon_code":"06","tumbon_name":{"th":"ดงบัง","en":"Dong Bang"},"province_code":"36","province_name":{"th":"ชัยภูมิ","en":"Chaiyaphum"}},"diff_wl_bank":"0.07","diff_wl_bank_text":"ต่ำกว่าตลิ่ง (ม.)","river_gid":129511,"river_name":"ลำเชิญ"}</x:t>
  </x:si>
  <x:si>
    <x:t xml:space="preserve">THAIWATER_WL:44</x:t>
  </x:si>
  <x:si>
    <x:t xml:space="preserve">PAS009</x:t>
  </x:si>
  <x:si>
    <x:t xml:space="preserve">นครหลวง</x:t>
  </x:si>
  <x:si>
    <x:t xml:space="preserve">{"id":1316368226,"waterlevel_datetime":"2026-10-01 15:10","waterlevel_m":null,"waterlevel_msl":"3.67","waterlevel_msl_previous":"3.67","flow_rate":null,"discharge":null,"storage_percent":"97.65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Organization)","jp":""},"agency_shortname":{"th":"สสน.","en":"HII","jp":""}},"basin":{"id":13,"basin_code":12,"basin_name":{"th":"ลุ่มน้ำป่าสัก","en":"Pasak Basin"}},"station":{"id":44,"tele_station_name":{"en":"Pa Sak 9","th":"นครหลวง"},"tele_station_lat":14.40269,"tele_station_long":100.5864,"tele_station_oldcode":"PAS009","tele_station_type":"tele_waterlevel","left_bank":3.882,"right_bank":5.234,"min_bank":3.88,"ground_level":-5.347,"offset":null,"sub_basin_id":257,"agency_id":9,"geocode_id":431,"hydro_id":null,"qmax":null,"is_key_station":false,"warning_level_m":null,"critical_level_m":null,"critical_level_msl":null},"geocode":{"area_code":"2","area_name":{"th":"ภาคกลาง","en":"Central"},"amphoe_code":"03","amphoe_name":{"th":"นครหลวง","en":"Nakhon Luang District"},"tumbon_code":"03","tumbon_name":{"th":"บ่อโพง","en":"Bo Phong"},"province_code":"14","province_name":{"th":"พระนครศรีอยุธยา","en":"Phra Nakhon Si Ayutthaya"}},"diff_wl_bank":"0.22","diff_wl_bank_text":"ต่ำกว่าตลิ่ง (ม.)","river_gid":182227,"river_name":"แม่น้ำป่าสัก"}</x:t>
  </x:si>
  <x:si>
    <x:t xml:space="preserve">THAIWATER_WL:61</x:t>
  </x:si>
  <x:si>
    <x:t xml:space="preserve">LBI002</x:t>
  </x:si>
  <x:si>
    <x:t xml:space="preserve">เมืองลพบุรี</x:t>
  </x:si>
  <x:si>
    <x:t xml:space="preserve">{"id":1316368077,"waterlevel_datetime":"2026-10-01 15:10","waterlevel_m":null,"waterlevel_msl":"6.29","waterlevel_msl_previous":"6.29","flow_rate":null,"discharge":null,"storage_percent":"96.90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Basin"}},"station":{"id":61,"tele_station_name":{"en":"Lop Buri 2","th":"เมืองลพบุรี"},"tele_station_lat":14.76049,"tele_station_long":100.5996,"tele_station_oldcode":"LBI002","tele_station_type":"tele_waterlevel","left_bank":9.897,"right_bank":6.523,"min_bank":6.52,"ground_level":-0.828,"offset":null,"sub_basin_id":240,"agency_id":9,"geocode_id":723,"hydro_id":null,"qmax":null,"is_key_station":false,"warning_level_m":null,"critical_level_m":null,"critical_level_msl":null},"geocode":{"area_code":"2","area_name":{"th":"ภาคกลาง","en":"Central"},"amphoe_code":"01","amphoe_name":{"th":"เมืองลพบุรี","en":"Mueang Lop Buri District"},"tumbon_code":"22","tumbon_name":{"th":"โพธิ์เก้าต้น","en":"Pho Kao Ton"},"province_code":"16","province_name":{"th":"ลพบุรี","en":"Lop Buri"}},"diff_wl_bank":"0.23","diff_wl_bank_text":"ต่ำกว่าตลิ่ง (ม.)","river_gid":180654,"river_name":"แม่น้ำลพบุรี"}</x:t>
  </x:si>
  <x:si>
    <x:t xml:space="preserve">THAIWATER_WL:39</x:t>
  </x:si>
  <x:si>
    <x:t xml:space="preserve">CPY011</x:t>
  </x:si>
  <x:si>
    <x:t xml:space="preserve">{"id":1316367997,"waterlevel_datetime":"2026-10-01 15:10","waterlevel_m":null,"waterlevel_msl":"4.72","waterlevel_msl_previous":"4.72","flow_rate":null,"discharge":null,"storage_percent":"96.78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Basin"}},"station":{"id":39,"tele_station_name":{"en":"Chao Phraya 11","th":"พระนครศรีอยุธยา"},"tele_station_lat":14.36913,"tele_station_long":100.52861,"tele_station_oldcode":"CPY011","tele_station_type":"tele_waterlevel","left_bank":5.064,"right_bank":5.524,"min_bank":5.06,"ground_level":-5.521,"offset":null,"sub_basin_id":240,"agency_id":9,"geocode_id":403,"hydro_id":null,"qmax":null,"is_key_station":false,"warning_level_m":null,"critical_level_m":null,"critical_level_msl":null},"geocode":{"area_code":"2","area_name":{"th":"ภาคกลาง","en":"Central"},"amphoe_code":"01","amphoe_name":{"th":"พระนครศรีอยุธยา","en":"Phra Nakhon Si Ayutthaya District"},"tumbon_code":"08","tumbon_name":{"th":"ภูเขาทอง","en":"Phu Khao Thong"},"province_code":"14","province_name":{"th":"พระนครศรีอยุธยา","en":"Phra Nakhon Si Ayutthaya"}},"diff_wl_bank":"0.34","diff_wl_bank_text":"ต่ำกว่าตลิ่ง (ม.)","river_gid":182479,"river_name":"แม่น้ำเจ้าพระยา"}</x:t>
  </x:si>
  <x:si>
    <x:t xml:space="preserve">THAIWATER_WL:1</x:t>
  </x:si>
  <x:si>
    <x:t xml:space="preserve">BKK021</x:t>
  </x:si>
  <x:si>
    <x:t xml:space="preserve">คลองลาดพร้าว วัดบางบัว</x:t>
  </x:si>
  <x:si>
    <x:t xml:space="preserve">คลองบางบัว</x:t>
  </x:si>
  <x:si>
    <x:t xml:space="preserve">{"id":1316367953,"waterlevel_datetime":"2026-10-01 15:10","waterlevel_m":null,"waterlevel_msl":"2.12","waterlevel_msl_previous":"2.12","flow_rate":null,"discharge":null,"storage_percent":"96.64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Basin"}},"station":{"id":1,"tele_station_name":{"en":"Klong Ladprao Bang Bua Temple","th":"คลองลาดพร้าว วัดบางบัว"},"tele_station_lat":13.85402,"tele_station_long":100.58746,"tele_station_oldcode":"BKK021","tele_station_type":"tele_waterlevel","left_bank":2.2,"right_bank":2.2,"min_bank":2.2,"ground_level":-0.33,"offset":null,"sub_basin_id":240,"agency_id":9,"geocode_id":37,"hydro_id":null,"qmax":null,"is_key_station":false,"warning_level_m":null,"critical_level_m":null,"critical_level_msl":null},"geocode":{"area_code":"1","area_name":{"th":"กรุงเทพมหานคร","en":"Bangkok"},"amphoe_code":"05","amphoe_name":{"th":"บางเขน","en":"Bang Khen District"},"tumbon_code":"02","tumbon_name":{"th":"อนุสาวรีย์","en":"Anusawari"},"province_code":"10","province_name":{"th":"กรุงเทพมหานคร","en":"Bangkok"}},"diff_wl_bank":"0.08","diff_wl_bank_text":"ต่ำกว่าตลิ่ง (ม.)","river_gid":186304,"river_name":"คลองบางบัว"}</x:t>
  </x:si>
  <x:si>
    <x:t xml:space="preserve">THAIWATER_WL:68</x:t>
  </x:si>
  <x:si>
    <x:t xml:space="preserve">CPY007</x:t>
  </x:si>
  <x:si>
    <x:t xml:space="preserve">พรหมบุรี</x:t>
  </x:si>
  <x:si>
    <x:t xml:space="preserve">{"id":1316367993,"waterlevel_datetime":"2026-10-01 15:10","waterlevel_m":null,"waterlevel_msl":"10.50","waterlevel_msl_previous":"10.50","flow_rate":null,"discharge":null,"storage_percent":"96.51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Basin"}},"station":{"id":68,"tele_station_name":{"en":"Chao Phraya 7","th":"พรหมบุรี"},"tele_station_lat":14.79091,"tele_station_long":100.45184,"tele_station_oldcode":"CPY007","tele_station_type":"tele_waterlevel","left_bank":10.93,"right_bank":11.609,"min_bank":10.93,"ground_level":-1.317,"offset":null,"sub_basin_id":240,"agency_id":9,"geocode_id":865,"hydro_id":null,"qmax":null,"is_key_station":false,"warning_level_m":null,"critical_level_m":null,"critical_level_msl":null},"geocode":{"area_code":"2","area_name":{"th":"ภาคกลาง","en":"Central"},"amphoe_code":"04","amphoe_name":{"th":"พรหมบุรี","en":"Phrom Buri District"},"tumbon_code":"02","tumbon_name":{"th":"พรหมบุรี","en":"Phrom Buri"},"province_code":"17","province_name":{"th":"สิงห์บุรี","en":"Sing Buri"}},"diff_wl_bank":"0.43","diff_wl_bank_text":"ต่ำกว่าตลิ่ง (ม.)","river_gid":179438,"river_name":"แม่น้ำเจ้าพระยา"}</x:t>
  </x:si>
  <x:si>
    <x:t xml:space="preserve">THAIWATER_WL:58</x:t>
  </x:si>
  <x:si>
    <x:t xml:space="preserve">CPY008</x:t>
  </x:si>
  <x:si>
    <x:t xml:space="preserve">เมืองอ่างทอง</x:t>
  </x:si>
  <x:si>
    <x:t xml:space="preserve">{"id":1316367994,"waterlevel_datetime":"2026-10-01 15:10","waterlevel_m":null,"waterlevel_msl":"8.30","waterlevel_msl_previous":"8.30","flow_rate":null,"discharge":null,"storage_percent":"96.41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Basin"}},"station":{"id":58,"tele_station_name":{"en":"Chao Phraya 8","th":"เมืองอ่างทอง"},"tele_station_lat":14.5765,"tele_station_long":100.44852,"tele_station_oldcode":"CPY008","tele_station_type":"tele_waterlevel","left_bank":8.777,"right_bank":8.924,"min_bank":8.78,"ground_level":-4.4,"offset":null,"sub_basin_id":240,"agency_id":9,"geocode_id":623,"hydro_id":null,"qmax":null,"is_key_station":false,"warning_level_m":null,"critical_level_m":null,"critical_level_msl":null},"geocode":{"area_code":"2","area_name":{"th":"ภาคกลาง","en":"Central"},"amphoe_code":"01","amphoe_name":{"th":"เมืองอ่างทอง","en":"Mueang Ang Thong District"},"tumbon_code":"02","tumbon_name":{"th":"บางแก้ว","en":"Bang Kaeo"},"province_code":"15","province_name":{"th":"อ่างทอง","en":"Ang Thong"}},"diff_wl_bank":"0.47","diff_wl_bank_text":"ต่ำกว่าตลิ่ง (ม.)","river_gid":181326,"river_name":"แม่น้ำเจ้าพระยา"}</x:t>
  </x:si>
  <x:si>
    <x:t xml:space="preserve">THAIWATER_WL:2777</x:t>
  </x:si>
  <x:si>
    <x:t xml:space="preserve">Ct.19</x:t>
  </x:si>
  <x:si>
    <x:t xml:space="preserve">บ้านดอนใหญ่</x:t>
  </x:si>
  <x:si>
    <x:t xml:space="preserve">น้ำตากแดด</x:t>
  </x:si>
  <x:si>
    <x:t xml:space="preserve">{"id":1316341293,"waterlevel_datetime":"2026-10-01 14:00","waterlevel_m":null,"waterlevel_msl":"24.24","waterlevel_msl_previous":"24.22","flow_rate":null,"discharge":"578.00","storage_percent":"96.38","sort_order":null,"station_type":"tele_waterlevel","situation_level":4,"agency":{"id":12,"agency_name":{"th":"กรมชลประทาน ","en":"Royal Irrigation Department","jp":""},"agency_shortname":{"th":"ชป.","en":"RID","jp":""}},"basin":{"id":12,"basin_code":11,"basin_name":{"th":"ลุ่มน้ำสะแกกรัง","en":"Sakae Krang Basin"}},"station":{"id":2777,"tele_station_name":{"th":"บ้านดอนใหญ่"},"tele_station_lat":15.45274,"tele_station_long":100.031891,"tele_station_oldcode":"Ct.19","tele_station_type":"tele_waterlevel","left_bank":24.432,"right_bank":24.315,"min_bank":24.52,"ground_level":16.78,"offset":null,"sub_basin_id":246,"agency_id":12,"geocode_id":5806,"hydro_id":5,"qmax":637,"is_key_station":true,"warning_level_m":null,"critical_level_m":24.35,"critical_level_msl":24.35},"geocode":{"area_code":"3","area_name":{"th":"ภาคเหนือ","en":"North"},"amphoe_code":"01","amphoe_name":{"th":"เมืองอุทัยธานี","en":"Mueang Uthai Thani District"},"tumbon_code":"11","tumbon_name":{"th":"หนองไผ่แบน","en":"Nong Phai Baen"},"province_code":"61","province_name":{"th":"อุทัยธานี","en":"Uthai Thani"}},"diff_wl_bank":"0.28","diff_wl_bank_text":"ต่ำกว่าตลิ่ง (ม.)","river_gid":172232,"river_name":"น้ำตากแดด"}</x:t>
  </x:si>
  <x:si>
    <x:t xml:space="preserve">THAIWATER_WL:2599</x:t>
  </x:si>
  <x:si>
    <x:t xml:space="preserve">C.12</x:t>
  </x:si>
  <x:si>
    <x:t xml:space="preserve">กรมชลประทานสามเสน</x:t>
  </x:si>
  <x:si>
    <x:t xml:space="preserve">{"id":1316341277,"waterlevel_datetime":"2026-10-01 14:00","waterlevel_m":null,"waterlevel_msl":"1.63","waterlevel_msl_previous":"1.75","flow_rate":null,"discharge":null,"storage_percent":"96.25","sort_order":null,"station_type":"tele_waterlevel","situation_level":4,"agency":{"id":12,"agency_name":{"th":"กรมชลประทาน ","en":"Royal Irrigation Department","jp":""},"agency_shortname":{"th":"ชป.","en":"RID","jp":""}},"basin":{"id":10,"basin_code":10,"basin_name":{"th":"ลุ่มน้ำเจ้าพระยา","en":"Chao Phraya Basin"}},"station":{"id":2599,"tele_station_name":{"th":"กรมชลประทานสามเสน"},"tele_station_lat":13.78815,"tele_station_long":100.509148,"tele_station_oldcode":"C.12","tele_station_type":"tele_waterlevel","left_bank":2.264,"right_bank":3.642,"min_bank":2.26,"ground_level":-14.52,"offset":null,"sub_basin_id":240,"agency_id":12,"geocode_id":20,"hydro_id":5,"qmax":null,"is_key_station":true,"warning_level_m":null,"critical_level_m":null,"critical_level_msl":null},"geocode":{"area_code":"1","area_name":{"th":"กรุงเทพมหานคร","en":"Bangkok"},"amphoe_code":"02","amphoe_name":{"th":"ดุสิต","en":"Dusit District"},"tumbon_code":"06","tumbon_name":{"th":"ถนนนครไชยศรี","en":"Thanon Nakhon Chaisi"},"province_code":"10","province_name":{"th":"กรุงเทพมหานคร","en":"Bangkok"}},"diff_wl_bank":"0.63","diff_wl_bank_text":"ต่ำกว่าตลิ่ง (ม.)","river_gid":186854,"river_name":"แม่น้ำเจ้าพระยา"}</x:t>
  </x:si>
  <x:si>
    <x:t xml:space="preserve">THAIWATER_WL:137</x:t>
  </x:si>
  <x:si>
    <x:t xml:space="preserve">TRD001</x:t>
  </x:si>
  <x:si>
    <x:t xml:space="preserve">เมืองตราด</x:t>
  </x:si>
  <x:si>
    <x:t xml:space="preserve">แม่น้ำเขาสมิง</x:t>
  </x:si>
  <x:si>
    <x:t xml:space="preserve">{"id":1316368402,"waterlevel_datetime":"2026-10-01 15:10","waterlevel_m":null,"waterlevel_msl":"0.40","waterlevel_msl_previous":"0.40","flow_rate":null,"discharge":null,"storage_percent":"96.10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Organization)","jp":""},"agency_shortname":{"th":"สสน.","en":"HII","jp":""}},"basin":{"id":18,"basin_code":17,"basin_name":{"th":"ลุ่มน้ำชายฝั่งทะเลตะวันออก","en":"East Coast Gulf Basin"}},"station":{"id":137,"tele_station_name":{"en":"Trat 1","th":"เมืองตราด"},"tele_station_lat":12.325195,"tele_station_long":102.5005,"tele_station_oldcode":"TRD001","tele_station_type":"tele_waterlevel","left_bank":0.772,"right_bank":0.69,"min_bank":0.69,"ground_level":-6.744,"offset":null,"sub_basin_id":298,"agency_id":9,"geocode_id":1341,"hydro_id":null,"qmax":null,"is_key_station":false,"warning_level_m":null,"critical_level_m":null,"critical_level_msl":null},"geocode":{"area_code":"2","area_name":{"th":"ภาคกลาง","en":"Central"},"amphoe_code":"01","amphoe_name":{"th":"เมืองตราด","en":"Mueang Trat District"},"tumbon_code":"08","tumbon_name":{"th":"ห้วยแร้ง","en":"Huai Raeng"},"province_code":"23","province_name":{"th":"ตราด","en":"Trat"}},"diff_wl_bank":"0.29","diff_wl_bank_text":"ต่ำกว่าตลิ่ง (ม.)","river_gid":206928,"river_name":"แม่น้ำเขาสมิง"}</x:t>
  </x:si>
  <x:si>
    <x:t xml:space="preserve">THAIWATER_WL:89</x:t>
  </x:si>
  <x:si>
    <x:t xml:space="preserve">CPY005</x:t>
  </x:si>
  <x:si>
    <x:t xml:space="preserve">สรรพยา</x:t>
  </x:si>
  <x:si>
    <x:t xml:space="preserve">{"id":1316367991,"waterlevel_datetime":"2026-10-01 15:10","waterlevel_m":null,"waterlevel_msl":"14.79","waterlevel_msl_previous":"14.78","flow_rate":null,"discharge":null,"storage_percent":"95.99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Basin"}},"station":{"id":89,"tele_station_name":{"en":"Chao Phraya 5","th":"สรรพยา"},"tele_station_lat":15.10907,"tele_station_long":100.26785,"tele_station_oldcode":"CPY005","tele_station_type":"tele_waterlevel","left_bank":15.277,"right_bank":15.3271,"min_bank":15.28,"ground_level":3.011,"offset":null,"sub_basin_id":240,"agency_id":9,"geocode_id":919,"hydro_id":null,"qmax":null,"is_key_station":false,"warning_level_m":null,"critical_level_m":null,"critical_level_msl":null},"geocode":{"area_code":"2","area_name":{"th":"ภาคกลาง","en":"Central"},"amphoe_code":"04","amphoe_name":{"th":"สรรพยา","en":"Sapphaya District"},"tumbon_code":"05","tumbon_name":{"th":"โพนางดำออก","en":"Pho Nang Dam Ok"},"province_code":"18","province_name":{"th":"ชัยนาท","en":"Chai Nat"}},"diff_wl_bank":"0.49","diff_wl_bank_text":"ต่ำกว่าตลิ่ง (ม.)","river_gid":175969,"river_name":"แม่น้ำเจ้าพระยา"}</x:t>
  </x:si>
  <x:si>
    <x:t xml:space="preserve">THAIWATER_WL:2744</x:t>
  </x:si>
  <x:si>
    <x:t xml:space="preserve">C.13</x:t>
  </x:si>
  <x:si>
    <x:t xml:space="preserve">ท้ายเขื่อนเจ้าพระยา</x:t>
  </x:si>
  <x:si>
    <x:t xml:space="preserve">{"id":1316341283,"waterlevel_datetime":"2026-10-01 14:00","waterlevel_m":null,"waterlevel_msl":"15.69","waterlevel_msl_previous":"15.69","flow_rate":null,"discharge":"2400.00","storage_percent":"95.44","sort_order":null,"station_type":"tele_waterlevel","situation_level":4,"agency":{"id":12,"agency_name":{"th":"กรมชลประทาน ","en":"Royal Irrigation Department","jp":""},"agency_shortname":{"th":"ชป.","en":"RID","jp":""}},"basin":{"id":10,"basin_code":10,"basin_name":{"th":"ลุ่มน้ำเจ้าพระยา","en":"Chao Phraya Basin"}},"station":{"id":2744,"tele_station_name":{"th":"ท้ายเขื่อนเจ้าพระยา"},"tele_station_lat":15.16384,"tele_station_long":100.18792,"tele_station_oldcode":"C.13","tele_station_type":"tele_waterlevel","left_bank":17.524,"right_bank":18.2,"min_bank":16.34,"ground_level":2.08,"offset":null,"sub_basin_id":240,"agency_id":12,"geocode_id":920,"hydro_id":5,"qmax":2720,"is_key_station":true,"warning_level_m":null,"critical_level_m":16.34,"critical_level_msl":16.34},"geocode":{"area_code":"2","area_name":{"th":"ภาคกลาง","en":"Central"},"amphoe_code":"04","amphoe_name":{"th":"สรรพยา","en":"Sapphaya District"},"tumbon_code":"06","tumbon_name":{"th":"บางหลวง","en":"Bang Luang"},"province_code":"18","province_name":{"th":"ชัยนาท","en":"Chai Nat"}},"diff_wl_bank":"0.65","diff_wl_bank_text":"ต่ำกว่าตลิ่ง (ม.)","river_gid":175661,"river_name":"แม่น้ำเจ้าพระยา"}</x:t>
  </x:si>
  <x:si>
    <x:t xml:space="preserve">THAIWATER_WL:5</x:t>
  </x:si>
  <x:si>
    <x:t xml:space="preserve">BKK003</x:t>
  </x:si>
  <x:si>
    <x:t xml:space="preserve">คลองมหาสวัสดิ บางกรวย-สวนผัก</x:t>
  </x:si>
  <x:si>
    <x:t xml:space="preserve">คลองมหาสวัสดิ์</x:t>
  </x:si>
  <x:si>
    <x:t xml:space="preserve">2026-10-01T08:10:00+07:00</x:t>
  </x:si>
  <x:si>
    <x:t xml:space="preserve">{"id":1316179606,"waterlevel_datetime":"2026-10-01 08:10","waterlevel_m":null,"waterlevel_msl":"1.83","waterlevel_msl_previous":"1.79","flow_rate":null,"discharge":null,"storage_percent":"95.34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Basin"}},"station":{"id":5,"tele_station_name":{"en":"Krung Thep 3","th":"คลองมหาสวัสดิ บางกรวย-สวนผัก"},"tele_station_lat":13.79965,"tele_station_long":100.43863,"tele_station_oldcode":"BKK003","tele_station_type":"tele_waterlevel","left_bank":2.069,"right_bank":2.152,"min_bank":2.07,"ground_level":-3.101,"offset":null,"sub_basin_id":240,"agency_id":9,"geocode_id":95,"hydro_id":null,"qmax":null,"is_key_station":false,"warning_level_m":null,"critical_level_m":null,"critical_level_msl":null},"geocode":{"area_code":"1","area_name":{"th":"กรุงเทพมหานคร","en":"Bangkok"},"amphoe_code":"19","amphoe_name":{"th":"ตลิ่งชัน","en":"Taling Chan District"},"tumbon_code":"02","tumbon_name":{"th":"ตลิ่งชัน","en":"Taling Chan"},"province_code":"10","province_name":{"th":"กรุงเทพมหานคร","en":"Bangkok"}},"diff_wl_bank":"0.24","diff_wl_bank_text":"ต่ำกว่าตลิ่ง (ม.)","river_gid":186752,"river_name":"คลองมหาสวัสดิ์"}</x:t>
  </x:si>
  <x:si>
    <x:t xml:space="preserve">THAIWATER_WL:1422373</x:t>
  </x:si>
  <x:si>
    <x:t xml:space="preserve">RPBD13</x:t>
  </x:si>
  <x:si>
    <x:t xml:space="preserve">สะพานบ้างอ้อ อ.พุนพิน</x:t>
  </x:si>
  <x:si>
    <x:t xml:space="preserve">{"id":1316365558,"waterlevel_datetime":"2026-10-01 15:00","waterlevel_m":null,"waterlevel_msl":"1.18","waterlevel_msl_previous":"0.97","flow_rate":null,"discharge":null,"storage_percent":"95.25","sort_order":null,"station_type":"tele_waterlevel","situation_level":4,"agency":{"id":8,"agency_name":{"th":"การไฟฟ้าฝ่ายผลิตแห่งประเทศไทย","en":"Electricity Generating Authority of Thailand","jp":""},"agency_shortname":{"th":"กฟผ.","en":"EGAT","jp":""}},"basin":{"id":22,"basin_code":19,"basin_name":{"th":"ลุ่มน้ำภาคใต้ฝั่งตะวันออกตอนบน","en":"Peninsula - Upper East Coast Basin"}},"station":{"id":1422373,"tele_station_name":{"th":"สะพานบ้างอ้อ อ.พุนพิน"},"tele_station_lat":9.074279,"tele_station_long":99.217619,"tele_station_oldcode":"RPBD13","tele_station_type":"tele_waterlevel","left_bank":1.6894,"right_bank":2.9921,"min_bank":1.69,"ground_level":-9.13,"offset":null,"sub_basin_id":323,"agency_id":8,"geocode_id":7647,"hydro_id":null,"qmax":null,"is_key_station":false,"warning_level_m":null,"critical_level_m":null,"critical_level_msl":1.69},"geocode":{"area_code":"5","area_name":{"th":"ภาคใต้","en":"South"},"amphoe_code":"17","amphoe_name":{"th":"พุนพิน","en":"Phunphin District"},"tumbon_code":"15","tumbon_name":{"th":"เขาหัวควาย","en":"Khao Hua Khwai"},"province_code":"84","province_name":{"th":"สุราษฎร์ธานี","en":"Surat Thani"}},"diff_wl_bank":"0.51","diff_wl_bank_text":"ต่ำกว่าตลิ่ง (ม.)"}</x:t>
  </x:si>
  <x:si>
    <x:t xml:space="preserve">THAIWATER_WL:740723</x:t>
  </x:si>
  <x:si>
    <x:t xml:space="preserve">FOP022</x:t>
  </x:si>
  <x:si>
    <x:t xml:space="preserve">สะพานวัดมงคลร่วมใจ (บ้านวังสาร)</x:t>
  </x:si>
  <x:si>
    <x:t xml:space="preserve">คลองวังน้ำใส</x:t>
  </x:si>
  <x:si>
    <x:t xml:space="preserve">{"id":1316367725,"waterlevel_datetime":"2026-10-01 15:10","waterlevel_m":null,"waterlevel_msl":"38.44","waterlevel_msl_previous":"38.44","flow_rate":null,"discharge":null,"storage_percent":"94.60","sort_order":null,"station_type":"tele_waterlevel","situation_level":4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Basin"}},"station":{"id":740723,"tele_station_name":{"en":"Wat Mongkhon Ruamchai Bridge","th":"สะพานวัดมงคลร่วมใจ (บ้านวังสาร)"},"tele_station_lat":16.670555,"tele_station_long":100.32789,"tele_station_oldcode":"FOP022","tele_station_type":"tele_waterlevel","left_bank":38.8353,"right_bank":40.0723,"min_bank":38.84,"ground_level":31.5193,"offset":null,"sub_basin_id":237,"sponsor_by":"มูลนิธิอาสาเพื่อนพึ่ง (ภาฯ) ยามยาก สภากาชาดไทย","agency_id":91,"geocode_id":6190,"hydro_id":null,"qmax":null,"is_key_station":false,"warning_level_m":null,"critical_level_m":null,"critical_level_msl":null},"geocode":{"area_code":"3","area_name":{"th":"ภาคเหนือ","en":"North"},"amphoe_code":"05","amphoe_name":{"th":"บางกระทุ่ม","en":"Bang Krathum District"},"tumbon_code":"05","tumbon_name":{"th":"ท่าตาล","en":"Tha Tan"},"province_code":"65","province_name":{"th":"พิษณุโลก","en":"Phitsanulok"}},"diff_wl_bank":"0.40","diff_wl_bank_text":"ต่ำกว่าตลิ่ง (ม.)","river_gid":93773,"river_name":"คลองวังน้ำใส"}</x:t>
  </x:si>
  <x:si>
    <x:t xml:space="preserve">THAIWATER_WL:2624</x:t>
  </x:si>
  <x:si>
    <x:t xml:space="preserve">S.26</x:t>
  </x:si>
  <x:si>
    <x:t xml:space="preserve">ท้ายเขื่อนพระรามหก</x:t>
  </x:si>
  <x:si>
    <x:t xml:space="preserve">{"id":1316341299,"waterlevel_datetime":"2026-10-01 14:00","waterlevel_m":null,"waterlevel_msl":"6.47","waterlevel_msl_previous":"6.49","flow_rate":null,"discharge":"545.00","storage_percent":"93.93","sort_order":null,"station_type":"tele_waterlevel","situation_level":4,"agency":{"id":12,"agency_name":{"th":"กรมชลประทาน ","en":"Royal Irrigation Department","jp":""},"agency_shortname":{"th":"ชป.","en":"RID","jp":""}},"basin":{"id":13,"basin_code":12,"basin_name":{"th":"ลุ่มน้ำป่าสัก","en":"Pasak Basin"}},"station":{"id":2624,"tele_station_name":{"th":"ท้ายเขื่อนพระรามหก"},"tele_station_lat":14.56012,"tele_station_long":100.71994,"tele_station_oldcode":"S.26","tele_station_type":"tele_waterlevel","left_bank":10.134,"right_bank":9.64,"min_bank":7.2,"ground_level":-4.83,"offset":null,"sub_basin_id":257,"agency_id":12,"geocode_id":418,"hydro_id":5,"qmax":633,"is_key_station":true,"warning_level_m":null,"critical_level_m":8,"critical_level_msl":8},"geocode":{"area_code":"2","area_name":{"th":"ภาคกลาง","en":"Central"},"amphoe_code":"02","amphoe_name":{"th":"ท่าเรือ","en":"Tha Ruea District"},"tumbon_code":"01","tumbon_name":{"th":"ท่าเรือ","en":"Tha Ruea"},"province_code":"14","province_name":{"th":"พระนครศรีอยุธยา","en":"Phra Nakhon Si Ayutthaya"}},"diff_wl_bank":"0.73","diff_wl_bank_text":"ต่ำกว่าตลิ่ง (ม.)","river_gid":181108,"river_name":"แม่น้ำป่าสัก"}</x:t>
  </x:si>
  <x:si>
    <x:t xml:space="preserve">THAIWATER_WL:1093079</x:t>
  </x:si>
  <x:si>
    <x:t xml:space="preserve">CHAU01</x:t>
  </x:si>
  <x:si>
    <x:t xml:space="preserve">คลองชะอวด</x:t>
  </x:si>
  <x:si>
    <x:t xml:space="preserve">{"id":1316367960,"waterlevel_datetime":"2026-10-01 15:10","waterlevel_m":null,"waterlevel_msl":"22.73","waterlevel_msl_previous":"22.73","flow_rate":null,"discharge":null,"storage_percent":"93.86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Basin"}},"station":{"id":1093079,"tele_station_name":{"en":"Khlong Cha Uat","th":"คลองชะอวด"},"tele_station_lat":7.96636,"tele_station_long":99.99436,"tele_station_oldcode":"CHAU01","tele_station_type":"tele_waterlevel","left_bank":25.467,"right_bank":24.217,"min_bank":24.22,"ground_level":0,"offset":null,"sub_basin_id":327,"agency_id":9,"geocode_id":7231,"hydro_id":null,"qmax":null,"is_key_station":false,"warning_level_m":null,"critical_level_m":null,"critical_level_msl":null},"geocode":{"area_code":"5","area_name":{"th":"ภาคใต้","en":"South"},"amphoe_code":"07","amphoe_name":{"th":"ชะอวด","en":"Cha-uat District"},"tumbon_code":"01","tumbon_name":{"th":"ชะอวด","en":"Cha-Uat"},"province_code":"80","province_name":{"th":"นครศรีธรรมราช","en":"Nakhon Si Thammarat"}},"diff_wl_bank":"1.49","diff_wl_bank_text":"ต่ำกว่าตลิ่ง (ม.)","river_gid":222921,"river_name":"คลองชะอวด"}</x:t>
  </x:si>
  <x:si>
    <x:t xml:space="preserve">THAIWATER_WL:2855</x:t>
  </x:si>
  <x:si>
    <x:t xml:space="preserve">P.78</x:t>
  </x:si>
  <x:si>
    <x:t xml:space="preserve">บ้านสามเรือน</x:t>
  </x:si>
  <x:si>
    <x:t xml:space="preserve">คลองขลุง</x:t>
  </x:si>
  <x:si>
    <x:t xml:space="preserve">{"id":1316341549,"waterlevel_datetime":"2026-10-01 14:00","waterlevel_m":null,"waterlevel_msl":"71.08","waterlevel_msl_previous":"71.11","flow_rate":null,"discharge":"132.70","storage_percent":"93.72","sort_order":null,"station_type":"tele_waterlevel","situation_level":4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2855,"tele_station_name":{"th":"บ้านสามเรือน"},"tele_station_lat":16.181589,"tele_station_long":99.598358,"tele_station_oldcode":"P.78","tele_station_type":"tele_waterlevel","left_bank":136.507,"right_bank":137.11,"min_bank":71.47,"ground_level":65.227,"offset":65.18,"sub_basin_id":185,"agency_id":12,"geocode_id":5924,"hydro_id":2,"qmax":236,"is_key_station":false,"warning_level_m":null,"critical_level_m":null,"critical_level_msl":null},"geocode":{"area_code":"3","area_name":{"th":"ภาคเหนือ","en":"North"},"amphoe_code":"05","amphoe_name":{"th":"คลองขลุง","en":"Khlong Khlung District"},"tumbon_code":"09","tumbon_name":{"th":"วังไทร","en":"Wang Sai"},"province_code":"62","province_name":{"th":"กำแพงเพชร","en":"Kamphaeng Phet"}},"diff_wl_bank":"0.39","diff_wl_bank_text":"ต่ำกว่าตลิ่ง (ม.)","river_gid":99913,"river_name":"คลองขลุง"}</x:t>
  </x:si>
  <x:si>
    <x:t xml:space="preserve">THAIWATER_WL:1373275</x:t>
  </x:si>
  <x:si>
    <x:t xml:space="preserve">HDA009</x:t>
  </x:si>
  <x:si>
    <x:t xml:space="preserve">สะพานป่าโมก</x:t>
  </x:si>
  <x:si>
    <x:t xml:space="preserve">{"id":1316368049,"waterlevel_datetime":"2026-10-01 15:10","waterlevel_m":null,"waterlevel_msl":"7.36","waterlevel_msl_previous":"7.36","flow_rate":null,"discharge":null,"storage_percent":"93.41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Basin"}},"station":{"id":1373275,"tele_station_name":{"en":"Pa Mok Bridge","th":"สะพานป่าโมก"},"tele_station_lat":14.498074,"tele_station_long":100.44962,"tele_station_oldcode":"HDA009","tele_station_type":"tele_waterlevel","left_bank":8.013,"right_bank":7.972,"min_bank":7.97,"ground_level":-1.31,"offset":null,"sub_basin_id":240,"agency_id":9,"geocode_id":648,"hydro_id":null,"qmax":null,"is_key_station":false,"warning_level_m":null,"critical_level_m":null,"critical_level_msl":null},"geocode":{"area_code":"2","area_name":{"th":"ภาคกลาง","en":"Central"},"amphoe_code":"03","amphoe_name":{"th":"ป่าโมก","en":"Pa Mok District"},"tumbon_code":"02","tumbon_name":{"th":"ป่าโมก","en":"Pa Mok"},"province_code":"15","province_name":{"th":"อ่างทอง","en":"Ang Thong"}},"diff_wl_bank":"0.61","diff_wl_bank_text":"ต่ำกว่าตลิ่ง (ม.)"}</x:t>
  </x:si>
  <x:si>
    <x:t xml:space="preserve">THAIWATER_WL:2607</x:t>
  </x:si>
  <x:si>
    <x:t xml:space="preserve">S.5</x:t>
  </x:si>
  <x:si>
    <x:t xml:space="preserve">สะพานปรีดี-ธำรง</x:t>
  </x:si>
  <x:si>
    <x:t xml:space="preserve">{"id":1316341296,"waterlevel_datetime":"2026-10-01 14:00","waterlevel_m":null,"waterlevel_msl":"3.82","waterlevel_msl_previous":"3.80","flow_rate":null,"discharge":null,"storage_percent":"93.38","sort_order":null,"station_type":"tele_waterlevel","situation_level":4,"agency":{"id":12,"agency_name":{"th":"กรมชลประทาน ","en":"Royal Irrigation Department","jp":""},"agency_shortname":{"th":"ชป.","en":"RID","jp":""}},"basin":{"id":10,"basin_code":10,"basin_name":{"th":"ลุ่มน้ำเจ้าพระยา","en":"Chao Phraya Basin"}},"station":{"id":2607,"tele_station_name":{"th":"สะพานปรีดี-ธำรง"},"tele_station_lat":14.35872,"tele_station_long":100.580452,"tele_station_oldcode":"S.5","tele_station_type":"tele_waterlevel","left_bank":5.088,"right_bank":7.22,"min_bank":4.7,"ground_level":-8.59,"offset":null,"sub_basin_id":240,"agency_id":12,"geocode_id":398,"hydro_id":5,"qmax":1400,"is_key_station":true,"warning_level_m":null,"critical_level_m":null,"critical_level_msl":null},"geocode":{"area_code":"2","area_name":{"th":"ภาคกลาง","en":"Central"},"amphoe_code":"01","amphoe_name":{"th":"พระนครศรีอยุธยา","en":"Phra Nakhon Si Ayutthaya District"},"tumbon_code":"03","tumbon_name":{"th":"หอรัตนไชย","en":"Ho Rattana Chai"},"province_code":"14","province_name":{"th":"พระนครศรีอยุธยา","en":"Phra Nakhon Si Ayutthaya"}},"diff_wl_bank":"0.88","diff_wl_bank_text":"ต่ำกว่าตลิ่ง (ม.)","river_gid":182485,"river_name":"แม่น้ำป่าสัก"}</x:t>
  </x:si>
  <x:si>
    <x:t xml:space="preserve">THAIWATER_WL:1109499</x:t>
  </x:si>
  <x:si>
    <x:t xml:space="preserve">ONE010</x:t>
  </x:si>
  <x:si>
    <x:t xml:space="preserve">สะพานบ้านแก่งโพธิ์</x:t>
  </x:si>
  <x:si>
    <x:t xml:space="preserve">ลำน้ำกำ</x:t>
  </x:si>
  <x:si>
    <x:t xml:space="preserve">{"id":1316368189,"waterlevel_datetime":"2026-10-01 15:10","waterlevel_m":null,"waterlevel_msl":"138.48","waterlevel_msl_previous":"138.50","flow_rate":null,"discharge":null,"storage_percent":"93.22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Basin"}},"station":{"id":1109499,"tele_station_name":{"en":"Kaeng Pho Bridge","th":"สะพานบ้านแก่งโพธิ์"},"tele_station_lat":16.929113,"tele_station_long":104.700676,"tele_station_oldcode":"ONE010","tele_station_type":"tele_waterlevel","left_bank":139.12,"right_bank":140.778,"min_bank":139.12,"ground_level":129.685,"offset":null,"sub_basin_id":70,"agency_id":9,"geocode_id":4568,"hydro_id":null,"qmax":null,"is_key_station":false,"warning_level_m":null,"critical_level_m":null,"critical_level_msl":null},"geocode":{"area_code":"4","area_name":{"th":"ภาคตะวันออกเฉียงเหนือ","en":"Northeast"},"amphoe_code":"05","amphoe_name":{"th":"ธาตุพนม","en":"That Phanom District"},"tumbon_code":"08","tumbon_name":{"th":"น้ำก่ำ","en":"Nam Kam"},"province_code":"48","province_name":{"th":"นครพนม","en":"Nakhon Phanom"}},"diff_wl_bank":"0.64","diff_wl_bank_text":"ต่ำกว่าตลิ่ง (ม.)","river_gid":124463,"river_name":"ลำน้ำกำ"}</x:t>
  </x:si>
  <x:si>
    <x:t xml:space="preserve">THAIWATER_WL:1373272</x:t>
  </x:si>
  <x:si>
    <x:t xml:space="preserve">HDA006</x:t>
  </x:si>
  <x:si>
    <x:t xml:space="preserve">สะพานอนุสรณ์ 100 ปีสิงห์บุรี (สะพานหลวงพ่อแพ 89)</x:t>
  </x:si>
  <x:si>
    <x:t xml:space="preserve">{"id":1316368046,"waterlevel_datetime":"2026-10-01 15:10","waterlevel_m":null,"waterlevel_msl":"11.86","waterlevel_msl_previous":"11.85","flow_rate":null,"discharge":"2880.18","storage_percent":"93.19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Basin"}},"station":{"id":1373272,"tele_station_name":{"en":"Singburi 100th Anniversary Memorial Bridge (Luang Pho Phae 89 Bridge)","th":"สะพานอนุสรณ์ 100 ปีสิงห์บุรี (สะพานหลวงพ่อแพ 89)"},"tele_station_lat":14.870205,"tele_station_long":100.408585,"tele_station_oldcode":"HDA006","tele_station_type":"tele_waterlevel","left_bank":12.727,"right_bank":13.91,"min_bank":12.73,"ground_level":0,"offset":null,"sub_basin_id":240,"agency_id":9,"geocode_id":844,"hydro_id":null,"qmax":null,"is_key_station":false,"warning_level_m":null,"critical_level_m":null,"critical_level_msl":null},"geocode":{"area_code":"2","area_name":{"th":"ภาคกลาง","en":"Central"},"amphoe_code":"01","amphoe_name":{"th":"เมืองสิงห์บุรี","en":"Mueang Sing Buri District"},"tumbon_code":"06","tumbon_name":{"th":"ต้นโพธิ์","en":"Ton Pho"},"province_code":"17","province_name":{"th":"สิงห์บุรี","en":"Sing Buri"}},"diff_wl_bank":"0.87","diff_wl_bank_text":"ต่ำกว่าตลิ่ง (ม.)"}</x:t>
  </x:si>
  <x:si>
    <x:t xml:space="preserve">THAIWATER_WL:2723</x:t>
  </x:si>
  <x:si>
    <x:t xml:space="preserve">C.3</x:t>
  </x:si>
  <x:si>
    <x:t xml:space="preserve">บ้านบางพุทรา</x:t>
  </x:si>
  <x:si>
    <x:t xml:space="preserve">{"id":1316341281,"waterlevel_datetime":"2026-10-01 14:00","waterlevel_m":null,"waterlevel_msl":"12.14","waterlevel_msl_previous":"12.13","flow_rate":null,"discharge":"2428.00","storage_percent":"93.16","sort_order":null,"station_type":"tele_waterlevel","situation_level":4,"agency":{"id":12,"agency_name":{"th":"กรมชลประทาน ","en":"Royal Irrigation Department","jp":""},"agency_shortname":{"th":"ชป.","en":"RID","jp":""}},"basin":{"id":10,"basin_code":10,"basin_name":{"th":"ลุ่มน้ำเจ้าพระยา","en":"Chao Phraya Basin"}},"station":{"id":2723,"tele_station_name":{"th":"บ้านบางพุทรา"},"tele_station_lat":14.89868,"tele_station_long":100.401863,"tele_station_oldcode":"C.3","tele_station_type":"tele_waterlevel","left_bank":13.405,"right_bank":13.721,"min_bank":13.2,"ground_level":-2.29,"offset":null,"sub_basin_id":240,"agency_id":12,"geocode_id":839,"hydro_id":5,"qmax":2997,"is_key_station":true,"warning_level_m":null,"critical_level_m":null,"critical_level_msl":null},"geocode":{"area_code":"2","area_name":{"th":"ภาคกลาง","en":"Central"},"amphoe_code":"01","amphoe_name":{"th":"เมืองสิงห์บุรี","en":"Mueang Sing Buri District"},"tumbon_code":"01","tumbon_name":{"th":"บางพุทรา","en":"Bang Phutsa"},"province_code":"17","province_name":{"th":"สิงห์บุรี","en":"Sing Buri"}},"diff_wl_bank":"1.06","diff_wl_bank_text":"ต่ำกว่าตลิ่ง (ม.)","river_gid":179526,"river_name":"แม่น้ำเจ้าพระยา"}</x:t>
  </x:si>
  <x:si>
    <x:t xml:space="preserve">THAIWATER_WL:901</x:t>
  </x:si>
  <x:si>
    <x:t xml:space="preserve">PAT002</x:t>
  </x:si>
  <x:si>
    <x:t xml:space="preserve">เมืองยะลา</x:t>
  </x:si>
  <x:si>
    <x:t xml:space="preserve">เขื่อนปัตตานี</x:t>
  </x:si>
  <x:si>
    <x:t xml:space="preserve">{"id":1316368228,"waterlevel_datetime":"2026-10-01 15:10","waterlevel_m":null,"waterlevel_msl":"13.02","waterlevel_msl_previous":"13.02","flow_rate":null,"discharge":null,"storage_percent":"93.15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Organization)","jp":""},"agency_shortname":{"th":"สสน.","en":"HII","jp":""}},"basin":{"id":26,"basin_code":21,"basin_name":{"th":"ลุ่มน้ำภาคใต้ฝั่งตะวันออกตอนล่าง","en":"Peninsula - Lower East Coast Basin"}},"station":{"id":901,"tele_station_name":{"en":"Patthani 2","th":"เมืองยะลา"},"tele_station_lat":6.67525,"tele_station_long":101.286354,"tele_station_oldcode":"PAT002","tele_station_type":"tele_waterlevel","left_bank":13.85,"right_bank":13.85,"min_bank":13.85,"ground_level":1.74,"offset":null,"sub_basin_id":336,"agency_id":9,"geocode_id":8278,"hydro_id":null,"qmax":null,"is_key_station":false,"warning_level_m":null,"critical_level_m":null,"critical_level_msl":null},"geocode":{"area_code":"5","area_name":{"th":"ภาคใต้","en":"South"},"amphoe_code":"01","amphoe_name":{"th":"เมืองยะลา","en":"Mueang Yala District"},"tumbon_code":"18","tumbon_name":{"th":"ตาเซะ","en":"Tase"},"province_code":"95","province_name":{"th":"ยะลา","en":"Yala"}},"diff_wl_bank":"0.83","diff_wl_bank_text":"ต่ำกว่าตลิ่ง (ม.)","river_gid":229078,"river_name":"เขื่อนปัตตานี"}</x:t>
  </x:si>
  <x:si>
    <x:t xml:space="preserve">THAIWATER_WL:136</x:t>
  </x:si>
  <x:si>
    <x:t xml:space="preserve">TRD003</x:t>
  </x:si>
  <x:si>
    <x:t xml:space="preserve">วังกระแจะ</x:t>
  </x:si>
  <x:si>
    <x:t xml:space="preserve">แม่น้ำตราด</x:t>
  </x:si>
  <x:si>
    <x:t xml:space="preserve">{"id":1316368404,"waterlevel_datetime":"2026-10-01 15:10","waterlevel_m":null,"waterlevel_msl":"0.76","waterlevel_msl_previous":"0.76","flow_rate":null,"discharge":null,"storage_percent":"93.03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Organization)","jp":""},"agency_shortname":{"th":"สสน.","en":"HII","jp":""}},"basin":{"id":18,"basin_code":17,"basin_name":{"th":"ลุ่มน้ำชายฝั่งทะเลตะวันออก","en":"East Coast Gulf Basin"}},"station":{"id":136,"tele_station_name":{"en":"Trat 3","th":"วังกระแจะ"},"tele_station_lat":12.262445,"tele_station_long":102.52681,"tele_station_oldcode":"TRD003","tele_station_type":"tele_waterlevel","left_bank":1.23,"right_bank":1.49,"min_bank":1.23,"ground_level":-5.51,"offset":null,"sub_basin_id":298,"agency_id":9,"geocode_id":1340,"hydro_id":null,"qmax":null,"is_key_station":false,"warning_level_m":null,"critical_level_m":null,"critical_level_msl":null},"geocode":{"area_code":"2","area_name":{"th":"ภาคกลาง","en":"Central"},"amphoe_code":"01","amphoe_name":{"th":"เมืองตราด","en":"Mueang Trat District"},"tumbon_code":"07","tumbon_name":{"th":"วังกระแจะ","en":"Wang Krachae"},"province_code":"23","province_name":{"th":"ตราด","en":"Trat"}},"diff_wl_bank":"0.47","diff_wl_bank_text":"ต่ำกว่าตลิ่ง (ม.)","river_gid":207116,"river_name":"แม่น้ำตราด"}</x:t>
  </x:si>
  <x:si>
    <x:t xml:space="preserve">THAIWATER_WL:2626</x:t>
  </x:si>
  <x:si>
    <x:t xml:space="preserve">C.7A</x:t>
  </x:si>
  <x:si>
    <x:t xml:space="preserve">บ้านบางแก้ว</x:t>
  </x:si>
  <x:si>
    <x:t xml:space="preserve">{"id":1316341282,"waterlevel_datetime":"2026-10-01 14:00","waterlevel_m":null,"waterlevel_msl":"8.73","waterlevel_msl_previous":"8.72","flow_rate":null,"discharge":"2312.00","storage_percent":"92.96","sort_order":null,"station_type":"tele_waterlevel","situation_level":4,"agency":{"id":12,"agency_name":{"th":"กรมชลประทาน ","en":"Royal Irrigation Department","jp":""},"agency_shortname":{"th":"ชป.","en":"RID","jp":""}},"basin":{"id":10,"basin_code":10,"basin_name":{"th":"ลุ่มน้ำเจ้าพระยา","en":"Chao Phraya Basin"}},"station":{"id":2626,"tele_station_name":{"th":"บ้านบางแก้ว"},"tele_station_lat":14.59044,"tele_station_long":100.453293,"tele_station_oldcode":"C.7A","tele_station_type":"tele_waterlevel","left_bank":10.042,"right_bank":9.978,"min_bank":9.9,"ground_level":-6.73,"offset":null,"sub_basin_id":240,"agency_id":12,"geocode_id":622,"hydro_id":5,"qmax":2862,"is_key_station":true,"warning_level_m":null,"critical_level_m":null,"critical_level_msl":null},"geocode":{"area_code":"2","area_name":{"th":"ภาคกลาง","en":"Central"},"amphoe_code":"01","amphoe_name":{"th":"เมืองอ่างทอง","en":"Mueang Ang Thong District"},"tumbon_code":"01","tumbon_name":{"th":"ตลาดหลวง","en":"Talat Luang"},"province_code":"15","province_name":{"th":"อ่างทอง","en":"Ang Thong"}},"diff_wl_bank":"1.17","diff_wl_bank_text":"ต่ำกว่าตลิ่ง (ม.)","river_gid":181921,"river_name":"แม่น้ำเจ้าพระยา"}</x:t>
  </x:si>
  <x:si>
    <x:t xml:space="preserve">THAIWATER_WL:36</x:t>
  </x:si>
  <x:si>
    <x:t xml:space="preserve">BKK013</x:t>
  </x:si>
  <x:si>
    <x:t xml:space="preserve">คลองระพีพัฒน์แยกใต้ หนองเสือ</x:t>
  </x:si>
  <x:si>
    <x:t xml:space="preserve">คลองลาดผักขวง</x:t>
  </x:si>
  <x:si>
    <x:t xml:space="preserve">{"id":1316367947,"waterlevel_datetime":"2026-10-01 15:10","waterlevel_m":null,"waterlevel_msl":"3.62","waterlevel_msl_previous":"3.62","flow_rate":null,"discharge":null,"storage_percent":"92.56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Basin"}},"station":{"id":36,"tele_station_name":{"en":"Rabibadhana Nong Suea","th":"คลองระพีพัฒน์แยกใต้ หนองเสือ"},"tele_station_lat":14.2206,"tele_station_long":100.89168,"tele_station_oldcode":"BKK013","tele_station_type":"tele_waterlevel","left_bank":3.96,"right_bank":5.025,"min_bank":3.96,"ground_level":-0.58,"offset":null,"sub_basin_id":240,"agency_id":9,"geocode_id":364,"hydro_id":null,"qmax":null,"is_key_station":false,"warning_level_m":null,"critical_level_m":null,"critical_level_msl":null},"geocode":{"area_code":"2","area_name":{"th":"ภาคกลาง","en":"Central"},"amphoe_code":"04","amphoe_name":{"th":"หนองเสือ","en":"Nong Suea District"},"tumbon_code":"07","tumbon_name":{"th":"นพรัตน์","en":"Noppharat"},"province_code":"13","province_name":{"th":"ปทุมธานี","en":"Pathum Thani"}},"diff_wl_bank":"0.34","diff_wl_bank_text":"ต่ำกว่าตลิ่ง (ม.)","river_gid":183598,"river_name":"คลองลาดผักขวง"}</x:t>
  </x:si>
  <x:si>
    <x:t xml:space="preserve">THAIWATER_WL:859</x:t>
  </x:si>
  <x:si>
    <x:t xml:space="preserve">SLA005</x:t>
  </x:si>
  <x:si>
    <x:t xml:space="preserve">ปากรอ</x:t>
  </x:si>
  <x:si>
    <x:t xml:space="preserve">คลองปากรอ</x:t>
  </x:si>
  <x:si>
    <x:t xml:space="preserve">{"id":1316368330,"waterlevel_datetime":"2026-10-01 15:10","waterlevel_m":null,"waterlevel_msl":"0.43","waterlevel_msl_previous":"0.43","flow_rate":null,"discharge":null,"storage_percent":"92.54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Basin"}},"station":{"id":859,"tele_station_name":{"en":"Songkhla Lake 5","th":"ปากรอ"},"tele_station_lat":7.261514,"tele_station_long":100.42447,"tele_station_oldcode":"SLA005","tele_station_type":"tele_waterlevel","left_bank":1.622,"right_bank":0.974,"min_bank":0.97,"ground_level":-6.322,"offset":null,"sub_basin_id":330,"agency_id":9,"geocode_id":7906,"hydro_id":null,"qmax":null,"is_key_station":false,"warning_level_m":null,"critical_level_m":null,"critical_level_msl":null},"geocode":{"area_code":"5","area_name":{"th":"ภาคใต้","en":"South"},"amphoe_code":"15","amphoe_name":{"th":"สิงหนคร","en":"Singhanakhon District"},"tumbon_code":"07","tumbon_name":{"th":"ปากรอ","en":"Pak Ro"},"province_code":"90","province_name":{"th":"สงขลา","en":"Songkhla"}},"diff_wl_bank":"0.54","diff_wl_bank_text":"ต่ำกว่าตลิ่ง (ม.)","river_gid":226181,"river_name":"คลองปากรอ"}</x:t>
  </x:si>
  <x:si>
    <x:t xml:space="preserve">THAIWATER_WL:395</x:t>
  </x:si>
  <x:si>
    <x:t xml:space="preserve">SKM001</x:t>
  </x:si>
  <x:si>
    <x:t xml:space="preserve">สะพานนาทม</x:t>
  </x:si>
  <x:si>
    <x:t xml:space="preserve">แม่น้ำสงคราม</x:t>
  </x:si>
  <x:si>
    <x:t xml:space="preserve">{"id":1316368319,"waterlevel_datetime":"2026-10-01 15:10","waterlevel_m":null,"waterlevel_msl":"142.93","waterlevel_msl_previous":"142.93","flow_rate":null,"discharge":null,"storage_percent":"92.27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Basin"}},"station":{"id":395,"tele_station_name":{"en":"Nathom Bridge","th":"สะพานนาทม"},"tele_station_lat":17.777582,"tele_station_long":104.01503,"tele_station_oldcode":"SKM001","tele_station_type":"tele_waterlevel","left_bank":143.857,"right_bank":144.219,"min_bank":143.86,"ground_level":131.865,"offset":null,"sub_basin_id":62,"agency_id":9,"geocode_id":4463,"hydro_id":null,"qmax":null,"is_key_station":false,"warning_level_m":null,"critical_level_m":null,"critical_level_msl":null},"geocode":{"area_code":"4","area_name":{"th":"ภาคตะวันออกเฉียงเหนือ","en":"Northeast"},"amphoe_code":"11","amphoe_name":{"th":"อากาศอำนวย","en":"Akat Amnuai District"},"tumbon_code":"04","tumbon_name":{"th":"โพนงาม","en":"Phon Ngam"},"province_code":"47","province_name":{"th":"สกลนคร","en":"Sakon Nakhon"}},"diff_wl_bank":"0.93","diff_wl_bank_text":"ต่ำกว่าตลิ่ง (ม.)","river_gid":111687,"river_name":"แม่น้ำสงคราม"}</x:t>
  </x:si>
  <x:si>
    <x:t xml:space="preserve">THAIWATER_WL:4</x:t>
  </x:si>
  <x:si>
    <x:t xml:space="preserve">CPY015</x:t>
  </x:si>
  <x:si>
    <x:t xml:space="preserve">สะพานกรุงเทพ</x:t>
  </x:si>
  <x:si>
    <x:t xml:space="preserve">{"id":1316368000,"waterlevel_datetime":"2026-10-01 15:10","waterlevel_m":null,"waterlevel_msl":"0.78","waterlevel_msl_previous":"0.78","flow_rate":null,"discharge":null,"storage_percent":"92.27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Basin"}},"station":{"id":4,"tele_station_name":{"en":"Chao Phraya 15","th":"สะพานกรุงเทพ"},"tele_station_lat":13.700301,"tele_station_long":100.49277,"tele_station_oldcode":"CPY015","tele_station_type":"tele_waterlevel","left_bank":2.201,"right_bank":2.161,"min_bank":2.16,"ground_level":-15.697,"offset":null,"sub_basin_id":240,"agency_id":9,"geocode_id":80,"hydro_id":null,"qmax":null,"is_key_station":false,"warning_level_m":null,"critical_level_m":null,"critical_level_msl":null},"geocode":{"area_code":"2","area_name":{"th":"กรุงเทพมหานคร","en":"Bangkok"},"amphoe_code":"15","amphoe_name":{"th":"ธนบุรี","en":"Thon Buri District"},"tumbon_code":"06","tumbon_name":{"th":"ดาวคะนอง","en":"Dao Khanong"},"province_code":"10","province_name":{"th":"กรุงเทพมหานคร","en":"Bangkok"}},"diff_wl_bank":"1.38","diff_wl_bank_text":"ต่ำกว่าตลิ่ง (ม.)","river_gid":187850,"river_name":"แม่น้ำเจ้าพระยา"}</x:t>
  </x:si>
  <x:si>
    <x:t xml:space="preserve">THAIWATER_WL:471583</x:t>
  </x:si>
  <x:si>
    <x:t xml:space="preserve">HDA004</x:t>
  </x:si>
  <x:si>
    <x:t xml:space="preserve">คลองช่องสะเดา</x:t>
  </x:si>
  <x:si>
    <x:t xml:space="preserve">{"id":1316368044,"waterlevel_datetime":"2026-10-01 15:10","waterlevel_m":null,"waterlevel_msl":"2.80","waterlevel_msl_previous":"2.80","flow_rate":null,"discharge":null,"storage_percent":"91.89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Basin"}},"station":{"id":471583,"tele_station_name":{"en":"Chong Sa Dao","th":"คลองช่องสะเดา"},"tele_station_lat":14.344762,"tele_station_long":100.670105,"tele_station_oldcode":"HDA004","tele_station_type":"tele_waterlevel","left_bank":3.33,"right_bank":3.027,"min_bank":3.03,"ground_level":0.227,"offset":null,"sub_basin_id":240,"agency_id":9,"geocode_id":595,"hydro_id":null,"qmax":null,"is_key_station":false,"warning_level_m":null,"critical_level_m":null,"critical_level_msl":null},"geocode":{"area_code":"2","area_name":{"th":"ภาคกลาง","en":"Central"},"amphoe_code":"14","amphoe_name":{"th":"อุทัย","en":"Uthai District"},"tumbon_code":"06","tumbon_name":{"th":"อุทัย","en":"Uthai"},"province_code":"14","province_name":{"th":"พระนครศรีอยุธยา","en":"Phra Nakhon Si Ayutthaya"}},"diff_wl_bank":"0.23","diff_wl_bank_text":"ต่ำกว่าตลิ่ง (ม.)","river_gid":182519,"river_name":"คลองช่องสะเดา"}</x:t>
  </x:si>
  <x:si>
    <x:t xml:space="preserve">THAIWATER_WL:2714</x:t>
  </x:si>
  <x:si>
    <x:t xml:space="preserve">M.187</x:t>
  </x:si>
  <x:si>
    <x:t xml:space="preserve">ศูนย์วิจัยและพัฒนาประมงน้ำจืดสุรินทร์</x:t>
  </x:si>
  <x:si>
    <x:t xml:space="preserve">ห้วยเสนง</x:t>
  </x:si>
  <x:si>
    <x:t xml:space="preserve">{"id":1316340547,"waterlevel_datetime":"2026-10-01 14:00","waterlevel_m":null,"waterlevel_msl":"140.09","waterlevel_msl_previous":"140.09","flow_rate":null,"discharge":"45.25","storage_percent":"91.84","sort_order":null,"station_type":"tele_waterlevel","situation_level":4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2714,"tele_station_name":{"th":"ศูนย์วิจัยและพัฒนาประมงน้ำจืดสุรินทร์"},"tele_station_lat":14.85738,"tele_station_long":103.476936,"tele_station_oldcode":"M.187","tele_station_type":"tele_waterlevel","left_bank":140.400003,"right_bank":140.400003,"min_bank":140.4,"ground_level":136.6,"offset":136.800003,"sub_basin_id":125,"agency_id":12,"geocode_id":2217,"hydro_id":4,"qmax":53,"is_key_station":false,"warning_level_m":null,"critical_level_m":null,"critical_level_msl":null},"geocode":{"area_code":"4","area_name":{"th":"ภาคตะวันออกเฉียงเหนือ","en":"Northeast"},"amphoe_code":"01","amphoe_name":{"th":"เมืองสุรินทร์","en":"Mueang Surin District"},"tumbon_code":"11","tumbon_name":{"th":"นอกเมือง","en":"Nok Mueang"},"province_code":"32","province_name":{"th":"สุรินทร์","en":"Surin"}},"diff_wl_bank":"0.31","diff_wl_bank_text":"ต่ำกว่าตลิ่ง (ม.)","river_gid":150320,"river_name":"ห้วยเสนง"}</x:t>
  </x:si>
  <x:si>
    <x:t xml:space="preserve">THAIWATER_WL:700589</x:t>
  </x:si>
  <x:si>
    <x:t xml:space="preserve">MKVKD06</x:t>
  </x:si>
  <x:si>
    <x:t xml:space="preserve">บ้านวังเย็น (K.37)</x:t>
  </x:si>
  <x:si>
    <x:t xml:space="preserve">{"id":1316366862,"waterlevel_datetime":"2026-10-01 15:00","waterlevel_m":null,"waterlevel_msl":"31.13","waterlevel_msl_previous":"31.25","flow_rate":null,"discharge":"1821.17","storage_percent":"91.66","sort_order":null,"station_type":"tele_waterlevel","situation_level":4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Basin"}},"station":{"id":700589,"tele_station_name":{"th":"บ้านวังเย็น (K.37)"},"tele_station_lat":13.9382,"tele_station_long":99.41518,"tele_station_oldcode":"MKVKD06","tele_station_type":"tele_waterlevel","left_bank":32.87,"right_bank":32.32,"min_bank":32.32,"ground_level":18.03,"offset":null,"sub_basin_id":275,"agency_id":8,"geocode_id":6681,"hydro_id":null,"qmax":null,"is_key_station":false,"warning_level_m":null,"critical_level_m":null,"critical_level_msl":31.45},"geocode":{"area_code":"2","area_name":{"th":"ภาคกลาง","en":"Central"},"amphoe_code":"11","amphoe_name":{"th":"ด่านมะขามเตี้ย","en":"Dan Makham Tia District"},"tumbon_code":"02","tumbon_name":{"th":"กลอนโด","en":"Klon Do"},"province_code":"71","province_name":{"th":"กาญจนบุรี","en":"Kanchanaburi"}},"diff_wl_bank":"1.19","diff_wl_bank_text":"ต่ำกว่าตลิ่ง (ม.)","river_gid":185920,"river_name":"แม่น้ำแควน้อย"}</x:t>
  </x:si>
  <x:si>
    <x:t xml:space="preserve">THAIWATER_WL:3085</x:t>
  </x:si>
  <x:si>
    <x:t xml:space="preserve">Kh.93</x:t>
  </x:si>
  <x:si>
    <x:t xml:space="preserve">บ้านโคกคำไหล</x:t>
  </x:si>
  <x:si>
    <x:t xml:space="preserve">{"id":1316353934,"waterlevel_datetime":"2026-10-01 14:00","waterlevel_m":null,"waterlevel_msl":"187.73","waterlevel_msl_previous":"187.74","flow_rate":null,"discharge":"11.96","storage_percent":"91.53","sort_order":null,"station_type":"tele_waterlevel","situation_level":4,"agency":{"id":12,"agency_name":{"th":"กรมชลประทาน ","en":"Royal Irrigation Department","jp":""},"agency_shortname":{"th":"ชป.","en":"RID","jp":""}},"basin":{"id":3,"basin_code":3,"basin_name":{"th":"ลุ่มน้ำโขงตะวันออกเฉียงเหนือ","en":"Northeast Khong Basin"}},"station":{"id":3085,"tele_station_name":{"th":"บ้านโคกคำไหล"},"tele_station_lat":17.557489,"tele_station_long":103.335228,"tele_station_oldcode":"Kh.93","tele_station_type":"tele_waterlevel","left_bank":346.106,"right_bank":345.794,"min_bank":191,"ground_level":152.39,"offset":185,"sub_basin_id":58,"agency_id":12,"geocode_id":4470,"hydro_id":3,"qmax":150,"is_key_station":false,"warning_level_m":null,"critical_level_m":null,"critical_level_msl":null},"geocode":{"area_code":"4","area_name":{"th":"ภาคตะวันออกเฉียงเหนือ","en":"Northeast"},"amphoe_code":"12","amphoe_name":{"th":"สว่างแดนดิน","en":"Sawang Daen Din District"},"tumbon_code":"03","tumbon_name":{"th":"คำสะอาด","en":"Kham Sa-At"},"province_code":"47","province_name":{"th":"สกลนคร","en":"Sakon Nakhon"}},"diff_wl_bank":"3.27","diff_wl_bank_text":"ต่ำกว่าตลิ่ง (ม.)","river_gid":114859,"river_name":"แม่น้ำสงคราม"}</x:t>
  </x:si>
  <x:si>
    <x:t xml:space="preserve">THAIWATER_WL:29</x:t>
  </x:si>
  <x:si>
    <x:t xml:space="preserve">CAN001</x:t>
  </x:si>
  <x:si>
    <x:t xml:space="preserve">คลองระพีพัฒน์แยกตก</x:t>
  </x:si>
  <x:si>
    <x:t xml:space="preserve">{"id":1316367959,"waterlevel_datetime":"2026-10-01 15:10","waterlevel_m":null,"waterlevel_msl":"4.12","waterlevel_msl_previous":"4.12","flow_rate":null,"discharge":null,"storage_percent":"91.46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Basin"}},"station":{"id":29,"tele_station_name":{"en":"Rabibadhana West Section","th":"คลองระพีพัฒน์แยกตก"},"tele_station_lat":14.20612,"tele_station_long":100.74476,"tele_station_oldcode":"CAN001","tele_station_type":"tele_waterlevel","left_bank":4.56,"right_bank":4.857,"min_bank":4.56,"ground_level":-0.641,"offset":null,"sub_basin_id":240,"agency_id":9,"geocode_id":349,"hydro_id":null,"qmax":null,"is_key_station":false,"warning_level_m":null,"critical_level_m":null,"critical_level_msl":null},"geocode":{"area_code":"2","area_name":{"th":"ภาคกลาง","en":"Central"},"amphoe_code":"02","amphoe_name":{"th":"คลองหลวง","en":"Khlong Luang District"},"tumbon_code":"07","tumbon_name":{"th":"คลองเจ็ด","en":"Khlong Chet"},"province_code":"13","province_name":{"th":"ปทุมธานี","en":"Pathum Thani"}},"diff_wl_bank":"0.44","diff_wl_bank_text":"ต่ำกว่าตลิ่ง (ม.)","river_gid":183877,"river_name":"คลองระพีพัฒน์แยกตก"}</x:t>
  </x:si>
  <x:si>
    <x:t xml:space="preserve">THAIWATER_WL:1079844</x:t>
  </x:si>
  <x:si>
    <x:t xml:space="preserve">M.192</x:t>
  </x:si>
  <x:si>
    <x:t xml:space="preserve">บ้านโนนค่า</x:t>
  </x:si>
  <x:si>
    <x:t xml:space="preserve">ห้วยดินดำ</x:t>
  </x:si>
  <x:si>
    <x:t xml:space="preserve">{"id":1316340566,"waterlevel_datetime":"2026-10-01 14:00","waterlevel_m":null,"waterlevel_msl":"203.56","waterlevel_msl_previous":"203.56","flow_rate":null,"discharge":"17.14","storage_percent":"91.44","sort_order":null,"station_type":"tele_waterlevel","situation_level":4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1079844,"tele_station_name":{"th":"บ้านโนนค่า"},"tele_station_lat":14.93225,"tele_station_long":101.867882,"tele_station_oldcode":"M.192","tele_station_type":"tele_waterlevel","left_bank":203.90000600000002,"right_bank":203.90000600000002,"min_bank":203.9,"ground_level":199.93,"offset":199.600006,"sub_basin_id":108,"agency_id":12,"geocode_id":1887,"hydro_id":4,"qmax":35,"is_key_station":false,"warning_level_m":null,"critical_level_m":null,"critical_level_msl":null},"geocode":{"area_code":"4","area_name":{"th":"ภาคตะวันออกเฉียงเหนือ","en":"Northeast"},"amphoe_code":"18","amphoe_name":{"th":"สูงเนิน","en":"Sung Noen District"},"tumbon_code":"04","tumbon_name":{"th":"บุ่งขี้เหล็ก","en":"Bung Khi Lek"},"province_code":"30","province_name":{"th":"นครราชสีมา","en":"Nakhon Ratchasima"}},"diff_wl_bank":"0.34","diff_wl_bank_text":"ต่ำกว่าตลิ่ง (ม.)","river_gid":149763,"river_name":"ห้วยดินดำ"}</x:t>
  </x:si>
  <x:si>
    <x:t xml:space="preserve">THAIWATER_WL:12478</x:t>
  </x:si>
  <x:si>
    <x:t xml:space="preserve">PCH003</x:t>
  </x:si>
  <x:si>
    <x:t xml:space="preserve">ท่ายาง</x:t>
  </x:si>
  <x:si>
    <x:t xml:space="preserve">แม่น้ำเพชรบุรี</x:t>
  </x:si>
  <x:si>
    <x:t xml:space="preserve">{"id":1316368232,"waterlevel_datetime":"2026-10-01 15:10","waterlevel_m":null,"waterlevel_msl":"25.71","waterlevel_msl_previous":"25.72","flow_rate":null,"discharge":null,"storage_percent":"91.14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Organization)","jp":""},"agency_shortname":{"th":"สสน.","en":"HII","jp":""}},"basin":{"id":20,"basin_code":18,"basin_name":{"th":"ลุ่มน้ำเพชรบุรี-ประจวบคีรีขันธ์","en":"Phetchaburi - Prachuap Khiri Khan Basin"}},"station":{"id":12478,"tele_station_name":{"en":"Tha Yang","th":"ท่ายาง"},"tele_station_lat":12.81345,"tele_station_long":99.79404,"tele_station_oldcode":"PCH003","tele_station_type":"tele_waterlevel","left_bank":26.09,"right_bank":26.6,"min_bank":26.09,"ground_level":21.835,"offset":null,"sub_basin_id":300,"agency_id":9,"geocode_id":7072,"hydro_id":null,"qmax":null,"is_key_station":false,"warning_level_m":null,"critical_level_m":null,"critical_level_msl":null},"geocode":{"area_code":"2","area_name":{"th":"ภาคกลาง","en":"Central"},"amphoe_code":"05","amphoe_name":{"th":"ท่ายาง","en":"Tha Yang District"},"tumbon_code":"11","tumbon_name":{"th":"กลัดหลวง","en":"Klat Luang"},"province_code":"76","province_name":{"th":"เพชรบุรี","en":"Phetchaburi"}},"diff_wl_bank":"0.38","diff_wl_bank_text":"ต่ำกว่าตลิ่ง (ม.)","river_gid":210200,"river_name":"แม่น้ำเพชรบุรี"}</x:t>
  </x:si>
  <x:si>
    <x:t xml:space="preserve">THAIWATER_WL:1035518</x:t>
  </x:si>
  <x:si>
    <x:t xml:space="preserve">M.185A</x:t>
  </x:si>
  <x:si>
    <x:t xml:space="preserve">บ้านหินโคนเก่า</x:t>
  </x:si>
  <x:si>
    <x:t xml:space="preserve">ลำปลายมาศ</x:t>
  </x:si>
  <x:si>
    <x:t xml:space="preserve">{"id":1316340546,"waterlevel_datetime":"2026-10-01 14:00","waterlevel_m":null,"waterlevel_msl":"158.03","waterlevel_msl_previous":"158.04","flow_rate":null,"discharge":"142.95","storage_percent":"90.83","sort_order":null,"station_type":"tele_waterlevel","situation_level":4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1035518,"tele_station_name":{"th":"บ้านหินโคนเก่า"},"tele_station_lat":15.02688,"tele_station_long":102.805687,"tele_station_oldcode":"M.185A","tele_station_type":"tele_waterlevel","left_bank":156.59999399999998,"right_bank":156.59999399999998,"min_bank":158.85,"ground_level":149.91,"offset":150.399994,"sub_basin_id":115,"agency_id":12,"geocode_id":2116,"hydro_id":4,"qmax":467.5,"is_key_station":false,"warning_level_m":null,"critical_level_m":null,"critical_level_msl":null},"geocode":{"area_code":"4","area_name":{"th":"ภาคตะวันออกเฉียงเหนือ","en":"Northeast"},"amphoe_code":"10","amphoe_name":{"th":"ลำปลายมาศ","en":"Lam Plai Mat District"},"tumbon_code":"13","tumbon_name":{"th":"หินโคน","en":"Hin Khon"},"province_code":"31","province_name":{"th":"บุรีรัมย์","en":"Buri Ram"}},"diff_wl_bank":"0.82","diff_wl_bank_text":"ต่ำกว่าตลิ่ง (ม.)","river_gid":148781,"river_name":"ลำปลายมาศ"}</x:t>
  </x:si>
  <x:si>
    <x:t xml:space="preserve">THAIWATER_WL:1082427</x:t>
  </x:si>
  <x:si>
    <x:t xml:space="preserve">CHK001</x:t>
  </x:si>
  <x:si>
    <x:t xml:space="preserve">บ่อดินขาว</x:t>
  </x:si>
  <x:si>
    <x:t xml:space="preserve">คลองอนุศาสนนันท์</x:t>
  </x:si>
  <x:si>
    <x:t xml:space="preserve">{"id":1316367970,"waterlevel_datetime":"2026-10-01 15:10","waterlevel_m":null,"waterlevel_msl":"15.25","waterlevel_msl_previous":"15.25","flow_rate":null,"discharge":null,"storage_percent":"90.71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Basin"}},"station":{"id":1082427,"tele_station_name":{"en":"Bo Din Khao","th":"บ่อดินขาว"},"tele_station_lat":15.169044,"tele_station_long":100.41471,"tele_station_oldcode":"CHK001","tele_station_type":"tele_waterlevel","left_bank":16.8115,"right_bank":16.8115,"min_bank":16.81,"ground_level":0,"offset":null,"sub_basin_id":240,"agency_id":9,"geocode_id":5722,"hydro_id":null,"qmax":null,"is_key_station":false,"warning_level_m":null,"critical_level_m":null,"critical_level_msl":null},"geocode":{"area_code":"3","area_name":{"th":"ภาคเหนือ","en":"North"},"amphoe_code":"07","amphoe_name":{"th":"ตาคลี","en":"Takhli District"},"tumbon_code":"02","tumbon_name":{"th":"ช่องแค","en":"Chong Khae"},"province_code":"60","province_name":{"th":"นครสวรรค์","en":"Nakhon Sawan"}},"diff_wl_bank":"1.56","diff_wl_bank_text":"ต่ำกว่าตลิ่ง (ม.)","river_gid":175767,"river_name":"คลองอนุศาสนนันท์"}</x:t>
  </x:si>
  <x:si>
    <x:t xml:space="preserve">THAIWATER_WL:2752</x:t>
  </x:si>
  <x:si>
    <x:t xml:space="preserve">M.7</x:t>
  </x:si>
  <x:si>
    <x:t xml:space="preserve">สะพานเสรีประชาธิปไตย</x:t>
  </x:si>
  <x:si>
    <x:t xml:space="preserve">แม่น้ำมูล</x:t>
  </x:si>
  <x:si>
    <x:t xml:space="preserve">{"id":1316340551,"waterlevel_datetime":"2026-10-01 14:00","waterlevel_m":null,"waterlevel_msl":"110.87","waterlevel_msl_previous":"110.88","flow_rate":null,"discharge":"1689.10","storage_percent":"90.24","sort_order":null,"station_type":"tele_waterlevel","situation_level":4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2752,"tele_station_name":{"th":"สะพานเสรีประชาธิปไตย"},"tele_station_lat":15.22263,"tele_station_long":104.859131,"tele_station_oldcode":"M.7","tele_station_type":"tele_waterlevel","left_bank":112,"right_bank":112,"min_bank":112,"ground_level":100.42,"offset":105,"sub_basin_id":147,"agency_id":12,"geocode_id":2760,"hydro_id":4,"qmax":2300,"is_key_station":true,"warning_level_m":null,"critical_level_m":7,"critical_level_msl":112},"geocode":{"area_code":"4","area_name":{"th":"ภาคตะวันออกเฉียงเหนือ","en":"Northeast"},"amphoe_code":"15","amphoe_name":{"th":"วารินชำราบ","en":"Warin Chamrap District"},"tumbon_code":"01","tumbon_name":{"th":"วารินชำราบ","en":"Warin Chamrap"},"province_code":"34","province_name":{"th":"อุบลราชธานี","en":"Ubon Ratchathani"}},"diff_wl_bank":"1.13","diff_wl_bank_text":"ต่ำกว่าตลิ่ง (ม.)","river_gid":146325,"river_name":"แม่น้ำมูล"}</x:t>
  </x:si>
  <x:si>
    <x:t xml:space="preserve">THAIWATER_WL:592</x:t>
  </x:si>
  <x:si>
    <x:t xml:space="preserve">SKG004</x:t>
  </x:si>
  <x:si>
    <x:t xml:space="preserve">สะพานแม่เล่ย์</x:t>
  </x:si>
  <x:si>
    <x:t xml:space="preserve">คลองห้วยทราย</x:t>
  </x:si>
  <x:si>
    <x:t xml:space="preserve">{"id":1316368316,"waterlevel_datetime":"2026-10-01 15:10","waterlevel_m":null,"waterlevel_msl":"134.13","waterlevel_msl_previous":"134.13","flow_rate":null,"discharge":null,"storage_percent":"90.02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Organization)","jp":""},"agency_shortname":{"th":"สสน.","en":"HII","jp":""}},"basin":{"id":12,"basin_code":11,"basin_name":{"th":"ลุ่มน้ำสะแกกรัง","en":"Sakae Krang Basin"}},"station":{"id":592,"tele_station_name":{"en":"Sakae Krang 4","th":"สะพานแม่เล่ย์"},"tele_station_lat":15.84175,"tele_station_long":99.41808,"tele_station_oldcode":"SKG004","tele_station_type":"tele_waterlevel","left_bank":137.54,"right_bank":136.59,"min_bank":136.59,"ground_level":111.91,"offset":null,"sub_basin_id":241,"agency_id":9,"geocode_id":5786,"hydro_id":null,"qmax":null,"is_key_station":false,"warning_level_m":null,"critical_level_m":null,"critical_level_msl":null},"geocode":{"area_code":"3","area_name":{"th":"ภาคเหนือ","en":"North"},"amphoe_code":"13","amphoe_name":{"th":"แม่วงก์","en":"Mae Wong District"},"tumbon_code":"03","tumbon_name":{"th":"แม่เล่ย์","en":"Mae Le"},"province_code":"60","province_name":{"th":"นครสวรรค์","en":"Nakhon Sawan"}},"diff_wl_bank":"2.46","diff_wl_bank_text":"ต่ำกว่าตลิ่ง (ม.)","river_gid":167503,"river_name":"คลองห้วยทราย"}</x:t>
  </x:si>
  <x:si>
    <x:t xml:space="preserve">THAIWATER_WL:1106457</x:t>
  </x:si>
  <x:si>
    <x:t xml:space="preserve">TCP011</x:t>
  </x:si>
  <x:si>
    <x:t xml:space="preserve">สถานีสูบน้ำคลองระบายชัยนาท-ป่าสัก 2 (ทุ่งเชียงราก)</x:t>
  </x:si>
  <x:si>
    <x:t xml:space="preserve">คลองบางโฉมศรี</x:t>
  </x:si>
  <x:si>
    <x:t xml:space="preserve">{"id":1316368377,"waterlevel_datetime":"2026-10-01 15:10","waterlevel_m":null,"waterlevel_msl":"11.02","waterlevel_msl_previous":"11.02","flow_rate":null,"discharge":null,"storage_percent":"89.59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Basin"}},"station":{"id":1106457,"tele_station_name":{"en":"Khlong Rabai Chai Nat Pa Sak Pumping Station","th":"สถานีสูบน้ำคลองระบายชัยนาท-ป่าสัก 2 (ทุ่งเชียงราก)"},"tele_station_lat":15.05502,"tele_station_long":100.32081,"tele_station_oldcode":"TCP011","tele_station_type":"tele_waterlevel","left_bank":12.3,"right_bank":12.3,"min_bank":12.3,"ground_level":0,"offset":null,"sub_basin_id":240,"agency_id":9,"geocode_id":881,"hydro_id":null,"qmax":null,"is_key_station":false,"warning_level_m":null,"critical_level_m":null,"critical_level_msl":null},"geocode":{"area_code":"2","area_name":{"th":"ภาคกลาง","en":"Central"},"amphoe_code":"06","amphoe_name":{"th":"อินทร์บุรี","en":"In Buri District"},"tumbon_code":"05","tumbon_name":{"th":"ชีน้ำร้าย","en":"Chi Nam Rai"},"province_code":"17","province_name":{"th":"สิงห์บุรี","en":"Sing Buri"}},"diff_wl_bank":"1.28","diff_wl_bank_text":"ต่ำกว่าตลิ่ง (ม.)","river_gid":176428,"river_name":"คลองบางโฉมศรี"}</x:t>
  </x:si>
  <x:si>
    <x:t xml:space="preserve">THAIWATER_WL:1130137</x:t>
  </x:si>
  <x:si>
    <x:t xml:space="preserve">MOU510</x:t>
  </x:si>
  <x:si>
    <x:t xml:space="preserve">น้ำตกโตนแพรทอง</x:t>
  </x:si>
  <x:si>
    <x:t xml:space="preserve">คลองลำสิน</x:t>
  </x:si>
  <x:si>
    <x:t xml:space="preserve">{"id":1316367807,"waterlevel_datetime":"2026-10-01 15:10","waterlevel_m":null,"waterlevel_msl":"399.08","waterlevel_msl_previous":"399.08","flow_rate":null,"discharge":null,"storage_percent":"89.55","sort_order":null,"station_type":"tele_waterlevel","situation_level":4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Foundation","jp":""},"agency_shortname":{"th":"พพภ","en":"FOP","jp":""}},"basin":{"id":24,"basin_code":20,"basin_name":{"th":"ลุ่มน้ำทะเลสาบสงขลา","en":"Thale Sap Songkhla Basin"}},"station":{"id":1130137,"tele_station_name":{"en":"Ton Phrae Thong Waterfall","th":"น้ำตกโตนแพรทอง"},"tele_station_lat":7.48407,"tele_station_long":99.89179,"tele_station_oldcode":"MOU510","tele_station_type":"tele_waterlevel","left_bank":399.5,"right_bank":399.5,"min_bank":399.5,"ground_level":395.5,"offset":null,"sub_basin_id":329,"sponsor_by":"สำนักงานคณะกรรมการกิจการกระจายเสียง กิจการโทรทัศน์และกิจการโทรคมนาคมแห่งชาติ","agency_id":91,"geocode_id":8075,"hydro_id":null,"qmax":null,"is_key_station":false,"warning_level_m":null,"critical_level_m":null,"critical_level_msl":null},"geocode":{"area_code":"5","area_name":{"th":"ภาคใต้","en":"South"},"amphoe_code":"02","amphoe_name":{"th":"กงหรา","en":"Kong Ra District"},"tumbon_code":"01","tumbon_name":{"th":"กงหรา","en":"Kong Ra"},"province_code":"93","province_name":{"th":"พัทลุง","en":"Phatthalung"}},"diff_wl_bank":"0.42","diff_wl_bank_text":"ต่ำกว่าตลิ่ง (ม.)","river_gid":224971,"river_name":"คลองลำสิน"}</x:t>
  </x:si>
  <x:si>
    <x:t xml:space="preserve">THAIWATER_WL:71</x:t>
  </x:si>
  <x:si>
    <x:t xml:space="preserve">CPY006</x:t>
  </x:si>
  <x:si>
    <x:t xml:space="preserve">อินทร์บุรี</x:t>
  </x:si>
  <x:si>
    <x:t xml:space="preserve">{"id":1316367992,"waterlevel_datetime":"2026-10-01 15:10","waterlevel_m":null,"waterlevel_msl":"13.66","waterlevel_msl_previous":"13.66","flow_rate":null,"discharge":null,"storage_percent":"89.49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Basin"}},"station":{"id":71,"tele_station_name":{"en":"Chao Phraya 6","th":"อินทร์บุรี"},"tele_station_lat":15.00602,"tele_station_long":100.33088,"tele_station_oldcode":"CPY006","tele_station_type":"tele_waterlevel","left_bank":15.1,"right_bank":15.1,"min_bank":15.1,"ground_level":1.423,"offset":null,"sub_basin_id":240,"agency_id":9,"geocode_id":877,"hydro_id":null,"qmax":null,"is_key_station":false,"warning_level_m":null,"critical_level_m":null,"critical_level_msl":null},"geocode":{"area_code":"2","area_name":{"th":"ภาคกลาง","en":"Central"},"amphoe_code":"06","amphoe_name":{"th":"อินทร์บุรี","en":"In Buri District"},"tumbon_code":"01","tumbon_name":{"th":"อินทร์บุรี","en":"In Buri"},"province_code":"17","province_name":{"th":"สิงห์บุรี","en":"Sing Buri"}},"diff_wl_bank":"1.44","diff_wl_bank_text":"ต่ำกว่าตลิ่ง (ม.)","river_gid":177075,"river_name":"แม่น้ำเจ้าพระยา"}</x:t>
  </x:si>
  <x:si>
    <x:t xml:space="preserve">THAIWATER_WL:700585</x:t>
  </x:si>
  <x:si>
    <x:t xml:space="preserve">MKVKD02</x:t>
  </x:si>
  <x:si>
    <x:t xml:space="preserve">บ้านหินดาด</x:t>
  </x:si>
  <x:si>
    <x:t xml:space="preserve">{"id":1316366858,"waterlevel_datetime":"2026-10-01 15:00","waterlevel_m":null,"waterlevel_msl":"70.52","waterlevel_msl_previous":"70.54","flow_rate":null,"discharge":"950.51","storage_percent":"89.44","sort_order":null,"station_type":"tele_waterlevel","situation_level":4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700585,"tele_station_name":{"th":"บ้านหินดาด"},"tele_station_lat":14.59539,"tele_station_long":98.72946,"tele_station_oldcode":"MKVKD02","tele_station_type":"tele_waterlevel","left_bank":71.29,"right_bank":73.29,"min_bank":71.29,"ground_level":64.01,"offset":null,"sub_basin_id":271,"agency_id":8,"geocode_id":6653,"hydro_id":null,"qmax":null,"is_key_station":false,"warning_level_m":null,"critical_level_m":null,"critical_level_msl":0},"geocode":{"area_code":"2","area_name":{"th":"ภาคกลาง","en":"Central"},"amphoe_code":"07","amphoe_name":{"th":"ทองผาภูมิ","en":"Thong Pha Phum District"},"tumbon_code":"03","tumbon_name":{"th":"หินดาด","en":"Hin Dat"},"province_code":"71","province_name":{"th":"กาญจนบุรี","en":"Kanchanaburi"}},"diff_wl_bank":"0.77","diff_wl_bank_text":"ต่ำกว่าตลิ่ง (ม.)","river_gid":180695,"river_name":"แม่น้ำแควน้อย"}</x:t>
  </x:si>
  <x:si>
    <x:t xml:space="preserve">THAIWATER_WL:1109526</x:t>
  </x:si>
  <x:si>
    <x:t xml:space="preserve">ONE037</x:t>
  </x:si>
  <x:si>
    <x:t xml:space="preserve">สะพานข้ามคลองอู่ตะเภา</x:t>
  </x:si>
  <x:si>
    <x:t xml:space="preserve">คลองอู่ตะเภา</x:t>
  </x:si>
  <x:si>
    <x:t xml:space="preserve">{"id":1316368211,"waterlevel_datetime":"2026-10-01 15:10","waterlevel_m":null,"waterlevel_msl":"0.27","waterlevel_msl_previous":"0.26","flow_rate":null,"discharge":null,"storage_percent":"89.42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Basin"}},"station":{"id":1109526,"tele_station_name":{"en":"Khlong U Taphao Bridge","th":"สะพานข้ามคลองอู่ตะเภา"},"tele_station_lat":7.134997,"tele_station_long":100.45321,"tele_station_oldcode":"ONE037","tele_station_type":"tele_waterlevel","left_bank":0.836,"right_bank":1.127,"min_bank":0.84,"ground_level":-4.515,"offset":null,"sub_basin_id":330,"agency_id":9,"geocode_id":7873,"hydro_id":null,"qmax":null,"is_key_station":false,"warning_level_m":null,"critical_level_m":null,"critical_level_msl":null},"geocode":{"area_code":"5","area_name":{"th":"ภาคใต้","en":"South"},"amphoe_code":"11","amphoe_name":{"th":"หาดใหญ่","en":"Hat Yai District"},"tumbon_code":"03","tumbon_name":{"th":"คูเต่า","en":"Khu Tao"},"province_code":"90","province_name":{"th":"สงขลา","en":"Songkhla"}},"diff_wl_bank":"0.57","diff_wl_bank_text":"ต่ำกว่าตลิ่ง (ม.)","river_gid":227049,"river_name":"คลองอู่ตะเภา"}</x:t>
  </x:si>
  <x:si>
    <x:t xml:space="preserve">THAIWATER_WL:1085210</x:t>
  </x:si>
  <x:si>
    <x:t xml:space="preserve">SKN002</x:t>
  </x:si>
  <x:si>
    <x:t xml:space="preserve">สะพานตาบัว บ้านยาเด๊ะ</x:t>
  </x:si>
  <x:si>
    <x:t xml:space="preserve">คลองอัยดาลอ</x:t>
  </x:si>
  <x:si>
    <x:t xml:space="preserve">{"id":1316363294,"waterlevel_datetime":"2026-10-01 15:00","waterlevel_m":null,"waterlevel_msl":"112.44","waterlevel_msl_previous":"112.44","flow_rate":null,"discharge":null,"storage_percent":"89.38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Organization)","jp":""},"agency_shortname":{"th":"สสน.","en":"HII","jp":""}},"basin":{"id":26,"basin_code":21,"basin_name":{"th":"ลุ่มน้ำภาคใต้ฝั่งตะวันออกตอนล่าง","en":"Peninsula - Lower East Coast Basin"}},"station":{"id":1085210,"tele_station_name":{"en":"Bua Ban Ya De Bridge","th":"สะพานตาบัว บ้านยาเด๊ะ"},"tele_station_lat":5.827553,"tele_station_long":101.75235,"tele_station_oldcode":"SKN002","tele_station_type":"tele_waterlevel","left_bank":114.692,"right_bank":114.096,"min_bank":114.1,"ground_level":98.498,"offset":null,"sub_basin_id":338,"agency_id":9,"geocode_id":8395,"hydro_id":null,"qmax":null,"is_key_station":false,"warning_level_m":null,"critical_level_m":null,"critical_level_msl":null},"geocode":{"area_code":"5","area_name":{"th":"ภาคใต้","en":"South"},"amphoe_code":"09","amphoe_name":{"th":"สุคิริน","en":"Sukhirin District"},"tumbon_code":"01","tumbon_name":{"th":"มาโมง","en":"Ma Mong"},"province_code":"96","province_name":{"th":"นราธิวาส","en":"Narathiwat"}},"diff_wl_bank":"1.66","diff_wl_bank_text":"ต่ำกว่าตลิ่ง (ม.)","river_gid":232560,"river_name":"คลองอัยดาลอ"}</x:t>
  </x:si>
  <x:si>
    <x:t xml:space="preserve">THAIWATER_WL:584</x:t>
  </x:si>
  <x:si>
    <x:t xml:space="preserve">CPY002</x:t>
  </x:si>
  <x:si>
    <x:t xml:space="preserve">พยุหะคีรี</x:t>
  </x:si>
  <x:si>
    <x:t xml:space="preserve">{"id":1316367988,"waterlevel_datetime":"2026-10-01 15:10","waterlevel_m":null,"waterlevel_msl":"20.14","waterlevel_msl_previous":"20.14","flow_rate":null,"discharge":null,"storage_percent":"89.36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Basin"}},"station":{"id":584,"tele_station_name":{"en":"Chao Phraya 2","th":"พยุหะคีรี"},"tele_station_lat":15.42655,"tele_station_long":100.13471,"tele_station_oldcode":"CPY002","tele_station_type":"tele_waterlevel","left_bank":21.33,"right_bank":21.624,"min_bank":21.33,"ground_level":10.176,"offset":null,"sub_basin_id":240,"agency_id":9,"geocode_id":5759,"hydro_id":null,"qmax":null,"is_key_station":false,"warning_level_m":null,"critical_level_m":null,"critical_level_msl":null},"geocode":{"area_code":"3","area_name":{"th":"ภาคเหนือ","en":"North"},"amphoe_code":"10","amphoe_name":{"th":"พยุหะคีรี","en":"Phayuha Khiri District"},"tumbon_code":"08","tumbon_name":{"th":"ท่าน้ำอ้อย","en":"Tha Nam Oi"},"province_code":"60","province_name":{"th":"นครสวรรค์","en":"Nakhon Sawan"}},"diff_wl_bank":"1.19","diff_wl_bank_text":"ต่ำกว่าตลิ่ง (ม.)","river_gid":172744,"river_name":"แม่น้ำเจ้าพระยา"}</x:t>
  </x:si>
  <x:si>
    <x:t xml:space="preserve">THAIWATER_WL:577</x:t>
  </x:si>
  <x:si>
    <x:t xml:space="preserve">PIN005</x:t>
  </x:si>
  <x:si>
    <x:t xml:space="preserve">เก้าเลี้ยว</x:t>
  </x:si>
  <x:si>
    <x:t xml:space="preserve">แม่น้ำปิง</x:t>
  </x:si>
  <x:si>
    <x:t xml:space="preserve">{"id":1316368237,"waterlevel_datetime":"2026-10-01 15:10","waterlevel_m":null,"waterlevel_msl":"30.97","waterlevel_msl_previous":"30.98","flow_rate":null,"discharge":null,"storage_percent":"89.27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Basin"}},"station":{"id":577,"tele_station_name":{"en":"Ping 5","th":"เก้าเลี้ยว"},"tele_station_lat":15.85051,"tele_station_long":100.05206,"tele_station_oldcode":"PIN005","tele_station_type":"tele_waterlevel","left_bank":31.533,"right_bank":32.821,"min_bank":31.53,"ground_level":26.293,"offset":null,"sub_basin_id":185,"agency_id":9,"geocode_id":5719,"hydro_id":null,"qmax":null,"is_key_station":false,"warning_level_m":null,"critical_level_m":null,"critical_level_msl":null},"geocode":{"area_code":"3","area_name":{"th":"ภาคเหนือ","en":"North"},"amphoe_code":"06","amphoe_name":{"th":"เก้าเลี้ยว","en":"Kao Liao District"},"tumbon_code":"05","tumbon_name":{"th":"หัวดง","en":"Hua Dong"},"province_code":"60","province_name":{"th":"นครสวรรค์","en":"Nakhon Sawan"}},"diff_wl_bank":"0.56","diff_wl_bank_text":"ต่ำกว่าตลิ่ง (ม.)","river_gid":102139,"river_name":"แม่น้ำปิง"}</x:t>
  </x:si>
  <x:si>
    <x:t xml:space="preserve">THAIWATER_WL:2770</x:t>
  </x:si>
  <x:si>
    <x:t xml:space="preserve">Ct.2A</x:t>
  </x:si>
  <x:si>
    <x:t xml:space="preserve">บ้านหาดทนง</x:t>
  </x:si>
  <x:si>
    <x:t xml:space="preserve">แม่น้ำสะแกกรัง</x:t>
  </x:si>
  <x:si>
    <x:t xml:space="preserve">{"id":1316341289,"waterlevel_datetime":"2026-10-01 14:00","waterlevel_m":null,"waterlevel_msl":"20.22","waterlevel_msl_previous":"20.22","flow_rate":null,"discharge":null,"storage_percent":"88.84","sort_order":null,"station_type":"tele_waterlevel","situation_level":4,"agency":{"id":12,"agency_name":{"th":"กรมชลประทาน ","en":"Royal Irrigation Department","jp":""},"agency_shortname":{"th":"ชป.","en":"RID","jp":""}},"basin":{"id":12,"basin_code":11,"basin_name":{"th":"ลุ่มน้ำสะแกกรัง","en":"Sakae Krang Basin"}},"station":{"id":2770,"tele_station_name":{"th":"บ้านหาดทนง"},"tele_station_lat":15.41085,"tele_station_long":100.057068,"tele_station_oldcode":"Ct.2A","tele_station_type":"tele_waterlevel","left_bank":21.359,"right_bank":21.402,"min_bank":21.34,"ground_level":11.3,"offset":null,"sub_basin_id":246,"agency_id":12,"geocode_id":5798,"hydro_id":5,"qmax":616,"is_key_station":false,"warning_level_m":null,"critical_level_m":null,"critical_level_msl":null},"geocode":{"area_code":"3","area_name":{"th":"ภาคเหนือ","en":"North"},"amphoe_code":"01","amphoe_name":{"th":"เมืองอุทัยธานี","en":"Mueang Uthai Thani District"},"tumbon_code":"03","tumbon_name":{"th":"สะแกกรัง","en":"Sakae Krang"},"province_code":"61","province_name":{"th":"อุทัยธานี","en":"Uthai Thani"}},"diff_wl_bank":"1.12","diff_wl_bank_text":"ต่ำกว่าตลิ่ง (ม.)","river_gid":172853,"river_name":"แม่น้ำสะแกกรัง"}</x:t>
  </x:si>
  <x:si>
    <x:t xml:space="preserve">THAIWATER_WL:2821</x:t>
  </x:si>
  <x:si>
    <x:t xml:space="preserve">N.67</x:t>
  </x:si>
  <x:si>
    <x:t xml:space="preserve">วัดเกยไชยเหนือ</x:t>
  </x:si>
  <x:si>
    <x:t xml:space="preserve">แม่น้ำน่าน</x:t>
  </x:si>
  <x:si>
    <x:t xml:space="preserve">{"id":1316341294,"waterlevel_datetime":"2026-10-01 14:00","waterlevel_m":null,"waterlevel_msl":"26.43","waterlevel_msl_previous":"26.43","flow_rate":null,"discharge":"1100.00","storage_percent":"88.64","sort_order":null,"station_type":"tele_waterlevel","situation_level":4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2821,"tele_station_name":{"th":"วัดเกยไชยเหนือ"},"tele_station_lat":15.86918,"tele_station_long":100.264732,"tele_station_oldcode":"N.67","tele_station_type":"tele_waterlevel","left_bank":28.92,"right_bank":28.214,"min_bank":28.21,"ground_level":12.54,"offset":null,"sub_basin_id":238,"agency_id":12,"geocode_id":5681,"hydro_id":5,"qmax":1435,"is_key_station":true,"warning_level_m":23.3,"critical_level_m":8.21,"critical_level_msl":28.3},"geocode":{"area_code":"3","area_name":{"th":"ภาคเหนือ","en":"North"},"amphoe_code":"03","amphoe_name":{"th":"ชุมแสง","en":"Chum Saeng District"},"tumbon_code":"04","tumbon_name":{"th":"เกยไชย","en":"Koei Chai"},"province_code":"60","province_name":{"th":"นครสวรรค์","en":"Nakhon Sawan"}},"diff_wl_bank":"1.78","diff_wl_bank_text":"ต่ำกว่าตลิ่ง (ม.)","river_gid":102114,"river_name":"แม่น้ำน่าน"}</x:t>
  </x:si>
  <x:si>
    <x:t xml:space="preserve">THAIWATER_WL:755</x:t>
  </x:si>
  <x:si>
    <x:t xml:space="preserve">MKG006</x:t>
  </x:si>
  <x:si>
    <x:t xml:space="preserve">พระรามสอง</x:t>
  </x:si>
  <x:si>
    <x:t xml:space="preserve">{"id":1316368086,"waterlevel_datetime":"2026-10-01 15:10","waterlevel_m":null,"waterlevel_msl":"0.40","waterlevel_msl_previous":"0.39","flow_rate":null,"discharge":null,"storage_percent":"88.55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Organization)","jp":""},"agency_shortname":{"th":"สสน.","en":"HII","jp":""}},"basin":{"id":15,"basin_code":14,"basin_name":{"th":"ลุ่มน้ำแม่กลอง","en":"Mae Klong Basin"}},"station":{"id":755,"tele_station_name":{"en":"Phra Ram 2","th":"พระรามสอง"},"tele_station_lat":13.38362,"tele_station_long":99.9836,"tele_station_oldcode":"MKG006","tele_station_type":"tele_waterlevel","left_bank":2.017,"right_bank":1.989,"min_bank":1.99,"ground_level":-11.86,"offset":null,"sub_basin_id":276,"agency_id":9,"geocode_id":6974,"hydro_id":null,"qmax":null,"is_key_station":false,"warning_level_m":null,"critical_level_m":null,"critical_level_msl":null},"geocode":{"area_code":"2","area_name":{"th":"ภาคกลาง","en":"Central"},"amphoe_code":"01","amphoe_name":{"th":"เมืองสมุทรสงคราม","en":"Mueang Samut Songkhram District"},"tumbon_code":"01","tumbon_name":{"th":"แม่กลอง","en":"Mae Klong"},"province_code":"75","province_name":{"th":"สมุทรสงคราม","en":"Samut Songkhram"}},"diff_wl_bank":"1.59","diff_wl_bank_text":"ต่ำกว่าตลิ่ง (ม.)","river_gid":208010,"river_name":"แม่น้ำแม่กลอง"}</x:t>
  </x:si>
  <x:si>
    <x:t xml:space="preserve">THAIWATER_WL:825</x:t>
  </x:si>
  <x:si>
    <x:t xml:space="preserve">VLGE16</x:t>
  </x:si>
  <x:si>
    <x:t xml:space="preserve">ชุมชนลีเล็ด</x:t>
  </x:si>
  <x:si>
    <x:t xml:space="preserve">คลองลีเล็ด</x:t>
  </x:si>
  <x:si>
    <x:t xml:space="preserve">{"id":1316368413,"waterlevel_datetime":"2026-10-01 15:10","waterlevel_m":null,"waterlevel_msl":"1.43","waterlevel_msl_previous":"1.42","flow_rate":null,"discharge":null,"storage_percent":"88.45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Basin"}},"station":{"id":825,"tele_station_name":{"en":"Lilet Communuty","th":"ชุมชนลีเล็ด"},"tele_station_lat":9.191764,"tele_station_long":99.253975,"tele_station_oldcode":"VLGE16","tele_station_type":"tele_waterlevel","left_bank":1.988,"right_bank":2.367,"min_bank":1.99,"ground_level":-2.843,"offset":null,"sub_basin_id":324,"agency_id":9,"geocode_id":7635,"hydro_id":null,"qmax":null,"is_key_station":false,"warning_level_m":null,"critical_level_m":null,"critical_level_msl":null},"geocode":{"area_code":"5","area_name":{"th":"ภาคใต้","en":"South"},"amphoe_code":"17","amphoe_name":{"th":"พุนพิน","en":"Phunphin District"},"tumbon_code":"03","tumbon_name":{"th":"ลีเล็ด","en":"Li Let"},"province_code":"84","province_name":{"th":"สุราษฎร์ธานี","en":"Surat Thani"}},"diff_wl_bank":"0.56","diff_wl_bank_text":"ต่ำกว่าตลิ่ง (ม.)","river_gid":215773,"river_name":"คลองลีเล็ด"}</x:t>
  </x:si>
  <x:si>
    <x:t xml:space="preserve">THAIWATER_WL:54</x:t>
  </x:si>
  <x:si>
    <x:t xml:space="preserve">CPY016</x:t>
  </x:si>
  <x:si>
    <x:t xml:space="preserve">คลองพระยาบรรลือ</x:t>
  </x:si>
  <x:si>
    <x:t xml:space="preserve">{"id":1316368001,"waterlevel_datetime":"2026-10-01 15:10","waterlevel_m":null,"waterlevel_msl":"2.93","waterlevel_msl_previous":"2.93","flow_rate":null,"discharge":null,"storage_percent":"88.40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Basin"}},"station":{"id":54,"tele_station_name":{"en":"Chao Phraya 16","th":"คลองพระยาบรรลือ"},"tele_station_lat":14.16476,"tele_station_long":100.30725,"tele_station_oldcode":"CPY016","tele_station_type":"tele_waterlevel","left_bank":3.511,"right_bank":3.609,"min_bank":3.51,"ground_level":-1.487,"offset":null,"sub_basin_id":240,"agency_id":9,"geocode_id":548,"hydro_id":null,"qmax":null,"is_key_station":false,"warning_level_m":null,"critical_level_m":null,"critical_level_msl":null},"geocode":{"area_code":"2","area_name":{"th":"ภาคกลาง","en":"Central"},"amphoe_code":"10","amphoe_name":{"th":"ลาดบัวหลวง","en":"Lat Bua Luang District"},"tumbon_code":"03","tumbon_name":{"th":"สามเมือง","en":"Sam Mueang"},"province_code":"14","province_name":{"th":"พระนครศรีอยุธยา","en":"Phra Nakhon Si Ayutthaya"}},"diff_wl_bank":"0.58","diff_wl_bank_text":"ต่ำกว่าตลิ่ง (ม.)","river_gid":184214,"river_name":"คลองพระยาบรรลือ"}</x:t>
  </x:si>
  <x:si>
    <x:t xml:space="preserve">THAIWATER_WL:1106456</x:t>
  </x:si>
  <x:si>
    <x:t xml:space="preserve">TCP010</x:t>
  </x:si>
  <x:si>
    <x:t xml:space="preserve">ทรบ. ปากคลองห้าวา (ทุ่งท่าวุ้ง)</x:t>
  </x:si>
  <x:si>
    <x:t xml:space="preserve">คลองบางคะลาย</x:t>
  </x:si>
  <x:si>
    <x:t xml:space="preserve">2026-10-01T14:50:00+07:00</x:t>
  </x:si>
  <x:si>
    <x:t xml:space="preserve">{"id":1316358681,"waterlevel_datetime":"2026-10-01 14:50","waterlevel_m":null,"waterlevel_msl":"7.06","waterlevel_msl_previous":"7.05","flow_rate":null,"discharge":null,"storage_percent":"88.25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Basin"}},"station":{"id":1106456,"tele_station_name":{"en":"Pak Khlong Ha Wa","th":"ทรบ. ปากคลองห้าวา (ทุ่งท่าวุ้ง)"},"tele_station_lat":14.818599,"tele_station_long":100.576515,"tele_station_oldcode":"TCP010","tele_station_type":"tele_waterlevel","left_bank":8,"right_bank":8,"min_bank":8,"ground_level":0,"offset":null,"sub_basin_id":240,"agency_id":9,"geocode_id":718,"hydro_id":null,"qmax":null,"is_key_station":false,"warning_level_m":null,"critical_level_m":null,"critical_level_msl":null},"geocode":{"area_code":"2","area_name":{"th":"ภาคกลาง","en":"Central"},"amphoe_code":"01","amphoe_name":{"th":"เมืองลพบุรี","en":"Mueang Lop Buri District"},"tumbon_code":"17","tumbon_name":{"th":"บางขันหมาก","en":"Bang Khan Mak"},"province_code":"16","province_name":{"th":"ลพบุรี","en":"Lop Buri"}},"diff_wl_bank":"0.94","diff_wl_bank_text":"ต่ำกว่าตลิ่ง (ม.)","river_gid":179240,"river_name":"คลองบางคะลาย"}</x:t>
  </x:si>
  <x:si>
    <x:t xml:space="preserve">THAIWATER_WL:154</x:t>
  </x:si>
  <x:si>
    <x:t xml:space="preserve">BPK001</x:t>
  </x:si>
  <x:si>
    <x:t xml:space="preserve">บางปะกง</x:t>
  </x:si>
  <x:si>
    <x:t xml:space="preserve">{"id":1316367954,"waterlevel_datetime":"2026-10-01 15:10","waterlevel_m":null,"waterlevel_msl":"0.10","waterlevel_msl_previous":"0.08","flow_rate":null,"discharge":null,"storage_percent":"88.21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Basin"}},"station":{"id":154,"tele_station_name":{"en":"Bangpakong 1","th":"บางปะกง"},"tele_station_lat":13.54901,"tele_station_long":101.00111,"tele_station_oldcode":"BPK001","tele_station_type":"tele_waterlevel","left_bank":1.665,"right_bank":1.897,"min_bank":1.67,"ground_level":-11.654,"offset":null,"sub_basin_id":286,"agency_id":9,"geocode_id":1422,"hydro_id":null,"qmax":null,"is_key_station":false,"warning_level_m":null,"critical_level_m":null,"critical_level_msl":null},"geocode":{"area_code":"2","area_name":{"th":"ภาคกลาง","en":"Central"},"amphoe_code":"04","amphoe_name":{"th":"บางปะกง","en":"Bang Pakong District"},"tumbon_code":"02","tumbon_name":{"th":"ท่าสะอ้าน","en":"Tha Sa-An"},"province_code":"24","province_name":{"th":"ฉะเชิงเทรา","en":"Chachoengsao"}},"diff_wl_bank":"1.57","diff_wl_bank_text":"ต่ำกว่าตลิ่ง (ม.)","river_gid":198815,"river_name":"แม่น้ำบางปะกง"}</x:t>
  </x:si>
  <x:si>
    <x:t xml:space="preserve">THAIWATER_WL:1161516</x:t>
  </x:si>
  <x:si>
    <x:t xml:space="preserve">X.176</x:t>
  </x:si>
  <x:si>
    <x:t xml:space="preserve">บ้านหาดทรายแก้ว </x:t>
  </x:si>
  <x:si>
    <x:t xml:space="preserve">แม่น้ำตาปี</x:t>
  </x:si>
  <x:si>
    <x:t xml:space="preserve">{"id":1316344877,"waterlevel_datetime":"2026-10-01 14:00","waterlevel_m":null,"waterlevel_msl":"23.75","waterlevel_msl_previous":"23.75","flow_rate":null,"discharge":"5.00","storage_percent":"87.96","sort_order":null,"station_type":"tele_waterlevel","situation_level":4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Basin"}},"station":{"id":1161516,"tele_station_name":{"th":"บ้านหาดทรายแก้ว "},"tele_station_lat":8.42915,"tele_station_long":99.508362,"tele_station_oldcode":"X.176","tele_station_type":"tele_waterlevel","left_bank":27,"right_bank":27,"min_bank":27,"ground_level":0,"offset":null,"sub_basin_id":318,"agency_id":12,"geocode_id":7203,"hydro_id":8,"qmax":209,"is_key_station":false,"warning_level_m":null,"critical_level_m":null,"critical_level_msl":null},"geocode":{"area_code":"5","area_name":{"th":"ภาคใต้","en":"South"},"amphoe_code":"04","amphoe_name":{"th":"ฉวาง","en":"Chawang District"},"tumbon_code":"01","tumbon_name":{"th":"ฉวาง","en":"Chawang"},"province_code":"80","province_name":{"th":"นครศรีธรรมราช","en":"Nakhon Si Thammarat"}},"diff_wl_bank":"3.25","diff_wl_bank_text":"ต่ำกว่าตลิ่ง (ม.)","river_gid":220031,"river_name":"แม่น้ำตาปี"}</x:t>
  </x:si>
  <x:si>
    <x:t xml:space="preserve">THAIWATER_WL:1066916</x:t>
  </x:si>
  <x:si>
    <x:t xml:space="preserve">Kgt.34</x:t>
  </x:si>
  <x:si>
    <x:t xml:space="preserve">บ้านชะอม</x:t>
  </x:si>
  <x:si>
    <x:t xml:space="preserve">{"id":1316342990,"waterlevel_datetime":"2026-10-01 14:00","waterlevel_m":null,"waterlevel_msl":"9.97","waterlevel_msl_previous":"10.00","flow_rate":null,"discharge":"292.00","storage_percent":"87.95","sort_order":null,"station_type":"tele_waterlevel","situation_level":4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1066916,"tele_station_name":{"th":"บ้านชะอม"},"tele_station_lat":14.10461,"tele_station_long":101.744179,"tele_station_oldcode":"Kgt.34","tele_station_type":"tele_waterlevel","left_bank":14.947000000000001,"right_bank":14.811,"min_bank":11.12,"ground_level":1.576,"offset":3.56,"sub_basin_id":280,"agency_id":12,"geocode_id":1516,"hydro_id":6,"qmax":423.600006,"is_key_station":false,"warning_level_m":null,"critical_level_m":null,"critical_level_msl":null},"geocode":{"area_code":"2","area_name":{"th":"ภาคกลาง","en":"Central"},"amphoe_code":"03","amphoe_name":{"th":"นาดี","en":"Na Di District"},"tumbon_code":"03","tumbon_name":{"th":"สะพานหิน","en":"Saphan Hin"},"province_code":"25","province_name":{"th":"ปราจีนบุรี","en":"Prachin Buri"}},"diff_wl_bank":"1.15","diff_wl_bank_text":"ต่ำกว่าตลิ่ง (ม.)","river_gid":194314,"river_name":"แควหนุมาน"}</x:t>
  </x:si>
  <x:si>
    <x:t xml:space="preserve">THAIWATER_WL:1373273</x:t>
  </x:si>
  <x:si>
    <x:t xml:space="preserve">HDA007</x:t>
  </x:si>
  <x:si>
    <x:t xml:space="preserve">สะพานค่ายบางระจัน</x:t>
  </x:si>
  <x:si>
    <x:t xml:space="preserve">{"id":1316368047,"waterlevel_datetime":"2026-10-01 15:10","waterlevel_m":null,"waterlevel_msl":"8.84","waterlevel_msl_previous":"8.84","flow_rate":null,"discharge":"180.19","storage_percent":"87.81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Basin"}},"station":{"id":1373273,"tele_station_name":{"en":"Bang Rachan Camp Bridge","th":"สะพานค่ายบางระจัน"},"tele_station_lat":14.815288,"tele_station_long":100.36448,"tele_station_oldcode":"HDA007","tele_station_type":"tele_waterlevel","left_bank":10.229,"right_bank":9.789,"min_bank":9.79,"ground_level":2.005,"offset":null,"sub_basin_id":240,"agency_id":9,"geocode_id":859,"hydro_id":null,"qmax":null,"is_key_station":false,"warning_level_m":null,"critical_level_m":null,"critical_level_msl":null},"geocode":{"area_code":"2","area_name":{"th":"ภาคกลาง","en":"Central"},"amphoe_code":"03","amphoe_name":{"th":"ค่ายบางระจัน","en":"Khai Bang Rachan District"},"tumbon_code":"03","tumbon_name":{"th":"โพสังโฆ","en":"Pho Sangkho"},"province_code":"17","province_name":{"th":"สิงห์บุรี","en":"Sing Buri"}},"diff_wl_bank":"0.95","diff_wl_bank_text":"ต่ำกว่าตลิ่ง (ม.)"}</x:t>
  </x:si>
  <x:si>
    <x:t xml:space="preserve">THAIWATER_WL:2700</x:t>
  </x:si>
  <x:si>
    <x:t xml:space="preserve">M.173</x:t>
  </x:si>
  <x:si>
    <x:t xml:space="preserve">บ้านโนนสะอาด</x:t>
  </x:si>
  <x:si>
    <x:t xml:space="preserve">{"id":1316340558,"waterlevel_datetime":"2026-10-01 14:00","waterlevel_m":null,"waterlevel_msl":"181.55","waterlevel_msl_previous":"181.56","flow_rate":null,"discharge":"100.00","storage_percent":"87.61","sort_order":null,"station_type":"tele_waterlevel","situation_level":4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2700,"tele_station_name":{"th":"บ้านโนนสะอาด"},"tele_station_lat":14.74504,"tele_station_long":102.211777,"tele_station_oldcode":"M.173","tele_station_type":"tele_waterlevel","left_bank":350.134003,"right_bank":358.678003,"min_bank":182.4,"ground_level":175.54,"offset":174.800003,"sub_basin_id":107,"agency_id":12,"geocode_id":1750,"hydro_id":4,"qmax":312,"is_key_station":false,"warning_level_m":null,"critical_level_m":null,"critical_level_msl":null},"geocode":{"area_code":"4","area_name":{"th":"ภาคตะวันออกเฉียงเหนือ","en":"Northeast"},"amphoe_code":"07","amphoe_name":{"th":"โชคชัย","en":"Chok Chai District"},"tumbon_code":"07","tumbon_name":{"th":"ท่าเยี่ยม","en":"Tha Yiam"},"province_code":"30","province_name":{"th":"นครราชสีมา","en":"Nakhon Ratchasima"}},"diff_wl_bank":"0.85","diff_wl_bank_text":"ต่ำกว่าตลิ่ง (ม.)","river_gid":151420,"river_name":"แม่น้ำมูล"}</x:t>
  </x:si>
  <x:si>
    <x:t xml:space="preserve">THAIWATER_WL:2832</x:t>
  </x:si>
  <x:si>
    <x:t xml:space="preserve">P.17</x:t>
  </x:si>
  <x:si>
    <x:t xml:space="preserve">บ้านท่างิ้ว</x:t>
  </x:si>
  <x:si>
    <x:t xml:space="preserve">{"id":1316341295,"waterlevel_datetime":"2026-10-01 14:00","waterlevel_m":null,"waterlevel_msl":"37.30","waterlevel_msl_previous":"37.37","flow_rate":null,"discharge":"1315.00","storage_percent":"87.53","sort_order":null,"station_type":"tele_waterlevel","situation_level":4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2832,"tele_station_name":{"th":"บ้านท่างิ้ว"},"tele_station_lat":15.93539,"tele_station_long":99.976089,"tele_station_oldcode":"P.17","tele_station_type":"tele_waterlevel","left_bank":38.707,"right_bank":38.869,"min_bank":38.25,"ground_level":30.63,"offset":null,"sub_basin_id":185,"agency_id":12,"geocode_id":5701,"hydro_id":5,"qmax":1835,"is_key_station":true,"warning_level_m":null,"critical_level_m":7.69,"critical_level_msl":38.08},"geocode":{"area_code":"3","area_name":{"th":"ภาคเหนือ","en":"North"},"amphoe_code":"05","amphoe_name":{"th":"บรรพตพิสัย","en":"Banphot Phisai District"},"tumbon_code":"01","tumbon_name":{"th":"ท่างิ้ว","en":"Tha Ngio"},"province_code":"60","province_name":{"th":"นครสวรรค์","en":"Nakhon Sawan"}},"diff_wl_bank":"0.95","diff_wl_bank_text":"ต่ำกว่าตลิ่ง (ม.)","river_gid":102033,"river_name":"แม่น้ำปิง"}</x:t>
  </x:si>
  <x:si>
    <x:t xml:space="preserve">THAIWATER_WL:1095877</x:t>
  </x:si>
  <x:si>
    <x:t xml:space="preserve">X.77</x:t>
  </x:si>
  <x:si>
    <x:t xml:space="preserve">บ้านหัวสะพาน</x:t>
  </x:si>
  <x:si>
    <x:t xml:space="preserve">คลองใหญ่</x:t>
  </x:si>
  <x:si>
    <x:t xml:space="preserve">{"id":1316344832,"waterlevel_datetime":"2026-10-01 14:00","waterlevel_m":null,"waterlevel_msl":"35.19","waterlevel_msl_previous":"35.04","flow_rate":null,"discharge":"19.50","storage_percent":"87.32","sort_order":null,"station_type":"tele_waterlevel","situation_level":4,"agency":{"id":12,"agency_name":{"th":"กรมชลประทาน ","en":"Royal Irrigation Department","jp":""},"agency_shortname":{"th":"ชป.","en":"RID","jp":""}},"basin":{"id":26,"basin_code":21,"basin_name":{"th":"ลุ่มน้ำภาคใต้ฝั่งตะวันออกตอนล่าง","en":"Peninsula - Lower East Coast Basin"}},"station":{"id":1095877,"tele_station_name":{"th":"บ้านหัวสะพาน"},"tele_station_lat":6.1525,"tele_station_long":101.080902,"tele_station_oldcode":"X.77","tele_station_type":"tele_waterlevel","left_bank":40.2999992370605,"right_bank":40.2999992370605,"min_bank":40.3,"ground_level":0,"offset":null,"sub_basin_id":335,"agency_id":12,"geocode_id":8287,"hydro_id":8,"qmax":null,"is_key_station":true,"warning_level_m":null,"critical_level_m":null,"critical_level_msl":null},"geocode":{"area_code":"5","area_name":{"th":"ภาคใต้","en":"South"},"amphoe_code":"03","amphoe_name":{"th":"บันนังสตา","en":"Bannang Sata District"},"tumbon_code":"02","tumbon_name":{"th":"บาเจาะ","en":"Bacho"},"province_code":"95","province_name":{"th":"ยะลา","en":"Yala"}},"diff_wl_bank":"5.11","diff_wl_bank_text":"ต่ำกว่าตลิ่ง (ม.)","river_gid":231472,"river_name":"คลองใหญ่"}</x:t>
  </x:si>
  <x:si>
    <x:t xml:space="preserve">THAIWATER_WL:1139393</x:t>
  </x:si>
  <x:si>
    <x:t xml:space="preserve">MITP01</x:t>
  </x:si>
  <x:si>
    <x:t xml:space="preserve">สะพานข้ามลำน้ำเชิญ (มิตรผลหนองเรือ)</x:t>
  </x:si>
  <x:si>
    <x:t xml:space="preserve">{"id":1316368084,"waterlevel_datetime":"2026-10-01 15:10","waterlevel_m":null,"waterlevel_msl":"182.21","waterlevel_msl_previous":"182.22","flow_rate":null,"discharge":null,"storage_percent":"87.25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Organization)","jp":""},"agency_shortname":{"th":"สสน.","en":"HII","jp":""}},"basin":{"id":4,"basin_code":4,"basin_name":{"th":"ลุ่มน้ำชี","en":"Chi Basin Basin"}},"station":{"id":1139393,"tele_station_name":{"en":"Kham Lamnam Choen Bridge (MitrPhol NongRuea)","th":"สะพานข้ามลำน้ำเชิญ (มิตรผลหนองเรือ)"},"tele_station_lat":16.48883,"tele_station_long":102.41904,"tele_station_oldcode":"MITP01","tele_station_type":"tele_waterlevel","left_bank":182.86,"right_bank":185.36,"min_bank":182.86,"ground_level":177.76,"offset":null,"sub_basin_id":91,"agency_id":9,"geocode_id":3253,"hydro_id":null,"qmax":null,"is_key_station":false,"warning_level_m":null,"critical_level_m":null,"critical_level_msl":null},"geocode":{"area_code":"4","area_name":{"th":"ภาคตะวันออกเฉียงเหนือ","en":"Northeast"},"amphoe_code":"04","amphoe_name":{"th":"หนองเรือ","en":"Nong Ruea District"},"tumbon_code":"01","tumbon_name":{"th":"หนองเรือ","en":"Nong Ruea"},"province_code":"40","province_name":{"th":"ขอนแก่น","en":"Khon Kaen"}},"diff_wl_bank":"0.65","diff_wl_bank_text":"ต่ำกว่าตลิ่ง (ม.)","river_gid":130578,"river_name":"ลำเชิญ"}</x:t>
  </x:si>
  <x:si>
    <x:t xml:space="preserve">THAIWATER_WL:700552</x:t>
  </x:si>
  <x:si>
    <x:t xml:space="preserve">MKSND02</x:t>
  </x:si>
  <x:si>
    <x:t xml:space="preserve">บ้านหนองบัว (K.35A)</x:t>
  </x:si>
  <x:si>
    <x:t xml:space="preserve">{"id":1316366849,"waterlevel_datetime":"2026-10-01 15:00","waterlevel_m":null,"waterlevel_msl":"26.34","waterlevel_msl_previous":"26.28","flow_rate":null,"discharge":"328.88","storage_percent":"86.95","sort_order":null,"station_type":"tele_waterlevel","situation_level":4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Basin"}},"station":{"id":700552,"tele_station_name":{"th":"บ้านหนองบัว (K.35A)"},"tele_station_lat":14.06024,"tele_station_long":99.44414,"tele_station_oldcode":"MKSND02","tele_station_type":"tele_waterlevel","left_bank":27.03,"right_bank":29.4,"min_bank":27.03,"ground_level":21.765,"offset":null,"sub_basin_id":268,"agency_id":8,"geocode_id":6588,"hydro_id":null,"qmax":null,"is_key_station":false,"warning_level_m":null,"critical_level_m":null,"critical_level_msl":27},"geocode":{"area_code":"2","area_name":{"th":"ภาคกลาง","en":"Central"},"amphoe_code":"01","amphoe_name":{"th":"เมืองกาญจนบุรี","en":"Mueang Kanchanaburi District"},"tumbon_code":"06","tumbon_name":{"th":"หนองบัว","en":"Nong Bua"},"province_code":"71","province_name":{"th":"กาญจนบุรี","en":"Kanchanaburi"}},"diff_wl_bank":"0.69","diff_wl_bank_text":"ต่ำกว่าตลิ่ง (ม.)","river_gid":184963,"river_name":"แม่น้ำแควใหญ่"}</x:t>
  </x:si>
  <x:si>
    <x:t xml:space="preserve">THAIWATER_WL:575566</x:t>
  </x:si>
  <x:si>
    <x:t xml:space="preserve">BKC002</x:t>
  </x:si>
  <x:si>
    <x:t xml:space="preserve">ปตร.วัดบางกระเจ้านอก</x:t>
  </x:si>
  <x:si>
    <x:t xml:space="preserve">คลองบางกะเจ้า</x:t>
  </x:si>
  <x:si>
    <x:t xml:space="preserve">{"id":1316367939,"waterlevel_datetime":"2026-10-01 15:10","waterlevel_m":null,"waterlevel_msl":"0.91","waterlevel_msl_previous":"0.92","flow_rate":null,"discharge":null,"storage_percent":"86.89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Basin"}},"station":{"id":575566,"tele_station_name":{"en":"Wat Bangkachao Nok Gate","th":"ปตร.วัดบางกระเจ้านอก"},"tele_station_lat":13.689612,"tele_station_long":100.554886,"tele_station_oldcode":"BKC002","tele_station_type":"tele_waterlevel","left_bank":1.74,"right_bank":1.26,"min_bank":1.26,"ground_level":-1.41,"offset":null,"sub_basin_id":240,"agency_id":9,"geocode_id":250,"hydro_id":null,"qmax":null,"is_key_station":false,"warning_level_m":null,"critical_level_m":null,"critical_level_msl":null},"geocode":{"area_code":"2","area_name":{"th":"ภาคกลาง","en":"Central"},"amphoe_code":"04","amphoe_name":{"th":"พระประแดง","en":"Phra Pradaeng District"},"tumbon_code":"09","tumbon_name":{"th":"บางกระเจ้า","en":"Bang Krachao"},"province_code":"11","province_name":{"th":"สมุทรปราการ","en":"Samut Prakan"}},"diff_wl_bank":"0.35","diff_wl_bank_text":"ต่ำกว่าตลิ่ง (ม.)","river_gid":188003,"river_name":"คลองบางกะเจ้า"}</x:t>
  </x:si>
  <x:si>
    <x:t xml:space="preserve">THAIWATER_WL:568</x:t>
  </x:si>
  <x:si>
    <x:t xml:space="preserve">CPY001</x:t>
  </x:si>
  <x:si>
    <x:t xml:space="preserve">สะพานเดชาติวงศ์</x:t>
  </x:si>
  <x:si>
    <x:t xml:space="preserve">{"id":1316367987,"waterlevel_datetime":"2026-10-01 15:10","waterlevel_m":null,"waterlevel_msl":"23.68","waterlevel_msl_previous":"23.67","flow_rate":null,"discharge":null,"storage_percent":"86.88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Basin"}},"station":{"id":568,"tele_station_name":{"en":"Chao Phraya 1","th":"สะพานเดชาติวงศ์"},"tele_station_lat":15.68849,"tele_station_long":100.12381,"tele_station_oldcode":"CPY001","tele_station_type":"tele_waterlevel","left_bank":26.06,"right_bank":26.337,"min_bank":26.06,"ground_level":7.878,"offset":null,"sub_basin_id":240,"agency_id":9,"geocode_id":5650,"hydro_id":null,"qmax":null,"is_key_station":false,"warning_level_m":null,"critical_level_m":null,"critical_level_msl":null},"geocode":{"area_code":"3","area_name":{"th":"ภาคเหนือ","en":"North"},"amphoe_code":"01","amphoe_name":{"th":"เมืองนครสวรรค์","en":"Mueang Nakhon Sawan District"},"tumbon_code":"01","tumbon_name":{"th":"ปากน้ำโพ","en":"Pak Nam Pho"},"province_code":"60","province_name":{"th":"นครสวรรค์","en":"Nakhon Sawan"}},"diff_wl_bank":"2.38","diff_wl_bank_text":"ต่ำกว่าตลิ่ง (ม.)","river_gid":170400,"river_name":"แม่น้ำเจ้าพระยา"}</x:t>
  </x:si>
  <x:si>
    <x:t xml:space="preserve">THAIWATER_WL:754</x:t>
  </x:si>
  <x:si>
    <x:t xml:space="preserve">MKG005</x:t>
  </x:si>
  <x:si>
    <x:t xml:space="preserve">บ้านแพ้ว</x:t>
  </x:si>
  <x:si>
    <x:t xml:space="preserve">คลองดำเนินสะดวก</x:t>
  </x:si>
  <x:si>
    <x:t xml:space="preserve">{"id":1316368085,"waterlevel_datetime":"2026-10-01 15:10","waterlevel_m":null,"waterlevel_msl":"0.53","waterlevel_msl_previous":"0.53","flow_rate":null,"discharge":null,"storage_percent":"86.85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Organization)","jp":""},"agency_shortname":{"th":"สสน.","en":"HII","jp":""}},"basin":{"id":15,"basin_code":14,"basin_name":{"th":"ลุ่มน้ำแม่กลอง","en":"Mae Klong Basin"}},"station":{"id":754,"tele_station_name":{"en":"Ban Paew","th":"บ้านแพ้ว"},"tele_station_lat":13.57563,"tele_station_long":100.07884,"tele_station_oldcode":"MKG005","tele_station_type":"tele_waterlevel","left_bank":0.959,"right_bank":1.091,"min_bank":0.96,"ground_level":-2.296,"offset":null,"sub_basin_id":276,"agency_id":9,"geocode_id":6965,"hydro_id":null,"qmax":null,"is_key_station":false,"warning_level_m":null,"critical_level_m":null,"critical_level_msl":null},"geocode":{"area_code":"2","area_name":{"th":"ภาคกลาง","en":"Central"},"amphoe_code":"03","amphoe_name":{"th":"บ้านแพ้ว","en":"Ban Phaeo District"},"tumbon_code":"06","tumbon_name":{"th":"หนองบัว","en":"Nong Bua"},"province_code":"74","province_name":{"th":"สมุทรสาคร","en":"Samut Sakhon"}},"diff_wl_bank":"0.43","diff_wl_bank_text":"ต่ำกว่าตลิ่ง (ม.)","river_gid":189570,"river_name":"คลองดำเนินสะดวก"}</x:t>
  </x:si>
  <x:si>
    <x:t xml:space="preserve">THAIWATER_WL:505003</x:t>
  </x:si>
  <x:si>
    <x:t xml:space="preserve">Ny.7</x:t>
  </x:si>
  <x:si>
    <x:t xml:space="preserve">สะพานหน้าจวนผู้ว่าฯ</x:t>
  </x:si>
  <x:si>
    <x:t xml:space="preserve">{"id":1316343019,"waterlevel_datetime":"2026-10-01 14:00","waterlevel_m":null,"waterlevel_msl":"6.90","waterlevel_msl_previous":"6.86","flow_rate":null,"discharge":null,"storage_percent":"86.83","sort_order":null,"station_type":"tele_waterlevel","situation_level":4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505003,"tele_station_name":{"th":"สะพานหน้าจวนผู้ว่าฯ"},"tele_station_lat":14.20048,"tele_station_long":101.219307,"tele_station_oldcode":"Ny.7","tele_station_type":"tele_waterlevel","left_bank":8.2,"right_bank":8.2,"min_bank":8.2,"ground_level":-1.67,"offset":1.64,"sub_basin_id":282,"agency_id":12,"geocode_id":1558,"hydro_id":6,"qmax":null,"is_key_station":true,"warning_level_m":null,"critical_level_m":null,"critical_level_msl":null},"geocode":{"area_code":"2","area_name":{"th":"ภาคกลาง","en":"Central"},"amphoe_code":"01","amphoe_name":{"th":"เมืองนครนายก","en":"Mueang Nakhon Nayok District"},"tumbon_code":"01","tumbon_name":{"th":"นครนายก","en":"Nakhon Nayok"},"province_code":"26","province_name":{"th":"นครนายก","en":"Nakhon Nayok"}},"diff_wl_bank":"1.30","diff_wl_bank_text":"ต่ำกว่าตลิ่ง (ม.)","river_gid":193830,"river_name":"แม่น้ำนครนายก"}</x:t>
  </x:si>
  <x:si>
    <x:t xml:space="preserve">THAIWATER_WL:823</x:t>
  </x:si>
  <x:si>
    <x:t xml:space="preserve">TPI001</x:t>
  </x:si>
  <x:si>
    <x:t xml:space="preserve">พุนพิน 1</x:t>
  </x:si>
  <x:si>
    <x:t xml:space="preserve">{"id":1316368396,"waterlevel_datetime":"2026-10-01 15:10","waterlevel_m":null,"waterlevel_msl":"1.20","waterlevel_msl_previous":"1.17","flow_rate":null,"discharge":null,"storage_percent":"86.80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Basin"}},"station":{"id":823,"tele_station_name":{"en":"Tapi 1","th":"พุนพิน 1"},"tele_station_lat":9.131233,"tele_station_long":99.25885,"tele_station_oldcode":"TPI001","tele_station_type":"tele_waterlevel","left_bank":2.237,"right_bank":2.555,"min_bank":2.24,"ground_level":-5.619,"offset":null,"sub_basin_id":324,"agency_id":9,"geocode_id":7633,"hydro_id":null,"qmax":null,"is_key_station":false,"warning_level_m":null,"critical_level_m":null,"critical_level_msl":null},"geocode":{"area_code":"5","area_name":{"th":"ภาคใต้","en":"South"},"amphoe_code":"17","amphoe_name":{"th":"พุนพิน","en":"Phunphin District"},"tumbon_code":"01","tumbon_name":{"th":"ท่าข้าม","en":"Tha Kham"},"province_code":"84","province_name":{"th":"สุราษฎร์ธานี","en":"Surat Thani"}},"diff_wl_bank":"1.04","diff_wl_bank_text":"ต่ำกว่าตลิ่ง (ม.)","river_gid":216172,"river_name":"แม่น้ำตาปี"}</x:t>
  </x:si>
  <x:si>
    <x:t xml:space="preserve">THAIWATER_WL:1106454</x:t>
  </x:si>
  <x:si>
    <x:t xml:space="preserve">TCP008</x:t>
  </x:si>
  <x:si>
    <x:t xml:space="preserve">สถานีสูบน้ำปากคลองสายห้วยแก้ว (ทุ่งซ้ายคลองชัยนาท)</x:t>
  </x:si>
  <x:si>
    <x:t xml:space="preserve">คลองท่าตะโก</x:t>
  </x:si>
  <x:si>
    <x:t xml:space="preserve">{"id":1316368375,"waterlevel_datetime":"2026-10-01 15:10","waterlevel_m":null,"waterlevel_msl":"13.38","waterlevel_msl_previous":"13.37","flow_rate":null,"discharge":null,"storage_percent":"86.66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Basin"}},"station":{"id":1106454,"tele_station_name":{"en":"Khlong Sai Huai Kaeo Pumping Station","th":"สถานีสูบน้ำปากคลองสายห้วยแก้ว (ทุ่งซ้ายคลองชัยนาท)"},"tele_station_lat":15.082755,"tele_station_long":100.554504,"tele_station_oldcode":"TCP008","tele_station_type":"tele_waterlevel","left_bank":15.44,"right_bank":15.44,"min_bank":15.44,"ground_level":0,"offset":null,"sub_basin_id":240,"agency_id":9,"geocode_id":802,"hydro_id":null,"qmax":null,"is_key_station":false,"warning_level_m":null,"critical_level_m":null,"critical_level_msl":null},"geocode":{"area_code":"2","area_name":{"th":"ภาคกลาง","en":"Central"},"amphoe_code":"06","amphoe_name":{"th":"บ้านหมี่","en":"Ban Mi District"},"tumbon_code":"21","tumbon_name":{"th":"หนองเมือง","en":"Nong Mueang"},"province_code":"16","province_name":{"th":"ลพบุรี","en":"Lop Buri"}},"diff_wl_bank":"2.06","diff_wl_bank_text":"ต่ำกว่าตลิ่ง (ม.)","river_gid":176197,"river_name":"คลองท่าตะโก"}</x:t>
  </x:si>
  <x:si>
    <x:t xml:space="preserve">THAIWATER_WL:526</x:t>
  </x:si>
  <x:si>
    <x:t xml:space="preserve">PYO001</x:t>
  </x:si>
  <x:si>
    <x:t xml:space="preserve">ท้ายกว๊านพะเยา</x:t>
  </x:si>
  <x:si>
    <x:t xml:space="preserve">น้ำแม่ต๋ำ</x:t>
  </x:si>
  <x:si>
    <x:t xml:space="preserve">{"id":1316368253,"waterlevel_datetime":"2026-10-01 15:10","waterlevel_m":null,"waterlevel_msl":"391.82","waterlevel_msl_previous":"391.82","flow_rate":null,"discharge":null,"storage_percent":"86.59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Basin"}},"station":{"id":526,"tele_station_name":{"en":"Kwan Phayao","th":"ท้ายกว๊านพะเยา"},"tele_station_lat":19.15985,"tele_station_long":99.91412,"tele_station_oldcode":"PYO001","tele_station_type":"tele_waterlevel","left_bank":393.461,"right_bank":392.528,"min_bank":392.53,"ground_level":387.24,"offset":null,"sub_basin_id":33,"agency_id":9,"geocode_id":5375,"hydro_id":null,"qmax":null,"is_key_station":false,"warning_level_m":null,"critical_level_m":null,"critical_level_msl":null},"geocode":{"area_code":"3","area_name":{"th":"ภาคเหนือ","en":"North"},"amphoe_code":"01","amphoe_name":{"th":"เมืองพะเยา","en":"Mueang Phayao District"},"tumbon_code":"01","tumbon_name":{"th":"เวียง","en":"Wiang"},"province_code":"56","province_name":{"th":"พะเยา","en":"Phayao"}},"diff_wl_bank":"0.71","diff_wl_bank_text":"ต่ำกว่าตลิ่ง (ม.)","river_gid":24101,"river_name":"น้ำแม่ต๋ำ"}</x:t>
  </x:si>
  <x:si>
    <x:t xml:space="preserve">THAIWATER_WL:3117</x:t>
  </x:si>
  <x:si>
    <x:t xml:space="preserve">Kh.74</x:t>
  </x:si>
  <x:si>
    <x:t xml:space="preserve">บ้านท่าห้วยหลัว</x:t>
  </x:si>
  <x:si>
    <x:t xml:space="preserve">{"id":1316353933,"waterlevel_datetime":"2026-10-01 14:00","waterlevel_m":null,"waterlevel_msl":"153.50","waterlevel_msl_previous":"153.51","flow_rate":null,"discharge":"123.00","storage_percent":"86.55","sort_order":null,"station_type":"tele_waterlevel","situation_level":4,"agency":{"id":12,"agency_name":{"th":"กรมชลประทาน ","en":"Royal Irrigation Department","jp":""},"agency_shortname":{"th":"ชป.","en":"RID","jp":""}},"basin":{"id":3,"basin_code":3,"basin_name":{"th":"ลุ่มน้ำโขงตะวันออกเฉียงเหนือ","en":"Northeast Khong Basin"}},"station":{"id":3117,"tele_station_name":{"th":"บ้านท่าห้วยหลัว"},"tele_station_lat":17.821621,"tele_station_long":103.386932,"tele_station_oldcode":"Kh.74","tele_station_type":"tele_waterlevel","left_bank":302.211003,"right_bank":302.259003,"min_bank":154.8,"ground_level":145.135,"offset":145.300003,"sub_basin_id":58,"agency_id":12,"geocode_id":3548,"hydro_id":3,"qmax":250,"is_key_station":true,"warning_level_m":null,"critical_level_m":null,"critical_level_msl":null},"geocode":{"area_code":"4","area_name":{"th":"ภาคตะวันออกเฉียงเหนือ","en":"Northeast"},"amphoe_code":"11","amphoe_name":{"th":"บ้านดุง","en":"Ban Dung District"},"tumbon_code":"06","tumbon_name":{"th":"บ้านจันทน์","en":"Ban Chan"},"province_code":"41","province_name":{"th":"อุดรธานี","en":"Udon Thani"}},"diff_wl_bank":"1.30","diff_wl_bank_text":"ต่ำกว่าตลิ่ง (ม.)","river_gid":111065,"river_name":"แม่น้ำสงคราม"}</x:t>
  </x:si>
  <x:si>
    <x:t xml:space="preserve">THAIWATER_WL:2795</x:t>
  </x:si>
  <x:si>
    <x:t xml:space="preserve">C.2</x:t>
  </x:si>
  <x:si>
    <x:t xml:space="preserve">ค่ายจิรประวัติ</x:t>
  </x:si>
  <x:si>
    <x:t xml:space="preserve">{"id":1316341280,"waterlevel_datetime":"2026-10-01 14:00","waterlevel_m":null,"waterlevel_msl":"24.03","waterlevel_msl_previous":"24.04","flow_rate":null,"discharge":"2565.00","storage_percent":"86.51","sort_order":null,"station_type":"tele_waterlevel","situation_level":4,"agency":{"id":12,"agency_name":{"th":"กรมชลประทาน ","en":"Royal Irrigation Department","jp":""},"agency_shortname":{"th":"ชป.","en":"RID","jp":""}},"basin":{"id":10,"basin_code":10,"basin_name":{"th":"ลุ่มน้ำเจ้าพระยา","en":"Chao Phraya Basin"}},"station":{"id":2795,"tele_station_name":{"th":"ค่ายจิรประวัติ"},"tele_station_lat":15.67059,"tele_station_long":100.10936,"tele_station_oldcode":"C.2","tele_station_type":"tele_waterlevel","left_bank":25.711,"right_bank":26.38,"min_bank":25.7,"ground_level":13.32,"offset":null,"sub_basin_id":240,"agency_id":12,"geocode_id":5650,"hydro_id":5,"qmax":3735,"is_key_station":true,"warning_level_m":null,"critical_level_m":7.6,"critical_level_msl":26.2},"geocode":{"area_code":"3","area_name":{"th":"ภาคเหนือ","en":"North"},"amphoe_code":"01","amphoe_name":{"th":"เมืองนครสวรรค์","en":"Mueang Nakhon Sawan District"},"tumbon_code":"01","tumbon_name":{"th":"ปากน้ำโพ","en":"Pak Nam Pho"},"province_code":"60","province_name":{"th":"นครสวรรค์","en":"Nakhon Sawan"}},"diff_wl_bank":"1.67","diff_wl_bank_text":"ต่ำกว่าตลิ่ง (ม.)","river_gid":170646,"river_name":"แม่น้ำเจ้าพระยา"}</x:t>
  </x:si>
  <x:si>
    <x:t xml:space="preserve">THAIWATER_WL:479236</x:t>
  </x:si>
  <x:si>
    <x:t xml:space="preserve">TBW028</x:t>
  </x:si>
  <x:si>
    <x:t xml:space="preserve">บ้านโพธิ์ชัยทอง</x:t>
  </x:si>
  <x:si>
    <x:t xml:space="preserve">ลำน้ำยาม</x:t>
  </x:si>
  <x:si>
    <x:t xml:space="preserve">{"id":1316368363,"waterlevel_datetime":"2026-10-01 15:10","waterlevel_m":null,"waterlevel_msl":"149.46","waterlevel_msl_previous":"149.46","flow_rate":null,"discharge":null,"storage_percent":"86.44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Basin"}},"station":{"id":479236,"tele_station_name":{"en":"Songkhram 3","th":"บ้านโพธิ์ชัยทอง"},"tele_station_lat":17.59971,"tele_station_long":103.98087,"tele_station_oldcode":"TBW028","tele_station_type":"tele_waterlevel","left_bank":152.09,"right_bank":150.486,"min_bank":150.49,"ground_level":142.917,"offset":null,"sub_basin_id":63,"agency_id":9,"geocode_id":4460,"hydro_id":null,"qmax":null,"is_key_station":false,"warning_level_m":null,"critical_level_m":null,"critical_level_msl":null},"geocode":{"area_code":"4","area_name":{"th":"ภาคตะวันออกเฉียงเหนือ","en":"Northeast"},"amphoe_code":"11","amphoe_name":{"th":"อากาศอำนวย","en":"Akat Amnuai District"},"tumbon_code":"01","tumbon_name":{"th":"อากาศ","en":"Akat"},"province_code":"47","province_name":{"th":"สกลนคร","en":"Sakon Nakhon"}},"diff_wl_bank":"1.03","diff_wl_bank_text":"ต่ำกว่าตลิ่ง (ม.)","river_gid":113795,"river_name":"ลำน้ำยาม"}</x:t>
  </x:si>
  <x:si>
    <x:t xml:space="preserve">THAIWATER_WL:149</x:t>
  </x:si>
  <x:si>
    <x:t xml:space="preserve">BKK016</x:t>
  </x:si>
  <x:si>
    <x:t xml:space="preserve">ปากคลองพระองค์เจ้าฯ (บางน้ำเปรี้ยว)</x:t>
  </x:si>
  <x:si>
    <x:t xml:space="preserve">คลองพระองค์เจ้าไชยานุชิต</x:t>
  </x:si>
  <x:si>
    <x:t xml:space="preserve">{"id":1316367949,"waterlevel_datetime":"2026-10-01 15:10","waterlevel_m":null,"waterlevel_msl":"0.74","waterlevel_msl_previous":"0.73","flow_rate":null,"discharge":null,"storage_percent":"86.42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Basin"}},"station":{"id":149,"tele_station_name":{"en":"Bang Nam Priao","th":"ปากคลองพระองค์เจ้าฯ (บางน้ำเปรี้ยว)"},"tele_station_lat":13.83819,"tele_station_long":100.9666,"tele_station_oldcode":"BKK016","tele_station_type":"tele_waterlevel","left_bank":1.387,"right_bank":1.237,"min_bank":1.24,"ground_level":-2.43,"offset":null,"sub_basin_id":286,"agency_id":9,"geocode_id":1410,"hydro_id":null,"qmax":null,"is_key_station":false,"warning_level_m":null,"critical_level_m":null,"critical_level_msl":null},"geocode":{"area_code":"2","area_name":{"th":"ภาคกลาง","en":"Central"},"amphoe_code":"03","amphoe_name":{"th":"บางน้ำเปรี้ยว","en":"Bang Nam Priao District"},"tumbon_code":"01","tumbon_name":{"th":"บางน้ำเปรี้ยว","en":"Bang Nam Priao"},"province_code":"24","province_name":{"th":"ฉะเชิงเทรา","en":"Chachoengsao"}},"diff_wl_bank":"0.50","diff_wl_bank_text":"ต่ำกว่าตลิ่ง (ม.)","river_gid":196117,"river_name":"คลองพระองค์เจ้าไชยานุชิต"}</x:t>
  </x:si>
  <x:si>
    <x:t xml:space="preserve">THAIWATER_WL:845</x:t>
  </x:si>
  <x:si>
    <x:t xml:space="preserve">SVI001</x:t>
  </x:si>
  <x:si>
    <x:t xml:space="preserve">สวี 1</x:t>
  </x:si>
  <x:si>
    <x:t xml:space="preserve">คลองสวี</x:t>
  </x:si>
  <x:si>
    <x:t xml:space="preserve">{"id":1316368336,"waterlevel_datetime":"2026-10-01 15:10","waterlevel_m":null,"waterlevel_msl":"2.04","waterlevel_msl_previous":"2.05","flow_rate":null,"discharge":null,"storage_percent":"86.08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Basin"}},"station":{"id":845,"tele_station_name":{"en":"Sawi 1","th":"สวี 1"},"tele_station_lat":10.2312,"tele_station_long":99.09844,"tele_station_oldcode":"SVI001","tele_station_type":"tele_waterlevel","left_bank":2.912,"right_bank":3.16,"min_bank":2.91,"ground_level":-3.351,"offset":null,"sub_basin_id":311,"agency_id":9,"geocode_id":7756,"hydro_id":null,"qmax":null,"is_key_station":false,"warning_level_m":null,"critical_level_m":null,"critical_level_msl":null},"geocode":{"area_code":"5","area_name":{"th":"ภาคใต้","en":"South"},"amphoe_code":"07","amphoe_name":{"th":"สวี","en":"Sawi District"},"tumbon_code":"01","tumbon_name":{"th":"นาโพธิ์","en":"Na Pho"},"province_code":"86","province_name":{"th":"ชุมพร","en":"Chumphon"}},"diff_wl_bank":"0.87","diff_wl_bank_text":"ต่ำกว่าตลิ่ง (ม.)","river_gid":213647,"river_name":"คลองสวี"}</x:t>
  </x:si>
  <x:si>
    <x:t xml:space="preserve">THAIWATER_WL:2851</x:t>
  </x:si>
  <x:si>
    <x:t xml:space="preserve">Y.5</x:t>
  </x:si>
  <x:si>
    <x:t xml:space="preserve">หน้าอำเภอโพทะเล</x:t>
  </x:si>
  <x:si>
    <x:t xml:space="preserve">{"id":1316341604,"waterlevel_datetime":"2026-10-01 14:00","waterlevel_m":null,"waterlevel_msl":"29.32","waterlevel_msl_previous":"29.32","flow_rate":null,"discharge":null,"storage_percent":"86.07","sort_order":null,"station_type":"tele_waterlevel","situation_level":4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2851,"tele_station_name":{"th":"หน้าอำเภอโพทะเล"},"tele_station_lat":16.09481,"tele_station_long":100.259903,"tele_station_oldcode":"Y.5","tele_station_type":"tele_waterlevel","left_bank":54.795999,"right_bank":54.536999,"min_bank":30.15,"ground_level":24.19,"offset":22.049999,"sub_basin_id":215,"agency_id":12,"geocode_id":6293,"hydro_id":2,"qmax":null,"is_key_station":true,"warning_level_m":null,"critical_level_m":null,"critical_level_msl":null},"geocode":{"area_code":"3","area_name":{"th":"ภาคเหนือ","en":"North"},"amphoe_code":"06","amphoe_name":{"th":"โพทะเล","en":"Pho Thale District"},"tumbon_code":"01","tumbon_name":{"th":"โพทะเล","en":"Pho Thale"},"province_code":"66","province_name":{"th":"พิจิตร","en":"Phichit"}},"diff_wl_bank":"0.83","diff_wl_bank_text":"ต่ำกว่าตลิ่ง (ม.)","river_gid":100992,"river_name":"แม่น้ำยม"}</x:t>
  </x:si>
  <x:si>
    <x:t xml:space="preserve">THAIWATER_WL:2811</x:t>
  </x:si>
  <x:si>
    <x:t xml:space="preserve">Ct.4</x:t>
  </x:si>
  <x:si>
    <x:t xml:space="preserve">บ้านศาลเจ้าไก่ต่อ</x:t>
  </x:si>
  <x:si>
    <x:t xml:space="preserve">แม่น้ำวังม้า</x:t>
  </x:si>
  <x:si>
    <x:t xml:space="preserve">{"id":1316341290,"waterlevel_datetime":"2026-10-01 14:00","waterlevel_m":null,"waterlevel_msl":"70.82","waterlevel_msl_previous":"70.85","flow_rate":null,"discharge":"126.00","storage_percent":"85.69","sort_order":null,"station_type":"tele_waterlevel","situation_level":4,"agency":{"id":12,"agency_name":{"th":"กรมชลประทาน ","en":"Royal Irrigation Department","jp":""},"agency_shortname":{"th":"ชป.","en":"RID","jp":""}},"basin":{"id":12,"basin_code":11,"basin_name":{"th":"ลุ่มน้ำสะแกกรัง","en":"Sakae Krang Basin"}},"station":{"id":2811,"tele_station_name":{"th":"บ้านศาลเจ้าไก่ต่อ"},"tele_station_lat":15.78585,"tele_station_long":99.678329,"tele_station_oldcode":"Ct.4","tele_station_type":"tele_waterlevel","left_bank":72.096,"right_bank":72.045,"min_bank":71.67,"ground_level":65.73,"offset":null,"sub_basin_id":242,"agency_id":12,"geocode_id":5774,"hydro_id":5,"qmax":197,"is_key_station":true,"warning_level_m":null,"critical_level_m":null,"critical_level_msl":null},"geocode":{"area_code":"3","area_name":{"th":"ภาคเหนือ","en":"North"},"amphoe_code":"11","amphoe_name":{"th":"ลาดยาว","en":"Lat Yao District"},"tumbon_code":"16","tumbon_name":{"th":"ศาลเจ้าไก่ต่อ","en":"San Chao Kai To"},"province_code":"60","province_name":{"th":"นครสวรรค์","en":"Nakhon Sawan"}},"diff_wl_bank":"0.85","diff_wl_bank_text":"ต่ำกว่าตลิ่ง (ม.)","river_gid":168548,"river_name":"แม่น้ำวังม้า"}</x:t>
  </x:si>
  <x:si>
    <x:t xml:space="preserve">THAIWATER_WL:1109495</x:t>
  </x:si>
  <x:si>
    <x:t xml:space="preserve">ONE006</x:t>
  </x:si>
  <x:si>
    <x:t xml:space="preserve">ปตร.ธรณิศนฤมิต-เหนือน้ำ</x:t>
  </x:si>
  <x:si>
    <x:t xml:space="preserve">{"id":1316368185,"waterlevel_datetime":"2026-10-01 15:10","waterlevel_m":null,"waterlevel_msl":"138.50","waterlevel_msl_previous":"138.50","flow_rate":null,"discharge":null,"storage_percent":"85.50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Basin"}},"station":{"id":1109495,"tele_station_name":{"en":"Upper Ni Naruemit Gate ","th":"ปตร.ธรณิศนฤมิต-เหนือน้ำ"},"tele_station_lat":16.92321,"tele_station_long":104.71615,"tele_station_oldcode":"ONE006","tele_station_type":"tele_waterlevel","left_bank":140.252,"right_bank":140.86,"min_bank":140.25,"ground_level":128.17,"offset":null,"sub_basin_id":70,"agency_id":9,"geocode_id":4568,"hydro_id":null,"qmax":null,"is_key_station":false,"warning_level_m":null,"critical_level_m":null,"critical_level_msl":null},"geocode":{"area_code":"4","area_name":{"th":"ภาคตะวันออกเฉียงเหนือ","en":"Northeast"},"amphoe_code":"05","amphoe_name":{"th":"ธาตุพนม","en":"That Phanom District"},"tumbon_code":"08","tumbon_name":{"th":"น้ำก่ำ","en":"Nam Kam"},"province_code":"48","province_name":{"th":"นครพนม","en":"Nakhon Phanom"}},"diff_wl_bank":"1.75","diff_wl_bank_text":"ต่ำกว่าตลิ่ง (ม.)","river_gid":124472,"river_name":"ลำน้ำกำ"}</x:t>
  </x:si>
  <x:si>
    <x:t xml:space="preserve">THAIWATER_WL:2750</x:t>
  </x:si>
  <x:si>
    <x:t xml:space="preserve">M.184</x:t>
  </x:si>
  <x:si>
    <x:t xml:space="preserve">บ้านซึม</x:t>
  </x:si>
  <x:si>
    <x:t xml:space="preserve">{"id":1316340561,"waterlevel_datetime":"2026-10-01 14:00","waterlevel_m":null,"waterlevel_msl":"154.47","waterlevel_msl_previous":"154.47","flow_rate":null,"discharge":"74.85","storage_percent":"85.44","sort_order":null,"station_type":"tele_waterlevel","situation_level":4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2750,"tele_station_name":{"th":"บ้านซึม"},"tele_station_lat":15.21996,"tele_station_long":102.428299,"tele_station_oldcode":"M.184","tele_station_type":"tele_waterlevel","left_bank":306.024,"right_bank":305.988,"min_bank":155.3,"ground_level":149.6,"offset":150,"sub_basin_id":112,"agency_id":12,"geocode_id":1851,"hydro_id":4,"qmax":126,"is_key_station":true,"warning_level_m":null,"critical_level_m":null,"critical_level_msl":null},"geocode":{"area_code":"4","area_name":{"th":"ภาคตะวันออกเฉียงเหนือ","en":"Northeast"},"amphoe_code":"15","amphoe_name":{"th":"พิมาย","en":"Phimai District"},"tumbon_code":"02","tumbon_name":{"th":"สัมฤทธิ์","en":"Samrit"},"province_code":"30","province_name":{"th":"นครราชสีมา","en":"Nakhon Ratchasima"}},"diff_wl_bank":"0.83","diff_wl_bank_text":"ต่ำกว่าตลิ่ง (ม.)","river_gid":146724,"river_name":"แม่น้ำมูล"}</x:t>
  </x:si>
  <x:si>
    <x:t xml:space="preserve">THAIWATER_WL:3122</x:t>
  </x:si>
  <x:si>
    <x:t xml:space="preserve">Kh.98</x:t>
  </x:si>
  <x:si>
    <x:t xml:space="preserve">บ้านท่ากกแดง</x:t>
  </x:si>
  <x:si>
    <x:t xml:space="preserve">{"id":1316353937,"waterlevel_datetime":"2026-10-01 14:00","waterlevel_m":null,"waterlevel_msl":"147.58","waterlevel_msl_previous":"147.59","flow_rate":null,"discharge":"374.00","storage_percent":"85.27","sort_order":null,"station_type":"tele_waterlevel","situation_level":4,"agency":{"id":12,"agency_name":{"th":"กรมชลประทาน ","en":"Royal Irrigation Department","jp":""},"agency_shortname":{"th":"ชป.","en":"RID","jp":""}},"basin":{"id":3,"basin_code":3,"basin_name":{"th":"ลุ่มน้ำโขงตะวันออกเฉียงเหนือ","en":"Northeast Khong Basin"}},"station":{"id":3122,"tele_station_name":{"th":"บ้านท่ากกแดง"},"tele_station_lat":17.86562,"tele_station_long":103.774361,"tele_station_oldcode":"Kh.98","tele_station_type":"tele_waterlevel","left_bank":289.23900000000003,"right_bank":288.427,"min_bank":149.5,"ground_level":136.461,"offset":136,"sub_basin_id":60,"agency_id":12,"geocode_id":4445,"hydro_id":3,"qmax":640,"is_key_station":true,"warning_level_m":null,"critical_level_m":null,"critical_level_msl":null},"geocode":{"area_code":"4","area_name":{"th":"ภาคตะวันออกเฉียงเหนือ","en":"Northeast"},"amphoe_code":"09","amphoe_name":{"th":"คำตากล้า","en":"Kham Ta Kla District"},"tumbon_code":"01","tumbon_name":{"th":"คำตากล้า","en":"Kham Ta Kla"},"province_code":"47","province_name":{"th":"สกลนคร","en":"Sakon Nakhon"}},"diff_wl_bank":"1.92","diff_wl_bank_text":"ต่ำกว่าตลิ่ง (ม.)","river_gid":110629,"river_name":"แม่น้ำสงคราม"}</x:t>
  </x:si>
  <x:si>
    <x:t xml:space="preserve">THAIWATER_WL:228</x:t>
  </x:si>
  <x:si>
    <x:t xml:space="preserve">MUN002</x:t>
  </x:si>
  <x:si>
    <x:t xml:space="preserve">เฉลิมพระเกียรติ</x:t>
  </x:si>
  <x:si>
    <x:t xml:space="preserve">{"id":1316368147,"waterlevel_datetime":"2026-10-01 15:10","waterlevel_m":null,"waterlevel_msl":"166.77","waterlevel_msl_previous":"166.77","flow_rate":null,"discharge":null,"storage_percent":"84.85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Basin"}},"station":{"id":228,"tele_station_name":{"en":"Mun 2","th":"เฉลิมพระเกียรติ"},"tele_station_lat":14.968,"tele_station_long":102.23782,"tele_station_oldcode":"MUN002","tele_station_type":"tele_waterlevel","left_bank":167.825,"right_bank":169.871,"min_bank":167.83,"ground_level":160.876,"offset":null,"sub_basin_id":107,"agency_id":9,"geocode_id":1992,"hydro_id":null,"qmax":null,"is_key_station":false,"warning_level_m":null,"critical_level_m":null,"critical_level_msl":null},"geocode":{"area_code":"4","area_name":{"th":"ภาคตะวันออกเฉียงเหนือ","en":"Northeast"},"amphoe_code":"32","amphoe_name":{"th":"เฉลิมพระเกียรติ","en":"Chaloem Phra Kiat District"},"tumbon_code":"05","tumbon_name":{"th":"หนองยาง","en":"Nong Yang"},"province_code":"30","province_name":{"th":"นครราชสีมา","en":"Nakhon Ratchasima"}},"diff_wl_bank":"1.05","diff_wl_bank_text":"ต่ำกว่าตลิ่ง (ม.)","river_gid":149585,"river_name":"แม่น้ำมูล"}</x:t>
  </x:si>
  <x:si>
    <x:t xml:space="preserve">THAIWATER_WL:726673</x:t>
  </x:si>
  <x:si>
    <x:t xml:space="preserve">X.67A</x:t>
  </x:si>
  <x:si>
    <x:t xml:space="preserve">บ้านนาสีทอง</x:t>
  </x:si>
  <x:si>
    <x:t xml:space="preserve">คลองรัตภูมิ</x:t>
  </x:si>
  <x:si>
    <x:t xml:space="preserve">{"id":1316344736,"waterlevel_datetime":"2026-10-01 14:00","waterlevel_m":null,"waterlevel_msl":"33.66","waterlevel_msl_previous":"33.65","flow_rate":null,"discharge":"5.90","storage_percent":"84.78","sort_order":null,"station_type":"tele_waterlevel","situation_level":4,"agency":{"id":12,"agency_name":{"th":"กรมชลประทาน ","en":"Royal Irrigation Department","jp":""},"agency_shortname":{"th":"ชป.","en":"RID","jp":""}},"basin":{"id":24,"basin_code":20,"basin_name":{"th":"ลุ่มน้ำทะเลสาบสงขลา","en":"Thale Sap Songkhla Basin"}},"station":{"id":726673,"tele_station_name":{"th":"บ้านนาสีทอง"},"tele_station_lat":7.10502,"tele_station_long":100.193932,"tele_station_oldcode":"X.67A","tele_station_type":"tele_waterlevel","left_bank":6.278,"right_bank":6.29,"min_bank":39.92,"ground_level":-1.223,"offset":null,"sub_basin_id":330,"agency_id":12,"geocode_id":7859,"hydro_id":8,"qmax":289.600006,"is_key_station":true,"warning_level_m":null,"critical_level_m":null,"critical_level_msl":null},"geocode":{"area_code":"5","area_name":{"th":"ภาคใต้","en":"South"},"amphoe_code":"09","amphoe_name":{"th":"รัตภูมิ","en":"Rattaphum District"},"tumbon_code":"09","tumbon_name":{"th":"เขาพระ","en":"Khao Phra"},"province_code":"90","province_name":{"th":"สงขลา","en":"Songkhla"}},"diff_wl_bank":"6.26","diff_wl_bank_text":"ต่ำกว่าตลิ่ง (ม.)","river_gid":227071,"river_name":"คลองรัตภูมิ"}</x:t>
  </x:si>
  <x:si>
    <x:t xml:space="preserve">THAIWATER_WL:57</x:t>
  </x:si>
  <x:si>
    <x:t xml:space="preserve">CPY017</x:t>
  </x:si>
  <x:si>
    <x:t xml:space="preserve">เสนา</x:t>
  </x:si>
  <x:si>
    <x:t xml:space="preserve">{"id":1316368002,"waterlevel_datetime":"2026-10-01 15:10","waterlevel_m":null,"waterlevel_msl":"2.79","waterlevel_msl_previous":"2.79","flow_rate":null,"discharge":null,"storage_percent":"84.75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57,"tele_station_name":{"en":"Sena","th":"เสนา"},"tele_station_lat":14.31976,"tele_station_long":100.37952,"tele_station_oldcode":"CPY017","tele_station_type":"tele_waterlevel","left_bank":4.278,"right_bank":3.587,"min_bank":3.59,"ground_level":-1.647,"offset":null,"sub_basin_id":240,"agency_id":9,"geocode_id":581,"hydro_id":null,"qmax":null,"is_key_station":false,"warning_level_m":null,"critical_level_m":null,"critical_level_msl":null},"geocode":{"area_code":"2","area_name":{"th":"ภาคกลาง","en":"Central"},"amphoe_code":"12","amphoe_name":{"th":"เสนา","en":"Sena District"},"tumbon_code":"17","tumbon_name":{"th":"เจ้าเสด็จ","en":"Chao Sadet"},"province_code":"14","province_name":{"th":"พระนครศรีอยุธยา","en":"Phra Nakhon Si Ayutthaya"}},"diff_wl_bank":"0.80","diff_wl_bank_text":"ต่ำกว่าตลิ่ง (ม.)","river_gid":182793,"river_name":"แม่น้ำน้อย"}</x:t>
  </x:si>
  <x:si>
    <x:t xml:space="preserve">THAIWATER_WL:714</x:t>
  </x:si>
  <x:si>
    <x:t xml:space="preserve">KRN001</x:t>
  </x:si>
  <x:si>
    <x:t xml:space="preserve">เมืองกาญจนบุรี</x:t>
  </x:si>
  <x:si>
    <x:t xml:space="preserve">{"id":1316368071,"waterlevel_datetime":"2026-10-01 15:10","waterlevel_m":null,"waterlevel_msl":"24.84","waterlevel_msl_previous":"24.84","flow_rate":null,"discharge":null,"storage_percent":"84.44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Organization)","jp":""},"agency_shortname":{"th":"สสน.","en":"HII","jp":""}},"basin":{"id":15,"basin_code":14,"basin_name":{"th":"ลุ่มน้ำแม่กลอง","en":"Mae Klong Basin"}},"station":{"id":714,"tele_station_name":{"en":"Kanchanaburi 1","th":"เมืองกาญจนบุรี"},"tele_station_lat":14.06047,"tele_station_long":99.48325,"tele_station_oldcode":"KRN001","tele_station_type":"tele_waterlevel","left_bank":26.37,"right_bank":25.685,"min_bank":25.69,"ground_level":20.28,"offset":null,"sub_basin_id":268,"agency_id":9,"geocode_id":6587,"hydro_id":null,"qmax":null,"is_key_station":false,"warning_level_m":null,"critical_level_m":null,"critical_level_msl":null},"geocode":{"area_code":"2","area_name":{"th":"ภาคกลาง","en":"Central"},"amphoe_code":"01","amphoe_name":{"th":"เมืองกาญจนบุรี","en":"Mueang Kanchanaburi District"},"tumbon_code":"05","tumbon_name":{"th":"แก่งเสี้ยน","en":"Kaeng Sian"},"province_code":"71","province_name":{"th":"กาญจนบุรี","en":"Kanchanaburi"}},"diff_wl_bank":"0.84","diff_wl_bank_text":"ต่ำกว่าตลิ่ง (ม.)","river_gid":184999,"river_name":"แม่น้ำแควใหญ่"}</x:t>
  </x:si>
  <x:si>
    <x:t xml:space="preserve">THAIWATER_WL:1085211</x:t>
  </x:si>
  <x:si>
    <x:t xml:space="preserve">SKN003</x:t>
  </x:si>
  <x:si>
    <x:t xml:space="preserve">สะพานกะลูบี บ้านสายปารี</x:t>
  </x:si>
  <x:si>
    <x:t xml:space="preserve">แม่น้ำสายบุรี</x:t>
  </x:si>
  <x:si>
    <x:t xml:space="preserve">{"id":1316368323,"waterlevel_datetime":"2026-10-01 15:10","waterlevel_m":null,"waterlevel_msl":"21.30","waterlevel_msl_previous":"21.30","flow_rate":null,"discharge":null,"storage_percent":"84.29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Organization)","jp":""},"agency_shortname":{"th":"สสน.","en":"HII","jp":""}},"basin":{"id":26,"basin_code":21,"basin_name":{"th":"ลุ่มน้ำภาคใต้ฝั่งตะวันออกตอนล่าง","en":"Peninsula - Lower East Coast Basin"}},"station":{"id":1085211,"tele_station_name":{"en":"Ka Lu Bi Ban Sai Pa Ri Bridge","th":"สะพานกะลูบี บ้านสายปารี"},"tele_station_lat":5.895713,"tele_station_long":101.76639,"tele_station_oldcode":"SKN003","tele_station_type":"tele_waterlevel","left_bank":24.023,"right_bank":24.313,"min_bank":24.02,"ground_level":6.695,"offset":null,"sub_basin_id":338,"agency_id":9,"geocode_id":8395,"hydro_id":null,"qmax":null,"is_key_station":false,"warning_level_m":null,"critical_level_m":null,"critical_level_msl":null},"geocode":{"area_code":"5","area_name":{"th":"ภาคใต้","en":"South"},"amphoe_code":"09","amphoe_name":{"th":"สุคิริน","en":"Sukhirin District"},"tumbon_code":"01","tumbon_name":{"th":"มาโมง","en":"Ma Mong"},"province_code":"96","province_name":{"th":"นราธิวาส","en":"Narathiwat"}},"diff_wl_bank":"2.72","diff_wl_bank_text":"ต่ำกว่าตลิ่ง (ม.)","river_gid":232327,"river_name":"แม่น้ำสายบุรี"}</x:t>
  </x:si>
  <x:si>
    <x:t xml:space="preserve">THAIWATER_WL:2635</x:t>
  </x:si>
  <x:si>
    <x:t xml:space="preserve">X.265</x:t>
  </x:si>
  <x:si>
    <x:t xml:space="preserve">หน้าวัดภูผาพิมุข</x:t>
  </x:si>
  <x:si>
    <x:t xml:space="preserve">คลองบ้านแร่</x:t>
  </x:si>
  <x:si>
    <x:t xml:space="preserve">{"id":1316344782,"waterlevel_datetime":"2026-10-01 14:00","waterlevel_m":null,"waterlevel_msl":"6.74","waterlevel_msl_previous":"0.00","flow_rate":null,"discharge":null,"storage_percent":"84.25","sort_order":null,"station_type":"tele_waterlevel","situation_level":4,"agency":{"id":12,"agency_name":{"th":"กรมชลประทาน ","en":"Royal Irrigation Department","jp":""},"agency_shortname":{"th":"ชป.","en":"RID","jp":""}},"basin":{"id":24,"basin_code":20,"basin_name":{"th":"ลุ่มน้ำทะเลสาบสงขลา","en":"Thale Sap Songkhla Basin"}},"station":{"id":2635,"tele_station_name":{"th":"หน้าวัดภูผาพิมุข"},"tele_station_lat":7.61689,"tele_station_long":100.078903,"tele_station_oldcode":"X.265","tele_station_type":"tele_waterlevel","left_bank":8,"right_bank":8,"min_bank":8,"ground_level":0,"offset":null,"sub_basin_id":329,"agency_id":12,"geocode_id":8060,"hydro_id":8,"qmax":null,"is_key_station":true,"warning_level_m":null,"critical_level_m":null,"critical_level_msl":null},"geocode":{"area_code":"5","area_name":{"th":"ภาคใต้","en":"South"},"amphoe_code":"01","amphoe_name":{"th":"เมืองพัทลุง","en":"Mueang Phatthalung District"},"tumbon_code":"01","tumbon_name":{"th":"คูหาสวรรค์","en":"Khuha Sawan"},"province_code":"93","province_name":{"th":"พัทลุง","en":"Phatthalung"}},"diff_wl_bank":"1.26","diff_wl_bank_text":"ต่ำกว่าตลิ่ง (ม.)","river_gid":224490,"river_name":"คลองบ้านแร่"}</x:t>
  </x:si>
  <x:si>
    <x:t xml:space="preserve">THAIWATER_WL:1106455</x:t>
  </x:si>
  <x:si>
    <x:t xml:space="preserve">TCP009</x:t>
  </x:si>
  <x:si>
    <x:t xml:space="preserve">สถานีสูบน้ำปากคลองสระตาแวว (ทุ่งซ้ายคลองชัยนาท)</x:t>
  </x:si>
  <x:si>
    <x:t xml:space="preserve">คลองโพนทอง</x:t>
  </x:si>
  <x:si>
    <x:t xml:space="preserve">{"id":1316368376,"waterlevel_datetime":"2026-10-01 15:10","waterlevel_m":null,"waterlevel_msl":"12.79","waterlevel_msl_previous":"12.79","flow_rate":null,"discharge":null,"storage_percent":"84.03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Basin"}},"station":{"id":1106455,"tele_station_name":{"en":"Khlong Sa Ta Waeo Pumping Station","th":"สถานีสูบน้ำปากคลองสระตาแวว (ทุ่งซ้ายคลองชัยนาท)"},"tele_station_lat":14.940779,"tele_station_long":100.59284,"tele_station_oldcode":"TCP009","tele_station_type":"tele_waterlevel","left_bank":15.25,"right_bank":15.22,"min_bank":15.22,"ground_level":0,"offset":null,"sub_basin_id":240,"agency_id":9,"geocode_id":787,"hydro_id":null,"qmax":null,"is_key_station":false,"warning_level_m":null,"critical_level_m":null,"critical_level_msl":null},"geocode":{"area_code":"2","area_name":{"th":"ภาคกลาง","en":"Central"},"amphoe_code":"06","amphoe_name":{"th":"บ้านหมี่","en":"Ban Mi District"},"tumbon_code":"06","tumbon_name":{"th":"พุคา","en":"Phu Kha"},"province_code":"16","province_name":{"th":"ลพบุรี","en":"Lop Buri"}},"diff_wl_bank":"2.43","diff_wl_bank_text":"ต่ำกว่าตลิ่ง (ม.)","river_gid":177693,"river_name":"คลองโพนทอง"}</x:t>
  </x:si>
  <x:si>
    <x:t xml:space="preserve">THAIWATER_WL:1124040</x:t>
  </x:si>
  <x:si>
    <x:t xml:space="preserve">X.73A</x:t>
  </x:si>
  <x:si>
    <x:t xml:space="preserve">บ้านบองอ </x:t>
  </x:si>
  <x:si>
    <x:t xml:space="preserve">คลองบองอ</x:t>
  </x:si>
  <x:si>
    <x:t xml:space="preserve">{"id":1316344871,"waterlevel_datetime":"2026-10-01 14:00","waterlevel_m":null,"waterlevel_msl":"22.46","waterlevel_msl_previous":"22.38","flow_rate":null,"discharge":null,"storage_percent":"83.81","sort_order":null,"station_type":"tele_waterlevel","situation_level":4,"agency":{"id":12,"agency_name":{"th":"กรมชลประทาน ","en":"Royal Irrigation Department","jp":""},"agency_shortname":{"th":"ชป.","en":"RID","jp":""}},"basin":{"id":26,"basin_code":21,"basin_name":{"th":"ลุ่มน้ำภาคใต้ฝั่งตะวันออกตอนล่าง","en":"Peninsula - Lower East Coast Basin"}},"station":{"id":1124040,"tele_station_name":{"th":"บ้านบองอ "},"tele_station_lat":6.16992,"tele_station_long":101.713257,"tele_station_oldcode":"X.73A","tele_station_type":"tele_waterlevel","left_bank":26.799999,"right_bank":26.799999,"min_bank":26.8,"ground_level":0,"offset":null,"sub_basin_id":339,"agency_id":12,"geocode_id":8365,"hydro_id":8,"qmax":null,"is_key_station":true,"warning_level_m":null,"critical_level_m":null,"critical_level_msl":null},"geocode":{"area_code":"5","area_name":{"th":"ภาคใต้","en":"South"},"amphoe_code":"05","amphoe_name":{"th":"ระแงะ","en":"Ra-ngae District"},"tumbon_code":"06","tumbon_name":{"th":"บองอ","en":"Bo-Ngo"},"province_code":"96","province_name":{"th":"นราธิวาส","en":"Narathiwat"}},"diff_wl_bank":"4.34","diff_wl_bank_text":"ต่ำกว่าตลิ่ง (ม.)","river_gid":231417,"river_name":"คลองบองอ"}</x:t>
  </x:si>
  <x:si>
    <x:t xml:space="preserve">THAIWATER_WL:79</x:t>
  </x:si>
  <x:si>
    <x:t xml:space="preserve">THA001</x:t>
  </x:si>
  <x:si>
    <x:t xml:space="preserve">สะพานคง-ศุข ศรีสวัสดิ์</x:t>
  </x:si>
  <x:si>
    <x:t xml:space="preserve">{"id":1316368380,"waterlevel_datetime":"2026-10-01 15:10","waterlevel_m":null,"waterlevel_msl":"17.89","waterlevel_msl_previous":"17.89","flow_rate":null,"discharge":null,"storage_percent":"83.74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Basin"}},"station":{"id":79,"tele_station_name":{"en":"Tha Chin 1","th":"สะพานคง-ศุข ศรีสวัสดิ์"},"tele_station_lat":15.225,"tele_station_long":100.07824,"tele_station_oldcode":"THA001","tele_station_type":"tele_waterlevel","left_bank":19.785,"right_bank":19.418,"min_bank":19.42,"ground_level":10.034,"offset":null,"sub_basin_id":240,"agency_id":9,"geocode_id":894,"hydro_id":null,"qmax":null,"is_key_station":false,"warning_level_m":null,"critical_level_m":null,"critical_level_msl":null},"geocode":{"area_code":"2","area_name":{"th":"ภาคกลาง","en":"Central"},"amphoe_code":"01","amphoe_name":{"th":"เมืองชัยนาท","en":"Mueang Chai Nat District"},"tumbon_code":"06","tumbon_name":{"th":"หาดท่าเสา","en":"Hat Tha Sao"},"province_code":"18","province_name":{"th":"ชัยนาท","en":"Chai Nat"}},"diff_wl_bank":"1.53","diff_wl_bank_text":"ต่ำกว่าตลิ่ง (ม.)","river_gid":174877,"river_name":"แม่น้ำท่าจีน"}</x:t>
  </x:si>
  <x:si>
    <x:t xml:space="preserve">THAIWATER_WL:587</x:t>
  </x:si>
  <x:si>
    <x:t xml:space="preserve">SKG007</x:t>
  </x:si>
  <x:si>
    <x:t xml:space="preserve">คลองกลาง</x:t>
  </x:si>
  <x:si>
    <x:t xml:space="preserve">คลองตะกวด</x:t>
  </x:si>
  <x:si>
    <x:t xml:space="preserve">{"id":1316368318,"waterlevel_datetime":"2026-10-01 15:10","waterlevel_m":null,"waterlevel_msl":"73.48","waterlevel_msl_previous":"73.48","flow_rate":null,"discharge":null,"storage_percent":"83.61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Organization)","jp":""},"agency_shortname":{"th":"สสน.","en":"HII","jp":""}},"basin":{"id":12,"basin_code":11,"basin_name":{"th":"ลุ่มน้ำสะแกกรัง","en":"Sakae Krang Basin"}},"station":{"id":587,"tele_station_name":{"en":"Sakae Krang 7","th":"คลองกลาง"},"tele_station_lat":15.7832,"tele_station_long":99.65321,"tele_station_oldcode":"SKG007","tele_station_type":"tele_waterlevel","left_bank":74.1,"right_bank":74.15,"min_bank":74.1,"ground_level":70.31,"offset":null,"sub_basin_id":242,"agency_id":9,"geocode_id":5774,"hydro_id":null,"qmax":null,"is_key_station":false,"warning_level_m":null,"critical_level_m":null,"critical_level_msl":null},"geocode":{"area_code":"3","area_name":{"th":"ภาคเหนือ","en":"North"},"amphoe_code":"11","amphoe_name":{"th":"ลาดยาว","en":"Lat Yao District"},"tumbon_code":"16","tumbon_name":{"th":"ศาลเจ้าไก่ต่อ","en":"San Chao Kai To"},"province_code":"60","province_name":{"th":"นครสวรรค์","en":"Nakhon Sawan"}},"diff_wl_bank":"0.62","diff_wl_bank_text":"ต่ำกว่าตลิ่ง (ม.)","river_gid":168261,"river_name":"คลองตะกวด"}</x:t>
  </x:si>
  <x:si>
    <x:t xml:space="preserve">THAIWATER_WL:12481</x:t>
  </x:si>
  <x:si>
    <x:t xml:space="preserve">STU002</x:t>
  </x:si>
  <x:si>
    <x:t xml:space="preserve">ละงู</x:t>
  </x:si>
  <x:si>
    <x:t xml:space="preserve">คลองละงู</x:t>
  </x:si>
  <x:si>
    <x:t xml:space="preserve">{"id":1316368333,"waterlevel_datetime":"2026-10-01 15:10","waterlevel_m":null,"waterlevel_msl":"2.06","waterlevel_msl_previous":"2.08","flow_rate":null,"discharge":null,"storage_percent":"83.29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12481,"tele_station_name":{"en":"La-ngu","th":"ละงู"},"tele_station_lat":6.885757,"tele_station_long":99.804344,"tele_station_oldcode":"STU002","tele_station_type":"tele_waterlevel","left_bank":4.233,"right_bank":4.223,"min_bank":4.22,"ground_level":-8.72,"offset":null,"sub_basin_id":351,"agency_id":9,"geocode_id":7946,"hydro_id":null,"qmax":null,"is_key_station":false,"warning_level_m":null,"critical_level_m":null,"critical_level_msl":null},"geocode":{"area_code":"5","area_name":{"th":"ภาคใต้","en":"South"},"amphoe_code":"05","amphoe_name":{"th":"ละงู","en":"La-ngu District"},"tumbon_code":"02","tumbon_name":{"th":"ละงู","en":"La-Ngu"},"province_code":"91","province_name":{"th":"สตูล","en":"Satun"}},"diff_wl_bank":"2.16","diff_wl_bank_text":"ต่ำกว่าตลิ่ง (ม.)","river_gid":227877,"river_name":"คลองละงู"}</x:t>
  </x:si>
  <x:si>
    <x:t xml:space="preserve">THAIWATER_WL:1105332</x:t>
  </x:si>
  <x:si>
    <x:t xml:space="preserve">TCP006</x:t>
  </x:si>
  <x:si>
    <x:t xml:space="preserve">ปตร กุฎิ (ทุ่งป่าโมก)</x:t>
  </x:si>
  <x:si>
    <x:t xml:space="preserve">{"id":1316368373,"waterlevel_datetime":"2026-10-01 15:10","waterlevel_m":null,"waterlevel_msl":"5.90","waterlevel_msl_previous":"5.91","flow_rate":null,"discharge":null,"storage_percent":"83.08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Basin"}},"station":{"id":1105332,"tele_station_name":{"en":"Ku Ti","th":"ปตร กุฎิ (ทุ่งป่าโมก)"},"tele_station_lat":14.412405,"tele_station_long":100.40116,"tele_station_oldcode":"TCP006","tele_station_type":"tele_waterlevel","left_bank":7,"right_bank":7,"min_bank":7,"ground_level":0.5,"offset":null,"sub_basin_id":240,"agency_id":9,"geocode_id":525,"hydro_id":null,"qmax":null,"is_key_station":false,"warning_level_m":null,"critical_level_m":null,"critical_level_msl":null},"geocode":{"area_code":"2","area_name":{"th":"ภาคกลาง","en":"Central"},"amphoe_code":"08","amphoe_name":{"th":"ผักไห่","en":"Phak Hai District"},"tumbon_code":"06","tumbon_name":{"th":"ท่าดินแดง","en":"Tha Din Daeng"},"province_code":"14","province_name":{"th":"พระนครศรีอยุธยา","en":"Phra Nakhon Si Ayutthaya"}},"diff_wl_bank":"1.10","diff_wl_bank_text":"ต่ำกว่าตลิ่ง (ม.)","river_gid":181980,"river_name":"แม่น้ำน้อย"}</x:t>
  </x:si>
  <x:si>
    <x:t xml:space="preserve">THAIWATER_WL:700555</x:t>
  </x:si>
  <x:si>
    <x:t xml:space="preserve">MKSND05</x:t>
  </x:si>
  <x:si>
    <x:t xml:space="preserve">วัดหนองปรือ</x:t>
  </x:si>
  <x:si>
    <x:t xml:space="preserve">{"id":1316366853,"waterlevel_datetime":"2026-10-01 15:00","waterlevel_m":null,"waterlevel_msl":"129.29","waterlevel_msl_previous":"129.36","flow_rate":null,"discharge":"19.46","storage_percent":"82.62","sort_order":null,"station_type":"tele_waterlevel","situation_level":4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700555,"tele_station_name":{"th":"วัดหนองปรือ"},"tele_station_lat":14.609306,"tele_station_long":99.457694,"tele_station_oldcode":"MKSND05","tele_station_type":"tele_waterlevel","left_bank":131.89,"right_bank":130.18,"min_bank":130.18,"ground_level":125.06,"offset":null,"sub_basin_id":267,"agency_id":8,"geocode_id":6685,"hydro_id":null,"qmax":null,"is_key_station":false,"warning_level_m":null,"critical_level_m":null,"critical_level_msl":129.68},"geocode":{"area_code":"2","area_name":{"th":"ภาคกลาง","en":"Central"},"amphoe_code":"12","amphoe_name":{"th":"หนองปรือ","en":"Nong Prue District"},"tumbon_code":"01","tumbon_name":{"th":"หนองปรือ","en":"Nong Prue"},"province_code":"71","province_name":{"th":"กาญจนบุรี","en":"Kanchanaburi"}},"diff_wl_bank":"0.89","diff_wl_bank_text":"ต่ำกว่าตลิ่ง (ม.)","river_gid":180728,"river_name":"ลำตะเพิน"}</x:t>
  </x:si>
  <x:si>
    <x:t xml:space="preserve">THAIWATER_WL:1109497</x:t>
  </x:si>
  <x:si>
    <x:t xml:space="preserve">ONE008</x:t>
  </x:si>
  <x:si>
    <x:t xml:space="preserve">ปตร. ห้วยแคน-เหนือน้ำ</x:t>
  </x:si>
  <x:si>
    <x:t xml:space="preserve">ห้วยแคน</x:t>
  </x:si>
  <x:si>
    <x:t xml:space="preserve">{"id":1316368187,"waterlevel_datetime":"2026-10-01 15:10","waterlevel_m":null,"waterlevel_msl":"138.85","waterlevel_msl_previous":"138.85","flow_rate":null,"discharge":null,"storage_percent":"82.42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Basin"}},"station":{"id":1109497,"tele_station_name":{"en":"Upper Huai Kean Upper Gate","th":"ปตร. ห้วยแคน-เหนือน้ำ"},"tele_station_lat":16.928366,"tele_station_long":104.72031,"tele_station_oldcode":"ONE008","tele_station_type":"tele_waterlevel","left_bank":139.892,"right_bank":140.596,"min_bank":139.89,"ground_level":133.964,"offset":null,"sub_basin_id":70,"agency_id":9,"geocode_id":4561,"hydro_id":null,"qmax":null,"is_key_station":false,"warning_level_m":null,"critical_level_m":null,"critical_level_msl":null},"geocode":{"area_code":"4","area_name":{"th":"ภาคตะวันออกเฉียงเหนือ","en":"Northeast"},"amphoe_code":"05","amphoe_name":{"th":"ธาตุพนม","en":"That Phanom District"},"tumbon_code":"01","tumbon_name":{"th":"ธาตุพนม","en":"That Phanom"},"province_code":"48","province_name":{"th":"นครพนม","en":"Nakhon Phanom"}},"diff_wl_bank":"1.04","diff_wl_bank_text":"ต่ำกว่าตลิ่ง (ม.)","river_gid":124439,"river_name":"ห้วยแคน"}</x:t>
  </x:si>
  <x:si>
    <x:t xml:space="preserve">THAIWATER_WL:218</x:t>
  </x:si>
  <x:si>
    <x:t xml:space="preserve">MUN003</x:t>
  </x:si>
  <x:si>
    <x:t xml:space="preserve">ชุมพวง</x:t>
  </x:si>
  <x:si>
    <x:t xml:space="preserve">{"id":1316368148,"waterlevel_datetime":"2026-10-01 15:10","waterlevel_m":null,"waterlevel_msl":"146.22","waterlevel_msl_previous":"146.22","flow_rate":null,"discharge":null,"storage_percent":"82.29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Basin"}},"station":{"id":218,"tele_station_name":{"en":"Mun 3","th":"ชุมพวง"},"tele_station_lat":15.28663,"tele_station_long":102.68459,"tele_station_oldcode":"MUN003","tele_station_type":"tele_waterlevel","left_bank":147.568,"right_bank":148.676,"min_bank":147.57,"ground_level":139.977,"offset":null,"sub_basin_id":115,"agency_id":9,"geocode_id":1876,"hydro_id":null,"qmax":null,"is_key_station":false,"warning_level_m":null,"critical_level_m":null,"critical_level_msl":null},"geocode":{"area_code":"4","area_name":{"th":"ภาคตะวันออกเฉียงเหนือ","en":"Northeast"},"amphoe_code":"17","amphoe_name":{"th":"ชุมพวง","en":"Chum Phuang District"},"tumbon_code":"03","tumbon_name":{"th":"ท่าลาด","en":"Tha Lat"},"province_code":"30","province_name":{"th":"นครราชสีมา","en":"Nakhon Ratchasima"}},"diff_wl_bank":"1.34","diff_wl_bank_text":"ต่ำกว่าตลิ่ง (ม.)","river_gid":146212,"river_name":"ลำปลายมาศ"}</x:t>
  </x:si>
  <x:si>
    <x:t xml:space="preserve">THAIWATER_WL:573</x:t>
  </x:si>
  <x:si>
    <x:t xml:space="preserve">NAN008</x:t>
  </x:si>
  <x:si>
    <x:t xml:space="preserve">ชุมแสง</x:t>
  </x:si>
  <x:si>
    <x:t xml:space="preserve">{"id":1316368166,"waterlevel_datetime":"2026-10-01 15:10","waterlevel_m":null,"waterlevel_msl":"25.88","waterlevel_msl_previous":"25.88","flow_rate":null,"discharge":null,"storage_percent":"82.22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Basin"}},"station":{"id":573,"tele_station_name":{"en":"Nan 8","th":"ชุมแสง"},"tele_station_lat":15.86923,"tele_station_long":100.26481,"tele_station_oldcode":"NAN008","tele_station_type":"tele_waterlevel","left_bank":28.685,"right_bank":27.97,"min_bank":27.97,"ground_level":16.208,"offset":null,"sub_basin_id":238,"agency_id":9,"geocode_id":5681,"hydro_id":null,"qmax":null,"is_key_station":false,"warning_level_m":null,"critical_level_m":null,"critical_level_msl":null},"geocode":{"area_code":"3","area_name":{"th":"ภาคเหนือ","en":"North"},"amphoe_code":"03","amphoe_name":{"th":"ชุมแสง","en":"Chum Saeng District"},"tumbon_code":"04","tumbon_name":{"th":"เกยไชย","en":"Koei Chai"},"province_code":"60","province_name":{"th":"นครสวรรค์","en":"Nakhon Sawan"}},"diff_wl_bank":"2.09","diff_wl_bank_text":"ต่ำกว่าตลิ่ง (ม.)","river_gid":102109,"river_name":"แม่น้ำน่าน"}</x:t>
  </x:si>
  <x:si>
    <x:t xml:space="preserve">THAIWATER_WL:3476</x:t>
  </x:si>
  <x:si>
    <x:t xml:space="preserve">PMTS4</x:t>
  </x:si>
  <x:si>
    <x:t xml:space="preserve">แม่น้ำมูล วัดปากโดม</x:t>
  </x:si>
  <x:si>
    <x:t xml:space="preserve">{"id":1316350554,"waterlevel_datetime":"2026-10-01 14:00","waterlevel_m":null,"waterlevel_msl":"110.49","waterlevel_msl_previous":"110.50","flow_rate":null,"discharge":null,"storage_percent":"82.22","sort_order":null,"station_type":"tele_waterlevel","situation_level":4,"agency":{"id":8,"agency_name":{"th":"การไฟฟ้าฝ่ายผลิตแห่งประเทศไทย","en":"Electricity Generating Authority of Thailand","jp":""},"agency_shortname":{"th":"กฟผ.","en":"EGAT","jp":""}},"basin":{"id":5,"basin_code":5,"basin_name":{"th":"ลุ่มน้ำมูล","en":"Mun Basin"}},"station":{"id":3476,"tele_station_name":{"th":"แม่น้ำมูล วัดปากโดม"},"tele_station_lat":15.30606,"tele_station_long":105.17113,"tele_station_oldcode":"PMTS4","tele_station_type":"tele_waterlevel","left_bank":112.81,"right_bank":118.62,"min_bank":112.81,"ground_level":99.76,"offset":null,"sub_basin_id":151,"agency_id":8,"geocode_id":2783,"hydro_id":null,"qmax":null,"is_key_station":false,"warning_level_m":null,"critical_level_m":null,"critical_level_msl":112.81},"geocode":{"area_code":"4","area_name":{"th":"ภาคตะวันออกเฉียงเหนือ","en":"Northeast"},"amphoe_code":"19","amphoe_name":{"th":"พิบูลมังสาหาร","en":"Phibun Mangsahan District"},"tumbon_code":"09","tumbon_name":{"th":"โพธิ์ไทร","en":"Pho Sai"},"province_code":"34","province_name":{"th":"อุบลราชธานี","en":"Ubon Ratchathani"}},"diff_wl_bank":"2.32","diff_wl_bank_text":"ต่ำกว่าตลิ่ง (ม.)","river_gid":145329,"river_name":"แม่น้ำมูล"}</x:t>
  </x:si>
  <x:si>
    <x:t xml:space="preserve">THAIWATER_WL:740740</x:t>
  </x:si>
  <x:si>
    <x:t xml:space="preserve">FOP039</x:t>
  </x:si>
  <x:si>
    <x:t xml:space="preserve">สะพานท่าสำเภา</x:t>
  </x:si>
  <x:si>
    <x:t xml:space="preserve">คลองปากประ</x:t>
  </x:si>
  <x:si>
    <x:t xml:space="preserve">{"id":1316367733,"waterlevel_datetime":"2026-10-01 15:10","waterlevel_m":null,"waterlevel_msl":"0.22","waterlevel_msl_previous":"0.22","flow_rate":null,"discharge":null,"storage_percent":"81.85","sort_order":null,"station_type":"tele_waterlevel","situation_level":4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Foundation","jp":""},"agency_shortname":{"th":"พพภ","en":"FOP","jp":""}},"basin":{"id":24,"basin_code":20,"basin_name":{"th":"ลุ่มน้ำทะเลสาบสงขลา","en":"Thale Sap Songkhla Basin"}},"station":{"id":740740,"tele_station_name":{"en":"Tha Samphao Bridge","th":"สะพานท่าสำเภา"},"tele_station_lat":7.729605,"tele_station_long":100.10799,"tele_station_oldcode":"FOP039","tele_station_type":"tele_waterlevel","left_bank":1.3336,"right_bank":2.2536,"min_bank":1.33,"ground_level":-4.8004,"offset":null,"sub_basin_id":329,"sponsor_by":"มูลนิธิอาสาเพื่อนพึ่ง (ภาฯ) ยามยาก สภากาชาดไทย","agency_id":91,"geocode_id":8071,"hydro_id":null,"qmax":null,"is_key_station":false,"warning_level_m":null,"critical_level_m":null,"critical_level_msl":null},"geocode":{"area_code":"5","area_name":{"th":"ภาคใต้","en":"South"},"amphoe_code":"01","amphoe_name":{"th":"เมืองพัทลุง","en":"Mueang Phatthalung District"},"tumbon_code":"13","tumbon_name":{"th":"ชัยบุรี","en":"Chai Buri"},"province_code":"93","province_name":{"th":"พัทลุง","en":"Phatthalung"}},"diff_wl_bank":"1.11","diff_wl_bank_text":"ต่ำกว่าตลิ่ง (ม.)","river_gid":223991,"river_name":"คลองปากประ"}</x:t>
  </x:si>
  <x:si>
    <x:t xml:space="preserve">THAIWATER_WL:1085209</x:t>
  </x:si>
  <x:si>
    <x:t xml:space="preserve">SKN001</x:t>
  </x:si>
  <x:si>
    <x:t xml:space="preserve">สะพานไอร์ปาโจ</x:t>
  </x:si>
  <x:si>
    <x:t xml:space="preserve">คลองไอร์ปาโจ</x:t>
  </x:si>
  <x:si>
    <x:t xml:space="preserve">{"id":1316368322,"waterlevel_datetime":"2026-10-01 15:10","waterlevel_m":null,"waterlevel_msl":"92.20","waterlevel_msl_previous":"92.20","flow_rate":null,"discharge":null,"storage_percent":"81.83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Organization)","jp":""},"agency_shortname":{"th":"สสน.","en":"HII","jp":""}},"basin":{"id":26,"basin_code":21,"basin_name":{"th":"ลุ่มน้ำภาคใต้ฝั่งตะวันออกตอนล่าง","en":"Peninsula - Lower East Coast Basin"}},"station":{"id":1085209,"tele_station_name":{"en":"Ai Pa Cho Bridge","th":"สะพานไอร์ปาโจ"},"tele_station_lat":5.835714,"tele_station_long":101.73493,"tele_station_oldcode":"SKN001","tele_station_type":"tele_waterlevel","left_bank":95.249,"right_bank":95.051,"min_bank":95.05,"ground_level":79.356,"offset":null,"sub_basin_id":338,"agency_id":9,"geocode_id":8398,"hydro_id":null,"qmax":null,"is_key_station":false,"warning_level_m":null,"critical_level_m":null,"critical_level_msl":null},"geocode":{"area_code":"5","area_name":{"th":"ภาคใต้","en":"South"},"amphoe_code":"09","amphoe_name":{"th":"สุคิริน","en":"Sukhirin District"},"tumbon_code":"04","tumbon_name":{"th":"ภูเขาทอง","en":"Phu Khao Thong"},"province_code":"96","province_name":{"th":"นราธิวาส","en":"Narathiwat"}},"diff_wl_bank":"2.85","diff_wl_bank_text":"ต่ำกว่าตลิ่ง (ม.)","river_gid":232555,"river_name":"คลองไอร์ปาโจ"}</x:t>
  </x:si>
  <x:si>
    <x:t xml:space="preserve">THAIWATER_WL:770</x:t>
  </x:si>
  <x:si>
    <x:t xml:space="preserve">GLF003</x:t>
  </x:si>
  <x:si>
    <x:t xml:space="preserve">บางตะบูนและบางตะบูนออก</x:t>
  </x:si>
  <x:si>
    <x:t xml:space="preserve">คลองบางตะบูน</x:t>
  </x:si>
  <x:si>
    <x:t xml:space="preserve">{"id":1316368040,"waterlevel_datetime":"2026-10-01 15:10","waterlevel_m":null,"waterlevel_msl":"0.66","waterlevel_msl_previous":"0.63","flow_rate":null,"discharge":null,"storage_percent":"81.68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Organization)","jp":""},"agency_shortname":{"th":"สสน.","en":"HII","jp":""}},"basin":{"id":20,"basin_code":18,"basin_name":{"th":"ลุ่มน้ำเพชรบุรี-ประจวบคีรีขันธ์","en":"Phetchaburi - Prachuap Khiri Khan Basin"}},"station":{"id":770,"tele_station_name":{"en":"Bang Taboon and East Bang Taboon","th":"บางตะบูนและบางตะบูนออก"},"tele_station_lat":13.26553,"tele_station_long":99.9418,"tele_station_oldcode":"GLF003","tele_station_type":"tele_waterlevel","left_bank":3.614,"right_bank":2.1,"min_bank":2.1,"ground_level":-5.77,"offset":null,"sub_basin_id":302,"agency_id":9,"geocode_id":7103,"hydro_id":null,"qmax":null,"is_key_station":false,"warning_level_m":null,"critical_level_m":null,"critical_level_msl":null},"geocode":{"area_code":"2","area_name":{"th":"ภาคกลาง","en":"Central"},"amphoe_code":"07","amphoe_name":{"th":"บ้านแหลม","en":"Ban Laem District"},"tumbon_code":"07","tumbon_name":{"th":"บางตะบูนออก","en":"Bang Tabun Ok"},"province_code":"76","province_name":{"th":"เพชรบุรี","en":"Phetchaburi"}},"diff_wl_bank":"1.44","diff_wl_bank_text":"ต่ำกว่าตลิ่ง (ม.)","river_gid":208487,"river_name":"คลองบางตะบูน"}</x:t>
  </x:si>
  <x:si>
    <x:t xml:space="preserve">THAIWATER_WL:2881</x:t>
  </x:si>
  <x:si>
    <x:t xml:space="preserve">S.4B</x:t>
  </x:si>
  <x:si>
    <x:t xml:space="preserve">ต.ในเมือง</x:t>
  </x:si>
  <x:si>
    <x:t xml:space="preserve">{"id":1316341626,"waterlevel_datetime":"2026-10-01 14:00","waterlevel_m":null,"waterlevel_msl":"114.53","waterlevel_msl_previous":"114.55","flow_rate":null,"discharge":"106.90","storage_percent":"81.40","sort_order":null,"station_type":"tele_waterlevel","situation_level":4,"agency":{"id":12,"agency_name":{"th":"กรมชลประทาน ","en":"Royal Irrigation Department","jp":""},"agency_shortname":{"th":"ชป.","en":"RID","jp":""}},"basin":{"id":13,"basin_code":12,"basin_name":{"th":"ลุ่มน้ำป่าสัก","en":"Pasak Basin"}},"station":{"id":2881,"tele_station_name":{"th":"ต.ในเมือง"},"tele_station_lat":16.42322,"tele_station_long":101.162079,"tele_station_oldcode":"S.4B","tele_station_type":"tele_waterlevel","left_bank":223.372,"right_bank":223.559,"min_bank":115.7,"ground_level":109.41,"offset":106.5,"sub_basin_id":249,"agency_id":12,"geocode_id":6340,"hydro_id":2,"qmax":190,"is_key_station":true,"warning_level_m":null,"critical_level_m":null,"critical_level_msl":null},"geocode":{"area_code":"3","area_name":{"th":"ภาคเหนือ","en":"North"},"amphoe_code":"01","amphoe_name":{"th":"เมืองเพชรบูรณ์","en":"Mueang Phetchabun District"},"tumbon_code":"01","tumbon_name":{"th":"ในเมือง","en":"Nai Mueang"},"province_code":"67","province_name":{"th":"เพชรบูรณ์","en":"Phetchabun"}},"diff_wl_bank":"1.17","diff_wl_bank_text":"ต่ำกว่าตลิ่ง (ม.)","river_gid":164102,"river_name":"แม่น้ำป่าสัก"}</x:t>
  </x:si>
  <x:si>
    <x:t xml:space="preserve">THAIWATER_WL:396</x:t>
  </x:si>
  <x:si>
    <x:t xml:space="preserve">SKM005</x:t>
  </x:si>
  <x:si>
    <x:t xml:space="preserve">สว่างแดนดิน</x:t>
  </x:si>
  <x:si>
    <x:t xml:space="preserve">{"id":1316368321,"waterlevel_datetime":"2026-10-01 15:10","waterlevel_m":null,"waterlevel_msl":"154.72","waterlevel_msl_previous":"154.72","flow_rate":null,"discharge":null,"storage_percent":"80.77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Basin"}},"station":{"id":396,"tele_station_name":{"en":"Sawang Daen Din","th":"สว่างแดนดิน"},"tele_station_lat":17.594717,"tele_station_long":103.38448,"tele_station_oldcode":"SKM005","tele_station_type":"tele_waterlevel","left_bank":157.313,"right_bank":156.234,"min_bank":156.23,"ground_level":148.36,"offset":null,"sub_basin_id":58,"agency_id":9,"geocode_id":4473,"hydro_id":null,"qmax":null,"is_key_station":false,"warning_level_m":null,"critical_level_m":null,"critical_level_msl":null},"geocode":{"area_code":"4","area_name":{"th":"ภาคตะวันออกเฉียงเหนือ","en":"Northeast"},"amphoe_code":"12","amphoe_name":{"th":"สว่างแดนดิน","en":"Sawang Daen Din District"},"tumbon_code":"07","tumbon_name":{"th":"โพนสูง","en":"Phon Sung"},"province_code":"47","province_name":{"th":"สกลนคร","en":"Sakon Nakhon"}},"diff_wl_bank":"1.51","diff_wl_bank_text":"ต่ำกว่าตลิ่ง (ม.)","river_gid":114078,"river_name":"แม่น้ำสงคราม"}</x:t>
  </x:si>
  <x:si>
    <x:t xml:space="preserve">THAIWATER_WL:905</x:t>
  </x:si>
  <x:si>
    <x:t xml:space="preserve">PAT001</x:t>
  </x:si>
  <x:si>
    <x:t xml:space="preserve">บันนังสตา</x:t>
  </x:si>
  <x:si>
    <x:t xml:space="preserve">แม่น้ำปัตตานี</x:t>
  </x:si>
  <x:si>
    <x:t xml:space="preserve">{"id":1316368227,"waterlevel_datetime":"2026-10-01 15:10","waterlevel_m":null,"waterlevel_msl":"34.77","waterlevel_msl_previous":"34.72","flow_rate":null,"discharge":null,"storage_percent":"80.72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Organization)","jp":""},"agency_shortname":{"th":"สสน.","en":"HII","jp":""}},"basin":{"id":26,"basin_code":21,"basin_name":{"th":"ลุ่มน้ำภาคใต้ฝั่งตะวันออกตอนล่าง","en":"Peninsula - Lower East Coast Basin"}},"station":{"id":905,"tele_station_name":{"en":"Patthani 1","th":"บันนังสตา"},"tele_station_lat":6.262041,"tele_station_long":101.268036,"tele_station_oldcode":"PAT001","tele_station_type":"tele_waterlevel","left_bank":38.678,"right_bank":38.348,"min_bank":38.35,"ground_level":19.79,"offset":null,"sub_basin_id":336,"agency_id":9,"geocode_id":8286,"hydro_id":null,"qmax":null,"is_key_station":false,"warning_level_m":null,"critical_level_m":null,"critical_level_msl":null},"geocode":{"area_code":"5","area_name":{"th":"ภาคใต้","en":"South"},"amphoe_code":"03","amphoe_name":{"th":"บันนังสตา","en":"Bannang Sata District"},"tumbon_code":"01","tumbon_name":{"th":"บันนังสตา","en":"Bannang Sata"},"province_code":"95","province_name":{"th":"ยะลา","en":"Yala"}},"diff_wl_bank":"3.58","diff_wl_bank_text":"ต่ำกว่าตลิ่ง (ม.)","river_gid":231106,"river_name":"แม่น้ำปัตตานี"}</x:t>
  </x:si>
  <x:si>
    <x:t xml:space="preserve">THAIWATER_WL:750</x:t>
  </x:si>
  <x:si>
    <x:t xml:space="preserve">THA009</x:t>
  </x:si>
  <x:si>
    <x:t xml:space="preserve">เมืองสมุทรสาคร</x:t>
  </x:si>
  <x:si>
    <x:t xml:space="preserve">{"id":1316368387,"waterlevel_datetime":"2026-10-01 15:10","waterlevel_m":null,"waterlevel_msl":"0.21","waterlevel_msl_previous":"0.20","flow_rate":null,"discharge":null,"storage_percent":"80.71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Organization)","jp":""},"agency_shortname":{"th":"สสน.","en":"HII","jp":""}},"basin":{"id":14,"basin_code":13,"basin_name":{"th":"ลุ่มน้ำท่าจีน","en":"Tha Chin Basin"}},"station":{"id":750,"tele_station_name":{"en":"Tha Chin 9","th":"เมืองสมุทรสาคร"},"tele_station_lat":13.58598,"tele_station_long":100.23048,"tele_station_oldcode":"THA009","tele_station_type":"tele_waterlevel","left_bank":2.175,"right_bank":1.925,"min_bank":1.93,"ground_level":-6.949,"offset":null,"sub_basin_id":259,"agency_id":9,"geocode_id":6937,"hydro_id":null,"qmax":null,"is_key_station":false,"warning_level_m":null,"critical_level_m":null,"critical_level_msl":null},"geocode":{"area_code":"2","area_name":{"th":"ภาคกลาง","en":"Central"},"amphoe_code":"01","amphoe_name":{"th":"เมืองสมุทรสาคร","en":"Mueang Samut Sakhon District"},"tumbon_code":"08","tumbon_name":{"th":"ท่าจีน","en":"Tha Chin"},"province_code":"74","province_name":{"th":"สมุทรสาคร","en":"Samut Sakhon"}},"diff_wl_bank":"1.71","diff_wl_bank_text":"ต่ำกว่าตลิ่ง (ม.)","river_gid":189561,"river_name":"แม่น้ำท่าจีน"}</x:t>
  </x:si>
  <x:si>
    <x:t xml:space="preserve">THAIWATER_WL:1373274</x:t>
  </x:si>
  <x:si>
    <x:t xml:space="preserve">HDA008</x:t>
  </x:si>
  <x:si>
    <x:t xml:space="preserve">สะพานคลองส่งน้ำชลประทาน บ้านตลาดใหม่</x:t>
  </x:si>
  <x:si>
    <x:t xml:space="preserve">{"id":1316368048,"waterlevel_datetime":"2026-10-01 15:10","waterlevel_m":null,"waterlevel_msl":"4.15","waterlevel_msl_previous":"4.15","flow_rate":null,"discharge":"793.69","storage_percent":"80.52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Basin"}},"station":{"id":1373274,"tele_station_name":{"en":"Khlong Chon Bridge (Ban Talat Mai)","th":"สะพานคลองส่งน้ำชลประทาน บ้านตลาดใหม่"},"tele_station_lat":14.553573,"tele_station_long":100.316765,"tele_station_oldcode":"HDA008","tele_station_type":"tele_waterlevel","left_bank":4.973,"right_bank":5.664,"min_bank":4.97,"ground_level":0.748,"offset":null,"sub_basin_id":240,"agency_id":9,"geocode_id":684,"hydro_id":null,"qmax":null,"is_key_station":false,"warning_level_m":null,"critical_level_m":null,"critical_level_msl":null},"geocode":{"area_code":"2","area_name":{"th":"ภาคกลาง","en":"Central"},"amphoe_code":"06","amphoe_name":{"th":"วิเศษชัยชาญ","en":"Wiset Chai Chan District"},"tumbon_code":"05","tumbon_name":{"th":"ท่าช้าง","en":"Tha Chang"},"province_code":"15","province_name":{"th":"อ่างทอง","en":"Ang Thong"}},"diff_wl_bank":"0.82","diff_wl_bank_text":"ต่ำกว่าตลิ่ง (ม.)"}</x:t>
  </x:si>
  <x:si>
    <x:t xml:space="preserve">THAIWATER_WL:1106449</x:t>
  </x:si>
  <x:si>
    <x:t xml:space="preserve">TCP003</x:t>
  </x:si>
  <x:si>
    <x:t xml:space="preserve">ปตร.ลาดชะโด (ทุ่งผักไห่)</x:t>
  </x:si>
  <x:si>
    <x:t xml:space="preserve">คลองบางคี่</x:t>
  </x:si>
  <x:si>
    <x:t xml:space="preserve">{"id":1316368370,"waterlevel_datetime":"2026-10-01 15:10","waterlevel_m":null,"waterlevel_msl":"3.86","waterlevel_msl_previous":"3.85","flow_rate":null,"discharge":null,"storage_percent":"80.34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Basin"}},"station":{"id":1106449,"tele_station_name":{"en":"Lat Chado","th":"ปตร.ลาดชะโด (ทุ่งผักไห่)"},"tele_station_lat":14.464386,"tele_station_long":100.366005,"tele_station_oldcode":"TCP003","tele_station_type":"tele_waterlevel","left_bank":5,"right_bank":5,"min_bank":5,"ground_level":-0.8,"offset":null,"sub_basin_id":240,"agency_id":9,"geocode_id":521,"hydro_id":null,"qmax":null,"is_key_station":false,"warning_level_m":null,"critical_level_m":null,"critical_level_msl":null},"geocode":{"area_code":"2","area_name":{"th":"ภาคกลาง","en":"Central"},"amphoe_code":"08","amphoe_name":{"th":"ผักไห่","en":"Phak Hai District"},"tumbon_code":"02","tumbon_name":{"th":"อมฤต","en":"Ammarit"},"province_code":"14","province_name":{"th":"พระนครศรีอยุธยา","en":"Phra Nakhon Si Ayutthaya"}},"diff_wl_bank":"1.14","diff_wl_bank_text":"ต่ำกว่าตลิ่ง (ม.)","river_gid":181565,"river_name":"คลองบางคี่"}</x:t>
  </x:si>
  <x:si>
    <x:t xml:space="preserve">THAIWATER_WL:505025</x:t>
  </x:si>
  <x:si>
    <x:t xml:space="preserve">K.3A</x:t>
  </x:si>
  <x:si>
    <x:t xml:space="preserve">สะพานข้ามแม่น้ำแม่กลองหน้าศาลากลางจ.กาญจนบุรี</x:t>
  </x:si>
  <x:si>
    <x:t xml:space="preserve">{"id":1316004495,"waterlevel_datetime":"2026-10-01 23:00","waterlevel_m":null,"waterlevel_msl":"23.35","waterlevel_msl_previous":"23.41","flow_rate":null,"discharge":null,"storage_percent":"80.29","sort_order":null,"station_type":"tele_waterlevel","situation_level":4,"agency":{"id":12,"agency_name":{"th":"กรมชลประทาน ","en":"Royal Irrigation Department","jp":""},"agency_shortname":{"th":"ชป.","en":"RID","jp":""}},"basin":{"id":15,"basin_code":14,"basin_name":{"th":"ลุ่มน้ำแม่กลอง","en":"Mae Klong Basin"}},"station":{"id":505025,"tele_station_name":{"th":"สะพานข้ามแม่น้ำแม่กลองหน้าศาลากลางจ.กาญจนบุรี"},"tele_station_lat":13.99597,"tele_station_long":99.538818,"tele_station_oldcode":"K.3A","tele_station_type":"tele_waterlevel","left_bank":39.199,"right_bank":41.129000000000005,"min_bank":25.8,"ground_level":13.369,"offset":14,"sub_basin_id":276,"agency_id":12,"geocode_id":6585,"hydro_id":7,"qmax":null,"is_key_station":true,"warning_level_m":null,"critical_level_m":3.41,"critical_level_msl":24.07},"geocode":{"area_code":"2","area_name":{"th":"ภาคกลาง","en":"Central"},"amphoe_code":"01","amphoe_name":{"th":"เมืองกาญจนบุรี","en":"Mueang Kanchanaburi District"},"tumbon_code":"03","tumbon_name":{"th":"ปากแพรก","en":"Pak Phraek"},"province_code":"71","province_name":{"th":"กาญจนบุรี","en":"Kanchanaburi"}},"diff_wl_bank":"2.45","diff_wl_bank_text":"ต่ำกว่าตลิ่ง (ม.)","river_gid":185386,"river_name":"แม่น้ำแม่กลอง"}</x:t>
  </x:si>
  <x:si>
    <x:t xml:space="preserve">THAIWATER_WL:691</x:t>
  </x:si>
  <x:si>
    <x:t xml:space="preserve">PAS002</x:t>
  </x:si>
  <x:si>
    <x:t xml:space="preserve">เมืองเพชรบูรณ์</x:t>
  </x:si>
  <x:si>
    <x:t xml:space="preserve">{"id":1316368223,"waterlevel_datetime":"2026-10-01 15:10","waterlevel_m":null,"waterlevel_msl":"115.44","waterlevel_msl_previous":"115.44","flow_rate":null,"discharge":null,"storage_percent":"80.15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Organization)","jp":""},"agency_shortname":{"th":"สสน.","en":"HII","jp":""}},"basin":{"id":13,"basin_code":12,"basin_name":{"th":"ลุ่มน้ำป่าสัก","en":"Pasak Basin"}},"station":{"id":691,"tele_station_name":{"en":"Pa Sak 2","th":"เมืองเพชรบูรณ์"},"tele_station_lat":16.44786,"tele_station_long":101.17017,"tele_station_oldcode":"PAS002","tele_station_type":"tele_waterlevel","left_bank":117.179,"right_bank":117.127,"min_bank":117.13,"ground_level":108.607,"offset":null,"sub_basin_id":249,"agency_id":9,"geocode_id":6343,"hydro_id":null,"qmax":null,"is_key_station":false,"warning_level_m":null,"critical_level_m":null,"critical_level_msl":null},"geocode":{"area_code":"3","area_name":{"th":"ภาคเหนือ","en":"North"},"amphoe_code":"01","amphoe_name":{"th":"เมืองเพชรบูรณ์","en":"Mueang Phetchabun District"},"tumbon_code":"04","tumbon_name":{"th":"สะเดียง","en":"Sadiang"},"province_code":"67","province_name":{"th":"เพชรบูรณ์","en":"Phetchabun"}},"diff_wl_bank":"1.69","diff_wl_bank_text":"ต่ำกว่าตลิ่ง (ม.)","river_gid":164070,"river_name":"แม่น้ำป่าสัก"}</x:t>
  </x:si>
  <x:si>
    <x:t xml:space="preserve">THAIWATER_WL:37</x:t>
  </x:si>
  <x:si>
    <x:t xml:space="preserve">BKK015</x:t>
  </x:si>
  <x:si>
    <x:t xml:space="preserve">คลองหกวา ลำลูกกา คลอง8</x:t>
  </x:si>
  <x:si>
    <x:t xml:space="preserve">{"id":1316367948,"waterlevel_datetime":"2026-10-01 15:10","waterlevel_m":null,"waterlevel_msl":"1.68","waterlevel_msl_previous":"1.68","flow_rate":null,"discharge":null,"storage_percent":"80.14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Basin"}},"station":{"id":37,"tele_station_name":{"en":"Lam Luk Ka Klong8","th":"คลองหกวา ลำลูกกา คลอง8"},"tele_station_lat":13.9416,"tele_station_long":100.77499,"tele_station_oldcode":"BKK015","tele_station_type":"tele_waterlevel","left_bank":2.706,"right_bank":2.789,"min_bank":2.71,"ground_level":-2.48,"offset":null,"sub_basin_id":283,"agency_id":9,"geocode_id":377,"hydro_id":null,"qmax":null,"is_key_station":false,"warning_level_m":null,"critical_level_m":null,"critical_level_msl":null},"geocode":{"area_code":"2","area_name":{"th":"ภาคกลาง","en":"Central"},"amphoe_code":"06","amphoe_name":{"th":"ลำลูกกา","en":"Lam Luk Ka District"},"tumbon_code":"04","tumbon_name":{"th":"ลำลูกกา","en":"Lam Luk Ka"},"province_code":"13","province_name":{"th":"ปทุมธานี","en":"Pathum Thani"}},"diff_wl_bank":"1.03","diff_wl_bank_text":"ต่ำกว่าตลิ่ง (ม.)","river_gid":195420,"river_name":"คลองหกวา"}</x:t>
  </x:si>
  <x:si>
    <x:t xml:space="preserve">THAIWATER_WL:824</x:t>
  </x:si>
  <x:si>
    <x:t xml:space="preserve">TPI003</x:t>
  </x:si>
  <x:si>
    <x:t xml:space="preserve">พุนพิน 3</x:t>
  </x:si>
  <x:si>
    <x:t xml:space="preserve">{"id":1316368398,"waterlevel_datetime":"2026-10-01 15:10","waterlevel_m":null,"waterlevel_msl":"1.03","waterlevel_msl_previous":"1.00","flow_rate":null,"discharge":null,"storage_percent":"79.69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Basin"}},"station":{"id":824,"tele_station_name":{"en":"Tapi 3","th":"พุนพิน 3"},"tele_station_lat":8.986764,"tele_station_long":99.2113,"tele_station_oldcode":"TPI003","tele_station_type":"tele_waterlevel","left_bank":6.469,"right_bank":2.619,"min_bank":2.62,"ground_level":-5.203,"offset":null,"sub_basin_id":323,"agency_id":9,"geocode_id":7634,"hydro_id":null,"qmax":null,"is_key_station":false,"warning_level_m":null,"critical_level_m":null,"critical_level_msl":null},"geocode":{"area_code":"5","area_name":{"th":"ภาคใต้","en":"South"},"amphoe_code":"17","amphoe_name":{"th":"พุนพิน","en":"Phunphin District"},"tumbon_code":"02","tumbon_name":{"th":"ท่าสะท้อน","en":"Tha Sathon"},"province_code":"84","province_name":{"th":"สุราษฎร์ธานี","en":"Surat Thani"}},"diff_wl_bank":"1.59","diff_wl_bank_text":"ต่ำกว่าตลิ่ง (ม.)","river_gid":216614,"river_name":"แม่น้ำตาปี"}</x:t>
  </x:si>
  <x:si>
    <x:t xml:space="preserve">THAIWATER_WL:1117431</x:t>
  </x:si>
  <x:si>
    <x:t xml:space="preserve">PYO004</x:t>
  </x:si>
  <x:si>
    <x:t xml:space="preserve">สะพานบ้านเจดีย์งาม</x:t>
  </x:si>
  <x:si>
    <x:t xml:space="preserve">แม่น้ำอิง</x:t>
  </x:si>
  <x:si>
    <x:t xml:space="preserve">{"id":1316368255,"waterlevel_datetime":"2026-10-01 15:10","waterlevel_m":null,"waterlevel_msl":"387.28","waterlevel_msl_previous":"387.28","flow_rate":null,"discharge":null,"storage_percent":"79.55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Basin"}},"station":{"id":1117431,"tele_station_name":{"en":"Ban Chedi Ngam Bridge","th":"สะพานบ้านเจดีย์งาม"},"tele_station_lat":19.186546,"tele_station_long":99.9439,"tele_station_oldcode":"PYO004","tele_station_type":"tele_waterlevel","left_bank":387.73,"right_bank":388.11,"min_bank":387.73,"ground_level":385.53,"offset":null,"sub_basin_id":34,"agency_id":9,"geocode_id":5385,"hydro_id":null,"qmax":null,"is_key_station":false,"warning_level_m":null,"critical_level_m":null,"critical_level_msl":null},"geocode":{"area_code":"3","area_name":{"th":"ภาคเหนือ","en":"North"},"amphoe_code":"01","amphoe_name":{"th":"เมืองพะเยา","en":"Mueang Phayao District"},"tumbon_code":"13","tumbon_name":{"th":"ท่าวังทอง","en":"Tha Wang Thong"},"province_code":"56","province_name":{"th":"พะเยา","en":"Phayao"}},"diff_wl_bank":"0.45","diff_wl_bank_text":"ต่ำกว่าตลิ่ง (ม.)","river_gid":22516,"river_name":"แม่น้ำอิง"}</x:t>
  </x:si>
  <x:si>
    <x:t xml:space="preserve">THAIWATER_WL:1113288</x:t>
  </x:si>
  <x:si>
    <x:t xml:space="preserve">SKD10</x:t>
  </x:si>
  <x:si>
    <x:t xml:space="preserve">บ้านแสนตอ</x:t>
  </x:si>
  <x:si>
    <x:t xml:space="preserve">น้ำแควน้อย</x:t>
  </x:si>
  <x:si>
    <x:t xml:space="preserve">{"id":1316366854,"waterlevel_datetime":"2026-10-01 15:00","waterlevel_m":null,"waterlevel_msl":"67.13","waterlevel_msl_previous":"67.16","flow_rate":null,"discharge":null,"storage_percent":"79.51","sort_order":null,"station_type":"tele_waterlevel","situation_level":4,"agency":{"id":8,"agency_name":{"th":"การไฟฟ้าฝ่ายผลิตแห่งประเทศไทย","en":"Electricity Generating Authority of Thailand","jp":""},"agency_shortname":{"th":"กฟผ.","en":"EGAT","jp":""}},"basin":{"id":9,"basin_code":9,"basin_name":{"th":"ลุ่มน้ำน่าน","en":"Nan Basin"}},"station":{"id":1113288,"tele_station_name":{"th":"บ้านแสนตอ"},"tele_station_lat":17.66514,"tele_station_long":100.29809,"tele_station_oldcode":"SKD10","tele_station_type":"tele_waterlevel","left_bank":70.56,"right_bank":72.62,"min_bank":70.56,"ground_level":53.8,"offset":null,"sub_basin_id":235,"agency_id":8,"geocode_id":5108,"hydro_id":null,"qmax":null,"is_key_station":false,"warning_level_m":null,"critical_level_m":null,"critical_level_msl":70.56},"geocode":{"area_code":"3","area_name":{"th":"ภาคเหนือ","en":"North"},"amphoe_code":"01","amphoe_name":{"th":"เมืองอุตรดิตถ์","en":"Mueang Uttaradit District"},"tumbon_code":"14","tumbon_name":{"th":"แสนตอ","en":"Saen To"},"province_code":"53","province_name":{"th":"อุตรดิตถ์","en":"Uttaradit"}},"diff_wl_bank":"3.43","diff_wl_bank_text":"ต่ำกว่าตลิ่ง (ม.)","river_gid":89542,"river_name":"น้ำแควน้อย"}</x:t>
  </x:si>
  <x:si>
    <x:t xml:space="preserve">THAIWATER_WL:2737</x:t>
  </x:si>
  <x:si>
    <x:t xml:space="preserve">M.9</x:t>
  </x:si>
  <x:si>
    <x:t xml:space="preserve">ชุมชนสะพานขาว</x:t>
  </x:si>
  <x:si>
    <x:t xml:space="preserve">ห้วยสำราญ</x:t>
  </x:si>
  <x:si>
    <x:t xml:space="preserve">{"id":1316340552,"waterlevel_datetime":"2026-10-01 14:00","waterlevel_m":null,"waterlevel_msl":"116.15","waterlevel_msl_previous":"116.15","flow_rate":null,"discharge":"81.00","storage_percent":"79.28","sort_order":null,"station_type":"tele_waterlevel","situation_level":4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2737,"tele_station_name":{"th":"ชุมชนสะพานขาว"},"tele_station_lat":15.11808,"tele_station_long":104.318642,"tele_station_oldcode":"M.9","tele_station_type":"tele_waterlevel","left_bank":232.172,"right_bank":233.997,"min_bank":118,"ground_level":109.07,"offset":109,"sub_basin_id":137,"agency_id":12,"geocode_id":2395,"hydro_id":4,"qmax":200,"is_key_station":true,"warning_level_m":null,"critical_level_m":null,"critical_level_msl":null},"geocode":{"area_code":"4","area_name":{"th":"ภาคตะวันออกเฉียงเหนือ","en":"Northeast"},"amphoe_code":"01","amphoe_name":{"th":"เมืองศรีสะเกษ","en":"Mueang Si Sa Ket District"},"tumbon_code":"16","tumbon_name":{"th":"หญ้าปล้อง","en":"Ya Plong"},"province_code":"33","province_name":{"th":"ศรีสะเกษ","en":"Si Sa Ket"}},"diff_wl_bank":"1.85","diff_wl_bank_text":"ต่ำกว่าตลิ่ง (ม.)","river_gid":147468,"river_name":"ห้วยสำราญ"}</x:t>
  </x:si>
  <x:si>
    <x:t xml:space="preserve">THAIWATER_WL:1373692</x:t>
  </x:si>
  <x:si>
    <x:t xml:space="preserve">PTTEP2</x:t>
  </x:si>
  <x:si>
    <x:t xml:space="preserve">สะพานคลองปากกิ่ว ชุมชนบ้านหาดสมบูรณ์</x:t>
  </x:si>
  <x:si>
    <x:t xml:space="preserve">{"id":1316368250,"waterlevel_datetime":"2026-10-01 15:10","waterlevel_m":null,"waterlevel_msl":"1.10","waterlevel_msl_previous":"1.11","flow_rate":null,"discharge":null,"storage_percent":"79.27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Basin"}},"station":{"id":1373692,"tele_station_name":{"en":"Pak Kiew Canal Bridge Baan Hat Somboon Community","th":"สะพานคลองปากกิ่ว ชุมชนบ้านหาดสมบูรณ์"},"tele_station_lat":9.51646,"tele_station_long":99.22589,"tele_station_oldcode":"PTTEP2","tele_station_type":"tele_waterlevel","left_bank":2.691,"right_bank":1.616,"min_bank":1.62,"ground_level":-0.873,"offset":null,"sub_basin_id":313,"sponsor_by":"บริษัท ปตท.สำรวจและผลิตปิโตรเลียม จำกัด (มหาชน)","agency_id":9,"geocode_id":7565,"hydro_id":null,"qmax":null,"is_key_station":false,"warning_level_m":null,"critical_level_m":null,"critical_level_msl":null},"geocode":{"area_code":"5","area_name":{"th":"ภาคใต้","en":"South"},"amphoe_code":"07","amphoe_name":{"th":"ท่าชนะ","en":"Tha Chana District"},"tumbon_code":"05","tumbon_name":{"th":"วัง","en":"Wang"},"province_code":"84","province_name":{"th":"สุราษฎร์ธานี","en":"Surat Thani"}},"diff_wl_bank":"0.52","diff_wl_bank_text":"ต่ำกว่าตลิ่ง (ม.)"}</x:t>
  </x:si>
  <x:si>
    <x:t xml:space="preserve">THAIWATER_WL:192</x:t>
  </x:si>
  <x:si>
    <x:t xml:space="preserve">TON001</x:t>
  </x:si>
  <x:si>
    <x:t xml:space="preserve">ตาพระยา</x:t>
  </x:si>
  <x:si>
    <x:t xml:space="preserve">ห้วยยาง</x:t>
  </x:si>
  <x:si>
    <x:t xml:space="preserve">{"id":1316368395,"waterlevel_datetime":"2026-10-01 15:10","waterlevel_m":null,"waterlevel_msl":"58.26","waterlevel_msl_previous":"58.26","flow_rate":null,"discharge":null,"storage_percent":"78.97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Organization)","jp":""},"agency_shortname":{"th":"สสน.","en":"HII","jp":""}},"basin":{"id":17,"basin_code":16,"basin_name":{"th":"ลุ่มน้ำโตนเลสาบ","en":"Tonle Sap Basin"}},"station":{"id":192,"tele_station_name":{"en":"Ta Phraya","th":"ตาพระยา"},"tele_station_lat":14.051278,"tele_station_long":102.88541,"tele_station_oldcode":"TON001","tele_station_type":"tele_waterlevel","left_bank":59.0445,"right_bank":58.9445,"min_bank":58.94,"ground_level":55.69,"offset":null,"sub_basin_id":287,"agency_id":9,"geocode_id":1622,"hydro_id":null,"qmax":null,"is_key_station":false,"warning_level_m":null,"critical_level_m":null,"critical_level_msl":null},"geocode":{"area_code":"2","area_name":{"th":"ภาคกลาง","en":"Central"},"amphoe_code":"03","amphoe_name":{"th":"ตาพระยา","en":"Ta Phraya District"},"tumbon_code":"02","tumbon_name":{"th":"ทัพเสด็จ","en":"Thap Sadet"},"province_code":"27","province_name":{"th":"สระแก้ว","en":"Sa Kaeo"}},"diff_wl_bank":"0.68","diff_wl_bank_text":"ต่ำกว่าตลิ่ง (ม.)","river_gid":194623,"river_name":"ห้วยยาง"}</x:t>
  </x:si>
  <x:si>
    <x:t xml:space="preserve">THAIWATER_WL:1095455</x:t>
  </x:si>
  <x:si>
    <x:t xml:space="preserve">PATO01</x:t>
  </x:si>
  <x:si>
    <x:t xml:space="preserve">สะพานบ้านตรังพัฒนา</x:t>
  </x:si>
  <x:si>
    <x:t xml:space="preserve">คลองหลังสวน</x:t>
  </x:si>
  <x:si>
    <x:t xml:space="preserve">{"id":1316368229,"waterlevel_datetime":"2026-10-01 15:10","waterlevel_m":null,"waterlevel_msl":"17.81","waterlevel_msl_previous":"17.81","flow_rate":null,"discharge":null,"storage_percent":"78.93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Basin"}},"station":{"id":1095455,"tele_station_name":{"en":"Trang Phatthana Bridge","th":"สะพานบ้านตรังพัฒนา"},"tele_station_lat":9.85488,"tele_station_long":98.8401,"tele_station_oldcode":"PATO01","tele_station_type":"tele_waterlevel","left_bank":22.56,"right_bank":26.2,"min_bank":22.56,"ground_level":0,"offset":null,"sub_basin_id":312,"agency_id":9,"geocode_id":7751,"hydro_id":null,"qmax":null,"is_key_station":false,"warning_level_m":null,"critical_level_m":null,"critical_level_msl":null},"geocode":{"area_code":"5","area_name":{"th":"ภาคใต้","en":"South"},"amphoe_code":"06","amphoe_name":{"th":"พะโต๊ะ","en":"Phato District"},"tumbon_code":"01","tumbon_name":{"th":"พะโต๊ะ","en":"Phato"},"province_code":"86","province_name":{"th":"ชุมพร","en":"Chumphon"}},"diff_wl_bank":"4.75","diff_wl_bank_text":"ต่ำกว่าตลิ่ง (ม.)","river_gid":214428,"river_name":"คลองหลังสวน"}</x:t>
  </x:si>
  <x:si>
    <x:t xml:space="preserve">THAIWATER_WL:683</x:t>
  </x:si>
  <x:si>
    <x:t xml:space="preserve">NAN007</x:t>
  </x:si>
  <x:si>
    <x:t xml:space="preserve">ตะพานหิน</x:t>
  </x:si>
  <x:si>
    <x:t xml:space="preserve">{"id":1316368165,"waterlevel_datetime":"2026-10-01 15:10","waterlevel_m":null,"waterlevel_msl":"31.47","waterlevel_msl_previous":"31.46","flow_rate":null,"discharge":null,"storage_percent":"78.39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Basin"}},"station":{"id":683,"tele_station_name":{"en":"Nan 7","th":"ตะพานหิน"},"tele_station_lat":16.27034,"tele_station_long":100.41396,"tele_station_oldcode":"NAN007","tele_station_type":"tele_waterlevel","left_bank":34.849,"right_bank":34.162,"min_bank":34.16,"ground_level":21.693,"offset":null,"sub_basin_id":238,"agency_id":9,"geocode_id":6269,"hydro_id":null,"qmax":null,"is_key_station":false,"warning_level_m":null,"critical_level_m":null,"critical_level_msl":null},"geocode":{"area_code":"3","area_name":{"th":"ภาคเหนือ","en":"North"},"amphoe_code":"04","amphoe_name":{"th":"ตะพานหิน","en":"Taphan Hin District"},"tumbon_code":"02","tumbon_name":{"th":"งิ้วราย","en":"Ngio Rai"},"province_code":"66","province_name":{"th":"พิจิตร","en":"Phichit"}},"diff_wl_bank":"2.69","diff_wl_bank_text":"ต่ำกว่าตลิ่ง (ม.)","river_gid":98975,"river_name":"แม่น้ำน่าน"}</x:t>
  </x:si>
  <x:si>
    <x:t xml:space="preserve">THAIWATER_WL:1109513</x:t>
  </x:si>
  <x:si>
    <x:t xml:space="preserve">ONE024</x:t>
  </x:si>
  <x:si>
    <x:t xml:space="preserve">สะพานข้ามคลองบางม่วง</x:t>
  </x:si>
  <x:si>
    <x:t xml:space="preserve">ทะเลหลวง</x:t>
  </x:si>
  <x:si>
    <x:t xml:space="preserve">{"id":1316368202,"waterlevel_datetime":"2026-10-01 15:10","waterlevel_m":null,"waterlevel_msl":"0.25","waterlevel_msl_previous":"0.25","flow_rate":null,"discharge":null,"storage_percent":"77.94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Basin"}},"station":{"id":1109513,"tele_station_name":{"en":"Khlong Bang Muang Bridge","th":"สะพานข้ามคลองบางม่วง"},"tele_station_lat":7.365284,"tele_station_long":100.27959,"tele_station_oldcode":"ONE024","tele_station_type":"tele_waterlevel","left_bank":1.158,"right_bank":1.403,"min_bank":1.16,"ground_level":-2.958,"offset":null,"sub_basin_id":329,"agency_id":9,"geocode_id":8108,"hydro_id":null,"qmax":null,"is_key_station":false,"warning_level_m":null,"critical_level_m":null,"critical_level_msl":null},"geocode":{"area_code":"5","area_name":{"th":"ภาคใต้","en":"South"},"amphoe_code":"06","amphoe_name":{"th":"ปากพะยูน","en":"Pak Phayun District"},"tumbon_code":"05","tumbon_name":{"th":"ฝาละมี","en":"Fa Lami"},"province_code":"93","province_name":{"th":"พัทลุง","en":"Phatthalung"}},"diff_wl_bank":"0.91","diff_wl_bank_text":"ต่ำกว่าตลิ่ง (ม.)","river_gid":225564,"river_name":"ทะเลหลวง"}</x:t>
  </x:si>
  <x:si>
    <x:t xml:space="preserve">THAIWATER_WL:2575</x:t>
  </x:si>
  <x:si>
    <x:t xml:space="preserve">E.2A</x:t>
  </x:si>
  <x:si>
    <x:t xml:space="preserve">ประปายโสธร</x:t>
  </x:si>
  <x:si>
    <x:t xml:space="preserve">แม่น้ำชี</x:t>
  </x:si>
  <x:si>
    <x:t xml:space="preserve">{"id":1316353877,"waterlevel_datetime":"2026-10-01 14:00","waterlevel_m":null,"waterlevel_msl":"123.40","waterlevel_msl_previous":"123.38","flow_rate":null,"discharge":null,"storage_percent":"77.89","sort_order":null,"station_type":"tele_waterlevel","situation_level":4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2575,"tele_station_name":{"th":"ประปายโสธร"},"tele_station_lat":15.79962,"tele_station_long":104.134857,"tele_station_oldcode":"E.2A","tele_station_type":"tele_waterlevel","left_bank":245.337,"right_bank":242.388,"min_bank":126,"ground_level":114.242,"offset":114,"sub_basin_id":102,"agency_id":12,"geocode_id":2860,"hydro_id":3,"qmax":1080,"is_key_station":true,"warning_level_m":null,"critical_level_m":null,"critical_level_msl":null},"geocode":{"area_code":"4","area_name":{"th":"ภาคตะวันออกเฉียงเหนือ","en":"Northeast"},"amphoe_code":"01","amphoe_name":{"th":"เมืองยโสธร","en":"Mueang Yasothon District"},"tumbon_code":"01","tumbon_name":{"th":"ในเมือง","en":"Nai Mueang"},"province_code":"35","province_name":{"th":"ยโสธร","en":"Yasothon"}},"diff_wl_bank":"2.60","diff_wl_bank_text":"ต่ำกว่าตลิ่ง (ม.)","river_gid":139091,"river_name":"แม่น้ำชี"}</x:t>
  </x:si>
  <x:si>
    <x:t xml:space="preserve">THAIWATER_WL:505050</x:t>
  </x:si>
  <x:si>
    <x:t xml:space="preserve">X.274</x:t>
  </x:si>
  <x:si>
    <x:t xml:space="preserve">บ้านบูเก๊ะตา</x:t>
  </x:si>
  <x:si>
    <x:t xml:space="preserve">แม่น้ำโก-ลก</x:t>
  </x:si>
  <x:si>
    <x:t xml:space="preserve">{"id":1316344826,"waterlevel_datetime":"2026-10-01 14:00","waterlevel_m":null,"waterlevel_msl":"18.30","waterlevel_msl_previous":"18.31","flow_rate":null,"discharge":"6.00","storage_percent":"77.87","sort_order":null,"station_type":"tele_waterlevel","situation_level":4,"agency":{"id":12,"agency_name":{"th":"กรมชลประทาน ","en":"Royal Irrigation Department","jp":""},"agency_shortname":{"th":"ชป.","en":"RID","jp":""}},"basin":{"id":26,"basin_code":21,"basin_name":{"th":"ลุ่มน้ำภาคใต้ฝั่งตะวันออกตอนล่าง","en":"Peninsula - Lower East Coast Basin"}},"station":{"id":505050,"tele_station_name":{"th":"บ้านบูเก๊ะตา"},"tele_station_lat":5.83916,"tele_station_long":101.892143,"tele_station_oldcode":"X.274","tele_station_type":"tele_waterlevel","left_bank":27.801,"right_bank":27.778,"min_bank":23.5,"ground_level":0,"offset":null,"sub_basin_id":340,"agency_id":12,"geocode_id":8391,"hydro_id":8,"qmax":330.399994,"is_key_station":true,"warning_level_m":null,"critical_level_m":null,"critical_level_msl":null},"geocode":{"area_code":"5","area_name":{"th":"ภาคใต้","en":"South"},"amphoe_code":"08","amphoe_name":{"th":"แว้ง","en":"Waeng District"},"tumbon_code":"04","tumbon_name":{"th":"โละจูด","en":"Lo Chut"},"province_code":"96","province_name":{"th":"นราธิวาส","en":"Narathiwat"}},"diff_wl_bank":"5.20","diff_wl_bank_text":"ต่ำกว่าตลิ่ง (ม.)","river_gid":232509,"river_name":"แม่น้ำโก-ลก"}</x:t>
  </x:si>
  <x:si>
    <x:t xml:space="preserve">THAIWATER_WL:2782</x:t>
  </x:si>
  <x:si>
    <x:t xml:space="preserve">E.20A</x:t>
  </x:si>
  <x:si>
    <x:t xml:space="preserve">บ้านฟ้าหยาด</x:t>
  </x:si>
  <x:si>
    <x:t xml:space="preserve">{"id":1316353893,"waterlevel_datetime":"2026-10-01 14:00","waterlevel_m":null,"waterlevel_msl":"119.27","waterlevel_msl_previous":"119.30","flow_rate":null,"discharge":"604.15","storage_percent":"77.66","sort_order":null,"station_type":"tele_waterlevel","situation_level":4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2782,"tele_station_name":{"th":"บ้านฟ้าหยาด"},"tele_station_lat":15.52481,"tele_station_long":104.249657,"tele_station_oldcode":"E.20A","tele_station_type":"tele_waterlevel","left_bank":239.32299999999998,"right_bank":239.33100000000002,"min_bank":122,"ground_level":109.78,"offset":112,"sub_basin_id":102,"agency_id":12,"geocode_id":2915,"hydro_id":3,"qmax":1100,"is_key_station":true,"warning_level_m":null,"critical_level_m":10,"critical_level_msl":121.98},"geocode":{"area_code":"4","area_name":{"th":"ภาคตะวันออกเฉียงเหนือ","en":"Northeast"},"amphoe_code":"06","amphoe_name":{"th":"มหาชนะชัย","en":"Maha Chana Chai District"},"tumbon_code":"01","tumbon_name":{"th":"ฟ้าหยาด","en":"Fa Yat"},"province_code":"35","province_name":{"th":"ยโสธร","en":"Yasothon"}},"diff_wl_bank":"2.73","diff_wl_bank_text":"ต่ำกว่าตลิ่ง (ม.)","river_gid":143208,"river_name":"แม่น้ำชี"}</x:t>
  </x:si>
  <x:si>
    <x:t xml:space="preserve">THAIWATER_WL:792</x:t>
  </x:si>
  <x:si>
    <x:t xml:space="preserve">NKO002</x:t>
  </x:si>
  <x:si>
    <x:t xml:space="preserve">เชียรใหญ่</x:t>
  </x:si>
  <x:si>
    <x:t xml:space="preserve">{"id":1316368176,"waterlevel_datetime":"2026-10-01 15:10","waterlevel_m":null,"waterlevel_msl":"-0.41","waterlevel_msl_previous":"-0.53","flow_rate":null,"discharge":null,"storage_percent":"77.62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Basin"}},"station":{"id":792,"tele_station_name":{"en":"Nakhon Si Thammarat 2","th":"เชียรใหญ่"},"tele_station_lat":8.089498,"tele_station_long":100.12784,"tele_station_oldcode":"NKO002","tele_station_type":"tele_waterlevel","left_bank":3.322,"right_bank":4.017,"min_bank":3.32,"ground_level":-13.352,"offset":null,"sub_basin_id":327,"agency_id":9,"geocode_id":7227,"hydro_id":null,"qmax":null,"is_key_station":false,"warning_level_m":null,"critical_level_m":null,"critical_level_msl":null},"geocode":{"area_code":"5","area_name":{"th":"ภาคใต้","en":"South"},"amphoe_code":"06","amphoe_name":{"th":"เชียรใหญ่","en":"Chian Yai District"},"tumbon_code":"11","tumbon_name":{"th":"การะเกด","en":"Karaket"},"province_code":"80","province_name":{"th":"นครศรีธรรมราช","en":"Nakhon Si Thammarat"}},"diff_wl_bank":"3.73","diff_wl_bank_text":"ต่ำกว่าตลิ่ง (ม.)","river_gid":222280,"river_name":"คลองชะอวด"}</x:t>
  </x:si>
  <x:si>
    <x:t xml:space="preserve">THAIWATER_WL:2662</x:t>
  </x:si>
  <x:si>
    <x:t xml:space="preserve">Z.57</x:t>
  </x:si>
  <x:si>
    <x:t xml:space="preserve">สะพานวัดจันทนาราม</x:t>
  </x:si>
  <x:si>
    <x:t xml:space="preserve">คลองจันทบุรี</x:t>
  </x:si>
  <x:si>
    <x:t xml:space="preserve">{"id":1316343014,"waterlevel_datetime":"2026-10-01 14:00","waterlevel_m":null,"waterlevel_msl":"1.57","waterlevel_msl_previous":"1.55","flow_rate":null,"discharge":null,"storage_percent":"77.60","sort_order":null,"station_type":"tele_waterlevel","situation_level":4,"agency":{"id":12,"agency_name":{"th":"กรมชลประทาน ","en":"Royal Irrigation Department","jp":""},"agency_shortname":{"th":"ชป.","en":"RID","jp":""}},"basin":{"id":18,"basin_code":17,"basin_name":{"th":"ลุ่มน้ำชายฝั่งทะเลตะวันออก","en":"East Coast Gulf Basin"}},"station":{"id":2662,"tele_station_name":{"th":"สะพานวัดจันทนาราม"},"tele_station_lat":12.61359,"tele_station_long":102.114113,"tele_station_oldcode":"Z.57","tele_station_type":"tele_waterlevel","left_bank":3.44,"right_bank":3.44,"min_bank":3.44,"ground_level":-4.91,"offset":0,"sub_basin_id":296,"agency_id":12,"geocode_id":1253,"hydro_id":6,"qmax":464.799988,"is_key_station":true,"warning_level_m":null,"critical_level_m":3.44,"critical_level_msl":3.44},"geocode":{"area_code":"2","area_name":{"th":"ภาคกลาง","en":"Central"},"amphoe_code":"01","amphoe_name":{"th":"เมืองจันทบุรี","en":"Mueang Chanthaburi District"},"tumbon_code":"07","tumbon_name":{"th":"จันทนิมิต","en":"Chanthanimit"},"province_code":"22","province_name":{"th":"จันทบุรี","en":"Chanthaburi"}},"diff_wl_bank":"1.87","diff_wl_bank_text":"ต่ำกว่าตลิ่ง (ม.)","river_gid":205031,"river_name":"คลองจันทบุรี"}</x:t>
  </x:si>
  <x:si>
    <x:t xml:space="preserve">THAIWATER_WL:529399</x:t>
  </x:si>
  <x:si>
    <x:t xml:space="preserve">FOP014</x:t>
  </x:si>
  <x:si>
    <x:t xml:space="preserve">สะพานลำน้ำยาม</x:t>
  </x:si>
  <x:si>
    <x:t xml:space="preserve">{"id":1316367721,"waterlevel_datetime":"2026-10-01 15:10","waterlevel_m":null,"waterlevel_msl":"150.04","waterlevel_msl_previous":"150.04","flow_rate":null,"discharge":null,"storage_percent":"77.45","sort_order":null,"station_type":"tele_waterlevel","situation_level":4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Foundation","jp":""},"agency_shortname":{"th":"พพภ","en":"FOP","jp":""}},"basin":{"id":3,"basin_code":3,"basin_name":{"th":"ลุ่มน้ำโขงตะวันออกเฉียงเหนือ","en":"Northeast Khong Basin"}},"station":{"id":529399,"tele_station_name":{"en":"Lamnam Yam Bridge","th":"สะพานลำน้ำยาม"},"tele_station_lat":17.594904,"tele_station_long":103.969406,"tele_station_oldcode":"FOP014","tele_station_type":"tele_waterlevel","left_bank":152.486,"right_bank":152.486,"min_bank":152.49,"ground_level":141.64,"offset":null,"sub_basin_id":63,"sponsor_by":"มูลนิธิอาสาเพื่อนพึ่ง (ภาฯ) ยามยาก สภากาชาดไทย","agency_id":91,"geocode_id":4460,"hydro_id":null,"qmax":null,"is_key_station":false,"warning_level_m":null,"critical_level_m":null,"critical_level_msl":null},"geocode":{"area_code":"4","area_name":{"th":"ภาคตะวันออกเฉียงเหนือ","en":"Northeast"},"amphoe_code":"11","amphoe_name":{"th":"อากาศอำนวย","en":"Akat Amnuai District"},"tumbon_code":"01","tumbon_name":{"th":"อากาศ","en":"Akat"},"province_code":"47","province_name":{"th":"สกลนคร","en":"Sakon Nakhon"}},"diff_wl_bank":"2.45","diff_wl_bank_text":"ต่ำกว่าตลิ่ง (ม.)","river_gid":113882,"river_name":"ลำน้ำยาม"}</x:t>
  </x:si>
  <x:si>
    <x:t xml:space="preserve">THAIWATER_WL:717</x:t>
  </x:si>
  <x:si>
    <x:t xml:space="preserve">KRN002</x:t>
  </x:si>
  <x:si>
    <x:t xml:space="preserve">ไทรโยค</x:t>
  </x:si>
  <x:si>
    <x:t xml:space="preserve">{"id":1316368072,"waterlevel_datetime":"2026-10-01 15:10","waterlevel_m":null,"waterlevel_msl":"42.79","waterlevel_msl_previous":"42.81","flow_rate":null,"discharge":null,"storage_percent":"77.45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Organization)","jp":""},"agency_shortname":{"th":"สสน.","en":"HII","jp":""}},"basin":{"id":15,"basin_code":14,"basin_name":{"th":"ลุ่มน้ำแม่กลอง","en":"Mae Klong Basin"}},"station":{"id":717,"tele_station_name":{"en":"Sai Yok","th":"ไทรโยค"},"tele_station_lat":14.11265,"tele_station_long":99.14635,"tele_station_oldcode":"KRN002","tele_station_type":"tele_waterlevel","left_bank":46.515,"right_bank":46.772,"min_bank":46.52,"ground_level":30.012,"offset":null,"sub_basin_id":273,"agency_id":9,"geocode_id":6597,"hydro_id":null,"qmax":null,"is_key_station":false,"warning_level_m":null,"critical_level_m":null,"critical_level_msl":null},"geocode":{"area_code":"2","area_name":{"th":"ภาคกลาง","en":"Central"},"amphoe_code":"02","amphoe_name":{"th":"ไทรโยค","en":"Sai Yok District"},"tumbon_code":"01","tumbon_name":{"th":"ลุ่มสุ่ม","en":"Lum Sum"},"province_code":"71","province_name":{"th":"กาญจนบุรี","en":"Kanchanaburi"}},"diff_wl_bank":"3.72","diff_wl_bank_text":"ต่ำกว่าตลิ่ง (ม.)","river_gid":184697,"river_name":"แม่น้ำแควน้อย"}</x:t>
  </x:si>
  <x:si>
    <x:t xml:space="preserve">THAIWATER_WL:269</x:t>
  </x:si>
  <x:si>
    <x:t xml:space="preserve">CHI011</x:t>
  </x:si>
  <x:si>
    <x:t xml:space="preserve">เขื่องใน</x:t>
  </x:si>
  <x:si>
    <x:t xml:space="preserve">{"id":1316367966,"waterlevel_datetime":"2026-10-01 15:10","waterlevel_m":null,"waterlevel_msl":"114.15","waterlevel_msl_previous":"114.16","flow_rate":null,"discharge":null,"storage_percent":"77.30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Organization)","jp":""},"agency_shortname":{"th":"สสน.","en":"HII","jp":""}},"basin":{"id":4,"basin_code":4,"basin_name":{"th":"ลุ่มน้ำชี","en":"Chi Basin Basin"}},"station":{"id":269,"tele_station_name":{"en":"Chi 11","th":"เขื่องใน"},"tele_station_lat":15.32248,"tele_station_long":104.54649,"tele_station_oldcode":"CHI011","tele_station_type":"tele_waterlevel","left_bank":117.278,"right_bank":116.794,"min_bank":116.79,"ground_level":105.162,"offset":null,"sub_basin_id":102,"agency_id":9,"geocode_id":2645,"hydro_id":null,"qmax":null,"is_key_station":false,"warning_level_m":null,"critical_level_m":null,"critical_level_msl":null},"geocode":{"area_code":"4","area_name":{"th":"ภาคตะวันออกเฉียงเหนือ","en":"Northeast"},"amphoe_code":"04","amphoe_name":{"th":"เขื่องใน","en":"Khueang Nai District"},"tumbon_code":"01","tumbon_name":{"th":"เขื่องใน","en":"Khueang Nai"},"province_code":"34","province_name":{"th":"อุบลราชธานี","en":"Ubon Ratchathani"}},"diff_wl_bank":"2.64","diff_wl_bank_text":"ต่ำกว่าตลิ่ง (ม.)","river_gid":145659,"river_name":"แม่น้ำชี"}</x:t>
  </x:si>
  <x:si>
    <x:t xml:space="preserve">THAIWATER_WL:1079932</x:t>
  </x:si>
  <x:si>
    <x:t xml:space="preserve">Z.64</x:t>
  </x:si>
  <x:si>
    <x:t xml:space="preserve">ตำบลท่าหลวง</x:t>
  </x:si>
  <x:si>
    <x:t xml:space="preserve">คลองบ้านปากคลองใหญ่</x:t>
  </x:si>
  <x:si>
    <x:t xml:space="preserve">{"id":1316343022,"waterlevel_datetime":"2026-10-01 14:00","waterlevel_m":null,"waterlevel_msl":"4.93","waterlevel_msl_previous":"4.94","flow_rate":null,"discharge":"225.30","storage_percent":"77.21","sort_order":null,"station_type":"tele_waterlevel","situation_level":4,"agency":{"id":12,"agency_name":{"th":"กรมชลประทาน ","en":"Royal Irrigation Department","jp":""},"agency_shortname":{"th":"ชป.","en":"RID","jp":""}},"basin":{"id":18,"basin_code":17,"basin_name":{"th":"ลุ่มน้ำชายฝั่งทะเลตะวันออก","en":"East Coast Gulf Basin"}},"station":{"id":1079932,"tele_station_name":{"th":"ตำบลท่าหลวง"},"tele_station_lat":12.657133,"tele_station_long":102.15435,"tele_station_oldcode":"Z.64","tele_station_type":"tele_waterlevel","left_bank":7.463,"right_bank":7.891,"min_bank":7.21,"ground_level":-2.795,"offset":0,"sub_basin_id":296,"agency_id":12,"geocode_id":1301,"hydro_id":6,"qmax":437.200012,"is_key_station":true,"warning_level_m":null,"critical_level_m":null,"critical_level_msl":null},"geocode":{"area_code":"2","area_name":{"th":"ภาคกลาง","en":"Central"},"amphoe_code":"06","amphoe_name":{"th":"แหลมสิงห์","en":"Laem Sing District"},"tumbon_code":"02","tumbon_name":{"th":"เกาะเปริด","en":"Ko Proet"},"province_code":"22","province_name":{"th":"จันทบุรี","en":"Chanthaburi"}},"diff_wl_bank":"2.28","diff_wl_bank_text":"ต่ำกว่าตลิ่ง (ม.)","river_gid":206310,"river_name":"คลองบ้านปากคลองใหญ่"}</x:t>
  </x:si>
  <x:si>
    <x:t xml:space="preserve">THAIWATER_WL:2740</x:t>
  </x:si>
  <x:si>
    <x:t xml:space="preserve">M.159</x:t>
  </x:si>
  <x:si>
    <x:t xml:space="preserve">บ้านหลุมดิน</x:t>
  </x:si>
  <x:si>
    <x:t xml:space="preserve">{"id":1316340541,"waterlevel_datetime":"2026-10-01 14:00","waterlevel_m":null,"waterlevel_msl":"127.20","waterlevel_msl_previous":"127.19","flow_rate":null,"discharge":"175.00","storage_percent":"77.16","sort_order":null,"station_type":"tele_waterlevel","situation_level":4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2740,"tele_station_name":{"th":"บ้านหลุมดิน"},"tele_station_lat":15.14119,"tele_station_long":103.429359,"tele_station_oldcode":"M.159","tele_station_type":"tele_waterlevel","left_bank":129.100002,"right_bank":129.100002,"min_bank":129.1,"ground_level":120.78,"offset":120.900002,"sub_basin_id":125,"agency_id":12,"geocode_id":2252,"hydro_id":4,"qmax":256,"is_key_station":false,"warning_level_m":null,"critical_level_m":null,"critical_level_msl":null},"geocode":{"area_code":"4","area_name":{"th":"ภาคตะวันออกเฉียงเหนือ","en":"Northeast"},"amphoe_code":"04","amphoe_name":{"th":"จอมพระ","en":"Chom Phra District"},"tumbon_code":"02","tumbon_name":{"th":"เมืองลีง","en":"Mueang Lueng"},"province_code":"32","province_name":{"th":"สุรินทร์","en":"Surin"}},"diff_wl_bank":"1.90","diff_wl_bank_text":"ต่ำกว่าตลิ่ง (ม.)","river_gid":147442,"river_name":"ลำชี"}</x:t>
  </x:si>
  <x:si>
    <x:t xml:space="preserve">THAIWATER_WL:13906</x:t>
  </x:si>
  <x:si>
    <x:t xml:space="preserve">TNG005</x:t>
  </x:si>
  <x:si>
    <x:t xml:space="preserve">วังวิเศษ</x:t>
  </x:si>
  <x:si>
    <x:t xml:space="preserve">คลองยวนปลา</x:t>
  </x:si>
  <x:si>
    <x:t xml:space="preserve">{"id":1316368393,"waterlevel_datetime":"2026-10-01 15:10","waterlevel_m":null,"waterlevel_msl":"12.76","waterlevel_msl_previous":"12.77","flow_rate":null,"discharge":null,"storage_percent":"77.07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Basin"}},"station":{"id":13906,"tele_station_name":{"en":"Trang 5","th":"วังวิเศษ"},"tele_station_lat":7.668987,"tele_station_long":99.45936,"tele_station_oldcode":"TNG005","tele_station_type":"tele_waterlevel","left_bank":14,"right_bank":14,"min_bank":14,"ground_level":8.592,"offset":null,"sub_basin_id":349,"agency_id":9,"geocode_id":8036,"hydro_id":null,"qmax":null,"is_key_station":false,"warning_level_m":null,"critical_level_m":null,"critical_level_msl":null},"geocode":{"area_code":"5","area_name":{"th":"ภาคใต้","en":"South"},"amphoe_code":"07","amphoe_name":{"th":"วังวิเศษ","en":"Wang Wiset District"},"tumbon_code":"01","tumbon_name":{"th":"เขาวิเศษ","en":"Khao Wiset"},"province_code":"92","province_name":{"th":"ตรัง","en":"Trang"}},"diff_wl_bank":"1.24","diff_wl_bank_text":"ต่ำกว่าตลิ่ง (ม.)","river_gid":224277,"river_name":"คลองยวนปลา"}</x:t>
  </x:si>
  <x:si>
    <x:t xml:space="preserve">THAIWATER_WL:2895</x:t>
  </x:si>
  <x:si>
    <x:t xml:space="preserve">N.7A</x:t>
  </x:si>
  <x:si>
    <x:t xml:space="preserve">บ้านราชช้างขวัญ</x:t>
  </x:si>
  <x:si>
    <x:t xml:space="preserve">{"id":1316341571,"waterlevel_datetime":"2026-10-01 14:00","waterlevel_m":null,"waterlevel_msl":"32.91","waterlevel_msl_previous":"32.91","flow_rate":null,"discharge":"626.00","storage_percent":"76.75","sort_order":null,"station_type":"tele_waterlevel","situation_level":4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2895,"tele_station_name":{"th":"บ้านราชช้างขวัญ"},"tele_station_lat":16.4695,"tele_station_long":100.330872,"tele_station_oldcode":"N.7A","tele_station_type":"tele_waterlevel","left_bank":63.747,"right_bank":62.258,"min_bank":35.87,"ground_level":23.14,"offset":26,"sub_basin_id":238,"agency_id":12,"geocode_id":6241,"hydro_id":2,"qmax":997,"is_key_station":true,"warning_level_m":null,"critical_level_m":null,"critical_level_msl":null},"geocode":{"area_code":"3","area_name":{"th":"ภาคเหนือ","en":"North"},"amphoe_code":"01","amphoe_name":{"th":"เมืองพิจิตร","en":"Mueang Phichit District"},"tumbon_code":"05","tumbon_name":{"th":"ปากทาง","en":"Pak Thang"},"province_code":"66","province_name":{"th":"พิจิตร","en":"Phichit"}},"diff_wl_bank":"2.96","diff_wl_bank_text":"ต่ำกว่าตลิ่ง (ม.)","river_gid":96084,"river_name":"แม่น้ำน่าน"}</x:t>
  </x:si>
  <x:si>
    <x:t xml:space="preserve">THAIWATER_WL:2972</x:t>
  </x:si>
  <x:si>
    <x:t xml:space="preserve">Y.15</x:t>
  </x:si>
  <x:si>
    <x:t xml:space="preserve">บ้านกง</x:t>
  </x:si>
  <x:si>
    <x:t xml:space="preserve">{"id":1316341558,"waterlevel_datetime":"2026-10-01 14:00","waterlevel_m":null,"waterlevel_msl":"42.77","waterlevel_msl_previous":"42.76","flow_rate":null,"discharge":"180.10","storage_percent":"76.66","sort_order":null,"station_type":"tele_waterlevel","situation_level":4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2972,"tele_station_name":{"th":"บ้านกง"},"tele_station_lat":16.927441,"tele_station_long":99.959427,"tele_station_oldcode":"Y.15","tele_station_type":"tele_waterlevel","left_bank":81.40299999999999,"right_bank":81.366,"min_bank":45.64,"ground_level":33.343,"offset":35.32,"sub_basin_id":213,"agency_id":12,"geocode_id":6068,"hydro_id":2,"qmax":492,"is_key_station":false,"warning_level_m":null,"critical_level_m":null,"critical_level_msl":null},"geocode":{"area_code":"3","area_name":{"th":"ภาคเหนือ","en":"North"},"amphoe_code":"04","amphoe_name":{"th":"กงไกรลาศ","en":"Kong Krailat District"},"tumbon_code":"01","tumbon_name":{"th":"กง","en":"Kong"},"province_code":"64","province_name":{"th":"สุโขทัย","en":"Sukhothai"}},"diff_wl_bank":"2.87","diff_wl_bank_text":"ต่ำกว่าตลิ่ง (ม.)","river_gid":90623,"river_name":"แม่น้ำยม"}</x:t>
  </x:si>
  <x:si>
    <x:t xml:space="preserve">THAIWATER_WL:422</x:t>
  </x:si>
  <x:si>
    <x:t xml:space="preserve">CHM007</x:t>
  </x:si>
  <x:si>
    <x:t xml:space="preserve">ฝาง</x:t>
  </x:si>
  <x:si>
    <x:t xml:space="preserve">น้ำฝาง</x:t>
  </x:si>
  <x:si>
    <x:t xml:space="preserve">{"id":1316367977,"waterlevel_datetime":"2026-10-01 15:10","waterlevel_m":null,"waterlevel_msl":"509.65","waterlevel_msl_previous":"509.65","flow_rate":null,"discharge":null,"storage_percent":"76.60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Basin"}},"station":{"id":422,"tele_station_name":{"en":"Chiang Mai 7","th":"ฝาง"},"tele_station_lat":19.85606,"tele_station_long":99.19549,"tele_station_oldcode":"CHM007","tele_station_type":"tele_waterlevel","left_bank":510.505,"right_bank":510.554,"min_bank":510.51,"ground_level":506.838,"offset":null,"sub_basin_id":25,"agency_id":9,"geocode_id":4785,"hydro_id":null,"qmax":null,"is_key_station":false,"warning_level_m":null,"critical_level_m":null,"critical_level_msl":null},"geocode":{"area_code":"3","area_name":{"th":"ภาคเหนือ","en":"North"},"amphoe_code":"09","amphoe_name":{"th":"ฝาง","en":"Fang District"},"tumbon_code":"05","tumbon_name":{"th":"แม่สูน","en":"Mae Sun"},"province_code":"50","province_name":{"th":"เชียงใหม่","en":"Chiang Mai"}},"diff_wl_bank":"0.86","diff_wl_bank_text":"ต่ำกว่าตลิ่ง (ม.)","river_gid":5328,"river_name":"น้ำฝาง"}</x:t>
  </x:si>
  <x:si>
    <x:t xml:space="preserve">THAIWATER_WL:2661</x:t>
  </x:si>
  <x:si>
    <x:t xml:space="preserve">Z.58</x:t>
  </x:si>
  <x:si>
    <x:t xml:space="preserve">บ้านเขาสมิง</x:t>
  </x:si>
  <x:si>
    <x:t xml:space="preserve">{"id":1316343015,"waterlevel_datetime":"2026-10-01 14:00","waterlevel_m":null,"waterlevel_msl":"2.32","waterlevel_msl_previous":"2.33","flow_rate":null,"discharge":null,"storage_percent":"76.53","sort_order":null,"station_type":"tele_waterlevel","situation_level":4,"agency":{"id":12,"agency_name":{"th":"กรมชลประทาน ","en":"Royal Irrigation Department","jp":""},"agency_shortname":{"th":"ชป.","en":"RID","jp":""}},"basin":{"id":18,"basin_code":17,"basin_name":{"th":"ลุ่มน้ำชายฝั่งทะเลตะวันออก","en":"East Coast Gulf Basin"}},"station":{"id":2661,"tele_station_name":{"th":"บ้านเขาสมิง"},"tele_station_lat":12.35731,"tele_station_long":102.437897,"tele_station_oldcode":"Z.58","tele_station_type":"tele_waterlevel","left_bank":4.5,"right_bank":4.5,"min_bank":4.5,"ground_level":-4.79,"offset":0,"sub_basin_id":298,"agency_id":12,"geocode_id":1353,"hydro_id":6,"qmax":null,"is_key_station":true,"warning_level_m":null,"critical_level_m":null,"critical_level_msl":null},"geocode":{"area_code":"2","area_name":{"th":"ภาคกลาง","en":"Central"},"amphoe_code":"03","amphoe_name":{"th":"เขาสมิง","en":"Khao Saming District"},"tumbon_code":"01","tumbon_name":{"th":"เขาสมิง","en":"Khao Saming"},"province_code":"23","province_name":{"th":"ตราด","en":"Trat"}},"diff_wl_bank":"2.18","diff_wl_bank_text":"ต่ำกว่าตลิ่ง (ม.)","river_gid":206697,"river_name":"แม่น้ำเขาสมิง"}</x:t>
  </x:si>
  <x:si>
    <x:t xml:space="preserve">THAIWATER_WL:740742</x:t>
  </x:si>
  <x:si>
    <x:t xml:space="preserve">FOP041</x:t>
  </x:si>
  <x:si>
    <x:t xml:space="preserve">คลองสุหงาบารู หมู่ที่ 4</x:t>
  </x:si>
  <x:si>
    <x:t xml:space="preserve">คลองสุหงาบารู</x:t>
  </x:si>
  <x:si>
    <x:t xml:space="preserve">{"id":1316367734,"waterlevel_datetime":"2026-10-01 15:10","waterlevel_m":null,"waterlevel_msl":"2.20","waterlevel_msl_previous":"2.21","flow_rate":null,"discharge":null,"storage_percent":"76.41","sort_order":null,"station_type":"tele_waterlevel","situation_level":4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Foundation","jp":""},"agency_shortname":{"th":"พพภ","en":"FOP","jp":""}},"basin":{"id":26,"basin_code":21,"basin_name":{"th":"ลุ่มน้ำภาคใต้ฝั่งตะวันออกตอนล่าง","en":"Peninsula - Lower East Coast Basin"}},"station":{"id":740742,"tele_station_name":{"en":"Su Nga Ba Ru 4","th":"คลองสุหงาบารู หมู่ที่ 4"},"tele_station_lat":6.737094,"tele_station_long":101.27308,"tele_station_oldcode":"FOP041","tele_station_type":"tele_waterlevel","left_bank":6.764,"right_bank":7.063,"min_bank":6.76,"ground_level":-12.58,"offset":null,"sub_basin_id":336,"sponsor_by":"มูลนิธิอาสาเพื่อนพึ่ง (ภาฯ) ยามยาก สภากาชาดไทย","agency_id":91,"geocode_id":8251,"hydro_id":null,"qmax":null,"is_key_station":false,"warning_level_m":null,"critical_level_m":null,"critical_level_msl":null},"geocode":{"area_code":"5","area_name":{"th":"ภาคใต้","en":"South"},"amphoe_code":"10","amphoe_name":{"th":"ยะรัง","en":"Yarang District"},"tumbon_code":"09","tumbon_name":{"th":"คลองใหม่","en":"Khlong Mai"},"province_code":"94","province_name":{"th":"ปัตตานี","en":"Pattani"}},"diff_wl_bank":"4.56","diff_wl_bank_text":"ต่ำกว่าตลิ่ง (ม.)","river_gid":228805,"river_name":"คลองสุหงาบารู"}</x:t>
  </x:si>
  <x:si>
    <x:t xml:space="preserve">THAIWATER_WL:1373277</x:t>
  </x:si>
  <x:si>
    <x:t xml:space="preserve">HDA011</x:t>
  </x:si>
  <x:si>
    <x:t xml:space="preserve">สะพานคลองส่งน้ำชลประทาน บ้านสร่างโศก</x:t>
  </x:si>
  <x:si>
    <x:t xml:space="preserve">{"id":1316368051,"waterlevel_datetime":"2026-10-01 15:10","waterlevel_m":null,"waterlevel_msl":"9.65","waterlevel_msl_previous":"9.65","flow_rate":null,"discharge":"348.58","storage_percent":"76.24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Organization)","jp":""},"agency_shortname":{"th":"สสน.","en":"HII","jp":""}},"basin":{"id":13,"basin_code":12,"basin_name":{"th":"ลุ่มน้ำป่าสัก","en":"Pasak Basin"}},"station":{"id":1373277,"tele_station_name":{"en":"Khlong Chon Bridge (Ban Sang Sok)","th":"สะพานคลองส่งน้ำชลประทาน บ้านสร่างโศก"},"tele_station_lat":14.650794,"tele_station_long":100.742775,"tele_station_oldcode":"HDA011","tele_station_type":"tele_waterlevel","left_bank":11.5,"right_bank":12.085,"min_bank":11.5,"ground_level":3.713,"offset":null,"sub_basin_id":257,"agency_id":9,"geocode_id":1016,"hydro_id":null,"qmax":null,"is_key_station":false,"warning_level_m":null,"critical_level_m":null,"critical_level_msl":null},"geocode":{"area_code":"2","area_name":{"th":"ภาคกลาง","en":"Central"},"amphoe_code":"06","amphoe_name":{"th":"บ้านหมอ","en":"Ban Mo District"},"tumbon_code":"03","tumbon_name":{"th":"สร่างโศก","en":"Sang Sok"},"province_code":"19","province_name":{"th":"สระบุรี","en":"Saraburi"}},"diff_wl_bank":"1.85","diff_wl_bank_text":"ต่ำกว่าตลิ่ง (ม.)"}</x:t>
  </x:si>
  <x:si>
    <x:t xml:space="preserve">THAIWATER_WL:479241</x:t>
  </x:si>
  <x:si>
    <x:t xml:space="preserve">TBW033</x:t>
  </x:si>
  <x:si>
    <x:t xml:space="preserve">ลำเซบาย</x:t>
  </x:si>
  <x:si>
    <x:t xml:space="preserve">{"id":1316368366,"waterlevel_datetime":"2026-10-01 15:10","waterlevel_m":null,"waterlevel_msl":"143.61","waterlevel_msl_previous":"143.61","flow_rate":null,"discharge":null,"storage_percent":"76.04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Basin"}},"station":{"id":479241,"tele_station_name":{"en":"Yasothon 1","th":"ลำเซบาย"},"tele_station_lat":16.195435,"tele_station_long":104.52569,"tele_station_oldcode":"TBW033","tele_station_type":"tele_waterlevel","left_bank":146.637,"right_bank":144.663,"min_bank":144.66,"ground_level":140.269,"offset":null,"sub_basin_id":144,"agency_id":9,"geocode_id":2932,"hydro_id":null,"qmax":null,"is_key_station":false,"warning_level_m":null,"critical_level_m":null,"critical_level_msl":null},"geocode":{"area_code":"4","area_name":{"th":"ภาคตะวันออกเฉียงเหนือ","en":"Northeast"},"amphoe_code":"08","amphoe_name":{"th":"เลิงนกทา","en":"Loeng Nok Tha District"},"tumbon_code":"03","tumbon_name":{"th":"สวาท","en":"Sawat"},"province_code":"35","province_name":{"th":"ยโสธร","en":"Yasothon"}},"diff_wl_bank":"1.05","diff_wl_bank_text":"ต่ำกว่าตลิ่ง (ม.)","river_gid":132826,"river_name":"ลำเซบาย"}</x:t>
  </x:si>
  <x:si>
    <x:t xml:space="preserve">THAIWATER_WL:2914</x:t>
  </x:si>
  <x:si>
    <x:t xml:space="preserve">P.50A</x:t>
  </x:si>
  <x:si>
    <x:t xml:space="preserve">คลองวังเจ้า</x:t>
  </x:si>
  <x:si>
    <x:t xml:space="preserve">{"id":1316341599,"waterlevel_datetime":"2026-10-01 14:00","waterlevel_m":null,"waterlevel_msl":"107.26","waterlevel_msl_previous":"107.27","flow_rate":null,"discharge":"54.82","storage_percent":"75.65","sort_order":null,"station_type":"tele_waterlevel","situation_level":4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2914,"tele_station_name":{"th":"คลองวังเจ้า"},"tele_station_lat":16.63925,"tele_station_long":99.242813,"tele_station_oldcode":"P.50A","tele_station_type":"tele_waterlevel","left_bank":214.090001,"right_bank":214.215001,"min_bank":108.06,"ground_level":104.783,"offset":104.360001,"sub_basin_id":180,"agency_id":12,"geocode_id":6033,"hydro_id":2,"qmax":122,"is_key_station":false,"warning_level_m":null,"critical_level_m":null,"critical_level_msl":null},"geocode":{"area_code":"3","area_name":{"th":"ภาคเหนือ","en":"North"},"amphoe_code":"09","amphoe_name":{"th":"วังเจ้า","en":"Wang Chao District"},"tumbon_code":"01","tumbon_name":{"th":"เชียงทอง","en":"Chiang Thong"},"province_code":"63","province_name":{"th":"ตาก","en":"Tak"}},"diff_wl_bank":"0.80","diff_wl_bank_text":"ต่ำกว่าตลิ่ง (ม.)","river_gid":95190,"river_name":"คลองวังเจ้า"}</x:t>
  </x:si>
  <x:si>
    <x:t xml:space="preserve">THAIWATER_WL:1109508</x:t>
  </x:si>
  <x:si>
    <x:t xml:space="preserve">ONE019</x:t>
  </x:si>
  <x:si>
    <x:t xml:space="preserve">ปตร.บ้านตับเต่า-เหนือน้ำ</x:t>
  </x:si>
  <x:si>
    <x:t xml:space="preserve">ลำน้ำบัง</x:t>
  </x:si>
  <x:si>
    <x:t xml:space="preserve">{"id":1316368197,"waterlevel_datetime":"2026-10-01 15:10","waterlevel_m":null,"waterlevel_msl":"147.43","waterlevel_msl_previous":"147.43","flow_rate":null,"discharge":null,"storage_percent":"75.61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Basin"}},"station":{"id":1109508,"tele_station_name":{"en":"Upper Ban Tap Tao Gate","th":"ปตร.บ้านตับเต่า-เหนือน้ำ"},"tele_station_lat":17.115396,"tele_station_long":104.53788,"tele_station_oldcode":"ONE019","tele_station_type":"tele_waterlevel","left_bank":149.357,"right_bank":149.909,"min_bank":149.36,"ground_level":141.457,"offset":null,"sub_basin_id":70,"agency_id":9,"geocode_id":4542,"hydro_id":null,"qmax":null,"is_key_station":false,"warning_level_m":null,"critical_level_m":null,"critical_level_msl":null},"geocode":{"area_code":"4","area_name":{"th":"ภาคตะวันออกเฉียงเหนือ","en":"Northeast"},"amphoe_code":"02","amphoe_name":{"th":"ปลาปาก","en":"Pla Pak District"},"tumbon_code":"08","tumbon_name":{"th":"หนองเทาใหญ่","en":"Nong Thao Yai"},"province_code":"48","province_name":{"th":"นครพนม","en":"Nakhon Phanom"}},"diff_wl_bank":"1.93","diff_wl_bank_text":"ต่ำกว่าตลิ่ง (ม.)","river_gid":121975,"river_name":"ลำน้ำบัง"}</x:t>
  </x:si>
  <x:si>
    <x:t xml:space="preserve">THAIWATER_WL:479235</x:t>
  </x:si>
  <x:si>
    <x:t xml:space="preserve">TBW027</x:t>
  </x:si>
  <x:si>
    <x:t xml:space="preserve">ลำน้ำอูน</x:t>
  </x:si>
  <x:si>
    <x:t xml:space="preserve">{"id":1316368362,"waterlevel_datetime":"2026-10-01 15:10","waterlevel_m":null,"waterlevel_msl":"153.22","waterlevel_msl_previous":"153.22","flow_rate":null,"discharge":null,"storage_percent":"75.41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Basin"}},"station":{"id":479235,"tele_station_name":{"en":"Songkhram 2","th":"ลำน้ำอูน"},"tele_station_lat":17.322742,"tele_station_long":103.97923,"tele_station_oldcode":"TBW027","tele_station_type":"tele_waterlevel","left_bank":154.846,"right_bank":157.343,"min_bank":154.85,"ground_level":148.233,"offset":null,"sub_basin_id":65,"agency_id":9,"geocode_id":4409,"hydro_id":null,"qmax":null,"is_key_station":false,"warning_level_m":null,"critical_level_m":null,"critical_level_msl":null},"geocode":{"area_code":"4","area_name":{"th":"ภาคตะวันออกเฉียงเหนือ","en":"Northeast"},"amphoe_code":"04","amphoe_name":{"th":"พรรณานิคม","en":"Phanna Nikhom District"},"tumbon_code":"08","tumbon_name":{"th":"สว่าง","en":"Sawang"},"province_code":"47","province_name":{"th":"สกลนคร","en":"Sakon Nakhon"}},"diff_wl_bank":"1.63","diff_wl_bank_text":"ต่ำกว่าตลิ่ง (ม.)","river_gid":119181,"river_name":"ลำน้ำอูน"}</x:t>
  </x:si>
  <x:si>
    <x:t xml:space="preserve">THAIWATER_WL:3543</x:t>
  </x:si>
  <x:si>
    <x:t xml:space="preserve">PMTS16</x:t>
  </x:si>
  <x:si>
    <x:t xml:space="preserve">แม่น้ำมูล เมืองอุบลราชธานี (M.7)</x:t>
  </x:si>
  <x:si>
    <x:t xml:space="preserve">{"id":1316346454,"waterlevel_datetime":"2026-10-01 14:00","waterlevel_m":null,"waterlevel_msl":"110.85","waterlevel_msl_previous":"110.88","flow_rate":null,"discharge":"1800.00","storage_percent":"75.19","sort_order":null,"station_type":"tele_waterlevel","situation_level":4,"agency":{"id":8,"agency_name":{"th":"การไฟฟ้าฝ่ายผลิตแห่งประเทศไทย","en":"Electricity Generating Authority of Thailand","jp":""},"agency_shortname":{"th":"กฟผ.","en":"EGAT","jp":""}},"basin":{"id":5,"basin_code":5,"basin_name":{"th":"ลุ่มน้ำมูล","en":"Mun Basin"}},"station":{"id":3543,"tele_station_name":{"th":"แม่น้ำมูล เมืองอุบลราชธานี (M.7)"},"tele_station_lat":15.22652,"tele_station_long":104.86159,"tele_station_oldcode":"PMTS16","tele_station_type":"tele_waterlevel","left_bank":116.12,"right_bank":113.84,"min_bank":113.84,"ground_level":101.79,"offset":null,"sub_basin_id":147,"agency_id":8,"geocode_id":2619,"hydro_id":null,"qmax":null,"is_key_station":false,"warning_level_m":null,"critical_level_m":null,"critical_level_msl":113.84},"geocode":{"area_code":"4","area_name":{"th":"ภาคตะวันออกเฉียงเหนือ","en":"Northeast"},"amphoe_code":"01","amphoe_name":{"th":"เมืองอุบลราชธานี","en":"Mueang Ubon Ratchathani District"},"tumbon_code":"09","tumbon_name":{"th":"แจระแม","en":"Chaeramae"},"province_code":"34","province_name":{"th":"อุบลราชธานี","en":"Ubon Ratchathani"}},"diff_wl_bank":"2.99","diff_wl_bank_text":"ต่ำกว่าตลิ่ง (ม.)","river_gid":146325,"river_name":"แม่น้ำมูล"}</x:t>
  </x:si>
  <x:si>
    <x:t xml:space="preserve">THAIWATER_WL:2707</x:t>
  </x:si>
  <x:si>
    <x:t xml:space="preserve">M.170</x:t>
  </x:si>
  <x:si>
    <x:t xml:space="preserve">บ้านคำสำราญ</x:t>
  </x:si>
  <x:si>
    <x:t xml:space="preserve">ลำโดมใหญ่</x:t>
  </x:si>
  <x:si>
    <x:t xml:space="preserve">{"id":1316351073,"waterlevel_datetime":"2026-10-01 14:00","waterlevel_m":null,"waterlevel_msl":"129.95","waterlevel_msl_previous":"129.97","flow_rate":null,"discharge":"157.50","storage_percent":"75.13","sort_order":null,"station_type":"tele_waterlevel","situation_level":4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2707,"tele_station_name":{"th":"บ้านคำสำราญ"},"tele_station_lat":14.79088,"tele_station_long":105.102768,"tele_station_oldcode":"M.170","tele_station_type":"tele_waterlevel","left_bank":130.300003,"right_bank":130.300003,"min_bank":132.3,"ground_level":122.85,"offset":123.300003,"sub_basin_id":150,"agency_id":12,"geocode_id":2681,"hydro_id":4,"qmax":568,"is_key_station":true,"warning_level_m":null,"critical_level_m":null,"critical_level_msl":null},"geocode":{"area_code":"4","area_name":{"th":"ภาคตะวันออกเฉียงเหนือ","en":"Northeast"},"amphoe_code":"07","amphoe_name":{"th":"เดชอุดม","en":"Det Udom District"},"tumbon_code":"11","tumbon_name":{"th":"กลาง","en":"Klang"},"province_code":"34","province_name":{"th":"อุบลราชธานี","en":"Ubon Ratchathani"}},"diff_wl_bank":"2.35","diff_wl_bank_text":"ต่ำกว่าตลิ่ง (ม.)","river_gid":150582,"river_name":"ลำโดมใหญ่"}</x:t>
  </x:si>
  <x:si>
    <x:t xml:space="preserve">THAIWATER_WL:645</x:t>
  </x:si>
  <x:si>
    <x:t xml:space="preserve">YOM007</x:t>
  </x:si>
  <x:si>
    <x:t xml:space="preserve">กงไกรลาศ</x:t>
  </x:si>
  <x:si>
    <x:t xml:space="preserve">{"id":1316368439,"waterlevel_datetime":"2026-10-01 15:10","waterlevel_m":null,"waterlevel_msl":"42.01","waterlevel_msl_previous":"42.03","flow_rate":null,"discharge":null,"storage_percent":"75.12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Basin"}},"station":{"id":645,"tele_station_name":{"en":"Yom 7","th":"กงไกรลาศ"},"tele_station_lat":16.92732,"tele_station_long":99.95933,"tele_station_oldcode":"YOM007","tele_station_type":"tele_waterlevel","left_bank":45.385,"right_bank":44.87,"min_bank":44.87,"ground_level":33.37,"offset":null,"sub_basin_id":213,"agency_id":9,"geocode_id":6068,"hydro_id":null,"qmax":null,"is_key_station":false,"warning_level_m":null,"critical_level_m":null,"critical_level_msl":null},"geocode":{"area_code":"3","area_name":{"th":"ภาคเหนือ","en":"North"},"amphoe_code":"04","amphoe_name":{"th":"กงไกรลาศ","en":"Kong Krailat District"},"tumbon_code":"01","tumbon_name":{"th":"กง","en":"Kong"},"province_code":"64","province_name":{"th":"สุโขทัย","en":"Sukhothai"}},"diff_wl_bank":"2.86","diff_wl_bank_text":"ต่ำกว่าตลิ่ง (ม.)","river_gid":90623,"river_name":"แม่น้ำยม"}</x:t>
  </x:si>
  <x:si>
    <x:t xml:space="preserve">THAIWATER_WL:2797</x:t>
  </x:si>
  <x:si>
    <x:t xml:space="preserve">E.23</x:t>
  </x:si>
  <x:si>
    <x:t xml:space="preserve">บ้านค่าย</x:t>
  </x:si>
  <x:si>
    <x:t xml:space="preserve">{"id":1316353898,"waterlevel_datetime":"2026-10-01 14:00","waterlevel_m":null,"waterlevel_msl":"183.26","waterlevel_msl_previous":"183.26","flow_rate":null,"discharge":"136.52","storage_percent":"74.77","sort_order":null,"station_type":"tele_waterlevel","situation_level":4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2797,"tele_station_name":{"th":"บ้านค่าย"},"tele_station_lat":15.68176,"tele_station_long":102.009552,"tele_station_oldcode":"E.23","tele_station_type":"tele_waterlevel","left_bank":364.80199700000003,"right_bank":363.206997,"min_bank":185.2,"ground_level":177.51,"offset":176.199997,"sub_basin_id":82,"agency_id":12,"geocode_id":3082,"hydro_id":3,"qmax":270,"is_key_station":true,"warning_level_m":null,"critical_level_m":null,"critical_level_msl":null},"geocode":{"area_code":"4","area_name":{"th":"ภาคตะวันออกเฉียงเหนือ","en":"Northeast"},"amphoe_code":"15","amphoe_name":{"th":"เนินสง่า","en":"Noen Sa-nga District"},"tumbon_code":"03","tumbon_name":{"th":"กะฮาด","en":"Kahat"},"province_code":"36","province_name":{"th":"ชัยภูมิ","en":"Chaiyaphum"}},"diff_wl_bank":"1.94","diff_wl_bank_text":"ต่ำกว่าตลิ่ง (ม.)","river_gid":141760,"river_name":"แม่น้ำชี"}</x:t>
  </x:si>
  <x:si>
    <x:t xml:space="preserve">THAIWATER_WL:751</x:t>
  </x:si>
  <x:si>
    <x:t xml:space="preserve">BKK006</x:t>
  </x:si>
  <x:si>
    <x:t xml:space="preserve">คลองมหาชัย วัดพันท้ายนรสิงห์</x:t>
  </x:si>
  <x:si>
    <x:t xml:space="preserve">คลองสนามชัย</x:t>
  </x:si>
  <x:si>
    <x:t xml:space="preserve">{"id":1316367945,"waterlevel_datetime":"2026-10-01 15:10","waterlevel_m":null,"waterlevel_msl":"0.30","waterlevel_msl_previous":"0.31","flow_rate":null,"discharge":null,"storage_percent":"74.77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Organization)","jp":""},"agency_shortname":{"th":"สสน.","en":"HII","jp":""}},"basin":{"id":14,"basin_code":13,"basin_name":{"th":"ลุ่มน้ำท่าจีน","en":"Tha Chin Basin"}},"station":{"id":751,"tele_station_name":{"en":"Krung Thep 6","th":"คลองมหาชัย วัดพันท้ายนรสิงห์"},"tele_station_lat":13.58184,"tele_station_long":100.36587,"tele_station_oldcode":"BKK006","tele_station_type":"tele_waterlevel","left_bank":1.301,"right_bank":3.227,"min_bank":1.3,"ground_level":-2.674,"offset":null,"sub_basin_id":259,"agency_id":9,"geocode_id":6942,"hydro_id":null,"qmax":null,"is_key_station":false,"warning_level_m":null,"critical_level_m":null,"critical_level_msl":null},"geocode":{"area_code":"2","area_name":{"th":"ภาคกลาง","en":"Central"},"amphoe_code":"01","amphoe_name":{"th":"เมืองสมุทรสาคร","en":"Mueang Samut Sakhon District"},"tumbon_code":"13","tumbon_name":{"th":"พันท้ายนรสิงห์","en":"Phanthai Norasing"},"province_code":"74","province_name":{"th":"สมุทรสาคร","en":"Samut Sakhon"}},"diff_wl_bank":"1.00","diff_wl_bank_text":"ต่ำกว่าตลิ่ง (ม.)","river_gid":189455,"river_name":"คลองสนามชัย"}</x:t>
  </x:si>
  <x:si>
    <x:t xml:space="preserve">THAIWATER_WL:2725</x:t>
  </x:si>
  <x:si>
    <x:t xml:space="preserve">M.2A</x:t>
  </x:si>
  <x:si>
    <x:t xml:space="preserve">บ้านด่านกะตา</x:t>
  </x:si>
  <x:si>
    <x:t xml:space="preserve">{"id":1316340548,"waterlevel_datetime":"2026-10-01 14:00","waterlevel_m":null,"waterlevel_msl":"165.60","waterlevel_msl_previous":"165.59","flow_rate":null,"discharge":"91.00","storage_percent":"74.55","sort_order":null,"station_type":"tele_waterlevel","situation_level":4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2725,"tele_station_name":{"th":"บ้านด่านกะตา"},"tele_station_lat":14.96803,"tele_station_long":102.237831,"tele_station_oldcode":"M.2A","tele_station_type":"tele_waterlevel","left_bank":330.015,"right_bank":330.023,"min_bank":167.7,"ground_level":159.45,"offset":161,"sub_basin_id":107,"agency_id":12,"geocode_id":1992,"hydro_id":4,"qmax":232,"is_key_station":false,"warning_level_m":null,"critical_level_m":null,"critical_level_msl":null},"geocode":{"area_code":"4","area_name":{"th":"ภาคตะวันออกเฉียงเหนือ","en":"Northeast"},"amphoe_code":"32","amphoe_name":{"th":"เฉลิมพระเกียรติ","en":"Chaloem Phra Kiat District"},"tumbon_code":"05","tumbon_name":{"th":"หนองยาง","en":"Nong Yang"},"province_code":"30","province_name":{"th":"นครราชสีมา","en":"Nakhon Ratchasima"}},"diff_wl_bank":"2.10","diff_wl_bank_text":"ต่ำกว่าตลิ่ง (ม.)","river_gid":149585,"river_name":"แม่น้ำมูล"}</x:t>
  </x:si>
  <x:si>
    <x:t xml:space="preserve">THAIWATER_WL:255</x:t>
  </x:si>
  <x:si>
    <x:t xml:space="preserve">MUN010</x:t>
  </x:si>
  <x:si>
    <x:t xml:space="preserve">เมืองศรีสะเกษ</x:t>
  </x:si>
  <x:si>
    <x:t xml:space="preserve">{"id":1316368151,"waterlevel_datetime":"2026-10-01 15:10","waterlevel_m":null,"waterlevel_msl":"115.94","waterlevel_msl_previous":"115.93","flow_rate":null,"discharge":null,"storage_percent":"74.48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Basin"}},"station":{"id":255,"tele_station_name":{"en":"Mueang Sisaket","th":"เมืองศรีสะเกษ"},"tele_station_lat":15.118111,"tele_station_long":104.31859,"tele_station_oldcode":"MUN010","tele_station_type":"tele_waterlevel","left_bank":118.176,"right_bank":124.99,"min_bank":118.18,"ground_level":109.413,"offset":null,"sub_basin_id":137,"agency_id":9,"geocode_id":2385,"hydro_id":null,"qmax":null,"is_key_station":false,"warning_level_m":null,"critical_level_m":null,"critical_level_msl":null},"geocode":{"area_code":"4","area_name":{"th":"ภาคตะวันออกเฉียงเหนือ","en":"Northeast"},"amphoe_code":"01","amphoe_name":{"th":"เมืองศรีสะเกษ","en":"Mueang Si Sa Ket District"},"tumbon_code":"01","tumbon_name":{"th":"เมืองเหนือ","en":"Mueang Nuea"},"province_code":"33","province_name":{"th":"ศรีสะเกษ","en":"Si Sa Ket"}},"diff_wl_bank":"2.24","diff_wl_bank_text":"ต่ำกว่าตลิ่ง (ม.)","river_gid":147468,"river_name":"ห้วยสำราญ"}</x:t>
  </x:si>
  <x:si>
    <x:t xml:space="preserve">THAIWATER_WL:680</x:t>
  </x:si>
  <x:si>
    <x:t xml:space="preserve">YOM009</x:t>
  </x:si>
  <x:si>
    <x:t xml:space="preserve">โพธิ์ประทับช้าง</x:t>
  </x:si>
  <x:si>
    <x:t xml:space="preserve">{"id":1316368441,"waterlevel_datetime":"2026-10-01 15:10","waterlevel_m":null,"waterlevel_msl":"32.58","waterlevel_msl_previous":"32.58","flow_rate":null,"discharge":null,"storage_percent":"74.38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Basin"}},"station":{"id":680,"tele_station_name":{"en":"Yom 9","th":"โพธิ์ประทับช้าง"},"tele_station_lat":16.31077,"tele_station_long":100.27173,"tele_station_oldcode":"YOM009","tele_station_type":"tele_waterlevel","left_bank":34.787,"right_bank":36.235,"min_bank":34.79,"ground_level":26.165,"offset":null,"sub_basin_id":215,"agency_id":9,"geocode_id":6260,"hydro_id":null,"qmax":null,"is_key_station":false,"warning_level_m":null,"critical_level_m":null,"critical_level_msl":null},"geocode":{"area_code":"3","area_name":{"th":"ภาคเหนือ","en":"North"},"amphoe_code":"03","amphoe_name":{"th":"โพธิ์ประทับช้าง","en":"Pho Prathap Chang District"},"tumbon_code":"01","tumbon_name":{"th":"โพธิ์ประทับช้าง","en":"Pho Prathap Chang"},"province_code":"66","province_name":{"th":"พิจิตร","en":"Phichit"}},"diff_wl_bank":"2.21","diff_wl_bank_text":"ต่ำกว่าตลิ่ง (ม.)","river_gid":98592,"river_name":"แม่น้ำยม"}</x:t>
  </x:si>
  <x:si>
    <x:t xml:space="preserve">THAIWATER_WL:1109506</x:t>
  </x:si>
  <x:si>
    <x:t xml:space="preserve">ONE017</x:t>
  </x:si>
  <x:si>
    <x:t xml:space="preserve">ปตร.บ้านนาบัว-เหนือน้ำ</x:t>
  </x:si>
  <x:si>
    <x:t xml:space="preserve">{"id":1316368195,"waterlevel_datetime":"2026-10-01 15:10","waterlevel_m":null,"waterlevel_msl":"143.11","waterlevel_msl_previous":"143.11","flow_rate":null,"discharge":null,"storage_percent":"74.35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Basin"}},"station":{"id":1109506,"tele_station_name":{"en":"Upper Na Bua Gate","th":"ปตร.บ้านนาบัว-เหนือน้ำ"},"tele_station_lat":17.065418,"tele_station_long":104.57897,"tele_station_oldcode":"ONE017","tele_station_type":"tele_waterlevel","left_bank":145.063,"right_bank":144.884,"min_bank":144.88,"ground_level":137.968,"offset":null,"sub_basin_id":70,"agency_id":9,"geocode_id":4578,"hydro_id":null,"qmax":null,"is_key_station":false,"warning_level_m":null,"critical_level_m":null,"critical_level_msl":null},"geocode":{"area_code":"4","area_name":{"th":"ภาคตะวันออกเฉียงเหนือ","en":"Northeast"},"amphoe_code":"06","amphoe_name":{"th":"เรณูนคร","en":"Renu Nakhon District"},"tumbon_code":"05","tumbon_name":{"th":"โคกหินแฮ่","en":"Khok Hin Hae"},"province_code":"48","province_name":{"th":"นครพนม","en":"Nakhon Phanom"}},"diff_wl_bank":"1.77","diff_wl_bank_text":"ต่ำกว่าตลิ่ง (ม.)","river_gid":122604,"river_name":"ลำน้ำกำ"}</x:t>
  </x:si>
  <x:si>
    <x:t xml:space="preserve">THAIWATER_WL:11</x:t>
  </x:si>
  <x:si>
    <x:t xml:space="preserve">BKK001</x:t>
  </x:si>
  <x:si>
    <x:t xml:space="preserve">คลองลาดพร้าว ท้ายปตร.คลอง2</x:t>
  </x:si>
  <x:si>
    <x:t xml:space="preserve">{"id":1316367942,"waterlevel_datetime":"2026-10-01 15:10","waterlevel_m":null,"waterlevel_msl":"1.42","waterlevel_msl_previous":"1.42","flow_rate":null,"discharge":null,"storage_percent":"74.30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Basin"}},"station":{"id":11,"tele_station_name":{"en":"Krung Thep 1","th":"คลองลาดพร้าว ท้ายปตร.คลอง2"},"tele_station_lat":13.92245,"tele_station_long":100.63438,"tele_station_oldcode":"BKK001","tele_station_type":"tele_waterlevel","left_bank":2.563,"right_bank":2.758,"min_bank":2.56,"ground_level":-1.9,"offset":null,"sub_basin_id":240,"agency_id":9,"geocode_id":185,"hydro_id":null,"qmax":null,"is_key_station":false,"warning_level_m":null,"critical_level_m":null,"critical_level_msl":null},"geocode":{"area_code":"1","area_name":{"th":"กรุงเทพมหานคร","en":"Bangkok"},"amphoe_code":"42","amphoe_name":{"th":"สายไหม","en":"Sai Mai District"},"tumbon_code":"01","tumbon_name":{"th":"สายไหม","en":"Sai Mai"},"province_code":"10","province_name":{"th":"กรุงเทพมหานคร","en":"Bangkok"}},"diff_wl_bank":"1.15","diff_wl_bank_text":"ต่ำกว่าตลิ่ง (ม.)","river_gid":195492,"river_name":"คลองหกวา"}</x:t>
  </x:si>
  <x:si>
    <x:t xml:space="preserve">THAIWATER_WL:3542</x:t>
  </x:si>
  <x:si>
    <x:t xml:space="preserve">PMTS15</x:t>
  </x:si>
  <x:si>
    <x:t xml:space="preserve">แม่น้ำมูล บ้านคันไร่</x:t>
  </x:si>
  <x:si>
    <x:t xml:space="preserve">{"id":1316346453,"waterlevel_datetime":"2026-10-01 14:00","waterlevel_m":null,"waterlevel_msl":"107.30","waterlevel_msl_previous":"107.30","flow_rate":null,"discharge":"2283.49","storage_percent":"74.27","sort_order":null,"station_type":"tele_waterlevel","situation_level":4,"agency":{"id":8,"agency_name":{"th":"การไฟฟ้าฝ่ายผลิตแห่งประเทศไทย","en":"Electricity Generating Authority of Thailand","jp":""},"agency_shortname":{"th":"กฟผ.","en":"EGAT","jp":""}},"basin":{"id":5,"basin_code":5,"basin_name":{"th":"ลุ่มน้ำมูล","en":"Mun Basin"}},"station":{"id":3542,"tele_station_name":{"th":"แม่น้ำมูล บ้านคันไร่"},"tele_station_lat":15.26995,"tele_station_long":105.30611,"tele_station_oldcode":"PMTS15","tele_station_type":"tele_waterlevel","left_bank":111.8,"right_bank":112.73,"min_bank":111.8,"ground_level":94.31,"offset":null,"sub_basin_id":151,"agency_id":8,"geocode_id":2780,"hydro_id":null,"qmax":null,"is_key_station":false,"warning_level_m":null,"critical_level_m":null,"critical_level_msl":111.8},"geocode":{"area_code":"4","area_name":{"th":"ภาคตะวันออกเฉียงเหนือ","en":"Northeast"},"amphoe_code":"19","amphoe_name":{"th":"พิบูลมังสาหาร","en":"Phibun Mangsahan District"},"tumbon_code":"05","tumbon_name":{"th":"ทรายมูล","en":"Sai Mun"},"province_code":"34","province_name":{"th":"อุบลราชธานี","en":"Ubon Ratchathani"}},"diff_wl_bank":"4.50","diff_wl_bank_text":"ต่ำกว่าตลิ่ง (ม.)","river_gid":145751,"river_name":"แม่น้ำมูล"}</x:t>
  </x:si>
  <x:si>
    <x:t xml:space="preserve">THAIWATER_WL:504982</x:t>
  </x:si>
  <x:si>
    <x:t xml:space="preserve">S.43</x:t>
  </x:si>
  <x:si>
    <x:t xml:space="preserve">บ้านพูลทรัพย์</x:t>
  </x:si>
  <x:si>
    <x:t xml:space="preserve">{"id":1316341301,"waterlevel_datetime":"2026-10-01 14:00","waterlevel_m":null,"waterlevel_msl":"47.99","waterlevel_msl_previous":"48.00","flow_rate":null,"discharge":"462.00","storage_percent":"74.21","sort_order":null,"station_type":"tele_waterlevel","situation_level":4,"agency":{"id":12,"agency_name":{"th":"กรมชลประทาน ","en":"Royal Irrigation Department","jp":""},"agency_shortname":{"th":"ชป.","en":"RID","jp":""}},"basin":{"id":13,"basin_code":12,"basin_name":{"th":"ลุ่มน้ำป่าสัก","en":"Pasak Basin"}},"station":{"id":504982,"tele_station_name":{"th":"บ้านพูลทรัพย์"},"tele_station_lat":15.32743,"tele_station_long":101.212402,"tele_station_oldcode":"S.43","tele_station_type":"tele_waterlevel","left_bank":51.908,"right_bank":51.947,"min_bank":51.9,"ground_level":36.74,"offset":null,"sub_basin_id":253,"agency_id":12,"geocode_id":763,"hydro_id":5,"qmax":926,"is_key_station":true,"warning_level_m":null,"critical_level_m":null,"critical_level_msl":null},"geocode":{"area_code":"2","area_name":{"th":"ภาคกลาง","en":"Central"},"amphoe_code":"04","amphoe_name":{"th":"ชัยบาดาล","en":"Chai Badan District"},"tumbon_code":"12","tumbon_name":{"th":"เกาะรัง","en":"Ko Rang"},"province_code":"16","province_name":{"th":"ลพบุรี","en":"Lop Buri"}},"diff_wl_bank":"3.91","diff_wl_bank_text":"ต่ำกว่าตลิ่ง (ม.)","river_gid":173596,"river_name":"แม่น้ำป่าสัก"}</x:t>
  </x:si>
  <x:si>
    <x:t xml:space="preserve">THAIWATER_WL:1109500</x:t>
  </x:si>
  <x:si>
    <x:t xml:space="preserve">ONE011</x:t>
  </x:si>
  <x:si>
    <x:t xml:space="preserve">ปตร.บ้านนาคู่-เหนือน้ำ</x:t>
  </x:si>
  <x:si>
    <x:t xml:space="preserve">{"id":1316368190,"waterlevel_datetime":"2026-10-01 15:10","waterlevel_m":null,"waterlevel_msl":"142.45","waterlevel_msl_previous":"142.44","flow_rate":null,"discharge":null,"storage_percent":"74.13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Basin"}},"station":{"id":1109500,"tele_station_name":{"en":"Upper Ban Na Khu Gate","th":"ปตร.บ้านนาคู่-เหนือน้ำ"},"tele_station_lat":16.962238,"tele_station_long":104.52524,"tele_station_oldcode":"ONE011","tele_station_type":"tele_waterlevel","left_bank":144.856,"right_bank":144.752,"min_bank":144.75,"ground_level":135.854,"offset":null,"sub_basin_id":70,"agency_id":9,"geocode_id":4586,"hydro_id":null,"qmax":null,"is_key_station":false,"warning_level_m":null,"critical_level_m":null,"critical_level_msl":null},"geocode":{"area_code":"4","area_name":{"th":"ภาคตะวันออกเฉียงเหนือ","en":"Northeast"},"amphoe_code":"07","amphoe_name":{"th":"นาแก","en":"Na Kae District"},"tumbon_code":"04","tumbon_name":{"th":"นาคู่","en":"Na Khu"},"province_code":"48","province_name":{"th":"นครพนม","en":"Nakhon Phanom"}},"diff_wl_bank":"2.30","diff_wl_bank_text":"ต่ำกว่าตลิ่ง (ม.)","river_gid":124039,"river_name":"ลำน้ำกำ"}</x:t>
  </x:si>
  <x:si>
    <x:t xml:space="preserve">THAIWATER_WL:120</x:t>
  </x:si>
  <x:si>
    <x:t xml:space="preserve">CHN001</x:t>
  </x:si>
  <x:si>
    <x:t xml:space="preserve">เมืองจันทบุรี</x:t>
  </x:si>
  <x:si>
    <x:t xml:space="preserve">{"id":1316367978,"waterlevel_datetime":"2026-10-01 15:10","waterlevel_m":null,"waterlevel_msl":"1.42","waterlevel_msl_previous":"1.41","flow_rate":null,"discharge":null,"storage_percent":"74.08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Organization)","jp":""},"agency_shortname":{"th":"สสน.","en":"HII","jp":""}},"basin":{"id":18,"basin_code":17,"basin_name":{"th":"ลุ่มน้ำชายฝั่งทะเลตะวันออก","en":"East Coast Gulf Basin"}},"station":{"id":120,"tele_station_name":{"en":"Chanthaburi 1","th":"เมืองจันทบุรี"},"tele_station_lat":12.613584,"tele_station_long":102.11407,"tele_station_oldcode":"CHN001","tele_station_type":"tele_waterlevel","left_bank":3.252,"right_bank":4.153,"min_bank":3.25,"ground_level":-3.817,"offset":null,"sub_basin_id":296,"agency_id":9,"geocode_id":1253,"hydro_id":null,"qmax":null,"is_key_station":false,"warning_level_m":null,"critical_level_m":null,"critical_level_msl":null},"geocode":{"area_code":"2","area_name":{"th":"ภาคกลาง","en":"Central"},"amphoe_code":"01","amphoe_name":{"th":"เมืองจันทบุรี","en":"Mueang Chanthaburi District"},"tumbon_code":"07","tumbon_name":{"th":"จันทนิมิต","en":"Chanthanimit"},"province_code":"22","province_name":{"th":"จันทบุรี","en":"Chanthaburi"}},"diff_wl_bank":"1.83","diff_wl_bank_text":"ต่ำกว่าตลิ่ง (ม.)","river_gid":205031,"river_name":"คลองจันทบุรี"}</x:t>
  </x:si>
  <x:si>
    <x:t xml:space="preserve">THAIWATER_WL:2906</x:t>
  </x:si>
  <x:si>
    <x:t xml:space="preserve">Y.17</x:t>
  </x:si>
  <x:si>
    <x:t xml:space="preserve">สามง่าม</x:t>
  </x:si>
  <x:si>
    <x:t xml:space="preserve">{"id":1316341562,"waterlevel_datetime":"2026-10-01 14:00","waterlevel_m":null,"waterlevel_msl":"36.11","waterlevel_msl_previous":"36.11","flow_rate":null,"discharge":null,"storage_percent":"73.97","sort_order":null,"station_type":"tele_waterlevel","situation_level":4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2906,"tele_station_name":{"th":"สามง่าม"},"tele_station_lat":16.507441,"tele_station_long":100.204086,"tele_station_oldcode":"Y.17","tele_station_type":"tele_waterlevel","left_bank":73.365,"right_bank":73.366,"min_bank":38.25,"ground_level":30.03,"offset":31.49,"sub_basin_id":215,"agency_id":12,"geocode_id":6305,"hydro_id":2,"qmax":614,"is_key_station":false,"warning_level_m":null,"critical_level_m":null,"critical_level_msl":null},"geocode":{"area_code":"3","area_name":{"th":"ภาคเหนือ","en":"North"},"amphoe_code":"07","amphoe_name":{"th":"สามง่าม","en":"Sam Ngam District"},"tumbon_code":"01","tumbon_name":{"th":"สามง่าม","en":"Sam Ngam"},"province_code":"66","province_name":{"th":"พิจิตร","en":"Phichit"}},"diff_wl_bank":"2.14","diff_wl_bank_text":"ต่ำกว่าตลิ่ง (ม.)","river_gid":95441,"river_name":"แม่น้ำยม"}</x:t>
  </x:si>
  <x:si>
    <x:t xml:space="preserve">THAIWATER_WL:575567</x:t>
  </x:si>
  <x:si>
    <x:t xml:space="preserve">BKC003</x:t>
  </x:si>
  <x:si>
    <x:t xml:space="preserve">ปตร. คลองลัดบางยอ 1</x:t>
  </x:si>
  <x:si>
    <x:t xml:space="preserve">{"id":1316367940,"waterlevel_datetime":"2026-10-01 15:10","waterlevel_m":null,"waterlevel_msl":"0.88","waterlevel_msl_previous":"0.89","flow_rate":null,"discharge":null,"storage_percent":"73.84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Basin"}},"station":{"id":575567,"tele_station_name":{"en":"Khlong Lat Bang Yo 1 Gate","th":"ปตร. คลองลัดบางยอ 1"},"tele_station_lat":13.676162,"tele_station_long":100.553085,"tele_station_oldcode":"BKC003","tele_station_type":"tele_waterlevel","left_bank":1.513,"right_bank":1.899,"min_bank":1.51,"ground_level":-0.907,"offset":null,"sub_basin_id":240,"agency_id":9,"geocode_id":249,"hydro_id":null,"qmax":null,"is_key_station":false,"warning_level_m":null,"critical_level_m":null,"critical_level_msl":null},"geocode":{"area_code":"2","area_name":{"th":"ภาคกลาง","en":"Central"},"amphoe_code":"04","amphoe_name":{"th":"พระประแดง","en":"Phra Pradaeng District"},"tumbon_code":"08","tumbon_name":{"th":"บางยอ","en":"Bang Yo"},"province_code":"11","province_name":{"th":"สมุทรปราการ","en":"Samut Prakan"}},"diff_wl_bank":"0.63","diff_wl_bank_text":"ต่ำกว่าตลิ่ง (ม.)","river_gid":188249,"river_name":"แม่น้ำเจ้าพระยา"}</x:t>
  </x:si>
  <x:si>
    <x:t xml:space="preserve">THAIWATER_WL:175</x:t>
  </x:si>
  <x:si>
    <x:t xml:space="preserve">NYK008</x:t>
  </x:si>
  <x:si>
    <x:t xml:space="preserve">สะพานเขานางบวช</x:t>
  </x:si>
  <x:si>
    <x:t xml:space="preserve">{"id":1316368179,"waterlevel_datetime":"2026-10-01 15:10","waterlevel_m":null,"waterlevel_msl":"7.26","waterlevel_msl_previous":"7.25","flow_rate":null,"discharge":null,"storage_percent":"73.71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Basin"}},"station":{"id":175,"tele_station_name":{"en":"Khao Nang Buat Bridge","th":"สะพานเขานางบวช"},"tele_station_lat":14.245718,"tele_station_long":101.27481,"tele_station_oldcode":"NYK008","tele_station_type":"tele_waterlevel","left_bank":11.309,"right_bank":8.907,"min_bank":8.91,"ground_level":2.642,"offset":null,"sub_basin_id":282,"agency_id":9,"geocode_id":1566,"hydro_id":null,"qmax":null,"is_key_station":false,"warning_level_m":null,"critical_level_m":null,"critical_level_msl":null},"geocode":{"area_code":"2","area_name":{"th":"ภาคกลาง","en":"Central"},"amphoe_code":"01","amphoe_name":{"th":"เมืองนครนายก","en":"Mueang Nakhon Nayok District"},"tumbon_code":"09","tumbon_name":{"th":"ศรีนาวา","en":"Si Nawa"},"province_code":"26","province_name":{"th":"นครนายก","en":"Nakhon Nayok"}},"diff_wl_bank":"1.65","diff_wl_bank_text":"ต่ำกว่าตลิ่ง (ม.)","river_gid":193672,"river_name":"แม่น้ำนครนายก"}</x:t>
  </x:si>
  <x:si>
    <x:t xml:space="preserve">THAIWATER_WL:2597</x:t>
  </x:si>
  <x:si>
    <x:t xml:space="preserve">X.170</x:t>
  </x:si>
  <x:si>
    <x:t xml:space="preserve">บ้านคลองลำ</x:t>
  </x:si>
  <x:si>
    <x:t xml:space="preserve">คลองลำ</x:t>
  </x:si>
  <x:si>
    <x:t xml:space="preserve">{"id":1316344755,"waterlevel_datetime":"2026-10-01 14:00","waterlevel_m":null,"waterlevel_msl":"20.75","waterlevel_msl_previous":"20.76","flow_rate":null,"discharge":"5.50","storage_percent":"73.58","sort_order":null,"station_type":"tele_waterlevel","situation_level":4,"agency":{"id":12,"agency_name":{"th":"กรมชลประทาน ","en":"Royal Irrigation Department","jp":""},"agency_shortname":{"th":"ชป.","en":"RID","jp":""}},"basin":{"id":24,"basin_code":20,"basin_name":{"th":"ลุ่มน้ำทะเลสาบสงขลา","en":"Thale Sap Songkhla Basin"}},"station":{"id":2597,"tele_station_name":{"th":"บ้านคลองลำ"},"tele_station_lat":7.55901,"tele_station_long":99.987556,"tele_station_oldcode":"X.170","tele_station_type":"tele_waterlevel","left_bank":28.854,"right_bank":29.063,"min_bank":25.2,"ground_level":8.355,"offset":null,"sub_basin_id":329,"agency_id":12,"geocode_id":8070,"hydro_id":8,"qmax":348,"is_key_station":true,"warning_level_m":null,"critical_level_m":null,"critical_level_msl":null},"geocode":{"area_code":"5","area_name":{"th":"ภาคใต้","en":"South"},"amphoe_code":"01","amphoe_name":{"th":"เมืองพัทลุง","en":"Mueang Phatthalung District"},"tumbon_code":"12","tumbon_name":{"th":"ร่มเมือง","en":"Rom Mueang"},"province_code":"93","province_name":{"th":"พัทลุง","en":"Phatthalung"}},"diff_wl_bank":"4.45","diff_wl_bank_text":"ต่ำกว่าตลิ่ง (ม.)","river_gid":224747,"river_name":"คลองลำ"}</x:t>
  </x:si>
  <x:si>
    <x:t xml:space="preserve">THAIWATER_WL:1117430</x:t>
  </x:si>
  <x:si>
    <x:t xml:space="preserve">PYO003</x:t>
  </x:si>
  <x:si>
    <x:t xml:space="preserve">สะพานบ้านต๋ำ</x:t>
  </x:si>
  <x:si>
    <x:t xml:space="preserve">ห้วยเคียน</x:t>
  </x:si>
  <x:si>
    <x:t xml:space="preserve">{"id":1316368254,"waterlevel_datetime":"2026-10-01 15:10","waterlevel_m":null,"waterlevel_msl":"391.89","waterlevel_msl_previous":"391.89","flow_rate":null,"discharge":null,"storage_percent":"73.57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Basin"}},"station":{"id":1117430,"tele_station_name":{"en":"Ban Tam Bridge","th":"สะพานบ้านต๋ำ"},"tele_station_lat":19.21819,"tele_station_long":99.862686,"tele_station_oldcode":"PYO003","tele_station_type":"tele_waterlevel","left_bank":392.63,"right_bank":392.63,"min_bank":392.63,"ground_level":389.83,"offset":null,"sub_basin_id":33,"agency_id":9,"geocode_id":5379,"hydro_id":null,"qmax":null,"is_key_station":false,"warning_level_m":null,"critical_level_m":null,"critical_level_msl":null},"geocode":{"area_code":"3","area_name":{"th":"ภาคเหนือ","en":"North"},"amphoe_code":"01","amphoe_name":{"th":"เมืองพะเยา","en":"Mueang Phayao District"},"tumbon_code":"06","tumbon_name":{"th":"บ้านต๊ำ","en":"Ban Tam"},"province_code":"56","province_name":{"th":"พะเยา","en":"Phayao"}},"diff_wl_bank":"0.74","diff_wl_bank_text":"ต่ำกว่าตลิ่ง (ม.)","river_gid":21506,"river_name":"ห้วยเคียน"}</x:t>
  </x:si>
  <x:si>
    <x:t xml:space="preserve">THAIWATER_WL:2986</x:t>
  </x:si>
  <x:si>
    <x:t xml:space="preserve">Y.4</x:t>
  </x:si>
  <x:si>
    <x:t xml:space="preserve">ต.ธานี</x:t>
  </x:si>
  <x:si>
    <x:t xml:space="preserve">{"id":1316341602,"waterlevel_datetime":"2026-10-01 14:00","waterlevel_m":null,"waterlevel_msl":"49.07","waterlevel_msl_previous":"49.08","flow_rate":null,"discharge":"217.50","storage_percent":"73.50","sort_order":null,"station_type":"tele_waterlevel","situation_level":4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2986,"tele_station_name":{"th":"ต.ธานี"},"tele_station_lat":17.006359,"tele_station_long":99.822113,"tele_station_oldcode":"Y.4","tele_station_type":"tele_waterlevel","left_bank":95.052999,"right_bank":95.052999,"min_bank":51.59,"ground_level":42.08,"offset":43.439999,"sub_basin_id":213,"agency_id":12,"geocode_id":6038,"hydro_id":2,"qmax":510,"is_key_station":true,"warning_level_m":null,"critical_level_m":7.4,"critical_level_msl":50.87},"geocode":{"area_code":"3","area_name":{"th":"ภาคเหนือ","en":"North"},"amphoe_code":"01","amphoe_name":{"th":"เมืองสุโขทัย","en":"Mueang Sukhothai District"},"tumbon_code":"01","tumbon_name":{"th":"ธานี","en":"Thani"},"province_code":"64","province_name":{"th":"สุโขทัย","en":"Sukhothai"}},"diff_wl_bank":"2.52","diff_wl_bank_text":"ต่ำกว่าตลิ่ง (ม.)","river_gid":89117,"river_name":"แม่น้ำยม"}</x:t>
  </x:si>
  <x:si>
    <x:t xml:space="preserve">THAIWATER_WL:1394793</x:t>
  </x:si>
  <x:si>
    <x:t xml:space="preserve">MOU226</x:t>
  </x:si>
  <x:si>
    <x:t xml:space="preserve">สะพานน้ำชี</x:t>
  </x:si>
  <x:si>
    <x:t xml:space="preserve">{"id":1316367767,"waterlevel_datetime":"2026-10-01 15:10","waterlevel_m":null,"waterlevel_msl":"229.14","waterlevel_msl_previous":"229.14","flow_rate":null,"discharge":null,"storage_percent":"73.34","sort_order":null,"station_type":"tele_waterlevel","situation_level":4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Foundation","jp":""},"agency_shortname":{"th":"พพภ","en":"FOP","jp":""}},"basin":{"id":4,"basin_code":4,"basin_name":{"th":"ลุ่มน้ำชี","en":"Chi Basin Basin"}},"station":{"id":1394793,"tele_station_name":{"en":"Chi Bridge","th":"สะพานน้ำชี"},"tele_station_lat":16.15583,"tele_station_long":101.65372,"tele_station_oldcode":"MOU226","tele_station_type":"tele_waterlevel","left_bank":232.175,"right_bank":231.703,"min_bank":231.7,"ground_level":222.089,"offset":null,"sub_basin_id":77,"sponsor_by":"มูลนิธิอาสาเพื่อนพึ่ง (ภาฯ) ยามยาก สภากาชาดไทย","agency_id":91,"geocode_id":3002,"hydro_id":null,"qmax":null,"is_key_station":false,"warning_level_m":null,"critical_level_m":null,"critical_level_msl":null},"geocode":{"area_code":"4","area_name":{"th":"ภาคตะวันออกเฉียงเหนือ","en":"Northeast"},"amphoe_code":"05","amphoe_name":{"th":"หนองบัวแดง","en":"Nong Bua Daeng District"},"tumbon_code":"07","tumbon_name":{"th":"หนองแวง","en":"Nong Waeng"},"province_code":"36","province_name":{"th":"ชัยภูมิ","en":"Chaiyaphum"}},"diff_wl_bank":"2.56","diff_wl_bank_text":"ต่ำกว่าตลิ่ง (ม.)"}</x:t>
  </x:si>
  <x:si>
    <x:t xml:space="preserve">THAIWATER_WL:2731</x:t>
  </x:si>
  <x:si>
    <x:t xml:space="preserve">M.190</x:t>
  </x:si>
  <x:si>
    <x:t xml:space="preserve">บ้านเขวา</x:t>
  </x:si>
  <x:si>
    <x:t xml:space="preserve">{"id":1316340564,"waterlevel_datetime":"2026-10-01 14:00","waterlevel_m":null,"waterlevel_msl":"125.54","waterlevel_msl_previous":"125.54","flow_rate":null,"discharge":"92.00","storage_percent":"73.13","sort_order":null,"station_type":"tele_waterlevel","situation_level":4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2731,"tele_station_name":{"th":"บ้านเขวา"},"tele_station_lat":15.01052,"tele_station_long":104.128448,"tele_station_oldcode":"M.190","tele_station_type":"tele_waterlevel","left_bank":249.505997,"right_bank":249.556997,"min_bank":127.3,"ground_level":120.75,"offset":119.699997,"sub_basin_id":137,"agency_id":12,"geocode_id":2521,"hydro_id":4,"qmax":219,"is_key_station":false,"warning_level_m":null,"critical_level_m":null,"critical_level_msl":null},"geocode":{"area_code":"4","area_name":{"th":"ภาคตะวันออกเฉียงเหนือ","en":"Northeast"},"amphoe_code":"10","amphoe_name":{"th":"อุทุมพรพิสัย","en":"Uthumphon Phisai District"},"tumbon_code":"04","tumbon_name":{"th":"ทุ่งไชย","en":"Thung Chai"},"province_code":"33","province_name":{"th":"ศรีสะเกษ","en":"Si Sa Ket"}},"diff_wl_bank":"1.76","diff_wl_bank_text":"ต่ำกว่าตลิ่ง (ม.)","river_gid":148666,"river_name":"ห้วยสำราญ"}</x:t>
  </x:si>
  <x:si>
    <x:t xml:space="preserve">THAIWATER_WL:616</x:t>
  </x:si>
  <x:si>
    <x:t xml:space="preserve">PIN004</x:t>
  </x:si>
  <x:si>
    <x:t xml:space="preserve">ขาณุวรลักษบุรี</x:t>
  </x:si>
  <x:si>
    <x:t xml:space="preserve">{"id":1316368236,"waterlevel_datetime":"2026-10-01 15:10","waterlevel_m":null,"waterlevel_msl":"43.62","waterlevel_msl_previous":"43.63","flow_rate":null,"discharge":null,"storage_percent":"73.03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Basin"}},"station":{"id":616,"tele_station_name":{"en":"Ping 4","th":"ขาณุวรลักษบุรี"},"tele_station_lat":16.06475,"tele_station_long":99.8603,"tele_station_oldcode":"PIN004","tele_station_type":"tele_waterlevel","left_bank":45.331,"right_bank":46.707,"min_bank":45.33,"ground_level":38.988,"offset":null,"sub_basin_id":185,"agency_id":9,"geocode_id":5906,"hydro_id":null,"qmax":null,"is_key_station":false,"warning_level_m":null,"critical_level_m":null,"critical_level_msl":null},"geocode":{"area_code":"3","area_name":{"th":"ภาคเหนือ","en":"North"},"amphoe_code":"04","amphoe_name":{"th":"ขาณุวรลักษบุรี","en":"Khanu Woralaksaburi District"},"tumbon_code":"04","tumbon_name":{"th":"ป่าพุทรา","en":"Pa Phutsa"},"province_code":"62","province_name":{"th":"กำแพงเพชร","en":"Kamphaeng Phet"}},"diff_wl_bank":"1.71","diff_wl_bank_text":"ต่ำกว่าตลิ่ง (ม.)","river_gid":101243,"river_name":"แม่น้ำปิง"}</x:t>
  </x:si>
  <x:si>
    <x:t xml:space="preserve">THAIWATER_WL:661</x:t>
  </x:si>
  <x:si>
    <x:t xml:space="preserve">KWN001</x:t>
  </x:si>
  <x:si>
    <x:t xml:space="preserve">นครไทย</x:t>
  </x:si>
  <x:si>
    <x:t xml:space="preserve">{"id":1316368075,"waterlevel_datetime":"2026-10-01 15:10","waterlevel_m":null,"waterlevel_msl":"200.73","waterlevel_msl_previous":"200.73","flow_rate":null,"discharge":null,"storage_percent":"72.96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Basin"}},"station":{"id":661,"tele_station_name":{"en":"Nakhon Thai","th":"นครไทย"},"tele_station_lat":17.10701,"tele_station_long":100.84587,"tele_station_oldcode":"KWN001","tele_station_type":"tele_waterlevel","left_bank":202.195,"right_bank":202.291,"min_bank":202.2,"ground_level":196.785,"offset":null,"sub_basin_id":233,"agency_id":9,"geocode_id":6155,"hydro_id":null,"qmax":null,"is_key_station":false,"warning_level_m":null,"critical_level_m":null,"critical_level_msl":null},"geocode":{"area_code":"3","area_name":{"th":"ภาคเหนือ","en":"North"},"amphoe_code":"02","amphoe_name":{"th":"นครไทย","en":"Nakhon Thai District"},"tumbon_code":"01","tumbon_name":{"th":"นครไทย","en":"Nakhon Thai"},"province_code":"65","province_name":{"th":"พิษณุโลก","en":"Phitsanulok"}},"diff_wl_bank":"1.46","diff_wl_bank_text":"ต่ำกว่าตลิ่ง (ม.)","river_gid":87710,"river_name":"น้ำแควน้อย"}</x:t>
  </x:si>
  <x:si>
    <x:t xml:space="preserve">THAIWATER_WL:2830</x:t>
  </x:si>
  <x:si>
    <x:t xml:space="preserve">Ct.5A</x:t>
  </x:si>
  <x:si>
    <x:t xml:space="preserve">บ้านปางมะค่า</x:t>
  </x:si>
  <x:si>
    <x:t xml:space="preserve">{"id":1316341291,"waterlevel_datetime":"2026-10-01 14:00","waterlevel_m":null,"waterlevel_msl":"105.86","waterlevel_msl_previous":"105.92","flow_rate":null,"discharge":"88.00","storage_percent":"72.85","sort_order":null,"station_type":"tele_waterlevel","situation_level":4,"agency":{"id":12,"agency_name":{"th":"กรมชลประทาน ","en":"Royal Irrigation Department","jp":""},"agency_shortname":{"th":"ชป.","en":"RID","jp":""}},"basin":{"id":12,"basin_code":11,"basin_name":{"th":"ลุ่มน้ำสะแกกรัง","en":"Sakae Krang Basin"}},"station":{"id":2830,"tele_station_name":{"th":"บ้านปางมะค่า"},"tele_station_lat":15.92832,"tele_station_long":99.502373,"tele_station_oldcode":"Ct.5A","tele_station_type":"tele_waterlevel","left_bank":110.71,"right_bank":110.72,"min_bank":107.22,"ground_level":102.21,"offset":null,"sub_basin_id":241,"agency_id":12,"geocode_id":5788,"hydro_id":5,"qmax":232,"is_key_station":true,"warning_level_m":null,"critical_level_m":null,"critical_level_msl":null},"geocode":{"area_code":"3","area_name":{"th":"ภาคเหนือ","en":"North"},"amphoe_code":"13","amphoe_name":{"th":"แม่วงก์","en":"Mae Wong District"},"tumbon_code":"05","tumbon_name":{"th":"เขาชนกัน","en":"Khao Chon Kan"},"province_code":"60","province_name":{"th":"นครสวรรค์","en":"Nakhon Sawan"}},"diff_wl_bank":"1.36","diff_wl_bank_text":"ต่ำกว่าตลิ่ง (ม.)","river_gid":166755,"river_name":"แม่น้ำแม่วงก์"}</x:t>
  </x:si>
  <x:si>
    <x:t xml:space="preserve">THAIWATER_WL:3441</x:t>
  </x:si>
  <x:si>
    <x:t xml:space="preserve">URTU09</x:t>
  </x:si>
  <x:si>
    <x:t xml:space="preserve">น้ำพรม อ.เกษตรสมบูรณ์</x:t>
  </x:si>
  <x:si>
    <x:t xml:space="preserve">น้ำพรม</x:t>
  </x:si>
  <x:si>
    <x:t xml:space="preserve">{"id":1316367479,"waterlevel_datetime":"2026-10-01 15:00","waterlevel_m":null,"waterlevel_msl":"224.41","waterlevel_msl_previous":"224.40","flow_rate":"3.54","discharge":"14.63","storage_percent":"72.46","sort_order":null,"station_type":"tele_waterlevel","situation_level":4,"agency":{"id":8,"agency_name":{"th":"การไฟฟ้าฝ่ายผลิตแห่งประเทศไทย","en":"Electricity Generating Authority of Thailand","jp":""},"agency_shortname":{"th":"กฟผ.","en":"EGAT","jp":""}},"basin":{"id":4,"basin_code":4,"basin_name":{"th":"ลุ่มน้ำชี","en":"Chi Basin Basin"}},"station":{"id":3441,"tele_station_name":{"th":"น้ำพรม อ.เกษตรสมบูรณ์"},"tele_station_lat":16.309406,"tele_station_long":101.971772,"tele_station_oldcode":"URTU09","tele_station_type":"tele_waterlevel","left_bank":225.386,"right_bank":226.548,"min_bank":225.39,"ground_level":221.824,"offset":null,"sub_basin_id":89,"agency_id":8,"geocode_id":2985,"hydro_id":null,"qmax":null,"is_key_station":false,"warning_level_m":null,"critical_level_m":null,"critical_level_msl":225.39},"geocode":{"area_code":"4","area_name":{"th":"ภาคตะวันออกเฉียงเหนือ","en":"Northeast"},"amphoe_code":"04","amphoe_name":{"th":"เกษตรสมบูรณ์","en":"Kaset Sombun District"},"tumbon_code":"01","tumbon_name":{"th":"บ้านยาง","en":"Ban Yang"},"province_code":"36","province_name":{"th":"ชัยภูมิ","en":"Chaiyaphum"}},"diff_wl_bank":"0.98","diff_wl_bank_text":"ต่ำกว่าตลิ่ง (ม.)","river_gid":132312,"river_name":"น้ำพรม"}</x:t>
  </x:si>
  <x:si>
    <x:t xml:space="preserve">THAIWATER_WL:1106451</x:t>
  </x:si>
  <x:si>
    <x:t xml:space="preserve">TCP005</x:t>
  </x:si>
  <x:si>
    <x:t xml:space="preserve">ปตร.บางแก้ว (ทุ่งผักไห่)</x:t>
  </x:si>
  <x:si>
    <x:t xml:space="preserve">{"id":1316368372,"waterlevel_datetime":"2026-10-01 15:10","waterlevel_m":null,"waterlevel_msl":"3.62","waterlevel_msl_previous":"3.57","flow_rate":null,"discharge":null,"storage_percent":"72.40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Basin"}},"station":{"id":1106451,"tele_station_name":{"en":"BangKaeo","th":"ปตร.บางแก้ว (ทุ่งผักไห่)"},"tele_station_lat":14.436604,"tele_station_long":100.37149,"tele_station_oldcode":"TCP005","tele_station_type":"tele_waterlevel","left_bank":5,"right_bank":5,"min_bank":5,"ground_level":0,"offset":null,"sub_basin_id":240,"agency_id":9,"geocode_id":524,"hydro_id":null,"qmax":null,"is_key_station":false,"warning_level_m":null,"critical_level_m":null,"critical_level_msl":null},"geocode":{"area_code":"2","area_name":{"th":"ภาคกลาง","en":"Central"},"amphoe_code":"08","amphoe_name":{"th":"ผักไห่","en":"Phak Hai District"},"tumbon_code":"05","tumbon_name":{"th":"ตาลาน","en":"Ta Lan"},"province_code":"14","province_name":{"th":"พระนครศรีอยุธยา","en":"Phra Nakhon Si Ayutthaya"}},"diff_wl_bank":"1.38","diff_wl_bank_text":"ต่ำกว่าตลิ่ง (ม.)","river_gid":181736,"river_name":"แม่น้ำน้อย"}</x:t>
  </x:si>
  <x:si>
    <x:t xml:space="preserve">THAIWATER_WL:861</x:t>
  </x:si>
  <x:si>
    <x:t xml:space="preserve">STU001</x:t>
  </x:si>
  <x:si>
    <x:t xml:space="preserve">เมืองสตูล</x:t>
  </x:si>
  <x:si>
    <x:t xml:space="preserve">คลองน้ำพระ</x:t>
  </x:si>
  <x:si>
    <x:t xml:space="preserve">{"id":1316368332,"waterlevel_datetime":"2026-10-01 15:10","waterlevel_m":null,"waterlevel_msl":"14.24","waterlevel_msl_previous":"14.24","flow_rate":null,"discharge":null,"storage_percent":"72.26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Basin"}},"station":{"id":861,"tele_station_name":{"en":"Satun 1","th":"เมืองสตูล"},"tele_station_lat":6.726527,"tele_station_long":100.06259,"tele_station_oldcode":"STU001","tele_station_type":"tele_waterlevel","left_bank":15.286,"right_bank":15.284,"min_bank":15.28,"ground_level":11.52,"offset":null,"sub_basin_id":352,"agency_id":9,"geocode_id":7922,"hydro_id":null,"qmax":null,"is_key_station":false,"warning_level_m":null,"critical_level_m":null,"critical_level_msl":null},"geocode":{"area_code":"5","area_name":{"th":"ภาคใต้","en":"South"},"amphoe_code":"01","amphoe_name":{"th":"เมืองสตูล","en":"Mueang Satun District"},"tumbon_code":"05","tumbon_name":{"th":"ฉลุง","en":"Chalung"},"province_code":"91","province_name":{"th":"สตูล","en":"Satun"}},"diff_wl_bank":"1.04","diff_wl_bank_text":"ต่ำกว่าตลิ่ง (ม.)","river_gid":229001,"river_name":"คลองน้ำพระ"}</x:t>
  </x:si>
  <x:si>
    <x:t xml:space="preserve">THAIWATER_WL:640</x:t>
  </x:si>
  <x:si>
    <x:t xml:space="preserve">YOM012</x:t>
  </x:si>
  <x:si>
    <x:t xml:space="preserve">เมืองสุโขทัย</x:t>
  </x:si>
  <x:si>
    <x:t xml:space="preserve">2026-10-01T13:00:00+07:00</x:t>
  </x:si>
  <x:si>
    <x:t xml:space="preserve">{"id":1316305096,"waterlevel_datetime":"2026-10-01 13:00","waterlevel_m":null,"waterlevel_msl":"49.25","waterlevel_msl_previous":"48.70","flow_rate":null,"discharge":null,"storage_percent":"72.18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Basin"}},"station":{"id":640,"tele_station_name":{"en":"Yom 12","th":"เมืองสุโขทัย"},"tele_station_lat":17.02127,"tele_station_long":99.81973,"tele_station_oldcode":"YOM012","tele_station_type":"tele_waterlevel","left_bank":52.15,"right_bank":51.974,"min_bank":51.97,"ground_level":42.185,"offset":null,"sub_basin_id":211,"agency_id":9,"geocode_id":6038,"hydro_id":null,"qmax":null,"is_key_station":false,"warning_level_m":null,"critical_level_m":null,"critical_level_msl":null},"geocode":{"area_code":"3","area_name":{"th":"ภาคเหนือ","en":"North"},"amphoe_code":"01","amphoe_name":{"th":"เมืองสุโขทัย","en":"Mueang Sukhothai District"},"tumbon_code":"01","tumbon_name":{"th":"ธานี","en":"Thani"},"province_code":"64","province_name":{"th":"สุโขทัย","en":"Sukhothai"}},"diff_wl_bank":"2.72","diff_wl_bank_text":"ต่ำกว่าตลิ่ง (ม.)","river_gid":89026,"river_name":"แม่น้ำยม"}</x:t>
  </x:si>
  <x:si>
    <x:t xml:space="preserve">THAIWATER_WL:1106450</x:t>
  </x:si>
  <x:si>
    <x:t xml:space="preserve">TCP004</x:t>
  </x:si>
  <x:si>
    <x:t xml:space="preserve">ปตร.ลาดชิด (ทุ่งผักไห่)</x:t>
  </x:si>
  <x:si>
    <x:t xml:space="preserve">ลำรางยายสุข</x:t>
  </x:si>
  <x:si>
    <x:t xml:space="preserve">{"id":1316368371,"waterlevel_datetime":"2026-10-01 15:10","waterlevel_m":null,"waterlevel_msl":"3.60","waterlevel_msl_previous":"3.60","flow_rate":null,"discharge":null,"storage_percent":"72.00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Basin"}},"station":{"id":1106450,"tele_station_name":{"en":"Lat Chit","th":"ปตร.ลาดชิด (ทุ่งผักไห่)"},"tele_station_lat":14.44056,"tele_station_long":100.35738,"tele_station_oldcode":"TCP004","tele_station_type":"tele_waterlevel","left_bank":5,"right_bank":5,"min_bank":5,"ground_level":0,"offset":null,"sub_basin_id":240,"agency_id":9,"geocode_id":531,"hydro_id":null,"qmax":null,"is_key_station":false,"warning_level_m":null,"critical_level_m":null,"critical_level_msl":null},"geocode":{"area_code":"2","area_name":{"th":"ภาคกลาง","en":"Central"},"amphoe_code":"08","amphoe_name":{"th":"ผักไห่","en":"Phak Hai District"},"tumbon_code":"12","tumbon_name":{"th":"จักราช","en":"Chakkarat"},"province_code":"14","province_name":{"th":"พระนครศรีอยุธยา","en":"Phra Nakhon Si Ayutthaya"}},"diff_wl_bank":"1.40","diff_wl_bank_text":"ต่ำกว่าตลิ่ง (ม.)","river_gid":181861,"river_name":"ลำรางยายสุข"}</x:t>
  </x:si>
  <x:si>
    <x:t xml:space="preserve">THAIWATER_WL:2726</x:t>
  </x:si>
  <x:si>
    <x:t xml:space="preserve">M.164</x:t>
  </x:si>
  <x:si>
    <x:t xml:space="preserve">ตำบลในเมือง</x:t>
  </x:si>
  <x:si>
    <x:t xml:space="preserve">ลำตะคองเก่า</x:t>
  </x:si>
  <x:si>
    <x:t xml:space="preserve">{"id":1316340557,"waterlevel_datetime":"2026-10-01 14:00","waterlevel_m":null,"waterlevel_msl":"176.72","waterlevel_msl_previous":"176.71","flow_rate":null,"discharge":"4.40","storage_percent":"71.97","sort_order":null,"station_type":"tele_waterlevel","situation_level":4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2726,"tele_station_name":{"th":"ตำบลในเมือง"},"tele_station_lat":14.98457,"tele_station_long":102.092941,"tele_station_oldcode":"M.164","tele_station_type":"tele_waterlevel","left_bank":177.600006,"right_bank":177.600006,"min_bank":177.6,"ground_level":174.46,"offset":174.100006,"sub_basin_id":108,"agency_id":12,"geocode_id":1684,"hydro_id":4,"qmax":32,"is_key_station":true,"warning_level_m":null,"critical_level_m":3.5,"critical_level_msl":177.6},"geocode":{"area_code":"4","area_name":{"th":"ภาคตะวันออกเฉียงเหนือ","en":"Northeast"},"amphoe_code":"01","amphoe_name":{"th":"เมืองนครราชสีมา","en":"Mueang Nakhon Ratchasima District"},"tumbon_code":"12","tumbon_name":{"th":"บ้านเกาะ","en":"Ban Ko"},"province_code":"30","province_name":{"th":"นครราชสีมา","en":"Nakhon Ratchasima"}},"diff_wl_bank":"0.88","diff_wl_bank_text":"ต่ำกว่าตลิ่ง (ม.)","river_gid":149287,"river_name":"ลำตะคองเก่า"}</x:t>
  </x:si>
  <x:si>
    <x:t xml:space="preserve">THAIWATER_WL:700588</x:t>
  </x:si>
  <x:si>
    <x:t xml:space="preserve">MKVKD05</x:t>
  </x:si>
  <x:si>
    <x:t xml:space="preserve">บ้านลุ่มสุ่ม (K.10)</x:t>
  </x:si>
  <x:si>
    <x:t xml:space="preserve">{"id":1316366861,"waterlevel_datetime":"2026-10-01 15:00","waterlevel_m":null,"waterlevel_msl":"42.35","waterlevel_msl_previous":"42.51","flow_rate":null,"discharge":"1273.33","storage_percent":"71.80","sort_order":null,"station_type":"tele_waterlevel","situation_level":4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Basin"}},"station":{"id":700588,"tele_station_name":{"th":"บ้านลุ่มสุ่ม (K.10)"},"tele_station_lat":14.09336,"tele_station_long":99.17583,"tele_station_oldcode":"MKVKD05","tele_station_type":"tele_waterlevel","left_bank":51.08,"right_bank":47.288,"min_bank":47.29,"ground_level":29.79,"offset":null,"sub_basin_id":273,"agency_id":8,"geocode_id":6597,"hydro_id":null,"qmax":null,"is_key_station":false,"warning_level_m":null,"critical_level_m":null,"critical_level_msl":40.7},"geocode":{"area_code":"2","area_name":{"th":"ภาคกลาง","en":"Central"},"amphoe_code":"02","amphoe_name":{"th":"ไทรโยค","en":"Sai Yok District"},"tumbon_code":"01","tumbon_name":{"th":"ลุ่มสุ่ม","en":"Lum Sum"},"province_code":"71","province_name":{"th":"กาญจนบุรี","en":"Kanchanaburi"}},"diff_wl_bank":"4.93","diff_wl_bank_text":"ต่ำกว่าตลิ่ง (ม.)","river_gid":184804,"river_name":"แม่น้ำแควน้อย"}</x:t>
  </x:si>
  <x:si>
    <x:t xml:space="preserve">THAIWATER_WL:1035521</x:t>
  </x:si>
  <x:si>
    <x:t xml:space="preserve">M.95A</x:t>
  </x:si>
  <x:si>
    <x:t xml:space="preserve">บ้านดอนยาง</x:t>
  </x:si>
  <x:si>
    <x:t xml:space="preserve">ลำเสียว</x:t>
  </x:si>
  <x:si>
    <x:t xml:space="preserve">{"id":1316340539,"waterlevel_datetime":"2026-10-01 14:00","waterlevel_m":null,"waterlevel_msl":"121.03","waterlevel_msl_previous":"121.04","flow_rate":null,"discharge":"14.00","storage_percent":"71.74","sort_order":null,"station_type":"tele_waterlevel","situation_level":4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1035521,"tele_station_name":{"th":"บ้านดอนยาง"},"tele_station_lat":15.57186,"tele_station_long":103.819847,"tele_station_oldcode":"M.95A","tele_station_type":"tele_waterlevel","left_bank":123.10999799999999,"right_bank":123.10999799999999,"min_bank":123.11,"ground_level":115.75,"offset":115.809998,"sub_basin_id":133,"agency_id":12,"geocode_id":4140,"hydro_id":4,"qmax":140.300003,"is_key_station":false,"warning_level_m":null,"critical_level_m":null,"critical_level_msl":null},"geocode":{"area_code":"4","area_name":{"th":"ภาคตะวันออกเฉียงเหนือ","en":"Northeast"},"amphoe_code":"11","amphoe_name":{"th":"สุวรรณภูมิ","en":"Suwannaphum District"},"tumbon_code":"01","tumbon_name":{"th":"สระคู","en":"Sa Khu"},"province_code":"45","province_name":{"th":"ร้อยเอ็ด","en":"Roi Et"}},"diff_wl_bank":"2.08","diff_wl_bank_text":"ต่ำกว่าตลิ่ง (ม.)","river_gid":142603,"river_name":"ลำเสียว"}</x:t>
  </x:si>
  <x:si>
    <x:t xml:space="preserve">THAIWATER_WL:826</x:t>
  </x:si>
  <x:si>
    <x:t xml:space="preserve">TPI002</x:t>
  </x:si>
  <x:si>
    <x:t xml:space="preserve">พุนพิน 2</x:t>
  </x:si>
  <x:si>
    <x:t xml:space="preserve">แม่น้ำพุมดวง</x:t>
  </x:si>
  <x:si>
    <x:t xml:space="preserve">{"id":1316368397,"waterlevel_datetime":"2026-10-01 15:10","waterlevel_m":null,"waterlevel_msl":"1.07","waterlevel_msl_previous":"1.05","flow_rate":null,"discharge":null,"storage_percent":"71.20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Basin"}},"station":{"id":826,"tele_station_name":{"en":"Tapi 2","th":"พุนพิน 2"},"tele_station_lat":9.085781,"tele_station_long":99.170006,"tele_station_oldcode":"TPI002","tele_station_type":"tele_waterlevel","left_bank":3.85,"right_bank":3.635,"min_bank":3.64,"ground_level":-5.27,"offset":null,"sub_basin_id":316,"agency_id":9,"geocode_id":7646,"hydro_id":null,"qmax":null,"is_key_station":false,"warning_level_m":null,"critical_level_m":null,"critical_level_msl":null},"geocode":{"area_code":"5","area_name":{"th":"ภาคใต้","en":"South"},"amphoe_code":"17","amphoe_name":{"th":"พุนพิน","en":"Phunphin District"},"tumbon_code":"14","tumbon_name":{"th":"หนองไทร","en":"Nong Sai"},"province_code":"84","province_name":{"th":"สุราษฎร์ธานี","en":"Surat Thani"}},"diff_wl_bank":"2.56","diff_wl_bank_text":"ต่ำกว่าตลิ่ง (ม.)","river_gid":216291,"river_name":"แม่น้ำพุมดวง"}</x:t>
  </x:si>
  <x:si>
    <x:t xml:space="preserve">THAIWATER_WL:3002</x:t>
  </x:si>
  <x:si>
    <x:t xml:space="preserve">E.68A</x:t>
  </x:si>
  <x:si>
    <x:t xml:space="preserve">บ้านข้องโป้</x:t>
  </x:si>
  <x:si>
    <x:t xml:space="preserve">ลำพะเนียง</x:t>
  </x:si>
  <x:si>
    <x:t xml:space="preserve">{"id":1316353943,"waterlevel_datetime":"2026-10-01 14:00","waterlevel_m":null,"waterlevel_msl":"198.02","waterlevel_msl_previous":"198.03","flow_rate":null,"discharge":"28.00","storage_percent":"71.03","sort_order":null,"station_type":"tele_waterlevel","situation_level":4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3002,"tele_station_name":{"th":"บ้านข้องโป้"},"tele_station_lat":17.082161,"tele_station_long":102.450798,"tele_station_oldcode":"E.68A","tele_station_type":"tele_waterlevel","left_bank":396.20899699999995,"right_bank":396.22799699999996,"min_bank":199.9,"ground_level":193.41,"offset":194.699997,"sub_basin_id":88,"agency_id":12,"geocode_id":3159,"hydro_id":3,"qmax":130,"is_key_station":true,"warning_level_m":null,"critical_level_m":null,"critical_level_msl":null},"geocode":{"area_code":"4","area_name":{"th":"ภาคตะวันออกเฉียงเหนือ","en":"Northeast"},"amphoe_code":"01","amphoe_name":{"th":"เมืองหนองบัวลำภู","en":"Mueang Nong Bua Lam Phu District"},"tumbon_code":"06","tumbon_name":{"th":"บ้านขาม","en":"Ban Kham"},"province_code":"39","province_name":{"th":"หนองบัวลำภู","en":"Nong Bua Lam Phu"}},"diff_wl_bank":"1.88","diff_wl_bank_text":"ต่ำกว่าตลิ่ง (ม.)","river_gid":122839,"river_name":"ลำพะเนียง"}</x:t>
  </x:si>
  <x:si>
    <x:t xml:space="preserve">THAIWATER_WL:505011</x:t>
  </x:si>
  <x:si>
    <x:t xml:space="preserve">Z.38</x:t>
  </x:si>
  <x:si>
    <x:t xml:space="preserve">บ้านเขาโบสถ์</x:t>
  </x:si>
  <x:si>
    <x:t xml:space="preserve">คลองกระเฉด</x:t>
  </x:si>
  <x:si>
    <x:t xml:space="preserve">{"id":1316343012,"waterlevel_datetime":"2026-10-01 14:00","waterlevel_m":null,"waterlevel_msl":"9.56","waterlevel_msl_previous":"9.56","flow_rate":null,"discharge":"19.20","storage_percent":"70.84","sort_order":null,"station_type":"tele_waterlevel","situation_level":4,"agency":{"id":12,"agency_name":{"th":"กรมชลประทาน ","en":"Royal Irrigation Department","jp":""},"agency_shortname":{"th":"ชป.","en":"RID","jp":""}},"basin":{"id":18,"basin_code":17,"basin_name":{"th":"ลุ่มน้ำชายฝั่งทะเลตะวันออก","en":"East Coast Gulf Basin"}},"station":{"id":505011,"tele_station_name":{"th":"บ้านเขาโบสถ์"},"tele_station_lat":12.73796,"tele_station_long":101.228401,"tele_station_oldcode":"Z.38","tele_station_type":"tele_waterlevel","left_bank":18.909,"right_bank":18.919,"min_bank":10.6,"ground_level":7.034,"offset":8.1,"sub_basin_id":291,"agency_id":12,"geocode_id":1190,"hydro_id":6,"qmax":53.5,"is_key_station":true,"warning_level_m":null,"critical_level_m":null,"critical_level_msl":null},"geocode":{"area_code":"2","area_name":{"th":"ภาคกลาง","en":"Central"},"amphoe_code":"01","amphoe_name":{"th":"เมืองระยอง","en":"Mueang Rayong District"},"tumbon_code":"11","tumbon_name":{"th":"ทับมา","en":"Thap Ma"},"province_code":"21","province_name":{"th":"ระยอง","en":"Rayong"}},"diff_wl_bank":"1.04","diff_wl_bank_text":"ต่ำกว่าตลิ่ง (ม.)","river_gid":204339,"river_name":"คลองกระเฉด"}</x:t>
  </x:si>
  <x:si>
    <x:t xml:space="preserve">THAIWATER_WL:1482445</x:t>
  </x:si>
  <x:si>
    <x:t xml:space="preserve">MOU368</x:t>
  </x:si>
  <x:si>
    <x:t xml:space="preserve">สะพานน้ำปี้ เชียงม่วน</x:t>
  </x:si>
  <x:si>
    <x:t xml:space="preserve">{"id":1316367786,"waterlevel_datetime":"2026-10-01 15:10","waterlevel_m":null,"waterlevel_msl":"258.31","waterlevel_msl_previous":"258.31","flow_rate":null,"discharge":null,"storage_percent":"70.82","sort_order":null,"station_type":"tele_waterlevel","situation_level":4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Foundation","jp":""},"agency_shortname":{"th":"พพภ","en":"FOP","jp":""}},"basin":{"id":8,"basin_code":8,"basin_name":{"th":"ลุ่มน้ำยม","en":"Yom Basin"}},"station":{"id":1482445,"tele_station_name":{"en":"Nam Pi Chiang Bridge","th":"สะพานน้ำปี้ เชียงม่วน"},"tele_station_lat":18.881905,"tele_station_long":100.28281,"tele_station_oldcode":"MOU368","tele_station_type":"tele_waterlevel","left_bank":262.627,"right_bank":259.89,"min_bank":259.89,"ground_level":254.476,"offset":null,"sub_basin_id":200,"sponsor_by":"บริษัท ไทยเบฟเวอเรจ จำกัด (มหาชน) ","agency_id":91,"geocode_id":5410,"hydro_id":null,"qmax":null,"is_key_station":false,"warning_level_m":null,"critical_level_m":null,"critical_level_msl":null},"geocode":{"area_code":"3","area_name":{"th":"ภาคเหนือ","en":"North"},"amphoe_code":"04","amphoe_name":{"th":"เชียงม่วน","en":"Chiang Muan District"},"tumbon_code":"01","tumbon_name":{"th":"เชียงม่วน","en":"Chiang Muan"},"province_code":"56","province_name":{"th":"พะเยา","en":"Phayao"}},"diff_wl_bank":"1.58","diff_wl_bank_text":"ต่ำกว่าตลิ่ง (ม.)"}</x:t>
  </x:si>
  <x:si>
    <x:t xml:space="preserve">THAIWATER_WL:3526</x:t>
  </x:si>
  <x:si>
    <x:t xml:space="preserve">URTD03</x:t>
  </x:si>
  <x:si>
    <x:t xml:space="preserve">แม่น้ำชี ฝายมหาสารคาม(เหนือ)</x:t>
  </x:si>
  <x:si>
    <x:t xml:space="preserve">{"id":1316367488,"waterlevel_datetime":"2026-10-01 15:00","waterlevel_m":null,"waterlevel_msl":"146.74","waterlevel_msl_previous":"146.75","flow_rate":"60.66","discharge":null,"storage_percent":"70.79","sort_order":null,"station_type":"tele_waterlevel","situation_level":4,"agency":{"id":8,"agency_name":{"th":"การไฟฟ้าฝ่ายผลิตแห่งประเทศไทย","en":"Electricity Generating Authority of Thailand","jp":""},"agency_shortname":{"th":"กฟผ.","en":"EGAT","jp":""}},"basin":{"id":4,"basin_code":4,"basin_name":{"th":"ลุ่มน้ำชี","en":"Chi Basin Basin"}},"station":{"id":3526,"tele_station_name":{"th":"แม่น้ำชี ฝายมหาสารคาม(เหนือ)"},"tele_station_lat":16.368304,"tele_station_long":102.946387,"tele_station_oldcode":"URTD03","tele_station_type":"tele_waterlevel","left_bank":149.573,"right_bank":151.121,"min_bank":149.57,"ground_level":139.867,"offset":null,"sub_basin_id":96,"agency_id":8,"geocode_id":3888,"hydro_id":null,"qmax":null,"is_key_station":false,"warning_level_m":null,"critical_level_m":null,"critical_level_msl":149.45},"geocode":{"area_code":"4","area_name":{"th":"ภาคตะวันออกเฉียงเหนือ","en":"Northeast"},"amphoe_code":"03","amphoe_name":{"th":"โกสุมพิสัย","en":"Kosum Phisai District"},"tumbon_code":"08","tumbon_name":{"th":"หนองบัว","en":"Nong Bua"},"province_code":"44","province_name":{"th":"มหาสารคาม","en":"Maha Sarakham"}},"diff_wl_bank":"2.84","diff_wl_bank_text":"ต่ำกว่าตลิ่ง (ม.)","river_gid":131608,"river_name":"แม่น้ำชี"}</x:t>
  </x:si>
  <x:si>
    <x:t xml:space="preserve">THAIWATER_WL:1422374</x:t>
  </x:si>
  <x:si>
    <x:t xml:space="preserve">RPBD14</x:t>
  </x:si>
  <x:si>
    <x:t xml:space="preserve">สะพานจุลจอมเกล้า อ.พุนพิน (X.5C)</x:t>
  </x:si>
  <x:si>
    <x:t xml:space="preserve">{"id":1316365559,"waterlevel_datetime":"2026-10-01 15:00","waterlevel_m":null,"waterlevel_msl":"1.45","waterlevel_msl_previous":"1.27","flow_rate":null,"discharge":null,"storage_percent":"70.74","sort_order":null,"station_type":"tele_waterlevel","situation_level":4,"agency":{"id":8,"agency_name":{"th":"การไฟฟ้าฝ่ายผลิตแห่งประเทศไทย","en":"Electricity Generating Authority of Thailand","jp":""},"agency_shortname":{"th":"กฟผ.","en":"EGAT","jp":""}},"basin":{"id":22,"basin_code":19,"basin_name":{"th":"ลุ่มน้ำภาคใต้ฝั่งตะวันออกตอนบน","en":"Peninsula - Upper East Coast Basin"}},"station":{"id":1422374,"tele_station_name":{"th":"สะพานจุลจอมเกล้า อ.พุนพิน (X.5C)"},"tele_station_lat":9.113061,"tele_station_long":99.223751,"tele_station_oldcode":"RPBD14","tele_station_type":"tele_waterlevel","left_bank":6.155,"right_bank":6.11,"min_bank":6.11,"ground_level":-9.818,"offset":null,"sub_basin_id":324,"agency_id":8,"geocode_id":7633,"hydro_id":null,"qmax":null,"is_key_station":false,"warning_level_m":null,"critical_level_m":null,"critical_level_msl":2.5},"geocode":{"area_code":"5","area_name":{"th":"ภาคใต้","en":"South"},"amphoe_code":"17","amphoe_name":{"th":"พุนพิน","en":"Phunphin District"},"tumbon_code":"01","tumbon_name":{"th":"ท่าข้าม","en":"Tha Kham"},"province_code":"84","province_name":{"th":"สุราษฎร์ธานี","en":"Surat Thani"}},"diff_wl_bank":"4.66","diff_wl_bank_text":"ต่ำกว่าตลิ่ง (ม.)"}</x:t>
  </x:si>
  <x:si>
    <x:t xml:space="preserve">THAIWATER_WL:24</x:t>
  </x:si>
  <x:si>
    <x:t xml:space="preserve">BKK018</x:t>
  </x:si>
  <x:si>
    <x:t xml:space="preserve">คลองพระพิมล (ไทรน้อย)</x:t>
  </x:si>
  <x:si>
    <x:t xml:space="preserve">คลองพระพิมล</x:t>
  </x:si>
  <x:si>
    <x:t xml:space="preserve">{"id":1316367950,"waterlevel_datetime":"2026-10-01 15:10","waterlevel_m":null,"waterlevel_msl":"2.26","waterlevel_msl_previous":"2.27","flow_rate":null,"discharge":null,"storage_percent":"70.61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Basin"}},"station":{"id":24,"tele_station_name":{"en":"Phra Pimol Sai Noi","th":"คลองพระพิมล (ไทรน้อย)"},"tele_station_lat":13.97396,"tele_station_long":100.31901,"tele_station_oldcode":"BKK018","tele_station_type":"tele_waterlevel","left_bank":4.05,"right_bank":4.36,"min_bank":4.05,"ground_level":-2.04,"offset":null,"sub_basin_id":240,"agency_id":9,"geocode_id":306,"hydro_id":null,"qmax":null,"is_key_station":false,"warning_level_m":null,"critical_level_m":null,"critical_level_msl":null},"geocode":{"area_code":"2","area_name":{"th":"ภาคกลาง","en":"Central"},"amphoe_code":"05","amphoe_name":{"th":"ไทรน้อย","en":"Sai Noi District"},"tumbon_code":"01","tumbon_name":{"th":"ไทรน้อย","en":"Sai Noi"},"province_code":"12","province_name":{"th":"นนทบุรี","en":"Nonthaburi"}},"diff_wl_bank":"1.79","diff_wl_bank_text":"ต่ำกว่าตลิ่ง (ม.)","river_gid":185584,"river_name":"คลองพระพิมล"}</x:t>
  </x:si>
  <x:si>
    <x:t xml:space="preserve">THAIWATER_WL:3003</x:t>
  </x:si>
  <x:si>
    <x:t xml:space="preserve">N.36</x:t>
  </x:si>
  <x:si>
    <x:t xml:space="preserve">บ้านหนองกระท้าว</x:t>
  </x:si>
  <x:si>
    <x:t xml:space="preserve">{"id":1316341616,"waterlevel_datetime":"2026-10-01 14:00","waterlevel_m":null,"waterlevel_msl":"197.10","waterlevel_msl_previous":"197.10","flow_rate":null,"discharge":"26.98","storage_percent":"70.33","sort_order":null,"station_type":"tele_waterlevel","situation_level":4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3003,"tele_station_name":{"th":"บ้านหนองกระท้าว"},"tele_station_lat":17.0851,"tele_station_long":100.824669,"tele_station_oldcode":"N.36","tele_station_type":"tele_waterlevel","left_bank":393.181005,"right_bank":393.206005,"min_bank":200.38,"ground_level":189.324,"offset":191.880005,"sub_basin_id":233,"agency_id":12,"geocode_id":6155,"hydro_id":2,"qmax":112.199997,"is_key_station":false,"warning_level_m":null,"critical_level_m":null,"critical_level_msl":null},"geocode":{"area_code":"3","area_name":{"th":"ภาคเหนือ","en":"North"},"amphoe_code":"02","amphoe_name":{"th":"นครไทย","en":"Nakhon Thai District"},"tumbon_code":"01","tumbon_name":{"th":"นครไทย","en":"Nakhon Thai"},"province_code":"65","province_name":{"th":"พิษณุโลก","en":"Phitsanulok"}},"diff_wl_bank":"3.28","diff_wl_bank_text":"ต่ำกว่าตลิ่ง (ม.)","river_gid":88005,"river_name":"น้ำแควน้อย"}</x:t>
  </x:si>
  <x:si>
    <x:t xml:space="preserve">THAIWATER_WL:3164</x:t>
  </x:si>
  <x:si>
    <x:t xml:space="preserve">P.73</x:t>
  </x:si>
  <x:si>
    <x:t xml:space="preserve">บ้านสบสอย</x:t>
  </x:si>
  <x:si>
    <x:t xml:space="preserve">เตือนภัย</x:t>
  </x:si>
  <x:si>
    <x:t xml:space="preserve">{"id":1316351114,"waterlevel_datetime":"2026-10-01 14:00","waterlevel_m":null,"waterlevel_msl":"264.79","waterlevel_msl_previous":"264.82","flow_rate":null,"discharge":null,"storage_percent":"69.87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3164,"tele_station_name":{"th":"บ้านสบสอย"},"tele_station_lat":18.29126,"tele_station_long":98.64756,"tele_station_oldcode":"P.73","tele_station_type":"tele_waterlevel","left_bank":530.61,"right_bank":529.7760000000001,"min_bank":268.05,"ground_level":257.23,"offset":261.75,"sub_basin_id":170,"agency_id":12,"geocode_id":4714,"hydro_id":1,"qmax":1000,"is_key_station":false,"warning_level_m":null,"critical_level_m":null,"critical_level_msl":null},"geocode":{"area_code":"3","area_name":{"th":"ภาคเหนือ","en":"North"},"amphoe_code":"02","amphoe_name":{"th":"จอมทอง","en":"Chom Thong District"},"tumbon_code":"09","tumbon_name":{"th":"แม่สอย","en":"Mae Soi"},"province_code":"50","province_name":{"th":"เชียงใหม่","en":"Chiang Mai"}},"diff_wl_bank":"3.26","diff_wl_bank_text":"ต่ำกว่าตลิ่ง (ม.)","river_gid":61398,"river_name":"แม่น้ำปิง"}</x:t>
  </x:si>
  <x:si>
    <x:t xml:space="preserve">THAIWATER_WL:13892</x:t>
  </x:si>
  <x:si>
    <x:t xml:space="preserve">SWR025</x:t>
  </x:si>
  <x:si>
    <x:t xml:space="preserve">ฝายคลองท่าเลา</x:t>
  </x:si>
  <x:si>
    <x:t xml:space="preserve">คลองท่าเลา</x:t>
  </x:si>
  <x:si>
    <x:t xml:space="preserve">{"id":1316363309,"waterlevel_datetime":"2026-10-01 15:00","waterlevel_m":null,"waterlevel_msl":"122.81","waterlevel_msl_previous":"122.81","flow_rate":null,"discharge":null,"storage_percent":"69.81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Basin"}},"station":{"id":13892,"tele_station_name":{"en":"Na Luang Sen","th":"ฝายคลองท่าเลา"},"tele_station_lat":8.232547,"tele_station_long":99.70778,"tele_station_oldcode":"SWR025","tele_station_type":"tele_waterlevel","left_bank":123.816,"right_bank":123.809,"min_bank":123.81,"ground_level":120.5,"offset":null,"sub_basin_id":349,"agency_id":9,"geocode_id":7259,"hydro_id":null,"qmax":null,"is_key_station":false,"warning_level_m":null,"critical_level_m":null,"critical_level_msl":null},"geocode":{"area_code":"5","area_name":{"th":"ภาคใต้","en":"South"},"amphoe_code":"09","amphoe_name":{"th":"ทุ่งสง","en":"Thung Song District"},"tumbon_code":"06","tumbon_name":{"th":"นาหลวงเสน","en":"Na Luang Sen"},"province_code":"80","province_name":{"th":"นครศรีธรรมราช","en":"Nakhon Si Thammarat"}},"diff_wl_bank":"1.00","diff_wl_bank_text":"ต่ำกว่าตลิ่ง (ม.)","river_gid":221724,"river_name":"คลองท่าเลา"}</x:t>
  </x:si>
  <x:si>
    <x:t xml:space="preserve">THAIWATER_WL:749</x:t>
  </x:si>
  <x:si>
    <x:t xml:space="preserve">VLGE20</x:t>
  </x:si>
  <x:si>
    <x:t xml:space="preserve">ศาลาดิน</x:t>
  </x:si>
  <x:si>
    <x:t xml:space="preserve">คลองหม่อมเจ้าเฉลิมศรี</x:t>
  </x:si>
  <x:si>
    <x:t xml:space="preserve">{"id":1316368414,"waterlevel_datetime":"2026-10-01 15:10","waterlevel_m":null,"waterlevel_msl":"1.00","waterlevel_msl_previous":"1.00","flow_rate":null,"discharge":null,"storage_percent":"69.62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Organization)","jp":""},"agency_shortname":{"th":"สสน.","en":"HII","jp":""}},"basin":{"id":14,"basin_code":13,"basin_name":{"th":"ลุ่มน้ำท่าจีน","en":"Tha Chin Basin"}},"station":{"id":749,"tele_station_name":{"en":"Saladin Communuty","th":"ศาลาดิน"},"tele_station_lat":13.80777,"tele_station_long":100.27417,"tele_station_oldcode":"VLGE20","tele_station_type":"tele_waterlevel","left_bank":2.372,"right_bank":2.311,"min_bank":2.31,"ground_level":-2.017,"offset":null,"sub_basin_id":259,"agency_id":9,"geocode_id":6927,"hydro_id":null,"qmax":null,"is_key_station":false,"warning_level_m":null,"critical_level_m":null,"critical_level_msl":null},"geocode":{"area_code":"2","area_name":{"th":"ภาคกลาง","en":"Central"},"amphoe_code":"07","amphoe_name":{"th":"พุทธมณฑล","en":"Phutthamonthon District"},"tumbon_code":"03","tumbon_name":{"th":"มหาสวัสดิ์","en":"Mahasawat"},"province_code":"73","province_name":{"th":"นครปฐม","en":"Nakhon Pathom"}},"diff_wl_bank":"1.31","diff_wl_bank_text":"ต่ำกว่าตลิ่ง (ม.)","river_gid":186653,"river_name":"คลองหม่อมเจ้าเฉลิมศรี"}</x:t>
  </x:si>
  <x:si>
    <x:t xml:space="preserve">THAIWATER_WL:675</x:t>
  </x:si>
  <x:si>
    <x:t xml:space="preserve">NAN013</x:t>
  </x:si>
  <x:si>
    <x:t xml:space="preserve">วังทอง</x:t>
  </x:si>
  <x:si>
    <x:t xml:space="preserve">แม่น้ำวังทอง</x:t>
  </x:si>
  <x:si>
    <x:t xml:space="preserve">{"id":1316368171,"waterlevel_datetime":"2026-10-01 15:10","waterlevel_m":null,"waterlevel_msl":"45.93","waterlevel_msl_previous":"45.94","flow_rate":null,"discharge":null,"storage_percent":"69.60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Basin"}},"station":{"id":675,"tele_station_name":{"en":"Nan 13","th":"วังทอง"},"tele_station_lat":16.8222,"tele_station_long":100.43159,"tele_station_oldcode":"NAN013","tele_station_type":"tele_waterlevel","left_bank":49.241,"right_bank":49.565,"min_bank":49.24,"ground_level":38.363,"offset":null,"sub_basin_id":237,"agency_id":9,"geocode_id":6216,"hydro_id":null,"qmax":null,"is_key_station":false,"warning_level_m":null,"critical_level_m":null,"critical_level_msl":null},"geocode":{"area_code":"3","area_name":{"th":"ภาคเหนือ","en":"North"},"amphoe_code":"08","amphoe_name":{"th":"วังทอง","en":"Wang Thong District"},"tumbon_code":"01","tumbon_name":{"th":"วังทอง","en":"Wang Thong"},"province_code":"65","province_name":{"th":"พิษณุโลก","en":"Phitsanulok"}},"diff_wl_bank":"3.31","diff_wl_bank_text":"ต่ำกว่าตลิ่ง (ม.)","river_gid":92063,"river_name":"แม่น้ำวังทอง"}</x:t>
  </x:si>
  <x:si>
    <x:t xml:space="preserve">THAIWATER_WL:165</x:t>
  </x:si>
  <x:si>
    <x:t xml:space="preserve">PRC003</x:t>
  </x:si>
  <x:si>
    <x:t xml:space="preserve">นาดี</x:t>
  </x:si>
  <x:si>
    <x:t xml:space="preserve">{"id":1316368245,"waterlevel_datetime":"2026-10-01 15:10","waterlevel_m":null,"waterlevel_msl":"13.95","waterlevel_msl_previous":"13.96","flow_rate":null,"discharge":null,"storage_percent":"69.58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Basin"}},"station":{"id":165,"tele_station_name":{"en":"Na Di","th":"นาดี"},"tele_station_lat":14.133605,"tele_station_long":101.72767,"tele_station_oldcode":"PRC003","tele_station_type":"tele_waterlevel","left_bank":16.782,"right_bank":18.087,"min_bank":16.78,"ground_level":7.472,"offset":null,"sub_basin_id":280,"agency_id":9,"geocode_id":1516,"hydro_id":null,"qmax":null,"is_key_station":false,"warning_level_m":null,"critical_level_m":null,"critical_level_msl":null},"geocode":{"area_code":"2","area_name":{"th":"ภาคกลาง","en":"Central"},"amphoe_code":"03","amphoe_name":{"th":"นาดี","en":"Na Di District"},"tumbon_code":"03","tumbon_name":{"th":"สะพานหิน","en":"Saphan Hin"},"province_code":"25","province_name":{"th":"ปราจีนบุรี","en":"Prachin Buri"}},"diff_wl_bank":"2.83","diff_wl_bank_text":"ต่ำกว่าตลิ่ง (ม.)","river_gid":194245,"river_name":"แควหนุมาน"}</x:t>
  </x:si>
  <x:si>
    <x:t xml:space="preserve">THAIWATER_WL:1109514</x:t>
  </x:si>
  <x:si>
    <x:t xml:space="preserve">ONE025</x:t>
  </x:si>
  <x:si>
    <x:t xml:space="preserve">สะพานข้ามคลองลำปำ</x:t>
  </x:si>
  <x:si>
    <x:t xml:space="preserve">คลองลำปำ</x:t>
  </x:si>
  <x:si>
    <x:t xml:space="preserve">{"id":1316368203,"waterlevel_datetime":"2026-10-01 15:10","waterlevel_m":null,"waterlevel_msl":"0.25","waterlevel_msl_previous":"0.26","flow_rate":null,"discharge":null,"storage_percent":"69.04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Basin"}},"station":{"id":1109514,"tele_station_name":{"en":"Khlong Lampam Bridge","th":"สะพานข้ามคลองลำปำ"},"tele_station_lat":7.62273,"tele_station_long":100.146835,"tele_station_oldcode":"ONE025","tele_station_type":"tele_waterlevel","left_bank":1.95,"right_bank":1.372,"min_bank":1.37,"ground_level":-2.252,"offset":null,"sub_basin_id":329,"agency_id":9,"geocode_id":8067,"hydro_id":null,"qmax":null,"is_key_station":false,"warning_level_m":null,"critical_level_m":null,"critical_level_msl":null},"geocode":{"area_code":"5","area_name":{"th":"ภาคใต้","en":"South"},"amphoe_code":"01","amphoe_name":{"th":"เมืองพัทลุง","en":"Mueang Phatthalung District"},"tumbon_code":"09","tumbon_name":{"th":"ลำปำ","en":"Lampam"},"province_code":"93","province_name":{"th":"พัทลุง","en":"Phatthalung"}},"diff_wl_bank":"1.12","diff_wl_bank_text":"ต่ำกว่าตลิ่ง (ม.)","river_gid":224492,"river_name":"คลองลำปำ"}</x:t>
  </x:si>
  <x:si>
    <x:t xml:space="preserve">THAIWATER_WL:2847</x:t>
  </x:si>
  <x:si>
    <x:t xml:space="preserve">P.16</x:t>
  </x:si>
  <x:si>
    <x:t xml:space="preserve">{"id":1316341597,"waterlevel_datetime":"2026-10-01 14:00","waterlevel_m":null,"waterlevel_msl":"43.82","waterlevel_msl_previous":"43.89","flow_rate":null,"discharge":"1133.00","storage_percent":"68.80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2847,"tele_station_name":{"th":"บ้านแสนตอ"},"tele_station_lat":16.064671,"tele_station_long":99.860191,"tele_station_oldcode":"P.16","tele_station_type":"tele_waterlevel","left_bank":84.701999,"right_bank":84.62199899999999,"min_bank":46.45,"ground_level":38.02,"offset":39.779999,"sub_basin_id":185,"agency_id":12,"geocode_id":5907,"hydro_id":2,"qmax":2862,"is_key_station":false,"warning_level_m":null,"critical_level_m":null,"critical_level_msl":null},"geocode":{"area_code":"3","area_name":{"th":"ภาคเหนือ","en":"North"},"amphoe_code":"04","amphoe_name":{"th":"ขาณุวรลักษบุรี","en":"Khanu Woralaksaburi District"},"tumbon_code":"05","tumbon_name":{"th":"แสนตอ","en":"Saen To"},"province_code":"62","province_name":{"th":"กำแพงเพชร","en":"Kamphaeng Phet"}},"diff_wl_bank":"2.63","diff_wl_bank_text":"ต่ำกว่าตลิ่ง (ม.)","river_gid":101243,"river_name":"แม่น้ำปิง"}</x:t>
  </x:si>
  <x:si>
    <x:t xml:space="preserve">THAIWATER_WL:3018</x:t>
  </x:si>
  <x:si>
    <x:t xml:space="preserve">W.4A</x:t>
  </x:si>
  <x:si>
    <x:t xml:space="preserve">บ้านวังหมัน</x:t>
  </x:si>
  <x:si>
    <x:t xml:space="preserve">แม่น้ำวัง</x:t>
  </x:si>
  <x:si>
    <x:t xml:space="preserve">{"id":1316341552,"waterlevel_datetime":"2026-10-01 14:00","waterlevel_m":null,"waterlevel_msl":"134.64","waterlevel_msl_previous":"134.64","flow_rate":null,"discharge":"184.70","storage_percent":"68.70","sort_order":null,"station_type":"tele_waterlevel","situation_level":3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3018,"tele_station_name":{"th":"บ้านวังหมัน"},"tele_station_lat":17.20499,"tele_station_long":99.098122,"tele_station_oldcode":"W.4A","tele_station_type":"tele_waterlevel","left_bank":267.308,"right_bank":265.821,"min_bank":137,"ground_level":129.46,"offset":130,"sub_basin_id":196,"agency_id":12,"geocode_id":5989,"hydro_id":2,"qmax":530,"is_key_station":true,"warning_level_m":null,"critical_level_m":null,"critical_level_msl":null},"geocode":{"area_code":"3","area_name":{"th":"ภาคเหนือ","en":"North"},"amphoe_code":"03","amphoe_name":{"th":"สามเงา","en":"Sam Ngao District"},"tumbon_code":"02","tumbon_name":{"th":"วังหมัน","en":"Wang Man"},"province_code":"63","province_name":{"th":"ตาก","en":"Tak"}},"diff_wl_bank":"2.36","diff_wl_bank_text":"ต่ำกว่าตลิ่ง (ม.)","river_gid":86838,"river_name":"แม่น้ำวัง"}</x:t>
  </x:si>
  <x:si>
    <x:t xml:space="preserve">THAIWATER_WL:2860</x:t>
  </x:si>
  <x:si>
    <x:t xml:space="preserve">P.15</x:t>
  </x:si>
  <x:si>
    <x:t xml:space="preserve">หน้าวัดศรีภิรมย์</x:t>
  </x:si>
  <x:si>
    <x:t xml:space="preserve">{"id":1316341531,"waterlevel_datetime":"2026-10-01 14:00","waterlevel_m":null,"waterlevel_msl":"55.06","waterlevel_msl_previous":"55.10","flow_rate":null,"discharge":"1115.20","storage_percent":"68.37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2860,"tele_station_name":{"th":"หน้าวัดศรีภิรมย์"},"tele_station_lat":16.21414,"tele_station_long":99.722328,"tele_station_oldcode":"P.15","tele_station_type":"tele_waterlevel","left_bank":109.958999,"right_bank":109.335999,"min_bank":57.65,"ground_level":49.462,"offset":51.549999,"sub_basin_id":185,"agency_id":12,"geocode_id":5917,"hydro_id":2,"qmax":2850,"is_key_station":false,"warning_level_m":null,"critical_level_m":null,"critical_level_msl":null},"geocode":{"area_code":"3","area_name":{"th":"ภาคเหนือ","en":"North"},"amphoe_code":"05","amphoe_name":{"th":"คลองขลุง","en":"Khlong Khlung District"},"tumbon_code":"01","tumbon_name":{"th":"คลองขลุง","en":"Khlong Khlung"},"province_code":"62","province_name":{"th":"กำแพงเพชร","en":"Kamphaeng Phet"}},"diff_wl_bank":"2.59","diff_wl_bank_text":"ต่ำกว่าตลิ่ง (ม.)","river_gid":100481,"river_name":"แม่น้ำปิง"}</x:t>
  </x:si>
  <x:si>
    <x:t xml:space="preserve">THAIWATER_WL:2755</x:t>
  </x:si>
  <x:si>
    <x:t xml:space="preserve">M.11B</x:t>
  </x:si>
  <x:si>
    <x:t xml:space="preserve">บ้านโพธิ์ตาก</x:t>
  </x:si>
  <x:si>
    <x:t xml:space="preserve">{"id":1316340553,"waterlevel_datetime":"2026-10-01 14:00","waterlevel_m":null,"waterlevel_msl":"109.21","waterlevel_msl_previous":"109.21","flow_rate":null,"discharge":"2231.00","storage_percent":"68.22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2755,"tele_station_name":{"th":"บ้านโพธิ์ตาก"},"tele_station_lat":15.24992,"tele_station_long":105.239243,"tele_station_oldcode":"M.11B","tele_station_type":"tele_waterlevel","left_bank":216.926,"right_bank":217.53300000000002,"min_bank":112,"ground_level":103.22,"offset":104,"sub_basin_id":151,"agency_id":12,"geocode_id":2784,"hydro_id":4,"qmax":5180,"is_key_station":true,"warning_level_m":null,"critical_level_m":null,"critical_level_msl":null},"geocode":{"area_code":"4","area_name":{"th":"ภาคตะวันออกเฉียงเหนือ","en":"Northeast"},"amphoe_code":"19","amphoe_name":{"th":"พิบูลมังสาหาร","en":"Phibun Mangsahan District"},"tumbon_code":"10","tumbon_name":{"th":"โพธิ์ศรี","en":"Pho Si"},"province_code":"34","province_name":{"th":"อุบลราชธานี","en":"Ubon Ratchathani"}},"diff_wl_bank":"2.79","diff_wl_bank_text":"ต่ำกว่าตลิ่ง (ม.)","river_gid":145985,"river_name":"แม่น้ำมูล"}</x:t>
  </x:si>
  <x:si>
    <x:t xml:space="preserve">THAIWATER_WL:3533</x:t>
  </x:si>
  <x:si>
    <x:t xml:space="preserve">PMTS7</x:t>
  </x:si>
  <x:si>
    <x:t xml:space="preserve">ลำโดมใหญ่ บ้านนาเยีย</x:t>
  </x:si>
  <x:si>
    <x:t xml:space="preserve">{"id":1316346452,"waterlevel_datetime":"2026-10-01 14:00","waterlevel_m":null,"waterlevel_msl":"115.55","waterlevel_msl_previous":"115.57","flow_rate":null,"discharge":"137.24","storage_percent":"68.21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Thailand","jp":""},"agency_shortname":{"th":"กฟผ.","en":"EGAT","jp":""}},"basin":{"id":5,"basin_code":5,"basin_name":{"th":"ลุ่มน้ำมูล","en":"Mun Basin"}},"station":{"id":3533,"tele_station_name":{"th":"ลำโดมใหญ่ บ้านนาเยีย"},"tele_station_lat":15.07663,"tele_station_long":105.07114,"tele_station_oldcode":"PMTS7","tele_station_type":"tele_waterlevel","left_bank":119.19,"right_bank":120.11,"min_bank":119.19,"ground_level":107.74,"offset":null,"sub_basin_id":150,"agency_id":8,"geocode_id":2835,"hydro_id":null,"qmax":null,"is_key_station":false,"warning_level_m":null,"critical_level_m":null,"critical_level_msl":119.19},"geocode":{"area_code":"4","area_name":{"th":"ภาคตะวันออกเฉียงเหนือ","en":"Northeast"},"amphoe_code":"29","amphoe_name":{"th":"นาเยีย","en":"Na Yia District"},"tumbon_code":"01","tumbon_name":{"th":"นาเยีย","en":"Na Yia"},"province_code":"34","province_name":{"th":"อุบลราชธานี","en":"Ubon Ratchathani"}},"diff_wl_bank":"3.64","diff_wl_bank_text":"ต่ำกว่าตลิ่ง (ม.)","river_gid":147845,"river_name":"ลำโดมใหญ่"}</x:t>
  </x:si>
  <x:si>
    <x:t xml:space="preserve">THAIWATER_WL:11648258</x:t>
  </x:si>
  <x:si>
    <x:t xml:space="preserve">SKT004</x:t>
  </x:si>
  <x:si>
    <x:t xml:space="preserve">สะพานบ้านคันแม่น้ำบน</x:t>
  </x:si>
  <x:si>
    <x:t xml:space="preserve">{"id":1316368326,"waterlevel_datetime":"2026-10-01 15:10","waterlevel_m":null,"waterlevel_msl":"46.89","waterlevel_msl_previous":"46.89","flow_rate":null,"discharge":null,"storage_percent":"67.90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Basin"}},"station":{"id":11648258,"tele_station_name":{"en":"Ban Khan Maenam Bon Bridge","th":"สะพานบ้านคันแม่น้ำบน"},"tele_station_lat":16.81476,"tele_station_long":99.80374,"tele_station_oldcode":"SKT004","tele_station_type":"tele_waterlevel","left_bank":48.218,"right_bank":48.192,"min_bank":48.19,"ground_level":44.126,"offset":null,"sub_basin_id":213,"agency_id":9,"geocode_id":6064,"hydro_id":null,"qmax":null,"is_key_station":false,"warning_level_m":null,"critical_level_m":null,"critical_level_msl":null},"geocode":{"area_code":"3","area_name":{"th":"ภาคเหนือ","en":"North"},"amphoe_code":"03","amphoe_name":{"th":"คีรีมาศ","en":"Khiri Mat District"},"tumbon_code":"08","tumbon_name":{"th":"หนองกระดิ่ง","en":"Nong Krading"},"province_code":"64","province_name":{"th":"สุโขทัย","en":"Sukhothai"}},"diff_wl_bank":"1.30","diff_wl_bank_text":"ต่ำกว่าตลิ่ง (ม.)"}</x:t>
  </x:si>
  <x:si>
    <x:t xml:space="preserve">THAIWATER_WL:504940</x:t>
  </x:si>
  <x:si>
    <x:t xml:space="preserve">E.98</x:t>
  </x:si>
  <x:si>
    <x:t xml:space="preserve">บ้านเขื่องใน</x:t>
  </x:si>
  <x:si>
    <x:t xml:space="preserve">{"id":1316340567,"waterlevel_datetime":"2026-10-01 14:00","waterlevel_m":null,"waterlevel_msl":"114.72","waterlevel_msl_previous":"114.73","flow_rate":null,"discharge":"647.90","storage_percent":"67.90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504940,"tele_station_name":{"th":"บ้านเขื่องใน"},"tele_station_lat":15.30323,"tele_station_long":104.50032,"tele_station_oldcode":"E.98","tele_station_type":"tele_waterlevel","left_bank":224.322,"right_bank":224.603,"min_bank":118.8,"ground_level":106.09,"offset":107,"sub_basin_id":102,"agency_id":12,"geocode_id":2646,"hydro_id":4,"qmax":2150,"is_key_station":true,"warning_level_m":null,"critical_level_m":null,"critical_level_msl":null},"geocode":{"area_code":"4","area_name":{"th":"ภาคตะวันออกเฉียงเหนือ","en":"Northeast"},"amphoe_code":"04","amphoe_name":{"th":"เขื่องใน","en":"Khueang Nai District"},"tumbon_code":"02","tumbon_name":{"th":"สร้างถ่อ","en":"Sang Tho"},"province_code":"34","province_name":{"th":"อุบลราชธานี","en":"Ubon Ratchathani"}},"diff_wl_bank":"4.08","diff_wl_bank_text":"ต่ำกว่าตลิ่ง (ม.)","river_gid":145644,"river_name":"แม่น้ำชี"}</x:t>
  </x:si>
  <x:si>
    <x:t xml:space="preserve">THAIWATER_WL:700586</x:t>
  </x:si>
  <x:si>
    <x:t xml:space="preserve">MKVKD03</x:t>
  </x:si>
  <x:si>
    <x:t xml:space="preserve">บ้านลิ่นถิ่น (K.54)</x:t>
  </x:si>
  <x:si>
    <x:t xml:space="preserve">{"id":1316366859,"waterlevel_datetime":"2026-10-01 15:00","waterlevel_m":null,"waterlevel_msl":"66.84","waterlevel_msl_previous":"66.87","flow_rate":null,"discharge":"763.12","storage_percent":"67.88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Basin"}},"station":{"id":700586,"tele_station_name":{"th":"บ้านลิ่นถิ่น (K.54)"},"tele_station_lat":14.53566,"tele_station_long":98.78764,"tele_station_oldcode":"MKVKD03","tele_station_type":"tele_waterlevel","left_bank":69.925,"right_bank":75.778,"min_bank":69.93,"ground_level":60.309,"offset":null,"sub_basin_id":271,"agency_id":8,"geocode_id":6654,"hydro_id":null,"qmax":null,"is_key_station":false,"warning_level_m":null,"critical_level_m":null,"critical_level_msl":75.85},"geocode":{"area_code":"2","area_name":{"th":"ภาคกลาง","en":"Central"},"amphoe_code":"07","amphoe_name":{"th":"ทองผาภูมิ","en":"Thong Pha Phum District"},"tumbon_code":"04","tumbon_name":{"th":"ลิ่นถิ่น","en":"Lin Thin"},"province_code":"71","province_name":{"th":"กาญจนบุรี","en":"Kanchanaburi"}},"diff_wl_bank":"3.09","diff_wl_bank_text":"ต่ำกว่าตลิ่ง (ม.)","river_gid":181195,"river_name":"แม่น้ำแควน้อย"}</x:t>
  </x:si>
  <x:si>
    <x:t xml:space="preserve">THAIWATER_WL:1079995</x:t>
  </x:si>
  <x:si>
    <x:t xml:space="preserve">X.233</x:t>
  </x:si>
  <x:si>
    <x:t xml:space="preserve">บ้านไสหาร</x:t>
  </x:si>
  <x:si>
    <x:t xml:space="preserve">แม่น้ำตรัง</x:t>
  </x:si>
  <x:si>
    <x:t xml:space="preserve">{"id":1316344841,"waterlevel_datetime":"2026-10-01 14:00","waterlevel_m":null,"waterlevel_msl":"14.63","waterlevel_msl_previous":"14.63","flow_rate":null,"discharge":"28.02","storage_percent":"67.42","sort_order":null,"station_type":"tele_waterlevel","situation_level":3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1079995,"tele_station_name":{"th":"บ้านไสหาร"},"tele_station_lat":7.90741,"tele_station_long":99.542389,"tele_station_oldcode":"X.233","tele_station_type":"tele_waterlevel","left_bank":22,"right_bank":22,"min_bank":21.7,"ground_level":0,"offset":null,"sub_basin_id":349,"agency_id":12,"geocode_id":8031,"hydro_id":8,"qmax":243,"is_key_station":false,"warning_level_m":null,"critical_level_m":null,"critical_level_msl":null},"geocode":{"area_code":"5","area_name":{"th":"ภาคใต้","en":"South"},"amphoe_code":"06","amphoe_name":{"th":"ห้วยยอด","en":"Huai Yot District"},"tumbon_code":"17","tumbon_name":{"th":"ห้วยนาง","en":"Huai Nang"},"province_code":"92","province_name":{"th":"ตรัง","en":"Trang"}},"diff_wl_bank":"7.07","diff_wl_bank_text":"ต่ำกว่าตลิ่ง (ม.)","river_gid":223238,"river_name":"แม่น้ำตรัง"}</x:t>
  </x:si>
  <x:si>
    <x:t xml:space="preserve">THAIWATER_WL:1107582</x:t>
  </x:si>
  <x:si>
    <x:t xml:space="preserve">TCP012</x:t>
  </x:si>
  <x:si>
    <x:t xml:space="preserve">เสนา (ทุ่งบางบาล-บ้านแพน)</x:t>
  </x:si>
  <x:si>
    <x:t xml:space="preserve">{"id":1316368378,"waterlevel_datetime":"2026-10-01 15:10","waterlevel_m":null,"waterlevel_msl":"2.02","waterlevel_msl_previous":"2.01","flow_rate":null,"discharge":null,"storage_percent":"67.33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Basin"}},"station":{"id":1107582,"tele_station_name":{"en":"Sena","th":"เสนา (ทุ่งบางบาล-บ้านแพน)"},"tele_station_lat":14.327773,"tele_station_long":100.405464,"tele_station_oldcode":"TCP012","tele_station_type":"tele_waterlevel","left_bank":3,"right_bank":3,"min_bank":3,"ground_level":0,"offset":null,"sub_basin_id":240,"agency_id":9,"geocode_id":565,"hydro_id":null,"qmax":null,"is_key_station":false,"warning_level_m":null,"critical_level_m":null,"critical_level_msl":null},"geocode":{"area_code":"2","area_name":{"th":"ภาคกลาง","en":"Central"},"amphoe_code":"12","amphoe_name":{"th":"เสนา","en":"Sena District"},"tumbon_code":"01","tumbon_name":{"th":"เสนา","en":"Sena"},"province_code":"14","province_name":{"th":"พระนครศรีอยุธยา","en":"Phra Nakhon Si Ayutthaya"}},"diff_wl_bank":"0.98","diff_wl_bank_text":"ต่ำกว่าตลิ่ง (ม.)","river_gid":182773,"river_name":"แม่น้ำน้อย"}</x:t>
  </x:si>
  <x:si>
    <x:t xml:space="preserve">THAIWATER_WL:1098871</x:t>
  </x:si>
  <x:si>
    <x:t xml:space="preserve">M.174</x:t>
  </x:si>
  <x:si>
    <x:t xml:space="preserve">บ้านโนนสมบูรณ์</x:t>
  </x:si>
  <x:si>
    <x:t xml:space="preserve">ลำสะแทต</x:t>
  </x:si>
  <x:si>
    <x:t xml:space="preserve">{"id":1316340568,"waterlevel_datetime":"2026-10-01 14:00","waterlevel_m":null,"waterlevel_msl":"138.15","waterlevel_msl_previous":"138.14","flow_rate":null,"discharge":"27.00","storage_percent":"67.14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1098871,"tele_station_name":{"th":"บ้านโนนสมบูรณ์"},"tele_station_lat":15.51345,"tele_station_long":102.843826,"tele_station_oldcode":"M.174","tele_station_type":"tele_waterlevel","left_bank":275.922997,"right_bank":275.934997,"min_bank":140.7,"ground_level":132.94,"offset":134.199997,"sub_basin_id":119,"agency_id":12,"geocode_id":2184,"hydro_id":4,"qmax":339,"is_key_station":false,"warning_level_m":null,"critical_level_m":null,"critical_level_msl":null},"geocode":{"area_code":"4","area_name":{"th":"ภาคตะวันออกเฉียงเหนือ","en":"Northeast"},"amphoe_code":"19","amphoe_name":{"th":"บ้านใหม่ไชยพจน์","en":"Ban Mai Chaiyaphot District"},"tumbon_code":"04","tumbon_name":{"th":"กู่สวนแตง","en":"Ku Suan Taeng"},"province_code":"31","province_name":{"th":"บุรีรัมย์","en":"Buri Ram"}},"diff_wl_bank":"2.55","diff_wl_bank_text":"ต่ำกว่าตลิ่ง (ม.)","river_gid":143745,"river_name":"ลำสะแทต"}</x:t>
  </x:si>
  <x:si>
    <x:t xml:space="preserve">THAIWATER_WL:2809</x:t>
  </x:si>
  <x:si>
    <x:t xml:space="preserve">E.5</x:t>
  </x:si>
  <x:si>
    <x:t xml:space="preserve">บ้านโนนเชือก</x:t>
  </x:si>
  <x:si>
    <x:t xml:space="preserve">{"id":1316353879,"waterlevel_datetime":"2026-10-01 14:00","waterlevel_m":null,"waterlevel_msl":"192.39","waterlevel_msl_previous":"192.41","flow_rate":null,"discharge":"181.45","storage_percent":"67.12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2809,"tele_station_name":{"th":"บ้านโนนเชือก"},"tele_station_lat":15.7325,"tele_station_long":101.830048,"tele_station_oldcode":"E.5","tele_station_type":"tele_waterlevel","left_bank":382.009,"right_bank":381.703,"min_bank":196.5,"ground_level":184,"offset":185,"sub_basin_id":80,"agency_id":12,"geocode_id":3015,"hydro_id":3,"qmax":570,"is_key_station":true,"warning_level_m":null,"critical_level_m":null,"critical_level_msl":null},"geocode":{"area_code":"4","area_name":{"th":"ภาคตะวันออกเฉียงเหนือ","en":"Northeast"},"amphoe_code":"06","amphoe_name":{"th":"จัตุรัส","en":"Chatturat District"},"tumbon_code":"13","tumbon_name":{"th":"ส้มป่อย","en":"Som Poi"},"province_code":"36","province_name":{"th":"ชัยภูมิ","en":"Chaiyaphum"}},"diff_wl_bank":"4.11","diff_wl_bank_text":"ต่ำกว่าตลิ่ง (ม.)","river_gid":140649,"river_name":"แม่น้ำชี"}</x:t>
  </x:si>
  <x:si>
    <x:t xml:space="preserve">THAIWATER_WL:1422367</x:t>
  </x:si>
  <x:si>
    <x:t xml:space="preserve">RPBD07</x:t>
  </x:si>
  <x:si>
    <x:t xml:space="preserve">สะพานสิริกฤตานุกุล์ (บ้านท่านหญิง)อ.วิภาวดี </x:t>
  </x:si>
  <x:si>
    <x:t xml:space="preserve">{"id":1316365554,"waterlevel_datetime":"2026-10-01 15:00","waterlevel_m":null,"waterlevel_msl":"32.80","waterlevel_msl_previous":"32.83","flow_rate":null,"discharge":null,"storage_percent":"67.07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Thailand","jp":""},"agency_shortname":{"th":"กฟผ.","en":"EGAT","jp":""}},"basin":{"id":22,"basin_code":19,"basin_name":{"th":"ลุ่มน้ำภาคใต้ฝั่งตะวันออกตอนบน","en":"Peninsula - Upper East Coast Basin"}},"station":{"id":1422367,"tele_station_name":{"th":"สะพานสิริกฤตานุกุล์ (บ้านท่านหญิง)อ.วิภาวดี "},"tele_station_lat":9.24312,"tele_station_long":98.919251,"tele_station_oldcode":"RPBD07","tele_station_type":"tele_waterlevel","left_bank":35.9559,"right_bank":34.8809,"min_bank":34.88,"ground_level":28.57,"offset":null,"sub_basin_id":316,"agency_id":8,"geocode_id":7656,"hydro_id":null,"qmax":null,"is_key_station":false,"warning_level_m":null,"critical_level_m":null,"critical_level_msl":34.881},"geocode":{"area_code":"5","area_name":{"th":"ภาคใต้","en":"South"},"amphoe_code":"19","amphoe_name":{"th":"วิภาวดี","en":"Vibhavadi District"},"tumbon_code":"02","tumbon_name":{"th":"ตะกุกเหนือ","en":"Takuk Nuea"},"province_code":"84","province_name":{"th":"สุราษฎร์ธานี","en":"Surat Thani"}},"diff_wl_bank":"2.08","diff_wl_bank_text":"ต่ำกว่าตลิ่ง (ม.)"}</x:t>
  </x:si>
  <x:si>
    <x:t xml:space="preserve">THAIWATER_WL:9931004</x:t>
  </x:si>
  <x:si>
    <x:t xml:space="preserve">LDD002</x:t>
  </x:si>
  <x:si>
    <x:t xml:space="preserve">บ้านกำพี้ </x:t>
  </x:si>
  <x:si>
    <x:t xml:space="preserve">{"id":1316368079,"waterlevel_datetime":"2026-10-01 15:10","waterlevel_m":null,"waterlevel_msl":"159.85","waterlevel_msl_previous":"159.85","flow_rate":null,"discharge":null,"storage_percent":"67.01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Basin"}},"station":{"id":9931004,"tele_station_name":{"en":"Ban Kamphi","th":"บ้านกำพี้ "},"tele_station_lat":15.95648,"tele_station_long":103.1543,"tele_station_oldcode":"LDD002","tele_station_type":"tele_waterlevel","left_bank":161.3329,"right_bank":161.2189,"min_bank":161.22,"ground_level":157.079,"offset":null,"sub_basin_id":130,"agency_id":9,"geocode_id":3923,"hydro_id":null,"qmax":null,"is_key_station":false,"warning_level_m":null,"critical_level_m":null,"critical_level_msl":null},"geocode":{"area_code":"4","area_name":{"th":"ภาคตะวันออกเฉียงเหนือ","en":"Northeast"},"amphoe_code":"06","amphoe_name":{"th":"บรบือ","en":"Borabue District"},"tumbon_code":"06","tumbon_name":{"th":"กำพี้","en":"Kamphi"},"province_code":"44","province_name":{"th":"มหาสารคาม","en":"Maha Sarakham"}},"diff_wl_bank":"1.37","diff_wl_bank_text":"ต่ำกว่าตลิ่ง (ม.)"}</x:t>
  </x:si>
  <x:si>
    <x:t xml:space="preserve">THAIWATER_WL:505027</x:t>
  </x:si>
  <x:si>
    <x:t xml:space="preserve">B.9</x:t>
  </x:si>
  <x:si>
    <x:t xml:space="preserve">บ้านสาระเห็ด</x:t>
  </x:si>
  <x:si>
    <x:t xml:space="preserve">{"id":1316004518,"waterlevel_datetime":"2026-10-01 23:00","waterlevel_m":null,"waterlevel_msl":"29.23","waterlevel_msl_previous":"29.20","flow_rate":null,"discharge":"102.60","storage_percent":"66.25","sort_order":null,"station_type":"tele_waterlevel","situation_level":3,"agency":{"id":12,"agency_name":{"th":"กรมชลประทาน ","en":"Royal Irrigation Department","jp":""},"agency_shortname":{"th":"ชป.","en":"RID","jp":""}},"basin":{"id":20,"basin_code":18,"basin_name":{"th":"ลุ่มน้ำเพชรบุรี-ประจวบคีรีขันธ์","en":"Phetchaburi - Prachuap Khiri Khan Basin"}},"station":{"id":505027,"tele_station_name":{"th":"บ้านสาระเห็ด"},"tele_station_lat":12.80623,"tele_station_long":99.770569,"tele_station_oldcode":"B.9","tele_station_type":"tele_waterlevel","left_bank":57.641001,"right_bank":56.685001,"min_bank":31.4,"ground_level":24.97,"offset":25.200001,"sub_basin_id":300,"agency_id":12,"geocode_id":7072,"hydro_id":7,"qmax":300,"is_key_station":false,"warning_level_m":null,"critical_level_m":null,"critical_level_msl":null},"geocode":{"area_code":"2","area_name":{"th":"ภาคกลาง","en":"Central"},"amphoe_code":"05","amphoe_name":{"th":"ท่ายาง","en":"Tha Yang District"},"tumbon_code":"11","tumbon_name":{"th":"กลัดหลวง","en":"Klat Luang"},"province_code":"76","province_name":{"th":"เพชรบุรี","en":"Phetchaburi"}},"diff_wl_bank":"2.17","diff_wl_bank_text":"ต่ำกว่าตลิ่ง (ม.)","river_gid":210249,"river_name":"แม่น้ำเพชรบุรี"}</x:t>
  </x:si>
  <x:si>
    <x:t xml:space="preserve">THAIWATER_WL:3295</x:t>
  </x:si>
  <x:si>
    <x:t xml:space="preserve">N.24A</x:t>
  </x:si>
  <x:si>
    <x:t xml:space="preserve">บ้านวังนกแอ่น</x:t>
  </x:si>
  <x:si>
    <x:t xml:space="preserve">น้ำเข็ก</x:t>
  </x:si>
  <x:si>
    <x:t xml:space="preserve">{"id":1316341574,"waterlevel_datetime":"2026-10-01 14:00","waterlevel_m":null,"waterlevel_msl":"48.46","waterlevel_msl_previous":"48.51","flow_rate":null,"discharge":"117.40","storage_percent":"66.08","sort_order":null,"station_type":"tele_waterlevel","situation_level":3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3295,"tele_station_name":{"th":"บ้านวังนกแอ่น"},"tele_station_lat":16.84712,"tele_station_long":100.512093,"tele_station_oldcode":"N.24A","tele_station_type":"tele_waterlevel","left_bank":95.95399900000001,"right_bank":93.92999900000001,"min_bank":52.21,"ground_level":41.156,"offset":40.709999,"sub_basin_id":237,"agency_id":12,"geocode_id":6223,"hydro_id":2,"qmax":328.799988,"is_key_station":false,"warning_level_m":null,"critical_level_m":null,"critical_level_msl":null},"geocode":{"area_code":"3","area_name":{"th":"ภาคเหนือ","en":"North"},"amphoe_code":"08","amphoe_name":{"th":"วังทอง","en":"Wang Thong District"},"tumbon_code":"08","tumbon_name":{"th":"วังนกแอ่น","en":"Wang Nok Aen"},"province_code":"65","province_name":{"th":"พิษณุโลก","en":"Phitsanulok"}},"diff_wl_bank":"3.75","diff_wl_bank_text":"ต่ำกว่าตลิ่ง (ม.)","river_gid":91442,"river_name":"น้ำเข็ก"}</x:t>
  </x:si>
  <x:si>
    <x:t xml:space="preserve">THAIWATER_WL:12480</x:t>
  </x:si>
  <x:si>
    <x:t xml:space="preserve">TNG003</x:t>
  </x:si>
  <x:si>
    <x:t xml:space="preserve">คลองนางน้อย</x:t>
  </x:si>
  <x:si>
    <x:t xml:space="preserve">{"id":1316368391,"waterlevel_datetime":"2026-10-01 15:10","waterlevel_m":null,"waterlevel_msl":"15.86","waterlevel_msl_previous":"15.87","flow_rate":null,"discharge":null,"storage_percent":"65.93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Basin"}},"station":{"id":12480,"tele_station_name":{"en":"Trang 3","th":"คลองนางน้อย"},"tele_station_lat":7.568049,"tele_station_long":99.65109,"tele_station_oldcode":"TNG003","tele_station_type":"tele_waterlevel","left_bank":16.821,"right_bank":16.964,"min_bank":16.82,"ground_level":14,"offset":null,"sub_basin_id":349,"agency_id":9,"geocode_id":7967,"hydro_id":null,"qmax":null,"is_key_station":false,"warning_level_m":null,"critical_level_m":null,"critical_level_msl":null},"geocode":{"area_code":"5","area_name":{"th":"ภาคใต้","en":"South"},"amphoe_code":"01","amphoe_name":{"th":"เมืองตรัง","en":"Mueang Trang District"},"tumbon_code":"08","tumbon_name":{"th":"นาโยงใต้","en":"Na Yong Tai"},"province_code":"92","province_name":{"th":"ตรัง","en":"Trang"}},"diff_wl_bank":"0.96","diff_wl_bank_text":"ต่ำกว่าตลิ่ง (ม.)","river_gid":224696,"river_name":"คลองนางน้อย"}</x:t>
  </x:si>
  <x:si>
    <x:t xml:space="preserve">THAIWATER_WL:740739</x:t>
  </x:si>
  <x:si>
    <x:t xml:space="preserve">FOP038</x:t>
  </x:si>
  <x:si>
    <x:t xml:space="preserve">สะพานบ้านแหลมโตนด</x:t>
  </x:si>
  <x:si>
    <x:t xml:space="preserve">คลองคุ้ง</x:t>
  </x:si>
  <x:si>
    <x:t xml:space="preserve">{"id":1316367732,"waterlevel_datetime":"2026-10-01 15:10","waterlevel_m":null,"waterlevel_msl":"2.69","waterlevel_msl_previous":"2.69","flow_rate":null,"discharge":null,"storage_percent":"65.84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Foundation","jp":""},"agency_shortname":{"th":"พพภ","en":"FOP","jp":""}},"basin":{"id":24,"basin_code":20,"basin_name":{"th":"ลุ่มน้ำทะเลสาบสงขลา","en":"Thale Sap Songkhla Basin"}},"station":{"id":740739,"tele_station_name":{"en":"Ban Laem Tanot Bridge","th":"สะพานบ้านแหลมโตนด"},"tele_station_lat":7.817578,"tele_station_long":100.047485,"tele_station_oldcode":"FOP038","tele_station_type":"tele_waterlevel","left_bank":4.0297,"right_bank":3.9357,"min_bank":3.94,"ground_level":0.2887,"offset":null,"sub_basin_id":328,"sponsor_by":"มูลนิธิอาสาเพื่อนพึ่ง (ภาฯ) ยามยาก สภากาชาดไทย","agency_id":91,"geocode_id":8095,"hydro_id":null,"qmax":null,"is_key_station":false,"warning_level_m":null,"critical_level_m":null,"critical_level_msl":null},"geocode":{"area_code":"5","area_name":{"th":"ภาคใต้","en":"South"},"amphoe_code":"05","amphoe_name":{"th":"ควนขนุน","en":"Khuan Khanun District"},"tumbon_code":"06","tumbon_name":{"th":"แหลมโตนด","en":"Laem Tanot"},"province_code":"93","province_name":{"th":"พัทลุง","en":"Phatthalung"}},"diff_wl_bank":"1.25","diff_wl_bank_text":"ต่ำกว่าตลิ่ง (ม.)","river_gid":223477,"river_name":"คลองคุ้ง"}</x:t>
  </x:si>
  <x:si>
    <x:t xml:space="preserve">THAIWATER_WL:747</x:t>
  </x:si>
  <x:si>
    <x:t xml:space="preserve">BKK019</x:t>
  </x:si>
  <x:si>
    <x:t xml:space="preserve">คลองนราภิรมย์ (บางเลน)</x:t>
  </x:si>
  <x:si>
    <x:t xml:space="preserve">คลองนราภิรมย์</x:t>
  </x:si>
  <x:si>
    <x:t xml:space="preserve">{"id":1316367951,"waterlevel_datetime":"2026-10-01 15:10","waterlevel_m":null,"waterlevel_msl":"2.06","waterlevel_msl_previous":"2.06","flow_rate":null,"discharge":null,"storage_percent":"65.78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Basin"}},"station":{"id":747,"tele_station_name":{"en":"Khlong Narapirom","th":"คลองนราภิรมย์ (บางเลน)"},"tele_station_lat":13.88207,"tele_station_long":100.29086,"tele_station_oldcode":"BKK019","tele_station_type":"tele_waterlevel","left_bank":4.337,"right_bank":3.96,"min_bank":3.96,"ground_level":-1.59,"offset":null,"sub_basin_id":240,"agency_id":9,"geocode_id":6904,"hydro_id":null,"qmax":null,"is_key_station":false,"warning_level_m":null,"critical_level_m":null,"critical_level_msl":null},"geocode":{"area_code":"2","area_name":{"th":"ภาคกลาง","en":"Central"},"amphoe_code":"05","amphoe_name":{"th":"บางเลน","en":"Bang Len District"},"tumbon_code":"13","tumbon_name":{"th":"นราภิรมย์","en":"Nara Phirom"},"province_code":"73","province_name":{"th":"นครปฐม","en":"Nakhon Pathom"}},"diff_wl_bank":"1.90","diff_wl_bank_text":"ต่ำกว่าตลิ่ง (ม.)","river_gid":186179,"river_name":"คลองนราภิรมย์"}</x:t>
  </x:si>
  <x:si>
    <x:t xml:space="preserve">THAIWATER_WL:2852</x:t>
  </x:si>
  <x:si>
    <x:t xml:space="preserve">E.9</x:t>
  </x:si>
  <x:si>
    <x:t xml:space="preserve">บ้านท่านางเลื่อน</x:t>
  </x:si>
  <x:si>
    <x:t xml:space="preserve">{"id":1316353886,"waterlevel_datetime":"2026-10-01 14:00","waterlevel_m":null,"waterlevel_msl":"157.71","waterlevel_msl_previous":"157.69","flow_rate":null,"discharge":"73.76","storage_percent":"65.73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2852,"tele_station_name":{"th":"บ้านท่านางเลื่อน"},"tele_station_lat":16.096939,"tele_station_long":102.570023,"tele_station_oldcode":"E.9","tele_station_type":"tele_waterlevel","left_bank":318.014006,"right_bank":316.466006,"min_bank":162.1,"ground_level":149.29,"offset":151.100006,"sub_basin_id":84,"agency_id":12,"geocode_id":3397,"hydro_id":3,"qmax":480,"is_key_station":true,"warning_level_m":null,"critical_level_m":null,"critical_level_msl":null},"geocode":{"area_code":"4","area_name":{"th":"ภาคตะวันออกเฉียงเหนือ","en":"Northeast"},"amphoe_code":"18","amphoe_name":{"th":"ชนบท","en":"Chonnabot District"},"tumbon_code":"01","tumbon_name":{"th":"ชนบท","en":"Chonnabot"},"province_code":"40","province_name":{"th":"ขอนแก่น","en":"Khon Kaen"}},"diff_wl_bank":"4.39","diff_wl_bank_text":"ต่ำกว่าตลิ่ง (ม.)","river_gid":134835,"river_name":"แม่น้ำชี"}</x:t>
  </x:si>
  <x:si>
    <x:t xml:space="preserve">THAIWATER_WL:9931002</x:t>
  </x:si>
  <x:si>
    <x:t xml:space="preserve">LDD001</x:t>
  </x:si>
  <x:si>
    <x:t xml:space="preserve">บ้านหัวนาหนองจิก</x:t>
  </x:si>
  <x:si>
    <x:t xml:space="preserve">{"id":1316368078,"waterlevel_datetime":"2026-10-01 15:10","waterlevel_m":null,"waterlevel_msl":"164.86","waterlevel_msl_previous":"164.86","flow_rate":null,"discharge":null,"storage_percent":"65.70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Basin"}},"station":{"id":9931002,"tele_station_name":{"en":"Ban Hua Na Nong Chik","th":"บ้านหัวนาหนองจิก"},"tele_station_lat":15.98427,"tele_station_long":103.14799,"tele_station_oldcode":"LDD001","tele_station_type":"tele_waterlevel","left_bank":166.1831,"right_bank":165.8881,"min_bank":165.89,"ground_level":162.8851,"offset":null,"sub_basin_id":130,"agency_id":9,"geocode_id":3923,"hydro_id":null,"qmax":null,"is_key_station":false,"warning_level_m":null,"critical_level_m":null,"critical_level_msl":null},"geocode":{"area_code":"4","area_name":{"th":"ภาคตะวันออกเฉียงเหนือ","en":"Northeast"},"amphoe_code":"06","amphoe_name":{"th":"บรบือ","en":"Borabue District"},"tumbon_code":"06","tumbon_name":{"th":"กำพี้","en":"Kamphi"},"province_code":"44","province_name":{"th":"มหาสารคาม","en":"Maha Sarakham"}},"diff_wl_bank":"1.03","diff_wl_bank_text":"ต่ำกว่าตลิ่ง (ม.)"}</x:t>
  </x:si>
  <x:si>
    <x:t xml:space="preserve">THAIWATER_WL:3510</x:t>
  </x:si>
  <x:si>
    <x:t xml:space="preserve">URTU03</x:t>
  </x:si>
  <x:si>
    <x:t xml:space="preserve">ลำพะเนียง อ.เมือง</x:t>
  </x:si>
  <x:si>
    <x:t xml:space="preserve">{"id":1316367476,"waterlevel_datetime":"2026-10-01 15:00","waterlevel_m":null,"waterlevel_msl":"207.75","waterlevel_msl_previous":"207.76","flow_rate":"0.00","discharge":"17.26","storage_percent":"65.62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Thailand","jp":""},"agency_shortname":{"th":"กฟผ.","en":"EGAT","jp":""}},"basin":{"id":4,"basin_code":4,"basin_name":{"th":"ลุ่มน้ำชี","en":"Chi Basin Basin"}},"station":{"id":3510,"tele_station_name":{"th":"ลำพะเนียง อ.เมือง"},"tele_station_lat":17.182448,"tele_station_long":102.431941,"tele_station_oldcode":"URTU03","tele_station_type":"tele_waterlevel","left_bank":210.46,"right_bank":210.14,"min_bank":210.14,"ground_level":203.2,"offset":null,"sub_basin_id":88,"agency_id":8,"geocode_id":3154,"hydro_id":null,"qmax":null,"is_key_station":false,"warning_level_m":null,"critical_level_m":null,"critical_level_msl":210.62},"geocode":{"area_code":"4","area_name":{"th":"ภาคตะวันออกเฉียงเหนือ","en":"Northeast"},"amphoe_code":"01","amphoe_name":{"th":"เมืองหนองบัวลำภู","en":"Mueang Nong Bua Lam Phu District"},"tumbon_code":"01","tumbon_name":{"th":"หนองบัว","en":"Nong Bua"},"province_code":"39","province_name":{"th":"หนองบัวลำภู","en":"Nong Bua Lam Phu"}},"diff_wl_bank":"2.39","diff_wl_bank_text":"ต่ำกว่าตลิ่ง (ม.)","river_gid":121755,"river_name":"ลำพะเนียง"}</x:t>
  </x:si>
  <x:si>
    <x:t xml:space="preserve">THAIWATER_WL:1109525</x:t>
  </x:si>
  <x:si>
    <x:t xml:space="preserve">ONE036</x:t>
  </x:si>
  <x:si>
    <x:t xml:space="preserve">สะพานเทพาสันติสุข</x:t>
  </x:si>
  <x:si>
    <x:t xml:space="preserve">คลองเทพา</x:t>
  </x:si>
  <x:si>
    <x:t xml:space="preserve">{"id":1316368210,"waterlevel_datetime":"2026-10-01 15:10","waterlevel_m":null,"waterlevel_msl":"0.37","waterlevel_msl_previous":"0.39","flow_rate":null,"discharge":null,"storage_percent":"65.49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Basin"}},"station":{"id":1109525,"tele_station_name":{"en":"Thepha Santi Suk Bridge","th":"สะพานเทพาสันติสุข"},"tele_station_lat":6.825135,"tele_station_long":100.972626,"tele_station_oldcode":"ONE036","tele_station_type":"tele_waterlevel","left_bank":2.428,"right_bank":3.207,"min_bank":2.43,"ground_level":-3.535,"offset":null,"sub_basin_id":333,"agency_id":9,"geocode_id":7819,"hydro_id":null,"qmax":null,"is_key_station":false,"warning_level_m":null,"critical_level_m":null,"critical_level_msl":null},"geocode":{"area_code":"5","area_name":{"th":"ภาคใต้","en":"South"},"amphoe_code":"05","amphoe_name":{"th":"เทพา","en":"Thepha District"},"tumbon_code":"01","tumbon_name":{"th":"เทพา","en":"Thepha"},"province_code":"90","province_name":{"th":"สงขลา","en":"Songkhla"}},"diff_wl_bank":"2.06","diff_wl_bank_text":"ต่ำกว่าตลิ่ง (ม.)","river_gid":228233,"river_name":"คลองเทพา"}</x:t>
  </x:si>
  <x:si>
    <x:t xml:space="preserve">THAIWATER_WL:1087618</x:t>
  </x:si>
  <x:si>
    <x:t xml:space="preserve">X.273</x:t>
  </x:si>
  <x:si>
    <x:t xml:space="preserve">บ้านปายอยือนิ </x:t>
  </x:si>
  <x:si>
    <x:t xml:space="preserve">{"id":1316344866,"waterlevel_datetime":"2026-10-01 14:00","waterlevel_m":null,"waterlevel_msl":"10.79","waterlevel_msl_previous":"10.80","flow_rate":null,"discharge":null,"storage_percent":"65.39","sort_order":null,"station_type":"tele_waterlevel","situation_level":3,"agency":{"id":12,"agency_name":{"th":"กรมชลประทาน ","en":"Royal Irrigation Department","jp":""},"agency_shortname":{"th":"ชป.","en":"RID","jp":""}},"basin":{"id":26,"basin_code":21,"basin_name":{"th":"ลุ่มน้ำภาคใต้ฝั่งตะวันออกตอนล่าง","en":"Peninsula - Lower East Coast Basin"}},"station":{"id":1087618,"tele_station_name":{"th":"บ้านปายอยือนิ "},"tele_station_lat":6.47977,"tele_station_long":101.44474,"tele_station_oldcode":"X.273","tele_station_type":"tele_waterlevel","left_bank":16.5,"right_bank":16.5,"min_bank":16.5,"ground_level":0,"offset":null,"sub_basin_id":338,"agency_id":12,"geocode_id":8321,"hydro_id":8,"qmax":null,"is_key_station":true,"warning_level_m":null,"critical_level_m":null,"critical_level_msl":null},"geocode":{"area_code":"5","area_name":{"th":"ภาคใต้","en":"South"},"amphoe_code":"06","amphoe_name":{"th":"รามัน","en":"Raman District"},"tumbon_code":"16","tumbon_name":{"th":"ตะโล๊ะหะลอ","en":"Talo Halo"},"province_code":"95","province_name":{"th":"ยะลา","en":"Yala"}},"diff_wl_bank":"5.71","diff_wl_bank_text":"ต่ำกว่าตลิ่ง (ม.)","river_gid":230325,"river_name":"แม่น้ำสายบุรี"}</x:t>
  </x:si>
  <x:si>
    <x:t xml:space="preserve">THAIWATER_WL:2569</x:t>
  </x:si>
  <x:si>
    <x:t xml:space="preserve">B.3A</x:t>
  </x:si>
  <x:si>
    <x:t xml:space="preserve">บ้านสองพี่น้อง</x:t>
  </x:si>
  <x:si>
    <x:t xml:space="preserve">{"id":1316004516,"waterlevel_datetime":"2026-10-01 23:00","waterlevel_m":null,"waterlevel_msl":"43.69","waterlevel_msl_previous":"43.68","flow_rate":null,"discharge":"104.30","storage_percent":"65.17","sort_order":null,"station_type":"tele_waterlevel","situation_level":3,"agency":{"id":12,"agency_name":{"th":"กรมชลประทาน ","en":"Royal Irrigation Department","jp":""},"agency_shortname":{"th":"ชป.","en":"RID","jp":""}},"basin":{"id":20,"basin_code":18,"basin_name":{"th":"ลุ่มน้ำเพชรบุรี-ประจวบคีรีขันธ์","en":"Phetchaburi - Prachuap Khiri Khan Basin"}},"station":{"id":2569,"tele_station_name":{"th":"บ้านสองพี่น้อง"},"tele_station_lat":12.86361,"tele_station_long":99.678497,"tele_station_oldcode":"B.3A","tele_station_type":"tele_waterlevel","left_bank":89.684,"right_bank":89.339,"min_bank":45.4,"ground_level":40.49,"offset":41,"sub_basin_id":300,"agency_id":12,"geocode_id":7109,"hydro_id":7,"qmax":260,"is_key_station":true,"warning_level_m":null,"critical_level_m":null,"critical_level_msl":null},"geocode":{"area_code":"2","area_name":{"th":"ภาคกลาง","en":"Central"},"amphoe_code":"08","amphoe_name":{"th":"แก่งกระจาน","en":"Kaeng Krachan District"},"tumbon_code":"02","tumbon_name":{"th":"สองพี่น้อง","en":"Song Phi Nong"},"province_code":"76","province_name":{"th":"เพชรบุรี","en":"Phetchaburi"}},"diff_wl_bank":"1.71","diff_wl_bank_text":"ต่ำกว่าตลิ่ง (ม.)","river_gid":210026,"river_name":"แม่น้ำเพชรบุรี"}</x:t>
  </x:si>
  <x:si>
    <x:t xml:space="preserve">THAIWATER_WL:1098952</x:t>
  </x:si>
  <x:si>
    <x:t xml:space="preserve">B.18</x:t>
  </x:si>
  <x:si>
    <x:t xml:space="preserve">เขาลูกช้าง</x:t>
  </x:si>
  <x:si>
    <x:t xml:space="preserve">{"id":1316004524,"waterlevel_datetime":"2026-10-01 23:00","waterlevel_m":null,"waterlevel_msl":"25.70","waterlevel_msl_previous":"25.70","flow_rate":null,"discharge":"117.50","storage_percent":"64.70","sort_order":null,"station_type":"tele_waterlevel","situation_level":3,"agency":{"id":12,"agency_name":{"th":"กรมชลประทาน ","en":"Royal Irrigation Department","jp":""},"agency_shortname":{"th":"ชป.","en":"RID","jp":""}},"basin":{"id":20,"basin_code":18,"basin_name":{"th":"ลุ่มน้ำเพชรบุรี-ประจวบคีรีขันธ์","en":"Phetchaburi - Prachuap Khiri Khan Basin"}},"station":{"id":1098952,"tele_station_name":{"th":"เขาลูกช้าง"},"tele_station_lat":12.81337,"tele_station_long":99.794022,"tele_station_oldcode":"B.18","tele_station_type":"tele_waterlevel","left_bank":50.438,"right_bank":52.544,"min_bank":28,"ground_level":21.484,"offset":21,"sub_basin_id":300,"agency_id":12,"geocode_id":7070,"hydro_id":7,"qmax":290,"is_key_station":true,"warning_level_m":null,"critical_level_m":null,"critical_level_msl":null},"geocode":{"area_code":"2","area_name":{"th":"ภาคกลาง","en":"Central"},"amphoe_code":"05","amphoe_name":{"th":"ท่ายาง","en":"Tha Yang District"},"tumbon_code":"06","tumbon_name":{"th":"ท่าไม้รวก","en":"Tha Mai Ruak"},"province_code":"76","province_name":{"th":"เพชรบุรี","en":"Phetchaburi"}},"diff_wl_bank":"2.30","diff_wl_bank_text":"ต่ำกว่าตลิ่ง (ม.)","river_gid":210200,"river_name":"แม่น้ำเพชรบุรี"}</x:t>
  </x:si>
  <x:si>
    <x:t xml:space="preserve">THAIWATER_WL:2654</x:t>
  </x:si>
  <x:si>
    <x:t xml:space="preserve">X.180</x:t>
  </x:si>
  <x:si>
    <x:t xml:space="preserve">สะพานเทศบาล 2</x:t>
  </x:si>
  <x:si>
    <x:t xml:space="preserve">คลองท่าตะเภา</x:t>
  </x:si>
  <x:si>
    <x:t xml:space="preserve">{"id":1316344805,"waterlevel_datetime":"2026-10-01 14:00","waterlevel_m":null,"waterlevel_msl":"0.96","waterlevel_msl_previous":"0.91","flow_rate":null,"discharge":null,"storage_percent":"64.57","sort_order":null,"station_type":"tele_waterlevel","situation_level":3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Basin"}},"station":{"id":2654,"tele_station_name":{"th":"สะพานเทศบาล 2"},"tele_station_lat":10.49706,"tele_station_long":99.17012,"tele_station_oldcode":"X.180","tele_station_type":"tele_waterlevel","left_bank":6.47,"right_bank":7.079,"min_bank":3.5,"ground_level":-3.67,"offset":null,"sub_basin_id":310,"agency_id":12,"geocode_id":7695,"hydro_id":8,"qmax":null,"is_key_station":true,"warning_level_m":null,"critical_level_m":null,"critical_level_msl":null},"geocode":{"area_code":"5","area_name":{"th":"ภาคใต้","en":"South"},"amphoe_code":"01","amphoe_name":{"th":"เมืองชุมพร","en":"Mueang Chumphon District"},"tumbon_code":"01","tumbon_name":{"th":"ท่าตะเภา","en":"Tha Taphao"},"province_code":"86","province_name":{"th":"ชุมพร","en":"Chumphon"}},"diff_wl_bank":"2.54","diff_wl_bank_text":"ต่ำกว่าตลิ่ง (ม.)","river_gid":213233,"river_name":"คลองท่าตะเภา"}</x:t>
  </x:si>
  <x:si>
    <x:t xml:space="preserve">THAIWATER_WL:2820</x:t>
  </x:si>
  <x:si>
    <x:t xml:space="preserve">M.32</x:t>
  </x:si>
  <x:si>
    <x:t xml:space="preserve">บ้านเชียงเพ็ง</x:t>
  </x:si>
  <x:si>
    <x:t xml:space="preserve">{"id":1316340536,"waterlevel_datetime":"2026-10-01 14:00","waterlevel_m":null,"waterlevel_msl":"124.60","waterlevel_msl_previous":"124.60","flow_rate":null,"discharge":"34.00","storage_percent":"64.55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2820,"tele_station_name":{"th":"บ้านเชียงเพ็ง"},"tele_station_lat":15.84008,"tele_station_long":104.455704,"tele_station_oldcode":"M.32","tele_station_type":"tele_waterlevel","left_bank":128.500003,"right_bank":128.500003,"min_bank":128.5,"ground_level":117.5,"offset":120.300003,"sub_basin_id":144,"agency_id":12,"geocode_id":2912,"hydro_id":4,"qmax":675,"is_key_station":true,"warning_level_m":null,"critical_level_m":null,"critical_level_msl":null},"geocode":{"area_code":"4","area_name":{"th":"ภาคตะวันออกเฉียงเหนือ","en":"Northeast"},"amphoe_code":"05","amphoe_name":{"th":"ป่าติ้ว","en":"Pa Tio District"},"tumbon_code":"04","tumbon_name":{"th":"เชียงเพ็ง","en":"Chiang Pheng"},"province_code":"35","province_name":{"th":"ยโสธร","en":"Yasothon"}},"diff_wl_bank":"3.90","diff_wl_bank_text":"ต่ำกว่าตลิ่ง (ม.)","river_gid":138290,"river_name":"ลำเซบาย"}</x:t>
  </x:si>
  <x:si>
    <x:t xml:space="preserve">THAIWATER_WL:479233</x:t>
  </x:si>
  <x:si>
    <x:t xml:space="preserve">TBW025</x:t>
  </x:si>
  <x:si>
    <x:t xml:space="preserve">คลองปาว</x:t>
  </x:si>
  <x:si>
    <x:t xml:space="preserve">ลำปาว</x:t>
  </x:si>
  <x:si>
    <x:t xml:space="preserve">{"id":1316368360,"waterlevel_datetime":"2026-10-01 15:10","waterlevel_m":null,"waterlevel_msl":"130.40","waterlevel_msl_previous":"130.40","flow_rate":null,"discharge":null,"storage_percent":"64.27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Organization)","jp":""},"agency_shortname":{"th":"สสน.","en":"HII","jp":""}},"basin":{"id":4,"basin_code":4,"basin_name":{"th":"ลุ่มน้ำชี","en":"Chi Basin Basin"}},"station":{"id":479233,"tele_station_name":{"en":"Chi 1-1","th":"คลองปาว"},"tele_station_lat":16.259254,"tele_station_long":103.69041,"tele_station_oldcode":"TBW025","tele_station_type":"tele_waterlevel","left_bank":134.124,"right_bank":133.249,"min_bank":133.25,"ground_level":125.276,"offset":null,"sub_basin_id":99,"agency_id":9,"geocode_id":4256,"hydro_id":null,"qmax":null,"is_key_station":false,"warning_level_m":null,"critical_level_m":null,"critical_level_msl":null},"geocode":{"area_code":"4","area_name":{"th":"ภาคตะวันออกเฉียงเหนือ","en":"Northeast"},"amphoe_code":"04","amphoe_name":{"th":"ร่องคำ","en":"Rong Kham District"},"tumbon_code":"03","tumbon_name":{"th":"เหล่าอ้อย","en":"Lao Oi"},"province_code":"46","province_name":{"th":"กาฬสินธุ์","en":"Kalasin"}},"diff_wl_bank":"2.85","diff_wl_bank_text":"ต่ำกว่าตลิ่ง (ม.)","river_gid":132449,"river_name":"ลำปาว"}</x:t>
  </x:si>
  <x:si>
    <x:t xml:space="preserve">THAIWATER_WL:385579</x:t>
  </x:si>
  <x:si>
    <x:t xml:space="preserve">TBW008</x:t>
  </x:si>
  <x:si>
    <x:t xml:space="preserve">ฝ่ายส่งน้ำและบำรุงรักษาที่ 2</x:t>
  </x:si>
  <x:si>
    <x:t xml:space="preserve">น้ำแม่ดู</x:t>
  </x:si>
  <x:si>
    <x:t xml:space="preserve">{"id":1316368353,"waterlevel_datetime":"2026-10-01 15:10","waterlevel_m":null,"waterlevel_msl":"320.98","waterlevel_msl_previous":"320.99","flow_rate":null,"discharge":null,"storage_percent":"64.22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Basin"}},"station":{"id":385579,"tele_station_name":{"en":"Water Transmission and Maintenance 2","th":"ฝ่ายส่งน้ำและบำรุงรักษาที่ 2"},"tele_station_lat":18.88353,"tele_station_long":99.08182,"tele_station_oldcode":"TBW008","tele_station_type":"tele_waterlevel","left_bank":322.227,"right_bank":322.39,"min_bank":322.23,"ground_level":318.75,"offset":null,"sub_basin_id":163,"agency_id":9,"geocode_id":4844,"hydro_id":null,"qmax":null,"is_key_station":false,"warning_level_m":null,"critical_level_m":null,"critical_level_msl":null},"geocode":{"area_code":"3","area_name":{"th":"ภาคเหนือ","en":"North"},"amphoe_code":"14","amphoe_name":{"th":"สันทราย","en":"San Sai District"},"tumbon_code":"11","tumbon_name":{"th":"เมืองเล็น","en":"Mueang Len"},"province_code":"50","province_name":{"th":"เชียงใหม่","en":"Chiang Mai"}},"diff_wl_bank":"1.24","diff_wl_bank_text":"ต่ำกว่าตลิ่ง (ม.)","river_gid":34767,"river_name":"น้ำแม่ดู"}</x:t>
  </x:si>
  <x:si>
    <x:t xml:space="preserve">THAIWATER_WL:2687</x:t>
  </x:si>
  <x:si>
    <x:t xml:space="preserve">Ny.1B</x:t>
  </x:si>
  <x:si>
    <x:t xml:space="preserve">บ้านเขานางบวช</x:t>
  </x:si>
  <x:si>
    <x:t xml:space="preserve">{"id":1316342995,"waterlevel_datetime":"2026-10-01 14:00","waterlevel_m":null,"waterlevel_msl":"6.62","waterlevel_msl_previous":"6.63","flow_rate":null,"discharge":"112.60","storage_percent":"64.16","sort_order":null,"station_type":"tele_waterlevel","situation_level":3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2687,"tele_station_name":{"th":"บ้านเขานางบวช"},"tele_station_lat":14.24582,"tele_station_long":101.274246,"tele_station_oldcode":"Ny.1B","tele_station_type":"tele_waterlevel","left_bank":8.81,"right_bank":8.81,"min_bank":8.81,"ground_level":2.7,"offset":0,"sub_basin_id":282,"agency_id":12,"geocode_id":1566,"hydro_id":6,"qmax":266.899994,"is_key_station":true,"warning_level_m":null,"critical_level_m":null,"critical_level_msl":null},"geocode":{"area_code":"2","area_name":{"th":"ภาคกลาง","en":"Central"},"amphoe_code":"01","amphoe_name":{"th":"เมืองนครนายก","en":"Mueang Nakhon Nayok District"},"tumbon_code":"09","tumbon_name":{"th":"ศรีนาวา","en":"Si Nawa"},"province_code":"26","province_name":{"th":"นครนายก","en":"Nakhon Nayok"}},"diff_wl_bank":"2.19","diff_wl_bank_text":"ต่ำกว่าตลิ่ง (ม.)","river_gid":193672,"river_name":"แม่น้ำนครนายก"}</x:t>
  </x:si>
  <x:si>
    <x:t xml:space="preserve">THAIWATER_WL:670714</x:t>
  </x:si>
  <x:si>
    <x:t xml:space="preserve">FOP015</x:t>
  </x:si>
  <x:si>
    <x:t xml:space="preserve">ลำน้ำกวงสะพานศรีดอนชัย</x:t>
  </x:si>
  <x:si>
    <x:t xml:space="preserve">น้ำแม่กวง</x:t>
  </x:si>
  <x:si>
    <x:t xml:space="preserve">{"id":1316367722,"waterlevel_datetime":"2026-10-01 15:10","waterlevel_m":null,"waterlevel_msl":"292.00","waterlevel_msl_previous":"292.00","flow_rate":null,"discharge":null,"storage_percent":"64.09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Basin"}},"station":{"id":670714,"tele_station_name":{"en":"Si Don Chai Bridge","th":"ลำน้ำกวงสะพานศรีดอนชัย"},"tele_station_lat":18.653353,"tele_station_long":99.06447,"tele_station_oldcode":"FOP015","tele_station_type":"tele_waterlevel","left_bank":294.34,"right_bank":295.832,"min_bank":294.34,"ground_level":287.823,"offset":null,"sub_basin_id":163,"sponsor_by":"มูลนิธิอาสาเพื่อนพึ่ง (ภาฯ) ยามยาก สภากาชาดไทย","agency_id":91,"geocode_id":4973,"hydro_id":null,"qmax":null,"is_key_station":false,"warning_level_m":null,"critical_level_m":null,"critical_level_msl":null},"geocode":{"area_code":"3","area_name":{"th":"ภาคเหนือ","en":"North"},"amphoe_code":"07","amphoe_name":{"th":"บ้านธิ","en":"Ban Thi District"},"tumbon_code":"01","tumbon_name":{"th":"บ้านธิ","en":"Ban Thi"},"province_code":"51","province_name":{"th":"ลำพูน","en":"Lamphun"}},"diff_wl_bank":"2.34","diff_wl_bank_text":"ต่ำกว่าตลิ่ง (ม.)","river_gid":45262,"river_name":"น้ำแม่กวง"}</x:t>
  </x:si>
  <x:si>
    <x:t xml:space="preserve">THAIWATER_WL:1109528</x:t>
  </x:si>
  <x:si>
    <x:t xml:space="preserve">ONE039</x:t>
  </x:si>
  <x:si>
    <x:t xml:space="preserve">สะพานข้ามคลองระโนด</x:t>
  </x:si>
  <x:si>
    <x:t xml:space="preserve">คลองระโนด</x:t>
  </x:si>
  <x:si>
    <x:t xml:space="preserve">{"id":1316368213,"waterlevel_datetime":"2026-10-01 15:10","waterlevel_m":null,"waterlevel_msl":"0.28","waterlevel_msl_previous":"0.29","flow_rate":null,"discharge":null,"storage_percent":"64.03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Basin"}},"station":{"id":1109528,"tele_station_name":{"en":"Khlong Ranot Bridge","th":"สะพานข้ามคลองระโนด"},"tele_station_lat":7.769855,"tele_station_long":100.30203,"tele_station_oldcode":"ONE039","tele_station_type":"tele_waterlevel","left_bank":1.175,"right_bank":1.773,"min_bank":1.18,"ground_level":-1.313,"offset":null,"sub_basin_id":329,"agency_id":9,"geocode_id":7837,"hydro_id":null,"qmax":null,"is_key_station":false,"warning_level_m":null,"critical_level_m":null,"critical_level_msl":null},"geocode":{"area_code":"5","area_name":{"th":"ภาคใต้","en":"South"},"amphoe_code":"07","amphoe_name":{"th":"ระโนด","en":"Ranot District"},"tumbon_code":"01","tumbon_name":{"th":"ระโนด","en":"Ranot"},"province_code":"90","province_name":{"th":"สงขลา","en":"Songkhla"}},"diff_wl_bank":"0.90","diff_wl_bank_text":"ต่ำกว่าตลิ่ง (ม.)","river_gid":223758,"river_name":"คลองระโนด"}</x:t>
  </x:si>
  <x:si>
    <x:t xml:space="preserve">THAIWATER_WL:3059</x:t>
  </x:si>
  <x:si>
    <x:t xml:space="preserve">W.23</x:t>
  </x:si>
  <x:si>
    <x:t xml:space="preserve">บ้านแม่เชียงราย</x:t>
  </x:si>
  <x:si>
    <x:t xml:space="preserve">{"id":1316341555,"waterlevel_datetime":"2026-10-01 14:00","waterlevel_m":null,"waterlevel_msl":"144.94","waterlevel_msl_previous":"144.94","flow_rate":null,"discharge":"191.10","storage_percent":"63.75","sort_order":null,"station_type":"tele_waterlevel","situation_level":3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3059,"tele_station_name":{"th":"บ้านแม่เชียงราย"},"tele_station_lat":17.36661,"tele_station_long":99.113007,"tele_station_oldcode":"W.23","tele_station_type":"tele_waterlevel","left_bank":291.41199300000005,"right_bank":290.792993,"min_bank":147.59,"ground_level":140.28,"offset":141.289993,"sub_basin_id":196,"agency_id":12,"geocode_id":5059,"hydro_id":2,"qmax":475,"is_key_station":false,"warning_level_m":null,"critical_level_m":null,"critical_level_msl":null},"geocode":{"area_code":"3","area_name":{"th":"ภาคเหนือ","en":"North"},"amphoe_code":"09","amphoe_name":{"th":"แม่พริก","en":"Mae Phrik District"},"tumbon_code":"01","tumbon_name":{"th":"แม่พริก","en":"Mae Phrik"},"province_code":"52","province_name":{"th":"ลำปาง","en":"Lampang"}},"diff_wl_bank":"2.65","diff_wl_bank_text":"ต่ำกว่าตลิ่ง (ม.)","river_gid":84272,"river_name":"แม่น้ำวัง"}</x:t>
  </x:si>
  <x:si>
    <x:t xml:space="preserve">THAIWATER_WL:330</x:t>
  </x:si>
  <x:si>
    <x:t xml:space="preserve">CHI005</x:t>
  </x:si>
  <x:si>
    <x:t xml:space="preserve">ชนบท</x:t>
  </x:si>
  <x:si>
    <x:t xml:space="preserve">{"id":1316367964,"waterlevel_datetime":"2026-10-01 15:10","waterlevel_m":null,"waterlevel_msl":"157.16","waterlevel_msl_previous":"157.16","flow_rate":null,"discharge":null,"storage_percent":"63.50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Organization)","jp":""},"agency_shortname":{"th":"สสน.","en":"HII","jp":""}},"basin":{"id":4,"basin_code":4,"basin_name":{"th":"ลุ่มน้ำชี","en":"Chi Basin Basin"}},"station":{"id":330,"tele_station_name":{"en":"Chi 5","th":"ชนบท"},"tele_station_lat":16.09691,"tele_station_long":102.56997,"tele_station_oldcode":"CHI005","tele_station_type":"tele_waterlevel","left_bank":162.379,"right_bank":161.583,"min_bank":161.58,"ground_level":149.464,"offset":null,"sub_basin_id":84,"agency_id":9,"geocode_id":3397,"hydro_id":null,"qmax":null,"is_key_station":false,"warning_level_m":null,"critical_level_m":null,"critical_level_msl":null},"geocode":{"area_code":"4","area_name":{"th":"ภาคตะวันออกเฉียงเหนือ","en":"Northeast"},"amphoe_code":"18","amphoe_name":{"th":"ชนบท","en":"Chonnabot District"},"tumbon_code":"01","tumbon_name":{"th":"ชนบท","en":"Chonnabot"},"province_code":"40","province_name":{"th":"ขอนแก่น","en":"Khon Kaen"}},"diff_wl_bank":"4.42","diff_wl_bank_text":"ต่ำกว่าตลิ่ง (ม.)","river_gid":134835,"river_name":"แม่น้ำชี"}</x:t>
  </x:si>
  <x:si>
    <x:t xml:space="preserve">THAIWATER_WL:3531</x:t>
  </x:si>
  <x:si>
    <x:t xml:space="preserve">PMTS5</x:t>
  </x:si>
  <x:si>
    <x:t xml:space="preserve">แม่น้ำมูล ท้ายแก่งสะพือ (M.11B)</x:t>
  </x:si>
  <x:si>
    <x:t xml:space="preserve">{"id":1316346450,"waterlevel_datetime":"2026-10-01 14:00","waterlevel_m":null,"waterlevel_msl":"105.31","waterlevel_msl_previous":"105.32","flow_rate":null,"discharge":"2495.00","storage_percent":"63.41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Thailand","jp":""},"agency_shortname":{"th":"กฟผ.","en":"EGAT","jp":""}},"basin":{"id":5,"basin_code":5,"basin_name":{"th":"ลุ่มน้ำมูล","en":"Mun Basin"}},"station":{"id":3531,"tele_station_name":{"th":"แม่น้ำมูล ท้ายแก่งสะพือ (M.11B)"},"tele_station_lat":15.23735,"tele_station_long":105.24523,"tele_station_oldcode":"PMTS5","tele_station_type":"tele_waterlevel","left_bank":112.2,"right_bank":112.17,"min_bank":112.17,"ground_level":93.42,"offset":null,"sub_basin_id":151,"agency_id":8,"geocode_id":2778,"hydro_id":null,"qmax":null,"is_key_station":false,"warning_level_m":null,"critical_level_m":null,"critical_level_msl":112.17},"geocode":{"area_code":"4","area_name":{"th":"ภาคตะวันออกเฉียงเหนือ","en":"Northeast"},"amphoe_code":"19","amphoe_name":{"th":"พิบูลมังสาหาร","en":"Phibun Mangsahan District"},"tumbon_code":"02","tumbon_name":{"th":"กุดชมภู","en":"Kut Chomphu"},"province_code":"34","province_name":{"th":"อุบลราชธานี","en":"Ubon Ratchathani"}},"diff_wl_bank":"6.86","diff_wl_bank_text":"ต่ำกว่าตลิ่ง (ม.)","river_gid":146085,"river_name":"แม่น้ำมูล"}</x:t>
  </x:si>
  <x:si>
    <x:t xml:space="preserve">THAIWATER_WL:671</x:t>
  </x:si>
  <x:si>
    <x:t xml:space="preserve">DIV002</x:t>
  </x:si>
  <x:si>
    <x:t xml:space="preserve">คลองผันน้ำยม-น่าน2</x:t>
  </x:si>
  <x:si>
    <x:t xml:space="preserve">คลองเมม</x:t>
  </x:si>
  <x:si>
    <x:t xml:space="preserve">{"id":1316368003,"waterlevel_datetime":"2026-10-01 15:10","waterlevel_m":null,"waterlevel_msl":"41.50","waterlevel_msl_previous":"41.50","flow_rate":null,"discharge":null,"storage_percent":"63.16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671,"tele_station_name":{"en":"Yom-Nan2","th":"คลองผันน้ำยม-น่าน2"},"tele_station_lat":16.95387,"tele_station_long":100.12127,"tele_station_oldcode":"DIV002","tele_station_type":"tele_waterlevel","left_bank":44.452,"right_bank":44.415,"min_bank":44.42,"ground_level":36.502,"offset":null,"sub_basin_id":214,"agency_id":9,"geocode_id":6197,"hydro_id":null,"qmax":null,"is_key_station":false,"warning_level_m":null,"critical_level_m":null,"critical_level_msl":null},"geocode":{"area_code":"3","area_name":{"th":"ภาคเหนือ","en":"North"},"amphoe_code":"06","amphoe_name":{"th":"พรหมพิราม","en":"Phrom Phiram District"},"tumbon_code":"02","tumbon_name":{"th":"ท่าช้าง","en":"Tha Chang"},"province_code":"65","province_name":{"th":"พิษณุโลก","en":"Phitsanulok"}},"diff_wl_bank":"2.91","diff_wl_bank_text":"ต่ำกว่าตลิ่ง (ม.)","river_gid":89835,"river_name":"คลองเมม"}</x:t>
  </x:si>
  <x:si>
    <x:t xml:space="preserve">THAIWATER_WL:1101573</x:t>
  </x:si>
  <x:si>
    <x:t xml:space="preserve">FOP062</x:t>
  </x:si>
  <x:si>
    <x:t xml:space="preserve">บ้านคลองใส หมู่ที่ 8</x:t>
  </x:si>
  <x:si>
    <x:t xml:space="preserve">คลองวาย</x:t>
  </x:si>
  <x:si>
    <x:t xml:space="preserve">{"id":1316367742,"waterlevel_datetime":"2026-10-01 15:10","waterlevel_m":null,"waterlevel_msl":"121.82","waterlevel_msl_previous":"121.83","flow_rate":null,"discharge":null,"storage_percent":"62.91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Foundation","jp":""},"agency_shortname":{"th":"พพภ","en":"FOP","jp":""}},"basin":{"id":22,"basin_code":19,"basin_name":{"th":"ลุ่มน้ำภาคใต้ฝั่งตะวันออกตอนบน","en":"Peninsula - Upper East Coast Basin"}},"station":{"id":1101573,"tele_station_name":{"en":"Ban Khlong Sai 8","th":"บ้านคลองใส หมู่ที่ 8"},"tele_station_lat":9.314687,"tele_station_long":98.889885,"tele_station_oldcode":"FOP062","tele_station_type":"tele_waterlevel","left_bank":123.972,"right_bank":124.198,"min_bank":123.97,"ground_level":118.17,"offset":null,"sub_basin_id":316,"sponsor_by":"มูลนิธิอาสาเพื่อนพึ่ง (ภาฯ) ยามยาก สภากาชาดไทย","agency_id":91,"geocode_id":7656,"hydro_id":null,"qmax":null,"is_key_station":false,"warning_level_m":null,"critical_level_m":null,"critical_level_msl":null},"geocode":{"area_code":"5","area_name":{"th":"ภาคใต้","en":"South"},"amphoe_code":"19","amphoe_name":{"th":"วิภาวดี","en":"Vibhavadi District"},"tumbon_code":"02","tumbon_name":{"th":"ตะกุกเหนือ","en":"Takuk Nuea"},"province_code":"84","province_name":{"th":"สุราษฎร์ธานี","en":"Surat Thani"}},"diff_wl_bank":"2.15","diff_wl_bank_text":"ต่ำกว่าตลิ่ง (ม.)","river_gid":215380,"river_name":"คลองวาย"}</x:t>
  </x:si>
  <x:si>
    <x:t xml:space="preserve">THAIWATER_WL:2648</x:t>
  </x:si>
  <x:si>
    <x:t xml:space="preserve">X.217</x:t>
  </x:si>
  <x:si>
    <x:t xml:space="preserve">บ้านเคียนซา</x:t>
  </x:si>
  <x:si>
    <x:t xml:space="preserve">{"id":1316344820,"waterlevel_datetime":"2026-10-01 14:00","waterlevel_m":null,"waterlevel_msl":"0.91","waterlevel_msl_previous":"0.69","flow_rate":null,"discharge":"127.70","storage_percent":"62.86","sort_order":null,"station_type":"tele_waterlevel","situation_level":3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2648,"tele_station_name":{"th":"บ้านเคียนซา"},"tele_station_lat":8.84753,"tele_station_long":99.19886,"tele_station_oldcode":"X.217","tele_station_type":"tele_waterlevel","left_bank":9.943,"right_bank":9.879,"min_bank":6.1,"ground_level":-7.874,"offset":null,"sub_basin_id":323,"agency_id":12,"geocode_id":7613,"hydro_id":8,"qmax":1400,"is_key_station":true,"warning_level_m":null,"critical_level_m":null,"critical_level_msl":null},"geocode":{"area_code":"5","area_name":{"th":"ภาคใต้","en":"South"},"amphoe_code":"14","amphoe_name":{"th":"เคียนซา","en":"Khian Sa District"},"tumbon_code":"01","tumbon_name":{"th":"เคียนซา","en":"Khian Sa"},"province_code":"84","province_name":{"th":"สุราษฎร์ธานี","en":"Surat Thani"}},"diff_wl_bank":"5.19","diff_wl_bank_text":"ต่ำกว่าตลิ่ง (ม.)","river_gid":217466,"river_name":"แม่น้ำตาปี"}</x:t>
  </x:si>
  <x:si>
    <x:t xml:space="preserve">THAIWATER_WL:1198626</x:t>
  </x:si>
  <x:si>
    <x:t xml:space="preserve">TRD005</x:t>
  </x:si>
  <x:si>
    <x:t xml:space="preserve">คลองประณีต บ.ตลุง</x:t>
  </x:si>
  <x:si>
    <x:t xml:space="preserve">คลองประณีต</x:t>
  </x:si>
  <x:si>
    <x:t xml:space="preserve">{"id":1316368406,"waterlevel_datetime":"2026-10-01 15:10","waterlevel_m":null,"waterlevel_msl":"3.62","waterlevel_msl_previous":"3.62","flow_rate":null,"discharge":null,"storage_percent":"62.74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Organization)","jp":""},"agency_shortname":{"th":"สสน.","en":"HII","jp":""}},"basin":{"id":18,"basin_code":17,"basin_name":{"th":"ลุ่มน้ำชายฝั่งทะเลตะวันออก","en":"East Coast Gulf Basin"}},"station":{"id":1198626,"tele_station_name":{"en":"Khlong Praneat, Talung Village","th":"คลองประณีต บ.ตลุง"},"tele_station_lat":12.511324,"tele_station_long":102.37168,"tele_station_oldcode":"TRD005","tele_station_type":"tele_waterlevel","left_bank":5.986,"right_bank":5.219,"min_bank":5.22,"ground_level":0.928,"offset":null,"sub_basin_id":297,"agency_id":9,"geocode_id":1358,"hydro_id":null,"qmax":null,"is_key_station":false,"warning_level_m":null,"critical_level_m":null,"critical_level_msl":null},"geocode":{"area_code":"2","area_name":{"th":"ภาคกลาง","en":"Central"},"amphoe_code":"03","amphoe_name":{"th":"เขาสมิง","en":"Khao Saming District"},"tumbon_code":"06","tumbon_name":{"th":"ประณีต","en":"Pranit"},"province_code":"23","province_name":{"th":"ตราด","en":"Trat"}},"diff_wl_bank":"1.60","diff_wl_bank_text":"ต่ำกว่าตลิ่ง (ม.)","river_gid":205589,"river_name":"คลองประณีต"}</x:t>
  </x:si>
  <x:si>
    <x:t xml:space="preserve">THAIWATER_WL:841</x:t>
  </x:si>
  <x:si>
    <x:t xml:space="preserve">CMP002</x:t>
  </x:si>
  <x:si>
    <x:t xml:space="preserve">หลังสวน</x:t>
  </x:si>
  <x:si>
    <x:t xml:space="preserve">{"id":1316367986,"waterlevel_datetime":"2026-10-01 15:10","waterlevel_m":null,"waterlevel_msl":"1.23","waterlevel_msl_previous":"1.23","flow_rate":null,"discharge":null,"storage_percent":"62.38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Basin"}},"station":{"id":841,"tele_station_name":{"en":"Luang Suan","th":"หลังสวน"},"tele_station_lat":9.953369,"tele_station_long":99.06444,"tele_station_oldcode":"CMP002","tele_station_type":"tele_waterlevel","left_bank":4.148,"right_bank":7.77,"min_bank":4.15,"ground_level":-3.609,"offset":null,"sub_basin_id":312,"agency_id":9,"geocode_id":7733,"hydro_id":null,"qmax":null,"is_key_station":false,"warning_level_m":null,"critical_level_m":null,"critical_level_msl":null},"geocode":{"area_code":"5","area_name":{"th":"ภาคใต้","en":"South"},"amphoe_code":"04","amphoe_name":{"th":"หลังสวน","en":"Lang Suan District"},"tumbon_code":"02","tumbon_name":{"th":"ขันเงิน","en":"Khan Ngoen"},"province_code":"86","province_name":{"th":"ชุมพร","en":"Chumphon"}},"diff_wl_bank":"2.92","diff_wl_bank_text":"ต่ำกว่าตลิ่ง (ม.)","river_gid":214154,"river_name":"คลองหลังสวน"}</x:t>
  </x:si>
  <x:si>
    <x:t xml:space="preserve">THAIWATER_WL:1098852</x:t>
  </x:si>
  <x:si>
    <x:t xml:space="preserve">M.195</x:t>
  </x:si>
  <x:si>
    <x:t xml:space="preserve">บ้านสัมฤทธิ์</x:t>
  </x:si>
  <x:si>
    <x:t xml:space="preserve">{"id":1316340570,"waterlevel_datetime":"2026-10-01 14:00","waterlevel_m":null,"waterlevel_msl":"155.35","waterlevel_msl_previous":"155.35","flow_rate":null,"discharge":"67.00","storage_percent":"62.33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1098852,"tele_station_name":{"th":"บ้านสัมฤทธิ์"},"tele_station_lat":15.20926,"tele_station_long":102.392952,"tele_station_oldcode":"M.195","tele_station_type":"tele_waterlevel","left_bank":310.843003,"right_bank":310.836003,"min_bank":158.1,"ground_level":150.8,"offset":151.300003,"sub_basin_id":112,"agency_id":12,"geocode_id":1851,"hydro_id":4,"qmax":320,"is_key_station":false,"warning_level_m":null,"critical_level_m":null,"critical_level_msl":null},"geocode":{"area_code":"4","area_name":{"th":"ภาคตะวันออกเฉียงเหนือ","en":"Northeast"},"amphoe_code":"15","amphoe_name":{"th":"พิมาย","en":"Phimai District"},"tumbon_code":"02","tumbon_name":{"th":"สัมฤทธิ์","en":"Samrit"},"province_code":"30","province_name":{"th":"นครราชสีมา","en":"Nakhon Ratchasima"}},"diff_wl_bank":"2.75","diff_wl_bank_text":"ต่ำกว่าตลิ่ง (ม.)","river_gid":146899,"river_name":"แม่น้ำมูล"}</x:t>
  </x:si>
  <x:si>
    <x:t xml:space="preserve">THAIWATER_WL:424</x:t>
  </x:si>
  <x:si>
    <x:t xml:space="preserve">CHM003</x:t>
  </x:si>
  <x:si>
    <x:t xml:space="preserve">แม่อาย</x:t>
  </x:si>
  <x:si>
    <x:t xml:space="preserve">แม่น้ำกก</x:t>
  </x:si>
  <x:si>
    <x:t xml:space="preserve">{"id":1316367974,"waterlevel_datetime":"2026-10-01 15:10","waterlevel_m":null,"waterlevel_msl":"446.04","waterlevel_msl_previous":"446.03","flow_rate":null,"discharge":null,"storage_percent":"62.26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Basin"}},"station":{"id":424,"tele_station_name":{"en":"Chiang Mai 3","th":"แม่อาย"},"tele_station_lat":20.06092,"tele_station_long":99.36204,"tele_station_oldcode":"CHM003","tele_station_type":"tele_waterlevel","left_bank":450.643,"right_bank":449.753,"min_bank":449.75,"ground_level":439.91,"offset":null,"sub_basin_id":26,"agency_id":9,"geocode_id":4795,"hydro_id":null,"qmax":null,"is_key_station":false,"warning_level_m":null,"critical_level_m":null,"critical_level_msl":null},"geocode":{"area_code":"3","area_name":{"th":"ภาคเหนือ","en":"North"},"amphoe_code":"10","amphoe_name":{"th":"แม่อาย","en":"Mae Ai District"},"tumbon_code":"05","tumbon_name":{"th":"ท่าตอน","en":"Tha Ton"},"province_code":"50","province_name":{"th":"เชียงใหม่","en":"Chiang Mai"}},"diff_wl_bank":"3.71","diff_wl_bank_text":"ต่ำกว่าตลิ่ง (ม.)","river_gid":2297,"river_name":"แม่น้ำกก"}</x:t>
  </x:si>
  <x:si>
    <x:t xml:space="preserve">THAIWATER_WL:2828</x:t>
  </x:si>
  <x:si>
    <x:t xml:space="preserve">E.32A</x:t>
  </x:si>
  <x:si>
    <x:t xml:space="preserve">บ้านหนองอ้อ</x:t>
  </x:si>
  <x:si>
    <x:t xml:space="preserve">{"id":1316353901,"waterlevel_datetime":"2026-10-01 14:00","waterlevel_m":null,"waterlevel_msl":"205.21","waterlevel_msl_previous":"205.28","flow_rate":null,"discharge":"116.30","storage_percent":"62.25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2828,"tele_station_name":{"th":"บ้านหนองอ้อ"},"tele_station_lat":15.9074,"tele_station_long":101.708229,"tele_station_oldcode":"E.32A","tele_station_type":"tele_waterlevel","left_bank":210.8,"right_bank":210.8,"min_bank":210,"ground_level":197.31,"offset":198,"sub_basin_id":78,"agency_id":12,"geocode_id":2971,"hydro_id":3,"qmax":500,"is_key_station":false,"warning_level_m":null,"critical_level_m":null,"critical_level_msl":null},"geocode":{"area_code":"4","area_name":{"th":"ภาคตะวันออกเฉียงเหนือ","en":"Northeast"},"amphoe_code":"02","amphoe_name":{"th":"บ้านเขว้า","en":"Ban Khwao District"},"tumbon_code":"04","tumbon_name":{"th":"ชีบน","en":"Chi Bon"},"province_code":"36","province_name":{"th":"ชัยภูมิ","en":"Chaiyaphum"}},"diff_wl_bank":"4.79","diff_wl_bank_text":"ต่ำกว่าตลิ่ง (ม.)","river_gid":137706,"river_name":"แม่น้ำชี"}</x:t>
  </x:si>
  <x:si>
    <x:t xml:space="preserve">THAIWATER_WL:668</x:t>
  </x:si>
  <x:si>
    <x:t xml:space="preserve">VLGE12</x:t>
  </x:si>
  <x:si>
    <x:t xml:space="preserve">สะพานนครป่าหมากร่วมใจ</x:t>
  </x:si>
  <x:si>
    <x:t xml:space="preserve">คลองโกรงเกรง</x:t>
  </x:si>
  <x:si>
    <x:t xml:space="preserve">{"id":1316368411,"waterlevel_datetime":"2026-10-01 15:10","waterlevel_m":null,"waterlevel_msl":"34.63","waterlevel_msl_previous":"34.63","flow_rate":null,"discharge":null,"storage_percent":"62.25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Basin"}},"station":{"id":668,"tele_station_name":{"en":"Nakhon Pa Mak Ruamjai Bridge","th":"สะพานนครป่าหมากร่วมใจ"},"tele_station_lat":16.60887,"tele_station_long":100.36977,"tele_station_oldcode":"VLGE12","tele_station_type":"tele_waterlevel","left_bank":38.828,"right_bank":38.196,"min_bank":38.2,"ground_level":28.755,"offset":null,"sub_basin_id":237,"agency_id":9,"geocode_id":6192,"hydro_id":null,"qmax":null,"is_key_station":false,"warning_level_m":null,"critical_level_m":null,"critical_level_msl":null},"geocode":{"area_code":"3","area_name":{"th":"ภาคเหนือ","en":"North"},"amphoe_code":"05","amphoe_name":{"th":"บางกระทุ่ม","en":"Bang Krathum District"},"tumbon_code":"07","tumbon_name":{"th":"นครป่าหมาก","en":"Nakhon Pa Mak"},"province_code":"65","province_name":{"th":"พิษณุโลก","en":"Phitsanulok"}},"diff_wl_bank":"3.56","diff_wl_bank_text":"ต่ำกว่าตลิ่ง (ม.)","river_gid":94359,"river_name":"คลองโกรงเกรง"}</x:t>
  </x:si>
  <x:si>
    <x:t xml:space="preserve">THAIWATER_WL:2675</x:t>
  </x:si>
  <x:si>
    <x:t xml:space="preserve">Kgt.9</x:t>
  </x:si>
  <x:si>
    <x:t xml:space="preserve">บ้านเขาฉกรรจ์</x:t>
  </x:si>
  <x:si>
    <x:t xml:space="preserve">{"id":1316342998,"waterlevel_datetime":"2026-10-01 14:00","waterlevel_m":null,"waterlevel_msl":"45.57","waterlevel_msl_previous":"45.82","flow_rate":null,"discharge":"188.55","storage_percent":"61.82","sort_order":null,"station_type":"tele_waterlevel","situation_level":3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2675,"tele_station_name":{"th":"บ้านเขาฉกรรจ์"},"tele_station_lat":13.66804,"tele_station_long":102.0756,"tele_station_oldcode":"Kgt.9","tele_station_type":"tele_waterlevel","left_bank":90.21600000000001,"right_bank":90.16499999999999,"min_bank":49.57,"ground_level":39.094,"offset":39.57,"sub_basin_id":277,"agency_id":12,"geocode_id":1659,"hydro_id":6,"qmax":522,"is_key_station":true,"warning_level_m":null,"critical_level_m":null,"critical_level_msl":null},"geocode":{"area_code":"2","area_name":{"th":"ภาคกลาง","en":"Central"},"amphoe_code":"07","amphoe_name":{"th":"เขาฉกรรจ์","en":"Khao Chakan District"},"tumbon_code":"02","tumbon_name":{"th":"หนองหว้า","en":"Nong Wa"},"province_code":"27","province_name":{"th":"สระแก้ว","en":"Sa Kaeo"}},"diff_wl_bank":"4.00","diff_wl_bank_text":"ต่ำกว่าตลิ่ง (ม.)","river_gid":197516,"river_name":"คลองพระสะทึง"}</x:t>
  </x:si>
  <x:si>
    <x:t xml:space="preserve">THAIWATER_WL:83</x:t>
  </x:si>
  <x:si>
    <x:t xml:space="preserve">CPY003</x:t>
  </x:si>
  <x:si>
    <x:t xml:space="preserve">ปตร.มโนรมย์</x:t>
  </x:si>
  <x:si>
    <x:t xml:space="preserve">{"id":1316367989,"waterlevel_datetime":"2026-10-01 15:10","waterlevel_m":null,"waterlevel_msl":"16.36","waterlevel_msl_previous":"16.41","flow_rate":null,"discharge":null,"storage_percent":"61.77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Basin"}},"station":{"id":83,"tele_station_name":{"en":"Chao Phraya 3","th":"ปตร.มโนรมย์"},"tele_station_lat":15.3277,"tele_station_long":100.10913,"tele_station_oldcode":"CPY003","tele_station_type":"tele_waterlevel","left_bank":20.528,"right_bank":19.607,"min_bank":19.61,"ground_level":11.11,"offset":null,"sub_basin_id":240,"agency_id":9,"geocode_id":900,"hydro_id":null,"qmax":null,"is_key_station":false,"warning_level_m":null,"critical_level_m":null,"critical_level_msl":null},"geocode":{"area_code":"2","area_name":{"th":"ภาคกลาง","en":"Central"},"amphoe_code":"02","amphoe_name":{"th":"มโนรมย์","en":"Manorom District"},"tumbon_code":"02","tumbon_name":{"th":"วัดโคก","en":"Wat Khok"},"province_code":"18","province_name":{"th":"ชัยนาท","en":"Chai Nat"}},"diff_wl_bank":"3.25","diff_wl_bank_text":"ต่ำกว่าตลิ่ง (ม.)","river_gid":173551,"river_name":"แม่น้ำเจ้าพระยา"}</x:t>
  </x:si>
  <x:si>
    <x:t xml:space="preserve">THAIWATER_WL:3017</x:t>
  </x:si>
  <x:si>
    <x:t xml:space="preserve">Y.33</x:t>
  </x:si>
  <x:si>
    <x:t xml:space="preserve">บ้านคลองตาล</x:t>
  </x:si>
  <x:si>
    <x:t xml:space="preserve">{"id":1316341566,"waterlevel_datetime":"2026-10-01 14:00","waterlevel_m":null,"waterlevel_msl":"52.21","waterlevel_msl_previous":"52.22","flow_rate":null,"discharge":"263.50","storage_percent":"61.76","sort_order":null,"station_type":"tele_waterlevel","situation_level":3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3017,"tele_station_name":{"th":"บ้านคลองตาล"},"tele_station_lat":17.16888,"tele_station_long":99.860977,"tele_station_oldcode":"Y.33","tele_station_type":"tele_waterlevel","left_bank":102.34100000000001,"right_bank":102.483,"min_bank":56.99,"ground_level":44.49,"offset":45.82,"sub_basin_id":209,"agency_id":12,"geocode_id":6092,"hydro_id":2,"qmax":690,"is_key_station":true,"warning_level_m":null,"critical_level_m":null,"critical_level_msl":null},"geocode":{"area_code":"3","area_name":{"th":"ภาคเหนือ","en":"North"},"amphoe_code":"06","amphoe_name":{"th":"ศรีสำโรง","en":"Si Samrong District"},"tumbon_code":"01","tumbon_name":{"th":"คลองตาล","en":"Khlong Tan"},"province_code":"64","province_name":{"th":"สุโขทัย","en":"Sukhothai"}},"diff_wl_bank":"4.78","diff_wl_bank_text":"ต่ำกว่าตลิ่ง (ม.)","river_gid":87393,"river_name":"แม่น้ำยม"}</x:t>
  </x:si>
  <x:si>
    <x:t xml:space="preserve">THAIWATER_WL:3047</x:t>
  </x:si>
  <x:si>
    <x:t xml:space="preserve">W.24</x:t>
  </x:si>
  <x:si>
    <x:t xml:space="preserve">บ้านท่าไผ่</x:t>
  </x:si>
  <x:si>
    <x:t xml:space="preserve">{"id":1316341557,"waterlevel_datetime":"2026-10-01 14:00","waterlevel_m":null,"waterlevel_msl":"140.83","waterlevel_msl_previous":"140.83","flow_rate":null,"discharge":"180.90","storage_percent":"61.49","sort_order":null,"station_type":"tele_waterlevel","situation_level":3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3047,"tele_station_name":{"th":"บ้านท่าไผ่"},"tele_station_lat":17.32165,"tele_station_long":99.077217,"tele_station_oldcode":"W.24","tele_station_type":"tele_waterlevel","left_bank":280.42999299999997,"right_bank":280.654993,"min_bank":143.93,"ground_level":135.881,"offset":135.429993,"sub_basin_id":196,"agency_id":12,"geocode_id":5990,"hydro_id":2,"qmax":463,"is_key_station":false,"warning_level_m":null,"critical_level_m":null,"critical_level_msl":null},"geocode":{"area_code":"3","area_name":{"th":"ภาคเหนือ","en":"North"},"amphoe_code":"03","amphoe_name":{"th":"สามเงา","en":"Sam Ngao District"},"tumbon_code":"03","tumbon_name":{"th":"ยกกระบัตร","en":"Yok Krabat"},"province_code":"63","province_name":{"th":"ตาก","en":"Tak"}},"diff_wl_bank":"3.10","diff_wl_bank_text":"ต่ำกว่าตลิ่ง (ม.)","river_gid":84897,"river_name":"แม่น้ำวัง"}</x:t>
  </x:si>
  <x:si>
    <x:t xml:space="preserve">THAIWATER_WL:1121243</x:t>
  </x:si>
  <x:si>
    <x:t xml:space="preserve">MOU385</x:t>
  </x:si>
  <x:si>
    <x:t xml:space="preserve">สะพานคลองท่าสะแก</x:t>
  </x:si>
  <x:si>
    <x:t xml:space="preserve">น้ำภาค</x:t>
  </x:si>
  <x:si>
    <x:t xml:space="preserve">{"id":1316367792,"waterlevel_datetime":"2026-10-01 15:10","waterlevel_m":null,"waterlevel_msl":"186.51","waterlevel_msl_previous":"186.51","flow_rate":null,"discharge":null,"storage_percent":"61.48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Basin"}},"station":{"id":1121243,"tele_station_name":{"en":"Tha Sa Kae Bridge","th":"สะพานคลองท่าสะแก"},"tele_station_lat":17.253153,"tele_station_long":100.62827,"tele_station_oldcode":"MOU385","tele_station_type":"tele_waterlevel","left_bank":188.508,"right_bank":188.449,"min_bank":188.45,"ground_level":183.415,"offset":null,"sub_basin_id":234,"sponsor_by":"มูลนิธิอาสาเพื่อนพึ่ง (ภาฯ) ยามยาก สภากาชาดไทย","agency_id":91,"geocode_id":6172,"hydro_id":null,"qmax":null,"is_key_station":false,"warning_level_m":null,"critical_level_m":null,"critical_level_msl":null},"geocode":{"area_code":"3","area_name":{"th":"ภาคเหนือ","en":"North"},"amphoe_code":"03","amphoe_name":{"th":"ชาติตระการ","en":"Chat Trakan District"},"tumbon_code":"06","tumbon_name":{"th":"ท่าสะแก","en":"Tha Sakae"},"province_code":"65","province_name":{"th":"พิษณุโลก","en":"Phitsanulok"}},"diff_wl_bank":"1.94","diff_wl_bank_text":"ต่ำกว่าตลิ่ง (ม.)","river_gid":85663,"river_name":"น้ำภาค"}</x:t>
  </x:si>
  <x:si>
    <x:t xml:space="preserve">THAIWATER_WL:1422369</x:t>
  </x:si>
  <x:si>
    <x:t xml:space="preserve">RPBD09</x:t>
  </x:si>
  <x:si>
    <x:t xml:space="preserve">สะพานท่าผาก อ.พุนพิน จ.สุราษฎร์ธานี</x:t>
  </x:si>
  <x:si>
    <x:t xml:space="preserve">{"id":1316365556,"waterlevel_datetime":"2026-10-01 15:00","waterlevel_m":null,"waterlevel_msl":"1.27","waterlevel_msl_previous":"1.14","flow_rate":null,"discharge":null,"storage_percent":"61.46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Thailand","jp":""},"agency_shortname":{"th":"กฟผ.","en":"EGAT","jp":""}},"basin":{"id":22,"basin_code":19,"basin_name":{"th":"ลุ่มน้ำภาคใต้ฝั่งตะวันออกตอนบน","en":"Peninsula - Upper East Coast Basin"}},"station":{"id":1422369,"tele_station_name":{"th":"สะพานท่าผาก อ.พุนพิน จ.สุราษฎร์ธานี"},"tele_station_lat":9.063301,"tele_station_long":99.093328,"tele_station_oldcode":"RPBD09","tele_station_type":"tele_waterlevel","left_bank":4.2636,"right_bank":5.2064,"min_bank":4.26,"ground_level":-3.49,"offset":null,"sub_basin_id":316,"agency_id":8,"geocode_id":7643,"hydro_id":null,"qmax":null,"is_key_station":false,"warning_level_m":null,"critical_level_m":null,"critical_level_msl":4.26},"geocode":{"area_code":"5","area_name":{"th":"ภาคใต้","en":"South"},"amphoe_code":"17","amphoe_name":{"th":"พุนพิน","en":"Phunphin District"},"tumbon_code":"11","tumbon_name":{"th":"น้ำรอบ","en":"Nam Rop"},"province_code":"84","province_name":{"th":"สุราษฎร์ธานี","en":"Surat Thani"}},"diff_wl_bank":"2.99","diff_wl_bank_text":"ต่ำกว่าตลิ่ง (ม.)"}</x:t>
  </x:si>
  <x:si>
    <x:t xml:space="preserve">THAIWATER_WL:505030</x:t>
  </x:si>
  <x:si>
    <x:t xml:space="preserve">B.15</x:t>
  </x:si>
  <x:si>
    <x:t xml:space="preserve">ข้างจวนผู้ว่าฯ</x:t>
  </x:si>
  <x:si>
    <x:t xml:space="preserve">{"id":1316004520,"waterlevel_datetime":"2026-10-01 23:00","waterlevel_m":null,"waterlevel_msl":"3.01","waterlevel_msl_previous":"3.03","flow_rate":null,"discharge":null,"storage_percent":"61.44","sort_order":null,"station_type":"tele_waterlevel","situation_level":3,"agency":{"id":12,"agency_name":{"th":"กรมชลประทาน ","en":"Royal Irrigation Department","jp":""},"agency_shortname":{"th":"ชป.","en":"RID","jp":""}},"basin":{"id":20,"basin_code":18,"basin_name":{"th":"ลุ่มน้ำเพชรบุรี-ประจวบคีรีขันธ์","en":"Phetchaburi - Prachuap Khiri Khan Basin"}},"station":{"id":505030,"tele_station_name":{"th":"ข้างจวนผู้ว่าฯ"},"tele_station_lat":13.11125,"tele_station_long":99.948219,"tele_station_oldcode":"B.15","tele_station_type":"tele_waterlevel","left_bank":5.994,"right_bank":5.729,"min_bank":5.1,"ground_level":-0.32,"offset":0,"sub_basin_id":302,"agency_id":12,"geocode_id":7015,"hydro_id":7,"qmax":150,"is_key_station":true,"warning_level_m":null,"critical_level_m":5.1,"critical_level_msl":5.1},"geocode":{"area_code":"2","area_name":{"th":"ภาคกลาง","en":"Central"},"amphoe_code":"01","amphoe_name":{"th":"เมืองเพชรบุรี","en":"Mueang Phetchaburi District"},"tumbon_code":"02","tumbon_name":{"th":"คลองกระแชง","en":"Khlong Krachaeng"},"province_code":"76","province_name":{"th":"เพชรบุรี","en":"Phetchaburi"}},"diff_wl_bank":"2.09","diff_wl_bank_text":"ต่ำกว่าตลิ่ง (ม.)","river_gid":209228,"river_name":"แม่น้ำเพชรบุรี"}</x:t>
  </x:si>
  <x:si>
    <x:t xml:space="preserve">THAIWATER_WL:479234</x:t>
  </x:si>
  <x:si>
    <x:t xml:space="preserve">TBW026</x:t>
  </x:si>
  <x:si>
    <x:t xml:space="preserve">ห้วยยัง</x:t>
  </x:si>
  <x:si>
    <x:t xml:space="preserve">ลำพะยัง</x:t>
  </x:si>
  <x:si>
    <x:t xml:space="preserve">{"id":1316368361,"waterlevel_datetime":"2026-10-01 15:10","waterlevel_m":null,"waterlevel_msl":"159.47","waterlevel_msl_previous":"159.47","flow_rate":null,"discharge":null,"storage_percent":"61.41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Organization)","jp":""},"agency_shortname":{"th":"สสน.","en":"HII","jp":""}},"basin":{"id":4,"basin_code":4,"basin_name":{"th":"ลุ่มน้ำชี","en":"Chi Basin Basin"}},"station":{"id":479234,"tele_station_name":{"en":"Chi 11-1","th":"ห้วยยัง"},"tele_station_lat":16.603594,"tele_station_long":103.96229,"tele_station_oldcode":"TBW026","tele_station_type":"tele_waterlevel","left_bank":162.184,"right_bank":162.953,"min_bank":162.18,"ground_level":155.151,"offset":null,"sub_basin_id":101,"agency_id":9,"geocode_id":4347,"hydro_id":null,"qmax":null,"is_key_station":false,"warning_level_m":null,"critical_level_m":null,"critical_level_msl":null},"geocode":{"area_code":"4","area_name":{"th":"ภาคตะวันออกเฉียงเหนือ","en":"Northeast"},"amphoe_code":"14","amphoe_name":{"th":"ห้วยผึ้ง","en":"Huai Phueng District"},"tumbon_code":"02","tumbon_name":{"th":"ไค้นุ่น","en":"Khai Nun"},"province_code":"46","province_name":{"th":"กาฬสินธุ์","en":"Kalasin"}},"diff_wl_bank":"2.71","diff_wl_bank_text":"ต่ำกว่าตลิ่ง (ม.)","river_gid":128879,"river_name":"ลำพะยัง"}</x:t>
  </x:si>
  <x:si>
    <x:t xml:space="preserve">THAIWATER_WL:2729</x:t>
  </x:si>
  <x:si>
    <x:t xml:space="preserve">M.176</x:t>
  </x:si>
  <x:si>
    <x:t xml:space="preserve">บ้านโนนสีไคล</x:t>
  </x:si>
  <x:si>
    <x:t xml:space="preserve">ห้วยขะยุง</x:t>
  </x:si>
  <x:si>
    <x:t xml:space="preserve">{"id":1316340542,"waterlevel_datetime":"2026-10-01 14:00","waterlevel_m":null,"waterlevel_msl":"117.59","waterlevel_msl_previous":"117.65","flow_rate":null,"discharge":"179.60","storage_percent":"61.29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2729,"tele_station_name":{"th":"บ้านโนนสีไคล"},"tele_station_lat":15.00636,"tele_station_long":104.633453,"tele_station_oldcode":"M.176","tele_station_type":"tele_waterlevel","left_bank":234.042997,"right_bank":233.773997,"min_bank":122.2,"ground_level":110.29,"offset":110.199997,"sub_basin_id":141,"agency_id":12,"geocode_id":2549,"hydro_id":4,"qmax":494,"is_key_station":true,"warning_level_m":null,"critical_level_m":null,"critical_level_msl":null},"geocode":{"area_code":"4","area_name":{"th":"ภาคตะวันออกเฉียงเหนือ","en":"Northeast"},"amphoe_code":"13","amphoe_name":{"th":"โนนคูณ","en":"Non Khun District"},"tumbon_code":"02","tumbon_name":{"th":"บก","en":"Bok"},"province_code":"33","province_name":{"th":"ศรีสะเกษ","en":"Si Sa Ket"}},"diff_wl_bank":"4.61","diff_wl_bank_text":"ต่ำกว่าตลิ่ง (ม.)","river_gid":148543,"river_name":"ห้วยขะยุง"}</x:t>
  </x:si>
  <x:si>
    <x:t xml:space="preserve">THAIWATER_WL:740532</x:t>
  </x:si>
  <x:si>
    <x:t xml:space="preserve">AIT002</x:t>
  </x:si>
  <x:si>
    <x:t xml:space="preserve">สะพานลำน้ำเลย</x:t>
  </x:si>
  <x:si>
    <x:t xml:space="preserve">แม่น้ำเลย</x:t>
  </x:si>
  <x:si>
    <x:t xml:space="preserve">{"id":1316367910,"waterlevel_datetime":"2026-10-01 15:10","waterlevel_m":null,"waterlevel_msl":"202.67","waterlevel_msl_previous":"202.67","flow_rate":null,"discharge":null,"storage_percent":"61.11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Basin"}},"station":{"id":740532,"tele_station_name":{"en":"Nam Loei Bridge","th":"สะพานลำน้ำเลย"},"tele_station_lat":17.860956,"tele_station_long":101.61144,"tele_station_oldcode":"AIT002","tele_station_type":"tele_waterlevel","left_bank":209.977,"right_bank":206.62,"min_bank":206.62,"ground_level":196.463,"offset":null,"sub_basin_id":46,"sponsor_by":"สถาบันเทคโนโลยีแห่งเอเชีย","agency_id":9,"geocode_id":3642,"hydro_id":null,"qmax":null,"is_key_station":false,"warning_level_m":null,"critical_level_m":null,"critical_level_msl":null},"geocode":{"area_code":"4","area_name":{"th":"ภาคตะวันออกเฉียงเหนือ","en":"Northeast"},"amphoe_code":"03","amphoe_name":{"th":"เชียงคาน","en":"Chiang Khan District"},"tumbon_code":"01","tumbon_name":{"th":"เชียงคาน","en":"Chiang Khan"},"province_code":"42","province_name":{"th":"เลย","en":"Loei"}},"diff_wl_bank":"3.95","diff_wl_bank_text":"ต่ำกว่าตลิ่ง (ม.)","river_gid":111695,"river_name":"แม่น้ำเลย"}</x:t>
  </x:si>
  <x:si>
    <x:t xml:space="preserve">THAIWATER_WL:1035516</x:t>
  </x:si>
  <x:si>
    <x:t xml:space="preserve">M.188A</x:t>
  </x:si>
  <x:si>
    <x:t xml:space="preserve">บ้านบัว</x:t>
  </x:si>
  <x:si>
    <x:t xml:space="preserve">ลำเชิงไกร</x:t>
  </x:si>
  <x:si>
    <x:t xml:space="preserve">{"id":1316340563,"waterlevel_datetime":"2026-10-01 14:00","waterlevel_m":null,"waterlevel_msl":"161.15","waterlevel_msl_previous":"161.13","flow_rate":null,"discharge":null,"storage_percent":"61.02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1035516,"tele_station_name":{"th":"บ้านบัว"},"tele_station_lat":15.18159,"tele_station_long":102.242737,"tele_station_oldcode":"M.188A","tele_station_type":"tele_waterlevel","left_bank":162.599997,"right_bank":162.599997,"min_bank":162.6,"ground_level":158.88,"offset":157.699997,"sub_basin_id":110,"agency_id":12,"geocode_id":1783,"hydro_id":4,"qmax":70,"is_key_station":false,"warning_level_m":null,"critical_level_m":null,"critical_level_msl":null},"geocode":{"area_code":"4","area_name":{"th":"ภาคตะวันออกเฉียงเหนือ","en":"Northeast"},"amphoe_code":"10","amphoe_name":{"th":"โนนสูง","en":"Non Sung District"},"tumbon_code":"01","tumbon_name":{"th":"โนนสูง","en":"Non Sung"},"province_code":"30","province_name":{"th":"นครราชสีมา","en":"Nakhon Ratchasima"}},"diff_wl_bank":"1.45","diff_wl_bank_text":"ต่ำกว่าตลิ่ง (ม.)","river_gid":147134,"river_name":"ลำเชิงไกร"}</x:t>
  </x:si>
  <x:si>
    <x:t xml:space="preserve">THAIWATER_WL:2664</x:t>
  </x:si>
  <x:si>
    <x:t xml:space="preserve">Z.13</x:t>
  </x:si>
  <x:si>
    <x:t xml:space="preserve">บ้านปึก</x:t>
  </x:si>
  <x:si>
    <x:t xml:space="preserve">{"id":1316343009,"waterlevel_datetime":"2026-10-01 14:00","waterlevel_m":null,"waterlevel_msl":"9.77","waterlevel_msl_previous":"9.80","flow_rate":null,"discharge":"116.80","storage_percent":"60.59","sort_order":null,"station_type":"tele_waterlevel","situation_level":3,"agency":{"id":12,"agency_name":{"th":"กรมชลประทาน ","en":"Royal Irrigation Department","jp":""},"agency_shortname":{"th":"ชป.","en":"RID","jp":""}},"basin":{"id":18,"basin_code":17,"basin_name":{"th":"ลุ่มน้ำชายฝั่งทะเลตะวันออก","en":"East Coast Gulf Basin"}},"station":{"id":2664,"tele_station_name":{"th":"บ้านปึก"},"tele_station_lat":12.76323,"tele_station_long":102.138039,"tele_station_oldcode":"Z.13","tele_station_type":"tele_waterlevel","left_bank":14.780999999999999,"right_bank":14.774000000000001,"min_bank":12.32,"ground_level":5.85,"offset":6.3,"sub_basin_id":296,"agency_id":12,"geocode_id":1296,"hydro_id":6,"qmax":226.399994,"is_key_station":true,"warning_level_m":null,"critical_level_m":null,"critical_level_msl":null},"geocode":{"area_code":"2","area_name":{"th":"ภาคกลาง","en":"Central"},"amphoe_code":"05","amphoe_name":{"th":"มะขาม","en":"Makham District"},"tumbon_code":"04","tumbon_name":{"th":"วังแซ้ม","en":"Wang Saem"},"province_code":"22","province_name":{"th":"จันทบุรี","en":"Chanthaburi"}},"diff_wl_bank":"2.55","diff_wl_bank_text":"ต่ำกว่าตลิ่ง (ม.)","river_gid":203945,"river_name":"คลองจันทบุรี"}</x:t>
  </x:si>
  <x:si>
    <x:t xml:space="preserve">THAIWATER_WL:2561</x:t>
  </x:si>
  <x:si>
    <x:t xml:space="preserve">X.150</x:t>
  </x:si>
  <x:si>
    <x:t xml:space="preserve">บ้านวังพระเคียน</x:t>
  </x:si>
  <x:si>
    <x:t xml:space="preserve">{"id":1316344801,"waterlevel_datetime":"2026-10-01 14:00","waterlevel_m":null,"waterlevel_msl":"9.53","waterlevel_msl_previous":"9.61","flow_rate":null,"discharge":"108.90","storage_percent":"60.50","sort_order":null,"station_type":"tele_waterlevel","situation_level":3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2561,"tele_station_name":{"th":"บ้านวังพระเคียน"},"tele_station_lat":6.94082,"tele_station_long":99.872917,"tele_station_oldcode":"X.150","tele_station_type":"tele_waterlevel","left_bank":15.853,"right_bank":15.81,"min_bank":12.8,"ground_level":4.521,"offset":null,"sub_basin_id":351,"agency_id":12,"geocode_id":7959,"hydro_id":8,"qmax":265,"is_key_station":true,"warning_level_m":null,"critical_level_m":null,"critical_level_msl":null},"geocode":{"area_code":"5","area_name":{"th":"ภาคใต้","en":"South"},"amphoe_code":"07","amphoe_name":{"th":"มะนัง","en":"Manang District"},"tumbon_code":"02","tumbon_name":{"th":"นิคมพัฒนา","en":"Nikhom Phatthana"},"province_code":"91","province_name":{"th":"สตูล","en":"Satun"}},"diff_wl_bank":"3.27","diff_wl_bank_text":"ต่ำกว่าตลิ่ง (ม.)","river_gid":227744,"river_name":"คลองละงู"}</x:t>
  </x:si>
  <x:si>
    <x:t xml:space="preserve">THAIWATER_WL:1422301</x:t>
  </x:si>
  <x:si>
    <x:t xml:space="preserve">BBD08</x:t>
  </x:si>
  <x:si>
    <x:t xml:space="preserve">แม่น้ำปิงที่ อ.คลองขลุง (P.15)</x:t>
  </x:si>
  <x:si>
    <x:t xml:space="preserve">{"id":1316366307,"waterlevel_datetime":"2026-10-01 15:00","waterlevel_m":null,"waterlevel_msl":"55.04","waterlevel_msl_previous":"55.06","flow_rate":null,"discharge":null,"storage_percent":"60.48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Thailand","jp":""},"agency_shortname":{"th":"กฟผ.","en":"EGAT","jp":""}},"basin":{"id":6,"basin_code":6,"basin_name":{"th":"ลุ่มน้ำปิง","en":"Ping Basin"}},"station":{"id":1422301,"tele_station_name":{"th":"แม่น้ำปิงที่ อ.คลองขลุง (P.15)"},"tele_station_lat":16.21715,"tele_station_long":99.720608,"tele_station_oldcode":"BBD08","tele_station_type":"tele_waterlevel","left_bank":58.381,"right_bank":57.898,"min_bank":57.9,"ground_level":50.657,"offset":null,"sub_basin_id":185,"agency_id":8,"geocode_id":5917,"hydro_id":null,"qmax":null,"is_key_station":false,"warning_level_m":null,"critical_level_m":null,"critical_level_msl":57.65},"geocode":{"area_code":"3","area_name":{"th":"ภาคเหนือ","en":"North"},"amphoe_code":"05","amphoe_name":{"th":"คลองขลุง","en":"Khlong Khlung District"},"tumbon_code":"01","tumbon_name":{"th":"คลองขลุง","en":"Khlong Khlung"},"province_code":"62","province_name":{"th":"กำแพงเพชร","en":"Kamphaeng Phet"}},"diff_wl_bank":"2.86","diff_wl_bank_text":"ต่ำกว่าตลิ่ง (ม.)"}</x:t>
  </x:si>
  <x:si>
    <x:t xml:space="preserve">THAIWATER_WL:700587</x:t>
  </x:si>
  <x:si>
    <x:t xml:space="preserve">MKVKD04</x:t>
  </x:si>
  <x:si>
    <x:t xml:space="preserve">บ้านปากแซง (K.58)</x:t>
  </x:si>
  <x:si>
    <x:t xml:space="preserve">{"id":1316366860,"waterlevel_datetime":"2026-10-01 15:00","waterlevel_m":null,"waterlevel_msl":"49.30","waterlevel_msl_previous":"49.43","flow_rate":null,"discharge":"1107.49","storage_percent":"60.22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Basin"}},"station":{"id":700587,"tele_station_name":{"th":"บ้านปากแซง (K.58)"},"tele_station_lat":14.215,"tele_station_long":99.058,"tele_station_oldcode":"MKVKD04","tele_station_type":"tele_waterlevel","left_bank":58.408,"right_bank":57.454,"min_bank":57.45,"ground_level":36.963,"offset":null,"sub_basin_id":273,"agency_id":8,"geocode_id":6598,"hydro_id":null,"qmax":null,"is_key_station":false,"warning_level_m":null,"critical_level_m":null,"critical_level_msl":48.52},"geocode":{"area_code":"2","area_name":{"th":"ภาคกลาง","en":"Central"},"amphoe_code":"02","amphoe_name":{"th":"ไทรโยค","en":"Sai Yok District"},"tumbon_code":"02","tumbon_name":{"th":"ท่าเสา","en":"Tha Sao"},"province_code":"71","province_name":{"th":"กาญจนบุรี","en":"Kanchanaburi"}},"diff_wl_bank":"8.15","diff_wl_bank_text":"ต่ำกว่าตลิ่ง (ม.)","river_gid":183947,"river_name":"แม่น้ำแควน้อย"}</x:t>
  </x:si>
  <x:si>
    <x:t xml:space="preserve">THAIWATER_WL:505029</x:t>
  </x:si>
  <x:si>
    <x:t xml:space="preserve">B.16</x:t>
  </x:si>
  <x:si>
    <x:t xml:space="preserve">สะพานบ้านลาด</x:t>
  </x:si>
  <x:si>
    <x:t xml:space="preserve">{"id":1316004523,"waterlevel_datetime":"2026-10-01 23:00","waterlevel_m":null,"waterlevel_msl":"5.99","waterlevel_msl_previous":"6.01","flow_rate":null,"discharge":"62.74","storage_percent":"60.08","sort_order":null,"station_type":"tele_waterlevel","situation_level":3,"agency":{"id":12,"agency_name":{"th":"กรมชลประทาน ","en":"Royal Irrigation Department","jp":""},"agency_shortname":{"th":"ชป.","en":"RID","jp":""}},"basin":{"id":20,"basin_code":18,"basin_name":{"th":"ลุ่มน้ำเพชรบุรี-ประจวบคีรีขันธ์","en":"Phetchaburi - Prachuap Khiri Khan Basin"}},"station":{"id":505029,"tele_station_name":{"th":"สะพานบ้านลาด"},"tele_station_lat":13.04917,"tele_station_long":99.918549,"tele_station_oldcode":"B.16","tele_station_type":"tele_waterlevel","left_bank":10.951,"right_bank":11.563,"min_bank":8.9,"ground_level":1.61,"offset":2,"sub_basin_id":302,"agency_id":12,"geocode_id":7078,"hydro_id":7,"qmax":185,"is_key_station":true,"warning_level_m":null,"critical_level_m":null,"critical_level_msl":null},"geocode":{"area_code":"2","area_name":{"th":"ภาคกลาง","en":"Central"},"amphoe_code":"06","amphoe_name":{"th":"บ้านลาด","en":"Ban Lat District"},"tumbon_code":"01","tumbon_name":{"th":"บ้านลาด","en":"Ban Lat"},"province_code":"76","province_name":{"th":"เพชรบุรี","en":"Phetchaburi"}},"diff_wl_bank":"2.91","diff_wl_bank_text":"ต่ำกว่าตลิ่ง (ม.)","river_gid":209477,"river_name":"แม่น้ำเพชรบุรี"}</x:t>
  </x:si>
  <x:si>
    <x:t xml:space="preserve">THAIWATER_WL:1198297</x:t>
  </x:si>
  <x:si>
    <x:t xml:space="preserve">PIN007</x:t>
  </x:si>
  <x:si>
    <x:t xml:space="preserve">สะพานแม่น้ำทา</x:t>
  </x:si>
  <x:si>
    <x:t xml:space="preserve">น้ำแม่ทา</x:t>
  </x:si>
  <x:si>
    <x:t xml:space="preserve">{"id":1316368239,"waterlevel_datetime":"2026-10-01 15:10","waterlevel_m":null,"waterlevel_msl":"440.04","waterlevel_msl_previous":"440.03","flow_rate":null,"discharge":null,"storage_percent":"60.06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Basin"}},"station":{"id":1198297,"tele_station_name":{"en":"Tha River Bridge","th":"สะพานแม่น้ำทา"},"tele_station_lat":18.546852,"tele_station_long":99.25007,"tele_station_oldcode":"PIN007","tele_station_type":"tele_waterlevel","left_bank":441.703,"right_bank":441.5951,"min_bank":441.6,"ground_level":437.7019,"offset":null,"sub_basin_id":163,"agency_id":9,"geocode_id":4937,"hydro_id":null,"qmax":null,"is_key_station":false,"warning_level_m":null,"critical_level_m":null,"critical_level_msl":null},"geocode":{"area_code":"3","area_name":{"th":"ภาคเหนือ","en":"North"},"amphoe_code":"02","amphoe_name":{"th":"แม่ทา","en":"Mae Tha District"},"tumbon_code":"01","tumbon_name":{"th":"ทาปลาดุก","en":"Tha Pla Duk"},"province_code":"51","province_name":{"th":"ลำพูน","en":"Lamphun"}},"diff_wl_bank":"1.56","diff_wl_bank_text":"ต่ำกว่าตลิ่ง (ม.)","river_gid":49809,"river_name":"น้ำแม่ทา"}</x:t>
  </x:si>
  <x:si>
    <x:t xml:space="preserve">THAIWATER_WL:138</x:t>
  </x:si>
  <x:si>
    <x:t xml:space="preserve">TRD002</x:t>
  </x:si>
  <x:si>
    <x:t xml:space="preserve">ห้วยแร้ง</x:t>
  </x:si>
  <x:si>
    <x:t xml:space="preserve">คลองห้วยแร้ง</x:t>
  </x:si>
  <x:si>
    <x:t xml:space="preserve">{"id":1316368403,"waterlevel_datetime":"2026-10-01 15:10","waterlevel_m":null,"waterlevel_msl":"0.40","waterlevel_msl_previous":"0.40","flow_rate":null,"discharge":null,"storage_percent":"59.86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Organization)","jp":""},"agency_shortname":{"th":"สสน.","en":"HII","jp":""}},"basin":{"id":18,"basin_code":17,"basin_name":{"th":"ลุ่มน้ำชายฝั่งทะเลตะวันออก","en":"East Coast Gulf Basin"}},"station":{"id":138,"tele_station_name":{"en":"Trat 2","th":"ห้วยแร้ง"},"tele_station_lat":12.369261,"tele_station_long":102.54332,"tele_station_oldcode":"TRD002","tele_station_type":"tele_waterlevel","left_bank":3.558,"right_bank":11.076,"min_bank":3.56,"ground_level":-4.31,"offset":null,"sub_basin_id":298,"agency_id":9,"geocode_id":1341,"hydro_id":null,"qmax":null,"is_key_station":false,"warning_level_m":null,"critical_level_m":null,"critical_level_msl":null},"geocode":{"area_code":"2","area_name":{"th":"ภาคกลาง","en":"Central"},"amphoe_code":"01","amphoe_name":{"th":"เมืองตราด","en":"Mueang Trat District"},"tumbon_code":"08","tumbon_name":{"th":"ห้วยแร้ง","en":"Huai Raeng"},"province_code":"23","province_name":{"th":"ตราด","en":"Trat"}},"diff_wl_bank":"3.16","diff_wl_bank_text":"ต่ำกว่าตลิ่ง (ม.)","river_gid":206693,"river_name":"คลองห้วยแร้ง"}</x:t>
  </x:si>
  <x:si>
    <x:t xml:space="preserve">THAIWATER_WL:12474</x:t>
  </x:si>
  <x:si>
    <x:t xml:space="preserve">STU003</x:t>
  </x:si>
  <x:si>
    <x:t xml:space="preserve">มะนัง</x:t>
  </x:si>
  <x:si>
    <x:t xml:space="preserve">{"id":1316368334,"waterlevel_datetime":"2026-10-01 15:10","waterlevel_m":null,"waterlevel_msl":"9.34","waterlevel_msl_previous":"9.35","flow_rate":null,"discharge":null,"storage_percent":"59.45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12474,"tele_station_name":{"en":"Manang","th":"มะนัง"},"tele_station_lat":6.940811,"tele_station_long":99.872925,"tele_station_oldcode":"STU003","tele_station_type":"tele_waterlevel","left_bank":12.884,"right_bank":13.184,"min_bank":12.88,"ground_level":4.144,"offset":null,"sub_basin_id":351,"agency_id":9,"geocode_id":7959,"hydro_id":null,"qmax":null,"is_key_station":false,"warning_level_m":null,"critical_level_m":null,"critical_level_msl":null},"geocode":{"area_code":"5","area_name":{"th":"ภาคใต้","en":"South"},"amphoe_code":"07","amphoe_name":{"th":"มะนัง","en":"Manang District"},"tumbon_code":"02","tumbon_name":{"th":"นิคมพัฒนา","en":"Nikhom Phatthana"},"province_code":"91","province_name":{"th":"สตูล","en":"Satun"}},"diff_wl_bank":"3.54","diff_wl_bank_text":"ต่ำกว่าตลิ่ง (ม.)","river_gid":227744,"river_name":"คลองละงู"}</x:t>
  </x:si>
  <x:si>
    <x:t xml:space="preserve">THAIWATER_WL:2739</x:t>
  </x:si>
  <x:si>
    <x:t xml:space="preserve">M.182</x:t>
  </x:si>
  <x:si>
    <x:t xml:space="preserve">บ้านสีถาน</x:t>
  </x:si>
  <x:si>
    <x:t xml:space="preserve">{"id":1316340560,"waterlevel_datetime":"2026-10-01 14:00","waterlevel_m":null,"waterlevel_msl":"112.70","waterlevel_msl_previous":"112.72","flow_rate":null,"discharge":"436.00","storage_percent":"59.41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2739,"tele_station_name":{"th":"บ้านสีถาน"},"tele_station_lat":15.13208,"tele_station_long":104.488403,"tele_station_oldcode":"M.182","tele_station_type":"tele_waterlevel","left_bank":226.04399999999998,"right_bank":226.11700000000002,"min_bank":117.1,"ground_level":106.26,"offset":106.5,"sub_basin_id":138,"agency_id":12,"geocode_id":2423,"hydro_id":4,"qmax":1570,"is_key_station":true,"warning_level_m":null,"critical_level_m":null,"critical_level_msl":null},"geocode":{"area_code":"4","area_name":{"th":"ภาคตะวันออกเฉียงเหนือ","en":"Northeast"},"amphoe_code":"03","amphoe_name":{"th":"กันทรารมย์","en":"Kanthararom District"},"tumbon_code":"12","tumbon_name":{"th":"หนองบัว","en":"Nong Bua"},"province_code":"33","province_name":{"th":"ศรีสะเกษ","en":"Si Sa Ket"}},"diff_wl_bank":"4.40","diff_wl_bank_text":"ต่ำกว่าตลิ่ง (ม.)","river_gid":147234,"river_name":"แม่น้ำมูล"}</x:t>
  </x:si>
  <x:si>
    <x:t xml:space="preserve">THAIWATER_WL:296</x:t>
  </x:si>
  <x:si>
    <x:t xml:space="preserve">CHI003</x:t>
  </x:si>
  <x:si>
    <x:t xml:space="preserve">เมืองชัยภูมิ</x:t>
  </x:si>
  <x:si>
    <x:t xml:space="preserve">{"id":1316367963,"waterlevel_datetime":"2026-10-01 15:10","waterlevel_m":null,"waterlevel_msl":"182.06","waterlevel_msl_previous":"182.06","flow_rate":null,"discharge":null,"storage_percent":"59.30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Organization)","jp":""},"agency_shortname":{"th":"สสน.","en":"HII","jp":""}},"basin":{"id":4,"basin_code":4,"basin_name":{"th":"ลุ่มน้ำชี","en":"Chi Basin Basin"}},"station":{"id":296,"tele_station_name":{"en":"Chi 3","th":"เมืองชัยภูมิ"},"tele_station_lat":15.68157,"tele_station_long":102.0095,"tele_station_oldcode":"CHI003","tele_station_type":"tele_waterlevel","left_bank":185.725,"right_bank":185.524,"min_bank":185.52,"ground_level":177.016,"offset":null,"sub_basin_id":82,"agency_id":9,"geocode_id":2953,"hydro_id":null,"qmax":null,"is_key_station":false,"warning_level_m":null,"critical_level_m":null,"critical_level_msl":null},"geocode":{"area_code":"4","area_name":{"th":"ภาคตะวันออกเฉียงเหนือ","en":"Northeast"},"amphoe_code":"01","amphoe_name":{"th":"เมืองชัยภูมิ","en":"Mueang Chaiyaphum District"},"tumbon_code":"05","tumbon_name":{"th":"บ้านค่าย","en":"Ban Khai"},"province_code":"36","province_name":{"th":"ชัยภูมิ","en":"Chaiyaphum"}},"diff_wl_bank":"3.46","diff_wl_bank_text":"ต่ำกว่าตลิ่ง (ม.)","river_gid":141760,"river_name":"แม่น้ำชี"}</x:t>
  </x:si>
  <x:si>
    <x:t xml:space="preserve">THAIWATER_WL:1373278</x:t>
  </x:si>
  <x:si>
    <x:t xml:space="preserve">HDA012</x:t>
  </x:si>
  <x:si>
    <x:t xml:space="preserve">สะพานแมน้ำปาสัก บ้านนาโฉง</x:t>
  </x:si>
  <x:si>
    <x:t xml:space="preserve">{"id":1316368052,"waterlevel_datetime":"2026-10-01 15:10","waterlevel_m":null,"waterlevel_msl":"7.66","waterlevel_msl_previous":"7.64","flow_rate":null,"discharge":"323.32","storage_percent":"59.27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Organization)","jp":""},"agency_shortname":{"th":"สสน.","en":"HII","jp":""}},"basin":{"id":13,"basin_code":12,"basin_name":{"th":"ลุ่มน้ำป่าสัก","en":"Pasak Basin"}},"station":{"id":1373278,"tele_station_name":{"en":"Managen Nam Nam Bridge, Ban Na Chong","th":"สะพานแมน้ำปาสัก บ้านนาโฉง"},"tele_station_lat":14.546983,"tele_station_long":100.88976,"tele_station_oldcode":"HDA012","tele_station_type":"tele_waterlevel","left_bank":11.422,"right_bank":11.843,"min_bank":11.42,"ground_level":2.185,"offset":null,"sub_basin_id":257,"agency_id":9,"geocode_id":951,"hydro_id":null,"qmax":null,"is_key_station":false,"warning_level_m":null,"critical_level_m":null,"critical_level_msl":null},"geocode":{"area_code":"2","area_name":{"th":"ภาคกลาง","en":"Central"},"amphoe_code":"01","amphoe_name":{"th":"เมืองสระบุรี","en":"Mueang Saraburi District"},"tumbon_code":"01","tumbon_name":{"th":"ปากเพรียว","en":"Pak Phriao"},"province_code":"19","province_name":{"th":"สระบุรี","en":"Saraburi"}},"diff_wl_bank":"3.76","diff_wl_bank_text":"ต่ำกว่าตลิ่ง (ม.)"}</x:t>
  </x:si>
  <x:si>
    <x:t xml:space="preserve">THAIWATER_WL:2623</x:t>
  </x:si>
  <x:si>
    <x:t xml:space="preserve">S.32</x:t>
  </x:si>
  <x:si>
    <x:t xml:space="preserve">สถานีแพดับเพลิง</x:t>
  </x:si>
  <x:si>
    <x:t xml:space="preserve">{"id":1316341279,"waterlevel_datetime":"2026-10-01 14:00","waterlevel_m":null,"waterlevel_msl":"8.13","waterlevel_msl_previous":"8.15","flow_rate":null,"discharge":"232.00","storage_percent":"59.18","sort_order":null,"station_type":"tele_waterlevel","situation_level":3,"agency":{"id":12,"agency_name":{"th":"กรมชลประทาน ","en":"Royal Irrigation Department","jp":""},"agency_shortname":{"th":"ชป.","en":"RID","jp":""}},"basin":{"id":13,"basin_code":12,"basin_name":{"th":"ลุ่มน้ำป่าสัก","en":"Pasak Basin"}},"station":{"id":2623,"tele_station_name":{"th":"สถานีแพดับเพลิง"},"tele_station_lat":14.55752,"tele_station_long":100.924217,"tele_station_oldcode":"S.32","tele_station_type":"tele_waterlevel","left_bank":17.093,"right_bank":17.109,"min_bank":12.8,"ground_level":1.36,"offset":null,"sub_basin_id":257,"agency_id":12,"geocode_id":961,"hydro_id":5,"qmax":844,"is_key_station":false,"warning_level_m":null,"critical_level_m":null,"critical_level_msl":null},"geocode":{"area_code":"2","area_name":{"th":"ภาคกลาง","en":"Central"},"amphoe_code":"01","amphoe_name":{"th":"เมืองสระบุรี","en":"Mueang Saraburi District"},"tumbon_code":"14","tumbon_name":{"th":"ตะกุด","en":"Takut"},"province_code":"19","province_name":{"th":"สระบุรี","en":"Saraburi"}},"diff_wl_bank":"4.67","diff_wl_bank_text":"ต่ำกว่าตลิ่ง (ม.)","river_gid":181061,"river_name":"แม่น้ำป่าสัก"}</x:t>
  </x:si>
  <x:si>
    <x:t xml:space="preserve">THAIWATER_WL:1109529</x:t>
  </x:si>
  <x:si>
    <x:t xml:space="preserve">ONE040</x:t>
  </x:si>
  <x:si>
    <x:t xml:space="preserve">สะพานข้ามแม่น้ำยมสายเก่า-ตำบลไกรใน</x:t>
  </x:si>
  <x:si>
    <x:t xml:space="preserve">คลองวังทอง</x:t>
  </x:si>
  <x:si>
    <x:t xml:space="preserve">{"id":1316368214,"waterlevel_datetime":"2026-10-01 15:10","waterlevel_m":null,"waterlevel_msl":"44.32","waterlevel_msl_previous":"44.32","flow_rate":null,"discharge":null,"storage_percent":"58.64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Basin"}},"station":{"id":1109529,"tele_station_name":{"en":"Yom Sai Kao - Tambon Krai Nai Bridge","th":"สะพานข้ามแม่น้ำยมสายเก่า-ตำบลไกรใน"},"tele_station_lat":17.074213,"tele_station_long":100.00566,"tele_station_oldcode":"ONE040","tele_station_type":"tele_waterlevel","left_bank":47.601,"right_bank":47.918,"min_bank":47.6,"ground_level":39.669,"offset":null,"sub_basin_id":214,"agency_id":9,"geocode_id":6072,"hydro_id":null,"qmax":null,"is_key_station":false,"warning_level_m":null,"critical_level_m":null,"critical_level_msl":null},"geocode":{"area_code":"3","area_name":{"th":"ภาคเหนือ","en":"North"},"amphoe_code":"04","amphoe_name":{"th":"กงไกรลาศ","en":"Kong Krailat District"},"tumbon_code":"05","tumbon_name":{"th":"ไกรใน","en":"Krai Nai"},"province_code":"64","province_name":{"th":"สุโขทัย","en":"Sukhothai"}},"diff_wl_bank":"3.28","diff_wl_bank_text":"ต่ำกว่าตลิ่ง (ม.)","river_gid":88370,"river_name":"คลองวังทอง"}</x:t>
  </x:si>
  <x:si>
    <x:t xml:space="preserve">THAIWATER_WL:794</x:t>
  </x:si>
  <x:si>
    <x:t xml:space="preserve">NPI001</x:t>
  </x:si>
  <x:si>
    <x:t xml:space="preserve">ท่าศาลา</x:t>
  </x:si>
  <x:si>
    <x:t xml:space="preserve">คลองกลาย</x:t>
  </x:si>
  <x:si>
    <x:t xml:space="preserve">{"id":1316368178,"waterlevel_datetime":"2026-10-01 15:10","waterlevel_m":null,"waterlevel_msl":"0.59","waterlevel_msl_previous":"0.62","flow_rate":null,"discharge":null,"storage_percent":"58.56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Basin"}},"station":{"id":794,"tele_station_name":{"en":"Nop Phi Tam 1","th":"ท่าศาลา"},"tele_station_lat":8.786868,"tele_station_long":99.911316,"tele_station_oldcode":"NPI001","tele_station_type":"tele_waterlevel","left_bank":6.333,"right_bank":3.537,"min_bank":3.54,"ground_level":-3.574,"offset":null,"sub_basin_id":326,"agency_id":9,"geocode_id":7247,"hydro_id":null,"qmax":null,"is_key_station":false,"warning_level_m":null,"critical_level_m":null,"critical_level_msl":null},"geocode":{"area_code":"5","area_name":{"th":"ภาคใต้","en":"South"},"amphoe_code":"08","amphoe_name":{"th":"ท่าศาลา","en":"Tha Sala District"},"tumbon_code":"06","tumbon_name":{"th":"สระแก้ว","en":"Sa Kaeo"},"province_code":"80","province_name":{"th":"นครศรีธรรมราช","en":"Nakhon Si Thammarat"}},"diff_wl_bank":"2.95","diff_wl_bank_text":"ต่ำกว่าตลิ่ง (ม.)","river_gid":217856,"river_name":"คลองกลาย"}</x:t>
  </x:si>
  <x:si>
    <x:t xml:space="preserve">THAIWATER_WL:858</x:t>
  </x:si>
  <x:si>
    <x:t xml:space="preserve">SLA007</x:t>
  </x:si>
  <x:si>
    <x:t xml:space="preserve">บางกล่ำ</x:t>
  </x:si>
  <x:si>
    <x:t xml:space="preserve">คลองบางกล่ำ</x:t>
  </x:si>
  <x:si>
    <x:t xml:space="preserve">{"id":1316368331,"waterlevel_datetime":"2026-10-01 15:10","waterlevel_m":null,"waterlevel_msl":"0.21","waterlevel_msl_previous":"0.21","flow_rate":null,"discharge":null,"storage_percent":"58.51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Basin"}},"station":{"id":858,"tele_station_name":{"en":"Songkhla 7","th":"บางกล่ำ"},"tele_station_lat":7.079418,"tele_station_long":100.42788,"tele_station_oldcode":"SLA007","tele_station_type":"tele_waterlevel","left_bank":1.592,"right_bank":2.71,"min_bank":1.59,"ground_level":-1.739,"offset":null,"sub_basin_id":330,"agency_id":9,"geocode_id":7896,"hydro_id":null,"qmax":null,"is_key_station":false,"warning_level_m":null,"critical_level_m":null,"critical_level_msl":null},"geocode":{"area_code":"5","area_name":{"th":"ภาคใต้","en":"South"},"amphoe_code":"14","amphoe_name":{"th":"บางกล่ำ","en":"Bang Klam District"},"tumbon_code":"02","tumbon_name":{"th":"ท่าช้าง","en":"Tha Chang"},"province_code":"90","province_name":{"th":"สงขลา","en":"Songkhla"}},"diff_wl_bank":"1.38","diff_wl_bank_text":"ต่ำกว่าตลิ่ง (ม.)","river_gid":227168,"river_name":"คลองบางกล่ำ"}</x:t>
  </x:si>
  <x:si>
    <x:t xml:space="preserve">THAIWATER_WL:1483127</x:t>
  </x:si>
  <x:si>
    <x:t xml:space="preserve">MOU384</x:t>
  </x:si>
  <x:si>
    <x:t xml:space="preserve">สะพานพระร่วงข้ามน้ำแควน้อย</x:t>
  </x:si>
  <x:si>
    <x:t xml:space="preserve">{"id":1316367791,"waterlevel_datetime":"2026-10-01 15:10","waterlevel_m":null,"waterlevel_msl":"183.71","waterlevel_msl_previous":"183.71","flow_rate":null,"discharge":null,"storage_percent":"58.30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Basin"}},"station":{"id":1483127,"tele_station_name":{"en":"Phra Ruang Bridge across the Kwai Noi","th":"สะพานพระร่วงข้ามน้ำแควน้อย"},"tele_station_lat":17.185375,"tele_station_long":100.68031,"tele_station_oldcode":"MOU384","tele_station_type":"tele_waterlevel","left_bank":190.832,"right_bank":191.375,"min_bank":190.83,"ground_level":173.753,"offset":null,"sub_basin_id":233,"sponsor_by":"บริษัท ไทยเบฟเวอเรจ จำกัด (มหาชน) ","agency_id":91,"geocode_id":6156,"hydro_id":null,"qmax":null,"is_key_station":false,"warning_level_m":null,"critical_level_m":null,"critical_level_msl":null},"geocode":{"area_code":"3","area_name":{"th":"ภาคเหนือ","en":"North"},"amphoe_code":"02","amphoe_name":{"th":"นครไทย","en":"Nakhon Thai District"},"tumbon_code":"02","tumbon_name":{"th":"หนองกะท้าว","en":"Nong Kathao"},"province_code":"65","province_name":{"th":"พิษณุโลก","en":"Phitsanulok"}},"diff_wl_bank":"7.12","diff_wl_bank_text":"ต่ำกว่าตลิ่ง (ม.)"}</x:t>
  </x:si>
  <x:si>
    <x:t xml:space="preserve">THAIWATER_WL:852087</x:t>
  </x:si>
  <x:si>
    <x:t xml:space="preserve">AIT001</x:t>
  </x:si>
  <x:si>
    <x:t xml:space="preserve">อโศก</x:t>
  </x:si>
  <x:si>
    <x:t xml:space="preserve">คลองแสนแสบ</x:t>
  </x:si>
  <x:si>
    <x:t xml:space="preserve">{"id":1316367909,"waterlevel_datetime":"2026-10-01 15:10","waterlevel_m":null,"waterlevel_msl":"1.60","waterlevel_msl_previous":"1.66","flow_rate":null,"discharge":null,"storage_percent":"58.20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852087,"tele_station_name":{"en":"Asok","th":"อโศก"},"tele_station_lat":13.74325,"tele_station_long":100.562164,"tele_station_oldcode":"AIT001","tele_station_type":"tele_waterlevel","left_bank":2.39,"right_bank":2.39,"min_bank":2.39,"ground_level":0.5,"offset":null,"sub_basin_id":240,"agency_id":9,"geocode_id":173,"hydro_id":null,"qmax":null,"is_key_station":false,"warning_level_m":null,"critical_level_m":null,"critical_level_msl":null},"geocode":{"area_code":"1","area_name":{"th":"กรุงเทพมหานคร","en":"Bangkok"},"amphoe_code":"39","amphoe_name":{"th":"วัฒนา","en":"Vadhana District"},"tumbon_code":"01","tumbon_name":{"th":"คลองเตยเหนือ","en":"Khlong Toei Nuea"},"province_code":"10","province_name":{"th":"กรุงเทพมหานคร","en":"Bangkok"}},"diff_wl_bank":"0.79","diff_wl_bank_text":"ต่ำกว่าตลิ่ง (ม.)","river_gid":187330,"river_name":"คลองแสนแสบ"}</x:t>
  </x:si>
  <x:si>
    <x:t xml:space="preserve">THAIWATER_WL:2585</x:t>
  </x:si>
  <x:si>
    <x:t xml:space="preserve">X.173A</x:t>
  </x:si>
  <x:si>
    <x:t xml:space="preserve">บ้านม่วงก็อง</x:t>
  </x:si>
  <x:si>
    <x:t xml:space="preserve">{"id":1316344757,"waterlevel_datetime":"2026-10-01 14:00","waterlevel_m":null,"waterlevel_msl":"10.93","waterlevel_msl_previous":"10.82","flow_rate":null,"discharge":"19.95","storage_percent":"58.00","sort_order":null,"station_type":"tele_waterlevel","situation_level":3,"agency":{"id":12,"agency_name":{"th":"กรมชลประทาน ","en":"Royal Irrigation Department","jp":""},"agency_shortname":{"th":"ชป.","en":"RID","jp":""}},"basin":{"id":24,"basin_code":20,"basin_name":{"th":"ลุ่มน้ำทะเลสาบสงขลา","en":"Thale Sap Songkhla Basin"}},"station":{"id":2585,"tele_station_name":{"th":"บ้านม่วงก็อง"},"tele_station_lat":6.79663,"tele_station_long":100.442337,"tele_station_oldcode":"X.173A","tele_station_type":"tele_waterlevel","left_bank":16.955,"right_bank":16.944,"min_bank":16.13,"ground_level":3.748,"offset":null,"sub_basin_id":330,"agency_id":12,"geocode_id":7863,"hydro_id":8,"qmax":272.899994,"is_key_station":true,"warning_level_m":null,"critical_level_m":null,"critical_level_msl":null},"geocode":{"area_code":"5","area_name":{"th":"ภาคใต้","en":"South"},"amphoe_code":"10","amphoe_name":{"th":"สะเดา","en":"Sadao District"},"tumbon_code":"03","tumbon_name":{"th":"พังลา","en":"Phang La"},"province_code":"90","province_name":{"th":"สงขลา","en":"Songkhla"}},"diff_wl_bank":"5.20","diff_wl_bank_text":"ต่ำกว่าตลิ่ง (ม.)","river_gid":228362,"river_name":"คลองอู่ตะเภา"}</x:t>
  </x:si>
  <x:si>
    <x:t xml:space="preserve">THAIWATER_WL:865</x:t>
  </x:si>
  <x:si>
    <x:t xml:space="preserve">TNG002</x:t>
  </x:si>
  <x:si>
    <x:t xml:space="preserve">เมืองตรัง</x:t>
  </x:si>
  <x:si>
    <x:t xml:space="preserve">{"id":1316368390,"waterlevel_datetime":"2026-10-01 15:10","waterlevel_m":null,"waterlevel_msl":"1.05","waterlevel_msl_previous":"1.03","flow_rate":null,"discharge":null,"storage_percent":"57.93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Basin"}},"station":{"id":865,"tele_station_name":{"en":"Trang 2","th":"เมืองตรัง"},"tele_station_lat":7.555884,"tele_station_long":99.57825,"tele_station_oldcode":"TNG002","tele_station_type":"tele_waterlevel","left_bank":4.054,"right_bank":5.987,"min_bank":4.05,"ground_level":-3.086,"offset":null,"sub_basin_id":349,"agency_id":9,"geocode_id":7968,"hydro_id":null,"qmax":null,"is_key_station":false,"warning_level_m":null,"critical_level_m":null,"critical_level_msl":null},"geocode":{"area_code":"5","area_name":{"th":"ภาคใต้","en":"South"},"amphoe_code":"01","amphoe_name":{"th":"เมืองตรัง","en":"Mueang Trang District"},"tumbon_code":"09","tumbon_name":{"th":"บางรัก","en":"Bang Rak"},"province_code":"92","province_name":{"th":"ตรัง","en":"Trang"}},"diff_wl_bank":"3.00","diff_wl_bank_text":"ต่ำกว่าตลิ่ง (ม.)","river_gid":224732,"river_name":"แม่น้ำตรัง"}</x:t>
  </x:si>
  <x:si>
    <x:t xml:space="preserve">THAIWATER_WL:504962</x:t>
  </x:si>
  <x:si>
    <x:t xml:space="preserve">M.179A</x:t>
  </x:si>
  <x:si>
    <x:t xml:space="preserve">บ้านป่าก่อ</x:t>
  </x:si>
  <x:si>
    <x:t xml:space="preserve">{"id":1316340543,"waterlevel_datetime":"2026-10-01 14:00","waterlevel_m":null,"waterlevel_msl":"115.44","waterlevel_msl_previous":"115.46","flow_rate":null,"discharge":"141.40","storage_percent":"57.92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504962,"tele_station_name":{"th":"บ้านป่าก่อ"},"tele_station_lat":15.50299,"tele_station_long":104.595444,"tele_station_oldcode":"M.179A","tele_station_type":"tele_waterlevel","left_bank":232.976003,"right_bank":232.969003,"min_bank":119.8,"ground_level":109.44,"offset":109.800003,"sub_basin_id":146,"agency_id":12,"geocode_id":2662,"hydro_id":4,"qmax":400,"is_key_station":true,"warning_level_m":null,"critical_level_m":null,"critical_level_msl":null},"geocode":{"area_code":"4","area_name":{"th":"ภาคตะวันออกเฉียงเหนือ","en":"Northeast"},"amphoe_code":"04","amphoe_name":{"th":"เขื่องใน","en":"Khueang Nai District"},"tumbon_code":"18","tumbon_name":{"th":"หนองเหล่า","en":"Nong Lao"},"province_code":"34","province_name":{"th":"อุบลราชธานี","en":"Ubon Ratchathani"}},"diff_wl_bank":"4.36","diff_wl_bank_text":"ต่ำกว่าตลิ่ง (ม.)","river_gid":143514,"river_name":"ลำเซบาย"}</x:t>
  </x:si>
  <x:si>
    <x:t xml:space="preserve">THAIWATER_WL:504708</x:t>
  </x:si>
  <x:si>
    <x:t xml:space="preserve">P.73A</x:t>
  </x:si>
  <x:si>
    <x:t xml:space="preserve">บ้านสบแปะ</x:t>
  </x:si>
  <x:si>
    <x:t xml:space="preserve">{"id":1316351116,"waterlevel_datetime":"2026-10-01 14:00","waterlevel_m":null,"waterlevel_msl":"260.11","waterlevel_msl_previous":"260.01","flow_rate":null,"discharge":"255.70","storage_percent":"57.91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504708,"tele_station_name":{"th":"บ้านสบแปะ"},"tele_station_lat":18.25341,"tele_station_long":98.641411,"tele_station_oldcode":"P.73A","tele_station_type":"tele_waterlevel","left_bank":525.063013,"right_bank":525.076013,"min_bank":265.47,"ground_level":252.736,"offset":257.670013,"sub_basin_id":170,"agency_id":12,"geocode_id":4712,"hydro_id":1,"qmax":1412.5,"is_key_station":false,"warning_level_m":null,"critical_level_m":null,"critical_level_msl":null},"geocode":{"area_code":"3","area_name":{"th":"ภาคเหนือ","en":"North"},"amphoe_code":"02","amphoe_name":{"th":"จอมทอง","en":"Chom Thong District"},"tumbon_code":"06","tumbon_name":{"th":"บ้านแปะ","en":"Ban Pae"},"province_code":"50","province_name":{"th":"เชียงใหม่","en":"Chiang Mai"}},"diff_wl_bank":"5.36","diff_wl_bank_text":"ต่ำกว่าตลิ่ง (ม.)","river_gid":62112,"river_name":"แม่น้ำปิง"}</x:t>
  </x:si>
  <x:si>
    <x:t xml:space="preserve">THAIWATER_WL:1109527</x:t>
  </x:si>
  <x:si>
    <x:t xml:space="preserve">ONE038</x:t>
  </x:si>
  <x:si>
    <x:t xml:space="preserve">สะพานสวนเฉลิมพระเกียรติ 72 พรรษามหาราชินี</x:t>
  </x:si>
  <x:si>
    <x:t xml:space="preserve">ทะเลสาบสงขลา</x:t>
  </x:si>
  <x:si>
    <x:t xml:space="preserve">{"id":1316368212,"waterlevel_datetime":"2026-10-01 15:10","waterlevel_m":null,"waterlevel_msl":"0.18","waterlevel_msl_previous":"0.20","flow_rate":null,"discharge":null,"storage_percent":"57.68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Basin"}},"station":{"id":1109527,"tele_station_name":{"en":"Queen Bridge","th":"สะพานสวนเฉลิมพระเกียรติ 72 พรรษามหาราชินี"},"tele_station_lat":7.182746,"tele_station_long":100.59448,"tele_station_oldcode":"ONE038","tele_station_type":"tele_waterlevel","left_bank":0.902,"right_bank":1.008,"min_bank":0.9,"ground_level":-0.804,"offset":null,"sub_basin_id":330,"agency_id":9,"geocode_id":7908,"hydro_id":null,"qmax":null,"is_key_station":false,"warning_level_m":null,"critical_level_m":null,"critical_level_msl":null},"geocode":{"area_code":"5","area_name":{"th":"ภาคใต้","en":"South"},"amphoe_code":"15","amphoe_name":{"th":"สิงหนคร","en":"Singhanakhon District"},"tumbon_code":"09","tumbon_name":{"th":"หัวเขา","en":"Hua Khao"},"province_code":"90","province_name":{"th":"สงขลา","en":"Songkhla"}},"diff_wl_bank":"0.72","diff_wl_bank_text":"ต่ำกว่าตลิ่ง (ม.)","river_gid":226587,"river_name":"ทะเลสาบสงขลา"}</x:t>
  </x:si>
  <x:si>
    <x:t xml:space="preserve">THAIWATER_WL:1121242</x:t>
  </x:si>
  <x:si>
    <x:t xml:space="preserve">MOU383</x:t>
  </x:si>
  <x:si>
    <x:t xml:space="preserve">สะพานคลองตรอน</x:t>
  </x:si>
  <x:si>
    <x:t xml:space="preserve">คลองตรอน</x:t>
  </x:si>
  <x:si>
    <x:t xml:space="preserve">{"id":1316367790,"waterlevel_datetime":"2026-10-01 15:10","waterlevel_m":null,"waterlevel_msl":"62.78","waterlevel_msl_previous":"62.77","flow_rate":null,"discharge":null,"storage_percent":"57.61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Basin"}},"station":{"id":1121242,"tele_station_name":{"en":"Khlong Tron Bridge","th":"สะพานคลองตรอน"},"tele_station_lat":17.463362,"tele_station_long":100.23722,"tele_station_oldcode":"MOU383","tele_station_type":"tele_waterlevel","left_bank":67.089,"right_bank":66.185,"min_bank":66.19,"ground_level":58.152,"offset":null,"sub_basin_id":231,"sponsor_by":"มูลนิธิอาสาเพื่อนพึ่ง (ภาฯ) ยามยาก สภากาชาดไทย","agency_id":91,"geocode_id":5116,"hydro_id":null,"qmax":null,"is_key_station":false,"warning_level_m":null,"critical_level_m":null,"critical_level_msl":null},"geocode":{"area_code":"3","area_name":{"th":"ภาคเหนือ","en":"North"},"amphoe_code":"02","amphoe_name":{"th":"ตรอน","en":"Tron District"},"tumbon_code":"04","tumbon_name":{"th":"น้ำอ่าง","en":"Nam Ang"},"province_code":"53","province_name":{"th":"อุตรดิตถ์","en":"Uttaradit"}},"diff_wl_bank":"3.41","diff_wl_bank_text":"ต่ำกว่าตลิ่ง (ม.)","river_gid":82638,"river_name":"คลองตรอน"}</x:t>
  </x:si>
  <x:si>
    <x:t xml:space="preserve">THAIWATER_WL:2694</x:t>
  </x:si>
  <x:si>
    <x:t xml:space="preserve">M.180</x:t>
  </x:si>
  <x:si>
    <x:t xml:space="preserve">บ้านท่าเยี่ยม</x:t>
  </x:si>
  <x:si>
    <x:t xml:space="preserve">ลำพระเพลิง</x:t>
  </x:si>
  <x:si>
    <x:t xml:space="preserve">{"id":1316340544,"waterlevel_datetime":"2026-10-01 14:00","waterlevel_m":null,"waterlevel_msl":"222.41","waterlevel_msl_previous":"222.41","flow_rate":null,"discharge":null,"storage_percent":"57.43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2694,"tele_station_name":{"th":"บ้านท่าเยี่ยม"},"tele_station_lat":14.63599,"tele_station_long":101.884697,"tele_station_oldcode":"M.180","tele_station_type":"tele_waterlevel","left_bank":443.81599700000004,"right_bank":444.14299700000004,"min_bank":224.7,"ground_level":219.32,"offset":219.199997,"sub_basin_id":106,"agency_id":12,"geocode_id":1848,"hydro_id":4,"qmax":50,"is_key_station":true,"warning_level_m":null,"critical_level_m":null,"critical_level_msl":null},"geocode":{"area_code":"4","area_name":{"th":"ภาคตะวันออกเฉียงเหนือ","en":"Northeast"},"amphoe_code":"14","amphoe_name":{"th":"ปักธงชัย","en":"Pak Thong Chai District"},"tumbon_code":"20","tumbon_name":{"th":"บ่อปลาทอง","en":"Bo Pla Thong"},"province_code":"30","province_name":{"th":"นครราชสีมา","en":"Nakhon Ratchasima"}},"diff_wl_bank":"2.29","diff_wl_bank_text":"ต่ำกว่าตลิ่ง (ม.)","river_gid":152695,"river_name":"ลำพระเพลิง"}</x:t>
  </x:si>
  <x:si>
    <x:t xml:space="preserve">THAIWATER_WL:315</x:t>
  </x:si>
  <x:si>
    <x:t xml:space="preserve">KON003</x:t>
  </x:si>
  <x:si>
    <x:t xml:space="preserve">สุวรรณคูหา</x:t>
  </x:si>
  <x:si>
    <x:t xml:space="preserve">ห้วยโค่โล่</x:t>
  </x:si>
  <x:si>
    <x:t xml:space="preserve">{"id":1316368069,"waterlevel_datetime":"2026-10-01 15:10","waterlevel_m":null,"waterlevel_msl":"198.00","waterlevel_msl_previous":"198.00","flow_rate":null,"discharge":null,"storage_percent":"57.25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Basin"}},"station":{"id":315,"tele_station_name":{"en":"Khong 3","th":"สุวรรณคูหา"},"tele_station_lat":17.57572,"tele_station_long":102.273346,"tele_station_oldcode":"KON003","tele_station_type":"tele_waterlevel","left_bank":201.673,"right_bank":200.18,"min_bank":200.18,"ground_level":195.081,"offset":null,"sub_basin_id":50,"agency_id":9,"geocode_id":3204,"hydro_id":null,"qmax":null,"is_key_station":false,"warning_level_m":null,"critical_level_m":null,"critical_level_msl":null},"geocode":{"area_code":"4","area_name":{"th":"ภาคตะวันออกเฉียงเหนือ","en":"Northeast"},"amphoe_code":"05","amphoe_name":{"th":"สุวรรณคูหา","en":"Suwannakhuha District"},"tumbon_code":"01","tumbon_name":{"th":"นาสี","en":"Na Si"},"province_code":"39","province_name":{"th":"หนองบัวลำภู","en":"Nong Bua Lam Phu"}},"diff_wl_bank":"2.18","diff_wl_bank_text":"ต่ำกว่าตลิ่ง (ม.)","river_gid":115262,"river_name":"ห้วยโค่โล่"}</x:t>
  </x:si>
  <x:si>
    <x:t xml:space="preserve">THAIWATER_WL:405</x:t>
  </x:si>
  <x:si>
    <x:t xml:space="preserve">SKM004</x:t>
  </x:si>
  <x:si>
    <x:t xml:space="preserve">ศรีสงคราม</x:t>
  </x:si>
  <x:si>
    <x:t xml:space="preserve">{"id":1316368320,"waterlevel_datetime":"2026-10-01 15:10","waterlevel_m":null,"waterlevel_msl":"138.17","waterlevel_msl_previous":"138.17","flow_rate":null,"discharge":null,"storage_percent":"57.20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Basin"}},"station":{"id":405,"tele_station_name":{"en":"Sri Songkram","th":"ศรีสงคราม"},"tele_station_lat":17.67484,"tele_station_long":104.28581,"tele_station_oldcode":"SKM004","tele_station_type":"tele_waterlevel","left_bank":143.694,"right_bank":145.404,"min_bank":143.69,"ground_level":130.786,"offset":null,"sub_basin_id":66,"agency_id":9,"geocode_id":4596,"hydro_id":null,"qmax":null,"is_key_station":false,"warning_level_m":null,"critical_level_m":null,"critical_level_msl":null},"geocode":{"area_code":"4","area_name":{"th":"ภาคตะวันออกเฉียงเหนือ","en":"Northeast"},"amphoe_code":"08","amphoe_name":{"th":"ศรีสงคราม","en":"Si Songkhram District"},"tumbon_code":"01","tumbon_name":{"th":"ศรีสงคราม","en":"Si Songkhram"},"province_code":"48","province_name":{"th":"นครพนม","en":"Nakhon Phanom"}},"diff_wl_bank":"5.52","diff_wl_bank_text":"ต่ำกว่าตลิ่ง (ม.)","river_gid":112780,"river_name":"แม่น้ำสงคราม"}</x:t>
  </x:si>
  <x:si>
    <x:t xml:space="preserve">THAIWATER_WL:505069</x:t>
  </x:si>
  <x:si>
    <x:t xml:space="preserve">X.139A</x:t>
  </x:si>
  <x:si>
    <x:t xml:space="preserve">บ้านปะเหลียนใน</x:t>
  </x:si>
  <x:si>
    <x:t xml:space="preserve">คลองปะเหลียน</x:t>
  </x:si>
  <x:si>
    <x:t xml:space="preserve">{"id":1316344799,"waterlevel_datetime":"2026-10-01 14:00","waterlevel_m":null,"waterlevel_msl":"21.59","waterlevel_msl_previous":"21.67","flow_rate":null,"discharge":"21.85","storage_percent":"57.07","sort_order":null,"station_type":"tele_waterlevel","situation_level":3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505069,"tele_station_name":{"th":"บ้านปะเหลียนใน"},"tele_station_lat":7.32009,"tele_station_long":99.7957,"tele_station_oldcode":"X.139A","tele_station_type":"tele_waterlevel","left_bank":26.326,"right_bank":25.936,"min_bank":24.2,"ground_level":18.121,"offset":null,"sub_basin_id":350,"agency_id":12,"geocode_id":8004,"hydro_id":8,"qmax":138,"is_key_station":false,"warning_level_m":null,"critical_level_m":null,"critical_level_msl":null},"geocode":{"area_code":"5","area_name":{"th":"ภาคใต้","en":"South"},"amphoe_code":"04","amphoe_name":{"th":"ปะเหลียน","en":"Palian District"},"tumbon_code":"03","tumbon_name":{"th":"ปะเหลียน","en":"Palian"},"province_code":"92","province_name":{"th":"ตรัง","en":"Trang"}},"diff_wl_bank":"2.61","diff_wl_bank_text":"ต่ำกว่าตลิ่ง (ม.)","river_gid":225892,"river_name":"คลองปะเหลียน"}</x:t>
  </x:si>
  <x:si>
    <x:t xml:space="preserve">THAIWATER_WL:642740</x:t>
  </x:si>
  <x:si>
    <x:t xml:space="preserve">MOU015</x:t>
  </x:si>
  <x:si>
    <x:t xml:space="preserve">สะพานห้วยแม่สาว</x:t>
  </x:si>
  <x:si>
    <x:t xml:space="preserve">น้ำแม่สาว</x:t>
  </x:si>
  <x:si>
    <x:t xml:space="preserve">{"id":1316367750,"waterlevel_datetime":"2026-10-01 15:10","waterlevel_m":null,"waterlevel_msl":"459.69","waterlevel_msl_previous":"459.69","flow_rate":null,"discharge":null,"storage_percent":"57.01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Foundation","jp":""},"agency_shortname":{"th":"พพภ","en":"FOP","jp":""}},"basin":{"id":2,"basin_code":2,"basin_name":{"th":"ลุ่มน้ำโขงเหนือ","en":"North Khong Basin"}},"station":{"id":642740,"tele_station_name":{"en":"Mae Sao bridge","th":"สะพานห้วยแม่สาว"},"tele_station_lat":20.014154,"tele_station_long":99.26691,"tele_station_oldcode":"MOU015","tele_station_type":"tele_waterlevel","left_bank":462.096,"right_bank":463.021,"min_bank":462.1,"ground_level":456.499,"offset":null,"sub_basin_id":25,"sponsor_by":"บริษัท แอดวานซ์ อินโฟร์ เซอร์วิส จำกัด (มหาชน)","agency_id":91,"geocode_id":4792,"hydro_id":null,"qmax":null,"is_key_station":false,"warning_level_m":null,"critical_level_m":null,"critical_level_msl":null},"geocode":{"area_code":"3","area_name":{"th":"ภาคเหนือ","en":"North"},"amphoe_code":"10","amphoe_name":{"th":"แม่อาย","en":"Mae Ai District"},"tumbon_code":"02","tumbon_name":{"th":"แม่สาว","en":"Mae Sao"},"province_code":"50","province_name":{"th":"เชียงใหม่","en":"Chiang Mai"}},"diff_wl_bank":"2.41","diff_wl_bank_text":"ต่ำกว่าตลิ่ง (ม.)","river_gid":3013,"river_name":"น้ำแม่สาว"}</x:t>
  </x:si>
  <x:si>
    <x:t xml:space="preserve">THAIWATER_WL:118</x:t>
  </x:si>
  <x:si>
    <x:t xml:space="preserve">RAY002</x:t>
  </x:si>
  <x:si>
    <x:t xml:space="preserve">หนองบัว</x:t>
  </x:si>
  <x:si>
    <x:t xml:space="preserve">{"id":1316368263,"waterlevel_datetime":"2026-10-01 15:10","waterlevel_m":null,"waterlevel_msl":"12.78","waterlevel_msl_previous":"12.77","flow_rate":null,"discharge":null,"storage_percent":"56.91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Organization)","jp":""},"agency_shortname":{"th":"สสน.","en":"HII","jp":""}},"basin":{"id":18,"basin_code":17,"basin_name":{"th":"ลุ่มน้ำชายฝั่งทะเลตะวันออก","en":"East Coast Gulf Basin"}},"station":{"id":118,"tele_station_name":{"en":"Nong Bua","th":"หนองบัว"},"tele_station_lat":12.849195,"tele_station_long":101.301346,"tele_station_oldcode":"RAY002","tele_station_type":"tele_waterlevel","left_bank":17.008,"right_bank":15.967,"min_bank":15.97,"ground_level":8.57,"offset":null,"sub_basin_id":291,"agency_id":9,"geocode_id":1226,"hydro_id":null,"qmax":null,"is_key_station":false,"warning_level_m":null,"critical_level_m":null,"critical_level_msl":null},"geocode":{"area_code":"2","area_name":{"th":"ภาคกลาง","en":"Central"},"amphoe_code":"05","amphoe_name":{"th":"บ้านค่าย","en":"Ban Khai District"},"tumbon_code":"06","tumbon_name":{"th":"หนองบัว","en":"Nong Bua"},"province_code":"21","province_name":{"th":"ระยอง","en":"Rayong"}},"diff_wl_bank":"3.19","diff_wl_bank_text":"ต่ำกว่าตลิ่ง (ม.)","river_gid":203395,"river_name":"คลองใหญ่"}</x:t>
  </x:si>
  <x:si>
    <x:t xml:space="preserve">THAIWATER_WL:3154</x:t>
  </x:si>
  <x:si>
    <x:t xml:space="preserve">W.5A</x:t>
  </x:si>
  <x:si>
    <x:t xml:space="preserve">บ้านเกาะคา</x:t>
  </x:si>
  <x:si>
    <x:t xml:space="preserve">2026-10-01T11:00:00+07:00</x:t>
  </x:si>
  <x:si>
    <x:t xml:space="preserve">{"id":1316268543,"waterlevel_datetime":"2026-10-01 11:00","waterlevel_m":null,"waterlevel_msl":"217.06","waterlevel_msl_previous":"217.06","flow_rate":null,"discharge":null,"storage_percent":"56.77","sort_order":null,"station_type":"tele_waterlevel","situation_level":3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3154,"tele_station_name":{"th":"บ้านเกาะคา"},"tele_station_lat":18.19154,"tele_station_long":99.396873,"tele_station_oldcode":"W.5A","tele_station_type":"tele_waterlevel","left_bank":438.03700100000003,"right_bank":437.978001,"min_bank":220.46,"ground_level":212.595,"offset":216.860001,"sub_basin_id":190,"agency_id":12,"geocode_id":5014,"hydro_id":1,"qmax":null,"is_key_station":false,"warning_level_m":null,"critical_level_m":null,"critical_level_msl":null},"geocode":{"area_code":"3","area_name":{"th":"ภาคเหนือ","en":"North"},"amphoe_code":"03","amphoe_name":{"th":"เกาะคา","en":"Ko Kha District"},"tumbon_code":"08","tumbon_name":{"th":"ท่าผา","en":"Tha Pha"},"province_code":"52","province_name":{"th":"ลำปาง","en":"Lampang"}},"diff_wl_bank":"3.40","diff_wl_bank_text":"ต่ำกว่าตลิ่ง (ม.)","river_gid":64556,"river_name":"แม่น้ำวัง"}</x:t>
  </x:si>
  <x:si>
    <x:t xml:space="preserve">THAIWATER_WL:1422368</x:t>
  </x:si>
  <x:si>
    <x:t xml:space="preserve">RPBD08</x:t>
  </x:si>
  <x:si>
    <x:t xml:space="preserve">สะพานบ้านปากคู่(วัดนิลาราม)อ.คีรีรัฐนิคม ท. 220903</x:t>
  </x:si>
  <x:si>
    <x:t xml:space="preserve">{"id":1316365555,"waterlevel_datetime":"2026-10-01 15:00","waterlevel_m":null,"waterlevel_msl":"9.51","waterlevel_msl_previous":"9.64","flow_rate":null,"discharge":null,"storage_percent":"56.67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Thailand","jp":""},"agency_shortname":{"th":"กฟผ.","en":"EGAT","jp":""}},"basin":{"id":22,"basin_code":19,"basin_name":{"th":"ลุ่มน้ำภาคใต้ฝั่งตะวันออกตอนบน","en":"Peninsula - Upper East Coast Basin"}},"station":{"id":1422368,"tele_station_name":{"th":"สะพานบ้านปากคู่(วัดนิลาราม)อ.คีรีรัฐนิคม ท. 220903"},"tele_station_lat":9.068123,"tele_station_long":98.98318,"tele_station_oldcode":"RPBD08","tele_station_type":"tele_waterlevel","left_bank":12.182,"right_bank":11.49,"min_bank":11.49,"ground_level":6.93,"offset":null,"sub_basin_id":316,"agency_id":8,"geocode_id":7569,"hydro_id":null,"qmax":null,"is_key_station":false,"warning_level_m":null,"critical_level_m":null,"critical_level_msl":11.49},"geocode":{"area_code":"5","area_name":{"th":"ภาคใต้","en":"South"},"amphoe_code":"08","amphoe_name":{"th":"คีรีรัฐนิคม","en":"Khiri Rat Nikhom District"},"tumbon_code":"02","tumbon_name":{"th":"บ้านยาง","en":"Ban Yang"},"province_code":"84","province_name":{"th":"สุราษฎร์ธานี","en":"Surat Thani"}},"diff_wl_bank":"1.98","diff_wl_bank_text":"ต่ำกว่าตลิ่ง (ม.)"}</x:t>
  </x:si>
  <x:si>
    <x:t xml:space="preserve">THAIWATER_WL:740540</x:t>
  </x:si>
  <x:si>
    <x:t xml:space="preserve">AIT011</x:t>
  </x:si>
  <x:si>
    <x:t xml:space="preserve">สะพานข้ามน้ำมูล</x:t>
  </x:si>
  <x:si>
    <x:t xml:space="preserve">{"id":1316367913,"waterlevel_datetime":"2026-10-01 15:10","waterlevel_m":null,"waterlevel_msl":"96.00","waterlevel_msl_previous":"96.00","flow_rate":null,"discharge":null,"storage_percent":"56.44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Basin"}},"station":{"id":740540,"tele_station_name":{"en":"Nam Mun Bridge","th":"สะพานข้ามน้ำมูล"},"tele_station_lat":15.310499,"tele_station_long":105.49311,"tele_station_oldcode":"AIT011","tele_station_type":"tele_waterlevel","left_bank":103.141,"right_bank":104.107,"min_bank":103.14,"ground_level":86.748,"offset":null,"sub_basin_id":155,"sponsor_by":"สถาบันเทคโนโลยีแห่งเอเชีย","agency_id":9,"geocode_id":2639,"hydro_id":null,"qmax":null,"is_key_station":false,"warning_level_m":null,"critical_level_m":null,"critical_level_msl":null},"geocode":{"area_code":"4","area_name":{"th":"ภาคตะวันออกเฉียงเหนือ","en":"Northeast"},"amphoe_code":"03","amphoe_name":{"th":"โขงเจียม","en":"Khong Chiam District"},"tumbon_code":"01","tumbon_name":{"th":"โขงเจียม","en":"Khong Chiam"},"province_code":"34","province_name":{"th":"อุบลราชธานี","en":"Ubon Ratchathani"}},"diff_wl_bank":"7.14","diff_wl_bank_text":"ต่ำกว่าตลิ่ง (ม.)","river_gid":145216,"river_name":"แม่น้ำมูล"}</x:t>
  </x:si>
  <x:si>
    <x:t xml:space="preserve">THAIWATER_WL:2668</x:t>
  </x:si>
  <x:si>
    <x:t xml:space="preserve">Z.18</x:t>
  </x:si>
  <x:si>
    <x:t xml:space="preserve">บ้านซำฆ้อ</x:t>
  </x:si>
  <x:si>
    <x:t xml:space="preserve">คลองโพล้</x:t>
  </x:si>
  <x:si>
    <x:t xml:space="preserve">{"id":1316161127,"waterlevel_datetime":"2026-10-01 06:00","waterlevel_m":null,"waterlevel_msl":"30.70","waterlevel_msl_previous":"30.85","flow_rate":null,"discharge":null,"storage_percent":"56.42","sort_order":null,"station_type":"tele_waterlevel","situation_level":3,"agency":{"id":12,"agency_name":{"th":"กรมชลประทาน ","en":"Royal Irrigation Department","jp":""},"agency_shortname":{"th":"ชป.","en":"RID","jp":""}},"basin":{"id":18,"basin_code":17,"basin_name":{"th":"ลุ่มน้ำชายฝั่งทะเลตะวันออก","en":"East Coast Gulf Basin"}},"station":{"id":2668,"tele_station_name":{"th":"บ้านซำฆ้อ"},"tele_station_lat":12.95677,"tele_station_long":101.672096,"tele_station_oldcode":"Z.18","tele_station_type":"tele_waterlevel","left_bank":60.268,"right_bank":60.519999999999996,"min_bank":34.15,"ground_level":26.234,"offset":28.15,"sub_basin_id":293,"agency_id":12,"geocode_id":1238,"hydro_id":6,"qmax":94.5,"is_key_station":false,"warning_level_m":null,"critical_level_m":null,"critical_level_msl":null},"geocode":{"area_code":"2","area_name":{"th":"ภาคกลาง","en":"Central"},"amphoe_code":"07","amphoe_name":{"th":"เขาชะเมา","en":"Khao Chamao District"},"tumbon_code":"03","tumbon_name":{"th":"ชำฆ้อ","en":"Cham Noi"},"province_code":"21","province_name":{"th":"ระยอง","en":"Rayong"}},"diff_wl_bank":"3.45","diff_wl_bank_text":"ต่ำกว่าตลิ่ง (ม.)","river_gid":202659,"river_name":"คลองโพล้"}</x:t>
  </x:si>
  <x:si>
    <x:t xml:space="preserve">THAIWATER_WL:2568</x:t>
  </x:si>
  <x:si>
    <x:t xml:space="preserve">Z.10</x:t>
  </x:si>
  <x:si>
    <x:t xml:space="preserve">บ้านศรีบัวทอง</x:t>
  </x:si>
  <x:si>
    <x:t xml:space="preserve">{"id":1316343007,"waterlevel_datetime":"2026-10-01 14:00","waterlevel_m":null,"waterlevel_msl":"8.68","waterlevel_msl_previous":"8.81","flow_rate":null,"discharge":"153.20","storage_percent":"56.34","sort_order":null,"station_type":"tele_waterlevel","situation_level":3,"agency":{"id":12,"agency_name":{"th":"กรมชลประทาน ","en":"Royal Irrigation Department","jp":""},"agency_shortname":{"th":"ชป.","en":"RID","jp":""}},"basin":{"id":18,"basin_code":17,"basin_name":{"th":"ลุ่มน้ำชายฝั่งทะเลตะวันออก","en":"East Coast Gulf Basin"}},"station":{"id":2568,"tele_station_name":{"th":"บ้านศรีบัวทอง"},"tele_station_lat":12.4765,"tele_station_long":102.477867,"tele_station_oldcode":"Z.10","tele_station_type":"tele_waterlevel","left_bank":13.4,"right_bank":13.4,"min_bank":13.4,"ground_level":2.59,"offset":1.9,"sub_basin_id":298,"agency_id":12,"geocode_id":1359,"hydro_id":6,"qmax":417.5,"is_key_station":true,"warning_level_m":null,"critical_level_m":null,"critical_level_msl":null},"geocode":{"area_code":"2","area_name":{"th":"ภาคกลาง","en":"Central"},"amphoe_code":"03","amphoe_name":{"th":"เขาสมิง","en":"Khao Saming District"},"tumbon_code":"07","tumbon_name":{"th":"เทพนิมิต","en":"Thep Nimit"},"province_code":"23","province_name":{"th":"ตราด","en":"Trat"}},"diff_wl_bank":"4.72","diff_wl_bank_text":"ต่ำกว่าตลิ่ง (ม.)","river_gid":205803,"river_name":"แม่น้ำเขาสมิง"}</x:t>
  </x:si>
  <x:si>
    <x:t xml:space="preserve">THAIWATER_WL:2857</x:t>
  </x:si>
  <x:si>
    <x:t xml:space="preserve">E.66A</x:t>
  </x:si>
  <x:si>
    <x:t xml:space="preserve">บ้านม่วงลาด</x:t>
  </x:si>
  <x:si>
    <x:t xml:space="preserve">{"id":1316353906,"waterlevel_datetime":"2026-10-01 14:00","waterlevel_m":null,"waterlevel_msl":"133.37","waterlevel_msl_previous":"133.37","flow_rate":null,"discharge":"220.34","storage_percent":"56.15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2857,"tele_station_name":{"th":"บ้านม่วงลาด"},"tele_station_lat":16.20825,"tele_station_long":103.527641,"tele_station_oldcode":"E.66A","tele_station_type":"tele_waterlevel","left_bank":268.437002,"right_bank":270.369002,"min_bank":138.5,"ground_level":126.8,"offset":126.900002,"sub_basin_id":96,"agency_id":12,"geocode_id":4195,"hydro_id":3,"qmax":710,"is_key_station":false,"warning_level_m":null,"critical_level_m":null,"critical_level_msl":null},"geocode":{"area_code":"4","area_name":{"th":"ภาคตะวันออกเฉียงเหนือ","en":"Northeast"},"amphoe_code":"17","amphoe_name":{"th":"จังหาร","en":"Changhan District"},"tumbon_code":"03","tumbon_name":{"th":"ม่วงลาด","en":"Muang Lat"},"province_code":"45","province_name":{"th":"ร้อยเอ็ด","en":"Roi Et"}},"diff_wl_bank":"5.13","diff_wl_bank_text":"ต่ำกว่าตลิ่ง (ม.)","river_gid":133059,"river_name":"แม่น้ำชี"}</x:t>
  </x:si>
  <x:si>
    <x:t xml:space="preserve">THAIWATER_WL:298</x:t>
  </x:si>
  <x:si>
    <x:t xml:space="preserve">CHI001</x:t>
  </x:si>
  <x:si>
    <x:t xml:space="preserve">บ้านเขว้า</x:t>
  </x:si>
  <x:si>
    <x:t xml:space="preserve">{"id":1316367962,"waterlevel_datetime":"2026-10-01 15:10","waterlevel_m":null,"waterlevel_msl":"206.02","waterlevel_msl_previous":"206.03","flow_rate":null,"discharge":null,"storage_percent":"56.13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Organization)","jp":""},"agency_shortname":{"th":"สสน.","en":"HII","jp":""}},"basin":{"id":4,"basin_code":4,"basin_name":{"th":"ลุ่มน้ำชี","en":"Chi Basin Basin"}},"station":{"id":298,"tele_station_name":{"en":"Chi 1","th":"บ้านเขว้า"},"tele_station_lat":15.93316,"tele_station_long":101.69951,"tele_station_oldcode":"CHI001","tele_station_type":"tele_waterlevel","left_bank":212.865,"right_bank":212.873,"min_bank":212.87,"ground_level":197.259,"offset":null,"sub_basin_id":78,"agency_id":9,"geocode_id":2972,"hydro_id":null,"qmax":null,"is_key_station":false,"warning_level_m":null,"critical_level_m":null,"critical_level_msl":null},"geocode":{"area_code":"4","area_name":{"th":"ภาคตะวันออกเฉียงเหนือ","en":"Northeast"},"amphoe_code":"02","amphoe_name":{"th":"บ้านเขว้า","en":"Ban Khwao District"},"tumbon_code":"05","tumbon_name":{"th":"ภูแลนคา","en":"Phu Laen Kha"},"province_code":"36","province_name":{"th":"ชัยภูมิ","en":"Chaiyaphum"}},"diff_wl_bank":"6.85","diff_wl_bank_text":"ต่ำกว่าตลิ่ง (ม.)","river_gid":137286,"river_name":"แม่น้ำชี"}</x:t>
  </x:si>
  <x:si>
    <x:t xml:space="preserve">THAIWATER_WL:335</x:t>
  </x:si>
  <x:si>
    <x:t xml:space="preserve">KON004</x:t>
  </x:si>
  <x:si>
    <x:t xml:space="preserve">เมืองอุดรธานี</x:t>
  </x:si>
  <x:si>
    <x:t xml:space="preserve">ห้วยหลวง</x:t>
  </x:si>
  <x:si>
    <x:t xml:space="preserve">{"id":1316368070,"waterlevel_datetime":"2026-10-01 15:10","waterlevel_m":null,"waterlevel_msl":"168.67","waterlevel_msl_previous":"168.67","flow_rate":null,"discharge":null,"storage_percent":"56.08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Basin"}},"station":{"id":335,"tele_station_name":{"en":"Khong 4","th":"เมืองอุดรธานี"},"tele_station_lat":17.482368,"tele_station_long":102.79713,"tele_station_oldcode":"KON004","tele_station_type":"tele_waterlevel","left_bank":172.263,"right_bank":171.5,"min_bank":171.5,"ground_level":165.056,"offset":null,"sub_basin_id":54,"agency_id":9,"geocode_id":3451,"hydro_id":null,"qmax":null,"is_key_station":false,"warning_level_m":null,"critical_level_m":null,"critical_level_msl":null},"geocode":{"area_code":"4","area_name":{"th":"ภาคตะวันออกเฉียงเหนือ","en":"Northeast"},"amphoe_code":"01","amphoe_name":{"th":"เมืองอุดรธานี","en":"Mueang Udon Thani District"},"tumbon_code":"07","tumbon_name":{"th":"หมูม่น","en":"Mu Mon"},"province_code":"41","province_name":{"th":"อุดรธานี","en":"Udon Thani"}},"diff_wl_bank":"2.83","diff_wl_bank_text":"ต่ำกว่าตลิ่ง (ม.)","river_gid":116369,"river_name":"ห้วยหลวง"}</x:t>
  </x:si>
  <x:si>
    <x:t xml:space="preserve">THAIWATER_WL:850</x:t>
  </x:si>
  <x:si>
    <x:t xml:space="preserve">JNA002</x:t>
  </x:si>
  <x:si>
    <x:t xml:space="preserve">นาทวี</x:t>
  </x:si>
  <x:si>
    <x:t xml:space="preserve">คลองนาทวี</x:t>
  </x:si>
  <x:si>
    <x:t xml:space="preserve">{"id":1316368057,"waterlevel_datetime":"2026-10-01 15:10","waterlevel_m":null,"waterlevel_msl":"20.53","waterlevel_msl_previous":"20.52","flow_rate":null,"discharge":null,"storage_percent":"56.06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Basin"}},"station":{"id":850,"tele_station_name":{"en":"Na Tawi","th":"นาทวี"},"tele_station_lat":6.738124,"tele_station_long":100.69319,"tele_station_oldcode":"JNA002","tele_station_type":"tele_waterlevel","left_bank":22.712,"right_bank":23.065,"min_bank":22.71,"ground_level":17.746,"offset":null,"sub_basin_id":331,"agency_id":9,"geocode_id":7808,"hydro_id":null,"qmax":null,"is_key_station":false,"warning_level_m":null,"critical_level_m":null,"critical_level_msl":null},"geocode":{"area_code":"5","area_name":{"th":"ภาคใต้","en":"South"},"amphoe_code":"04","amphoe_name":{"th":"นาทวี","en":"Na Thawi District"},"tumbon_code":"01","tumbon_name":{"th":"นาทวี","en":"Na Thawi"},"province_code":"90","province_name":{"th":"สงขลา","en":"Songkhla"}},"diff_wl_bank":"2.18","diff_wl_bank_text":"ต่ำกว่าตลิ่ง (ม.)","river_gid":228768,"river_name":"คลองนาทวี"}</x:t>
  </x:si>
  <x:si>
    <x:t xml:space="preserve">THAIWATER_WL:2905</x:t>
  </x:si>
  <x:si>
    <x:t xml:space="preserve">E.93</x:t>
  </x:si>
  <x:si>
    <x:t xml:space="preserve">บ้านยาง</x:t>
  </x:si>
  <x:si>
    <x:t xml:space="preserve">ห้วยหิน</x:t>
  </x:si>
  <x:si>
    <x:t xml:space="preserve">{"id":1316353867,"waterlevel_datetime":"2026-10-01 14:00","waterlevel_m":null,"waterlevel_msl":"228.83","waterlevel_msl_previous":"228.83","flow_rate":null,"discharge":"15.33","storage_percent":"56.05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2905,"tele_station_name":{"th":"บ้านยาง"},"tele_station_lat":16.31431,"tele_station_long":101.875816,"tele_station_oldcode":"E.93","tele_station_type":"tele_waterlevel","left_bank":458.894,"right_bank":458.803,"min_bank":231.1,"ground_level":225.935,"offset":225.5,"sub_basin_id":89,"agency_id":12,"geocode_id":2996,"hydro_id":3,"qmax":150,"is_key_station":false,"warning_level_m":null,"critical_level_m":null,"critical_level_msl":null},"geocode":{"area_code":"4","area_name":{"th":"ภาคตะวันออกเฉียงเหนือ","en":"Northeast"},"amphoe_code":"04","amphoe_name":{"th":"เกษตรสมบูรณ์","en":"Kaset Sombun District"},"tumbon_code":"12","tumbon_name":{"th":"โนนทอง","en":"Non Thong"},"province_code":"36","province_name":{"th":"ชัยภูมิ","en":"Chaiyaphum"}},"diff_wl_bank":"2.27","diff_wl_bank_text":"ต่ำกว่าตลิ่ง (ม.)","river_gid":132273,"river_name":"ห้วยหิน"}</x:t>
  </x:si>
  <x:si>
    <x:t xml:space="preserve">THAIWATER_WL:2845</x:t>
  </x:si>
  <x:si>
    <x:t xml:space="preserve">E.18</x:t>
  </x:si>
  <x:si>
    <x:t xml:space="preserve">บ้านท่าสะแบง</x:t>
  </x:si>
  <x:si>
    <x:t xml:space="preserve">{"id":1316353890,"waterlevel_datetime":"2026-10-01 14:00","waterlevel_m":null,"waterlevel_msl":"126.74","waterlevel_msl_previous":"126.74","flow_rate":null,"discharge":"295.14","storage_percent":"56.02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2845,"tele_station_name":{"th":"บ้านท่าสะแบง"},"tele_station_lat":16.034149,"tele_station_long":103.906937,"tele_station_oldcode":"E.18","tele_station_type":"tele_waterlevel","left_bank":257.425997,"right_bank":256.12199699999996,"min_bank":132,"ground_level":120.04,"offset":122.199997,"sub_basin_id":100,"agency_id":12,"geocode_id":4217,"hydro_id":3,"qmax":1050,"is_key_station":true,"warning_level_m":null,"critical_level_m":null,"critical_level_msl":null},"geocode":{"area_code":"4","area_name":{"th":"ภาคตะวันออกเฉียงเหนือ","en":"Northeast"},"amphoe_code":"20","amphoe_name":{"th":"ทุ่งเขาหลวง","en":"Thung Khao Luang District"},"tumbon_code":"04","tumbon_name":{"th":"มะบ้า","en":"Maba"},"province_code":"45","province_name":{"th":"ร้อยเอ็ด","en":"Roi Et"}},"diff_wl_bank":"5.26","diff_wl_bank_text":"ต่ำกว่าตลิ่ง (ม.)","river_gid":135484,"river_name":"แม่น้ำชี"}</x:t>
  </x:si>
  <x:si>
    <x:t xml:space="preserve">THAIWATER_WL:1101572</x:t>
  </x:si>
  <x:si>
    <x:t xml:space="preserve">FOP061</x:t>
  </x:si>
  <x:si>
    <x:t xml:space="preserve">บ้านคลองวาย หมู่ที่ 7</x:t>
  </x:si>
  <x:si>
    <x:t xml:space="preserve">คลองบางจิก</x:t>
  </x:si>
  <x:si>
    <x:t xml:space="preserve">{"id":1316367741,"waterlevel_datetime":"2026-10-01 15:10","waterlevel_m":null,"waterlevel_msl":"152.76","waterlevel_msl_previous":"152.76","flow_rate":null,"discharge":null,"storage_percent":"56.00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Foundation","jp":""},"agency_shortname":{"th":"พพภ","en":"FOP","jp":""}},"basin":{"id":22,"basin_code":19,"basin_name":{"th":"ลุ่มน้ำภาคใต้ฝั่งตะวันออกตอนบน","en":"Peninsula - Upper East Coast Basin"}},"station":{"id":1101572,"tele_station_name":{"en":"Ban Khlong Wai 7","th":"บ้านคลองวาย หมู่ที่ 7"},"tele_station_lat":9.368512,"tele_station_long":98.867485,"tele_station_oldcode":"FOP061","tele_station_type":"tele_waterlevel","left_bank":154.626,"right_bank":154.602,"min_bank":154.6,"ground_level":150.416,"offset":null,"sub_basin_id":316,"sponsor_by":"มูลนิธิอาสาเพื่อนพึ่ง (ภาฯ) ยามยาก สภากาชาดไทย","agency_id":91,"geocode_id":7656,"hydro_id":null,"qmax":null,"is_key_station":false,"warning_level_m":null,"critical_level_m":null,"critical_level_msl":null},"geocode":{"area_code":"5","area_name":{"th":"ภาคใต้","en":"South"},"amphoe_code":"19","amphoe_name":{"th":"วิภาวดี","en":"Vibhavadi District"},"tumbon_code":"02","tumbon_name":{"th":"ตะกุกเหนือ","en":"Takuk Nuea"},"province_code":"84","province_name":{"th":"สุราษฎร์ธานี","en":"Surat Thani"}},"diff_wl_bank":"1.84","diff_wl_bank_text":"ต่ำกว่าตลิ่ง (ม.)","river_gid":215277,"river_name":"คลองบางจิก"}</x:t>
  </x:si>
  <x:si>
    <x:t xml:space="preserve">THAIWATER_WL:281</x:t>
  </x:si>
  <x:si>
    <x:t xml:space="preserve">MUN011</x:t>
  </x:si>
  <x:si>
    <x:t xml:space="preserve">พิบูลมังสาหาร</x:t>
  </x:si>
  <x:si>
    <x:t xml:space="preserve">{"id":1316368152,"waterlevel_datetime":"2026-10-01 15:10","waterlevel_m":null,"waterlevel_msl":"108.88","waterlevel_msl_previous":"108.88","flow_rate":null,"discharge":null,"storage_percent":"55.85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Basin"}},"station":{"id":281,"tele_station_name":{"en":"Mun 11","th":"พิบูลมังสาหาร"},"tele_station_lat":15.249705,"tele_station_long":105.2393,"tele_station_oldcode":"MUN011","tele_station_type":"tele_waterlevel","left_bank":112.407,"right_bank":114.533,"min_bank":112.41,"ground_level":104.419,"offset":null,"sub_basin_id":151,"agency_id":9,"geocode_id":2784,"hydro_id":null,"qmax":null,"is_key_station":false,"warning_level_m":null,"critical_level_m":null,"critical_level_msl":null},"geocode":{"area_code":"4","area_name":{"th":"ภาคตะวันออกเฉียงเหนือ","en":"Northeast"},"amphoe_code":"19","amphoe_name":{"th":"พิบูลมังสาหาร","en":"Phibun Mangsahan District"},"tumbon_code":"10","tumbon_name":{"th":"โพธิ์ศรี","en":"Pho Si"},"province_code":"34","province_name":{"th":"อุบลราชธานี","en":"Ubon Ratchathani"}},"diff_wl_bank":"3.53","diff_wl_bank_text":"ต่ำกว่าตลิ่ง (ม.)","river_gid":145985,"river_name":"แม่น้ำมูล"}</x:t>
  </x:si>
  <x:si>
    <x:t xml:space="preserve">THAIWATER_WL:262</x:t>
  </x:si>
  <x:si>
    <x:t xml:space="preserve">MUN005</x:t>
  </x:si>
  <x:si>
    <x:t xml:space="preserve">ราษีไศล</x:t>
  </x:si>
  <x:si>
    <x:t xml:space="preserve">{"id":1316368149,"waterlevel_datetime":"2026-10-01 15:10","waterlevel_m":null,"waterlevel_msl":"114.03","waterlevel_msl_previous":"114.03","flow_rate":null,"discharge":null,"storage_percent":"55.56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Basin"}},"station":{"id":262,"tele_station_name":{"en":"Mun 5","th":"ราษีไศล"},"tele_station_lat":15.33953,"tele_station_long":104.15237,"tele_station_oldcode":"MUN005","tele_station_type":"tele_waterlevel","left_bank":118.124,"right_bank":118.446,"min_bank":118.12,"ground_level":108.904,"offset":null,"sub_basin_id":136,"agency_id":9,"geocode_id":2504,"hydro_id":null,"qmax":null,"is_key_station":false,"warning_level_m":null,"critical_level_m":null,"critical_level_msl":null},"geocode":{"area_code":"4","area_name":{"th":"ภาคตะวันออกเฉียงเหนือ","en":"Northeast"},"amphoe_code":"09","amphoe_name":{"th":"ราษีไศล","en":"Rasi Salai District"},"tumbon_code":"01","tumbon_name":{"th":"เมืองคง","en":"Mueang Khong"},"province_code":"33","province_name":{"th":"ศรีสะเกษ","en":"Si Sa Ket"}},"diff_wl_bank":"4.10","diff_wl_bank_text":"ต่ำกว่าตลิ่ง (ม.)","river_gid":145438,"river_name":"แม่น้ำมูล"}</x:t>
  </x:si>
  <x:si>
    <x:t xml:space="preserve">THAIWATER_WL:3247</x:t>
  </x:si>
  <x:si>
    <x:t xml:space="preserve">P.67</x:t>
  </x:si>
  <x:si>
    <x:t xml:space="preserve">บ้านแม่แต</x:t>
  </x:si>
  <x:si>
    <x:t xml:space="preserve">{"id":1316351110,"waterlevel_datetime":"2026-10-01 14:00","waterlevel_m":null,"waterlevel_msl":"316.07","waterlevel_msl_previous":"316.08","flow_rate":null,"discharge":"56.72","storage_percent":"55.38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3247,"tele_station_name":{"th":"บ้านแม่แต"},"tele_station_lat":19.00985,"tele_station_long":98.95974,"tele_station_oldcode":"P.67","tele_station_type":"tele_waterlevel","left_bank":642.278993,"right_bank":642.1749930000001,"min_bank":318.93,"ground_level":312.52,"offset":315.929993,"sub_basin_id":160,"agency_id":12,"geocode_id":4767,"hydro_id":1,"qmax":380.200012,"is_key_station":true,"warning_level_m":null,"critical_level_m":null,"critical_level_msl":null},"geocode":{"area_code":"3","area_name":{"th":"ภาคเหนือ","en":"North"},"amphoe_code":"07","amphoe_name":{"th":"แม่ริม","en":"Mae Rim District"},"tumbon_code":"04","tumbon_name":{"th":"ขี้เหล็ก","en":"Khi Lek"},"province_code":"50","province_name":{"th":"เชียงใหม่","en":"Chiang Mai"}},"diff_wl_bank":"2.86","diff_wl_bank_text":"ต่ำกว่าตลิ่ง (ม.)","river_gid":28899,"river_name":"แม่น้ำปิง"}</x:t>
  </x:si>
  <x:si>
    <x:t xml:space="preserve">THAIWATER_WL:2647</x:t>
  </x:si>
  <x:si>
    <x:t xml:space="preserve">X.186</x:t>
  </x:si>
  <x:si>
    <x:t xml:space="preserve">บ้านตลาดเก่า</x:t>
  </x:si>
  <x:si>
    <x:t xml:space="preserve">คลองตะกั่วป่า</x:t>
  </x:si>
  <x:si>
    <x:t xml:space="preserve">{"id":1316344808,"waterlevel_datetime":"2026-10-01 14:00","waterlevel_m":null,"waterlevel_msl":"-0.11","waterlevel_msl_previous":"-0.23","flow_rate":null,"discharge":null,"storage_percent":"55.14","sort_order":null,"station_type":"tele_waterlevel","situation_level":3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2647,"tele_station_name":{"th":"บ้านตลาดเก่า"},"tele_station_lat":8.82934,"tele_station_long":98.36924,"tele_station_oldcode":"X.186","tele_station_type":"tele_waterlevel","left_bank":5.787,"right_bank":5.879,"min_bank":4.4,"ground_level":-5.654,"offset":null,"sub_basin_id":344,"agency_id":12,"geocode_id":7463,"hydro_id":8,"qmax":null,"is_key_station":true,"warning_level_m":null,"critical_level_m":null,"critical_level_msl":null},"geocode":{"area_code":"5","area_name":{"th":"ภาคใต้","en":"South"},"amphoe_code":"05","amphoe_name":{"th":"ตะกั่วป่า","en":"Takua Pa District"},"tumbon_code":"06","tumbon_name":{"th":"โคกเคียน","en":"Khok Khian"},"province_code":"82","province_name":{"th":"พังงา","en":"Phangnga"}},"diff_wl_bank":"4.51","diff_wl_bank_text":"ต่ำกว่าตลิ่ง (ม.)","river_gid":217525,"river_name":"คลองตะกั่วป่า"}</x:t>
  </x:si>
  <x:si>
    <x:t xml:space="preserve">THAIWATER_WL:9931006</x:t>
  </x:si>
  <x:si>
    <x:t xml:space="preserve">LDD003</x:t>
  </x:si>
  <x:si>
    <x:t xml:space="preserve">บ้านน้ำผึ้ง</x:t>
  </x:si>
  <x:si>
    <x:t xml:space="preserve">{"id":1316368080,"waterlevel_datetime":"2026-10-01 15:10","waterlevel_m":null,"waterlevel_msl":"157.31","waterlevel_msl_previous":"157.31","flow_rate":null,"discharge":null,"storage_percent":"54.69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Basin"}},"station":{"id":9931006,"tele_station_name":{"en":"Ban Nam Phueng","th":"บ้านน้ำผึ้ง"},"tele_station_lat":15.95243,"tele_station_long":103.19807,"tele_station_oldcode":"LDD003","tele_station_type":"tele_waterlevel","left_bank":159.1583,"right_bank":159.5293,"min_bank":159.16,"ground_level":155.068,"offset":null,"sub_basin_id":130,"agency_id":9,"geocode_id":3922,"hydro_id":null,"qmax":null,"is_key_station":false,"warning_level_m":null,"critical_level_m":null,"critical_level_msl":null},"geocode":{"area_code":"4","area_name":{"th":"ภาคตะวันออกเฉียงเหนือ","en":"Northeast"},"amphoe_code":"06","amphoe_name":{"th":"บรบือ","en":"Borabue District"},"tumbon_code":"05","tumbon_name":{"th":"หนองม่วง","en":"Nong Muang"},"province_code":"44","province_name":{"th":"มหาสารคาม","en":"Maha Sarakham"}},"diff_wl_bank":"1.85","diff_wl_bank_text":"ต่ำกว่าตลิ่ง (ม.)"}</x:t>
  </x:si>
  <x:si>
    <x:t xml:space="preserve">THAIWATER_WL:1394808</x:t>
  </x:si>
  <x:si>
    <x:t xml:space="preserve">MOU246</x:t>
  </x:si>
  <x:si>
    <x:t xml:space="preserve">สะพานน้ำลำตะคอง</x:t>
  </x:si>
  <x:si>
    <x:t xml:space="preserve">{"id":1316367769,"waterlevel_datetime":"2026-10-01 15:10","waterlevel_m":null,"waterlevel_msl":"346.49","waterlevel_msl_previous":"346.48","flow_rate":null,"discharge":null,"storage_percent":"54.69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Foundation","jp":""},"agency_shortname":{"th":"พพภ","en":"FOP","jp":""}},"basin":{"id":5,"basin_code":5,"basin_name":{"th":"ลุ่มน้ำมูล","en":"Mun Basin"}},"station":{"id":1394808,"tele_station_name":{"en":"Lam Takhong Nam Bridge","th":"สะพานน้ำลำตะคอง"},"tele_station_lat":14.550208,"tele_station_long":101.459465,"tele_station_oldcode":"MOU246","tele_station_type":"tele_waterlevel","left_bank":349.854,"right_bank":348.399,"min_bank":348.4,"ground_level":344.186,"offset":null,"sub_basin_id":108,"sponsor_by":"มูลนิธิอาสาเพื่อนพึ่ง (ภาฯ) ยามยาก สภากาชาดไทย","agency_id":91,"geocode_id":1919,"hydro_id":null,"qmax":null,"is_key_station":false,"warning_level_m":null,"critical_level_m":null,"critical_level_msl":null},"geocode":{"area_code":"4","area_name":{"th":"ภาคตะวันออกเฉียงเหนือ","en":"Northeast"},"amphoe_code":"21","amphoe_name":{"th":"ปากช่อง","en":"Pak Chong District"},"tumbon_code":"05","tumbon_name":{"th":"หมูสี","en":"Mu Si"},"province_code":"30","province_name":{"th":"นครราชสีมา","en":"Nakhon Ratchasima"}},"diff_wl_bank":"1.91","diff_wl_bank_text":"ต่ำกว่าตลิ่ง (ม.)"}</x:t>
  </x:si>
  <x:si>
    <x:t xml:space="preserve">THAIWATER_WL:740538</x:t>
  </x:si>
  <x:si>
    <x:t xml:space="preserve">AIT009</x:t>
  </x:si>
  <x:si>
    <x:t xml:space="preserve">สะพานบังอี่</x:t>
  </x:si>
  <x:si>
    <x:t xml:space="preserve">ห้วยบังอี</x:t>
  </x:si>
  <x:si>
    <x:t xml:space="preserve">{"id":1316362872,"waterlevel_datetime":"2026-10-01 15:00","waterlevel_m":null,"waterlevel_msl":"127.43","waterlevel_msl_previous":"127.43","flow_rate":null,"discharge":null,"storage_percent":"54.53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Basin"}},"station":{"id":740538,"tele_station_name":{"en":"Bang Ee Bridge","th":"สะพานบังอี่"},"tele_station_lat":16.345835,"tele_station_long":104.889885,"tele_station_oldcode":"AIT009","tele_station_type":"tele_waterlevel","left_bank":136.049,"right_bank":131.767,"min_bank":131.77,"ground_level":122.228,"offset":null,"sub_basin_id":74,"sponsor_by":"สถาบันเทคโนโลยีแห่งเอเชีย","agency_id":9,"geocode_id":4654,"hydro_id":null,"qmax":null,"is_key_station":false,"warning_level_m":null,"critical_level_m":null,"critical_level_msl":null},"geocode":{"area_code":"4","area_name":{"th":"ภาคตะวันออกเฉียงเหนือ","en":"Northeast"},"amphoe_code":"03","amphoe_name":{"th":"ดอนตาล","en":"Don Tan District"},"tumbon_code":"02","tumbon_name":{"th":"โพธิ์ไทร","en":"Pho Sai"},"province_code":"49","province_name":{"th":"มุกดาหาร","en":"Mukdahan"}},"diff_wl_bank":"4.34","diff_wl_bank_text":"ต่ำกว่าตลิ่ง (ม.)","river_gid":131350,"river_name":"ห้วยบังอี"}</x:t>
  </x:si>
  <x:si>
    <x:t xml:space="preserve">THAIWATER_WL:2900</x:t>
  </x:si>
  <x:si>
    <x:t xml:space="preserve">P.7A</x:t>
  </x:si>
  <x:si>
    <x:t xml:space="preserve">{"id":1316341593,"waterlevel_datetime":"2026-10-01 14:00","waterlevel_m":null,"waterlevel_msl":"73.71","waterlevel_msl_previous":"73.73","flow_rate":null,"discharge":"526.13","storage_percent":"54.47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2900,"tele_station_name":{"th":"ต.ในเมือง"},"tele_station_lat":16.47772,"tele_station_long":99.517921,"tele_station_oldcode":"P.7A","tele_station_type":"tele_waterlevel","left_bank":149.720003,"right_bank":149.55100299999998,"min_bank":77.07,"ground_level":69.69,"offset":71.730003,"sub_basin_id":185,"agency_id":12,"geocode_id":5875,"hydro_id":2,"qmax":3000,"is_key_station":true,"warning_level_m":null,"critical_level_m":null,"critical_level_msl":null},"geocode":{"area_code":"3","area_name":{"th":"ภาคเหนือ","en":"North"},"amphoe_code":"01","amphoe_name":{"th":"เมืองกำแพงเพชร","en":"Mueang Kamphaeng Phet District"},"tumbon_code":"01","tumbon_name":{"th":"ในเมือง","en":"Nai Mueang"},"province_code":"62","province_name":{"th":"กำแพงเพชร","en":"Kamphaeng Phet"}},"diff_wl_bank":"3.36","diff_wl_bank_text":"ต่ำกว่าตลิ่ง (ม.)","river_gid":96424,"river_name":"แม่น้ำปิง"}</x:t>
  </x:si>
  <x:si>
    <x:t xml:space="preserve">THAIWATER_WL:3233</x:t>
  </x:si>
  <x:si>
    <x:t xml:space="preserve">Y.24</x:t>
  </x:si>
  <x:si>
    <x:t xml:space="preserve">บ้านมาง</x:t>
  </x:si>
  <x:si>
    <x:t xml:space="preserve">น้ำปี้</x:t>
  </x:si>
  <x:si>
    <x:t xml:space="preserve">{"id":1316351094,"waterlevel_datetime":"2026-10-01 14:00","waterlevel_m":null,"waterlevel_msl":"260.62","waterlevel_msl_previous":"260.61","flow_rate":null,"discharge":"9.52","storage_percent":"53.37","sort_order":null,"station_type":"tele_waterlevel","situation_level":3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3233,"tele_station_name":{"th":"บ้านมาง"},"tele_station_lat":18.882099,"tele_station_long":100.291382,"tele_station_oldcode":"Y.24","tele_station_type":"tele_waterlevel","left_bank":524.003989,"right_bank":524.459989,"min_bank":263.77,"ground_level":257.015,"offset":257.769989,"sub_basin_id":200,"agency_id":12,"geocode_id":5410,"hydro_id":1,"qmax":329.399994,"is_key_station":true,"warning_level_m":null,"critical_level_m":null,"critical_level_msl":null},"geocode":{"area_code":"3","area_name":{"th":"ภาคเหนือ","en":"North"},"amphoe_code":"04","amphoe_name":{"th":"เชียงม่วน","en":"Chiang Muan District"},"tumbon_code":"01","tumbon_name":{"th":"เชียงม่วน","en":"Chiang Muan"},"province_code":"56","province_name":{"th":"พะเยา","en":"Phayao"}},"diff_wl_bank":"3.15","diff_wl_bank_text":"ต่ำกว่าตลิ่ง (ม.)","river_gid":34624,"river_name":"น้ำปี้"}</x:t>
  </x:si>
  <x:si>
    <x:t xml:space="preserve">THAIWATER_WL:2874</x:t>
  </x:si>
  <x:si>
    <x:t xml:space="preserve">E.16A</x:t>
  </x:si>
  <x:si>
    <x:t xml:space="preserve">บ้านกุดกว้าง</x:t>
  </x:si>
  <x:si>
    <x:t xml:space="preserve">{"id":1316353887,"waterlevel_datetime":"2026-10-01 14:00","waterlevel_m":null,"waterlevel_msl":"147.45","waterlevel_msl_previous":"147.47","flow_rate":null,"discharge":"36.43","storage_percent":"53.30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2874,"tele_station_name":{"th":"บ้านกุดกว้าง"},"tele_station_lat":16.356001,"tele_station_long":102.804291,"tele_station_oldcode":"E.16A","tele_station_type":"tele_waterlevel","left_bank":298.050997,"right_bank":297.52299700000003,"min_bank":152.3,"ground_level":141.914,"offset":142.699997,"sub_basin_id":84,"agency_id":12,"geocode_id":3223,"hydro_id":3,"qmax":650,"is_key_station":true,"warning_level_m":null,"critical_level_m":9.6,"critical_level_msl":152.3},"geocode":{"area_code":"4","area_name":{"th":"ภาคตะวันออกเฉียงเหนือ","en":"Northeast"},"amphoe_code":"01","amphoe_name":{"th":"เมืองขอนแก่น","en":"Mueang Khon Kaen District"},"tumbon_code":"04","tumbon_name":{"th":"ท่าพระ","en":"Tha Phra"},"province_code":"40","province_name":{"th":"ขอนแก่น","en":"Khon Kaen"}},"diff_wl_bank":"4.85","diff_wl_bank_text":"ต่ำกว่าตลิ่ง (ม.)","river_gid":132342,"river_name":"แม่น้ำชี"}</x:t>
  </x:si>
  <x:si>
    <x:t xml:space="preserve">THAIWATER_WL:653</x:t>
  </x:si>
  <x:si>
    <x:t xml:space="preserve">YOM006</x:t>
  </x:si>
  <x:si>
    <x:t xml:space="preserve">สวรรคโลก</x:t>
  </x:si>
  <x:si>
    <x:t xml:space="preserve">{"id":1316368438,"waterlevel_datetime":"2026-10-01 15:10","waterlevel_m":null,"waterlevel_msl":"52.95","waterlevel_msl_previous":"52.95","flow_rate":null,"discharge":null,"storage_percent":"52.92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Basin"}},"station":{"id":653,"tele_station_name":{"en":"Yom 6","th":"สวรรคโลก"},"tele_station_lat":17.2019,"tele_station_long":99.86388,"tele_station_oldcode":"YOM006","tele_station_type":"tele_waterlevel","left_bank":58.968,"right_bank":58.411,"min_bank":58.41,"ground_level":46.818,"offset":null,"sub_basin_id":209,"agency_id":9,"geocode_id":6115,"hydro_id":null,"qmax":null,"is_key_station":false,"warning_level_m":null,"critical_level_m":null,"critical_level_msl":null},"geocode":{"area_code":"3","area_name":{"th":"ภาคเหนือ","en":"North"},"amphoe_code":"07","amphoe_name":{"th":"สวรรคโลก","en":"Sawankhalok District"},"tumbon_code":"10","tumbon_name":{"th":"ท่าทอง","en":"Tha Thong"},"province_code":"64","province_name":{"th":"สุโขทัย","en":"Sukhothai"}},"diff_wl_bank":"5.46","diff_wl_bank_text":"ต่ำกว่าตลิ่ง (ม.)","river_gid":87496,"river_name":"แม่น้ำยม"}</x:t>
  </x:si>
  <x:si>
    <x:t xml:space="preserve">THAIWATER_WL:3283</x:t>
  </x:si>
  <x:si>
    <x:t xml:space="preserve">P.71A</x:t>
  </x:si>
  <x:si>
    <x:t xml:space="preserve">บ้านกลาง</x:t>
  </x:si>
  <x:si>
    <x:t xml:space="preserve">น้ำแม่ขาน</x:t>
  </x:si>
  <x:si>
    <x:t xml:space="preserve">{"id":1316351113,"waterlevel_datetime":"2026-10-01 14:00","waterlevel_m":null,"waterlevel_msl":"285.80","waterlevel_msl_previous":"285.81","flow_rate":null,"discharge":"28.80","storage_percent":"52.84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3283,"tele_station_name":{"th":"บ้านกลาง"},"tele_station_lat":18.54735,"tele_station_long":98.862282,"tele_station_oldcode":"P.71A","tele_station_type":"tele_waterlevel","left_bank":573.436009,"right_bank":573.4140090000001,"min_bank":288.29,"ground_level":283.01,"offset":283.290009,"sub_basin_id":165,"agency_id":12,"geocode_id":4813,"hydro_id":1,"qmax":129.679993,"is_key_station":false,"warning_level_m":null,"critical_level_m":null,"critical_level_msl":null},"geocode":{"area_code":"3","area_name":{"th":"ภาคเหนือ","en":"North"},"amphoe_code":"12","amphoe_name":{"th":"สันป่าตอง","en":"San Pa Tong District"},"tumbon_code":"03","tumbon_name":{"th":"ท่าวังพร้าว","en":"Tha Wang Phrao"},"province_code":"50","province_name":{"th":"เชียงใหม่","en":"Chiang Mai"}},"diff_wl_bank":"2.49","diff_wl_bank_text":"ต่ำกว่าตลิ่ง (ม.)","river_gid":50240,"river_name":"น้ำแม่ขาน"}</x:t>
  </x:si>
  <x:si>
    <x:t xml:space="preserve">THAIWATER_WL:3152</x:t>
  </x:si>
  <x:si>
    <x:t xml:space="preserve">W.22</x:t>
  </x:si>
  <x:si>
    <x:t xml:space="preserve">บ้านวังพร้าว</x:t>
  </x:si>
  <x:si>
    <x:t xml:space="preserve">แม่น้ำจาง</x:t>
  </x:si>
  <x:si>
    <x:t xml:space="preserve">{"id":1316268576,"waterlevel_datetime":"2026-10-01 11:00","waterlevel_m":null,"waterlevel_msl":"216.13","waterlevel_msl_previous":"216.14","flow_rate":null,"discharge":"34.60","storage_percent":"52.61","sort_order":null,"station_type":"tele_waterlevel","situation_level":3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3152,"tele_station_name":{"th":"บ้านวังพร้าว"},"tele_station_lat":18.14444,"tele_station_long":99.408463,"tele_station_oldcode":"W.22","tele_station_type":"tele_waterlevel","left_bank":436.375004,"right_bank":436.395004,"min_bank":218.66,"ground_level":213.321,"offset":215.160004,"sub_basin_id":191,"agency_id":12,"geocode_id":5010,"hydro_id":1,"qmax":310.600006,"is_key_station":false,"warning_level_m":null,"critical_level_m":null,"critical_level_msl":null},"geocode":{"area_code":"3","area_name":{"th":"ภาคเหนือ","en":"North"},"amphoe_code":"03","amphoe_name":{"th":"เกาะคา","en":"Ko Kha District"},"tumbon_code":"04","tumbon_name":{"th":"วังพร้าว","en":"Wang Phrao"},"province_code":"52","province_name":{"th":"ลำปาง","en":"Lampang"}},"diff_wl_bank":"2.53","diff_wl_bank_text":"ต่ำกว่าตลิ่ง (ม.)","river_gid":66207,"river_name":"แม่น้ำจาง"}</x:t>
  </x:si>
  <x:si>
    <x:t xml:space="preserve">THAIWATER_WL:482</x:t>
  </x:si>
  <x:si>
    <x:t xml:space="preserve">NAN004</x:t>
  </x:si>
  <x:si>
    <x:t xml:space="preserve">พิชัย</x:t>
  </x:si>
  <x:si>
    <x:t xml:space="preserve">{"id":1316368162,"waterlevel_datetime":"2026-10-01 15:10","waterlevel_m":null,"waterlevel_msl":"47.81","waterlevel_msl_previous":"47.81","flow_rate":null,"discharge":null,"storage_percent":"52.56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Basin"}},"station":{"id":482,"tele_station_name":{"en":"Nan 4","th":"พิชัย"},"tele_station_lat":17.29433,"tele_station_long":100.08282,"tele_station_oldcode":"NAN004","tele_station_type":"tele_waterlevel","left_bank":52.654,"right_bank":51.539,"min_bank":51.54,"ground_level":43.678,"offset":null,"sub_basin_id":232,"agency_id":9,"geocode_id":5146,"hydro_id":null,"qmax":null,"is_key_station":false,"warning_level_m":null,"critical_level_m":null,"critical_level_msl":null},"geocode":{"area_code":"3","area_name":{"th":"ภาคเหนือ","en":"North"},"amphoe_code":"07","amphoe_name":{"th":"พิชัย","en":"Phichai District"},"tumbon_code":"01","tumbon_name":{"th":"ในเมือง","en":"Nai Mueang"},"province_code":"53","province_name":{"th":"อุตรดิตถ์","en":"Uttaradit"}},"diff_wl_bank":"3.73","diff_wl_bank_text":"ต่ำกว่าตลิ่ง (ม.)","river_gid":85199,"river_name":"แม่น้ำน่าน"}</x:t>
  </x:si>
  <x:si>
    <x:t xml:space="preserve">THAIWATER_WL:427</x:t>
  </x:si>
  <x:si>
    <x:t xml:space="preserve">TB0006</x:t>
  </x:si>
  <x:si>
    <x:t xml:space="preserve">สะพานโยธาอำนวยพัฒนา</x:t>
  </x:si>
  <x:si>
    <x:t xml:space="preserve">{"id":1316368340,"waterlevel_datetime":"2026-10-01 15:10","waterlevel_m":null,"waterlevel_msl":"290.73","waterlevel_msl_previous":"290.73","flow_rate":null,"discharge":null,"storage_percent":"52.28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Basin"}},"station":{"id":427,"tele_station_name":{"en":"Civil Bridge","th":"สะพานโยธาอำนวยพัฒนา"},"tele_station_lat":18.57391,"tele_station_long":98.86222,"tele_station_oldcode":"TB0006","tele_station_type":"tele_waterlevel","left_bank":292.182,"right_bank":293.284,"min_bank":292.18,"ground_level":289.139,"offset":null,"sub_basin_id":165,"agency_id":9,"geocode_id":4818,"hydro_id":null,"qmax":null,"is_key_station":false,"warning_level_m":null,"critical_level_m":null,"critical_level_msl":null},"geocode":{"area_code":"3","area_name":{"th":"ภาคเหนือ","en":"North"},"amphoe_code":"12","amphoe_name":{"th":"สันป่าตอง","en":"San Pa Tong District"},"tumbon_code":"08","tumbon_name":{"th":"ทุ่งสะโตก","en":"Thung Satok"},"province_code":"50","province_name":{"th":"เชียงใหม่","en":"Chiang Mai"}},"diff_wl_bank":"1.45","diff_wl_bank_text":"ต่ำกว่าตลิ่ง (ม.)","river_gid":49258,"river_name":"น้ำแม่ขาน"}</x:t>
  </x:si>
  <x:si>
    <x:t xml:space="preserve">THAIWATER_WL:758</x:t>
  </x:si>
  <x:si>
    <x:t xml:space="preserve">PCH001</x:t>
  </x:si>
  <x:si>
    <x:t xml:space="preserve">เมืองเพชรบุรี</x:t>
  </x:si>
  <x:si>
    <x:t xml:space="preserve">{"id":1316368230,"waterlevel_datetime":"2026-10-01 15:10","waterlevel_m":null,"waterlevel_msl":"2.96","waterlevel_msl_previous":"2.95","flow_rate":null,"discharge":null,"storage_percent":"52.21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Organization)","jp":""},"agency_shortname":{"th":"สสน.","en":"HII","jp":""}},"basin":{"id":20,"basin_code":18,"basin_name":{"th":"ลุ่มน้ำเพชรบุรี-ประจวบคีรีขันธ์","en":"Phetchaburi - Prachuap Khiri Khan Basin"}},"station":{"id":758,"tele_station_name":{"en":"Petch Buri 1","th":"เมืองเพชรบุรี"},"tele_station_lat":13.08562,"tele_station_long":99.94393,"tele_station_oldcode":"PCH001","tele_station_type":"tele_waterlevel","left_bank":6.554,"right_bank":6,"min_bank":6,"ground_level":-0.371,"offset":null,"sub_basin_id":302,"agency_id":9,"geocode_id":7025,"hydro_id":null,"qmax":null,"is_key_station":false,"warning_level_m":null,"critical_level_m":null,"critical_level_msl":null},"geocode":{"area_code":"2","area_name":{"th":"ภาคกลาง","en":"Central"},"amphoe_code":"01","amphoe_name":{"th":"เมืองเพชรบุรี","en":"Mueang Phetchaburi District"},"tumbon_code":"12","tumbon_name":{"th":"ต้นมะม่วง","en":"Ton Mamuang"},"province_code":"76","province_name":{"th":"เพชรบุรี","en":"Phetchaburi"}},"diff_wl_bank":"3.04","diff_wl_bank_text":"ต่ำกว่าตลิ่ง (ม.)","river_gid":209477,"river_name":"แม่น้ำเพชรบุรี"}</x:t>
  </x:si>
  <x:si>
    <x:t xml:space="preserve">THAIWATER_WL:1113284</x:t>
  </x:si>
  <x:si>
    <x:t xml:space="preserve">SKD06</x:t>
  </x:si>
  <x:si>
    <x:t xml:space="preserve">อ.น้ำปาด (N.33)</x:t>
  </x:si>
  <x:si>
    <x:t xml:space="preserve">น้ำปาด</x:t>
  </x:si>
  <x:si>
    <x:t xml:space="preserve">{"id":1316366856,"waterlevel_datetime":"2026-10-01 15:00","waterlevel_m":null,"waterlevel_msl":"81.33","waterlevel_msl_previous":"81.32","flow_rate":null,"discharge":null,"storage_percent":"52.08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Thailand","jp":""},"agency_shortname":{"th":"กฟผ.","en":"EGAT","jp":""}},"basin":{"id":9,"basin_code":9,"basin_name":{"th":"ลุ่มน้ำน่าน","en":"Nan Basin"}},"station":{"id":1113284,"tele_station_name":{"th":"อ.น้ำปาด (N.33)"},"tele_station_lat":17.718473,"tele_station_long":100.577058,"tele_station_oldcode":"SKD06","tele_station_type":"tele_waterlevel","left_bank":87.12,"right_bank":84.413,"min_bank":84.41,"ground_level":77.98,"offset":null,"sub_basin_id":229,"agency_id":8,"geocode_id":5128,"hydro_id":null,"qmax":null,"is_key_station":false,"warning_level_m":null,"critical_level_m":null,"critical_level_msl":84.41},"geocode":{"area_code":"3","area_name":{"th":"ภาคเหนือ","en":"North"},"amphoe_code":"04","amphoe_name":{"th":"น้ำปาด","en":"Nam Pat District"},"tumbon_code":"01","tumbon_name":{"th":"แสนตอ","en":"Saen To"},"province_code":"53","province_name":{"th":"อุตรดิตถ์","en":"Uttaradit"}},"diff_wl_bank":"3.08","diff_wl_bank_text":"ต่ำกว่าตลิ่ง (ม.)","river_gid":77718,"river_name":"น้ำปาด"}</x:t>
  </x:si>
  <x:si>
    <x:t xml:space="preserve">THAIWATER_WL:333</x:t>
  </x:si>
  <x:si>
    <x:t xml:space="preserve">CHI006</x:t>
  </x:si>
  <x:si>
    <x:t xml:space="preserve">เมืองขอนแก่น</x:t>
  </x:si>
  <x:si>
    <x:t xml:space="preserve">{"id":1316367965,"waterlevel_datetime":"2026-10-01 15:10","waterlevel_m":null,"waterlevel_msl":"147.51","waterlevel_msl_previous":"147.51","flow_rate":null,"discharge":null,"storage_percent":"52.01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Organization)","jp":""},"agency_shortname":{"th":"สสน.","en":"HII","jp":""}},"basin":{"id":4,"basin_code":4,"basin_name":{"th":"ลุ่มน้ำชี","en":"Chi Basin Basin"}},"station":{"id":333,"tele_station_name":{"en":"Chi 6","th":"เมืองขอนแก่น"},"tele_station_lat":16.3259,"tele_station_long":102.78601,"tele_station_oldcode":"CHI006","tele_station_type":"tele_waterlevel","left_bank":153.038,"right_bank":153.281,"min_bank":153.04,"ground_level":141.512,"offset":null,"sub_basin_id":84,"agency_id":9,"geocode_id":3223,"hydro_id":null,"qmax":null,"is_key_station":false,"warning_level_m":null,"critical_level_m":null,"critical_level_msl":null},"geocode":{"area_code":"4","area_name":{"th":"ภาคตะวันออกเฉียงเหนือ","en":"Northeast"},"amphoe_code":"01","amphoe_name":{"th":"เมืองขอนแก่น","en":"Mueang Khon Kaen District"},"tumbon_code":"04","tumbon_name":{"th":"ท่าพระ","en":"Tha Phra"},"province_code":"40","province_name":{"th":"ขอนแก่น","en":"Khon Kaen"}},"diff_wl_bank":"5.53","diff_wl_bank_text":"ต่ำกว่าตลิ่ง (ม.)","river_gid":132338,"river_name":"แม่น้ำชี"}</x:t>
  </x:si>
  <x:si>
    <x:t xml:space="preserve">THAIWATER_WL:2763</x:t>
  </x:si>
  <x:si>
    <x:t xml:space="preserve">M.4</x:t>
  </x:si>
  <x:si>
    <x:t xml:space="preserve">บ้านพงสวาย</x:t>
  </x:si>
  <x:si>
    <x:t xml:space="preserve">{"id":1316340549,"waterlevel_datetime":"2026-10-01 14:00","waterlevel_m":null,"waterlevel_msl":"120.62","waterlevel_msl_previous":"120.58","flow_rate":null,"discharge":"243.00","storage_percent":"51.99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2763,"tele_station_name":{"th":"บ้านพงสวาย"},"tele_station_lat":15.32958,"tele_station_long":103.68261,"tele_station_oldcode":"M.4","tele_station_type":"tele_waterlevel","left_bank":245.767,"right_bank":246.273,"min_bank":125.2,"ground_level":115.66,"offset":117,"sub_basin_id":126,"agency_id":12,"geocode_id":2240,"hydro_id":4,"qmax":1300,"is_key_station":true,"warning_level_m":null,"critical_level_m":null,"critical_level_msl":null},"geocode":{"area_code":"4","area_name":{"th":"ภาคตะวันออกเฉียงเหนือ","en":"Northeast"},"amphoe_code":"03","amphoe_name":{"th":"ท่าตูม","en":"Tha Tum District"},"tumbon_code":"01","tumbon_name":{"th":"ท่าตูม","en":"Tha Tum"},"province_code":"32","province_name":{"th":"สุรินทร์","en":"Surin"}},"diff_wl_bank":"4.58","diff_wl_bank_text":"ต่ำกว่าตลิ่ง (ม.)","river_gid":145542,"river_name":"แม่น้ำมูล"}</x:t>
  </x:si>
  <x:si>
    <x:t xml:space="preserve">THAIWATER_WL:2975</x:t>
  </x:si>
  <x:si>
    <x:t xml:space="preserve">E.65</x:t>
  </x:si>
  <x:si>
    <x:t xml:space="preserve">บ้านท่าไฮ</x:t>
  </x:si>
  <x:si>
    <x:t xml:space="preserve">ห้วยลำปาว</x:t>
  </x:si>
  <x:si>
    <x:t xml:space="preserve">{"id":1316353905,"waterlevel_datetime":"2026-10-01 14:00","waterlevel_m":null,"waterlevel_msl":"163.09","waterlevel_msl_previous":"163.09","flow_rate":null,"discharge":"33.80","storage_percent":"51.98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2975,"tele_station_name":{"th":"บ้านท่าไฮ"},"tele_station_lat":16.95174,"tele_station_long":103.168053,"tele_station_oldcode":"E.65","tele_station_type":"tele_waterlevel","left_bank":328.58299999999997,"right_bank":328.55899999999997,"min_bank":166,"ground_level":159.94,"offset":159,"sub_basin_id":97,"agency_id":12,"geocode_id":4321,"hydro_id":3,"qmax":210,"is_key_station":false,"warning_level_m":null,"critical_level_m":null,"critical_level_msl":null},"geocode":{"area_code":"4","area_name":{"th":"ภาคตะวันออกเฉียงเหนือ","en":"Northeast"},"amphoe_code":"11","amphoe_name":{"th":"ท่าคันโท","en":"Tha Khantho District"},"tumbon_code":"02","tumbon_name":{"th":"กุงเก่า","en":"Kung Kao"},"province_code":"46","province_name":{"th":"กาฬสินธุ์","en":"Kalasin"}},"diff_wl_bank":"2.91","diff_wl_bank_text":"ต่ำกว่าตลิ่ง (ม.)","river_gid":124623,"river_name":"ห้วยลำปาว"}</x:t>
  </x:si>
  <x:si>
    <x:t xml:space="preserve">THAIWATER_WL:3226</x:t>
  </x:si>
  <x:si>
    <x:t xml:space="preserve">P.1</x:t>
  </x:si>
  <x:si>
    <x:t xml:space="preserve">สะพานนวรัฐ</x:t>
  </x:si>
  <x:si>
    <x:t xml:space="preserve">{"id":1316351099,"waterlevel_datetime":"2026-10-01 14:00","waterlevel_m":null,"waterlevel_msl":"301.82","waterlevel_msl_previous":"301.82","flow_rate":null,"discharge":"104.12","storage_percent":"51.92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3226,"tele_station_name":{"th":"สะพานนวรัฐ"},"tele_station_lat":18.786961,"tele_station_long":99.005089,"tele_station_oldcode":"P.1","tele_station_type":"tele_waterlevel","left_bank":608.356,"right_bank":608.288,"min_bank":304.2,"ground_level":299.25,"offset":300.5,"sub_basin_id":162,"agency_id":12,"geocode_id":4697,"hydro_id":1,"qmax":425,"is_key_station":true,"warning_level_m":null,"critical_level_m":3.7,"critical_level_msl":304.2},"geocode":{"area_code":"3","area_name":{"th":"ภาคเหนือ","en":"North"},"amphoe_code":"01","amphoe_name":{"th":"เมืองเชียงใหม่","en":"Mueang Chiang Mai District"},"tumbon_code":"06","tumbon_name":{"th":"วัดเกต","en":"Wat Ket"},"province_code":"50","province_name":{"th":"เชียงใหม่","en":"Chiang Mai"}},"diff_wl_bank":"2.38","diff_wl_bank_text":"ต่ำกว่าตลิ่ง (ม.)","river_gid":39482,"river_name":"แม่น้ำปิง"}</x:t>
  </x:si>
  <x:si>
    <x:t xml:space="preserve">THAIWATER_WL:1556820</x:t>
  </x:si>
  <x:si>
    <x:t xml:space="preserve">MOU167</x:t>
  </x:si>
  <x:si>
    <x:t xml:space="preserve">สะพานน้ำแม่สรวย</x:t>
  </x:si>
  <x:si>
    <x:t xml:space="preserve">{"id":1316362706,"waterlevel_datetime":"2026-10-01 15:00","waterlevel_m":null,"waterlevel_msl":"507.01","waterlevel_msl_previous":"507.02","flow_rate":null,"discharge":null,"storage_percent":"51.90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Foundation","jp":""},"agency_shortname":{"th":"พพภ","en":"FOP","jp":""}},"basin":{"id":2,"basin_code":2,"basin_name":{"th":"ลุ่มน้ำโขงเหนือ","en":"North Khong Basin"}},"station":{"id":1556820,"tele_station_name":{"en":"Mae Suai Bridge","th":"สะพานน้ำแม่สรวย"},"tele_station_lat":19.72628,"tele_station_long":99.50745,"tele_station_oldcode":"MOU167","tele_station_type":"tele_waterlevel","left_bank":514.486,"right_bank":515.155,"min_bank":514.49,"ground_level":498.936,"offset":null,"sub_basin_id":29,"agency_id":91,"geocode_id":5550,"hydro_id":null,"qmax":null,"is_key_station":false,"warning_level_m":null,"critical_level_m":null,"critical_level_msl":null},"geocode":{"area_code":"3","area_name":{"th":"ภาคเหนือ","en":"North"},"amphoe_code":"10","amphoe_name":{"th":"แม่สรวย","en":"Mae Suai District"},"tumbon_code":"06","tumbon_name":{"th":"วาวี","en":"Wawi"},"province_code":"57","province_name":{"th":"เชียงราย","en":"Chiang Rai"}},"diff_wl_bank":"7.48","diff_wl_bank_text":"ต่ำกว่าตลิ่ง (ม.)"}</x:t>
  </x:si>
  <x:si>
    <x:t xml:space="preserve">THAIWATER_WL:516216</x:t>
  </x:si>
  <x:si>
    <x:t xml:space="preserve">FOP011</x:t>
  </x:si>
  <x:si>
    <x:t xml:space="preserve">สะพานน้ำมวบ (บ้านภูแยง)</x:t>
  </x:si>
  <x:si>
    <x:t xml:space="preserve">น้ำมวบ</x:t>
  </x:si>
  <x:si>
    <x:t xml:space="preserve">{"id":1316367719,"waterlevel_datetime":"2026-10-01 15:10","waterlevel_m":null,"waterlevel_msl":"262.19","waterlevel_msl_previous":"262.19","flow_rate":null,"discharge":null,"storage_percent":"51.81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Basin"}},"station":{"id":516216,"tele_station_name":{"en":"Nam Muap (Ban Phu Yaeng) Bridge ","th":"สะพานน้ำมวบ (บ้านภูแยง)"},"tele_station_lat":18.924017,"tele_station_long":100.92668,"tele_station_oldcode":"FOP011","tele_station_type":"tele_waterlevel","left_bank":265.274,"right_bank":266.646,"min_bank":265.27,"ground_level":258.874,"offset":null,"sub_basin_id":219,"sponsor_by":"มูลนิธิอาสาเพื่อนพึ่ง (ภาฯ) ยามยาก สภากาชาดไทย","agency_id":91,"geocode_id":5350,"hydro_id":null,"qmax":null,"is_key_station":false,"warning_level_m":null,"critical_level_m":null,"critical_level_msl":null},"geocode":{"area_code":"3","area_name":{"th":"ภาคเหนือ","en":"North"},"amphoe_code":"11","amphoe_name":{"th":"สันติสุข","en":"Santi Suk District"},"tumbon_code":"01","tumbon_name":{"th":"ดู่พงษ์","en":"Du Phong"},"province_code":"55","province_name":{"th":"น่าน","en":"Nan"}},"diff_wl_bank":"3.08","diff_wl_bank_text":"ต่ำกว่าตลิ่ง (ม.)","river_gid":32263,"river_name":"น้ำมวบ"}</x:t>
  </x:si>
  <x:si>
    <x:t xml:space="preserve">THAIWATER_WL:1373690</x:t>
  </x:si>
  <x:si>
    <x:t xml:space="preserve">PTTEP1</x:t>
  </x:si>
  <x:si>
    <x:t xml:space="preserve"> สะพานข้ามคลองโคน</x:t>
  </x:si>
  <x:si>
    <x:t xml:space="preserve">{"id":1316368249,"waterlevel_datetime":"2026-10-01 15:10","waterlevel_m":null,"waterlevel_msl":"0.14","waterlevel_msl_previous":"0.16","flow_rate":null,"discharge":null,"storage_percent":"51.47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Organization)","jp":""},"agency_shortname":{"th":"สสน.","en":"HII","jp":""}},"basin":{"id":20,"basin_code":18,"basin_name":{"th":"ลุ่มน้ำเพชรบุรี-ประจวบคีรีขันธ์","en":"Phetchaburi - Prachuap Khiri Khan Basin"}},"station":{"id":1373690,"tele_station_name":{"en":"Khlong Khon Bridge ","th":" สะพานข้ามคลองโคน"},"tele_station_lat":13.3319,"tele_station_long":99.96896,"tele_station_oldcode":"PTTEP1","tele_station_type":"tele_waterlevel","left_bank":1.95,"right_bank":2.105,"min_bank":1.95,"ground_level":-1.78,"offset":null,"sub_basin_id":302,"sponsor_by":"บริษัท ปตท.สำรวจและผลิตปิโตรเลียม จำกัด (มหาชน)","agency_id":9,"geocode_id":6982,"hydro_id":null,"qmax":null,"is_key_station":false,"warning_level_m":null,"critical_level_m":null,"critical_level_msl":null},"geocode":{"area_code":"2","area_name":{"th":"ภาคกลาง","en":"Central"},"amphoe_code":"01","amphoe_name":{"th":"เมืองสมุทรสงคราม","en":"Mueang Samut Songkhram District"},"tumbon_code":"09","tumbon_name":{"th":"คลองโคน","en":"Khlong Khon"},"province_code":"75","province_name":{"th":"สมุทรสงคราม","en":"Samut Songkhram"}},"diff_wl_bank":"1.81","diff_wl_bank_text":"ต่ำกว่าตลิ่ง (ม.)"}</x:t>
  </x:si>
  <x:si>
    <x:t xml:space="preserve">THAIWATER_WL:2590</x:t>
  </x:si>
  <x:si>
    <x:t xml:space="preserve">X.174</x:t>
  </x:si>
  <x:si>
    <x:t xml:space="preserve">บ้านคลองหวะ</x:t>
  </x:si>
  <x:si>
    <x:t xml:space="preserve">คลองหวะ</x:t>
  </x:si>
  <x:si>
    <x:t xml:space="preserve">{"id":1316344803,"waterlevel_datetime":"2026-10-01 14:00","waterlevel_m":null,"waterlevel_msl":"4.57","waterlevel_msl_previous":"4.56","flow_rate":null,"discharge":"4.70","storage_percent":"51.46","sort_order":null,"station_type":"tele_waterlevel","situation_level":3,"agency":{"id":12,"agency_name":{"th":"กรมชลประทาน ","en":"Royal Irrigation Department","jp":""},"agency_shortname":{"th":"ชป.","en":"RID","jp":""}},"basin":{"id":24,"basin_code":20,"basin_name":{"th":"ลุ่มน้ำทะเลสาบสงขลา","en":"Thale Sap Songkhla Basin"}},"station":{"id":2590,"tele_station_name":{"th":"บ้านคลองหวะ"},"tele_station_lat":6.98637,"tele_station_long":100.481857,"tele_station_oldcode":"X.174","tele_station_type":"tele_waterlevel","left_bank":8.88,"right_bank":8.88,"min_bank":8.88,"ground_level":0,"offset":null,"sub_basin_id":330,"agency_id":12,"geocode_id":7874,"hydro_id":8,"qmax":190.100006,"is_key_station":true,"warning_level_m":null,"critical_level_m":null,"critical_level_msl":null},"geocode":{"area_code":"5","area_name":{"th":"ภาคใต้","en":"South"},"amphoe_code":"11","amphoe_name":{"th":"หาดใหญ่","en":"Hat Yai District"},"tumbon_code":"04","tumbon_name":{"th":"คอหงส์","en":"Kho Hong"},"province_code":"90","province_name":{"th":"สงขลา","en":"Songkhla"}},"diff_wl_bank":"4.31","diff_wl_bank_text":"ต่ำกว่าตลิ่ง (ม.)","river_gid":227421,"river_name":"คลองหวะ"}</x:t>
  </x:si>
  <x:si>
    <x:t xml:space="preserve">THAIWATER_WL:3240</x:t>
  </x:si>
  <x:si>
    <x:t xml:space="preserve">P.21</x:t>
  </x:si>
  <x:si>
    <x:t xml:space="preserve">บ้านริมใต้</x:t>
  </x:si>
  <x:si>
    <x:t xml:space="preserve">น้ำเหมือง</x:t>
  </x:si>
  <x:si>
    <x:t xml:space="preserve">{"id":1316351108,"waterlevel_datetime":"2026-10-01 14:00","waterlevel_m":null,"waterlevel_msl":"321.24","waterlevel_msl_previous":"321.25","flow_rate":null,"discharge":"11.46","storage_percent":"51.19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3240,"tele_station_name":{"th":"บ้านริมใต้"},"tele_station_lat":18.92746,"tele_station_long":98.939774,"tele_station_oldcode":"P.21","tele_station_type":"tele_waterlevel","left_bank":644.6300120000001,"right_bank":644.677012,"min_bank":323.5,"ground_level":318.87,"offset":319.700012,"sub_basin_id":161,"agency_id":12,"geocode_id":4765,"hydro_id":1,"qmax":50.650002,"is_key_station":false,"warning_level_m":null,"critical_level_m":null,"critical_level_msl":null},"geocode":{"area_code":"3","area_name":{"th":"ภาคเหนือ","en":"North"},"amphoe_code":"07","amphoe_name":{"th":"แม่ริม","en":"Mae Rim District"},"tumbon_code":"02","tumbon_name":{"th":"ริมเหนือ","en":"Rim Nuea"},"province_code":"50","province_name":{"th":"เชียงใหม่","en":"Chiang Mai"}},"diff_wl_bank":"2.26","diff_wl_bank_text":"ต่ำกว่าตลิ่ง (ม.)","river_gid":32692,"river_name":"น้ำเหมือง"}</x:t>
  </x:si>
  <x:si>
    <x:t xml:space="preserve">THAIWATER_WL:1117894</x:t>
  </x:si>
  <x:si>
    <x:t xml:space="preserve">M.199</x:t>
  </x:si>
  <x:si>
    <x:t xml:space="preserve">บ้านขนงพระเหนือ</x:t>
  </x:si>
  <x:si>
    <x:t xml:space="preserve">ลำโดมน้อย</x:t>
  </x:si>
  <x:si>
    <x:t xml:space="preserve">{"id":1316351119,"waterlevel_datetime":"2026-10-01 14:00","waterlevel_m":null,"waterlevel_msl":"331.24","waterlevel_msl_previous":"331.25","flow_rate":null,"discharge":"29.40","storage_percent":"51.14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1117894,"tele_station_name":{"th":"บ้านขนงพระเหนือ"},"tele_station_lat":14.60611,"tele_station_long":101.472778,"tele_station_oldcode":"M.199","tele_station_type":"tele_waterlevel","left_bank":663.260988,"right_bank":663.583988,"min_bank":333.8,"ground_level":328.56,"offset":328.799988,"sub_basin_id":154,"agency_id":12,"geocode_id":1921,"hydro_id":4,"qmax":190,"is_key_station":false,"warning_level_m":null,"critical_level_m":null,"critical_level_msl":null},"geocode":{"area_code":"4","area_name":{"th":"ภาคตะวันออกเฉียงเหนือ","en":"Northeast"},"amphoe_code":"21","amphoe_name":{"th":"ปากช่อง","en":"Pak Chong District"},"tumbon_code":"07","tumbon_name":{"th":"ขนงพระ","en":"Khanong Phra"},"province_code":"30","province_name":{"th":"นครราชสีมา","en":"Nakhon Ratchasima"}},"diff_wl_bank":"2.56","diff_wl_bank_text":"ต่ำกว่าตลิ่ง (ม.)","river_gid":150856,"river_name":"ลำโดมน้อย"}</x:t>
  </x:si>
  <x:si>
    <x:t xml:space="preserve">THAIWATER_WL:2559</x:t>
  </x:si>
  <x:si>
    <x:t xml:space="preserve">X.119A</x:t>
  </x:si>
  <x:si>
    <x:t xml:space="preserve">บริเวณสะพานลันตู</x:t>
  </x:si>
  <x:si>
    <x:t xml:space="preserve">{"id":1316344797,"waterlevel_datetime":"2026-10-01 14:00","waterlevel_m":null,"waterlevel_msl":"4.75","waterlevel_msl_previous":"4.75","flow_rate":null,"discharge":"47.50","storage_percent":"51.08","sort_order":null,"station_type":"tele_waterlevel","situation_level":3,"agency":{"id":12,"agency_name":{"th":"กรมชลประทาน ","en":"Royal Irrigation Department","jp":""},"agency_shortname":{"th":"ชป.","en":"RID","jp":""}},"basin":{"id":26,"basin_code":21,"basin_name":{"th":"ลุ่มน้ำภาคใต้ฝั่งตะวันออกตอนล่าง","en":"Peninsula - Lower East Coast Basin"}},"station":{"id":2559,"tele_station_name":{"th":"บริเวณสะพานลันตู"},"tele_station_lat":6.02261,"tele_station_long":101.974892,"tele_station_oldcode":"X.119A","tele_station_type":"tele_waterlevel","left_bank":10.483,"right_bank":9.785,"min_bank":9.3,"ground_level":0,"offset":null,"sub_basin_id":340,"agency_id":12,"geocode_id":8401,"hydro_id":8,"qmax":229,"is_key_station":true,"warning_level_m":null,"critical_level_m":8.2,"critical_level_msl":8.2},"geocode":{"area_code":"5","area_name":{"th":"ภาคใต้","en":"South"},"amphoe_code":"10","amphoe_name":{"th":"สุไหงโก-ลก","en":"Su-ngai Kolok District"},"tumbon_code":"01","tumbon_name":{"th":"สุไหงโก-ลก","en":"Su-Ngai Ko-Lok"},"province_code":"96","province_name":{"th":"นราธิวาส","en":"Narathiwat"}},"diff_wl_bank":"4.55","diff_wl_bank_text":"ต่ำกว่าตลิ่ง (ม.)","river_gid":231850,"river_name":"แม่น้ำโก-ลก"}</x:t>
  </x:si>
  <x:si>
    <x:t xml:space="preserve">THAIWATER_WL:693</x:t>
  </x:si>
  <x:si>
    <x:t xml:space="preserve">PAS001</x:t>
  </x:si>
  <x:si>
    <x:t xml:space="preserve">หล่มสัก</x:t>
  </x:si>
  <x:si>
    <x:t xml:space="preserve">{"id":1316368222,"waterlevel_datetime":"2026-10-01 15:10","waterlevel_m":null,"waterlevel_msl":"141.63","waterlevel_msl_previous":"141.64","flow_rate":null,"discharge":null,"storage_percent":"50.78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Organization)","jp":""},"agency_shortname":{"th":"สสน.","en":"HII","jp":""}},"basin":{"id":13,"basin_code":12,"basin_name":{"th":"ลุ่มน้ำป่าสัก","en":"Pasak Basin"}},"station":{"id":693,"tele_station_name":{"en":"Pa Sak 1","th":"หล่มสัก"},"tele_station_lat":16.78151,"tele_station_long":101.2467,"tele_station_oldcode":"PAS001","tele_station_type":"tele_waterlevel","left_bank":144.47,"right_bank":145.238,"min_bank":144.47,"ground_level":138.706,"offset":null,"sub_basin_id":247,"agency_id":9,"geocode_id":6368,"hydro_id":null,"qmax":null,"is_key_station":false,"warning_level_m":null,"critical_level_m":null,"critical_level_msl":null},"geocode":{"area_code":"3","area_name":{"th":"ภาคเหนือ","en":"North"},"amphoe_code":"03","amphoe_name":{"th":"หล่มสัก","en":"Lom Sak District"},"tumbon_code":"01","tumbon_name":{"th":"หล่มสัก","en":"Lom Sak"},"province_code":"67","province_name":{"th":"เพชรบูรณ์","en":"Phetchabun"}},"diff_wl_bank":"2.84","diff_wl_bank_text":"ต่ำกว่าตลิ่ง (ม.)","river_gid":163008,"river_name":"แม่น้ำป่าสัก"}</x:t>
  </x:si>
  <x:si>
    <x:t xml:space="preserve">THAIWATER_WL:2698</x:t>
  </x:si>
  <x:si>
    <x:t xml:space="preserve">M.89</x:t>
  </x:si>
  <x:si>
    <x:t xml:space="preserve">สำนักเทคโนโลยีชีวภัณฑ์สัตว์</x:t>
  </x:si>
  <x:si>
    <x:t xml:space="preserve">คลองลำตะคอง</x:t>
  </x:si>
  <x:si>
    <x:t xml:space="preserve">{"id":1316340556,"waterlevel_datetime":"2026-10-01 14:00","waterlevel_m":null,"waterlevel_msl":"294.42","waterlevel_msl_previous":"294.41","flow_rate":null,"discharge":"33.36","storage_percent":"50.58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2698,"tele_station_name":{"th":"สำนักเทคโนโลยีชีวภัณฑ์สัตว์"},"tele_station_lat":14.69785,"tele_station_long":101.415154,"tele_station_oldcode":"M.89","tele_station_type":"tele_waterlevel","left_bank":590.886994,"right_bank":590.882994,"min_bank":297.4,"ground_level":291.37,"offset":290.899994,"sub_basin_id":108,"agency_id":12,"geocode_id":1915,"hydro_id":4,"qmax":125,"is_key_station":true,"warning_level_m":null,"critical_level_m":null,"critical_level_msl":null},"geocode":{"area_code":"4","area_name":{"th":"ภาคตะวันออกเฉียงเหนือ","en":"Northeast"},"amphoe_code":"21","amphoe_name":{"th":"ปากช่อง","en":"Pak Chong District"},"tumbon_code":"01","tumbon_name":{"th":"ปากช่อง","en":"Pak Chong"},"province_code":"30","province_name":{"th":"นครราชสีมา","en":"Nakhon Ratchasima"}},"diff_wl_bank":"2.98","diff_wl_bank_text":"ต่ำกว่าตลิ่ง (ม.)","river_gid":152070,"river_name":"คลองลำตะคอง"}</x:t>
  </x:si>
  <x:si>
    <x:t xml:space="preserve">THAIWATER_WL:740720</x:t>
  </x:si>
  <x:si>
    <x:t xml:space="preserve">FOP019</x:t>
  </x:si>
  <x:si>
    <x:t xml:space="preserve">คลองสรอย วัดแม่ขมวก</x:t>
  </x:si>
  <x:si>
    <x:t xml:space="preserve">ห้วยแม่สรอย</x:t>
  </x:si>
  <x:si>
    <x:t xml:space="preserve">{"id":1316367724,"waterlevel_datetime":"2026-10-01 15:10","waterlevel_m":null,"waterlevel_msl":"155.71","waterlevel_msl_previous":"155.71","flow_rate":null,"discharge":null,"storage_percent":"50.34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Foundation","jp":""},"agency_shortname":{"th":"พพภ","en":"FOP","jp":""}},"basin":{"id":8,"basin_code":8,"basin_name":{"th":"ลุ่มน้ำยม","en":"Yom Basin"}},"station":{"id":740720,"tele_station_name":{"en":"Klong Soi Wat Mae Muak","th":"คลองสรอย วัดแม่ขมวก"},"tele_station_lat":17.775057,"tele_station_long":99.46933,"tele_station_oldcode":"FOP019","tele_station_type":"tele_waterlevel","left_bank":157.186,"right_bank":157.186,"min_bank":157.19,"ground_level":154.214,"offset":null,"sub_basin_id":207,"sponsor_by":"มูลนิธิอาสาเพื่อนพึ่ง (ภาฯ) ยามยาก สภากาชาดไทย","agency_id":91,"geocode_id":5245,"hydro_id":null,"qmax":null,"is_key_station":false,"warning_level_m":null,"critical_level_m":null,"critical_level_msl":null},"geocode":{"area_code":"3","area_name":{"th":"ภาคเหนือ","en":"North"},"amphoe_code":"07","amphoe_name":{"th":"วังชิ้น","en":"Wang Chin District"},"tumbon_code":"02","tumbon_name":{"th":"สรอย","en":"Soi"},"province_code":"54","province_name":{"th":"แพร่","en":"Phrae"}},"diff_wl_bank":"1.48","diff_wl_bank_text":"ต่ำกว่าตลิ่ง (ม.)","river_gid":76670,"river_name":"ห้วยแม่สรอย"}</x:t>
  </x:si>
  <x:si>
    <x:t xml:space="preserve">THAIWATER_WL:1109490</x:t>
  </x:si>
  <x:si>
    <x:t xml:space="preserve">ONE001</x:t>
  </x:si>
  <x:si>
    <x:t xml:space="preserve">สะพานท่าน้ำ</x:t>
  </x:si>
  <x:si>
    <x:t xml:space="preserve">คลองกระบี่ใหญ่</x:t>
  </x:si>
  <x:si>
    <x:t xml:space="preserve">{"id":1316368180,"waterlevel_datetime":"2026-10-01 15:10","waterlevel_m":null,"waterlevel_msl":"2.24","waterlevel_msl_previous":"2.25","flow_rate":null,"discharge":null,"storage_percent":"50.24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Basin"}},"station":{"id":1109490,"tele_station_name":{"en":"Tha Nam Bridge","th":"สะพานท่าน้ำ"},"tele_station_lat":8.109219,"tele_station_long":98.905525,"tele_station_oldcode":"ONE001","tele_station_type":"tele_waterlevel","left_bank":4.032,"right_bank":4.942,"min_bank":4.03,"ground_level":0.431,"offset":null,"sub_basin_id":345,"agency_id":9,"geocode_id":7368,"hydro_id":null,"qmax":null,"is_key_station":false,"warning_level_m":null,"critical_level_m":null,"critical_level_msl":null},"geocode":{"area_code":"5","area_name":{"th":"ภาคใต้","en":"South"},"amphoe_code":"01","amphoe_name":{"th":"เมืองกระบี่","en":"Mueang Krabi District"},"tumbon_code":"01","tumbon_name":{"th":"ปากน้ำ","en":"Pak Nam"},"province_code":"81","province_name":{"th":"กระบี่","en":"Krabi"}},"diff_wl_bank":"1.79","diff_wl_bank_text":"ต่ำกว่าตลิ่ง (ม.)","river_gid":222199,"river_name":"คลองกระบี่ใหญ่"}</x:t>
  </x:si>
  <x:si>
    <x:t xml:space="preserve">THAIWATER_WL:2655</x:t>
  </x:si>
  <x:si>
    <x:t xml:space="preserve">X.158</x:t>
  </x:si>
  <x:si>
    <x:t xml:space="preserve">บ้านวังครก</x:t>
  </x:si>
  <x:si>
    <x:t xml:space="preserve">{"id":1316344751,"waterlevel_datetime":"2026-10-01 14:00","waterlevel_m":null,"waterlevel_msl":"6.16","waterlevel_msl_previous":"6.24","flow_rate":null,"discharge":"166.20","storage_percent":"50.23","sort_order":null,"station_type":"tele_waterlevel","situation_level":3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2655,"tele_station_name":{"th":"บ้านวังครก"},"tele_station_lat":10.59451,"tele_station_long":99.141769,"tele_station_oldcode":"X.158","tele_station_type":"tele_waterlevel","left_bank":14.499,"right_bank":14.455,"min_bank":11.5,"ground_level":0.77,"offset":null,"sub_basin_id":310,"agency_id":12,"geocode_id":7716,"hydro_id":8,"qmax":703.5,"is_key_station":true,"warning_level_m":null,"critical_level_m":null,"critical_level_msl":null},"geocode":{"area_code":"5","area_name":{"th":"ภาคใต้","en":"South"},"amphoe_code":"02","amphoe_name":{"th":"ท่าแซะ","en":"Tha Sae District"},"tumbon_code":"04","tumbon_name":{"th":"นากระตาม","en":"Na Kratam"},"province_code":"86","province_name":{"th":"ชุมพร","en":"Chumphon"}},"diff_wl_bank":"5.34","diff_wl_bank_text":"ต่ำกว่าตลิ่ง (ม.)","river_gid":213091,"river_name":"คลองท่าตะเภา"}</x:t>
  </x:si>
  <x:si>
    <x:t xml:space="preserve">THAIWATER_WL:12479</x:t>
  </x:si>
  <x:si>
    <x:t xml:space="preserve">BSP002</x:t>
  </x:si>
  <x:si>
    <x:t xml:space="preserve">คลองขนาน</x:t>
  </x:si>
  <x:si>
    <x:t xml:space="preserve">คลองบางสะพาน</x:t>
  </x:si>
  <x:si>
    <x:t xml:space="preserve">{"id":1316367957,"waterlevel_datetime":"2026-10-01 15:10","waterlevel_m":null,"waterlevel_msl":"13.72","waterlevel_msl_previous":"13.72","flow_rate":null,"discharge":null,"storage_percent":"50.00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Organization)","jp":""},"agency_shortname":{"th":"สสน.","en":"HII","jp":""}},"basin":{"id":20,"basin_code":18,"basin_name":{"th":"ลุ่มน้ำเพชรบุรี-ประจวบคีรีขันธ์","en":"Phetchaburi - Prachuap Khiri Khan Basin"}},"station":{"id":12479,"tele_station_name":{"en":"Khlong Khanan","th":"คลองขนาน"},"tele_station_lat":11.24042,"tele_station_long":99.43526,"tele_station_oldcode":"BSP002","tele_station_type":"tele_waterlevel","left_bank":16.475,"right_bank":16.765,"min_bank":16.48,"ground_level":10.959,"offset":null,"sub_basin_id":307,"agency_id":9,"geocode_id":7139,"hydro_id":null,"qmax":null,"is_key_station":false,"warning_level_m":null,"critical_level_m":null,"critical_level_msl":null},"geocode":{"area_code":"2","area_name":{"th":"ภาคกลาง","en":"Central"},"amphoe_code":"04","amphoe_name":{"th":"บางสะพาน","en":"Bang Saphan District"},"tumbon_code":"03","tumbon_name":{"th":"ร่อนทอง","en":"Ron Thong"},"province_code":"77","province_name":{"th":"ประจวบคีรีขันธ์","en":"Prachuap Khiri Khan"}},"diff_wl_bank":"2.76","diff_wl_bank_text":"ต่ำกว่าตลิ่ง (ม.)","river_gid":212127,"river_name":"คลองบางสะพาน"}</x:t>
  </x:si>
  <x:si>
    <x:t xml:space="preserve">THAIWATER_WL:1422372</x:t>
  </x:si>
  <x:si>
    <x:t xml:space="preserve">RPBD12</x:t>
  </x:si>
  <x:si>
    <x:t xml:space="preserve">สะพานเคียนซา (ปาล์มพาราวุ้ด) อ.เคียนซา (X.217)</x:t>
  </x:si>
  <x:si>
    <x:t xml:space="preserve">{"id":1316365557,"waterlevel_datetime":"2026-10-01 15:00","waterlevel_m":null,"waterlevel_msl":"0.96","waterlevel_msl_previous":"0.76","flow_rate":null,"discharge":null,"storage_percent":"49.78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Thailand","jp":""},"agency_shortname":{"th":"กฟผ.","en":"EGAT","jp":""}},"basin":{"id":22,"basin_code":19,"basin_name":{"th":"ลุ่มน้ำภาคใต้ฝั่งตะวันออกตอนบน","en":"Peninsula - Upper East Coast Basin"}},"station":{"id":1422372,"tele_station_name":{"th":"สะพานเคียนซา (ปาล์มพาราวุ้ด) อ.เคียนซา (X.217)"},"tele_station_lat":8.847581,"tele_station_long":99.198984,"tele_station_oldcode":"RPBD12","tele_station_type":"tele_waterlevel","left_bank":9.943,"right_bank":9.879,"min_bank":9.88,"ground_level":-7.874,"offset":null,"sub_basin_id":323,"agency_id":8,"geocode_id":7613,"hydro_id":null,"qmax":null,"is_key_station":false,"warning_level_m":null,"critical_level_m":null,"critical_level_msl":6},"geocode":{"area_code":"5","area_name":{"th":"ภาคใต้","en":"South"},"amphoe_code":"14","amphoe_name":{"th":"เคียนซา","en":"Khian Sa District"},"tumbon_code":"01","tumbon_name":{"th":"เคียนซา","en":"Khian Sa"},"province_code":"84","province_name":{"th":"สุราษฎร์ธานี","en":"Surat Thani"}},"diff_wl_bank":"8.92","diff_wl_bank_text":"ต่ำกว่าตลิ่ง (ม.)"}</x:t>
  </x:si>
  <x:si>
    <x:t xml:space="preserve">THAIWATER_WL:726653</x:t>
  </x:si>
  <x:si>
    <x:t xml:space="preserve">X.167</x:t>
  </x:si>
  <x:si>
    <x:t xml:space="preserve">บ้านเสาธง</x:t>
  </x:si>
  <x:si>
    <x:t xml:space="preserve">คลองเสาธง</x:t>
  </x:si>
  <x:si>
    <x:t xml:space="preserve">{"id":1316344753,"waterlevel_datetime":"2026-10-01 14:00","waterlevel_m":null,"waterlevel_msl":"9.09","waterlevel_msl_previous":"9.09","flow_rate":null,"discharge":"6.11","storage_percent":"49.73","sort_order":null,"station_type":"tele_waterlevel","situation_level":3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726653,"tele_station_name":{"th":"บ้านเสาธง"},"tele_station_lat":8.2801,"tele_station_long":99.906487,"tele_station_oldcode":"X.167","tele_station_type":"tele_waterlevel","left_bank":14.14,"right_bank":14.139,"min_bank":11.8,"ground_level":6.409,"offset":null,"sub_basin_id":327,"agency_id":12,"geocode_id":7301,"hydro_id":8,"qmax":120,"is_key_station":false,"warning_level_m":null,"critical_level_m":null,"critical_level_msl":null},"geocode":{"area_code":"5","area_name":{"th":"ภาคใต้","en":"South"},"amphoe_code":"13","amphoe_name":{"th":"ร่อนพิบูลย์","en":"Ron Phibun District"},"tumbon_code":"03","tumbon_name":{"th":"เสาธง","en":"Sao Thong"},"province_code":"80","province_name":{"th":"นครศรีธรรมราช","en":"Nakhon Si Thammarat"}},"diff_wl_bank":"2.71","diff_wl_bank_text":"ต่ำกว่าตลิ่ง (ม.)","river_gid":221374,"river_name":"คลองเสาธง"}</x:t>
  </x:si>
  <x:si>
    <x:t xml:space="preserve">THAIWATER_WL:630</x:t>
  </x:si>
  <x:si>
    <x:t xml:space="preserve">WAN001</x:t>
  </x:si>
  <x:si>
    <x:t xml:space="preserve">สามเงา</x:t>
  </x:si>
  <x:si>
    <x:t xml:space="preserve">{"id":1316368422,"waterlevel_datetime":"2026-10-01 15:10","waterlevel_m":null,"waterlevel_msl":"135.52","waterlevel_msl_previous":"135.52","flow_rate":null,"discharge":null,"storage_percent":"49.73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Organization)","jp":""},"agency_shortname":{"th":"สสน.","en":"HII","jp":""}},"basin":{"id":7,"basin_code":7,"basin_name":{"th":"ลุ่มน้ำวัง","en":"Wang Basin"}},"station":{"id":630,"tele_station_name":{"en":"Wang 1","th":"สามเงา"},"tele_station_lat":17.26053,"tele_station_long":99.07797,"tele_station_oldcode":"WAN001","tele_station_type":"tele_waterlevel","left_bank":142.028,"right_bank":141.227,"min_bank":141.23,"ground_level":129.883,"offset":null,"sub_basin_id":196,"agency_id":9,"geocode_id":5989,"hydro_id":null,"qmax":null,"is_key_station":false,"warning_level_m":null,"critical_level_m":null,"critical_level_msl":null},"geocode":{"area_code":"3","area_name":{"th":"ภาคเหนือ","en":"North"},"amphoe_code":"03","amphoe_name":{"th":"สามเงา","en":"Sam Ngao District"},"tumbon_code":"02","tumbon_name":{"th":"วังหมัน","en":"Wang Man"},"province_code":"63","province_name":{"th":"ตาก","en":"Tak"}},"diff_wl_bank":"5.70","diff_wl_bank_text":"ต่ำกว่าตลิ่ง (ม.)","river_gid":85657,"river_name":"แม่น้ำวัง"}</x:t>
  </x:si>
  <x:si>
    <x:t xml:space="preserve">THAIWATER_WL:3174</x:t>
  </x:si>
  <x:si>
    <x:t xml:space="preserve">P.85</x:t>
  </x:si>
  <x:si>
    <x:t xml:space="preserve">บ้านหล่ายแก้ว</x:t>
  </x:si>
  <x:si>
    <x:t xml:space="preserve">น้ำแม่ลี้</x:t>
  </x:si>
  <x:si>
    <x:t xml:space="preserve">{"id":1316351130,"waterlevel_datetime":"2026-10-01 14:00","waterlevel_m":null,"waterlevel_msl":"290.64","waterlevel_msl_previous":"290.67","flow_rate":null,"discharge":"26.44","storage_percent":"49.69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3174,"tele_station_name":{"th":"บ้านหล่ายแก้ว"},"tele_station_lat":18.366421,"tele_station_long":98.772102,"tele_station_oldcode":"P.85","tele_station_type":"tele_waterlevel","left_bank":585.763995,"right_bank":585.583995,"min_bank":293.87,"ground_level":287.45,"offset":290.369995,"sub_basin_id":167,"agency_id":12,"geocode_id":4946,"hydro_id":1,"qmax":297.700012,"is_key_station":false,"warning_level_m":null,"critical_level_m":null,"critical_level_msl":null},"geocode":{"area_code":"3","area_name":{"th":"ภาคเหนือ","en":"North"},"amphoe_code":"03","amphoe_name":{"th":"บ้านโฮ่ง","en":"Ban Hong District"},"tumbon_code":"03","tumbon_name":{"th":"เหล่ายาว","en":"Lao Yao"},"province_code":"51","province_name":{"th":"ลำพูน","en":"Lamphun"}},"diff_wl_bank":"3.23","diff_wl_bank_text":"ต่ำกว่าตลิ่ง (ม.)","river_gid":58882,"river_name":"น้ำแม่ลี้"}</x:t>
  </x:si>
  <x:si>
    <x:t xml:space="preserve">THAIWATER_WL:1119854</x:t>
  </x:si>
  <x:si>
    <x:t xml:space="preserve">E.95A</x:t>
  </x:si>
  <x:si>
    <x:t xml:space="preserve">บ้านธวัชดินแดง</x:t>
  </x:si>
  <x:si>
    <x:t xml:space="preserve">{"id":1316353920,"waterlevel_datetime":"2026-10-01 14:00","waterlevel_m":null,"waterlevel_msl":"127.03","waterlevel_msl_previous":"127.03","flow_rate":null,"discharge":null,"storage_percent":"49.60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1119854,"tele_station_name":{"th":"บ้านธวัชดินแดง"},"tele_station_lat":16.115801,"tele_station_long":103.846603,"tele_station_oldcode":"E.95A","tele_station_type":"tele_waterlevel","left_bank":257.824998,"right_bank":257.845998,"min_bank":132.1,"ground_level":122.04,"offset":123.599998,"sub_basin_id":100,"agency_id":12,"geocode_id":4060,"hydro_id":3,"qmax":950,"is_key_station":false,"warning_level_m":null,"critical_level_m":null,"critical_level_msl":null},"geocode":{"area_code":"4","area_name":{"th":"ภาคตะวันออกเฉียงเหนือ","en":"Northeast"},"amphoe_code":"05","amphoe_name":{"th":"ธวัชบุรี","en":"Thawat Buri District"},"tumbon_code":"02","tumbon_name":{"th":"ธงธานี","en":"Thong Thani"},"province_code":"45","province_name":{"th":"ร้อยเอ็ด","en":"Roi Et"}},"diff_wl_bank":"5.07","diff_wl_bank_text":"ต่ำกว่าตลิ่ง (ม.)","river_gid":133926,"river_name":"แม่น้ำชี"}</x:t>
  </x:si>
  <x:si>
    <x:t xml:space="preserve">THAIWATER_WL:1095872</x:t>
  </x:si>
  <x:si>
    <x:t xml:space="preserve">X.201A</x:t>
  </x:si>
  <x:si>
    <x:t xml:space="preserve">บ้านท่าไม้ลาย</x:t>
  </x:si>
  <x:si>
    <x:t xml:space="preserve">คลองชุมพร</x:t>
  </x:si>
  <x:si>
    <x:t xml:space="preserve">{"id":1316344766,"waterlevel_datetime":"2026-10-01 14:00","waterlevel_m":null,"waterlevel_msl":"38.81","waterlevel_msl_previous":"38.82","flow_rate":null,"discharge":"35.85","storage_percent":"49.57","sort_order":null,"station_type":"tele_waterlevel","situation_level":3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1095872,"tele_station_name":{"th":"บ้านท่าไม้ลาย"},"tele_station_lat":10.50334,"tele_station_long":98.964401,"tele_station_oldcode":"X.201A","tele_station_type":"tele_waterlevel","left_bank":42.501,"right_bank":42.541,"min_bank":41.75,"ground_level":35.92,"offset":null,"sub_basin_id":311,"agency_id":12,"geocode_id":7706,"hydro_id":8,"qmax":213.75,"is_key_station":true,"warning_level_m":null,"critical_level_m":null,"critical_level_msl":null},"geocode":{"area_code":"5","area_name":{"th":"ภาคใต้","en":"South"},"amphoe_code":"01","amphoe_name":{"th":"เมืองชุมพร","en":"Mueang Chumphon District"},"tumbon_code":"12","tumbon_name":{"th":"บ้านนา","en":"Ban Na"},"province_code":"86","province_name":{"th":"ชุมพร","en":"Chumphon"}},"diff_wl_bank":"2.94","diff_wl_bank_text":"ต่ำกว่าตลิ่ง (ม.)","river_gid":213210,"river_name":"คลองชุมพร"}</x:t>
  </x:si>
  <x:si>
    <x:t xml:space="preserve">THAIWATER_WL:835</x:t>
  </x:si>
  <x:si>
    <x:t xml:space="preserve">CMP001</x:t>
  </x:si>
  <x:si>
    <x:t xml:space="preserve">เมืองชุมพร</x:t>
  </x:si>
  <x:si>
    <x:t xml:space="preserve">2026-09-30T20:30:00+07:00</x:t>
  </x:si>
  <x:si>
    <x:t xml:space="preserve">{"id":1315887971,"waterlevel_datetime":"2026-09-30 20:30","waterlevel_m":null,"waterlevel_msl":"4.03","waterlevel_msl_previous":"4.24","flow_rate":null,"discharge":null,"storage_percent":"49.36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Basin"}},"station":{"id":835,"tele_station_name":{"en":"Chumphon 1","th":"เมืองชุมพร"},"tele_station_lat":10.574472,"tele_station_long":99.145744,"tele_station_oldcode":"CMP001","tele_station_type":"tele_waterlevel","left_bank":8.569,"right_bank":8.242,"min_bank":8.24,"ground_level":-0.075,"offset":null,"sub_basin_id":310,"agency_id":9,"geocode_id":7703,"hydro_id":null,"qmax":null,"is_key_station":false,"warning_level_m":null,"critical_level_m":null,"critical_level_msl":null},"geocode":{"area_code":"5","area_name":{"th":"ภาคใต้","en":"South"},"amphoe_code":"01","amphoe_name":{"th":"เมืองชุมพร","en":"Mueang Chumphon District"},"tumbon_code":"09","tumbon_name":{"th":"หาดพันไกร","en":"Hat Phan Krai"},"province_code":"86","province_name":{"th":"ชุมพร","en":"Chumphon"}},"diff_wl_bank":"4.21","diff_wl_bank_text":"ต่ำกว่าตลิ่ง (ม.)","river_gid":213112,"river_name":"คลองท่าตะเภา"}</x:t>
  </x:si>
  <x:si>
    <x:t xml:space="preserve">THAIWATER_WL:1483131</x:t>
  </x:si>
  <x:si>
    <x:t xml:space="preserve">MOU386</x:t>
  </x:si>
  <x:si>
    <x:t xml:space="preserve">สะพานน้ำเข็ก</x:t>
  </x:si>
  <x:si>
    <x:t xml:space="preserve">{"id":1316367793,"waterlevel_datetime":"2026-10-01 15:10","waterlevel_m":null,"waterlevel_msl":"64.73","waterlevel_msl_previous":"64.73","flow_rate":null,"discharge":null,"storage_percent":"49.10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Basin"}},"station":{"id":1483131,"tele_station_name":{"en":"Khek Bridge","th":"สะพานน้ำเข็ก"},"tele_station_lat":16.835382,"tele_station_long":100.56083,"tele_station_oldcode":"MOU386","tele_station_type":"tele_waterlevel","left_bank":70.425,"right_bank":71.229,"min_bank":70.43,"ground_level":59.237,"offset":null,"sub_basin_id":237,"sponsor_by":"บริษัท ไทยเบฟเวอเรจ จำกัด (มหาชน) ","agency_id":91,"geocode_id":6223,"hydro_id":null,"qmax":null,"is_key_station":false,"warning_level_m":null,"critical_level_m":null,"critical_level_msl":null},"geocode":{"area_code":"3","area_name":{"th":"ภาคเหนือ","en":"North"},"amphoe_code":"08","amphoe_name":{"th":"วังทอง","en":"Wang Thong District"},"tumbon_code":"08","tumbon_name":{"th":"วังนกแอ่น","en":"Wang Nok Aen"},"province_code":"65","province_name":{"th":"พิษณุโลก","en":"Phitsanulok"}},"diff_wl_bank":"5.69","diff_wl_bank_text":"ต่ำกว่าตลิ่ง (ม.)"}</x:t>
  </x:si>
  <x:si>
    <x:t xml:space="preserve">THAIWATER_WL:128</x:t>
  </x:si>
  <x:si>
    <x:t xml:space="preserve">CHN004</x:t>
  </x:si>
  <x:si>
    <x:t xml:space="preserve">แก่งหางแมว</x:t>
  </x:si>
  <x:si>
    <x:t xml:space="preserve">คลองโตนด</x:t>
  </x:si>
  <x:si>
    <x:t xml:space="preserve">{"id":1316367979,"waterlevel_datetime":"2026-10-01 15:10","waterlevel_m":null,"waterlevel_msl":"24.30","waterlevel_msl_previous":"24.31","flow_rate":null,"discharge":null,"storage_percent":"49.09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Organization)","jp":""},"agency_shortname":{"th":"สสน.","en":"HII","jp":""}},"basin":{"id":18,"basin_code":17,"basin_name":{"th":"ลุ่มน้ำชายฝั่งทะเลตะวันออก","en":"East Coast Gulf Basin"}},"station":{"id":128,"tele_station_name":{"en":"Kaeng Hang Maeo","th":"แก่งหางแมว"},"tele_station_lat":12.986792,"tele_station_long":101.89965,"tele_station_oldcode":"CHN004","tele_station_type":"tele_waterlevel","left_bank":27.1001,"right_bank":30.1001,"min_bank":27.1,"ground_level":21.6,"offset":null,"sub_basin_id":295,"agency_id":9,"geocode_id":1314,"hydro_id":null,"qmax":null,"is_key_station":false,"warning_level_m":null,"critical_level_m":null,"critical_level_msl":null},"geocode":{"area_code":"2","area_name":{"th":"ภาคกลาง","en":"Central"},"amphoe_code":"08","amphoe_name":{"th":"แก่งหางแมว","en":"Kaeng Hang Maeo District"},"tumbon_code":"01","tumbon_name":{"th":"แก่งหางแมว","en":"Kaeng Hang Maeo"},"province_code":"22","province_name":{"th":"จันทบุรี","en":"Chanthaburi"}},"diff_wl_bank":"2.80","diff_wl_bank_text":"ต่ำกว่าตลิ่ง (ม.)","river_gid":202358,"river_name":"คลองโตนด"}</x:t>
  </x:si>
  <x:si>
    <x:t xml:space="preserve">THAIWATER_WL:611</x:t>
  </x:si>
  <x:si>
    <x:t xml:space="preserve">DIV005</x:t>
  </x:si>
  <x:si>
    <x:t xml:space="preserve">ท่อทองแดง1</x:t>
  </x:si>
  <x:si>
    <x:t xml:space="preserve">คลองหนองเต่า</x:t>
  </x:si>
  <x:si>
    <x:t xml:space="preserve">{"id":1316368006,"waterlevel_datetime":"2026-10-01 15:10","waterlevel_m":null,"waterlevel_msl":"75.08","waterlevel_msl_previous":"75.08","flow_rate":null,"discharge":null,"storage_percent":"49.00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Basin"}},"station":{"id":611,"tele_station_name":{"en":"Tor Thong Daeng1","th":"ท่อทองแดง1"},"tele_station_lat":16.49714,"tele_station_long":99.51958,"tele_station_oldcode":"DIV005","tele_station_type":"tele_waterlevel","left_bank":77.925,"right_bank":77.712,"min_bank":77.71,"ground_level":72.549,"offset":null,"sub_basin_id":183,"agency_id":9,"geocode_id":5882,"hydro_id":null,"qmax":null,"is_key_station":false,"warning_level_m":null,"critical_level_m":null,"critical_level_msl":null},"geocode":{"area_code":"3","area_name":{"th":"ภาคเหนือ","en":"North"},"amphoe_code":"01","amphoe_name":{"th":"เมืองกำแพงเพชร","en":"Mueang Kamphaeng Phet District"},"tumbon_code":"10","tumbon_name":{"th":"หนองปลิง","en":"Nong Pling"},"province_code":"62","province_name":{"th":"กำแพงเพชร","en":"Kamphaeng Phet"}},"diff_wl_bank":"2.63","diff_wl_bank_text":"ต่ำกว่าตลิ่ง (ม.)","river_gid":95586,"river_name":"คลองหนองเต่า"}</x:t>
  </x:si>
  <x:si>
    <x:t xml:space="preserve">THAIWATER_WL:1198299</x:t>
  </x:si>
  <x:si>
    <x:t xml:space="preserve">PIN009</x:t>
  </x:si>
  <x:si>
    <x:t xml:space="preserve">แม่น้ำลี้ บ้านโฮ่ง</x:t>
  </x:si>
  <x:si>
    <x:t xml:space="preserve">{"id":1316368241,"waterlevel_datetime":"2026-10-01 15:10","waterlevel_m":null,"waterlevel_msl":"308.52","waterlevel_msl_previous":"308.41","flow_rate":null,"discharge":null,"storage_percent":"48.88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Basin"}},"station":{"id":1198299,"tele_station_name":{"en":"Li River-Ban Hong","th":"แม่น้ำลี้ บ้านโฮ่ง"},"tele_station_lat":18.310793,"tele_station_long":98.82355,"tele_station_oldcode":"PIN009","tele_station_type":"tele_waterlevel","left_bank":311.8941,"right_bank":310.8359,"min_bank":310.84,"ground_level":306.3054,"offset":null,"sub_basin_id":167,"agency_id":9,"geocode_id":4944,"hydro_id":null,"qmax":null,"is_key_station":false,"warning_level_m":null,"critical_level_m":null,"critical_level_msl":null},"geocode":{"area_code":"3","area_name":{"th":"ภาคเหนือ","en":"North"},"amphoe_code":"03","amphoe_name":{"th":"บ้านโฮ่ง","en":"Ban Hong District"},"tumbon_code":"01","tumbon_name":{"th":"บ้านโฮ่ง","en":"Ban Hong"},"province_code":"51","province_name":{"th":"ลำพูน","en":"Lamphun"}},"diff_wl_bank":"2.32","diff_wl_bank_text":"ต่ำกว่าตลิ่ง (ม.)","river_gid":59851,"river_name":"น้ำแม่ลี้"}</x:t>
  </x:si>
  <x:si>
    <x:t xml:space="preserve">THAIWATER_WL:2679</x:t>
  </x:si>
  <x:si>
    <x:t xml:space="preserve">K.11A</x:t>
  </x:si>
  <x:si>
    <x:t xml:space="preserve">บ้านวังขนาย</x:t>
  </x:si>
  <x:si>
    <x:t xml:space="preserve">{"id":1316004497,"waterlevel_datetime":"2026-10-01 23:00","waterlevel_m":null,"waterlevel_msl":"12.03","waterlevel_msl_previous":"18.65","flow_rate":null,"discharge":"237.64","storage_percent":"48.88","sort_order":null,"station_type":"tele_waterlevel","situation_level":3,"agency":{"id":12,"agency_name":{"th":"กรมชลประทาน ","en":"Royal Irrigation Department","jp":""},"agency_shortname":{"th":"ชป.","en":"RID","jp":""}},"basin":{"id":15,"basin_code":14,"basin_name":{"th":"ลุ่มน้ำแม่กลอง","en":"Mae Klong Basin"}},"station":{"id":2679,"tele_station_name":{"th":"บ้านวังขนาย"},"tele_station_lat":13.95094,"tele_station_long":99.645477,"tele_station_oldcode":"K.11A","tele_station_type":"tele_waterlevel","left_bank":32.397,"right_bank":31.364,"min_bank":15.9,"ground_level":8.33,"offset":9.7,"sub_basin_id":276,"agency_id":12,"geocode_id":6638,"hydro_id":7,"qmax":1300,"is_key_station":true,"warning_level_m":null,"critical_level_m":null,"critical_level_msl":null},"geocode":{"area_code":"2","area_name":{"th":"ภาคกลาง","en":"Central"},"amphoe_code":"06","amphoe_name":{"th":"ท่าม่วง","en":"Tha Muang District"},"tumbon_code":"02","tumbon_name":{"th":"วังขนาย","en":"Wang Khanai"},"province_code":"71","province_name":{"th":"กาญจนบุรี","en":"Kanchanaburi"}},"diff_wl_bank":"3.87","diff_wl_bank_text":"ต่ำกว่าตลิ่ง (ม.)","river_gid":185873,"river_name":"แม่น้ำแม่กลอง"}</x:t>
  </x:si>
  <x:si>
    <x:t xml:space="preserve">THAIWATER_WL:2650</x:t>
  </x:si>
  <x:si>
    <x:t xml:space="preserve">X.212</x:t>
  </x:si>
  <x:si>
    <x:t xml:space="preserve">ถนนลูกเสือ</x:t>
  </x:si>
  <x:si>
    <x:t xml:space="preserve">{"id":1316344816,"waterlevel_datetime":"2026-10-01 14:00","waterlevel_m":null,"waterlevel_msl":"1.44","waterlevel_msl_previous":"1.36","flow_rate":null,"discharge":"235.60","storage_percent":"48.87","sort_order":null,"station_type":"tele_waterlevel","situation_level":3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2650,"tele_station_name":{"th":"ถนนลูกเสือ"},"tele_station_lat":9.95473,"tele_station_long":99.08004,"tele_station_oldcode":"X.212","tele_station_type":"tele_waterlevel","left_bank":7.846,"right_bank":9.033,"min_bank":6.2,"ground_level":-3.11,"offset":null,"sub_basin_id":312,"agency_id":12,"geocode_id":7742,"hydro_id":8,"qmax":1080,"is_key_station":true,"warning_level_m":null,"critical_level_m":null,"critical_level_msl":null},"geocode":{"area_code":"5","area_name":{"th":"ภาคใต้","en":"South"},"amphoe_code":"04","amphoe_name":{"th":"หลังสวน","en":"Lang Suan District"},"tumbon_code":"11","tumbon_name":{"th":"แหลมทราย","en":"Laem Sai"},"province_code":"86","province_name":{"th":"ชุมพร","en":"Chumphon"}},"diff_wl_bank":"4.76","diff_wl_bank_text":"ต่ำกว่าตลิ่ง (ม.)","river_gid":214139,"river_name":"คลองหลังสวน"}</x:t>
  </x:si>
  <x:si>
    <x:t xml:space="preserve">THAIWATER_WL:638</x:t>
  </x:si>
  <x:si>
    <x:t xml:space="preserve">PIN002</x:t>
  </x:si>
  <x:si>
    <x:t xml:space="preserve">เมืองตาก</x:t>
  </x:si>
  <x:si>
    <x:t xml:space="preserve">{"id":1316368234,"waterlevel_datetime":"2026-10-01 15:10","waterlevel_m":null,"waterlevel_msl":"99.98","waterlevel_msl_previous":"99.98","flow_rate":null,"discharge":null,"storage_percent":"48.86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Basin"}},"station":{"id":638,"tele_station_name":{"en":"Ping 2","th":"เมืองตาก"},"tele_station_lat":16.78657,"tele_station_long":99.18398,"tele_station_oldcode":"PIN002","tele_station_type":"tele_waterlevel","left_bank":103.725,"right_bank":101.325,"min_bank":101.33,"ground_level":98.699,"offset":null,"sub_basin_id":179,"agency_id":9,"geocode_id":6035,"hydro_id":null,"qmax":null,"is_key_station":false,"warning_level_m":null,"critical_level_m":null,"critical_level_msl":null},"geocode":{"area_code":"3","area_name":{"th":"ภาคเหนือ","en":"North"},"amphoe_code":"09","amphoe_name":{"th":"วังเจ้า","en":"Wang Chao District"},"tumbon_code":"03","tumbon_name":{"th":"ประดาง","en":"Pradang"},"province_code":"63","province_name":{"th":"ตาก","en":"Tak"}},"diff_wl_bank":"1.34","diff_wl_bank_text":"ต่ำกว่าตลิ่ง (ม.)","river_gid":92765,"river_name":"แม่น้ำปิง"}</x:t>
  </x:si>
  <x:si>
    <x:t xml:space="preserve">THAIWATER_WL:483</x:t>
  </x:si>
  <x:si>
    <x:t xml:space="preserve">DIV003</x:t>
  </x:si>
  <x:si>
    <x:t xml:space="preserve">คลองผันน้ำยม-น่าน3</x:t>
  </x:si>
  <x:si>
    <x:t xml:space="preserve">คลองละมุง</x:t>
  </x:si>
  <x:si>
    <x:t xml:space="preserve">{"id":1316368004,"waterlevel_datetime":"2026-10-01 15:10","waterlevel_m":null,"waterlevel_msl":"47.97","waterlevel_msl_previous":"47.97","flow_rate":null,"discharge":null,"storage_percent":"48.70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Basin"}},"station":{"id":483,"tele_station_name":{"en":"Yom-Nan 3","th":"คลองผันน้ำยม-น่าน3"},"tele_station_lat":17.29251,"tele_station_long":100.07764,"tele_station_oldcode":"DIV003","tele_station_type":"tele_waterlevel","left_bank":53.928,"right_bank":53.671,"min_bank":53.67,"ground_level":42.551,"offset":null,"sub_basin_id":232,"agency_id":9,"geocode_id":5150,"hydro_id":null,"qmax":null,"is_key_station":false,"warning_level_m":null,"critical_level_m":null,"critical_level_msl":null},"geocode":{"area_code":"3","area_name":{"th":"ภาคเหนือ","en":"North"},"amphoe_code":"07","amphoe_name":{"th":"พิชัย","en":"Phichai District"},"tumbon_code":"05","tumbon_name":{"th":"คอรุม","en":"Kho Rum"},"province_code":"53","province_name":{"th":"อุตรดิตถ์","en":"Uttaradit"}},"diff_wl_bank":"5.70","diff_wl_bank_text":"ต่ำกว่าตลิ่ง (ม.)","river_gid":85200,"river_name":"คลองละมุง"}</x:t>
  </x:si>
  <x:si>
    <x:t xml:space="preserve">THAIWATER_WL:504997</x:t>
  </x:si>
  <x:si>
    <x:t xml:space="preserve">Kgt.19A</x:t>
  </x:si>
  <x:si>
    <x:t xml:space="preserve">บ้านท่าบุญมี</x:t>
  </x:si>
  <x:si>
    <x:t xml:space="preserve">คลองท่าบุญมี</x:t>
  </x:si>
  <x:si>
    <x:t xml:space="preserve">{"id":1316342989,"waterlevel_datetime":"2026-10-01 14:00","waterlevel_m":null,"waterlevel_msl":"15.80","waterlevel_msl_previous":"15.80","flow_rate":null,"discharge":"10.00","storage_percent":"48.66","sort_order":null,"station_type":"tele_waterlevel","situation_level":3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504997,"tele_station_name":{"th":"บ้านท่าบุญมี"},"tele_station_lat":13.40472,"tele_station_long":101.281776,"tele_station_oldcode":"Kgt.19A","tele_station_type":"tele_waterlevel","left_bank":32.29,"right_bank":32.501999999999995,"min_bank":18.37,"ground_level":13.364,"offset":13.57,"sub_basin_id":285,"agency_id":12,"geocode_id":1177,"hydro_id":6,"qmax":83.949997,"is_key_station":false,"warning_level_m":null,"critical_level_m":null,"critical_level_msl":null},"geocode":{"area_code":"2","area_name":{"th":"ภาคกลาง","en":"Central"},"amphoe_code":"11","amphoe_name":{"th":"เกาะจันทร์","en":"Ko Chan District"},"tumbon_code":"02","tumbon_name":{"th":"ท่าบุญมี","en":"Tha Bunmi"},"province_code":"20","province_name":{"th":"ชลบุรี","en":"Chon Buri"}},"diff_wl_bank":"2.57","diff_wl_bank_text":"ต่ำกว่าตลิ่ง (ม.)","river_gid":199806,"river_name":"คลองท่าบุญมี"}</x:t>
  </x:si>
  <x:si>
    <x:t xml:space="preserve">THAIWATER_WL:726686</x:t>
  </x:si>
  <x:si>
    <x:t xml:space="preserve">X.196</x:t>
  </x:si>
  <x:si>
    <x:t xml:space="preserve">บ้านท่านา</x:t>
  </x:si>
  <x:si>
    <x:t xml:space="preserve">คลองกะปง</x:t>
  </x:si>
  <x:si>
    <x:t xml:space="preserve">{"id":1316344762,"waterlevel_datetime":"2026-10-01 14:00","waterlevel_m":null,"waterlevel_msl":"15.17","waterlevel_msl_previous":"15.17","flow_rate":null,"discharge":"13.25","storage_percent":"48.63","sort_order":null,"station_type":"tele_waterlevel","situation_level":3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726686,"tele_station_name":{"th":"บ้านท่านา"},"tele_station_lat":8.70251,"tele_station_long":98.409027,"tele_station_oldcode":"X.196","tele_station_type":"tele_waterlevel","left_bank":19.931,"right_bank":19.913,"min_bank":18.54,"ground_level":11.98,"offset":null,"sub_basin_id":344,"agency_id":12,"geocode_id":7445,"hydro_id":8,"qmax":235,"is_key_station":false,"warning_level_m":null,"critical_level_m":null,"critical_level_msl":null},"geocode":{"area_code":"5","area_name":{"th":"ภาคใต้","en":"South"},"amphoe_code":"03","amphoe_name":{"th":"กะปง","en":"Kapong District"},"tumbon_code":"02","tumbon_name":{"th":"ท่านา","en":"Tha Na"},"province_code":"82","province_name":{"th":"พังงา","en":"Phangnga"}},"diff_wl_bank":"3.37","diff_wl_bank_text":"ต่ำกว่าตลิ่ง (ม.)","river_gid":218289,"river_name":"คลองกะปง"}</x:t>
  </x:si>
  <x:si>
    <x:t xml:space="preserve">THAIWATER_WL:855</x:t>
  </x:si>
  <x:si>
    <x:t xml:space="preserve">SLA003</x:t>
  </x:si>
  <x:si>
    <x:t xml:space="preserve">สะเดา</x:t>
  </x:si>
  <x:si>
    <x:t xml:space="preserve">{"id":1316368329,"waterlevel_datetime":"2026-10-01 15:10","waterlevel_m":null,"waterlevel_msl":"13.53","waterlevel_msl_previous":"13.53","flow_rate":null,"discharge":null,"storage_percent":"48.61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Basin"}},"station":{"id":855,"tele_station_name":{"en":"Songkhla Lake 3","th":"สะเดา"},"tele_station_lat":6.796687,"tele_station_long":100.44239,"tele_station_oldcode":"SLA003","tele_station_type":"tele_waterlevel","left_bank":16.589,"right_bank":17.17,"min_bank":16.59,"ground_level":10.636,"offset":null,"sub_basin_id":330,"agency_id":9,"geocode_id":7866,"hydro_id":null,"qmax":null,"is_key_station":false,"warning_level_m":null,"critical_level_m":null,"critical_level_msl":null},"geocode":{"area_code":"5","area_name":{"th":"ภาคใต้","en":"South"},"amphoe_code":"10","amphoe_name":{"th":"สะเดา","en":"Sadao District"},"tumbon_code":"06","tumbon_name":{"th":"ท่าโพธิ์","en":"Tha Pho"},"province_code":"90","province_name":{"th":"สงขลา","en":"Songkhla"}},"diff_wl_bank":"3.06","diff_wl_bank_text":"ต่ำกว่าตลิ่ง (ม.)","river_gid":228362,"river_name":"คลองอู่ตะเภา"}</x:t>
  </x:si>
  <x:si>
    <x:t xml:space="preserve">THAIWATER_WL:3529</x:t>
  </x:si>
  <x:si>
    <x:t xml:space="preserve">PMTS2</x:t>
  </x:si>
  <x:si>
    <x:t xml:space="preserve">แม่น้ำมูล อ.ราษีไศล (M.5)</x:t>
  </x:si>
  <x:si>
    <x:t xml:space="preserve">{"id":1316366342,"waterlevel_datetime":"2026-10-01 15:00","waterlevel_m":null,"waterlevel_msl":"114.34","waterlevel_msl_previous":"114.34","flow_rate":null,"discharge":null,"storage_percent":"48.51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Thailand","jp":""},"agency_shortname":{"th":"กฟผ.","en":"EGAT","jp":""}},"basin":{"id":5,"basin_code":5,"basin_name":{"th":"ลุ่มน้ำมูล","en":"Mun Basin"}},"station":{"id":3529,"tele_station_name":{"th":"แม่น้ำมูล อ.ราษีไศล (M.5)"},"tele_station_lat":15.33716,"tele_station_long":104.15292,"tele_station_oldcode":"PMTS2","tele_station_type":"tele_waterlevel","left_bank":124.63,"right_bank":120.38,"min_bank":120.38,"ground_level":108.65,"offset":null,"sub_basin_id":136,"agency_id":8,"geocode_id":2510,"hydro_id":null,"qmax":null,"is_key_station":false,"warning_level_m":null,"critical_level_m":null,"critical_level_msl":120.38},"geocode":{"area_code":"4","area_name":{"th":"ภาคตะวันออกเฉียงเหนือ","en":"Northeast"},"amphoe_code":"09","amphoe_name":{"th":"ราษีไศล","en":"Rasi Salai District"},"tumbon_code":"09","tumbon_name":{"th":"หนองอึ่ง","en":"Nong Ueng"},"province_code":"33","province_name":{"th":"ศรีสะเกษ","en":"Si Sa Ket"}},"diff_wl_bank":"6.04","diff_wl_bank_text":"ต่ำกว่าตลิ่ง (ม.)","river_gid":145701,"river_name":"แม่น้ำมูล"}</x:t>
  </x:si>
  <x:si>
    <x:t xml:space="preserve">THAIWATER_WL:12475</x:t>
  </x:si>
  <x:si>
    <x:t xml:space="preserve">TNG004</x:t>
  </x:si>
  <x:si>
    <x:t xml:space="preserve">ปะเหลียน</x:t>
  </x:si>
  <x:si>
    <x:t xml:space="preserve">{"id":1316368392,"waterlevel_datetime":"2026-10-01 15:10","waterlevel_m":null,"waterlevel_msl":"1.87","waterlevel_msl_previous":"1.86","flow_rate":null,"discharge":null,"storage_percent":"48.23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Basin"}},"station":{"id":12475,"tele_station_name":{"en":"Trang 4","th":"ปะเหลียน"},"tele_station_lat":7.371991,"tele_station_long":99.677246,"tele_station_oldcode":"TNG004","tele_station_type":"tele_waterlevel","left_bank":5.407,"right_bank":4.699,"min_bank":4.7,"ground_level":-0.766,"offset":null,"sub_basin_id":350,"agency_id":9,"geocode_id":8010,"hydro_id":null,"qmax":null,"is_key_station":false,"warning_level_m":null,"critical_level_m":null,"critical_level_msl":null},"geocode":{"area_code":"5","area_name":{"th":"ภาคใต้","en":"South"},"amphoe_code":"04","amphoe_name":{"th":"ปะเหลียน","en":"Palian District"},"tumbon_code":"12","tumbon_name":{"th":"ท่าพญา","en":"Tha Phaya"},"province_code":"92","province_name":{"th":"ตรัง","en":"Trang"}},"diff_wl_bank":"2.83","diff_wl_bank_text":"ต่ำกว่าตลิ่ง (ม.)","river_gid":225576,"river_name":"คลองปะเหลียน"}</x:t>
  </x:si>
  <x:si>
    <x:t xml:space="preserve">THAIWATER_WL:2578</x:t>
  </x:si>
  <x:si>
    <x:t xml:space="preserve">P.82</x:t>
  </x:si>
  <x:si>
    <x:t xml:space="preserve">บ้านสบวิน</x:t>
  </x:si>
  <x:si>
    <x:t xml:space="preserve">น้ำแม่วาง</x:t>
  </x:si>
  <x:si>
    <x:t xml:space="preserve">{"id":1316351126,"waterlevel_datetime":"2026-10-01 14:00","waterlevel_m":null,"waterlevel_msl":"401.70","waterlevel_msl_previous":"401.71","flow_rate":null,"discharge":"19.50","storage_percent":"48.20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2578,"tele_station_name":{"th":"บ้านสบวิน"},"tele_station_lat":18.65423,"tele_station_long":98.685661,"tele_station_oldcode":"P.82","tele_station_type":"tele_waterlevel","left_bank":807.700012,"right_bank":807.791012,"min_bank":404,"ground_level":399.56,"offset":400.200012,"sub_basin_id":165,"agency_id":12,"geocode_id":4905,"hydro_id":1,"qmax":142.300003,"is_key_station":false,"warning_level_m":null,"critical_level_m":null,"critical_level_msl":null},"geocode":{"area_code":"3","area_name":{"th":"ภาคเหนือ","en":"North"},"amphoe_code":"22","amphoe_name":{"th":"แม่วาง","en":"Mae Wang District"},"tumbon_code":"04","tumbon_name":{"th":"แม่วิน","en":"Mae Win"},"province_code":"50","province_name":{"th":"เชียงใหม่","en":"Chiang Mai"}},"diff_wl_bank":"2.30","diff_wl_bank_text":"ต่ำกว่าตลิ่ง (ม.)","river_gid":45138,"river_name":"น้ำแม่วาง"}</x:t>
  </x:si>
  <x:si>
    <x:t xml:space="preserve">THAIWATER_WL:2576</x:t>
  </x:si>
  <x:si>
    <x:t xml:space="preserve">S.3</x:t>
  </x:si>
  <x:si>
    <x:t xml:space="preserve">ต.ตาลเดี่ยว</x:t>
  </x:si>
  <x:si>
    <x:t xml:space="preserve">{"id":1316341628,"waterlevel_datetime":"2026-10-01 14:00","waterlevel_m":null,"waterlevel_msl":"142.02","waterlevel_msl_previous":"142.03","flow_rate":null,"discharge":"14.97","storage_percent":"48.13","sort_order":null,"station_type":"tele_waterlevel","situation_level":3,"agency":{"id":12,"agency_name":{"th":"กรมชลประทาน ","en":"Royal Irrigation Department","jp":""},"agency_shortname":{"th":"ชป.","en":"RID","jp":""}},"basin":{"id":13,"basin_code":12,"basin_name":{"th":"ลุ่มน้ำป่าสัก","en":"Pasak Basin"}},"station":{"id":2576,"tele_station_name":{"th":"ต.ตาลเดี่ยว"},"tele_station_lat":16.78157,"tele_station_long":101.246689,"tele_station_oldcode":"S.3","tele_station_type":"tele_waterlevel","left_bank":282.482005,"right_bank":282.302005,"min_bank":144.93,"ground_level":139.32,"offset":136.630005,"sub_basin_id":247,"agency_id":12,"geocode_id":6370,"hydro_id":2,"qmax":77.449997,"is_key_station":true,"warning_level_m":null,"critical_level_m":null,"critical_level_msl":null},"geocode":{"area_code":"3","area_name":{"th":"ภาคเหนือ","en":"North"},"amphoe_code":"03","amphoe_name":{"th":"หล่มสัก","en":"Lom Sak District"},"tumbon_code":"03","tumbon_name":{"th":"ตาลเดี่ยว","en":"Tan Diao"},"province_code":"67","province_name":{"th":"เพชรบูรณ์","en":"Phetchabun"}},"diff_wl_bank":"2.91","diff_wl_bank_text":"ต่ำกว่าตลิ่ง (ม.)","river_gid":163008,"river_name":"แม่น้ำป่าสัก"}</x:t>
  </x:si>
  <x:si>
    <x:t xml:space="preserve">THAIWATER_WL:512</x:t>
  </x:si>
  <x:si>
    <x:t xml:space="preserve">NAN009</x:t>
  </x:si>
  <x:si>
    <x:t xml:space="preserve">เวียงสา</x:t>
  </x:si>
  <x:si>
    <x:t xml:space="preserve">{"id":1316368167,"waterlevel_datetime":"2026-10-01 15:10","waterlevel_m":null,"waterlevel_msl":"179.85","waterlevel_msl_previous":"179.84","flow_rate":null,"discharge":null,"storage_percent":"47.92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Basin"}},"station":{"id":512,"tele_station_name":{"en":"Wieng Sa","th":"เวียงสา"},"tele_station_lat":18.54992,"tele_station_long":100.76151,"tele_station_oldcode":"NAN009","tele_station_type":"tele_waterlevel","left_bank":186.396,"right_bank":185.01,"min_bank":185.01,"ground_level":175.094,"offset":null,"sub_basin_id":226,"agency_id":9,"geocode_id":5320,"hydro_id":null,"qmax":null,"is_key_station":false,"warning_level_m":null,"critical_level_m":null,"critical_level_msl":null},"geocode":{"area_code":"3","area_name":{"th":"ภาคเหนือ","en":"North"},"amphoe_code":"07","amphoe_name":{"th":"เวียงสา","en":"Wiang Sa District"},"tumbon_code":"06","tumbon_name":{"th":"ส้าน","en":"San"},"province_code":"55","province_name":{"th":"น่าน","en":"Nan"}},"diff_wl_bank":"5.16","diff_wl_bank_text":"ต่ำกว่าตลิ่ง (ม.)","river_gid":49501,"river_name":"แม่น้ำน่าน"}</x:t>
  </x:si>
  <x:si>
    <x:t xml:space="preserve">THAIWATER_WL:1109502</x:t>
  </x:si>
  <x:si>
    <x:t xml:space="preserve">ONE013</x:t>
  </x:si>
  <x:si>
    <x:t xml:space="preserve">สะพานมิตรภาพท่าลาดปากบัง</x:t>
  </x:si>
  <x:si>
    <x:t xml:space="preserve">{"id":1316368192,"waterlevel_datetime":"2026-10-01 15:10","waterlevel_m":null,"waterlevel_msl":"138.45","waterlevel_msl_previous":"138.44","flow_rate":null,"discharge":null,"storage_percent":"47.90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Basin"}},"station":{"id":1109502,"tele_station_name":{"en":"Mittraphap Tha Lat Pak Bang","th":"สะพานมิตรภาพท่าลาดปากบัง"},"tele_station_lat":16.993015,"tele_station_long":104.591446,"tele_station_oldcode":"ONE013","tele_station_type":"tele_waterlevel","left_bank":143.462,"right_bank":142.368,"min_bank":142.37,"ground_level":134.848,"offset":null,"sub_basin_id":70,"agency_id":9,"geocode_id":4576,"hydro_id":null,"qmax":null,"is_key_station":false,"warning_level_m":null,"critical_level_m":null,"critical_level_msl":null},"geocode":{"area_code":"4","area_name":{"th":"ภาคตะวันออกเฉียงเหนือ","en":"Northeast"},"amphoe_code":"06","amphoe_name":{"th":"เรณูนคร","en":"Renu Nakhon District"},"tumbon_code":"03","tumbon_name":{"th":"ท่าลาด","en":"Tha Lat"},"province_code":"48","province_name":{"th":"นครพนม","en":"Nakhon Phanom"}},"diff_wl_bank":"3.92","diff_wl_bank_text":"ต่ำกว่าตลิ่ง (ม.)","river_gid":123958,"river_name":"ลำน้ำกำ"}</x:t>
  </x:si>
  <x:si>
    <x:t xml:space="preserve">THAIWATER_WL:542</x:t>
  </x:si>
  <x:si>
    <x:t xml:space="preserve">CHR002</x:t>
  </x:si>
  <x:si>
    <x:t xml:space="preserve">เทิง</x:t>
  </x:si>
  <x:si>
    <x:t xml:space="preserve">{"id":1316367982,"waterlevel_datetime":"2026-10-01 15:10","waterlevel_m":null,"waterlevel_msl":"361.26","waterlevel_msl_previous":"361.26","flow_rate":null,"discharge":null,"storage_percent":"47.78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Basin"}},"station":{"id":542,"tele_station_name":{"en":"Chaing Rai 2","th":"เทิง"},"tele_station_lat":19.68822,"tele_station_long":100.18758,"tele_station_oldcode":"CHR002","tele_station_type":"tele_waterlevel","left_bank":367.042,"right_bank":366.993,"min_bank":366.99,"ground_level":356.016,"offset":null,"sub_basin_id":38,"agency_id":9,"geocode_id":5484,"hydro_id":null,"qmax":null,"is_key_station":false,"warning_level_m":null,"critical_level_m":null,"critical_level_msl":null},"geocode":{"area_code":"3","area_name":{"th":"ภาคเหนือ","en":"North"},"amphoe_code":"04","amphoe_name":{"th":"เทิง","en":"Thoeng District"},"tumbon_code":"01","tumbon_name":{"th":"เวียง","en":"Wiang"},"province_code":"57","province_name":{"th":"เชียงราย","en":"Chiang Rai"}},"diff_wl_bank":"5.73","diff_wl_bank_text":"ต่ำกว่าตลิ่ง (ม.)","river_gid":7915,"river_name":"แม่น้ำอิง"}</x:t>
  </x:si>
  <x:si>
    <x:t xml:space="preserve">THAIWATER_WL:745748</x:t>
  </x:si>
  <x:si>
    <x:t xml:space="preserve">AIT005</x:t>
  </x:si>
  <x:si>
    <x:t xml:space="preserve">สะพานห้วยบังบาต</x:t>
  </x:si>
  <x:si>
    <x:t xml:space="preserve">ห้วยบางบาตร</x:t>
  </x:si>
  <x:si>
    <x:t xml:space="preserve">{"id":1316367911,"waterlevel_datetime":"2026-10-01 15:10","waterlevel_m":null,"waterlevel_msl":"145.40","waterlevel_msl_previous":"145.39","flow_rate":null,"discharge":null,"storage_percent":"47.55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Basin"}},"station":{"id":745748,"tele_station_name":{"en":"Huay Bang Bat Bridge","th":"สะพานห้วยบังบาต"},"tele_station_lat":18.282616,"tele_station_long":103.88075,"tele_station_oldcode":"AIT005","tele_station_type":"tele_waterlevel","left_bank":151.695,"right_bank":152.123,"min_bank":151.7,"ground_level":139.693,"offset":null,"sub_basin_id":57,"sponsor_by":"สถาบันเทคโนโลยีแห่งเอเชีย","agency_id":9,"geocode_id":8481,"hydro_id":null,"qmax":null,"is_key_station":false,"warning_level_m":null,"critical_level_m":null,"critical_level_msl":null},"geocode":{"area_code":" ","area_name":{"th":"ภาคตะวันออกเฉียงเหนือ","en":"Northeast"},"amphoe_code":"08","amphoe_name":{"th":"บุ่งคล้า","en":"Bung Khla District"},"tumbon_code":"02","tumbon_name":{"th":"หนองเดิ่น","en":"Nong Doen"},"province_code":"38","province_name":{"th":"บึงกาฬ","en":"Bueng Kan"}},"diff_wl_bank":"6.29","diff_wl_bank_text":"ต่ำกว่าตลิ่ง (ม.)","river_gid":106333,"river_name":"ห้วยบางบาตร"}</x:t>
  </x:si>
  <x:si>
    <x:t xml:space="preserve">THAIWATER_WL:618</x:t>
  </x:si>
  <x:si>
    <x:t xml:space="preserve">SKG005</x:t>
  </x:si>
  <x:si>
    <x:t xml:space="preserve">สะพานแม่วงก์</x:t>
  </x:si>
  <x:si>
    <x:t xml:space="preserve">{"id":1316368317,"waterlevel_datetime":"2026-10-01 15:10","waterlevel_m":null,"waterlevel_msl":"110.54","waterlevel_msl_previous":"110.55","flow_rate":null,"discharge":null,"storage_percent":"47.36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Organization)","jp":""},"agency_shortname":{"th":"สสน.","en":"HII","jp":""}},"basin":{"id":12,"basin_code":11,"basin_name":{"th":"ลุ่มน้ำสะแกกรัง","en":"Sakae Krang Basin"}},"station":{"id":618,"tele_station_name":{"en":"Maewong Bridge","th":"สะพานแม่วงก์"},"tele_station_lat":15.90176,"tele_station_long":99.4704,"tele_station_oldcode":"SKG005","tele_station_type":"tele_waterlevel","left_bank":113.69,"right_bank":114.09,"min_bank":113.69,"ground_level":107.7,"offset":null,"sub_basin_id":241,"agency_id":9,"geocode_id":5913,"hydro_id":null,"qmax":null,"is_key_station":false,"warning_level_m":null,"critical_level_m":null,"critical_level_msl":null},"geocode":{"area_code":"3","area_name":{"th":"ภาคเหนือ","en":"North"},"amphoe_code":"04","amphoe_name":{"th":"ขาณุวรลักษบุรี","en":"Khanu Woralaksaburi District"},"tumbon_code":"11","tumbon_name":{"th":"ปางมะค่า","en":"Pang Makha"},"province_code":"62","province_name":{"th":"กำแพงเพชร","en":"Kamphaeng Phet"}},"diff_wl_bank":"3.15","diff_wl_bank_text":"ต่ำกว่าตลิ่ง (ม.)","river_gid":166809,"river_name":"แม่น้ำแม่วงก์"}</x:t>
  </x:si>
  <x:si>
    <x:t xml:space="preserve">THAIWATER_WL:1098955</x:t>
  </x:si>
  <x:si>
    <x:t xml:space="preserve">Kgt.14A</x:t>
  </x:si>
  <x:si>
    <x:t xml:space="preserve">บ้านทุ่งแฝก</x:t>
  </x:si>
  <x:si>
    <x:t xml:space="preserve">{"id":1316343000,"waterlevel_datetime":"2026-10-01 14:00","waterlevel_m":null,"waterlevel_msl":"36.65","waterlevel_msl_previous":"36.65","flow_rate":null,"discharge":"13.50","storage_percent":"47.31","sort_order":null,"station_type":"tele_waterlevel","situation_level":3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1098955,"tele_station_name":{"th":"บ้านทุ่งแฝก"},"tele_station_lat":14.16131,"tele_station_long":101.883057,"tele_station_oldcode":"Kgt.14A","tele_station_type":"tele_waterlevel","left_bank":74.035,"right_bank":73.989,"min_bank":39.41,"ground_level":34.172,"offset":34.34,"sub_basin_id":280,"agency_id":12,"geocode_id":1517,"hydro_id":6,"qmax":114.400002,"is_key_station":true,"warning_level_m":null,"critical_level_m":null,"critical_level_msl":null},"geocode":{"area_code":"2","area_name":{"th":"ภาคกลาง","en":"Central"},"amphoe_code":"03","amphoe_name":{"th":"นาดี","en":"Na Di District"},"tumbon_code":"04","tumbon_name":{"th":"ทุ่งโพธิ์","en":"Thung Pho"},"province_code":"25","province_name":{"th":"ปราจีนบุรี","en":"Prachin Buri"}},"diff_wl_bank":"2.76","diff_wl_bank_text":"ต่ำกว่าตลิ่ง (ม.)","river_gid":193985,"river_name":"ห้วยยาง"}</x:t>
  </x:si>
  <x:si>
    <x:t xml:space="preserve">THAIWATER_WL:2567</x:t>
  </x:si>
  <x:si>
    <x:t xml:space="preserve">X.53A</x:t>
  </x:si>
  <x:si>
    <x:t xml:space="preserve">บ้านวังไผ่</x:t>
  </x:si>
  <x:si>
    <x:t xml:space="preserve">{"id":1316344793,"waterlevel_datetime":"2026-10-01 14:00","waterlevel_m":null,"waterlevel_msl":"4.93","waterlevel_msl_previous":"4.99","flow_rate":null,"discharge":null,"storage_percent":"47.27","sort_order":null,"station_type":"tele_waterlevel","situation_level":3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2567,"tele_station_name":{"th":"บ้านวังไผ่"},"tele_station_lat":10.5072,"tele_station_long":99.117798,"tele_station_oldcode":"X.53A","tele_station_type":"tele_waterlevel","left_bank":10.403,"right_bank":10.407,"min_bank":8.7,"ground_level":1.55,"offset":null,"sub_basin_id":311,"agency_id":12,"geocode_id":7706,"hydro_id":8,"qmax":199.5,"is_key_station":true,"warning_level_m":null,"critical_level_m":null,"critical_level_msl":null},"geocode":{"area_code":"5","area_name":{"th":"ภาคใต้","en":"South"},"amphoe_code":"01","amphoe_name":{"th":"เมืองชุมพร","en":"Mueang Chumphon District"},"tumbon_code":"12","tumbon_name":{"th":"บ้านนา","en":"Ban Na"},"province_code":"86","province_name":{"th":"ชุมพร","en":"Chumphon"}},"diff_wl_bank":"3.77","diff_wl_bank_text":"ต่ำกว่าตลิ่ง (ม.)","river_gid":213237,"river_name":"คลองชุมพร"}</x:t>
  </x:si>
  <x:si>
    <x:t xml:space="preserve">THAIWATER_WL:1225528</x:t>
  </x:si>
  <x:si>
    <x:t xml:space="preserve">MYA001</x:t>
  </x:si>
  <x:si>
    <x:t xml:space="preserve">บ้านโจตาดา</x:t>
  </x:si>
  <x:si>
    <x:t xml:space="preserve">สาธารณรัฐแห่งสหภาพเมียนมา</x:t>
  </x:si>
  <x:si>
    <x:t xml:space="preserve">{"id":1316367808,"waterlevel_datetime":"2026-10-01 15:10","waterlevel_m":null,"waterlevel_msl":"512.97","waterlevel_msl_previous":"512.96","flow_rate":null,"discharge":null,"storage_percent":"47.04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Foundation","jp":""},"agency_shortname":{"th":"พพภ","en":"FOP","jp":""}},"basin":{"id":29,"basin_code":88,"basin_name":{"th":"นอกประเทศไทย","en":""}},"station":{"id":1225528,"tele_station_name":{"en":"Kyotada (Village)","th":"บ้านโจตาดา"},"tele_station_lat":20.3913,"tele_station_long":99.68576,"tele_station_oldcode":"MYA001","tele_station_type":"tele_waterlevel","left_bank":514.4,"right_bank":514.4,"min_bank":514.4,"ground_level":511.7,"offset":null,"sub_basin_id":361,"sponsor_by":"มูลนิธิอาสาเพื่อนพึ่ง (ภาฯ) ยามยาก สภากาชาดไทย","agency_id":91,"geocode_id":8510,"hydro_id":null,"qmax":null,"is_key_station":false,"warning_level_m":null,"critical_level_m":null,"critical_level_msl":null},"geocode":{"area_code":"104","area_name":{"th":"สาธารณรัฐแห่งสหภาพพม่า","en":"Republic of the Union of Myanmar"},"amphoe_code":"10499","amphoe_name":{"th":"","en":""},"tumbon_code":"10499","tumbon_name":{"th":"","en":""},"province_code":"10499","province_name":{"th":"สาธารณรัฐแห่งสหภาพเมียนมา","en":"Republic of the Union of Myanmar"}},"diff_wl_bank":"1.43","diff_wl_bank_text":"ต่ำกว่าตลิ่ง (ม.)"}</x:t>
  </x:si>
  <x:si>
    <x:t xml:space="preserve">THAIWATER_WL:3224</x:t>
  </x:si>
  <x:si>
    <x:t xml:space="preserve">W.16A</x:t>
  </x:si>
  <x:si>
    <x:t xml:space="preserve">บ้านไฮ</x:t>
  </x:si>
  <x:si>
    <x:t xml:space="preserve">{"id":1316351141,"waterlevel_datetime":"2026-10-01 14:00","waterlevel_m":null,"waterlevel_msl":"305.36","waterlevel_msl_previous":"305.36","flow_rate":null,"discharge":"3.22","storage_percent":"46.69","sort_order":null,"station_type":"tele_waterlevel","situation_level":3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3224,"tele_station_name":{"th":"บ้านไฮ"},"tele_station_lat":18.785219,"tele_station_long":99.630409,"tele_station_oldcode":"W.16A","tele_station_type":"tele_waterlevel","left_bank":614.125,"right_bank":614.105,"min_bank":308.5,"ground_level":302.61,"offset":304,"sub_basin_id":186,"agency_id":12,"geocode_id":5035,"hydro_id":1,"qmax":241,"is_key_station":false,"warning_level_m":null,"critical_level_m":null,"critical_level_msl":null},"geocode":{"area_code":"3","area_name":{"th":"ภาคเหนือ","en":"North"},"amphoe_code":"06","amphoe_name":{"th":"แจ้ห่ม","en":"Chae Hom District"},"tumbon_code":"03","tumbon_name":{"th":"ปงดอน","en":"Pong Don"},"province_code":"52","province_name":{"th":"ลำปาง","en":"Lampang"}},"diff_wl_bank":"3.14","diff_wl_bank_text":"ต่ำกว่าตลิ่ง (ม.)","river_gid":39312,"river_name":"แม่น้ำวัง"}</x:t>
  </x:si>
  <x:si>
    <x:t xml:space="preserve">THAIWATER_WL:1225531</x:t>
  </x:si>
  <x:si>
    <x:t xml:space="preserve">MYA004</x:t>
  </x:si>
  <x:si>
    <x:t xml:space="preserve">สะพานมิตรภาพแม่น้ำสายแห่งที่ 1</x:t>
  </x:si>
  <x:si>
    <x:t xml:space="preserve">{"id":1316367811,"waterlevel_datetime":"2026-10-01 15:10","waterlevel_m":null,"waterlevel_msl":"394.99","waterlevel_msl_previous":"394.98","flow_rate":null,"discharge":null,"storage_percent":"46.64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Foundation","jp":""},"agency_shortname":{"th":"พพภ","en":"FOP","jp":""}},"basin":{"id":2,"basin_code":2,"basin_name":{"th":"ลุ่มน้ำโขงเหนือ","en":"North Khong Basin"}},"station":{"id":1225531,"tele_station_name":{"en":"The First Friendship Bridge at Mae Sai River","th":"สะพานมิตรภาพแม่น้ำสายแห่งที่ 1"},"tele_station_lat":20.44454,"tele_station_long":99.88048,"tele_station_oldcode":"MYA004","tele_station_type":"tele_waterlevel","left_bank":397.591,"right_bank":397.591,"min_bank":397.59,"ground_level":392.717,"offset":null,"sub_basin_id":23,"sponsor_by":"มูลนิธิอาสาเพื่อนพึ่ง (ภาฯ) ยามยาก สภากาชาดไทย","agency_id":91,"geocode_id":5536,"hydro_id":null,"qmax":null,"is_key_station":false,"warning_level_m":null,"critical_level_m":null,"critical_level_msl":null},"geocode":{"area_code":"3","area_name":{"th":"ภาคเหนือ","en":"North"},"amphoe_code":"09","amphoe_name":{"th":"แม่สาย","en":"Mae Sai District"},"tumbon_code":"01","tumbon_name":{"th":"แม่สาย","en":"Mae Sai"},"province_code":"57","province_name":{"th":"เชียงราย","en":"Chiang Rai"}},"diff_wl_bank":"2.60","diff_wl_bank_text":"ต่ำกว่าตลิ่ง (ม.)"}</x:t>
  </x:si>
  <x:si>
    <x:t xml:space="preserve">THAIWATER_WL:2875</x:t>
  </x:si>
  <x:si>
    <x:t xml:space="preserve">E.91</x:t>
  </x:si>
  <x:si>
    <x:t xml:space="preserve">บ้านดอนขนวน</x:t>
  </x:si>
  <x:si>
    <x:t xml:space="preserve">{"id":1316353916,"waterlevel_datetime":"2026-10-01 14:00","waterlevel_m":null,"waterlevel_msl":"143.32","waterlevel_msl_previous":"143.31","flow_rate":null,"discharge":"225.12","storage_percent":"46.61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2875,"tele_station_name":{"th":"บ้านดอนขนวน"},"tele_station_lat":16.36607,"tele_station_long":102.949753,"tele_station_oldcode":"E.91","tele_station_type":"tele_waterlevel","left_bank":290.303,"right_bank":290.231,"min_bank":149.7,"ground_level":137.75,"offset":138,"sub_basin_id":96,"agency_id":12,"geocode_id":3888,"hydro_id":3,"qmax":820,"is_key_station":true,"warning_level_m":null,"critical_level_m":null,"critical_level_msl":null},"geocode":{"area_code":"4","area_name":{"th":"ภาคตะวันออกเฉียงเหนือ","en":"Northeast"},"amphoe_code":"03","amphoe_name":{"th":"โกสุมพิสัย","en":"Kosum Phisai District"},"tumbon_code":"08","tumbon_name":{"th":"หนองบัว","en":"Nong Bua"},"province_code":"44","province_name":{"th":"มหาสารคาม","en":"Maha Sarakham"}},"diff_wl_bank":"6.38","diff_wl_bank_text":"ต่ำกว่าตลิ่ง (ม.)","river_gid":131733,"river_name":"แม่น้ำชี"}</x:t>
  </x:si>
  <x:si>
    <x:t xml:space="preserve">THAIWATER_WL:1373689</x:t>
  </x:si>
  <x:si>
    <x:t xml:space="preserve">PTTEP4</x:t>
  </x:si>
  <x:si>
    <x:t xml:space="preserve">สะพานคลองปากแตระ ชุมชนทะเลสาบสงขลา</x:t>
  </x:si>
  <x:si>
    <x:t xml:space="preserve">{"id":1316368252,"waterlevel_datetime":"2026-10-01 15:10","waterlevel_m":null,"waterlevel_msl":"0.53","waterlevel_msl_previous":"0.55","flow_rate":null,"discharge":null,"storage_percent":"46.45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Basin"}},"station":{"id":1373689,"tele_station_name":{"en":"Pak Tae Canal Bridge Songkhla Lake community","th":"สะพานคลองปากแตระ ชุมชนทะเลสาบสงขลา"},"tele_station_lat":7.779112,"tele_station_long":100.36791,"tele_station_oldcode":"PTTEP4","tele_station_type":"tele_waterlevel","left_bank":1.255,"right_bank":1.677,"min_bank":1.25,"ground_level":-0.099,"offset":null,"sub_basin_id":329,"sponsor_by":"บริษัท ปตท.สำรวจและผลิตปิโตรเลียม จำกัด (มหาชน)","agency_id":9,"geocode_id":7843,"hydro_id":null,"qmax":null,"is_key_station":false,"warning_level_m":null,"critical_level_m":null,"critical_level_msl":null},"geocode":{"area_code":"5","area_name":{"th":"ภาคใต้","en":"South"},"amphoe_code":"07","amphoe_name":{"th":"ระโนด","en":"Ranot District"},"tumbon_code":"07","tumbon_name":{"th":"ปากแตระ","en":"Pak Trae"},"province_code":"90","province_name":{"th":"สงขลา","en":"Songkhla"}},"diff_wl_bank":"0.72","diff_wl_bank_text":"ต่ำกว่าตลิ่ง (ม.)"}</x:t>
  </x:si>
  <x:si>
    <x:t xml:space="preserve">THAIWATER_WL:505052</x:t>
  </x:si>
  <x:si>
    <x:t xml:space="preserve">X.119</x:t>
  </x:si>
  <x:si>
    <x:t xml:space="preserve">บ้านมูโน๊ะ</x:t>
  </x:si>
  <x:si>
    <x:t xml:space="preserve">{"id":1316344795,"waterlevel_datetime":"2026-10-01 14:00","waterlevel_m":null,"waterlevel_msl":"3.25","waterlevel_msl_previous":"3.32","flow_rate":null,"discharge":null,"storage_percent":"46.43","sort_order":null,"station_type":"tele_waterlevel","situation_level":3,"agency":{"id":12,"agency_name":{"th":"กรมชลประทาน ","en":"Royal Irrigation Department","jp":""},"agency_shortname":{"th":"ชป.","en":"RID","jp":""}},"basin":{"id":26,"basin_code":21,"basin_name":{"th":"ลุ่มน้ำภาคใต้ฝั่งตะวันออกตอนล่าง","en":"Peninsula - Lower East Coast Basin"}},"station":{"id":505052,"tele_station_name":{"th":"บ้านมูโน๊ะ"},"tele_station_lat":6.07114,"tele_station_long":102.035881,"tele_station_oldcode":"X.119","tele_station_type":"tele_waterlevel","left_bank":7,"right_bank":7,"min_bank":7,"ground_level":0,"offset":null,"sub_basin_id":340,"agency_id":12,"geocode_id":8403,"hydro_id":8,"qmax":null,"is_key_station":true,"warning_level_m":null,"critical_level_m":null,"critical_level_msl":null},"geocode":{"area_code":"5","area_name":{"th":"ภาคใต้","en":"South"},"amphoe_code":"10","amphoe_name":{"th":"สุไหงโก-ลก","en":"Su-ngai Kolok District"},"tumbon_code":"03","tumbon_name":{"th":"มูโนะ","en":"Mu No"},"province_code":"96","province_name":{"th":"นราธิวาส","en":"Narathiwat"}},"diff_wl_bank":"3.75","diff_wl_bank_text":"ต่ำกว่าตลิ่ง (ม.)","river_gid":231699,"river_name":"แม่น้ำโก-ลก"}</x:t>
  </x:si>
  <x:si>
    <x:t xml:space="preserve">THAIWATER_WL:2562</x:t>
  </x:si>
  <x:si>
    <x:t xml:space="preserve">X.236</x:t>
  </x:si>
  <x:si>
    <x:t xml:space="preserve">บ้านย่านตาขาว</x:t>
  </x:si>
  <x:si>
    <x:t xml:space="preserve">{"id":1316344822,"waterlevel_datetime":"2026-10-01 14:00","waterlevel_m":null,"waterlevel_msl":"1.51","waterlevel_msl_previous":"1.44","flow_rate":null,"discharge":"42.30","storage_percent":"46.32","sort_order":null,"station_type":"tele_waterlevel","situation_level":3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2562,"tele_station_name":{"th":"บ้านย่านตาขาว"},"tele_station_lat":7.37199,"tele_station_long":99.677269,"tele_station_oldcode":"X.236","tele_station_type":"tele_waterlevel","left_bank":7.441,"right_bank":7.433,"min_bank":5.1,"ground_level":-1.588,"offset":null,"sub_basin_id":350,"agency_id":12,"geocode_id":8010,"hydro_id":8,"qmax":224.5,"is_key_station":false,"warning_level_m":null,"critical_level_m":null,"critical_level_msl":null},"geocode":{"area_code":"5","area_name":{"th":"ภาคใต้","en":"South"},"amphoe_code":"04","amphoe_name":{"th":"ปะเหลียน","en":"Palian District"},"tumbon_code":"12","tumbon_name":{"th":"ท่าพญา","en":"Tha Phaya"},"province_code":"92","province_name":{"th":"ตรัง","en":"Trang"}},"diff_wl_bank":"3.59","diff_wl_bank_text":"ต่ำกว่าตลิ่ง (ม.)","river_gid":225576,"river_name":"คลองปะเหลียน"}</x:t>
  </x:si>
  <x:si>
    <x:t xml:space="preserve">THAIWATER_WL:1095881</x:t>
  </x:si>
  <x:si>
    <x:t xml:space="preserve">X.279</x:t>
  </x:si>
  <x:si>
    <x:t xml:space="preserve">บ้านปันจอร์</x:t>
  </x:si>
  <x:si>
    <x:t xml:space="preserve">คลองดุสน</x:t>
  </x:si>
  <x:si>
    <x:t xml:space="preserve">{"id":1316344828,"waterlevel_datetime":"2026-10-01 14:00","waterlevel_m":null,"waterlevel_msl":"20.34","waterlevel_msl_previous":"20.39","flow_rate":null,"discharge":"16.00","storage_percent":"46.28","sort_order":null,"station_type":"tele_waterlevel","situation_level":3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1095881,"tele_station_name":{"th":"บ้านปันจอร์"},"tele_station_lat":6.77741,"tele_station_long":100.071487,"tele_station_oldcode":"X.279","tele_station_type":"tele_waterlevel","left_bank":24.394,"right_bank":24.402,"min_bank":23.2,"ground_level":17.876,"offset":null,"sub_basin_id":352,"agency_id":12,"geocode_id":7933,"hydro_id":8,"qmax":84,"is_key_station":true,"warning_level_m":null,"critical_level_m":null,"critical_level_msl":null},"geocode":{"area_code":"5","area_name":{"th":"ภาคใต้","en":"South"},"amphoe_code":"02","amphoe_name":{"th":"ควนโดน","en":"Khuan Don District"},"tumbon_code":"03","tumbon_name":{"th":"ย่านซื่อ","en":"Yan Sue"},"province_code":"91","province_name":{"th":"สตูล","en":"Satun"}},"diff_wl_bank":"2.86","diff_wl_bank_text":"ต่ำกว่าตลิ่ง (ม.)","river_gid":228319,"river_name":"คลองดุสน"}</x:t>
  </x:si>
  <x:si>
    <x:t xml:space="preserve">THAIWATER_WL:3157</x:t>
  </x:si>
  <x:si>
    <x:t xml:space="preserve">Y.34</x:t>
  </x:si>
  <x:si>
    <x:t xml:space="preserve">บ้านแม่หล่าย</x:t>
  </x:si>
  <x:si>
    <x:t xml:space="preserve">น้ำแม่หล่าย</x:t>
  </x:si>
  <x:si>
    <x:t xml:space="preserve">{"id":1316351151,"waterlevel_datetime":"2026-10-01 14:00","waterlevel_m":null,"waterlevel_msl":"159.27","waterlevel_msl_previous":"159.27","flow_rate":null,"discharge":"2.72","storage_percent":"46.24","sort_order":null,"station_type":"tele_waterlevel","situation_level":3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3157,"tele_station_name":{"th":"บ้านแม่หล่าย"},"tele_station_lat":18.22003,"tele_station_long":100.20636,"tele_station_oldcode":"Y.34","tele_station_type":"tele_waterlevel","left_bank":324.766004,"right_bank":324.755004,"min_bank":161.27,"ground_level":157.55,"offset":157.270004,"sub_basin_id":205,"agency_id":12,"geocode_id":5180,"hydro_id":1,"qmax":535,"is_key_station":false,"warning_level_m":null,"critical_level_m":null,"critical_level_msl":null},"geocode":{"area_code":"3","area_name":{"th":"ภาคเหนือ","en":"North"},"amphoe_code":"01","amphoe_name":{"th":"เมืองแพร่","en":"Mueang Phrae District"},"tumbon_code":"08","tumbon_name":{"th":"แม่หล่าย","en":"Mae Lai"},"province_code":"54","province_name":{"th":"แพร่","en":"Phrae"}},"diff_wl_bank":"2.00","diff_wl_bank_text":"ต่ำกว่าตลิ่ง (ม.)","river_gid":63167,"river_name":"น้ำแม่หล่าย"}</x:t>
  </x:si>
  <x:si>
    <x:t xml:space="preserve">THAIWATER_WL:676</x:t>
  </x:si>
  <x:si>
    <x:t xml:space="preserve">NAN005</x:t>
  </x:si>
  <x:si>
    <x:t xml:space="preserve">แม่น้ำเข็ก (ว้งทอง)</x:t>
  </x:si>
  <x:si>
    <x:t xml:space="preserve">{"id":1316368163,"waterlevel_datetime":"2026-10-01 15:10","waterlevel_m":null,"waterlevel_msl":"136.78","waterlevel_msl_previous":"136.78","flow_rate":null,"discharge":null,"storage_percent":"46.17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Basin"}},"station":{"id":676,"tele_station_name":{"en":"Nan 5","th":"แม่น้ำเข็ก (ว้งทอง)"},"tele_station_lat":16.85502,"tele_station_long":100.66681,"tele_station_oldcode":"NAN005","tele_station_type":"tele_waterlevel","left_bank":140.171,"right_bank":141.061,"min_bank":140.17,"ground_level":133.875,"offset":null,"sub_basin_id":237,"agency_id":9,"geocode_id":6223,"hydro_id":null,"qmax":null,"is_key_station":false,"warning_level_m":null,"critical_level_m":null,"critical_level_msl":null},"geocode":{"area_code":"3","area_name":{"th":"ภาคเหนือ","en":"North"},"amphoe_code":"08","amphoe_name":{"th":"วังทอง","en":"Wang Thong District"},"tumbon_code":"08","tumbon_name":{"th":"วังนกแอ่น","en":"Wang Nok Aen"},"province_code":"65","province_name":{"th":"พิษณุโลก","en":"Phitsanulok"}},"diff_wl_bank":"3.39","diff_wl_bank_text":"ต่ำกว่าตลิ่ง (ม.)","river_gid":91173,"river_name":"น้ำเข็ก"}</x:t>
  </x:si>
  <x:si>
    <x:t xml:space="preserve">THAIWATER_WL:1422307</x:t>
  </x:si>
  <x:si>
    <x:t xml:space="preserve">BBU04</x:t>
  </x:si>
  <x:si>
    <x:t xml:space="preserve">ห้วยแม่ตื่นที่ อ.อมก๋อย</x:t>
  </x:si>
  <x:si>
    <x:t xml:space="preserve">{"id":1316366286,"waterlevel_datetime":"2026-10-01 15:00","waterlevel_m":null,"waterlevel_msl":"421.57","waterlevel_msl_previous":"421.58","flow_rate":null,"discharge":null,"storage_percent":"45.99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Thailand","jp":""},"agency_shortname":{"th":"กฟผ.","en":"EGAT","jp":""}},"basin":{"id":6,"basin_code":6,"basin_name":{"th":"ลุ่มน้ำปิง","en":"Ping Basin"}},"station":{"id":1422307,"tele_station_name":{"th":"ห้วยแม่ตื่นที่ อ.อมก๋อย"},"tele_station_lat":17.387731,"tele_station_long":98.467658,"tele_station_oldcode":"BBU04","tele_station_type":"tele_waterlevel","left_bank":423.61,"right_bank":426.246,"min_bank":423.61,"ground_level":419.84,"offset":null,"sub_basin_id":175,"agency_id":8,"geocode_id":4876,"hydro_id":null,"qmax":null,"is_key_station":false,"warning_level_m":null,"critical_level_m":null,"critical_level_msl":426.24},"geocode":{"area_code":"3","area_name":{"th":"ภาคเหนือ","en":"North"},"amphoe_code":"18","amphoe_name":{"th":"อมก๋อย","en":"Omkoi District"},"tumbon_code":"04","tumbon_name":{"th":"ม่อนจอง","en":"Mon Chong"},"province_code":"50","province_name":{"th":"เชียงใหม่","en":"Chiang Mai"}},"diff_wl_bank":"2.04","diff_wl_bank_text":"ต่ำกว่าตลิ่ง (ม.)"}</x:t>
  </x:si>
  <x:si>
    <x:t xml:space="preserve">THAIWATER_WL:475</x:t>
  </x:si>
  <x:si>
    <x:t xml:space="preserve">NAN014</x:t>
  </x:si>
  <x:si>
    <x:t xml:space="preserve">ตรอน</x:t>
  </x:si>
  <x:si>
    <x:t xml:space="preserve">{"id":1316368172,"waterlevel_datetime":"2026-10-01 15:10","waterlevel_m":null,"waterlevel_msl":"49.20","waterlevel_msl_previous":"49.19","flow_rate":null,"discharge":null,"storage_percent":"45.98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Basin"}},"station":{"id":475,"tele_station_name":{"en":"NAN 14","th":"ตรอน"},"tele_station_lat":17.41834,"tele_station_long":100.13075,"tele_station_oldcode":"NAN014","tele_station_type":"tele_waterlevel","left_bank":58.303,"right_bank":54.156,"min_bank":54.16,"ground_level":44.976,"offset":null,"sub_basin_id":232,"agency_id":9,"geocode_id":5115,"hydro_id":null,"qmax":null,"is_key_station":false,"warning_level_m":null,"critical_level_m":null,"critical_level_msl":null},"geocode":{"area_code":"3","area_name":{"th":"ภาคเหนือ","en":"North"},"amphoe_code":"02","amphoe_name":{"th":"ตรอน","en":"Tron District"},"tumbon_code":"03","tumbon_name":{"th":"หาดสองแคว","en":"Hat Song Khwae"},"province_code":"53","province_name":{"th":"อุตรดิตถ์","en":"Uttaradit"}},"diff_wl_bank":"4.96","diff_wl_bank_text":"ต่ำกว่าตลิ่ง (ม.)","river_gid":83575,"river_name":"แม่น้ำน่าน"}</x:t>
  </x:si>
  <x:si>
    <x:t xml:space="preserve">THAIWATER_WL:10</x:t>
  </x:si>
  <x:si>
    <x:t xml:space="preserve">BKK005</x:t>
  </x:si>
  <x:si>
    <x:t xml:space="preserve">คลองภาษีเจริญ เพชรเกษม69</x:t>
  </x:si>
  <x:si>
    <x:t xml:space="preserve">คลองภาษีเจริญ</x:t>
  </x:si>
  <x:si>
    <x:t xml:space="preserve">{"id":1316367944,"waterlevel_datetime":"2026-10-01 15:10","waterlevel_m":null,"waterlevel_msl":"-2.94","waterlevel_msl_previous":"-2.95","flow_rate":null,"discharge":null,"storage_percent":"45.71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Basin"}},"station":{"id":10,"tele_station_name":{"en":"Krung Thep 5","th":"คลองภาษีเจริญ เพชรเกษม69"},"tele_station_lat":13.69158,"tele_station_long":100.38127,"tele_station_oldcode":"BKK005","tele_station_type":"tele_waterlevel","left_bank":1.637,"right_bank":1.415,"min_bank":1.42,"ground_level":-6.605,"offset":null,"sub_basin_id":240,"agency_id":9,"geocode_id":180,"hydro_id":null,"qmax":null,"is_key_station":false,"warning_level_m":null,"critical_level_m":null,"critical_level_msl":null},"geocode":{"area_code":"1","area_name":{"th":"กรุงเทพมหานคร","en":"Bangkok"},"amphoe_code":"40","amphoe_name":{"th":"บางแค","en":"Bang Khae District"},"tumbon_code":"04","tumbon_name":{"th":"หลักสอง","en":"Lak Song"},"province_code":"10","province_name":{"th":"กรุงเทพมหานคร","en":"Bangkok"}},"diff_wl_bank":"4.35","diff_wl_bank_text":"ต่ำกว่าตลิ่ง (ม.)","river_gid":187977,"river_name":"คลองภาษีเจริญ"}</x:t>
  </x:si>
  <x:si>
    <x:t xml:space="preserve">THAIWATER_WL:1422305</x:t>
  </x:si>
  <x:si>
    <x:t xml:space="preserve">BBU02</x:t>
  </x:si>
  <x:si>
    <x:t xml:space="preserve">แม่น้ำปิงที่ อ.ฮอด</x:t>
  </x:si>
  <x:si>
    <x:t xml:space="preserve">2026-09-30T17:00:00+07:00</x:t>
  </x:si>
  <x:si>
    <x:t xml:space="preserve">{"id":1315783917,"waterlevel_datetime":"2026-09-30 17:00","waterlevel_m":null,"waterlevel_msl":"257.61","waterlevel_msl_previous":"257.56","flow_rate":null,"discharge":null,"storage_percent":"45.62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Thailand","jp":""},"agency_shortname":{"th":"กฟผ.","en":"EGAT","jp":""}},"basin":{"id":6,"basin_code":6,"basin_name":{"th":"ลุ่มน้ำปิง","en":"Ping Basin"}},"station":{"id":1422305,"tele_station_name":{"th":"แม่น้ำปิงที่ อ.ฮอด"},"tele_station_lat":18.178275,"tele_station_long":98.630519,"tele_station_oldcode":"BBU02","tele_station_type":"tele_waterlevel","left_bank":261.91,"right_bank":263.11,"min_bank":261.91,"ground_level":254.01,"offset":null,"sub_basin_id":173,"agency_id":8,"geocode_id":4861,"hydro_id":null,"qmax":null,"is_key_station":false,"warning_level_m":null,"critical_level_m":null,"critical_level_msl":261.91},"geocode":{"area_code":"3","area_name":{"th":"ภาคเหนือ","en":"North"},"amphoe_code":"16","amphoe_name":{"th":"ฮอด","en":"Hot District"},"tumbon_code":"03","tumbon_name":{"th":"บ้านตาล","en":"Ban Tan"},"province_code":"50","province_name":{"th":"เชียงใหม่","en":"Chiang Mai"}},"diff_wl_bank":"4.30","diff_wl_bank_text":"ต่ำกว่าตลิ่ง (ม.)"}</x:t>
  </x:si>
  <x:si>
    <x:t xml:space="preserve">THAIWATER_WL:1198298</x:t>
  </x:si>
  <x:si>
    <x:t xml:space="preserve">PIN008</x:t>
  </x:si>
  <x:si>
    <x:t xml:space="preserve">แม่น้ำทา</x:t>
  </x:si>
  <x:si>
    <x:t xml:space="preserve">{"id":1316368240,"waterlevel_datetime":"2026-10-01 15:10","waterlevel_m":null,"waterlevel_msl":"304.03","waterlevel_msl_previous":"304.03","flow_rate":null,"discharge":null,"storage_percent":"45.51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Basin"}},"station":{"id":1198298,"tele_station_name":{"en":"Tha River","th":"แม่น้ำทา"},"tele_station_lat":18.471687,"tele_station_long":98.95513,"tele_station_oldcode":"PIN008","tele_station_type":"tele_waterlevel","left_bank":305.711,"right_bank":307.1603,"min_bank":305.71,"ground_level":302.6263,"offset":null,"sub_basin_id":163,"agency_id":9,"geocode_id":4929,"hydro_id":null,"qmax":null,"is_key_station":false,"warning_level_m":null,"critical_level_m":null,"critical_level_msl":null},"geocode":{"area_code":"3","area_name":{"th":"ภาคเหนือ","en":"North"},"amphoe_code":"01","amphoe_name":{"th":"เมืองลำพูน","en":"Mueang Lamphun District"},"tumbon_code":"09","tumbon_name":{"th":"เหมืองจี้","en":"Mueang Chi"},"province_code":"51","province_name":{"th":"ลำพูน","en":"Lamphun"}},"diff_wl_bank":"1.68","diff_wl_bank_text":"ต่ำกว่าตลิ่ง (ม.)","river_gid":53736,"river_name":"น้ำแม่ทา"}</x:t>
  </x:si>
  <x:si>
    <x:t xml:space="preserve">THAIWATER_WL:2651</x:t>
  </x:si>
  <x:si>
    <x:t xml:space="preserve">X.209</x:t>
  </x:si>
  <x:si>
    <x:t xml:space="preserve">คลองหาดส้มแป้น</x:t>
  </x:si>
  <x:si>
    <x:t xml:space="preserve">{"id":1316344860,"waterlevel_datetime":"2026-10-01 14:00","waterlevel_m":null,"waterlevel_msl":"8.32","waterlevel_msl_previous":"8.32","flow_rate":null,"discharge":"20.20","storage_percent":"45.35","sort_order":null,"station_type":"tele_waterlevel","situation_level":3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2651,"tele_station_name":{"th":"คลองหาดส้มแป้น"},"tele_station_lat":9.95839,"tele_station_long":98.648537,"tele_station_oldcode":"X.209","tele_station_type":"tele_waterlevel","left_bank":14.375,"right_bank":14.201,"min_bank":9.9,"ground_level":7.009,"offset":null,"sub_basin_id":343,"agency_id":12,"geocode_id":7662,"hydro_id":8,"qmax":94.800003,"is_key_station":true,"warning_level_m":null,"critical_level_m":null,"critical_level_msl":null},"geocode":{"area_code":"5","area_name":{"th":"ภาคใต้","en":"South"},"amphoe_code":"01","amphoe_name":{"th":"เมืองระนอง","en":"Mueang Ranong District"},"tumbon_code":"04","tumbon_name":{"th":"บางริ้น","en":"Bang Rin"},"province_code":"85","province_name":{"th":"ระนอง","en":"Ranong"}},"diff_wl_bank":"1.58","diff_wl_bank_text":"ต่ำกว่าตลิ่ง (ม.)","river_gid":214120,"river_name":"คลองหาดส้มแป้น"}</x:t>
  </x:si>
  <x:si>
    <x:t xml:space="preserve">THAIWATER_WL:667</x:t>
  </x:si>
  <x:si>
    <x:t xml:space="preserve">NAN006</x:t>
  </x:si>
  <x:si>
    <x:t xml:space="preserve">บางกระทุ่ม</x:t>
  </x:si>
  <x:si>
    <x:t xml:space="preserve">{"id":1316368164,"waterlevel_datetime":"2026-10-01 15:10","waterlevel_m":null,"waterlevel_msl":"33.99","waterlevel_msl_previous":"33.99","flow_rate":null,"discharge":null,"storage_percent":"45.31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Basin"}},"station":{"id":667,"tele_station_name":{"en":"Nan 6","th":"บางกระทุ่ม"},"tele_station_lat":16.58046,"tele_station_long":100.23858,"tele_station_oldcode":"NAN006","tele_station_type":"tele_waterlevel","left_bank":39.856,"right_bank":40.151,"min_bank":39.86,"ground_level":29.14,"offset":null,"sub_basin_id":236,"agency_id":9,"geocode_id":6188,"hydro_id":null,"qmax":null,"is_key_station":false,"warning_level_m":null,"critical_level_m":null,"critical_level_msl":null},"geocode":{"area_code":"3","area_name":{"th":"ภาคเหนือ","en":"North"},"amphoe_code":"05","amphoe_name":{"th":"บางกระทุ่ม","en":"Bang Krathum District"},"tumbon_code":"03","tumbon_name":{"th":"โคกสลุด","en":"Khok Salut"},"province_code":"65","province_name":{"th":"พิษณุโลก","en":"Phitsanulok"}},"diff_wl_bank":"5.86","diff_wl_bank_text":"ต่ำกว่าตลิ่ง (ม.)","river_gid":95549,"river_name":"แม่น้ำน่าน"}</x:t>
  </x:si>
  <x:si>
    <x:t xml:space="preserve">THAIWATER_WL:2764</x:t>
  </x:si>
  <x:si>
    <x:t xml:space="preserve">M.5</x:t>
  </x:si>
  <x:si>
    <x:t xml:space="preserve">บ้านเมืองคง</x:t>
  </x:si>
  <x:si>
    <x:t xml:space="preserve">{"id":1316134162,"waterlevel_datetime":"2026-10-01 06:00","waterlevel_m":null,"waterlevel_msl":"114.21","waterlevel_msl_previous":"114.24","flow_rate":null,"discharge":null,"storage_percent":"45.27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2764,"tele_station_name":{"th":"บ้านเมืองคง"},"tele_station_lat":15.33969,"tele_station_long":104.15403,"tele_station_oldcode":"M.5","tele_station_type":"tele_waterlevel","left_bank":234.534,"right_bank":232.501,"min_bank":120.75,"ground_level":108.8,"offset":110,"sub_basin_id":136,"agency_id":12,"geocode_id":2504,"hydro_id":4,"qmax":1675,"is_key_station":true,"warning_level_m":null,"critical_level_m":null,"critical_level_msl":null},"geocode":{"area_code":"4","area_name":{"th":"ภาคตะวันออกเฉียงเหนือ","en":"Northeast"},"amphoe_code":"09","amphoe_name":{"th":"ราษีไศล","en":"Rasi Salai District"},"tumbon_code":"01","tumbon_name":{"th":"เมืองคง","en":"Mueang Khong"},"province_code":"33","province_name":{"th":"ศรีสะเกษ","en":"Si Sa Ket"}},"diff_wl_bank":"6.54","diff_wl_bank_text":"ต่ำกว่าตลิ่ง (ม.)","river_gid":145701,"river_name":"แม่น้ำมูล"}</x:t>
  </x:si>
  <x:si>
    <x:t xml:space="preserve">THAIWATER_WL:3032</x:t>
  </x:si>
  <x:si>
    <x:t xml:space="preserve">Kh.53</x:t>
  </x:si>
  <x:si>
    <x:t xml:space="preserve">บ้านหนองวัวซอ</x:t>
  </x:si>
  <x:si>
    <x:t xml:space="preserve">{"id":1316353928,"waterlevel_datetime":"2026-10-01 14:00","waterlevel_m":null,"waterlevel_msl":"204.40","waterlevel_msl_previous":"204.40","flow_rate":null,"discharge":"4.50","storage_percent":"45.09","sort_order":null,"station_type":"tele_waterlevel","situation_level":3,"agency":{"id":12,"agency_name":{"th":"กรมชลประทาน ","en":"Royal Irrigation Department","jp":""},"agency_shortname":{"th":"ชป.","en":"RID","jp":""}},"basin":{"id":3,"basin_code":3,"basin_name":{"th":"ลุ่มน้ำโขงตะวันออกเฉียงเหนือ","en":"Northeast Khong Basin"}},"station":{"id":3032,"tele_station_name":{"th":"บ้านหนองวัวซอ"},"tele_station_lat":17.2659,"tele_station_long":102.59243,"tele_station_oldcode":"Kh.53","tele_station_type":"tele_waterlevel","left_bank":409.175003,"right_bank":409.185003,"min_bank":206.3,"ground_level":202.84,"offset":201.300003,"sub_basin_id":54,"agency_id":12,"geocode_id":3482,"hydro_id":3,"qmax":80,"is_key_station":true,"warning_level_m":null,"critical_level_m":null,"critical_level_msl":null},"geocode":{"area_code":"4","area_name":{"th":"ภาคตะวันออกเฉียงเหนือ","en":"Northeast"},"amphoe_code":"03","amphoe_name":{"th":"หนองวัวซอ","en":"Nong Wua So District"},"tumbon_code":"08","tumbon_name":{"th":"หนองวัวซอ","en":"Nong Wua So"},"province_code":"41","province_name":{"th":"อุดรธานี","en":"Udon Thani"}},"diff_wl_bank":"1.90","diff_wl_bank_text":"ต่ำกว่าตลิ่ง (ม.)","river_gid":120613,"river_name":"ห้วยหลวง"}</x:t>
  </x:si>
  <x:si>
    <x:t xml:space="preserve">THAIWATER_WL:3544</x:t>
  </x:si>
  <x:si>
    <x:t xml:space="preserve">PMTS17</x:t>
  </x:si>
  <x:si>
    <x:t xml:space="preserve">หน้าเขื่อนปากมูล</x:t>
  </x:si>
  <x:si>
    <x:t xml:space="preserve">{"id":1316346455,"waterlevel_datetime":"2026-10-01 14:00","waterlevel_m":null,"waterlevel_msl":"99.64","waterlevel_msl_previous":"99.64","flow_rate":null,"discharge":null,"storage_percent":"45.02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Thailand","jp":""},"agency_shortname":{"th":"กฟผ.","en":"EGAT","jp":""}},"basin":{"id":5,"basin_code":5,"basin_name":{"th":"ลุ่มน้ำมูล","en":"Mun Basin"}},"station":{"id":3544,"tele_station_name":{"th":"หน้าเขื่อนปากมูล"},"tele_station_lat":15.28496,"tele_station_long":105.46831,"tele_station_oldcode":"PMTS17","tele_station_type":"tele_waterlevel","left_bank":111.9,"right_bank":114.3,"min_bank":111.9,"ground_level":89.6,"offset":null,"sub_basin_id":155,"agency_id":8,"geocode_id":2639,"hydro_id":null,"qmax":null,"is_key_station":false,"warning_level_m":null,"critical_level_m":null,"critical_level_msl":111.9},"geocode":{"area_code":"4","area_name":{"th":"ภาคตะวันออกเฉียงเหนือ","en":"Northeast"},"amphoe_code":"03","amphoe_name":{"th":"โขงเจียม","en":"Khong Chiam District"},"tumbon_code":"01","tumbon_name":{"th":"โขงเจียม","en":"Khong Chiam"},"province_code":"34","province_name":{"th":"อุบลราชธานี","en":"Ubon Ratchathani"}},"diff_wl_bank":"12.26","diff_wl_bank_text":"ต่ำกว่าตลิ่ง (ม.)","river_gid":145533,"river_name":"แม่น้ำมูล"}</x:t>
  </x:si>
  <x:si>
    <x:t xml:space="preserve">THAIWATER_WL:11648257</x:t>
  </x:si>
  <x:si>
    <x:t xml:space="preserve">SKT003</x:t>
  </x:si>
  <x:si>
    <x:t xml:space="preserve">คลองแม่รำพัน</x:t>
  </x:si>
  <x:si>
    <x:t xml:space="preserve">2026-09-27T17:10:00+07:00</x:t>
  </x:si>
  <x:si>
    <x:t xml:space="preserve">{"id":1313923508,"waterlevel_datetime":"2026-09-27 17:10","waterlevel_m":null,"waterlevel_msl":"53.00","waterlevel_msl_previous":"52.96","flow_rate":null,"discharge":null,"storage_percent":"44.91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Basin"}},"station":{"id":11648257,"tele_station_name":{"en":"Khlong Mae Ramphan","th":"คลองแม่รำพัน"},"tele_station_lat":17.03065,"tele_station_long":99.71174,"tele_station_oldcode":"SKT003","tele_station_type":"tele_waterlevel","left_bank":55.124,"right_bank":55.624,"min_bank":55.12,"ground_level":51.263,"offset":null,"sub_basin_id":212,"agency_id":9,"geocode_id":6040,"hydro_id":null,"qmax":null,"is_key_station":false,"warning_level_m":null,"critical_level_m":null,"critical_level_msl":null},"geocode":{"area_code":"3","area_name":{"th":"ภาคเหนือ","en":"North"},"amphoe_code":"01","amphoe_name":{"th":"เมืองสุโขทัย","en":"Mueang Sukhothai District"},"tumbon_code":"03","tumbon_name":{"th":"เมืองเก่า","en":"Mueang Kao"},"province_code":"64","province_name":{"th":"สุโขทัย","en":"Sukhothai"}},"diff_wl_bank":"2.13","diff_wl_bank_text":"ต่ำกว่าตลิ่ง (ม.)"}</x:t>
  </x:si>
  <x:si>
    <x:t xml:space="preserve">THAIWATER_WL:1645475</x:t>
  </x:si>
  <x:si>
    <x:t xml:space="preserve">YOM017</x:t>
  </x:si>
  <x:si>
    <x:t xml:space="preserve">น้ำแม่งาว</x:t>
  </x:si>
  <x:si>
    <x:t xml:space="preserve">{"id":1316368445,"waterlevel_datetime":"2026-10-01 15:10","waterlevel_m":null,"waterlevel_msl":"228.69","waterlevel_msl_previous":"228.69","flow_rate":null,"discharge":null,"storage_percent":"44.89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Basin"}},"station":{"id":1645475,"tele_station_name":{"en":"Mae Ngao bridge","th":"น้ำแม่งาว"},"tele_station_lat":18.6275,"tele_station_long":100.04149,"tele_station_oldcode":"YOM017","tele_station_type":"tele_waterlevel","left_bank":231.489,"right_bank":231.048,"min_bank":231.05,"ground_level":226.778,"offset":null,"sub_basin_id":202,"agency_id":9,"geocode_id":5031,"hydro_id":null,"qmax":null,"is_key_station":false,"warning_level_m":null,"critical_level_m":null,"critical_level_msl":null},"geocode":{"area_code":"3","area_name":{"th":"ภาคเหนือ","en":"North"},"amphoe_code":"05","amphoe_name":{"th":"งาว","en":"Ngao District"},"tumbon_code":"10","tumbon_name":{"th":"แม่ตีบ","en":"Mae Tip"},"province_code":"52","province_name":{"th":"ลำปาง","en":"Lampang"}},"diff_wl_bank":"2.35","diff_wl_bank_text":"ต่ำกว่าตลิ่ง (ม.)"}</x:t>
  </x:si>
  <x:si>
    <x:t xml:space="preserve">THAIWATER_WL:2953</x:t>
  </x:si>
  <x:si>
    <x:t xml:space="preserve">N.5A</x:t>
  </x:si>
  <x:si>
    <x:t xml:space="preserve">สะพานสุพรรณกัลยา </x:t>
  </x:si>
  <x:si>
    <x:t xml:space="preserve">{"id":1316341569,"waterlevel_datetime":"2026-10-01 14:00","waterlevel_m":null,"waterlevel_msl":"37.29","waterlevel_msl_previous":"37.32","flow_rate":null,"discharge":"227.00","storage_percent":"44.83","sort_order":null,"station_type":"tele_waterlevel","situation_level":3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Basin"}},"station":{"id":2953,"tele_station_name":{"th":"สะพานสุพรรณกัลยา "},"tele_station_lat":16.80608,"tele_station_long":100.245827,"tele_station_oldcode":"N.5A","tele_station_type":"tele_waterlevel","left_bank":80.178,"right_bank":80.684,"min_bank":44.87,"ground_level":31.13,"offset":34.5,"sub_basin_id":236,"agency_id":12,"geocode_id":6136,"hydro_id":2,"qmax":1365,"is_key_station":true,"warning_level_m":null,"critical_level_m":10.37,"critical_level_msl":44.87},"geocode":{"area_code":"3","area_name":{"th":"ภาคเหนือ","en":"North"},"amphoe_code":"01","amphoe_name":{"th":"เมืองพิษณุโลก","en":"Mueang Phitsanulok District"},"tumbon_code":"03","tumbon_name":{"th":"วัดจันทร์","en":"Wat Chan"},"province_code":"65","province_name":{"th":"พิษณุโลก","en":"Phitsanulok"}},"diff_wl_bank":"7.58","diff_wl_bank_text":"ต่ำกว่าตลิ่ง (ม.)","river_gid":93751,"river_name":"แม่น้ำน่าน"}</x:t>
  </x:si>
  <x:si>
    <x:t xml:space="preserve">THAIWATER_WL:3102</x:t>
  </x:si>
  <x:si>
    <x:t xml:space="preserve">W.3A</x:t>
  </x:si>
  <x:si>
    <x:t xml:space="preserve">บ้านดอนชัย</x:t>
  </x:si>
  <x:si>
    <x:t xml:space="preserve">{"id":1316142172,"waterlevel_datetime":"2026-10-01 06:00","waterlevel_m":null,"waterlevel_msl":"162.10","waterlevel_msl_previous":"162.10","flow_rate":null,"discharge":"168.00","storage_percent":"44.78","sort_order":null,"station_type":"tele_waterlevel","situation_level":3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3102,"tele_station_name":{"th":"บ้านดอนชัย"},"tele_station_lat":17.641491,"tele_station_long":99.23201,"tele_station_oldcode":"W.3A","tele_station_type":"tele_waterlevel","left_bank":330.115,"right_bank":330.081,"min_bank":165.8,"ground_level":159.1,"offset":161,"sub_basin_id":194,"agency_id":12,"geocode_id":5050,"hydro_id":1,"qmax":850,"is_key_station":true,"warning_level_m":null,"critical_level_m":null,"critical_level_msl":null},"geocode":{"area_code":"3","area_name":{"th":"ภาคเหนือ","en":"North"},"amphoe_code":"08","amphoe_name":{"th":"เถิน","en":"Thoeng District"},"tumbon_code":"01","tumbon_name":{"th":"ล้อมแรด","en":"Lom Raet"},"province_code":"52","province_name":{"th":"ลำปาง","en":"Lampang"}},"diff_wl_bank":"3.70","diff_wl_bank_text":"ต่ำกว่าตลิ่ง (ม.)","river_gid":79528,"river_name":"แม่น้ำวัง"}</x:t>
  </x:si>
  <x:si>
    <x:t xml:space="preserve">THAIWATER_WL:12476</x:t>
  </x:si>
  <x:si>
    <x:t xml:space="preserve">KRN004</x:t>
  </x:si>
  <x:si>
    <x:t xml:space="preserve">ลิ่นถิ่น</x:t>
  </x:si>
  <x:si>
    <x:t xml:space="preserve">{"id":1316368073,"waterlevel_datetime":"2026-10-01 15:10","waterlevel_m":null,"waterlevel_msl":"64.63","waterlevel_msl_previous":"64.64","flow_rate":null,"discharge":null,"storage_percent":"44.76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Organization)","jp":""},"agency_shortname":{"th":"สสน.","en":"HII","jp":""}},"basin":{"id":15,"basin_code":14,"basin_name":{"th":"ลุ่มน้ำแม่กลอง","en":"Mae Klong Basin"}},"station":{"id":12476,"tele_station_name":{"en":"Lin Thin","th":"ลิ่นถิ่น"},"tele_station_lat":14.53559,"tele_station_long":98.78764,"tele_station_oldcode":"KRN004","tele_station_type":"tele_waterlevel","left_bank":70.524,"right_bank":72.886,"min_bank":70.52,"ground_level":59.85,"offset":null,"sub_basin_id":271,"agency_id":9,"geocode_id":6600,"hydro_id":null,"qmax":null,"is_key_station":false,"warning_level_m":null,"critical_level_m":null,"critical_level_msl":null},"geocode":{"area_code":"2","area_name":{"th":"ภาคกลาง","en":"Central"},"amphoe_code":"02","amphoe_name":{"th":"ไทรโยค","en":"Sai Yok District"},"tumbon_code":"04","tumbon_name":{"th":"ไทรโยค","en":"Sai Yok"},"province_code":"71","province_name":{"th":"กาญจนบุรี","en":"Kanchanaburi"}},"diff_wl_bank":"5.90","diff_wl_bank_text":"ต่ำกว่าตลิ่ง (ม.)","river_gid":181195,"river_name":"แม่น้ำแควน้อย"}</x:t>
  </x:si>
  <x:si>
    <x:t xml:space="preserve">THAIWATER_WL:1109492</x:t>
  </x:si>
  <x:si>
    <x:t xml:space="preserve">ONE003</x:t>
  </x:si>
  <x:si>
    <x:t xml:space="preserve">สะพานคลองอิปัน</x:t>
  </x:si>
  <x:si>
    <x:t xml:space="preserve">คลองปันโตน</x:t>
  </x:si>
  <x:si>
    <x:t xml:space="preserve">{"id":1316368182,"waterlevel_datetime":"2026-10-01 15:10","waterlevel_m":null,"waterlevel_msl":"38.37","waterlevel_msl_previous":"38.41","flow_rate":null,"discharge":null,"storage_percent":"44.70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Basin"}},"station":{"id":1109492,"tele_station_name":{"en":"I Pan Bridge","th":"สะพานคลองอิปัน"},"tele_station_lat":8.525791,"tele_station_long":98.88188,"tele_station_oldcode":"ONE003","tele_station_type":"tele_waterlevel","left_bank":42.186,"right_bank":45.069,"min_bank":42.19,"ground_level":35.285,"offset":null,"sub_basin_id":322,"agency_id":9,"geocode_id":7410,"hydro_id":null,"qmax":null,"is_key_station":false,"warning_level_m":null,"critical_level_m":null,"critical_level_msl":null},"geocode":{"area_code":"5","area_name":{"th":"ภาคใต้","en":"South"},"amphoe_code":"06","amphoe_name":{"th":"ปลายพระยา","en":"Plai Phraya District"},"tumbon_code":"01","tumbon_name":{"th":"ปลายพระยา","en":"Plai Phraya"},"province_code":"81","province_name":{"th":"กระบี่","en":"Krabi"}},"diff_wl_bank":"3.82","diff_wl_bank_text":"ต่ำกว่าตลิ่ง (ม.)","river_gid":219301,"river_name":"คลองปันโตน"}</x:t>
  </x:si>
  <x:si>
    <x:t xml:space="preserve">THAIWATER_WL:2671</x:t>
  </x:si>
  <x:si>
    <x:t xml:space="preserve">B.10</x:t>
  </x:si>
  <x:si>
    <x:t xml:space="preserve">ตลาดท่ายาง</x:t>
  </x:si>
  <x:si>
    <x:t xml:space="preserve">{"id":1316004519,"waterlevel_datetime":"2026-10-01 23:00","waterlevel_m":null,"waterlevel_msl":"8.93","waterlevel_msl_previous":"8.98","flow_rate":null,"discharge":"70.40","storage_percent":"44.65","sort_order":null,"station_type":"tele_waterlevel","situation_level":3,"agency":{"id":12,"agency_name":{"th":"กรมชลประทาน ","en":"Royal Irrigation Department","jp":""},"agency_shortname":{"th":"ชป.","en":"RID","jp":""}},"basin":{"id":20,"basin_code":18,"basin_name":{"th":"ลุ่มน้ำเพชรบุรี-ประจวบคีรีขันธ์","en":"Phetchaburi - Prachuap Khiri Khan Basin"}},"station":{"id":2671,"tele_station_name":{"th":"ตลาดท่ายาง"},"tele_station_lat":12.97398,"tele_station_long":99.88784,"tele_station_oldcode":"B.10","tele_station_type":"tele_waterlevel","left_bank":20.355,"right_bank":20.295,"min_bank":13.9,"ground_level":4.92,"offset":5.4,"sub_basin_id":302,"agency_id":12,"geocode_id":7065,"hydro_id":7,"qmax":400,"is_key_station":true,"warning_level_m":null,"critical_level_m":8.5,"critical_level_msl":13.9},"geocode":{"area_code":"2","area_name":{"th":"ภาคกลาง","en":"Central"},"amphoe_code":"05","amphoe_name":{"th":"ท่ายาง","en":"Tha Yang District"},"tumbon_code":"01","tumbon_name":{"th":"ท่ายาง","en":"Tha Yang"},"province_code":"76","province_name":{"th":"เพชรบุรี","en":"Phetchaburi"}},"diff_wl_bank":"4.97","diff_wl_bank_text":"ต่ำกว่าตลิ่ง (ม.)","river_gid":209739,"river_name":"แม่น้ำเพชรบุรี"}</x:t>
  </x:si>
  <x:si>
    <x:t xml:space="preserve">THAIWATER_WL:1121266</x:t>
  </x:si>
  <x:si>
    <x:t xml:space="preserve">MOU472</x:t>
  </x:si>
  <x:si>
    <x:t xml:space="preserve">สะพานคลองวังโตนด</x:t>
  </x:si>
  <x:si>
    <x:t xml:space="preserve">{"id":1316367804,"waterlevel_datetime":"2026-10-01 15:10","waterlevel_m":null,"waterlevel_msl":"44.46","waterlevel_msl_previous":"44.46","flow_rate":null,"discharge":null,"storage_percent":"44.57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Foundation","jp":""},"agency_shortname":{"th":"พพภ","en":"FOP","jp":""}},"basin":{"id":18,"basin_code":17,"basin_name":{"th":"ลุ่มน้ำชายฝั่งทะเลตะวันออก","en":"East Coast Gulf Basin"}},"station":{"id":1121266,"tele_station_name":{"en":"Wang Tanot Canal Bridge","th":"สะพานคลองวังโตนด"},"tele_station_lat":13.119586,"tele_station_long":101.954346,"tele_station_oldcode":"MOU472","tele_station_type":"tele_waterlevel","left_bank":47.921,"right_bank":47.786,"min_bank":47.79,"ground_level":41.786,"offset":null,"sub_basin_id":295,"sponsor_by":"มูลนิธิอาสาเพื่อนพึ่ง (ภาฯ) ยามยาก สภากาชาดไทย","agency_id":91,"geocode_id":1315,"hydro_id":null,"qmax":null,"is_key_station":false,"warning_level_m":null,"critical_level_m":null,"critical_level_msl":null},"geocode":{"area_code":"2","area_name":{"th":"ภาคกลาง","en":"Central"},"amphoe_code":"08","amphoe_name":{"th":"แก่งหางแมว","en":"Kaeng Hang Maeo District"},"tumbon_code":"02","tumbon_name":{"th":"ขุนซ่อง","en":"Khun Song"},"province_code":"22","province_name":{"th":"จันทบุรี","en":"Chanthaburi"}},"diff_wl_bank":"3.33","diff_wl_bank_text":"ต่ำกว่าตลิ่ง (ม.)","river_gid":201362,"river_name":"คลองโตนด"}</x:t>
  </x:si>
  <x:si>
    <x:t xml:space="preserve">THAIWATER_WL:832057</x:t>
  </x:si>
  <x:si>
    <x:t xml:space="preserve">K.62</x:t>
  </x:si>
  <x:si>
    <x:t xml:space="preserve">บ้านหนองไผ่</x:t>
  </x:si>
  <x:si>
    <x:t xml:space="preserve">ลำภาชี</x:t>
  </x:si>
  <x:si>
    <x:t xml:space="preserve">{"id":1316004505,"waterlevel_datetime":"2026-10-01 23:00","waterlevel_m":null,"waterlevel_msl":"51.39","waterlevel_msl_previous":"51.31","flow_rate":null,"discharge":null,"storage_percent":"44.55","sort_order":null,"station_type":"tele_waterlevel","situation_level":3,"agency":{"id":12,"agency_name":{"th":"กรมชลประทาน ","en":"Royal Irrigation Department","jp":""},"agency_shortname":{"th":"ชป.","en":"RID","jp":""}},"basin":{"id":15,"basin_code":14,"basin_name":{"th":"ลุ่มน้ำแม่กลอง","en":"Mae Klong Basin"}},"station":{"id":832057,"tele_station_name":{"th":"บ้านหนองไผ่"},"tele_station_lat":13.78092,"tele_station_long":99.420921,"tele_station_oldcode":"K.62","tele_station_type":"tele_waterlevel","left_bank":103.88,"right_bank":104.094,"min_bank":54.8,"ground_level":48.65,"offset":49,"sub_basin_id":274,"agency_id":12,"geocode_id":6683,"hydro_id":7,"qmax":null,"is_key_station":true,"warning_level_m":null,"critical_level_m":null,"critical_level_msl":null},"geocode":{"area_code":"2","area_name":{"th":"ภาคกลาง","en":"Central"},"amphoe_code":"11","amphoe_name":{"th":"ด่านมะขามเตี้ย","en":"Dan Makham Tia District"},"tumbon_code":"04","tumbon_name":{"th":"หนองไผ่","en":"Nong Phai"},"province_code":"71","province_name":{"th":"กาญจนบุรี","en":"Kanchanaburi"}},"diff_wl_bank":"3.41","diff_wl_bank_text":"ต่ำกว่าตลิ่ง (ม.)","river_gid":186944,"river_name":"ลำภาชี"}</x:t>
  </x:si>
  <x:si>
    <x:t xml:space="preserve">THAIWATER_WL:2760</x:t>
  </x:si>
  <x:si>
    <x:t xml:space="preserve">M.6A</x:t>
  </x:si>
  <x:si>
    <x:t xml:space="preserve">บ้านสตึก</x:t>
  </x:si>
  <x:si>
    <x:t xml:space="preserve">{"id":1316340550,"waterlevel_datetime":"2026-10-01 14:00","waterlevel_m":null,"waterlevel_msl":"125.41","waterlevel_msl_previous":"125.35","flow_rate":null,"discharge":"78.40","storage_percent":"44.54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2760,"tele_station_name":{"th":"บ้านสตึก"},"tele_station_lat":15.30003,"tele_station_long":103.292282,"tele_station_oldcode":"M.6A","tele_station_type":"tele_waterlevel","left_bank":253.488,"right_bank":254.136,"min_bank":131,"ground_level":120.92,"offset":123,"sub_basin_id":124,"agency_id":12,"geocode_id":2237,"hydro_id":4,"qmax":1240,"is_key_station":true,"warning_level_m":null,"critical_level_m":6,"critical_level_msl":129},"geocode":{"area_code":"4","area_name":{"th":"ภาคตะวันออกเฉียงเหนือ","en":"Northeast"},"amphoe_code":"02","amphoe_name":{"th":"ชุมพลบุรี","en":"Chumphon Buri District"},"tumbon_code":"08","tumbon_name":{"th":"กระเบื้อง","en":"Krabueang"},"province_code":"32","province_name":{"th":"สุรินทร์","en":"Surin"}},"diff_wl_bank":"5.59","diff_wl_bank_text":"ต่ำกว่าตลิ่ง (ม.)","river_gid":145915,"river_name":"แม่น้ำมูล"}</x:t>
  </x:si>
  <x:si>
    <x:t xml:space="preserve">THAIWATER_WL:2632</x:t>
  </x:si>
  <x:si>
    <x:t xml:space="preserve">S.9</x:t>
  </x:si>
  <x:si>
    <x:t xml:space="preserve">บ้านป่า</x:t>
  </x:si>
  <x:si>
    <x:t xml:space="preserve">{"id":1316341297,"waterlevel_datetime":"2026-10-01 14:00","waterlevel_m":null,"waterlevel_msl":"11.86","waterlevel_msl_previous":"11.83","flow_rate":null,"discharge":"227.00","storage_percent":"44.47","sort_order":null,"station_type":"tele_waterlevel","situation_level":3,"agency":{"id":12,"agency_name":{"th":"กรมชลประทาน ","en":"Royal Irrigation Department","jp":""},"agency_shortname":{"th":"ชป.","en":"RID","jp":""}},"basin":{"id":13,"basin_code":12,"basin_name":{"th":"ลุ่มน้ำป่าสัก","en":"Pasak Basin"}},"station":{"id":2632,"tele_station_name":{"th":"บ้านป่า"},"tele_station_lat":14.62918,"tele_station_long":101.014427,"tele_station_oldcode":"S.9","tele_station_type":"tele_waterlevel","left_bank":24.907,"right_bank":24.927,"min_bank":19.95,"ground_level":5.38,"offset":null,"sub_basin_id":257,"agency_id":12,"geocode_id":970,"hydro_id":5,"qmax":1219,"is_key_station":false,"warning_level_m":null,"critical_level_m":null,"critical_level_msl":null},"geocode":{"area_code":"2","area_name":{"th":"ภาคกลาง","en":"Central"},"amphoe_code":"02","amphoe_name":{"th":"แก่งคอย","en":"Kaeng Khoi District"},"tumbon_code":"08","tumbon_name":{"th":"บ้านป่า","en":"Ban Pa"},"province_code":"19","province_name":{"th":"สระบุรี","en":"Saraburi"}},"diff_wl_bank":"8.09","diff_wl_bank_text":"ต่ำกว่าตลิ่ง (ม.)","river_gid":180554,"river_name":"แม่น้ำป่าสัก"}</x:t>
  </x:si>
  <x:si>
    <x:t xml:space="preserve">THAIWATER_WL:523</x:t>
  </x:si>
  <x:si>
    <x:t xml:space="preserve">NAN003</x:t>
  </x:si>
  <x:si>
    <x:t xml:space="preserve">เมืองน่าน</x:t>
  </x:si>
  <x:si>
    <x:t xml:space="preserve">{"id":1316368161,"waterlevel_datetime":"2026-10-01 15:10","waterlevel_m":null,"waterlevel_msl":"190.76","waterlevel_msl_previous":"190.76","flow_rate":null,"discharge":null,"storage_percent":"44.47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Basin"}},"station":{"id":523,"tele_station_name":{"en":"Nan 3","th":"เมืองน่าน"},"tele_station_lat":18.73796,"tele_station_long":100.75609,"tele_station_oldcode":"NAN003","tele_station_type":"tele_waterlevel","left_bank":195.433,"right_bank":196.701,"min_bank":195.43,"ground_level":187.025,"offset":null,"sub_basin_id":222,"agency_id":9,"geocode_id":5368,"hydro_id":null,"qmax":null,"is_key_station":false,"warning_level_m":null,"critical_level_m":null,"critical_level_msl":null},"geocode":{"area_code":"3","area_name":{"th":"ภาคเหนือ","en":"North"},"amphoe_code":"14","amphoe_name":{"th":"ภูเพียง","en":"Phu Phiang District"},"tumbon_code":"06","tumbon_name":{"th":"ท่าน้าว","en":"Tha Nao"},"province_code":"55","province_name":{"th":"น่าน","en":"Nan"}},"diff_wl_bank":"4.67","diff_wl_bank_text":"ต่ำกว่าตลิ่ง (ม.)","river_gid":41899,"river_name":"แม่น้ำน่าน"}</x:t>
  </x:si>
  <x:si>
    <x:t xml:space="preserve">THAIWATER_WL:3041</x:t>
  </x:si>
  <x:si>
    <x:t xml:space="preserve">Y.3A</x:t>
  </x:si>
  <x:si>
    <x:t xml:space="preserve">บ้านวังขอนไม้</x:t>
  </x:si>
  <x:si>
    <x:t xml:space="preserve">{"id":1316341600,"waterlevel_datetime":"2026-10-01 14:00","waterlevel_m":null,"waterlevel_msl":"55.39","waterlevel_msl_previous":"55.42","flow_rate":null,"discharge":"252.42","storage_percent":"44.45","sort_order":null,"station_type":"tele_waterlevel","situation_level":3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3041,"tele_station_name":{"th":"บ้านวังขอนไม้"},"tele_station_lat":17.302389,"tele_station_long":99.830307,"tele_station_oldcode":"Y.3A","tele_station_type":"tele_waterlevel","left_bank":113.314,"right_bank":114.703,"min_bank":62,"ground_level":50.1,"offset":51,"sub_basin_id":209,"agency_id":12,"geocode_id":6106,"hydro_id":2,"qmax":1130,"is_key_station":true,"warning_level_m":null,"critical_level_m":null,"critical_level_msl":null},"geocode":{"area_code":"3","area_name":{"th":"ภาคเหนือ","en":"North"},"amphoe_code":"07","amphoe_name":{"th":"สวรรคโลก","en":"Sawankhalok District"},"tumbon_code":"01","tumbon_name":{"th":"เมืองสวรรคโลก","en":"Mueang Sawankhalok"},"province_code":"64","province_name":{"th":"สุโขทัย","en":"Sukhothai"}},"diff_wl_bank":"6.61","diff_wl_bank_text":"ต่ำกว่าตลิ่ง (ม.)","river_gid":85379,"river_name":"แม่น้ำยม"}</x:t>
  </x:si>
  <x:si>
    <x:t xml:space="preserve">THAIWATER_WL:479231</x:t>
  </x:si>
  <x:si>
    <x:t xml:space="preserve">TBW023</x:t>
  </x:si>
  <x:si>
    <x:t xml:space="preserve">คลองแม่พุง</x:t>
  </x:si>
  <x:si>
    <x:t xml:space="preserve">น้ำแม่พุง</x:t>
  </x:si>
  <x:si>
    <x:t xml:space="preserve">{"id":1316368358,"waterlevel_datetime":"2026-10-01 15:10","waterlevel_m":null,"waterlevel_msl":"381.61","waterlevel_msl_previous":"381.61","flow_rate":null,"discharge":null,"storage_percent":"44.41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Basin"}},"station":{"id":479231,"tele_station_name":{"en":"Ing 3","th":"คลองแม่พุง"},"tele_station_lat":19.56656,"tele_station_long":99.98423,"tele_station_oldcode":"TBW023","tele_station_type":"tele_waterlevel","left_bank":384.427,"right_bank":385.843,"min_bank":384.43,"ground_level":379.367,"offset":null,"sub_basin_id":35,"agency_id":9,"geocode_id":5512,"hydro_id":null,"qmax":null,"is_key_station":false,"warning_level_m":null,"critical_level_m":null,"critical_level_msl":null},"geocode":{"area_code":"3","area_name":{"th":"ภาคเหนือ","en":"North"},"amphoe_code":"06","amphoe_name":{"th":"ป่าแดด","en":"Pa Daet District"},"tumbon_code":"02","tumbon_name":{"th":"ป่าแงะ","en":"Pa Ngae"},"province_code":"57","province_name":{"th":"เชียงราย","en":"Chiang Rai"}},"diff_wl_bank":"2.81","diff_wl_bank_text":"ต่ำกว่าตลิ่ง (ม.)","river_gid":10586,"river_name":"น้ำแม่พุง"}</x:t>
  </x:si>
  <x:si>
    <x:t xml:space="preserve">THAIWATER_WL:3220</x:t>
  </x:si>
  <x:si>
    <x:t xml:space="preserve">P.87</x:t>
  </x:si>
  <x:si>
    <x:t xml:space="preserve">บ้านป่าซาง</x:t>
  </x:si>
  <x:si>
    <x:t xml:space="preserve">{"id":1316351134,"waterlevel_datetime":"2026-10-01 14:00","waterlevel_m":null,"waterlevel_msl":"289.90","waterlevel_msl_previous":"289.91","flow_rate":null,"discharge":"2.20","storage_percent":"44.35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3220,"tele_station_name":{"th":"บ้านป่าซาง"},"tele_station_lat":18.519119,"tele_station_long":98.942291,"tele_station_oldcode":"P.87","tele_station_type":"tele_waterlevel","left_bank":582.944012,"right_bank":582.946012,"min_bank":293.05,"ground_level":287.39,"offset":288.950012,"sub_basin_id":163,"agency_id":12,"geocode_id":4964,"hydro_id":1,"qmax":104.379997,"is_key_station":true,"warning_level_m":null,"critical_level_m":null,"critical_level_msl":null},"geocode":{"area_code":"3","area_name":{"th":"ภาคเหนือ","en":"North"},"amphoe_code":"06","amphoe_name":{"th":"ป่าซาง","en":"Pa Sang District"},"tumbon_code":"02","tumbon_name":{"th":"ป่าซาง","en":"Pa Sang"},"province_code":"51","province_name":{"th":"ลำพูน","en":"Lamphun"}},"diff_wl_bank":"3.15","diff_wl_bank_text":"ต่ำกว่าตลิ่ง (ม.)","river_gid":51148,"river_name":"น้ำแม่ทา"}</x:t>
  </x:si>
  <x:si>
    <x:t xml:space="preserve">THAIWATER_WL:3217</x:t>
  </x:si>
  <x:si>
    <x:t xml:space="preserve">Y.13A</x:t>
  </x:si>
  <x:si>
    <x:t xml:space="preserve">บ้านหลวงเหนือ</x:t>
  </x:si>
  <x:si>
    <x:t xml:space="preserve">{"id":1316268578,"waterlevel_datetime":"2026-10-01 11:00","waterlevel_m":null,"waterlevel_msl":"269.53","waterlevel_msl_previous":"269.54","flow_rate":null,"discharge":"4.90","storage_percent":"44.33","sort_order":null,"station_type":"tele_waterlevel","situation_level":3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3217,"tele_station_name":{"th":"บ้านหลวงเหนือ"},"tele_station_lat":18.76083,"tele_station_long":99.972557,"tele_station_oldcode":"Y.13A","tele_station_type":"tele_waterlevel","left_bank":543.218988,"right_bank":543.3349880000001,"min_bank":271.1,"ground_level":268.28,"offset":268.299988,"sub_basin_id":202,"agency_id":12,"geocode_id":5027,"hydro_id":1,"qmax":156,"is_key_station":false,"warning_level_m":null,"critical_level_m":null,"critical_level_msl":null},"geocode":{"area_code":"3","area_name":{"th":"ภาคเหนือ","en":"North"},"amphoe_code":"05","amphoe_name":{"th":"งาว","en":"Ngao District"},"tumbon_code":"06","tumbon_name":{"th":"นาแก","en":"Na Kae"},"province_code":"52","province_name":{"th":"ลำปาง","en":"Lampang"}},"diff_wl_bank":"1.57","diff_wl_bank_text":"ต่ำกว่าตลิ่ง (ม.)","river_gid":40752,"river_name":"น้ำแม่งาว"}</x:t>
  </x:si>
  <x:si>
    <x:t xml:space="preserve">THAIWATER_WL:2753</x:t>
  </x:si>
  <x:si>
    <x:t xml:space="preserve">S.14</x:t>
  </x:si>
  <x:si>
    <x:t xml:space="preserve">บ้านท่ารวก</x:t>
  </x:si>
  <x:si>
    <x:t xml:space="preserve">ลำสนธิ</x:t>
  </x:si>
  <x:si>
    <x:t xml:space="preserve">{"id":1316341298,"waterlevel_datetime":"2026-10-01 14:00","waterlevel_m":null,"waterlevel_msl":"57.09","waterlevel_msl_previous":"57.37","flow_rate":null,"discharge":"14.00","storage_percent":"44.27","sort_order":null,"station_type":"tele_waterlevel","situation_level":3,"agency":{"id":12,"agency_name":{"th":"กรมชลประทาน ","en":"Royal Irrigation Department","jp":""},"agency_shortname":{"th":"ชป.","en":"RID","jp":""}},"basin":{"id":13,"basin_code":12,"basin_name":{"th":"ลุ่มน้ำป่าสัก","en":"Pasak Basin"}},"station":{"id":2753,"tele_station_name":{"th":"บ้านท่ารวก"},"tele_station_lat":15.22528,"tele_station_long":101.277458,"tele_station_oldcode":"S.14","tele_station_type":"tele_waterlevel","left_bank":63.824,"right_bank":63.839,"min_bank":62,"ground_level":53.19,"offset":null,"sub_basin_id":254,"agency_id":12,"geocode_id":762,"hydro_id":5,"qmax":204,"is_key_station":true,"warning_level_m":null,"critical_level_m":null,"critical_level_msl":null},"geocode":{"area_code":"2","area_name":{"th":"ภาคกลาง","en":"Central"},"amphoe_code":"04","amphoe_name":{"th":"ชัยบาดาล","en":"Chai Badan District"},"tumbon_code":"11","tumbon_name":{"th":"หนองยายโต๊ะ","en":"Nong Yai To"},"province_code":"16","province_name":{"th":"ลพบุรี","en":"Lop Buri"}},"diff_wl_bank":"4.91","diff_wl_bank_text":"ต่ำกว่าตลิ่ง (ม.)","river_gid":174652,"river_name":"ลำสนธิ"}</x:t>
  </x:si>
  <x:si>
    <x:t xml:space="preserve">THAIWATER_WL:3029</x:t>
  </x:si>
  <x:si>
    <x:t xml:space="preserve">N.55</x:t>
  </x:si>
  <x:si>
    <x:t xml:space="preserve">บ้านท่าสะแก</x:t>
  </x:si>
  <x:si>
    <x:t xml:space="preserve">{"id":1316341620,"waterlevel_datetime":"2026-10-01 14:00","waterlevel_m":null,"waterlevel_msl":"186.64","waterlevel_msl_previous":"186.65","flow_rate":null,"discharge":"25.21","storage_percent":"44.19","sort_order":null,"station_type":"tele_waterlevel","situation_level":3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3029,"tele_station_name":{"th":"บ้านท่าสะแก"},"tele_station_lat":17.25317,"tele_station_long":100.628242,"tele_station_oldcode":"N.55","tele_station_type":"tele_waterlevel","left_bank":373.95000200000004,"right_bank":373.85200199999997,"min_bank":191.2,"ground_level":183.03,"offset":182.830002,"sub_basin_id":234,"agency_id":12,"geocode_id":6172,"hydro_id":2,"qmax":297,"is_key_station":false,"warning_level_m":null,"critical_level_m":null,"critical_level_msl":null},"geocode":{"area_code":"3","area_name":{"th":"ภาคเหนือ","en":"North"},"amphoe_code":"03","amphoe_name":{"th":"ชาติตระการ","en":"Chat Trakan District"},"tumbon_code":"06","tumbon_name":{"th":"ท่าสะแก","en":"Tha Sakae"},"province_code":"65","province_name":{"th":"พิษณุโลก","en":"Phitsanulok"}},"diff_wl_bank":"4.56","diff_wl_bank_text":"ต่ำกว่าตลิ่ง (ม.)","river_gid":85663,"river_name":"น้ำภาค"}</x:t>
  </x:si>
  <x:si>
    <x:t xml:space="preserve">THAIWATER_WL:804</x:t>
  </x:si>
  <x:si>
    <x:t xml:space="preserve">MDC001</x:t>
  </x:si>
  <x:si>
    <x:t xml:space="preserve">ตลาดเก่าตะกั่วป่า</x:t>
  </x:si>
  <x:si>
    <x:t xml:space="preserve">{"id":1316368082,"waterlevel_datetime":"2026-10-01 15:10","waterlevel_m":null,"waterlevel_msl":"0.22","waterlevel_msl_previous":"0.19","flow_rate":null,"discharge":null,"storage_percent":"44.19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Basin"}},"station":{"id":804,"tele_station_name":{"en":"Takua Pa Market","th":"ตลาดเก่าตะกั่วป่า"},"tele_station_lat":8.829399,"tele_station_long":98.36931,"tele_station_oldcode":"MDC001","tele_station_type":"tele_waterlevel","left_bank":4.435,"right_bank":3.618,"min_bank":3.62,"ground_level":-2.47,"offset":null,"sub_basin_id":344,"agency_id":9,"geocode_id":7463,"hydro_id":null,"qmax":null,"is_key_station":false,"warning_level_m":null,"critical_level_m":null,"critical_level_msl":null},"geocode":{"area_code":"5","area_name":{"th":"ภาคใต้","en":"South"},"amphoe_code":"05","amphoe_name":{"th":"ตะกั่วป่า","en":"Takua Pa District"},"tumbon_code":"06","tumbon_name":{"th":"โคกเคียน","en":"Khok Khian"},"province_code":"82","province_name":{"th":"พังงา","en":"Phangnga"}},"diff_wl_bank":"3.40","diff_wl_bank_text":"ต่ำกว่าตลิ่ง (ม.)","river_gid":217525,"river_name":"คลองตะกั่วป่า"}</x:t>
  </x:si>
  <x:si>
    <x:t xml:space="preserve">THAIWATER_WL:504679</x:t>
  </x:si>
  <x:si>
    <x:t xml:space="preserve">P.103</x:t>
  </x:si>
  <x:si>
    <x:t xml:space="preserve">สะพานวงแหวนรอบ 3</x:t>
  </x:si>
  <x:si>
    <x:t xml:space="preserve">{"id":1316351088,"waterlevel_datetime":"2026-10-01 14:00","waterlevel_m":null,"waterlevel_msl":"303.53","waterlevel_msl_previous":"303.53","flow_rate":null,"discharge":"99.12","storage_percent":"44.09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Basin"}},"station":{"id":504679,"tele_station_name":{"th":"สะพานวงแหวนรอบ 3"},"tele_station_lat":18.86651,"tele_station_long":98.978188,"tele_station_oldcode":"P.103","tele_station_type":"tele_waterlevel","left_bank":614.2750149999999,"right_bank":613.485015,"min_bank":307.69,"ground_level":300.25,"offset":300.890015,"sub_basin_id":162,"agency_id":12,"geocode_id":4773,"hydro_id":1,"qmax":475.799988,"is_key_station":false,"warning_level_m":null,"critical_level_m":null,"critical_level_msl":null},"geocode":{"area_code":"3","area_name":{"th":"ภาคเหนือ","en":"North"},"amphoe_code":"07","amphoe_name":{"th":"แม่ริม","en":"Mae Rim District"},"tumbon_code":"10","tumbon_name":{"th":"ดอนแก้ว","en":"Don Kaeo"},"province_code":"50","province_name":{"th":"เชียงใหม่","en":"Chiang Mai"}},"diff_wl_bank":"4.16","diff_wl_bank_text":"ต่ำกว่าตลิ่ง (ม.)","river_gid":35635,"river_name":"แม่น้ำปิง"}</x:t>
  </x:si>
  <x:si>
    <x:t xml:space="preserve">THAIWATER_WL:504945</x:t>
  </x:si>
  <x:si>
    <x:t xml:space="preserve">M.191</x:t>
  </x:si>
  <x:si>
    <x:t xml:space="preserve">บ้านโคกกรวด</x:t>
  </x:si>
  <x:si>
    <x:t xml:space="preserve">คลองมอญ</x:t>
  </x:si>
  <x:si>
    <x:t xml:space="preserve">{"id":1316340565,"waterlevel_datetime":"2026-10-01 14:00","waterlevel_m":null,"waterlevel_msl":"193.41","waterlevel_msl_previous":"193.41","flow_rate":null,"discharge":"1.93","storage_percent":"44.08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504945,"tele_station_name":{"th":"บ้านโคกกรวด"},"tele_station_lat":14.93281,"tele_station_long":101.951889,"tele_station_oldcode":"M.191","tele_station_type":"tele_waterlevel","left_bank":195.300003,"right_bank":195.300003,"min_bank":195.3,"ground_level":191.92,"offset":191.800003,"sub_basin_id":108,"agency_id":12,"geocode_id":1689,"hydro_id":4,"qmax":42,"is_key_station":true,"warning_level_m":null,"critical_level_m":null,"critical_level_msl":null},"geocode":{"area_code":"4","area_name":{"th":"ภาคตะวันออกเฉียงเหนือ","en":"Northeast"},"amphoe_code":"01","amphoe_name":{"th":"เมืองนครราชสีมา","en":"Mueang Nakhon Ratchasima District"},"tumbon_code":"17","tumbon_name":{"th":"โคกกรวด","en":"Khok Kruat"},"province_code":"30","province_name":{"th":"นครราชสีมา","en":"Nakhon Ratchasima"}},"diff_wl_bank":"1.89","diff_wl_bank_text":"ต่ำกว่าตลิ่ง (ม.)","river_gid":149764,"river_name":"คลองมอญ"}</x:t>
  </x:si>
  <x:si>
    <x:t xml:space="preserve">THAIWATER_WL:3168</x:t>
  </x:si>
  <x:si>
    <x:t xml:space="preserve">W.1C</x:t>
  </x:si>
  <x:si>
    <x:t xml:space="preserve">สะพานเสตุวารี</x:t>
  </x:si>
  <x:si>
    <x:t xml:space="preserve">{"id":1316351138,"waterlevel_datetime":"2026-10-01 14:00","waterlevel_m":null,"waterlevel_msl":"230.24","waterlevel_msl_previous":"230.20","flow_rate":null,"discharge":"76.50","storage_percent":"44.02","sort_order":null,"station_type":"tele_waterlevel","situation_level":3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3168,"tele_station_name":{"th":"สะพานเสตุวารี"},"tele_station_lat":18.29973,"tele_station_long":99.51123,"tele_station_oldcode":"W.1C","tele_station_type":"tele_waterlevel","left_bank":464.010003,"right_bank":464.598003,"min_bank":234.5,"ground_level":226.89,"offset":229.300003,"sub_basin_id":188,"agency_id":12,"geocode_id":8489,"hydro_id":1,"qmax":487,"is_key_station":true,"warning_level_m":null,"critical_level_m":5.2,"critical_level_msl":234.5},"geocode":{"area_code":"3","area_name":{"th":"ภาคเหนือ","en":"North"},"amphoe_code":"01","amphoe_name":{"th":"เมืองลำปาง","en":"Mueang Lampang District"},"tumbon_code":"99","tumbon_name":{"th":"บ้านดง","en":"Ban Dong"},"province_code":"52","province_name":{"th":"ลำปาง","en":"Lampang"}},"diff_wl_bank":"4.26","diff_wl_bank_text":"ต่ำกว่าตลิ่ง (ม.)","river_gid":60385,"river_name":"แม่น้ำวัง"}</x:t>
  </x:si>
  <x:si>
    <x:t xml:space="preserve">THAIWATER_WL:638734</x:t>
  </x:si>
  <x:si>
    <x:t xml:space="preserve">MOU074</x:t>
  </x:si>
  <x:si>
    <x:t xml:space="preserve">คลองแม่รำพัน 1</x:t>
  </x:si>
  <x:si>
    <x:t xml:space="preserve">{"id":1316367759,"waterlevel_datetime":"2026-10-01 15:10","waterlevel_m":null,"waterlevel_msl":"61.06","waterlevel_msl_previous":"61.06","flow_rate":null,"discharge":null,"storage_percent":"43.92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Foundation","jp":""},"agency_shortname":{"th":"พพภ","en":"FOP","jp":""}},"basin":{"id":8,"basin_code":8,"basin_name":{"th":"ลุ่มน้ำยม","en":"Yom Basin"}},"station":{"id":638734,"tele_station_name":{"en":"Khlong Mae Ramphan 1","th":"คลองแม่รำพัน 1"},"tele_station_lat":17.050436,"tele_station_long":99.664345,"tele_station_oldcode":"MOU074","tele_station_type":"tele_waterlevel","left_bank":62.8438,"right_bank":63.2848,"min_bank":62.84,"ground_level":59.6628,"offset":null,"sub_basin_id":212,"sponsor_by":"บริษัท แอดวานซ์ อินโฟร์ เซอร์วิส จำกัด (มหาชน)","agency_id":91,"geocode_id":6040,"hydro_id":null,"qmax":null,"is_key_station":false,"warning_level_m":null,"critical_level_m":null,"critical_level_msl":null},"geocode":{"area_code":"3","area_name":{"th":"ภาคเหนือ","en":"North"},"amphoe_code":"01","amphoe_name":{"th":"เมืองสุโขทัย","en":"Mueang Sukhothai District"},"tumbon_code":"03","tumbon_name":{"th":"เมืองเก่า","en":"Mueang Kao"},"province_code":"64","province_name":{"th":"สุโขทัย","en":"Sukhothai"}},"diff_wl_bank":"1.78","diff_wl_bank_text":"ต่ำกว่าตลิ่ง (ม.)","river_gid":88620,"river_name":"คลองแม่รำพัน"}</x:t>
  </x:si>
  <x:si>
    <x:t xml:space="preserve">THAIWATER_WL:3525</x:t>
  </x:si>
  <x:si>
    <x:t xml:space="preserve">URTD05</x:t>
  </x:si>
  <x:si>
    <x:t xml:space="preserve">แม่น้ำชี บ้านหินกอง</x:t>
  </x:si>
  <x:si>
    <x:t xml:space="preserve">{"id":1316367490,"waterlevel_datetime":"2026-10-01 15:00","waterlevel_m":null,"waterlevel_msl":"148.33","waterlevel_msl_previous":"148.33","flow_rate":"112.65","discharge":"243.64","storage_percent":"43.66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Thailand","jp":""},"agency_shortname":{"th":"กฟผ.","en":"EGAT","jp":""}},"basin":{"id":4,"basin_code":4,"basin_name":{"th":"ลุ่มน้ำชี","en":"Chi Basin Basin"}},"station":{"id":3525,"tele_station_name":{"th":"แม่น้ำชี บ้านหินกอง"},"tele_station_lat":16.250316,"tele_station_long":102.743923,"tele_station_oldcode":"URTD05","tele_station_type":"tele_waterlevel","left_bank":156.119,"right_bank":155.243,"min_bank":155.24,"ground_level":142.972,"offset":null,"sub_basin_id":84,"agency_id":8,"geocode_id":3249,"hydro_id":null,"qmax":null,"is_key_station":false,"warning_level_m":null,"critical_level_m":null,"critical_level_msl":154.72},"geocode":{"area_code":"4","area_name":{"th":"ภาคตะวันออกเฉียงเหนือ","en":"Northeast"},"amphoe_code":"03","amphoe_name":{"th":"พระยืน","en":"Phra Yuen District"},"tumbon_code":"03","tumbon_name":{"th":"บ้านโต้น","en":"Ban Ton"},"province_code":"40","province_name":{"th":"ขอนแก่น","en":"Khon Kaen"}},"diff_wl_bank":"6.91","diff_wl_bank_text":"ต่ำกว่าตลิ่ง (ม.)","river_gid":132737,"river_name":"แม่น้ำชี"}</x:t>
  </x:si>
  <x:si>
    <x:t xml:space="preserve">THAIWATER_WL:527828</x:t>
  </x:si>
  <x:si>
    <x:t xml:space="preserve">N.43A</x:t>
  </x:si>
  <x:si>
    <x:t xml:space="preserve">บ้านชมพู</x:t>
  </x:si>
  <x:si>
    <x:t xml:space="preserve">คลองชมพู</x:t>
  </x:si>
  <x:si>
    <x:t xml:space="preserve">{"id":1316341618,"waterlevel_datetime":"2026-10-01 14:00","waterlevel_m":null,"waterlevel_msl":"54.39","waterlevel_msl_previous":"54.40","flow_rate":null,"discharge":"18.78","storage_percent":"43.49","sort_order":null,"station_type":"tele_waterlevel","situation_level":3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527828,"tele_station_name":{"th":"บ้านชมพู"},"tele_station_lat":16.69232,"tele_station_long":100.670921,"tele_station_oldcode":"N.43A","tele_station_type":"tele_waterlevel","left_bank":113.077001,"right_bank":113.149001,"min_bank":59.72,"ground_level":50.288,"offset":50.060001,"sub_basin_id":238,"agency_id":12,"geocode_id":6228,"hydro_id":2,"qmax":280.399994,"is_key_station":false,"warning_level_m":null,"critical_level_m":null,"critical_level_msl":null},"geocode":{"area_code":"3","area_name":{"th":"ภาคเหนือ","en":"North"},"amphoe_code":"09","amphoe_name":{"th":"เนินมะปราง","en":"Noen Maprang District"},"tumbon_code":"01","tumbon_name":{"th":"ชมพู","en":"Chomphu"},"province_code":"65","province_name":{"th":"พิษณุโลก","en":"Phitsanulok"}},"diff_wl_bank":"5.33","diff_wl_bank_text":"ต่ำกว่าตลิ่ง (ม.)","river_gid":93396,"river_name":"คลองชมพู"}</x:t>
  </x:si>
  <x:si>
    <x:t xml:space="preserve">THAIWATER_WL:2993</x:t>
  </x:si>
  <x:si>
    <x:t xml:space="preserve">N.27A</x:t>
  </x:si>
  <x:si>
    <x:t xml:space="preserve">ท้ายเขื่อนนเรศวร</x:t>
  </x:si>
  <x:si>
    <x:t xml:space="preserve">{"id":1316341578,"waterlevel_datetime":"2026-10-01 14:00","waterlevel_m":null,"waterlevel_msl":"40.27","waterlevel_msl_previous":"40.26","flow_rate":null,"discharge":"151.50","storage_percent":"43.43","sort_order":null,"station_type":"tele_waterlevel","situation_level":3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2993,"tele_station_name":{"th":"ท้ายเขื่อนนเรศวร"},"tele_station_lat":17.033621,"tele_station_long":100.197968,"tele_station_oldcode":"N.27A","tele_station_type":"tele_waterlevel","left_bank":87.186,"right_bank":87.333,"min_bank":48.23,"ground_level":34.16,"offset":38.43,"sub_basin_id":232,"agency_id":12,"geocode_id":6196,"hydro_id":2,"qmax":1116,"is_key_station":true,"warning_level_m":null,"critical_level_m":null,"critical_level_msl":null},"geocode":{"area_code":"3","area_name":{"th":"ภาคเหนือ","en":"North"},"amphoe_code":"06","amphoe_name":{"th":"พรหมพิราม","en":"Phrom Phiram District"},"tumbon_code":"01","tumbon_name":{"th":"พรหมพิราม","en":"Phrom Phiram"},"province_code":"65","province_name":{"th":"พิษณุโลก","en":"Phitsanulok"}},"diff_wl_bank":"7.96","diff_wl_bank_text":"ต่ำกว่าตลิ่ง (ม.)","river_gid":91594,"river_name":"แม่น้ำน่าน"}</x:t>
  </x:si>
  <x:si>
    <x:t xml:space="preserve">THAIWATER_WL:1109524</x:t>
  </x:si>
  <x:si>
    <x:t xml:space="preserve">ONE035</x:t>
  </x:si>
  <x:si>
    <x:t xml:space="preserve">สะพานข้ามคลองเทพา</x:t>
  </x:si>
  <x:si>
    <x:t xml:space="preserve">2026-10-01T08:50:00+07:00</x:t>
  </x:si>
  <x:si>
    <x:t xml:space="preserve">{"id":1316195500,"waterlevel_datetime":"2026-10-01 08:50","waterlevel_m":null,"waterlevel_msl":"15.53","waterlevel_msl_previous":"15.52","flow_rate":null,"discharge":null,"storage_percent":"43.32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Basin"}},"station":{"id":1109524,"tele_station_name":{"en":"Khlong Thepha Bridge","th":"สะพานข้ามคลองเทพา"},"tele_station_lat":6.534085,"tele_station_long":100.963394,"tele_station_oldcode":"ONE035","tele_station_type":"tele_waterlevel","left_bank":19.703,"right_bank":19.753,"min_bank":19.7,"ground_level":12.34,"offset":null,"sub_basin_id":333,"agency_id":9,"geocode_id":7831,"hydro_id":null,"qmax":null,"is_key_station":false,"warning_level_m":null,"critical_level_m":null,"critical_level_msl":null},"geocode":{"area_code":"5","area_name":{"th":"ภาคใต้","en":"South"},"amphoe_code":"06","amphoe_name":{"th":"สะบ้าย้อย","en":"Saba Yoi District"},"tumbon_code":"05","tumbon_name":{"th":"จะแหน","en":"Cha Nae"},"province_code":"90","province_name":{"th":"สงขลา","en":"Songkhla"}},"diff_wl_bank":"4.17","diff_wl_bank_text":"ต่ำกว่าตลิ่ง (ม.)","river_gid":230070,"river_name":"คลองเทพา"}</x:t>
  </x:si>
  <x:si>
    <x:t xml:space="preserve">THAIWATER_WL:3186</x:t>
  </x:si>
  <x:si>
    <x:t xml:space="preserve">P.77</x:t>
  </x:si>
  <x:si>
    <x:t xml:space="preserve">บ้านสบแม่สะป๊วด</x:t>
  </x:si>
  <x:si>
    <x:t xml:space="preserve">{"id":1316351121,"waterlevel_datetime":"2026-10-01 14:00","waterlevel_m":null,"waterlevel_msl":"367.18","waterlevel_msl_previous":"367.20","flow_rate":null,"discharge":"5.23","storage_percent":"43.27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3186,"tele_station_name":{"th":"บ้านสบแม่สะป๊วด"},"tele_station_lat":18.43327,"tele_station_long":99.085129,"tele_station_oldcode":"P.77","tele_station_type":"tele_waterlevel","left_bank":735.055012,"right_bank":739.1400120000001,"min_bank":368.95,"ground_level":365.83,"offset":364.950012,"sub_basin_id":163,"agency_id":12,"geocode_id":4938,"hydro_id":1,"qmax":111.629997,"is_key_station":true,"warning_level_m":null,"critical_level_m":null,"critical_level_msl":null},"geocode":{"area_code":"3","area_name":{"th":"ภาคเหนือ","en":"North"},"amphoe_code":"02","amphoe_name":{"th":"แม่ทา","en":"Mae Tha District"},"tumbon_code":"02","tumbon_name":{"th":"ทาสบเส้า","en":"Tha Sopsao"},"province_code":"51","province_name":{"th":"ลำพูน","en":"Lamphun"}},"diff_wl_bank":"1.77","diff_wl_bank_text":"ต่ำกว่าตลิ่ง (ม.)","river_gid":55031,"river_name":"น้ำแม่ทา"}</x:t>
  </x:si>
  <x:si>
    <x:t xml:space="preserve">THAIWATER_WL:1198627</x:t>
  </x:si>
  <x:si>
    <x:t xml:space="preserve">TRD006</x:t>
  </x:si>
  <x:si>
    <x:t xml:space="preserve">คลองโสน</x:t>
  </x:si>
  <x:si>
    <x:t xml:space="preserve">{"id":1316368407,"waterlevel_datetime":"2026-10-01 15:10","waterlevel_m":null,"waterlevel_msl":"9.92","waterlevel_msl_previous":"9.94","flow_rate":null,"discharge":null,"storage_percent":"43.25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Organization)","jp":""},"agency_shortname":{"th":"สสน.","en":"HII","jp":""}},"basin":{"id":18,"basin_code":17,"basin_name":{"th":"ลุ่มน้ำชายฝั่งทะเลตะวันออก","en":"East Coast Gulf Basin"}},"station":{"id":1198627,"tele_station_name":{"en":"Khlong Sano","th":"คลองโสน"},"tele_station_lat":12.513374,"tele_station_long":102.50484,"tele_station_oldcode":"TRD006","tele_station_type":"tele_waterlevel","left_bank":17.119,"right_bank":15.719,"min_bank":15.72,"ground_level":5.5,"offset":null,"sub_basin_id":298,"agency_id":9,"geocode_id":1355,"hydro_id":null,"qmax":null,"is_key_station":false,"warning_level_m":null,"critical_level_m":null,"critical_level_msl":null},"geocode":{"area_code":"2","area_name":{"th":"ภาคกลาง","en":"Central"},"amphoe_code":"03","amphoe_name":{"th":"เขาสมิง","en":"Khao Saming District"},"tumbon_code":"03","tumbon_name":{"th":"วังตะเคียน","en":"Wang Takhian"},"province_code":"23","province_name":{"th":"ตราด","en":"Trat"}},"diff_wl_bank":"5.80","diff_wl_bank_text":"ต่ำกว่าตลิ่ง (ม.)","river_gid":205580,"river_name":"คลองโสน"}</x:t>
  </x:si>
  <x:si>
    <x:t xml:space="preserve">THAIWATER_WL:1109496</x:t>
  </x:si>
  <x:si>
    <x:t xml:space="preserve">ONE007</x:t>
  </x:si>
  <x:si>
    <x:t xml:space="preserve">ปตร.ธรณิศนฤมิต-ท้ายน้ำ</x:t>
  </x:si>
  <x:si>
    <x:t xml:space="preserve">{"id":1316368186,"waterlevel_datetime":"2026-10-01 15:10","waterlevel_m":null,"waterlevel_msl":"133.32","waterlevel_msl_previous":"133.32","flow_rate":null,"discharge":null,"storage_percent":"43.23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Basin"}},"station":{"id":1109496,"tele_station_name":{"en":"Ni Naruemit Gate","th":"ปตร.ธรณิศนฤมิต-ท้ายน้ำ"},"tele_station_lat":16.922241,"tele_station_long":104.71625,"tele_station_oldcode":"ONE007","tele_station_type":"tele_waterlevel","left_bank":139.447,"right_bank":143.525,"min_bank":139.45,"ground_level":128.654,"offset":null,"sub_basin_id":70,"agency_id":9,"geocode_id":4568,"hydro_id":null,"qmax":null,"is_key_station":false,"warning_level_m":null,"critical_level_m":null,"critical_level_msl":null},"geocode":{"area_code":"4","area_name":{"th":"ภาคตะวันออกเฉียงเหนือ","en":"Northeast"},"amphoe_code":"05","amphoe_name":{"th":"ธาตุพนม","en":"That Phanom District"},"tumbon_code":"08","tumbon_name":{"th":"น้ำก่ำ","en":"Nam Kam"},"province_code":"48","province_name":{"th":"นครพนม","en":"Nakhon Phanom"}},"diff_wl_bank":"6.13","diff_wl_bank_text":"ต่ำกว่าตลิ่ง (ม.)","river_gid":124472,"river_name":"ลำน้ำกำ"}</x:t>
  </x:si>
  <x:si>
    <x:t xml:space="preserve">THAIWATER_WL:1197957</x:t>
  </x:si>
  <x:si>
    <x:t xml:space="preserve">KIZ003</x:t>
  </x:si>
  <x:si>
    <x:t xml:space="preserve">คลองห้วยยาง</x:t>
  </x:si>
  <x:si>
    <x:t xml:space="preserve">{"id":1316368066,"waterlevel_datetime":"2026-10-01 15:10","waterlevel_m":null,"waterlevel_msl":"31.73","waterlevel_msl_previous":"31.73","flow_rate":null,"discharge":null,"storage_percent":"43.22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Basin"}},"station":{"id":1197957,"tele_station_name":{"en":"Huai Yang Canal","th":"คลองห้วยยาง"},"tele_station_lat":14.136408,"tele_station_long":101.857475,"tele_station_oldcode":"KIZ003","tele_station_type":"tele_waterlevel","left_bank":37.683,"right_bank":37.394,"min_bank":37.39,"ground_level":27.419,"offset":null,"sub_basin_id":280,"agency_id":9,"geocode_id":1517,"hydro_id":null,"qmax":null,"is_key_station":false,"warning_level_m":null,"critical_level_m":null,"critical_level_msl":null},"geocode":{"area_code":"2","area_name":{"th":"ภาคกลาง","en":"Central"},"amphoe_code":"03","amphoe_name":{"th":"นาดี","en":"Na Di District"},"tumbon_code":"04","tumbon_name":{"th":"ทุ่งโพธิ์","en":"Thung Pho"},"province_code":"25","province_name":{"th":"ปราจีนบุรี","en":"Prachin Buri"}},"diff_wl_bank":"5.66","diff_wl_bank_text":"ต่ำกว่าตลิ่ง (ม.)","river_gid":194204,"river_name":"ห้วยยาง"}</x:t>
  </x:si>
  <x:si>
    <x:t xml:space="preserve">THAIWATER_WL:1483103</x:t>
  </x:si>
  <x:si>
    <x:t xml:space="preserve">MOU370</x:t>
  </x:si>
  <x:si>
    <x:t xml:space="preserve">สะพานพญาอาทิตราช</x:t>
  </x:si>
  <x:si>
    <x:t xml:space="preserve">{"id":1316367787,"waterlevel_datetime":"2026-10-01 15:10","waterlevel_m":null,"waterlevel_msl":"409.38","waterlevel_msl_previous":"409.38","flow_rate":null,"discharge":null,"storage_percent":"43.16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Basin"}},"station":{"id":1483103,"tele_station_name":{"en":"Phaya Athitraj Bridge","th":"สะพานพญาอาทิตราช"},"tele_station_lat":17.37028,"tele_station_long":98.48728,"tele_station_oldcode":"MOU370","tele_station_type":"tele_waterlevel","left_bank":412.521,"right_bank":414.13,"min_bank":412.52,"ground_level":406.995,"offset":null,"sub_basin_id":175,"sponsor_by":"บริษัท ไทยเบฟเวอเรจ จำกัด (มหาชน) ","agency_id":91,"geocode_id":4876,"hydro_id":null,"qmax":null,"is_key_station":false,"warning_level_m":null,"critical_level_m":null,"critical_level_msl":null},"geocode":{"area_code":"3","area_name":{"th":"ภาคเหนือ","en":"North"},"amphoe_code":"18","amphoe_name":{"th":"อมก๋อย","en":"Omkoi District"},"tumbon_code":"04","tumbon_name":{"th":"ม่อนจอง","en":"Mon Chong"},"province_code":"50","province_name":{"th":"เชียงใหม่","en":"Chiang Mai"}},"diff_wl_bank":"3.14","diff_wl_bank_text":"ต่ำกว่าตลิ่ง (ม.)"}</x:t>
  </x:si>
  <x:si>
    <x:t xml:space="preserve">THAIWATER_WL:1161514</x:t>
  </x:si>
  <x:si>
    <x:t xml:space="preserve">X.207A</x:t>
  </x:si>
  <x:si>
    <x:t xml:space="preserve">บ้านน้ำจืด</x:t>
  </x:si>
  <x:si>
    <x:t xml:space="preserve">คลองทรายปู</x:t>
  </x:si>
  <x:si>
    <x:t xml:space="preserve">{"id":1316344875,"waterlevel_datetime":"2026-10-01 14:00","waterlevel_m":null,"waterlevel_msl":"1.33","waterlevel_msl_previous":"1.11","flow_rate":null,"discharge":null,"storage_percent":"42.90","sort_order":null,"station_type":"tele_waterlevel","situation_level":3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1161514,"tele_station_name":{"th":"บ้านน้ำจืด"},"tele_station_lat":10.40327,"tele_station_long":98.776932,"tele_station_oldcode":"X.207A","tele_station_type":"tele_waterlevel","left_bank":3.6,"right_bank":3.6,"min_bank":3.1,"ground_level":0,"offset":null,"sub_basin_id":341,"agency_id":12,"geocode_id":7683,"hydro_id":8,"qmax":null,"is_key_station":false,"warning_level_m":null,"critical_level_m":null,"critical_level_msl":null},"geocode":{"area_code":"5","area_name":{"th":"ภาคใต้","en":"South"},"amphoe_code":"04","amphoe_name":{"th":"กระบุรี","en":"Kra Buri District"},"tumbon_code":"01","tumbon_name":{"th":"น้ำจืด","en":"Nam Chuet"},"province_code":"85","province_name":{"th":"ระนอง","en":"Ranong"}},"diff_wl_bank":"1.77","diff_wl_bank_text":"ต่ำกว่าตลิ่ง (ม.)","river_gid":213377,"river_name":"คลองทรายปู"}</x:t>
  </x:si>
  <x:si>
    <x:t xml:space="preserve">THAIWATER_WL:2621</x:t>
  </x:si>
  <x:si>
    <x:t xml:space="preserve">M.43A</x:t>
  </x:si>
  <x:si>
    <x:t xml:space="preserve">บ้านท่ามะปรางค์</x:t>
  </x:si>
  <x:si>
    <x:t xml:space="preserve">{"id":1316340555,"waterlevel_datetime":"2026-10-01 14:00","waterlevel_m":null,"waterlevel_msl":"373.27","waterlevel_msl_previous":"373.27","flow_rate":null,"discharge":"16.68","storage_percent":"42.73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2621,"tele_station_name":{"th":"บ้านท่ามะปรางค์"},"tele_station_lat":14.51204,"tele_station_long":101.380348,"tele_station_oldcode":"M.43A","tele_station_type":"tele_waterlevel","left_bank":747.439012,"right_bank":747.681012,"min_bank":375.2,"ground_level":371.83,"offset":371.700012,"sub_basin_id":108,"agency_id":12,"geocode_id":1919,"hydro_id":4,"qmax":112.099998,"is_key_station":true,"warning_level_m":null,"critical_level_m":null,"critical_level_msl":null},"geocode":{"area_code":"4","area_name":{"th":"ภาคตะวันออกเฉียงเหนือ","en":"Northeast"},"amphoe_code":"21","amphoe_name":{"th":"ปากช่อง","en":"Pak Chong District"},"tumbon_code":"05","tumbon_name":{"th":"หมูสี","en":"Mu Si"},"province_code":"30","province_name":{"th":"นครราชสีมา","en":"Nakhon Ratchasima"}},"diff_wl_bank":"1.93","diff_wl_bank_text":"ต่ำกว่าตลิ่ง (ม.)","river_gid":154086,"river_name":"คลองลำตะคอง"}</x:t>
  </x:si>
  <x:si>
    <x:t xml:space="preserve">THAIWATER_WL:2712</x:t>
  </x:si>
  <x:si>
    <x:t xml:space="preserve">S.28</x:t>
  </x:si>
  <x:si>
    <x:t xml:space="preserve">ท้ายเขื่อนป่าสักชลสิทธิ์</x:t>
  </x:si>
  <x:si>
    <x:t xml:space="preserve">{"id":1316341300,"waterlevel_datetime":"2026-10-01 14:00","waterlevel_m":null,"waterlevel_msl":"22.06","waterlevel_msl_previous":"21.96","flow_rate":null,"discharge":"227.00","storage_percent":"42.72","sort_order":null,"station_type":"tele_waterlevel","situation_level":3,"agency":{"id":12,"agency_name":{"th":"กรมชลประทาน ","en":"Royal Irrigation Department","jp":""},"agency_shortname":{"th":"ชป.","en":"RID","jp":""}},"basin":{"id":13,"basin_code":12,"basin_name":{"th":"ลุ่มน้ำป่าสัก","en":"Pasak Basin"}},"station":{"id":2712,"tele_station_name":{"th":"ท้ายเขื่อนป่าสักชลสิทธิ์"},"tele_station_lat":14.83464,"tele_station_long":101.084297,"tele_station_oldcode":"S.28","tele_station_type":"tele_waterlevel","left_bank":33.168,"right_bank":33.06,"min_bank":31.46,"ground_level":15.05,"offset":null,"sub_basin_id":255,"agency_id":12,"geocode_id":734,"hydro_id":5,"qmax":1184,"is_key_station":true,"warning_level_m":null,"critical_level_m":null,"critical_level_msl":null},"geocode":{"area_code":"2","area_name":{"th":"ภาคกลาง","en":"Central"},"amphoe_code":"02","amphoe_name":{"th":"พัฒนานิคม","en":"Phatthana Nikom District"},"tumbon_code":"07","tumbon_name":{"th":"หนองบัว","en":"Nong Bua"},"province_code":"16","province_name":{"th":"ลพบุรี","en":"Lop Buri"}},"diff_wl_bank":"9.40","diff_wl_bank_text":"ต่ำกว่าตลิ่ง (ม.)","river_gid":178892,"river_name":"แม่น้ำป่าสัก"}</x:t>
  </x:si>
  <x:si>
    <x:t xml:space="preserve">THAIWATER_WL:505056</x:t>
  </x:si>
  <x:si>
    <x:t xml:space="preserve">X.5C</x:t>
  </x:si>
  <x:si>
    <x:t xml:space="preserve">บ้านท่าข้าม</x:t>
  </x:si>
  <x:si>
    <x:t xml:space="preserve">{"id":1316344787,"waterlevel_datetime":"2026-10-01 14:00","waterlevel_m":null,"waterlevel_msl":"0.96","waterlevel_msl_previous":"0.73","flow_rate":null,"discharge":null,"storage_percent":"42.48","sort_order":null,"station_type":"tele_waterlevel","situation_level":3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505056,"tele_station_name":{"th":"บ้านท่าข้าม"},"tele_station_lat":9.11322,"tele_station_long":99.223679,"tele_station_oldcode":"X.5C","tele_station_type":"tele_waterlevel","left_bank":2.5,"right_bank":2.5,"min_bank":2.26,"ground_level":0,"offset":null,"sub_basin_id":324,"agency_id":12,"geocode_id":7633,"hydro_id":8,"qmax":null,"is_key_station":true,"warning_level_m":null,"critical_level_m":2.5,"critical_level_msl":2.5},"geocode":{"area_code":"5","area_name":{"th":"ภาคใต้","en":"South"},"amphoe_code":"17","amphoe_name":{"th":"พุนพิน","en":"Phunphin District"},"tumbon_code":"01","tumbon_name":{"th":"ท่าข้าม","en":"Tha Kham"},"province_code":"84","province_name":{"th":"สุราษฎร์ธานี","en":"Surat Thani"}},"diff_wl_bank":"1.30","diff_wl_bank_text":"ต่ำกว่าตลิ่ง (ม.)","river_gid":216174,"river_name":"แม่น้ำตาปี"}</x:t>
  </x:si>
  <x:si>
    <x:t xml:space="preserve">THAIWATER_WL:3065</x:t>
  </x:si>
  <x:si>
    <x:t xml:space="preserve">N.60</x:t>
  </x:si>
  <x:si>
    <x:t xml:space="preserve">บ้านเด่นสำโรง</x:t>
  </x:si>
  <x:si>
    <x:t xml:space="preserve">{"id":1316341584,"waterlevel_datetime":"2026-10-01 14:00","waterlevel_m":null,"waterlevel_msl":"49.68","waterlevel_msl_previous":"49.68","flow_rate":null,"discharge":"150.70","storage_percent":"42.35","sort_order":null,"station_type":"tele_waterlevel","situation_level":3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3065,"tele_station_name":{"th":"บ้านเด่นสำโรง"},"tele_station_lat":17.418329,"tele_station_long":100.130913,"tele_station_oldcode":"N.60","tele_station_type":"tele_waterlevel","left_bank":107.20400000000001,"right_bank":108.38,"min_bank":56.5,"ground_level":44.67,"offset":48.5,"sub_basin_id":232,"agency_id":12,"geocode_id":5115,"hydro_id":2,"qmax":1305,"is_key_station":true,"warning_level_m":null,"critical_level_m":null,"critical_level_msl":null},"geocode":{"area_code":"3","area_name":{"th":"ภาคเหนือ","en":"North"},"amphoe_code":"02","amphoe_name":{"th":"ตรอน","en":"Tron District"},"tumbon_code":"03","tumbon_name":{"th":"หาดสองแคว","en":"Hat Song Khwae"},"province_code":"53","province_name":{"th":"อุตรดิตถ์","en":"Uttaradit"}},"diff_wl_bank":"6.82","diff_wl_bank_text":"ต่ำกว่าตลิ่ง (ม.)","river_gid":83813,"river_name":"แม่น้ำน่าน"}</x:t>
  </x:si>
  <x:si>
    <x:t xml:space="preserve">THAIWATER_WL:2584</x:t>
  </x:si>
  <x:si>
    <x:t xml:space="preserve">X.239</x:t>
  </x:si>
  <x:si>
    <x:t xml:space="preserve">บ้านฉลุงเหนือ</x:t>
  </x:si>
  <x:si>
    <x:t xml:space="preserve">{"id":1316344824,"waterlevel_datetime":"2026-10-01 14:00","waterlevel_m":null,"waterlevel_msl":"14.27","waterlevel_msl_previous":"14.28","flow_rate":null,"discharge":"15.75","storage_percent":"42.20","sort_order":null,"station_type":"tele_waterlevel","situation_level":3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2584,"tele_station_name":{"th":"บ้านฉลุงเหนือ"},"tele_station_lat":6.72662,"tele_station_long":100.062737,"tele_station_oldcode":"X.239","tele_station_type":"tele_waterlevel","left_bank":17.022,"right_bank":17.009,"min_bank":16.2,"ground_level":12.861,"offset":null,"sub_basin_id":352,"agency_id":12,"geocode_id":7922,"hydro_id":8,"qmax":87,"is_key_station":true,"warning_level_m":null,"critical_level_m":null,"critical_level_msl":16.2},"geocode":{"area_code":"5","area_name":{"th":"ภาคใต้","en":"South"},"amphoe_code":"01","amphoe_name":{"th":"เมืองสตูล","en":"Mueang Satun District"},"tumbon_code":"05","tumbon_name":{"th":"ฉลุง","en":"Chalung"},"province_code":"91","province_name":{"th":"สตูล","en":"Satun"}},"diff_wl_bank":"1.93","diff_wl_bank_text":"ต่ำกว่าตลิ่ง (ม.)","river_gid":229001,"river_name":"คลองน้ำพระ"}</x:t>
  </x:si>
  <x:si>
    <x:t xml:space="preserve">THAIWATER_WL:3219</x:t>
  </x:si>
  <x:si>
    <x:t xml:space="preserve">N.1</x:t>
  </x:si>
  <x:si>
    <x:t xml:space="preserve">หน้าสำนักงานป่าไม้</x:t>
  </x:si>
  <x:si>
    <x:t xml:space="preserve">{"id":1316351155,"waterlevel_datetime":"2026-10-01 14:00","waterlevel_m":null,"waterlevel_msl":"193.23","waterlevel_msl_previous":"193.24","flow_rate":null,"discharge":"95.55","storage_percent":"42.04","sort_order":null,"station_type":"tele_waterlevel","situation_level":3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3219,"tele_station_name":{"th":"หน้าสำนักงานป่าไม้"},"tele_station_lat":18.774879,"tele_station_long":100.779694,"tele_station_oldcode":"N.1","tele_station_type":"tele_waterlevel","left_bank":396.42499699999996,"right_bank":396.351997,"min_bank":199.2,"ground_level":188.9,"offset":192.199997,"sub_basin_id":220,"agency_id":12,"geocode_id":5369,"hydro_id":1,"qmax":1066,"is_key_station":true,"warning_level_m":null,"critical_level_m":null,"critical_level_msl":null},"geocode":{"area_code":"3","area_name":{"th":"ภาคเหนือ","en":"North"},"amphoe_code":"14","amphoe_name":{"th":"ภูเพียง","en":"Phu Phiang District"},"tumbon_code":"07","tumbon_name":{"th":"ฝายแก้ว","en":"Fai Kaeo"},"province_code":"55","province_name":{"th":"น่าน","en":"Nan"}},"diff_wl_bank":"5.97","diff_wl_bank_text":"ต่ำกว่าตลิ่ง (ม.)","river_gid":39638,"river_name":"แม่น้ำน่าน"}</x:t>
  </x:si>
  <x:si>
    <x:t xml:space="preserve">THAIWATER_WL:464</x:t>
  </x:si>
  <x:si>
    <x:t xml:space="preserve">WAN002</x:t>
  </x:si>
  <x:si>
    <x:t xml:space="preserve">แม่พริก</x:t>
  </x:si>
  <x:si>
    <x:t xml:space="preserve">{"id":1316368423,"waterlevel_datetime":"2026-10-01 15:10","waterlevel_m":null,"waterlevel_msl":"148.89","waterlevel_msl_previous":"148.90","flow_rate":null,"discharge":null,"storage_percent":"41.76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Organization)","jp":""},"agency_shortname":{"th":"สสน.","en":"HII","jp":""}},"basin":{"id":7,"basin_code":7,"basin_name":{"th":"ลุ่มน้ำวัง","en":"Wang Basin"}},"station":{"id":464,"tele_station_name":{"en":"Wang 2","th":"แม่พริก"},"tele_station_lat":17.44521,"tele_station_long":99.12897,"tele_station_oldcode":"WAN002","tele_station_type":"tele_waterlevel","left_bank":154.891,"right_bank":155.346,"min_bank":154.89,"ground_level":144.593,"offset":null,"sub_basin_id":194,"agency_id":9,"geocode_id":5059,"hydro_id":null,"qmax":null,"is_key_station":false,"warning_level_m":null,"critical_level_m":null,"critical_level_msl":null},"geocode":{"area_code":"3","area_name":{"th":"ภาคเหนือ","en":"North"},"amphoe_code":"09","amphoe_name":{"th":"แม่พริก","en":"Mae Phrik District"},"tumbon_code":"01","tumbon_name":{"th":"แม่พริก","en":"Mae Phrik"},"province_code":"52","province_name":{"th":"ลำปาง","en":"Lampang"}},"diff_wl_bank":"6.00","diff_wl_bank_text":"ต่ำกว่าตลิ่ง (ม.)","river_gid":83010,"river_name":"แม่น้ำวัง"}</x:t>
  </x:si>
  <x:si>
    <x:t xml:space="preserve">THAIWATER_WL:12477</x:t>
  </x:si>
  <x:si>
    <x:t xml:space="preserve">PRN002</x:t>
  </x:si>
  <x:si>
    <x:t xml:space="preserve">หัวหิน</x:t>
  </x:si>
  <x:si>
    <x:t xml:space="preserve">ห้วยมงคล</x:t>
  </x:si>
  <x:si>
    <x:t xml:space="preserve">{"id":1316368248,"waterlevel_datetime":"2026-10-01 15:10","waterlevel_m":null,"waterlevel_msl":"29.28","waterlevel_msl_previous":"29.28","flow_rate":null,"discharge":null,"storage_percent":"41.70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Organization)","jp":""},"agency_shortname":{"th":"สสน.","en":"HII","jp":""}},"basin":{"id":20,"basin_code":18,"basin_name":{"th":"ลุ่มน้ำเพชรบุรี-ประจวบคีรีขันธ์","en":"Phetchaburi - Prachuap Khiri Khan Basin"}},"station":{"id":12477,"tele_station_name":{"en":"Pran Buri 2","th":"หัวหิน"},"tele_station_lat":12.50849,"tele_station_long":99.84201,"tele_station_oldcode":"PRN002","tele_station_type":"tele_waterlevel","left_bank":32.162,"right_bank":31.776,"min_bank":31.78,"ground_level":27.5,"offset":null,"sub_basin_id":303,"agency_id":9,"geocode_id":7162,"hydro_id":null,"qmax":null,"is_key_station":false,"warning_level_m":null,"critical_level_m":null,"critical_level_msl":null},"geocode":{"area_code":"2","area_name":{"th":"ภาคกลาง","en":"Central"},"amphoe_code":"07","amphoe_name":{"th":"หัวหิน","en":"Hua Hin District"},"tumbon_code":"05","tumbon_name":{"th":"ทับใต้","en":"Thap Tai"},"province_code":"77","province_name":{"th":"ประจวบคีรีขันธ์","en":"Prachuap Khiri Khan"}},"diff_wl_bank":"2.49","diff_wl_bank_text":"ต่ำกว่าตลิ่ง (ม.)","river_gid":210707,"river_name":"ห้วยมงคล"}</x:t>
  </x:si>
  <x:si>
    <x:t xml:space="preserve">THAIWATER_WL:700592</x:t>
  </x:si>
  <x:si>
    <x:t xml:space="preserve">MKVKD09</x:t>
  </x:si>
  <x:si>
    <x:t xml:space="preserve">วัดหินแท่น (K.62)</x:t>
  </x:si>
  <x:si>
    <x:t xml:space="preserve">{"id":1316366865,"waterlevel_datetime":"2026-10-01 15:00","waterlevel_m":null,"waterlevel_msl":"51.19","waterlevel_msl_previous":"51.24","flow_rate":null,"discharge":"77.10","storage_percent":"41.58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Basin"}},"station":{"id":700592,"tele_station_name":{"th":"วัดหินแท่น (K.62)"},"tele_station_lat":13.78093,"tele_station_long":99.42085,"tele_station_oldcode":"MKVKD09","tele_station_type":"tele_waterlevel","left_bank":55.07,"right_bank":55.094,"min_bank":55.07,"ground_level":48.421,"offset":null,"sub_basin_id":274,"agency_id":8,"geocode_id":6683,"hydro_id":null,"qmax":null,"is_key_station":false,"warning_level_m":null,"critical_level_m":null,"critical_level_msl":53},"geocode":{"area_code":"2","area_name":{"th":"ภาคกลาง","en":"Central"},"amphoe_code":"11","amphoe_name":{"th":"ด่านมะขามเตี้ย","en":"Dan Makham Tia District"},"tumbon_code":"04","tumbon_name":{"th":"หนองไผ่","en":"Nong Phai"},"province_code":"71","province_name":{"th":"กาญจนบุรี","en":"Kanchanaburi"}},"diff_wl_bank":"3.88","diff_wl_bank_text":"ต่ำกว่าตลิ่ง (ม.)","river_gid":186944,"river_name":"ลำภาชี"}</x:t>
  </x:si>
  <x:si>
    <x:t xml:space="preserve">THAIWATER_WL:1113282</x:t>
  </x:si>
  <x:si>
    <x:t xml:space="preserve">SKD04</x:t>
  </x:si>
  <x:si>
    <x:t xml:space="preserve">บ้านหาดสองแคว (N.60)</x:t>
  </x:si>
  <x:si>
    <x:t xml:space="preserve">{"id":1316366851,"waterlevel_datetime":"2026-10-01 15:00","waterlevel_m":null,"waterlevel_msl":"49.50","waterlevel_msl_previous":"49.52","flow_rate":null,"discharge":null,"storage_percent":"41.54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Thailand","jp":""},"agency_shortname":{"th":"กฟผ.","en":"EGAT","jp":""}},"basin":{"id":9,"basin_code":9,"basin_name":{"th":"ลุ่มน้ำน่าน","en":"Nan Basin"}},"station":{"id":1113282,"tele_station_name":{"th":"บ้านหาดสองแคว (N.60)"},"tele_station_lat":17.418528,"tele_station_long":100.130819,"tele_station_oldcode":"SKD04","tele_station_type":"tele_waterlevel","left_bank":58.62,"right_bank":56.92,"min_bank":56.92,"ground_level":44.22,"offset":null,"sub_basin_id":232,"agency_id":8,"geocode_id":5115,"hydro_id":null,"qmax":null,"is_key_station":false,"warning_level_m":null,"critical_level_m":null,"critical_level_msl":56.92},"geocode":{"area_code":"3","area_name":{"th":"ภาคเหนือ","en":"North"},"amphoe_code":"02","amphoe_name":{"th":"ตรอน","en":"Tron District"},"tumbon_code":"03","tumbon_name":{"th":"หาดสองแคว","en":"Hat Song Khwae"},"province_code":"53","province_name":{"th":"อุตรดิตถ์","en":"Uttaradit"}},"diff_wl_bank":"7.42","diff_wl_bank_text":"ต่ำกว่าตลิ่ง (ม.)","river_gid":83575,"river_name":"แม่น้ำน่าน"}</x:t>
  </x:si>
  <x:si>
    <x:t xml:space="preserve">THAIWATER_WL:3044</x:t>
  </x:si>
  <x:si>
    <x:t xml:space="preserve">Kh.28A</x:t>
  </x:si>
  <x:si>
    <x:t xml:space="preserve">บ้านนาหลัก</x:t>
  </x:si>
  <x:si>
    <x:t xml:space="preserve">{"id":1316353926,"waterlevel_datetime":"2026-10-01 14:00","waterlevel_m":null,"waterlevel_msl":"242.31","waterlevel_msl_previous":"242.31","flow_rate":null,"discharge":"55.09","storage_percent":"41.40","sort_order":null,"station_type":"tele_waterlevel","situation_level":3,"agency":{"id":12,"agency_name":{"th":"กรมชลประทาน ","en":"Royal Irrigation Department","jp":""},"agency_shortname":{"th":"ชป.","en":"RID","jp":""}},"basin":{"id":3,"basin_code":3,"basin_name":{"th":"ลุ่มน้ำโขงตะวันออกเฉียงเหนือ","en":"Northeast Khong Basin"}},"station":{"id":3044,"tele_station_name":{"th":"บ้านนาหลัก"},"tele_station_lat":17.31229,"tele_station_long":101.772461,"tele_station_oldcode":"Kh.28A","tele_station_type":"tele_waterlevel","left_bank":494.380006,"right_bank":494.412006,"min_bank":249.6,"ground_level":237.16,"offset":239.600006,"sub_basin_id":44,"agency_id":12,"geocode_id":3698,"hydro_id":3,"qmax":610,"is_key_station":true,"warning_level_m":null,"critical_level_m":null,"critical_level_msl":null},"geocode":{"area_code":"4","area_name":{"th":"ภาคตะวันออกเฉียงเหนือ","en":"Northeast"},"amphoe_code":"09","amphoe_name":{"th":"วังสะพุง","en":"Wang Saphung District"},"tumbon_code":"13","tumbon_name":{"th":"ศรีสงคราม","en":"Si Songkhram"},"province_code":"42","province_name":{"th":"เลย","en":"Loei"}},"diff_wl_bank":"7.29","diff_wl_bank_text":"ต่ำกว่าตลิ่ง (ม.)","river_gid":120173,"river_name":"แม่น้ำเลย"}</x:t>
  </x:si>
  <x:si>
    <x:t xml:space="preserve">THAIWATER_WL:1422364</x:t>
  </x:si>
  <x:si>
    <x:t xml:space="preserve">RPBD04</x:t>
  </x:si>
  <x:si>
    <x:t xml:space="preserve">สะพานเชี่ยวไทร อ.พนม</x:t>
  </x:si>
  <x:si>
    <x:t xml:space="preserve">{"id":1316365551,"waterlevel_datetime":"2026-10-01 15:00","waterlevel_m":null,"waterlevel_msl":"12.72","waterlevel_msl_previous":"12.74","flow_rate":null,"discharge":null,"storage_percent":"41.36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Thailand","jp":""},"agency_shortname":{"th":"กฟผ.","en":"EGAT","jp":""}},"basin":{"id":22,"basin_code":19,"basin_name":{"th":"ลุ่มน้ำภาคใต้ฝั่งตะวันออกตอนบน","en":"Peninsula - Upper East Coast Basin"}},"station":{"id":1422364,"tele_station_name":{"th":"สะพานเชี่ยวไทร อ.พนม"},"tele_station_lat":8.822734,"tele_station_long":98.832075,"tele_station_oldcode":"RPBD04","tele_station_type":"tele_waterlevel","left_bank":17.5047,"right_bank":17.4732,"min_bank":17.47,"ground_level":9.366,"offset":null,"sub_basin_id":314,"agency_id":8,"geocode_id":7582,"hydro_id":null,"qmax":null,"is_key_station":false,"warning_level_m":null,"critical_level_m":null,"critical_level_msl":17.473},"geocode":{"area_code":"5","area_name":{"th":"ภาคใต้","en":"South"},"amphoe_code":"10","amphoe_name":{"th":"พนม","en":"Phanom District"},"tumbon_code":"01","tumbon_name":{"th":"พนม","en":"Phanom"},"province_code":"84","province_name":{"th":"สุราษฎร์ธานี","en":"Surat Thani"}},"diff_wl_bank":"4.75","diff_wl_bank_text":"ต่ำกว่าตลิ่ง (ม.)"}</x:t>
  </x:si>
  <x:si>
    <x:t xml:space="preserve">THAIWATER_WL:2663</x:t>
  </x:si>
  <x:si>
    <x:t xml:space="preserve">Z.14</x:t>
  </x:si>
  <x:si>
    <x:t xml:space="preserve">บ้านฉมัน</x:t>
  </x:si>
  <x:si>
    <x:t xml:space="preserve">คลองฉมัน</x:t>
  </x:si>
  <x:si>
    <x:t xml:space="preserve">{"id":1316343010,"waterlevel_datetime":"2026-10-01 14:00","waterlevel_m":null,"waterlevel_msl":"8.72","waterlevel_msl_previous":"8.71","flow_rate":null,"discharge":"39.00","storage_percent":"41.00","sort_order":null,"station_type":"tele_waterlevel","situation_level":3,"agency":{"id":12,"agency_name":{"th":"กรมชลประทาน ","en":"Royal Irrigation Department","jp":""},"agency_shortname":{"th":"ชป.","en":"RID","jp":""}},"basin":{"id":18,"basin_code":17,"basin_name":{"th":"ลุ่มน้ำชายฝั่งทะเลตะวันออก","en":"East Coast Gulf Basin"}},"station":{"id":2663,"tele_station_name":{"th":"บ้านฉมัน"},"tele_station_lat":12.74451,"tele_station_long":102.206421,"tele_station_oldcode":"Z.14","tele_station_type":"tele_waterlevel","left_bank":16.323999999999998,"right_bank":16.192999999999998,"min_bank":13.35,"ground_level":5.502,"offset":5.4,"sub_basin_id":296,"agency_id":12,"geocode_id":1297,"hydro_id":6,"qmax":206.5,"is_key_station":true,"warning_level_m":null,"critical_level_m":null,"critical_level_msl":null},"geocode":{"area_code":"2","area_name":{"th":"ภาคกลาง","en":"Central"},"amphoe_code":"05","amphoe_name":{"th":"มะขาม","en":"Makham District"},"tumbon_code":"06","tumbon_name":{"th":"ฉมัน","en":"Chaman"},"province_code":"22","province_name":{"th":"จันทบุรี","en":"Chanthaburi"}},"diff_wl_bank":"4.63","diff_wl_bank_text":"ต่ำกว่าตลิ่ง (ม.)","river_gid":204356,"river_name":"คลองฉมัน"}</x:t>
  </x:si>
  <x:si>
    <x:t xml:space="preserve">THAIWATER_WL:2580</x:t>
  </x:si>
  <x:si>
    <x:t xml:space="preserve">G.10</x:t>
  </x:si>
  <x:si>
    <x:t xml:space="preserve">บ้านหนองผำ</x:t>
  </x:si>
  <x:si>
    <x:t xml:space="preserve">น้ำแม่ลาว</x:t>
  </x:si>
  <x:si>
    <x:t xml:space="preserve">{"id":1316351166,"waterlevel_datetime":"2026-10-01 14:00","waterlevel_m":null,"waterlevel_msl":"434.17","waterlevel_msl_previous":"434.20","flow_rate":null,"discharge":"44.30","storage_percent":"40.80","sort_order":null,"station_type":"tele_waterlevel","situation_level":3,"agency":{"id":12,"agency_name":{"th":"กรมชลประทาน ","en":"Royal Irrigation Department","jp":""},"agency_shortname":{"th":"ชป.","en":"RID","jp":""}},"basin":{"id":2,"basin_code":2,"basin_name":{"th":"ลุ่มน้ำโขงเหนือ","en":"North Khong Basin"}},"station":{"id":2580,"tele_station_name":{"th":"บ้านหนองผำ"},"tele_station_lat":19.71244,"tele_station_long":99.620811,"tele_station_oldcode":"G.10","tele_station_type":"tele_waterlevel","left_bank":872.380001,"right_bank":872.390001,"min_bank":436.97,"ground_level":432.24,"offset":433.470001,"sub_basin_id":28,"agency_id":12,"geocode_id":5545,"hydro_id":1,"qmax":215.179993,"is_key_station":true,"warning_level_m":null,"critical_level_m":null,"critical_level_msl":null},"geocode":{"area_code":"3","area_name":{"th":"ภาคเหนือ","en":"North"},"amphoe_code":"10","amphoe_name":{"th":"แม่สรวย","en":"Mae Suai District"},"tumbon_code":"01","tumbon_name":{"th":"แม่สรวย","en":"Mae Saruai"},"province_code":"57","province_name":{"th":"เชียงราย","en":"Chiang Rai"}},"diff_wl_bank":"2.80","diff_wl_bank_text":"ต่ำกว่าตลิ่ง (ม.)","river_gid":8625,"river_name":"น้ำแม่ลาว"}</x:t>
  </x:si>
  <x:si>
    <x:t xml:space="preserve">THAIWATER_WL:2672</x:t>
  </x:si>
  <x:si>
    <x:t xml:space="preserve">Z.28</x:t>
  </x:si>
  <x:si>
    <x:t xml:space="preserve">บ้านขุนซ่อง</x:t>
  </x:si>
  <x:si>
    <x:t xml:space="preserve">{"id":1316343021,"waterlevel_datetime":"2026-10-01 14:00","waterlevel_m":null,"waterlevel_msl":"35.53","waterlevel_msl_previous":"35.62","flow_rate":null,"discharge":"10.30","storage_percent":"40.79","sort_order":null,"station_type":"tele_waterlevel","situation_level":3,"agency":{"id":12,"agency_name":{"th":"กรมชลประทาน ","en":"Royal Irrigation Department","jp":""},"agency_shortname":{"th":"ชป.","en":"RID","jp":""}},"basin":{"id":18,"basin_code":17,"basin_name":{"th":"ลุ่มน้ำชายฝั่งทะเลตะวันออก","en":"East Coast Gulf Basin"}},"station":{"id":2672,"tele_station_name":{"th":"บ้านขุนซ่อง"},"tele_station_lat":13.07735,"tele_station_long":101.945534,"tele_station_oldcode":"Z.28","tele_station_type":"tele_waterlevel","left_bank":72.50099800000001,"right_bank":71.66999799999999,"min_bank":39.09,"ground_level":33.078,"offset":32.599998,"sub_basin_id":295,"agency_id":12,"geocode_id":1315,"hydro_id":6,"qmax":65.18,"is_key_station":false,"warning_level_m":null,"critical_level_m":null,"critical_level_msl":null},"geocode":{"area_code":"2","area_name":{"th":"ภาคกลาง","en":"Central"},"amphoe_code":"08","amphoe_name":{"th":"แก่งหางแมว","en":"Kaeng Hang Maeo District"},"tumbon_code":"02","tumbon_name":{"th":"ขุนซ่อง","en":"Khun Song"},"province_code":"22","province_name":{"th":"จันทบุรี","en":"Chanthaburi"}},"diff_wl_bank":"3.56","diff_wl_bank_text":"ต่ำกว่าตลิ่ง (ม.)","river_gid":201625,"river_name":"คลองโตนด"}</x:t>
  </x:si>
  <x:si>
    <x:t xml:space="preserve">THAIWATER_WL:3212</x:t>
  </x:si>
  <x:si>
    <x:t xml:space="preserve">P.81</x:t>
  </x:si>
  <x:si>
    <x:t xml:space="preserve">{"id":1316351124,"waterlevel_datetime":"2026-10-01 14:00","waterlevel_m":null,"waterlevel_msl":"292.41","waterlevel_msl_previous":"292.41","flow_rate":null,"discharge":"19.38","storage_percent":"40.57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3212,"tele_station_name":{"th":"บ้านโป่ง"},"tele_station_lat":18.69521,"tele_station_long":99.078751,"tele_station_oldcode":"P.81","tele_station_type":"tele_waterlevel","left_bank":586.769013,"right_bank":586.779013,"min_bank":295.72,"ground_level":290.15,"offset":289.920013,"sub_basin_id":163,"agency_id":12,"geocode_id":4882,"hydro_id":1,"qmax":102.120003,"is_key_station":true,"warning_level_m":null,"critical_level_m":null,"critical_level_msl":null},"geocode":{"area_code":"3","area_name":{"th":"ภาคเหนือ","en":"North"},"amphoe_code":"19","amphoe_name":{"th":"สารภี","en":"Saraphi District"},"tumbon_code":"03","tumbon_name":{"th":"ชมภู","en":"Chomphu"},"province_code":"50","province_name":{"th":"เชียงใหม่","en":"Chiang Mai"}},"diff_wl_bank":"3.31","diff_wl_bank_text":"ต่ำกว่าตลิ่ง (ม.)","river_gid":43385,"river_name":"น้ำแม่กวง"}</x:t>
  </x:si>
  <x:si>
    <x:t xml:space="preserve">THAIWATER_WL:3285</x:t>
  </x:si>
  <x:si>
    <x:t xml:space="preserve">P.93</x:t>
  </x:si>
  <x:si>
    <x:t xml:space="preserve">บ้านสลวงนอก</x:t>
  </x:si>
  <x:si>
    <x:t xml:space="preserve">น้ำแม่ริม</x:t>
  </x:si>
  <x:si>
    <x:t xml:space="preserve">{"id":1316167914,"waterlevel_datetime":"2026-10-01 06:00","waterlevel_m":null,"waterlevel_msl":"341.59","waterlevel_msl_previous":"341.79","flow_rate":null,"discharge":"11.86","storage_percent":"40.33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3285,"tele_station_name":{"th":"บ้านสลวงนอก"},"tele_station_lat":19.015091,"tele_station_long":98.880836,"tele_station_oldcode":"P.93","tele_station_type":"tele_waterlevel","left_bank":684.854996,"right_bank":684.697996,"min_bank":343.59,"ground_level":340.238,"offset":340.589996,"sub_basin_id":161,"agency_id":12,"geocode_id":4768,"hydro_id":1,"qmax":57.380001,"is_key_station":false,"warning_level_m":null,"critical_level_m":null,"critical_level_msl":null},"geocode":{"area_code":"3","area_name":{"th":"ภาคเหนือ","en":"North"},"amphoe_code":"07","amphoe_name":{"th":"แม่ริม","en":"Mae Rim District"},"tumbon_code":"05","tumbon_name":{"th":"สะลวง","en":"Saluang"},"province_code":"50","province_name":{"th":"เชียงใหม่","en":"Chiang Mai"}},"diff_wl_bank":"2.00","diff_wl_bank_text":"ต่ำกว่าตลิ่ง (ม.)","river_gid":28144,"river_name":"น้ำแม่ริม"}</x:t>
  </x:si>
  <x:si>
    <x:t xml:space="preserve">THAIWATER_WL:609</x:t>
  </x:si>
  <x:si>
    <x:t xml:space="preserve">PIN006</x:t>
  </x:si>
  <x:si>
    <x:t xml:space="preserve">เมืองกำแพงเพชร (P7A)</x:t>
  </x:si>
  <x:si>
    <x:t xml:space="preserve">{"id":1316368238,"waterlevel_datetime":"2026-10-01 15:10","waterlevel_m":null,"waterlevel_msl":"73.43","waterlevel_msl_previous":"73.43","flow_rate":null,"discharge":null,"storage_percent":"40.15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Basin"}},"station":{"id":609,"tele_station_name":{"en":"Mueang Kamphaeng Phet (P7A)","th":"เมืองกำแพงเพชร (P7A)"},"tele_station_lat":16.47816,"tele_station_long":99.51866,"tele_station_oldcode":"PIN006","tele_station_type":"tele_waterlevel","left_bank":78.634,"right_bank":78.165,"min_bank":78.17,"ground_level":70.252,"offset":null,"sub_basin_id":185,"agency_id":9,"geocode_id":5879,"hydro_id":null,"qmax":null,"is_key_station":false,"warning_level_m":null,"critical_level_m":null,"critical_level_msl":null},"geocode":{"area_code":"3","area_name":{"th":"ภาคเหนือ","en":"North"},"amphoe_code":"01","amphoe_name":{"th":"เมืองกำแพงเพชร","en":"Mueang Kamphaeng Phet District"},"tumbon_code":"05","tumbon_name":{"th":"นครชุม","en":"Nakhon Chum"},"province_code":"62","province_name":{"th":"กำแพงเพชร","en":"Kamphaeng Phet"}},"diff_wl_bank":"4.74","diff_wl_bank_text":"ต่ำกว่าตลิ่ง (ม.)","river_gid":96424,"river_name":"แม่น้ำปิง"}</x:t>
  </x:si>
  <x:si>
    <x:t xml:space="preserve">THAIWATER_WL:3076</x:t>
  </x:si>
  <x:si>
    <x:t xml:space="preserve">Kh.103</x:t>
  </x:si>
  <x:si>
    <x:t xml:space="preserve">บ้านโนนตูม</x:t>
  </x:si>
  <x:si>
    <x:t xml:space="preserve">{"id":1316353940,"waterlevel_datetime":"2026-10-01 14:00","waterlevel_m":null,"waterlevel_msl":"168.62","waterlevel_msl_previous":"168.63","flow_rate":null,"discharge":"7.72","storage_percent":"39.92","sort_order":null,"station_type":"tele_waterlevel","situation_level":3,"agency":{"id":12,"agency_name":{"th":"กรมชลประทาน ","en":"Royal Irrigation Department","jp":""},"agency_shortname":{"th":"ชป.","en":"RID","jp":""}},"basin":{"id":3,"basin_code":3,"basin_name":{"th":"ลุ่มน้ำโขงตะวันออกเฉียงเหนือ","en":"Northeast Khong Basin"}},"station":{"id":3076,"tele_station_name":{"th":"บ้านโนนตูม"},"tele_station_lat":17.482571,"tele_station_long":102.797394,"tele_station_oldcode":"Kh.103","tele_station_type":"tele_waterlevel","left_bank":339.278,"right_bank":338.726,"min_bank":171.5,"ground_level":166.706,"offset":166.5,"sub_basin_id":54,"agency_id":12,"geocode_id":3451,"hydro_id":3,"qmax":95,"is_key_station":true,"warning_level_m":null,"critical_level_m":null,"critical_level_msl":null},"geocode":{"area_code":"4","area_name":{"th":"ภาคตะวันออกเฉียงเหนือ","en":"Northeast"},"amphoe_code":"01","amphoe_name":{"th":"เมืองอุดรธานี","en":"Mueang Udon Thani District"},"tumbon_code":"07","tumbon_name":{"th":"หมูม่น","en":"Mu Mon"},"province_code":"41","province_name":{"th":"อุดรธานี","en":"Udon Thani"}},"diff_wl_bank":"2.88","diff_wl_bank_text":"ต่ำกว่าตลิ่ง (ม.)","river_gid":116369,"river_name":"ห้วยหลวง"}</x:t>
  </x:si>
  <x:si>
    <x:t xml:space="preserve">THAIWATER_WL:657</x:t>
  </x:si>
  <x:si>
    <x:t xml:space="preserve">NAN012</x:t>
  </x:si>
  <x:si>
    <x:t xml:space="preserve">เมืองพิษณุโลก</x:t>
  </x:si>
  <x:si>
    <x:t xml:space="preserve">{"id":1316368170,"waterlevel_datetime":"2026-10-01 15:10","waterlevel_m":null,"waterlevel_msl":"37.62","waterlevel_msl_previous":"37.67","flow_rate":null,"discharge":null,"storage_percent":"39.65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Basin"}},"station":{"id":657,"tele_station_name":{"en":"Nan 12","th":"เมืองพิษณุโลก"},"tele_station_lat":16.86469,"tele_station_long":100.24476,"tele_station_oldcode":"NAN012","tele_station_type":"tele_waterlevel","left_bank":45.326,"right_bank":45.422,"min_bank":45.33,"ground_level":32.561,"offset":null,"sub_basin_id":236,"agency_id":9,"geocode_id":6143,"hydro_id":null,"qmax":null,"is_key_station":false,"warning_level_m":null,"critical_level_m":null,"critical_level_msl":null},"geocode":{"area_code":"3","area_name":{"th":"ภาคเหนือ","en":"North"},"amphoe_code":"01","amphoe_name":{"th":"เมืองพิษณุโลก","en":"Mueang Phitsanulok District"},"tumbon_code":"10","tumbon_name":{"th":"ปากโทก","en":"Pak Thok"},"province_code":"65","province_name":{"th":"พิษณุโลก","en":"Phitsanulok"}},"diff_wl_bank":"7.70","diff_wl_bank_text":"ต่ำกว่าตลิ่ง (ม.)","river_gid":93751,"river_name":"แม่น้ำน่าน"}</x:t>
  </x:si>
  <x:si>
    <x:t xml:space="preserve">THAIWATER_WL:545</x:t>
  </x:si>
  <x:si>
    <x:t xml:space="preserve">CHR003</x:t>
  </x:si>
  <x:si>
    <x:t xml:space="preserve">แม่จัน</x:t>
  </x:si>
  <x:si>
    <x:t xml:space="preserve">น้ำแม่จัน</x:t>
  </x:si>
  <x:si>
    <x:t xml:space="preserve">{"id":1316367983,"waterlevel_datetime":"2026-10-01 15:10","waterlevel_m":null,"waterlevel_msl":"409.59","waterlevel_msl_previous":"409.59","flow_rate":null,"discharge":null,"storage_percent":"39.60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Basin"}},"station":{"id":545,"tele_station_name":{"en":"Chaing Rai 3","th":"แม่จัน"},"tele_station_lat":20.15754,"tele_station_long":99.85966,"tele_station_oldcode":"CHR003","tele_station_type":"tele_waterlevel","left_bank":412.008,"right_bank":412.404,"min_bank":412.01,"ground_level":408.003,"offset":null,"sub_basin_id":24,"agency_id":9,"geocode_id":5517,"hydro_id":null,"qmax":null,"is_key_station":false,"warning_level_m":null,"critical_level_m":null,"critical_level_msl":null},"geocode":{"area_code":"3","area_name":{"th":"ภาคเหนือ","en":"North"},"amphoe_code":"07","amphoe_name":{"th":"แม่จัน","en":"Mae Chan District"},"tumbon_code":"01","tumbon_name":{"th":"แม่จัน","en":"Mae Chan"},"province_code":"57","province_name":{"th":"เชียงราย","en":"Chiang Rai"}},"diff_wl_bank":"2.42","diff_wl_bank_text":"ต่ำกว่าตลิ่ง (ม.)","river_gid":102708,"river_name":"น้ำแม่จัน"}</x:t>
  </x:si>
  <x:si>
    <x:t xml:space="preserve">THAIWATER_WL:1225529</x:t>
  </x:si>
  <x:si>
    <x:t xml:space="preserve">MYA002</x:t>
  </x:si>
  <x:si>
    <x:t xml:space="preserve">บ้านดอยต่อคำ</x:t>
  </x:si>
  <x:si>
    <x:t xml:space="preserve">{"id":1316367809,"waterlevel_datetime":"2026-10-01 15:10","waterlevel_m":null,"waterlevel_msl":"401.79","waterlevel_msl_previous":"401.80","flow_rate":null,"discharge":null,"storage_percent":"39.57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Foundation","jp":""},"agency_shortname":{"th":"พพภ","en":"FOP","jp":""}},"basin":{"id":29,"basin_code":88,"basin_name":{"th":"นอกประเทศไทย","en":""}},"station":{"id":1225529,"tele_station_name":{"en":"Lawtawkhan (Village)","th":"บ้านดอยต่อคำ"},"tele_station_lat":20.44352,"tele_station_long":99.86226,"tele_station_oldcode":"MYA002","tele_station_type":"tele_waterlevel","left_bank":405.43,"right_bank":405.43,"min_bank":405.43,"ground_level":399.4,"offset":null,"sub_basin_id":361,"sponsor_by":"มูลนิธิอาสาเพื่อนพึ่ง (ภาฯ) ยามยาก สภากาชาดไทย","agency_id":91,"geocode_id":8510,"hydro_id":null,"qmax":null,"is_key_station":false,"warning_level_m":null,"critical_level_m":null,"critical_level_msl":null},"geocode":{"area_code":"104","area_name":{"th":"สาธารณรัฐแห่งสหภาพพม่า","en":"Republic of the Union of Myanmar"},"amphoe_code":"10499","amphoe_name":{"th":"","en":""},"tumbon_code":"10499","tumbon_name":{"th":"","en":""},"province_code":"10499","province_name":{"th":"สาธารณรัฐแห่งสหภาพเมียนมา","en":"Republic of the Union of Myanmar"}},"diff_wl_bank":"3.64","diff_wl_bank_text":"ต่ำกว่าตลิ่ง (ม.)"}</x:t>
  </x:si>
  <x:si>
    <x:t xml:space="preserve">THAIWATER_WL:479240</x:t>
  </x:si>
  <x:si>
    <x:t xml:space="preserve">TBW032</x:t>
  </x:si>
  <x:si>
    <x:t xml:space="preserve">ลำน้ำก่ำ</x:t>
  </x:si>
  <x:si>
    <x:t xml:space="preserve">{"id":1316368365,"waterlevel_datetime":"2026-10-01 15:10","waterlevel_m":null,"waterlevel_msl":"146.30","waterlevel_msl_previous":"146.30","flow_rate":null,"discharge":null,"storage_percent":"39.49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Basin"}},"station":{"id":479240,"tele_station_name":{"en":"Num Kum 1","th":"ลำน้ำก่ำ"},"tele_station_lat":17.03068,"tele_station_long":104.41476,"tele_station_oldcode":"TBW032","tele_station_type":"tele_waterlevel","left_bank":152.375,"right_bank":154.547,"min_bank":152.38,"ground_level":142.336,"offset":null,"sub_basin_id":70,"agency_id":9,"geocode_id":4590,"hydro_id":null,"qmax":null,"is_key_station":false,"warning_level_m":null,"critical_level_m":null,"critical_level_msl":null},"geocode":{"area_code":"4","area_name":{"th":"ภาคตะวันออกเฉียงเหนือ","en":"Northeast"},"amphoe_code":"07","amphoe_name":{"th":"นาแก","en":"Na Kae District"},"tumbon_code":"08","tumbon_name":{"th":"หนองบ่อ","en":"Nong Bo"},"province_code":"48","province_name":{"th":"นครพนม","en":"Nakhon Phanom"}},"diff_wl_bank":"6.07","diff_wl_bank_text":"ต่ำกว่าตลิ่ง (ม.)","river_gid":122946,"river_name":"ลำน้ำกำ"}</x:t>
  </x:si>
  <x:si>
    <x:t xml:space="preserve">THAIWATER_WL:1119776</x:t>
  </x:si>
  <x:si>
    <x:t xml:space="preserve">E.57A</x:t>
  </x:si>
  <x:si>
    <x:t xml:space="preserve">บ้านสมสนุก</x:t>
  </x:si>
  <x:si>
    <x:t xml:space="preserve">{"id":1316353859,"waterlevel_datetime":"2026-10-01 14:00","waterlevel_m":null,"waterlevel_msl":"173.38","waterlevel_msl_previous":"173.37","flow_rate":null,"discharge":"0.01","storage_percent":"39.45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1119776,"tele_station_name":{"th":"บ้านสมสนุก"},"tele_station_lat":16.68523,"tele_station_long":104.08213,"tele_station_oldcode":"E.57A","tele_station_type":"tele_waterlevel","left_bank":350.022994,"right_bank":350.014994,"min_bank":178.4,"ground_level":170.11,"offset":172.399994,"sub_basin_id":101,"agency_id":12,"geocode_id":4274,"hydro_id":3,"qmax":290,"is_key_station":false,"warning_level_m":null,"critical_level_m":null,"critical_level_msl":null},"geocode":{"area_code":"4","area_name":{"th":"ภาคตะวันออกเฉียงเหนือ","en":"Northeast"},"amphoe_code":"06","amphoe_name":{"th":"เขาวง","en":"Khao Wong District"},"tumbon_code":"06","tumbon_name":{"th":"กุดสิมคุ้มใหม่","en":"Kut Sinkhum Mai"},"province_code":"46","province_name":{"th":"กาฬสินธุ์","en":"Kalasin"}},"diff_wl_bank":"5.02","diff_wl_bank_text":"ต่ำกว่าตลิ่ง (ม.)","river_gid":127969,"river_name":"ลำพะยัง"}</x:t>
  </x:si>
  <x:si>
    <x:t xml:space="preserve">THAIWATER_WL:1098957</x:t>
  </x:si>
  <x:si>
    <x:t xml:space="preserve">Kgt.15B</x:t>
  </x:si>
  <x:si>
    <x:t xml:space="preserve">บ้านแก่งดินสอ</x:t>
  </x:si>
  <x:si>
    <x:t xml:space="preserve">แควโขมง</x:t>
  </x:si>
  <x:si>
    <x:t xml:space="preserve">{"id":1316343001,"waterlevel_datetime":"2026-10-01 14:00","waterlevel_m":null,"waterlevel_msl":"15.71","waterlevel_msl_previous":"15.71","flow_rate":null,"discharge":"8.50","storage_percent":"39.22","sort_order":null,"station_type":"tele_waterlevel","situation_level":3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1098957,"tele_station_name":{"th":"บ้านแก่งดินสอ"},"tele_station_lat":14.06587,"tele_station_long":101.922638,"tele_station_oldcode":"Kgt.15B","tele_station_type":"tele_waterlevel","left_bank":32.586999999999996,"right_bank":33.394999999999996,"min_bank":20.21,"ground_level":12.806,"offset":12.37,"sub_basin_id":280,"agency_id":12,"geocode_id":1518,"hydro_id":6,"qmax":188.699997,"is_key_station":true,"warning_level_m":null,"critical_level_m":null,"critical_level_msl":null},"geocode":{"area_code":"2","area_name":{"th":"ภาคกลาง","en":"Central"},"amphoe_code":"03","amphoe_name":{"th":"นาดี","en":"Na Di District"},"tumbon_code":"05","tumbon_name":{"th":"แก่งดินสอ","en":"Kaeng Dinso"},"province_code":"25","province_name":{"th":"ปราจีนบุรี","en":"Prachin Buri"}},"diff_wl_bank":"4.50","diff_wl_bank_text":"ต่ำกว่าตลิ่ง (ม.)","river_gid":194561,"river_name":"แควโขมง"}</x:t>
  </x:si>
  <x:si>
    <x:t xml:space="preserve">THAIWATER_WL:238</x:t>
  </x:si>
  <x:si>
    <x:t xml:space="preserve">MUN014</x:t>
  </x:si>
  <x:si>
    <x:t xml:space="preserve">สตึก</x:t>
  </x:si>
  <x:si>
    <x:t xml:space="preserve">{"id":1316368153,"waterlevel_datetime":"2026-10-01 15:10","waterlevel_m":null,"waterlevel_msl":"125.19","waterlevel_msl_previous":"125.18","flow_rate":null,"discharge":null,"storage_percent":"39.19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Basin"}},"station":{"id":238,"tele_station_name":{"en":"Mun 14","th":"สตึก"},"tele_station_lat":15.299888,"tele_station_long":103.29234,"tele_station_oldcode":"MUN014","tele_station_type":"tele_waterlevel","left_bank":132.153,"right_bank":130.62,"min_bank":130.62,"ground_level":121.691,"offset":null,"sub_basin_id":124,"agency_id":9,"geocode_id":2122,"hydro_id":null,"qmax":null,"is_key_station":false,"warning_level_m":null,"critical_level_m":null,"critical_level_msl":null},"geocode":{"area_code":"4","area_name":{"th":"ภาคตะวันออกเฉียงเหนือ","en":"Northeast"},"amphoe_code":"11","amphoe_name":{"th":"สตึก","en":"Satuek District"},"tumbon_code":"02","tumbon_name":{"th":"นิคม","en":"Nikhom"},"province_code":"31","province_name":{"th":"บุรีรัมย์","en":"Buri Ram"}},"diff_wl_bank":"5.43","diff_wl_bank_text":"ต่ำกว่าตลิ่ง (ม.)","river_gid":145915,"river_name":"แม่น้ำมูล"}</x:t>
  </x:si>
  <x:si>
    <x:t xml:space="preserve">THAIWATER_WL:2808</x:t>
  </x:si>
  <x:si>
    <x:t xml:space="preserve">E.21</x:t>
  </x:si>
  <x:si>
    <x:t xml:space="preserve">บ้านแก่งโก</x:t>
  </x:si>
  <x:si>
    <x:t xml:space="preserve">{"id":1316353894,"waterlevel_datetime":"2026-10-01 14:00","waterlevel_m":null,"waterlevel_msl":"168.97","waterlevel_msl_previous":"168.96","flow_rate":null,"discharge":"79.25","storage_percent":"39.16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2808,"tele_station_name":{"th":"บ้านแก่งโก"},"tele_station_lat":15.75292,"tele_station_long":102.252609,"tele_station_oldcode":"E.21","tele_station_type":"tele_waterlevel","left_bank":340.13300000000004,"right_bank":340.048,"min_bank":174.5,"ground_level":165.411,"offset":163,"sub_basin_id":82,"agency_id":12,"geocode_id":2959,"hydro_id":3,"qmax":450,"is_key_station":true,"warning_level_m":null,"critical_level_m":null,"critical_level_msl":null},"geocode":{"area_code":"4","area_name":{"th":"ภาคตะวันออกเฉียงเหนือ","en":"Northeast"},"amphoe_code":"01","amphoe_name":{"th":"เมืองชัยภูมิ","en":"Mueang Chaiyaphum District"},"tumbon_code":"11","tumbon_name":{"th":"ลาดใหญ่","en":"Lat Yai"},"province_code":"36","province_name":{"th":"ชัยภูมิ","en":"Chaiyaphum"}},"diff_wl_bank":"5.53","diff_wl_bank_text":"ต่ำกว่าตลิ่ง (ม.)","river_gid":140485,"river_name":"แม่น้ำชี"}</x:t>
  </x:si>
  <x:si>
    <x:t xml:space="preserve">THAIWATER_WL:812</x:t>
  </x:si>
  <x:si>
    <x:t xml:space="preserve">TPI004</x:t>
  </x:si>
  <x:si>
    <x:t xml:space="preserve">ท่าขนอม</x:t>
  </x:si>
  <x:si>
    <x:t xml:space="preserve">{"id":1316368399,"waterlevel_datetime":"2026-10-01 15:10","waterlevel_m":null,"waterlevel_msl":"4.81","waterlevel_msl_previous":"4.80","flow_rate":null,"discharge":null,"storage_percent":"39.13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Basin"}},"station":{"id":812,"tele_station_name":{"en":"Tapi 4","th":"ท่าขนอม"},"tele_station_lat":9.029423,"tele_station_long":98.969635,"tele_station_oldcode":"TPI004","tele_station_type":"tele_waterlevel","left_bank":12.221,"right_bank":11.62,"min_bank":11.62,"ground_level":0.432,"offset":null,"sub_basin_id":316,"agency_id":9,"geocode_id":7568,"hydro_id":null,"qmax":null,"is_key_station":false,"warning_level_m":null,"critical_level_m":null,"critical_level_msl":null},"geocode":{"area_code":"5","area_name":{"th":"ภาคใต้","en":"South"},"amphoe_code":"08","amphoe_name":{"th":"คีรีรัฐนิคม","en":"Khiri Rat Nikhom District"},"tumbon_code":"01","tumbon_name":{"th":"ท่าขนอน","en":"Tha Khanon"},"province_code":"84","province_name":{"th":"สุราษฎร์ธานี","en":"Surat Thani"}},"diff_wl_bank":"6.81","diff_wl_bank_text":"ต่ำกว่าตลิ่ง (ม.)","river_gid":216415,"river_name":"แม่น้ำพุมดวง"}</x:t>
  </x:si>
  <x:si>
    <x:t xml:space="preserve">THAIWATER_WL:2656</x:t>
  </x:si>
  <x:si>
    <x:t xml:space="preserve">X.64</x:t>
  </x:si>
  <x:si>
    <x:t xml:space="preserve">บ้านท่าแซะ</x:t>
  </x:si>
  <x:si>
    <x:t xml:space="preserve">คลองท่าแซะ</x:t>
  </x:si>
  <x:si>
    <x:t xml:space="preserve">{"id":1316344734,"waterlevel_datetime":"2026-10-01 14:00","waterlevel_m":null,"waterlevel_msl":"10.66","waterlevel_msl_previous":"10.62","flow_rate":null,"discharge":"51.20","storage_percent":"39.08","sort_order":null,"station_type":"tele_waterlevel","situation_level":3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2656,"tele_station_name":{"th":"บ้านท่าแซะ"},"tele_station_lat":10.66562,"tele_station_long":99.171227,"tele_station_oldcode":"X.64","tele_station_type":"tele_waterlevel","left_bank":19.245,"right_bank":18.884,"min_bank":17.13,"ground_level":6.51,"offset":null,"sub_basin_id":310,"agency_id":12,"geocode_id":7713,"hydro_id":8,"qmax":452.5,"is_key_station":true,"warning_level_m":null,"critical_level_m":null,"critical_level_msl":null},"geocode":{"area_code":"5","area_name":{"th":"ภาคใต้","en":"South"},"amphoe_code":"02","amphoe_name":{"th":"ท่าแซะ","en":"Tha Sae District"},"tumbon_code":"01","tumbon_name":{"th":"ท่าแซะ","en":"Tha Sae"},"province_code":"86","province_name":{"th":"ชุมพร","en":"Chumphon"}},"diff_wl_bank":"6.47","diff_wl_bank_text":"ต่ำกว่าตลิ่ง (ม.)","river_gid":212964,"river_name":"คลองท่าแซะ"}</x:t>
  </x:si>
  <x:si>
    <x:t xml:space="preserve">THAIWATER_WL:726667</x:t>
  </x:si>
  <x:si>
    <x:t xml:space="preserve">X.260</x:t>
  </x:si>
  <x:si>
    <x:t xml:space="preserve">บ้านอาพาธ</x:t>
  </x:si>
  <x:si>
    <x:t xml:space="preserve">คลองอิปัน</x:t>
  </x:si>
  <x:si>
    <x:t xml:space="preserve">{"id":1316137562,"waterlevel_datetime":"2026-10-01 06:00","waterlevel_m":null,"waterlevel_msl":"6.66","waterlevel_msl_previous":"6.78","flow_rate":null,"discharge":"15.90","storage_percent":"39.04","sort_order":null,"station_type":"tele_waterlevel","situation_level":3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726667,"tele_station_name":{"th":"บ้านอาพาธ"},"tele_station_lat":8.54373,"tele_station_long":99.223457,"tele_station_oldcode":"X.260","tele_station_type":"tele_waterlevel","left_bank":13.567,"right_bank":13.576,"min_bank":12.25,"ground_level":3.08,"offset":null,"sub_basin_id":322,"agency_id":12,"geocode_id":7626,"hydro_id":8,"qmax":203,"is_key_station":false,"warning_level_m":null,"critical_level_m":null,"critical_level_msl":null},"geocode":{"area_code":"5","area_name":{"th":"ภาคใต้","en":"South"},"amphoe_code":"16","amphoe_name":{"th":"พระแสง","en":"Phrasaeng District"},"tumbon_code":"02","tumbon_name":{"th":"สินปุน","en":"Sin Pun"},"province_code":"84","province_name":{"th":"สุราษฎร์ธานี","en":"Surat Thani"}},"diff_wl_bank":"5.59","diff_wl_bank_text":"ต่ำกว่าตลิ่ง (ม.)","river_gid":219147,"river_name":"คลองอิปัน"}</x:t>
  </x:si>
  <x:si>
    <x:t xml:space="preserve">THAIWATER_WL:3127</x:t>
  </x:si>
  <x:si>
    <x:t xml:space="preserve">Y.37</x:t>
  </x:si>
  <x:si>
    <x:t xml:space="preserve">บ้านวังชิ้น</x:t>
  </x:si>
  <x:si>
    <x:t xml:space="preserve">{"id":1316351153,"waterlevel_datetime":"2026-10-01 14:00","waterlevel_m":null,"waterlevel_msl":"96.37","waterlevel_msl_previous":"96.37","flow_rate":null,"discharge":"145.80","storage_percent":"38.90","sort_order":null,"station_type":"tele_waterlevel","situation_level":3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3127,"tele_station_name":{"th":"บ้านวังชิ้น"},"tele_station_lat":17.90118,"tele_station_long":99.605652,"tele_station_oldcode":"Y.37","tele_station_type":"tele_waterlevel","left_bank":197.66999900000002,"right_bank":198.74699900000002,"min_bank":103.28,"ground_level":91.97,"offset":92.279999,"sub_basin_id":207,"agency_id":12,"geocode_id":5244,"hydro_id":1,"qmax":1325.599976,"is_key_station":true,"warning_level_m":null,"critical_level_m":null,"critical_level_msl":null},"geocode":{"area_code":"3","area_name":{"th":"ภาคเหนือ","en":"North"},"amphoe_code":"07","amphoe_name":{"th":"วังชิ้น","en":"Wang Chin District"},"tumbon_code":"01","tumbon_name":{"th":"วังชิ้น","en":"Wang Chin"},"province_code":"54","province_name":{"th":"แพร่","en":"Phrae"}},"diff_wl_bank":"6.91","diff_wl_bank_text":"ต่ำกว่าตลิ่ง (ม.)","river_gid":73923,"river_name":"แม่น้ำยม"}</x:t>
  </x:si>
  <x:si>
    <x:t xml:space="preserve">THAIWATER_WL:632505</x:t>
  </x:si>
  <x:si>
    <x:t xml:space="preserve">N.81</x:t>
  </x:si>
  <x:si>
    <x:t xml:space="preserve">บ้านแก่งบัวคำ</x:t>
  </x:si>
  <x:si>
    <x:t xml:space="preserve">{"id":1316341624,"waterlevel_datetime":"2026-10-01 14:00","waterlevel_m":null,"waterlevel_msl":"162.75","waterlevel_msl_previous":"162.77","flow_rate":null,"discharge":"84.28","storage_percent":"38.84","sort_order":null,"station_type":"tele_waterlevel","situation_level":3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632505,"tele_station_name":{"th":"บ้านแก่งบัวคำ"},"tele_station_lat":17.12855,"tele_station_long":100.588066,"tele_station_oldcode":"N.81","tele_station_type":"tele_waterlevel","left_bank":327.24699499999997,"right_bank":327.310995,"min_bank":167.08,"ground_level":160,"offset":160.259995,"sub_basin_id":235,"agency_id":12,"geocode_id":6169,"hydro_id":2,"qmax":602,"is_key_station":true,"warning_level_m":null,"critical_level_m":null,"critical_level_msl":null},"geocode":{"area_code":"3","area_name":{"th":"ภาคเหนือ","en":"North"},"amphoe_code":"03","amphoe_name":{"th":"ชาติตระการ","en":"Chat Trakan District"},"tumbon_code":"03","tumbon_name":{"th":"สวนเมี่ยง","en":"Suan Miang"},"province_code":"65","province_name":{"th":"พิษณุโลก","en":"Phitsanulok"}},"diff_wl_bank":"4.33","diff_wl_bank_text":"ต่ำกว่าตลิ่ง (ม.)","river_gid":87643,"river_name":"น้ำแควน้อย"}</x:t>
  </x:si>
  <x:si>
    <x:t xml:space="preserve">THAIWATER_WL:3095</x:t>
  </x:si>
  <x:si>
    <x:t xml:space="preserve">N.2B</x:t>
  </x:si>
  <x:si>
    <x:t xml:space="preserve">{"id":1316341611,"waterlevel_datetime":"2026-10-01 14:00","waterlevel_m":null,"waterlevel_msl":"52.75","waterlevel_msl_previous":"52.75","flow_rate":null,"discharge":"122.45","storage_percent":"38.50","sort_order":null,"station_type":"tele_waterlevel","situation_level":3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3095,"tele_station_name":{"th":"ต.ในเมือง"},"tele_station_lat":17.609871,"tele_station_long":100.099609,"tele_station_oldcode":"N.2B","tele_station_type":"tele_waterlevel","left_bank":113.91799900000001,"right_bank":115.260999,"min_bank":59.3,"ground_level":48.65,"offset":52.299999,"sub_basin_id":230,"agency_id":12,"geocode_id":5098,"hydro_id":2,"qmax":1910,"is_key_station":true,"warning_level_m":null,"critical_level_m":7,"critical_level_msl":59.3},"geocode":{"area_code":"3","area_name":{"th":"ภาคเหนือ","en":"North"},"amphoe_code":"01","amphoe_name":{"th":"เมืองอุตรดิตถ์","en":"Mueang Uttaradit District"},"tumbon_code":"04","tumbon_name":{"th":"ป่าเซ่า","en":"Pa Sao"},"province_code":"53","province_name":{"th":"อุตรดิตถ์","en":"Uttaradit"}},"diff_wl_bank":"6.55","diff_wl_bank_text":"ต่ำกว่าตลิ่ง (ม.)","river_gid":80088,"river_name":"แม่น้ำน่าน"}</x:t>
  </x:si>
  <x:si>
    <x:t xml:space="preserve">THAIWATER_WL:2695</x:t>
  </x:si>
  <x:si>
    <x:t xml:space="preserve">M.66</x:t>
  </x:si>
  <x:si>
    <x:t xml:space="preserve">บ้านวังชมภู</x:t>
  </x:si>
  <x:si>
    <x:t xml:space="preserve">{"id":1316340537,"waterlevel_datetime":"2026-10-01 14:00","waterlevel_m":null,"waterlevel_msl":"144.31","waterlevel_msl_previous":"144.32","flow_rate":null,"discharge":"18.75","storage_percent":"38.31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2695,"tele_station_name":{"th":"บ้านวังชมภู"},"tele_station_lat":14.64329,"tele_station_long":104.6595,"tele_station_oldcode":"M.66","tele_station_type":"tele_waterlevel","left_bank":295.371994,"right_bank":295.382994,"min_bank":148.9,"ground_level":141.46,"offset":141.899994,"sub_basin_id":140,"agency_id":12,"geocode_id":2433,"hydro_id":4,"qmax":560,"is_key_station":false,"warning_level_m":null,"critical_level_m":null,"critical_level_msl":null},"geocode":{"area_code":"4","area_name":{"th":"ภาคตะวันออกเฉียงเหนือ","en":"Northeast"},"amphoe_code":"04","amphoe_name":{"th":"กันทรลักษ์","en":"Kantharalak District"},"tumbon_code":"06","tumbon_name":{"th":"น้ำอ้อม","en":"Nam Om"},"province_code":"33","province_name":{"th":"ศรีสะเกษ","en":"Si Sa Ket"}},"diff_wl_bank":"4.59","diff_wl_bank_text":"ต่ำกว่าตลิ่ง (ม.)","river_gid":152023,"river_name":"ห้วยขะยุง"}</x:t>
  </x:si>
  <x:si>
    <x:t xml:space="preserve">THAIWATER_WL:358</x:t>
  </x:si>
  <x:si>
    <x:t xml:space="preserve">CHI012</x:t>
  </x:si>
  <x:si>
    <x:t xml:space="preserve">เมืองมหาสารคาม</x:t>
  </x:si>
  <x:si>
    <x:t xml:space="preserve">{"id":1316367967,"waterlevel_datetime":"2026-10-01 15:10","waterlevel_m":null,"waterlevel_msl":"137.85","waterlevel_msl_previous":"137.84","flow_rate":null,"discharge":null,"storage_percent":"38.30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Organization)","jp":""},"agency_shortname":{"th":"สสน.","en":"HII","jp":""}},"basin":{"id":4,"basin_code":4,"basin_name":{"th":"ลุ่มน้ำชี","en":"Chi Basin Basin"}},"station":{"id":358,"tele_station_name":{"en":"Mueang Maha Sarakham","th":"เมืองมหาสารคาม"},"tele_station_lat":16.23231,"tele_station_long":103.27106,"tele_station_oldcode":"CHI012","tele_station_type":"tele_waterlevel","left_bank":146.992,"right_bank":144.503,"min_bank":144.5,"ground_level":133.721,"offset":null,"sub_basin_id":96,"agency_id":9,"geocode_id":3866,"hydro_id":null,"qmax":null,"is_key_station":false,"warning_level_m":null,"critical_level_m":null,"critical_level_msl":null},"geocode":{"area_code":"4","area_name":{"th":"ภาคตะวันออกเฉียงเหนือ","en":"Northeast"},"amphoe_code":"01","amphoe_name":{"th":"เมืองมหาสารคาม","en":"Mueang Maha Sarakham District"},"tumbon_code":"07","tumbon_name":{"th":"เกิ้ง","en":"Koeng"},"province_code":"44","province_name":{"th":"มหาสารคาม","en":"Maha Sarakham"}},"diff_wl_bank":"6.65","diff_wl_bank_text":"ต่ำกว่าตลิ่ง (ม.)","river_gid":132939,"river_name":"แม่น้ำชี"}</x:t>
  </x:si>
  <x:si>
    <x:t xml:space="preserve">THAIWATER_WL:1109504</x:t>
  </x:si>
  <x:si>
    <x:t xml:space="preserve">ONE015</x:t>
  </x:si>
  <x:si>
    <x:t xml:space="preserve">ปตร. บ้านนาขาม-ท้ายน้ำ</x:t>
  </x:si>
  <x:si>
    <x:t xml:space="preserve">{"id":1316368193,"waterlevel_datetime":"2026-10-01 15:10","waterlevel_m":null,"waterlevel_msl":"142.43","waterlevel_msl_previous":"142.43","flow_rate":null,"discharge":null,"storage_percent":"38.29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Basin"}},"station":{"id":1109504,"tele_station_name":{"en":"BanNa Kham Gate","th":"ปตร. บ้านนาขาม-ท้ายน้ำ"},"tele_station_lat":17.000439,"tele_station_long":104.42528,"tele_station_oldcode":"ONE015","tele_station_type":"tele_waterlevel","left_bank":149.656,"right_bank":149.372,"min_bank":149.37,"ground_level":138.123,"offset":null,"sub_basin_id":70,"agency_id":9,"geocode_id":4585,"hydro_id":null,"qmax":null,"is_key_station":false,"warning_level_m":null,"critical_level_m":null,"critical_level_msl":null},"geocode":{"area_code":"4","area_name":{"th":"ภาคตะวันออกเฉียงเหนือ","en":"Northeast"},"amphoe_code":"07","amphoe_name":{"th":"นาแก","en":"Na Kae District"},"tumbon_code":"03","tumbon_name":{"th":"หนองสังข์","en":"Nong Sang"},"province_code":"48","province_name":{"th":"นครพนม","en":"Nakhon Phanom"}},"diff_wl_bank":"6.94","diff_wl_bank_text":"ต่ำกว่าตลิ่ง (ม.)","river_gid":123355,"river_name":"ลำน้ำกำ"}</x:t>
  </x:si>
  <x:si>
    <x:t xml:space="preserve">THAIWATER_WL:1422295</x:t>
  </x:si>
  <x:si>
    <x:t xml:space="preserve">BBD02</x:t>
  </x:si>
  <x:si>
    <x:t xml:space="preserve">แม่น้ำปิงที่ อ.บ้านตาก</x:t>
  </x:si>
  <x:si>
    <x:t xml:space="preserve">{"id":1316366314,"waterlevel_datetime":"2026-10-01 15:00","waterlevel_m":null,"waterlevel_msl":"119.51","waterlevel_msl_previous":"119.50","flow_rate":null,"discharge":null,"storage_percent":"38.15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Thailand","jp":""},"agency_shortname":{"th":"กฟผ.","en":"EGAT","jp":""}},"basin":{"id":6,"basin_code":6,"basin_name":{"th":"ลุ่มน้ำปิง","en":"Ping Basin"}},"station":{"id":1422295,"tele_station_name":{"th":"แม่น้ำปิงที่ อ.บ้านตาก"},"tele_station_lat":17.049092,"tele_station_long":99.066017,"tele_station_oldcode":"BBD02","tele_station_type":"tele_waterlevel","left_bank":122.58,"right_bank":121.95,"min_bank":121.95,"ground_level":118,"offset":null,"sub_basin_id":177,"agency_id":8,"geocode_id":5980,"hydro_id":null,"qmax":null,"is_key_station":false,"warning_level_m":null,"critical_level_m":null,"critical_level_msl":121.95},"geocode":{"area_code":"3","area_name":{"th":"ภาคเหนือ","en":"North"},"amphoe_code":"02","amphoe_name":{"th":"บ้านตาก","en":"Ban Tak District"},"tumbon_code":"01","tumbon_name":{"th":"ตากออก","en":"Tak Ok"},"province_code":"63","province_name":{"th":"ตาก","en":"Tak"}},"diff_wl_bank":"2.44","diff_wl_bank_text":"ต่ำกว่าตลิ่ง (ม.)"}</x:t>
  </x:si>
  <x:si>
    <x:t xml:space="preserve">THAIWATER_WL:1095879</x:t>
  </x:si>
  <x:si>
    <x:t xml:space="preserve">X.228</x:t>
  </x:si>
  <x:si>
    <x:t xml:space="preserve">{"id":1316344772,"waterlevel_datetime":"2026-10-01 14:00","waterlevel_m":null,"waterlevel_msl":"3.31","waterlevel_msl_previous":"3.29","flow_rate":null,"discharge":"65.40","storage_percent":"38.08","sort_order":null,"station_type":"tele_waterlevel","situation_level":3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1095879,"tele_station_name":{"th":"บ้านกลาง"},"tele_station_lat":7.64556,"tele_station_long":99.532204,"tele_station_oldcode":"X.228","tele_station_type":"tele_waterlevel","left_bank":12.164,"right_bank":12.207,"min_bank":9,"ground_level":-0.19,"offset":0,"sub_basin_id":349,"agency_id":12,"geocode_id":7976,"hydro_id":8,"qmax":532,"is_key_station":true,"warning_level_m":null,"critical_level_m":null,"critical_level_msl":null},"geocode":{"area_code":"5","area_name":{"th":"ภาคใต้","en":"South"},"amphoe_code":"01","amphoe_name":{"th":"เมืองตรัง","en":"Mueang Trang District"},"tumbon_code":"20","tumbon_name":{"th":"นาท่ามใต้","en":"Na Tham Tai"},"province_code":"92","province_name":{"th":"ตรัง","en":"Trang"}},"diff_wl_bank":"5.69","diff_wl_bank_text":"ต่ำกว่าตลิ่ง (ม.)","river_gid":224510,"river_name":"แม่น้ำตรัง"}</x:t>
  </x:si>
  <x:si>
    <x:t xml:space="preserve">THAIWATER_WL:1475106</x:t>
  </x:si>
  <x:si>
    <x:t xml:space="preserve">MOU294</x:t>
  </x:si>
  <x:si>
    <x:t xml:space="preserve">สะพานน้ำแม่กลาง</x:t>
  </x:si>
  <x:si>
    <x:t xml:space="preserve">{"id":1316367771,"waterlevel_datetime":"2026-10-01 15:10","waterlevel_m":null,"waterlevel_msl":"429.77","waterlevel_msl_previous":"429.77","flow_rate":null,"discharge":null,"storage_percent":"38.00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Basin"}},"station":{"id":1475106,"tele_station_name":{"en":"Mae Klang Nam Bridge","th":"สะพานน้ำแม่กลาง"},"tele_station_lat":18.507551,"tele_station_long":98.66203,"tele_station_oldcode":"MOU294","tele_station_type":"tele_waterlevel","left_bank":435.273,"right_bank":431.751,"min_bank":431.75,"ground_level":428.556,"offset":null,"sub_basin_id":169,"sponsor_by":"บริษัท ไทยเบฟเวอเรจ จำกัด (มหาชน) ","agency_id":91,"geocode_id":4709,"hydro_id":null,"qmax":null,"is_key_station":false,"warning_level_m":null,"critical_level_m":null,"critical_level_msl":null},"geocode":{"area_code":"3","area_name":{"th":"ภาคเหนือ","en":"North"},"amphoe_code":"02","amphoe_name":{"th":"จอมทอง","en":"Chom Thong District"},"tumbon_code":"03","tumbon_name":{"th":"บ้านหลวง","en":"Ban Luang"},"province_code":"50","province_name":{"th":"เชียงใหม่","en":"Chiang Mai"}},"diff_wl_bank":"1.98","diff_wl_bank_text":"ต่ำกว่าตลิ่ง (ม.)"}</x:t>
  </x:si>
  <x:si>
    <x:t xml:space="preserve">THAIWATER_WL:472</x:t>
  </x:si>
  <x:si>
    <x:t xml:space="preserve">NAN011</x:t>
  </x:si>
  <x:si>
    <x:t xml:space="preserve">เมืองอุตรดิตถ์</x:t>
  </x:si>
  <x:si>
    <x:t xml:space="preserve">{"id":1316368169,"waterlevel_datetime":"2026-10-01 15:10","waterlevel_m":null,"waterlevel_msl":"52.82","waterlevel_msl_previous":"52.81","flow_rate":null,"discharge":null,"storage_percent":"37.64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Basin"}},"station":{"id":472,"tele_station_name":{"en":"Nan 11","th":"เมืองอุตรดิตถ์"},"tele_station_lat":17.61011,"tele_station_long":100.09943,"tele_station_oldcode":"NAN011","tele_station_type":"tele_waterlevel","left_bank":58.02,"right_bank":60.341,"min_bank":58.02,"ground_level":49.677,"offset":null,"sub_basin_id":230,"agency_id":9,"geocode_id":5098,"hydro_id":null,"qmax":null,"is_key_station":false,"warning_level_m":null,"critical_level_m":null,"critical_level_msl":null},"geocode":{"area_code":"3","area_name":{"th":"ภาคเหนือ","en":"North"},"amphoe_code":"01","amphoe_name":{"th":"เมืองอุตรดิตถ์","en":"Mueang Uttaradit District"},"tumbon_code":"04","tumbon_name":{"th":"ป่าเซ่า","en":"Pa Sao"},"province_code":"53","province_name":{"th":"อุตรดิตถ์","en":"Uttaradit"}},"diff_wl_bank":"5.20","diff_wl_bank_text":"ต่ำกว่าตลิ่ง (ม.)","river_gid":80088,"river_name":"แม่น้ำน่าน"}</x:t>
  </x:si>
  <x:si>
    <x:t xml:space="preserve">THAIWATER_WL:846</x:t>
  </x:si>
  <x:si>
    <x:t xml:space="preserve">SVI002</x:t>
  </x:si>
  <x:si>
    <x:t xml:space="preserve">สวี 2</x:t>
  </x:si>
  <x:si>
    <x:t xml:space="preserve">{"id":1316368337,"waterlevel_datetime":"2026-10-01 15:10","waterlevel_m":null,"waterlevel_msl":"1.80","waterlevel_msl_previous":"1.78","flow_rate":null,"discharge":null,"storage_percent":"37.63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Basin"}},"station":{"id":846,"tele_station_name":{"en":"Sawi 2","th":"สวี 2"},"tele_station_lat":10.203275,"tele_station_long":99.04355,"tele_station_oldcode":"SVI002","tele_station_type":"tele_waterlevel","left_bank":9.244,"right_bank":9.765,"min_bank":9.24,"ground_level":-2.691,"offset":null,"sub_basin_id":311,"agency_id":9,"geocode_id":7764,"hydro_id":null,"qmax":null,"is_key_station":false,"warning_level_m":null,"critical_level_m":null,"critical_level_msl":null},"geocode":{"area_code":"5","area_name":{"th":"ภาคใต้","en":"South"},"amphoe_code":"07","amphoe_name":{"th":"สวี","en":"Sawi District"},"tumbon_code":"09","tumbon_name":{"th":"นาสัก","en":"Na Sak"},"province_code":"86","province_name":{"th":"ชุมพร","en":"Chumphon"}},"diff_wl_bank":"7.44","diff_wl_bank_text":"ต่ำกว่าตลิ่ง (ม.)","river_gid":213668,"river_name":"คลองสวี"}</x:t>
  </x:si>
  <x:si>
    <x:t xml:space="preserve">THAIWATER_WL:2583</x:t>
  </x:si>
  <x:si>
    <x:t xml:space="preserve">X.40A</x:t>
  </x:si>
  <x:si>
    <x:t xml:space="preserve">บ้านท่าสาบ</x:t>
  </x:si>
  <x:si>
    <x:t xml:space="preserve">{"id":1316344791,"waterlevel_datetime":"2026-10-01 14:00","waterlevel_m":null,"waterlevel_msl":"12.75","waterlevel_msl_previous":"12.77","flow_rate":null,"discharge":"77.00","storage_percent":"37.60","sort_order":null,"station_type":"tele_waterlevel","situation_level":3,"agency":{"id":12,"agency_name":{"th":"กรมชลประทาน ","en":"Royal Irrigation Department","jp":""},"agency_shortname":{"th":"ชป.","en":"RID","jp":""}},"basin":{"id":26,"basin_code":21,"basin_name":{"th":"ลุ่มน้ำภาคใต้ฝั่งตะวันออกตอนล่าง","en":"Peninsula - Lower East Coast Basin"}},"station":{"id":2583,"tele_station_name":{"th":"บ้านท่าสาบ","en":" ","jp":" "},"tele_station_lat":6.552798,"tele_station_long":101.266294,"tele_station_oldcode":"X.40A","tele_station_type":"tele_waterlevel","left_bank":16.5,"right_bank":16.5,"min_bank":16.5,"ground_level":10.49,"offset":0,"sub_basin_id":336,"agency_id":12,"geocode_id":8265,"hydro_id":null,"qmax":470,"is_key_station":true,"warning_level_m":null,"critical_level_m":16.5,"critical_level_msl":16.5},"geocode":{"area_code":"5","area_name":{"th":"ภาคใต้","en":"South"},"amphoe_code":"01","amphoe_name":{"th":"เมืองยะลา","en":"Mueang Yala District"},"tumbon_code":"01","tumbon_name":{"th":"สะเตง","en":"Sateng"},"province_code":"95","province_name":{"th":"ยะลา","en":"Yala"}},"diff_wl_bank":"3.75","diff_wl_bank_text":"ต่ำกว่าตลิ่ง (ม.)","river_gid":230173,"river_name":"แม่น้ำปัตตานี"}</x:t>
  </x:si>
  <x:si>
    <x:t xml:space="preserve">THAIWATER_WL:1095882</x:t>
  </x:si>
  <x:si>
    <x:t xml:space="preserve">X.188A</x:t>
  </x:si>
  <x:si>
    <x:t xml:space="preserve">บ้านรมณีย์</x:t>
  </x:si>
  <x:si>
    <x:t xml:space="preserve">คลองรมณีย์</x:t>
  </x:si>
  <x:si>
    <x:t xml:space="preserve">{"id":1316344810,"waterlevel_datetime":"2026-10-01 14:00","waterlevel_m":null,"waterlevel_msl":"13.84","waterlevel_msl_previous":"13.85","flow_rate":null,"discharge":"16.00","storage_percent":"37.58","sort_order":null,"station_type":"tele_waterlevel","situation_level":3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1095882,"tele_station_name":{"th":"บ้านรมณีย์"},"tele_station_lat":8.83334,"tele_station_long":98.458527,"tele_station_oldcode":"X.188A","tele_station_type":"tele_waterlevel","left_bank":18.632,"right_bank":18.641,"min_bank":18,"ground_level":11.336,"offset":null,"sub_basin_id":344,"agency_id":12,"geocode_id":7448,"hydro_id":8,"qmax":200,"is_key_station":true,"warning_level_m":null,"critical_level_m":null,"critical_level_msl":null},"geocode":{"area_code":"5","area_name":{"th":"ภาคใต้","en":"South"},"amphoe_code":"03","amphoe_name":{"th":"กะปง","en":"Kapong District"},"tumbon_code":"05","tumbon_name":{"th":"รมณีย์","en":"Rommani"},"province_code":"82","province_name":{"th":"พังงา","en":"Phangnga"}},"diff_wl_bank":"4.16","diff_wl_bank_text":"ต่ำกว่าตลิ่ง (ม.)","river_gid":217502,"river_name":"คลองรมณีย์"}</x:t>
  </x:si>
  <x:si>
    <x:t xml:space="preserve">THAIWATER_WL:3271</x:t>
  </x:si>
  <x:si>
    <x:t xml:space="preserve">P.20</x:t>
  </x:si>
  <x:si>
    <x:t xml:space="preserve">บ้านเชียงดาว</x:t>
  </x:si>
  <x:si>
    <x:t xml:space="preserve">ห้วยแม่มาด</x:t>
  </x:si>
  <x:si>
    <x:t xml:space="preserve">{"id":1316351106,"waterlevel_datetime":"2026-10-01 14:00","waterlevel_m":null,"waterlevel_msl":"380.14","waterlevel_msl_previous":"380.14","flow_rate":null,"discharge":"13.06","storage_percent":"37.56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3271,"tele_station_name":{"th":"บ้านเชียงดาว"},"tele_station_lat":19.369551,"tele_station_long":98.969101,"tele_station_oldcode":"P.20","tele_station_type":"tele_waterlevel","left_bank":765.519994,"right_bank":766.619994,"min_bank":382.7,"ground_level":378.6,"offset":379.899994,"sub_basin_id":156,"agency_id":12,"geocode_id":4727,"hydro_id":1,"qmax":276,"is_key_station":false,"warning_level_m":null,"critical_level_m":null,"critical_level_msl":null},"geocode":{"area_code":"3","area_name":{"th":"ภาคเหนือ","en":"North"},"amphoe_code":"04","amphoe_name":{"th":"เชียงดาว","en":"Chiang Dao District"},"tumbon_code":"01","tumbon_name":{"th":"เชียงดาว","en":"Chiang Dao"},"province_code":"50","province_name":{"th":"เชียงใหม่","en":"Chiang Mai"}},"diff_wl_bank":"2.56","diff_wl_bank_text":"ต่ำกว่าตลิ่ง (ม.)","river_gid":16852,"river_name":"ห้วยแม่มาด"}</x:t>
  </x:si>
  <x:si>
    <x:t xml:space="preserve">THAIWATER_WL:1677418</x:t>
  </x:si>
  <x:si>
    <x:t xml:space="preserve">PYO005</x:t>
  </x:si>
  <x:si>
    <x:t xml:space="preserve">สะพานข้ามน้ำอิง (I.17)</x:t>
  </x:si>
  <x:si>
    <x:t xml:space="preserve">{"id":1316368256,"waterlevel_datetime":"2026-10-01 15:10","waterlevel_m":null,"waterlevel_msl":"387.23","waterlevel_msl_previous":"387.23","flow_rate":null,"discharge":null,"storage_percent":"37.44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Basin"}},"station":{"id":1677418,"tele_station_name":{"en":"Nam Ing Bridge (I.17)","th":"สะพานข้ามน้ำอิง (I.17)"},"tele_station_lat":19.165922,"tele_station_long":99.9343,"tele_station_oldcode":"PYO005","tele_station_type":"tele_waterlevel","left_bank":389.77,"right_bank":389.77,"min_bank":389.77,"ground_level":385.71,"offset":null,"sub_basin_id":34,"agency_id":9,"geocode_id":5414,"hydro_id":null,"qmax":null,"is_key_station":false,"warning_level_m":null,"critical_level_m":null,"critical_level_msl":null},"geocode":{"area_code":"3","area_name":{"th":"ภาคเหนือ","en":"North"},"amphoe_code":"05","amphoe_name":{"th":"ดอกคำใต้","en":"Dok Khamtai District"},"tumbon_code":"01","tumbon_name":{"th":"ดอกคำใต้","en":"Dok Khamtai"},"province_code":"56","province_name":{"th":"พะเยา","en":"Phayao"}},"diff_wl_bank":"2.54","diff_wl_bank_text":"ต่ำกว่าตลิ่ง (ม.)"}</x:t>
  </x:si>
  <x:si>
    <x:t xml:space="preserve">THAIWATER_WL:740726</x:t>
  </x:si>
  <x:si>
    <x:t xml:space="preserve">FOP025</x:t>
  </x:si>
  <x:si>
    <x:t xml:space="preserve">สะพานบางไตประชาบริรักษ์</x:t>
  </x:si>
  <x:si>
    <x:t xml:space="preserve">คลองยัน</x:t>
  </x:si>
  <x:si>
    <x:t xml:space="preserve">{"id":1316367726,"waterlevel_datetime":"2026-10-01 15:10","waterlevel_m":null,"waterlevel_msl":"47.30","waterlevel_msl_previous":"47.31","flow_rate":null,"discharge":null,"storage_percent":"37.07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Foundation","jp":""},"agency_shortname":{"th":"พพภ","en":"FOP","jp":""}},"basin":{"id":22,"basin_code":19,"basin_name":{"th":"ลุ่มน้ำภาคใต้ฝั่งตะวันออกตอนบน","en":"Peninsula - Upper East Coast Basin"}},"station":{"id":740726,"tele_station_name":{"en":"Bang Tai Pracha Borirak Bridge","th":"สะพานบางไตประชาบริรักษ์"},"tele_station_lat":9.282515,"tele_station_long":98.87693,"tele_station_oldcode":"FOP025","tele_station_type":"tele_waterlevel","left_bank":57.1681,"right_bank":55.4181,"min_bank":55.42,"ground_level":42.5181,"offset":null,"sub_basin_id":316,"sponsor_by":"มูลนิธิอาสาเพื่อนพึ่ง (ภาฯ) ยามยาก สภากาชาดไทย","agency_id":91,"geocode_id":7656,"hydro_id":null,"qmax":null,"is_key_station":false,"warning_level_m":null,"critical_level_m":null,"critical_level_msl":null},"geocode":{"area_code":"5","area_name":{"th":"ภาคใต้","en":"South"},"amphoe_code":"19","amphoe_name":{"th":"วิภาวดี","en":"Vibhavadi District"},"tumbon_code":"02","tumbon_name":{"th":"ตะกุกเหนือ","en":"Takuk Nuea"},"province_code":"84","province_name":{"th":"สุราษฎร์ธานี","en":"Surat Thani"}},"diff_wl_bank":"8.12","diff_wl_bank_text":"ต่ำกว่าตลิ่ง (ม.)","river_gid":215491,"river_name":"คลองยัน"}</x:t>
  </x:si>
  <x:si>
    <x:t xml:space="preserve">THAIWATER_WL:2618</x:t>
  </x:si>
  <x:si>
    <x:t xml:space="preserve">M.145</x:t>
  </x:si>
  <x:si>
    <x:t xml:space="preserve">บ้านวังตะเคียนทอง</x:t>
  </x:si>
  <x:si>
    <x:t xml:space="preserve">{"id":1316134177,"waterlevel_datetime":"2026-10-01 06:00","waterlevel_m":null,"waterlevel_msl":"387.30","waterlevel_msl_previous":"387.48","flow_rate":null,"discharge":"10.60","storage_percent":"36.99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2618,"tele_station_name":{"th":"บ้านวังตะเคียนทอง"},"tele_station_lat":14.49406,"tele_station_long":101.684914,"tele_station_oldcode":"M.145","tele_station_type":"tele_waterlevel","left_bank":390.4,"right_bank":390.4,"min_bank":390.4,"ground_level":385.48,"offset":383,"sub_basin_id":106,"agency_id":12,"geocode_id":1918,"hydro_id":4,"qmax":150,"is_key_station":false,"warning_level_m":null,"critical_level_m":null,"critical_level_msl":null},"geocode":{"area_code":"4","area_name":{"th":"ภาคตะวันออกเฉียงเหนือ","en":"Northeast"},"amphoe_code":"21","amphoe_name":{"th":"ปากช่อง","en":"Pak Chong District"},"tumbon_code":"04","tumbon_name":{"th":"วังกะทะ","en":"Wang Katha"},"province_code":"30","province_name":{"th":"นครราชสีมา","en":"Nakhon Ratchasima"}},"diff_wl_bank":"3.10","diff_wl_bank_text":"ต่ำกว่าตลิ่ง (ม.)","river_gid":154099,"river_name":"ลำพระเพลิง"}</x:t>
  </x:si>
  <x:si>
    <x:t xml:space="preserve">THAIWATER_WL:1481128</x:t>
  </x:si>
  <x:si>
    <x:t xml:space="preserve">MOU346</x:t>
  </x:si>
  <x:si>
    <x:t xml:space="preserve">สะพานบ้านตึก</x:t>
  </x:si>
  <x:si>
    <x:t xml:space="preserve">{"id":1316367781,"waterlevel_datetime":"2026-10-01 15:10","waterlevel_m":null,"waterlevel_msl":"82.91","waterlevel_msl_previous":"82.91","flow_rate":null,"discharge":null,"storage_percent":"36.96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Foundation","jp":""},"agency_shortname":{"th":"พพภ","en":"FOP","jp":""}},"basin":{"id":8,"basin_code":8,"basin_name":{"th":"ลุ่มน้ำยม","en":"Yom Basin"}},"station":{"id":1481128,"tele_station_name":{"en":"Building Bridge","th":"สะพานบ้านตึก"},"tele_station_lat":17.586782,"tele_station_long":99.81109,"tele_station_oldcode":"MOU346","tele_station_type":"tele_waterlevel","left_bank":85.869,"right_bank":88.105,"min_bank":85.87,"ground_level":81.175,"offset":null,"sub_basin_id":209,"sponsor_by":"บริษัท ไทยเบฟเวอเรจ จำกัด (มหาชน) ","agency_id":91,"geocode_id":6084,"hydro_id":null,"qmax":null,"is_key_station":false,"warning_level_m":null,"critical_level_m":null,"critical_level_msl":null},"geocode":{"area_code":"3","area_name":{"th":"ภาคเหนือ","en":"North"},"amphoe_code":"05","amphoe_name":{"th":"ศรีสัชนาลัย","en":"Si Satchanalai District"},"tumbon_code":"05","tumbon_name":{"th":"บ้านตึก","en":"Ban Tuek"},"province_code":"64","province_name":{"th":"สุโขทัย","en":"Sukhothai"}},"diff_wl_bank":"2.96","diff_wl_bank_text":"ต่ำกว่าตลิ่ง (ม.)"}</x:t>
  </x:si>
  <x:si>
    <x:t xml:space="preserve">THAIWATER_WL:434</x:t>
  </x:si>
  <x:si>
    <x:t xml:space="preserve">CHM002</x:t>
  </x:si>
  <x:si>
    <x:t xml:space="preserve">ฮอด</x:t>
  </x:si>
  <x:si>
    <x:t xml:space="preserve">{"id":1316367973,"waterlevel_datetime":"2026-10-01 15:10","waterlevel_m":null,"waterlevel_msl":"256.84","waterlevel_msl_previous":"256.86","flow_rate":null,"discharge":null,"storage_percent":"36.93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Basin"}},"station":{"id":434,"tele_station_name":{"en":"Chiang Mai 2","th":"ฮอด"},"tele_station_lat":18.17859,"tele_station_long":98.63017,"tele_station_oldcode":"CHM002","tele_station_type":"tele_waterlevel","left_bank":260.959,"right_bank":260.835,"min_bank":260.83,"ground_level":254.507,"offset":null,"sub_basin_id":173,"agency_id":9,"geocode_id":4859,"hydro_id":null,"qmax":null,"is_key_station":false,"warning_level_m":null,"critical_level_m":null,"critical_level_msl":null},"geocode":{"area_code":"3","area_name":{"th":"ภาคเหนือ","en":"North"},"amphoe_code":"16","amphoe_name":{"th":"ฮอด","en":"Hot District"},"tumbon_code":"01","tumbon_name":{"th":"หางดง","en":"Hang Dong"},"province_code":"50","province_name":{"th":"เชียงใหม่","en":"Chiang Mai"}},"diff_wl_bank":"3.99","diff_wl_bank_text":"ต่ำกว่าตลิ่ง (ม.)","river_gid":66570,"river_name":"แม่น้ำปิง"}</x:t>
  </x:si>
  <x:si>
    <x:t xml:space="preserve">THAIWATER_WL:9930856</x:t>
  </x:si>
  <x:si>
    <x:t xml:space="preserve">HHN003</x:t>
  </x:si>
  <x:si>
    <x:t xml:space="preserve">คลองพระราชดำริ วัดเขาไกรลาศ</x:t>
  </x:si>
  <x:si>
    <x:t xml:space="preserve">{"id":1316368054,"waterlevel_datetime":"2026-10-01 15:10","waterlevel_m":null,"waterlevel_msl":"0.77","waterlevel_msl_previous":"0.77","flow_rate":null,"discharge":null,"storage_percent":"36.85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Organization)","jp":""},"agency_shortname":{"th":"สสน.","en":"HII","jp":""}},"basin":{"id":20,"basin_code":18,"basin_name":{"th":"ลุ่มน้ำเพชรบุรี-ประจวบคีรีขันธ์","en":"Phetchaburi - Prachuap Khiri Khan Basin"}},"station":{"id":9930856,"tele_station_name":{"en":"Phrarajadamri Canal, Wat Khao Krailat","th":"คลองพระราชดำริ วัดเขาไกรลาศ"},"tele_station_lat":12.5175,"tele_station_long":99.97219,"tele_station_oldcode":"HHN003","tele_station_type":"tele_waterlevel","left_bank":2.174,"right_bank":2.239,"min_bank":2.17,"ground_level":-0.054,"offset":null,"sub_basin_id":300,"agency_id":9,"geocode_id":7159,"hydro_id":null,"qmax":null,"is_key_station":false,"warning_level_m":null,"critical_level_m":null,"critical_level_msl":null},"geocode":{"area_code":"2","area_name":{"th":"ภาคกลาง","en":"Central"},"amphoe_code":"07","amphoe_name":{"th":"หัวหิน","en":"Hua Hin District"},"tumbon_code":"02","tumbon_name":{"th":"หนองแก","en":"Nong Kae"},"province_code":"77","province_name":{"th":"ประจวบคีรีขันธ์","en":"Prachuap Khiri Khan"}},"diff_wl_bank":"1.41","diff_wl_bank_text":"ต่ำกว่าตลิ่ง (ม.)"}</x:t>
  </x:si>
  <x:si>
    <x:t xml:space="preserve">THAIWATER_WL:9822342</x:t>
  </x:si>
  <x:si>
    <x:t xml:space="preserve">MYA005</x:t>
  </x:si>
  <x:si>
    <x:t xml:space="preserve">โรงสูบน้ำแรงต่ำแม่ข่าย (แม่สาย)</x:t>
  </x:si>
  <x:si>
    <x:t xml:space="preserve">{"id":1316367812,"waterlevel_datetime":"2026-10-01 15:10","waterlevel_m":null,"waterlevel_msl":"396.24","waterlevel_msl_previous":"396.24","flow_rate":null,"discharge":null,"storage_percent":"36.70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Basin"}},"station":{"id":9822342,"tele_station_name":{"en":"Main low pressure water pumping plant (Mae Sai)","th":"โรงสูบน้ำแรงต่ำแม่ข่าย (แม่สาย)"},"tele_station_lat":20.444576,"tele_station_long":99.87177,"tele_station_oldcode":"MYA005","tele_station_type":"tele_waterlevel","left_bank":401.5,"right_bank":401,"min_bank":401,"ground_level":393.48,"offset":null,"sub_basin_id":23,"agency_id":9,"geocode_id":5541,"hydro_id":null,"qmax":null,"is_key_station":false,"warning_level_m":null,"critical_level_m":null,"critical_level_msl":null},"geocode":{"area_code":"3","area_name":{"th":"ภาคเหนือ","en":"North"},"amphoe_code":"09","amphoe_name":{"th":"แม่สาย","en":"Mae Sai District"},"tumbon_code":"06","tumbon_name":{"th":"เวียงพางคำ","en":"Wiang Phang Kham"},"province_code":"57","province_name":{"th":"เชียงราย","en":"Chiang Rai"}},"diff_wl_bank":"4.76","diff_wl_bank_text":"ต่ำกว่าตลิ่ง (ม.)"}</x:t>
  </x:si>
  <x:si>
    <x:t xml:space="preserve">THAIWATER_WL:2814</x:t>
  </x:si>
  <x:si>
    <x:t xml:space="preserve">M.157</x:t>
  </x:si>
  <x:si>
    <x:t xml:space="preserve">บ้านนิคม</x:t>
  </x:si>
  <x:si>
    <x:t xml:space="preserve">ลำโพง</x:t>
  </x:si>
  <x:si>
    <x:t xml:space="preserve">{"id":1316340569,"waterlevel_datetime":"2026-10-01 14:00","waterlevel_m":null,"waterlevel_msl":"125.70","waterlevel_msl_previous":"125.70","flow_rate":null,"discharge":"15.00","storage_percent":"36.56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2814,"tele_station_name":{"th":"บ้านนิคม"},"tele_station_lat":15.80624,"tele_station_long":104.32795,"tele_station_oldcode":"M.157","tele_station_type":"tele_waterlevel","left_bank":131.5,"right_bank":131.5,"min_bank":129.5,"ground_level":123.51,"offset":123.5,"sub_basin_id":145,"agency_id":12,"geocode_id":2910,"hydro_id":4,"qmax":500,"is_key_station":false,"warning_level_m":null,"critical_level_m":null,"critical_level_msl":null},"geocode":{"area_code":"4","area_name":{"th":"ภาคตะวันออกเฉียงเหนือ","en":"Northeast"},"amphoe_code":"05","amphoe_name":{"th":"ป่าติ้ว","en":"Pa Tio District"},"tumbon_code":"02","tumbon_name":{"th":"กระจาย","en":"Krachai"},"province_code":"35","province_name":{"th":"ยโสธร","en":"Yasothon"}},"diff_wl_bank":"3.80","diff_wl_bank_text":"ต่ำกว่าตลิ่ง (ม.)","river_gid":138494,"river_name":"ลำโพง"}</x:t>
  </x:si>
  <x:si>
    <x:t xml:space="preserve">THAIWATER_WL:709863</x:t>
  </x:si>
  <x:si>
    <x:t xml:space="preserve">BLGTD03</x:t>
  </x:si>
  <x:si>
    <x:t xml:space="preserve">สะพานท่าสาป อ.เมือง จ.ยะลา</x:t>
  </x:si>
  <x:si>
    <x:t xml:space="preserve">{"id":1316365674,"waterlevel_datetime":"2026-10-01 15:00","waterlevel_m":null,"waterlevel_msl":"12.72","waterlevel_msl_previous":"12.74","flow_rate":null,"discharge":"74.76","storage_percent":"36.56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Thailand","jp":""},"agency_shortname":{"th":"กฟผ.","en":"EGAT","jp":""}},"basin":{"id":26,"basin_code":21,"basin_name":{"th":"ลุ่มน้ำภาคใต้ฝั่งตะวันออกตอนล่าง","en":"Peninsula - Lower East Coast Basin"}},"station":{"id":709863,"tele_station_name":{"th":"สะพานท่าสาป อ.เมือง จ.ยะลา"},"tele_station_lat":6.552715,"tele_station_long":101.266197,"tele_station_oldcode":"BLGTD03","tele_station_type":"tele_waterlevel","left_bank":17.29,"right_bank":19.69,"min_bank":17.29,"ground_level":10.09,"offset":null,"sub_basin_id":336,"agency_id":8,"geocode_id":8265,"hydro_id":null,"qmax":null,"is_key_station":false,"warning_level_m":16,"critical_level_m":null,"critical_level_msl":16.5},"geocode":{"area_code":"5","area_name":{"th":"ภาคใต้","en":"South"},"amphoe_code":"01","amphoe_name":{"th":"เมืองยะลา","en":"Mueang Yala District"},"tumbon_code":"01","tumbon_name":{"th":"สะเตง","en":"Sateng"},"province_code":"95","province_name":{"th":"ยะลา","en":"Yala"}},"diff_wl_bank":"4.57","diff_wl_bank_text":"ต่ำกว่าตลิ่ง (ม.)","river_gid":230173,"river_name":"แม่น้ำปัตตานี"}</x:t>
  </x:si>
  <x:si>
    <x:t xml:space="preserve">THAIWATER_WL:3243</x:t>
  </x:si>
  <x:si>
    <x:t xml:space="preserve">Y.31</x:t>
  </x:si>
  <x:si>
    <x:t xml:space="preserve">บ้านทุ่งหนอง</x:t>
  </x:si>
  <x:si>
    <x:t xml:space="preserve">{"id":1316351149,"waterlevel_datetime":"2026-10-01 14:00","waterlevel_m":null,"waterlevel_msl":"259.00","waterlevel_msl_previous":"259.00","flow_rate":null,"discharge":"31.70","storage_percent":"36.41","sort_order":null,"station_type":"tele_waterlevel","situation_level":3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3243,"tele_station_name":{"th":"บ้านทุ่งหนอง"},"tele_station_lat":18.94628,"tele_station_long":100.258949,"tele_station_oldcode":"Y.31","tele_station_type":"tele_waterlevel","left_bank":524.386,"right_bank":524.2529999999999,"min_bank":263,"ground_level":256.71,"offset":257,"sub_basin_id":199,"agency_id":12,"geocode_id":5412,"hydro_id":1,"qmax":500,"is_key_station":true,"warning_level_m":null,"critical_level_m":null,"critical_level_msl":null},"geocode":{"area_code":"3","area_name":{"th":"ภาคเหนือ","en":"North"},"amphoe_code":"04","amphoe_name":{"th":"เชียงม่วน","en":"Chiang Muan District"},"tumbon_code":"03","tumbon_name":{"th":"สระ","en":"Sa"},"province_code":"56","province_name":{"th":"พะเยา","en":"Phayao"}},"diff_wl_bank":"4.00","diff_wl_bank_text":"ต่ำกว่าตลิ่ง (ม.)","river_gid":31426,"river_name":"แม่น้ำยม"}</x:t>
  </x:si>
  <x:si>
    <x:t xml:space="preserve">THAIWATER_WL:1422366</x:t>
  </x:si>
  <x:si>
    <x:t xml:space="preserve">RPBD06</x:t>
  </x:si>
  <x:si>
    <x:t xml:space="preserve">สะพานท่าขนอน (วัดปราการ)อ.คีรีรัฐนิคม (X.36)</x:t>
  </x:si>
  <x:si>
    <x:t xml:space="preserve">{"id":1316365553,"waterlevel_datetime":"2026-10-01 15:00","waterlevel_m":null,"waterlevel_msl":"2.37","waterlevel_msl_previous":"2.33","flow_rate":null,"discharge":null,"storage_percent":"35.89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Thailand","jp":""},"agency_shortname":{"th":"กฟผ.","en":"EGAT","jp":""}},"basin":{"id":22,"basin_code":19,"basin_name":{"th":"ลุ่มน้ำภาคใต้ฝั่งตะวันออกตอนบน","en":"Peninsula - Upper East Coast Basin"}},"station":{"id":1422366,"tele_station_name":{"th":"สะพานท่าขนอน (วัดปราการ)อ.คีรีรัฐนิคม (X.36)"},"tele_station_lat":9.029581,"tele_station_long":98.969587,"tele_station_oldcode":"RPBD06","tele_station_type":"tele_waterlevel","left_bank":12.096,"right_bank":12.108,"min_bank":12.1,"ground_level":-3.069,"offset":null,"sub_basin_id":316,"agency_id":8,"geocode_id":7573,"hydro_id":null,"qmax":null,"is_key_station":false,"warning_level_m":null,"critical_level_m":null,"critical_level_msl":10.2},"geocode":{"area_code":"5","area_name":{"th":"ภาคใต้","en":"South"},"amphoe_code":"08","amphoe_name":{"th":"คีรีรัฐนิคม","en":"Khiri Rat Nikhom District"},"tumbon_code":"08","tumbon_name":{"th":"ย่านยาว","en":"Yan Yao"},"province_code":"84","province_name":{"th":"สุราษฎร์ธานี","en":"Surat Thani"}},"diff_wl_bank":"9.72","diff_wl_bank_text":"ต่ำกว่าตลิ่ง (ม.)"}</x:t>
  </x:si>
  <x:si>
    <x:t xml:space="preserve">THAIWATER_WL:658</x:t>
  </x:si>
  <x:si>
    <x:t xml:space="preserve">DIV004</x:t>
  </x:si>
  <x:si>
    <x:t xml:space="preserve">คลองผันน้ำยม-น่าน4</x:t>
  </x:si>
  <x:si>
    <x:t xml:space="preserve">{"id":1316368005,"waterlevel_datetime":"2026-10-01 15:10","waterlevel_m":null,"waterlevel_msl":"37.56","waterlevel_msl_previous":"37.57","flow_rate":null,"discharge":null,"storage_percent":"35.78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658,"tele_station_name":{"en":"Yom-Nan4","th":"คลองผันน้ำยม-น่าน4"},"tele_station_lat":16.67167,"tele_station_long":100.24581,"tele_station_oldcode":"DIV004","tele_station_type":"tele_waterlevel","left_bank":43.588,"right_bank":43.201,"min_bank":43.2,"ground_level":34.415,"offset":null,"sub_basin_id":215,"agency_id":9,"geocode_id":6153,"hydro_id":null,"qmax":null,"is_key_station":false,"warning_level_m":null,"critical_level_m":null,"critical_level_msl":null},"geocode":{"area_code":"3","area_name":{"th":"ภาคเหนือ","en":"North"},"amphoe_code":"01","amphoe_name":{"th":"เมืองพิษณุโลก","en":"Mueang Phitsanulok District"},"tumbon_code":"20","tumbon_name":{"th":"งิ้วงาม","en":"Ngio Ngam"},"province_code":"65","province_name":{"th":"พิษณุโลก","en":"Phitsanulok"}},"diff_wl_bank":"5.64","diff_wl_bank_text":"ต่ำกว่าตลิ่ง (ม.)","river_gid":93747,"river_name":"แม่น้ำน่าน"}</x:t>
  </x:si>
  <x:si>
    <x:t xml:space="preserve">THAIWATER_WL:1129758</x:t>
  </x:si>
  <x:si>
    <x:t xml:space="preserve">FOP072</x:t>
  </x:si>
  <x:si>
    <x:t xml:space="preserve">ฝายคลองท่าโลน</x:t>
  </x:si>
  <x:si>
    <x:t xml:space="preserve">{"id":1316367747,"waterlevel_datetime":"2026-10-01 15:10","waterlevel_m":null,"waterlevel_msl":"93.31","waterlevel_msl_previous":"93.31","flow_rate":null,"discharge":null,"storage_percent":"35.69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Foundation","jp":""},"agency_shortname":{"th":"พพภ","en":"FOP","jp":""}},"basin":{"id":27,"basin_code":22,"basin_name":{"th":"ลุ่มน้ำภาคใต้ฝั่งตะวันตก","en":"Peninsula - West Coast Basin"}},"station":{"id":1129758,"tele_station_name":{"en":"Tha Lone Canal Weir","th":"ฝายคลองท่าโลน"},"tele_station_lat":8.218343,"tele_station_long":99.71981,"tele_station_oldcode":"FOP072","tele_station_type":"tele_waterlevel","left_bank":96.752,"right_bank":96.752,"min_bank":96.75,"ground_level":91.4,"offset":null,"sub_basin_id":349,"sponsor_by":"มูลนิธิอาสาเพื่อนพึ่ง (ภาฯ) ยามยาก สภากาชาดไทย","agency_id":91,"geocode_id":7264,"hydro_id":null,"qmax":null,"is_key_station":false,"warning_level_m":null,"critical_level_m":null,"critical_level_msl":null},"geocode":{"area_code":"5","area_name":{"th":"ภาคใต้","en":"South"},"amphoe_code":"09","amphoe_name":{"th":"ทุ่งสง","en":"Thung Song District"},"tumbon_code":"11","tumbon_name":{"th":"ถ้ำใหญ่","en":"Tham Yai"},"province_code":"80","province_name":{"th":"นครศรีธรรมราช","en":"Nakhon Si Thammarat"}},"diff_wl_bank":"3.44","diff_wl_bank_text":"ต่ำกว่าตลิ่ง (ม.)","river_gid":221724,"river_name":"คลองท่าเลา"}</x:t>
  </x:si>
  <x:si>
    <x:t xml:space="preserve">THAIWATER_WL:2589</x:t>
  </x:si>
  <x:si>
    <x:t xml:space="preserve">X.90</x:t>
  </x:si>
  <x:si>
    <x:t xml:space="preserve">บ้านบางศาลา</x:t>
  </x:si>
  <x:si>
    <x:t xml:space="preserve">{"id":1316344742,"waterlevel_datetime":"2026-10-01 14:00","waterlevel_m":null,"waterlevel_msl":"2.76","waterlevel_msl_previous":"2.79","flow_rate":null,"discharge":"38.00","storage_percent":"35.62","sort_order":null,"station_type":"tele_waterlevel","situation_level":3,"agency":{"id":12,"agency_name":{"th":"กรมชลประทาน ","en":"Royal Irrigation Department","jp":""},"agency_shortname":{"th":"ชป.","en":"RID","jp":""}},"basin":{"id":24,"basin_code":20,"basin_name":{"th":"ลุ่มน้ำทะเลสาบสงขลา","en":"Thale Sap Songkhla Basin"}},"station":{"id":2589,"tele_station_name":{"th":"บ้านบางศาลา"},"tele_station_lat":6.93124,"tele_station_long":100.439857,"tele_station_oldcode":"X.90","tele_station_type":"tele_waterlevel","left_bank":11.247,"right_bank":11.25,"min_bank":9.34,"ground_level":-0.881,"offset":null,"sub_basin_id":330,"agency_id":12,"geocode_id":7882,"hydro_id":8,"qmax":777.799988,"is_key_station":true,"warning_level_m":null,"critical_level_m":null,"critical_level_msl":null},"geocode":{"area_code":"5","area_name":{"th":"ภาคใต้","en":"South"},"amphoe_code":"11","amphoe_name":{"th":"หาดใหญ่","en":"Hat Yai District"},"tumbon_code":"16","tumbon_name":{"th":"บ้านพรุ","en":"Ban Phru"},"province_code":"90","province_name":{"th":"สงขลา","en":"Songkhla"}},"diff_wl_bank":"6.58","diff_wl_bank_text":"ต่ำกว่าตลิ่ง (ม.)","river_gid":227685,"river_name":"คลองอู่ตะเภา"}</x:t>
  </x:si>
  <x:si>
    <x:t xml:space="preserve">THAIWATER_WL:9931008</x:t>
  </x:si>
  <x:si>
    <x:t xml:space="preserve">LDD004</x:t>
  </x:si>
  <x:si>
    <x:t xml:space="preserve">บ้านกระยอม </x:t>
  </x:si>
  <x:si>
    <x:t xml:space="preserve">{"id":1316368081,"waterlevel_datetime":"2026-10-01 15:10","waterlevel_m":null,"waterlevel_msl":"136.13","waterlevel_msl_previous":"136.13","flow_rate":null,"discharge":null,"storage_percent":"35.11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Basin"}},"station":{"id":9931008,"tele_station_name":{"en":"Ban Krayom","th":"บ้านกระยอม "},"tele_station_lat":15.82878,"tele_station_long":103.35448,"tele_station_oldcode":"LDD004","tele_station_type":"tele_waterlevel","left_bank":137.5023,"right_bank":137.6983,"min_bank":137.5,"ground_level":135.3813,"offset":null,"sub_basin_id":130,"agency_id":9,"geocode_id":3961,"hydro_id":null,"qmax":null,"is_key_station":false,"warning_level_m":null,"critical_level_m":null,"critical_level_msl":null},"geocode":{"area_code":"4","area_name":{"th":"ภาคตะวันออกเฉียงเหนือ","en":"Northeast"},"amphoe_code":"09","amphoe_name":{"th":"วาปีปทุม","en":"Wapi Pathum District"},"tumbon_code":"01","tumbon_name":{"th":"หนองแสง","en":"Nong Saeng"},"province_code":"44","province_name":{"th":"มหาสารคาม","en":"Maha Sarakham"}},"diff_wl_bank":"1.38","diff_wl_bank_text":"ต่ำกว่าตลิ่ง (ม.)"}</x:t>
  </x:si>
  <x:si>
    <x:t xml:space="preserve">THAIWATER_WL:562799</x:t>
  </x:si>
  <x:si>
    <x:t xml:space="preserve">BLGTD01</x:t>
  </x:si>
  <x:si>
    <x:t xml:space="preserve">สะพานท้ายเขื่อนบางลาง อ.บันนังสตา จ.ยะลา</x:t>
  </x:si>
  <x:si>
    <x:t xml:space="preserve">{"id":1316365669,"waterlevel_datetime":"2026-10-01 15:00","waterlevel_m":null,"waterlevel_msl":"43.23","waterlevel_msl_previous":"43.13","flow_rate":null,"discharge":"105.52","storage_percent":"35.07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Thailand","jp":""},"agency_shortname":{"th":"กฟผ.","en":"EGAT","jp":""}},"basin":{"id":26,"basin_code":21,"basin_name":{"th":"ลุ่มน้ำภาคใต้ฝั่งตะวันออกตอนล่าง","en":"Peninsula - Lower East Coast Basin"}},"station":{"id":562799,"tele_station_name":{"th":"สะพานท้ายเขื่อนบางลาง อ.บันนังสตา จ.ยะลา"},"tele_station_lat":6.160477,"tele_station_long":101.276104,"tele_station_oldcode":"BLGTD01","tele_station_type":"tele_waterlevel","left_bank":48.678,"right_bank":53.585,"min_bank":48.68,"ground_level":40.28,"offset":null,"sub_basin_id":336,"agency_id":8,"geocode_id":8287,"hydro_id":null,"qmax":null,"is_key_station":false,"warning_level_m":null,"critical_level_m":null,"critical_level_msl":48.678},"geocode":{"area_code":"5","area_name":{"th":"ภาคใต้","en":"South"},"amphoe_code":"03","amphoe_name":{"th":"บันนังสตา","en":"Bannang Sata District"},"tumbon_code":"02","tumbon_name":{"th":"บาเจาะ","en":"Bacho"},"province_code":"95","province_name":{"th":"ยะลา","en":"Yala"}},"diff_wl_bank":"5.45","diff_wl_bank_text":"ต่ำกว่าตลิ่ง (ม.)","river_gid":231434,"river_name":"แม่น้ำปัตตานี"}</x:t>
  </x:si>
  <x:si>
    <x:t xml:space="preserve">THAIWATER_WL:489</x:t>
  </x:si>
  <x:si>
    <x:t xml:space="preserve">YOM010</x:t>
  </x:si>
  <x:si>
    <x:t xml:space="preserve">เมืองแพร่</x:t>
  </x:si>
  <x:si>
    <x:t xml:space="preserve">{"id":1316368442,"waterlevel_datetime":"2026-10-01 15:10","waterlevel_m":null,"waterlevel_msl":"145.26","waterlevel_msl_previous":"145.26","flow_rate":null,"discharge":null,"storage_percent":"35.06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Basin"}},"station":{"id":489,"tele_station_name":{"en":"Yom 10","th":"เมืองแพร่"},"tele_station_lat":18.13367,"tele_station_long":100.12458,"tele_station_oldcode":"YOM010","tele_station_type":"tele_waterlevel","left_bank":151.808,"right_bank":154.285,"min_bank":151.81,"ground_level":141.725,"offset":null,"sub_basin_id":205,"agency_id":9,"geocode_id":5182,"hydro_id":null,"qmax":null,"is_key_station":false,"warning_level_m":null,"critical_level_m":null,"critical_level_msl":null},"geocode":{"area_code":"3","area_name":{"th":"ภาคเหนือ","en":"North"},"amphoe_code":"01","amphoe_name":{"th":"เมืองแพร่","en":"Mueang Phrae District"},"tumbon_code":"10","tumbon_name":{"th":"ป่าแมต","en":"Pa Maet"},"province_code":"54","province_name":{"th":"แพร่","en":"Phrae"}},"diff_wl_bank":"6.55","diff_wl_bank_text":"ต่ำกว่าตลิ่ง (ม.)","river_gid":66840,"river_name":"แม่น้ำยม"}</x:t>
  </x:si>
  <x:si>
    <x:t xml:space="preserve">THAIWATER_WL:1198082</x:t>
  </x:si>
  <x:si>
    <x:t xml:space="preserve">NAN016</x:t>
  </x:si>
  <x:si>
    <x:t xml:space="preserve">น้ำสา</x:t>
  </x:si>
  <x:si>
    <x:t xml:space="preserve">แม่น้ำสา</x:t>
  </x:si>
  <x:si>
    <x:t xml:space="preserve">{"id":1316368174,"waterlevel_datetime":"2026-10-01 15:10","waterlevel_m":null,"waterlevel_msl":"228.15","waterlevel_msl_previous":"228.15","flow_rate":null,"discharge":null,"storage_percent":"34.82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Basin"}},"station":{"id":1198082,"tele_station_name":{"en":"Sa water","th":"น้ำสา"},"tele_station_lat":18.584002,"tele_station_long":100.600266,"tele_station_oldcode":"NAN016","tele_station_type":"tele_waterlevel","left_bank":232.077,"right_bank":237.421,"min_bank":232.08,"ground_level":226.052,"offset":null,"sub_basin_id":223,"agency_id":9,"geocode_id":5324,"hydro_id":null,"qmax":null,"is_key_station":false,"warning_level_m":null,"critical_level_m":null,"critical_level_msl":null},"geocode":{"area_code":"3","area_name":{"th":"ภาคเหนือ","en":"North"},"amphoe_code":"07","amphoe_name":{"th":"เวียงสา","en":"Wiang Sa District"},"tumbon_code":"10","tumbon_name":{"th":"ปงสนุก","en":"Pong Sanuk"},"province_code":"55","province_name":{"th":"น่าน","en":"Nan"}},"diff_wl_bank":"3.93","diff_wl_bank_text":"ต่ำกว่าตลิ่ง (ม.)","river_gid":47940,"river_name":"แม่น้ำสา"}</x:t>
  </x:si>
  <x:si>
    <x:t xml:space="preserve">THAIWATER_WL:478</x:t>
  </x:si>
  <x:si>
    <x:t xml:space="preserve">NAN010</x:t>
  </x:si>
  <x:si>
    <x:t xml:space="preserve">{"id":1316368168,"waterlevel_datetime":"2026-10-01 15:10","waterlevel_m":null,"waterlevel_msl":"154.86","waterlevel_msl_previous":"154.87","flow_rate":null,"discharge":null,"storage_percent":"34.68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Basin"}},"station":{"id":478,"tele_station_name":{"en":"Nan 10","th":"น้ำปาด"},"tele_station_lat":17.79087,"tele_station_long":100.74902,"tele_station_oldcode":"NAN010","tele_station_type":"tele_waterlevel","left_bank":162.822,"right_bank":159.459,"min_bank":159.46,"ground_level":152.424,"offset":null,"sub_basin_id":229,"agency_id":9,"geocode_id":5129,"hydro_id":null,"qmax":null,"is_key_station":false,"warning_level_m":null,"critical_level_m":null,"critical_level_msl":null},"geocode":{"area_code":"3","area_name":{"th":"ภาคเหนือ","en":"North"},"amphoe_code":"04","amphoe_name":{"th":"น้ำปาด","en":"Nam Pat District"},"tumbon_code":"02","tumbon_name":{"th":"บ้านฝาย","en":"Ban Fai"},"province_code":"53","province_name":{"th":"อุตรดิตถ์","en":"Uttaradit"}},"diff_wl_bank":"4.59","diff_wl_bank_text":"ต่ำกว่าตลิ่ง (ม.)","river_gid":75982,"river_name":"น้ำปาด"}</x:t>
  </x:si>
  <x:si>
    <x:t xml:space="preserve">THAIWATER_WL:3304</x:t>
  </x:si>
  <x:si>
    <x:t xml:space="preserve">Kh.72</x:t>
  </x:si>
  <x:si>
    <x:t xml:space="preserve">บ้านแม่คำหลักเจ็ด</x:t>
  </x:si>
  <x:si>
    <x:t xml:space="preserve">แม่น้ำคำ</x:t>
  </x:si>
  <x:si>
    <x:t xml:space="preserve">{"id":1316351169,"waterlevel_datetime":"2026-10-01 14:00","waterlevel_m":null,"waterlevel_msl":"395.12","waterlevel_msl_previous":"395.12","flow_rate":null,"discharge":"21.32","storage_percent":"34.66","sort_order":null,"station_type":"tele_waterlevel","situation_level":3,"agency":{"id":12,"agency_name":{"th":"กรมชลประทาน ","en":"Royal Irrigation Department","jp":""},"agency_shortname":{"th":"ชป.","en":"RID","jp":""}},"basin":{"id":2,"basin_code":2,"basin_name":{"th":"ลุ่มน้ำโขงเหนือ","en":"North Khong Basin"}},"station":{"id":3304,"tele_station_name":{"th":"บ้านแม่คำหลักเจ็ด"},"tele_station_lat":20.218361,"tele_station_long":99.856987,"tele_station_oldcode":"Kh.72","tele_station_type":"tele_waterlevel","left_bank":793.187994,"right_bank":793.1579939999999,"min_bank":398.4,"ground_level":393.38,"offset":393.399994,"sub_basin_id":24,"agency_id":12,"geocode_id":5525,"hydro_id":1,"qmax":170.5,"is_key_station":true,"warning_level_m":null,"critical_level_m":null,"critical_level_msl":null},"geocode":{"area_code":"3","area_name":{"th":"ภาคเหนือ","en":"North"},"amphoe_code":"07","amphoe_name":{"th":"แม่จัน","en":"Mae Chan District"},"tumbon_code":"11","tumbon_name":{"th":"ศรีค้ำ","en":"Si Kham"},"province_code":"57","province_name":{"th":"เชียงราย","en":"Chiang Rai"}},"diff_wl_bank":"3.28","diff_wl_bank_text":"ต่ำกว่าตลิ่ง (ม.)","river_gid":1200,"river_name":"แม่น้ำคำ"}</x:t>
  </x:si>
  <x:si>
    <x:t xml:space="preserve">THAIWATER_WL:1099005</x:t>
  </x:si>
  <x:si>
    <x:t xml:space="preserve">W.10B</x:t>
  </x:si>
  <x:si>
    <x:t xml:space="preserve">บ้านแลง</x:t>
  </x:si>
  <x:si>
    <x:t xml:space="preserve">{"id":1316351173,"waterlevel_datetime":"2026-10-01 14:00","waterlevel_m":null,"waterlevel_msl":"259.59","waterlevel_msl_previous":"259.59","flow_rate":null,"discharge":"19.95","storage_percent":"34.59","sort_order":null,"station_type":"tele_waterlevel","situation_level":3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1099005,"tele_station_name":{"th":"บ้านแลง"},"tele_station_lat":18.51882,"tele_station_long":99.629997,"tele_station_oldcode":"W.10B","tele_station_type":"tele_waterlevel","left_bank":527.274988,"right_bank":527.2099880000001,"min_bank":263.9,"ground_level":257.311,"offset":257.299988,"sub_basin_id":188,"agency_id":12,"geocode_id":4989,"hydro_id":1,"qmax":436,"is_key_station":true,"warning_level_m":null,"critical_level_m":null,"critical_level_msl":null},"geocode":{"area_code":"3","area_name":{"th":"ภาคเหนือ","en":"North"},"amphoe_code":"01","amphoe_name":{"th":"เมืองลำปาง","en":"Mueang Lampang District"},"tumbon_code":"09","tumbon_name":{"th":"บ้านแลง","en":"Ban Laeng"},"province_code":"52","province_name":{"th":"ลำปาง","en":"Lampang"}},"diff_wl_bank":"4.31","diff_wl_bank_text":"ต่ำกว่าตลิ่ง (ม.)","river_gid":52155,"river_name":"แม่น้ำวัง"}</x:t>
  </x:si>
  <x:si>
    <x:t xml:space="preserve">THAIWATER_WL:860</x:t>
  </x:si>
  <x:si>
    <x:t xml:space="preserve">SLA002</x:t>
  </x:si>
  <x:si>
    <x:t xml:space="preserve">คลองหอยโข่ง</x:t>
  </x:si>
  <x:si>
    <x:t xml:space="preserve">{"id":1316368328,"waterlevel_datetime":"2026-10-01 15:10","waterlevel_m":null,"waterlevel_msl":"2.56","waterlevel_msl_previous":"2.58","flow_rate":null,"discharge":null,"storage_percent":"34.52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Basin"}},"station":{"id":860,"tele_station_name":{"en":"Song Khla Lake 2","th":"คลองหอยโข่ง"},"tele_station_lat":6.931234,"tele_station_long":100.43985,"tele_station_oldcode":"SLA002","tele_station_type":"tele_waterlevel","left_bank":9.339,"right_bank":11.211,"min_bank":9.34,"ground_level":-1.013,"offset":null,"sub_basin_id":330,"agency_id":9,"geocode_id":7913,"hydro_id":null,"qmax":null,"is_key_station":false,"warning_level_m":null,"critical_level_m":null,"critical_level_msl":null},"geocode":{"area_code":"5","area_name":{"th":"ภาคใต้","en":"South"},"amphoe_code":"16","amphoe_name":{"th":"คลองหอยโข่ง","en":"Khlong Hoi Khong District"},"tumbon_code":"02","tumbon_name":{"th":"ทุ่งลาน","en":"Thung Lan"},"province_code":"90","province_name":{"th":"สงขลา","en":"Songkhla"}},"diff_wl_bank":"6.78","diff_wl_bank_text":"ต่ำกว่าตลิ่ง (ม.)","river_gid":227685,"river_name":"คลองอู่ตะเภา"}</x:t>
  </x:si>
  <x:si>
    <x:t xml:space="preserve">THAIWATER_WL:1095878</x:t>
  </x:si>
  <x:si>
    <x:t xml:space="preserve">X.283</x:t>
  </x:si>
  <x:si>
    <x:t xml:space="preserve">บ้านปรีกี</x:t>
  </x:si>
  <x:si>
    <x:t xml:space="preserve">{"id":1316344843,"waterlevel_datetime":"2026-10-01 14:00","waterlevel_m":null,"waterlevel_msl":"4.81","waterlevel_msl_previous":"4.84","flow_rate":null,"discharge":null,"storage_percent":"34.49","sort_order":null,"station_type":"tele_waterlevel","situation_level":3,"agency":{"id":12,"agency_name":{"th":"กรมชลประทาน ","en":"Royal Irrigation Department","jp":""},"agency_shortname":{"th":"ชป.","en":"RID","jp":""}},"basin":{"id":26,"basin_code":21,"basin_name":{"th":"ลุ่มน้ำภาคใต้ฝั่งตะวันออกตอนล่าง","en":"Peninsula - Lower East Coast Basin"}},"station":{"id":1095878,"tele_station_name":{"th":"บ้านปรีกี"},"tele_station_lat":6.715493,"tele_station_long":101.285399,"tele_station_oldcode":"X.283","tele_station_type":"tele_waterlevel","left_bank":11.255,"right_bank":11.214,"min_bank":10,"ground_level":2.077,"offset":0,"sub_basin_id":336,"agency_id":12,"geocode_id":8250,"hydro_id":8,"qmax":460,"is_key_station":true,"warning_level_m":null,"critical_level_m":null,"critical_level_msl":null},"geocode":{"area_code":"5","area_name":{"th":"ภาคใต้","en":"South"},"amphoe_code":"10","amphoe_name":{"th":"ยะรัง","en":"Yarang District"},"tumbon_code":"08","tumbon_name":{"th":"กระโด","en":"Krado"},"province_code":"94","province_name":{"th":"ปัตตานี","en":"Pattani"}},"diff_wl_bank":"5.19","diff_wl_bank_text":"ต่ำกว่าตลิ่ง (ม.)","river_gid":228847,"river_name":"แม่น้ำปัตตานี"}</x:t>
  </x:si>
  <x:si>
    <x:t xml:space="preserve">THAIWATER_WL:1422303</x:t>
  </x:si>
  <x:si>
    <x:t xml:space="preserve">BBD10</x:t>
  </x:si>
  <x:si>
    <x:t xml:space="preserve">แม่น้ำวังที่ อ.สามเงา (W.4A)</x:t>
  </x:si>
  <x:si>
    <x:t xml:space="preserve">{"id":1316366313,"waterlevel_datetime":"2026-10-01 15:00","waterlevel_m":null,"waterlevel_msl":"134.59","waterlevel_msl_previous":"134.59","flow_rate":null,"discharge":null,"storage_percent":"34.48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Thailand","jp":""},"agency_shortname":{"th":"กฟผ.","en":"EGAT","jp":""}},"basin":{"id":7,"basin_code":7,"basin_name":{"th":"ลุ่มน้ำวัง","en":"Wang Basin"}},"station":{"id":1422303,"tele_station_name":{"th":"แม่น้ำวังที่ อ.สามเงา (W.4A)"},"tele_station_lat":17.204904,"tele_station_long":99.098093,"tele_station_oldcode":"BBD10","tele_station_type":"tele_waterlevel","left_bank":142.773,"right_bank":142.715,"min_bank":142.72,"ground_level":130.311,"offset":null,"sub_basin_id":196,"agency_id":8,"geocode_id":5989,"hydro_id":null,"qmax":null,"is_key_station":false,"warning_level_m":null,"critical_level_m":null,"critical_level_msl":138},"geocode":{"area_code":"3","area_name":{"th":"ภาคเหนือ","en":"North"},"amphoe_code":"03","amphoe_name":{"th":"สามเงา","en":"Sam Ngao District"},"tumbon_code":"02","tumbon_name":{"th":"วังหมัน","en":"Wang Man"},"province_code":"63","province_name":{"th":"ตาก","en":"Tak"}},"diff_wl_bank":"8.13","diff_wl_bank_text":"ต่ำกว่าตลิ่ง (ม.)"}</x:t>
  </x:si>
  <x:si>
    <x:t xml:space="preserve">THAIWATER_WL:3205</x:t>
  </x:si>
  <x:si>
    <x:t xml:space="preserve">Y.20</x:t>
  </x:si>
  <x:si>
    <x:t xml:space="preserve">บ้านห้วยสัก</x:t>
  </x:si>
  <x:si>
    <x:t xml:space="preserve">{"id":1316351147,"waterlevel_datetime":"2026-10-01 14:00","waterlevel_m":null,"waterlevel_msl":"182.89","waterlevel_msl_previous":"182.89","flow_rate":null,"discharge":"49.50","storage_percent":"34.41","sort_order":null,"station_type":"tele_waterlevel","situation_level":3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3205,"tele_station_name":{"th":"บ้านห้วยสัก"},"tele_station_lat":18.58613,"tele_station_long":100.151337,"tele_station_oldcode":"Y.20","tele_station_type":"tele_waterlevel","left_bank":374.51,"right_bank":374.63800000000003,"min_bank":190,"ground_level":179.16,"offset":181,"sub_basin_id":203,"agency_id":12,"geocode_id":5238,"hydro_id":1,"qmax":1104,"is_key_station":true,"warning_level_m":null,"critical_level_m":null,"critical_level_msl":null},"geocode":{"area_code":"3","area_name":{"th":"ภาคเหนือ","en":"North"},"amphoe_code":"06","amphoe_name":{"th":"สอง","en":"Song District"},"tumbon_code":"04","tumbon_name":{"th":"เตาปูน","en":"Tao Pun"},"province_code":"54","province_name":{"th":"แพร่","en":"Phrae"}},"diff_wl_bank":"7.11","diff_wl_bank_text":"ต่ำกว่าตลิ่ง (ม.)","river_gid":47899,"river_name":"แม่น้ำยม"}</x:t>
  </x:si>
  <x:si>
    <x:t xml:space="preserve">THAIWATER_WL:3221</x:t>
  </x:si>
  <x:si>
    <x:t xml:space="preserve">N.75</x:t>
  </x:si>
  <x:si>
    <x:t xml:space="preserve">สะพานท่าลี่</x:t>
  </x:si>
  <x:si>
    <x:t xml:space="preserve">แม่น้ำน้ำว้า</x:t>
  </x:si>
  <x:si>
    <x:t xml:space="preserve">{"id":1316351096,"waterlevel_datetime":"2026-10-01 14:00","waterlevel_m":null,"waterlevel_msl":"185.27","waterlevel_msl_previous":"185.28","flow_rate":null,"discharge":"62.88","storage_percent":"34.38","sort_order":null,"station_type":"tele_waterlevel","situation_level":3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3221,"tele_station_name":{"th":"สะพานท่าลี่"},"tele_station_lat":18.548229,"tele_station_long":100.808617,"tele_station_oldcode":"N.75","tele_station_type":"tele_waterlevel","left_bank":379.42900299999997,"right_bank":379.391003,"min_bank":192.8,"ground_level":181.325,"offset":182.800003,"sub_basin_id":225,"agency_id":12,"geocode_id":5317,"hydro_id":1,"qmax":745.049988,"is_key_station":true,"warning_level_m":null,"critical_level_m":null,"critical_level_msl":null},"geocode":{"area_code":"3","area_name":{"th":"ภาคเหนือ","en":"North"},"amphoe_code":"07","amphoe_name":{"th":"เวียงสา","en":"Wiang Sa District"},"tumbon_code":"03","tumbon_name":{"th":"ไหล่น่าน","en":"Lai Nan"},"province_code":"55","province_name":{"th":"น่าน","en":"Nan"}},"diff_wl_bank":"7.53","diff_wl_bank_text":"ต่ำกว่าตลิ่ง (ม.)","river_gid":49459,"river_name":"แม่น้ำน้ำว้า"}</x:t>
  </x:si>
  <x:si>
    <x:t xml:space="preserve">THAIWATER_WL:12350</x:t>
  </x:si>
  <x:si>
    <x:t xml:space="preserve">TNG006</x:t>
  </x:si>
  <x:si>
    <x:t xml:space="preserve">รัษฎา</x:t>
  </x:si>
  <x:si>
    <x:t xml:space="preserve">{"id":1316368394,"waterlevel_datetime":"2026-10-01 15:10","waterlevel_m":null,"waterlevel_msl":"19.62","waterlevel_msl_previous":"19.62","flow_rate":null,"discharge":null,"storage_percent":"34.31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Basin"}},"station":{"id":12350,"tele_station_name":{"en":"Trang 6","th":"รัษฎา"},"tele_station_lat":7.96409,"tele_station_long":99.59775,"tele_station_oldcode":"TNG006","tele_station_type":"tele_waterlevel","left_bank":25.605,"right_bank":24.445,"min_bank":24.45,"ground_level":17.1,"offset":null,"sub_basin_id":349,"agency_id":9,"geocode_id":8049,"hydro_id":null,"qmax":null,"is_key_station":false,"warning_level_m":null,"critical_level_m":null,"critical_level_msl":null},"geocode":{"area_code":"5","area_name":{"th":"ภาคใต้","en":"South"},"amphoe_code":"09","amphoe_name":{"th":"รัษฎา","en":"Ratsada District"},"tumbon_code":"01","tumbon_name":{"th":"ควนเมา","en":"Khuan Mao"},"province_code":"92","province_name":{"th":"ตรัง","en":"Trang"}},"diff_wl_bank":"4.82","diff_wl_bank_text":"ต่ำกว่าตลิ่ง (ม.)","river_gid":222923,"river_name":"แม่น้ำตรัง"}</x:t>
  </x:si>
  <x:si>
    <x:t xml:space="preserve">THAIWATER_WL:2706</x:t>
  </x:si>
  <x:si>
    <x:t xml:space="preserve">S.7A</x:t>
  </x:si>
  <x:si>
    <x:t xml:space="preserve">วัดท่าระหัด</x:t>
  </x:si>
  <x:si>
    <x:t xml:space="preserve">ห้วยหมวกเหล็ก</x:t>
  </x:si>
  <x:si>
    <x:t xml:space="preserve">{"id":1316341302,"waterlevel_datetime":"2026-10-01 14:00","waterlevel_m":null,"waterlevel_msl":"44.34","waterlevel_msl_previous":"44.34","flow_rate":null,"discharge":null,"storage_percent":"34.29","sort_order":null,"station_type":"tele_waterlevel","situation_level":3,"agency":{"id":12,"agency_name":{"th":"กรมชลประทาน ","en":"Royal Irrigation Department","jp":""},"agency_shortname":{"th":"ชป.","en":"RID","jp":""}},"basin":{"id":13,"basin_code":12,"basin_name":{"th":"ลุ่มน้ำป่าสัก","en":"Pasak Basin"}},"station":{"id":2706,"tele_station_name":{"th":"วัดท่าระหัด"},"tele_station_lat":14.78944,"tele_station_long":101.117104,"tele_station_oldcode":"S.7A","tele_station_type":"tele_waterlevel","left_bank":52.795,"right_bank":52.939,"min_bank":49.4,"ground_level":41.7,"offset":null,"sub_basin_id":256,"agency_id":12,"geocode_id":1065,"hydro_id":5,"qmax":220,"is_key_station":false,"warning_level_m":null,"critical_level_m":null,"critical_level_msl":null},"geocode":{"area_code":"2","area_name":{"th":"ภาคกลาง","en":"Central"},"amphoe_code":"12","amphoe_name":{"th":"วังม่วง","en":"Wang Muang District"},"tumbon_code":"02","tumbon_name":{"th":"คำพราน","en":"Kham Phran"},"province_code":"19","province_name":{"th":"สระบุรี","en":"Saraburi"}},"diff_wl_bank":"5.06","diff_wl_bank_text":"ต่ำกว่าตลิ่ง (ม.)","river_gid":179423,"river_name":"ห้วยหมวกเหล็ก"}</x:t>
  </x:si>
  <x:si>
    <x:t xml:space="preserve">THAIWATER_WL:2634</x:t>
  </x:si>
  <x:si>
    <x:t xml:space="preserve">X.234</x:t>
  </x:si>
  <x:si>
    <x:t xml:space="preserve">บ้านป่าหมาก</x:t>
  </x:si>
  <x:si>
    <x:t xml:space="preserve">{"id":1316344776,"waterlevel_datetime":"2026-10-01 14:00","waterlevel_m":null,"waterlevel_msl":"0.96","waterlevel_msl_previous":"0.71","flow_rate":null,"discharge":"25.80","storage_percent":"34.26","sort_order":null,"station_type":"tele_waterlevel","situation_level":3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2634,"tele_station_name":{"th":"บ้านป่าหมาก"},"tele_station_lat":7.58883,"tele_station_long":99.576874,"tele_station_oldcode":"X.234","tele_station_type":"tele_waterlevel","left_bank":8.046,"right_bank":8.122,"min_bank":6.4,"ground_level":-1.875,"offset":null,"sub_basin_id":349,"agency_id":12,"geocode_id":7973,"hydro_id":8,"qmax":425,"is_key_station":true,"warning_level_m":null,"critical_level_m":null,"critical_level_msl":null},"geocode":{"area_code":"5","area_name":{"th":"ภาคใต้","en":"South"},"amphoe_code":"01","amphoe_name":{"th":"เมืองตรัง","en":"Mueang Trang District"},"tumbon_code":"17","tumbon_name":{"th":"นาตาล่วง","en":"Na Ta Luang"},"province_code":"92","province_name":{"th":"ตรัง","en":"Trang"}},"diff_wl_bank":"5.44","diff_wl_bank_text":"ต่ำกว่าตลิ่ง (ม.)","river_gid":224630,"river_name":"แม่น้ำตรัง"}</x:t>
  </x:si>
  <x:si>
    <x:t xml:space="preserve">THAIWATER_WL:2963</x:t>
  </x:si>
  <x:si>
    <x:t xml:space="preserve">P.2A</x:t>
  </x:si>
  <x:si>
    <x:t xml:space="preserve">บ้านท่าแค</x:t>
  </x:si>
  <x:si>
    <x:t xml:space="preserve">{"id":1316341591,"waterlevel_datetime":"2026-10-01 14:00","waterlevel_m":null,"waterlevel_msl":"105.04","waterlevel_msl_previous":"105.04","flow_rate":null,"discharge":"290.50","storage_percent":"33.98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2963,"tele_station_name":{"th":"บ้านท่าแค"},"tele_station_lat":16.855261,"tele_station_long":99.124489,"tele_station_oldcode":"P.2A","tele_station_type":"tele_waterlevel","left_bank":213.82999999999998,"right_bank":213.763,"min_bank":109.78,"ground_level":102.6,"offset":104,"sub_basin_id":179,"agency_id":12,"geocode_id":8496,"hydro_id":2,"qmax":2600,"is_key_station":true,"warning_level_m":null,"critical_level_m":null,"critical_level_msl":null},"geocode":{"area_code":"3","area_name":{"th":"ภาคเหนือ","en":"North"},"amphoe_code":"01","amphoe_name":{"th":"เมืองตาก","en":"Mueang Tak District"},"tumbon_code":"91","tumbon_name":{"th":"เทศบาลเมืองตาก","en":"Tak Town Municipality"},"province_code":"63","province_name":{"th":"ตาก","en":"Tak"}},"diff_wl_bank":"4.74","diff_wl_bank_text":"ต่ำกว่าตลิ่ง (ม.)","river_gid":91961,"river_name":"แม่น้ำปิง"}</x:t>
  </x:si>
  <x:si>
    <x:t xml:space="preserve">THAIWATER_WL:1095875</x:t>
  </x:si>
  <x:si>
    <x:t xml:space="preserve">X.113</x:t>
  </x:si>
  <x:si>
    <x:t xml:space="preserve">บ้านทุ่งปราบ</x:t>
  </x:si>
  <x:si>
    <x:t xml:space="preserve">คลองหล้าปัง</x:t>
  </x:si>
  <x:si>
    <x:t xml:space="preserve">{"id":1316344746,"waterlevel_datetime":"2026-10-01 14:00","waterlevel_m":null,"waterlevel_msl":"33.08","waterlevel_msl_previous":"33.24","flow_rate":null,"discharge":"4.40","storage_percent":"33.97","sort_order":null,"station_type":"tele_waterlevel","situation_level":3,"agency":{"id":12,"agency_name":{"th":"กรมชลประทาน ","en":"Royal Irrigation Department","jp":""},"agency_shortname":{"th":"ชป.","en":"RID","jp":""}},"basin":{"id":24,"basin_code":20,"basin_name":{"th":"ลุ่มน้ำทะเลสาบสงขลา","en":"Thale Sap Songkhla Basin"}},"station":{"id":1095875,"tele_station_name":{"th":"บ้านทุ่งปราบ"},"tele_station_lat":6.63504,"tele_station_long":100.39341,"tele_station_oldcode":"X.113","tele_station_type":"tele_waterlevel","left_bank":37.914,"right_bank":37.906,"min_bank":36.48,"ground_level":31.331,"offset":0,"sub_basin_id":330,"agency_id":12,"geocode_id":7861,"hydro_id":8,"qmax":109.800003051757,"is_key_station":false,"warning_level_m":null,"critical_level_m":null,"critical_level_msl":null},"geocode":{"area_code":"5","area_name":{"th":"ภาคใต้","en":"South"},"amphoe_code":"10","amphoe_name":{"th":"สะเดา","en":"Sadao District"},"tumbon_code":"01","tumbon_name":{"th":"สะเดา","en":"Sadao"},"province_code":"90","province_name":{"th":"สงขลา","en":"Songkhla"}},"diff_wl_bank":"3.40","diff_wl_bank_text":"ต่ำกว่าตลิ่ง (ม.)","river_gid":229406,"river_name":"คลองหล้าปัง"}</x:t>
  </x:si>
  <x:si>
    <x:t xml:space="preserve">THAIWATER_WL:11648256</x:t>
  </x:si>
  <x:si>
    <x:t xml:space="preserve">SKT002</x:t>
  </x:si>
  <x:si>
    <x:t xml:space="preserve">คลองแม่มอก</x:t>
  </x:si>
  <x:si>
    <x:t xml:space="preserve">{"id":1316368325,"waterlevel_datetime":"2026-10-01 15:10","waterlevel_m":null,"waterlevel_msl":"57.62","waterlevel_msl_previous":"57.62","flow_rate":null,"discharge":null,"storage_percent":"33.96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Basin"}},"station":{"id":11648256,"tele_station_name":{"en":"Mae Mok Canal","th":"คลองแม่มอก"},"tele_station_lat":17.22242,"tele_station_long":99.70545,"tele_station_oldcode":"SKT002","tele_station_type":"tele_waterlevel","left_bank":60.79,"right_bank":61.007,"min_bank":60.79,"ground_level":55.993,"offset":null,"sub_basin_id":210,"agency_id":9,"geocode_id":6118,"hydro_id":null,"qmax":null,"is_key_station":false,"warning_level_m":null,"critical_level_m":null,"critical_level_msl":null},"geocode":{"area_code":"3","area_name":{"th":"ภาคเหนือ","en":"North"},"amphoe_code":"07","amphoe_name":{"th":"สวรรคโลก","en":"Sawankhalok District"},"tumbon_code":"13","tumbon_name":{"th":"เมืองบางขลัง","en":"Mueang Bang Khlang"},"province_code":"64","province_name":{"th":"สุโขทัย","en":"Sukhothai"}},"diff_wl_bank":"3.17","diff_wl_bank_text":"ต่ำกว่าตลิ่ง (ม.)"}</x:t>
  </x:si>
  <x:si>
    <x:t xml:space="preserve">THAIWATER_WL:380</x:t>
  </x:si>
  <x:si>
    <x:t xml:space="preserve">CHI013</x:t>
  </x:si>
  <x:si>
    <x:t xml:space="preserve">ยางตลาด</x:t>
  </x:si>
  <x:si>
    <x:t xml:space="preserve">ลำพาน</x:t>
  </x:si>
  <x:si>
    <x:t xml:space="preserve">{"id":1316367968,"waterlevel_datetime":"2026-10-01 15:10","waterlevel_m":null,"waterlevel_msl":"136.20","waterlevel_msl_previous":"136.20","flow_rate":null,"discharge":null,"storage_percent":"33.89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Organization)","jp":""},"agency_shortname":{"th":"สสน.","en":"HII","jp":""}},"basin":{"id":4,"basin_code":4,"basin_name":{"th":"ลุ่มน้ำชี","en":"Chi Basin Basin"}},"station":{"id":380,"tele_station_name":{"en":"Yang Talad","th":"ยางตลาด"},"tele_station_lat":16.411083,"tele_station_long":103.467125,"tele_station_oldcode":"CHI013","tele_station_type":"tele_waterlevel","left_bank":144.707,"right_bank":144.299,"min_bank":144.3,"ground_level":132.049,"offset":null,"sub_basin_id":99,"agency_id":9,"geocode_id":4286,"hydro_id":null,"qmax":null,"is_key_station":false,"warning_level_m":null,"critical_level_m":null,"critical_level_msl":null},"geocode":{"area_code":"4","area_name":{"th":"ภาคตะวันออกเฉียงเหนือ","en":"Northeast"},"amphoe_code":"07","amphoe_name":{"th":"ยางตลาด","en":"Yang Talat District"},"tumbon_code":"09","tumbon_name":{"th":"ดอนสมบูรณ์","en":"Don Sombun"},"province_code":"46","province_name":{"th":"กาฬสินธุ์","en":"Kalasin"}},"diff_wl_bank":"8.10","diff_wl_bank_text":"ต่ำกว่าตลิ่ง (ม.)","river_gid":131028,"river_name":"ลำพาน"}</x:t>
  </x:si>
  <x:si>
    <x:t xml:space="preserve">THAIWATER_WL:1109491</x:t>
  </x:si>
  <x:si>
    <x:t xml:space="preserve">ONE002</x:t>
  </x:si>
  <x:si>
    <x:t xml:space="preserve">สะพานข้ามคลองกระบี่ใหญ่ 1</x:t>
  </x:si>
  <x:si>
    <x:t xml:space="preserve">{"id":1316368181,"waterlevel_datetime":"2026-10-01 15:10","waterlevel_m":null,"waterlevel_msl":"23.76","waterlevel_msl_previous":"23.76","flow_rate":null,"discharge":null,"storage_percent":"33.86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Basin"}},"station":{"id":1109491,"tele_station_name":{"en":"Krabi Yai 1 Bridge","th":"สะพานข้ามคลองกระบี่ใหญ่ 1"},"tele_station_lat":8.187541,"tele_station_long":98.87916,"tele_station_oldcode":"ONE002","tele_station_type":"tele_waterlevel","left_bank":26.159,"right_bank":26.738,"min_bank":26.16,"ground_level":22.532,"offset":null,"sub_basin_id":345,"agency_id":9,"geocode_id":7373,"hydro_id":null,"qmax":null,"is_key_station":false,"warning_level_m":null,"critical_level_m":null,"critical_level_msl":null},"geocode":{"area_code":"5","area_name":{"th":"ภาคใต้","en":"South"},"amphoe_code":"01","amphoe_name":{"th":"เมืองกระบี่","en":"Mueang Krabi District"},"tumbon_code":"11","tumbon_name":{"th":"ทับปริก","en":"Thap Prik"},"province_code":"81","province_name":{"th":"กระบี่","en":"Krabi"}},"diff_wl_bank":"2.40","diff_wl_bank_text":"ต่ำกว่าตลิ่ง (ม.)","river_gid":221924,"river_name":"คลองกระบี่ใหญ่"}</x:t>
  </x:si>
  <x:si>
    <x:t xml:space="preserve">THAIWATER_WL:3286</x:t>
  </x:si>
  <x:si>
    <x:t xml:space="preserve">P.92</x:t>
  </x:si>
  <x:si>
    <x:t xml:space="preserve">บ้านเมืองกึ๊ด</x:t>
  </x:si>
  <x:si>
    <x:t xml:space="preserve">แม่น้ำแม่แตง</x:t>
  </x:si>
  <x:si>
    <x:t xml:space="preserve">{"id":1316351136,"waterlevel_datetime":"2026-10-01 14:00","waterlevel_m":null,"waterlevel_msl":"441.55","waterlevel_msl_previous":"441.55","flow_rate":null,"discharge":"46.50","storage_percent":"33.84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3286,"tele_station_name":{"th":"บ้านเมืองกึ๊ด"},"tele_station_lat":19.220449,"tele_station_long":98.847214,"tele_station_oldcode":"P.92","tele_station_type":"tele_waterlevel","left_bank":888.065015,"right_bank":888.060015,"min_bank":444.14,"ground_level":440.225,"offset":440.640015,"sub_basin_id":159,"agency_id":12,"geocode_id":4761,"hydro_id":1,"qmax":331.25,"is_key_station":true,"warning_level_m":null,"critical_level_m":null,"critical_level_msl":null},"geocode":{"area_code":"3","area_name":{"th":"ภาคเหนือ","en":"North"},"amphoe_code":"06","amphoe_name":{"th":"แม่แตง","en":"Mae Taeng District"},"tumbon_code":"12","tumbon_name":{"th":"กื้ดช้าง","en":"Kuet Chang"},"province_code":"50","province_name":{"th":"เชียงใหม่","en":"Chiang Mai"}},"diff_wl_bank":"2.59","diff_wl_bank_text":"ต่ำกว่าตลิ่ง (ม.)","river_gid":21829,"river_name":"แม่น้ำแม่แตง"}</x:t>
  </x:si>
  <x:si>
    <x:t xml:space="preserve">THAIWATER_WL:3156</x:t>
  </x:si>
  <x:si>
    <x:t xml:space="preserve">P.14A</x:t>
  </x:si>
  <x:si>
    <x:t xml:space="preserve">สะพานท่าข้าม</x:t>
  </x:si>
  <x:si>
    <x:t xml:space="preserve">น้ำแม่แจ่ม</x:t>
  </x:si>
  <x:si>
    <x:t xml:space="preserve">{"id":1316268553,"waterlevel_datetime":"2026-10-01 11:00","waterlevel_m":null,"waterlevel_msl":"262.03","waterlevel_msl_previous":"262.03","flow_rate":null,"discharge":"93.90","storage_percent":"33.79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3156,"tele_station_name":{"th":"สะพานท่าข้าม"},"tele_station_lat":18.20228,"tele_station_long":98.614441,"tele_station_oldcode":"P.14A","tele_station_type":"tele_waterlevel","left_bank":530.077985,"right_bank":530.096985,"min_bank":264.86,"ground_level":260.586,"offset":261.859985,"sub_basin_id":172,"agency_id":12,"geocode_id":4859,"hydro_id":1,"qmax":null,"is_key_station":false,"warning_level_m":null,"critical_level_m":null,"critical_level_msl":null},"geocode":{"area_code":"3","area_name":{"th":"ภาคเหนือ","en":"North"},"amphoe_code":"16","amphoe_name":{"th":"ฮอด","en":"Hot District"},"tumbon_code":"01","tumbon_name":{"th":"หางดง","en":"Hang Dong"},"province_code":"50","province_name":{"th":"เชียงใหม่","en":"Chiang Mai"}},"diff_wl_bank":"2.83","diff_wl_bank_text":"ต่ำกว่าตลิ่ง (ม.)","river_gid":64308,"river_name":"น้ำแม่แจ่ม"}</x:t>
  </x:si>
  <x:si>
    <x:t xml:space="preserve">THAIWATER_WL:700584</x:t>
  </x:si>
  <x:si>
    <x:t xml:space="preserve">MKVKD01</x:t>
  </x:si>
  <x:si>
    <x:t xml:space="preserve">อ.ทองผาภูมิ</x:t>
  </x:si>
  <x:si>
    <x:t xml:space="preserve">{"id":1316366857,"waterlevel_datetime":"2026-10-01 15:00","waterlevel_m":null,"waterlevel_msl":"80.47","waterlevel_msl_previous":"80.50","flow_rate":null,"discharge":"777.93","storage_percent":"33.75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700584,"tele_station_name":{"th":"อ.ทองผาภูมิ"},"tele_station_lat":14.73758,"tele_station_long":98.63576,"tele_station_oldcode":"MKVKD01","tele_station_type":"tele_waterlevel","left_bank":92.74,"right_bank":98.42,"min_bank":92.74,"ground_level":74.22,"offset":null,"sub_basin_id":271,"agency_id":8,"geocode_id":6651,"hydro_id":null,"qmax":null,"is_key_station":false,"warning_level_m":null,"critical_level_m":null,"critical_level_msl":0},"geocode":{"area_code":"2","area_name":{"th":"ภาคกลาง","en":"Central"},"amphoe_code":"07","amphoe_name":{"th":"ทองผาภูมิ","en":"Thong Pha Phum District"},"tumbon_code":"01","tumbon_name":{"th":"ท่าขนุน","en":"Tha Khanun"},"province_code":"71","province_name":{"th":"กาญจนบุรี","en":"Kanchanaburi"}},"diff_wl_bank":"12.27","diff_wl_bank_text":"ต่ำกว่าตลิ่ง (ม.)","river_gid":180021,"river_name":"แม่น้ำแควน้อย"}</x:t>
  </x:si>
  <x:si>
    <x:t xml:space="preserve">THAIWATER_WL:740533</x:t>
  </x:si>
  <x:si>
    <x:t xml:space="preserve">AIT003</x:t>
  </x:si>
  <x:si>
    <x:t xml:space="preserve">สะพานห้วยน้ำฮวย</x:t>
  </x:si>
  <x:si>
    <x:t xml:space="preserve">ห้วยน้ำฮวย</x:t>
  </x:si>
  <x:si>
    <x:t xml:space="preserve">2026-10-01T09:00:00+07:00</x:t>
  </x:si>
  <x:si>
    <x:t xml:space="preserve">{"id":1316198821,"waterlevel_datetime":"2026-10-01 09:00","waterlevel_m":null,"waterlevel_msl":"169.82","waterlevel_msl_previous":"169.82","flow_rate":null,"discharge":null,"storage_percent":"33.74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Basin"}},"station":{"id":740533,"tele_station_name":{"en":"Huay Nam Huay Bridge","th":"สะพานห้วยน้ำฮวย"},"tele_station_lat":18.151169,"tele_station_long":102.17911,"tele_station_oldcode":"AIT003","tele_station_type":"tele_waterlevel","left_bank":175.357,"right_bank":177.572,"min_bank":175.36,"ground_level":167,"offset":null,"sub_basin_id":47,"sponsor_by":"สถาบันเทคโนโลยีแห่งเอเชีย","agency_id":9,"geocode_id":3803,"hydro_id":null,"qmax":null,"is_key_station":false,"warning_level_m":null,"critical_level_m":null,"critical_level_msl":null},"geocode":{"area_code":"4","area_name":{"th":"ภาคตะวันออกเฉียงเหนือ","en":"Northeast"},"amphoe_code":"08","amphoe_name":{"th":"สังคม","en":"Sakhrai District"},"tumbon_code":"03","tumbon_name":{"th":"บ้านม่วง","en":"Ban Muang"},"province_code":"43","province_name":{"th":"หนองคาย","en":"Nong Khai"}},"diff_wl_bank":"5.54","diff_wl_bank_text":"ต่ำกว่าตลิ่ง (ม.)","river_gid":107626,"river_name":"ห้วยน้ำฮวย"}</x:t>
  </x:si>
  <x:si>
    <x:t xml:space="preserve">THAIWATER_WL:2573</x:t>
  </x:si>
  <x:si>
    <x:t xml:space="preserve">K.31</x:t>
  </x:si>
  <x:si>
    <x:t xml:space="preserve">ตลิ่ง ณ สถานี K.31 บ้านน้ำโจน</x:t>
  </x:si>
  <x:si>
    <x:t xml:space="preserve">{"id":1316004499,"waterlevel_datetime":"2026-10-01 23:00","waterlevel_m":null,"waterlevel_msl":"60.55","waterlevel_msl_previous":"60.58","flow_rate":null,"discharge":"190.50","storage_percent":"33.74","sort_order":null,"station_type":"tele_waterlevel","situation_level":3,"agency":{"id":12,"agency_name":{"th":"กรมชลประทาน ","en":"Royal Irrigation Department","jp":""},"agency_shortname":{"th":"ชป.","en":"RID","jp":""}},"basin":{"id":15,"basin_code":14,"basin_name":{"th":"ลุ่มน้ำแม่กลอง","en":"Mae Klong Basin"}},"station":{"id":2573,"tele_station_name":{"th":"ตลิ่ง ณ สถานี K.31 บ้านน้ำโจน"},"tele_station_lat":14.43409,"tele_station_long":98.80909,"tele_station_oldcode":"K.31","tele_station_type":"tele_waterlevel","left_bank":123.169001,"right_bank":123.538001,"min_bank":69,"ground_level":56.248,"offset":54.200001,"sub_basin_id":272,"agency_id":12,"geocode_id":6600,"hydro_id":7,"qmax":2210,"is_key_station":true,"warning_level_m":null,"critical_level_m":null,"critical_level_msl":null},"geocode":{"area_code":"2","area_name":{"th":"ภาคกลาง","en":"Central"},"amphoe_code":"02","amphoe_name":{"th":"ไทรโยค","en":"Sai Yok District"},"tumbon_code":"04","tumbon_name":{"th":"ไทรโยค","en":"Sai Yok"},"province_code":"71","province_name":{"th":"กาญจนบุรี","en":"Kanchanaburi"}},"diff_wl_bank":"8.45","diff_wl_bank_text":"ต่ำกว่าตลิ่ง (ม.)","river_gid":181830,"river_name":"ห้วยแม่น้ำน้อย"}</x:t>
  </x:si>
  <x:si>
    <x:t xml:space="preserve">THAIWATER_WL:342</x:t>
  </x:si>
  <x:si>
    <x:t xml:space="preserve">KON002</x:t>
  </x:si>
  <x:si>
    <x:t xml:space="preserve">เมืองเลย</x:t>
  </x:si>
  <x:si>
    <x:t xml:space="preserve">{"id":1316368068,"waterlevel_datetime":"2026-10-01 15:10","waterlevel_m":null,"waterlevel_msl":"231.64","waterlevel_msl_previous":"231.64","flow_rate":null,"discharge":null,"storage_percent":"33.73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Basin"}},"station":{"id":342,"tele_station_name":{"en":"Khong 2","th":"เมืองเลย"},"tele_station_lat":17.509344,"tele_station_long":101.73663,"tele_station_oldcode":"KON002","tele_station_type":"tele_waterlevel","left_bank":239.586,"right_bank":238.182,"min_bank":238.18,"ground_level":228.311,"offset":null,"sub_basin_id":46,"agency_id":9,"geocode_id":3632,"hydro_id":null,"qmax":null,"is_key_station":false,"warning_level_m":null,"critical_level_m":null,"critical_level_msl":null},"geocode":{"area_code":"4","area_name":{"th":"ภาคตะวันออกเฉียงเหนือ","en":"Northeast"},"amphoe_code":"01","amphoe_name":{"th":"เมืองเลย","en":"Mueang Loei District"},"tumbon_code":"11","tumbon_name":{"th":"ชัยพฤกษ์","en":"Chaiyaphruek"},"province_code":"42","province_name":{"th":"เลย","en":"Loei"}},"diff_wl_bank":"6.54","diff_wl_bank_text":"ต่ำกว่าตลิ่ง (ม.)","river_gid":116906,"river_name":"แม่น้ำเลย"}</x:t>
  </x:si>
  <x:si>
    <x:t xml:space="preserve">THAIWATER_WL:1140845</x:t>
  </x:si>
  <x:si>
    <x:t xml:space="preserve">YOM013</x:t>
  </x:si>
  <x:si>
    <x:t xml:space="preserve">ศาลเจ้าพ่อพญาอ้น</x:t>
  </x:si>
  <x:si>
    <x:t xml:space="preserve">{"id":1316363414,"waterlevel_datetime":"2026-10-01 15:00","waterlevel_m":null,"waterlevel_msl":"183.76","waterlevel_msl_previous":"183.77","flow_rate":null,"discharge":null,"storage_percent":"33.60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Basin"}},"station":{"id":1140845,"tele_station_name":{"en":"Chao Pho Phaya On Shrine","th":"ศาลเจ้าพ่อพญาอ้น"},"tele_station_lat":18.599714,"tele_station_long":100.1496,"tele_station_oldcode":"YOM013","tele_station_type":"tele_waterlevel","left_bank":190.853,"right_bank":190.909,"min_bank":190.85,"ground_level":180.1686,"offset":null,"sub_basin_id":201,"agency_id":9,"geocode_id":5238,"hydro_id":null,"qmax":null,"is_key_station":false,"warning_level_m":null,"critical_level_m":null,"critical_level_msl":null},"geocode":{"area_code":"3","area_name":{"th":"ภาคเหนือ","en":"North"},"amphoe_code":"06","amphoe_name":{"th":"สอง","en":"Song District"},"tumbon_code":"04","tumbon_name":{"th":"เตาปูน","en":"Tao Pun"},"province_code":"54","province_name":{"th":"แพร่","en":"Phrae"}},"diff_wl_bank":"7.09","diff_wl_bank_text":"ต่ำกว่าตลิ่ง (ม.)","river_gid":47465,"river_name":"แม่น้ำยม"}</x:t>
  </x:si>
  <x:si>
    <x:t xml:space="preserve">THAIWATER_WL:3253</x:t>
  </x:si>
  <x:si>
    <x:t xml:space="preserve">P.75</x:t>
  </x:si>
  <x:si>
    <x:t xml:space="preserve">บ้านช่อแล</x:t>
  </x:si>
  <x:si>
    <x:t xml:space="preserve">เหมืองสายล่าง</x:t>
  </x:si>
  <x:si>
    <x:t xml:space="preserve">{"id":1316351118,"waterlevel_datetime":"2026-10-01 14:00","waterlevel_m":null,"waterlevel_msl":"338.41","waterlevel_msl_previous":"338.40","flow_rate":null,"discharge":"26.90","storage_percent":"33.56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3253,"tele_station_name":{"th":"บ้านช่อแล"},"tele_station_lat":19.14599,"tele_station_long":99.007332,"tele_station_oldcode":"P.75","tele_station_type":"tele_waterlevel","left_bank":682.684006,"right_bank":682.709006,"min_bank":341.3,"ground_level":336.95,"offset":337.600006,"sub_basin_id":158,"agency_id":12,"geocode_id":4753,"hydro_id":1,"qmax":210,"is_key_station":true,"warning_level_m":null,"critical_level_m":null,"critical_level_msl":null},"geocode":{"area_code":"3","area_name":{"th":"ภาคเหนือ","en":"North"},"amphoe_code":"06","amphoe_name":{"th":"แม่แตง","en":"Mae Taeng District"},"tumbon_code":"04","tumbon_name":{"th":"ช่อแล","en":"Cho Lae"},"province_code":"50","province_name":{"th":"เชียงใหม่","en":"Chiang Mai"}},"diff_wl_bank":"2.89","diff_wl_bank_text":"ต่ำกว่าตลิ่ง (ม.)","river_gid":23709,"river_name":"เหมืองสายล่าง"}</x:t>
  </x:si>
  <x:si>
    <x:t xml:space="preserve">THAIWATER_WL:2780</x:t>
  </x:si>
  <x:si>
    <x:t xml:space="preserve">M.69</x:t>
  </x:si>
  <x:si>
    <x:t xml:space="preserve">บ้านท่าบอแบง</x:t>
  </x:si>
  <x:si>
    <x:t xml:space="preserve">ลำเซบก</x:t>
  </x:si>
  <x:si>
    <x:t xml:space="preserve">{"id":1316340538,"waterlevel_datetime":"2026-10-01 14:00","waterlevel_m":null,"waterlevel_msl":"110.88","waterlevel_msl_previous":"110.86","flow_rate":null,"discharge":"122.80","storage_percent":"33.52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2780,"tele_station_name":{"th":"บ้านท่าบอแบง"},"tele_station_lat":15.50421,"tele_station_long":104.966202,"tele_station_oldcode":"M.69","tele_station_type":"tele_waterlevel","left_bank":115.3,"right_bank":115.3,"min_bank":115.7,"ground_level":108.45,"offset":108,"sub_basin_id":148,"agency_id":12,"geocode_id":2719,"hydro_id":4,"qmax":330,"is_key_station":true,"warning_level_m":null,"critical_level_m":null,"critical_level_msl":null},"geocode":{"area_code":"4","area_name":{"th":"ภาคตะวันออกเฉียงเหนือ","en":"Northeast"},"amphoe_code":"11","amphoe_name":{"th":"ตระการพืชผล","en":"Trakan Phuet Phon District"},"tumbon_code":"05","tumbon_name":{"th":"ขามเปี้ย","en":"Kham Pia"},"province_code":"34","province_name":{"th":"อุบลราชธานี","en":"Ubon Ratchathani"}},"diff_wl_bank":"4.82","diff_wl_bank_text":"ต่ำกว่าตลิ่ง (ม.)","river_gid":143236,"river_name":"ลำเซบก"}</x:t>
  </x:si>
  <x:si>
    <x:t xml:space="preserve">THAIWATER_WL:505072</x:t>
  </x:si>
  <x:si>
    <x:t xml:space="preserve">X.231A</x:t>
  </x:si>
  <x:si>
    <x:t xml:space="preserve">ชุมชนประชาบำรุง</x:t>
  </x:si>
  <x:si>
    <x:t xml:space="preserve">{"id":1316344774,"waterlevel_datetime":"2026-10-01 14:00","waterlevel_m":null,"waterlevel_msl":"1.00","waterlevel_msl_previous":"0.85","flow_rate":null,"discharge":null,"storage_percent":"33.33","sort_order":null,"station_type":"tele_waterlevel","situation_level":3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505072,"tele_station_name":{"th":"ชุมชนประชาบำรุง"},"tele_station_lat":6.87577,"tele_station_long":99.782639,"tele_station_oldcode":"X.231A","tele_station_type":"tele_waterlevel","left_bank":3,"right_bank":3,"min_bank":3,"ground_level":0,"offset":null,"sub_basin_id":351,"agency_id":12,"geocode_id":7946,"hydro_id":8,"qmax":null,"is_key_station":true,"warning_level_m":null,"critical_level_m":3,"critical_level_msl":3},"geocode":{"area_code":"5","area_name":{"th":"ภาคใต้","en":"South"},"amphoe_code":"05","amphoe_name":{"th":"ละงู","en":"La-ngu District"},"tumbon_code":"02","tumbon_name":{"th":"ละงู","en":"La-Ngu"},"province_code":"91","province_name":{"th":"สตูล","en":"Satun"}},"diff_wl_bank":"2.00","diff_wl_bank_text":"ต่ำกว่าตลิ่ง (ม.)","river_gid":227925,"river_name":"คลองละงู"}</x:t>
  </x:si>
  <x:si>
    <x:t xml:space="preserve">THAIWATER_WL:2563</x:t>
  </x:si>
  <x:si>
    <x:t xml:space="preserve">X.68</x:t>
  </x:si>
  <x:si>
    <x:t xml:space="preserve">คลองท่าแค</x:t>
  </x:si>
  <x:si>
    <x:t xml:space="preserve">{"id":1316344738,"waterlevel_datetime":"2026-10-01 14:00","waterlevel_m":null,"waterlevel_msl":"13.23","waterlevel_msl_previous":"13.24","flow_rate":null,"discharge":"2.70","storage_percent":"33.18","sort_order":null,"station_type":"tele_waterlevel","situation_level":3,"agency":{"id":12,"agency_name":{"th":"กรมชลประทาน ","en":"Royal Irrigation Department","jp":""},"agency_shortname":{"th":"ชป.","en":"RID","jp":""}},"basin":{"id":24,"basin_code":20,"basin_name":{"th":"ลุ่มน้ำทะเลสาบสงขลา","en":"Thale Sap Songkhla Basin"}},"station":{"id":2563,"tele_station_name":{"th":"บ้านท่าแค"},"tele_station_lat":7.56871,"tele_station_long":100.0485,"tele_station_oldcode":"X.68","tele_station_type":"tele_waterlevel","left_bank":18.339,"right_bank":18.585,"min_bank":15.6,"ground_level":12.053,"offset":null,"sub_basin_id":329,"agency_id":12,"geocode_id":8066,"hydro_id":8,"qmax":60,"is_key_station":true,"warning_level_m":null,"critical_level_m":null,"critical_level_msl":null},"geocode":{"area_code":"5","area_name":{"th":"ภาคใต้","en":"South"},"amphoe_code":"01","amphoe_name":{"th":"เมืองพัทลุง","en":"Mueang Phatthalung District"},"tumbon_code":"08","tumbon_name":{"th":"ท่าแค","en":"Tha Khae"},"province_code":"93","province_name":{"th":"พัทลุง","en":"Phatthalung"}},"diff_wl_bank":"2.37","diff_wl_bank_text":"ต่ำกว่าตลิ่ง (ม.)","river_gid":224654,"river_name":"คลองท่าแค"}</x:t>
  </x:si>
  <x:si>
    <x:t xml:space="preserve">THAIWATER_WL:2863</x:t>
  </x:si>
  <x:si>
    <x:t xml:space="preserve">E.8A</x:t>
  </x:si>
  <x:si>
    <x:t xml:space="preserve">บ้านดินดำ</x:t>
  </x:si>
  <x:si>
    <x:t xml:space="preserve">{"id":1316353883,"waterlevel_datetime":"2026-10-01 14:00","waterlevel_m":null,"waterlevel_msl":"138.04","waterlevel_msl_previous":"138.02","flow_rate":null,"discharge":"249.05","storage_percent":"33.10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2863,"tele_station_name":{"th":"บ้านดินดำ"},"tele_station_lat":16.231939,"tele_station_long":103.271019,"tele_station_oldcode":"E.8A","tele_station_type":"tele_waterlevel","left_bank":282.158997,"right_bank":281.893997,"min_bank":142.7,"ground_level":135.734,"offset":133.199997,"sub_basin_id":96,"agency_id":12,"geocode_id":3866,"hydro_id":3,"qmax":730,"is_key_station":true,"warning_level_m":null,"critical_level_m":null,"critical_level_msl":null},"geocode":{"area_code":"4","area_name":{"th":"ภาคตะวันออกเฉียงเหนือ","en":"Northeast"},"amphoe_code":"01","amphoe_name":{"th":"เมืองมหาสารคาม","en":"Mueang Maha Sarakham District"},"tumbon_code":"07","tumbon_name":{"th":"เกิ้ง","en":"Koeng"},"province_code":"44","province_name":{"th":"มหาสารคาม","en":"Maha Sarakham"}},"diff_wl_bank":"4.66","diff_wl_bank_text":"ต่ำกว่าตลิ่ง (ม.)","river_gid":133022,"river_name":"แม่น้ำชี"}</x:t>
  </x:si>
  <x:si>
    <x:t xml:space="preserve">THAIWATER_WL:348</x:t>
  </x:si>
  <x:si>
    <x:t xml:space="preserve">KON001</x:t>
  </x:si>
  <x:si>
    <x:t xml:space="preserve">วังสะพุง</x:t>
  </x:si>
  <x:si>
    <x:t xml:space="preserve">{"id":1316368067,"waterlevel_datetime":"2026-10-01 15:10","waterlevel_m":null,"waterlevel_msl":"240.86","waterlevel_msl_previous":"240.86","flow_rate":null,"discharge":null,"storage_percent":"33.09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Basin"}},"station":{"id":348,"tele_station_name":{"en":"Khong 1","th":"วังสะพุง"},"tele_station_lat":17.312359,"tele_station_long":101.7726,"tele_station_oldcode":"KON001","tele_station_type":"tele_waterlevel","left_bank":248.131,"right_bank":246.891,"min_bank":246.89,"ground_level":237.878,"offset":null,"sub_basin_id":44,"agency_id":9,"geocode_id":3689,"hydro_id":null,"qmax":null,"is_key_station":false,"warning_level_m":null,"critical_level_m":null,"critical_level_msl":null},"geocode":{"area_code":"4","area_name":{"th":"ภาคตะวันออกเฉียงเหนือ","en":"Northeast"},"amphoe_code":"09","amphoe_name":{"th":"วังสะพุง","en":"Wang Saphung District"},"tumbon_code":"01","tumbon_name":{"th":"วังสะพุง","en":"Wang Saphung"},"province_code":"42","province_name":{"th":"เลย","en":"Loei"}},"diff_wl_bank":"6.03","diff_wl_bank_text":"ต่ำกว่าตลิ่ง (ม.)","river_gid":120173,"river_name":"แม่น้ำเลย"}</x:t>
  </x:si>
  <x:si>
    <x:t xml:space="preserve">THAIWATER_WL:664</x:t>
  </x:si>
  <x:si>
    <x:t xml:space="preserve">YOM008</x:t>
  </x:si>
  <x:si>
    <x:t xml:space="preserve">{"id":1316368440,"waterlevel_datetime":"2026-10-01 15:10","waterlevel_m":null,"waterlevel_msl":"33.29","waterlevel_msl_previous":"33.29","flow_rate":null,"discharge":null,"storage_percent":"32.99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Basin"}},"station":{"id":664,"tele_station_name":{"en":"Yom 8","th":"บางระกำ"},"tele_station_lat":16.70818,"tele_station_long":100.17179,"tele_station_oldcode":"YOM008","tele_station_type":"tele_waterlevel","left_bank":41.202,"right_bank":41.22,"min_bank":41.2,"ground_level":29.4,"offset":null,"sub_basin_id":215,"agency_id":9,"geocode_id":6174,"hydro_id":null,"qmax":null,"is_key_station":false,"warning_level_m":null,"critical_level_m":null,"critical_level_msl":null},"geocode":{"area_code":"3","area_name":{"th":"ภาคเหนือ","en":"North"},"amphoe_code":"04","amphoe_name":{"th":"บางระกำ","en":"Bang Rakam District"},"tumbon_code":"01","tumbon_name":{"th":"บางระกำ","en":"Bang Rakam"},"province_code":"65","province_name":{"th":"พิษณุโลก","en":"Phitsanulok"}},"diff_wl_bank":"7.91","diff_wl_bank_text":"ต่ำกว่าตลิ่ง (ม.)","river_gid":93387,"river_name":"แม่น้ำยม"}</x:t>
  </x:si>
  <x:si>
    <x:t xml:space="preserve">THAIWATER_WL:685678</x:t>
  </x:si>
  <x:si>
    <x:t xml:space="preserve">MOU073</x:t>
  </x:si>
  <x:si>
    <x:t xml:space="preserve">สะพานแม่ตื่น</x:t>
  </x:si>
  <x:si>
    <x:t xml:space="preserve">แม่น้ำตื่น</x:t>
  </x:si>
  <x:si>
    <x:t xml:space="preserve">{"id":1316362705,"waterlevel_datetime":"2026-10-01 15:00","waterlevel_m":null,"waterlevel_msl":"299.49","waterlevel_msl_previous":"299.52","flow_rate":null,"discharge":null,"storage_percent":"32.98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Basin"}},"station":{"id":685678,"tele_station_name":{"en":"Mae Tuen Bridge","th":"สะพานแม่ตื่น"},"tele_station_lat":17.12535,"tele_station_long":98.6394,"tele_station_oldcode":"MOU073","tele_station_type":"tele_waterlevel","left_bank":304.508,"right_bank":305.13,"min_bank":304.51,"ground_level":297.019,"offset":null,"sub_basin_id":175,"sponsor_by":"บริษัท แอดวานซ์ อินโฟร์ เซอร์วิส จำกัด (มหาชน)","agency_id":91,"geocode_id":5998,"hydro_id":null,"qmax":null,"is_key_station":false,"warning_level_m":null,"critical_level_m":null,"critical_level_msl":null},"geocode":{"area_code":"3","area_name":{"th":"ภาคเหนือ","en":"North"},"amphoe_code":"04","amphoe_name":{"th":"แม่ระมาด","en":"Mae Ramat District"},"tumbon_code":"04","tumbon_name":{"th":"แม่ตื่น","en":"Mae Tuen"},"province_code":"63","province_name":{"th":"ตาก","en":"Tak"}},"diff_wl_bank":"5.02","diff_wl_bank_text":"ต่ำกว่าตลิ่ง (ม.)","river_gid":87564,"river_name":"แม่น้ำตื่น"}</x:t>
  </x:si>
  <x:si>
    <x:t xml:space="preserve">THAIWATER_WL:1394937</x:t>
  </x:si>
  <x:si>
    <x:t xml:space="preserve">MOU419</x:t>
  </x:si>
  <x:si>
    <x:t xml:space="preserve">สะพานคลองสนธิ</x:t>
  </x:si>
  <x:si>
    <x:t xml:space="preserve">{"id":1316367795,"waterlevel_datetime":"2026-10-01 15:10","waterlevel_m":null,"waterlevel_msl":"130.40","waterlevel_msl_previous":"130.40","flow_rate":null,"discharge":null,"storage_percent":"32.94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Foundation","jp":""},"agency_shortname":{"th":"พพภ","en":"FOP","jp":""}},"basin":{"id":13,"basin_code":12,"basin_name":{"th":"ลุ่มน้ำป่าสัก","en":"Pasak Basin"}},"station":{"id":1394937,"tele_station_name":{"en":"Khlong Sonthi Bridge","th":"สะพานคลองสนธิ"},"tele_station_lat":15.511389,"tele_station_long":101.34012,"tele_station_oldcode":"MOU419","tele_station_type":"tele_waterlevel","left_bank":133.616,"right_bank":135.562,"min_bank":133.62,"ground_level":128.82,"offset":null,"sub_basin_id":254,"sponsor_by":"มูลนิธิอาสาเพื่อนพึ่ง (ภาฯ) ยามยาก สภากาชาดไทย","agency_id":91,"geocode_id":827,"hydro_id":null,"qmax":null,"is_key_station":false,"warning_level_m":null,"critical_level_m":null,"critical_level_msl":null},"geocode":{"area_code":"2","area_name":{"th":"ภาคกลาง","en":"Central"},"amphoe_code":"10","amphoe_name":{"th":"ลำสนธิ","en":"Lam Sonthi District"},"tumbon_code":"04","tumbon_name":{"th":"กุดตาเพชร","en":"Kut Ta Phet"},"province_code":"16","province_name":{"th":"ลพบุรี","en":"Lop Buri"}},"diff_wl_bank":"3.22","diff_wl_bank_text":"ต่ำกว่าตลิ่ง (ม.)"}</x:t>
  </x:si>
  <x:si>
    <x:t xml:space="preserve">THAIWATER_WL:3222</x:t>
  </x:si>
  <x:si>
    <x:t xml:space="preserve">P.84</x:t>
  </x:si>
  <x:si>
    <x:t xml:space="preserve">บ้านพันตน</x:t>
  </x:si>
  <x:si>
    <x:t xml:space="preserve">{"id":1316351128,"waterlevel_datetime":"2026-10-01 14:00","waterlevel_m":null,"waterlevel_msl":"304.47","waterlevel_msl_previous":"304.48","flow_rate":null,"discharge":"10.49","storage_percent":"32.93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3222,"tele_station_name":{"th":"บ้านพันตน"},"tele_station_lat":18.59133,"tele_station_long":98.796623,"tele_station_oldcode":"P.84","tele_station_type":"tele_waterlevel","left_bank":612.31599,"right_bank":612.3119899999999,"min_bank":307.24,"ground_level":303.11,"offset":303.23999,"sub_basin_id":165,"agency_id":12,"geocode_id":4902,"hydro_id":1,"qmax":85,"is_key_station":false,"warning_level_m":null,"critical_level_m":null,"critical_level_msl":null},"geocode":{"area_code":"3","area_name":{"th":"ภาคเหนือ","en":"North"},"amphoe_code":"22","amphoe_name":{"th":"แม่วาง","en":"Mae Wang District"},"tumbon_code":"01","tumbon_name":{"th":"บ้านกาด","en":"Ban Kat"},"province_code":"50","province_name":{"th":"เชียงใหม่","en":"Chiang Mai"}},"diff_wl_bank":"2.77","diff_wl_bank_text":"ต่ำกว่าตลิ่ง (ม.)","river_gid":47891,"river_name":"น้ำแม่วาง"}</x:t>
  </x:si>
  <x:si>
    <x:t xml:space="preserve">THAIWATER_WL:1677420</x:t>
  </x:si>
  <x:si>
    <x:t xml:space="preserve">PYO007</x:t>
  </x:si>
  <x:si>
    <x:t xml:space="preserve">สะพานคลองแม่กาหลง (ม.พะเยา)</x:t>
  </x:si>
  <x:si>
    <x:t xml:space="preserve">{"id":1316368258,"waterlevel_datetime":"2026-10-01 15:10","waterlevel_m":null,"waterlevel_msl":"434.73","waterlevel_msl_previous":"434.88","flow_rate":null,"discharge":null,"storage_percent":"32.90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Basin"}},"station":{"id":1677420,"tele_station_name":{"en":"Mae Kalong Bridge (Phayao University)","th":"สะพานคลองแม่กาหลง (ม.พะเยา)"},"tele_station_lat":19.0328,"tele_station_long":99.92907,"tele_station_oldcode":"PYO007","tele_station_type":"tele_waterlevel","left_bank":436.225,"right_bank":437.069,"min_bank":436.23,"ground_level":434,"offset":null,"sub_basin_id":34,"agency_id":9,"geocode_id":5382,"hydro_id":null,"qmax":null,"is_key_station":false,"warning_level_m":null,"critical_level_m":null,"critical_level_msl":null},"geocode":{"area_code":"3","area_name":{"th":"ภาคเหนือ","en":"North"},"amphoe_code":"01","amphoe_name":{"th":"เมืองพะเยา","en":"Mueang Phayao District"},"tumbon_code":"10","tumbon_name":{"th":"แม่กา","en":"Mae Ka"},"province_code":"56","province_name":{"th":"พะเยา","en":"Phayao"}},"diff_wl_bank":"1.49","diff_wl_bank_text":"ต่ำกว่าตลิ่ง (ม.)"}</x:t>
  </x:si>
  <x:si>
    <x:t xml:space="preserve">THAIWATER_WL:1113287</x:t>
  </x:si>
  <x:si>
    <x:t xml:space="preserve">SKD09</x:t>
  </x:si>
  <x:si>
    <x:t xml:space="preserve">อ.วัดโบสถ์ (N.22A)</x:t>
  </x:si>
  <x:si>
    <x:t xml:space="preserve">{"id":1316366852,"waterlevel_datetime":"2026-10-01 15:00","waterlevel_m":null,"waterlevel_msl":"42.61","waterlevel_msl_previous":"42.50","flow_rate":null,"discharge":null,"storage_percent":"32.58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Thailand","jp":""},"agency_shortname":{"th":"กฟผ.","en":"EGAT","jp":""}},"basin":{"id":9,"basin_code":9,"basin_name":{"th":"ลุ่มน้ำน่าน","en":"Nan Basin"}},"station":{"id":1113287,"tele_station_name":{"th":"อ.วัดโบสถ์ (N.22A)"},"tele_station_lat":16.998826,"tele_station_long":100.325921,"tele_station_oldcode":"SKD09","tele_station_type":"tele_waterlevel","left_bank":49.315,"right_bank":49.487,"min_bank":49.32,"ground_level":39.371,"offset":null,"sub_basin_id":235,"agency_id":8,"geocode_id":6209,"hydro_id":null,"qmax":null,"is_key_station":false,"warning_level_m":null,"critical_level_m":null,"critical_level_msl":49.31},"geocode":{"area_code":"3","area_name":{"th":"ภาคเหนือ","en":"North"},"amphoe_code":"07","amphoe_name":{"th":"วัดโบสถ์","en":"Wat Bot District"},"tumbon_code":"01","tumbon_name":{"th":"วัดโบสถ์","en":"Wat Bot"},"province_code":"65","province_name":{"th":"พิษณุโลก","en":"Phitsanulok"}},"diff_wl_bank":"6.70","diff_wl_bank_text":"ต่ำกว่าตลิ่ง (ม.)","river_gid":89620,"river_name":"น้ำแควน้อย"}</x:t>
  </x:si>
  <x:si>
    <x:t xml:space="preserve">THAIWATER_WL:740537</x:t>
  </x:si>
  <x:si>
    <x:t xml:space="preserve">AIT008</x:t>
  </x:si>
  <x:si>
    <x:t xml:space="preserve">สะพานห้วยมุก</x:t>
  </x:si>
  <x:si>
    <x:t xml:space="preserve">ห้วยมุก</x:t>
  </x:si>
  <x:si>
    <x:t xml:space="preserve">{"id":1316367912,"waterlevel_datetime":"2026-10-01 15:10","waterlevel_m":null,"waterlevel_msl":"129.12","waterlevel_msl_previous":"129.12","flow_rate":null,"discharge":null,"storage_percent":"32.56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Basin"}},"station":{"id":740537,"tele_station_name":{"en":"Huay Muk Bridge","th":"สะพานห้วยมุก"},"tele_station_lat":16.546862,"tele_station_long":104.730385,"tele_station_oldcode":"AIT008","tele_station_type":"tele_waterlevel","left_bank":136.758,"right_bank":137.624,"min_bank":136.76,"ground_level":125.432,"offset":null,"sub_basin_id":73,"sponsor_by":"สถาบันเทคโนโลยีแห่งเอเชีย","agency_id":9,"geocode_id":4631,"hydro_id":null,"qmax":null,"is_key_station":false,"warning_level_m":null,"critical_level_m":null,"critical_level_msl":null},"geocode":{"area_code":"4","area_name":{"th":"ภาคตะวันออกเฉียงเหนือ","en":"Northeast"},"amphoe_code":"01","amphoe_name":{"th":"เมืองมุกดาหาร","en":"Mueang Mukdahan District"},"tumbon_code":"01","tumbon_name":{"th":"มุกดาหาร","en":"Mukdahan"},"province_code":"49","province_name":{"th":"มุกดาหาร","en":"Mukdahan"}},"diff_wl_bank":"7.64","diff_wl_bank_text":"ต่ำกว่าตลิ่ง (ม.)","river_gid":129144,"river_name":"ห้วยมุก"}</x:t>
  </x:si>
  <x:si>
    <x:t xml:space="preserve">THAIWATER_WL:2915</x:t>
  </x:si>
  <x:si>
    <x:t xml:space="preserve">N.73</x:t>
  </x:si>
  <x:si>
    <x:t xml:space="preserve">บ้านทานตะวัน</x:t>
  </x:si>
  <x:si>
    <x:t xml:space="preserve">{"id":1316341622,"waterlevel_datetime":"2026-10-01 14:00","waterlevel_m":null,"waterlevel_msl":"687.35","waterlevel_msl_previous":"687.35","flow_rate":null,"discharge":"19.72","storage_percent":"32.45","sort_order":null,"station_type":"tele_waterlevel","situation_level":3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2915,"tele_station_name":{"th":"บ้านทานตะวัน"},"tele_station_lat":16.56912,"tele_station_long":100.891792,"tele_station_oldcode":"N.73","tele_station_type":"tele_waterlevel","left_bank":1377.588029,"right_bank":1377.550029,"min_bank":693.74,"ground_level":684.281,"offset":684.530029,"sub_basin_id":237,"agency_id":12,"geocode_id":6465,"hydro_id":2,"qmax":184,"is_key_station":false,"warning_level_m":null,"critical_level_m":null,"critical_level_msl":null},"geocode":{"area_code":"3","area_name":{"th":"ภาคเหนือ","en":"North"},"amphoe_code":"11","amphoe_name":{"th":"เขาค้อ","en":"Khao Kho District"},"tumbon_code":"06","tumbon_name":{"th":"หนองแม่นา","en":"Nong Mae Na"},"province_code":"67","province_name":{"th":"เพชรบูรณ์","en":"Phetchabun"}},"diff_wl_bank":"6.39","diff_wl_bank_text":"ต่ำกว่าตลิ่ง (ม.)","river_gid":94646,"river_name":"น้ำเข็ก"}</x:t>
  </x:si>
  <x:si>
    <x:t xml:space="preserve">THAIWATER_WL:1396860</x:t>
  </x:si>
  <x:si>
    <x:t xml:space="preserve">MOU462</x:t>
  </x:si>
  <x:si>
    <x:t xml:space="preserve">สะพานคลองวังตะไคร้</x:t>
  </x:si>
  <x:si>
    <x:t xml:space="preserve">{"id":1316367801,"waterlevel_datetime":"2026-10-01 15:10","waterlevel_m":null,"waterlevel_msl":"27.16","waterlevel_msl_previous":"27.16","flow_rate":null,"discharge":null,"storage_percent":"32.33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Foundation","jp":""},"agency_shortname":{"th":"พพภ","en":"FOP","jp":""}},"basin":{"id":16,"basin_code":15,"basin_name":{"th":"ลุ่มน้ำบางปะกง","en":"Bang Pakong Basin"}},"station":{"id":1396860,"tele_station_name":{"en":"Khlong Takhrai Bridge","th":"สะพานคลองวังตะไคร้"},"tele_station_lat":14.321305,"tele_station_long":101.30604,"tele_station_oldcode":"MOU462","tele_station_type":"tele_waterlevel","left_bank":29.494,"right_bank":30.323,"min_bank":29.49,"ground_level":26.045,"offset":null,"sub_basin_id":282,"sponsor_by":"มูลนิธิอาสาเพื่อนพึ่ง (ภาฯ) ยามยาก สภากาชาดไทย","agency_id":91,"geocode_id":1567,"hydro_id":null,"qmax":null,"is_key_station":false,"warning_level_m":null,"critical_level_m":null,"critical_level_msl":null},"geocode":{"area_code":"2","area_name":{"th":"ภาคกลาง","en":"Central"},"amphoe_code":"01","amphoe_name":{"th":"เมืองนครนายก","en":"Mueang Nakhon Nayok District"},"tumbon_code":"10","tumbon_name":{"th":"สาริกา","en":"Sarika"},"province_code":"26","province_name":{"th":"นครนายก","en":"Nakhon Nayok"}},"diff_wl_bank":"2.33","diff_wl_bank_text":"ต่ำกว่าตลิ่ง (ม.)"}</x:t>
  </x:si>
  <x:si>
    <x:t xml:space="preserve">THAIWATER_WL:2643</x:t>
  </x:si>
  <x:si>
    <x:t xml:space="preserve">X.37A</x:t>
  </x:si>
  <x:si>
    <x:t xml:space="preserve">บ้านย่านดินแดง</x:t>
  </x:si>
  <x:si>
    <x:t xml:space="preserve">{"id":1316344789,"waterlevel_datetime":"2026-10-01 14:00","waterlevel_m":null,"waterlevel_msl":"5.61","waterlevel_msl_previous":"5.61","flow_rate":null,"discharge":"69.50","storage_percent":"32.30","sort_order":null,"station_type":"tele_waterlevel","situation_level":3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2643,"tele_station_name":{"th":"บ้านย่านดินแดง"},"tele_station_lat":8.57098,"tele_station_long":99.253868,"tele_station_oldcode":"X.37A","tele_station_type":"tele_waterlevel","left_bank":12.427,"right_bank":12.591,"min_bank":11.35,"ground_level":2.871,"offset":null,"sub_basin_id":323,"agency_id":12,"geocode_id":7622,"hydro_id":8,"qmax":508.75,"is_key_station":true,"warning_level_m":null,"critical_level_m":null,"critical_level_msl":null},"geocode":{"area_code":"5","area_name":{"th":"ภาคใต้","en":"South"},"amphoe_code":"15","amphoe_name":{"th":"เวียงสระ","en":"Wiang Sa District"},"tumbon_code":"04","tumbon_name":{"th":"ทุ่งหลวง","en":"Thung Luang"},"province_code":"84","province_name":{"th":"สุราษฎร์ธานี","en":"Surat Thani"}},"diff_wl_bank":"5.74","diff_wl_bank_text":"ต่ำกว่าตลิ่ง (ม.)","river_gid":219031,"river_name":"แม่น้ำตาปี"}</x:t>
  </x:si>
  <x:si>
    <x:t xml:space="preserve">THAIWATER_WL:3288</x:t>
  </x:si>
  <x:si>
    <x:t xml:space="preserve">P.91</x:t>
  </x:si>
  <x:si>
    <x:t xml:space="preserve">บ้านสันปู่เลย</x:t>
  </x:si>
  <x:si>
    <x:t xml:space="preserve">น้ำแม่ขอด</x:t>
  </x:si>
  <x:si>
    <x:t xml:space="preserve">{"id":1316268571,"waterlevel_datetime":"2026-10-01 11:00","waterlevel_m":null,"waterlevel_msl":"413.83","waterlevel_msl_previous":"413.83","flow_rate":null,"discharge":"1.78","storage_percent":"32.16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3288,"tele_station_name":{"th":"บ้านสันปู่เลย"},"tele_station_lat":19.133591,"tele_station_long":99.166328,"tele_station_oldcode":"P.91","tele_station_type":"tele_waterlevel","left_bank":831.893006,"right_bank":831.942006,"min_bank":417.1,"ground_level":412.28,"offset":413.100006,"sub_basin_id":157,"agency_id":12,"geocode_id":4809,"hydro_id":1,"qmax":171,"is_key_station":false,"warning_level_m":null,"critical_level_m":null,"critical_level_msl":null},"geocode":{"area_code":"3","area_name":{"th":"ภาคเหนือ","en":"North"},"amphoe_code":"11","amphoe_name":{"th":"พร้าว","en":"Phrao District"},"tumbon_code":"11","tumbon_name":{"th":"โหล่งขอด","en":"Long Khot"},"province_code":"50","province_name":{"th":"เชียงใหม่","en":"Chiang Mai"}},"diff_wl_bank":"3.27","diff_wl_bank_text":"ต่ำกว่าตลิ่ง (ม.)","river_gid":24269,"river_name":"น้ำแม่ขอด"}</x:t>
  </x:si>
  <x:si>
    <x:t xml:space="preserve">THAIWATER_WL:595072</x:t>
  </x:si>
  <x:si>
    <x:t xml:space="preserve">MOU010</x:t>
  </x:si>
  <x:si>
    <x:t xml:space="preserve">สะพานห้วยแม่ตาช้าง</x:t>
  </x:si>
  <x:si>
    <x:t xml:space="preserve">ห้วยแม่ท่าช้าง</x:t>
  </x:si>
  <x:si>
    <x:t xml:space="preserve">{"id":1316367749,"waterlevel_datetime":"2026-10-01 15:10","waterlevel_m":null,"waterlevel_msl":"379.64","waterlevel_msl_previous":"379.65","flow_rate":null,"discharge":null,"storage_percent":"32.14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Basin"}},"station":{"id":595072,"tele_station_name":{"en":"Mae Ta Chang Bridge","th":"สะพานห้วยแม่ตาช้าง"},"tele_station_lat":18.771976,"tele_station_long":98.862595,"tele_station_oldcode":"MOU010","tele_station_type":"tele_waterlevel","left_bank":383.625,"right_bank":384.757,"min_bank":383.63,"ground_level":377.753,"offset":null,"sub_basin_id":162,"sponsor_by":"บริษัท แอดวานซ์ อินโฟร์ เซอร์วิส จำกัด (มหาชน)","agency_id":91,"geocode_id":4856,"hydro_id":null,"qmax":null,"is_key_station":false,"warning_level_m":null,"critical_level_m":null,"critical_level_msl":null},"geocode":{"area_code":"3","area_name":{"th":"ภาคเหนือ","en":"North"},"amphoe_code":"15","amphoe_name":{"th":"หางดง","en":"Hang Dong District"},"tumbon_code":"10","tumbon_name":{"th":"บ้านปง","en":"Ban Pong"},"province_code":"50","province_name":{"th":"เชียงใหม่","en":"Chiang Mai"}},"diff_wl_bank":"3.99","diff_wl_bank_text":"ต่ำกว่าตลิ่ง (ม.)","river_gid":39759,"river_name":"ห้วยแม่ท่าช้าง"}</x:t>
  </x:si>
  <x:si>
    <x:t xml:space="preserve">THAIWATER_WL:463</x:t>
  </x:si>
  <x:si>
    <x:t xml:space="preserve">WAN003</x:t>
  </x:si>
  <x:si>
    <x:t xml:space="preserve">เถิน</x:t>
  </x:si>
  <x:si>
    <x:t xml:space="preserve">{"id":1316368424,"waterlevel_datetime":"2026-10-01 15:10","waterlevel_m":null,"waterlevel_msl":"172.02","waterlevel_msl_previous":"172.01","flow_rate":null,"discharge":null,"storage_percent":"32.11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Organization)","jp":""},"agency_shortname":{"th":"สสน.","en":"HII","jp":""}},"basin":{"id":7,"basin_code":7,"basin_name":{"th":"ลุ่มน้ำวัง","en":"Wang Basin"}},"station":{"id":463,"tele_station_name":{"en":"Wang 3","th":"เถิน"},"tele_station_lat":17.75171,"tele_station_long":99.23061,"tele_station_oldcode":"WAN003","tele_station_type":"tele_waterlevel","left_bank":178.681,"right_bank":178.49,"min_bank":178.49,"ground_level":168.964,"offset":null,"sub_basin_id":194,"agency_id":9,"geocode_id":5056,"hydro_id":null,"qmax":null,"is_key_station":false,"warning_level_m":null,"critical_level_m":null,"critical_level_msl":null},"geocode":{"area_code":"3","area_name":{"th":"ภาคเหนือ","en":"North"},"amphoe_code":"08","amphoe_name":{"th":"เถิน","en":"Thoeng District"},"tumbon_code":"07","tumbon_name":{"th":"แม่ถอด","en":"Mae Thot"},"province_code":"52","province_name":{"th":"ลำปาง","en":"Lampang"}},"diff_wl_bank":"6.47","diff_wl_bank_text":"ต่ำกว่าตลิ่ง (ม.)","river_gid":77348,"river_name":"แม่น้ำวัง"}</x:t>
  </x:si>
  <x:si>
    <x:t xml:space="preserve">THAIWATER_WL:3149</x:t>
  </x:si>
  <x:si>
    <x:t xml:space="preserve">P.76</x:t>
  </x:si>
  <x:si>
    <x:t xml:space="preserve">บ้านแม่อีไฮ</x:t>
  </x:si>
  <x:si>
    <x:t xml:space="preserve">{"id":1316351120,"waterlevel_datetime":"2026-10-01 14:00","waterlevel_m":null,"waterlevel_msl":"365.70","waterlevel_msl_previous":"365.72","flow_rate":null,"discharge":"15.00","storage_percent":"32.11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3149,"tele_station_name":{"th":"บ้านแม่อีไฮ"},"tele_station_lat":18.14139,"tele_station_long":98.896606,"tele_station_oldcode":"P.76","tele_station_type":"tele_waterlevel","left_bank":735.101995,"right_bank":735.130995,"min_bank":369.02,"ground_level":364.13,"offset":363.619995,"sub_basin_id":167,"agency_id":12,"geocode_id":4957,"hydro_id":1,"qmax":252,"is_key_station":false,"warning_level_m":null,"critical_level_m":null,"critical_level_msl":null},"geocode":{"area_code":"3","area_name":{"th":"ภาคเหนือ","en":"North"},"amphoe_code":"04","amphoe_name":{"th":"ลี้","en":"Li District"},"tumbon_code":"09","tumbon_name":{"th":"ศรีวิชัย","en":"Si Wichai"},"province_code":"51","province_name":{"th":"ลำพูน","en":"Lamphun"}},"diff_wl_bank":"3.32","diff_wl_bank_text":"ต่ำกว่าตลิ่ง (ม.)","river_gid":66234,"river_name":"น้ำแม่ลี้"}</x:t>
  </x:si>
  <x:si>
    <x:t xml:space="preserve">THAIWATER_WL:1109494</x:t>
  </x:si>
  <x:si>
    <x:t xml:space="preserve">ONE005</x:t>
  </x:si>
  <x:si>
    <x:t xml:space="preserve">สะพานหนองจิก-วังปลา</x:t>
  </x:si>
  <x:si>
    <x:t xml:space="preserve">คลองตะโก</x:t>
  </x:si>
  <x:si>
    <x:t xml:space="preserve">{"id":1316368184,"waterlevel_datetime":"2026-10-01 15:10","waterlevel_m":null,"waterlevel_msl":"4.64","waterlevel_msl_previous":"4.65","flow_rate":null,"discharge":null,"storage_percent":"32.04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Basin"}},"station":{"id":1109494,"tele_station_name":{"en":"Nong Chik - Wang Pla Bridge","th":"สะพานหนองจิก-วังปลา"},"tele_station_lat":10.112872,"tele_station_long":99.07568,"tele_station_oldcode":"ONE005","tele_station_type":"tele_waterlevel","left_bank":6.952,"right_bank":9.69,"min_bank":6.95,"ground_level":3.55,"offset":null,"sub_basin_id":311,"agency_id":9,"geocode_id":7771,"hydro_id":null,"qmax":null,"is_key_station":false,"warning_level_m":null,"critical_level_m":null,"critical_level_msl":null},"geocode":{"area_code":"5","area_name":{"th":"ภาคใต้","en":"South"},"amphoe_code":"08","amphoe_name":{"th":"ทุ่งตะโก","en":"Thung Tako District"},"tumbon_code":"04","tumbon_name":{"th":"ช่องไม้แก้ว","en":"Chong Mai Kaeo"},"province_code":"86","province_name":{"th":"ชุมพร","en":"Chumphon"}},"diff_wl_bank":"2.31","diff_wl_bank_text":"ต่ำกว่าตลิ่ง (ม.)","river_gid":213801,"river_name":"คลองตะโก"}</x:t>
  </x:si>
  <x:si>
    <x:t xml:space="preserve">THAIWATER_WL:3303</x:t>
  </x:si>
  <x:si>
    <x:t xml:space="preserve">Kh.89</x:t>
  </x:si>
  <x:si>
    <x:t xml:space="preserve">{"id":1316351171,"waterlevel_datetime":"2026-10-01 14:00","waterlevel_m":null,"waterlevel_msl":"407.08","waterlevel_msl_previous":"407.08","flow_rate":null,"discharge":"3.50","storage_percent":"31.83","sort_order":null,"station_type":"tele_waterlevel","situation_level":3,"agency":{"id":12,"agency_name":{"th":"กรมชลประทาน ","en":"Royal Irrigation Department","jp":""},"agency_shortname":{"th":"ชป.","en":"RID","jp":""}},"basin":{"id":2,"basin_code":2,"basin_name":{"th":"ลุ่มน้ำโขงเหนือ","en":"North Khong Basin"}},"station":{"id":3303,"tele_station_name":{"th":"บ้านหัวสะพาน"},"tele_station_lat":20.15753,"tele_station_long":99.859596,"tele_station_oldcode":"Kh.89","tele_station_type":"tele_waterlevel","left_bank":818.050015,"right_bank":818.090015,"min_bank":408.59,"ground_level":406.375,"offset":406.390015,"sub_basin_id":24,"agency_id":12,"geocode_id":5520,"hydro_id":1,"qmax":66,"is_key_station":true,"warning_level_m":null,"critical_level_m":null,"critical_level_msl":null},"geocode":{"area_code":"3","area_name":{"th":"ภาคเหนือ","en":"North"},"amphoe_code":"07","amphoe_name":{"th":"แม่จัน","en":"Mae Chan District"},"tumbon_code":"04","tumbon_name":{"th":"ป่าซาง","en":"Pa Sang"},"province_code":"57","province_name":{"th":"เชียงราย","en":"Chiang Rai"}},"diff_wl_bank":"1.51","diff_wl_bank_text":"ต่ำกว่าตลิ่ง (ม.)","river_gid":102708,"river_name":"น้ำแม่จัน"}</x:t>
  </x:si>
  <x:si>
    <x:t xml:space="preserve">THAIWATER_WL:12349</x:t>
  </x:si>
  <x:si>
    <x:t xml:space="preserve">STU004</x:t>
  </x:si>
  <x:si>
    <x:t xml:space="preserve">ควนกาหลง</x:t>
  </x:si>
  <x:si>
    <x:t xml:space="preserve">คลองลำโลน</x:t>
  </x:si>
  <x:si>
    <x:t xml:space="preserve">{"id":1316368335,"waterlevel_datetime":"2026-10-01 15:10","waterlevel_m":null,"waterlevel_msl":"21.67","waterlevel_msl_previous":"21.67","flow_rate":null,"discharge":null,"storage_percent":"31.82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Basin"}},"station":{"id":12349,"tele_station_name":{"en":"Khuan Kalong","th":"ควนกาหลง"},"tele_station_lat":6.928349,"tele_station_long":99.936035,"tele_station_oldcode":"STU004","tele_station_type":"tele_waterlevel","left_bank":28.887,"right_bank":26.037,"min_bank":26.04,"ground_level":19.632,"offset":null,"sub_basin_id":351,"agency_id":9,"geocode_id":7938,"hydro_id":null,"qmax":null,"is_key_station":false,"warning_level_m":null,"critical_level_m":null,"critical_level_msl":null},"geocode":{"area_code":"5","area_name":{"th":"ภาคใต้","en":"South"},"amphoe_code":"03","amphoe_name":{"th":"ควนกาหลง","en":"Khuan Kalong District"},"tumbon_code":"03","tumbon_name":{"th":"อุใดเจริญ","en":"Udai Charoen"},"province_code":"91","province_name":{"th":"สตูล","en":"Satun"}},"diff_wl_bank":"4.37","diff_wl_bank_text":"ต่ำกว่าตลิ่ง (ม.)","river_gid":227698,"river_name":"คลองลำโลน"}</x:t>
  </x:si>
  <x:si>
    <x:t xml:space="preserve">THAIWATER_WL:414</x:t>
  </x:si>
  <x:si>
    <x:t xml:space="preserve">CHM004</x:t>
  </x:si>
  <x:si>
    <x:t xml:space="preserve">เชียงดาว</x:t>
  </x:si>
  <x:si>
    <x:t xml:space="preserve">{"id":1316367975,"waterlevel_datetime":"2026-10-01 15:10","waterlevel_m":null,"waterlevel_msl":"379.20","waterlevel_msl_previous":"379.20","flow_rate":null,"discharge":null,"storage_percent":"31.76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Basin"}},"station":{"id":414,"tele_station_name":{"en":"Chiang Mai 4","th":"เชียงดาว"},"tele_station_lat":19.36728,"tele_station_long":98.96884,"tele_station_oldcode":"CHM004","tele_station_type":"tele_waterlevel","left_bank":381.718,"right_bank":382.388,"min_bank":381.72,"ground_level":378.034,"offset":null,"sub_basin_id":156,"agency_id":9,"geocode_id":4727,"hydro_id":null,"qmax":null,"is_key_station":false,"warning_level_m":null,"critical_level_m":null,"critical_level_msl":null},"geocode":{"area_code":"3","area_name":{"th":"ภาคเหนือ","en":"North"},"amphoe_code":"04","amphoe_name":{"th":"เชียงดาว","en":"Chiang Dao District"},"tumbon_code":"01","tumbon_name":{"th":"เชียงดาว","en":"Chiang Dao"},"province_code":"50","province_name":{"th":"เชียงใหม่","en":"Chiang Mai"}},"diff_wl_bank":"2.51","diff_wl_bank_text":"ต่ำกว่าตลิ่ง (ม.)","river_gid":17460,"river_name":"แม่น้ำปิง"}</x:t>
  </x:si>
  <x:si>
    <x:t xml:space="preserve">THAIWATER_WL:1106448</x:t>
  </x:si>
  <x:si>
    <x:t xml:space="preserve">TCP002</x:t>
  </x:si>
  <x:si>
    <x:t xml:space="preserve">ปตร.ปลายคลองบางซอ (ทุ่งเจ้าเจ็ด)</x:t>
  </x:si>
  <x:si>
    <x:t xml:space="preserve">{"id":1316368369,"waterlevel_datetime":"2026-10-01 15:10","waterlevel_m":null,"waterlevel_msl":"1.39","waterlevel_msl_previous":"1.38","flow_rate":null,"discharge":null,"storage_percent":"31.59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Organization)","jp":""},"agency_shortname":{"th":"สสน.","en":"HII","jp":""}},"basin":{"id":14,"basin_code":13,"basin_name":{"th":"ลุ่มน้ำท่าจีน","en":"Tha Chin Basin"}},"station":{"id":1106448,"tele_station_name":{"en":"Khlong Bang So","th":"ปตร.ปลายคลองบางซอ (ทุ่งเจ้าเจ็ด)"},"tele_station_lat":14.194874,"tele_station_long":100.13267,"tele_station_oldcode":"TCP002","tele_station_type":"tele_waterlevel","left_bank":4.4,"right_bank":4.4,"min_bank":4.4,"ground_level":0,"offset":null,"sub_basin_id":259,"agency_id":9,"geocode_id":6772,"hydro_id":null,"qmax":null,"is_key_station":false,"warning_level_m":null,"critical_level_m":null,"critical_level_msl":null},"geocode":{"area_code":"2","area_name":{"th":"ภาคกลาง","en":"Central"},"amphoe_code":"07","amphoe_name":{"th":"สองพี่น้อง","en":"Song Phi Nong District"},"tumbon_code":"03","tumbon_name":{"th":"บางตาเถร","en":"Bang Ta Then"},"province_code":"72","province_name":{"th":"สุพรรณบุรี","en":"Suphan Buri"}},"diff_wl_bank":"3.01","diff_wl_bank_text":"ต่ำกว่าตลิ่ง (ม.)","river_gid":184190,"river_name":"แม่น้ำสุพรรณ"}</x:t>
  </x:si>
  <x:si>
    <x:t xml:space="preserve">THAIWATER_WL:385586</x:t>
  </x:si>
  <x:si>
    <x:t xml:space="preserve">TBW021</x:t>
  </x:si>
  <x:si>
    <x:t xml:space="preserve">สะพานมิตรภาพรับร่อ-หินแก้ว</x:t>
  </x:si>
  <x:si>
    <x:t xml:space="preserve">คลองรับรอ</x:t>
  </x:si>
  <x:si>
    <x:t xml:space="preserve">{"id":1316368356,"waterlevel_datetime":"2026-10-01 15:10","waterlevel_m":null,"waterlevel_msl":"9.38","waterlevel_msl_previous":"9.39","flow_rate":null,"discharge":null,"storage_percent":"31.53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Basin"}},"station":{"id":385586,"tele_station_name":{"en":"Rap Ro - Hin Kaeo Bridge","th":"สะพานมิตรภาพรับร่อ-หินแก้ว"},"tele_station_lat":10.607499,"tele_station_long":99.095345,"tele_station_oldcode":"TBW021","tele_station_type":"tele_waterlevel","left_bank":15.671,"right_bank":16.701,"min_bank":15.67,"ground_level":6.483,"offset":null,"sub_basin_id":310,"agency_id":9,"geocode_id":7717,"hydro_id":null,"qmax":null,"is_key_station":false,"warning_level_m":null,"critical_level_m":null,"critical_level_msl":null},"geocode":{"area_code":"5","area_name":{"th":"ภาคใต้","en":"South"},"amphoe_code":"02","amphoe_name":{"th":"ท่าแซะ","en":"Tha Sae District"},"tumbon_code":"05","tumbon_name":{"th":"รับร่อ","en":"Rap Ro"},"province_code":"86","province_name":{"th":"ชุมพร","en":"Chumphon"}},"diff_wl_bank":"6.29","diff_wl_bank_text":"ต่ำกว่าตลิ่ง (ม.)","river_gid":213031,"river_name":"คลองรับรอ"}</x:t>
  </x:si>
  <x:si>
    <x:t xml:space="preserve">THAIWATER_WL:454</x:t>
  </x:si>
  <x:si>
    <x:t xml:space="preserve">WAN004</x:t>
  </x:si>
  <x:si>
    <x:t xml:space="preserve">เกาะคา</x:t>
  </x:si>
  <x:si>
    <x:t xml:space="preserve">{"id":1316368425,"waterlevel_datetime":"2026-10-01 15:10","waterlevel_m":null,"waterlevel_msl":"210.92","waterlevel_msl_previous":"210.93","flow_rate":null,"discharge":null,"storage_percent":"31.46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Organization)","jp":""},"agency_shortname":{"th":"สสน.","en":"HII","jp":""}},"basin":{"id":7,"basin_code":7,"basin_name":{"th":"ลุ่มน้ำวัง","en":"Wang Basin"}},"station":{"id":454,"tele_station_name":{"en":"Wang 4","th":"เกาะคา"},"tele_station_lat":18.15915,"tele_station_long":99.38407,"tele_station_oldcode":"WAN004","tele_station_type":"tele_waterlevel","left_bank":214.45,"right_bank":214.772,"min_bank":214.45,"ground_level":209.304,"offset":null,"sub_basin_id":190,"agency_id":9,"geocode_id":5010,"hydro_id":null,"qmax":null,"is_key_station":false,"warning_level_m":null,"critical_level_m":null,"critical_level_msl":null},"geocode":{"area_code":"3","area_name":{"th":"ภาคเหนือ","en":"North"},"amphoe_code":"03","amphoe_name":{"th":"เกาะคา","en":"Ko Kha District"},"tumbon_code":"04","tumbon_name":{"th":"วังพร้าว","en":"Wang Phrao"},"province_code":"52","province_name":{"th":"ลำปาง","en":"Lampang"}},"diff_wl_bank":"3.53","diff_wl_bank_text":"ต่ำกว่าตลิ่ง (ม.)","river_gid":65427,"river_name":"แม่น้ำวัง"}</x:t>
  </x:si>
  <x:si>
    <x:t xml:space="preserve">THAIWATER_WL:740736</x:t>
  </x:si>
  <x:si>
    <x:t xml:space="preserve">FOP035</x:t>
  </x:si>
  <x:si>
    <x:t xml:space="preserve">สะพานข้ามคลองวังเคียน</x:t>
  </x:si>
  <x:si>
    <x:t xml:space="preserve">คลองวังเคียน</x:t>
  </x:si>
  <x:si>
    <x:t xml:space="preserve">{"id":1316362674,"waterlevel_datetime":"2026-10-01 15:00","waterlevel_m":null,"waterlevel_msl":"10.86","waterlevel_msl_previous":"10.86","flow_rate":null,"discharge":null,"storage_percent":"31.44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Foundation","jp":""},"agency_shortname":{"th":"พพภ","en":"FOP","jp":""}},"basin":{"id":22,"basin_code":19,"basin_name":{"th":"ลุ่มน้ำภาคใต้ฝั่งตะวันออกตอนบน","en":"Peninsula - Upper East Coast Basin"}},"station":{"id":740736,"tele_station_name":{"en":"Khlong Wang Khian Bridge","th":"สะพานข้ามคลองวังเคียน"},"tele_station_lat":7.954553,"tele_station_long":99.896324,"tele_station_oldcode":"FOP035","tele_station_type":"tele_waterlevel","left_bank":16.0958,"right_bank":16.0498,"min_bank":16.05,"ground_level":8.4798,"offset":null,"sub_basin_id":327,"sponsor_by":"มูลนิธิอาสาเพื่อนพึ่ง (ภาฯ) ยามยาก สภากาชาดไทย","agency_id":91,"geocode_id":7235,"hydro_id":null,"qmax":null,"is_key_station":false,"warning_level_m":null,"critical_level_m":null,"critical_level_msl":null},"geocode":{"area_code":"5","area_name":{"th":"ภาคใต้","en":"South"},"amphoe_code":"07","amphoe_name":{"th":"ชะอวด","en":"Cha-uat District"},"tumbon_code":"05","tumbon_name":{"th":"วังอ่าง","en":"Wang Ang"},"province_code":"80","province_name":{"th":"นครศรีธรรมราช","en":"Nakhon Si Thammarat"}},"diff_wl_bank":"5.19","diff_wl_bank_text":"ต่ำกว่าตลิ่ง (ม.)","river_gid":222949,"river_name":"คลองวังเคียน"}</x:t>
  </x:si>
  <x:si>
    <x:t xml:space="preserve">THAIWATER_WL:12484</x:t>
  </x:si>
  <x:si>
    <x:t xml:space="preserve">TPI006</x:t>
  </x:si>
  <x:si>
    <x:t xml:space="preserve">พระแสง</x:t>
  </x:si>
  <x:si>
    <x:t xml:space="preserve">{"id":1316368400,"waterlevel_datetime":"2026-10-01 15:10","waterlevel_m":null,"waterlevel_msl":"7.78","waterlevel_msl_previous":"7.77","flow_rate":null,"discharge":null,"storage_percent":"31.35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Basin"}},"station":{"id":12484,"tele_station_name":{"en":"Tapi 6","th":"พระแสง"},"tele_station_lat":8.537499,"tele_station_long":99.181015,"tele_station_oldcode":"TPI006","tele_station_type":"tele_waterlevel","left_bank":12.75,"right_bank":13.288,"min_bank":12.75,"ground_level":5.51,"offset":null,"sub_basin_id":322,"agency_id":9,"geocode_id":7628,"hydro_id":null,"qmax":null,"is_key_station":false,"warning_level_m":null,"critical_level_m":null,"critical_level_msl":null},"geocode":{"area_code":"5","area_name":{"th":"ภาคใต้","en":"South"},"amphoe_code":"16","amphoe_name":{"th":"พระแสง","en":"Phrasaeng District"},"tumbon_code":"04","tumbon_name":{"th":"ไทรขึง","en":"Sai Khueng"},"province_code":"84","province_name":{"th":"สุราษฎร์ธานี","en":"Surat Thani"}},"diff_wl_bank":"4.97","diff_wl_bank_text":"ต่ำกว่าตลิ่ง (ม.)","river_gid":219202,"river_name":"คลองอิปัน"}</x:t>
  </x:si>
  <x:si>
    <x:t xml:space="preserve">THAIWATER_WL:1116839</x:t>
  </x:si>
  <x:si>
    <x:t xml:space="preserve">FOP065</x:t>
  </x:si>
  <x:si>
    <x:t xml:space="preserve">สะพานข้ามแม่น้ำลาว-บ้านป่าสัก</x:t>
  </x:si>
  <x:si>
    <x:t xml:space="preserve">{"id":1316367744,"waterlevel_datetime":"2026-10-01 15:10","waterlevel_m":null,"waterlevel_msl":"544.40","waterlevel_msl_previous":"544.42","flow_rate":null,"discharge":null,"storage_percent":"31.34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Foundation","jp":""},"agency_shortname":{"th":"พพภ","en":"FOP","jp":""}},"basin":{"id":2,"basin_code":2,"basin_name":{"th":"ลุ่มน้ำโขงเหนือ","en":"North Khong Basin"}},"station":{"id":1116839,"tele_station_name":{"en":"Bridge over the Lao River - Ban Pa Sak","th":"สะพานข้ามแม่น้ำลาว-บ้านป่าสัก"},"tele_station_lat":19.301765,"tele_station_long":99.51751,"tele_station_oldcode":"FOP065","tele_station_type":"tele_waterlevel","left_bank":547.502,"right_bank":548.18,"min_bank":547.5,"ground_level":542.984,"offset":null,"sub_basin_id":28,"sponsor_by":"มูลนิธิอาสาเพื่อนพึ่ง (ภาฯ) ยามยาก สภากาชาดไทย","agency_id":91,"geocode_id":5556,"hydro_id":null,"qmax":null,"is_key_station":false,"warning_level_m":null,"critical_level_m":null,"critical_level_msl":null},"geocode":{"area_code":"3","area_name":{"th":"ภาคเหนือ","en":"North"},"amphoe_code":"11","amphoe_name":{"th":"เวียงป่าเป้า","en":"Wiang Pa Pao District"},"tumbon_code":"04","tumbon_name":{"th":"ป่างิ้ว","en":"Pa Ngio"},"province_code":"57","province_name":{"th":"เชียงราย","en":"Chiang Rai"}},"diff_wl_bank":"3.10","diff_wl_bank_text":"ต่ำกว่าตลิ่ง (ม.)","river_gid":19272,"river_name":"น้ำแม่ลาว"}</x:t>
  </x:si>
  <x:si>
    <x:t xml:space="preserve">THAIWATER_WL:2596</x:t>
  </x:si>
  <x:si>
    <x:t xml:space="preserve">X.47</x:t>
  </x:si>
  <x:si>
    <x:t xml:space="preserve">บ้านท่าจีน</x:t>
  </x:si>
  <x:si>
    <x:t xml:space="preserve">{"id":1316344728,"waterlevel_datetime":"2026-10-01 14:00","waterlevel_m":null,"waterlevel_msl":"1.66","waterlevel_msl_previous":"1.42","flow_rate":null,"discharge":null,"storage_percent":"31.32","sort_order":null,"station_type":"tele_waterlevel","situation_level":3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2596,"tele_station_name":{"th":"บ้านท่าจีน"},"tele_station_lat":7.55583,"tele_station_long":99.578438,"tele_station_oldcode":"X.47","tele_station_type":"tele_waterlevel","left_bank":5.3,"right_bank":5.3,"min_bank":5.3,"ground_level":0,"offset":null,"sub_basin_id":349,"agency_id":12,"geocode_id":7968,"hydro_id":8,"qmax":null,"is_key_station":true,"warning_level_m":null,"critical_level_m":null,"critical_level_msl":null},"geocode":{"area_code":"5","area_name":{"th":"ภาคใต้","en":"South"},"amphoe_code":"01","amphoe_name":{"th":"เมืองตรัง","en":"Mueang Trang District"},"tumbon_code":"09","tumbon_name":{"th":"บางรัก","en":"Bang Rak"},"province_code":"92","province_name":{"th":"ตรัง","en":"Trang"}},"diff_wl_bank":"3.64","diff_wl_bank_text":"ต่ำกว่าตลิ่ง (ม.)","river_gid":224732,"river_name":"แม่น้ำตรัง"}</x:t>
  </x:si>
  <x:si>
    <x:t xml:space="preserve">THAIWATER_WL:628</x:t>
  </x:si>
  <x:si>
    <x:t xml:space="preserve">PIN001</x:t>
  </x:si>
  <x:si>
    <x:t xml:space="preserve">บ้านตาก</x:t>
  </x:si>
  <x:si>
    <x:t xml:space="preserve">{"id":1316368233,"waterlevel_datetime":"2026-10-01 15:10","waterlevel_m":null,"waterlevel_msl":"118.93","waterlevel_msl_previous":"118.93","flow_rate":null,"discharge":null,"storage_percent":"31.20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Basin"}},"station":{"id":628,"tele_station_name":{"en":"Ping 1","th":"บ้านตาก"},"tele_station_lat":17.04066,"tele_station_long":99.06628,"tele_station_oldcode":"PIN001","tele_station_type":"tele_waterlevel","left_bank":121.603,"right_bank":122.568,"min_bank":121.6,"ground_level":117.722,"offset":null,"sub_basin_id":177,"agency_id":9,"geocode_id":5983,"hydro_id":null,"qmax":null,"is_key_station":false,"warning_level_m":null,"critical_level_m":null,"critical_level_msl":null},"geocode":{"area_code":"3","area_name":{"th":"ภาคเหนือ","en":"North"},"amphoe_code":"02","amphoe_name":{"th":"บ้านตาก","en":"Ban Tak District"},"tumbon_code":"04","tumbon_name":{"th":"ตากตก","en":"Tak Tok"},"province_code":"63","province_name":{"th":"ตาก","en":"Tak"}},"diff_wl_bank":"2.67","diff_wl_bank_text":"ต่ำกว่าตลิ่ง (ม.)","river_gid":88725,"river_name":"แม่น้ำปิง"}</x:t>
  </x:si>
  <x:si>
    <x:t xml:space="preserve">THAIWATER_WL:550</x:t>
  </x:si>
  <x:si>
    <x:t xml:space="preserve">CHR004</x:t>
  </x:si>
  <x:si>
    <x:t xml:space="preserve">แม่สรวย</x:t>
  </x:si>
  <x:si>
    <x:t xml:space="preserve">{"id":1316367984,"waterlevel_datetime":"2026-10-01 15:10","waterlevel_m":null,"waterlevel_msl":"451.44","waterlevel_msl_previous":"451.45","flow_rate":null,"discharge":null,"storage_percent":"31.08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Basin"}},"station":{"id":550,"tele_station_name":{"en":"Chaing Rai 4","th":"แม่สรวย"},"tele_station_lat":19.65265,"tele_station_long":99.5379,"tele_station_oldcode":"CHR004","tele_station_type":"tele_waterlevel","left_bank":453.954,"right_bank":454.543,"min_bank":453.95,"ground_level":450.309,"offset":null,"sub_basin_id":28,"agency_id":9,"geocode_id":5545,"hydro_id":null,"qmax":null,"is_key_station":false,"warning_level_m":null,"critical_level_m":null,"critical_level_msl":null},"geocode":{"area_code":"3","area_name":{"th":"ภาคเหนือ","en":"North"},"amphoe_code":"10","amphoe_name":{"th":"แม่สรวย","en":"Mae Suai District"},"tumbon_code":"01","tumbon_name":{"th":"แม่สรวย","en":"Mae Saruai"},"province_code":"57","province_name":{"th":"เชียงราย","en":"Chiang Rai"}},"diff_wl_bank":"2.51","diff_wl_bank_text":"ต่ำกว่าตลิ่ง (ม.)","river_gid":8625,"river_name":"น้ำแม่ลาว"}</x:t>
  </x:si>
  <x:si>
    <x:t xml:space="preserve">THAIWATER_WL:1475118</x:t>
  </x:si>
  <x:si>
    <x:t xml:space="preserve">MOU301</x:t>
  </x:si>
  <x:si>
    <x:t xml:space="preserve">สะพานน้ำแม่งัด</x:t>
  </x:si>
  <x:si>
    <x:t xml:space="preserve">{"id":1316367774,"waterlevel_datetime":"2026-10-01 15:10","waterlevel_m":null,"waterlevel_msl":"398.60","waterlevel_msl_previous":"398.60","flow_rate":null,"discharge":null,"storage_percent":"31.00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Basin"}},"station":{"id":1475118,"tele_station_name":{"en":"Ngad Bridge","th":"สะพานน้ำแม่งัด"},"tele_station_lat":19.238968,"tele_station_long":99.18048,"tele_station_oldcode":"MOU301","tele_station_type":"tele_waterlevel","left_bank":401.024,"right_bank":401.7,"min_bank":401.02,"ground_level":397.511,"offset":null,"sub_basin_id":157,"sponsor_by":"บริษัท ไทยเบฟเวอเรจ จำกัด (มหาชน) ","agency_id":91,"geocode_id":4808,"hydro_id":null,"qmax":null,"is_key_station":false,"warning_level_m":null,"critical_level_m":null,"critical_level_msl":null},"geocode":{"area_code":"3","area_name":{"th":"ภาคเหนือ","en":"North"},"amphoe_code":"11","amphoe_name":{"th":"พร้าว","en":"Phrao District"},"tumbon_code":"10","tumbon_name":{"th":"แม่ปั๋ง","en":"Mae Pang"},"province_code":"50","province_name":{"th":"เชียงใหม่","en":"Chiang Mai"}},"diff_wl_bank":"2.42","diff_wl_bank_text":"ต่ำกว่าตลิ่ง (ม.)"}</x:t>
  </x:si>
  <x:si>
    <x:t xml:space="preserve">THAIWATER_WL:2985</x:t>
  </x:si>
  <x:si>
    <x:t xml:space="preserve">S.33</x:t>
  </x:si>
  <x:si>
    <x:t xml:space="preserve">ต.ตาดกลอย</x:t>
  </x:si>
  <x:si>
    <x:t xml:space="preserve">{"id":1316341588,"waterlevel_datetime":"2026-10-01 14:00","waterlevel_m":null,"waterlevel_msl":"193.37","waterlevel_msl_previous":"193.38","flow_rate":null,"discharge":"6.87","storage_percent":"30.50","sort_order":null,"station_type":"tele_waterlevel","situation_level":3,"agency":{"id":12,"agency_name":{"th":"กรมชลประทาน ","en":"Royal Irrigation Department","jp":""},"agency_shortname":{"th":"ชป.","en":"RID","jp":""}},"basin":{"id":13,"basin_code":12,"basin_name":{"th":"ลุ่มน้ำป่าสัก","en":"Pasak Basin"}},"station":{"id":2985,"tele_station_name":{"th":"ต.ตาดกลอย"},"tele_station_lat":17.004061,"tele_station_long":101.352898,"tele_station_oldcode":"S.33","tele_station_type":"tele_waterlevel","left_bank":389.015996,"right_bank":388.55199600000003,"min_bank":198.93,"ground_level":190.93,"offset":190.089996,"sub_basin_id":247,"agency_id":12,"geocode_id":6400,"hydro_id":2,"qmax":415,"is_key_station":true,"warning_level_m":null,"critical_level_m":null,"critical_level_msl":null},"geocode":{"area_code":"3","area_name":{"th":"ภาคเหนือ","en":"North"},"amphoe_code":"04","amphoe_name":{"th":"หล่มเก่า","en":"Lom Kao District"},"tumbon_code":"09","tumbon_name":{"th":"ตาดกลอย","en":"Tat Kloi"},"province_code":"67","province_name":{"th":"เพชรบูรณ์","en":"Phetchabun"}},"diff_wl_bank":"5.56","diff_wl_bank_text":"ต่ำกว่าตลิ่ง (ม.)","river_gid":162094,"river_name":"แม่น้ำป่าสัก"}</x:t>
  </x:si>
  <x:si>
    <x:t xml:space="preserve">THAIWATER_WL:1198761</x:t>
  </x:si>
  <x:si>
    <x:t xml:space="preserve">YOM015</x:t>
  </x:si>
  <x:si>
    <x:t xml:space="preserve">แม่ต้า</x:t>
  </x:si>
  <x:si>
    <x:t xml:space="preserve">น้ำแม่ต้า</x:t>
  </x:si>
  <x:si>
    <x:t xml:space="preserve">{"id":1316368444,"waterlevel_datetime":"2026-10-01 15:10","waterlevel_m":null,"waterlevel_msl":"182.36","waterlevel_msl_previous":"182.36","flow_rate":null,"discharge":null,"storage_percent":"30.37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Basin"}},"station":{"id":1198761,"tele_station_name":{"en":"Mother Ta","th":"แม่ต้า"},"tele_station_lat":18.243488,"tele_station_long":99.97737,"tele_station_oldcode":"YOM015","tele_station_type":"tele_waterlevel","left_bank":185.8563,"right_bank":187.2144,"min_bank":185.86,"ground_level":180.8349,"offset":null,"sub_basin_id":206,"agency_id":9,"geocode_id":5209,"hydro_id":null,"qmax":null,"is_key_station":false,"warning_level_m":null,"critical_level_m":null,"critical_level_msl":null},"geocode":{"area_code":"3","area_name":{"th":"ภาคเหนือ","en":"North"},"amphoe_code":"03","amphoe_name":{"th":"ลอง","en":"Long District"},"tumbon_code":"04","tumbon_name":{"th":"เวียงต้า","en":"Wiang Ta"},"province_code":"54","province_name":{"th":"แพร่","en":"Phrae"}},"diff_wl_bank":"3.50","diff_wl_bank_text":"ต่ำกว่าตลิ่ง (ม.)","river_gid":62334,"river_name":"น้ำแม่ต้า"}</x:t>
  </x:si>
  <x:si>
    <x:t xml:space="preserve">THAIWATER_WL:2591</x:t>
  </x:si>
  <x:si>
    <x:t xml:space="preserve">X.44</x:t>
  </x:si>
  <x:si>
    <x:t xml:space="preserve">บ้านหาดใหญ่ใน</x:t>
  </x:si>
  <x:si>
    <x:t xml:space="preserve">{"id":1316344726,"waterlevel_datetime":"2026-10-01 14:00","waterlevel_m":null,"waterlevel_msl":"0.63","waterlevel_msl_previous":"0.61","flow_rate":null,"discharge":"23.90","storage_percent":"30.30","sort_order":null,"station_type":"tele_waterlevel","situation_level":3,"agency":{"id":12,"agency_name":{"th":"กรมชลประทาน ","en":"Royal Irrigation Department","jp":""},"agency_shortname":{"th":"ชป.","en":"RID","jp":""}},"basin":{"id":24,"basin_code":20,"basin_name":{"th":"ลุ่มน้ำทะเลสาบสงขลา","en":"Thale Sap Songkhla Basin"}},"station":{"id":2591,"tele_station_name":{"th":"บ้านหาดใหญ่ใน"},"tele_station_lat":7.00218,"tele_station_long":100.456062,"tele_station_oldcode":"X.44","tele_station_type":"tele_waterlevel","left_bank":8.68,"right_bank":8.661,"min_bank":7.15,"ground_level":-2.204,"offset":null,"sub_basin_id":330,"agency_id":12,"geocode_id":7871,"hydro_id":8,"qmax":481,"is_key_station":true,"warning_level_m":null,"critical_level_m":7.44,"critical_level_msl":7.44},"geocode":{"area_code":"5","area_name":{"th":"ภาคใต้","en":"South"},"amphoe_code":"11","amphoe_name":{"th":"หาดใหญ่","en":"Hat Yai District"},"tumbon_code":"01","tumbon_name":{"th":"หาดใหญ่","en":"Hat Yai"},"province_code":"90","province_name":{"th":"สงขลา","en":"Songkhla"}},"diff_wl_bank":"6.52","diff_wl_bank_text":"ต่ำกว่าตลิ่ง (ม.)","river_gid":227404,"river_name":"คลองอู่ตะเภา"}</x:t>
  </x:si>
  <x:si>
    <x:t xml:space="preserve">THAIWATER_WL:3523</x:t>
  </x:si>
  <x:si>
    <x:t xml:space="preserve">URTD01</x:t>
  </x:si>
  <x:si>
    <x:t xml:space="preserve">ลำน้ำพอง (เหนือฝายหนองหวาย)</x:t>
  </x:si>
  <x:si>
    <x:t xml:space="preserve">ลำน้ำพอง</x:t>
  </x:si>
  <x:si>
    <x:t xml:space="preserve">{"id":1316367484,"waterlevel_datetime":"2026-10-01 15:00","waterlevel_m":null,"waterlevel_msl":"162.60","waterlevel_msl_previous":"162.59","flow_rate":null,"discharge":null,"storage_percent":"30.04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Thailand","jp":""},"agency_shortname":{"th":"กฟผ.","en":"EGAT","jp":""}},"basin":{"id":4,"basin_code":4,"basin_name":{"th":"ลุ่มน้ำชี","en":"Chi Basin Basin"}},"station":{"id":3523,"tele_station_name":{"th":"ลำน้ำพอง (เหนือฝายหนองหวาย)"},"tele_station_lat":16.724766,"tele_station_long":102.803416,"tele_station_oldcode":"URTD01","tele_station_type":"tele_waterlevel","left_bank":168.4849,"right_bank":168.5369,"min_bank":168.48,"ground_level":160.0759,"offset":null,"sub_basin_id":93,"agency_id":8,"geocode_id":3288,"hydro_id":null,"qmax":null,"is_key_station":false,"warning_level_m":null,"critical_level_m":null,"critical_level_msl":164.91},"geocode":{"area_code":"4","area_name":{"th":"ภาคตะวันออกเฉียงเหนือ","en":"Northeast"},"amphoe_code":"07","amphoe_name":{"th":"น้ำพอง","en":"Nam Phong District"},"tumbon_code":"01","tumbon_name":{"th":"น้ำพอง","en":"Nam Phong"},"province_code":"40","province_name":{"th":"ขอนแก่น","en":"Khon Kaen"}},"diff_wl_bank":"5.88","diff_wl_bank_text":"ต่ำกว่าตลิ่ง (ม.)","river_gid":128401,"river_name":"ลำน้ำพอง"}</x:t>
  </x:si>
  <x:si>
    <x:t xml:space="preserve">THAIWATER_WL:1422304</x:t>
  </x:si>
  <x:si>
    <x:t xml:space="preserve">BBU01</x:t>
  </x:si>
  <x:si>
    <x:t xml:space="preserve">แม่น้ำปิงที่ อ.จอมทอง</x:t>
  </x:si>
  <x:si>
    <x:t xml:space="preserve">เฝ้าระวัง</x:t>
  </x:si>
  <x:si>
    <x:t xml:space="preserve">{"id":1316366282,"waterlevel_datetime":"2026-10-01 15:00","waterlevel_m":null,"waterlevel_msl":"273.25","waterlevel_msl_previous":"273.23","flow_rate":null,"discharge":null,"storage_percent":"30.00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Thailand","jp":""},"agency_shortname":{"th":"กฟผ.","en":"EGAT","jp":""}},"basin":{"id":6,"basin_code":6,"basin_name":{"th":"ลุ่มน้ำปิง","en":"Ping Basin"}},"station":{"id":1422304,"tele_station_name":{"th":"แม่น้ำปิงที่ อ.จอมทอง"},"tele_station_lat":18.435266,"tele_station_long":98.740107,"tele_station_oldcode":"BBU01","tele_station_type":"tele_waterlevel","left_bank":280.628,"right_bank":280.8,"min_bank":280.63,"ground_level":270.084,"offset":null,"sub_basin_id":166,"agency_id":8,"geocode_id":4915,"hydro_id":null,"qmax":null,"is_key_station":false,"warning_level_m":null,"critical_level_m":null,"critical_level_msl":280.63},"geocode":{"area_code":"3","area_name":{"th":"ภาคเหนือ","en":"North"},"amphoe_code":"24","amphoe_name":{"th":"ดอยหล่อ","en":"Doi Lo District"},"tumbon_code":"01","tumbon_name":{"th":"ดอยหล่อ","en":"Doi Lo"},"province_code":"50","province_name":{"th":"เชียงใหม่","en":"Chiang Mai"}},"diff_wl_bank":"7.38","diff_wl_bank_text":"ต่ำกว่าตลิ่ง (ม.)"}</x:t>
  </x:si>
  <x:si>
    <x:t xml:space="preserve">THAIWATER_WL:1109531</x:t>
  </x:si>
  <x:si>
    <x:t xml:space="preserve">ONE042</x:t>
  </x:si>
  <x:si>
    <x:t xml:space="preserve">สะพานคลองแม่น้ำเก่า</x:t>
  </x:si>
  <x:si>
    <x:t xml:space="preserve">คลองแม่น้ำเก่า</x:t>
  </x:si>
  <x:si>
    <x:t xml:space="preserve">{"id":1316368216,"waterlevel_datetime":"2026-10-01 15:10","waterlevel_m":null,"waterlevel_msl":"55.84","waterlevel_msl_previous":"55.84","flow_rate":null,"discharge":null,"storage_percent":"29.96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Basin"}},"station":{"id":1109531,"tele_station_name":{"en":"Khlong Nam Kao Bridge","th":"สะพานคลองแม่น้ำเก่า"},"tele_station_lat":17.341522,"tele_station_long":99.85578,"tele_station_oldcode":"ONE042","tele_station_type":"tele_waterlevel","left_bank":61.915,"right_bank":62.123,"min_bank":61.92,"ground_level":53.242,"offset":null,"sub_basin_id":209,"agency_id":9,"geocode_id":6107,"hydro_id":null,"qmax":null,"is_key_station":false,"warning_level_m":null,"critical_level_m":null,"critical_level_msl":null},"geocode":{"area_code":"3","area_name":{"th":"ภาคเหนือ","en":"North"},"amphoe_code":"07","amphoe_name":{"th":"สวรรคโลก","en":"Sawankhalok District"},"tumbon_code":"02","tumbon_name":{"th":"ในเมือง","en":"Nai Mueang"},"province_code":"64","province_name":{"th":"สุโขทัย","en":"Sukhothai"}},"diff_wl_bank":"6.07","diff_wl_bank_text":"ต่ำกว่าตลิ่ง (ม.)","river_gid":84811,"river_name":"คลองแม่น้ำเก่า"}</x:t>
  </x:si>
  <x:si>
    <x:t xml:space="preserve">THAIWATER_WL:2867</x:t>
  </x:si>
  <x:si>
    <x:t xml:space="preserve">E.70</x:t>
  </x:si>
  <x:si>
    <x:t xml:space="preserve">บ้านกุดก่วง</x:t>
  </x:si>
  <x:si>
    <x:t xml:space="preserve">ลำน้ำยัง</x:t>
  </x:si>
  <x:si>
    <x:t xml:space="preserve">{"id":1316353909,"waterlevel_datetime":"2026-10-01 14:00","waterlevel_m":null,"waterlevel_msl":"132.71","waterlevel_msl_previous":"132.72","flow_rate":null,"discharge":"24.30","storage_percent":"29.90","sort_order":null,"station_type":"tele_waterlevel","situation_level":2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2867,"tele_station_name":{"th":"บ้านกุดก่วง"},"tele_station_lat":16.288441,"tele_station_long":104.00489,"tele_station_oldcode":"E.70","tele_station_type":"tele_waterlevel","left_bank":275.742006,"right_bank":275.181006,"min_bank":140.1,"ground_level":129.558,"offset":131.100006,"sub_basin_id":101,"agency_id":12,"geocode_id":4098,"hydro_id":3,"qmax":500,"is_key_station":true,"warning_level_m":null,"critical_level_m":null,"critical_level_msl":null},"geocode":{"area_code":"4","area_name":{"th":"ภาคตะวันออกเฉียงเหนือ","en":"Northeast"},"amphoe_code":"07","amphoe_name":{"th":"โพนทอง","en":"Phon Thong District"},"tumbon_code":"13","tumbon_name":{"th":"วังสามัคคี","en":"Wang Samakkhi"},"province_code":"45","province_name":{"th":"ร้อยเอ็ด","en":"Roi Et"}},"diff_wl_bank":"7.39","diff_wl_bank_text":"ต่ำกว่าตลิ่ง (ม.)","river_gid":132327,"river_name":"ลำน้ำยัง"}</x:t>
  </x:si>
  <x:si>
    <x:t xml:space="preserve">THAIWATER_WL:493</x:t>
  </x:si>
  <x:si>
    <x:t xml:space="preserve">YOM004</x:t>
  </x:si>
  <x:si>
    <x:t xml:space="preserve">เด่นชัย</x:t>
  </x:si>
  <x:si>
    <x:t xml:space="preserve">{"id":1316368436,"waterlevel_datetime":"2026-10-01 15:10","waterlevel_m":null,"waterlevel_msl":"139.47","waterlevel_msl_previous":"139.47","flow_rate":null,"discharge":null,"storage_percent":"29.78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Basin"}},"station":{"id":493,"tele_station_name":{"en":"Yom 4","th":"เด่นชัย"},"tele_station_lat":18.0208,"tele_station_long":100.0588,"tele_station_oldcode":"YOM004","tele_station_type":"tele_waterlevel","left_bank":147.617,"right_bank":149.273,"min_bank":147.62,"ground_level":136.017,"offset":null,"sub_basin_id":205,"agency_id":9,"geocode_id":5229,"hydro_id":null,"qmax":null,"is_key_station":false,"warning_level_m":null,"critical_level_m":null,"critical_level_msl":null},"geocode":{"area_code":"3","area_name":{"th":"ภาคเหนือ","en":"North"},"amphoe_code":"05","amphoe_name":{"th":"เด่นชัย","en":"Den Chai District"},"tumbon_code":"01","tumbon_name":{"th":"เด่นชัย","en":"Den Chai"},"province_code":"54","province_name":{"th":"แพร่","en":"Phrae"}},"diff_wl_bank":"8.14","diff_wl_bank_text":"ต่ำกว่าตลิ่ง (ม.)","river_gid":70532,"river_name":"แม่น้ำยม"}</x:t>
  </x:si>
  <x:si>
    <x:t xml:space="preserve">THAIWATER_WL:1198300</x:t>
  </x:si>
  <x:si>
    <x:t xml:space="preserve">PIN010</x:t>
  </x:si>
  <x:si>
    <x:t xml:space="preserve">ห้วยแม่ลี้</x:t>
  </x:si>
  <x:si>
    <x:t xml:space="preserve">{"id":1316368242,"waterlevel_datetime":"2026-10-01 15:10","waterlevel_m":null,"waterlevel_msl":"441.29","waterlevel_msl_previous":"441.29","flow_rate":null,"discharge":null,"storage_percent":"29.57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Basin"}},"station":{"id":1198300,"tele_station_name":{"en":"Huai Mae Li","th":"ห้วยแม่ลี้"},"tele_station_lat":17.805399,"tele_station_long":98.953316,"tele_station_oldcode":"PIN010","tele_station_type":"tele_waterlevel","left_bank":445.5231,"right_bank":446.8354,"min_bank":445.52,"ground_level":439.5131,"offset":null,"sub_basin_id":167,"agency_id":9,"geocode_id":4950,"hydro_id":null,"qmax":null,"is_key_station":false,"warning_level_m":null,"critical_level_m":null,"critical_level_msl":null},"geocode":{"area_code":"3","area_name":{"th":"ภาคเหนือ","en":"North"},"amphoe_code":"04","amphoe_name":{"th":"ลี้","en":"Li District"},"tumbon_code":"01","tumbon_name":{"th":"ลี้","en":"Li"},"province_code":"51","province_name":{"th":"ลำพูน","en":"Lamphun"}},"diff_wl_bank":"4.23","diff_wl_bank_text":"ต่ำกว่าตลิ่ง (ม.)","river_gid":75925,"river_name":"น้ำแม่ลี้"}</x:t>
  </x:si>
  <x:si>
    <x:t xml:space="preserve">THAIWATER_WL:1422297</x:t>
  </x:si>
  <x:si>
    <x:t xml:space="preserve">BBD04</x:t>
  </x:si>
  <x:si>
    <x:t xml:space="preserve">แม่น้ำปิงที่ อ.เมืองตาก (P.2A)</x:t>
  </x:si>
  <x:si>
    <x:t xml:space="preserve">{"id":1316366290,"waterlevel_datetime":"2026-10-01 15:00","waterlevel_m":null,"waterlevel_msl":"105.03","waterlevel_msl_previous":"105.02","flow_rate":null,"discharge":null,"storage_percent":"29.45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Thailand","jp":""},"agency_shortname":{"th":"กฟผ.","en":"EGAT","jp":""}},"basin":{"id":6,"basin_code":6,"basin_name":{"th":"ลุ่มน้ำปิง","en":"Ping Basin"}},"station":{"id":1422297,"tele_station_name":{"th":"แม่น้ำปิงที่ อ.เมืองตาก (P.2A)"},"tele_station_lat":16.856702,"tele_station_long":99.125294,"tele_station_oldcode":"BBD04","tele_station_type":"tele_waterlevel","left_bank":109.974,"right_bank":110.012,"min_bank":109.97,"ground_level":102.959,"offset":null,"sub_basin_id":179,"agency_id":8,"geocode_id":8496,"hydro_id":null,"qmax":null,"is_key_station":false,"warning_level_m":null,"critical_level_m":null,"critical_level_msl":109.78},"geocode":{"area_code":"3","area_name":{"th":"ภาคเหนือ","en":"North"},"amphoe_code":"01","amphoe_name":{"th":"เมืองตาก","en":"Mueang Tak District"},"tumbon_code":"91","tumbon_name":{"th":"เทศบาลเมืองตาก","en":"Tak Town Municipality"},"province_code":"63","province_name":{"th":"ตาก","en":"Tak"}},"diff_wl_bank":"4.95","diff_wl_bank_text":"ต่ำกว่าตลิ่ง (ม.)"}</x:t>
  </x:si>
  <x:si>
    <x:t xml:space="preserve">THAIWATER_WL:3292</x:t>
  </x:si>
  <x:si>
    <x:t xml:space="preserve">N.22A</x:t>
  </x:si>
  <x:si>
    <x:t xml:space="preserve">บ้านท่างาม</x:t>
  </x:si>
  <x:si>
    <x:t xml:space="preserve">{"id":1316341572,"waterlevel_datetime":"2026-10-01 14:00","waterlevel_m":null,"waterlevel_msl":"42.45","waterlevel_msl_previous":"42.42","flow_rate":null,"discharge":"15.36","storage_percent":"29.15","sort_order":null,"station_type":"tele_waterlevel","situation_level":2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3292,"tele_station_name":{"th":"บ้านท่างาม"},"tele_station_lat":16.998871,"tele_station_long":100.32663,"tele_station_oldcode":"N.22A","tele_station_type":"tele_waterlevel","left_bank":94.170001,"right_bank":94.76400100000001,"min_bank":49.16,"ground_level":39.689,"offset":41.630001,"sub_basin_id":235,"agency_id":12,"geocode_id":6209,"hydro_id":2,"qmax":408,"is_key_station":true,"warning_level_m":null,"critical_level_m":null,"critical_level_msl":null},"geocode":{"area_code":"3","area_name":{"th":"ภาคเหนือ","en":"North"},"amphoe_code":"07","amphoe_name":{"th":"วัดโบสถ์","en":"Wat Bot District"},"tumbon_code":"01","tumbon_name":{"th":"วัดโบสถ์","en":"Wat Bot"},"province_code":"65","province_name":{"th":"พิษณุโลก","en":"Phitsanulok"}},"diff_wl_bank":"6.71","diff_wl_bank_text":"ต่ำกว่าตลิ่ง (ม.)","river_gid":89620,"river_name":"น้ำแควน้อย"}</x:t>
  </x:si>
  <x:si>
    <x:t xml:space="preserve">THAIWATER_WL:510</x:t>
  </x:si>
  <x:si>
    <x:t xml:space="preserve">NAN001</x:t>
  </x:si>
  <x:si>
    <x:t xml:space="preserve">ท่าวังผา</x:t>
  </x:si>
  <x:si>
    <x:t xml:space="preserve">{"id":1316368159,"waterlevel_datetime":"2026-10-01 15:10","waterlevel_m":null,"waterlevel_msl":"218.36","waterlevel_msl_previous":"218.36","flow_rate":null,"discharge":null,"storage_percent":"29.13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Basin"}},"station":{"id":510,"tele_station_name":{"en":"Nan 1","th":"ท่าวังผา"},"tele_station_lat":19.09611,"tele_station_long":100.80258,"tele_station_oldcode":"NAN001","tele_station_type":"tele_waterlevel","left_bank":223.307,"right_bank":223.474,"min_bank":223.31,"ground_level":216.328,"offset":null,"sub_basin_id":218,"agency_id":9,"geocode_id":5312,"hydro_id":null,"qmax":null,"is_key_station":false,"warning_level_m":null,"critical_level_m":null,"critical_level_msl":null},"geocode":{"area_code":"3","area_name":{"th":"ภาคเหนือ","en":"North"},"amphoe_code":"06","amphoe_name":{"th":"ท่าวังผา","en":"Tha Wang Pha District"},"tumbon_code":"09","tumbon_name":{"th":"ท่าวังผา","en":"Tha Wang Pha"},"province_code":"55","province_name":{"th":"น่าน","en":"Nan"}},"diff_wl_bank":"4.95","diff_wl_bank_text":"ต่ำกว่าตลิ่ง (ม.)","river_gid":25992,"river_name":"แม่น้ำน่าน"}</x:t>
  </x:si>
  <x:si>
    <x:t xml:space="preserve">THAIWATER_WL:670715</x:t>
  </x:si>
  <x:si>
    <x:t xml:space="preserve">FOP016</x:t>
  </x:si>
  <x:si>
    <x:t xml:space="preserve">ลำน้ำสานบ้านทุ่งยาวเหนือ</x:t>
  </x:si>
  <x:si>
    <x:t xml:space="preserve">น้ำแม่สาร</x:t>
  </x:si>
  <x:si>
    <x:t xml:space="preserve">{"id":1316367723,"waterlevel_datetime":"2026-10-01 15:10","waterlevel_m":null,"waterlevel_msl":"317.94","waterlevel_msl_previous":"317.94","flow_rate":null,"discharge":null,"storage_percent":"29.10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Basin"}},"station":{"id":670715,"tele_station_name":{"en":"Ban Thung Yao Nuea Bridge","th":"ลำน้ำสานบ้านทุ่งยาวเหนือ"},"tele_station_lat":18.511826,"tele_station_long":99.07731,"tele_station_oldcode":"FOP016","tele_station_type":"tele_waterlevel","left_bank":323.925,"right_bank":324.802,"min_bank":323.93,"ground_level":315.483,"offset":null,"sub_basin_id":163,"sponsor_by":"มูลนิธิอาสาเพื่อนพึ่ง (ภาฯ) ยามยาก สภากาชาดไทย","agency_id":91,"geocode_id":4934,"hydro_id":null,"qmax":null,"is_key_station":false,"warning_level_m":null,"critical_level_m":null,"critical_level_msl":null},"geocode":{"area_code":"3","area_name":{"th":"ภาคเหนือ","en":"North"},"amphoe_code":"01","amphoe_name":{"th":"เมืองลำพูน","en":"Mueang Lamphun District"},"tumbon_code":"16","tumbon_name":{"th":"ศรีบัวบาน","en":"Si Bua Ban"},"province_code":"51","province_name":{"th":"ลำพูน","en":"Lamphun"}},"diff_wl_bank":"5.99","diff_wl_bank_text":"ต่ำกว่าตลิ่ง (ม.)","river_gid":52045,"river_name":"น้ำแม่สาร"}</x:t>
  </x:si>
  <x:si>
    <x:t xml:space="preserve">THAIWATER_WL:642753</x:t>
  </x:si>
  <x:si>
    <x:t xml:space="preserve">MOU035</x:t>
  </x:si>
  <x:si>
    <x:t xml:space="preserve">สะพานน้ำขว้าง บ้านร้องแง</x:t>
  </x:si>
  <x:si>
    <x:t xml:space="preserve">น้ำขว้าง</x:t>
  </x:si>
  <x:si>
    <x:t xml:space="preserve">{"id":1316367754,"waterlevel_datetime":"2026-10-01 15:10","waterlevel_m":null,"waterlevel_msl":"257.03","waterlevel_msl_previous":"257.03","flow_rate":null,"discharge":null,"storage_percent":"29.03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Basin"}},"station":{"id":642753,"tele_station_name":{"en":"Nam Khwang (Ban Rong Ngae) Bridge","th":"สะพานน้ำขว้าง บ้านร้องแง"},"tele_station_lat":19.175901,"tele_station_long":100.92981,"tele_station_oldcode":"MOU035","tele_station_type":"tele_waterlevel","left_bank":259.321,"right_bank":259.738,"min_bank":259.32,"ground_level":256.093,"offset":null,"sub_basin_id":216,"sponsor_by":"บริษัท แอดวานซ์ อินโฟร์ เซอร์วิส จำกัด (มหาชน)","agency_id":91,"geocode_id":5302,"hydro_id":null,"qmax":null,"is_key_station":false,"warning_level_m":null,"critical_level_m":null,"critical_level_msl":null},"geocode":{"area_code":"3","area_name":{"th":"ภาคเหนือ","en":"North"},"amphoe_code":"05","amphoe_name":{"th":"ปัว","en":"Pua District"},"tumbon_code":"14","tumbon_name":{"th":"วรนคร","en":"Wara Nakhon"},"province_code":"55","province_name":{"th":"น่าน","en":"Nan"}},"diff_wl_bank":"2.29","diff_wl_bank_text":"ต่ำกว่าตลิ่ง (ม.)","river_gid":22809,"river_name":"น้ำขว้าง"}</x:t>
  </x:si>
  <x:si>
    <x:t xml:space="preserve">THAIWATER_WL:726656</x:t>
  </x:si>
  <x:si>
    <x:t xml:space="preserve">X.243</x:t>
  </x:si>
  <x:si>
    <x:t xml:space="preserve">บ้านควนกลาง (1)</x:t>
  </x:si>
  <x:si>
    <x:t xml:space="preserve">{"id":1316344778,"waterlevel_datetime":"2026-10-01 14:00","waterlevel_m":null,"waterlevel_msl":"39.66","waterlevel_msl_previous":"39.66","flow_rate":null,"discharge":"10.20","storage_percent":"28.99","sort_order":null,"station_type":"tele_waterlevel","situation_level":2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Basin"}},"station":{"id":726656,"tele_station_name":{"th":"บ้านควนกลาง (1)"},"tele_station_lat":8.555,"tele_station_long":99.569283,"tele_station_oldcode":"X.243","tele_station_type":"tele_waterlevel","left_bank":44.546,"right_bank":44.396,"min_bank":43.58,"ground_level":38.06,"offset":null,"sub_basin_id":318,"agency_id":12,"geocode_id":7215,"hydro_id":8,"qmax":223.449997,"is_key_station":true,"warning_level_m":null,"critical_level_m":null,"critical_level_msl":null},"geocode":{"area_code":"5","area_name":{"th":"ภาคใต้","en":"South"},"amphoe_code":"05","amphoe_name":{"th":"พิปูน","en":"Phipun District"},"tumbon_code":"02","tumbon_name":{"th":"กะทูน","en":"Kathun"},"province_code":"80","province_name":{"th":"นครศรีธรรมราช","en":"Nakhon Si Thammarat"}},"diff_wl_bank":"3.92","diff_wl_bank_text":"ต่ำกว่าตลิ่ง (ม.)","river_gid":219081,"river_name":"แม่น้ำตาปี"}</x:t>
  </x:si>
  <x:si>
    <x:t xml:space="preserve">THAIWATER_WL:1422302</x:t>
  </x:si>
  <x:si>
    <x:t xml:space="preserve">BBD09</x:t>
  </x:si>
  <x:si>
    <x:t xml:space="preserve">แม่น้ำวังที่ อ.เถิน (W.3A)</x:t>
  </x:si>
  <x:si>
    <x:t xml:space="preserve">{"id":1316366309,"waterlevel_datetime":"2026-10-01 15:00","waterlevel_m":null,"waterlevel_msl":"161.90","waterlevel_msl_previous":"161.90","flow_rate":null,"discharge":null,"storage_percent":"28.93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Thailand","jp":""},"agency_shortname":{"th":"กฟผ.","en":"EGAT","jp":""}},"basin":{"id":7,"basin_code":7,"basin_name":{"th":"ลุ่มน้ำวัง","en":"Wang Basin"}},"station":{"id":1422302,"tele_station_name":{"th":"แม่น้ำวังที่ อ.เถิน (W.3A)"},"tele_station_lat":17.641503,"tele_station_long":99.232057,"tele_station_oldcode":"BBD09","tele_station_type":"tele_waterlevel","left_bank":169.115,"right_bank":169.081,"min_bank":169.08,"ground_level":158.97,"offset":null,"sub_basin_id":194,"agency_id":8,"geocode_id":5050,"hydro_id":null,"qmax":null,"is_key_station":false,"warning_level_m":null,"critical_level_m":null,"critical_level_msl":165.8},"geocode":{"area_code":"3","area_name":{"th":"ภาคเหนือ","en":"North"},"amphoe_code":"08","amphoe_name":{"th":"เถิน","en":"Thoeng District"},"tumbon_code":"01","tumbon_name":{"th":"ล้อมแรด","en":"Lom Raet"},"province_code":"52","province_name":{"th":"ลำปาง","en":"Lampang"}},"diff_wl_bank":"7.19","diff_wl_bank_text":"ต่ำกว่าตลิ่ง (ม.)"}</x:t>
  </x:si>
  <x:si>
    <x:t xml:space="preserve">THAIWATER_WL:1113291</x:t>
  </x:si>
  <x:si>
    <x:t xml:space="preserve">SKU03</x:t>
  </x:si>
  <x:si>
    <x:t xml:space="preserve">อ.เมืองน่าน (N.1)</x:t>
  </x:si>
  <x:si>
    <x:t xml:space="preserve">{"id":1316366837,"waterlevel_datetime":"2026-10-01 15:00","waterlevel_m":null,"waterlevel_msl":"193.19","waterlevel_msl_previous":"193.21","flow_rate":null,"discharge":null,"storage_percent":"28.90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Thailand","jp":""},"agency_shortname":{"th":"กฟผ.","en":"EGAT","jp":""}},"basin":{"id":9,"basin_code":9,"basin_name":{"th":"ลุ่มน้ำน่าน","en":"Nan Basin"}},"station":{"id":1113291,"tele_station_name":{"th":"อ.เมืองน่าน (N.1)"},"tele_station_lat":18.77485,"tele_station_long":100.77974,"tele_station_oldcode":"SKU03","tele_station_type":"tele_waterlevel","left_bank":204.225,"right_bank":204.152,"min_bank":204.15,"ground_level":188.73,"offset":null,"sub_basin_id":220,"agency_id":8,"geocode_id":5369,"hydro_id":null,"qmax":null,"is_key_station":false,"warning_level_m":null,"critical_level_m":null,"critical_level_msl":199.2},"geocode":{"area_code":"3","area_name":{"th":"ภาคเหนือ","en":"North"},"amphoe_code":"14","amphoe_name":{"th":"ภูเพียง","en":"Phu Phiang District"},"tumbon_code":"07","tumbon_name":{"th":"ฝายแก้ว","en":"Fai Kaeo"},"province_code":"55","province_name":{"th":"น่าน","en":"Nan"}},"diff_wl_bank":"10.96","diff_wl_bank_text":"ต่ำกว่าตลิ่ง (ม.)","river_gid":39638,"river_name":"แม่น้ำน่าน"}</x:t>
  </x:si>
  <x:si>
    <x:t xml:space="preserve">THAIWATER_WL:1113292</x:t>
  </x:si>
  <x:si>
    <x:t xml:space="preserve">SKU04</x:t>
  </x:si>
  <x:si>
    <x:t xml:space="preserve">อ.เวียงสา (N.13A) น้ำน่าน</x:t>
  </x:si>
  <x:si>
    <x:t xml:space="preserve">{"id":1316366841,"waterlevel_datetime":"2026-10-01 15:00","waterlevel_m":null,"waterlevel_msl":"178.63","waterlevel_msl_previous":"178.65","flow_rate":null,"discharge":null,"storage_percent":"28.79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Thailand","jp":""},"agency_shortname":{"th":"กฟผ.","en":"EGAT","jp":""}},"basin":{"id":9,"basin_code":9,"basin_name":{"th":"ลุ่มน้ำน่าน","en":"Nan Basin"}},"station":{"id":1113292,"tele_station_name":{"th":"อ.เวียงสา (N.13A) น้ำน่าน"},"tele_station_lat":18.549993,"tele_station_long":100.760637,"tele_station_oldcode":"SKU04","tele_station_type":"tele_waterlevel","left_bank":190.325,"right_bank":192.595,"min_bank":190.33,"ground_level":173.903,"offset":null,"sub_basin_id":226,"agency_id":8,"geocode_id":5320,"hydro_id":null,"qmax":null,"is_key_station":false,"warning_level_m":null,"critical_level_m":null,"critical_level_msl":183.9},"geocode":{"area_code":"3","area_name":{"th":"ภาคเหนือ","en":"North"},"amphoe_code":"07","amphoe_name":{"th":"เวียงสา","en":"Wiang Sa District"},"tumbon_code":"06","tumbon_name":{"th":"ส้าน","en":"San"},"province_code":"55","province_name":{"th":"น่าน","en":"Nan"}},"diff_wl_bank":"11.69","diff_wl_bank_text":"ต่ำกว่าตลิ่ง (ม.)","river_gid":49352,"river_name":"แม่น้ำน่าน"}</x:t>
  </x:si>
  <x:si>
    <x:t xml:space="preserve">THAIWATER_WL:1126506</x:t>
  </x:si>
  <x:si>
    <x:t xml:space="preserve">PLG001</x:t>
  </x:si>
  <x:si>
    <x:t xml:space="preserve">สะพานข้ามคลองบ้านท่าวัง</x:t>
  </x:si>
  <x:si>
    <x:t xml:space="preserve">คลองอ้ายโต</x:t>
  </x:si>
  <x:si>
    <x:t xml:space="preserve">{"id":1316368244,"waterlevel_datetime":"2026-10-01 15:10","waterlevel_m":null,"waterlevel_msl":"16.13","waterlevel_msl_previous":"16.14","flow_rate":null,"discharge":null,"storage_percent":"28.11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Basin"}},"station":{"id":1126506,"tele_station_name":{"en":"Ban Tha Wang Bridge ","th":"สะพานข้ามคลองบ้านท่าวัง"},"tele_station_lat":7.37654,"tele_station_long":100.10043,"tele_station_oldcode":"PLG001","tele_station_type":"tele_waterlevel","left_bank":22.209,"right_bank":22.672,"min_bank":22.21,"ground_level":13.757,"offset":null,"sub_basin_id":329,"agency_id":9,"geocode_id":8124,"hydro_id":null,"qmax":null,"is_key_station":false,"warning_level_m":null,"critical_level_m":null,"critical_level_msl":null},"geocode":{"area_code":"5","area_name":{"th":"ภาคใต้","en":"South"},"amphoe_code":"09","amphoe_name":{"th":"บางแก้ว","en":"Bang Kaeo District"},"tumbon_code":"03","tumbon_name":{"th":"โคกสัก","en":"Khok Sak"},"province_code":"93","province_name":{"th":"พัทลุง","en":"Phatthalung"}},"diff_wl_bank":"6.08","diff_wl_bank_text":"ต่ำกว่าตลิ่ง (ม.)","river_gid":225521,"river_name":"คลองอ้ายโต"}</x:t>
  </x:si>
  <x:si>
    <x:t xml:space="preserve">THAIWATER_WL:2872</x:t>
  </x:si>
  <x:si>
    <x:t xml:space="preserve">E.87</x:t>
  </x:si>
  <x:si>
    <x:t xml:space="preserve">บ้านวังหิน</x:t>
  </x:si>
  <x:si>
    <x:t xml:space="preserve">{"id":1316353914,"waterlevel_datetime":"2026-10-01 14:00","waterlevel_m":null,"waterlevel_msl":"131.71","waterlevel_msl_previous":"131.72","flow_rate":null,"discharge":"54.30","storage_percent":"28.07","sort_order":null,"station_type":"tele_waterlevel","situation_level":2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2872,"tele_station_name":{"th":"บ้านวังหิน"},"tele_station_lat":16.34078,"tele_station_long":103.577011,"tele_station_oldcode":"E.87","tele_station_type":"tele_waterlevel","left_bank":268.845994,"right_bank":268.880994,"min_bank":137.4,"ground_level":129.49,"offset":128.899994,"sub_basin_id":99,"agency_id":12,"geocode_id":4245,"hydro_id":3,"qmax":280,"is_key_station":true,"warning_level_m":null,"critical_level_m":null,"critical_level_msl":null},"geocode":{"area_code":"4","area_name":{"th":"ภาคตะวันออกเฉียงเหนือ","en":"Northeast"},"amphoe_code":"03","amphoe_name":{"th":"กมลาไสย","en":"Kamalasai District"},"tumbon_code":"01","tumbon_name":{"th":"กมลาไสย","en":"Kamalasai"},"province_code":"46","province_name":{"th":"กาฬสินธุ์","en":"Kalasin"}},"diff_wl_bank":"5.69","diff_wl_bank_text":"ต่ำกว่าตลิ่ง (ม.)","river_gid":131824,"river_name":"ลำปาว"}</x:t>
  </x:si>
  <x:si>
    <x:t xml:space="preserve">THAIWATER_WL:1677419</x:t>
  </x:si>
  <x:si>
    <x:t xml:space="preserve">PYO006</x:t>
  </x:si>
  <x:si>
    <x:t xml:space="preserve">สะพานคลองแม่ต๋ำ</x:t>
  </x:si>
  <x:si>
    <x:t xml:space="preserve">{"id":1316368257,"waterlevel_datetime":"2026-10-01 15:10","waterlevel_m":null,"waterlevel_msl":"398.14","waterlevel_msl_previous":"398.14","flow_rate":null,"discharge":null,"storage_percent":"27.89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Basin"}},"station":{"id":1677419,"tele_station_name":{"en":"Mae Tam Bridge","th":"สะพานคลองแม่ต๋ำ"},"tele_station_lat":19.09763,"tele_station_long":99.91642,"tele_station_oldcode":"PYO006","tele_station_type":"tele_waterlevel","left_bank":402.116,"right_bank":403.342,"min_bank":402.12,"ground_level":396.602,"offset":null,"sub_basin_id":34,"agency_id":9,"geocode_id":5382,"hydro_id":null,"qmax":null,"is_key_station":false,"warning_level_m":null,"critical_level_m":null,"critical_level_msl":null},"geocode":{"area_code":"3","area_name":{"th":"ภาคเหนือ","en":"North"},"amphoe_code":"01","amphoe_name":{"th":"เมืองพะเยา","en":"Mueang Phayao District"},"tumbon_code":"10","tumbon_name":{"th":"แม่กา","en":"Mae Ka"},"province_code":"56","province_name":{"th":"พะเยา","en":"Phayao"}},"diff_wl_bank":"3.98","diff_wl_bank_text":"ต่ำกว่าตลิ่ง (ม.)"}</x:t>
  </x:si>
  <x:si>
    <x:t xml:space="preserve">THAIWATER_WL:3215</x:t>
  </x:si>
  <x:si>
    <x:t xml:space="preserve">W.17</x:t>
  </x:si>
  <x:si>
    <x:t xml:space="preserve">บ้านหนองนาว</x:t>
  </x:si>
  <x:si>
    <x:t xml:space="preserve">ห้วยเก้า</x:t>
  </x:si>
  <x:si>
    <x:t xml:space="preserve">{"id":1316351143,"waterlevel_datetime":"2026-10-01 14:00","waterlevel_m":null,"waterlevel_msl":"291.50","waterlevel_msl_previous":"291.51","flow_rate":null,"discharge":"13.00","storage_percent":"27.88","sort_order":null,"station_type":"tele_waterlevel","situation_level":2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3215,"tele_station_name":{"th":"บ้านหนองนาว"},"tele_station_lat":18.722269,"tele_station_long":99.567268,"tele_station_oldcode":"W.17","tele_station_type":"tele_waterlevel","left_bank":588.511,"right_bank":588.461,"min_bank":294.5,"ground_level":290.34,"offset":292,"sub_basin_id":187,"agency_id":12,"geocode_id":5033,"hydro_id":1,"qmax":210,"is_key_station":false,"warning_level_m":null,"critical_level_m":null,"critical_level_msl":null},"geocode":{"area_code":"3","area_name":{"th":"ภาคเหนือ","en":"North"},"amphoe_code":"06","amphoe_name":{"th":"แจ้ห่ม","en":"Chae Hom District"},"tumbon_code":"01","tumbon_name":{"th":"แจ้ห่ม","en":"Chae Hom"},"province_code":"52","province_name":{"th":"ลำปาง","en":"Lampang"}},"diff_wl_bank":"3.00","diff_wl_bank_text":"ต่ำกว่าตลิ่ง (ม.)","river_gid":42370,"river_name":"ห้วยเก้า"}</x:t>
  </x:si>
  <x:si>
    <x:t xml:space="preserve">THAIWATER_WL:2639</x:t>
  </x:si>
  <x:si>
    <x:t xml:space="preserve">X.203</x:t>
  </x:si>
  <x:si>
    <x:t xml:space="preserve">บ้านนาป่า</x:t>
  </x:si>
  <x:si>
    <x:t xml:space="preserve">คลองท่าดี</x:t>
  </x:si>
  <x:si>
    <x:t xml:space="preserve">{"id":1316344768,"waterlevel_datetime":"2026-10-01 14:00","waterlevel_m":null,"waterlevel_msl":"8.22","waterlevel_msl_previous":"8.22","flow_rate":null,"discharge":"2.24","storage_percent":"27.73","sort_order":null,"station_type":"tele_waterlevel","situation_level":2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2639,"tele_station_name":{"th":"บ้านนาป่า"},"tele_station_lat":8.39629,"tele_station_long":99.920143,"tele_station_oldcode":"X.203","tele_station_type":"tele_waterlevel","left_bank":11.905,"right_bank":11.877,"min_bank":10.5,"ground_level":7.345,"offset":null,"sub_basin_id":327,"agency_id":12,"geocode_id":7181,"hydro_id":8,"qmax":39.549999,"is_key_station":true,"warning_level_m":null,"critical_level_m":10.8,"critical_level_msl":10.8},"geocode":{"area_code":"5","area_name":{"th":"ภาคใต้","en":"South"},"amphoe_code":"01","amphoe_name":{"th":"เมืองนครศรีธรรมราช","en":"Mueang Nakhon Si Thammarat District"},"tumbon_code":"13","tumbon_name":{"th":"ไชยมนตรี","en":"Chai Montri"},"province_code":"80","province_name":{"th":"นครศรีธรรมราช","en":"Nakhon Si Thammarat"}},"diff_wl_bank":"2.28","diff_wl_bank_text":"ต่ำกว่าตลิ่ง (ม.)","river_gid":220268,"river_name":"คลองท่าดี"}</x:t>
  </x:si>
  <x:si>
    <x:t xml:space="preserve">THAIWATER_WL:12483</x:t>
  </x:si>
  <x:si>
    <x:t xml:space="preserve">NKO003</x:t>
  </x:si>
  <x:si>
    <x:t xml:space="preserve">ถ้ำพรรณรา</x:t>
  </x:si>
  <x:si>
    <x:t xml:space="preserve">{"id":1316368177,"waterlevel_datetime":"2026-10-01 15:10","waterlevel_m":null,"waterlevel_msl":"13.32","waterlevel_msl_previous":"13.32","flow_rate":null,"discharge":null,"storage_percent":"27.68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Basin"}},"station":{"id":12483,"tele_station_name":{"en":"Nakhon Si Thammarat 3","th":"ถ้ำพรรณรา"},"tele_station_lat":8.391227,"tele_station_long":99.39519,"tele_station_oldcode":"NKO003","tele_station_type":"tele_waterlevel","left_bank":20.854,"right_bank":21.854,"min_bank":20.85,"ground_level":10.436,"offset":null,"sub_basin_id":319,"agency_id":9,"geocode_id":7337,"hydro_id":null,"qmax":null,"is_key_station":false,"warning_level_m":null,"critical_level_m":null,"critical_level_msl":null},"geocode":{"area_code":"5","area_name":{"th":"ภาคใต้","en":"South"},"amphoe_code":"18","amphoe_name":{"th":"ถ้ำพรรณรา","en":"Tham Phannara District"},"tumbon_code":"01","tumbon_name":{"th":"ถ้ำพรรณรา","en":"Tham Phannara"},"province_code":"80","province_name":{"th":"นครศรีธรรมราช","en":"Nakhon Si Thammarat"}},"diff_wl_bank":"7.53","diff_wl_bank_text":"ต่ำกว่าตลิ่ง (ม.)","river_gid":220338,"river_name":"แม่น้ำตาปี"}</x:t>
  </x:si>
  <x:si>
    <x:t xml:space="preserve">THAIWATER_WL:3146</x:t>
  </x:si>
  <x:si>
    <x:t xml:space="preserve">Y.1C</x:t>
  </x:si>
  <x:si>
    <x:t xml:space="preserve">บ้านน้ำโค้ง</x:t>
  </x:si>
  <x:si>
    <x:t xml:space="preserve">{"id":1316351145,"waterlevel_datetime":"2026-10-01 14:00","waterlevel_m":null,"waterlevel_msl":"145.43","waterlevel_msl_previous":"145.42","flow_rate":null,"discharge":"94.10","storage_percent":"27.68","sort_order":null,"station_type":"tele_waterlevel","situation_level":2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3146,"tele_station_name":{"th":"บ้านน้ำโค้ง"},"tele_station_lat":18.133909,"tele_station_long":100.124641,"tele_station_oldcode":"Y.1C","tele_station_type":"tele_waterlevel","left_bank":297.41200000000003,"right_bank":297.512,"min_bank":151.7,"ground_level":143.03,"offset":143.5,"sub_basin_id":205,"agency_id":12,"geocode_id":5182,"hydro_id":1,"qmax":1042,"is_key_station":true,"warning_level_m":null,"critical_level_m":null,"critical_level_msl":null},"geocode":{"area_code":"3","area_name":{"th":"ภาคเหนือ","en":"North"},"amphoe_code":"01","amphoe_name":{"th":"เมืองแพร่","en":"Mueang Phrae District"},"tumbon_code":"10","tumbon_name":{"th":"ป่าแมต","en":"Pa Maet"},"province_code":"54","province_name":{"th":"แพร่","en":"Phrae"}},"diff_wl_bank":"6.27","diff_wl_bank_text":"ต่ำกว่าตลิ่ง (ม.)","river_gid":66840,"river_name":"แม่น้ำยม"}</x:t>
  </x:si>
  <x:si>
    <x:t xml:space="preserve">THAIWATER_WL:870</x:t>
  </x:si>
  <x:si>
    <x:t xml:space="preserve">MDC005</x:t>
  </x:si>
  <x:si>
    <x:t xml:space="preserve">คลองนาท่อม</x:t>
  </x:si>
  <x:si>
    <x:t xml:space="preserve">{"id":1316368083,"waterlevel_datetime":"2026-10-01 15:10","waterlevel_m":null,"waterlevel_msl":"19.86","waterlevel_msl_previous":"19.86","flow_rate":null,"discharge":null,"storage_percent":"27.54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Basin"}},"station":{"id":870,"tele_station_name":{"en":"Khlong Na Thom","th":"คลองนาท่อม"},"tele_station_lat":7.558824,"tele_station_long":99.98739,"tele_station_oldcode":"MDC005","tele_station_type":"tele_waterlevel","left_bank":29.28,"right_bank":29.28,"min_bank":29.28,"ground_level":16.28,"offset":null,"sub_basin_id":329,"agency_id":9,"geocode_id":8070,"hydro_id":null,"qmax":null,"is_key_station":false,"warning_level_m":null,"critical_level_m":null,"critical_level_msl":null},"geocode":{"area_code":"5","area_name":{"th":"ภาคใต้","en":"South"},"amphoe_code":"01","amphoe_name":{"th":"เมืองพัทลุง","en":"Mueang Phatthalung District"},"tumbon_code":"12","tumbon_name":{"th":"ร่มเมือง","en":"Rom Mueang"},"province_code":"93","province_name":{"th":"พัทลุง","en":"Phatthalung"}},"diff_wl_bank":"9.42","diff_wl_bank_text":"ต่ำกว่าตลิ่ง (ม.)","river_gid":224747,"river_name":"คลองลำ"}</x:t>
  </x:si>
  <x:si>
    <x:t xml:space="preserve">THAIWATER_WL:1091551</x:t>
  </x:si>
  <x:si>
    <x:t xml:space="preserve">CHK002</x:t>
  </x:si>
  <x:si>
    <x:t xml:space="preserve">เขาวง</x:t>
  </x:si>
  <x:si>
    <x:t xml:space="preserve">{"id":1316367971,"waterlevel_datetime":"2026-10-01 15:10","waterlevel_m":null,"waterlevel_msl":"4.67","waterlevel_msl_previous":"4.67","flow_rate":null,"discharge":null,"storage_percent":"27.51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Basin"}},"station":{"id":1091551,"tele_station_name":{"en":"Khao Wong","th":"เขาวง"},"tele_station_lat":15.181689,"tele_station_long":100.41453,"tele_station_oldcode":"CHK002","tele_station_type":"tele_waterlevel","left_bank":17.719,"right_bank":17.719,"min_bank":17.72,"ground_level":-0.281,"offset":null,"sub_basin_id":240,"agency_id":9,"geocode_id":5722,"hydro_id":null,"qmax":null,"is_key_station":false,"warning_level_m":null,"critical_level_m":null,"critical_level_msl":null},"geocode":{"area_code":"3","area_name":{"th":"ภาคเหนือ","en":"North"},"amphoe_code":"07","amphoe_name":{"th":"ตาคลี","en":"Takhli District"},"tumbon_code":"02","tumbon_name":{"th":"ช่องแค","en":"Chong Khae"},"province_code":"60","province_name":{"th":"นครสวรรค์","en":"Nakhon Sawan"}},"diff_wl_bank":"13.05","diff_wl_bank_text":"ต่ำกว่าตลิ่ง (ม.)","river_gid":175287,"river_name":"คลองอนุศาสนนันท์"}</x:t>
  </x:si>
  <x:si>
    <x:t xml:space="preserve">THAIWATER_WL:1109536</x:t>
  </x:si>
  <x:si>
    <x:t xml:space="preserve">ONE047</x:t>
  </x:si>
  <x:si>
    <x:t xml:space="preserve">สะพานถนนสายเอเซีย 4265</x:t>
  </x:si>
  <x:si>
    <x:t xml:space="preserve">คลองโสด</x:t>
  </x:si>
  <x:si>
    <x:t xml:space="preserve">{"id":1316368220,"waterlevel_datetime":"2026-10-01 15:10","waterlevel_m":null,"waterlevel_msl":"89.22","waterlevel_msl_previous":"89.22","flow_rate":null,"discharge":null,"storage_percent":"27.41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Basin"}},"station":{"id":1109536,"tele_station_name":{"en":"Esia 4265 Bridge","th":"สะพานถนนสายเอเซีย 4265"},"tele_station_lat":9.598671,"tele_station_long":98.94901,"tele_station_oldcode":"ONE047","tele_station_type":"tele_waterlevel","left_bank":91.913,"right_bank":91.982,"min_bank":91.91,"ground_level":88.203,"offset":null,"sub_basin_id":313,"agency_id":9,"geocode_id":7563,"hydro_id":null,"qmax":null,"is_key_station":false,"warning_level_m":null,"critical_level_m":null,"critical_level_msl":null},"geocode":{"area_code":"5","area_name":{"th":"ภาคใต้","en":"South"},"amphoe_code":"07","amphoe_name":{"th":"ท่าชนะ","en":"Tha Chana District"},"tumbon_code":"03","tumbon_name":{"th":"ประสงค์","en":"Prasong"},"province_code":"84","province_name":{"th":"สุราษฎร์ธานี","en":"Surat Thani"}},"diff_wl_bank":"2.69","diff_wl_bank_text":"ต่ำกว่าตลิ่ง (ม.)","river_gid":214858,"river_name":"คลองโสด"}</x:t>
  </x:si>
  <x:si>
    <x:t xml:space="preserve">THAIWATER_WL:3509</x:t>
  </x:si>
  <x:si>
    <x:t xml:space="preserve">URTU02</x:t>
  </x:si>
  <x:si>
    <x:t xml:space="preserve">น้ำพอง อ.สีชมพู</x:t>
  </x:si>
  <x:si>
    <x:t xml:space="preserve">{"id":1316337204,"waterlevel_datetime":"2026-10-01 14:00","waterlevel_m":null,"waterlevel_msl":"193.37","waterlevel_msl_previous":"193.42","flow_rate":"0.00","discharge":"9.84","storage_percent":"27.26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Thailand","jp":""},"agency_shortname":{"th":"กฟผ.","en":"EGAT","jp":""}},"basin":{"id":4,"basin_code":4,"basin_name":{"th":"ลุ่มน้ำชี","en":"Chi Basin Basin"}},"station":{"id":3509,"tele_station_name":{"th":"น้ำพอง อ.สีชมพู"},"tele_station_lat":16.88054,"tele_station_long":102.145442,"tele_station_oldcode":"URTU02","tele_station_type":"tele_waterlevel","left_bank":202.174,"right_bank":201.42,"min_bank":201.42,"ground_level":190.355,"offset":null,"sub_basin_id":85,"agency_id":8,"geocode_id":3277,"hydro_id":null,"qmax":null,"is_key_station":false,"warning_level_m":null,"critical_level_m":null,"critical_level_msl":202.33},"geocode":{"area_code":"4","area_name":{"th":"ภาคตะวันออกเฉียงเหนือ","en":"Northeast"},"amphoe_code":"06","amphoe_name":{"th":"สีชมพู","en":"Si Chomphu District"},"tumbon_code":"01","tumbon_name":{"th":"สีชมพู","en":"Si Chomphu"},"province_code":"40","province_name":{"th":"ขอนแก่น","en":"Khon Kaen"}},"diff_wl_bank":"8.05","diff_wl_bank_text":"ต่ำกว่าตลิ่ง (ม.)","river_gid":126234,"river_name":"ลำน้ำพอง"}</x:t>
  </x:si>
  <x:si>
    <x:t xml:space="preserve">THAIWATER_WL:3014</x:t>
  </x:si>
  <x:si>
    <x:t xml:space="preserve">Kh.61</x:t>
  </x:si>
  <x:si>
    <x:t xml:space="preserve">บ้านแก่งบง</x:t>
  </x:si>
  <x:si>
    <x:t xml:space="preserve">{"id":1316353931,"waterlevel_datetime":"2026-10-01 14:00","waterlevel_m":null,"waterlevel_msl":"260.49","waterlevel_msl_previous":"260.49","flow_rate":null,"discharge":"35.23","storage_percent":"27.16","sort_order":null,"station_type":"tele_waterlevel","situation_level":2,"agency":{"id":12,"agency_name":{"th":"กรมชลประทาน ","en":"Royal Irrigation Department","jp":""},"agency_shortname":{"th":"ชป.","en":"RID","jp":""}},"basin":{"id":3,"basin_code":3,"basin_name":{"th":"ลุ่มน้ำโขงตะวันออกเฉียงเหนือ","en":"Northeast Khong Basin"}},"station":{"id":3014,"tele_station_name":{"th":"บ้านแก่งบง"},"tele_station_lat":17.13114,"tele_station_long":101.679489,"tele_station_oldcode":"Kh.61","tele_station_type":"tele_waterlevel","left_bank":530.2729939999999,"right_bank":530.209994,"min_bank":266.9,"ground_level":258.1,"offset":258.399994,"sub_basin_id":44,"agency_id":12,"geocode_id":3706,"hydro_id":3,"qmax":250,"is_key_station":true,"warning_level_m":null,"critical_level_m":null,"critical_level_msl":null},"geocode":{"area_code":"4","area_name":{"th":"ภาคตะวันออกเฉียงเหนือ","en":"Northeast"},"amphoe_code":"11","amphoe_name":{"th":"ภูหลวง","en":"Phu Luang District"},"tumbon_code":"02","tumbon_name":{"th":"หนองคัน","en":"Nong Khan"},"province_code":"42","province_name":{"th":"เลย","en":"Loei"}},"diff_wl_bank":"6.41","diff_wl_bank_text":"ต่ำกว่าตลิ่ง (ม.)","river_gid":122495,"river_name":"แม่น้ำเลย"}</x:t>
  </x:si>
  <x:si>
    <x:t xml:space="preserve">THAIWATER_WL:3112</x:t>
  </x:si>
  <x:si>
    <x:t xml:space="preserve">P.64</x:t>
  </x:si>
  <x:si>
    <x:t xml:space="preserve">บ้านหลวง</x:t>
  </x:si>
  <x:si>
    <x:t xml:space="preserve">น้ำแม่ตื่น</x:t>
  </x:si>
  <x:si>
    <x:t xml:space="preserve">{"id":1316167954,"waterlevel_datetime":"2026-10-01 06:00","waterlevel_m":null,"waterlevel_msl":"788.74","waterlevel_msl_previous":"789.09","flow_rate":null,"discharge":"24.60","storage_percent":"27.11","sort_order":null,"station_type":"tele_waterlevel","situation_level":2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3112,"tele_station_name":{"th":"บ้านหลวง"},"tele_station_lat":17.78546,"tele_station_long":98.372391,"tele_station_oldcode":"P.64","tele_station_type":"tele_waterlevel","left_bank":1580.784976,"right_bank":1580.870976,"min_bank":793.35,"ground_level":787.025,"offset":787.349976,"sub_basin_id":175,"agency_id":12,"geocode_id":4874,"hydro_id":1,"qmax":360,"is_key_station":false,"warning_level_m":null,"critical_level_m":null,"critical_level_msl":null},"geocode":{"area_code":"3","area_name":{"th":"ภาคเหนือ","en":"North"},"amphoe_code":"18","amphoe_name":{"th":"อมก๋อย","en":"Omkoi District"},"tumbon_code":"02","tumbon_name":{"th":"ยางเปียง","en":"Yang Piang"},"province_code":"50","province_name":{"th":"เชียงใหม่","en":"Chiang Mai"}},"diff_wl_bank":"4.61","diff_wl_bank_text":"ต่ำกว่าตลิ่ง (ม.)","river_gid":76522,"river_name":"น้ำแม่ตื่น"}</x:t>
  </x:si>
  <x:si>
    <x:t xml:space="preserve">THAIWATER_WL:3171</x:t>
  </x:si>
  <x:si>
    <x:t xml:space="preserve">W.20</x:t>
  </x:si>
  <x:si>
    <x:t xml:space="preserve">บ้านท่าล้อ</x:t>
  </x:si>
  <x:si>
    <x:t xml:space="preserve">น้ำแม่ตุ๋ย</x:t>
  </x:si>
  <x:si>
    <x:t xml:space="preserve">{"id":1316268545,"waterlevel_datetime":"2026-10-01 11:00","waterlevel_m":null,"waterlevel_msl":"230.21","waterlevel_msl_previous":"230.22","flow_rate":null,"discharge":"0.33","storage_percent":"27.08","sort_order":null,"station_type":"tele_waterlevel","situation_level":2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3171,"tele_station_name":{"th":"บ้านท่าล้อ"},"tele_station_lat":18.310881,"tele_station_long":99.45784,"tele_station_oldcode":"W.20","tele_station_type":"tele_waterlevel","left_bank":468.439998,"right_bank":468.487998,"min_bank":236.02,"ground_level":228.052,"offset":230.419998,"sub_basin_id":189,"agency_id":12,"geocode_id":4996,"hydro_id":1,"qmax":373,"is_key_station":false,"warning_level_m":null,"critical_level_m":null,"critical_level_msl":null},"geocode":{"area_code":"3","area_name":{"th":"ภาคเหนือ","en":"North"},"amphoe_code":"01","amphoe_name":{"th":"เมืองลำปาง","en":"Mueang Lampang District"},"tumbon_code":"16","tumbon_name":{"th":"บ่อแฮ้ว","en":"Bo Haeo"},"province_code":"52","province_name":{"th":"ลำปาง","en":"Lampang"}},"diff_wl_bank":"5.81","diff_wl_bank_text":"ต่ำกว่าตลิ่ง (ม.)","river_gid":60047,"river_name":"น้ำแม่ตุ๋ย"}</x:t>
  </x:si>
  <x:si>
    <x:t xml:space="preserve">THAIWATER_WL:1396858</x:t>
  </x:si>
  <x:si>
    <x:t xml:space="preserve">MOU461</x:t>
  </x:si>
  <x:si>
    <x:t xml:space="preserve">สะพานคลองนางรอง</x:t>
  </x:si>
  <x:si>
    <x:t xml:space="preserve">{"id":1316367800,"waterlevel_datetime":"2026-10-01 15:10","waterlevel_m":null,"waterlevel_msl":"23.73","waterlevel_msl_previous":"23.73","flow_rate":null,"discharge":null,"storage_percent":"26.98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Foundation","jp":""},"agency_shortname":{"th":"พพภ","en":"FOP","jp":""}},"basin":{"id":16,"basin_code":15,"basin_name":{"th":"ลุ่มน้ำบางปะกง","en":"Bang Pakong Basin"}},"station":{"id":1396858,"tele_station_name":{"en":"Khlong Nang Rong Bridge","th":"สะพานคลองนางรอง"},"tele_station_lat":14.315195,"tele_station_long":101.312836,"tele_station_oldcode":"MOU461","tele_station_type":"tele_waterlevel","left_bank":27.968,"right_bank":26.49,"min_bank":26.49,"ground_level":22.71,"offset":null,"sub_basin_id":282,"sponsor_by":"มูลนิธิอาสาเพื่อนพึ่ง (ภาฯ) ยามยาก สภากาชาดไทย","agency_id":91,"geocode_id":1568,"hydro_id":null,"qmax":null,"is_key_station":false,"warning_level_m":null,"critical_level_m":null,"critical_level_msl":null},"geocode":{"area_code":"2","area_name":{"th":"ภาคกลาง","en":"Central"},"amphoe_code":"01","amphoe_name":{"th":"เมืองนครนายก","en":"Mueang Nakhon Nayok District"},"tumbon_code":"11","tumbon_name":{"th":"หินตั้ง","en":"Hin Tang"},"province_code":"26","province_name":{"th":"นครนายก","en":"Nakhon Nayok"}},"diff_wl_bank":"2.76","diff_wl_bank_text":"ต่ำกว่าตลิ่ง (ม.)"}</x:t>
  </x:si>
  <x:si>
    <x:t xml:space="preserve">THAIWATER_WL:537</x:t>
  </x:si>
  <x:si>
    <x:t xml:space="preserve">CHR001</x:t>
  </x:si>
  <x:si>
    <x:t xml:space="preserve">เมืองเชียงราย</x:t>
  </x:si>
  <x:si>
    <x:t xml:space="preserve">{"id":1316367981,"waterlevel_datetime":"2026-10-01 15:10","waterlevel_m":null,"waterlevel_msl":"401.41","waterlevel_msl_previous":"401.41","flow_rate":null,"discharge":null,"storage_percent":"26.93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Basin"}},"station":{"id":537,"tele_station_name":{"en":"Chaing Rai 1","th":"เมืองเชียงราย"},"tele_station_lat":19.82637,"tele_station_long":99.77892,"tele_station_oldcode":"CHR001","tele_station_type":"tele_waterlevel","left_bank":405.556,"right_bank":407.218,"min_bank":405.56,"ground_level":399.881,"offset":null,"sub_basin_id":30,"agency_id":9,"geocode_id":5465,"hydro_id":null,"qmax":null,"is_key_station":false,"warning_level_m":null,"critical_level_m":null,"critical_level_msl":null},"geocode":{"area_code":"3","area_name":{"th":"ภาคเหนือ","en":"North"},"amphoe_code":"01","amphoe_name":{"th":"เมืองเชียงราย","en":"Mueang Chiang Rai District"},"tumbon_code":"16","tumbon_name":{"th":"ป่าอ้อดอนชัย","en":"Pa O Don Chai"},"province_code":"57","province_name":{"th":"เชียงราย","en":"Chiang Rai"}},"diff_wl_bank":"4.15","diff_wl_bank_text":"ต่ำกว่าตลิ่ง (ม.)","river_gid":5692,"river_name":"น้ำแม่ลาว"}</x:t>
  </x:si>
  <x:si>
    <x:t xml:space="preserve">THAIWATER_WL:3172</x:t>
  </x:si>
  <x:si>
    <x:t xml:space="preserve">W.21</x:t>
  </x:si>
  <x:si>
    <x:t xml:space="preserve">บ้านท่าเดื่อ</x:t>
  </x:si>
  <x:si>
    <x:t xml:space="preserve">{"id":1316150869,"waterlevel_datetime":"2026-10-01 06:00","waterlevel_m":null,"waterlevel_msl":"232.75","waterlevel_msl_previous":"232.66","flow_rate":null,"discharge":"38.50","storage_percent":"26.88","sort_order":null,"station_type":"tele_waterlevel","situation_level":2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3172,"tele_station_name":{"th":"บ้านท่าเดื่อ"},"tele_station_lat":18.34301,"tele_station_long":99.537178,"tele_station_oldcode":"W.21","tele_station_type":"tele_waterlevel","left_bank":471.847,"right_bank":472.71500000000003,"min_bank":238,"ground_level":230.82,"offset":232,"sub_basin_id":188,"agency_id":12,"geocode_id":4997,"hydro_id":1,"qmax":471,"is_key_station":false,"warning_level_m":null,"critical_level_m":null,"critical_level_msl":null},"geocode":{"area_code":"3","area_name":{"th":"ภาคเหนือ","en":"North"},"amphoe_code":"01","amphoe_name":{"th":"เมืองลำปาง","en":"Mueang Lampang District"},"tumbon_code":"17","tumbon_name":{"th":"ต้นธงชัย","en":"Ton Thong Chai"},"province_code":"52","province_name":{"th":"ลำปาง","en":"Lampang"}},"diff_wl_bank":"5.25","diff_wl_bank_text":"ต่ำกว่าตลิ่ง (ม.)","river_gid":58767,"river_name":"แม่น้ำวัง"}</x:t>
  </x:si>
  <x:si>
    <x:t xml:space="preserve">THAIWATER_WL:610</x:t>
  </x:si>
  <x:si>
    <x:t xml:space="preserve">PIN003</x:t>
  </x:si>
  <x:si>
    <x:t xml:space="preserve">สะพานลานดอกไม้</x:t>
  </x:si>
  <x:si>
    <x:t xml:space="preserve">{"id":1316368235,"waterlevel_datetime":"2026-10-01 15:10","waterlevel_m":null,"waterlevel_msl":"81.35","waterlevel_msl_previous":"81.36","flow_rate":null,"discharge":null,"storage_percent":"26.86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Basin"}},"station":{"id":610,"tele_station_name":{"en":"Ping 3","th":"สะพานลานดอกไม้"},"tele_station_lat":16.6282,"tele_station_long":99.43257,"tele_station_oldcode":"PIN003","tele_station_type":"tele_waterlevel","left_bank":86.131,"right_bank":84.642,"min_bank":84.64,"ground_level":80.145,"offset":null,"sub_basin_id":183,"agency_id":9,"geocode_id":5881,"hydro_id":null,"qmax":null,"is_key_station":false,"warning_level_m":null,"critical_level_m":null,"critical_level_msl":null},"geocode":{"area_code":"3","area_name":{"th":"ภาคเหนือ","en":"North"},"amphoe_code":"01","amphoe_name":{"th":"เมืองกำแพงเพชร","en":"Mueang Kamphaeng Phet District"},"tumbon_code":"07","tumbon_name":{"th":"ลานดอกไม้","en":"Lan Dokmai"},"province_code":"62","province_name":{"th":"กำแพงเพชร","en":"Kamphaeng Phet"}},"diff_wl_bank":"3.29","diff_wl_bank_text":"ต่ำกว่าตลิ่ง (ม.)","river_gid":95227,"river_name":"แม่น้ำปิง"}</x:t>
  </x:si>
  <x:si>
    <x:t xml:space="preserve">THAIWATER_WL:2620</x:t>
  </x:si>
  <x:si>
    <x:t xml:space="preserve">M.171</x:t>
  </x:si>
  <x:si>
    <x:t xml:space="preserve">บ้านโนนสาวเอ้</x:t>
  </x:si>
  <x:si>
    <x:t xml:space="preserve">{"id":1316351093,"waterlevel_datetime":"2026-10-01 14:00","waterlevel_m":null,"waterlevel_msl":"273.45","waterlevel_msl_previous":"273.46","flow_rate":null,"discharge":"16.00","storage_percent":"26.80","sort_order":null,"station_type":"tele_waterlevel","situation_level":2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2620,"tele_station_name":{"th":"บ้านโนนสาวเอ้"},"tele_station_lat":14.50134,"tele_station_long":101.768478,"tele_station_oldcode":"M.171","tele_station_type":"tele_waterlevel","left_bank":277.000012,"right_bank":277.000012,"min_bank":277,"ground_level":272.15,"offset":272.200012,"sub_basin_id":106,"agency_id":12,"geocode_id":1951,"hydro_id":4,"qmax":587,"is_key_station":true,"warning_level_m":null,"critical_level_m":null,"critical_level_msl":null},"geocode":{"area_code":"4","area_name":{"th":"ภาคตะวันออกเฉียงเหนือ","en":"Northeast"},"amphoe_code":"25","amphoe_name":{"th":"วังน้ำเขียว","en":"Wang Nam Khiao District"},"tumbon_code":"02","tumbon_name":{"th":"วังหมี","en":"Wang Mi"},"province_code":"30","province_name":{"th":"นครราชสีมา","en":"Nakhon Ratchasima"}},"diff_wl_bank":"3.55","diff_wl_bank_text":"ต่ำกว่าตลิ่ง (ม.)","river_gid":154036,"river_name":"ลำพระเพลิง"}</x:t>
  </x:si>
  <x:si>
    <x:t xml:space="preserve">THAIWATER_WL:1225530</x:t>
  </x:si>
  <x:si>
    <x:t xml:space="preserve">MYA003</x:t>
  </x:si>
  <x:si>
    <x:t xml:space="preserve">สะพานอูทูนอ่อง บ้านสบสาย</x:t>
  </x:si>
  <x:si>
    <x:t xml:space="preserve">{"id":1316367810,"waterlevel_datetime":"2026-10-01 15:10","waterlevel_m":null,"waterlevel_msl":"395.64","waterlevel_msl_previous":"395.64","flow_rate":null,"discharge":null,"storage_percent":"26.68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Foundation","jp":""},"agency_shortname":{"th":"พพภ","en":"FOP","jp":""}},"basin":{"id":29,"basin_code":88,"basin_name":{"th":"นอกประเทศไทย","en":""}},"station":{"id":1225530,"tele_station_name":{"en":"U Thun Aung Bridge, Sopsai Ward","th":"สะพานอูทูนอ่อง บ้านสบสาย"},"tele_station_lat":20.47149,"tele_station_long":99.95349,"tele_station_oldcode":"MYA003","tele_station_type":"tele_waterlevel","left_bank":402.07,"right_bank":402.07,"min_bank":402.07,"ground_level":393.3,"offset":null,"sub_basin_id":361,"sponsor_by":"มูลนิธิอาสาเพื่อนพึ่ง (ภาฯ) ยามยาก สภากาชาดไทย","agency_id":91,"geocode_id":8510,"hydro_id":null,"qmax":null,"is_key_station":false,"warning_level_m":null,"critical_level_m":null,"critical_level_msl":null},"geocode":{"area_code":"104","area_name":{"th":"สาธารณรัฐแห่งสหภาพพม่า","en":"Republic of the Union of Myanmar"},"amphoe_code":"10499","amphoe_name":{"th":"","en":""},"tumbon_code":"10499","tumbon_name":{"th":"","en":""},"province_code":"10499","province_name":{"th":"สาธารณรัฐแห่งสหภาพเมียนมา","en":"Republic of the Union of Myanmar"}},"diff_wl_bank":"6.43","diff_wl_bank_text":"ต่ำกว่าตลิ่ง (ม.)"}</x:t>
  </x:si>
  <x:si>
    <x:t xml:space="preserve">THAIWATER_WL:685650</x:t>
  </x:si>
  <x:si>
    <x:t xml:space="preserve">MOU045</x:t>
  </x:si>
  <x:si>
    <x:t xml:space="preserve">สะพานน้ำว้า บ้านน้ำว้า</x:t>
  </x:si>
  <x:si>
    <x:t xml:space="preserve">{"id":1316367756,"waterlevel_datetime":"2026-10-01 15:10","waterlevel_m":null,"waterlevel_msl":"244.51","waterlevel_msl_previous":"244.51","flow_rate":null,"discharge":null,"storage_percent":"26.62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Basin"}},"station":{"id":685650,"tele_station_name":{"en":"Nam Wa (Ban Nam Wa)","th":"สะพานน้ำว้า บ้านน้ำว้า"},"tele_station_lat":18.643177,"tele_station_long":101.010826,"tele_station_oldcode":"MOU045","tele_station_type":"tele_waterlevel","left_bank":255.594,"right_bank":253.246,"min_bank":253.25,"ground_level":241.341,"offset":null,"sub_basin_id":225,"sponsor_by":"บริษัท แอดวานซ์ อินโฟร์ เซอร์วิส จำกัด (มหาชน)","agency_id":91,"geocode_id":5274,"hydro_id":null,"qmax":null,"is_key_station":false,"warning_level_m":null,"critical_level_m":null,"critical_level_msl":null},"geocode":{"area_code":"3","area_name":{"th":"ภาคเหนือ","en":"North"},"amphoe_code":"02","amphoe_name":{"th":"แม่จริม","en":"Mae Charim District"},"tumbon_code":"04","tumbon_name":{"th":"น้ำพาง","en":"Nam Phang"},"province_code":"55","province_name":{"th":"น่าน","en":"Nan"}},"diff_wl_bank":"8.74","diff_wl_bank_text":"ต่ำกว่าตลิ่ง (ม.)","river_gid":45133,"river_name":"แม่น้ำน้ำว้า"}</x:t>
  </x:si>
  <x:si>
    <x:t xml:space="preserve">THAIWATER_WL:1121199</x:t>
  </x:si>
  <x:si>
    <x:t xml:space="preserve">MOU171</x:t>
  </x:si>
  <x:si>
    <x:t xml:space="preserve">สะพานแม่น้ำงาว</x:t>
  </x:si>
  <x:si>
    <x:t xml:space="preserve">แม่น้ำงาว</x:t>
  </x:si>
  <x:si>
    <x:t xml:space="preserve">{"id":1316367760,"waterlevel_datetime":"2026-10-01 15:10","waterlevel_m":null,"waterlevel_msl":"381.44","waterlevel_msl_previous":"381.44","flow_rate":null,"discharge":null,"storage_percent":"26.56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Foundation","jp":""},"agency_shortname":{"th":"พพภ","en":"FOP","jp":""}},"basin":{"id":2,"basin_code":2,"basin_name":{"th":"ลุ่มน้ำโขงเหนือ","en":"North Khong Basin"}},"station":{"id":1121199,"tele_station_name":{"en":"Maenam Ngao bridge","th":"สะพานแม่น้ำงาว"},"tele_station_lat":20.030533,"tele_station_long":100.48944,"tele_station_oldcode":"MOU171","tele_station_type":"tele_waterlevel","left_bank":385.462,"right_bank":383.752,"min_bank":383.75,"ground_level":380.604,"offset":null,"sub_basin_id":39,"sponsor_by":"บริษัท เวิร์คพอยท์ เอ็นเทอร์เทนเมนท์ จำกัด (มหาชน)","agency_id":91,"geocode_id":5571,"hydro_id":null,"qmax":null,"is_key_station":false,"warning_level_m":null,"critical_level_m":null,"critical_level_msl":null},"geocode":{"area_code":"3","area_name":{"th":"ภาคเหนือ","en":"North"},"amphoe_code":"13","amphoe_name":{"th":"เวียงแก่น","en":"Wiang Kaen District"},"tumbon_code":"04","tumbon_name":{"th":"ท่าข้าม","en":"Tha Kham"},"province_code":"57","province_name":{"th":"เชียงราย","en":"Chiang Rai"}},"diff_wl_bank":"2.31","diff_wl_bank_text":"ต่ำกว่าตลิ่ง (ม.)","river_gid":2556,"river_name":"แม่น้ำงาว"}</x:t>
  </x:si>
  <x:si>
    <x:t xml:space="preserve">THAIWATER_WL:2636</x:t>
  </x:si>
  <x:si>
    <x:t xml:space="preserve">X.56</x:t>
  </x:si>
  <x:si>
    <x:t xml:space="preserve">บ้านท่าประดู่</x:t>
  </x:si>
  <x:si>
    <x:t xml:space="preserve">{"id":1316344732,"waterlevel_datetime":"2026-10-01 14:00","waterlevel_m":null,"waterlevel_msl":"8.08","waterlevel_msl_previous":"8.08","flow_rate":null,"discharge":"28.50","storage_percent":"26.48","sort_order":null,"station_type":"tele_waterlevel","situation_level":2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2636,"tele_station_name":{"th":"บ้านท่าประดู่"},"tele_station_lat":7.77079,"tele_station_long":99.53743,"tele_station_oldcode":"X.56","tele_station_type":"tele_waterlevel","left_bank":19.976,"right_bank":19.995,"min_bank":15.7,"ground_level":5.335,"offset":null,"sub_basin_id":349,"agency_id":12,"geocode_id":8030,"hydro_id":8,"qmax":445,"is_key_station":true,"warning_level_m":null,"critical_level_m":null,"critical_level_msl":null},"geocode":{"area_code":"5","area_name":{"th":"ภาคใต้","en":"South"},"amphoe_code":"06","amphoe_name":{"th":"ห้วยยอด","en":"Huai Yot District"},"tumbon_code":"16","tumbon_name":{"th":"นาวง","en":"Na Wong"},"province_code":"92","province_name":{"th":"ตรัง","en":"Trang"}},"diff_wl_bank":"7.62","diff_wl_bank_text":"ต่ำกว่าตลิ่ง (ม.)","river_gid":223865,"river_name":"แม่น้ำตรัง"}</x:t>
  </x:si>
  <x:si>
    <x:t xml:space="preserve">THAIWATER_WL:1422365</x:t>
  </x:si>
  <x:si>
    <x:t xml:space="preserve">RPBD05</x:t>
  </x:si>
  <x:si>
    <x:t xml:space="preserve">สะพานพุมดวง (วัดตาขุน) อ.บ้านตาขุน</x:t>
  </x:si>
  <x:si>
    <x:t xml:space="preserve">{"id":1316365552,"waterlevel_datetime":"2026-10-01 15:00","waterlevel_m":null,"waterlevel_msl":"5.86","waterlevel_msl_previous":"6.00","flow_rate":null,"discharge":null,"storage_percent":"26.47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Thailand","jp":""},"agency_shortname":{"th":"กฟผ.","en":"EGAT","jp":""}},"basin":{"id":22,"basin_code":19,"basin_name":{"th":"ลุ่มน้ำภาคใต้ฝั่งตะวันออกตอนบน","en":"Peninsula - Upper East Coast Basin"}},"station":{"id":1422365,"tele_station_name":{"th":"สะพานพุมดวง (วัดตาขุน) อ.บ้านตาขุน"},"tele_station_lat":8.915783,"tele_station_long":98.885678,"tele_station_oldcode":"RPBD05","tele_station_type":"tele_waterlevel","left_bank":20.5235,"right_bank":21.6921,"min_bank":20.52,"ground_level":0.58,"offset":null,"sub_basin_id":316,"agency_id":8,"geocode_id":7577,"hydro_id":null,"qmax":null,"is_key_station":false,"warning_level_m":null,"critical_level_m":null,"critical_level_msl":20.524},"geocode":{"area_code":"5","area_name":{"th":"ภาคใต้","en":"South"},"amphoe_code":"09","amphoe_name":{"th":"บ้านตาขุน","en":"Ban Ta Khun District"},"tumbon_code":"01","tumbon_name":{"th":"เขาวง","en":"Khao Wong"},"province_code":"84","province_name":{"th":"สุราษฎร์ธานี","en":"Surat Thani"}},"diff_wl_bank":"14.66","diff_wl_bank_text":"ต่ำกว่าตลิ่ง (ม.)"}</x:t>
  </x:si>
  <x:si>
    <x:t xml:space="preserve">THAIWATER_WL:3134</x:t>
  </x:si>
  <x:si>
    <x:t xml:space="preserve">N.39</x:t>
  </x:si>
  <x:si>
    <x:t xml:space="preserve">บ้านฟากท่า</x:t>
  </x:si>
  <x:si>
    <x:t xml:space="preserve">{"id":1316341580,"waterlevel_datetime":"2026-10-01 14:00","waterlevel_m":null,"waterlevel_msl":"210.02","waterlevel_msl_previous":"210.02","flow_rate":null,"discharge":null,"storage_percent":"26.23","sort_order":null,"station_type":"tele_waterlevel","situation_level":2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3134,"tele_station_name":{"th":"บ้านฟากท่า"},"tele_station_lat":17.997021,"tele_station_long":100.879089,"tele_station_oldcode":"N.39","tele_station_type":"tele_waterlevel","left_bank":421.360003,"right_bank":423.02200300000004,"min_bank":214.05,"ground_level":208.587,"offset":209.050003,"sub_basin_id":229,"agency_id":12,"geocode_id":5135,"hydro_id":2,"qmax":null,"is_key_station":false,"warning_level_m":null,"critical_level_m":null,"critical_level_msl":null},"geocode":{"area_code":"3","area_name":{"th":"ภาคเหนือ","en":"North"},"amphoe_code":"05","amphoe_name":{"th":"ฟากท่า","en":"Fak Tha District"},"tumbon_code":"01","tumbon_name":{"th":"ฟากท่า","en":"Fak Tha"},"province_code":"53","province_name":{"th":"อุตรดิตถ์","en":"Uttaradit"}},"diff_wl_bank":"4.03","diff_wl_bank_text":"ต่ำกว่าตลิ่ง (ม.)","river_gid":70754,"river_name":"น้ำปาด"}</x:t>
  </x:si>
  <x:si>
    <x:t xml:space="preserve">THAIWATER_WL:1113295</x:t>
  </x:si>
  <x:si>
    <x:t xml:space="preserve">SKU07</x:t>
  </x:si>
  <x:si>
    <x:t xml:space="preserve">อ.เวียงสา (N.75)  น้ำว้า</x:t>
  </x:si>
  <x:si>
    <x:t xml:space="preserve">{"id":1316366845,"waterlevel_datetime":"2026-10-01 15:00","waterlevel_m":null,"waterlevel_msl":"185.29","waterlevel_msl_previous":"185.30","flow_rate":null,"discharge":null,"storage_percent":"26.17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Thailand","jp":""},"agency_shortname":{"th":"กฟผ.","en":"EGAT","jp":""}},"basin":{"id":9,"basin_code":9,"basin_name":{"th":"ลุ่มน้ำน่าน","en":"Nan Basin"}},"station":{"id":1113295,"tele_station_name":{"th":"อ.เวียงสา (N.75)  น้ำว้า"},"tele_station_lat":18.548273,"tele_station_long":100.808617,"tele_station_oldcode":"SKU07","tele_station_type":"tele_waterlevel","left_bank":196.63,"right_bank":196.587,"min_bank":196.59,"ground_level":181.29,"offset":null,"sub_basin_id":225,"agency_id":8,"geocode_id":5317,"hydro_id":null,"qmax":null,"is_key_station":false,"warning_level_m":null,"critical_level_m":null,"critical_level_msl":193.8},"geocode":{"area_code":"3","area_name":{"th":"ภาคเหนือ","en":"North"},"amphoe_code":"07","amphoe_name":{"th":"เวียงสา","en":"Wiang Sa District"},"tumbon_code":"03","tumbon_name":{"th":"ไหล่น่าน","en":"Lai Nan"},"province_code":"55","province_name":{"th":"น่าน","en":"Nan"}},"diff_wl_bank":"11.29","diff_wl_bank_text":"ต่ำกว่าตลิ่ง (ม.)","river_gid":49459,"river_name":"แม่น้ำน้ำว้า"}</x:t>
  </x:si>
  <x:si>
    <x:t xml:space="preserve">THAIWATER_WL:1198760</x:t>
  </x:si>
  <x:si>
    <x:t xml:space="preserve">YOM014</x:t>
  </x:si>
  <x:si>
    <x:t xml:space="preserve">สะพานหนองจันทร์</x:t>
  </x:si>
  <x:si>
    <x:t xml:space="preserve">{"id":1316368443,"waterlevel_datetime":"2026-10-01 15:10","waterlevel_m":null,"waterlevel_msl":"171.49","waterlevel_msl_previous":"171.49","flow_rate":null,"discharge":null,"storage_percent":"26.16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Basin"}},"station":{"id":1198760,"tele_station_name":{"en":"Nong Chan Bridge","th":"สะพานหนองจันทร์"},"tele_station_lat":18.46601,"tele_station_long":100.151665,"tele_station_oldcode":"YOM014","tele_station_type":"tele_waterlevel","left_bank":178.6455,"right_bank":178.4378,"min_bank":178.44,"ground_level":169.0285,"offset":null,"sub_basin_id":203,"agency_id":9,"geocode_id":5235,"hydro_id":null,"qmax":null,"is_key_station":false,"warning_level_m":null,"critical_level_m":null,"critical_level_msl":null},"geocode":{"area_code":"3","area_name":{"th":"ภาคเหนือ","en":"North"},"amphoe_code":"06","amphoe_name":{"th":"สอง","en":"Song District"},"tumbon_code":"01","tumbon_name":{"th":"บ้านหนุน","en":"Ban Nun"},"province_code":"54","province_name":{"th":"แพร่","en":"Phrae"}},"diff_wl_bank":"6.95","diff_wl_bank_text":"ต่ำกว่าตลิ่ง (ม.)","river_gid":53806,"river_name":"แม่น้ำยม"}</x:t>
  </x:si>
  <x:si>
    <x:t xml:space="preserve">THAIWATER_WL:1109501</x:t>
  </x:si>
  <x:si>
    <x:t xml:space="preserve">ONE012</x:t>
  </x:si>
  <x:si>
    <x:t xml:space="preserve">ปตร. บ้านนาคู่-ท้ายน้ำ</x:t>
  </x:si>
  <x:si>
    <x:t xml:space="preserve">{"id":1316368191,"waterlevel_datetime":"2026-10-01 15:10","waterlevel_m":null,"waterlevel_msl":"138.54","waterlevel_msl_previous":"138.53","flow_rate":null,"discharge":null,"storage_percent":"26.13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Basin"}},"station":{"id":1109501,"tele_station_name":{"en":"Ban Na Khu Gate","th":"ปตร. บ้านนาคู่-ท้ายน้ำ"},"tele_station_lat":16.961792,"tele_station_long":104.52589,"tele_station_oldcode":"ONE012","tele_station_type":"tele_waterlevel","left_bank":144.856,"right_bank":144.822,"min_bank":144.82,"ground_level":136.318,"offset":null,"sub_basin_id":70,"agency_id":9,"geocode_id":4586,"hydro_id":null,"qmax":null,"is_key_station":false,"warning_level_m":null,"critical_level_m":null,"critical_level_msl":null},"geocode":{"area_code":"4","area_name":{"th":"ภาคตะวันออกเฉียงเหนือ","en":"Northeast"},"amphoe_code":"07","amphoe_name":{"th":"นาแก","en":"Na Kae District"},"tumbon_code":"04","tumbon_name":{"th":"นาคู่","en":"Na Khu"},"province_code":"48","province_name":{"th":"นครพนม","en":"Nakhon Phanom"}},"diff_wl_bank":"6.28","diff_wl_bank_text":"ต่ำกว่าตลิ่ง (ม.)","river_gid":124039,"river_name":"ลำน้ำกำ"}</x:t>
  </x:si>
  <x:si>
    <x:t xml:space="preserve">THAIWATER_WL:1422361</x:t>
  </x:si>
  <x:si>
    <x:t xml:space="preserve">RPBD01</x:t>
  </x:si>
  <x:si>
    <x:t xml:space="preserve">สะพานคลองแสง อ.บ้านตาขุน</x:t>
  </x:si>
  <x:si>
    <x:t xml:space="preserve">{"id":1316365550,"waterlevel_datetime":"2026-10-01 15:00","waterlevel_m":null,"waterlevel_msl":"10.16","waterlevel_msl_previous":"10.25","flow_rate":null,"discharge":null,"storage_percent":"26.10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Thailand","jp":""},"agency_shortname":{"th":"กฟผ.","en":"EGAT","jp":""}},"basin":{"id":22,"basin_code":19,"basin_name":{"th":"ลุ่มน้ำภาคใต้ฝั่งตะวันออกตอนบน","en":"Peninsula - Upper East Coast Basin"}},"station":{"id":1422361,"tele_station_name":{"th":"สะพานคลองแสง อ.บ้านตาขุน"},"tele_station_lat":8.962559,"tele_station_long":98.814738,"tele_station_oldcode":"RPBD01","tele_station_type":"tele_waterlevel","left_bank":17.3901,"right_bank":28.0411,"min_bank":17.39,"ground_level":7.611,"offset":null,"sub_basin_id":315,"agency_id":8,"geocode_id":7580,"hydro_id":null,"qmax":null,"is_key_station":false,"warning_level_m":null,"critical_level_m":null,"critical_level_msl":17.3901},"geocode":{"area_code":"5","area_name":{"th":"ภาคใต้","en":"South"},"amphoe_code":"09","amphoe_name":{"th":"บ้านตาขุน","en":"Ban Ta Khun District"},"tumbon_code":"04","tumbon_name":{"th":"เขาพัง","en":"Khao Phang"},"province_code":"84","province_name":{"th":"สุราษฎร์ธานี","en":"Surat Thani"}},"diff_wl_bank":"7.23","diff_wl_bank_text":"ต่ำกว่าตลิ่ง (ม.)"}</x:t>
  </x:si>
  <x:si>
    <x:t xml:space="preserve">THAIWATER_WL:829</x:t>
  </x:si>
  <x:si>
    <x:t xml:space="preserve">RNG001</x:t>
  </x:si>
  <x:si>
    <x:t xml:space="preserve">เมืองระนอง</x:t>
  </x:si>
  <x:si>
    <x:t xml:space="preserve">{"id":1316368308,"waterlevel_datetime":"2026-10-01 15:10","waterlevel_m":null,"waterlevel_msl":"8.25","waterlevel_msl_previous":"8.25","flow_rate":null,"discharge":null,"storage_percent":"26.06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Basin"}},"station":{"id":829,"tele_station_name":{"en":"Mueang Ranong","th":"เมืองระนอง"},"tele_station_lat":9.961575,"tele_station_long":98.644485,"tele_station_oldcode":"RNG001","tele_station_type":"tele_waterlevel","left_bank":10.752,"right_bank":14.568,"min_bank":10.75,"ground_level":7.368,"offset":null,"sub_basin_id":343,"agency_id":9,"geocode_id":7659,"hydro_id":null,"qmax":null,"is_key_station":false,"warning_level_m":null,"critical_level_m":null,"critical_level_msl":null},"geocode":{"area_code":"5","area_name":{"th":"ภาคใต้","en":"South"},"amphoe_code":"01","amphoe_name":{"th":"เมืองระนอง","en":"Mueang Ranong District"},"tumbon_code":"01","tumbon_name":{"th":"เขานิเวศน์","en":"Khao Niwet"},"province_code":"85","province_name":{"th":"ระนอง","en":"Ranong"}},"diff_wl_bank":"2.50","diff_wl_bank_text":"ต่ำกว่าตลิ่ง (ม.)","river_gid":214120,"river_name":"คลองหาดส้มแป้น"}</x:t>
  </x:si>
  <x:si>
    <x:t xml:space="preserve">THAIWATER_WL:562796</x:t>
  </x:si>
  <x:si>
    <x:t xml:space="preserve">BLGTU02</x:t>
  </x:si>
  <x:si>
    <x:t xml:space="preserve">สะพานบ้าน กม.29 อ.เบตง จ.ยะลา</x:t>
  </x:si>
  <x:si>
    <x:t xml:space="preserve">{"id":1316365667,"waterlevel_datetime":"2026-10-01 15:00","waterlevel_m":null,"waterlevel_msl":"117.00","waterlevel_msl_previous":"117.01","flow_rate":null,"discharge":"9.16","storage_percent":"25.81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Thailand","jp":""},"agency_shortname":{"th":"กฟผ.","en":"EGAT","jp":""}},"basin":{"id":26,"basin_code":21,"basin_name":{"th":"ลุ่มน้ำภาคใต้ฝั่งตะวันออกตอนล่าง","en":"Peninsula - Lower East Coast Basin"}},"station":{"id":562796,"tele_station_name":{"th":"สะพานบ้าน กม.29 อ.เบตง จ.ยะลา"},"tele_station_lat":5.920578,"tele_station_long":101.182086,"tele_station_oldcode":"BLGTU02","tele_station_type":"tele_waterlevel","left_bank":120.37,"right_bank":124.53,"min_bank":120.37,"ground_level":115.83,"offset":null,"sub_basin_id":335,"agency_id":8,"geocode_id":8283,"hydro_id":null,"qmax":null,"is_key_station":false,"warning_level_m":null,"critical_level_m":null,"critical_level_msl":120.37},"geocode":{"area_code":"5","area_name":{"th":"ภาคใต้","en":"South"},"amphoe_code":"02","amphoe_name":{"th":"เบตง","en":"Betong District"},"tumbon_code":"04","tumbon_name":{"th":"อัยเยอร์เวง","en":"Aiyoe Weng"},"province_code":"95","province_name":{"th":"ยะลา","en":"Yala"}},"diff_wl_bank":"3.37","diff_wl_bank_text":"ต่ำกว่าตลิ่ง (ม.)","river_gid":232242,"river_name":"แม่น้ำปัตตานี"}</x:t>
  </x:si>
  <x:si>
    <x:t xml:space="preserve">THAIWATER_WL:999395</x:t>
  </x:si>
  <x:si>
    <x:t xml:space="preserve">X.248</x:t>
  </x:si>
  <x:si>
    <x:t xml:space="preserve">บ้านหาดใน </x:t>
  </x:si>
  <x:si>
    <x:t xml:space="preserve">{"id":1316344839,"waterlevel_datetime":"2026-10-01 14:00","waterlevel_m":null,"waterlevel_msl":"18.83","waterlevel_msl_previous":"18.85","flow_rate":null,"discharge":null,"storage_percent":"25.81","sort_order":null,"station_type":"tele_waterlevel","situation_level":2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Basin"}},"station":{"id":999395,"tele_station_name":{"th":"บ้านหาดใน "},"tele_station_lat":10.6375,"tele_station_long":99.050163,"tele_station_oldcode":"X.248","tele_station_type":"tele_waterlevel","left_bank":27.362,"right_bank":27.349,"min_bank":23.89,"ground_level":17.07,"offset":null,"sub_basin_id":310,"agency_id":12,"geocode_id":7717,"hydro_id":8,"qmax":null,"is_key_station":true,"warning_level_m":null,"critical_level_m":null,"critical_level_msl":null},"geocode":{"area_code":"5","area_name":{"th":"ภาคใต้","en":"South"},"amphoe_code":"02","amphoe_name":{"th":"ท่าแซะ","en":"Tha Sae District"},"tumbon_code":"05","tumbon_name":{"th":"รับร่อ","en":"Rap Ro"},"province_code":"86","province_name":{"th":"ชุมพร","en":"Chumphon"}},"diff_wl_bank":"5.06","diff_wl_bank_text":"ต่ำกว่าตลิ่ง (ม.)","river_gid":213028,"river_name":"คลองรับรอ"}</x:t>
  </x:si>
  <x:si>
    <x:t xml:space="preserve">THAIWATER_WL:1109534</x:t>
  </x:si>
  <x:si>
    <x:t xml:space="preserve">ONE045</x:t>
  </x:si>
  <x:si>
    <x:t xml:space="preserve">สะพานข้ามคลองปากหมาก</x:t>
  </x:si>
  <x:si>
    <x:t xml:space="preserve">คลองปากหมาก</x:t>
  </x:si>
  <x:si>
    <x:t xml:space="preserve">{"id":1316368218,"waterlevel_datetime":"2026-10-01 15:10","waterlevel_m":null,"waterlevel_msl":"97.00","waterlevel_msl_previous":"97.00","flow_rate":null,"discharge":null,"storage_percent":"25.61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Basin"}},"station":{"id":1109534,"tele_station_name":{"en":"Khlong Pak Mak Bridge","th":"สะพานข้ามคลองปากหมาก"},"tele_station_lat":9.492312,"tele_station_long":98.91996,"tele_station_oldcode":"ONE045","tele_station_type":"tele_waterlevel","left_bank":100.211,"right_bank":98.946,"min_bank":98.95,"ground_level":96.33,"offset":null,"sub_basin_id":313,"agency_id":9,"geocode_id":7559,"hydro_id":null,"qmax":null,"is_key_station":false,"warning_level_m":null,"critical_level_m":null,"critical_level_msl":null},"geocode":{"area_code":"5","area_name":{"th":"ภาคใต้","en":"South"},"amphoe_code":"06","amphoe_name":{"th":"ไชยา","en":"Chaiya District"},"tumbon_code":"09","tumbon_name":{"th":"ปากหมาก","en":"Pak Mak"},"province_code":"84","province_name":{"th":"สุราษฎร์ธานี","en":"Surat Thani"}},"diff_wl_bank":"1.95","diff_wl_bank_text":"ต่ำกว่าตลิ่ง (ม.)","river_gid":215060,"river_name":"คลองปากหมาก"}</x:t>
  </x:si>
  <x:si>
    <x:t xml:space="preserve">THAIWATER_WL:2888</x:t>
  </x:si>
  <x:si>
    <x:t xml:space="preserve">E.54</x:t>
  </x:si>
  <x:si>
    <x:t xml:space="preserve">บ้านแก่งยาว</x:t>
  </x:si>
  <x:si>
    <x:t xml:space="preserve">{"id":1316353903,"waterlevel_datetime":"2026-10-01 14:00","waterlevel_m":null,"waterlevel_msl":"140.59","waterlevel_msl_previous":"140.60","flow_rate":null,"discharge":"9.75","storage_percent":"25.44","sort_order":null,"station_type":"tele_waterlevel","situation_level":2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2888,"tele_station_name":{"th":"บ้านแก่งยาว"},"tele_station_lat":16.442511,"tele_station_long":104.030724,"tele_station_oldcode":"E.54","tele_station_type":"tele_waterlevel","left_bank":288.398003,"right_bank":288.404003,"min_bank":147.3,"ground_level":138.3,"offset":138.300003,"sub_basin_id":101,"agency_id":12,"geocode_id":4090,"hydro_id":3,"qmax":500,"is_key_station":false,"warning_level_m":null,"critical_level_m":null,"critical_level_msl":null},"geocode":{"area_code":"4","area_name":{"th":"ภาคตะวันออกเฉียงเหนือ","en":"Northeast"},"amphoe_code":"07","amphoe_name":{"th":"โพนทอง","en":"Phon Thong District"},"tumbon_code":"05","tumbon_name":{"th":"หนองใหญ่","en":"Nong Yai"},"province_code":"45","province_name":{"th":"ร้อยเอ็ด","en":"Roi Et"}},"diff_wl_bank":"6.71","diff_wl_bank_text":"ต่ำกว่าตลิ่ง (ม.)","river_gid":130483,"river_name":"ลำน้ำยัง"}</x:t>
  </x:si>
  <x:si>
    <x:t xml:space="preserve">THAIWATER_WL:1556822</x:t>
  </x:si>
  <x:si>
    <x:t xml:space="preserve">MOU172</x:t>
  </x:si>
  <x:si>
    <x:t xml:space="preserve">สะพานแม่ระมาด</x:t>
  </x:si>
  <x:si>
    <x:t xml:space="preserve">{"id":1316367761,"waterlevel_datetime":"2026-10-01 15:10","waterlevel_m":null,"waterlevel_msl":"173.25","waterlevel_msl_previous":"173.25","flow_rate":null,"discharge":null,"storage_percent":"25.40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Foundation","jp":""},"agency_shortname":{"th":"พพภ","en":"FOP","jp":""}},"basin":{"id":1,"basin_code":1,"basin_name":{"th":"ลุ่มน้ำสาละวิน","en":"Salawin Basin"}},"station":{"id":1556822,"tele_station_name":{"en":"Mae Ramat Bridge","th":"สะพานแม่ระมาด"},"tele_station_lat":16.983826,"tele_station_long":98.52675,"tele_station_oldcode":"MOU172","tele_station_type":"tele_waterlevel","left_bank":175.2,"right_bank":176.116,"min_bank":175.2,"ground_level":172.586,"offset":null,"sub_basin_id":22,"agency_id":91,"geocode_id":5995,"hydro_id":null,"qmax":null,"is_key_station":false,"warning_level_m":null,"critical_level_m":null,"critical_level_msl":null},"geocode":{"area_code":"3","area_name":{"th":"ภาคเหนือ","en":"North"},"amphoe_code":"04","amphoe_name":{"th":"แม่ระมาด","en":"Mae Ramat District"},"tumbon_code":"01","tumbon_name":{"th":"แม่ระมาด","en":"Mae Ramat"},"province_code":"63","province_name":{"th":"ตาก","en":"Tak"}},"diff_wl_bank":"1.95","diff_wl_bank_text":"ต่ำกว่าตลิ่ง (ม.)"}</x:t>
  </x:si>
  <x:si>
    <x:t xml:space="preserve">THAIWATER_WL:508035</x:t>
  </x:si>
  <x:si>
    <x:t xml:space="preserve">E.29A</x:t>
  </x:si>
  <x:si>
    <x:t xml:space="preserve">บ้านผานกเค้า</x:t>
  </x:si>
  <x:si>
    <x:t xml:space="preserve">น้ำพอง</x:t>
  </x:si>
  <x:si>
    <x:t xml:space="preserve">{"id":1316353900,"waterlevel_datetime":"2026-10-01 14:00","waterlevel_m":null,"waterlevel_msl":"230.61","waterlevel_msl_previous":"230.66","flow_rate":null,"discharge":"7.07","storage_percent":"25.38","sort_order":null,"station_type":"tele_waterlevel","situation_level":2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508035,"tele_station_name":{"th":"บ้านผานกเค้า"},"tele_station_lat":16.847639,"tele_station_long":101.94426,"tele_station_oldcode":"E.29A","tele_station_type":"tele_waterlevel","left_bank":469.225,"right_bank":469.249,"min_bank":238.5,"ground_level":227.926,"offset":228,"sub_basin_id":85,"agency_id":12,"geocode_id":3701,"hydro_id":3,"qmax":240,"is_key_station":true,"warning_level_m":null,"critical_level_m":null,"critical_level_msl":null},"geocode":{"area_code":"4","area_name":{"th":"ภาคตะวันออกเฉียงเหนือ","en":"Northeast"},"amphoe_code":"10","amphoe_name":{"th":"ภูกระดึง","en":"Phu Kradueng District"},"tumbon_code":"05","tumbon_name":{"th":"ผานกเค้า","en":"Pha Nok Khao"},"province_code":"42","province_name":{"th":"เลย","en":"Loei"}},"diff_wl_bank":"7.89","diff_wl_bank_text":"ต่ำกว่าตลิ่ง (ม.)","river_gid":126547,"river_name":"น้ำพอง"}</x:t>
  </x:si>
  <x:si>
    <x:t xml:space="preserve">THAIWATER_WL:2665</x:t>
  </x:si>
  <x:si>
    <x:t xml:space="preserve">Z.21</x:t>
  </x:si>
  <x:si>
    <x:t xml:space="preserve">บ้านโป่งโรงเซ็น</x:t>
  </x:si>
  <x:si>
    <x:t xml:space="preserve">คลองทับนคร</x:t>
  </x:si>
  <x:si>
    <x:t xml:space="preserve">{"id":1316314176,"waterlevel_datetime":"2026-10-01 13:00","waterlevel_m":null,"waterlevel_msl":"22.86","waterlevel_msl_previous":"22.86","flow_rate":null,"discharge":"16.20","storage_percent":"25.12","sort_order":null,"station_type":"tele_waterlevel","situation_level":2,"agency":{"id":12,"agency_name":{"th":"กรมชลประทาน ","en":"Royal Irrigation Department","jp":""},"agency_shortname":{"th":"ชป.","en":"RID","jp":""}},"basin":{"id":18,"basin_code":17,"basin_name":{"th":"ลุ่มน้ำชายฝั่งทะเลตะวันออก","en":"East Coast Gulf Basin"}},"station":{"id":2665,"tele_station_name":{"th":"บ้านโป่งโรงเซ็น"},"tele_station_lat":12.79196,"tele_station_long":102.254669,"tele_station_oldcode":"Z.21","tele_station_type":"tele_waterlevel","left_bank":49.933001000000004,"right_bank":49.896001,"min_bank":28.69,"ground_level":20.904,"offset":21.200001,"sub_basin_id":296,"agency_id":12,"geocode_id":1295,"hydro_id":6,"qmax":262,"is_key_station":false,"warning_level_m":null,"critical_level_m":null,"critical_level_msl":null},"geocode":{"area_code":"2","area_name":{"th":"ภาคกลาง","en":"Central"},"amphoe_code":"05","amphoe_name":{"th":"มะขาม","en":"Makham District"},"tumbon_code":"03","tumbon_name":{"th":"ปัถวี","en":"Patthawi"},"province_code":"22","province_name":{"th":"จันทบุรี","en":"Chanthaburi"}},"diff_wl_bank":"5.83","diff_wl_bank_text":"ต่ำกว่าตลิ่ง (ม.)","river_gid":203701,"river_name":"คลองทับนคร"}</x:t>
  </x:si>
  <x:si>
    <x:t xml:space="preserve">THAIWATER_WL:1198301</x:t>
  </x:si>
  <x:si>
    <x:t xml:space="preserve">PIN011</x:t>
  </x:si>
  <x:si>
    <x:t xml:space="preserve">น้ำก้อ</x:t>
  </x:si>
  <x:si>
    <x:t xml:space="preserve">ห้วยน้ำแม่ก้อ</x:t>
  </x:si>
  <x:si>
    <x:t xml:space="preserve">{"id":1316368243,"waterlevel_datetime":"2026-10-01 15:10","waterlevel_m":null,"waterlevel_msl":"258.21","waterlevel_msl_previous":"258.22","flow_rate":null,"discharge":null,"storage_percent":"25.12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1198301,"tele_station_name":{"en":"Namko","th":"น้ำก้อ"},"tele_station_lat":17.636518,"tele_station_long":98.77956,"tele_station_oldcode":"PIN011","tele_station_type":"tele_waterlevel","left_bank":259.8008,"right_bank":261.6035,"min_bank":259.8,"ground_level":257.6763,"offset":null,"sub_basin_id":174,"agency_id":9,"geocode_id":4954,"hydro_id":null,"qmax":null,"is_key_station":false,"warning_level_m":null,"critical_level_m":null,"critical_level_msl":null},"geocode":{"area_code":"3","area_name":{"th":"ภาคเหนือ","en":"North"},"amphoe_code":"04","amphoe_name":{"th":"ลี้","en":"Li District"},"tumbon_code":"05","tumbon_name":{"th":"ก้อ","en":"Ko"},"province_code":"51","province_name":{"th":"ลำพูน","en":"Lamphun"}},"diff_wl_bank":"1.59","diff_wl_bank_text":"ต่ำกว่าตลิ่ง (ม.)","river_gid":79672,"river_name":"ห้วยน้ำแม่ก้อ"}</x:t>
  </x:si>
  <x:si>
    <x:t xml:space="preserve">THAIWATER_WL:1120557</x:t>
  </x:si>
  <x:si>
    <x:t xml:space="preserve">MOU494</x:t>
  </x:si>
  <x:si>
    <x:t xml:space="preserve">สะพานบ้านคีรีวง คลองท่าดี</x:t>
  </x:si>
  <x:si>
    <x:t xml:space="preserve">{"id":1316367806,"waterlevel_datetime":"2026-10-01 15:10","waterlevel_m":null,"waterlevel_msl":"42.91","waterlevel_msl_previous":"42.91","flow_rate":null,"discharge":null,"storage_percent":"25.04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Foundation","jp":""},"agency_shortname":{"th":"พพภ","en":"FOP","jp":""}},"basin":{"id":22,"basin_code":19,"basin_name":{"th":"ลุ่มน้ำภาคใต้ฝั่งตะวันออกตอนบน","en":"Peninsula - Upper East Coast Basin"}},"station":{"id":1120557,"tele_station_name":{"en":"Ban Khiri Wong (Khlong Tha Di) Bridge","th":"สะพานบ้านคีรีวง คลองท่าดี"},"tele_station_lat":8.432906,"tele_station_long":99.782646,"tele_station_oldcode":"MOU494","tele_station_type":"tele_waterlevel","left_bank":49.623,"right_bank":46.313,"min_bank":46.31,"ground_level":41.773,"offset":null,"sub_basin_id":327,"sponsor_by":"มูลนิธิอาสาเพื่อนพึ่ง (ภาฯ) ยามยาก สภากาชาดไทย","agency_id":91,"geocode_id":7200,"hydro_id":null,"qmax":null,"is_key_station":false,"warning_level_m":null,"critical_level_m":null,"critical_level_msl":null},"geocode":{"area_code":"5","area_name":{"th":"ภาคใต้","en":"South"},"amphoe_code":"03","amphoe_name":{"th":"ลานสกา","en":"Lan Saka District"},"tumbon_code":"04","tumbon_name":{"th":"กำโลน","en":"Kamlon"},"province_code":"80","province_name":{"th":"นครศรีธรรมราช","en":"Nakhon Si Thammarat"}},"diff_wl_bank":"3.40","diff_wl_bank_text":"ต่ำกว่าตลิ่ง (ม.)","river_gid":219987,"river_name":"คลองท่าดี"}</x:t>
  </x:si>
  <x:si>
    <x:t xml:space="preserve">THAIWATER_WL:2644</x:t>
  </x:si>
  <x:si>
    <x:t xml:space="preserve">X.149</x:t>
  </x:si>
  <x:si>
    <x:t xml:space="preserve">บ้านท้า่ยนา</x:t>
  </x:si>
  <x:si>
    <x:t xml:space="preserve">{"id":1316344749,"waterlevel_datetime":"2026-10-01 14:00","waterlevel_m":null,"waterlevel_msl":"26.65","waterlevel_msl_previous":"26.65","flow_rate":null,"discharge":null,"storage_percent":"25.02","sort_order":null,"station_type":"tele_waterlevel","situation_level":2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2644,"tele_station_name":{"th":"บ้านท้า่ยนา"},"tele_station_lat":8.73097,"tele_station_long":99.746094,"tele_station_oldcode":"X.149","tele_station_type":"tele_waterlevel","left_bank":36.183,"right_bank":36.121,"min_bank":33.96,"ground_level":24.211,"offset":null,"sub_basin_id":326,"agency_id":12,"geocode_id":7353,"hydro_id":8,"qmax":1932,"is_key_station":false,"warning_level_m":null,"critical_level_m":null,"critical_level_msl":null},"geocode":{"area_code":"5","area_name":{"th":"ภาคใต้","en":"South"},"amphoe_code":"21","amphoe_name":{"th":"นบพิตำ","en":"Nopphitam District"},"tumbon_code":"01","tumbon_name":{"th":"นบพิตำ","en":"Nopphitam"},"province_code":"80","province_name":{"th":"นครศรีธรรมราช","en":"Nakhon Si Thammarat"}},"diff_wl_bank":"7.31","diff_wl_bank_text":"ต่ำกว่าตลิ่ง (ม.)","river_gid":218251,"river_name":"คลองกลาย"}</x:t>
  </x:si>
  <x:si>
    <x:t xml:space="preserve">THAIWATER_WL:1113280</x:t>
  </x:si>
  <x:si>
    <x:t xml:space="preserve">SKD02</x:t>
  </x:si>
  <x:si>
    <x:t xml:space="preserve">บ้านผาจุก</x:t>
  </x:si>
  <x:si>
    <x:t xml:space="preserve">{"id":1316366847,"waterlevel_datetime":"2026-10-01 15:00","waterlevel_m":null,"waterlevel_msl":"55.81","waterlevel_msl_previous":"55.81","flow_rate":null,"discharge":null,"storage_percent":"25.00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Thailand","jp":""},"agency_shortname":{"th":"กฟผ.","en":"EGAT","jp":""}},"basin":{"id":9,"basin_code":9,"basin_name":{"th":"ลุ่มน้ำน่าน","en":"Nan Basin"}},"station":{"id":1113280,"tele_station_name":{"th":"บ้านผาจุก"},"tele_station_lat":17.668222,"tele_station_long":100.21413,"tele_station_oldcode":"SKD02","tele_station_type":"tele_waterlevel","left_bank":68.95,"right_bank":69.37,"min_bank":68.95,"ground_level":51.43,"offset":null,"sub_basin_id":230,"agency_id":8,"geocode_id":5106,"hydro_id":null,"qmax":null,"is_key_station":false,"warning_level_m":null,"critical_level_m":null,"critical_level_msl":68.95},"geocode":{"area_code":"3","area_name":{"th":"ภาคเหนือ","en":"North"},"amphoe_code":"01","amphoe_name":{"th":"เมืองอุตรดิตถ์","en":"Mueang Uttaradit District"},"tumbon_code":"12","tumbon_name":{"th":"ผาจุก","en":"Pha Chuk"},"province_code":"53","province_name":{"th":"อุตรดิตถ์","en":"Uttaradit"}},"diff_wl_bank":"13.14","diff_wl_bank_text":"ต่ำกว่าตลิ่ง (ม.)","river_gid":79331,"river_name":"แม่น้ำน่าน"}</x:t>
  </x:si>
  <x:si>
    <x:t xml:space="preserve">THAIWATER_WL:3524</x:t>
  </x:si>
  <x:si>
    <x:t xml:space="preserve">URTD02</x:t>
  </x:si>
  <x:si>
    <x:t xml:space="preserve">ลำน้ำพอง โรงเรียนลำน้ำพอง</x:t>
  </x:si>
  <x:si>
    <x:t xml:space="preserve">{"id":1316367486,"waterlevel_datetime":"2026-10-01 15:00","waterlevel_m":null,"waterlevel_msl":"147.36","waterlevel_msl_previous":"147.37","flow_rate":"5.57","discharge":"16.05","storage_percent":"24.90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Thailand","jp":""},"agency_shortname":{"th":"กฟผ.","en":"EGAT","jp":""}},"basin":{"id":4,"basin_code":4,"basin_name":{"th":"ลุ่มน้ำชี","en":"Chi Basin Basin"}},"station":{"id":3524,"tele_station_name":{"th":"ลำน้ำพอง โรงเรียนลำน้ำพอง"},"tele_station_lat":16.571498,"tele_station_long":102.881228,"tele_station_oldcode":"URTD02","tele_station_type":"tele_waterlevel","left_bank":157.6642,"right_bank":156.4112,"min_bank":156.41,"ground_level":144.3632,"offset":null,"sub_basin_id":93,"agency_id":8,"geocode_id":3297,"hydro_id":null,"qmax":null,"is_key_station":false,"warning_level_m":null,"critical_level_m":null,"critical_level_msl":155},"geocode":{"area_code":"4","area_name":{"th":"ภาคตะวันออกเฉียงเหนือ","en":"Northeast"},"amphoe_code":"07","amphoe_name":{"th":"น้ำพอง","en":"Nam Phong District"},"tumbon_code":"10","tumbon_name":{"th":"ท่ากระเสริม","en":"Tha Krasoem"},"province_code":"40","province_name":{"th":"ขอนแก่น","en":"Khon Kaen"}},"diff_wl_bank":"9.05","diff_wl_bank_text":"ต่ำกว่าตลิ่ง (ม.)","river_gid":129399,"river_name":"ลำน้ำพอง"}</x:t>
  </x:si>
  <x:si>
    <x:t xml:space="preserve">THAIWATER_WL:3519</x:t>
  </x:si>
  <x:si>
    <x:t xml:space="preserve">URTU07</x:t>
  </x:si>
  <x:si>
    <x:t xml:space="preserve">น้ำพอง บ้านผานกเค้า (E.29)</x:t>
  </x:si>
  <x:si>
    <x:t xml:space="preserve">{"id":1316367478,"waterlevel_datetime":"2026-10-01 15:00","waterlevel_m":null,"waterlevel_msl":"228.43","waterlevel_msl_previous":"228.51","flow_rate":"1.75","discharge":"17.36","storage_percent":"24.79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Thailand","jp":""},"agency_shortname":{"th":"กฟผ.","en":"EGAT","jp":""}},"basin":{"id":4,"basin_code":4,"basin_name":{"th":"ลุ่มน้ำชี","en":"Chi Basin Basin"}},"station":{"id":3519,"tele_station_name":{"th":"น้ำพอง บ้านผานกเค้า (E.29)"},"tele_station_lat":16.847333,"tele_station_long":101.943603,"tele_station_oldcode":"URTU07","tele_station_type":"tele_waterlevel","left_bank":237.389,"right_bank":237.454,"min_bank":237.39,"ground_level":225.475,"offset":null,"sub_basin_id":85,"agency_id":8,"geocode_id":3701,"hydro_id":null,"qmax":null,"is_key_station":false,"warning_level_m":null,"critical_level_m":null,"critical_level_msl":237.39},"geocode":{"area_code":"4","area_name":{"th":"ภาคตะวันออกเฉียงเหนือ","en":"Northeast"},"amphoe_code":"10","amphoe_name":{"th":"ภูกระดึง","en":"Phu Kradueng District"},"tumbon_code":"05","tumbon_name":{"th":"ผานกเค้า","en":"Pha Nok Khao"},"province_code":"42","province_name":{"th":"เลย","en":"Loei"}},"diff_wl_bank":"8.96","diff_wl_bank_text":"ต่ำกว่าตลิ่ง (ม.)","river_gid":126547,"river_name":"น้ำพอง"}</x:t>
  </x:si>
  <x:si>
    <x:t xml:space="preserve">THAIWATER_WL:2579</x:t>
  </x:si>
  <x:si>
    <x:t xml:space="preserve">W.25</x:t>
  </x:si>
  <x:si>
    <x:t xml:space="preserve">บ้านร่องเคาะ</x:t>
  </x:si>
  <x:si>
    <x:t xml:space="preserve">{"id":1316268546,"waterlevel_datetime":"2026-10-01 11:00","waterlevel_m":null,"waterlevel_msl":"382.33","waterlevel_msl_previous":"382.33","flow_rate":null,"discharge":"6.46","storage_percent":"24.64","sort_order":null,"station_type":"tele_waterlevel","situation_level":2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2579,"tele_station_name":{"th":"บ้านร่องเคาะ"},"tele_station_lat":18.990931,"tele_station_long":99.621109,"tele_station_oldcode":"W.25","tele_station_type":"tele_waterlevel","left_bank":769.1319940000001,"right_bank":769.188994,"min_bank":385.9,"ground_level":381.163,"offset":381.899994,"sub_basin_id":186,"agency_id":12,"geocode_id":5044,"hydro_id":1,"qmax":424,"is_key_station":false,"warning_level_m":null,"critical_level_m":null,"critical_level_msl":null},"geocode":{"area_code":"3","area_name":{"th":"ภาคเหนือ","en":"North"},"amphoe_code":"07","amphoe_name":{"th":"วังเหนือ","en":"Wang Nuea District"},"tumbon_code":"04","tumbon_name":{"th":"ร่องเคาะ","en":"Rong Kho"},"province_code":"52","province_name":{"th":"ลำปาง","en":"Lampang"}},"diff_wl_bank":"3.57","diff_wl_bank_text":"ต่ำกว่าตลิ่ง (ม.)","river_gid":29432,"river_name":"แม่น้ำวัง"}</x:t>
  </x:si>
  <x:si>
    <x:t xml:space="preserve">THAIWATER_WL:1475104</x:t>
  </x:si>
  <x:si>
    <x:t xml:space="preserve">MOU293</x:t>
  </x:si>
  <x:si>
    <x:t xml:space="preserve">สะพานน้ำแม่ขาน</x:t>
  </x:si>
  <x:si>
    <x:t xml:space="preserve">{"id":1316362718,"waterlevel_datetime":"2026-10-01 15:00","waterlevel_m":null,"waterlevel_msl":"441.40","waterlevel_msl_previous":"441.39","flow_rate":null,"discharge":null,"storage_percent":"24.47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Basin"}},"station":{"id":1475104,"tele_station_name":{"en":"Mae Khan Bridge","th":"สะพานน้ำแม่ขาน"},"tele_station_lat":18.7955,"tele_station_long":98.7307,"tele_station_oldcode":"MOU293","tele_station_type":"tele_waterlevel","left_bank":447.771,"right_bank":447.6,"min_bank":447.6,"ground_level":439.391,"offset":null,"sub_basin_id":165,"sponsor_by":"บริษัท ไทยเบฟเวอเรจ จำกัด (มหาชน) ","agency_id":91,"geocode_id":4776,"hydro_id":null,"qmax":null,"is_key_station":false,"warning_level_m":null,"critical_level_m":null,"critical_level_msl":null},"geocode":{"area_code":"3","area_name":{"th":"ภาคเหนือ","en":"North"},"amphoe_code":"08","amphoe_name":{"th":"สะเมิง","en":"Samoeng District"},"tumbon_code":"01","tumbon_name":{"th":"สะเมิงใต้","en":"Samoeng Tai"},"province_code":"50","province_name":{"th":"เชียงใหม่","en":"Chiang Mai"}},"diff_wl_bank":"6.20","diff_wl_bank_text":"ต่ำกว่าตลิ่ง (ม.)"}</x:t>
  </x:si>
  <x:si>
    <x:t xml:space="preserve">THAIWATER_WL:479230</x:t>
  </x:si>
  <x:si>
    <x:t xml:space="preserve">TBW022</x:t>
  </x:si>
  <x:si>
    <x:t xml:space="preserve">สะพานแม่ฟ้าหลวง</x:t>
  </x:si>
  <x:si>
    <x:t xml:space="preserve">{"id":1316368357,"waterlevel_datetime":"2026-10-01 15:10","waterlevel_m":null,"waterlevel_msl":"389.40","waterlevel_msl_previous":"389.41","flow_rate":null,"discharge":null,"storage_percent":"24.42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479230,"tele_station_name":{"en":"Kok1","th":"สะพานแม่ฟ้าหลวง"},"tele_station_lat":19.92195,"tele_station_long":99.81826,"tele_station_oldcode":"TBW022","tele_station_type":"tele_waterlevel","left_bank":394.613,"right_bank":392.258,"min_bank":392.26,"ground_level":388.479,"offset":null,"sub_basin_id":27,"agency_id":9,"geocode_id":5454,"hydro_id":null,"qmax":null,"is_key_station":false,"warning_level_m":null,"critical_level_m":null,"critical_level_msl":null},"geocode":{"area_code":"3","area_name":{"th":"ภาคเหนือ","en":"North"},"amphoe_code":"01","amphoe_name":{"th":"เมืองเชียงราย","en":"Mueang Chiang Rai District"},"tumbon_code":"02","tumbon_name":{"th":"รอบเวียง","en":"Rop Wiang"},"province_code":"57","province_name":{"th":"เชียงราย","en":"Chiang Rai"}},"diff_wl_bank":"2.86","diff_wl_bank_text":"ต่ำกว่าตลิ่ง (ม.)","river_gid":4427,"river_name":"แม่น้ำกก"}</x:t>
  </x:si>
  <x:si>
    <x:t xml:space="preserve">THAIWATER_WL:1121229</x:t>
  </x:si>
  <x:si>
    <x:t xml:space="preserve">MOU299</x:t>
  </x:si>
  <x:si>
    <x:t xml:space="preserve">สะพานน้ำแม่แจ่ม บ้านแปะ</x:t>
  </x:si>
  <x:si>
    <x:t xml:space="preserve">{"id":1316367773,"waterlevel_datetime":"2026-10-01 15:10","waterlevel_m":null,"waterlevel_msl":"332.71","waterlevel_msl_previous":"332.72","flow_rate":null,"discharge":null,"storage_percent":"24.40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Basin"}},"station":{"id":1121229,"tele_station_name":{"en":"Mae Chaem River Bridge, Ban Pae","th":"สะพานน้ำแม่แจ่ม บ้านแปะ"},"tele_station_lat":18.232069,"tele_station_long":98.439766,"tele_station_oldcode":"MOU299","tele_station_type":"tele_waterlevel","left_bank":337.698,"right_bank":338.517,"min_bank":337.7,"ground_level":331.1,"offset":null,"sub_basin_id":172,"sponsor_by":"บริษัท บูทิค คอร์ปอเนชั่น จำกัด (มหาชน)","agency_id":91,"geocode_id":4712,"hydro_id":null,"qmax":null,"is_key_station":false,"warning_level_m":null,"critical_level_m":null,"critical_level_msl":null},"geocode":{"area_code":"3","area_name":{"th":"ภาคเหนือ","en":"North"},"amphoe_code":"02","amphoe_name":{"th":"จอมทอง","en":"Chom Thong District"},"tumbon_code":"06","tumbon_name":{"th":"บ้านแปะ","en":"Ban Pae"},"province_code":"50","province_name":{"th":"เชียงใหม่","en":"Chiang Mai"}},"diff_wl_bank":"4.99","diff_wl_bank_text":"ต่ำกว่าตลิ่ง (ม.)","river_gid":62700,"river_name":"น้ำแม่แจ่ม"}</x:t>
  </x:si>
  <x:si>
    <x:t xml:space="preserve">THAIWATER_WL:2957</x:t>
  </x:si>
  <x:si>
    <x:t xml:space="preserve">E.88</x:t>
  </x:si>
  <x:si>
    <x:t xml:space="preserve">บ้านดงสวรรค์</x:t>
  </x:si>
  <x:si>
    <x:t xml:space="preserve">ห้วยมูล</x:t>
  </x:si>
  <x:si>
    <x:t xml:space="preserve">{"id":1316135928,"waterlevel_datetime":"2026-10-01 06:00","waterlevel_m":null,"waterlevel_msl":"164.21","waterlevel_msl_previous":"164.23","flow_rate":null,"discharge":"0.35","storage_percent":"24.38","sort_order":null,"station_type":"tele_waterlevel","situation_level":2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2957,"tele_station_name":{"th":"บ้านดงสวรรค์"},"tele_station_lat":16.83222,"tele_station_long":103.369171,"tele_station_oldcode":"E.88","tele_station_type":"tele_waterlevel","left_bank":331.36699799999997,"right_bank":331.309998,"min_bank":167.56,"ground_level":163.13,"offset":163.059998,"sub_basin_id":97,"agency_id":12,"geocode_id":4335,"hydro_id":3,"qmax":90,"is_key_station":false,"warning_level_m":null,"critical_level_m":null,"critical_level_msl":null},"geocode":{"area_code":"4","area_name":{"th":"ภาคตะวันออกเฉียงเหนือ","en":"Northeast"},"amphoe_code":"12","amphoe_name":{"th":"หนองกุงศรี","en":"Nong Kung Si District"},"tumbon_code":"09","tumbon_name":{"th":"หนองหิน","en":"Nong Hin"},"province_code":"46","province_name":{"th":"กาฬสินธุ์","en":"Kalasin"}},"diff_wl_bank":"3.35","diff_wl_bank_text":"ต่ำกว่าตลิ่ง (ม.)","river_gid":126169,"river_name":"ห้วยมูล"}</x:t>
  </x:si>
  <x:si>
    <x:t xml:space="preserve">THAIWATER_WL:2581</x:t>
  </x:si>
  <x:si>
    <x:t xml:space="preserve">X.184</x:t>
  </x:si>
  <x:si>
    <x:t xml:space="preserve">บ้านซากอ</x:t>
  </x:si>
  <x:si>
    <x:t xml:space="preserve">{"id":1316344807,"waterlevel_datetime":"2026-10-01 14:00","waterlevel_m":null,"waterlevel_msl":"22.97","waterlevel_msl_previous":"22.98","flow_rate":null,"discharge":"23.50","storage_percent":"24.36","sort_order":null,"station_type":"tele_waterlevel","situation_level":2,"agency":{"id":12,"agency_name":{"th":"กรมชลประทาน ","en":"Royal Irrigation Department","jp":""},"agency_shortname":{"th":"ชป.","en":"RID","jp":""}},"basin":{"id":26,"basin_code":21,"basin_name":{"th":"ลุ่มน้ำภาคใต้ฝั่งตะวันออกตอนล่าง","en":"Peninsula - Lower East Coast Basin"}},"station":{"id":2581,"tele_station_name":{"th":"บ้านซากอ"},"tele_station_lat":6.22716,"tele_station_long":101.496948,"tele_station_oldcode":"X.184","tele_station_type":"tele_waterlevel","left_bank":34.314,"right_bank":34.319,"min_bank":31.4,"ground_level":20.255,"offset":null,"sub_basin_id":338,"agency_id":12,"geocode_id":8383,"hydro_id":8,"qmax":1638,"is_key_station":true,"warning_level_m":null,"critical_level_m":null,"critical_level_msl":null},"geocode":{"area_code":"5","area_name":{"th":"ภาคใต้","en":"South"},"amphoe_code":"07","amphoe_name":{"th":"ศรีสาคร","en":"Si Sakhon District"},"tumbon_code":"03","tumbon_name":{"th":"ศรีสาคร","en":"Si Sakhon"},"province_code":"96","province_name":{"th":"นราธิวาส","en":"Narathiwat"}},"diff_wl_bank":"8.43","diff_wl_bank_text":"ต่ำกว่าตลิ่ง (ม.)","river_gid":231218,"river_name":"แม่น้ำสายบุรี"}</x:t>
  </x:si>
  <x:si>
    <x:t xml:space="preserve">THAIWATER_WL:2594</x:t>
  </x:si>
  <x:si>
    <x:t xml:space="preserve">X.267</x:t>
  </x:si>
  <x:si>
    <x:t xml:space="preserve">บ้านแม่ขรี</x:t>
  </x:si>
  <x:si>
    <x:t xml:space="preserve">คลองท่าเชียด</x:t>
  </x:si>
  <x:si>
    <x:t xml:space="preserve">{"id":1316137565,"waterlevel_datetime":"2026-10-01 06:00","waterlevel_m":null,"waterlevel_msl":"21.90","waterlevel_msl_previous":"21.84","flow_rate":null,"discharge":"1.80","storage_percent":"24.09","sort_order":null,"station_type":"tele_waterlevel","situation_level":2,"agency":{"id":12,"agency_name":{"th":"กรมชลประทาน ","en":"Royal Irrigation Department","jp":""},"agency_shortname":{"th":"ชป.","en":"RID","jp":""}},"basin":{"id":24,"basin_code":20,"basin_name":{"th":"ลุ่มน้ำทะเลสาบสงขลา","en":"Thale Sap Songkhla Basin"}},"station":{"id":2594,"tele_station_name":{"th":"บ้านแม่ขรี"},"tele_station_lat":7.33842,"tele_station_long":100.109978,"tele_station_oldcode":"X.267","tele_station_type":"tele_waterlevel","left_bank":27.876,"right_bank":27.92,"min_bank":26.52,"ground_level":20.434,"offset":null,"sub_basin_id":329,"agency_id":12,"geocode_id":8087,"hydro_id":8,"qmax":182.399994,"is_key_station":false,"warning_level_m":null,"critical_level_m":null,"critical_level_msl":null},"geocode":{"area_code":"5","area_name":{"th":"ภาคใต้","en":"South"},"amphoe_code":"04","amphoe_name":{"th":"ตะโหมด","en":"Tamot District"},"tumbon_code":"01","tumbon_name":{"th":"แม่ขรี","en":"Mae Khri"},"province_code":"93","province_name":{"th":"พัทลุง","en":"Phatthalung"}},"diff_wl_bank":"4.62","diff_wl_bank_text":"ต่ำกว่าตลิ่ง (ม.)","river_gid":225931,"river_name":"คลองท่าเชียด"}</x:t>
  </x:si>
  <x:si>
    <x:t xml:space="preserve">THAIWATER_WL:1035512</x:t>
  </x:si>
  <x:si>
    <x:t xml:space="preserve">M.183B</x:t>
  </x:si>
  <x:si>
    <x:t xml:space="preserve">บ้านคลองหินลับ</x:t>
  </x:si>
  <x:si>
    <x:t xml:space="preserve">ห้วยหินลับ</x:t>
  </x:si>
  <x:si>
    <x:t xml:space="preserve">{"id":1316340545,"waterlevel_datetime":"2026-10-01 14:00","waterlevel_m":null,"waterlevel_msl":"296.40","waterlevel_msl_previous":"296.44","flow_rate":null,"discharge":"5.60","storage_percent":"23.73","sort_order":null,"station_type":"tele_waterlevel","situation_level":2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1035512,"tele_station_name":{"th":"บ้านคลองหินลับ"},"tele_station_lat":14.72852,"tele_station_long":101.564293,"tele_station_oldcode":"M.183B","tele_station_type":"tele_waterlevel","left_bank":300.899994,"right_bank":300.899994,"min_bank":300.9,"ground_level":295,"offset":294.899994,"sub_basin_id":108,"agency_id":12,"geocode_id":1925,"hydro_id":4,"qmax":96,"is_key_station":false,"warning_level_m":null,"critical_level_m":null,"critical_level_msl":null},"geocode":{"area_code":"4","area_name":{"th":"ภาคตะวันออกเฉียงเหนือ","en":"Northeast"},"amphoe_code":"21","amphoe_name":{"th":"ปากช่อง","en":"Pak Chong District"},"tumbon_code":"11","tumbon_name":{"th":"วังไทร","en":"Wang Sai"},"province_code":"30","province_name":{"th":"นครราชสีมา","en":"Nakhon Ratchasima"}},"diff_wl_bank":"4.50","diff_wl_bank_text":"ต่ำกว่าตลิ่ง (ม.)","river_gid":151683,"river_name":"ห้วยหินลับ"}</x:t>
  </x:si>
  <x:si>
    <x:t xml:space="preserve">THAIWATER_WL:828</x:t>
  </x:si>
  <x:si>
    <x:t xml:space="preserve">TPI007</x:t>
  </x:si>
  <x:si>
    <x:t xml:space="preserve">วิภาวดี</x:t>
  </x:si>
  <x:si>
    <x:t xml:space="preserve">{"id":1316368401,"waterlevel_datetime":"2026-10-01 15:10","waterlevel_m":null,"waterlevel_msl":"23.87","waterlevel_msl_previous":"23.88","flow_rate":null,"discharge":null,"storage_percent":"23.66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Basin"}},"station":{"id":828,"tele_station_name":{"en":"Tapi 7","th":"วิภาวดี"},"tele_station_lat":9.206472,"tele_station_long":98.95253,"tele_station_oldcode":"TPI007","tele_station_type":"tele_waterlevel","left_bank":33.173,"right_bank":34.653,"min_bank":33.17,"ground_level":20.987,"offset":null,"sub_basin_id":316,"agency_id":9,"geocode_id":7656,"hydro_id":null,"qmax":null,"is_key_station":false,"warning_level_m":null,"critical_level_m":null,"critical_level_msl":null},"geocode":{"area_code":"5","area_name":{"th":"ภาคใต้","en":"South"},"amphoe_code":"19","amphoe_name":{"th":"วิภาวดี","en":"Vibhavadi District"},"tumbon_code":"02","tumbon_name":{"th":"ตะกุกเหนือ","en":"Takuk Nuea"},"province_code":"84","province_name":{"th":"สุราษฎร์ธานี","en":"Surat Thani"}},"diff_wl_bank":"9.30","diff_wl_bank_text":"ต่ำกว่าตลิ่ง (ม.)","river_gid":215722,"river_name":"คลองยัน"}</x:t>
  </x:si>
  <x:si>
    <x:t xml:space="preserve">THAIWATER_WL:430</x:t>
  </x:si>
  <x:si>
    <x:t xml:space="preserve">CHM001</x:t>
  </x:si>
  <x:si>
    <x:t xml:space="preserve">สันทราย</x:t>
  </x:si>
  <x:si>
    <x:t xml:space="preserve">{"id":1316367972,"waterlevel_datetime":"2026-10-01 15:10","waterlevel_m":null,"waterlevel_msl":"315.03","waterlevel_msl_previous":"315.02","flow_rate":null,"discharge":null,"storage_percent":"23.58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Basin"}},"station":{"id":430,"tele_station_name":{"en":"Chiang Mai 1","th":"สันทราย"},"tele_station_lat":19.00979,"tele_station_long":98.95975,"tele_station_oldcode":"CHM001","tele_station_type":"tele_waterlevel","left_bank":322.636,"right_bank":321.268,"min_bank":321.27,"ground_level":313.105,"offset":null,"sub_basin_id":160,"agency_id":9,"geocode_id":4842,"hydro_id":null,"qmax":null,"is_key_station":false,"warning_level_m":null,"critical_level_m":null,"critical_level_msl":null},"geocode":{"area_code":"3","area_name":{"th":"ภาคเหนือ","en":"North"},"amphoe_code":"14","amphoe_name":{"th":"สันทราย","en":"San Sai District"},"tumbon_code":"09","tumbon_name":{"th":"แม่แฝก","en":"Mae Faek"},"province_code":"50","province_name":{"th":"เชียงใหม่","en":"Chiang Mai"}},"diff_wl_bank":"6.24","diff_wl_bank_text":"ต่ำกว่าตลิ่ง (ม.)","river_gid":28899,"river_name":"แม่น้ำปิง"}</x:t>
  </x:si>
  <x:si>
    <x:t xml:space="preserve">THAIWATER_WL:726684</x:t>
  </x:si>
  <x:si>
    <x:t xml:space="preserve">X.275</x:t>
  </x:si>
  <x:si>
    <x:t xml:space="preserve">บ้านบริดอ</x:t>
  </x:si>
  <x:si>
    <x:t xml:space="preserve">{"id":1316344858,"waterlevel_datetime":"2026-10-01 14:00","waterlevel_m":null,"waterlevel_msl":"0.47","waterlevel_msl_previous":"0.51","flow_rate":null,"discharge":null,"storage_percent":"23.50","sort_order":null,"station_type":"tele_waterlevel","situation_level":2,"agency":{"id":12,"agency_name":{"th":"กรมชลประทาน ","en":"Royal Irrigation Department","jp":""},"agency_shortname":{"th":"ชป.","en":"RID","jp":""}},"basin":{"id":26,"basin_code":21,"basin_name":{"th":"ลุ่มน้ำภาคใต้ฝั่งตะวันออกตอนล่าง","en":"Peninsula - Lower East Coast Basin"}},"station":{"id":726684,"tele_station_name":{"th":"บ้านบริดอ"},"tele_station_lat":6.82152,"tele_station_long":101.244888,"tele_station_oldcode":"X.275","tele_station_type":"tele_waterlevel","left_bank":2,"right_bank":2,"min_bank":2,"ground_level":0,"offset":null,"sub_basin_id":336,"agency_id":12,"geocode_id":8148,"hydro_id":8,"qmax":null,"is_key_station":false,"warning_level_m":null,"critical_level_m":null,"critical_level_msl":null},"geocode":{"area_code":"5","area_name":{"th":"ภาคใต้","en":"South"},"amphoe_code":"01","amphoe_name":{"th":"เมืองปัตตานี","en":"Mueang Pattani District"},"tumbon_code":"12","tumbon_name":{"th":"บาราเฮาะ","en":"Bara Ho"},"province_code":"94","province_name":{"th":"ปัตตานี","en":"Pattani"}},"diff_wl_bank":"1.53","diff_wl_bank_text":"ต่ำกว่าตลิ่ง (ม.)","river_gid":228328,"river_name":"แม่น้ำปัตตานี"}</x:t>
  </x:si>
  <x:si>
    <x:t xml:space="preserve">THAIWATER_WL:3298</x:t>
  </x:si>
  <x:si>
    <x:t xml:space="preserve">G.11</x:t>
  </x:si>
  <x:si>
    <x:t xml:space="preserve">บ้านดอนสลี</x:t>
  </x:si>
  <x:si>
    <x:t xml:space="preserve">{"id":1316150876,"waterlevel_datetime":"2026-10-01 06:00","waterlevel_m":null,"waterlevel_msl":"462.46","waterlevel_msl_previous":"462.76","flow_rate":null,"discharge":"13.26","storage_percent":"23.37","sort_order":null,"station_type":"tele_waterlevel","situation_level":2,"agency":{"id":12,"agency_name":{"th":"กรมชลประทาน ","en":"Royal Irrigation Department","jp":""},"agency_shortname":{"th":"ชป.","en":"RID","jp":""}},"basin":{"id":2,"basin_code":2,"basin_name":{"th":"ลุ่มน้ำโขงเหนือ","en":"North Khong Basin"}},"station":{"id":3298,"tele_station_name":{"th":"บ้านดอนสลี"},"tele_station_lat":19.622379,"tele_station_long":99.476936,"tele_station_oldcode":"G.11","tele_station_type":"tele_waterlevel","left_bank":931.6849870000001,"right_bank":931.7299869999999,"min_bank":467.33,"ground_level":460.975,"offset":462.829987,"sub_basin_id":28,"agency_id":12,"geocode_id":5546,"hydro_id":1,"qmax":385.899994,"is_key_station":false,"warning_level_m":null,"critical_level_m":null,"critical_level_msl":null},"geocode":{"area_code":"3","area_name":{"th":"ภาคเหนือ","en":"North"},"amphoe_code":"10","amphoe_name":{"th":"แม่สรวย","en":"Mae Suai District"},"tumbon_code":"02","tumbon_name":{"th":"ป่าแดด","en":"Pa Daet"},"province_code":"57","province_name":{"th":"เชียงราย","en":"Chiang Rai"}},"diff_wl_bank":"4.87","diff_wl_bank_text":"ต่ำกว่าตลิ่ง (ม.)","river_gid":9623,"river_name":"น้ำแม่ลาว"}</x:t>
  </x:si>
  <x:si>
    <x:t xml:space="preserve">THAIWATER_WL:999405</x:t>
  </x:si>
  <x:si>
    <x:t xml:space="preserve">X.289</x:t>
  </x:si>
  <x:si>
    <x:t xml:space="preserve">วัดถลุงทอง อำเภอร่อนพิบูลย์ </x:t>
  </x:si>
  <x:si>
    <x:t xml:space="preserve">{"id":1316344865,"waterlevel_datetime":"2026-10-01 14:00","waterlevel_m":null,"waterlevel_msl":"15.24","waterlevel_msl_previous":"15.24","flow_rate":null,"discharge":"3.50","storage_percent":"23.31","sort_order":null,"station_type":"tele_waterlevel","situation_level":2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Basin"}},"station":{"id":999405,"tele_station_name":{"th":"วัดถลุงทอง อำเภอร่อนพิบูลย์ "},"tele_station_lat":8.3062,"tele_station_long":99.859917,"tele_station_oldcode":"X.289","tele_station_type":"tele_waterlevel","left_bank":21.001,"right_bank":21.008,"min_bank":19.5,"ground_level":13.945,"offset":null,"sub_basin_id":327,"agency_id":12,"geocode_id":7300,"hydro_id":8,"qmax":null,"is_key_station":false,"warning_level_m":null,"critical_level_m":null,"critical_level_msl":null},"geocode":{"area_code":"5","area_name":{"th":"ภาคใต้","en":"South"},"amphoe_code":"13","amphoe_name":{"th":"ร่อนพิบูลย์","en":"Ron Phibun District"},"tumbon_code":"02","tumbon_name":{"th":"หินตก","en":"Hin Tok"},"province_code":"80","province_name":{"th":"นครศรีธรรมราช","en":"Nakhon Si Thammarat"}},"diff_wl_bank":"4.26","diff_wl_bank_text":"ต่ำกว่าตลิ่ง (ม.)","river_gid":221148,"river_name":"คลองเสาธง"}</x:t>
  </x:si>
  <x:si>
    <x:t xml:space="preserve">THAIWATER_WL:784</x:t>
  </x:si>
  <x:si>
    <x:t xml:space="preserve">PRN001</x:t>
  </x:si>
  <x:si>
    <x:t xml:space="preserve">ปราณบุรี</x:t>
  </x:si>
  <x:si>
    <x:t xml:space="preserve">แม่น้ำปราณบุรี</x:t>
  </x:si>
  <x:si>
    <x:t xml:space="preserve">{"id":1316368247,"waterlevel_datetime":"2026-10-01 15:10","waterlevel_m":null,"waterlevel_msl":"0.00","waterlevel_msl_previous":"0.00","flow_rate":null,"discharge":null,"storage_percent":"23.22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Organization)","jp":""},"agency_shortname":{"th":"สสน.","en":"HII","jp":""}},"basin":{"id":20,"basin_code":18,"basin_name":{"th":"ลุ่มน้ำเพชรบุรี-ประจวบคีรีขันธ์","en":"Phetchaburi - Prachuap Khiri Khan Basin"}},"station":{"id":784,"tele_station_name":{"en":"Pran Buri 1","th":"ปราณบุรี"},"tele_station_lat":12.38992,"tele_station_long":99.91119,"tele_station_oldcode":"PRN001","tele_station_type":"tele_waterlevel","left_bank":6.933,"right_bank":9.617,"min_bank":6.93,"ground_level":-2.097,"offset":null,"sub_basin_id":303,"agency_id":9,"geocode_id":7155,"hydro_id":null,"qmax":null,"is_key_station":false,"warning_level_m":null,"critical_level_m":null,"critical_level_msl":null},"geocode":{"area_code":"2","area_name":{"th":"ภาคกลาง","en":"Central"},"amphoe_code":"06","amphoe_name":{"th":"ปราณบุรี","en":"Pran Buri District"},"tumbon_code":"08","tumbon_name":{"th":"วังก์พง","en":"Wang Phong"},"province_code":"77","province_name":{"th":"ประจวบคีรีขันธ์","en":"Prachuap Khiri Khan"}},"diff_wl_bank":"6.93","diff_wl_bank_text":"ต่ำกว่าตลิ่ง (ม.)","river_gid":210951,"river_name":"แม่น้ำปราณบุรี"}</x:t>
  </x:si>
  <x:si>
    <x:t xml:space="preserve">THAIWATER_WL:632511</x:t>
  </x:si>
  <x:si>
    <x:t xml:space="preserve">N.84</x:t>
  </x:si>
  <x:si>
    <x:t xml:space="preserve">ต.น้ำปาด</x:t>
  </x:si>
  <x:si>
    <x:t xml:space="preserve">{"id":1316341586,"waterlevel_datetime":"2026-10-01 14:00","waterlevel_m":null,"waterlevel_msl":"137.63","waterlevel_msl_previous":"137.65","flow_rate":null,"discharge":"14.01","storage_percent":"22.95","sort_order":null,"station_type":"tele_waterlevel","situation_level":2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632511,"tele_station_name":{"th":"ต.น้ำปาด"},"tele_station_lat":17.74103,"tele_station_long":100.679276,"tele_station_oldcode":"N.84","tele_station_type":"tele_waterlevel","left_bank":280.986997,"right_bank":281.534997,"min_bank":141.5,"ground_level":136.477,"offset":136.199997,"sub_basin_id":229,"agency_id":12,"geocode_id":5128,"hydro_id":2,"qmax":285,"is_key_station":false,"warning_level_m":null,"critical_level_m":null,"critical_level_msl":null},"geocode":{"area_code":"3","area_name":{"th":"ภาคเหนือ","en":"North"},"amphoe_code":"04","amphoe_name":{"th":"น้ำปาด","en":"Nam Pat District"},"tumbon_code":"01","tumbon_name":{"th":"แสนตอ","en":"Saen To"},"province_code":"53","province_name":{"th":"อุตรดิตถ์","en":"Uttaradit"}},"diff_wl_bank":"3.87","diff_wl_bank_text":"ต่ำกว่าตลิ่ง (ม.)","river_gid":77278,"river_name":"น้ำปาด"}</x:t>
  </x:si>
  <x:si>
    <x:t xml:space="preserve">THAIWATER_WL:1097520</x:t>
  </x:si>
  <x:si>
    <x:t xml:space="preserve">Gt.11</x:t>
  </x:si>
  <x:si>
    <x:t xml:space="preserve">บ้านช้างแรก</x:t>
  </x:si>
  <x:si>
    <x:t xml:space="preserve">ห้วยหินปิด</x:t>
  </x:si>
  <x:si>
    <x:t xml:space="preserve">{"id":1316004509,"waterlevel_datetime":"2026-10-01 23:00","waterlevel_m":null,"waterlevel_msl":"38.38","waterlevel_msl_previous":"38.64","flow_rate":null,"discharge":"0.19","storage_percent":"22.92","sort_order":null,"station_type":"tele_waterlevel","situation_level":2,"agency":{"id":12,"agency_name":{"th":"กรมชลประทาน ","en":"Royal Irrigation Department","jp":""},"agency_shortname":{"th":"ชป.","en":"RID","jp":""}},"basin":{"id":20,"basin_code":18,"basin_name":{"th":"ลุ่มน้ำเพชรบุรี-ประจวบคีรีขันธ์","en":"Phetchaburi - Prachuap Khiri Khan Basin"}},"station":{"id":1097520,"tele_station_name":{"th":"บ้านช้างแรก"},"tele_station_lat":11.06431,"tele_station_long":99.372253,"tele_station_oldcode":"Gt.11","tele_station_type":"tele_waterlevel","left_bank":84.70899800000001,"right_bank":84.344998,"min_bank":40.6,"ground_level":37.72,"offset":37.599998,"sub_basin_id":308,"agency_id":12,"geocode_id":7148,"hydro_id":7,"qmax":85,"is_key_station":false,"warning_level_m":null,"critical_level_m":null,"critical_level_msl":null},"geocode":{"area_code":"2","area_name":{"th":"ภาคกลาง","en":"Central"},"amphoe_code":"05","amphoe_name":{"th":"บางสะพานน้อย","en":"Bang Saphan Noi District"},"tumbon_code":"04","tumbon_name":{"th":"ช้างแรก","en":"Chang Raek"},"province_code":"77","province_name":{"th":"ประจวบคีรีขันธ์","en":"Prachuap Khiri Khan"}},"diff_wl_bank":"2.22","diff_wl_bank_text":"ต่ำกว่าตลิ่ง (ม.)","river_gid":212310,"river_name":"ห้วยหินปิด"}</x:t>
  </x:si>
  <x:si>
    <x:t xml:space="preserve">THAIWATER_WL:1109509</x:t>
  </x:si>
  <x:si>
    <x:t xml:space="preserve">ONE020</x:t>
  </x:si>
  <x:si>
    <x:t xml:space="preserve">ปตร. บ้านตับเต่า-ท้ายน้ำ</x:t>
  </x:si>
  <x:si>
    <x:t xml:space="preserve">{"id":1316368198,"waterlevel_datetime":"2026-10-01 15:10","waterlevel_m":null,"waterlevel_msl":"142.83","waterlevel_msl_previous":"142.83","flow_rate":null,"discharge":null,"storage_percent":"22.78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Basin"}},"station":{"id":1109509,"tele_station_name":{"en":"Ban Tap Tao Gate","th":"ปตร. บ้านตับเต่า-ท้ายน้ำ"},"tele_station_lat":17.11483,"tele_station_long":104.53841,"tele_station_oldcode":"ONE020","tele_station_type":"tele_waterlevel","left_bank":149.522,"right_bank":149.365,"min_bank":149.37,"ground_level":140.902,"offset":null,"sub_basin_id":70,"agency_id":9,"geocode_id":4542,"hydro_id":null,"qmax":null,"is_key_station":false,"warning_level_m":null,"critical_level_m":null,"critical_level_msl":null},"geocode":{"area_code":"4","area_name":{"th":"ภาคตะวันออกเฉียงเหนือ","en":"Northeast"},"amphoe_code":"02","amphoe_name":{"th":"ปลาปาก","en":"Pla Pak District"},"tumbon_code":"08","tumbon_name":{"th":"หนองเทาใหญ่","en":"Nong Thao Yai"},"province_code":"48","province_name":{"th":"นครพนม","en":"Nakhon Phanom"}},"diff_wl_bank":"6.53","diff_wl_bank_text":"ต่ำกว่าตลิ่ง (ม.)","river_gid":121975,"river_name":"ลำน้ำบัง"}</x:t>
  </x:si>
  <x:si>
    <x:t xml:space="preserve">THAIWATER_WL:1422298</x:t>
  </x:si>
  <x:si>
    <x:t xml:space="preserve">BBD05</x:t>
  </x:si>
  <x:si>
    <x:t xml:space="preserve">ห้วยแม่ท้อที่ อ.เมืองตาก</x:t>
  </x:si>
  <x:si>
    <x:t xml:space="preserve">{"id":1316366294,"waterlevel_datetime":"2026-10-01 15:00","waterlevel_m":null,"waterlevel_msl":"128.47","waterlevel_msl_previous":"128.48","flow_rate":null,"discharge":null,"storage_percent":"22.74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Thailand","jp":""},"agency_shortname":{"th":"กฟผ.","en":"EGAT","jp":""}},"basin":{"id":6,"basin_code":6,"basin_name":{"th":"ลุ่มน้ำปิง","en":"Ping Basin"}},"station":{"id":1422298,"tele_station_name":{"th":"ห้วยแม่ท้อที่ อ.เมืองตาก"},"tele_station_lat":16.840886,"tele_station_long":99.068334,"tele_station_oldcode":"BBD05","tele_station_type":"tele_waterlevel","left_bank":132.22,"right_bank":132.43,"min_bank":132.22,"ground_level":127.37,"offset":null,"sub_basin_id":178,"agency_id":8,"geocode_id":5974,"hydro_id":null,"qmax":null,"is_key_station":false,"warning_level_m":null,"critical_level_m":null,"critical_level_msl":132.22},"geocode":{"area_code":"3","area_name":{"th":"ภาคเหนือ","en":"North"},"amphoe_code":"01","amphoe_name":{"th":"เมืองตาก","en":"Mueang Tak District"},"tumbon_code":"11","tumbon_name":{"th":"แม่ท้อ","en":"Mae Tho"},"province_code":"63","province_name":{"th":"ตาก","en":"Tak"}},"diff_wl_bank":"3.75","diff_wl_bank_text":"ต่ำกว่าตลิ่ง (ม.)"}</x:t>
  </x:si>
  <x:si>
    <x:t xml:space="preserve">THAIWATER_WL:319</x:t>
  </x:si>
  <x:si>
    <x:t xml:space="preserve">CHI015</x:t>
  </x:si>
  <x:si>
    <x:t xml:space="preserve">สะพานฉลองขอนแก่น 200 ปี</x:t>
  </x:si>
  <x:si>
    <x:t xml:space="preserve">{"id":1316367969,"waterlevel_datetime":"2026-10-01 15:10","waterlevel_m":null,"waterlevel_msl":"147.23","waterlevel_msl_previous":"147.23","flow_rate":null,"discharge":null,"storage_percent":"22.74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Organization)","jp":""},"agency_shortname":{"th":"สสน.","en":"HII","jp":""}},"basin":{"id":4,"basin_code":4,"basin_name":{"th":"ลุ่มน้ำชี","en":"Chi Basin Basin"}},"station":{"id":319,"tele_station_name":{"en":"Mueang Khon Kaen","th":"สะพานฉลองขอนแก่น 200 ปี"},"tele_station_lat":16.528994,"tele_station_long":102.906006,"tele_station_oldcode":"CHI015","tele_station_type":"tele_waterlevel","left_bank":155.264,"right_bank":155.197,"min_bank":155.2,"ground_level":144.885,"offset":null,"sub_basin_id":93,"agency_id":9,"geocode_id":3235,"hydro_id":null,"qmax":null,"is_key_station":false,"warning_level_m":null,"critical_level_m":null,"critical_level_msl":null},"geocode":{"area_code":"4","area_name":{"th":"ภาคตะวันออกเฉียงเหนือ","en":"Northeast"},"amphoe_code":"01","amphoe_name":{"th":"เมืองขอนแก่น","en":"Mueang Khon Kaen District"},"tumbon_code":"16","tumbon_name":{"th":"หนองตูม","en":"Nong Tum"},"province_code":"40","province_name":{"th":"ขอนแก่น","en":"Khon Kaen"}},"diff_wl_bank":"7.97","diff_wl_bank_text":"ต่ำกว่าตลิ่ง (ม.)","river_gid":130214,"river_name":"ลำน้ำพอง"}</x:t>
  </x:si>
  <x:si>
    <x:t xml:space="preserve">THAIWATER_WL:1109523</x:t>
  </x:si>
  <x:si>
    <x:t xml:space="preserve">ONE034</x:t>
  </x:si>
  <x:si>
    <x:t xml:space="preserve">สะพานข้ามห้วยสมอ</x:t>
  </x:si>
  <x:si>
    <x:t xml:space="preserve">ห้วยทราย</x:t>
  </x:si>
  <x:si>
    <x:t xml:space="preserve">{"id":1316368209,"waterlevel_datetime":"2026-10-01 15:10","waterlevel_m":null,"waterlevel_msl":"159.75","waterlevel_msl_previous":"159.75","flow_rate":null,"discharge":null,"storage_percent":"22.72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Basin"}},"station":{"id":1109523,"tele_station_name":{"en":"Huai Samo Bridge","th":"สะพานข้ามห้วยสมอ"},"tele_station_lat":17.208937,"tele_station_long":104.101845,"tele_station_oldcode":"ONE034","tele_station_type":"tele_waterlevel","left_bank":161.966,"right_bank":161.73,"min_bank":161.73,"ground_level":159.168,"offset":null,"sub_basin_id":69,"agency_id":9,"geocode_id":4386,"hydro_id":null,"qmax":null,"is_key_station":false,"warning_level_m":null,"critical_level_m":null,"critical_level_msl":null},"geocode":{"area_code":"4","area_name":{"th":"ภาคตะวันออกเฉียงเหนือ","en":"Northeast"},"amphoe_code":"01","amphoe_name":{"th":"เมืองสกลนคร","en":"Mueang Sakon Nakhon District"},"tumbon_code":"16","tumbon_name":{"th":"ธาตุนาเวง","en":"That Naweng"},"province_code":"47","province_name":{"th":"สกลนคร","en":"Sakon Nakhon"}},"diff_wl_bank":"1.98","diff_wl_bank_text":"ต่ำกว่าตลิ่ง (ม.)","river_gid":121479,"river_name":"ห้วยทราย"}</x:t>
  </x:si>
  <x:si>
    <x:t xml:space="preserve">THAIWATER_WL:1101569</x:t>
  </x:si>
  <x:si>
    <x:t xml:space="preserve">FOP058</x:t>
  </x:si>
  <x:si>
    <x:t xml:space="preserve">บ้านใต้</x:t>
  </x:si>
  <x:si>
    <x:t xml:space="preserve">คลองท่าโลน</x:t>
  </x:si>
  <x:si>
    <x:t xml:space="preserve">2026-10-01T12:50:00+07:00</x:t>
  </x:si>
  <x:si>
    <x:t xml:space="preserve">{"id":1316300206,"waterlevel_datetime":"2026-10-01 12:50","waterlevel_m":null,"waterlevel_msl":"59.85","waterlevel_msl_previous":"59.85","flow_rate":null,"discharge":null,"storage_percent":"22.30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Foundation","jp":""},"agency_shortname":{"th":"พพภ","en":"FOP","jp":""}},"basin":{"id":27,"basin_code":22,"basin_name":{"th":"ลุ่มน้ำภาคใต้ฝั่งตะวันตก","en":"Peninsula - West Coast Basin"}},"station":{"id":1101569,"tele_station_name":{"en":"Ban Tai","th":"บ้านใต้"},"tele_station_lat":8.178368,"tele_station_long":99.70351,"tele_station_oldcode":"FOP058","tele_station_type":"tele_waterlevel","left_bank":62.746,"right_bank":63.279,"min_bank":62.75,"ground_level":59.019,"offset":null,"sub_basin_id":349,"sponsor_by":"มูลนิธิอาสาเพื่อนพึ่ง (ภาฯ) ยามยาก สภากาชาดไทย","agency_id":91,"geocode_id":7259,"hydro_id":null,"qmax":null,"is_key_station":false,"warning_level_m":null,"critical_level_m":null,"critical_level_msl":null},"geocode":{"area_code":"5","area_name":{"th":"ภาคใต้","en":"South"},"amphoe_code":"09","amphoe_name":{"th":"ทุ่งสง","en":"Thung Song District"},"tumbon_code":"06","tumbon_name":{"th":"นาหลวงเสน","en":"Na Luang Sen"},"province_code":"80","province_name":{"th":"นครศรีธรรมราช","en":"Nakhon Si Thammarat"}},"diff_wl_bank":"2.90","diff_wl_bank_text":"ต่ำกว่าตลิ่ง (ม.)","river_gid":221889,"river_name":"คลองท่าโลน"}</x:t>
  </x:si>
  <x:si>
    <x:t xml:space="preserve">THAIWATER_WL:499</x:t>
  </x:si>
  <x:si>
    <x:t xml:space="preserve">YOM003</x:t>
  </x:si>
  <x:si>
    <x:t xml:space="preserve">หนองม่วงไข่</x:t>
  </x:si>
  <x:si>
    <x:t xml:space="preserve">{"id":1316368435,"waterlevel_datetime":"2026-10-01 15:10","waterlevel_m":null,"waterlevel_msl":"154.15","waterlevel_msl_previous":"154.15","flow_rate":null,"discharge":null,"storage_percent":"22.26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Basin"}},"station":{"id":499,"tele_station_name":{"en":"Yom 3","th":"หนองม่วงไข่"},"tele_station_lat":18.26591,"tele_station_long":100.17706,"tele_station_oldcode":"YOM003","tele_station_type":"tele_waterlevel","left_bank":159.635,"right_bank":159.637,"min_bank":159.64,"ground_level":152.582,"offset":null,"sub_basin_id":203,"agency_id":9,"geocode_id":5254,"hydro_id":null,"qmax":null,"is_key_station":false,"warning_level_m":null,"critical_level_m":null,"critical_level_msl":null},"geocode":{"area_code":"3","area_name":{"th":"ภาคเหนือ","en":"North"},"amphoe_code":"08","amphoe_name":{"th":"หนองม่วงไข่","en":"Nong Muang Khai District"},"tumbon_code":"03","tumbon_name":{"th":"น้ำรัด","en":"Nam Rat"},"province_code":"54","province_name":{"th":"แพร่","en":"Phrae"}},"diff_wl_bank":"5.48","diff_wl_bank_text":"ต่ำกว่าตลิ่ง (ม.)","river_gid":62573,"river_name":"แม่น้ำยม"}</x:t>
  </x:si>
  <x:si>
    <x:t xml:space="preserve">THAIWATER_WL:772</x:t>
  </x:si>
  <x:si>
    <x:t xml:space="preserve">PCH002</x:t>
  </x:si>
  <x:si>
    <x:t xml:space="preserve">แก่งกระจาน</x:t>
  </x:si>
  <x:si>
    <x:t xml:space="preserve">ห้วยแม่ประจันต์</x:t>
  </x:si>
  <x:si>
    <x:t xml:space="preserve">{"id":1316368231,"waterlevel_datetime":"2026-10-01 15:10","waterlevel_m":null,"waterlevel_msl":"18.46","waterlevel_msl_previous":"18.46","flow_rate":null,"discharge":null,"storage_percent":"22.21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Organization)","jp":""},"agency_shortname":{"th":"สสน.","en":"HII","jp":""}},"basin":{"id":20,"basin_code":18,"basin_name":{"th":"ลุ่มน้ำเพชรบุรี-ประจวบคีรีขันธ์","en":"Phetchaburi - Prachuap Khiri Khan Basin"}},"station":{"id":772,"tele_station_name":{"en":"Petch Buri 2","th":"แก่งกระจาน"},"tele_station_lat":12.92212,"tele_station_long":99.81754,"tele_station_oldcode":"PCH002","tele_station_type":"tele_waterlevel","left_bank":23.2,"right_bank":25.594,"min_bank":23.2,"ground_level":17.108,"offset":null,"sub_basin_id":301,"agency_id":9,"geocode_id":7110,"hydro_id":null,"qmax":null,"is_key_station":false,"warning_level_m":null,"critical_level_m":null,"critical_level_msl":null},"geocode":{"area_code":"2","area_name":{"th":"ภาคกลาง","en":"Central"},"amphoe_code":"08","amphoe_name":{"th":"แก่งกระจาน","en":"Kaeng Krachan District"},"tumbon_code":"03","tumbon_name":{"th":"วังจันทร์","en":"Wang Chan"},"province_code":"76","province_name":{"th":"เพชรบุรี","en":"Phetchaburi"}},"diff_wl_bank":"4.74","diff_wl_bank_text":"ต่ำกว่าตลิ่ง (ม.)","river_gid":209857,"river_name":"ห้วยแม่ประจันต์"}</x:t>
  </x:si>
  <x:si>
    <x:t xml:space="preserve">THAIWATER_WL:1109516</x:t>
  </x:si>
  <x:si>
    <x:t xml:space="preserve">ONE027</x:t>
  </x:si>
  <x:si>
    <x:t xml:space="preserve">สะพานข้ามคลองกะเปอร์</x:t>
  </x:si>
  <x:si>
    <x:t xml:space="preserve">คลองกะเปอร์</x:t>
  </x:si>
  <x:si>
    <x:t xml:space="preserve">{"id":1316368204,"waterlevel_datetime":"2026-10-01 15:10","waterlevel_m":null,"waterlevel_msl":"9.58","waterlevel_msl_previous":"9.57","flow_rate":null,"discharge":null,"storage_percent":"22.19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Basin"}},"station":{"id":1109516,"tele_station_name":{"en":"Khlong Ka Poe Bridge","th":"สะพานข้ามคลองกะเปอร์"},"tele_station_lat":9.590022,"tele_station_long":98.63291,"tele_station_oldcode":"ONE027","tele_station_type":"tele_waterlevel","left_bank":12.856,"right_bank":14.419,"min_bank":12.86,"ground_level":8.646,"offset":null,"sub_basin_id":343,"agency_id":9,"geocode_id":7678,"hydro_id":null,"qmax":null,"is_key_station":false,"warning_level_m":null,"critical_level_m":null,"critical_level_msl":null},"geocode":{"area_code":"5","area_name":{"th":"ภาคใต้","en":"South"},"amphoe_code":"03","amphoe_name":{"th":"กะเปอร์","en":"Kapoe District"},"tumbon_code":"02","tumbon_name":{"th":"กะเปอร์","en":"Kapoe"},"province_code":"85","province_name":{"th":"ระนอง","en":"Ranong"}},"diff_wl_bank":"3.28","diff_wl_bank_text":"ต่ำกว่าตลิ่ง (ม.)","river_gid":214856,"river_name":"คลองกะเปอร์"}</x:t>
  </x:si>
  <x:si>
    <x:t xml:space="preserve">THAIWATER_WL:2713</x:t>
  </x:si>
  <x:si>
    <x:t xml:space="preserve">M.177</x:t>
  </x:si>
  <x:si>
    <x:t xml:space="preserve">บ้านลาดบัวขาว</x:t>
  </x:si>
  <x:si>
    <x:t xml:space="preserve">ลำตะคอง</x:t>
  </x:si>
  <x:si>
    <x:t xml:space="preserve">{"id":1316340559,"waterlevel_datetime":"2026-10-01 14:00","waterlevel_m":null,"waterlevel_msl":"238.84","waterlevel_msl_previous":"238.86","flow_rate":null,"discharge":"2.92","storage_percent":"22.03","sort_order":null,"station_type":"tele_waterlevel","situation_level":2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2713,"tele_station_name":{"th":"บ้านลาดบัวขาว"},"tele_station_lat":14.85019,"tele_station_long":101.616791,"tele_station_oldcode":"M.177","tele_station_type":"tele_waterlevel","left_bank":480.649997,"right_bank":480.627997,"min_bank":243.3,"ground_level":237.58,"offset":236.699997,"sub_basin_id":108,"agency_id":12,"geocode_id":1905,"hydro_id":4,"qmax":105,"is_key_station":false,"warning_level_m":null,"critical_level_m":null,"critical_level_msl":null},"geocode":{"area_code":"4","area_name":{"th":"ภาคตะวันออกเฉียงเหนือ","en":"Northeast"},"amphoe_code":"20","amphoe_name":{"th":"สีคิ้ว","en":"Sikhio District"},"tumbon_code":"04","tumbon_name":{"th":"ลาดบัวขาว","en":"Lat Bua Khao"},"province_code":"30","province_name":{"th":"นครราชสีมา","en":"Nakhon Ratchasima"}},"diff_wl_bank":"4.46","diff_wl_bank_text":"ต่ำกว่าตลิ่ง (ม.)","river_gid":150632,"river_name":"ลำตะคอง"}</x:t>
  </x:si>
  <x:si>
    <x:t xml:space="preserve">THAIWATER_WL:3277</x:t>
  </x:si>
  <x:si>
    <x:t xml:space="preserve">P.65</x:t>
  </x:si>
  <x:si>
    <x:t xml:space="preserve">บ้านม่วงป๊อก</x:t>
  </x:si>
  <x:si>
    <x:t xml:space="preserve">ห้วยมะยมเหม็น</x:t>
  </x:si>
  <x:si>
    <x:t xml:space="preserve">{"id":1316268541,"waterlevel_datetime":"2026-10-01 11:00","waterlevel_m":null,"waterlevel_msl":"741.83","waterlevel_msl_previous":"741.83","flow_rate":null,"discharge":"4.44","storage_percent":"21.81","sort_order":null,"station_type":"tele_waterlevel","situation_level":2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3277,"tele_station_name":{"th":"บ้านม่วงป๊อก"},"tele_station_lat":19.638411,"tele_station_long":98.635262,"tele_station_oldcode":"P.65","tele_station_type":"tele_waterlevel","left_bank":1485.946973,"right_bank":1485.912973,"min_bank":744.21,"ground_level":741.166,"offset":740.409973,"sub_basin_id":159,"agency_id":12,"geocode_id":4894,"hydro_id":1,"qmax":40.32,"is_key_station":false,"warning_level_m":null,"critical_level_m":null,"critical_level_msl":null},"geocode":{"area_code":"3","area_name":{"th":"ภาคเหนือ","en":"North"},"amphoe_code":"20","amphoe_name":{"th":"เวียงแหง","en":"Wiang Haeng District"},"tumbon_code":"02","tumbon_name":{"th":"เปียงหลวง","en":"Piang Luang"},"province_code":"50","province_name":{"th":"เชียงใหม่","en":"Chiang Mai"}},"diff_wl_bank":"2.38","diff_wl_bank_text":"ต่ำกว่าตลิ่ง (ม.)","river_gid":8505,"river_name":"ห้วยมะยมเหม็น"}</x:t>
  </x:si>
  <x:si>
    <x:t xml:space="preserve">THAIWATER_WL:1109533</x:t>
  </x:si>
  <x:si>
    <x:t xml:space="preserve">ONE044</x:t>
  </x:si>
  <x:si>
    <x:t xml:space="preserve">สะพานข้ามคลองไชยา</x:t>
  </x:si>
  <x:si>
    <x:t xml:space="preserve">คลองไชยา</x:t>
  </x:si>
  <x:si>
    <x:t xml:space="preserve">{"id":1316368217,"waterlevel_datetime":"2026-10-01 15:10","waterlevel_m":null,"waterlevel_msl":"7.26","waterlevel_msl_previous":"7.26","flow_rate":null,"discharge":null,"storage_percent":"21.61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Basin"}},"station":{"id":1109533,"tele_station_name":{"en":"Khlong Chaiya Bridge","th":"สะพานข้ามคลองไชยา"},"tele_station_lat":9.398603,"tele_station_long":99.16833,"tele_station_oldcode":"ONE044","tele_station_type":"tele_waterlevel","left_bank":10.97,"right_bank":11.222,"min_bank":10.97,"ground_level":6.237,"offset":null,"sub_basin_id":313,"agency_id":9,"geocode_id":7554,"hydro_id":null,"qmax":null,"is_key_station":false,"warning_level_m":null,"critical_level_m":null,"critical_level_msl":null},"geocode":{"area_code":"5","area_name":{"th":"ภาคใต้","en":"South"},"amphoe_code":"06","amphoe_name":{"th":"ไชยา","en":"Chaiya District"},"tumbon_code":"04","tumbon_name":{"th":"เวียง","en":"Wiang"},"province_code":"84","province_name":{"th":"สุราษฎร์ธานี","en":"Surat Thani"}},"diff_wl_bank":"3.71","diff_wl_bank_text":"ต่ำกว่าตลิ่ง (ม.)","river_gid":215221,"river_name":"คลองไชยา"}</x:t>
  </x:si>
  <x:si>
    <x:t xml:space="preserve">THAIWATER_WL:1109512</x:t>
  </x:si>
  <x:si>
    <x:t xml:space="preserve">ONE023</x:t>
  </x:si>
  <x:si>
    <x:t xml:space="preserve">สะพานข้ามคลองท่าแพ</x:t>
  </x:si>
  <x:si>
    <x:t xml:space="preserve">คลองเปิก</x:t>
  </x:si>
  <x:si>
    <x:t xml:space="preserve">{"id":1316368201,"waterlevel_datetime":"2026-10-01 15:10","waterlevel_m":null,"waterlevel_msl":"58.00","waterlevel_msl_previous":"57.99","flow_rate":null,"discharge":null,"storage_percent":"21.48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Basin"}},"station":{"id":1109512,"tele_station_name":{"en":"Khlong ThaPhae Bridge","th":"สะพานข้ามคลองท่าแพ"},"tele_station_lat":8.166437,"tele_station_long":99.704285,"tele_station_oldcode":"ONE023","tele_station_type":"tele_waterlevel","left_bank":62.563,"right_bank":60.855,"min_bank":60.86,"ground_level":57.219,"offset":null,"sub_basin_id":349,"agency_id":9,"geocode_id":7254,"hydro_id":null,"qmax":null,"is_key_station":false,"warning_level_m":null,"critical_level_m":null,"critical_level_msl":null},"geocode":{"area_code":"5","area_name":{"th":"ภาคใต้","en":"South"},"amphoe_code":"09","amphoe_name":{"th":"ทุ่งสง","en":"Thung Song District"},"tumbon_code":"01","tumbon_name":{"th":"ปากแพรก","en":"Pak Phraek"},"province_code":"80","province_name":{"th":"นครศรีธรรมราช","en":"Nakhon Si Thammarat"}},"diff_wl_bank":"2.85","diff_wl_bank_text":"ต่ำกว่าตลิ่ง (ม.)","river_gid":221992,"river_name":"คลองเปิก"}</x:t>
  </x:si>
  <x:si>
    <x:t xml:space="preserve">THAIWATER_WL:1116840</x:t>
  </x:si>
  <x:si>
    <x:t xml:space="preserve">FOP066</x:t>
  </x:si>
  <x:si>
    <x:t xml:space="preserve">สะพานช้ามแม่น้ำลาว - บ้านโฮ่ง </x:t>
  </x:si>
  <x:si>
    <x:t xml:space="preserve">{"id":1316367745,"waterlevel_datetime":"2026-10-01 15:10","waterlevel_m":null,"waterlevel_msl":"587.48","waterlevel_msl_previous":"587.48","flow_rate":null,"discharge":null,"storage_percent":"21.39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Foundation","jp":""},"agency_shortname":{"th":"พพภ","en":"FOP","jp":""}},"basin":{"id":2,"basin_code":2,"basin_name":{"th":"ลุ่มน้ำโขงเหนือ","en":"North Khong Basin"}},"station":{"id":1116840,"tele_station_name":{"en":"Lao River Slow Bridge - Ban Hong","th":"สะพานช้ามแม่น้ำลาว - บ้านโฮ่ง "},"tele_station_lat":19.173138,"tele_station_long":99.50559,"tele_station_oldcode":"FOP066","tele_station_type":"tele_waterlevel","left_bank":590.427,"right_bank":589.244,"min_bank":589.24,"ground_level":587,"offset":null,"sub_basin_id":28,"sponsor_by":"มูลนิธิอาสาเพื่อนพึ่ง (ภาฯ) ยามยาก สภากาชาดไทย","agency_id":91,"geocode_id":5559,"hydro_id":null,"qmax":null,"is_key_station":false,"warning_level_m":null,"critical_level_m":null,"critical_level_msl":null},"geocode":{"area_code":"3","area_name":{"th":"ภาคเหนือ","en":"North"},"amphoe_code":"11","amphoe_name":{"th":"เวียงป่าเป้า","en":"Wiang Pa Pao District"},"tumbon_code":"07","tumbon_name":{"th":"แม่เจดีย์ใหม่","en":"Mae Chedi Mai"},"province_code":"57","province_name":{"th":"เชียงราย","en":"Chiang Rai"}},"diff_wl_bank":"1.76","diff_wl_bank_text":"ต่ำกว่าตลิ่ง (ม.)","river_gid":23156,"river_name":"น้ำแม่ลาว"}</x:t>
  </x:si>
  <x:si>
    <x:t xml:space="preserve">THAIWATER_WL:3267</x:t>
  </x:si>
  <x:si>
    <x:t xml:space="preserve">N.65</x:t>
  </x:si>
  <x:si>
    <x:t xml:space="preserve">บ้านปางสา</x:t>
  </x:si>
  <x:si>
    <x:t xml:space="preserve">น้ำยาว</x:t>
  </x:si>
  <x:si>
    <x:t xml:space="preserve">{"id":1316351162,"waterlevel_datetime":"2026-10-01 14:00","waterlevel_m":null,"waterlevel_msl":"250.00","waterlevel_msl_previous":"250.00","flow_rate":null,"discharge":"15.60","storage_percent":"21.24","sort_order":null,"station_type":"tele_waterlevel","situation_level":2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3267,"tele_station_name":{"th":"บ้านปางสา"},"tele_station_lat":19.23041,"tele_station_long":100.754089,"tele_station_oldcode":"N.65","tele_station_type":"tele_waterlevel","left_bank":505.59299899999996,"right_bank":505.614999,"min_bank":253.89,"ground_level":248.951,"offset":248.889999,"sub_basin_id":217,"agency_id":12,"geocode_id":5313,"hydro_id":1,"qmax":210.399994,"is_key_station":false,"warning_level_m":null,"critical_level_m":null,"critical_level_msl":null},"geocode":{"area_code":"3","area_name":{"th":"ภาคเหนือ","en":"North"},"amphoe_code":"06","amphoe_name":{"th":"ท่าวังผา","en":"Tha Wang Pha District"},"tumbon_code":"10","tumbon_name":{"th":"ผาทอง","en":"Pha Thong"},"province_code":"55","province_name":{"th":"น่าน","en":"Nan"}},"diff_wl_bank":"3.89","diff_wl_bank_text":"ต่ำกว่าตลิ่ง (ม.)","river_gid":21318,"river_name":"น้ำยาว"}</x:t>
  </x:si>
  <x:si>
    <x:t xml:space="preserve">THAIWATER_WL:522</x:t>
  </x:si>
  <x:si>
    <x:t xml:space="preserve">NAN002</x:t>
  </x:si>
  <x:si>
    <x:t xml:space="preserve">ภูเพียง</x:t>
  </x:si>
  <x:si>
    <x:t xml:space="preserve">{"id":1316368160,"waterlevel_datetime":"2026-10-01 15:10","waterlevel_m":null,"waterlevel_msl":"197.30","waterlevel_msl_previous":"197.30","flow_rate":null,"discharge":null,"storage_percent":"21.13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Basin"}},"station":{"id":522,"tele_station_name":{"en":"Nan 2","th":"ภูเพียง"},"tele_station_lat":18.85971,"tele_station_long":100.8171,"tele_station_oldcode":"NAN002","tele_station_type":"tele_waterlevel","left_bank":208.239,"right_bank":205.643,"min_bank":205.64,"ground_level":195.061,"offset":null,"sub_basin_id":220,"agency_id":9,"geocode_id":5367,"hydro_id":null,"qmax":null,"is_key_station":false,"warning_level_m":null,"critical_level_m":null,"critical_level_msl":null},"geocode":{"area_code":"3","area_name":{"th":"ภาคเหนือ","en":"North"},"amphoe_code":"14","amphoe_name":{"th":"ภูเพียง","en":"Phu Phiang District"},"tumbon_code":"05","tumbon_name":{"th":"เมืองจัง","en":"Mueang Chang"},"province_code":"55","province_name":{"th":"น่าน","en":"Nan"}},"diff_wl_bank":"8.35","diff_wl_bank_text":"ต่ำกว่าตลิ่ง (ม.)","river_gid":35638,"river_name":"แม่น้ำน่าน"}</x:t>
  </x:si>
  <x:si>
    <x:t xml:space="preserve">THAIWATER_WL:560</x:t>
  </x:si>
  <x:si>
    <x:t xml:space="preserve">PAI001</x:t>
  </x:si>
  <x:si>
    <x:t xml:space="preserve">เมืองแม่ฮ่องสอน</x:t>
  </x:si>
  <x:si>
    <x:t xml:space="preserve">แม่น้ำปาย</x:t>
  </x:si>
  <x:si>
    <x:t xml:space="preserve">{"id":1316368221,"waterlevel_datetime":"2026-10-01 15:10","waterlevel_m":null,"waterlevel_msl":"201.06","waterlevel_msl_previous":"201.06","flow_rate":null,"discharge":null,"storage_percent":"20.85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Organization)","jp":""},"agency_shortname":{"th":"สสน.","en":"HII","jp":""}},"basin":{"id":1,"basin_code":1,"basin_name":{"th":"ลุ่มน้ำสาละวิน","en":"Salawin Basin"}},"station":{"id":560,"tele_station_name":{"en":"Pai 1","th":"เมืองแม่ฮ่องสอน"},"tele_station_lat":19.36703,"tele_station_long":97.96665,"tele_station_oldcode":"PAI001","tele_station_type":"tele_waterlevel","left_bank":205.974,"right_bank":208.06,"min_bank":205.97,"ground_level":199.763,"offset":null,"sub_basin_id":5,"agency_id":9,"geocode_id":5600,"hydro_id":null,"qmax":null,"is_key_station":false,"warning_level_m":null,"critical_level_m":null,"critical_level_msl":null},"geocode":{"area_code":"3","area_name":{"th":"ภาคเหนือ","en":"North"},"amphoe_code":"01","amphoe_name":{"th":"เมืองแม่ฮ่องสอน","en":"Mueang Mae Hong Son District"},"tumbon_code":"04","tumbon_name":{"th":"ปางหมู","en":"Pang Mu"},"province_code":"58","province_name":{"th":"แม่ฮ่องสอน","en":"Mae Hong Son"}},"diff_wl_bank":"4.92","diff_wl_bank_text":"ต่ำกว่าตลิ่ง (ม.)","river_gid":17220,"river_name":"แม่น้ำปาย"}</x:t>
  </x:si>
  <x:si>
    <x:t xml:space="preserve">THAIWATER_WL:2976</x:t>
  </x:si>
  <x:si>
    <x:t xml:space="preserve">E.67</x:t>
  </x:si>
  <x:si>
    <x:t xml:space="preserve">ลำพันชาด</x:t>
  </x:si>
  <x:si>
    <x:t xml:space="preserve">{"id":1316144301,"waterlevel_datetime":"2026-10-01 06:00","waterlevel_m":null,"waterlevel_msl":"161.82","waterlevel_msl_previous":"161.82","flow_rate":null,"discharge":"24.12","storage_percent":"20.55","sort_order":null,"station_type":"tele_waterlevel","situation_level":2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2976,"tele_station_name":{"th":"บ้านท่างาม"},"tele_station_lat":16.952499,"tele_station_long":103.496674,"tele_station_oldcode":"E.67","tele_station_type":"tele_waterlevel","left_bank":331.507995,"right_bank":331.49699499999997,"min_bank":171.37,"ground_level":159.35,"offset":158.869995,"sub_basin_id":98,"agency_id":12,"geocode_id":4351,"hydro_id":3,"qmax":420,"is_key_station":false,"warning_level_m":null,"critical_level_m":null,"critical_level_msl":null},"geocode":{"area_code":"4","area_name":{"th":"ภาคตะวันออกเฉียงเหนือ","en":"Northeast"},"amphoe_code":"15","amphoe_name":{"th":"สามชัย","en":"Sam Chai District"},"tumbon_code":"01","tumbon_name":{"th":"สำราญ","en":"Samran"},"province_code":"46","province_name":{"th":"กาฬสินธุ์","en":"Kalasin"}},"diff_wl_bank":"9.55","diff_wl_bank_text":"ต่ำกว่าตลิ่ง (ม.)","river_gid":124539,"river_name":"ลำพันชาด"}</x:t>
  </x:si>
  <x:si>
    <x:t xml:space="preserve">THAIWATER_WL:562800</x:t>
  </x:si>
  <x:si>
    <x:t xml:space="preserve">BLGTD02</x:t>
  </x:si>
  <x:si>
    <x:t xml:space="preserve">สะพานหัวสะพาน อ.บันนังสตา จ.ยะลา</x:t>
  </x:si>
  <x:si>
    <x:t xml:space="preserve">{"id":1316366241,"waterlevel_datetime":"2026-10-01 15:00","waterlevel_m":null,"waterlevel_msl":"35.62","waterlevel_msl_previous":"35.26","flow_rate":null,"discharge":null,"storage_percent":"20.38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Thailand","jp":""},"agency_shortname":{"th":"กฟผ.","en":"EGAT","jp":""}},"basin":{"id":26,"basin_code":21,"basin_name":{"th":"ลุ่มน้ำภาคใต้ฝั่งตะวันออกตอนล่าง","en":"Peninsula - Lower East Coast Basin"}},"station":{"id":562800,"tele_station_name":{"th":"สะพานหัวสะพาน อ.บันนังสตา จ.ยะลา"},"tele_station_lat":6.262132,"tele_station_long":101.268237,"tele_station_oldcode":"BLGTD02","tele_station_type":"tele_waterlevel","left_bank":40.71,"right_bank":40.3,"min_bank":40.3,"ground_level":34.421,"offset":null,"sub_basin_id":336,"agency_id":8,"geocode_id":8287,"hydro_id":null,"qmax":null,"is_key_station":false,"warning_level_m":null,"critical_level_m":null,"critical_level_msl":40.3},"geocode":{"area_code":"5","area_name":{"th":"ภาคใต้","en":"South"},"amphoe_code":"03","amphoe_name":{"th":"บันนังสตา","en":"Bannang Sata District"},"tumbon_code":"02","tumbon_name":{"th":"บาเจาะ","en":"Bacho"},"province_code":"95","province_name":{"th":"ยะลา","en":"Yala"}},"diff_wl_bank":"4.68","diff_wl_bank_text":"ต่ำกว่าตลิ่ง (ม.)","river_gid":231106,"river_name":"แม่น้ำปัตตานี"}</x:t>
  </x:si>
  <x:si>
    <x:t xml:space="preserve">THAIWATER_WL:1109535</x:t>
  </x:si>
  <x:si>
    <x:t xml:space="preserve">ONE046</x:t>
  </x:si>
  <x:si>
    <x:t xml:space="preserve">สะพานข้ามคลองท่าชนะ</x:t>
  </x:si>
  <x:si>
    <x:t xml:space="preserve">คลองท่าชนะ</x:t>
  </x:si>
  <x:si>
    <x:t xml:space="preserve">{"id":1316368219,"waterlevel_datetime":"2026-10-01 15:10","waterlevel_m":null,"waterlevel_msl":"6.34","waterlevel_msl_previous":"6.35","flow_rate":null,"discharge":null,"storage_percent":"20.23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Basin"}},"station":{"id":1109535,"tele_station_name":{"en":"Khlong Tha Chana Bridge","th":"สะพานข้ามคลองท่าชนะ"},"tele_station_lat":9.576583,"tele_station_long":99.12956,"tele_station_oldcode":"ONE046","tele_station_type":"tele_waterlevel","left_bank":16.506,"right_bank":14.544,"min_bank":14.54,"ground_level":4.26,"offset":null,"sub_basin_id":313,"agency_id":9,"geocode_id":7566,"hydro_id":null,"qmax":null,"is_key_station":false,"warning_level_m":null,"critical_level_m":null,"critical_level_msl":null},"geocode":{"area_code":"5","area_name":{"th":"ภาคใต้","en":"South"},"amphoe_code":"07","amphoe_name":{"th":"ท่าชนะ","en":"Tha Chana District"},"tumbon_code":"06","tumbon_name":{"th":"คลองพา","en":"Khlong Pha"},"province_code":"84","province_name":{"th":"สุราษฎร์ธานี","en":"Surat Thani"}},"diff_wl_bank":"8.20","diff_wl_bank_text":"ต่ำกว่าตลิ่ง (ม.)","river_gid":214878,"river_name":"คลองท่าชนะ"}</x:t>
  </x:si>
  <x:si>
    <x:t xml:space="preserve">THAIWATER_WL:1396856</x:t>
  </x:si>
  <x:si>
    <x:t xml:space="preserve">MOU460</x:t>
  </x:si>
  <x:si>
    <x:t xml:space="preserve">สะพานคลองลำพญาธาร</x:t>
  </x:si>
  <x:si>
    <x:t xml:space="preserve">{"id":1316367799,"waterlevel_datetime":"2026-10-01 15:10","waterlevel_m":null,"waterlevel_msl":"79.69","waterlevel_msl_previous":"79.69","flow_rate":null,"discharge":null,"storage_percent":"20.13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Foundation","jp":""},"agency_shortname":{"th":"พพภ","en":"FOP","jp":""}},"basin":{"id":16,"basin_code":15,"basin_name":{"th":"ลุ่มน้ำบางปะกง","en":"Bang Pakong Basin"}},"station":{"id":1396856,"tele_station_name":{"en":"Lam Phaya Than Bridge","th":"สะพานคลองลำพญาธาร"},"tele_station_lat":14.26568,"tele_station_long":101.89133,"tele_station_oldcode":"MOU460","tele_station_type":"tele_waterlevel","left_bank":84.091,"right_bank":85.077,"min_bank":84.09,"ground_level":78.581,"offset":null,"sub_basin_id":280,"sponsor_by":"มูลนิธิอาสาเพื่อนพึ่ง (ภาฯ) ยามยาก สภากาชาดไทย","agency_id":91,"geocode_id":1519,"hydro_id":null,"qmax":null,"is_key_station":false,"warning_level_m":null,"critical_level_m":null,"critical_level_msl":null},"geocode":{"area_code":"2","area_name":{"th":"ภาคกลาง","en":"Central"},"amphoe_code":"03","amphoe_name":{"th":"นาดี","en":"Na Di District"},"tumbon_code":"06","tumbon_name":{"th":"บุพราหมณ์","en":"Bu Phram"},"province_code":"25","province_name":{"th":"ปราจีนบุรี","en":"Prachin Buri"}},"diff_wl_bank":"4.40","diff_wl_bank_text":"ต่ำกว่าตลิ่ง (ม.)"}</x:t>
  </x:si>
  <x:si>
    <x:t xml:space="preserve">THAIWATER_WL:647</x:t>
  </x:si>
  <x:si>
    <x:t xml:space="preserve">YOM005</x:t>
  </x:si>
  <x:si>
    <x:t xml:space="preserve">ศรีสัชนาลัย</x:t>
  </x:si>
  <x:si>
    <x:t xml:space="preserve">{"id":1316368437,"waterlevel_datetime":"2026-10-01 15:10","waterlevel_m":null,"waterlevel_msl":"61.13","waterlevel_msl_previous":"61.11","flow_rate":null,"discharge":null,"storage_percent":"20.10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Basin"}},"station":{"id":647,"tele_station_name":{"en":"Yom 5","th":"ศรีสัชนาลัย"},"tele_station_lat":17.51715,"tele_station_long":99.75877,"tele_station_oldcode":"YOM005","tele_station_type":"tele_waterlevel","left_bank":71.932,"right_bank":72.072,"min_bank":71.93,"ground_level":58.411,"offset":null,"sub_basin_id":209,"agency_id":9,"geocode_id":6080,"hydro_id":null,"qmax":null,"is_key_station":false,"warning_level_m":null,"critical_level_m":null,"critical_level_msl":null},"geocode":{"area_code":"3","area_name":{"th":"ภาคเหนือ","en":"North"},"amphoe_code":"05","amphoe_name":{"th":"ศรีสัชนาลัย","en":"Si Satchanalai District"},"tumbon_code":"01","tumbon_name":{"th":"หาดเสี้ยว","en":"Hat Siao"},"province_code":"64","province_name":{"th":"สุโขทัย","en":"Sukhothai"}},"diff_wl_bank":"10.80","diff_wl_bank_text":"ต่ำกว่าตลิ่ง (ม.)","river_gid":81814,"river_name":"แม่น้ำยม"}</x:t>
  </x:si>
  <x:si>
    <x:t xml:space="preserve">THAIWATER_WL:2836</x:t>
  </x:si>
  <x:si>
    <x:t xml:space="preserve">E.6C</x:t>
  </x:si>
  <x:si>
    <x:t xml:space="preserve">บ้านตาดโตน</x:t>
  </x:si>
  <x:si>
    <x:t xml:space="preserve">ห้วยตาดโตน</x:t>
  </x:si>
  <x:si>
    <x:t xml:space="preserve">{"id":1316353881,"waterlevel_datetime":"2026-10-01 14:00","waterlevel_m":null,"waterlevel_msl":"193.38","waterlevel_msl_previous":"193.32","flow_rate":null,"discharge":"1.41","storage_percent":"20.07","sort_order":null,"station_type":"tele_waterlevel","situation_level":2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2836,"tele_station_name":{"th":"บ้านตาดโตน"},"tele_station_lat":15.95536,"tele_station_long":102.03363,"tele_station_oldcode":"E.6C","tele_station_type":"tele_waterlevel","left_bank":391.55499699999996,"right_bank":391.955997,"min_bank":198.2,"ground_level":192.17,"offset":192.699997,"sub_basin_id":82,"agency_id":12,"geocode_id":2952,"hydro_id":3,"qmax":50,"is_key_station":true,"warning_level_m":null,"critical_level_m":null,"critical_level_msl":null},"geocode":{"area_code":"4","area_name":{"th":"ภาคตะวันออกเฉียงเหนือ","en":"Northeast"},"amphoe_code":"01","amphoe_name":{"th":"เมืองชัยภูมิ","en":"Mueang Chaiyaphum District"},"tumbon_code":"04","tumbon_name":{"th":"นาฝาย","en":"Na Fai"},"province_code":"36","province_name":{"th":"ชัยภูมิ","en":"Chaiyaphum"}},"diff_wl_bank":"4.82","diff_wl_bank_text":"ต่ำกว่าตลิ่ง (ม.)","river_gid":136755,"river_name":"ห้วยตาดโตน"}</x:t>
  </x:si>
  <x:si>
    <x:t xml:space="preserve">THAIWATER_WL:3245</x:t>
  </x:si>
  <x:si>
    <x:t xml:space="preserve">N.49</x:t>
  </x:si>
  <x:si>
    <x:t xml:space="preserve">บ้านน้ำยาว</x:t>
  </x:si>
  <x:si>
    <x:t xml:space="preserve">{"id":1316351157,"waterlevel_datetime":"2026-10-01 14:00","waterlevel_m":null,"waterlevel_msl":"265.16","waterlevel_msl_previous":"265.16","flow_rate":null,"discharge":"6.48","storage_percent":"19.94","sort_order":null,"station_type":"tele_waterlevel","situation_level":2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3245,"tele_station_name":{"th":"บ้านน้ำยาว"},"tele_station_lat":18.99374,"tele_station_long":100.940102,"tele_station_oldcode":"N.49","tele_station_type":"tele_waterlevel","left_bank":537.211011,"right_bank":539.256011,"min_bank":268.48,"ground_level":264.333,"offset":263.980011,"sub_basin_id":219,"agency_id":12,"geocode_id":5296,"hydro_id":1,"qmax":331.5,"is_key_station":true,"warning_level_m":null,"critical_level_m":null,"critical_level_msl":null},"geocode":{"area_code":"3","area_name":{"th":"ภาคเหนือ","en":"North"},"amphoe_code":"05","amphoe_name":{"th":"ปัว","en":"Pua District"},"tumbon_code":"06","tumbon_name":{"th":"อวน","en":"Ouan"},"province_code":"55","province_name":{"th":"น่าน","en":"Nan"}},"diff_wl_bank":"3.32","diff_wl_bank_text":"ต่ำกว่าตลิ่ง (ม.)","river_gid":28951,"river_name":"น้ำยาว"}</x:t>
  </x:si>
  <x:si>
    <x:t xml:space="preserve">THAIWATER_WL:869</x:t>
  </x:si>
  <x:si>
    <x:t xml:space="preserve">TNG001</x:t>
  </x:si>
  <x:si>
    <x:t xml:space="preserve">ท่าสะบ้า</x:t>
  </x:si>
  <x:si>
    <x:t xml:space="preserve">{"id":1316368389,"waterlevel_datetime":"2026-10-01 15:10","waterlevel_m":null,"waterlevel_msl":"6.22","waterlevel_msl_previous":"6.22","flow_rate":null,"discharge":null,"storage_percent":"19.80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Basin"}},"station":{"id":869,"tele_station_name":{"en":"Trang 1","th":"ท่าสะบ้า"},"tele_station_lat":7.729391,"tele_station_long":99.55152,"tele_station_oldcode":"TNG001","tele_station_type":"tele_waterlevel","left_bank":11.517,"right_bank":15.136,"min_bank":11.52,"ground_level":4.912,"offset":null,"sub_basin_id":349,"agency_id":9,"geocode_id":8039,"hydro_id":null,"qmax":null,"is_key_station":false,"warning_level_m":null,"critical_level_m":null,"critical_level_msl":null},"geocode":{"area_code":"5","area_name":{"th":"ภาคใต้","en":"South"},"amphoe_code":"07","amphoe_name":{"th":"วังวิเศษ","en":"Wang Wiset District"},"tumbon_code":"04","tumbon_name":{"th":"ท่าสะบ้า","en":"Tha Saba"},"province_code":"92","province_name":{"th":"ตรัง","en":"Trang"}},"diff_wl_bank":"5.30","diff_wl_bank_text":"ต่ำกว่าตลิ่ง (ม.)","river_gid":224112,"river_name":"แม่น้ำตรัง"}</x:t>
  </x:si>
  <x:si>
    <x:t xml:space="preserve">THAIWATER_WL:802</x:t>
  </x:si>
  <x:si>
    <x:t xml:space="preserve">TKP002</x:t>
  </x:si>
  <x:si>
    <x:t xml:space="preserve">เมืองพังงา</x:t>
  </x:si>
  <x:si>
    <x:t xml:space="preserve">คลองพังงา</x:t>
  </x:si>
  <x:si>
    <x:t xml:space="preserve">2026-10-01T11:30:00+07:00</x:t>
  </x:si>
  <x:si>
    <x:t xml:space="preserve">{"id":1316266421,"waterlevel_datetime":"2026-10-01 11:30","waterlevel_m":null,"waterlevel_msl":"2.73","waterlevel_msl_previous":"2.73","flow_rate":null,"discharge":null,"storage_percent":"19.78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Basin"}},"station":{"id":802,"tele_station_name":{"en":"Takua Pa 2","th":"เมืองพังงา"},"tele_station_lat":8.477331,"tele_station_long":98.52832,"tele_station_oldcode":"TKP002","tele_station_type":"tele_waterlevel","left_bank":11.39,"right_bank":7.759,"min_bank":7.76,"ground_level":1.49,"offset":null,"sub_basin_id":345,"agency_id":9,"geocode_id":7432,"hydro_id":null,"qmax":null,"is_key_station":false,"warning_level_m":null,"critical_level_m":null,"critical_level_msl":null},"geocode":{"area_code":"5","area_name":{"th":"ภาคใต้","en":"South"},"amphoe_code":"01","amphoe_name":{"th":"เมืองพังงา","en":"Mueang Phang-nga District"},"tumbon_code":"03","tumbon_name":{"th":"ถ้ำน้ำผุด","en":"Tham Nam Phut"},"province_code":"82","province_name":{"th":"พังงา","en":"Phangnga"}},"diff_wl_bank":"5.03","diff_wl_bank_text":"ต่ำกว่าตลิ่ง (ม.)","river_gid":219724,"river_name":"คลองพังงา"}</x:t>
  </x:si>
  <x:si>
    <x:t xml:space="preserve">THAIWATER_WL:706</x:t>
  </x:si>
  <x:si>
    <x:t xml:space="preserve">RAJ003</x:t>
  </x:si>
  <x:si>
    <x:t xml:space="preserve">สวนผึ้ง</x:t>
  </x:si>
  <x:si>
    <x:t xml:space="preserve">แม่น้ำภาชี</x:t>
  </x:si>
  <x:si>
    <x:t xml:space="preserve">{"id":1316368261,"waterlevel_datetime":"2026-10-01 15:10","waterlevel_m":null,"waterlevel_msl":"95.90","waterlevel_msl_previous":"95.90","flow_rate":null,"discharge":null,"storage_percent":"19.69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Organization)","jp":""},"agency_shortname":{"th":"สสน.","en":"HII","jp":""}},"basin":{"id":15,"basin_code":14,"basin_name":{"th":"ลุ่มน้ำแม่กลอง","en":"Mae Klong Basin"}},"station":{"id":706,"tele_station_name":{"en":"Ratchaburi 3","th":"สวนผึ้ง"},"tele_station_lat":13.56008,"tele_station_long":99.36224,"tele_station_oldcode":"RAJ003","tele_station_type":"tele_waterlevel","left_bank":104.088,"right_bank":102.751,"min_bank":102.75,"ground_level":94.218,"offset":null,"sub_basin_id":274,"agency_id":9,"geocode_id":6499,"hydro_id":null,"qmax":null,"is_key_station":false,"warning_level_m":null,"critical_level_m":null,"critical_level_msl":null},"geocode":{"area_code":"2","area_name":{"th":"ภาคกลาง","en":"Central"},"amphoe_code":"03","amphoe_name":{"th":"สวนผึ้ง","en":"Suan Phueng District"},"tumbon_code":"01","tumbon_name":{"th":"สวนผึ้ง","en":"Suan Phueng"},"province_code":"70","province_name":{"th":"ราชบุรี","en":"Ratchaburi"}},"diff_wl_bank":"6.85","diff_wl_bank_text":"ต่ำกว่าตลิ่ง (ม.)","river_gid":189875,"river_name":"แม่น้ำภาชี"}</x:t>
  </x:si>
  <x:si>
    <x:t xml:space="preserve">THAIWATER_WL:3244</x:t>
  </x:si>
  <x:si>
    <x:t xml:space="preserve">P.79</x:t>
  </x:si>
  <x:si>
    <x:t xml:space="preserve">บ้านแม่หวาน</x:t>
  </x:si>
  <x:si>
    <x:t xml:space="preserve">{"id":1316268563,"waterlevel_datetime":"2026-10-01 11:00","waterlevel_m":null,"waterlevel_msl":"442.69","waterlevel_msl_previous":"442.69","flow_rate":null,"discharge":"5.15","storage_percent":"19.64","sort_order":null,"station_type":"tele_waterlevel","situation_level":2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3244,"tele_station_name":{"th":"บ้านแม่หวาน"},"tele_station_lat":18.9643,"tele_station_long":99.237518,"tele_station_oldcode":"P.79","tele_station_type":"tele_waterlevel","left_bank":891.297988,"right_bank":892.050988,"min_bank":445.8,"ground_level":441.93,"offset":442.299988,"sub_basin_id":163,"agency_id":12,"geocode_id":4747,"hydro_id":1,"qmax":380,"is_key_station":false,"warning_level_m":null,"critical_level_m":null,"critical_level_msl":null},"geocode":{"area_code":"3","area_name":{"th":"ภาคเหนือ","en":"North"},"amphoe_code":"05","amphoe_name":{"th":"ดอยสะเก็ด","en":"Doi Saket District"},"tumbon_code":"13","tumbon_name":{"th":"ป่าเมี่ยง","en":"Pa Miang"},"province_code":"50","province_name":{"th":"เชียงใหม่","en":"Chiang Mai"}},"diff_wl_bank":"3.11","diff_wl_bank_text":"ต่ำกว่าตลิ่ง (ม.)","river_gid":30639,"river_name":"น้ำแม่กวง"}</x:t>
  </x:si>
  <x:si>
    <x:t xml:space="preserve">THAIWATER_WL:1121239</x:t>
  </x:si>
  <x:si>
    <x:t xml:space="preserve">MOU352</x:t>
  </x:si>
  <x:si>
    <x:t xml:space="preserve">สะพานน้ำงิม</x:t>
  </x:si>
  <x:si>
    <x:t xml:space="preserve">น้ำงิม</x:t>
  </x:si>
  <x:si>
    <x:t xml:space="preserve">{"id":1316367782,"waterlevel_datetime":"2026-10-01 15:10","waterlevel_m":null,"waterlevel_msl":"444.10","waterlevel_msl_previous":"444.10","flow_rate":null,"discharge":null,"storage_percent":"19.62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Foundation","jp":""},"agency_shortname":{"th":"พพภ","en":"FOP","jp":""}},"basin":{"id":8,"basin_code":8,"basin_name":{"th":"ลุ่มน้ำยม","en":"Yom Basin"}},"station":{"id":1121239,"tele_station_name":{"en":"Nam Ngim Bridge","th":"สะพานน้ำงิม"},"tele_station_lat":19.321678,"tele_station_long":100.456184,"tele_station_oldcode":"MOU352","tele_station_type":"tele_waterlevel","left_bank":448.012,"right_bank":448.318,"min_bank":448.01,"ground_level":443.145,"offset":null,"sub_basin_id":197,"sponsor_by":"มูลนิธิอาสาเพื่อนพึ่ง (ภาฯ) ยามยาก สภากาชาดไทย","agency_id":91,"geocode_id":5431,"hydro_id":null,"qmax":null,"is_key_station":false,"warning_level_m":null,"critical_level_m":null,"critical_level_msl":null},"geocode":{"area_code":"3","area_name":{"th":"ภาคเหนือ","en":"North"},"amphoe_code":"06","amphoe_name":{"th":"ปง","en":"Pong District"},"tumbon_code":"05","tumbon_name":{"th":"ผาช้างน้อย","en":"Pha Chang Noi"},"province_code":"56","province_name":{"th":"พะเยา","en":"Phayao"}},"diff_wl_bank":"3.91","diff_wl_bank_text":"ต่ำกว่าตลิ่ง (ม.)","river_gid":18341,"river_name":"น้ำงิม"}</x:t>
  </x:si>
  <x:si>
    <x:t xml:space="preserve">THAIWATER_WL:479238</x:t>
  </x:si>
  <x:si>
    <x:t xml:space="preserve">TBW030</x:t>
  </x:si>
  <x:si>
    <x:t xml:space="preserve">ลำน้ำพุง</x:t>
  </x:si>
  <x:si>
    <x:t xml:space="preserve">{"id":1316368364,"waterlevel_datetime":"2026-10-01 15:10","waterlevel_m":null,"waterlevel_msl":"168.70","waterlevel_msl_previous":"168.69","flow_rate":null,"discharge":null,"storage_percent":"19.43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Basin"}},"station":{"id":479238,"tele_station_name":{"en":"Num Pung","th":"ลำน้ำพุง"},"tele_station_lat":16.996609,"tele_station_long":104.17364,"tele_station_oldcode":"TBW030","tele_station_type":"tele_waterlevel","left_bank":175.894,"right_bank":175.646,"min_bank":175.65,"ground_level":167.025,"offset":null,"sub_basin_id":69,"agency_id":9,"geocode_id":4491,"hydro_id":null,"qmax":null,"is_key_station":false,"warning_level_m":null,"critical_level_m":null,"critical_level_msl":null},"geocode":{"area_code":"4","area_name":{"th":"ภาคตะวันออกเฉียงเหนือ","en":"Northeast"},"amphoe_code":"14","amphoe_name":{"th":"เต่างอย","en":"Tao Ngoi District"},"tumbon_code":"01","tumbon_name":{"th":"เต่างอย","en":"Tao Ngoi"},"province_code":"47","province_name":{"th":"สกลนคร","en":"Sakon Nakhon"}},"diff_wl_bank":"6.95","diff_wl_bank_text":"ต่ำกว่าตลิ่ง (ม.)","river_gid":123806,"river_name":"ลำน้ำพุง"}</x:t>
  </x:si>
  <x:si>
    <x:t xml:space="preserve">THAIWATER_WL:3213</x:t>
  </x:si>
  <x:si>
    <x:t xml:space="preserve">Y.30</x:t>
  </x:si>
  <x:si>
    <x:t xml:space="preserve">น้ำแม่หวด</x:t>
  </x:si>
  <x:si>
    <x:t xml:space="preserve">{"id":1316150873,"waterlevel_datetime":"2026-10-01 06:00","waterlevel_m":null,"waterlevel_msl":"266.12","waterlevel_msl_previous":"266.13","flow_rate":null,"discharge":"2.98","storage_percent":"19.11","sort_order":null,"station_type":"tele_waterlevel","situation_level":2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3213,"tele_station_name":{"th":"บ้านโป่ง"},"tele_station_lat":18.709379,"tele_station_long":99.957626,"tele_station_oldcode":"Y.30","tele_station_type":"tele_waterlevel","left_bank":539.573005,"right_bank":539.496005,"min_bank":269.93,"ground_level":265.22,"offset":265.630005,"sub_basin_id":202,"agency_id":12,"geocode_id":5024,"hydro_id":1,"qmax":156.949997,"is_key_station":false,"warning_level_m":null,"critical_level_m":null,"critical_level_msl":null},"geocode":{"area_code":"3","area_name":{"th":"ภาคเหนือ","en":"North"},"amphoe_code":"05","amphoe_name":{"th":"งาว","en":"Ngao District"},"tumbon_code":"03","tumbon_name":{"th":"บ้านโป่ง","en":"Ban Pong"},"province_code":"52","province_name":{"th":"ลำปาง","en":"Lampang"}},"diff_wl_bank":"3.81","diff_wl_bank_text":"ต่ำกว่าตลิ่ง (ม.)","river_gid":42976,"river_name":"น้ำแม่หวด"}</x:t>
  </x:si>
  <x:si>
    <x:t xml:space="preserve">THAIWATER_WL:3251</x:t>
  </x:si>
  <x:si>
    <x:t xml:space="preserve">P.4A</x:t>
  </x:si>
  <x:si>
    <x:t xml:space="preserve">บ้านแม่แตง</x:t>
  </x:si>
  <x:si>
    <x:t xml:space="preserve">{"id":1316351101,"waterlevel_datetime":"2026-10-01 14:00","waterlevel_m":null,"waterlevel_msl":"333.35","waterlevel_msl_previous":"333.36","flow_rate":null,"discharge":"6.45","storage_percent":"18.84","sort_order":null,"station_type":"tele_waterlevel","situation_level":2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3251,"tele_station_name":{"th":"บ้านแม่แตง"},"tele_station_lat":19.122181,"tele_station_long":98.944412,"tele_station_oldcode":"P.4A","tele_station_type":"tele_waterlevel","left_bank":673.9639999999999,"right_bank":673.912,"min_bank":337.8,"ground_level":332.317,"offset":334,"sub_basin_id":159,"agency_id":12,"geocode_id":4750,"hydro_id":1,"qmax":374,"is_key_station":true,"warning_level_m":null,"critical_level_m":null,"critical_level_msl":null},"geocode":{"area_code":"3","area_name":{"th":"ภาคเหนือ","en":"North"},"amphoe_code":"06","amphoe_name":{"th":"แม่แตง","en":"Mae Taeng District"},"tumbon_code":"01","tumbon_name":{"th":"สันมหาพน","en":"San Mahaphon"},"province_code":"50","province_name":{"th":"เชียงใหม่","en":"Chiang Mai"}},"diff_wl_bank":"4.45","diff_wl_bank_text":"ต่ำกว่าตลิ่ง (ม.)","river_gid":24612,"river_name":"แม่น้ำแม่แตง"}</x:t>
  </x:si>
  <x:si>
    <x:t xml:space="preserve">THAIWATER_WL:1476456</x:t>
  </x:si>
  <x:si>
    <x:t xml:space="preserve">MOU322</x:t>
  </x:si>
  <x:si>
    <x:t xml:space="preserve">สะพานน้ำคลองแม่สอย</x:t>
  </x:si>
  <x:si>
    <x:t xml:space="preserve">{"id":1316367776,"waterlevel_datetime":"2026-10-01 15:10","waterlevel_m":null,"waterlevel_msl":"308.95","waterlevel_msl_previous":"308.95","flow_rate":null,"discharge":null,"storage_percent":"18.66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Foundation","jp":""},"agency_shortname":{"th":"พพภ","en":"FOP","jp":""}},"basin":{"id":7,"basin_code":7,"basin_name":{"th":"ลุ่มน้ำวัง","en":"Wang Basin"}},"station":{"id":1476456,"tele_station_name":{"en":"Khlong Mae Soi Bridge","th":"สะพานน้ำคลองแม่สอย"},"tele_station_lat":18.784391,"tele_station_long":99.56949,"tele_station_oldcode":"MOU322","tele_station_type":"tele_waterlevel","left_bank":311.393,"right_bank":311.09,"min_bank":311.09,"ground_level":308.459,"offset":null,"sub_basin_id":187,"sponsor_by":"บริษัท ไทยเบฟเวอเรจ จำกัด (มหาชน) ","agency_id":91,"geocode_id":5036,"hydro_id":null,"qmax":null,"is_key_station":false,"warning_level_m":null,"critical_level_m":null,"critical_level_msl":null},"geocode":{"area_code":"3","area_name":{"th":"ภาคเหนือ","en":"North"},"amphoe_code":"06","amphoe_name":{"th":"แจ้ห่ม","en":"Chae Hom District"},"tumbon_code":"04","tumbon_name":{"th":"แม่สุก","en":"Mae Suk"},"province_code":"52","province_name":{"th":"ลำปาง","en":"Lampang"}},"diff_wl_bank":"2.14","diff_wl_bank_text":"ต่ำกว่าตลิ่ง (ม.)"}</x:t>
  </x:si>
  <x:si>
    <x:t xml:space="preserve">THAIWATER_WL:3281</x:t>
  </x:si>
  <x:si>
    <x:t xml:space="preserve">W.26</x:t>
  </x:si>
  <x:si>
    <x:t xml:space="preserve">บ้านเมืองมาย</x:t>
  </x:si>
  <x:si>
    <x:t xml:space="preserve">ห้วยแม่คิ</x:t>
  </x:si>
  <x:si>
    <x:t xml:space="preserve">{"id":1316351091,"waterlevel_datetime":"2026-10-01 14:00","waterlevel_m":null,"waterlevel_msl":"286.59","waterlevel_msl_previous":"286.59","flow_rate":null,"discharge":"2.04","storage_percent":"18.48","sort_order":null,"station_type":"tele_waterlevel","situation_level":2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3281,"tele_station_name":{"th":"บ้านเมืองมาย"},"tele_station_lat":18.596041,"tele_station_long":99.622063,"tele_station_oldcode":"W.26","tele_station_type":"tele_waterlevel","left_bank":577.7030010000001,"right_bank":577.7420010000001,"min_bank":289.37,"ground_level":285.96,"offset":286.470001,"sub_basin_id":188,"agency_id":12,"geocode_id":5037,"hydro_id":1,"qmax":62.060001,"is_key_station":false,"warning_level_m":null,"critical_level_m":null,"critical_level_msl":null},"geocode":{"area_code":"3","area_name":{"th":"ภาคเหนือ","en":"North"},"amphoe_code":"06","amphoe_name":{"th":"แจ้ห่ม","en":"Chae Hom District"},"tumbon_code":"05","tumbon_name":{"th":"เมืองมาย","en":"Mueang Mai"},"province_code":"52","province_name":{"th":"ลำปาง","en":"Lampang"}},"diff_wl_bank":"2.78","diff_wl_bank_text":"ต่ำกว่าตลิ่ง (ม.)","river_gid":47740,"river_name":"ห้วยแม่คิ"}</x:t>
  </x:si>
  <x:si>
    <x:t xml:space="preserve">THAIWATER_WL:1109522</x:t>
  </x:si>
  <x:si>
    <x:t xml:space="preserve">ONE033</x:t>
  </x:si>
  <x:si>
    <x:t xml:space="preserve">สะพานข้ามคลองโมง</x:t>
  </x:si>
  <x:si>
    <x:t xml:space="preserve">ห้วยโมง</x:t>
  </x:si>
  <x:si>
    <x:t xml:space="preserve">{"id":1316368208,"waterlevel_datetime":"2026-10-01 15:10","waterlevel_m":null,"waterlevel_msl":"157.54","waterlevel_msl_previous":"157.54","flow_rate":null,"discharge":null,"storage_percent":"18.45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Basin"}},"station":{"id":1109522,"tele_station_name":{"en":"Khlong Mong Bridge","th":"สะพานข้ามคลองโมง"},"tele_station_lat":17.166727,"tele_station_long":104.118996,"tele_station_oldcode":"ONE033","tele_station_type":"tele_waterlevel","left_bank":164.42,"right_bank":160.904,"min_bank":160.9,"ground_level":156.779,"offset":null,"sub_basin_id":69,"agency_id":9,"geocode_id":4375,"hydro_id":null,"qmax":null,"is_key_station":false,"warning_level_m":null,"critical_level_m":null,"critical_level_msl":null},"geocode":{"area_code":"4","area_name":{"th":"ภาคตะวันออกเฉียงเหนือ","en":"Northeast"},"amphoe_code":"01","amphoe_name":{"th":"เมืองสกลนคร","en":"Mueang Sakon Nakhon District"},"tumbon_code":"01","tumbon_name":{"th":"ธาตุเชิงชุม","en":"That Choeng Chum"},"province_code":"47","province_name":{"th":"สกลนคร","en":"Sakon Nakhon"}},"diff_wl_bank":"3.36","diff_wl_bank_text":"ต่ำกว่าตลิ่ง (ม.)","river_gid":121575,"river_name":"ห้วยโมง"}</x:t>
  </x:si>
  <x:si>
    <x:t xml:space="preserve">THAIWATER_WL:1476461</x:t>
  </x:si>
  <x:si>
    <x:t xml:space="preserve">MOU325</x:t>
  </x:si>
  <x:si>
    <x:t xml:space="preserve">สะพานพัฒนามิตรภาพแม่น้ำตุ๋ย</x:t>
  </x:si>
  <x:si>
    <x:t xml:space="preserve">{"id":1316367778,"waterlevel_datetime":"2026-10-01 15:10","waterlevel_m":null,"waterlevel_msl":"266.61","waterlevel_msl_previous":"266.61","flow_rate":null,"discharge":null,"storage_percent":"18.35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Foundation","jp":""},"agency_shortname":{"th":"พพภ","en":"FOP","jp":""}},"basin":{"id":7,"basin_code":7,"basin_name":{"th":"ลุ่มน้ำวัง","en":"Wang Basin"}},"station":{"id":1476461,"tele_station_name":{"en":"Friendship Bridge, Tui River","th":"สะพานพัฒนามิตรภาพแม่น้ำตุ๋ย"},"tele_station_lat":18.474373,"tele_station_long":99.46628,"tele_station_oldcode":"MOU325","tele_station_type":"tele_waterlevel","left_bank":274.326,"right_bank":272.958,"min_bank":272.96,"ground_level":265.183,"offset":null,"sub_basin_id":189,"sponsor_by":"บริษัท ไทยเบฟเวอเรจ จำกัด (มหาชน) ","agency_id":91,"geocode_id":4993,"hydro_id":null,"qmax":null,"is_key_station":false,"warning_level_m":null,"critical_level_m":null,"critical_level_msl":null},"geocode":{"area_code":"3","area_name":{"th":"ภาคเหนือ","en":"North"},"amphoe_code":"01","amphoe_name":{"th":"เมืองลำปาง","en":"Mueang Lampang District"},"tumbon_code":"13","tumbon_name":{"th":"บ้านเอื้อม","en":"Ban Ueam"},"province_code":"52","province_name":{"th":"ลำปาง","en":"Lampang"}},"diff_wl_bank":"6.35","diff_wl_bank_text":"ต่ำกว่าตลิ่ง (ม.)"}</x:t>
  </x:si>
  <x:si>
    <x:t xml:space="preserve">THAIWATER_WL:418</x:t>
  </x:si>
  <x:si>
    <x:t xml:space="preserve">CHM005</x:t>
  </x:si>
  <x:si>
    <x:t xml:space="preserve">แม่แตง</x:t>
  </x:si>
  <x:si>
    <x:t xml:space="preserve">{"id":1316367976,"waterlevel_datetime":"2026-10-01 15:10","waterlevel_m":null,"waterlevel_msl":"330.31","waterlevel_msl_previous":"330.33","flow_rate":null,"discharge":null,"storage_percent":"18.23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Basin"}},"station":{"id":418,"tele_station_name":{"en":"Chiang Mai 5","th":"แม่แตง"},"tele_station_lat":19.12207,"tele_station_long":98.94447,"tele_station_oldcode":"CHM005","tele_station_type":"tele_waterlevel","left_bank":335.811,"right_bank":336.625,"min_bank":335.81,"ground_level":329.087,"offset":null,"sub_basin_id":159,"agency_id":9,"geocode_id":4750,"hydro_id":null,"qmax":null,"is_key_station":false,"warning_level_m":null,"critical_level_m":null,"critical_level_msl":null},"geocode":{"area_code":"3","area_name":{"th":"ภาคเหนือ","en":"North"},"amphoe_code":"06","amphoe_name":{"th":"แม่แตง","en":"Mae Taeng District"},"tumbon_code":"01","tumbon_name":{"th":"สันมหาพน","en":"San Mahaphon"},"province_code":"50","province_name":{"th":"เชียงใหม่","en":"Chiang Mai"}},"diff_wl_bank":"5.50","diff_wl_bank_text":"ต่ำกว่าตลิ่ง (ม.)","river_gid":24681,"river_name":"แม่น้ำแม่แตง"}</x:t>
  </x:si>
  <x:si>
    <x:t xml:space="preserve">THAIWATER_WL:1109505</x:t>
  </x:si>
  <x:si>
    <x:t xml:space="preserve">ONE016</x:t>
  </x:si>
  <x:si>
    <x:t xml:space="preserve">สะพานน้ำก่ำ บ้านหนองแคน</x:t>
  </x:si>
  <x:si>
    <x:t xml:space="preserve">{"id":1316368194,"waterlevel_datetime":"2026-10-01 15:10","waterlevel_m":null,"waterlevel_msl":"145.44","waterlevel_msl_previous":"145.45","flow_rate":null,"discharge":null,"storage_percent":"18.01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Basin"}},"station":{"id":1109505,"tele_station_name":{"en":"Nam Kam Ban Nong Khaen","th":"สะพานน้ำก่ำ บ้านหนองแคน"},"tele_station_lat":17.05715,"tele_station_long":104.3636,"tele_station_oldcode":"ONE016","tele_station_type":"tele_waterlevel","left_bank":149.274,"right_bank":149.723,"min_bank":149.27,"ground_level":144.598,"offset":null,"sub_basin_id":70,"agency_id":9,"geocode_id":4627,"hydro_id":null,"qmax":null,"is_key_station":false,"warning_level_m":null,"critical_level_m":null,"critical_level_msl":null},"geocode":{"area_code":"4","area_name":{"th":"ภาคตะวันออกเฉียงเหนือ","en":"Northeast"},"amphoe_code":"12","amphoe_name":{"th":"วังยาง","en":"Wang Yang District"},"tumbon_code":"03","tumbon_name":{"th":"ยอดชาด","en":"Yot Chat"},"province_code":"48","province_name":{"th":"นครพนม","en":"Nakhon Phanom"}},"diff_wl_bank":"3.83","diff_wl_bank_text":"ต่ำกว่าตลิ่ง (ม.)","river_gid":122751,"river_name":"ลำน้ำกำ"}</x:t>
  </x:si>
  <x:si>
    <x:t xml:space="preserve">THAIWATER_WL:2948</x:t>
  </x:si>
  <x:si>
    <x:t xml:space="preserve">E.90</x:t>
  </x:si>
  <x:si>
    <x:t xml:space="preserve">เนินยางใต้</x:t>
  </x:si>
  <x:si>
    <x:t xml:space="preserve">ห้วยสังเคียบ</x:t>
  </x:si>
  <x:si>
    <x:t xml:space="preserve">{"id":1316135930,"waterlevel_datetime":"2026-10-01 06:00","waterlevel_m":null,"waterlevel_msl":"161.58","waterlevel_msl_previous":"161.58","flow_rate":null,"discharge":"7.14","storage_percent":"17.98","sort_order":null,"station_type":"tele_waterlevel","situation_level":2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2948,"tele_station_name":{"th":"เนินยางใต้"},"tele_station_lat":16.772221,"tele_station_long":103.648331,"tele_station_oldcode":"E.90","tele_station_type":"tele_waterlevel","left_bank":327.808006,"right_bank":327.756006,"min_bank":167.1,"ground_level":160.37,"offset":160.600006,"sub_basin_id":99,"agency_id":12,"geocode_id":4307,"hydro_id":3,"qmax":110,"is_key_station":false,"warning_level_m":null,"critical_level_m":null,"critical_level_msl":null},"geocode":{"area_code":"4","area_name":{"th":"ภาคตะวันออกเฉียงเหนือ","en":"Northeast"},"amphoe_code":"09","amphoe_name":{"th":"สหัสขันธ์","en":"Sahatsakhan District"},"tumbon_code":"04","tumbon_name":{"th":"โนนศิลา","en":"Non Sila"},"province_code":"46","province_name":{"th":"กาฬสินธุ์","en":"Kalasin"}},"diff_wl_bank":"5.52","diff_wl_bank_text":"ต่ำกว่าตลิ่ง (ม.)","river_gid":127150,"river_name":"ห้วยสังเคียบ"}</x:t>
  </x:si>
  <x:si>
    <x:t xml:space="preserve">THAIWATER_WL:1121234</x:t>
  </x:si>
  <x:si>
    <x:t xml:space="preserve">MOU323</x:t>
  </x:si>
  <x:si>
    <x:t xml:space="preserve">สะพานน้ำวัง</x:t>
  </x:si>
  <x:si>
    <x:t xml:space="preserve">{"id":1316367777,"waterlevel_datetime":"2026-10-01 15:10","waterlevel_m":null,"waterlevel_msl":"442.84","waterlevel_msl_previous":"442.83","flow_rate":null,"discharge":null,"storage_percent":"17.82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Foundation","jp":""},"agency_shortname":{"th":"พพภ","en":"FOP","jp":""}},"basin":{"id":7,"basin_code":7,"basin_name":{"th":"ลุ่มน้ำวัง","en":"Wang Basin"}},"station":{"id":1121234,"tele_station_name":{"en":"Nam Wang Bridge","th":"สะพานน้ำวัง"},"tele_station_lat":19.232492,"tele_station_long":99.63247,"tele_station_oldcode":"MOU323","tele_station_type":"tele_waterlevel","left_bank":446.489,"right_bank":445.225,"min_bank":445.23,"ground_level":442.323,"offset":null,"sub_basin_id":186,"sponsor_by":"มูลนิธิอาสาเพื่อนพึ่ง (ภาฯ) ยามยาก สภากาชาดไทย","agency_id":91,"geocode_id":5041,"hydro_id":null,"qmax":null,"is_key_station":false,"warning_level_m":null,"critical_level_m":null,"critical_level_msl":null},"geocode":{"area_code":"3","area_name":{"th":"ภาคเหนือ","en":"North"},"amphoe_code":"07","amphoe_name":{"th":"วังเหนือ","en":"Wang Nuea District"},"tumbon_code":"01","tumbon_name":{"th":"ทุ่งฮั้ว","en":"Thung Hua"},"province_code":"52","province_name":{"th":"ลำปาง","en":"Lampang"}},"diff_wl_bank":"2.39","diff_wl_bank_text":"ต่ำกว่าตลิ่ง (ม.)","river_gid":21540,"river_name":"แม่น้ำวัง"}</x:t>
  </x:si>
  <x:si>
    <x:t xml:space="preserve">THAIWATER_WL:547</x:t>
  </x:si>
  <x:si>
    <x:t xml:space="preserve">CHR005</x:t>
  </x:si>
  <x:si>
    <x:t xml:space="preserve">เชียงแสน</x:t>
  </x:si>
  <x:si>
    <x:t xml:space="preserve">{"id":1316367985,"waterlevel_datetime":"2026-10-01 15:10","waterlevel_m":null,"waterlevel_msl":"356.90","waterlevel_msl_previous":"356.89","flow_rate":null,"discharge":null,"storage_percent":"17.62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Basin"}},"station":{"id":547,"tele_station_name":{"en":"Chaing Rai 5","th":"เชียงแสน"},"tele_station_lat":20.2197,"tele_station_long":100.12121,"tele_station_oldcode":"CHR005","tele_station_type":"tele_waterlevel","left_bank":364.753,"right_bank":364.884,"min_bank":364.75,"ground_level":355.219,"offset":null,"sub_basin_id":31,"agency_id":9,"geocode_id":5534,"hydro_id":null,"qmax":null,"is_key_station":false,"warning_level_m":null,"critical_level_m":null,"critical_level_msl":null},"geocode":{"area_code":"3","area_name":{"th":"ภาคเหนือ","en":"North"},"amphoe_code":"08","amphoe_name":{"th":"เชียงแสน","en":"Chiang Saen District"},"tumbon_code":"06","tumbon_name":{"th":"โยนก","en":"Yonok"},"province_code":"57","province_name":{"th":"เชียงราย","en":"Chiang Rai"}},"diff_wl_bank":"7.85","diff_wl_bank_text":"ต่ำกว่าตลิ่ง (ม.)","river_gid":1280,"river_name":"แม่น้ำกก"}</x:t>
  </x:si>
  <x:si>
    <x:t xml:space="preserve">THAIWATER_WL:1198081</x:t>
  </x:si>
  <x:si>
    <x:t xml:space="preserve">NAN015</x:t>
  </x:si>
  <x:si>
    <x:t xml:space="preserve">{"id":1316368173,"waterlevel_datetime":"2026-10-01 15:10","waterlevel_m":null,"waterlevel_msl":"183.86","waterlevel_msl_previous":"183.85","flow_rate":null,"discharge":null,"storage_percent":"17.27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Basin"}},"station":{"id":1198081,"tele_station_name":{"en":"Sa River","th":"แม่น้ำสา"},"tele_station_lat":18.571873,"tele_station_long":100.74266,"tele_station_oldcode":"NAN015","tele_station_type":"tele_waterlevel","left_bank":189.784,"right_bank":189.647,"min_bank":189.65,"ground_level":182.652,"offset":null,"sub_basin_id":223,"agency_id":9,"geocode_id":5315,"hydro_id":null,"qmax":null,"is_key_station":false,"warning_level_m":null,"critical_level_m":null,"critical_level_msl":null},"geocode":{"area_code":"3","area_name":{"th":"ภาคเหนือ","en":"North"},"amphoe_code":"07","amphoe_name":{"th":"เวียงสา","en":"Wiang Sa District"},"tumbon_code":"01","tumbon_name":{"th":"กลางเวียง","en":"Klang Wiang"},"province_code":"55","province_name":{"th":"น่าน","en":"Nan"}},"diff_wl_bank":"5.79","diff_wl_bank_text":"ต่ำกว่าตลิ่ง (ม.)","river_gid":48327,"river_name":"แม่น้ำสา"}</x:t>
  </x:si>
  <x:si>
    <x:t xml:space="preserve">THAIWATER_WL:1130124</x:t>
  </x:si>
  <x:si>
    <x:t xml:space="preserve">MOU493</x:t>
  </x:si>
  <x:si>
    <x:t xml:space="preserve">สะพานคลองปง (คีรีวง)</x:t>
  </x:si>
  <x:si>
    <x:t xml:space="preserve">{"id":1316367805,"waterlevel_datetime":"2026-10-01 15:10","waterlevel_m":null,"waterlevel_msl":"43.11","waterlevel_msl_previous":"43.11","flow_rate":null,"discharge":null,"storage_percent":"17.25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Foundation","jp":""},"agency_shortname":{"th":"พพภ","en":"FOP","jp":""}},"basin":{"id":22,"basin_code":19,"basin_name":{"th":"ลุ่มน้ำภาคใต้ฝั่งตะวันออกตอนบน","en":"Peninsula - Upper East Coast Basin"}},"station":{"id":1130124,"tele_station_name":{"en":"Khlong Pong Bridge (Kiriwong)","th":"สะพานคลองปง (คีรีวง)"},"tele_station_lat":8.43379,"tele_station_long":99.78328,"tele_station_oldcode":"MOU493","tele_station_type":"tele_waterlevel","left_bank":48.417,"right_bank":48.948,"min_bank":48.42,"ground_level":42,"offset":null,"sub_basin_id":327,"sponsor_by":"สำนักงานคณะกรรมการกิจการกระจายเสียง กิจการโทรทัศน์และกิจการโทรคมนาคมแห่งชาติ","agency_id":91,"geocode_id":7200,"hydro_id":null,"qmax":null,"is_key_station":false,"warning_level_m":null,"critical_level_m":null,"critical_level_msl":null},"geocode":{"area_code":"5","area_name":{"th":"ภาคใต้","en":"South"},"amphoe_code":"03","amphoe_name":{"th":"ลานสกา","en":"Lan Saka District"},"tumbon_code":"04","tumbon_name":{"th":"กำโลน","en":"Kamlon"},"province_code":"80","province_name":{"th":"นครศรีธรรมราช","en":"Nakhon Si Thammarat"}},"diff_wl_bank":"5.31","diff_wl_bank_text":"ต่ำกว่าตลิ่ง (ม.)","river_gid":219873,"river_name":"คลองท่าดี"}</x:t>
  </x:si>
  <x:si>
    <x:t xml:space="preserve">THAIWATER_WL:2565</x:t>
  </x:si>
  <x:si>
    <x:t xml:space="preserve">X.245</x:t>
  </x:si>
  <x:si>
    <x:t xml:space="preserve">บ้านบางตง</x:t>
  </x:si>
  <x:si>
    <x:t xml:space="preserve">{"id":1316344780,"waterlevel_datetime":"2026-10-01 14:00","waterlevel_m":null,"waterlevel_msl":"7.97","waterlevel_msl_previous":"7.93","flow_rate":null,"discharge":null,"storage_percent":"17.01","sort_order":null,"station_type":"tele_waterlevel","situation_level":2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2565,"tele_station_name":{"th":"บ้านบางตง"},"tele_station_lat":8.51336,"tele_station_long":98.503563,"tele_station_oldcode":"X.245","tele_station_type":"tele_waterlevel","left_bank":16.605,"right_bank":17.619,"min_bank":15.24,"ground_level":6.48,"offset":null,"sub_basin_id":345,"agency_id":12,"geocode_id":7431,"hydro_id":8,"qmax":null,"is_key_station":false,"warning_level_m":null,"critical_level_m":null,"critical_level_msl":null},"geocode":{"area_code":"5","area_name":{"th":"ภาคใต้","en":"South"},"amphoe_code":"01","amphoe_name":{"th":"เมืองพังงา","en":"Mueang Phang-nga District"},"tumbon_code":"02","tumbon_name":{"th":"นบปริง","en":"Nop Pring"},"province_code":"82","province_name":{"th":"พังงา","en":"Phangnga"}},"diff_wl_bank":"7.27","diff_wl_bank_text":"ต่ำกว่าตลิ่ง (ม.)","river_gid":219342,"river_name":"คลองพังงา"}</x:t>
  </x:si>
  <x:si>
    <x:t xml:space="preserve">THAIWATER_WL:3246</x:t>
  </x:si>
  <x:si>
    <x:t xml:space="preserve">N.64</x:t>
  </x:si>
  <x:si>
    <x:t xml:space="preserve">บ้านผาขวาง</x:t>
  </x:si>
  <x:si>
    <x:t xml:space="preserve">{"id":1316351160,"waterlevel_datetime":"2026-10-01 14:00","waterlevel_m":null,"waterlevel_msl":"212.44","waterlevel_msl_previous":"212.44","flow_rate":null,"discharge":"56.80","storage_percent":"17.00","sort_order":null,"station_type":"tele_waterlevel","situation_level":2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3246,"tele_station_name":{"th":"บ้านผาขวาง"},"tele_station_lat":19.015169,"tele_station_long":100.780212,"tele_station_oldcode":"N.64","tele_station_type":"tele_waterlevel","left_bank":437.331994,"right_bank":434.985994,"min_bank":220.4,"ground_level":210.81,"offset":210.899994,"sub_basin_id":218,"agency_id":12,"geocode_id":5261,"hydro_id":1,"qmax":1028,"is_key_station":true,"warning_level_m":null,"critical_level_m":null,"critical_level_msl":null},"geocode":{"area_code":"3","area_name":{"th":"ภาคเหนือ","en":"North"},"amphoe_code":"01","amphoe_name":{"th":"เมืองน่าน","en":"Mueang Nan District"},"tumbon_code":"02","tumbon_name":{"th":"บ่อ","en":"Bo"},"province_code":"55","province_name":{"th":"น่าน","en":"Nan"}},"diff_wl_bank":"7.96","diff_wl_bank_text":"ต่ำกว่าตลิ่ง (ม.)","river_gid":28260,"river_name":"แม่น้ำน่าน"}</x:t>
  </x:si>
  <x:si>
    <x:t xml:space="preserve">THAIWATER_WL:3299</x:t>
  </x:si>
  <x:si>
    <x:t xml:space="preserve">G.9</x:t>
  </x:si>
  <x:si>
    <x:t xml:space="preserve">บ้านกระเหรี่ยงทุ่งพร้าว</x:t>
  </x:si>
  <x:si>
    <x:t xml:space="preserve">น้ำแม่สรวย</x:t>
  </x:si>
  <x:si>
    <x:t xml:space="preserve">2026-09-30T23:00:00+07:00</x:t>
  </x:si>
  <x:si>
    <x:t xml:space="preserve">{"id":1315977573,"waterlevel_datetime":"2026-09-30 23:00","waterlevel_m":null,"waterlevel_msl":"515.53","waterlevel_msl_previous":"515.53","flow_rate":null,"discharge":"4.60","storage_percent":"16.88","sort_order":null,"station_type":"tele_waterlevel","situation_level":2,"agency":{"id":12,"agency_name":{"th":"กรมชลประทาน ","en":"Royal Irrigation Department","jp":""},"agency_shortname":{"th":"ชป.","en":"RID","jp":""}},"basin":{"id":2,"basin_code":2,"basin_name":{"th":"ลุ่มน้ำโขงเหนือ","en":"North Khong Basin"}},"station":{"id":3299,"tele_station_name":{"th":"บ้านกระเหรี่ยงทุ่งพร้าว"},"tele_station_lat":19.745991,"tele_station_long":99.500763,"tele_station_oldcode":"G.9","tele_station_type":"tele_waterlevel","left_bank":1036.269973,"right_bank":1036.264973,"min_bank":518.16,"ground_level":514.996,"offset":514.659973,"sub_basin_id":29,"agency_id":12,"geocode_id":5550,"hydro_id":1,"qmax":134.899994,"is_key_station":false,"warning_level_m":null,"critical_level_m":null,"critical_level_msl":null},"geocode":{"area_code":"3","area_name":{"th":"ภาคเหนือ","en":"North"},"amphoe_code":"10","amphoe_name":{"th":"แม่สรวย","en":"Mae Suai District"},"tumbon_code":"06","tumbon_name":{"th":"วาวี","en":"Wawi"},"province_code":"57","province_name":{"th":"เชียงราย","en":"Chiang Rai"}},"diff_wl_bank":"2.63","diff_wl_bank_text":"ต่ำกว่าตลิ่ง (ม.)","river_gid":6893,"river_name":"น้ำแม่สรวย"}</x:t>
  </x:si>
  <x:si>
    <x:t xml:space="preserve">THAIWATER_WL:505037</x:t>
  </x:si>
  <x:si>
    <x:t xml:space="preserve">Gt.20</x:t>
  </x:si>
  <x:si>
    <x:t xml:space="preserve">สะพานรถยนต์ ร.ร.อนุบาลบางสะพาน</x:t>
  </x:si>
  <x:si>
    <x:t xml:space="preserve">คลองบางกระจอง</x:t>
  </x:si>
  <x:si>
    <x:t xml:space="preserve">{"id":1316004510,"waterlevel_datetime":"2026-10-01 23:00","waterlevel_m":null,"waterlevel_msl":"0.00","waterlevel_msl_previous":"0.00","flow_rate":null,"discharge":null,"storage_percent":"16.67","sort_order":null,"station_type":"tele_waterlevel","situation_level":2,"agency":{"id":12,"agency_name":{"th":"กรมชลประทาน ","en":"Royal Irrigation Department","jp":""},"agency_shortname":{"th":"ชป.","en":"RID","jp":""}},"basin":{"id":20,"basin_code":18,"basin_name":{"th":"ลุ่มน้ำเพชรบุรี-ประจวบคีรีขันธ์","en":"Phetchaburi - Prachuap Khiri Khan Basin"}},"station":{"id":505037,"tele_station_name":{"th":"สะพานรถยนต์ ร.ร.อนุบาลบางสะพาน"},"tele_station_lat":11.20557,"tele_station_long":99.508499,"tele_station_oldcode":"Gt.20","tele_station_type":"tele_waterlevel","left_bank":4.42,"right_bank":4.921,"min_bank":3.7,"ground_level":-0.74,"offset":0,"sub_basin_id":307,"agency_id":12,"geocode_id":7137,"hydro_id":7,"qmax":null,"is_key_station":true,"warning_level_m":null,"critical_level_m":6,"critical_level_msl":8.3},"geocode":{"area_code":"2","area_name":{"th":"ภาคกลาง","en":"Central"},"amphoe_code":"04","amphoe_name":{"th":"บางสะพาน","en":"Bang Saphan District"},"tumbon_code":"01","tumbon_name":{"th":"กำเนิดนพคุณ","en":"Kamnoet Nopphakhun"},"province_code":"77","province_name":{"th":"ประจวบคีรีขันธ์","en":"Prachuap Khiri Khan"}},"diff_wl_bank":"3.70","diff_wl_bank_text":"ต่ำกว่าตลิ่ง (ม.)","river_gid":212169,"river_name":"คลองบางกระจอง"}</x:t>
  </x:si>
  <x:si>
    <x:t xml:space="preserve">THAIWATER_WL:2582</x:t>
  </x:si>
  <x:si>
    <x:t xml:space="preserve">X.73</x:t>
  </x:si>
  <x:si>
    <x:t xml:space="preserve">บ้านตันหยงมัส</x:t>
  </x:si>
  <x:si>
    <x:t xml:space="preserve">คลองตันหยงมัส</x:t>
  </x:si>
  <x:si>
    <x:t xml:space="preserve">{"id":1316344836,"waterlevel_datetime":"2026-10-01 14:00","waterlevel_m":null,"waterlevel_msl":"10.90","waterlevel_msl_previous":"10.89","flow_rate":null,"discharge":"6.50","storage_percent":"16.53","sort_order":null,"station_type":"tele_waterlevel","situation_level":2,"agency":{"id":12,"agency_name":{"th":"กรมชลประทาน ","en":"Royal Irrigation Department","jp":""},"agency_shortname":{"th":"ชป.","en":"RID","jp":""}},"basin":{"id":26,"basin_code":21,"basin_name":{"th":"ลุ่มน้ำภาคใต้ฝั่งตะวันออกตอนล่าง","en":"Peninsula - Lower East Coast Basin"}},"station":{"id":2582,"tele_station_name":{"th":"บ้านตันหยงมัส"},"tele_station_lat":6.33992,"tele_station_long":101.726959,"tele_station_oldcode":"X.73","tele_station_type":"tele_waterlevel","left_bank":18.823,"right_bank":18.813,"min_bank":14.9,"ground_level":10.108,"offset":null,"sub_basin_id":339,"agency_id":12,"geocode_id":8363,"hydro_id":8,"qmax":126,"is_key_station":true,"warning_level_m":null,"critical_level_m":null,"critical_level_msl":null},"geocode":{"area_code":"5","area_name":{"th":"ภาคใต้","en":"South"},"amphoe_code":"05","amphoe_name":{"th":"ระแงะ","en":"Ra-ngae District"},"tumbon_code":"01","tumbon_name":{"th":"ตันหยงมัส","en":"Tanyong Mat"},"province_code":"96","province_name":{"th":"นราธิวาส","en":"Narathiwat"}},"diff_wl_bank":"4.00","diff_wl_bank_text":"ต่ำกว่าตลิ่ง (ม.)","river_gid":230905,"river_name":"คลองตันหยงมัส"}</x:t>
  </x:si>
  <x:si>
    <x:t xml:space="preserve">THAIWATER_WL:1101563</x:t>
  </x:si>
  <x:si>
    <x:t xml:space="preserve">FOP052</x:t>
  </x:si>
  <x:si>
    <x:t xml:space="preserve">ห้วยแม่แจ่ม</x:t>
  </x:si>
  <x:si>
    <x:t xml:space="preserve">{"id":1316367736,"waterlevel_datetime":"2026-10-01 15:10","waterlevel_m":null,"waterlevel_msl":"950.05","waterlevel_msl_previous":"950.05","flow_rate":null,"discharge":null,"storage_percent":"16.39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Basin"}},"station":{"id":1101563,"tele_station_name":{"en":"Huai Mae Chaem School","th":"ห้วยแม่แจ่ม"},"tele_station_lat":19.073114,"tele_station_long":98.30675,"tele_station_oldcode":"FOP052","tele_station_type":"tele_waterlevel","left_bank":952.345,"right_bank":953.117,"min_bank":952.35,"ground_level":949.6,"offset":null,"sub_basin_id":171,"sponsor_by":"มูลนิธิอาสาเพื่อนพึ่ง (ภาฯ) ยามยาก สภากาชาดไทย","agency_id":91,"geocode_id":8492,"hydro_id":null,"qmax":null,"is_key_station":false,"warning_level_m":null,"critical_level_m":null,"critical_level_msl":null},"geocode":{"area_code":"3","area_name":{"th":"ภาคเหนือ","en":"North"},"amphoe_code":"25","amphoe_name":{"th":"กัลยาณิวัฒนา","en":"Galayani Vadhana District"},"tumbon_code":"03","tumbon_name":{"th":"แจ่มหลวง","en":"Chaem Luang"},"province_code":"50","province_name":{"th":"เชียงใหม่","en":"Chiang Mai"}},"diff_wl_bank":"2.30","diff_wl_bank_text":"ต่ำกว่าตลิ่ง (ม.)","river_gid":26260,"river_name":"น้ำแม่แจ่ม"}</x:t>
  </x:si>
  <x:si>
    <x:t xml:space="preserve">THAIWATER_WL:3107</x:t>
  </x:si>
  <x:si>
    <x:t xml:space="preserve">N.12A</x:t>
  </x:si>
  <x:si>
    <x:t xml:space="preserve">บ้านหาดไผ่</x:t>
  </x:si>
  <x:si>
    <x:t xml:space="preserve">{"id":1316341612,"waterlevel_datetime":"2026-10-01 14:00","waterlevel_m":null,"waterlevel_msl":"70.30","waterlevel_msl_previous":"70.31","flow_rate":null,"discharge":"51.37","storage_percent":"16.09","sort_order":null,"station_type":"tele_waterlevel","situation_level":2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3107,"tele_station_name":{"th":"บ้านหาดไผ่"},"tele_station_lat":17.73687,"tele_station_long":100.531586,"tele_station_oldcode":"N.12A","tele_station_type":"tele_waterlevel","left_bank":151.49599999999998,"right_bank":150.421,"min_bank":81.46,"ground_level":68.16,"offset":69,"sub_basin_id":230,"agency_id":12,"geocode_id":5121,"hydro_id":2,"qmax":3000,"is_key_station":false,"warning_level_m":null,"critical_level_m":null,"critical_level_msl":null},"geocode":{"area_code":"3","area_name":{"th":"ภาคเหนือ","en":"North"},"amphoe_code":"03","amphoe_name":{"th":"ท่าปลา","en":"Tha Pla District"},"tumbon_code":"03","tumbon_name":{"th":"ผาเลือด","en":"Pha Lueat"},"province_code":"53","province_name":{"th":"อุตรดิตถ์","en":"Uttaradit"}},"diff_wl_bank":"11.16","diff_wl_bank_text":"ต่ำกว่าตลิ่ง (ม.)","river_gid":77335,"river_name":"แม่น้ำน่าน"}</x:t>
  </x:si>
  <x:si>
    <x:t xml:space="preserve">THAIWATER_WL:1119916</x:t>
  </x:si>
  <x:si>
    <x:t xml:space="preserve">Kh.9A</x:t>
  </x:si>
  <x:si>
    <x:t xml:space="preserve">บ้านบึงศาลา</x:t>
  </x:si>
  <x:si>
    <x:t xml:space="preserve">{"id":1316353946,"waterlevel_datetime":"2026-10-01 14:00","waterlevel_m":null,"waterlevel_msl":"151.25","waterlevel_msl_previous":"151.25","flow_rate":null,"discharge":"3.38","storage_percent":"15.84","sort_order":null,"station_type":"tele_waterlevel","situation_level":2,"agency":{"id":12,"agency_name":{"th":"กรมชลประทาน ","en":"Royal Irrigation Department","jp":""},"agency_shortname":{"th":"ชป.","en":"RID","jp":""}},"basin":{"id":3,"basin_code":3,"basin_name":{"th":"ลุ่มน้ำโขงตะวันออกเฉียงเหนือ","en":"Northeast Khong Basin"}},"station":{"id":1119916,"tele_station_name":{"th":"บ้านบึงศาลา"},"tele_station_lat":17.1422,"tele_station_long":104.2901,"tele_station_oldcode":"Kh.9A","tele_station_type":"tele_waterlevel","left_bank":309.483,"right_bank":309.45799999999997,"min_bank":157.2,"ground_level":150.13,"offset":150,"sub_basin_id":70,"agency_id":12,"geocode_id":4390,"hydro_id":3,"qmax":190,"is_key_station":true,"warning_level_m":null,"critical_level_m":null,"critical_level_msl":null},"geocode":{"area_code":"4","area_name":{"th":"ภาคตะวันออกเฉียงเหนือ","en":"Northeast"},"amphoe_code":"01","amphoe_name":{"th":"เมืองสกลนคร","en":"Mueang Sakon Nakhon District"},"tumbon_code":"21","tumbon_name":{"th":"โคกก่อง","en":"Khok Kong"},"province_code":"47","province_name":{"th":"สกลนคร","en":"Sakon Nakhon"}},"diff_wl_bank":"5.95","diff_wl_bank_text":"ต่ำกว่าตลิ่ง (ม.)","river_gid":121711,"river_name":"ลำน้ำกำ"}</x:t>
  </x:si>
  <x:si>
    <x:t xml:space="preserve">THAIWATER_WL:3223</x:t>
  </x:si>
  <x:si>
    <x:t xml:space="preserve">P.86</x:t>
  </x:si>
  <x:si>
    <x:t xml:space="preserve">บ้านโห้ง</x:t>
  </x:si>
  <x:si>
    <x:t xml:space="preserve">เหมืองฮอ</x:t>
  </x:si>
  <x:si>
    <x:t xml:space="preserve">{"id":1316351132,"waterlevel_datetime":"2026-10-01 14:00","waterlevel_m":null,"waterlevel_msl":"341.00","waterlevel_msl_previous":"341.00","flow_rate":null,"discharge":"0.20","storage_percent":"15.63","sort_order":null,"station_type":"tele_waterlevel","situation_level":2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3223,"tele_station_name":{"th":"บ้านโห้ง"},"tele_station_lat":18.739611,"tele_station_long":99.218651,"tele_station_oldcode":"P.86","tele_station_type":"tele_waterlevel","left_bank":686.667012,"right_bank":686.633012,"min_bank":345.4,"ground_level":340.185,"offset":341.200012,"sub_basin_id":163,"agency_id":12,"geocode_id":4825,"hydro_id":1,"qmax":null,"is_key_station":false,"warning_level_m":null,"critical_level_m":null,"critical_level_msl":null},"geocode":{"area_code":"3","area_name":{"th":"ภาคเหนือ","en":"North"},"amphoe_code":"13","amphoe_name":{"th":"สันกำแพง","en":"San Kamphaeng District"},"tumbon_code":"03","tumbon_name":{"th":"ร้องวัวแดง","en":"Rong Wua Daeng"},"province_code":"50","province_name":{"th":"เชียงใหม่","en":"Chiang Mai"}},"diff_wl_bank":"4.40","diff_wl_bank_text":"ต่ำกว่าตลิ่ง (ม.)","river_gid":41279,"river_name":"เหมืองฮอ"}</x:t>
  </x:si>
  <x:si>
    <x:t xml:space="preserve">THAIWATER_WL:3163</x:t>
  </x:si>
  <x:si>
    <x:t xml:space="preserve">Y.38</x:t>
  </x:si>
  <x:si>
    <x:t xml:space="preserve">บ้านแม่คำมีตำหนักธรรม</x:t>
  </x:si>
  <x:si>
    <x:t xml:space="preserve">น้ำแม่คำมี</x:t>
  </x:si>
  <x:si>
    <x:t xml:space="preserve">{"id":1316159436,"waterlevel_datetime":"2026-10-01 06:00","waterlevel_m":null,"waterlevel_msl":"170.75","waterlevel_msl_previous":"170.75","flow_rate":null,"discharge":"2.25","storage_percent":"15.63","sort_order":null,"station_type":"tele_waterlevel","situation_level":2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3163,"tele_station_name":{"th":"บ้านแม่คำมีตำหนักธรรม"},"tele_station_lat":18.26643,"tele_station_long":100.237633,"tele_station_oldcode":"Y.38","tele_station_type":"tele_waterlevel","left_bank":350.226006,"right_bank":350.216006,"min_bank":174.8,"ground_level":170,"offset":170.100006,"sub_basin_id":204,"agency_id":12,"geocode_id":5256,"hydro_id":1,"qmax":325,"is_key_station":false,"warning_level_m":null,"critical_level_m":null,"critical_level_msl":null},"geocode":{"area_code":"3","area_name":{"th":"ภาคเหนือ","en":"North"},"amphoe_code":"08","amphoe_name":{"th":"หนองม่วงไข่","en":"Nong Muang Khai District"},"tumbon_code":"05","tumbon_name":{"th":"ตำหนักธรรม","en":"Tamnak Tham"},"province_code":"54","province_name":{"th":"แพร่","en":"Phrae"}},"diff_wl_bank":"4.05","diff_wl_bank_text":"ต่ำกว่าตลิ่ง (ม.)","river_gid":61260,"river_name":"น้ำแม่คำมี"}</x:t>
  </x:si>
  <x:si>
    <x:t xml:space="preserve">THAIWATER_WL:1198628</x:t>
  </x:si>
  <x:si>
    <x:t xml:space="preserve">TRD007</x:t>
  </x:si>
  <x:si>
    <x:t xml:space="preserve">คลองเขาระกำ</x:t>
  </x:si>
  <x:si>
    <x:t xml:space="preserve">คลองบางพระ</x:t>
  </x:si>
  <x:si>
    <x:t xml:space="preserve">{"id":1316358713,"waterlevel_datetime":"2026-10-01 14:50","waterlevel_m":null,"waterlevel_msl":"2.05","waterlevel_msl_previous":"2.05","flow_rate":null,"discharge":null,"storage_percent":"15.58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Organization)","jp":""},"agency_shortname":{"th":"สสน.","en":"HII","jp":""}},"basin":{"id":18,"basin_code":17,"basin_name":{"th":"ลุ่มน้ำชายฝั่งทะเลตะวันออก","en":"East Coast Gulf Basin"}},"station":{"id":1198628,"tele_station_name":{"en":"Khao Rakam Canal","th":"คลองเขาระกำ"},"tele_station_lat":12.25058,"tele_station_long":102.475716,"tele_station_oldcode":"TRD007","tele_station_type":"tele_waterlevel","left_bank":4.714,"right_bank":4.689,"min_bank":4.69,"ground_level":1.563,"offset":null,"sub_basin_id":298,"agency_id":9,"geocode_id":1340,"hydro_id":null,"qmax":null,"is_key_station":false,"warning_level_m":null,"critical_level_m":null,"critical_level_msl":null},"geocode":{"area_code":"2","area_name":{"th":"ภาคกลาง","en":"Central"},"amphoe_code":"01","amphoe_name":{"th":"เมืองตราด","en":"Mueang Trat District"},"tumbon_code":"07","tumbon_name":{"th":"วังกระแจะ","en":"Wang Krachae"},"province_code":"23","province_name":{"th":"ตราด","en":"Trat"}},"diff_wl_bank":"2.64","diff_wl_bank_text":"ต่ำกว่าตลิ่ง (ม.)","river_gid":207124,"river_name":"คลองบางพระ"}</x:t>
  </x:si>
  <x:si>
    <x:t xml:space="preserve">THAIWATER_WL:2645</x:t>
  </x:si>
  <x:si>
    <x:t xml:space="preserve">X.187</x:t>
  </x:si>
  <x:si>
    <x:t xml:space="preserve">บ้านหินดาน</x:t>
  </x:si>
  <x:si>
    <x:t xml:space="preserve">{"id":1316344759,"waterlevel_datetime":"2026-10-01 14:00","waterlevel_m":null,"waterlevel_msl":"3.47","waterlevel_msl_previous":"3.48","flow_rate":null,"discharge":"33.20","storage_percent":"15.44","sort_order":null,"station_type":"tele_waterlevel","situation_level":2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2645,"tele_station_name":{"th":"บ้านหินดาน"},"tele_station_lat":8.77622,"tele_station_long":98.390472,"tele_station_oldcode":"X.187","tele_station_type":"tele_waterlevel","left_bank":12.036,"right_bank":12.048,"min_bank":8.25,"ground_level":2.597,"offset":null,"sub_basin_id":344,"agency_id":12,"geocode_id":7462,"hydro_id":8,"qmax":630,"is_key_station":false,"warning_level_m":null,"critical_level_m":null,"critical_level_msl":null},"geocode":{"area_code":"5","area_name":{"th":"ภาคใต้","en":"South"},"amphoe_code":"05","amphoe_name":{"th":"ตะกั่วป่า","en":"Takua Pa District"},"tumbon_code":"05","tumbon_name":{"th":"ตำตัว","en":"Tamtua"},"province_code":"82","province_name":{"th":"พังงา","en":"Phangnga"}},"diff_wl_bank":"4.78","diff_wl_bank_text":"ต่ำกว่าตลิ่ง (ม.)","river_gid":217783,"river_name":"คลองตะกั่วป่า"}</x:t>
  </x:si>
  <x:si>
    <x:t xml:space="preserve">THAIWATER_WL:734</x:t>
  </x:si>
  <x:si>
    <x:t xml:space="preserve">THA003</x:t>
  </x:si>
  <x:si>
    <x:t xml:space="preserve">ด่านช้าง</x:t>
  </x:si>
  <x:si>
    <x:t xml:space="preserve">ห้วยกระเสียว</x:t>
  </x:si>
  <x:si>
    <x:t xml:space="preserve">{"id":1316368381,"waterlevel_datetime":"2026-10-01 15:10","waterlevel_m":null,"waterlevel_msl":"62.43","waterlevel_msl_previous":"62.43","flow_rate":null,"discharge":null,"storage_percent":"15.33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Organization)","jp":""},"agency_shortname":{"th":"สสน.","en":"HII","jp":""}},"basin":{"id":14,"basin_code":13,"basin_name":{"th":"ลุ่มน้ำท่าจีน","en":"Tha Chin Basin"}},"station":{"id":734,"tele_station_name":{"en":"Tha Chin 3","th":"ด่านช้าง"},"tele_station_lat":14.83506,"tele_station_long":99.66543,"tele_station_oldcode":"THA003","tele_station_type":"tele_waterlevel","left_bank":70.36,"right_bank":70.856,"min_bank":70.36,"ground_level":60.998,"offset":null,"sub_basin_id":258,"agency_id":9,"geocode_id":6732,"hydro_id":null,"qmax":null,"is_key_station":false,"warning_level_m":null,"critical_level_m":null,"critical_level_msl":null},"geocode":{"area_code":"2","area_name":{"th":"ภาคกลาง","en":"Central"},"amphoe_code":"03","amphoe_name":{"th":"ด่านช้าง","en":"Dan Chang District"},"tumbon_code":"02","tumbon_name":{"th":"ด่านช้าง","en":"Dan Chang"},"province_code":"72","province_name":{"th":"สุพรรณบุรี","en":"Suphan Buri"}},"diff_wl_bank":"7.93","diff_wl_bank_text":"ต่ำกว่าตลิ่ง (ม.)","river_gid":179013,"river_name":"ห้วยกระเสียว"}</x:t>
  </x:si>
  <x:si>
    <x:t xml:space="preserve">THAIWATER_WL:562802</x:t>
  </x:si>
  <x:si>
    <x:t xml:space="preserve">BLGTD04</x:t>
  </x:si>
  <x:si>
    <x:t xml:space="preserve">อาคารสูบน้ำดิบ กปภ. อ.ยะหา จ.ยะลา</x:t>
  </x:si>
  <x:si>
    <x:t xml:space="preserve">คลองเล็ก</x:t>
  </x:si>
  <x:si>
    <x:t xml:space="preserve">{"id":1316366249,"waterlevel_datetime":"2026-10-01 15:00","waterlevel_m":null,"waterlevel_msl":"22.93","waterlevel_msl_previous":"22.93","flow_rate":null,"discharge":null,"storage_percent":"15.17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Thailand","jp":""},"agency_shortname":{"th":"กฟผ.","en":"EGAT","jp":""}},"basin":{"id":26,"basin_code":21,"basin_name":{"th":"ลุ่มน้ำภาคใต้ฝั่งตะวันออกตอนล่าง","en":"Peninsula - Lower East Coast Basin"}},"station":{"id":562802,"tele_station_name":{"th":"อาคารสูบน้ำดิบ กปภ. อ.ยะหา จ.ยะลา"},"tele_station_lat":6.47481,"tele_station_long":101.139521,"tele_station_oldcode":"BLGTD04","tele_station_type":"tele_waterlevel","left_bank":31.55,"right_bank":26.9,"min_bank":26.9,"ground_level":22.22,"offset":null,"sub_basin_id":336,"agency_id":8,"geocode_id":8301,"hydro_id":null,"qmax":null,"is_key_station":false,"warning_level_m":null,"critical_level_m":null,"critical_level_msl":26.9},"geocode":{"area_code":"5","area_name":{"th":"ภาคใต้","en":"South"},"amphoe_code":"05","amphoe_name":{"th":"ยะหา","en":"Yaha District"},"tumbon_code":"04","tumbon_name":{"th":"บาโร๊ะ","en":"Baro"},"province_code":"95","province_name":{"th":"ยะลา","en":"Yala"}},"diff_wl_bank":"3.97","diff_wl_bank_text":"ต่ำกว่าตลิ่ง (ม.)","river_gid":232839,"river_name":"คลองเล็ก"}</x:t>
  </x:si>
  <x:si>
    <x:t xml:space="preserve">THAIWATER_WL:726680</x:t>
  </x:si>
  <x:si>
    <x:t xml:space="preserve">X.240</x:t>
  </x:si>
  <x:si>
    <x:t xml:space="preserve">บ้านหูแร่</x:t>
  </x:si>
  <x:si>
    <x:t xml:space="preserve">คลองวาด</x:t>
  </x:si>
  <x:si>
    <x:t xml:space="preserve">{"id":1316344850,"waterlevel_datetime":"2026-10-01 14:00","waterlevel_m":null,"waterlevel_msl":"17.78","waterlevel_msl_previous":"17.80","flow_rate":null,"discharge":"1.40","storage_percent":"14.62","sort_order":null,"station_type":"tele_waterlevel","situation_level":2,"agency":{"id":12,"agency_name":{"th":"กรมชลประทาน ","en":"Royal Irrigation Department","jp":""},"agency_shortname":{"th":"ชป.","en":"RID","jp":""}},"basin":{"id":24,"basin_code":20,"basin_name":{"th":"ลุ่มน้ำทะเลสาบสงขลา","en":"Thale Sap Songkhla Basin"}},"station":{"id":726680,"tele_station_name":{"th":"บ้านหูแร่"},"tele_station_lat":6.98306,"tele_station_long":100.328331,"tele_station_oldcode":"X.240","tele_station_type":"tele_waterlevel","left_bank":25.099,"right_bank":25.076,"min_bank":23.1,"ground_level":16.869,"offset":null,"sub_basin_id":330,"agency_id":12,"geocode_id":7879,"hydro_id":8,"qmax":84.5,"is_key_station":false,"warning_level_m":null,"critical_level_m":null,"critical_level_msl":null},"geocode":{"area_code":"5","area_name":{"th":"ภาคใต้","en":"South"},"amphoe_code":"11","amphoe_name":{"th":"หาดใหญ่","en":"Hat Yai District"},"tumbon_code":"12","tumbon_name":{"th":"ทุ่งตำเสา","en":"Thung Tam Sao"},"province_code":"90","province_name":{"th":"สงขลา","en":"Songkhla"}},"diff_wl_bank":"5.32","diff_wl_bank_text":"ต่ำกว่าตลิ่ง (ม.)","river_gid":227441,"river_name":"คลองวาด"}</x:t>
  </x:si>
  <x:si>
    <x:t xml:space="preserve">THAIWATER_WL:2869</x:t>
  </x:si>
  <x:si>
    <x:t xml:space="preserve">N.54</x:t>
  </x:si>
  <x:si>
    <x:t xml:space="preserve">บ้านวังโป่ง</x:t>
  </x:si>
  <x:si>
    <x:t xml:space="preserve">คลองวังโปง</x:t>
  </x:si>
  <x:si>
    <x:t xml:space="preserve">{"id":1316341582,"waterlevel_datetime":"2026-10-01 14:00","waterlevel_m":null,"waterlevel_msl":"104.34","waterlevel_msl_previous":"104.36","flow_rate":null,"discharge":"1.17","storage_percent":"14.44","sort_order":null,"station_type":"tele_waterlevel","situation_level":2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2869,"tele_station_name":{"th":"บ้านวังโป่ง"},"tele_station_lat":16.327471,"tele_station_long":100.801727,"tele_station_oldcode":"N.54","tele_station_type":"tele_waterlevel","left_bank":214.255998,"right_bank":214.49699800000002,"min_bank":109.43,"ground_level":103.481,"offset":104.349998,"sub_basin_id":238,"agency_id":12,"geocode_id":6454,"hydro_id":2,"qmax":300,"is_key_station":false,"warning_level_m":null,"critical_level_m":null,"critical_level_msl":null},"geocode":{"area_code":"3","area_name":{"th":"ภาคเหนือ","en":"North"},"amphoe_code":"10","amphoe_name":{"th":"วังโป่ง","en":"Wang Pong District"},"tumbon_code":"01","tumbon_name":{"th":"วังโป่ง","en":"Wang Pong"},"province_code":"67","province_name":{"th":"เพชรบูรณ์","en":"Phetchabun"}},"diff_wl_bank":"5.09","diff_wl_bank_text":"ต่ำกว่าตลิ่ง (ม.)","river_gid":98100,"river_name":"คลองวังโปง"}</x:t>
  </x:si>
  <x:si>
    <x:t xml:space="preserve">THAIWATER_WL:3113</x:t>
  </x:si>
  <x:si>
    <x:t xml:space="preserve">Y.21</x:t>
  </x:si>
  <x:si>
    <x:t xml:space="preserve">ห้วยแม่สิน</x:t>
  </x:si>
  <x:si>
    <x:t xml:space="preserve">{"id":1316341565,"waterlevel_datetime":"2026-10-01 14:00","waterlevel_m":null,"waterlevel_msl":"115.08","waterlevel_msl_previous":"115.09","flow_rate":null,"discharge":"2.35","storage_percent":"14.12","sort_order":null,"station_type":"tele_waterlevel","situation_level":2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3113,"tele_station_name":{"th":"ห้วยแม่สิน"},"tele_station_lat":17.792339,"tele_station_long":99.787033,"tele_station_oldcode":"Y.21","tele_station_type":"tele_waterlevel","left_bank":235.82799899999998,"right_bank":236.208999,"min_bank":121.38,"ground_level":114.044,"offset":114.459999,"sub_basin_id":208,"agency_id":12,"geocode_id":6083,"hydro_id":2,"qmax":318,"is_key_station":false,"warning_level_m":null,"critical_level_m":null,"critical_level_msl":null},"geocode":{"area_code":"3","area_name":{"th":"ภาคเหนือ","en":"North"},"amphoe_code":"05","amphoe_name":{"th":"ศรีสัชนาลัย","en":"Si Satchanalai District"},"tumbon_code":"04","tumbon_name":{"th":"แม่สิน","en":"Mae Sin"},"province_code":"64","province_name":{"th":"สุโขทัย","en":"Sukhothai"}},"diff_wl_bank":"6.30","diff_wl_bank_text":"ต่ำกว่าตลิ่ง (ม.)","river_gid":76234,"river_name":"ห้วยแม่สิน"}</x:t>
  </x:si>
  <x:si>
    <x:t xml:space="preserve">THAIWATER_WL:3269</x:t>
  </x:si>
  <x:si>
    <x:t xml:space="preserve">P.56A</x:t>
  </x:si>
  <x:si>
    <x:t xml:space="preserve">บ้านสหกรณ์ร่มเกล้า</x:t>
  </x:si>
  <x:si>
    <x:t xml:space="preserve">น้ำแม่งัด</x:t>
  </x:si>
  <x:si>
    <x:t xml:space="preserve">{"id":1316167931,"waterlevel_datetime":"2026-10-01 06:00","waterlevel_m":null,"waterlevel_msl":"409.20","waterlevel_msl_previous":"409.21","flow_rate":null,"discharge":"3.90","storage_percent":"14.05","sort_order":null,"station_type":"tele_waterlevel","situation_level":2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3269,"tele_station_name":{"th":"บ้านสหกรณ์ร่มเกล้า"},"tele_station_lat":19.284189,"tele_station_long":99.186943,"tele_station_oldcode":"P.56A","tele_station_type":"tele_waterlevel","left_bank":824.0999879999999,"right_bank":824.159988,"min_bank":413.3,"ground_level":408.53,"offset":408.299988,"sub_basin_id":157,"agency_id":12,"geocode_id":4807,"hydro_id":1,"qmax":217.75,"is_key_station":false,"warning_level_m":null,"critical_level_m":null,"critical_level_msl":null},"geocode":{"area_code":"3","area_name":{"th":"ภาคเหนือ","en":"North"},"amphoe_code":"11","amphoe_name":{"th":"พร้าว","en":"Phrao District"},"tumbon_code":"09","tumbon_name":{"th":"แม่แวน","en":"Mae Waen"},"province_code":"50","province_name":{"th":"เชียงใหม่","en":"Chiang Mai"}},"diff_wl_bank":"4.10","diff_wl_bank_text":"ต่ำกว่าตลิ่ง (ม.)","river_gid":19702,"river_name":"น้ำแม่งัด"}</x:t>
  </x:si>
  <x:si>
    <x:t xml:space="preserve">THAIWATER_WL:2587</x:t>
  </x:si>
  <x:si>
    <x:t xml:space="preserve">X.10A</x:t>
  </x:si>
  <x:si>
    <x:t xml:space="preserve">สะพานเดชานุชิต</x:t>
  </x:si>
  <x:si>
    <x:t xml:space="preserve">{"id":1316344868,"waterlevel_datetime":"2026-10-01 14:00","waterlevel_m":null,"waterlevel_msl":"0.16","waterlevel_msl_previous":"0.27","flow_rate":null,"discharge":null,"storage_percent":"13.91","sort_order":null,"station_type":"tele_waterlevel","situation_level":2,"agency":{"id":12,"agency_name":{"th":"กรมชลประทาน ","en":"Royal Irrigation Department","jp":""},"agency_shortname":{"th":"ชป.","en":"RID","jp":""}},"basin":{"id":26,"basin_code":21,"basin_name":{"th":"ลุ่มน้ำภาคใต้ฝั่งตะวันออกตอนล่าง","en":"Peninsula - Lower East Coast Basin"}},"station":{"id":2587,"tele_station_name":{"th":"สะพานเดชานุชิต"},"tele_station_lat":6.866,"tele_station_long":101.252129,"tele_station_oldcode":"X.10A","tele_station_type":"tele_waterlevel","left_bank":1.15,"right_bank":1.15,"min_bank":1.15,"ground_level":0,"offset":null,"sub_basin_id":336,"agency_id":12,"geocode_id":8138,"hydro_id":8,"qmax":null,"is_key_station":true,"warning_level_m":null,"critical_level_m":1.15,"critical_level_msl":1.15},"geocode":{"area_code":"5","area_name":{"th":"ภาคใต้","en":"South"},"amphoe_code":"01","amphoe_name":{"th":"เมืองปัตตานี","en":"Mueang Pattani District"},"tumbon_code":"02","tumbon_name":{"th":"อาเนาะรู","en":"A Noru"},"province_code":"94","province_name":{"th":"ปัตตานี","en":"Pattani"}},"diff_wl_bank":"0.99","diff_wl_bank_text":"ต่ำกว่าตลิ่ง (ม.)","river_gid":228014,"river_name":"แม่น้ำปัตตานี"}</x:t>
  </x:si>
  <x:si>
    <x:t xml:space="preserve">THAIWATER_WL:685637</x:t>
  </x:si>
  <x:si>
    <x:t xml:space="preserve">MOU032</x:t>
  </x:si>
  <x:si>
    <x:t xml:space="preserve">สะพานน้ำกอน บ้านพญาแก้ว</x:t>
  </x:si>
  <x:si>
    <x:t xml:space="preserve">น้ำกอน</x:t>
  </x:si>
  <x:si>
    <x:t xml:space="preserve">{"id":1316367753,"waterlevel_datetime":"2026-10-01 15:10","waterlevel_m":null,"waterlevel_msl":"266.18","waterlevel_msl_previous":"266.18","flow_rate":null,"discharge":null,"storage_percent":"13.78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Basin"}},"station":{"id":685637,"tele_station_name":{"en":"Nam Kon (Ban Phaya Kaeo) Bridge","th":"สะพานน้ำกอน บ้านพญาแก้ว"},"tele_station_lat":19.286142,"tele_station_long":100.90128,"tele_station_oldcode":"MOU032","tele_station_type":"tele_waterlevel","left_bank":268.327,"right_bank":269.152,"min_bank":268.33,"ground_level":265.837,"offset":null,"sub_basin_id":216,"sponsor_by":"บริษัท แอดวานซ์ อินโฟร์ เซอร์วิส จำกัด (มหาชน)","agency_id":91,"geocode_id":5342,"hydro_id":null,"qmax":null,"is_key_station":false,"warning_level_m":null,"critical_level_m":null,"critical_level_msl":null},"geocode":{"area_code":"3","area_name":{"th":"ภาคเหนือ","en":"North"},"amphoe_code":"09","amphoe_name":{"th":"เชียงกลาง","en":"Chiang Klang District"},"tumbon_code":"08","tumbon_name":{"th":"พญาแก้ว","en":"Phaya Kaeo"},"province_code":"55","province_name":{"th":"น่าน","en":"Nan"}},"diff_wl_bank":"2.15","diff_wl_bank_text":"ต่ำกว่าตลิ่ง (ม.)","river_gid":19274,"river_name":"น้ำกอน"}</x:t>
  </x:si>
  <x:si>
    <x:t xml:space="preserve">THAIWATER_WL:3237</x:t>
  </x:si>
  <x:si>
    <x:t xml:space="preserve">P.80</x:t>
  </x:si>
  <x:si>
    <x:t xml:space="preserve">บ้านโป่งดิน</x:t>
  </x:si>
  <x:si>
    <x:t xml:space="preserve">ห้วยแม่วะ</x:t>
  </x:si>
  <x:si>
    <x:t xml:space="preserve">{"id":1316268564,"waterlevel_datetime":"2026-10-01 11:00","waterlevel_m":null,"waterlevel_msl":"455.54","waterlevel_msl_previous":"455.54","flow_rate":null,"discharge":"0.88","storage_percent":"13.41","sort_order":null,"station_type":"tele_waterlevel","situation_level":2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3237,"tele_station_name":{"th":"บ้านโป่งดิน"},"tele_station_lat":18.916401,"tele_station_long":99.235817,"tele_station_oldcode":"P.80","tele_station_type":"tele_waterlevel","left_bank":916.9000060000001,"right_bank":916.8810060000001,"min_bank":458.6,"ground_level":455.066,"offset":455.100006,"sub_basin_id":163,"agency_id":12,"geocode_id":4747,"hydro_id":1,"qmax":111,"is_key_station":false,"warning_level_m":null,"critical_level_m":null,"critical_level_msl":null},"geocode":{"area_code":"3","area_name":{"th":"ภาคเหนือ","en":"North"},"amphoe_code":"05","amphoe_name":{"th":"ดอยสะเก็ด","en":"Doi Saket District"},"tumbon_code":"13","tumbon_name":{"th":"ป่าเมี่ยง","en":"Pa Miang"},"province_code":"50","province_name":{"th":"เชียงใหม่","en":"Chiang Mai"}},"diff_wl_bank":"3.06","diff_wl_bank_text":"ต่ำกว่าตลิ่ง (ม.)","river_gid":33198,"river_name":"ห้วยแม่วะ"}</x:t>
  </x:si>
  <x:si>
    <x:t xml:space="preserve">THAIWATER_WL:2638</x:t>
  </x:si>
  <x:si>
    <x:t xml:space="preserve">X.190A</x:t>
  </x:si>
  <x:si>
    <x:t xml:space="preserve">บ้านเก็ตโฮ่</x:t>
  </x:si>
  <x:si>
    <x:t xml:space="preserve">คลองเก็ตโฮ</x:t>
  </x:si>
  <x:si>
    <x:t xml:space="preserve">{"id":1316344812,"waterlevel_datetime":"2026-10-01 14:00","waterlevel_m":null,"waterlevel_msl":"14.37","waterlevel_msl_previous":"14.37","flow_rate":null,"discharge":null,"storage_percent":"12.74","sort_order":null,"station_type":"tele_waterlevel","situation_level":2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2638,"tele_station_name":{"th":"บ้านเก็ตโฮ่"},"tele_station_lat":7.9034,"tele_station_long":98.349678,"tele_station_oldcode":"X.190A","tele_station_type":"tele_waterlevel","left_bank":17.54,"right_bank":17.656,"min_bank":17.13,"ground_level":13.967,"offset":null,"sub_basin_id":346,"agency_id":12,"geocode_id":7496,"hydro_id":8,"qmax":61.049999,"is_key_station":true,"warning_level_m":null,"critical_level_m":null,"critical_level_msl":null},"geocode":{"area_code":"5","area_name":{"th":"ภาคใต้","en":"South"},"amphoe_code":"02","amphoe_name":{"th":"กะทู้","en":"Kathu District"},"tumbon_code":"01","tumbon_name":{"th":"กะทู้","en":"Kathu"},"province_code":"83","province_name":{"th":"ภูเก็ต","en":"Phuket"}},"diff_wl_bank":"2.76","diff_wl_bank_text":"ต่ำกว่าตลิ่ง (ม.)","river_gid":223151,"river_name":"คลองเก็ตโฮ"}</x:t>
  </x:si>
  <x:si>
    <x:t xml:space="preserve">THAIWATER_WL:922</x:t>
  </x:si>
  <x:si>
    <x:t xml:space="preserve">SAY002</x:t>
  </x:si>
  <x:si>
    <x:t xml:space="preserve">ศรีสาคร</x:t>
  </x:si>
  <x:si>
    <x:t xml:space="preserve">{"id":1316368309,"waterlevel_datetime":"2026-10-01 15:10","waterlevel_m":null,"waterlevel_msl":"24.08","waterlevel_msl_previous":"24.08","flow_rate":null,"discharge":null,"storage_percent":"12.68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Organization)","jp":""},"agency_shortname":{"th":"สสน.","en":"HII","jp":""}},"basin":{"id":26,"basin_code":21,"basin_name":{"th":"ลุ่มน้ำภาคใต้ฝั่งตะวันออกตอนล่าง","en":"Peninsula - Lower East Coast Basin"}},"station":{"id":922,"tele_station_name":{"en":"Sai Buri 2","th":"ศรีสาคร"},"tele_station_lat":6.227293,"tele_station_long":101.49695,"tele_station_oldcode":"SAY002","tele_station_type":"tele_waterlevel","left_bank":35.04,"right_bank":35.03,"min_bank":35.03,"ground_level":22.49,"offset":null,"sub_basin_id":338,"agency_id":9,"geocode_id":8383,"hydro_id":null,"qmax":null,"is_key_station":false,"warning_level_m":null,"critical_level_m":null,"critical_level_msl":null},"geocode":{"area_code":"5","area_name":{"th":"ภาคใต้","en":"South"},"amphoe_code":"07","amphoe_name":{"th":"ศรีสาคร","en":"Si Sakhon District"},"tumbon_code":"03","tumbon_name":{"th":"ศรีสาคร","en":"Si Sakhon"},"province_code":"96","province_name":{"th":"นราธิวาส","en":"Narathiwat"}},"diff_wl_bank":"10.95","diff_wl_bank_text":"ต่ำกว่าตลิ่ง (ม.)","river_gid":231218,"river_name":"แม่น้ำสายบุรี"}</x:t>
  </x:si>
  <x:si>
    <x:t xml:space="preserve">THAIWATER_WL:11648470</x:t>
  </x:si>
  <x:si>
    <x:t xml:space="preserve">UDN003</x:t>
  </x:si>
  <x:si>
    <x:t xml:space="preserve">คลองสงคราม</x:t>
  </x:si>
  <x:si>
    <x:t xml:space="preserve">{"id":1316368410,"waterlevel_datetime":"2026-10-01 15:10","waterlevel_m":null,"waterlevel_msl":"164.17","waterlevel_msl_previous":"164.18","flow_rate":null,"discharge":null,"storage_percent":"12.54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Basin"}},"station":{"id":11648470,"tele_station_name":{"en":"Khlong Songkhram","th":"คลองสงคราม"},"tele_station_lat":17.39577,"tele_station_long":103.30043,"tele_station_oldcode":"UDN003","tele_station_type":"tele_waterlevel","left_bank":166.7721,"right_bank":167.2611,"min_bank":166.77,"ground_level":163.798,"offset":null,"sub_basin_id":56,"agency_id":9,"geocode_id":3591,"hydro_id":null,"qmax":null,"is_key_station":false,"warning_level_m":null,"critical_level_m":null,"critical_level_msl":null},"geocode":{"area_code":"4","area_name":{"th":"ภาคตะวันออกเฉียงเหนือ","en":"Northeast"},"amphoe_code":"20","amphoe_name":{"th":"สร้างคอม","en":"Sang Khom District"},"tumbon_code":"01","tumbon_name":{"th":"สร้างคอม","en":"Sang Khom"},"province_code":"41","province_name":{"th":"อุดรธานี","en":"Udon Thani"}},"diff_wl_bank":"2.60","diff_wl_bank_text":"ต่ำกว่าตลิ่ง (ม.)"}</x:t>
  </x:si>
  <x:si>
    <x:t xml:space="preserve">THAIWATER_WL:1095876</x:t>
  </x:si>
  <x:si>
    <x:t xml:space="preserve">X.276</x:t>
  </x:si>
  <x:si>
    <x:t xml:space="preserve">บ้านเขาปู่</x:t>
  </x:si>
  <x:si>
    <x:t xml:space="preserve">{"id":1316344785,"waterlevel_datetime":"2026-10-01 14:00","waterlevel_m":null,"waterlevel_msl":"50.49","waterlevel_msl_previous":"50.49","flow_rate":null,"discharge":"1.45","storage_percent":"12.47","sort_order":null,"station_type":"tele_waterlevel","situation_level":2,"agency":{"id":12,"agency_name":{"th":"กรมชลประทาน ","en":"Royal Irrigation Department","jp":""},"agency_shortname":{"th":"ชป.","en":"RID","jp":""}},"basin":{"id":24,"basin_code":20,"basin_name":{"th":"ลุ่มน้ำทะเลสาบสงขลา","en":"Thale Sap Songkhla Basin"}},"station":{"id":1095876,"tele_station_name":{"th":"บ้านเขาปู่"},"tele_station_lat":7.70724,"tele_station_long":99.841743,"tele_station_oldcode":"X.276","tele_station_type":"tele_waterlevel","left_bank":57.02,"right_bank":57.017,"min_bank":53.9,"ground_level":50.004,"offset":0,"sub_basin_id":329,"agency_id":12,"geocode_id":8113,"hydro_id":8,"qmax":61,"is_key_station":true,"warning_level_m":null,"critical_level_m":null,"critical_level_msl":null},"geocode":{"area_code":"5","area_name":{"th":"ภาคใต้","en":"South"},"amphoe_code":"07","amphoe_name":{"th":"ศรีบรรพต","en":"Si Banphot District"},"tumbon_code":"02","tumbon_name":{"th":"เขาปู่","en":"Khao Pu"},"province_code":"93","province_name":{"th":"พัทลุง","en":"Phatthalung"}},"diff_wl_bank":"3.41","diff_wl_bank_text":"ต่ำกว่าตลิ่ง (ม.)","river_gid":224081,"river_name":"คลองใหญ่"}</x:t>
  </x:si>
  <x:si>
    <x:t xml:space="preserve">THAIWATER_WL:1113290</x:t>
  </x:si>
  <x:si>
    <x:t xml:space="preserve">SKU02</x:t>
  </x:si>
  <x:si>
    <x:t xml:space="preserve">อ.ท่าวังผา (N.64)</x:t>
  </x:si>
  <x:si>
    <x:t xml:space="preserve">{"id":1316366834,"waterlevel_datetime":"2026-10-01 15:00","waterlevel_m":null,"waterlevel_msl":"212.41","waterlevel_msl_previous":"212.41","flow_rate":null,"discharge":null,"storage_percent":"12.24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Thailand","jp":""},"agency_shortname":{"th":"กฟผ.","en":"EGAT","jp":""}},"basin":{"id":9,"basin_code":9,"basin_name":{"th":"ลุ่มน้ำน่าน","en":"Nan Basin"}},"station":{"id":1113290,"tele_station_name":{"th":"อ.ท่าวังผา (N.64)"},"tele_station_lat":19.015332,"tele_station_long":100.780161,"tele_station_oldcode":"SKU02","tele_station_type":"tele_waterlevel","left_bank":226.435,"right_bank":224.105,"min_bank":224.11,"ground_level":210.782,"offset":null,"sub_basin_id":218,"agency_id":8,"geocode_id":5261,"hydro_id":null,"qmax":null,"is_key_station":false,"warning_level_m":null,"critical_level_m":null,"critical_level_msl":220.4},"geocode":{"area_code":"3","area_name":{"th":"ภาคเหนือ","en":"North"},"amphoe_code":"01","amphoe_name":{"th":"เมืองน่าน","en":"Mueang Nan District"},"tumbon_code":"02","tumbon_name":{"th":"บ่อ","en":"Bo"},"province_code":"55","province_name":{"th":"น่าน","en":"Nan"}},"diff_wl_bank":"11.69","diff_wl_bank_text":"ต่ำกว่าตลิ่ง (ม.)","river_gid":28260,"river_name":"แม่น้ำน่าน"}</x:t>
  </x:si>
  <x:si>
    <x:t xml:space="preserve">THAIWATER_WL:558654</x:t>
  </x:si>
  <x:si>
    <x:t xml:space="preserve">URCD02</x:t>
  </x:si>
  <x:si>
    <x:t xml:space="preserve">น้ำพรม บ้านกุดเลาะ    </x:t>
  </x:si>
  <x:si>
    <x:t xml:space="preserve">{"id":1316350897,"waterlevel_datetime":"2026-10-01 14:00","waterlevel_m":null,"waterlevel_msl":"228.14","waterlevel_msl_previous":"228.14","flow_rate":null,"discharge":null,"storage_percent":"11.55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Thailand","jp":""},"agency_shortname":{"th":"กฟผ.","en":"EGAT","jp":""}},"basin":{"id":4,"basin_code":4,"basin_name":{"th":"ลุ่มน้ำชี","en":"Chi Basin Basin"}},"station":{"id":558654,"tele_station_name":{"th":"น้ำพรม บ้านกุดเลาะ    ","en":"Ban Kut Lo"},"tele_station_lat":16.293755,"tele_station_long":101.904798,"tele_station_oldcode":"URCD02","tele_station_type":"tele_waterlevel","left_bank":233.75,"right_bank":234.49,"min_bank":233.75,"ground_level":227.41,"offset":null,"sub_basin_id":89,"agency_id":8,"geocode_id":2985,"hydro_id":null,"qmax":null,"is_key_station":false,"warning_level_m":null,"critical_level_m":null,"critical_level_msl":null},"geocode":{"area_code":"4","area_name":{"th":"ภาคตะวันออกเฉียงเหนือ","en":"Northeast"},"amphoe_code":"04","amphoe_name":{"th":"เกษตรสมบูรณ์","en":"Kaset Sombun District"},"tumbon_code":"01","tumbon_name":{"th":"บ้านยาง","en":"Ban Yang"},"province_code":"36","province_name":{"th":"ชัยภูมิ","en":"Chaiyaphum"}},"diff_wl_bank":"5.61","diff_wl_bank_text":"ต่ำกว่าตลิ่ง (ม.)","river_gid":132477,"river_name":"น้ำพรม"}</x:t>
  </x:si>
  <x:si>
    <x:t xml:space="preserve">THAIWATER_WL:1109498</x:t>
  </x:si>
  <x:si>
    <x:t xml:space="preserve">ONE009</x:t>
  </x:si>
  <x:si>
    <x:t xml:space="preserve">ปตร. ห้วยแคน-ท้ายน้ำ</x:t>
  </x:si>
  <x:si>
    <x:t xml:space="preserve">{"id":1316368188,"waterlevel_datetime":"2026-10-01 15:10","waterlevel_m":null,"waterlevel_msl":"133.45","waterlevel_msl_previous":"133.45","flow_rate":null,"discharge":null,"storage_percent":"11.54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Basin"}},"station":{"id":1109498,"tele_station_name":{"en":"Huai Kean Gate","th":"ปตร. ห้วยแคน-ท้ายน้ำ"},"tele_station_lat":16.927904,"tele_station_long":104.72032,"tele_station_oldcode":"ONE009","tele_station_type":"tele_waterlevel","left_bank":138.722,"right_bank":139.222,"min_bank":138.72,"ground_level":132.762,"offset":null,"sub_basin_id":70,"agency_id":9,"geocode_id":4561,"hydro_id":null,"qmax":null,"is_key_station":false,"warning_level_m":null,"critical_level_m":null,"critical_level_msl":null},"geocode":{"area_code":"4","area_name":{"th":"ภาคตะวันออกเฉียงเหนือ","en":"Northeast"},"amphoe_code":"05","amphoe_name":{"th":"ธาตุพนม","en":"That Phanom District"},"tumbon_code":"01","tumbon_name":{"th":"ธาตุพนม","en":"That Phanom"},"province_code":"48","province_name":{"th":"นครพนม","en":"Nakhon Phanom"}},"diff_wl_bank":"5.27","diff_wl_bank_text":"ต่ำกว่าตลิ่ง (ม.)","river_gid":124439,"river_name":"ห้วยแคน"}</x:t>
  </x:si>
  <x:si>
    <x:t xml:space="preserve">THAIWATER_WL:740727</x:t>
  </x:si>
  <x:si>
    <x:t xml:space="preserve">FOP026</x:t>
  </x:si>
  <x:si>
    <x:t xml:space="preserve">สะพานคลองพาย</x:t>
  </x:si>
  <x:si>
    <x:t xml:space="preserve">ห้วยแวัะ</x:t>
  </x:si>
  <x:si>
    <x:t xml:space="preserve">{"id":1316367727,"waterlevel_datetime":"2026-10-01 15:10","waterlevel_m":null,"waterlevel_msl":"77.92","waterlevel_msl_previous":"77.93","flow_rate":null,"discharge":null,"storage_percent":"11.34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Foundation","jp":""},"agency_shortname":{"th":"พพภ","en":"FOP","jp":""}},"basin":{"id":22,"basin_code":19,"basin_name":{"th":"ลุ่มน้ำภาคใต้ฝั่งตะวันออกตอนบน","en":"Peninsula - Upper East Coast Basin"}},"station":{"id":740727,"tele_station_name":{"en":"Khlong Phai Bridge","th":"สะพานคลองพาย"},"tele_station_lat":9.155624,"tele_station_long":98.895035,"tele_station_oldcode":"FOP026","tele_station_type":"tele_waterlevel","left_bank":82.2438,"right_bank":81.2538,"min_bank":81.25,"ground_level":77.4938,"offset":null,"sub_basin_id":316,"sponsor_by":"มูลนิธิอาสาเพื่อนพึ่ง (ภาฯ) ยามยาก สภากาชาดไทย","agency_id":91,"geocode_id":7570,"hydro_id":null,"qmax":null,"is_key_station":false,"warning_level_m":null,"critical_level_m":null,"critical_level_msl":null},"geocode":{"area_code":"5","area_name":{"th":"ภาคใต้","en":"South"},"amphoe_code":"08","amphoe_name":{"th":"คีรีรัฐนิคม","en":"Khiri Rat Nikhom District"},"tumbon_code":"03","tumbon_name":{"th":"น้ำหัก","en":"Nam Hak"},"province_code":"84","province_name":{"th":"สุราษฎร์ธานี","en":"Surat Thani"}},"diff_wl_bank":"3.33","diff_wl_bank_text":"ต่ำกว่าตลิ่ง (ม.)","river_gid":215974,"river_name":"ห้วยแวัะ"}</x:t>
  </x:si>
  <x:si>
    <x:t xml:space="preserve">THAIWATER_WL:1106453</x:t>
  </x:si>
  <x:si>
    <x:t xml:space="preserve">TCP007</x:t>
  </x:si>
  <x:si>
    <x:t xml:space="preserve">ทุ่งโพธิ์พระยา</x:t>
  </x:si>
  <x:si>
    <x:t xml:space="preserve">คลองดอนต้นคาง</x:t>
  </x:si>
  <x:si>
    <x:t xml:space="preserve">{"id":1316368374,"waterlevel_datetime":"2026-10-01 15:10","waterlevel_m":null,"waterlevel_msl":"-1.22","waterlevel_msl_previous":"-1.22","flow_rate":null,"discharge":null,"storage_percent":"11.20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Organization)","jp":""},"agency_shortname":{"th":"สสน.","en":"HII","jp":""}},"basin":{"id":14,"basin_code":13,"basin_name":{"th":"ลุ่มน้ำท่าจีน","en":"Tha Chin Basin"}},"station":{"id":1106453,"tele_station_name":{"en":"Thung PaMok","th":"ทุ่งโพธิ์พระยา"},"tele_station_lat":14.320748,"tele_station_long":100.017395,"tele_station_oldcode":"TCP007","tele_station_type":"tele_waterlevel","left_bank":1,"right_bank":1,"min_bank":1,"ground_level":-1.5,"offset":null,"sub_basin_id":259,"agency_id":9,"geocode_id":6751,"hydro_id":null,"qmax":null,"is_key_station":false,"warning_level_m":null,"critical_level_m":null,"critical_level_msl":null},"geocode":{"area_code":"2","area_name":{"th":"ภาคกลาง","en":"Central"},"amphoe_code":"04","amphoe_name":{"th":"บางปลาม้า","en":"Bang Pla Ma District"},"tumbon_code":"13","tumbon_name":{"th":"วัดโบสถ์","en":"Wat Bot"},"province_code":"72","province_name":{"th":"สุพรรณบุรี","en":"Suphan Buri"}},"diff_wl_bank":"2.22","diff_wl_bank_text":"ต่ำกว่าตลิ่ง (ม.)","river_gid":182891,"river_name":"คลองดอนต้นคาง"}</x:t>
  </x:si>
  <x:si>
    <x:t xml:space="preserve">THAIWATER_WL:1481153</x:t>
  </x:si>
  <x:si>
    <x:t xml:space="preserve">MOU359</x:t>
  </x:si>
  <x:si>
    <x:t xml:space="preserve">สะพานน้ำแม่สิน</x:t>
  </x:si>
  <x:si>
    <x:t xml:space="preserve">{"id":1316367785,"waterlevel_datetime":"2026-10-01 15:10","waterlevel_m":null,"waterlevel_msl":"144.47","waterlevel_msl_previous":"144.46","flow_rate":null,"discharge":null,"storage_percent":"11.17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Foundation","jp":""},"agency_shortname":{"th":"พพภ","en":"FOP","jp":""}},"basin":{"id":8,"basin_code":8,"basin_name":{"th":"ลุ่มน้ำยม","en":"Yom Basin"}},"station":{"id":1481153,"tele_station_name":{"en":"Mae Sin Nam Bridge","th":"สะพานน้ำแม่สิน"},"tele_station_lat":17.801989,"tele_station_long":99.849495,"tele_station_oldcode":"MOU359","tele_station_type":"tele_waterlevel","left_bank":149.686,"right_bank":152.175,"min_bank":149.69,"ground_level":143.814,"offset":null,"sub_basin_id":208,"sponsor_by":"บริษัท ไทยเบฟเวอเรจ จำกัด (มหาชน) ","agency_id":91,"geocode_id":5247,"hydro_id":null,"qmax":null,"is_key_station":false,"warning_level_m":null,"critical_level_m":null,"critical_level_msl":null},"geocode":{"area_code":"3","area_name":{"th":"ภาคเหนือ","en":"North"},"amphoe_code":"07","amphoe_name":{"th":"วังชิ้น","en":"Wang Chin District"},"tumbon_code":"04","tumbon_name":{"th":"นาพูน","en":"Na Phun"},"province_code":"54","province_name":{"th":"แพร่","en":"Phrae"}},"diff_wl_bank":"5.22","diff_wl_bank_text":"ต่ำกว่าตลิ่ง (ม.)"}</x:t>
  </x:si>
  <x:si>
    <x:t xml:space="preserve">THAIWATER_WL:1101568</x:t>
  </x:si>
  <x:si>
    <x:t xml:space="preserve">FOP057</x:t>
  </x:si>
  <x:si>
    <x:t xml:space="preserve">บ้านประดู่</x:t>
  </x:si>
  <x:si>
    <x:t xml:space="preserve">{"id":1316367740,"waterlevel_datetime":"2026-10-01 15:10","waterlevel_m":null,"waterlevel_msl":"66.92","waterlevel_msl_previous":"66.92","flow_rate":null,"discharge":null,"storage_percent":"10.84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Foundation","jp":""},"agency_shortname":{"th":"พพภ","en":"FOP","jp":""}},"basin":{"id":27,"basin_code":22,"basin_name":{"th":"ลุ่มน้ำภาคใต้ฝั่งตะวันตก","en":"Peninsula - West Coast Basin"}},"station":{"id":1101568,"tele_station_name":{"en":"Ban Pradu","th":"บ้านประดู่"},"tele_station_lat":8.212035,"tele_station_long":99.703316,"tele_station_oldcode":"FOP057","tele_station_type":"tele_waterlevel","left_bank":70.406,"right_bank":70.406,"min_bank":70.41,"ground_level":66.496,"offset":null,"sub_basin_id":349,"sponsor_by":"มูลนิธิอาสาเพื่อนพึ่ง (ภาฯ) ยามยาก สภากาชาดไทย","agency_id":91,"geocode_id":7259,"hydro_id":null,"qmax":null,"is_key_station":false,"warning_level_m":null,"critical_level_m":null,"critical_level_msl":null},"geocode":{"area_code":"5","area_name":{"th":"ภาคใต้","en":"South"},"amphoe_code":"09","amphoe_name":{"th":"ทุ่งสง","en":"Thung Song District"},"tumbon_code":"06","tumbon_name":{"th":"นาหลวงเสน","en":"Na Luang Sen"},"province_code":"80","province_name":{"th":"นครศรีธรรมราช","en":"Nakhon Si Thammarat"}},"diff_wl_bank":"3.49","diff_wl_bank_text":"ต่ำกว่าตลิ่ง (ม.)","river_gid":221724,"river_name":"คลองท่าเลา"}</x:t>
  </x:si>
  <x:si>
    <x:t xml:space="preserve">THAIWATER_WL:1121240</x:t>
  </x:si>
  <x:si>
    <x:t xml:space="preserve">MOU353</x:t>
  </x:si>
  <x:si>
    <x:t xml:space="preserve">สะพานน้ำเงิน</x:t>
  </x:si>
  <x:si>
    <x:t xml:space="preserve">น้ำเงิน</x:t>
  </x:si>
  <x:si>
    <x:t xml:space="preserve">{"id":1316367783,"waterlevel_datetime":"2026-10-01 15:10","waterlevel_m":null,"waterlevel_msl":"310.58","waterlevel_msl_previous":"310.58","flow_rate":null,"discharge":null,"storage_percent":"10.57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Foundation","jp":""},"agency_shortname":{"th":"พพภ","en":"FOP","jp":""}},"basin":{"id":8,"basin_code":8,"basin_name":{"th":"ลุ่มน้ำยม","en":"Yom Basin"}},"station":{"id":1121240,"tele_station_name":{"en":"Namngoen Bridge","th":"สะพานน้ำเงิน"},"tele_station_lat":19.228998,"tele_station_long":100.326294,"tele_station_oldcode":"MOU353","tele_station_type":"tele_waterlevel","left_bank":315.629,"right_bank":314.708,"min_bank":314.71,"ground_level":310.092,"offset":null,"sub_basin_id":197,"sponsor_by":"มูลนิธิอาสาเพื่อนพึ่ง (ภาฯ) ยามยาก สภากาชาดไทย","agency_id":91,"geocode_id":5429,"hydro_id":null,"qmax":null,"is_key_station":false,"warning_level_m":null,"critical_level_m":null,"critical_level_msl":null},"geocode":{"area_code":"3","area_name":{"th":"ภาคเหนือ","en":"North"},"amphoe_code":"06","amphoe_name":{"th":"ปง","en":"Pong District"},"tumbon_code":"03","tumbon_name":{"th":"ออย","en":"Oi"},"province_code":"56","province_name":{"th":"พะเยา","en":"Phayao"}},"diff_wl_bank":"4.13","diff_wl_bank_text":"ต่ำกว่าตลิ่ง (ม.)","river_gid":21458,"river_name":"น้ำเงิน"}</x:t>
  </x:si>
  <x:si>
    <x:t xml:space="preserve">THAIWATER_WL:1109519</x:t>
  </x:si>
  <x:si>
    <x:t xml:space="preserve">ONE030</x:t>
  </x:si>
  <x:si>
    <x:t xml:space="preserve">สะพานข้ามคลองเดียก</x:t>
  </x:si>
  <x:si>
    <x:t xml:space="preserve">ห้วยเดียก</x:t>
  </x:si>
  <x:si>
    <x:t xml:space="preserve">{"id":1316368207,"waterlevel_datetime":"2026-10-01 15:10","waterlevel_m":null,"waterlevel_msl":"160.86","waterlevel_msl_previous":"160.86","flow_rate":null,"discharge":null,"storage_percent":"10.56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Basin"}},"station":{"id":1109519,"tele_station_name":{"en":"Diak Bridge","th":"สะพานข้ามคลองเดียก"},"tele_station_lat":17.126015,"tele_station_long":104.140945,"tele_station_oldcode":"ONE030","tele_station_type":"tele_waterlevel","left_bank":163.4,"right_bank":164.743,"min_bank":163.4,"ground_level":160.56,"offset":null,"sub_basin_id":69,"agency_id":9,"geocode_id":4385,"hydro_id":null,"qmax":null,"is_key_station":false,"warning_level_m":null,"critical_level_m":null,"critical_level_msl":null},"geocode":{"area_code":"4","area_name":{"th":"ภาคตะวันออกเฉียงเหนือ","en":"Northeast"},"amphoe_code":"01","amphoe_name":{"th":"เมืองสกลนคร","en":"Mueang Sakon Nakhon District"},"tumbon_code":"15","tumbon_name":{"th":"ดงมะไฟ","en":"Dong Mafai"},"province_code":"47","province_name":{"th":"สกลนคร","en":"Sakon Nakhon"}},"diff_wl_bank":"2.54","diff_wl_bank_text":"ต่ำกว่าตลิ่ง (ม.)","river_gid":121895,"river_name":"ห้วยเดียก"}</x:t>
  </x:si>
  <x:si>
    <x:t xml:space="preserve">THAIWATER_WL:11648255</x:t>
  </x:si>
  <x:si>
    <x:t xml:space="preserve">SKT001</x:t>
  </x:si>
  <x:si>
    <x:t xml:space="preserve">ห้วยแม่ท่าแพ</x:t>
  </x:si>
  <x:si>
    <x:t xml:space="preserve">{"id":1316368324,"waterlevel_datetime":"2026-10-01 15:10","waterlevel_m":null,"waterlevel_msl":"70.74","waterlevel_msl_previous":"70.74","flow_rate":null,"discharge":null,"storage_percent":"10.51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Basin"}},"station":{"id":11648255,"tele_station_name":{"en":"Huai Mae Tha Phae","th":"ห้วยแม่ท่าแพ"},"tele_station_lat":17.43854,"tele_station_long":99.6882,"tele_station_oldcode":"SKT001","tele_station_type":"tele_waterlevel","left_bank":74.873,"right_bank":74.586,"min_bank":74.59,"ground_level":70.284,"offset":null,"sub_basin_id":210,"agency_id":9,"geocode_id":6089,"hydro_id":null,"qmax":null,"is_key_station":false,"warning_level_m":null,"critical_level_m":null,"critical_level_msl":null},"geocode":{"area_code":"3","area_name":{"th":"ภาคเหนือ","en":"North"},"amphoe_code":"05","amphoe_name":{"th":"ศรีสัชนาลัย","en":"Si Satchanalai District"},"tumbon_code":"10","tumbon_name":{"th":"บ้านแก่ง","en":"Ban Kaeng"},"province_code":"64","province_name":{"th":"สุโขทัย","en":"Sukhothai"}},"diff_wl_bank":"3.85","diff_wl_bank_text":"ต่ำกว่าตลิ่ง (ม.)"}</x:t>
  </x:si>
  <x:si>
    <x:t xml:space="preserve">THAIWATER_WL:1422296</x:t>
  </x:si>
  <x:si>
    <x:t xml:space="preserve">BBD03</x:t>
  </x:si>
  <x:si>
    <x:t xml:space="preserve">ห้วยตากที่ อ.บ้านตาก</x:t>
  </x:si>
  <x:si>
    <x:t xml:space="preserve">2026-09-25T14:00:00+07:00</x:t>
  </x:si>
  <x:si>
    <x:t xml:space="preserve">{"id":1312604227,"waterlevel_datetime":"2026-09-25 14:00","waterlevel_m":null,"waterlevel_msl":"119.78","waterlevel_msl_previous":"119.78","flow_rate":null,"discharge":null,"storage_percent":"10.14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Thailand","jp":""},"agency_shortname":{"th":"กฟผ.","en":"EGAT","jp":""}},"basin":{"id":6,"basin_code":6,"basin_name":{"th":"ลุ่มน้ำปิง","en":"Ping Basin"}},"station":{"id":1422296,"tele_station_name":{"th":"ห้วยตากที่ อ.บ้านตาก"},"tele_station_lat":17.041879,"tele_station_long":99.058188,"tele_station_oldcode":"BBD03","tele_station_type":"tele_waterlevel","left_bank":124.99,"right_bank":123.66,"min_bank":123.66,"ground_level":119.34,"offset":null,"sub_basin_id":177,"agency_id":8,"geocode_id":5984,"hydro_id":null,"qmax":null,"is_key_station":false,"warning_level_m":null,"critical_level_m":null,"critical_level_msl":123.66},"geocode":{"area_code":"3","area_name":{"th":"ภาคเหนือ","en":"North"},"amphoe_code":"02","amphoe_name":{"th":"บ้านตาก","en":"Ban Tak District"},"tumbon_code":"05","tumbon_name":{"th":"เกาะตะเภา","en":"Ko Taphao"},"province_code":"63","province_name":{"th":"ตาก","en":"Tak"}},"diff_wl_bank":"3.88","diff_wl_bank_text":"ต่ำกว่าตลิ่ง (ม.)"}</x:t>
  </x:si>
  <x:si>
    <x:t xml:space="preserve">THAIWATER_WL:2924</x:t>
  </x:si>
  <x:si>
    <x:t xml:space="preserve">E.22B</x:t>
  </x:si>
  <x:si>
    <x:t xml:space="preserve">บ้านท่าเม่า</x:t>
  </x:si>
  <x:si>
    <x:t xml:space="preserve">{"id":1316353896,"waterlevel_datetime":"2026-10-01 14:00","waterlevel_m":null,"waterlevel_msl":"151.63","waterlevel_msl_previous":"151.63","flow_rate":null,"discharge":"11.34","storage_percent":"10.10","sort_order":null,"station_type":"tele_waterlevel","situation_level":2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2924,"tele_station_name":{"th":"บ้านท่าเม่า"},"tele_station_lat":16.65448,"tele_station_long":102.823486,"tele_station_oldcode":"E.22B","tele_station_type":"tele_waterlevel","left_bank":314.520994,"right_bank":314.622994,"min_bank":160.9,"ground_level":150.589,"offset":150.899994,"sub_basin_id":93,"agency_id":12,"geocode_id":3293,"hydro_id":3,"qmax":430,"is_key_station":true,"warning_level_m":null,"critical_level_m":null,"critical_level_msl":null},"geocode":{"area_code":"4","area_name":{"th":"ภาคตะวันออกเฉียงเหนือ","en":"Northeast"},"amphoe_code":"07","amphoe_name":{"th":"น้ำพอง","en":"Nam Phong District"},"tumbon_code":"06","tumbon_name":{"th":"ม่วงหวาน","en":"Muang Wan"},"province_code":"40","province_name":{"th":"ขอนแก่น","en":"Khon Kaen"}},"diff_wl_bank":"9.27","diff_wl_bank_text":"ต่ำกว่าตลิ่ง (ม.)","river_gid":128659,"river_name":"ลำน้ำพอง"}</x:t>
  </x:si>
  <x:si>
    <x:t xml:space="preserve">THAIWATER_WL:1422371</x:t>
  </x:si>
  <x:si>
    <x:t xml:space="preserve">RPBD11</x:t>
  </x:si>
  <x:si>
    <x:t xml:space="preserve">สะพานอิปัน อ.พระแสง (X.37A)</x:t>
  </x:si>
  <x:si>
    <x:t xml:space="preserve">2026-09-25T17:00:00+07:00</x:t>
  </x:si>
  <x:si>
    <x:t xml:space="preserve">{"id":1312690100,"waterlevel_datetime":"2026-09-25 17:00","waterlevel_m":null,"waterlevel_msl":"3.83","waterlevel_msl_previous":"3.83","flow_rate":null,"discharge":null,"storage_percent":"9.98","sort_order":null,"station_type":"tele_waterlevel","situation_level":1,"agency":{"id":8,"agency_name":{"th":"การไฟฟ้าฝ่ายผลิตแห่งประเทศไทย","en":"Electricity Generating Authority of Thailand","jp":""},"agency_shortname":{"th":"กฟผ.","en":"EGAT","jp":""}},"basin":{"id":22,"basin_code":19,"basin_name":{"th":"ลุ่มน้ำภาคใต้ฝั่งตะวันออกตอนบน","en":"Peninsula - Upper East Coast Basin"}},"station":{"id":1422371,"tele_station_name":{"th":"สะพานอิปัน อ.พระแสง (X.37A)"},"tele_station_lat":8.57104,"tele_station_long":99.25391,"tele_station_oldcode":"RPBD11","tele_station_type":"tele_waterlevel","left_bank":12.427,"right_bank":12.591,"min_bank":12.43,"ground_level":2.871,"offset":null,"sub_basin_id":323,"agency_id":8,"geocode_id":7622,"hydro_id":null,"qmax":null,"is_key_station":false,"warning_level_m":null,"critical_level_m":null,"critical_level_msl":11.7},"geocode":{"area_code":"5","area_name":{"th":"ภาคใต้","en":"South"},"amphoe_code":"15","amphoe_name":{"th":"เวียงสระ","en":"Wiang Sa District"},"tumbon_code":"04","tumbon_name":{"th":"ทุ่งหลวง","en":"Thung Luang"},"province_code":"84","province_name":{"th":"สุราษฎร์ธานี","en":"Surat Thani"}},"diff_wl_bank":"8.60","diff_wl_bank_text":"ต่ำกว่าตลิ่ง (ม.)"}</x:t>
  </x:si>
  <x:si>
    <x:t xml:space="preserve">THAIWATER_WL:1121267</x:t>
  </x:si>
  <x:si>
    <x:t xml:space="preserve">MOU473</x:t>
  </x:si>
  <x:si>
    <x:t xml:space="preserve">สะพานคลองสะตอ</x:t>
  </x:si>
  <x:si>
    <x:t xml:space="preserve">คลองสะตอ</x:t>
  </x:si>
  <x:si>
    <x:t xml:space="preserve">{"id":1316362755,"waterlevel_datetime":"2026-10-01 15:00","waterlevel_m":null,"waterlevel_msl":"95.07","waterlevel_msl_previous":"95.09","flow_rate":null,"discharge":null,"storage_percent":"9.24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Foundation","jp":""},"agency_shortname":{"th":"พพภ","en":"FOP","jp":""}},"basin":{"id":18,"basin_code":17,"basin_name":{"th":"ลุ่มน้ำชายฝั่งทะเลตะวันออก","en":"East Coast Gulf Basin"}},"station":{"id":1121267,"tele_station_name":{"en":"Khlong Sato Bridge","th":"สะพานคลองสะตอ"},"tele_station_lat":12.7065,"tele_station_long":102.415,"tele_station_oldcode":"MOU473","tele_station_type":"tele_waterlevel","left_bank":101.537,"right_bank":98.208,"min_bank":98.21,"ground_level":94.746,"offset":null,"sub_basin_id":298,"sponsor_by":"มูลนิธิอาสาเพื่อนพึ่ง (ภาฯ) ยามยาก สภากาชาดไทย","agency_id":91,"geocode_id":1365,"hydro_id":null,"qmax":null,"is_key_station":false,"warning_level_m":null,"critical_level_m":null,"critical_level_msl":null},"geocode":{"area_code":"2","area_name":{"th":"ภาคกลาง","en":"Central"},"amphoe_code":"04","amphoe_name":{"th":"บ่อไร่","en":"Bo Rai District"},"tumbon_code":"04","tumbon_name":{"th":"หนองบอน","en":"Nong Bon"},"province_code":"23","province_name":{"th":"ตราด","en":"Trat"}},"diff_wl_bank":"3.14","diff_wl_bank_text":"ต่ำกว่าตลิ่ง (ม.)","river_gid":204468,"river_name":"คลองสะตอ"}</x:t>
  </x:si>
  <x:si>
    <x:t xml:space="preserve">THAIWATER_WL:648042</x:t>
  </x:si>
  <x:si>
    <x:t xml:space="preserve">MOU027</x:t>
  </x:si>
  <x:si>
    <x:t xml:space="preserve">สะพานน้ำยาว บ้านสองแคว</x:t>
  </x:si>
  <x:si>
    <x:t xml:space="preserve">{"id":1316367752,"waterlevel_datetime":"2026-10-01 15:10","waterlevel_m":null,"waterlevel_msl":"279.26","waterlevel_msl_previous":"279.25","flow_rate":null,"discharge":null,"storage_percent":"8.87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Basin"}},"station":{"id":648042,"tele_station_name":{"en":"Ban SongKhwae Bridge","th":"สะพานน้ำยาว บ้านสองแคว"},"tele_station_lat":19.356688,"tele_station_long":100.706436,"tele_station_oldcode":"MOU027","tele_station_type":"tele_waterlevel","left_bank":283.225,"right_bank":286.026,"min_bank":283.23,"ground_level":278.874,"offset":null,"sub_basin_id":217,"sponsor_by":"บริษัท แอดวานซ์ อินโฟร์ เซอร์วิส จำกัด (มหาชน)","agency_id":91,"geocode_id":5359,"hydro_id":null,"qmax":null,"is_key_station":false,"warning_level_m":null,"critical_level_m":null,"critical_level_msl":null},"geocode":{"area_code":"3","area_name":{"th":"ภาคเหนือ","en":"North"},"amphoe_code":"13","amphoe_name":{"th":"สองแคว","en":"Song Khwae District"},"tumbon_code":"01","tumbon_name":{"th":"นาไร่หลวง","en":"Na Rai Luang"},"province_code":"55","province_name":{"th":"น่าน","en":"Nan"}},"diff_wl_bank":"3.97","diff_wl_bank_text":"ต่ำกว่าตลิ่ง (ม.)","river_gid":17008,"river_name":"น้ำยาว"}</x:t>
  </x:si>
  <x:si>
    <x:t xml:space="preserve">THAIWATER_WL:1101574</x:t>
  </x:si>
  <x:si>
    <x:t xml:space="preserve">FOP063</x:t>
  </x:si>
  <x:si>
    <x:t xml:space="preserve">บ้านคลองมุย หมู่ที่ 13</x:t>
  </x:si>
  <x:si>
    <x:t xml:space="preserve">คลองมุย</x:t>
  </x:si>
  <x:si>
    <x:t xml:space="preserve">{"id":1316362688,"waterlevel_datetime":"2026-10-01 15:00","waterlevel_m":null,"waterlevel_msl":"110.72","waterlevel_msl_previous":"110.72","flow_rate":null,"discharge":null,"storage_percent":"8.87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Foundation","jp":""},"agency_shortname":{"th":"พพภ","en":"FOP","jp":""}},"basin":{"id":22,"basin_code":19,"basin_name":{"th":"ลุ่มน้ำภาคใต้ฝั่งตะวันออกตอนบน","en":"Peninsula - Upper East Coast Basin"}},"station":{"id":1101574,"tele_station_name":{"en":"Ban Khlong Mui 13","th":"บ้านคลองมุย หมู่ที่ 13"},"tele_station_lat":9.252886,"tele_station_long":98.85421,"tele_station_oldcode":"FOP063","tele_station_type":"tele_waterlevel","left_bank":113.602,"right_bank":113.911,"min_bank":113.6,"ground_level":110.445,"offset":null,"sub_basin_id":316,"sponsor_by":"มูลนิธิอาสาเพื่อนพึ่ง (ภาฯ) ยามยาก สภากาชาดไทย","agency_id":91,"geocode_id":7656,"hydro_id":null,"qmax":null,"is_key_station":false,"warning_level_m":null,"critical_level_m":null,"critical_level_msl":null},"geocode":{"area_code":"5","area_name":{"th":"ภาคใต้","en":"South"},"amphoe_code":"19","amphoe_name":{"th":"วิภาวดี","en":"Vibhavadi District"},"tumbon_code":"02","tumbon_name":{"th":"ตะกุกเหนือ","en":"Takuk Nuea"},"province_code":"84","province_name":{"th":"สุราษฎร์ธานี","en":"Surat Thani"}},"diff_wl_bank":"2.88","diff_wl_bank_text":"ต่ำกว่าตลิ่ง (ม.)","river_gid":215553,"river_name":"คลองมุย"}</x:t>
  </x:si>
  <x:si>
    <x:t xml:space="preserve">THAIWATER_WL:795</x:t>
  </x:si>
  <x:si>
    <x:t xml:space="preserve">NKO001</x:t>
  </x:si>
  <x:si>
    <x:t xml:space="preserve">ทุ่งสง</x:t>
  </x:si>
  <x:si>
    <x:t xml:space="preserve">{"id":1316368175,"waterlevel_datetime":"2026-10-01 15:10","waterlevel_m":null,"waterlevel_msl":"50.98","waterlevel_msl_previous":"50.98","flow_rate":null,"discharge":null,"storage_percent":"8.79","sort_order":null,"station_type":"tele_waterlevel","situation_level":1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Basin"}},"station":{"id":795,"tele_station_name":{"en":"Nakhon Si Thammarat 1","th":"ทุ่งสง"},"tele_station_lat":8.174942,"tele_station_long":99.67887,"tele_station_oldcode":"NKO001","tele_station_type":"tele_waterlevel","left_bank":55.203,"right_bank":55.685,"min_bank":55.2,"ground_level":50.573,"offset":null,"sub_basin_id":349,"agency_id":9,"geocode_id":7254,"hydro_id":null,"qmax":null,"is_key_station":false,"warning_level_m":null,"critical_level_m":null,"critical_level_msl":null},"geocode":{"area_code":"5","area_name":{"th":"ภาคใต้","en":"South"},"amphoe_code":"09","amphoe_name":{"th":"ทุ่งสง","en":"Thung Song District"},"tumbon_code":"01","tumbon_name":{"th":"ปากแพรก","en":"Pak Phraek"},"province_code":"80","province_name":{"th":"นครศรีธรรมราช","en":"Nakhon Si Thammarat"}},"diff_wl_bank":"4.22","diff_wl_bank_text":"ต่ำกว่าตลิ่ง (ม.)","river_gid":221983,"river_name":"คลองท่าเลา"}</x:t>
  </x:si>
  <x:si>
    <x:t xml:space="preserve">THAIWATER_WL:11648469</x:t>
  </x:si>
  <x:si>
    <x:t xml:space="preserve">UDN002</x:t>
  </x:si>
  <x:si>
    <x:t xml:space="preserve">คลองน้ำงาว</x:t>
  </x:si>
  <x:si>
    <x:t xml:space="preserve">{"id":1316368409,"waterlevel_datetime":"2026-10-01 15:10","waterlevel_m":null,"waterlevel_msl":"170.36","waterlevel_msl_previous":"170.37","flow_rate":null,"discharge":null,"storage_percent":"7.65","sort_order":null,"station_type":"tele_waterlevel","situation_level":1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Basin"}},"station":{"id":11648469,"tele_station_name":{"en":"Khlong Nam Ngao","th":"คลองน้ำงาว"},"tele_station_lat":17.69902,"tele_station_long":102.4467,"tele_station_oldcode":"UDN002","tele_station_type":"tele_waterlevel","left_bank":174.051,"right_bank":174.322,"min_bank":174.05,"ground_level":170.052,"offset":null,"sub_basin_id":52,"agency_id":9,"geocode_id":3586,"hydro_id":null,"qmax":null,"is_key_station":false,"warning_level_m":null,"critical_level_m":null,"critical_level_msl":null},"geocode":{"area_code":"4","area_name":{"th":"ภาคตะวันออกเฉียงเหนือ","en":"Northeast"},"amphoe_code":"19","amphoe_name":{"th":"เพ็ญ","en":"Phen District"},"tumbon_code":"08","tumbon_name":{"th":"จอมศรี","en":"Chom Si"},"province_code":"41","province_name":{"th":"อุดรธานี","en":"Udon Thani"}},"diff_wl_bank":"3.69","diff_wl_bank_text":"ต่ำกว่าตลิ่ง (ม.)"}</x:t>
  </x:si>
  <x:si>
    <x:t xml:space="preserve">THAIWATER_WL:740729</x:t>
  </x:si>
  <x:si>
    <x:t xml:space="preserve">FOP028</x:t>
  </x:si>
  <x:si>
    <x:t xml:space="preserve">สะพานทางเข้าชุมชนบ้านปากซวด</x:t>
  </x:si>
  <x:si>
    <x:t xml:space="preserve">คลองบางครก</x:t>
  </x:si>
  <x:si>
    <x:t xml:space="preserve">{"id":1316367728,"waterlevel_datetime":"2026-10-01 15:10","waterlevel_m":null,"waterlevel_msl":"31.00","waterlevel_msl_previous":"30.99","flow_rate":null,"discharge":null,"storage_percent":"7.57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Foundation","jp":""},"agency_shortname":{"th":"พพภ","en":"FOP","jp":""}},"basin":{"id":22,"basin_code":19,"basin_name":{"th":"ลุ่มน้ำภาคใต้ฝั่งตะวันออกตอนบน","en":"Peninsula - Upper East Coast Basin"}},"station":{"id":740729,"tele_station_name":{"en":"Ban Pak Suat Community Bridge","th":"สะพานทางเข้าชุมชนบ้านปากซวด"},"tele_station_lat":8.889655,"tele_station_long":98.82028,"tele_station_oldcode":"FOP028","tele_station_type":"tele_waterlevel","left_bank":34.8526,"right_bank":35.6326,"min_bank":34.85,"ground_level":30.6846,"offset":null,"sub_basin_id":314,"sponsor_by":"มูลนิธิอาสาเพื่อนพึ่ง (ภาฯ) ยามยาก สภากาชาดไทย","agency_id":91,"geocode_id":7578,"hydro_id":null,"qmax":null,"is_key_station":false,"warning_level_m":null,"critical_level_m":null,"critical_level_msl":null},"geocode":{"area_code":"5","area_name":{"th":"ภาคใต้","en":"South"},"amphoe_code":"09","amphoe_name":{"th":"บ้านตาขุน","en":"Ban Ta Khun District"},"tumbon_code":"02","tumbon_name":{"th":"พะแสง","en":"Phasaeng"},"province_code":"84","province_name":{"th":"สุราษฎร์ธานี","en":"Surat Thani"}},"diff_wl_bank":"3.85","diff_wl_bank_text":"ต่ำกว่าตลิ่ง (ม.)","river_gid":217223,"river_name":"คลองบางครก"}</x:t>
  </x:si>
  <x:si>
    <x:t xml:space="preserve">THAIWATER_WL:1121265</x:t>
  </x:si>
  <x:si>
    <x:t xml:space="preserve">MOU471</x:t>
  </x:si>
  <x:si>
    <x:t xml:space="preserve">สะพานคลองจันทเขลม</x:t>
  </x:si>
  <x:si>
    <x:t xml:space="preserve">{"id":1316367803,"waterlevel_datetime":"2026-10-01 15:10","waterlevel_m":null,"waterlevel_msl":"52.37","waterlevel_msl_previous":"52.37","flow_rate":null,"discharge":null,"storage_percent":"7.30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Foundation","jp":""},"agency_shortname":{"th":"พพภ","en":"FOP","jp":""}},"basin":{"id":18,"basin_code":17,"basin_name":{"th":"ลุ่มน้ำชายฝั่งทะเลตะวันออก","en":"East Coast Gulf Basin"}},"station":{"id":1121265,"tele_station_name":{"en":"Khlong Chanthakloem Bridge","th":"สะพานคลองจันทเขลม"},"tele_station_lat":13.003336,"tele_station_long":102.04864,"tele_station_oldcode":"MOU471","tele_station_type":"tele_waterlevel","left_bank":57.068,"right_bank":57.138,"min_bank":57.07,"ground_level":52,"offset":null,"sub_basin_id":296,"sponsor_by":"มูลนิธิอาสาเพื่อนพึ่ง (ภาฯ) ยามยาก สภากาชาดไทย","agency_id":91,"geocode_id":1331,"hydro_id":null,"qmax":null,"is_key_station":false,"warning_level_m":null,"critical_level_m":null,"critical_level_msl":null},"geocode":{"area_code":"2","area_name":{"th":"ภาคกลาง","en":"Central"},"amphoe_code":"10","amphoe_name":{"th":"เขาคิชฌกูฏ","en":"Khao Khitchakut District"},"tumbon_code":"05","tumbon_name":{"th":"จันทเขลม","en":"Chanthakhlem"},"province_code":"22","province_name":{"th":"จันทบุรี","en":"Chanthaburi"}},"diff_wl_bank":"4.70","diff_wl_bank_text":"ต่ำกว่าตลิ่ง (ม.)","river_gid":202235,"river_name":"คลองจันทบุรี"}</x:t>
  </x:si>
  <x:si>
    <x:t xml:space="preserve">THAIWATER_WL:479232</x:t>
  </x:si>
  <x:si>
    <x:t xml:space="preserve">TBW024</x:t>
  </x:si>
  <x:si>
    <x:t xml:space="preserve">สะพานอิงอุดม</x:t>
  </x:si>
  <x:si>
    <x:t xml:space="preserve">{"id":1316368359,"waterlevel_datetime":"2026-10-01 15:10","waterlevel_m":null,"waterlevel_msl":"334.83","waterlevel_msl_previous":"334.82","flow_rate":null,"discharge":null,"storage_percent":"7.26","sort_order":null,"station_type":"tele_waterlevel","situation_level":1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Basin"}},"station":{"id":479232,"tele_station_name":{"en":"Ing 1","th":"สะพานอิงอุดม"},"tele_station_lat":20.19635,"tele_station_long":100.44173,"tele_station_oldcode":"TBW024","tele_station_type":"tele_waterlevel","left_bank":349.28,"right_bank":349.69,"min_bank":349.28,"ground_level":333.7,"offset":null,"sub_basin_id":38,"agency_id":9,"geocode_id":5481,"hydro_id":null,"qmax":null,"is_key_station":false,"warning_level_m":null,"critical_level_m":null,"critical_level_msl":null},"geocode":{"area_code":"3","area_name":{"th":"ภาคเหนือ","en":"North"},"amphoe_code":"03","amphoe_name":{"th":"เชียงของ","en":"Chiang Khong District"},"tumbon_code":"08","tumbon_name":{"th":"ศรีดอนชัย","en":"Si Don Chai"},"province_code":"57","province_name":{"th":"เชียงราย","en":"Chiang Rai"}},"diff_wl_bank":"14.45","diff_wl_bank_text":"ต่ำกว่าตลิ่ง (ม.)","river_gid":1573,"river_name":"แม่น้ำอิง"}</x:t>
  </x:si>
  <x:si>
    <x:t xml:space="preserve">THAIWATER_WL:2964</x:t>
  </x:si>
  <x:si>
    <x:t xml:space="preserve">E.76A</x:t>
  </x:si>
  <x:si>
    <x:t xml:space="preserve">บ้านโพน</x:t>
  </x:si>
  <x:si>
    <x:t xml:space="preserve">ห้วยสังกะ</x:t>
  </x:si>
  <x:si>
    <x:t xml:space="preserve">{"id":1316353863,"waterlevel_datetime":"2026-10-01 14:00","waterlevel_m":null,"waterlevel_msl":"164.49","waterlevel_msl_previous":"164.50","flow_rate":null,"discharge":"0.09","storage_percent":"7.08","sort_order":null,"station_type":"tele_waterlevel","situation_level":1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2964,"tele_station_name":{"th":"บ้านโพน"},"tele_station_lat":16.86068,"tele_station_long":103.594856,"tele_station_oldcode":"E.76A","tele_station_type":"tele_waterlevel","left_bank":337.582994,"right_bank":337.53099399999996,"min_bank":172.5,"ground_level":163.88,"offset":163.899994,"sub_basin_id":99,"agency_id":12,"geocode_id":4314,"hydro_id":3,"qmax":136,"is_key_station":false,"warning_level_m":null,"critical_level_m":null,"critical_level_msl":null},"geocode":{"area_code":"4","area_name":{"th":"ภาคตะวันออกเฉียงเหนือ","en":"Northeast"},"amphoe_code":"10","amphoe_name":{"th":"คำม่วง","en":"Kham Muang District"},"tumbon_code":"02","tumbon_name":{"th":"โพน","en":"Phon"},"province_code":"46","province_name":{"th":"กาฬสินธุ์","en":"Kalasin"}},"diff_wl_bank":"8.01","diff_wl_bank_text":"ต่ำกว่าตลิ่ง (ม.)","river_gid":126073,"river_name":"ห้วยสังกะ"}</x:t>
  </x:si>
  <x:si>
    <x:t xml:space="preserve">THAIWATER_WL:849</x:t>
  </x:si>
  <x:si>
    <x:t xml:space="preserve">JNA001</x:t>
  </x:si>
  <x:si>
    <x:t xml:space="preserve">จะนะ</x:t>
  </x:si>
  <x:si>
    <x:t xml:space="preserve">คลองลึก</x:t>
  </x:si>
  <x:si>
    <x:t xml:space="preserve">{"id":1316368056,"waterlevel_datetime":"2026-10-01 15:10","waterlevel_m":null,"waterlevel_msl":"2.83","waterlevel_msl_previous":"2.63","flow_rate":null,"discharge":null,"storage_percent":"6.87","sort_order":null,"station_type":"tele_waterlevel","situation_level":1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Basin"}},"station":{"id":849,"tele_station_name":{"en":"Chana 1","th":"จะนะ"},"tele_station_lat":6.916742,"tele_station_long":100.72962,"tele_station_oldcode":"JNA001","tele_station_type":"tele_waterlevel","left_bank":4.754,"right_bank":6.351,"min_bank":4.75,"ground_level":2.688,"offset":null,"sub_basin_id":331,"agency_id":9,"geocode_id":7793,"hydro_id":null,"qmax":null,"is_key_station":false,"warning_level_m":null,"critical_level_m":null,"critical_level_msl":null},"geocode":{"area_code":"5","area_name":{"th":"ภาคใต้","en":"South"},"amphoe_code":"03","amphoe_name":{"th":"จะนะ","en":"Chanae District"},"tumbon_code":"01","tumbon_name":{"th":"บ้านนา","en":"Ban Na"},"province_code":"90","province_name":{"th":"สงขลา","en":"Songkhla"}},"diff_wl_bank":"1.92","diff_wl_bank_text":"ต่ำกว่าตลิ่ง (ม.)","river_gid":227767,"river_name":"คลองลึก"}</x:t>
  </x:si>
  <x:si>
    <x:t xml:space="preserve">THAIWATER_WL:562803</x:t>
  </x:si>
  <x:si>
    <x:t xml:space="preserve">BLGTD05</x:t>
  </x:si>
  <x:si>
    <x:t xml:space="preserve">สะพานเมืองปัตตานี อ.เมือง จ.ปัตตานี</x:t>
  </x:si>
  <x:si>
    <x:t xml:space="preserve">{"id":1316366253,"waterlevel_datetime":"2026-10-01 15:00","waterlevel_m":null,"waterlevel_msl":"0.08","waterlevel_msl_previous":"0.17","flow_rate":null,"discharge":null,"storage_percent":"6.61","sort_order":null,"station_type":"tele_waterlevel","situation_level":1,"agency":{"id":8,"agency_name":{"th":"การไฟฟ้าฝ่ายผลิตแห่งประเทศไทย","en":"Electricity Generating Authority of Thailand","jp":""},"agency_shortname":{"th":"กฟผ.","en":"EGAT","jp":""}},"basin":{"id":26,"basin_code":21,"basin_name":{"th":"ลุ่มน้ำภาคใต้ฝั่งตะวันออกตอนล่าง","en":"Peninsula - Lower East Coast Basin"}},"station":{"id":562803,"tele_station_name":{"th":"สะพานเมืองปัตตานี อ.เมือง จ.ปัตตานี"},"tele_station_lat":6.859914,"tele_station_long":101.251309,"tele_station_oldcode":"BLGTD05","tele_station_type":"tele_waterlevel","left_bank":1.15,"right_bank":1.35,"min_bank":1.15,"ground_level":0,"offset":null,"sub_basin_id":336,"agency_id":8,"geocode_id":8139,"hydro_id":null,"qmax":null,"is_key_station":false,"warning_level_m":null,"critical_level_m":null,"critical_level_msl":1.33},"geocode":{"area_code":"5","area_name":{"th":"ภาคใต้","en":"South"},"amphoe_code":"01","amphoe_name":{"th":"เมืองปัตตานี","en":"Mueang Pattani District"},"tumbon_code":"03","tumbon_name":{"th":"จะบังติกอ","en":"Chabang Tiko"},"province_code":"94","province_name":{"th":"ปัตตานี","en":"Pattani"}},"diff_wl_bank":"1.07","diff_wl_bank_text":"ต่ำกว่าตลิ่ง (ม.)","river_gid":228179,"river_name":"แม่น้ำปัตตานี"}</x:t>
  </x:si>
  <x:si>
    <x:t xml:space="preserve">THAIWATER_WL:1483111</x:t>
  </x:si>
  <x:si>
    <x:t xml:space="preserve">MOU373</x:t>
  </x:si>
  <x:si>
    <x:t xml:space="preserve">สะพานคลองแม่มอญ</x:t>
  </x:si>
  <x:si>
    <x:t xml:space="preserve">{"id":1316367789,"waterlevel_datetime":"2026-10-01 15:10","waterlevel_m":null,"waterlevel_msl":"353.29","waterlevel_msl_previous":"353.29","flow_rate":null,"discharge":null,"storage_percent":"6.61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Foundation","jp":""},"agency_shortname":{"th":"พพภ","en":"FOP","jp":""}},"basin":{"id":7,"basin_code":7,"basin_name":{"th":"ลุ่มน้ำวัง","en":"Wang Basin"}},"station":{"id":1483111,"tele_station_name":{"en":"Khlong Mae Mon Bridge","th":"สะพานคลองแม่มอญ"},"tele_station_lat":18.810192,"tele_station_long":99.50328,"tele_station_oldcode":"MOU373","tele_station_type":"tele_waterlevel","left_bank":355.996,"right_bank":355.976,"min_bank":355.98,"ground_level":353.1,"offset":null,"sub_basin_id":187,"sponsor_by":"บริษัท ไทยเบฟเวอเรจ จำกัด (มหาชน) ","agency_id":91,"geocode_id":5091,"hydro_id":null,"qmax":null,"is_key_station":false,"warning_level_m":null,"critical_level_m":null,"critical_level_msl":null},"geocode":{"area_code":"3","area_name":{"th":"ภาคเหนือ","en":"North"},"amphoe_code":"13","amphoe_name":{"th":"เมืองปาน","en":"Mueang Pan District"},"tumbon_code":"04","tumbon_name":{"th":"แจ้ซ้อน","en":"Chae Son"},"province_code":"52","province_name":{"th":"ลำปาง","en":"Lampang"}},"diff_wl_bank":"2.69","diff_wl_bank_text":"ต่ำกว่าตลิ่ง (ม.)"}</x:t>
  </x:si>
  <x:si>
    <x:t xml:space="preserve">THAIWATER_WL:3025</x:t>
  </x:si>
  <x:si>
    <x:t xml:space="preserve">P.12C</x:t>
  </x:si>
  <x:si>
    <x:t xml:space="preserve">บ้านย่านรี</x:t>
  </x:si>
  <x:si>
    <x:t xml:space="preserve">{"id":1316341595,"waterlevel_datetime":"2026-10-01 14:00","waterlevel_m":null,"waterlevel_msl":"128.00","waterlevel_msl_previous":"128.00","flow_rate":null,"discharge":"0.00","storage_percent":"6.12","sort_order":null,"station_type":"tele_waterlevel","situation_level":1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3025,"tele_station_name":{"th":"บ้านย่านรี"},"tele_station_lat":17.23818,"tele_station_long":99.02626,"tele_station_oldcode":"P.12C","tele_station_type":"tele_waterlevel","left_bank":265.325,"right_bank":267.119,"min_bank":134.44,"ground_level":127.58,"offset":129,"sub_basin_id":176,"agency_id":12,"geocode_id":5991,"hydro_id":2,"qmax":1660,"is_key_station":false,"warning_level_m":null,"critical_level_m":null,"critical_level_msl":null},"geocode":{"area_code":"3","area_name":{"th":"ภาคเหนือ","en":"North"},"amphoe_code":"03","amphoe_name":{"th":"สามเงา","en":"Sam Ngao District"},"tumbon_code":"04","tumbon_name":{"th":"ย่านรี","en":"Yan Ri"},"province_code":"63","province_name":{"th":"ตาก","en":"Tak"}},"diff_wl_bank":"6.44","diff_wl_bank_text":"ต่ำกว่าตลิ่ง (ม.)","river_gid":86017,"river_name":"แม่น้ำปิง"}</x:t>
  </x:si>
  <x:si>
    <x:t xml:space="preserve">THAIWATER_WL:1116838</x:t>
  </x:si>
  <x:si>
    <x:t xml:space="preserve">FOP064</x:t>
  </x:si>
  <x:si>
    <x:t xml:space="preserve">สะพานข้ามห้วยแม่รวม บ้านแม่รวม</x:t>
  </x:si>
  <x:si>
    <x:t xml:space="preserve">น้ำแม่รวม</x:t>
  </x:si>
  <x:si>
    <x:t xml:space="preserve">{"id":1316367743,"waterlevel_datetime":"2026-10-01 15:10","waterlevel_m":null,"waterlevel_msl":"1183.79","waterlevel_msl_previous":"1183.78","flow_rate":null,"discharge":null,"storage_percent":"5.95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Basin"}},"station":{"id":1116838,"tele_station_name":{"en":"Huai Mae Ruam Bridge","th":"สะพานข้ามห้วยแม่รวม บ้านแม่รวม"},"tele_station_lat":18.919376,"tele_station_long":98.20057,"tele_station_oldcode":"FOP064","tele_station_type":"tele_waterlevel","left_bank":1186.794,"right_bank":1187.344,"min_bank":1186.79,"ground_level":1183.6,"offset":null,"sub_basin_id":171,"sponsor_by":"มูลนิธิอาสาเพื่อนพึ่ง (ภาฯ) ยามยาก สภากาชาดไทย","agency_id":91,"geocode_id":4720,"hydro_id":null,"qmax":null,"is_key_station":false,"warning_level_m":null,"critical_level_m":null,"critical_level_msl":null},"geocode":{"area_code":"3","area_name":{"th":"ภาคเหนือ","en":"North"},"amphoe_code":"03","amphoe_name":{"th":"แม่แจ่ม","en":"Mae Chaem District"},"tumbon_code":"05","tumbon_name":{"th":"แม่นาจร","en":"Mae Na Chon"},"province_code":"50","province_name":{"th":"เชียงใหม่","en":"Chiang Mai"}},"diff_wl_bank":"3.00","diff_wl_bank_text":"ต่ำกว่าตลิ่ง (ม.)","river_gid":32926,"river_name":"น้ำแม่รวม"}</x:t>
  </x:si>
  <x:si>
    <x:t xml:space="preserve">THAIWATER_WL:9930854</x:t>
  </x:si>
  <x:si>
    <x:t xml:space="preserve">HHN002</x:t>
  </x:si>
  <x:si>
    <x:t xml:space="preserve">คลองพระราชดำริ ซอยหัวหิน 10</x:t>
  </x:si>
  <x:si>
    <x:t xml:space="preserve">{"id":1316368053,"waterlevel_datetime":"2026-10-01 15:10","waterlevel_m":null,"waterlevel_msl":"7.28","waterlevel_msl_previous":"7.28","flow_rate":null,"discharge":null,"storage_percent":"5.91","sort_order":null,"station_type":"tele_waterlevel","situation_level":1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Organization)","jp":""},"agency_shortname":{"th":"สสน.","en":"HII","jp":""}},"basin":{"id":20,"basin_code":18,"basin_name":{"th":"ลุ่มน้ำเพชรบุรี-ประจวบคีรีขันธ์","en":"Phetchaburi - Prachuap Khiri Khan Basin"}},"station":{"id":9930854,"tele_station_name":{"en":"Phrarajadamri Canal, Hua Hin Soi 10","th":"คลองพระราชดำริ ซอยหัวหิน 10"},"tele_station_lat":12.6096,"tele_station_long":99.9453,"tele_station_oldcode":"HHN002","tele_station_type":"tele_waterlevel","left_bank":11.244,"right_bank":11.133,"min_bank":11.13,"ground_level":7.038,"offset":null,"sub_basin_id":300,"agency_id":9,"geocode_id":7158,"hydro_id":null,"qmax":null,"is_key_station":false,"warning_level_m":null,"critical_level_m":null,"critical_level_msl":null},"geocode":{"area_code":"2","area_name":{"th":"ภาคกลาง","en":"Central"},"amphoe_code":"07","amphoe_name":{"th":"หัวหิน","en":"Hua Hin District"},"tumbon_code":"01","tumbon_name":{"th":"หัวหิน","en":"Hua Hin"},"province_code":"77","province_name":{"th":"ประจวบคีรีขันธ์","en":"Prachuap Khiri Khan"}},"diff_wl_bank":"3.85","diff_wl_bank_text":"ต่ำกว่าตลิ่ง (ม.)"}</x:t>
  </x:si>
  <x:si>
    <x:t xml:space="preserve">THAIWATER_WL:1481122</x:t>
  </x:si>
  <x:si>
    <x:t xml:space="preserve">MOU342</x:t>
  </x:si>
  <x:si>
    <x:t xml:space="preserve">สะพานน้ำงาว</x:t>
  </x:si>
  <x:si>
    <x:t xml:space="preserve">{"id":1316367780,"waterlevel_datetime":"2026-10-01 15:10","waterlevel_m":null,"waterlevel_msl":"332.32","waterlevel_msl_previous":"332.33","flow_rate":null,"discharge":null,"storage_percent":"5.83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Foundation","jp":""},"agency_shortname":{"th":"พพภ","en":"FOP","jp":""}},"basin":{"id":8,"basin_code":8,"basin_name":{"th":"ลุ่มน้ำยม","en":"Yom Basin"}},"station":{"id":1481122,"tele_station_name":{"en":"Nam Ngao Bridge","th":"สะพานน้ำงาว"},"tele_station_lat":18.889063,"tele_station_long":99.940125,"tele_station_oldcode":"MOU342","tele_station_type":"tele_waterlevel","left_bank":335.881,"right_bank":333.483,"min_bank":333.48,"ground_level":332.248,"offset":null,"sub_basin_id":202,"sponsor_by":"บริษัท ไทยเบฟเวอเรจ จำกัด (มหาชน) ","agency_id":91,"geocode_id":5025,"hydro_id":null,"qmax":null,"is_key_station":false,"warning_level_m":null,"critical_level_m":null,"critical_level_msl":null},"geocode":{"area_code":"3","area_name":{"th":"ภาคเหนือ","en":"North"},"amphoe_code":"05","amphoe_name":{"th":"งาว","en":"Ngao District"},"tumbon_code":"04","tumbon_name":{"th":"บ้านร้อง","en":"Ban Rong"},"province_code":"52","province_name":{"th":"ลำปาง","en":"Lampang"}},"diff_wl_bank":"1.16","diff_wl_bank_text":"ต่ำกว่าตลิ่ง (ม.)"}</x:t>
  </x:si>
  <x:si>
    <x:t xml:space="preserve">THAIWATER_WL:1101565</x:t>
  </x:si>
  <x:si>
    <x:t xml:space="preserve">FOP054</x:t>
  </x:si>
  <x:si>
    <x:t xml:space="preserve">สะพานแม่น้ำลาว</x:t>
  </x:si>
  <x:si>
    <x:t xml:space="preserve">{"id":1316367737,"waterlevel_datetime":"2026-10-01 15:10","waterlevel_m":null,"waterlevel_msl":"663.22","waterlevel_msl_previous":"663.21","flow_rate":null,"discharge":null,"storage_percent":"5.48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Foundation","jp":""},"agency_shortname":{"th":"พพภ","en":"FOP","jp":""}},"basin":{"id":2,"basin_code":2,"basin_name":{"th":"ลุ่มน้ำโขงเหนือ","en":"North Khong Basin"}},"station":{"id":1101565,"tele_station_name":{"en":"Maenam Lao Bridge","th":"สะพานแม่น้ำลาว"},"tele_station_lat":19.108244,"tele_station_long":99.45519,"tele_station_oldcode":"FOP054","tele_station_type":"tele_waterlevel","left_bank":667.288,"right_bank":667.018,"min_bank":667.02,"ground_level":663,"offset":null,"sub_basin_id":28,"sponsor_by":"มูลนิธิอาสาเพื่อนพึ่ง (ภาฯ) ยามยาก สภากาชาดไทย","agency_id":91,"geocode_id":5559,"hydro_id":null,"qmax":null,"is_key_station":false,"warning_level_m":null,"critical_level_m":null,"critical_level_msl":null},"geocode":{"area_code":"3","area_name":{"th":"ภาคเหนือ","en":"North"},"amphoe_code":"11","amphoe_name":{"th":"เวียงป่าเป้า","en":"Wiang Pa Pao District"},"tumbon_code":"07","tumbon_name":{"th":"แม่เจดีย์ใหม่","en":"Mae Chedi Mai"},"province_code":"57","province_name":{"th":"เชียงราย","en":"Chiang Rai"}},"diff_wl_bank":"3.80","diff_wl_bank_text":"ต่ำกว่าตลิ่ง (ม.)","river_gid":25178,"river_name":"น้ำแม่ลาว"}</x:t>
  </x:si>
  <x:si>
    <x:t xml:space="preserve">THAIWATER_WL:1422294</x:t>
  </x:si>
  <x:si>
    <x:t xml:space="preserve">BBD01</x:t>
  </x:si>
  <x:si>
    <x:t xml:space="preserve">แม่น้ำปิงที่ อ.สามเงา (P.12C)</x:t>
  </x:si>
  <x:si>
    <x:t xml:space="preserve">{"id":1316366288,"waterlevel_datetime":"2026-10-01 15:00","waterlevel_m":null,"waterlevel_msl":"127.97","waterlevel_msl_previous":"127.97","flow_rate":null,"discharge":null,"storage_percent":"5.27","sort_order":null,"station_type":"tele_waterlevel","situation_level":1,"agency":{"id":8,"agency_name":{"th":"การไฟฟ้าฝ่ายผลิตแห่งประเทศไทย","en":"Electricity Generating Authority of Thailand","jp":""},"agency_shortname":{"th":"กฟผ.","en":"EGAT","jp":""}},"basin":{"id":6,"basin_code":6,"basin_name":{"th":"ลุ่มน้ำปิง","en":"Ping Basin"}},"station":{"id":1422294,"tele_station_name":{"th":"แม่น้ำปิงที่ อ.สามเงา (P.12C)"},"tele_station_lat":17.238336,"tele_station_long":99.026296,"tele_station_oldcode":"BBD01","tele_station_type":"tele_waterlevel","left_bank":136.812,"right_bank":136.991,"min_bank":136.81,"ground_level":127.476,"offset":null,"sub_basin_id":176,"agency_id":8,"geocode_id":5991,"hydro_id":null,"qmax":null,"is_key_station":false,"warning_level_m":null,"critical_level_m":null,"critical_level_msl":134.44},"geocode":{"area_code":"3","area_name":{"th":"ภาคเหนือ","en":"North"},"amphoe_code":"03","amphoe_name":{"th":"สามเงา","en":"Sam Ngao District"},"tumbon_code":"04","tumbon_name":{"th":"ย่านรี","en":"Yan Ri"},"province_code":"63","province_name":{"th":"ตาก","en":"Tak"}},"diff_wl_bank":"8.84","diff_wl_bank_text":"ต่ำกว่าตลิ่ง (ม.)"}</x:t>
  </x:si>
  <x:si>
    <x:t xml:space="preserve">THAIWATER_WL:685643</x:t>
  </x:si>
  <x:si>
    <x:t xml:space="preserve">MOU038</x:t>
  </x:si>
  <x:si>
    <x:t xml:space="preserve">สะพานห้วยน้ำสาย</x:t>
  </x:si>
  <x:si>
    <x:t xml:space="preserve">น้ำสบสาย</x:t>
  </x:si>
  <x:si>
    <x:t xml:space="preserve">{"id":1316367755,"waterlevel_datetime":"2026-10-01 15:10","waterlevel_m":null,"waterlevel_msl":"263.73","waterlevel_msl_previous":"263.73","flow_rate":null,"discharge":null,"storage_percent":"5.08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Basin"}},"station":{"id":685643,"tele_station_name":{"en":"Nam Sai Birgde","th":"สะพานห้วยน้ำสาย"},"tele_station_lat":19.026337,"tele_station_long":100.73505,"tele_station_oldcode":"MOU038","tele_station_type":"tele_waterlevel","left_bank":266.157,"right_bank":266.701,"min_bank":266.16,"ground_level":263.6,"offset":null,"sub_basin_id":218,"sponsor_by":"บริษัท แอดวานซ์ อินโฟร์ เซอร์วิส จำกัด (มหาชน)","agency_id":91,"geocode_id":5308,"hydro_id":null,"qmax":null,"is_key_station":false,"warning_level_m":null,"critical_level_m":null,"critical_level_msl":null},"geocode":{"area_code":"3","area_name":{"th":"ภาคเหนือ","en":"North"},"amphoe_code":"06","amphoe_name":{"th":"ท่าวังผา","en":"Tha Wang Pha District"},"tumbon_code":"05","tumbon_name":{"th":"ตาลชุม","en":"Tan Chum"},"province_code":"55","province_name":{"th":"น่าน","en":"Nan"}},"diff_wl_bank":"2.43","diff_wl_bank_text":"ต่ำกว่าตลิ่ง (ม.)","river_gid":27534,"river_name":"น้ำสบสาย"}</x:t>
  </x:si>
  <x:si>
    <x:t xml:space="preserve">THAIWATER_WL:2918</x:t>
  </x:si>
  <x:si>
    <x:t xml:space="preserve">E.75</x:t>
  </x:si>
  <x:si>
    <x:t xml:space="preserve">บ้านหนองม่วง</x:t>
  </x:si>
  <x:si>
    <x:t xml:space="preserve">{"id":1316353911,"waterlevel_datetime":"2026-10-01 14:00","waterlevel_m":null,"waterlevel_msl":"137.67","waterlevel_msl_previous":"137.67","flow_rate":null,"discharge":"5.27","storage_percent":"5.01","sort_order":null,"station_type":"tele_waterlevel","situation_level":1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2918,"tele_station_name":{"th":"บ้านหนองม่วง"},"tele_station_lat":16.581209,"tele_station_long":103.437111,"tele_station_oldcode":"E.75","tele_station_type":"tele_waterlevel","left_bank":287.24199999999996,"right_bank":287.312,"min_bank":144.5,"ground_level":137.31,"offset":137,"sub_basin_id":99,"agency_id":12,"geocode_id":4287,"hydro_id":3,"qmax":350,"is_key_station":true,"warning_level_m":null,"critical_level_m":null,"critical_level_msl":null},"geocode":{"area_code":"4","area_name":{"th":"ภาคตะวันออกเฉียงเหนือ","en":"Northeast"},"amphoe_code":"07","amphoe_name":{"th":"ยางตลาด","en":"Yang Talat District"},"tumbon_code":"10","tumbon_name":{"th":"นาเชือก","en":"Na Chueak"},"province_code":"46","province_name":{"th":"กาฬสินธุ์","en":"Kalasin"}},"diff_wl_bank":"6.83","diff_wl_bank_text":"ต่ำกว่าตลิ่ง (ม.)","river_gid":129317,"river_name":"ลำปาว"}</x:t>
  </x:si>
  <x:si>
    <x:t xml:space="preserve">THAIWATER_WL:11648468</x:t>
  </x:si>
  <x:si>
    <x:t xml:space="preserve">UDN001</x:t>
  </x:si>
  <x:si>
    <x:t xml:space="preserve">คลองดาน</x:t>
  </x:si>
  <x:si>
    <x:t xml:space="preserve">{"id":1316368408,"waterlevel_datetime":"2026-10-01 15:10","waterlevel_m":null,"waterlevel_msl":"163.13","waterlevel_msl_previous":"163.13","flow_rate":null,"discharge":null,"storage_percent":"4.41","sort_order":null,"station_type":"tele_waterlevel","situation_level":1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Basin"}},"station":{"id":11648468,"tele_station_name":{"en":"Khlong Da","th":"คลองดาน"},"tele_station_lat":17.38925,"tele_station_long":103.08734,"tele_station_oldcode":"UDN001","tele_station_type":"tele_waterlevel","left_bank":167.187,"right_bank":166.427,"min_bank":166.43,"ground_level":162.98,"offset":null,"sub_basin_id":50,"agency_id":9,"geocode_id":3557,"hydro_id":null,"qmax":null,"is_key_station":false,"warning_level_m":null,"critical_level_m":null,"critical_level_msl":null},"geocode":{"area_code":"4","area_name":{"th":"ภาคตะวันออกเฉียงเหนือ","en":"Northeast"},"amphoe_code":"17","amphoe_name":{"th":"บ้านผือ","en":"Ban Phue District"},"tumbon_code":"01","tumbon_name":{"th":"บ้านผือ","en":"Ban Phue"},"province_code":"41","province_name":{"th":"อุดรธานี","en":"Udon Thani"}},"diff_wl_bank":"3.29","diff_wl_bank_text":"ต่ำกว่าตลิ่ง (ม.)"}</x:t>
  </x:si>
  <x:si>
    <x:t xml:space="preserve">THAIWATER_WL:1481146</x:t>
  </x:si>
  <x:si>
    <x:t xml:space="preserve">MOU355</x:t>
  </x:si>
  <x:si>
    <x:t xml:space="preserve">สะพานน้ำแม่จั๊ว</x:t>
  </x:si>
  <x:si>
    <x:t xml:space="preserve">{"id":1316367784,"waterlevel_datetime":"2026-10-01 15:10","waterlevel_m":null,"waterlevel_msl":"269.64","waterlevel_msl_previous":"269.64","flow_rate":null,"discharge":null,"storage_percent":"4.41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Foundation","jp":""},"agency_shortname":{"th":"พพภ","en":"FOP","jp":""}},"basin":{"id":8,"basin_code":8,"basin_name":{"th":"ลุ่มน้ำยม","en":"Yom Basin"}},"station":{"id":1481146,"tele_station_name":{"en":"Mae Chu Bridge","th":"สะพานน้ำแม่จั๊ว"},"tele_station_lat":19.019968,"tele_station_long":100.264275,"tele_station_oldcode":"MOU355","tele_station_type":"tele_waterlevel","left_bank":274.974,"right_bank":275.902,"min_bank":274.97,"ground_level":269.394,"offset":null,"sub_basin_id":199,"sponsor_by":"บริษัท ไทยเบฟเวอเรจ จำกัด (มหาชน) ","agency_id":91,"geocode_id":5412,"hydro_id":null,"qmax":null,"is_key_station":false,"warning_level_m":null,"critical_level_m":null,"critical_level_msl":null},"geocode":{"area_code":"3","area_name":{"th":"ภาคเหนือ","en":"North"},"amphoe_code":"04","amphoe_name":{"th":"เชียงม่วน","en":"Chiang Muan District"},"tumbon_code":"03","tumbon_name":{"th":"สระ","en":"Sa"},"province_code":"56","province_name":{"th":"พะเยา","en":"Phayao"}},"diff_wl_bank":"5.33","diff_wl_bank_text":"ต่ำกว่าตลิ่ง (ม.)"}</x:t>
  </x:si>
  <x:si>
    <x:t xml:space="preserve">THAIWATER_WL:1109530</x:t>
  </x:si>
  <x:si>
    <x:t xml:space="preserve">ONE041</x:t>
  </x:si>
  <x:si>
    <x:t xml:space="preserve">สะพานข้ามแม่น้ำยมสายเก่า-วัดปากน้ำ</x:t>
  </x:si>
  <x:si>
    <x:t xml:space="preserve">{"id":1316368215,"waterlevel_datetime":"2026-10-01 15:10","waterlevel_m":null,"waterlevel_msl":"52.83","waterlevel_msl_previous":"52.83","flow_rate":null,"discharge":null,"storage_percent":"4.35","sort_order":null,"station_type":"tele_waterlevel","situation_level":1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Basin"}},"station":{"id":1109530,"tele_station_name":{"en":"Yom Sai Kao - Wat Paknam Bridge","th":"สะพานข้ามแม่น้ำยมสายเก่า-วัดปากน้ำ"},"tele_station_lat":17.219545,"tele_station_long":99.8896,"tele_station_oldcode":"ONE041","tele_station_type":"tele_waterlevel","left_bank":55.453,"right_bank":55.316,"min_bank":55.32,"ground_level":52.717,"offset":null,"sub_basin_id":209,"agency_id":9,"geocode_id":6116,"hydro_id":null,"qmax":null,"is_key_station":false,"warning_level_m":null,"critical_level_m":null,"critical_level_msl":null},"geocode":{"area_code":"3","area_name":{"th":"ภาคเหนือ","en":"North"},"amphoe_code":"07","amphoe_name":{"th":"สวรรคโลก","en":"Sawankhalok District"},"tumbon_code":"11","tumbon_name":{"th":"ปากน้ำ","en":"Pak Nam"},"province_code":"64","province_name":{"th":"สุโขทัย","en":"Sukhothai"}},"diff_wl_bank":"2.49","diff_wl_bank_text":"ต่ำกว่าตลิ่ง (ม.)","river_gid":86270,"river_name":"คลองแม่น้ำเก่า"}</x:t>
  </x:si>
  <x:si>
    <x:t xml:space="preserve">THAIWATER_WL:1121228</x:t>
  </x:si>
  <x:si>
    <x:t xml:space="preserve">MOU298</x:t>
  </x:si>
  <x:si>
    <x:t xml:space="preserve">สะพานน้ำแม่ต๋อม</x:t>
  </x:si>
  <x:si>
    <x:t xml:space="preserve">น้ำแม่ต๋อม</x:t>
  </x:si>
  <x:si>
    <x:t xml:space="preserve">{"id":1316367772,"waterlevel_datetime":"2026-10-01 15:10","waterlevel_m":null,"waterlevel_msl":"794.66","waterlevel_msl_previous":"794.66","flow_rate":null,"discharge":null,"storage_percent":"3.78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Basin"}},"station":{"id":1121228,"tele_station_name":{"en":"Mae Tom Bridge","th":"สะพานน้ำแม่ต๋อม"},"tele_station_lat":17.799877,"tele_station_long":98.36419,"tele_station_oldcode":"MOU298","tele_station_type":"tele_waterlevel","left_bank":797.064,"right_bank":796.314,"min_bank":796.31,"ground_level":794.595,"offset":null,"sub_basin_id":175,"sponsor_by":"มูลนิธิอาสาเพื่อนพึ่ง (ภาฯ) ยามยาก สภากาชาดไทย","agency_id":91,"geocode_id":4873,"hydro_id":null,"qmax":null,"is_key_station":false,"warning_level_m":null,"critical_level_m":null,"critical_level_msl":null},"geocode":{"area_code":"3","area_name":{"th":"ภาคเหนือ","en":"North"},"amphoe_code":"18","amphoe_name":{"th":"อมก๋อย","en":"Omkoi District"},"tumbon_code":"01","tumbon_name":{"th":"อมก๋อย","en":"Omkoi"},"province_code":"50","province_name":{"th":"เชียงใหม่","en":"Chiang Mai"}},"diff_wl_bank":"1.65","diff_wl_bank_text":"ต่ำกว่าตลิ่ง (ม.)","river_gid":76014,"river_name":"น้ำแม่ต๋อม"}</x:t>
  </x:si>
  <x:si>
    <x:t xml:space="preserve">THAIWATER_WL:2925</x:t>
  </x:si>
  <x:si>
    <x:t xml:space="preserve">E.89</x:t>
  </x:si>
  <x:si>
    <x:t xml:space="preserve">บ้านหนองริวหนัง</x:t>
  </x:si>
  <x:si>
    <x:t xml:space="preserve">ห้วยลำหนองแสน</x:t>
  </x:si>
  <x:si>
    <x:t xml:space="preserve">{"id":1316135929,"waterlevel_datetime":"2026-10-01 06:00","waterlevel_m":null,"waterlevel_msl":"172.10","waterlevel_msl_previous":"172.08","flow_rate":null,"discharge":"0.36","storage_percent":"3.78","sort_order":null,"station_type":"tele_waterlevel","situation_level":1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2925,"tele_station_name":{"th":"บ้านหนองริวหนัง"},"tele_station_lat":16.665831,"tele_station_long":103.308609,"tele_station_oldcode":"E.89","tele_station_type":"tele_waterlevel","left_bank":347.029006,"right_bank":347.083006,"min_bank":176.1,"ground_level":171.943,"offset":170.600006,"sub_basin_id":99,"agency_id":12,"geocode_id":4334,"hydro_id":3,"qmax":60,"is_key_station":false,"warning_level_m":null,"critical_level_m":null,"critical_level_msl":null},"geocode":{"area_code":"4","area_name":{"th":"ภาคตะวันออกเฉียงเหนือ","en":"Northeast"},"amphoe_code":"12","amphoe_name":{"th":"หนองกุงศรี","en":"Nong Kung Si District"},"tumbon_code":"08","tumbon_name":{"th":"ลำหนองแสน","en":"Lam Nong Saen"},"province_code":"46","province_name":{"th":"กาฬสินธุ์","en":"Kalasin"}},"diff_wl_bank":"4.00","diff_wl_bank_text":"ต่ำกว่าตลิ่ง (ม.)","river_gid":128456,"river_name":"ห้วยลำหนองแสน"}</x:t>
  </x:si>
  <x:si>
    <x:t xml:space="preserve">THAIWATER_WL:2641</x:t>
  </x:si>
  <x:si>
    <x:t xml:space="preserve">X.200</x:t>
  </x:si>
  <x:si>
    <x:t xml:space="preserve">บ้านวังไทร</x:t>
  </x:si>
  <x:si>
    <x:t xml:space="preserve">{"id":1316344764,"waterlevel_datetime":"2026-10-01 14:00","waterlevel_m":null,"waterlevel_msl":"31.46","waterlevel_msl_previous":"31.46","flow_rate":null,"discharge":"0.90","storage_percent":"3.76","sort_order":null,"station_type":"tele_waterlevel","situation_level":1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2641,"tele_station_name":{"th":"บ้านวังไทร"},"tele_station_lat":8.40836,"tele_station_long":99.797852,"tele_station_oldcode":"X.200","tele_station_type":"tele_waterlevel","left_bank":36.974,"right_bank":37.086,"min_bank":35.2,"ground_level":31.314,"offset":null,"sub_basin_id":327,"agency_id":12,"geocode_id":7200,"hydro_id":8,"qmax":245,"is_key_station":true,"warning_level_m":null,"critical_level_m":null,"critical_level_msl":null},"geocode":{"area_code":"5","area_name":{"th":"ภาคใต้","en":"South"},"amphoe_code":"03","amphoe_name":{"th":"ลานสกา","en":"Lan Saka District"},"tumbon_code":"04","tumbon_name":{"th":"กำโลน","en":"Kamlon"},"province_code":"80","province_name":{"th":"นครศรีธรรมราช","en":"Nakhon Si Thammarat"}},"diff_wl_bank":"3.74","diff_wl_bank_text":"ต่ำกว่าตลิ่ง (ม.)","river_gid":220072,"river_name":"คลองท่าดี"}</x:t>
  </x:si>
  <x:si>
    <x:t xml:space="preserve">THAIWATER_WL:740730</x:t>
  </x:si>
  <x:si>
    <x:t xml:space="preserve">FOP029</x:t>
  </x:si>
  <x:si>
    <x:t xml:space="preserve">สะพานบ้านสวนปราง</x:t>
  </x:si>
  <x:si>
    <x:t xml:space="preserve">คลองสระ</x:t>
  </x:si>
  <x:si>
    <x:t xml:space="preserve">2026-09-27T09:50:00+07:00</x:t>
  </x:si>
  <x:si>
    <x:t xml:space="preserve">{"id":1313726158,"waterlevel_datetime":"2026-09-27 09:50","waterlevel_m":null,"waterlevel_msl":"42.27","waterlevel_msl_previous":"42.27","flow_rate":null,"discharge":null,"storage_percent":"3.47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Foundation","jp":""},"agency_shortname":{"th":"พพภ","en":"FOP","jp":""}},"basin":{"id":22,"basin_code":19,"basin_name":{"th":"ลุ่มน้ำภาคใต้ฝั่งตะวันออกตอนบน","en":"Peninsula - Upper East Coast Basin"}},"station":{"id":740730,"tele_station_name":{"en":"Ban Suan Prang Bridge","th":"สะพานบ้านสวนปราง"},"tele_station_lat":9.021284,"tele_station_long":99.633125,"tele_station_oldcode":"FOP029","tele_station_type":"tele_waterlevel","left_bank":49.3358,"right_bank":49.3538,"min_bank":49.34,"ground_level":42.0158,"offset":null,"sub_basin_id":325,"sponsor_by":"มูลนิธิอาสาเพื่อนพึ่ง (ภาฯ) ยามยาก สภากาชาดไทย","agency_id":91,"geocode_id":7532,"hydro_id":null,"qmax":null,"is_key_station":false,"warning_level_m":null,"critical_level_m":null,"critical_level_msl":null},"geocode":{"area_code":"5","area_name":{"th":"ภาคใต้","en":"South"},"amphoe_code":"02","amphoe_name":{"th":"กาญจนดิษฐ์","en":"Kanchanadit District"},"tumbon_code":"13","tumbon_name":{"th":"คลองสระ","en":"Khlong Sa"},"province_code":"84","province_name":{"th":"สุราษฎร์ธานี","en":"Surat Thani"}},"diff_wl_bank":"7.07","diff_wl_bank_text":"ต่ำกว่าตลิ่ง (ม.)","river_gid":216473,"river_name":"คลองสระ"}</x:t>
  </x:si>
  <x:si>
    <x:t xml:space="preserve">THAIWATER_WL:642750</x:t>
  </x:si>
  <x:si>
    <x:t xml:space="preserve">MOU025</x:t>
  </x:si>
  <x:si>
    <x:t xml:space="preserve">สะพานแม่น้ำน่าน บ้านเปียงก่อ</x:t>
  </x:si>
  <x:si>
    <x:t xml:space="preserve">น้ำราง</x:t>
  </x:si>
  <x:si>
    <x:t xml:space="preserve">{"id":1316367751,"waterlevel_datetime":"2026-10-01 15:10","waterlevel_m":null,"waterlevel_msl":"621.05","waterlevel_msl_previous":"621.04","flow_rate":null,"discharge":null,"storage_percent":"2.93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Basin"}},"station":{"id":642750,"tele_station_name":{"en":"Mae Nam Nan (Ban Piang Ko) Bridge","th":"สะพานแม่น้ำน่าน บ้านเปียงก่อ"},"tele_station_lat":19.432049,"tele_station_long":101.15271,"tele_station_oldcode":"MOU025","tele_station_type":"tele_waterlevel","left_bank":629.054,"right_bank":628.894,"min_bank":628.89,"ground_level":620.813,"offset":null,"sub_basin_id":216,"sponsor_by":"บริษัท แอดวานซ์ อินโฟร์ เซอร์วิส จำกัด (มหาชน)","agency_id":91,"geocode_id":5372,"hydro_id":null,"qmax":null,"is_key_station":false,"warning_level_m":null,"critical_level_m":null,"critical_level_msl":null},"geocode":{"area_code":"3","area_name":{"th":"ภาคเหนือ","en":"North"},"amphoe_code":"15","amphoe_name":{"th":"เฉลิมพระเกียรติ","en":"Chaloem Phra Kiat District"},"tumbon_code":"02","tumbon_name":{"th":"ขุนน่าน","en":"Khun Nan"},"province_code":"55","province_name":{"th":"น่าน","en":"Nan"}},"diff_wl_bank":"7.84","diff_wl_bank_text":"ต่ำกว่าตลิ่ง (ม.)","river_gid":14438,"river_name":"น้ำราง"}</x:t>
  </x:si>
  <x:si>
    <x:t xml:space="preserve">THAIWATER_WL:1475122</x:t>
  </x:si>
  <x:si>
    <x:t xml:space="preserve">MOU303</x:t>
  </x:si>
  <x:si>
    <x:t xml:space="preserve">สะพานแม่น้ำปิง</x:t>
  </x:si>
  <x:si>
    <x:t xml:space="preserve">{"id":1316367775,"waterlevel_datetime":"2026-10-01 15:10","waterlevel_m":null,"waterlevel_msl":"428.59","waterlevel_msl_previous":"428.59","flow_rate":null,"discharge":null,"storage_percent":"2.46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Basin"}},"station":{"id":1475122,"tele_station_name":{"en":"Ping River Bridge","th":"สะพานแม่น้ำปิง"},"tele_station_lat":19.507914,"tele_station_long":98.95879,"tele_station_oldcode":"MOU303","tele_station_type":"tele_waterlevel","left_bank":432.041,"right_bank":433.186,"min_bank":432.04,"ground_level":428.503,"offset":null,"sub_basin_id":156,"sponsor_by":"บริษัท ไทยเบฟเวอเรจ จำกัด (มหาชน) ","agency_id":91,"geocode_id":4733,"hydro_id":null,"qmax":null,"is_key_station":false,"warning_level_m":null,"critical_level_m":null,"critical_level_msl":null},"geocode":{"area_code":"3","area_name":{"th":"ภาคเหนือ","en":"North"},"amphoe_code":"04","amphoe_name":{"th":"เชียงดาว","en":"Chiang Dao District"},"tumbon_code":"07","tumbon_name":{"th":"ทุ่งข้าวพวง","en":"Thung Khao Phuang"},"province_code":"50","province_name":{"th":"เชียงใหม่","en":"Chiang Mai"}},"diff_wl_bank":"3.45","diff_wl_bank_text":"ต่ำกว่าตลิ่ง (ม.)"}</x:t>
  </x:si>
  <x:si>
    <x:t xml:space="preserve">THAIWATER_WL:2781</x:t>
  </x:si>
  <x:si>
    <x:t xml:space="preserve">Ct.9</x:t>
  </x:si>
  <x:si>
    <x:t xml:space="preserve">บ้านบุ่งอ้ายเจี้ยม</x:t>
  </x:si>
  <x:si>
    <x:t xml:space="preserve">ห้วยทับเสลา</x:t>
  </x:si>
  <x:si>
    <x:t xml:space="preserve">{"id":1316341292,"waterlevel_datetime":"2026-10-01 14:00","waterlevel_m":null,"waterlevel_msl":"122.71","waterlevel_msl_previous":"122.71","flow_rate":null,"discharge":"0.00","storage_percent":"2.43","sort_order":null,"station_type":"tele_waterlevel","situation_level":1,"agency":{"id":12,"agency_name":{"th":"กรมชลประทาน ","en":"Royal Irrigation Department","jp":""},"agency_shortname":{"th":"ชป.","en":"RID","jp":""}},"basin":{"id":12,"basin_code":11,"basin_name":{"th":"ลุ่มน้ำสะแกกรัง","en":"Sakae Krang Basin"}},"station":{"id":2781,"tele_station_name":{"th":"บ้านบุ่งอ้ายเจี้ยม"},"tele_station_lat":15.51829,"tele_station_long":99.483528,"tele_station_oldcode":"Ct.9","tele_station_type":"tele_waterlevel","left_bank":129.973,"right_bank":130.024,"min_bank":127.92,"ground_level":122.58,"offset":null,"sub_basin_id":244,"agency_id":12,"geocode_id":5866,"hydro_id":5,"qmax":280,"is_key_station":true,"warning_level_m":null,"critical_level_m":null,"critical_level_msl":null},"geocode":{"area_code":"3","area_name":{"th":"ภาคเหนือ","en":"North"},"amphoe_code":"07","amphoe_name":{"th":"ลานสัก","en":"Lan Sak District"},"tumbon_code":"04","tumbon_name":{"th":"ระบำ","en":"Rabam"},"province_code":"61","province_name":{"th":"อุทัยธานี","en":"Uthai Thani"}},"diff_wl_bank":"5.21","diff_wl_bank_text":"ต่ำกว่าตลิ่ง (ม.)","river_gid":171623,"river_name":"ห้วยทับเสลา"}</x:t>
  </x:si>
  <x:si>
    <x:t xml:space="preserve">THAIWATER_WL:1481108</x:t>
  </x:si>
  <x:si>
    <x:t xml:space="preserve">MOU335</x:t>
  </x:si>
  <x:si>
    <x:t xml:space="preserve">สะพานน้ำแม่คะ </x:t>
  </x:si>
  <x:si>
    <x:t xml:space="preserve">{"id":1316367779,"waterlevel_datetime":"2026-10-01 15:10","waterlevel_m":null,"waterlevel_msl":"424.54","waterlevel_msl_previous":"424.54","flow_rate":null,"discharge":null,"storage_percent":"2.38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Foundation","jp":""},"agency_shortname":{"th":"พพภ","en":"FOP","jp":""}},"basin":{"id":8,"basin_code":8,"basin_name":{"th":"ลุ่มน้ำยม","en":"Yom Basin"}},"station":{"id":1481108,"tele_station_name":{"en":"Mae Ka Bridge","th":"สะพานน้ำแม่คะ "},"tele_station_lat":19.337248,"tele_station_long":100.43124,"tele_station_oldcode":"MOU335","tele_station_type":"tele_waterlevel","left_bank":432.211,"right_bank":430.288,"min_bank":430.29,"ground_level":424.4,"offset":null,"sub_basin_id":197,"sponsor_by":"บริษัท ไทยเบฟเวอเรจ จำกัด (มหาชน) ","agency_id":91,"geocode_id":5431,"hydro_id":null,"qmax":null,"is_key_station":false,"warning_level_m":null,"critical_level_m":null,"critical_level_msl":null},"geocode":{"area_code":"3","area_name":{"th":"ภาคเหนือ","en":"North"},"amphoe_code":"06","amphoe_name":{"th":"ปง","en":"Pong District"},"tumbon_code":"05","tumbon_name":{"th":"ผาช้างน้อย","en":"Pha Chang Noi"},"province_code":"56","province_name":{"th":"พะเยา","en":"Phayao"}},"diff_wl_bank":"5.75","diff_wl_bank_text":"ต่ำกว่าตลิ่ง (ม.)"}</x:t>
  </x:si>
  <x:si>
    <x:t xml:space="preserve">THAIWATER_WL:740737</x:t>
  </x:si>
  <x:si>
    <x:t xml:space="preserve">FOP036</x:t>
  </x:si>
  <x:si>
    <x:t xml:space="preserve">สะพานห้วยน้ำใส</x:t>
  </x:si>
  <x:si>
    <x:t xml:space="preserve">คลองไม้เสียบ</x:t>
  </x:si>
  <x:si>
    <x:t xml:space="preserve">{"id":1316367730,"waterlevel_datetime":"2026-10-01 15:10","waterlevel_m":null,"waterlevel_msl":"23.72","waterlevel_msl_previous":"23.72","flow_rate":null,"discharge":null,"storage_percent":"2.22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Foundation","jp":""},"agency_shortname":{"th":"พพภ","en":"FOP","jp":""}},"basin":{"id":22,"basin_code":19,"basin_name":{"th":"ลุ่มน้ำภาคใต้ฝั่งตะวันออกตอนบน","en":"Peninsula - Upper East Coast Basin"}},"station":{"id":740737,"tele_station_name":{"en":"Huai Nam Sai Bridge","th":"สะพานห้วยน้ำใส"},"tele_station_lat":7.889575,"tele_station_long":99.87421,"tele_station_oldcode":"FOP036","tele_station_type":"tele_waterlevel","left_bank":35.3413,"right_bank":35.2913,"min_bank":35.29,"ground_level":23.4573,"offset":null,"sub_basin_id":327,"sponsor_by":"มูลนิธิอาสาเพื่อนพึ่ง (ภาฯ) ยามยาก สภากาชาดไทย","agency_id":91,"geocode_id":7238,"hydro_id":null,"qmax":null,"is_key_station":false,"warning_level_m":null,"critical_level_m":null,"critical_level_msl":null},"geocode":{"area_code":"5","area_name":{"th":"ภาคใต้","en":"South"},"amphoe_code":"07","amphoe_name":{"th":"ชะอวด","en":"Cha-uat District"},"tumbon_code":"08","tumbon_name":{"th":"เกาะขันธ์","en":"Ko Khan"},"province_code":"80","province_name":{"th":"นครศรีธรรมราช","en":"Nakhon Si Thammarat"}},"diff_wl_bank":"11.57","diff_wl_bank_text":"ต่ำกว่าตลิ่ง (ม.)","river_gid":223209,"river_name":"คลองไม้เสียบ"}</x:t>
  </x:si>
  <x:si>
    <x:t xml:space="preserve">THAIWATER_WL:740738</x:t>
  </x:si>
  <x:si>
    <x:t xml:space="preserve">FOP037</x:t>
  </x:si>
  <x:si>
    <x:t xml:space="preserve">สะพานข้ามคลองห้วยกรวด</x:t>
  </x:si>
  <x:si>
    <x:t xml:space="preserve">คลองห้วยกรวด</x:t>
  </x:si>
  <x:si>
    <x:t xml:space="preserve">{"id":1316367731,"waterlevel_datetime":"2026-10-01 15:10","waterlevel_m":null,"waterlevel_msl":"13.30","waterlevel_msl_previous":"13.29","flow_rate":null,"discharge":null,"storage_percent":"1.98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Foundation","jp":""},"agency_shortname":{"th":"พพภ","en":"FOP","jp":""}},"basin":{"id":24,"basin_code":20,"basin_name":{"th":"ลุ่มน้ำทะเลสาบสงขลา","en":"Thale Sap Songkhla Basin"}},"station":{"id":740738,"tele_station_name":{"en":"Kham Khlong Huai Kruat Bridge","th":"สะพานข้ามคลองห้วยกรวด"},"tele_station_lat":7.8768,"tele_station_long":99.93328,"tele_station_oldcode":"FOP037","tele_station_type":"tele_waterlevel","left_bank":20.5944,"right_bank":20.5244,"min_bank":20.52,"ground_level":13.1544,"offset":null,"sub_basin_id":328,"sponsor_by":"มูลนิธิอาสาเพื่อนพึ่ง (ภาฯ) ยามยาก สภากาชาดไทย","agency_id":91,"geocode_id":7238,"hydro_id":null,"qmax":null,"is_key_station":false,"warning_level_m":null,"critical_level_m":null,"critical_level_msl":null},"geocode":{"area_code":"5","area_name":{"th":"ภาคใต้","en":"South"},"amphoe_code":"07","amphoe_name":{"th":"ชะอวด","en":"Cha-uat District"},"tumbon_code":"08","tumbon_name":{"th":"เกาะขันธ์","en":"Ko Khan"},"province_code":"80","province_name":{"th":"นครศรีธรรมราช","en":"Nakhon Si Thammarat"}},"diff_wl_bank":"7.22","diff_wl_bank_text":"ต่ำกว่าตลิ่ง (ม.)","river_gid":223277,"river_name":"คลองห้วยกรวด"}</x:t>
  </x:si>
  <x:si>
    <x:t xml:space="preserve">THAIWATER_WL:2666</x:t>
  </x:si>
  <x:si>
    <x:t xml:space="preserve">B.8A</x:t>
  </x:si>
  <x:si>
    <x:t xml:space="preserve">บ้านโพรงเข้</x:t>
  </x:si>
  <x:si>
    <x:t xml:space="preserve">ห้วยผาก</x:t>
  </x:si>
  <x:si>
    <x:t xml:space="preserve">{"id":1316004517,"waterlevel_datetime":"2026-10-01 23:00","waterlevel_m":null,"waterlevel_msl":"39.42","waterlevel_msl_previous":"39.43","flow_rate":null,"discharge":null,"storage_percent":"1.42","sort_order":null,"station_type":"tele_waterlevel","situation_level":1,"agency":{"id":12,"agency_name":{"th":"กรมชลประทาน ","en":"Royal Irrigation Department","jp":""},"agency_shortname":{"th":"ชป.","en":"RID","jp":""}},"basin":{"id":20,"basin_code":18,"basin_name":{"th":"ลุ่มน้ำเพชรบุรี-ประจวบคีรีขันธ์","en":"Phetchaburi - Prachuap Khiri Khan Basin"}},"station":{"id":2666,"tele_station_name":{"th":"บ้านโพรงเข้"},"tele_station_lat":12.81504,"tele_station_long":99.700867,"tele_station_oldcode":"B.8A","tele_station_type":"tele_waterlevel","left_bank":84.200998,"right_bank":84.205998,"min_bank":45.1,"ground_level":39.338,"offset":39.099998,"sub_basin_id":300,"agency_id":12,"geocode_id":7072,"hydro_id":7,"qmax":null,"is_key_station":true,"warning_level_m":null,"critical_level_m":null,"critical_level_msl":null},"geocode":{"area_code":"2","area_name":{"th":"ภาคกลาง","en":"Central"},"amphoe_code":"05","amphoe_name":{"th":"ท่ายาง","en":"Tha Yang District"},"tumbon_code":"11","tumbon_name":{"th":"กลัดหลวง","en":"Klat Luang"},"province_code":"76","province_name":{"th":"เพชรบุรี","en":"Phetchaburi"}},"diff_wl_bank":"5.68","diff_wl_bank_text":"ต่ำกว่าตลิ่ง (ม.)","river_gid":210190,"river_name":"ห้วยผาก"}</x:t>
  </x:si>
  <x:si>
    <x:t xml:space="preserve">THAIWATER_WL:595071</x:t>
  </x:si>
  <x:si>
    <x:t xml:space="preserve">MOU009</x:t>
  </x:si>
  <x:si>
    <x:t xml:space="preserve">สะพานน้ำแม่สา</x:t>
  </x:si>
  <x:si>
    <x:t xml:space="preserve">น้ำแม่สา</x:t>
  </x:si>
  <x:si>
    <x:t xml:space="preserve">{"id":1316367748,"waterlevel_datetime":"2026-10-01 15:10","waterlevel_m":null,"waterlevel_msl":"735.24","waterlevel_msl_previous":"735.25","flow_rate":null,"discharge":null,"storage_percent":"0.93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Basin"}},"station":{"id":595071,"tele_station_name":{"en":"Mae Sa Bridge Bridge","th":"สะพานน้ำแม่สา"},"tele_station_lat":18.885838,"tele_station_long":98.826904,"tele_station_oldcode":"MOU009","tele_station_type":"tele_waterlevel","left_bank":738.452,"right_bank":740.507,"min_bank":738.45,"ground_level":735.21,"offset":null,"sub_basin_id":162,"sponsor_by":"บริษัท แอดวานซ์ อินโฟร์ เซอร์วิส จำกัด (มหาชน)","agency_id":91,"geocode_id":4771,"hydro_id":null,"qmax":null,"is_key_station":false,"warning_level_m":null,"critical_level_m":null,"critical_level_msl":null},"geocode":{"area_code":"3","area_name":{"th":"ภาคเหนือ","en":"North"},"amphoe_code":"07","amphoe_name":{"th":"แม่ริม","en":"Mae Rim District"},"tumbon_code":"08","tumbon_name":{"th":"โป่งแยง","en":"Pong Yaeng"},"province_code":"50","province_name":{"th":"เชียงใหม่","en":"Chiang Mai"}},"diff_wl_bank":"3.21","diff_wl_bank_text":"ต่ำกว่าตลิ่ง (ม.)","river_gid":34706,"river_name":"น้ำแม่สา"}</x:t>
  </x:si>
  <x:si>
    <x:t xml:space="preserve">THAIWATER_WL:740731</x:t>
  </x:si>
  <x:si>
    <x:t xml:space="preserve">FOP030</x:t>
  </x:si>
  <x:si>
    <x:t xml:space="preserve">สะพานข้ามคลองหวาด</x:t>
  </x:si>
  <x:si>
    <x:t xml:space="preserve">คลองหวาด</x:t>
  </x:si>
  <x:si>
    <x:t xml:space="preserve">{"id":1316367729,"waterlevel_datetime":"2026-10-01 15:10","waterlevel_m":null,"waterlevel_msl":"66.60","waterlevel_msl_previous":"66.59","flow_rate":null,"discharge":null,"storage_percent":"0.78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Foundation","jp":""},"agency_shortname":{"th":"พพภ","en":"FOP","jp":""}},"basin":{"id":22,"basin_code":19,"basin_name":{"th":"ลุ่มน้ำภาคใต้ฝั่งตะวันออกตอนบน","en":"Peninsula - Upper East Coast Basin"}},"station":{"id":740731,"tele_station_name":{"en":"Kham Khlong Wat Bridge","th":"สะพานข้ามคลองหวาด"},"tele_station_lat":8.935923,"tele_station_long":99.60879,"tele_station_oldcode":"FOP030","tele_station_type":"tele_waterlevel","left_bank":73.44,"right_bank":72.94,"min_bank":72.94,"ground_level":66.55,"offset":null,"sub_basin_id":325,"sponsor_by":"มูลนิธิอาสาเพื่อนพึ่ง (ภาฯ) ยามยาก สภากาชาดไทย","agency_id":91,"geocode_id":7532,"hydro_id":null,"qmax":null,"is_key_station":false,"warning_level_m":null,"critical_level_m":null,"critical_level_msl":null},"geocode":{"area_code":"5","area_name":{"th":"ภาคใต้","en":"South"},"amphoe_code":"02","amphoe_name":{"th":"กาญจนดิษฐ์","en":"Kanchanadit District"},"tumbon_code":"13","tumbon_name":{"th":"คลองสระ","en":"Khlong Sa"},"province_code":"84","province_name":{"th":"สุราษฎร์ธานี","en":"Surat Thani"}},"diff_wl_bank":"6.34","diff_wl_bank_text":"ต่ำกว่าตลิ่ง (ม.)","river_gid":216912,"river_name":"คลองหวาด"}</x:t>
  </x:si>
  <x:si>
    <x:t xml:space="preserve">THAIWATER_WL:516218</x:t>
  </x:si>
  <x:si>
    <x:t xml:space="preserve">FOP013</x:t>
  </x:si>
  <x:si>
    <x:t xml:space="preserve">บ้านตอง</x:t>
  </x:si>
  <x:si>
    <x:t xml:space="preserve">{"id":1316367720,"waterlevel_datetime":"2026-10-01 15:10","waterlevel_m":null,"waterlevel_msl":"356.74","waterlevel_msl_previous":"356.72","flow_rate":null,"discharge":null,"storage_percent":"0.71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Basin"}},"station":{"id":516218,"tele_station_name":{"en":"Ban Tong","th":"บ้านตอง"},"tele_station_lat":18.846567,"tele_station_long":101.028946,"tele_station_oldcode":"FOP013","tele_station_type":"tele_waterlevel","left_bank":360.682,"right_bank":362.172,"min_bank":360.68,"ground_level":356.712,"offset":null,"sub_basin_id":219,"sponsor_by":"มูลนิธิอาสาเพื่อนพึ่ง (ภาฯ) ยามยาก สภากาชาดไทย","agency_id":91,"geocode_id":5276,"hydro_id":null,"qmax":null,"is_key_station":false,"warning_level_m":null,"critical_level_m":null,"critical_level_msl":null},"geocode":{"area_code":"3","area_name":{"th":"ภาคเหนือ","en":"North"},"amphoe_code":"02","amphoe_name":{"th":"แม่จริม","en":"Mae Charim District"},"tumbon_code":"06","tumbon_name":{"th":"แม่จริม","en":"Mae Charim"},"province_code":"55","province_name":{"th":"น่าน","en":"Nan"}},"diff_wl_bank":"3.94","diff_wl_bank_text":"ต่ำกว่าตลิ่ง (ม.)","river_gid":36067,"river_name":"น้ำมวบ"}</x:t>
  </x:si>
  <x:si>
    <x:t xml:space="preserve">THAIWATER_WL:1101566</x:t>
  </x:si>
  <x:si>
    <x:t xml:space="preserve">FOP055</x:t>
  </x:si>
  <x:si>
    <x:t xml:space="preserve">คลองกั้ง</x:t>
  </x:si>
  <x:si>
    <x:t xml:space="preserve">ห้วยกั้ง</x:t>
  </x:si>
  <x:si>
    <x:t xml:space="preserve">{"id":1316367738,"waterlevel_datetime":"2026-10-01 15:10","waterlevel_m":null,"waterlevel_msl":"69.29","waterlevel_msl_previous":"69.30","flow_rate":null,"discharge":null,"storage_percent":"0.66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Basin"}},"station":{"id":1101566,"tele_station_name":{"en":"Khlong Kang","th":"คลองกั้ง"},"tele_station_lat":17.71633,"tele_station_long":100.124115,"tele_station_oldcode":"FOP055","tele_station_type":"tele_waterlevel","left_bank":75.746,"right_bank":73.219,"min_bank":73.22,"ground_level":69.264,"offset":null,"sub_basin_id":230,"sponsor_by":"มูลนิธิอาสาเพื่อนพึ่ง (ภาฯ) ยามยาก สภากาชาดไทย","agency_id":91,"geocode_id":5104,"hydro_id":null,"qmax":null,"is_key_station":false,"warning_level_m":null,"critical_level_m":null,"critical_level_msl":null},"geocode":{"area_code":"3","area_name":{"th":"ภาคเหนือ","en":"North"},"amphoe_code":"01","amphoe_name":{"th":"เมืองอุตรดิตถ์","en":"Mueang Uttaradit District"},"tumbon_code":"10","tumbon_name":{"th":"บ้านด่านนาขาม","en":"Ban Dan Na Kham"},"province_code":"53","province_name":{"th":"อุตรดิตถ์","en":"Uttaradit"}},"diff_wl_bank":"3.93","diff_wl_bank_text":"ต่ำกว่าตลิ่ง (ม.)","river_gid":78080,"river_name":"ห้วยกั้ง"}</x:t>
  </x:si>
  <x:si>
    <x:t xml:space="preserve">THAIWATER_WL:1120554</x:t>
  </x:si>
  <x:si>
    <x:t xml:space="preserve">MOU454</x:t>
  </x:si>
  <x:si>
    <x:t xml:space="preserve">คลองเบตง (ชุมชนกุนุงจนอง)</x:t>
  </x:si>
  <x:si>
    <x:t xml:space="preserve">คลองตาโล๊ะ</x:t>
  </x:si>
  <x:si>
    <x:t xml:space="preserve">{"id":1316367798,"waterlevel_datetime":"2026-10-01 15:10","waterlevel_m":null,"waterlevel_msl":"281.66","waterlevel_msl_previous":"281.67","flow_rate":null,"discharge":null,"storage_percent":"0.27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Foundation","jp":""},"agency_shortname":{"th":"พพภ","en":"FOP","jp":""}},"basin":{"id":26,"basin_code":21,"basin_name":{"th":"ลุ่มน้ำภาคใต้ฝั่งตะวันออกตอนล่าง","en":"Peninsula - Lower East Coast Basin"}},"station":{"id":1120554,"tele_station_name":{"en":"Betong Canal (Gu Nung Ja Nong community)","th":"คลองเบตง (ชุมชนกุนุงจนอง)"},"tele_station_lat":5.785312,"tele_station_long":101.058685,"tele_station_oldcode":"MOU454","tele_station_type":"tele_waterlevel","left_bank":286.432,"right_bank":286.599,"min_bank":286.43,"ground_level":281.647,"offset":null,"sub_basin_id":335,"sponsor_by":"มูลนิธิป่อเต็กตึ๊ง","agency_id":91,"geocode_id":8280,"hydro_id":null,"qmax":null,"is_key_station":false,"warning_level_m":null,"critical_level_m":null,"critical_level_msl":null},"geocode":{"area_code":"5","area_name":{"th":"ภาคใต้","en":"South"},"amphoe_code":"02","amphoe_name":{"th":"เบตง","en":"Betong District"},"tumbon_code":"01","tumbon_name":{"th":"เบตง","en":"Betong"},"province_code":"95","province_name":{"th":"ยะลา","en":"Yala"}},"diff_wl_bank":"4.77","diff_wl_bank_text":"ต่ำกว่าตลิ่ง (ม.)","river_gid":232640,"river_name":"คลองตาโล๊ะ"}</x:t>
  </x:si>
  <x:si>
    <x:t xml:space="preserve">THAIWATER_WL:740746</x:t>
  </x:si>
  <x:si>
    <x:t xml:space="preserve">FOP045</x:t>
  </x:si>
  <x:si>
    <x:t xml:space="preserve">สะพานข้ามแม่น้ำปัตตานี</x:t>
  </x:si>
  <x:si>
    <x:t xml:space="preserve">{"id":1316367735,"waterlevel_datetime":"2026-10-01 15:10","waterlevel_m":null,"waterlevel_msl":"5.79","waterlevel_msl_previous":"5.80","flow_rate":null,"discharge":null,"storage_percent":"-0.83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Foundation","jp":""},"agency_shortname":{"th":"พพภ","en":"FOP","jp":""}},"basin":{"id":26,"basin_code":21,"basin_name":{"th":"ลุ่มน้ำภาคใต้ฝั่งตะวันออกตอนล่าง","en":"Peninsula - Lower East Coast Basin"}},"station":{"id":740746,"tele_station_name":{"en":"Kham Maenam Pattani Bridge","th":"สะพานข้ามแม่น้ำปัตตานี"},"tele_station_lat":6.411704,"tele_station_long":101.27776,"tele_station_oldcode":"FOP045","tele_station_type":"tele_waterlevel","left_bank":25.128,"right_bank":25.138,"min_bank":25.13,"ground_level":5.95,"offset":null,"sub_basin_id":336,"sponsor_by":"มูลนิธิอาสาเพื่อนพึ่ง (ภาฯ) ยามยาก สภากาชาดไทย","agency_id":91,"geocode_id":8326,"hydro_id":null,"qmax":null,"is_key_station":false,"warning_level_m":null,"critical_level_m":null,"critical_level_msl":null},"geocode":{"area_code":"5","area_name":{"th":"ภาคใต้","en":"South"},"amphoe_code":"08","amphoe_name":{"th":"กรงปินัง","en":"Krong Pinang District"},"tumbon_code":"01","tumbon_name":{"th":"กรงปินัง","en":"Krong Pinang"},"province_code":"95","province_name":{"th":"ยะลา","en":"Yala"}},"diff_wl_bank":"19.34","diff_wl_bank_text":"ต่ำกว่าตลิ่ง (ม.)","river_gid":230507,"river_name":"แม่น้ำปัตตานี"}</x:t>
  </x:si>
  <x:si>
    <x:t xml:space="preserve">THAIWATER_WL:685653</x:t>
  </x:si>
  <x:si>
    <x:t xml:space="preserve">MOU048</x:t>
  </x:si>
  <x:si>
    <x:t xml:space="preserve">สะพานห้วยแม่ถาบ้านปาหุ่ง</x:t>
  </x:si>
  <x:si>
    <x:t xml:space="preserve">ห้วยแม่ถา</x:t>
  </x:si>
  <x:si>
    <x:t xml:space="preserve">{"id":1316367757,"waterlevel_datetime":"2026-10-01 15:10","waterlevel_m":null,"waterlevel_msl":"289.98","waterlevel_msl_previous":"290.01","flow_rate":null,"discharge":null,"storage_percent":"-1.24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Basin"}},"station":{"id":685653,"tele_station_name":{"en":"Ban Pa Hung Birdge","th":"สะพานห้วยแม่ถาบ้านปาหุ่ง"},"tele_station_lat":18.584373,"tele_station_long":100.50956,"tele_station_oldcode":"MOU048","tele_station_type":"tele_waterlevel","left_bank":295.872,"right_bank":295.685,"min_bank":295.69,"ground_level":290.05,"offset":null,"sub_basin_id":223,"sponsor_by":"บริษัท แอดวานซ์ อินโฟร์ เซอร์วิส จำกัด (มหาชน)","agency_id":91,"geocode_id":5323,"hydro_id":null,"qmax":null,"is_key_station":false,"warning_level_m":null,"critical_level_m":null,"critical_level_msl":null},"geocode":{"area_code":"3","area_name":{"th":"ภาคเหนือ","en":"North"},"amphoe_code":"07","amphoe_name":{"th":"เวียงสา","en":"Wiang Sa District"},"tumbon_code":"09","tumbon_name":{"th":"ยาบหัวนา","en":"Yap Hua Na"},"province_code":"55","province_name":{"th":"น่าน","en":"Nan"}},"diff_wl_bank":"5.70","diff_wl_bank_text":"ต่ำกว่าตลิ่ง (ม.)","river_gid":47845,"river_name":"ห้วยแม่ถา"}</x:t>
  </x:si>
  <x:si>
    <x:t xml:space="preserve">THAIWATER_WL:685658</x:t>
  </x:si>
  <x:si>
    <x:t xml:space="preserve">MOU053</x:t>
  </x:si>
  <x:si>
    <x:t xml:space="preserve">สะพานน้ำมวบ บ้านน้ำมวบ</x:t>
  </x:si>
  <x:si>
    <x:t xml:space="preserve">{"id":1316367758,"waterlevel_datetime":"2026-10-01 15:10","waterlevel_m":null,"waterlevel_msl":"291.03","waterlevel_msl_previous":"291.03","flow_rate":null,"discharge":null,"storage_percent":"-4.17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Basin"}},"station":{"id":685658,"tele_station_name":{"en":"Nam Muab (Ban Nam Muab) Birdge","th":"สะพานน้ำมวบ บ้านน้ำมวบ"},"tele_station_lat":18.484377,"tele_station_long":100.93808,"tele_station_oldcode":"MOU053","tele_station_type":"tele_waterlevel","left_bank":295.272,"right_bank":295.279,"min_bank":295.27,"ground_level":291.2,"offset":null,"sub_basin_id":228,"sponsor_by":"บริษัท แอดวานซ์ อินโฟร์ เซอร์วิส จำกัด (มหาชน)","agency_id":91,"geocode_id":5321,"hydro_id":null,"qmax":null,"is_key_station":false,"warning_level_m":null,"critical_level_m":null,"critical_level_msl":null},"geocode":{"area_code":"3","area_name":{"th":"ภาคเหนือ","en":"North"},"amphoe_code":"07","amphoe_name":{"th":"เวียงสา","en":"Wiang Sa District"},"tumbon_code":"07","tumbon_name":{"th":"น้ำมวบ","en":"Nam Muap"},"province_code":"55","province_name":{"th":"น่าน","en":"Nan"}},"diff_wl_bank":"4.24","diff_wl_bank_text":"ต่ำกว่าตลิ่ง (ม.)","river_gid":52523,"river_name":"น้ำมวบ"}</x:t>
  </x:si>
  <x:si>
    <x:t xml:space="preserve">THAIWATER_WL:162</x:t>
  </x:si>
  <x:si>
    <x:t xml:space="preserve">PRC001</x:t>
  </x:si>
  <x:si>
    <x:t xml:space="preserve">กบินทร์บุรี</x:t>
  </x:si>
  <x:si>
    <x:t xml:space="preserve">{"id":1314108589,"waterlevel_datetime":"2026-09-28 00:10","waterlevel_m":null,"waterlevel_msl":"-2.55","waterlevel_msl_previous":"-2.55","flow_rate":null,"discharge":null,"storage_percent":"-5.72","sort_order":null,"station_type":"tele_waterlevel","situation_level":1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Basin"}},"station":{"id":162,"tele_station_name":{"en":"Prachinburi 1","th":"กบินทร์บุรี"},"tele_station_lat":13.986616,"tele_station_long":101.70547,"tele_station_oldcode":"PRC001","tele_station_type":"tele_waterlevel","left_bank":11.431,"right_bank":11.539,"min_bank":11.43,"ground_level":-1.794,"offset":null,"sub_basin_id":281,"agency_id":9,"geocode_id":1499,"hydro_id":null,"qmax":null,"is_key_station":false,"warning_level_m":null,"critical_level_m":null,"critical_level_msl":null},"geocode":{"area_code":"2","area_name":{"th":"ภาคกลาง","en":"Central"},"amphoe_code":"02","amphoe_name":{"th":"กบินทร์บุรี","en":"Kabin Buri District"},"tumbon_code":"01","tumbon_name":{"th":"กบินทร์","en":"Kabin"},"province_code":"25","province_name":{"th":"ปราจีนบุรี","en":"Prachin Buri"}},"diff_wl_bank":"13.98","diff_wl_bank_text":"ต่ำกว่าตลิ่ง (ม.)","river_gid":195042,"river_name":"แม่น้ำบางปะกง"}</x:t>
  </x:si>
  <x:si>
    <x:t xml:space="preserve">THAIWATER_WL:3049</x:t>
  </x:si>
  <x:si>
    <x:t xml:space="preserve">Y.26</x:t>
  </x:si>
  <x:si>
    <x:t xml:space="preserve">ห้วยแม่มอก</x:t>
  </x:si>
  <x:si>
    <x:t xml:space="preserve">{"id":1316341609,"waterlevel_datetime":"2026-10-01 14:00","waterlevel_m":null,"waterlevel_msl":"101.48","waterlevel_msl_previous":"101.48","flow_rate":null,"discharge":"6.97","storage_percent":"-6.22","sort_order":null,"station_type":"tele_waterlevel","situation_level":1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3049,"tele_station_name":{"th":"ห้วยแม่มอก"},"tele_station_lat":17.33189,"tele_station_long":99.461807,"tele_station_oldcode":"Y.26","tele_station_type":"tele_waterlevel","left_bank":207.079997,"right_bank":206.932997,"min_bank":106.26,"ground_level":101.76,"offset":100.379997,"sub_basin_id":210,"agency_id":12,"geocode_id":5054,"hydro_id":2,"qmax":290,"is_key_station":false,"warning_level_m":null,"critical_level_m":null,"critical_level_msl":null},"geocode":{"area_code":"3","area_name":{"th":"ภาคเหนือ","en":"North"},"amphoe_code":"08","amphoe_name":{"th":"เถิน","en":"Thoeng District"},"tumbon_code":"05","tumbon_name":{"th":"เวียงมอก","en":"Wiang Mok"},"province_code":"52","province_name":{"th":"ลำปาง","en":"Lampang"}},"diff_wl_bank":"4.78","diff_wl_bank_text":"ต่ำกว่าตลิ่ง (ม.)","river_gid":84652,"river_name":"ห้วยแม่มอก"}</x:t>
  </x:si>
  <x:si>
    <x:t xml:space="preserve">THAIWATER_WL:1109493</x:t>
  </x:si>
  <x:si>
    <x:t xml:space="preserve">ONE004</x:t>
  </x:si>
  <x:si>
    <x:t xml:space="preserve">สะพานข้ามคลองตะโก</x:t>
  </x:si>
  <x:si>
    <x:t xml:space="preserve">{"id":1316368183,"waterlevel_datetime":"2026-10-01 15:10","waterlevel_m":null,"waterlevel_msl":"66.93","waterlevel_msl_previous":"66.92","flow_rate":null,"discharge":null,"storage_percent":"-8.18","sort_order":null,"station_type":"tele_waterlevel","situation_level":1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Basin"}},"station":{"id":1109493,"tele_station_name":{"en":"Khlong Tako Bridge","th":"สะพานข้ามคลองตะโก"},"tele_station_lat":10.077709,"tele_station_long":98.98693,"tele_station_oldcode":"ONE004","tele_station_type":"tele_waterlevel","left_bank":69.998,"right_bank":70.529,"min_bank":70,"ground_level":67.162,"offset":null,"sub_basin_id":311,"agency_id":9,"geocode_id":7770,"hydro_id":null,"qmax":null,"is_key_station":false,"warning_level_m":null,"critical_level_m":null,"critical_level_msl":null},"geocode":{"area_code":"5","area_name":{"th":"ภาคใต้","en":"South"},"amphoe_code":"08","amphoe_name":{"th":"ทุ่งตะโก","en":"Thung Tako District"},"tumbon_code":"03","tumbon_name":{"th":"ตะโก","en":"Tako"},"province_code":"86","province_name":{"th":"ชุมพร","en":"Chumphon"}},"diff_wl_bank":"3.07","diff_wl_bank_text":"ต่ำกว่าตลิ่ง (ม.)","river_gid":213886,"river_name":"คลองตะโก"}</x:t>
  </x:si>
  <x:si>
    <x:t xml:space="preserve">THAIWATER_WL:700591</x:t>
  </x:si>
  <x:si>
    <x:t xml:space="preserve">MKVKD08</x:t>
  </x:si>
  <x:si>
    <x:t xml:space="preserve">สะพานมิตรภาพชุมพล</x:t>
  </x:si>
  <x:si>
    <x:t xml:space="preserve">{"id":1316366864,"waterlevel_datetime":"2026-10-01 15:00","waterlevel_m":null,"waterlevel_msl":"95.99","waterlevel_msl_previous":"96.02","flow_rate":null,"discharge":"28.71","storage_percent":"-24.50","sort_order":null,"station_type":"tele_waterlevel","situation_level":1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700591,"tele_station_name":{"th":"สะพานมิตรภาพชุมพล"},"tele_station_lat":13.56012,"tele_station_long":99.36201,"tele_station_oldcode":"MKVKD08","tele_station_type":"tele_waterlevel","left_bank":100.37,"right_bank":104.7,"min_bank":100.37,"ground_level":96.85,"offset":null,"sub_basin_id":274,"agency_id":8,"geocode_id":6499,"hydro_id":null,"qmax":null,"is_key_station":false,"warning_level_m":null,"critical_level_m":null,"critical_level_msl":99.32},"geocode":{"area_code":"2","area_name":{"th":"ภาคกลาง","en":"Central"},"amphoe_code":"03","amphoe_name":{"th":"สวนผึ้ง","en":"Suan Phueng District"},"tumbon_code":"01","tumbon_name":{"th":"สวนผึ้ง","en":"Suan Phueng"},"province_code":"70","province_name":{"th":"ราชบุรี","en":"Ratchaburi"}},"diff_wl_bank":"4.38","diff_wl_bank_text":"ต่ำกว่าตลิ่ง (ม.)","river_gid":189875,"river_name":"แม่น้ำภาชี"}</x:t>
  </x:si>
  <x:si>
    <x:t xml:space="preserve">THAIWATER_WL:516213</x:t>
  </x:si>
  <x:si>
    <x:t xml:space="preserve">FOP008</x:t>
  </x:si>
  <x:si>
    <x:t xml:space="preserve">ลำน้ำกูน</x:t>
  </x:si>
  <x:si>
    <x:t xml:space="preserve">น้ำคูณ</x:t>
  </x:si>
  <x:si>
    <x:t xml:space="preserve">{"id":1316367718,"waterlevel_datetime":"2026-10-01 15:10","waterlevel_m":null,"waterlevel_msl":"296.15","waterlevel_msl_previous":"296.15","flow_rate":null,"discharge":null,"storage_percent":"-41.54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Basin"}},"station":{"id":516213,"tele_station_name":{"en":"Lamnam Kun","th":"ลำน้ำกูน"},"tele_station_lat":19.148926,"tele_station_long":100.94644,"tele_station_oldcode":"FOP008","tele_station_type":"tele_waterlevel","left_bank":299.443,"right_bank":298.736,"min_bank":298.74,"ground_level":296.909,"offset":null,"sub_basin_id":216,"sponsor_by":"มูลนิธิอาสาเพื่อนพึ่ง (ภาฯ) ยามยาก สภากาชาดไทย","agency_id":91,"geocode_id":5294,"hydro_id":null,"qmax":null,"is_key_station":false,"warning_level_m":null,"critical_level_m":null,"critical_level_msl":null},"geocode":{"area_code":"3","area_name":{"th":"ภาคเหนือ","en":"North"},"amphoe_code":"05","amphoe_name":{"th":"ปัว","en":"Pua District"},"tumbon_code":"04","tumbon_name":{"th":"ศิลาแลง","en":"Sila Laeng"},"province_code":"55","province_name":{"th":"น่าน","en":"Nan"}},"diff_wl_bank":"2.59","diff_wl_bank_text":"ต่ำกว่าตลิ่ง (ม.)","river_gid":23483,"river_name":"น้ำคูณ"}</x:t>
  </x:si>
  <x:si>
    <x:t xml:space="preserve">THAIWATER_WL:1094448</x:t>
  </x:si>
  <x:si>
    <x:t xml:space="preserve">TADE01</x:t>
  </x:si>
  <x:si>
    <x:t xml:space="preserve">โรงเรียนวัดโคกโพธิ์สถิตย์</x:t>
  </x:si>
  <x:si>
    <x:t xml:space="preserve">{"id":1316368338,"waterlevel_datetime":"2026-10-01 15:10","waterlevel_m":null,"waterlevel_msl":"23.19","waterlevel_msl_previous":"23.18","flow_rate":null,"discharge":null,"storage_percent":null,"sort_order":null,"station_type":"tele_waterlevel"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Basin"}},"station":{"id":1094448,"tele_station_name":{"en":"Wat Khok Pho Sathit School","th":"โรงเรียนวัดโคกโพธิ์สถิตย์"},"tele_station_lat":8.40118,"tele_station_long":99.802,"tele_station_oldcode":"TADE01","tele_station_type":"tele_waterlevel","left_bank":28.737,"right_bank":28.657,"min_bank":28.66,"offset":null,"sub_basin_id":327,"agency_id":9,"geocode_id":7200,"hydro_id":null,"qmax":null,"is_key_station":false,"warning_level_m":null,"critical_level_m":null,"critical_level_msl":null},"geocode":{"area_code":"5","area_name":{"th":"ภาคใต้","en":"South"},"amphoe_code":"03","amphoe_name":{"th":"ลานสกา","en":"Lan Saka District"},"tumbon_code":"04","tumbon_name":{"th":"กำโลน","en":"Kamlon"},"province_code":"80","province_name":{"th":"นครศรีธรรมราช","en":"Nakhon Si Thammarat"}},"diff_wl_bank":"5.47","diff_wl_bank_text":"ต่ำกว่าตลิ่ง (ม.)","river_gid":220159,"river_name":"คลองท่าดี"}</x:t>
  </x:si>
  <x:si>
    <x:t xml:space="preserve">THAIWATER_WL:558661</x:t>
  </x:si>
  <x:si>
    <x:t xml:space="preserve">NPNPD02</x:t>
  </x:si>
  <x:si>
    <x:t xml:space="preserve">วัดศิริมังคละเต่างอย </x:t>
  </x:si>
  <x:si>
    <x:t xml:space="preserve">{"id":1316350240,"waterlevel_datetime":"2026-10-01 14:00","waterlevel_m":null,"waterlevel_msl":"171.90","waterlevel_msl_previous":"171.90","flow_rate":null,"discharge":null,"storage_percent":null,"sort_order":null,"station_type":"tele_waterlevel","agency":{"id":8,"agency_name":{"th":"การไฟฟ้าฝ่ายผลิตแห่งประเทศไทย","en":"Electricity Generating Authority of Thailand","jp":""},"agency_shortname":{"th":"กฟผ.","en":"EGAT","jp":""}},"basin":{"id":3,"basin_code":3,"basin_name":{"th":"ลุ่มน้ำโขงตะวันออกเฉียงเหนือ","en":"Northeast Khong Basin"}},"station":{"id":558661,"tele_station_name":{"th":"วัดศิริมังคละเต่างอย "},"tele_station_lat":16.994,"tele_station_long":104.172,"tele_station_oldcode":"NPNPD02","tele_station_type":"tele_waterlevel","left_bank":0,"right_bank":0,"min_bank":0,"ground_level":0,"offset":null,"sub_basin_id":69,"agency_id":8,"geocode_id":4491,"hydro_id":null,"qmax":null,"is_key_station":false,"warning_level_m":null,"critical_level_m":null,"critical_level_msl":174.5},"geocode":{"area_code":"4","area_name":{"th":"ภาคตะวันออกเฉียงเหนือ","en":"Northeast"},"amphoe_code":"14","amphoe_name":{"th":"เต่างอย","en":"Tao Ngoi District"},"tumbon_code":"01","tumbon_name":{"th":"เต่างอย","en":"Tao Ngoi"},"province_code":"47","province_name":{"th":"สกลนคร","en":"Sakon Nakhon"}},"diff_wl_bank":"171.90","diff_wl_bank_text":"ล้นตลิ่ง (ม.)","river_gid":124501,"river_name":"ลำน้ำพุง"}</x:t>
  </x:si>
  <x:si>
    <x:t xml:space="preserve">THAIWATER_WL:2689</x:t>
  </x:si>
  <x:si>
    <x:t xml:space="preserve">Ny.3</x:t>
  </x:si>
  <x:si>
    <x:t xml:space="preserve">บ้านป่าขะ</x:t>
  </x:si>
  <x:si>
    <x:t xml:space="preserve">คลองห้วยถ่าน</x:t>
  </x:si>
  <x:si>
    <x:t xml:space="preserve">{"id":1316343018,"waterlevel_datetime":"2026-10-01 14:00","waterlevel_m":null,"waterlevel_msl":"9.39","waterlevel_msl_previous":"9.39","flow_rate":null,"discharge":"16.40","storage_percent":null,"sort_order":null,"station_type":"tele_waterlevel","agency":{"id":12,"agency_name":{"th":"กรมชลประทาน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2689,"tele_station_name":{"th":"บ้านป่าขะ"},"tele_station_lat":14.28644,"tele_station_long":101.070473,"tele_station_oldcode":"Ny.3","tele_station_type":"tele_waterlevel","left_bank":11.36,"right_bank":11.36,"min_bank":11.36,"offset":5.1,"sub_basin_id":282,"agency_id":12,"geocode_id":1587,"hydro_id":6,"qmax":71.800003,"is_key_station":true,"warning_level_m":null,"critical_level_m":null,"critical_level_msl":null},"geocode":{"area_code":"2","area_name":{"th":"ภาคกลาง","en":"Central"},"amphoe_code":"03","amphoe_name":{"th":"บ้านนา","en":"Ban Na District"},"tumbon_code":"08","tumbon_name":{"th":"ป่าขะ","en":"Pa Kha"},"province_code":"26","province_name":{"th":"นครนายก","en":"Nakhon Nayok"}},"diff_wl_bank":"1.97","diff_wl_bank_text":"ต่ำกว่าตลิ่ง (ม.)","river_gid":193539,"river_name":"คลองห้วยถ่าน"}</x:t>
  </x:si>
  <x:si>
    <x:t xml:space="preserve">THAIWATER_WL:1093312</x:t>
  </x:si>
  <x:si>
    <x:t xml:space="preserve">Pr.1</x:t>
  </x:si>
  <x:si>
    <x:t xml:space="preserve">บ้านเขาน้อย</x:t>
  </x:si>
  <x:si>
    <x:t xml:space="preserve">{"id":1316004522,"waterlevel_datetime":"2026-10-01 23:00","waterlevel_m":null,"waterlevel_msl":"2.10","waterlevel_msl_previous":"2.37","flow_rate":null,"discharge":null,"storage_percent":null,"sort_order":null,"station_type":"tele_waterlevel","agency":{"id":12,"agency_name":{"th":"กรมชลประทาน ","en":"Royal Irrigation Department","jp":""},"agency_shortname":{"th":"ชป.","en":"RID","jp":""}},"basin":{"id":20,"basin_code":18,"basin_name":{"th":"ลุ่มน้ำเพชรบุรี-ประจวบคีรีขันธ์","en":"Phetchaburi - Prachuap Khiri Khan Basin"}},"station":{"id":1093312,"tele_station_name":{"th":"บ้านเขาน้อย"},"tele_station_lat":12.38995,"tele_station_long":99.911247,"tele_station_oldcode":"Pr.1","tele_station_type":"tele_waterlevel","left_bank":8.833,"right_bank":8.765,"min_bank":8,"offset":-2,"sub_basin_id":303,"agency_id":12,"geocode_id":7152,"hydro_id":7,"qmax":null,"is_key_station":true,"warning_level_m":null,"critical_level_m":null,"critical_level_msl":null},"geocode":{"area_code":"2","area_name":{"th":"ภาคกลาง","en":"Central"},"amphoe_code":"06","amphoe_name":{"th":"ปราณบุรี","en":"Pran Buri District"},"tumbon_code":"02","tumbon_name":{"th":"เขาน้อย","en":"Khao Noi"},"province_code":"77","province_name":{"th":"ประจวบคีรีขันธ์","en":"Prachuap Khiri Khan"}},"diff_wl_bank":"5.90","diff_wl_bank_text":"ต่ำกว่าตลิ่ง (ม.)","river_gid":210951,"river_name":"แม่น้ำปราณบุรี"}</x:t>
  </x:si>
  <x:si>
    <x:t xml:space="preserve">THAIWATER_WL:558658</x:t>
  </x:si>
  <x:si>
    <x:t xml:space="preserve">NPNPU01</x:t>
  </x:si>
  <x:si>
    <x:t xml:space="preserve">เขื่อนน้ำพุง บ้านคำเพิ่ม </x:t>
  </x:si>
  <x:si>
    <x:t xml:space="preserve">ห้วยน้ำพุง</x:t>
  </x:si>
  <x:si>
    <x:t xml:space="preserve">{"id":1316335777,"waterlevel_datetime":"2026-10-01 14:00","waterlevel_m":null,"waterlevel_msl":"279.35","waterlevel_msl_previous":"279.35","flow_rate":null,"discharge":null,"storage_percent":null,"sort_order":null,"station_type":"tele_waterlevel","agency":{"id":8,"agency_name":{"th":"การไฟฟ้าฝ่ายผลิตแห่งประเทศไทย","en":"Electricity Generating Authority of Thailand","jp":""},"agency_shortname":{"th":"กฟผ.","en":"EGAT","jp":""}},"basin":{"id":3,"basin_code":3,"basin_name":{"th":"ลุ่มน้ำโขงตะวันออกเฉียงเหนือ","en":"Northeast Khong Basin"}},"station":{"id":558658,"tele_station_name":{"th":"เขื่อนน้ำพุง บ้านคำเพิ่ม "},"tele_station_lat":16.97249,"tele_station_long":103.983376,"tele_station_oldcode":"NPNPU01","tele_station_type":"tele_waterlevel","left_bank":0,"right_bank":0,"min_bank":0,"ground_level":0,"offset":null,"sub_basin_id":69,"agency_id":8,"geocode_id":4514,"hydro_id":null,"qmax":null,"is_key_station":false,"warning_level_m":null,"critical_level_m":null,"critical_level_msl":0},"geocode":{"area_code":"4","area_name":{"th":"ภาคตะวันออกเฉียงเหนือ","en":"Northeast"},"amphoe_code":"18","amphoe_name":{"th":"ภูพาน","en":"Phu Phan District"},"tumbon_code":"02","tumbon_name":{"th":"หลุบเลา","en":"Luplao"},"province_code":"47","province_name":{"th":"สกลนคร","en":"Sakon Nakhon"}},"diff_wl_bank":"279.35","diff_wl_bank_text":"ล้นตลิ่ง (ม.)","river_gid":123869,"river_name":"ห้วยน้ำพุง"}</x:t>
  </x:si>
  <x:si>
    <x:t xml:space="preserve">THAIWATER_WL:3296</x:t>
  </x:si>
  <x:si>
    <x:t xml:space="preserve">I.17</x:t>
  </x:si>
  <x:si>
    <x:t xml:space="preserve">บ้านเจดีย์งาม</x:t>
  </x:si>
  <x:si>
    <x:t xml:space="preserve">ร่องค้าน</x:t>
  </x:si>
  <x:si>
    <x:t xml:space="preserve">2026-09-30T06:00:00+07:00</x:t>
  </x:si>
  <x:si>
    <x:t xml:space="preserve">{"id":1315507343,"waterlevel_datetime":"2026-09-30 06:00","waterlevel_m":null,"waterlevel_msl":"388.00","waterlevel_msl_previous":"387.92","flow_rate":null,"discharge":"16.50","storage_percent":null,"sort_order":null,"station_type":"tele_waterlevel","agency":{"id":12,"agency_name":{"th":"กรมชลประทาน ","en":"Royal Irrigation Department","jp":""},"agency_shortname":{"th":"ชป.","en":"RID","jp":""}},"basin":{"id":2,"basin_code":2,"basin_name":{"th":"ลุ่มน้ำโขงเหนือ","en":"North Khong Basin"}},"station":{"id":3296,"tele_station_name":{"th":"บ้านเจดีย์งาม"},"tele_station_lat":19.16588,"tele_station_long":99.934341,"tele_station_oldcode":"I.17","tele_station_type":"tele_waterlevel","left_bank":776.8399890000001,"right_bank":776.8449889999999,"min_bank":389.77,"offset":386.269989,"sub_basin_id":34,"agency_id":12,"geocode_id":5414,"hydro_id":1,"qmax":174.899994,"is_key_station":true,"warning_level_m":null,"critical_level_m":null,"critical_level_msl":null},"geocode":{"area_code":"3","area_name":{"th":"ภาคเหนือ","en":"North"},"amphoe_code":"05","amphoe_name":{"th":"ดอกคำใต้","en":"Dok Khamtai District"},"tumbon_code":"01","tumbon_name":{"th":"ดอกคำใต้","en":"Dok Khamtai"},"province_code":"56","province_name":{"th":"พะเยา","en":"Phayao"}},"diff_wl_bank":"1.77","diff_wl_bank_text":"ต่ำกว่าตลิ่ง (ม.)","river_gid":23555,"river_name":"ร่องค้าน"}</x:t>
  </x:si>
  <x:si>
    <x:t xml:space="preserve">THAIWATER_WL:3294</x:t>
  </x:si>
  <x:si>
    <x:t xml:space="preserve">Sw.5A</x:t>
  </x:si>
  <x:si>
    <x:t xml:space="preserve">บ้านท่าโป่งแดง</x:t>
  </x:si>
  <x:si>
    <x:t xml:space="preserve">{"id":1316134403,"waterlevel_datetime":"2026-10-01 06:00","waterlevel_m":null,"waterlevel_msl":"176.84","waterlevel_msl_previous":"177.15","flow_rate":null,"discharge":"100.40","storage_percent":null,"sort_order":null,"station_type":"tele_waterlevel","agency":{"id":12,"agency_name":{"th":"กรมชลประทาน ","en":"Royal Irrigation Department","jp":""},"agency_shortname":{"th":"ชป.","en":"RID","jp":""}},"basin":{"id":1,"basin_code":1,"basin_name":{"th":"ลุ่มน้ำสาละวิน","en":"Salawin Basin"}},"station":{"id":3294,"tele_station_name":{"th":"บ้านท่าโป่งแดง"},"tele_station_lat":19.27033,"tele_station_long":97.945213,"tele_station_oldcode":"Sw.5A","tele_station_type":"tele_waterlevel","left_bank":359.634995,"right_bank":357.244995,"min_bank":179.76,"offset":175.759995,"sub_basin_id":5,"agency_id":12,"geocode_id":5599,"hydro_id":1,"qmax":606.799988,"is_key_station":true,"warning_level_m":null,"critical_level_m":32.73,"critical_level_msl":208.49},"geocode":{"area_code":"3","area_name":{"th":"ภาคเหนือ","en":"North"},"amphoe_code":"01","amphoe_name":{"th":"เมืองแม่ฮ่องสอน","en":"Mueang Mae Hong Son District"},"tumbon_code":"03","tumbon_name":{"th":"ผาบ่อง","en":"Pha Bong"},"province_code":"58","province_name":{"th":"แม่ฮ่องสอน","en":"Mae Hong Son"}},"diff_wl_bank":"2.92","diff_wl_bank_text":"ต่ำกว่าตลิ่ง (ม.)","river_gid":20063,"river_name":"แม่น้ำปาย"}</x:t>
  </x:si>
  <x:si>
    <x:t xml:space="preserve">THAIWATER_WL:562808</x:t>
  </x:si>
  <x:si>
    <x:t xml:space="preserve">BLGTU05</x:t>
  </x:si>
  <x:si>
    <x:t xml:space="preserve">เขื่อนบางลาง อ.บันนังสตา จ.ยะลา</x:t>
  </x:si>
  <x:si>
    <x:t xml:space="preserve">{"id":1316366266,"waterlevel_datetime":"2026-10-01 15:00","waterlevel_m":null,"waterlevel_msl":"99.60","waterlevel_msl_previous":"99.62","flow_rate":null,"discharge":null,"storage_percent":null,"sort_order":null,"station_type":"tele_waterlevel","agency":{"id":8,"agency_name":{"th":"การไฟฟ้าฝ่ายผลิตแห่งประเทศไทย","en":"Electricity Generating Authority of Thailand","jp":""},"agency_shortname":{"th":"กฟผ.","en":"EGAT","jp":""}},"basin":{"id":26,"basin_code":21,"basin_name":{"th":"ลุ่มน้ำภาคใต้ฝั่งตะวันออกตอนล่าง","en":"Peninsula - Lower East Coast Basin"}},"station":{"id":562808,"tele_station_name":{"th":"เขื่อนบางลาง อ.บันนังสตา จ.ยะลา"},"tele_station_lat":6.153667,"tele_station_long":101.273116,"tele_station_oldcode":"BLGTU05","tele_station_type":"tele_waterlevel","left_bank":0,"right_bank":0,"min_bank":0,"ground_level":0,"offset":null,"sub_basin_id":335,"agency_id":8,"geocode_id":8291,"hydro_id":null,"qmax":null,"is_key_station":false,"warning_level_m":null,"critical_level_m":null,"critical_level_msl":0},"geocode":{"area_code":"5","area_name":{"th":"ภาคใต้","en":"South"},"amphoe_code":"03","amphoe_name":{"th":"บันนังสตา","en":"Bannang Sata District"},"tumbon_code":"06","tumbon_name":{"th":"เขื่อนบางลาง","en":"Khuean Bang Lang"},"province_code":"95","province_name":{"th":"ยะลา","en":"Yala"}},"diff_wl_bank":"99.60","diff_wl_bank_text":"ล้นตลิ่ง (ม.)","river_gid":231453,"river_name":"แม่น้ำปัตตานี"}</x:t>
  </x:si>
  <x:si>
    <x:t xml:space="preserve">THAIWATER_WL:2659</x:t>
  </x:si>
  <x:si>
    <x:t xml:space="preserve">Gt.9</x:t>
  </x:si>
  <x:si>
    <x:t xml:space="preserve">คลองทับสะแก</x:t>
  </x:si>
  <x:si>
    <x:t xml:space="preserve">{"id":1316004507,"waterlevel_datetime":"2026-10-01 23:00","waterlevel_m":null,"waterlevel_msl":"7.33","waterlevel_msl_previous":"7.33","flow_rate":null,"discharge":"1.19","storage_percent":null,"sort_order":null,"station_type":"tele_waterlevel","agency":{"id":12,"agency_name":{"th":"กรมชลประทาน ","en":"Royal Irrigation Department","jp":""},"agency_shortname":{"th":"ชป.","en":"RID","jp":""}},"basin":{"id":20,"basin_code":18,"basin_name":{"th":"ลุ่มน้ำเพชรบุรี-ประจวบคีรีขันธ์","en":"Phetchaburi - Prachuap Khiri Khan Basin"}},"station":{"id":2659,"tele_station_name":{"th":"บ้านกลาง"},"tele_station_lat":11.49674,"tele_station_long":99.602303,"tele_station_oldcode":"Gt.9","tele_station_type":"tele_waterlevel","left_bank":18.162,"right_bank":17.867,"min_bank":10.9,"offset":6.9,"sub_basin_id":306,"agency_id":12,"geocode_id":7132,"hydro_id":7,"qmax":100,"is_key_station":true,"warning_level_m":null,"critical_level_m":4,"critical_level_msl":10.9},"geocode":{"area_code":"2","area_name":{"th":"ภาคกลาง","en":"Central"},"amphoe_code":"03","amphoe_name":{"th":"ทับสะแก","en":"Thap Sakae District"},"tumbon_code":"03","tumbon_name":{"th":"นาหูกวาง","en":"Na Hu Kwang"},"province_code":"77","province_name":{"th":"ประจวบคีรีขันธ์","en":"Prachuap Khiri Khan"}},"diff_wl_bank":"3.57","diff_wl_bank_text":"ต่ำกว่าตลิ่ง (ม.)","river_gid":211894,"river_name":"คลองทับสะแก"}</x:t>
  </x:si>
  <x:si>
    <x:t xml:space="preserve">THAIWATER_WL:562804</x:t>
  </x:si>
  <x:si>
    <x:t xml:space="preserve">BLGTU06</x:t>
  </x:si>
  <x:si>
    <x:t xml:space="preserve">ฝายละแอ อ.บันนังสตา จ.ยะลา</x:t>
  </x:si>
  <x:si>
    <x:t xml:space="preserve">คลองละแอ</x:t>
  </x:si>
  <x:si>
    <x:t xml:space="preserve">{"id":1316366263,"waterlevel_datetime":"2026-10-01 15:00","waterlevel_m":null,"waterlevel_msl":"331.70","waterlevel_msl_previous":"331.70","flow_rate":null,"discharge":null,"storage_percent":null,"sort_order":null,"station_type":"tele_waterlevel","agency":{"id":8,"agency_name":{"th":"การไฟฟ้าฝ่ายผลิตแห่งประเทศไทย","en":"Electricity Generating Authority of Thailand","jp":""},"agency_shortname":{"th":"กฟผ.","en":"EGAT","jp":""}},"basin":{"id":26,"basin_code":21,"basin_name":{"th":"ลุ่มน้ำภาคใต้ฝั่งตะวันออกตอนล่าง","en":"Peninsula - Lower East Coast Basin"}},"station":{"id":562804,"tele_station_name":{"th":"ฝายละแอ อ.บันนังสตา จ.ยะลา"},"tele_station_lat":6.143055,"tele_station_long":101.309167,"tele_station_oldcode":"BLGTU06","tele_station_type":"tele_waterlevel","left_bank":0,"right_bank":0,"min_bank":0,"ground_level":0,"offset":null,"sub_basin_id":335,"agency_id":8,"geocode_id":8291,"hydro_id":null,"qmax":null,"is_key_station":false,"warning_level_m":null,"critical_level_m":null,"critical_level_msl":0},"geocode":{"area_code":"5","area_name":{"th":"ภาคใต้","en":"South"},"amphoe_code":"03","amphoe_name":{"th":"บันนังสตา","en":"Bannang Sata District"},"tumbon_code":"06","tumbon_name":{"th":"เขื่อนบางลาง","en":"Khuean Bang Lang"},"province_code":"95","province_name":{"th":"ยะลา","en":"Yala"}},"diff_wl_bank":"331.70","diff_wl_bank_text":"ล้นตลิ่ง (ม.)","river_gid":231505,"river_name":"คลองละแอ"}</x:t>
  </x:si>
  <x:si>
    <x:t xml:space="preserve">THAIWATER_WL:2658</x:t>
  </x:si>
  <x:si>
    <x:t xml:space="preserve">Gt.10</x:t>
  </x:si>
  <x:si>
    <x:t xml:space="preserve">บ้านหนองหญ้าปล้อง</x:t>
  </x:si>
  <x:si>
    <x:t xml:space="preserve">คลองหนองหญ้าปล้อง</x:t>
  </x:si>
  <x:si>
    <x:t xml:space="preserve">{"id":1316004508,"waterlevel_datetime":"2026-10-01 23:00","waterlevel_m":null,"waterlevel_msl":"24.08","waterlevel_msl_previous":"23.97","flow_rate":null,"discharge":"14.40","storage_percent":null,"sort_order":null,"station_type":"tele_waterlevel","agency":{"id":12,"agency_name":{"th":"กรมชลประทาน ","en":"Royal Irrigation Department","jp":""},"agency_shortname":{"th":"ชป.","en":"RID","jp":""}},"basin":{"id":20,"basin_code":18,"basin_name":{"th":"ลุ่มน้ำเพชรบุรี-ประจวบคีรีขันธ์","en":"Phetchaburi - Prachuap Khiri Khan Basin"}},"station":{"id":2658,"tele_station_name":{"th":"บ้านหนองหญ้าปล้อง"},"tele_station_lat":11.40416,"tele_station_long":99.519218,"tele_station_oldcode":"Gt.10","tele_station_type":"tele_waterlevel","left_bank":51.348,"right_bank":50.754999999999995,"min_bank":28.9,"offset":22.4,"sub_basin_id":306,"agency_id":12,"geocode_id":7141,"hydro_id":7,"qmax":280,"is_key_station":true,"warning_level_m":null,"critical_level_m":null,"critical_level_msl":null},"geocode":{"area_code":"2","area_name":{"th":"ภาคกลาง","en":"Central"},"amphoe_code":"04","amphoe_name":{"th":"บางสะพาน","en":"Bang Saphan District"},"tumbon_code":"05","tumbon_name":{"th":"ชัยเกษม","en":"Chai Kasem"},"province_code":"77","province_name":{"th":"ประจวบคีรีขันธ์","en":"Prachuap Khiri Khan"}},"diff_wl_bank":"4.82","diff_wl_bank_text":"ต่ำกว่าตลิ่ง (ม.)","river_gid":211939,"river_name":"คลองหนองหญ้าปล้อง"}</x:t>
  </x:si>
  <x:si>
    <x:t xml:space="preserve">THAIWATER_WL:832084</x:t>
  </x:si>
  <x:si>
    <x:t xml:space="preserve">Ky.3</x:t>
  </x:si>
  <x:si>
    <x:t xml:space="preserve">แม่น้ำกุยบุรี</x:t>
  </x:si>
  <x:si>
    <x:t xml:space="preserve">{"id":1316004521,"waterlevel_datetime":"2026-10-01 23:00","waterlevel_m":null,"waterlevel_msl":"20.85","waterlevel_msl_previous":"20.86","flow_rate":null,"discharge":"12.25","storage_percent":null,"sort_order":null,"station_type":"tele_waterlevel","agency":{"id":12,"agency_name":{"th":"กรมชลประทาน ","en":"Royal Irrigation Department","jp":""},"agency_shortname":{"th":"ชป.","en":"RID","jp":""}},"basin":{"id":20,"basin_code":18,"basin_name":{"th":"ลุ่มน้ำเพชรบุรี-ประจวบคีรีขันธ์","en":"Phetchaburi - Prachuap Khiri Khan Basin"}},"station":{"id":832084,"tele_station_name":{"th":"บ้านทุ่งแฝก"},"tele_station_lat":12.09765,"tele_station_long":99.78846,"tele_station_oldcode":"Ky.3","tele_station_type":"tele_waterlevel","left_bank":45.257999,"right_bank":44.745999,"min_bank":24.2,"offset":19.799999,"sub_basin_id":305,"agency_id":12,"geocode_id":7128,"hydro_id":7,"qmax":340,"is_key_station":true,"warning_level_m":null,"critical_level_m":null,"critical_level_msl":null},"geocode":{"area_code":"2","area_name":{"th":"ภาคกลาง","en":"Central"},"amphoe_code":"02","amphoe_name":{"th":"กุยบุรี","en":"Kui Buri District"},"tumbon_code":"07","tumbon_name":{"th":"หาดขาม","en":"Hat Kham"},"province_code":"77","province_name":{"th":"ประจวบคีรีขันธ์","en":"Prachuap Khiri Khan"}},"diff_wl_bank":"3.35","diff_wl_bank_text":"ต่ำกว่าตลิ่ง (ม.)","river_gid":211523,"river_name":"แม่น้ำกุยบุรี"}</x:t>
  </x:si>
  <x:si>
    <x:t xml:space="preserve">THAIWATER_WL:700559</x:t>
  </x:si>
  <x:si>
    <x:t xml:space="preserve">MKSNU03</x:t>
  </x:si>
  <x:si>
    <x:t xml:space="preserve">หน่วยพิทักษ์ป่าเขาบันได</x:t>
  </x:si>
  <x:si>
    <x:t xml:space="preserve">ห้วยแม่ดี</x:t>
  </x:si>
  <x:si>
    <x:t xml:space="preserve">{"id":1316367385,"waterlevel_datetime":"2026-10-01 15:00","waterlevel_m":null,"waterlevel_msl":"210.58","waterlevel_msl_previous":"210.59","flow_rate":null,"discharge":null,"storage_percent":null,"sort_order":null,"station_type":"tele_waterlevel"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700559,"tele_station_name":{"th":"หน่วยพิทักษ์ป่าเขาบันได"},"tele_station_lat":15.27736,"tele_station_long":99.15219,"tele_station_oldcode":"MKSNU03","tele_station_type":"tele_waterlevel","left_bank":0,"right_bank":0,"min_bank":0,"ground_level":0,"offset":null,"sub_basin_id":265,"agency_id":8,"geocode_id":5855,"hydro_id":null,"qmax":null,"is_key_station":false,"warning_level_m":null,"critical_level_m":null,"critical_level_msl":0},"geocode":{"area_code":"3","area_name":{"th":"ภาคเหนือ","en":"North"},"amphoe_code":"06","amphoe_name":{"th":"บ้านไร่","en":"Ban Rai District"},"tumbon_code":"07","tumbon_name":{"th":"แก่นมะกรูด","en":"Kaen Makrut"},"province_code":"61","province_name":{"th":"อุทัยธานี","en":"Uthai Thani"}},"diff_wl_bank":"210.58","diff_wl_bank_text":"ล้นตลิ่ง (ม.)","river_gid":174297,"river_name":"ห้วยแม่ดี"}</x:t>
  </x:si>
  <x:si>
    <x:t xml:space="preserve">THAIWATER_WL:2773</x:t>
  </x:si>
  <x:si>
    <x:t xml:space="preserve">M.104</x:t>
  </x:si>
  <x:si>
    <x:t xml:space="preserve">บ้านวังปลัด</x:t>
  </x:si>
  <x:si>
    <x:t xml:space="preserve">{"id":1316340540,"waterlevel_datetime":"2026-10-01 14:00","waterlevel_m":null,"waterlevel_msl":"133.16","waterlevel_msl_previous":"133.14","flow_rate":null,"discharge":"75.60","storage_percent":null,"sort_order":null,"station_type":"tele_waterlevel","agency":{"id":12,"agency_name":{"th":"กรมชลประทาน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2773,"tele_station_name":{"th":"บ้านวังปลัด"},"tele_station_lat":15.43527,"tele_station_long":103.012627,"tele_station_oldcode":"M.104","tele_station_type":"tele_waterlevel","left_bank":134.200003,"right_bank":134.200003,"min_bank":137.8,"offset":128.300003,"sub_basin_id":120,"agency_id":12,"geocode_id":2017,"hydro_id":4,"qmax":710,"is_key_station":false,"warning_level_m":null,"critical_level_m":null,"critical_level_msl":null},"geocode":{"area_code":"4","area_name":{"th":"ภาคตะวันออกเฉียงเหนือ","en":"Northeast"},"amphoe_code":"02","amphoe_name":{"th":"คูเมือง","en":"Khu Mueang District"},"tumbon_code":"03","tumbon_name":{"th":"บ้านแพ","en":"Ban Phae"},"province_code":"31","province_name":{"th":"บุรีรัมย์","en":"Buri Ram"}},"diff_wl_bank":"4.64","diff_wl_bank_text":"ต่ำกว่าตลิ่ง (ม.)","river_gid":144618,"river_name":"แม่น้ำมูล"}</x:t>
  </x:si>
  <x:si>
    <x:t xml:space="preserve">THAIWATER_WL:700551</x:t>
  </x:si>
  <x:si>
    <x:t xml:space="preserve">MKSND01</x:t>
  </x:si>
  <x:si>
    <x:t xml:space="preserve">เขื่อนท่าทุ่งนา</x:t>
  </x:si>
  <x:si>
    <x:t xml:space="preserve">อ่างเก็บน้ำท่าทุ่งนา</x:t>
  </x:si>
  <x:si>
    <x:t xml:space="preserve">{"id":1316367371,"waterlevel_datetime":"2026-10-01 15:00","waterlevel_m":null,"waterlevel_msl":"57.71","waterlevel_msl_previous":"57.83","flow_rate":null,"discharge":null,"storage_percent":null,"sort_order":null,"station_type":"tele_waterlevel"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700551,"tele_station_name":{"th":"เขื่อนท่าทุ่งนา"},"tele_station_lat":14.233779,"tele_station_long":99.235022,"tele_station_oldcode":"MKSND01","tele_station_type":"tele_waterlevel","left_bank":0,"right_bank":0,"min_bank":0,"ground_level":0,"offset":null,"sub_basin_id":266,"agency_id":8,"geocode_id":6591,"hydro_id":null,"qmax":null,"is_key_station":false,"warning_level_m":null,"critical_level_m":null,"critical_level_msl":0},"geocode":{"area_code":"2","area_name":{"th":"ภาคกลาง","en":"Central"},"amphoe_code":"01","amphoe_name":{"th":"เมืองกาญจนบุรี","en":"Mueang Kanchanaburi District"},"tumbon_code":"09","tumbon_name":{"th":"ช่องสะเดา","en":"Chong Sadao"},"province_code":"71","province_name":{"th":"กาญจนบุรี","en":"Kanchanaburi"}},"diff_wl_bank":"57.71","diff_wl_bank_text":"ล้นตลิ่ง (ม.)","river_gid":192997,"river_name":"อ่างเก็บน้ำท่าทุ่งนา"}</x:t>
  </x:si>
  <x:si>
    <x:t xml:space="preserve">shelter_id</x:t>
  </x:si>
  <x:si>
    <x:t xml:space="preserve">district</x:t>
  </x:si>
  <x:si>
    <x:t xml:space="preserve">shelter_name</x:t>
  </x:si>
  <x:si>
    <x:t xml:space="preserve">category</x:t>
  </x:si>
  <x:si>
    <x:t xml:space="preserve">capacity</x:t>
  </x:si>
  <x:si>
    <x:t xml:space="preserve">occupied</x:t>
  </x:si>
  <x:si>
    <x:t xml:space="preserve">available</x:t>
  </x:si>
  <x:si>
    <x:t xml:space="preserve">unit</x:t>
  </x:si>
  <x:si>
    <x:t xml:space="preserve">status_source</x:t>
  </x:si>
  <x:si>
    <x:t xml:space="preserve">map_url</x:t>
  </x:si>
  <x:si>
    <x:t xml:space="preserve">additional_details</x:t>
  </x:si>
  <x:si>
    <x:t xml:space="preserve">route_details</x:t>
  </x:si>
  <x:si>
    <x:t xml:space="preserve">created_at_source</x:t>
  </x:si>
  <x:si>
    <x:t xml:space="preserve">updated_at_source</x:t>
  </x:si>
  <x:si>
    <x:t xml:space="preserve">source_generated_at</x:t>
  </x:si>
  <x:si>
    <x:t xml:space="preserve">source_stale</x:t>
  </x:si>
  <x:si>
    <x:t xml:space="preserve">raw_record_json</x:t>
  </x:si>
  <x:si>
    <x:t xml:space="preserve">coordinate_status</x:t>
  </x:si>
  <x:si>
    <x:t xml:space="preserve">coordinate_url</x:t>
  </x:si>
  <x:si>
    <x:t xml:space="preserve">coordinate_checked_at</x:t>
  </x:si>
  <x:si>
    <x:t xml:space="preserve">d47bf7af-910f-be9a-1015-e3669c6d6b59</x:t>
  </x:si>
  <x:si>
    <x:t xml:space="preserve">คลองสาน</x:t>
  </x:si>
  <x:si>
    <x:t xml:space="preserve">โรงเรียนมัธยมวัดสุทธาราม</x:t>
  </x:si>
  <x:si>
    <x:t xml:space="preserve">ศูนย์พักพิงชั่วคราว</x:t>
  </x:si>
  <x:si>
    <x:t xml:space="preserve">คน</x:t>
  </x:si>
  <x:si>
    <x:t xml:space="preserve">เปิดให้บริการ/ว่าง</x:t>
  </x:si>
  <x:si>
    <x:t xml:space="preserve">https://maps.app.goo.gl/THU6UjkuSK843fuaA?g_st=ac</x:t>
  </x:si>
  <x:si>
    <x:t xml:space="preserve">2026-09-26T08:04:34.000Z</x:t>
  </x:si>
  <x:si>
    <x:t xml:space="preserve">2026-10-01T09:01:43.014Z</x:t>
  </x:si>
  <x:si>
    <x:t xml:space="preserve">2026-10-01T16:01:43+07:00</x:t>
  </x:si>
  <x:si>
    <x:t xml:space="preserve">https://floodsupport.bangkok.go.th/api/data</x:t>
  </x:si>
  <x:si>
    <x:t xml:space="preserve">{"id":"d47bf7af-910f-be9a-1015-e3669c6d6b59","district":"คลองสาน","category":"ศูนย์พักพิงชั่วคราว","name":"โรงเรียนมัธยมวัดสุทธาราม","capacity":100,"occupied":0,"available":100,"unitType":"คน","status":"เปิดให้บริการ/ว่าง","routeDetails":"","link":"https://maps.app.goo.gl/THU6UjkuSK843fuaA?g_st=ac","additionalDetails":null,"createdAt":"2026-09-26T08:04:34.000Z","updatedAt":"2026-09-26T08:04:34.000Z"}</x:t>
  </x:si>
  <x:si>
    <x:t xml:space="preserve">ไม่พบพิกัดหมุดในลิงก์</x:t>
  </x:si>
  <x:si>
    <x:t xml:space="preserve">https://www.google.com/maps/place/PF7W%2B628+%E0%B9%82%E0%B8%A3%E0%B8%87%E0%B9%80%E0%B8%A3%E0%B8%B5%E0%B8%A2%E0%B8%99%E0%B8%A1%E0%B8%B1%E0%B8%98%E0%B8%A2%E0%B8%A1%E0%B8%A7%E0%B8%B1%E0%B8%94%E0%B8%AA%E0%B8%B8%E0%B8%97%E0%B8%98%E0%B8%B2%E0%B8%A3%E0%B8%B2%E0%B8%A1+%E0%B9%81%E0%B8%82%E0%B8%A7%E0%B8%87%E0%B8%9A%E0%B8%B2%E0%B8%87%E0%B8%A5%E0%B8%B3%E0%B8%A0%E0%B8%B9%E0%B8%A5%E0%B9%88%E0%B8%B2%E0%B8%87+%E0%B8%84%E0%B8%A5%E0%B8%AD%E0%B8%87%E0%B8%AA%E0%B8%B2%E0%B8%99+%E0%B8%81%E0%B8%A3%E0%B8%B8%E0%B8%87%E0%B9%80%E0%B8%97%E0%B8%9E%E0%B8%A1%E0%B8%AB%E0%B8%B2%E0%B8%99%E0%B8%84%E0%B8%A3+10600/data=!4m2!3m1!1s0x30e2988d4b08bfd5:0x3603e1825c0db10e!18m1!1e1?utm_source=mstt_1&amp;entry=gps&amp;coh=192189&amp;g_ep=CAESBzI2LjM3LjUYACDXggMqxwEsMTAwODM2NzY1LDk0MjY3NzI3LDk0MjkyMTk1LDk0Mjk5NTMyLDEwMDc5NjQ5OCwxMDA3OTc3NjEsMTAwNzk2NTM1LDk0MjgwNTc2LDk0MjA3Mzk0LDk0MjA3NTA2LDk0MjA4NTA2LDk0MjE4NjUzLDk0MjI5ODM5LDk0Mjc1MTY4LDk0Mjc5NjE5LDEwMDgzNTcxMCwxMDA4MjUwMjUsMTAwODIwMjM3LDEwMDgyMjQ5NCwxMDA4Mjc5NzUsMTAwODM4MzU1QgJUSA%3D%3D&amp;skid=d551170e-bcc5-4546-ae42-a6a66f91596e&amp;g_st=ac</x:t>
  </x:si>
  <x:si>
    <x:t xml:space="preserve">6c09bbed-58f3-8db6-bcb6-00abd4d65cd7</x:t>
  </x:si>
  <x:si>
    <x:t xml:space="preserve">โรงเรียนวัดทองธรรมชาติ</x:t>
  </x:si>
  <x:si>
    <x:t xml:space="preserve">https://maps.app.goo.gl/Mck4hhX59JTUj3a27?g_st=ac</x:t>
  </x:si>
  <x:si>
    <x:t xml:space="preserve">{"id":"6c09bbed-58f3-8db6-bcb6-00abd4d65cd7","district":"คลองสาน","category":"ศูนย์พักพิงชั่วคราว","name":"โรงเรียนวัดทองธรรมชาติ","capacity":30,"occupied":0,"available":30,"unitType":"คน","status":"เปิดให้บริการ/ว่าง","routeDetails":"","link":"https://maps.app.goo.gl/Mck4hhX59JTUj3a27?g_st=ac","additionalDetails":null,"createdAt":"2026-09-26T08:04:34.000Z","updatedAt":"2026-09-26T08:04:34.000Z"}</x:t>
  </x:si>
  <x:si>
    <x:t xml:space="preserve">https://www.google.com/maps/place/%E0%B9%82%E0%B8%A3%E0%B8%87%E0%B9%80%E0%B8%A3%E0%B8%B5%E0%B8%A2%E0%B8%99%E0%B8%A7%E0%B8%B1%E0%B8%94%E0%B8%97%E0%B8%AD%E0%B8%87%E0%B8%98%E0%B8%A3%E0%B8%A3%E0%B8%A1%E0%B8%8A%E0%B8%B2%E0%B8%95%E0%B8%B4+141+%E0%B8%96%E0%B8%99%E0%B8%99+%E0%B9%80%E0%B8%8A%E0%B8%B5%E0%B8%A2%E0%B8%87%E0%B9%83%E0%B8%AB%E0%B8%A1%E0%B9%88+%E0%B9%81%E0%B8%82%E0%B8%A7%E0%B8%87%E0%B8%84%E0%B8%A5%E0%B8%AD%E0%B8%87%E0%B8%AA%E0%B8%B2%E0%B8%99+%E0%B8%84%E0%B8%A5%E0%B8%AD%E0%B8%87%E0%B8%AA%E0%B8%B2%E0%B8%99+%E0%B8%81%E0%B8%A3%E0%B8%B8%E0%B8%87%E0%B9%80%E0%B8%97%E0%B8%9E%E0%B8%A1%E0%B8%AB%E0%B8%B2%E0%B8%99%E0%B8%84%E0%B8%A3+10600/data=!4m2!3m1!1s0x30e298dfcc2b6ca5:0x9e71285d1a8d4eb7!18m1!1e1?utm_source=mstt_1&amp;entry=gps&amp;coh=192189&amp;g_ep=CAESBzI2LjM3LjUYACDXggMqxwEsMTAwODM2NzY1LDk0MjY3NzI3LDk0MjkyMTk1LDk0Mjk5NTMyLDEwMDc5NjQ5OCwxMDA3OTc3NjEsMTAwNzk2NTM1LDk0MjgwNTc2LDk0MjA3Mzk0LDk0MjA3NTA2LDk0MjA4NTA2LDk0MjE4NjUzLDk0MjI5ODM5LDk0Mjc1MTY4LDk0Mjc5NjE5LDEwMDgzNTcxMCwxMDA4MjUwMjUsMTAwODIwMjM3LDEwMDgyMjQ5NCwxMDA4Mjc5NzUsMTAwODM4MzU1QgJUSA%3D%3D&amp;skid=aaa3cacd-6c8b-4374-b9b5-22a11a6245bd&amp;g_st=ac</x:t>
  </x:si>
  <x:si>
    <x:t xml:space="preserve">ae6a1e1f-dd60-8eda-1312-b16fafab6a1c</x:t>
  </x:si>
  <x:si>
    <x:t xml:space="preserve">โรงเรียนวัดทองนพคุณ</x:t>
  </x:si>
  <x:si>
    <x:t xml:space="preserve">https://maps.app.goo.gl/8GDhqan3HNmxio5o6?g_st=ac</x:t>
  </x:si>
  <x:si>
    <x:t xml:space="preserve">{"id":"ae6a1e1f-dd60-8eda-1312-b16fafab6a1c","district":"คลองสาน","category":"ศูนย์พักพิงชั่วคราว","name":"โรงเรียนวัดทองนพคุณ","capacity":30,"occupied":0,"available":30,"unitType":"คน","status":"เปิดให้บริการ/ว่าง","routeDetails":"","link":"https://maps.app.goo.gl/8GDhqan3HNmxio5o6?g_st=ac","additionalDetails":null,"createdAt":"2026-09-26T08:04:34.000Z","updatedAt":"2026-09-26T08:04:34.000Z"}</x:t>
  </x:si>
  <x:si>
    <x:t xml:space="preserve">https://www.google.com/maps/place/%E0%B8%A7%E0%B8%B1%E0%B8%94%E0%B8%97%E0%B8%AD%E0%B8%87%E0%B8%99%E0%B8%9E%E0%B8%84%E0%B8%B8%E0%B8%93+103+%E0%B8%8B%E0%B8%AD%E0%B8%A2+%E0%B8%AA%E0%B8%A1%E0%B9%80%E0%B8%94%E0%B9%87%E0%B8%88%E0%B9%80%E0%B8%88%E0%B9%89%E0%B8%B2%E0%B8%9E%E0%B8%A3%E0%B8%B0%E0%B8%A2%E0%B8%B2+17+%E0%B9%81%E0%B8%82%E0%B8%A7%E0%B8%87%E0%B8%84%E0%B8%A5%E0%B8%AD%E0%B8%87%E0%B8%AA%E0%B8%B2%E0%B8%99+%E0%B8%84%E0%B8%A5%E0%B8%AD%E0%B8%87%E0%B8%AA%E0%B8%B2%E0%B8%99+%E0%B8%81%E0%B8%A3%E0%B8%B8%E0%B8%87%E0%B9%80%E0%B8%97%E0%B8%9E%E0%B8%A1%E0%B8%AB%E0%B8%B2%E0%B8%99%E0%B8%84%E0%B8%A3+10600/data=!4m2!3m1!1s0x30e298dfcc2b6ca5:0x8d41a1464eb1c42b!18m1!1e1?utm_source=mstt_1&amp;entry=gps&amp;coh=192189&amp;g_ep=CAESBzI2LjM3LjUYACDXggMqxwEsMTAwODM2NzY1LDk0MjY3NzI3LDk0MjkyMTk1LDk0Mjk5NTMyLDEwMDc5NjQ5OCwxMDA3OTc3NjEsMTAwNzk2NTM1LDk0MjgwNTc2LDk0MjA3Mzk0LDk0MjA3NTA2LDk0MjA4NTA2LDk0MjE4NjUzLDk0MjI5ODM5LDk0Mjc1MTY4LDk0Mjc5NjE5LDEwMDgzNTcxMCwxMDA4MjUwMjUsMTAwODIwMjM3LDEwMDgyMjQ5NCwxMDA4Mjc5NzUsMTAwODM4MzU1QgJUSA%3D%3D&amp;skid=86e8013c-6cfa-4073-be66-48ead1841b92&amp;g_st=ac</x:t>
  </x:si>
  <x:si>
    <x:t xml:space="preserve">893d718f-1fc7-05d1-eb9c-bd57f45498f1</x:t>
  </x:si>
  <x:si>
    <x:t xml:space="preserve">โรงเรียนวัดทองเพลง</x:t>
  </x:si>
  <x:si>
    <x:t xml:space="preserve">https://maps.app.goo.gl/TP3AwKk5fgBeDXP4A?g_st=ac</x:t>
  </x:si>
  <x:si>
    <x:t xml:space="preserve">{"id":"893d718f-1fc7-05d1-eb9c-bd57f45498f1","district":"คลองสาน","category":"ศูนย์พักพิงชั่วคราว","name":"โรงเรียนวัดทองเพลง","capacity":50,"occupied":0,"available":50,"unitType":"คน","status":"เปิดให้บริการ/ว่าง","routeDetails":"","link":"https://maps.app.goo.gl/TP3AwKk5fgBeDXP4A?g_st=ac","additionalDetails":null,"createdAt":"2026-09-26T08:04:34.000Z","updatedAt":"2026-09-26T08:04:34.000Z"}</x:t>
  </x:si>
  <x:si>
    <x:t xml:space="preserve">https://www.google.com/maps/place/%E0%B9%82%E0%B8%A3%E0%B8%87%E0%B9%80%E0%B8%A3%E0%B8%B5%E0%B8%A2%E0%B8%99%E0%B8%A7%E0%B8%B1%E0%B8%94%E0%B8%97%E0%B8%AD%E0%B8%87%E0%B9%80%E0%B8%9E%E0%B8%A5%E0%B8%87+135%2F1+%E0%B8%8B%E0%B8%AD%E0%B8%A2+%E0%B9%80%E0%B8%88%E0%B8%A3%E0%B8%B4%E0%B8%8D%E0%B8%A3%E0%B8%B1%E0%B8%96+14+%E0%B8%96.+%E0%B9%80%E0%B8%88%E0%B8%A3%E0%B8%B4%E0%B8%8D%E0%B8%A3%E0%B8%B1%E0%B8%96+%E0%B9%81%E0%B8%82%E0%B8%A7%E0%B8%87%E0%B8%84%E0%B8%A5%E0%B8%AD%E0%B8%87%E0%B8%95%E0%B9%89%E0%B8%99%E0%B9%84%E0%B8%97%E0%B8%A3+%E0%B8%84%E0%B8%A5%E0%B8%AD%E0%B8%87%E0%B8%AA%E0%B8%B2%E0%B8%99+%E0%B8%81%E0%B8%A3%E0%B8%B8%E0%B8%87%E0%B9%80%E0%B8%97%E0%B8%9E%E0%B8%A1%E0%B8%AB%E0%B8%B2%E0%B8%99%E0%B8%84%E0%B8%A3+10600/data=!4m2!3m1!1s0x30e298ef680b255f:0x25f3c7ec8e9da9b3!18m1!1e1?utm_source=mstt_1&amp;entry=gps&amp;coh=192189&amp;g_ep=CAESBzI2LjM3LjUYACDXggMqxwEsMTAwODM2NzY1LDk0MjY3NzI3LDk0MjkyMTk1LDk0Mjk5NTMyLDEwMDc5NjQ5OCwxMDA3OTc3NjEsMTAwNzk2NTM1LDk0MjgwNTc2LDk0MjA3Mzk0LDk0MjA3NTA2LDk0MjA4NTA2LDk0MjE4NjUzLDk0MjI5ODM5LDk0Mjc1MTY4LDk0Mjc5NjE5LDEwMDgzNTcxMCwxMDA4MjUwMjUsMTAwODIwMjM3LDEwMDgyMjQ5NCwxMDA4Mjc5NzUsMTAwODM4MzU1QgJUSA%3D%3D&amp;skid=c0221ff2-7e65-406d-97aa-f17c63b79498&amp;g_st=ac</x:t>
  </x:si>
  <x:si>
    <x:t xml:space="preserve">4b8d7251-8897-a8c9-625c-b32f8ae6c9f7</x:t>
  </x:si>
  <x:si>
    <x:t xml:space="preserve">โรงเรียนวัดพิชัยญาติ</x:t>
  </x:si>
  <x:si>
    <x:t xml:space="preserve">https://maps.app.goo.gl/VmSL2ibA2WyXGT41A?g_st=ac</x:t>
  </x:si>
  <x:si>
    <x:t xml:space="preserve">{"id":"4b8d7251-8897-a8c9-625c-b32f8ae6c9f7","district":"คลองสาน","category":"ศูนย์พักพิงชั่วคราว","name":"โรงเรียนวัดพิชัยญาติ","capacity":50,"occupied":0,"available":50,"unitType":"คน","status":"เปิดให้บริการ/ว่าง","routeDetails":"","link":"https://maps.app.goo.gl/VmSL2ibA2WyXGT41A?g_st=ac","additionalDetails":null,"createdAt":"2026-09-26T08:04:34.000Z","updatedAt":"2026-09-26T08:04:34.000Z"}</x:t>
  </x:si>
  <x:si>
    <x:t xml:space="preserve">https://www.google.com/maps/place/%E0%B9%82%E0%B8%A3%E0%B8%87%E0%B9%80%E0%B8%A3%E0%B8%B5%E0%B8%A2%E0%B8%99%E0%B8%A7%E0%B8%B1%E0%B8%94%E0%B8%9E%E0%B8%B4%E0%B8%8A%E0%B8%B1%E0%B8%A2%E0%B8%8D%E0%B8%B2%E0%B8%95%E0%B8%B4+%E0%B9%80%E0%B8%A5%E0%B8%82%E0%B8%97%E0%B8%B5%E0%B9%88+32+%E0%B8%96.+%E0%B8%AA%E0%B8%A1%E0%B9%80%E0%B8%94%E0%B9%87%E0%B8%88%E0%B9%80%E0%B8%88%E0%B9%89%E0%B8%B2%E0%B8%9E%E0%B8%A3%E0%B8%B0%E0%B8%A2%E0%B8%B2+%E0%B9%81%E0%B8%82%E0%B8%A7%E0%B8%87%E0%B8%AA%E0%B8%A1%E0%B9%80%E0%B8%94%E0%B9%87%E0%B8%88%E0%B9%80%E0%B8%88%E0%B9%89%E0%B8%B2%E0%B8%9E%E0%B8%A3%E0%B8%B0%E0%B8%A2%E0%B8%B2+%E0%B8%84%E0%B8%A5%E0%B8%AD%E0%B8%87%E0%B8%AA%E0%B8%B2%E0%B8%99+%E0%B8%81%E0%B8%A3%E0%B8%B8%E0%B8%87%E0%B9%80%E0%B8%97%E0%B8%9E%E0%B8%A1%E0%B8%AB%E0%B8%B2%E0%B8%99%E0%B8%84%E0%B8%A3+10600/data=!4m2!3m1!1s0x30e298e310afc089:0x54ab3da684f88039!18m1!1e1?utm_source=mstt_1&amp;entry=gps&amp;coh=192189&amp;g_ep=CAESBzI2LjM3LjUYACDXggMqxwEsMTAwODM2NzY1LDk0MjY3NzI3LDk0MjkyMTk1LDk0Mjk5NTMyLDEwMDc5NjQ5OCwxMDA3OTc3NjEsMTAwNzk2NTM1LDk0MjgwNTc2LDk0MjA3Mzk0LDk0MjA3NTA2LDk0MjA4NTA2LDk0MjE4NjUzLDk0MjI5ODM5LDk0Mjc1MTY4LDk0Mjc5NjE5LDEwMDgzNTcxMCwxMDA4MjUwMjUsMTAwODIwMjM3LDEwMDgyMjQ5NCwxMDA4Mjc5NzUsMTAwODM4MzU1QgJUSA%3D%3D&amp;skid=ced494f5-5e32-4114-a5f7-7bf1efe5be53&amp;g_st=ac</x:t>
  </x:si>
  <x:si>
    <x:t xml:space="preserve">08267586-0c76-6a16-1c46-515a9b01b6b9</x:t>
  </x:si>
  <x:si>
    <x:t xml:space="preserve">โรงเรียนวัดสุทธาราม</x:t>
  </x:si>
  <x:si>
    <x:t xml:space="preserve">https://maps.app.goo.gl/rg8VbkBh5VSzg55y7?g_st=ac</x:t>
  </x:si>
  <x:si>
    <x:t xml:space="preserve">{"id":"08267586-0c76-6a16-1c46-515a9b01b6b9","district":"คลองสาน","category":"ศูนย์พักพิงชั่วคราว","name":"โรงเรียนวัดสุทธาราม","capacity":50,"occupied":0,"available":50,"unitType":"คน","status":"เปิดให้บริการ/ว่าง","routeDetails":"","link":"https://maps.app.goo.gl/rg8VbkBh5VSzg55y7?g_st=ac","additionalDetails":null,"createdAt":"2026-09-26T08:04:34.000Z","updatedAt":"2026-09-26T08:04:34.000Z"}</x:t>
  </x:si>
  <x:si>
    <x:t xml:space="preserve">https://www.google.com/maps/place/403,+%E0%B9%82%E0%B8%A3%E0%B8%87%E0%B9%80%E0%B8%A3%E0%B8%B5%E0%B8%A2%E0%B8%99%E0%B8%A7%E0%B8%B1%E0%B8%94%E0%B8%AA%E0%B8%B8%E0%B8%97%E0%B8%98%E0%B8%B2%E0%B8%A3%E0%B8%B2%E0%B8%A1,+1+%E0%B8%8B%E0%B8%AD%E0%B8%A2+%E0%B8%A7%E0%B8%B1%E0%B8%94%E0%B8%AA%E0%B8%B8%E0%B8%97%E0%B8%98%E0%B8%B2%E0%B8%A3%E0%B8%B2%E0%B8%A1+%E0%B9%81%E0%B8%82%E0%B8%A7%E0%B8%87%E0%B8%9A%E0%B8%B2%E0%B8%87%E0%B8%A5%E0%B8%B3%E0%B8%A0%E0%B8%B9%E0%B8%A5%E0%B9%88%E0%B8%B2%E0%B8%87+%E0%B8%84%E0%B8%A5%E0%B8%AD%E0%B8%87%E0%B8%AA%E0%B8%B2%E0%B8%99+%E0%B8%81%E0%B8%A3%E0%B8%B8%E0%B8%87%E0%B9%80%E0%B8%97%E0%B8%9E%E0%B8%A1%E0%B8%AB%E0%B8%B2%E0%B8%99%E0%B8%84%E0%B8%A3+10600/data=!4m2!3m1!1s0x30e2997567111e07:0x72bf7f38cb14cd99!18m1!1e1?utm_source=mstt_1&amp;entry=gps&amp;coh=192189&amp;g_ep=CAESBzI2LjM3LjUYACDXggMqxwEsMTAwODM2NzY1LDk0MjY3NzI3LDk0MjkyMTk1LDk0Mjk5NTMyLDEwMDc5NjQ5OCwxMDA3OTc3NjEsMTAwNzk2NTM1LDk0MjgwNTc2LDk0MjA3Mzk0LDk0MjA3NTA2LDk0MjA4NTA2LDk0MjE4NjUzLDk0MjI5ODM5LDk0Mjc1MTY4LDk0Mjc5NjE5LDEwMDgzNTcxMCwxMDA4MjUwMjUsMTAwODIwMjM3LDEwMDgyMjQ5NCwxMDA4Mjc5NzUsMTAwODM4MzU1QgJUSA%3D%3D&amp;skid=76184ba4-7497-4652-b490-67f3b2e0cf77&amp;g_st=ac</x:t>
  </x:si>
  <x:si>
    <x:t xml:space="preserve">cb64c88c-65ac-4406-89a5-fbad303fcc1c</x:t>
  </x:si>
  <x:si>
    <x:t xml:space="preserve">โรงเรียนวัดสุวรรณ</x:t>
  </x:si>
  <x:si>
    <x:t xml:space="preserve">https://maps.app.goo.gl/vyGbvEjQCpvuzhFw9?g_st=ac</x:t>
  </x:si>
  <x:si>
    <x:t xml:space="preserve">{"id":"cb64c88c-65ac-4406-89a5-fbad303fcc1c","district":"คลองสาน","category":"ศูนย์พักพิงชั่วคราว","name":"โรงเรียนวัดสุวรรณ","capacity":50,"occupied":0,"available":50,"unitType":"คน","status":"เปิดให้บริการ/ว่าง","routeDetails":"","link":"https://maps.app.goo.gl/vyGbvEjQCpvuzhFw9?g_st=ac","additionalDetails":null,"createdAt":"2026-09-26T08:04:34.000Z","updatedAt":"2026-09-26T08:04:34.000Z"}</x:t>
  </x:si>
  <x:si>
    <x:t xml:space="preserve">https://www.google.com/maps/place/%E0%B9%82%E0%B8%A3%E0%B8%87%E0%B9%80%E0%B8%A3%E0%B8%B5%E0%B8%A2%E0%B8%99%E0%B8%A7%E0%B8%B1%E0%B8%94%E0%B8%AA%E0%B8%B8%E0%B8%A7%E0%B8%A3%E0%B8%A3%E0%B8%93+27+%E0%B8%8B%E0%B8%AD%E0%B8%A2+%E0%B9%80%E0%B8%88%E0%B8%A3%E0%B8%B4%E0%B8%8D%E0%B8%99%E0%B8%84%E0%B8%A3+9+%E0%B9%81%E0%B8%82%E0%B8%A7%E0%B8%87%E0%B8%84%E0%B8%A5%E0%B8%AD%E0%B8%87%E0%B8%95%E0%B9%89%E0%B8%99%E0%B9%84%E0%B8%97%E0%B8%A3+%E0%B8%84%E0%B8%A5%E0%B8%AD%E0%B8%87%E0%B8%AA%E0%B8%B2%E0%B8%99+%E0%B8%81%E0%B8%A3%E0%B8%B8%E0%B8%87%E0%B9%80%E0%B8%97%E0%B8%9E%E0%B8%A1%E0%B8%AB%E0%B8%B2%E0%B8%99%E0%B8%84%E0%B8%A3+10600/data=!4m2!3m1!1s0x30e298dcd3768f39:0x162fb2e11e2fe285!18m1!1e1?utm_source=mstt_1&amp;entry=gps&amp;coh=192189&amp;g_ep=CAESBzI2LjM3LjUYACDXggMqxwEsMTAwODM2NzY1LDk0MjY3NzI3LDk0MjkyMTk1LDk0Mjk5NTMyLDEwMDc5NjQ5OCwxMDA3OTc3NjEsMTAwNzk2NTM1LDk0MjgwNTc2LDk0MjA3Mzk0LDk0MjA3NTA2LDk0MjA4NTA2LDk0MjE4NjUzLDk0MjI5ODM5LDk0Mjc1MTY4LDk0Mjc5NjE5LDEwMDgzNTcxMCwxMDA4MjUwMjUsMTAwODIwMjM3LDEwMDgyMjQ5NCwxMDA4Mjc5NzUsMTAwODM4MzU1QgJUSA%3D%3D&amp;skid=a690315c-3b97-4623-a610-774c6a68a308&amp;g_st=ac</x:t>
  </x:si>
  <x:si>
    <x:t xml:space="preserve">2b25b8c2-0107-1c5d-5e8c-0256ef0c4a9d</x:t>
  </x:si>
  <x:si>
    <x:t xml:space="preserve">โรงเรียนวัดเศวตฉัตร</x:t>
  </x:si>
  <x:si>
    <x:t xml:space="preserve">https://maps.app.goo.gl/VDLF36p77vs9eniw6?g_st=ac</x:t>
  </x:si>
  <x:si>
    <x:t xml:space="preserve">{"id":"2b25b8c2-0107-1c5d-5e8c-0256ef0c4a9d","district":"คลองสาน","category":"ศูนย์พักพิงชั่วคราว","name":"โรงเรียนวัดเศวตฉัตร","capacity":30,"occupied":0,"available":30,"unitType":"คน","status":"เปิดให้บริการ/ว่าง","routeDetails":"","link":"https://maps.app.goo.gl/VDLF36p77vs9eniw6?g_st=ac","additionalDetails":null,"createdAt":"2026-09-26T08:04:34.000Z","updatedAt":"2026-09-26T08:04:34.000Z"}</x:t>
  </x:si>
  <x:si>
    <x:t xml:space="preserve">https://www.google.com/maps/place/%E0%B9%82%E0%B8%A3%E0%B8%87%E0%B9%80%E0%B8%A3%E0%B8%B5%E0%B8%A2%E0%B8%99%E0%B8%A7%E0%B8%B1%E0%B8%94%E0%B9%80%E0%B8%A8%E0%B8%A7%E0%B8%95%E0%B8%89%E0%B8%B1%E0%B8%95%E0%B8%A3+8+%E0%B8%8B%E0%B8%AD%E0%B8%A2+%E0%B9%80%E0%B8%88%E0%B8%A3%E0%B8%B4%E0%B8%8D%E0%B8%99%E0%B8%84%E0%B8%A3+25+%E0%B9%81%E0%B8%82%E0%B8%A7%E0%B8%87%E0%B8%9A%E0%B8%B2%E0%B8%87%E0%B8%A5%E0%B8%B3%E0%B8%A0%E0%B8%B9%E0%B8%A5%E0%B9%88%E0%B8%B2%E0%B8%87+%E0%B8%84%E0%B8%A5%E0%B8%AD%E0%B8%87%E0%B8%AA%E0%B8%B2%E0%B8%99+%E0%B8%81%E0%B8%A3%E0%B8%B8%E0%B8%87%E0%B9%80%E0%B8%97%E0%B8%9E%E0%B8%A1%E0%B8%AB%E0%B8%B2%E0%B8%99%E0%B8%84%E0%B8%A3+10600/data=!4m2!3m1!1s0x30e298eab6ce67b7:0xad86f3614ac3d84c!18m1!1e1?utm_source=mstt_1&amp;entry=gps&amp;coh=192189&amp;g_ep=CAESBzI2LjM3LjUYACDXggMqxwEsMTAwODM2NzY1LDk0MjY3NzI3LDk0MjkyMTk1LDk0Mjk5NTMyLDEwMDc5NjQ5OCwxMDA3OTc3NjEsMTAwNzk2NTM1LDk0MjgwNTc2LDk0MjA3Mzk0LDk0MjA3NTA2LDk0MjA4NTA2LDk0MjE4NjUzLDk0MjI5ODM5LDk0Mjc1MTY4LDk0Mjc5NjE5LDEwMDgzNTcxMCwxMDA4MjUwMjUsMTAwODIwMjM3LDEwMDgyMjQ5NCwxMDA4Mjc5NzUsMTAwODM4MzU1QgJUSA%3D%3D&amp;skid=8cd66339-d0bb-4eea-becf-f6bc22307753&amp;g_st=ac</x:t>
  </x:si>
  <x:si>
    <x:t xml:space="preserve">ccd2e85f-b897-4b51-a930-b185d0563f47</x:t>
  </x:si>
  <x:si>
    <x:t xml:space="preserve">รพ.รัตนประชารักษ์</x:t>
  </x:si>
  <x:si>
    <x:t xml:space="preserve">https://maps.app.goo.gl/q6nxvLdC1R2f79RS7</x:t>
  </x:si>
  <x:si>
    <x:t xml:space="preserve">2026-09-26T14:18:22.509Z</x:t>
  </x:si>
  <x:si>
    <x:t xml:space="preserve">2026-09-26T14:18:51.976Z</x:t>
  </x:si>
  <x:si>
    <x:t xml:space="preserve">{"id":"ccd2e85f-b897-4b51-a930-b185d0563f47","district":"คลองสามวา","category":"ศูนย์พักพิงชั่วคราว","name":"รพ.รัตนประชารักษ์","capacity":450,"occupied":3,"available":447,"unitType":"คน","status":"เปิดให้บริการ/ว่าง","routeDetails":"","link":"https://maps.app.goo.gl/q6nxvLdC1R2f79RS7","additionalDetails":null,"createdAt":"2026-09-26T14:18:22.509Z","updatedAt":"2026-09-26T14:18:51.976Z"}</x:t>
  </x:si>
  <x:si>
    <x:t xml:space="preserve">พบพิกัดจากลิงก์</x:t>
  </x:si>
  <x:si>
    <x:t xml:space="preserve">https://www.google.com/maps/place/%E0%B9%82%E0%B8%A3%E0%B8%87%E0%B8%9E%E0%B8%A2%E0%B8%B2%E0%B8%9A%E0%B8%B2%E0%B8%A5%E0%B8%A3%E0%B8%B1%E0%B8%95%E0%B8%99%E0%B8%9B%E0%B8%A3%E0%B8%B0%E0%B8%8A%E0%B8%B2%E0%B8%A3%E0%B8%B1%E0%B8%81%E0%B8%A9%E0%B9%8C/@13.8762169,100.682032,14213m/data=!3m1!1e3!4m6!3m5!1s0x311d7baae6523b11:0x27bb8ec3d47cfa59!8m2!3d13.9098281!4d100.752979!16s%2Fg%2F11c37yy0_1?entry=tts&amp;g_ep=EgoyMDI2MDkyMy4wIPu8ASoASAFQAw%3D%3D&amp;skid=3f44598e-9be0-4421-80e8-537ccd46f8da</x:t>
  </x:si>
  <x:si>
    <x:t xml:space="preserve">e0679261-0081-47ef-897a-5455e5765bbb</x:t>
  </x:si>
  <x:si>
    <x:t xml:space="preserve">วัดพระยาสุเรนทร์</x:t>
  </x:si>
  <x:si>
    <x:t xml:space="preserve">เต็ม</x:t>
  </x:si>
  <x:si>
    <x:t xml:space="preserve">https://maps.app.goo.gl/dHVuNhBCq1myQeyR9</x:t>
  </x:si>
  <x:si>
    <x:t xml:space="preserve">2026-09-26T14:04:23.420Z</x:t>
  </x:si>
  <x:si>
    <x:t xml:space="preserve">{"id":"e0679261-0081-47ef-897a-5455e5765bbb","district":"คลองสามวา","category":"ศูนย์พักพิงชั่วคราว","name":"วัดพระยาสุเรนทร์","capacity":60,"occupied":60,"available":0,"unitType":"คน","status":"เต็ม","routeDetails":"","link":"https://maps.app.goo.gl/dHVuNhBCq1myQeyR9","additionalDetails":null,"createdAt":"2026-09-26T14:04:23.420Z","updatedAt":"2026-09-26T14:04:23.420Z"}</x:t>
  </x:si>
  <x:si>
    <x:t xml:space="preserve">https://www.google.com/maps/place/%E0%B8%A7%E0%B8%B1%E0%B8%94%E0%B8%9E%E0%B8%A3%E0%B8%B0%E0%B8%A2%E0%B8%B2%E0%B8%AA%E0%B8%B8%E0%B9%80%E0%B8%A3%E0%B8%99%E0%B8%97%E0%B8%A3%E0%B9%8C/@13.8739652,100.6699893,3553m/data=!3m1!1e3!4m6!3m5!1s0x311d7cc84d73e979:0x68ef7c84dbf92006!8m2!3d13.8739455!4d100.6855615!16s%2Fg%2F11ddww_t95?entry=tts&amp;g_ep=EgoyMDI2MDkyMy4wIPu8ASoASAFQAw%3D%3D&amp;skid=f922690d-7bf0-4d4d-a770-215d80d8c8eb</x:t>
  </x:si>
  <x:si>
    <x:t xml:space="preserve">295cef74-6abb-ffee-3b64-3d250535a95c</x:t>
  </x:si>
  <x:si>
    <x:t xml:space="preserve">โรงเรียนกลางคลองสอง</x:t>
  </x:si>
  <x:si>
    <x:t xml:space="preserve">https://maps.app.goo.gl/ZmDA2wLRjmkuhLKa8</x:t>
  </x:si>
  <x:si>
    <x:t xml:space="preserve">2026-09-26T08:52:03.000Z</x:t>
  </x:si>
  <x:si>
    <x:t xml:space="preserve">{"id":"295cef74-6abb-ffee-3b64-3d250535a95c","district":"คลองสามวา","category":"ศูนย์พักพิงชั่วคราว","name":"โรงเรียนกลางคลองสอง","capacity":30,"occupied":6,"available":24,"unitType":"คน","status":"เปิดให้บริการ/ว่าง","routeDetails":"","link":"https://maps.app.goo.gl/ZmDA2wLRjmkuhLKa8","additionalDetails":null,"createdAt":"2026-09-26T08:52:03.000Z","updatedAt":"2026-09-26T08:52:03.000Z"}</x:t>
  </x:si>
  <x:si>
    <x:t xml:space="preserve">https://www.google.com/maps/place/%E0%B9%82%E0%B8%A3%E0%B8%87%E0%B9%80%E0%B8%A3%E0%B8%B5%E0%B8%A2%E0%B8%99%E0%B8%81%E0%B8%A5%E0%B8%B2%E0%B8%87%E0%B8%84%E0%B8%A5%E0%B8%AD%E0%B8%87%E0%B8%AA%E0%B8%AD%E0%B8%87/@13.8605365,100.6953645,941m/data=!3m1!1e3!4m6!3m5!1s0x311d6352877d3347:0xed6a7e78e68fa376!8m2!3d13.8623825!4d100.6991111!16s%2Fg%2F1w_vkrfm?entry=tts&amp;g_ep=EgoyMDI2MDkyMy4wIPu8ASoASAFQAw%3D%3D&amp;skid=5182a855-5ce6-4c2e-acae-a1c9f2a4e9f4</x:t>
  </x:si>
  <x:si>
    <x:t xml:space="preserve">da7dceef-3611-4eb6-5850-ad86a69f02d6</x:t>
  </x:si>
  <x:si>
    <x:t xml:space="preserve">โรงเรียนบางชัน</x:t>
  </x:si>
  <x:si>
    <x:t xml:space="preserve">https://maps.app.goo.gl/nBCZSBqzt99h7gz78</x:t>
  </x:si>
  <x:si>
    <x:t xml:space="preserve">2026-09-26T13:58:34.209Z</x:t>
  </x:si>
  <x:si>
    <x:t xml:space="preserve">{"id":"da7dceef-3611-4eb6-5850-ad86a69f02d6","district":"คลองสามวา","category":"ศูนย์พักพิงชั่วคราว","name":"โรงเรียนบางชัน","capacity":100,"occupied":100,"available":0,"unitType":"คน","status":"เต็ม","routeDetails":"","link":"https://maps.app.goo.gl/nBCZSBqzt99h7gz78","additionalDetails":null,"createdAt":"2026-09-26T08:52:03.000Z","updatedAt":"2026-09-26T13:58:34.209Z"}</x:t>
  </x:si>
  <x:si>
    <x:t xml:space="preserve">https://www.google.com/maps/place/%E0%B9%82%E0%B8%A3%E0%B8%87%E0%B9%80%E0%B8%A3%E0%B8%B5%E0%B8%A2%E0%B8%99%E0%B8%9A%E0%B8%B2%E0%B8%87%E0%B8%8A%E0%B8%B1%E0%B8%99+(%E0%B8%9B%E0%B8%A5%E0%B8%B7%E0%B9%89%E0%B8%A1%E0%B8%A7%E0%B8%B4%E0%B8%97%E0%B8%A2%E0%B8%B2%E0%B8%99%E0%B8%B8%E0%B8%AA%E0%B8%A3%E0%B8%93%E0%B9%8C)/@13.8364841,100.6678055,7525m/data=!3m1!1e3!4m6!3m5!1s0x311d640881259f41:0xe874070dd2c82570!8m2!3d13.817645!4d100.6988714!16s%2Fg%2F1hc0w10t2?entry=tts&amp;g_ep=EgoyMDI2MDkyMy4wIPu8ASoASAFQAw%3D%3D&amp;skid=856ba570-ed93-4151-addd-f2ead7121e36</x:t>
  </x:si>
  <x:si>
    <x:t xml:space="preserve">d42f6d8e-bf1f-e595-e877-d4a19dca223c</x:t>
  </x:si>
  <x:si>
    <x:t xml:space="preserve">โรงเรียนบ้านหนองระแหง</x:t>
  </x:si>
  <x:si>
    <x:t xml:space="preserve">https://maps.app.goo.gl/NPNrxXVpuTxvC1Ub7</x:t>
  </x:si>
  <x:si>
    <x:t xml:space="preserve">{"id":"d42f6d8e-bf1f-e595-e877-d4a19dca223c","district":"คลองสามวา","category":"ศูนย์พักพิงชั่วคราว","name":"โรงเรียนบ้านหนองระแหง","capacity":20,"occupied":17,"available":3,"unitType":"คน","status":"เปิดให้บริการ/ว่าง","routeDetails":"","link":"https://maps.app.goo.gl/NPNrxXVpuTxvC1Ub7","additionalDetails":null,"createdAt":"2026-09-26T08:52:03.000Z","updatedAt":"2026-09-26T08:52:03.000Z"}</x:t>
  </x:si>
  <x:si>
    <x:t xml:space="preserve">https://www.google.com/maps/place/%E0%B9%82%E0%B8%A3%E0%B8%87%E0%B9%80%E0%B8%A3%E0%B8%B5%E0%B8%A2%E0%B8%99%E0%B8%9A%E0%B9%89%E0%B8%B2%E0%B8%99%E0%B8%AB%E0%B8%99%E0%B8%AD%E0%B8%87%E0%B8%A3%E0%B8%B0%E0%B9%81%E0%B8%AB%E0%B8%87+(%E0%B8%8A%E0%B8%A1%E0%B9%81%E0%B8%AA%E0%B8%87%E0%B8%9B%E0%B8%A3%E0%B8%B0%E0%B8%8A%E0%B8%B2%E0%B8%99%E0%B8%B8%E0%B8%81%E0%B8%B9%E0%B8%A5)+%E0%B8%AA%E0%B8%B1%E0%B8%87%E0%B8%81%E0%B8%B1%E0%B8%94%E0%B8%81%E0%B8%A3%E0%B8%B8%E0%B8%87%E0%B9%80%E0%B8%97%E0%B8%9E%E0%B8%A1%E0%B8%AB%E0%B8%B2%E0%B8%99%E0%B8%84%E0%B8%A3/@13.8771447,100.6681371,7523m/data=!3m1!1e3!4m6!3m5!1s0x311d7c8da4db82f9:0xb7a27ce8bfcd0f8a!8m2!3d13.9012456!4d100.6913492!16s%2Fg%2F11bwhb7047?entry=tts&amp;g_ep=EgoyMDI2MDkyMy4wIPu8ASoASAFQAw%3D%3D&amp;skid=2a4a21da-93ac-44ee-a8ed-6da24899c9e6</x:t>
  </x:si>
  <x:si>
    <x:t xml:space="preserve">441ff923-dcc3-3f33-1888-2ac14ca1a415</x:t>
  </x:si>
  <x:si>
    <x:t xml:space="preserve">โรงเรียนบ้านแบนชะโด</x:t>
  </x:si>
  <x:si>
    <x:t xml:space="preserve">https://maps.app.goo.gl/e5K8XirFF2VvePLEA</x:t>
  </x:si>
  <x:si>
    <x:t xml:space="preserve">{"id":"441ff923-dcc3-3f33-1888-2ac14ca1a415","district":"คลองสามวา","category":"ศูนย์พักพิงชั่วคราว","name":"โรงเรียนบ้านแบนชะโด","capacity":30,"occupied":0,"available":30,"unitType":"คน","status":"เปิดให้บริการ/ว่าง","routeDetails":"","link":"https://maps.app.goo.gl/e5K8XirFF2VvePLEA","additionalDetails":null,"createdAt":"2026-09-26T08:52:03.000Z","updatedAt":"2026-09-26T08:52:03.000Z"}</x:t>
  </x:si>
  <x:si>
    <x:t xml:space="preserve">https://www.google.com/maps/place/%E0%B9%82%E0%B8%A3%E0%B8%87%E0%B9%80%E0%B8%A3%E0%B8%B5%E0%B8%A2%E0%B8%99%E0%B8%9A%E0%B9%89%E0%B8%B2%E0%B8%99%E0%B9%81%E0%B8%9A%E0%B8%99%E0%B8%8A%E0%B8%B0%E0%B9%82%E0%B8%94+(%E0%B9%80%E0%B8%AA%E0%B8%B5%E0%B8%A2%E0%B8%87+%E0%B8%A7%E0%B8%B4%E0%B8%91%E0%B8%B9%E0%B8%A3%E0%B8%8A%E0%B8%B2%E0%B8%95%E0%B8%B4+%E0%B8%AD%E0%B8%B8%E0%B8%9B%E0%B8%96%E0%B8%B1%E0%B8%A1%E0%B8%A0%E0%B9%8C)/@13.8490879,100.7238859,7524m/data=!3m1!1e3!4m6!3m5!1s0x311d7b128c85f4f5:0xf98d11c7254fce58!8m2!3d13.8765664!4d100.7836207!16s%2Fg%2F11h60drc31?entry=tts&amp;g_ep=EgoyMDI2MDkyMy4wIPu8ASoASAFQAw%3D%3D&amp;skid=dd20f2b0-c0a5-4645-b93c-fe15002d836a</x:t>
  </x:si>
  <x:si>
    <x:t xml:space="preserve">6028767a-bd93-41d2-e9b5-45f72f471c5f</x:t>
  </x:si>
  <x:si>
    <x:t xml:space="preserve">โรงเรียนประชาราษฎร์อุปถัมภ์วิทยา</x:t>
  </x:si>
  <x:si>
    <x:t xml:space="preserve">https://maps.app.goo.gl/hCw8Ywu1WXDpcfU26</x:t>
  </x:si>
  <x:si>
    <x:t xml:space="preserve">2026-09-26T13:58:53.192Z</x:t>
  </x:si>
  <x:si>
    <x:t xml:space="preserve">{"id":"6028767a-bd93-41d2-e9b5-45f72f471c5f","district":"คลองสามวา","category":"ศูนย์พักพิงชั่วคราว","name":"โรงเรียนประชาราษฎร์อุปถัมภ์วิทยา","capacity":100,"occupied":147,"available":0,"unitType":"คน","status":"เต็ม","routeDetails":"","link":"https://maps.app.goo.gl/hCw8Ywu1WXDpcfU26","additionalDetails":null,"createdAt":"2026-09-26T08:52:03.000Z","updatedAt":"2026-09-26T13:58:53.192Z"}</x:t>
  </x:si>
  <x:si>
    <x:t xml:space="preserve">https://www.google.com/maps/place/%E0%B9%82%E0%B8%A3%E0%B8%87%E0%B9%80%E0%B8%A3%E0%B8%B5%E0%B8%A2%E0%B8%99%E0%B8%9B%E0%B8%A3%E0%B8%B0%E0%B8%8A%E0%B8%B2%E0%B8%A3%E0%B8%B2%E0%B8%A9%E0%B8%8E%E0%B8%A3%E0%B9%8C%E0%B8%AD%E0%B8%B8%E0%B8%9B%E0%B8%96%E0%B8%B1%E0%B8%A1%E0%B8%A0%E0%B9%8C%E0%B8%A7%E0%B8%B4%E0%B8%97%E0%B8%A2%E0%B8%B2/@13.8502625,100.6884104,3762m/data=!3m1!1e3!4m6!3m5!1s0x311d6342f6a78d71:0xcfe99453319a26d2!8m2!3d13.8442089!4d100.6960353!16s%2Fg%2F1td8wl03?entry=tts&amp;g_ep=EgoyMDI2MDkyMy4wIPu8ASoASAFQAw%3D%3D&amp;skid=bb529274-230d-4e84-a6bf-96117ab9399c</x:t>
  </x:si>
  <x:si>
    <x:t xml:space="preserve">50db218d-a8e0-0ac7-afca-6cb94b0e2231</x:t>
  </x:si>
  <x:si>
    <x:t xml:space="preserve">โรงเรียนวัดคู้บอน</x:t>
  </x:si>
  <x:si>
    <x:t xml:space="preserve">https://maps.app.goo.gl/e5LS7sQ78DfoeJ8h6</x:t>
  </x:si>
  <x:si>
    <x:t xml:space="preserve">2026-09-26T13:59:21.203Z</x:t>
  </x:si>
  <x:si>
    <x:t xml:space="preserve">{"id":"50db218d-a8e0-0ac7-afca-6cb94b0e2231","district":"คลองสามวา","category":"ศูนย์พักพิงชั่วคราว","name":"โรงเรียนวัดคู้บอน","capacity":50,"occupied":40,"available":10,"unitType":"คน","status":"เปิดให้บริการ/ว่าง","routeDetails":"","link":"https://maps.app.goo.gl/e5LS7sQ78DfoeJ8h6","additionalDetails":null,"createdAt":"2026-09-26T08:52:03.000Z","updatedAt":"2026-09-26T13:59:21.203Z"}</x:t>
  </x:si>
  <x:si>
    <x:t xml:space="preserve">https://www.google.com/maps/place/%E0%B9%82%E0%B8%A3%E0%B8%87%E0%B9%80%E0%B8%A3%E0%B8%B5%E0%B8%A2%E0%B8%99%E0%B8%A7%E0%B8%B1%E0%B8%94%E0%B8%84%E0%B8%B9%E0%B9%89%E0%B8%9A%E0%B8%AD%E0%B8%99/@13.8545402,100.6644641,3762m/data=!3m1!1e3!4m6!3m5!1s0x311d6325824a48f5:0x3ee305b72ea0d92e!8m2!3d13.8538816!4d100.6736866!16s%2Fg%2F1hc4pfzlt?entry=tts&amp;g_ep=EgoyMDI2MDkyMy4wIPu8ASoASAFQAw%3D%3D&amp;skid=72812040-c068-4f75-bb50-5af3085a9929</x:t>
  </x:si>
  <x:si>
    <x:t xml:space="preserve">8fb673f2-385b-ad4b-eeee-7d525ef5aa22</x:t>
  </x:si>
  <x:si>
    <x:t xml:space="preserve">โรงเรียนวัดบัวแก้ว</x:t>
  </x:si>
  <x:si>
    <x:t xml:space="preserve">https://maps.app.goo.gl/xBho3BYpropp2EWB8</x:t>
  </x:si>
  <x:si>
    <x:t xml:space="preserve">{"id":"8fb673f2-385b-ad4b-eeee-7d525ef5aa22","district":"คลองสามวา","category":"ศูนย์พักพิงชั่วคราว","name":"โรงเรียนวัดบัวแก้ว","capacity":20,"occupied":0,"available":20,"unitType":"คน","status":"เปิดให้บริการ/ว่าง","routeDetails":"","link":"https://maps.app.goo.gl/xBho3BYpropp2EWB8","additionalDetails":null,"createdAt":"2026-09-26T08:52:03.000Z","updatedAt":"2026-09-26T08:52:03.000Z"}</x:t>
  </x:si>
  <x:si>
    <x:t xml:space="preserve">https://www.google.com/maps/place/%E0%B9%82%E0%B8%A3%E0%B8%87%E0%B9%80%E0%B8%A3%E0%B8%B5%E0%B8%A2%E0%B8%99%E0%B8%A7%E0%B8%B1%E0%B8%94%E0%B8%9A%E0%B8%B1%E0%B8%A7%E0%B9%81%E0%B8%81%E0%B9%89%E0%B8%A7/@13.8546088,100.7038939,3762m/data=!3m1!1e3!4m6!3m5!1s0x311d64ec2fe74d9b:0x66d7b97810d11733!8m2!3d13.8508973!4d100.7312155!16s%2Fg%2F1hc6wy6l1?entry=tts&amp;g_ep=EgoyMDI2MDkyMy4wIPu8ASoASAFQAw%3D%3D&amp;skid=8a5546b0-c4d8-49a2-9b21-dbd991861b69</x:t>
  </x:si>
  <x:si>
    <x:t xml:space="preserve">b64de202-a594-e14e-7d05-61a4ba19668e</x:t>
  </x:si>
  <x:si>
    <x:t xml:space="preserve">โรงเรียนวัดพระยาสุเรนทร์</x:t>
  </x:si>
  <x:si>
    <x:t xml:space="preserve">https://maps.app.goo.gl/LGP2bB2gYZpDtrXA6</x:t>
  </x:si>
  <x:si>
    <x:t xml:space="preserve">2026-09-26T14:00:02.591Z</x:t>
  </x:si>
  <x:si>
    <x:t xml:space="preserve">{"id":"b64de202-a594-e14e-7d05-61a4ba19668e","district":"คลองสามวา","category":"ศูนย์พักพิงชั่วคราว","name":"โรงเรียนวัดพระยาสุเรนทร์","capacity":100,"occupied":78,"available":22,"unitType":"คน","status":"เปิดให้บริการ/ว่าง","routeDetails":"","link":"https://maps.app.goo.gl/LGP2bB2gYZpDtrXA6","additionalDetails":null,"createdAt":"2026-09-26T08:52:03.000Z","updatedAt":"2026-09-26T14:00:02.591Z"}</x:t>
  </x:si>
  <x:si>
    <x:t xml:space="preserve">https://www.google.com/maps/place/%E0%B9%82%E0%B8%A3%E0%B8%87%E0%B9%80%E0%B8%A3%E0%B8%B5%E0%B8%A2%E0%B8%99%E0%B8%A7%E0%B8%B1%E0%B8%94%E0%B8%9E%E0%B8%A3%E0%B8%B0%E0%B8%A2%E0%B8%B2%E0%B8%AA%E0%B8%B8%E0%B9%80%E0%B8%A3%E0%B8%99%E0%B8%97%E0%B8%A3%E0%B9%8C/@13.8703415,100.6838396,1881m/data=!3m1!1e3!4m6!3m5!1s0x311d7cc9add77fa7:0xaaf02aa606726f29!8m2!3d13.8734813!4d100.6865445!16s%2Fg%2F1tczgynr?entry=tts&amp;g_ep=EgoyMDI2MDkyMy4wIPu8ASoASAFQAw%3D%3D&amp;skid=d29df70b-7383-4ae0-813f-1a2ccf17fe85</x:t>
  </x:si>
  <x:si>
    <x:t xml:space="preserve">9db52d39-4ba5-cf4f-adf1-c431cc94aa66</x:t>
  </x:si>
  <x:si>
    <x:t xml:space="preserve">โรงเรียนวัดลำกะดาน</x:t>
  </x:si>
  <x:si>
    <x:t xml:space="preserve">https://maps.app.goo.gl/ih9XCP6RpiwQiM4Z8</x:t>
  </x:si>
  <x:si>
    <x:t xml:space="preserve">{"id":"9db52d39-4ba5-cf4f-adf1-c431cc94aa66","district":"คลองสามวา","category":"ศูนย์พักพิงชั่วคราว","name":"โรงเรียนวัดลำกะดาน","capacity":40,"occupied":0,"available":40,"unitType":"คน","status":"เปิดให้บริการ/ว่าง","routeDetails":"","link":"https://maps.app.goo.gl/ih9XCP6RpiwQiM4Z8","additionalDetails":null,"createdAt":"2026-09-26T08:52:03.000Z","updatedAt":"2026-09-26T08:52:03.000Z"}</x:t>
  </x:si>
  <x:si>
    <x:t xml:space="preserve">https://www.google.com/maps/place/%E0%B9%82%E0%B8%A3%E0%B8%87%E0%B9%80%E0%B8%A3%E0%B8%B5%E0%B8%A2%E0%B8%99%E0%B8%A7%E0%B8%B1%E0%B8%94%E0%B8%A5%E0%B8%B3%E0%B8%81%E0%B8%B0%E0%B8%94%E0%B8%B2%E0%B8%99/@13.8930048,100.6851763,15046m/data=!3m1!1e3!4m6!3m5!1s0x311d7bad08dadead:0x87b3f5c785f3a5cc!8m2!3d13.9174808!4d100.752918!16s%2Fg%2F1pzxmz4ky?entry=tts&amp;g_ep=EgoyMDI2MDkyMy4wIPu8ASoASAFQAw%3D%3D&amp;skid=f3d5ec05-2f3c-415f-9dc9-7d025d8292a8</x:t>
  </x:si>
  <x:si>
    <x:t xml:space="preserve">8c728935-7ce8-489c-8b1c-72a823ff28e6</x:t>
  </x:si>
  <x:si>
    <x:t xml:space="preserve">โรงเรียนวัดศรีสุก</x:t>
  </x:si>
  <x:si>
    <x:t xml:space="preserve">https://maps.app.goo.gl/NU3jKUbBVjxgfWW7A</x:t>
  </x:si>
  <x:si>
    <x:t xml:space="preserve">{"id":"8c728935-7ce8-489c-8b1c-72a823ff28e6","district":"คลองสามวา","category":"ศูนย์พักพิงชั่วคราว","name":"โรงเรียนวัดศรีสุก","capacity":20,"occupied":0,"available":20,"unitType":"คน","status":"เปิดให้บริการ/ว่าง","routeDetails":"","link":"https://maps.app.goo.gl/NU3jKUbBVjxgfWW7A","additionalDetails":null,"createdAt":"2026-09-26T08:52:03.000Z","updatedAt":"2026-09-26T08:52:03.000Z"}</x:t>
  </x:si>
  <x:si>
    <x:t xml:space="preserve">https://www.google.com/maps/place/%E0%B9%82%E0%B8%A3%E0%B8%87%E0%B9%80%E0%B8%A3%E0%B8%B5%E0%B8%A2%E0%B8%99%E0%B8%A7%E0%B8%B1%E0%B8%94%E0%B8%A8%E0%B8%A3%E0%B8%B5%E0%B8%AA%E0%B8%B8%E0%B8%81/@13.8890686,100.6974667,15046m/data=!3m1!1e3!4m6!3m5!1s0x311d7a7066491661:0x4d1e4c2662edb1a7!8m2!3d13.9184414!4d100.7917995!16s%2Fg%2F1pzv238ls?entry=tts&amp;g_ep=EgoyMDI2MDkyMy4wIPu8ASoASAFQAw%3D%3D&amp;skid=ec657b14-ffa2-4584-bd1d-eb2835fe42c2</x:t>
  </x:si>
  <x:si>
    <x:t xml:space="preserve">f254fb32-f50d-7508-87c4-ee17b18543ed</x:t>
  </x:si>
  <x:si>
    <x:t xml:space="preserve">โรงเรียนวัดสุขใจ</x:t>
  </x:si>
  <x:si>
    <x:t xml:space="preserve">https://maps.app.goo.gl/ieoU17oAmX71uCeB8</x:t>
  </x:si>
  <x:si>
    <x:t xml:space="preserve">{"id":"f254fb32-f50d-7508-87c4-ee17b18543ed","district":"คลองสามวา","category":"ศูนย์พักพิงชั่วคราว","name":"โรงเรียนวัดสุขใจ","capacity":20,"occupied":0,"available":20,"unitType":"คน","status":"เปิดให้บริการ/ว่าง","routeDetails":"","link":"https://maps.app.goo.gl/ieoU17oAmX71uCeB8","additionalDetails":null,"createdAt":"2026-09-26T08:52:03.000Z","updatedAt":"2026-09-26T08:52:03.000Z"}</x:t>
  </x:si>
  <x:si>
    <x:t xml:space="preserve">https://www.google.com/maps/place/%E0%B9%82%E0%B8%A3%E0%B8%87%E0%B9%80%E0%B8%A3%E0%B8%B5%E0%B8%A2%E0%B8%99+%E0%B8%A7%E0%B8%B1%E0%B8%94%E0%B8%AA%E0%B8%B8%E0%B8%82%E0%B9%83%E0%B8%88/@13.8653625,100.7140857,7524m/data=!3m1!1e3!4m6!3m5!1s0x311d7bad08313d91:0x40584661c418975d!8m2!3d13.872037!4d100.7737308!16s%2Fg%2F1hc6t50bt?entry=tts&amp;g_ep=EgoyMDI2MDkyMy4wIPu8ASoASAFQAw%3D%3D&amp;skid=0b822272-dee2-4d9f-98a5-6667b850a7b4</x:t>
  </x:si>
  <x:si>
    <x:t xml:space="preserve">3d1ea7e9-e598-ca78-9421-6d300eb2460a</x:t>
  </x:si>
  <x:si>
    <x:t xml:space="preserve">โรงเรียนวัดสุทธิสะอาด</x:t>
  </x:si>
  <x:si>
    <x:t xml:space="preserve">https://maps.app.goo.gl/1iF1TVgRTYhgp8gL6</x:t>
  </x:si>
  <x:si>
    <x:t xml:space="preserve">{"id":"3d1ea7e9-e598-ca78-9421-6d300eb2460a","district":"คลองสามวา","category":"ศูนย์พักพิงชั่วคราว","name":"โรงเรียนวัดสุทธิสะอาด","capacity":50,"occupied":0,"available":50,"unitType":"คน","status":"เปิดให้บริการ/ว่าง","routeDetails":"","link":"https://maps.app.goo.gl/1iF1TVgRTYhgp8gL6","additionalDetails":null,"createdAt":"2026-09-26T08:52:03.000Z","updatedAt":"2026-09-26T08:52:03.000Z"}</x:t>
  </x:si>
  <x:si>
    <x:t xml:space="preserve">https://www.google.com/maps/place/%E0%B9%82%E0%B8%A3%E0%B8%87%E0%B9%80%E0%B8%A3%E0%B8%B5%E0%B8%A2%E0%B8%99%E0%B8%A7%E0%B8%B1%E0%B8%94%E0%B8%AA%E0%B8%B8%E0%B8%97%E0%B8%98%E0%B8%B4%E0%B8%AA%E0%B8%B0%E0%B8%AD%E0%B8%B2%E0%B8%94/@13.8693612,100.7035554,3762m/data=!3m1!1e3!4m6!3m5!1s0x311d7b4725858b0d:0x2568d86f1ad808b6!8m2!3d13.877293!4d100.7324536!16s%2Fg%2F1hc3rq3lc?entry=tts&amp;g_ep=EgoyMDI2MDkyMy4wIPu8ASoASAFQAw%3D%3D&amp;skid=8288dd46-8e01-4037-b214-dbf15f90121a</x:t>
  </x:si>
  <x:si>
    <x:t xml:space="preserve">901e730d-dba4-0046-4e83-88c2a6a76442</x:t>
  </x:si>
  <x:si>
    <x:t xml:space="preserve">โรงเรียนวัดแป้นทอง</x:t>
  </x:si>
  <x:si>
    <x:t xml:space="preserve">https://maps.app.goo.gl/yMsbGVL2nDX6GMBF6</x:t>
  </x:si>
  <x:si>
    <x:t xml:space="preserve">2026-09-26T14:00:42.794Z</x:t>
  </x:si>
  <x:si>
    <x:t xml:space="preserve">{"id":"901e730d-dba4-0046-4e83-88c2a6a76442","district":"คลองสามวา","category":"ศูนย์พักพิงชั่วคราว","name":"โรงเรียนวัดแป้นทอง","capacity":50,"occupied":25,"available":25,"unitType":"คน","status":"เปิดให้บริการ/ว่าง","routeDetails":"","link":"https://maps.app.goo.gl/yMsbGVL2nDX6GMBF6","additionalDetails":null,"createdAt":"2026-09-26T08:52:03.000Z","updatedAt":"2026-09-26T14:00:42.794Z"}</x:t>
  </x:si>
  <x:si>
    <x:t xml:space="preserve">https://www.google.com/maps/place/%E0%B9%82%E0%B8%A3%E0%B8%87%E0%B9%80%E0%B8%A3%E0%B8%B5%E0%B8%A2%E0%B8%99%E0%B8%A7%E0%B8%B1%E0%B8%94%E0%B9%81%E0%B8%9B%E0%B9%89%E0%B8%99%E0%B8%97%E0%B8%AD%E0%B8%87+%E0%B8%AA%E0%B8%B2%E0%B8%A1%E0%B8%A7%E0%B8%B2%E0%B8%A7%E0%B8%B4%E0%B8%97%E0%B8%A2%E0%B8%B2/@13.8738472,100.6899614,3762m/data=!3m1!1e3!4m6!3m5!1s0x311d7ca034c91bbf:0xef674db09a4a859f!8m2!3d13.8861952!4d100.7086731!16s%2Fg%2F1xpwg7g5?entry=tts&amp;g_ep=EgoyMDI2MDkyMy4wIPu8ASoASAFQAw%3D%3D&amp;skid=1996dd92-2b80-4b59-8b06-d56e17120000</x:t>
  </x:si>
  <x:si>
    <x:t xml:space="preserve">2f076880-6bfd-15f2-23e2-aca33de86fde</x:t>
  </x:si>
  <x:si>
    <x:t xml:space="preserve">โรงเรียนสุเหร่าคลองสี่</x:t>
  </x:si>
  <x:si>
    <x:t xml:space="preserve">https://maps.app.goo.gl/aEduGCLVwzfCwviFA</x:t>
  </x:si>
  <x:si>
    <x:t xml:space="preserve">{"id":"2f076880-6bfd-15f2-23e2-aca33de86fde","district":"คลองสามวา","category":"ศูนย์พักพิงชั่วคราว","name":"โรงเรียนสุเหร่าคลองสี่","capacity":15,"occupied":0,"available":15,"unitType":"คน","status":"เปิดให้บริการ/ว่าง","routeDetails":"","link":"https://maps.app.goo.gl/aEduGCLVwzfCwviFA","additionalDetails":null,"createdAt":"2026-09-26T08:52:03.000Z","updatedAt":"2026-09-26T08:52:03.000Z"}</x:t>
  </x:si>
  <x:si>
    <x:t xml:space="preserve">https://www.google.com/maps/place/%E0%B9%82%E0%B8%A3%E0%B8%87%E0%B9%80%E0%B8%A3%E0%B8%B5%E0%B8%A2%E0%B8%99%E0%B8%AA%E0%B8%B8%E0%B9%80%E0%B8%AB%E0%B8%A3%E0%B9%88%E0%B8%B2%E0%B8%84%E0%B8%A5%E0%B8%AD%E0%B8%87%E0%B8%AA%E0%B8%B5%E0%B9%88/@13.8882693,100.707312,7523m/data=!3m1!1e3!4m6!3m5!1s0x311d7a573c6e4549:0x83fcd1ec8da7a81b!8m2!3d13.912987!4d100.770257!16s%2Fg%2F1hc3d2qz2?entry=tts&amp;g_ep=EgoyMDI2MDkyMy4wIPu8ASoASAFQAw%3D%3D&amp;skid=247d6661-03ad-4690-98c9-7b28d134c0d0</x:t>
  </x:si>
  <x:si>
    <x:t xml:space="preserve">fd510f89-b391-866b-cb76-901208a3ff3d</x:t>
  </x:si>
  <x:si>
    <x:t xml:space="preserve">โรงเรียนสุเหร่าคลองหนึ่ง</x:t>
  </x:si>
  <x:si>
    <x:t xml:space="preserve">https://maps.app.goo.gl/jk5tBn8iGYDwRL8WA</x:t>
  </x:si>
  <x:si>
    <x:t xml:space="preserve">2026-09-26T14:00:58.031Z</x:t>
  </x:si>
  <x:si>
    <x:t xml:space="preserve">{"id":"fd510f89-b391-866b-cb76-901208a3ff3d","district":"คลองสามวา","category":"ศูนย์พักพิงชั่วคราว","name":"โรงเรียนสุเหร่าคลองหนึ่ง","capacity":30,"occupied":31,"available":0,"unitType":"คน","status":"เต็ม","routeDetails":"","link":"https://maps.app.goo.gl/jk5tBn8iGYDwRL8WA","additionalDetails":null,"createdAt":"2026-09-26T08:52:03.000Z","updatedAt":"2026-09-26T14:00:58.031Z"}</x:t>
  </x:si>
  <x:si>
    <x:t xml:space="preserve">https://www.google.com/maps/place/%E0%B9%82%E0%B8%A3%E0%B8%87%E0%B9%80%E0%B8%A3%E0%B8%B5%E0%B8%A2%E0%B8%99%E0%B8%AA%E0%B8%B8%E0%B9%80%E0%B8%AB%E0%B8%A3%E0%B9%88%E0%B8%B2%E0%B8%84%E0%B8%A5%E0%B8%AD%E0%B8%87%E0%B8%AB%E0%B8%99%E0%B8%B6%E0%B9%88%E0%B8%87+(%E0%B8%A1%E0%B8%B2%E0%B8%99%E0%B8%B0%E0%B8%A3%E0%B8%B2%E0%B8%A9%E0%B8%8E%E0%B8%A3%E0%B9%8C%E0%B8%9A%E0%B8%B3%E0%B8%A3%E0%B8%B8%E0%B8%87)/@13.8503703,100.691893,3762m/data=!3m1!1e3!4m6!3m5!1s0x311d64a012b57327:0xe435c0f47e47a83b!8m2!3d13.8424341!4d100.7111727!16s%2Fg%2F1pzprzj8f?entry=tts&amp;g_ep=EgoyMDI2MDkyMy4wIPu8ASoASAFQAw%3D%3D&amp;skid=560b7687-8931-41b4-8adb-6b21f7e78df0</x:t>
  </x:si>
  <x:si>
    <x:t xml:space="preserve">cc3aabaa-4bbe-ec5f-e9d0-806cb3e4963f</x:t>
  </x:si>
  <x:si>
    <x:t xml:space="preserve">โรงเรียนสุเหร่าสามวา</x:t>
  </x:si>
  <x:si>
    <x:t xml:space="preserve">https://maps.app.goo.gl/twPo7QmdoBKLcEoA7</x:t>
  </x:si>
  <x:si>
    <x:t xml:space="preserve">{"id":"cc3aabaa-4bbe-ec5f-e9d0-806cb3e4963f","district":"คลองสามวา","category":"ศูนย์พักพิงชั่วคราว","name":"โรงเรียนสุเหร่าสามวา","capacity":100,"occupied":4,"available":96,"unitType":"คน","status":"เปิดให้บริการ/ว่าง","routeDetails":"","link":"https://maps.app.goo.gl/twPo7QmdoBKLcEoA7","additionalDetails":null,"createdAt":"2026-09-26T08:52:03.000Z","updatedAt":"2026-09-26T08:52:03.000Z"}</x:t>
  </x:si>
  <x:si>
    <x:t xml:space="preserve">https://www.google.com/maps/place/%E0%B9%82%E0%B8%A3%E0%B8%87%E0%B9%80%E0%B8%A3%E0%B8%B5%E0%B8%A2%E0%B8%99+%E0%B8%AA%E0%B8%B8%E0%B9%80%E0%B8%AB%E0%B8%A3%E0%B9%88%E0%B8%B2+%E0%B8%AA%E0%B8%B2%E0%B8%A1%E0%B8%A7%E0%B8%B2/@13.8917634,100.6752495,7523m/data=!3m1!1e3!4m6!3m5!1s0x311d7b75ca23ebab:0xd39b39273fb09350!8m2!3d13.9064317!4d100.7268938!16s%2Fg%2F1tdql386?entry=tts&amp;g_ep=EgoyMDI2MDkyMy4wIPu8ASoASAFQAw%3D%3D&amp;skid=39447780-c4f3-455f-8c5f-cf8c4437758e</x:t>
  </x:si>
  <x:si>
    <x:t xml:space="preserve">cb7c07eb-d553-3fe4-30d5-4d72250e5b28</x:t>
  </x:si>
  <x:si>
    <x:t xml:space="preserve">โรงเรียนสุเหร่าเกาะขุนเณร</x:t>
  </x:si>
  <x:si>
    <x:t xml:space="preserve">https://maps.app.goo.gl/o48wqEwgiNCiHqzR7</x:t>
  </x:si>
  <x:si>
    <x:t xml:space="preserve">{"id":"cb7c07eb-d553-3fe4-30d5-4d72250e5b28","district":"คลองสามวา","category":"ศูนย์พักพิงชั่วคราว","name":"โรงเรียนสุเหร่าเกาะขุนเณร","capacity":20,"occupied":0,"available":20,"unitType":"คน","status":"เปิดให้บริการ/ว่าง","routeDetails":"","link":"https://maps.app.goo.gl/o48wqEwgiNCiHqzR7","additionalDetails":null,"createdAt":"2026-09-26T08:52:03.000Z","updatedAt":"2026-09-26T08:52:03.000Z"}</x:t>
  </x:si>
  <x:si>
    <x:t xml:space="preserve">https://www.google.com/maps/place/%E0%B9%82%E0%B8%A3%E0%B8%87%E0%B9%80%E0%B8%A3%E0%B8%B5%E0%B8%A2%E0%B8%99%E0%B8%AA%E0%B8%B8%E0%B9%80%E0%B8%AB%E0%B8%A3%E0%B9%88%E0%B8%B2%E0%B9%80%E0%B8%81%E0%B8%B2%E0%B8%B0%E0%B8%82%E0%B8%B8%E0%B8%99%E0%B9%80%E0%B8%93%E0%B8%A3/@13.8455422,100.7224453,7525m/data=!3m1!1e3!4m6!3m5!1s0x311d651628a5ff6b:0xdb11c46b6cce6ed3!8m2!3d13.8552235!4d100.7860228!16s%2Fg%2F1hc21v5n6?entry=tts&amp;g_ep=EgoyMDI2MDkyMy4wIPu8ASoASAFQAw%3D%3D&amp;skid=e22d0863-4336-4d22-a0ef-000670cec018</x:t>
  </x:si>
  <x:si>
    <x:t xml:space="preserve">11a11c68-c21c-016e-d8f1-827a62cf484b</x:t>
  </x:si>
  <x:si>
    <x:t xml:space="preserve">โรงเรียนสุเหร่าแสนแสบ</x:t>
  </x:si>
  <x:si>
    <x:t xml:space="preserve">https://maps.app.goo.gl/U8DdrE3R6Piw5QpR9</x:t>
  </x:si>
  <x:si>
    <x:t xml:space="preserve">{"id":"11a11c68-c21c-016e-d8f1-827a62cf484b","district":"คลองสามวา","category":"ศูนย์พักพิงชั่วคราว","name":"โรงเรียนสุเหร่าแสนแสบ","capacity":20,"occupied":0,"available":20,"unitType":"คน","status":"เปิดให้บริการ/ว่าง","routeDetails":"","link":"https://maps.app.goo.gl/U8DdrE3R6Piw5QpR9","additionalDetails":null,"createdAt":"2026-09-26T08:52:03.000Z","updatedAt":"2026-09-26T08:52:03.000Z"}</x:t>
  </x:si>
  <x:si>
    <x:t xml:space="preserve">https://www.google.com/maps/place/%E0%B9%82%E0%B8%A3%E0%B8%87%E0%B9%80%E0%B8%A3%E0%B8%B5%E0%B8%A2%E0%B8%99%E0%B8%AA%E0%B8%B8%E0%B9%80%E0%B8%AB%E0%B8%A3%E0%B9%88%E0%B8%B2%E0%B9%81%E0%B8%AA%E0%B8%99%E0%B9%81%E0%B8%AA%E0%B8%9A/@13.8417297,100.7028949,7525m/data=!3m1!1e3!4m6!3m5!1s0x311d64e04cc3302b:0x2ccd7998ceece860!8m2!3d13.8253398!4d100.7516658!16s%2Fg%2F1hc4s4yx5?entry=tts&amp;g_ep=EgoyMDI2MDkyMy4wIPu8ASoASAFQAw%3D%3D&amp;skid=d02e1df4-a8d7-4cfb-b6fd-5c8d7a6c2598</x:t>
  </x:si>
  <x:si>
    <x:t xml:space="preserve">d722b2cc-889d-df35-eec8-728feecedd3f</x:t>
  </x:si>
  <x:si>
    <x:t xml:space="preserve">โรงเรียนชุมชนหมู่บ้านพัฒนา</x:t>
  </x:si>
  <x:si>
    <x:t xml:space="preserve">https://maps.app.goo.gl/jAyqFyEuV7L5Zxmg8</x:t>
  </x:si>
  <x:si>
    <x:t xml:space="preserve">2026-09-26T05:03:50.000Z</x:t>
  </x:si>
  <x:si>
    <x:t xml:space="preserve">{"id":"d722b2cc-889d-df35-eec8-728feecedd3f","district":"คลองเตย","category":"ศูนย์พักพิงชั่วคราว","name":"โรงเรียนชุมชนหมู่บ้านพัฒนา","capacity":80,"occupied":0,"available":80,"unitType":"คน","status":"เปิดให้บริการ/ว่าง","routeDetails":"","link":"https://maps.app.goo.gl/jAyqFyEuV7L5Zxmg8","additionalDetails":null,"createdAt":"2026-09-26T05:03:50.000Z","updatedAt":"2026-09-26T05:03:50.000Z"}</x:t>
  </x:si>
  <x:si>
    <x:t xml:space="preserve">https://www.google.com/maps/place/%E0%B9%82%E0%B8%A3%E0%B8%87%E0%B9%80%E0%B8%A3%E0%B8%B5%E0%B8%A2%E0%B8%99%E0%B8%8A%E0%B8%B8%E0%B8%A1%E0%B8%8A%E0%B8%99%E0%B8%AB%E0%B8%A1%E0%B8%B9%E0%B9%88%E0%B8%9A%E0%B9%89%E0%B8%B2%E0%B8%99%E0%B8%9E%E0%B8%B1%E0%B8%92%E0%B8%99%E0%B8%B2/@13.7106539,100.5785415,16.21z/data=!4m6!3m5!1s0x30e29fa00c05f663:0xef90af05a08c2246!8m2!3d13.711051!4d100.5750891!16s%2Fg%2F1tlbllsv?authuser=0&amp;entry=tts&amp;g_ep=EgoyMDI2MDkyMy4wIPu8ASoASAFQAw%3D%3D&amp;skid=a4df6c88-9362-4eeb-8a2a-e449fd49bae7</x:t>
  </x:si>
  <x:si>
    <x:t xml:space="preserve">1dd132d0-4569-23ae-be40-a522df83d003</x:t>
  </x:si>
  <x:si>
    <x:t xml:space="preserve">โรงเรียนวัดคลองเตย</x:t>
  </x:si>
  <x:si>
    <x:t xml:space="preserve">https://maps.app.goo.gl/jwrVMbihue7cBwyc9</x:t>
  </x:si>
  <x:si>
    <x:t xml:space="preserve">2026-09-26T05:35:01.000Z</x:t>
  </x:si>
  <x:si>
    <x:t xml:space="preserve">2026-09-27T05:44:43.316Z</x:t>
  </x:si>
  <x:si>
    <x:t xml:space="preserve">{"id":"1dd132d0-4569-23ae-be40-a522df83d003","district":"คลองเตย","category":"ศูนย์พักพิงชั่วคราว","name":"โรงเรียนวัดคลองเตย","capacity":40,"occupied":0,"available":40,"unitType":"คน","status":"เปิดให้บริการ/ว่าง","routeDetails":"","link":"https://maps.app.goo.gl/jwrVMbihue7cBwyc9","additionalDetails":null,"createdAt":"2026-09-26T05:35:01.000Z","updatedAt":"2026-09-27T05:44:43.316Z"}</x:t>
  </x:si>
  <x:si>
    <x:t xml:space="preserve">https://www.google.com/maps/place/%E0%B9%82%E0%B8%A3%E0%B8%87%E0%B9%80%E0%B8%A3%E0%B8%B5%E0%B8%A2%E0%B8%99%E0%B8%A7%E0%B8%B1%E0%B8%94%E0%B8%84%E0%B8%A5%E0%B8%AD%E0%B8%87%E0%B9%80%E0%B8%95%E0%B8%A2/@13.7101051,100.558304,17z/data=!3m1!4b1!4m6!3m5!1s0x30e29f6d2ba13bf7:0x56bada636901c42c!8m2!3d13.7100999!4d100.5608789!16s%2Fg%2F1pzt2d_32?authuser=0&amp;entry=tts&amp;g_ep=EgoyMDI2MDkyMy4wIPu8ASoASAFQAw%3D%3D&amp;skid=dc530755-6bc6-4029-8db2-539adb889436</x:t>
  </x:si>
  <x:si>
    <x:t xml:space="preserve">c040288a-8183-d0da-98dd-6d9fa25611d2</x:t>
  </x:si>
  <x:si>
    <x:t xml:space="preserve">โรงเรียนวัดสะพาน</x:t>
  </x:si>
  <x:si>
    <x:t xml:space="preserve">https://maps.app.goo.gl/tVhTK4ccvJiKbV8E6</x:t>
  </x:si>
  <x:si>
    <x:t xml:space="preserve">{"id":"c040288a-8183-d0da-98dd-6d9fa25611d2","district":"คลองเตย","category":"ศูนย์พักพิงชั่วคราว","name":"โรงเรียนวัดสะพาน","capacity":30,"occupied":0,"available":30,"unitType":"คน","status":"เปิดให้บริการ/ว่าง","routeDetails":"","link":"https://maps.app.goo.gl/tVhTK4ccvJiKbV8E6","additionalDetails":null,"createdAt":"2026-09-26T05:03:50.000Z","updatedAt":"2026-09-26T05:03:50.000Z"}</x:t>
  </x:si>
  <x:si>
    <x:t xml:space="preserve">รออ่านพิกัดรอบถัดไป</x:t>
  </x:si>
  <x:si>
    <x:t xml:space="preserve">fd7e7d16-a682-834c-e858-c73ba044e475</x:t>
  </x:si>
  <x:si>
    <x:t xml:space="preserve">โรงเรียนศูนย์รวมน้ำใจ</x:t>
  </x:si>
  <x:si>
    <x:t xml:space="preserve">https://maps.app.goo.gl/qoCis2v48PdHkiNc9</x:t>
  </x:si>
  <x:si>
    <x:t xml:space="preserve">{"id":"fd7e7d16-a682-834c-e858-c73ba044e475","district":"คลองเตย","category":"ศูนย์พักพิงชั่วคราว","name":"โรงเรียนศูนย์รวมน้ำใจ","capacity":100,"occupied":0,"available":100,"unitType":"คน","status":"เปิดให้บริการ/ว่าง","routeDetails":"","link":"https://maps.app.goo.gl/qoCis2v48PdHkiNc9","additionalDetails":null,"createdAt":"2026-09-26T05:03:50.000Z","updatedAt":"2026-09-26T05:03:50.000Z"}</x:t>
  </x:si>
  <x:si>
    <x:t xml:space="preserve">22f94af8-8aaa-eb37-33b6-4c1157969a24</x:t>
  </x:si>
  <x:si>
    <x:t xml:space="preserve">โรงเรียนคันนายาว(ธารินเจริญสงเคราะห์)</x:t>
  </x:si>
  <x:si>
    <x:t xml:space="preserve">https://maps.app.goo.gl/Rq9QRAASxyA2kfXn7</x:t>
  </x:si>
  <x:si>
    <x:t xml:space="preserve">2026-09-26T05:13:25.000Z</x:t>
  </x:si>
  <x:si>
    <x:t xml:space="preserve">2026-10-01T03:43:26.118Z</x:t>
  </x:si>
  <x:si>
    <x:t xml:space="preserve">{"id":"22f94af8-8aaa-eb37-33b6-4c1157969a24","district":"คันนายาว","category":"ศูนย์พักพิงชั่วคราว","name":"โรงเรียนคันนายาว(ธารินเจริญสงเคราะห์)","capacity":50,"occupied":56,"available":0,"unitType":"คน","status":"เต็ม","routeDetails":"","link":"https://maps.app.goo.gl/Rq9QRAASxyA2kfXn7","additionalDetails":null,"createdAt":"2026-09-26T05:13:25.000Z","updatedAt":"2026-10-01T03:43:26.118Z"}</x:t>
  </x:si>
  <x:si>
    <x:t xml:space="preserve">d1c79939-24e8-8046-816c-c6301ab8be5e</x:t>
  </x:si>
  <x:si>
    <x:t xml:space="preserve">โรงเรียนจินดาบำรุง</x:t>
  </x:si>
  <x:si>
    <x:t xml:space="preserve">https://maps.app.goo.gl/wPVxWdJ9mRoZ4SeF7</x:t>
  </x:si>
  <x:si>
    <x:t xml:space="preserve">2026-09-26T06:58:42.000Z</x:t>
  </x:si>
  <x:si>
    <x:t xml:space="preserve">2026-10-01T00:58:57.578Z</x:t>
  </x:si>
  <x:si>
    <x:t xml:space="preserve">{"id":"d1c79939-24e8-8046-816c-c6301ab8be5e","district":"คันนายาว","category":"ศูนย์พักพิงชั่วคราว","name":"โรงเรียนจินดาบำรุง","capacity":400,"occupied":83,"available":317,"unitType":"คน","status":"เปิดให้บริการ/ว่าง","routeDetails":"","link":"https://maps.app.goo.gl/wPVxWdJ9mRoZ4SeF7","additionalDetails":null,"createdAt":"2026-09-26T06:58:42.000Z","updatedAt":"2026-10-01T00:58:57.578Z"}</x:t>
  </x:si>
  <x:si>
    <x:t xml:space="preserve">12135531-bf8d-18d0-0d58-727f2f37a01e</x:t>
  </x:si>
  <x:si>
    <x:t xml:space="preserve">ราชภัฏจันทรเกษม</x:t>
  </x:si>
  <x:si>
    <x:t xml:space="preserve">08 1372 5898</x:t>
  </x:si>
  <x:si>
    <x:t xml:space="preserve">2026-09-26T05:38:34.000Z</x:t>
  </x:si>
  <x:si>
    <x:t xml:space="preserve">2026-09-27T06:25:57.691Z</x:t>
  </x:si>
  <x:si>
    <x:t xml:space="preserve">{"id":"12135531-bf8d-18d0-0d58-727f2f37a01e","district":"จตุจักร","category":"ศูนย์พักพิงชั่วคราว","name":"ราชภัฏจันทรเกษม","capacity":100,"occupied":2,"available":98,"unitType":"คน","status":"เปิดให้บริการ/ว่าง","routeDetails":"","link":null,"additionalDetails":"08 1372 5898","createdAt":"2026-09-26T05:38:34.000Z","updatedAt":"2026-09-27T06:25:57.691Z"}</x:t>
  </x:si>
  <x:si>
    <x:t xml:space="preserve">ไม่มีลิงก์ Google Maps</x:t>
  </x:si>
  <x:si>
    <x:t xml:space="preserve">9f1c27dc-35ca-d9bf-1f98-89db992049b8</x:t>
  </x:si>
  <x:si>
    <x:t xml:space="preserve">วัดเทวสุนทร</x:t>
  </x:si>
  <x:si>
    <x:t xml:space="preserve">09 4242 4571</x:t>
  </x:si>
  <x:si>
    <x:t xml:space="preserve">2026-09-27T06:26:19.755Z</x:t>
  </x:si>
  <x:si>
    <x:t xml:space="preserve">{"id":"9f1c27dc-35ca-d9bf-1f98-89db992049b8","district":"จตุจักร","category":"ศูนย์พักพิงชั่วคราว","name":"วัดเทวสุนทร","capacity":100,"occupied":70,"available":30,"unitType":"คน","status":"เปิดให้บริการ/ว่าง","routeDetails":"","link":null,"additionalDetails":"09 4242 4571","createdAt":"2026-09-26T05:38:34.000Z","updatedAt":"2026-09-27T06:26:19.755Z"}</x:t>
  </x:si>
  <x:si>
    <x:t xml:space="preserve">7bdd2d4b-db00-13d6-9352-6959208796ff</x:t>
  </x:si>
  <x:si>
    <x:t xml:space="preserve">โรงเรียนบ้านลาดพร้าว</x:t>
  </x:si>
  <x:si>
    <x:t xml:space="preserve">02 541 8512</x:t>
  </x:si>
  <x:si>
    <x:t xml:space="preserve">2026-09-27T06:26:36.496Z</x:t>
  </x:si>
  <x:si>
    <x:t xml:space="preserve">{"id":"7bdd2d4b-db00-13d6-9352-6959208796ff","district":"จตุจักร","category":"ศูนย์พักพิงชั่วคราว","name":"โรงเรียนบ้านลาดพร้าว","capacity":50,"occupied":16,"available":34,"unitType":"คน","status":"เปิดให้บริการ/ว่าง","routeDetails":"","link":null,"additionalDetails":"02 541 8512","createdAt":"2026-09-26T05:38:34.000Z","updatedAt":"2026-09-27T06:26:36.496Z"}</x:t>
  </x:si>
  <x:si>
    <x:t xml:space="preserve">64581ef2-b823-cc2e-f161-dbe4285ff141</x:t>
  </x:si>
  <x:si>
    <x:t xml:space="preserve">โรงเรียนวัดเทวสุนทร</x:t>
  </x:si>
  <x:si>
    <x:t xml:space="preserve">08 4471 9056</x:t>
  </x:si>
  <x:si>
    <x:t xml:space="preserve">2026-09-27T06:26:49.734Z</x:t>
  </x:si>
  <x:si>
    <x:t xml:space="preserve">{"id":"64581ef2-b823-cc2e-f161-dbe4285ff141","district":"จตุจักร","category":"ศูนย์พักพิงชั่วคราว","name":"โรงเรียนวัดเทวสุนทร","capacity":80,"occupied":15,"available":65,"unitType":"คน","status":"เปิดให้บริการ/ว่าง","routeDetails":"","link":null,"additionalDetails":"08 4471 9056","createdAt":"2026-09-26T05:38:34.000Z","updatedAt":"2026-09-27T06:26:49.734Z"}</x:t>
  </x:si>
  <x:si>
    <x:t xml:space="preserve">57c52eca-7e19-268b-5ebb-ac4470cebbb6</x:t>
  </x:si>
  <x:si>
    <x:t xml:space="preserve">โรงเรียนวัดเสมียนนารี</x:t>
  </x:si>
  <x:si>
    <x:t xml:space="preserve">09 7018 6879</x:t>
  </x:si>
  <x:si>
    <x:t xml:space="preserve">2026-09-27T06:27:07.784Z</x:t>
  </x:si>
  <x:si>
    <x:t xml:space="preserve">{"id":"57c52eca-7e19-268b-5ebb-ac4470cebbb6","district":"จตุจักร","category":"ศูนย์พักพิงชั่วคราว","name":"โรงเรียนวัดเสมียนนารี","capacity":150,"occupied":12,"available":138,"unitType":"คน","status":"เปิดให้บริการ/ว่าง","routeDetails":"","link":null,"additionalDetails":"09 7018 6879","createdAt":"2026-09-26T05:38:34.000Z","updatedAt":"2026-09-27T06:27:07.784Z"}</x:t>
  </x:si>
  <x:si>
    <x:t xml:space="preserve">e5c896e0-c1df-34db-4f87-8a8096472399</x:t>
  </x:si>
  <x:si>
    <x:t xml:space="preserve">โรงเรียนเสนานิคม</x:t>
  </x:si>
  <x:si>
    <x:t xml:space="preserve">09 2271 6787</x:t>
  </x:si>
  <x:si>
    <x:t xml:space="preserve">2026-09-27T06:27:34.610Z</x:t>
  </x:si>
  <x:si>
    <x:t xml:space="preserve">{"id":"e5c896e0-c1df-34db-4f87-8a8096472399","district":"จตุจักร","category":"ศูนย์พักพิงชั่วคราว","name":"โรงเรียนเสนานิคม","capacity":150,"occupied":299,"available":0,"unitType":"คน","status":"เต็ม","routeDetails":"","link":null,"additionalDetails":"09 2271 6787","createdAt":"2026-09-26T05:38:34.000Z","updatedAt":"2026-09-27T06:27:34.610Z"}</x:t>
  </x:si>
  <x:si>
    <x:t xml:space="preserve">db069ece-3cc7-20fa-1725-1988e6dc3f3f</x:t>
  </x:si>
  <x:si>
    <x:t xml:space="preserve">โรงเรียนพหลโยธิน</x:t>
  </x:si>
  <x:si>
    <x:t xml:space="preserve">2026-09-26T08:22:04.000Z</x:t>
  </x:si>
  <x:si>
    <x:t xml:space="preserve">2026-09-26T11:10:04.731Z</x:t>
  </x:si>
  <x:si>
    <x:t xml:space="preserve">{"id":"db069ece-3cc7-20fa-1725-1988e6dc3f3f","district":"ดอนเมือง","category":"ศูนย์พักพิงชั่วคราว","name":"โรงเรียนพหลโยธิน","capacity":60,"occupied":30,"available":30,"unitType":"คน","status":"เปิดให้บริการ/ว่าง","routeDetails":"","link":null,"additionalDetails":null,"createdAt":"2026-09-26T08:22:04.000Z","updatedAt":"2026-09-26T11:10:04.731Z"}</x:t>
  </x:si>
  <x:si>
    <x:t xml:space="preserve">8404aba6-d4dc-3f49-49d0-f491f6fa42b7</x:t>
  </x:si>
  <x:si>
    <x:t xml:space="preserve">โรงเรียนวัดดอนเมือง</x:t>
  </x:si>
  <x:si>
    <x:t xml:space="preserve">2026-09-26T08:19:06.000Z</x:t>
  </x:si>
  <x:si>
    <x:t xml:space="preserve">2026-09-26T11:09:43.187Z</x:t>
  </x:si>
  <x:si>
    <x:t xml:space="preserve">{"id":"8404aba6-d4dc-3f49-49d0-f491f6fa42b7","district":"ดอนเมือง","category":"ศูนย์พักพิงชั่วคราว","name":"โรงเรียนวัดดอนเมือง","capacity":50,"occupied":42,"available":8,"unitType":"คน","status":"เปิดให้บริการ/ว่าง","routeDetails":"","link":null,"additionalDetails":null,"createdAt":"2026-09-26T08:19:06.000Z","updatedAt":"2026-09-26T11:09:43.187Z"}</x:t>
  </x:si>
  <x:si>
    <x:t xml:space="preserve">a34ce584-4036-6f9a-953c-2a8fc922b999</x:t>
  </x:si>
  <x:si>
    <x:t xml:space="preserve">โรงเรียนวิชูทิศ</x:t>
  </x:si>
  <x:si>
    <x:t xml:space="preserve">https://maps.app.goo.gl/Ly1YWbV27Q3SkPYY8</x:t>
  </x:si>
  <x:si>
    <x:t xml:space="preserve">2026-09-26T07:47:40.000Z</x:t>
  </x:si>
  <x:si>
    <x:t xml:space="preserve">{"id":"a34ce584-4036-6f9a-953c-2a8fc922b999","district":"ดินแดง","category":"ศูนย์พักพิงชั่วคราว","name":"โรงเรียนวิชูทิศ","capacity":200,"occupied":0,"available":200,"unitType":"คน","status":"เปิดให้บริการ/ว่าง","routeDetails":"","link":"https://maps.app.goo.gl/Ly1YWbV27Q3SkPYY8","additionalDetails":null,"createdAt":"2026-09-26T07:47:40.000Z","updatedAt":"2026-09-26T07:47:40.000Z"}</x:t>
  </x:si>
  <x:si>
    <x:t xml:space="preserve">866d79e5-6d6a-1532-3281-758768670715</x:t>
  </x:si>
  <x:si>
    <x:t xml:space="preserve">วัดสวัสดิ์วารีสีมาราม</x:t>
  </x:si>
  <x:si>
    <x:t xml:space="preserve">ยังไม่มีการเปิดศูนย์ฯ</x:t>
  </x:si>
  <x:si>
    <x:t xml:space="preserve">2026-09-26T07:53:42.000Z</x:t>
  </x:si>
  <x:si>
    <x:t xml:space="preserve">{"id":"866d79e5-6d6a-1532-3281-758768670715","district":"ดุสิต","category":"ศูนย์พักพิงชั่วคราว","name":"วัดสวัสดิ์วารีสีมาราม","capacity":50,"occupied":0,"available":50,"unitType":"คน","status":"เปิดให้บริการ/ว่าง","routeDetails":"","link":null,"additionalDetails":"ยังไม่มีการเปิดศูนย์ฯ","createdAt":"2026-09-26T07:53:42.000Z","updatedAt":"2026-09-26T07:53:42.000Z"}</x:t>
  </x:si>
  <x:si>
    <x:t xml:space="preserve">86b84da7-fd67-e137-13bc-1760c72970e7</x:t>
  </x:si>
  <x:si>
    <x:t xml:space="preserve">วัดสุคันธาราม</x:t>
  </x:si>
  <x:si>
    <x:t xml:space="preserve">{"id":"86b84da7-fd67-e137-13bc-1760c72970e7","district":"ดุสิต","category":"ศูนย์พักพิงชั่วคราว","name":"วัดสุคันธาราม","capacity":50,"occupied":0,"available":50,"unitType":"คน","status":"เปิดให้บริการ/ว่าง","routeDetails":"","link":null,"additionalDetails":"ยังไม่มีการเปิดศูนย์ฯ","createdAt":"2026-09-26T07:53:42.000Z","updatedAt":"2026-09-26T07:53:42.000Z"}</x:t>
  </x:si>
  <x:si>
    <x:t xml:space="preserve">88883e8b-442c-31fd-848a-d1b15046cc07</x:t>
  </x:si>
  <x:si>
    <x:t xml:space="preserve">ศูนย์นันทนาการสวนอ้อย</x:t>
  </x:si>
  <x:si>
    <x:t xml:space="preserve">{"id":"88883e8b-442c-31fd-848a-d1b15046cc07","district":"ดุสิต","category":"ศูนย์พักพิงชั่วคราว","name":"ศูนย์นันทนาการสวนอ้อย","capacity":20,"occupied":0,"available":20,"unitType":"คน","status":"เปิดให้บริการ/ว่าง","routeDetails":"","link":null,"additionalDetails":"ยังไม่มีการเปิดศูนย์ฯ","createdAt":"2026-09-26T07:53:42.000Z","updatedAt":"2026-09-26T07:53:42.000Z"}</x:t>
  </x:si>
  <x:si>
    <x:t xml:space="preserve">10a55cee-cc6f-4f0a-a61e-eab585c09bd4</x:t>
  </x:si>
  <x:si>
    <x:t xml:space="preserve">โรงเรียนวัดสมณานัมบริหาร</x:t>
  </x:si>
  <x:si>
    <x:t xml:space="preserve">{"id":"10a55cee-cc6f-4f0a-a61e-eab585c09bd4","district":"ดุสิต","category":"ศูนย์พักพิงชั่วคราว","name":"โรงเรียนวัดสมณานัมบริหาร","capacity":50,"occupied":0,"available":50,"unitType":"คน","status":"เปิดให้บริการ/ว่าง","routeDetails":"","link":null,"additionalDetails":"ยังไม่มีการเปิดศูนย์ฯ","createdAt":"2026-09-26T07:53:42.000Z","updatedAt":"2026-09-26T07:53:42.000Z"}</x:t>
  </x:si>
  <x:si>
    <x:t xml:space="preserve">f121cc39-0c1b-298e-d247-72fbee6948d5</x:t>
  </x:si>
  <x:si>
    <x:t xml:space="preserve">โรงเรียนวัดสวัสดิ์วารีสีมาราม</x:t>
  </x:si>
  <x:si>
    <x:t xml:space="preserve">{"id":"f121cc39-0c1b-298e-d247-72fbee6948d5","district":"ดุสิต","category":"ศูนย์พักพิงชั่วคราว","name":"โรงเรียนวัดสวัสดิ์วารีสีมาราม","capacity":50,"occupied":0,"available":50,"unitType":"คน","status":"เปิดให้บริการ/ว่าง","routeDetails":"","link":null,"additionalDetails":"ยังไม่มีการเปิดศูนย์ฯ","createdAt":"2026-09-26T07:53:42.000Z","updatedAt":"2026-09-26T07:53:42.000Z"}</x:t>
  </x:si>
  <x:si>
    <x:t xml:space="preserve">165c7fd3-3a14-d02d-b852-f0f3982eb9c0</x:t>
  </x:si>
  <x:si>
    <x:t xml:space="preserve">โรงเรียนวัดเทวราชกุญชร</x:t>
  </x:si>
  <x:si>
    <x:t xml:space="preserve">{"id":"165c7fd3-3a14-d02d-b852-f0f3982eb9c0","district":"ดุสิต","category":"ศูนย์พักพิงชั่วคราว","name":"โรงเรียนวัดเทวราชกุญชร","capacity":50,"occupied":0,"available":50,"unitType":"คน","status":"เปิดให้บริการ/ว่าง","routeDetails":"","link":null,"additionalDetails":"ยังไม่มีการเปิดศูนย์ฯ","createdAt":"2026-09-26T07:53:42.000Z","updatedAt":"2026-09-26T07:53:42.000Z"}</x:t>
  </x:si>
  <x:si>
    <x:t xml:space="preserve">e5ee61e4-9f67-ef99-64ab-7f36778882fd</x:t>
  </x:si>
  <x:si>
    <x:t xml:space="preserve">โรงเรียนวัดเบญจมบพิตร</x:t>
  </x:si>
  <x:si>
    <x:t xml:space="preserve">{"id":"e5ee61e4-9f67-ef99-64ab-7f36778882fd","district":"ดุสิต","category":"ศูนย์พักพิงชั่วคราว","name":"โรงเรียนวัดเบญจมบพิตร","capacity":50,"occupied":0,"available":50,"unitType":"คน","status":"เปิดให้บริการ/ว่าง","routeDetails":"","link":null,"additionalDetails":"ยังไม่มีการเปิดศูนย์ฯ","createdAt":"2026-09-26T07:53:42.000Z","updatedAt":"2026-09-26T07:53:42.000Z"}</x:t>
  </x:si>
  <x:si>
    <x:t xml:space="preserve">078156ff-1e9f-4177-a2e5-fd725054a93b</x:t>
  </x:si>
  <x:si>
    <x:t xml:space="preserve">โรงเรียนคลองต้นไทร(สุขล้อมอุทิศ)</x:t>
  </x:si>
  <x:si>
    <x:t xml:space="preserve">https://maps.app.goo.gl/Lvm3q12TxWnA55786</x:t>
  </x:si>
  <x:si>
    <x:t xml:space="preserve">2026-09-26T12:54:21.507Z</x:t>
  </x:si>
  <x:si>
    <x:t xml:space="preserve">2026-09-26T13:17:09.496Z</x:t>
  </x:si>
  <x:si>
    <x:t xml:space="preserve">{"id":"078156ff-1e9f-4177-a2e5-fd725054a93b","district":"ทวีวัฒนา","category":"ศูนย์พักพิงชั่วคราว","name":"โรงเรียนคลองต้นไทร(สุขล้อมอุทิศ)","capacity":50,"occupied":0,"available":50,"unitType":"คน","status":"เปิดให้บริการ/ว่าง","routeDetails":"","link":"https://maps.app.goo.gl/Lvm3q12TxWnA55786","additionalDetails":null,"createdAt":"2026-09-26T12:54:21.507Z","updatedAt":"2026-09-26T13:17:09.496Z"}</x:t>
  </x:si>
  <x:si>
    <x:t xml:space="preserve">b17e35b9-6828-468b-a753-c3fe90479a46</x:t>
  </x:si>
  <x:si>
    <x:t xml:space="preserve">โรงเรียนคลองทวีวัฒนา(ทองน่วมอนุสรณ์)</x:t>
  </x:si>
  <x:si>
    <x:t xml:space="preserve">https://maps.app.goo.gl/Jn8GzDEPTb1XWuuLA?g_st=ac</x:t>
  </x:si>
  <x:si>
    <x:t xml:space="preserve">2026-09-26T12:58:10.188Z</x:t>
  </x:si>
  <x:si>
    <x:t xml:space="preserve">{"id":"b17e35b9-6828-468b-a753-c3fe90479a46","district":"ทวีวัฒนา","category":"ศูนย์พักพิงชั่วคราว","name":"โรงเรียนคลองทวีวัฒนา(ทองน่วมอนุสรณ์)","capacity":50,"occupied":0,"available":50,"unitType":"คน","status":"เปิดให้บริการ/ว่าง","routeDetails":"","link":"https://maps.app.goo.gl/Jn8GzDEPTb1XWuuLA?g_st=ac","additionalDetails":null,"createdAt":"2026-09-26T12:58:10.188Z","updatedAt":"2026-09-26T12:58:10.188Z"}</x:t>
  </x:si>
  <x:si>
    <x:t xml:space="preserve">3dc7b92c-20e7-4ddd-a7eb-6012a01bae5c</x:t>
  </x:si>
  <x:si>
    <x:t xml:space="preserve">โรงเรียนคลองบางพรหม</x:t>
  </x:si>
  <x:si>
    <x:t xml:space="preserve">https://maps.app.goo.gl/LC24wmGu2r73UQJR9?g_st=ac</x:t>
  </x:si>
  <x:si>
    <x:t xml:space="preserve">2026-09-26T12:59:58.912Z</x:t>
  </x:si>
  <x:si>
    <x:t xml:space="preserve">2026-09-26T13:17:46.525Z</x:t>
  </x:si>
  <x:si>
    <x:t xml:space="preserve">{"id":"3dc7b92c-20e7-4ddd-a7eb-6012a01bae5c","district":"ทวีวัฒนา","category":"ศูนย์พักพิงชั่วคราว","name":"โรงเรียนคลองบางพรหม","capacity":35,"occupied":3,"available":32,"unitType":"คน","status":"เปิดให้บริการ/ว่าง","routeDetails":"","link":"https://maps.app.goo.gl/LC24wmGu2r73UQJR9?g_st=ac","additionalDetails":null,"createdAt":"2026-09-26T12:59:58.912Z","updatedAt":"2026-09-26T13:17:46.525Z"}</x:t>
  </x:si>
  <x:si>
    <x:t xml:space="preserve">0d95bb9d-216c-4ef9-86ee-d1ea0d829e25</x:t>
  </x:si>
  <x:si>
    <x:t xml:space="preserve">โรงเรียนคลองมหาสวัสดิ์</x:t>
  </x:si>
  <x:si>
    <x:t xml:space="preserve">https://maps.app.goo.gl/cu6qooLYkhSspMmNA?g_st=ac</x:t>
  </x:si>
  <x:si>
    <x:t xml:space="preserve">2026-09-26T13:03:13.254Z</x:t>
  </x:si>
  <x:si>
    <x:t xml:space="preserve">2026-09-26T13:18:02.102Z</x:t>
  </x:si>
  <x:si>
    <x:t xml:space="preserve">{"id":"0d95bb9d-216c-4ef9-86ee-d1ea0d829e25","district":"ทวีวัฒนา","category":"ศูนย์พักพิงชั่วคราว","name":"โรงเรียนคลองมหาสวัสดิ์","capacity":20,"occupied":0,"available":20,"unitType":"คน","status":"เปิดให้บริการ/ว่าง","routeDetails":"","link":"https://maps.app.goo.gl/cu6qooLYkhSspMmNA?g_st=ac","additionalDetails":null,"createdAt":"2026-09-26T13:03:13.254Z","updatedAt":"2026-09-26T13:18:02.102Z"}</x:t>
  </x:si>
  <x:si>
    <x:t xml:space="preserve">7c4c03f9-10bc-44f0-ad6a-b7c314ec8563</x:t>
  </x:si>
  <x:si>
    <x:t xml:space="preserve">โรงเรียนตั้งพิรุฬห์ธรรม</x:t>
  </x:si>
  <x:si>
    <x:t xml:space="preserve">https://maps.app.goo.gl/tGytJfNkVqnX3QdW8</x:t>
  </x:si>
  <x:si>
    <x:t xml:space="preserve">2026-09-26T13:05:23.132Z</x:t>
  </x:si>
  <x:si>
    <x:t xml:space="preserve">2026-09-26T13:18:14.128Z</x:t>
  </x:si>
  <x:si>
    <x:t xml:space="preserve">{"id":"7c4c03f9-10bc-44f0-ad6a-b7c314ec8563","district":"ทวีวัฒนา","category":"ศูนย์พักพิงชั่วคราว","name":"โรงเรียนตั้งพิรุฬห์ธรรม","capacity":20,"occupied":0,"available":20,"unitType":"คน","status":"เปิดให้บริการ/ว่าง","routeDetails":"","link":"https://maps.app.goo.gl/tGytJfNkVqnX3QdW8","additionalDetails":null,"createdAt":"2026-09-26T13:05:23.132Z","updatedAt":"2026-09-26T13:18:14.128Z"}</x:t>
  </x:si>
  <x:si>
    <x:t xml:space="preserve">f02dc659-7a22-4af6-9ee1-ef413273225a</x:t>
  </x:si>
  <x:si>
    <x:t xml:space="preserve">โรงเรียนมัธยมปุรณาวาส</x:t>
  </x:si>
  <x:si>
    <x:t xml:space="preserve">https://maps.app.goo.gl/2SrNrV4o1j3vFM1n9?g_st=ac</x:t>
  </x:si>
  <x:si>
    <x:t xml:space="preserve">2026-09-26T13:07:51.723Z</x:t>
  </x:si>
  <x:si>
    <x:t xml:space="preserve">2026-09-26T13:18:42.556Z</x:t>
  </x:si>
  <x:si>
    <x:t xml:space="preserve">{"id":"f02dc659-7a22-4af6-9ee1-ef413273225a","district":"ทวีวัฒนา","category":"ศูนย์พักพิงชั่วคราว","name":"โรงเรียนมัธยมปุรณาวาส","capacity":20,"occupied":6,"available":14,"unitType":"คน","status":"เปิดให้บริการ/ว่าง","routeDetails":"","link":"https://maps.app.goo.gl/2SrNrV4o1j3vFM1n9?g_st=ac","additionalDetails":null,"createdAt":"2026-09-26T13:07:51.723Z","updatedAt":"2026-09-26T13:18:42.556Z"}</x:t>
  </x:si>
  <x:si>
    <x:t xml:space="preserve">8fb662a7-69f9-4d75-a6df-a72562a364c8</x:t>
  </x:si>
  <x:si>
    <x:t xml:space="preserve">โรงเรียนวัดปุรณาวาส</x:t>
  </x:si>
  <x:si>
    <x:t xml:space="preserve">https://maps.app.goo.gl/KQy275Z89uN6XfXz5?g_st=ac</x:t>
  </x:si>
  <x:si>
    <x:t xml:space="preserve">2026-09-26T13:06:42.731Z</x:t>
  </x:si>
  <x:si>
    <x:t xml:space="preserve">2026-09-26T13:18:49.582Z</x:t>
  </x:si>
  <x:si>
    <x:t xml:space="preserve">{"id":"8fb662a7-69f9-4d75-a6df-a72562a364c8","district":"ทวีวัฒนา","category":"ศูนย์พักพิงชั่วคราว","name":"โรงเรียนวัดปุรณาวาส","capacity":30,"occupied":0,"available":30,"unitType":"คน","status":"เปิดให้บริการ/ว่าง","routeDetails":"","link":"https://maps.app.goo.gl/KQy275Z89uN6XfXz5?g_st=ac","additionalDetails":null,"createdAt":"2026-09-26T13:06:42.731Z","updatedAt":"2026-09-26T13:18:49.582Z"}</x:t>
  </x:si>
  <x:si>
    <x:t xml:space="preserve">b7fbc4ec-56dc-7900-ace2-5a8cb685c8d3</x:t>
  </x:si>
  <x:si>
    <x:t xml:space="preserve">โรงเรียนคลองรางจาก</x:t>
  </x:si>
  <x:si>
    <x:t xml:space="preserve">2026-09-26T07:47:17.000Z</x:t>
  </x:si>
  <x:si>
    <x:t xml:space="preserve">{"id":"b7fbc4ec-56dc-7900-ace2-5a8cb685c8d3","district":"ทุ่งครุ","category":"ศูนย์พักพิงชั่วคราว","name":"โรงเรียนคลองรางจาก","capacity":20,"occupied":0,"available":20,"unitType":"คน","status":"เปิดให้บริการ/ว่าง","routeDetails":"","link":null,"additionalDetails":null,"createdAt":"2026-09-26T07:47:17.000Z","updatedAt":"2026-09-26T07:47:17.000Z"}</x:t>
  </x:si>
  <x:si>
    <x:t xml:space="preserve">53dda150-1b18-5d9a-b257-8a6ac2829450</x:t>
  </x:si>
  <x:si>
    <x:t xml:space="preserve">โรงเรียนชูสินทองประดิษฐ์อนุสรณ์</x:t>
  </x:si>
  <x:si>
    <x:t xml:space="preserve">{"id":"53dda150-1b18-5d9a-b257-8a6ac2829450","district":"ทุ่งครุ","category":"ศูนย์พักพิงชั่วคราว","name":"โรงเรียนชูสินทองประดิษฐ์อนุสรณ์","capacity":80,"occupied":0,"available":80,"unitType":"คน","status":"เปิดให้บริการ/ว่าง","routeDetails":"","link":null,"additionalDetails":null,"createdAt":"2026-09-26T07:47:17.000Z","updatedAt":"2026-09-26T07:47:17.000Z"}</x:t>
  </x:si>
  <x:si>
    <x:t xml:space="preserve">7df1767c-2913-ffbe-3e81-865a4cbac662</x:t>
  </x:si>
  <x:si>
    <x:t xml:space="preserve">โรงเรียนนาหลวง</x:t>
  </x:si>
  <x:si>
    <x:t xml:space="preserve">{"id":"7df1767c-2913-ffbe-3e81-865a4cbac662","district":"ทุ่งครุ","category":"ศูนย์พักพิงชั่วคราว","name":"โรงเรียนนาหลวง","capacity":150,"occupied":0,"available":150,"unitType":"คน","status":"เปิดให้บริการ/ว่าง","routeDetails":"","link":null,"additionalDetails":null,"createdAt":"2026-09-26T07:47:17.000Z","updatedAt":"2026-09-26T07:47:17.000Z"}</x:t>
  </x:si>
  <x:si>
    <x:t xml:space="preserve">cc3501f8-bf75-048f-f0ee-4727755df689</x:t>
  </x:si>
  <x:si>
    <x:t xml:space="preserve">โรงเรียนบางมด (ตันเปาว์วิทยาคาร)</x:t>
  </x:si>
  <x:si>
    <x:t xml:space="preserve">{"id":"cc3501f8-bf75-048f-f0ee-4727755df689","district":"ทุ่งครุ","category":"ศูนย์พักพิงชั่วคราว","name":"โรงเรียนบางมด (ตันเปาว์วิทยาคาร)","capacity":80,"occupied":0,"available":80,"unitType":"คน","status":"เปิดให้บริการ/ว่าง","routeDetails":"","link":null,"additionalDetails":null,"createdAt":"2026-09-26T07:47:17.000Z","updatedAt":"2026-09-26T07:47:17.000Z"}</x:t>
  </x:si>
  <x:si>
    <x:t xml:space="preserve">2bfd8b11-5586-b357-cbfb-1071521934fb</x:t>
  </x:si>
  <x:si>
    <x:t xml:space="preserve">โรงเรียนรางราชพฤกษ์นุชมีอุทิศ</x:t>
  </x:si>
  <x:si>
    <x:t xml:space="preserve">{"id":"2bfd8b11-5586-b357-cbfb-1071521934fb","district":"ทุ่งครุ","category":"ศูนย์พักพิงชั่วคราว","name":"โรงเรียนรางราชพฤกษ์นุชมีอุทิศ","capacity":50,"occupied":0,"available":50,"unitType":"คน","status":"เปิดให้บริการ/ว่าง","routeDetails":"","link":null,"additionalDetails":null,"createdAt":"2026-09-26T07:47:17.000Z","updatedAt":"2026-09-26T07:47:17.000Z"}</x:t>
  </x:si>
  <x:si>
    <x:t xml:space="preserve">00dd767b-4ec9-4c4e-c430-ada69841114c</x:t>
  </x:si>
  <x:si>
    <x:t xml:space="preserve">โรงเรียนราษฎร์บูรณะ (มูฮำหมัดอุทิศ)</x:t>
  </x:si>
  <x:si>
    <x:t xml:space="preserve">{"id":"00dd767b-4ec9-4c4e-c430-ada69841114c","district":"ทุ่งครุ","category":"ศูนย์พักพิงชั่วคราว","name":"โรงเรียนราษฎร์บูรณะ (มูฮำหมัดอุทิศ)","capacity":150,"occupied":0,"available":150,"unitType":"คน","status":"เปิดให้บริการ/ว่าง","routeDetails":"","link":null,"additionalDetails":null,"createdAt":"2026-09-26T07:47:17.000Z","updatedAt":"2026-09-26T07:47:17.000Z"}</x:t>
  </x:si>
  <x:si>
    <x:t xml:space="preserve">5f3d517f-7411-6ec9-a5c9-a551da2a0905</x:t>
  </x:si>
  <x:si>
    <x:t xml:space="preserve">โรงเรียนวัดทุ่งครุ (พึ่งสายอนุสรณ์)</x:t>
  </x:si>
  <x:si>
    <x:t xml:space="preserve">{"id":"5f3d517f-7411-6ec9-a5c9-a551da2a0905","district":"ทุ่งครุ","category":"ศูนย์พักพิงชั่วคราว","name":"โรงเรียนวัดทุ่งครุ (พึ่งสายอนุสรณ์)","capacity":150,"occupied":0,"available":150,"unitType":"คน","status":"เปิดให้บริการ/ว่าง","routeDetails":"","link":null,"additionalDetails":null,"createdAt":"2026-09-26T07:47:17.000Z","updatedAt":"2026-09-26T07:47:17.000Z"}</x:t>
  </x:si>
  <x:si>
    <x:t xml:space="preserve">79cc73f1-16f8-9235-2c4a-1f071b1038f9</x:t>
  </x:si>
  <x:si>
    <x:t xml:space="preserve">โรงเรียนสามัคคีบำรุง</x:t>
  </x:si>
  <x:si>
    <x:t xml:space="preserve">{"id":"79cc73f1-16f8-9235-2c4a-1f071b1038f9","district":"ทุ่งครุ","category":"ศูนย์พักพิงชั่วคราว","name":"โรงเรียนสามัคคีบำรุง","capacity":50,"occupied":0,"available":50,"unitType":"คน","status":"เปิดให้บริการ/ว่าง","routeDetails":"","link":null,"additionalDetails":null,"createdAt":"2026-09-26T07:47:17.000Z","updatedAt":"2026-09-26T07:47:17.000Z"}</x:t>
  </x:si>
  <x:si>
    <x:t xml:space="preserve">aebb8f0d-7ac8-d49b-d135-593c2b1fdfd7</x:t>
  </x:si>
  <x:si>
    <x:t xml:space="preserve">โรงเรียนกันตทาราราม</x:t>
  </x:si>
  <x:si>
    <x:t xml:space="preserve">ผอ.สมัคร หมายเลขโทรศัพท์ 099 986 4500</x:t>
  </x:si>
  <x:si>
    <x:t xml:space="preserve">2026-09-26T08:22:22.000Z</x:t>
  </x:si>
  <x:si>
    <x:t xml:space="preserve">{"id":"aebb8f0d-7ac8-d49b-d135-593c2b1fdfd7","district":"ธนบุรี","category":"ศูนย์พักพิงชั่วคราว","name":"โรงเรียนกันตทาราราม","capacity":50,"occupied":0,"available":50,"unitType":"คน","status":"เปิดให้บริการ/ว่าง","routeDetails":"","link":null,"additionalDetails":"ผอ.สมัคร หมายเลขโทรศัพท์ 099 986 4500","createdAt":"2026-09-26T08:22:22.000Z","updatedAt":"2026-09-26T08:22:22.000Z"}</x:t>
  </x:si>
  <x:si>
    <x:t xml:space="preserve">9669678e-4bb7-a321-9059-c668da9b4a3f</x:t>
  </x:si>
  <x:si>
    <x:t xml:space="preserve">โรงเรียนวัดกระจับพินิจ</x:t>
  </x:si>
  <x:si>
    <x:t xml:space="preserve">ผอ.ณมรัตน์ หมายเลขโทรศัพท์ 099 291 5594</x:t>
  </x:si>
  <x:si>
    <x:t xml:space="preserve">{"id":"9669678e-4bb7-a321-9059-c668da9b4a3f","district":"ธนบุรี","category":"ศูนย์พักพิงชั่วคราว","name":"โรงเรียนวัดกระจับพินิจ","capacity":50,"occupied":0,"available":50,"unitType":"คน","status":"เปิดให้บริการ/ว่าง","routeDetails":"","link":null,"additionalDetails":"ผอ.ณมรัตน์ หมายเลขโทรศัพท์ 099 291 5594","createdAt":"2026-09-26T08:22:22.000Z","updatedAt":"2026-09-26T08:22:22.000Z"}</x:t>
  </x:si>
  <x:si>
    <x:t xml:space="preserve">f67cbe20-e844-b6cd-7310-25d620ec280f</x:t>
  </x:si>
  <x:si>
    <x:t xml:space="preserve">โรงเรียนวัดกัลยาณมิตร</x:t>
  </x:si>
  <x:si>
    <x:t xml:space="preserve">ผอ.วรรณวดี หมายเลขโทรศัพท์ 089 780 6433</x:t>
  </x:si>
  <x:si>
    <x:t xml:space="preserve">{"id":"f67cbe20-e844-b6cd-7310-25d620ec280f","district":"ธนบุรี","category":"ศูนย์พักพิงชั่วคราว","name":"โรงเรียนวัดกัลยาณมิตร","capacity":50,"occupied":0,"available":50,"unitType":"คน","status":"เปิดให้บริการ/ว่าง","routeDetails":"","link":null,"additionalDetails":"ผอ.วรรณวดี หมายเลขโทรศัพท์ 089 780 6433","createdAt":"2026-09-26T08:22:22.000Z","updatedAt":"2026-09-26T08:22:22.000Z"}</x:t>
  </x:si>
  <x:si>
    <x:t xml:space="preserve">3b0e9445-1ce4-5723-1c23-da82162e37c8</x:t>
  </x:si>
  <x:si>
    <x:t xml:space="preserve">โรงเรียนวัดขุนจันทร์</x:t>
  </x:si>
  <x:si>
    <x:t xml:space="preserve">ผอ.ขนิษฐา หมายเลขโทรศัพท์ 089 780 7242</x:t>
  </x:si>
  <x:si>
    <x:t xml:space="preserve">{"id":"3b0e9445-1ce4-5723-1c23-da82162e37c8","district":"ธนบุรี","category":"ศูนย์พักพิงชั่วคราว","name":"โรงเรียนวัดขุนจันทร์","capacity":50,"occupied":0,"available":50,"unitType":"คน","status":"เปิดให้บริการ/ว่าง","routeDetails":"","link":null,"additionalDetails":"ผอ.ขนิษฐา หมายเลขโทรศัพท์ 089 780 7242","createdAt":"2026-09-26T08:22:22.000Z","updatedAt":"2026-09-26T08:22:22.000Z"}</x:t>
  </x:si>
  <x:si>
    <x:t xml:space="preserve">069ac5a8-91fe-780c-a74a-9ba5e0989daf</x:t>
  </x:si>
  <x:si>
    <x:t xml:space="preserve">โรงเรียนวัดบางน้ำชน</x:t>
  </x:si>
  <x:si>
    <x:t xml:space="preserve">ผอ.ธนพร หมายเลขโทรศัพท์ 081 744 2111</x:t>
  </x:si>
  <x:si>
    <x:t xml:space="preserve">{"id":"069ac5a8-91fe-780c-a74a-9ba5e0989daf","district":"ธนบุรี","category":"ศูนย์พักพิงชั่วคราว","name":"โรงเรียนวัดบางน้ำชน","capacity":30,"occupied":0,"available":30,"unitType":"คน","status":"เปิดให้บริการ/ว่าง","routeDetails":"","link":null,"additionalDetails":"ผอ.ธนพร หมายเลขโทรศัพท์ 081 744 2111","createdAt":"2026-09-26T08:22:22.000Z","updatedAt":"2026-09-26T08:22:22.000Z"}</x:t>
  </x:si>
  <x:si>
    <x:t xml:space="preserve">359aec1a-274a-d748-a423-5add85e49f90</x:t>
  </x:si>
  <x:si>
    <x:t xml:space="preserve">โรงเรียนวัดบุคคโล</x:t>
  </x:si>
  <x:si>
    <x:t xml:space="preserve">ผอ.วงเดือน หมายเลขโทรศัพท์ 081 448 1965</x:t>
  </x:si>
  <x:si>
    <x:t xml:space="preserve">{"id":"359aec1a-274a-d748-a423-5add85e49f90","district":"ธนบุรี","category":"ศูนย์พักพิงชั่วคราว","name":"โรงเรียนวัดบุคคโล","capacity":20,"occupied":0,"available":20,"unitType":"คน","status":"เปิดให้บริการ/ว่าง","routeDetails":"","link":null,"additionalDetails":"ผอ.วงเดือน หมายเลขโทรศัพท์ 081 448 1965","createdAt":"2026-09-26T08:22:22.000Z","updatedAt":"2026-09-26T08:22:22.000Z"}</x:t>
  </x:si>
  <x:si>
    <x:t xml:space="preserve">f1300896-d216-7e56-6c87-240e8926a5fa</x:t>
  </x:si>
  <x:si>
    <x:t xml:space="preserve">โรงเรียนวัดใหญ่ศรีสุพรรณ</x:t>
  </x:si>
  <x:si>
    <x:t xml:space="preserve">ผอ.อาทิตย หมายเลขโทรศัพท์ 088 096 6421</x:t>
  </x:si>
  <x:si>
    <x:t xml:space="preserve">{"id":"f1300896-d216-7e56-6c87-240e8926a5fa","district":"ธนบุรี","category":"ศูนย์พักพิงชั่วคราว","name":"โรงเรียนวัดใหญ่ศรีสุพรรณ","capacity":10,"occupied":0,"available":10,"unitType":"คน","status":"เปิดให้บริการ/ว่าง","routeDetails":"","link":null,"additionalDetails":"ผอ.อาทิตย หมายเลขโทรศัพท์ 088 096 6421","createdAt":"2026-09-26T08:22:22.000Z","updatedAt":"2026-09-26T08:22:22.000Z"}</x:t>
  </x:si>
  <x:si>
    <x:t xml:space="preserve">c556a28b-893c-7e74-80b7-5b6e95a62bdc</x:t>
  </x:si>
  <x:si>
    <x:t xml:space="preserve">โรงเรียนวัดใหม่ยายนุ้ย</x:t>
  </x:si>
  <x:si>
    <x:t xml:space="preserve">ผอ.ชัชเวช หมายเลขโทรศัพท์ 086 774 5521</x:t>
  </x:si>
  <x:si>
    <x:t xml:space="preserve">{"id":"c556a28b-893c-7e74-80b7-5b6e95a62bdc","district":"ธนบุรี","category":"ศูนย์พักพิงชั่วคราว","name":"โรงเรียนวัดใหม่ยายนุ้ย","capacity":10,"occupied":0,"available":10,"unitType":"คน","status":"เปิดให้บริการ/ว่าง","routeDetails":"","link":null,"additionalDetails":"ผอ.ชัชเวช หมายเลขโทรศัพท์ 086 774 5521","createdAt":"2026-09-26T08:22:22.000Z","updatedAt":"2026-09-26T08:22:22.000Z"}</x:t>
  </x:si>
  <x:si>
    <x:t xml:space="preserve">5c2ec8ee-0d6c-e5df-03f1-d84da713bb9e</x:t>
  </x:si>
  <x:si>
    <x:t xml:space="preserve">โรงเรียนวัดดงมูลเหล็ก</x:t>
  </x:si>
  <x:si>
    <x:t xml:space="preserve">https://maps.app.goo.gl/UjCcAbUePvdzGMoZ7</x:t>
  </x:si>
  <x:si>
    <x:t xml:space="preserve">02 411 3981</x:t>
  </x:si>
  <x:si>
    <x:t xml:space="preserve">2026-09-26T08:47:06.000Z</x:t>
  </x:si>
  <x:si>
    <x:t xml:space="preserve">{"id":"5c2ec8ee-0d6c-e5df-03f1-d84da713bb9e","district":"บางกอกน้อย","category":"ศูนย์พักพิงชั่วคราว","name":"โรงเรียนวัดดงมูลเหล็ก","capacity":30,"occupied":0,"available":30,"unitType":"คน","status":"เปิดให้บริการ/ว่าง","routeDetails":"","link":"https://maps.app.goo.gl/UjCcAbUePvdzGMoZ7","additionalDetails":"02 411 3981","createdAt":"2026-09-26T08:47:06.000Z","updatedAt":"2026-09-26T08:47:06.000Z"}</x:t>
  </x:si>
  <x:si>
    <x:t xml:space="preserve">c7e7e9ca-eea8-5e68-6744-9f991678404c</x:t>
  </x:si>
  <x:si>
    <x:t xml:space="preserve">โรงเรียนวัดดุสิตาราม</x:t>
  </x:si>
  <x:si>
    <x:t xml:space="preserve">https://maps.app.goo.gl/fc7zNCiTJbjNv1zc8</x:t>
  </x:si>
  <x:si>
    <x:t xml:space="preserve">02 424 0418</x:t>
  </x:si>
  <x:si>
    <x:t xml:space="preserve">2026-09-26T13:09:01.859Z</x:t>
  </x:si>
  <x:si>
    <x:t xml:space="preserve">{"id":"c7e7e9ca-eea8-5e68-6744-9f991678404c","district":"บางกอกน้อย","category":"ศูนย์พักพิงชั่วคราว","name":"โรงเรียนวัดดุสิตาราม","capacity":100,"occupied":0,"available":100,"unitType":"คน","status":"เปิดให้บริการ/ว่าง","routeDetails":"","link":"https://maps.app.goo.gl/fc7zNCiTJbjNv1zc8","additionalDetails":"02 424 0418","createdAt":"2026-09-26T08:47:06.000Z","updatedAt":"2026-09-26T13:09:01.859Z"}</x:t>
  </x:si>
  <x:si>
    <x:t xml:space="preserve">1639e943-23d8-bf28-90fa-188322402eee</x:t>
  </x:si>
  <x:si>
    <x:t xml:space="preserve">โรงเรียนวัดบางขุนนนท์</x:t>
  </x:si>
  <x:si>
    <x:t xml:space="preserve">https://maps.app.goo.gl/PG2qVn4tGCaPwnB98</x:t>
  </x:si>
  <x:si>
    <x:t xml:space="preserve">02 424 5827</x:t>
  </x:si>
  <x:si>
    <x:t xml:space="preserve">{"id":"1639e943-23d8-bf28-90fa-188322402eee","district":"บางกอกน้อย","category":"ศูนย์พักพิงชั่วคราว","name":"โรงเรียนวัดบางขุนนนท์","capacity":30,"occupied":0,"available":30,"unitType":"คน","status":"เปิดให้บริการ/ว่าง","routeDetails":"","link":"https://maps.app.goo.gl/PG2qVn4tGCaPwnB98","additionalDetails":"02 424 5827","createdAt":"2026-09-26T08:47:06.000Z","updatedAt":"2026-09-26T08:47:06.000Z"}</x:t>
  </x:si>
  <x:si>
    <x:t xml:space="preserve">4bb88f52-ff6d-d071-ba1d-9a9f649c1fd0</x:t>
  </x:si>
  <x:si>
    <x:t xml:space="preserve">โรงเรียนวัดบางเสาธง</x:t>
  </x:si>
  <x:si>
    <x:t xml:space="preserve">https://maps.app.goo.gl/5X1wFufXFjNG1PRx9</x:t>
  </x:si>
  <x:si>
    <x:t xml:space="preserve">02 411 2256</x:t>
  </x:si>
  <x:si>
    <x:t xml:space="preserve">{"id":"4bb88f52-ff6d-d071-ba1d-9a9f649c1fd0","district":"บางกอกน้อย","category":"ศูนย์พักพิงชั่วคราว","name":"โรงเรียนวัดบางเสาธง","capacity":30,"occupied":0,"available":30,"unitType":"คน","status":"เปิดให้บริการ/ว่าง","routeDetails":"","link":"https://maps.app.goo.gl/5X1wFufXFjNG1PRx9","additionalDetails":"02 411 2256","createdAt":"2026-09-26T08:47:06.000Z","updatedAt":"2026-09-26T08:47:06.000Z"}</x:t>
  </x:si>
  <x:si>
    <x:t xml:space="preserve">5e75a580-0fd8-99b2-0aa7-1e5f25e603a4</x:t>
  </x:si>
  <x:si>
    <x:t xml:space="preserve">โรงเรียนวัดปฐมบุตรอิศราราม</x:t>
  </x:si>
  <x:si>
    <x:t xml:space="preserve">https://maps.app.goo.gl/phNZeL9hHE3dgBMR9</x:t>
  </x:si>
  <x:si>
    <x:t xml:space="preserve">02 424 0415</x:t>
  </x:si>
  <x:si>
    <x:t xml:space="preserve">{"id":"5e75a580-0fd8-99b2-0aa7-1e5f25e603a4","district":"บางกอกน้อย","category":"ศูนย์พักพิงชั่วคราว","name":"โรงเรียนวัดปฐมบุตรอิศราราม","capacity":30,"occupied":0,"available":30,"unitType":"คน","status":"เปิดให้บริการ/ว่าง","routeDetails":"","link":"https://maps.app.goo.gl/phNZeL9hHE3dgBMR9","additionalDetails":"02 424 0415","createdAt":"2026-09-26T08:47:06.000Z","updatedAt":"2026-09-26T08:47:06.000Z"}</x:t>
  </x:si>
  <x:si>
    <x:t xml:space="preserve">74f4895b-15f4-4760-758d-6695a194ab1e</x:t>
  </x:si>
  <x:si>
    <x:t xml:space="preserve">โรงเรียนวัดพระยาทำ</x:t>
  </x:si>
  <x:si>
    <x:t xml:space="preserve">https://maps.app.goo.gl/uGeVZ32ov1Z2JDPX9</x:t>
  </x:si>
  <x:si>
    <x:t xml:space="preserve">02 411 1251</x:t>
  </x:si>
  <x:si>
    <x:t xml:space="preserve">{"id":"74f4895b-15f4-4760-758d-6695a194ab1e","district":"บางกอกน้อย","category":"ศูนย์พักพิงชั่วคราว","name":"โรงเรียนวัดพระยาทำ","capacity":20,"occupied":0,"available":20,"unitType":"คน","status":"เปิดให้บริการ/ว่าง","routeDetails":"","link":"https://maps.app.goo.gl/uGeVZ32ov1Z2JDPX9","additionalDetails":"02 411 1251","createdAt":"2026-09-26T08:47:06.000Z","updatedAt":"2026-09-26T08:47:06.000Z"}</x:t>
  </x:si>
  <x:si>
    <x:t xml:space="preserve">f0e00a9c-7518-7335-e87e-c5f3938b5852</x:t>
  </x:si>
  <x:si>
    <x:t xml:space="preserve">โรงเรียนวัดมะลิ</x:t>
  </x:si>
  <x:si>
    <x:t xml:space="preserve">https://maps.app.goo.gl/sTj3Z1czH9ng2MJe7</x:t>
  </x:si>
  <x:si>
    <x:t xml:space="preserve">02 412 2481</x:t>
  </x:si>
  <x:si>
    <x:t xml:space="preserve">{"id":"f0e00a9c-7518-7335-e87e-c5f3938b5852","district":"บางกอกน้อย","category":"ศูนย์พักพิงชั่วคราว","name":"โรงเรียนวัดมะลิ","capacity":100,"occupied":0,"available":100,"unitType":"คน","status":"เปิดให้บริการ/ว่าง","routeDetails":"","link":"https://maps.app.goo.gl/sTj3Z1czH9ng2MJe7","additionalDetails":"02 412 2481","createdAt":"2026-09-26T08:47:06.000Z","updatedAt":"2026-09-26T08:47:06.000Z"}</x:t>
  </x:si>
  <x:si>
    <x:t xml:space="preserve">b6fd3cfe-e79a-05a5-fa1c-76ac3f44f758</x:t>
  </x:si>
  <x:si>
    <x:t xml:space="preserve">โรงเรียนวัดยางสุทธาราม</x:t>
  </x:si>
  <x:si>
    <x:t xml:space="preserve">https://maps.app.goo.gl/G5KyYpqqRTqyCV8cA</x:t>
  </x:si>
  <x:si>
    <x:t xml:space="preserve">02 411 3176</x:t>
  </x:si>
  <x:si>
    <x:t xml:space="preserve">{"id":"b6fd3cfe-e79a-05a5-fa1c-76ac3f44f758","district":"บางกอกน้อย","category":"ศูนย์พักพิงชั่วคราว","name":"โรงเรียนวัดยางสุทธาราม","capacity":100,"occupied":0,"available":100,"unitType":"คน","status":"เปิดให้บริการ/ว่าง","routeDetails":"","link":"https://maps.app.goo.gl/G5KyYpqqRTqyCV8cA","additionalDetails":"02 411 3176","createdAt":"2026-09-26T08:47:06.000Z","updatedAt":"2026-09-26T08:47:06.000Z"}</x:t>
  </x:si>
  <x:si>
    <x:t xml:space="preserve">b67715e3-ccfc-0aed-cf88-eabb68cef1fd</x:t>
  </x:si>
  <x:si>
    <x:t xml:space="preserve">โรงเรียนวัดวิเศษการ</x:t>
  </x:si>
  <x:si>
    <x:t xml:space="preserve">https://maps.app.goo.gl/T589DZXzaBciMh5Y8</x:t>
  </x:si>
  <x:si>
    <x:t xml:space="preserve">02 412 3193</x:t>
  </x:si>
  <x:si>
    <x:t xml:space="preserve">{"id":"b67715e3-ccfc-0aed-cf88-eabb68cef1fd","district":"บางกอกน้อย","category":"ศูนย์พักพิงชั่วคราว","name":"โรงเรียนวัดวิเศษการ","capacity":50,"occupied":0,"available":50,"unitType":"คน","status":"เปิดให้บริการ/ว่าง","routeDetails":"","link":"https://maps.app.goo.gl/T589DZXzaBciMh5Y8","additionalDetails":"02 412 3193","createdAt":"2026-09-26T08:47:06.000Z","updatedAt":"2026-09-26T08:47:06.000Z"}</x:t>
  </x:si>
  <x:si>
    <x:t xml:space="preserve">408c77d3-f1cb-ae83-42c8-10264d62b45b</x:t>
  </x:si>
  <x:si>
    <x:t xml:space="preserve">โรงเรียนวัดสุวรรณาราม</x:t>
  </x:si>
  <x:si>
    <x:t xml:space="preserve">02 424 4087</x:t>
  </x:si>
  <x:si>
    <x:t xml:space="preserve">{"id":"408c77d3-f1cb-ae83-42c8-10264d62b45b","district":"บางกอกน้อย","category":"ศูนย์พักพิงชั่วคราว","name":"โรงเรียนวัดสุวรรณาราม","capacity":100,"occupied":0,"available":100,"unitType":"คน","status":"เปิดให้บริการ/ว่าง","routeDetails":"","link":null,"additionalDetails":"02 424 4087","createdAt":"2026-09-26T08:47:06.000Z","updatedAt":"2026-09-26T08:47:06.000Z"}</x:t>
  </x:si>
  <x:si>
    <x:t xml:space="preserve">83a7d202-b385-bc34-c677-d3ccfa3a3b7d</x:t>
  </x:si>
  <x:si>
    <x:t xml:space="preserve">โรงเรียนวัดอัมพวา</x:t>
  </x:si>
  <x:si>
    <x:t xml:space="preserve">https://maps.app.goo.gl/ZsP2Pj47Q7fyVy9J7</x:t>
  </x:si>
  <x:si>
    <x:t xml:space="preserve">02 411 0548</x:t>
  </x:si>
  <x:si>
    <x:t xml:space="preserve">{"id":"83a7d202-b385-bc34-c677-d3ccfa3a3b7d","district":"บางกอกน้อย","category":"ศูนย์พักพิงชั่วคราว","name":"โรงเรียนวัดอัมพวา","capacity":50,"occupied":0,"available":50,"unitType":"คน","status":"เปิดให้บริการ/ว่าง","routeDetails":"","link":"https://maps.app.goo.gl/ZsP2Pj47Q7fyVy9J7","additionalDetails":"02 411 0548","createdAt":"2026-09-26T08:47:06.000Z","updatedAt":"2026-09-26T08:47:06.000Z"}</x:t>
  </x:si>
  <x:si>
    <x:t xml:space="preserve">3f2e4d20-b168-3b0c-5182-99aff6c45a46</x:t>
  </x:si>
  <x:si>
    <x:t xml:space="preserve">โรงเรียนวัดเจ้าอาม</x:t>
  </x:si>
  <x:si>
    <x:t xml:space="preserve">https://maps.app.goo.gl/xDf9my4VF9xArpQH7</x:t>
  </x:si>
  <x:si>
    <x:t xml:space="preserve">02 424 1377</x:t>
  </x:si>
  <x:si>
    <x:t xml:space="preserve">{"id":"3f2e4d20-b168-3b0c-5182-99aff6c45a46","district":"บางกอกน้อย","category":"ศูนย์พักพิงชั่วคราว","name":"โรงเรียนวัดเจ้าอาม","capacity":50,"occupied":0,"available":50,"unitType":"คน","status":"เปิดให้บริการ/ว่าง","routeDetails":"","link":"https://maps.app.goo.gl/xDf9my4VF9xArpQH7","additionalDetails":"02 424 1377","createdAt":"2026-09-26T08:47:06.000Z","updatedAt":"2026-09-26T08:47:06.000Z"}</x:t>
  </x:si>
  <x:si>
    <x:t xml:space="preserve">fafc8e79-1ba2-2ff1-17ed-ee63d827ff71</x:t>
  </x:si>
  <x:si>
    <x:t xml:space="preserve">โรงเรียนวัดโพธิ์เรียง</x:t>
  </x:si>
  <x:si>
    <x:t xml:space="preserve">https://maps.app.goo.gl/tRnkZguVB63ysmoC7</x:t>
  </x:si>
  <x:si>
    <x:t xml:space="preserve">02 412 3036</x:t>
  </x:si>
  <x:si>
    <x:t xml:space="preserve">{"id":"fafc8e79-1ba2-2ff1-17ed-ee63d827ff71","district":"บางกอกน้อย","category":"ศูนย์พักพิงชั่วคราว","name":"โรงเรียนวัดโพธิ์เรียง","capacity":30,"occupied":0,"available":30,"unitType":"คน","status":"เปิดให้บริการ/ว่าง","routeDetails":"","link":"https://maps.app.goo.gl/tRnkZguVB63ysmoC7","additionalDetails":"02 412 3036","createdAt":"2026-09-26T08:47:06.000Z","updatedAt":"2026-09-26T08:47:06.000Z"}</x:t>
  </x:si>
  <x:si>
    <x:t xml:space="preserve">fb831f68-e0c3-7061-1205-282530342391</x:t>
  </x:si>
  <x:si>
    <x:t xml:space="preserve">โรงเรียนวัเสุวรรณคีรี</x:t>
  </x:si>
  <x:si>
    <x:t xml:space="preserve">https://maps.app.goo.gl/VpK4JpmMrPMEW24A7</x:t>
  </x:si>
  <x:si>
    <x:t xml:space="preserve">02 424 0416</x:t>
  </x:si>
  <x:si>
    <x:t xml:space="preserve">{"id":"fb831f68-e0c3-7061-1205-282530342391","district":"บางกอกน้อย","category":"ศูนย์พักพิงชั่วคราว","name":"โรงเรียนวัเสุวรรณคีรี","capacity":50,"occupied":0,"available":50,"unitType":"คน","status":"เปิดให้บริการ/ว่าง","routeDetails":"","link":"https://maps.app.goo.gl/VpK4JpmMrPMEW24A7","additionalDetails":"02 424 0416","createdAt":"2026-09-26T08:47:06.000Z","updatedAt":"2026-09-26T08:47:06.000Z"}</x:t>
  </x:si>
  <x:si>
    <x:t xml:space="preserve">788d75c0-5ded-df44-3cd1-c5ca512c445a</x:t>
  </x:si>
  <x:si>
    <x:t xml:space="preserve">โรงเรียนวีดศรีสุดาราม</x:t>
  </x:si>
  <x:si>
    <x:t xml:space="preserve">https://maps.app.goo.gl/mCEC959RGxGQQpCFA</x:t>
  </x:si>
  <x:si>
    <x:t xml:space="preserve">02 424 0424</x:t>
  </x:si>
  <x:si>
    <x:t xml:space="preserve">{"id":"788d75c0-5ded-df44-3cd1-c5ca512c445a","district":"บางกอกน้อย","category":"ศูนย์พักพิงชั่วคราว","name":"โรงเรียนวีดศรีสุดาราม","capacity":50,"occupied":0,"available":50,"unitType":"คน","status":"เปิดให้บริการ/ว่าง","routeDetails":"","link":"https://maps.app.goo.gl/mCEC959RGxGQQpCFA","additionalDetails":"02 424 0424","createdAt":"2026-09-26T08:47:06.000Z","updatedAt":"2026-09-26T08:47:06.000Z"}</x:t>
  </x:si>
  <x:si>
    <x:t xml:space="preserve">2d3f5e3a-ce0d-b5ea-d5ce-84df66b6c82a</x:t>
  </x:si>
  <x:si>
    <x:t xml:space="preserve">โรงเรียนวัดดีดวด</x:t>
  </x:si>
  <x:si>
    <x:t xml:space="preserve">https://maps.app.goo.gl/AAK9oFKoK3aXWG7T6?g_st=ic</x:t>
  </x:si>
  <x:si>
    <x:t xml:space="preserve">2026-09-26T05:31:23.000Z</x:t>
  </x:si>
  <x:si>
    <x:t xml:space="preserve">{"id":"2d3f5e3a-ce0d-b5ea-d5ce-84df66b6c82a","district":"บางกอกใหญ่","category":"ศูนย์พักพิงชั่วคราว","name":"โรงเรียนวัดดีดวด","capacity":40,"occupied":0,"available":40,"unitType":"คน","status":"เปิดให้บริการ/ว่าง","routeDetails":"","link":"https://maps.app.goo.gl/AAK9oFKoK3aXWG7T6?g_st=ic","additionalDetails":null,"createdAt":"2026-09-26T05:31:23.000Z","updatedAt":"2026-09-26T05:31:23.000Z"}</x:t>
  </x:si>
  <x:si>
    <x:t xml:space="preserve">f756b6cc-f792-aa4b-4ec9-b06b801c2883</x:t>
  </x:si>
  <x:si>
    <x:t xml:space="preserve">โรงเรียนวัดท่าพระ</x:t>
  </x:si>
  <x:si>
    <x:t xml:space="preserve">https://maps.app.goo.gl/QfgRkEdmLnXMaYze7?g_st=ic</x:t>
  </x:si>
  <x:si>
    <x:t xml:space="preserve">{"id":"f756b6cc-f792-aa4b-4ec9-b06b801c2883","district":"บางกอกใหญ่","category":"ศูนย์พักพิงชั่วคราว","name":"โรงเรียนวัดท่าพระ","capacity":50,"occupied":0,"available":50,"unitType":"คน","status":"เปิดให้บริการ/ว่าง","routeDetails":"","link":"https://maps.app.goo.gl/QfgRkEdmLnXMaYze7?g_st=ic","additionalDetails":null,"createdAt":"2026-09-26T05:31:23.000Z","updatedAt":"2026-09-26T05:31:23.000Z"}</x:t>
  </x:si>
  <x:si>
    <x:t xml:space="preserve">cff5b16f-1252-0b88-3a6f-4279772b7420</x:t>
  </x:si>
  <x:si>
    <x:t xml:space="preserve">โรงเรียนวัดประดู่ฉิมพลี</x:t>
  </x:si>
  <x:si>
    <x:t xml:space="preserve">https://maps.app.goo.gl/TkZ7VX2z2eMBVS8a9?g_st=ic</x:t>
  </x:si>
  <x:si>
    <x:t xml:space="preserve">{"id":"cff5b16f-1252-0b88-3a6f-4279772b7420","district":"บางกอกใหญ่","category":"ศูนย์พักพิงชั่วคราว","name":"โรงเรียนวัดประดู่ฉิมพลี","capacity":50,"occupied":0,"available":50,"unitType":"คน","status":"เปิดให้บริการ/ว่าง","routeDetails":"","link":"https://maps.app.goo.gl/TkZ7VX2z2eMBVS8a9?g_st=ic","additionalDetails":null,"createdAt":"2026-09-26T05:31:23.000Z","updatedAt":"2026-09-26T05:31:23.000Z"}</x:t>
  </x:si>
  <x:si>
    <x:t xml:space="preserve">78d45971-6b69-1ddd-881c-c1136700e90f</x:t>
  </x:si>
  <x:si>
    <x:t xml:space="preserve">โรงเรียนวัดราชสิทธาราม</x:t>
  </x:si>
  <x:si>
    <x:t xml:space="preserve">https://maps.app.goo.gl/m6iri1jNpHM3K1Y59?g_st=ic</x:t>
  </x:si>
  <x:si>
    <x:t xml:space="preserve">2026-09-26T05:28:02.000Z</x:t>
  </x:si>
  <x:si>
    <x:t xml:space="preserve">{"id":"78d45971-6b69-1ddd-881c-c1136700e90f","district":"บางกอกใหญ่","category":"ศูนย์พักพิงชั่วคราว","name":"โรงเรียนวัดราชสิทธาราม","capacity":80,"occupied":0,"available":80,"unitType":"คน","status":"เปิดให้บริการ/ว่าง","routeDetails":"","link":"https://maps.app.goo.gl/m6iri1jNpHM3K1Y59?g_st=ic","additionalDetails":null,"createdAt":"2026-09-26T05:28:02.000Z","updatedAt":"2026-09-26T05:28:02.000Z"}</x:t>
  </x:si>
  <x:si>
    <x:t xml:space="preserve">f7f239f3-5482-e34f-2314-deb837b99281</x:t>
  </x:si>
  <x:si>
    <x:t xml:space="preserve">โรงเรียนวัดใหม่พิเรนทร์</x:t>
  </x:si>
  <x:si>
    <x:t xml:space="preserve">https://maps.app.goo.gl/vjb5VHhVZDzquQoaA?g_st=ic</x:t>
  </x:si>
  <x:si>
    <x:t xml:space="preserve">{"id":"f7f239f3-5482-e34f-2314-deb837b99281","district":"บางกอกใหญ่","category":"ศูนย์พักพิงชั่วคราว","name":"โรงเรียนวัดใหม่พิเรนทร์","capacity":20,"occupied":0,"available":20,"unitType":"คน","status":"เปิดให้บริการ/ว่าง","routeDetails":"","link":"https://maps.app.goo.gl/vjb5VHhVZDzquQoaA?g_st=ic","additionalDetails":null,"createdAt":"2026-09-26T05:28:02.000Z","updatedAt":"2026-09-26T05:28:02.000Z"}</x:t>
  </x:si>
  <x:si>
    <x:t xml:space="preserve">87c510ad-b4ce-8c52-c216-9fb5e07be846</x:t>
  </x:si>
  <x:si>
    <x:t xml:space="preserve">ศูนย์นันทนาการบางขุนเทียน (ถนนพระรามที่ 2 ซอย 69)</x:t>
  </x:si>
  <x:si>
    <x:t xml:space="preserve">https://maps.app.goo.gl/XTXFj9WedQYrZHWd7</x:t>
  </x:si>
  <x:si>
    <x:t xml:space="preserve">2026-09-26T07:05:06.000Z</x:t>
  </x:si>
  <x:si>
    <x:t xml:space="preserve">{"id":"87c510ad-b4ce-8c52-c216-9fb5e07be846","district":"บางขุนเทียน","category":"ศูนย์พักพิงชั่วคราว","name":"ศูนย์นันทนาการบางขุนเทียน (ถนนพระรามที่ 2 ซอย 69)","capacity":300,"occupied":0,"available":300,"unitType":"คน","status":"เปิดให้บริการ/ว่าง","routeDetails":"","link":"https://maps.app.goo.gl/XTXFj9WedQYrZHWd7","additionalDetails":null,"createdAt":"2026-09-26T07:05:06.000Z","updatedAt":"2026-09-26T07:05:06.000Z"}</x:t>
  </x:si>
  <x:si>
    <x:t xml:space="preserve">abf4944c-1fb4-1058-9975-feb8f24b54ba</x:t>
  </x:si>
  <x:si>
    <x:t xml:space="preserve">โรงเรียนคลองพิทยาลงกรณ์</x:t>
  </x:si>
  <x:si>
    <x:t xml:space="preserve">https://maps.app.goo.gl/o1Mf1w7cRfwJzY2j9</x:t>
  </x:si>
  <x:si>
    <x:t xml:space="preserve">2026-09-26T07:04:10.000Z</x:t>
  </x:si>
  <x:si>
    <x:t xml:space="preserve">{"id":"abf4944c-1fb4-1058-9975-feb8f24b54ba","district":"บางขุนเทียน","category":"ศูนย์พักพิงชั่วคราว","name":"โรงเรียนคลองพิทยาลงกรณ์","capacity":30,"occupied":0,"available":30,"unitType":"คน","status":"เปิดให้บริการ/ว่าง","routeDetails":"","link":"https://maps.app.goo.gl/o1Mf1w7cRfwJzY2j9","additionalDetails":null,"createdAt":"2026-09-26T07:04:10.000Z","updatedAt":"2026-09-26T07:04:10.000Z"}</x:t>
  </x:si>
  <x:si>
    <x:t xml:space="preserve">a2817eb1-bbc8-6f76-4c37-7e0acdbd5ed1</x:t>
  </x:si>
  <x:si>
    <x:t xml:space="preserve">โรงเรียนวัดบางโคล่นอก</x:t>
  </x:si>
  <x:si>
    <x:t xml:space="preserve">https://maps.app.goo.gl/BKMuTM76opiNQ9xT6</x:t>
  </x:si>
  <x:si>
    <x:t xml:space="preserve">ยังไม่มีการเปิดศูนย์ฯ/ติดต่อสอบถาม 0860762814</x:t>
  </x:si>
  <x:si>
    <x:t xml:space="preserve">2026-09-26T08:05:26.000Z</x:t>
  </x:si>
  <x:si>
    <x:t xml:space="preserve">{"id":"a2817eb1-bbc8-6f76-4c37-7e0acdbd5ed1","district":"บางคอแหลม","category":"ศูนย์พักพิงชั่วคราว","name":"โรงเรียนวัดบางโคล่นอก","capacity":30,"occupied":0,"available":30,"unitType":"คน","status":"เปิดให้บริการ/ว่าง","routeDetails":"","link":"https://maps.app.goo.gl/BKMuTM76opiNQ9xT6","additionalDetails":"ยังไม่มีการเปิดศูนย์ฯ/ติดต่อสอบถาม 0860762814","createdAt":"2026-09-26T08:05:26.000Z","updatedAt":"2026-09-26T08:05:26.000Z"}</x:t>
  </x:si>
  <x:si>
    <x:t xml:space="preserve">8b941200-531e-0c80-3115-ad3f71c93137</x:t>
  </x:si>
  <x:si>
    <x:t xml:space="preserve">โรงเรียนวัดราชสิงขร</x:t>
  </x:si>
  <x:si>
    <x:t xml:space="preserve">https://maps.app.goo.gl/8MYDXsxmTYD5W7aQ8</x:t>
  </x:si>
  <x:si>
    <x:t xml:space="preserve">ยังไม่มีการเปิดศูนย์ฯ/ติดต่อสอบถาม 0875595661</x:t>
  </x:si>
  <x:si>
    <x:t xml:space="preserve">{"id":"8b941200-531e-0c80-3115-ad3f71c93137","district":"บางคอแหลม","category":"ศูนย์พักพิงชั่วคราว","name":"โรงเรียนวัดราชสิงขร","capacity":30,"occupied":0,"available":30,"unitType":"คน","status":"เปิดให้บริการ/ว่าง","routeDetails":"","link":"https://maps.app.goo.gl/8MYDXsxmTYD5W7aQ8","additionalDetails":"ยังไม่มีการเปิดศูนย์ฯ/ติดต่อสอบถาม 0875595661","createdAt":"2026-09-26T08:05:26.000Z","updatedAt":"2026-09-26T08:05:26.000Z"}</x:t>
  </x:si>
  <x:si>
    <x:t xml:space="preserve">ee0046d8-b327-806f-0d00-dc9b97954a7f</x:t>
  </x:si>
  <x:si>
    <x:t xml:space="preserve">โรงเรียนวัดลาดบัวขาว</x:t>
  </x:si>
  <x:si>
    <x:t xml:space="preserve">https://maps.app.goo.gl/L8Qb3jKSofWqtdEW7</x:t>
  </x:si>
  <x:si>
    <x:t xml:space="preserve">ยังไม่มีการเปิดศูนย์ฯ/ติดต่อสอบถาม 0897635469</x:t>
  </x:si>
  <x:si>
    <x:t xml:space="preserve">{"id":"ee0046d8-b327-806f-0d00-dc9b97954a7f","district":"บางคอแหลม","category":"ศูนย์พักพิงชั่วคราว","name":"โรงเรียนวัดลาดบัวขาว","capacity":20,"occupied":0,"available":20,"unitType":"คน","status":"เปิดให้บริการ/ว่าง","routeDetails":"","link":"https://maps.app.goo.gl/L8Qb3jKSofWqtdEW7","additionalDetails":"ยังไม่มีการเปิดศูนย์ฯ/ติดต่อสอบถาม 0897635469","createdAt":"2026-09-26T08:05:26.000Z","updatedAt":"2026-09-26T08:05:26.000Z"}</x:t>
  </x:si>
  <x:si>
    <x:t xml:space="preserve">8612aa01-c2d3-9da4-e302-20b2775d2e77</x:t>
  </x:si>
  <x:si>
    <x:t xml:space="preserve">โรงเรียนวัดไผ่เงินโชตนาราม</x:t>
  </x:si>
  <x:si>
    <x:t xml:space="preserve">https://maps.app.goo.gl/723UTJHmMcsdKXH88</x:t>
  </x:si>
  <x:si>
    <x:t xml:space="preserve">ยังไม่มีการเปิดศูนย์ฯ/ติดต่อสอบถาม 0961365255</x:t>
  </x:si>
  <x:si>
    <x:t xml:space="preserve">{"id":"8612aa01-c2d3-9da4-e302-20b2775d2e77","district":"บางคอแหลม","category":"ศูนย์พักพิงชั่วคราว","name":"โรงเรียนวัดไผ่เงินโชตนาราม","capacity":100,"occupied":0,"available":100,"unitType":"คน","status":"เปิดให้บริการ/ว่าง","routeDetails":"","link":"https://maps.app.goo.gl/723UTJHmMcsdKXH88","additionalDetails":"ยังไม่มีการเปิดศูนย์ฯ/ติดต่อสอบถาม 0961365255","createdAt":"2026-09-26T08:05:26.000Z","updatedAt":"2026-09-26T08:05:26.000Z"}</x:t>
  </x:si>
  <x:si>
    <x:t xml:space="preserve">558ba1d1-b0ab-3071-1f0e-2a17bd80ad4f</x:t>
  </x:si>
  <x:si>
    <x:t xml:space="preserve">ศูนย์พัฒนาเด็กเล็กชุมชนหัวจักรรถไฟตึกแดง</x:t>
  </x:si>
  <x:si>
    <x:t xml:space="preserve">ใกล้เต็ม</x:t>
  </x:si>
  <x:si>
    <x:t xml:space="preserve">2026-09-26T07:50:07.000Z</x:t>
  </x:si>
  <x:si>
    <x:t xml:space="preserve">{"id":"558ba1d1-b0ab-3071-1f0e-2a17bd80ad4f","district":"บางซื่อ","category":"ศูนย์พักพิงชั่วคราว","name":"ศูนย์พัฒนาเด็กเล็กชุมชนหัวจักรรถไฟตึกแดง","capacity":60,"occupied":55,"available":5,"unitType":"คน","status":"ใกล้เต็ม","routeDetails":"","link":null,"additionalDetails":"812681104","createdAt":"2026-09-26T07:50:07.000Z","updatedAt":"2026-09-26T07:50:07.000Z"}</x:t>
  </x:si>
  <x:si>
    <x:t xml:space="preserve">057ef1e1-7837-f250-3c3e-3636b741f981</x:t>
  </x:si>
  <x:si>
    <x:t xml:space="preserve">โรงเรียนวัดบางโพโอมาวาส</x:t>
  </x:si>
  <x:si>
    <x:t xml:space="preserve">{"id":"057ef1e1-7837-f250-3c3e-3636b741f981","district":"บางซื่อ","category":"ศูนย์พักพิงชั่วคราว","name":"โรงเรียนวัดบางโพโอมาวาส","capacity":50,"occupied":0,"available":50,"unitType":"คน","status":"เปิดให้บริการ/ว่าง","routeDetails":"","link":null,"additionalDetails":"898328837","createdAt":"2026-09-26T07:50:07.000Z","updatedAt":"2026-09-26T07:50:07.000Z"}</x:t>
  </x:si>
  <x:si>
    <x:t xml:space="preserve">23707524-79a4-8878-c056-8879498da0ee</x:t>
  </x:si>
  <x:si>
    <x:t xml:space="preserve">โรงเรียนวัดประดู่ธรรมประชาธิปัตย์</x:t>
  </x:si>
  <x:si>
    <x:t xml:space="preserve">{"id":"23707524-79a4-8878-c056-8879498da0ee","district":"บางซื่อ","category":"ศูนย์พักพิงชั่วคราว","name":"โรงเรียนวัดประดู่ธรรมประชาธิปัตย์","capacity":50,"occupied":0,"available":50,"unitType":"คน","status":"เปิดให้บริการ/ว่าง","routeDetails":"","link":null,"additionalDetails":null,"createdAt":"2026-09-26T07:50:07.000Z","updatedAt":"2026-09-26T07:50:07.000Z"}</x:t>
  </x:si>
  <x:si>
    <x:t xml:space="preserve">80dfa63d-0cf8-dc73-4de4-71babc5ab8c7</x:t>
  </x:si>
  <x:si>
    <x:t xml:space="preserve">ศูนย์พัฒนาเด็กก่อนวัยเรียน ผ่องพลอยอนุสรณ์ (ลิขิต 2)</x:t>
  </x:si>
  <x:si>
    <x:t xml:space="preserve">https://maps.app.goo.gl/NbbULJH65LGg27RcA</x:t>
  </x:si>
  <x:si>
    <x:t xml:space="preserve">2026-09-26T05:28:31.000Z</x:t>
  </x:si>
  <x:si>
    <x:t xml:space="preserve">{"id":"80dfa63d-0cf8-dc73-4de4-71babc5ab8c7","district":"บางนา","category":"ศูนย์พักพิงชั่วคราว","name":"ศูนย์พัฒนาเด็กก่อนวัยเรียน ผ่องพลอยอนุสรณ์ (ลิขิต 2)","capacity":20,"occupied":7,"available":13,"unitType":"คน","status":"เปิดให้บริการ/ว่าง","routeDetails":"","link":"https://maps.app.goo.gl/NbbULJH65LGg27RcA","additionalDetails":null,"createdAt":"2026-09-26T05:28:31.000Z","updatedAt":"2026-09-26T05:28:31.000Z"}</x:t>
  </x:si>
  <x:si>
    <x:t xml:space="preserve">1b0d682b-922f-c741-16ba-99cca280cc50</x:t>
  </x:si>
  <x:si>
    <x:t xml:space="preserve">โรงเรียนผ่องพลอยอนุสรณ์</x:t>
  </x:si>
  <x:si>
    <x:t xml:space="preserve">https://maps.app.goo.gl/tXbQsHRTdVj1ivGV6</x:t>
  </x:si>
  <x:si>
    <x:t xml:space="preserve">{"id":"1b0d682b-922f-c741-16ba-99cca280cc50","district":"บางนา","category":"ศูนย์พักพิงชั่วคราว","name":"โรงเรียนผ่องพลอยอนุสรณ์","capacity":50,"occupied":0,"available":50,"unitType":"คน","status":"เปิดให้บริการ/ว่าง","routeDetails":"","link":"https://maps.app.goo.gl/tXbQsHRTdVj1ivGV6","additionalDetails":null,"createdAt":"2026-09-26T05:28:31.000Z","updatedAt":"2026-09-26T05:28:31.000Z"}</x:t>
  </x:si>
  <x:si>
    <x:t xml:space="preserve">358583db-776e-080f-1722-0d77f0fead82</x:t>
  </x:si>
  <x:si>
    <x:t xml:space="preserve">โรงเรียนรุ่งเรืองอุปถัมภ์</x:t>
  </x:si>
  <x:si>
    <x:t xml:space="preserve">https://maps.app.goo.gl/dR9MRoC74BFVyCPVA</x:t>
  </x:si>
  <x:si>
    <x:t xml:space="preserve">{"id":"358583db-776e-080f-1722-0d77f0fead82","district":"บางนา","category":"ศูนย์พักพิงชั่วคราว","name":"โรงเรียนรุ่งเรืองอุปถัมภ์","capacity":50,"occupied":0,"available":50,"unitType":"คน","status":"เปิดให้บริการ/ว่าง","routeDetails":"","link":"https://maps.app.goo.gl/dR9MRoC74BFVyCPVA","additionalDetails":null,"createdAt":"2026-09-26T05:28:31.000Z","updatedAt":"2026-09-26T05:28:31.000Z"}</x:t>
  </x:si>
  <x:si>
    <x:t xml:space="preserve">87076445-5212-8544-1785-cd0a3994bdcc</x:t>
  </x:si>
  <x:si>
    <x:t xml:space="preserve">โรงเรียนวัดบางนานอก</x:t>
  </x:si>
  <x:si>
    <x:t xml:space="preserve">https://maps.app.goo.gl/1QMKk1eZwPpTpFcm6</x:t>
  </x:si>
  <x:si>
    <x:t xml:space="preserve">{"id":"87076445-5212-8544-1785-cd0a3994bdcc","district":"บางนา","category":"ศูนย์พักพิงชั่วคราว","name":"โรงเรียนวัดบางนานอก","capacity":50,"occupied":0,"available":50,"unitType":"คน","status":"เปิดให้บริการ/ว่าง","routeDetails":"","link":"https://maps.app.goo.gl/1QMKk1eZwPpTpFcm6","additionalDetails":null,"createdAt":"2026-09-26T05:28:31.000Z","updatedAt":"2026-09-26T05:28:31.000Z"}</x:t>
  </x:si>
  <x:si>
    <x:t xml:space="preserve">278f6287-ee69-b891-c480-440b987991f2</x:t>
  </x:si>
  <x:si>
    <x:t xml:space="preserve">โรงเรียนวัดบางนาใน (รื่น ศยามานนท์)</x:t>
  </x:si>
  <x:si>
    <x:t xml:space="preserve">https://maps.app.goo.gl/NxFmXudqpDASCYub9</x:t>
  </x:si>
  <x:si>
    <x:t xml:space="preserve">2026-09-26T10:40:28.236Z</x:t>
  </x:si>
  <x:si>
    <x:t xml:space="preserve">{"id":"278f6287-ee69-b891-c480-440b987991f2","district":"บางนา","category":"ศูนย์พักพิงชั่วคราว","name":"โรงเรียนวัดบางนาใน (รื่น ศยามานนท์)","capacity":50,"occupied":5,"available":45,"unitType":"คน","status":"เปิดให้บริการ/ว่าง","routeDetails":"","link":"https://maps.app.goo.gl/NxFmXudqpDASCYub9","additionalDetails":null,"createdAt":"2026-09-26T05:28:31.000Z","updatedAt":"2026-09-26T10:40:28.236Z"}</x:t>
  </x:si>
  <x:si>
    <x:t xml:space="preserve">8427db0c-c796-8293-13b7-a04c433128b3</x:t>
  </x:si>
  <x:si>
    <x:t xml:space="preserve">โรงเรียนศรีเอี่ยมอนุสรณ์</x:t>
  </x:si>
  <x:si>
    <x:t xml:space="preserve">https://maps.app.goo.gl/jRgtw1TyWsWEtSRk8</x:t>
  </x:si>
  <x:si>
    <x:t xml:space="preserve">{"id":"8427db0c-c796-8293-13b7-a04c433128b3","district":"บางนา","category":"ศูนย์พักพิงชั่วคราว","name":"โรงเรียนศรีเอี่ยมอนุสรณ์","capacity":50,"occupied":0,"available":50,"unitType":"คน","status":"เปิดให้บริการ/ว่าง","routeDetails":"","link":"https://maps.app.goo.gl/jRgtw1TyWsWEtSRk8","additionalDetails":null,"createdAt":"2026-09-26T05:28:31.000Z","updatedAt":"2026-09-26T05:28:31.000Z"}</x:t>
  </x:si>
  <x:si>
    <x:t xml:space="preserve">305381ee-3fc0-ae22-6f64-7ed11ec1bf9d</x:t>
  </x:si>
  <x:si>
    <x:t xml:space="preserve">โรงเรียนอำนวยกนกศิริอนุสรณ์</x:t>
  </x:si>
  <x:si>
    <x:t xml:space="preserve">https://maps.app.goo.gl/q1Kf8Yqp4BU849BRA</x:t>
  </x:si>
  <x:si>
    <x:t xml:space="preserve">2026-09-27T05:51:57.122Z</x:t>
  </x:si>
  <x:si>
    <x:t xml:space="preserve">{"id":"305381ee-3fc0-ae22-6f64-7ed11ec1bf9d","district":"บางนา","category":"ศูนย์พักพิงชั่วคราว","name":"โรงเรียนอำนวยกนกศิริอนุสรณ์","capacity":20,"occupied":15,"available":5,"unitType":"คน","status":"เปิดให้บริการ/ว่าง","routeDetails":"","link":"https://maps.app.goo.gl/q1Kf8Yqp4BU849BRA","additionalDetails":null,"createdAt":"2026-09-26T05:28:31.000Z","updatedAt":"2026-09-27T05:51:57.122Z"}</x:t>
  </x:si>
  <x:si>
    <x:t xml:space="preserve">2e9ad61a-d014-a3bf-baa8-a301714c5ea4</x:t>
  </x:si>
  <x:si>
    <x:t xml:space="preserve">โรงเรียนเพี้ยนพินอนุสรณ์</x:t>
  </x:si>
  <x:si>
    <x:t xml:space="preserve">https://maps.app.goo.gl/s65Kh31qxiYkjTHA7</x:t>
  </x:si>
  <x:si>
    <x:t xml:space="preserve">2026-09-26T10:41:36.045Z</x:t>
  </x:si>
  <x:si>
    <x:t xml:space="preserve">{"id":"2e9ad61a-d014-a3bf-baa8-a301714c5ea4","district":"บางนา","category":"ศูนย์พักพิงชั่วคราว","name":"โรงเรียนเพี้ยนพินอนุสรณ์","capacity":70,"occupied":0,"available":70,"unitType":"คน","status":"เปิดให้บริการ/ว่าง","routeDetails":"","link":"https://maps.app.goo.gl/s65Kh31qxiYkjTHA7","additionalDetails":null,"createdAt":"2026-09-26T05:28:31.000Z","updatedAt":"2026-09-26T10:41:36.045Z"}</x:t>
  </x:si>
  <x:si>
    <x:t xml:space="preserve">e8b14651-ee91-f6ce-c7e7-0b796b904096</x:t>
  </x:si>
  <x:si>
    <x:t xml:space="preserve">โรงเรียนวัดหัวลำโพง</x:t>
  </x:si>
  <x:si>
    <x:t xml:space="preserve">https://share.google/SN3IeQUtAgTeMzEf6</x:t>
  </x:si>
  <x:si>
    <x:t xml:space="preserve">2026-09-26T08:04:58.000Z</x:t>
  </x:si>
  <x:si>
    <x:t xml:space="preserve">{"id":"e8b14651-ee91-f6ce-c7e7-0b796b904096","district":"บางรัก","category":"ศูนย์พักพิงชั่วคราว","name":"โรงเรียนวัดหัวลำโพง","capacity":100,"occupied":0,"available":100,"unitType":"คน","status":"เปิดให้บริการ/ว่าง","routeDetails":"","link":"https://share.google/SN3IeQUtAgTeMzEf6","additionalDetails":null,"createdAt":"2026-09-26T08:04:58.000Z","updatedAt":"2026-09-26T08:04:58.000Z"}</x:t>
  </x:si>
  <x:si>
    <x:t xml:space="preserve">ลิงก์ไม่ใช่ Google Maps ที่รองรับ</x:t>
  </x:si>
  <x:si>
    <x:t xml:space="preserve">8a1c081f-f06b-a37a-f746-76cee889174d</x:t>
  </x:si>
  <x:si>
    <x:t xml:space="preserve">โรงเรียนวัดแก้วแจ่มฟ้า</x:t>
  </x:si>
  <x:si>
    <x:t xml:space="preserve">https://share.google/SU8mNHuRZCgSxXtcj</x:t>
  </x:si>
  <x:si>
    <x:t xml:space="preserve">{"id":"8a1c081f-f06b-a37a-f746-76cee889174d","district":"บางรัก","category":"ศูนย์พักพิงชั่วคราว","name":"โรงเรียนวัดแก้วแจ่มฟ้า","capacity":50,"occupied":0,"available":50,"unitType":"คน","status":"เปิดให้บริการ/ว่าง","routeDetails":"","link":"https://share.google/SU8mNHuRZCgSxXtcj","additionalDetails":null,"createdAt":"2026-09-26T08:04:58.000Z","updatedAt":"2026-09-26T08:04:58.000Z"}</x:t>
  </x:si>
  <x:si>
    <x:t xml:space="preserve">ad3a1af1-7fed-4791-19dd-0371c220c153</x:t>
  </x:si>
  <x:si>
    <x:t xml:space="preserve">ศูนย์นันทนาการบางแคเรืองสอน</x:t>
  </x:si>
  <x:si>
    <x:t xml:space="preserve">https://www.google.com/maps/place/%E0%B8%A8%E0%B8%B9%E0%B8%99%E0%B8%A2%E0%B9%8C%E0%B8%99%E0%B8%B1%E0%B8%99%E0%B8%97%E0%B8%99%E0%B8%B2%E0%B8%81%E0%B8%B2%E0%B8%A3%E0%B8%9A%E0%B8%B2%E0%B8%87%E0%B9%81%E0%B8%84(%E0%B9%80%E0%B8%A3%E0%B8%B7%E0%B8%AD%E0%B8%87%E0%B8%AA%E0%B8%AD%E0%B8%99)/data=!4m2!3m1!1s0x0:0xf4887f097a0f76ea?sa=X&amp;ved=1t:2428&amp;ictx=111</x:t>
  </x:si>
  <x:si>
    <x:t xml:space="preserve">2026-09-26T06:47:32.000Z</x:t>
  </x:si>
  <x:si>
    <x:t xml:space="preserve">{"id":"ad3a1af1-7fed-4791-19dd-0371c220c153","district":"บางแค","category":"ศูนย์พักพิงชั่วคราว","name":"ศูนย์นันทนาการบางแคเรืองสอน","capacity":80,"occupied":0,"available":80,"unitType":"คน","status":"เปิดให้บริการ/ว่าง","routeDetails":"","link":"https://www.google.com/maps/place/%E0%B8%A8%E0%B8%B9%E0%B8%99%E0%B8%A2%E0%B9%8C%E0%B8%99%E0%B8%B1%E0%B8%99%E0%B8%97%E0%B8%99%E0%B8%B2%E0%B8%81%E0%B8%B2%E0%B8%A3%E0%B8%9A%E0%B8%B2%E0%B8%87%E0%B9%81%E0%B8%84(%E0%B9%80%E0%B8%A3%E0%B8%B7%E0%B8%AD%E0%B8%87%E0%B8%AA%E0%B8%AD%E0%B8%99)/data=!4m2!3m1!1s0x0:0xf4887f097a0f76ea?sa=X&amp;ved=1t:2428&amp;ictx=111","additionalDetails":null,"createdAt":"2026-09-26T06:47:32.000Z","updatedAt":"2026-09-26T06:47:32.000Z"}</x:t>
  </x:si>
  <x:si>
    <x:t xml:space="preserve">0cd2c89e-ba36-9d31-b88a-c76c05c1f68d</x:t>
  </x:si>
  <x:si>
    <x:t xml:space="preserve">สำนักงานเขตบึงกุ่ม</x:t>
  </x:si>
  <x:si>
    <x:t xml:space="preserve">https://www.google.com/maps/place/%E0%B8%AA%E0%B8%B3%E0%B8%99%E0%B8%B1%E0%B8%81%E0%B8%87%E0%B8%B2%E0%B8%99%E0%B9%80%E0%B8%82%E0%B8%95%E0%B8%9A%E0%B8%B6%E0%B8%87%E0%B8%81%E0%B8%B8%E0%B9%88%E0%B8%A1/@13.7853412,100.6670472,17z/data=!4m10!1m2!2m1!1z4Liq4Liz4LiZ4Lix4LiB4LiH4Liy4LiZ4LmA4LiC4LiV4Lia4Li24LiH4LiB4Li44LmI4Lih!3m6!1s0x311d63d208caace7:0xe0eb5e5a36504d0c!8m2!3d13.7852767!4d100.6696489!15sCjbguKrguLPguJnguLHguIHguIfguLLguJnguYDguILguJXguJrguLbguIfguIHguLjguYjguKFaOiI44Liq4Liz4LiZ4Lix4LiB4LiH4Liy4LiZIOC5gOC4guC4lSDguJrguLbguIfguIHguLjguYjguKGSARpkaXN0cmljdF9nb3Zlcm5tZW50X29mZmljZZoBI0NoWkRTVWhOTUc5blMwVkpRMEZuU1VNekxXTnVZVWxuRUFF4AEA-gEFCI4BEDg!16s%2Fg%2F1hm66vbn1?entry=ttu&amp;g_ep=EgoyMDI2MDkyMy4wIKXMDSoASAFQAw%3D%3D</x:t>
  </x:si>
  <x:si>
    <x:t xml:space="preserve">08.00-18000</x:t>
  </x:si>
  <x:si>
    <x:t xml:space="preserve">2026-09-26T05:13:58.000Z</x:t>
  </x:si>
  <x:si>
    <x:t xml:space="preserve">{"id":"0cd2c89e-ba36-9d31-b88a-c76c05c1f68d","district":"บึงกุ่ม","category":"ศูนย์พักพิงชั่วคราว","name":"สำนักงานเขตบึงกุ่ม","capacity":50,"occupied":10,"available":40,"unitType":"คน","status":"เปิดให้บริการ/ว่าง","routeDetails":"","link":"https://www.google.com/maps/place/%E0%B8%AA%E0%B8%B3%E0%B8%99%E0%B8%B1%E0%B8%81%E0%B8%87%E0%B8%B2%E0%B8%99%E0%B9%80%E0%B8%82%E0%B8%95%E0%B8%9A%E0%B8%B6%E0%B8%87%E0%B8%81%E0%B8%B8%E0%B9%88%E0%B8%A1/@13.7853412,100.6670472,17z/data=!4m10!1m2!2m1!1z4Liq4Liz4LiZ4Lix4LiB4LiH4Liy4LiZ4LmA4LiC4LiV4Lia4Li24LiH4LiB4Li44LmI4Lih!3m6!1s0x311d63d208caace7:0xe0eb5e5a36504d0c!8m2!3d13.7852767!4d100.6696489!15sCjbguKrguLPguJnguLHguIHguIfguLLguJnguYDguILguJXguJrguLbguIfguIHguLjguYjguKFaOiI44Liq4Liz4LiZ4Lix4LiB4LiH4Liy4LiZIOC5gOC4guC4lSDguJrguLbguIfguIHguLjguYjguKGSARpkaXN0cmljdF9nb3Zlcm5tZW50X29mZmljZZoBI0NoWkRTVWhOTUc5blMwVkpRMEZuU1VNekxXTnVZVWxuRUFF4AEA-gEFCI4BEDg!16s%2Fg%2F1hm66vbn1?entry=ttu&amp;g_ep=EgoyMDI2MDkyMy4wIKXMDSoASAFQAw%3D%3D","additionalDetails":"08.00-18000","createdAt":"2026-09-26T05:13:58.000Z","updatedAt":"2026-09-26T05:13:58.000Z"}</x:t>
  </x:si>
  <x:si>
    <x:t xml:space="preserve">e553ca42-5773-3169-a174-72e56b67d9e3</x:t>
  </x:si>
  <x:si>
    <x:t xml:space="preserve">โรงเรียนคลองลำเจียก (หวังทองบำรุง)</x:t>
  </x:si>
  <x:si>
    <x:t xml:space="preserve">https://www.google.com/maps/place/%E0%B9%82%E0%B8%A3%E0%B8%87%E0%B9%80%E0%B8%A3%E0%B8%B5%E0%B8%A2%E0%B8%99%E0%B8%84%E0%B8%A5%E0%B8%AD%E0%B8%87%E0%B8%A5%E0%B8%B3%E0%B9%80%E0%B8%88%E0%B8%B5%E0%B8%A2%E0%B8%81(%E0%B8%AB%E0%B8%A7%E0%B8%B1%E0%B8%87%E0%B8%97%E0%B8%AD%E0%B8%87%E0%B8%9A%E0%B8%B3%E0%B8%A3%E0%B8%B8%E0%B8%87)/@13.8183053,100.6317623,17z/data=!3m1!4b1!4m6!3m5!1s0x311d6263b5d7a89b:0x4ef074fec9dc676f!8m2!3d13.8183001!4d100.6343372!16s%2Fg%2F1tg7zy61?entry=ttu&amp;g_ep=EgoyMDI2MDkyMy4wIKXMDSoASAFQAw%3D%3D</x:t>
  </x:si>
  <x:si>
    <x:t xml:space="preserve">2026-09-26T07:24:55.000Z</x:t>
  </x:si>
  <x:si>
    <x:t xml:space="preserve">{"id":"e553ca42-5773-3169-a174-72e56b67d9e3","district":"บึงกุ่ม","category":"ศูนย์พักพิงชั่วคราว","name":"โรงเรียนคลองลำเจียก (หวังทองบำรุง)","capacity":30,"occupied":11,"available":19,"unitType":"คน","status":"เปิดให้บริการ/ว่าง","routeDetails":"","link":"https://www.google.com/maps/place/%E0%B9%82%E0%B8%A3%E0%B8%87%E0%B9%80%E0%B8%A3%E0%B8%B5%E0%B8%A2%E0%B8%99%E0%B8%84%E0%B8%A5%E0%B8%AD%E0%B8%87%E0%B8%A5%E0%B8%B3%E0%B9%80%E0%B8%88%E0%B8%B5%E0%B8%A2%E0%B8%81(%E0%B8%AB%E0%B8%A7%E0%B8%B1%E0%B8%87%E0%B8%97%E0%B8%AD%E0%B8%87%E0%B8%9A%E0%B8%B3%E0%B8%A3%E0%B8%B8%E0%B8%87)/@13.8183053,100.6317623,17z/data=!3m1!4b1!4m6!3m5!1s0x311d6263b5d7a89b:0x4ef074fec9dc676f!8m2!3d13.8183001!4d100.6343372!16s%2Fg%2F1tg7zy61?entry=ttu&amp;g_ep=EgoyMDI2MDkyMy4wIKXMDSoASAFQAw%3D%3D","additionalDetails":"08.00-18000","createdAt":"2026-09-26T05:13:58.000Z","updatedAt":"2026-09-26T07:24:55.000Z"}</x:t>
  </x:si>
  <x:si>
    <x:t xml:space="preserve">3a92071b-d88d-a6ad-93af-f017a934040c</x:t>
  </x:si>
  <x:si>
    <x:t xml:space="preserve">โรงเรียนวัดบางเตย</x:t>
  </x:si>
  <x:si>
    <x:t xml:space="preserve">https://www.google.com/maps/place/%E0%B9%82%E0%B8%A3%E0%B8%87%E0%B9%80%E0%B8%A3%E0%B8%B5%E0%B8%A2%E0%B8%99%E0%B8%A7%E0%B8%B1%E0%B8%94%E0%B8%9A%E0%B8%B2%E0%B8%87%E0%B9%80%E0%B8%95%E0%B8%A2/@13.8032215,100.6466499,17z/data=!4m14!1m7!3m6!1s0x311d6246bcce2755:0x787d39ef3f046e8e!2z4LmC4Lij4LiH4LmA4Lij4Li14Lii4LiZ4Lin4Lix4LiU4Lia4Liy4LiH4LmA4LiV4Lii!8m2!3d13.8032163!4d100.6492248!16s%2Fg%2F1tfjy9x3!3m5!1s0x311d6246bcce2755:0x787d39ef3f046e8e!8m2!3d13.8032163!4d100.6492248!16s%2Fg%2F1tfjy9x3?entry=ttu&amp;g_ep=EgoyMDI2MDkyMy4wIKXMDSoASAFQAw%3D%3D</x:t>
  </x:si>
  <x:si>
    <x:t xml:space="preserve">08.00-18.00</x:t>
  </x:si>
  <x:si>
    <x:t xml:space="preserve">{"id":"3a92071b-d88d-a6ad-93af-f017a934040c","district":"บึงกุ่ม","category":"ศูนย์พักพิงชั่วคราว","name":"โรงเรียนวัดบางเตย","capacity":0,"occupied":0,"available":0,"unitType":"คน","status":"เปิดให้บริการ/ว่าง","routeDetails":"","link":"https://www.google.com/maps/place/%E0%B9%82%E0%B8%A3%E0%B8%87%E0%B9%80%E0%B8%A3%E0%B8%B5%E0%B8%A2%E0%B8%99%E0%B8%A7%E0%B8%B1%E0%B8%94%E0%B8%9A%E0%B8%B2%E0%B8%87%E0%B9%80%E0%B8%95%E0%B8%A2/@13.8032215,100.6466499,17z/data=!4m14!1m7!3m6!1s0x311d6246bcce2755:0x787d39ef3f046e8e!2z4LmC4Lij4LiH4LmA4Lij4Li14Lii4LiZ4Lin4Lix4LiU4Lia4Liy4LiH4LmA4LiV4Lii!8m2!3d13.8032163!4d100.6492248!16s%2Fg%2F1tfjy9x3!3m5!1s0x311d6246bcce2755:0x787d39ef3f046e8e!8m2!3d13.8032163!4d100.6492248!16s%2Fg%2F1tfjy9x3?entry=ttu&amp;g_ep=EgoyMDI2MDkyMy4wIKXMDSoASAFQAw%3D%3D","additionalDetails":"08.00-18.00","createdAt":"2026-09-26T05:13:58.000Z","updatedAt":"2026-09-26T05:13:58.000Z"}</x:t>
  </x:si>
  <x:si>
    <x:t xml:space="preserve">8f8815f4-feff-2408-4341-5434aed06878</x:t>
  </x:si>
  <x:si>
    <x:t xml:space="preserve">โรงเรียมแย้มจาดวิชชานุสรณ์</x:t>
  </x:si>
  <x:si>
    <x:t xml:space="preserve">https://www.google.com/maps/place/%E0%B9%82%E0%B8%A3%E0%B8%87%E0%B9%80%E0%B8%A3%E0%B8%B5%E0%B8%A2%E0%B8%99+%E0%B9%81%E0%B8%A2%E0%B9%89%E0%B8%A1%E0%B8%88%E0%B8%B2%E0%B8%94%E0%B8%A7%E0%B8%B4%E0%B8%8A%E0%B8%8A%E0%B8%B2%E0%B8%99%E0%B8%B8%E0%B8%AA%E0%B8%A3%E0%B8%93%E0%B9%8C/@13.8336434,100.650068,17z/data=!4m14!1m7!3m6!1s0x311d62f03fbf4f27:0x7c0e2bce5bf7dfac!2z4LmC4Lij4LiH4LmA4Lij4Li14Lii4LiZIOC5geC4ouC5ieC4oeC4iOC4suC4lOC4p-C4tOC4iuC4iuC4suC4meC4uOC4quC4o-C4k-C5jA!8m2!3d13.8336382!4d100.6526429!16s%2Fg%2F1vyn1b1x!3m5!1s0x311d62f03fbf4f27:0x7c0e2bce5bf7dfac!8m2!3d13.8336382!4d100.6526429!16s%2Fg%2F1vyn1b1x?entry=ttu&amp;g_ep=EgoyMDI2MDkyMy4wIKXMDSoASAFQAw%3D%3D</x:t>
  </x:si>
  <x:si>
    <x:t xml:space="preserve">{"id":"8f8815f4-feff-2408-4341-5434aed06878","district":"บึงกุ่ม","category":"ศูนย์พักพิงชั่วคราว","name":"โรงเรียมแย้มจาดวิชชานุสรณ์","capacity":0,"occupied":0,"available":0,"unitType":"คน","status":"เปิดให้บริการ/ว่าง","routeDetails":"","link":"https://www.google.com/maps/place/%E0%B9%82%E0%B8%A3%E0%B8%87%E0%B9%80%E0%B8%A3%E0%B8%B5%E0%B8%A2%E0%B8%99+%E0%B9%81%E0%B8%A2%E0%B9%89%E0%B8%A1%E0%B8%88%E0%B8%B2%E0%B8%94%E0%B8%A7%E0%B8%B4%E0%B8%8A%E0%B8%8A%E0%B8%B2%E0%B8%99%E0%B8%B8%E0%B8%AA%E0%B8%A3%E0%B8%93%E0%B9%8C/@13.8336434,100.650068,17z/data=!4m14!1m7!3m6!1s0x311d62f03fbf4f27:0x7c0e2bce5bf7dfac!2z4LmC4Lij4LiH4LmA4Lij4Li14Lii4LiZIOC5geC4ouC5ieC4oeC4iOC4suC4lOC4p-C4tOC4iuC4iuC4suC4meC4uOC4quC4o-C4k-C5jA!8m2!3d13.8336382!4d100.6526429!16s%2Fg%2F1vyn1b1x!3m5!1s0x311d62f03fbf4f27:0x7c0e2bce5bf7dfac!8m2!3d13.8336382!4d100.6526429!16s%2Fg%2F1vyn1b1x?entry=ttu&amp;g_ep=EgoyMDI2MDkyMy4wIKXMDSoASAFQAw%3D%3D","additionalDetails":"08.00-18000","createdAt":"2026-09-26T05:13:58.000Z","updatedAt":"2026-09-26T05:13:58.000Z"}</x:t>
  </x:si>
  <x:si>
    <x:t xml:space="preserve">8f4df65b-c5a8-6569-50a5-112d3fe4a7b1</x:t>
  </x:si>
  <x:si>
    <x:t xml:space="preserve">สำนักงานเขตประเวศ</x:t>
  </x:si>
  <x:si>
    <x:t xml:space="preserve">https://me-l.co/v55ml1z3</x:t>
  </x:si>
  <x:si>
    <x:t xml:space="preserve">ไม่มี</x:t>
  </x:si>
  <x:si>
    <x:t xml:space="preserve">2026-09-26T08:38:52.000Z</x:t>
  </x:si>
  <x:si>
    <x:t xml:space="preserve">{"id":"8f4df65b-c5a8-6569-50a5-112d3fe4a7b1","district":"ประเวศ","category":"ศูนย์พักพิงชั่วคราว","name":"สำนักงานเขตประเวศ","capacity":500,"occupied":88,"available":412,"unitType":"คน","status":"เปิดให้บริการ/ว่าง","routeDetails":"","link":"https://me-l.co/v55ml1z3","additionalDetails":"ไม่มี","createdAt":"2026-09-26T08:38:52.000Z","updatedAt":"2026-09-26T08:38:52.000Z"}</x:t>
  </x:si>
  <x:si>
    <x:t xml:space="preserve">64a84257-a1fc-9759-ad8d-1b0266abd743</x:t>
  </x:si>
  <x:si>
    <x:t xml:space="preserve">โรงเรียนฝึกอาชีพกรุงเทพมหานคร (ประเวศ)</x:t>
  </x:si>
  <x:si>
    <x:t xml:space="preserve">https://me-l.co/4nkos9tt</x:t>
  </x:si>
  <x:si>
    <x:t xml:space="preserve">2026-09-26T08:49:04.000Z</x:t>
  </x:si>
  <x:si>
    <x:t xml:space="preserve">{"id":"64a84257-a1fc-9759-ad8d-1b0266abd743","district":"ประเวศ","category":"ศูนย์พักพิงชั่วคราว","name":"โรงเรียนฝึกอาชีพกรุงเทพมหานคร (ประเวศ)","capacity":50,"occupied":10,"available":40,"unitType":"คน","status":"เปิดให้บริการ/ว่าง","routeDetails":"","link":"https://me-l.co/4nkos9tt","additionalDetails":null,"createdAt":"2026-09-26T08:49:04.000Z","updatedAt":"2026-09-26T08:49:04.000Z"}</x:t>
  </x:si>
  <x:si>
    <x:t xml:space="preserve">5ac1597a-6790-d7a2-04c4-75d255fe2c21</x:t>
  </x:si>
  <x:si>
    <x:t xml:space="preserve">อาคารศูนย์บริการสาธารณสุข 51(เดิม)  ในบริเวณวัดไผ่ตัน</x:t>
  </x:si>
  <x:si>
    <x:t xml:space="preserve">https://www.google.com/search?q=%E0%B8%AD%E0%B8%B2%E0%B8%84%E0%B8%B2%E0%B8%A3%E0%B8%A8%E0%B8%B9%E0%B8%99%E0%B8%A2%E0%B9%8C%E0%B8%9A%E0%B8%A3%E0%B8%B4%E0%B8%81%E0%B8%B2%E0%B8%A3%E0%B8%AA%E0%B8%B2%E0%B8%98%E0%B8%B2%E0%B8%A3%E0%B8%93%E0%B8%AA%E0%B8%B8%E0%B8%82+51+%E0%B9%80%E0%B8%94%E0%B8%B4%E0%B8%A1+%E0%B8%95%E0%B8%B1%E0%B9%89%E0%B8%87%E0%B8%AD%E0%B8%A2%E0%B8%B9%E0%B9%88%E0%B8%A0%E0%B8%B2%E0%B8%A2%E0%B9%83%E0%B8%99%E0%B8%A7%E0%B8%B1%E0%B8%94%E0%B9%84%E0%B8%9C%E0%B9%88%E0%B8%95%E0%B8%B1%E0%B8%99+%E0%B8%8B%E0%B8%AD%E0%B8%A2%E0%B8%9E%E0%B8%AB%E0%B8%A5%E0%B9%82%E0%B8%A2%E0%B8%98%E0%B8%B4%E0%B8%99+15+%E0%B9%81%E0%B8%82%E0%B8%A7%E0%B8%87%E0%B8%9E%E0%B8%8D%E0%B8%B2%E0%B9%84%E0%B8%97+%E0%B9%80%E0%B8%82%E0%B8%95%E0%B8%9E%E0%B8%8D%E0%B8%B2%E0%B9%84%E0%B8%97+%E0%B8%81%E0%B8%A3%E0%B8%B8%E0%B8%87%E0%B9%80%E0%B8%97%E0%B8%9E%E0%B8%A1%E0%B8%AB%E0%B8%B2%E0%B8%99%E0%B8%84%E0%B8%A3&amp;sca_esv=fd861737a4dd1940&amp;biw=390&amp;bih=669&amp;sxsrf=APpeQnuRpzBC9WWrWKK44-7ug78WzsTfOA%3A1790408080654&amp;ei=kHW3aofLJ8qTseMPy5712QI&amp;oq=%E0%B8%AD%E0%B8%B2%E0%B8%84%E0%B8%B2%E0%B8%A3%E0%B8%A8%E0%B8%B9%E0%B8%99%E0%B8%A2%E0%B9%8C%E0%B8%9A%E0%B8%A3%E0%B8%B4%E0%B8%81%E0%B8%B2%E0%B8%A3%E0%B8%AA%E0%B8%B2%E0%B8%98%E0%B8%B2%E0%B8%A3%E0%B8%93%E0%B8%AA%E0%B8%B8%E0%B8%82+51+%E0%B9%80%E0%B8%94%E0%B8%B4%E0%B8%A1+%E0%B8%95%E0%B8%B1%E0%B9%89%E0%B8%87%E0%B8%AD%E0%B8%A2%E0%B8%B9%E0%B9%88%E0%B8%A0%E0%B8%B2%E0%B8%A2%E0%B9%83%E0%B8%99%E0%B8%A7%E0%B8%B1%E0%B8%94%E0%B9%84%E0%B8%9C%E0%B9%88%E0%B8%95%E0%B8%B1%E0%B8%99+%E0%B8%8B%E0%B8%AD%E0%B8%A2%E0%B8%9E%E0%B8%AB%E0%B8%A5%E0%B9%82%E0%B8%A2%E0%B8%98%E0%B8%B4%E0%B8%99+15+%E0%B9%81%E0%B8%82%E0%B8%A7%E0%B8%87%E0%B8%9E%E0%B8%8D%E0%B8%B2%E0%B9%84%E0%B8%97+%E0%B9%80%E0%B8%82%E0%B8%95%E0%B8%9E%E0%B8%8D%E0%B8%B2%E0%B9%84%E0%B8%97+%E0%B8%81%E0%B8%A3%E0%B8%B8%E0%B8%87%E0%B9%80%E0%B8%97%E0%B8%9E%E0%B8%A1%E0%B8%AB%E0%B8%B2%E0%B8%99%E0%B8%84%E0%B8%A3&amp;gs_lp=EhNtb2JpbGUtZ3dzLXdpei1zZXJwIqAC4Lit4Liy4LiE4Liy4Lij4Lio4Li54LiZ4Lii4LmM4Lia4Lij4Li04LiB4Liy4Lij4Liq4Liy4LiY4Liy4Lij4LiT4Liq4Li44LiCIDUxIOC5gOC4lOC4tOC4oSDguJXguLHguYnguIfguK3guKLguLnguYjguKDguLLguKLguYPguJnguKfguLHguJTguYTguJzguYjguJXguLHguJkg4LiL4Lit4Lii4Lie4Lir4Lil4LmC4Lii4LiY4Li04LiZIDE1IOC5geC4guC4p-C4h-C4nuC4jeC4suC5hOC4lyDguYDguILguJXguJ7guI3guLLguYTguJcg4LiB4Lij4Li44LiH4LmA4LiX4Lie4Lih4Lir4Liy4LiZ4LiE4LijMgcQIxjqAhgnMgcQIxjqAhgnMgcQIxjqAhgnMgcQIxjqAhgnMgcQIxjqAhgnMgcQIxjqAhgnMgcQIxjqAhgnMg0QIxjwBRjJAhjqAhgnMgcQIxjqAhgnMgcQIxjqAhgnMgcQIxjqAhgnMgoQIxjwBRjqAhgnMg0QLhjHARivARjqAhgnMgcQIxjqAhgnMgcQIxjqAhgnMgcQIxjqAhgnMgcQIxjqAhgnMgcQIxjqAhgnMgcQIxjqAhgnMgcQIxjqAhgnMgcQIxjqAhgnMgcQIxjqAhgnMgcQIxjqAhgnMgcQIxjqAhgnMgcQIxjqAhgnMgcQIxjqAhgnMgcQIxjqAhgnMgcQIxjqAhgnMgcQIxjqAhgnMgcQIxjqAhgnMhAQABgDGI8BGOoCGLQC2AEBMhAQABgDGI8BGOoCGLQC2AEBMhAQLhgDGI8BGOoCGLQC2AEBMhAQABgDGI8BGOoCGLQC2AEBMhAQLhgDGI8BGOoCGLQC2AEBMhAQABgDGI8BGOoCGLQC2AEBMhAQABgDGI8BGOoCGLQC2AEBMhAQABgDGI8BGOoCGLQC2AEBMhAQABgDGI8BGOoCGLQC2AEBMhAQABgDGI8BGOoCGLQC2AEBMhAQABgDGI8BGOoCGLQC2AEBMhAQABgDGI8BGOoCGLQC2AEBMhAQLhgDGI8BGOoCGLQC2AEBMhAQABgDGI8BGOoCGLQC2AEBMhAQABgDGI8BGOoCGLQC2AEBSIksUMUaWMUacAN4AZABAJgBAKABAKoBALgBA8gBAPgBAfgBApgCA6ACI6gCLZgDEfEFYyef746ajDC6BgQIARgKkgcBM6AHALIHALgHAMIHAzMtM8gHIIAIAQ&amp;sclient=mobile-gws-wiz-serp#</x:t>
  </x:si>
  <x:si>
    <x:t xml:space="preserve">08.00-18.00 น.</x:t>
  </x:si>
  <x:si>
    <x:t xml:space="preserve">2026-09-26T07:37:46.000Z</x:t>
  </x:si>
  <x:si>
    <x:t xml:space="preserve">{"id":"5ac1597a-6790-d7a2-04c4-75d255fe2c21","district":"พญาไท","category":"ศูนย์พักพิงชั่วคราว","name":"อาคารศูนย์บริการสาธารณสุข 51(เดิม)  ในบริเวณวัดไผ่ตัน","capacity":50,"occupied":0,"available":50,"unitType":"คน","status":"เปิดให้บริการ/ว่าง","routeDetails":"","link":"https://www.google.com/search?q=%E0%B8%AD%E0%B8%B2%E0%B8%84%E0%B8%B2%E0%B8%A3%E0%B8%A8%E0%B8%B9%E0%B8%99%E0%B8%A2%E0%B9%8C%E0%B8%9A%E0%B8%A3%E0%B8%B4%E0%B8%81%E0%B8%B2%E0%B8%A3%E0%B8%AA%E0%B8%B2%E0%B8%98%E0%B8%B2%E0%B8%A3%E0%B8%93%E0%B8%AA%E0%B8%B8%E0%B8%82+51+%E0%B9%80%E0%B8%94%E0%B8%B4%E0%B8%A1+%E0%B8%95%E0%B8%B1%E0%B9%89%E0%B8%87%E0%B8%AD%E0%B8%A2%E0%B8%B9%E0%B9%88%E0%B8%A0%E0%B8%B2%E0%B8%A2%E0%B9%83%E0%B8%99%E0%B8%A7%E0%B8%B1%E0%B8%94%E0%B9%84%E0%B8%9C%E0%B9%88%E0%B8%95%E0%B8%B1%E0%B8%99+%E0%B8%8B%E0%B8%AD%E0%B8%A2%E0%B8%9E%E0%B8%AB%E0%B8%A5%E0%B9%82%E0%B8%A2%E0%B8%98%E0%B8%B4%E0%B8%99+15+%E0%B9%81%E0%B8%82%E0%B8%A7%E0%B8%87%E0%B8%9E%E0%B8%8D%E0%B8%B2%E0%B9%84%E0%B8%97+%E0%B9%80%E0%B8%82%E0%B8%95%E0%B8%9E%E0%B8%8D%E0%B8%B2%E0%B9%84%E0%B8%97+%E0%B8%81%E0%B8%A3%E0%B8%B8%E0%B8%87%E0%B9%80%E0%B8%97%E0%B8%9E%E0%B8%A1%E0%B8%AB%E0%B8%B2%E0%B8%99%E0%B8%84%E0%B8%A3&amp;sca_esv=fd861737a4dd1940&amp;biw=390&amp;bih=669&amp;sxsrf=APpeQnuRpzBC9WWrWKK44-7ug78WzsTfOA%3A1790408080654&amp;ei=kHW3aofLJ8qTseMPy5712QI&amp;oq=%E0%B8%AD%E0%B8%B2%E0%B8%84%E0%B8%B2%E0%B8%A3%E0%B8%A8%E0%B8%B9%E0%B8%99%E0%B8%A2%E0%B9%8C%E0%B8%9A%E0%B8%A3%E0%B8%B4%E0%B8%81%E0%B8%B2%E0%B8%A3%E0%B8%AA%E0%B8%B2%E0%B8%98%E0%B8%B2%E0%B8%A3%E0%B8%93%E0%B8%AA%E0%B8%B8%E0%B8%82+51+%E0%B9%80%E0%B8%94%E0%B8%B4%E0%B8%A1+%E0%B8%95%E0%B8%B1%E0%B9%89%E0%B8%87%E0%B8%AD%E0%B8%A2%E0%B8%B9%E0%B9%88%E0%B8%A0%E0%B8%B2%E0%B8%A2%E0%B9%83%E0%B8%99%E0%B8%A7%E0%B8%B1%E0%B8%94%E0%B9%84%E0%B8%9C%E0%B9%88%E0%B8%95%E0%B8%B1%E0%B8%99+%E0%B8%8B%E0%B8%AD%E0%B8%A2%E0%B8%9E%E0%B8%AB%E0%B8%A5%E0%B9%82%E0%B8%A2%E0%B8%98%E0%B8%B4%E0%B8%99+15+%E0%B9%81%E0%B8%82%E0%B8%A7%E0%B8%87%E0%B8%9E%E0%B8%8D%E0%B8%B2%E0%B9%84%E0%B8%97+%E0%B9%80%E0%B8%82%E0%B8%95%E0%B8%9E%E0%B8%8D%E0%B8%B2%E0%B9%84%E0%B8%97+%E0%B8%81%E0%B8%A3%E0%B8%B8%E0%B8%87%E0%B9%80%E0%B8%97%E0%B8%9E%E0%B8%A1%E0%B8%AB%E0%B8%B2%E0%B8%99%E0%B8%84%E0%B8%A3&amp;gs_lp=EhNtb2JpbGUtZ3dzLXdpei1zZXJwIqAC4Lit4Liy4LiE4Liy4Lij4Lio4Li54LiZ4Lii4LmM4Lia4Lij4Li04LiB4Liy4Lij4Liq4Liy4LiY4Liy4Lij4LiT4Liq4Li44LiCIDUxIOC5gOC4lOC4tOC4oSDguJXguLHguYnguIfguK3guKLguLnguYjguKDguLLguKLguYPguJnguKfguLHguJTguYTguJzguYjguJXguLHguJkg4LiL4Lit4Lii4Lie4Lir4Lil4LmC4Lii4LiY4Li04LiZIDE1IOC5geC4guC4p-C4h-C4nuC4jeC4suC5hOC4lyDguYDguILguJXguJ7guI3guLLguYTguJcg4LiB4Lij4Li44LiH4LmA4LiX4Lie4Lih4Lir4Liy4LiZ4LiE4LijMgcQIxjqAhgnMgcQIxjqAhgnMgcQIxjqAhgnMgcQIxjqAhgnMgcQIxjqAhgnMgcQIxjqAhgnMgcQIxjqAhgnMg0QIxjwBRjJAhjqAhgnMgcQIxjqAhgnMgcQIxjqAhgnMgcQIxjqAhgnMgoQIxjwBRjqAhgnMg0QLhjHARivARjqAhgnMgcQIxjqAhgnMgcQIxjqAhgnMgcQIxjqAhgnMgcQIxjqAhgnMgcQIxjqAhgnMgcQIxjqAhgnMgcQIxjqAhgnMgcQIxjqAhgnMgcQIxjqAhgnMgcQIxjqAhgnMgcQIxjqAhgnMgcQIxjqAhgnMgcQIxjqAhgnMgcQIxjqAhgnMgcQIxjqAhgnMgcQIxjqAhgnMgcQIxjqAhgnMhAQABgDGI8BGOoCGLQC2AEBMhAQABgDGI8BGOoCGLQC2AEBMhAQLhgDGI8BGOoCGLQC2AEBMhAQABgDGI8BGOoCGLQC2AEBMhAQLhgDGI8BGOoCGLQC2AEBMhAQABgDGI8BGOoCGLQC2AEBMhAQABgDGI8BGOoCGLQC2AEBMhAQABgDGI8BGOoCGLQC2AEBMhAQABgDGI8BGOoCGLQC2AEBMhAQABgDGI8BGOoCGLQC2AEBMhAQABgDGI8BGOoCGLQC2AEBMhAQABgDGI8BGOoCGLQC2AEBMhAQLhgDGI8BGOoCGLQC2AEBMhAQABgDGI8BGOoCGLQC2AEBMhAQABgDGI8BGOoCGLQC2AEBSIksUMUaWMUacAN4AZABAJgBAKABAKoBALgBA8gBAPgBAfgBApgCA6ACI6gCLZgDEfEFYyef746ajDC6BgQIARgKkgcBM6AHALIHALgHAMIHAzMtM8gHIIAIAQ&amp;sclient=mobile-gws-wiz-serp#","additionalDetails":"08.00-18.00 น.","createdAt":"2026-09-26T07:37:46.000Z","updatedAt":"2026-09-26T07:37:46.000Z"}</x:t>
  </x:si>
  <x:si>
    <x:t xml:space="preserve">f5313405-82de-a3c2-69fa-36b25f99866e</x:t>
  </x:si>
  <x:si>
    <x:t xml:space="preserve">วัดธรรมมงคลเถาบุญนนทวิหาร</x:t>
  </x:si>
  <x:si>
    <x:t xml:space="preserve">2026-09-26T07:39:38.000Z</x:t>
  </x:si>
  <x:si>
    <x:t xml:space="preserve">{"id":"f5313405-82de-a3c2-69fa-36b25f99866e","district":"พระโขนง","category":"ศูนย์พักพิงชั่วคราว","name":"วัดธรรมมงคลเถาบุญนนทวิหาร","capacity":30,"occupied":0,"available":30,"unitType":"คน","status":"เปิดให้บริการ/ว่าง","routeDetails":"","link":null,"additionalDetails":null,"createdAt":"2026-09-26T07:39:38.000Z","updatedAt":"2026-09-26T07:39:38.000Z"}</x:t>
  </x:si>
  <x:si>
    <x:t xml:space="preserve">ed542ef7-11b3-3d96-fa5f-fe027618ee14</x:t>
  </x:si>
  <x:si>
    <x:t xml:space="preserve">วัดบุญรอดธรรมาราม</x:t>
  </x:si>
  <x:si>
    <x:t xml:space="preserve">{"id":"ed542ef7-11b3-3d96-fa5f-fe027618ee14","district":"พระโขนง","category":"ศูนย์พักพิงชั่วคราว","name":"วัดบุญรอดธรรมาราม","capacity":50,"occupied":0,"available":50,"unitType":"คน","status":"เปิดให้บริการ/ว่าง","routeDetails":"","link":null,"additionalDetails":null,"createdAt":"2026-09-26T07:39:38.000Z","updatedAt":"2026-09-26T07:39:38.000Z"}</x:t>
  </x:si>
  <x:si>
    <x:t xml:space="preserve">c40024d9-10b8-1ce2-4a5b-32a5139672e3</x:t>
  </x:si>
  <x:si>
    <x:t xml:space="preserve">วัดวชิรธรรมสาธิตวรวิหาร</x:t>
  </x:si>
  <x:si>
    <x:t xml:space="preserve">{"id":"c40024d9-10b8-1ce2-4a5b-32a5139672e3","district":"พระโขนง","category":"ศูนย์พักพิงชั่วคราว","name":"วัดวชิรธรรมสาธิตวรวิหาร","capacity":50,"occupied":8,"available":42,"unitType":"คน","status":"เปิดให้บริการ/ว่าง","routeDetails":"","link":null,"additionalDetails":null,"createdAt":"2026-09-26T07:39:38.000Z","updatedAt":"2026-09-26T07:39:38.000Z"}</x:t>
  </x:si>
  <x:si>
    <x:t xml:space="preserve">ad4ad225-7357-0a5c-c429-df540e248eff</x:t>
  </x:si>
  <x:si>
    <x:t xml:space="preserve">อาคารศาลาประชาคม สำนักงานเขตมีนบุรี</x:t>
  </x:si>
  <x:si>
    <x:t xml:space="preserve">https://maps.app.goo.gl/qqwV7uN5wtcpXmwX8</x:t>
  </x:si>
  <x:si>
    <x:t xml:space="preserve">2026-09-26T05:02:13.000Z</x:t>
  </x:si>
  <x:si>
    <x:t xml:space="preserve">2026-09-27T05:44:34.359Z</x:t>
  </x:si>
  <x:si>
    <x:t xml:space="preserve">{"id":"ad4ad225-7357-0a5c-c429-df540e248eff","district":"มีนบุรี","category":"ศูนย์พักพิงชั่วคราว","name":"อาคารศาลาประชาคม สำนักงานเขตมีนบุรี","capacity":50,"occupied":32,"available":18,"unitType":"คน","status":"เปิดให้บริการ/ว่าง","routeDetails":"","link":"https://maps.app.goo.gl/qqwV7uN5wtcpXmwX8","additionalDetails":null,"createdAt":"2026-09-26T05:02:13.000Z","updatedAt":"2026-09-27T05:44:34.359Z"}</x:t>
  </x:si>
  <x:si>
    <x:t xml:space="preserve">108f0d4b-5eb9-6805-0d90-1a90573dd07b</x:t>
  </x:si>
  <x:si>
    <x:t xml:space="preserve">โรงเรียนวังเล็กวิทยานุสรณ์</x:t>
  </x:si>
  <x:si>
    <x:t xml:space="preserve">https://maps.app.goo.gl/STehFm7UqdtWCgov7</x:t>
  </x:si>
  <x:si>
    <x:t xml:space="preserve">2026-09-26T07:42:55.000Z</x:t>
  </x:si>
  <x:si>
    <x:t xml:space="preserve">{"id":"108f0d4b-5eb9-6805-0d90-1a90573dd07b","district":"มีนบุรี","category":"ศูนย์พักพิงชั่วคราว","name":"โรงเรียนวังเล็กวิทยานุสรณ์","capacity":100,"occupied":4,"available":96,"unitType":"คน","status":"เปิดให้บริการ/ว่าง","routeDetails":"","link":"https://maps.app.goo.gl/STehFm7UqdtWCgov7","additionalDetails":null,"createdAt":"2026-09-26T05:02:13.000Z","updatedAt":"2026-09-26T07:42:55.000Z"}</x:t>
  </x:si>
  <x:si>
    <x:t xml:space="preserve">a30eb935-4569-4a32-c78e-acaf6acf04ef</x:t>
  </x:si>
  <x:si>
    <x:t xml:space="preserve">โรงเรียนศาลาคู้</x:t>
  </x:si>
  <x:si>
    <x:t xml:space="preserve">https://maps.app.goo.gl/ommx5M5VvMYWR7ReA</x:t>
  </x:si>
  <x:si>
    <x:t xml:space="preserve">2026-09-26T05:05:16.000Z</x:t>
  </x:si>
  <x:si>
    <x:t xml:space="preserve">2026-09-26T10:36:35.944Z</x:t>
  </x:si>
  <x:si>
    <x:t xml:space="preserve">{"id":"a30eb935-4569-4a32-c78e-acaf6acf04ef","district":"มีนบุรี","category":"ศูนย์พักพิงชั่วคราว","name":"โรงเรียนศาลาคู้","capacity":60,"occupied":0,"available":60,"unitType":"คน","status":"เปิดให้บริการ/ว่าง","routeDetails":"","link":"https://maps.app.goo.gl/ommx5M5VvMYWR7ReA","additionalDetails":null,"createdAt":"2026-09-26T05:05:16.000Z","updatedAt":"2026-09-26T10:36:35.944Z"}</x:t>
  </x:si>
  <x:si>
    <x:t xml:space="preserve">6ad7cac0-613d-15b9-7d52-00a10414f33d</x:t>
  </x:si>
  <x:si>
    <x:t xml:space="preserve">โรงเรียนสุเหร่าทรายกองดิน</x:t>
  </x:si>
  <x:si>
    <x:t xml:space="preserve">https://maps.app.goo.gl/6uSbkzoc8Nyn6W2f6</x:t>
  </x:si>
  <x:si>
    <x:t xml:space="preserve">2026-09-26T05:03:36.000Z</x:t>
  </x:si>
  <x:si>
    <x:t xml:space="preserve">2026-09-27T05:45:23.723Z</x:t>
  </x:si>
  <x:si>
    <x:t xml:space="preserve">{"id":"6ad7cac0-613d-15b9-7d52-00a10414f33d","district":"มีนบุรี","category":"ศูนย์พักพิงชั่วคราว","name":"โรงเรียนสุเหร่าทรายกองดิน","capacity":100,"occupied":15,"available":85,"unitType":"คน","status":"เปิดให้บริการ/ว่าง","routeDetails":"","link":"https://maps.app.goo.gl/6uSbkzoc8Nyn6W2f6","additionalDetails":null,"createdAt":"2026-09-26T05:03:36.000Z","updatedAt":"2026-09-27T05:45:23.723Z"}</x:t>
  </x:si>
  <x:si>
    <x:t xml:space="preserve">d7469fe1-e6a9-298f-224f-b2f4bd46fc6e</x:t>
  </x:si>
  <x:si>
    <x:t xml:space="preserve">โรงเรียนสุเหร่าบางชัน</x:t>
  </x:si>
  <x:si>
    <x:t xml:space="preserve">https://maps.app.goo.gl/XiobPtqF3zAaWiEd8</x:t>
  </x:si>
  <x:si>
    <x:t xml:space="preserve">2026-09-27T05:45:32.335Z</x:t>
  </x:si>
  <x:si>
    <x:t xml:space="preserve">{"id":"d7469fe1-e6a9-298f-224f-b2f4bd46fc6e","district":"มีนบุรี","category":"ศูนย์พักพิงชั่วคราว","name":"โรงเรียนสุเหร่าบางชัน","capacity":100,"occupied":57,"available":43,"unitType":"คน","status":"เปิดให้บริการ/ว่าง","routeDetails":"","link":"https://maps.app.goo.gl/XiobPtqF3zAaWiEd8","additionalDetails":null,"createdAt":"2026-09-26T05:05:16.000Z","updatedAt":"2026-09-27T05:45:32.335Z"}</x:t>
  </x:si>
  <x:si>
    <x:t xml:space="preserve">58d18f0f-184f-425a-b34c-ec7a042127a3</x:t>
  </x:si>
  <x:si>
    <x:t xml:space="preserve">โรงเรียนวัดคลองภูมิ</x:t>
  </x:si>
  <x:si>
    <x:t xml:space="preserve">https://maps.app.goo.gl/g6ka5gor8jLLrJ2y6?g_st=ac</x:t>
  </x:si>
  <x:si>
    <x:t xml:space="preserve">2026-09-26T10:53:30.733Z</x:t>
  </x:si>
  <x:si>
    <x:t xml:space="preserve">2026-09-26T15:04:48.373Z</x:t>
  </x:si>
  <x:si>
    <x:t xml:space="preserve">{"id":"58d18f0f-184f-425a-b34c-ec7a042127a3","district":"ยานนาวา","category":"ศูนย์พักพิงชั่วคราว","name":"โรงเรียนวัดคลองภูมิ","capacity":30,"occupied":0,"available":30,"unitType":"คน","status":"เปิดให้บริการ/ว่าง","routeDetails":"","link":"https://maps.app.goo.gl/g6ka5gor8jLLrJ2y6?g_st=ac","additionalDetails":null,"createdAt":"2026-09-26T10:53:30.733Z","updatedAt":"2026-09-26T15:04:48.373Z"}</x:t>
  </x:si>
  <x:si>
    <x:t xml:space="preserve">ac24b672-1b8b-cbbe-fe67-dbc653b6c1e1</x:t>
  </x:si>
  <x:si>
    <x:t xml:space="preserve">ราษฎร์บูรณะ</x:t>
  </x:si>
  <x:si>
    <x:t xml:space="preserve">โรงเรียนรัตนจีนะอุทิศ</x:t>
  </x:si>
  <x:si>
    <x:t xml:space="preserve">https://maps.app.goo.gl/BM79ZsJkXavdF3qr8</x:t>
  </x:si>
  <x:si>
    <x:t xml:space="preserve">2026-09-26T05:51:56.000Z</x:t>
  </x:si>
  <x:si>
    <x:t xml:space="preserve">2026-09-26T12:46:31.846Z</x:t>
  </x:si>
  <x:si>
    <x:t xml:space="preserve">{"id":"ac24b672-1b8b-cbbe-fe67-dbc653b6c1e1","district":"ราษฎร์บูรณะ","category":"ศูนย์พักพิงชั่วคราว","name":"โรงเรียนรัตนจีนะอุทิศ","capacity":50,"occupied":0,"available":50,"unitType":"คน","status":"เปิดให้บริการ/ว่าง","routeDetails":"","link":"https://maps.app.goo.gl/BM79ZsJkXavdF3qr8","additionalDetails":null,"createdAt":"2026-09-26T05:51:56.000Z","updatedAt":"2026-09-26T12:46:31.846Z"}</x:t>
  </x:si>
  <x:si>
    <x:t xml:space="preserve">3e4d1238-80fe-3094-c72b-f0b554d263ed</x:t>
  </x:si>
  <x:si>
    <x:t xml:space="preserve">โรงเรียนวัดบางปะกอก</x:t>
  </x:si>
  <x:si>
    <x:t xml:space="preserve">https://maps.app.goo.gl/2cg64tVEfKALEc4E8</x:t>
  </x:si>
  <x:si>
    <x:t xml:space="preserve">2026-09-26T12:47:14.003Z</x:t>
  </x:si>
  <x:si>
    <x:t xml:space="preserve">{"id":"3e4d1238-80fe-3094-c72b-f0b554d263ed","district":"ราษฎร์บูรณะ","category":"ศูนย์พักพิงชั่วคราว","name":"โรงเรียนวัดบางปะกอก","capacity":40,"occupied":0,"available":40,"unitType":"คน","status":"เปิดให้บริการ/ว่าง","routeDetails":"","link":"https://maps.app.goo.gl/2cg64tVEfKALEc4E8","additionalDetails":null,"createdAt":"2026-09-26T05:51:56.000Z","updatedAt":"2026-09-26T12:47:14.003Z"}</x:t>
  </x:si>
  <x:si>
    <x:t xml:space="preserve">3e5b3eb9-8878-1528-57bb-81a577826c46</x:t>
  </x:si>
  <x:si>
    <x:t xml:space="preserve">โรงเรียนวัดประเสริฐสุทธาวาส</x:t>
  </x:si>
  <x:si>
    <x:t xml:space="preserve">https://maps.app.goo.gl/jocJXZyQenCUBxhB8</x:t>
  </x:si>
  <x:si>
    <x:t xml:space="preserve">2026-09-26T12:49:13.397Z</x:t>
  </x:si>
  <x:si>
    <x:t xml:space="preserve">{"id":"3e5b3eb9-8878-1528-57bb-81a577826c46","district":"ราษฎร์บูรณะ","category":"ศูนย์พักพิงชั่วคราว","name":"โรงเรียนวัดประเสริฐสุทธาวาส","capacity":20,"occupied":0,"available":20,"unitType":"คน","status":"เปิดให้บริการ/ว่าง","routeDetails":"","link":"https://maps.app.goo.gl/jocJXZyQenCUBxhB8","additionalDetails":null,"createdAt":"2026-09-26T05:51:56.000Z","updatedAt":"2026-09-26T12:49:13.397Z"}</x:t>
  </x:si>
  <x:si>
    <x:t xml:space="preserve">4caacb42-dc54-07c7-5c91-ab53e86ae651</x:t>
  </x:si>
  <x:si>
    <x:t xml:space="preserve">โรงเรียนวัดสน</x:t>
  </x:si>
  <x:si>
    <x:t xml:space="preserve">https://maps.app.goo.gl/mLWuTF19LmUWtciD9</x:t>
  </x:si>
  <x:si>
    <x:t xml:space="preserve">2026-09-26T12:50:40.457Z</x:t>
  </x:si>
  <x:si>
    <x:t xml:space="preserve">{"id":"4caacb42-dc54-07c7-5c91-ab53e86ae651","district":"ราษฎร์บูรณะ","category":"ศูนย์พักพิงชั่วคราว","name":"โรงเรียนวัดสน","capacity":30,"occupied":0,"available":30,"unitType":"คน","status":"เปิดให้บริการ/ว่าง","routeDetails":"","link":"https://maps.app.goo.gl/mLWuTF19LmUWtciD9","additionalDetails":null,"createdAt":"2026-09-26T05:51:56.000Z","updatedAt":"2026-09-26T12:50:40.457Z"}</x:t>
  </x:si>
  <x:si>
    <x:t xml:space="preserve">40f69c04-5169-2e5f-a936-ba7aaf4467cb</x:t>
  </x:si>
  <x:si>
    <x:t xml:space="preserve">โรงเรียนวัดสารอด</x:t>
  </x:si>
  <x:si>
    <x:t xml:space="preserve">https://maps.app.goo.gl/HqLkMx9J73535Kqq9</x:t>
  </x:si>
  <x:si>
    <x:t xml:space="preserve">2026-09-26T12:51:24.016Z</x:t>
  </x:si>
  <x:si>
    <x:t xml:space="preserve">{"id":"40f69c04-5169-2e5f-a936-ba7aaf4467cb","district":"ราษฎร์บูรณะ","category":"ศูนย์พักพิงชั่วคราว","name":"โรงเรียนวัดสารอด","capacity":40,"occupied":0,"available":40,"unitType":"คน","status":"เปิดให้บริการ/ว่าง","routeDetails":"","link":"https://maps.app.goo.gl/HqLkMx9J73535Kqq9","additionalDetails":null,"createdAt":"2026-09-26T05:51:56.000Z","updatedAt":"2026-09-26T12:51:24.016Z"}</x:t>
  </x:si>
  <x:si>
    <x:t xml:space="preserve">5ef2905b-b808-6460-98b9-2ac12dd3f1ef</x:t>
  </x:si>
  <x:si>
    <x:t xml:space="preserve">โรงเรียนวัดแจงร้อน</x:t>
  </x:si>
  <x:si>
    <x:t xml:space="preserve">https://maps.app.goo.gl/JwqkUGanTRMf64SVA</x:t>
  </x:si>
  <x:si>
    <x:t xml:space="preserve">2026-09-26T12:52:07.385Z</x:t>
  </x:si>
  <x:si>
    <x:t xml:space="preserve">{"id":"5ef2905b-b808-6460-98b9-2ac12dd3f1ef","district":"ราษฎร์บูรณะ","category":"ศูนย์พักพิงชั่วคราว","name":"โรงเรียนวัดแจงร้อน","capacity":60,"occupied":0,"available":60,"unitType":"คน","status":"เปิดให้บริการ/ว่าง","routeDetails":"","link":"https://maps.app.goo.gl/JwqkUGanTRMf64SVA","additionalDetails":null,"createdAt":"2026-09-26T05:51:56.000Z","updatedAt":"2026-09-26T12:52:07.385Z"}</x:t>
  </x:si>
  <x:si>
    <x:t xml:space="preserve">09a0444e-4181-c113-8486-412d5d65c3bb</x:t>
  </x:si>
  <x:si>
    <x:t xml:space="preserve">ศูนย์นันทนาการลาดกระบัง</x:t>
  </x:si>
  <x:si>
    <x:t xml:space="preserve">https://maps.app.goo.gl/zKg8J8C1fJDUEafU9</x:t>
  </x:si>
  <x:si>
    <x:t xml:space="preserve">2026-09-26T06:43:50.000Z</x:t>
  </x:si>
  <x:si>
    <x:t xml:space="preserve">{"id":"09a0444e-4181-c113-8486-412d5d65c3bb","district":"ลาดกระบัง","category":"ศูนย์พักพิงชั่วคราว","name":"ศูนย์นันทนาการลาดกระบัง","capacity":100,"occupied":0,"available":100,"unitType":"คน","status":"เปิดให้บริการ/ว่าง","routeDetails":"","link":null,"additionalDetails":"https://maps.app.goo.gl/zKg8J8C1fJDUEafU9","createdAt":"2026-09-26T06:43:50.000Z","updatedAt":"2026-09-26T06:43:50.000Z"}</x:t>
  </x:si>
  <x:si>
    <x:t xml:space="preserve">4094bbd8-3137-4ccd-bf38-ae725cb44174</x:t>
  </x:si>
  <x:si>
    <x:t xml:space="preserve">หอประชุมเจ้าพระยาสุรวงษ์ไวยวัฒน์ (วร บุนนาค)</x:t>
  </x:si>
  <x:si>
    <x:t xml:space="preserve">https://maps.app.goo.gl/NDLAChaKvW6ma2u1A</x:t>
  </x:si>
  <x:si>
    <x:t xml:space="preserve">2026-09-27T18:50:38.743Z</x:t>
  </x:si>
  <x:si>
    <x:t xml:space="preserve">{"id":"4094bbd8-3137-4ccd-bf38-ae725cb44174","district":"ลาดกระบัง","category":"ศูนย์พักพิงชั่วคราว","name":"หอประชุมเจ้าพระยาสุรวงษ์ไวยวัฒน์ (วร บุนนาค)","capacity":1500,"occupied":490,"available":1010,"unitType":"คน","status":"เปิดให้บริการ/ว่าง","routeDetails":"","link":"https://maps.app.goo.gl/NDLAChaKvW6ma2u1A","additionalDetails":null,"createdAt":"2026-09-27T18:50:38.743Z","updatedAt":"2026-09-27T18:50:38.743Z"}</x:t>
  </x:si>
  <x:si>
    <x:t xml:space="preserve">ae48d8db-3682-063f-d0a0-c2f41011e2cf</x:t>
  </x:si>
  <x:si>
    <x:t xml:space="preserve">โรงเรียนขุุมทอง</x:t>
  </x:si>
  <x:si>
    <x:t xml:space="preserve">https://share.google/41On0UmQrV4qs2ZRU</x:t>
  </x:si>
  <x:si>
    <x:t xml:space="preserve">2026-09-26T05:48:47.000Z</x:t>
  </x:si>
  <x:si>
    <x:t xml:space="preserve">{"id":"ae48d8db-3682-063f-d0a0-c2f41011e2cf","district":"ลาดกระบัง","category":"ศูนย์พักพิงชั่วคราว","name":"โรงเรียนขุุมทอง","capacity":20,"occupied":9,"available":11,"unitType":"คน","status":"เปิดให้บริการ/ว่าง","routeDetails":"","link":"https://share.google/41On0UmQrV4qs2ZRU","additionalDetails":null,"createdAt":"2026-09-26T05:48:47.000Z","updatedAt":"2026-09-26T05:48:47.000Z"}</x:t>
  </x:si>
  <x:si>
    <x:t xml:space="preserve">f18749f9-1bb1-fc13-0fd9-128f5bb46a9b</x:t>
  </x:si>
  <x:si>
    <x:t xml:space="preserve">โรงเรียนตำบลขุมทอง</x:t>
  </x:si>
  <x:si>
    <x:t xml:space="preserve">https://share.google/MmRp1bEdHedmV8OeK</x:t>
  </x:si>
  <x:si>
    <x:t xml:space="preserve">{"id":"f18749f9-1bb1-fc13-0fd9-128f5bb46a9b","district":"ลาดกระบัง","category":"ศูนย์พักพิงชั่วคราว","name":"โรงเรียนตำบลขุมทอง","capacity":0,"occupied":0,"available":0,"unitType":"คน","status":"เปิดให้บริการ/ว่าง","routeDetails":"","link":null,"additionalDetails":"https://share.google/MmRp1bEdHedmV8OeK","createdAt":"2026-09-26T06:43:50.000Z","updatedAt":"2026-09-26T06:43:50.000Z"}</x:t>
  </x:si>
  <x:si>
    <x:t xml:space="preserve">92ce774c-8709-f476-ce12-a42ab1d2f458</x:t>
  </x:si>
  <x:si>
    <x:t xml:space="preserve">โรงเรียนประสานสามัคคี</x:t>
  </x:si>
  <x:si>
    <x:t xml:space="preserve">https://maps.app.goo.gl/7SqMGMmQ36fMvBL49</x:t>
  </x:si>
  <x:si>
    <x:t xml:space="preserve">{"id":"92ce774c-8709-f476-ce12-a42ab1d2f458","district":"ลาดกระบัง","category":"ศูนย์พักพิงชั่วคราว","name":"โรงเรียนประสานสามัคคี","capacity":40,"occupied":0,"available":40,"unitType":"คน","status":"เปิดให้บริการ/ว่าง","routeDetails":"","link":null,"additionalDetails":"https://maps.app.goo.gl/7SqMGMmQ36fMvBL49","createdAt":"2026-09-26T06:43:50.000Z","updatedAt":"2026-09-26T06:43:50.000Z"}</x:t>
  </x:si>
  <x:si>
    <x:t xml:space="preserve">8bb3b656-819d-8ba2-5d1a-394d5600d7a8</x:t>
  </x:si>
  <x:si>
    <x:t xml:space="preserve">โรงเรียนวัดบำรุงรื่น</x:t>
  </x:si>
  <x:si>
    <x:t xml:space="preserve">https://maps.app.goo.gl/uoQCpQWyq2u1tLvw7</x:t>
  </x:si>
  <x:si>
    <x:t xml:space="preserve">{"id":"8bb3b656-819d-8ba2-5d1a-394d5600d7a8","district":"ลาดกระบัง","category":"ศูนย์พักพิงชั่วคราว","name":"โรงเรียนวัดบำรุงรื่น","capacity":0,"occupied":0,"available":0,"unitType":"คน","status":"เปิดให้บริการ/ว่าง","routeDetails":"","link":null,"additionalDetails":"https://maps.app.goo.gl/uoQCpQWyq2u1tLvw7","createdAt":"2026-09-26T06:43:50.000Z","updatedAt":"2026-09-26T06:43:50.000Z"}</x:t>
  </x:si>
  <x:si>
    <x:t xml:space="preserve">1d4a03e3-61d7-ae7f-fd30-68dbd475d5a5</x:t>
  </x:si>
  <x:si>
    <x:t xml:space="preserve">โรงเรียนวัดปากบึง</x:t>
  </x:si>
  <x:si>
    <x:t xml:space="preserve">https://maps.app.goo.gl/SVNzRkZmNRprXpSB8</x:t>
  </x:si>
  <x:si>
    <x:t xml:space="preserve">{"id":"1d4a03e3-61d7-ae7f-fd30-68dbd475d5a5","district":"ลาดกระบัง","category":"ศูนย์พักพิงชั่วคราว","name":"โรงเรียนวัดปากบึง","capacity":60,"occupied":0,"available":60,"unitType":"คน","status":"เปิดให้บริการ/ว่าง","routeDetails":"","link":null,"additionalDetails":"https://maps.app.goo.gl/SVNzRkZmNRprXpSB8","createdAt":"2026-09-26T06:43:50.000Z","updatedAt":"2026-09-26T06:43:50.000Z"}</x:t>
  </x:si>
  <x:si>
    <x:t xml:space="preserve">87957c08-9e83-fad5-051d-8173cd27bed6</x:t>
  </x:si>
  <x:si>
    <x:t xml:space="preserve">โรงเรียนวัดลาดกระบัง</x:t>
  </x:si>
  <x:si>
    <x:t xml:space="preserve">https://maps.app.goo.gl/57CDb5Mzzz3bWPes9</x:t>
  </x:si>
  <x:si>
    <x:t xml:space="preserve">{"id":"87957c08-9e83-fad5-051d-8173cd27bed6","district":"ลาดกระบัง","category":"ศูนย์พักพิงชั่วคราว","name":"โรงเรียนวัดลาดกระบัง","capacity":50,"occupied":0,"available":50,"unitType":"คน","status":"เปิดให้บริการ/ว่าง","routeDetails":"","link":null,"additionalDetails":"https://maps.app.goo.gl/57CDb5Mzzz3bWPes9","createdAt":"2026-09-26T06:43:50.000Z","updatedAt":"2026-09-26T06:43:50.000Z"}</x:t>
  </x:si>
  <x:si>
    <x:t xml:space="preserve">f972891e-249a-d6ee-d41c-e53a087128d2</x:t>
  </x:si>
  <x:si>
    <x:t xml:space="preserve">โรงเรียนวัดลานบุญ</x:t>
  </x:si>
  <x:si>
    <x:t xml:space="preserve">{"id":"f972891e-249a-d6ee-d41c-e53a087128d2","district":"ลาดกระบัง","category":"ศูนย์พักพิงชั่วคราว","name":"โรงเรียนวัดลานบุญ","capacity":50,"occupied":30,"available":20,"unitType":"คน","status":"เปิดให้บริการ/ว่าง","routeDetails":"","link":null,"additionalDetails":"https://maps.app.goo.gl/57CDb5Mzzz3bWPes9","createdAt":"2026-09-26T06:43:50.000Z","updatedAt":"2026-09-26T06:43:50.000Z"}</x:t>
  </x:si>
  <x:si>
    <x:t xml:space="preserve">71c4ce5c-d133-efe4-0e62-58419ffc6266</x:t>
  </x:si>
  <x:si>
    <x:t xml:space="preserve">โรงเรียนวัดสังฆราชา</x:t>
  </x:si>
  <x:si>
    <x:t xml:space="preserve">https://maps.app.goo.gl/NNb4oTgkSBqmEvcp8</x:t>
  </x:si>
  <x:si>
    <x:t xml:space="preserve">{"id":"71c4ce5c-d133-efe4-0e62-58419ffc6266","district":"ลาดกระบัง","category":"ศูนย์พักพิงชั่วคราว","name":"โรงเรียนวัดสังฆราชา","capacity":40,"occupied":38,"available":2,"unitType":"คน","status":"ใกล้เต็ม","routeDetails":"","link":null,"additionalDetails":"https://maps.app.goo.gl/NNb4oTgkSBqmEvcp8","createdAt":"2026-09-26T06:43:50.000Z","updatedAt":"2026-09-26T06:43:50.000Z"}</x:t>
  </x:si>
  <x:si>
    <x:t xml:space="preserve">8a114428-c8c2-f3fe-86a8-73bd768f9cdf</x:t>
  </x:si>
  <x:si>
    <x:t xml:space="preserve">โรงเรียนวัดสุทธาโภชน์</x:t>
  </x:si>
  <x:si>
    <x:t xml:space="preserve">https://maps.app.goo.gl/3WiLNbK2NGTxLyGx6</x:t>
  </x:si>
  <x:si>
    <x:t xml:space="preserve">{"id":"8a114428-c8c2-f3fe-86a8-73bd768f9cdf","district":"ลาดกระบัง","category":"ศูนย์พักพิงชั่วคราว","name":"โรงเรียนวัดสุทธาโภชน์","capacity":40,"occupied":4,"available":36,"unitType":"คน","status":"เปิดให้บริการ/ว่าง","routeDetails":"","link":null,"additionalDetails":"https://maps.app.goo.gl/3WiLNbK2NGTxLyGx6","createdAt":"2026-09-26T06:43:50.000Z","updatedAt":"2026-09-26T06:43:50.000Z"}</x:t>
  </x:si>
  <x:si>
    <x:t xml:space="preserve">785e557e-e447-a3a7-6499-971bf3730fb6</x:t>
  </x:si>
  <x:si>
    <x:t xml:space="preserve">โรงเรียนเคหะชุมชนลาดกระบัง</x:t>
  </x:si>
  <x:si>
    <x:t xml:space="preserve">https://maps.app.goo.gl/QtgyRXhHBvd4V6jQ8</x:t>
  </x:si>
  <x:si>
    <x:t xml:space="preserve">{"id":"785e557e-e447-a3a7-6499-971bf3730fb6","district":"ลาดกระบัง","category":"ศูนย์พักพิงชั่วคราว","name":"โรงเรียนเคหะชุมชนลาดกระบัง","capacity":200,"occupied":160,"available":40,"unitType":"คน","status":"เปิดให้บริการ/ว่าง","routeDetails":"","link":null,"additionalDetails":"https://maps.app.goo.gl/QtgyRXhHBvd4V6jQ8","createdAt":"2026-09-26T06:43:50.000Z","updatedAt":"2026-09-26T06:43:50.000Z"}</x:t>
  </x:si>
  <x:si>
    <x:t xml:space="preserve">73063bec-9106-8f60-9180-e25f2eaec5d4</x:t>
  </x:si>
  <x:si>
    <x:t xml:space="preserve">โรงเรียนแดงเป้า</x:t>
  </x:si>
  <x:si>
    <x:t xml:space="preserve">https://maps.app.goo.gl/769guFdzBuMpHnm36</x:t>
  </x:si>
  <x:si>
    <x:t xml:space="preserve">{"id":"73063bec-9106-8f60-9180-e25f2eaec5d4","district":"ลาดกระบัง","category":"ศูนย์พักพิงชั่วคราว","name":"โรงเรียนแดงเป้า","capacity":50,"occupied":12,"available":38,"unitType":"คน","status":"เปิดให้บริการ/ว่าง","routeDetails":"","link":null,"additionalDetails":"https://maps.app.goo.gl/769guFdzBuMpHnm36","createdAt":"2026-09-26T06:43:50.000Z","updatedAt":"2026-09-26T06:43:50.000Z"}</x:t>
  </x:si>
  <x:si>
    <x:t xml:space="preserve">b5a72573-170d-53df-6af8-5d8ceb2e153e</x:t>
  </x:si>
  <x:si>
    <x:t xml:space="preserve">โรงเรียนแสงหิรัญวิทยา</x:t>
  </x:si>
  <x:si>
    <x:t xml:space="preserve">https://maps.app.goo.gl/KHCU2PvBk9xj1HK5A</x:t>
  </x:si>
  <x:si>
    <x:t xml:space="preserve">{"id":"b5a72573-170d-53df-6af8-5d8ceb2e153e","district":"ลาดกระบัง","category":"ศูนย์พักพิงชั่วคราว","name":"โรงเรียนแสงหิรัญวิทยา","capacity":30,"occupied":0,"available":30,"unitType":"คน","status":"เปิดให้บริการ/ว่าง","routeDetails":"","link":null,"additionalDetails":"https://maps.app.goo.gl/KHCU2PvBk9xj1HK5A","createdAt":"2026-09-26T06:43:50.000Z","updatedAt":"2026-09-26T06:43:50.000Z"}</x:t>
  </x:si>
  <x:si>
    <x:t xml:space="preserve">70e3808f-2cec-c049-6c34-f9252640f14f</x:t>
  </x:si>
  <x:si>
    <x:t xml:space="preserve">วัดลาดปลาเค้า</x:t>
  </x:si>
  <x:si>
    <x:t xml:space="preserve">https://maps.app.goo.gl/qqTw6x5uT1e5mQHC8?g_st=ic</x:t>
  </x:si>
  <x:si>
    <x:t xml:space="preserve">2026-09-26T08:17:16.000Z</x:t>
  </x:si>
  <x:si>
    <x:t xml:space="preserve">2026-09-26T08:27:51.000Z</x:t>
  </x:si>
  <x:si>
    <x:t xml:space="preserve">{"id":"70e3808f-2cec-c049-6c34-f9252640f14f","district":"ลาดพร้าว","category":"ศูนย์พักพิงชั่วคราว","name":"วัดลาดปลาเค้า","capacity":300,"occupied":6,"available":294,"unitType":"คน","status":"เปิดให้บริการ/ว่าง","routeDetails":"","link":"https://maps.app.goo.gl/qqTw6x5uT1e5mQHC8?g_st=ic","additionalDetails":null,"createdAt":"2026-09-26T08:17:16.000Z","updatedAt":"2026-09-26T08:27:51.000Z"}</x:t>
  </x:si>
  <x:si>
    <x:t xml:space="preserve">ce5239a0-c88d-c6b6-2e50-8d3648d550be</x:t>
  </x:si>
  <x:si>
    <x:t xml:space="preserve">ศูนย์ส่งเสริมการเรียนรู้ระดับเขตลาดพร้าว</x:t>
  </x:si>
  <x:si>
    <x:t xml:space="preserve">https://maps.app.goo.gl/ymnZgx6HL271GUmk8?g_st=ic</x:t>
  </x:si>
  <x:si>
    <x:t xml:space="preserve">{"id":"ce5239a0-c88d-c6b6-2e50-8d3648d550be","district":"ลาดพร้าว","category":"ศูนย์พักพิงชั่วคราว","name":"ศูนย์ส่งเสริมการเรียนรู้ระดับเขตลาดพร้าว","capacity":50,"occupied":0,"available":50,"unitType":"คน","status":"เปิดให้บริการ/ว่าง","routeDetails":"","link":"https://maps.app.goo.gl/ymnZgx6HL271GUmk8?g_st=ic","additionalDetails":null,"createdAt":"2026-09-26T08:17:16.000Z","updatedAt":"2026-09-26T08:27:51.000Z"}</x:t>
  </x:si>
  <x:si>
    <x:t xml:space="preserve">3f3b5a42-1de4-d401-613c-21be82ca8966</x:t>
  </x:si>
  <x:si>
    <x:t xml:space="preserve">โรงเรียนคลองทรงกระเทียม</x:t>
  </x:si>
  <x:si>
    <x:t xml:space="preserve">https://maps.app.goo.gl/dLXBqTQrZMLGU7Nh8?g_st=ic</x:t>
  </x:si>
  <x:si>
    <x:t xml:space="preserve">{"id":"3f3b5a42-1de4-d401-613c-21be82ca8966","district":"ลาดพร้าว","category":"ศูนย์พักพิงชั่วคราว","name":"โรงเรียนคลองทรงกระเทียม","capacity":60,"occupied":0,"available":60,"unitType":"คน","status":"เปิดให้บริการ/ว่าง","routeDetails":"","link":"https://maps.app.goo.gl/dLXBqTQrZMLGU7Nh8?g_st=ic","additionalDetails":null,"createdAt":"2026-09-26T08:17:16.000Z","updatedAt":"2026-09-26T08:27:51.000Z"}</x:t>
  </x:si>
  <x:si>
    <x:t xml:space="preserve">46ce6821-25ab-4575-ed92-b26fa4f869a5</x:t>
  </x:si>
  <x:si>
    <x:t xml:space="preserve">โรงเรียนลอยสายอนุสรณ์</x:t>
  </x:si>
  <x:si>
    <x:t xml:space="preserve">https://maps.app.goo.gl/Jywq7HkmQXnKJK138?g_st=ic</x:t>
  </x:si>
  <x:si>
    <x:t xml:space="preserve">{"id":"46ce6821-25ab-4575-ed92-b26fa4f869a5","district":"ลาดพร้าว","category":"ศูนย์พักพิงชั่วคราว","name":"โรงเรียนลอยสายอนุสรณ์","capacity":50,"occupied":0,"available":50,"unitType":"คน","status":"เปิดให้บริการ/ว่าง","routeDetails":"","link":"https://maps.app.goo.gl/Jywq7HkmQXnKJK138?g_st=ic","additionalDetails":null,"createdAt":"2026-09-26T08:17:16.000Z","updatedAt":"2026-09-26T08:27:51.000Z"}</x:t>
  </x:si>
  <x:si>
    <x:t xml:space="preserve">210b3783-4da3-eae5-37cd-69104091b0c8</x:t>
  </x:si>
  <x:si>
    <x:t xml:space="preserve">โรงเรียนวัดลาดปลาเค้า</x:t>
  </x:si>
  <x:si>
    <x:t xml:space="preserve">https://maps.app.goo.gl/J9amCBHo4EGiZb7D9?g_st=ic</x:t>
  </x:si>
  <x:si>
    <x:t xml:space="preserve">{"id":"210b3783-4da3-eae5-37cd-69104091b0c8","district":"ลาดพร้าว","category":"ศูนย์พักพิงชั่วคราว","name":"โรงเรียนวัดลาดปลาเค้า","capacity":100,"occupied":0,"available":100,"unitType":"คน","status":"เปิดให้บริการ/ว่าง","routeDetails":"","link":"https://maps.app.goo.gl/J9amCBHo4EGiZb7D9?g_st=ic","additionalDetails":null,"createdAt":"2026-09-26T08:17:16.000Z","updatedAt":"2026-09-26T08:27:51.000Z"}</x:t>
  </x:si>
  <x:si>
    <x:t xml:space="preserve">7656bb34-1b58-5bd3-6280-11379aac5fa5</x:t>
  </x:si>
  <x:si>
    <x:t xml:space="preserve">โรงเรียนวัดลาดพร้าว</x:t>
  </x:si>
  <x:si>
    <x:t xml:space="preserve">https://maps.app.goo.gl/JT9g2f4AqSwahrZE6?g_st=ic</x:t>
  </x:si>
  <x:si>
    <x:t xml:space="preserve">{"id":"7656bb34-1b58-5bd3-6280-11379aac5fa5","district":"ลาดพร้าว","category":"ศูนย์พักพิงชั่วคราว","name":"โรงเรียนวัดลาดพร้าว","capacity":50,"occupied":0,"available":50,"unitType":"คน","status":"เปิดให้บริการ/ว่าง","routeDetails":"","link":"https://maps.app.goo.gl/JT9g2f4AqSwahrZE6?g_st=ic","additionalDetails":null,"createdAt":"2026-09-26T08:17:16.000Z","updatedAt":"2026-09-26T08:27:51.000Z"}</x:t>
  </x:si>
  <x:si>
    <x:t xml:space="preserve">7c341567-761f-bfa7-751f-b399f48363d8</x:t>
  </x:si>
  <x:si>
    <x:t xml:space="preserve">โรงเรียนเทพวิทยา</x:t>
  </x:si>
  <x:si>
    <x:t xml:space="preserve">https://maps.app.goo.gl/t86op6p4kxSo1abb8?g_st=ic</x:t>
  </x:si>
  <x:si>
    <x:t xml:space="preserve">{"id":"7c341567-761f-bfa7-751f-b399f48363d8","district":"ลาดพร้าว","category":"ศูนย์พักพิงชั่วคราว","name":"โรงเรียนเทพวิทยา","capacity":50,"occupied":0,"available":50,"unitType":"คน","status":"เปิดให้บริการ/ว่าง","routeDetails":"","link":"https://maps.app.goo.gl/t86op6p4kxSo1abb8?g_st=ic","additionalDetails":null,"createdAt":"2026-09-26T08:17:16.000Z","updatedAt":"2026-09-26T08:27:51.000Z"}</x:t>
  </x:si>
  <x:si>
    <x:t xml:space="preserve">f5e6984e-42e7-218c-d4f7-c5d1f63f80b4</x:t>
  </x:si>
  <x:si>
    <x:t xml:space="preserve">โรงเรียนเพชรถนอม</x:t>
  </x:si>
  <x:si>
    <x:t xml:space="preserve">https://maps.app.goo.gl/nQ2WXTAcZrT6ixTeA?g_st=ic</x:t>
  </x:si>
  <x:si>
    <x:t xml:space="preserve">{"id":"f5e6984e-42e7-218c-d4f7-c5d1f63f80b4","district":"ลาดพร้าว","category":"ศูนย์พักพิงชั่วคราว","name":"โรงเรียนเพชรถนอม","capacity":100,"occupied":0,"available":100,"unitType":"คน","status":"เปิดให้บริการ/ว่าง","routeDetails":"","link":"https://maps.app.goo.gl/nQ2WXTAcZrT6ixTeA?g_st=ic","additionalDetails":null,"createdAt":"2026-09-26T08:17:16.000Z","updatedAt":"2026-09-26T08:27:51.000Z"}</x:t>
  </x:si>
  <x:si>
    <x:t xml:space="preserve">7f5f5105-0333-4b10-9153-1f419f53bdbc</x:t>
  </x:si>
  <x:si>
    <x:t xml:space="preserve">โรงเรียนวัดธาตุทอง (เรือนเขียวสะอาด)</x:t>
  </x:si>
  <x:si>
    <x:t xml:space="preserve">https://www.google.com/maps/dir//%E0%B9%82%E0%B8%A3%E0%B8%87%E0%B9%80%E0%B8%A3%E0%B8%B5%E0%B8%A2%E0%B8%99%E0%B8%A7%E0%B8%B1%E0%B8%94%E0%B8%98%E0%B8%B2%E0%B8%95%E0%B8%B8%E0%B8%97%E0%B8%AD%E0%B8%87(%E0%B9%80%E0%B8%A3%E0%B8%B7%E0%B8%AD%E0%B8%99%E0%B9%80%E0%B8%82%E0%B8%B5%E0%B8%A2%E0%B8%A7%E0%B8%AA%E0%B8%B0%E0%B8%AD%E0%B8%B2%E0%B8%94)+1325+%E0%B8%96.+%E0%B8%AA%E0%B8%B8%E0%B8%82%E0%B8%B8%E0%B8%A1%E0%B8%A7%E0%B8%B4%E0%B8%97+%E0%B9%81%E0%B8%82%E0%B8%A7%E0%B8%87%E0%B8%9E%E0%B8%A3%E0%B8%B0%E0%B9%82%E0%B8%82%E0%B8%99%E0%B8%87%E0%B9%80%E0%B8%AB%E0%B8%99%E0%B8%B7%E0%B8%AD+%E0%B9%80%E0%B8%82%E0%B8%95%E0%B8%A7%E0%B8%B1%E0%B8%92%E0%B8%99%E0%B8%B2+%E0%B8%81%E0%B8%A3%E0%B8%B8%E0%B8%87%E0%B9%80%E0%B8%97%E0%B8%9E%E0%B8%A1%E0%B8%AB%E0%B8%B2%E0%B8%99%E0%B8%84%E0%B8%A3+10110/@13.7986048,100.6174208,12z/data=!4m8!4m7!1m0!1m5!1m1!1s0x30e29f66e118c887:0x7d668b0b96816377!2m2!1d100.5866626!2d13.7196058?entry=ttu&amp;g_ep=EgoyMDI2MDkyMy4wIKXMDSoASAFQAw%3D%3D</x:t>
  </x:si>
  <x:si>
    <x:t xml:space="preserve">2026-09-26T05:36:19.000Z</x:t>
  </x:si>
  <x:si>
    <x:t xml:space="preserve">{"id":"7f5f5105-0333-4b10-9153-1f419f53bdbc","district":"วัฒนา","category":"ศูนย์พักพิงชั่วคราว","name":"โรงเรียนวัดธาตุทอง (เรือนเขียวสะอาด)","capacity":50,"occupied":0,"available":50,"unitType":"คน","status":"เปิดให้บริการ/ว่าง","routeDetails":"","link":"https://www.google.com/maps/dir//%E0%B9%82%E0%B8%A3%E0%B8%87%E0%B9%80%E0%B8%A3%E0%B8%B5%E0%B8%A2%E0%B8%99%E0%B8%A7%E0%B8%B1%E0%B8%94%E0%B8%98%E0%B8%B2%E0%B8%95%E0%B8%B8%E0%B8%97%E0%B8%AD%E0%B8%87(%E0%B9%80%E0%B8%A3%E0%B8%B7%E0%B8%AD%E0%B8%99%E0%B9%80%E0%B8%82%E0%B8%B5%E0%B8%A2%E0%B8%A7%E0%B8%AA%E0%B8%B0%E0%B8%AD%E0%B8%B2%E0%B8%94)+1325+%E0%B8%96.+%E0%B8%AA%E0%B8%B8%E0%B8%82%E0%B8%B8%E0%B8%A1%E0%B8%A7%E0%B8%B4%E0%B8%97+%E0%B9%81%E0%B8%82%E0%B8%A7%E0%B8%87%E0%B8%9E%E0%B8%A3%E0%B8%B0%E0%B9%82%E0%B8%82%E0%B8%99%E0%B8%87%E0%B9%80%E0%B8%AB%E0%B8%99%E0%B8%B7%E0%B8%AD+%E0%B9%80%E0%B8%82%E0%B8%95%E0%B8%A7%E0%B8%B1%E0%B8%92%E0%B8%99%E0%B8%B2+%E0%B8%81%E0%B8%A3%E0%B8%B8%E0%B8%87%E0%B9%80%E0%B8%97%E0%B8%9E%E0%B8%A1%E0%B8%AB%E0%B8%B2%E0%B8%99%E0%B8%84%E0%B8%A3+10110/@13.7986048,100.6174208,12z/data=!4m8!4m7!1m0!1m5!1m1!1s0x30e29f66e118c887:0x7d668b0b96816377!2m2!1d100.5866626!2d13.7196058?entry=ttu&amp;g_ep=EgoyMDI2MDkyMy4wIKXMDSoASAFQAw%3D%3D","additionalDetails":null,"createdAt":"2026-09-26T05:36:19.000Z","updatedAt":"2026-09-26T05:36:19.000Z"}</x:t>
  </x:si>
  <x:si>
    <x:t xml:space="preserve">f595791c-1730-ef8f-574d-4689a44f6c6f</x:t>
  </x:si>
  <x:si>
    <x:t xml:space="preserve">โรงเรียนสวัสดีวิทยา</x:t>
  </x:si>
  <x:si>
    <x:t xml:space="preserve">https://www.google.com/maps/dir//%E0%B9%82%E0%B8%A3%E0%B8%87%E0%B9%80%E0%B8%A3%E0%B8%B5%E0%B8%A2%E0%B8%99%E0%B8%AA%E0%B8%A7%E0%B8%B1%E0%B8%AA%E0%B8%94%E0%B8%B5%E0%B8%A7%E0%B8%B4%E0%B8%97%E0%B8%A2%E0%B8%B2+35%2F10+%E0%B8%8B%E0%B8%AD%E0%B8%A2+%E0%B8%AA%E0%B8%B8%E0%B8%82%E0%B8%B8%E0%B8%A1%E0%B8%A7%E0%B8%B4%E0%B8%97+31+%E0%B9%81%E0%B8%82%E0%B8%A7%E0%B8%87%E0%B8%84%E0%B8%A5%E0%B8%AD%E0%B8%87%E0%B9%80%E0%B8%95%E0%B8%A2%E0%B9%80%E0%B8%AB%E0%B8%99%E0%B8%B7%E0%B8%AD+%E0%B9%80%E0%B8%82%E0%B8%95%E0%B8%A7%E0%B8%B1%E0%B8%92%E0%B8%99%E0%B8%B2+%E0%B8%81%E0%B8%A3%E0%B8%B8%E0%B8%87%E0%B9%80%E0%B8%97%E0%B8%9E%E0%B8%A1%E0%B8%AB%E0%B8%B2%E0%B8%99%E0%B8%84%E0%B8%A3+10110/@13.7986048,100.6174208,12z/data=!4m8!4m7!1m0!1m5!1m1!1s0x30e29efb9c42273b:0xfc179f752a3d0dff!2m2!1d100.5662747!2d13.7399734?entry=ttu&amp;g_ep=EgoyMDI2MDkyMy4wIKXMDSoASAFQAw%3D%3D</x:t>
  </x:si>
  <x:si>
    <x:t xml:space="preserve">2026-09-26T05:26:47.000Z</x:t>
  </x:si>
  <x:si>
    <x:t xml:space="preserve">{"id":"f595791c-1730-ef8f-574d-4689a44f6c6f","district":"วัฒนา","category":"ศูนย์พักพิงชั่วคราว","name":"โรงเรียนสวัสดีวิทยา","capacity":30,"occupied":0,"available":30,"unitType":"คน","status":"เปิดให้บริการ/ว่าง","routeDetails":"","link":"https://www.google.com/maps/dir//%E0%B9%82%E0%B8%A3%E0%B8%87%E0%B9%80%E0%B8%A3%E0%B8%B5%E0%B8%A2%E0%B8%99%E0%B8%AA%E0%B8%A7%E0%B8%B1%E0%B8%AA%E0%B8%94%E0%B8%B5%E0%B8%A7%E0%B8%B4%E0%B8%97%E0%B8%A2%E0%B8%B2+35%2F10+%E0%B8%8B%E0%B8%AD%E0%B8%A2+%E0%B8%AA%E0%B8%B8%E0%B8%82%E0%B8%B8%E0%B8%A1%E0%B8%A7%E0%B8%B4%E0%B8%97+31+%E0%B9%81%E0%B8%82%E0%B8%A7%E0%B8%87%E0%B8%84%E0%B8%A5%E0%B8%AD%E0%B8%87%E0%B9%80%E0%B8%95%E0%B8%A2%E0%B9%80%E0%B8%AB%E0%B8%99%E0%B8%B7%E0%B8%AD+%E0%B9%80%E0%B8%82%E0%B8%95%E0%B8%A7%E0%B8%B1%E0%B8%92%E0%B8%99%E0%B8%B2+%E0%B8%81%E0%B8%A3%E0%B8%B8%E0%B8%87%E0%B9%80%E0%B8%97%E0%B8%9E%E0%B8%A1%E0%B8%AB%E0%B8%B2%E0%B8%99%E0%B8%84%E0%B8%A3+10110/@13.7986048,100.6174208,12z/data=!4m8!4m7!1m0!1m5!1m1!1s0x30e29efb9c42273b:0xfc179f752a3d0dff!2m2!1d100.5662747!2d13.7399734?entry=ttu&amp;g_ep=EgoyMDI2MDkyMy4wIKXMDSoASAFQAw%3D%3D","additionalDetails":null,"createdAt":"2026-09-26T05:26:47.000Z","updatedAt":"2026-09-26T05:26:47.000Z"}</x:t>
  </x:si>
  <x:si>
    <x:t xml:space="preserve">ed3b58c3-55c8-4bee-7681-c29a1cf2dd20</x:t>
  </x:si>
  <x:si>
    <x:t xml:space="preserve">โรงเรียนสุเหร่าบางมะเขือ</x:t>
  </x:si>
  <x:si>
    <x:t xml:space="preserve">https://www.google.com/maps/dir//%E0%B9%82%E0%B8%A3%E0%B8%87%E0%B9%80%E0%B8%A3%E0%B8%B5%E0%B8%A2%E0%B8%99%E0%B8%AA%E0%B8%B8%E0%B9%80%E0%B8%AB%E0%B8%A3%E0%B9%88%E0%B8%B2%E0%B8%9A%E0%B8%B2%E0%B8%87%E0%B8%A1%E0%B8%B0%E0%B9%80%E0%B8%82%E0%B8%B7%E0%B8%AD+%E0%B8%8B%E0%B8%AD%E0%B8%A2+%E0%B8%9B%E0%B8%A3%E0%B8%B5%E0%B8%94%E0%B8%B5%E0%B8%9E%E0%B8%99%E0%B8%A1%E0%B8%A2%E0%B8%87%E0%B8%84%E0%B9%8C2+%E0%B9%81%E0%B8%A2%E0%B8%81+1+%E0%B8%96.+%E0%B8%AA%E0%B8%B8%E0%B8%82%E0%B8%B8%E0%B8%A1%E0%B8%A7%E0%B8%B4%E0%B8%97+71+%E0%B9%81%E0%B8%82%E0%B8%A7%E0%B8%87%E0%B8%9E%E0%B8%A3%E0%B8%B0%E0%B9%82%E0%B8%82%E0%B8%99%E0%B8%87+%E0%B9%80%E0%B8%82%E0%B8%95%E0%B8%A7%E0%B8%B1%E0%B8%92%E0%B8%99%E0%B8%B2+%E0%B8%81%E0%B8%A3%E0%B8%B8%E0%B8%87%E0%B9%80%E0%B8%97%E0%B8%9E%E0%B8%A1%E0%B8%AB%E0%B8%B2%E0%B8%99%E0%B8%84%E0%B8%A3+10110/@13.7986048,100.6174208,12z/data=!4m8!4m7!1m0!1m5!1m1!1s0x30e29fb8a71a8a1d:0x655a370f652d2b85!2m2!1d100.5967501!2d13.7153612?entry=ttu&amp;g_ep=EgoyMDI2MDkyMy4wIKXMDSoASAFQAw%3D%3D</x:t>
  </x:si>
  <x:si>
    <x:t xml:space="preserve">2026-09-26T05:37:35.000Z</x:t>
  </x:si>
  <x:si>
    <x:t xml:space="preserve">{"id":"ed3b58c3-55c8-4bee-7681-c29a1cf2dd20","district":"วัฒนา","category":"ศูนย์พักพิงชั่วคราว","name":"โรงเรียนสุเหร่าบางมะเขือ","capacity":10,"occupied":0,"available":10,"unitType":"คน","status":"เปิดให้บริการ/ว่าง","routeDetails":"","link":"https://www.google.com/maps/dir//%E0%B9%82%E0%B8%A3%E0%B8%87%E0%B9%80%E0%B8%A3%E0%B8%B5%E0%B8%A2%E0%B8%99%E0%B8%AA%E0%B8%B8%E0%B9%80%E0%B8%AB%E0%B8%A3%E0%B9%88%E0%B8%B2%E0%B8%9A%E0%B8%B2%E0%B8%87%E0%B8%A1%E0%B8%B0%E0%B9%80%E0%B8%82%E0%B8%B7%E0%B8%AD+%E0%B8%8B%E0%B8%AD%E0%B8%A2+%E0%B8%9B%E0%B8%A3%E0%B8%B5%E0%B8%94%E0%B8%B5%E0%B8%9E%E0%B8%99%E0%B8%A1%E0%B8%A2%E0%B8%87%E0%B8%84%E0%B9%8C2+%E0%B9%81%E0%B8%A2%E0%B8%81+1+%E0%B8%96.+%E0%B8%AA%E0%B8%B8%E0%B8%82%E0%B8%B8%E0%B8%A1%E0%B8%A7%E0%B8%B4%E0%B8%97+71+%E0%B9%81%E0%B8%82%E0%B8%A7%E0%B8%87%E0%B8%9E%E0%B8%A3%E0%B8%B0%E0%B9%82%E0%B8%82%E0%B8%99%E0%B8%87+%E0%B9%80%E0%B8%82%E0%B8%95%E0%B8%A7%E0%B8%B1%E0%B8%92%E0%B8%99%E0%B8%B2+%E0%B8%81%E0%B8%A3%E0%B8%B8%E0%B8%87%E0%B9%80%E0%B8%97%E0%B8%9E%E0%B8%A1%E0%B8%AB%E0%B8%B2%E0%B8%99%E0%B8%84%E0%B8%A3+10110/@13.7986048,100.6174208,12z/data=!4m8!4m7!1m0!1m5!1m1!1s0x30e29fb8a71a8a1d:0x655a370f652d2b85!2m2!1d100.5967501!2d13.7153612?entry=ttu&amp;g_ep=EgoyMDI2MDkyMy4wIKXMDSoASAFQAw%3D%3D","additionalDetails":null,"createdAt":"2026-09-26T05:37:35.000Z","updatedAt":"2026-09-26T05:37:35.000Z"}</x:t>
  </x:si>
  <x:si>
    <x:t xml:space="preserve">2b9d72d0-ab1f-578c-d2e3-7205d40f2f4c</x:t>
  </x:si>
  <x:si>
    <x:t xml:space="preserve">โรงเรียนสุเหร่าบ้านดอน</x:t>
  </x:si>
  <x:si>
    <x:t xml:space="preserve">https://www.google.com/maps/dir//%E0%B9%82%E0%B8%A3%E0%B8%87%E0%B9%80%E0%B8%A3%E0%B8%B5%E0%B8%A2%E0%B8%99%E0%B8%AA%E0%B8%B8%E0%B9%80%E0%B8%AB%E0%B8%A3%E0%B9%88%E0%B8%B2%E0%B8%9A%E0%B9%89%E0%B8%B2%E0%B8%99%E0%B8%94%E0%B8%AD%E0%B8%99+84+%E0%B8%96.+%E0%B8%AA%E0%B8%B8%E0%B8%82%E0%B8%B8%E0%B8%A1%E0%B8%A7%E0%B8%B4%E0%B8%97+%E0%B9%81%E0%B8%82%E0%B8%A7%E0%B8%87%E0%B8%84%E0%B8%A5%E0%B8%AD%E0%B8%87%E0%B9%80%E0%B8%95%E0%B8%A2%E0%B9%80%E0%B8%AB%E0%B8%99%E0%B8%B7%E0%B8%AD+%E0%B9%80%E0%B8%82%E0%B8%95%E0%B8%A7%E0%B8%B1%E0%B8%92%E0%B8%99%E0%B8%B2+%E0%B8%81%E0%B8%A3%E0%B8%B8%E0%B8%87%E0%B9%80%E0%B8%97%E0%B8%9E%E0%B8%A1%E0%B8%AB%E0%B8%B2%E0%B8%99%E0%B8%84%E0%B8%A3+10110/@13.7986048,100.6174208,12z/data=!4m8!4m7!1m0!1m5!1m1!1s0x30e2</x:t>
  </x:si>
  <x:si>
    <x:t xml:space="preserve">2026-09-26T05:30:35.000Z</x:t>
  </x:si>
  <x:si>
    <x:t xml:space="preserve">{"id":"2b9d72d0-ab1f-578c-d2e3-7205d40f2f4c","district":"วัฒนา","category":"ศูนย์พักพิงชั่วคราว","name":"โรงเรียนสุเหร่าบ้านดอน","capacity":50,"occupied":1,"available":49,"unitType":"คน","status":"เปิดให้บริการ/ว่าง","routeDetails":"","link":"https://www.google.com/maps/dir//%E0%B9%82%E0%B8%A3%E0%B8%87%E0%B9%80%E0%B8%A3%E0%B8%B5%E0%B8%A2%E0%B8%99%E0%B8%AA%E0%B8%B8%E0%B9%80%E0%B8%AB%E0%B8%A3%E0%B9%88%E0%B8%B2%E0%B8%9A%E0%B9%89%E0%B8%B2%E0%B8%99%E0%B8%94%E0%B8%AD%E0%B8%99+84+%E0%B8%96.+%E0%B8%AA%E0%B8%B8%E0%B8%82%E0%B8%B8%E0%B8%A1%E0%B8%A7%E0%B8%B4%E0%B8%97+%E0%B9%81%E0%B8%82%E0%B8%A7%E0%B8%87%E0%B8%84%E0%B8%A5%E0%B8%AD%E0%B8%87%E0%B9%80%E0%B8%95%E0%B8%A2%E0%B9%80%E0%B8%AB%E0%B8%99%E0%B8%B7%E0%B8%AD+%E0%B9%80%E0%B8%82%E0%B8%95%E0%B8%A7%E0%B8%B1%E0%B8%92%E0%B8%99%E0%B8%B2+%E0%B8%81%E0%B8%A3%E0%B8%B8%E0%B8%87%E0%B9%80%E0%B8%97%E0%B8%9E%E0%B8%A1%E0%B8%AB%E0%B8%B2%E0%B8%99%E0%B8%84%E0%B8%A3+10110/@13.7986048,100.6174208,12z/data=!4m8!4m7!1m0!1m5!1m1!1s0x30e2","additionalDetails":null,"createdAt":"2026-09-26T05:30:35.000Z","updatedAt":"2026-09-26T05:30:35.000Z"}</x:t>
  </x:si>
  <x:si>
    <x:t xml:space="preserve">fefd59ba-944e-230c-db96-42bcf6831f43</x:t>
  </x:si>
  <x:si>
    <x:t xml:space="preserve">โรงเรียนสุเหร่าสามอิน</x:t>
  </x:si>
  <x:si>
    <x:t xml:space="preserve">https://www.google.com/maps/dir//%E0%B9%82%E0%B8%A3%E0%B8%87%E0%B9%80%E0%B8%A3%E0%B8%B5%E0%B8%A2%E0%B8%99%E0%B8%AA%E0%B8%B8%E0%B9%80%E0%B8%AB%E0%B8%A3%E0%B9%88%E0%B8%B2%E0%B8%AA%E0%B8%B2%E0%B8%A1%E0%B8%AD%E0%B8%B4%E0%B8%99+%E0%B8%8B%E0%B8%AD%E0%B8%A2+%E0%B8%AA%E0%B8%B8%E0%B8%82%E0%B8%B8%E0%B8%A1%E0%B8%A7%E0%B8%B4%E0%B8%97+%E0%B9%81%E0%B8%82%E0%B8%A7%E0%B8%87%E0%B8%84%E0%B8%A5%E0%B8%AD%E0%B8%87%E0%B8%95%E0%B8%B1%E0%B8%99%E0%B9%80%E0%B8%AB%E0%B8%99%E0%B8%B7%E0%B8%AD+%E0%B9%80%E0%B8%82%E0%B8%95%E0%B8%A7%E0%B8%B1%E0%B8%92%E0%B8%99%E0%B8%B2+%E0%B8%81%E0%B8%A3%E0%B8%B8%E0%B8%87%E0%B9%80%E0%B8%97%E0%B8%9E%E0%B8%A1%E0%B8%AB%E0%B8%B2%E0%B8%99%E0%B8%84%E0%B8%A3+10110/@13.7986048,100.6174208,12z/data=!4m8!4m7!1m0!1m5!1m1!1s0x30e29fb5941fa4c5:0xccc259cf957db33!2m2!1d100.5962461!2d13.7277882?entry=ttu&amp;g_ep=EgoyMDI2MDkyMy4wIKXMDSoASAFQAw%3D</x:t>
  </x:si>
  <x:si>
    <x:t xml:space="preserve">2026-09-26T05:34:07.000Z</x:t>
  </x:si>
  <x:si>
    <x:t xml:space="preserve">{"id":"fefd59ba-944e-230c-db96-42bcf6831f43","district":"วัฒนา","category":"ศูนย์พักพิงชั่วคราว","name":"โรงเรียนสุเหร่าสามอิน","capacity":100,"occupied":0,"available":100,"unitType":"คน","status":"เปิดให้บริการ/ว่าง","routeDetails":"","link":"https://www.google.com/maps/dir//%E0%B9%82%E0%B8%A3%E0%B8%87%E0%B9%80%E0%B8%A3%E0%B8%B5%E0%B8%A2%E0%B8%99%E0%B8%AA%E0%B8%B8%E0%B9%80%E0%B8%AB%E0%B8%A3%E0%B9%88%E0%B8%B2%E0%B8%AA%E0%B8%B2%E0%B8%A1%E0%B8%AD%E0%B8%B4%E0%B8%99+%E0%B8%8B%E0%B8%AD%E0%B8%A2+%E0%B8%AA%E0%B8%B8%E0%B8%82%E0%B8%B8%E0%B8%A1%E0%B8%A7%E0%B8%B4%E0%B8%97+%E0%B9%81%E0%B8%82%E0%B8%A7%E0%B8%87%E0%B8%84%E0%B8%A5%E0%B8%AD%E0%B8%87%E0%B8%95%E0%B8%B1%E0%B8%99%E0%B9%80%E0%B8%AB%E0%B8%99%E0%B8%B7%E0%B8%AD+%E0%B9%80%E0%B8%82%E0%B8%95%E0%B8%A7%E0%B8%B1%E0%B8%92%E0%B8%99%E0%B8%B2+%E0%B8%81%E0%B8%A3%E0%B8%B8%E0%B8%87%E0%B9%80%E0%B8%97%E0%B8%9E%E0%B8%A1%E0%B8%AB%E0%B8%B2%E0%B8%99%E0%B8%84%E0%B8%A3+10110/@13.7986048,100.6174208,12z/data=!4m8!4m7!1m0!1m5!1m1!1s0x30e29fb5941fa4c5:0xccc259cf957db33!2m2!1d100.5962461!2d13.7277882?entry=ttu&amp;g_ep=EgoyMDI2MDkyMy4wIKXMDSoASAFQAw%3D","additionalDetails":null,"createdAt":"2026-09-26T05:34:07.000Z","updatedAt":"2026-09-26T05:34:07.000Z"}</x:t>
  </x:si>
  <x:si>
    <x:t xml:space="preserve">012012bb-7bee-2d90-e5fe-c648e1b66142</x:t>
  </x:si>
  <x:si>
    <x:t xml:space="preserve">โรงเรียนแจ่มจันทร์</x:t>
  </x:si>
  <x:si>
    <x:t xml:space="preserve">https://www.google.com/maps/dir//%E0%B9%82%E0%B8%A3%E0%B8%87%E0%B9%80%E0%B8%A3%E0%B8%B5%E0%B8%A2%E0%B8%99%E0%B9%81%E0%B8%88%E0%B9%88%E0%B8%A1%E0%B8%88%E0%B8%B1%E0%B8%99%E0%B8%97%E0%B8%A3%E0%B9%8C+75+%E0%B8%8B.+%E0%B9%80%E0%B8%AD%E0%B8%81%E0%B8%A1%E0%B8%B1%E0%B8%A2+21+%E0%B9%81%E0%B8%82%E0%B8%A7%E0%B8%87%E0%B8%84%E0%B8%A5%E0%B8%AD%E0%B8%87%E0%B8%95%E0%B8%B1%E0%B8%99%E0%B9%80%E0%B8%AB%E0%B8%99%E0%B8%B7%E0%B8%AD+%E0%B9%80%E0%B8%82%E0%B8%95%E0%B8%A7%E0%B8%B1%E0%B8%92%E0%B8%99%E0%B8%B2+%E0%B8%81%E0%B8%A3%E0%B8%B8%E0%B8%87%E0%B9%80%E0%B8%97%E0%B8%9E%E0%B8%A1%E0%B8%AB%E0%B8%B2%E0%B8%99%E0%B8%84%E0%B8%A3+10110/@13.7986048,100.6174208,12z/data=!3m1!4b1!4m8!4m7!1m0!1m5!1m1!1s0x30e29e4e6c24f993:0x5abdc4b2a44257a5!2m2!1d100.587692!2d13.7391174?entry=ttu&amp;g_ep=EgoyMDI2MDkyMy4wIKXMDSoASAFQAw%3D%3D</x:t>
  </x:si>
  <x:si>
    <x:t xml:space="preserve">2026-09-26T05:32:05.000Z</x:t>
  </x:si>
  <x:si>
    <x:t xml:space="preserve">{"id":"012012bb-7bee-2d90-e5fe-c648e1b66142","district":"วัฒนา","category":"ศูนย์พักพิงชั่วคราว","name":"โรงเรียนแจ่มจันทร์","capacity":20,"occupied":1,"available":19,"unitType":"คน","status":"เปิดให้บริการ/ว่าง","routeDetails":"","link":"https://www.google.com/maps/dir//%E0%B9%82%E0%B8%A3%E0%B8%87%E0%B9%80%E0%B8%A3%E0%B8%B5%E0%B8%A2%E0%B8%99%E0%B9%81%E0%B8%88%E0%B9%88%E0%B8%A1%E0%B8%88%E0%B8%B1%E0%B8%99%E0%B8%97%E0%B8%A3%E0%B9%8C+75+%E0%B8%8B.+%E0%B9%80%E0%B8%AD%E0%B8%81%E0%B8%A1%E0%B8%B1%E0%B8%A2+21+%E0%B9%81%E0%B8%82%E0%B8%A7%E0%B8%87%E0%B8%84%E0%B8%A5%E0%B8%AD%E0%B8%87%E0%B8%95%E0%B8%B1%E0%B8%99%E0%B9%80%E0%B8%AB%E0%B8%99%E0%B8%B7%E0%B8%AD+%E0%B9%80%E0%B8%82%E0%B8%95%E0%B8%A7%E0%B8%B1%E0%B8%92%E0%B8%99%E0%B8%B2+%E0%B8%81%E0%B8%A3%E0%B8%B8%E0%B8%87%E0%B9%80%E0%B8%97%E0%B8%9E%E0%B8%A1%E0%B8%AB%E0%B8%B2%E0%B8%99%E0%B8%84%E0%B8%A3+10110/@13.7986048,100.6174208,12z/data=!3m1!4b1!4m8!4m7!1m0!1m5!1m1!1s0x30e29e4e6c24f993:0x5abdc4b2a44257a5!2m2!1d100.587692!2d13.7391174?entry=ttu&amp;g_ep=EgoyMDI2MDkyMy4wIKXMDSoASAFQAw%3D%3D","additionalDetails":null,"createdAt":"2026-09-26T05:32:05.000Z","updatedAt":"2026-09-26T05:32:05.000Z"}</x:t>
  </x:si>
  <x:si>
    <x:t xml:space="preserve">92e9c61f-23ba-d76a-0d6b-afb89269c167</x:t>
  </x:si>
  <x:si>
    <x:t xml:space="preserve">ศูนย์พัฒนาเด็กก่อนวัยเรียนชุมชนธรรมานุรักษ์</x:t>
  </x:si>
  <x:si>
    <x:t xml:space="preserve">2026-09-26T06:33:57.000Z</x:t>
  </x:si>
  <x:si>
    <x:t xml:space="preserve">{"id":"92e9c61f-23ba-d76a-0d6b-afb89269c167","district":"สวนหลวง","category":"ศูนย์พักพิงชั่วคราว","name":"ศูนย์พัฒนาเด็กก่อนวัยเรียนชุมชนธรรมานุรักษ์","capacity":0,"occupied":0,"available":0,"unitType":"คน","status":"เปิดให้บริการ/ว่าง","routeDetails":"","link":null,"additionalDetails":null,"createdAt":"2026-09-26T06:33:57.000Z","updatedAt":"2026-09-26T06:33:57.000Z"}</x:t>
  </x:si>
  <x:si>
    <x:t xml:space="preserve">d9026e04-5cbd-b52d-fe4d-d8d150a4b6d2</x:t>
  </x:si>
  <x:si>
    <x:t xml:space="preserve">ห้องประชุมสวนหลวง ชั้น 6 สำนักงานเขตสวนหลวง</x:t>
  </x:si>
  <x:si>
    <x:t xml:space="preserve">{"id":"d9026e04-5cbd-b52d-fe4d-d8d150a4b6d2","district":"สวนหลวง","category":"ศูนย์พักพิงชั่วคราว","name":"ห้องประชุมสวนหลวง ชั้น 6 สำนักงานเขตสวนหลวง","capacity":0,"occupied":0,"available":0,"unitType":"คน","status":"เปิดให้บริการ/ว่าง","routeDetails":"","link":null,"additionalDetails":null,"createdAt":"2026-09-26T06:33:57.000Z","updatedAt":"2026-09-26T06:33:57.000Z"}</x:t>
  </x:si>
  <x:si>
    <x:t xml:space="preserve">786a9010-5577-4011-90cb-f18ac61451af</x:t>
  </x:si>
  <x:si>
    <x:t xml:space="preserve">ศูนย์นันทนาการเขตสะพานสูง</x:t>
  </x:si>
  <x:si>
    <x:t xml:space="preserve">https://maps.app.goo.gl/2REkkzWP6mf94LNE6?g_st=ic</x:t>
  </x:si>
  <x:si>
    <x:t xml:space="preserve">2026-09-27T02:40:01.712Z</x:t>
  </x:si>
  <x:si>
    <x:t xml:space="preserve">2026-09-28T04:06:07.677Z</x:t>
  </x:si>
  <x:si>
    <x:t xml:space="preserve">{"id":"786a9010-5577-4011-90cb-f18ac61451af","district":"สะพานสูง","category":"ศูนย์พักพิงชั่วคราว","name":"ศูนย์นันทนาการเขตสะพานสูง","capacity":100,"occupied":70,"available":30,"unitType":"คน","status":"เปิดให้บริการ/ว่าง","routeDetails":"","link":"https://maps.app.goo.gl/2REkkzWP6mf94LNE6?g_st=ic","additionalDetails":null,"createdAt":"2026-09-27T02:40:01.712Z","updatedAt":"2026-09-28T04:06:07.677Z"}</x:t>
  </x:si>
  <x:si>
    <x:t xml:space="preserve">e9209803-630c-4768-81ad-8da226b91c72</x:t>
  </x:si>
  <x:si>
    <x:t xml:space="preserve">https://maps.app.goo.gl/9d4amU62sLuNHe1w9?g_st=ic</x:t>
  </x:si>
  <x:si>
    <x:t xml:space="preserve">2026-09-27T02:39:07.804Z</x:t>
  </x:si>
  <x:si>
    <x:t xml:space="preserve">2026-09-28T04:06:17.884Z</x:t>
  </x:si>
  <x:si>
    <x:t xml:space="preserve">{"id":"e9209803-630c-4768-81ad-8da226b91c72","district":"สะพานสูง","category":"ศูนย์พักพิงชั่วคราว","name":"โรงเรียนวัดลาดบัวขาว","capacity":80,"occupied":25,"available":55,"unitType":"คน","status":"เปิดให้บริการ/ว่าง","routeDetails":"","link":"https://maps.app.goo.gl/9d4amU62sLuNHe1w9?g_st=ic","additionalDetails":null,"createdAt":"2026-09-27T02:39:07.804Z","updatedAt":"2026-09-28T04:06:17.884Z"}</x:t>
  </x:si>
  <x:si>
    <x:t xml:space="preserve">0f7918ff-cedd-4203-a4bc-4a1c65644a95</x:t>
  </x:si>
  <x:si>
    <x:t xml:space="preserve">โรงเรียนศรีพฤฒา</x:t>
  </x:si>
  <x:si>
    <x:t xml:space="preserve">https://maps.app.goo.gl/29PqwaSCySY2hspa6?g_st=ic</x:t>
  </x:si>
  <x:si>
    <x:t xml:space="preserve">2026-09-27T02:35:23.823Z</x:t>
  </x:si>
  <x:si>
    <x:t xml:space="preserve">2026-09-28T04:07:55.738Z</x:t>
  </x:si>
  <x:si>
    <x:t xml:space="preserve">{"id":"0f7918ff-cedd-4203-a4bc-4a1c65644a95","district":"สะพานสูง","category":"ศูนย์พักพิงชั่วคราว","name":"โรงเรียนศรีพฤฒา","capacity":720,"occupied":720,"available":0,"unitType":"คน","status":"เต็ม","routeDetails":"","link":"https://maps.app.goo.gl/29PqwaSCySY2hspa6?g_st=ic","additionalDetails":null,"createdAt":"2026-09-27T02:35:23.823Z","updatedAt":"2026-09-28T04:07:55.738Z"}</x:t>
  </x:si>
  <x:si>
    <x:t xml:space="preserve">730c9de8-15b4-419d-afa7-6726a100827f</x:t>
  </x:si>
  <x:si>
    <x:t xml:space="preserve">โรงเรียนสมโภชกรุงอนุสรณ์ (200ปี)</x:t>
  </x:si>
  <x:si>
    <x:t xml:space="preserve">https://maps.app.goo.gl/mL6qjZokdgQihY4x6?g_st=ic</x:t>
  </x:si>
  <x:si>
    <x:t xml:space="preserve">2026-09-27T01:45:47.442Z</x:t>
  </x:si>
  <x:si>
    <x:t xml:space="preserve">2026-09-28T04:08:25.362Z</x:t>
  </x:si>
  <x:si>
    <x:t xml:space="preserve">{"id":"730c9de8-15b4-419d-afa7-6726a100827f","district":"สะพานสูง","category":"ศูนย์พักพิงชั่วคราว","name":"โรงเรียนสมโภชกรุงอนุสรณ์ (200ปี)","capacity":360,"occupied":360,"available":0,"unitType":"คน","status":"เต็ม","routeDetails":"","link":"https://maps.app.goo.gl/mL6qjZokdgQihY4x6?g_st=ic","additionalDetails":null,"createdAt":"2026-09-27T01:45:47.442Z","updatedAt":"2026-09-28T04:08:25.362Z"}</x:t>
  </x:si>
  <x:si>
    <x:t xml:space="preserve">2bc70ccc-aa67-4dc5-ae69-b22d8f58bf94</x:t>
  </x:si>
  <x:si>
    <x:t xml:space="preserve">โรงเรียนสามแยกคลองหลอแหล</x:t>
  </x:si>
  <x:si>
    <x:t xml:space="preserve">https://maps.app.goo.gl/LhQd8WRQCxCtmrzGA?g_st=ic</x:t>
  </x:si>
  <x:si>
    <x:t xml:space="preserve">2026-09-27T01:37:44.031Z</x:t>
  </x:si>
  <x:si>
    <x:t xml:space="preserve">2026-09-28T04:06:33.176Z</x:t>
  </x:si>
  <x:si>
    <x:t xml:space="preserve">{"id":"2bc70ccc-aa67-4dc5-ae69-b22d8f58bf94","district":"สะพานสูง","category":"ศูนย์พักพิงชั่วคราว","name":"โรงเรียนสามแยกคลองหลอแหล","capacity":300,"occupied":300,"available":0,"unitType":"คน","status":"เต็ม","routeDetails":"","link":"https://maps.app.goo.gl/LhQd8WRQCxCtmrzGA?g_st=ic","additionalDetails":null,"createdAt":"2026-09-27T01:37:44.031Z","updatedAt":"2026-09-28T04:06:33.176Z"}</x:t>
  </x:si>
  <x:si>
    <x:t xml:space="preserve">8247b8db-8742-4645-a7be-e1e18036cf0a</x:t>
  </x:si>
  <x:si>
    <x:t xml:space="preserve">โรงเรียนสุเหร่าซีรอ (ราษฎร์สามัคคี)</x:t>
  </x:si>
  <x:si>
    <x:t xml:space="preserve">https://maps.app.goo.gl/bGVh12H1RuUdxHrw8?g_st=ic</x:t>
  </x:si>
  <x:si>
    <x:t xml:space="preserve">2026-09-27T01:41:00.611Z</x:t>
  </x:si>
  <x:si>
    <x:t xml:space="preserve">2026-09-28T04:06:52.410Z</x:t>
  </x:si>
  <x:si>
    <x:t xml:space="preserve">{"id":"8247b8db-8742-4645-a7be-e1e18036cf0a","district":"สะพานสูง","category":"ศูนย์พักพิงชั่วคราว","name":"โรงเรียนสุเหร่าซีรอ (ราษฎร์สามัคคี)","capacity":120,"occupied":120,"available":0,"unitType":"คน","status":"เต็ม","routeDetails":"","link":"https://maps.app.goo.gl/bGVh12H1RuUdxHrw8?g_st=ic","additionalDetails":null,"createdAt":"2026-09-27T01:41:00.611Z","updatedAt":"2026-09-28T04:06:52.410Z"}</x:t>
  </x:si>
  <x:si>
    <x:t xml:space="preserve">296cf755-32af-482c-b455-6cb6b1cfabd3</x:t>
  </x:si>
  <x:si>
    <x:t xml:space="preserve">โรงเรียนสุเหร่าทับช้างคลองบน</x:t>
  </x:si>
  <x:si>
    <x:t xml:space="preserve">https://maps.app.goo.gl/dUa6Q1Q7uZE13rMU9?g_st=ic</x:t>
  </x:si>
  <x:si>
    <x:t xml:space="preserve">2026-09-27T02:38:21.158Z</x:t>
  </x:si>
  <x:si>
    <x:t xml:space="preserve">2026-09-28T04:07:07.677Z</x:t>
  </x:si>
  <x:si>
    <x:t xml:space="preserve">{"id":"296cf755-32af-482c-b455-6cb6b1cfabd3","district":"สะพานสูง","category":"ศูนย์พักพิงชั่วคราว","name":"โรงเรียนสุเหร่าทับช้างคลองบน","capacity":150,"occupied":50,"available":100,"unitType":"คน","status":"เปิดให้บริการ/ว่าง","routeDetails":"","link":"https://maps.app.goo.gl/dUa6Q1Q7uZE13rMU9?g_st=ic","additionalDetails":null,"createdAt":"2026-09-27T02:38:21.158Z","updatedAt":"2026-09-28T04:07:07.677Z"}</x:t>
  </x:si>
  <x:si>
    <x:t xml:space="preserve">c6aee575-ed2c-4ed4-aefb-1fce9936e1d0</x:t>
  </x:si>
  <x:si>
    <x:t xml:space="preserve">โรงเรียนสุเหร่าลาดบัวขาว</x:t>
  </x:si>
  <x:si>
    <x:t xml:space="preserve">2026-09-27T02:36:54.549Z</x:t>
  </x:si>
  <x:si>
    <x:t xml:space="preserve">2026-09-28T04:07:30.779Z</x:t>
  </x:si>
  <x:si>
    <x:t xml:space="preserve">{"id":"c6aee575-ed2c-4ed4-aefb-1fce9936e1d0","district":"สะพานสูง","category":"ศูนย์พักพิงชั่วคราว","name":"โรงเรียนสุเหร่าลาดบัวขาว","capacity":215,"occupied":215,"available":0,"unitType":"คน","status":"เต็ม","routeDetails":"","link":"https://maps.app.goo.gl/dUa6Q1Q7uZE13rMU9?g_st=ic","additionalDetails":null,"createdAt":"2026-09-27T02:36:54.549Z","updatedAt":"2026-09-28T04:07:30.779Z"}</x:t>
  </x:si>
  <x:si>
    <x:t xml:space="preserve">1532c37b-861f-9dc5-3729-daff0b15fd94</x:t>
  </x:si>
  <x:si>
    <x:t xml:space="preserve">สำนักงานเขตสัมพันธวงศ์</x:t>
  </x:si>
  <x:si>
    <x:t xml:space="preserve">https://maps.app.goo.gl/JSHyKz2iro5FmL8W8?g_st=ic</x:t>
  </x:si>
  <x:si>
    <x:t xml:space="preserve">2026-09-26T08:24:21.000Z</x:t>
  </x:si>
  <x:si>
    <x:t xml:space="preserve">{"id":"1532c37b-861f-9dc5-3729-daff0b15fd94","district":"สัมพันธวงศ์","category":"ศูนย์พักพิงชั่วคราว","name":"สำนักงานเขตสัมพันธวงศ์","capacity":70,"occupied":0,"available":70,"unitType":"คน","status":"เปิดให้บริการ/ว่าง","routeDetails":"","link":"https://maps.app.goo.gl/JSHyKz2iro5FmL8W8?g_st=ic","additionalDetails":null,"createdAt":"2026-09-26T08:24:21.000Z","updatedAt":"2026-09-26T08:24:21.000Z"}</x:t>
  </x:si>
  <x:si>
    <x:t xml:space="preserve">3634a4d1-8d0a-5f3e-2500-7eb6b5e4c130</x:t>
  </x:si>
  <x:si>
    <x:t xml:space="preserve">โรงเรียนวัดจักรวรรดิ</x:t>
  </x:si>
  <x:si>
    <x:t xml:space="preserve">https://maps.app.goo.gl/mrs2zd7eUGfAeJot8?g_st=ic</x:t>
  </x:si>
  <x:si>
    <x:t xml:space="preserve">{"id":"3634a4d1-8d0a-5f3e-2500-7eb6b5e4c130","district":"สัมพันธวงศ์","category":"ศูนย์พักพิงชั่วคราว","name":"โรงเรียนวัดจักรวรรดิ","capacity":40,"occupied":0,"available":40,"unitType":"คน","status":"เปิดให้บริการ/ว่าง","routeDetails":"","link":"https://maps.app.goo.gl/mrs2zd7eUGfAeJot8?g_st=ic","additionalDetails":null,"createdAt":"2026-09-26T08:24:21.000Z","updatedAt":"2026-09-26T08:24:21.000Z"}</x:t>
  </x:si>
  <x:si>
    <x:t xml:space="preserve">9f3b562c-1902-9b0c-3b38-53d8842d6fc2</x:t>
  </x:si>
  <x:si>
    <x:t xml:space="preserve">โรงเรียนประชานุกูล (กรุงเทพมหานคร) ซอยสายไหม 6</x:t>
  </x:si>
  <x:si>
    <x:t xml:space="preserve">https://maps.app.goo.gl/cV3CBGSpRnEy5TVL8</x:t>
  </x:si>
  <x:si>
    <x:t xml:space="preserve">2026-09-26T06:49:08.000Z</x:t>
  </x:si>
  <x:si>
    <x:t xml:space="preserve">{"id":"9f3b562c-1902-9b0c-3b38-53d8842d6fc2","district":"สายไหม","category":"ศูนย์พักพิงชั่วคราว","name":"โรงเรียนประชานุกูล (กรุงเทพมหานคร) ซอยสายไหม 6","capacity":100,"occupied":50,"available":50,"unitType":"คน","status":"เปิดให้บริการ/ว่าง","routeDetails":"","link":"https://maps.app.goo.gl/cV3CBGSpRnEy5TVL8","additionalDetails":null,"createdAt":"2026-09-26T06:49:08.000Z","updatedAt":"2026-09-26T06:49:08.000Z"}</x:t>
  </x:si>
  <x:si>
    <x:t xml:space="preserve">f21a6060-bbfe-49f5-b641-5be71faf31b8</x:t>
  </x:si>
  <x:si>
    <x:t xml:space="preserve">โรงพยาบาลเวชการุณย์รัศมิ์</x:t>
  </x:si>
  <x:si>
    <x:t xml:space="preserve">https://maps.app.goo.gl/SLRcXzqWXghEvDbz5</x:t>
  </x:si>
  <x:si>
    <x:t xml:space="preserve">สำหรับรองรับผู้ป่วยกลุ่มเปราะบางที่เป็นผู้ประสบอุทกภัย และผู้ป่วยที่มีนัดหมายฟอกไต</x:t>
  </x:si>
  <x:si>
    <x:t xml:space="preserve">2026-09-28T05:34:12.396Z</x:t>
  </x:si>
  <x:si>
    <x:t xml:space="preserve">{"id":"f21a6060-bbfe-49f5-b641-5be71faf31b8","district":"หนองจอก","category":"ศูนย์พักพิงชั่วคราว","name":"โรงพยาบาลเวชการุณย์รัศมิ์","capacity":12,"occupied":1,"available":11,"unitType":"คน","status":"เปิดให้บริการ/ว่าง","routeDetails":"","link":"https://maps.app.goo.gl/SLRcXzqWXghEvDbz5","additionalDetails":"สำหรับรองรับผู้ป่วยกลุ่มเปราะบางที่เป็นผู้ประสบอุทกภัย และผู้ป่วยที่มีนัดหมายฟอกไต","createdAt":"2026-09-28T05:34:12.396Z","updatedAt":"2026-09-28T05:34:12.396Z"}</x:t>
  </x:si>
  <x:si>
    <x:t xml:space="preserve">8a3f7cc0-b704-8634-7da0-4c4d16b62a9e</x:t>
  </x:si>
  <x:si>
    <x:t xml:space="preserve">โรงเรียนคลองสอง</x:t>
  </x:si>
  <x:si>
    <x:t xml:space="preserve">https://maps.app.goo.gl/q7iC5c83vD9nsXW6A</x:t>
  </x:si>
  <x:si>
    <x:t xml:space="preserve">2026-09-26T06:12:13.000Z</x:t>
  </x:si>
  <x:si>
    <x:t xml:space="preserve">2026-09-29T02:52:41.995Z</x:t>
  </x:si>
  <x:si>
    <x:t xml:space="preserve">{"id":"8a3f7cc0-b704-8634-7da0-4c4d16b62a9e","district":"หนองจอก","category":"ศูนย์พักพิงชั่วคราว","name":"โรงเรียนคลองสอง","capacity":100,"occupied":5,"available":95,"unitType":"คน","status":"เปิดให้บริการ/ว่าง","routeDetails":"","link":"https://maps.app.goo.gl/q7iC5c83vD9nsXW6A","additionalDetails":null,"createdAt":"2026-09-26T06:12:13.000Z","updatedAt":"2026-09-29T02:52:41.995Z"}</x:t>
  </x:si>
  <x:si>
    <x:t xml:space="preserve">353eb0f5-8819-e52b-f793-6afaa70781a9</x:t>
  </x:si>
  <x:si>
    <x:t xml:space="preserve">โรงเรียนคารีอุปถัมภ์</x:t>
  </x:si>
  <x:si>
    <x:t xml:space="preserve">https://maps.app.goo.gl/TXfCB7iZADkfkkBF9</x:t>
  </x:si>
  <x:si>
    <x:t xml:space="preserve">{"id":"353eb0f5-8819-e52b-f793-6afaa70781a9","district":"หนองจอก","category":"ศูนย์พักพิงชั่วคราว","name":"โรงเรียนคารีอุปถัมภ์","capacity":30,"occupied":0,"available":30,"unitType":"คน","status":"เปิดให้บริการ/ว่าง","routeDetails":"","link":"https://maps.app.goo.gl/TXfCB7iZADkfkkBF9","additionalDetails":null,"createdAt":"2026-09-26T06:12:13.000Z","updatedAt":"2026-09-26T06:12:13.000Z"}</x:t>
  </x:si>
  <x:si>
    <x:t xml:space="preserve">278cdd3b-319c-50f9-cd2e-691c2075ed58</x:t>
  </x:si>
  <x:si>
    <x:t xml:space="preserve">โรงเรียนนีลราษฎร์อุปถัมภ์</x:t>
  </x:si>
  <x:si>
    <x:t xml:space="preserve">https://maps.app.goo.gl/jgYDq59rjiwviKd66</x:t>
  </x:si>
  <x:si>
    <x:t xml:space="preserve">2026-09-28T05:34:42.904Z</x:t>
  </x:si>
  <x:si>
    <x:t xml:space="preserve">{"id":"278cdd3b-319c-50f9-cd2e-691c2075ed58","district":"หนองจอก","category":"ศูนย์พักพิงชั่วคราว","name":"โรงเรียนนีลราษฎร์อุปถัมภ์","capacity":40,"occupied":16,"available":24,"unitType":"คน","status":"เปิดให้บริการ/ว่าง","routeDetails":"","link":"https://maps.app.goo.gl/jgYDq59rjiwviKd66","additionalDetails":null,"createdAt":"2026-09-26T06:12:13.000Z","updatedAt":"2026-09-28T05:34:42.904Z"}</x:t>
  </x:si>
  <x:si>
    <x:t xml:space="preserve">1be23ea2-e19b-263a-7e89-7d66599ada20</x:t>
  </x:si>
  <x:si>
    <x:t xml:space="preserve">โรงเรียนบ้านลำต้นกล้วย</x:t>
  </x:si>
  <x:si>
    <x:t xml:space="preserve">https://maps.app.goo.gl/ciFTJKRkFD7fETna6</x:t>
  </x:si>
  <x:si>
    <x:t xml:space="preserve">2026-09-28T05:01:44.450Z</x:t>
  </x:si>
  <x:si>
    <x:t xml:space="preserve">{"id":"1be23ea2-e19b-263a-7e89-7d66599ada20","district":"หนองจอก","category":"ศูนย์พักพิงชั่วคราว","name":"โรงเรียนบ้านลำต้นกล้วย","capacity":20,"occupied":9,"available":11,"unitType":"คน","status":"เปิดให้บริการ/ว่าง","routeDetails":"","link":"https://maps.app.goo.gl/ciFTJKRkFD7fETna6","additionalDetails":null,"createdAt":"2026-09-26T06:12:13.000Z","updatedAt":"2026-09-28T05:01:44.450Z"}</x:t>
  </x:si>
  <x:si>
    <x:t xml:space="preserve">ad8ee9bc-d9ce-bb3d-7526-a4fe57608e11</x:t>
  </x:si>
  <x:si>
    <x:t xml:space="preserve">โรงเรียนผลลีรุ่งเรือง</x:t>
  </x:si>
  <x:si>
    <x:t xml:space="preserve">https://maps.app.goo.gl/EiMaZPsE8pG5p3Sb7</x:t>
  </x:si>
  <x:si>
    <x:t xml:space="preserve">2026-09-26T07:53:32.000Z</x:t>
  </x:si>
  <x:si>
    <x:t xml:space="preserve">2026-09-29T03:11:35.019Z</x:t>
  </x:si>
  <x:si>
    <x:t xml:space="preserve">{"id":"ad8ee9bc-d9ce-bb3d-7526-a4fe57608e11","district":"หนองจอก","category":"ศูนย์พักพิงชั่วคราว","name":"โรงเรียนผลลีรุ่งเรือง","capacity":20,"occupied":3,"available":17,"unitType":"คน","status":"เปิดให้บริการ/ว่าง","routeDetails":"","link":"https://maps.app.goo.gl/EiMaZPsE8pG5p3Sb7","additionalDetails":null,"createdAt":"2026-09-26T07:53:32.000Z","updatedAt":"2026-09-29T03:11:35.019Z"}</x:t>
  </x:si>
  <x:si>
    <x:t xml:space="preserve">0f3dbea9-e72d-e002-27b7-3a08cbc9b954</x:t>
  </x:si>
  <x:si>
    <x:t xml:space="preserve">โรงเรียนฝึกอาชีพกรุงเทพมหานคร (หนองจอก)</x:t>
  </x:si>
  <x:si>
    <x:t xml:space="preserve">https://maps.app.goo.gl/NrxRK5TZ6NKyz4ev5</x:t>
  </x:si>
  <x:si>
    <x:t xml:space="preserve">2026-09-26T07:04:28.000Z</x:t>
  </x:si>
  <x:si>
    <x:t xml:space="preserve">{"id":"0f3dbea9-e72d-e002-27b7-3a08cbc9b954","district":"หนองจอก","category":"ศูนย์พักพิงชั่วคราว","name":"โรงเรียนฝึกอาชีพกรุงเทพมหานคร (หนองจอก)","capacity":50,"occupied":0,"available":50,"unitType":"คน","status":"เปิดให้บริการ/ว่าง","routeDetails":"","link":"https://maps.app.goo.gl/NrxRK5TZ6NKyz4ev5","additionalDetails":null,"createdAt":"2026-09-26T07:04:28.000Z","updatedAt":"2026-09-26T07:04:28.000Z"}</x:t>
  </x:si>
  <x:si>
    <x:t xml:space="preserve">c9b40092-412e-7a26-2518-85cd17b4baba</x:t>
  </x:si>
  <x:si>
    <x:t xml:space="preserve">โรงเรียนลำบุหรี่พวง</x:t>
  </x:si>
  <x:si>
    <x:t xml:space="preserve">https://maps.app.goo.gl/dsD5XwNdEk66Wvwv6</x:t>
  </x:si>
  <x:si>
    <x:t xml:space="preserve">2026-09-26T08:10:22.000Z</x:t>
  </x:si>
  <x:si>
    <x:t xml:space="preserve">{"id":"c9b40092-412e-7a26-2518-85cd17b4baba","district":"หนองจอก","category":"ศูนย์พักพิงชั่วคราว","name":"โรงเรียนลำบุหรี่พวง","capacity":30,"occupied":3,"available":27,"unitType":"คน","status":"เปิดให้บริการ/ว่าง","routeDetails":"","link":"https://maps.app.goo.gl/dsD5XwNdEk66Wvwv6","additionalDetails":null,"createdAt":"2026-09-26T06:12:13.000Z","updatedAt":"2026-09-26T08:10:22.000Z"}</x:t>
  </x:si>
  <x:si>
    <x:t xml:space="preserve">20027d8c-48a5-f2db-ff0c-cfb133ff3fe9</x:t>
  </x:si>
  <x:si>
    <x:t xml:space="preserve">โรงเรียนลำเจดีย์</x:t>
  </x:si>
  <x:si>
    <x:t xml:space="preserve">https://maps.app.goo.gl/qae2bKepKAjX7BSe7</x:t>
  </x:si>
  <x:si>
    <x:t xml:space="preserve">2026-09-28T10:13:55.303Z</x:t>
  </x:si>
  <x:si>
    <x:t xml:space="preserve">{"id":"20027d8c-48a5-f2db-ff0c-cfb133ff3fe9","district":"หนองจอก","category":"ศูนย์พักพิงชั่วคราว","name":"โรงเรียนลำเจดีย์","capacity":50,"occupied":22,"available":28,"unitType":"คน","status":"เปิดให้บริการ/ว่าง","routeDetails":"","link":"https://maps.app.goo.gl/qae2bKepKAjX7BSe7","additionalDetails":null,"createdAt":"2026-09-26T06:12:13.000Z","updatedAt":"2026-09-28T10:13:55.303Z"}</x:t>
  </x:si>
  <x:si>
    <x:t xml:space="preserve">a5defd06-efec-ea2d-de45-ee579a1fa640</x:t>
  </x:si>
  <x:si>
    <x:t xml:space="preserve">โรงเรียนวัดทรัพย์โมสร</x:t>
  </x:si>
  <x:si>
    <x:t xml:space="preserve">https://maps.app.goo.gl/7FLVy8SLuAA1AHTc6</x:t>
  </x:si>
  <x:si>
    <x:t xml:space="preserve">2026-09-28T10:14:14.614Z</x:t>
  </x:si>
  <x:si>
    <x:t xml:space="preserve">{"id":"a5defd06-efec-ea2d-de45-ee579a1fa640","district":"หนองจอก","category":"ศูนย์พักพิงชั่วคราว","name":"โรงเรียนวัดทรัพย์โมสร","capacity":60,"occupied":3,"available":57,"unitType":"คน","status":"เปิดให้บริการ/ว่าง","routeDetails":"","link":"https://maps.app.goo.gl/7FLVy8SLuAA1AHTc6","additionalDetails":null,"createdAt":"2026-09-26T06:12:13.000Z","updatedAt":"2026-09-28T10:14:14.614Z"}</x:t>
  </x:si>
  <x:si>
    <x:t xml:space="preserve">4297eda3-e08c-6d69-0a64-fefbc048160e</x:t>
  </x:si>
  <x:si>
    <x:t xml:space="preserve">โรงเรียนวัดพระยาปลา (ฝั่งประถมศึกษา)</x:t>
  </x:si>
  <x:si>
    <x:t xml:space="preserve">https://maps.app.goo.gl/ozUtE4zfnF6sSJfm8</x:t>
  </x:si>
  <x:si>
    <x:t xml:space="preserve">{"id":"4297eda3-e08c-6d69-0a64-fefbc048160e","district":"หนองจอก","category":"ศูนย์พักพิงชั่วคราว","name":"โรงเรียนวัดพระยาปลา (ฝั่งประถมศึกษา)","capacity":80,"occupied":0,"available":80,"unitType":"คน","status":"เปิดให้บริการ/ว่าง","routeDetails":"","link":"https://maps.app.goo.gl/ozUtE4zfnF6sSJfm8","additionalDetails":null,"createdAt":"2026-09-26T06:12:13.000Z","updatedAt":"2026-09-26T06:12:13.000Z"}</x:t>
  </x:si>
  <x:si>
    <x:t xml:space="preserve">8808c970-b4cc-ceee-e94c-317c7e119aeb</x:t>
  </x:si>
  <x:si>
    <x:t xml:space="preserve">โรงเรียนวัดพระยาปลา (ฝั่งมัธยมศึกษา)</x:t>
  </x:si>
  <x:si>
    <x:t xml:space="preserve">https://maps.app.goo.gl/otZNDMvU88uB8ZwPA</x:t>
  </x:si>
  <x:si>
    <x:t xml:space="preserve">{"id":"8808c970-b4cc-ceee-e94c-317c7e119aeb","district":"หนองจอก","category":"ศูนย์พักพิงชั่วคราว","name":"โรงเรียนวัดพระยาปลา (ฝั่งมัธยมศึกษา)","capacity":50,"occupied":0,"available":50,"unitType":"คน","status":"เปิดให้บริการ/ว่าง","routeDetails":"","link":"https://maps.app.goo.gl/otZNDMvU88uB8ZwPA","additionalDetails":null,"createdAt":"2026-09-26T06:12:13.000Z","updatedAt":"2026-09-26T06:12:13.000Z"}</x:t>
  </x:si>
  <x:si>
    <x:t xml:space="preserve">97e3cd3b-321a-f199-4b23-f7f3edae8844</x:t>
  </x:si>
  <x:si>
    <x:t xml:space="preserve">โรงเรียนวัดราษฎร์บำรุง</x:t>
  </x:si>
  <x:si>
    <x:t xml:space="preserve">https://maps.app.goo.gl/Z6s49csj2DjwefFSA</x:t>
  </x:si>
  <x:si>
    <x:t xml:space="preserve">2026-09-28T05:02:23.941Z</x:t>
  </x:si>
  <x:si>
    <x:t xml:space="preserve">{"id":"97e3cd3b-321a-f199-4b23-f7f3edae8844","district":"หนองจอก","category":"ศูนย์พักพิงชั่วคราว","name":"โรงเรียนวัดราษฎร์บำรุง","capacity":40,"occupied":20,"available":20,"unitType":"คน","status":"เปิดให้บริการ/ว่าง","routeDetails":"","link":"https://maps.app.goo.gl/Z6s49csj2DjwefFSA","additionalDetails":null,"createdAt":"2026-09-26T06:12:13.000Z","updatedAt":"2026-09-28T05:02:23.941Z"}</x:t>
  </x:si>
  <x:si>
    <x:t xml:space="preserve">558b96c9-a212-9075-235e-e9472e743f41</x:t>
  </x:si>
  <x:si>
    <x:t xml:space="preserve">โรงเรียนวัดหนองจอก(ภักดีนรเศรษฐ)</x:t>
  </x:si>
  <x:si>
    <x:t xml:space="preserve">https://maps.app.goo.gl/eBpYKnPhwVJQwCnJ9</x:t>
  </x:si>
  <x:si>
    <x:t xml:space="preserve">{"id":"558b96c9-a212-9075-235e-e9472e743f41","district":"หนองจอก","category":"ศูนย์พักพิงชั่วคราว","name":"โรงเรียนวัดหนองจอก(ภักดีนรเศรษฐ)","capacity":20,"occupied":0,"available":20,"unitType":"คน","status":"เปิดให้บริการ/ว่าง","routeDetails":"","link":"https://maps.app.goo.gl/eBpYKnPhwVJQwCnJ9","additionalDetails":null,"createdAt":"2026-09-26T07:04:28.000Z","updatedAt":"2026-09-26T07:04:28.000Z"}</x:t>
  </x:si>
  <x:si>
    <x:t xml:space="preserve">7580563e-242d-a3c5-93a8-64fdba5806a5</x:t>
  </x:si>
  <x:si>
    <x:t xml:space="preserve">โรงเรียนสังฆประชานุสสรณ์</x:t>
  </x:si>
  <x:si>
    <x:t xml:space="preserve">https://maps.app.goo.gl/XT4rgiZXfpNQ3H5a8?g_st=al</x:t>
  </x:si>
  <x:si>
    <x:t xml:space="preserve">2026-09-28T10:15:00.418Z</x:t>
  </x:si>
  <x:si>
    <x:t xml:space="preserve">{"id":"7580563e-242d-a3c5-93a8-64fdba5806a5","district":"หนองจอก","category":"ศูนย์พักพิงชั่วคราว","name":"โรงเรียนสังฆประชานุสสรณ์","capacity":20,"occupied":4,"available":16,"unitType":"คน","status":"เปิดให้บริการ/ว่าง","routeDetails":"","link":"https://maps.app.goo.gl/XT4rgiZXfpNQ3H5a8?g_st=al","additionalDetails":null,"createdAt":"2026-09-26T07:53:32.000Z","updatedAt":"2026-09-28T10:15:00.418Z"}</x:t>
  </x:si>
  <x:si>
    <x:t xml:space="preserve">d7ce38ae-dada-b91c-d326-c04d4be15c5a</x:t>
  </x:si>
  <x:si>
    <x:t xml:space="preserve">โรงเรียนสุเหร่าคลองสิบ</x:t>
  </x:si>
  <x:si>
    <x:t xml:space="preserve">https://maps.app.goo.gl/TBrYRXrww8vpa65y5</x:t>
  </x:si>
  <x:si>
    <x:t xml:space="preserve">{"id":"d7ce38ae-dada-b91c-d326-c04d4be15c5a","district":"หนองจอก","category":"ศูนย์พักพิงชั่วคราว","name":"โรงเรียนสุเหร่าคลองสิบ","capacity":100,"occupied":0,"available":100,"unitType":"คน","status":"เปิดให้บริการ/ว่าง","routeDetails":"","link":null,"additionalDetails":"https://maps.app.goo.gl/TBrYRXrww8vpa65y5","createdAt":"2026-09-26T07:53:32.000Z","updatedAt":"2026-09-26T07:53:32.000Z"}</x:t>
  </x:si>
  <x:si>
    <x:t xml:space="preserve">e2c10b9d-255b-bfd5-d17a-bffa777dbfa7</x:t>
  </x:si>
  <x:si>
    <x:t xml:space="preserve">โรงเรียนสุเหร่าคลองสิบเอ็ด</x:t>
  </x:si>
  <x:si>
    <x:t xml:space="preserve">https://maps.app.goo.gl/si7Bas7vEUH8MqDz8</x:t>
  </x:si>
  <x:si>
    <x:t xml:space="preserve">{"id":"e2c10b9d-255b-bfd5-d17a-bffa777dbfa7","district":"หนองจอก","category":"ศูนย์พักพิงชั่วคราว","name":"โรงเรียนสุเหร่าคลองสิบเอ็ด","capacity":20,"occupied":0,"available":20,"unitType":"คน","status":"เปิดให้บริการ/ว่าง","routeDetails":"","link":"https://maps.app.goo.gl/si7Bas7vEUH8MqDz8","additionalDetails":null,"createdAt":"2026-09-26T07:53:32.000Z","updatedAt":"2026-09-26T07:53:32.000Z"}</x:t>
  </x:si>
  <x:si>
    <x:t xml:space="preserve">1d9ef0bd-1236-50d6-258d-a6cb489f9955</x:t>
  </x:si>
  <x:si>
    <x:t xml:space="preserve">โรงเรียนสุเหร่านาตับ</x:t>
  </x:si>
  <x:si>
    <x:t xml:space="preserve">https://maps.app.goo.gl/4DCorFhPRR7nfjjz8</x:t>
  </x:si>
  <x:si>
    <x:t xml:space="preserve">{"id":"1d9ef0bd-1236-50d6-258d-a6cb489f9955","district":"หนองจอก","category":"ศูนย์พักพิงชั่วคราว","name":"โรงเรียนสุเหร่านาตับ","capacity":50,"occupied":0,"available":50,"unitType":"คน","status":"เปิดให้บริการ/ว่าง","routeDetails":"","link":"https://maps.app.goo.gl/4DCorFhPRR7nfjjz8","additionalDetails":null,"createdAt":"2026-09-26T06:12:13.000Z","updatedAt":"2026-09-26T06:12:13.000Z"}</x:t>
  </x:si>
  <x:si>
    <x:t xml:space="preserve">0febce70-cc94-eb4e-3356-f8b989660a20</x:t>
  </x:si>
  <x:si>
    <x:t xml:space="preserve">โรงเรียนสุเหร่าลำแขก</x:t>
  </x:si>
  <x:si>
    <x:t xml:space="preserve">https://maps.app.goo.gl/jWYh8tzFpw9cEub59</x:t>
  </x:si>
  <x:si>
    <x:t xml:space="preserve">2026-09-29T02:54:29.282Z</x:t>
  </x:si>
  <x:si>
    <x:t xml:space="preserve">{"id":"0febce70-cc94-eb4e-3356-f8b989660a20","district":"หนองจอก","category":"ศูนย์พักพิงชั่วคราว","name":"โรงเรียนสุเหร่าลำแขก","capacity":40,"occupied":4,"available":36,"unitType":"คน","status":"เปิดให้บริการ/ว่าง","routeDetails":"","link":"https://maps.app.goo.gl/jWYh8tzFpw9cEub59","additionalDetails":null,"createdAt":"2026-09-26T07:04:28.000Z","updatedAt":"2026-09-29T02:54:29.282Z"}</x:t>
  </x:si>
  <x:si>
    <x:t xml:space="preserve">610cac79-562a-dbcb-33cc-1d166abc2add</x:t>
  </x:si>
  <x:si>
    <x:t xml:space="preserve">โรงเรียนสุเหร่าศาลาแดง</x:t>
  </x:si>
  <x:si>
    <x:t xml:space="preserve">https://maps.app.goo.gl/4228AUHU28SfxWNb9</x:t>
  </x:si>
  <x:si>
    <x:t xml:space="preserve">2026-09-29T03:12:00.247Z</x:t>
  </x:si>
  <x:si>
    <x:t xml:space="preserve">{"id":"610cac79-562a-dbcb-33cc-1d166abc2add","district":"หนองจอก","category":"ศูนย์พักพิงชั่วคราว","name":"โรงเรียนสุเหร่าศาลาแดง","capacity":30,"occupied":23,"available":7,"unitType":"คน","status":"เปิดให้บริการ/ว่าง","routeDetails":"","link":"https://maps.app.goo.gl/4228AUHU28SfxWNb9","additionalDetails":null,"createdAt":"2026-09-26T06:12:13.000Z","updatedAt":"2026-09-29T03:12:00.247Z"}</x:t>
  </x:si>
  <x:si>
    <x:t xml:space="preserve">ce58a2cd-c2a8-9ef6-d20f-9ec844fa2852</x:t>
  </x:si>
  <x:si>
    <x:t xml:space="preserve">โรงเรียนสุเหร่าหะยีมินา</x:t>
  </x:si>
  <x:si>
    <x:t xml:space="preserve">https://maps.app.goo.gl/jACSjv3fr2LePb4M8</x:t>
  </x:si>
  <x:si>
    <x:t xml:space="preserve">2026-09-29T10:05:30.156Z</x:t>
  </x:si>
  <x:si>
    <x:t xml:space="preserve">{"id":"ce58a2cd-c2a8-9ef6-d20f-9ec844fa2852","district":"หนองจอก","category":"ศูนย์พักพิงชั่วคราว","name":"โรงเรียนสุเหร่าหะยีมินา","capacity":60,"occupied":6,"available":54,"unitType":"คน","status":"เปิดให้บริการ/ว่าง","routeDetails":"","link":"https://maps.app.goo.gl/jACSjv3fr2LePb4M8","additionalDetails":null,"createdAt":"2026-09-26T06:12:13.000Z","updatedAt":"2026-09-29T10:05:30.156Z"}</x:t>
  </x:si>
  <x:si>
    <x:t xml:space="preserve">429a3acc-d15b-4b03-8508-17865246ed42</x:t>
  </x:si>
  <x:si>
    <x:t xml:space="preserve">โรงเรียนสุเหร่าอีรั้ว</x:t>
  </x:si>
  <x:si>
    <x:t xml:space="preserve">https://maps.app.goo.gl/MhEY87hNkRggH4eLA</x:t>
  </x:si>
  <x:si>
    <x:t xml:space="preserve">2026-09-29T03:13:44.636Z</x:t>
  </x:si>
  <x:si>
    <x:t xml:space="preserve">{"id":"429a3acc-d15b-4b03-8508-17865246ed42","district":"หนองจอก","category":"ศูนย์พักพิงชั่วคราว","name":"โรงเรียนสุเหร่าอีรั้ว","capacity":60,"occupied":1,"available":59,"unitType":"คน","status":"เปิดให้บริการ/ว่าง","routeDetails":"","link":"https://maps.app.goo.gl/MhEY87hNkRggH4eLA","additionalDetails":null,"createdAt":"2026-09-29T03:13:44.636Z","updatedAt":"2026-09-29T03:13:44.636Z"}</x:t>
  </x:si>
  <x:si>
    <x:t xml:space="preserve">621ef21a-e8db-deb8-83b1-c44118416612</x:t>
  </x:si>
  <x:si>
    <x:t xml:space="preserve">โรงเรียนหนองจอกพิทยานุสรณ์</x:t>
  </x:si>
  <x:si>
    <x:t xml:space="preserve">https://maps.app.goo.gl/RsJNMp56gKesoAY17</x:t>
  </x:si>
  <x:si>
    <x:t xml:space="preserve">{"id":"621ef21a-e8db-deb8-83b1-c44118416612","district":"หนองจอก","category":"ศูนย์พักพิงชั่วคราว","name":"โรงเรียนหนองจอกพิทยานุสรณ์","capacity":50,"occupied":0,"available":50,"unitType":"คน","status":"เปิดให้บริการ/ว่าง","routeDetails":"","link":"https://maps.app.goo.gl/RsJNMp56gKesoAY17","additionalDetails":null,"createdAt":"2026-09-26T07:04:28.000Z","updatedAt":"2026-09-26T07:04:28.000Z"}</x:t>
  </x:si>
  <x:si>
    <x:t xml:space="preserve">49f1d957-ff2d-0cb6-a3df-fe867ce0c196</x:t>
  </x:si>
  <x:si>
    <x:t xml:space="preserve">โรงเรียนหลวงแพ่ง (บำรุงรัฐกิจ)</x:t>
  </x:si>
  <x:si>
    <x:t xml:space="preserve">https://maps.app.goo.gl/zc1Zw7ow2HLyJdqq5</x:t>
  </x:si>
  <x:si>
    <x:t xml:space="preserve">2026-09-29T02:55:15.563Z</x:t>
  </x:si>
  <x:si>
    <x:t xml:space="preserve">{"id":"49f1d957-ff2d-0cb6-a3df-fe867ce0c196","district":"หนองจอก","category":"ศูนย์พักพิงชั่วคราว","name":"โรงเรียนหลวงแพ่ง (บำรุงรัฐกิจ)","capacity":20,"occupied":5,"available":15,"unitType":"คน","status":"เปิดให้บริการ/ว่าง","routeDetails":"","link":"https://maps.app.goo.gl/zc1Zw7ow2HLyJdqq5","additionalDetails":null,"createdAt":"2026-09-26T06:12:13.000Z","updatedAt":"2026-09-29T02:55:15.563Z"}</x:t>
  </x:si>
  <x:si>
    <x:t xml:space="preserve">fd6e32cc-2225-ea5a-71e2-58ff1c2c8b0a</x:t>
  </x:si>
  <x:si>
    <x:t xml:space="preserve">โรงเรียนอิสลามลำไทร</x:t>
  </x:si>
  <x:si>
    <x:t xml:space="preserve">https://maps.app.goo.gl/LWYeuWVKcyMC1jrV8</x:t>
  </x:si>
  <x:si>
    <x:t xml:space="preserve">2026-09-29T10:05:46.309Z</x:t>
  </x:si>
  <x:si>
    <x:t xml:space="preserve">{"id":"fd6e32cc-2225-ea5a-71e2-58ff1c2c8b0a","district":"หนองจอก","category":"ศูนย์พักพิงชั่วคราว","name":"โรงเรียนอิสลามลำไทร","capacity":50,"occupied":1,"available":49,"unitType":"คน","status":"เปิดให้บริการ/ว่าง","routeDetails":"","link":"https://maps.app.goo.gl/LWYeuWVKcyMC1jrV8","additionalDetails":null,"createdAt":"2026-09-26T07:53:32.000Z","updatedAt":"2026-09-29T10:05:46.309Z"}</x:t>
  </x:si>
  <x:si>
    <x:t xml:space="preserve">b4d829a9-ce79-ed07-8323-b7d37f76731b</x:t>
  </x:si>
  <x:si>
    <x:t xml:space="preserve">โรงเรียนการเคหะท่าทราย</x:t>
  </x:si>
  <x:si>
    <x:t xml:space="preserve">2026-09-26T07:42:09.000Z</x:t>
  </x:si>
  <x:si>
    <x:t xml:space="preserve">{"id":"b4d829a9-ce79-ed07-8323-b7d37f76731b","district":"หลักสี่","category":"ศูนย์พักพิงชั่วคราว","name":"โรงเรียนการเคหะท่าทราย","capacity":200,"occupied":70,"available":130,"unitType":"คน","status":"เปิดให้บริการ/ว่าง","routeDetails":"","link":null,"additionalDetails":null,"createdAt":"2026-09-26T07:42:09.000Z","updatedAt":"2026-09-26T07:42:09.000Z"}</x:t>
  </x:si>
  <x:si>
    <x:t xml:space="preserve">fd747b69-e217-0d07-2f83-e21ae0e4312b</x:t>
  </x:si>
  <x:si>
    <x:t xml:space="preserve">โรงเรียนทุ่งสองห้อง</x:t>
  </x:si>
  <x:si>
    <x:t xml:space="preserve">2026-09-26T07:44:36.000Z</x:t>
  </x:si>
  <x:si>
    <x:t xml:space="preserve">{"id":"fd747b69-e217-0d07-2f83-e21ae0e4312b","district":"หลักสี่","category":"ศูนย์พักพิงชั่วคราว","name":"โรงเรียนทุ่งสองห้อง","capacity":50,"occupied":0,"available":50,"unitType":"คน","status":"เปิดให้บริการ/ว่าง","routeDetails":"","link":null,"additionalDetails":null,"createdAt":"2026-09-26T07:44:36.000Z","updatedAt":"2026-09-26T07:44:36.000Z"}</x:t>
  </x:si>
  <x:si>
    <x:t xml:space="preserve">40fdb062-ea65-a686-4cbf-9cf2eef1bd0f</x:t>
  </x:si>
  <x:si>
    <x:t xml:space="preserve">โรงเรียนบางเขน (ไว้สาลีอนุสรณ์)</x:t>
  </x:si>
  <x:si>
    <x:t xml:space="preserve">2026-09-26T07:41:00.000Z</x:t>
  </x:si>
  <x:si>
    <x:t xml:space="preserve">{"id":"40fdb062-ea65-a686-4cbf-9cf2eef1bd0f","district":"หลักสี่","category":"ศูนย์พักพิงชั่วคราว","name":"โรงเรียนบางเขน (ไว้สาลีอนุสรณ์)","capacity":150,"occupied":130,"available":20,"unitType":"คน","status":"เปิดให้บริการ/ว่าง","routeDetails":"","link":null,"additionalDetails":null,"createdAt":"2026-09-26T07:41:00.000Z","updatedAt":"2026-09-26T07:41:00.000Z"}</x:t>
  </x:si>
  <x:si>
    <x:t xml:space="preserve">a38fdd2a-6876-5bb5-740f-50b294f14d4b</x:t>
  </x:si>
  <x:si>
    <x:t xml:space="preserve">โรงเรียนวัดหลักสี่ (ทองใบทิวารีวิทยา)</x:t>
  </x:si>
  <x:si>
    <x:t xml:space="preserve">2026-09-26T07:39:15.000Z</x:t>
  </x:si>
  <x:si>
    <x:t xml:space="preserve">{"id":"a38fdd2a-6876-5bb5-740f-50b294f14d4b","district":"หลักสี่","category":"ศูนย์พักพิงชั่วคราว","name":"โรงเรียนวัดหลักสี่ (ทองใบทิวารีวิทยา)","capacity":40,"occupied":0,"available":40,"unitType":"คน","status":"เปิดให้บริการ/ว่าง","routeDetails":"","link":null,"additionalDetails":null,"createdAt":"2026-09-26T07:39:15.000Z","updatedAt":"2026-09-26T07:39:15.000Z"}</x:t>
  </x:si>
  <x:si>
    <x:t xml:space="preserve">03f082a0-8c14-8b45-6faf-02fe835f3a39</x:t>
  </x:si>
  <x:si>
    <x:t xml:space="preserve">โรงเรียนเคหะทุ่งสองห้องวิทยา 1</x:t>
  </x:si>
  <x:si>
    <x:t xml:space="preserve">2026-09-26T07:51:31.000Z</x:t>
  </x:si>
  <x:si>
    <x:t xml:space="preserve">{"id":"03f082a0-8c14-8b45-6faf-02fe835f3a39","district":"หลักสี่","category":"ศูนย์พักพิงชั่วคราว","name":"โรงเรียนเคหะทุ่งสองห้องวิทยา 1","capacity":100,"occupied":0,"available":100,"unitType":"คน","status":"เปิดให้บริการ/ว่าง","routeDetails":"","link":null,"additionalDetails":null,"createdAt":"2026-09-26T07:51:31.000Z","updatedAt":"2026-09-26T07:51:31.000Z"}</x:t>
  </x:si>
  <x:si>
    <x:t xml:space="preserve">d82e09a3-e241-b961-bdde-b8af57f46921</x:t>
  </x:si>
  <x:si>
    <x:t xml:space="preserve">โรงเรียนเคหะทุ่งสองห้องวิทยา 2</x:t>
  </x:si>
  <x:si>
    <x:t xml:space="preserve">2026-09-26T07:52:06.000Z</x:t>
  </x:si>
  <x:si>
    <x:t xml:space="preserve">{"id":"d82e09a3-e241-b961-bdde-b8af57f46921","district":"หลักสี่","category":"ศูนย์พักพิงชั่วคราว","name":"โรงเรียนเคหะทุ่งสองห้องวิทยา 2","capacity":50,"occupied":0,"available":50,"unitType":"คน","status":"เปิดให้บริการ/ว่าง","routeDetails":"","link":null,"additionalDetails":null,"createdAt":"2026-09-26T07:52:06.000Z","updatedAt":"2026-09-26T07:52:06.000Z"}</x:t>
  </x:si>
</x:sst>
</file>

<file path=xl/styles.xml><?xml version="1.0" encoding="utf-8"?>
<x:styleSheet xmlns:x="http://schemas.openxmlformats.org/spreadsheetml/2006/main">
  <x:numFmts count="4">
    <x:numFmt numFmtId="164" formatCode="0.00000"/>
    <x:numFmt numFmtId="165" formatCode="yyyy-mm-dd"/>
    <x:numFmt numFmtId="166" formatCode="yyyy-mm-dd h:mm:ss"/>
    <x:numFmt numFmtId="167" formatCode="0.000000"/>
  </x:numFmts>
  <x:fonts count="24">
    <x:font>
      <x:sz val="10"/>
      <x:color rgb="FF000000"/>
      <x:name val="Arial"/>
    </x:font>
    <x:font>
      <x:sz val="9"/>
      <x:color rgb="FF000000"/>
      <x:name val="Google Sans"/>
    </x:font>
    <x:font>
      <x:b/>
      <x:sz val="8"/>
      <x:color rgb="FFFFFFFF"/>
      <x:name val="Google Sans"/>
    </x:font>
    <x:font>
      <x:sz val="9"/>
      <x:color theme="1"/>
      <x:name val="Google Sans"/>
    </x:font>
    <x:font>
      <x:b/>
      <x:sz val="14"/>
      <x:color rgb="FF425D90"/>
      <x:name val="Montserrat"/>
    </x:font>
    <x:font>
      <x:sz val="8"/>
      <x:color theme="1"/>
      <x:name val="Google Sans"/>
    </x:font>
    <x:font>
      <x:b/>
      <x:sz val="11"/>
      <x:color rgb="FFFFFFFF"/>
      <x:name val="Montserrat"/>
    </x:font>
    <x:font>
      <x:sz val="8"/>
      <x:color rgb="FF1A1B20"/>
      <x:name val="Google Sans"/>
    </x:font>
    <x:font>
      <x:b/>
      <x:sz val="12"/>
      <x:color rgb="FF1A1B20"/>
      <x:name val="Roboto"/>
    </x:font>
    <x:font>
      <x:sz val="8"/>
      <x:color rgb="FF0000FF"/>
      <x:name val="Google Sans"/>
    </x:font>
    <x:font>
      <x:sz val="10"/>
      <x:color rgb="FF1A1B20"/>
      <x:name val="Roboto"/>
    </x:font>
    <x:font>
      <x:sz val="8"/>
      <x:color rgb="FF1A1B20"/>
      <x:name val="Google Sans"/>
    </x:font>
    <x:font>
      <x:sz val="11"/>
      <x:color rgb="FF000000"/>
      <x:name val="&quot;Aptos Narrow&quot;"/>
    </x:font>
    <x:font>
      <x:b/>
      <x:sz val="11"/>
      <x:color rgb="FF000000"/>
      <x:name val="&quot;Aptos Narrow&quot;"/>
    </x:font>
    <x:font>
      <x:sz val="11"/>
      <x:color rgb="FF000000"/>
      <x:name val="Arial"/>
    </x:font>
    <x:font>
      <x:sz val="8"/>
      <x:color rgb="FF221A15"/>
      <x:name val="Google Sans"/>
    </x:font>
    <x:font>
      <x:b/>
      <x:sz val="8"/>
      <x:color theme="1"/>
      <x:name val="Google Sans"/>
    </x:font>
    <x:font>
      <x:b/>
      <x:sz val="8"/>
      <x:color theme="1"/>
      <x:name val="Arial"/>
    </x:font>
    <x:font>
      <x:sz val="8"/>
      <x:color theme="1"/>
      <x:name val="Arial"/>
    </x:font>
    <x:font>
      <x:sz val="8"/>
      <x:color rgb="FF0000FF"/>
    </x:font>
    <x:font>
      <x:color theme="1"/>
      <x:name val="Arial"/>
    </x:font>
    <x:font>
      <x:b/>
      <x:sz val="16"/>
      <x:color rgb="FFFFFFFF"/>
      <x:name val="Arial"/>
    </x:font>
    <x:font>
      <x:b/>
      <x:sz val="10"/>
      <x:color rgb="FF0B4F6C"/>
      <x:name val="Arial"/>
    </x:font>
    <x:font>
      <x:b/>
      <x:sz val="11"/>
      <x:color rgb="FF0B4F6C"/>
      <x:name val="Arial"/>
    </x:font>
  </x:fonts>
  <x:fills count="7">
    <x:fill>
      <x:patternFill patternType="none"/>
    </x:fill>
    <x:fill>
      <x:patternFill patternType="lightGray"/>
    </x:fill>
    <x:fill>
      <x:patternFill patternType="solid">
        <x:fgColor rgb="FF174B64"/>
      </x:patternFill>
    </x:fill>
    <x:fill>
      <x:patternFill patternType="solid">
        <x:fgColor rgb="FF425D90"/>
      </x:patternFill>
    </x:fill>
    <x:fill>
      <x:patternFill patternType="solid">
        <x:fgColor rgb="FFE8EEF3"/>
      </x:patternFill>
    </x:fill>
    <x:fill>
      <x:patternFill patternType="solid">
        <x:fgColor rgb="FF0B4F6C"/>
      </x:patternFill>
    </x:fill>
    <x:fill>
      <x:patternFill patternType="solid">
        <x:fgColor rgb="FFD9EAF2"/>
      </x:patternFill>
    </x:fill>
  </x:fills>
  <x:borders count="2">
    <x:border/>
    <x:border>
      <x:left style="thin">
        <x:color rgb="FF73777E"/>
      </x:left>
      <x:right style="thin">
        <x:color rgb="FF73777E"/>
      </x:right>
      <x:top style="thin">
        <x:color rgb="FF73777E"/>
      </x:top>
      <x:bottom style="thin">
        <x:color rgb="FF73777E"/>
      </x:bottom>
    </x:border>
  </x:borders>
  <x:cellStyleXfs count="1">
    <x:xf numFmtId="0" fontId="0" fillId="0" borderId="0" applyFont="1" applyAlignment="1"/>
  </x:cellStyleXfs>
  <x:cellXfs count="67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center" vertical="top"/>
    </x:xf>
    <x:xf numFmtId="0" fontId="2" fillId="2" borderId="0" xfId="0" applyFont="1" applyFill="1" applyAlignment="1"/>
    <x:xf numFmtId="0" fontId="3" fillId="0" borderId="0" xfId="0" applyFont="1" applyAlignment="1"/>
    <x:xf numFmtId="0" fontId="1" fillId="0" borderId="0" xfId="0" applyFont="1" applyAlignment="1">
      <x:alignment horizontal="left" vertical="bottom" wrapText="0"/>
    </x:xf>
    <x:xf numFmtId="3" fontId="1" fillId="0" borderId="0" xfId="0" applyNumberFormat="1" applyFont="1" applyAlignment="1">
      <x:alignment horizontal="left" vertical="bottom" wrapText="0"/>
    </x:xf>
    <x:xf numFmtId="0" fontId="4" fillId="0" borderId="0" xfId="0" applyFont="1" applyAlignment="1"/>
    <x:xf numFmtId="0" fontId="5" fillId="0" borderId="0" xfId="0" applyFont="1" applyAlignment="1"/>
    <x:xf numFmtId="0" fontId="2" fillId="3" borderId="1" xfId="0" applyFont="1" applyFill="1" applyBorder="1" applyAlignment="1">
      <x:alignment horizontal="center" vertical="center"/>
    </x:xf>
    <x:xf numFmtId="0" fontId="6" fillId="3" borderId="1" xfId="0" applyFont="1" applyFill="1" applyBorder="1" applyAlignment="1"/>
    <x:xf numFmtId="0" fontId="5" fillId="0" borderId="0" xfId="0" applyFont="1" applyAlignment="1"/>
    <x:xf numFmtId="0" fontId="6" fillId="3" borderId="1" xfId="0" applyFont="1" applyFill="1" applyBorder="1"/>
    <x:xf numFmtId="164" fontId="5" fillId="0" borderId="0" xfId="0" applyNumberFormat="1" applyFont="1" applyAlignment="1"/>
    <x:xf numFmtId="0" fontId="2" fillId="3" borderId="1" xfId="0" applyFont="1" applyFill="1" applyBorder="1" applyAlignment="1"/>
    <x:xf numFmtId="2" fontId="5" fillId="0" borderId="0" xfId="0" applyNumberFormat="1" applyFont="1" applyAlignment="1"/>
    <x:xf numFmtId="0" fontId="2" fillId="3" borderId="0" xfId="0" applyFont="1" applyFill="1" applyAlignment="1"/>
    <x:xf numFmtId="3" fontId="3" fillId="0" borderId="0" xfId="0" applyNumberFormat="1" applyFont="1"/>
    <x:xf numFmtId="0" fontId="2" fillId="3" borderId="0" xfId="0" applyFont="1" applyFill="1"/>
    <x:xf numFmtId="0" fontId="7" fillId="0" borderId="1" xfId="0" applyFont="1" applyBorder="1" applyAlignment="1">
      <x:alignment vertical="top" wrapText="1"/>
    </x:xf>
    <x:xf numFmtId="165" fontId="7" fillId="0" borderId="1" xfId="0" applyNumberFormat="1" applyFont="1" applyBorder="1" applyAlignment="1">
      <x:alignment vertical="top" wrapText="1"/>
    </x:xf>
    <x:xf numFmtId="3" fontId="7" fillId="0" borderId="1" xfId="0" applyNumberFormat="1" applyFont="1" applyBorder="1" applyAlignment="1">
      <x:alignment vertical="top" wrapText="1"/>
    </x:xf>
    <x:xf numFmtId="3" fontId="8" fillId="0" borderId="1" xfId="0" applyNumberFormat="1" applyFont="1" applyBorder="1"/>
    <x:xf numFmtId="3" fontId="7" fillId="0" borderId="1" xfId="0" applyNumberFormat="1" applyFont="1" applyBorder="1" applyAlignment="1"/>
    <x:xf numFmtId="0" fontId="7" fillId="0" borderId="1" xfId="0" applyFont="1" applyBorder="1" applyAlignment="1"/>
    <x:xf numFmtId="0" fontId="7" fillId="0" borderId="0" xfId="0" applyFont="1" applyAlignment="1">
      <x:alignment wrapText="1"/>
    </x:xf>
    <x:xf numFmtId="166" fontId="7" fillId="0" borderId="0" xfId="0" applyNumberFormat="1" applyFont="1" applyAlignment="1"/>
    <x:xf numFmtId="0" fontId="9" fillId="0" borderId="0" xfId="0" applyFont="1" applyAlignment="1"/>
    <x:xf numFmtId="0" fontId="10" fillId="0" borderId="1" xfId="0" applyFont="1" applyBorder="1" applyAlignment="1"/>
    <x:xf numFmtId="0" fontId="11" fillId="0" borderId="0" xfId="0" applyFont="1" applyAlignment="1"/>
    <x:xf numFmtId="3" fontId="10" fillId="0" borderId="1" xfId="0" applyNumberFormat="1" applyFont="1" applyBorder="1"/>
    <x:xf numFmtId="0" fontId="7" fillId="0" borderId="0" xfId="0" applyFont="1"/>
    <x:xf numFmtId="0" fontId="10" fillId="0" borderId="1" xfId="0" applyFont="1" applyBorder="1"/>
    <x:xf numFmtId="0" fontId="1" fillId="0" borderId="0" xfId="0" applyFont="1" applyAlignment="1">
      <x:alignment vertical="bottom" wrapText="0"/>
    </x:xf>
    <x:xf numFmtId="0" fontId="12" fillId="0" borderId="0" xfId="0" applyFont="1" applyAlignment="1">
      <x:alignment vertical="bottom" wrapText="0"/>
    </x:xf>
    <x:xf numFmtId="0" fontId="13" fillId="0" borderId="0" xfId="0" applyFont="1" applyAlignment="1">
      <x:alignment horizontal="left" vertical="bottom" wrapText="0"/>
    </x:xf>
    <x:xf numFmtId="0" fontId="14" fillId="0" borderId="0" xfId="0" applyFont="1" applyAlignment="1">
      <x:alignment horizontal="left" vertical="bottom" wrapText="0"/>
    </x:xf>
    <x:xf numFmtId="0" fontId="15" fillId="0" borderId="0" xfId="0" applyFont="1" applyAlignment="1">
      <x:alignment vertical="top" wrapText="1"/>
    </x:xf>
    <x:xf numFmtId="165" fontId="15" fillId="0" borderId="0" xfId="0" applyNumberFormat="1" applyFont="1" applyAlignment="1">
      <x:alignment vertical="top" wrapText="1"/>
    </x:xf>
    <x:xf numFmtId="3" fontId="15" fillId="0" borderId="0" xfId="0" applyNumberFormat="1" applyFont="1" applyAlignment="1">
      <x:alignment vertical="top" wrapText="1"/>
    </x:xf>
    <x:xf numFmtId="3" fontId="5" fillId="0" borderId="0" xfId="0" applyNumberFormat="1" applyFont="1" applyAlignment="1"/>
    <x:xf numFmtId="166" fontId="5" fillId="0" borderId="0" xfId="0" applyNumberFormat="1" applyFont="1" applyAlignment="1"/>
    <x:xf numFmtId="0" fontId="5" fillId="0" borderId="0" xfId="0" applyFont="1"/>
    <x:xf numFmtId="0" fontId="16" fillId="0" borderId="0" xfId="0" applyFont="1" applyAlignment="1"/>
    <x:xf numFmtId="0" fontId="16" fillId="4" borderId="0" xfId="0" applyFont="1" applyFill="1" applyAlignment="1"/>
    <x:xf numFmtId="0" fontId="15" fillId="0" borderId="0" xfId="0" applyFont="1" applyAlignment="1">
      <x:alignment vertical="top" wrapText="1"/>
    </x:xf>
    <x:xf numFmtId="3" fontId="15" fillId="0" borderId="0" xfId="0" applyNumberFormat="1" applyFont="1" applyAlignment="1">
      <x:alignment vertical="top" wrapText="1"/>
    </x:xf>
    <x:xf numFmtId="3" fontId="5" fillId="0" borderId="0" xfId="0" applyNumberFormat="1" applyFont="1"/>
    <x:xf numFmtId="0" fontId="17" fillId="4" borderId="0" xfId="0" applyFont="1" applyFill="1" applyAlignment="1"/>
    <x:xf numFmtId="0" fontId="18" fillId="0" borderId="0" xfId="0" applyFont="1"/>
    <x:xf numFmtId="167" fontId="18" fillId="0" borderId="0" xfId="0" applyNumberFormat="1" applyFont="1"/>
    <x:xf numFmtId="0" fontId="18" fillId="0" borderId="0" xfId="0" applyFont="1" applyAlignment="1"/>
    <x:xf numFmtId="167" fontId="18" fillId="0" borderId="0" xfId="0" applyNumberFormat="1" applyFont="1" applyAlignment="1"/>
    <x:xf numFmtId="0" fontId="19" fillId="0" borderId="0" xfId="0" applyFont="1" applyAlignment="1"/>
    <x:xf numFmtId="0" fontId="20" fillId="0" borderId="0" xfId="0" applyFont="1" applyAlignment="1"/>
    <x:xf numFmtId="0" fontId="0" fillId="5" borderId="0" xfId="0" applyNumberFormat="1" applyFont="1" applyFill="1" applyBorder="1" applyAlignment="1">
      <x:alignment vertical="bottom" wrapText="0"/>
    </x:xf>
    <x:xf numFmtId="0" fontId="21" fillId="5" borderId="0" xfId="0" applyNumberFormat="1" applyFont="1" applyFill="1" applyBorder="1" applyAlignment="1">
      <x:alignment vertical="bottom" wrapText="0"/>
    </x:xf>
    <x:xf numFmtId="0" fontId="21" fillId="5" borderId="0" xfId="0" applyNumberFormat="1" applyFont="1" applyFill="1" applyBorder="1" applyAlignment="1">
      <x:alignment horizontal="center" vertical="bottom" wrapText="0"/>
    </x:xf>
    <x:xf numFmtId="0" fontId="21" fillId="5" borderId="0" xfId="0" applyNumberFormat="1" applyFont="1" applyFill="1" applyBorder="1" applyAlignment="1">
      <x:alignment horizontal="center" vertical="center" wrapText="0"/>
    </x:xf>
    <x:xf numFmtId="0" fontId="0" fillId="6" borderId="0" xfId="0" applyNumberFormat="1" applyFont="1" applyFill="1" applyBorder="1" applyAlignment="1">
      <x:alignment vertical="bottom" wrapText="0"/>
    </x:xf>
    <x:xf numFmtId="0" fontId="22" fillId="6" borderId="0" xfId="0" applyNumberFormat="1" applyFont="1" applyFill="1" applyBorder="1" applyAlignment="1">
      <x:alignment vertical="bottom" wrapText="0"/>
    </x:xf>
    <x:xf numFmtId="0" fontId="14" fillId="0" borderId="0" xfId="0" applyNumberFormat="1" applyFont="1" applyFill="1" applyBorder="1" applyAlignment="1">
      <x:alignment vertical="bottom" wrapText="0"/>
    </x:xf>
    <x:xf numFmtId="0" fontId="23" fillId="6" borderId="0" xfId="0" applyNumberFormat="1" applyFont="1" applyFill="1" applyBorder="1" applyAlignment="1">
      <x:alignment vertical="bottom" wrapText="0"/>
    </x:xf>
    <x:xf numFmtId="0" fontId="21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22" fillId="6" borderId="0" xfId="0" applyNumberFormat="1" applyFont="1" applyFill="1" applyBorder="1" applyAlignment="1">
      <x:alignment vertical="bottom" wrapText="1"/>
    </x:xf>
    <x:xf numFmtId="0" fontId="14" fillId="0" borderId="0" xfId="0" applyNumberFormat="1" applyFont="1" applyFill="1" applyBorder="1" applyAlignment="1">
      <x:alignment vertical="bottom" wrapText="1"/>
    </x:xf>
    <x:xf numFmtId="0" fontId="23" fillId="6" borderId="0" xfId="0" applyNumberFormat="1" applyFont="1" applyFill="1" applyBorder="1" applyAlignment="1">
      <x:alignment vertical="bottom" wrapText="1"/>
    </x:xf>
  </x:cellXfs>
  <x:cellStyles count="1">
    <x:cellStyle name="Normal" xfId="0"/>
  </x:cellStyles>
  <x:dxfs count="4">
    <x:dxf>
      <x:fill>
        <x:patternFill patternType="none"/>
      </x:fill>
      <x:border/>
    </x:dxf>
    <x:dxf>
      <x:fill>
        <x:patternFill>
          <x:bgColor rgb="FFFFF7F5"/>
        </x:patternFill>
      </x:fill>
      <x:border/>
    </x:dxf>
    <x:dxf>
      <x:fill>
        <x:patternFill>
          <x:bgColor rgb="FFFFFFFF"/>
        </x:patternFill>
      </x:fill>
      <x:border/>
    </x:dxf>
    <x:dxf>
      <x:fill>
        <x:patternFill>
          <x:bgColor rgb="FFF9F9FF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f49e9694b94e7b" /><Relationship Type="http://schemas.openxmlformats.org/officeDocument/2006/relationships/theme" Target="/xl/theme/theme1.xml" Id="R7de159a885bc4ae7" /><Relationship Type="http://schemas.openxmlformats.org/officeDocument/2006/relationships/sharedStrings" Target="/xl/sharedStrings.xml" Id="Re5f96929ff6042b4" /><Relationship Type="http://schemas.openxmlformats.org/officeDocument/2006/relationships/worksheet" Target="/xl/worksheets/sheet1.xml" Id="Ra260e9c6f8b7435e" /><Relationship Type="http://schemas.openxmlformats.org/officeDocument/2006/relationships/worksheet" Target="/xl/worksheets/sheet2.xml" Id="R02fec7c903104bc4" /><Relationship Type="http://schemas.openxmlformats.org/officeDocument/2006/relationships/worksheet" Target="/xl/worksheets/sheet3.xml" Id="Rf1ae2597cc2b462a" /><Relationship Type="http://schemas.openxmlformats.org/officeDocument/2006/relationships/worksheet" Target="/xl/worksheets/sheet4.xml" Id="R7c37799cd1d24b27" /><Relationship Type="http://schemas.openxmlformats.org/officeDocument/2006/relationships/worksheet" Target="/xl/worksheets/sheet5.xml" Id="Rcc0c7b4bcd0a4c93" /><Relationship Type="http://schemas.openxmlformats.org/officeDocument/2006/relationships/worksheet" Target="/xl/worksheets/sheet6.xml" Id="Rc6fe9a25d85c4a8f" /><Relationship Type="http://schemas.openxmlformats.org/officeDocument/2006/relationships/worksheet" Target="/xl/worksheets/sheet7.xml" Id="R1574c44663b64879" /></Relationships>
</file>

<file path=xl/tables/table1.xml><?xml version="1.0" encoding="utf-8"?>
<x:table xmlns:x="http://schemas.openxmlformats.org/spreadsheetml/2006/main" id="2" name="Table_1" displayName="Table_1" ref="A2:I1000" headerRowCount="0">
  <x:tableColumns count="9">
    <x:tableColumn id="1" name="Column1"/>
    <x:tableColumn id="2" name="Column2"/>
    <x:tableColumn id="3" name="Column3"/>
    <x:tableColumn id="4" name="Column4"/>
    <x:tableColumn id="5" name="Column5"/>
    <x:tableColumn id="6" name="Column6"/>
    <x:tableColumn id="7" name="Column7"/>
    <x:tableColumn id="8" name="Column8"/>
    <x:tableColumn id="9" name="Column9"/>
  </x:tableColumns>
  <x:tableStyleInfo name="Disaster_DB-style" showFirstColumn="1" showLastColumn="1" showRowStripes="1" showColumnStripes="0"/>
</x:table>
</file>

<file path=xl/tables/table2.xml><?xml version="1.0" encoding="utf-8"?>
<x:table xmlns:x="http://schemas.openxmlformats.org/spreadsheetml/2006/main" id="1" name="Table_2" displayName="Table_2" ref="B8:F12" headerRowCount="0">
  <x:tableColumns count="5">
    <x:tableColumn id="1" name="Column1"/>
    <x:tableColumn id="2" name="Column2"/>
    <x:tableColumn id="3" name="Column3"/>
    <x:tableColumn id="4" name="Column4"/>
    <x:tableColumn id="5" name="Column5"/>
  </x:tableColumns>
  <x:tableStyleInfo name="Dashboard-style" showFirstColumn="1" showLastColumn="1" showRowStripes="1" showColumnStripes="0"/>
</x:table>
</file>

<file path=xl/tables/table3.xml><?xml version="1.0" encoding="utf-8"?>
<x:table xmlns:x="http://schemas.openxmlformats.org/spreadsheetml/2006/main" id="3" name="Table_3" displayName="Table_3" ref="H8:I12" headerRowCount="0">
  <x:tableColumns count="2">
    <x:tableColumn id="1" name="Column1"/>
    <x:tableColumn id="2" name="Column2"/>
  </x:tableColumns>
  <x:tableStyleInfo name="Dashboard-style 2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backofficeminisite.disaster.go.th/apiv1/apps/minisite_directing/194/content/8728/download?filename=5d20575fa6cbe9d1e5a046aeef36e7a3.pdf" TargetMode="External" Id="R79ac0d8de61c4c97" /><Relationship Type="http://schemas.openxmlformats.org/officeDocument/2006/relationships/hyperlink" Target="https://backofficeminisite.disaster.go.th/apiv1/apps/minisite_directing/194/content/8728/download?filename=5d20575fa6cbe9d1e5a046aeef36e7a3.pdf" TargetMode="External" Id="R3355bf26e52a418f" /><Relationship Type="http://schemas.openxmlformats.org/officeDocument/2006/relationships/hyperlink" Target="https://backofficeminisite.disaster.go.th/apiv1/apps/minisite_directing/194/content/8728/download?filename=5d20575fa6cbe9d1e5a046aeef36e7a3.pdf" TargetMode="External" Id="Rac344c465ccb446b" /><Relationship Type="http://schemas.openxmlformats.org/officeDocument/2006/relationships/hyperlink" Target="https://backofficeminisite.disaster.go.th/apiv1/apps/minisite_directing/194/content/8728/download?filename=5d20575fa6cbe9d1e5a046aeef36e7a3.pdf" TargetMode="External" Id="R496e8f72c92848c2" /><Relationship Type="http://schemas.openxmlformats.org/officeDocument/2006/relationships/hyperlink" Target="https://backofficeminisite.disaster.go.th/apiv1/apps/minisite_directing/194/content/8728/download?filename=5d20575fa6cbe9d1e5a046aeef36e7a3.pdf" TargetMode="External" Id="R8e315ede1c5445c9" /><Relationship Type="http://schemas.openxmlformats.org/officeDocument/2006/relationships/hyperlink" Target="https://backofficeminisite.disaster.go.th/apiv1/apps/minisite_directing/194/content/8728/download?filename=5d20575fa6cbe9d1e5a046aeef36e7a3.pdf" TargetMode="External" Id="R6dcb80dcdcc24125" /><Relationship Type="http://schemas.openxmlformats.org/officeDocument/2006/relationships/hyperlink" Target="https://backofficeminisite.disaster.go.th/apiv1/apps/minisite_directing/194/content/8728/download?filename=5d20575fa6cbe9d1e5a046aeef36e7a3.pdf" TargetMode="External" Id="Rc5f8879252144aaa" /><Relationship Type="http://schemas.openxmlformats.org/officeDocument/2006/relationships/hyperlink" Target="https://backofficeminisite.disaster.go.th/apiv1/apps/minisite_directing/194/content/8728/download?filename=5d20575fa6cbe9d1e5a046aeef36e7a3.pdf" TargetMode="External" Id="R5b72bae3128f4ce6" /><Relationship Type="http://schemas.openxmlformats.org/officeDocument/2006/relationships/hyperlink" Target="https://backofficeminisite.disaster.go.th/apiv1/apps/minisite_directing/194/content/8728/download?filename=5d20575fa6cbe9d1e5a046aeef36e7a3.pdf" TargetMode="External" Id="R734532bfb57c4b2b" /><Relationship Type="http://schemas.openxmlformats.org/officeDocument/2006/relationships/hyperlink" Target="https://backofficeminisite.disaster.go.th/apiv1/apps/minisite_directing/194/content/8728/download?filename=5d20575fa6cbe9d1e5a046aeef36e7a3.pdf" TargetMode="External" Id="R5648faed3c1a4081" /><Relationship Type="http://schemas.openxmlformats.org/officeDocument/2006/relationships/hyperlink" Target="https://backofficeminisite.disaster.go.th/apiv1/apps/minisite_directing/194/content/8728/download?filename=5d20575fa6cbe9d1e5a046aeef36e7a3.pdf" TargetMode="External" Id="R95808965d60c41ad" /><Relationship Type="http://schemas.openxmlformats.org/officeDocument/2006/relationships/hyperlink" Target="https://backofficeminisite.disaster.go.th/apiv1/apps/minisite_directing/194/content/8728/download?filename=5d20575fa6cbe9d1e5a046aeef36e7a3.pdf" TargetMode="External" Id="R3ce1f2690c80497d" /><Relationship Type="http://schemas.openxmlformats.org/officeDocument/2006/relationships/hyperlink" Target="https://backofficeminisite.disaster.go.th/apiv1/apps/minisite_directing/194/content/8728/download?filename=5d20575fa6cbe9d1e5a046aeef36e7a3.pdf" TargetMode="External" Id="R841401acb3614f50" /><Relationship Type="http://schemas.openxmlformats.org/officeDocument/2006/relationships/hyperlink" Target="https://backofficeminisite.disaster.go.th/apiv1/apps/minisite_directing/194/content/8728/download?filename=5d20575fa6cbe9d1e5a046aeef36e7a3.pdf" TargetMode="External" Id="Rf140b211277a4b22" /><Relationship Type="http://schemas.openxmlformats.org/officeDocument/2006/relationships/hyperlink" Target="https://backofficeminisite.disaster.go.th/apiv1/apps/minisite_directing/194/content/8728/download?filename=5d20575fa6cbe9d1e5a046aeef36e7a3.pdf" TargetMode="External" Id="R5683e9dee0534a69" /><Relationship Type="http://schemas.openxmlformats.org/officeDocument/2006/relationships/hyperlink" Target="https://backofficeminisite.disaster.go.th/apiv1/apps/minisite_directing/194/content/8728/download?filename=5d20575fa6cbe9d1e5a046aeef36e7a3.pdf" TargetMode="External" Id="Rf5c132ec4b7c4fe5" /><Relationship Type="http://schemas.openxmlformats.org/officeDocument/2006/relationships/hyperlink" Target="https://backofficeminisite.disaster.go.th/apiv1/apps/minisite_directing/194/content/8728/download?filename=5d20575fa6cbe9d1e5a046aeef36e7a3.pdf" TargetMode="External" Id="R3eec6ff931644112" /><Relationship Type="http://schemas.openxmlformats.org/officeDocument/2006/relationships/hyperlink" Target="https://backofficeminisite.disaster.go.th/apiv1/apps/minisite_directing/194/content/8728/download?filename=5d20575fa6cbe9d1e5a046aeef36e7a3.pdf" TargetMode="External" Id="R3c57c8cd95ae4644" /><Relationship Type="http://schemas.openxmlformats.org/officeDocument/2006/relationships/hyperlink" Target="https://backofficeminisite.disaster.go.th/apiv1/apps/minisite_directing/194/content/8728/download?filename=5d20575fa6cbe9d1e5a046aeef36e7a3.pdf" TargetMode="External" Id="Recb7adc048714f7a" /><Relationship Type="http://schemas.openxmlformats.org/officeDocument/2006/relationships/hyperlink" Target="https://backofficeminisite.disaster.go.th/apiv1/apps/minisite_directing/194/content/8728/download?filename=5d20575fa6cbe9d1e5a046aeef36e7a3.pdf" TargetMode="External" Id="R2a63bf3f8b8e48d1" /><Relationship Type="http://schemas.openxmlformats.org/officeDocument/2006/relationships/hyperlink" Target="https://backofficeminisite.disaster.go.th/apiv1/apps/minisite_directing/194/content/8728/download?filename=5d20575fa6cbe9d1e5a046aeef36e7a3.pdf" TargetMode="External" Id="R4b558b4c63f649fa" /><Relationship Type="http://schemas.openxmlformats.org/officeDocument/2006/relationships/hyperlink" Target="https://backofficeminisite.disaster.go.th/apiv1/apps/minisite_directing/194/content/8728/download?filename=5d20575fa6cbe9d1e5a046aeef36e7a3.pdf" TargetMode="External" Id="R710ab9dacab64ced" /><Relationship Type="http://schemas.openxmlformats.org/officeDocument/2006/relationships/hyperlink" Target="https://backofficeminisite.disaster.go.th/apiv1/apps/minisite_directing/194/content/8728/download?filename=5d20575fa6cbe9d1e5a046aeef36e7a3.pdf" TargetMode="External" Id="Rb25296a29f204667" /><Relationship Type="http://schemas.openxmlformats.org/officeDocument/2006/relationships/hyperlink" Target="https://backofficeminisite.disaster.go.th/apiv1/apps/minisite_directing/194/content/8728/download?filename=5d20575fa6cbe9d1e5a046aeef36e7a3.pdf" TargetMode="External" Id="R68bfbd734c564316" /><Relationship Type="http://schemas.openxmlformats.org/officeDocument/2006/relationships/hyperlink" Target="https://backofficeminisite.disaster.go.th/apiv1/apps/minisite_directing/194/content/8728/download?filename=5d20575fa6cbe9d1e5a046aeef36e7a3.pdf" TargetMode="External" Id="Rbd4876a180bc43d4" /><Relationship Type="http://schemas.openxmlformats.org/officeDocument/2006/relationships/hyperlink" Target="https://backofficeminisite.disaster.go.th/apiv1/apps/minisite_directing/194/content/8728/download?filename=5d20575fa6cbe9d1e5a046aeef36e7a3.pdf" TargetMode="External" Id="R3c247b1c05ab4c21" /><Relationship Type="http://schemas.openxmlformats.org/officeDocument/2006/relationships/hyperlink" Target="https://backofficeminisite.disaster.go.th/apiv1/apps/minisite_directing/194/content/8728/download?filename=5d20575fa6cbe9d1e5a046aeef36e7a3.pdf" TargetMode="External" Id="R0d58cbf03b5f439c" /><Relationship Type="http://schemas.openxmlformats.org/officeDocument/2006/relationships/hyperlink" Target="https://backofficeminisite.disaster.go.th/apiv1/apps/minisite_directing/194/content/8728/download?filename=5d20575fa6cbe9d1e5a046aeef36e7a3.pdf" TargetMode="External" Id="Rf0ff5a11320f46ed" /><Relationship Type="http://schemas.openxmlformats.org/officeDocument/2006/relationships/hyperlink" Target="https://backofficeminisite.disaster.go.th/apiv1/apps/minisite_directing/194/content/8728/download?filename=5d20575fa6cbe9d1e5a046aeef36e7a3.pdf" TargetMode="External" Id="Rf801cf639a8445ad" /><Relationship Type="http://schemas.openxmlformats.org/officeDocument/2006/relationships/hyperlink" Target="https://backofficeminisite.disaster.go.th/apiv1/apps/minisite_directing/194/content/8728/download?filename=5d20575fa6cbe9d1e5a046aeef36e7a3.pdf" TargetMode="External" Id="Rae538ac54df04250" /><Relationship Type="http://schemas.openxmlformats.org/officeDocument/2006/relationships/hyperlink" Target="https://backofficeminisite.disaster.go.th/apiv1/apps/minisite_directing/194/content/8728/download?filename=5d20575fa6cbe9d1e5a046aeef36e7a3.pdf" TargetMode="External" Id="R153aec3bbffc451f" /><Relationship Type="http://schemas.openxmlformats.org/officeDocument/2006/relationships/hyperlink" Target="https://backofficeminisite.disaster.go.th/apiv1/apps/minisite_directing/194/content/8728/download?filename=5d20575fa6cbe9d1e5a046aeef36e7a3.pdf" TargetMode="External" Id="R780ef79de67a4432" /><Relationship Type="http://schemas.openxmlformats.org/officeDocument/2006/relationships/table" Target="/xl/tables/table1.xml" Id="R622ebfa131254d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ce03edf035d4483" /><Relationship Type="http://schemas.openxmlformats.org/officeDocument/2006/relationships/table" Target="/xl/tables/table3.xml" Id="R36341104d61a41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hyperlink" Target="https://api-v3.thaiwater.net/api/v1/thaiwater30/public/canal_waterlevel" TargetMode="External" Id="R0add13292ccb49ff" /><Relationship Type="http://schemas.openxmlformats.org/officeDocument/2006/relationships/hyperlink" Target="https://api-v3.thaiwater.net/api/v1/thaiwater30/public/canal_waterlevel" TargetMode="External" Id="Rff73486c816647db" /><Relationship Type="http://schemas.openxmlformats.org/officeDocument/2006/relationships/hyperlink" Target="https://api-v3.thaiwater.net/api/v1/thaiwater30/public/canal_waterlevel" TargetMode="External" Id="Rcb6fca1adcd84f44" /><Relationship Type="http://schemas.openxmlformats.org/officeDocument/2006/relationships/hyperlink" Target="https://api-v3.thaiwater.net/api/v1/thaiwater30/public/canal_waterlevel" TargetMode="External" Id="Rca662267a3fe4415" /><Relationship Type="http://schemas.openxmlformats.org/officeDocument/2006/relationships/hyperlink" Target="https://api-v3.thaiwater.net/api/v1/thaiwater30/public/canal_waterlevel" TargetMode="External" Id="R313c84c1f43b447f" /><Relationship Type="http://schemas.openxmlformats.org/officeDocument/2006/relationships/hyperlink" Target="https://api-v3.thaiwater.net/api/v1/thaiwater30/public/canal_waterlevel" TargetMode="External" Id="R1259de50b4614fa6" /><Relationship Type="http://schemas.openxmlformats.org/officeDocument/2006/relationships/hyperlink" Target="https://api-v3.thaiwater.net/api/v1/thaiwater30/public/canal_waterlevel" TargetMode="External" Id="R123c509ba9724d97" /><Relationship Type="http://schemas.openxmlformats.org/officeDocument/2006/relationships/hyperlink" Target="https://api-v3.thaiwater.net/api/v1/thaiwater30/public/canal_waterlevel" TargetMode="External" Id="R4983b6b116f1429c" /><Relationship Type="http://schemas.openxmlformats.org/officeDocument/2006/relationships/hyperlink" Target="https://api-v3.thaiwater.net/api/v1/thaiwater30/public/canal_waterlevel" TargetMode="External" Id="R4f9a0e4d6c684773" /><Relationship Type="http://schemas.openxmlformats.org/officeDocument/2006/relationships/hyperlink" Target="https://api-v3.thaiwater.net/api/v1/thaiwater30/public/canal_waterlevel" TargetMode="External" Id="R88e68b2ef2364c4b" /><Relationship Type="http://schemas.openxmlformats.org/officeDocument/2006/relationships/hyperlink" Target="https://api-v3.thaiwater.net/api/v1/thaiwater30/public/canal_waterlevel" TargetMode="External" Id="R8b827076a00b4f68" /><Relationship Type="http://schemas.openxmlformats.org/officeDocument/2006/relationships/hyperlink" Target="https://api-v3.thaiwater.net/api/v1/thaiwater30/public/canal_waterlevel" TargetMode="External" Id="R38f5e4c3b0504d15" /><Relationship Type="http://schemas.openxmlformats.org/officeDocument/2006/relationships/hyperlink" Target="https://api-v3.thaiwater.net/api/v1/thaiwater30/public/canal_waterlevel" TargetMode="External" Id="Ra49ae7928b664ffd" /><Relationship Type="http://schemas.openxmlformats.org/officeDocument/2006/relationships/hyperlink" Target="https://api-v3.thaiwater.net/api/v1/thaiwater30/public/canal_waterlevel" TargetMode="External" Id="R63a3facf42d84f4d" /><Relationship Type="http://schemas.openxmlformats.org/officeDocument/2006/relationships/hyperlink" Target="https://api-v3.thaiwater.net/api/v1/thaiwater30/public/canal_waterlevel" TargetMode="External" Id="Rdf990d679cf34aaa" /><Relationship Type="http://schemas.openxmlformats.org/officeDocument/2006/relationships/hyperlink" Target="https://api-v3.thaiwater.net/api/v1/thaiwater30/public/canal_waterlevel" TargetMode="External" Id="Rb1252ced650542e0" /><Relationship Type="http://schemas.openxmlformats.org/officeDocument/2006/relationships/hyperlink" Target="https://api-v3.thaiwater.net/api/v1/thaiwater30/public/canal_waterlevel" TargetMode="External" Id="R70e302d3b8b14f95" /><Relationship Type="http://schemas.openxmlformats.org/officeDocument/2006/relationships/hyperlink" Target="https://api-v3.thaiwater.net/api/v1/thaiwater30/public/canal_waterlevel" TargetMode="External" Id="Rff6f494d4e4a43a7" /><Relationship Type="http://schemas.openxmlformats.org/officeDocument/2006/relationships/hyperlink" Target="https://api-v3.thaiwater.net/api/v1/thaiwater30/public/canal_waterlevel" TargetMode="External" Id="Re69d9f888a7444a2" /><Relationship Type="http://schemas.openxmlformats.org/officeDocument/2006/relationships/hyperlink" Target="https://api-v3.thaiwater.net/api/v1/thaiwater30/public/canal_waterlevel" TargetMode="External" Id="R4794106535be4532" /><Relationship Type="http://schemas.openxmlformats.org/officeDocument/2006/relationships/hyperlink" Target="https://api-v3.thaiwater.net/api/v1/thaiwater30/public/canal_waterlevel" TargetMode="External" Id="Rf66a89ed1e644a32" /><Relationship Type="http://schemas.openxmlformats.org/officeDocument/2006/relationships/hyperlink" Target="https://api-v3.thaiwater.net/api/v1/thaiwater30/public/canal_waterlevel" TargetMode="External" Id="R321c281203344b6c" /><Relationship Type="http://schemas.openxmlformats.org/officeDocument/2006/relationships/hyperlink" Target="https://api-v3.thaiwater.net/api/v1/thaiwater30/public/canal_waterlevel" TargetMode="External" Id="R9e8fb282a7304fc8" /><Relationship Type="http://schemas.openxmlformats.org/officeDocument/2006/relationships/hyperlink" Target="https://api-v3.thaiwater.net/api/v1/thaiwater30/public/canal_waterlevel" TargetMode="External" Id="R2b7d18690dcd44f7" /><Relationship Type="http://schemas.openxmlformats.org/officeDocument/2006/relationships/hyperlink" Target="https://api-v3.thaiwater.net/api/v1/thaiwater30/public/canal_waterlevel" TargetMode="External" Id="R246d757f878e4bca" /><Relationship Type="http://schemas.openxmlformats.org/officeDocument/2006/relationships/hyperlink" Target="https://api-v3.thaiwater.net/api/v1/thaiwater30/public/canal_waterlevel" TargetMode="External" Id="Ra4cf410027ef42ac" /><Relationship Type="http://schemas.openxmlformats.org/officeDocument/2006/relationships/hyperlink" Target="https://api-v3.thaiwater.net/api/v1/thaiwater30/public/canal_waterlevel" TargetMode="External" Id="R8223787708bf4cb9" /><Relationship Type="http://schemas.openxmlformats.org/officeDocument/2006/relationships/hyperlink" Target="https://api-v3.thaiwater.net/api/v1/thaiwater30/public/canal_waterlevel" TargetMode="External" Id="R8656da6109994926" /><Relationship Type="http://schemas.openxmlformats.org/officeDocument/2006/relationships/hyperlink" Target="https://api-v3.thaiwater.net/api/v1/thaiwater30/public/canal_waterlevel" TargetMode="External" Id="R4227b8c845734a55" /><Relationship Type="http://schemas.openxmlformats.org/officeDocument/2006/relationships/hyperlink" Target="https://api-v3.thaiwater.net/api/v1/thaiwater30/public/canal_waterlevel" TargetMode="External" Id="R55287e2560ba490b" /><Relationship Type="http://schemas.openxmlformats.org/officeDocument/2006/relationships/hyperlink" Target="https://api-v3.thaiwater.net/api/v1/thaiwater30/public/canal_waterlevel" TargetMode="External" Id="R80fb923963f04034" /><Relationship Type="http://schemas.openxmlformats.org/officeDocument/2006/relationships/hyperlink" Target="https://api-v3.thaiwater.net/api/v1/thaiwater30/public/canal_waterlevel" TargetMode="External" Id="Rb87d5b3af97f4c58" /><Relationship Type="http://schemas.openxmlformats.org/officeDocument/2006/relationships/hyperlink" Target="https://api-v3.thaiwater.net/api/v1/thaiwater30/public/canal_waterlevel" TargetMode="External" Id="R07e38841071d45e2" /><Relationship Type="http://schemas.openxmlformats.org/officeDocument/2006/relationships/hyperlink" Target="https://api-v3.thaiwater.net/api/v1/thaiwater30/public/canal_waterlevel" TargetMode="External" Id="Rc766e9fb74864a83" /><Relationship Type="http://schemas.openxmlformats.org/officeDocument/2006/relationships/hyperlink" Target="https://api-v3.thaiwater.net/api/v1/thaiwater30/public/canal_waterlevel" TargetMode="External" Id="R2d6df67b46a3447b" /><Relationship Type="http://schemas.openxmlformats.org/officeDocument/2006/relationships/hyperlink" Target="https://api-v3.thaiwater.net/api/v1/thaiwater30/public/canal_waterlevel" TargetMode="External" Id="R5d1affaf04ba4711" /><Relationship Type="http://schemas.openxmlformats.org/officeDocument/2006/relationships/hyperlink" Target="https://api-v3.thaiwater.net/api/v1/thaiwater30/public/canal_waterlevel" TargetMode="External" Id="Rbb6a9fcae229434f" /><Relationship Type="http://schemas.openxmlformats.org/officeDocument/2006/relationships/hyperlink" Target="https://api-v3.thaiwater.net/api/v1/thaiwater30/public/canal_waterlevel" TargetMode="External" Id="Rd04247e9546b4092" /><Relationship Type="http://schemas.openxmlformats.org/officeDocument/2006/relationships/hyperlink" Target="https://api-v3.thaiwater.net/api/v1/thaiwater30/public/canal_waterlevel" TargetMode="External" Id="Re589ff3c6c7247dd" /><Relationship Type="http://schemas.openxmlformats.org/officeDocument/2006/relationships/hyperlink" Target="https://api-v3.thaiwater.net/api/v1/thaiwater30/public/canal_waterlevel" TargetMode="External" Id="Rbe107f1546124352" /><Relationship Type="http://schemas.openxmlformats.org/officeDocument/2006/relationships/hyperlink" Target="https://api-v3.thaiwater.net/api/v1/thaiwater30/public/canal_waterlevel" TargetMode="External" Id="Rc2f2d2b6da5e4cb9" /><Relationship Type="http://schemas.openxmlformats.org/officeDocument/2006/relationships/hyperlink" Target="https://api-v3.thaiwater.net/api/v1/thaiwater30/public/canal_waterlevel" TargetMode="External" Id="Rb297b4ceca9c43dc" /><Relationship Type="http://schemas.openxmlformats.org/officeDocument/2006/relationships/hyperlink" Target="https://api-v3.thaiwater.net/api/v1/thaiwater30/public/canal_waterlevel" TargetMode="External" Id="R685f92c8bae84fe6" /><Relationship Type="http://schemas.openxmlformats.org/officeDocument/2006/relationships/hyperlink" Target="https://api-v3.thaiwater.net/api/v1/thaiwater30/public/canal_waterlevel" TargetMode="External" Id="R244bd864e58b40f2" /><Relationship Type="http://schemas.openxmlformats.org/officeDocument/2006/relationships/hyperlink" Target="https://api-v3.thaiwater.net/api/v1/thaiwater30/public/canal_waterlevel" TargetMode="External" Id="R79bf1bc70ed84ecd" /><Relationship Type="http://schemas.openxmlformats.org/officeDocument/2006/relationships/hyperlink" Target="https://api-v3.thaiwater.net/api/v1/thaiwater30/public/canal_waterlevel" TargetMode="External" Id="R5728ce497fa24b6d" /><Relationship Type="http://schemas.openxmlformats.org/officeDocument/2006/relationships/hyperlink" Target="https://api-v3.thaiwater.net/api/v1/thaiwater30/public/canal_waterlevel" TargetMode="External" Id="Rbd46d4798d324600" /><Relationship Type="http://schemas.openxmlformats.org/officeDocument/2006/relationships/hyperlink" Target="https://api-v3.thaiwater.net/api/v1/thaiwater30/public/canal_waterlevel" TargetMode="External" Id="Rb9bd4907249044da" /><Relationship Type="http://schemas.openxmlformats.org/officeDocument/2006/relationships/hyperlink" Target="https://api-v3.thaiwater.net/api/v1/thaiwater30/public/canal_waterlevel" TargetMode="External" Id="R64130244f4874a74" /><Relationship Type="http://schemas.openxmlformats.org/officeDocument/2006/relationships/hyperlink" Target="https://api-v3.thaiwater.net/api/v1/thaiwater30/public/canal_waterlevel" TargetMode="External" Id="Rac599282682e425b" /><Relationship Type="http://schemas.openxmlformats.org/officeDocument/2006/relationships/hyperlink" Target="https://api-v3.thaiwater.net/api/v1/thaiwater30/public/canal_waterlevel" TargetMode="External" Id="R4ba82f6ff41b47c2" /><Relationship Type="http://schemas.openxmlformats.org/officeDocument/2006/relationships/hyperlink" Target="https://api-v3.thaiwater.net/api/v1/thaiwater30/public/canal_waterlevel" TargetMode="External" Id="Rb4df84a14d2f4a30" /><Relationship Type="http://schemas.openxmlformats.org/officeDocument/2006/relationships/hyperlink" Target="https://api-v3.thaiwater.net/api/v1/thaiwater30/public/canal_waterlevel" TargetMode="External" Id="Rec697e1304b74dba" /><Relationship Type="http://schemas.openxmlformats.org/officeDocument/2006/relationships/hyperlink" Target="https://api-v3.thaiwater.net/api/v1/thaiwater30/public/canal_waterlevel" TargetMode="External" Id="Re4380bc636e14d6b" /><Relationship Type="http://schemas.openxmlformats.org/officeDocument/2006/relationships/hyperlink" Target="https://api-v3.thaiwater.net/api/v1/thaiwater30/public/canal_waterlevel" TargetMode="External" Id="Rfc350ba1ed0a4707" /><Relationship Type="http://schemas.openxmlformats.org/officeDocument/2006/relationships/hyperlink" Target="https://api-v3.thaiwater.net/api/v1/thaiwater30/public/canal_waterlevel" TargetMode="External" Id="Ra6540d4b91814eac" /><Relationship Type="http://schemas.openxmlformats.org/officeDocument/2006/relationships/hyperlink" Target="https://api-v3.thaiwater.net/api/v1/thaiwater30/public/canal_waterlevel" TargetMode="External" Id="R35e0fc5df8a54326" /><Relationship Type="http://schemas.openxmlformats.org/officeDocument/2006/relationships/hyperlink" Target="https://api-v3.thaiwater.net/api/v1/thaiwater30/public/canal_waterlevel" TargetMode="External" Id="R112ae4f279164a57" /><Relationship Type="http://schemas.openxmlformats.org/officeDocument/2006/relationships/hyperlink" Target="https://api-v3.thaiwater.net/api/v1/thaiwater30/public/canal_waterlevel" TargetMode="External" Id="Rbebd0b1d14124698" /><Relationship Type="http://schemas.openxmlformats.org/officeDocument/2006/relationships/hyperlink" Target="https://api-v3.thaiwater.net/api/v1/thaiwater30/public/canal_waterlevel" TargetMode="External" Id="Rec24de1bb556471e" /><Relationship Type="http://schemas.openxmlformats.org/officeDocument/2006/relationships/hyperlink" Target="https://api-v3.thaiwater.net/api/v1/thaiwater30/public/canal_waterlevel" TargetMode="External" Id="R450666bc32234781" /><Relationship Type="http://schemas.openxmlformats.org/officeDocument/2006/relationships/hyperlink" Target="https://api-v3.thaiwater.net/api/v1/thaiwater30/public/canal_waterlevel" TargetMode="External" Id="R244dc98ea2c14911" /><Relationship Type="http://schemas.openxmlformats.org/officeDocument/2006/relationships/hyperlink" Target="https://api-v3.thaiwater.net/api/v1/thaiwater30/public/canal_waterlevel" TargetMode="External" Id="R858a0cdf685546ae" /><Relationship Type="http://schemas.openxmlformats.org/officeDocument/2006/relationships/hyperlink" Target="https://api-v3.thaiwater.net/api/v1/thaiwater30/public/canal_waterlevel" TargetMode="External" Id="R3d7d8b064d4a448b" /><Relationship Type="http://schemas.openxmlformats.org/officeDocument/2006/relationships/hyperlink" Target="https://api-v3.thaiwater.net/api/v1/thaiwater30/public/canal_waterlevel" TargetMode="External" Id="R75e9974f4cab432b" /><Relationship Type="http://schemas.openxmlformats.org/officeDocument/2006/relationships/hyperlink" Target="https://api-v3.thaiwater.net/api/v1/thaiwater30/public/canal_waterlevel" TargetMode="External" Id="R4d821ae0cdfe41d5" /><Relationship Type="http://schemas.openxmlformats.org/officeDocument/2006/relationships/hyperlink" Target="https://api-v3.thaiwater.net/api/v1/thaiwater30/public/canal_waterlevel" TargetMode="External" Id="R70827f3ebc1043ac" /><Relationship Type="http://schemas.openxmlformats.org/officeDocument/2006/relationships/hyperlink" Target="https://api-v3.thaiwater.net/api/v1/thaiwater30/public/canal_waterlevel" TargetMode="External" Id="R9791ee26a58e44d3" /><Relationship Type="http://schemas.openxmlformats.org/officeDocument/2006/relationships/hyperlink" Target="https://api-v3.thaiwater.net/api/v1/thaiwater30/public/canal_waterlevel" TargetMode="External" Id="R4ba19fc9967141fd" /><Relationship Type="http://schemas.openxmlformats.org/officeDocument/2006/relationships/hyperlink" Target="https://api-v3.thaiwater.net/api/v1/thaiwater30/public/canal_waterlevel" TargetMode="External" Id="R59fcd4e892d14a25" /><Relationship Type="http://schemas.openxmlformats.org/officeDocument/2006/relationships/hyperlink" Target="https://api-v3.thaiwater.net/api/v1/thaiwater30/public/canal_waterlevel" TargetMode="External" Id="R5498b778e9e44cb7" /><Relationship Type="http://schemas.openxmlformats.org/officeDocument/2006/relationships/hyperlink" Target="https://api-v3.thaiwater.net/api/v1/thaiwater30/public/canal_waterlevel" TargetMode="External" Id="R2061eafa50624923" /><Relationship Type="http://schemas.openxmlformats.org/officeDocument/2006/relationships/hyperlink" Target="https://api-v3.thaiwater.net/api/v1/thaiwater30/public/canal_waterlevel" TargetMode="External" Id="Rebba118f5a9e4233" /><Relationship Type="http://schemas.openxmlformats.org/officeDocument/2006/relationships/hyperlink" Target="https://api-v3.thaiwater.net/api/v1/thaiwater30/public/canal_waterlevel" TargetMode="External" Id="R1189821fb8934f79" /><Relationship Type="http://schemas.openxmlformats.org/officeDocument/2006/relationships/hyperlink" Target="https://api-v3.thaiwater.net/api/v1/thaiwater30/public/canal_waterlevel" TargetMode="External" Id="Re4f076df0c1f4bd6" /><Relationship Type="http://schemas.openxmlformats.org/officeDocument/2006/relationships/hyperlink" Target="https://api-v3.thaiwater.net/api/v1/thaiwater30/public/canal_waterlevel" TargetMode="External" Id="R71ac3bb31fe94d97" /><Relationship Type="http://schemas.openxmlformats.org/officeDocument/2006/relationships/hyperlink" Target="https://api-v3.thaiwater.net/api/v1/thaiwater30/public/canal_waterlevel" TargetMode="External" Id="R53b8f0e55ce54039" /><Relationship Type="http://schemas.openxmlformats.org/officeDocument/2006/relationships/hyperlink" Target="https://api-v3.thaiwater.net/api/v1/thaiwater30/public/canal_waterlevel" TargetMode="External" Id="R461bee59ccdb4017" /><Relationship Type="http://schemas.openxmlformats.org/officeDocument/2006/relationships/hyperlink" Target="https://api-v3.thaiwater.net/api/v1/thaiwater30/public/canal_waterlevel" TargetMode="External" Id="R6f349bcd12ce4cdb" /><Relationship Type="http://schemas.openxmlformats.org/officeDocument/2006/relationships/hyperlink" Target="https://api-v3.thaiwater.net/api/v1/thaiwater30/public/canal_waterlevel" TargetMode="External" Id="R6378fb5d41d44269" /><Relationship Type="http://schemas.openxmlformats.org/officeDocument/2006/relationships/hyperlink" Target="https://api-v3.thaiwater.net/api/v1/thaiwater30/public/canal_waterlevel" TargetMode="External" Id="R283ea900e7344594" /><Relationship Type="http://schemas.openxmlformats.org/officeDocument/2006/relationships/hyperlink" Target="https://api-v3.thaiwater.net/api/v1/thaiwater30/public/canal_waterlevel" TargetMode="External" Id="R518f265a13b3409c" /><Relationship Type="http://schemas.openxmlformats.org/officeDocument/2006/relationships/hyperlink" Target="https://api-v3.thaiwater.net/api/v1/thaiwater30/public/canal_waterlevel" TargetMode="External" Id="Rea6662c2b93a442d" /><Relationship Type="http://schemas.openxmlformats.org/officeDocument/2006/relationships/hyperlink" Target="https://api-v3.thaiwater.net/api/v1/thaiwater30/public/canal_waterlevel" TargetMode="External" Id="R054edde1b14b42b2" /><Relationship Type="http://schemas.openxmlformats.org/officeDocument/2006/relationships/hyperlink" Target="https://api-v3.thaiwater.net/api/v1/thaiwater30/public/canal_waterlevel" TargetMode="External" Id="R1ce2bed34cf74781" /><Relationship Type="http://schemas.openxmlformats.org/officeDocument/2006/relationships/hyperlink" Target="https://api-v3.thaiwater.net/api/v1/thaiwater30/public/canal_waterlevel" TargetMode="External" Id="R6d013e2198ca4d38" /><Relationship Type="http://schemas.openxmlformats.org/officeDocument/2006/relationships/hyperlink" Target="https://api-v3.thaiwater.net/api/v1/thaiwater30/public/canal_waterlevel" TargetMode="External" Id="R18a0da0910164ad3" /><Relationship Type="http://schemas.openxmlformats.org/officeDocument/2006/relationships/hyperlink" Target="https://api-v3.thaiwater.net/api/v1/thaiwater30/public/canal_waterlevel" TargetMode="External" Id="Re6370ff2b8ae49a7" /><Relationship Type="http://schemas.openxmlformats.org/officeDocument/2006/relationships/hyperlink" Target="https://api-v3.thaiwater.net/api/v1/thaiwater30/public/canal_waterlevel" TargetMode="External" Id="R5a09c07039bf4ada" /><Relationship Type="http://schemas.openxmlformats.org/officeDocument/2006/relationships/hyperlink" Target="https://api-v3.thaiwater.net/api/v1/thaiwater30/public/canal_waterlevel" TargetMode="External" Id="Rbc9ac468f8794673" /><Relationship Type="http://schemas.openxmlformats.org/officeDocument/2006/relationships/hyperlink" Target="https://api-v3.thaiwater.net/api/v1/thaiwater30/public/canal_waterlevel" TargetMode="External" Id="R8d50701d6625448e" /><Relationship Type="http://schemas.openxmlformats.org/officeDocument/2006/relationships/hyperlink" Target="https://api-v3.thaiwater.net/api/v1/thaiwater30/public/canal_waterlevel" TargetMode="External" Id="R3f46e3173efe420d" /><Relationship Type="http://schemas.openxmlformats.org/officeDocument/2006/relationships/hyperlink" Target="https://api-v3.thaiwater.net/api/v1/thaiwater30/public/canal_waterlevel" TargetMode="External" Id="R0f36b16ba2ab44ac" /><Relationship Type="http://schemas.openxmlformats.org/officeDocument/2006/relationships/hyperlink" Target="https://api-v3.thaiwater.net/api/v1/thaiwater30/public/canal_waterlevel" TargetMode="External" Id="R0c90b52301024402" /><Relationship Type="http://schemas.openxmlformats.org/officeDocument/2006/relationships/hyperlink" Target="https://api-v3.thaiwater.net/api/v1/thaiwater30/public/canal_waterlevel" TargetMode="External" Id="R2bb7e4f0c8ba40b3" /><Relationship Type="http://schemas.openxmlformats.org/officeDocument/2006/relationships/hyperlink" Target="https://api-v3.thaiwater.net/api/v1/thaiwater30/public/canal_waterlevel" TargetMode="External" Id="Rcc1b7a3f336748df" /><Relationship Type="http://schemas.openxmlformats.org/officeDocument/2006/relationships/hyperlink" Target="https://api-v3.thaiwater.net/api/v1/thaiwater30/public/canal_waterlevel" TargetMode="External" Id="R74ba46ae72ba4582" /><Relationship Type="http://schemas.openxmlformats.org/officeDocument/2006/relationships/hyperlink" Target="https://api-v3.thaiwater.net/api/v1/thaiwater30/public/canal_waterlevel" TargetMode="External" Id="R7c55db2be38c4611" /><Relationship Type="http://schemas.openxmlformats.org/officeDocument/2006/relationships/hyperlink" Target="https://api-v3.thaiwater.net/api/v1/thaiwater30/public/canal_waterlevel" TargetMode="External" Id="Rc47d086627ec493b" /><Relationship Type="http://schemas.openxmlformats.org/officeDocument/2006/relationships/hyperlink" Target="https://api-v3.thaiwater.net/api/v1/thaiwater30/public/canal_waterlevel" TargetMode="External" Id="R11d8617f7d6e400e" /><Relationship Type="http://schemas.openxmlformats.org/officeDocument/2006/relationships/hyperlink" Target="https://api-v3.thaiwater.net/api/v1/thaiwater30/public/canal_waterlevel" TargetMode="External" Id="Rc6fe7d237ebf46aa" /><Relationship Type="http://schemas.openxmlformats.org/officeDocument/2006/relationships/hyperlink" Target="https://api-v3.thaiwater.net/api/v1/thaiwater30/public/canal_waterlevel" TargetMode="External" Id="R3105eb5765f54174" /><Relationship Type="http://schemas.openxmlformats.org/officeDocument/2006/relationships/hyperlink" Target="https://api-v3.thaiwater.net/api/v1/thaiwater30/public/canal_waterlevel" TargetMode="External" Id="R2090d174b73a4605" /><Relationship Type="http://schemas.openxmlformats.org/officeDocument/2006/relationships/hyperlink" Target="https://api-v3.thaiwater.net/api/v1/thaiwater30/public/canal_waterlevel" TargetMode="External" Id="Reeeb1b35ef6547ce" /><Relationship Type="http://schemas.openxmlformats.org/officeDocument/2006/relationships/hyperlink" Target="https://api-v3.thaiwater.net/api/v1/thaiwater30/public/canal_waterlevel" TargetMode="External" Id="Rf356ef3325614a7a" /><Relationship Type="http://schemas.openxmlformats.org/officeDocument/2006/relationships/hyperlink" Target="https://api-v3.thaiwater.net/api/v1/thaiwater30/public/canal_waterlevel" TargetMode="External" Id="R641b7b54e7bd40e3" /><Relationship Type="http://schemas.openxmlformats.org/officeDocument/2006/relationships/hyperlink" Target="https://api-v3.thaiwater.net/api/v1/thaiwater30/public/canal_waterlevel" TargetMode="External" Id="R6f3f1f116f70470d" /><Relationship Type="http://schemas.openxmlformats.org/officeDocument/2006/relationships/hyperlink" Target="https://api-v3.thaiwater.net/api/v1/thaiwater30/public/canal_waterlevel" TargetMode="External" Id="R00ef21415c604e07" /><Relationship Type="http://schemas.openxmlformats.org/officeDocument/2006/relationships/hyperlink" Target="https://api-v3.thaiwater.net/api/v1/thaiwater30/public/canal_waterlevel" TargetMode="External" Id="R9cf1185bd9434dde" /><Relationship Type="http://schemas.openxmlformats.org/officeDocument/2006/relationships/hyperlink" Target="https://api-v3.thaiwater.net/api/v1/thaiwater30/public/canal_waterlevel" TargetMode="External" Id="R0d7e78c8501842a0" /><Relationship Type="http://schemas.openxmlformats.org/officeDocument/2006/relationships/hyperlink" Target="https://api-v3.thaiwater.net/api/v1/thaiwater30/public/canal_waterlevel" TargetMode="External" Id="R369bf6d0d3b84c52" /><Relationship Type="http://schemas.openxmlformats.org/officeDocument/2006/relationships/hyperlink" Target="https://api-v3.thaiwater.net/api/v1/thaiwater30/public/canal_waterlevel" TargetMode="External" Id="R1b697432acd0494b" /><Relationship Type="http://schemas.openxmlformats.org/officeDocument/2006/relationships/hyperlink" Target="https://api-v3.thaiwater.net/api/v1/thaiwater30/public/canal_waterlevel" TargetMode="External" Id="Ra3915e161c924825" /><Relationship Type="http://schemas.openxmlformats.org/officeDocument/2006/relationships/hyperlink" Target="https://api-v3.thaiwater.net/api/v1/thaiwater30/public/canal_waterlevel" TargetMode="External" Id="R0f29dcf58ae34971" /><Relationship Type="http://schemas.openxmlformats.org/officeDocument/2006/relationships/hyperlink" Target="https://api-v3.thaiwater.net/api/v1/thaiwater30/public/canal_waterlevel" TargetMode="External" Id="R29d004c3e0334471" /><Relationship Type="http://schemas.openxmlformats.org/officeDocument/2006/relationships/hyperlink" Target="https://api-v3.thaiwater.net/api/v1/thaiwater30/public/canal_waterlevel" TargetMode="External" Id="R52ebca6ee2a44116" /><Relationship Type="http://schemas.openxmlformats.org/officeDocument/2006/relationships/hyperlink" Target="https://api-v3.thaiwater.net/api/v1/thaiwater30/public/canal_waterlevel" TargetMode="External" Id="R31cbcb0f9b7445a1" /><Relationship Type="http://schemas.openxmlformats.org/officeDocument/2006/relationships/hyperlink" Target="https://api-v3.thaiwater.net/api/v1/thaiwater30/public/canal_waterlevel" TargetMode="External" Id="R324d1221a90d4b61" /><Relationship Type="http://schemas.openxmlformats.org/officeDocument/2006/relationships/hyperlink" Target="https://api-v3.thaiwater.net/api/v1/thaiwater30/public/canal_waterlevel" TargetMode="External" Id="Reb3af7811e624616" /><Relationship Type="http://schemas.openxmlformats.org/officeDocument/2006/relationships/hyperlink" Target="https://api-v3.thaiwater.net/api/v1/thaiwater30/public/canal_waterlevel" TargetMode="External" Id="R62ea607f440d4d5b" /><Relationship Type="http://schemas.openxmlformats.org/officeDocument/2006/relationships/hyperlink" Target="https://api-v3.thaiwater.net/api/v1/thaiwater30/public/canal_waterlevel" TargetMode="External" Id="R4b4f20446f074773" /><Relationship Type="http://schemas.openxmlformats.org/officeDocument/2006/relationships/hyperlink" Target="https://api-v3.thaiwater.net/api/v1/thaiwater30/public/canal_waterlevel" TargetMode="External" Id="Rf1c370b987ca48c7" /><Relationship Type="http://schemas.openxmlformats.org/officeDocument/2006/relationships/hyperlink" Target="https://api-v3.thaiwater.net/api/v1/thaiwater30/public/canal_waterlevel" TargetMode="External" Id="R7ef4d882199e4d5e" /><Relationship Type="http://schemas.openxmlformats.org/officeDocument/2006/relationships/hyperlink" Target="https://api-v3.thaiwater.net/api/v1/thaiwater30/public/canal_waterlevel" TargetMode="External" Id="Rb2e02a43357e4c35" /><Relationship Type="http://schemas.openxmlformats.org/officeDocument/2006/relationships/hyperlink" Target="https://api-v3.thaiwater.net/api/v1/thaiwater30/public/canal_waterlevel" TargetMode="External" Id="R5549f30453ec4338" /><Relationship Type="http://schemas.openxmlformats.org/officeDocument/2006/relationships/hyperlink" Target="https://api-v3.thaiwater.net/api/v1/thaiwater30/public/canal_waterlevel" TargetMode="External" Id="R1ce7bdba757241d1" /><Relationship Type="http://schemas.openxmlformats.org/officeDocument/2006/relationships/hyperlink" Target="https://api-v3.thaiwater.net/api/v1/thaiwater30/public/canal_waterlevel" TargetMode="External" Id="R29691d36fb54457a" /><Relationship Type="http://schemas.openxmlformats.org/officeDocument/2006/relationships/hyperlink" Target="https://api-v3.thaiwater.net/api/v1/thaiwater30/public/canal_waterlevel" TargetMode="External" Id="Raa23b492aad2453f" /><Relationship Type="http://schemas.openxmlformats.org/officeDocument/2006/relationships/hyperlink" Target="https://api-v3.thaiwater.net/api/v1/thaiwater30/public/canal_waterlevel" TargetMode="External" Id="Rd02c3efda7594b34" /><Relationship Type="http://schemas.openxmlformats.org/officeDocument/2006/relationships/hyperlink" Target="https://api-v3.thaiwater.net/api/v1/thaiwater30/public/canal_waterlevel" TargetMode="External" Id="R79afc1838231453f" /><Relationship Type="http://schemas.openxmlformats.org/officeDocument/2006/relationships/hyperlink" Target="https://api-v3.thaiwater.net/api/v1/thaiwater30/public/canal_waterlevel" TargetMode="External" Id="Rbcca749796614feb" /><Relationship Type="http://schemas.openxmlformats.org/officeDocument/2006/relationships/hyperlink" Target="https://api-v3.thaiwater.net/api/v1/thaiwater30/public/canal_waterlevel" TargetMode="External" Id="Rf5f6647e3f6b497a" /><Relationship Type="http://schemas.openxmlformats.org/officeDocument/2006/relationships/hyperlink" Target="https://api-v3.thaiwater.net/api/v1/thaiwater30/public/canal_waterlevel" TargetMode="External" Id="R66203524c3ef4483" /><Relationship Type="http://schemas.openxmlformats.org/officeDocument/2006/relationships/hyperlink" Target="https://api-v3.thaiwater.net/api/v1/thaiwater30/public/canal_waterlevel" TargetMode="External" Id="Re443377dd3e1446d" /><Relationship Type="http://schemas.openxmlformats.org/officeDocument/2006/relationships/hyperlink" Target="https://api-v3.thaiwater.net/api/v1/thaiwater30/public/canal_waterlevel" TargetMode="External" Id="R67869ba883264a0a" /><Relationship Type="http://schemas.openxmlformats.org/officeDocument/2006/relationships/hyperlink" Target="https://api-v3.thaiwater.net/api/v1/thaiwater30/public/canal_waterlevel" TargetMode="External" Id="R7c7bd0079d9b4e15" /><Relationship Type="http://schemas.openxmlformats.org/officeDocument/2006/relationships/hyperlink" Target="https://api-v3.thaiwater.net/api/v1/thaiwater30/public/canal_waterlevel" TargetMode="External" Id="R8461a16360e34b76" /><Relationship Type="http://schemas.openxmlformats.org/officeDocument/2006/relationships/hyperlink" Target="https://api-v3.thaiwater.net/api/v1/thaiwater30/public/canal_waterlevel" TargetMode="External" Id="R9fe5a5cc62b54ebe" /><Relationship Type="http://schemas.openxmlformats.org/officeDocument/2006/relationships/hyperlink" Target="https://api-v3.thaiwater.net/api/v1/thaiwater30/public/canal_waterlevel" TargetMode="External" Id="Rd2ee169b3d0b474f" /><Relationship Type="http://schemas.openxmlformats.org/officeDocument/2006/relationships/hyperlink" Target="https://api-v3.thaiwater.net/api/v1/thaiwater30/public/canal_waterlevel" TargetMode="External" Id="R143ebdc70ce146fa" /><Relationship Type="http://schemas.openxmlformats.org/officeDocument/2006/relationships/hyperlink" Target="https://api-v3.thaiwater.net/api/v1/thaiwater30/public/canal_waterlevel" TargetMode="External" Id="R0f5de25b45d24dfd" /><Relationship Type="http://schemas.openxmlformats.org/officeDocument/2006/relationships/hyperlink" Target="https://api-v3.thaiwater.net/api/v1/thaiwater30/public/canal_waterlevel" TargetMode="External" Id="Rd0295f1b821b4822" /><Relationship Type="http://schemas.openxmlformats.org/officeDocument/2006/relationships/hyperlink" Target="https://api-v3.thaiwater.net/api/v1/thaiwater30/public/canal_waterlevel" TargetMode="External" Id="R2f854ab2688f431f" /><Relationship Type="http://schemas.openxmlformats.org/officeDocument/2006/relationships/hyperlink" Target="https://api-v3.thaiwater.net/api/v1/thaiwater30/public/canal_waterlevel" TargetMode="External" Id="R17e82f789519486f" /><Relationship Type="http://schemas.openxmlformats.org/officeDocument/2006/relationships/hyperlink" Target="https://api-v3.thaiwater.net/api/v1/thaiwater30/public/canal_waterlevel" TargetMode="External" Id="R5356824606ab48ee" /><Relationship Type="http://schemas.openxmlformats.org/officeDocument/2006/relationships/hyperlink" Target="https://api-v3.thaiwater.net/api/v1/thaiwater30/public/canal_waterlevel" TargetMode="External" Id="R7f10d59a86754859" /><Relationship Type="http://schemas.openxmlformats.org/officeDocument/2006/relationships/hyperlink" Target="https://api-v3.thaiwater.net/api/v1/thaiwater30/public/canal_waterlevel" TargetMode="External" Id="R546374aeb7394b6b" /><Relationship Type="http://schemas.openxmlformats.org/officeDocument/2006/relationships/hyperlink" Target="https://api-v3.thaiwater.net/api/v1/thaiwater30/public/canal_waterlevel" TargetMode="External" Id="R0dc24d80ca604b87" /><Relationship Type="http://schemas.openxmlformats.org/officeDocument/2006/relationships/hyperlink" Target="https://api-v3.thaiwater.net/api/v1/thaiwater30/public/canal_waterlevel" TargetMode="External" Id="R2d8ca5cabe514bd3" /><Relationship Type="http://schemas.openxmlformats.org/officeDocument/2006/relationships/hyperlink" Target="https://api-v3.thaiwater.net/api/v1/thaiwater30/public/canal_waterlevel" TargetMode="External" Id="Rcc383f73772b4989" /><Relationship Type="http://schemas.openxmlformats.org/officeDocument/2006/relationships/hyperlink" Target="https://api-v3.thaiwater.net/api/v1/thaiwater30/public/canal_waterlevel" TargetMode="External" Id="R9a5b5a7e64a84813" /><Relationship Type="http://schemas.openxmlformats.org/officeDocument/2006/relationships/hyperlink" Target="https://api-v3.thaiwater.net/api/v1/thaiwater30/public/canal_waterlevel" TargetMode="External" Id="R260df46ea591410f" /><Relationship Type="http://schemas.openxmlformats.org/officeDocument/2006/relationships/hyperlink" Target="https://api-v3.thaiwater.net/api/v1/thaiwater30/public/canal_waterlevel" TargetMode="External" Id="Rd10b46f1abc64040" /><Relationship Type="http://schemas.openxmlformats.org/officeDocument/2006/relationships/hyperlink" Target="https://api-v3.thaiwater.net/api/v1/thaiwater30/public/canal_waterlevel" TargetMode="External" Id="R2d019b3ca85b4ad4" /><Relationship Type="http://schemas.openxmlformats.org/officeDocument/2006/relationships/hyperlink" Target="https://api-v3.thaiwater.net/api/v1/thaiwater30/public/canal_waterlevel" TargetMode="External" Id="R1142527effba4379" /><Relationship Type="http://schemas.openxmlformats.org/officeDocument/2006/relationships/hyperlink" Target="https://api-v3.thaiwater.net/api/v1/thaiwater30/public/canal_waterlevel" TargetMode="External" Id="Rc55c2fdfd1674480" /><Relationship Type="http://schemas.openxmlformats.org/officeDocument/2006/relationships/hyperlink" Target="https://api-v3.thaiwater.net/api/v1/thaiwater30/public/canal_waterlevel" TargetMode="External" Id="Rd2cb491b46854058" /><Relationship Type="http://schemas.openxmlformats.org/officeDocument/2006/relationships/hyperlink" Target="https://api-v3.thaiwater.net/api/v1/thaiwater30/public/canal_waterlevel" TargetMode="External" Id="Rdb7e7fd60d554363" /><Relationship Type="http://schemas.openxmlformats.org/officeDocument/2006/relationships/hyperlink" Target="https://api-v3.thaiwater.net/api/v1/thaiwater30/public/canal_waterlevel" TargetMode="External" Id="R6511371044e54164" /><Relationship Type="http://schemas.openxmlformats.org/officeDocument/2006/relationships/hyperlink" Target="https://api-v3.thaiwater.net/api/v1/thaiwater30/public/canal_waterlevel" TargetMode="External" Id="R7b15538432ca4d4f" /><Relationship Type="http://schemas.openxmlformats.org/officeDocument/2006/relationships/hyperlink" Target="https://api-v3.thaiwater.net/api/v1/thaiwater30/public/canal_waterlevel" TargetMode="External" Id="Ra5678f7beaf74fb8" /><Relationship Type="http://schemas.openxmlformats.org/officeDocument/2006/relationships/hyperlink" Target="https://api-v3.thaiwater.net/api/v1/thaiwater30/public/canal_waterlevel" TargetMode="External" Id="R3c8b73aea7a34f3e" /><Relationship Type="http://schemas.openxmlformats.org/officeDocument/2006/relationships/hyperlink" Target="https://api-v3.thaiwater.net/api/v1/thaiwater30/public/canal_waterlevel" TargetMode="External" Id="R6e5d818ed7ad4d7a" /><Relationship Type="http://schemas.openxmlformats.org/officeDocument/2006/relationships/hyperlink" Target="https://api-v3.thaiwater.net/api/v1/thaiwater30/public/canal_waterlevel" TargetMode="External" Id="R697feaed20594035" /><Relationship Type="http://schemas.openxmlformats.org/officeDocument/2006/relationships/hyperlink" Target="https://api-v3.thaiwater.net/api/v1/thaiwater30/public/canal_waterlevel" TargetMode="External" Id="Rae4c9bba0ae046b1" /><Relationship Type="http://schemas.openxmlformats.org/officeDocument/2006/relationships/hyperlink" Target="https://api-v3.thaiwater.net/api/v1/thaiwater30/public/canal_waterlevel" TargetMode="External" Id="Rc7ba395c6aee4120" /><Relationship Type="http://schemas.openxmlformats.org/officeDocument/2006/relationships/hyperlink" Target="https://api-v3.thaiwater.net/api/v1/thaiwater30/public/canal_waterlevel" TargetMode="External" Id="Rcecb8040cb374179" /><Relationship Type="http://schemas.openxmlformats.org/officeDocument/2006/relationships/hyperlink" Target="https://api-v3.thaiwater.net/api/v1/thaiwater30/public/canal_waterlevel" TargetMode="External" Id="R270737f326ed4ca3" /><Relationship Type="http://schemas.openxmlformats.org/officeDocument/2006/relationships/hyperlink" Target="https://api-v3.thaiwater.net/api/v1/thaiwater30/public/canal_waterlevel" TargetMode="External" Id="R9cef4703f5c04d5c" /><Relationship Type="http://schemas.openxmlformats.org/officeDocument/2006/relationships/hyperlink" Target="https://api-v3.thaiwater.net/api/v1/thaiwater30/public/canal_waterlevel" TargetMode="External" Id="R31e118c85ff944ed" /><Relationship Type="http://schemas.openxmlformats.org/officeDocument/2006/relationships/hyperlink" Target="https://api-v3.thaiwater.net/api/v1/thaiwater30/public/canal_waterlevel" TargetMode="External" Id="R00f3647bea6b4e23" /><Relationship Type="http://schemas.openxmlformats.org/officeDocument/2006/relationships/hyperlink" Target="https://api-v3.thaiwater.net/api/v1/thaiwater30/public/canal_waterlevel" TargetMode="External" Id="R7611fae368d940c8" /><Relationship Type="http://schemas.openxmlformats.org/officeDocument/2006/relationships/hyperlink" Target="https://api-v3.thaiwater.net/api/v1/thaiwater30/public/canal_waterlevel" TargetMode="External" Id="Re363da7b75c64ea4" /><Relationship Type="http://schemas.openxmlformats.org/officeDocument/2006/relationships/hyperlink" Target="https://api-v3.thaiwater.net/api/v1/thaiwater30/public/canal_waterlevel" TargetMode="External" Id="Rc48e1d0b47c04850" /><Relationship Type="http://schemas.openxmlformats.org/officeDocument/2006/relationships/hyperlink" Target="https://api-v3.thaiwater.net/api/v1/thaiwater30/public/canal_waterlevel" TargetMode="External" Id="R988bdbb1e38444e8" /><Relationship Type="http://schemas.openxmlformats.org/officeDocument/2006/relationships/hyperlink" Target="https://api-v3.thaiwater.net/api/v1/thaiwater30/public/canal_waterlevel" TargetMode="External" Id="Rba40e13369014af3" /><Relationship Type="http://schemas.openxmlformats.org/officeDocument/2006/relationships/hyperlink" Target="https://api-v3.thaiwater.net/api/v1/thaiwater30/public/canal_waterlevel" TargetMode="External" Id="Rf4f093444eee4315" /><Relationship Type="http://schemas.openxmlformats.org/officeDocument/2006/relationships/hyperlink" Target="https://api-v3.thaiwater.net/api/v1/thaiwater30/public/canal_waterlevel" TargetMode="External" Id="R8a2c88f26d06415d" /><Relationship Type="http://schemas.openxmlformats.org/officeDocument/2006/relationships/hyperlink" Target="https://api-v3.thaiwater.net/api/v1/thaiwater30/public/canal_waterlevel" TargetMode="External" Id="Rceb6f6b9b1134aa4" /><Relationship Type="http://schemas.openxmlformats.org/officeDocument/2006/relationships/hyperlink" Target="https://api-v3.thaiwater.net/api/v1/thaiwater30/public/canal_waterlevel" TargetMode="External" Id="Rbe940bc900114cde" /><Relationship Type="http://schemas.openxmlformats.org/officeDocument/2006/relationships/hyperlink" Target="https://api-v3.thaiwater.net/api/v1/thaiwater30/public/canal_waterlevel" TargetMode="External" Id="R66d647bdd67d46a3" /><Relationship Type="http://schemas.openxmlformats.org/officeDocument/2006/relationships/hyperlink" Target="https://api-v3.thaiwater.net/api/v1/thaiwater30/public/canal_waterlevel" TargetMode="External" Id="Rd1fe6ffc2e714dd1" /><Relationship Type="http://schemas.openxmlformats.org/officeDocument/2006/relationships/hyperlink" Target="https://api-v3.thaiwater.net/api/v1/thaiwater30/public/canal_waterlevel" TargetMode="External" Id="R92ea1575ce6e40f7" /><Relationship Type="http://schemas.openxmlformats.org/officeDocument/2006/relationships/hyperlink" Target="https://api-v3.thaiwater.net/api/v1/thaiwater30/public/canal_waterlevel" TargetMode="External" Id="R0cf3c5c21d804040" /><Relationship Type="http://schemas.openxmlformats.org/officeDocument/2006/relationships/hyperlink" Target="https://api-v3.thaiwater.net/api/v1/thaiwater30/public/canal_waterlevel" TargetMode="External" Id="R3061e156ede443d1" /><Relationship Type="http://schemas.openxmlformats.org/officeDocument/2006/relationships/hyperlink" Target="https://api-v3.thaiwater.net/api/v1/thaiwater30/public/canal_waterlevel" TargetMode="External" Id="Ra5d38590b6eb43d2" /><Relationship Type="http://schemas.openxmlformats.org/officeDocument/2006/relationships/hyperlink" Target="https://api-v3.thaiwater.net/api/v1/thaiwater30/public/canal_waterlevel" TargetMode="External" Id="R443b40610ffa4f01" /><Relationship Type="http://schemas.openxmlformats.org/officeDocument/2006/relationships/hyperlink" Target="https://api-v3.thaiwater.net/api/v1/thaiwater30/public/canal_waterlevel" TargetMode="External" Id="R0f274db7dfed44c6" /><Relationship Type="http://schemas.openxmlformats.org/officeDocument/2006/relationships/hyperlink" Target="https://api-v3.thaiwater.net/api/v1/thaiwater30/public/canal_waterlevel" TargetMode="External" Id="R9216fb11022146f9" /><Relationship Type="http://schemas.openxmlformats.org/officeDocument/2006/relationships/hyperlink" Target="https://api-v3.thaiwater.net/api/v1/thaiwater30/public/canal_waterlevel" TargetMode="External" Id="Rfcab0538b9df45b4" /><Relationship Type="http://schemas.openxmlformats.org/officeDocument/2006/relationships/hyperlink" Target="https://api-v3.thaiwater.net/api/v1/thaiwater30/public/canal_waterlevel" TargetMode="External" Id="Rf988e77ca1304d84" /><Relationship Type="http://schemas.openxmlformats.org/officeDocument/2006/relationships/hyperlink" Target="https://api-v3.thaiwater.net/api/v1/thaiwater30/public/canal_waterlevel" TargetMode="External" Id="R0211347e9a5d48af" /><Relationship Type="http://schemas.openxmlformats.org/officeDocument/2006/relationships/hyperlink" Target="https://api-v3.thaiwater.net/api/v1/thaiwater30/public/canal_waterlevel" TargetMode="External" Id="Ra22af94460354afb" /><Relationship Type="http://schemas.openxmlformats.org/officeDocument/2006/relationships/hyperlink" Target="https://api-v3.thaiwater.net/api/v1/thaiwater30/public/canal_waterlevel" TargetMode="External" Id="Rf3bad9d6dc2c4517" /><Relationship Type="http://schemas.openxmlformats.org/officeDocument/2006/relationships/hyperlink" Target="https://api-v3.thaiwater.net/api/v1/thaiwater30/public/canal_waterlevel" TargetMode="External" Id="R176c6f9877294a1a" /><Relationship Type="http://schemas.openxmlformats.org/officeDocument/2006/relationships/hyperlink" Target="https://api-v3.thaiwater.net/api/v1/thaiwater30/public/canal_waterlevel" TargetMode="External" Id="Rf306170fbe964b25" /><Relationship Type="http://schemas.openxmlformats.org/officeDocument/2006/relationships/hyperlink" Target="https://api-v3.thaiwater.net/api/v1/thaiwater30/public/canal_waterlevel" TargetMode="External" Id="R220e07e533c04d79" /><Relationship Type="http://schemas.openxmlformats.org/officeDocument/2006/relationships/hyperlink" Target="https://api-v3.thaiwater.net/api/v1/thaiwater30/public/canal_waterlevel" TargetMode="External" Id="Ra5ee03b378e34bef" /><Relationship Type="http://schemas.openxmlformats.org/officeDocument/2006/relationships/hyperlink" Target="https://api-v3.thaiwater.net/api/v1/thaiwater30/public/canal_waterlevel" TargetMode="External" Id="R3ee35179ede546ad" /><Relationship Type="http://schemas.openxmlformats.org/officeDocument/2006/relationships/hyperlink" Target="https://api-v3.thaiwater.net/api/v1/thaiwater30/public/canal_waterlevel" TargetMode="External" Id="R6cf925eed5b84aba" /><Relationship Type="http://schemas.openxmlformats.org/officeDocument/2006/relationships/hyperlink" Target="https://api-v3.thaiwater.net/api/v1/thaiwater30/public/canal_waterlevel" TargetMode="External" Id="R73068fc1af404113" /><Relationship Type="http://schemas.openxmlformats.org/officeDocument/2006/relationships/hyperlink" Target="https://api-v3.thaiwater.net/api/v1/thaiwater30/public/canal_waterlevel" TargetMode="External" Id="R47996b0059df4999" /><Relationship Type="http://schemas.openxmlformats.org/officeDocument/2006/relationships/hyperlink" Target="https://api-v3.thaiwater.net/api/v1/thaiwater30/public/canal_waterlevel" TargetMode="External" Id="R807ba7b560e141f0" /><Relationship Type="http://schemas.openxmlformats.org/officeDocument/2006/relationships/hyperlink" Target="https://api-v3.thaiwater.net/api/v1/thaiwater30/public/canal_waterlevel" TargetMode="External" Id="R8b8a3053220c4b9f" /><Relationship Type="http://schemas.openxmlformats.org/officeDocument/2006/relationships/hyperlink" Target="https://api-v3.thaiwater.net/api/v1/thaiwater30/public/canal_waterlevel" TargetMode="External" Id="Rd7742ee1a29246d7" /><Relationship Type="http://schemas.openxmlformats.org/officeDocument/2006/relationships/hyperlink" Target="https://api-v3.thaiwater.net/api/v1/thaiwater30/public/canal_waterlevel" TargetMode="External" Id="R02f0383a1f134622" /><Relationship Type="http://schemas.openxmlformats.org/officeDocument/2006/relationships/hyperlink" Target="https://api-v3.thaiwater.net/api/v1/thaiwater30/public/canal_waterlevel" TargetMode="External" Id="R93ef78676e714cdc" /><Relationship Type="http://schemas.openxmlformats.org/officeDocument/2006/relationships/hyperlink" Target="https://api-v3.thaiwater.net/api/v1/thaiwater30/public/canal_waterlevel" TargetMode="External" Id="R7578da3ec86647b5" /><Relationship Type="http://schemas.openxmlformats.org/officeDocument/2006/relationships/hyperlink" Target="https://api-v3.thaiwater.net/api/v1/thaiwater30/public/canal_waterlevel" TargetMode="External" Id="Rb2c5a62737214d4f" /><Relationship Type="http://schemas.openxmlformats.org/officeDocument/2006/relationships/hyperlink" Target="https://api-v3.thaiwater.net/api/v1/thaiwater30/public/canal_waterlevel" TargetMode="External" Id="Rc8bfc6b88a77422a" /><Relationship Type="http://schemas.openxmlformats.org/officeDocument/2006/relationships/hyperlink" Target="https://api-v3.thaiwater.net/api/v1/thaiwater30/public/canal_waterlevel" TargetMode="External" Id="R7b3e86a1802c4b02" /><Relationship Type="http://schemas.openxmlformats.org/officeDocument/2006/relationships/hyperlink" Target="https://api-v3.thaiwater.net/api/v1/thaiwater30/public/canal_waterlevel" TargetMode="External" Id="Rd93fd57de56948d3" /><Relationship Type="http://schemas.openxmlformats.org/officeDocument/2006/relationships/hyperlink" Target="https://api-v3.thaiwater.net/api/v1/thaiwater30/public/canal_waterlevel" TargetMode="External" Id="Raea5dd96679e4c30" /><Relationship Type="http://schemas.openxmlformats.org/officeDocument/2006/relationships/hyperlink" Target="https://api-v3.thaiwater.net/api/v1/thaiwater30/public/canal_waterlevel" TargetMode="External" Id="R93bdcbc52bb044ae" /><Relationship Type="http://schemas.openxmlformats.org/officeDocument/2006/relationships/hyperlink" Target="https://api-v3.thaiwater.net/api/v1/thaiwater30/public/canal_waterlevel" TargetMode="External" Id="R8091d9208f924edb" /><Relationship Type="http://schemas.openxmlformats.org/officeDocument/2006/relationships/hyperlink" Target="https://api-v3.thaiwater.net/api/v1/thaiwater30/public/canal_waterlevel" TargetMode="External" Id="R5d088896264a4360" /><Relationship Type="http://schemas.openxmlformats.org/officeDocument/2006/relationships/hyperlink" Target="https://api-v3.thaiwater.net/api/v1/thaiwater30/public/canal_waterlevel" TargetMode="External" Id="R14364c0fdfb6416a" /><Relationship Type="http://schemas.openxmlformats.org/officeDocument/2006/relationships/hyperlink" Target="https://api-v3.thaiwater.net/api/v1/thaiwater30/public/canal_waterlevel" TargetMode="External" Id="Rfc8e59b1a14c44c6" /><Relationship Type="http://schemas.openxmlformats.org/officeDocument/2006/relationships/hyperlink" Target="https://api-v3.thaiwater.net/api/v1/thaiwater30/public/canal_waterlevel" TargetMode="External" Id="R4dce2285e30b4c99" /><Relationship Type="http://schemas.openxmlformats.org/officeDocument/2006/relationships/hyperlink" Target="https://api-v3.thaiwater.net/api/v1/thaiwater30/public/canal_waterlevel" TargetMode="External" Id="Ra24d7b855341487a" /><Relationship Type="http://schemas.openxmlformats.org/officeDocument/2006/relationships/hyperlink" Target="https://api-v3.thaiwater.net/api/v1/thaiwater30/public/canal_waterlevel" TargetMode="External" Id="R8aefd91de4f24ae0" /><Relationship Type="http://schemas.openxmlformats.org/officeDocument/2006/relationships/hyperlink" Target="https://api-v3.thaiwater.net/api/v1/thaiwater30/public/canal_waterlevel" TargetMode="External" Id="R8ec410ba3b044428" /><Relationship Type="http://schemas.openxmlformats.org/officeDocument/2006/relationships/hyperlink" Target="https://api-v3.thaiwater.net/api/v1/thaiwater30/public/canal_waterlevel" TargetMode="External" Id="R613e9f73d5f84de0" /><Relationship Type="http://schemas.openxmlformats.org/officeDocument/2006/relationships/hyperlink" Target="https://api-v3.thaiwater.net/api/v1/thaiwater30/public/canal_waterlevel" TargetMode="External" Id="Rd85aa8cdd266491c" /><Relationship Type="http://schemas.openxmlformats.org/officeDocument/2006/relationships/hyperlink" Target="https://api-v3.thaiwater.net/api/v1/thaiwater30/public/canal_waterlevel" TargetMode="External" Id="R62e9d3ab4bdc4925" /><Relationship Type="http://schemas.openxmlformats.org/officeDocument/2006/relationships/hyperlink" Target="https://api-v3.thaiwater.net/api/v1/thaiwater30/public/canal_waterlevel" TargetMode="External" Id="R2fab26f6a8b9413d" /><Relationship Type="http://schemas.openxmlformats.org/officeDocument/2006/relationships/hyperlink" Target="https://api-v3.thaiwater.net/api/v1/thaiwater30/public/canal_waterlevel" TargetMode="External" Id="R7d9d794c27ef4a43" /><Relationship Type="http://schemas.openxmlformats.org/officeDocument/2006/relationships/hyperlink" Target="https://api-v3.thaiwater.net/api/v1/thaiwater30/public/canal_waterlevel" TargetMode="External" Id="R39e6fd4980d1434d" /><Relationship Type="http://schemas.openxmlformats.org/officeDocument/2006/relationships/hyperlink" Target="https://api-v3.thaiwater.net/api/v1/thaiwater30/public/canal_waterlevel" TargetMode="External" Id="R4871a762301645f5" /><Relationship Type="http://schemas.openxmlformats.org/officeDocument/2006/relationships/hyperlink" Target="https://api-v3.thaiwater.net/api/v1/thaiwater30/public/canal_waterlevel" TargetMode="External" Id="Rf7406f52a9bb4680" /><Relationship Type="http://schemas.openxmlformats.org/officeDocument/2006/relationships/hyperlink" Target="https://api-v3.thaiwater.net/api/v1/thaiwater30/public/canal_waterlevel" TargetMode="External" Id="R505e966844284f77" /><Relationship Type="http://schemas.openxmlformats.org/officeDocument/2006/relationships/hyperlink" Target="https://api-v3.thaiwater.net/api/v1/thaiwater30/public/canal_waterlevel" TargetMode="External" Id="R809b46932db84e3f" /><Relationship Type="http://schemas.openxmlformats.org/officeDocument/2006/relationships/hyperlink" Target="https://api-v3.thaiwater.net/api/v1/thaiwater30/public/canal_waterlevel" TargetMode="External" Id="R440e2269be894e4d" /><Relationship Type="http://schemas.openxmlformats.org/officeDocument/2006/relationships/hyperlink" Target="https://api-v3.thaiwater.net/api/v1/thaiwater30/public/canal_waterlevel" TargetMode="External" Id="Rbd39a60ea53448a0" /><Relationship Type="http://schemas.openxmlformats.org/officeDocument/2006/relationships/hyperlink" Target="https://api-v3.thaiwater.net/api/v1/thaiwater30/public/canal_waterlevel" TargetMode="External" Id="R180260644f09499d" /><Relationship Type="http://schemas.openxmlformats.org/officeDocument/2006/relationships/hyperlink" Target="https://api-v3.thaiwater.net/api/v1/thaiwater30/public/canal_waterlevel" TargetMode="External" Id="R0508e05aa7cc4f89" /><Relationship Type="http://schemas.openxmlformats.org/officeDocument/2006/relationships/hyperlink" Target="https://api-v3.thaiwater.net/api/v1/thaiwater30/public/canal_waterlevel" TargetMode="External" Id="R379f86340e16465c" /><Relationship Type="http://schemas.openxmlformats.org/officeDocument/2006/relationships/hyperlink" Target="https://api-v3.thaiwater.net/api/v1/thaiwater30/public/canal_waterlevel" TargetMode="External" Id="R62a1af9661e4498b" /><Relationship Type="http://schemas.openxmlformats.org/officeDocument/2006/relationships/hyperlink" Target="https://api-v3.thaiwater.net/api/v1/thaiwater30/public/canal_waterlevel" TargetMode="External" Id="Rbc5e54c0b0c14f5b" /><Relationship Type="http://schemas.openxmlformats.org/officeDocument/2006/relationships/hyperlink" Target="https://api-v3.thaiwater.net/api/v1/thaiwater30/public/canal_waterlevel" TargetMode="External" Id="R1b74b3dfe663419f" /><Relationship Type="http://schemas.openxmlformats.org/officeDocument/2006/relationships/hyperlink" Target="https://api-v3.thaiwater.net/api/v1/thaiwater30/public/canal_waterlevel" TargetMode="External" Id="R6ebfc8f373f34bf4" /><Relationship Type="http://schemas.openxmlformats.org/officeDocument/2006/relationships/hyperlink" Target="https://api-v3.thaiwater.net/api/v1/thaiwater30/public/canal_waterlevel" TargetMode="External" Id="R6b5f7e65880d4954" /><Relationship Type="http://schemas.openxmlformats.org/officeDocument/2006/relationships/hyperlink" Target="https://api-v3.thaiwater.net/api/v1/thaiwater30/public/canal_waterlevel" TargetMode="External" Id="Rff49976a64434af5" /><Relationship Type="http://schemas.openxmlformats.org/officeDocument/2006/relationships/hyperlink" Target="https://api-v3.thaiwater.net/api/v1/thaiwater30/public/canal_waterlevel" TargetMode="External" Id="Rf9524708ceed43ce" /><Relationship Type="http://schemas.openxmlformats.org/officeDocument/2006/relationships/hyperlink" Target="https://api-v3.thaiwater.net/api/v1/thaiwater30/public/canal_waterlevel" TargetMode="External" Id="R7aa04c2476874abf" /><Relationship Type="http://schemas.openxmlformats.org/officeDocument/2006/relationships/hyperlink" Target="https://api-v3.thaiwater.net/api/v1/thaiwater30/public/canal_waterlevel" TargetMode="External" Id="R57ec2c2e02474910" /><Relationship Type="http://schemas.openxmlformats.org/officeDocument/2006/relationships/hyperlink" Target="https://api-v3.thaiwater.net/api/v1/thaiwater30/public/canal_waterlevel" TargetMode="External" Id="R3ebcd28694c24c2e" /><Relationship Type="http://schemas.openxmlformats.org/officeDocument/2006/relationships/hyperlink" Target="https://api-v3.thaiwater.net/api/v1/thaiwater30/public/canal_waterlevel" TargetMode="External" Id="R541c1e63f4574afb" /><Relationship Type="http://schemas.openxmlformats.org/officeDocument/2006/relationships/hyperlink" Target="https://api-v3.thaiwater.net/api/v1/thaiwater30/public/canal_waterlevel" TargetMode="External" Id="R450fd55695b145ea" /><Relationship Type="http://schemas.openxmlformats.org/officeDocument/2006/relationships/hyperlink" Target="https://api-v3.thaiwater.net/api/v1/thaiwater30/public/canal_waterlevel" TargetMode="External" Id="R500c0c1692c4431c" /><Relationship Type="http://schemas.openxmlformats.org/officeDocument/2006/relationships/hyperlink" Target="https://api-v3.thaiwater.net/api/v1/thaiwater30/public/canal_waterlevel" TargetMode="External" Id="R478a12019a464378" /><Relationship Type="http://schemas.openxmlformats.org/officeDocument/2006/relationships/hyperlink" Target="https://api-v3.thaiwater.net/api/v1/thaiwater30/public/canal_waterlevel" TargetMode="External" Id="Re6b47c1262e74e37" /><Relationship Type="http://schemas.openxmlformats.org/officeDocument/2006/relationships/hyperlink" Target="https://api-v3.thaiwater.net/api/v1/thaiwater30/public/canal_waterlevel" TargetMode="External" Id="Rd9739c943b4a4f3c" /><Relationship Type="http://schemas.openxmlformats.org/officeDocument/2006/relationships/hyperlink" Target="https://api-v3.thaiwater.net/api/v1/thaiwater30/public/canal_waterlevel" TargetMode="External" Id="Rabd9d8b8b5f442f0" /><Relationship Type="http://schemas.openxmlformats.org/officeDocument/2006/relationships/hyperlink" Target="https://api-v3.thaiwater.net/api/v1/thaiwater30/public/canal_waterlevel" TargetMode="External" Id="R75f54f2f8f7940ba" /><Relationship Type="http://schemas.openxmlformats.org/officeDocument/2006/relationships/hyperlink" Target="https://api-v3.thaiwater.net/api/v1/thaiwater30/public/canal_waterlevel" TargetMode="External" Id="R75de0dd2a9b54702" /><Relationship Type="http://schemas.openxmlformats.org/officeDocument/2006/relationships/hyperlink" Target="https://api-v3.thaiwater.net/api/v1/thaiwater30/public/canal_waterlevel" TargetMode="External" Id="Ra136c8b77dab4520" /><Relationship Type="http://schemas.openxmlformats.org/officeDocument/2006/relationships/hyperlink" Target="https://api-v3.thaiwater.net/api/v1/thaiwater30/public/canal_waterlevel" TargetMode="External" Id="R490f00e9624f4523" /><Relationship Type="http://schemas.openxmlformats.org/officeDocument/2006/relationships/hyperlink" Target="https://api-v3.thaiwater.net/api/v1/thaiwater30/public/canal_waterlevel" TargetMode="External" Id="R929bc462c5744bbd" /><Relationship Type="http://schemas.openxmlformats.org/officeDocument/2006/relationships/hyperlink" Target="https://api-v3.thaiwater.net/api/v1/thaiwater30/public/canal_waterlevel" TargetMode="External" Id="R49ece7d7bb0b4f49" /><Relationship Type="http://schemas.openxmlformats.org/officeDocument/2006/relationships/hyperlink" Target="https://api-v3.thaiwater.net/api/v1/thaiwater30/public/canal_waterlevel" TargetMode="External" Id="R751eb8d9f8204856" /><Relationship Type="http://schemas.openxmlformats.org/officeDocument/2006/relationships/hyperlink" Target="https://api-v3.thaiwater.net/api/v1/thaiwater30/public/canal_waterlevel" TargetMode="External" Id="R135b09ced4444564" /><Relationship Type="http://schemas.openxmlformats.org/officeDocument/2006/relationships/hyperlink" Target="https://api-v3.thaiwater.net/api/v1/thaiwater30/public/canal_waterlevel" TargetMode="External" Id="R4bee98f01a3d4899" /><Relationship Type="http://schemas.openxmlformats.org/officeDocument/2006/relationships/hyperlink" Target="https://api-v3.thaiwater.net/api/v1/thaiwater30/public/canal_waterlevel" TargetMode="External" Id="R6dda3e35da4541eb" /><Relationship Type="http://schemas.openxmlformats.org/officeDocument/2006/relationships/hyperlink" Target="https://api-v3.thaiwater.net/api/v1/thaiwater30/public/canal_waterlevel" TargetMode="External" Id="R5e153643e6294d04" /><Relationship Type="http://schemas.openxmlformats.org/officeDocument/2006/relationships/hyperlink" Target="https://api-v3.thaiwater.net/api/v1/thaiwater30/public/canal_waterlevel" TargetMode="External" Id="R113f5ac428624765" /><Relationship Type="http://schemas.openxmlformats.org/officeDocument/2006/relationships/hyperlink" Target="https://api-v3.thaiwater.net/api/v1/thaiwater30/public/canal_waterlevel" TargetMode="External" Id="Ra17031334997468f" /><Relationship Type="http://schemas.openxmlformats.org/officeDocument/2006/relationships/hyperlink" Target="https://api-v3.thaiwater.net/api/v1/thaiwater30/public/canal_waterlevel" TargetMode="External" Id="R6e46146d726f4d0f" /><Relationship Type="http://schemas.openxmlformats.org/officeDocument/2006/relationships/hyperlink" Target="https://api-v3.thaiwater.net/api/v1/thaiwater30/public/canal_waterlevel" TargetMode="External" Id="R6ba851a0996b4a04" /><Relationship Type="http://schemas.openxmlformats.org/officeDocument/2006/relationships/hyperlink" Target="https://api-v3.thaiwater.net/api/v1/thaiwater30/public/canal_waterlevel" TargetMode="External" Id="Rd9932cbdd8734633" /><Relationship Type="http://schemas.openxmlformats.org/officeDocument/2006/relationships/hyperlink" Target="https://api-v3.thaiwater.net/api/v1/thaiwater30/public/canal_waterlevel" TargetMode="External" Id="Rf6b12c294a234cab" /><Relationship Type="http://schemas.openxmlformats.org/officeDocument/2006/relationships/hyperlink" Target="https://api-v3.thaiwater.net/api/v1/thaiwater30/public/canal_waterlevel" TargetMode="External" Id="Rc6d5060752a34df0" /><Relationship Type="http://schemas.openxmlformats.org/officeDocument/2006/relationships/hyperlink" Target="https://api-v3.thaiwater.net/api/v1/thaiwater30/public/canal_waterlevel" TargetMode="External" Id="R92169e73c8384be1" /><Relationship Type="http://schemas.openxmlformats.org/officeDocument/2006/relationships/hyperlink" Target="https://api-v3.thaiwater.net/api/v1/thaiwater30/public/canal_waterlevel" TargetMode="External" Id="Rffe923f575fe42e0" /><Relationship Type="http://schemas.openxmlformats.org/officeDocument/2006/relationships/hyperlink" Target="https://api-v3.thaiwater.net/api/v1/thaiwater30/public/canal_waterlevel" TargetMode="External" Id="R07441b5904b0434c" /><Relationship Type="http://schemas.openxmlformats.org/officeDocument/2006/relationships/hyperlink" Target="https://api-v3.thaiwater.net/api/v1/thaiwater30/public/canal_waterlevel" TargetMode="External" Id="R9c9612eebf404ccf" /><Relationship Type="http://schemas.openxmlformats.org/officeDocument/2006/relationships/hyperlink" Target="https://api-v3.thaiwater.net/api/v1/thaiwater30/public/canal_waterlevel" TargetMode="External" Id="Rbd50e438480f4529" /><Relationship Type="http://schemas.openxmlformats.org/officeDocument/2006/relationships/hyperlink" Target="https://api-v3.thaiwater.net/api/v1/thaiwater30/public/canal_waterlevel" TargetMode="External" Id="R65e2fa9515c64cd0" /><Relationship Type="http://schemas.openxmlformats.org/officeDocument/2006/relationships/hyperlink" Target="https://api-v3.thaiwater.net/api/v1/thaiwater30/public/canal_waterlevel" TargetMode="External" Id="Re7cc24914024410b" /><Relationship Type="http://schemas.openxmlformats.org/officeDocument/2006/relationships/hyperlink" Target="https://api-v3.thaiwater.net/api/v1/thaiwater30/public/canal_waterlevel" TargetMode="External" Id="R429133a078054bf8" /><Relationship Type="http://schemas.openxmlformats.org/officeDocument/2006/relationships/hyperlink" Target="https://api-v3.thaiwater.net/api/v1/thaiwater30/public/canal_waterlevel" TargetMode="External" Id="R6df2c39161ee4092" /><Relationship Type="http://schemas.openxmlformats.org/officeDocument/2006/relationships/hyperlink" Target="https://api-v3.thaiwater.net/api/v1/thaiwater30/public/canal_waterlevel" TargetMode="External" Id="Rc24a7cf0e6a947c4" /><Relationship Type="http://schemas.openxmlformats.org/officeDocument/2006/relationships/comments" Target="/xl/comments1.xml" Id="R1e11eaddca074422" /><Relationship Type="http://schemas.openxmlformats.org/officeDocument/2006/relationships/vmlDrawing" Target="/xl/drawings/vmldrawing.vml" Id="R8671140cef8345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hyperlink" Target="https://api-v3.thaiwater.net/api/v1/thaiwater30/public/waterlevel_load" TargetMode="External" Id="R93f51b4b83fc435b" /><Relationship Type="http://schemas.openxmlformats.org/officeDocument/2006/relationships/hyperlink" Target="https://api-v3.thaiwater.net/api/v1/thaiwater30/public/waterlevel_load" TargetMode="External" Id="Rcc91f5d6f9184a4c" /><Relationship Type="http://schemas.openxmlformats.org/officeDocument/2006/relationships/hyperlink" Target="https://api-v3.thaiwater.net/api/v1/thaiwater30/public/waterlevel_load" TargetMode="External" Id="R89677659cee94d1e" /><Relationship Type="http://schemas.openxmlformats.org/officeDocument/2006/relationships/hyperlink" Target="https://api-v3.thaiwater.net/api/v1/thaiwater30/public/waterlevel_load" TargetMode="External" Id="R897afc018b714724" /><Relationship Type="http://schemas.openxmlformats.org/officeDocument/2006/relationships/hyperlink" Target="https://api-v3.thaiwater.net/api/v1/thaiwater30/public/waterlevel_load" TargetMode="External" Id="R62e4fe78ee654b81" /><Relationship Type="http://schemas.openxmlformats.org/officeDocument/2006/relationships/hyperlink" Target="https://api-v3.thaiwater.net/api/v1/thaiwater30/public/waterlevel_load" TargetMode="External" Id="R598f0f5e9a5d4baa" /><Relationship Type="http://schemas.openxmlformats.org/officeDocument/2006/relationships/hyperlink" Target="https://api-v3.thaiwater.net/api/v1/thaiwater30/public/waterlevel_load" TargetMode="External" Id="R81b4cc0c9997455f" /><Relationship Type="http://schemas.openxmlformats.org/officeDocument/2006/relationships/hyperlink" Target="https://api-v3.thaiwater.net/api/v1/thaiwater30/public/waterlevel_load" TargetMode="External" Id="R23e83e8453a8405d" /><Relationship Type="http://schemas.openxmlformats.org/officeDocument/2006/relationships/hyperlink" Target="https://api-v3.thaiwater.net/api/v1/thaiwater30/public/waterlevel_load" TargetMode="External" Id="Rc00b53e688454fdb" /><Relationship Type="http://schemas.openxmlformats.org/officeDocument/2006/relationships/hyperlink" Target="https://api-v3.thaiwater.net/api/v1/thaiwater30/public/waterlevel_load" TargetMode="External" Id="R54d024bb5cf247b6" /><Relationship Type="http://schemas.openxmlformats.org/officeDocument/2006/relationships/hyperlink" Target="https://api-v3.thaiwater.net/api/v1/thaiwater30/public/waterlevel_load" TargetMode="External" Id="R717889869407464f" /><Relationship Type="http://schemas.openxmlformats.org/officeDocument/2006/relationships/hyperlink" Target="https://api-v3.thaiwater.net/api/v1/thaiwater30/public/waterlevel_load" TargetMode="External" Id="Rfb4d8eeeda844d88" /><Relationship Type="http://schemas.openxmlformats.org/officeDocument/2006/relationships/hyperlink" Target="https://api-v3.thaiwater.net/api/v1/thaiwater30/public/waterlevel_load" TargetMode="External" Id="Rb253fcc82f3f45ae" /><Relationship Type="http://schemas.openxmlformats.org/officeDocument/2006/relationships/hyperlink" Target="https://api-v3.thaiwater.net/api/v1/thaiwater30/public/waterlevel_load" TargetMode="External" Id="R14c060176c814704" /><Relationship Type="http://schemas.openxmlformats.org/officeDocument/2006/relationships/hyperlink" Target="https://api-v3.thaiwater.net/api/v1/thaiwater30/public/waterlevel_load" TargetMode="External" Id="R90e950aa76284329" /><Relationship Type="http://schemas.openxmlformats.org/officeDocument/2006/relationships/hyperlink" Target="https://api-v3.thaiwater.net/api/v1/thaiwater30/public/waterlevel_load" TargetMode="External" Id="Re437f2a3cfff48b5" /><Relationship Type="http://schemas.openxmlformats.org/officeDocument/2006/relationships/hyperlink" Target="https://api-v3.thaiwater.net/api/v1/thaiwater30/public/waterlevel_load" TargetMode="External" Id="Rdcf4e3a977d247c4" /><Relationship Type="http://schemas.openxmlformats.org/officeDocument/2006/relationships/hyperlink" Target="https://api-v3.thaiwater.net/api/v1/thaiwater30/public/waterlevel_load" TargetMode="External" Id="R46068e12f35e412d" /><Relationship Type="http://schemas.openxmlformats.org/officeDocument/2006/relationships/hyperlink" Target="https://api-v3.thaiwater.net/api/v1/thaiwater30/public/waterlevel_load" TargetMode="External" Id="Re41e1a01f7694504" /><Relationship Type="http://schemas.openxmlformats.org/officeDocument/2006/relationships/hyperlink" Target="https://api-v3.thaiwater.net/api/v1/thaiwater30/public/waterlevel_load" TargetMode="External" Id="R21cd1839922042c7" /><Relationship Type="http://schemas.openxmlformats.org/officeDocument/2006/relationships/hyperlink" Target="https://api-v3.thaiwater.net/api/v1/thaiwater30/public/waterlevel_load" TargetMode="External" Id="Re3d1b6a43ddf4ea7" /><Relationship Type="http://schemas.openxmlformats.org/officeDocument/2006/relationships/hyperlink" Target="https://api-v3.thaiwater.net/api/v1/thaiwater30/public/waterlevel_load" TargetMode="External" Id="R750a606aa1a547a9" /><Relationship Type="http://schemas.openxmlformats.org/officeDocument/2006/relationships/hyperlink" Target="https://api-v3.thaiwater.net/api/v1/thaiwater30/public/waterlevel_load" TargetMode="External" Id="R9eb2e4c67ffa4e92" /><Relationship Type="http://schemas.openxmlformats.org/officeDocument/2006/relationships/hyperlink" Target="https://api-v3.thaiwater.net/api/v1/thaiwater30/public/waterlevel_load" TargetMode="External" Id="Rad3d83f2d5684d2a" /><Relationship Type="http://schemas.openxmlformats.org/officeDocument/2006/relationships/hyperlink" Target="https://api-v3.thaiwater.net/api/v1/thaiwater30/public/waterlevel_load" TargetMode="External" Id="Rf27a3ca45838452f" /><Relationship Type="http://schemas.openxmlformats.org/officeDocument/2006/relationships/hyperlink" Target="https://api-v3.thaiwater.net/api/v1/thaiwater30/public/waterlevel_load" TargetMode="External" Id="R5c9549f548384302" /><Relationship Type="http://schemas.openxmlformats.org/officeDocument/2006/relationships/hyperlink" Target="https://api-v3.thaiwater.net/api/v1/thaiwater30/public/waterlevel_load" TargetMode="External" Id="R077934d451b04748" /><Relationship Type="http://schemas.openxmlformats.org/officeDocument/2006/relationships/hyperlink" Target="https://api-v3.thaiwater.net/api/v1/thaiwater30/public/waterlevel_load" TargetMode="External" Id="Rbd71a02906de44d1" /><Relationship Type="http://schemas.openxmlformats.org/officeDocument/2006/relationships/hyperlink" Target="https://api-v3.thaiwater.net/api/v1/thaiwater30/public/waterlevel_load" TargetMode="External" Id="Rd2a9ce2d773449d7" /><Relationship Type="http://schemas.openxmlformats.org/officeDocument/2006/relationships/hyperlink" Target="https://api-v3.thaiwater.net/api/v1/thaiwater30/public/waterlevel_load" TargetMode="External" Id="R247a2cb00f0d4b3f" /><Relationship Type="http://schemas.openxmlformats.org/officeDocument/2006/relationships/hyperlink" Target="https://api-v3.thaiwater.net/api/v1/thaiwater30/public/waterlevel_load" TargetMode="External" Id="R87742f9f4be54914" /><Relationship Type="http://schemas.openxmlformats.org/officeDocument/2006/relationships/hyperlink" Target="https://api-v3.thaiwater.net/api/v1/thaiwater30/public/waterlevel_load" TargetMode="External" Id="Ra81eb02703cd42ca" /><Relationship Type="http://schemas.openxmlformats.org/officeDocument/2006/relationships/hyperlink" Target="https://api-v3.thaiwater.net/api/v1/thaiwater30/public/waterlevel_load" TargetMode="External" Id="Rdf8563413a4544a6" /><Relationship Type="http://schemas.openxmlformats.org/officeDocument/2006/relationships/hyperlink" Target="https://api-v3.thaiwater.net/api/v1/thaiwater30/public/waterlevel_load" TargetMode="External" Id="R8356e2fc9aa24c47" /><Relationship Type="http://schemas.openxmlformats.org/officeDocument/2006/relationships/hyperlink" Target="https://api-v3.thaiwater.net/api/v1/thaiwater30/public/waterlevel_load" TargetMode="External" Id="Rf85ff38db6644e79" /><Relationship Type="http://schemas.openxmlformats.org/officeDocument/2006/relationships/hyperlink" Target="https://api-v3.thaiwater.net/api/v1/thaiwater30/public/waterlevel_load" TargetMode="External" Id="R2aff9122494d4639" /><Relationship Type="http://schemas.openxmlformats.org/officeDocument/2006/relationships/hyperlink" Target="https://api-v3.thaiwater.net/api/v1/thaiwater30/public/waterlevel_load" TargetMode="External" Id="R48f91d03e4674a95" /><Relationship Type="http://schemas.openxmlformats.org/officeDocument/2006/relationships/hyperlink" Target="https://api-v3.thaiwater.net/api/v1/thaiwater30/public/waterlevel_load" TargetMode="External" Id="Rb59add0e1ea64efc" /><Relationship Type="http://schemas.openxmlformats.org/officeDocument/2006/relationships/hyperlink" Target="https://api-v3.thaiwater.net/api/v1/thaiwater30/public/waterlevel_load" TargetMode="External" Id="Rc2d914bd40594821" /><Relationship Type="http://schemas.openxmlformats.org/officeDocument/2006/relationships/hyperlink" Target="https://api-v3.thaiwater.net/api/v1/thaiwater30/public/waterlevel_load" TargetMode="External" Id="R686362e9e2224f88" /><Relationship Type="http://schemas.openxmlformats.org/officeDocument/2006/relationships/hyperlink" Target="https://api-v3.thaiwater.net/api/v1/thaiwater30/public/waterlevel_load" TargetMode="External" Id="R279b181da8fd4b93" /><Relationship Type="http://schemas.openxmlformats.org/officeDocument/2006/relationships/hyperlink" Target="https://api-v3.thaiwater.net/api/v1/thaiwater30/public/waterlevel_load" TargetMode="External" Id="R3d961b7c82864bf2" /><Relationship Type="http://schemas.openxmlformats.org/officeDocument/2006/relationships/hyperlink" Target="https://api-v3.thaiwater.net/api/v1/thaiwater30/public/waterlevel_load" TargetMode="External" Id="Re98cee7266334c92" /><Relationship Type="http://schemas.openxmlformats.org/officeDocument/2006/relationships/hyperlink" Target="https://api-v3.thaiwater.net/api/v1/thaiwater30/public/waterlevel_load" TargetMode="External" Id="R6a382bfb97c749e2" /><Relationship Type="http://schemas.openxmlformats.org/officeDocument/2006/relationships/hyperlink" Target="https://api-v3.thaiwater.net/api/v1/thaiwater30/public/waterlevel_load" TargetMode="External" Id="R2c16d6781c93466d" /><Relationship Type="http://schemas.openxmlformats.org/officeDocument/2006/relationships/hyperlink" Target="https://api-v3.thaiwater.net/api/v1/thaiwater30/public/waterlevel_load" TargetMode="External" Id="R795e3f9b15a14ddf" /><Relationship Type="http://schemas.openxmlformats.org/officeDocument/2006/relationships/hyperlink" Target="https://api-v3.thaiwater.net/api/v1/thaiwater30/public/waterlevel_load" TargetMode="External" Id="R108f5317ee334edc" /><Relationship Type="http://schemas.openxmlformats.org/officeDocument/2006/relationships/hyperlink" Target="https://api-v3.thaiwater.net/api/v1/thaiwater30/public/waterlevel_load" TargetMode="External" Id="Rcb4a8e5137224e33" /><Relationship Type="http://schemas.openxmlformats.org/officeDocument/2006/relationships/hyperlink" Target="https://api-v3.thaiwater.net/api/v1/thaiwater30/public/waterlevel_load" TargetMode="External" Id="Raf78b814cddc43a3" /><Relationship Type="http://schemas.openxmlformats.org/officeDocument/2006/relationships/hyperlink" Target="https://api-v3.thaiwater.net/api/v1/thaiwater30/public/waterlevel_load" TargetMode="External" Id="Ra2d25b96a204449a" /><Relationship Type="http://schemas.openxmlformats.org/officeDocument/2006/relationships/hyperlink" Target="https://api-v3.thaiwater.net/api/v1/thaiwater30/public/waterlevel_load" TargetMode="External" Id="R90167672b8d24e34" /><Relationship Type="http://schemas.openxmlformats.org/officeDocument/2006/relationships/hyperlink" Target="https://api-v3.thaiwater.net/api/v1/thaiwater30/public/waterlevel_load" TargetMode="External" Id="Rd937c592723a4586" /><Relationship Type="http://schemas.openxmlformats.org/officeDocument/2006/relationships/hyperlink" Target="https://api-v3.thaiwater.net/api/v1/thaiwater30/public/waterlevel_load" TargetMode="External" Id="R79e1825bc9a24c5a" /><Relationship Type="http://schemas.openxmlformats.org/officeDocument/2006/relationships/hyperlink" Target="https://api-v3.thaiwater.net/api/v1/thaiwater30/public/waterlevel_load" TargetMode="External" Id="R718b375e60ed48d1" /><Relationship Type="http://schemas.openxmlformats.org/officeDocument/2006/relationships/hyperlink" Target="https://api-v3.thaiwater.net/api/v1/thaiwater30/public/waterlevel_load" TargetMode="External" Id="R14c3dab7e2a04b50" /><Relationship Type="http://schemas.openxmlformats.org/officeDocument/2006/relationships/hyperlink" Target="https://api-v3.thaiwater.net/api/v1/thaiwater30/public/waterlevel_load" TargetMode="External" Id="R93d5bf8239994cf2" /><Relationship Type="http://schemas.openxmlformats.org/officeDocument/2006/relationships/hyperlink" Target="https://api-v3.thaiwater.net/api/v1/thaiwater30/public/waterlevel_load" TargetMode="External" Id="Raa2cc6b0c59f41f8" /><Relationship Type="http://schemas.openxmlformats.org/officeDocument/2006/relationships/hyperlink" Target="https://api-v3.thaiwater.net/api/v1/thaiwater30/public/waterlevel_load" TargetMode="External" Id="Rd049f21f8cb54a2b" /><Relationship Type="http://schemas.openxmlformats.org/officeDocument/2006/relationships/hyperlink" Target="https://api-v3.thaiwater.net/api/v1/thaiwater30/public/waterlevel_load" TargetMode="External" Id="R1e8ee29645794aca" /><Relationship Type="http://schemas.openxmlformats.org/officeDocument/2006/relationships/hyperlink" Target="https://api-v3.thaiwater.net/api/v1/thaiwater30/public/waterlevel_load" TargetMode="External" Id="R691b69fc42774c6c" /><Relationship Type="http://schemas.openxmlformats.org/officeDocument/2006/relationships/hyperlink" Target="https://api-v3.thaiwater.net/api/v1/thaiwater30/public/waterlevel_load" TargetMode="External" Id="R8b74363aa50d4e74" /><Relationship Type="http://schemas.openxmlformats.org/officeDocument/2006/relationships/hyperlink" Target="https://api-v3.thaiwater.net/api/v1/thaiwater30/public/waterlevel_load" TargetMode="External" Id="R9c3310524e934217" /><Relationship Type="http://schemas.openxmlformats.org/officeDocument/2006/relationships/hyperlink" Target="https://api-v3.thaiwater.net/api/v1/thaiwater30/public/waterlevel_load" TargetMode="External" Id="R3e41fac33c31452d" /><Relationship Type="http://schemas.openxmlformats.org/officeDocument/2006/relationships/hyperlink" Target="https://api-v3.thaiwater.net/api/v1/thaiwater30/public/waterlevel_load" TargetMode="External" Id="R28100c350cf440b3" /><Relationship Type="http://schemas.openxmlformats.org/officeDocument/2006/relationships/hyperlink" Target="https://api-v3.thaiwater.net/api/v1/thaiwater30/public/waterlevel_load" TargetMode="External" Id="R24178c3bc22f4222" /><Relationship Type="http://schemas.openxmlformats.org/officeDocument/2006/relationships/hyperlink" Target="https://api-v3.thaiwater.net/api/v1/thaiwater30/public/waterlevel_load" TargetMode="External" Id="R295990d27dac4197" /><Relationship Type="http://schemas.openxmlformats.org/officeDocument/2006/relationships/hyperlink" Target="https://api-v3.thaiwater.net/api/v1/thaiwater30/public/waterlevel_load" TargetMode="External" Id="R91e1545b0935463c" /><Relationship Type="http://schemas.openxmlformats.org/officeDocument/2006/relationships/hyperlink" Target="https://api-v3.thaiwater.net/api/v1/thaiwater30/public/waterlevel_load" TargetMode="External" Id="Rd395c5e163da4100" /><Relationship Type="http://schemas.openxmlformats.org/officeDocument/2006/relationships/hyperlink" Target="https://api-v3.thaiwater.net/api/v1/thaiwater30/public/waterlevel_load" TargetMode="External" Id="Rfab0d734d57c4028" /><Relationship Type="http://schemas.openxmlformats.org/officeDocument/2006/relationships/hyperlink" Target="https://api-v3.thaiwater.net/api/v1/thaiwater30/public/waterlevel_load" TargetMode="External" Id="R825de2600eac4b71" /><Relationship Type="http://schemas.openxmlformats.org/officeDocument/2006/relationships/hyperlink" Target="https://api-v3.thaiwater.net/api/v1/thaiwater30/public/waterlevel_load" TargetMode="External" Id="R09376572c2b54c95" /><Relationship Type="http://schemas.openxmlformats.org/officeDocument/2006/relationships/hyperlink" Target="https://api-v3.thaiwater.net/api/v1/thaiwater30/public/waterlevel_load" TargetMode="External" Id="Rd746776938824b45" /><Relationship Type="http://schemas.openxmlformats.org/officeDocument/2006/relationships/hyperlink" Target="https://api-v3.thaiwater.net/api/v1/thaiwater30/public/waterlevel_load" TargetMode="External" Id="R85722244c8b64479" /><Relationship Type="http://schemas.openxmlformats.org/officeDocument/2006/relationships/hyperlink" Target="https://api-v3.thaiwater.net/api/v1/thaiwater30/public/waterlevel_load" TargetMode="External" Id="R34459ce28b6c4471" /><Relationship Type="http://schemas.openxmlformats.org/officeDocument/2006/relationships/hyperlink" Target="https://api-v3.thaiwater.net/api/v1/thaiwater30/public/waterlevel_load" TargetMode="External" Id="R4ad00f23822e4111" /><Relationship Type="http://schemas.openxmlformats.org/officeDocument/2006/relationships/hyperlink" Target="https://api-v3.thaiwater.net/api/v1/thaiwater30/public/waterlevel_load" TargetMode="External" Id="Re571ed9fba5f423e" /><Relationship Type="http://schemas.openxmlformats.org/officeDocument/2006/relationships/hyperlink" Target="https://api-v3.thaiwater.net/api/v1/thaiwater30/public/waterlevel_load" TargetMode="External" Id="Rf99134d54b26407d" /><Relationship Type="http://schemas.openxmlformats.org/officeDocument/2006/relationships/hyperlink" Target="https://api-v3.thaiwater.net/api/v1/thaiwater30/public/waterlevel_load" TargetMode="External" Id="Red8ba1e901384c75" /><Relationship Type="http://schemas.openxmlformats.org/officeDocument/2006/relationships/hyperlink" Target="https://api-v3.thaiwater.net/api/v1/thaiwater30/public/waterlevel_load" TargetMode="External" Id="Reb32680052d14154" /><Relationship Type="http://schemas.openxmlformats.org/officeDocument/2006/relationships/hyperlink" Target="https://api-v3.thaiwater.net/api/v1/thaiwater30/public/waterlevel_load" TargetMode="External" Id="R0d4c77acc5b94bef" /><Relationship Type="http://schemas.openxmlformats.org/officeDocument/2006/relationships/hyperlink" Target="https://api-v3.thaiwater.net/api/v1/thaiwater30/public/waterlevel_load" TargetMode="External" Id="Rb627cba87b0142b9" /><Relationship Type="http://schemas.openxmlformats.org/officeDocument/2006/relationships/hyperlink" Target="https://api-v3.thaiwater.net/api/v1/thaiwater30/public/waterlevel_load" TargetMode="External" Id="Rc5c241d2ea684522" /><Relationship Type="http://schemas.openxmlformats.org/officeDocument/2006/relationships/hyperlink" Target="https://api-v3.thaiwater.net/api/v1/thaiwater30/public/waterlevel_load" TargetMode="External" Id="Rb1ac327b7c654dbf" /><Relationship Type="http://schemas.openxmlformats.org/officeDocument/2006/relationships/hyperlink" Target="https://api-v3.thaiwater.net/api/v1/thaiwater30/public/waterlevel_load" TargetMode="External" Id="R6ebd54449be2454f" /><Relationship Type="http://schemas.openxmlformats.org/officeDocument/2006/relationships/hyperlink" Target="https://api-v3.thaiwater.net/api/v1/thaiwater30/public/waterlevel_load" TargetMode="External" Id="R6d1dc2d93b364a07" /><Relationship Type="http://schemas.openxmlformats.org/officeDocument/2006/relationships/hyperlink" Target="https://api-v3.thaiwater.net/api/v1/thaiwater30/public/waterlevel_load" TargetMode="External" Id="Rd4acf64101a24281" /><Relationship Type="http://schemas.openxmlformats.org/officeDocument/2006/relationships/hyperlink" Target="https://api-v3.thaiwater.net/api/v1/thaiwater30/public/waterlevel_load" TargetMode="External" Id="R81ba859cbb954cda" /><Relationship Type="http://schemas.openxmlformats.org/officeDocument/2006/relationships/hyperlink" Target="https://api-v3.thaiwater.net/api/v1/thaiwater30/public/waterlevel_load" TargetMode="External" Id="R91adf753baac4926" /><Relationship Type="http://schemas.openxmlformats.org/officeDocument/2006/relationships/hyperlink" Target="https://api-v3.thaiwater.net/api/v1/thaiwater30/public/waterlevel_load" TargetMode="External" Id="R6126ed8583224a3a" /><Relationship Type="http://schemas.openxmlformats.org/officeDocument/2006/relationships/hyperlink" Target="https://api-v3.thaiwater.net/api/v1/thaiwater30/public/waterlevel_load" TargetMode="External" Id="Ra3287d436f8345ac" /><Relationship Type="http://schemas.openxmlformats.org/officeDocument/2006/relationships/hyperlink" Target="https://api-v3.thaiwater.net/api/v1/thaiwater30/public/waterlevel_load" TargetMode="External" Id="R6e1390cbe4e0416d" /><Relationship Type="http://schemas.openxmlformats.org/officeDocument/2006/relationships/hyperlink" Target="https://api-v3.thaiwater.net/api/v1/thaiwater30/public/waterlevel_load" TargetMode="External" Id="Rbf7eda2fa8824f1e" /><Relationship Type="http://schemas.openxmlformats.org/officeDocument/2006/relationships/hyperlink" Target="https://api-v3.thaiwater.net/api/v1/thaiwater30/public/waterlevel_load" TargetMode="External" Id="R37f6d40c5fdd4f3f" /><Relationship Type="http://schemas.openxmlformats.org/officeDocument/2006/relationships/hyperlink" Target="https://api-v3.thaiwater.net/api/v1/thaiwater30/public/waterlevel_load" TargetMode="External" Id="R63ece6036a30427b" /><Relationship Type="http://schemas.openxmlformats.org/officeDocument/2006/relationships/hyperlink" Target="https://api-v3.thaiwater.net/api/v1/thaiwater30/public/waterlevel_load" TargetMode="External" Id="R7c43c16b3ecf4e40" /><Relationship Type="http://schemas.openxmlformats.org/officeDocument/2006/relationships/hyperlink" Target="https://api-v3.thaiwater.net/api/v1/thaiwater30/public/waterlevel_load" TargetMode="External" Id="R3be1195ec78d4921" /><Relationship Type="http://schemas.openxmlformats.org/officeDocument/2006/relationships/hyperlink" Target="https://api-v3.thaiwater.net/api/v1/thaiwater30/public/waterlevel_load" TargetMode="External" Id="R5940951bae084122" /><Relationship Type="http://schemas.openxmlformats.org/officeDocument/2006/relationships/hyperlink" Target="https://api-v3.thaiwater.net/api/v1/thaiwater30/public/waterlevel_load" TargetMode="External" Id="R918971afa8344c04" /><Relationship Type="http://schemas.openxmlformats.org/officeDocument/2006/relationships/hyperlink" Target="https://api-v3.thaiwater.net/api/v1/thaiwater30/public/waterlevel_load" TargetMode="External" Id="R21c5ce95c44f42bf" /><Relationship Type="http://schemas.openxmlformats.org/officeDocument/2006/relationships/hyperlink" Target="https://api-v3.thaiwater.net/api/v1/thaiwater30/public/waterlevel_load" TargetMode="External" Id="R4dca1a168b274760" /><Relationship Type="http://schemas.openxmlformats.org/officeDocument/2006/relationships/hyperlink" Target="https://api-v3.thaiwater.net/api/v1/thaiwater30/public/waterlevel_load" TargetMode="External" Id="R44e9235331b24ba4" /><Relationship Type="http://schemas.openxmlformats.org/officeDocument/2006/relationships/hyperlink" Target="https://api-v3.thaiwater.net/api/v1/thaiwater30/public/waterlevel_load" TargetMode="External" Id="Rb93befd53b7c497a" /><Relationship Type="http://schemas.openxmlformats.org/officeDocument/2006/relationships/hyperlink" Target="https://api-v3.thaiwater.net/api/v1/thaiwater30/public/waterlevel_load" TargetMode="External" Id="R1e216a8a6d56430b" /><Relationship Type="http://schemas.openxmlformats.org/officeDocument/2006/relationships/hyperlink" Target="https://api-v3.thaiwater.net/api/v1/thaiwater30/public/waterlevel_load" TargetMode="External" Id="R6c4fe736e76e4343" /><Relationship Type="http://schemas.openxmlformats.org/officeDocument/2006/relationships/hyperlink" Target="https://api-v3.thaiwater.net/api/v1/thaiwater30/public/waterlevel_load" TargetMode="External" Id="R3e0e1a440e5545d9" /><Relationship Type="http://schemas.openxmlformats.org/officeDocument/2006/relationships/hyperlink" Target="https://api-v3.thaiwater.net/api/v1/thaiwater30/public/waterlevel_load" TargetMode="External" Id="Rd7fd354fc5e84889" /><Relationship Type="http://schemas.openxmlformats.org/officeDocument/2006/relationships/hyperlink" Target="https://api-v3.thaiwater.net/api/v1/thaiwater30/public/waterlevel_load" TargetMode="External" Id="Rced6bd45754240aa" /><Relationship Type="http://schemas.openxmlformats.org/officeDocument/2006/relationships/hyperlink" Target="https://api-v3.thaiwater.net/api/v1/thaiwater30/public/waterlevel_load" TargetMode="External" Id="Rf582ac228f184c2a" /><Relationship Type="http://schemas.openxmlformats.org/officeDocument/2006/relationships/hyperlink" Target="https://api-v3.thaiwater.net/api/v1/thaiwater30/public/waterlevel_load" TargetMode="External" Id="Rd4cbc953c1464d2d" /><Relationship Type="http://schemas.openxmlformats.org/officeDocument/2006/relationships/hyperlink" Target="https://api-v3.thaiwater.net/api/v1/thaiwater30/public/waterlevel_load" TargetMode="External" Id="R97dd6319196747ce" /><Relationship Type="http://schemas.openxmlformats.org/officeDocument/2006/relationships/hyperlink" Target="https://api-v3.thaiwater.net/api/v1/thaiwater30/public/waterlevel_load" TargetMode="External" Id="R41465b965ac34a0b" /><Relationship Type="http://schemas.openxmlformats.org/officeDocument/2006/relationships/hyperlink" Target="https://api-v3.thaiwater.net/api/v1/thaiwater30/public/waterlevel_load" TargetMode="External" Id="Rcc5b4b0ffbd948b6" /><Relationship Type="http://schemas.openxmlformats.org/officeDocument/2006/relationships/hyperlink" Target="https://api-v3.thaiwater.net/api/v1/thaiwater30/public/waterlevel_load" TargetMode="External" Id="R1c2cb38ef2214a51" /><Relationship Type="http://schemas.openxmlformats.org/officeDocument/2006/relationships/hyperlink" Target="https://api-v3.thaiwater.net/api/v1/thaiwater30/public/waterlevel_load" TargetMode="External" Id="R50aebeebe1994019" /><Relationship Type="http://schemas.openxmlformats.org/officeDocument/2006/relationships/hyperlink" Target="https://api-v3.thaiwater.net/api/v1/thaiwater30/public/waterlevel_load" TargetMode="External" Id="R29256aad52b14aec" /><Relationship Type="http://schemas.openxmlformats.org/officeDocument/2006/relationships/hyperlink" Target="https://api-v3.thaiwater.net/api/v1/thaiwater30/public/waterlevel_load" TargetMode="External" Id="R02b9d9e76f7c4959" /><Relationship Type="http://schemas.openxmlformats.org/officeDocument/2006/relationships/hyperlink" Target="https://api-v3.thaiwater.net/api/v1/thaiwater30/public/waterlevel_load" TargetMode="External" Id="Re154e530e1e84487" /><Relationship Type="http://schemas.openxmlformats.org/officeDocument/2006/relationships/hyperlink" Target="https://api-v3.thaiwater.net/api/v1/thaiwater30/public/waterlevel_load" TargetMode="External" Id="R25f178c28d424e43" /><Relationship Type="http://schemas.openxmlformats.org/officeDocument/2006/relationships/hyperlink" Target="https://api-v3.thaiwater.net/api/v1/thaiwater30/public/waterlevel_load" TargetMode="External" Id="R42c26a3d557f43e9" /><Relationship Type="http://schemas.openxmlformats.org/officeDocument/2006/relationships/hyperlink" Target="https://api-v3.thaiwater.net/api/v1/thaiwater30/public/waterlevel_load" TargetMode="External" Id="R16b3033a7db4434b" /><Relationship Type="http://schemas.openxmlformats.org/officeDocument/2006/relationships/hyperlink" Target="https://api-v3.thaiwater.net/api/v1/thaiwater30/public/waterlevel_load" TargetMode="External" Id="Re2baf580073c401e" /><Relationship Type="http://schemas.openxmlformats.org/officeDocument/2006/relationships/hyperlink" Target="https://api-v3.thaiwater.net/api/v1/thaiwater30/public/waterlevel_load" TargetMode="External" Id="Re72b3764f2b5478d" /><Relationship Type="http://schemas.openxmlformats.org/officeDocument/2006/relationships/hyperlink" Target="https://api-v3.thaiwater.net/api/v1/thaiwater30/public/waterlevel_load" TargetMode="External" Id="R49e9b4c7e6374348" /><Relationship Type="http://schemas.openxmlformats.org/officeDocument/2006/relationships/hyperlink" Target="https://api-v3.thaiwater.net/api/v1/thaiwater30/public/waterlevel_load" TargetMode="External" Id="Rb6bb365367ad4e70" /><Relationship Type="http://schemas.openxmlformats.org/officeDocument/2006/relationships/hyperlink" Target="https://api-v3.thaiwater.net/api/v1/thaiwater30/public/waterlevel_load" TargetMode="External" Id="R1df522a8f65d462f" /><Relationship Type="http://schemas.openxmlformats.org/officeDocument/2006/relationships/hyperlink" Target="https://api-v3.thaiwater.net/api/v1/thaiwater30/public/waterlevel_load" TargetMode="External" Id="R4ec0e65197c24d09" /><Relationship Type="http://schemas.openxmlformats.org/officeDocument/2006/relationships/hyperlink" Target="https://api-v3.thaiwater.net/api/v1/thaiwater30/public/waterlevel_load" TargetMode="External" Id="R52755c288c0b48f1" /><Relationship Type="http://schemas.openxmlformats.org/officeDocument/2006/relationships/hyperlink" Target="https://api-v3.thaiwater.net/api/v1/thaiwater30/public/waterlevel_load" TargetMode="External" Id="Raf511bdc8c70431e" /><Relationship Type="http://schemas.openxmlformats.org/officeDocument/2006/relationships/hyperlink" Target="https://api-v3.thaiwater.net/api/v1/thaiwater30/public/waterlevel_load" TargetMode="External" Id="R115b1fd23232465f" /><Relationship Type="http://schemas.openxmlformats.org/officeDocument/2006/relationships/hyperlink" Target="https://api-v3.thaiwater.net/api/v1/thaiwater30/public/waterlevel_load" TargetMode="External" Id="R708c3e0a6e654ba0" /><Relationship Type="http://schemas.openxmlformats.org/officeDocument/2006/relationships/hyperlink" Target="https://api-v3.thaiwater.net/api/v1/thaiwater30/public/waterlevel_load" TargetMode="External" Id="R4a5e5f5dde1048d1" /><Relationship Type="http://schemas.openxmlformats.org/officeDocument/2006/relationships/hyperlink" Target="https://api-v3.thaiwater.net/api/v1/thaiwater30/public/waterlevel_load" TargetMode="External" Id="R166232208dc74fc1" /><Relationship Type="http://schemas.openxmlformats.org/officeDocument/2006/relationships/hyperlink" Target="https://api-v3.thaiwater.net/api/v1/thaiwater30/public/waterlevel_load" TargetMode="External" Id="R431b8856f4bc420a" /><Relationship Type="http://schemas.openxmlformats.org/officeDocument/2006/relationships/hyperlink" Target="https://api-v3.thaiwater.net/api/v1/thaiwater30/public/waterlevel_load" TargetMode="External" Id="Rf13ec1c0ac434c45" /><Relationship Type="http://schemas.openxmlformats.org/officeDocument/2006/relationships/hyperlink" Target="https://api-v3.thaiwater.net/api/v1/thaiwater30/public/waterlevel_load" TargetMode="External" Id="R8244a4589d864d77" /><Relationship Type="http://schemas.openxmlformats.org/officeDocument/2006/relationships/hyperlink" Target="https://api-v3.thaiwater.net/api/v1/thaiwater30/public/waterlevel_load" TargetMode="External" Id="R7d62c4cbb8724a86" /><Relationship Type="http://schemas.openxmlformats.org/officeDocument/2006/relationships/hyperlink" Target="https://api-v3.thaiwater.net/api/v1/thaiwater30/public/waterlevel_load" TargetMode="External" Id="Ra61f23a694344a0e" /><Relationship Type="http://schemas.openxmlformats.org/officeDocument/2006/relationships/hyperlink" Target="https://api-v3.thaiwater.net/api/v1/thaiwater30/public/waterlevel_load" TargetMode="External" Id="R4b34a6b0a2b9457d" /><Relationship Type="http://schemas.openxmlformats.org/officeDocument/2006/relationships/hyperlink" Target="https://api-v3.thaiwater.net/api/v1/thaiwater30/public/waterlevel_load" TargetMode="External" Id="R5fd550fc7a5248e2" /><Relationship Type="http://schemas.openxmlformats.org/officeDocument/2006/relationships/hyperlink" Target="https://api-v3.thaiwater.net/api/v1/thaiwater30/public/waterlevel_load" TargetMode="External" Id="Rdd83ea22f1504432" /><Relationship Type="http://schemas.openxmlformats.org/officeDocument/2006/relationships/hyperlink" Target="https://api-v3.thaiwater.net/api/v1/thaiwater30/public/waterlevel_load" TargetMode="External" Id="Rb0cec33c8c2b4b7c" /><Relationship Type="http://schemas.openxmlformats.org/officeDocument/2006/relationships/hyperlink" Target="https://api-v3.thaiwater.net/api/v1/thaiwater30/public/waterlevel_load" TargetMode="External" Id="Re7c91bceeb3b437c" /><Relationship Type="http://schemas.openxmlformats.org/officeDocument/2006/relationships/hyperlink" Target="https://api-v3.thaiwater.net/api/v1/thaiwater30/public/waterlevel_load" TargetMode="External" Id="R2df42066af504000" /><Relationship Type="http://schemas.openxmlformats.org/officeDocument/2006/relationships/hyperlink" Target="https://api-v3.thaiwater.net/api/v1/thaiwater30/public/waterlevel_load" TargetMode="External" Id="R682fa8549444498e" /><Relationship Type="http://schemas.openxmlformats.org/officeDocument/2006/relationships/hyperlink" Target="https://api-v3.thaiwater.net/api/v1/thaiwater30/public/waterlevel_load" TargetMode="External" Id="Rebbc5e6f7de04ce2" /><Relationship Type="http://schemas.openxmlformats.org/officeDocument/2006/relationships/hyperlink" Target="https://api-v3.thaiwater.net/api/v1/thaiwater30/public/waterlevel_load" TargetMode="External" Id="R756075f8bf7c4450" /><Relationship Type="http://schemas.openxmlformats.org/officeDocument/2006/relationships/hyperlink" Target="https://api-v3.thaiwater.net/api/v1/thaiwater30/public/waterlevel_load" TargetMode="External" Id="R2afcd355754b4056" /><Relationship Type="http://schemas.openxmlformats.org/officeDocument/2006/relationships/hyperlink" Target="https://api-v3.thaiwater.net/api/v1/thaiwater30/public/waterlevel_load" TargetMode="External" Id="R45ec2dc38b2a46e6" /><Relationship Type="http://schemas.openxmlformats.org/officeDocument/2006/relationships/hyperlink" Target="https://api-v3.thaiwater.net/api/v1/thaiwater30/public/waterlevel_load" TargetMode="External" Id="Rbd8bf1c54b9d4911" /><Relationship Type="http://schemas.openxmlformats.org/officeDocument/2006/relationships/hyperlink" Target="https://api-v3.thaiwater.net/api/v1/thaiwater30/public/waterlevel_load" TargetMode="External" Id="R05b75af77621474e" /><Relationship Type="http://schemas.openxmlformats.org/officeDocument/2006/relationships/hyperlink" Target="https://api-v3.thaiwater.net/api/v1/thaiwater30/public/waterlevel_load" TargetMode="External" Id="R8d3fe6c1ac474b86" /><Relationship Type="http://schemas.openxmlformats.org/officeDocument/2006/relationships/hyperlink" Target="https://api-v3.thaiwater.net/api/v1/thaiwater30/public/waterlevel_load" TargetMode="External" Id="R47f5b217d1d94f9d" /><Relationship Type="http://schemas.openxmlformats.org/officeDocument/2006/relationships/hyperlink" Target="https://api-v3.thaiwater.net/api/v1/thaiwater30/public/waterlevel_load" TargetMode="External" Id="R278d1f8a6fc247cd" /><Relationship Type="http://schemas.openxmlformats.org/officeDocument/2006/relationships/hyperlink" Target="https://api-v3.thaiwater.net/api/v1/thaiwater30/public/waterlevel_load" TargetMode="External" Id="R5fe9aa862c5348e9" /><Relationship Type="http://schemas.openxmlformats.org/officeDocument/2006/relationships/hyperlink" Target="https://api-v3.thaiwater.net/api/v1/thaiwater30/public/waterlevel_load" TargetMode="External" Id="Refc2288a9b2d40ec" /><Relationship Type="http://schemas.openxmlformats.org/officeDocument/2006/relationships/hyperlink" Target="https://api-v3.thaiwater.net/api/v1/thaiwater30/public/waterlevel_load" TargetMode="External" Id="Rec091ab836b048ae" /><Relationship Type="http://schemas.openxmlformats.org/officeDocument/2006/relationships/hyperlink" Target="https://api-v3.thaiwater.net/api/v1/thaiwater30/public/waterlevel_load" TargetMode="External" Id="R7de1e3a4a8f04284" /><Relationship Type="http://schemas.openxmlformats.org/officeDocument/2006/relationships/hyperlink" Target="https://api-v3.thaiwater.net/api/v1/thaiwater30/public/waterlevel_load" TargetMode="External" Id="Re2594973cdc64f27" /><Relationship Type="http://schemas.openxmlformats.org/officeDocument/2006/relationships/hyperlink" Target="https://api-v3.thaiwater.net/api/v1/thaiwater30/public/waterlevel_load" TargetMode="External" Id="R0b1bc5d34b7944c5" /><Relationship Type="http://schemas.openxmlformats.org/officeDocument/2006/relationships/hyperlink" Target="https://api-v3.thaiwater.net/api/v1/thaiwater30/public/waterlevel_load" TargetMode="External" Id="Rc9d5d8b17f3a418e" /><Relationship Type="http://schemas.openxmlformats.org/officeDocument/2006/relationships/hyperlink" Target="https://api-v3.thaiwater.net/api/v1/thaiwater30/public/waterlevel_load" TargetMode="External" Id="R7d8c59fad6f64785" /><Relationship Type="http://schemas.openxmlformats.org/officeDocument/2006/relationships/hyperlink" Target="https://api-v3.thaiwater.net/api/v1/thaiwater30/public/waterlevel_load" TargetMode="External" Id="R7805921620c640d9" /><Relationship Type="http://schemas.openxmlformats.org/officeDocument/2006/relationships/hyperlink" Target="https://api-v3.thaiwater.net/api/v1/thaiwater30/public/waterlevel_load" TargetMode="External" Id="R99440ede93bb460b" /><Relationship Type="http://schemas.openxmlformats.org/officeDocument/2006/relationships/hyperlink" Target="https://api-v3.thaiwater.net/api/v1/thaiwater30/public/waterlevel_load" TargetMode="External" Id="R61b970ac81494a2c" /><Relationship Type="http://schemas.openxmlformats.org/officeDocument/2006/relationships/hyperlink" Target="https://api-v3.thaiwater.net/api/v1/thaiwater30/public/waterlevel_load" TargetMode="External" Id="R77b1e460c0b74d3a" /><Relationship Type="http://schemas.openxmlformats.org/officeDocument/2006/relationships/hyperlink" Target="https://api-v3.thaiwater.net/api/v1/thaiwater30/public/waterlevel_load" TargetMode="External" Id="Ra3fd9abf3433491b" /><Relationship Type="http://schemas.openxmlformats.org/officeDocument/2006/relationships/hyperlink" Target="https://api-v3.thaiwater.net/api/v1/thaiwater30/public/waterlevel_load" TargetMode="External" Id="R249b3b3fe7cb4acb" /><Relationship Type="http://schemas.openxmlformats.org/officeDocument/2006/relationships/hyperlink" Target="https://api-v3.thaiwater.net/api/v1/thaiwater30/public/waterlevel_load" TargetMode="External" Id="R0ba2641673714a2b" /><Relationship Type="http://schemas.openxmlformats.org/officeDocument/2006/relationships/hyperlink" Target="https://api-v3.thaiwater.net/api/v1/thaiwater30/public/waterlevel_load" TargetMode="External" Id="Rea27a38de3064734" /><Relationship Type="http://schemas.openxmlformats.org/officeDocument/2006/relationships/hyperlink" Target="https://api-v3.thaiwater.net/api/v1/thaiwater30/public/waterlevel_load" TargetMode="External" Id="Ra5975597766444de" /><Relationship Type="http://schemas.openxmlformats.org/officeDocument/2006/relationships/hyperlink" Target="https://api-v3.thaiwater.net/api/v1/thaiwater30/public/waterlevel_load" TargetMode="External" Id="Rcb664b68168e4186" /><Relationship Type="http://schemas.openxmlformats.org/officeDocument/2006/relationships/hyperlink" Target="https://api-v3.thaiwater.net/api/v1/thaiwater30/public/waterlevel_load" TargetMode="External" Id="R9af7cf69a1644074" /><Relationship Type="http://schemas.openxmlformats.org/officeDocument/2006/relationships/hyperlink" Target="https://api-v3.thaiwater.net/api/v1/thaiwater30/public/waterlevel_load" TargetMode="External" Id="R11c117b85d1d4f10" /><Relationship Type="http://schemas.openxmlformats.org/officeDocument/2006/relationships/hyperlink" Target="https://api-v3.thaiwater.net/api/v1/thaiwater30/public/waterlevel_load" TargetMode="External" Id="Re439b690393042b1" /><Relationship Type="http://schemas.openxmlformats.org/officeDocument/2006/relationships/hyperlink" Target="https://api-v3.thaiwater.net/api/v1/thaiwater30/public/waterlevel_load" TargetMode="External" Id="Re596cd1dcbf64f78" /><Relationship Type="http://schemas.openxmlformats.org/officeDocument/2006/relationships/hyperlink" Target="https://api-v3.thaiwater.net/api/v1/thaiwater30/public/waterlevel_load" TargetMode="External" Id="Rcee7835ff49f4caf" /><Relationship Type="http://schemas.openxmlformats.org/officeDocument/2006/relationships/hyperlink" Target="https://api-v3.thaiwater.net/api/v1/thaiwater30/public/waterlevel_load" TargetMode="External" Id="Re7ef185fce2b45de" /><Relationship Type="http://schemas.openxmlformats.org/officeDocument/2006/relationships/hyperlink" Target="https://api-v3.thaiwater.net/api/v1/thaiwater30/public/waterlevel_load" TargetMode="External" Id="R03bb739d524b43a6" /><Relationship Type="http://schemas.openxmlformats.org/officeDocument/2006/relationships/hyperlink" Target="https://api-v3.thaiwater.net/api/v1/thaiwater30/public/waterlevel_load" TargetMode="External" Id="R093049ffee004a13" /><Relationship Type="http://schemas.openxmlformats.org/officeDocument/2006/relationships/hyperlink" Target="https://api-v3.thaiwater.net/api/v1/thaiwater30/public/waterlevel_load" TargetMode="External" Id="Rd17ef682d6214c60" /><Relationship Type="http://schemas.openxmlformats.org/officeDocument/2006/relationships/hyperlink" Target="https://api-v3.thaiwater.net/api/v1/thaiwater30/public/waterlevel_load" TargetMode="External" Id="R5b90efabf0c24c2e" /><Relationship Type="http://schemas.openxmlformats.org/officeDocument/2006/relationships/hyperlink" Target="https://api-v3.thaiwater.net/api/v1/thaiwater30/public/waterlevel_load" TargetMode="External" Id="Rc5027a6df7e64706" /><Relationship Type="http://schemas.openxmlformats.org/officeDocument/2006/relationships/hyperlink" Target="https://api-v3.thaiwater.net/api/v1/thaiwater30/public/waterlevel_load" TargetMode="External" Id="Re6a38ffbe7094b8f" /><Relationship Type="http://schemas.openxmlformats.org/officeDocument/2006/relationships/hyperlink" Target="https://api-v3.thaiwater.net/api/v1/thaiwater30/public/waterlevel_load" TargetMode="External" Id="Rafe8f84cba594094" /><Relationship Type="http://schemas.openxmlformats.org/officeDocument/2006/relationships/hyperlink" Target="https://api-v3.thaiwater.net/api/v1/thaiwater30/public/waterlevel_load" TargetMode="External" Id="Rcee97220bbe14fd5" /><Relationship Type="http://schemas.openxmlformats.org/officeDocument/2006/relationships/hyperlink" Target="https://api-v3.thaiwater.net/api/v1/thaiwater30/public/waterlevel_load" TargetMode="External" Id="Rbebea87101d74f80" /><Relationship Type="http://schemas.openxmlformats.org/officeDocument/2006/relationships/hyperlink" Target="https://api-v3.thaiwater.net/api/v1/thaiwater30/public/waterlevel_load" TargetMode="External" Id="R80122edac0a14235" /><Relationship Type="http://schemas.openxmlformats.org/officeDocument/2006/relationships/hyperlink" Target="https://api-v3.thaiwater.net/api/v1/thaiwater30/public/waterlevel_load" TargetMode="External" Id="R84f4ccc5d82d4de3" /><Relationship Type="http://schemas.openxmlformats.org/officeDocument/2006/relationships/hyperlink" Target="https://api-v3.thaiwater.net/api/v1/thaiwater30/public/waterlevel_load" TargetMode="External" Id="R2192930c34484e1e" /><Relationship Type="http://schemas.openxmlformats.org/officeDocument/2006/relationships/hyperlink" Target="https://api-v3.thaiwater.net/api/v1/thaiwater30/public/waterlevel_load" TargetMode="External" Id="Re3686550db414ff2" /><Relationship Type="http://schemas.openxmlformats.org/officeDocument/2006/relationships/hyperlink" Target="https://api-v3.thaiwater.net/api/v1/thaiwater30/public/waterlevel_load" TargetMode="External" Id="R53c80cad4bee4231" /><Relationship Type="http://schemas.openxmlformats.org/officeDocument/2006/relationships/hyperlink" Target="https://api-v3.thaiwater.net/api/v1/thaiwater30/public/waterlevel_load" TargetMode="External" Id="R7d3a2b08b9d54d00" /><Relationship Type="http://schemas.openxmlformats.org/officeDocument/2006/relationships/hyperlink" Target="https://api-v3.thaiwater.net/api/v1/thaiwater30/public/waterlevel_load" TargetMode="External" Id="Rcfb39875edfa4f1b" /><Relationship Type="http://schemas.openxmlformats.org/officeDocument/2006/relationships/hyperlink" Target="https://api-v3.thaiwater.net/api/v1/thaiwater30/public/waterlevel_load" TargetMode="External" Id="Rb2bd9f70405945cb" /><Relationship Type="http://schemas.openxmlformats.org/officeDocument/2006/relationships/hyperlink" Target="https://api-v3.thaiwater.net/api/v1/thaiwater30/public/waterlevel_load" TargetMode="External" Id="Rbc21118caf8c4134" /><Relationship Type="http://schemas.openxmlformats.org/officeDocument/2006/relationships/hyperlink" Target="https://api-v3.thaiwater.net/api/v1/thaiwater30/public/waterlevel_load" TargetMode="External" Id="Rab9237bdc5d6435b" /><Relationship Type="http://schemas.openxmlformats.org/officeDocument/2006/relationships/hyperlink" Target="https://api-v3.thaiwater.net/api/v1/thaiwater30/public/waterlevel_load" TargetMode="External" Id="Rd92c9db6005c4016" /><Relationship Type="http://schemas.openxmlformats.org/officeDocument/2006/relationships/hyperlink" Target="https://api-v3.thaiwater.net/api/v1/thaiwater30/public/waterlevel_load" TargetMode="External" Id="Ra3c8de5a40cb442c" /><Relationship Type="http://schemas.openxmlformats.org/officeDocument/2006/relationships/hyperlink" Target="https://api-v3.thaiwater.net/api/v1/thaiwater30/public/waterlevel_load" TargetMode="External" Id="R1df40a970e6b4d54" /><Relationship Type="http://schemas.openxmlformats.org/officeDocument/2006/relationships/hyperlink" Target="https://api-v3.thaiwater.net/api/v1/thaiwater30/public/waterlevel_load" TargetMode="External" Id="Rfbd049269d7542c9" /><Relationship Type="http://schemas.openxmlformats.org/officeDocument/2006/relationships/hyperlink" Target="https://api-v3.thaiwater.net/api/v1/thaiwater30/public/waterlevel_load" TargetMode="External" Id="R7a678d6141f24acb" /><Relationship Type="http://schemas.openxmlformats.org/officeDocument/2006/relationships/hyperlink" Target="https://api-v3.thaiwater.net/api/v1/thaiwater30/public/waterlevel_load" TargetMode="External" Id="R4aac7b400c8049d9" /><Relationship Type="http://schemas.openxmlformats.org/officeDocument/2006/relationships/hyperlink" Target="https://api-v3.thaiwater.net/api/v1/thaiwater30/public/waterlevel_load" TargetMode="External" Id="Rb1c7d333af2248b4" /><Relationship Type="http://schemas.openxmlformats.org/officeDocument/2006/relationships/hyperlink" Target="https://api-v3.thaiwater.net/api/v1/thaiwater30/public/waterlevel_load" TargetMode="External" Id="Rd7e6a74223664704" /><Relationship Type="http://schemas.openxmlformats.org/officeDocument/2006/relationships/hyperlink" Target="https://api-v3.thaiwater.net/api/v1/thaiwater30/public/waterlevel_load" TargetMode="External" Id="R5ee563f8ee0e4483" /><Relationship Type="http://schemas.openxmlformats.org/officeDocument/2006/relationships/hyperlink" Target="https://api-v3.thaiwater.net/api/v1/thaiwater30/public/waterlevel_load" TargetMode="External" Id="Re6e637772e504764" /><Relationship Type="http://schemas.openxmlformats.org/officeDocument/2006/relationships/hyperlink" Target="https://api-v3.thaiwater.net/api/v1/thaiwater30/public/waterlevel_load" TargetMode="External" Id="R82851a54c2164a2e" /><Relationship Type="http://schemas.openxmlformats.org/officeDocument/2006/relationships/hyperlink" Target="https://api-v3.thaiwater.net/api/v1/thaiwater30/public/waterlevel_load" TargetMode="External" Id="R125e77e587a54da6" /><Relationship Type="http://schemas.openxmlformats.org/officeDocument/2006/relationships/hyperlink" Target="https://api-v3.thaiwater.net/api/v1/thaiwater30/public/waterlevel_load" TargetMode="External" Id="Rbab674bb5dc54140" /><Relationship Type="http://schemas.openxmlformats.org/officeDocument/2006/relationships/hyperlink" Target="https://api-v3.thaiwater.net/api/v1/thaiwater30/public/waterlevel_load" TargetMode="External" Id="Rde3c0758ac0a4420" /><Relationship Type="http://schemas.openxmlformats.org/officeDocument/2006/relationships/hyperlink" Target="https://api-v3.thaiwater.net/api/v1/thaiwater30/public/waterlevel_load" TargetMode="External" Id="Rd3a8627ae4dc439c" /><Relationship Type="http://schemas.openxmlformats.org/officeDocument/2006/relationships/hyperlink" Target="https://api-v3.thaiwater.net/api/v1/thaiwater30/public/waterlevel_load" TargetMode="External" Id="R147f291e474c4459" /><Relationship Type="http://schemas.openxmlformats.org/officeDocument/2006/relationships/hyperlink" Target="https://api-v3.thaiwater.net/api/v1/thaiwater30/public/waterlevel_load" TargetMode="External" Id="R275c3af33e0e4096" /><Relationship Type="http://schemas.openxmlformats.org/officeDocument/2006/relationships/hyperlink" Target="https://api-v3.thaiwater.net/api/v1/thaiwater30/public/waterlevel_load" TargetMode="External" Id="R57bb178cc7e34737" /><Relationship Type="http://schemas.openxmlformats.org/officeDocument/2006/relationships/hyperlink" Target="https://api-v3.thaiwater.net/api/v1/thaiwater30/public/waterlevel_load" TargetMode="External" Id="R2cee28f0b5064bc5" /><Relationship Type="http://schemas.openxmlformats.org/officeDocument/2006/relationships/hyperlink" Target="https://api-v3.thaiwater.net/api/v1/thaiwater30/public/waterlevel_load" TargetMode="External" Id="R233293846f4f480a" /><Relationship Type="http://schemas.openxmlformats.org/officeDocument/2006/relationships/hyperlink" Target="https://api-v3.thaiwater.net/api/v1/thaiwater30/public/waterlevel_load" TargetMode="External" Id="Rd798b95a829140ca" /><Relationship Type="http://schemas.openxmlformats.org/officeDocument/2006/relationships/hyperlink" Target="https://api-v3.thaiwater.net/api/v1/thaiwater30/public/waterlevel_load" TargetMode="External" Id="Rfe7aee23e1e448e4" /><Relationship Type="http://schemas.openxmlformats.org/officeDocument/2006/relationships/hyperlink" Target="https://api-v3.thaiwater.net/api/v1/thaiwater30/public/waterlevel_load" TargetMode="External" Id="R2ef8e95c3cc549c8" /><Relationship Type="http://schemas.openxmlformats.org/officeDocument/2006/relationships/hyperlink" Target="https://api-v3.thaiwater.net/api/v1/thaiwater30/public/waterlevel_load" TargetMode="External" Id="Rc346e9c5ed4a4ede" /><Relationship Type="http://schemas.openxmlformats.org/officeDocument/2006/relationships/hyperlink" Target="https://api-v3.thaiwater.net/api/v1/thaiwater30/public/waterlevel_load" TargetMode="External" Id="R541efde81c7a492d" /><Relationship Type="http://schemas.openxmlformats.org/officeDocument/2006/relationships/hyperlink" Target="https://api-v3.thaiwater.net/api/v1/thaiwater30/public/waterlevel_load" TargetMode="External" Id="R9f48b5734d1e49e2" /><Relationship Type="http://schemas.openxmlformats.org/officeDocument/2006/relationships/hyperlink" Target="https://api-v3.thaiwater.net/api/v1/thaiwater30/public/waterlevel_load" TargetMode="External" Id="Rabeda5bde18c4942" /><Relationship Type="http://schemas.openxmlformats.org/officeDocument/2006/relationships/hyperlink" Target="https://api-v3.thaiwater.net/api/v1/thaiwater30/public/waterlevel_load" TargetMode="External" Id="Re1558f5f62d844a4" /><Relationship Type="http://schemas.openxmlformats.org/officeDocument/2006/relationships/hyperlink" Target="https://api-v3.thaiwater.net/api/v1/thaiwater30/public/waterlevel_load" TargetMode="External" Id="R2233cea4f3aa4512" /><Relationship Type="http://schemas.openxmlformats.org/officeDocument/2006/relationships/hyperlink" Target="https://api-v3.thaiwater.net/api/v1/thaiwater30/public/waterlevel_load" TargetMode="External" Id="R69edc06242a14dc2" /><Relationship Type="http://schemas.openxmlformats.org/officeDocument/2006/relationships/hyperlink" Target="https://api-v3.thaiwater.net/api/v1/thaiwater30/public/waterlevel_load" TargetMode="External" Id="R9b858b0552ff48ce" /><Relationship Type="http://schemas.openxmlformats.org/officeDocument/2006/relationships/hyperlink" Target="https://api-v3.thaiwater.net/api/v1/thaiwater30/public/waterlevel_load" TargetMode="External" Id="Rd5c391e258eb4559" /><Relationship Type="http://schemas.openxmlformats.org/officeDocument/2006/relationships/hyperlink" Target="https://api-v3.thaiwater.net/api/v1/thaiwater30/public/waterlevel_load" TargetMode="External" Id="R8e5b26cefff34d27" /><Relationship Type="http://schemas.openxmlformats.org/officeDocument/2006/relationships/hyperlink" Target="https://api-v3.thaiwater.net/api/v1/thaiwater30/public/waterlevel_load" TargetMode="External" Id="R993b372830d1412c" /><Relationship Type="http://schemas.openxmlformats.org/officeDocument/2006/relationships/hyperlink" Target="https://api-v3.thaiwater.net/api/v1/thaiwater30/public/waterlevel_load" TargetMode="External" Id="R821c64eca08d48a1" /><Relationship Type="http://schemas.openxmlformats.org/officeDocument/2006/relationships/hyperlink" Target="https://api-v3.thaiwater.net/api/v1/thaiwater30/public/waterlevel_load" TargetMode="External" Id="R2548f9cb84b44eac" /><Relationship Type="http://schemas.openxmlformats.org/officeDocument/2006/relationships/hyperlink" Target="https://api-v3.thaiwater.net/api/v1/thaiwater30/public/waterlevel_load" TargetMode="External" Id="Rf912ad0f18fb49d0" /><Relationship Type="http://schemas.openxmlformats.org/officeDocument/2006/relationships/hyperlink" Target="https://api-v3.thaiwater.net/api/v1/thaiwater30/public/waterlevel_load" TargetMode="External" Id="Rc8c5ea6eb9f848d0" /><Relationship Type="http://schemas.openxmlformats.org/officeDocument/2006/relationships/hyperlink" Target="https://api-v3.thaiwater.net/api/v1/thaiwater30/public/waterlevel_load" TargetMode="External" Id="Rf9b5599150fd4015" /><Relationship Type="http://schemas.openxmlformats.org/officeDocument/2006/relationships/hyperlink" Target="https://api-v3.thaiwater.net/api/v1/thaiwater30/public/waterlevel_load" TargetMode="External" Id="R62346ee7a3124edf" /><Relationship Type="http://schemas.openxmlformats.org/officeDocument/2006/relationships/hyperlink" Target="https://api-v3.thaiwater.net/api/v1/thaiwater30/public/waterlevel_load" TargetMode="External" Id="R6df4baaab03d4a3f" /><Relationship Type="http://schemas.openxmlformats.org/officeDocument/2006/relationships/hyperlink" Target="https://api-v3.thaiwater.net/api/v1/thaiwater30/public/waterlevel_load" TargetMode="External" Id="R8d3b2e67c330401a" /><Relationship Type="http://schemas.openxmlformats.org/officeDocument/2006/relationships/hyperlink" Target="https://api-v3.thaiwater.net/api/v1/thaiwater30/public/waterlevel_load" TargetMode="External" Id="R2046a1337c1e43e9" /><Relationship Type="http://schemas.openxmlformats.org/officeDocument/2006/relationships/hyperlink" Target="https://api-v3.thaiwater.net/api/v1/thaiwater30/public/waterlevel_load" TargetMode="External" Id="R8874261aec514728" /><Relationship Type="http://schemas.openxmlformats.org/officeDocument/2006/relationships/hyperlink" Target="https://api-v3.thaiwater.net/api/v1/thaiwater30/public/waterlevel_load" TargetMode="External" Id="Rdce5ba149d6c40ce" /><Relationship Type="http://schemas.openxmlformats.org/officeDocument/2006/relationships/hyperlink" Target="https://api-v3.thaiwater.net/api/v1/thaiwater30/public/waterlevel_load" TargetMode="External" Id="R4c09bdbbbe204da0" /><Relationship Type="http://schemas.openxmlformats.org/officeDocument/2006/relationships/hyperlink" Target="https://api-v3.thaiwater.net/api/v1/thaiwater30/public/waterlevel_load" TargetMode="External" Id="R97aa205b0352414f" /><Relationship Type="http://schemas.openxmlformats.org/officeDocument/2006/relationships/hyperlink" Target="https://api-v3.thaiwater.net/api/v1/thaiwater30/public/waterlevel_load" TargetMode="External" Id="R152dd97e7b3e4002" /><Relationship Type="http://schemas.openxmlformats.org/officeDocument/2006/relationships/hyperlink" Target="https://api-v3.thaiwater.net/api/v1/thaiwater30/public/waterlevel_load" TargetMode="External" Id="R2536f6fa283a4bb7" /><Relationship Type="http://schemas.openxmlformats.org/officeDocument/2006/relationships/hyperlink" Target="https://api-v3.thaiwater.net/api/v1/thaiwater30/public/waterlevel_load" TargetMode="External" Id="R1ee0aa1f67ff4d8a" /><Relationship Type="http://schemas.openxmlformats.org/officeDocument/2006/relationships/hyperlink" Target="https://api-v3.thaiwater.net/api/v1/thaiwater30/public/waterlevel_load" TargetMode="External" Id="R988bb500508c4726" /><Relationship Type="http://schemas.openxmlformats.org/officeDocument/2006/relationships/hyperlink" Target="https://api-v3.thaiwater.net/api/v1/thaiwater30/public/waterlevel_load" TargetMode="External" Id="R74f2131b7ca64fe7" /><Relationship Type="http://schemas.openxmlformats.org/officeDocument/2006/relationships/hyperlink" Target="https://api-v3.thaiwater.net/api/v1/thaiwater30/public/waterlevel_load" TargetMode="External" Id="Rd298dc1e1a034ec5" /><Relationship Type="http://schemas.openxmlformats.org/officeDocument/2006/relationships/hyperlink" Target="https://api-v3.thaiwater.net/api/v1/thaiwater30/public/waterlevel_load" TargetMode="External" Id="R6303e263f09e4aa5" /><Relationship Type="http://schemas.openxmlformats.org/officeDocument/2006/relationships/hyperlink" Target="https://api-v3.thaiwater.net/api/v1/thaiwater30/public/waterlevel_load" TargetMode="External" Id="Ra1b62b4c05d4496f" /><Relationship Type="http://schemas.openxmlformats.org/officeDocument/2006/relationships/hyperlink" Target="https://api-v3.thaiwater.net/api/v1/thaiwater30/public/waterlevel_load" TargetMode="External" Id="Ree5046c345e24a1d" /><Relationship Type="http://schemas.openxmlformats.org/officeDocument/2006/relationships/hyperlink" Target="https://api-v3.thaiwater.net/api/v1/thaiwater30/public/waterlevel_load" TargetMode="External" Id="Rca364cec94b64c8f" /><Relationship Type="http://schemas.openxmlformats.org/officeDocument/2006/relationships/hyperlink" Target="https://api-v3.thaiwater.net/api/v1/thaiwater30/public/waterlevel_load" TargetMode="External" Id="R91c3cb84683a4772" /><Relationship Type="http://schemas.openxmlformats.org/officeDocument/2006/relationships/hyperlink" Target="https://api-v3.thaiwater.net/api/v1/thaiwater30/public/waterlevel_load" TargetMode="External" Id="R0da1870bdcef4202" /><Relationship Type="http://schemas.openxmlformats.org/officeDocument/2006/relationships/hyperlink" Target="https://api-v3.thaiwater.net/api/v1/thaiwater30/public/waterlevel_load" TargetMode="External" Id="Rface54315b734d27" /><Relationship Type="http://schemas.openxmlformats.org/officeDocument/2006/relationships/hyperlink" Target="https://api-v3.thaiwater.net/api/v1/thaiwater30/public/waterlevel_load" TargetMode="External" Id="R03ce3475051f4b51" /><Relationship Type="http://schemas.openxmlformats.org/officeDocument/2006/relationships/hyperlink" Target="https://api-v3.thaiwater.net/api/v1/thaiwater30/public/waterlevel_load" TargetMode="External" Id="Rfddd381739204537" /><Relationship Type="http://schemas.openxmlformats.org/officeDocument/2006/relationships/hyperlink" Target="https://api-v3.thaiwater.net/api/v1/thaiwater30/public/waterlevel_load" TargetMode="External" Id="Rba2baeb951ce49e7" /><Relationship Type="http://schemas.openxmlformats.org/officeDocument/2006/relationships/hyperlink" Target="https://api-v3.thaiwater.net/api/v1/thaiwater30/public/waterlevel_load" TargetMode="External" Id="R25a68791ac3b4d0f" /><Relationship Type="http://schemas.openxmlformats.org/officeDocument/2006/relationships/hyperlink" Target="https://api-v3.thaiwater.net/api/v1/thaiwater30/public/waterlevel_load" TargetMode="External" Id="R5e15f0b94b5742c9" /><Relationship Type="http://schemas.openxmlformats.org/officeDocument/2006/relationships/hyperlink" Target="https://api-v3.thaiwater.net/api/v1/thaiwater30/public/waterlevel_load" TargetMode="External" Id="R641e6a6df9c14186" /><Relationship Type="http://schemas.openxmlformats.org/officeDocument/2006/relationships/hyperlink" Target="https://api-v3.thaiwater.net/api/v1/thaiwater30/public/waterlevel_load" TargetMode="External" Id="Rd10d880595704872" /><Relationship Type="http://schemas.openxmlformats.org/officeDocument/2006/relationships/hyperlink" Target="https://api-v3.thaiwater.net/api/v1/thaiwater30/public/waterlevel_load" TargetMode="External" Id="R879a62a4a07242e1" /><Relationship Type="http://schemas.openxmlformats.org/officeDocument/2006/relationships/hyperlink" Target="https://api-v3.thaiwater.net/api/v1/thaiwater30/public/waterlevel_load" TargetMode="External" Id="R4d5e67ae5d814cdc" /><Relationship Type="http://schemas.openxmlformats.org/officeDocument/2006/relationships/hyperlink" Target="https://api-v3.thaiwater.net/api/v1/thaiwater30/public/waterlevel_load" TargetMode="External" Id="Ra2a502b907a54fa5" /><Relationship Type="http://schemas.openxmlformats.org/officeDocument/2006/relationships/hyperlink" Target="https://api-v3.thaiwater.net/api/v1/thaiwater30/public/waterlevel_load" TargetMode="External" Id="R641378b3d8f9437f" /><Relationship Type="http://schemas.openxmlformats.org/officeDocument/2006/relationships/hyperlink" Target="https://api-v3.thaiwater.net/api/v1/thaiwater30/public/waterlevel_load" TargetMode="External" Id="R7911f0d5dcc34ffd" /><Relationship Type="http://schemas.openxmlformats.org/officeDocument/2006/relationships/hyperlink" Target="https://api-v3.thaiwater.net/api/v1/thaiwater30/public/waterlevel_load" TargetMode="External" Id="Rdc5dee268a4e48c6" /><Relationship Type="http://schemas.openxmlformats.org/officeDocument/2006/relationships/hyperlink" Target="https://api-v3.thaiwater.net/api/v1/thaiwater30/public/waterlevel_load" TargetMode="External" Id="R83b85a2e16394420" /><Relationship Type="http://schemas.openxmlformats.org/officeDocument/2006/relationships/hyperlink" Target="https://api-v3.thaiwater.net/api/v1/thaiwater30/public/waterlevel_load" TargetMode="External" Id="R5a22a89c54e24693" /><Relationship Type="http://schemas.openxmlformats.org/officeDocument/2006/relationships/hyperlink" Target="https://api-v3.thaiwater.net/api/v1/thaiwater30/public/waterlevel_load" TargetMode="External" Id="Rd192e1d5cb734f72" /><Relationship Type="http://schemas.openxmlformats.org/officeDocument/2006/relationships/hyperlink" Target="https://api-v3.thaiwater.net/api/v1/thaiwater30/public/waterlevel_load" TargetMode="External" Id="Rd187612e79c14a02" /><Relationship Type="http://schemas.openxmlformats.org/officeDocument/2006/relationships/hyperlink" Target="https://api-v3.thaiwater.net/api/v1/thaiwater30/public/waterlevel_load" TargetMode="External" Id="R86031fab1212411d" /><Relationship Type="http://schemas.openxmlformats.org/officeDocument/2006/relationships/hyperlink" Target="https://api-v3.thaiwater.net/api/v1/thaiwater30/public/waterlevel_load" TargetMode="External" Id="Rb6d54a70c032419e" /><Relationship Type="http://schemas.openxmlformats.org/officeDocument/2006/relationships/hyperlink" Target="https://api-v3.thaiwater.net/api/v1/thaiwater30/public/waterlevel_load" TargetMode="External" Id="Rcb54695af836400c" /><Relationship Type="http://schemas.openxmlformats.org/officeDocument/2006/relationships/hyperlink" Target="https://api-v3.thaiwater.net/api/v1/thaiwater30/public/waterlevel_load" TargetMode="External" Id="Ra93c3e46a07641c9" /><Relationship Type="http://schemas.openxmlformats.org/officeDocument/2006/relationships/hyperlink" Target="https://api-v3.thaiwater.net/api/v1/thaiwater30/public/waterlevel_load" TargetMode="External" Id="R8559a6cf1a2945e8" /><Relationship Type="http://schemas.openxmlformats.org/officeDocument/2006/relationships/hyperlink" Target="https://api-v3.thaiwater.net/api/v1/thaiwater30/public/waterlevel_load" TargetMode="External" Id="R04ae343188fc41ea" /><Relationship Type="http://schemas.openxmlformats.org/officeDocument/2006/relationships/hyperlink" Target="https://api-v3.thaiwater.net/api/v1/thaiwater30/public/waterlevel_load" TargetMode="External" Id="Re188ebbd90cf4424" /><Relationship Type="http://schemas.openxmlformats.org/officeDocument/2006/relationships/hyperlink" Target="https://api-v3.thaiwater.net/api/v1/thaiwater30/public/waterlevel_load" TargetMode="External" Id="Rf81be416190e462b" /><Relationship Type="http://schemas.openxmlformats.org/officeDocument/2006/relationships/hyperlink" Target="https://api-v3.thaiwater.net/api/v1/thaiwater30/public/waterlevel_load" TargetMode="External" Id="R8bd86fac8c664f1a" /><Relationship Type="http://schemas.openxmlformats.org/officeDocument/2006/relationships/hyperlink" Target="https://api-v3.thaiwater.net/api/v1/thaiwater30/public/waterlevel_load" TargetMode="External" Id="R358e1c1c3bbf457f" /><Relationship Type="http://schemas.openxmlformats.org/officeDocument/2006/relationships/hyperlink" Target="https://api-v3.thaiwater.net/api/v1/thaiwater30/public/waterlevel_load" TargetMode="External" Id="R202fb6c6321c48de" /><Relationship Type="http://schemas.openxmlformats.org/officeDocument/2006/relationships/hyperlink" Target="https://api-v3.thaiwater.net/api/v1/thaiwater30/public/waterlevel_load" TargetMode="External" Id="R927a24b16d6b45e8" /><Relationship Type="http://schemas.openxmlformats.org/officeDocument/2006/relationships/hyperlink" Target="https://api-v3.thaiwater.net/api/v1/thaiwater30/public/waterlevel_load" TargetMode="External" Id="R7225f6faad9b4322" /><Relationship Type="http://schemas.openxmlformats.org/officeDocument/2006/relationships/hyperlink" Target="https://api-v3.thaiwater.net/api/v1/thaiwater30/public/waterlevel_load" TargetMode="External" Id="R985a64bedaf2471c" /><Relationship Type="http://schemas.openxmlformats.org/officeDocument/2006/relationships/hyperlink" Target="https://api-v3.thaiwater.net/api/v1/thaiwater30/public/waterlevel_load" TargetMode="External" Id="R57f3992a5fd34cb6" /><Relationship Type="http://schemas.openxmlformats.org/officeDocument/2006/relationships/hyperlink" Target="https://api-v3.thaiwater.net/api/v1/thaiwater30/public/waterlevel_load" TargetMode="External" Id="Rf415bb3062b74289" /><Relationship Type="http://schemas.openxmlformats.org/officeDocument/2006/relationships/hyperlink" Target="https://api-v3.thaiwater.net/api/v1/thaiwater30/public/waterlevel_load" TargetMode="External" Id="R6331db3e19fb422c" /><Relationship Type="http://schemas.openxmlformats.org/officeDocument/2006/relationships/hyperlink" Target="https://api-v3.thaiwater.net/api/v1/thaiwater30/public/waterlevel_load" TargetMode="External" Id="R0e0175cada48422b" /><Relationship Type="http://schemas.openxmlformats.org/officeDocument/2006/relationships/hyperlink" Target="https://api-v3.thaiwater.net/api/v1/thaiwater30/public/waterlevel_load" TargetMode="External" Id="Ra65f95b8ea4a4a9d" /><Relationship Type="http://schemas.openxmlformats.org/officeDocument/2006/relationships/hyperlink" Target="https://api-v3.thaiwater.net/api/v1/thaiwater30/public/waterlevel_load" TargetMode="External" Id="Rf8049bd4b4514439" /><Relationship Type="http://schemas.openxmlformats.org/officeDocument/2006/relationships/hyperlink" Target="https://api-v3.thaiwater.net/api/v1/thaiwater30/public/waterlevel_load" TargetMode="External" Id="Rf51b59ced1f54ee9" /><Relationship Type="http://schemas.openxmlformats.org/officeDocument/2006/relationships/hyperlink" Target="https://api-v3.thaiwater.net/api/v1/thaiwater30/public/waterlevel_load" TargetMode="External" Id="R50563ba2089c4ff5" /><Relationship Type="http://schemas.openxmlformats.org/officeDocument/2006/relationships/hyperlink" Target="https://api-v3.thaiwater.net/api/v1/thaiwater30/public/waterlevel_load" TargetMode="External" Id="R39bf0fb1f5234aa7" /><Relationship Type="http://schemas.openxmlformats.org/officeDocument/2006/relationships/hyperlink" Target="https://api-v3.thaiwater.net/api/v1/thaiwater30/public/waterlevel_load" TargetMode="External" Id="Ra6a5b2839bae423e" /><Relationship Type="http://schemas.openxmlformats.org/officeDocument/2006/relationships/hyperlink" Target="https://api-v3.thaiwater.net/api/v1/thaiwater30/public/waterlevel_load" TargetMode="External" Id="R7b00f2ea265c4fe4" /><Relationship Type="http://schemas.openxmlformats.org/officeDocument/2006/relationships/hyperlink" Target="https://api-v3.thaiwater.net/api/v1/thaiwater30/public/waterlevel_load" TargetMode="External" Id="R2cec0d5549584523" /><Relationship Type="http://schemas.openxmlformats.org/officeDocument/2006/relationships/hyperlink" Target="https://api-v3.thaiwater.net/api/v1/thaiwater30/public/waterlevel_load" TargetMode="External" Id="Rb4917b86d9f44d03" /><Relationship Type="http://schemas.openxmlformats.org/officeDocument/2006/relationships/hyperlink" Target="https://api-v3.thaiwater.net/api/v1/thaiwater30/public/waterlevel_load" TargetMode="External" Id="Rab63a3f951904350" /><Relationship Type="http://schemas.openxmlformats.org/officeDocument/2006/relationships/hyperlink" Target="https://api-v3.thaiwater.net/api/v1/thaiwater30/public/waterlevel_load" TargetMode="External" Id="Rc1506ab0375e4bbb" /><Relationship Type="http://schemas.openxmlformats.org/officeDocument/2006/relationships/hyperlink" Target="https://api-v3.thaiwater.net/api/v1/thaiwater30/public/waterlevel_load" TargetMode="External" Id="R21be1d4baf014225" /><Relationship Type="http://schemas.openxmlformats.org/officeDocument/2006/relationships/hyperlink" Target="https://api-v3.thaiwater.net/api/v1/thaiwater30/public/waterlevel_load" TargetMode="External" Id="R7df6febae04d4e6b" /><Relationship Type="http://schemas.openxmlformats.org/officeDocument/2006/relationships/hyperlink" Target="https://api-v3.thaiwater.net/api/v1/thaiwater30/public/waterlevel_load" TargetMode="External" Id="R9eb0fa06f42a4010" /><Relationship Type="http://schemas.openxmlformats.org/officeDocument/2006/relationships/hyperlink" Target="https://api-v3.thaiwater.net/api/v1/thaiwater30/public/waterlevel_load" TargetMode="External" Id="R4d7b2bd77cf94a45" /><Relationship Type="http://schemas.openxmlformats.org/officeDocument/2006/relationships/hyperlink" Target="https://api-v3.thaiwater.net/api/v1/thaiwater30/public/waterlevel_load" TargetMode="External" Id="R50a857d6e0ae43de" /><Relationship Type="http://schemas.openxmlformats.org/officeDocument/2006/relationships/hyperlink" Target="https://api-v3.thaiwater.net/api/v1/thaiwater30/public/waterlevel_load" TargetMode="External" Id="R1423f5665ff84d70" /><Relationship Type="http://schemas.openxmlformats.org/officeDocument/2006/relationships/hyperlink" Target="https://api-v3.thaiwater.net/api/v1/thaiwater30/public/waterlevel_load" TargetMode="External" Id="R79f8ab2897d54079" /><Relationship Type="http://schemas.openxmlformats.org/officeDocument/2006/relationships/hyperlink" Target="https://api-v3.thaiwater.net/api/v1/thaiwater30/public/waterlevel_load" TargetMode="External" Id="R2b2c2d87698143bd" /><Relationship Type="http://schemas.openxmlformats.org/officeDocument/2006/relationships/hyperlink" Target="https://api-v3.thaiwater.net/api/v1/thaiwater30/public/waterlevel_load" TargetMode="External" Id="Rf93c2ebdcd63423b" /><Relationship Type="http://schemas.openxmlformats.org/officeDocument/2006/relationships/hyperlink" Target="https://api-v3.thaiwater.net/api/v1/thaiwater30/public/waterlevel_load" TargetMode="External" Id="R1870ed3e5805474d" /><Relationship Type="http://schemas.openxmlformats.org/officeDocument/2006/relationships/hyperlink" Target="https://api-v3.thaiwater.net/api/v1/thaiwater30/public/waterlevel_load" TargetMode="External" Id="Racf1aa0507d04d2e" /><Relationship Type="http://schemas.openxmlformats.org/officeDocument/2006/relationships/hyperlink" Target="https://api-v3.thaiwater.net/api/v1/thaiwater30/public/waterlevel_load" TargetMode="External" Id="Rafd0e5903f5641f2" /><Relationship Type="http://schemas.openxmlformats.org/officeDocument/2006/relationships/hyperlink" Target="https://api-v3.thaiwater.net/api/v1/thaiwater30/public/waterlevel_load" TargetMode="External" Id="Rd2520e0df685451a" /><Relationship Type="http://schemas.openxmlformats.org/officeDocument/2006/relationships/hyperlink" Target="https://api-v3.thaiwater.net/api/v1/thaiwater30/public/waterlevel_load" TargetMode="External" Id="Rfb35b5cb33424eee" /><Relationship Type="http://schemas.openxmlformats.org/officeDocument/2006/relationships/hyperlink" Target="https://api-v3.thaiwater.net/api/v1/thaiwater30/public/waterlevel_load" TargetMode="External" Id="R51171c07692b4345" /><Relationship Type="http://schemas.openxmlformats.org/officeDocument/2006/relationships/hyperlink" Target="https://api-v3.thaiwater.net/api/v1/thaiwater30/public/waterlevel_load" TargetMode="External" Id="R5484aad04ee84b95" /><Relationship Type="http://schemas.openxmlformats.org/officeDocument/2006/relationships/hyperlink" Target="https://api-v3.thaiwater.net/api/v1/thaiwater30/public/waterlevel_load" TargetMode="External" Id="R7d17f35756804d1d" /><Relationship Type="http://schemas.openxmlformats.org/officeDocument/2006/relationships/hyperlink" Target="https://api-v3.thaiwater.net/api/v1/thaiwater30/public/waterlevel_load" TargetMode="External" Id="Rf1af2ffe6fc84b8f" /><Relationship Type="http://schemas.openxmlformats.org/officeDocument/2006/relationships/hyperlink" Target="https://api-v3.thaiwater.net/api/v1/thaiwater30/public/waterlevel_load" TargetMode="External" Id="R768932af67a8400e" /><Relationship Type="http://schemas.openxmlformats.org/officeDocument/2006/relationships/hyperlink" Target="https://api-v3.thaiwater.net/api/v1/thaiwater30/public/waterlevel_load" TargetMode="External" Id="R842940b0f2524e47" /><Relationship Type="http://schemas.openxmlformats.org/officeDocument/2006/relationships/hyperlink" Target="https://api-v3.thaiwater.net/api/v1/thaiwater30/public/waterlevel_load" TargetMode="External" Id="Rf7c60636e5be4371" /><Relationship Type="http://schemas.openxmlformats.org/officeDocument/2006/relationships/hyperlink" Target="https://api-v3.thaiwater.net/api/v1/thaiwater30/public/waterlevel_load" TargetMode="External" Id="Rf0c060a7439b45fd" /><Relationship Type="http://schemas.openxmlformats.org/officeDocument/2006/relationships/hyperlink" Target="https://api-v3.thaiwater.net/api/v1/thaiwater30/public/waterlevel_load" TargetMode="External" Id="Re2e7f7a2cfe944b3" /><Relationship Type="http://schemas.openxmlformats.org/officeDocument/2006/relationships/hyperlink" Target="https://api-v3.thaiwater.net/api/v1/thaiwater30/public/waterlevel_load" TargetMode="External" Id="Rbdc80b1c73de438a" /><Relationship Type="http://schemas.openxmlformats.org/officeDocument/2006/relationships/hyperlink" Target="https://api-v3.thaiwater.net/api/v1/thaiwater30/public/waterlevel_load" TargetMode="External" Id="R3fca4a09c7344f66" /><Relationship Type="http://schemas.openxmlformats.org/officeDocument/2006/relationships/hyperlink" Target="https://api-v3.thaiwater.net/api/v1/thaiwater30/public/waterlevel_load" TargetMode="External" Id="R29f7073a0d9444ed" /><Relationship Type="http://schemas.openxmlformats.org/officeDocument/2006/relationships/hyperlink" Target="https://api-v3.thaiwater.net/api/v1/thaiwater30/public/waterlevel_load" TargetMode="External" Id="R83be43a121374ffd" /><Relationship Type="http://schemas.openxmlformats.org/officeDocument/2006/relationships/hyperlink" Target="https://api-v3.thaiwater.net/api/v1/thaiwater30/public/waterlevel_load" TargetMode="External" Id="R1f0c4c1e1610434d" /><Relationship Type="http://schemas.openxmlformats.org/officeDocument/2006/relationships/hyperlink" Target="https://api-v3.thaiwater.net/api/v1/thaiwater30/public/waterlevel_load" TargetMode="External" Id="R8a53ff4cdfc84377" /><Relationship Type="http://schemas.openxmlformats.org/officeDocument/2006/relationships/hyperlink" Target="https://api-v3.thaiwater.net/api/v1/thaiwater30/public/waterlevel_load" TargetMode="External" Id="R1107a495c7544c5a" /><Relationship Type="http://schemas.openxmlformats.org/officeDocument/2006/relationships/hyperlink" Target="https://api-v3.thaiwater.net/api/v1/thaiwater30/public/waterlevel_load" TargetMode="External" Id="Rfbf6924a8e52415f" /><Relationship Type="http://schemas.openxmlformats.org/officeDocument/2006/relationships/hyperlink" Target="https://api-v3.thaiwater.net/api/v1/thaiwater30/public/waterlevel_load" TargetMode="External" Id="R133d5b1c852142c8" /><Relationship Type="http://schemas.openxmlformats.org/officeDocument/2006/relationships/hyperlink" Target="https://api-v3.thaiwater.net/api/v1/thaiwater30/public/waterlevel_load" TargetMode="External" Id="Rd02649d44c86412d" /><Relationship Type="http://schemas.openxmlformats.org/officeDocument/2006/relationships/hyperlink" Target="https://api-v3.thaiwater.net/api/v1/thaiwater30/public/waterlevel_load" TargetMode="External" Id="R4f942143f5b54639" /><Relationship Type="http://schemas.openxmlformats.org/officeDocument/2006/relationships/hyperlink" Target="https://api-v3.thaiwater.net/api/v1/thaiwater30/public/waterlevel_load" TargetMode="External" Id="R216c7fc207d44291" /><Relationship Type="http://schemas.openxmlformats.org/officeDocument/2006/relationships/hyperlink" Target="https://api-v3.thaiwater.net/api/v1/thaiwater30/public/waterlevel_load" TargetMode="External" Id="R470251fc6ec94c84" /><Relationship Type="http://schemas.openxmlformats.org/officeDocument/2006/relationships/hyperlink" Target="https://api-v3.thaiwater.net/api/v1/thaiwater30/public/waterlevel_load" TargetMode="External" Id="Rf8e0a467b93e4270" /><Relationship Type="http://schemas.openxmlformats.org/officeDocument/2006/relationships/hyperlink" Target="https://api-v3.thaiwater.net/api/v1/thaiwater30/public/waterlevel_load" TargetMode="External" Id="R750616aec25b4a68" /><Relationship Type="http://schemas.openxmlformats.org/officeDocument/2006/relationships/hyperlink" Target="https://api-v3.thaiwater.net/api/v1/thaiwater30/public/waterlevel_load" TargetMode="External" Id="R9072b0e3130b44a0" /><Relationship Type="http://schemas.openxmlformats.org/officeDocument/2006/relationships/hyperlink" Target="https://api-v3.thaiwater.net/api/v1/thaiwater30/public/waterlevel_load" TargetMode="External" Id="Re40da8cf2d2543a1" /><Relationship Type="http://schemas.openxmlformats.org/officeDocument/2006/relationships/hyperlink" Target="https://api-v3.thaiwater.net/api/v1/thaiwater30/public/waterlevel_load" TargetMode="External" Id="R5750424534c74325" /><Relationship Type="http://schemas.openxmlformats.org/officeDocument/2006/relationships/hyperlink" Target="https://api-v3.thaiwater.net/api/v1/thaiwater30/public/waterlevel_load" TargetMode="External" Id="R6dbe4e5de2ff4c1b" /><Relationship Type="http://schemas.openxmlformats.org/officeDocument/2006/relationships/hyperlink" Target="https://api-v3.thaiwater.net/api/v1/thaiwater30/public/waterlevel_load" TargetMode="External" Id="R623f059296ff455c" /><Relationship Type="http://schemas.openxmlformats.org/officeDocument/2006/relationships/hyperlink" Target="https://api-v3.thaiwater.net/api/v1/thaiwater30/public/waterlevel_load" TargetMode="External" Id="R24a389854d574070" /><Relationship Type="http://schemas.openxmlformats.org/officeDocument/2006/relationships/hyperlink" Target="https://api-v3.thaiwater.net/api/v1/thaiwater30/public/waterlevel_load" TargetMode="External" Id="Rb37a7107ce5941d3" /><Relationship Type="http://schemas.openxmlformats.org/officeDocument/2006/relationships/hyperlink" Target="https://api-v3.thaiwater.net/api/v1/thaiwater30/public/waterlevel_load" TargetMode="External" Id="R536671b485d84d24" /><Relationship Type="http://schemas.openxmlformats.org/officeDocument/2006/relationships/hyperlink" Target="https://api-v3.thaiwater.net/api/v1/thaiwater30/public/waterlevel_load" TargetMode="External" Id="R4b0a8850ece6470a" /><Relationship Type="http://schemas.openxmlformats.org/officeDocument/2006/relationships/hyperlink" Target="https://api-v3.thaiwater.net/api/v1/thaiwater30/public/waterlevel_load" TargetMode="External" Id="R586a95589bf64147" /><Relationship Type="http://schemas.openxmlformats.org/officeDocument/2006/relationships/hyperlink" Target="https://api-v3.thaiwater.net/api/v1/thaiwater30/public/waterlevel_load" TargetMode="External" Id="R07a566b39f0d47be" /><Relationship Type="http://schemas.openxmlformats.org/officeDocument/2006/relationships/hyperlink" Target="https://api-v3.thaiwater.net/api/v1/thaiwater30/public/waterlevel_load" TargetMode="External" Id="Rdf258302bc064426" /><Relationship Type="http://schemas.openxmlformats.org/officeDocument/2006/relationships/hyperlink" Target="https://api-v3.thaiwater.net/api/v1/thaiwater30/public/waterlevel_load" TargetMode="External" Id="R0d27d547b8584576" /><Relationship Type="http://schemas.openxmlformats.org/officeDocument/2006/relationships/hyperlink" Target="https://api-v3.thaiwater.net/api/v1/thaiwater30/public/waterlevel_load" TargetMode="External" Id="Rc5abda6e3e1d438f" /><Relationship Type="http://schemas.openxmlformats.org/officeDocument/2006/relationships/hyperlink" Target="https://api-v3.thaiwater.net/api/v1/thaiwater30/public/waterlevel_load" TargetMode="External" Id="Re0da3007e2c145fd" /><Relationship Type="http://schemas.openxmlformats.org/officeDocument/2006/relationships/hyperlink" Target="https://api-v3.thaiwater.net/api/v1/thaiwater30/public/waterlevel_load" TargetMode="External" Id="Rb322cefd9f6342f3" /><Relationship Type="http://schemas.openxmlformats.org/officeDocument/2006/relationships/hyperlink" Target="https://api-v3.thaiwater.net/api/v1/thaiwater30/public/waterlevel_load" TargetMode="External" Id="R09c847aecf7748fc" /><Relationship Type="http://schemas.openxmlformats.org/officeDocument/2006/relationships/hyperlink" Target="https://api-v3.thaiwater.net/api/v1/thaiwater30/public/waterlevel_load" TargetMode="External" Id="Ra54ce249362f4673" /><Relationship Type="http://schemas.openxmlformats.org/officeDocument/2006/relationships/hyperlink" Target="https://api-v3.thaiwater.net/api/v1/thaiwater30/public/waterlevel_load" TargetMode="External" Id="R37a98640a9654d62" /><Relationship Type="http://schemas.openxmlformats.org/officeDocument/2006/relationships/hyperlink" Target="https://api-v3.thaiwater.net/api/v1/thaiwater30/public/waterlevel_load" TargetMode="External" Id="R5e8eb4c88b384bf0" /><Relationship Type="http://schemas.openxmlformats.org/officeDocument/2006/relationships/hyperlink" Target="https://api-v3.thaiwater.net/api/v1/thaiwater30/public/waterlevel_load" TargetMode="External" Id="R0b0c9239bb5b44f4" /><Relationship Type="http://schemas.openxmlformats.org/officeDocument/2006/relationships/hyperlink" Target="https://api-v3.thaiwater.net/api/v1/thaiwater30/public/waterlevel_load" TargetMode="External" Id="Rae3707dc3a39416d" /><Relationship Type="http://schemas.openxmlformats.org/officeDocument/2006/relationships/hyperlink" Target="https://api-v3.thaiwater.net/api/v1/thaiwater30/public/waterlevel_load" TargetMode="External" Id="R55b79b2236924a08" /><Relationship Type="http://schemas.openxmlformats.org/officeDocument/2006/relationships/hyperlink" Target="https://api-v3.thaiwater.net/api/v1/thaiwater30/public/waterlevel_load" TargetMode="External" Id="R9f367ec0164c43fd" /><Relationship Type="http://schemas.openxmlformats.org/officeDocument/2006/relationships/hyperlink" Target="https://api-v3.thaiwater.net/api/v1/thaiwater30/public/waterlevel_load" TargetMode="External" Id="Rfc6dc226cbd14caa" /><Relationship Type="http://schemas.openxmlformats.org/officeDocument/2006/relationships/hyperlink" Target="https://api-v3.thaiwater.net/api/v1/thaiwater30/public/waterlevel_load" TargetMode="External" Id="R8e999b790745498b" /><Relationship Type="http://schemas.openxmlformats.org/officeDocument/2006/relationships/hyperlink" Target="https://api-v3.thaiwater.net/api/v1/thaiwater30/public/waterlevel_load" TargetMode="External" Id="R19ae2670d9bd4fb3" /><Relationship Type="http://schemas.openxmlformats.org/officeDocument/2006/relationships/hyperlink" Target="https://api-v3.thaiwater.net/api/v1/thaiwater30/public/waterlevel_load" TargetMode="External" Id="R2171196225824781" /><Relationship Type="http://schemas.openxmlformats.org/officeDocument/2006/relationships/hyperlink" Target="https://api-v3.thaiwater.net/api/v1/thaiwater30/public/waterlevel_load" TargetMode="External" Id="R1c7ac3257d174fee" /><Relationship Type="http://schemas.openxmlformats.org/officeDocument/2006/relationships/hyperlink" Target="https://api-v3.thaiwater.net/api/v1/thaiwater30/public/waterlevel_load" TargetMode="External" Id="Ra30a007d066f416b" /><Relationship Type="http://schemas.openxmlformats.org/officeDocument/2006/relationships/hyperlink" Target="https://api-v3.thaiwater.net/api/v1/thaiwater30/public/waterlevel_load" TargetMode="External" Id="R81b808f6975947e8" /><Relationship Type="http://schemas.openxmlformats.org/officeDocument/2006/relationships/hyperlink" Target="https://api-v3.thaiwater.net/api/v1/thaiwater30/public/waterlevel_load" TargetMode="External" Id="Rb8a1873de2b34729" /><Relationship Type="http://schemas.openxmlformats.org/officeDocument/2006/relationships/hyperlink" Target="https://api-v3.thaiwater.net/api/v1/thaiwater30/public/waterlevel_load" TargetMode="External" Id="R203c45ec03904f62" /><Relationship Type="http://schemas.openxmlformats.org/officeDocument/2006/relationships/hyperlink" Target="https://api-v3.thaiwater.net/api/v1/thaiwater30/public/waterlevel_load" TargetMode="External" Id="Rc7df799fc0a34287" /><Relationship Type="http://schemas.openxmlformats.org/officeDocument/2006/relationships/hyperlink" Target="https://api-v3.thaiwater.net/api/v1/thaiwater30/public/waterlevel_load" TargetMode="External" Id="R474fc05a9d194446" /><Relationship Type="http://schemas.openxmlformats.org/officeDocument/2006/relationships/hyperlink" Target="https://api-v3.thaiwater.net/api/v1/thaiwater30/public/waterlevel_load" TargetMode="External" Id="Rc1f5a135b2214810" /><Relationship Type="http://schemas.openxmlformats.org/officeDocument/2006/relationships/hyperlink" Target="https://api-v3.thaiwater.net/api/v1/thaiwater30/public/waterlevel_load" TargetMode="External" Id="R06d5c21f61cd4b84" /><Relationship Type="http://schemas.openxmlformats.org/officeDocument/2006/relationships/hyperlink" Target="https://api-v3.thaiwater.net/api/v1/thaiwater30/public/waterlevel_load" TargetMode="External" Id="Rbdc316ab4384498d" /><Relationship Type="http://schemas.openxmlformats.org/officeDocument/2006/relationships/hyperlink" Target="https://api-v3.thaiwater.net/api/v1/thaiwater30/public/waterlevel_load" TargetMode="External" Id="R6f196206e7d74267" /><Relationship Type="http://schemas.openxmlformats.org/officeDocument/2006/relationships/hyperlink" Target="https://api-v3.thaiwater.net/api/v1/thaiwater30/public/waterlevel_load" TargetMode="External" Id="Rbe6d656d92104d86" /><Relationship Type="http://schemas.openxmlformats.org/officeDocument/2006/relationships/hyperlink" Target="https://api-v3.thaiwater.net/api/v1/thaiwater30/public/waterlevel_load" TargetMode="External" Id="R5c8f824de3f54af4" /><Relationship Type="http://schemas.openxmlformats.org/officeDocument/2006/relationships/hyperlink" Target="https://api-v3.thaiwater.net/api/v1/thaiwater30/public/waterlevel_load" TargetMode="External" Id="R8b4acd6038884075" /><Relationship Type="http://schemas.openxmlformats.org/officeDocument/2006/relationships/hyperlink" Target="https://api-v3.thaiwater.net/api/v1/thaiwater30/public/waterlevel_load" TargetMode="External" Id="Rcef145fdd8464d63" /><Relationship Type="http://schemas.openxmlformats.org/officeDocument/2006/relationships/hyperlink" Target="https://api-v3.thaiwater.net/api/v1/thaiwater30/public/waterlevel_load" TargetMode="External" Id="R89714848162c4f3e" /><Relationship Type="http://schemas.openxmlformats.org/officeDocument/2006/relationships/hyperlink" Target="https://api-v3.thaiwater.net/api/v1/thaiwater30/public/waterlevel_load" TargetMode="External" Id="R4c7c72ab92224e95" /><Relationship Type="http://schemas.openxmlformats.org/officeDocument/2006/relationships/hyperlink" Target="https://api-v3.thaiwater.net/api/v1/thaiwater30/public/waterlevel_load" TargetMode="External" Id="Re7b4dd6f79d443f8" /><Relationship Type="http://schemas.openxmlformats.org/officeDocument/2006/relationships/hyperlink" Target="https://api-v3.thaiwater.net/api/v1/thaiwater30/public/waterlevel_load" TargetMode="External" Id="Re9b9edc1a3874451" /><Relationship Type="http://schemas.openxmlformats.org/officeDocument/2006/relationships/hyperlink" Target="https://api-v3.thaiwater.net/api/v1/thaiwater30/public/waterlevel_load" TargetMode="External" Id="R46850c7a781043e5" /><Relationship Type="http://schemas.openxmlformats.org/officeDocument/2006/relationships/hyperlink" Target="https://api-v3.thaiwater.net/api/v1/thaiwater30/public/waterlevel_load" TargetMode="External" Id="R03e3edd948c44187" /><Relationship Type="http://schemas.openxmlformats.org/officeDocument/2006/relationships/hyperlink" Target="https://api-v3.thaiwater.net/api/v1/thaiwater30/public/waterlevel_load" TargetMode="External" Id="R6a1362daccc443d0" /><Relationship Type="http://schemas.openxmlformats.org/officeDocument/2006/relationships/hyperlink" Target="https://api-v3.thaiwater.net/api/v1/thaiwater30/public/waterlevel_load" TargetMode="External" Id="Rbf5fc33bc5424d78" /><Relationship Type="http://schemas.openxmlformats.org/officeDocument/2006/relationships/hyperlink" Target="https://api-v3.thaiwater.net/api/v1/thaiwater30/public/waterlevel_load" TargetMode="External" Id="Re83fde319c394a96" /><Relationship Type="http://schemas.openxmlformats.org/officeDocument/2006/relationships/hyperlink" Target="https://api-v3.thaiwater.net/api/v1/thaiwater30/public/waterlevel_load" TargetMode="External" Id="Redc51210a2944d0b" /><Relationship Type="http://schemas.openxmlformats.org/officeDocument/2006/relationships/hyperlink" Target="https://api-v3.thaiwater.net/api/v1/thaiwater30/public/waterlevel_load" TargetMode="External" Id="R092a475a3cb1458c" /><Relationship Type="http://schemas.openxmlformats.org/officeDocument/2006/relationships/hyperlink" Target="https://api-v3.thaiwater.net/api/v1/thaiwater30/public/waterlevel_load" TargetMode="External" Id="R435493c32a874956" /><Relationship Type="http://schemas.openxmlformats.org/officeDocument/2006/relationships/hyperlink" Target="https://api-v3.thaiwater.net/api/v1/thaiwater30/public/waterlevel_load" TargetMode="External" Id="R0e1417dc3f7d4ca3" /><Relationship Type="http://schemas.openxmlformats.org/officeDocument/2006/relationships/hyperlink" Target="https://api-v3.thaiwater.net/api/v1/thaiwater30/public/waterlevel_load" TargetMode="External" Id="R771dd368993d413b" /><Relationship Type="http://schemas.openxmlformats.org/officeDocument/2006/relationships/hyperlink" Target="https://api-v3.thaiwater.net/api/v1/thaiwater30/public/waterlevel_load" TargetMode="External" Id="R1e3a0b55106d4023" /><Relationship Type="http://schemas.openxmlformats.org/officeDocument/2006/relationships/hyperlink" Target="https://api-v3.thaiwater.net/api/v1/thaiwater30/public/waterlevel_load" TargetMode="External" Id="R4e851b99cf2e46cf" /><Relationship Type="http://schemas.openxmlformats.org/officeDocument/2006/relationships/hyperlink" Target="https://api-v3.thaiwater.net/api/v1/thaiwater30/public/waterlevel_load" TargetMode="External" Id="Re73cef3a004a46f4" /><Relationship Type="http://schemas.openxmlformats.org/officeDocument/2006/relationships/hyperlink" Target="https://api-v3.thaiwater.net/api/v1/thaiwater30/public/waterlevel_load" TargetMode="External" Id="R5ccb6e8d92df4f2f" /><Relationship Type="http://schemas.openxmlformats.org/officeDocument/2006/relationships/hyperlink" Target="https://api-v3.thaiwater.net/api/v1/thaiwater30/public/waterlevel_load" TargetMode="External" Id="R099cedcc35864dc3" /><Relationship Type="http://schemas.openxmlformats.org/officeDocument/2006/relationships/hyperlink" Target="https://api-v3.thaiwater.net/api/v1/thaiwater30/public/waterlevel_load" TargetMode="External" Id="R9a16a98ed16b42b7" /><Relationship Type="http://schemas.openxmlformats.org/officeDocument/2006/relationships/hyperlink" Target="https://api-v3.thaiwater.net/api/v1/thaiwater30/public/waterlevel_load" TargetMode="External" Id="R2828b109b78742a2" /><Relationship Type="http://schemas.openxmlformats.org/officeDocument/2006/relationships/hyperlink" Target="https://api-v3.thaiwater.net/api/v1/thaiwater30/public/waterlevel_load" TargetMode="External" Id="R5c4ac3e3bcd0460d" /><Relationship Type="http://schemas.openxmlformats.org/officeDocument/2006/relationships/hyperlink" Target="https://api-v3.thaiwater.net/api/v1/thaiwater30/public/waterlevel_load" TargetMode="External" Id="R89f19222d6884aac" /><Relationship Type="http://schemas.openxmlformats.org/officeDocument/2006/relationships/hyperlink" Target="https://api-v3.thaiwater.net/api/v1/thaiwater30/public/waterlevel_load" TargetMode="External" Id="Rfb2353478f324fc2" /><Relationship Type="http://schemas.openxmlformats.org/officeDocument/2006/relationships/hyperlink" Target="https://api-v3.thaiwater.net/api/v1/thaiwater30/public/waterlevel_load" TargetMode="External" Id="Rb55ffe45a03a493f" /><Relationship Type="http://schemas.openxmlformats.org/officeDocument/2006/relationships/hyperlink" Target="https://api-v3.thaiwater.net/api/v1/thaiwater30/public/waterlevel_load" TargetMode="External" Id="R7470050f5e794a00" /><Relationship Type="http://schemas.openxmlformats.org/officeDocument/2006/relationships/hyperlink" Target="https://api-v3.thaiwater.net/api/v1/thaiwater30/public/waterlevel_load" TargetMode="External" Id="R445e05594e9741d1" /><Relationship Type="http://schemas.openxmlformats.org/officeDocument/2006/relationships/hyperlink" Target="https://api-v3.thaiwater.net/api/v1/thaiwater30/public/waterlevel_load" TargetMode="External" Id="R1a0b56c37f11459b" /><Relationship Type="http://schemas.openxmlformats.org/officeDocument/2006/relationships/hyperlink" Target="https://api-v3.thaiwater.net/api/v1/thaiwater30/public/waterlevel_load" TargetMode="External" Id="R5444c1338884453a" /><Relationship Type="http://schemas.openxmlformats.org/officeDocument/2006/relationships/hyperlink" Target="https://api-v3.thaiwater.net/api/v1/thaiwater30/public/waterlevel_load" TargetMode="External" Id="R1697dacee3a74a4c" /><Relationship Type="http://schemas.openxmlformats.org/officeDocument/2006/relationships/hyperlink" Target="https://api-v3.thaiwater.net/api/v1/thaiwater30/public/waterlevel_load" TargetMode="External" Id="Rf807a050cc564a13" /><Relationship Type="http://schemas.openxmlformats.org/officeDocument/2006/relationships/hyperlink" Target="https://api-v3.thaiwater.net/api/v1/thaiwater30/public/waterlevel_load" TargetMode="External" Id="R466341a8547249b3" /><Relationship Type="http://schemas.openxmlformats.org/officeDocument/2006/relationships/hyperlink" Target="https://api-v3.thaiwater.net/api/v1/thaiwater30/public/waterlevel_load" TargetMode="External" Id="R0503d4dfd7434baa" /><Relationship Type="http://schemas.openxmlformats.org/officeDocument/2006/relationships/hyperlink" Target="https://api-v3.thaiwater.net/api/v1/thaiwater30/public/waterlevel_load" TargetMode="External" Id="Rf100a550afaf41ae" /><Relationship Type="http://schemas.openxmlformats.org/officeDocument/2006/relationships/hyperlink" Target="https://api-v3.thaiwater.net/api/v1/thaiwater30/public/waterlevel_load" TargetMode="External" Id="R60d63e93aca04228" /><Relationship Type="http://schemas.openxmlformats.org/officeDocument/2006/relationships/hyperlink" Target="https://api-v3.thaiwater.net/api/v1/thaiwater30/public/waterlevel_load" TargetMode="External" Id="R8596fdcd58a4426b" /><Relationship Type="http://schemas.openxmlformats.org/officeDocument/2006/relationships/hyperlink" Target="https://api-v3.thaiwater.net/api/v1/thaiwater30/public/waterlevel_load" TargetMode="External" Id="R6935cf1df6c247c3" /><Relationship Type="http://schemas.openxmlformats.org/officeDocument/2006/relationships/hyperlink" Target="https://api-v3.thaiwater.net/api/v1/thaiwater30/public/waterlevel_load" TargetMode="External" Id="R23c0e29170b14564" /><Relationship Type="http://schemas.openxmlformats.org/officeDocument/2006/relationships/hyperlink" Target="https://api-v3.thaiwater.net/api/v1/thaiwater30/public/waterlevel_load" TargetMode="External" Id="R6c525a8e87a147bf" /><Relationship Type="http://schemas.openxmlformats.org/officeDocument/2006/relationships/hyperlink" Target="https://api-v3.thaiwater.net/api/v1/thaiwater30/public/waterlevel_load" TargetMode="External" Id="R33a306ee51ce4fd1" /><Relationship Type="http://schemas.openxmlformats.org/officeDocument/2006/relationships/hyperlink" Target="https://api-v3.thaiwater.net/api/v1/thaiwater30/public/waterlevel_load" TargetMode="External" Id="R58404394354d4bbe" /><Relationship Type="http://schemas.openxmlformats.org/officeDocument/2006/relationships/hyperlink" Target="https://api-v3.thaiwater.net/api/v1/thaiwater30/public/waterlevel_load" TargetMode="External" Id="R2638fd7d99b24258" /><Relationship Type="http://schemas.openxmlformats.org/officeDocument/2006/relationships/hyperlink" Target="https://api-v3.thaiwater.net/api/v1/thaiwater30/public/waterlevel_load" TargetMode="External" Id="Rbcf0427babd74934" /><Relationship Type="http://schemas.openxmlformats.org/officeDocument/2006/relationships/hyperlink" Target="https://api-v3.thaiwater.net/api/v1/thaiwater30/public/waterlevel_load" TargetMode="External" Id="Re697f836ba5a4de9" /><Relationship Type="http://schemas.openxmlformats.org/officeDocument/2006/relationships/hyperlink" Target="https://api-v3.thaiwater.net/api/v1/thaiwater30/public/waterlevel_load" TargetMode="External" Id="Rf4893c4a10c64f59" /><Relationship Type="http://schemas.openxmlformats.org/officeDocument/2006/relationships/hyperlink" Target="https://api-v3.thaiwater.net/api/v1/thaiwater30/public/waterlevel_load" TargetMode="External" Id="R8007208544c34045" /><Relationship Type="http://schemas.openxmlformats.org/officeDocument/2006/relationships/hyperlink" Target="https://api-v3.thaiwater.net/api/v1/thaiwater30/public/waterlevel_load" TargetMode="External" Id="Re6a6f17443454481" /><Relationship Type="http://schemas.openxmlformats.org/officeDocument/2006/relationships/hyperlink" Target="https://api-v3.thaiwater.net/api/v1/thaiwater30/public/waterlevel_load" TargetMode="External" Id="Re9a90bab5d3443b7" /><Relationship Type="http://schemas.openxmlformats.org/officeDocument/2006/relationships/hyperlink" Target="https://api-v3.thaiwater.net/api/v1/thaiwater30/public/waterlevel_load" TargetMode="External" Id="R46c9b7ebbb144297" /><Relationship Type="http://schemas.openxmlformats.org/officeDocument/2006/relationships/hyperlink" Target="https://api-v3.thaiwater.net/api/v1/thaiwater30/public/waterlevel_load" TargetMode="External" Id="R6dfac3d380414b99" /><Relationship Type="http://schemas.openxmlformats.org/officeDocument/2006/relationships/hyperlink" Target="https://api-v3.thaiwater.net/api/v1/thaiwater30/public/waterlevel_load" TargetMode="External" Id="R4966f3e7fafa4ad7" /><Relationship Type="http://schemas.openxmlformats.org/officeDocument/2006/relationships/hyperlink" Target="https://api-v3.thaiwater.net/api/v1/thaiwater30/public/waterlevel_load" TargetMode="External" Id="Re9cedf21bf8a4834" /><Relationship Type="http://schemas.openxmlformats.org/officeDocument/2006/relationships/hyperlink" Target="https://api-v3.thaiwater.net/api/v1/thaiwater30/public/waterlevel_load" TargetMode="External" Id="R972e8f7a00dc4eb4" /><Relationship Type="http://schemas.openxmlformats.org/officeDocument/2006/relationships/hyperlink" Target="https://api-v3.thaiwater.net/api/v1/thaiwater30/public/waterlevel_load" TargetMode="External" Id="R611189aecb624a55" /><Relationship Type="http://schemas.openxmlformats.org/officeDocument/2006/relationships/hyperlink" Target="https://api-v3.thaiwater.net/api/v1/thaiwater30/public/waterlevel_load" TargetMode="External" Id="R4eb94d8bb55f4121" /><Relationship Type="http://schemas.openxmlformats.org/officeDocument/2006/relationships/hyperlink" Target="https://api-v3.thaiwater.net/api/v1/thaiwater30/public/waterlevel_load" TargetMode="External" Id="R5f8f40271c424467" /><Relationship Type="http://schemas.openxmlformats.org/officeDocument/2006/relationships/hyperlink" Target="https://api-v3.thaiwater.net/api/v1/thaiwater30/public/waterlevel_load" TargetMode="External" Id="Ra2a4fb97280d41b2" /><Relationship Type="http://schemas.openxmlformats.org/officeDocument/2006/relationships/hyperlink" Target="https://api-v3.thaiwater.net/api/v1/thaiwater30/public/waterlevel_load" TargetMode="External" Id="Ra175d1fa9d714541" /><Relationship Type="http://schemas.openxmlformats.org/officeDocument/2006/relationships/hyperlink" Target="https://api-v3.thaiwater.net/api/v1/thaiwater30/public/waterlevel_load" TargetMode="External" Id="Reb1a2ba3703844f6" /><Relationship Type="http://schemas.openxmlformats.org/officeDocument/2006/relationships/hyperlink" Target="https://api-v3.thaiwater.net/api/v1/thaiwater30/public/waterlevel_load" TargetMode="External" Id="Rd0d60a573bfc414b" /><Relationship Type="http://schemas.openxmlformats.org/officeDocument/2006/relationships/hyperlink" Target="https://api-v3.thaiwater.net/api/v1/thaiwater30/public/waterlevel_load" TargetMode="External" Id="Re2f076016e654bd7" /><Relationship Type="http://schemas.openxmlformats.org/officeDocument/2006/relationships/hyperlink" Target="https://api-v3.thaiwater.net/api/v1/thaiwater30/public/waterlevel_load" TargetMode="External" Id="Rbe323d5e91fa40c6" /><Relationship Type="http://schemas.openxmlformats.org/officeDocument/2006/relationships/hyperlink" Target="https://api-v3.thaiwater.net/api/v1/thaiwater30/public/waterlevel_load" TargetMode="External" Id="R159c7c6fa837484c" /><Relationship Type="http://schemas.openxmlformats.org/officeDocument/2006/relationships/hyperlink" Target="https://api-v3.thaiwater.net/api/v1/thaiwater30/public/waterlevel_load" TargetMode="External" Id="Ra548875b48ce43c9" /><Relationship Type="http://schemas.openxmlformats.org/officeDocument/2006/relationships/hyperlink" Target="https://api-v3.thaiwater.net/api/v1/thaiwater30/public/waterlevel_load" TargetMode="External" Id="Re1939bef56fc44b9" /><Relationship Type="http://schemas.openxmlformats.org/officeDocument/2006/relationships/hyperlink" Target="https://api-v3.thaiwater.net/api/v1/thaiwater30/public/waterlevel_load" TargetMode="External" Id="R603d2acf8e624bbe" /><Relationship Type="http://schemas.openxmlformats.org/officeDocument/2006/relationships/hyperlink" Target="https://api-v3.thaiwater.net/api/v1/thaiwater30/public/waterlevel_load" TargetMode="External" Id="Rf22ab832e4c34f38" /><Relationship Type="http://schemas.openxmlformats.org/officeDocument/2006/relationships/hyperlink" Target="https://api-v3.thaiwater.net/api/v1/thaiwater30/public/waterlevel_load" TargetMode="External" Id="R90f010b642734c13" /><Relationship Type="http://schemas.openxmlformats.org/officeDocument/2006/relationships/hyperlink" Target="https://api-v3.thaiwater.net/api/v1/thaiwater30/public/waterlevel_load" TargetMode="External" Id="R28ff8c90b8ac471e" /><Relationship Type="http://schemas.openxmlformats.org/officeDocument/2006/relationships/hyperlink" Target="https://api-v3.thaiwater.net/api/v1/thaiwater30/public/waterlevel_load" TargetMode="External" Id="Red48e2fb139545a7" /><Relationship Type="http://schemas.openxmlformats.org/officeDocument/2006/relationships/hyperlink" Target="https://api-v3.thaiwater.net/api/v1/thaiwater30/public/waterlevel_load" TargetMode="External" Id="R563c86b2a7a14182" /><Relationship Type="http://schemas.openxmlformats.org/officeDocument/2006/relationships/hyperlink" Target="https://api-v3.thaiwater.net/api/v1/thaiwater30/public/waterlevel_load" TargetMode="External" Id="Rfe85819a4d51427b" /><Relationship Type="http://schemas.openxmlformats.org/officeDocument/2006/relationships/hyperlink" Target="https://api-v3.thaiwater.net/api/v1/thaiwater30/public/waterlevel_load" TargetMode="External" Id="R47aa47c90e8b413b" /><Relationship Type="http://schemas.openxmlformats.org/officeDocument/2006/relationships/hyperlink" Target="https://api-v3.thaiwater.net/api/v1/thaiwater30/public/waterlevel_load" TargetMode="External" Id="R7745ba3d00f3454c" /><Relationship Type="http://schemas.openxmlformats.org/officeDocument/2006/relationships/hyperlink" Target="https://api-v3.thaiwater.net/api/v1/thaiwater30/public/waterlevel_load" TargetMode="External" Id="R32ddc3ed489d4c86" /><Relationship Type="http://schemas.openxmlformats.org/officeDocument/2006/relationships/hyperlink" Target="https://api-v3.thaiwater.net/api/v1/thaiwater30/public/waterlevel_load" TargetMode="External" Id="R6878897423504520" /><Relationship Type="http://schemas.openxmlformats.org/officeDocument/2006/relationships/hyperlink" Target="https://api-v3.thaiwater.net/api/v1/thaiwater30/public/waterlevel_load" TargetMode="External" Id="R69f2559086434b35" /><Relationship Type="http://schemas.openxmlformats.org/officeDocument/2006/relationships/hyperlink" Target="https://api-v3.thaiwater.net/api/v1/thaiwater30/public/waterlevel_load" TargetMode="External" Id="Rd3f23d2cfcbf4568" /><Relationship Type="http://schemas.openxmlformats.org/officeDocument/2006/relationships/hyperlink" Target="https://api-v3.thaiwater.net/api/v1/thaiwater30/public/waterlevel_load" TargetMode="External" Id="R38d6fa9fbc2a4d30" /><Relationship Type="http://schemas.openxmlformats.org/officeDocument/2006/relationships/hyperlink" Target="https://api-v3.thaiwater.net/api/v1/thaiwater30/public/waterlevel_load" TargetMode="External" Id="R0335413affd6484a" /><Relationship Type="http://schemas.openxmlformats.org/officeDocument/2006/relationships/hyperlink" Target="https://api-v3.thaiwater.net/api/v1/thaiwater30/public/waterlevel_load" TargetMode="External" Id="Rfc38d411451c4453" /><Relationship Type="http://schemas.openxmlformats.org/officeDocument/2006/relationships/hyperlink" Target="https://api-v3.thaiwater.net/api/v1/thaiwater30/public/waterlevel_load" TargetMode="External" Id="Rc47e2e6839b94644" /><Relationship Type="http://schemas.openxmlformats.org/officeDocument/2006/relationships/hyperlink" Target="https://api-v3.thaiwater.net/api/v1/thaiwater30/public/waterlevel_load" TargetMode="External" Id="Rec850711f48e4cb7" /><Relationship Type="http://schemas.openxmlformats.org/officeDocument/2006/relationships/hyperlink" Target="https://api-v3.thaiwater.net/api/v1/thaiwater30/public/waterlevel_load" TargetMode="External" Id="R1d932e518ba7432c" /><Relationship Type="http://schemas.openxmlformats.org/officeDocument/2006/relationships/hyperlink" Target="https://api-v3.thaiwater.net/api/v1/thaiwater30/public/waterlevel_load" TargetMode="External" Id="R9f3754f1b91147c3" /><Relationship Type="http://schemas.openxmlformats.org/officeDocument/2006/relationships/hyperlink" Target="https://api-v3.thaiwater.net/api/v1/thaiwater30/public/waterlevel_load" TargetMode="External" Id="R05d2b1226eeb48ee" /><Relationship Type="http://schemas.openxmlformats.org/officeDocument/2006/relationships/hyperlink" Target="https://api-v3.thaiwater.net/api/v1/thaiwater30/public/waterlevel_load" TargetMode="External" Id="Rb6167c0a71b64280" /><Relationship Type="http://schemas.openxmlformats.org/officeDocument/2006/relationships/hyperlink" Target="https://api-v3.thaiwater.net/api/v1/thaiwater30/public/waterlevel_load" TargetMode="External" Id="R3db410d688b443ec" /><Relationship Type="http://schemas.openxmlformats.org/officeDocument/2006/relationships/hyperlink" Target="https://api-v3.thaiwater.net/api/v1/thaiwater30/public/waterlevel_load" TargetMode="External" Id="R8fcb2aa64ee643b9" /><Relationship Type="http://schemas.openxmlformats.org/officeDocument/2006/relationships/hyperlink" Target="https://api-v3.thaiwater.net/api/v1/thaiwater30/public/waterlevel_load" TargetMode="External" Id="R0299bae290a84a7f" /><Relationship Type="http://schemas.openxmlformats.org/officeDocument/2006/relationships/hyperlink" Target="https://api-v3.thaiwater.net/api/v1/thaiwater30/public/waterlevel_load" TargetMode="External" Id="Rb0f01835e4c14a99" /><Relationship Type="http://schemas.openxmlformats.org/officeDocument/2006/relationships/hyperlink" Target="https://api-v3.thaiwater.net/api/v1/thaiwater30/public/waterlevel_load" TargetMode="External" Id="R0a0e60a334494399" /><Relationship Type="http://schemas.openxmlformats.org/officeDocument/2006/relationships/hyperlink" Target="https://api-v3.thaiwater.net/api/v1/thaiwater30/public/waterlevel_load" TargetMode="External" Id="Re471d4ac34544ef1" /><Relationship Type="http://schemas.openxmlformats.org/officeDocument/2006/relationships/hyperlink" Target="https://api-v3.thaiwater.net/api/v1/thaiwater30/public/waterlevel_load" TargetMode="External" Id="Rf75a0ac4b366496d" /><Relationship Type="http://schemas.openxmlformats.org/officeDocument/2006/relationships/hyperlink" Target="https://api-v3.thaiwater.net/api/v1/thaiwater30/public/waterlevel_load" TargetMode="External" Id="R612d7859affe41c0" /><Relationship Type="http://schemas.openxmlformats.org/officeDocument/2006/relationships/hyperlink" Target="https://api-v3.thaiwater.net/api/v1/thaiwater30/public/waterlevel_load" TargetMode="External" Id="Rcd1c789815a24b2b" /><Relationship Type="http://schemas.openxmlformats.org/officeDocument/2006/relationships/hyperlink" Target="https://api-v3.thaiwater.net/api/v1/thaiwater30/public/waterlevel_load" TargetMode="External" Id="R170ebdb4e9d843f6" /><Relationship Type="http://schemas.openxmlformats.org/officeDocument/2006/relationships/hyperlink" Target="https://api-v3.thaiwater.net/api/v1/thaiwater30/public/waterlevel_load" TargetMode="External" Id="Rd743d1c00c90463b" /><Relationship Type="http://schemas.openxmlformats.org/officeDocument/2006/relationships/hyperlink" Target="https://api-v3.thaiwater.net/api/v1/thaiwater30/public/waterlevel_load" TargetMode="External" Id="Rb23e26a1f33040e6" /><Relationship Type="http://schemas.openxmlformats.org/officeDocument/2006/relationships/hyperlink" Target="https://api-v3.thaiwater.net/api/v1/thaiwater30/public/waterlevel_load" TargetMode="External" Id="Rf126a163aa524ecf" /><Relationship Type="http://schemas.openxmlformats.org/officeDocument/2006/relationships/hyperlink" Target="https://api-v3.thaiwater.net/api/v1/thaiwater30/public/waterlevel_load" TargetMode="External" Id="R6e5c2947b162413f" /><Relationship Type="http://schemas.openxmlformats.org/officeDocument/2006/relationships/hyperlink" Target="https://api-v3.thaiwater.net/api/v1/thaiwater30/public/waterlevel_load" TargetMode="External" Id="R41175c99cb7a4a38" /><Relationship Type="http://schemas.openxmlformats.org/officeDocument/2006/relationships/hyperlink" Target="https://api-v3.thaiwater.net/api/v1/thaiwater30/public/waterlevel_load" TargetMode="External" Id="Re98b39c8ed954255" /><Relationship Type="http://schemas.openxmlformats.org/officeDocument/2006/relationships/hyperlink" Target="https://api-v3.thaiwater.net/api/v1/thaiwater30/public/waterlevel_load" TargetMode="External" Id="R0ce1454df0a443b7" /><Relationship Type="http://schemas.openxmlformats.org/officeDocument/2006/relationships/hyperlink" Target="https://api-v3.thaiwater.net/api/v1/thaiwater30/public/waterlevel_load" TargetMode="External" Id="R698f63763e474795" /><Relationship Type="http://schemas.openxmlformats.org/officeDocument/2006/relationships/hyperlink" Target="https://api-v3.thaiwater.net/api/v1/thaiwater30/public/waterlevel_load" TargetMode="External" Id="R47718bc451fe4562" /><Relationship Type="http://schemas.openxmlformats.org/officeDocument/2006/relationships/hyperlink" Target="https://api-v3.thaiwater.net/api/v1/thaiwater30/public/waterlevel_load" TargetMode="External" Id="R5148038ed0164a9f" /><Relationship Type="http://schemas.openxmlformats.org/officeDocument/2006/relationships/hyperlink" Target="https://api-v3.thaiwater.net/api/v1/thaiwater30/public/waterlevel_load" TargetMode="External" Id="R6918ce7c49a1423e" /><Relationship Type="http://schemas.openxmlformats.org/officeDocument/2006/relationships/hyperlink" Target="https://api-v3.thaiwater.net/api/v1/thaiwater30/public/waterlevel_load" TargetMode="External" Id="R46c36c36cc07468e" /><Relationship Type="http://schemas.openxmlformats.org/officeDocument/2006/relationships/hyperlink" Target="https://api-v3.thaiwater.net/api/v1/thaiwater30/public/waterlevel_load" TargetMode="External" Id="R80ba2081c79048a5" /><Relationship Type="http://schemas.openxmlformats.org/officeDocument/2006/relationships/hyperlink" Target="https://api-v3.thaiwater.net/api/v1/thaiwater30/public/waterlevel_load" TargetMode="External" Id="R9d01c4f8214b4f2e" /><Relationship Type="http://schemas.openxmlformats.org/officeDocument/2006/relationships/hyperlink" Target="https://api-v3.thaiwater.net/api/v1/thaiwater30/public/waterlevel_load" TargetMode="External" Id="R44a0785d62a44306" /><Relationship Type="http://schemas.openxmlformats.org/officeDocument/2006/relationships/hyperlink" Target="https://api-v3.thaiwater.net/api/v1/thaiwater30/public/waterlevel_load" TargetMode="External" Id="Re56dc4164c0743aa" /><Relationship Type="http://schemas.openxmlformats.org/officeDocument/2006/relationships/hyperlink" Target="https://api-v3.thaiwater.net/api/v1/thaiwater30/public/waterlevel_load" TargetMode="External" Id="Rd672c8d51a3b408d" /><Relationship Type="http://schemas.openxmlformats.org/officeDocument/2006/relationships/hyperlink" Target="https://api-v3.thaiwater.net/api/v1/thaiwater30/public/waterlevel_load" TargetMode="External" Id="R64dab387803244c4" /><Relationship Type="http://schemas.openxmlformats.org/officeDocument/2006/relationships/hyperlink" Target="https://api-v3.thaiwater.net/api/v1/thaiwater30/public/waterlevel_load" TargetMode="External" Id="Rf20e7e7f55634bf4" /><Relationship Type="http://schemas.openxmlformats.org/officeDocument/2006/relationships/hyperlink" Target="https://api-v3.thaiwater.net/api/v1/thaiwater30/public/waterlevel_load" TargetMode="External" Id="R1e9dbd36b9ec45ae" /><Relationship Type="http://schemas.openxmlformats.org/officeDocument/2006/relationships/hyperlink" Target="https://api-v3.thaiwater.net/api/v1/thaiwater30/public/waterlevel_load" TargetMode="External" Id="Rea7cc21f3e004b83" /><Relationship Type="http://schemas.openxmlformats.org/officeDocument/2006/relationships/hyperlink" Target="https://api-v3.thaiwater.net/api/v1/thaiwater30/public/waterlevel_load" TargetMode="External" Id="R0e8bc994aa414bd3" /><Relationship Type="http://schemas.openxmlformats.org/officeDocument/2006/relationships/hyperlink" Target="https://api-v3.thaiwater.net/api/v1/thaiwater30/public/waterlevel_load" TargetMode="External" Id="Ra80d388f27bc4abb" /><Relationship Type="http://schemas.openxmlformats.org/officeDocument/2006/relationships/hyperlink" Target="https://api-v3.thaiwater.net/api/v1/thaiwater30/public/waterlevel_load" TargetMode="External" Id="R5492545b0dc44763" /><Relationship Type="http://schemas.openxmlformats.org/officeDocument/2006/relationships/hyperlink" Target="https://api-v3.thaiwater.net/api/v1/thaiwater30/public/waterlevel_load" TargetMode="External" Id="Rc772a80db5a24bb4" /><Relationship Type="http://schemas.openxmlformats.org/officeDocument/2006/relationships/hyperlink" Target="https://api-v3.thaiwater.net/api/v1/thaiwater30/public/waterlevel_load" TargetMode="External" Id="R01ec37cd0a144774" /><Relationship Type="http://schemas.openxmlformats.org/officeDocument/2006/relationships/hyperlink" Target="https://api-v3.thaiwater.net/api/v1/thaiwater30/public/waterlevel_load" TargetMode="External" Id="R1b7386b896df434d" /><Relationship Type="http://schemas.openxmlformats.org/officeDocument/2006/relationships/hyperlink" Target="https://api-v3.thaiwater.net/api/v1/thaiwater30/public/waterlevel_load" TargetMode="External" Id="R6ab4680f8b184675" /><Relationship Type="http://schemas.openxmlformats.org/officeDocument/2006/relationships/hyperlink" Target="https://api-v3.thaiwater.net/api/v1/thaiwater30/public/waterlevel_load" TargetMode="External" Id="Rb50e676981764dc1" /><Relationship Type="http://schemas.openxmlformats.org/officeDocument/2006/relationships/hyperlink" Target="https://api-v3.thaiwater.net/api/v1/thaiwater30/public/waterlevel_load" TargetMode="External" Id="R9876ce27291444f4" /><Relationship Type="http://schemas.openxmlformats.org/officeDocument/2006/relationships/hyperlink" Target="https://api-v3.thaiwater.net/api/v1/thaiwater30/public/waterlevel_load" TargetMode="External" Id="R89dfc865574a4504" /><Relationship Type="http://schemas.openxmlformats.org/officeDocument/2006/relationships/hyperlink" Target="https://api-v3.thaiwater.net/api/v1/thaiwater30/public/waterlevel_load" TargetMode="External" Id="R894b6436ddd44742" /><Relationship Type="http://schemas.openxmlformats.org/officeDocument/2006/relationships/hyperlink" Target="https://api-v3.thaiwater.net/api/v1/thaiwater30/public/waterlevel_load" TargetMode="External" Id="Ra4df5d1ff2dc439b" /><Relationship Type="http://schemas.openxmlformats.org/officeDocument/2006/relationships/hyperlink" Target="https://api-v3.thaiwater.net/api/v1/thaiwater30/public/waterlevel_load" TargetMode="External" Id="R7c2360e1e400463e" /><Relationship Type="http://schemas.openxmlformats.org/officeDocument/2006/relationships/hyperlink" Target="https://api-v3.thaiwater.net/api/v1/thaiwater30/public/waterlevel_load" TargetMode="External" Id="R58a532fa24bb49b3" /><Relationship Type="http://schemas.openxmlformats.org/officeDocument/2006/relationships/hyperlink" Target="https://api-v3.thaiwater.net/api/v1/thaiwater30/public/waterlevel_load" TargetMode="External" Id="R4a29bd918d484436" /><Relationship Type="http://schemas.openxmlformats.org/officeDocument/2006/relationships/hyperlink" Target="https://api-v3.thaiwater.net/api/v1/thaiwater30/public/waterlevel_load" TargetMode="External" Id="R1e7fb77ec2bd46cd" /><Relationship Type="http://schemas.openxmlformats.org/officeDocument/2006/relationships/hyperlink" Target="https://api-v3.thaiwater.net/api/v1/thaiwater30/public/waterlevel_load" TargetMode="External" Id="R828a030532334833" /><Relationship Type="http://schemas.openxmlformats.org/officeDocument/2006/relationships/hyperlink" Target="https://api-v3.thaiwater.net/api/v1/thaiwater30/public/waterlevel_load" TargetMode="External" Id="R571de0e2f0c4428d" /><Relationship Type="http://schemas.openxmlformats.org/officeDocument/2006/relationships/hyperlink" Target="https://api-v3.thaiwater.net/api/v1/thaiwater30/public/waterlevel_load" TargetMode="External" Id="Rfad90da993f2436a" /><Relationship Type="http://schemas.openxmlformats.org/officeDocument/2006/relationships/hyperlink" Target="https://api-v3.thaiwater.net/api/v1/thaiwater30/public/waterlevel_load" TargetMode="External" Id="R2b6b5debfa1d4dd6" /><Relationship Type="http://schemas.openxmlformats.org/officeDocument/2006/relationships/hyperlink" Target="https://api-v3.thaiwater.net/api/v1/thaiwater30/public/waterlevel_load" TargetMode="External" Id="R4aca51f4afc94ae0" /><Relationship Type="http://schemas.openxmlformats.org/officeDocument/2006/relationships/hyperlink" Target="https://api-v3.thaiwater.net/api/v1/thaiwater30/public/waterlevel_load" TargetMode="External" Id="Rac1c98a1a4974207" /><Relationship Type="http://schemas.openxmlformats.org/officeDocument/2006/relationships/hyperlink" Target="https://api-v3.thaiwater.net/api/v1/thaiwater30/public/waterlevel_load" TargetMode="External" Id="R4103e03ec20e4a47" /><Relationship Type="http://schemas.openxmlformats.org/officeDocument/2006/relationships/hyperlink" Target="https://api-v3.thaiwater.net/api/v1/thaiwater30/public/waterlevel_load" TargetMode="External" Id="R7def28433bfb42c1" /><Relationship Type="http://schemas.openxmlformats.org/officeDocument/2006/relationships/hyperlink" Target="https://api-v3.thaiwater.net/api/v1/thaiwater30/public/waterlevel_load" TargetMode="External" Id="Rb1d362d8bc9248f4" /><Relationship Type="http://schemas.openxmlformats.org/officeDocument/2006/relationships/hyperlink" Target="https://api-v3.thaiwater.net/api/v1/thaiwater30/public/waterlevel_load" TargetMode="External" Id="Rfd834c44a47244e1" /><Relationship Type="http://schemas.openxmlformats.org/officeDocument/2006/relationships/hyperlink" Target="https://api-v3.thaiwater.net/api/v1/thaiwater30/public/waterlevel_load" TargetMode="External" Id="Ra9e82a5b05b04dd2" /><Relationship Type="http://schemas.openxmlformats.org/officeDocument/2006/relationships/hyperlink" Target="https://api-v3.thaiwater.net/api/v1/thaiwater30/public/waterlevel_load" TargetMode="External" Id="Rfbcae225b0774f7e" /><Relationship Type="http://schemas.openxmlformats.org/officeDocument/2006/relationships/hyperlink" Target="https://api-v3.thaiwater.net/api/v1/thaiwater30/public/waterlevel_load" TargetMode="External" Id="R3b4b514e7f9b41e6" /><Relationship Type="http://schemas.openxmlformats.org/officeDocument/2006/relationships/hyperlink" Target="https://api-v3.thaiwater.net/api/v1/thaiwater30/public/waterlevel_load" TargetMode="External" Id="Rd18c8525b2fc4920" /><Relationship Type="http://schemas.openxmlformats.org/officeDocument/2006/relationships/hyperlink" Target="https://api-v3.thaiwater.net/api/v1/thaiwater30/public/waterlevel_load" TargetMode="External" Id="R30006add09264e36" /><Relationship Type="http://schemas.openxmlformats.org/officeDocument/2006/relationships/hyperlink" Target="https://api-v3.thaiwater.net/api/v1/thaiwater30/public/waterlevel_load" TargetMode="External" Id="Rbf014e66c4704bda" /><Relationship Type="http://schemas.openxmlformats.org/officeDocument/2006/relationships/hyperlink" Target="https://api-v3.thaiwater.net/api/v1/thaiwater30/public/waterlevel_load" TargetMode="External" Id="Rd01545c8ddeb440c" /><Relationship Type="http://schemas.openxmlformats.org/officeDocument/2006/relationships/hyperlink" Target="https://api-v3.thaiwater.net/api/v1/thaiwater30/public/waterlevel_load" TargetMode="External" Id="Rab7d5d79fc034fbd" /><Relationship Type="http://schemas.openxmlformats.org/officeDocument/2006/relationships/hyperlink" Target="https://api-v3.thaiwater.net/api/v1/thaiwater30/public/waterlevel_load" TargetMode="External" Id="R7ce15a3ec63842a0" /><Relationship Type="http://schemas.openxmlformats.org/officeDocument/2006/relationships/hyperlink" Target="https://api-v3.thaiwater.net/api/v1/thaiwater30/public/waterlevel_load" TargetMode="External" Id="Rf9b8bd0dbbd545e6" /><Relationship Type="http://schemas.openxmlformats.org/officeDocument/2006/relationships/hyperlink" Target="https://api-v3.thaiwater.net/api/v1/thaiwater30/public/waterlevel_load" TargetMode="External" Id="R7f42e1f4440b4ca2" /><Relationship Type="http://schemas.openxmlformats.org/officeDocument/2006/relationships/hyperlink" Target="https://api-v3.thaiwater.net/api/v1/thaiwater30/public/waterlevel_load" TargetMode="External" Id="Ra6a566a1912c4d41" /><Relationship Type="http://schemas.openxmlformats.org/officeDocument/2006/relationships/hyperlink" Target="https://api-v3.thaiwater.net/api/v1/thaiwater30/public/waterlevel_load" TargetMode="External" Id="R7d72452cf959417a" /><Relationship Type="http://schemas.openxmlformats.org/officeDocument/2006/relationships/hyperlink" Target="https://api-v3.thaiwater.net/api/v1/thaiwater30/public/waterlevel_load" TargetMode="External" Id="R85f9ebea68fe4709" /><Relationship Type="http://schemas.openxmlformats.org/officeDocument/2006/relationships/hyperlink" Target="https://api-v3.thaiwater.net/api/v1/thaiwater30/public/waterlevel_load" TargetMode="External" Id="Rc73bf83c340b4c34" /><Relationship Type="http://schemas.openxmlformats.org/officeDocument/2006/relationships/hyperlink" Target="https://api-v3.thaiwater.net/api/v1/thaiwater30/public/waterlevel_load" TargetMode="External" Id="R5b00fece0bb04c91" /><Relationship Type="http://schemas.openxmlformats.org/officeDocument/2006/relationships/hyperlink" Target="https://api-v3.thaiwater.net/api/v1/thaiwater30/public/waterlevel_load" TargetMode="External" Id="R48e0b71a126a4c3e" /><Relationship Type="http://schemas.openxmlformats.org/officeDocument/2006/relationships/hyperlink" Target="https://api-v3.thaiwater.net/api/v1/thaiwater30/public/waterlevel_load" TargetMode="External" Id="Rfff5846d2b85486b" /><Relationship Type="http://schemas.openxmlformats.org/officeDocument/2006/relationships/hyperlink" Target="https://api-v3.thaiwater.net/api/v1/thaiwater30/public/waterlevel_load" TargetMode="External" Id="R7d07ae9fb7114e7c" /><Relationship Type="http://schemas.openxmlformats.org/officeDocument/2006/relationships/hyperlink" Target="https://api-v3.thaiwater.net/api/v1/thaiwater30/public/waterlevel_load" TargetMode="External" Id="Rc633c4062e2349d9" /><Relationship Type="http://schemas.openxmlformats.org/officeDocument/2006/relationships/hyperlink" Target="https://api-v3.thaiwater.net/api/v1/thaiwater30/public/waterlevel_load" TargetMode="External" Id="R4b36ecacc0a341b5" /><Relationship Type="http://schemas.openxmlformats.org/officeDocument/2006/relationships/hyperlink" Target="https://api-v3.thaiwater.net/api/v1/thaiwater30/public/waterlevel_load" TargetMode="External" Id="Rcbb6da6ae9a54b8e" /><Relationship Type="http://schemas.openxmlformats.org/officeDocument/2006/relationships/hyperlink" Target="https://api-v3.thaiwater.net/api/v1/thaiwater30/public/waterlevel_load" TargetMode="External" Id="Re4365facda84407f" /><Relationship Type="http://schemas.openxmlformats.org/officeDocument/2006/relationships/hyperlink" Target="https://api-v3.thaiwater.net/api/v1/thaiwater30/public/waterlevel_load" TargetMode="External" Id="R5998ba5aad994b78" /><Relationship Type="http://schemas.openxmlformats.org/officeDocument/2006/relationships/hyperlink" Target="https://api-v3.thaiwater.net/api/v1/thaiwater30/public/waterlevel_load" TargetMode="External" Id="R02bb059d69674342" /><Relationship Type="http://schemas.openxmlformats.org/officeDocument/2006/relationships/hyperlink" Target="https://api-v3.thaiwater.net/api/v1/thaiwater30/public/waterlevel_load" TargetMode="External" Id="R1d75be70920a4762" /><Relationship Type="http://schemas.openxmlformats.org/officeDocument/2006/relationships/hyperlink" Target="https://api-v3.thaiwater.net/api/v1/thaiwater30/public/waterlevel_load" TargetMode="External" Id="R172a4ba599fa4e39" /><Relationship Type="http://schemas.openxmlformats.org/officeDocument/2006/relationships/hyperlink" Target="https://api-v3.thaiwater.net/api/v1/thaiwater30/public/waterlevel_load" TargetMode="External" Id="R9e2660c0d105494d" /><Relationship Type="http://schemas.openxmlformats.org/officeDocument/2006/relationships/hyperlink" Target="https://api-v3.thaiwater.net/api/v1/thaiwater30/public/waterlevel_load" TargetMode="External" Id="Rb4afa84d152a4956" /><Relationship Type="http://schemas.openxmlformats.org/officeDocument/2006/relationships/hyperlink" Target="https://api-v3.thaiwater.net/api/v1/thaiwater30/public/waterlevel_load" TargetMode="External" Id="R969b05817cd74dc5" /><Relationship Type="http://schemas.openxmlformats.org/officeDocument/2006/relationships/hyperlink" Target="https://api-v3.thaiwater.net/api/v1/thaiwater30/public/waterlevel_load" TargetMode="External" Id="Rcb1503e3a2bc45d8" /><Relationship Type="http://schemas.openxmlformats.org/officeDocument/2006/relationships/hyperlink" Target="https://api-v3.thaiwater.net/api/v1/thaiwater30/public/waterlevel_load" TargetMode="External" Id="R7d351614235e4e9c" /><Relationship Type="http://schemas.openxmlformats.org/officeDocument/2006/relationships/hyperlink" Target="https://api-v3.thaiwater.net/api/v1/thaiwater30/public/waterlevel_load" TargetMode="External" Id="R509a924303b7422c" /><Relationship Type="http://schemas.openxmlformats.org/officeDocument/2006/relationships/hyperlink" Target="https://api-v3.thaiwater.net/api/v1/thaiwater30/public/waterlevel_load" TargetMode="External" Id="R5838dfa99b6a41ec" /><Relationship Type="http://schemas.openxmlformats.org/officeDocument/2006/relationships/hyperlink" Target="https://api-v3.thaiwater.net/api/v1/thaiwater30/public/waterlevel_load" TargetMode="External" Id="Ref91adc2a6204e05" /><Relationship Type="http://schemas.openxmlformats.org/officeDocument/2006/relationships/hyperlink" Target="https://api-v3.thaiwater.net/api/v1/thaiwater30/public/waterlevel_load" TargetMode="External" Id="R8ecc0dd6e5cf4cd3" /><Relationship Type="http://schemas.openxmlformats.org/officeDocument/2006/relationships/hyperlink" Target="https://api-v3.thaiwater.net/api/v1/thaiwater30/public/waterlevel_load" TargetMode="External" Id="R4c85ac8d73e2407a" /><Relationship Type="http://schemas.openxmlformats.org/officeDocument/2006/relationships/hyperlink" Target="https://api-v3.thaiwater.net/api/v1/thaiwater30/public/waterlevel_load" TargetMode="External" Id="Rd292e7a766ad4e18" /><Relationship Type="http://schemas.openxmlformats.org/officeDocument/2006/relationships/hyperlink" Target="https://api-v3.thaiwater.net/api/v1/thaiwater30/public/waterlevel_load" TargetMode="External" Id="Rdae27f6e40aa4229" /><Relationship Type="http://schemas.openxmlformats.org/officeDocument/2006/relationships/hyperlink" Target="https://api-v3.thaiwater.net/api/v1/thaiwater30/public/waterlevel_load" TargetMode="External" Id="R5d784ea1271740c6" /><Relationship Type="http://schemas.openxmlformats.org/officeDocument/2006/relationships/hyperlink" Target="https://api-v3.thaiwater.net/api/v1/thaiwater30/public/waterlevel_load" TargetMode="External" Id="R928cf9ce75d64026" /><Relationship Type="http://schemas.openxmlformats.org/officeDocument/2006/relationships/hyperlink" Target="https://api-v3.thaiwater.net/api/v1/thaiwater30/public/waterlevel_load" TargetMode="External" Id="Rb8ef4669510b4bfd" /><Relationship Type="http://schemas.openxmlformats.org/officeDocument/2006/relationships/hyperlink" Target="https://api-v3.thaiwater.net/api/v1/thaiwater30/public/waterlevel_load" TargetMode="External" Id="R2c24bfa49b8f4a6c" /><Relationship Type="http://schemas.openxmlformats.org/officeDocument/2006/relationships/hyperlink" Target="https://api-v3.thaiwater.net/api/v1/thaiwater30/public/waterlevel_load" TargetMode="External" Id="Rcf2f700a641b4749" /><Relationship Type="http://schemas.openxmlformats.org/officeDocument/2006/relationships/hyperlink" Target="https://api-v3.thaiwater.net/api/v1/thaiwater30/public/waterlevel_load" TargetMode="External" Id="R096cb34cdce84b5e" /><Relationship Type="http://schemas.openxmlformats.org/officeDocument/2006/relationships/hyperlink" Target="https://api-v3.thaiwater.net/api/v1/thaiwater30/public/waterlevel_load" TargetMode="External" Id="R2161eb8db78c44b9" /><Relationship Type="http://schemas.openxmlformats.org/officeDocument/2006/relationships/hyperlink" Target="https://api-v3.thaiwater.net/api/v1/thaiwater30/public/waterlevel_load" TargetMode="External" Id="R9f0d452b918f43e1" /><Relationship Type="http://schemas.openxmlformats.org/officeDocument/2006/relationships/hyperlink" Target="https://api-v3.thaiwater.net/api/v1/thaiwater30/public/waterlevel_load" TargetMode="External" Id="R23a6ee65536d4398" /><Relationship Type="http://schemas.openxmlformats.org/officeDocument/2006/relationships/hyperlink" Target="https://api-v3.thaiwater.net/api/v1/thaiwater30/public/waterlevel_load" TargetMode="External" Id="Rbba8f53245b94fc4" /><Relationship Type="http://schemas.openxmlformats.org/officeDocument/2006/relationships/hyperlink" Target="https://api-v3.thaiwater.net/api/v1/thaiwater30/public/waterlevel_load" TargetMode="External" Id="R26df3ee9a9e14039" /><Relationship Type="http://schemas.openxmlformats.org/officeDocument/2006/relationships/hyperlink" Target="https://api-v3.thaiwater.net/api/v1/thaiwater30/public/waterlevel_load" TargetMode="External" Id="R8e5223326e2e47bf" /><Relationship Type="http://schemas.openxmlformats.org/officeDocument/2006/relationships/hyperlink" Target="https://api-v3.thaiwater.net/api/v1/thaiwater30/public/waterlevel_load" TargetMode="External" Id="R406571d5e8de4006" /><Relationship Type="http://schemas.openxmlformats.org/officeDocument/2006/relationships/hyperlink" Target="https://api-v3.thaiwater.net/api/v1/thaiwater30/public/waterlevel_load" TargetMode="External" Id="R20f9417451f74d14" /><Relationship Type="http://schemas.openxmlformats.org/officeDocument/2006/relationships/hyperlink" Target="https://api-v3.thaiwater.net/api/v1/thaiwater30/public/waterlevel_load" TargetMode="External" Id="Rdcb90800314a4a12" /><Relationship Type="http://schemas.openxmlformats.org/officeDocument/2006/relationships/hyperlink" Target="https://api-v3.thaiwater.net/api/v1/thaiwater30/public/waterlevel_load" TargetMode="External" Id="R4b63228846e84f2a" /><Relationship Type="http://schemas.openxmlformats.org/officeDocument/2006/relationships/hyperlink" Target="https://api-v3.thaiwater.net/api/v1/thaiwater30/public/waterlevel_load" TargetMode="External" Id="R1b691670725044e3" /><Relationship Type="http://schemas.openxmlformats.org/officeDocument/2006/relationships/hyperlink" Target="https://api-v3.thaiwater.net/api/v1/thaiwater30/public/waterlevel_load" TargetMode="External" Id="Rc394826e1e0d4316" /><Relationship Type="http://schemas.openxmlformats.org/officeDocument/2006/relationships/hyperlink" Target="https://api-v3.thaiwater.net/api/v1/thaiwater30/public/waterlevel_load" TargetMode="External" Id="R8f93a95a9a2b4f36" /><Relationship Type="http://schemas.openxmlformats.org/officeDocument/2006/relationships/hyperlink" Target="https://api-v3.thaiwater.net/api/v1/thaiwater30/public/waterlevel_load" TargetMode="External" Id="Rf435c8aa0a6c4933" /><Relationship Type="http://schemas.openxmlformats.org/officeDocument/2006/relationships/hyperlink" Target="https://api-v3.thaiwater.net/api/v1/thaiwater30/public/waterlevel_load" TargetMode="External" Id="R8115b589209a4859" /><Relationship Type="http://schemas.openxmlformats.org/officeDocument/2006/relationships/hyperlink" Target="https://api-v3.thaiwater.net/api/v1/thaiwater30/public/waterlevel_load" TargetMode="External" Id="R2f51bea59a1a40ae" /><Relationship Type="http://schemas.openxmlformats.org/officeDocument/2006/relationships/hyperlink" Target="https://api-v3.thaiwater.net/api/v1/thaiwater30/public/waterlevel_load" TargetMode="External" Id="Re00780fc27f148b4" /><Relationship Type="http://schemas.openxmlformats.org/officeDocument/2006/relationships/hyperlink" Target="https://api-v3.thaiwater.net/api/v1/thaiwater30/public/waterlevel_load" TargetMode="External" Id="R76581dc3fb2741f3" /><Relationship Type="http://schemas.openxmlformats.org/officeDocument/2006/relationships/hyperlink" Target="https://api-v3.thaiwater.net/api/v1/thaiwater30/public/waterlevel_load" TargetMode="External" Id="R9850f212a4134e23" /><Relationship Type="http://schemas.openxmlformats.org/officeDocument/2006/relationships/hyperlink" Target="https://api-v3.thaiwater.net/api/v1/thaiwater30/public/waterlevel_load" TargetMode="External" Id="R12b6a95c712d4806" /><Relationship Type="http://schemas.openxmlformats.org/officeDocument/2006/relationships/hyperlink" Target="https://api-v3.thaiwater.net/api/v1/thaiwater30/public/waterlevel_load" TargetMode="External" Id="Rfd542543f6444f2f" /><Relationship Type="http://schemas.openxmlformats.org/officeDocument/2006/relationships/hyperlink" Target="https://api-v3.thaiwater.net/api/v1/thaiwater30/public/waterlevel_load" TargetMode="External" Id="Rf9348d22902c498e" /><Relationship Type="http://schemas.openxmlformats.org/officeDocument/2006/relationships/hyperlink" Target="https://api-v3.thaiwater.net/api/v1/thaiwater30/public/waterlevel_load" TargetMode="External" Id="R1f0af25b22c347b1" /><Relationship Type="http://schemas.openxmlformats.org/officeDocument/2006/relationships/hyperlink" Target="https://api-v3.thaiwater.net/api/v1/thaiwater30/public/waterlevel_load" TargetMode="External" Id="R0b23662781544717" /><Relationship Type="http://schemas.openxmlformats.org/officeDocument/2006/relationships/hyperlink" Target="https://api-v3.thaiwater.net/api/v1/thaiwater30/public/waterlevel_load" TargetMode="External" Id="R3e0951347c1f40ea" /><Relationship Type="http://schemas.openxmlformats.org/officeDocument/2006/relationships/hyperlink" Target="https://api-v3.thaiwater.net/api/v1/thaiwater30/public/waterlevel_load" TargetMode="External" Id="R18d3bbcb8de94a21" /><Relationship Type="http://schemas.openxmlformats.org/officeDocument/2006/relationships/hyperlink" Target="https://api-v3.thaiwater.net/api/v1/thaiwater30/public/waterlevel_load" TargetMode="External" Id="Rbb6fc35566ef4cd8" /><Relationship Type="http://schemas.openxmlformats.org/officeDocument/2006/relationships/hyperlink" Target="https://api-v3.thaiwater.net/api/v1/thaiwater30/public/waterlevel_load" TargetMode="External" Id="Rd17bb725d5f84917" /><Relationship Type="http://schemas.openxmlformats.org/officeDocument/2006/relationships/hyperlink" Target="https://api-v3.thaiwater.net/api/v1/thaiwater30/public/waterlevel_load" TargetMode="External" Id="R17d8a190d2614baf" /><Relationship Type="http://schemas.openxmlformats.org/officeDocument/2006/relationships/hyperlink" Target="https://api-v3.thaiwater.net/api/v1/thaiwater30/public/waterlevel_load" TargetMode="External" Id="R4bfdb9c570b5452f" /><Relationship Type="http://schemas.openxmlformats.org/officeDocument/2006/relationships/hyperlink" Target="https://api-v3.thaiwater.net/api/v1/thaiwater30/public/waterlevel_load" TargetMode="External" Id="R89d23f20e57a4d1e" /><Relationship Type="http://schemas.openxmlformats.org/officeDocument/2006/relationships/hyperlink" Target="https://api-v3.thaiwater.net/api/v1/thaiwater30/public/waterlevel_load" TargetMode="External" Id="R7c3420ebeb4d4d8d" /><Relationship Type="http://schemas.openxmlformats.org/officeDocument/2006/relationships/hyperlink" Target="https://api-v3.thaiwater.net/api/v1/thaiwater30/public/waterlevel_load" TargetMode="External" Id="Ra6e4ff41ed1f4c4b" /><Relationship Type="http://schemas.openxmlformats.org/officeDocument/2006/relationships/hyperlink" Target="https://api-v3.thaiwater.net/api/v1/thaiwater30/public/waterlevel_load" TargetMode="External" Id="Rd6940b5fb4644a73" /><Relationship Type="http://schemas.openxmlformats.org/officeDocument/2006/relationships/hyperlink" Target="https://api-v3.thaiwater.net/api/v1/thaiwater30/public/waterlevel_load" TargetMode="External" Id="R580f903242ae4ea9" /><Relationship Type="http://schemas.openxmlformats.org/officeDocument/2006/relationships/hyperlink" Target="https://api-v3.thaiwater.net/api/v1/thaiwater30/public/waterlevel_load" TargetMode="External" Id="Ref1a23fa37364c9c" /><Relationship Type="http://schemas.openxmlformats.org/officeDocument/2006/relationships/hyperlink" Target="https://api-v3.thaiwater.net/api/v1/thaiwater30/public/waterlevel_load" TargetMode="External" Id="Rac9351f2abb24020" /><Relationship Type="http://schemas.openxmlformats.org/officeDocument/2006/relationships/hyperlink" Target="https://api-v3.thaiwater.net/api/v1/thaiwater30/public/waterlevel_load" TargetMode="External" Id="Ra9585f541ea74a51" /><Relationship Type="http://schemas.openxmlformats.org/officeDocument/2006/relationships/hyperlink" Target="https://api-v3.thaiwater.net/api/v1/thaiwater30/public/waterlevel_load" TargetMode="External" Id="R4d44e4d290bd455a" /><Relationship Type="http://schemas.openxmlformats.org/officeDocument/2006/relationships/hyperlink" Target="https://api-v3.thaiwater.net/api/v1/thaiwater30/public/waterlevel_load" TargetMode="External" Id="R04250f0ea3cb45e4" /><Relationship Type="http://schemas.openxmlformats.org/officeDocument/2006/relationships/hyperlink" Target="https://api-v3.thaiwater.net/api/v1/thaiwater30/public/waterlevel_load" TargetMode="External" Id="Rec5f7dac481e40a5" /><Relationship Type="http://schemas.openxmlformats.org/officeDocument/2006/relationships/hyperlink" Target="https://api-v3.thaiwater.net/api/v1/thaiwater30/public/waterlevel_load" TargetMode="External" Id="R6c344d0b33f8446d" /><Relationship Type="http://schemas.openxmlformats.org/officeDocument/2006/relationships/hyperlink" Target="https://api-v3.thaiwater.net/api/v1/thaiwater30/public/waterlevel_load" TargetMode="External" Id="R26a6e99709434eeb" /><Relationship Type="http://schemas.openxmlformats.org/officeDocument/2006/relationships/hyperlink" Target="https://api-v3.thaiwater.net/api/v1/thaiwater30/public/waterlevel_load" TargetMode="External" Id="R114ccbc1dff649a6" /><Relationship Type="http://schemas.openxmlformats.org/officeDocument/2006/relationships/hyperlink" Target="https://api-v3.thaiwater.net/api/v1/thaiwater30/public/waterlevel_load" TargetMode="External" Id="R9a9118421f3d41ee" /><Relationship Type="http://schemas.openxmlformats.org/officeDocument/2006/relationships/hyperlink" Target="https://api-v3.thaiwater.net/api/v1/thaiwater30/public/waterlevel_load" TargetMode="External" Id="Rf393ca3b62744ae5" /><Relationship Type="http://schemas.openxmlformats.org/officeDocument/2006/relationships/hyperlink" Target="https://api-v3.thaiwater.net/api/v1/thaiwater30/public/waterlevel_load" TargetMode="External" Id="R64da1ccea14a4f50" /><Relationship Type="http://schemas.openxmlformats.org/officeDocument/2006/relationships/hyperlink" Target="https://api-v3.thaiwater.net/api/v1/thaiwater30/public/waterlevel_load" TargetMode="External" Id="R0de64c1dc7434551" /><Relationship Type="http://schemas.openxmlformats.org/officeDocument/2006/relationships/hyperlink" Target="https://api-v3.thaiwater.net/api/v1/thaiwater30/public/waterlevel_load" TargetMode="External" Id="R96a2f967bc7f4ae7" /><Relationship Type="http://schemas.openxmlformats.org/officeDocument/2006/relationships/hyperlink" Target="https://api-v3.thaiwater.net/api/v1/thaiwater30/public/waterlevel_load" TargetMode="External" Id="R6e529739d1524389" /><Relationship Type="http://schemas.openxmlformats.org/officeDocument/2006/relationships/hyperlink" Target="https://api-v3.thaiwater.net/api/v1/thaiwater30/public/waterlevel_load" TargetMode="External" Id="R0e0c885bb1cf452b" /><Relationship Type="http://schemas.openxmlformats.org/officeDocument/2006/relationships/hyperlink" Target="https://api-v3.thaiwater.net/api/v1/thaiwater30/public/waterlevel_load" TargetMode="External" Id="R48475fd401de473e" /><Relationship Type="http://schemas.openxmlformats.org/officeDocument/2006/relationships/hyperlink" Target="https://api-v3.thaiwater.net/api/v1/thaiwater30/public/waterlevel_load" TargetMode="External" Id="R927719a01c4a4936" /><Relationship Type="http://schemas.openxmlformats.org/officeDocument/2006/relationships/hyperlink" Target="https://api-v3.thaiwater.net/api/v1/thaiwater30/public/waterlevel_load" TargetMode="External" Id="R936d3c6d8c6348d9" /><Relationship Type="http://schemas.openxmlformats.org/officeDocument/2006/relationships/hyperlink" Target="https://api-v3.thaiwater.net/api/v1/thaiwater30/public/waterlevel_load" TargetMode="External" Id="R71a72457062d4602" /><Relationship Type="http://schemas.openxmlformats.org/officeDocument/2006/relationships/hyperlink" Target="https://api-v3.thaiwater.net/api/v1/thaiwater30/public/waterlevel_load" TargetMode="External" Id="Ra883390d3b1c4bfa" /><Relationship Type="http://schemas.openxmlformats.org/officeDocument/2006/relationships/hyperlink" Target="https://api-v3.thaiwater.net/api/v1/thaiwater30/public/waterlevel_load" TargetMode="External" Id="Rfcae17d75be64903" /><Relationship Type="http://schemas.openxmlformats.org/officeDocument/2006/relationships/hyperlink" Target="https://api-v3.thaiwater.net/api/v1/thaiwater30/public/waterlevel_load" TargetMode="External" Id="Rec89a646c4af4ee7" /><Relationship Type="http://schemas.openxmlformats.org/officeDocument/2006/relationships/hyperlink" Target="https://api-v3.thaiwater.net/api/v1/thaiwater30/public/waterlevel_load" TargetMode="External" Id="Ra9cfa49b8d644e2c" /><Relationship Type="http://schemas.openxmlformats.org/officeDocument/2006/relationships/hyperlink" Target="https://api-v3.thaiwater.net/api/v1/thaiwater30/public/waterlevel_load" TargetMode="External" Id="R82599773a0cb42a6" /><Relationship Type="http://schemas.openxmlformats.org/officeDocument/2006/relationships/hyperlink" Target="https://api-v3.thaiwater.net/api/v1/thaiwater30/public/waterlevel_load" TargetMode="External" Id="R111e367e77894e7e" /><Relationship Type="http://schemas.openxmlformats.org/officeDocument/2006/relationships/hyperlink" Target="https://api-v3.thaiwater.net/api/v1/thaiwater30/public/waterlevel_load" TargetMode="External" Id="Rce1ce17f44be4a24" /><Relationship Type="http://schemas.openxmlformats.org/officeDocument/2006/relationships/hyperlink" Target="https://api-v3.thaiwater.net/api/v1/thaiwater30/public/waterlevel_load" TargetMode="External" Id="R247a470e986e4c47" /><Relationship Type="http://schemas.openxmlformats.org/officeDocument/2006/relationships/hyperlink" Target="https://api-v3.thaiwater.net/api/v1/thaiwater30/public/waterlevel_load" TargetMode="External" Id="R90424ccd4d4248a7" /><Relationship Type="http://schemas.openxmlformats.org/officeDocument/2006/relationships/hyperlink" Target="https://api-v3.thaiwater.net/api/v1/thaiwater30/public/waterlevel_load" TargetMode="External" Id="R4ace0b90d27747c1" /><Relationship Type="http://schemas.openxmlformats.org/officeDocument/2006/relationships/hyperlink" Target="https://api-v3.thaiwater.net/api/v1/thaiwater30/public/waterlevel_load" TargetMode="External" Id="R793e4de40c054003" /><Relationship Type="http://schemas.openxmlformats.org/officeDocument/2006/relationships/hyperlink" Target="https://api-v3.thaiwater.net/api/v1/thaiwater30/public/waterlevel_load" TargetMode="External" Id="R505e84ce2d6d44a0" /><Relationship Type="http://schemas.openxmlformats.org/officeDocument/2006/relationships/hyperlink" Target="https://api-v3.thaiwater.net/api/v1/thaiwater30/public/waterlevel_load" TargetMode="External" Id="Rc326c3e73f63432e" /><Relationship Type="http://schemas.openxmlformats.org/officeDocument/2006/relationships/hyperlink" Target="https://api-v3.thaiwater.net/api/v1/thaiwater30/public/waterlevel_load" TargetMode="External" Id="R07c8c74708a5424b" /><Relationship Type="http://schemas.openxmlformats.org/officeDocument/2006/relationships/hyperlink" Target="https://api-v3.thaiwater.net/api/v1/thaiwater30/public/waterlevel_load" TargetMode="External" Id="R79dbe67fb5d643c0" /><Relationship Type="http://schemas.openxmlformats.org/officeDocument/2006/relationships/hyperlink" Target="https://api-v3.thaiwater.net/api/v1/thaiwater30/public/waterlevel_load" TargetMode="External" Id="R8024c9fb511745b9" /><Relationship Type="http://schemas.openxmlformats.org/officeDocument/2006/relationships/hyperlink" Target="https://api-v3.thaiwater.net/api/v1/thaiwater30/public/waterlevel_load" TargetMode="External" Id="Radd2840cd2974166" /><Relationship Type="http://schemas.openxmlformats.org/officeDocument/2006/relationships/hyperlink" Target="https://api-v3.thaiwater.net/api/v1/thaiwater30/public/waterlevel_load" TargetMode="External" Id="R6418f2b21f3d455d" /><Relationship Type="http://schemas.openxmlformats.org/officeDocument/2006/relationships/hyperlink" Target="https://api-v3.thaiwater.net/api/v1/thaiwater30/public/waterlevel_load" TargetMode="External" Id="Rbb9d9149a8c144f2" /><Relationship Type="http://schemas.openxmlformats.org/officeDocument/2006/relationships/hyperlink" Target="https://api-v3.thaiwater.net/api/v1/thaiwater30/public/waterlevel_load" TargetMode="External" Id="R2ee1d32b30ae495f" /><Relationship Type="http://schemas.openxmlformats.org/officeDocument/2006/relationships/hyperlink" Target="https://api-v3.thaiwater.net/api/v1/thaiwater30/public/waterlevel_load" TargetMode="External" Id="R58508d3bffc74166" /><Relationship Type="http://schemas.openxmlformats.org/officeDocument/2006/relationships/hyperlink" Target="https://api-v3.thaiwater.net/api/v1/thaiwater30/public/waterlevel_load" TargetMode="External" Id="Rc62b418fcb4a407f" /><Relationship Type="http://schemas.openxmlformats.org/officeDocument/2006/relationships/hyperlink" Target="https://api-v3.thaiwater.net/api/v1/thaiwater30/public/waterlevel_load" TargetMode="External" Id="Rd29da0976b31431e" /><Relationship Type="http://schemas.openxmlformats.org/officeDocument/2006/relationships/hyperlink" Target="https://api-v3.thaiwater.net/api/v1/thaiwater30/public/waterlevel_load" TargetMode="External" Id="R16aef7ce7c8c4932" /><Relationship Type="http://schemas.openxmlformats.org/officeDocument/2006/relationships/hyperlink" Target="https://api-v3.thaiwater.net/api/v1/thaiwater30/public/waterlevel_load" TargetMode="External" Id="R40f431d8ed464372" /><Relationship Type="http://schemas.openxmlformats.org/officeDocument/2006/relationships/hyperlink" Target="https://api-v3.thaiwater.net/api/v1/thaiwater30/public/waterlevel_load" TargetMode="External" Id="R906ee623030049e8" /><Relationship Type="http://schemas.openxmlformats.org/officeDocument/2006/relationships/hyperlink" Target="https://api-v3.thaiwater.net/api/v1/thaiwater30/public/waterlevel_load" TargetMode="External" Id="Ra7d760e9ff794d63" /><Relationship Type="http://schemas.openxmlformats.org/officeDocument/2006/relationships/hyperlink" Target="https://api-v3.thaiwater.net/api/v1/thaiwater30/public/waterlevel_load" TargetMode="External" Id="Rbf4615fb8e6b4aad" /><Relationship Type="http://schemas.openxmlformats.org/officeDocument/2006/relationships/hyperlink" Target="https://api-v3.thaiwater.net/api/v1/thaiwater30/public/waterlevel_load" TargetMode="External" Id="R9ce00c0b042d45de" /><Relationship Type="http://schemas.openxmlformats.org/officeDocument/2006/relationships/hyperlink" Target="https://api-v3.thaiwater.net/api/v1/thaiwater30/public/waterlevel_load" TargetMode="External" Id="R7c258263912740d6" /><Relationship Type="http://schemas.openxmlformats.org/officeDocument/2006/relationships/hyperlink" Target="https://api-v3.thaiwater.net/api/v1/thaiwater30/public/waterlevel_load" TargetMode="External" Id="R9f025ef454224797" /><Relationship Type="http://schemas.openxmlformats.org/officeDocument/2006/relationships/hyperlink" Target="https://api-v3.thaiwater.net/api/v1/thaiwater30/public/waterlevel_load" TargetMode="External" Id="R55411c95da04439e" /><Relationship Type="http://schemas.openxmlformats.org/officeDocument/2006/relationships/hyperlink" Target="https://api-v3.thaiwater.net/api/v1/thaiwater30/public/waterlevel_load" TargetMode="External" Id="R77ea4f243afc4bc3" /><Relationship Type="http://schemas.openxmlformats.org/officeDocument/2006/relationships/hyperlink" Target="https://api-v3.thaiwater.net/api/v1/thaiwater30/public/waterlevel_load" TargetMode="External" Id="Rc003f54f2fb64d5d" /><Relationship Type="http://schemas.openxmlformats.org/officeDocument/2006/relationships/hyperlink" Target="https://api-v3.thaiwater.net/api/v1/thaiwater30/public/waterlevel_load" TargetMode="External" Id="R1f2918ec27af414a" /><Relationship Type="http://schemas.openxmlformats.org/officeDocument/2006/relationships/hyperlink" Target="https://api-v3.thaiwater.net/api/v1/thaiwater30/public/waterlevel_load" TargetMode="External" Id="R05f89d0b52eb40b0" /><Relationship Type="http://schemas.openxmlformats.org/officeDocument/2006/relationships/hyperlink" Target="https://api-v3.thaiwater.net/api/v1/thaiwater30/public/waterlevel_load" TargetMode="External" Id="R5401ee2212144e37" /><Relationship Type="http://schemas.openxmlformats.org/officeDocument/2006/relationships/hyperlink" Target="https://api-v3.thaiwater.net/api/v1/thaiwater30/public/waterlevel_load" TargetMode="External" Id="R1895b6f2387340ec" /><Relationship Type="http://schemas.openxmlformats.org/officeDocument/2006/relationships/hyperlink" Target="https://api-v3.thaiwater.net/api/v1/thaiwater30/public/waterlevel_load" TargetMode="External" Id="R59a5cfc1d74545f5" /><Relationship Type="http://schemas.openxmlformats.org/officeDocument/2006/relationships/hyperlink" Target="https://api-v3.thaiwater.net/api/v1/thaiwater30/public/waterlevel_load" TargetMode="External" Id="R459ac4d4f4d54dab" /><Relationship Type="http://schemas.openxmlformats.org/officeDocument/2006/relationships/hyperlink" Target="https://api-v3.thaiwater.net/api/v1/thaiwater30/public/waterlevel_load" TargetMode="External" Id="Ra61dad5810354d90" /><Relationship Type="http://schemas.openxmlformats.org/officeDocument/2006/relationships/hyperlink" Target="https://api-v3.thaiwater.net/api/v1/thaiwater30/public/waterlevel_load" TargetMode="External" Id="Rae581612368e4f95" /><Relationship Type="http://schemas.openxmlformats.org/officeDocument/2006/relationships/hyperlink" Target="https://api-v3.thaiwater.net/api/v1/thaiwater30/public/waterlevel_load" TargetMode="External" Id="Re4fc9b8546484787" /><Relationship Type="http://schemas.openxmlformats.org/officeDocument/2006/relationships/hyperlink" Target="https://api-v3.thaiwater.net/api/v1/thaiwater30/public/waterlevel_load" TargetMode="External" Id="R02ea179ace6045ec" /><Relationship Type="http://schemas.openxmlformats.org/officeDocument/2006/relationships/hyperlink" Target="https://api-v3.thaiwater.net/api/v1/thaiwater30/public/waterlevel_load" TargetMode="External" Id="Ra5f13c70ac1249aa" /><Relationship Type="http://schemas.openxmlformats.org/officeDocument/2006/relationships/hyperlink" Target="https://api-v3.thaiwater.net/api/v1/thaiwater30/public/waterlevel_load" TargetMode="External" Id="R759ba4a59ff3469d" /><Relationship Type="http://schemas.openxmlformats.org/officeDocument/2006/relationships/hyperlink" Target="https://api-v3.thaiwater.net/api/v1/thaiwater30/public/waterlevel_load" TargetMode="External" Id="R08794812bf0e455f" /><Relationship Type="http://schemas.openxmlformats.org/officeDocument/2006/relationships/hyperlink" Target="https://api-v3.thaiwater.net/api/v1/thaiwater30/public/waterlevel_load" TargetMode="External" Id="R05d61a38f84240d6" /><Relationship Type="http://schemas.openxmlformats.org/officeDocument/2006/relationships/hyperlink" Target="https://api-v3.thaiwater.net/api/v1/thaiwater30/public/waterlevel_load" TargetMode="External" Id="R7540713f77f94ca1" /><Relationship Type="http://schemas.openxmlformats.org/officeDocument/2006/relationships/hyperlink" Target="https://api-v3.thaiwater.net/api/v1/thaiwater30/public/waterlevel_load" TargetMode="External" Id="R98009089c7cf48c6" /><Relationship Type="http://schemas.openxmlformats.org/officeDocument/2006/relationships/hyperlink" Target="https://api-v3.thaiwater.net/api/v1/thaiwater30/public/waterlevel_load" TargetMode="External" Id="Re67485680f924ab9" /><Relationship Type="http://schemas.openxmlformats.org/officeDocument/2006/relationships/hyperlink" Target="https://api-v3.thaiwater.net/api/v1/thaiwater30/public/waterlevel_load" TargetMode="External" Id="Re9dbb7d09f074de3" /><Relationship Type="http://schemas.openxmlformats.org/officeDocument/2006/relationships/hyperlink" Target="https://api-v3.thaiwater.net/api/v1/thaiwater30/public/waterlevel_load" TargetMode="External" Id="R0ed45e3ea0984bb1" /><Relationship Type="http://schemas.openxmlformats.org/officeDocument/2006/relationships/hyperlink" Target="https://api-v3.thaiwater.net/api/v1/thaiwater30/public/waterlevel_load" TargetMode="External" Id="Rd49b6c11507d42d7" /><Relationship Type="http://schemas.openxmlformats.org/officeDocument/2006/relationships/hyperlink" Target="https://api-v3.thaiwater.net/api/v1/thaiwater30/public/waterlevel_load" TargetMode="External" Id="R7dc073f0b7fe4f88" /><Relationship Type="http://schemas.openxmlformats.org/officeDocument/2006/relationships/hyperlink" Target="https://api-v3.thaiwater.net/api/v1/thaiwater30/public/waterlevel_load" TargetMode="External" Id="R153473340599495a" /><Relationship Type="http://schemas.openxmlformats.org/officeDocument/2006/relationships/hyperlink" Target="https://api-v3.thaiwater.net/api/v1/thaiwater30/public/waterlevel_load" TargetMode="External" Id="Rb06f2c74d96f4002" /><Relationship Type="http://schemas.openxmlformats.org/officeDocument/2006/relationships/hyperlink" Target="https://api-v3.thaiwater.net/api/v1/thaiwater30/public/waterlevel_load" TargetMode="External" Id="Rcab800a74d714d06" /><Relationship Type="http://schemas.openxmlformats.org/officeDocument/2006/relationships/hyperlink" Target="https://api-v3.thaiwater.net/api/v1/thaiwater30/public/waterlevel_load" TargetMode="External" Id="R2829197d2d134f66" /><Relationship Type="http://schemas.openxmlformats.org/officeDocument/2006/relationships/hyperlink" Target="https://api-v3.thaiwater.net/api/v1/thaiwater30/public/waterlevel_load" TargetMode="External" Id="R8153dcdfb6b54f8b" /><Relationship Type="http://schemas.openxmlformats.org/officeDocument/2006/relationships/hyperlink" Target="https://api-v3.thaiwater.net/api/v1/thaiwater30/public/waterlevel_load" TargetMode="External" Id="Ra2c53d7bdcdb4f51" /><Relationship Type="http://schemas.openxmlformats.org/officeDocument/2006/relationships/hyperlink" Target="https://api-v3.thaiwater.net/api/v1/thaiwater30/public/waterlevel_load" TargetMode="External" Id="Recfda9c387ce4536" /><Relationship Type="http://schemas.openxmlformats.org/officeDocument/2006/relationships/hyperlink" Target="https://api-v3.thaiwater.net/api/v1/thaiwater30/public/waterlevel_load" TargetMode="External" Id="Ra9ee3f0f874b437b" /><Relationship Type="http://schemas.openxmlformats.org/officeDocument/2006/relationships/hyperlink" Target="https://api-v3.thaiwater.net/api/v1/thaiwater30/public/waterlevel_load" TargetMode="External" Id="R59ad1bf677244817" /><Relationship Type="http://schemas.openxmlformats.org/officeDocument/2006/relationships/hyperlink" Target="https://api-v3.thaiwater.net/api/v1/thaiwater30/public/waterlevel_load" TargetMode="External" Id="R20872113e1e548f2" /><Relationship Type="http://schemas.openxmlformats.org/officeDocument/2006/relationships/hyperlink" Target="https://api-v3.thaiwater.net/api/v1/thaiwater30/public/waterlevel_load" TargetMode="External" Id="R1d8ded74d9f84f04" /><Relationship Type="http://schemas.openxmlformats.org/officeDocument/2006/relationships/hyperlink" Target="https://api-v3.thaiwater.net/api/v1/thaiwater30/public/waterlevel_load" TargetMode="External" Id="Rc574bfa6410f4f5b" /><Relationship Type="http://schemas.openxmlformats.org/officeDocument/2006/relationships/hyperlink" Target="https://api-v3.thaiwater.net/api/v1/thaiwater30/public/waterlevel_load" TargetMode="External" Id="Rb6332b3f18ce4acf" /><Relationship Type="http://schemas.openxmlformats.org/officeDocument/2006/relationships/hyperlink" Target="https://api-v3.thaiwater.net/api/v1/thaiwater30/public/waterlevel_load" TargetMode="External" Id="R8daec703b3974d6f" /><Relationship Type="http://schemas.openxmlformats.org/officeDocument/2006/relationships/hyperlink" Target="https://api-v3.thaiwater.net/api/v1/thaiwater30/public/waterlevel_load" TargetMode="External" Id="R647e906aae214168" /><Relationship Type="http://schemas.openxmlformats.org/officeDocument/2006/relationships/hyperlink" Target="https://api-v3.thaiwater.net/api/v1/thaiwater30/public/waterlevel_load" TargetMode="External" Id="Rcea7ffb51d2d4a0f" /><Relationship Type="http://schemas.openxmlformats.org/officeDocument/2006/relationships/hyperlink" Target="https://api-v3.thaiwater.net/api/v1/thaiwater30/public/waterlevel_load" TargetMode="External" Id="Reac80e440cdb4881" /><Relationship Type="http://schemas.openxmlformats.org/officeDocument/2006/relationships/hyperlink" Target="https://api-v3.thaiwater.net/api/v1/thaiwater30/public/waterlevel_load" TargetMode="External" Id="R047656bd8117406d" /><Relationship Type="http://schemas.openxmlformats.org/officeDocument/2006/relationships/hyperlink" Target="https://api-v3.thaiwater.net/api/v1/thaiwater30/public/waterlevel_load" TargetMode="External" Id="R13e3c66be70d4d4d" /><Relationship Type="http://schemas.openxmlformats.org/officeDocument/2006/relationships/hyperlink" Target="https://api-v3.thaiwater.net/api/v1/thaiwater30/public/waterlevel_load" TargetMode="External" Id="R315e348eb15c4445" /><Relationship Type="http://schemas.openxmlformats.org/officeDocument/2006/relationships/hyperlink" Target="https://api-v3.thaiwater.net/api/v1/thaiwater30/public/waterlevel_load" TargetMode="External" Id="Raf0b590be1aa42b3" /><Relationship Type="http://schemas.openxmlformats.org/officeDocument/2006/relationships/hyperlink" Target="https://api-v3.thaiwater.net/api/v1/thaiwater30/public/waterlevel_load" TargetMode="External" Id="R83dab9ba85414635" /><Relationship Type="http://schemas.openxmlformats.org/officeDocument/2006/relationships/hyperlink" Target="https://api-v3.thaiwater.net/api/v1/thaiwater30/public/waterlevel_load" TargetMode="External" Id="R1f4d9e36d25242ba" /><Relationship Type="http://schemas.openxmlformats.org/officeDocument/2006/relationships/hyperlink" Target="https://api-v3.thaiwater.net/api/v1/thaiwater30/public/waterlevel_load" TargetMode="External" Id="Rea0870990ec74709" /><Relationship Type="http://schemas.openxmlformats.org/officeDocument/2006/relationships/hyperlink" Target="https://api-v3.thaiwater.net/api/v1/thaiwater30/public/waterlevel_load" TargetMode="External" Id="Rf6dc7375ed6b486a" /><Relationship Type="http://schemas.openxmlformats.org/officeDocument/2006/relationships/hyperlink" Target="https://api-v3.thaiwater.net/api/v1/thaiwater30/public/waterlevel_load" TargetMode="External" Id="R55f42aa4005e454d" /><Relationship Type="http://schemas.openxmlformats.org/officeDocument/2006/relationships/hyperlink" Target="https://api-v3.thaiwater.net/api/v1/thaiwater30/public/waterlevel_load" TargetMode="External" Id="R54d85a2007e24cc9" /><Relationship Type="http://schemas.openxmlformats.org/officeDocument/2006/relationships/hyperlink" Target="https://api-v3.thaiwater.net/api/v1/thaiwater30/public/waterlevel_load" TargetMode="External" Id="R8b74163ae0674a70" /><Relationship Type="http://schemas.openxmlformats.org/officeDocument/2006/relationships/hyperlink" Target="https://api-v3.thaiwater.net/api/v1/thaiwater30/public/waterlevel_load" TargetMode="External" Id="R234b148ef5bf4bf7" /><Relationship Type="http://schemas.openxmlformats.org/officeDocument/2006/relationships/hyperlink" Target="https://api-v3.thaiwater.net/api/v1/thaiwater30/public/waterlevel_load" TargetMode="External" Id="R02763a4b64684900" /><Relationship Type="http://schemas.openxmlformats.org/officeDocument/2006/relationships/hyperlink" Target="https://api-v3.thaiwater.net/api/v1/thaiwater30/public/waterlevel_load" TargetMode="External" Id="R59d9ee56d6e6407b" /><Relationship Type="http://schemas.openxmlformats.org/officeDocument/2006/relationships/hyperlink" Target="https://api-v3.thaiwater.net/api/v1/thaiwater30/public/waterlevel_load" TargetMode="External" Id="Reaae63fcb00748f0" /><Relationship Type="http://schemas.openxmlformats.org/officeDocument/2006/relationships/hyperlink" Target="https://api-v3.thaiwater.net/api/v1/thaiwater30/public/waterlevel_load" TargetMode="External" Id="R93d60cea011f425c" /><Relationship Type="http://schemas.openxmlformats.org/officeDocument/2006/relationships/hyperlink" Target="https://api-v3.thaiwater.net/api/v1/thaiwater30/public/waterlevel_load" TargetMode="External" Id="R4ba01e9349b84624" /><Relationship Type="http://schemas.openxmlformats.org/officeDocument/2006/relationships/hyperlink" Target="https://api-v3.thaiwater.net/api/v1/thaiwater30/public/waterlevel_load" TargetMode="External" Id="Rb4fff7ea0b4645d3" /><Relationship Type="http://schemas.openxmlformats.org/officeDocument/2006/relationships/hyperlink" Target="https://api-v3.thaiwater.net/api/v1/thaiwater30/public/waterlevel_load" TargetMode="External" Id="R83a22c69f3d74898" /><Relationship Type="http://schemas.openxmlformats.org/officeDocument/2006/relationships/hyperlink" Target="https://api-v3.thaiwater.net/api/v1/thaiwater30/public/waterlevel_load" TargetMode="External" Id="R77da21c5ce414ef7" /><Relationship Type="http://schemas.openxmlformats.org/officeDocument/2006/relationships/hyperlink" Target="https://api-v3.thaiwater.net/api/v1/thaiwater30/public/waterlevel_load" TargetMode="External" Id="R7d282b7c2cc94dce" /><Relationship Type="http://schemas.openxmlformats.org/officeDocument/2006/relationships/hyperlink" Target="https://api-v3.thaiwater.net/api/v1/thaiwater30/public/waterlevel_load" TargetMode="External" Id="Rc5a70fb23b8e47e3" /><Relationship Type="http://schemas.openxmlformats.org/officeDocument/2006/relationships/hyperlink" Target="https://api-v3.thaiwater.net/api/v1/thaiwater30/public/waterlevel_load" TargetMode="External" Id="R2a99c5601ad84830" /><Relationship Type="http://schemas.openxmlformats.org/officeDocument/2006/relationships/hyperlink" Target="https://api-v3.thaiwater.net/api/v1/thaiwater30/public/waterlevel_load" TargetMode="External" Id="Rf30e132efbbe46e1" /><Relationship Type="http://schemas.openxmlformats.org/officeDocument/2006/relationships/hyperlink" Target="https://api-v3.thaiwater.net/api/v1/thaiwater30/public/waterlevel_load" TargetMode="External" Id="Rc8cc26a386ca42ff" /><Relationship Type="http://schemas.openxmlformats.org/officeDocument/2006/relationships/hyperlink" Target="https://api-v3.thaiwater.net/api/v1/thaiwater30/public/waterlevel_load" TargetMode="External" Id="R9cd2e9219dc7459f" /><Relationship Type="http://schemas.openxmlformats.org/officeDocument/2006/relationships/hyperlink" Target="https://api-v3.thaiwater.net/api/v1/thaiwater30/public/waterlevel_load" TargetMode="External" Id="R2fcff2a06bd84006" /><Relationship Type="http://schemas.openxmlformats.org/officeDocument/2006/relationships/hyperlink" Target="https://api-v3.thaiwater.net/api/v1/thaiwater30/public/waterlevel_load" TargetMode="External" Id="R72223a10bd5948b4" /><Relationship Type="http://schemas.openxmlformats.org/officeDocument/2006/relationships/hyperlink" Target="https://api-v3.thaiwater.net/api/v1/thaiwater30/public/waterlevel_load" TargetMode="External" Id="Rca9544233bff44b4" /><Relationship Type="http://schemas.openxmlformats.org/officeDocument/2006/relationships/hyperlink" Target="https://api-v3.thaiwater.net/api/v1/thaiwater30/public/waterlevel_load" TargetMode="External" Id="R830b5721fa2d4dc0" /><Relationship Type="http://schemas.openxmlformats.org/officeDocument/2006/relationships/hyperlink" Target="https://api-v3.thaiwater.net/api/v1/thaiwater30/public/waterlevel_load" TargetMode="External" Id="Rdbe0c7fac03e48a7" /><Relationship Type="http://schemas.openxmlformats.org/officeDocument/2006/relationships/hyperlink" Target="https://api-v3.thaiwater.net/api/v1/thaiwater30/public/waterlevel_load" TargetMode="External" Id="Rffc4398e512642e4" /><Relationship Type="http://schemas.openxmlformats.org/officeDocument/2006/relationships/hyperlink" Target="https://api-v3.thaiwater.net/api/v1/thaiwater30/public/waterlevel_load" TargetMode="External" Id="R54175560e59948e5" /><Relationship Type="http://schemas.openxmlformats.org/officeDocument/2006/relationships/hyperlink" Target="https://api-v3.thaiwater.net/api/v1/thaiwater30/public/waterlevel_load" TargetMode="External" Id="Rc3add5187ee1417d" /><Relationship Type="http://schemas.openxmlformats.org/officeDocument/2006/relationships/hyperlink" Target="https://api-v3.thaiwater.net/api/v1/thaiwater30/public/waterlevel_load" TargetMode="External" Id="R86ad859a21ab4f32" /><Relationship Type="http://schemas.openxmlformats.org/officeDocument/2006/relationships/hyperlink" Target="https://api-v3.thaiwater.net/api/v1/thaiwater30/public/waterlevel_load" TargetMode="External" Id="R1da830dc493e4f58" /><Relationship Type="http://schemas.openxmlformats.org/officeDocument/2006/relationships/hyperlink" Target="https://api-v3.thaiwater.net/api/v1/thaiwater30/public/waterlevel_load" TargetMode="External" Id="R14ad73eac8344589" /><Relationship Type="http://schemas.openxmlformats.org/officeDocument/2006/relationships/hyperlink" Target="https://api-v3.thaiwater.net/api/v1/thaiwater30/public/waterlevel_load" TargetMode="External" Id="R04987c3870d7473b" /><Relationship Type="http://schemas.openxmlformats.org/officeDocument/2006/relationships/hyperlink" Target="https://api-v3.thaiwater.net/api/v1/thaiwater30/public/waterlevel_load" TargetMode="External" Id="R789881effc874753" /><Relationship Type="http://schemas.openxmlformats.org/officeDocument/2006/relationships/hyperlink" Target="https://api-v3.thaiwater.net/api/v1/thaiwater30/public/waterlevel_load" TargetMode="External" Id="R1a708ec045104a93" /><Relationship Type="http://schemas.openxmlformats.org/officeDocument/2006/relationships/hyperlink" Target="https://api-v3.thaiwater.net/api/v1/thaiwater30/public/waterlevel_load" TargetMode="External" Id="R5c3f72a92bad4baa" /><Relationship Type="http://schemas.openxmlformats.org/officeDocument/2006/relationships/hyperlink" Target="https://api-v3.thaiwater.net/api/v1/thaiwater30/public/waterlevel_load" TargetMode="External" Id="Rc955627e0bff4ce2" /><Relationship Type="http://schemas.openxmlformats.org/officeDocument/2006/relationships/hyperlink" Target="https://api-v3.thaiwater.net/api/v1/thaiwater30/public/waterlevel_load" TargetMode="External" Id="R225421a7570647c1" /><Relationship Type="http://schemas.openxmlformats.org/officeDocument/2006/relationships/hyperlink" Target="https://api-v3.thaiwater.net/api/v1/thaiwater30/public/waterlevel_load" TargetMode="External" Id="R6f1f4b5d7dd040e9" /><Relationship Type="http://schemas.openxmlformats.org/officeDocument/2006/relationships/hyperlink" Target="https://api-v3.thaiwater.net/api/v1/thaiwater30/public/waterlevel_load" TargetMode="External" Id="Ra13dba1d0a9d48c2" /><Relationship Type="http://schemas.openxmlformats.org/officeDocument/2006/relationships/hyperlink" Target="https://api-v3.thaiwater.net/api/v1/thaiwater30/public/waterlevel_load" TargetMode="External" Id="R82ced6fa63ad4a82" /><Relationship Type="http://schemas.openxmlformats.org/officeDocument/2006/relationships/hyperlink" Target="https://api-v3.thaiwater.net/api/v1/thaiwater30/public/waterlevel_load" TargetMode="External" Id="R74394a802ab04560" /><Relationship Type="http://schemas.openxmlformats.org/officeDocument/2006/relationships/hyperlink" Target="https://api-v3.thaiwater.net/api/v1/thaiwater30/public/waterlevel_load" TargetMode="External" Id="R3267928c33094793" /><Relationship Type="http://schemas.openxmlformats.org/officeDocument/2006/relationships/hyperlink" Target="https://api-v3.thaiwater.net/api/v1/thaiwater30/public/waterlevel_load" TargetMode="External" Id="R4379d672b290404b" /><Relationship Type="http://schemas.openxmlformats.org/officeDocument/2006/relationships/hyperlink" Target="https://api-v3.thaiwater.net/api/v1/thaiwater30/public/waterlevel_load" TargetMode="External" Id="R8cbb54e835804957" /><Relationship Type="http://schemas.openxmlformats.org/officeDocument/2006/relationships/hyperlink" Target="https://api-v3.thaiwater.net/api/v1/thaiwater30/public/waterlevel_load" TargetMode="External" Id="R362214bdabd24c7c" /><Relationship Type="http://schemas.openxmlformats.org/officeDocument/2006/relationships/hyperlink" Target="https://api-v3.thaiwater.net/api/v1/thaiwater30/public/waterlevel_load" TargetMode="External" Id="Rfb0f640b77924c42" /><Relationship Type="http://schemas.openxmlformats.org/officeDocument/2006/relationships/hyperlink" Target="https://api-v3.thaiwater.net/api/v1/thaiwater30/public/waterlevel_load" TargetMode="External" Id="R8a7b94e4b0b446ad" /><Relationship Type="http://schemas.openxmlformats.org/officeDocument/2006/relationships/hyperlink" Target="https://api-v3.thaiwater.net/api/v1/thaiwater30/public/waterlevel_load" TargetMode="External" Id="Rc1e150de710f4f9d" /><Relationship Type="http://schemas.openxmlformats.org/officeDocument/2006/relationships/hyperlink" Target="https://api-v3.thaiwater.net/api/v1/thaiwater30/public/waterlevel_load" TargetMode="External" Id="R4c990dd353724b3d" /><Relationship Type="http://schemas.openxmlformats.org/officeDocument/2006/relationships/hyperlink" Target="https://api-v3.thaiwater.net/api/v1/thaiwater30/public/waterlevel_load" TargetMode="External" Id="R5328c6be283d40ed" /><Relationship Type="http://schemas.openxmlformats.org/officeDocument/2006/relationships/hyperlink" Target="https://api-v3.thaiwater.net/api/v1/thaiwater30/public/waterlevel_load" TargetMode="External" Id="Recb799dfff73454e" /><Relationship Type="http://schemas.openxmlformats.org/officeDocument/2006/relationships/hyperlink" Target="https://api-v3.thaiwater.net/api/v1/thaiwater30/public/waterlevel_load" TargetMode="External" Id="R1d4c0f74b4ee427f" /><Relationship Type="http://schemas.openxmlformats.org/officeDocument/2006/relationships/hyperlink" Target="https://api-v3.thaiwater.net/api/v1/thaiwater30/public/waterlevel_load" TargetMode="External" Id="R20c6361b6d144df2" /><Relationship Type="http://schemas.openxmlformats.org/officeDocument/2006/relationships/hyperlink" Target="https://api-v3.thaiwater.net/api/v1/thaiwater30/public/waterlevel_load" TargetMode="External" Id="Re7b0fe4f0b4542d8" /><Relationship Type="http://schemas.openxmlformats.org/officeDocument/2006/relationships/hyperlink" Target="https://api-v3.thaiwater.net/api/v1/thaiwater30/public/waterlevel_load" TargetMode="External" Id="Ra0bac9165fd44d4e" /><Relationship Type="http://schemas.openxmlformats.org/officeDocument/2006/relationships/hyperlink" Target="https://api-v3.thaiwater.net/api/v1/thaiwater30/public/waterlevel_load" TargetMode="External" Id="R135e7a95fbaf485d" /><Relationship Type="http://schemas.openxmlformats.org/officeDocument/2006/relationships/hyperlink" Target="https://api-v3.thaiwater.net/api/v1/thaiwater30/public/waterlevel_load" TargetMode="External" Id="R5cca1bac6c614d09" /><Relationship Type="http://schemas.openxmlformats.org/officeDocument/2006/relationships/hyperlink" Target="https://api-v3.thaiwater.net/api/v1/thaiwater30/public/waterlevel_load" TargetMode="External" Id="R92f46c6492bc4025" /><Relationship Type="http://schemas.openxmlformats.org/officeDocument/2006/relationships/hyperlink" Target="https://api-v3.thaiwater.net/api/v1/thaiwater30/public/waterlevel_load" TargetMode="External" Id="R0cffd9cc5b854ad2" /><Relationship Type="http://schemas.openxmlformats.org/officeDocument/2006/relationships/hyperlink" Target="https://api-v3.thaiwater.net/api/v1/thaiwater30/public/waterlevel_load" TargetMode="External" Id="Rba9cf1358d944d74" /><Relationship Type="http://schemas.openxmlformats.org/officeDocument/2006/relationships/hyperlink" Target="https://api-v3.thaiwater.net/api/v1/thaiwater30/public/waterlevel_load" TargetMode="External" Id="R4724873156d54ef0" /><Relationship Type="http://schemas.openxmlformats.org/officeDocument/2006/relationships/hyperlink" Target="https://api-v3.thaiwater.net/api/v1/thaiwater30/public/waterlevel_load" TargetMode="External" Id="R4e3b769f04834dec" /><Relationship Type="http://schemas.openxmlformats.org/officeDocument/2006/relationships/hyperlink" Target="https://api-v3.thaiwater.net/api/v1/thaiwater30/public/waterlevel_load" TargetMode="External" Id="Rac40467ce8d34c9b" /><Relationship Type="http://schemas.openxmlformats.org/officeDocument/2006/relationships/hyperlink" Target="https://api-v3.thaiwater.net/api/v1/thaiwater30/public/waterlevel_load" TargetMode="External" Id="Re7089bc658514590" /><Relationship Type="http://schemas.openxmlformats.org/officeDocument/2006/relationships/hyperlink" Target="https://api-v3.thaiwater.net/api/v1/thaiwater30/public/waterlevel_load" TargetMode="External" Id="R081e6f0531304dc4" /><Relationship Type="http://schemas.openxmlformats.org/officeDocument/2006/relationships/hyperlink" Target="https://api-v3.thaiwater.net/api/v1/thaiwater30/public/waterlevel_load" TargetMode="External" Id="Rfd0c4f73678f41e6" /><Relationship Type="http://schemas.openxmlformats.org/officeDocument/2006/relationships/hyperlink" Target="https://api-v3.thaiwater.net/api/v1/thaiwater30/public/waterlevel_load" TargetMode="External" Id="R143d555fbdd74841" /><Relationship Type="http://schemas.openxmlformats.org/officeDocument/2006/relationships/hyperlink" Target="https://api-v3.thaiwater.net/api/v1/thaiwater30/public/waterlevel_load" TargetMode="External" Id="Rc8c863f94b314d90" /><Relationship Type="http://schemas.openxmlformats.org/officeDocument/2006/relationships/hyperlink" Target="https://api-v3.thaiwater.net/api/v1/thaiwater30/public/waterlevel_load" TargetMode="External" Id="R73e5a53e71b1491b" /><Relationship Type="http://schemas.openxmlformats.org/officeDocument/2006/relationships/hyperlink" Target="https://api-v3.thaiwater.net/api/v1/thaiwater30/public/waterlevel_load" TargetMode="External" Id="R5419b81487094eb0" /><Relationship Type="http://schemas.openxmlformats.org/officeDocument/2006/relationships/hyperlink" Target="https://api-v3.thaiwater.net/api/v1/thaiwater30/public/waterlevel_load" TargetMode="External" Id="Rd9fc528a2cc2474d" /><Relationship Type="http://schemas.openxmlformats.org/officeDocument/2006/relationships/hyperlink" Target="https://api-v3.thaiwater.net/api/v1/thaiwater30/public/waterlevel_load" TargetMode="External" Id="R0a290411b67d4d32" /><Relationship Type="http://schemas.openxmlformats.org/officeDocument/2006/relationships/hyperlink" Target="https://api-v3.thaiwater.net/api/v1/thaiwater30/public/waterlevel_load" TargetMode="External" Id="Rc6565e1b5fef4f49" /><Relationship Type="http://schemas.openxmlformats.org/officeDocument/2006/relationships/hyperlink" Target="https://api-v3.thaiwater.net/api/v1/thaiwater30/public/waterlevel_load" TargetMode="External" Id="R0db8234f94704f15" /><Relationship Type="http://schemas.openxmlformats.org/officeDocument/2006/relationships/hyperlink" Target="https://api-v3.thaiwater.net/api/v1/thaiwater30/public/waterlevel_load" TargetMode="External" Id="R63bf87a5be9340de" /><Relationship Type="http://schemas.openxmlformats.org/officeDocument/2006/relationships/hyperlink" Target="https://api-v3.thaiwater.net/api/v1/thaiwater30/public/waterlevel_load" TargetMode="External" Id="Rcfde571bddb24a45" /><Relationship Type="http://schemas.openxmlformats.org/officeDocument/2006/relationships/hyperlink" Target="https://api-v3.thaiwater.net/api/v1/thaiwater30/public/waterlevel_load" TargetMode="External" Id="R395b19a0fd9c432e" /><Relationship Type="http://schemas.openxmlformats.org/officeDocument/2006/relationships/hyperlink" Target="https://api-v3.thaiwater.net/api/v1/thaiwater30/public/waterlevel_load" TargetMode="External" Id="Rbd04f24fb5df44c7" /><Relationship Type="http://schemas.openxmlformats.org/officeDocument/2006/relationships/hyperlink" Target="https://api-v3.thaiwater.net/api/v1/thaiwater30/public/waterlevel_load" TargetMode="External" Id="R5b3e33527251411e" /><Relationship Type="http://schemas.openxmlformats.org/officeDocument/2006/relationships/hyperlink" Target="https://api-v3.thaiwater.net/api/v1/thaiwater30/public/waterlevel_load" TargetMode="External" Id="R3bf843179c4243a1" /><Relationship Type="http://schemas.openxmlformats.org/officeDocument/2006/relationships/hyperlink" Target="https://api-v3.thaiwater.net/api/v1/thaiwater30/public/waterlevel_load" TargetMode="External" Id="R2844b0d8000b49a2" /><Relationship Type="http://schemas.openxmlformats.org/officeDocument/2006/relationships/hyperlink" Target="https://api-v3.thaiwater.net/api/v1/thaiwater30/public/waterlevel_load" TargetMode="External" Id="R44b643d7e55b4bde" /><Relationship Type="http://schemas.openxmlformats.org/officeDocument/2006/relationships/hyperlink" Target="https://api-v3.thaiwater.net/api/v1/thaiwater30/public/waterlevel_load" TargetMode="External" Id="R509ce9b7660746fc" /><Relationship Type="http://schemas.openxmlformats.org/officeDocument/2006/relationships/hyperlink" Target="https://api-v3.thaiwater.net/api/v1/thaiwater30/public/waterlevel_load" TargetMode="External" Id="R0abfcfb14cb1484e" /><Relationship Type="http://schemas.openxmlformats.org/officeDocument/2006/relationships/hyperlink" Target="https://api-v3.thaiwater.net/api/v1/thaiwater30/public/waterlevel_load" TargetMode="External" Id="Reb043ba591b946f5" /><Relationship Type="http://schemas.openxmlformats.org/officeDocument/2006/relationships/hyperlink" Target="https://api-v3.thaiwater.net/api/v1/thaiwater30/public/waterlevel_load" TargetMode="External" Id="R31e7e559e3cc4ff2" /><Relationship Type="http://schemas.openxmlformats.org/officeDocument/2006/relationships/hyperlink" Target="https://api-v3.thaiwater.net/api/v1/thaiwater30/public/waterlevel_load" TargetMode="External" Id="R23a872d107004bec" /><Relationship Type="http://schemas.openxmlformats.org/officeDocument/2006/relationships/hyperlink" Target="https://api-v3.thaiwater.net/api/v1/thaiwater30/public/waterlevel_load" TargetMode="External" Id="R6953f3627e26485b" /><Relationship Type="http://schemas.openxmlformats.org/officeDocument/2006/relationships/hyperlink" Target="https://api-v3.thaiwater.net/api/v1/thaiwater30/public/waterlevel_load" TargetMode="External" Id="R79a3341bb454444e" /><Relationship Type="http://schemas.openxmlformats.org/officeDocument/2006/relationships/hyperlink" Target="https://api-v3.thaiwater.net/api/v1/thaiwater30/public/waterlevel_load" TargetMode="External" Id="R12d0acdf3c2d4bc4" /><Relationship Type="http://schemas.openxmlformats.org/officeDocument/2006/relationships/hyperlink" Target="https://api-v3.thaiwater.net/api/v1/thaiwater30/public/waterlevel_load" TargetMode="External" Id="R5f3467581f594357" /><Relationship Type="http://schemas.openxmlformats.org/officeDocument/2006/relationships/hyperlink" Target="https://api-v3.thaiwater.net/api/v1/thaiwater30/public/waterlevel_load" TargetMode="External" Id="R62bf665e6abd4b90" /><Relationship Type="http://schemas.openxmlformats.org/officeDocument/2006/relationships/hyperlink" Target="https://api-v3.thaiwater.net/api/v1/thaiwater30/public/waterlevel_load" TargetMode="External" Id="Rdcdb2d339eab4a03" /><Relationship Type="http://schemas.openxmlformats.org/officeDocument/2006/relationships/hyperlink" Target="https://api-v3.thaiwater.net/api/v1/thaiwater30/public/waterlevel_load" TargetMode="External" Id="Ra002980d325b46db" /><Relationship Type="http://schemas.openxmlformats.org/officeDocument/2006/relationships/hyperlink" Target="https://api-v3.thaiwater.net/api/v1/thaiwater30/public/waterlevel_load" TargetMode="External" Id="R87b68cf24a8c46e7" /><Relationship Type="http://schemas.openxmlformats.org/officeDocument/2006/relationships/hyperlink" Target="https://api-v3.thaiwater.net/api/v1/thaiwater30/public/waterlevel_load" TargetMode="External" Id="R4337774ff0e44851" /><Relationship Type="http://schemas.openxmlformats.org/officeDocument/2006/relationships/hyperlink" Target="https://api-v3.thaiwater.net/api/v1/thaiwater30/public/waterlevel_load" TargetMode="External" Id="Rb33508990b014ca6" /><Relationship Type="http://schemas.openxmlformats.org/officeDocument/2006/relationships/hyperlink" Target="https://api-v3.thaiwater.net/api/v1/thaiwater30/public/waterlevel_load" TargetMode="External" Id="R46511734e84745b9" /><Relationship Type="http://schemas.openxmlformats.org/officeDocument/2006/relationships/hyperlink" Target="https://api-v3.thaiwater.net/api/v1/thaiwater30/public/waterlevel_load" TargetMode="External" Id="R032954f07f19475a" /><Relationship Type="http://schemas.openxmlformats.org/officeDocument/2006/relationships/hyperlink" Target="https://api-v3.thaiwater.net/api/v1/thaiwater30/public/waterlevel_load" TargetMode="External" Id="Rc37cbde3ac0446b4" /><Relationship Type="http://schemas.openxmlformats.org/officeDocument/2006/relationships/hyperlink" Target="https://api-v3.thaiwater.net/api/v1/thaiwater30/public/waterlevel_load" TargetMode="External" Id="R487d2c199f14492c" /><Relationship Type="http://schemas.openxmlformats.org/officeDocument/2006/relationships/hyperlink" Target="https://api-v3.thaiwater.net/api/v1/thaiwater30/public/waterlevel_load" TargetMode="External" Id="Rd84a8ba28dcc4aeb" /><Relationship Type="http://schemas.openxmlformats.org/officeDocument/2006/relationships/comments" Target="/xl/comments2.xml" Id="R4f4970f9b27e49fc" /><Relationship Type="http://schemas.openxmlformats.org/officeDocument/2006/relationships/vmlDrawing" Target="/xl/drawings/vmldrawing2.vml" Id="R04631f12f24442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hyperlink" Target="https://maps.app.goo.gl/THU6UjkuSK843fuaA?g_st=ac" TargetMode="External" Id="R2ad6ac3da6dd4a7b" /><Relationship Type="http://schemas.openxmlformats.org/officeDocument/2006/relationships/hyperlink" Target="https://floodsupport.bangkok.go.th/api/data" TargetMode="External" Id="Rb3058dfdd5cc4f53" /><Relationship Type="http://schemas.openxmlformats.org/officeDocument/2006/relationships/hyperlink" Target="https://maps.app.goo.gl/Mck4hhX59JTUj3a27?g_st=ac" TargetMode="External" Id="Rcad97a20a13d4b4c" /><Relationship Type="http://schemas.openxmlformats.org/officeDocument/2006/relationships/hyperlink" Target="https://floodsupport.bangkok.go.th/api/data" TargetMode="External" Id="Rf34505d0f544416a" /><Relationship Type="http://schemas.openxmlformats.org/officeDocument/2006/relationships/hyperlink" Target="https://maps.app.goo.gl/8GDhqan3HNmxio5o6?g_st=ac" TargetMode="External" Id="R798bf39a12564262" /><Relationship Type="http://schemas.openxmlformats.org/officeDocument/2006/relationships/hyperlink" Target="https://floodsupport.bangkok.go.th/api/data" TargetMode="External" Id="R7367262f17774d47" /><Relationship Type="http://schemas.openxmlformats.org/officeDocument/2006/relationships/hyperlink" Target="https://maps.app.goo.gl/TP3AwKk5fgBeDXP4A?g_st=ac" TargetMode="External" Id="Rcf915e656bfa457e" /><Relationship Type="http://schemas.openxmlformats.org/officeDocument/2006/relationships/hyperlink" Target="https://floodsupport.bangkok.go.th/api/data" TargetMode="External" Id="Rb01fe255dea84d52" /><Relationship Type="http://schemas.openxmlformats.org/officeDocument/2006/relationships/hyperlink" Target="https://maps.app.goo.gl/VmSL2ibA2WyXGT41A?g_st=ac" TargetMode="External" Id="R61678314d2de4dad" /><Relationship Type="http://schemas.openxmlformats.org/officeDocument/2006/relationships/hyperlink" Target="https://floodsupport.bangkok.go.th/api/data" TargetMode="External" Id="R326e71a8ed0e409f" /><Relationship Type="http://schemas.openxmlformats.org/officeDocument/2006/relationships/hyperlink" Target="https://maps.app.goo.gl/rg8VbkBh5VSzg55y7?g_st=ac" TargetMode="External" Id="R039f25c8ed254d8b" /><Relationship Type="http://schemas.openxmlformats.org/officeDocument/2006/relationships/hyperlink" Target="https://floodsupport.bangkok.go.th/api/data" TargetMode="External" Id="R74670e87622a434e" /><Relationship Type="http://schemas.openxmlformats.org/officeDocument/2006/relationships/hyperlink" Target="https://maps.app.goo.gl/vyGbvEjQCpvuzhFw9?g_st=ac" TargetMode="External" Id="Rb4f182c8842f43f8" /><Relationship Type="http://schemas.openxmlformats.org/officeDocument/2006/relationships/hyperlink" Target="https://floodsupport.bangkok.go.th/api/data" TargetMode="External" Id="R42745ed748104fc8" /><Relationship Type="http://schemas.openxmlformats.org/officeDocument/2006/relationships/hyperlink" Target="https://maps.app.goo.gl/VDLF36p77vs9eniw6?g_st=ac" TargetMode="External" Id="R977df5c8dd3f4b15" /><Relationship Type="http://schemas.openxmlformats.org/officeDocument/2006/relationships/hyperlink" Target="https://floodsupport.bangkok.go.th/api/data" TargetMode="External" Id="R3394789306694bd5" /><Relationship Type="http://schemas.openxmlformats.org/officeDocument/2006/relationships/hyperlink" Target="https://maps.app.goo.gl/q6nxvLdC1R2f79RS7" TargetMode="External" Id="Rbbdba30b70c24284" /><Relationship Type="http://schemas.openxmlformats.org/officeDocument/2006/relationships/hyperlink" Target="https://floodsupport.bangkok.go.th/api/data" TargetMode="External" Id="R606cb376838b477c" /><Relationship Type="http://schemas.openxmlformats.org/officeDocument/2006/relationships/hyperlink" Target="https://www.google.com/maps/place/&#3650;&#3619;&#3591;&#3614;&#3618;&#3634;&#3610;&#3634;&#3621;&#3619;&#3633;&#3605;&#3609;&#3611;&#3619;&#3632;&#3594;&#3634;&#3619;&#3633;&#3585;&#3625;&#3660;/@13.8762169,100.682032,14213m/data=!3m1!1e3!4m6!3m5!1s0x311d7baae6523b11:0x27bb8ec3d47cfa59!8m2!3d13.9098281!4d100.752979!16s%2Fg%2F11c37yy0_1?entry=tts&amp;g_ep=EgoyMDI2MDkyMy4wIPu8ASoASAFQAw%3D%3D&amp;skid=3f44598e-9be0-4421-80e8-537ccd46f8da" TargetMode="External" Id="R9413b24efe1f42ba" /><Relationship Type="http://schemas.openxmlformats.org/officeDocument/2006/relationships/hyperlink" Target="https://maps.app.goo.gl/dHVuNhBCq1myQeyR9" TargetMode="External" Id="R46de69d0c5714a2d" /><Relationship Type="http://schemas.openxmlformats.org/officeDocument/2006/relationships/hyperlink" Target="https://floodsupport.bangkok.go.th/api/data" TargetMode="External" Id="R1e296304ca5641d3" /><Relationship Type="http://schemas.openxmlformats.org/officeDocument/2006/relationships/hyperlink" Target="https://www.google.com/maps/place/&#3623;&#3633;&#3604;&#3614;&#3619;&#3632;&#3618;&#3634;&#3626;&#3640;&#3648;&#3619;&#3609;&#3607;&#3619;&#3660;/@13.8739652,100.6699893,3553m/data=!3m1!1e3!4m6!3m5!1s0x311d7cc84d73e979:0x68ef7c84dbf92006!8m2!3d13.8739455!4d100.6855615!16s%2Fg%2F11ddww_t95?entry=tts&amp;g_ep=EgoyMDI2MDkyMy4wIPu8ASoASAFQAw%3D%3D&amp;skid=f922690d-7bf0-4d4d-a770-215d80d8c8eb" TargetMode="External" Id="R69dcbb0717c44ea9" /><Relationship Type="http://schemas.openxmlformats.org/officeDocument/2006/relationships/hyperlink" Target="https://maps.app.goo.gl/ZmDA2wLRjmkuhLKa8" TargetMode="External" Id="R8c32bf3911ca4f58" /><Relationship Type="http://schemas.openxmlformats.org/officeDocument/2006/relationships/hyperlink" Target="https://floodsupport.bangkok.go.th/api/data" TargetMode="External" Id="R752f54ef9e3c4c95" /><Relationship Type="http://schemas.openxmlformats.org/officeDocument/2006/relationships/hyperlink" Target="https://www.google.com/maps/place/&#3650;&#3619;&#3591;&#3648;&#3619;&#3637;&#3618;&#3609;&#3585;&#3621;&#3634;&#3591;&#3588;&#3621;&#3629;&#3591;&#3626;&#3629;&#3591;/@13.8605365,100.6953645,941m/data=!3m1!1e3!4m6!3m5!1s0x311d6352877d3347:0xed6a7e78e68fa376!8m2!3d13.8623825!4d100.6991111!16s%2Fg%2F1w_vkrfm?entry=tts&amp;g_ep=EgoyMDI2MDkyMy4wIPu8ASoASAFQAw%3D%3D&amp;skid=5182a855-5ce6-4c2e-acae-a1c9f2a4e9f4" TargetMode="External" Id="R9a465c7e8acf4873" /><Relationship Type="http://schemas.openxmlformats.org/officeDocument/2006/relationships/hyperlink" Target="https://maps.app.goo.gl/nBCZSBqzt99h7gz78" TargetMode="External" Id="R21aa710487704be8" /><Relationship Type="http://schemas.openxmlformats.org/officeDocument/2006/relationships/hyperlink" Target="https://floodsupport.bangkok.go.th/api/data" TargetMode="External" Id="R1f144d4e93514278" /><Relationship Type="http://schemas.openxmlformats.org/officeDocument/2006/relationships/hyperlink" Target="https://www.google.com/maps/place/&#3650;&#3619;&#3591;&#3648;&#3619;&#3637;&#3618;&#3609;&#3610;&#3634;&#3591;&#3594;&#3633;&#3609;+(&#3611;&#3621;&#3639;&#3657;&#3617;&#3623;&#3636;&#3607;&#3618;&#3634;&#3609;&#3640;&#3626;&#3619;&#3603;&#3660;)/@13.8364841,100.6678055,7525m/data=!3m1!1e3!4m6!3m5!1s0x311d640881259f41:0xe874070dd2c82570!8m2!3d13.817645!4d100.6988714!16s%2Fg%2F1hc0w10t2?entry=tts&amp;g_ep=EgoyMDI2MDkyMy4wIPu8ASoASAFQAw%3D%3D&amp;skid=856ba570-ed93-4151-addd-f2ead7121e36" TargetMode="External" Id="R6d597766aa7946e2" /><Relationship Type="http://schemas.openxmlformats.org/officeDocument/2006/relationships/hyperlink" Target="https://maps.app.goo.gl/NPNrxXVpuTxvC1Ub7" TargetMode="External" Id="R3c5ac2ea920d443f" /><Relationship Type="http://schemas.openxmlformats.org/officeDocument/2006/relationships/hyperlink" Target="https://floodsupport.bangkok.go.th/api/data" TargetMode="External" Id="R554a8b4a14644c7d" /><Relationship Type="http://schemas.openxmlformats.org/officeDocument/2006/relationships/hyperlink" Target="https://www.google.com/maps/place/&#3650;&#3619;&#3591;&#3648;&#3619;&#3637;&#3618;&#3609;&#3610;&#3657;&#3634;&#3609;&#3627;&#3609;&#3629;&#3591;&#3619;&#3632;&#3649;&#3627;&#3591;+(&#3594;&#3617;&#3649;&#3626;&#3591;&#3611;&#3619;&#3632;&#3594;&#3634;&#3609;&#3640;&#3585;&#3641;&#3621;)+&#3626;&#3633;&#3591;&#3585;&#3633;&#3604;&#3585;&#3619;&#3640;&#3591;&#3648;&#3607;&#3614;&#3617;&#3627;&#3634;&#3609;&#3588;&#3619;/@13.8771447,100.6681371,7523m/data=!3m1!1e3!4m6!3m5!1s0x311d7c8da4db82f9:0xb7a27ce8bfcd0f8a!8m2!3d13.9012456!4d100.6913492!16s%2Fg%2F11bwhb7047?entry=tts&amp;g_ep=EgoyMDI2MDkyMy4wIPu8ASoASAFQAw%3D%3D&amp;skid=2a4a21da-93ac-44ee-a8ed-6da24899c9e6" TargetMode="External" Id="R3ae99b96ebe04d9b" /><Relationship Type="http://schemas.openxmlformats.org/officeDocument/2006/relationships/hyperlink" Target="https://maps.app.goo.gl/e5K8XirFF2VvePLEA" TargetMode="External" Id="Rf070d86da5604a74" /><Relationship Type="http://schemas.openxmlformats.org/officeDocument/2006/relationships/hyperlink" Target="https://floodsupport.bangkok.go.th/api/data" TargetMode="External" Id="R0a292f843ee2401c" /><Relationship Type="http://schemas.openxmlformats.org/officeDocument/2006/relationships/hyperlink" Target="https://www.google.com/maps/place/&#3650;&#3619;&#3591;&#3648;&#3619;&#3637;&#3618;&#3609;&#3610;&#3657;&#3634;&#3609;&#3649;&#3610;&#3609;&#3594;&#3632;&#3650;&#3604;+(&#3648;&#3626;&#3637;&#3618;&#3591;+&#3623;&#3636;&#3601;&#3641;&#3619;&#3594;&#3634;&#3605;&#3636;+&#3629;&#3640;&#3611;&#3606;&#3633;&#3617;&#3616;&#3660;)/@13.8490879,100.7238859,7524m/data=!3m1!1e3!4m6!3m5!1s0x311d7b128c85f4f5:0xf98d11c7254fce58!8m2!3d13.8765664!4d100.7836207!16s%2Fg%2F11h60drc31?entry=tts&amp;g_ep=EgoyMDI2MDkyMy4wIPu8ASoASAFQAw%3D%3D&amp;skid=dd20f2b0-c0a5-4645-b93c-fe15002d836a" TargetMode="External" Id="R6540caf39d4c4eb9" /><Relationship Type="http://schemas.openxmlformats.org/officeDocument/2006/relationships/hyperlink" Target="https://maps.app.goo.gl/hCw8Ywu1WXDpcfU26" TargetMode="External" Id="R85572c1db5f64151" /><Relationship Type="http://schemas.openxmlformats.org/officeDocument/2006/relationships/hyperlink" Target="https://floodsupport.bangkok.go.th/api/data" TargetMode="External" Id="R2478863c2df3430d" /><Relationship Type="http://schemas.openxmlformats.org/officeDocument/2006/relationships/hyperlink" Target="https://www.google.com/maps/place/&#3650;&#3619;&#3591;&#3648;&#3619;&#3637;&#3618;&#3609;&#3611;&#3619;&#3632;&#3594;&#3634;&#3619;&#3634;&#3625;&#3598;&#3619;&#3660;&#3629;&#3640;&#3611;&#3606;&#3633;&#3617;&#3616;&#3660;&#3623;&#3636;&#3607;&#3618;&#3634;/@13.8502625,100.6884104,3762m/data=!3m1!1e3!4m6!3m5!1s0x311d6342f6a78d71:0xcfe99453319a26d2!8m2!3d13.8442089!4d100.6960353!16s%2Fg%2F1td8wl03?entry=tts&amp;g_ep=EgoyMDI2MDkyMy4wIPu8ASoASAFQAw%3D%3D&amp;skid=bb529274-230d-4e84-a6bf-96117ab9399c" TargetMode="External" Id="R9982621143df48c2" /><Relationship Type="http://schemas.openxmlformats.org/officeDocument/2006/relationships/hyperlink" Target="https://maps.app.goo.gl/e5LS7sQ78DfoeJ8h6" TargetMode="External" Id="R21fb2e5d6fb540c1" /><Relationship Type="http://schemas.openxmlformats.org/officeDocument/2006/relationships/hyperlink" Target="https://floodsupport.bangkok.go.th/api/data" TargetMode="External" Id="R9317889abe094646" /><Relationship Type="http://schemas.openxmlformats.org/officeDocument/2006/relationships/hyperlink" Target="https://www.google.com/maps/place/&#3650;&#3619;&#3591;&#3648;&#3619;&#3637;&#3618;&#3609;&#3623;&#3633;&#3604;&#3588;&#3641;&#3657;&#3610;&#3629;&#3609;/@13.8545402,100.6644641,3762m/data=!3m1!1e3!4m6!3m5!1s0x311d6325824a48f5:0x3ee305b72ea0d92e!8m2!3d13.8538816!4d100.6736866!16s%2Fg%2F1hc4pfzlt?entry=tts&amp;g_ep=EgoyMDI2MDkyMy4wIPu8ASoASAFQAw%3D%3D&amp;skid=72812040-c068-4f75-bb50-5af3085a9929" TargetMode="External" Id="R8ecf2ca836a04375" /><Relationship Type="http://schemas.openxmlformats.org/officeDocument/2006/relationships/hyperlink" Target="https://maps.app.goo.gl/xBho3BYpropp2EWB8" TargetMode="External" Id="R4f242eadf04d465f" /><Relationship Type="http://schemas.openxmlformats.org/officeDocument/2006/relationships/hyperlink" Target="https://floodsupport.bangkok.go.th/api/data" TargetMode="External" Id="Re2ca17ce04db4b38" /><Relationship Type="http://schemas.openxmlformats.org/officeDocument/2006/relationships/hyperlink" Target="https://www.google.com/maps/place/&#3650;&#3619;&#3591;&#3648;&#3619;&#3637;&#3618;&#3609;&#3623;&#3633;&#3604;&#3610;&#3633;&#3623;&#3649;&#3585;&#3657;&#3623;/@13.8546088,100.7038939,3762m/data=!3m1!1e3!4m6!3m5!1s0x311d64ec2fe74d9b:0x66d7b97810d11733!8m2!3d13.8508973!4d100.7312155!16s%2Fg%2F1hc6wy6l1?entry=tts&amp;g_ep=EgoyMDI2MDkyMy4wIPu8ASoASAFQAw%3D%3D&amp;skid=8a5546b0-c4d8-49a2-9b21-dbd991861b69" TargetMode="External" Id="R3f514e1214944dbd" /><Relationship Type="http://schemas.openxmlformats.org/officeDocument/2006/relationships/hyperlink" Target="https://maps.app.goo.gl/LGP2bB2gYZpDtrXA6" TargetMode="External" Id="Rb84f7a58a8a34d56" /><Relationship Type="http://schemas.openxmlformats.org/officeDocument/2006/relationships/hyperlink" Target="https://floodsupport.bangkok.go.th/api/data" TargetMode="External" Id="R8d77131251f34530" /><Relationship Type="http://schemas.openxmlformats.org/officeDocument/2006/relationships/hyperlink" Target="https://www.google.com/maps/place/&#3650;&#3619;&#3591;&#3648;&#3619;&#3637;&#3618;&#3609;&#3623;&#3633;&#3604;&#3614;&#3619;&#3632;&#3618;&#3634;&#3626;&#3640;&#3648;&#3619;&#3609;&#3607;&#3619;&#3660;/@13.8703415,100.6838396,1881m/data=!3m1!1e3!4m6!3m5!1s0x311d7cc9add77fa7:0xaaf02aa606726f29!8m2!3d13.8734813!4d100.6865445!16s%2Fg%2F1tczgynr?entry=tts&amp;g_ep=EgoyMDI2MDkyMy4wIPu8ASoASAFQAw%3D%3D&amp;skid=d29df70b-7383-4ae0-813f-1a2ccf17fe85" TargetMode="External" Id="R0c820819b146426c" /><Relationship Type="http://schemas.openxmlformats.org/officeDocument/2006/relationships/hyperlink" Target="https://maps.app.goo.gl/ih9XCP6RpiwQiM4Z8" TargetMode="External" Id="Rbbec9611fbd24cec" /><Relationship Type="http://schemas.openxmlformats.org/officeDocument/2006/relationships/hyperlink" Target="https://floodsupport.bangkok.go.th/api/data" TargetMode="External" Id="Rcc67088c205045bc" /><Relationship Type="http://schemas.openxmlformats.org/officeDocument/2006/relationships/hyperlink" Target="https://www.google.com/maps/place/&#3650;&#3619;&#3591;&#3648;&#3619;&#3637;&#3618;&#3609;&#3623;&#3633;&#3604;&#3621;&#3635;&#3585;&#3632;&#3604;&#3634;&#3609;/@13.8930048,100.6851763,15046m/data=!3m1!1e3!4m6!3m5!1s0x311d7bad08dadead:0x87b3f5c785f3a5cc!8m2!3d13.9174808!4d100.752918!16s%2Fg%2F1pzxmz4ky?entry=tts&amp;g_ep=EgoyMDI2MDkyMy4wIPu8ASoASAFQAw%3D%3D&amp;skid=f3d5ec05-2f3c-415f-9dc9-7d025d8292a8" TargetMode="External" Id="R85a043eb80994233" /><Relationship Type="http://schemas.openxmlformats.org/officeDocument/2006/relationships/hyperlink" Target="https://maps.app.goo.gl/NU3jKUbBVjxgfWW7A" TargetMode="External" Id="Rae7fe2c3c5b149bd" /><Relationship Type="http://schemas.openxmlformats.org/officeDocument/2006/relationships/hyperlink" Target="https://floodsupport.bangkok.go.th/api/data" TargetMode="External" Id="Rd463a8043af6418f" /><Relationship Type="http://schemas.openxmlformats.org/officeDocument/2006/relationships/hyperlink" Target="https://www.google.com/maps/place/&#3650;&#3619;&#3591;&#3648;&#3619;&#3637;&#3618;&#3609;&#3623;&#3633;&#3604;&#3624;&#3619;&#3637;&#3626;&#3640;&#3585;/@13.8890686,100.6974667,15046m/data=!3m1!1e3!4m6!3m5!1s0x311d7a7066491661:0x4d1e4c2662edb1a7!8m2!3d13.9184414!4d100.7917995!16s%2Fg%2F1pzv238ls?entry=tts&amp;g_ep=EgoyMDI2MDkyMy4wIPu8ASoASAFQAw%3D%3D&amp;skid=ec657b14-ffa2-4584-bd1d-eb2835fe42c2" TargetMode="External" Id="R1804b6efeb2247f8" /><Relationship Type="http://schemas.openxmlformats.org/officeDocument/2006/relationships/hyperlink" Target="https://maps.app.goo.gl/ieoU17oAmX71uCeB8" TargetMode="External" Id="R6aef486f45504ea8" /><Relationship Type="http://schemas.openxmlformats.org/officeDocument/2006/relationships/hyperlink" Target="https://floodsupport.bangkok.go.th/api/data" TargetMode="External" Id="R54e40285fd9548b3" /><Relationship Type="http://schemas.openxmlformats.org/officeDocument/2006/relationships/hyperlink" Target="https://www.google.com/maps/place/&#3650;&#3619;&#3591;&#3648;&#3619;&#3637;&#3618;&#3609;+&#3623;&#3633;&#3604;&#3626;&#3640;&#3586;&#3651;&#3592;/@13.8653625,100.7140857,7524m/data=!3m1!1e3!4m6!3m5!1s0x311d7bad08313d91:0x40584661c418975d!8m2!3d13.872037!4d100.7737308!16s%2Fg%2F1hc6t50bt?entry=tts&amp;g_ep=EgoyMDI2MDkyMy4wIPu8ASoASAFQAw%3D%3D&amp;skid=0b822272-dee2-4d9f-98a5-6667b850a7b4" TargetMode="External" Id="Ra109af11e1154473" /><Relationship Type="http://schemas.openxmlformats.org/officeDocument/2006/relationships/hyperlink" Target="https://maps.app.goo.gl/1iF1TVgRTYhgp8gL6" TargetMode="External" Id="R18c558f9db4049a8" /><Relationship Type="http://schemas.openxmlformats.org/officeDocument/2006/relationships/hyperlink" Target="https://floodsupport.bangkok.go.th/api/data" TargetMode="External" Id="Rad75ce7461714bca" /><Relationship Type="http://schemas.openxmlformats.org/officeDocument/2006/relationships/hyperlink" Target="https://www.google.com/maps/place/&#3650;&#3619;&#3591;&#3648;&#3619;&#3637;&#3618;&#3609;&#3623;&#3633;&#3604;&#3626;&#3640;&#3607;&#3608;&#3636;&#3626;&#3632;&#3629;&#3634;&#3604;/@13.8693612,100.7035554,3762m/data=!3m1!1e3!4m6!3m5!1s0x311d7b4725858b0d:0x2568d86f1ad808b6!8m2!3d13.877293!4d100.7324536!16s%2Fg%2F1hc3rq3lc?entry=tts&amp;g_ep=EgoyMDI2MDkyMy4wIPu8ASoASAFQAw%3D%3D&amp;skid=8288dd46-8e01-4037-b214-dbf15f90121a" TargetMode="External" Id="R274135202a19421c" /><Relationship Type="http://schemas.openxmlformats.org/officeDocument/2006/relationships/hyperlink" Target="https://maps.app.goo.gl/yMsbGVL2nDX6GMBF6" TargetMode="External" Id="R1f777945ef20405a" /><Relationship Type="http://schemas.openxmlformats.org/officeDocument/2006/relationships/hyperlink" Target="https://floodsupport.bangkok.go.th/api/data" TargetMode="External" Id="R2dda287a550648eb" /><Relationship Type="http://schemas.openxmlformats.org/officeDocument/2006/relationships/hyperlink" Target="https://www.google.com/maps/place/&#3650;&#3619;&#3591;&#3648;&#3619;&#3637;&#3618;&#3609;&#3623;&#3633;&#3604;&#3649;&#3611;&#3657;&#3609;&#3607;&#3629;&#3591;+&#3626;&#3634;&#3617;&#3623;&#3634;&#3623;&#3636;&#3607;&#3618;&#3634;/@13.8738472,100.6899614,3762m/data=!3m1!1e3!4m6!3m5!1s0x311d7ca034c91bbf:0xef674db09a4a859f!8m2!3d13.8861952!4d100.7086731!16s%2Fg%2F1xpwg7g5?entry=tts&amp;g_ep=EgoyMDI2MDkyMy4wIPu8ASoASAFQAw%3D%3D&amp;skid=1996dd92-2b80-4b59-8b06-d56e17120000" TargetMode="External" Id="R532d0b73c31a414c" /><Relationship Type="http://schemas.openxmlformats.org/officeDocument/2006/relationships/hyperlink" Target="https://maps.app.goo.gl/aEduGCLVwzfCwviFA" TargetMode="External" Id="R1eb00555075c4c29" /><Relationship Type="http://schemas.openxmlformats.org/officeDocument/2006/relationships/hyperlink" Target="https://floodsupport.bangkok.go.th/api/data" TargetMode="External" Id="Rd8001c31f8b54279" /><Relationship Type="http://schemas.openxmlformats.org/officeDocument/2006/relationships/hyperlink" Target="https://www.google.com/maps/place/&#3650;&#3619;&#3591;&#3648;&#3619;&#3637;&#3618;&#3609;&#3626;&#3640;&#3648;&#3627;&#3619;&#3656;&#3634;&#3588;&#3621;&#3629;&#3591;&#3626;&#3637;&#3656;/@13.8882693,100.707312,7523m/data=!3m1!1e3!4m6!3m5!1s0x311d7a573c6e4549:0x83fcd1ec8da7a81b!8m2!3d13.912987!4d100.770257!16s%2Fg%2F1hc3d2qz2?entry=tts&amp;g_ep=EgoyMDI2MDkyMy4wIPu8ASoASAFQAw%3D%3D&amp;skid=247d6661-03ad-4690-98c9-7b28d134c0d0" TargetMode="External" Id="R1f133443f90247ce" /><Relationship Type="http://schemas.openxmlformats.org/officeDocument/2006/relationships/hyperlink" Target="https://maps.app.goo.gl/jk5tBn8iGYDwRL8WA" TargetMode="External" Id="R761caecfc30d4768" /><Relationship Type="http://schemas.openxmlformats.org/officeDocument/2006/relationships/hyperlink" Target="https://floodsupport.bangkok.go.th/api/data" TargetMode="External" Id="Rd93b2c06abcf4957" /><Relationship Type="http://schemas.openxmlformats.org/officeDocument/2006/relationships/hyperlink" Target="https://www.google.com/maps/place/&#3650;&#3619;&#3591;&#3648;&#3619;&#3637;&#3618;&#3609;&#3626;&#3640;&#3648;&#3627;&#3619;&#3656;&#3634;&#3588;&#3621;&#3629;&#3591;&#3627;&#3609;&#3638;&#3656;&#3591;+(&#3617;&#3634;&#3609;&#3632;&#3619;&#3634;&#3625;&#3598;&#3619;&#3660;&#3610;&#3635;&#3619;&#3640;&#3591;)/@13.8503703,100.691893,3762m/data=!3m1!1e3!4m6!3m5!1s0x311d64a012b57327:0xe435c0f47e47a83b!8m2!3d13.8424341!4d100.7111727!16s%2Fg%2F1pzprzj8f?entry=tts&amp;g_ep=EgoyMDI2MDkyMy4wIPu8ASoASAFQAw%3D%3D&amp;skid=560b7687-8931-41b4-8adb-6b21f7e78df0" TargetMode="External" Id="R672efde178ea4f9f" /><Relationship Type="http://schemas.openxmlformats.org/officeDocument/2006/relationships/hyperlink" Target="https://maps.app.goo.gl/twPo7QmdoBKLcEoA7" TargetMode="External" Id="Rad6dbac2df7843c0" /><Relationship Type="http://schemas.openxmlformats.org/officeDocument/2006/relationships/hyperlink" Target="https://floodsupport.bangkok.go.th/api/data" TargetMode="External" Id="R7bb34b47c8b149d6" /><Relationship Type="http://schemas.openxmlformats.org/officeDocument/2006/relationships/hyperlink" Target="https://www.google.com/maps/place/&#3650;&#3619;&#3591;&#3648;&#3619;&#3637;&#3618;&#3609;+&#3626;&#3640;&#3648;&#3627;&#3619;&#3656;&#3634;+&#3626;&#3634;&#3617;&#3623;&#3634;/@13.8917634,100.6752495,7523m/data=!3m1!1e3!4m6!3m5!1s0x311d7b75ca23ebab:0xd39b39273fb09350!8m2!3d13.9064317!4d100.7268938!16s%2Fg%2F1tdql386?entry=tts&amp;g_ep=EgoyMDI2MDkyMy4wIPu8ASoASAFQAw%3D%3D&amp;skid=39447780-c4f3-455f-8c5f-cf8c4437758e" TargetMode="External" Id="R2771d85711fb4d9e" /><Relationship Type="http://schemas.openxmlformats.org/officeDocument/2006/relationships/hyperlink" Target="https://maps.app.goo.gl/o48wqEwgiNCiHqzR7" TargetMode="External" Id="R78436c311f674a42" /><Relationship Type="http://schemas.openxmlformats.org/officeDocument/2006/relationships/hyperlink" Target="https://floodsupport.bangkok.go.th/api/data" TargetMode="External" Id="Rd98886c7c11a4f25" /><Relationship Type="http://schemas.openxmlformats.org/officeDocument/2006/relationships/hyperlink" Target="https://www.google.com/maps/place/&#3650;&#3619;&#3591;&#3648;&#3619;&#3637;&#3618;&#3609;&#3626;&#3640;&#3648;&#3627;&#3619;&#3656;&#3634;&#3648;&#3585;&#3634;&#3632;&#3586;&#3640;&#3609;&#3648;&#3603;&#3619;/@13.8455422,100.7224453,7525m/data=!3m1!1e3!4m6!3m5!1s0x311d651628a5ff6b:0xdb11c46b6cce6ed3!8m2!3d13.8552235!4d100.7860228!16s%2Fg%2F1hc21v5n6?entry=tts&amp;g_ep=EgoyMDI2MDkyMy4wIPu8ASoASAFQAw%3D%3D&amp;skid=e22d0863-4336-4d22-a0ef-000670cec018" TargetMode="External" Id="R7014d2ed88f044ea" /><Relationship Type="http://schemas.openxmlformats.org/officeDocument/2006/relationships/hyperlink" Target="https://maps.app.goo.gl/U8DdrE3R6Piw5QpR9" TargetMode="External" Id="R0af72a89b9e846a0" /><Relationship Type="http://schemas.openxmlformats.org/officeDocument/2006/relationships/hyperlink" Target="https://floodsupport.bangkok.go.th/api/data" TargetMode="External" Id="Ref99eae89a7f4dfd" /><Relationship Type="http://schemas.openxmlformats.org/officeDocument/2006/relationships/hyperlink" Target="https://www.google.com/maps/place/&#3650;&#3619;&#3591;&#3648;&#3619;&#3637;&#3618;&#3609;&#3626;&#3640;&#3648;&#3627;&#3619;&#3656;&#3634;&#3649;&#3626;&#3609;&#3649;&#3626;&#3610;/@13.8417297,100.7028949,7525m/data=!3m1!1e3!4m6!3m5!1s0x311d64e04cc3302b:0x2ccd7998ceece860!8m2!3d13.8253398!4d100.7516658!16s%2Fg%2F1hc4s4yx5?entry=tts&amp;g_ep=EgoyMDI2MDkyMy4wIPu8ASoASAFQAw%3D%3D&amp;skid=d02e1df4-a8d7-4cfb-b6fd-5c8d7a6c2598" TargetMode="External" Id="Rcaa89e8aa8f7439c" /><Relationship Type="http://schemas.openxmlformats.org/officeDocument/2006/relationships/hyperlink" Target="https://maps.app.goo.gl/jAyqFyEuV7L5Zxmg8" TargetMode="External" Id="R0ef0b72b79164802" /><Relationship Type="http://schemas.openxmlformats.org/officeDocument/2006/relationships/hyperlink" Target="https://floodsupport.bangkok.go.th/api/data" TargetMode="External" Id="Rc0a9204e2f3842f0" /><Relationship Type="http://schemas.openxmlformats.org/officeDocument/2006/relationships/hyperlink" Target="https://www.google.com/maps/place/&#3650;&#3619;&#3591;&#3648;&#3619;&#3637;&#3618;&#3609;&#3594;&#3640;&#3617;&#3594;&#3609;&#3627;&#3617;&#3641;&#3656;&#3610;&#3657;&#3634;&#3609;&#3614;&#3633;&#3602;&#3609;&#3634;/@13.7106539,100.5785415,16.21z/data=!4m6!3m5!1s0x30e29fa00c05f663:0xef90af05a08c2246!8m2!3d13.711051!4d100.5750891!16s%2Fg%2F1tlbllsv?authuser=0&amp;entry=tts&amp;g_ep=EgoyMDI2MDkyMy4wIPu8ASoASAFQAw%3D%3D&amp;skid=a4df6c88-9362-4eeb-8a2a-e449fd49bae7" TargetMode="External" Id="Rd5b7601dcd1542a3" /><Relationship Type="http://schemas.openxmlformats.org/officeDocument/2006/relationships/hyperlink" Target="https://maps.app.goo.gl/jwrVMbihue7cBwyc9" TargetMode="External" Id="R9e93cedfd1024614" /><Relationship Type="http://schemas.openxmlformats.org/officeDocument/2006/relationships/hyperlink" Target="https://floodsupport.bangkok.go.th/api/data" TargetMode="External" Id="R9af17607125b4421" /><Relationship Type="http://schemas.openxmlformats.org/officeDocument/2006/relationships/hyperlink" Target="https://www.google.com/maps/place/&#3650;&#3619;&#3591;&#3648;&#3619;&#3637;&#3618;&#3609;&#3623;&#3633;&#3604;&#3588;&#3621;&#3629;&#3591;&#3648;&#3605;&#3618;/@13.7101051,100.558304,17z/data=!3m1!4b1!4m6!3m5!1s0x30e29f6d2ba13bf7:0x56bada636901c42c!8m2!3d13.7100999!4d100.5608789!16s%2Fg%2F1pzt2d_32?authuser=0&amp;entry=tts&amp;g_ep=EgoyMDI2MDkyMy4wIPu8ASoASAFQAw%3D%3D&amp;skid=dc530755-6bc6-4029-8db2-539adb889436" TargetMode="External" Id="Re947006667714abe" /><Relationship Type="http://schemas.openxmlformats.org/officeDocument/2006/relationships/hyperlink" Target="https://maps.app.goo.gl/tVhTK4ccvJiKbV8E6" TargetMode="External" Id="Rd47978f367f941bd" /><Relationship Type="http://schemas.openxmlformats.org/officeDocument/2006/relationships/hyperlink" Target="https://floodsupport.bangkok.go.th/api/data" TargetMode="External" Id="R80f165a366d64560" /><Relationship Type="http://schemas.openxmlformats.org/officeDocument/2006/relationships/hyperlink" Target="https://maps.app.goo.gl/qoCis2v48PdHkiNc9" TargetMode="External" Id="R76d5f6683bca4e55" /><Relationship Type="http://schemas.openxmlformats.org/officeDocument/2006/relationships/hyperlink" Target="https://floodsupport.bangkok.go.th/api/data" TargetMode="External" Id="R846924e5158a48b3" /><Relationship Type="http://schemas.openxmlformats.org/officeDocument/2006/relationships/hyperlink" Target="https://maps.app.goo.gl/Rq9QRAASxyA2kfXn7" TargetMode="External" Id="R024c2ad71d5141e7" /><Relationship Type="http://schemas.openxmlformats.org/officeDocument/2006/relationships/hyperlink" Target="https://floodsupport.bangkok.go.th/api/data" TargetMode="External" Id="Rcf30ec8cbab84f76" /><Relationship Type="http://schemas.openxmlformats.org/officeDocument/2006/relationships/hyperlink" Target="https://maps.app.goo.gl/wPVxWdJ9mRoZ4SeF7" TargetMode="External" Id="R1b9847ca646048aa" /><Relationship Type="http://schemas.openxmlformats.org/officeDocument/2006/relationships/hyperlink" Target="https://floodsupport.bangkok.go.th/api/data" TargetMode="External" Id="Rc5557405c59f413f" /><Relationship Type="http://schemas.openxmlformats.org/officeDocument/2006/relationships/hyperlink" Target="https://floodsupport.bangkok.go.th/api/data" TargetMode="External" Id="Rd1b1b269d3724ffe" /><Relationship Type="http://schemas.openxmlformats.org/officeDocument/2006/relationships/hyperlink" Target="https://floodsupport.bangkok.go.th/api/data" TargetMode="External" Id="R0ef44f55975c4c14" /><Relationship Type="http://schemas.openxmlformats.org/officeDocument/2006/relationships/hyperlink" Target="https://floodsupport.bangkok.go.th/api/data" TargetMode="External" Id="R1cd6effdee07464a" /><Relationship Type="http://schemas.openxmlformats.org/officeDocument/2006/relationships/hyperlink" Target="https://floodsupport.bangkok.go.th/api/data" TargetMode="External" Id="Rc58917c9223841b1" /><Relationship Type="http://schemas.openxmlformats.org/officeDocument/2006/relationships/hyperlink" Target="https://floodsupport.bangkok.go.th/api/data" TargetMode="External" Id="Raa958a17d8e746bd" /><Relationship Type="http://schemas.openxmlformats.org/officeDocument/2006/relationships/hyperlink" Target="https://floodsupport.bangkok.go.th/api/data" TargetMode="External" Id="R934cd5806a1149c4" /><Relationship Type="http://schemas.openxmlformats.org/officeDocument/2006/relationships/hyperlink" Target="https://floodsupport.bangkok.go.th/api/data" TargetMode="External" Id="R89dcb4bd7e854004" /><Relationship Type="http://schemas.openxmlformats.org/officeDocument/2006/relationships/hyperlink" Target="https://floodsupport.bangkok.go.th/api/data" TargetMode="External" Id="R5bf68e1e1ff24c6f" /><Relationship Type="http://schemas.openxmlformats.org/officeDocument/2006/relationships/hyperlink" Target="https://maps.app.goo.gl/Ly1YWbV27Q3SkPYY8" TargetMode="External" Id="Rf662bcd402e44f7a" /><Relationship Type="http://schemas.openxmlformats.org/officeDocument/2006/relationships/hyperlink" Target="https://floodsupport.bangkok.go.th/api/data" TargetMode="External" Id="R7ea9b7e831f24114" /><Relationship Type="http://schemas.openxmlformats.org/officeDocument/2006/relationships/hyperlink" Target="https://floodsupport.bangkok.go.th/api/data" TargetMode="External" Id="Rcce4535d1df04360" /><Relationship Type="http://schemas.openxmlformats.org/officeDocument/2006/relationships/hyperlink" Target="https://floodsupport.bangkok.go.th/api/data" TargetMode="External" Id="Rce5ef66ece7a4009" /><Relationship Type="http://schemas.openxmlformats.org/officeDocument/2006/relationships/hyperlink" Target="https://floodsupport.bangkok.go.th/api/data" TargetMode="External" Id="Rcf0bd6326220467c" /><Relationship Type="http://schemas.openxmlformats.org/officeDocument/2006/relationships/hyperlink" Target="https://floodsupport.bangkok.go.th/api/data" TargetMode="External" Id="R6d1c3ac9c99f4bac" /><Relationship Type="http://schemas.openxmlformats.org/officeDocument/2006/relationships/hyperlink" Target="https://floodsupport.bangkok.go.th/api/data" TargetMode="External" Id="R5182400f1fc74b00" /><Relationship Type="http://schemas.openxmlformats.org/officeDocument/2006/relationships/hyperlink" Target="https://floodsupport.bangkok.go.th/api/data" TargetMode="External" Id="R9d79cec5f2804294" /><Relationship Type="http://schemas.openxmlformats.org/officeDocument/2006/relationships/hyperlink" Target="https://floodsupport.bangkok.go.th/api/data" TargetMode="External" Id="R5312445c02e440c9" /><Relationship Type="http://schemas.openxmlformats.org/officeDocument/2006/relationships/hyperlink" Target="https://maps.app.goo.gl/Lvm3q12TxWnA55786" TargetMode="External" Id="Ra3079eb94ceb47fe" /><Relationship Type="http://schemas.openxmlformats.org/officeDocument/2006/relationships/hyperlink" Target="https://floodsupport.bangkok.go.th/api/data" TargetMode="External" Id="Raa7fb3db16804214" /><Relationship Type="http://schemas.openxmlformats.org/officeDocument/2006/relationships/hyperlink" Target="https://maps.app.goo.gl/Jn8GzDEPTb1XWuuLA?g_st=ac" TargetMode="External" Id="R64d586e34aa448b0" /><Relationship Type="http://schemas.openxmlformats.org/officeDocument/2006/relationships/hyperlink" Target="https://floodsupport.bangkok.go.th/api/data" TargetMode="External" Id="R39a969163af7431d" /><Relationship Type="http://schemas.openxmlformats.org/officeDocument/2006/relationships/hyperlink" Target="https://maps.app.goo.gl/LC24wmGu2r73UQJR9?g_st=ac" TargetMode="External" Id="R45f68036a5b04130" /><Relationship Type="http://schemas.openxmlformats.org/officeDocument/2006/relationships/hyperlink" Target="https://floodsupport.bangkok.go.th/api/data" TargetMode="External" Id="R5685a89d5339403f" /><Relationship Type="http://schemas.openxmlformats.org/officeDocument/2006/relationships/hyperlink" Target="https://maps.app.goo.gl/cu6qooLYkhSspMmNA?g_st=ac" TargetMode="External" Id="R6041d7e8a2764dd3" /><Relationship Type="http://schemas.openxmlformats.org/officeDocument/2006/relationships/hyperlink" Target="https://floodsupport.bangkok.go.th/api/data" TargetMode="External" Id="R337c4765888c4309" /><Relationship Type="http://schemas.openxmlformats.org/officeDocument/2006/relationships/hyperlink" Target="https://maps.app.goo.gl/tGytJfNkVqnX3QdW8" TargetMode="External" Id="R4f224edf6b6b43d4" /><Relationship Type="http://schemas.openxmlformats.org/officeDocument/2006/relationships/hyperlink" Target="https://floodsupport.bangkok.go.th/api/data" TargetMode="External" Id="R5d97edbdb6564858" /><Relationship Type="http://schemas.openxmlformats.org/officeDocument/2006/relationships/hyperlink" Target="https://maps.app.goo.gl/2SrNrV4o1j3vFM1n9?g_st=ac" TargetMode="External" Id="Ref81a840357a4ce6" /><Relationship Type="http://schemas.openxmlformats.org/officeDocument/2006/relationships/hyperlink" Target="https://floodsupport.bangkok.go.th/api/data" TargetMode="External" Id="R8d8552c52a5f4ed7" /><Relationship Type="http://schemas.openxmlformats.org/officeDocument/2006/relationships/hyperlink" Target="https://maps.app.goo.gl/KQy275Z89uN6XfXz5?g_st=ac" TargetMode="External" Id="Refcf579b91ac4572" /><Relationship Type="http://schemas.openxmlformats.org/officeDocument/2006/relationships/hyperlink" Target="https://floodsupport.bangkok.go.th/api/data" TargetMode="External" Id="R9f4f8d465e2d4a99" /><Relationship Type="http://schemas.openxmlformats.org/officeDocument/2006/relationships/hyperlink" Target="https://floodsupport.bangkok.go.th/api/data" TargetMode="External" Id="R796cdb578be64665" /><Relationship Type="http://schemas.openxmlformats.org/officeDocument/2006/relationships/hyperlink" Target="https://floodsupport.bangkok.go.th/api/data" TargetMode="External" Id="Rcf86e9d68cc8469b" /><Relationship Type="http://schemas.openxmlformats.org/officeDocument/2006/relationships/hyperlink" Target="https://floodsupport.bangkok.go.th/api/data" TargetMode="External" Id="R8295c57bde0c4a77" /><Relationship Type="http://schemas.openxmlformats.org/officeDocument/2006/relationships/hyperlink" Target="https://floodsupport.bangkok.go.th/api/data" TargetMode="External" Id="R6f531861ea454304" /><Relationship Type="http://schemas.openxmlformats.org/officeDocument/2006/relationships/hyperlink" Target="https://floodsupport.bangkok.go.th/api/data" TargetMode="External" Id="R48b4c549ad234cb1" /><Relationship Type="http://schemas.openxmlformats.org/officeDocument/2006/relationships/hyperlink" Target="https://floodsupport.bangkok.go.th/api/data" TargetMode="External" Id="Rf5c9f3cf0c554e0b" /><Relationship Type="http://schemas.openxmlformats.org/officeDocument/2006/relationships/hyperlink" Target="https://floodsupport.bangkok.go.th/api/data" TargetMode="External" Id="R1a639bd447634bea" /><Relationship Type="http://schemas.openxmlformats.org/officeDocument/2006/relationships/hyperlink" Target="https://floodsupport.bangkok.go.th/api/data" TargetMode="External" Id="Rc7574fafc622476c" /><Relationship Type="http://schemas.openxmlformats.org/officeDocument/2006/relationships/hyperlink" Target="https://floodsupport.bangkok.go.th/api/data" TargetMode="External" Id="R96737509b07f4ded" /><Relationship Type="http://schemas.openxmlformats.org/officeDocument/2006/relationships/hyperlink" Target="https://floodsupport.bangkok.go.th/api/data" TargetMode="External" Id="R85e88d73ebed4200" /><Relationship Type="http://schemas.openxmlformats.org/officeDocument/2006/relationships/hyperlink" Target="https://floodsupport.bangkok.go.th/api/data" TargetMode="External" Id="Re070b5914d7d4c59" /><Relationship Type="http://schemas.openxmlformats.org/officeDocument/2006/relationships/hyperlink" Target="https://floodsupport.bangkok.go.th/api/data" TargetMode="External" Id="R76f0522a3c554747" /><Relationship Type="http://schemas.openxmlformats.org/officeDocument/2006/relationships/hyperlink" Target="https://floodsupport.bangkok.go.th/api/data" TargetMode="External" Id="R75b762f5ef2f40e8" /><Relationship Type="http://schemas.openxmlformats.org/officeDocument/2006/relationships/hyperlink" Target="https://floodsupport.bangkok.go.th/api/data" TargetMode="External" Id="Ra0bb59f6c4e84ac2" /><Relationship Type="http://schemas.openxmlformats.org/officeDocument/2006/relationships/hyperlink" Target="https://floodsupport.bangkok.go.th/api/data" TargetMode="External" Id="R53ebdc26dff6447f" /><Relationship Type="http://schemas.openxmlformats.org/officeDocument/2006/relationships/hyperlink" Target="https://floodsupport.bangkok.go.th/api/data" TargetMode="External" Id="R059a0275b27f412b" /><Relationship Type="http://schemas.openxmlformats.org/officeDocument/2006/relationships/hyperlink" Target="https://maps.app.goo.gl/UjCcAbUePvdzGMoZ7" TargetMode="External" Id="R0f6c583ad19d4180" /><Relationship Type="http://schemas.openxmlformats.org/officeDocument/2006/relationships/hyperlink" Target="https://floodsupport.bangkok.go.th/api/data" TargetMode="External" Id="R6a4b00cb5164404a" /><Relationship Type="http://schemas.openxmlformats.org/officeDocument/2006/relationships/hyperlink" Target="https://maps.app.goo.gl/fc7zNCiTJbjNv1zc8" TargetMode="External" Id="R62b5b7396f974df9" /><Relationship Type="http://schemas.openxmlformats.org/officeDocument/2006/relationships/hyperlink" Target="https://floodsupport.bangkok.go.th/api/data" TargetMode="External" Id="R3cab57bbb8c84915" /><Relationship Type="http://schemas.openxmlformats.org/officeDocument/2006/relationships/hyperlink" Target="https://maps.app.goo.gl/PG2qVn4tGCaPwnB98" TargetMode="External" Id="R0a8e7dd2be384cd5" /><Relationship Type="http://schemas.openxmlformats.org/officeDocument/2006/relationships/hyperlink" Target="https://floodsupport.bangkok.go.th/api/data" TargetMode="External" Id="R98ed9bd10f6c4c2f" /><Relationship Type="http://schemas.openxmlformats.org/officeDocument/2006/relationships/hyperlink" Target="https://maps.app.goo.gl/5X1wFufXFjNG1PRx9" TargetMode="External" Id="Rf76bac91234e4eaa" /><Relationship Type="http://schemas.openxmlformats.org/officeDocument/2006/relationships/hyperlink" Target="https://floodsupport.bangkok.go.th/api/data" TargetMode="External" Id="R30f204748f8e408e" /><Relationship Type="http://schemas.openxmlformats.org/officeDocument/2006/relationships/hyperlink" Target="https://maps.app.goo.gl/phNZeL9hHE3dgBMR9" TargetMode="External" Id="R47976628724c426f" /><Relationship Type="http://schemas.openxmlformats.org/officeDocument/2006/relationships/hyperlink" Target="https://floodsupport.bangkok.go.th/api/data" TargetMode="External" Id="R0e4ffebe7cce4ee8" /><Relationship Type="http://schemas.openxmlformats.org/officeDocument/2006/relationships/hyperlink" Target="https://maps.app.goo.gl/uGeVZ32ov1Z2JDPX9" TargetMode="External" Id="Ra1998e19ff6843e0" /><Relationship Type="http://schemas.openxmlformats.org/officeDocument/2006/relationships/hyperlink" Target="https://floodsupport.bangkok.go.th/api/data" TargetMode="External" Id="R95ba80a1a0ba4337" /><Relationship Type="http://schemas.openxmlformats.org/officeDocument/2006/relationships/hyperlink" Target="https://maps.app.goo.gl/sTj3Z1czH9ng2MJe7" TargetMode="External" Id="R485925690ef544f1" /><Relationship Type="http://schemas.openxmlformats.org/officeDocument/2006/relationships/hyperlink" Target="https://floodsupport.bangkok.go.th/api/data" TargetMode="External" Id="R0c61f124c4924aa1" /><Relationship Type="http://schemas.openxmlformats.org/officeDocument/2006/relationships/hyperlink" Target="https://maps.app.goo.gl/G5KyYpqqRTqyCV8cA" TargetMode="External" Id="Rbfb36c57e150447d" /><Relationship Type="http://schemas.openxmlformats.org/officeDocument/2006/relationships/hyperlink" Target="https://floodsupport.bangkok.go.th/api/data" TargetMode="External" Id="R92fc8b5262a1455b" /><Relationship Type="http://schemas.openxmlformats.org/officeDocument/2006/relationships/hyperlink" Target="https://maps.app.goo.gl/T589DZXzaBciMh5Y8" TargetMode="External" Id="Rabfae409ab5e453f" /><Relationship Type="http://schemas.openxmlformats.org/officeDocument/2006/relationships/hyperlink" Target="https://floodsupport.bangkok.go.th/api/data" TargetMode="External" Id="R846ea4c744d045e3" /><Relationship Type="http://schemas.openxmlformats.org/officeDocument/2006/relationships/hyperlink" Target="https://floodsupport.bangkok.go.th/api/data" TargetMode="External" Id="R5a14a5b362694277" /><Relationship Type="http://schemas.openxmlformats.org/officeDocument/2006/relationships/hyperlink" Target="https://maps.app.goo.gl/ZsP2Pj47Q7fyVy9J7" TargetMode="External" Id="Rf13f91cb5d3c4c96" /><Relationship Type="http://schemas.openxmlformats.org/officeDocument/2006/relationships/hyperlink" Target="https://floodsupport.bangkok.go.th/api/data" TargetMode="External" Id="R74345a2e2b4d4193" /><Relationship Type="http://schemas.openxmlformats.org/officeDocument/2006/relationships/hyperlink" Target="https://maps.app.goo.gl/xDf9my4VF9xArpQH7" TargetMode="External" Id="R0759f1a9efee45d9" /><Relationship Type="http://schemas.openxmlformats.org/officeDocument/2006/relationships/hyperlink" Target="https://floodsupport.bangkok.go.th/api/data" TargetMode="External" Id="Rce6f669c91b54914" /><Relationship Type="http://schemas.openxmlformats.org/officeDocument/2006/relationships/hyperlink" Target="https://maps.app.goo.gl/tRnkZguVB63ysmoC7" TargetMode="External" Id="R83b12546578c467f" /><Relationship Type="http://schemas.openxmlformats.org/officeDocument/2006/relationships/hyperlink" Target="https://floodsupport.bangkok.go.th/api/data" TargetMode="External" Id="R6cbe1f1ae1a042aa" /><Relationship Type="http://schemas.openxmlformats.org/officeDocument/2006/relationships/hyperlink" Target="https://maps.app.goo.gl/VpK4JpmMrPMEW24A7" TargetMode="External" Id="R9812e770e61040ff" /><Relationship Type="http://schemas.openxmlformats.org/officeDocument/2006/relationships/hyperlink" Target="https://floodsupport.bangkok.go.th/api/data" TargetMode="External" Id="R804acf95e2bd4c12" /><Relationship Type="http://schemas.openxmlformats.org/officeDocument/2006/relationships/hyperlink" Target="https://maps.app.goo.gl/mCEC959RGxGQQpCFA" TargetMode="External" Id="Rf4fc59c1e538433a" /><Relationship Type="http://schemas.openxmlformats.org/officeDocument/2006/relationships/hyperlink" Target="https://floodsupport.bangkok.go.th/api/data" TargetMode="External" Id="Rd0dfd77a6db34e07" /><Relationship Type="http://schemas.openxmlformats.org/officeDocument/2006/relationships/hyperlink" Target="https://maps.app.goo.gl/AAK9oFKoK3aXWG7T6?g_st=ic" TargetMode="External" Id="Rf5d0604bff014c44" /><Relationship Type="http://schemas.openxmlformats.org/officeDocument/2006/relationships/hyperlink" Target="https://floodsupport.bangkok.go.th/api/data" TargetMode="External" Id="R2abf41e6568c4b98" /><Relationship Type="http://schemas.openxmlformats.org/officeDocument/2006/relationships/hyperlink" Target="https://maps.app.goo.gl/QfgRkEdmLnXMaYze7?g_st=ic" TargetMode="External" Id="R37de6ad6c7c54e9d" /><Relationship Type="http://schemas.openxmlformats.org/officeDocument/2006/relationships/hyperlink" Target="https://floodsupport.bangkok.go.th/api/data" TargetMode="External" Id="Raa3460e649034b55" /><Relationship Type="http://schemas.openxmlformats.org/officeDocument/2006/relationships/hyperlink" Target="https://maps.app.goo.gl/TkZ7VX2z2eMBVS8a9?g_st=ic" TargetMode="External" Id="R95e718a6c4c844ae" /><Relationship Type="http://schemas.openxmlformats.org/officeDocument/2006/relationships/hyperlink" Target="https://floodsupport.bangkok.go.th/api/data" TargetMode="External" Id="Rbdd7577722474e83" /><Relationship Type="http://schemas.openxmlformats.org/officeDocument/2006/relationships/hyperlink" Target="https://maps.app.goo.gl/m6iri1jNpHM3K1Y59?g_st=ic" TargetMode="External" Id="R87ddda26261d4682" /><Relationship Type="http://schemas.openxmlformats.org/officeDocument/2006/relationships/hyperlink" Target="https://floodsupport.bangkok.go.th/api/data" TargetMode="External" Id="R7d09c0a6ede34e2f" /><Relationship Type="http://schemas.openxmlformats.org/officeDocument/2006/relationships/hyperlink" Target="https://maps.app.goo.gl/vjb5VHhVZDzquQoaA?g_st=ic" TargetMode="External" Id="Re3d94eee2a20458f" /><Relationship Type="http://schemas.openxmlformats.org/officeDocument/2006/relationships/hyperlink" Target="https://floodsupport.bangkok.go.th/api/data" TargetMode="External" Id="R06ba69650f6c4deb" /><Relationship Type="http://schemas.openxmlformats.org/officeDocument/2006/relationships/hyperlink" Target="https://maps.app.goo.gl/XTXFj9WedQYrZHWd7" TargetMode="External" Id="Re18809c4280948bb" /><Relationship Type="http://schemas.openxmlformats.org/officeDocument/2006/relationships/hyperlink" Target="https://floodsupport.bangkok.go.th/api/data" TargetMode="External" Id="R75d16aa9c5bc4cae" /><Relationship Type="http://schemas.openxmlformats.org/officeDocument/2006/relationships/hyperlink" Target="https://maps.app.goo.gl/o1Mf1w7cRfwJzY2j9" TargetMode="External" Id="R890fd7316d8749b3" /><Relationship Type="http://schemas.openxmlformats.org/officeDocument/2006/relationships/hyperlink" Target="https://floodsupport.bangkok.go.th/api/data" TargetMode="External" Id="R9a20b110bd0e48d3" /><Relationship Type="http://schemas.openxmlformats.org/officeDocument/2006/relationships/hyperlink" Target="https://maps.app.goo.gl/BKMuTM76opiNQ9xT6" TargetMode="External" Id="Rc2155b05d21c446d" /><Relationship Type="http://schemas.openxmlformats.org/officeDocument/2006/relationships/hyperlink" Target="https://floodsupport.bangkok.go.th/api/data" TargetMode="External" Id="R50b6ae61274448ba" /><Relationship Type="http://schemas.openxmlformats.org/officeDocument/2006/relationships/hyperlink" Target="https://maps.app.goo.gl/8MYDXsxmTYD5W7aQ8" TargetMode="External" Id="Rd43108317aac4dd3" /><Relationship Type="http://schemas.openxmlformats.org/officeDocument/2006/relationships/hyperlink" Target="https://floodsupport.bangkok.go.th/api/data" TargetMode="External" Id="Re7218011688e4fbf" /><Relationship Type="http://schemas.openxmlformats.org/officeDocument/2006/relationships/hyperlink" Target="https://maps.app.goo.gl/L8Qb3jKSofWqtdEW7" TargetMode="External" Id="R3a8247e2c74041b0" /><Relationship Type="http://schemas.openxmlformats.org/officeDocument/2006/relationships/hyperlink" Target="https://floodsupport.bangkok.go.th/api/data" TargetMode="External" Id="Rf345b65d9ec24d48" /><Relationship Type="http://schemas.openxmlformats.org/officeDocument/2006/relationships/hyperlink" Target="https://maps.app.goo.gl/723UTJHmMcsdKXH88" TargetMode="External" Id="R0ad73d7adb6b4985" /><Relationship Type="http://schemas.openxmlformats.org/officeDocument/2006/relationships/hyperlink" Target="https://floodsupport.bangkok.go.th/api/data" TargetMode="External" Id="R5fe8750fd5d64b14" /><Relationship Type="http://schemas.openxmlformats.org/officeDocument/2006/relationships/hyperlink" Target="https://floodsupport.bangkok.go.th/api/data" TargetMode="External" Id="R4a032e3aead7412c" /><Relationship Type="http://schemas.openxmlformats.org/officeDocument/2006/relationships/hyperlink" Target="https://floodsupport.bangkok.go.th/api/data" TargetMode="External" Id="R3af1525b30674856" /><Relationship Type="http://schemas.openxmlformats.org/officeDocument/2006/relationships/hyperlink" Target="https://floodsupport.bangkok.go.th/api/data" TargetMode="External" Id="Rff1504a83ca342b5" /><Relationship Type="http://schemas.openxmlformats.org/officeDocument/2006/relationships/hyperlink" Target="https://maps.app.goo.gl/NbbULJH65LGg27RcA" TargetMode="External" Id="R03bf6f13609f4b7f" /><Relationship Type="http://schemas.openxmlformats.org/officeDocument/2006/relationships/hyperlink" Target="https://floodsupport.bangkok.go.th/api/data" TargetMode="External" Id="R200f3a91bf8a4f39" /><Relationship Type="http://schemas.openxmlformats.org/officeDocument/2006/relationships/hyperlink" Target="https://maps.app.goo.gl/tXbQsHRTdVj1ivGV6" TargetMode="External" Id="R5263ecaac3384c3a" /><Relationship Type="http://schemas.openxmlformats.org/officeDocument/2006/relationships/hyperlink" Target="https://floodsupport.bangkok.go.th/api/data" TargetMode="External" Id="R3f647699d18a46f2" /><Relationship Type="http://schemas.openxmlformats.org/officeDocument/2006/relationships/hyperlink" Target="https://maps.app.goo.gl/dR9MRoC74BFVyCPVA" TargetMode="External" Id="R720dc9ce05234d23" /><Relationship Type="http://schemas.openxmlformats.org/officeDocument/2006/relationships/hyperlink" Target="https://floodsupport.bangkok.go.th/api/data" TargetMode="External" Id="Rb04405a5f15c4f6f" /><Relationship Type="http://schemas.openxmlformats.org/officeDocument/2006/relationships/hyperlink" Target="https://maps.app.goo.gl/1QMKk1eZwPpTpFcm6" TargetMode="External" Id="Refe86cfdab994852" /><Relationship Type="http://schemas.openxmlformats.org/officeDocument/2006/relationships/hyperlink" Target="https://floodsupport.bangkok.go.th/api/data" TargetMode="External" Id="R9f7ff416bcda4037" /><Relationship Type="http://schemas.openxmlformats.org/officeDocument/2006/relationships/hyperlink" Target="https://maps.app.goo.gl/NxFmXudqpDASCYub9" TargetMode="External" Id="Rbd88b8b2c6ee49bc" /><Relationship Type="http://schemas.openxmlformats.org/officeDocument/2006/relationships/hyperlink" Target="https://floodsupport.bangkok.go.th/api/data" TargetMode="External" Id="R1802c45eff98428e" /><Relationship Type="http://schemas.openxmlformats.org/officeDocument/2006/relationships/hyperlink" Target="https://maps.app.goo.gl/jRgtw1TyWsWEtSRk8" TargetMode="External" Id="Rfedafbc19f664df4" /><Relationship Type="http://schemas.openxmlformats.org/officeDocument/2006/relationships/hyperlink" Target="https://floodsupport.bangkok.go.th/api/data" TargetMode="External" Id="R00abc3e7af464166" /><Relationship Type="http://schemas.openxmlformats.org/officeDocument/2006/relationships/hyperlink" Target="https://maps.app.goo.gl/q1Kf8Yqp4BU849BRA" TargetMode="External" Id="R3d477b32a4974952" /><Relationship Type="http://schemas.openxmlformats.org/officeDocument/2006/relationships/hyperlink" Target="https://floodsupport.bangkok.go.th/api/data" TargetMode="External" Id="Rc425798dacfd42ad" /><Relationship Type="http://schemas.openxmlformats.org/officeDocument/2006/relationships/hyperlink" Target="https://maps.app.goo.gl/s65Kh31qxiYkjTHA7" TargetMode="External" Id="R0ad785b9499442b7" /><Relationship Type="http://schemas.openxmlformats.org/officeDocument/2006/relationships/hyperlink" Target="https://floodsupport.bangkok.go.th/api/data" TargetMode="External" Id="R533d331b40394472" /><Relationship Type="http://schemas.openxmlformats.org/officeDocument/2006/relationships/hyperlink" Target="https://share.google/SN3IeQUtAgTeMzEf6" TargetMode="External" Id="R12f2ff25ce834e40" /><Relationship Type="http://schemas.openxmlformats.org/officeDocument/2006/relationships/hyperlink" Target="https://floodsupport.bangkok.go.th/api/data" TargetMode="External" Id="Rd164aa3b5f484449" /><Relationship Type="http://schemas.openxmlformats.org/officeDocument/2006/relationships/hyperlink" Target="https://share.google/SN3IeQUtAgTeMzEf6" TargetMode="External" Id="R5a733d27160146e4" /><Relationship Type="http://schemas.openxmlformats.org/officeDocument/2006/relationships/hyperlink" Target="https://share.google/SU8mNHuRZCgSxXtcj" TargetMode="External" Id="R6a70caba9680452f" /><Relationship Type="http://schemas.openxmlformats.org/officeDocument/2006/relationships/hyperlink" Target="https://floodsupport.bangkok.go.th/api/data" TargetMode="External" Id="R2a6cd23746b24a21" /><Relationship Type="http://schemas.openxmlformats.org/officeDocument/2006/relationships/hyperlink" Target="https://share.google/SU8mNHuRZCgSxXtcj" TargetMode="External" Id="R9362a3482f644938" /><Relationship Type="http://schemas.openxmlformats.org/officeDocument/2006/relationships/hyperlink" Target="https://www.google.com/maps/place/&#3624;&#3641;&#3609;&#3618;&#3660;&#3609;&#3633;&#3609;&#3607;&#3609;&#3634;&#3585;&#3634;&#3619;&#3610;&#3634;&#3591;&#3649;&#3588;(&#3648;&#3619;&#3639;&#3629;&#3591;&#3626;&#3629;&#3609;)/data=!4m2!3m1!1s0x0:0xf4887f097a0f76ea?sa=X&amp;ved=1t:2428&amp;ictx=111" TargetMode="External" Id="R9629bab56233404c" /><Relationship Type="http://schemas.openxmlformats.org/officeDocument/2006/relationships/hyperlink" Target="https://floodsupport.bangkok.go.th/api/data" TargetMode="External" Id="Rb5045a27d8e641bc" /><Relationship Type="http://schemas.openxmlformats.org/officeDocument/2006/relationships/hyperlink" Target="https://www.google.com/maps/place/&#3626;&#3635;&#3609;&#3633;&#3585;&#3591;&#3634;&#3609;&#3648;&#3586;&#3605;&#3610;&#3638;&#3591;&#3585;&#3640;&#3656;&#3617;/@13.7853412,100.6670472,17z/data=!4m10!1m2!2m1!1z4Liq4Liz4LiZ4Lix4LiB4LiH4Liy4LiZ4LmA4LiC4LiV4Lia4Li24LiH4LiB4Li44LmI4Lih!3m6!1s0x311d63d208caace7:0xe0eb5e5a36504d0c!8m2!3d13.7852767!4d100.6696489!15sCjbguKrguLPguJnguLHguIHguIfguLLguJnguYDguILguJXguJrguLbguIfguIHguLjguYjguKFaOiI44Liq4Liz4LiZ4Lix4LiB4LiH4Liy4LiZIOC5gOC4guC4lSDguJrguLbguIfguIHguLjguYjguKGSARpkaXN0cmljdF9nb3Zlcm5tZW50X29mZmljZZoBI0NoWkRTVWhOTUc5blMwVkpRMEZuU1VNekxXTnVZVWxuRUFF4AEA-gEFCI4BEDg!16s%2Fg%2F1hm66vbn1?entry=ttu&amp;g_ep=EgoyMDI2MDkyMy4wIKXMDSoASAFQAw%3D%3D" TargetMode="External" Id="R7ddf75d298e04838" /><Relationship Type="http://schemas.openxmlformats.org/officeDocument/2006/relationships/hyperlink" Target="https://floodsupport.bangkok.go.th/api/data" TargetMode="External" Id="R0055454db6a443b9" /><Relationship Type="http://schemas.openxmlformats.org/officeDocument/2006/relationships/hyperlink" Target="https://www.google.com/maps/place/&#3626;&#3635;&#3609;&#3633;&#3585;&#3591;&#3634;&#3609;&#3648;&#3586;&#3605;&#3610;&#3638;&#3591;&#3585;&#3640;&#3656;&#3617;/@13.7853412,100.6670472,17z/data=!4m10!1m2!2m1!1z4Liq4Liz4LiZ4Lix4LiB4LiH4Liy4LiZ4LmA4LiC4LiV4Lia4Li24LiH4LiB4Li44LmI4Lih!3m6!1s0x311d63d208caace7:0xe0eb5e5a36504d0c!8m2!3d13.7852767!4d100.6696489!15sCjbguKrguLPguJnguLHguIHguIfguLLguJnguYDguILguJXguJrguLbguIfguIHguLjguYjguKFaOiI44Liq4Liz4LiZ4Lix4LiB4LiH4Liy4LiZIOC5gOC4guC4lSDguJrguLbguIfguIHguLjguYjguKGSARpkaXN0cmljdF9nb3Zlcm5tZW50X29mZmljZZoBI0NoWkRTVWhOTUc5blMwVkpRMEZuU1VNekxXTnVZVWxuRUFF4AEA-gEFCI4BEDg!16s%2Fg%2F1hm66vbn1?entry=ttu&amp;g_ep=EgoyMDI2MDkyMy4wIKXMDSoASAFQAw%3D%3D" TargetMode="External" Id="R6526a8ab6b974673" /><Relationship Type="http://schemas.openxmlformats.org/officeDocument/2006/relationships/hyperlink" Target="https://www.google.com/maps/place/&#3650;&#3619;&#3591;&#3648;&#3619;&#3637;&#3618;&#3609;&#3588;&#3621;&#3629;&#3591;&#3621;&#3635;&#3648;&#3592;&#3637;&#3618;&#3585;(&#3627;&#3623;&#3633;&#3591;&#3607;&#3629;&#3591;&#3610;&#3635;&#3619;&#3640;&#3591;)/@13.8183053,100.6317623,17z/data=!3m1!4b1!4m6!3m5!1s0x311d6263b5d7a89b:0x4ef074fec9dc676f!8m2!3d13.8183001!4d100.6343372!16s%2Fg%2F1tg7zy61?entry=ttu&amp;g_ep=EgoyMDI2MDkyMy4wIKXMDSoASAFQAw%3D%3D" TargetMode="External" Id="R4e97b964ef214f25" /><Relationship Type="http://schemas.openxmlformats.org/officeDocument/2006/relationships/hyperlink" Target="https://floodsupport.bangkok.go.th/api/data" TargetMode="External" Id="Rfc83cdc7c9c74bc3" /><Relationship Type="http://schemas.openxmlformats.org/officeDocument/2006/relationships/hyperlink" Target="https://www.google.com/maps/place/&#3650;&#3619;&#3591;&#3648;&#3619;&#3637;&#3618;&#3609;&#3588;&#3621;&#3629;&#3591;&#3621;&#3635;&#3648;&#3592;&#3637;&#3618;&#3585;(&#3627;&#3623;&#3633;&#3591;&#3607;&#3629;&#3591;&#3610;&#3635;&#3619;&#3640;&#3591;)/@13.8183053,100.6317623,17z/data=!3m1!4b1!4m6!3m5!1s0x311d6263b5d7a89b:0x4ef074fec9dc676f!8m2!3d13.8183001!4d100.6343372!16s%2Fg%2F1tg7zy61?entry=ttu&amp;g_ep=EgoyMDI2MDkyMy4wIKXMDSoASAFQAw%3D%3D" TargetMode="External" Id="R2e56e24d84f643d3" /><Relationship Type="http://schemas.openxmlformats.org/officeDocument/2006/relationships/hyperlink" Target="https://www.google.com/maps/place/&#3650;&#3619;&#3591;&#3648;&#3619;&#3637;&#3618;&#3609;&#3623;&#3633;&#3604;&#3610;&#3634;&#3591;&#3648;&#3605;&#3618;/@13.8032215,100.6466499,17z/data=!4m14!1m7!3m6!1s0x311d6246bcce2755:0x787d39ef3f046e8e!2z4LmC4Lij4LiH4LmA4Lij4Li14Lii4LiZ4Lin4Lix4LiU4Lia4Liy4LiH4LmA4LiV4Lii!8m2!3d13.8032163!4d100.6492248!16s%2Fg%2F1tfjy9x3!3m5!1s0x311d6246bcce2755:0x787d39ef3f046e8e!8m2!3d13.8032163!4d100.6492248!16s%2Fg%2F1tfjy9x3?entry=ttu&amp;g_ep=EgoyMDI2MDkyMy4wIKXMDSoASAFQAw%3D%3D" TargetMode="External" Id="R5db0d8e7d59b41f5" /><Relationship Type="http://schemas.openxmlformats.org/officeDocument/2006/relationships/hyperlink" Target="https://floodsupport.bangkok.go.th/api/data" TargetMode="External" Id="Rbdc191d2928d47dd" /><Relationship Type="http://schemas.openxmlformats.org/officeDocument/2006/relationships/hyperlink" Target="https://www.google.com/maps/place/&#3650;&#3619;&#3591;&#3648;&#3619;&#3637;&#3618;&#3609;&#3623;&#3633;&#3604;&#3610;&#3634;&#3591;&#3648;&#3605;&#3618;/@13.8032215,100.6466499,17z/data=!4m14!1m7!3m6!1s0x311d6246bcce2755:0x787d39ef3f046e8e!2z4LmC4Lij4LiH4LmA4Lij4Li14Lii4LiZ4Lin4Lix4LiU4Lia4Liy4LiH4LmA4LiV4Lii!8m2!3d13.8032163!4d100.6492248!16s%2Fg%2F1tfjy9x3!3m5!1s0x311d6246bcce2755:0x787d39ef3f046e8e!8m2!3d13.8032163!4d100.6492248!16s%2Fg%2F1tfjy9x3?entry=ttu&amp;g_ep=EgoyMDI2MDkyMy4wIKXMDSoASAFQAw%3D%3D" TargetMode="External" Id="Re70a658048f941df" /><Relationship Type="http://schemas.openxmlformats.org/officeDocument/2006/relationships/hyperlink" Target="https://www.google.com/maps/place/&#3650;&#3619;&#3591;&#3648;&#3619;&#3637;&#3618;&#3609;+&#3649;&#3618;&#3657;&#3617;&#3592;&#3634;&#3604;&#3623;&#3636;&#3594;&#3594;&#3634;&#3609;&#3640;&#3626;&#3619;&#3603;&#3660;/@13.8336434,100.650068,17z/data=!4m14!1m7!3m6!1s0x311d62f03fbf4f27:0x7c0e2bce5bf7dfac!2z4LmC4Lij4LiH4LmA4Lij4Li14Lii4LiZIOC5geC4ouC5ieC4oeC4iOC4suC4lOC4p-C4tOC4iuC4iuC4suC4meC4uOC4quC4o-C4k-C5jA!8m2!3d13.8336382!4d100.6526429!16s%2Fg%2F1vyn1b1x!3m5!1s0x311d62f03fbf4f27:0x7c0e2bce5bf7dfac!8m2!3d13.8336382!4d100.6526429!16s%2Fg%2F1vyn1b1x?entry=ttu&amp;g_ep=EgoyMDI2MDkyMy4wIKXMDSoASAFQAw%3D%3D" TargetMode="External" Id="R1c13f87b09914ee5" /><Relationship Type="http://schemas.openxmlformats.org/officeDocument/2006/relationships/hyperlink" Target="https://floodsupport.bangkok.go.th/api/data" TargetMode="External" Id="Rbbdd6ce8acf94d9d" /><Relationship Type="http://schemas.openxmlformats.org/officeDocument/2006/relationships/hyperlink" Target="https://www.google.com/maps/place/&#3650;&#3619;&#3591;&#3648;&#3619;&#3637;&#3618;&#3609;+&#3649;&#3618;&#3657;&#3617;&#3592;&#3634;&#3604;&#3623;&#3636;&#3594;&#3594;&#3634;&#3609;&#3640;&#3626;&#3619;&#3603;&#3660;/@13.8336434,100.650068,17z/data=!4m14!1m7!3m6!1s0x311d62f03fbf4f27:0x7c0e2bce5bf7dfac!2z4LmC4Lij4LiH4LmA4Lij4Li14Lii4LiZIOC5geC4ouC5ieC4oeC4iOC4suC4lOC4p-C4tOC4iuC4iuC4suC4meC4uOC4quC4o-C4k-C5jA!8m2!3d13.8336382!4d100.6526429!16s%2Fg%2F1vyn1b1x!3m5!1s0x311d62f03fbf4f27:0x7c0e2bce5bf7dfac!8m2!3d13.8336382!4d100.6526429!16s%2Fg%2F1vyn1b1x?entry=ttu&amp;g_ep=EgoyMDI2MDkyMy4wIKXMDSoASAFQAw%3D%3D" TargetMode="External" Id="R238ac32c53b24096" /><Relationship Type="http://schemas.openxmlformats.org/officeDocument/2006/relationships/hyperlink" Target="https://me-l.co/v55ml1z3" TargetMode="External" Id="R757ef0ae23384b77" /><Relationship Type="http://schemas.openxmlformats.org/officeDocument/2006/relationships/hyperlink" Target="https://floodsupport.bangkok.go.th/api/data" TargetMode="External" Id="R53a2d255d6e34362" /><Relationship Type="http://schemas.openxmlformats.org/officeDocument/2006/relationships/hyperlink" Target="https://me-l.co/v55ml1z3" TargetMode="External" Id="Rd0cb5d3ff5904e25" /><Relationship Type="http://schemas.openxmlformats.org/officeDocument/2006/relationships/hyperlink" Target="https://me-l.co/4nkos9tt" TargetMode="External" Id="R15f0c8eae8e54a2f" /><Relationship Type="http://schemas.openxmlformats.org/officeDocument/2006/relationships/hyperlink" Target="https://floodsupport.bangkok.go.th/api/data" TargetMode="External" Id="R2cbd476982ba4f7e" /><Relationship Type="http://schemas.openxmlformats.org/officeDocument/2006/relationships/hyperlink" Target="https://me-l.co/4nkos9tt" TargetMode="External" Id="Ra6bf022d936540f0" /><Relationship Type="http://schemas.openxmlformats.org/officeDocument/2006/relationships/hyperlink" Target="https://floodsupport.bangkok.go.th/api/data" TargetMode="External" Id="Re636543ea2f540fe" /><Relationship Type="http://schemas.openxmlformats.org/officeDocument/2006/relationships/hyperlink" Target="https://floodsupport.bangkok.go.th/api/data" TargetMode="External" Id="Re86008d18cbc4521" /><Relationship Type="http://schemas.openxmlformats.org/officeDocument/2006/relationships/hyperlink" Target="https://floodsupport.bangkok.go.th/api/data" TargetMode="External" Id="Ra476b0d7356441df" /><Relationship Type="http://schemas.openxmlformats.org/officeDocument/2006/relationships/hyperlink" Target="https://floodsupport.bangkok.go.th/api/data" TargetMode="External" Id="R3a57537619964dc2" /><Relationship Type="http://schemas.openxmlformats.org/officeDocument/2006/relationships/hyperlink" Target="https://maps.app.goo.gl/qqwV7uN5wtcpXmwX8" TargetMode="External" Id="R65238e024489408b" /><Relationship Type="http://schemas.openxmlformats.org/officeDocument/2006/relationships/hyperlink" Target="https://floodsupport.bangkok.go.th/api/data" TargetMode="External" Id="Rc9bd39a25bf543ea" /><Relationship Type="http://schemas.openxmlformats.org/officeDocument/2006/relationships/hyperlink" Target="https://maps.app.goo.gl/STehFm7UqdtWCgov7" TargetMode="External" Id="R9415c99390944874" /><Relationship Type="http://schemas.openxmlformats.org/officeDocument/2006/relationships/hyperlink" Target="https://floodsupport.bangkok.go.th/api/data" TargetMode="External" Id="R0cb18a0d8f194269" /><Relationship Type="http://schemas.openxmlformats.org/officeDocument/2006/relationships/hyperlink" Target="https://maps.app.goo.gl/ommx5M5VvMYWR7ReA" TargetMode="External" Id="Rffed30892e194ce9" /><Relationship Type="http://schemas.openxmlformats.org/officeDocument/2006/relationships/hyperlink" Target="https://floodsupport.bangkok.go.th/api/data" TargetMode="External" Id="R8d2341c6c76f4bd6" /><Relationship Type="http://schemas.openxmlformats.org/officeDocument/2006/relationships/hyperlink" Target="https://maps.app.goo.gl/6uSbkzoc8Nyn6W2f6" TargetMode="External" Id="R3cb8f3ed91b943a8" /><Relationship Type="http://schemas.openxmlformats.org/officeDocument/2006/relationships/hyperlink" Target="https://floodsupport.bangkok.go.th/api/data" TargetMode="External" Id="R32abf567a4674ba8" /><Relationship Type="http://schemas.openxmlformats.org/officeDocument/2006/relationships/hyperlink" Target="https://maps.app.goo.gl/XiobPtqF3zAaWiEd8" TargetMode="External" Id="Rb80c8bf7f0f64687" /><Relationship Type="http://schemas.openxmlformats.org/officeDocument/2006/relationships/hyperlink" Target="https://floodsupport.bangkok.go.th/api/data" TargetMode="External" Id="Rad7460e2ff004376" /><Relationship Type="http://schemas.openxmlformats.org/officeDocument/2006/relationships/hyperlink" Target="https://maps.app.goo.gl/g6ka5gor8jLLrJ2y6?g_st=ac" TargetMode="External" Id="R49f4e9ee4fa449fe" /><Relationship Type="http://schemas.openxmlformats.org/officeDocument/2006/relationships/hyperlink" Target="https://floodsupport.bangkok.go.th/api/data" TargetMode="External" Id="R8c9421b7a02e45d5" /><Relationship Type="http://schemas.openxmlformats.org/officeDocument/2006/relationships/hyperlink" Target="https://maps.app.goo.gl/BM79ZsJkXavdF3qr8" TargetMode="External" Id="Rc855d220916141f3" /><Relationship Type="http://schemas.openxmlformats.org/officeDocument/2006/relationships/hyperlink" Target="https://floodsupport.bangkok.go.th/api/data" TargetMode="External" Id="R74def7d17c9b46c4" /><Relationship Type="http://schemas.openxmlformats.org/officeDocument/2006/relationships/hyperlink" Target="https://maps.app.goo.gl/2cg64tVEfKALEc4E8" TargetMode="External" Id="R6a34904794d84e29" /><Relationship Type="http://schemas.openxmlformats.org/officeDocument/2006/relationships/hyperlink" Target="https://floodsupport.bangkok.go.th/api/data" TargetMode="External" Id="Re3f52a01a28e4b81" /><Relationship Type="http://schemas.openxmlformats.org/officeDocument/2006/relationships/hyperlink" Target="https://maps.app.goo.gl/jocJXZyQenCUBxhB8" TargetMode="External" Id="R660c6d4c03244bdc" /><Relationship Type="http://schemas.openxmlformats.org/officeDocument/2006/relationships/hyperlink" Target="https://floodsupport.bangkok.go.th/api/data" TargetMode="External" Id="R65ab56b225e24868" /><Relationship Type="http://schemas.openxmlformats.org/officeDocument/2006/relationships/hyperlink" Target="https://maps.app.goo.gl/mLWuTF19LmUWtciD9" TargetMode="External" Id="R66ea3535efd34ecb" /><Relationship Type="http://schemas.openxmlformats.org/officeDocument/2006/relationships/hyperlink" Target="https://floodsupport.bangkok.go.th/api/data" TargetMode="External" Id="R9219f154fe2d49e5" /><Relationship Type="http://schemas.openxmlformats.org/officeDocument/2006/relationships/hyperlink" Target="https://maps.app.goo.gl/HqLkMx9J73535Kqq9" TargetMode="External" Id="R0f370441152e45bb" /><Relationship Type="http://schemas.openxmlformats.org/officeDocument/2006/relationships/hyperlink" Target="https://floodsupport.bangkok.go.th/api/data" TargetMode="External" Id="R54ff5b6f81c24636" /><Relationship Type="http://schemas.openxmlformats.org/officeDocument/2006/relationships/hyperlink" Target="https://maps.app.goo.gl/JwqkUGanTRMf64SVA" TargetMode="External" Id="R8ee20a6b85b04c98" /><Relationship Type="http://schemas.openxmlformats.org/officeDocument/2006/relationships/hyperlink" Target="https://floodsupport.bangkok.go.th/api/data" TargetMode="External" Id="R5bb8bb76c9d04a56" /><Relationship Type="http://schemas.openxmlformats.org/officeDocument/2006/relationships/hyperlink" Target="https://maps.app.goo.gl/zKg8J8C1fJDUEafU9" TargetMode="External" Id="Rfbcc073701de4b61" /><Relationship Type="http://schemas.openxmlformats.org/officeDocument/2006/relationships/hyperlink" Target="https://floodsupport.bangkok.go.th/api/data" TargetMode="External" Id="Rf04f140411374a0c" /><Relationship Type="http://schemas.openxmlformats.org/officeDocument/2006/relationships/hyperlink" Target="https://maps.app.goo.gl/NDLAChaKvW6ma2u1A" TargetMode="External" Id="Rce035c71aae842c6" /><Relationship Type="http://schemas.openxmlformats.org/officeDocument/2006/relationships/hyperlink" Target="https://floodsupport.bangkok.go.th/api/data" TargetMode="External" Id="Re3b9be09264b4459" /><Relationship Type="http://schemas.openxmlformats.org/officeDocument/2006/relationships/hyperlink" Target="https://share.google/41On0UmQrV4qs2ZRU" TargetMode="External" Id="R5f5755f6135e439c" /><Relationship Type="http://schemas.openxmlformats.org/officeDocument/2006/relationships/hyperlink" Target="https://floodsupport.bangkok.go.th/api/data" TargetMode="External" Id="R87438dc66b034c8c" /><Relationship Type="http://schemas.openxmlformats.org/officeDocument/2006/relationships/hyperlink" Target="https://share.google/41On0UmQrV4qs2ZRU" TargetMode="External" Id="Rc1134b65415648a2" /><Relationship Type="http://schemas.openxmlformats.org/officeDocument/2006/relationships/hyperlink" Target="https://share.google/MmRp1bEdHedmV8OeK" TargetMode="External" Id="R3d3c1989c8764f62" /><Relationship Type="http://schemas.openxmlformats.org/officeDocument/2006/relationships/hyperlink" Target="https://floodsupport.bangkok.go.th/api/data" TargetMode="External" Id="Rbe621c6b1b3f4b96" /><Relationship Type="http://schemas.openxmlformats.org/officeDocument/2006/relationships/hyperlink" Target="https://maps.app.goo.gl/7SqMGMmQ36fMvBL49" TargetMode="External" Id="R425cdef35e4f4edd" /><Relationship Type="http://schemas.openxmlformats.org/officeDocument/2006/relationships/hyperlink" Target="https://floodsupport.bangkok.go.th/api/data" TargetMode="External" Id="Ra1b397f5855d4394" /><Relationship Type="http://schemas.openxmlformats.org/officeDocument/2006/relationships/hyperlink" Target="https://maps.app.goo.gl/uoQCpQWyq2u1tLvw7" TargetMode="External" Id="R82f48dc545494c0e" /><Relationship Type="http://schemas.openxmlformats.org/officeDocument/2006/relationships/hyperlink" Target="https://floodsupport.bangkok.go.th/api/data" TargetMode="External" Id="R07e1ba4c81ff445c" /><Relationship Type="http://schemas.openxmlformats.org/officeDocument/2006/relationships/hyperlink" Target="https://maps.app.goo.gl/SVNzRkZmNRprXpSB8" TargetMode="External" Id="R171396b9f1624429" /><Relationship Type="http://schemas.openxmlformats.org/officeDocument/2006/relationships/hyperlink" Target="https://floodsupport.bangkok.go.th/api/data" TargetMode="External" Id="Rc519073af78946b6" /><Relationship Type="http://schemas.openxmlformats.org/officeDocument/2006/relationships/hyperlink" Target="https://maps.app.goo.gl/57CDb5Mzzz3bWPes9" TargetMode="External" Id="R4551d07519524de4" /><Relationship Type="http://schemas.openxmlformats.org/officeDocument/2006/relationships/hyperlink" Target="https://floodsupport.bangkok.go.th/api/data" TargetMode="External" Id="R579958d433524c4e" /><Relationship Type="http://schemas.openxmlformats.org/officeDocument/2006/relationships/hyperlink" Target="https://maps.app.goo.gl/57CDb5Mzzz3bWPes9" TargetMode="External" Id="R265a80a835eb41a4" /><Relationship Type="http://schemas.openxmlformats.org/officeDocument/2006/relationships/hyperlink" Target="https://floodsupport.bangkok.go.th/api/data" TargetMode="External" Id="Rd92d8f90d1e74cec" /><Relationship Type="http://schemas.openxmlformats.org/officeDocument/2006/relationships/hyperlink" Target="https://maps.app.goo.gl/NNb4oTgkSBqmEvcp8" TargetMode="External" Id="R920413a83ef646df" /><Relationship Type="http://schemas.openxmlformats.org/officeDocument/2006/relationships/hyperlink" Target="https://floodsupport.bangkok.go.th/api/data" TargetMode="External" Id="R6c0d0309f1424bf1" /><Relationship Type="http://schemas.openxmlformats.org/officeDocument/2006/relationships/hyperlink" Target="https://maps.app.goo.gl/3WiLNbK2NGTxLyGx6" TargetMode="External" Id="Rcea5bec7f09041b8" /><Relationship Type="http://schemas.openxmlformats.org/officeDocument/2006/relationships/hyperlink" Target="https://floodsupport.bangkok.go.th/api/data" TargetMode="External" Id="Rbd1666079a134150" /><Relationship Type="http://schemas.openxmlformats.org/officeDocument/2006/relationships/hyperlink" Target="https://maps.app.goo.gl/QtgyRXhHBvd4V6jQ8" TargetMode="External" Id="R5ac1c180206142fb" /><Relationship Type="http://schemas.openxmlformats.org/officeDocument/2006/relationships/hyperlink" Target="https://floodsupport.bangkok.go.th/api/data" TargetMode="External" Id="R8306552e6d654ec4" /><Relationship Type="http://schemas.openxmlformats.org/officeDocument/2006/relationships/hyperlink" Target="https://maps.app.goo.gl/769guFdzBuMpHnm36" TargetMode="External" Id="Rf11a562c5d60465d" /><Relationship Type="http://schemas.openxmlformats.org/officeDocument/2006/relationships/hyperlink" Target="https://floodsupport.bangkok.go.th/api/data" TargetMode="External" Id="R49319cb9eeb146f8" /><Relationship Type="http://schemas.openxmlformats.org/officeDocument/2006/relationships/hyperlink" Target="https://maps.app.goo.gl/KHCU2PvBk9xj1HK5A" TargetMode="External" Id="R253f5da417f84d30" /><Relationship Type="http://schemas.openxmlformats.org/officeDocument/2006/relationships/hyperlink" Target="https://floodsupport.bangkok.go.th/api/data" TargetMode="External" Id="R34933ce134a8419a" /><Relationship Type="http://schemas.openxmlformats.org/officeDocument/2006/relationships/hyperlink" Target="https://maps.app.goo.gl/qqTw6x5uT1e5mQHC8?g_st=ic" TargetMode="External" Id="R6d743200e0b343e6" /><Relationship Type="http://schemas.openxmlformats.org/officeDocument/2006/relationships/hyperlink" Target="https://floodsupport.bangkok.go.th/api/data" TargetMode="External" Id="R97ae78776c9d48f9" /><Relationship Type="http://schemas.openxmlformats.org/officeDocument/2006/relationships/hyperlink" Target="https://maps.app.goo.gl/ymnZgx6HL271GUmk8?g_st=ic" TargetMode="External" Id="R1b8e7aede6f9412f" /><Relationship Type="http://schemas.openxmlformats.org/officeDocument/2006/relationships/hyperlink" Target="https://floodsupport.bangkok.go.th/api/data" TargetMode="External" Id="R65e3b6b822b64888" /><Relationship Type="http://schemas.openxmlformats.org/officeDocument/2006/relationships/hyperlink" Target="https://maps.app.goo.gl/dLXBqTQrZMLGU7Nh8?g_st=ic" TargetMode="External" Id="R278d072e7b064a17" /><Relationship Type="http://schemas.openxmlformats.org/officeDocument/2006/relationships/hyperlink" Target="https://floodsupport.bangkok.go.th/api/data" TargetMode="External" Id="R016f08b217aa40d8" /><Relationship Type="http://schemas.openxmlformats.org/officeDocument/2006/relationships/hyperlink" Target="https://maps.app.goo.gl/Jywq7HkmQXnKJK138?g_st=ic" TargetMode="External" Id="Ra78a244065b44e2d" /><Relationship Type="http://schemas.openxmlformats.org/officeDocument/2006/relationships/hyperlink" Target="https://floodsupport.bangkok.go.th/api/data" TargetMode="External" Id="R1908f3a7ba3f4cae" /><Relationship Type="http://schemas.openxmlformats.org/officeDocument/2006/relationships/hyperlink" Target="https://maps.app.goo.gl/J9amCBHo4EGiZb7D9?g_st=ic" TargetMode="External" Id="R425743e5b13d4914" /><Relationship Type="http://schemas.openxmlformats.org/officeDocument/2006/relationships/hyperlink" Target="https://floodsupport.bangkok.go.th/api/data" TargetMode="External" Id="R10a40cdaa5fa4043" /><Relationship Type="http://schemas.openxmlformats.org/officeDocument/2006/relationships/hyperlink" Target="https://maps.app.goo.gl/JT9g2f4AqSwahrZE6?g_st=ic" TargetMode="External" Id="R81accb2ce9b34a19" /><Relationship Type="http://schemas.openxmlformats.org/officeDocument/2006/relationships/hyperlink" Target="https://floodsupport.bangkok.go.th/api/data" TargetMode="External" Id="R5753920250e84b63" /><Relationship Type="http://schemas.openxmlformats.org/officeDocument/2006/relationships/hyperlink" Target="https://maps.app.goo.gl/t86op6p4kxSo1abb8?g_st=ic" TargetMode="External" Id="R1da975e47286402d" /><Relationship Type="http://schemas.openxmlformats.org/officeDocument/2006/relationships/hyperlink" Target="https://floodsupport.bangkok.go.th/api/data" TargetMode="External" Id="Rae05906a34124a8c" /><Relationship Type="http://schemas.openxmlformats.org/officeDocument/2006/relationships/hyperlink" Target="https://maps.app.goo.gl/nQ2WXTAcZrT6ixTeA?g_st=ic" TargetMode="External" Id="R743e33d0851c43c1" /><Relationship Type="http://schemas.openxmlformats.org/officeDocument/2006/relationships/hyperlink" Target="https://floodsupport.bangkok.go.th/api/data" TargetMode="External" Id="R4c5ef5d872104c11" /><Relationship Type="http://schemas.openxmlformats.org/officeDocument/2006/relationships/hyperlink" Target="https://www.google.com/maps/dir//&#3650;&#3619;&#3591;&#3648;&#3619;&#3637;&#3618;&#3609;&#3623;&#3633;&#3604;&#3608;&#3634;&#3605;&#3640;&#3607;&#3629;&#3591;(&#3648;&#3619;&#3639;&#3629;&#3609;&#3648;&#3586;&#3637;&#3618;&#3623;&#3626;&#3632;&#3629;&#3634;&#3604;)+1325+&#3606;.+&#3626;&#3640;&#3586;&#3640;&#3617;&#3623;&#3636;&#3607;+&#3649;&#3586;&#3623;&#3591;&#3614;&#3619;&#3632;&#3650;&#3586;&#3609;&#3591;&#3648;&#3627;&#3609;&#3639;&#3629;+&#3648;&#3586;&#3605;&#3623;&#3633;&#3602;&#3609;&#3634;+&#3585;&#3619;&#3640;&#3591;&#3648;&#3607;&#3614;&#3617;&#3627;&#3634;&#3609;&#3588;&#3619;+10110/@13.7986048,100.6174208,12z/data=!4m8!4m7!1m0!1m5!1m1!1s0x30e29f66e118c887:0x7d668b0b96816377!2m2!1d100.5866626!2d13.7196058?entry=ttu&amp;g_ep=EgoyMDI2MDkyMy4wIKXMDSoASAFQAw%3D%3D" TargetMode="External" Id="R5d06aa5dee774e0e" /><Relationship Type="http://schemas.openxmlformats.org/officeDocument/2006/relationships/hyperlink" Target="https://floodsupport.bangkok.go.th/api/data" TargetMode="External" Id="R50adaac4dc05466c" /><Relationship Type="http://schemas.openxmlformats.org/officeDocument/2006/relationships/hyperlink" Target="https://www.google.com/maps/dir//&#3650;&#3619;&#3591;&#3648;&#3619;&#3637;&#3618;&#3609;&#3626;&#3623;&#3633;&#3626;&#3604;&#3637;&#3623;&#3636;&#3607;&#3618;&#3634;+35%2F10+&#3595;&#3629;&#3618;+&#3626;&#3640;&#3586;&#3640;&#3617;&#3623;&#3636;&#3607;+31+&#3649;&#3586;&#3623;&#3591;&#3588;&#3621;&#3629;&#3591;&#3648;&#3605;&#3618;&#3648;&#3627;&#3609;&#3639;&#3629;+&#3648;&#3586;&#3605;&#3623;&#3633;&#3602;&#3609;&#3634;+&#3585;&#3619;&#3640;&#3591;&#3648;&#3607;&#3614;&#3617;&#3627;&#3634;&#3609;&#3588;&#3619;+10110/@13.7986048,100.6174208,12z/data=!4m8!4m7!1m0!1m5!1m1!1s0x30e29efb9c42273b:0xfc179f752a3d0dff!2m2!1d100.5662747!2d13.7399734?entry=ttu&amp;g_ep=EgoyMDI2MDkyMy4wIKXMDSoASAFQAw%3D%3D" TargetMode="External" Id="R841f3c7e68dd485a" /><Relationship Type="http://schemas.openxmlformats.org/officeDocument/2006/relationships/hyperlink" Target="https://floodsupport.bangkok.go.th/api/data" TargetMode="External" Id="Rc25004938e224fdc" /><Relationship Type="http://schemas.openxmlformats.org/officeDocument/2006/relationships/hyperlink" Target="https://www.google.com/maps/dir//&#3650;&#3619;&#3591;&#3648;&#3619;&#3637;&#3618;&#3609;&#3626;&#3640;&#3648;&#3627;&#3619;&#3656;&#3634;&#3610;&#3634;&#3591;&#3617;&#3632;&#3648;&#3586;&#3639;&#3629;+&#3595;&#3629;&#3618;+&#3611;&#3619;&#3637;&#3604;&#3637;&#3614;&#3609;&#3617;&#3618;&#3591;&#3588;&#3660;2+&#3649;&#3618;&#3585;+1+&#3606;.+&#3626;&#3640;&#3586;&#3640;&#3617;&#3623;&#3636;&#3607;+71+&#3649;&#3586;&#3623;&#3591;&#3614;&#3619;&#3632;&#3650;&#3586;&#3609;&#3591;+&#3648;&#3586;&#3605;&#3623;&#3633;&#3602;&#3609;&#3634;+&#3585;&#3619;&#3640;&#3591;&#3648;&#3607;&#3614;&#3617;&#3627;&#3634;&#3609;&#3588;&#3619;+10110/@13.7986048,100.6174208,12z/data=!4m8!4m7!1m0!1m5!1m1!1s0x30e29fb8a71a8a1d:0x655a370f652d2b85!2m2!1d100.5967501!2d13.7153612?entry=ttu&amp;g_ep=EgoyMDI2MDkyMy4wIKXMDSoASAFQAw%3D%3D" TargetMode="External" Id="Rde3856ace9e64cba" /><Relationship Type="http://schemas.openxmlformats.org/officeDocument/2006/relationships/hyperlink" Target="https://floodsupport.bangkok.go.th/api/data" TargetMode="External" Id="Rcf73749868574a53" /><Relationship Type="http://schemas.openxmlformats.org/officeDocument/2006/relationships/hyperlink" Target="https://www.google.com/maps/dir//&#3650;&#3619;&#3591;&#3648;&#3619;&#3637;&#3618;&#3609;&#3626;&#3640;&#3648;&#3627;&#3619;&#3656;&#3634;&#3610;&#3657;&#3634;&#3609;&#3604;&#3629;&#3609;+84+&#3606;.+&#3626;&#3640;&#3586;&#3640;&#3617;&#3623;&#3636;&#3607;+&#3649;&#3586;&#3623;&#3591;&#3588;&#3621;&#3629;&#3591;&#3648;&#3605;&#3618;&#3648;&#3627;&#3609;&#3639;&#3629;+&#3648;&#3586;&#3605;&#3623;&#3633;&#3602;&#3609;&#3634;+&#3585;&#3619;&#3640;&#3591;&#3648;&#3607;&#3614;&#3617;&#3627;&#3634;&#3609;&#3588;&#3619;+10110/@13.7986048,100.6174208,12z/data=!4m8!4m7!1m0!1m5!1m1!1s0x30e2" TargetMode="External" Id="R1f194d44d6374a59" /><Relationship Type="http://schemas.openxmlformats.org/officeDocument/2006/relationships/hyperlink" Target="https://floodsupport.bangkok.go.th/api/data" TargetMode="External" Id="R191d2424de7b46fb" /><Relationship Type="http://schemas.openxmlformats.org/officeDocument/2006/relationships/hyperlink" Target="https://www.google.com/maps/dir//&#3650;&#3619;&#3591;&#3648;&#3619;&#3637;&#3618;&#3609;&#3626;&#3640;&#3648;&#3627;&#3619;&#3656;&#3634;&#3626;&#3634;&#3617;&#3629;&#3636;&#3609;+&#3595;&#3629;&#3618;+&#3626;&#3640;&#3586;&#3640;&#3617;&#3623;&#3636;&#3607;+&#3649;&#3586;&#3623;&#3591;&#3588;&#3621;&#3629;&#3591;&#3605;&#3633;&#3609;&#3648;&#3627;&#3609;&#3639;&#3629;+&#3648;&#3586;&#3605;&#3623;&#3633;&#3602;&#3609;&#3634;+&#3585;&#3619;&#3640;&#3591;&#3648;&#3607;&#3614;&#3617;&#3627;&#3634;&#3609;&#3588;&#3619;+10110/@13.7986048,100.6174208,12z/data=!4m8!4m7!1m0!1m5!1m1!1s0x30e29fb5941fa4c5:0xccc259cf957db33!2m2!1d100.5962461!2d13.7277882?entry=ttu&amp;g_ep=EgoyMDI2MDkyMy4wIKXMDSoASAFQAw%3D" TargetMode="External" Id="R40b6e612e5a9404d" /><Relationship Type="http://schemas.openxmlformats.org/officeDocument/2006/relationships/hyperlink" Target="https://floodsupport.bangkok.go.th/api/data" TargetMode="External" Id="Rf4c775c2bf10448b" /><Relationship Type="http://schemas.openxmlformats.org/officeDocument/2006/relationships/hyperlink" Target="https://www.google.com/maps/dir//&#3650;&#3619;&#3591;&#3648;&#3619;&#3637;&#3618;&#3609;&#3649;&#3592;&#3656;&#3617;&#3592;&#3633;&#3609;&#3607;&#3619;&#3660;+75+&#3595;.+&#3648;&#3629;&#3585;&#3617;&#3633;&#3618;+21+&#3649;&#3586;&#3623;&#3591;&#3588;&#3621;&#3629;&#3591;&#3605;&#3633;&#3609;&#3648;&#3627;&#3609;&#3639;&#3629;+&#3648;&#3586;&#3605;&#3623;&#3633;&#3602;&#3609;&#3634;+&#3585;&#3619;&#3640;&#3591;&#3648;&#3607;&#3614;&#3617;&#3627;&#3634;&#3609;&#3588;&#3619;+10110/@13.7986048,100.6174208,12z/data=!3m1!4b1!4m8!4m7!1m0!1m5!1m1!1s0x30e29e4e6c24f993:0x5abdc4b2a44257a5!2m2!1d100.587692!2d13.7391174?entry=ttu&amp;g_ep=EgoyMDI2MDkyMy4wIKXMDSoASAFQAw%3D%3D" TargetMode="External" Id="R5454e5572fb84a40" /><Relationship Type="http://schemas.openxmlformats.org/officeDocument/2006/relationships/hyperlink" Target="https://floodsupport.bangkok.go.th/api/data" TargetMode="External" Id="R96ab9cc412fc4d56" /><Relationship Type="http://schemas.openxmlformats.org/officeDocument/2006/relationships/hyperlink" Target="https://floodsupport.bangkok.go.th/api/data" TargetMode="External" Id="R52eb3d4138454c02" /><Relationship Type="http://schemas.openxmlformats.org/officeDocument/2006/relationships/hyperlink" Target="https://floodsupport.bangkok.go.th/api/data" TargetMode="External" Id="Rba3651001c3742be" /><Relationship Type="http://schemas.openxmlformats.org/officeDocument/2006/relationships/hyperlink" Target="https://maps.app.goo.gl/2REkkzWP6mf94LNE6?g_st=ic" TargetMode="External" Id="R2dd3b68adbc445b2" /><Relationship Type="http://schemas.openxmlformats.org/officeDocument/2006/relationships/hyperlink" Target="https://floodsupport.bangkok.go.th/api/data" TargetMode="External" Id="R866357bd819a4dd9" /><Relationship Type="http://schemas.openxmlformats.org/officeDocument/2006/relationships/hyperlink" Target="https://maps.app.goo.gl/9d4amU62sLuNHe1w9?g_st=ic" TargetMode="External" Id="Rbbd203cd8180485f" /><Relationship Type="http://schemas.openxmlformats.org/officeDocument/2006/relationships/hyperlink" Target="https://floodsupport.bangkok.go.th/api/data" TargetMode="External" Id="R7cacd8d0e27148e4" /><Relationship Type="http://schemas.openxmlformats.org/officeDocument/2006/relationships/hyperlink" Target="https://maps.app.goo.gl/29PqwaSCySY2hspa6?g_st=ic" TargetMode="External" Id="R80858b984b764a81" /><Relationship Type="http://schemas.openxmlformats.org/officeDocument/2006/relationships/hyperlink" Target="https://floodsupport.bangkok.go.th/api/data" TargetMode="External" Id="Ra41c3c91c4d84529" /><Relationship Type="http://schemas.openxmlformats.org/officeDocument/2006/relationships/hyperlink" Target="https://maps.app.goo.gl/mL6qjZokdgQihY4x6?g_st=ic" TargetMode="External" Id="R605ceca551ac4ef8" /><Relationship Type="http://schemas.openxmlformats.org/officeDocument/2006/relationships/hyperlink" Target="https://floodsupport.bangkok.go.th/api/data" TargetMode="External" Id="R3c188e2af2aa4e22" /><Relationship Type="http://schemas.openxmlformats.org/officeDocument/2006/relationships/hyperlink" Target="https://maps.app.goo.gl/LhQd8WRQCxCtmrzGA?g_st=ic" TargetMode="External" Id="R2f289f4e37544e05" /><Relationship Type="http://schemas.openxmlformats.org/officeDocument/2006/relationships/hyperlink" Target="https://floodsupport.bangkok.go.th/api/data" TargetMode="External" Id="R3ac0e7fe42a544a0" /><Relationship Type="http://schemas.openxmlformats.org/officeDocument/2006/relationships/hyperlink" Target="https://maps.app.goo.gl/bGVh12H1RuUdxHrw8?g_st=ic" TargetMode="External" Id="R83dc5a01b47f4ed9" /><Relationship Type="http://schemas.openxmlformats.org/officeDocument/2006/relationships/hyperlink" Target="https://floodsupport.bangkok.go.th/api/data" TargetMode="External" Id="Re734941a75944894" /><Relationship Type="http://schemas.openxmlformats.org/officeDocument/2006/relationships/hyperlink" Target="https://maps.app.goo.gl/dUa6Q1Q7uZE13rMU9?g_st=ic" TargetMode="External" Id="R722e2a88cab94e16" /><Relationship Type="http://schemas.openxmlformats.org/officeDocument/2006/relationships/hyperlink" Target="https://floodsupport.bangkok.go.th/api/data" TargetMode="External" Id="R731dc9aa7721493c" /><Relationship Type="http://schemas.openxmlformats.org/officeDocument/2006/relationships/hyperlink" Target="https://maps.app.goo.gl/dUa6Q1Q7uZE13rMU9?g_st=ic" TargetMode="External" Id="R38e1b5957cc64673" /><Relationship Type="http://schemas.openxmlformats.org/officeDocument/2006/relationships/hyperlink" Target="https://floodsupport.bangkok.go.th/api/data" TargetMode="External" Id="R66a14bc33d60483a" /><Relationship Type="http://schemas.openxmlformats.org/officeDocument/2006/relationships/hyperlink" Target="https://maps.app.goo.gl/JSHyKz2iro5FmL8W8?g_st=ic" TargetMode="External" Id="Rb01c5175845449e6" /><Relationship Type="http://schemas.openxmlformats.org/officeDocument/2006/relationships/hyperlink" Target="https://floodsupport.bangkok.go.th/api/data" TargetMode="External" Id="R7f6da1efbc6b4b36" /><Relationship Type="http://schemas.openxmlformats.org/officeDocument/2006/relationships/hyperlink" Target="https://maps.app.goo.gl/mrs2zd7eUGfAeJot8?g_st=ic" TargetMode="External" Id="Rdb8c29660ab04182" /><Relationship Type="http://schemas.openxmlformats.org/officeDocument/2006/relationships/hyperlink" Target="https://floodsupport.bangkok.go.th/api/data" TargetMode="External" Id="R9d64426c5a674876" /><Relationship Type="http://schemas.openxmlformats.org/officeDocument/2006/relationships/hyperlink" Target="https://maps.app.goo.gl/cV3CBGSpRnEy5TVL8" TargetMode="External" Id="Rd9671b8bbbf7471d" /><Relationship Type="http://schemas.openxmlformats.org/officeDocument/2006/relationships/hyperlink" Target="https://floodsupport.bangkok.go.th/api/data" TargetMode="External" Id="R04233b26ae634400" /><Relationship Type="http://schemas.openxmlformats.org/officeDocument/2006/relationships/hyperlink" Target="https://maps.app.goo.gl/SLRcXzqWXghEvDbz5" TargetMode="External" Id="R00188275df0a4f4e" /><Relationship Type="http://schemas.openxmlformats.org/officeDocument/2006/relationships/hyperlink" Target="https://floodsupport.bangkok.go.th/api/data" TargetMode="External" Id="Rc4fc4bee8cfd4165" /><Relationship Type="http://schemas.openxmlformats.org/officeDocument/2006/relationships/hyperlink" Target="https://maps.app.goo.gl/q7iC5c83vD9nsXW6A" TargetMode="External" Id="Re43f9014719049ba" /><Relationship Type="http://schemas.openxmlformats.org/officeDocument/2006/relationships/hyperlink" Target="https://floodsupport.bangkok.go.th/api/data" TargetMode="External" Id="R17b789e62cc844f4" /><Relationship Type="http://schemas.openxmlformats.org/officeDocument/2006/relationships/hyperlink" Target="https://maps.app.goo.gl/TXfCB7iZADkfkkBF9" TargetMode="External" Id="R20a4af68de1040ad" /><Relationship Type="http://schemas.openxmlformats.org/officeDocument/2006/relationships/hyperlink" Target="https://floodsupport.bangkok.go.th/api/data" TargetMode="External" Id="Rb605ad32885f40ff" /><Relationship Type="http://schemas.openxmlformats.org/officeDocument/2006/relationships/hyperlink" Target="https://maps.app.goo.gl/jgYDq59rjiwviKd66" TargetMode="External" Id="R59af13e2fc914e1d" /><Relationship Type="http://schemas.openxmlformats.org/officeDocument/2006/relationships/hyperlink" Target="https://floodsupport.bangkok.go.th/api/data" TargetMode="External" Id="Rb89f52faef8a434f" /><Relationship Type="http://schemas.openxmlformats.org/officeDocument/2006/relationships/hyperlink" Target="https://maps.app.goo.gl/ciFTJKRkFD7fETna6" TargetMode="External" Id="R8f0b0f40b9294e9a" /><Relationship Type="http://schemas.openxmlformats.org/officeDocument/2006/relationships/hyperlink" Target="https://floodsupport.bangkok.go.th/api/data" TargetMode="External" Id="R9fc33c87079646dd" /><Relationship Type="http://schemas.openxmlformats.org/officeDocument/2006/relationships/hyperlink" Target="https://maps.app.goo.gl/EiMaZPsE8pG5p3Sb7" TargetMode="External" Id="Rb301b6e5831048b6" /><Relationship Type="http://schemas.openxmlformats.org/officeDocument/2006/relationships/hyperlink" Target="https://floodsupport.bangkok.go.th/api/data" TargetMode="External" Id="Rc582081159084f56" /><Relationship Type="http://schemas.openxmlformats.org/officeDocument/2006/relationships/hyperlink" Target="https://maps.app.goo.gl/NrxRK5TZ6NKyz4ev5" TargetMode="External" Id="R8df37b8b28f94f59" /><Relationship Type="http://schemas.openxmlformats.org/officeDocument/2006/relationships/hyperlink" Target="https://floodsupport.bangkok.go.th/api/data" TargetMode="External" Id="R8b4911953c3c49ac" /><Relationship Type="http://schemas.openxmlformats.org/officeDocument/2006/relationships/hyperlink" Target="https://maps.app.goo.gl/dsD5XwNdEk66Wvwv6" TargetMode="External" Id="R243304d15b8f413e" /><Relationship Type="http://schemas.openxmlformats.org/officeDocument/2006/relationships/hyperlink" Target="https://floodsupport.bangkok.go.th/api/data" TargetMode="External" Id="R24c83fd7528443a8" /><Relationship Type="http://schemas.openxmlformats.org/officeDocument/2006/relationships/hyperlink" Target="https://maps.app.goo.gl/qae2bKepKAjX7BSe7" TargetMode="External" Id="Rca61f7df10804cea" /><Relationship Type="http://schemas.openxmlformats.org/officeDocument/2006/relationships/hyperlink" Target="https://floodsupport.bangkok.go.th/api/data" TargetMode="External" Id="R6a35dc7d014b4e46" /><Relationship Type="http://schemas.openxmlformats.org/officeDocument/2006/relationships/hyperlink" Target="https://maps.app.goo.gl/7FLVy8SLuAA1AHTc6" TargetMode="External" Id="R8b10f466cbb645e3" /><Relationship Type="http://schemas.openxmlformats.org/officeDocument/2006/relationships/hyperlink" Target="https://floodsupport.bangkok.go.th/api/data" TargetMode="External" Id="Rff52fafa53fb4750" /><Relationship Type="http://schemas.openxmlformats.org/officeDocument/2006/relationships/hyperlink" Target="https://maps.app.goo.gl/ozUtE4zfnF6sSJfm8" TargetMode="External" Id="Rfedce5a8a0cb46b4" /><Relationship Type="http://schemas.openxmlformats.org/officeDocument/2006/relationships/hyperlink" Target="https://floodsupport.bangkok.go.th/api/data" TargetMode="External" Id="Refa7913745454e09" /><Relationship Type="http://schemas.openxmlformats.org/officeDocument/2006/relationships/hyperlink" Target="https://maps.app.goo.gl/otZNDMvU88uB8ZwPA" TargetMode="External" Id="R8bdc646e68284eb5" /><Relationship Type="http://schemas.openxmlformats.org/officeDocument/2006/relationships/hyperlink" Target="https://floodsupport.bangkok.go.th/api/data" TargetMode="External" Id="Rd50b642d9da1447d" /><Relationship Type="http://schemas.openxmlformats.org/officeDocument/2006/relationships/hyperlink" Target="https://maps.app.goo.gl/Z6s49csj2DjwefFSA" TargetMode="External" Id="Rd020f0a17a414593" /><Relationship Type="http://schemas.openxmlformats.org/officeDocument/2006/relationships/hyperlink" Target="https://floodsupport.bangkok.go.th/api/data" TargetMode="External" Id="R3c3d288611054c1f" /><Relationship Type="http://schemas.openxmlformats.org/officeDocument/2006/relationships/hyperlink" Target="https://maps.app.goo.gl/eBpYKnPhwVJQwCnJ9" TargetMode="External" Id="R5a9dc40f21a84d52" /><Relationship Type="http://schemas.openxmlformats.org/officeDocument/2006/relationships/hyperlink" Target="https://floodsupport.bangkok.go.th/api/data" TargetMode="External" Id="Rc2b1a085f1a845c6" /><Relationship Type="http://schemas.openxmlformats.org/officeDocument/2006/relationships/hyperlink" Target="https://maps.app.goo.gl/XT4rgiZXfpNQ3H5a8?g_st=al" TargetMode="External" Id="R9beacc68a31e4601" /><Relationship Type="http://schemas.openxmlformats.org/officeDocument/2006/relationships/hyperlink" Target="https://floodsupport.bangkok.go.th/api/data" TargetMode="External" Id="Re4597f708783435e" /><Relationship Type="http://schemas.openxmlformats.org/officeDocument/2006/relationships/hyperlink" Target="https://maps.app.goo.gl/TBrYRXrww8vpa65y5" TargetMode="External" Id="R0ab2230890fc4bcf" /><Relationship Type="http://schemas.openxmlformats.org/officeDocument/2006/relationships/hyperlink" Target="https://floodsupport.bangkok.go.th/api/data" TargetMode="External" Id="R680739ba4594456a" /><Relationship Type="http://schemas.openxmlformats.org/officeDocument/2006/relationships/hyperlink" Target="https://maps.app.goo.gl/si7Bas7vEUH8MqDz8" TargetMode="External" Id="Re450b6fccd17445a" /><Relationship Type="http://schemas.openxmlformats.org/officeDocument/2006/relationships/hyperlink" Target="https://floodsupport.bangkok.go.th/api/data" TargetMode="External" Id="R43512812dc7149d7" /><Relationship Type="http://schemas.openxmlformats.org/officeDocument/2006/relationships/hyperlink" Target="https://maps.app.goo.gl/4DCorFhPRR7nfjjz8" TargetMode="External" Id="R041fbbe172df4f49" /><Relationship Type="http://schemas.openxmlformats.org/officeDocument/2006/relationships/hyperlink" Target="https://floodsupport.bangkok.go.th/api/data" TargetMode="External" Id="Rf09bcaf390ca4ba7" /><Relationship Type="http://schemas.openxmlformats.org/officeDocument/2006/relationships/hyperlink" Target="https://maps.app.goo.gl/jWYh8tzFpw9cEub59" TargetMode="External" Id="R6b0fa7c29d7249bb" /><Relationship Type="http://schemas.openxmlformats.org/officeDocument/2006/relationships/hyperlink" Target="https://floodsupport.bangkok.go.th/api/data" TargetMode="External" Id="R15dbd6e51c1c4b71" /><Relationship Type="http://schemas.openxmlformats.org/officeDocument/2006/relationships/hyperlink" Target="https://maps.app.goo.gl/4228AUHU28SfxWNb9" TargetMode="External" Id="R5e1eb16f23104ea5" /><Relationship Type="http://schemas.openxmlformats.org/officeDocument/2006/relationships/hyperlink" Target="https://floodsupport.bangkok.go.th/api/data" TargetMode="External" Id="Rb23d658cad124bb1" /><Relationship Type="http://schemas.openxmlformats.org/officeDocument/2006/relationships/hyperlink" Target="https://maps.app.goo.gl/jACSjv3fr2LePb4M8" TargetMode="External" Id="R1f45d2d613b24f97" /><Relationship Type="http://schemas.openxmlformats.org/officeDocument/2006/relationships/hyperlink" Target="https://floodsupport.bangkok.go.th/api/data" TargetMode="External" Id="Ra08029f4631a4824" /><Relationship Type="http://schemas.openxmlformats.org/officeDocument/2006/relationships/hyperlink" Target="https://maps.app.goo.gl/MhEY87hNkRggH4eLA" TargetMode="External" Id="R714c59a4ba7d48c9" /><Relationship Type="http://schemas.openxmlformats.org/officeDocument/2006/relationships/hyperlink" Target="https://floodsupport.bangkok.go.th/api/data" TargetMode="External" Id="Ra1ac2fd7e71646dd" /><Relationship Type="http://schemas.openxmlformats.org/officeDocument/2006/relationships/hyperlink" Target="https://maps.app.goo.gl/RsJNMp56gKesoAY17" TargetMode="External" Id="R7dae924b59614a5e" /><Relationship Type="http://schemas.openxmlformats.org/officeDocument/2006/relationships/hyperlink" Target="https://floodsupport.bangkok.go.th/api/data" TargetMode="External" Id="R00801bd5d8464f09" /><Relationship Type="http://schemas.openxmlformats.org/officeDocument/2006/relationships/hyperlink" Target="https://maps.app.goo.gl/zc1Zw7ow2HLyJdqq5" TargetMode="External" Id="Rcb0d69662d684088" /><Relationship Type="http://schemas.openxmlformats.org/officeDocument/2006/relationships/hyperlink" Target="https://floodsupport.bangkok.go.th/api/data" TargetMode="External" Id="R6e50fe2aaa264438" /><Relationship Type="http://schemas.openxmlformats.org/officeDocument/2006/relationships/hyperlink" Target="https://maps.app.goo.gl/LWYeuWVKcyMC1jrV8" TargetMode="External" Id="Rcb5bbb9b8630424c" /><Relationship Type="http://schemas.openxmlformats.org/officeDocument/2006/relationships/hyperlink" Target="https://floodsupport.bangkok.go.th/api/data" TargetMode="External" Id="R80a20bc1ae224240" /><Relationship Type="http://schemas.openxmlformats.org/officeDocument/2006/relationships/hyperlink" Target="https://floodsupport.bangkok.go.th/api/data" TargetMode="External" Id="R7b44077aefda462e" /><Relationship Type="http://schemas.openxmlformats.org/officeDocument/2006/relationships/hyperlink" Target="https://floodsupport.bangkok.go.th/api/data" TargetMode="External" Id="Rbe38fae6e3904cd9" /><Relationship Type="http://schemas.openxmlformats.org/officeDocument/2006/relationships/hyperlink" Target="https://floodsupport.bangkok.go.th/api/data" TargetMode="External" Id="R8de930e948444a9b" /><Relationship Type="http://schemas.openxmlformats.org/officeDocument/2006/relationships/hyperlink" Target="https://floodsupport.bangkok.go.th/api/data" TargetMode="External" Id="Rb02a12ed0f84411e" /><Relationship Type="http://schemas.openxmlformats.org/officeDocument/2006/relationships/hyperlink" Target="https://floodsupport.bangkok.go.th/api/data" TargetMode="External" Id="Rb3e533f85b9a471d" /><Relationship Type="http://schemas.openxmlformats.org/officeDocument/2006/relationships/hyperlink" Target="https://floodsupport.bangkok.go.th/api/data" TargetMode="External" Id="R682559f5363a4375" /><Relationship Type="http://schemas.openxmlformats.org/officeDocument/2006/relationships/comments" Target="/xl/comments3.xml" Id="R36c1241eb3ef49be" /><Relationship Type="http://schemas.openxmlformats.org/officeDocument/2006/relationships/vmlDrawing" Target="/xl/drawings/vmldrawing3.vml" Id="R3df052d36a414a40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.75"/>
  <x:cols>
    <x:col min="1" max="1" width="10.380000114440918" customWidth="1"/>
    <x:col min="2" max="2" width="10.880000114440918" customWidth="1"/>
    <x:col min="3" max="3" width="6.5" customWidth="1"/>
    <x:col min="4" max="4" width="8" customWidth="1"/>
    <x:col min="5" max="5" width="12.25" customWidth="1"/>
    <x:col min="6" max="6" width="21.1299991607666" customWidth="1"/>
    <x:col min="7" max="7" width="18.5" customWidth="1"/>
    <x:col min="8" max="8" width="24" customWidth="1"/>
    <x:col min="9" max="9" width="20.75" customWidth="1"/>
    <x:col min="10" max="10" width="18.25" customWidth="1"/>
    <x:col min="11" max="11" width="15.75" customWidth="1"/>
    <x:col min="12" max="12" width="16.1299991607666" customWidth="1"/>
    <x:col min="13" max="13" width="13" customWidth="1"/>
    <x:col min="14" max="14" width="41.75" customWidth="1"/>
    <x:col min="15" max="15" width="15.75" customWidth="1"/>
    <x:col min="16" max="16" width="36.130001068115234" customWidth="1"/>
  </x:cols>
  <x:sheetData>
    <x:row r="1">
      <x:c r="A1" s="8" t="s">
        <x:v>0</x:v>
      </x:c>
      <x:c r="B1" s="8" t="s">
        <x:v>1</x:v>
      </x:c>
      <x:c r="C1" s="8" t="s">
        <x:v>2</x:v>
      </x:c>
      <x:c r="D1" s="8" t="s">
        <x:v>3</x:v>
      </x:c>
      <x:c r="E1" s="8" t="s">
        <x:v>4</x:v>
      </x:c>
      <x:c r="F1" s="8" t="s">
        <x:v>5</x:v>
      </x:c>
      <x:c r="G1" s="8" t="s">
        <x:v>6</x:v>
      </x:c>
      <x:c r="H1" s="8" t="s">
        <x:v>7</x:v>
      </x:c>
      <x:c r="I1" s="8" t="s">
        <x:v>8</x:v>
      </x:c>
      <x:c r="J1" s="13" t="s">
        <x:v>9</x:v>
      </x:c>
      <x:c r="K1" s="13" t="s">
        <x:v>10</x:v>
      </x:c>
      <x:c r="L1" s="13" t="s">
        <x:v>11</x:v>
      </x:c>
      <x:c r="M1" s="13" t="s">
        <x:v>12</x:v>
      </x:c>
      <x:c r="N1" s="15" t="s">
        <x:v>13</x:v>
      </x:c>
      <x:c r="O1" s="15" t="s">
        <x:v>14</x:v>
      </x:c>
      <x:c r="P1" s="15" t="s">
        <x:v>15</x:v>
      </x:c>
      <x:c r="Q1" s="17"/>
      <x:c r="R1" s="17"/>
      <x:c r="S1" s="17"/>
      <x:c r="T1" s="17"/>
      <x:c r="U1" s="17"/>
      <x:c r="V1" s="17"/>
      <x:c r="W1" s="17"/>
      <x:c r="X1" s="17"/>
      <x:c r="Y1" s="17"/>
      <x:c r="Z1" s="17"/>
    </x:row>
    <x:row r="2">
      <x:c r="A2" s="18" t="s">
        <x:v>16</x:v>
      </x:c>
      <x:c r="B2" s="19">
        <x:v>46295.0</x:v>
      </x:c>
      <x:c r="C2" s="18" t="s">
        <x:v>17</x:v>
      </x:c>
      <x:c r="D2" s="18" t="s">
        <x:v>18</x:v>
      </x:c>
      <x:c r="E2" s="20" t="s">
        <x:v>19</x:v>
      </x:c>
      <x:c r="F2" s="20">
        <x:v>2.0</x:v>
      </x:c>
      <x:c r="G2" s="20" t="s">
        <x:v>20</x:v>
      </x:c>
      <x:c r="H2" s="20">
        <x:v>2.0</x:v>
      </x:c>
      <x:c r="I2" s="20">
        <x:v>11.0</x:v>
      </x:c>
      <x:c r="J2" s="22">
        <x:v>561.0</x:v>
      </x:c>
      <x:c r="K2" s="22" t="s">
        <x:v>21</x:v>
      </x:c>
      <x:c r="L2" s="23" t="s">
        <x:v>22</x:v>
      </x:c>
      <x:c r="M2" s="23" t="s">
        <x:v>23</x:v>
      </x:c>
      <x:c r="N2" s="24" t="s">
        <x:v>24</x:v>
      </x:c>
      <x:c r="O2" s="25">
        <x:v>46296.62866898148</x:v>
      </x:c>
      <x:c r="P2" s="28" t="s">
        <x:v>25</x:v>
      </x:c>
      <x:c r="Q2" s="30"/>
      <x:c r="R2" s="30"/>
      <x:c r="S2" s="30"/>
      <x:c r="T2" s="30"/>
      <x:c r="U2" s="30"/>
      <x:c r="V2" s="30"/>
      <x:c r="W2" s="30"/>
      <x:c r="X2" s="30"/>
      <x:c r="Y2" s="30"/>
      <x:c r="Z2" s="30"/>
    </x:row>
    <x:row r="3">
      <x:c r="A3" s="18" t="s">
        <x:v>26</x:v>
      </x:c>
      <x:c r="B3" s="19">
        <x:v>46295.0</x:v>
      </x:c>
      <x:c r="C3" s="18" t="s">
        <x:v>17</x:v>
      </x:c>
      <x:c r="D3" s="18" t="s">
        <x:v>27</x:v>
      </x:c>
      <x:c r="E3" s="20" t="s">
        <x:v>19</x:v>
      </x:c>
      <x:c r="F3" s="20">
        <x:v>1.0</x:v>
      </x:c>
      <x:c r="G3" s="20" t="s">
        <x:v>28</x:v>
      </x:c>
      <x:c r="H3" s="20">
        <x:v>2.0</x:v>
      </x:c>
      <x:c r="I3" s="20">
        <x:v>2.0</x:v>
      </x:c>
      <x:c r="J3" s="22">
        <x:v>8.0</x:v>
      </x:c>
      <x:c r="K3" s="22" t="s">
        <x:v>21</x:v>
      </x:c>
      <x:c r="L3" s="23" t="s">
        <x:v>29</x:v>
      </x:c>
      <x:c r="M3" s="23" t="s">
        <x:v>23</x:v>
      </x:c>
      <x:c r="N3" s="24" t="s">
        <x:v>24</x:v>
      </x:c>
      <x:c r="O3" s="25">
        <x:v>46296.62866898148</x:v>
      </x:c>
      <x:c r="P3" s="28" t="s">
        <x:v>25</x:v>
      </x:c>
      <x:c r="Q3" s="30"/>
      <x:c r="R3" s="30"/>
      <x:c r="S3" s="30"/>
      <x:c r="T3" s="30"/>
      <x:c r="U3" s="30"/>
      <x:c r="V3" s="30"/>
      <x:c r="W3" s="30"/>
      <x:c r="X3" s="30"/>
      <x:c r="Y3" s="30"/>
      <x:c r="Z3" s="30"/>
    </x:row>
    <x:row r="4">
      <x:c r="A4" s="18" t="s">
        <x:v>30</x:v>
      </x:c>
      <x:c r="B4" s="19">
        <x:v>46295.0</x:v>
      </x:c>
      <x:c r="C4" s="18" t="s">
        <x:v>17</x:v>
      </x:c>
      <x:c r="D4" s="18" t="s">
        <x:v>31</x:v>
      </x:c>
      <x:c r="E4" s="20" t="s">
        <x:v>19</x:v>
      </x:c>
      <x:c r="F4" s="20">
        <x:v>6.0</x:v>
      </x:c>
      <x:c r="G4" s="20" t="s">
        <x:v>32</x:v>
      </x:c>
      <x:c r="H4" s="20">
        <x:v>9.0</x:v>
      </x:c>
      <x:c r="I4" s="20">
        <x:v>19.0</x:v>
      </x:c>
      <x:c r="J4" s="22">
        <x:v>82.0</x:v>
      </x:c>
      <x:c r="K4" s="22" t="s">
        <x:v>21</x:v>
      </x:c>
      <x:c r="L4" s="23" t="s">
        <x:v>29</x:v>
      </x:c>
      <x:c r="M4" s="23" t="s">
        <x:v>23</x:v>
      </x:c>
      <x:c r="N4" s="24" t="s">
        <x:v>24</x:v>
      </x:c>
      <x:c r="O4" s="25">
        <x:v>46296.62866898148</x:v>
      </x:c>
      <x:c r="P4" s="28" t="s">
        <x:v>25</x:v>
      </x:c>
      <x:c r="Q4" s="30"/>
      <x:c r="R4" s="30"/>
      <x:c r="S4" s="30"/>
      <x:c r="T4" s="30"/>
      <x:c r="U4" s="30"/>
      <x:c r="V4" s="30"/>
      <x:c r="W4" s="30"/>
      <x:c r="X4" s="30"/>
      <x:c r="Y4" s="30"/>
      <x:c r="Z4" s="30"/>
    </x:row>
    <x:row r="5">
      <x:c r="A5" s="18" t="s">
        <x:v>33</x:v>
      </x:c>
      <x:c r="B5" s="19">
        <x:v>46295.0</x:v>
      </x:c>
      <x:c r="C5" s="18" t="s">
        <x:v>17</x:v>
      </x:c>
      <x:c r="D5" s="18" t="s">
        <x:v>34</x:v>
      </x:c>
      <x:c r="E5" s="20" t="s">
        <x:v>19</x:v>
      </x:c>
      <x:c r="F5" s="20">
        <x:v>8.0</x:v>
      </x:c>
      <x:c r="G5" s="20" t="s">
        <x:v>35</x:v>
      </x:c>
      <x:c r="H5" s="20">
        <x:v>47.0</x:v>
      </x:c>
      <x:c r="I5" s="20">
        <x:v>331.0</x:v>
      </x:c>
      <x:c r="J5" s="22">
        <x:v>6122.0</x:v>
      </x:c>
      <x:c r="K5" s="22" t="s">
        <x:v>21</x:v>
      </x:c>
      <x:c r="L5" s="23" t="s">
        <x:v>29</x:v>
      </x:c>
      <x:c r="M5" s="23" t="s">
        <x:v>23</x:v>
      </x:c>
      <x:c r="N5" s="24" t="s">
        <x:v>36</x:v>
      </x:c>
      <x:c r="O5" s="25">
        <x:v>46296.62866898148</x:v>
      </x:c>
      <x:c r="P5" s="28" t="s">
        <x:v>25</x:v>
      </x:c>
      <x:c r="Q5" s="30"/>
      <x:c r="R5" s="30"/>
      <x:c r="S5" s="30"/>
      <x:c r="T5" s="30"/>
      <x:c r="U5" s="30"/>
      <x:c r="V5" s="30"/>
      <x:c r="W5" s="30"/>
      <x:c r="X5" s="30"/>
      <x:c r="Y5" s="30"/>
      <x:c r="Z5" s="30"/>
    </x:row>
    <x:row r="6">
      <x:c r="A6" s="18" t="s">
        <x:v>37</x:v>
      </x:c>
      <x:c r="B6" s="19">
        <x:v>46295.0</x:v>
      </x:c>
      <x:c r="C6" s="18" t="s">
        <x:v>17</x:v>
      </x:c>
      <x:c r="D6" s="18" t="s">
        <x:v>38</x:v>
      </x:c>
      <x:c r="E6" s="20" t="s">
        <x:v>19</x:v>
      </x:c>
      <x:c r="F6" s="20">
        <x:v>11.0</x:v>
      </x:c>
      <x:c r="G6" s="20" t="s">
        <x:v>39</x:v>
      </x:c>
      <x:c r="H6" s="20">
        <x:v>54.0</x:v>
      </x:c>
      <x:c r="I6" s="20">
        <x:v>280.0</x:v>
      </x:c>
      <x:c r="J6" s="22">
        <x:v>7777.0</x:v>
      </x:c>
      <x:c r="K6" s="22" t="s">
        <x:v>21</x:v>
      </x:c>
      <x:c r="L6" s="23" t="s">
        <x:v>22</x:v>
      </x:c>
      <x:c r="M6" s="23" t="s">
        <x:v>23</x:v>
      </x:c>
      <x:c r="N6" s="24" t="s">
        <x:v>36</x:v>
      </x:c>
      <x:c r="O6" s="25">
        <x:v>46296.62866898148</x:v>
      </x:c>
      <x:c r="P6" s="28" t="s">
        <x:v>25</x:v>
      </x:c>
      <x:c r="Q6" s="30"/>
      <x:c r="R6" s="30"/>
      <x:c r="S6" s="30"/>
      <x:c r="T6" s="30"/>
      <x:c r="U6" s="30"/>
      <x:c r="V6" s="30"/>
      <x:c r="W6" s="30"/>
      <x:c r="X6" s="30"/>
      <x:c r="Y6" s="30"/>
      <x:c r="Z6" s="30"/>
    </x:row>
    <x:row r="7">
      <x:c r="A7" s="18" t="s">
        <x:v>40</x:v>
      </x:c>
      <x:c r="B7" s="19">
        <x:v>46295.0</x:v>
      </x:c>
      <x:c r="C7" s="18" t="s">
        <x:v>41</x:v>
      </x:c>
      <x:c r="D7" s="18" t="s">
        <x:v>42</x:v>
      </x:c>
      <x:c r="E7" s="20" t="s">
        <x:v>19</x:v>
      </x:c>
      <x:c r="F7" s="20">
        <x:v>8.0</x:v>
      </x:c>
      <x:c r="G7" s="20" t="s">
        <x:v>43</x:v>
      </x:c>
      <x:c r="H7" s="20">
        <x:v>44.0</x:v>
      </x:c>
      <x:c r="I7" s="20">
        <x:v>222.0</x:v>
      </x:c>
      <x:c r="J7" s="22">
        <x:v>1734.0</x:v>
      </x:c>
      <x:c r="K7" s="22" t="s">
        <x:v>21</x:v>
      </x:c>
      <x:c r="L7" s="23" t="s">
        <x:v>44</x:v>
      </x:c>
      <x:c r="M7" s="23" t="s">
        <x:v>23</x:v>
      </x:c>
      <x:c r="N7" s="24" t="s">
        <x:v>36</x:v>
      </x:c>
      <x:c r="O7" s="25">
        <x:v>46296.62866898148</x:v>
      </x:c>
      <x:c r="P7" s="28" t="s">
        <x:v>25</x:v>
      </x:c>
      <x:c r="Q7" s="30"/>
      <x:c r="R7" s="30"/>
      <x:c r="S7" s="30"/>
      <x:c r="T7" s="30"/>
      <x:c r="U7" s="30"/>
      <x:c r="V7" s="30"/>
      <x:c r="W7" s="30"/>
      <x:c r="X7" s="30"/>
      <x:c r="Y7" s="30"/>
      <x:c r="Z7" s="30"/>
    </x:row>
    <x:row r="8">
      <x:c r="A8" s="18" t="s">
        <x:v>45</x:v>
      </x:c>
      <x:c r="B8" s="19">
        <x:v>46295.0</x:v>
      </x:c>
      <x:c r="C8" s="18" t="s">
        <x:v>41</x:v>
      </x:c>
      <x:c r="D8" s="18" t="s">
        <x:v>46</x:v>
      </x:c>
      <x:c r="E8" s="20" t="s">
        <x:v>19</x:v>
      </x:c>
      <x:c r="F8" s="20">
        <x:v>5.0</x:v>
      </x:c>
      <x:c r="G8" s="20" t="s">
        <x:v>47</x:v>
      </x:c>
      <x:c r="H8" s="20">
        <x:v>23.0</x:v>
      </x:c>
      <x:c r="I8" s="20">
        <x:v>84.0</x:v>
      </x:c>
      <x:c r="J8" s="22">
        <x:v>1657.0</x:v>
      </x:c>
      <x:c r="K8" s="22" t="s">
        <x:v>21</x:v>
      </x:c>
      <x:c r="L8" s="23" t="s">
        <x:v>44</x:v>
      </x:c>
      <x:c r="M8" s="23" t="s">
        <x:v>23</x:v>
      </x:c>
      <x:c r="N8" s="24" t="s">
        <x:v>36</x:v>
      </x:c>
      <x:c r="O8" s="25">
        <x:v>46296.62866898148</x:v>
      </x:c>
      <x:c r="P8" s="28" t="s">
        <x:v>25</x:v>
      </x:c>
      <x:c r="Q8" s="30"/>
      <x:c r="R8" s="30"/>
      <x:c r="S8" s="30"/>
      <x:c r="T8" s="30"/>
      <x:c r="U8" s="30"/>
      <x:c r="V8" s="30"/>
      <x:c r="W8" s="30"/>
      <x:c r="X8" s="30"/>
      <x:c r="Y8" s="30"/>
      <x:c r="Z8" s="30"/>
    </x:row>
    <x:row r="9">
      <x:c r="A9" s="18" t="s">
        <x:v>48</x:v>
      </x:c>
      <x:c r="B9" s="19">
        <x:v>46295.0</x:v>
      </x:c>
      <x:c r="C9" s="18" t="s">
        <x:v>41</x:v>
      </x:c>
      <x:c r="D9" s="18" t="s">
        <x:v>49</x:v>
      </x:c>
      <x:c r="E9" s="20" t="s">
        <x:v>19</x:v>
      </x:c>
      <x:c r="F9" s="20">
        <x:v>6.0</x:v>
      </x:c>
      <x:c r="G9" s="20" t="s">
        <x:v>50</x:v>
      </x:c>
      <x:c r="H9" s="20">
        <x:v>28.0</x:v>
      </x:c>
      <x:c r="I9" s="20">
        <x:v>107.0</x:v>
      </x:c>
      <x:c r="J9" s="22">
        <x:v>948.0</x:v>
      </x:c>
      <x:c r="K9" s="22" t="s">
        <x:v>21</x:v>
      </x:c>
      <x:c r="L9" s="23" t="s">
        <x:v>22</x:v>
      </x:c>
      <x:c r="M9" s="23" t="s">
        <x:v>23</x:v>
      </x:c>
      <x:c r="N9" s="24" t="s">
        <x:v>36</x:v>
      </x:c>
      <x:c r="O9" s="25">
        <x:v>46296.62866898148</x:v>
      </x:c>
      <x:c r="P9" s="28" t="s">
        <x:v>25</x:v>
      </x:c>
      <x:c r="Q9" s="30"/>
      <x:c r="R9" s="30"/>
      <x:c r="S9" s="30"/>
      <x:c r="T9" s="30"/>
      <x:c r="U9" s="30"/>
      <x:c r="V9" s="30"/>
      <x:c r="W9" s="30"/>
      <x:c r="X9" s="30"/>
      <x:c r="Y9" s="30"/>
      <x:c r="Z9" s="30"/>
    </x:row>
    <x:row r="10">
      <x:c r="A10" s="18" t="s">
        <x:v>51</x:v>
      </x:c>
      <x:c r="B10" s="19">
        <x:v>46295.0</x:v>
      </x:c>
      <x:c r="C10" s="18" t="s">
        <x:v>41</x:v>
      </x:c>
      <x:c r="D10" s="18" t="s">
        <x:v>52</x:v>
      </x:c>
      <x:c r="E10" s="20" t="s">
        <x:v>19</x:v>
      </x:c>
      <x:c r="F10" s="20">
        <x:v>3.0</x:v>
      </x:c>
      <x:c r="G10" s="20" t="s">
        <x:v>53</x:v>
      </x:c>
      <x:c r="H10" s="20">
        <x:v>3.0</x:v>
      </x:c>
      <x:c r="I10" s="20">
        <x:v>11.0</x:v>
      </x:c>
      <x:c r="J10" s="22">
        <x:v>309.0</x:v>
      </x:c>
      <x:c r="K10" s="22" t="s">
        <x:v>21</x:v>
      </x:c>
      <x:c r="L10" s="23" t="s">
        <x:v>22</x:v>
      </x:c>
      <x:c r="M10" s="23" t="s">
        <x:v>23</x:v>
      </x:c>
      <x:c r="N10" s="24" t="s">
        <x:v>36</x:v>
      </x:c>
      <x:c r="O10" s="25">
        <x:v>46296.62866898148</x:v>
      </x:c>
      <x:c r="P10" s="28" t="s">
        <x:v>25</x:v>
      </x:c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</x:row>
    <x:row r="11">
      <x:c r="A11" s="18" t="s">
        <x:v>54</x:v>
      </x:c>
      <x:c r="B11" s="19">
        <x:v>46295.0</x:v>
      </x:c>
      <x:c r="C11" s="18" t="s">
        <x:v>41</x:v>
      </x:c>
      <x:c r="D11" s="18" t="s">
        <x:v>55</x:v>
      </x:c>
      <x:c r="E11" s="20" t="s">
        <x:v>19</x:v>
      </x:c>
      <x:c r="F11" s="20">
        <x:v>9.0</x:v>
      </x:c>
      <x:c r="G11" s="20" t="s">
        <x:v>56</x:v>
      </x:c>
      <x:c r="H11" s="20">
        <x:v>92.0</x:v>
      </x:c>
      <x:c r="I11" s="20">
        <x:v>667.0</x:v>
      </x:c>
      <x:c r="J11" s="22">
        <x:v>18987.0</x:v>
      </x:c>
      <x:c r="K11" s="22" t="s">
        <x:v>21</x:v>
      </x:c>
      <x:c r="L11" s="23" t="s">
        <x:v>22</x:v>
      </x:c>
      <x:c r="M11" s="23" t="s">
        <x:v>23</x:v>
      </x:c>
      <x:c r="N11" s="24" t="s">
        <x:v>36</x:v>
      </x:c>
      <x:c r="O11" s="25">
        <x:v>46296.62866898148</x:v>
      </x:c>
      <x:c r="P11" s="28" t="s">
        <x:v>25</x:v>
      </x:c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</x:row>
    <x:row r="12">
      <x:c r="A12" s="18" t="s">
        <x:v>57</x:v>
      </x:c>
      <x:c r="B12" s="19">
        <x:v>46295.0</x:v>
      </x:c>
      <x:c r="C12" s="18" t="s">
        <x:v>41</x:v>
      </x:c>
      <x:c r="D12" s="18" t="s">
        <x:v>58</x:v>
      </x:c>
      <x:c r="E12" s="20" t="s">
        <x:v>19</x:v>
      </x:c>
      <x:c r="F12" s="20">
        <x:v>13.0</x:v>
      </x:c>
      <x:c r="G12" s="20" t="s">
        <x:v>59</x:v>
      </x:c>
      <x:c r="H12" s="20">
        <x:v>90.0</x:v>
      </x:c>
      <x:c r="I12" s="20">
        <x:v>884.0</x:v>
      </x:c>
      <x:c r="J12" s="22">
        <x:v>9635.0</x:v>
      </x:c>
      <x:c r="K12" s="22">
        <x:v>2.0</x:v>
      </x:c>
      <x:c r="L12" s="23" t="s">
        <x:v>22</x:v>
      </x:c>
      <x:c r="M12" s="23" t="s">
        <x:v>23</x:v>
      </x:c>
      <x:c r="N12" s="24" t="s">
        <x:v>60</x:v>
      </x:c>
      <x:c r="O12" s="25">
        <x:v>46296.62866898148</x:v>
      </x:c>
      <x:c r="P12" s="28" t="s">
        <x:v>25</x:v>
      </x:c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</x:row>
    <x:row r="13">
      <x:c r="A13" s="18" t="s">
        <x:v>61</x:v>
      </x:c>
      <x:c r="B13" s="19">
        <x:v>46295.0</x:v>
      </x:c>
      <x:c r="C13" s="18" t="s">
        <x:v>41</x:v>
      </x:c>
      <x:c r="D13" s="18" t="s">
        <x:v>62</x:v>
      </x:c>
      <x:c r="E13" s="20" t="s">
        <x:v>19</x:v>
      </x:c>
      <x:c r="F13" s="20">
        <x:v>3.0</x:v>
      </x:c>
      <x:c r="G13" s="20" t="s">
        <x:v>63</x:v>
      </x:c>
      <x:c r="H13" s="20">
        <x:v>8.0</x:v>
      </x:c>
      <x:c r="I13" s="20">
        <x:v>24.0</x:v>
      </x:c>
      <x:c r="J13" s="22">
        <x:v>298.0</x:v>
      </x:c>
      <x:c r="K13" s="22" t="s">
        <x:v>21</x:v>
      </x:c>
      <x:c r="L13" s="23" t="s">
        <x:v>44</x:v>
      </x:c>
      <x:c r="M13" s="23" t="s">
        <x:v>23</x:v>
      </x:c>
      <x:c r="N13" s="24" t="s">
        <x:v>60</x:v>
      </x:c>
      <x:c r="O13" s="25">
        <x:v>46296.62866898148</x:v>
      </x:c>
      <x:c r="P13" s="28" t="s">
        <x:v>25</x:v>
      </x:c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</x:row>
    <x:row r="14">
      <x:c r="A14" s="18" t="s">
        <x:v>64</x:v>
      </x:c>
      <x:c r="B14" s="19">
        <x:v>46295.0</x:v>
      </x:c>
      <x:c r="C14" s="18" t="s">
        <x:v>41</x:v>
      </x:c>
      <x:c r="D14" s="18" t="s">
        <x:v>65</x:v>
      </x:c>
      <x:c r="E14" s="20" t="s">
        <x:v>19</x:v>
      </x:c>
      <x:c r="F14" s="20">
        <x:v>13.0</x:v>
      </x:c>
      <x:c r="G14" s="20" t="s">
        <x:v>66</x:v>
      </x:c>
      <x:c r="H14" s="20">
        <x:v>87.0</x:v>
      </x:c>
      <x:c r="I14" s="20">
        <x:v>566.0</x:v>
      </x:c>
      <x:c r="J14" s="22">
        <x:v>5393.0</x:v>
      </x:c>
      <x:c r="K14" s="22">
        <x:v>1.0</x:v>
      </x:c>
      <x:c r="L14" s="23" t="s">
        <x:v>29</x:v>
      </x:c>
      <x:c r="M14" s="23" t="s">
        <x:v>23</x:v>
      </x:c>
      <x:c r="N14" s="24" t="s">
        <x:v>60</x:v>
      </x:c>
      <x:c r="O14" s="25">
        <x:v>46296.62866898148</x:v>
      </x:c>
      <x:c r="P14" s="28" t="s">
        <x:v>25</x:v>
      </x:c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</x:row>
    <x:row r="15">
      <x:c r="A15" s="18" t="s">
        <x:v>67</x:v>
      </x:c>
      <x:c r="B15" s="19">
        <x:v>46295.0</x:v>
      </x:c>
      <x:c r="C15" s="18" t="s">
        <x:v>41</x:v>
      </x:c>
      <x:c r="D15" s="18" t="s">
        <x:v>68</x:v>
      </x:c>
      <x:c r="E15" s="20" t="s">
        <x:v>19</x:v>
      </x:c>
      <x:c r="F15" s="20">
        <x:v>11.0</x:v>
      </x:c>
      <x:c r="G15" s="20" t="s">
        <x:v>69</x:v>
      </x:c>
      <x:c r="H15" s="20">
        <x:v>146.0</x:v>
      </x:c>
      <x:c r="I15" s="20">
        <x:v>881.0</x:v>
      </x:c>
      <x:c r="J15" s="22">
        <x:v>34138.0</x:v>
      </x:c>
      <x:c r="K15" s="22">
        <x:v>1.0</x:v>
      </x:c>
      <x:c r="L15" s="23" t="s">
        <x:v>22</x:v>
      </x:c>
      <x:c r="M15" s="23" t="s">
        <x:v>23</x:v>
      </x:c>
      <x:c r="N15" s="24" t="s">
        <x:v>60</x:v>
      </x:c>
      <x:c r="O15" s="25">
        <x:v>46296.62866898148</x:v>
      </x:c>
      <x:c r="P15" s="28" t="s">
        <x:v>25</x:v>
      </x:c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</x:row>
    <x:row r="16">
      <x:c r="A16" s="18" t="s">
        <x:v>70</x:v>
      </x:c>
      <x:c r="B16" s="19">
        <x:v>46295.0</x:v>
      </x:c>
      <x:c r="C16" s="18" t="s">
        <x:v>41</x:v>
      </x:c>
      <x:c r="D16" s="18" t="s">
        <x:v>71</x:v>
      </x:c>
      <x:c r="E16" s="20" t="s">
        <x:v>19</x:v>
      </x:c>
      <x:c r="F16" s="20">
        <x:v>6.0</x:v>
      </x:c>
      <x:c r="G16" s="20" t="s">
        <x:v>72</x:v>
      </x:c>
      <x:c r="H16" s="20">
        <x:v>38.0</x:v>
      </x:c>
      <x:c r="I16" s="20">
        <x:v>382.0</x:v>
      </x:c>
      <x:c r="J16" s="22">
        <x:v>261797.0</x:v>
      </x:c>
      <x:c r="K16" s="22">
        <x:v>8.0</x:v>
      </x:c>
      <x:c r="L16" s="23" t="s">
        <x:v>29</x:v>
      </x:c>
      <x:c r="M16" s="23" t="s">
        <x:v>23</x:v>
      </x:c>
      <x:c r="N16" s="24" t="s">
        <x:v>60</x:v>
      </x:c>
      <x:c r="O16" s="25">
        <x:v>46296.62866898148</x:v>
      </x:c>
      <x:c r="P16" s="28" t="s">
        <x:v>25</x:v>
      </x:c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</x:row>
    <x:row r="17">
      <x:c r="A17" s="18" t="s">
        <x:v>73</x:v>
      </x:c>
      <x:c r="B17" s="19">
        <x:v>46295.0</x:v>
      </x:c>
      <x:c r="C17" s="18" t="s">
        <x:v>41</x:v>
      </x:c>
      <x:c r="D17" s="18" t="s">
        <x:v>74</x:v>
      </x:c>
      <x:c r="E17" s="20" t="s">
        <x:v>19</x:v>
      </x:c>
      <x:c r="F17" s="20">
        <x:v>7.0</x:v>
      </x:c>
      <x:c r="G17" s="20" t="s">
        <x:v>75</x:v>
      </x:c>
      <x:c r="H17" s="20">
        <x:v>55.0</x:v>
      </x:c>
      <x:c r="I17" s="20">
        <x:v>499.0</x:v>
      </x:c>
      <x:c r="J17" s="22">
        <x:v>113323.0</x:v>
      </x:c>
      <x:c r="K17" s="22" t="s">
        <x:v>21</x:v>
      </x:c>
      <x:c r="L17" s="23" t="s">
        <x:v>22</x:v>
      </x:c>
      <x:c r="M17" s="23" t="s">
        <x:v>23</x:v>
      </x:c>
      <x:c r="N17" s="24" t="s">
        <x:v>76</x:v>
      </x:c>
      <x:c r="O17" s="25">
        <x:v>46296.62866898148</x:v>
      </x:c>
      <x:c r="P17" s="28" t="s">
        <x:v>25</x:v>
      </x:c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</x:row>
    <x:row r="18">
      <x:c r="A18" s="18" t="s">
        <x:v>77</x:v>
      </x:c>
      <x:c r="B18" s="19">
        <x:v>46295.0</x:v>
      </x:c>
      <x:c r="C18" s="18" t="s">
        <x:v>41</x:v>
      </x:c>
      <x:c r="D18" s="18" t="s">
        <x:v>78</x:v>
      </x:c>
      <x:c r="E18" s="20" t="s">
        <x:v>19</x:v>
      </x:c>
      <x:c r="F18" s="20">
        <x:v>3.0</x:v>
      </x:c>
      <x:c r="G18" s="20" t="s">
        <x:v>79</x:v>
      </x:c>
      <x:c r="H18" s="20">
        <x:v>3.0</x:v>
      </x:c>
      <x:c r="I18" s="20">
        <x:v>3.0</x:v>
      </x:c>
      <x:c r="J18" s="22" t="s">
        <x:v>21</x:v>
      </x:c>
      <x:c r="K18" s="22" t="s">
        <x:v>21</x:v>
      </x:c>
      <x:c r="L18" s="23" t="s">
        <x:v>29</x:v>
      </x:c>
      <x:c r="M18" s="23" t="s">
        <x:v>23</x:v>
      </x:c>
      <x:c r="N18" s="24" t="s">
        <x:v>76</x:v>
      </x:c>
      <x:c r="O18" s="25">
        <x:v>46296.62866898148</x:v>
      </x:c>
      <x:c r="P18" s="28" t="s">
        <x:v>25</x:v>
      </x:c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</x:row>
    <x:row r="19">
      <x:c r="A19" s="18" t="s">
        <x:v>80</x:v>
      </x:c>
      <x:c r="B19" s="19">
        <x:v>46295.0</x:v>
      </x:c>
      <x:c r="C19" s="18" t="s">
        <x:v>41</x:v>
      </x:c>
      <x:c r="D19" s="18" t="s">
        <x:v>81</x:v>
      </x:c>
      <x:c r="E19" s="20" t="s">
        <x:v>19</x:v>
      </x:c>
      <x:c r="F19" s="20">
        <x:v>7.0</x:v>
      </x:c>
      <x:c r="G19" s="20" t="s">
        <x:v>82</x:v>
      </x:c>
      <x:c r="H19" s="20">
        <x:v>55.0</x:v>
      </x:c>
      <x:c r="I19" s="20">
        <x:v>302.0</x:v>
      </x:c>
      <x:c r="J19" s="22">
        <x:v>10203.0</x:v>
      </x:c>
      <x:c r="K19" s="22" t="s">
        <x:v>21</x:v>
      </x:c>
      <x:c r="L19" s="23" t="s">
        <x:v>44</x:v>
      </x:c>
      <x:c r="M19" s="23" t="s">
        <x:v>23</x:v>
      </x:c>
      <x:c r="N19" s="24" t="s">
        <x:v>76</x:v>
      </x:c>
      <x:c r="O19" s="25">
        <x:v>46296.62866898148</x:v>
      </x:c>
      <x:c r="P19" s="28" t="s">
        <x:v>25</x:v>
      </x:c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</x:row>
    <x:row r="20">
      <x:c r="A20" s="18" t="s">
        <x:v>83</x:v>
      </x:c>
      <x:c r="B20" s="19">
        <x:v>46295.0</x:v>
      </x:c>
      <x:c r="C20" s="18" t="s">
        <x:v>41</x:v>
      </x:c>
      <x:c r="D20" s="18" t="s">
        <x:v>84</x:v>
      </x:c>
      <x:c r="E20" s="20" t="s">
        <x:v>19</x:v>
      </x:c>
      <x:c r="F20" s="20">
        <x:v>4.0</x:v>
      </x:c>
      <x:c r="G20" s="20" t="s">
        <x:v>85</x:v>
      </x:c>
      <x:c r="H20" s="20">
        <x:v>23.0</x:v>
      </x:c>
      <x:c r="I20" s="20">
        <x:v>71.0</x:v>
      </x:c>
      <x:c r="J20" s="22">
        <x:v>207.0</x:v>
      </x:c>
      <x:c r="K20" s="22" t="s">
        <x:v>21</x:v>
      </x:c>
      <x:c r="L20" s="23" t="s">
        <x:v>29</x:v>
      </x:c>
      <x:c r="M20" s="23" t="s">
        <x:v>23</x:v>
      </x:c>
      <x:c r="N20" s="24" t="s">
        <x:v>76</x:v>
      </x:c>
      <x:c r="O20" s="25">
        <x:v>46296.62866898148</x:v>
      </x:c>
      <x:c r="P20" s="28" t="s">
        <x:v>25</x:v>
      </x:c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</x:row>
    <x:row r="21">
      <x:c r="A21" s="18" t="s">
        <x:v>86</x:v>
      </x:c>
      <x:c r="B21" s="19">
        <x:v>46295.0</x:v>
      </x:c>
      <x:c r="C21" s="18" t="s">
        <x:v>87</x:v>
      </x:c>
      <x:c r="D21" s="18" t="s">
        <x:v>88</x:v>
      </x:c>
      <x:c r="E21" s="20" t="s">
        <x:v>19</x:v>
      </x:c>
      <x:c r="F21" s="20">
        <x:v>4.0</x:v>
      </x:c>
      <x:c r="G21" s="20" t="s">
        <x:v>89</x:v>
      </x:c>
      <x:c r="H21" s="20">
        <x:v>41.0</x:v>
      </x:c>
      <x:c r="I21" s="20">
        <x:v>397.0</x:v>
      </x:c>
      <x:c r="J21" s="22">
        <x:v>28028.0</x:v>
      </x:c>
      <x:c r="K21" s="22" t="s">
        <x:v>21</x:v>
      </x:c>
      <x:c r="L21" s="23" t="s">
        <x:v>22</x:v>
      </x:c>
      <x:c r="M21" s="23" t="s">
        <x:v>23</x:v>
      </x:c>
      <x:c r="N21" s="24" t="s">
        <x:v>76</x:v>
      </x:c>
      <x:c r="O21" s="25">
        <x:v>46296.62866898148</x:v>
      </x:c>
      <x:c r="P21" s="28" t="s">
        <x:v>25</x:v>
      </x:c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</x:row>
    <x:row r="22">
      <x:c r="A22" s="18" t="s">
        <x:v>90</x:v>
      </x:c>
      <x:c r="B22" s="19">
        <x:v>46295.0</x:v>
      </x:c>
      <x:c r="C22" s="18" t="s">
        <x:v>87</x:v>
      </x:c>
      <x:c r="D22" s="18" t="s">
        <x:v>91</x:v>
      </x:c>
      <x:c r="E22" s="20" t="s">
        <x:v>19</x:v>
      </x:c>
      <x:c r="F22" s="20">
        <x:v>7.0</x:v>
      </x:c>
      <x:c r="G22" s="20" t="s">
        <x:v>92</x:v>
      </x:c>
      <x:c r="H22" s="20">
        <x:v>61.0</x:v>
      </x:c>
      <x:c r="I22" s="20">
        <x:v>625.0</x:v>
      </x:c>
      <x:c r="J22" s="22">
        <x:v>39977.0</x:v>
      </x:c>
      <x:c r="K22" s="22" t="s">
        <x:v>21</x:v>
      </x:c>
      <x:c r="L22" s="23" t="s">
        <x:v>22</x:v>
      </x:c>
      <x:c r="M22" s="23" t="s">
        <x:v>23</x:v>
      </x:c>
      <x:c r="N22" s="24" t="s">
        <x:v>76</x:v>
      </x:c>
      <x:c r="O22" s="25">
        <x:v>46296.62866898148</x:v>
      </x:c>
      <x:c r="P22" s="28" t="s">
        <x:v>25</x:v>
      </x:c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</x:row>
    <x:row r="23">
      <x:c r="A23" s="18" t="s">
        <x:v>93</x:v>
      </x:c>
      <x:c r="B23" s="19">
        <x:v>46295.0</x:v>
      </x:c>
      <x:c r="C23" s="18" t="s">
        <x:v>87</x:v>
      </x:c>
      <x:c r="D23" s="18" t="s">
        <x:v>94</x:v>
      </x:c>
      <x:c r="E23" s="20" t="s">
        <x:v>19</x:v>
      </x:c>
      <x:c r="F23" s="20">
        <x:v>11.0</x:v>
      </x:c>
      <x:c r="G23" s="20" t="s">
        <x:v>95</x:v>
      </x:c>
      <x:c r="H23" s="20">
        <x:v>65.0</x:v>
      </x:c>
      <x:c r="I23" s="20">
        <x:v>526.0</x:v>
      </x:c>
      <x:c r="J23" s="22">
        <x:v>23790.0</x:v>
      </x:c>
      <x:c r="K23" s="22" t="s">
        <x:v>21</x:v>
      </x:c>
      <x:c r="L23" s="23" t="s">
        <x:v>22</x:v>
      </x:c>
      <x:c r="M23" s="23" t="s">
        <x:v>23</x:v>
      </x:c>
      <x:c r="N23" s="24" t="s">
        <x:v>76</x:v>
      </x:c>
      <x:c r="O23" s="25">
        <x:v>46296.62866898148</x:v>
      </x:c>
      <x:c r="P23" s="28" t="s">
        <x:v>25</x:v>
      </x:c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</x:row>
    <x:row r="24">
      <x:c r="A24" s="18" t="s">
        <x:v>96</x:v>
      </x:c>
      <x:c r="B24" s="19">
        <x:v>46295.0</x:v>
      </x:c>
      <x:c r="C24" s="18" t="s">
        <x:v>87</x:v>
      </x:c>
      <x:c r="D24" s="18" t="s">
        <x:v>97</x:v>
      </x:c>
      <x:c r="E24" s="20" t="s">
        <x:v>19</x:v>
      </x:c>
      <x:c r="F24" s="20">
        <x:v>9.0</x:v>
      </x:c>
      <x:c r="G24" s="20" t="s">
        <x:v>98</x:v>
      </x:c>
      <x:c r="H24" s="20">
        <x:v>32.0</x:v>
      </x:c>
      <x:c r="I24" s="20">
        <x:v>210.0</x:v>
      </x:c>
      <x:c r="J24" s="22">
        <x:v>15086.0</x:v>
      </x:c>
      <x:c r="K24" s="22">
        <x:v>6.0</x:v>
      </x:c>
      <x:c r="L24" s="23" t="s">
        <x:v>22</x:v>
      </x:c>
      <x:c r="M24" s="23" t="s">
        <x:v>23</x:v>
      </x:c>
      <x:c r="N24" s="24" t="s">
        <x:v>99</x:v>
      </x:c>
      <x:c r="O24" s="25">
        <x:v>46296.62866898148</x:v>
      </x:c>
      <x:c r="P24" s="28" t="s">
        <x:v>25</x:v>
      </x:c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</x:row>
    <x:row r="25">
      <x:c r="A25" s="18" t="s">
        <x:v>100</x:v>
      </x:c>
      <x:c r="B25" s="19">
        <x:v>46295.0</x:v>
      </x:c>
      <x:c r="C25" s="18" t="s">
        <x:v>87</x:v>
      </x:c>
      <x:c r="D25" s="18" t="s">
        <x:v>101</x:v>
      </x:c>
      <x:c r="E25" s="20" t="s">
        <x:v>19</x:v>
      </x:c>
      <x:c r="F25" s="20">
        <x:v>10.0</x:v>
      </x:c>
      <x:c r="G25" s="20" t="s">
        <x:v>102</x:v>
      </x:c>
      <x:c r="H25" s="20">
        <x:v>78.0</x:v>
      </x:c>
      <x:c r="I25" s="20">
        <x:v>354.0</x:v>
      </x:c>
      <x:c r="J25" s="22">
        <x:v>118723.0</x:v>
      </x:c>
      <x:c r="K25" s="22" t="s">
        <x:v>21</x:v>
      </x:c>
      <x:c r="L25" s="23" t="s">
        <x:v>22</x:v>
      </x:c>
      <x:c r="M25" s="23" t="s">
        <x:v>23</x:v>
      </x:c>
      <x:c r="N25" s="24" t="s">
        <x:v>99</x:v>
      </x:c>
      <x:c r="O25" s="25">
        <x:v>46296.62866898148</x:v>
      </x:c>
      <x:c r="P25" s="28" t="s">
        <x:v>25</x:v>
      </x:c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</x:row>
    <x:row r="26">
      <x:c r="A26" s="18" t="s">
        <x:v>103</x:v>
      </x:c>
      <x:c r="B26" s="19">
        <x:v>46295.0</x:v>
      </x:c>
      <x:c r="C26" s="18" t="s">
        <x:v>87</x:v>
      </x:c>
      <x:c r="D26" s="18" t="s">
        <x:v>104</x:v>
      </x:c>
      <x:c r="E26" s="20" t="s">
        <x:v>19</x:v>
      </x:c>
      <x:c r="F26" s="20">
        <x:v>5.0</x:v>
      </x:c>
      <x:c r="G26" s="20" t="s">
        <x:v>105</x:v>
      </x:c>
      <x:c r="H26" s="20">
        <x:v>5.0</x:v>
      </x:c>
      <x:c r="I26" s="20">
        <x:v>7.0</x:v>
      </x:c>
      <x:c r="J26" s="22">
        <x:v>350.0</x:v>
      </x:c>
      <x:c r="K26" s="22" t="s">
        <x:v>21</x:v>
      </x:c>
      <x:c r="L26" s="23" t="s">
        <x:v>44</x:v>
      </x:c>
      <x:c r="M26" s="23" t="s">
        <x:v>23</x:v>
      </x:c>
      <x:c r="N26" s="24" t="s">
        <x:v>99</x:v>
      </x:c>
      <x:c r="O26" s="25">
        <x:v>46296.62866898148</x:v>
      </x:c>
      <x:c r="P26" s="28" t="s">
        <x:v>25</x:v>
      </x:c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</x:row>
    <x:row r="27">
      <x:c r="A27" s="18" t="s">
        <x:v>106</x:v>
      </x:c>
      <x:c r="B27" s="19">
        <x:v>46295.0</x:v>
      </x:c>
      <x:c r="C27" s="18" t="s">
        <x:v>87</x:v>
      </x:c>
      <x:c r="D27" s="18" t="s">
        <x:v>107</x:v>
      </x:c>
      <x:c r="E27" s="20" t="s">
        <x:v>19</x:v>
      </x:c>
      <x:c r="F27" s="20">
        <x:v>8.0</x:v>
      </x:c>
      <x:c r="G27" s="20" t="s">
        <x:v>108</x:v>
      </x:c>
      <x:c r="H27" s="20">
        <x:v>35.0</x:v>
      </x:c>
      <x:c r="I27" s="20">
        <x:v>299.0</x:v>
      </x:c>
      <x:c r="J27" s="22">
        <x:v>9326.0</x:v>
      </x:c>
      <x:c r="K27" s="22">
        <x:v>2.0</x:v>
      </x:c>
      <x:c r="L27" s="23" t="s">
        <x:v>29</x:v>
      </x:c>
      <x:c r="M27" s="23" t="s">
        <x:v>23</x:v>
      </x:c>
      <x:c r="N27" s="24" t="s">
        <x:v>99</x:v>
      </x:c>
      <x:c r="O27" s="25">
        <x:v>46296.62866898148</x:v>
      </x:c>
      <x:c r="P27" s="28" t="s">
        <x:v>25</x:v>
      </x:c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</x:row>
    <x:row r="28">
      <x:c r="A28" s="18" t="s">
        <x:v>109</x:v>
      </x:c>
      <x:c r="B28" s="19">
        <x:v>46295.0</x:v>
      </x:c>
      <x:c r="C28" s="18" t="s">
        <x:v>87</x:v>
      </x:c>
      <x:c r="D28" s="18" t="s">
        <x:v>110</x:v>
      </x:c>
      <x:c r="E28" s="20" t="s">
        <x:v>19</x:v>
      </x:c>
      <x:c r="F28" s="20">
        <x:v>3.0</x:v>
      </x:c>
      <x:c r="G28" s="20" t="s">
        <x:v>111</x:v>
      </x:c>
      <x:c r="H28" s="20">
        <x:v>17.0</x:v>
      </x:c>
      <x:c r="I28" s="20">
        <x:v>138.0</x:v>
      </x:c>
      <x:c r="J28" s="22">
        <x:v>659.0</x:v>
      </x:c>
      <x:c r="K28" s="22"/>
      <x:c r="L28" s="23" t="s">
        <x:v>44</x:v>
      </x:c>
      <x:c r="M28" s="23" t="s">
        <x:v>23</x:v>
      </x:c>
      <x:c r="N28" s="24" t="s">
        <x:v>112</x:v>
      </x:c>
      <x:c r="O28" s="25">
        <x:v>46296.62866898148</x:v>
      </x:c>
      <x:c r="P28" s="28" t="s">
        <x:v>25</x:v>
      </x:c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</x:row>
    <x:row r="29">
      <x:c r="A29" s="18" t="s">
        <x:v>113</x:v>
      </x:c>
      <x:c r="B29" s="19">
        <x:v>46295.0</x:v>
      </x:c>
      <x:c r="C29" s="18" t="s">
        <x:v>114</x:v>
      </x:c>
      <x:c r="D29" s="18" t="s">
        <x:v>115</x:v>
      </x:c>
      <x:c r="E29" s="20" t="s">
        <x:v>19</x:v>
      </x:c>
      <x:c r="F29" s="20">
        <x:v>4.0</x:v>
      </x:c>
      <x:c r="G29" s="20" t="s">
        <x:v>116</x:v>
      </x:c>
      <x:c r="H29" s="20">
        <x:v>30.0</x:v>
      </x:c>
      <x:c r="I29" s="20">
        <x:v>244.0</x:v>
      </x:c>
      <x:c r="J29" s="22">
        <x:v>2855.0</x:v>
      </x:c>
      <x:c r="K29" s="22" t="s">
        <x:v>21</x:v>
      </x:c>
      <x:c r="L29" s="23" t="s">
        <x:v>29</x:v>
      </x:c>
      <x:c r="M29" s="23" t="s">
        <x:v>23</x:v>
      </x:c>
      <x:c r="N29" s="24" t="s">
        <x:v>99</x:v>
      </x:c>
      <x:c r="O29" s="25">
        <x:v>46296.62866898148</x:v>
      </x:c>
      <x:c r="P29" s="28" t="s">
        <x:v>25</x:v>
      </x:c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</x:row>
    <x:row r="30">
      <x:c r="A30" s="18" t="s">
        <x:v>117</x:v>
      </x:c>
      <x:c r="B30" s="19">
        <x:v>46295.0</x:v>
      </x:c>
      <x:c r="C30" s="18" t="s">
        <x:v>114</x:v>
      </x:c>
      <x:c r="D30" s="18" t="s">
        <x:v>118</x:v>
      </x:c>
      <x:c r="E30" s="20" t="s">
        <x:v>19</x:v>
      </x:c>
      <x:c r="F30" s="20">
        <x:v>3.0</x:v>
      </x:c>
      <x:c r="G30" s="20" t="s">
        <x:v>119</x:v>
      </x:c>
      <x:c r="H30" s="20">
        <x:v>10.0</x:v>
      </x:c>
      <x:c r="I30" s="20">
        <x:v>34.0</x:v>
      </x:c>
      <x:c r="J30" s="22">
        <x:v>39.0</x:v>
      </x:c>
      <x:c r="K30" s="22" t="s">
        <x:v>21</x:v>
      </x:c>
      <x:c r="L30" s="23" t="s">
        <x:v>29</x:v>
      </x:c>
      <x:c r="M30" s="23" t="s">
        <x:v>23</x:v>
      </x:c>
      <x:c r="N30" s="24" t="s">
        <x:v>120</x:v>
      </x:c>
      <x:c r="O30" s="25">
        <x:v>46296.62866898148</x:v>
      </x:c>
      <x:c r="P30" s="28" t="s">
        <x:v>25</x:v>
      </x:c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</x:row>
    <x:row r="31">
      <x:c r="A31" s="18" t="s">
        <x:v>121</x:v>
      </x:c>
      <x:c r="B31" s="19">
        <x:v>46295.0</x:v>
      </x:c>
      <x:c r="C31" s="18" t="s">
        <x:v>114</x:v>
      </x:c>
      <x:c r="D31" s="18" t="s">
        <x:v>122</x:v>
      </x:c>
      <x:c r="E31" s="20" t="s">
        <x:v>19</x:v>
      </x:c>
      <x:c r="F31" s="20">
        <x:v>3.0</x:v>
      </x:c>
      <x:c r="G31" s="20" t="s">
        <x:v>123</x:v>
      </x:c>
      <x:c r="H31" s="20">
        <x:v>3.0</x:v>
      </x:c>
      <x:c r="I31" s="20">
        <x:v>4.0</x:v>
      </x:c>
      <x:c r="J31" s="22">
        <x:v>95.0</x:v>
      </x:c>
      <x:c r="K31" s="22" t="s">
        <x:v>21</x:v>
      </x:c>
      <x:c r="L31" s="23" t="s">
        <x:v>29</x:v>
      </x:c>
      <x:c r="M31" s="23" t="s">
        <x:v>23</x:v>
      </x:c>
      <x:c r="N31" s="24" t="s">
        <x:v>120</x:v>
      </x:c>
      <x:c r="O31" s="25">
        <x:v>46296.62866898148</x:v>
      </x:c>
      <x:c r="P31" s="28" t="s">
        <x:v>25</x:v>
      </x:c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</x:row>
    <x:row r="32">
      <x:c r="A32" s="18" t="s">
        <x:v>124</x:v>
      </x:c>
      <x:c r="B32" s="19">
        <x:v>46295.0</x:v>
      </x:c>
      <x:c r="C32" s="18" t="s">
        <x:v>114</x:v>
      </x:c>
      <x:c r="D32" s="18" t="s">
        <x:v>125</x:v>
      </x:c>
      <x:c r="E32" s="20" t="s">
        <x:v>19</x:v>
      </x:c>
      <x:c r="F32" s="20">
        <x:v>2.0</x:v>
      </x:c>
      <x:c r="G32" s="20" t="s">
        <x:v>126</x:v>
      </x:c>
      <x:c r="H32" s="20">
        <x:v>10.0</x:v>
      </x:c>
      <x:c r="I32" s="20">
        <x:v>65.0</x:v>
      </x:c>
      <x:c r="J32" s="22">
        <x:v>200.0</x:v>
      </x:c>
      <x:c r="K32" s="22" t="s">
        <x:v>21</x:v>
      </x:c>
      <x:c r="L32" s="23" t="s">
        <x:v>29</x:v>
      </x:c>
      <x:c r="M32" s="23" t="s">
        <x:v>23</x:v>
      </x:c>
      <x:c r="N32" s="24" t="s">
        <x:v>120</x:v>
      </x:c>
      <x:c r="O32" s="25">
        <x:v>46296.62866898148</x:v>
      </x:c>
      <x:c r="P32" s="28" t="s">
        <x:v>25</x:v>
      </x:c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</x:row>
    <x:row r="33">
      <x:c r="A33" s="18" t="s">
        <x:v>127</x:v>
      </x:c>
      <x:c r="B33" s="19">
        <x:v>46295.0</x:v>
      </x:c>
      <x:c r="C33" s="18" t="s">
        <x:v>128</x:v>
      </x:c>
      <x:c r="D33" s="18" t="s">
        <x:v>128</x:v>
      </x:c>
      <x:c r="E33" s="20" t="s">
        <x:v>19</x:v>
      </x:c>
      <x:c r="F33" s="20" t="s">
        <x:v>21</x:v>
      </x:c>
      <x:c r="G33" s="20" t="s">
        <x:v>21</x:v>
      </x:c>
      <x:c r="H33" s="20" t="s">
        <x:v>21</x:v>
      </x:c>
      <x:c r="I33" s="20" t="s">
        <x:v>21</x:v>
      </x:c>
      <x:c r="J33" s="22">
        <x:v>329000.0</x:v>
      </x:c>
      <x:c r="K33" s="22">
        <x:v>4.0</x:v>
      </x:c>
      <x:c r="L33" s="23" t="s">
        <x:v>44</x:v>
      </x:c>
      <x:c r="M33" s="23" t="s">
        <x:v>23</x:v>
      </x:c>
      <x:c r="N33" s="24" t="s">
        <x:v>120</x:v>
      </x:c>
      <x:c r="O33" s="25">
        <x:v>46296.62866898148</x:v>
      </x:c>
      <x:c r="P33" s="28" t="s">
        <x:v>25</x:v>
      </x:c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</x:row>
    <x:row r="34">
      <x:c r="A34" s="36" t="s">
        <x:v>129</x:v>
      </x:c>
      <x:c r="B34" s="37">
        <x:v>46296.0</x:v>
      </x:c>
      <x:c r="C34" s="36" t="s">
        <x:v>17</x:v>
      </x:c>
      <x:c r="D34" s="36" t="s">
        <x:v>27</x:v>
      </x:c>
      <x:c r="E34" s="36" t="s">
        <x:v>19</x:v>
      </x:c>
      <x:c r="F34" s="38">
        <x:v>1.0</x:v>
      </x:c>
      <x:c r="G34" s="36" t="s">
        <x:v>130</x:v>
      </x:c>
      <x:c r="H34" s="38">
        <x:v>2.0</x:v>
      </x:c>
      <x:c r="I34" s="38">
        <x:v>2.0</x:v>
      </x:c>
      <x:c r="J34" s="39">
        <x:v>3.0</x:v>
      </x:c>
      <x:c r="K34" s="39" t="s">
        <x:v>21</x:v>
      </x:c>
      <x:c r="L34" s="7" t="s">
        <x:v>29</x:v>
      </x:c>
      <x:c r="M34" s="7" t="s">
        <x:v>23</x:v>
      </x:c>
      <x:c r="N34" s="7" t="s">
        <x:v>131</x:v>
      </x:c>
      <x:c r="O34" s="40">
        <x:v>46296.646527777775</x:v>
      </x:c>
      <x:c r="P34" s="7" t="s">
        <x:v>132</x:v>
      </x:c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36" t="s">
        <x:v>133</x:v>
      </x:c>
      <x:c r="B35" s="37">
        <x:v>46296.0</x:v>
      </x:c>
      <x:c r="C35" s="36" t="s">
        <x:v>17</x:v>
      </x:c>
      <x:c r="D35" s="36" t="s">
        <x:v>31</x:v>
      </x:c>
      <x:c r="E35" s="36" t="s">
        <x:v>19</x:v>
      </x:c>
      <x:c r="F35" s="38">
        <x:v>6.0</x:v>
      </x:c>
      <x:c r="G35" s="36" t="s">
        <x:v>134</x:v>
      </x:c>
      <x:c r="H35" s="38">
        <x:v>9.0</x:v>
      </x:c>
      <x:c r="I35" s="38">
        <x:v>19.0</x:v>
      </x:c>
      <x:c r="J35" s="39">
        <x:v>82.0</x:v>
      </x:c>
      <x:c r="K35" s="39" t="s">
        <x:v>21</x:v>
      </x:c>
      <x:c r="L35" s="7" t="s">
        <x:v>29</x:v>
      </x:c>
      <x:c r="M35" s="7" t="s">
        <x:v>23</x:v>
      </x:c>
      <x:c r="N35" s="7" t="s">
        <x:v>131</x:v>
      </x:c>
      <x:c r="O35" s="40">
        <x:v>46296.646527777775</x:v>
      </x:c>
      <x:c r="P35" s="7" t="s">
        <x:v>132</x:v>
      </x:c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36" t="s">
        <x:v>135</x:v>
      </x:c>
      <x:c r="B36" s="37">
        <x:v>46296.0</x:v>
      </x:c>
      <x:c r="C36" s="36" t="s">
        <x:v>17</x:v>
      </x:c>
      <x:c r="D36" s="36" t="s">
        <x:v>34</x:v>
      </x:c>
      <x:c r="E36" s="36" t="s">
        <x:v>19</x:v>
      </x:c>
      <x:c r="F36" s="38">
        <x:v>8.0</x:v>
      </x:c>
      <x:c r="G36" s="36" t="s">
        <x:v>136</x:v>
      </x:c>
      <x:c r="H36" s="38">
        <x:v>47.0</x:v>
      </x:c>
      <x:c r="I36" s="38">
        <x:v>331.0</x:v>
      </x:c>
      <x:c r="J36" s="39">
        <x:v>6122.0</x:v>
      </x:c>
      <x:c r="K36" s="39" t="s">
        <x:v>21</x:v>
      </x:c>
      <x:c r="L36" s="7" t="s">
        <x:v>29</x:v>
      </x:c>
      <x:c r="M36" s="7" t="s">
        <x:v>23</x:v>
      </x:c>
      <x:c r="N36" s="7" t="s">
        <x:v>137</x:v>
      </x:c>
      <x:c r="O36" s="40">
        <x:v>46296.646527777775</x:v>
      </x:c>
      <x:c r="P36" s="7" t="s">
        <x:v>132</x:v>
      </x:c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36" t="s">
        <x:v>138</x:v>
      </x:c>
      <x:c r="B37" s="37">
        <x:v>46296.0</x:v>
      </x:c>
      <x:c r="C37" s="36" t="s">
        <x:v>17</x:v>
      </x:c>
      <x:c r="D37" s="36" t="s">
        <x:v>38</x:v>
      </x:c>
      <x:c r="E37" s="36" t="s">
        <x:v>19</x:v>
      </x:c>
      <x:c r="F37" s="38">
        <x:v>11.0</x:v>
      </x:c>
      <x:c r="G37" s="36" t="s">
        <x:v>139</x:v>
      </x:c>
      <x:c r="H37" s="38">
        <x:v>65.0</x:v>
      </x:c>
      <x:c r="I37" s="38">
        <x:v>368.0</x:v>
      </x:c>
      <x:c r="J37" s="39">
        <x:v>9546.0</x:v>
      </x:c>
      <x:c r="K37" s="39" t="s">
        <x:v>21</x:v>
      </x:c>
      <x:c r="L37" s="7" t="s">
        <x:v>22</x:v>
      </x:c>
      <x:c r="M37" s="7" t="s">
        <x:v>23</x:v>
      </x:c>
      <x:c r="N37" s="7" t="s">
        <x:v>137</x:v>
      </x:c>
      <x:c r="O37" s="40">
        <x:v>46296.646527777775</x:v>
      </x:c>
      <x:c r="P37" s="7" t="s">
        <x:v>132</x:v>
      </x:c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36" t="s">
        <x:v>140</x:v>
      </x:c>
      <x:c r="B38" s="37">
        <x:v>46296.0</x:v>
      </x:c>
      <x:c r="C38" s="36" t="s">
        <x:v>41</x:v>
      </x:c>
      <x:c r="D38" s="36" t="s">
        <x:v>42</x:v>
      </x:c>
      <x:c r="E38" s="36" t="s">
        <x:v>19</x:v>
      </x:c>
      <x:c r="F38" s="38">
        <x:v>8.0</x:v>
      </x:c>
      <x:c r="G38" s="36" t="s">
        <x:v>141</x:v>
      </x:c>
      <x:c r="H38" s="38">
        <x:v>56.0</x:v>
      </x:c>
      <x:c r="I38" s="38">
        <x:v>413.0</x:v>
      </x:c>
      <x:c r="J38" s="39">
        <x:v>4785.0</x:v>
      </x:c>
      <x:c r="K38" s="39" t="s">
        <x:v>21</x:v>
      </x:c>
      <x:c r="L38" s="7" t="s">
        <x:v>22</x:v>
      </x:c>
      <x:c r="M38" s="7" t="s">
        <x:v>23</x:v>
      </x:c>
      <x:c r="N38" s="7" t="s">
        <x:v>137</x:v>
      </x:c>
      <x:c r="O38" s="40">
        <x:v>46296.646527777775</x:v>
      </x:c>
      <x:c r="P38" s="7" t="s">
        <x:v>132</x:v>
      </x:c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36" t="s">
        <x:v>142</x:v>
      </x:c>
      <x:c r="B39" s="37">
        <x:v>46296.0</x:v>
      </x:c>
      <x:c r="C39" s="36" t="s">
        <x:v>41</x:v>
      </x:c>
      <x:c r="D39" s="36" t="s">
        <x:v>46</x:v>
      </x:c>
      <x:c r="E39" s="36" t="s">
        <x:v>19</x:v>
      </x:c>
      <x:c r="F39" s="38">
        <x:v>5.0</x:v>
      </x:c>
      <x:c r="G39" s="36" t="s">
        <x:v>143</x:v>
      </x:c>
      <x:c r="H39" s="38">
        <x:v>23.0</x:v>
      </x:c>
      <x:c r="I39" s="38">
        <x:v>84.0</x:v>
      </x:c>
      <x:c r="J39" s="39">
        <x:v>1657.0</x:v>
      </x:c>
      <x:c r="K39" s="39" t="s">
        <x:v>21</x:v>
      </x:c>
      <x:c r="L39" s="7" t="s">
        <x:v>22</x:v>
      </x:c>
      <x:c r="M39" s="7" t="s">
        <x:v>23</x:v>
      </x:c>
      <x:c r="N39" s="7" t="s">
        <x:v>137</x:v>
      </x:c>
      <x:c r="O39" s="40">
        <x:v>46296.646527777775</x:v>
      </x:c>
      <x:c r="P39" s="7" t="s">
        <x:v>132</x:v>
      </x:c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36" t="s">
        <x:v>144</x:v>
      </x:c>
      <x:c r="B40" s="37">
        <x:v>46296.0</x:v>
      </x:c>
      <x:c r="C40" s="36" t="s">
        <x:v>41</x:v>
      </x:c>
      <x:c r="D40" s="36" t="s">
        <x:v>49</x:v>
      </x:c>
      <x:c r="E40" s="36" t="s">
        <x:v>19</x:v>
      </x:c>
      <x:c r="F40" s="38">
        <x:v>7.0</x:v>
      </x:c>
      <x:c r="G40" s="36" t="s">
        <x:v>145</x:v>
      </x:c>
      <x:c r="H40" s="38">
        <x:v>38.0</x:v>
      </x:c>
      <x:c r="I40" s="38">
        <x:v>168.0</x:v>
      </x:c>
      <x:c r="J40" s="39">
        <x:v>1581.0</x:v>
      </x:c>
      <x:c r="K40" s="39" t="s">
        <x:v>21</x:v>
      </x:c>
      <x:c r="L40" s="7" t="s">
        <x:v>22</x:v>
      </x:c>
      <x:c r="M40" s="7" t="s">
        <x:v>23</x:v>
      </x:c>
      <x:c r="N40" s="7" t="s">
        <x:v>137</x:v>
      </x:c>
      <x:c r="O40" s="40">
        <x:v>46296.646527777775</x:v>
      </x:c>
      <x:c r="P40" s="7" t="s">
        <x:v>132</x:v>
      </x:c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36" t="s">
        <x:v>146</x:v>
      </x:c>
      <x:c r="B41" s="37">
        <x:v>46296.0</x:v>
      </x:c>
      <x:c r="C41" s="36" t="s">
        <x:v>41</x:v>
      </x:c>
      <x:c r="D41" s="36" t="s">
        <x:v>52</x:v>
      </x:c>
      <x:c r="E41" s="36" t="s">
        <x:v>19</x:v>
      </x:c>
      <x:c r="F41" s="38">
        <x:v>3.0</x:v>
      </x:c>
      <x:c r="G41" s="36" t="s">
        <x:v>147</x:v>
      </x:c>
      <x:c r="H41" s="38">
        <x:v>3.0</x:v>
      </x:c>
      <x:c r="I41" s="38">
        <x:v>11.0</x:v>
      </x:c>
      <x:c r="J41" s="39">
        <x:v>974.0</x:v>
      </x:c>
      <x:c r="K41" s="39" t="s">
        <x:v>21</x:v>
      </x:c>
      <x:c r="L41" s="7" t="s">
        <x:v>22</x:v>
      </x:c>
      <x:c r="M41" s="7" t="s">
        <x:v>23</x:v>
      </x:c>
      <x:c r="N41" s="7" t="s">
        <x:v>137</x:v>
      </x:c>
      <x:c r="O41" s="40">
        <x:v>46296.646527777775</x:v>
      </x:c>
      <x:c r="P41" s="7" t="s">
        <x:v>132</x:v>
      </x:c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36" t="s">
        <x:v>148</x:v>
      </x:c>
      <x:c r="B42" s="37">
        <x:v>46296.0</x:v>
      </x:c>
      <x:c r="C42" s="36" t="s">
        <x:v>41</x:v>
      </x:c>
      <x:c r="D42" s="36" t="s">
        <x:v>55</x:v>
      </x:c>
      <x:c r="E42" s="36" t="s">
        <x:v>19</x:v>
      </x:c>
      <x:c r="F42" s="38">
        <x:v>9.0</x:v>
      </x:c>
      <x:c r="G42" s="36" t="s">
        <x:v>149</x:v>
      </x:c>
      <x:c r="H42" s="38">
        <x:v>92.0</x:v>
      </x:c>
      <x:c r="I42" s="38">
        <x:v>667.0</x:v>
      </x:c>
      <x:c r="J42" s="39">
        <x:v>18987.0</x:v>
      </x:c>
      <x:c r="K42" s="39" t="s">
        <x:v>21</x:v>
      </x:c>
      <x:c r="L42" s="7" t="s">
        <x:v>22</x:v>
      </x:c>
      <x:c r="M42" s="7" t="s">
        <x:v>23</x:v>
      </x:c>
      <x:c r="N42" s="7" t="s">
        <x:v>150</x:v>
      </x:c>
      <x:c r="O42" s="40">
        <x:v>46296.646527777775</x:v>
      </x:c>
      <x:c r="P42" s="7" t="s">
        <x:v>132</x:v>
      </x:c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36" t="s">
        <x:v>151</x:v>
      </x:c>
      <x:c r="B43" s="37">
        <x:v>46296.0</x:v>
      </x:c>
      <x:c r="C43" s="36" t="s">
        <x:v>41</x:v>
      </x:c>
      <x:c r="D43" s="36" t="s">
        <x:v>58</x:v>
      </x:c>
      <x:c r="E43" s="36" t="s">
        <x:v>19</x:v>
      </x:c>
      <x:c r="F43" s="38">
        <x:v>13.0</x:v>
      </x:c>
      <x:c r="G43" s="36" t="s">
        <x:v>152</x:v>
      </x:c>
      <x:c r="H43" s="38">
        <x:v>90.0</x:v>
      </x:c>
      <x:c r="I43" s="38">
        <x:v>884.0</x:v>
      </x:c>
      <x:c r="J43" s="39">
        <x:v>9635.0</x:v>
      </x:c>
      <x:c r="K43" s="39">
        <x:v>2.0</x:v>
      </x:c>
      <x:c r="L43" s="7" t="s">
        <x:v>22</x:v>
      </x:c>
      <x:c r="M43" s="7" t="s">
        <x:v>23</x:v>
      </x:c>
      <x:c r="N43" s="7" t="s">
        <x:v>150</x:v>
      </x:c>
      <x:c r="O43" s="40">
        <x:v>46296.646527777775</x:v>
      </x:c>
      <x:c r="P43" s="7" t="s">
        <x:v>132</x:v>
      </x:c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36" t="s">
        <x:v>153</x:v>
      </x:c>
      <x:c r="B44" s="37">
        <x:v>46296.0</x:v>
      </x:c>
      <x:c r="C44" s="36" t="s">
        <x:v>41</x:v>
      </x:c>
      <x:c r="D44" s="36" t="s">
        <x:v>62</x:v>
      </x:c>
      <x:c r="E44" s="36" t="s">
        <x:v>19</x:v>
      </x:c>
      <x:c r="F44" s="38">
        <x:v>3.0</x:v>
      </x:c>
      <x:c r="G44" s="36" t="s">
        <x:v>154</x:v>
      </x:c>
      <x:c r="H44" s="38">
        <x:v>8.0</x:v>
      </x:c>
      <x:c r="I44" s="38">
        <x:v>24.0</x:v>
      </x:c>
      <x:c r="J44" s="39">
        <x:v>298.0</x:v>
      </x:c>
      <x:c r="K44" s="39" t="s">
        <x:v>21</x:v>
      </x:c>
      <x:c r="L44" s="7" t="s">
        <x:v>22</x:v>
      </x:c>
      <x:c r="M44" s="7" t="s">
        <x:v>23</x:v>
      </x:c>
      <x:c r="N44" s="7" t="s">
        <x:v>150</x:v>
      </x:c>
      <x:c r="O44" s="40">
        <x:v>46296.646527777775</x:v>
      </x:c>
      <x:c r="P44" s="7" t="s">
        <x:v>132</x:v>
      </x:c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36" t="s">
        <x:v>155</x:v>
      </x:c>
      <x:c r="B45" s="37">
        <x:v>46296.0</x:v>
      </x:c>
      <x:c r="C45" s="36" t="s">
        <x:v>41</x:v>
      </x:c>
      <x:c r="D45" s="36" t="s">
        <x:v>65</x:v>
      </x:c>
      <x:c r="E45" s="36" t="s">
        <x:v>19</x:v>
      </x:c>
      <x:c r="F45" s="38">
        <x:v>13.0</x:v>
      </x:c>
      <x:c r="G45" s="36" t="s">
        <x:v>156</x:v>
      </x:c>
      <x:c r="H45" s="38">
        <x:v>87.0</x:v>
      </x:c>
      <x:c r="I45" s="38">
        <x:v>566.0</x:v>
      </x:c>
      <x:c r="J45" s="39">
        <x:v>5393.0</x:v>
      </x:c>
      <x:c r="K45" s="39">
        <x:v>1.0</x:v>
      </x:c>
      <x:c r="L45" s="7" t="s">
        <x:v>29</x:v>
      </x:c>
      <x:c r="M45" s="7" t="s">
        <x:v>23</x:v>
      </x:c>
      <x:c r="N45" s="7" t="s">
        <x:v>150</x:v>
      </x:c>
      <x:c r="O45" s="40">
        <x:v>46296.646527777775</x:v>
      </x:c>
      <x:c r="P45" s="7" t="s">
        <x:v>132</x:v>
      </x:c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36" t="s">
        <x:v>157</x:v>
      </x:c>
      <x:c r="B46" s="37">
        <x:v>46296.0</x:v>
      </x:c>
      <x:c r="C46" s="36" t="s">
        <x:v>41</x:v>
      </x:c>
      <x:c r="D46" s="36" t="s">
        <x:v>68</x:v>
      </x:c>
      <x:c r="E46" s="36" t="s">
        <x:v>19</x:v>
      </x:c>
      <x:c r="F46" s="38">
        <x:v>13.0</x:v>
      </x:c>
      <x:c r="G46" s="36" t="s">
        <x:v>158</x:v>
      </x:c>
      <x:c r="H46" s="38">
        <x:v>167.0</x:v>
      </x:c>
      <x:c r="I46" s="38">
        <x:v>1081.0</x:v>
      </x:c>
      <x:c r="J46" s="39">
        <x:v>42286.0</x:v>
      </x:c>
      <x:c r="K46" s="39">
        <x:v>1.0</x:v>
      </x:c>
      <x:c r="L46" s="7" t="s">
        <x:v>22</x:v>
      </x:c>
      <x:c r="M46" s="7" t="s">
        <x:v>23</x:v>
      </x:c>
      <x:c r="N46" s="7" t="s">
        <x:v>159</x:v>
      </x:c>
      <x:c r="O46" s="40">
        <x:v>46296.646527777775</x:v>
      </x:c>
      <x:c r="P46" s="7" t="s">
        <x:v>132</x:v>
      </x:c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36" t="s">
        <x:v>160</x:v>
      </x:c>
      <x:c r="B47" s="37">
        <x:v>46296.0</x:v>
      </x:c>
      <x:c r="C47" s="36" t="s">
        <x:v>41</x:v>
      </x:c>
      <x:c r="D47" s="36" t="s">
        <x:v>71</x:v>
      </x:c>
      <x:c r="E47" s="36" t="s">
        <x:v>19</x:v>
      </x:c>
      <x:c r="F47" s="38">
        <x:v>6.0</x:v>
      </x:c>
      <x:c r="G47" s="36" t="s">
        <x:v>161</x:v>
      </x:c>
      <x:c r="H47" s="38">
        <x:v>38.0</x:v>
      </x:c>
      <x:c r="I47" s="38">
        <x:v>382.0</x:v>
      </x:c>
      <x:c r="J47" s="39">
        <x:v>307704.0</x:v>
      </x:c>
      <x:c r="K47" s="39">
        <x:v>8.0</x:v>
      </x:c>
      <x:c r="L47" s="7" t="s">
        <x:v>22</x:v>
      </x:c>
      <x:c r="M47" s="7" t="s">
        <x:v>23</x:v>
      </x:c>
      <x:c r="N47" s="7" t="s">
        <x:v>159</x:v>
      </x:c>
      <x:c r="O47" s="40">
        <x:v>46296.646527777775</x:v>
      </x:c>
      <x:c r="P47" s="7" t="s">
        <x:v>132</x:v>
      </x:c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36" t="s">
        <x:v>162</x:v>
      </x:c>
      <x:c r="B48" s="37">
        <x:v>46296.0</x:v>
      </x:c>
      <x:c r="C48" s="36" t="s">
        <x:v>41</x:v>
      </x:c>
      <x:c r="D48" s="36" t="s">
        <x:v>74</x:v>
      </x:c>
      <x:c r="E48" s="36" t="s">
        <x:v>19</x:v>
      </x:c>
      <x:c r="F48" s="38">
        <x:v>7.0</x:v>
      </x:c>
      <x:c r="G48" s="36" t="s">
        <x:v>163</x:v>
      </x:c>
      <x:c r="H48" s="38">
        <x:v>29.0</x:v>
      </x:c>
      <x:c r="I48" s="38">
        <x:v>510.0</x:v>
      </x:c>
      <x:c r="J48" s="39">
        <x:v>182290.0</x:v>
      </x:c>
      <x:c r="K48" s="39" t="s">
        <x:v>21</x:v>
      </x:c>
      <x:c r="L48" s="7" t="s">
        <x:v>22</x:v>
      </x:c>
      <x:c r="M48" s="7" t="s">
        <x:v>23</x:v>
      </x:c>
      <x:c r="N48" s="7" t="s">
        <x:v>159</x:v>
      </x:c>
      <x:c r="O48" s="40">
        <x:v>46296.646527777775</x:v>
      </x:c>
      <x:c r="P48" s="7" t="s">
        <x:v>132</x:v>
      </x:c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36" t="s">
        <x:v>164</x:v>
      </x:c>
      <x:c r="B49" s="37">
        <x:v>46296.0</x:v>
      </x:c>
      <x:c r="C49" s="36" t="s">
        <x:v>41</x:v>
      </x:c>
      <x:c r="D49" s="36" t="s">
        <x:v>78</x:v>
      </x:c>
      <x:c r="E49" s="36" t="s">
        <x:v>19</x:v>
      </x:c>
      <x:c r="F49" s="38">
        <x:v>3.0</x:v>
      </x:c>
      <x:c r="G49" s="36" t="s">
        <x:v>165</x:v>
      </x:c>
      <x:c r="H49" s="38">
        <x:v>3.0</x:v>
      </x:c>
      <x:c r="I49" s="38">
        <x:v>3.0</x:v>
      </x:c>
      <x:c r="J49" s="39" t="s">
        <x:v>21</x:v>
      </x:c>
      <x:c r="K49" s="39" t="s">
        <x:v>21</x:v>
      </x:c>
      <x:c r="L49" s="7" t="s">
        <x:v>22</x:v>
      </x:c>
      <x:c r="M49" s="7" t="s">
        <x:v>23</x:v>
      </x:c>
      <x:c r="N49" s="7" t="s">
        <x:v>159</x:v>
      </x:c>
      <x:c r="O49" s="40">
        <x:v>46296.646527777775</x:v>
      </x:c>
      <x:c r="P49" s="7" t="s">
        <x:v>132</x:v>
      </x:c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36" t="s">
        <x:v>166</x:v>
      </x:c>
      <x:c r="B50" s="37">
        <x:v>46296.0</x:v>
      </x:c>
      <x:c r="C50" s="36" t="s">
        <x:v>41</x:v>
      </x:c>
      <x:c r="D50" s="36" t="s">
        <x:v>81</x:v>
      </x:c>
      <x:c r="E50" s="36" t="s">
        <x:v>19</x:v>
      </x:c>
      <x:c r="F50" s="38">
        <x:v>7.0</x:v>
      </x:c>
      <x:c r="G50" s="36" t="s">
        <x:v>167</x:v>
      </x:c>
      <x:c r="H50" s="38">
        <x:v>55.0</x:v>
      </x:c>
      <x:c r="I50" s="38">
        <x:v>302.0</x:v>
      </x:c>
      <x:c r="J50" s="39">
        <x:v>10203.0</x:v>
      </x:c>
      <x:c r="K50" s="39" t="s">
        <x:v>21</x:v>
      </x:c>
      <x:c r="L50" s="7" t="s">
        <x:v>22</x:v>
      </x:c>
      <x:c r="M50" s="7" t="s">
        <x:v>23</x:v>
      </x:c>
      <x:c r="N50" s="7" t="s">
        <x:v>159</x:v>
      </x:c>
      <x:c r="O50" s="40">
        <x:v>46296.646527777775</x:v>
      </x:c>
      <x:c r="P50" s="7" t="s">
        <x:v>132</x:v>
      </x:c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36" t="s">
        <x:v>168</x:v>
      </x:c>
      <x:c r="B51" s="37">
        <x:v>46296.0</x:v>
      </x:c>
      <x:c r="C51" s="36" t="s">
        <x:v>41</x:v>
      </x:c>
      <x:c r="D51" s="36" t="s">
        <x:v>84</x:v>
      </x:c>
      <x:c r="E51" s="36" t="s">
        <x:v>19</x:v>
      </x:c>
      <x:c r="F51" s="38">
        <x:v>7.0</x:v>
      </x:c>
      <x:c r="G51" s="36" t="s">
        <x:v>169</x:v>
      </x:c>
      <x:c r="H51" s="38">
        <x:v>41.0</x:v>
      </x:c>
      <x:c r="I51" s="38">
        <x:v>198.0</x:v>
      </x:c>
      <x:c r="J51" s="39">
        <x:v>3506.0</x:v>
      </x:c>
      <x:c r="K51" s="39" t="s">
        <x:v>21</x:v>
      </x:c>
      <x:c r="L51" s="7" t="s">
        <x:v>22</x:v>
      </x:c>
      <x:c r="M51" s="7" t="s">
        <x:v>23</x:v>
      </x:c>
      <x:c r="N51" s="7" t="s">
        <x:v>159</x:v>
      </x:c>
      <x:c r="O51" s="40">
        <x:v>46296.646527777775</x:v>
      </x:c>
      <x:c r="P51" s="7" t="s">
        <x:v>132</x:v>
      </x:c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36" t="s">
        <x:v>170</x:v>
      </x:c>
      <x:c r="B52" s="37">
        <x:v>46296.0</x:v>
      </x:c>
      <x:c r="C52" s="36" t="s">
        <x:v>87</x:v>
      </x:c>
      <x:c r="D52" s="36" t="s">
        <x:v>88</x:v>
      </x:c>
      <x:c r="E52" s="36" t="s">
        <x:v>19</x:v>
      </x:c>
      <x:c r="F52" s="38">
        <x:v>4.0</x:v>
      </x:c>
      <x:c r="G52" s="36" t="s">
        <x:v>171</x:v>
      </x:c>
      <x:c r="H52" s="38">
        <x:v>41.0</x:v>
      </x:c>
      <x:c r="I52" s="38">
        <x:v>397.0</x:v>
      </x:c>
      <x:c r="J52" s="39">
        <x:v>28028.0</x:v>
      </x:c>
      <x:c r="K52" s="39" t="s">
        <x:v>21</x:v>
      </x:c>
      <x:c r="L52" s="7" t="s">
        <x:v>22</x:v>
      </x:c>
      <x:c r="M52" s="7" t="s">
        <x:v>23</x:v>
      </x:c>
      <x:c r="N52" s="7" t="s">
        <x:v>159</x:v>
      </x:c>
      <x:c r="O52" s="40">
        <x:v>46296.646527777775</x:v>
      </x:c>
      <x:c r="P52" s="7" t="s">
        <x:v>132</x:v>
      </x:c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36" t="s">
        <x:v>172</x:v>
      </x:c>
      <x:c r="B53" s="37">
        <x:v>46296.0</x:v>
      </x:c>
      <x:c r="C53" s="36" t="s">
        <x:v>87</x:v>
      </x:c>
      <x:c r="D53" s="36" t="s">
        <x:v>91</x:v>
      </x:c>
      <x:c r="E53" s="36" t="s">
        <x:v>19</x:v>
      </x:c>
      <x:c r="F53" s="38">
        <x:v>7.0</x:v>
      </x:c>
      <x:c r="G53" s="36" t="s">
        <x:v>173</x:v>
      </x:c>
      <x:c r="H53" s="38">
        <x:v>61.0</x:v>
      </x:c>
      <x:c r="I53" s="38">
        <x:v>625.0</x:v>
      </x:c>
      <x:c r="J53" s="39">
        <x:v>39977.0</x:v>
      </x:c>
      <x:c r="K53" s="39" t="s">
        <x:v>21</x:v>
      </x:c>
      <x:c r="L53" s="7" t="s">
        <x:v>22</x:v>
      </x:c>
      <x:c r="M53" s="7" t="s">
        <x:v>23</x:v>
      </x:c>
      <x:c r="N53" s="7" t="s">
        <x:v>174</x:v>
      </x:c>
      <x:c r="O53" s="40">
        <x:v>46296.646527777775</x:v>
      </x:c>
      <x:c r="P53" s="7" t="s">
        <x:v>132</x:v>
      </x:c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36" t="s">
        <x:v>175</x:v>
      </x:c>
      <x:c r="B54" s="37">
        <x:v>46296.0</x:v>
      </x:c>
      <x:c r="C54" s="36" t="s">
        <x:v>87</x:v>
      </x:c>
      <x:c r="D54" s="36" t="s">
        <x:v>94</x:v>
      </x:c>
      <x:c r="E54" s="36" t="s">
        <x:v>19</x:v>
      </x:c>
      <x:c r="F54" s="38">
        <x:v>11.0</x:v>
      </x:c>
      <x:c r="G54" s="36" t="s">
        <x:v>176</x:v>
      </x:c>
      <x:c r="H54" s="38">
        <x:v>68.0</x:v>
      </x:c>
      <x:c r="I54" s="38">
        <x:v>556.0</x:v>
      </x:c>
      <x:c r="J54" s="39">
        <x:v>26169.0</x:v>
      </x:c>
      <x:c r="K54" s="39" t="s">
        <x:v>21</x:v>
      </x:c>
      <x:c r="L54" s="7" t="s">
        <x:v>22</x:v>
      </x:c>
      <x:c r="M54" s="7" t="s">
        <x:v>23</x:v>
      </x:c>
      <x:c r="N54" s="7" t="s">
        <x:v>174</x:v>
      </x:c>
      <x:c r="O54" s="40">
        <x:v>46296.646527777775</x:v>
      </x:c>
      <x:c r="P54" s="7" t="s">
        <x:v>132</x:v>
      </x:c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36" t="s">
        <x:v>177</x:v>
      </x:c>
      <x:c r="B55" s="37">
        <x:v>46296.0</x:v>
      </x:c>
      <x:c r="C55" s="36" t="s">
        <x:v>87</x:v>
      </x:c>
      <x:c r="D55" s="36" t="s">
        <x:v>97</x:v>
      </x:c>
      <x:c r="E55" s="36" t="s">
        <x:v>19</x:v>
      </x:c>
      <x:c r="F55" s="38">
        <x:v>9.0</x:v>
      </x:c>
      <x:c r="G55" s="36" t="s">
        <x:v>178</x:v>
      </x:c>
      <x:c r="H55" s="38">
        <x:v>32.0</x:v>
      </x:c>
      <x:c r="I55" s="38">
        <x:v>210.0</x:v>
      </x:c>
      <x:c r="J55" s="39">
        <x:v>15086.0</x:v>
      </x:c>
      <x:c r="K55" s="39">
        <x:v>6.0</x:v>
      </x:c>
      <x:c r="L55" s="7" t="s">
        <x:v>22</x:v>
      </x:c>
      <x:c r="M55" s="7" t="s">
        <x:v>23</x:v>
      </x:c>
      <x:c r="N55" s="7" t="s">
        <x:v>174</x:v>
      </x:c>
      <x:c r="O55" s="40">
        <x:v>46296.646527777775</x:v>
      </x:c>
      <x:c r="P55" s="7" t="s">
        <x:v>132</x:v>
      </x:c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36" t="s">
        <x:v>179</x:v>
      </x:c>
      <x:c r="B56" s="37">
        <x:v>46296.0</x:v>
      </x:c>
      <x:c r="C56" s="36" t="s">
        <x:v>87</x:v>
      </x:c>
      <x:c r="D56" s="36" t="s">
        <x:v>101</x:v>
      </x:c>
      <x:c r="E56" s="36" t="s">
        <x:v>19</x:v>
      </x:c>
      <x:c r="F56" s="38">
        <x:v>10.0</x:v>
      </x:c>
      <x:c r="G56" s="36" t="s">
        <x:v>180</x:v>
      </x:c>
      <x:c r="H56" s="38">
        <x:v>78.0</x:v>
      </x:c>
      <x:c r="I56" s="38">
        <x:v>354.0</x:v>
      </x:c>
      <x:c r="J56" s="39">
        <x:v>118723.0</x:v>
      </x:c>
      <x:c r="K56" s="39" t="s">
        <x:v>21</x:v>
      </x:c>
      <x:c r="L56" s="7" t="s">
        <x:v>22</x:v>
      </x:c>
      <x:c r="M56" s="7" t="s">
        <x:v>23</x:v>
      </x:c>
      <x:c r="N56" s="7" t="s">
        <x:v>174</x:v>
      </x:c>
      <x:c r="O56" s="40">
        <x:v>46296.646527777775</x:v>
      </x:c>
      <x:c r="P56" s="7" t="s">
        <x:v>132</x:v>
      </x:c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36" t="s">
        <x:v>181</x:v>
      </x:c>
      <x:c r="B57" s="37">
        <x:v>46296.0</x:v>
      </x:c>
      <x:c r="C57" s="36" t="s">
        <x:v>87</x:v>
      </x:c>
      <x:c r="D57" s="36" t="s">
        <x:v>104</x:v>
      </x:c>
      <x:c r="E57" s="36" t="s">
        <x:v>19</x:v>
      </x:c>
      <x:c r="F57" s="38">
        <x:v>2.0</x:v>
      </x:c>
      <x:c r="G57" s="36" t="s">
        <x:v>182</x:v>
      </x:c>
      <x:c r="H57" s="38">
        <x:v>8.0</x:v>
      </x:c>
      <x:c r="I57" s="38">
        <x:v>63.0</x:v>
      </x:c>
      <x:c r="J57" s="39">
        <x:v>1660.0</x:v>
      </x:c>
      <x:c r="K57" s="39" t="s">
        <x:v>21</x:v>
      </x:c>
      <x:c r="L57" s="7" t="s">
        <x:v>44</x:v>
      </x:c>
      <x:c r="M57" s="7" t="s">
        <x:v>23</x:v>
      </x:c>
      <x:c r="N57" s="7" t="s">
        <x:v>174</x:v>
      </x:c>
      <x:c r="O57" s="40">
        <x:v>46296.646527777775</x:v>
      </x:c>
      <x:c r="P57" s="7" t="s">
        <x:v>132</x:v>
      </x:c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36" t="s">
        <x:v>183</x:v>
      </x:c>
      <x:c r="B58" s="37">
        <x:v>46296.0</x:v>
      </x:c>
      <x:c r="C58" s="36" t="s">
        <x:v>87</x:v>
      </x:c>
      <x:c r="D58" s="36" t="s">
        <x:v>107</x:v>
      </x:c>
      <x:c r="E58" s="36" t="s">
        <x:v>19</x:v>
      </x:c>
      <x:c r="F58" s="38">
        <x:v>6.0</x:v>
      </x:c>
      <x:c r="G58" s="36" t="s">
        <x:v>184</x:v>
      </x:c>
      <x:c r="H58" s="38">
        <x:v>21.0</x:v>
      </x:c>
      <x:c r="I58" s="38">
        <x:v>86.0</x:v>
      </x:c>
      <x:c r="J58" s="39">
        <x:v>9326.0</x:v>
      </x:c>
      <x:c r="K58" s="39">
        <x:v>2.0</x:v>
      </x:c>
      <x:c r="L58" s="7" t="s">
        <x:v>29</x:v>
      </x:c>
      <x:c r="M58" s="7" t="s">
        <x:v>23</x:v>
      </x:c>
      <x:c r="N58" s="7" t="s">
        <x:v>185</x:v>
      </x:c>
      <x:c r="O58" s="40">
        <x:v>46296.646527777775</x:v>
      </x:c>
      <x:c r="P58" s="7" t="s">
        <x:v>132</x:v>
      </x:c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36" t="s">
        <x:v>186</x:v>
      </x:c>
      <x:c r="B59" s="37">
        <x:v>46296.0</x:v>
      </x:c>
      <x:c r="C59" s="36" t="s">
        <x:v>87</x:v>
      </x:c>
      <x:c r="D59" s="36" t="s">
        <x:v>110</x:v>
      </x:c>
      <x:c r="E59" s="36" t="s">
        <x:v>19</x:v>
      </x:c>
      <x:c r="F59" s="38">
        <x:v>3.0</x:v>
      </x:c>
      <x:c r="G59" s="36" t="s">
        <x:v>187</x:v>
      </x:c>
      <x:c r="H59" s="38">
        <x:v>16.0</x:v>
      </x:c>
      <x:c r="I59" s="38">
        <x:v>78.0</x:v>
      </x:c>
      <x:c r="J59" s="39">
        <x:v>1310.0</x:v>
      </x:c>
      <x:c r="K59" s="39"/>
      <x:c r="L59" s="7" t="s">
        <x:v>44</x:v>
      </x:c>
      <x:c r="M59" s="7" t="s">
        <x:v>23</x:v>
      </x:c>
      <x:c r="N59" s="7" t="s">
        <x:v>188</x:v>
      </x:c>
      <x:c r="O59" s="40">
        <x:v>46296.646527777775</x:v>
      </x:c>
      <x:c r="P59" s="7" t="s">
        <x:v>132</x:v>
      </x:c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36" t="s">
        <x:v>189</x:v>
      </x:c>
      <x:c r="B60" s="37">
        <x:v>46296.0</x:v>
      </x:c>
      <x:c r="C60" s="36" t="s">
        <x:v>114</x:v>
      </x:c>
      <x:c r="D60" s="36" t="s">
        <x:v>115</x:v>
      </x:c>
      <x:c r="E60" s="36" t="s">
        <x:v>19</x:v>
      </x:c>
      <x:c r="F60" s="38">
        <x:v>4.0</x:v>
      </x:c>
      <x:c r="G60" s="36" t="s">
        <x:v>190</x:v>
      </x:c>
      <x:c r="H60" s="38">
        <x:v>30.0</x:v>
      </x:c>
      <x:c r="I60" s="38">
        <x:v>244.0</x:v>
      </x:c>
      <x:c r="J60" s="39">
        <x:v>2855.0</x:v>
      </x:c>
      <x:c r="K60" s="39" t="s">
        <x:v>21</x:v>
      </x:c>
      <x:c r="L60" s="7" t="s">
        <x:v>29</x:v>
      </x:c>
      <x:c r="M60" s="7" t="s">
        <x:v>23</x:v>
      </x:c>
      <x:c r="N60" s="7" t="s">
        <x:v>185</x:v>
      </x:c>
      <x:c r="O60" s="40">
        <x:v>46296.646527777775</x:v>
      </x:c>
      <x:c r="P60" s="7" t="s">
        <x:v>132</x:v>
      </x:c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36" t="s">
        <x:v>191</x:v>
      </x:c>
      <x:c r="B61" s="37">
        <x:v>46296.0</x:v>
      </x:c>
      <x:c r="C61" s="36" t="s">
        <x:v>114</x:v>
      </x:c>
      <x:c r="D61" s="36" t="s">
        <x:v>118</x:v>
      </x:c>
      <x:c r="E61" s="36" t="s">
        <x:v>19</x:v>
      </x:c>
      <x:c r="F61" s="38">
        <x:v>2.0</x:v>
      </x:c>
      <x:c r="G61" s="36" t="s">
        <x:v>192</x:v>
      </x:c>
      <x:c r="H61" s="38">
        <x:v>9.0</x:v>
      </x:c>
      <x:c r="I61" s="38">
        <x:v>20.0</x:v>
      </x:c>
      <x:c r="J61" s="39">
        <x:v>18.0</x:v>
      </x:c>
      <x:c r="K61" s="39" t="s">
        <x:v>21</x:v>
      </x:c>
      <x:c r="L61" s="7" t="s">
        <x:v>29</x:v>
      </x:c>
      <x:c r="M61" s="7" t="s">
        <x:v>23</x:v>
      </x:c>
      <x:c r="N61" s="7" t="s">
        <x:v>185</x:v>
      </x:c>
      <x:c r="O61" s="40">
        <x:v>46296.646527777775</x:v>
      </x:c>
      <x:c r="P61" s="7" t="s">
        <x:v>132</x:v>
      </x:c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36" t="s">
        <x:v>193</x:v>
      </x:c>
      <x:c r="B62" s="37">
        <x:v>46296.0</x:v>
      </x:c>
      <x:c r="C62" s="36" t="s">
        <x:v>114</x:v>
      </x:c>
      <x:c r="D62" s="36" t="s">
        <x:v>125</x:v>
      </x:c>
      <x:c r="E62" s="36" t="s">
        <x:v>19</x:v>
      </x:c>
      <x:c r="F62" s="38">
        <x:v>2.0</x:v>
      </x:c>
      <x:c r="G62" s="36" t="s">
        <x:v>194</x:v>
      </x:c>
      <x:c r="H62" s="38">
        <x:v>10.0</x:v>
      </x:c>
      <x:c r="I62" s="38">
        <x:v>65.0</x:v>
      </x:c>
      <x:c r="J62" s="39">
        <x:v>200.0</x:v>
      </x:c>
      <x:c r="K62" s="39" t="s">
        <x:v>21</x:v>
      </x:c>
      <x:c r="L62" s="7" t="s">
        <x:v>29</x:v>
      </x:c>
      <x:c r="M62" s="7" t="s">
        <x:v>23</x:v>
      </x:c>
      <x:c r="N62" s="7" t="s">
        <x:v>185</x:v>
      </x:c>
      <x:c r="O62" s="40">
        <x:v>46296.646527777775</x:v>
      </x:c>
      <x:c r="P62" s="7" t="s">
        <x:v>132</x:v>
      </x:c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36" t="s">
        <x:v>195</x:v>
      </x:c>
      <x:c r="B63" s="37">
        <x:v>46296.0</x:v>
      </x:c>
      <x:c r="C63" s="36" t="s">
        <x:v>196</x:v>
      </x:c>
      <x:c r="D63" s="36" t="s">
        <x:v>197</x:v>
      </x:c>
      <x:c r="E63" s="36" t="s">
        <x:v>19</x:v>
      </x:c>
      <x:c r="F63" s="38">
        <x:v>1.0</x:v>
      </x:c>
      <x:c r="G63" s="36" t="s">
        <x:v>198</x:v>
      </x:c>
      <x:c r="H63" s="38">
        <x:v>1.0</x:v>
      </x:c>
      <x:c r="I63" s="38">
        <x:v>3.0</x:v>
      </x:c>
      <x:c r="J63" s="39" t="s">
        <x:v>21</x:v>
      </x:c>
      <x:c r="K63" s="39" t="s">
        <x:v>21</x:v>
      </x:c>
      <x:c r="L63" s="7" t="s">
        <x:v>29</x:v>
      </x:c>
      <x:c r="M63" s="7" t="s">
        <x:v>23</x:v>
      </x:c>
      <x:c r="N63" s="7" t="s">
        <x:v>185</x:v>
      </x:c>
      <x:c r="O63" s="40">
        <x:v>46296.646527777775</x:v>
      </x:c>
      <x:c r="P63" s="7" t="s">
        <x:v>132</x:v>
      </x:c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36" t="s">
        <x:v>199</x:v>
      </x:c>
      <x:c r="B64" s="37">
        <x:v>46296.0</x:v>
      </x:c>
      <x:c r="C64" s="36" t="s">
        <x:v>128</x:v>
      </x:c>
      <x:c r="D64" s="36" t="s">
        <x:v>128</x:v>
      </x:c>
      <x:c r="E64" s="36" t="s">
        <x:v>19</x:v>
      </x:c>
      <x:c r="F64" s="38" t="s">
        <x:v>21</x:v>
      </x:c>
      <x:c r="G64" s="36" t="s">
        <x:v>21</x:v>
      </x:c>
      <x:c r="H64" s="38" t="s">
        <x:v>21</x:v>
      </x:c>
      <x:c r="I64" s="38" t="s">
        <x:v>21</x:v>
      </x:c>
      <x:c r="J64" s="39">
        <x:v>329000.0</x:v>
      </x:c>
      <x:c r="K64" s="39">
        <x:v>4.0</x:v>
      </x:c>
      <x:c r="L64" s="7" t="s">
        <x:v>44</x:v>
      </x:c>
      <x:c r="M64" s="7" t="s">
        <x:v>23</x:v>
      </x:c>
      <x:c r="N64" s="7" t="s">
        <x:v>185</x:v>
      </x:c>
      <x:c r="O64" s="40">
        <x:v>46296.646527777775</x:v>
      </x:c>
      <x:c r="P64" s="7" t="s">
        <x:v>132</x:v>
      </x:c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4"/>
      <x:c r="B65" s="44"/>
      <x:c r="C65" s="44"/>
      <x:c r="D65" s="44"/>
      <x:c r="E65" s="44"/>
      <x:c r="F65" s="45"/>
      <x:c r="G65" s="44"/>
      <x:c r="H65" s="45"/>
      <x:c r="I65" s="45"/>
      <x:c r="J65" s="46"/>
      <x:c r="K65" s="46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4"/>
      <x:c r="B66" s="44"/>
      <x:c r="C66" s="44"/>
      <x:c r="D66" s="44"/>
      <x:c r="E66" s="44"/>
      <x:c r="F66" s="45"/>
      <x:c r="G66" s="44"/>
      <x:c r="H66" s="45"/>
      <x:c r="I66" s="45"/>
      <x:c r="J66" s="46"/>
      <x:c r="K66" s="46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4"/>
      <x:c r="B67" s="44"/>
      <x:c r="C67" s="44"/>
      <x:c r="D67" s="44"/>
      <x:c r="E67" s="44"/>
      <x:c r="F67" s="45"/>
      <x:c r="G67" s="44"/>
      <x:c r="H67" s="45"/>
      <x:c r="I67" s="45"/>
      <x:c r="J67" s="46"/>
      <x:c r="K67" s="46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4"/>
      <x:c r="B68" s="44"/>
      <x:c r="C68" s="44"/>
      <x:c r="D68" s="44"/>
      <x:c r="E68" s="44"/>
      <x:c r="F68" s="45"/>
      <x:c r="G68" s="44"/>
      <x:c r="H68" s="45"/>
      <x:c r="I68" s="45"/>
      <x:c r="J68" s="46"/>
      <x:c r="K68" s="46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4"/>
      <x:c r="B69" s="44"/>
      <x:c r="C69" s="44"/>
      <x:c r="D69" s="44"/>
      <x:c r="E69" s="44"/>
      <x:c r="F69" s="45"/>
      <x:c r="G69" s="44"/>
      <x:c r="H69" s="45"/>
      <x:c r="I69" s="45"/>
      <x:c r="J69" s="46"/>
      <x:c r="K69" s="46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4"/>
      <x:c r="B70" s="44"/>
      <x:c r="C70" s="44"/>
      <x:c r="D70" s="44"/>
      <x:c r="E70" s="44"/>
      <x:c r="F70" s="45"/>
      <x:c r="G70" s="44"/>
      <x:c r="H70" s="45"/>
      <x:c r="I70" s="45"/>
      <x:c r="J70" s="46"/>
      <x:c r="K70" s="46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4"/>
      <x:c r="B71" s="44"/>
      <x:c r="C71" s="44"/>
      <x:c r="D71" s="44"/>
      <x:c r="E71" s="44"/>
      <x:c r="F71" s="45"/>
      <x:c r="G71" s="44"/>
      <x:c r="H71" s="45"/>
      <x:c r="I71" s="45"/>
      <x:c r="J71" s="46"/>
      <x:c r="K71" s="46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4"/>
      <x:c r="B72" s="44"/>
      <x:c r="C72" s="44"/>
      <x:c r="D72" s="44"/>
      <x:c r="E72" s="44"/>
      <x:c r="F72" s="45"/>
      <x:c r="G72" s="44"/>
      <x:c r="H72" s="45"/>
      <x:c r="I72" s="45"/>
      <x:c r="J72" s="46"/>
      <x:c r="K72" s="46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4"/>
      <x:c r="B73" s="44"/>
      <x:c r="C73" s="44"/>
      <x:c r="D73" s="44"/>
      <x:c r="E73" s="44"/>
      <x:c r="F73" s="45"/>
      <x:c r="G73" s="44"/>
      <x:c r="H73" s="45"/>
      <x:c r="I73" s="45"/>
      <x:c r="J73" s="46"/>
      <x:c r="K73" s="46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4"/>
      <x:c r="B74" s="44"/>
      <x:c r="C74" s="44"/>
      <x:c r="D74" s="44"/>
      <x:c r="E74" s="44"/>
      <x:c r="F74" s="45"/>
      <x:c r="G74" s="44"/>
      <x:c r="H74" s="45"/>
      <x:c r="I74" s="45"/>
      <x:c r="J74" s="46"/>
      <x:c r="K74" s="46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4"/>
      <x:c r="B75" s="44"/>
      <x:c r="C75" s="44"/>
      <x:c r="D75" s="44"/>
      <x:c r="E75" s="44"/>
      <x:c r="F75" s="45"/>
      <x:c r="G75" s="44"/>
      <x:c r="H75" s="45"/>
      <x:c r="I75" s="45"/>
      <x:c r="J75" s="46"/>
      <x:c r="K75" s="46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4"/>
      <x:c r="B76" s="44"/>
      <x:c r="C76" s="44"/>
      <x:c r="D76" s="44"/>
      <x:c r="E76" s="44"/>
      <x:c r="F76" s="45"/>
      <x:c r="G76" s="44"/>
      <x:c r="H76" s="45"/>
      <x:c r="I76" s="45"/>
      <x:c r="J76" s="46"/>
      <x:c r="K76" s="46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4"/>
      <x:c r="B77" s="44"/>
      <x:c r="C77" s="44"/>
      <x:c r="D77" s="44"/>
      <x:c r="E77" s="44"/>
      <x:c r="F77" s="45"/>
      <x:c r="G77" s="44"/>
      <x:c r="H77" s="45"/>
      <x:c r="I77" s="45"/>
      <x:c r="J77" s="46"/>
      <x:c r="K77" s="46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4"/>
      <x:c r="B78" s="44"/>
      <x:c r="C78" s="44"/>
      <x:c r="D78" s="44"/>
      <x:c r="E78" s="44"/>
      <x:c r="F78" s="45"/>
      <x:c r="G78" s="44"/>
      <x:c r="H78" s="45"/>
      <x:c r="I78" s="45"/>
      <x:c r="J78" s="46"/>
      <x:c r="K78" s="46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4"/>
      <x:c r="B79" s="44"/>
      <x:c r="C79" s="44"/>
      <x:c r="D79" s="44"/>
      <x:c r="E79" s="44"/>
      <x:c r="F79" s="45"/>
      <x:c r="G79" s="44"/>
      <x:c r="H79" s="45"/>
      <x:c r="I79" s="45"/>
      <x:c r="J79" s="46"/>
      <x:c r="K79" s="46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4"/>
      <x:c r="B80" s="44"/>
      <x:c r="C80" s="44"/>
      <x:c r="D80" s="44"/>
      <x:c r="E80" s="44"/>
      <x:c r="F80" s="45"/>
      <x:c r="G80" s="44"/>
      <x:c r="H80" s="45"/>
      <x:c r="I80" s="45"/>
      <x:c r="J80" s="46"/>
      <x:c r="K80" s="46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4"/>
      <x:c r="B81" s="44"/>
      <x:c r="C81" s="44"/>
      <x:c r="D81" s="44"/>
      <x:c r="E81" s="44"/>
      <x:c r="F81" s="45"/>
      <x:c r="G81" s="44"/>
      <x:c r="H81" s="45"/>
      <x:c r="I81" s="45"/>
      <x:c r="J81" s="46"/>
      <x:c r="K81" s="46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4"/>
      <x:c r="B82" s="44"/>
      <x:c r="C82" s="44"/>
      <x:c r="D82" s="44"/>
      <x:c r="E82" s="44"/>
      <x:c r="F82" s="45"/>
      <x:c r="G82" s="44"/>
      <x:c r="H82" s="45"/>
      <x:c r="I82" s="45"/>
      <x:c r="J82" s="46"/>
      <x:c r="K82" s="46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4"/>
      <x:c r="B83" s="44"/>
      <x:c r="C83" s="44"/>
      <x:c r="D83" s="44"/>
      <x:c r="E83" s="44"/>
      <x:c r="F83" s="45"/>
      <x:c r="G83" s="44"/>
      <x:c r="H83" s="45"/>
      <x:c r="I83" s="45"/>
      <x:c r="J83" s="46"/>
      <x:c r="K83" s="46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4"/>
      <x:c r="B84" s="44"/>
      <x:c r="C84" s="44"/>
      <x:c r="D84" s="44"/>
      <x:c r="E84" s="44"/>
      <x:c r="F84" s="45"/>
      <x:c r="G84" s="44"/>
      <x:c r="H84" s="45"/>
      <x:c r="I84" s="45"/>
      <x:c r="J84" s="46"/>
      <x:c r="K84" s="46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4"/>
      <x:c r="B85" s="44"/>
      <x:c r="C85" s="44"/>
      <x:c r="D85" s="44"/>
      <x:c r="E85" s="44"/>
      <x:c r="F85" s="45"/>
      <x:c r="G85" s="44"/>
      <x:c r="H85" s="45"/>
      <x:c r="I85" s="45"/>
      <x:c r="J85" s="46"/>
      <x:c r="K85" s="46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4"/>
      <x:c r="B86" s="44"/>
      <x:c r="C86" s="44"/>
      <x:c r="D86" s="44"/>
      <x:c r="E86" s="44"/>
      <x:c r="F86" s="45"/>
      <x:c r="G86" s="44"/>
      <x:c r="H86" s="45"/>
      <x:c r="I86" s="45"/>
      <x:c r="J86" s="46"/>
      <x:c r="K86" s="46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4"/>
      <x:c r="B87" s="44"/>
      <x:c r="C87" s="44"/>
      <x:c r="D87" s="44"/>
      <x:c r="E87" s="44"/>
      <x:c r="F87" s="45"/>
      <x:c r="G87" s="44"/>
      <x:c r="H87" s="45"/>
      <x:c r="I87" s="45"/>
      <x:c r="J87" s="46"/>
      <x:c r="K87" s="46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4"/>
      <x:c r="B88" s="44"/>
      <x:c r="C88" s="44"/>
      <x:c r="D88" s="44"/>
      <x:c r="E88" s="44"/>
      <x:c r="F88" s="45"/>
      <x:c r="G88" s="44"/>
      <x:c r="H88" s="45"/>
      <x:c r="I88" s="45"/>
      <x:c r="J88" s="46"/>
      <x:c r="K88" s="46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4"/>
      <x:c r="B89" s="44"/>
      <x:c r="C89" s="44"/>
      <x:c r="D89" s="44"/>
      <x:c r="E89" s="44"/>
      <x:c r="F89" s="45"/>
      <x:c r="G89" s="44"/>
      <x:c r="H89" s="45"/>
      <x:c r="I89" s="45"/>
      <x:c r="J89" s="46"/>
      <x:c r="K89" s="46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4"/>
      <x:c r="B90" s="44"/>
      <x:c r="C90" s="44"/>
      <x:c r="D90" s="44"/>
      <x:c r="E90" s="44"/>
      <x:c r="F90" s="45"/>
      <x:c r="G90" s="44"/>
      <x:c r="H90" s="45"/>
      <x:c r="I90" s="45"/>
      <x:c r="J90" s="46"/>
      <x:c r="K90" s="46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4"/>
      <x:c r="B91" s="44"/>
      <x:c r="C91" s="44"/>
      <x:c r="D91" s="44"/>
      <x:c r="E91" s="44"/>
      <x:c r="F91" s="45"/>
      <x:c r="G91" s="44"/>
      <x:c r="H91" s="45"/>
      <x:c r="I91" s="45"/>
      <x:c r="J91" s="46"/>
      <x:c r="K91" s="46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4"/>
      <x:c r="B92" s="44"/>
      <x:c r="C92" s="44"/>
      <x:c r="D92" s="44"/>
      <x:c r="E92" s="44"/>
      <x:c r="F92" s="45"/>
      <x:c r="G92" s="44"/>
      <x:c r="H92" s="45"/>
      <x:c r="I92" s="45"/>
      <x:c r="J92" s="46"/>
      <x:c r="K92" s="46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4"/>
      <x:c r="B93" s="44"/>
      <x:c r="C93" s="44"/>
      <x:c r="D93" s="44"/>
      <x:c r="E93" s="44"/>
      <x:c r="F93" s="45"/>
      <x:c r="G93" s="44"/>
      <x:c r="H93" s="45"/>
      <x:c r="I93" s="45"/>
      <x:c r="J93" s="46"/>
      <x:c r="K93" s="46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4"/>
      <x:c r="B94" s="44"/>
      <x:c r="C94" s="44"/>
      <x:c r="D94" s="44"/>
      <x:c r="E94" s="44"/>
      <x:c r="F94" s="45"/>
      <x:c r="G94" s="44"/>
      <x:c r="H94" s="45"/>
      <x:c r="I94" s="45"/>
      <x:c r="J94" s="46"/>
      <x:c r="K94" s="46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4"/>
      <x:c r="B95" s="44"/>
      <x:c r="C95" s="44"/>
      <x:c r="D95" s="44"/>
      <x:c r="E95" s="44"/>
      <x:c r="F95" s="45"/>
      <x:c r="G95" s="44"/>
      <x:c r="H95" s="45"/>
      <x:c r="I95" s="45"/>
      <x:c r="J95" s="46"/>
      <x:c r="K95" s="46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4"/>
      <x:c r="B96" s="44"/>
      <x:c r="C96" s="44"/>
      <x:c r="D96" s="44"/>
      <x:c r="E96" s="44"/>
      <x:c r="F96" s="45"/>
      <x:c r="G96" s="44"/>
      <x:c r="H96" s="45"/>
      <x:c r="I96" s="45"/>
      <x:c r="J96" s="46"/>
      <x:c r="K96" s="46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4"/>
      <x:c r="B97" s="44"/>
      <x:c r="C97" s="44"/>
      <x:c r="D97" s="44"/>
      <x:c r="E97" s="44"/>
      <x:c r="F97" s="45"/>
      <x:c r="G97" s="44"/>
      <x:c r="H97" s="45"/>
      <x:c r="I97" s="45"/>
      <x:c r="J97" s="46"/>
      <x:c r="K97" s="46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4"/>
      <x:c r="B98" s="44"/>
      <x:c r="C98" s="44"/>
      <x:c r="D98" s="44"/>
      <x:c r="E98" s="44"/>
      <x:c r="F98" s="45"/>
      <x:c r="G98" s="44"/>
      <x:c r="H98" s="45"/>
      <x:c r="I98" s="45"/>
      <x:c r="J98" s="46"/>
      <x:c r="K98" s="46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4"/>
      <x:c r="B99" s="44"/>
      <x:c r="C99" s="44"/>
      <x:c r="D99" s="44"/>
      <x:c r="E99" s="44"/>
      <x:c r="F99" s="45"/>
      <x:c r="G99" s="44"/>
      <x:c r="H99" s="45"/>
      <x:c r="I99" s="45"/>
      <x:c r="J99" s="46"/>
      <x:c r="K99" s="46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4"/>
      <x:c r="B100" s="44"/>
      <x:c r="C100" s="44"/>
      <x:c r="D100" s="44"/>
      <x:c r="E100" s="44"/>
      <x:c r="F100" s="45"/>
      <x:c r="G100" s="44"/>
      <x:c r="H100" s="45"/>
      <x:c r="I100" s="45"/>
      <x:c r="J100" s="46"/>
      <x:c r="K100" s="46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4"/>
      <x:c r="B101" s="44"/>
      <x:c r="C101" s="44"/>
      <x:c r="D101" s="44"/>
      <x:c r="E101" s="44"/>
      <x:c r="F101" s="45"/>
      <x:c r="G101" s="44"/>
      <x:c r="H101" s="45"/>
      <x:c r="I101" s="45"/>
      <x:c r="J101" s="46"/>
      <x:c r="K101" s="46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4"/>
      <x:c r="B102" s="44"/>
      <x:c r="C102" s="44"/>
      <x:c r="D102" s="44"/>
      <x:c r="E102" s="44"/>
      <x:c r="F102" s="45"/>
      <x:c r="G102" s="44"/>
      <x:c r="H102" s="45"/>
      <x:c r="I102" s="45"/>
      <x:c r="J102" s="46"/>
      <x:c r="K102" s="46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4"/>
      <x:c r="B103" s="44"/>
      <x:c r="C103" s="44"/>
      <x:c r="D103" s="44"/>
      <x:c r="E103" s="44"/>
      <x:c r="F103" s="45"/>
      <x:c r="G103" s="44"/>
      <x:c r="H103" s="45"/>
      <x:c r="I103" s="45"/>
      <x:c r="J103" s="46"/>
      <x:c r="K103" s="46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4"/>
      <x:c r="B104" s="44"/>
      <x:c r="C104" s="44"/>
      <x:c r="D104" s="44"/>
      <x:c r="E104" s="44"/>
      <x:c r="F104" s="45"/>
      <x:c r="G104" s="44"/>
      <x:c r="H104" s="45"/>
      <x:c r="I104" s="45"/>
      <x:c r="J104" s="46"/>
      <x:c r="K104" s="46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4"/>
      <x:c r="B105" s="44"/>
      <x:c r="C105" s="44"/>
      <x:c r="D105" s="44"/>
      <x:c r="E105" s="44"/>
      <x:c r="F105" s="45"/>
      <x:c r="G105" s="44"/>
      <x:c r="H105" s="45"/>
      <x:c r="I105" s="45"/>
      <x:c r="J105" s="46"/>
      <x:c r="K105" s="46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4"/>
      <x:c r="B106" s="44"/>
      <x:c r="C106" s="44"/>
      <x:c r="D106" s="44"/>
      <x:c r="E106" s="44"/>
      <x:c r="F106" s="45"/>
      <x:c r="G106" s="44"/>
      <x:c r="H106" s="45"/>
      <x:c r="I106" s="45"/>
      <x:c r="J106" s="46"/>
      <x:c r="K106" s="46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4"/>
      <x:c r="B107" s="44"/>
      <x:c r="C107" s="44"/>
      <x:c r="D107" s="44"/>
      <x:c r="E107" s="44"/>
      <x:c r="F107" s="45"/>
      <x:c r="G107" s="44"/>
      <x:c r="H107" s="45"/>
      <x:c r="I107" s="45"/>
      <x:c r="J107" s="46"/>
      <x:c r="K107" s="46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4"/>
      <x:c r="B108" s="44"/>
      <x:c r="C108" s="44"/>
      <x:c r="D108" s="44"/>
      <x:c r="E108" s="44"/>
      <x:c r="F108" s="45"/>
      <x:c r="G108" s="44"/>
      <x:c r="H108" s="45"/>
      <x:c r="I108" s="45"/>
      <x:c r="J108" s="46"/>
      <x:c r="K108" s="46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4"/>
      <x:c r="B109" s="44"/>
      <x:c r="C109" s="44"/>
      <x:c r="D109" s="44"/>
      <x:c r="E109" s="44"/>
      <x:c r="F109" s="45"/>
      <x:c r="G109" s="44"/>
      <x:c r="H109" s="45"/>
      <x:c r="I109" s="45"/>
      <x:c r="J109" s="46"/>
      <x:c r="K109" s="46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4"/>
      <x:c r="B110" s="44"/>
      <x:c r="C110" s="44"/>
      <x:c r="D110" s="44"/>
      <x:c r="E110" s="44"/>
      <x:c r="F110" s="45"/>
      <x:c r="G110" s="44"/>
      <x:c r="H110" s="45"/>
      <x:c r="I110" s="45"/>
      <x:c r="J110" s="46"/>
      <x:c r="K110" s="46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4"/>
      <x:c r="B111" s="44"/>
      <x:c r="C111" s="44"/>
      <x:c r="D111" s="44"/>
      <x:c r="E111" s="44"/>
      <x:c r="F111" s="45"/>
      <x:c r="G111" s="44"/>
      <x:c r="H111" s="45"/>
      <x:c r="I111" s="45"/>
      <x:c r="J111" s="46"/>
      <x:c r="K111" s="46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4"/>
      <x:c r="B112" s="44"/>
      <x:c r="C112" s="44"/>
      <x:c r="D112" s="44"/>
      <x:c r="E112" s="44"/>
      <x:c r="F112" s="45"/>
      <x:c r="G112" s="44"/>
      <x:c r="H112" s="45"/>
      <x:c r="I112" s="45"/>
      <x:c r="J112" s="46"/>
      <x:c r="K112" s="46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4"/>
      <x:c r="B113" s="44"/>
      <x:c r="C113" s="44"/>
      <x:c r="D113" s="44"/>
      <x:c r="E113" s="44"/>
      <x:c r="F113" s="45"/>
      <x:c r="G113" s="44"/>
      <x:c r="H113" s="45"/>
      <x:c r="I113" s="45"/>
      <x:c r="J113" s="46"/>
      <x:c r="K113" s="46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4"/>
      <x:c r="B114" s="44"/>
      <x:c r="C114" s="44"/>
      <x:c r="D114" s="44"/>
      <x:c r="E114" s="44"/>
      <x:c r="F114" s="45"/>
      <x:c r="G114" s="44"/>
      <x:c r="H114" s="45"/>
      <x:c r="I114" s="45"/>
      <x:c r="J114" s="46"/>
      <x:c r="K114" s="46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4"/>
      <x:c r="B115" s="44"/>
      <x:c r="C115" s="44"/>
      <x:c r="D115" s="44"/>
      <x:c r="E115" s="44"/>
      <x:c r="F115" s="45"/>
      <x:c r="G115" s="44"/>
      <x:c r="H115" s="45"/>
      <x:c r="I115" s="45"/>
      <x:c r="J115" s="46"/>
      <x:c r="K115" s="46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4"/>
      <x:c r="B116" s="44"/>
      <x:c r="C116" s="44"/>
      <x:c r="D116" s="44"/>
      <x:c r="E116" s="44"/>
      <x:c r="F116" s="45"/>
      <x:c r="G116" s="44"/>
      <x:c r="H116" s="45"/>
      <x:c r="I116" s="45"/>
      <x:c r="J116" s="46"/>
      <x:c r="K116" s="46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4"/>
      <x:c r="B117" s="44"/>
      <x:c r="C117" s="44"/>
      <x:c r="D117" s="44"/>
      <x:c r="E117" s="44"/>
      <x:c r="F117" s="45"/>
      <x:c r="G117" s="44"/>
      <x:c r="H117" s="45"/>
      <x:c r="I117" s="45"/>
      <x:c r="J117" s="46"/>
      <x:c r="K117" s="46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4"/>
      <x:c r="B118" s="44"/>
      <x:c r="C118" s="44"/>
      <x:c r="D118" s="44"/>
      <x:c r="E118" s="44"/>
      <x:c r="F118" s="45"/>
      <x:c r="G118" s="44"/>
      <x:c r="H118" s="45"/>
      <x:c r="I118" s="45"/>
      <x:c r="J118" s="46"/>
      <x:c r="K118" s="46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4"/>
      <x:c r="B119" s="44"/>
      <x:c r="C119" s="44"/>
      <x:c r="D119" s="44"/>
      <x:c r="E119" s="44"/>
      <x:c r="F119" s="45"/>
      <x:c r="G119" s="44"/>
      <x:c r="H119" s="45"/>
      <x:c r="I119" s="45"/>
      <x:c r="J119" s="46"/>
      <x:c r="K119" s="46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4"/>
      <x:c r="B120" s="44"/>
      <x:c r="C120" s="44"/>
      <x:c r="D120" s="44"/>
      <x:c r="E120" s="44"/>
      <x:c r="F120" s="45"/>
      <x:c r="G120" s="44"/>
      <x:c r="H120" s="45"/>
      <x:c r="I120" s="45"/>
      <x:c r="J120" s="46"/>
      <x:c r="K120" s="46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4"/>
      <x:c r="B121" s="44"/>
      <x:c r="C121" s="44"/>
      <x:c r="D121" s="44"/>
      <x:c r="E121" s="44"/>
      <x:c r="F121" s="45"/>
      <x:c r="G121" s="44"/>
      <x:c r="H121" s="45"/>
      <x:c r="I121" s="45"/>
      <x:c r="J121" s="46"/>
      <x:c r="K121" s="46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4"/>
      <x:c r="B122" s="44"/>
      <x:c r="C122" s="44"/>
      <x:c r="D122" s="44"/>
      <x:c r="E122" s="44"/>
      <x:c r="F122" s="45"/>
      <x:c r="G122" s="44"/>
      <x:c r="H122" s="45"/>
      <x:c r="I122" s="45"/>
      <x:c r="J122" s="46"/>
      <x:c r="K122" s="46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4"/>
      <x:c r="B123" s="44"/>
      <x:c r="C123" s="44"/>
      <x:c r="D123" s="44"/>
      <x:c r="E123" s="44"/>
      <x:c r="F123" s="45"/>
      <x:c r="G123" s="44"/>
      <x:c r="H123" s="45"/>
      <x:c r="I123" s="45"/>
      <x:c r="J123" s="46"/>
      <x:c r="K123" s="46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4"/>
      <x:c r="B124" s="44"/>
      <x:c r="C124" s="44"/>
      <x:c r="D124" s="44"/>
      <x:c r="E124" s="44"/>
      <x:c r="F124" s="45"/>
      <x:c r="G124" s="44"/>
      <x:c r="H124" s="45"/>
      <x:c r="I124" s="45"/>
      <x:c r="J124" s="46"/>
      <x:c r="K124" s="46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4"/>
      <x:c r="B125" s="44"/>
      <x:c r="C125" s="44"/>
      <x:c r="D125" s="44"/>
      <x:c r="E125" s="44"/>
      <x:c r="F125" s="45"/>
      <x:c r="G125" s="44"/>
      <x:c r="H125" s="45"/>
      <x:c r="I125" s="45"/>
      <x:c r="J125" s="46"/>
      <x:c r="K125" s="46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4"/>
      <x:c r="B126" s="44"/>
      <x:c r="C126" s="44"/>
      <x:c r="D126" s="44"/>
      <x:c r="E126" s="44"/>
      <x:c r="F126" s="45"/>
      <x:c r="G126" s="44"/>
      <x:c r="H126" s="45"/>
      <x:c r="I126" s="45"/>
      <x:c r="J126" s="46"/>
      <x:c r="K126" s="46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4"/>
      <x:c r="B127" s="44"/>
      <x:c r="C127" s="44"/>
      <x:c r="D127" s="44"/>
      <x:c r="E127" s="44"/>
      <x:c r="F127" s="45"/>
      <x:c r="G127" s="44"/>
      <x:c r="H127" s="45"/>
      <x:c r="I127" s="45"/>
      <x:c r="J127" s="46"/>
      <x:c r="K127" s="46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4"/>
      <x:c r="B128" s="44"/>
      <x:c r="C128" s="44"/>
      <x:c r="D128" s="44"/>
      <x:c r="E128" s="44"/>
      <x:c r="F128" s="45"/>
      <x:c r="G128" s="44"/>
      <x:c r="H128" s="45"/>
      <x:c r="I128" s="45"/>
      <x:c r="J128" s="46"/>
      <x:c r="K128" s="46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4"/>
      <x:c r="B129" s="44"/>
      <x:c r="C129" s="44"/>
      <x:c r="D129" s="44"/>
      <x:c r="E129" s="44"/>
      <x:c r="F129" s="45"/>
      <x:c r="G129" s="44"/>
      <x:c r="H129" s="45"/>
      <x:c r="I129" s="45"/>
      <x:c r="J129" s="46"/>
      <x:c r="K129" s="46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4"/>
      <x:c r="B130" s="44"/>
      <x:c r="C130" s="44"/>
      <x:c r="D130" s="44"/>
      <x:c r="E130" s="44"/>
      <x:c r="F130" s="45"/>
      <x:c r="G130" s="44"/>
      <x:c r="H130" s="45"/>
      <x:c r="I130" s="45"/>
      <x:c r="J130" s="46"/>
      <x:c r="K130" s="46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4"/>
      <x:c r="B131" s="44"/>
      <x:c r="C131" s="44"/>
      <x:c r="D131" s="44"/>
      <x:c r="E131" s="44"/>
      <x:c r="F131" s="45"/>
      <x:c r="G131" s="44"/>
      <x:c r="H131" s="45"/>
      <x:c r="I131" s="45"/>
      <x:c r="J131" s="46"/>
      <x:c r="K131" s="46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4"/>
      <x:c r="B132" s="44"/>
      <x:c r="C132" s="44"/>
      <x:c r="D132" s="44"/>
      <x:c r="E132" s="44"/>
      <x:c r="F132" s="45"/>
      <x:c r="G132" s="44"/>
      <x:c r="H132" s="45"/>
      <x:c r="I132" s="45"/>
      <x:c r="J132" s="46"/>
      <x:c r="K132" s="46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4"/>
      <x:c r="B133" s="44"/>
      <x:c r="C133" s="44"/>
      <x:c r="D133" s="44"/>
      <x:c r="E133" s="44"/>
      <x:c r="F133" s="45"/>
      <x:c r="G133" s="44"/>
      <x:c r="H133" s="45"/>
      <x:c r="I133" s="45"/>
      <x:c r="J133" s="46"/>
      <x:c r="K133" s="46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4"/>
      <x:c r="B134" s="44"/>
      <x:c r="C134" s="44"/>
      <x:c r="D134" s="44"/>
      <x:c r="E134" s="44"/>
      <x:c r="F134" s="45"/>
      <x:c r="G134" s="44"/>
      <x:c r="H134" s="45"/>
      <x:c r="I134" s="45"/>
      <x:c r="J134" s="46"/>
      <x:c r="K134" s="46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4"/>
      <x:c r="B135" s="44"/>
      <x:c r="C135" s="44"/>
      <x:c r="D135" s="44"/>
      <x:c r="E135" s="44"/>
      <x:c r="F135" s="45"/>
      <x:c r="G135" s="44"/>
      <x:c r="H135" s="45"/>
      <x:c r="I135" s="45"/>
      <x:c r="J135" s="46"/>
      <x:c r="K135" s="46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4"/>
      <x:c r="B136" s="44"/>
      <x:c r="C136" s="44"/>
      <x:c r="D136" s="44"/>
      <x:c r="E136" s="44"/>
      <x:c r="F136" s="45"/>
      <x:c r="G136" s="44"/>
      <x:c r="H136" s="45"/>
      <x:c r="I136" s="45"/>
      <x:c r="J136" s="46"/>
      <x:c r="K136" s="46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4"/>
      <x:c r="B137" s="44"/>
      <x:c r="C137" s="44"/>
      <x:c r="D137" s="44"/>
      <x:c r="E137" s="44"/>
      <x:c r="F137" s="45"/>
      <x:c r="G137" s="44"/>
      <x:c r="H137" s="45"/>
      <x:c r="I137" s="45"/>
      <x:c r="J137" s="46"/>
      <x:c r="K137" s="46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4"/>
      <x:c r="B138" s="44"/>
      <x:c r="C138" s="44"/>
      <x:c r="D138" s="44"/>
      <x:c r="E138" s="44"/>
      <x:c r="F138" s="45"/>
      <x:c r="G138" s="44"/>
      <x:c r="H138" s="45"/>
      <x:c r="I138" s="45"/>
      <x:c r="J138" s="46"/>
      <x:c r="K138" s="46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4"/>
      <x:c r="B139" s="44"/>
      <x:c r="C139" s="44"/>
      <x:c r="D139" s="44"/>
      <x:c r="E139" s="44"/>
      <x:c r="F139" s="45"/>
      <x:c r="G139" s="44"/>
      <x:c r="H139" s="45"/>
      <x:c r="I139" s="45"/>
      <x:c r="J139" s="46"/>
      <x:c r="K139" s="46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4"/>
      <x:c r="B140" s="44"/>
      <x:c r="C140" s="44"/>
      <x:c r="D140" s="44"/>
      <x:c r="E140" s="44"/>
      <x:c r="F140" s="45"/>
      <x:c r="G140" s="44"/>
      <x:c r="H140" s="45"/>
      <x:c r="I140" s="45"/>
      <x:c r="J140" s="46"/>
      <x:c r="K140" s="46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4"/>
      <x:c r="B141" s="44"/>
      <x:c r="C141" s="44"/>
      <x:c r="D141" s="44"/>
      <x:c r="E141" s="44"/>
      <x:c r="F141" s="45"/>
      <x:c r="G141" s="44"/>
      <x:c r="H141" s="45"/>
      <x:c r="I141" s="45"/>
      <x:c r="J141" s="46"/>
      <x:c r="K141" s="46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4"/>
      <x:c r="B142" s="44"/>
      <x:c r="C142" s="44"/>
      <x:c r="D142" s="44"/>
      <x:c r="E142" s="44"/>
      <x:c r="F142" s="45"/>
      <x:c r="G142" s="44"/>
      <x:c r="H142" s="45"/>
      <x:c r="I142" s="45"/>
      <x:c r="J142" s="46"/>
      <x:c r="K142" s="46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4"/>
      <x:c r="B143" s="44"/>
      <x:c r="C143" s="44"/>
      <x:c r="D143" s="44"/>
      <x:c r="E143" s="44"/>
      <x:c r="F143" s="45"/>
      <x:c r="G143" s="44"/>
      <x:c r="H143" s="45"/>
      <x:c r="I143" s="45"/>
      <x:c r="J143" s="46"/>
      <x:c r="K143" s="46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4"/>
      <x:c r="B144" s="44"/>
      <x:c r="C144" s="44"/>
      <x:c r="D144" s="44"/>
      <x:c r="E144" s="44"/>
      <x:c r="F144" s="45"/>
      <x:c r="G144" s="44"/>
      <x:c r="H144" s="45"/>
      <x:c r="I144" s="45"/>
      <x:c r="J144" s="46"/>
      <x:c r="K144" s="46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4"/>
      <x:c r="B145" s="44"/>
      <x:c r="C145" s="44"/>
      <x:c r="D145" s="44"/>
      <x:c r="E145" s="44"/>
      <x:c r="F145" s="45"/>
      <x:c r="G145" s="44"/>
      <x:c r="H145" s="45"/>
      <x:c r="I145" s="45"/>
      <x:c r="J145" s="46"/>
      <x:c r="K145" s="46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4"/>
      <x:c r="B146" s="44"/>
      <x:c r="C146" s="44"/>
      <x:c r="D146" s="44"/>
      <x:c r="E146" s="44"/>
      <x:c r="F146" s="45"/>
      <x:c r="G146" s="44"/>
      <x:c r="H146" s="45"/>
      <x:c r="I146" s="45"/>
      <x:c r="J146" s="46"/>
      <x:c r="K146" s="46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4"/>
      <x:c r="B147" s="44"/>
      <x:c r="C147" s="44"/>
      <x:c r="D147" s="44"/>
      <x:c r="E147" s="44"/>
      <x:c r="F147" s="45"/>
      <x:c r="G147" s="44"/>
      <x:c r="H147" s="45"/>
      <x:c r="I147" s="45"/>
      <x:c r="J147" s="46"/>
      <x:c r="K147" s="46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4"/>
      <x:c r="B148" s="44"/>
      <x:c r="C148" s="44"/>
      <x:c r="D148" s="44"/>
      <x:c r="E148" s="44"/>
      <x:c r="F148" s="45"/>
      <x:c r="G148" s="44"/>
      <x:c r="H148" s="45"/>
      <x:c r="I148" s="45"/>
      <x:c r="J148" s="46"/>
      <x:c r="K148" s="46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4"/>
      <x:c r="B149" s="44"/>
      <x:c r="C149" s="44"/>
      <x:c r="D149" s="44"/>
      <x:c r="E149" s="44"/>
      <x:c r="F149" s="45"/>
      <x:c r="G149" s="44"/>
      <x:c r="H149" s="45"/>
      <x:c r="I149" s="45"/>
      <x:c r="J149" s="46"/>
      <x:c r="K149" s="46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4"/>
      <x:c r="B150" s="44"/>
      <x:c r="C150" s="44"/>
      <x:c r="D150" s="44"/>
      <x:c r="E150" s="44"/>
      <x:c r="F150" s="45"/>
      <x:c r="G150" s="44"/>
      <x:c r="H150" s="45"/>
      <x:c r="I150" s="45"/>
      <x:c r="J150" s="46"/>
      <x:c r="K150" s="46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4"/>
      <x:c r="B151" s="44"/>
      <x:c r="C151" s="44"/>
      <x:c r="D151" s="44"/>
      <x:c r="E151" s="44"/>
      <x:c r="F151" s="45"/>
      <x:c r="G151" s="44"/>
      <x:c r="H151" s="45"/>
      <x:c r="I151" s="45"/>
      <x:c r="J151" s="46"/>
      <x:c r="K151" s="46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4"/>
      <x:c r="B152" s="44"/>
      <x:c r="C152" s="44"/>
      <x:c r="D152" s="44"/>
      <x:c r="E152" s="44"/>
      <x:c r="F152" s="45"/>
      <x:c r="G152" s="44"/>
      <x:c r="H152" s="45"/>
      <x:c r="I152" s="45"/>
      <x:c r="J152" s="46"/>
      <x:c r="K152" s="46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4"/>
      <x:c r="B153" s="44"/>
      <x:c r="C153" s="44"/>
      <x:c r="D153" s="44"/>
      <x:c r="E153" s="44"/>
      <x:c r="F153" s="45"/>
      <x:c r="G153" s="44"/>
      <x:c r="H153" s="45"/>
      <x:c r="I153" s="45"/>
      <x:c r="J153" s="46"/>
      <x:c r="K153" s="46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4"/>
      <x:c r="B154" s="44"/>
      <x:c r="C154" s="44"/>
      <x:c r="D154" s="44"/>
      <x:c r="E154" s="44"/>
      <x:c r="F154" s="45"/>
      <x:c r="G154" s="44"/>
      <x:c r="H154" s="45"/>
      <x:c r="I154" s="45"/>
      <x:c r="J154" s="46"/>
      <x:c r="K154" s="46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4"/>
      <x:c r="B155" s="44"/>
      <x:c r="C155" s="44"/>
      <x:c r="D155" s="44"/>
      <x:c r="E155" s="44"/>
      <x:c r="F155" s="45"/>
      <x:c r="G155" s="44"/>
      <x:c r="H155" s="45"/>
      <x:c r="I155" s="45"/>
      <x:c r="J155" s="46"/>
      <x:c r="K155" s="46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4"/>
      <x:c r="B156" s="44"/>
      <x:c r="C156" s="44"/>
      <x:c r="D156" s="44"/>
      <x:c r="E156" s="44"/>
      <x:c r="F156" s="45"/>
      <x:c r="G156" s="44"/>
      <x:c r="H156" s="45"/>
      <x:c r="I156" s="45"/>
      <x:c r="J156" s="46"/>
      <x:c r="K156" s="46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4"/>
      <x:c r="B157" s="44"/>
      <x:c r="C157" s="44"/>
      <x:c r="D157" s="44"/>
      <x:c r="E157" s="44"/>
      <x:c r="F157" s="45"/>
      <x:c r="G157" s="44"/>
      <x:c r="H157" s="45"/>
      <x:c r="I157" s="45"/>
      <x:c r="J157" s="46"/>
      <x:c r="K157" s="46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4"/>
      <x:c r="B158" s="44"/>
      <x:c r="C158" s="44"/>
      <x:c r="D158" s="44"/>
      <x:c r="E158" s="44"/>
      <x:c r="F158" s="45"/>
      <x:c r="G158" s="44"/>
      <x:c r="H158" s="45"/>
      <x:c r="I158" s="45"/>
      <x:c r="J158" s="46"/>
      <x:c r="K158" s="46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4"/>
      <x:c r="B159" s="44"/>
      <x:c r="C159" s="44"/>
      <x:c r="D159" s="44"/>
      <x:c r="E159" s="44"/>
      <x:c r="F159" s="45"/>
      <x:c r="G159" s="44"/>
      <x:c r="H159" s="45"/>
      <x:c r="I159" s="45"/>
      <x:c r="J159" s="46"/>
      <x:c r="K159" s="46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4"/>
      <x:c r="B160" s="44"/>
      <x:c r="C160" s="44"/>
      <x:c r="D160" s="44"/>
      <x:c r="E160" s="44"/>
      <x:c r="F160" s="45"/>
      <x:c r="G160" s="44"/>
      <x:c r="H160" s="45"/>
      <x:c r="I160" s="45"/>
      <x:c r="J160" s="46"/>
      <x:c r="K160" s="46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4"/>
      <x:c r="B161" s="44"/>
      <x:c r="C161" s="44"/>
      <x:c r="D161" s="44"/>
      <x:c r="E161" s="44"/>
      <x:c r="F161" s="45"/>
      <x:c r="G161" s="44"/>
      <x:c r="H161" s="45"/>
      <x:c r="I161" s="45"/>
      <x:c r="J161" s="46"/>
      <x:c r="K161" s="46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4"/>
      <x:c r="B162" s="44"/>
      <x:c r="C162" s="44"/>
      <x:c r="D162" s="44"/>
      <x:c r="E162" s="44"/>
      <x:c r="F162" s="45"/>
      <x:c r="G162" s="44"/>
      <x:c r="H162" s="45"/>
      <x:c r="I162" s="45"/>
      <x:c r="J162" s="46"/>
      <x:c r="K162" s="46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4"/>
      <x:c r="B163" s="44"/>
      <x:c r="C163" s="44"/>
      <x:c r="D163" s="44"/>
      <x:c r="E163" s="44"/>
      <x:c r="F163" s="45"/>
      <x:c r="G163" s="44"/>
      <x:c r="H163" s="45"/>
      <x:c r="I163" s="45"/>
      <x:c r="J163" s="46"/>
      <x:c r="K163" s="46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4"/>
      <x:c r="B164" s="44"/>
      <x:c r="C164" s="44"/>
      <x:c r="D164" s="44"/>
      <x:c r="E164" s="44"/>
      <x:c r="F164" s="45"/>
      <x:c r="G164" s="44"/>
      <x:c r="H164" s="45"/>
      <x:c r="I164" s="45"/>
      <x:c r="J164" s="46"/>
      <x:c r="K164" s="46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4"/>
      <x:c r="B165" s="44"/>
      <x:c r="C165" s="44"/>
      <x:c r="D165" s="44"/>
      <x:c r="E165" s="44"/>
      <x:c r="F165" s="45"/>
      <x:c r="G165" s="44"/>
      <x:c r="H165" s="45"/>
      <x:c r="I165" s="45"/>
      <x:c r="J165" s="46"/>
      <x:c r="K165" s="46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4"/>
      <x:c r="B166" s="44"/>
      <x:c r="C166" s="44"/>
      <x:c r="D166" s="44"/>
      <x:c r="E166" s="44"/>
      <x:c r="F166" s="45"/>
      <x:c r="G166" s="44"/>
      <x:c r="H166" s="45"/>
      <x:c r="I166" s="45"/>
      <x:c r="J166" s="46"/>
      <x:c r="K166" s="46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4"/>
      <x:c r="B167" s="44"/>
      <x:c r="C167" s="44"/>
      <x:c r="D167" s="44"/>
      <x:c r="E167" s="44"/>
      <x:c r="F167" s="45"/>
      <x:c r="G167" s="44"/>
      <x:c r="H167" s="45"/>
      <x:c r="I167" s="45"/>
      <x:c r="J167" s="46"/>
      <x:c r="K167" s="46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4"/>
      <x:c r="B168" s="44"/>
      <x:c r="C168" s="44"/>
      <x:c r="D168" s="44"/>
      <x:c r="E168" s="44"/>
      <x:c r="F168" s="45"/>
      <x:c r="G168" s="44"/>
      <x:c r="H168" s="45"/>
      <x:c r="I168" s="45"/>
      <x:c r="J168" s="46"/>
      <x:c r="K168" s="46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4"/>
      <x:c r="B169" s="44"/>
      <x:c r="C169" s="44"/>
      <x:c r="D169" s="44"/>
      <x:c r="E169" s="44"/>
      <x:c r="F169" s="45"/>
      <x:c r="G169" s="44"/>
      <x:c r="H169" s="45"/>
      <x:c r="I169" s="45"/>
      <x:c r="J169" s="46"/>
      <x:c r="K169" s="46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4"/>
      <x:c r="B170" s="44"/>
      <x:c r="C170" s="44"/>
      <x:c r="D170" s="44"/>
      <x:c r="E170" s="44"/>
      <x:c r="F170" s="45"/>
      <x:c r="G170" s="44"/>
      <x:c r="H170" s="45"/>
      <x:c r="I170" s="45"/>
      <x:c r="J170" s="46"/>
      <x:c r="K170" s="46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4"/>
      <x:c r="B171" s="44"/>
      <x:c r="C171" s="44"/>
      <x:c r="D171" s="44"/>
      <x:c r="E171" s="44"/>
      <x:c r="F171" s="45"/>
      <x:c r="G171" s="44"/>
      <x:c r="H171" s="45"/>
      <x:c r="I171" s="45"/>
      <x:c r="J171" s="46"/>
      <x:c r="K171" s="46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4"/>
      <x:c r="B172" s="44"/>
      <x:c r="C172" s="44"/>
      <x:c r="D172" s="44"/>
      <x:c r="E172" s="44"/>
      <x:c r="F172" s="45"/>
      <x:c r="G172" s="44"/>
      <x:c r="H172" s="45"/>
      <x:c r="I172" s="45"/>
      <x:c r="J172" s="46"/>
      <x:c r="K172" s="46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4"/>
      <x:c r="B173" s="44"/>
      <x:c r="C173" s="44"/>
      <x:c r="D173" s="44"/>
      <x:c r="E173" s="44"/>
      <x:c r="F173" s="45"/>
      <x:c r="G173" s="44"/>
      <x:c r="H173" s="45"/>
      <x:c r="I173" s="45"/>
      <x:c r="J173" s="46"/>
      <x:c r="K173" s="46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4"/>
      <x:c r="B174" s="44"/>
      <x:c r="C174" s="44"/>
      <x:c r="D174" s="44"/>
      <x:c r="E174" s="44"/>
      <x:c r="F174" s="45"/>
      <x:c r="G174" s="44"/>
      <x:c r="H174" s="45"/>
      <x:c r="I174" s="45"/>
      <x:c r="J174" s="46"/>
      <x:c r="K174" s="46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4"/>
      <x:c r="B175" s="44"/>
      <x:c r="C175" s="44"/>
      <x:c r="D175" s="44"/>
      <x:c r="E175" s="44"/>
      <x:c r="F175" s="45"/>
      <x:c r="G175" s="44"/>
      <x:c r="H175" s="45"/>
      <x:c r="I175" s="45"/>
      <x:c r="J175" s="46"/>
      <x:c r="K175" s="46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4"/>
      <x:c r="B176" s="44"/>
      <x:c r="C176" s="44"/>
      <x:c r="D176" s="44"/>
      <x:c r="E176" s="44"/>
      <x:c r="F176" s="45"/>
      <x:c r="G176" s="44"/>
      <x:c r="H176" s="45"/>
      <x:c r="I176" s="45"/>
      <x:c r="J176" s="46"/>
      <x:c r="K176" s="46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4"/>
      <x:c r="B177" s="44"/>
      <x:c r="C177" s="44"/>
      <x:c r="D177" s="44"/>
      <x:c r="E177" s="44"/>
      <x:c r="F177" s="45"/>
      <x:c r="G177" s="44"/>
      <x:c r="H177" s="45"/>
      <x:c r="I177" s="45"/>
      <x:c r="J177" s="46"/>
      <x:c r="K177" s="46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4"/>
      <x:c r="B178" s="44"/>
      <x:c r="C178" s="44"/>
      <x:c r="D178" s="44"/>
      <x:c r="E178" s="44"/>
      <x:c r="F178" s="45"/>
      <x:c r="G178" s="44"/>
      <x:c r="H178" s="45"/>
      <x:c r="I178" s="45"/>
      <x:c r="J178" s="46"/>
      <x:c r="K178" s="46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4"/>
      <x:c r="B179" s="44"/>
      <x:c r="C179" s="44"/>
      <x:c r="D179" s="44"/>
      <x:c r="E179" s="44"/>
      <x:c r="F179" s="45"/>
      <x:c r="G179" s="44"/>
      <x:c r="H179" s="45"/>
      <x:c r="I179" s="45"/>
      <x:c r="J179" s="46"/>
      <x:c r="K179" s="46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4"/>
      <x:c r="B180" s="44"/>
      <x:c r="C180" s="44"/>
      <x:c r="D180" s="44"/>
      <x:c r="E180" s="44"/>
      <x:c r="F180" s="45"/>
      <x:c r="G180" s="44"/>
      <x:c r="H180" s="45"/>
      <x:c r="I180" s="45"/>
      <x:c r="J180" s="46"/>
      <x:c r="K180" s="46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4"/>
      <x:c r="B181" s="44"/>
      <x:c r="C181" s="44"/>
      <x:c r="D181" s="44"/>
      <x:c r="E181" s="44"/>
      <x:c r="F181" s="45"/>
      <x:c r="G181" s="44"/>
      <x:c r="H181" s="45"/>
      <x:c r="I181" s="45"/>
      <x:c r="J181" s="46"/>
      <x:c r="K181" s="46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4"/>
      <x:c r="B182" s="44"/>
      <x:c r="C182" s="44"/>
      <x:c r="D182" s="44"/>
      <x:c r="E182" s="44"/>
      <x:c r="F182" s="45"/>
      <x:c r="G182" s="44"/>
      <x:c r="H182" s="45"/>
      <x:c r="I182" s="45"/>
      <x:c r="J182" s="46"/>
      <x:c r="K182" s="46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4"/>
      <x:c r="B183" s="44"/>
      <x:c r="C183" s="44"/>
      <x:c r="D183" s="44"/>
      <x:c r="E183" s="44"/>
      <x:c r="F183" s="45"/>
      <x:c r="G183" s="44"/>
      <x:c r="H183" s="45"/>
      <x:c r="I183" s="45"/>
      <x:c r="J183" s="46"/>
      <x:c r="K183" s="46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4"/>
      <x:c r="B184" s="44"/>
      <x:c r="C184" s="44"/>
      <x:c r="D184" s="44"/>
      <x:c r="E184" s="44"/>
      <x:c r="F184" s="45"/>
      <x:c r="G184" s="44"/>
      <x:c r="H184" s="45"/>
      <x:c r="I184" s="45"/>
      <x:c r="J184" s="46"/>
      <x:c r="K184" s="46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4"/>
      <x:c r="B185" s="44"/>
      <x:c r="C185" s="44"/>
      <x:c r="D185" s="44"/>
      <x:c r="E185" s="44"/>
      <x:c r="F185" s="45"/>
      <x:c r="G185" s="44"/>
      <x:c r="H185" s="45"/>
      <x:c r="I185" s="45"/>
      <x:c r="J185" s="46"/>
      <x:c r="K185" s="46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4"/>
      <x:c r="B186" s="44"/>
      <x:c r="C186" s="44"/>
      <x:c r="D186" s="44"/>
      <x:c r="E186" s="44"/>
      <x:c r="F186" s="45"/>
      <x:c r="G186" s="44"/>
      <x:c r="H186" s="45"/>
      <x:c r="I186" s="45"/>
      <x:c r="J186" s="46"/>
      <x:c r="K186" s="46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4"/>
      <x:c r="B187" s="44"/>
      <x:c r="C187" s="44"/>
      <x:c r="D187" s="44"/>
      <x:c r="E187" s="44"/>
      <x:c r="F187" s="45"/>
      <x:c r="G187" s="44"/>
      <x:c r="H187" s="45"/>
      <x:c r="I187" s="45"/>
      <x:c r="J187" s="46"/>
      <x:c r="K187" s="46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4"/>
      <x:c r="B188" s="44"/>
      <x:c r="C188" s="44"/>
      <x:c r="D188" s="44"/>
      <x:c r="E188" s="44"/>
      <x:c r="F188" s="45"/>
      <x:c r="G188" s="44"/>
      <x:c r="H188" s="45"/>
      <x:c r="I188" s="45"/>
      <x:c r="J188" s="46"/>
      <x:c r="K188" s="46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4"/>
      <x:c r="B189" s="44"/>
      <x:c r="C189" s="44"/>
      <x:c r="D189" s="44"/>
      <x:c r="E189" s="44"/>
      <x:c r="F189" s="45"/>
      <x:c r="G189" s="44"/>
      <x:c r="H189" s="45"/>
      <x:c r="I189" s="45"/>
      <x:c r="J189" s="46"/>
      <x:c r="K189" s="46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4"/>
      <x:c r="B190" s="44"/>
      <x:c r="C190" s="44"/>
      <x:c r="D190" s="44"/>
      <x:c r="E190" s="44"/>
      <x:c r="F190" s="45"/>
      <x:c r="G190" s="44"/>
      <x:c r="H190" s="45"/>
      <x:c r="I190" s="45"/>
      <x:c r="J190" s="46"/>
      <x:c r="K190" s="46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4"/>
      <x:c r="B191" s="44"/>
      <x:c r="C191" s="44"/>
      <x:c r="D191" s="44"/>
      <x:c r="E191" s="44"/>
      <x:c r="F191" s="45"/>
      <x:c r="G191" s="44"/>
      <x:c r="H191" s="45"/>
      <x:c r="I191" s="45"/>
      <x:c r="J191" s="46"/>
      <x:c r="K191" s="46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4"/>
      <x:c r="B192" s="44"/>
      <x:c r="C192" s="44"/>
      <x:c r="D192" s="44"/>
      <x:c r="E192" s="44"/>
      <x:c r="F192" s="45"/>
      <x:c r="G192" s="44"/>
      <x:c r="H192" s="45"/>
      <x:c r="I192" s="45"/>
      <x:c r="J192" s="46"/>
      <x:c r="K192" s="46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4"/>
      <x:c r="B193" s="44"/>
      <x:c r="C193" s="44"/>
      <x:c r="D193" s="44"/>
      <x:c r="E193" s="44"/>
      <x:c r="F193" s="45"/>
      <x:c r="G193" s="44"/>
      <x:c r="H193" s="45"/>
      <x:c r="I193" s="45"/>
      <x:c r="J193" s="46"/>
      <x:c r="K193" s="46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4"/>
      <x:c r="B194" s="44"/>
      <x:c r="C194" s="44"/>
      <x:c r="D194" s="44"/>
      <x:c r="E194" s="44"/>
      <x:c r="F194" s="45"/>
      <x:c r="G194" s="44"/>
      <x:c r="H194" s="45"/>
      <x:c r="I194" s="45"/>
      <x:c r="J194" s="46"/>
      <x:c r="K194" s="46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4"/>
      <x:c r="B195" s="44"/>
      <x:c r="C195" s="44"/>
      <x:c r="D195" s="44"/>
      <x:c r="E195" s="44"/>
      <x:c r="F195" s="45"/>
      <x:c r="G195" s="44"/>
      <x:c r="H195" s="45"/>
      <x:c r="I195" s="45"/>
      <x:c r="J195" s="46"/>
      <x:c r="K195" s="46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4"/>
      <x:c r="B196" s="44"/>
      <x:c r="C196" s="44"/>
      <x:c r="D196" s="44"/>
      <x:c r="E196" s="44"/>
      <x:c r="F196" s="45"/>
      <x:c r="G196" s="44"/>
      <x:c r="H196" s="45"/>
      <x:c r="I196" s="45"/>
      <x:c r="J196" s="46"/>
      <x:c r="K196" s="46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4"/>
      <x:c r="B197" s="44"/>
      <x:c r="C197" s="44"/>
      <x:c r="D197" s="44"/>
      <x:c r="E197" s="44"/>
      <x:c r="F197" s="45"/>
      <x:c r="G197" s="44"/>
      <x:c r="H197" s="45"/>
      <x:c r="I197" s="45"/>
      <x:c r="J197" s="46"/>
      <x:c r="K197" s="46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4"/>
      <x:c r="B198" s="44"/>
      <x:c r="C198" s="44"/>
      <x:c r="D198" s="44"/>
      <x:c r="E198" s="44"/>
      <x:c r="F198" s="45"/>
      <x:c r="G198" s="44"/>
      <x:c r="H198" s="45"/>
      <x:c r="I198" s="45"/>
      <x:c r="J198" s="46"/>
      <x:c r="K198" s="46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4"/>
      <x:c r="B199" s="44"/>
      <x:c r="C199" s="44"/>
      <x:c r="D199" s="44"/>
      <x:c r="E199" s="44"/>
      <x:c r="F199" s="45"/>
      <x:c r="G199" s="44"/>
      <x:c r="H199" s="45"/>
      <x:c r="I199" s="45"/>
      <x:c r="J199" s="46"/>
      <x:c r="K199" s="46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4"/>
      <x:c r="B200" s="44"/>
      <x:c r="C200" s="44"/>
      <x:c r="D200" s="44"/>
      <x:c r="E200" s="44"/>
      <x:c r="F200" s="45"/>
      <x:c r="G200" s="44"/>
      <x:c r="H200" s="45"/>
      <x:c r="I200" s="45"/>
      <x:c r="J200" s="46"/>
      <x:c r="K200" s="46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4"/>
      <x:c r="B201" s="44"/>
      <x:c r="C201" s="44"/>
      <x:c r="D201" s="44"/>
      <x:c r="E201" s="44"/>
      <x:c r="F201" s="45"/>
      <x:c r="G201" s="44"/>
      <x:c r="H201" s="45"/>
      <x:c r="I201" s="45"/>
      <x:c r="J201" s="46"/>
      <x:c r="K201" s="46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4"/>
      <x:c r="B202" s="44"/>
      <x:c r="C202" s="44"/>
      <x:c r="D202" s="44"/>
      <x:c r="E202" s="44"/>
      <x:c r="F202" s="45"/>
      <x:c r="G202" s="44"/>
      <x:c r="H202" s="45"/>
      <x:c r="I202" s="45"/>
      <x:c r="J202" s="46"/>
      <x:c r="K202" s="46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4"/>
      <x:c r="B203" s="44"/>
      <x:c r="C203" s="44"/>
      <x:c r="D203" s="44"/>
      <x:c r="E203" s="44"/>
      <x:c r="F203" s="45"/>
      <x:c r="G203" s="44"/>
      <x:c r="H203" s="45"/>
      <x:c r="I203" s="45"/>
      <x:c r="J203" s="46"/>
      <x:c r="K203" s="46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4"/>
      <x:c r="B204" s="44"/>
      <x:c r="C204" s="44"/>
      <x:c r="D204" s="44"/>
      <x:c r="E204" s="44"/>
      <x:c r="F204" s="45"/>
      <x:c r="G204" s="44"/>
      <x:c r="H204" s="45"/>
      <x:c r="I204" s="45"/>
      <x:c r="J204" s="46"/>
      <x:c r="K204" s="46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4"/>
      <x:c r="B205" s="44"/>
      <x:c r="C205" s="44"/>
      <x:c r="D205" s="44"/>
      <x:c r="E205" s="44"/>
      <x:c r="F205" s="45"/>
      <x:c r="G205" s="44"/>
      <x:c r="H205" s="45"/>
      <x:c r="I205" s="45"/>
      <x:c r="J205" s="46"/>
      <x:c r="K205" s="46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4"/>
      <x:c r="B206" s="44"/>
      <x:c r="C206" s="44"/>
      <x:c r="D206" s="44"/>
      <x:c r="E206" s="44"/>
      <x:c r="F206" s="45"/>
      <x:c r="G206" s="44"/>
      <x:c r="H206" s="45"/>
      <x:c r="I206" s="45"/>
      <x:c r="J206" s="46"/>
      <x:c r="K206" s="46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4"/>
      <x:c r="B207" s="44"/>
      <x:c r="C207" s="44"/>
      <x:c r="D207" s="44"/>
      <x:c r="E207" s="44"/>
      <x:c r="F207" s="45"/>
      <x:c r="G207" s="44"/>
      <x:c r="H207" s="45"/>
      <x:c r="I207" s="45"/>
      <x:c r="J207" s="46"/>
      <x:c r="K207" s="46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4"/>
      <x:c r="B208" s="44"/>
      <x:c r="C208" s="44"/>
      <x:c r="D208" s="44"/>
      <x:c r="E208" s="44"/>
      <x:c r="F208" s="45"/>
      <x:c r="G208" s="44"/>
      <x:c r="H208" s="45"/>
      <x:c r="I208" s="45"/>
      <x:c r="J208" s="46"/>
      <x:c r="K208" s="46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4"/>
      <x:c r="B209" s="44"/>
      <x:c r="C209" s="44"/>
      <x:c r="D209" s="44"/>
      <x:c r="E209" s="44"/>
      <x:c r="F209" s="45"/>
      <x:c r="G209" s="44"/>
      <x:c r="H209" s="45"/>
      <x:c r="I209" s="45"/>
      <x:c r="J209" s="46"/>
      <x:c r="K209" s="46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4"/>
      <x:c r="B210" s="44"/>
      <x:c r="C210" s="44"/>
      <x:c r="D210" s="44"/>
      <x:c r="E210" s="44"/>
      <x:c r="F210" s="45"/>
      <x:c r="G210" s="44"/>
      <x:c r="H210" s="45"/>
      <x:c r="I210" s="45"/>
      <x:c r="J210" s="46"/>
      <x:c r="K210" s="46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4"/>
      <x:c r="B211" s="44"/>
      <x:c r="C211" s="44"/>
      <x:c r="D211" s="44"/>
      <x:c r="E211" s="44"/>
      <x:c r="F211" s="45"/>
      <x:c r="G211" s="44"/>
      <x:c r="H211" s="45"/>
      <x:c r="I211" s="45"/>
      <x:c r="J211" s="46"/>
      <x:c r="K211" s="46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4"/>
      <x:c r="B212" s="44"/>
      <x:c r="C212" s="44"/>
      <x:c r="D212" s="44"/>
      <x:c r="E212" s="44"/>
      <x:c r="F212" s="45"/>
      <x:c r="G212" s="44"/>
      <x:c r="H212" s="45"/>
      <x:c r="I212" s="45"/>
      <x:c r="J212" s="46"/>
      <x:c r="K212" s="46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4"/>
      <x:c r="B213" s="44"/>
      <x:c r="C213" s="44"/>
      <x:c r="D213" s="44"/>
      <x:c r="E213" s="44"/>
      <x:c r="F213" s="45"/>
      <x:c r="G213" s="44"/>
      <x:c r="H213" s="45"/>
      <x:c r="I213" s="45"/>
      <x:c r="J213" s="46"/>
      <x:c r="K213" s="46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4"/>
      <x:c r="B214" s="44"/>
      <x:c r="C214" s="44"/>
      <x:c r="D214" s="44"/>
      <x:c r="E214" s="44"/>
      <x:c r="F214" s="45"/>
      <x:c r="G214" s="44"/>
      <x:c r="H214" s="45"/>
      <x:c r="I214" s="45"/>
      <x:c r="J214" s="46"/>
      <x:c r="K214" s="46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4"/>
      <x:c r="B215" s="44"/>
      <x:c r="C215" s="44"/>
      <x:c r="D215" s="44"/>
      <x:c r="E215" s="44"/>
      <x:c r="F215" s="45"/>
      <x:c r="G215" s="44"/>
      <x:c r="H215" s="45"/>
      <x:c r="I215" s="45"/>
      <x:c r="J215" s="46"/>
      <x:c r="K215" s="46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4"/>
      <x:c r="B216" s="44"/>
      <x:c r="C216" s="44"/>
      <x:c r="D216" s="44"/>
      <x:c r="E216" s="44"/>
      <x:c r="F216" s="45"/>
      <x:c r="G216" s="44"/>
      <x:c r="H216" s="45"/>
      <x:c r="I216" s="45"/>
      <x:c r="J216" s="46"/>
      <x:c r="K216" s="46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4"/>
      <x:c r="B217" s="44"/>
      <x:c r="C217" s="44"/>
      <x:c r="D217" s="44"/>
      <x:c r="E217" s="44"/>
      <x:c r="F217" s="45"/>
      <x:c r="G217" s="44"/>
      <x:c r="H217" s="45"/>
      <x:c r="I217" s="45"/>
      <x:c r="J217" s="46"/>
      <x:c r="K217" s="46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4"/>
      <x:c r="B218" s="44"/>
      <x:c r="C218" s="44"/>
      <x:c r="D218" s="44"/>
      <x:c r="E218" s="44"/>
      <x:c r="F218" s="45"/>
      <x:c r="G218" s="44"/>
      <x:c r="H218" s="45"/>
      <x:c r="I218" s="45"/>
      <x:c r="J218" s="46"/>
      <x:c r="K218" s="46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4"/>
      <x:c r="B219" s="44"/>
      <x:c r="C219" s="44"/>
      <x:c r="D219" s="44"/>
      <x:c r="E219" s="44"/>
      <x:c r="F219" s="45"/>
      <x:c r="G219" s="44"/>
      <x:c r="H219" s="45"/>
      <x:c r="I219" s="45"/>
      <x:c r="J219" s="46"/>
      <x:c r="K219" s="46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4"/>
      <x:c r="B220" s="44"/>
      <x:c r="C220" s="44"/>
      <x:c r="D220" s="44"/>
      <x:c r="E220" s="44"/>
      <x:c r="F220" s="45"/>
      <x:c r="G220" s="44"/>
      <x:c r="H220" s="45"/>
      <x:c r="I220" s="45"/>
      <x:c r="J220" s="46"/>
      <x:c r="K220" s="46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4"/>
      <x:c r="B221" s="44"/>
      <x:c r="C221" s="44"/>
      <x:c r="D221" s="44"/>
      <x:c r="E221" s="44"/>
      <x:c r="F221" s="45"/>
      <x:c r="G221" s="44"/>
      <x:c r="H221" s="45"/>
      <x:c r="I221" s="45"/>
      <x:c r="J221" s="46"/>
      <x:c r="K221" s="46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4"/>
      <x:c r="B222" s="44"/>
      <x:c r="C222" s="44"/>
      <x:c r="D222" s="44"/>
      <x:c r="E222" s="44"/>
      <x:c r="F222" s="45"/>
      <x:c r="G222" s="44"/>
      <x:c r="H222" s="45"/>
      <x:c r="I222" s="45"/>
      <x:c r="J222" s="46"/>
      <x:c r="K222" s="46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4"/>
      <x:c r="B223" s="44"/>
      <x:c r="C223" s="44"/>
      <x:c r="D223" s="44"/>
      <x:c r="E223" s="44"/>
      <x:c r="F223" s="45"/>
      <x:c r="G223" s="44"/>
      <x:c r="H223" s="45"/>
      <x:c r="I223" s="45"/>
      <x:c r="J223" s="46"/>
      <x:c r="K223" s="46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4"/>
      <x:c r="B224" s="44"/>
      <x:c r="C224" s="44"/>
      <x:c r="D224" s="44"/>
      <x:c r="E224" s="44"/>
      <x:c r="F224" s="45"/>
      <x:c r="G224" s="44"/>
      <x:c r="H224" s="45"/>
      <x:c r="I224" s="45"/>
      <x:c r="J224" s="46"/>
      <x:c r="K224" s="46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4"/>
      <x:c r="B225" s="44"/>
      <x:c r="C225" s="44"/>
      <x:c r="D225" s="44"/>
      <x:c r="E225" s="44"/>
      <x:c r="F225" s="45"/>
      <x:c r="G225" s="44"/>
      <x:c r="H225" s="45"/>
      <x:c r="I225" s="45"/>
      <x:c r="J225" s="46"/>
      <x:c r="K225" s="46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4"/>
      <x:c r="B226" s="44"/>
      <x:c r="C226" s="44"/>
      <x:c r="D226" s="44"/>
      <x:c r="E226" s="44"/>
      <x:c r="F226" s="45"/>
      <x:c r="G226" s="44"/>
      <x:c r="H226" s="45"/>
      <x:c r="I226" s="45"/>
      <x:c r="J226" s="46"/>
      <x:c r="K226" s="46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4"/>
      <x:c r="B227" s="44"/>
      <x:c r="C227" s="44"/>
      <x:c r="D227" s="44"/>
      <x:c r="E227" s="44"/>
      <x:c r="F227" s="45"/>
      <x:c r="G227" s="44"/>
      <x:c r="H227" s="45"/>
      <x:c r="I227" s="45"/>
      <x:c r="J227" s="46"/>
      <x:c r="K227" s="46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4"/>
      <x:c r="B228" s="44"/>
      <x:c r="C228" s="44"/>
      <x:c r="D228" s="44"/>
      <x:c r="E228" s="44"/>
      <x:c r="F228" s="45"/>
      <x:c r="G228" s="44"/>
      <x:c r="H228" s="45"/>
      <x:c r="I228" s="45"/>
      <x:c r="J228" s="46"/>
      <x:c r="K228" s="46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4"/>
      <x:c r="B229" s="44"/>
      <x:c r="C229" s="44"/>
      <x:c r="D229" s="44"/>
      <x:c r="E229" s="44"/>
      <x:c r="F229" s="45"/>
      <x:c r="G229" s="44"/>
      <x:c r="H229" s="45"/>
      <x:c r="I229" s="45"/>
      <x:c r="J229" s="46"/>
      <x:c r="K229" s="46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4"/>
      <x:c r="B230" s="44"/>
      <x:c r="C230" s="44"/>
      <x:c r="D230" s="44"/>
      <x:c r="E230" s="44"/>
      <x:c r="F230" s="45"/>
      <x:c r="G230" s="44"/>
      <x:c r="H230" s="45"/>
      <x:c r="I230" s="45"/>
      <x:c r="J230" s="46"/>
      <x:c r="K230" s="46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4"/>
      <x:c r="B231" s="44"/>
      <x:c r="C231" s="44"/>
      <x:c r="D231" s="44"/>
      <x:c r="E231" s="44"/>
      <x:c r="F231" s="45"/>
      <x:c r="G231" s="44"/>
      <x:c r="H231" s="45"/>
      <x:c r="I231" s="45"/>
      <x:c r="J231" s="46"/>
      <x:c r="K231" s="46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4"/>
      <x:c r="B232" s="44"/>
      <x:c r="C232" s="44"/>
      <x:c r="D232" s="44"/>
      <x:c r="E232" s="44"/>
      <x:c r="F232" s="45"/>
      <x:c r="G232" s="44"/>
      <x:c r="H232" s="45"/>
      <x:c r="I232" s="45"/>
      <x:c r="J232" s="46"/>
      <x:c r="K232" s="46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4"/>
      <x:c r="B233" s="44"/>
      <x:c r="C233" s="44"/>
      <x:c r="D233" s="44"/>
      <x:c r="E233" s="44"/>
      <x:c r="F233" s="45"/>
      <x:c r="G233" s="44"/>
      <x:c r="H233" s="45"/>
      <x:c r="I233" s="45"/>
      <x:c r="J233" s="46"/>
      <x:c r="K233" s="46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4"/>
      <x:c r="B234" s="44"/>
      <x:c r="C234" s="44"/>
      <x:c r="D234" s="44"/>
      <x:c r="E234" s="44"/>
      <x:c r="F234" s="45"/>
      <x:c r="G234" s="44"/>
      <x:c r="H234" s="45"/>
      <x:c r="I234" s="45"/>
      <x:c r="J234" s="46"/>
      <x:c r="K234" s="46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4"/>
      <x:c r="B235" s="44"/>
      <x:c r="C235" s="44"/>
      <x:c r="D235" s="44"/>
      <x:c r="E235" s="44"/>
      <x:c r="F235" s="45"/>
      <x:c r="G235" s="44"/>
      <x:c r="H235" s="45"/>
      <x:c r="I235" s="45"/>
      <x:c r="J235" s="46"/>
      <x:c r="K235" s="46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4"/>
      <x:c r="B236" s="44"/>
      <x:c r="C236" s="44"/>
      <x:c r="D236" s="44"/>
      <x:c r="E236" s="44"/>
      <x:c r="F236" s="45"/>
      <x:c r="G236" s="44"/>
      <x:c r="H236" s="45"/>
      <x:c r="I236" s="45"/>
      <x:c r="J236" s="46"/>
      <x:c r="K236" s="46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4"/>
      <x:c r="B237" s="44"/>
      <x:c r="C237" s="44"/>
      <x:c r="D237" s="44"/>
      <x:c r="E237" s="44"/>
      <x:c r="F237" s="45"/>
      <x:c r="G237" s="44"/>
      <x:c r="H237" s="45"/>
      <x:c r="I237" s="45"/>
      <x:c r="J237" s="46"/>
      <x:c r="K237" s="46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4"/>
      <x:c r="B238" s="44"/>
      <x:c r="C238" s="44"/>
      <x:c r="D238" s="44"/>
      <x:c r="E238" s="44"/>
      <x:c r="F238" s="45"/>
      <x:c r="G238" s="44"/>
      <x:c r="H238" s="45"/>
      <x:c r="I238" s="45"/>
      <x:c r="J238" s="46"/>
      <x:c r="K238" s="46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4"/>
      <x:c r="B239" s="44"/>
      <x:c r="C239" s="44"/>
      <x:c r="D239" s="44"/>
      <x:c r="E239" s="44"/>
      <x:c r="F239" s="45"/>
      <x:c r="G239" s="44"/>
      <x:c r="H239" s="45"/>
      <x:c r="I239" s="45"/>
      <x:c r="J239" s="46"/>
      <x:c r="K239" s="46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4"/>
      <x:c r="B240" s="44"/>
      <x:c r="C240" s="44"/>
      <x:c r="D240" s="44"/>
      <x:c r="E240" s="44"/>
      <x:c r="F240" s="45"/>
      <x:c r="G240" s="44"/>
      <x:c r="H240" s="45"/>
      <x:c r="I240" s="45"/>
      <x:c r="J240" s="46"/>
      <x:c r="K240" s="46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4"/>
      <x:c r="B241" s="44"/>
      <x:c r="C241" s="44"/>
      <x:c r="D241" s="44"/>
      <x:c r="E241" s="44"/>
      <x:c r="F241" s="45"/>
      <x:c r="G241" s="44"/>
      <x:c r="H241" s="45"/>
      <x:c r="I241" s="45"/>
      <x:c r="J241" s="46"/>
      <x:c r="K241" s="46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4"/>
      <x:c r="B242" s="44"/>
      <x:c r="C242" s="44"/>
      <x:c r="D242" s="44"/>
      <x:c r="E242" s="44"/>
      <x:c r="F242" s="45"/>
      <x:c r="G242" s="44"/>
      <x:c r="H242" s="45"/>
      <x:c r="I242" s="45"/>
      <x:c r="J242" s="46"/>
      <x:c r="K242" s="46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4"/>
      <x:c r="B243" s="44"/>
      <x:c r="C243" s="44"/>
      <x:c r="D243" s="44"/>
      <x:c r="E243" s="44"/>
      <x:c r="F243" s="45"/>
      <x:c r="G243" s="44"/>
      <x:c r="H243" s="45"/>
      <x:c r="I243" s="45"/>
      <x:c r="J243" s="46"/>
      <x:c r="K243" s="46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4"/>
      <x:c r="B244" s="44"/>
      <x:c r="C244" s="44"/>
      <x:c r="D244" s="44"/>
      <x:c r="E244" s="44"/>
      <x:c r="F244" s="45"/>
      <x:c r="G244" s="44"/>
      <x:c r="H244" s="45"/>
      <x:c r="I244" s="45"/>
      <x:c r="J244" s="46"/>
      <x:c r="K244" s="46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4"/>
      <x:c r="B245" s="44"/>
      <x:c r="C245" s="44"/>
      <x:c r="D245" s="44"/>
      <x:c r="E245" s="44"/>
      <x:c r="F245" s="45"/>
      <x:c r="G245" s="44"/>
      <x:c r="H245" s="45"/>
      <x:c r="I245" s="45"/>
      <x:c r="J245" s="46"/>
      <x:c r="K245" s="46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4"/>
      <x:c r="B246" s="44"/>
      <x:c r="C246" s="44"/>
      <x:c r="D246" s="44"/>
      <x:c r="E246" s="44"/>
      <x:c r="F246" s="45"/>
      <x:c r="G246" s="44"/>
      <x:c r="H246" s="45"/>
      <x:c r="I246" s="45"/>
      <x:c r="J246" s="46"/>
      <x:c r="K246" s="46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4"/>
      <x:c r="B247" s="44"/>
      <x:c r="C247" s="44"/>
      <x:c r="D247" s="44"/>
      <x:c r="E247" s="44"/>
      <x:c r="F247" s="45"/>
      <x:c r="G247" s="44"/>
      <x:c r="H247" s="45"/>
      <x:c r="I247" s="45"/>
      <x:c r="J247" s="46"/>
      <x:c r="K247" s="46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4"/>
      <x:c r="B248" s="44"/>
      <x:c r="C248" s="44"/>
      <x:c r="D248" s="44"/>
      <x:c r="E248" s="44"/>
      <x:c r="F248" s="45"/>
      <x:c r="G248" s="44"/>
      <x:c r="H248" s="45"/>
      <x:c r="I248" s="45"/>
      <x:c r="J248" s="46"/>
      <x:c r="K248" s="46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4"/>
      <x:c r="B249" s="44"/>
      <x:c r="C249" s="44"/>
      <x:c r="D249" s="44"/>
      <x:c r="E249" s="44"/>
      <x:c r="F249" s="45"/>
      <x:c r="G249" s="44"/>
      <x:c r="H249" s="45"/>
      <x:c r="I249" s="45"/>
      <x:c r="J249" s="46"/>
      <x:c r="K249" s="46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4"/>
      <x:c r="B250" s="44"/>
      <x:c r="C250" s="44"/>
      <x:c r="D250" s="44"/>
      <x:c r="E250" s="44"/>
      <x:c r="F250" s="45"/>
      <x:c r="G250" s="44"/>
      <x:c r="H250" s="45"/>
      <x:c r="I250" s="45"/>
      <x:c r="J250" s="46"/>
      <x:c r="K250" s="46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4"/>
      <x:c r="B251" s="44"/>
      <x:c r="C251" s="44"/>
      <x:c r="D251" s="44"/>
      <x:c r="E251" s="44"/>
      <x:c r="F251" s="45"/>
      <x:c r="G251" s="44"/>
      <x:c r="H251" s="45"/>
      <x:c r="I251" s="45"/>
      <x:c r="J251" s="46"/>
      <x:c r="K251" s="46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4"/>
      <x:c r="B252" s="44"/>
      <x:c r="C252" s="44"/>
      <x:c r="D252" s="44"/>
      <x:c r="E252" s="44"/>
      <x:c r="F252" s="45"/>
      <x:c r="G252" s="44"/>
      <x:c r="H252" s="45"/>
      <x:c r="I252" s="45"/>
      <x:c r="J252" s="46"/>
      <x:c r="K252" s="46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4"/>
      <x:c r="B253" s="44"/>
      <x:c r="C253" s="44"/>
      <x:c r="D253" s="44"/>
      <x:c r="E253" s="44"/>
      <x:c r="F253" s="45"/>
      <x:c r="G253" s="44"/>
      <x:c r="H253" s="45"/>
      <x:c r="I253" s="45"/>
      <x:c r="J253" s="46"/>
      <x:c r="K253" s="46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4"/>
      <x:c r="B254" s="44"/>
      <x:c r="C254" s="44"/>
      <x:c r="D254" s="44"/>
      <x:c r="E254" s="44"/>
      <x:c r="F254" s="45"/>
      <x:c r="G254" s="44"/>
      <x:c r="H254" s="45"/>
      <x:c r="I254" s="45"/>
      <x:c r="J254" s="46"/>
      <x:c r="K254" s="46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4"/>
      <x:c r="B255" s="44"/>
      <x:c r="C255" s="44"/>
      <x:c r="D255" s="44"/>
      <x:c r="E255" s="44"/>
      <x:c r="F255" s="45"/>
      <x:c r="G255" s="44"/>
      <x:c r="H255" s="45"/>
      <x:c r="I255" s="45"/>
      <x:c r="J255" s="46"/>
      <x:c r="K255" s="46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4"/>
      <x:c r="B256" s="44"/>
      <x:c r="C256" s="44"/>
      <x:c r="D256" s="44"/>
      <x:c r="E256" s="44"/>
      <x:c r="F256" s="45"/>
      <x:c r="G256" s="44"/>
      <x:c r="H256" s="45"/>
      <x:c r="I256" s="45"/>
      <x:c r="J256" s="46"/>
      <x:c r="K256" s="46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4"/>
      <x:c r="B257" s="44"/>
      <x:c r="C257" s="44"/>
      <x:c r="D257" s="44"/>
      <x:c r="E257" s="44"/>
      <x:c r="F257" s="45"/>
      <x:c r="G257" s="44"/>
      <x:c r="H257" s="45"/>
      <x:c r="I257" s="45"/>
      <x:c r="J257" s="46"/>
      <x:c r="K257" s="46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4"/>
      <x:c r="B258" s="44"/>
      <x:c r="C258" s="44"/>
      <x:c r="D258" s="44"/>
      <x:c r="E258" s="44"/>
      <x:c r="F258" s="45"/>
      <x:c r="G258" s="44"/>
      <x:c r="H258" s="45"/>
      <x:c r="I258" s="45"/>
      <x:c r="J258" s="46"/>
      <x:c r="K258" s="46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4"/>
      <x:c r="B259" s="44"/>
      <x:c r="C259" s="44"/>
      <x:c r="D259" s="44"/>
      <x:c r="E259" s="44"/>
      <x:c r="F259" s="45"/>
      <x:c r="G259" s="44"/>
      <x:c r="H259" s="45"/>
      <x:c r="I259" s="45"/>
      <x:c r="J259" s="46"/>
      <x:c r="K259" s="46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4"/>
      <x:c r="B260" s="44"/>
      <x:c r="C260" s="44"/>
      <x:c r="D260" s="44"/>
      <x:c r="E260" s="44"/>
      <x:c r="F260" s="45"/>
      <x:c r="G260" s="44"/>
      <x:c r="H260" s="45"/>
      <x:c r="I260" s="45"/>
      <x:c r="J260" s="46"/>
      <x:c r="K260" s="46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4"/>
      <x:c r="B261" s="44"/>
      <x:c r="C261" s="44"/>
      <x:c r="D261" s="44"/>
      <x:c r="E261" s="44"/>
      <x:c r="F261" s="45"/>
      <x:c r="G261" s="44"/>
      <x:c r="H261" s="45"/>
      <x:c r="I261" s="45"/>
      <x:c r="J261" s="46"/>
      <x:c r="K261" s="46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4"/>
      <x:c r="B262" s="44"/>
      <x:c r="C262" s="44"/>
      <x:c r="D262" s="44"/>
      <x:c r="E262" s="44"/>
      <x:c r="F262" s="45"/>
      <x:c r="G262" s="44"/>
      <x:c r="H262" s="45"/>
      <x:c r="I262" s="45"/>
      <x:c r="J262" s="46"/>
      <x:c r="K262" s="46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4"/>
      <x:c r="B263" s="44"/>
      <x:c r="C263" s="44"/>
      <x:c r="D263" s="44"/>
      <x:c r="E263" s="44"/>
      <x:c r="F263" s="45"/>
      <x:c r="G263" s="44"/>
      <x:c r="H263" s="45"/>
      <x:c r="I263" s="45"/>
      <x:c r="J263" s="46"/>
      <x:c r="K263" s="46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4"/>
      <x:c r="B264" s="44"/>
      <x:c r="C264" s="44"/>
      <x:c r="D264" s="44"/>
      <x:c r="E264" s="44"/>
      <x:c r="F264" s="45"/>
      <x:c r="G264" s="44"/>
      <x:c r="H264" s="45"/>
      <x:c r="I264" s="45"/>
      <x:c r="J264" s="46"/>
      <x:c r="K264" s="46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4"/>
      <x:c r="B265" s="44"/>
      <x:c r="C265" s="44"/>
      <x:c r="D265" s="44"/>
      <x:c r="E265" s="44"/>
      <x:c r="F265" s="45"/>
      <x:c r="G265" s="44"/>
      <x:c r="H265" s="45"/>
      <x:c r="I265" s="45"/>
      <x:c r="J265" s="46"/>
      <x:c r="K265" s="46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4"/>
      <x:c r="B266" s="44"/>
      <x:c r="C266" s="44"/>
      <x:c r="D266" s="44"/>
      <x:c r="E266" s="44"/>
      <x:c r="F266" s="45"/>
      <x:c r="G266" s="44"/>
      <x:c r="H266" s="45"/>
      <x:c r="I266" s="45"/>
      <x:c r="J266" s="46"/>
      <x:c r="K266" s="46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4"/>
      <x:c r="B267" s="44"/>
      <x:c r="C267" s="44"/>
      <x:c r="D267" s="44"/>
      <x:c r="E267" s="44"/>
      <x:c r="F267" s="45"/>
      <x:c r="G267" s="44"/>
      <x:c r="H267" s="45"/>
      <x:c r="I267" s="45"/>
      <x:c r="J267" s="46"/>
      <x:c r="K267" s="46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4"/>
      <x:c r="B268" s="44"/>
      <x:c r="C268" s="44"/>
      <x:c r="D268" s="44"/>
      <x:c r="E268" s="44"/>
      <x:c r="F268" s="45"/>
      <x:c r="G268" s="44"/>
      <x:c r="H268" s="45"/>
      <x:c r="I268" s="45"/>
      <x:c r="J268" s="46"/>
      <x:c r="K268" s="46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4"/>
      <x:c r="B269" s="44"/>
      <x:c r="C269" s="44"/>
      <x:c r="D269" s="44"/>
      <x:c r="E269" s="44"/>
      <x:c r="F269" s="45"/>
      <x:c r="G269" s="44"/>
      <x:c r="H269" s="45"/>
      <x:c r="I269" s="45"/>
      <x:c r="J269" s="46"/>
      <x:c r="K269" s="46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4"/>
      <x:c r="B270" s="44"/>
      <x:c r="C270" s="44"/>
      <x:c r="D270" s="44"/>
      <x:c r="E270" s="44"/>
      <x:c r="F270" s="45"/>
      <x:c r="G270" s="44"/>
      <x:c r="H270" s="45"/>
      <x:c r="I270" s="45"/>
      <x:c r="J270" s="46"/>
      <x:c r="K270" s="46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4"/>
      <x:c r="B271" s="44"/>
      <x:c r="C271" s="44"/>
      <x:c r="D271" s="44"/>
      <x:c r="E271" s="44"/>
      <x:c r="F271" s="45"/>
      <x:c r="G271" s="44"/>
      <x:c r="H271" s="45"/>
      <x:c r="I271" s="45"/>
      <x:c r="J271" s="46"/>
      <x:c r="K271" s="46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4"/>
      <x:c r="B272" s="44"/>
      <x:c r="C272" s="44"/>
      <x:c r="D272" s="44"/>
      <x:c r="E272" s="44"/>
      <x:c r="F272" s="45"/>
      <x:c r="G272" s="44"/>
      <x:c r="H272" s="45"/>
      <x:c r="I272" s="45"/>
      <x:c r="J272" s="46"/>
      <x:c r="K272" s="46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4"/>
      <x:c r="B273" s="44"/>
      <x:c r="C273" s="44"/>
      <x:c r="D273" s="44"/>
      <x:c r="E273" s="44"/>
      <x:c r="F273" s="45"/>
      <x:c r="G273" s="44"/>
      <x:c r="H273" s="45"/>
      <x:c r="I273" s="45"/>
      <x:c r="J273" s="46"/>
      <x:c r="K273" s="46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4"/>
      <x:c r="B274" s="44"/>
      <x:c r="C274" s="44"/>
      <x:c r="D274" s="44"/>
      <x:c r="E274" s="44"/>
      <x:c r="F274" s="45"/>
      <x:c r="G274" s="44"/>
      <x:c r="H274" s="45"/>
      <x:c r="I274" s="45"/>
      <x:c r="J274" s="46"/>
      <x:c r="K274" s="46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4"/>
      <x:c r="B275" s="44"/>
      <x:c r="C275" s="44"/>
      <x:c r="D275" s="44"/>
      <x:c r="E275" s="44"/>
      <x:c r="F275" s="45"/>
      <x:c r="G275" s="44"/>
      <x:c r="H275" s="45"/>
      <x:c r="I275" s="45"/>
      <x:c r="J275" s="46"/>
      <x:c r="K275" s="46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4"/>
      <x:c r="B276" s="44"/>
      <x:c r="C276" s="44"/>
      <x:c r="D276" s="44"/>
      <x:c r="E276" s="44"/>
      <x:c r="F276" s="45"/>
      <x:c r="G276" s="44"/>
      <x:c r="H276" s="45"/>
      <x:c r="I276" s="45"/>
      <x:c r="J276" s="46"/>
      <x:c r="K276" s="46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4"/>
      <x:c r="B277" s="44"/>
      <x:c r="C277" s="44"/>
      <x:c r="D277" s="44"/>
      <x:c r="E277" s="44"/>
      <x:c r="F277" s="45"/>
      <x:c r="G277" s="44"/>
      <x:c r="H277" s="45"/>
      <x:c r="I277" s="45"/>
      <x:c r="J277" s="46"/>
      <x:c r="K277" s="46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4"/>
      <x:c r="B278" s="44"/>
      <x:c r="C278" s="44"/>
      <x:c r="D278" s="44"/>
      <x:c r="E278" s="44"/>
      <x:c r="F278" s="45"/>
      <x:c r="G278" s="44"/>
      <x:c r="H278" s="45"/>
      <x:c r="I278" s="45"/>
      <x:c r="J278" s="46"/>
      <x:c r="K278" s="46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4"/>
      <x:c r="B279" s="44"/>
      <x:c r="C279" s="44"/>
      <x:c r="D279" s="44"/>
      <x:c r="E279" s="44"/>
      <x:c r="F279" s="45"/>
      <x:c r="G279" s="44"/>
      <x:c r="H279" s="45"/>
      <x:c r="I279" s="45"/>
      <x:c r="J279" s="46"/>
      <x:c r="K279" s="46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4"/>
      <x:c r="B280" s="44"/>
      <x:c r="C280" s="44"/>
      <x:c r="D280" s="44"/>
      <x:c r="E280" s="44"/>
      <x:c r="F280" s="45"/>
      <x:c r="G280" s="44"/>
      <x:c r="H280" s="45"/>
      <x:c r="I280" s="45"/>
      <x:c r="J280" s="46"/>
      <x:c r="K280" s="46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4"/>
      <x:c r="B281" s="44"/>
      <x:c r="C281" s="44"/>
      <x:c r="D281" s="44"/>
      <x:c r="E281" s="44"/>
      <x:c r="F281" s="45"/>
      <x:c r="G281" s="44"/>
      <x:c r="H281" s="45"/>
      <x:c r="I281" s="45"/>
      <x:c r="J281" s="46"/>
      <x:c r="K281" s="46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4"/>
      <x:c r="B282" s="44"/>
      <x:c r="C282" s="44"/>
      <x:c r="D282" s="44"/>
      <x:c r="E282" s="44"/>
      <x:c r="F282" s="45"/>
      <x:c r="G282" s="44"/>
      <x:c r="H282" s="45"/>
      <x:c r="I282" s="45"/>
      <x:c r="J282" s="46"/>
      <x:c r="K282" s="46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4"/>
      <x:c r="B283" s="44"/>
      <x:c r="C283" s="44"/>
      <x:c r="D283" s="44"/>
      <x:c r="E283" s="44"/>
      <x:c r="F283" s="45"/>
      <x:c r="G283" s="44"/>
      <x:c r="H283" s="45"/>
      <x:c r="I283" s="45"/>
      <x:c r="J283" s="46"/>
      <x:c r="K283" s="46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4"/>
      <x:c r="B284" s="44"/>
      <x:c r="C284" s="44"/>
      <x:c r="D284" s="44"/>
      <x:c r="E284" s="44"/>
      <x:c r="F284" s="45"/>
      <x:c r="G284" s="44"/>
      <x:c r="H284" s="45"/>
      <x:c r="I284" s="45"/>
      <x:c r="J284" s="46"/>
      <x:c r="K284" s="46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4"/>
      <x:c r="B285" s="44"/>
      <x:c r="C285" s="44"/>
      <x:c r="D285" s="44"/>
      <x:c r="E285" s="44"/>
      <x:c r="F285" s="45"/>
      <x:c r="G285" s="44"/>
      <x:c r="H285" s="45"/>
      <x:c r="I285" s="45"/>
      <x:c r="J285" s="46"/>
      <x:c r="K285" s="46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4"/>
      <x:c r="B286" s="44"/>
      <x:c r="C286" s="44"/>
      <x:c r="D286" s="44"/>
      <x:c r="E286" s="44"/>
      <x:c r="F286" s="45"/>
      <x:c r="G286" s="44"/>
      <x:c r="H286" s="45"/>
      <x:c r="I286" s="45"/>
      <x:c r="J286" s="46"/>
      <x:c r="K286" s="46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4"/>
      <x:c r="B287" s="44"/>
      <x:c r="C287" s="44"/>
      <x:c r="D287" s="44"/>
      <x:c r="E287" s="44"/>
      <x:c r="F287" s="45"/>
      <x:c r="G287" s="44"/>
      <x:c r="H287" s="45"/>
      <x:c r="I287" s="45"/>
      <x:c r="J287" s="46"/>
      <x:c r="K287" s="46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4"/>
      <x:c r="B288" s="44"/>
      <x:c r="C288" s="44"/>
      <x:c r="D288" s="44"/>
      <x:c r="E288" s="44"/>
      <x:c r="F288" s="45"/>
      <x:c r="G288" s="44"/>
      <x:c r="H288" s="45"/>
      <x:c r="I288" s="45"/>
      <x:c r="J288" s="46"/>
      <x:c r="K288" s="46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4"/>
      <x:c r="B289" s="44"/>
      <x:c r="C289" s="44"/>
      <x:c r="D289" s="44"/>
      <x:c r="E289" s="44"/>
      <x:c r="F289" s="45"/>
      <x:c r="G289" s="44"/>
      <x:c r="H289" s="45"/>
      <x:c r="I289" s="45"/>
      <x:c r="J289" s="46"/>
      <x:c r="K289" s="46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4"/>
      <x:c r="B290" s="44"/>
      <x:c r="C290" s="44"/>
      <x:c r="D290" s="44"/>
      <x:c r="E290" s="44"/>
      <x:c r="F290" s="45"/>
      <x:c r="G290" s="44"/>
      <x:c r="H290" s="45"/>
      <x:c r="I290" s="45"/>
      <x:c r="J290" s="46"/>
      <x:c r="K290" s="46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4"/>
      <x:c r="B291" s="44"/>
      <x:c r="C291" s="44"/>
      <x:c r="D291" s="44"/>
      <x:c r="E291" s="44"/>
      <x:c r="F291" s="45"/>
      <x:c r="G291" s="44"/>
      <x:c r="H291" s="45"/>
      <x:c r="I291" s="45"/>
      <x:c r="J291" s="46"/>
      <x:c r="K291" s="46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4"/>
      <x:c r="B292" s="44"/>
      <x:c r="C292" s="44"/>
      <x:c r="D292" s="44"/>
      <x:c r="E292" s="44"/>
      <x:c r="F292" s="45"/>
      <x:c r="G292" s="44"/>
      <x:c r="H292" s="45"/>
      <x:c r="I292" s="45"/>
      <x:c r="J292" s="46"/>
      <x:c r="K292" s="46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4"/>
      <x:c r="B293" s="44"/>
      <x:c r="C293" s="44"/>
      <x:c r="D293" s="44"/>
      <x:c r="E293" s="44"/>
      <x:c r="F293" s="45"/>
      <x:c r="G293" s="44"/>
      <x:c r="H293" s="45"/>
      <x:c r="I293" s="45"/>
      <x:c r="J293" s="46"/>
      <x:c r="K293" s="46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4"/>
      <x:c r="B294" s="44"/>
      <x:c r="C294" s="44"/>
      <x:c r="D294" s="44"/>
      <x:c r="E294" s="44"/>
      <x:c r="F294" s="45"/>
      <x:c r="G294" s="44"/>
      <x:c r="H294" s="45"/>
      <x:c r="I294" s="45"/>
      <x:c r="J294" s="46"/>
      <x:c r="K294" s="46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4"/>
      <x:c r="B295" s="44"/>
      <x:c r="C295" s="44"/>
      <x:c r="D295" s="44"/>
      <x:c r="E295" s="44"/>
      <x:c r="F295" s="45"/>
      <x:c r="G295" s="44"/>
      <x:c r="H295" s="45"/>
      <x:c r="I295" s="45"/>
      <x:c r="J295" s="46"/>
      <x:c r="K295" s="46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4"/>
      <x:c r="B296" s="44"/>
      <x:c r="C296" s="44"/>
      <x:c r="D296" s="44"/>
      <x:c r="E296" s="44"/>
      <x:c r="F296" s="45"/>
      <x:c r="G296" s="44"/>
      <x:c r="H296" s="45"/>
      <x:c r="I296" s="45"/>
      <x:c r="J296" s="46"/>
      <x:c r="K296" s="46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4"/>
      <x:c r="B297" s="44"/>
      <x:c r="C297" s="44"/>
      <x:c r="D297" s="44"/>
      <x:c r="E297" s="44"/>
      <x:c r="F297" s="45"/>
      <x:c r="G297" s="44"/>
      <x:c r="H297" s="45"/>
      <x:c r="I297" s="45"/>
      <x:c r="J297" s="46"/>
      <x:c r="K297" s="46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4"/>
      <x:c r="B298" s="44"/>
      <x:c r="C298" s="44"/>
      <x:c r="D298" s="44"/>
      <x:c r="E298" s="44"/>
      <x:c r="F298" s="45"/>
      <x:c r="G298" s="44"/>
      <x:c r="H298" s="45"/>
      <x:c r="I298" s="45"/>
      <x:c r="J298" s="46"/>
      <x:c r="K298" s="46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4"/>
      <x:c r="B299" s="44"/>
      <x:c r="C299" s="44"/>
      <x:c r="D299" s="44"/>
      <x:c r="E299" s="44"/>
      <x:c r="F299" s="45"/>
      <x:c r="G299" s="44"/>
      <x:c r="H299" s="45"/>
      <x:c r="I299" s="45"/>
      <x:c r="J299" s="46"/>
      <x:c r="K299" s="46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4"/>
      <x:c r="B300" s="44"/>
      <x:c r="C300" s="44"/>
      <x:c r="D300" s="44"/>
      <x:c r="E300" s="44"/>
      <x:c r="F300" s="45"/>
      <x:c r="G300" s="44"/>
      <x:c r="H300" s="45"/>
      <x:c r="I300" s="45"/>
      <x:c r="J300" s="46"/>
      <x:c r="K300" s="46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  <x:row r="301">
      <x:c r="A301" s="44"/>
      <x:c r="B301" s="44"/>
      <x:c r="C301" s="44"/>
      <x:c r="D301" s="44"/>
      <x:c r="E301" s="44"/>
      <x:c r="F301" s="45"/>
      <x:c r="G301" s="44"/>
      <x:c r="H301" s="45"/>
      <x:c r="I301" s="45"/>
      <x:c r="J301" s="46"/>
      <x:c r="K301" s="46"/>
      <x:c r="L301" s="41"/>
      <x:c r="M301" s="41"/>
      <x:c r="N301" s="41"/>
      <x:c r="O301" s="41"/>
      <x:c r="P301" s="41"/>
      <x:c r="Q301" s="41"/>
      <x:c r="R301" s="41"/>
      <x:c r="S301" s="41"/>
      <x:c r="T301" s="41"/>
      <x:c r="U301" s="41"/>
      <x:c r="V301" s="41"/>
      <x:c r="W301" s="41"/>
      <x:c r="X301" s="41"/>
      <x:c r="Y301" s="41"/>
      <x:c r="Z301" s="41"/>
    </x:row>
    <x:row r="302">
      <x:c r="A302" s="44"/>
      <x:c r="B302" s="44"/>
      <x:c r="C302" s="44"/>
      <x:c r="D302" s="44"/>
      <x:c r="E302" s="44"/>
      <x:c r="F302" s="45"/>
      <x:c r="G302" s="44"/>
      <x:c r="H302" s="45"/>
      <x:c r="I302" s="45"/>
      <x:c r="J302" s="46"/>
      <x:c r="K302" s="46"/>
      <x:c r="L302" s="41"/>
      <x:c r="M302" s="41"/>
      <x:c r="N302" s="41"/>
      <x:c r="O302" s="41"/>
      <x:c r="P302" s="41"/>
      <x:c r="Q302" s="41"/>
      <x:c r="R302" s="41"/>
      <x:c r="S302" s="41"/>
      <x:c r="T302" s="41"/>
      <x:c r="U302" s="41"/>
      <x:c r="V302" s="41"/>
      <x:c r="W302" s="41"/>
      <x:c r="X302" s="41"/>
      <x:c r="Y302" s="41"/>
      <x:c r="Z302" s="41"/>
    </x:row>
    <x:row r="303">
      <x:c r="A303" s="44"/>
      <x:c r="B303" s="44"/>
      <x:c r="C303" s="44"/>
      <x:c r="D303" s="44"/>
      <x:c r="E303" s="44"/>
      <x:c r="F303" s="45"/>
      <x:c r="G303" s="44"/>
      <x:c r="H303" s="45"/>
      <x:c r="I303" s="45"/>
      <x:c r="J303" s="46"/>
      <x:c r="K303" s="46"/>
      <x:c r="L303" s="41"/>
      <x:c r="M303" s="41"/>
      <x:c r="N303" s="41"/>
      <x:c r="O303" s="41"/>
      <x:c r="P303" s="41"/>
      <x:c r="Q303" s="41"/>
      <x:c r="R303" s="41"/>
      <x:c r="S303" s="41"/>
      <x:c r="T303" s="41"/>
      <x:c r="U303" s="41"/>
      <x:c r="V303" s="41"/>
      <x:c r="W303" s="41"/>
      <x:c r="X303" s="41"/>
      <x:c r="Y303" s="41"/>
      <x:c r="Z303" s="41"/>
    </x:row>
    <x:row r="304">
      <x:c r="A304" s="44"/>
      <x:c r="B304" s="44"/>
      <x:c r="C304" s="44"/>
      <x:c r="D304" s="44"/>
      <x:c r="E304" s="44"/>
      <x:c r="F304" s="45"/>
      <x:c r="G304" s="44"/>
      <x:c r="H304" s="45"/>
      <x:c r="I304" s="45"/>
      <x:c r="J304" s="46"/>
      <x:c r="K304" s="46"/>
      <x:c r="L304" s="41"/>
      <x:c r="M304" s="41"/>
      <x:c r="N304" s="41"/>
      <x:c r="O304" s="41"/>
      <x:c r="P304" s="41"/>
      <x:c r="Q304" s="41"/>
      <x:c r="R304" s="41"/>
      <x:c r="S304" s="41"/>
      <x:c r="T304" s="41"/>
      <x:c r="U304" s="41"/>
      <x:c r="V304" s="41"/>
      <x:c r="W304" s="41"/>
      <x:c r="X304" s="41"/>
      <x:c r="Y304" s="41"/>
      <x:c r="Z304" s="41"/>
    </x:row>
    <x:row r="305">
      <x:c r="A305" s="44"/>
      <x:c r="B305" s="44"/>
      <x:c r="C305" s="44"/>
      <x:c r="D305" s="44"/>
      <x:c r="E305" s="44"/>
      <x:c r="F305" s="45"/>
      <x:c r="G305" s="44"/>
      <x:c r="H305" s="45"/>
      <x:c r="I305" s="45"/>
      <x:c r="J305" s="46"/>
      <x:c r="K305" s="46"/>
      <x:c r="L305" s="41"/>
      <x:c r="M305" s="41"/>
      <x:c r="N305" s="41"/>
      <x:c r="O305" s="41"/>
      <x:c r="P305" s="41"/>
      <x:c r="Q305" s="41"/>
      <x:c r="R305" s="41"/>
      <x:c r="S305" s="41"/>
      <x:c r="T305" s="41"/>
      <x:c r="U305" s="41"/>
      <x:c r="V305" s="41"/>
      <x:c r="W305" s="41"/>
      <x:c r="X305" s="41"/>
      <x:c r="Y305" s="41"/>
      <x:c r="Z305" s="41"/>
    </x:row>
    <x:row r="306">
      <x:c r="A306" s="44"/>
      <x:c r="B306" s="44"/>
      <x:c r="C306" s="44"/>
      <x:c r="D306" s="44"/>
      <x:c r="E306" s="44"/>
      <x:c r="F306" s="45"/>
      <x:c r="G306" s="44"/>
      <x:c r="H306" s="45"/>
      <x:c r="I306" s="45"/>
      <x:c r="J306" s="46"/>
      <x:c r="K306" s="46"/>
      <x:c r="L306" s="41"/>
      <x:c r="M306" s="41"/>
      <x:c r="N306" s="41"/>
      <x:c r="O306" s="41"/>
      <x:c r="P306" s="41"/>
      <x:c r="Q306" s="41"/>
      <x:c r="R306" s="41"/>
      <x:c r="S306" s="41"/>
      <x:c r="T306" s="41"/>
      <x:c r="U306" s="41"/>
      <x:c r="V306" s="41"/>
      <x:c r="W306" s="41"/>
      <x:c r="X306" s="41"/>
      <x:c r="Y306" s="41"/>
      <x:c r="Z306" s="41"/>
    </x:row>
    <x:row r="307">
      <x:c r="A307" s="44"/>
      <x:c r="B307" s="44"/>
      <x:c r="C307" s="44"/>
      <x:c r="D307" s="44"/>
      <x:c r="E307" s="44"/>
      <x:c r="F307" s="45"/>
      <x:c r="G307" s="44"/>
      <x:c r="H307" s="45"/>
      <x:c r="I307" s="45"/>
      <x:c r="J307" s="46"/>
      <x:c r="K307" s="46"/>
      <x:c r="L307" s="41"/>
      <x:c r="M307" s="41"/>
      <x:c r="N307" s="41"/>
      <x:c r="O307" s="41"/>
      <x:c r="P307" s="41"/>
      <x:c r="Q307" s="41"/>
      <x:c r="R307" s="41"/>
      <x:c r="S307" s="41"/>
      <x:c r="T307" s="41"/>
      <x:c r="U307" s="41"/>
      <x:c r="V307" s="41"/>
      <x:c r="W307" s="41"/>
      <x:c r="X307" s="41"/>
      <x:c r="Y307" s="41"/>
      <x:c r="Z307" s="41"/>
    </x:row>
    <x:row r="308">
      <x:c r="A308" s="44"/>
      <x:c r="B308" s="44"/>
      <x:c r="C308" s="44"/>
      <x:c r="D308" s="44"/>
      <x:c r="E308" s="44"/>
      <x:c r="F308" s="45"/>
      <x:c r="G308" s="44"/>
      <x:c r="H308" s="45"/>
      <x:c r="I308" s="45"/>
      <x:c r="J308" s="46"/>
      <x:c r="K308" s="46"/>
      <x:c r="L308" s="41"/>
      <x:c r="M308" s="41"/>
      <x:c r="N308" s="41"/>
      <x:c r="O308" s="41"/>
      <x:c r="P308" s="41"/>
      <x:c r="Q308" s="41"/>
      <x:c r="R308" s="41"/>
      <x:c r="S308" s="41"/>
      <x:c r="T308" s="41"/>
      <x:c r="U308" s="41"/>
      <x:c r="V308" s="41"/>
      <x:c r="W308" s="41"/>
      <x:c r="X308" s="41"/>
      <x:c r="Y308" s="41"/>
      <x:c r="Z308" s="41"/>
    </x:row>
    <x:row r="309">
      <x:c r="A309" s="44"/>
      <x:c r="B309" s="44"/>
      <x:c r="C309" s="44"/>
      <x:c r="D309" s="44"/>
      <x:c r="E309" s="44"/>
      <x:c r="F309" s="45"/>
      <x:c r="G309" s="44"/>
      <x:c r="H309" s="45"/>
      <x:c r="I309" s="45"/>
      <x:c r="J309" s="46"/>
      <x:c r="K309" s="46"/>
      <x:c r="L309" s="41"/>
      <x:c r="M309" s="41"/>
      <x:c r="N309" s="41"/>
      <x:c r="O309" s="41"/>
      <x:c r="P309" s="41"/>
      <x:c r="Q309" s="41"/>
      <x:c r="R309" s="41"/>
      <x:c r="S309" s="41"/>
      <x:c r="T309" s="41"/>
      <x:c r="U309" s="41"/>
      <x:c r="V309" s="41"/>
      <x:c r="W309" s="41"/>
      <x:c r="X309" s="41"/>
      <x:c r="Y309" s="41"/>
      <x:c r="Z309" s="41"/>
    </x:row>
    <x:row r="310">
      <x:c r="A310" s="44"/>
      <x:c r="B310" s="44"/>
      <x:c r="C310" s="44"/>
      <x:c r="D310" s="44"/>
      <x:c r="E310" s="44"/>
      <x:c r="F310" s="45"/>
      <x:c r="G310" s="44"/>
      <x:c r="H310" s="45"/>
      <x:c r="I310" s="45"/>
      <x:c r="J310" s="46"/>
      <x:c r="K310" s="46"/>
      <x:c r="L310" s="41"/>
      <x:c r="M310" s="41"/>
      <x:c r="N310" s="41"/>
      <x:c r="O310" s="41"/>
      <x:c r="P310" s="41"/>
      <x:c r="Q310" s="41"/>
      <x:c r="R310" s="41"/>
      <x:c r="S310" s="41"/>
      <x:c r="T310" s="41"/>
      <x:c r="U310" s="41"/>
      <x:c r="V310" s="41"/>
      <x:c r="W310" s="41"/>
      <x:c r="X310" s="41"/>
      <x:c r="Y310" s="41"/>
      <x:c r="Z310" s="41"/>
    </x:row>
    <x:row r="311">
      <x:c r="A311" s="44"/>
      <x:c r="B311" s="44"/>
      <x:c r="C311" s="44"/>
      <x:c r="D311" s="44"/>
      <x:c r="E311" s="44"/>
      <x:c r="F311" s="45"/>
      <x:c r="G311" s="44"/>
      <x:c r="H311" s="45"/>
      <x:c r="I311" s="45"/>
      <x:c r="J311" s="46"/>
      <x:c r="K311" s="46"/>
      <x:c r="L311" s="41"/>
      <x:c r="M311" s="41"/>
      <x:c r="N311" s="41"/>
      <x:c r="O311" s="41"/>
      <x:c r="P311" s="41"/>
      <x:c r="Q311" s="41"/>
      <x:c r="R311" s="41"/>
      <x:c r="S311" s="41"/>
      <x:c r="T311" s="41"/>
      <x:c r="U311" s="41"/>
      <x:c r="V311" s="41"/>
      <x:c r="W311" s="41"/>
      <x:c r="X311" s="41"/>
      <x:c r="Y311" s="41"/>
      <x:c r="Z311" s="41"/>
    </x:row>
    <x:row r="312">
      <x:c r="A312" s="44"/>
      <x:c r="B312" s="44"/>
      <x:c r="C312" s="44"/>
      <x:c r="D312" s="44"/>
      <x:c r="E312" s="44"/>
      <x:c r="F312" s="45"/>
      <x:c r="G312" s="44"/>
      <x:c r="H312" s="45"/>
      <x:c r="I312" s="45"/>
      <x:c r="J312" s="46"/>
      <x:c r="K312" s="46"/>
      <x:c r="L312" s="41"/>
      <x:c r="M312" s="41"/>
      <x:c r="N312" s="41"/>
      <x:c r="O312" s="41"/>
      <x:c r="P312" s="41"/>
      <x:c r="Q312" s="41"/>
      <x:c r="R312" s="41"/>
      <x:c r="S312" s="41"/>
      <x:c r="T312" s="41"/>
      <x:c r="U312" s="41"/>
      <x:c r="V312" s="41"/>
      <x:c r="W312" s="41"/>
      <x:c r="X312" s="41"/>
      <x:c r="Y312" s="41"/>
      <x:c r="Z312" s="41"/>
    </x:row>
    <x:row r="313">
      <x:c r="A313" s="44"/>
      <x:c r="B313" s="44"/>
      <x:c r="C313" s="44"/>
      <x:c r="D313" s="44"/>
      <x:c r="E313" s="44"/>
      <x:c r="F313" s="45"/>
      <x:c r="G313" s="44"/>
      <x:c r="H313" s="45"/>
      <x:c r="I313" s="45"/>
      <x:c r="J313" s="46"/>
      <x:c r="K313" s="46"/>
      <x:c r="L313" s="41"/>
      <x:c r="M313" s="41"/>
      <x:c r="N313" s="41"/>
      <x:c r="O313" s="41"/>
      <x:c r="P313" s="41"/>
      <x:c r="Q313" s="41"/>
      <x:c r="R313" s="41"/>
      <x:c r="S313" s="41"/>
      <x:c r="T313" s="41"/>
      <x:c r="U313" s="41"/>
      <x:c r="V313" s="41"/>
      <x:c r="W313" s="41"/>
      <x:c r="X313" s="41"/>
      <x:c r="Y313" s="41"/>
      <x:c r="Z313" s="41"/>
    </x:row>
    <x:row r="314">
      <x:c r="A314" s="44"/>
      <x:c r="B314" s="44"/>
      <x:c r="C314" s="44"/>
      <x:c r="D314" s="44"/>
      <x:c r="E314" s="44"/>
      <x:c r="F314" s="45"/>
      <x:c r="G314" s="44"/>
      <x:c r="H314" s="45"/>
      <x:c r="I314" s="45"/>
      <x:c r="J314" s="46"/>
      <x:c r="K314" s="46"/>
      <x:c r="L314" s="41"/>
      <x:c r="M314" s="41"/>
      <x:c r="N314" s="41"/>
      <x:c r="O314" s="41"/>
      <x:c r="P314" s="41"/>
      <x:c r="Q314" s="41"/>
      <x:c r="R314" s="41"/>
      <x:c r="S314" s="41"/>
      <x:c r="T314" s="41"/>
      <x:c r="U314" s="41"/>
      <x:c r="V314" s="41"/>
      <x:c r="W314" s="41"/>
      <x:c r="X314" s="41"/>
      <x:c r="Y314" s="41"/>
      <x:c r="Z314" s="41"/>
    </x:row>
    <x:row r="315">
      <x:c r="A315" s="44"/>
      <x:c r="B315" s="44"/>
      <x:c r="C315" s="44"/>
      <x:c r="D315" s="44"/>
      <x:c r="E315" s="44"/>
      <x:c r="F315" s="45"/>
      <x:c r="G315" s="44"/>
      <x:c r="H315" s="45"/>
      <x:c r="I315" s="45"/>
      <x:c r="J315" s="46"/>
      <x:c r="K315" s="46"/>
      <x:c r="L315" s="41"/>
      <x:c r="M315" s="41"/>
      <x:c r="N315" s="41"/>
      <x:c r="O315" s="41"/>
      <x:c r="P315" s="41"/>
      <x:c r="Q315" s="41"/>
      <x:c r="R315" s="41"/>
      <x:c r="S315" s="41"/>
      <x:c r="T315" s="41"/>
      <x:c r="U315" s="41"/>
      <x:c r="V315" s="41"/>
      <x:c r="W315" s="41"/>
      <x:c r="X315" s="41"/>
      <x:c r="Y315" s="41"/>
      <x:c r="Z315" s="41"/>
    </x:row>
    <x:row r="316">
      <x:c r="A316" s="44"/>
      <x:c r="B316" s="44"/>
      <x:c r="C316" s="44"/>
      <x:c r="D316" s="44"/>
      <x:c r="E316" s="44"/>
      <x:c r="F316" s="45"/>
      <x:c r="G316" s="44"/>
      <x:c r="H316" s="45"/>
      <x:c r="I316" s="45"/>
      <x:c r="J316" s="46"/>
      <x:c r="K316" s="46"/>
      <x:c r="L316" s="41"/>
      <x:c r="M316" s="41"/>
      <x:c r="N316" s="41"/>
      <x:c r="O316" s="41"/>
      <x:c r="P316" s="41"/>
      <x:c r="Q316" s="41"/>
      <x:c r="R316" s="41"/>
      <x:c r="S316" s="41"/>
      <x:c r="T316" s="41"/>
      <x:c r="U316" s="41"/>
      <x:c r="V316" s="41"/>
      <x:c r="W316" s="41"/>
      <x:c r="X316" s="41"/>
      <x:c r="Y316" s="41"/>
      <x:c r="Z316" s="41"/>
    </x:row>
    <x:row r="317">
      <x:c r="A317" s="44"/>
      <x:c r="B317" s="44"/>
      <x:c r="C317" s="44"/>
      <x:c r="D317" s="44"/>
      <x:c r="E317" s="44"/>
      <x:c r="F317" s="45"/>
      <x:c r="G317" s="44"/>
      <x:c r="H317" s="45"/>
      <x:c r="I317" s="45"/>
      <x:c r="J317" s="46"/>
      <x:c r="K317" s="46"/>
      <x:c r="L317" s="41"/>
      <x:c r="M317" s="41"/>
      <x:c r="N317" s="41"/>
      <x:c r="O317" s="41"/>
      <x:c r="P317" s="41"/>
      <x:c r="Q317" s="41"/>
      <x:c r="R317" s="41"/>
      <x:c r="S317" s="41"/>
      <x:c r="T317" s="41"/>
      <x:c r="U317" s="41"/>
      <x:c r="V317" s="41"/>
      <x:c r="W317" s="41"/>
      <x:c r="X317" s="41"/>
      <x:c r="Y317" s="41"/>
      <x:c r="Z317" s="41"/>
    </x:row>
    <x:row r="318">
      <x:c r="A318" s="44"/>
      <x:c r="B318" s="44"/>
      <x:c r="C318" s="44"/>
      <x:c r="D318" s="44"/>
      <x:c r="E318" s="44"/>
      <x:c r="F318" s="45"/>
      <x:c r="G318" s="44"/>
      <x:c r="H318" s="45"/>
      <x:c r="I318" s="45"/>
      <x:c r="J318" s="46"/>
      <x:c r="K318" s="46"/>
      <x:c r="L318" s="41"/>
      <x:c r="M318" s="41"/>
      <x:c r="N318" s="41"/>
      <x:c r="O318" s="41"/>
      <x:c r="P318" s="41"/>
      <x:c r="Q318" s="41"/>
      <x:c r="R318" s="41"/>
      <x:c r="S318" s="41"/>
      <x:c r="T318" s="41"/>
      <x:c r="U318" s="41"/>
      <x:c r="V318" s="41"/>
      <x:c r="W318" s="41"/>
      <x:c r="X318" s="41"/>
      <x:c r="Y318" s="41"/>
      <x:c r="Z318" s="41"/>
    </x:row>
    <x:row r="319">
      <x:c r="A319" s="44"/>
      <x:c r="B319" s="44"/>
      <x:c r="C319" s="44"/>
      <x:c r="D319" s="44"/>
      <x:c r="E319" s="44"/>
      <x:c r="F319" s="45"/>
      <x:c r="G319" s="44"/>
      <x:c r="H319" s="45"/>
      <x:c r="I319" s="45"/>
      <x:c r="J319" s="46"/>
      <x:c r="K319" s="46"/>
      <x:c r="L319" s="41"/>
      <x:c r="M319" s="41"/>
      <x:c r="N319" s="41"/>
      <x:c r="O319" s="41"/>
      <x:c r="P319" s="41"/>
      <x:c r="Q319" s="41"/>
      <x:c r="R319" s="41"/>
      <x:c r="S319" s="41"/>
      <x:c r="T319" s="41"/>
      <x:c r="U319" s="41"/>
      <x:c r="V319" s="41"/>
      <x:c r="W319" s="41"/>
      <x:c r="X319" s="41"/>
      <x:c r="Y319" s="41"/>
      <x:c r="Z319" s="41"/>
    </x:row>
    <x:row r="320">
      <x:c r="A320" s="44"/>
      <x:c r="B320" s="44"/>
      <x:c r="C320" s="44"/>
      <x:c r="D320" s="44"/>
      <x:c r="E320" s="44"/>
      <x:c r="F320" s="45"/>
      <x:c r="G320" s="44"/>
      <x:c r="H320" s="45"/>
      <x:c r="I320" s="45"/>
      <x:c r="J320" s="46"/>
      <x:c r="K320" s="46"/>
      <x:c r="L320" s="41"/>
      <x:c r="M320" s="41"/>
      <x:c r="N320" s="41"/>
      <x:c r="O320" s="41"/>
      <x:c r="P320" s="41"/>
      <x:c r="Q320" s="41"/>
      <x:c r="R320" s="41"/>
      <x:c r="S320" s="41"/>
      <x:c r="T320" s="41"/>
      <x:c r="U320" s="41"/>
      <x:c r="V320" s="41"/>
      <x:c r="W320" s="41"/>
      <x:c r="X320" s="41"/>
      <x:c r="Y320" s="41"/>
      <x:c r="Z320" s="41"/>
    </x:row>
    <x:row r="321">
      <x:c r="A321" s="44"/>
      <x:c r="B321" s="44"/>
      <x:c r="C321" s="44"/>
      <x:c r="D321" s="44"/>
      <x:c r="E321" s="44"/>
      <x:c r="F321" s="45"/>
      <x:c r="G321" s="44"/>
      <x:c r="H321" s="45"/>
      <x:c r="I321" s="45"/>
      <x:c r="J321" s="46"/>
      <x:c r="K321" s="46"/>
      <x:c r="L321" s="41"/>
      <x:c r="M321" s="41"/>
      <x:c r="N321" s="41"/>
      <x:c r="O321" s="41"/>
      <x:c r="P321" s="41"/>
      <x:c r="Q321" s="41"/>
      <x:c r="R321" s="41"/>
      <x:c r="S321" s="41"/>
      <x:c r="T321" s="41"/>
      <x:c r="U321" s="41"/>
      <x:c r="V321" s="41"/>
      <x:c r="W321" s="41"/>
      <x:c r="X321" s="41"/>
      <x:c r="Y321" s="41"/>
      <x:c r="Z321" s="41"/>
    </x:row>
    <x:row r="322">
      <x:c r="A322" s="44"/>
      <x:c r="B322" s="44"/>
      <x:c r="C322" s="44"/>
      <x:c r="D322" s="44"/>
      <x:c r="E322" s="44"/>
      <x:c r="F322" s="45"/>
      <x:c r="G322" s="44"/>
      <x:c r="H322" s="45"/>
      <x:c r="I322" s="45"/>
      <x:c r="J322" s="46"/>
      <x:c r="K322" s="46"/>
      <x:c r="L322" s="41"/>
      <x:c r="M322" s="41"/>
      <x:c r="N322" s="41"/>
      <x:c r="O322" s="41"/>
      <x:c r="P322" s="41"/>
      <x:c r="Q322" s="41"/>
      <x:c r="R322" s="41"/>
      <x:c r="S322" s="41"/>
      <x:c r="T322" s="41"/>
      <x:c r="U322" s="41"/>
      <x:c r="V322" s="41"/>
      <x:c r="W322" s="41"/>
      <x:c r="X322" s="41"/>
      <x:c r="Y322" s="41"/>
      <x:c r="Z322" s="41"/>
    </x:row>
    <x:row r="323">
      <x:c r="A323" s="44"/>
      <x:c r="B323" s="44"/>
      <x:c r="C323" s="44"/>
      <x:c r="D323" s="44"/>
      <x:c r="E323" s="44"/>
      <x:c r="F323" s="45"/>
      <x:c r="G323" s="44"/>
      <x:c r="H323" s="45"/>
      <x:c r="I323" s="45"/>
      <x:c r="J323" s="46"/>
      <x:c r="K323" s="46"/>
      <x:c r="L323" s="41"/>
      <x:c r="M323" s="41"/>
      <x:c r="N323" s="41"/>
      <x:c r="O323" s="41"/>
      <x:c r="P323" s="41"/>
      <x:c r="Q323" s="41"/>
      <x:c r="R323" s="41"/>
      <x:c r="S323" s="41"/>
      <x:c r="T323" s="41"/>
      <x:c r="U323" s="41"/>
      <x:c r="V323" s="41"/>
      <x:c r="W323" s="41"/>
      <x:c r="X323" s="41"/>
      <x:c r="Y323" s="41"/>
      <x:c r="Z323" s="41"/>
    </x:row>
    <x:row r="324">
      <x:c r="A324" s="44"/>
      <x:c r="B324" s="44"/>
      <x:c r="C324" s="44"/>
      <x:c r="D324" s="44"/>
      <x:c r="E324" s="44"/>
      <x:c r="F324" s="45"/>
      <x:c r="G324" s="44"/>
      <x:c r="H324" s="45"/>
      <x:c r="I324" s="45"/>
      <x:c r="J324" s="46"/>
      <x:c r="K324" s="46"/>
      <x:c r="L324" s="41"/>
      <x:c r="M324" s="41"/>
      <x:c r="N324" s="41"/>
      <x:c r="O324" s="41"/>
      <x:c r="P324" s="41"/>
      <x:c r="Q324" s="41"/>
      <x:c r="R324" s="41"/>
      <x:c r="S324" s="41"/>
      <x:c r="T324" s="41"/>
      <x:c r="U324" s="41"/>
      <x:c r="V324" s="41"/>
      <x:c r="W324" s="41"/>
      <x:c r="X324" s="41"/>
      <x:c r="Y324" s="41"/>
      <x:c r="Z324" s="41"/>
    </x:row>
    <x:row r="325">
      <x:c r="A325" s="44"/>
      <x:c r="B325" s="44"/>
      <x:c r="C325" s="44"/>
      <x:c r="D325" s="44"/>
      <x:c r="E325" s="44"/>
      <x:c r="F325" s="45"/>
      <x:c r="G325" s="44"/>
      <x:c r="H325" s="45"/>
      <x:c r="I325" s="45"/>
      <x:c r="J325" s="46"/>
      <x:c r="K325" s="46"/>
      <x:c r="L325" s="41"/>
      <x:c r="M325" s="41"/>
      <x:c r="N325" s="41"/>
      <x:c r="O325" s="41"/>
      <x:c r="P325" s="41"/>
      <x:c r="Q325" s="41"/>
      <x:c r="R325" s="41"/>
      <x:c r="S325" s="41"/>
      <x:c r="T325" s="41"/>
      <x:c r="U325" s="41"/>
      <x:c r="V325" s="41"/>
      <x:c r="W325" s="41"/>
      <x:c r="X325" s="41"/>
      <x:c r="Y325" s="41"/>
      <x:c r="Z325" s="41"/>
    </x:row>
    <x:row r="326">
      <x:c r="A326" s="44"/>
      <x:c r="B326" s="44"/>
      <x:c r="C326" s="44"/>
      <x:c r="D326" s="44"/>
      <x:c r="E326" s="44"/>
      <x:c r="F326" s="45"/>
      <x:c r="G326" s="44"/>
      <x:c r="H326" s="45"/>
      <x:c r="I326" s="45"/>
      <x:c r="J326" s="46"/>
      <x:c r="K326" s="46"/>
      <x:c r="L326" s="41"/>
      <x:c r="M326" s="41"/>
      <x:c r="N326" s="41"/>
      <x:c r="O326" s="41"/>
      <x:c r="P326" s="41"/>
      <x:c r="Q326" s="41"/>
      <x:c r="R326" s="41"/>
      <x:c r="S326" s="41"/>
      <x:c r="T326" s="41"/>
      <x:c r="U326" s="41"/>
      <x:c r="V326" s="41"/>
      <x:c r="W326" s="41"/>
      <x:c r="X326" s="41"/>
      <x:c r="Y326" s="41"/>
      <x:c r="Z326" s="41"/>
    </x:row>
    <x:row r="327">
      <x:c r="A327" s="44"/>
      <x:c r="B327" s="44"/>
      <x:c r="C327" s="44"/>
      <x:c r="D327" s="44"/>
      <x:c r="E327" s="44"/>
      <x:c r="F327" s="45"/>
      <x:c r="G327" s="44"/>
      <x:c r="H327" s="45"/>
      <x:c r="I327" s="45"/>
      <x:c r="J327" s="46"/>
      <x:c r="K327" s="46"/>
      <x:c r="L327" s="41"/>
      <x:c r="M327" s="41"/>
      <x:c r="N327" s="41"/>
      <x:c r="O327" s="41"/>
      <x:c r="P327" s="41"/>
      <x:c r="Q327" s="41"/>
      <x:c r="R327" s="41"/>
      <x:c r="S327" s="41"/>
      <x:c r="T327" s="41"/>
      <x:c r="U327" s="41"/>
      <x:c r="V327" s="41"/>
      <x:c r="W327" s="41"/>
      <x:c r="X327" s="41"/>
      <x:c r="Y327" s="41"/>
      <x:c r="Z327" s="41"/>
    </x:row>
    <x:row r="328">
      <x:c r="A328" s="44"/>
      <x:c r="B328" s="44"/>
      <x:c r="C328" s="44"/>
      <x:c r="D328" s="44"/>
      <x:c r="E328" s="44"/>
      <x:c r="F328" s="45"/>
      <x:c r="G328" s="44"/>
      <x:c r="H328" s="45"/>
      <x:c r="I328" s="45"/>
      <x:c r="J328" s="46"/>
      <x:c r="K328" s="46"/>
      <x:c r="L328" s="41"/>
      <x:c r="M328" s="41"/>
      <x:c r="N328" s="41"/>
      <x:c r="O328" s="41"/>
      <x:c r="P328" s="41"/>
      <x:c r="Q328" s="41"/>
      <x:c r="R328" s="41"/>
      <x:c r="S328" s="41"/>
      <x:c r="T328" s="41"/>
      <x:c r="U328" s="41"/>
      <x:c r="V328" s="41"/>
      <x:c r="W328" s="41"/>
      <x:c r="X328" s="41"/>
      <x:c r="Y328" s="41"/>
      <x:c r="Z328" s="41"/>
    </x:row>
    <x:row r="329">
      <x:c r="A329" s="44"/>
      <x:c r="B329" s="44"/>
      <x:c r="C329" s="44"/>
      <x:c r="D329" s="44"/>
      <x:c r="E329" s="44"/>
      <x:c r="F329" s="45"/>
      <x:c r="G329" s="44"/>
      <x:c r="H329" s="45"/>
      <x:c r="I329" s="45"/>
      <x:c r="J329" s="46"/>
      <x:c r="K329" s="46"/>
      <x:c r="L329" s="41"/>
      <x:c r="M329" s="41"/>
      <x:c r="N329" s="41"/>
      <x:c r="O329" s="41"/>
      <x:c r="P329" s="41"/>
      <x:c r="Q329" s="41"/>
      <x:c r="R329" s="41"/>
      <x:c r="S329" s="41"/>
      <x:c r="T329" s="41"/>
      <x:c r="U329" s="41"/>
      <x:c r="V329" s="41"/>
      <x:c r="W329" s="41"/>
      <x:c r="X329" s="41"/>
      <x:c r="Y329" s="41"/>
      <x:c r="Z329" s="41"/>
    </x:row>
    <x:row r="330">
      <x:c r="A330" s="44"/>
      <x:c r="B330" s="44"/>
      <x:c r="C330" s="44"/>
      <x:c r="D330" s="44"/>
      <x:c r="E330" s="44"/>
      <x:c r="F330" s="45"/>
      <x:c r="G330" s="44"/>
      <x:c r="H330" s="45"/>
      <x:c r="I330" s="45"/>
      <x:c r="J330" s="46"/>
      <x:c r="K330" s="46"/>
      <x:c r="L330" s="41"/>
      <x:c r="M330" s="41"/>
      <x:c r="N330" s="41"/>
      <x:c r="O330" s="41"/>
      <x:c r="P330" s="41"/>
      <x:c r="Q330" s="41"/>
      <x:c r="R330" s="41"/>
      <x:c r="S330" s="41"/>
      <x:c r="T330" s="41"/>
      <x:c r="U330" s="41"/>
      <x:c r="V330" s="41"/>
      <x:c r="W330" s="41"/>
      <x:c r="X330" s="41"/>
      <x:c r="Y330" s="41"/>
      <x:c r="Z330" s="41"/>
    </x:row>
    <x:row r="331">
      <x:c r="A331" s="44"/>
      <x:c r="B331" s="44"/>
      <x:c r="C331" s="44"/>
      <x:c r="D331" s="44"/>
      <x:c r="E331" s="44"/>
      <x:c r="F331" s="45"/>
      <x:c r="G331" s="44"/>
      <x:c r="H331" s="45"/>
      <x:c r="I331" s="45"/>
      <x:c r="J331" s="46"/>
      <x:c r="K331" s="46"/>
      <x:c r="L331" s="41"/>
      <x:c r="M331" s="41"/>
      <x:c r="N331" s="41"/>
      <x:c r="O331" s="41"/>
      <x:c r="P331" s="41"/>
      <x:c r="Q331" s="41"/>
      <x:c r="R331" s="41"/>
      <x:c r="S331" s="41"/>
      <x:c r="T331" s="41"/>
      <x:c r="U331" s="41"/>
      <x:c r="V331" s="41"/>
      <x:c r="W331" s="41"/>
      <x:c r="X331" s="41"/>
      <x:c r="Y331" s="41"/>
      <x:c r="Z331" s="41"/>
    </x:row>
    <x:row r="332">
      <x:c r="A332" s="44"/>
      <x:c r="B332" s="44"/>
      <x:c r="C332" s="44"/>
      <x:c r="D332" s="44"/>
      <x:c r="E332" s="44"/>
      <x:c r="F332" s="45"/>
      <x:c r="G332" s="44"/>
      <x:c r="H332" s="45"/>
      <x:c r="I332" s="45"/>
      <x:c r="J332" s="46"/>
      <x:c r="K332" s="46"/>
      <x:c r="L332" s="41"/>
      <x:c r="M332" s="41"/>
      <x:c r="N332" s="41"/>
      <x:c r="O332" s="41"/>
      <x:c r="P332" s="41"/>
      <x:c r="Q332" s="41"/>
      <x:c r="R332" s="41"/>
      <x:c r="S332" s="41"/>
      <x:c r="T332" s="41"/>
      <x:c r="U332" s="41"/>
      <x:c r="V332" s="41"/>
      <x:c r="W332" s="41"/>
      <x:c r="X332" s="41"/>
      <x:c r="Y332" s="41"/>
      <x:c r="Z332" s="41"/>
    </x:row>
    <x:row r="333">
      <x:c r="A333" s="44"/>
      <x:c r="B333" s="44"/>
      <x:c r="C333" s="44"/>
      <x:c r="D333" s="44"/>
      <x:c r="E333" s="44"/>
      <x:c r="F333" s="45"/>
      <x:c r="G333" s="44"/>
      <x:c r="H333" s="45"/>
      <x:c r="I333" s="45"/>
      <x:c r="J333" s="46"/>
      <x:c r="K333" s="46"/>
      <x:c r="L333" s="41"/>
      <x:c r="M333" s="41"/>
      <x:c r="N333" s="41"/>
      <x:c r="O333" s="41"/>
      <x:c r="P333" s="41"/>
      <x:c r="Q333" s="41"/>
      <x:c r="R333" s="41"/>
      <x:c r="S333" s="41"/>
      <x:c r="T333" s="41"/>
      <x:c r="U333" s="41"/>
      <x:c r="V333" s="41"/>
      <x:c r="W333" s="41"/>
      <x:c r="X333" s="41"/>
      <x:c r="Y333" s="41"/>
      <x:c r="Z333" s="41"/>
    </x:row>
    <x:row r="334">
      <x:c r="A334" s="44"/>
      <x:c r="B334" s="44"/>
      <x:c r="C334" s="44"/>
      <x:c r="D334" s="44"/>
      <x:c r="E334" s="44"/>
      <x:c r="F334" s="45"/>
      <x:c r="G334" s="44"/>
      <x:c r="H334" s="45"/>
      <x:c r="I334" s="45"/>
      <x:c r="J334" s="46"/>
      <x:c r="K334" s="46"/>
      <x:c r="L334" s="41"/>
      <x:c r="M334" s="41"/>
      <x:c r="N334" s="41"/>
      <x:c r="O334" s="41"/>
      <x:c r="P334" s="41"/>
      <x:c r="Q334" s="41"/>
      <x:c r="R334" s="41"/>
      <x:c r="S334" s="41"/>
      <x:c r="T334" s="41"/>
      <x:c r="U334" s="41"/>
      <x:c r="V334" s="41"/>
      <x:c r="W334" s="41"/>
      <x:c r="X334" s="41"/>
      <x:c r="Y334" s="41"/>
      <x:c r="Z334" s="41"/>
    </x:row>
    <x:row r="335">
      <x:c r="A335" s="44"/>
      <x:c r="B335" s="44"/>
      <x:c r="C335" s="44"/>
      <x:c r="D335" s="44"/>
      <x:c r="E335" s="44"/>
      <x:c r="F335" s="45"/>
      <x:c r="G335" s="44"/>
      <x:c r="H335" s="45"/>
      <x:c r="I335" s="45"/>
      <x:c r="J335" s="46"/>
      <x:c r="K335" s="46"/>
      <x:c r="L335" s="41"/>
      <x:c r="M335" s="41"/>
      <x:c r="N335" s="41"/>
      <x:c r="O335" s="41"/>
      <x:c r="P335" s="41"/>
      <x:c r="Q335" s="41"/>
      <x:c r="R335" s="41"/>
      <x:c r="S335" s="41"/>
      <x:c r="T335" s="41"/>
      <x:c r="U335" s="41"/>
      <x:c r="V335" s="41"/>
      <x:c r="W335" s="41"/>
      <x:c r="X335" s="41"/>
      <x:c r="Y335" s="41"/>
      <x:c r="Z335" s="41"/>
    </x:row>
    <x:row r="336">
      <x:c r="A336" s="44"/>
      <x:c r="B336" s="44"/>
      <x:c r="C336" s="44"/>
      <x:c r="D336" s="44"/>
      <x:c r="E336" s="44"/>
      <x:c r="F336" s="45"/>
      <x:c r="G336" s="44"/>
      <x:c r="H336" s="45"/>
      <x:c r="I336" s="45"/>
      <x:c r="J336" s="46"/>
      <x:c r="K336" s="46"/>
      <x:c r="L336" s="41"/>
      <x:c r="M336" s="41"/>
      <x:c r="N336" s="41"/>
      <x:c r="O336" s="41"/>
      <x:c r="P336" s="41"/>
      <x:c r="Q336" s="41"/>
      <x:c r="R336" s="41"/>
      <x:c r="S336" s="41"/>
      <x:c r="T336" s="41"/>
      <x:c r="U336" s="41"/>
      <x:c r="V336" s="41"/>
      <x:c r="W336" s="41"/>
      <x:c r="X336" s="41"/>
      <x:c r="Y336" s="41"/>
      <x:c r="Z336" s="41"/>
    </x:row>
    <x:row r="337">
      <x:c r="A337" s="44"/>
      <x:c r="B337" s="44"/>
      <x:c r="C337" s="44"/>
      <x:c r="D337" s="44"/>
      <x:c r="E337" s="44"/>
      <x:c r="F337" s="45"/>
      <x:c r="G337" s="44"/>
      <x:c r="H337" s="45"/>
      <x:c r="I337" s="45"/>
      <x:c r="J337" s="46"/>
      <x:c r="K337" s="46"/>
      <x:c r="L337" s="41"/>
      <x:c r="M337" s="41"/>
      <x:c r="N337" s="41"/>
      <x:c r="O337" s="41"/>
      <x:c r="P337" s="41"/>
      <x:c r="Q337" s="41"/>
      <x:c r="R337" s="41"/>
      <x:c r="S337" s="41"/>
      <x:c r="T337" s="41"/>
      <x:c r="U337" s="41"/>
      <x:c r="V337" s="41"/>
      <x:c r="W337" s="41"/>
      <x:c r="X337" s="41"/>
      <x:c r="Y337" s="41"/>
      <x:c r="Z337" s="41"/>
    </x:row>
    <x:row r="338">
      <x:c r="A338" s="44"/>
      <x:c r="B338" s="44"/>
      <x:c r="C338" s="44"/>
      <x:c r="D338" s="44"/>
      <x:c r="E338" s="44"/>
      <x:c r="F338" s="45"/>
      <x:c r="G338" s="44"/>
      <x:c r="H338" s="45"/>
      <x:c r="I338" s="45"/>
      <x:c r="J338" s="46"/>
      <x:c r="K338" s="46"/>
      <x:c r="L338" s="41"/>
      <x:c r="M338" s="41"/>
      <x:c r="N338" s="41"/>
      <x:c r="O338" s="41"/>
      <x:c r="P338" s="41"/>
      <x:c r="Q338" s="41"/>
      <x:c r="R338" s="41"/>
      <x:c r="S338" s="41"/>
      <x:c r="T338" s="41"/>
      <x:c r="U338" s="41"/>
      <x:c r="V338" s="41"/>
      <x:c r="W338" s="41"/>
      <x:c r="X338" s="41"/>
      <x:c r="Y338" s="41"/>
      <x:c r="Z338" s="41"/>
    </x:row>
    <x:row r="339">
      <x:c r="A339" s="44"/>
      <x:c r="B339" s="44"/>
      <x:c r="C339" s="44"/>
      <x:c r="D339" s="44"/>
      <x:c r="E339" s="44"/>
      <x:c r="F339" s="45"/>
      <x:c r="G339" s="44"/>
      <x:c r="H339" s="45"/>
      <x:c r="I339" s="45"/>
      <x:c r="J339" s="46"/>
      <x:c r="K339" s="46"/>
      <x:c r="L339" s="41"/>
      <x:c r="M339" s="41"/>
      <x:c r="N339" s="41"/>
      <x:c r="O339" s="41"/>
      <x:c r="P339" s="41"/>
      <x:c r="Q339" s="41"/>
      <x:c r="R339" s="41"/>
      <x:c r="S339" s="41"/>
      <x:c r="T339" s="41"/>
      <x:c r="U339" s="41"/>
      <x:c r="V339" s="41"/>
      <x:c r="W339" s="41"/>
      <x:c r="X339" s="41"/>
      <x:c r="Y339" s="41"/>
      <x:c r="Z339" s="41"/>
    </x:row>
    <x:row r="340">
      <x:c r="A340" s="44"/>
      <x:c r="B340" s="44"/>
      <x:c r="C340" s="44"/>
      <x:c r="D340" s="44"/>
      <x:c r="E340" s="44"/>
      <x:c r="F340" s="45"/>
      <x:c r="G340" s="44"/>
      <x:c r="H340" s="45"/>
      <x:c r="I340" s="45"/>
      <x:c r="J340" s="46"/>
      <x:c r="K340" s="46"/>
      <x:c r="L340" s="41"/>
      <x:c r="M340" s="41"/>
      <x:c r="N340" s="41"/>
      <x:c r="O340" s="41"/>
      <x:c r="P340" s="41"/>
      <x:c r="Q340" s="41"/>
      <x:c r="R340" s="41"/>
      <x:c r="S340" s="41"/>
      <x:c r="T340" s="41"/>
      <x:c r="U340" s="41"/>
      <x:c r="V340" s="41"/>
      <x:c r="W340" s="41"/>
      <x:c r="X340" s="41"/>
      <x:c r="Y340" s="41"/>
      <x:c r="Z340" s="41"/>
    </x:row>
    <x:row r="341">
      <x:c r="A341" s="44"/>
      <x:c r="B341" s="44"/>
      <x:c r="C341" s="44"/>
      <x:c r="D341" s="44"/>
      <x:c r="E341" s="44"/>
      <x:c r="F341" s="45"/>
      <x:c r="G341" s="44"/>
      <x:c r="H341" s="45"/>
      <x:c r="I341" s="45"/>
      <x:c r="J341" s="46"/>
      <x:c r="K341" s="46"/>
      <x:c r="L341" s="41"/>
      <x:c r="M341" s="41"/>
      <x:c r="N341" s="41"/>
      <x:c r="O341" s="41"/>
      <x:c r="P341" s="41"/>
      <x:c r="Q341" s="41"/>
      <x:c r="R341" s="41"/>
      <x:c r="S341" s="41"/>
      <x:c r="T341" s="41"/>
      <x:c r="U341" s="41"/>
      <x:c r="V341" s="41"/>
      <x:c r="W341" s="41"/>
      <x:c r="X341" s="41"/>
      <x:c r="Y341" s="41"/>
      <x:c r="Z341" s="41"/>
    </x:row>
    <x:row r="342">
      <x:c r="A342" s="44"/>
      <x:c r="B342" s="44"/>
      <x:c r="C342" s="44"/>
      <x:c r="D342" s="44"/>
      <x:c r="E342" s="44"/>
      <x:c r="F342" s="45"/>
      <x:c r="G342" s="44"/>
      <x:c r="H342" s="45"/>
      <x:c r="I342" s="45"/>
      <x:c r="J342" s="46"/>
      <x:c r="K342" s="46"/>
      <x:c r="L342" s="41"/>
      <x:c r="M342" s="41"/>
      <x:c r="N342" s="41"/>
      <x:c r="O342" s="41"/>
      <x:c r="P342" s="41"/>
      <x:c r="Q342" s="41"/>
      <x:c r="R342" s="41"/>
      <x:c r="S342" s="41"/>
      <x:c r="T342" s="41"/>
      <x:c r="U342" s="41"/>
      <x:c r="V342" s="41"/>
      <x:c r="W342" s="41"/>
      <x:c r="X342" s="41"/>
      <x:c r="Y342" s="41"/>
      <x:c r="Z342" s="41"/>
    </x:row>
    <x:row r="343">
      <x:c r="A343" s="44"/>
      <x:c r="B343" s="44"/>
      <x:c r="C343" s="44"/>
      <x:c r="D343" s="44"/>
      <x:c r="E343" s="44"/>
      <x:c r="F343" s="45"/>
      <x:c r="G343" s="44"/>
      <x:c r="H343" s="45"/>
      <x:c r="I343" s="45"/>
      <x:c r="J343" s="46"/>
      <x:c r="K343" s="46"/>
      <x:c r="L343" s="41"/>
      <x:c r="M343" s="41"/>
      <x:c r="N343" s="41"/>
      <x:c r="O343" s="41"/>
      <x:c r="P343" s="41"/>
      <x:c r="Q343" s="41"/>
      <x:c r="R343" s="41"/>
      <x:c r="S343" s="41"/>
      <x:c r="T343" s="41"/>
      <x:c r="U343" s="41"/>
      <x:c r="V343" s="41"/>
      <x:c r="W343" s="41"/>
      <x:c r="X343" s="41"/>
      <x:c r="Y343" s="41"/>
      <x:c r="Z343" s="41"/>
    </x:row>
    <x:row r="344">
      <x:c r="A344" s="44"/>
      <x:c r="B344" s="44"/>
      <x:c r="C344" s="44"/>
      <x:c r="D344" s="44"/>
      <x:c r="E344" s="44"/>
      <x:c r="F344" s="45"/>
      <x:c r="G344" s="44"/>
      <x:c r="H344" s="45"/>
      <x:c r="I344" s="45"/>
      <x:c r="J344" s="46"/>
      <x:c r="K344" s="46"/>
      <x:c r="L344" s="41"/>
      <x:c r="M344" s="41"/>
      <x:c r="N344" s="41"/>
      <x:c r="O344" s="41"/>
      <x:c r="P344" s="41"/>
      <x:c r="Q344" s="41"/>
      <x:c r="R344" s="41"/>
      <x:c r="S344" s="41"/>
      <x:c r="T344" s="41"/>
      <x:c r="U344" s="41"/>
      <x:c r="V344" s="41"/>
      <x:c r="W344" s="41"/>
      <x:c r="X344" s="41"/>
      <x:c r="Y344" s="41"/>
      <x:c r="Z344" s="41"/>
    </x:row>
    <x:row r="345">
      <x:c r="A345" s="44"/>
      <x:c r="B345" s="44"/>
      <x:c r="C345" s="44"/>
      <x:c r="D345" s="44"/>
      <x:c r="E345" s="44"/>
      <x:c r="F345" s="45"/>
      <x:c r="G345" s="44"/>
      <x:c r="H345" s="45"/>
      <x:c r="I345" s="45"/>
      <x:c r="J345" s="46"/>
      <x:c r="K345" s="46"/>
      <x:c r="L345" s="41"/>
      <x:c r="M345" s="41"/>
      <x:c r="N345" s="41"/>
      <x:c r="O345" s="41"/>
      <x:c r="P345" s="41"/>
      <x:c r="Q345" s="41"/>
      <x:c r="R345" s="41"/>
      <x:c r="S345" s="41"/>
      <x:c r="T345" s="41"/>
      <x:c r="U345" s="41"/>
      <x:c r="V345" s="41"/>
      <x:c r="W345" s="41"/>
      <x:c r="X345" s="41"/>
      <x:c r="Y345" s="41"/>
      <x:c r="Z345" s="41"/>
    </x:row>
    <x:row r="346">
      <x:c r="A346" s="44"/>
      <x:c r="B346" s="44"/>
      <x:c r="C346" s="44"/>
      <x:c r="D346" s="44"/>
      <x:c r="E346" s="44"/>
      <x:c r="F346" s="45"/>
      <x:c r="G346" s="44"/>
      <x:c r="H346" s="45"/>
      <x:c r="I346" s="45"/>
      <x:c r="J346" s="46"/>
      <x:c r="K346" s="46"/>
      <x:c r="L346" s="41"/>
      <x:c r="M346" s="41"/>
      <x:c r="N346" s="41"/>
      <x:c r="O346" s="41"/>
      <x:c r="P346" s="41"/>
      <x:c r="Q346" s="41"/>
      <x:c r="R346" s="41"/>
      <x:c r="S346" s="41"/>
      <x:c r="T346" s="41"/>
      <x:c r="U346" s="41"/>
      <x:c r="V346" s="41"/>
      <x:c r="W346" s="41"/>
      <x:c r="X346" s="41"/>
      <x:c r="Y346" s="41"/>
      <x:c r="Z346" s="41"/>
    </x:row>
    <x:row r="347">
      <x:c r="A347" s="44"/>
      <x:c r="B347" s="44"/>
      <x:c r="C347" s="44"/>
      <x:c r="D347" s="44"/>
      <x:c r="E347" s="44"/>
      <x:c r="F347" s="45"/>
      <x:c r="G347" s="44"/>
      <x:c r="H347" s="45"/>
      <x:c r="I347" s="45"/>
      <x:c r="J347" s="46"/>
      <x:c r="K347" s="46"/>
      <x:c r="L347" s="41"/>
      <x:c r="M347" s="41"/>
      <x:c r="N347" s="41"/>
      <x:c r="O347" s="41"/>
      <x:c r="P347" s="41"/>
      <x:c r="Q347" s="41"/>
      <x:c r="R347" s="41"/>
      <x:c r="S347" s="41"/>
      <x:c r="T347" s="41"/>
      <x:c r="U347" s="41"/>
      <x:c r="V347" s="41"/>
      <x:c r="W347" s="41"/>
      <x:c r="X347" s="41"/>
      <x:c r="Y347" s="41"/>
      <x:c r="Z347" s="41"/>
    </x:row>
    <x:row r="348">
      <x:c r="A348" s="44"/>
      <x:c r="B348" s="44"/>
      <x:c r="C348" s="44"/>
      <x:c r="D348" s="44"/>
      <x:c r="E348" s="44"/>
      <x:c r="F348" s="45"/>
      <x:c r="G348" s="44"/>
      <x:c r="H348" s="45"/>
      <x:c r="I348" s="45"/>
      <x:c r="J348" s="46"/>
      <x:c r="K348" s="46"/>
      <x:c r="L348" s="41"/>
      <x:c r="M348" s="41"/>
      <x:c r="N348" s="41"/>
      <x:c r="O348" s="41"/>
      <x:c r="P348" s="41"/>
      <x:c r="Q348" s="41"/>
      <x:c r="R348" s="41"/>
      <x:c r="S348" s="41"/>
      <x:c r="T348" s="41"/>
      <x:c r="U348" s="41"/>
      <x:c r="V348" s="41"/>
      <x:c r="W348" s="41"/>
      <x:c r="X348" s="41"/>
      <x:c r="Y348" s="41"/>
      <x:c r="Z348" s="41"/>
    </x:row>
    <x:row r="349">
      <x:c r="A349" s="44"/>
      <x:c r="B349" s="44"/>
      <x:c r="C349" s="44"/>
      <x:c r="D349" s="44"/>
      <x:c r="E349" s="44"/>
      <x:c r="F349" s="45"/>
      <x:c r="G349" s="44"/>
      <x:c r="H349" s="45"/>
      <x:c r="I349" s="45"/>
      <x:c r="J349" s="46"/>
      <x:c r="K349" s="46"/>
      <x:c r="L349" s="41"/>
      <x:c r="M349" s="41"/>
      <x:c r="N349" s="41"/>
      <x:c r="O349" s="41"/>
      <x:c r="P349" s="41"/>
      <x:c r="Q349" s="41"/>
      <x:c r="R349" s="41"/>
      <x:c r="S349" s="41"/>
      <x:c r="T349" s="41"/>
      <x:c r="U349" s="41"/>
      <x:c r="V349" s="41"/>
      <x:c r="W349" s="41"/>
      <x:c r="X349" s="41"/>
      <x:c r="Y349" s="41"/>
      <x:c r="Z349" s="41"/>
    </x:row>
    <x:row r="350">
      <x:c r="A350" s="44"/>
      <x:c r="B350" s="44"/>
      <x:c r="C350" s="44"/>
      <x:c r="D350" s="44"/>
      <x:c r="E350" s="44"/>
      <x:c r="F350" s="45"/>
      <x:c r="G350" s="44"/>
      <x:c r="H350" s="45"/>
      <x:c r="I350" s="45"/>
      <x:c r="J350" s="46"/>
      <x:c r="K350" s="46"/>
      <x:c r="L350" s="41"/>
      <x:c r="M350" s="41"/>
      <x:c r="N350" s="41"/>
      <x:c r="O350" s="41"/>
      <x:c r="P350" s="41"/>
      <x:c r="Q350" s="41"/>
      <x:c r="R350" s="41"/>
      <x:c r="S350" s="41"/>
      <x:c r="T350" s="41"/>
      <x:c r="U350" s="41"/>
      <x:c r="V350" s="41"/>
      <x:c r="W350" s="41"/>
      <x:c r="X350" s="41"/>
      <x:c r="Y350" s="41"/>
      <x:c r="Z350" s="41"/>
    </x:row>
    <x:row r="351">
      <x:c r="A351" s="44"/>
      <x:c r="B351" s="44"/>
      <x:c r="C351" s="44"/>
      <x:c r="D351" s="44"/>
      <x:c r="E351" s="44"/>
      <x:c r="F351" s="45"/>
      <x:c r="G351" s="44"/>
      <x:c r="H351" s="45"/>
      <x:c r="I351" s="45"/>
      <x:c r="J351" s="46"/>
      <x:c r="K351" s="46"/>
      <x:c r="L351" s="41"/>
      <x:c r="M351" s="41"/>
      <x:c r="N351" s="41"/>
      <x:c r="O351" s="41"/>
      <x:c r="P351" s="41"/>
      <x:c r="Q351" s="41"/>
      <x:c r="R351" s="41"/>
      <x:c r="S351" s="41"/>
      <x:c r="T351" s="41"/>
      <x:c r="U351" s="41"/>
      <x:c r="V351" s="41"/>
      <x:c r="W351" s="41"/>
      <x:c r="X351" s="41"/>
      <x:c r="Y351" s="41"/>
      <x:c r="Z351" s="41"/>
    </x:row>
    <x:row r="352">
      <x:c r="A352" s="44"/>
      <x:c r="B352" s="44"/>
      <x:c r="C352" s="44"/>
      <x:c r="D352" s="44"/>
      <x:c r="E352" s="44"/>
      <x:c r="F352" s="45"/>
      <x:c r="G352" s="44"/>
      <x:c r="H352" s="45"/>
      <x:c r="I352" s="45"/>
      <x:c r="J352" s="46"/>
      <x:c r="K352" s="46"/>
      <x:c r="L352" s="41"/>
      <x:c r="M352" s="41"/>
      <x:c r="N352" s="41"/>
      <x:c r="O352" s="41"/>
      <x:c r="P352" s="41"/>
      <x:c r="Q352" s="41"/>
      <x:c r="R352" s="41"/>
      <x:c r="S352" s="41"/>
      <x:c r="T352" s="41"/>
      <x:c r="U352" s="41"/>
      <x:c r="V352" s="41"/>
      <x:c r="W352" s="41"/>
      <x:c r="X352" s="41"/>
      <x:c r="Y352" s="41"/>
      <x:c r="Z352" s="41"/>
    </x:row>
    <x:row r="353">
      <x:c r="A353" s="44"/>
      <x:c r="B353" s="44"/>
      <x:c r="C353" s="44"/>
      <x:c r="D353" s="44"/>
      <x:c r="E353" s="44"/>
      <x:c r="F353" s="45"/>
      <x:c r="G353" s="44"/>
      <x:c r="H353" s="45"/>
      <x:c r="I353" s="45"/>
      <x:c r="J353" s="46"/>
      <x:c r="K353" s="46"/>
      <x:c r="L353" s="41"/>
      <x:c r="M353" s="41"/>
      <x:c r="N353" s="41"/>
      <x:c r="O353" s="41"/>
      <x:c r="P353" s="41"/>
      <x:c r="Q353" s="41"/>
      <x:c r="R353" s="41"/>
      <x:c r="S353" s="41"/>
      <x:c r="T353" s="41"/>
      <x:c r="U353" s="41"/>
      <x:c r="V353" s="41"/>
      <x:c r="W353" s="41"/>
      <x:c r="X353" s="41"/>
      <x:c r="Y353" s="41"/>
      <x:c r="Z353" s="41"/>
    </x:row>
    <x:row r="354">
      <x:c r="A354" s="44"/>
      <x:c r="B354" s="44"/>
      <x:c r="C354" s="44"/>
      <x:c r="D354" s="44"/>
      <x:c r="E354" s="44"/>
      <x:c r="F354" s="45"/>
      <x:c r="G354" s="44"/>
      <x:c r="H354" s="45"/>
      <x:c r="I354" s="45"/>
      <x:c r="J354" s="46"/>
      <x:c r="K354" s="46"/>
      <x:c r="L354" s="41"/>
      <x:c r="M354" s="41"/>
      <x:c r="N354" s="41"/>
      <x:c r="O354" s="41"/>
      <x:c r="P354" s="41"/>
      <x:c r="Q354" s="41"/>
      <x:c r="R354" s="41"/>
      <x:c r="S354" s="41"/>
      <x:c r="T354" s="41"/>
      <x:c r="U354" s="41"/>
      <x:c r="V354" s="41"/>
      <x:c r="W354" s="41"/>
      <x:c r="X354" s="41"/>
      <x:c r="Y354" s="41"/>
      <x:c r="Z354" s="41"/>
    </x:row>
    <x:row r="355">
      <x:c r="A355" s="44"/>
      <x:c r="B355" s="44"/>
      <x:c r="C355" s="44"/>
      <x:c r="D355" s="44"/>
      <x:c r="E355" s="44"/>
      <x:c r="F355" s="45"/>
      <x:c r="G355" s="44"/>
      <x:c r="H355" s="45"/>
      <x:c r="I355" s="45"/>
      <x:c r="J355" s="46"/>
      <x:c r="K355" s="46"/>
      <x:c r="L355" s="41"/>
      <x:c r="M355" s="41"/>
      <x:c r="N355" s="41"/>
      <x:c r="O355" s="41"/>
      <x:c r="P355" s="41"/>
      <x:c r="Q355" s="41"/>
      <x:c r="R355" s="41"/>
      <x:c r="S355" s="41"/>
      <x:c r="T355" s="41"/>
      <x:c r="U355" s="41"/>
      <x:c r="V355" s="41"/>
      <x:c r="W355" s="41"/>
      <x:c r="X355" s="41"/>
      <x:c r="Y355" s="41"/>
      <x:c r="Z355" s="41"/>
    </x:row>
    <x:row r="356">
      <x:c r="A356" s="44"/>
      <x:c r="B356" s="44"/>
      <x:c r="C356" s="44"/>
      <x:c r="D356" s="44"/>
      <x:c r="E356" s="44"/>
      <x:c r="F356" s="45"/>
      <x:c r="G356" s="44"/>
      <x:c r="H356" s="45"/>
      <x:c r="I356" s="45"/>
      <x:c r="J356" s="46"/>
      <x:c r="K356" s="46"/>
      <x:c r="L356" s="41"/>
      <x:c r="M356" s="41"/>
      <x:c r="N356" s="41"/>
      <x:c r="O356" s="41"/>
      <x:c r="P356" s="41"/>
      <x:c r="Q356" s="41"/>
      <x:c r="R356" s="41"/>
      <x:c r="S356" s="41"/>
      <x:c r="T356" s="41"/>
      <x:c r="U356" s="41"/>
      <x:c r="V356" s="41"/>
      <x:c r="W356" s="41"/>
      <x:c r="X356" s="41"/>
      <x:c r="Y356" s="41"/>
      <x:c r="Z356" s="41"/>
    </x:row>
    <x:row r="357">
      <x:c r="A357" s="44"/>
      <x:c r="B357" s="44"/>
      <x:c r="C357" s="44"/>
      <x:c r="D357" s="44"/>
      <x:c r="E357" s="44"/>
      <x:c r="F357" s="45"/>
      <x:c r="G357" s="44"/>
      <x:c r="H357" s="45"/>
      <x:c r="I357" s="45"/>
      <x:c r="J357" s="46"/>
      <x:c r="K357" s="46"/>
      <x:c r="L357" s="41"/>
      <x:c r="M357" s="41"/>
      <x:c r="N357" s="41"/>
      <x:c r="O357" s="41"/>
      <x:c r="P357" s="41"/>
      <x:c r="Q357" s="41"/>
      <x:c r="R357" s="41"/>
      <x:c r="S357" s="41"/>
      <x:c r="T357" s="41"/>
      <x:c r="U357" s="41"/>
      <x:c r="V357" s="41"/>
      <x:c r="W357" s="41"/>
      <x:c r="X357" s="41"/>
      <x:c r="Y357" s="41"/>
      <x:c r="Z357" s="41"/>
    </x:row>
    <x:row r="358">
      <x:c r="A358" s="44"/>
      <x:c r="B358" s="44"/>
      <x:c r="C358" s="44"/>
      <x:c r="D358" s="44"/>
      <x:c r="E358" s="44"/>
      <x:c r="F358" s="45"/>
      <x:c r="G358" s="44"/>
      <x:c r="H358" s="45"/>
      <x:c r="I358" s="45"/>
      <x:c r="J358" s="46"/>
      <x:c r="K358" s="46"/>
      <x:c r="L358" s="41"/>
      <x:c r="M358" s="41"/>
      <x:c r="N358" s="41"/>
      <x:c r="O358" s="41"/>
      <x:c r="P358" s="41"/>
      <x:c r="Q358" s="41"/>
      <x:c r="R358" s="41"/>
      <x:c r="S358" s="41"/>
      <x:c r="T358" s="41"/>
      <x:c r="U358" s="41"/>
      <x:c r="V358" s="41"/>
      <x:c r="W358" s="41"/>
      <x:c r="X358" s="41"/>
      <x:c r="Y358" s="41"/>
      <x:c r="Z358" s="41"/>
    </x:row>
    <x:row r="359">
      <x:c r="A359" s="44"/>
      <x:c r="B359" s="44"/>
      <x:c r="C359" s="44"/>
      <x:c r="D359" s="44"/>
      <x:c r="E359" s="44"/>
      <x:c r="F359" s="45"/>
      <x:c r="G359" s="44"/>
      <x:c r="H359" s="45"/>
      <x:c r="I359" s="45"/>
      <x:c r="J359" s="46"/>
      <x:c r="K359" s="46"/>
      <x:c r="L359" s="41"/>
      <x:c r="M359" s="41"/>
      <x:c r="N359" s="41"/>
      <x:c r="O359" s="41"/>
      <x:c r="P359" s="41"/>
      <x:c r="Q359" s="41"/>
      <x:c r="R359" s="41"/>
      <x:c r="S359" s="41"/>
      <x:c r="T359" s="41"/>
      <x:c r="U359" s="41"/>
      <x:c r="V359" s="41"/>
      <x:c r="W359" s="41"/>
      <x:c r="X359" s="41"/>
      <x:c r="Y359" s="41"/>
      <x:c r="Z359" s="41"/>
    </x:row>
    <x:row r="360">
      <x:c r="A360" s="44"/>
      <x:c r="B360" s="44"/>
      <x:c r="C360" s="44"/>
      <x:c r="D360" s="44"/>
      <x:c r="E360" s="44"/>
      <x:c r="F360" s="45"/>
      <x:c r="G360" s="44"/>
      <x:c r="H360" s="45"/>
      <x:c r="I360" s="45"/>
      <x:c r="J360" s="46"/>
      <x:c r="K360" s="46"/>
      <x:c r="L360" s="41"/>
      <x:c r="M360" s="41"/>
      <x:c r="N360" s="41"/>
      <x:c r="O360" s="41"/>
      <x:c r="P360" s="41"/>
      <x:c r="Q360" s="41"/>
      <x:c r="R360" s="41"/>
      <x:c r="S360" s="41"/>
      <x:c r="T360" s="41"/>
      <x:c r="U360" s="41"/>
      <x:c r="V360" s="41"/>
      <x:c r="W360" s="41"/>
      <x:c r="X360" s="41"/>
      <x:c r="Y360" s="41"/>
      <x:c r="Z360" s="41"/>
    </x:row>
    <x:row r="361">
      <x:c r="A361" s="44"/>
      <x:c r="B361" s="44"/>
      <x:c r="C361" s="44"/>
      <x:c r="D361" s="44"/>
      <x:c r="E361" s="44"/>
      <x:c r="F361" s="45"/>
      <x:c r="G361" s="44"/>
      <x:c r="H361" s="45"/>
      <x:c r="I361" s="45"/>
      <x:c r="J361" s="46"/>
      <x:c r="K361" s="46"/>
      <x:c r="L361" s="41"/>
      <x:c r="M361" s="41"/>
      <x:c r="N361" s="41"/>
      <x:c r="O361" s="41"/>
      <x:c r="P361" s="41"/>
      <x:c r="Q361" s="41"/>
      <x:c r="R361" s="41"/>
      <x:c r="S361" s="41"/>
      <x:c r="T361" s="41"/>
      <x:c r="U361" s="41"/>
      <x:c r="V361" s="41"/>
      <x:c r="W361" s="41"/>
      <x:c r="X361" s="41"/>
      <x:c r="Y361" s="41"/>
      <x:c r="Z361" s="41"/>
    </x:row>
    <x:row r="362">
      <x:c r="A362" s="44"/>
      <x:c r="B362" s="44"/>
      <x:c r="C362" s="44"/>
      <x:c r="D362" s="44"/>
      <x:c r="E362" s="44"/>
      <x:c r="F362" s="45"/>
      <x:c r="G362" s="44"/>
      <x:c r="H362" s="45"/>
      <x:c r="I362" s="45"/>
      <x:c r="J362" s="46"/>
      <x:c r="K362" s="46"/>
      <x:c r="L362" s="41"/>
      <x:c r="M362" s="41"/>
      <x:c r="N362" s="41"/>
      <x:c r="O362" s="41"/>
      <x:c r="P362" s="41"/>
      <x:c r="Q362" s="41"/>
      <x:c r="R362" s="41"/>
      <x:c r="S362" s="41"/>
      <x:c r="T362" s="41"/>
      <x:c r="U362" s="41"/>
      <x:c r="V362" s="41"/>
      <x:c r="W362" s="41"/>
      <x:c r="X362" s="41"/>
      <x:c r="Y362" s="41"/>
      <x:c r="Z362" s="41"/>
    </x:row>
    <x:row r="363">
      <x:c r="A363" s="44"/>
      <x:c r="B363" s="44"/>
      <x:c r="C363" s="44"/>
      <x:c r="D363" s="44"/>
      <x:c r="E363" s="44"/>
      <x:c r="F363" s="45"/>
      <x:c r="G363" s="44"/>
      <x:c r="H363" s="45"/>
      <x:c r="I363" s="45"/>
      <x:c r="J363" s="46"/>
      <x:c r="K363" s="46"/>
      <x:c r="L363" s="41"/>
      <x:c r="M363" s="41"/>
      <x:c r="N363" s="41"/>
      <x:c r="O363" s="41"/>
      <x:c r="P363" s="41"/>
      <x:c r="Q363" s="41"/>
      <x:c r="R363" s="41"/>
      <x:c r="S363" s="41"/>
      <x:c r="T363" s="41"/>
      <x:c r="U363" s="41"/>
      <x:c r="V363" s="41"/>
      <x:c r="W363" s="41"/>
      <x:c r="X363" s="41"/>
      <x:c r="Y363" s="41"/>
      <x:c r="Z363" s="41"/>
    </x:row>
    <x:row r="364">
      <x:c r="A364" s="44"/>
      <x:c r="B364" s="44"/>
      <x:c r="C364" s="44"/>
      <x:c r="D364" s="44"/>
      <x:c r="E364" s="44"/>
      <x:c r="F364" s="45"/>
      <x:c r="G364" s="44"/>
      <x:c r="H364" s="45"/>
      <x:c r="I364" s="45"/>
      <x:c r="J364" s="46"/>
      <x:c r="K364" s="46"/>
      <x:c r="L364" s="41"/>
      <x:c r="M364" s="41"/>
      <x:c r="N364" s="41"/>
      <x:c r="O364" s="41"/>
      <x:c r="P364" s="41"/>
      <x:c r="Q364" s="41"/>
      <x:c r="R364" s="41"/>
      <x:c r="S364" s="41"/>
      <x:c r="T364" s="41"/>
      <x:c r="U364" s="41"/>
      <x:c r="V364" s="41"/>
      <x:c r="W364" s="41"/>
      <x:c r="X364" s="41"/>
      <x:c r="Y364" s="41"/>
      <x:c r="Z364" s="41"/>
    </x:row>
    <x:row r="365">
      <x:c r="A365" s="44"/>
      <x:c r="B365" s="44"/>
      <x:c r="C365" s="44"/>
      <x:c r="D365" s="44"/>
      <x:c r="E365" s="44"/>
      <x:c r="F365" s="45"/>
      <x:c r="G365" s="44"/>
      <x:c r="H365" s="45"/>
      <x:c r="I365" s="45"/>
      <x:c r="J365" s="46"/>
      <x:c r="K365" s="46"/>
      <x:c r="L365" s="41"/>
      <x:c r="M365" s="41"/>
      <x:c r="N365" s="41"/>
      <x:c r="O365" s="41"/>
      <x:c r="P365" s="41"/>
      <x:c r="Q365" s="41"/>
      <x:c r="R365" s="41"/>
      <x:c r="S365" s="41"/>
      <x:c r="T365" s="41"/>
      <x:c r="U365" s="41"/>
      <x:c r="V365" s="41"/>
      <x:c r="W365" s="41"/>
      <x:c r="X365" s="41"/>
      <x:c r="Y365" s="41"/>
      <x:c r="Z365" s="41"/>
    </x:row>
    <x:row r="366">
      <x:c r="A366" s="44"/>
      <x:c r="B366" s="44"/>
      <x:c r="C366" s="44"/>
      <x:c r="D366" s="44"/>
      <x:c r="E366" s="44"/>
      <x:c r="F366" s="45"/>
      <x:c r="G366" s="44"/>
      <x:c r="H366" s="45"/>
      <x:c r="I366" s="45"/>
      <x:c r="J366" s="46"/>
      <x:c r="K366" s="46"/>
      <x:c r="L366" s="41"/>
      <x:c r="M366" s="41"/>
      <x:c r="N366" s="41"/>
      <x:c r="O366" s="41"/>
      <x:c r="P366" s="41"/>
      <x:c r="Q366" s="41"/>
      <x:c r="R366" s="41"/>
      <x:c r="S366" s="41"/>
      <x:c r="T366" s="41"/>
      <x:c r="U366" s="41"/>
      <x:c r="V366" s="41"/>
      <x:c r="W366" s="41"/>
      <x:c r="X366" s="41"/>
      <x:c r="Y366" s="41"/>
      <x:c r="Z366" s="41"/>
    </x:row>
    <x:row r="367">
      <x:c r="A367" s="44"/>
      <x:c r="B367" s="44"/>
      <x:c r="C367" s="44"/>
      <x:c r="D367" s="44"/>
      <x:c r="E367" s="44"/>
      <x:c r="F367" s="45"/>
      <x:c r="G367" s="44"/>
      <x:c r="H367" s="45"/>
      <x:c r="I367" s="45"/>
      <x:c r="J367" s="46"/>
      <x:c r="K367" s="46"/>
      <x:c r="L367" s="41"/>
      <x:c r="M367" s="41"/>
      <x:c r="N367" s="41"/>
      <x:c r="O367" s="41"/>
      <x:c r="P367" s="41"/>
      <x:c r="Q367" s="41"/>
      <x:c r="R367" s="41"/>
      <x:c r="S367" s="41"/>
      <x:c r="T367" s="41"/>
      <x:c r="U367" s="41"/>
      <x:c r="V367" s="41"/>
      <x:c r="W367" s="41"/>
      <x:c r="X367" s="41"/>
      <x:c r="Y367" s="41"/>
      <x:c r="Z367" s="41"/>
    </x:row>
    <x:row r="368">
      <x:c r="A368" s="44"/>
      <x:c r="B368" s="44"/>
      <x:c r="C368" s="44"/>
      <x:c r="D368" s="44"/>
      <x:c r="E368" s="44"/>
      <x:c r="F368" s="45"/>
      <x:c r="G368" s="44"/>
      <x:c r="H368" s="45"/>
      <x:c r="I368" s="45"/>
      <x:c r="J368" s="46"/>
      <x:c r="K368" s="46"/>
      <x:c r="L368" s="41"/>
      <x:c r="M368" s="41"/>
      <x:c r="N368" s="41"/>
      <x:c r="O368" s="41"/>
      <x:c r="P368" s="41"/>
      <x:c r="Q368" s="41"/>
      <x:c r="R368" s="41"/>
      <x:c r="S368" s="41"/>
      <x:c r="T368" s="41"/>
      <x:c r="U368" s="41"/>
      <x:c r="V368" s="41"/>
      <x:c r="W368" s="41"/>
      <x:c r="X368" s="41"/>
      <x:c r="Y368" s="41"/>
      <x:c r="Z368" s="41"/>
    </x:row>
    <x:row r="369">
      <x:c r="A369" s="44"/>
      <x:c r="B369" s="44"/>
      <x:c r="C369" s="44"/>
      <x:c r="D369" s="44"/>
      <x:c r="E369" s="44"/>
      <x:c r="F369" s="45"/>
      <x:c r="G369" s="44"/>
      <x:c r="H369" s="45"/>
      <x:c r="I369" s="45"/>
      <x:c r="J369" s="46"/>
      <x:c r="K369" s="46"/>
      <x:c r="L369" s="41"/>
      <x:c r="M369" s="41"/>
      <x:c r="N369" s="41"/>
      <x:c r="O369" s="41"/>
      <x:c r="P369" s="41"/>
      <x:c r="Q369" s="41"/>
      <x:c r="R369" s="41"/>
      <x:c r="S369" s="41"/>
      <x:c r="T369" s="41"/>
      <x:c r="U369" s="41"/>
      <x:c r="V369" s="41"/>
      <x:c r="W369" s="41"/>
      <x:c r="X369" s="41"/>
      <x:c r="Y369" s="41"/>
      <x:c r="Z369" s="41"/>
    </x:row>
    <x:row r="370">
      <x:c r="A370" s="44"/>
      <x:c r="B370" s="44"/>
      <x:c r="C370" s="44"/>
      <x:c r="D370" s="44"/>
      <x:c r="E370" s="44"/>
      <x:c r="F370" s="45"/>
      <x:c r="G370" s="44"/>
      <x:c r="H370" s="45"/>
      <x:c r="I370" s="45"/>
      <x:c r="J370" s="46"/>
      <x:c r="K370" s="46"/>
      <x:c r="L370" s="41"/>
      <x:c r="M370" s="41"/>
      <x:c r="N370" s="41"/>
      <x:c r="O370" s="41"/>
      <x:c r="P370" s="41"/>
      <x:c r="Q370" s="41"/>
      <x:c r="R370" s="41"/>
      <x:c r="S370" s="41"/>
      <x:c r="T370" s="41"/>
      <x:c r="U370" s="41"/>
      <x:c r="V370" s="41"/>
      <x:c r="W370" s="41"/>
      <x:c r="X370" s="41"/>
      <x:c r="Y370" s="41"/>
      <x:c r="Z370" s="41"/>
    </x:row>
    <x:row r="371">
      <x:c r="A371" s="44"/>
      <x:c r="B371" s="44"/>
      <x:c r="C371" s="44"/>
      <x:c r="D371" s="44"/>
      <x:c r="E371" s="44"/>
      <x:c r="F371" s="45"/>
      <x:c r="G371" s="44"/>
      <x:c r="H371" s="45"/>
      <x:c r="I371" s="45"/>
      <x:c r="J371" s="46"/>
      <x:c r="K371" s="46"/>
      <x:c r="L371" s="41"/>
      <x:c r="M371" s="41"/>
      <x:c r="N371" s="41"/>
      <x:c r="O371" s="41"/>
      <x:c r="P371" s="41"/>
      <x:c r="Q371" s="41"/>
      <x:c r="R371" s="41"/>
      <x:c r="S371" s="41"/>
      <x:c r="T371" s="41"/>
      <x:c r="U371" s="41"/>
      <x:c r="V371" s="41"/>
      <x:c r="W371" s="41"/>
      <x:c r="X371" s="41"/>
      <x:c r="Y371" s="41"/>
      <x:c r="Z371" s="41"/>
    </x:row>
    <x:row r="372">
      <x:c r="A372" s="44"/>
      <x:c r="B372" s="44"/>
      <x:c r="C372" s="44"/>
      <x:c r="D372" s="44"/>
      <x:c r="E372" s="44"/>
      <x:c r="F372" s="45"/>
      <x:c r="G372" s="44"/>
      <x:c r="H372" s="45"/>
      <x:c r="I372" s="45"/>
      <x:c r="J372" s="46"/>
      <x:c r="K372" s="46"/>
      <x:c r="L372" s="41"/>
      <x:c r="M372" s="41"/>
      <x:c r="N372" s="41"/>
      <x:c r="O372" s="41"/>
      <x:c r="P372" s="41"/>
      <x:c r="Q372" s="41"/>
      <x:c r="R372" s="41"/>
      <x:c r="S372" s="41"/>
      <x:c r="T372" s="41"/>
      <x:c r="U372" s="41"/>
      <x:c r="V372" s="41"/>
      <x:c r="W372" s="41"/>
      <x:c r="X372" s="41"/>
      <x:c r="Y372" s="41"/>
      <x:c r="Z372" s="41"/>
    </x:row>
    <x:row r="373">
      <x:c r="A373" s="44"/>
      <x:c r="B373" s="44"/>
      <x:c r="C373" s="44"/>
      <x:c r="D373" s="44"/>
      <x:c r="E373" s="44"/>
      <x:c r="F373" s="45"/>
      <x:c r="G373" s="44"/>
      <x:c r="H373" s="45"/>
      <x:c r="I373" s="45"/>
      <x:c r="J373" s="46"/>
      <x:c r="K373" s="46"/>
      <x:c r="L373" s="41"/>
      <x:c r="M373" s="41"/>
      <x:c r="N373" s="41"/>
      <x:c r="O373" s="41"/>
      <x:c r="P373" s="41"/>
      <x:c r="Q373" s="41"/>
      <x:c r="R373" s="41"/>
      <x:c r="S373" s="41"/>
      <x:c r="T373" s="41"/>
      <x:c r="U373" s="41"/>
      <x:c r="V373" s="41"/>
      <x:c r="W373" s="41"/>
      <x:c r="X373" s="41"/>
      <x:c r="Y373" s="41"/>
      <x:c r="Z373" s="41"/>
    </x:row>
    <x:row r="374">
      <x:c r="A374" s="44"/>
      <x:c r="B374" s="44"/>
      <x:c r="C374" s="44"/>
      <x:c r="D374" s="44"/>
      <x:c r="E374" s="44"/>
      <x:c r="F374" s="45"/>
      <x:c r="G374" s="44"/>
      <x:c r="H374" s="45"/>
      <x:c r="I374" s="45"/>
      <x:c r="J374" s="46"/>
      <x:c r="K374" s="46"/>
      <x:c r="L374" s="41"/>
      <x:c r="M374" s="41"/>
      <x:c r="N374" s="41"/>
      <x:c r="O374" s="41"/>
      <x:c r="P374" s="41"/>
      <x:c r="Q374" s="41"/>
      <x:c r="R374" s="41"/>
      <x:c r="S374" s="41"/>
      <x:c r="T374" s="41"/>
      <x:c r="U374" s="41"/>
      <x:c r="V374" s="41"/>
      <x:c r="W374" s="41"/>
      <x:c r="X374" s="41"/>
      <x:c r="Y374" s="41"/>
      <x:c r="Z374" s="41"/>
    </x:row>
    <x:row r="375">
      <x:c r="A375" s="44"/>
      <x:c r="B375" s="44"/>
      <x:c r="C375" s="44"/>
      <x:c r="D375" s="44"/>
      <x:c r="E375" s="44"/>
      <x:c r="F375" s="45"/>
      <x:c r="G375" s="44"/>
      <x:c r="H375" s="45"/>
      <x:c r="I375" s="45"/>
      <x:c r="J375" s="46"/>
      <x:c r="K375" s="46"/>
      <x:c r="L375" s="41"/>
      <x:c r="M375" s="41"/>
      <x:c r="N375" s="41"/>
      <x:c r="O375" s="41"/>
      <x:c r="P375" s="41"/>
      <x:c r="Q375" s="41"/>
      <x:c r="R375" s="41"/>
      <x:c r="S375" s="41"/>
      <x:c r="T375" s="41"/>
      <x:c r="U375" s="41"/>
      <x:c r="V375" s="41"/>
      <x:c r="W375" s="41"/>
      <x:c r="X375" s="41"/>
      <x:c r="Y375" s="41"/>
      <x:c r="Z375" s="41"/>
    </x:row>
    <x:row r="376">
      <x:c r="A376" s="44"/>
      <x:c r="B376" s="44"/>
      <x:c r="C376" s="44"/>
      <x:c r="D376" s="44"/>
      <x:c r="E376" s="44"/>
      <x:c r="F376" s="45"/>
      <x:c r="G376" s="44"/>
      <x:c r="H376" s="45"/>
      <x:c r="I376" s="45"/>
      <x:c r="J376" s="46"/>
      <x:c r="K376" s="46"/>
      <x:c r="L376" s="41"/>
      <x:c r="M376" s="41"/>
      <x:c r="N376" s="41"/>
      <x:c r="O376" s="41"/>
      <x:c r="P376" s="41"/>
      <x:c r="Q376" s="41"/>
      <x:c r="R376" s="41"/>
      <x:c r="S376" s="41"/>
      <x:c r="T376" s="41"/>
      <x:c r="U376" s="41"/>
      <x:c r="V376" s="41"/>
      <x:c r="W376" s="41"/>
      <x:c r="X376" s="41"/>
      <x:c r="Y376" s="41"/>
      <x:c r="Z376" s="41"/>
    </x:row>
    <x:row r="377">
      <x:c r="A377" s="44"/>
      <x:c r="B377" s="44"/>
      <x:c r="C377" s="44"/>
      <x:c r="D377" s="44"/>
      <x:c r="E377" s="44"/>
      <x:c r="F377" s="45"/>
      <x:c r="G377" s="44"/>
      <x:c r="H377" s="45"/>
      <x:c r="I377" s="45"/>
      <x:c r="J377" s="46"/>
      <x:c r="K377" s="46"/>
      <x:c r="L377" s="41"/>
      <x:c r="M377" s="41"/>
      <x:c r="N377" s="41"/>
      <x:c r="O377" s="41"/>
      <x:c r="P377" s="41"/>
      <x:c r="Q377" s="41"/>
      <x:c r="R377" s="41"/>
      <x:c r="S377" s="41"/>
      <x:c r="T377" s="41"/>
      <x:c r="U377" s="41"/>
      <x:c r="V377" s="41"/>
      <x:c r="W377" s="41"/>
      <x:c r="X377" s="41"/>
      <x:c r="Y377" s="41"/>
      <x:c r="Z377" s="41"/>
    </x:row>
    <x:row r="378">
      <x:c r="A378" s="44"/>
      <x:c r="B378" s="44"/>
      <x:c r="C378" s="44"/>
      <x:c r="D378" s="44"/>
      <x:c r="E378" s="44"/>
      <x:c r="F378" s="45"/>
      <x:c r="G378" s="44"/>
      <x:c r="H378" s="45"/>
      <x:c r="I378" s="45"/>
      <x:c r="J378" s="46"/>
      <x:c r="K378" s="46"/>
      <x:c r="L378" s="41"/>
      <x:c r="M378" s="41"/>
      <x:c r="N378" s="41"/>
      <x:c r="O378" s="41"/>
      <x:c r="P378" s="41"/>
      <x:c r="Q378" s="41"/>
      <x:c r="R378" s="41"/>
      <x:c r="S378" s="41"/>
      <x:c r="T378" s="41"/>
      <x:c r="U378" s="41"/>
      <x:c r="V378" s="41"/>
      <x:c r="W378" s="41"/>
      <x:c r="X378" s="41"/>
      <x:c r="Y378" s="41"/>
      <x:c r="Z378" s="41"/>
    </x:row>
    <x:row r="379">
      <x:c r="A379" s="44"/>
      <x:c r="B379" s="44"/>
      <x:c r="C379" s="44"/>
      <x:c r="D379" s="44"/>
      <x:c r="E379" s="44"/>
      <x:c r="F379" s="45"/>
      <x:c r="G379" s="44"/>
      <x:c r="H379" s="45"/>
      <x:c r="I379" s="45"/>
      <x:c r="J379" s="46"/>
      <x:c r="K379" s="46"/>
      <x:c r="L379" s="41"/>
      <x:c r="M379" s="41"/>
      <x:c r="N379" s="41"/>
      <x:c r="O379" s="41"/>
      <x:c r="P379" s="41"/>
      <x:c r="Q379" s="41"/>
      <x:c r="R379" s="41"/>
      <x:c r="S379" s="41"/>
      <x:c r="T379" s="41"/>
      <x:c r="U379" s="41"/>
      <x:c r="V379" s="41"/>
      <x:c r="W379" s="41"/>
      <x:c r="X379" s="41"/>
      <x:c r="Y379" s="41"/>
      <x:c r="Z379" s="41"/>
    </x:row>
    <x:row r="380">
      <x:c r="A380" s="44"/>
      <x:c r="B380" s="44"/>
      <x:c r="C380" s="44"/>
      <x:c r="D380" s="44"/>
      <x:c r="E380" s="44"/>
      <x:c r="F380" s="45"/>
      <x:c r="G380" s="44"/>
      <x:c r="H380" s="45"/>
      <x:c r="I380" s="45"/>
      <x:c r="J380" s="46"/>
      <x:c r="K380" s="46"/>
      <x:c r="L380" s="41"/>
      <x:c r="M380" s="41"/>
      <x:c r="N380" s="41"/>
      <x:c r="O380" s="41"/>
      <x:c r="P380" s="41"/>
      <x:c r="Q380" s="41"/>
      <x:c r="R380" s="41"/>
      <x:c r="S380" s="41"/>
      <x:c r="T380" s="41"/>
      <x:c r="U380" s="41"/>
      <x:c r="V380" s="41"/>
      <x:c r="W380" s="41"/>
      <x:c r="X380" s="41"/>
      <x:c r="Y380" s="41"/>
      <x:c r="Z380" s="41"/>
    </x:row>
    <x:row r="381">
      <x:c r="A381" s="44"/>
      <x:c r="B381" s="44"/>
      <x:c r="C381" s="44"/>
      <x:c r="D381" s="44"/>
      <x:c r="E381" s="44"/>
      <x:c r="F381" s="45"/>
      <x:c r="G381" s="44"/>
      <x:c r="H381" s="45"/>
      <x:c r="I381" s="45"/>
      <x:c r="J381" s="46"/>
      <x:c r="K381" s="46"/>
      <x:c r="L381" s="41"/>
      <x:c r="M381" s="41"/>
      <x:c r="N381" s="41"/>
      <x:c r="O381" s="41"/>
      <x:c r="P381" s="41"/>
      <x:c r="Q381" s="41"/>
      <x:c r="R381" s="41"/>
      <x:c r="S381" s="41"/>
      <x:c r="T381" s="41"/>
      <x:c r="U381" s="41"/>
      <x:c r="V381" s="41"/>
      <x:c r="W381" s="41"/>
      <x:c r="X381" s="41"/>
      <x:c r="Y381" s="41"/>
      <x:c r="Z381" s="41"/>
    </x:row>
    <x:row r="382">
      <x:c r="A382" s="44"/>
      <x:c r="B382" s="44"/>
      <x:c r="C382" s="44"/>
      <x:c r="D382" s="44"/>
      <x:c r="E382" s="44"/>
      <x:c r="F382" s="45"/>
      <x:c r="G382" s="44"/>
      <x:c r="H382" s="45"/>
      <x:c r="I382" s="45"/>
      <x:c r="J382" s="46"/>
      <x:c r="K382" s="46"/>
      <x:c r="L382" s="41"/>
      <x:c r="M382" s="41"/>
      <x:c r="N382" s="41"/>
      <x:c r="O382" s="41"/>
      <x:c r="P382" s="41"/>
      <x:c r="Q382" s="41"/>
      <x:c r="R382" s="41"/>
      <x:c r="S382" s="41"/>
      <x:c r="T382" s="41"/>
      <x:c r="U382" s="41"/>
      <x:c r="V382" s="41"/>
      <x:c r="W382" s="41"/>
      <x:c r="X382" s="41"/>
      <x:c r="Y382" s="41"/>
      <x:c r="Z382" s="41"/>
    </x:row>
    <x:row r="383">
      <x:c r="A383" s="44"/>
      <x:c r="B383" s="44"/>
      <x:c r="C383" s="44"/>
      <x:c r="D383" s="44"/>
      <x:c r="E383" s="44"/>
      <x:c r="F383" s="45"/>
      <x:c r="G383" s="44"/>
      <x:c r="H383" s="45"/>
      <x:c r="I383" s="45"/>
      <x:c r="J383" s="46"/>
      <x:c r="K383" s="46"/>
      <x:c r="L383" s="41"/>
      <x:c r="M383" s="41"/>
      <x:c r="N383" s="41"/>
      <x:c r="O383" s="41"/>
      <x:c r="P383" s="41"/>
      <x:c r="Q383" s="41"/>
      <x:c r="R383" s="41"/>
      <x:c r="S383" s="41"/>
      <x:c r="T383" s="41"/>
      <x:c r="U383" s="41"/>
      <x:c r="V383" s="41"/>
      <x:c r="W383" s="41"/>
      <x:c r="X383" s="41"/>
      <x:c r="Y383" s="41"/>
      <x:c r="Z383" s="41"/>
    </x:row>
    <x:row r="384">
      <x:c r="A384" s="44"/>
      <x:c r="B384" s="44"/>
      <x:c r="C384" s="44"/>
      <x:c r="D384" s="44"/>
      <x:c r="E384" s="44"/>
      <x:c r="F384" s="45"/>
      <x:c r="G384" s="44"/>
      <x:c r="H384" s="45"/>
      <x:c r="I384" s="45"/>
      <x:c r="J384" s="46"/>
      <x:c r="K384" s="46"/>
      <x:c r="L384" s="41"/>
      <x:c r="M384" s="41"/>
      <x:c r="N384" s="41"/>
      <x:c r="O384" s="41"/>
      <x:c r="P384" s="41"/>
      <x:c r="Q384" s="41"/>
      <x:c r="R384" s="41"/>
      <x:c r="S384" s="41"/>
      <x:c r="T384" s="41"/>
      <x:c r="U384" s="41"/>
      <x:c r="V384" s="41"/>
      <x:c r="W384" s="41"/>
      <x:c r="X384" s="41"/>
      <x:c r="Y384" s="41"/>
      <x:c r="Z384" s="41"/>
    </x:row>
    <x:row r="385">
      <x:c r="A385" s="44"/>
      <x:c r="B385" s="44"/>
      <x:c r="C385" s="44"/>
      <x:c r="D385" s="44"/>
      <x:c r="E385" s="44"/>
      <x:c r="F385" s="45"/>
      <x:c r="G385" s="44"/>
      <x:c r="H385" s="45"/>
      <x:c r="I385" s="45"/>
      <x:c r="J385" s="46"/>
      <x:c r="K385" s="46"/>
      <x:c r="L385" s="41"/>
      <x:c r="M385" s="41"/>
      <x:c r="N385" s="41"/>
      <x:c r="O385" s="41"/>
      <x:c r="P385" s="41"/>
      <x:c r="Q385" s="41"/>
      <x:c r="R385" s="41"/>
      <x:c r="S385" s="41"/>
      <x:c r="T385" s="41"/>
      <x:c r="U385" s="41"/>
      <x:c r="V385" s="41"/>
      <x:c r="W385" s="41"/>
      <x:c r="X385" s="41"/>
      <x:c r="Y385" s="41"/>
      <x:c r="Z385" s="41"/>
    </x:row>
    <x:row r="386">
      <x:c r="A386" s="44"/>
      <x:c r="B386" s="44"/>
      <x:c r="C386" s="44"/>
      <x:c r="D386" s="44"/>
      <x:c r="E386" s="44"/>
      <x:c r="F386" s="45"/>
      <x:c r="G386" s="44"/>
      <x:c r="H386" s="45"/>
      <x:c r="I386" s="45"/>
      <x:c r="J386" s="46"/>
      <x:c r="K386" s="46"/>
      <x:c r="L386" s="41"/>
      <x:c r="M386" s="41"/>
      <x:c r="N386" s="41"/>
      <x:c r="O386" s="41"/>
      <x:c r="P386" s="41"/>
      <x:c r="Q386" s="41"/>
      <x:c r="R386" s="41"/>
      <x:c r="S386" s="41"/>
      <x:c r="T386" s="41"/>
      <x:c r="U386" s="41"/>
      <x:c r="V386" s="41"/>
      <x:c r="W386" s="41"/>
      <x:c r="X386" s="41"/>
      <x:c r="Y386" s="41"/>
      <x:c r="Z386" s="41"/>
    </x:row>
    <x:row r="387">
      <x:c r="A387" s="44"/>
      <x:c r="B387" s="44"/>
      <x:c r="C387" s="44"/>
      <x:c r="D387" s="44"/>
      <x:c r="E387" s="44"/>
      <x:c r="F387" s="45"/>
      <x:c r="G387" s="44"/>
      <x:c r="H387" s="45"/>
      <x:c r="I387" s="45"/>
      <x:c r="J387" s="46"/>
      <x:c r="K387" s="46"/>
      <x:c r="L387" s="41"/>
      <x:c r="M387" s="41"/>
      <x:c r="N387" s="41"/>
      <x:c r="O387" s="41"/>
      <x:c r="P387" s="41"/>
      <x:c r="Q387" s="41"/>
      <x:c r="R387" s="41"/>
      <x:c r="S387" s="41"/>
      <x:c r="T387" s="41"/>
      <x:c r="U387" s="41"/>
      <x:c r="V387" s="41"/>
      <x:c r="W387" s="41"/>
      <x:c r="X387" s="41"/>
      <x:c r="Y387" s="41"/>
      <x:c r="Z387" s="41"/>
    </x:row>
    <x:row r="388">
      <x:c r="A388" s="44"/>
      <x:c r="B388" s="44"/>
      <x:c r="C388" s="44"/>
      <x:c r="D388" s="44"/>
      <x:c r="E388" s="44"/>
      <x:c r="F388" s="45"/>
      <x:c r="G388" s="44"/>
      <x:c r="H388" s="45"/>
      <x:c r="I388" s="45"/>
      <x:c r="J388" s="46"/>
      <x:c r="K388" s="46"/>
      <x:c r="L388" s="41"/>
      <x:c r="M388" s="41"/>
      <x:c r="N388" s="41"/>
      <x:c r="O388" s="41"/>
      <x:c r="P388" s="41"/>
      <x:c r="Q388" s="41"/>
      <x:c r="R388" s="41"/>
      <x:c r="S388" s="41"/>
      <x:c r="T388" s="41"/>
      <x:c r="U388" s="41"/>
      <x:c r="V388" s="41"/>
      <x:c r="W388" s="41"/>
      <x:c r="X388" s="41"/>
      <x:c r="Y388" s="41"/>
      <x:c r="Z388" s="41"/>
    </x:row>
    <x:row r="389">
      <x:c r="A389" s="44"/>
      <x:c r="B389" s="44"/>
      <x:c r="C389" s="44"/>
      <x:c r="D389" s="44"/>
      <x:c r="E389" s="44"/>
      <x:c r="F389" s="45"/>
      <x:c r="G389" s="44"/>
      <x:c r="H389" s="45"/>
      <x:c r="I389" s="45"/>
      <x:c r="J389" s="46"/>
      <x:c r="K389" s="46"/>
      <x:c r="L389" s="41"/>
      <x:c r="M389" s="41"/>
      <x:c r="N389" s="41"/>
      <x:c r="O389" s="41"/>
      <x:c r="P389" s="41"/>
      <x:c r="Q389" s="41"/>
      <x:c r="R389" s="41"/>
      <x:c r="S389" s="41"/>
      <x:c r="T389" s="41"/>
      <x:c r="U389" s="41"/>
      <x:c r="V389" s="41"/>
      <x:c r="W389" s="41"/>
      <x:c r="X389" s="41"/>
      <x:c r="Y389" s="41"/>
      <x:c r="Z389" s="41"/>
    </x:row>
    <x:row r="390">
      <x:c r="A390" s="44"/>
      <x:c r="B390" s="44"/>
      <x:c r="C390" s="44"/>
      <x:c r="D390" s="44"/>
      <x:c r="E390" s="44"/>
      <x:c r="F390" s="45"/>
      <x:c r="G390" s="44"/>
      <x:c r="H390" s="45"/>
      <x:c r="I390" s="45"/>
      <x:c r="J390" s="46"/>
      <x:c r="K390" s="46"/>
      <x:c r="L390" s="41"/>
      <x:c r="M390" s="41"/>
      <x:c r="N390" s="41"/>
      <x:c r="O390" s="41"/>
      <x:c r="P390" s="41"/>
      <x:c r="Q390" s="41"/>
      <x:c r="R390" s="41"/>
      <x:c r="S390" s="41"/>
      <x:c r="T390" s="41"/>
      <x:c r="U390" s="41"/>
      <x:c r="V390" s="41"/>
      <x:c r="W390" s="41"/>
      <x:c r="X390" s="41"/>
      <x:c r="Y390" s="41"/>
      <x:c r="Z390" s="41"/>
    </x:row>
    <x:row r="391">
      <x:c r="A391" s="44"/>
      <x:c r="B391" s="44"/>
      <x:c r="C391" s="44"/>
      <x:c r="D391" s="44"/>
      <x:c r="E391" s="44"/>
      <x:c r="F391" s="45"/>
      <x:c r="G391" s="44"/>
      <x:c r="H391" s="45"/>
      <x:c r="I391" s="45"/>
      <x:c r="J391" s="46"/>
      <x:c r="K391" s="46"/>
      <x:c r="L391" s="41"/>
      <x:c r="M391" s="41"/>
      <x:c r="N391" s="41"/>
      <x:c r="O391" s="41"/>
      <x:c r="P391" s="41"/>
      <x:c r="Q391" s="41"/>
      <x:c r="R391" s="41"/>
      <x:c r="S391" s="41"/>
      <x:c r="T391" s="41"/>
      <x:c r="U391" s="41"/>
      <x:c r="V391" s="41"/>
      <x:c r="W391" s="41"/>
      <x:c r="X391" s="41"/>
      <x:c r="Y391" s="41"/>
      <x:c r="Z391" s="41"/>
    </x:row>
    <x:row r="392">
      <x:c r="A392" s="44"/>
      <x:c r="B392" s="44"/>
      <x:c r="C392" s="44"/>
      <x:c r="D392" s="44"/>
      <x:c r="E392" s="44"/>
      <x:c r="F392" s="45"/>
      <x:c r="G392" s="44"/>
      <x:c r="H392" s="45"/>
      <x:c r="I392" s="45"/>
      <x:c r="J392" s="46"/>
      <x:c r="K392" s="46"/>
      <x:c r="L392" s="41"/>
      <x:c r="M392" s="41"/>
      <x:c r="N392" s="41"/>
      <x:c r="O392" s="41"/>
      <x:c r="P392" s="41"/>
      <x:c r="Q392" s="41"/>
      <x:c r="R392" s="41"/>
      <x:c r="S392" s="41"/>
      <x:c r="T392" s="41"/>
      <x:c r="U392" s="41"/>
      <x:c r="V392" s="41"/>
      <x:c r="W392" s="41"/>
      <x:c r="X392" s="41"/>
      <x:c r="Y392" s="41"/>
      <x:c r="Z392" s="41"/>
    </x:row>
    <x:row r="393">
      <x:c r="A393" s="44"/>
      <x:c r="B393" s="44"/>
      <x:c r="C393" s="44"/>
      <x:c r="D393" s="44"/>
      <x:c r="E393" s="44"/>
      <x:c r="F393" s="45"/>
      <x:c r="G393" s="44"/>
      <x:c r="H393" s="45"/>
      <x:c r="I393" s="45"/>
      <x:c r="J393" s="46"/>
      <x:c r="K393" s="46"/>
      <x:c r="L393" s="41"/>
      <x:c r="M393" s="41"/>
      <x:c r="N393" s="41"/>
      <x:c r="O393" s="41"/>
      <x:c r="P393" s="41"/>
      <x:c r="Q393" s="41"/>
      <x:c r="R393" s="41"/>
      <x:c r="S393" s="41"/>
      <x:c r="T393" s="41"/>
      <x:c r="U393" s="41"/>
      <x:c r="V393" s="41"/>
      <x:c r="W393" s="41"/>
      <x:c r="X393" s="41"/>
      <x:c r="Y393" s="41"/>
      <x:c r="Z393" s="41"/>
    </x:row>
    <x:row r="394">
      <x:c r="A394" s="44"/>
      <x:c r="B394" s="44"/>
      <x:c r="C394" s="44"/>
      <x:c r="D394" s="44"/>
      <x:c r="E394" s="44"/>
      <x:c r="F394" s="45"/>
      <x:c r="G394" s="44"/>
      <x:c r="H394" s="45"/>
      <x:c r="I394" s="45"/>
      <x:c r="J394" s="46"/>
      <x:c r="K394" s="46"/>
      <x:c r="L394" s="41"/>
      <x:c r="M394" s="41"/>
      <x:c r="N394" s="41"/>
      <x:c r="O394" s="41"/>
      <x:c r="P394" s="41"/>
      <x:c r="Q394" s="41"/>
      <x:c r="R394" s="41"/>
      <x:c r="S394" s="41"/>
      <x:c r="T394" s="41"/>
      <x:c r="U394" s="41"/>
      <x:c r="V394" s="41"/>
      <x:c r="W394" s="41"/>
      <x:c r="X394" s="41"/>
      <x:c r="Y394" s="41"/>
      <x:c r="Z394" s="41"/>
    </x:row>
    <x:row r="395">
      <x:c r="A395" s="44"/>
      <x:c r="B395" s="44"/>
      <x:c r="C395" s="44"/>
      <x:c r="D395" s="44"/>
      <x:c r="E395" s="44"/>
      <x:c r="F395" s="45"/>
      <x:c r="G395" s="44"/>
      <x:c r="H395" s="45"/>
      <x:c r="I395" s="45"/>
      <x:c r="J395" s="46"/>
      <x:c r="K395" s="46"/>
      <x:c r="L395" s="41"/>
      <x:c r="M395" s="41"/>
      <x:c r="N395" s="41"/>
      <x:c r="O395" s="41"/>
      <x:c r="P395" s="41"/>
      <x:c r="Q395" s="41"/>
      <x:c r="R395" s="41"/>
      <x:c r="S395" s="41"/>
      <x:c r="T395" s="41"/>
      <x:c r="U395" s="41"/>
      <x:c r="V395" s="41"/>
      <x:c r="W395" s="41"/>
      <x:c r="X395" s="41"/>
      <x:c r="Y395" s="41"/>
      <x:c r="Z395" s="41"/>
    </x:row>
    <x:row r="396">
      <x:c r="A396" s="44"/>
      <x:c r="B396" s="44"/>
      <x:c r="C396" s="44"/>
      <x:c r="D396" s="44"/>
      <x:c r="E396" s="44"/>
      <x:c r="F396" s="45"/>
      <x:c r="G396" s="44"/>
      <x:c r="H396" s="45"/>
      <x:c r="I396" s="45"/>
      <x:c r="J396" s="46"/>
      <x:c r="K396" s="46"/>
      <x:c r="L396" s="41"/>
      <x:c r="M396" s="41"/>
      <x:c r="N396" s="41"/>
      <x:c r="O396" s="41"/>
      <x:c r="P396" s="41"/>
      <x:c r="Q396" s="41"/>
      <x:c r="R396" s="41"/>
      <x:c r="S396" s="41"/>
      <x:c r="T396" s="41"/>
      <x:c r="U396" s="41"/>
      <x:c r="V396" s="41"/>
      <x:c r="W396" s="41"/>
      <x:c r="X396" s="41"/>
      <x:c r="Y396" s="41"/>
      <x:c r="Z396" s="41"/>
    </x:row>
    <x:row r="397">
      <x:c r="A397" s="44"/>
      <x:c r="B397" s="44"/>
      <x:c r="C397" s="44"/>
      <x:c r="D397" s="44"/>
      <x:c r="E397" s="44"/>
      <x:c r="F397" s="45"/>
      <x:c r="G397" s="44"/>
      <x:c r="H397" s="45"/>
      <x:c r="I397" s="45"/>
      <x:c r="J397" s="46"/>
      <x:c r="K397" s="46"/>
      <x:c r="L397" s="41"/>
      <x:c r="M397" s="41"/>
      <x:c r="N397" s="41"/>
      <x:c r="O397" s="41"/>
      <x:c r="P397" s="41"/>
      <x:c r="Q397" s="41"/>
      <x:c r="R397" s="41"/>
      <x:c r="S397" s="41"/>
      <x:c r="T397" s="41"/>
      <x:c r="U397" s="41"/>
      <x:c r="V397" s="41"/>
      <x:c r="W397" s="41"/>
      <x:c r="X397" s="41"/>
      <x:c r="Y397" s="41"/>
      <x:c r="Z397" s="41"/>
    </x:row>
    <x:row r="398">
      <x:c r="A398" s="44"/>
      <x:c r="B398" s="44"/>
      <x:c r="C398" s="44"/>
      <x:c r="D398" s="44"/>
      <x:c r="E398" s="44"/>
      <x:c r="F398" s="45"/>
      <x:c r="G398" s="44"/>
      <x:c r="H398" s="45"/>
      <x:c r="I398" s="45"/>
      <x:c r="J398" s="46"/>
      <x:c r="K398" s="46"/>
      <x:c r="L398" s="41"/>
      <x:c r="M398" s="41"/>
      <x:c r="N398" s="41"/>
      <x:c r="O398" s="41"/>
      <x:c r="P398" s="41"/>
      <x:c r="Q398" s="41"/>
      <x:c r="R398" s="41"/>
      <x:c r="S398" s="41"/>
      <x:c r="T398" s="41"/>
      <x:c r="U398" s="41"/>
      <x:c r="V398" s="41"/>
      <x:c r="W398" s="41"/>
      <x:c r="X398" s="41"/>
      <x:c r="Y398" s="41"/>
      <x:c r="Z398" s="41"/>
    </x:row>
    <x:row r="399">
      <x:c r="A399" s="44"/>
      <x:c r="B399" s="44"/>
      <x:c r="C399" s="44"/>
      <x:c r="D399" s="44"/>
      <x:c r="E399" s="44"/>
      <x:c r="F399" s="45"/>
      <x:c r="G399" s="44"/>
      <x:c r="H399" s="45"/>
      <x:c r="I399" s="45"/>
      <x:c r="J399" s="46"/>
      <x:c r="K399" s="46"/>
      <x:c r="L399" s="41"/>
      <x:c r="M399" s="41"/>
      <x:c r="N399" s="41"/>
      <x:c r="O399" s="41"/>
      <x:c r="P399" s="41"/>
      <x:c r="Q399" s="41"/>
      <x:c r="R399" s="41"/>
      <x:c r="S399" s="41"/>
      <x:c r="T399" s="41"/>
      <x:c r="U399" s="41"/>
      <x:c r="V399" s="41"/>
      <x:c r="W399" s="41"/>
      <x:c r="X399" s="41"/>
      <x:c r="Y399" s="41"/>
      <x:c r="Z399" s="41"/>
    </x:row>
    <x:row r="400">
      <x:c r="A400" s="44"/>
      <x:c r="B400" s="44"/>
      <x:c r="C400" s="44"/>
      <x:c r="D400" s="44"/>
      <x:c r="E400" s="44"/>
      <x:c r="F400" s="45"/>
      <x:c r="G400" s="44"/>
      <x:c r="H400" s="45"/>
      <x:c r="I400" s="45"/>
      <x:c r="J400" s="46"/>
      <x:c r="K400" s="46"/>
      <x:c r="L400" s="41"/>
      <x:c r="M400" s="41"/>
      <x:c r="N400" s="41"/>
      <x:c r="O400" s="41"/>
      <x:c r="P400" s="41"/>
      <x:c r="Q400" s="41"/>
      <x:c r="R400" s="41"/>
      <x:c r="S400" s="41"/>
      <x:c r="T400" s="41"/>
      <x:c r="U400" s="41"/>
      <x:c r="V400" s="41"/>
      <x:c r="W400" s="41"/>
      <x:c r="X400" s="41"/>
      <x:c r="Y400" s="41"/>
      <x:c r="Z400" s="41"/>
    </x:row>
    <x:row r="401">
      <x:c r="A401" s="44"/>
      <x:c r="B401" s="44"/>
      <x:c r="C401" s="44"/>
      <x:c r="D401" s="44"/>
      <x:c r="E401" s="44"/>
      <x:c r="F401" s="45"/>
      <x:c r="G401" s="44"/>
      <x:c r="H401" s="45"/>
      <x:c r="I401" s="45"/>
      <x:c r="J401" s="46"/>
      <x:c r="K401" s="46"/>
      <x:c r="L401" s="41"/>
      <x:c r="M401" s="41"/>
      <x:c r="N401" s="41"/>
      <x:c r="O401" s="41"/>
      <x:c r="P401" s="41"/>
      <x:c r="Q401" s="41"/>
      <x:c r="R401" s="41"/>
      <x:c r="S401" s="41"/>
      <x:c r="T401" s="41"/>
      <x:c r="U401" s="41"/>
      <x:c r="V401" s="41"/>
      <x:c r="W401" s="41"/>
      <x:c r="X401" s="41"/>
      <x:c r="Y401" s="41"/>
      <x:c r="Z401" s="41"/>
    </x:row>
    <x:row r="402">
      <x:c r="A402" s="44"/>
      <x:c r="B402" s="44"/>
      <x:c r="C402" s="44"/>
      <x:c r="D402" s="44"/>
      <x:c r="E402" s="44"/>
      <x:c r="F402" s="45"/>
      <x:c r="G402" s="44"/>
      <x:c r="H402" s="45"/>
      <x:c r="I402" s="45"/>
      <x:c r="J402" s="46"/>
      <x:c r="K402" s="46"/>
      <x:c r="L402" s="41"/>
      <x:c r="M402" s="41"/>
      <x:c r="N402" s="41"/>
      <x:c r="O402" s="41"/>
      <x:c r="P402" s="41"/>
      <x:c r="Q402" s="41"/>
      <x:c r="R402" s="41"/>
      <x:c r="S402" s="41"/>
      <x:c r="T402" s="41"/>
      <x:c r="U402" s="41"/>
      <x:c r="V402" s="41"/>
      <x:c r="W402" s="41"/>
      <x:c r="X402" s="41"/>
      <x:c r="Y402" s="41"/>
      <x:c r="Z402" s="41"/>
    </x:row>
    <x:row r="403">
      <x:c r="A403" s="44"/>
      <x:c r="B403" s="44"/>
      <x:c r="C403" s="44"/>
      <x:c r="D403" s="44"/>
      <x:c r="E403" s="44"/>
      <x:c r="F403" s="45"/>
      <x:c r="G403" s="44"/>
      <x:c r="H403" s="45"/>
      <x:c r="I403" s="45"/>
      <x:c r="J403" s="46"/>
      <x:c r="K403" s="46"/>
      <x:c r="L403" s="41"/>
      <x:c r="M403" s="41"/>
      <x:c r="N403" s="41"/>
      <x:c r="O403" s="41"/>
      <x:c r="P403" s="41"/>
      <x:c r="Q403" s="41"/>
      <x:c r="R403" s="41"/>
      <x:c r="S403" s="41"/>
      <x:c r="T403" s="41"/>
      <x:c r="U403" s="41"/>
      <x:c r="V403" s="41"/>
      <x:c r="W403" s="41"/>
      <x:c r="X403" s="41"/>
      <x:c r="Y403" s="41"/>
      <x:c r="Z403" s="41"/>
    </x:row>
    <x:row r="404">
      <x:c r="A404" s="44"/>
      <x:c r="B404" s="44"/>
      <x:c r="C404" s="44"/>
      <x:c r="D404" s="44"/>
      <x:c r="E404" s="44"/>
      <x:c r="F404" s="45"/>
      <x:c r="G404" s="44"/>
      <x:c r="H404" s="45"/>
      <x:c r="I404" s="45"/>
      <x:c r="J404" s="46"/>
      <x:c r="K404" s="46"/>
      <x:c r="L404" s="41"/>
      <x:c r="M404" s="41"/>
      <x:c r="N404" s="41"/>
      <x:c r="O404" s="41"/>
      <x:c r="P404" s="41"/>
      <x:c r="Q404" s="41"/>
      <x:c r="R404" s="41"/>
      <x:c r="S404" s="41"/>
      <x:c r="T404" s="41"/>
      <x:c r="U404" s="41"/>
      <x:c r="V404" s="41"/>
      <x:c r="W404" s="41"/>
      <x:c r="X404" s="41"/>
      <x:c r="Y404" s="41"/>
      <x:c r="Z404" s="41"/>
    </x:row>
    <x:row r="405">
      <x:c r="A405" s="44"/>
      <x:c r="B405" s="44"/>
      <x:c r="C405" s="44"/>
      <x:c r="D405" s="44"/>
      <x:c r="E405" s="44"/>
      <x:c r="F405" s="45"/>
      <x:c r="G405" s="44"/>
      <x:c r="H405" s="45"/>
      <x:c r="I405" s="45"/>
      <x:c r="J405" s="46"/>
      <x:c r="K405" s="46"/>
      <x:c r="L405" s="41"/>
      <x:c r="M405" s="41"/>
      <x:c r="N405" s="41"/>
      <x:c r="O405" s="41"/>
      <x:c r="P405" s="41"/>
      <x:c r="Q405" s="41"/>
      <x:c r="R405" s="41"/>
      <x:c r="S405" s="41"/>
      <x:c r="T405" s="41"/>
      <x:c r="U405" s="41"/>
      <x:c r="V405" s="41"/>
      <x:c r="W405" s="41"/>
      <x:c r="X405" s="41"/>
      <x:c r="Y405" s="41"/>
      <x:c r="Z405" s="41"/>
    </x:row>
    <x:row r="406">
      <x:c r="A406" s="44"/>
      <x:c r="B406" s="44"/>
      <x:c r="C406" s="44"/>
      <x:c r="D406" s="44"/>
      <x:c r="E406" s="44"/>
      <x:c r="F406" s="45"/>
      <x:c r="G406" s="44"/>
      <x:c r="H406" s="45"/>
      <x:c r="I406" s="45"/>
      <x:c r="J406" s="46"/>
      <x:c r="K406" s="46"/>
      <x:c r="L406" s="41"/>
      <x:c r="M406" s="41"/>
      <x:c r="N406" s="41"/>
      <x:c r="O406" s="41"/>
      <x:c r="P406" s="41"/>
      <x:c r="Q406" s="41"/>
      <x:c r="R406" s="41"/>
      <x:c r="S406" s="41"/>
      <x:c r="T406" s="41"/>
      <x:c r="U406" s="41"/>
      <x:c r="V406" s="41"/>
      <x:c r="W406" s="41"/>
      <x:c r="X406" s="41"/>
      <x:c r="Y406" s="41"/>
      <x:c r="Z406" s="41"/>
    </x:row>
    <x:row r="407">
      <x:c r="A407" s="44"/>
      <x:c r="B407" s="44"/>
      <x:c r="C407" s="44"/>
      <x:c r="D407" s="44"/>
      <x:c r="E407" s="44"/>
      <x:c r="F407" s="45"/>
      <x:c r="G407" s="44"/>
      <x:c r="H407" s="45"/>
      <x:c r="I407" s="45"/>
      <x:c r="J407" s="46"/>
      <x:c r="K407" s="46"/>
      <x:c r="L407" s="41"/>
      <x:c r="M407" s="41"/>
      <x:c r="N407" s="41"/>
      <x:c r="O407" s="41"/>
      <x:c r="P407" s="41"/>
      <x:c r="Q407" s="41"/>
      <x:c r="R407" s="41"/>
      <x:c r="S407" s="41"/>
      <x:c r="T407" s="41"/>
      <x:c r="U407" s="41"/>
      <x:c r="V407" s="41"/>
      <x:c r="W407" s="41"/>
      <x:c r="X407" s="41"/>
      <x:c r="Y407" s="41"/>
      <x:c r="Z407" s="41"/>
    </x:row>
    <x:row r="408">
      <x:c r="A408" s="44"/>
      <x:c r="B408" s="44"/>
      <x:c r="C408" s="44"/>
      <x:c r="D408" s="44"/>
      <x:c r="E408" s="44"/>
      <x:c r="F408" s="45"/>
      <x:c r="G408" s="44"/>
      <x:c r="H408" s="45"/>
      <x:c r="I408" s="45"/>
      <x:c r="J408" s="46"/>
      <x:c r="K408" s="46"/>
      <x:c r="L408" s="41"/>
      <x:c r="M408" s="41"/>
      <x:c r="N408" s="41"/>
      <x:c r="O408" s="41"/>
      <x:c r="P408" s="41"/>
      <x:c r="Q408" s="41"/>
      <x:c r="R408" s="41"/>
      <x:c r="S408" s="41"/>
      <x:c r="T408" s="41"/>
      <x:c r="U408" s="41"/>
      <x:c r="V408" s="41"/>
      <x:c r="W408" s="41"/>
      <x:c r="X408" s="41"/>
      <x:c r="Y408" s="41"/>
      <x:c r="Z408" s="41"/>
    </x:row>
    <x:row r="409">
      <x:c r="A409" s="44"/>
      <x:c r="B409" s="44"/>
      <x:c r="C409" s="44"/>
      <x:c r="D409" s="44"/>
      <x:c r="E409" s="44"/>
      <x:c r="F409" s="45"/>
      <x:c r="G409" s="44"/>
      <x:c r="H409" s="45"/>
      <x:c r="I409" s="45"/>
      <x:c r="J409" s="46"/>
      <x:c r="K409" s="46"/>
      <x:c r="L409" s="41"/>
      <x:c r="M409" s="41"/>
      <x:c r="N409" s="41"/>
      <x:c r="O409" s="41"/>
      <x:c r="P409" s="41"/>
      <x:c r="Q409" s="41"/>
      <x:c r="R409" s="41"/>
      <x:c r="S409" s="41"/>
      <x:c r="T409" s="41"/>
      <x:c r="U409" s="41"/>
      <x:c r="V409" s="41"/>
      <x:c r="W409" s="41"/>
      <x:c r="X409" s="41"/>
      <x:c r="Y409" s="41"/>
      <x:c r="Z409" s="41"/>
    </x:row>
    <x:row r="410">
      <x:c r="A410" s="44"/>
      <x:c r="B410" s="44"/>
      <x:c r="C410" s="44"/>
      <x:c r="D410" s="44"/>
      <x:c r="E410" s="44"/>
      <x:c r="F410" s="45"/>
      <x:c r="G410" s="44"/>
      <x:c r="H410" s="45"/>
      <x:c r="I410" s="45"/>
      <x:c r="J410" s="46"/>
      <x:c r="K410" s="46"/>
      <x:c r="L410" s="41"/>
      <x:c r="M410" s="41"/>
      <x:c r="N410" s="41"/>
      <x:c r="O410" s="41"/>
      <x:c r="P410" s="41"/>
      <x:c r="Q410" s="41"/>
      <x:c r="R410" s="41"/>
      <x:c r="S410" s="41"/>
      <x:c r="T410" s="41"/>
      <x:c r="U410" s="41"/>
      <x:c r="V410" s="41"/>
      <x:c r="W410" s="41"/>
      <x:c r="X410" s="41"/>
      <x:c r="Y410" s="41"/>
      <x:c r="Z410" s="41"/>
    </x:row>
    <x:row r="411">
      <x:c r="A411" s="44"/>
      <x:c r="B411" s="44"/>
      <x:c r="C411" s="44"/>
      <x:c r="D411" s="44"/>
      <x:c r="E411" s="44"/>
      <x:c r="F411" s="45"/>
      <x:c r="G411" s="44"/>
      <x:c r="H411" s="45"/>
      <x:c r="I411" s="45"/>
      <x:c r="J411" s="46"/>
      <x:c r="K411" s="46"/>
      <x:c r="L411" s="41"/>
      <x:c r="M411" s="41"/>
      <x:c r="N411" s="41"/>
      <x:c r="O411" s="41"/>
      <x:c r="P411" s="41"/>
      <x:c r="Q411" s="41"/>
      <x:c r="R411" s="41"/>
      <x:c r="S411" s="41"/>
      <x:c r="T411" s="41"/>
      <x:c r="U411" s="41"/>
      <x:c r="V411" s="41"/>
      <x:c r="W411" s="41"/>
      <x:c r="X411" s="41"/>
      <x:c r="Y411" s="41"/>
      <x:c r="Z411" s="41"/>
    </x:row>
    <x:row r="412">
      <x:c r="A412" s="44"/>
      <x:c r="B412" s="44"/>
      <x:c r="C412" s="44"/>
      <x:c r="D412" s="44"/>
      <x:c r="E412" s="44"/>
      <x:c r="F412" s="45"/>
      <x:c r="G412" s="44"/>
      <x:c r="H412" s="45"/>
      <x:c r="I412" s="45"/>
      <x:c r="J412" s="46"/>
      <x:c r="K412" s="46"/>
      <x:c r="L412" s="41"/>
      <x:c r="M412" s="41"/>
      <x:c r="N412" s="41"/>
      <x:c r="O412" s="41"/>
      <x:c r="P412" s="41"/>
      <x:c r="Q412" s="41"/>
      <x:c r="R412" s="41"/>
      <x:c r="S412" s="41"/>
      <x:c r="T412" s="41"/>
      <x:c r="U412" s="41"/>
      <x:c r="V412" s="41"/>
      <x:c r="W412" s="41"/>
      <x:c r="X412" s="41"/>
      <x:c r="Y412" s="41"/>
      <x:c r="Z412" s="41"/>
    </x:row>
    <x:row r="413">
      <x:c r="A413" s="44"/>
      <x:c r="B413" s="44"/>
      <x:c r="C413" s="44"/>
      <x:c r="D413" s="44"/>
      <x:c r="E413" s="44"/>
      <x:c r="F413" s="45"/>
      <x:c r="G413" s="44"/>
      <x:c r="H413" s="45"/>
      <x:c r="I413" s="45"/>
      <x:c r="J413" s="46"/>
      <x:c r="K413" s="46"/>
      <x:c r="L413" s="41"/>
      <x:c r="M413" s="41"/>
      <x:c r="N413" s="41"/>
      <x:c r="O413" s="41"/>
      <x:c r="P413" s="41"/>
      <x:c r="Q413" s="41"/>
      <x:c r="R413" s="41"/>
      <x:c r="S413" s="41"/>
      <x:c r="T413" s="41"/>
      <x:c r="U413" s="41"/>
      <x:c r="V413" s="41"/>
      <x:c r="W413" s="41"/>
      <x:c r="X413" s="41"/>
      <x:c r="Y413" s="41"/>
      <x:c r="Z413" s="41"/>
    </x:row>
    <x:row r="414">
      <x:c r="A414" s="44"/>
      <x:c r="B414" s="44"/>
      <x:c r="C414" s="44"/>
      <x:c r="D414" s="44"/>
      <x:c r="E414" s="44"/>
      <x:c r="F414" s="45"/>
      <x:c r="G414" s="44"/>
      <x:c r="H414" s="45"/>
      <x:c r="I414" s="45"/>
      <x:c r="J414" s="46"/>
      <x:c r="K414" s="46"/>
      <x:c r="L414" s="41"/>
      <x:c r="M414" s="41"/>
      <x:c r="N414" s="41"/>
      <x:c r="O414" s="41"/>
      <x:c r="P414" s="41"/>
      <x:c r="Q414" s="41"/>
      <x:c r="R414" s="41"/>
      <x:c r="S414" s="41"/>
      <x:c r="T414" s="41"/>
      <x:c r="U414" s="41"/>
      <x:c r="V414" s="41"/>
      <x:c r="W414" s="41"/>
      <x:c r="X414" s="41"/>
      <x:c r="Y414" s="41"/>
      <x:c r="Z414" s="41"/>
    </x:row>
    <x:row r="415">
      <x:c r="A415" s="44"/>
      <x:c r="B415" s="44"/>
      <x:c r="C415" s="44"/>
      <x:c r="D415" s="44"/>
      <x:c r="E415" s="44"/>
      <x:c r="F415" s="45"/>
      <x:c r="G415" s="44"/>
      <x:c r="H415" s="45"/>
      <x:c r="I415" s="45"/>
      <x:c r="J415" s="46"/>
      <x:c r="K415" s="46"/>
      <x:c r="L415" s="41"/>
      <x:c r="M415" s="41"/>
      <x:c r="N415" s="41"/>
      <x:c r="O415" s="41"/>
      <x:c r="P415" s="41"/>
      <x:c r="Q415" s="41"/>
      <x:c r="R415" s="41"/>
      <x:c r="S415" s="41"/>
      <x:c r="T415" s="41"/>
      <x:c r="U415" s="41"/>
      <x:c r="V415" s="41"/>
      <x:c r="W415" s="41"/>
      <x:c r="X415" s="41"/>
      <x:c r="Y415" s="41"/>
      <x:c r="Z415" s="41"/>
    </x:row>
    <x:row r="416">
      <x:c r="A416" s="44"/>
      <x:c r="B416" s="44"/>
      <x:c r="C416" s="44"/>
      <x:c r="D416" s="44"/>
      <x:c r="E416" s="44"/>
      <x:c r="F416" s="45"/>
      <x:c r="G416" s="44"/>
      <x:c r="H416" s="45"/>
      <x:c r="I416" s="45"/>
      <x:c r="J416" s="46"/>
      <x:c r="K416" s="46"/>
      <x:c r="L416" s="41"/>
      <x:c r="M416" s="41"/>
      <x:c r="N416" s="41"/>
      <x:c r="O416" s="41"/>
      <x:c r="P416" s="41"/>
      <x:c r="Q416" s="41"/>
      <x:c r="R416" s="41"/>
      <x:c r="S416" s="41"/>
      <x:c r="T416" s="41"/>
      <x:c r="U416" s="41"/>
      <x:c r="V416" s="41"/>
      <x:c r="W416" s="41"/>
      <x:c r="X416" s="41"/>
      <x:c r="Y416" s="41"/>
      <x:c r="Z416" s="41"/>
    </x:row>
    <x:row r="417">
      <x:c r="A417" s="44"/>
      <x:c r="B417" s="44"/>
      <x:c r="C417" s="44"/>
      <x:c r="D417" s="44"/>
      <x:c r="E417" s="44"/>
      <x:c r="F417" s="45"/>
      <x:c r="G417" s="44"/>
      <x:c r="H417" s="45"/>
      <x:c r="I417" s="45"/>
      <x:c r="J417" s="46"/>
      <x:c r="K417" s="46"/>
      <x:c r="L417" s="41"/>
      <x:c r="M417" s="41"/>
      <x:c r="N417" s="41"/>
      <x:c r="O417" s="41"/>
      <x:c r="P417" s="41"/>
      <x:c r="Q417" s="41"/>
      <x:c r="R417" s="41"/>
      <x:c r="S417" s="41"/>
      <x:c r="T417" s="41"/>
      <x:c r="U417" s="41"/>
      <x:c r="V417" s="41"/>
      <x:c r="W417" s="41"/>
      <x:c r="X417" s="41"/>
      <x:c r="Y417" s="41"/>
      <x:c r="Z417" s="41"/>
    </x:row>
    <x:row r="418">
      <x:c r="A418" s="44"/>
      <x:c r="B418" s="44"/>
      <x:c r="C418" s="44"/>
      <x:c r="D418" s="44"/>
      <x:c r="E418" s="44"/>
      <x:c r="F418" s="45"/>
      <x:c r="G418" s="44"/>
      <x:c r="H418" s="45"/>
      <x:c r="I418" s="45"/>
      <x:c r="J418" s="46"/>
      <x:c r="K418" s="46"/>
      <x:c r="L418" s="41"/>
      <x:c r="M418" s="41"/>
      <x:c r="N418" s="41"/>
      <x:c r="O418" s="41"/>
      <x:c r="P418" s="41"/>
      <x:c r="Q418" s="41"/>
      <x:c r="R418" s="41"/>
      <x:c r="S418" s="41"/>
      <x:c r="T418" s="41"/>
      <x:c r="U418" s="41"/>
      <x:c r="V418" s="41"/>
      <x:c r="W418" s="41"/>
      <x:c r="X418" s="41"/>
      <x:c r="Y418" s="41"/>
      <x:c r="Z418" s="41"/>
    </x:row>
    <x:row r="419">
      <x:c r="A419" s="44"/>
      <x:c r="B419" s="44"/>
      <x:c r="C419" s="44"/>
      <x:c r="D419" s="44"/>
      <x:c r="E419" s="44"/>
      <x:c r="F419" s="45"/>
      <x:c r="G419" s="44"/>
      <x:c r="H419" s="45"/>
      <x:c r="I419" s="45"/>
      <x:c r="J419" s="46"/>
      <x:c r="K419" s="46"/>
      <x:c r="L419" s="41"/>
      <x:c r="M419" s="41"/>
      <x:c r="N419" s="41"/>
      <x:c r="O419" s="41"/>
      <x:c r="P419" s="41"/>
      <x:c r="Q419" s="41"/>
      <x:c r="R419" s="41"/>
      <x:c r="S419" s="41"/>
      <x:c r="T419" s="41"/>
      <x:c r="U419" s="41"/>
      <x:c r="V419" s="41"/>
      <x:c r="W419" s="41"/>
      <x:c r="X419" s="41"/>
      <x:c r="Y419" s="41"/>
      <x:c r="Z419" s="41"/>
    </x:row>
    <x:row r="420">
      <x:c r="A420" s="44"/>
      <x:c r="B420" s="44"/>
      <x:c r="C420" s="44"/>
      <x:c r="D420" s="44"/>
      <x:c r="E420" s="44"/>
      <x:c r="F420" s="45"/>
      <x:c r="G420" s="44"/>
      <x:c r="H420" s="45"/>
      <x:c r="I420" s="45"/>
      <x:c r="J420" s="46"/>
      <x:c r="K420" s="46"/>
      <x:c r="L420" s="41"/>
      <x:c r="M420" s="41"/>
      <x:c r="N420" s="41"/>
      <x:c r="O420" s="41"/>
      <x:c r="P420" s="41"/>
      <x:c r="Q420" s="41"/>
      <x:c r="R420" s="41"/>
      <x:c r="S420" s="41"/>
      <x:c r="T420" s="41"/>
      <x:c r="U420" s="41"/>
      <x:c r="V420" s="41"/>
      <x:c r="W420" s="41"/>
      <x:c r="X420" s="41"/>
      <x:c r="Y420" s="41"/>
      <x:c r="Z420" s="41"/>
    </x:row>
    <x:row r="421">
      <x:c r="A421" s="44"/>
      <x:c r="B421" s="44"/>
      <x:c r="C421" s="44"/>
      <x:c r="D421" s="44"/>
      <x:c r="E421" s="44"/>
      <x:c r="F421" s="45"/>
      <x:c r="G421" s="44"/>
      <x:c r="H421" s="45"/>
      <x:c r="I421" s="45"/>
      <x:c r="J421" s="46"/>
      <x:c r="K421" s="46"/>
      <x:c r="L421" s="41"/>
      <x:c r="M421" s="41"/>
      <x:c r="N421" s="41"/>
      <x:c r="O421" s="41"/>
      <x:c r="P421" s="41"/>
      <x:c r="Q421" s="41"/>
      <x:c r="R421" s="41"/>
      <x:c r="S421" s="41"/>
      <x:c r="T421" s="41"/>
      <x:c r="U421" s="41"/>
      <x:c r="V421" s="41"/>
      <x:c r="W421" s="41"/>
      <x:c r="X421" s="41"/>
      <x:c r="Y421" s="41"/>
      <x:c r="Z421" s="41"/>
    </x:row>
    <x:row r="422">
      <x:c r="A422" s="44"/>
      <x:c r="B422" s="44"/>
      <x:c r="C422" s="44"/>
      <x:c r="D422" s="44"/>
      <x:c r="E422" s="44"/>
      <x:c r="F422" s="45"/>
      <x:c r="G422" s="44"/>
      <x:c r="H422" s="45"/>
      <x:c r="I422" s="45"/>
      <x:c r="J422" s="46"/>
      <x:c r="K422" s="46"/>
      <x:c r="L422" s="41"/>
      <x:c r="M422" s="41"/>
      <x:c r="N422" s="41"/>
      <x:c r="O422" s="41"/>
      <x:c r="P422" s="41"/>
      <x:c r="Q422" s="41"/>
      <x:c r="R422" s="41"/>
      <x:c r="S422" s="41"/>
      <x:c r="T422" s="41"/>
      <x:c r="U422" s="41"/>
      <x:c r="V422" s="41"/>
      <x:c r="W422" s="41"/>
      <x:c r="X422" s="41"/>
      <x:c r="Y422" s="41"/>
      <x:c r="Z422" s="41"/>
    </x:row>
    <x:row r="423">
      <x:c r="A423" s="44"/>
      <x:c r="B423" s="44"/>
      <x:c r="C423" s="44"/>
      <x:c r="D423" s="44"/>
      <x:c r="E423" s="44"/>
      <x:c r="F423" s="45"/>
      <x:c r="G423" s="44"/>
      <x:c r="H423" s="45"/>
      <x:c r="I423" s="45"/>
      <x:c r="J423" s="46"/>
      <x:c r="K423" s="46"/>
      <x:c r="L423" s="41"/>
      <x:c r="M423" s="41"/>
      <x:c r="N423" s="41"/>
      <x:c r="O423" s="41"/>
      <x:c r="P423" s="41"/>
      <x:c r="Q423" s="41"/>
      <x:c r="R423" s="41"/>
      <x:c r="S423" s="41"/>
      <x:c r="T423" s="41"/>
      <x:c r="U423" s="41"/>
      <x:c r="V423" s="41"/>
      <x:c r="W423" s="41"/>
      <x:c r="X423" s="41"/>
      <x:c r="Y423" s="41"/>
      <x:c r="Z423" s="41"/>
    </x:row>
    <x:row r="424">
      <x:c r="A424" s="44"/>
      <x:c r="B424" s="44"/>
      <x:c r="C424" s="44"/>
      <x:c r="D424" s="44"/>
      <x:c r="E424" s="44"/>
      <x:c r="F424" s="45"/>
      <x:c r="G424" s="44"/>
      <x:c r="H424" s="45"/>
      <x:c r="I424" s="45"/>
      <x:c r="J424" s="46"/>
      <x:c r="K424" s="46"/>
      <x:c r="L424" s="41"/>
      <x:c r="M424" s="41"/>
      <x:c r="N424" s="41"/>
      <x:c r="O424" s="41"/>
      <x:c r="P424" s="41"/>
      <x:c r="Q424" s="41"/>
      <x:c r="R424" s="41"/>
      <x:c r="S424" s="41"/>
      <x:c r="T424" s="41"/>
      <x:c r="U424" s="41"/>
      <x:c r="V424" s="41"/>
      <x:c r="W424" s="41"/>
      <x:c r="X424" s="41"/>
      <x:c r="Y424" s="41"/>
      <x:c r="Z424" s="41"/>
    </x:row>
    <x:row r="425">
      <x:c r="A425" s="44"/>
      <x:c r="B425" s="44"/>
      <x:c r="C425" s="44"/>
      <x:c r="D425" s="44"/>
      <x:c r="E425" s="44"/>
      <x:c r="F425" s="45"/>
      <x:c r="G425" s="44"/>
      <x:c r="H425" s="45"/>
      <x:c r="I425" s="45"/>
      <x:c r="J425" s="46"/>
      <x:c r="K425" s="46"/>
      <x:c r="L425" s="41"/>
      <x:c r="M425" s="41"/>
      <x:c r="N425" s="41"/>
      <x:c r="O425" s="41"/>
      <x:c r="P425" s="41"/>
      <x:c r="Q425" s="41"/>
      <x:c r="R425" s="41"/>
      <x:c r="S425" s="41"/>
      <x:c r="T425" s="41"/>
      <x:c r="U425" s="41"/>
      <x:c r="V425" s="41"/>
      <x:c r="W425" s="41"/>
      <x:c r="X425" s="41"/>
      <x:c r="Y425" s="41"/>
      <x:c r="Z425" s="41"/>
    </x:row>
    <x:row r="426">
      <x:c r="A426" s="44"/>
      <x:c r="B426" s="44"/>
      <x:c r="C426" s="44"/>
      <x:c r="D426" s="44"/>
      <x:c r="E426" s="44"/>
      <x:c r="F426" s="45"/>
      <x:c r="G426" s="44"/>
      <x:c r="H426" s="45"/>
      <x:c r="I426" s="45"/>
      <x:c r="J426" s="46"/>
      <x:c r="K426" s="46"/>
      <x:c r="L426" s="41"/>
      <x:c r="M426" s="41"/>
      <x:c r="N426" s="41"/>
      <x:c r="O426" s="41"/>
      <x:c r="P426" s="41"/>
      <x:c r="Q426" s="41"/>
      <x:c r="R426" s="41"/>
      <x:c r="S426" s="41"/>
      <x:c r="T426" s="41"/>
      <x:c r="U426" s="41"/>
      <x:c r="V426" s="41"/>
      <x:c r="W426" s="41"/>
      <x:c r="X426" s="41"/>
      <x:c r="Y426" s="41"/>
      <x:c r="Z426" s="41"/>
    </x:row>
    <x:row r="427">
      <x:c r="A427" s="44"/>
      <x:c r="B427" s="44"/>
      <x:c r="C427" s="44"/>
      <x:c r="D427" s="44"/>
      <x:c r="E427" s="44"/>
      <x:c r="F427" s="45"/>
      <x:c r="G427" s="44"/>
      <x:c r="H427" s="45"/>
      <x:c r="I427" s="45"/>
      <x:c r="J427" s="46"/>
      <x:c r="K427" s="46"/>
      <x:c r="L427" s="41"/>
      <x:c r="M427" s="41"/>
      <x:c r="N427" s="41"/>
      <x:c r="O427" s="41"/>
      <x:c r="P427" s="41"/>
      <x:c r="Q427" s="41"/>
      <x:c r="R427" s="41"/>
      <x:c r="S427" s="41"/>
      <x:c r="T427" s="41"/>
      <x:c r="U427" s="41"/>
      <x:c r="V427" s="41"/>
      <x:c r="W427" s="41"/>
      <x:c r="X427" s="41"/>
      <x:c r="Y427" s="41"/>
      <x:c r="Z427" s="41"/>
    </x:row>
    <x:row r="428">
      <x:c r="A428" s="44"/>
      <x:c r="B428" s="44"/>
      <x:c r="C428" s="44"/>
      <x:c r="D428" s="44"/>
      <x:c r="E428" s="44"/>
      <x:c r="F428" s="45"/>
      <x:c r="G428" s="44"/>
      <x:c r="H428" s="45"/>
      <x:c r="I428" s="45"/>
      <x:c r="J428" s="46"/>
      <x:c r="K428" s="46"/>
      <x:c r="L428" s="41"/>
      <x:c r="M428" s="41"/>
      <x:c r="N428" s="41"/>
      <x:c r="O428" s="41"/>
      <x:c r="P428" s="41"/>
      <x:c r="Q428" s="41"/>
      <x:c r="R428" s="41"/>
      <x:c r="S428" s="41"/>
      <x:c r="T428" s="41"/>
      <x:c r="U428" s="41"/>
      <x:c r="V428" s="41"/>
      <x:c r="W428" s="41"/>
      <x:c r="X428" s="41"/>
      <x:c r="Y428" s="41"/>
      <x:c r="Z428" s="41"/>
    </x:row>
    <x:row r="429">
      <x:c r="A429" s="44"/>
      <x:c r="B429" s="44"/>
      <x:c r="C429" s="44"/>
      <x:c r="D429" s="44"/>
      <x:c r="E429" s="44"/>
      <x:c r="F429" s="45"/>
      <x:c r="G429" s="44"/>
      <x:c r="H429" s="45"/>
      <x:c r="I429" s="45"/>
      <x:c r="J429" s="46"/>
      <x:c r="K429" s="46"/>
      <x:c r="L429" s="41"/>
      <x:c r="M429" s="41"/>
      <x:c r="N429" s="41"/>
      <x:c r="O429" s="41"/>
      <x:c r="P429" s="41"/>
      <x:c r="Q429" s="41"/>
      <x:c r="R429" s="41"/>
      <x:c r="S429" s="41"/>
      <x:c r="T429" s="41"/>
      <x:c r="U429" s="41"/>
      <x:c r="V429" s="41"/>
      <x:c r="W429" s="41"/>
      <x:c r="X429" s="41"/>
      <x:c r="Y429" s="41"/>
      <x:c r="Z429" s="41"/>
    </x:row>
    <x:row r="430">
      <x:c r="A430" s="44"/>
      <x:c r="B430" s="44"/>
      <x:c r="C430" s="44"/>
      <x:c r="D430" s="44"/>
      <x:c r="E430" s="44"/>
      <x:c r="F430" s="45"/>
      <x:c r="G430" s="44"/>
      <x:c r="H430" s="45"/>
      <x:c r="I430" s="45"/>
      <x:c r="J430" s="46"/>
      <x:c r="K430" s="46"/>
      <x:c r="L430" s="41"/>
      <x:c r="M430" s="41"/>
      <x:c r="N430" s="41"/>
      <x:c r="O430" s="41"/>
      <x:c r="P430" s="41"/>
      <x:c r="Q430" s="41"/>
      <x:c r="R430" s="41"/>
      <x:c r="S430" s="41"/>
      <x:c r="T430" s="41"/>
      <x:c r="U430" s="41"/>
      <x:c r="V430" s="41"/>
      <x:c r="W430" s="41"/>
      <x:c r="X430" s="41"/>
      <x:c r="Y430" s="41"/>
      <x:c r="Z430" s="41"/>
    </x:row>
    <x:row r="431">
      <x:c r="A431" s="44"/>
      <x:c r="B431" s="44"/>
      <x:c r="C431" s="44"/>
      <x:c r="D431" s="44"/>
      <x:c r="E431" s="44"/>
      <x:c r="F431" s="45"/>
      <x:c r="G431" s="44"/>
      <x:c r="H431" s="45"/>
      <x:c r="I431" s="45"/>
      <x:c r="J431" s="46"/>
      <x:c r="K431" s="46"/>
      <x:c r="L431" s="41"/>
      <x:c r="M431" s="41"/>
      <x:c r="N431" s="41"/>
      <x:c r="O431" s="41"/>
      <x:c r="P431" s="41"/>
      <x:c r="Q431" s="41"/>
      <x:c r="R431" s="41"/>
      <x:c r="S431" s="41"/>
      <x:c r="T431" s="41"/>
      <x:c r="U431" s="41"/>
      <x:c r="V431" s="41"/>
      <x:c r="W431" s="41"/>
      <x:c r="X431" s="41"/>
      <x:c r="Y431" s="41"/>
      <x:c r="Z431" s="41"/>
    </x:row>
    <x:row r="432">
      <x:c r="A432" s="44"/>
      <x:c r="B432" s="44"/>
      <x:c r="C432" s="44"/>
      <x:c r="D432" s="44"/>
      <x:c r="E432" s="44"/>
      <x:c r="F432" s="45"/>
      <x:c r="G432" s="44"/>
      <x:c r="H432" s="45"/>
      <x:c r="I432" s="45"/>
      <x:c r="J432" s="46"/>
      <x:c r="K432" s="46"/>
      <x:c r="L432" s="41"/>
      <x:c r="M432" s="41"/>
      <x:c r="N432" s="41"/>
      <x:c r="O432" s="41"/>
      <x:c r="P432" s="41"/>
      <x:c r="Q432" s="41"/>
      <x:c r="R432" s="41"/>
      <x:c r="S432" s="41"/>
      <x:c r="T432" s="41"/>
      <x:c r="U432" s="41"/>
      <x:c r="V432" s="41"/>
      <x:c r="W432" s="41"/>
      <x:c r="X432" s="41"/>
      <x:c r="Y432" s="41"/>
      <x:c r="Z432" s="41"/>
    </x:row>
    <x:row r="433">
      <x:c r="A433" s="44"/>
      <x:c r="B433" s="44"/>
      <x:c r="C433" s="44"/>
      <x:c r="D433" s="44"/>
      <x:c r="E433" s="44"/>
      <x:c r="F433" s="45"/>
      <x:c r="G433" s="44"/>
      <x:c r="H433" s="45"/>
      <x:c r="I433" s="45"/>
      <x:c r="J433" s="46"/>
      <x:c r="K433" s="46"/>
      <x:c r="L433" s="41"/>
      <x:c r="M433" s="41"/>
      <x:c r="N433" s="41"/>
      <x:c r="O433" s="41"/>
      <x:c r="P433" s="41"/>
      <x:c r="Q433" s="41"/>
      <x:c r="R433" s="41"/>
      <x:c r="S433" s="41"/>
      <x:c r="T433" s="41"/>
      <x:c r="U433" s="41"/>
      <x:c r="V433" s="41"/>
      <x:c r="W433" s="41"/>
      <x:c r="X433" s="41"/>
      <x:c r="Y433" s="41"/>
      <x:c r="Z433" s="41"/>
    </x:row>
    <x:row r="434">
      <x:c r="A434" s="44"/>
      <x:c r="B434" s="44"/>
      <x:c r="C434" s="44"/>
      <x:c r="D434" s="44"/>
      <x:c r="E434" s="44"/>
      <x:c r="F434" s="45"/>
      <x:c r="G434" s="44"/>
      <x:c r="H434" s="45"/>
      <x:c r="I434" s="45"/>
      <x:c r="J434" s="46"/>
      <x:c r="K434" s="46"/>
      <x:c r="L434" s="41"/>
      <x:c r="M434" s="41"/>
      <x:c r="N434" s="41"/>
      <x:c r="O434" s="41"/>
      <x:c r="P434" s="41"/>
      <x:c r="Q434" s="41"/>
      <x:c r="R434" s="41"/>
      <x:c r="S434" s="41"/>
      <x:c r="T434" s="41"/>
      <x:c r="U434" s="41"/>
      <x:c r="V434" s="41"/>
      <x:c r="W434" s="41"/>
      <x:c r="X434" s="41"/>
      <x:c r="Y434" s="41"/>
      <x:c r="Z434" s="41"/>
    </x:row>
    <x:row r="435">
      <x:c r="A435" s="44"/>
      <x:c r="B435" s="44"/>
      <x:c r="C435" s="44"/>
      <x:c r="D435" s="44"/>
      <x:c r="E435" s="44"/>
      <x:c r="F435" s="45"/>
      <x:c r="G435" s="44"/>
      <x:c r="H435" s="45"/>
      <x:c r="I435" s="45"/>
      <x:c r="J435" s="46"/>
      <x:c r="K435" s="46"/>
      <x:c r="L435" s="41"/>
      <x:c r="M435" s="41"/>
      <x:c r="N435" s="41"/>
      <x:c r="O435" s="41"/>
      <x:c r="P435" s="41"/>
      <x:c r="Q435" s="41"/>
      <x:c r="R435" s="41"/>
      <x:c r="S435" s="41"/>
      <x:c r="T435" s="41"/>
      <x:c r="U435" s="41"/>
      <x:c r="V435" s="41"/>
      <x:c r="W435" s="41"/>
      <x:c r="X435" s="41"/>
      <x:c r="Y435" s="41"/>
      <x:c r="Z435" s="41"/>
    </x:row>
    <x:row r="436">
      <x:c r="A436" s="44"/>
      <x:c r="B436" s="44"/>
      <x:c r="C436" s="44"/>
      <x:c r="D436" s="44"/>
      <x:c r="E436" s="44"/>
      <x:c r="F436" s="45"/>
      <x:c r="G436" s="44"/>
      <x:c r="H436" s="45"/>
      <x:c r="I436" s="45"/>
      <x:c r="J436" s="46"/>
      <x:c r="K436" s="46"/>
      <x:c r="L436" s="41"/>
      <x:c r="M436" s="41"/>
      <x:c r="N436" s="41"/>
      <x:c r="O436" s="41"/>
      <x:c r="P436" s="41"/>
      <x:c r="Q436" s="41"/>
      <x:c r="R436" s="41"/>
      <x:c r="S436" s="41"/>
      <x:c r="T436" s="41"/>
      <x:c r="U436" s="41"/>
      <x:c r="V436" s="41"/>
      <x:c r="W436" s="41"/>
      <x:c r="X436" s="41"/>
      <x:c r="Y436" s="41"/>
      <x:c r="Z436" s="41"/>
    </x:row>
    <x:row r="437">
      <x:c r="A437" s="44"/>
      <x:c r="B437" s="44"/>
      <x:c r="C437" s="44"/>
      <x:c r="D437" s="44"/>
      <x:c r="E437" s="44"/>
      <x:c r="F437" s="45"/>
      <x:c r="G437" s="44"/>
      <x:c r="H437" s="45"/>
      <x:c r="I437" s="45"/>
      <x:c r="J437" s="46"/>
      <x:c r="K437" s="46"/>
      <x:c r="L437" s="41"/>
      <x:c r="M437" s="41"/>
      <x:c r="N437" s="41"/>
      <x:c r="O437" s="41"/>
      <x:c r="P437" s="41"/>
      <x:c r="Q437" s="41"/>
      <x:c r="R437" s="41"/>
      <x:c r="S437" s="41"/>
      <x:c r="T437" s="41"/>
      <x:c r="U437" s="41"/>
      <x:c r="V437" s="41"/>
      <x:c r="W437" s="41"/>
      <x:c r="X437" s="41"/>
      <x:c r="Y437" s="41"/>
      <x:c r="Z437" s="41"/>
    </x:row>
    <x:row r="438">
      <x:c r="A438" s="44"/>
      <x:c r="B438" s="44"/>
      <x:c r="C438" s="44"/>
      <x:c r="D438" s="44"/>
      <x:c r="E438" s="44"/>
      <x:c r="F438" s="45"/>
      <x:c r="G438" s="44"/>
      <x:c r="H438" s="45"/>
      <x:c r="I438" s="45"/>
      <x:c r="J438" s="46"/>
      <x:c r="K438" s="46"/>
      <x:c r="L438" s="41"/>
      <x:c r="M438" s="41"/>
      <x:c r="N438" s="41"/>
      <x:c r="O438" s="41"/>
      <x:c r="P438" s="41"/>
      <x:c r="Q438" s="41"/>
      <x:c r="R438" s="41"/>
      <x:c r="S438" s="41"/>
      <x:c r="T438" s="41"/>
      <x:c r="U438" s="41"/>
      <x:c r="V438" s="41"/>
      <x:c r="W438" s="41"/>
      <x:c r="X438" s="41"/>
      <x:c r="Y438" s="41"/>
      <x:c r="Z438" s="41"/>
    </x:row>
    <x:row r="439">
      <x:c r="A439" s="44"/>
      <x:c r="B439" s="44"/>
      <x:c r="C439" s="44"/>
      <x:c r="D439" s="44"/>
      <x:c r="E439" s="44"/>
      <x:c r="F439" s="45"/>
      <x:c r="G439" s="44"/>
      <x:c r="H439" s="45"/>
      <x:c r="I439" s="45"/>
      <x:c r="J439" s="46"/>
      <x:c r="K439" s="46"/>
      <x:c r="L439" s="41"/>
      <x:c r="M439" s="41"/>
      <x:c r="N439" s="41"/>
      <x:c r="O439" s="41"/>
      <x:c r="P439" s="41"/>
      <x:c r="Q439" s="41"/>
      <x:c r="R439" s="41"/>
      <x:c r="S439" s="41"/>
      <x:c r="T439" s="41"/>
      <x:c r="U439" s="41"/>
      <x:c r="V439" s="41"/>
      <x:c r="W439" s="41"/>
      <x:c r="X439" s="41"/>
      <x:c r="Y439" s="41"/>
      <x:c r="Z439" s="41"/>
    </x:row>
    <x:row r="440">
      <x:c r="A440" s="44"/>
      <x:c r="B440" s="44"/>
      <x:c r="C440" s="44"/>
      <x:c r="D440" s="44"/>
      <x:c r="E440" s="44"/>
      <x:c r="F440" s="45"/>
      <x:c r="G440" s="44"/>
      <x:c r="H440" s="45"/>
      <x:c r="I440" s="45"/>
      <x:c r="J440" s="46"/>
      <x:c r="K440" s="46"/>
      <x:c r="L440" s="41"/>
      <x:c r="M440" s="41"/>
      <x:c r="N440" s="41"/>
      <x:c r="O440" s="41"/>
      <x:c r="P440" s="41"/>
      <x:c r="Q440" s="41"/>
      <x:c r="R440" s="41"/>
      <x:c r="S440" s="41"/>
      <x:c r="T440" s="41"/>
      <x:c r="U440" s="41"/>
      <x:c r="V440" s="41"/>
      <x:c r="W440" s="41"/>
      <x:c r="X440" s="41"/>
      <x:c r="Y440" s="41"/>
      <x:c r="Z440" s="41"/>
    </x:row>
    <x:row r="441">
      <x:c r="A441" s="44"/>
      <x:c r="B441" s="44"/>
      <x:c r="C441" s="44"/>
      <x:c r="D441" s="44"/>
      <x:c r="E441" s="44"/>
      <x:c r="F441" s="45"/>
      <x:c r="G441" s="44"/>
      <x:c r="H441" s="45"/>
      <x:c r="I441" s="45"/>
      <x:c r="J441" s="46"/>
      <x:c r="K441" s="46"/>
      <x:c r="L441" s="41"/>
      <x:c r="M441" s="41"/>
      <x:c r="N441" s="41"/>
      <x:c r="O441" s="41"/>
      <x:c r="P441" s="41"/>
      <x:c r="Q441" s="41"/>
      <x:c r="R441" s="41"/>
      <x:c r="S441" s="41"/>
      <x:c r="T441" s="41"/>
      <x:c r="U441" s="41"/>
      <x:c r="V441" s="41"/>
      <x:c r="W441" s="41"/>
      <x:c r="X441" s="41"/>
      <x:c r="Y441" s="41"/>
      <x:c r="Z441" s="41"/>
    </x:row>
    <x:row r="442">
      <x:c r="A442" s="44"/>
      <x:c r="B442" s="44"/>
      <x:c r="C442" s="44"/>
      <x:c r="D442" s="44"/>
      <x:c r="E442" s="44"/>
      <x:c r="F442" s="45"/>
      <x:c r="G442" s="44"/>
      <x:c r="H442" s="45"/>
      <x:c r="I442" s="45"/>
      <x:c r="J442" s="46"/>
      <x:c r="K442" s="46"/>
      <x:c r="L442" s="41"/>
      <x:c r="M442" s="41"/>
      <x:c r="N442" s="41"/>
      <x:c r="O442" s="41"/>
      <x:c r="P442" s="41"/>
      <x:c r="Q442" s="41"/>
      <x:c r="R442" s="41"/>
      <x:c r="S442" s="41"/>
      <x:c r="T442" s="41"/>
      <x:c r="U442" s="41"/>
      <x:c r="V442" s="41"/>
      <x:c r="W442" s="41"/>
      <x:c r="X442" s="41"/>
      <x:c r="Y442" s="41"/>
      <x:c r="Z442" s="41"/>
    </x:row>
    <x:row r="443">
      <x:c r="A443" s="44"/>
      <x:c r="B443" s="44"/>
      <x:c r="C443" s="44"/>
      <x:c r="D443" s="44"/>
      <x:c r="E443" s="44"/>
      <x:c r="F443" s="45"/>
      <x:c r="G443" s="44"/>
      <x:c r="H443" s="45"/>
      <x:c r="I443" s="45"/>
      <x:c r="J443" s="46"/>
      <x:c r="K443" s="46"/>
      <x:c r="L443" s="41"/>
      <x:c r="M443" s="41"/>
      <x:c r="N443" s="41"/>
      <x:c r="O443" s="41"/>
      <x:c r="P443" s="41"/>
      <x:c r="Q443" s="41"/>
      <x:c r="R443" s="41"/>
      <x:c r="S443" s="41"/>
      <x:c r="T443" s="41"/>
      <x:c r="U443" s="41"/>
      <x:c r="V443" s="41"/>
      <x:c r="W443" s="41"/>
      <x:c r="X443" s="41"/>
      <x:c r="Y443" s="41"/>
      <x:c r="Z443" s="41"/>
    </x:row>
    <x:row r="444">
      <x:c r="A444" s="44"/>
      <x:c r="B444" s="44"/>
      <x:c r="C444" s="44"/>
      <x:c r="D444" s="44"/>
      <x:c r="E444" s="44"/>
      <x:c r="F444" s="45"/>
      <x:c r="G444" s="44"/>
      <x:c r="H444" s="45"/>
      <x:c r="I444" s="45"/>
      <x:c r="J444" s="46"/>
      <x:c r="K444" s="46"/>
      <x:c r="L444" s="41"/>
      <x:c r="M444" s="41"/>
      <x:c r="N444" s="41"/>
      <x:c r="O444" s="41"/>
      <x:c r="P444" s="41"/>
      <x:c r="Q444" s="41"/>
      <x:c r="R444" s="41"/>
      <x:c r="S444" s="41"/>
      <x:c r="T444" s="41"/>
      <x:c r="U444" s="41"/>
      <x:c r="V444" s="41"/>
      <x:c r="W444" s="41"/>
      <x:c r="X444" s="41"/>
      <x:c r="Y444" s="41"/>
      <x:c r="Z444" s="41"/>
    </x:row>
    <x:row r="445">
      <x:c r="A445" s="44"/>
      <x:c r="B445" s="44"/>
      <x:c r="C445" s="44"/>
      <x:c r="D445" s="44"/>
      <x:c r="E445" s="44"/>
      <x:c r="F445" s="45"/>
      <x:c r="G445" s="44"/>
      <x:c r="H445" s="45"/>
      <x:c r="I445" s="45"/>
      <x:c r="J445" s="46"/>
      <x:c r="K445" s="46"/>
      <x:c r="L445" s="41"/>
      <x:c r="M445" s="41"/>
      <x:c r="N445" s="41"/>
      <x:c r="O445" s="41"/>
      <x:c r="P445" s="41"/>
      <x:c r="Q445" s="41"/>
      <x:c r="R445" s="41"/>
      <x:c r="S445" s="41"/>
      <x:c r="T445" s="41"/>
      <x:c r="U445" s="41"/>
      <x:c r="V445" s="41"/>
      <x:c r="W445" s="41"/>
      <x:c r="X445" s="41"/>
      <x:c r="Y445" s="41"/>
      <x:c r="Z445" s="41"/>
    </x:row>
    <x:row r="446">
      <x:c r="A446" s="44"/>
      <x:c r="B446" s="44"/>
      <x:c r="C446" s="44"/>
      <x:c r="D446" s="44"/>
      <x:c r="E446" s="44"/>
      <x:c r="F446" s="45"/>
      <x:c r="G446" s="44"/>
      <x:c r="H446" s="45"/>
      <x:c r="I446" s="45"/>
      <x:c r="J446" s="46"/>
      <x:c r="K446" s="46"/>
      <x:c r="L446" s="41"/>
      <x:c r="M446" s="41"/>
      <x:c r="N446" s="41"/>
      <x:c r="O446" s="41"/>
      <x:c r="P446" s="41"/>
      <x:c r="Q446" s="41"/>
      <x:c r="R446" s="41"/>
      <x:c r="S446" s="41"/>
      <x:c r="T446" s="41"/>
      <x:c r="U446" s="41"/>
      <x:c r="V446" s="41"/>
      <x:c r="W446" s="41"/>
      <x:c r="X446" s="41"/>
      <x:c r="Y446" s="41"/>
      <x:c r="Z446" s="41"/>
    </x:row>
    <x:row r="447">
      <x:c r="A447" s="44"/>
      <x:c r="B447" s="44"/>
      <x:c r="C447" s="44"/>
      <x:c r="D447" s="44"/>
      <x:c r="E447" s="44"/>
      <x:c r="F447" s="45"/>
      <x:c r="G447" s="44"/>
      <x:c r="H447" s="45"/>
      <x:c r="I447" s="45"/>
      <x:c r="J447" s="46"/>
      <x:c r="K447" s="46"/>
      <x:c r="L447" s="41"/>
      <x:c r="M447" s="41"/>
      <x:c r="N447" s="41"/>
      <x:c r="O447" s="41"/>
      <x:c r="P447" s="41"/>
      <x:c r="Q447" s="41"/>
      <x:c r="R447" s="41"/>
      <x:c r="S447" s="41"/>
      <x:c r="T447" s="41"/>
      <x:c r="U447" s="41"/>
      <x:c r="V447" s="41"/>
      <x:c r="W447" s="41"/>
      <x:c r="X447" s="41"/>
      <x:c r="Y447" s="41"/>
      <x:c r="Z447" s="41"/>
    </x:row>
    <x:row r="448">
      <x:c r="A448" s="44"/>
      <x:c r="B448" s="44"/>
      <x:c r="C448" s="44"/>
      <x:c r="D448" s="44"/>
      <x:c r="E448" s="44"/>
      <x:c r="F448" s="45"/>
      <x:c r="G448" s="44"/>
      <x:c r="H448" s="45"/>
      <x:c r="I448" s="45"/>
      <x:c r="J448" s="46"/>
      <x:c r="K448" s="46"/>
      <x:c r="L448" s="41"/>
      <x:c r="M448" s="41"/>
      <x:c r="N448" s="41"/>
      <x:c r="O448" s="41"/>
      <x:c r="P448" s="41"/>
      <x:c r="Q448" s="41"/>
      <x:c r="R448" s="41"/>
      <x:c r="S448" s="41"/>
      <x:c r="T448" s="41"/>
      <x:c r="U448" s="41"/>
      <x:c r="V448" s="41"/>
      <x:c r="W448" s="41"/>
      <x:c r="X448" s="41"/>
      <x:c r="Y448" s="41"/>
      <x:c r="Z448" s="41"/>
    </x:row>
    <x:row r="449">
      <x:c r="A449" s="44"/>
      <x:c r="B449" s="44"/>
      <x:c r="C449" s="44"/>
      <x:c r="D449" s="44"/>
      <x:c r="E449" s="44"/>
      <x:c r="F449" s="45"/>
      <x:c r="G449" s="44"/>
      <x:c r="H449" s="45"/>
      <x:c r="I449" s="45"/>
      <x:c r="J449" s="46"/>
      <x:c r="K449" s="46"/>
      <x:c r="L449" s="41"/>
      <x:c r="M449" s="41"/>
      <x:c r="N449" s="41"/>
      <x:c r="O449" s="41"/>
      <x:c r="P449" s="41"/>
      <x:c r="Q449" s="41"/>
      <x:c r="R449" s="41"/>
      <x:c r="S449" s="41"/>
      <x:c r="T449" s="41"/>
      <x:c r="U449" s="41"/>
      <x:c r="V449" s="41"/>
      <x:c r="W449" s="41"/>
      <x:c r="X449" s="41"/>
      <x:c r="Y449" s="41"/>
      <x:c r="Z449" s="41"/>
    </x:row>
    <x:row r="450">
      <x:c r="A450" s="44"/>
      <x:c r="B450" s="44"/>
      <x:c r="C450" s="44"/>
      <x:c r="D450" s="44"/>
      <x:c r="E450" s="44"/>
      <x:c r="F450" s="45"/>
      <x:c r="G450" s="44"/>
      <x:c r="H450" s="45"/>
      <x:c r="I450" s="45"/>
      <x:c r="J450" s="46"/>
      <x:c r="K450" s="46"/>
      <x:c r="L450" s="41"/>
      <x:c r="M450" s="41"/>
      <x:c r="N450" s="41"/>
      <x:c r="O450" s="41"/>
      <x:c r="P450" s="41"/>
      <x:c r="Q450" s="41"/>
      <x:c r="R450" s="41"/>
      <x:c r="S450" s="41"/>
      <x:c r="T450" s="41"/>
      <x:c r="U450" s="41"/>
      <x:c r="V450" s="41"/>
      <x:c r="W450" s="41"/>
      <x:c r="X450" s="41"/>
      <x:c r="Y450" s="41"/>
      <x:c r="Z450" s="41"/>
    </x:row>
    <x:row r="451">
      <x:c r="A451" s="44"/>
      <x:c r="B451" s="44"/>
      <x:c r="C451" s="44"/>
      <x:c r="D451" s="44"/>
      <x:c r="E451" s="44"/>
      <x:c r="F451" s="45"/>
      <x:c r="G451" s="44"/>
      <x:c r="H451" s="45"/>
      <x:c r="I451" s="45"/>
      <x:c r="J451" s="46"/>
      <x:c r="K451" s="46"/>
      <x:c r="L451" s="41"/>
      <x:c r="M451" s="41"/>
      <x:c r="N451" s="41"/>
      <x:c r="O451" s="41"/>
      <x:c r="P451" s="41"/>
      <x:c r="Q451" s="41"/>
      <x:c r="R451" s="41"/>
      <x:c r="S451" s="41"/>
      <x:c r="T451" s="41"/>
      <x:c r="U451" s="41"/>
      <x:c r="V451" s="41"/>
      <x:c r="W451" s="41"/>
      <x:c r="X451" s="41"/>
      <x:c r="Y451" s="41"/>
      <x:c r="Z451" s="41"/>
    </x:row>
    <x:row r="452">
      <x:c r="A452" s="44"/>
      <x:c r="B452" s="44"/>
      <x:c r="C452" s="44"/>
      <x:c r="D452" s="44"/>
      <x:c r="E452" s="44"/>
      <x:c r="F452" s="45"/>
      <x:c r="G452" s="44"/>
      <x:c r="H452" s="45"/>
      <x:c r="I452" s="45"/>
      <x:c r="J452" s="46"/>
      <x:c r="K452" s="46"/>
      <x:c r="L452" s="41"/>
      <x:c r="M452" s="41"/>
      <x:c r="N452" s="41"/>
      <x:c r="O452" s="41"/>
      <x:c r="P452" s="41"/>
      <x:c r="Q452" s="41"/>
      <x:c r="R452" s="41"/>
      <x:c r="S452" s="41"/>
      <x:c r="T452" s="41"/>
      <x:c r="U452" s="41"/>
      <x:c r="V452" s="41"/>
      <x:c r="W452" s="41"/>
      <x:c r="X452" s="41"/>
      <x:c r="Y452" s="41"/>
      <x:c r="Z452" s="41"/>
    </x:row>
    <x:row r="453">
      <x:c r="A453" s="44"/>
      <x:c r="B453" s="44"/>
      <x:c r="C453" s="44"/>
      <x:c r="D453" s="44"/>
      <x:c r="E453" s="44"/>
      <x:c r="F453" s="45"/>
      <x:c r="G453" s="44"/>
      <x:c r="H453" s="45"/>
      <x:c r="I453" s="45"/>
      <x:c r="J453" s="46"/>
      <x:c r="K453" s="46"/>
      <x:c r="L453" s="41"/>
      <x:c r="M453" s="41"/>
      <x:c r="N453" s="41"/>
      <x:c r="O453" s="41"/>
      <x:c r="P453" s="41"/>
      <x:c r="Q453" s="41"/>
      <x:c r="R453" s="41"/>
      <x:c r="S453" s="41"/>
      <x:c r="T453" s="41"/>
      <x:c r="U453" s="41"/>
      <x:c r="V453" s="41"/>
      <x:c r="W453" s="41"/>
      <x:c r="X453" s="41"/>
      <x:c r="Y453" s="41"/>
      <x:c r="Z453" s="41"/>
    </x:row>
    <x:row r="454">
      <x:c r="A454" s="44"/>
      <x:c r="B454" s="44"/>
      <x:c r="C454" s="44"/>
      <x:c r="D454" s="44"/>
      <x:c r="E454" s="44"/>
      <x:c r="F454" s="45"/>
      <x:c r="G454" s="44"/>
      <x:c r="H454" s="45"/>
      <x:c r="I454" s="45"/>
      <x:c r="J454" s="46"/>
      <x:c r="K454" s="46"/>
      <x:c r="L454" s="41"/>
      <x:c r="M454" s="41"/>
      <x:c r="N454" s="41"/>
      <x:c r="O454" s="41"/>
      <x:c r="P454" s="41"/>
      <x:c r="Q454" s="41"/>
      <x:c r="R454" s="41"/>
      <x:c r="S454" s="41"/>
      <x:c r="T454" s="41"/>
      <x:c r="U454" s="41"/>
      <x:c r="V454" s="41"/>
      <x:c r="W454" s="41"/>
      <x:c r="X454" s="41"/>
      <x:c r="Y454" s="41"/>
      <x:c r="Z454" s="41"/>
    </x:row>
    <x:row r="455">
      <x:c r="A455" s="44"/>
      <x:c r="B455" s="44"/>
      <x:c r="C455" s="44"/>
      <x:c r="D455" s="44"/>
      <x:c r="E455" s="44"/>
      <x:c r="F455" s="45"/>
      <x:c r="G455" s="44"/>
      <x:c r="H455" s="45"/>
      <x:c r="I455" s="45"/>
      <x:c r="J455" s="46"/>
      <x:c r="K455" s="46"/>
      <x:c r="L455" s="41"/>
      <x:c r="M455" s="41"/>
      <x:c r="N455" s="41"/>
      <x:c r="O455" s="41"/>
      <x:c r="P455" s="41"/>
      <x:c r="Q455" s="41"/>
      <x:c r="R455" s="41"/>
      <x:c r="S455" s="41"/>
      <x:c r="T455" s="41"/>
      <x:c r="U455" s="41"/>
      <x:c r="V455" s="41"/>
      <x:c r="W455" s="41"/>
      <x:c r="X455" s="41"/>
      <x:c r="Y455" s="41"/>
      <x:c r="Z455" s="41"/>
    </x:row>
    <x:row r="456">
      <x:c r="A456" s="44"/>
      <x:c r="B456" s="44"/>
      <x:c r="C456" s="44"/>
      <x:c r="D456" s="44"/>
      <x:c r="E456" s="44"/>
      <x:c r="F456" s="45"/>
      <x:c r="G456" s="44"/>
      <x:c r="H456" s="45"/>
      <x:c r="I456" s="45"/>
      <x:c r="J456" s="46"/>
      <x:c r="K456" s="46"/>
      <x:c r="L456" s="41"/>
      <x:c r="M456" s="41"/>
      <x:c r="N456" s="41"/>
      <x:c r="O456" s="41"/>
      <x:c r="P456" s="41"/>
      <x:c r="Q456" s="41"/>
      <x:c r="R456" s="41"/>
      <x:c r="S456" s="41"/>
      <x:c r="T456" s="41"/>
      <x:c r="U456" s="41"/>
      <x:c r="V456" s="41"/>
      <x:c r="W456" s="41"/>
      <x:c r="X456" s="41"/>
      <x:c r="Y456" s="41"/>
      <x:c r="Z456" s="41"/>
    </x:row>
    <x:row r="457">
      <x:c r="A457" s="44"/>
      <x:c r="B457" s="44"/>
      <x:c r="C457" s="44"/>
      <x:c r="D457" s="44"/>
      <x:c r="E457" s="44"/>
      <x:c r="F457" s="45"/>
      <x:c r="G457" s="44"/>
      <x:c r="H457" s="45"/>
      <x:c r="I457" s="45"/>
      <x:c r="J457" s="46"/>
      <x:c r="K457" s="46"/>
      <x:c r="L457" s="41"/>
      <x:c r="M457" s="41"/>
      <x:c r="N457" s="41"/>
      <x:c r="O457" s="41"/>
      <x:c r="P457" s="41"/>
      <x:c r="Q457" s="41"/>
      <x:c r="R457" s="41"/>
      <x:c r="S457" s="41"/>
      <x:c r="T457" s="41"/>
      <x:c r="U457" s="41"/>
      <x:c r="V457" s="41"/>
      <x:c r="W457" s="41"/>
      <x:c r="X457" s="41"/>
      <x:c r="Y457" s="41"/>
      <x:c r="Z457" s="41"/>
    </x:row>
    <x:row r="458">
      <x:c r="A458" s="44"/>
      <x:c r="B458" s="44"/>
      <x:c r="C458" s="44"/>
      <x:c r="D458" s="44"/>
      <x:c r="E458" s="44"/>
      <x:c r="F458" s="45"/>
      <x:c r="G458" s="44"/>
      <x:c r="H458" s="45"/>
      <x:c r="I458" s="45"/>
      <x:c r="J458" s="46"/>
      <x:c r="K458" s="46"/>
      <x:c r="L458" s="41"/>
      <x:c r="M458" s="41"/>
      <x:c r="N458" s="41"/>
      <x:c r="O458" s="41"/>
      <x:c r="P458" s="41"/>
      <x:c r="Q458" s="41"/>
      <x:c r="R458" s="41"/>
      <x:c r="S458" s="41"/>
      <x:c r="T458" s="41"/>
      <x:c r="U458" s="41"/>
      <x:c r="V458" s="41"/>
      <x:c r="W458" s="41"/>
      <x:c r="X458" s="41"/>
      <x:c r="Y458" s="41"/>
      <x:c r="Z458" s="41"/>
    </x:row>
    <x:row r="459">
      <x:c r="A459" s="44"/>
      <x:c r="B459" s="44"/>
      <x:c r="C459" s="44"/>
      <x:c r="D459" s="44"/>
      <x:c r="E459" s="44"/>
      <x:c r="F459" s="45"/>
      <x:c r="G459" s="44"/>
      <x:c r="H459" s="45"/>
      <x:c r="I459" s="45"/>
      <x:c r="J459" s="46"/>
      <x:c r="K459" s="46"/>
      <x:c r="L459" s="41"/>
      <x:c r="M459" s="41"/>
      <x:c r="N459" s="41"/>
      <x:c r="O459" s="41"/>
      <x:c r="P459" s="41"/>
      <x:c r="Q459" s="41"/>
      <x:c r="R459" s="41"/>
      <x:c r="S459" s="41"/>
      <x:c r="T459" s="41"/>
      <x:c r="U459" s="41"/>
      <x:c r="V459" s="41"/>
      <x:c r="W459" s="41"/>
      <x:c r="X459" s="41"/>
      <x:c r="Y459" s="41"/>
      <x:c r="Z459" s="41"/>
    </x:row>
    <x:row r="460">
      <x:c r="A460" s="44"/>
      <x:c r="B460" s="44"/>
      <x:c r="C460" s="44"/>
      <x:c r="D460" s="44"/>
      <x:c r="E460" s="44"/>
      <x:c r="F460" s="45"/>
      <x:c r="G460" s="44"/>
      <x:c r="H460" s="45"/>
      <x:c r="I460" s="45"/>
      <x:c r="J460" s="46"/>
      <x:c r="K460" s="46"/>
      <x:c r="L460" s="41"/>
      <x:c r="M460" s="41"/>
      <x:c r="N460" s="41"/>
      <x:c r="O460" s="41"/>
      <x:c r="P460" s="41"/>
      <x:c r="Q460" s="41"/>
      <x:c r="R460" s="41"/>
      <x:c r="S460" s="41"/>
      <x:c r="T460" s="41"/>
      <x:c r="U460" s="41"/>
      <x:c r="V460" s="41"/>
      <x:c r="W460" s="41"/>
      <x:c r="X460" s="41"/>
      <x:c r="Y460" s="41"/>
      <x:c r="Z460" s="41"/>
    </x:row>
    <x:row r="461">
      <x:c r="A461" s="44"/>
      <x:c r="B461" s="44"/>
      <x:c r="C461" s="44"/>
      <x:c r="D461" s="44"/>
      <x:c r="E461" s="44"/>
      <x:c r="F461" s="45"/>
      <x:c r="G461" s="44"/>
      <x:c r="H461" s="45"/>
      <x:c r="I461" s="45"/>
      <x:c r="J461" s="46"/>
      <x:c r="K461" s="46"/>
      <x:c r="L461" s="41"/>
      <x:c r="M461" s="41"/>
      <x:c r="N461" s="41"/>
      <x:c r="O461" s="41"/>
      <x:c r="P461" s="41"/>
      <x:c r="Q461" s="41"/>
      <x:c r="R461" s="41"/>
      <x:c r="S461" s="41"/>
      <x:c r="T461" s="41"/>
      <x:c r="U461" s="41"/>
      <x:c r="V461" s="41"/>
      <x:c r="W461" s="41"/>
      <x:c r="X461" s="41"/>
      <x:c r="Y461" s="41"/>
      <x:c r="Z461" s="41"/>
    </x:row>
    <x:row r="462">
      <x:c r="A462" s="44"/>
      <x:c r="B462" s="44"/>
      <x:c r="C462" s="44"/>
      <x:c r="D462" s="44"/>
      <x:c r="E462" s="44"/>
      <x:c r="F462" s="45"/>
      <x:c r="G462" s="44"/>
      <x:c r="H462" s="45"/>
      <x:c r="I462" s="45"/>
      <x:c r="J462" s="46"/>
      <x:c r="K462" s="46"/>
      <x:c r="L462" s="41"/>
      <x:c r="M462" s="41"/>
      <x:c r="N462" s="41"/>
      <x:c r="O462" s="41"/>
      <x:c r="P462" s="41"/>
      <x:c r="Q462" s="41"/>
      <x:c r="R462" s="41"/>
      <x:c r="S462" s="41"/>
      <x:c r="T462" s="41"/>
      <x:c r="U462" s="41"/>
      <x:c r="V462" s="41"/>
      <x:c r="W462" s="41"/>
      <x:c r="X462" s="41"/>
      <x:c r="Y462" s="41"/>
      <x:c r="Z462" s="41"/>
    </x:row>
    <x:row r="463">
      <x:c r="A463" s="44"/>
      <x:c r="B463" s="44"/>
      <x:c r="C463" s="44"/>
      <x:c r="D463" s="44"/>
      <x:c r="E463" s="44"/>
      <x:c r="F463" s="45"/>
      <x:c r="G463" s="44"/>
      <x:c r="H463" s="45"/>
      <x:c r="I463" s="45"/>
      <x:c r="J463" s="46"/>
      <x:c r="K463" s="46"/>
      <x:c r="L463" s="41"/>
      <x:c r="M463" s="41"/>
      <x:c r="N463" s="41"/>
      <x:c r="O463" s="41"/>
      <x:c r="P463" s="41"/>
      <x:c r="Q463" s="41"/>
      <x:c r="R463" s="41"/>
      <x:c r="S463" s="41"/>
      <x:c r="T463" s="41"/>
      <x:c r="U463" s="41"/>
      <x:c r="V463" s="41"/>
      <x:c r="W463" s="41"/>
      <x:c r="X463" s="41"/>
      <x:c r="Y463" s="41"/>
      <x:c r="Z463" s="41"/>
    </x:row>
    <x:row r="464">
      <x:c r="A464" s="44"/>
      <x:c r="B464" s="44"/>
      <x:c r="C464" s="44"/>
      <x:c r="D464" s="44"/>
      <x:c r="E464" s="44"/>
      <x:c r="F464" s="45"/>
      <x:c r="G464" s="44"/>
      <x:c r="H464" s="45"/>
      <x:c r="I464" s="45"/>
      <x:c r="J464" s="46"/>
      <x:c r="K464" s="46"/>
      <x:c r="L464" s="41"/>
      <x:c r="M464" s="41"/>
      <x:c r="N464" s="41"/>
      <x:c r="O464" s="41"/>
      <x:c r="P464" s="41"/>
      <x:c r="Q464" s="41"/>
      <x:c r="R464" s="41"/>
      <x:c r="S464" s="41"/>
      <x:c r="T464" s="41"/>
      <x:c r="U464" s="41"/>
      <x:c r="V464" s="41"/>
      <x:c r="W464" s="41"/>
      <x:c r="X464" s="41"/>
      <x:c r="Y464" s="41"/>
      <x:c r="Z464" s="41"/>
    </x:row>
    <x:row r="465">
      <x:c r="A465" s="44"/>
      <x:c r="B465" s="44"/>
      <x:c r="C465" s="44"/>
      <x:c r="D465" s="44"/>
      <x:c r="E465" s="44"/>
      <x:c r="F465" s="45"/>
      <x:c r="G465" s="44"/>
      <x:c r="H465" s="45"/>
      <x:c r="I465" s="45"/>
      <x:c r="J465" s="46"/>
      <x:c r="K465" s="46"/>
      <x:c r="L465" s="41"/>
      <x:c r="M465" s="41"/>
      <x:c r="N465" s="41"/>
      <x:c r="O465" s="41"/>
      <x:c r="P465" s="41"/>
      <x:c r="Q465" s="41"/>
      <x:c r="R465" s="41"/>
      <x:c r="S465" s="41"/>
      <x:c r="T465" s="41"/>
      <x:c r="U465" s="41"/>
      <x:c r="V465" s="41"/>
      <x:c r="W465" s="41"/>
      <x:c r="X465" s="41"/>
      <x:c r="Y465" s="41"/>
      <x:c r="Z465" s="41"/>
    </x:row>
    <x:row r="466">
      <x:c r="A466" s="44"/>
      <x:c r="B466" s="44"/>
      <x:c r="C466" s="44"/>
      <x:c r="D466" s="44"/>
      <x:c r="E466" s="44"/>
      <x:c r="F466" s="45"/>
      <x:c r="G466" s="44"/>
      <x:c r="H466" s="45"/>
      <x:c r="I466" s="45"/>
      <x:c r="J466" s="46"/>
      <x:c r="K466" s="46"/>
      <x:c r="L466" s="41"/>
      <x:c r="M466" s="41"/>
      <x:c r="N466" s="41"/>
      <x:c r="O466" s="41"/>
      <x:c r="P466" s="41"/>
      <x:c r="Q466" s="41"/>
      <x:c r="R466" s="41"/>
      <x:c r="S466" s="41"/>
      <x:c r="T466" s="41"/>
      <x:c r="U466" s="41"/>
      <x:c r="V466" s="41"/>
      <x:c r="W466" s="41"/>
      <x:c r="X466" s="41"/>
      <x:c r="Y466" s="41"/>
      <x:c r="Z466" s="41"/>
    </x:row>
    <x:row r="467">
      <x:c r="A467" s="44"/>
      <x:c r="B467" s="44"/>
      <x:c r="C467" s="44"/>
      <x:c r="D467" s="44"/>
      <x:c r="E467" s="44"/>
      <x:c r="F467" s="45"/>
      <x:c r="G467" s="44"/>
      <x:c r="H467" s="45"/>
      <x:c r="I467" s="45"/>
      <x:c r="J467" s="46"/>
      <x:c r="K467" s="46"/>
      <x:c r="L467" s="41"/>
      <x:c r="M467" s="41"/>
      <x:c r="N467" s="41"/>
      <x:c r="O467" s="41"/>
      <x:c r="P467" s="41"/>
      <x:c r="Q467" s="41"/>
      <x:c r="R467" s="41"/>
      <x:c r="S467" s="41"/>
      <x:c r="T467" s="41"/>
      <x:c r="U467" s="41"/>
      <x:c r="V467" s="41"/>
      <x:c r="W467" s="41"/>
      <x:c r="X467" s="41"/>
      <x:c r="Y467" s="41"/>
      <x:c r="Z467" s="41"/>
    </x:row>
    <x:row r="468">
      <x:c r="A468" s="44"/>
      <x:c r="B468" s="44"/>
      <x:c r="C468" s="44"/>
      <x:c r="D468" s="44"/>
      <x:c r="E468" s="44"/>
      <x:c r="F468" s="45"/>
      <x:c r="G468" s="44"/>
      <x:c r="H468" s="45"/>
      <x:c r="I468" s="45"/>
      <x:c r="J468" s="46"/>
      <x:c r="K468" s="46"/>
      <x:c r="L468" s="41"/>
      <x:c r="M468" s="41"/>
      <x:c r="N468" s="41"/>
      <x:c r="O468" s="41"/>
      <x:c r="P468" s="41"/>
      <x:c r="Q468" s="41"/>
      <x:c r="R468" s="41"/>
      <x:c r="S468" s="41"/>
      <x:c r="T468" s="41"/>
      <x:c r="U468" s="41"/>
      <x:c r="V468" s="41"/>
      <x:c r="W468" s="41"/>
      <x:c r="X468" s="41"/>
      <x:c r="Y468" s="41"/>
      <x:c r="Z468" s="41"/>
    </x:row>
    <x:row r="469">
      <x:c r="A469" s="44"/>
      <x:c r="B469" s="44"/>
      <x:c r="C469" s="44"/>
      <x:c r="D469" s="44"/>
      <x:c r="E469" s="44"/>
      <x:c r="F469" s="45"/>
      <x:c r="G469" s="44"/>
      <x:c r="H469" s="45"/>
      <x:c r="I469" s="45"/>
      <x:c r="J469" s="46"/>
      <x:c r="K469" s="46"/>
      <x:c r="L469" s="41"/>
      <x:c r="M469" s="41"/>
      <x:c r="N469" s="41"/>
      <x:c r="O469" s="41"/>
      <x:c r="P469" s="41"/>
      <x:c r="Q469" s="41"/>
      <x:c r="R469" s="41"/>
      <x:c r="S469" s="41"/>
      <x:c r="T469" s="41"/>
      <x:c r="U469" s="41"/>
      <x:c r="V469" s="41"/>
      <x:c r="W469" s="41"/>
      <x:c r="X469" s="41"/>
      <x:c r="Y469" s="41"/>
      <x:c r="Z469" s="41"/>
    </x:row>
    <x:row r="470">
      <x:c r="A470" s="44"/>
      <x:c r="B470" s="44"/>
      <x:c r="C470" s="44"/>
      <x:c r="D470" s="44"/>
      <x:c r="E470" s="44"/>
      <x:c r="F470" s="45"/>
      <x:c r="G470" s="44"/>
      <x:c r="H470" s="45"/>
      <x:c r="I470" s="45"/>
      <x:c r="J470" s="46"/>
      <x:c r="K470" s="46"/>
      <x:c r="L470" s="41"/>
      <x:c r="M470" s="41"/>
      <x:c r="N470" s="41"/>
      <x:c r="O470" s="41"/>
      <x:c r="P470" s="41"/>
      <x:c r="Q470" s="41"/>
      <x:c r="R470" s="41"/>
      <x:c r="S470" s="41"/>
      <x:c r="T470" s="41"/>
      <x:c r="U470" s="41"/>
      <x:c r="V470" s="41"/>
      <x:c r="W470" s="41"/>
      <x:c r="X470" s="41"/>
      <x:c r="Y470" s="41"/>
      <x:c r="Z470" s="41"/>
    </x:row>
    <x:row r="471">
      <x:c r="A471" s="44"/>
      <x:c r="B471" s="44"/>
      <x:c r="C471" s="44"/>
      <x:c r="D471" s="44"/>
      <x:c r="E471" s="44"/>
      <x:c r="F471" s="45"/>
      <x:c r="G471" s="44"/>
      <x:c r="H471" s="45"/>
      <x:c r="I471" s="45"/>
      <x:c r="J471" s="46"/>
      <x:c r="K471" s="46"/>
      <x:c r="L471" s="41"/>
      <x:c r="M471" s="41"/>
      <x:c r="N471" s="41"/>
      <x:c r="O471" s="41"/>
      <x:c r="P471" s="41"/>
      <x:c r="Q471" s="41"/>
      <x:c r="R471" s="41"/>
      <x:c r="S471" s="41"/>
      <x:c r="T471" s="41"/>
      <x:c r="U471" s="41"/>
      <x:c r="V471" s="41"/>
      <x:c r="W471" s="41"/>
      <x:c r="X471" s="41"/>
      <x:c r="Y471" s="41"/>
      <x:c r="Z471" s="41"/>
    </x:row>
    <x:row r="472">
      <x:c r="A472" s="44"/>
      <x:c r="B472" s="44"/>
      <x:c r="C472" s="44"/>
      <x:c r="D472" s="44"/>
      <x:c r="E472" s="44"/>
      <x:c r="F472" s="45"/>
      <x:c r="G472" s="44"/>
      <x:c r="H472" s="45"/>
      <x:c r="I472" s="45"/>
      <x:c r="J472" s="46"/>
      <x:c r="K472" s="46"/>
      <x:c r="L472" s="41"/>
      <x:c r="M472" s="41"/>
      <x:c r="N472" s="41"/>
      <x:c r="O472" s="41"/>
      <x:c r="P472" s="41"/>
      <x:c r="Q472" s="41"/>
      <x:c r="R472" s="41"/>
      <x:c r="S472" s="41"/>
      <x:c r="T472" s="41"/>
      <x:c r="U472" s="41"/>
      <x:c r="V472" s="41"/>
      <x:c r="W472" s="41"/>
      <x:c r="X472" s="41"/>
      <x:c r="Y472" s="41"/>
      <x:c r="Z472" s="41"/>
    </x:row>
    <x:row r="473">
      <x:c r="A473" s="44"/>
      <x:c r="B473" s="44"/>
      <x:c r="C473" s="44"/>
      <x:c r="D473" s="44"/>
      <x:c r="E473" s="44"/>
      <x:c r="F473" s="45"/>
      <x:c r="G473" s="44"/>
      <x:c r="H473" s="45"/>
      <x:c r="I473" s="45"/>
      <x:c r="J473" s="46"/>
      <x:c r="K473" s="46"/>
      <x:c r="L473" s="41"/>
      <x:c r="M473" s="41"/>
      <x:c r="N473" s="41"/>
      <x:c r="O473" s="41"/>
      <x:c r="P473" s="41"/>
      <x:c r="Q473" s="41"/>
      <x:c r="R473" s="41"/>
      <x:c r="S473" s="41"/>
      <x:c r="T473" s="41"/>
      <x:c r="U473" s="41"/>
      <x:c r="V473" s="41"/>
      <x:c r="W473" s="41"/>
      <x:c r="X473" s="41"/>
      <x:c r="Y473" s="41"/>
      <x:c r="Z473" s="41"/>
    </x:row>
    <x:row r="474">
      <x:c r="A474" s="44"/>
      <x:c r="B474" s="44"/>
      <x:c r="C474" s="44"/>
      <x:c r="D474" s="44"/>
      <x:c r="E474" s="44"/>
      <x:c r="F474" s="45"/>
      <x:c r="G474" s="44"/>
      <x:c r="H474" s="45"/>
      <x:c r="I474" s="45"/>
      <x:c r="J474" s="46"/>
      <x:c r="K474" s="46"/>
      <x:c r="L474" s="41"/>
      <x:c r="M474" s="41"/>
      <x:c r="N474" s="41"/>
      <x:c r="O474" s="41"/>
      <x:c r="P474" s="41"/>
      <x:c r="Q474" s="41"/>
      <x:c r="R474" s="41"/>
      <x:c r="S474" s="41"/>
      <x:c r="T474" s="41"/>
      <x:c r="U474" s="41"/>
      <x:c r="V474" s="41"/>
      <x:c r="W474" s="41"/>
      <x:c r="X474" s="41"/>
      <x:c r="Y474" s="41"/>
      <x:c r="Z474" s="41"/>
    </x:row>
    <x:row r="475">
      <x:c r="A475" s="44"/>
      <x:c r="B475" s="44"/>
      <x:c r="C475" s="44"/>
      <x:c r="D475" s="44"/>
      <x:c r="E475" s="44"/>
      <x:c r="F475" s="45"/>
      <x:c r="G475" s="44"/>
      <x:c r="H475" s="45"/>
      <x:c r="I475" s="45"/>
      <x:c r="J475" s="46"/>
      <x:c r="K475" s="46"/>
      <x:c r="L475" s="41"/>
      <x:c r="M475" s="41"/>
      <x:c r="N475" s="41"/>
      <x:c r="O475" s="41"/>
      <x:c r="P475" s="41"/>
      <x:c r="Q475" s="41"/>
      <x:c r="R475" s="41"/>
      <x:c r="S475" s="41"/>
      <x:c r="T475" s="41"/>
      <x:c r="U475" s="41"/>
      <x:c r="V475" s="41"/>
      <x:c r="W475" s="41"/>
      <x:c r="X475" s="41"/>
      <x:c r="Y475" s="41"/>
      <x:c r="Z475" s="41"/>
    </x:row>
    <x:row r="476">
      <x:c r="A476" s="44"/>
      <x:c r="B476" s="44"/>
      <x:c r="C476" s="44"/>
      <x:c r="D476" s="44"/>
      <x:c r="E476" s="44"/>
      <x:c r="F476" s="45"/>
      <x:c r="G476" s="44"/>
      <x:c r="H476" s="45"/>
      <x:c r="I476" s="45"/>
      <x:c r="J476" s="46"/>
      <x:c r="K476" s="46"/>
      <x:c r="L476" s="41"/>
      <x:c r="M476" s="41"/>
      <x:c r="N476" s="41"/>
      <x:c r="O476" s="41"/>
      <x:c r="P476" s="41"/>
      <x:c r="Q476" s="41"/>
      <x:c r="R476" s="41"/>
      <x:c r="S476" s="41"/>
      <x:c r="T476" s="41"/>
      <x:c r="U476" s="41"/>
      <x:c r="V476" s="41"/>
      <x:c r="W476" s="41"/>
      <x:c r="X476" s="41"/>
      <x:c r="Y476" s="41"/>
      <x:c r="Z476" s="41"/>
    </x:row>
    <x:row r="477">
      <x:c r="A477" s="44"/>
      <x:c r="B477" s="44"/>
      <x:c r="C477" s="44"/>
      <x:c r="D477" s="44"/>
      <x:c r="E477" s="44"/>
      <x:c r="F477" s="45"/>
      <x:c r="G477" s="44"/>
      <x:c r="H477" s="45"/>
      <x:c r="I477" s="45"/>
      <x:c r="J477" s="46"/>
      <x:c r="K477" s="46"/>
      <x:c r="L477" s="41"/>
      <x:c r="M477" s="41"/>
      <x:c r="N477" s="41"/>
      <x:c r="O477" s="41"/>
      <x:c r="P477" s="41"/>
      <x:c r="Q477" s="41"/>
      <x:c r="R477" s="41"/>
      <x:c r="S477" s="41"/>
      <x:c r="T477" s="41"/>
      <x:c r="U477" s="41"/>
      <x:c r="V477" s="41"/>
      <x:c r="W477" s="41"/>
      <x:c r="X477" s="41"/>
      <x:c r="Y477" s="41"/>
      <x:c r="Z477" s="41"/>
    </x:row>
    <x:row r="478">
      <x:c r="A478" s="44"/>
      <x:c r="B478" s="44"/>
      <x:c r="C478" s="44"/>
      <x:c r="D478" s="44"/>
      <x:c r="E478" s="44"/>
      <x:c r="F478" s="45"/>
      <x:c r="G478" s="44"/>
      <x:c r="H478" s="45"/>
      <x:c r="I478" s="45"/>
      <x:c r="J478" s="46"/>
      <x:c r="K478" s="46"/>
      <x:c r="L478" s="41"/>
      <x:c r="M478" s="41"/>
      <x:c r="N478" s="41"/>
      <x:c r="O478" s="41"/>
      <x:c r="P478" s="41"/>
      <x:c r="Q478" s="41"/>
      <x:c r="R478" s="41"/>
      <x:c r="S478" s="41"/>
      <x:c r="T478" s="41"/>
      <x:c r="U478" s="41"/>
      <x:c r="V478" s="41"/>
      <x:c r="W478" s="41"/>
      <x:c r="X478" s="41"/>
      <x:c r="Y478" s="41"/>
      <x:c r="Z478" s="41"/>
    </x:row>
    <x:row r="479">
      <x:c r="A479" s="44"/>
      <x:c r="B479" s="44"/>
      <x:c r="C479" s="44"/>
      <x:c r="D479" s="44"/>
      <x:c r="E479" s="44"/>
      <x:c r="F479" s="45"/>
      <x:c r="G479" s="44"/>
      <x:c r="H479" s="45"/>
      <x:c r="I479" s="45"/>
      <x:c r="J479" s="46"/>
      <x:c r="K479" s="46"/>
      <x:c r="L479" s="41"/>
      <x:c r="M479" s="41"/>
      <x:c r="N479" s="41"/>
      <x:c r="O479" s="41"/>
      <x:c r="P479" s="41"/>
      <x:c r="Q479" s="41"/>
      <x:c r="R479" s="41"/>
      <x:c r="S479" s="41"/>
      <x:c r="T479" s="41"/>
      <x:c r="U479" s="41"/>
      <x:c r="V479" s="41"/>
      <x:c r="W479" s="41"/>
      <x:c r="X479" s="41"/>
      <x:c r="Y479" s="41"/>
      <x:c r="Z479" s="41"/>
    </x:row>
    <x:row r="480">
      <x:c r="A480" s="44"/>
      <x:c r="B480" s="44"/>
      <x:c r="C480" s="44"/>
      <x:c r="D480" s="44"/>
      <x:c r="E480" s="44"/>
      <x:c r="F480" s="45"/>
      <x:c r="G480" s="44"/>
      <x:c r="H480" s="45"/>
      <x:c r="I480" s="45"/>
      <x:c r="J480" s="46"/>
      <x:c r="K480" s="46"/>
      <x:c r="L480" s="41"/>
      <x:c r="M480" s="41"/>
      <x:c r="N480" s="41"/>
      <x:c r="O480" s="41"/>
      <x:c r="P480" s="41"/>
      <x:c r="Q480" s="41"/>
      <x:c r="R480" s="41"/>
      <x:c r="S480" s="41"/>
      <x:c r="T480" s="41"/>
      <x:c r="U480" s="41"/>
      <x:c r="V480" s="41"/>
      <x:c r="W480" s="41"/>
      <x:c r="X480" s="41"/>
      <x:c r="Y480" s="41"/>
      <x:c r="Z480" s="41"/>
    </x:row>
    <x:row r="481">
      <x:c r="A481" s="44"/>
      <x:c r="B481" s="44"/>
      <x:c r="C481" s="44"/>
      <x:c r="D481" s="44"/>
      <x:c r="E481" s="44"/>
      <x:c r="F481" s="45"/>
      <x:c r="G481" s="44"/>
      <x:c r="H481" s="45"/>
      <x:c r="I481" s="45"/>
      <x:c r="J481" s="46"/>
      <x:c r="K481" s="46"/>
      <x:c r="L481" s="41"/>
      <x:c r="M481" s="41"/>
      <x:c r="N481" s="41"/>
      <x:c r="O481" s="41"/>
      <x:c r="P481" s="41"/>
      <x:c r="Q481" s="41"/>
      <x:c r="R481" s="41"/>
      <x:c r="S481" s="41"/>
      <x:c r="T481" s="41"/>
      <x:c r="U481" s="41"/>
      <x:c r="V481" s="41"/>
      <x:c r="W481" s="41"/>
      <x:c r="X481" s="41"/>
      <x:c r="Y481" s="41"/>
      <x:c r="Z481" s="41"/>
    </x:row>
    <x:row r="482">
      <x:c r="A482" s="44"/>
      <x:c r="B482" s="44"/>
      <x:c r="C482" s="44"/>
      <x:c r="D482" s="44"/>
      <x:c r="E482" s="44"/>
      <x:c r="F482" s="45"/>
      <x:c r="G482" s="44"/>
      <x:c r="H482" s="45"/>
      <x:c r="I482" s="45"/>
      <x:c r="J482" s="46"/>
      <x:c r="K482" s="46"/>
      <x:c r="L482" s="41"/>
      <x:c r="M482" s="41"/>
      <x:c r="N482" s="41"/>
      <x:c r="O482" s="41"/>
      <x:c r="P482" s="41"/>
      <x:c r="Q482" s="41"/>
      <x:c r="R482" s="41"/>
      <x:c r="S482" s="41"/>
      <x:c r="T482" s="41"/>
      <x:c r="U482" s="41"/>
      <x:c r="V482" s="41"/>
      <x:c r="W482" s="41"/>
      <x:c r="X482" s="41"/>
      <x:c r="Y482" s="41"/>
      <x:c r="Z482" s="41"/>
    </x:row>
    <x:row r="483">
      <x:c r="A483" s="44"/>
      <x:c r="B483" s="44"/>
      <x:c r="C483" s="44"/>
      <x:c r="D483" s="44"/>
      <x:c r="E483" s="44"/>
      <x:c r="F483" s="45"/>
      <x:c r="G483" s="44"/>
      <x:c r="H483" s="45"/>
      <x:c r="I483" s="45"/>
      <x:c r="J483" s="46"/>
      <x:c r="K483" s="46"/>
      <x:c r="L483" s="41"/>
      <x:c r="M483" s="41"/>
      <x:c r="N483" s="41"/>
      <x:c r="O483" s="41"/>
      <x:c r="P483" s="41"/>
      <x:c r="Q483" s="41"/>
      <x:c r="R483" s="41"/>
      <x:c r="S483" s="41"/>
      <x:c r="T483" s="41"/>
      <x:c r="U483" s="41"/>
      <x:c r="V483" s="41"/>
      <x:c r="W483" s="41"/>
      <x:c r="X483" s="41"/>
      <x:c r="Y483" s="41"/>
      <x:c r="Z483" s="41"/>
    </x:row>
    <x:row r="484">
      <x:c r="A484" s="44"/>
      <x:c r="B484" s="44"/>
      <x:c r="C484" s="44"/>
      <x:c r="D484" s="44"/>
      <x:c r="E484" s="44"/>
      <x:c r="F484" s="45"/>
      <x:c r="G484" s="44"/>
      <x:c r="H484" s="45"/>
      <x:c r="I484" s="45"/>
      <x:c r="J484" s="46"/>
      <x:c r="K484" s="46"/>
      <x:c r="L484" s="41"/>
      <x:c r="M484" s="41"/>
      <x:c r="N484" s="41"/>
      <x:c r="O484" s="41"/>
      <x:c r="P484" s="41"/>
      <x:c r="Q484" s="41"/>
      <x:c r="R484" s="41"/>
      <x:c r="S484" s="41"/>
      <x:c r="T484" s="41"/>
      <x:c r="U484" s="41"/>
      <x:c r="V484" s="41"/>
      <x:c r="W484" s="41"/>
      <x:c r="X484" s="41"/>
      <x:c r="Y484" s="41"/>
      <x:c r="Z484" s="41"/>
    </x:row>
    <x:row r="485">
      <x:c r="A485" s="44"/>
      <x:c r="B485" s="44"/>
      <x:c r="C485" s="44"/>
      <x:c r="D485" s="44"/>
      <x:c r="E485" s="44"/>
      <x:c r="F485" s="45"/>
      <x:c r="G485" s="44"/>
      <x:c r="H485" s="45"/>
      <x:c r="I485" s="45"/>
      <x:c r="J485" s="46"/>
      <x:c r="K485" s="46"/>
      <x:c r="L485" s="41"/>
      <x:c r="M485" s="41"/>
      <x:c r="N485" s="41"/>
      <x:c r="O485" s="41"/>
      <x:c r="P485" s="41"/>
      <x:c r="Q485" s="41"/>
      <x:c r="R485" s="41"/>
      <x:c r="S485" s="41"/>
      <x:c r="T485" s="41"/>
      <x:c r="U485" s="41"/>
      <x:c r="V485" s="41"/>
      <x:c r="W485" s="41"/>
      <x:c r="X485" s="41"/>
      <x:c r="Y485" s="41"/>
      <x:c r="Z485" s="41"/>
    </x:row>
    <x:row r="486">
      <x:c r="A486" s="44"/>
      <x:c r="B486" s="44"/>
      <x:c r="C486" s="44"/>
      <x:c r="D486" s="44"/>
      <x:c r="E486" s="44"/>
      <x:c r="F486" s="45"/>
      <x:c r="G486" s="44"/>
      <x:c r="H486" s="45"/>
      <x:c r="I486" s="45"/>
      <x:c r="J486" s="46"/>
      <x:c r="K486" s="46"/>
      <x:c r="L486" s="41"/>
      <x:c r="M486" s="41"/>
      <x:c r="N486" s="41"/>
      <x:c r="O486" s="41"/>
      <x:c r="P486" s="41"/>
      <x:c r="Q486" s="41"/>
      <x:c r="R486" s="41"/>
      <x:c r="S486" s="41"/>
      <x:c r="T486" s="41"/>
      <x:c r="U486" s="41"/>
      <x:c r="V486" s="41"/>
      <x:c r="W486" s="41"/>
      <x:c r="X486" s="41"/>
      <x:c r="Y486" s="41"/>
      <x:c r="Z486" s="41"/>
    </x:row>
    <x:row r="487">
      <x:c r="A487" s="44"/>
      <x:c r="B487" s="44"/>
      <x:c r="C487" s="44"/>
      <x:c r="D487" s="44"/>
      <x:c r="E487" s="44"/>
      <x:c r="F487" s="45"/>
      <x:c r="G487" s="44"/>
      <x:c r="H487" s="45"/>
      <x:c r="I487" s="45"/>
      <x:c r="J487" s="46"/>
      <x:c r="K487" s="46"/>
      <x:c r="L487" s="41"/>
      <x:c r="M487" s="41"/>
      <x:c r="N487" s="41"/>
      <x:c r="O487" s="41"/>
      <x:c r="P487" s="41"/>
      <x:c r="Q487" s="41"/>
      <x:c r="R487" s="41"/>
      <x:c r="S487" s="41"/>
      <x:c r="T487" s="41"/>
      <x:c r="U487" s="41"/>
      <x:c r="V487" s="41"/>
      <x:c r="W487" s="41"/>
      <x:c r="X487" s="41"/>
      <x:c r="Y487" s="41"/>
      <x:c r="Z487" s="41"/>
    </x:row>
    <x:row r="488">
      <x:c r="A488" s="44"/>
      <x:c r="B488" s="44"/>
      <x:c r="C488" s="44"/>
      <x:c r="D488" s="44"/>
      <x:c r="E488" s="44"/>
      <x:c r="F488" s="45"/>
      <x:c r="G488" s="44"/>
      <x:c r="H488" s="45"/>
      <x:c r="I488" s="45"/>
      <x:c r="J488" s="46"/>
      <x:c r="K488" s="46"/>
      <x:c r="L488" s="41"/>
      <x:c r="M488" s="41"/>
      <x:c r="N488" s="41"/>
      <x:c r="O488" s="41"/>
      <x:c r="P488" s="41"/>
      <x:c r="Q488" s="41"/>
      <x:c r="R488" s="41"/>
      <x:c r="S488" s="41"/>
      <x:c r="T488" s="41"/>
      <x:c r="U488" s="41"/>
      <x:c r="V488" s="41"/>
      <x:c r="W488" s="41"/>
      <x:c r="X488" s="41"/>
      <x:c r="Y488" s="41"/>
      <x:c r="Z488" s="41"/>
    </x:row>
    <x:row r="489">
      <x:c r="A489" s="44"/>
      <x:c r="B489" s="44"/>
      <x:c r="C489" s="44"/>
      <x:c r="D489" s="44"/>
      <x:c r="E489" s="44"/>
      <x:c r="F489" s="45"/>
      <x:c r="G489" s="44"/>
      <x:c r="H489" s="45"/>
      <x:c r="I489" s="45"/>
      <x:c r="J489" s="46"/>
      <x:c r="K489" s="46"/>
      <x:c r="L489" s="41"/>
      <x:c r="M489" s="41"/>
      <x:c r="N489" s="41"/>
      <x:c r="O489" s="41"/>
      <x:c r="P489" s="41"/>
      <x:c r="Q489" s="41"/>
      <x:c r="R489" s="41"/>
      <x:c r="S489" s="41"/>
      <x:c r="T489" s="41"/>
      <x:c r="U489" s="41"/>
      <x:c r="V489" s="41"/>
      <x:c r="W489" s="41"/>
      <x:c r="X489" s="41"/>
      <x:c r="Y489" s="41"/>
      <x:c r="Z489" s="41"/>
    </x:row>
    <x:row r="490">
      <x:c r="A490" s="44"/>
      <x:c r="B490" s="44"/>
      <x:c r="C490" s="44"/>
      <x:c r="D490" s="44"/>
      <x:c r="E490" s="44"/>
      <x:c r="F490" s="45"/>
      <x:c r="G490" s="44"/>
      <x:c r="H490" s="45"/>
      <x:c r="I490" s="45"/>
      <x:c r="J490" s="46"/>
      <x:c r="K490" s="46"/>
      <x:c r="L490" s="41"/>
      <x:c r="M490" s="41"/>
      <x:c r="N490" s="41"/>
      <x:c r="O490" s="41"/>
      <x:c r="P490" s="41"/>
      <x:c r="Q490" s="41"/>
      <x:c r="R490" s="41"/>
      <x:c r="S490" s="41"/>
      <x:c r="T490" s="41"/>
      <x:c r="U490" s="41"/>
      <x:c r="V490" s="41"/>
      <x:c r="W490" s="41"/>
      <x:c r="X490" s="41"/>
      <x:c r="Y490" s="41"/>
      <x:c r="Z490" s="41"/>
    </x:row>
    <x:row r="491">
      <x:c r="A491" s="44"/>
      <x:c r="B491" s="44"/>
      <x:c r="C491" s="44"/>
      <x:c r="D491" s="44"/>
      <x:c r="E491" s="44"/>
      <x:c r="F491" s="45"/>
      <x:c r="G491" s="44"/>
      <x:c r="H491" s="45"/>
      <x:c r="I491" s="45"/>
      <x:c r="J491" s="46"/>
      <x:c r="K491" s="46"/>
      <x:c r="L491" s="41"/>
      <x:c r="M491" s="41"/>
      <x:c r="N491" s="41"/>
      <x:c r="O491" s="41"/>
      <x:c r="P491" s="41"/>
      <x:c r="Q491" s="41"/>
      <x:c r="R491" s="41"/>
      <x:c r="S491" s="41"/>
      <x:c r="T491" s="41"/>
      <x:c r="U491" s="41"/>
      <x:c r="V491" s="41"/>
      <x:c r="W491" s="41"/>
      <x:c r="X491" s="41"/>
      <x:c r="Y491" s="41"/>
      <x:c r="Z491" s="41"/>
    </x:row>
    <x:row r="492">
      <x:c r="A492" s="44"/>
      <x:c r="B492" s="44"/>
      <x:c r="C492" s="44"/>
      <x:c r="D492" s="44"/>
      <x:c r="E492" s="44"/>
      <x:c r="F492" s="45"/>
      <x:c r="G492" s="44"/>
      <x:c r="H492" s="45"/>
      <x:c r="I492" s="45"/>
      <x:c r="J492" s="46"/>
      <x:c r="K492" s="46"/>
      <x:c r="L492" s="41"/>
      <x:c r="M492" s="41"/>
      <x:c r="N492" s="41"/>
      <x:c r="O492" s="41"/>
      <x:c r="P492" s="41"/>
      <x:c r="Q492" s="41"/>
      <x:c r="R492" s="41"/>
      <x:c r="S492" s="41"/>
      <x:c r="T492" s="41"/>
      <x:c r="U492" s="41"/>
      <x:c r="V492" s="41"/>
      <x:c r="W492" s="41"/>
      <x:c r="X492" s="41"/>
      <x:c r="Y492" s="41"/>
      <x:c r="Z492" s="41"/>
    </x:row>
    <x:row r="493">
      <x:c r="A493" s="44"/>
      <x:c r="B493" s="44"/>
      <x:c r="C493" s="44"/>
      <x:c r="D493" s="44"/>
      <x:c r="E493" s="44"/>
      <x:c r="F493" s="45"/>
      <x:c r="G493" s="44"/>
      <x:c r="H493" s="45"/>
      <x:c r="I493" s="45"/>
      <x:c r="J493" s="46"/>
      <x:c r="K493" s="46"/>
      <x:c r="L493" s="41"/>
      <x:c r="M493" s="41"/>
      <x:c r="N493" s="41"/>
      <x:c r="O493" s="41"/>
      <x:c r="P493" s="41"/>
      <x:c r="Q493" s="41"/>
      <x:c r="R493" s="41"/>
      <x:c r="S493" s="41"/>
      <x:c r="T493" s="41"/>
      <x:c r="U493" s="41"/>
      <x:c r="V493" s="41"/>
      <x:c r="W493" s="41"/>
      <x:c r="X493" s="41"/>
      <x:c r="Y493" s="41"/>
      <x:c r="Z493" s="41"/>
    </x:row>
    <x:row r="494">
      <x:c r="A494" s="44"/>
      <x:c r="B494" s="44"/>
      <x:c r="C494" s="44"/>
      <x:c r="D494" s="44"/>
      <x:c r="E494" s="44"/>
      <x:c r="F494" s="45"/>
      <x:c r="G494" s="44"/>
      <x:c r="H494" s="45"/>
      <x:c r="I494" s="45"/>
      <x:c r="J494" s="46"/>
      <x:c r="K494" s="46"/>
      <x:c r="L494" s="41"/>
      <x:c r="M494" s="41"/>
      <x:c r="N494" s="41"/>
      <x:c r="O494" s="41"/>
      <x:c r="P494" s="41"/>
      <x:c r="Q494" s="41"/>
      <x:c r="R494" s="41"/>
      <x:c r="S494" s="41"/>
      <x:c r="T494" s="41"/>
      <x:c r="U494" s="41"/>
      <x:c r="V494" s="41"/>
      <x:c r="W494" s="41"/>
      <x:c r="X494" s="41"/>
      <x:c r="Y494" s="41"/>
      <x:c r="Z494" s="41"/>
    </x:row>
    <x:row r="495">
      <x:c r="A495" s="44"/>
      <x:c r="B495" s="44"/>
      <x:c r="C495" s="44"/>
      <x:c r="D495" s="44"/>
      <x:c r="E495" s="44"/>
      <x:c r="F495" s="45"/>
      <x:c r="G495" s="44"/>
      <x:c r="H495" s="45"/>
      <x:c r="I495" s="45"/>
      <x:c r="J495" s="46"/>
      <x:c r="K495" s="46"/>
      <x:c r="L495" s="41"/>
      <x:c r="M495" s="41"/>
      <x:c r="N495" s="41"/>
      <x:c r="O495" s="41"/>
      <x:c r="P495" s="41"/>
      <x:c r="Q495" s="41"/>
      <x:c r="R495" s="41"/>
      <x:c r="S495" s="41"/>
      <x:c r="T495" s="41"/>
      <x:c r="U495" s="41"/>
      <x:c r="V495" s="41"/>
      <x:c r="W495" s="41"/>
      <x:c r="X495" s="41"/>
      <x:c r="Y495" s="41"/>
      <x:c r="Z495" s="41"/>
    </x:row>
    <x:row r="496">
      <x:c r="A496" s="44"/>
      <x:c r="B496" s="44"/>
      <x:c r="C496" s="44"/>
      <x:c r="D496" s="44"/>
      <x:c r="E496" s="44"/>
      <x:c r="F496" s="45"/>
      <x:c r="G496" s="44"/>
      <x:c r="H496" s="45"/>
      <x:c r="I496" s="45"/>
      <x:c r="J496" s="46"/>
      <x:c r="K496" s="46"/>
      <x:c r="L496" s="41"/>
      <x:c r="M496" s="41"/>
      <x:c r="N496" s="41"/>
      <x:c r="O496" s="41"/>
      <x:c r="P496" s="41"/>
      <x:c r="Q496" s="41"/>
      <x:c r="R496" s="41"/>
      <x:c r="S496" s="41"/>
      <x:c r="T496" s="41"/>
      <x:c r="U496" s="41"/>
      <x:c r="V496" s="41"/>
      <x:c r="W496" s="41"/>
      <x:c r="X496" s="41"/>
      <x:c r="Y496" s="41"/>
      <x:c r="Z496" s="41"/>
    </x:row>
    <x:row r="497">
      <x:c r="A497" s="44"/>
      <x:c r="B497" s="44"/>
      <x:c r="C497" s="44"/>
      <x:c r="D497" s="44"/>
      <x:c r="E497" s="44"/>
      <x:c r="F497" s="45"/>
      <x:c r="G497" s="44"/>
      <x:c r="H497" s="45"/>
      <x:c r="I497" s="45"/>
      <x:c r="J497" s="46"/>
      <x:c r="K497" s="46"/>
      <x:c r="L497" s="41"/>
      <x:c r="M497" s="41"/>
      <x:c r="N497" s="41"/>
      <x:c r="O497" s="41"/>
      <x:c r="P497" s="41"/>
      <x:c r="Q497" s="41"/>
      <x:c r="R497" s="41"/>
      <x:c r="S497" s="41"/>
      <x:c r="T497" s="41"/>
      <x:c r="U497" s="41"/>
      <x:c r="V497" s="41"/>
      <x:c r="W497" s="41"/>
      <x:c r="X497" s="41"/>
      <x:c r="Y497" s="41"/>
      <x:c r="Z497" s="41"/>
    </x:row>
    <x:row r="498">
      <x:c r="A498" s="44"/>
      <x:c r="B498" s="44"/>
      <x:c r="C498" s="44"/>
      <x:c r="D498" s="44"/>
      <x:c r="E498" s="44"/>
      <x:c r="F498" s="45"/>
      <x:c r="G498" s="44"/>
      <x:c r="H498" s="45"/>
      <x:c r="I498" s="45"/>
      <x:c r="J498" s="46"/>
      <x:c r="K498" s="46"/>
      <x:c r="L498" s="41"/>
      <x:c r="M498" s="41"/>
      <x:c r="N498" s="41"/>
      <x:c r="O498" s="41"/>
      <x:c r="P498" s="41"/>
      <x:c r="Q498" s="41"/>
      <x:c r="R498" s="41"/>
      <x:c r="S498" s="41"/>
      <x:c r="T498" s="41"/>
      <x:c r="U498" s="41"/>
      <x:c r="V498" s="41"/>
      <x:c r="W498" s="41"/>
      <x:c r="X498" s="41"/>
      <x:c r="Y498" s="41"/>
      <x:c r="Z498" s="41"/>
    </x:row>
    <x:row r="499">
      <x:c r="A499" s="44"/>
      <x:c r="B499" s="44"/>
      <x:c r="C499" s="44"/>
      <x:c r="D499" s="44"/>
      <x:c r="E499" s="44"/>
      <x:c r="F499" s="45"/>
      <x:c r="G499" s="44"/>
      <x:c r="H499" s="45"/>
      <x:c r="I499" s="45"/>
      <x:c r="J499" s="46"/>
      <x:c r="K499" s="46"/>
      <x:c r="L499" s="41"/>
      <x:c r="M499" s="41"/>
      <x:c r="N499" s="41"/>
      <x:c r="O499" s="41"/>
      <x:c r="P499" s="41"/>
      <x:c r="Q499" s="41"/>
      <x:c r="R499" s="41"/>
      <x:c r="S499" s="41"/>
      <x:c r="T499" s="41"/>
      <x:c r="U499" s="41"/>
      <x:c r="V499" s="41"/>
      <x:c r="W499" s="41"/>
      <x:c r="X499" s="41"/>
      <x:c r="Y499" s="41"/>
      <x:c r="Z499" s="41"/>
    </x:row>
    <x:row r="500">
      <x:c r="A500" s="44"/>
      <x:c r="B500" s="44"/>
      <x:c r="C500" s="44"/>
      <x:c r="D500" s="44"/>
      <x:c r="E500" s="44"/>
      <x:c r="F500" s="45"/>
      <x:c r="G500" s="44"/>
      <x:c r="H500" s="45"/>
      <x:c r="I500" s="45"/>
      <x:c r="J500" s="46"/>
      <x:c r="K500" s="46"/>
      <x:c r="L500" s="41"/>
      <x:c r="M500" s="41"/>
      <x:c r="N500" s="41"/>
      <x:c r="O500" s="41"/>
      <x:c r="P500" s="41"/>
      <x:c r="Q500" s="41"/>
      <x:c r="R500" s="41"/>
      <x:c r="S500" s="41"/>
      <x:c r="T500" s="41"/>
      <x:c r="U500" s="41"/>
      <x:c r="V500" s="41"/>
      <x:c r="W500" s="41"/>
      <x:c r="X500" s="41"/>
      <x:c r="Y500" s="41"/>
      <x:c r="Z500" s="41"/>
    </x:row>
    <x:row r="501">
      <x:c r="A501" s="44"/>
      <x:c r="B501" s="44"/>
      <x:c r="C501" s="44"/>
      <x:c r="D501" s="44"/>
      <x:c r="E501" s="44"/>
      <x:c r="F501" s="45"/>
      <x:c r="G501" s="44"/>
      <x:c r="H501" s="45"/>
      <x:c r="I501" s="45"/>
      <x:c r="J501" s="46"/>
      <x:c r="K501" s="46"/>
      <x:c r="L501" s="41"/>
      <x:c r="M501" s="41"/>
      <x:c r="N501" s="41"/>
      <x:c r="O501" s="41"/>
      <x:c r="P501" s="41"/>
      <x:c r="Q501" s="41"/>
      <x:c r="R501" s="41"/>
      <x:c r="S501" s="41"/>
      <x:c r="T501" s="41"/>
      <x:c r="U501" s="41"/>
      <x:c r="V501" s="41"/>
      <x:c r="W501" s="41"/>
      <x:c r="X501" s="41"/>
      <x:c r="Y501" s="41"/>
      <x:c r="Z501" s="41"/>
    </x:row>
    <x:row r="502">
      <x:c r="A502" s="44"/>
      <x:c r="B502" s="44"/>
      <x:c r="C502" s="44"/>
      <x:c r="D502" s="44"/>
      <x:c r="E502" s="44"/>
      <x:c r="F502" s="45"/>
      <x:c r="G502" s="44"/>
      <x:c r="H502" s="45"/>
      <x:c r="I502" s="45"/>
      <x:c r="J502" s="46"/>
      <x:c r="K502" s="46"/>
      <x:c r="L502" s="41"/>
      <x:c r="M502" s="41"/>
      <x:c r="N502" s="41"/>
      <x:c r="O502" s="41"/>
      <x:c r="P502" s="41"/>
      <x:c r="Q502" s="41"/>
      <x:c r="R502" s="41"/>
      <x:c r="S502" s="41"/>
      <x:c r="T502" s="41"/>
      <x:c r="U502" s="41"/>
      <x:c r="V502" s="41"/>
      <x:c r="W502" s="41"/>
      <x:c r="X502" s="41"/>
      <x:c r="Y502" s="41"/>
      <x:c r="Z502" s="41"/>
    </x:row>
    <x:row r="503">
      <x:c r="A503" s="44"/>
      <x:c r="B503" s="44"/>
      <x:c r="C503" s="44"/>
      <x:c r="D503" s="44"/>
      <x:c r="E503" s="44"/>
      <x:c r="F503" s="45"/>
      <x:c r="G503" s="44"/>
      <x:c r="H503" s="45"/>
      <x:c r="I503" s="45"/>
      <x:c r="J503" s="46"/>
      <x:c r="K503" s="46"/>
      <x:c r="L503" s="41"/>
      <x:c r="M503" s="41"/>
      <x:c r="N503" s="41"/>
      <x:c r="O503" s="41"/>
      <x:c r="P503" s="41"/>
      <x:c r="Q503" s="41"/>
      <x:c r="R503" s="41"/>
      <x:c r="S503" s="41"/>
      <x:c r="T503" s="41"/>
      <x:c r="U503" s="41"/>
      <x:c r="V503" s="41"/>
      <x:c r="W503" s="41"/>
      <x:c r="X503" s="41"/>
      <x:c r="Y503" s="41"/>
      <x:c r="Z503" s="41"/>
    </x:row>
    <x:row r="504">
      <x:c r="A504" s="44"/>
      <x:c r="B504" s="44"/>
      <x:c r="C504" s="44"/>
      <x:c r="D504" s="44"/>
      <x:c r="E504" s="44"/>
      <x:c r="F504" s="45"/>
      <x:c r="G504" s="44"/>
      <x:c r="H504" s="45"/>
      <x:c r="I504" s="45"/>
      <x:c r="J504" s="46"/>
      <x:c r="K504" s="46"/>
      <x:c r="L504" s="41"/>
      <x:c r="M504" s="41"/>
      <x:c r="N504" s="41"/>
      <x:c r="O504" s="41"/>
      <x:c r="P504" s="41"/>
      <x:c r="Q504" s="41"/>
      <x:c r="R504" s="41"/>
      <x:c r="S504" s="41"/>
      <x:c r="T504" s="41"/>
      <x:c r="U504" s="41"/>
      <x:c r="V504" s="41"/>
      <x:c r="W504" s="41"/>
      <x:c r="X504" s="41"/>
      <x:c r="Y504" s="41"/>
      <x:c r="Z504" s="41"/>
    </x:row>
    <x:row r="505">
      <x:c r="A505" s="44"/>
      <x:c r="B505" s="44"/>
      <x:c r="C505" s="44"/>
      <x:c r="D505" s="44"/>
      <x:c r="E505" s="44"/>
      <x:c r="F505" s="45"/>
      <x:c r="G505" s="44"/>
      <x:c r="H505" s="45"/>
      <x:c r="I505" s="45"/>
      <x:c r="J505" s="46"/>
      <x:c r="K505" s="46"/>
      <x:c r="L505" s="41"/>
      <x:c r="M505" s="41"/>
      <x:c r="N505" s="41"/>
      <x:c r="O505" s="41"/>
      <x:c r="P505" s="41"/>
      <x:c r="Q505" s="41"/>
      <x:c r="R505" s="41"/>
      <x:c r="S505" s="41"/>
      <x:c r="T505" s="41"/>
      <x:c r="U505" s="41"/>
      <x:c r="V505" s="41"/>
      <x:c r="W505" s="41"/>
      <x:c r="X505" s="41"/>
      <x:c r="Y505" s="41"/>
      <x:c r="Z505" s="41"/>
    </x:row>
    <x:row r="506">
      <x:c r="A506" s="44"/>
      <x:c r="B506" s="44"/>
      <x:c r="C506" s="44"/>
      <x:c r="D506" s="44"/>
      <x:c r="E506" s="44"/>
      <x:c r="F506" s="45"/>
      <x:c r="G506" s="44"/>
      <x:c r="H506" s="45"/>
      <x:c r="I506" s="45"/>
      <x:c r="J506" s="46"/>
      <x:c r="K506" s="46"/>
      <x:c r="L506" s="41"/>
      <x:c r="M506" s="41"/>
      <x:c r="N506" s="41"/>
      <x:c r="O506" s="41"/>
      <x:c r="P506" s="41"/>
      <x:c r="Q506" s="41"/>
      <x:c r="R506" s="41"/>
      <x:c r="S506" s="41"/>
      <x:c r="T506" s="41"/>
      <x:c r="U506" s="41"/>
      <x:c r="V506" s="41"/>
      <x:c r="W506" s="41"/>
      <x:c r="X506" s="41"/>
      <x:c r="Y506" s="41"/>
      <x:c r="Z506" s="41"/>
    </x:row>
    <x:row r="507">
      <x:c r="A507" s="44"/>
      <x:c r="B507" s="44"/>
      <x:c r="C507" s="44"/>
      <x:c r="D507" s="44"/>
      <x:c r="E507" s="44"/>
      <x:c r="F507" s="45"/>
      <x:c r="G507" s="44"/>
      <x:c r="H507" s="45"/>
      <x:c r="I507" s="45"/>
      <x:c r="J507" s="46"/>
      <x:c r="K507" s="46"/>
      <x:c r="L507" s="41"/>
      <x:c r="M507" s="41"/>
      <x:c r="N507" s="41"/>
      <x:c r="O507" s="41"/>
      <x:c r="P507" s="41"/>
      <x:c r="Q507" s="41"/>
      <x:c r="R507" s="41"/>
      <x:c r="S507" s="41"/>
      <x:c r="T507" s="41"/>
      <x:c r="U507" s="41"/>
      <x:c r="V507" s="41"/>
      <x:c r="W507" s="41"/>
      <x:c r="X507" s="41"/>
      <x:c r="Y507" s="41"/>
      <x:c r="Z507" s="41"/>
    </x:row>
    <x:row r="508">
      <x:c r="A508" s="44"/>
      <x:c r="B508" s="44"/>
      <x:c r="C508" s="44"/>
      <x:c r="D508" s="44"/>
      <x:c r="E508" s="44"/>
      <x:c r="F508" s="45"/>
      <x:c r="G508" s="44"/>
      <x:c r="H508" s="45"/>
      <x:c r="I508" s="45"/>
      <x:c r="J508" s="46"/>
      <x:c r="K508" s="46"/>
      <x:c r="L508" s="41"/>
      <x:c r="M508" s="41"/>
      <x:c r="N508" s="41"/>
      <x:c r="O508" s="41"/>
      <x:c r="P508" s="41"/>
      <x:c r="Q508" s="41"/>
      <x:c r="R508" s="41"/>
      <x:c r="S508" s="41"/>
      <x:c r="T508" s="41"/>
      <x:c r="U508" s="41"/>
      <x:c r="V508" s="41"/>
      <x:c r="W508" s="41"/>
      <x:c r="X508" s="41"/>
      <x:c r="Y508" s="41"/>
      <x:c r="Z508" s="41"/>
    </x:row>
    <x:row r="509">
      <x:c r="A509" s="44"/>
      <x:c r="B509" s="44"/>
      <x:c r="C509" s="44"/>
      <x:c r="D509" s="44"/>
      <x:c r="E509" s="44"/>
      <x:c r="F509" s="45"/>
      <x:c r="G509" s="44"/>
      <x:c r="H509" s="45"/>
      <x:c r="I509" s="45"/>
      <x:c r="J509" s="46"/>
      <x:c r="K509" s="46"/>
      <x:c r="L509" s="41"/>
      <x:c r="M509" s="41"/>
      <x:c r="N509" s="41"/>
      <x:c r="O509" s="41"/>
      <x:c r="P509" s="41"/>
      <x:c r="Q509" s="41"/>
      <x:c r="R509" s="41"/>
      <x:c r="S509" s="41"/>
      <x:c r="T509" s="41"/>
      <x:c r="U509" s="41"/>
      <x:c r="V509" s="41"/>
      <x:c r="W509" s="41"/>
      <x:c r="X509" s="41"/>
      <x:c r="Y509" s="41"/>
      <x:c r="Z509" s="41"/>
    </x:row>
    <x:row r="510">
      <x:c r="A510" s="44"/>
      <x:c r="B510" s="44"/>
      <x:c r="C510" s="44"/>
      <x:c r="D510" s="44"/>
      <x:c r="E510" s="44"/>
      <x:c r="F510" s="45"/>
      <x:c r="G510" s="44"/>
      <x:c r="H510" s="45"/>
      <x:c r="I510" s="45"/>
      <x:c r="J510" s="46"/>
      <x:c r="K510" s="46"/>
      <x:c r="L510" s="41"/>
      <x:c r="M510" s="41"/>
      <x:c r="N510" s="41"/>
      <x:c r="O510" s="41"/>
      <x:c r="P510" s="41"/>
      <x:c r="Q510" s="41"/>
      <x:c r="R510" s="41"/>
      <x:c r="S510" s="41"/>
      <x:c r="T510" s="41"/>
      <x:c r="U510" s="41"/>
      <x:c r="V510" s="41"/>
      <x:c r="W510" s="41"/>
      <x:c r="X510" s="41"/>
      <x:c r="Y510" s="41"/>
      <x:c r="Z510" s="41"/>
    </x:row>
    <x:row r="511">
      <x:c r="A511" s="44"/>
      <x:c r="B511" s="44"/>
      <x:c r="C511" s="44"/>
      <x:c r="D511" s="44"/>
      <x:c r="E511" s="44"/>
      <x:c r="F511" s="45"/>
      <x:c r="G511" s="44"/>
      <x:c r="H511" s="45"/>
      <x:c r="I511" s="45"/>
      <x:c r="J511" s="46"/>
      <x:c r="K511" s="46"/>
      <x:c r="L511" s="41"/>
      <x:c r="M511" s="41"/>
      <x:c r="N511" s="41"/>
      <x:c r="O511" s="41"/>
      <x:c r="P511" s="41"/>
      <x:c r="Q511" s="41"/>
      <x:c r="R511" s="41"/>
      <x:c r="S511" s="41"/>
      <x:c r="T511" s="41"/>
      <x:c r="U511" s="41"/>
      <x:c r="V511" s="41"/>
      <x:c r="W511" s="41"/>
      <x:c r="X511" s="41"/>
      <x:c r="Y511" s="41"/>
      <x:c r="Z511" s="41"/>
    </x:row>
    <x:row r="512">
      <x:c r="A512" s="44"/>
      <x:c r="B512" s="44"/>
      <x:c r="C512" s="44"/>
      <x:c r="D512" s="44"/>
      <x:c r="E512" s="44"/>
      <x:c r="F512" s="45"/>
      <x:c r="G512" s="44"/>
      <x:c r="H512" s="45"/>
      <x:c r="I512" s="45"/>
      <x:c r="J512" s="46"/>
      <x:c r="K512" s="46"/>
      <x:c r="L512" s="41"/>
      <x:c r="M512" s="41"/>
      <x:c r="N512" s="41"/>
      <x:c r="O512" s="41"/>
      <x:c r="P512" s="41"/>
      <x:c r="Q512" s="41"/>
      <x:c r="R512" s="41"/>
      <x:c r="S512" s="41"/>
      <x:c r="T512" s="41"/>
      <x:c r="U512" s="41"/>
      <x:c r="V512" s="41"/>
      <x:c r="W512" s="41"/>
      <x:c r="X512" s="41"/>
      <x:c r="Y512" s="41"/>
      <x:c r="Z512" s="41"/>
    </x:row>
    <x:row r="513">
      <x:c r="A513" s="44"/>
      <x:c r="B513" s="44"/>
      <x:c r="C513" s="44"/>
      <x:c r="D513" s="44"/>
      <x:c r="E513" s="44"/>
      <x:c r="F513" s="45"/>
      <x:c r="G513" s="44"/>
      <x:c r="H513" s="45"/>
      <x:c r="I513" s="45"/>
      <x:c r="J513" s="46"/>
      <x:c r="K513" s="46"/>
      <x:c r="L513" s="41"/>
      <x:c r="M513" s="41"/>
      <x:c r="N513" s="41"/>
      <x:c r="O513" s="41"/>
      <x:c r="P513" s="41"/>
      <x:c r="Q513" s="41"/>
      <x:c r="R513" s="41"/>
      <x:c r="S513" s="41"/>
      <x:c r="T513" s="41"/>
      <x:c r="U513" s="41"/>
      <x:c r="V513" s="41"/>
      <x:c r="W513" s="41"/>
      <x:c r="X513" s="41"/>
      <x:c r="Y513" s="41"/>
      <x:c r="Z513" s="41"/>
    </x:row>
    <x:row r="514">
      <x:c r="A514" s="44"/>
      <x:c r="B514" s="44"/>
      <x:c r="C514" s="44"/>
      <x:c r="D514" s="44"/>
      <x:c r="E514" s="44"/>
      <x:c r="F514" s="45"/>
      <x:c r="G514" s="44"/>
      <x:c r="H514" s="45"/>
      <x:c r="I514" s="45"/>
      <x:c r="J514" s="46"/>
      <x:c r="K514" s="46"/>
      <x:c r="L514" s="41"/>
      <x:c r="M514" s="41"/>
      <x:c r="N514" s="41"/>
      <x:c r="O514" s="41"/>
      <x:c r="P514" s="41"/>
      <x:c r="Q514" s="41"/>
      <x:c r="R514" s="41"/>
      <x:c r="S514" s="41"/>
      <x:c r="T514" s="41"/>
      <x:c r="U514" s="41"/>
      <x:c r="V514" s="41"/>
      <x:c r="W514" s="41"/>
      <x:c r="X514" s="41"/>
      <x:c r="Y514" s="41"/>
      <x:c r="Z514" s="41"/>
    </x:row>
    <x:row r="515">
      <x:c r="A515" s="44"/>
      <x:c r="B515" s="44"/>
      <x:c r="C515" s="44"/>
      <x:c r="D515" s="44"/>
      <x:c r="E515" s="44"/>
      <x:c r="F515" s="45"/>
      <x:c r="G515" s="44"/>
      <x:c r="H515" s="45"/>
      <x:c r="I515" s="45"/>
      <x:c r="J515" s="46"/>
      <x:c r="K515" s="46"/>
      <x:c r="L515" s="41"/>
      <x:c r="M515" s="41"/>
      <x:c r="N515" s="41"/>
      <x:c r="O515" s="41"/>
      <x:c r="P515" s="41"/>
      <x:c r="Q515" s="41"/>
      <x:c r="R515" s="41"/>
      <x:c r="S515" s="41"/>
      <x:c r="T515" s="41"/>
      <x:c r="U515" s="41"/>
      <x:c r="V515" s="41"/>
      <x:c r="W515" s="41"/>
      <x:c r="X515" s="41"/>
      <x:c r="Y515" s="41"/>
      <x:c r="Z515" s="41"/>
    </x:row>
    <x:row r="516">
      <x:c r="A516" s="44"/>
      <x:c r="B516" s="44"/>
      <x:c r="C516" s="44"/>
      <x:c r="D516" s="44"/>
      <x:c r="E516" s="44"/>
      <x:c r="F516" s="45"/>
      <x:c r="G516" s="44"/>
      <x:c r="H516" s="45"/>
      <x:c r="I516" s="45"/>
      <x:c r="J516" s="46"/>
      <x:c r="K516" s="46"/>
      <x:c r="L516" s="41"/>
      <x:c r="M516" s="41"/>
      <x:c r="N516" s="41"/>
      <x:c r="O516" s="41"/>
      <x:c r="P516" s="41"/>
      <x:c r="Q516" s="41"/>
      <x:c r="R516" s="41"/>
      <x:c r="S516" s="41"/>
      <x:c r="T516" s="41"/>
      <x:c r="U516" s="41"/>
      <x:c r="V516" s="41"/>
      <x:c r="W516" s="41"/>
      <x:c r="X516" s="41"/>
      <x:c r="Y516" s="41"/>
      <x:c r="Z516" s="41"/>
    </x:row>
    <x:row r="517">
      <x:c r="A517" s="44"/>
      <x:c r="B517" s="44"/>
      <x:c r="C517" s="44"/>
      <x:c r="D517" s="44"/>
      <x:c r="E517" s="44"/>
      <x:c r="F517" s="45"/>
      <x:c r="G517" s="44"/>
      <x:c r="H517" s="45"/>
      <x:c r="I517" s="45"/>
      <x:c r="J517" s="46"/>
      <x:c r="K517" s="46"/>
      <x:c r="L517" s="41"/>
      <x:c r="M517" s="41"/>
      <x:c r="N517" s="41"/>
      <x:c r="O517" s="41"/>
      <x:c r="P517" s="41"/>
      <x:c r="Q517" s="41"/>
      <x:c r="R517" s="41"/>
      <x:c r="S517" s="41"/>
      <x:c r="T517" s="41"/>
      <x:c r="U517" s="41"/>
      <x:c r="V517" s="41"/>
      <x:c r="W517" s="41"/>
      <x:c r="X517" s="41"/>
      <x:c r="Y517" s="41"/>
      <x:c r="Z517" s="41"/>
    </x:row>
    <x:row r="518">
      <x:c r="A518" s="44"/>
      <x:c r="B518" s="44"/>
      <x:c r="C518" s="44"/>
      <x:c r="D518" s="44"/>
      <x:c r="E518" s="44"/>
      <x:c r="F518" s="45"/>
      <x:c r="G518" s="44"/>
      <x:c r="H518" s="45"/>
      <x:c r="I518" s="45"/>
      <x:c r="J518" s="46"/>
      <x:c r="K518" s="46"/>
      <x:c r="L518" s="41"/>
      <x:c r="M518" s="41"/>
      <x:c r="N518" s="41"/>
      <x:c r="O518" s="41"/>
      <x:c r="P518" s="41"/>
      <x:c r="Q518" s="41"/>
      <x:c r="R518" s="41"/>
      <x:c r="S518" s="41"/>
      <x:c r="T518" s="41"/>
      <x:c r="U518" s="41"/>
      <x:c r="V518" s="41"/>
      <x:c r="W518" s="41"/>
      <x:c r="X518" s="41"/>
      <x:c r="Y518" s="41"/>
      <x:c r="Z518" s="41"/>
    </x:row>
    <x:row r="519">
      <x:c r="A519" s="44"/>
      <x:c r="B519" s="44"/>
      <x:c r="C519" s="44"/>
      <x:c r="D519" s="44"/>
      <x:c r="E519" s="44"/>
      <x:c r="F519" s="45"/>
      <x:c r="G519" s="44"/>
      <x:c r="H519" s="45"/>
      <x:c r="I519" s="45"/>
      <x:c r="J519" s="46"/>
      <x:c r="K519" s="46"/>
      <x:c r="L519" s="41"/>
      <x:c r="M519" s="41"/>
      <x:c r="N519" s="41"/>
      <x:c r="O519" s="41"/>
      <x:c r="P519" s="41"/>
      <x:c r="Q519" s="41"/>
      <x:c r="R519" s="41"/>
      <x:c r="S519" s="41"/>
      <x:c r="T519" s="41"/>
      <x:c r="U519" s="41"/>
      <x:c r="V519" s="41"/>
      <x:c r="W519" s="41"/>
      <x:c r="X519" s="41"/>
      <x:c r="Y519" s="41"/>
      <x:c r="Z519" s="41"/>
    </x:row>
    <x:row r="520">
      <x:c r="A520" s="44"/>
      <x:c r="B520" s="44"/>
      <x:c r="C520" s="44"/>
      <x:c r="D520" s="44"/>
      <x:c r="E520" s="44"/>
      <x:c r="F520" s="45"/>
      <x:c r="G520" s="44"/>
      <x:c r="H520" s="45"/>
      <x:c r="I520" s="45"/>
      <x:c r="J520" s="46"/>
      <x:c r="K520" s="46"/>
      <x:c r="L520" s="41"/>
      <x:c r="M520" s="41"/>
      <x:c r="N520" s="41"/>
      <x:c r="O520" s="41"/>
      <x:c r="P520" s="41"/>
      <x:c r="Q520" s="41"/>
      <x:c r="R520" s="41"/>
      <x:c r="S520" s="41"/>
      <x:c r="T520" s="41"/>
      <x:c r="U520" s="41"/>
      <x:c r="V520" s="41"/>
      <x:c r="W520" s="41"/>
      <x:c r="X520" s="41"/>
      <x:c r="Y520" s="41"/>
      <x:c r="Z520" s="41"/>
    </x:row>
    <x:row r="521">
      <x:c r="A521" s="44"/>
      <x:c r="B521" s="44"/>
      <x:c r="C521" s="44"/>
      <x:c r="D521" s="44"/>
      <x:c r="E521" s="44"/>
      <x:c r="F521" s="45"/>
      <x:c r="G521" s="44"/>
      <x:c r="H521" s="45"/>
      <x:c r="I521" s="45"/>
      <x:c r="J521" s="46"/>
      <x:c r="K521" s="46"/>
      <x:c r="L521" s="41"/>
      <x:c r="M521" s="41"/>
      <x:c r="N521" s="41"/>
      <x:c r="O521" s="41"/>
      <x:c r="P521" s="41"/>
      <x:c r="Q521" s="41"/>
      <x:c r="R521" s="41"/>
      <x:c r="S521" s="41"/>
      <x:c r="T521" s="41"/>
      <x:c r="U521" s="41"/>
      <x:c r="V521" s="41"/>
      <x:c r="W521" s="41"/>
      <x:c r="X521" s="41"/>
      <x:c r="Y521" s="41"/>
      <x:c r="Z521" s="41"/>
    </x:row>
    <x:row r="522">
      <x:c r="A522" s="44"/>
      <x:c r="B522" s="44"/>
      <x:c r="C522" s="44"/>
      <x:c r="D522" s="44"/>
      <x:c r="E522" s="44"/>
      <x:c r="F522" s="45"/>
      <x:c r="G522" s="44"/>
      <x:c r="H522" s="45"/>
      <x:c r="I522" s="45"/>
      <x:c r="J522" s="46"/>
      <x:c r="K522" s="46"/>
      <x:c r="L522" s="41"/>
      <x:c r="M522" s="41"/>
      <x:c r="N522" s="41"/>
      <x:c r="O522" s="41"/>
      <x:c r="P522" s="41"/>
      <x:c r="Q522" s="41"/>
      <x:c r="R522" s="41"/>
      <x:c r="S522" s="41"/>
      <x:c r="T522" s="41"/>
      <x:c r="U522" s="41"/>
      <x:c r="V522" s="41"/>
      <x:c r="W522" s="41"/>
      <x:c r="X522" s="41"/>
      <x:c r="Y522" s="41"/>
      <x:c r="Z522" s="41"/>
    </x:row>
    <x:row r="523">
      <x:c r="A523" s="44"/>
      <x:c r="B523" s="44"/>
      <x:c r="C523" s="44"/>
      <x:c r="D523" s="44"/>
      <x:c r="E523" s="44"/>
      <x:c r="F523" s="45"/>
      <x:c r="G523" s="44"/>
      <x:c r="H523" s="45"/>
      <x:c r="I523" s="45"/>
      <x:c r="J523" s="46"/>
      <x:c r="K523" s="46"/>
      <x:c r="L523" s="41"/>
      <x:c r="M523" s="41"/>
      <x:c r="N523" s="41"/>
      <x:c r="O523" s="41"/>
      <x:c r="P523" s="41"/>
      <x:c r="Q523" s="41"/>
      <x:c r="R523" s="41"/>
      <x:c r="S523" s="41"/>
      <x:c r="T523" s="41"/>
      <x:c r="U523" s="41"/>
      <x:c r="V523" s="41"/>
      <x:c r="W523" s="41"/>
      <x:c r="X523" s="41"/>
      <x:c r="Y523" s="41"/>
      <x:c r="Z523" s="41"/>
    </x:row>
    <x:row r="524">
      <x:c r="A524" s="44"/>
      <x:c r="B524" s="44"/>
      <x:c r="C524" s="44"/>
      <x:c r="D524" s="44"/>
      <x:c r="E524" s="44"/>
      <x:c r="F524" s="45"/>
      <x:c r="G524" s="44"/>
      <x:c r="H524" s="45"/>
      <x:c r="I524" s="45"/>
      <x:c r="J524" s="46"/>
      <x:c r="K524" s="46"/>
      <x:c r="L524" s="41"/>
      <x:c r="M524" s="41"/>
      <x:c r="N524" s="41"/>
      <x:c r="O524" s="41"/>
      <x:c r="P524" s="41"/>
      <x:c r="Q524" s="41"/>
      <x:c r="R524" s="41"/>
      <x:c r="S524" s="41"/>
      <x:c r="T524" s="41"/>
      <x:c r="U524" s="41"/>
      <x:c r="V524" s="41"/>
      <x:c r="W524" s="41"/>
      <x:c r="X524" s="41"/>
      <x:c r="Y524" s="41"/>
      <x:c r="Z524" s="41"/>
    </x:row>
    <x:row r="525">
      <x:c r="A525" s="44"/>
      <x:c r="B525" s="44"/>
      <x:c r="C525" s="44"/>
      <x:c r="D525" s="44"/>
      <x:c r="E525" s="44"/>
      <x:c r="F525" s="45"/>
      <x:c r="G525" s="44"/>
      <x:c r="H525" s="45"/>
      <x:c r="I525" s="45"/>
      <x:c r="J525" s="46"/>
      <x:c r="K525" s="46"/>
      <x:c r="L525" s="41"/>
      <x:c r="M525" s="41"/>
      <x:c r="N525" s="41"/>
      <x:c r="O525" s="41"/>
      <x:c r="P525" s="41"/>
      <x:c r="Q525" s="41"/>
      <x:c r="R525" s="41"/>
      <x:c r="S525" s="41"/>
      <x:c r="T525" s="41"/>
      <x:c r="U525" s="41"/>
      <x:c r="V525" s="41"/>
      <x:c r="W525" s="41"/>
      <x:c r="X525" s="41"/>
      <x:c r="Y525" s="41"/>
      <x:c r="Z525" s="41"/>
    </x:row>
    <x:row r="526">
      <x:c r="A526" s="44"/>
      <x:c r="B526" s="44"/>
      <x:c r="C526" s="44"/>
      <x:c r="D526" s="44"/>
      <x:c r="E526" s="44"/>
      <x:c r="F526" s="45"/>
      <x:c r="G526" s="44"/>
      <x:c r="H526" s="45"/>
      <x:c r="I526" s="45"/>
      <x:c r="J526" s="46"/>
      <x:c r="K526" s="46"/>
      <x:c r="L526" s="41"/>
      <x:c r="M526" s="41"/>
      <x:c r="N526" s="41"/>
      <x:c r="O526" s="41"/>
      <x:c r="P526" s="41"/>
      <x:c r="Q526" s="41"/>
      <x:c r="R526" s="41"/>
      <x:c r="S526" s="41"/>
      <x:c r="T526" s="41"/>
      <x:c r="U526" s="41"/>
      <x:c r="V526" s="41"/>
      <x:c r="W526" s="41"/>
      <x:c r="X526" s="41"/>
      <x:c r="Y526" s="41"/>
      <x:c r="Z526" s="41"/>
    </x:row>
    <x:row r="527">
      <x:c r="A527" s="44"/>
      <x:c r="B527" s="44"/>
      <x:c r="C527" s="44"/>
      <x:c r="D527" s="44"/>
      <x:c r="E527" s="44"/>
      <x:c r="F527" s="45"/>
      <x:c r="G527" s="44"/>
      <x:c r="H527" s="45"/>
      <x:c r="I527" s="45"/>
      <x:c r="J527" s="46"/>
      <x:c r="K527" s="46"/>
      <x:c r="L527" s="41"/>
      <x:c r="M527" s="41"/>
      <x:c r="N527" s="41"/>
      <x:c r="O527" s="41"/>
      <x:c r="P527" s="41"/>
      <x:c r="Q527" s="41"/>
      <x:c r="R527" s="41"/>
      <x:c r="S527" s="41"/>
      <x:c r="T527" s="41"/>
      <x:c r="U527" s="41"/>
      <x:c r="V527" s="41"/>
      <x:c r="W527" s="41"/>
      <x:c r="X527" s="41"/>
      <x:c r="Y527" s="41"/>
      <x:c r="Z527" s="41"/>
    </x:row>
    <x:row r="528">
      <x:c r="A528" s="44"/>
      <x:c r="B528" s="44"/>
      <x:c r="C528" s="44"/>
      <x:c r="D528" s="44"/>
      <x:c r="E528" s="44"/>
      <x:c r="F528" s="45"/>
      <x:c r="G528" s="44"/>
      <x:c r="H528" s="45"/>
      <x:c r="I528" s="45"/>
      <x:c r="J528" s="46"/>
      <x:c r="K528" s="46"/>
      <x:c r="L528" s="41"/>
      <x:c r="M528" s="41"/>
      <x:c r="N528" s="41"/>
      <x:c r="O528" s="41"/>
      <x:c r="P528" s="41"/>
      <x:c r="Q528" s="41"/>
      <x:c r="R528" s="41"/>
      <x:c r="S528" s="41"/>
      <x:c r="T528" s="41"/>
      <x:c r="U528" s="41"/>
      <x:c r="V528" s="41"/>
      <x:c r="W528" s="41"/>
      <x:c r="X528" s="41"/>
      <x:c r="Y528" s="41"/>
      <x:c r="Z528" s="41"/>
    </x:row>
    <x:row r="529">
      <x:c r="A529" s="44"/>
      <x:c r="B529" s="44"/>
      <x:c r="C529" s="44"/>
      <x:c r="D529" s="44"/>
      <x:c r="E529" s="44"/>
      <x:c r="F529" s="45"/>
      <x:c r="G529" s="44"/>
      <x:c r="H529" s="45"/>
      <x:c r="I529" s="45"/>
      <x:c r="J529" s="46"/>
      <x:c r="K529" s="46"/>
      <x:c r="L529" s="41"/>
      <x:c r="M529" s="41"/>
      <x:c r="N529" s="41"/>
      <x:c r="O529" s="41"/>
      <x:c r="P529" s="41"/>
      <x:c r="Q529" s="41"/>
      <x:c r="R529" s="41"/>
      <x:c r="S529" s="41"/>
      <x:c r="T529" s="41"/>
      <x:c r="U529" s="41"/>
      <x:c r="V529" s="41"/>
      <x:c r="W529" s="41"/>
      <x:c r="X529" s="41"/>
      <x:c r="Y529" s="41"/>
      <x:c r="Z529" s="41"/>
    </x:row>
    <x:row r="530">
      <x:c r="A530" s="44"/>
      <x:c r="B530" s="44"/>
      <x:c r="C530" s="44"/>
      <x:c r="D530" s="44"/>
      <x:c r="E530" s="44"/>
      <x:c r="F530" s="45"/>
      <x:c r="G530" s="44"/>
      <x:c r="H530" s="45"/>
      <x:c r="I530" s="45"/>
      <x:c r="J530" s="46"/>
      <x:c r="K530" s="46"/>
      <x:c r="L530" s="41"/>
      <x:c r="M530" s="41"/>
      <x:c r="N530" s="41"/>
      <x:c r="O530" s="41"/>
      <x:c r="P530" s="41"/>
      <x:c r="Q530" s="41"/>
      <x:c r="R530" s="41"/>
      <x:c r="S530" s="41"/>
      <x:c r="T530" s="41"/>
      <x:c r="U530" s="41"/>
      <x:c r="V530" s="41"/>
      <x:c r="W530" s="41"/>
      <x:c r="X530" s="41"/>
      <x:c r="Y530" s="41"/>
      <x:c r="Z530" s="41"/>
    </x:row>
    <x:row r="531">
      <x:c r="A531" s="44"/>
      <x:c r="B531" s="44"/>
      <x:c r="C531" s="44"/>
      <x:c r="D531" s="44"/>
      <x:c r="E531" s="44"/>
      <x:c r="F531" s="45"/>
      <x:c r="G531" s="44"/>
      <x:c r="H531" s="45"/>
      <x:c r="I531" s="45"/>
      <x:c r="J531" s="46"/>
      <x:c r="K531" s="46"/>
      <x:c r="L531" s="41"/>
      <x:c r="M531" s="41"/>
      <x:c r="N531" s="41"/>
      <x:c r="O531" s="41"/>
      <x:c r="P531" s="41"/>
      <x:c r="Q531" s="41"/>
      <x:c r="R531" s="41"/>
      <x:c r="S531" s="41"/>
      <x:c r="T531" s="41"/>
      <x:c r="U531" s="41"/>
      <x:c r="V531" s="41"/>
      <x:c r="W531" s="41"/>
      <x:c r="X531" s="41"/>
      <x:c r="Y531" s="41"/>
      <x:c r="Z531" s="41"/>
    </x:row>
    <x:row r="532">
      <x:c r="A532" s="44"/>
      <x:c r="B532" s="44"/>
      <x:c r="C532" s="44"/>
      <x:c r="D532" s="44"/>
      <x:c r="E532" s="44"/>
      <x:c r="F532" s="45"/>
      <x:c r="G532" s="44"/>
      <x:c r="H532" s="45"/>
      <x:c r="I532" s="45"/>
      <x:c r="J532" s="46"/>
      <x:c r="K532" s="46"/>
      <x:c r="L532" s="41"/>
      <x:c r="M532" s="41"/>
      <x:c r="N532" s="41"/>
      <x:c r="O532" s="41"/>
      <x:c r="P532" s="41"/>
      <x:c r="Q532" s="41"/>
      <x:c r="R532" s="41"/>
      <x:c r="S532" s="41"/>
      <x:c r="T532" s="41"/>
      <x:c r="U532" s="41"/>
      <x:c r="V532" s="41"/>
      <x:c r="W532" s="41"/>
      <x:c r="X532" s="41"/>
      <x:c r="Y532" s="41"/>
      <x:c r="Z532" s="41"/>
    </x:row>
    <x:row r="533">
      <x:c r="A533" s="44"/>
      <x:c r="B533" s="44"/>
      <x:c r="C533" s="44"/>
      <x:c r="D533" s="44"/>
      <x:c r="E533" s="44"/>
      <x:c r="F533" s="45"/>
      <x:c r="G533" s="44"/>
      <x:c r="H533" s="45"/>
      <x:c r="I533" s="45"/>
      <x:c r="J533" s="46"/>
      <x:c r="K533" s="46"/>
      <x:c r="L533" s="41"/>
      <x:c r="M533" s="41"/>
      <x:c r="N533" s="41"/>
      <x:c r="O533" s="41"/>
      <x:c r="P533" s="41"/>
      <x:c r="Q533" s="41"/>
      <x:c r="R533" s="41"/>
      <x:c r="S533" s="41"/>
      <x:c r="T533" s="41"/>
      <x:c r="U533" s="41"/>
      <x:c r="V533" s="41"/>
      <x:c r="W533" s="41"/>
      <x:c r="X533" s="41"/>
      <x:c r="Y533" s="41"/>
      <x:c r="Z533" s="41"/>
    </x:row>
    <x:row r="534">
      <x:c r="A534" s="44"/>
      <x:c r="B534" s="44"/>
      <x:c r="C534" s="44"/>
      <x:c r="D534" s="44"/>
      <x:c r="E534" s="44"/>
      <x:c r="F534" s="45"/>
      <x:c r="G534" s="44"/>
      <x:c r="H534" s="45"/>
      <x:c r="I534" s="45"/>
      <x:c r="J534" s="46"/>
      <x:c r="K534" s="46"/>
      <x:c r="L534" s="41"/>
      <x:c r="M534" s="41"/>
      <x:c r="N534" s="41"/>
      <x:c r="O534" s="41"/>
      <x:c r="P534" s="41"/>
      <x:c r="Q534" s="41"/>
      <x:c r="R534" s="41"/>
      <x:c r="S534" s="41"/>
      <x:c r="T534" s="41"/>
      <x:c r="U534" s="41"/>
      <x:c r="V534" s="41"/>
      <x:c r="W534" s="41"/>
      <x:c r="X534" s="41"/>
      <x:c r="Y534" s="41"/>
      <x:c r="Z534" s="41"/>
    </x:row>
    <x:row r="535">
      <x:c r="A535" s="44"/>
      <x:c r="B535" s="44"/>
      <x:c r="C535" s="44"/>
      <x:c r="D535" s="44"/>
      <x:c r="E535" s="44"/>
      <x:c r="F535" s="45"/>
      <x:c r="G535" s="44"/>
      <x:c r="H535" s="45"/>
      <x:c r="I535" s="45"/>
      <x:c r="J535" s="46"/>
      <x:c r="K535" s="46"/>
      <x:c r="L535" s="41"/>
      <x:c r="M535" s="41"/>
      <x:c r="N535" s="41"/>
      <x:c r="O535" s="41"/>
      <x:c r="P535" s="41"/>
      <x:c r="Q535" s="41"/>
      <x:c r="R535" s="41"/>
      <x:c r="S535" s="41"/>
      <x:c r="T535" s="41"/>
      <x:c r="U535" s="41"/>
      <x:c r="V535" s="41"/>
      <x:c r="W535" s="41"/>
      <x:c r="X535" s="41"/>
      <x:c r="Y535" s="41"/>
      <x:c r="Z535" s="41"/>
    </x:row>
    <x:row r="536">
      <x:c r="A536" s="44"/>
      <x:c r="B536" s="44"/>
      <x:c r="C536" s="44"/>
      <x:c r="D536" s="44"/>
      <x:c r="E536" s="44"/>
      <x:c r="F536" s="45"/>
      <x:c r="G536" s="44"/>
      <x:c r="H536" s="45"/>
      <x:c r="I536" s="45"/>
      <x:c r="J536" s="46"/>
      <x:c r="K536" s="46"/>
      <x:c r="L536" s="41"/>
      <x:c r="M536" s="41"/>
      <x:c r="N536" s="41"/>
      <x:c r="O536" s="41"/>
      <x:c r="P536" s="41"/>
      <x:c r="Q536" s="41"/>
      <x:c r="R536" s="41"/>
      <x:c r="S536" s="41"/>
      <x:c r="T536" s="41"/>
      <x:c r="U536" s="41"/>
      <x:c r="V536" s="41"/>
      <x:c r="W536" s="41"/>
      <x:c r="X536" s="41"/>
      <x:c r="Y536" s="41"/>
      <x:c r="Z536" s="41"/>
    </x:row>
    <x:row r="537">
      <x:c r="A537" s="44"/>
      <x:c r="B537" s="44"/>
      <x:c r="C537" s="44"/>
      <x:c r="D537" s="44"/>
      <x:c r="E537" s="44"/>
      <x:c r="F537" s="45"/>
      <x:c r="G537" s="44"/>
      <x:c r="H537" s="45"/>
      <x:c r="I537" s="45"/>
      <x:c r="J537" s="46"/>
      <x:c r="K537" s="46"/>
      <x:c r="L537" s="41"/>
      <x:c r="M537" s="41"/>
      <x:c r="N537" s="41"/>
      <x:c r="O537" s="41"/>
      <x:c r="P537" s="41"/>
      <x:c r="Q537" s="41"/>
      <x:c r="R537" s="41"/>
      <x:c r="S537" s="41"/>
      <x:c r="T537" s="41"/>
      <x:c r="U537" s="41"/>
      <x:c r="V537" s="41"/>
      <x:c r="W537" s="41"/>
      <x:c r="X537" s="41"/>
      <x:c r="Y537" s="41"/>
      <x:c r="Z537" s="41"/>
    </x:row>
    <x:row r="538">
      <x:c r="A538" s="44"/>
      <x:c r="B538" s="44"/>
      <x:c r="C538" s="44"/>
      <x:c r="D538" s="44"/>
      <x:c r="E538" s="44"/>
      <x:c r="F538" s="45"/>
      <x:c r="G538" s="44"/>
      <x:c r="H538" s="45"/>
      <x:c r="I538" s="45"/>
      <x:c r="J538" s="46"/>
      <x:c r="K538" s="46"/>
      <x:c r="L538" s="41"/>
      <x:c r="M538" s="41"/>
      <x:c r="N538" s="41"/>
      <x:c r="O538" s="41"/>
      <x:c r="P538" s="41"/>
      <x:c r="Q538" s="41"/>
      <x:c r="R538" s="41"/>
      <x:c r="S538" s="41"/>
      <x:c r="T538" s="41"/>
      <x:c r="U538" s="41"/>
      <x:c r="V538" s="41"/>
      <x:c r="W538" s="41"/>
      <x:c r="X538" s="41"/>
      <x:c r="Y538" s="41"/>
      <x:c r="Z538" s="41"/>
    </x:row>
    <x:row r="539">
      <x:c r="A539" s="44"/>
      <x:c r="B539" s="44"/>
      <x:c r="C539" s="44"/>
      <x:c r="D539" s="44"/>
      <x:c r="E539" s="44"/>
      <x:c r="F539" s="45"/>
      <x:c r="G539" s="44"/>
      <x:c r="H539" s="45"/>
      <x:c r="I539" s="45"/>
      <x:c r="J539" s="46"/>
      <x:c r="K539" s="46"/>
      <x:c r="L539" s="41"/>
      <x:c r="M539" s="41"/>
      <x:c r="N539" s="41"/>
      <x:c r="O539" s="41"/>
      <x:c r="P539" s="41"/>
      <x:c r="Q539" s="41"/>
      <x:c r="R539" s="41"/>
      <x:c r="S539" s="41"/>
      <x:c r="T539" s="41"/>
      <x:c r="U539" s="41"/>
      <x:c r="V539" s="41"/>
      <x:c r="W539" s="41"/>
      <x:c r="X539" s="41"/>
      <x:c r="Y539" s="41"/>
      <x:c r="Z539" s="41"/>
    </x:row>
    <x:row r="540">
      <x:c r="A540" s="44"/>
      <x:c r="B540" s="44"/>
      <x:c r="C540" s="44"/>
      <x:c r="D540" s="44"/>
      <x:c r="E540" s="44"/>
      <x:c r="F540" s="45"/>
      <x:c r="G540" s="44"/>
      <x:c r="H540" s="45"/>
      <x:c r="I540" s="45"/>
      <x:c r="J540" s="46"/>
      <x:c r="K540" s="46"/>
      <x:c r="L540" s="41"/>
      <x:c r="M540" s="41"/>
      <x:c r="N540" s="41"/>
      <x:c r="O540" s="41"/>
      <x:c r="P540" s="41"/>
      <x:c r="Q540" s="41"/>
      <x:c r="R540" s="41"/>
      <x:c r="S540" s="41"/>
      <x:c r="T540" s="41"/>
      <x:c r="U540" s="41"/>
      <x:c r="V540" s="41"/>
      <x:c r="W540" s="41"/>
      <x:c r="X540" s="41"/>
      <x:c r="Y540" s="41"/>
      <x:c r="Z540" s="41"/>
    </x:row>
    <x:row r="541">
      <x:c r="A541" s="44"/>
      <x:c r="B541" s="44"/>
      <x:c r="C541" s="44"/>
      <x:c r="D541" s="44"/>
      <x:c r="E541" s="44"/>
      <x:c r="F541" s="45"/>
      <x:c r="G541" s="44"/>
      <x:c r="H541" s="45"/>
      <x:c r="I541" s="45"/>
      <x:c r="J541" s="46"/>
      <x:c r="K541" s="46"/>
      <x:c r="L541" s="41"/>
      <x:c r="M541" s="41"/>
      <x:c r="N541" s="41"/>
      <x:c r="O541" s="41"/>
      <x:c r="P541" s="41"/>
      <x:c r="Q541" s="41"/>
      <x:c r="R541" s="41"/>
      <x:c r="S541" s="41"/>
      <x:c r="T541" s="41"/>
      <x:c r="U541" s="41"/>
      <x:c r="V541" s="41"/>
      <x:c r="W541" s="41"/>
      <x:c r="X541" s="41"/>
      <x:c r="Y541" s="41"/>
      <x:c r="Z541" s="41"/>
    </x:row>
    <x:row r="542">
      <x:c r="A542" s="44"/>
      <x:c r="B542" s="44"/>
      <x:c r="C542" s="44"/>
      <x:c r="D542" s="44"/>
      <x:c r="E542" s="44"/>
      <x:c r="F542" s="45"/>
      <x:c r="G542" s="44"/>
      <x:c r="H542" s="45"/>
      <x:c r="I542" s="45"/>
      <x:c r="J542" s="46"/>
      <x:c r="K542" s="46"/>
      <x:c r="L542" s="41"/>
      <x:c r="M542" s="41"/>
      <x:c r="N542" s="41"/>
      <x:c r="O542" s="41"/>
      <x:c r="P542" s="41"/>
      <x:c r="Q542" s="41"/>
      <x:c r="R542" s="41"/>
      <x:c r="S542" s="41"/>
      <x:c r="T542" s="41"/>
      <x:c r="U542" s="41"/>
      <x:c r="V542" s="41"/>
      <x:c r="W542" s="41"/>
      <x:c r="X542" s="41"/>
      <x:c r="Y542" s="41"/>
      <x:c r="Z542" s="41"/>
    </x:row>
    <x:row r="543">
      <x:c r="A543" s="44"/>
      <x:c r="B543" s="44"/>
      <x:c r="C543" s="44"/>
      <x:c r="D543" s="44"/>
      <x:c r="E543" s="44"/>
      <x:c r="F543" s="45"/>
      <x:c r="G543" s="44"/>
      <x:c r="H543" s="45"/>
      <x:c r="I543" s="45"/>
      <x:c r="J543" s="46"/>
      <x:c r="K543" s="46"/>
      <x:c r="L543" s="41"/>
      <x:c r="M543" s="41"/>
      <x:c r="N543" s="41"/>
      <x:c r="O543" s="41"/>
      <x:c r="P543" s="41"/>
      <x:c r="Q543" s="41"/>
      <x:c r="R543" s="41"/>
      <x:c r="S543" s="41"/>
      <x:c r="T543" s="41"/>
      <x:c r="U543" s="41"/>
      <x:c r="V543" s="41"/>
      <x:c r="W543" s="41"/>
      <x:c r="X543" s="41"/>
      <x:c r="Y543" s="41"/>
      <x:c r="Z543" s="41"/>
    </x:row>
    <x:row r="544">
      <x:c r="A544" s="44"/>
      <x:c r="B544" s="44"/>
      <x:c r="C544" s="44"/>
      <x:c r="D544" s="44"/>
      <x:c r="E544" s="44"/>
      <x:c r="F544" s="45"/>
      <x:c r="G544" s="44"/>
      <x:c r="H544" s="45"/>
      <x:c r="I544" s="45"/>
      <x:c r="J544" s="46"/>
      <x:c r="K544" s="46"/>
      <x:c r="L544" s="41"/>
      <x:c r="M544" s="41"/>
      <x:c r="N544" s="41"/>
      <x:c r="O544" s="41"/>
      <x:c r="P544" s="41"/>
      <x:c r="Q544" s="41"/>
      <x:c r="R544" s="41"/>
      <x:c r="S544" s="41"/>
      <x:c r="T544" s="41"/>
      <x:c r="U544" s="41"/>
      <x:c r="V544" s="41"/>
      <x:c r="W544" s="41"/>
      <x:c r="X544" s="41"/>
      <x:c r="Y544" s="41"/>
      <x:c r="Z544" s="41"/>
    </x:row>
    <x:row r="545">
      <x:c r="A545" s="44"/>
      <x:c r="B545" s="44"/>
      <x:c r="C545" s="44"/>
      <x:c r="D545" s="44"/>
      <x:c r="E545" s="44"/>
      <x:c r="F545" s="45"/>
      <x:c r="G545" s="44"/>
      <x:c r="H545" s="45"/>
      <x:c r="I545" s="45"/>
      <x:c r="J545" s="46"/>
      <x:c r="K545" s="46"/>
      <x:c r="L545" s="41"/>
      <x:c r="M545" s="41"/>
      <x:c r="N545" s="41"/>
      <x:c r="O545" s="41"/>
      <x:c r="P545" s="41"/>
      <x:c r="Q545" s="41"/>
      <x:c r="R545" s="41"/>
      <x:c r="S545" s="41"/>
      <x:c r="T545" s="41"/>
      <x:c r="U545" s="41"/>
      <x:c r="V545" s="41"/>
      <x:c r="W545" s="41"/>
      <x:c r="X545" s="41"/>
      <x:c r="Y545" s="41"/>
      <x:c r="Z545" s="41"/>
    </x:row>
    <x:row r="546">
      <x:c r="A546" s="44"/>
      <x:c r="B546" s="44"/>
      <x:c r="C546" s="44"/>
      <x:c r="D546" s="44"/>
      <x:c r="E546" s="44"/>
      <x:c r="F546" s="45"/>
      <x:c r="G546" s="44"/>
      <x:c r="H546" s="45"/>
      <x:c r="I546" s="45"/>
      <x:c r="J546" s="46"/>
      <x:c r="K546" s="46"/>
      <x:c r="L546" s="41"/>
      <x:c r="M546" s="41"/>
      <x:c r="N546" s="41"/>
      <x:c r="O546" s="41"/>
      <x:c r="P546" s="41"/>
      <x:c r="Q546" s="41"/>
      <x:c r="R546" s="41"/>
      <x:c r="S546" s="41"/>
      <x:c r="T546" s="41"/>
      <x:c r="U546" s="41"/>
      <x:c r="V546" s="41"/>
      <x:c r="W546" s="41"/>
      <x:c r="X546" s="41"/>
      <x:c r="Y546" s="41"/>
      <x:c r="Z546" s="41"/>
    </x:row>
    <x:row r="547">
      <x:c r="A547" s="44"/>
      <x:c r="B547" s="44"/>
      <x:c r="C547" s="44"/>
      <x:c r="D547" s="44"/>
      <x:c r="E547" s="44"/>
      <x:c r="F547" s="45"/>
      <x:c r="G547" s="44"/>
      <x:c r="H547" s="45"/>
      <x:c r="I547" s="45"/>
      <x:c r="J547" s="46"/>
      <x:c r="K547" s="46"/>
      <x:c r="L547" s="41"/>
      <x:c r="M547" s="41"/>
      <x:c r="N547" s="41"/>
      <x:c r="O547" s="41"/>
      <x:c r="P547" s="41"/>
      <x:c r="Q547" s="41"/>
      <x:c r="R547" s="41"/>
      <x:c r="S547" s="41"/>
      <x:c r="T547" s="41"/>
      <x:c r="U547" s="41"/>
      <x:c r="V547" s="41"/>
      <x:c r="W547" s="41"/>
      <x:c r="X547" s="41"/>
      <x:c r="Y547" s="41"/>
      <x:c r="Z547" s="41"/>
    </x:row>
    <x:row r="548">
      <x:c r="A548" s="44"/>
      <x:c r="B548" s="44"/>
      <x:c r="C548" s="44"/>
      <x:c r="D548" s="44"/>
      <x:c r="E548" s="44"/>
      <x:c r="F548" s="45"/>
      <x:c r="G548" s="44"/>
      <x:c r="H548" s="45"/>
      <x:c r="I548" s="45"/>
      <x:c r="J548" s="46"/>
      <x:c r="K548" s="46"/>
      <x:c r="L548" s="41"/>
      <x:c r="M548" s="41"/>
      <x:c r="N548" s="41"/>
      <x:c r="O548" s="41"/>
      <x:c r="P548" s="41"/>
      <x:c r="Q548" s="41"/>
      <x:c r="R548" s="41"/>
      <x:c r="S548" s="41"/>
      <x:c r="T548" s="41"/>
      <x:c r="U548" s="41"/>
      <x:c r="V548" s="41"/>
      <x:c r="W548" s="41"/>
      <x:c r="X548" s="41"/>
      <x:c r="Y548" s="41"/>
      <x:c r="Z548" s="41"/>
    </x:row>
    <x:row r="549">
      <x:c r="A549" s="44"/>
      <x:c r="B549" s="44"/>
      <x:c r="C549" s="44"/>
      <x:c r="D549" s="44"/>
      <x:c r="E549" s="44"/>
      <x:c r="F549" s="45"/>
      <x:c r="G549" s="44"/>
      <x:c r="H549" s="45"/>
      <x:c r="I549" s="45"/>
      <x:c r="J549" s="46"/>
      <x:c r="K549" s="46"/>
      <x:c r="L549" s="41"/>
      <x:c r="M549" s="41"/>
      <x:c r="N549" s="41"/>
      <x:c r="O549" s="41"/>
      <x:c r="P549" s="41"/>
      <x:c r="Q549" s="41"/>
      <x:c r="R549" s="41"/>
      <x:c r="S549" s="41"/>
      <x:c r="T549" s="41"/>
      <x:c r="U549" s="41"/>
      <x:c r="V549" s="41"/>
      <x:c r="W549" s="41"/>
      <x:c r="X549" s="41"/>
      <x:c r="Y549" s="41"/>
      <x:c r="Z549" s="41"/>
    </x:row>
    <x:row r="550">
      <x:c r="A550" s="44"/>
      <x:c r="B550" s="44"/>
      <x:c r="C550" s="44"/>
      <x:c r="D550" s="44"/>
      <x:c r="E550" s="44"/>
      <x:c r="F550" s="45"/>
      <x:c r="G550" s="44"/>
      <x:c r="H550" s="45"/>
      <x:c r="I550" s="45"/>
      <x:c r="J550" s="46"/>
      <x:c r="K550" s="46"/>
      <x:c r="L550" s="41"/>
      <x:c r="M550" s="41"/>
      <x:c r="N550" s="41"/>
      <x:c r="O550" s="41"/>
      <x:c r="P550" s="41"/>
      <x:c r="Q550" s="41"/>
      <x:c r="R550" s="41"/>
      <x:c r="S550" s="41"/>
      <x:c r="T550" s="41"/>
      <x:c r="U550" s="41"/>
      <x:c r="V550" s="41"/>
      <x:c r="W550" s="41"/>
      <x:c r="X550" s="41"/>
      <x:c r="Y550" s="41"/>
      <x:c r="Z550" s="41"/>
    </x:row>
    <x:row r="551">
      <x:c r="A551" s="44"/>
      <x:c r="B551" s="44"/>
      <x:c r="C551" s="44"/>
      <x:c r="D551" s="44"/>
      <x:c r="E551" s="44"/>
      <x:c r="F551" s="45"/>
      <x:c r="G551" s="44"/>
      <x:c r="H551" s="45"/>
      <x:c r="I551" s="45"/>
      <x:c r="J551" s="46"/>
      <x:c r="K551" s="46"/>
      <x:c r="L551" s="41"/>
      <x:c r="M551" s="41"/>
      <x:c r="N551" s="41"/>
      <x:c r="O551" s="41"/>
      <x:c r="P551" s="41"/>
      <x:c r="Q551" s="41"/>
      <x:c r="R551" s="41"/>
      <x:c r="S551" s="41"/>
      <x:c r="T551" s="41"/>
      <x:c r="U551" s="41"/>
      <x:c r="V551" s="41"/>
      <x:c r="W551" s="41"/>
      <x:c r="X551" s="41"/>
      <x:c r="Y551" s="41"/>
      <x:c r="Z551" s="41"/>
    </x:row>
    <x:row r="552">
      <x:c r="A552" s="44"/>
      <x:c r="B552" s="44"/>
      <x:c r="C552" s="44"/>
      <x:c r="D552" s="44"/>
      <x:c r="E552" s="44"/>
      <x:c r="F552" s="45"/>
      <x:c r="G552" s="44"/>
      <x:c r="H552" s="45"/>
      <x:c r="I552" s="45"/>
      <x:c r="J552" s="46"/>
      <x:c r="K552" s="46"/>
      <x:c r="L552" s="41"/>
      <x:c r="M552" s="41"/>
      <x:c r="N552" s="41"/>
      <x:c r="O552" s="41"/>
      <x:c r="P552" s="41"/>
      <x:c r="Q552" s="41"/>
      <x:c r="R552" s="41"/>
      <x:c r="S552" s="41"/>
      <x:c r="T552" s="41"/>
      <x:c r="U552" s="41"/>
      <x:c r="V552" s="41"/>
      <x:c r="W552" s="41"/>
      <x:c r="X552" s="41"/>
      <x:c r="Y552" s="41"/>
      <x:c r="Z552" s="41"/>
    </x:row>
    <x:row r="553">
      <x:c r="A553" s="44"/>
      <x:c r="B553" s="44"/>
      <x:c r="C553" s="44"/>
      <x:c r="D553" s="44"/>
      <x:c r="E553" s="44"/>
      <x:c r="F553" s="45"/>
      <x:c r="G553" s="44"/>
      <x:c r="H553" s="45"/>
      <x:c r="I553" s="45"/>
      <x:c r="J553" s="46"/>
      <x:c r="K553" s="46"/>
      <x:c r="L553" s="41"/>
      <x:c r="M553" s="41"/>
      <x:c r="N553" s="41"/>
      <x:c r="O553" s="41"/>
      <x:c r="P553" s="41"/>
      <x:c r="Q553" s="41"/>
      <x:c r="R553" s="41"/>
      <x:c r="S553" s="41"/>
      <x:c r="T553" s="41"/>
      <x:c r="U553" s="41"/>
      <x:c r="V553" s="41"/>
      <x:c r="W553" s="41"/>
      <x:c r="X553" s="41"/>
      <x:c r="Y553" s="41"/>
      <x:c r="Z553" s="41"/>
    </x:row>
    <x:row r="554">
      <x:c r="A554" s="44"/>
      <x:c r="B554" s="44"/>
      <x:c r="C554" s="44"/>
      <x:c r="D554" s="44"/>
      <x:c r="E554" s="44"/>
      <x:c r="F554" s="45"/>
      <x:c r="G554" s="44"/>
      <x:c r="H554" s="45"/>
      <x:c r="I554" s="45"/>
      <x:c r="J554" s="46"/>
      <x:c r="K554" s="46"/>
      <x:c r="L554" s="41"/>
      <x:c r="M554" s="41"/>
      <x:c r="N554" s="41"/>
      <x:c r="O554" s="41"/>
      <x:c r="P554" s="41"/>
      <x:c r="Q554" s="41"/>
      <x:c r="R554" s="41"/>
      <x:c r="S554" s="41"/>
      <x:c r="T554" s="41"/>
      <x:c r="U554" s="41"/>
      <x:c r="V554" s="41"/>
      <x:c r="W554" s="41"/>
      <x:c r="X554" s="41"/>
      <x:c r="Y554" s="41"/>
      <x:c r="Z554" s="41"/>
    </x:row>
    <x:row r="555">
      <x:c r="A555" s="44"/>
      <x:c r="B555" s="44"/>
      <x:c r="C555" s="44"/>
      <x:c r="D555" s="44"/>
      <x:c r="E555" s="44"/>
      <x:c r="F555" s="45"/>
      <x:c r="G555" s="44"/>
      <x:c r="H555" s="45"/>
      <x:c r="I555" s="45"/>
      <x:c r="J555" s="46"/>
      <x:c r="K555" s="46"/>
      <x:c r="L555" s="41"/>
      <x:c r="M555" s="41"/>
      <x:c r="N555" s="41"/>
      <x:c r="O555" s="41"/>
      <x:c r="P555" s="41"/>
      <x:c r="Q555" s="41"/>
      <x:c r="R555" s="41"/>
      <x:c r="S555" s="41"/>
      <x:c r="T555" s="41"/>
      <x:c r="U555" s="41"/>
      <x:c r="V555" s="41"/>
      <x:c r="W555" s="41"/>
      <x:c r="X555" s="41"/>
      <x:c r="Y555" s="41"/>
      <x:c r="Z555" s="41"/>
    </x:row>
    <x:row r="556">
      <x:c r="A556" s="44"/>
      <x:c r="B556" s="44"/>
      <x:c r="C556" s="44"/>
      <x:c r="D556" s="44"/>
      <x:c r="E556" s="44"/>
      <x:c r="F556" s="45"/>
      <x:c r="G556" s="44"/>
      <x:c r="H556" s="45"/>
      <x:c r="I556" s="45"/>
      <x:c r="J556" s="46"/>
      <x:c r="K556" s="46"/>
      <x:c r="L556" s="41"/>
      <x:c r="M556" s="41"/>
      <x:c r="N556" s="41"/>
      <x:c r="O556" s="41"/>
      <x:c r="P556" s="41"/>
      <x:c r="Q556" s="41"/>
      <x:c r="R556" s="41"/>
      <x:c r="S556" s="41"/>
      <x:c r="T556" s="41"/>
      <x:c r="U556" s="41"/>
      <x:c r="V556" s="41"/>
      <x:c r="W556" s="41"/>
      <x:c r="X556" s="41"/>
      <x:c r="Y556" s="41"/>
      <x:c r="Z556" s="41"/>
    </x:row>
    <x:row r="557">
      <x:c r="A557" s="44"/>
      <x:c r="B557" s="44"/>
      <x:c r="C557" s="44"/>
      <x:c r="D557" s="44"/>
      <x:c r="E557" s="44"/>
      <x:c r="F557" s="45"/>
      <x:c r="G557" s="44"/>
      <x:c r="H557" s="45"/>
      <x:c r="I557" s="45"/>
      <x:c r="J557" s="46"/>
      <x:c r="K557" s="46"/>
      <x:c r="L557" s="41"/>
      <x:c r="M557" s="41"/>
      <x:c r="N557" s="41"/>
      <x:c r="O557" s="41"/>
      <x:c r="P557" s="41"/>
      <x:c r="Q557" s="41"/>
      <x:c r="R557" s="41"/>
      <x:c r="S557" s="41"/>
      <x:c r="T557" s="41"/>
      <x:c r="U557" s="41"/>
      <x:c r="V557" s="41"/>
      <x:c r="W557" s="41"/>
      <x:c r="X557" s="41"/>
      <x:c r="Y557" s="41"/>
      <x:c r="Z557" s="41"/>
    </x:row>
    <x:row r="558">
      <x:c r="A558" s="44"/>
      <x:c r="B558" s="44"/>
      <x:c r="C558" s="44"/>
      <x:c r="D558" s="44"/>
      <x:c r="E558" s="44"/>
      <x:c r="F558" s="45"/>
      <x:c r="G558" s="44"/>
      <x:c r="H558" s="45"/>
      <x:c r="I558" s="45"/>
      <x:c r="J558" s="46"/>
      <x:c r="K558" s="46"/>
      <x:c r="L558" s="41"/>
      <x:c r="M558" s="41"/>
      <x:c r="N558" s="41"/>
      <x:c r="O558" s="41"/>
      <x:c r="P558" s="41"/>
      <x:c r="Q558" s="41"/>
      <x:c r="R558" s="41"/>
      <x:c r="S558" s="41"/>
      <x:c r="T558" s="41"/>
      <x:c r="U558" s="41"/>
      <x:c r="V558" s="41"/>
      <x:c r="W558" s="41"/>
      <x:c r="X558" s="41"/>
      <x:c r="Y558" s="41"/>
      <x:c r="Z558" s="41"/>
    </x:row>
    <x:row r="559">
      <x:c r="A559" s="44"/>
      <x:c r="B559" s="44"/>
      <x:c r="C559" s="44"/>
      <x:c r="D559" s="44"/>
      <x:c r="E559" s="44"/>
      <x:c r="F559" s="45"/>
      <x:c r="G559" s="44"/>
      <x:c r="H559" s="45"/>
      <x:c r="I559" s="45"/>
      <x:c r="J559" s="46"/>
      <x:c r="K559" s="46"/>
      <x:c r="L559" s="41"/>
      <x:c r="M559" s="41"/>
      <x:c r="N559" s="41"/>
      <x:c r="O559" s="41"/>
      <x:c r="P559" s="41"/>
      <x:c r="Q559" s="41"/>
      <x:c r="R559" s="41"/>
      <x:c r="S559" s="41"/>
      <x:c r="T559" s="41"/>
      <x:c r="U559" s="41"/>
      <x:c r="V559" s="41"/>
      <x:c r="W559" s="41"/>
      <x:c r="X559" s="41"/>
      <x:c r="Y559" s="41"/>
      <x:c r="Z559" s="41"/>
    </x:row>
    <x:row r="560">
      <x:c r="A560" s="44"/>
      <x:c r="B560" s="44"/>
      <x:c r="C560" s="44"/>
      <x:c r="D560" s="44"/>
      <x:c r="E560" s="44"/>
      <x:c r="F560" s="45"/>
      <x:c r="G560" s="44"/>
      <x:c r="H560" s="45"/>
      <x:c r="I560" s="45"/>
      <x:c r="J560" s="46"/>
      <x:c r="K560" s="46"/>
      <x:c r="L560" s="41"/>
      <x:c r="M560" s="41"/>
      <x:c r="N560" s="41"/>
      <x:c r="O560" s="41"/>
      <x:c r="P560" s="41"/>
      <x:c r="Q560" s="41"/>
      <x:c r="R560" s="41"/>
      <x:c r="S560" s="41"/>
      <x:c r="T560" s="41"/>
      <x:c r="U560" s="41"/>
      <x:c r="V560" s="41"/>
      <x:c r="W560" s="41"/>
      <x:c r="X560" s="41"/>
      <x:c r="Y560" s="41"/>
      <x:c r="Z560" s="41"/>
    </x:row>
    <x:row r="561">
      <x:c r="A561" s="44"/>
      <x:c r="B561" s="44"/>
      <x:c r="C561" s="44"/>
      <x:c r="D561" s="44"/>
      <x:c r="E561" s="44"/>
      <x:c r="F561" s="45"/>
      <x:c r="G561" s="44"/>
      <x:c r="H561" s="45"/>
      <x:c r="I561" s="45"/>
      <x:c r="J561" s="46"/>
      <x:c r="K561" s="46"/>
      <x:c r="L561" s="41"/>
      <x:c r="M561" s="41"/>
      <x:c r="N561" s="41"/>
      <x:c r="O561" s="41"/>
      <x:c r="P561" s="41"/>
      <x:c r="Q561" s="41"/>
      <x:c r="R561" s="41"/>
      <x:c r="S561" s="41"/>
      <x:c r="T561" s="41"/>
      <x:c r="U561" s="41"/>
      <x:c r="V561" s="41"/>
      <x:c r="W561" s="41"/>
      <x:c r="X561" s="41"/>
      <x:c r="Y561" s="41"/>
      <x:c r="Z561" s="41"/>
    </x:row>
    <x:row r="562">
      <x:c r="A562" s="44"/>
      <x:c r="B562" s="44"/>
      <x:c r="C562" s="44"/>
      <x:c r="D562" s="44"/>
      <x:c r="E562" s="44"/>
      <x:c r="F562" s="45"/>
      <x:c r="G562" s="44"/>
      <x:c r="H562" s="45"/>
      <x:c r="I562" s="45"/>
      <x:c r="J562" s="46"/>
      <x:c r="K562" s="46"/>
      <x:c r="L562" s="41"/>
      <x:c r="M562" s="41"/>
      <x:c r="N562" s="41"/>
      <x:c r="O562" s="41"/>
      <x:c r="P562" s="41"/>
      <x:c r="Q562" s="41"/>
      <x:c r="R562" s="41"/>
      <x:c r="S562" s="41"/>
      <x:c r="T562" s="41"/>
      <x:c r="U562" s="41"/>
      <x:c r="V562" s="41"/>
      <x:c r="W562" s="41"/>
      <x:c r="X562" s="41"/>
      <x:c r="Y562" s="41"/>
      <x:c r="Z562" s="41"/>
    </x:row>
    <x:row r="563">
      <x:c r="A563" s="44"/>
      <x:c r="B563" s="44"/>
      <x:c r="C563" s="44"/>
      <x:c r="D563" s="44"/>
      <x:c r="E563" s="44"/>
      <x:c r="F563" s="45"/>
      <x:c r="G563" s="44"/>
      <x:c r="H563" s="45"/>
      <x:c r="I563" s="45"/>
      <x:c r="J563" s="46"/>
      <x:c r="K563" s="46"/>
      <x:c r="L563" s="41"/>
      <x:c r="M563" s="41"/>
      <x:c r="N563" s="41"/>
      <x:c r="O563" s="41"/>
      <x:c r="P563" s="41"/>
      <x:c r="Q563" s="41"/>
      <x:c r="R563" s="41"/>
      <x:c r="S563" s="41"/>
      <x:c r="T563" s="41"/>
      <x:c r="U563" s="41"/>
      <x:c r="V563" s="41"/>
      <x:c r="W563" s="41"/>
      <x:c r="X563" s="41"/>
      <x:c r="Y563" s="41"/>
      <x:c r="Z563" s="41"/>
    </x:row>
    <x:row r="564">
      <x:c r="A564" s="44"/>
      <x:c r="B564" s="44"/>
      <x:c r="C564" s="44"/>
      <x:c r="D564" s="44"/>
      <x:c r="E564" s="44"/>
      <x:c r="F564" s="45"/>
      <x:c r="G564" s="44"/>
      <x:c r="H564" s="45"/>
      <x:c r="I564" s="45"/>
      <x:c r="J564" s="46"/>
      <x:c r="K564" s="46"/>
      <x:c r="L564" s="41"/>
      <x:c r="M564" s="41"/>
      <x:c r="N564" s="41"/>
      <x:c r="O564" s="41"/>
      <x:c r="P564" s="41"/>
      <x:c r="Q564" s="41"/>
      <x:c r="R564" s="41"/>
      <x:c r="S564" s="41"/>
      <x:c r="T564" s="41"/>
      <x:c r="U564" s="41"/>
      <x:c r="V564" s="41"/>
      <x:c r="W564" s="41"/>
      <x:c r="X564" s="41"/>
      <x:c r="Y564" s="41"/>
      <x:c r="Z564" s="41"/>
    </x:row>
    <x:row r="565">
      <x:c r="A565" s="44"/>
      <x:c r="B565" s="44"/>
      <x:c r="C565" s="44"/>
      <x:c r="D565" s="44"/>
      <x:c r="E565" s="44"/>
      <x:c r="F565" s="45"/>
      <x:c r="G565" s="44"/>
      <x:c r="H565" s="45"/>
      <x:c r="I565" s="45"/>
      <x:c r="J565" s="46"/>
      <x:c r="K565" s="46"/>
      <x:c r="L565" s="41"/>
      <x:c r="M565" s="41"/>
      <x:c r="N565" s="41"/>
      <x:c r="O565" s="41"/>
      <x:c r="P565" s="41"/>
      <x:c r="Q565" s="41"/>
      <x:c r="R565" s="41"/>
      <x:c r="S565" s="41"/>
      <x:c r="T565" s="41"/>
      <x:c r="U565" s="41"/>
      <x:c r="V565" s="41"/>
      <x:c r="W565" s="41"/>
      <x:c r="X565" s="41"/>
      <x:c r="Y565" s="41"/>
      <x:c r="Z565" s="41"/>
    </x:row>
    <x:row r="566">
      <x:c r="A566" s="44"/>
      <x:c r="B566" s="44"/>
      <x:c r="C566" s="44"/>
      <x:c r="D566" s="44"/>
      <x:c r="E566" s="44"/>
      <x:c r="F566" s="45"/>
      <x:c r="G566" s="44"/>
      <x:c r="H566" s="45"/>
      <x:c r="I566" s="45"/>
      <x:c r="J566" s="46"/>
      <x:c r="K566" s="46"/>
      <x:c r="L566" s="41"/>
      <x:c r="M566" s="41"/>
      <x:c r="N566" s="41"/>
      <x:c r="O566" s="41"/>
      <x:c r="P566" s="41"/>
      <x:c r="Q566" s="41"/>
      <x:c r="R566" s="41"/>
      <x:c r="S566" s="41"/>
      <x:c r="T566" s="41"/>
      <x:c r="U566" s="41"/>
      <x:c r="V566" s="41"/>
      <x:c r="W566" s="41"/>
      <x:c r="X566" s="41"/>
      <x:c r="Y566" s="41"/>
      <x:c r="Z566" s="41"/>
    </x:row>
    <x:row r="567">
      <x:c r="A567" s="44"/>
      <x:c r="B567" s="44"/>
      <x:c r="C567" s="44"/>
      <x:c r="D567" s="44"/>
      <x:c r="E567" s="44"/>
      <x:c r="F567" s="45"/>
      <x:c r="G567" s="44"/>
      <x:c r="H567" s="45"/>
      <x:c r="I567" s="45"/>
      <x:c r="J567" s="46"/>
      <x:c r="K567" s="46"/>
      <x:c r="L567" s="41"/>
      <x:c r="M567" s="41"/>
      <x:c r="N567" s="41"/>
      <x:c r="O567" s="41"/>
      <x:c r="P567" s="41"/>
      <x:c r="Q567" s="41"/>
      <x:c r="R567" s="41"/>
      <x:c r="S567" s="41"/>
      <x:c r="T567" s="41"/>
      <x:c r="U567" s="41"/>
      <x:c r="V567" s="41"/>
      <x:c r="W567" s="41"/>
      <x:c r="X567" s="41"/>
      <x:c r="Y567" s="41"/>
      <x:c r="Z567" s="41"/>
    </x:row>
    <x:row r="568">
      <x:c r="A568" s="44"/>
      <x:c r="B568" s="44"/>
      <x:c r="C568" s="44"/>
      <x:c r="D568" s="44"/>
      <x:c r="E568" s="44"/>
      <x:c r="F568" s="45"/>
      <x:c r="G568" s="44"/>
      <x:c r="H568" s="45"/>
      <x:c r="I568" s="45"/>
      <x:c r="J568" s="46"/>
      <x:c r="K568" s="46"/>
      <x:c r="L568" s="41"/>
      <x:c r="M568" s="41"/>
      <x:c r="N568" s="41"/>
      <x:c r="O568" s="41"/>
      <x:c r="P568" s="41"/>
      <x:c r="Q568" s="41"/>
      <x:c r="R568" s="41"/>
      <x:c r="S568" s="41"/>
      <x:c r="T568" s="41"/>
      <x:c r="U568" s="41"/>
      <x:c r="V568" s="41"/>
      <x:c r="W568" s="41"/>
      <x:c r="X568" s="41"/>
      <x:c r="Y568" s="41"/>
      <x:c r="Z568" s="41"/>
    </x:row>
    <x:row r="569">
      <x:c r="A569" s="44"/>
      <x:c r="B569" s="44"/>
      <x:c r="C569" s="44"/>
      <x:c r="D569" s="44"/>
      <x:c r="E569" s="44"/>
      <x:c r="F569" s="45"/>
      <x:c r="G569" s="44"/>
      <x:c r="H569" s="45"/>
      <x:c r="I569" s="45"/>
      <x:c r="J569" s="46"/>
      <x:c r="K569" s="46"/>
      <x:c r="L569" s="41"/>
      <x:c r="M569" s="41"/>
      <x:c r="N569" s="41"/>
      <x:c r="O569" s="41"/>
      <x:c r="P569" s="41"/>
      <x:c r="Q569" s="41"/>
      <x:c r="R569" s="41"/>
      <x:c r="S569" s="41"/>
      <x:c r="T569" s="41"/>
      <x:c r="U569" s="41"/>
      <x:c r="V569" s="41"/>
      <x:c r="W569" s="41"/>
      <x:c r="X569" s="41"/>
      <x:c r="Y569" s="41"/>
      <x:c r="Z569" s="41"/>
    </x:row>
    <x:row r="570">
      <x:c r="A570" s="44"/>
      <x:c r="B570" s="44"/>
      <x:c r="C570" s="44"/>
      <x:c r="D570" s="44"/>
      <x:c r="E570" s="44"/>
      <x:c r="F570" s="45"/>
      <x:c r="G570" s="44"/>
      <x:c r="H570" s="45"/>
      <x:c r="I570" s="45"/>
      <x:c r="J570" s="46"/>
      <x:c r="K570" s="46"/>
      <x:c r="L570" s="41"/>
      <x:c r="M570" s="41"/>
      <x:c r="N570" s="41"/>
      <x:c r="O570" s="41"/>
      <x:c r="P570" s="41"/>
      <x:c r="Q570" s="41"/>
      <x:c r="R570" s="41"/>
      <x:c r="S570" s="41"/>
      <x:c r="T570" s="41"/>
      <x:c r="U570" s="41"/>
      <x:c r="V570" s="41"/>
      <x:c r="W570" s="41"/>
      <x:c r="X570" s="41"/>
      <x:c r="Y570" s="41"/>
      <x:c r="Z570" s="41"/>
    </x:row>
    <x:row r="571">
      <x:c r="A571" s="44"/>
      <x:c r="B571" s="44"/>
      <x:c r="C571" s="44"/>
      <x:c r="D571" s="44"/>
      <x:c r="E571" s="44"/>
      <x:c r="F571" s="45"/>
      <x:c r="G571" s="44"/>
      <x:c r="H571" s="45"/>
      <x:c r="I571" s="45"/>
      <x:c r="J571" s="46"/>
      <x:c r="K571" s="46"/>
      <x:c r="L571" s="41"/>
      <x:c r="M571" s="41"/>
      <x:c r="N571" s="41"/>
      <x:c r="O571" s="41"/>
      <x:c r="P571" s="41"/>
      <x:c r="Q571" s="41"/>
      <x:c r="R571" s="41"/>
      <x:c r="S571" s="41"/>
      <x:c r="T571" s="41"/>
      <x:c r="U571" s="41"/>
      <x:c r="V571" s="41"/>
      <x:c r="W571" s="41"/>
      <x:c r="X571" s="41"/>
      <x:c r="Y571" s="41"/>
      <x:c r="Z571" s="41"/>
    </x:row>
    <x:row r="572">
      <x:c r="A572" s="44"/>
      <x:c r="B572" s="44"/>
      <x:c r="C572" s="44"/>
      <x:c r="D572" s="44"/>
      <x:c r="E572" s="44"/>
      <x:c r="F572" s="45"/>
      <x:c r="G572" s="44"/>
      <x:c r="H572" s="45"/>
      <x:c r="I572" s="45"/>
      <x:c r="J572" s="46"/>
      <x:c r="K572" s="46"/>
      <x:c r="L572" s="41"/>
      <x:c r="M572" s="41"/>
      <x:c r="N572" s="41"/>
      <x:c r="O572" s="41"/>
      <x:c r="P572" s="41"/>
      <x:c r="Q572" s="41"/>
      <x:c r="R572" s="41"/>
      <x:c r="S572" s="41"/>
      <x:c r="T572" s="41"/>
      <x:c r="U572" s="41"/>
      <x:c r="V572" s="41"/>
      <x:c r="W572" s="41"/>
      <x:c r="X572" s="41"/>
      <x:c r="Y572" s="41"/>
      <x:c r="Z572" s="41"/>
    </x:row>
    <x:row r="573">
      <x:c r="A573" s="44"/>
      <x:c r="B573" s="44"/>
      <x:c r="C573" s="44"/>
      <x:c r="D573" s="44"/>
      <x:c r="E573" s="44"/>
      <x:c r="F573" s="45"/>
      <x:c r="G573" s="44"/>
      <x:c r="H573" s="45"/>
      <x:c r="I573" s="45"/>
      <x:c r="J573" s="46"/>
      <x:c r="K573" s="46"/>
      <x:c r="L573" s="41"/>
      <x:c r="M573" s="41"/>
      <x:c r="N573" s="41"/>
      <x:c r="O573" s="41"/>
      <x:c r="P573" s="41"/>
      <x:c r="Q573" s="41"/>
      <x:c r="R573" s="41"/>
      <x:c r="S573" s="41"/>
      <x:c r="T573" s="41"/>
      <x:c r="U573" s="41"/>
      <x:c r="V573" s="41"/>
      <x:c r="W573" s="41"/>
      <x:c r="X573" s="41"/>
      <x:c r="Y573" s="41"/>
      <x:c r="Z573" s="41"/>
    </x:row>
    <x:row r="574">
      <x:c r="A574" s="44"/>
      <x:c r="B574" s="44"/>
      <x:c r="C574" s="44"/>
      <x:c r="D574" s="44"/>
      <x:c r="E574" s="44"/>
      <x:c r="F574" s="45"/>
      <x:c r="G574" s="44"/>
      <x:c r="H574" s="45"/>
      <x:c r="I574" s="45"/>
      <x:c r="J574" s="46"/>
      <x:c r="K574" s="46"/>
      <x:c r="L574" s="41"/>
      <x:c r="M574" s="41"/>
      <x:c r="N574" s="41"/>
      <x:c r="O574" s="41"/>
      <x:c r="P574" s="41"/>
      <x:c r="Q574" s="41"/>
      <x:c r="R574" s="41"/>
      <x:c r="S574" s="41"/>
      <x:c r="T574" s="41"/>
      <x:c r="U574" s="41"/>
      <x:c r="V574" s="41"/>
      <x:c r="W574" s="41"/>
      <x:c r="X574" s="41"/>
      <x:c r="Y574" s="41"/>
      <x:c r="Z574" s="41"/>
    </x:row>
    <x:row r="575">
      <x:c r="A575" s="44"/>
      <x:c r="B575" s="44"/>
      <x:c r="C575" s="44"/>
      <x:c r="D575" s="44"/>
      <x:c r="E575" s="44"/>
      <x:c r="F575" s="45"/>
      <x:c r="G575" s="44"/>
      <x:c r="H575" s="45"/>
      <x:c r="I575" s="45"/>
      <x:c r="J575" s="46"/>
      <x:c r="K575" s="46"/>
      <x:c r="L575" s="41"/>
      <x:c r="M575" s="41"/>
      <x:c r="N575" s="41"/>
      <x:c r="O575" s="41"/>
      <x:c r="P575" s="41"/>
      <x:c r="Q575" s="41"/>
      <x:c r="R575" s="41"/>
      <x:c r="S575" s="41"/>
      <x:c r="T575" s="41"/>
      <x:c r="U575" s="41"/>
      <x:c r="V575" s="41"/>
      <x:c r="W575" s="41"/>
      <x:c r="X575" s="41"/>
      <x:c r="Y575" s="41"/>
      <x:c r="Z575" s="41"/>
    </x:row>
    <x:row r="576">
      <x:c r="A576" s="44"/>
      <x:c r="B576" s="44"/>
      <x:c r="C576" s="44"/>
      <x:c r="D576" s="44"/>
      <x:c r="E576" s="44"/>
      <x:c r="F576" s="45"/>
      <x:c r="G576" s="44"/>
      <x:c r="H576" s="45"/>
      <x:c r="I576" s="45"/>
      <x:c r="J576" s="46"/>
      <x:c r="K576" s="46"/>
      <x:c r="L576" s="41"/>
      <x:c r="M576" s="41"/>
      <x:c r="N576" s="41"/>
      <x:c r="O576" s="41"/>
      <x:c r="P576" s="41"/>
      <x:c r="Q576" s="41"/>
      <x:c r="R576" s="41"/>
      <x:c r="S576" s="41"/>
      <x:c r="T576" s="41"/>
      <x:c r="U576" s="41"/>
      <x:c r="V576" s="41"/>
      <x:c r="W576" s="41"/>
      <x:c r="X576" s="41"/>
      <x:c r="Y576" s="41"/>
      <x:c r="Z576" s="41"/>
    </x:row>
    <x:row r="577">
      <x:c r="A577" s="44"/>
      <x:c r="B577" s="44"/>
      <x:c r="C577" s="44"/>
      <x:c r="D577" s="44"/>
      <x:c r="E577" s="44"/>
      <x:c r="F577" s="45"/>
      <x:c r="G577" s="44"/>
      <x:c r="H577" s="45"/>
      <x:c r="I577" s="45"/>
      <x:c r="J577" s="46"/>
      <x:c r="K577" s="46"/>
      <x:c r="L577" s="41"/>
      <x:c r="M577" s="41"/>
      <x:c r="N577" s="41"/>
      <x:c r="O577" s="41"/>
      <x:c r="P577" s="41"/>
      <x:c r="Q577" s="41"/>
      <x:c r="R577" s="41"/>
      <x:c r="S577" s="41"/>
      <x:c r="T577" s="41"/>
      <x:c r="U577" s="41"/>
      <x:c r="V577" s="41"/>
      <x:c r="W577" s="41"/>
      <x:c r="X577" s="41"/>
      <x:c r="Y577" s="41"/>
      <x:c r="Z577" s="41"/>
    </x:row>
    <x:row r="578">
      <x:c r="A578" s="44"/>
      <x:c r="B578" s="44"/>
      <x:c r="C578" s="44"/>
      <x:c r="D578" s="44"/>
      <x:c r="E578" s="44"/>
      <x:c r="F578" s="45"/>
      <x:c r="G578" s="44"/>
      <x:c r="H578" s="45"/>
      <x:c r="I578" s="45"/>
      <x:c r="J578" s="46"/>
      <x:c r="K578" s="46"/>
      <x:c r="L578" s="41"/>
      <x:c r="M578" s="41"/>
      <x:c r="N578" s="41"/>
      <x:c r="O578" s="41"/>
      <x:c r="P578" s="41"/>
      <x:c r="Q578" s="41"/>
      <x:c r="R578" s="41"/>
      <x:c r="S578" s="41"/>
      <x:c r="T578" s="41"/>
      <x:c r="U578" s="41"/>
      <x:c r="V578" s="41"/>
      <x:c r="W578" s="41"/>
      <x:c r="X578" s="41"/>
      <x:c r="Y578" s="41"/>
      <x:c r="Z578" s="41"/>
    </x:row>
    <x:row r="579">
      <x:c r="A579" s="44"/>
      <x:c r="B579" s="44"/>
      <x:c r="C579" s="44"/>
      <x:c r="D579" s="44"/>
      <x:c r="E579" s="44"/>
      <x:c r="F579" s="45"/>
      <x:c r="G579" s="44"/>
      <x:c r="H579" s="45"/>
      <x:c r="I579" s="45"/>
      <x:c r="J579" s="46"/>
      <x:c r="K579" s="46"/>
      <x:c r="L579" s="41"/>
      <x:c r="M579" s="41"/>
      <x:c r="N579" s="41"/>
      <x:c r="O579" s="41"/>
      <x:c r="P579" s="41"/>
      <x:c r="Q579" s="41"/>
      <x:c r="R579" s="41"/>
      <x:c r="S579" s="41"/>
      <x:c r="T579" s="41"/>
      <x:c r="U579" s="41"/>
      <x:c r="V579" s="41"/>
      <x:c r="W579" s="41"/>
      <x:c r="X579" s="41"/>
      <x:c r="Y579" s="41"/>
      <x:c r="Z579" s="41"/>
    </x:row>
    <x:row r="580">
      <x:c r="A580" s="44"/>
      <x:c r="B580" s="44"/>
      <x:c r="C580" s="44"/>
      <x:c r="D580" s="44"/>
      <x:c r="E580" s="44"/>
      <x:c r="F580" s="45"/>
      <x:c r="G580" s="44"/>
      <x:c r="H580" s="45"/>
      <x:c r="I580" s="45"/>
      <x:c r="J580" s="46"/>
      <x:c r="K580" s="46"/>
      <x:c r="L580" s="41"/>
      <x:c r="M580" s="41"/>
      <x:c r="N580" s="41"/>
      <x:c r="O580" s="41"/>
      <x:c r="P580" s="41"/>
      <x:c r="Q580" s="41"/>
      <x:c r="R580" s="41"/>
      <x:c r="S580" s="41"/>
      <x:c r="T580" s="41"/>
      <x:c r="U580" s="41"/>
      <x:c r="V580" s="41"/>
      <x:c r="W580" s="41"/>
      <x:c r="X580" s="41"/>
      <x:c r="Y580" s="41"/>
      <x:c r="Z580" s="41"/>
    </x:row>
    <x:row r="581">
      <x:c r="A581" s="44"/>
      <x:c r="B581" s="44"/>
      <x:c r="C581" s="44"/>
      <x:c r="D581" s="44"/>
      <x:c r="E581" s="44"/>
      <x:c r="F581" s="45"/>
      <x:c r="G581" s="44"/>
      <x:c r="H581" s="45"/>
      <x:c r="I581" s="45"/>
      <x:c r="J581" s="46"/>
      <x:c r="K581" s="46"/>
      <x:c r="L581" s="41"/>
      <x:c r="M581" s="41"/>
      <x:c r="N581" s="41"/>
      <x:c r="O581" s="41"/>
      <x:c r="P581" s="41"/>
      <x:c r="Q581" s="41"/>
      <x:c r="R581" s="41"/>
      <x:c r="S581" s="41"/>
      <x:c r="T581" s="41"/>
      <x:c r="U581" s="41"/>
      <x:c r="V581" s="41"/>
      <x:c r="W581" s="41"/>
      <x:c r="X581" s="41"/>
      <x:c r="Y581" s="41"/>
      <x:c r="Z581" s="41"/>
    </x:row>
    <x:row r="582">
      <x:c r="A582" s="44"/>
      <x:c r="B582" s="44"/>
      <x:c r="C582" s="44"/>
      <x:c r="D582" s="44"/>
      <x:c r="E582" s="44"/>
      <x:c r="F582" s="45"/>
      <x:c r="G582" s="44"/>
      <x:c r="H582" s="45"/>
      <x:c r="I582" s="45"/>
      <x:c r="J582" s="46"/>
      <x:c r="K582" s="46"/>
      <x:c r="L582" s="41"/>
      <x:c r="M582" s="41"/>
      <x:c r="N582" s="41"/>
      <x:c r="O582" s="41"/>
      <x:c r="P582" s="41"/>
      <x:c r="Q582" s="41"/>
      <x:c r="R582" s="41"/>
      <x:c r="S582" s="41"/>
      <x:c r="T582" s="41"/>
      <x:c r="U582" s="41"/>
      <x:c r="V582" s="41"/>
      <x:c r="W582" s="41"/>
      <x:c r="X582" s="41"/>
      <x:c r="Y582" s="41"/>
      <x:c r="Z582" s="41"/>
    </x:row>
    <x:row r="583">
      <x:c r="A583" s="44"/>
      <x:c r="B583" s="44"/>
      <x:c r="C583" s="44"/>
      <x:c r="D583" s="44"/>
      <x:c r="E583" s="44"/>
      <x:c r="F583" s="45"/>
      <x:c r="G583" s="44"/>
      <x:c r="H583" s="45"/>
      <x:c r="I583" s="45"/>
      <x:c r="J583" s="46"/>
      <x:c r="K583" s="46"/>
      <x:c r="L583" s="41"/>
      <x:c r="M583" s="41"/>
      <x:c r="N583" s="41"/>
      <x:c r="O583" s="41"/>
      <x:c r="P583" s="41"/>
      <x:c r="Q583" s="41"/>
      <x:c r="R583" s="41"/>
      <x:c r="S583" s="41"/>
      <x:c r="T583" s="41"/>
      <x:c r="U583" s="41"/>
      <x:c r="V583" s="41"/>
      <x:c r="W583" s="41"/>
      <x:c r="X583" s="41"/>
      <x:c r="Y583" s="41"/>
      <x:c r="Z583" s="41"/>
    </x:row>
    <x:row r="584">
      <x:c r="A584" s="44"/>
      <x:c r="B584" s="44"/>
      <x:c r="C584" s="44"/>
      <x:c r="D584" s="44"/>
      <x:c r="E584" s="44"/>
      <x:c r="F584" s="45"/>
      <x:c r="G584" s="44"/>
      <x:c r="H584" s="45"/>
      <x:c r="I584" s="45"/>
      <x:c r="J584" s="46"/>
      <x:c r="K584" s="46"/>
      <x:c r="L584" s="41"/>
      <x:c r="M584" s="41"/>
      <x:c r="N584" s="41"/>
      <x:c r="O584" s="41"/>
      <x:c r="P584" s="41"/>
      <x:c r="Q584" s="41"/>
      <x:c r="R584" s="41"/>
      <x:c r="S584" s="41"/>
      <x:c r="T584" s="41"/>
      <x:c r="U584" s="41"/>
      <x:c r="V584" s="41"/>
      <x:c r="W584" s="41"/>
      <x:c r="X584" s="41"/>
      <x:c r="Y584" s="41"/>
      <x:c r="Z584" s="41"/>
    </x:row>
    <x:row r="585">
      <x:c r="A585" s="44"/>
      <x:c r="B585" s="44"/>
      <x:c r="C585" s="44"/>
      <x:c r="D585" s="44"/>
      <x:c r="E585" s="44"/>
      <x:c r="F585" s="45"/>
      <x:c r="G585" s="44"/>
      <x:c r="H585" s="45"/>
      <x:c r="I585" s="45"/>
      <x:c r="J585" s="46"/>
      <x:c r="K585" s="46"/>
      <x:c r="L585" s="41"/>
      <x:c r="M585" s="41"/>
      <x:c r="N585" s="41"/>
      <x:c r="O585" s="41"/>
      <x:c r="P585" s="41"/>
      <x:c r="Q585" s="41"/>
      <x:c r="R585" s="41"/>
      <x:c r="S585" s="41"/>
      <x:c r="T585" s="41"/>
      <x:c r="U585" s="41"/>
      <x:c r="V585" s="41"/>
      <x:c r="W585" s="41"/>
      <x:c r="X585" s="41"/>
      <x:c r="Y585" s="41"/>
      <x:c r="Z585" s="41"/>
    </x:row>
    <x:row r="586">
      <x:c r="A586" s="44"/>
      <x:c r="B586" s="44"/>
      <x:c r="C586" s="44"/>
      <x:c r="D586" s="44"/>
      <x:c r="E586" s="44"/>
      <x:c r="F586" s="45"/>
      <x:c r="G586" s="44"/>
      <x:c r="H586" s="45"/>
      <x:c r="I586" s="45"/>
      <x:c r="J586" s="46"/>
      <x:c r="K586" s="46"/>
      <x:c r="L586" s="41"/>
      <x:c r="M586" s="41"/>
      <x:c r="N586" s="41"/>
      <x:c r="O586" s="41"/>
      <x:c r="P586" s="41"/>
      <x:c r="Q586" s="41"/>
      <x:c r="R586" s="41"/>
      <x:c r="S586" s="41"/>
      <x:c r="T586" s="41"/>
      <x:c r="U586" s="41"/>
      <x:c r="V586" s="41"/>
      <x:c r="W586" s="41"/>
      <x:c r="X586" s="41"/>
      <x:c r="Y586" s="41"/>
      <x:c r="Z586" s="41"/>
    </x:row>
    <x:row r="587">
      <x:c r="A587" s="44"/>
      <x:c r="B587" s="44"/>
      <x:c r="C587" s="44"/>
      <x:c r="D587" s="44"/>
      <x:c r="E587" s="44"/>
      <x:c r="F587" s="45"/>
      <x:c r="G587" s="44"/>
      <x:c r="H587" s="45"/>
      <x:c r="I587" s="45"/>
      <x:c r="J587" s="46"/>
      <x:c r="K587" s="46"/>
      <x:c r="L587" s="41"/>
      <x:c r="M587" s="41"/>
      <x:c r="N587" s="41"/>
      <x:c r="O587" s="41"/>
      <x:c r="P587" s="41"/>
      <x:c r="Q587" s="41"/>
      <x:c r="R587" s="41"/>
      <x:c r="S587" s="41"/>
      <x:c r="T587" s="41"/>
      <x:c r="U587" s="41"/>
      <x:c r="V587" s="41"/>
      <x:c r="W587" s="41"/>
      <x:c r="X587" s="41"/>
      <x:c r="Y587" s="41"/>
      <x:c r="Z587" s="41"/>
    </x:row>
    <x:row r="588">
      <x:c r="A588" s="44"/>
      <x:c r="B588" s="44"/>
      <x:c r="C588" s="44"/>
      <x:c r="D588" s="44"/>
      <x:c r="E588" s="44"/>
      <x:c r="F588" s="45"/>
      <x:c r="G588" s="44"/>
      <x:c r="H588" s="45"/>
      <x:c r="I588" s="45"/>
      <x:c r="J588" s="46"/>
      <x:c r="K588" s="46"/>
      <x:c r="L588" s="41"/>
      <x:c r="M588" s="41"/>
      <x:c r="N588" s="41"/>
      <x:c r="O588" s="41"/>
      <x:c r="P588" s="41"/>
      <x:c r="Q588" s="41"/>
      <x:c r="R588" s="41"/>
      <x:c r="S588" s="41"/>
      <x:c r="T588" s="41"/>
      <x:c r="U588" s="41"/>
      <x:c r="V588" s="41"/>
      <x:c r="W588" s="41"/>
      <x:c r="X588" s="41"/>
      <x:c r="Y588" s="41"/>
      <x:c r="Z588" s="41"/>
    </x:row>
    <x:row r="589">
      <x:c r="A589" s="44"/>
      <x:c r="B589" s="44"/>
      <x:c r="C589" s="44"/>
      <x:c r="D589" s="44"/>
      <x:c r="E589" s="44"/>
      <x:c r="F589" s="45"/>
      <x:c r="G589" s="44"/>
      <x:c r="H589" s="45"/>
      <x:c r="I589" s="45"/>
      <x:c r="J589" s="46"/>
      <x:c r="K589" s="46"/>
      <x:c r="L589" s="41"/>
      <x:c r="M589" s="41"/>
      <x:c r="N589" s="41"/>
      <x:c r="O589" s="41"/>
      <x:c r="P589" s="41"/>
      <x:c r="Q589" s="41"/>
      <x:c r="R589" s="41"/>
      <x:c r="S589" s="41"/>
      <x:c r="T589" s="41"/>
      <x:c r="U589" s="41"/>
      <x:c r="V589" s="41"/>
      <x:c r="W589" s="41"/>
      <x:c r="X589" s="41"/>
      <x:c r="Y589" s="41"/>
      <x:c r="Z589" s="41"/>
    </x:row>
    <x:row r="590">
      <x:c r="A590" s="44"/>
      <x:c r="B590" s="44"/>
      <x:c r="C590" s="44"/>
      <x:c r="D590" s="44"/>
      <x:c r="E590" s="44"/>
      <x:c r="F590" s="45"/>
      <x:c r="G590" s="44"/>
      <x:c r="H590" s="45"/>
      <x:c r="I590" s="45"/>
      <x:c r="J590" s="46"/>
      <x:c r="K590" s="46"/>
      <x:c r="L590" s="41"/>
      <x:c r="M590" s="41"/>
      <x:c r="N590" s="41"/>
      <x:c r="O590" s="41"/>
      <x:c r="P590" s="41"/>
      <x:c r="Q590" s="41"/>
      <x:c r="R590" s="41"/>
      <x:c r="S590" s="41"/>
      <x:c r="T590" s="41"/>
      <x:c r="U590" s="41"/>
      <x:c r="V590" s="41"/>
      <x:c r="W590" s="41"/>
      <x:c r="X590" s="41"/>
      <x:c r="Y590" s="41"/>
      <x:c r="Z590" s="41"/>
    </x:row>
    <x:row r="591">
      <x:c r="A591" s="44"/>
      <x:c r="B591" s="44"/>
      <x:c r="C591" s="44"/>
      <x:c r="D591" s="44"/>
      <x:c r="E591" s="44"/>
      <x:c r="F591" s="45"/>
      <x:c r="G591" s="44"/>
      <x:c r="H591" s="45"/>
      <x:c r="I591" s="45"/>
      <x:c r="J591" s="46"/>
      <x:c r="K591" s="46"/>
      <x:c r="L591" s="41"/>
      <x:c r="M591" s="41"/>
      <x:c r="N591" s="41"/>
      <x:c r="O591" s="41"/>
      <x:c r="P591" s="41"/>
      <x:c r="Q591" s="41"/>
      <x:c r="R591" s="41"/>
      <x:c r="S591" s="41"/>
      <x:c r="T591" s="41"/>
      <x:c r="U591" s="41"/>
      <x:c r="V591" s="41"/>
      <x:c r="W591" s="41"/>
      <x:c r="X591" s="41"/>
      <x:c r="Y591" s="41"/>
      <x:c r="Z591" s="41"/>
    </x:row>
    <x:row r="592">
      <x:c r="A592" s="44"/>
      <x:c r="B592" s="44"/>
      <x:c r="C592" s="44"/>
      <x:c r="D592" s="44"/>
      <x:c r="E592" s="44"/>
      <x:c r="F592" s="45"/>
      <x:c r="G592" s="44"/>
      <x:c r="H592" s="45"/>
      <x:c r="I592" s="45"/>
      <x:c r="J592" s="46"/>
      <x:c r="K592" s="46"/>
      <x:c r="L592" s="41"/>
      <x:c r="M592" s="41"/>
      <x:c r="N592" s="41"/>
      <x:c r="O592" s="41"/>
      <x:c r="P592" s="41"/>
      <x:c r="Q592" s="41"/>
      <x:c r="R592" s="41"/>
      <x:c r="S592" s="41"/>
      <x:c r="T592" s="41"/>
      <x:c r="U592" s="41"/>
      <x:c r="V592" s="41"/>
      <x:c r="W592" s="41"/>
      <x:c r="X592" s="41"/>
      <x:c r="Y592" s="41"/>
      <x:c r="Z592" s="41"/>
    </x:row>
    <x:row r="593">
      <x:c r="A593" s="44"/>
      <x:c r="B593" s="44"/>
      <x:c r="C593" s="44"/>
      <x:c r="D593" s="44"/>
      <x:c r="E593" s="44"/>
      <x:c r="F593" s="45"/>
      <x:c r="G593" s="44"/>
      <x:c r="H593" s="45"/>
      <x:c r="I593" s="45"/>
      <x:c r="J593" s="46"/>
      <x:c r="K593" s="46"/>
      <x:c r="L593" s="41"/>
      <x:c r="M593" s="41"/>
      <x:c r="N593" s="41"/>
      <x:c r="O593" s="41"/>
      <x:c r="P593" s="41"/>
      <x:c r="Q593" s="41"/>
      <x:c r="R593" s="41"/>
      <x:c r="S593" s="41"/>
      <x:c r="T593" s="41"/>
      <x:c r="U593" s="41"/>
      <x:c r="V593" s="41"/>
      <x:c r="W593" s="41"/>
      <x:c r="X593" s="41"/>
      <x:c r="Y593" s="41"/>
      <x:c r="Z593" s="41"/>
    </x:row>
    <x:row r="594">
      <x:c r="A594" s="44"/>
      <x:c r="B594" s="44"/>
      <x:c r="C594" s="44"/>
      <x:c r="D594" s="44"/>
      <x:c r="E594" s="44"/>
      <x:c r="F594" s="45"/>
      <x:c r="G594" s="44"/>
      <x:c r="H594" s="45"/>
      <x:c r="I594" s="45"/>
      <x:c r="J594" s="46"/>
      <x:c r="K594" s="46"/>
      <x:c r="L594" s="41"/>
      <x:c r="M594" s="41"/>
      <x:c r="N594" s="41"/>
      <x:c r="O594" s="41"/>
      <x:c r="P594" s="41"/>
      <x:c r="Q594" s="41"/>
      <x:c r="R594" s="41"/>
      <x:c r="S594" s="41"/>
      <x:c r="T594" s="41"/>
      <x:c r="U594" s="41"/>
      <x:c r="V594" s="41"/>
      <x:c r="W594" s="41"/>
      <x:c r="X594" s="41"/>
      <x:c r="Y594" s="41"/>
      <x:c r="Z594" s="41"/>
    </x:row>
    <x:row r="595">
      <x:c r="A595" s="44"/>
      <x:c r="B595" s="44"/>
      <x:c r="C595" s="44"/>
      <x:c r="D595" s="44"/>
      <x:c r="E595" s="44"/>
      <x:c r="F595" s="45"/>
      <x:c r="G595" s="44"/>
      <x:c r="H595" s="45"/>
      <x:c r="I595" s="45"/>
      <x:c r="J595" s="46"/>
      <x:c r="K595" s="46"/>
      <x:c r="L595" s="41"/>
      <x:c r="M595" s="41"/>
      <x:c r="N595" s="41"/>
      <x:c r="O595" s="41"/>
      <x:c r="P595" s="41"/>
      <x:c r="Q595" s="41"/>
      <x:c r="R595" s="41"/>
      <x:c r="S595" s="41"/>
      <x:c r="T595" s="41"/>
      <x:c r="U595" s="41"/>
      <x:c r="V595" s="41"/>
      <x:c r="W595" s="41"/>
      <x:c r="X595" s="41"/>
      <x:c r="Y595" s="41"/>
      <x:c r="Z595" s="41"/>
    </x:row>
    <x:row r="596">
      <x:c r="A596" s="44"/>
      <x:c r="B596" s="44"/>
      <x:c r="C596" s="44"/>
      <x:c r="D596" s="44"/>
      <x:c r="E596" s="44"/>
      <x:c r="F596" s="45"/>
      <x:c r="G596" s="44"/>
      <x:c r="H596" s="45"/>
      <x:c r="I596" s="45"/>
      <x:c r="J596" s="46"/>
      <x:c r="K596" s="46"/>
      <x:c r="L596" s="41"/>
      <x:c r="M596" s="41"/>
      <x:c r="N596" s="41"/>
      <x:c r="O596" s="41"/>
      <x:c r="P596" s="41"/>
      <x:c r="Q596" s="41"/>
      <x:c r="R596" s="41"/>
      <x:c r="S596" s="41"/>
      <x:c r="T596" s="41"/>
      <x:c r="U596" s="41"/>
      <x:c r="V596" s="41"/>
      <x:c r="W596" s="41"/>
      <x:c r="X596" s="41"/>
      <x:c r="Y596" s="41"/>
      <x:c r="Z596" s="41"/>
    </x:row>
    <x:row r="597">
      <x:c r="A597" s="44"/>
      <x:c r="B597" s="44"/>
      <x:c r="C597" s="44"/>
      <x:c r="D597" s="44"/>
      <x:c r="E597" s="44"/>
      <x:c r="F597" s="45"/>
      <x:c r="G597" s="44"/>
      <x:c r="H597" s="45"/>
      <x:c r="I597" s="45"/>
      <x:c r="J597" s="46"/>
      <x:c r="K597" s="46"/>
      <x:c r="L597" s="41"/>
      <x:c r="M597" s="41"/>
      <x:c r="N597" s="41"/>
      <x:c r="O597" s="41"/>
      <x:c r="P597" s="41"/>
      <x:c r="Q597" s="41"/>
      <x:c r="R597" s="41"/>
      <x:c r="S597" s="41"/>
      <x:c r="T597" s="41"/>
      <x:c r="U597" s="41"/>
      <x:c r="V597" s="41"/>
      <x:c r="W597" s="41"/>
      <x:c r="X597" s="41"/>
      <x:c r="Y597" s="41"/>
      <x:c r="Z597" s="41"/>
    </x:row>
    <x:row r="598">
      <x:c r="A598" s="44"/>
      <x:c r="B598" s="44"/>
      <x:c r="C598" s="44"/>
      <x:c r="D598" s="44"/>
      <x:c r="E598" s="44"/>
      <x:c r="F598" s="45"/>
      <x:c r="G598" s="44"/>
      <x:c r="H598" s="45"/>
      <x:c r="I598" s="45"/>
      <x:c r="J598" s="46"/>
      <x:c r="K598" s="46"/>
      <x:c r="L598" s="41"/>
      <x:c r="M598" s="41"/>
      <x:c r="N598" s="41"/>
      <x:c r="O598" s="41"/>
      <x:c r="P598" s="41"/>
      <x:c r="Q598" s="41"/>
      <x:c r="R598" s="41"/>
      <x:c r="S598" s="41"/>
      <x:c r="T598" s="41"/>
      <x:c r="U598" s="41"/>
      <x:c r="V598" s="41"/>
      <x:c r="W598" s="41"/>
      <x:c r="X598" s="41"/>
      <x:c r="Y598" s="41"/>
      <x:c r="Z598" s="41"/>
    </x:row>
    <x:row r="599">
      <x:c r="A599" s="44"/>
      <x:c r="B599" s="44"/>
      <x:c r="C599" s="44"/>
      <x:c r="D599" s="44"/>
      <x:c r="E599" s="44"/>
      <x:c r="F599" s="45"/>
      <x:c r="G599" s="44"/>
      <x:c r="H599" s="45"/>
      <x:c r="I599" s="45"/>
      <x:c r="J599" s="46"/>
      <x:c r="K599" s="46"/>
      <x:c r="L599" s="41"/>
      <x:c r="M599" s="41"/>
      <x:c r="N599" s="41"/>
      <x:c r="O599" s="41"/>
      <x:c r="P599" s="41"/>
      <x:c r="Q599" s="41"/>
      <x:c r="R599" s="41"/>
      <x:c r="S599" s="41"/>
      <x:c r="T599" s="41"/>
      <x:c r="U599" s="41"/>
      <x:c r="V599" s="41"/>
      <x:c r="W599" s="41"/>
      <x:c r="X599" s="41"/>
      <x:c r="Y599" s="41"/>
      <x:c r="Z599" s="41"/>
    </x:row>
    <x:row r="600">
      <x:c r="A600" s="44"/>
      <x:c r="B600" s="44"/>
      <x:c r="C600" s="44"/>
      <x:c r="D600" s="44"/>
      <x:c r="E600" s="44"/>
      <x:c r="F600" s="45"/>
      <x:c r="G600" s="44"/>
      <x:c r="H600" s="45"/>
      <x:c r="I600" s="45"/>
      <x:c r="J600" s="46"/>
      <x:c r="K600" s="46"/>
      <x:c r="L600" s="41"/>
      <x:c r="M600" s="41"/>
      <x:c r="N600" s="41"/>
      <x:c r="O600" s="41"/>
      <x:c r="P600" s="41"/>
      <x:c r="Q600" s="41"/>
      <x:c r="R600" s="41"/>
      <x:c r="S600" s="41"/>
      <x:c r="T600" s="41"/>
      <x:c r="U600" s="41"/>
      <x:c r="V600" s="41"/>
      <x:c r="W600" s="41"/>
      <x:c r="X600" s="41"/>
      <x:c r="Y600" s="41"/>
      <x:c r="Z600" s="41"/>
    </x:row>
    <x:row r="601">
      <x:c r="A601" s="44"/>
      <x:c r="B601" s="44"/>
      <x:c r="C601" s="44"/>
      <x:c r="D601" s="44"/>
      <x:c r="E601" s="44"/>
      <x:c r="F601" s="45"/>
      <x:c r="G601" s="44"/>
      <x:c r="H601" s="45"/>
      <x:c r="I601" s="45"/>
      <x:c r="J601" s="46"/>
      <x:c r="K601" s="46"/>
      <x:c r="L601" s="41"/>
      <x:c r="M601" s="41"/>
      <x:c r="N601" s="41"/>
      <x:c r="O601" s="41"/>
      <x:c r="P601" s="41"/>
      <x:c r="Q601" s="41"/>
      <x:c r="R601" s="41"/>
      <x:c r="S601" s="41"/>
      <x:c r="T601" s="41"/>
      <x:c r="U601" s="41"/>
      <x:c r="V601" s="41"/>
      <x:c r="W601" s="41"/>
      <x:c r="X601" s="41"/>
      <x:c r="Y601" s="41"/>
      <x:c r="Z601" s="41"/>
    </x:row>
    <x:row r="602">
      <x:c r="A602" s="44"/>
      <x:c r="B602" s="44"/>
      <x:c r="C602" s="44"/>
      <x:c r="D602" s="44"/>
      <x:c r="E602" s="44"/>
      <x:c r="F602" s="45"/>
      <x:c r="G602" s="44"/>
      <x:c r="H602" s="45"/>
      <x:c r="I602" s="45"/>
      <x:c r="J602" s="46"/>
      <x:c r="K602" s="46"/>
      <x:c r="L602" s="41"/>
      <x:c r="M602" s="41"/>
      <x:c r="N602" s="41"/>
      <x:c r="O602" s="41"/>
      <x:c r="P602" s="41"/>
      <x:c r="Q602" s="41"/>
      <x:c r="R602" s="41"/>
      <x:c r="S602" s="41"/>
      <x:c r="T602" s="41"/>
      <x:c r="U602" s="41"/>
      <x:c r="V602" s="41"/>
      <x:c r="W602" s="41"/>
      <x:c r="X602" s="41"/>
      <x:c r="Y602" s="41"/>
      <x:c r="Z602" s="41"/>
    </x:row>
    <x:row r="603">
      <x:c r="A603" s="44"/>
      <x:c r="B603" s="44"/>
      <x:c r="C603" s="44"/>
      <x:c r="D603" s="44"/>
      <x:c r="E603" s="44"/>
      <x:c r="F603" s="45"/>
      <x:c r="G603" s="44"/>
      <x:c r="H603" s="45"/>
      <x:c r="I603" s="45"/>
      <x:c r="J603" s="46"/>
      <x:c r="K603" s="46"/>
      <x:c r="L603" s="41"/>
      <x:c r="M603" s="41"/>
      <x:c r="N603" s="41"/>
      <x:c r="O603" s="41"/>
      <x:c r="P603" s="41"/>
      <x:c r="Q603" s="41"/>
      <x:c r="R603" s="41"/>
      <x:c r="S603" s="41"/>
      <x:c r="T603" s="41"/>
      <x:c r="U603" s="41"/>
      <x:c r="V603" s="41"/>
      <x:c r="W603" s="41"/>
      <x:c r="X603" s="41"/>
      <x:c r="Y603" s="41"/>
      <x:c r="Z603" s="41"/>
    </x:row>
    <x:row r="604">
      <x:c r="A604" s="44"/>
      <x:c r="B604" s="44"/>
      <x:c r="C604" s="44"/>
      <x:c r="D604" s="44"/>
      <x:c r="E604" s="44"/>
      <x:c r="F604" s="45"/>
      <x:c r="G604" s="44"/>
      <x:c r="H604" s="45"/>
      <x:c r="I604" s="45"/>
      <x:c r="J604" s="46"/>
      <x:c r="K604" s="46"/>
      <x:c r="L604" s="41"/>
      <x:c r="M604" s="41"/>
      <x:c r="N604" s="41"/>
      <x:c r="O604" s="41"/>
      <x:c r="P604" s="41"/>
      <x:c r="Q604" s="41"/>
      <x:c r="R604" s="41"/>
      <x:c r="S604" s="41"/>
      <x:c r="T604" s="41"/>
      <x:c r="U604" s="41"/>
      <x:c r="V604" s="41"/>
      <x:c r="W604" s="41"/>
      <x:c r="X604" s="41"/>
      <x:c r="Y604" s="41"/>
      <x:c r="Z604" s="41"/>
    </x:row>
    <x:row r="605">
      <x:c r="A605" s="44"/>
      <x:c r="B605" s="44"/>
      <x:c r="C605" s="44"/>
      <x:c r="D605" s="44"/>
      <x:c r="E605" s="44"/>
      <x:c r="F605" s="45"/>
      <x:c r="G605" s="44"/>
      <x:c r="H605" s="45"/>
      <x:c r="I605" s="45"/>
      <x:c r="J605" s="46"/>
      <x:c r="K605" s="46"/>
      <x:c r="L605" s="41"/>
      <x:c r="M605" s="41"/>
      <x:c r="N605" s="41"/>
      <x:c r="O605" s="41"/>
      <x:c r="P605" s="41"/>
      <x:c r="Q605" s="41"/>
      <x:c r="R605" s="41"/>
      <x:c r="S605" s="41"/>
      <x:c r="T605" s="41"/>
      <x:c r="U605" s="41"/>
      <x:c r="V605" s="41"/>
      <x:c r="W605" s="41"/>
      <x:c r="X605" s="41"/>
      <x:c r="Y605" s="41"/>
      <x:c r="Z605" s="41"/>
    </x:row>
    <x:row r="606">
      <x:c r="A606" s="44"/>
      <x:c r="B606" s="44"/>
      <x:c r="C606" s="44"/>
      <x:c r="D606" s="44"/>
      <x:c r="E606" s="44"/>
      <x:c r="F606" s="45"/>
      <x:c r="G606" s="44"/>
      <x:c r="H606" s="45"/>
      <x:c r="I606" s="45"/>
      <x:c r="J606" s="46"/>
      <x:c r="K606" s="46"/>
      <x:c r="L606" s="41"/>
      <x:c r="M606" s="41"/>
      <x:c r="N606" s="41"/>
      <x:c r="O606" s="41"/>
      <x:c r="P606" s="41"/>
      <x:c r="Q606" s="41"/>
      <x:c r="R606" s="41"/>
      <x:c r="S606" s="41"/>
      <x:c r="T606" s="41"/>
      <x:c r="U606" s="41"/>
      <x:c r="V606" s="41"/>
      <x:c r="W606" s="41"/>
      <x:c r="X606" s="41"/>
      <x:c r="Y606" s="41"/>
      <x:c r="Z606" s="41"/>
    </x:row>
    <x:row r="607">
      <x:c r="A607" s="44"/>
      <x:c r="B607" s="44"/>
      <x:c r="C607" s="44"/>
      <x:c r="D607" s="44"/>
      <x:c r="E607" s="44"/>
      <x:c r="F607" s="45"/>
      <x:c r="G607" s="44"/>
      <x:c r="H607" s="45"/>
      <x:c r="I607" s="45"/>
      <x:c r="J607" s="46"/>
      <x:c r="K607" s="46"/>
      <x:c r="L607" s="41"/>
      <x:c r="M607" s="41"/>
      <x:c r="N607" s="41"/>
      <x:c r="O607" s="41"/>
      <x:c r="P607" s="41"/>
      <x:c r="Q607" s="41"/>
      <x:c r="R607" s="41"/>
      <x:c r="S607" s="41"/>
      <x:c r="T607" s="41"/>
      <x:c r="U607" s="41"/>
      <x:c r="V607" s="41"/>
      <x:c r="W607" s="41"/>
      <x:c r="X607" s="41"/>
      <x:c r="Y607" s="41"/>
      <x:c r="Z607" s="41"/>
    </x:row>
    <x:row r="608">
      <x:c r="A608" s="44"/>
      <x:c r="B608" s="44"/>
      <x:c r="C608" s="44"/>
      <x:c r="D608" s="44"/>
      <x:c r="E608" s="44"/>
      <x:c r="F608" s="45"/>
      <x:c r="G608" s="44"/>
      <x:c r="H608" s="45"/>
      <x:c r="I608" s="45"/>
      <x:c r="J608" s="46"/>
      <x:c r="K608" s="46"/>
      <x:c r="L608" s="41"/>
      <x:c r="M608" s="41"/>
      <x:c r="N608" s="41"/>
      <x:c r="O608" s="41"/>
      <x:c r="P608" s="41"/>
      <x:c r="Q608" s="41"/>
      <x:c r="R608" s="41"/>
      <x:c r="S608" s="41"/>
      <x:c r="T608" s="41"/>
      <x:c r="U608" s="41"/>
      <x:c r="V608" s="41"/>
      <x:c r="W608" s="41"/>
      <x:c r="X608" s="41"/>
      <x:c r="Y608" s="41"/>
      <x:c r="Z608" s="41"/>
    </x:row>
    <x:row r="609">
      <x:c r="A609" s="44"/>
      <x:c r="B609" s="44"/>
      <x:c r="C609" s="44"/>
      <x:c r="D609" s="44"/>
      <x:c r="E609" s="44"/>
      <x:c r="F609" s="45"/>
      <x:c r="G609" s="44"/>
      <x:c r="H609" s="45"/>
      <x:c r="I609" s="45"/>
      <x:c r="J609" s="46"/>
      <x:c r="K609" s="46"/>
      <x:c r="L609" s="41"/>
      <x:c r="M609" s="41"/>
      <x:c r="N609" s="41"/>
      <x:c r="O609" s="41"/>
      <x:c r="P609" s="41"/>
      <x:c r="Q609" s="41"/>
      <x:c r="R609" s="41"/>
      <x:c r="S609" s="41"/>
      <x:c r="T609" s="41"/>
      <x:c r="U609" s="41"/>
      <x:c r="V609" s="41"/>
      <x:c r="W609" s="41"/>
      <x:c r="X609" s="41"/>
      <x:c r="Y609" s="41"/>
      <x:c r="Z609" s="41"/>
    </x:row>
    <x:row r="610">
      <x:c r="A610" s="44"/>
      <x:c r="B610" s="44"/>
      <x:c r="C610" s="44"/>
      <x:c r="D610" s="44"/>
      <x:c r="E610" s="44"/>
      <x:c r="F610" s="45"/>
      <x:c r="G610" s="44"/>
      <x:c r="H610" s="45"/>
      <x:c r="I610" s="45"/>
      <x:c r="J610" s="46"/>
      <x:c r="K610" s="46"/>
      <x:c r="L610" s="41"/>
      <x:c r="M610" s="41"/>
      <x:c r="N610" s="41"/>
      <x:c r="O610" s="41"/>
      <x:c r="P610" s="41"/>
      <x:c r="Q610" s="41"/>
      <x:c r="R610" s="41"/>
      <x:c r="S610" s="41"/>
      <x:c r="T610" s="41"/>
      <x:c r="U610" s="41"/>
      <x:c r="V610" s="41"/>
      <x:c r="W610" s="41"/>
      <x:c r="X610" s="41"/>
      <x:c r="Y610" s="41"/>
      <x:c r="Z610" s="41"/>
    </x:row>
    <x:row r="611">
      <x:c r="A611" s="44"/>
      <x:c r="B611" s="44"/>
      <x:c r="C611" s="44"/>
      <x:c r="D611" s="44"/>
      <x:c r="E611" s="44"/>
      <x:c r="F611" s="45"/>
      <x:c r="G611" s="44"/>
      <x:c r="H611" s="45"/>
      <x:c r="I611" s="45"/>
      <x:c r="J611" s="46"/>
      <x:c r="K611" s="46"/>
      <x:c r="L611" s="41"/>
      <x:c r="M611" s="41"/>
      <x:c r="N611" s="41"/>
      <x:c r="O611" s="41"/>
      <x:c r="P611" s="41"/>
      <x:c r="Q611" s="41"/>
      <x:c r="R611" s="41"/>
      <x:c r="S611" s="41"/>
      <x:c r="T611" s="41"/>
      <x:c r="U611" s="41"/>
      <x:c r="V611" s="41"/>
      <x:c r="W611" s="41"/>
      <x:c r="X611" s="41"/>
      <x:c r="Y611" s="41"/>
      <x:c r="Z611" s="41"/>
    </x:row>
    <x:row r="612">
      <x:c r="A612" s="44"/>
      <x:c r="B612" s="44"/>
      <x:c r="C612" s="44"/>
      <x:c r="D612" s="44"/>
      <x:c r="E612" s="44"/>
      <x:c r="F612" s="45"/>
      <x:c r="G612" s="44"/>
      <x:c r="H612" s="45"/>
      <x:c r="I612" s="45"/>
      <x:c r="J612" s="46"/>
      <x:c r="K612" s="46"/>
      <x:c r="L612" s="41"/>
      <x:c r="M612" s="41"/>
      <x:c r="N612" s="41"/>
      <x:c r="O612" s="41"/>
      <x:c r="P612" s="41"/>
      <x:c r="Q612" s="41"/>
      <x:c r="R612" s="41"/>
      <x:c r="S612" s="41"/>
      <x:c r="T612" s="41"/>
      <x:c r="U612" s="41"/>
      <x:c r="V612" s="41"/>
      <x:c r="W612" s="41"/>
      <x:c r="X612" s="41"/>
      <x:c r="Y612" s="41"/>
      <x:c r="Z612" s="41"/>
    </x:row>
    <x:row r="613">
      <x:c r="A613" s="44"/>
      <x:c r="B613" s="44"/>
      <x:c r="C613" s="44"/>
      <x:c r="D613" s="44"/>
      <x:c r="E613" s="44"/>
      <x:c r="F613" s="45"/>
      <x:c r="G613" s="44"/>
      <x:c r="H613" s="45"/>
      <x:c r="I613" s="45"/>
      <x:c r="J613" s="46"/>
      <x:c r="K613" s="46"/>
      <x:c r="L613" s="41"/>
      <x:c r="M613" s="41"/>
      <x:c r="N613" s="41"/>
      <x:c r="O613" s="41"/>
      <x:c r="P613" s="41"/>
      <x:c r="Q613" s="41"/>
      <x:c r="R613" s="41"/>
      <x:c r="S613" s="41"/>
      <x:c r="T613" s="41"/>
      <x:c r="U613" s="41"/>
      <x:c r="V613" s="41"/>
      <x:c r="W613" s="41"/>
      <x:c r="X613" s="41"/>
      <x:c r="Y613" s="41"/>
      <x:c r="Z613" s="41"/>
    </x:row>
    <x:row r="614">
      <x:c r="A614" s="44"/>
      <x:c r="B614" s="44"/>
      <x:c r="C614" s="44"/>
      <x:c r="D614" s="44"/>
      <x:c r="E614" s="44"/>
      <x:c r="F614" s="45"/>
      <x:c r="G614" s="44"/>
      <x:c r="H614" s="45"/>
      <x:c r="I614" s="45"/>
      <x:c r="J614" s="46"/>
      <x:c r="K614" s="46"/>
      <x:c r="L614" s="41"/>
      <x:c r="M614" s="41"/>
      <x:c r="N614" s="41"/>
      <x:c r="O614" s="41"/>
      <x:c r="P614" s="41"/>
      <x:c r="Q614" s="41"/>
      <x:c r="R614" s="41"/>
      <x:c r="S614" s="41"/>
      <x:c r="T614" s="41"/>
      <x:c r="U614" s="41"/>
      <x:c r="V614" s="41"/>
      <x:c r="W614" s="41"/>
      <x:c r="X614" s="41"/>
      <x:c r="Y614" s="41"/>
      <x:c r="Z614" s="41"/>
    </x:row>
    <x:row r="615">
      <x:c r="A615" s="44"/>
      <x:c r="B615" s="44"/>
      <x:c r="C615" s="44"/>
      <x:c r="D615" s="44"/>
      <x:c r="E615" s="44"/>
      <x:c r="F615" s="45"/>
      <x:c r="G615" s="44"/>
      <x:c r="H615" s="45"/>
      <x:c r="I615" s="45"/>
      <x:c r="J615" s="46"/>
      <x:c r="K615" s="46"/>
      <x:c r="L615" s="41"/>
      <x:c r="M615" s="41"/>
      <x:c r="N615" s="41"/>
      <x:c r="O615" s="41"/>
      <x:c r="P615" s="41"/>
      <x:c r="Q615" s="41"/>
      <x:c r="R615" s="41"/>
      <x:c r="S615" s="41"/>
      <x:c r="T615" s="41"/>
      <x:c r="U615" s="41"/>
      <x:c r="V615" s="41"/>
      <x:c r="W615" s="41"/>
      <x:c r="X615" s="41"/>
      <x:c r="Y615" s="41"/>
      <x:c r="Z615" s="41"/>
    </x:row>
    <x:row r="616">
      <x:c r="A616" s="44"/>
      <x:c r="B616" s="44"/>
      <x:c r="C616" s="44"/>
      <x:c r="D616" s="44"/>
      <x:c r="E616" s="44"/>
      <x:c r="F616" s="45"/>
      <x:c r="G616" s="44"/>
      <x:c r="H616" s="45"/>
      <x:c r="I616" s="45"/>
      <x:c r="J616" s="46"/>
      <x:c r="K616" s="46"/>
      <x:c r="L616" s="41"/>
      <x:c r="M616" s="41"/>
      <x:c r="N616" s="41"/>
      <x:c r="O616" s="41"/>
      <x:c r="P616" s="41"/>
      <x:c r="Q616" s="41"/>
      <x:c r="R616" s="41"/>
      <x:c r="S616" s="41"/>
      <x:c r="T616" s="41"/>
      <x:c r="U616" s="41"/>
      <x:c r="V616" s="41"/>
      <x:c r="W616" s="41"/>
      <x:c r="X616" s="41"/>
      <x:c r="Y616" s="41"/>
      <x:c r="Z616" s="41"/>
    </x:row>
    <x:row r="617">
      <x:c r="A617" s="44"/>
      <x:c r="B617" s="44"/>
      <x:c r="C617" s="44"/>
      <x:c r="D617" s="44"/>
      <x:c r="E617" s="44"/>
      <x:c r="F617" s="45"/>
      <x:c r="G617" s="44"/>
      <x:c r="H617" s="45"/>
      <x:c r="I617" s="45"/>
      <x:c r="J617" s="46"/>
      <x:c r="K617" s="46"/>
      <x:c r="L617" s="41"/>
      <x:c r="M617" s="41"/>
      <x:c r="N617" s="41"/>
      <x:c r="O617" s="41"/>
      <x:c r="P617" s="41"/>
      <x:c r="Q617" s="41"/>
      <x:c r="R617" s="41"/>
      <x:c r="S617" s="41"/>
      <x:c r="T617" s="41"/>
      <x:c r="U617" s="41"/>
      <x:c r="V617" s="41"/>
      <x:c r="W617" s="41"/>
      <x:c r="X617" s="41"/>
      <x:c r="Y617" s="41"/>
      <x:c r="Z617" s="41"/>
    </x:row>
    <x:row r="618">
      <x:c r="A618" s="44"/>
      <x:c r="B618" s="44"/>
      <x:c r="C618" s="44"/>
      <x:c r="D618" s="44"/>
      <x:c r="E618" s="44"/>
      <x:c r="F618" s="45"/>
      <x:c r="G618" s="44"/>
      <x:c r="H618" s="45"/>
      <x:c r="I618" s="45"/>
      <x:c r="J618" s="46"/>
      <x:c r="K618" s="46"/>
      <x:c r="L618" s="41"/>
      <x:c r="M618" s="41"/>
      <x:c r="N618" s="41"/>
      <x:c r="O618" s="41"/>
      <x:c r="P618" s="41"/>
      <x:c r="Q618" s="41"/>
      <x:c r="R618" s="41"/>
      <x:c r="S618" s="41"/>
      <x:c r="T618" s="41"/>
      <x:c r="U618" s="41"/>
      <x:c r="V618" s="41"/>
      <x:c r="W618" s="41"/>
      <x:c r="X618" s="41"/>
      <x:c r="Y618" s="41"/>
      <x:c r="Z618" s="41"/>
    </x:row>
    <x:row r="619">
      <x:c r="A619" s="44"/>
      <x:c r="B619" s="44"/>
      <x:c r="C619" s="44"/>
      <x:c r="D619" s="44"/>
      <x:c r="E619" s="44"/>
      <x:c r="F619" s="45"/>
      <x:c r="G619" s="44"/>
      <x:c r="H619" s="45"/>
      <x:c r="I619" s="45"/>
      <x:c r="J619" s="46"/>
      <x:c r="K619" s="46"/>
      <x:c r="L619" s="41"/>
      <x:c r="M619" s="41"/>
      <x:c r="N619" s="41"/>
      <x:c r="O619" s="41"/>
      <x:c r="P619" s="41"/>
      <x:c r="Q619" s="41"/>
      <x:c r="R619" s="41"/>
      <x:c r="S619" s="41"/>
      <x:c r="T619" s="41"/>
      <x:c r="U619" s="41"/>
      <x:c r="V619" s="41"/>
      <x:c r="W619" s="41"/>
      <x:c r="X619" s="41"/>
      <x:c r="Y619" s="41"/>
      <x:c r="Z619" s="41"/>
    </x:row>
    <x:row r="620">
      <x:c r="A620" s="44"/>
      <x:c r="B620" s="44"/>
      <x:c r="C620" s="44"/>
      <x:c r="D620" s="44"/>
      <x:c r="E620" s="44"/>
      <x:c r="F620" s="45"/>
      <x:c r="G620" s="44"/>
      <x:c r="H620" s="45"/>
      <x:c r="I620" s="45"/>
      <x:c r="J620" s="46"/>
      <x:c r="K620" s="46"/>
      <x:c r="L620" s="41"/>
      <x:c r="M620" s="41"/>
      <x:c r="N620" s="41"/>
      <x:c r="O620" s="41"/>
      <x:c r="P620" s="41"/>
      <x:c r="Q620" s="41"/>
      <x:c r="R620" s="41"/>
      <x:c r="S620" s="41"/>
      <x:c r="T620" s="41"/>
      <x:c r="U620" s="41"/>
      <x:c r="V620" s="41"/>
      <x:c r="W620" s="41"/>
      <x:c r="X620" s="41"/>
      <x:c r="Y620" s="41"/>
      <x:c r="Z620" s="41"/>
    </x:row>
    <x:row r="621">
      <x:c r="A621" s="44"/>
      <x:c r="B621" s="44"/>
      <x:c r="C621" s="44"/>
      <x:c r="D621" s="44"/>
      <x:c r="E621" s="44"/>
      <x:c r="F621" s="45"/>
      <x:c r="G621" s="44"/>
      <x:c r="H621" s="45"/>
      <x:c r="I621" s="45"/>
      <x:c r="J621" s="46"/>
      <x:c r="K621" s="46"/>
      <x:c r="L621" s="41"/>
      <x:c r="M621" s="41"/>
      <x:c r="N621" s="41"/>
      <x:c r="O621" s="41"/>
      <x:c r="P621" s="41"/>
      <x:c r="Q621" s="41"/>
      <x:c r="R621" s="41"/>
      <x:c r="S621" s="41"/>
      <x:c r="T621" s="41"/>
      <x:c r="U621" s="41"/>
      <x:c r="V621" s="41"/>
      <x:c r="W621" s="41"/>
      <x:c r="X621" s="41"/>
      <x:c r="Y621" s="41"/>
      <x:c r="Z621" s="41"/>
    </x:row>
    <x:row r="622">
      <x:c r="A622" s="44"/>
      <x:c r="B622" s="44"/>
      <x:c r="C622" s="44"/>
      <x:c r="D622" s="44"/>
      <x:c r="E622" s="44"/>
      <x:c r="F622" s="45"/>
      <x:c r="G622" s="44"/>
      <x:c r="H622" s="45"/>
      <x:c r="I622" s="45"/>
      <x:c r="J622" s="46"/>
      <x:c r="K622" s="46"/>
      <x:c r="L622" s="41"/>
      <x:c r="M622" s="41"/>
      <x:c r="N622" s="41"/>
      <x:c r="O622" s="41"/>
      <x:c r="P622" s="41"/>
      <x:c r="Q622" s="41"/>
      <x:c r="R622" s="41"/>
      <x:c r="S622" s="41"/>
      <x:c r="T622" s="41"/>
      <x:c r="U622" s="41"/>
      <x:c r="V622" s="41"/>
      <x:c r="W622" s="41"/>
      <x:c r="X622" s="41"/>
      <x:c r="Y622" s="41"/>
      <x:c r="Z622" s="41"/>
    </x:row>
    <x:row r="623">
      <x:c r="A623" s="44"/>
      <x:c r="B623" s="44"/>
      <x:c r="C623" s="44"/>
      <x:c r="D623" s="44"/>
      <x:c r="E623" s="44"/>
      <x:c r="F623" s="45"/>
      <x:c r="G623" s="44"/>
      <x:c r="H623" s="45"/>
      <x:c r="I623" s="45"/>
      <x:c r="J623" s="46"/>
      <x:c r="K623" s="46"/>
      <x:c r="L623" s="41"/>
      <x:c r="M623" s="41"/>
      <x:c r="N623" s="41"/>
      <x:c r="O623" s="41"/>
      <x:c r="P623" s="41"/>
      <x:c r="Q623" s="41"/>
      <x:c r="R623" s="41"/>
      <x:c r="S623" s="41"/>
      <x:c r="T623" s="41"/>
      <x:c r="U623" s="41"/>
      <x:c r="V623" s="41"/>
      <x:c r="W623" s="41"/>
      <x:c r="X623" s="41"/>
      <x:c r="Y623" s="41"/>
      <x:c r="Z623" s="41"/>
    </x:row>
    <x:row r="624">
      <x:c r="A624" s="44"/>
      <x:c r="B624" s="44"/>
      <x:c r="C624" s="44"/>
      <x:c r="D624" s="44"/>
      <x:c r="E624" s="44"/>
      <x:c r="F624" s="45"/>
      <x:c r="G624" s="44"/>
      <x:c r="H624" s="45"/>
      <x:c r="I624" s="45"/>
      <x:c r="J624" s="46"/>
      <x:c r="K624" s="46"/>
      <x:c r="L624" s="41"/>
      <x:c r="M624" s="41"/>
      <x:c r="N624" s="41"/>
      <x:c r="O624" s="41"/>
      <x:c r="P624" s="41"/>
      <x:c r="Q624" s="41"/>
      <x:c r="R624" s="41"/>
      <x:c r="S624" s="41"/>
      <x:c r="T624" s="41"/>
      <x:c r="U624" s="41"/>
      <x:c r="V624" s="41"/>
      <x:c r="W624" s="41"/>
      <x:c r="X624" s="41"/>
      <x:c r="Y624" s="41"/>
      <x:c r="Z624" s="41"/>
    </x:row>
    <x:row r="625">
      <x:c r="A625" s="44"/>
      <x:c r="B625" s="44"/>
      <x:c r="C625" s="44"/>
      <x:c r="D625" s="44"/>
      <x:c r="E625" s="44"/>
      <x:c r="F625" s="45"/>
      <x:c r="G625" s="44"/>
      <x:c r="H625" s="45"/>
      <x:c r="I625" s="45"/>
      <x:c r="J625" s="46"/>
      <x:c r="K625" s="46"/>
      <x:c r="L625" s="41"/>
      <x:c r="M625" s="41"/>
      <x:c r="N625" s="41"/>
      <x:c r="O625" s="41"/>
      <x:c r="P625" s="41"/>
      <x:c r="Q625" s="41"/>
      <x:c r="R625" s="41"/>
      <x:c r="S625" s="41"/>
      <x:c r="T625" s="41"/>
      <x:c r="U625" s="41"/>
      <x:c r="V625" s="41"/>
      <x:c r="W625" s="41"/>
      <x:c r="X625" s="41"/>
      <x:c r="Y625" s="41"/>
      <x:c r="Z625" s="41"/>
    </x:row>
    <x:row r="626">
      <x:c r="A626" s="44"/>
      <x:c r="B626" s="44"/>
      <x:c r="C626" s="44"/>
      <x:c r="D626" s="44"/>
      <x:c r="E626" s="44"/>
      <x:c r="F626" s="45"/>
      <x:c r="G626" s="44"/>
      <x:c r="H626" s="45"/>
      <x:c r="I626" s="45"/>
      <x:c r="J626" s="46"/>
      <x:c r="K626" s="46"/>
      <x:c r="L626" s="41"/>
      <x:c r="M626" s="41"/>
      <x:c r="N626" s="41"/>
      <x:c r="O626" s="41"/>
      <x:c r="P626" s="41"/>
      <x:c r="Q626" s="41"/>
      <x:c r="R626" s="41"/>
      <x:c r="S626" s="41"/>
      <x:c r="T626" s="41"/>
      <x:c r="U626" s="41"/>
      <x:c r="V626" s="41"/>
      <x:c r="W626" s="41"/>
      <x:c r="X626" s="41"/>
      <x:c r="Y626" s="41"/>
      <x:c r="Z626" s="41"/>
    </x:row>
    <x:row r="627">
      <x:c r="A627" s="44"/>
      <x:c r="B627" s="44"/>
      <x:c r="C627" s="44"/>
      <x:c r="D627" s="44"/>
      <x:c r="E627" s="44"/>
      <x:c r="F627" s="45"/>
      <x:c r="G627" s="44"/>
      <x:c r="H627" s="45"/>
      <x:c r="I627" s="45"/>
      <x:c r="J627" s="46"/>
      <x:c r="K627" s="46"/>
      <x:c r="L627" s="41"/>
      <x:c r="M627" s="41"/>
      <x:c r="N627" s="41"/>
      <x:c r="O627" s="41"/>
      <x:c r="P627" s="41"/>
      <x:c r="Q627" s="41"/>
      <x:c r="R627" s="41"/>
      <x:c r="S627" s="41"/>
      <x:c r="T627" s="41"/>
      <x:c r="U627" s="41"/>
      <x:c r="V627" s="41"/>
      <x:c r="W627" s="41"/>
      <x:c r="X627" s="41"/>
      <x:c r="Y627" s="41"/>
      <x:c r="Z627" s="41"/>
    </x:row>
    <x:row r="628">
      <x:c r="A628" s="44"/>
      <x:c r="B628" s="44"/>
      <x:c r="C628" s="44"/>
      <x:c r="D628" s="44"/>
      <x:c r="E628" s="44"/>
      <x:c r="F628" s="45"/>
      <x:c r="G628" s="44"/>
      <x:c r="H628" s="45"/>
      <x:c r="I628" s="45"/>
      <x:c r="J628" s="46"/>
      <x:c r="K628" s="46"/>
      <x:c r="L628" s="41"/>
      <x:c r="M628" s="41"/>
      <x:c r="N628" s="41"/>
      <x:c r="O628" s="41"/>
      <x:c r="P628" s="41"/>
      <x:c r="Q628" s="41"/>
      <x:c r="R628" s="41"/>
      <x:c r="S628" s="41"/>
      <x:c r="T628" s="41"/>
      <x:c r="U628" s="41"/>
      <x:c r="V628" s="41"/>
      <x:c r="W628" s="41"/>
      <x:c r="X628" s="41"/>
      <x:c r="Y628" s="41"/>
      <x:c r="Z628" s="41"/>
    </x:row>
    <x:row r="629">
      <x:c r="A629" s="44"/>
      <x:c r="B629" s="44"/>
      <x:c r="C629" s="44"/>
      <x:c r="D629" s="44"/>
      <x:c r="E629" s="44"/>
      <x:c r="F629" s="45"/>
      <x:c r="G629" s="44"/>
      <x:c r="H629" s="45"/>
      <x:c r="I629" s="45"/>
      <x:c r="J629" s="46"/>
      <x:c r="K629" s="46"/>
      <x:c r="L629" s="41"/>
      <x:c r="M629" s="41"/>
      <x:c r="N629" s="41"/>
      <x:c r="O629" s="41"/>
      <x:c r="P629" s="41"/>
      <x:c r="Q629" s="41"/>
      <x:c r="R629" s="41"/>
      <x:c r="S629" s="41"/>
      <x:c r="T629" s="41"/>
      <x:c r="U629" s="41"/>
      <x:c r="V629" s="41"/>
      <x:c r="W629" s="41"/>
      <x:c r="X629" s="41"/>
      <x:c r="Y629" s="41"/>
      <x:c r="Z629" s="41"/>
    </x:row>
    <x:row r="630">
      <x:c r="A630" s="44"/>
      <x:c r="B630" s="44"/>
      <x:c r="C630" s="44"/>
      <x:c r="D630" s="44"/>
      <x:c r="E630" s="44"/>
      <x:c r="F630" s="45"/>
      <x:c r="G630" s="44"/>
      <x:c r="H630" s="45"/>
      <x:c r="I630" s="45"/>
      <x:c r="J630" s="46"/>
      <x:c r="K630" s="46"/>
      <x:c r="L630" s="41"/>
      <x:c r="M630" s="41"/>
      <x:c r="N630" s="41"/>
      <x:c r="O630" s="41"/>
      <x:c r="P630" s="41"/>
      <x:c r="Q630" s="41"/>
      <x:c r="R630" s="41"/>
      <x:c r="S630" s="41"/>
      <x:c r="T630" s="41"/>
      <x:c r="U630" s="41"/>
      <x:c r="V630" s="41"/>
      <x:c r="W630" s="41"/>
      <x:c r="X630" s="41"/>
      <x:c r="Y630" s="41"/>
      <x:c r="Z630" s="41"/>
    </x:row>
    <x:row r="631">
      <x:c r="A631" s="44"/>
      <x:c r="B631" s="44"/>
      <x:c r="C631" s="44"/>
      <x:c r="D631" s="44"/>
      <x:c r="E631" s="44"/>
      <x:c r="F631" s="45"/>
      <x:c r="G631" s="44"/>
      <x:c r="H631" s="45"/>
      <x:c r="I631" s="45"/>
      <x:c r="J631" s="46"/>
      <x:c r="K631" s="46"/>
      <x:c r="L631" s="41"/>
      <x:c r="M631" s="41"/>
      <x:c r="N631" s="41"/>
      <x:c r="O631" s="41"/>
      <x:c r="P631" s="41"/>
      <x:c r="Q631" s="41"/>
      <x:c r="R631" s="41"/>
      <x:c r="S631" s="41"/>
      <x:c r="T631" s="41"/>
      <x:c r="U631" s="41"/>
      <x:c r="V631" s="41"/>
      <x:c r="W631" s="41"/>
      <x:c r="X631" s="41"/>
      <x:c r="Y631" s="41"/>
      <x:c r="Z631" s="41"/>
    </x:row>
    <x:row r="632">
      <x:c r="A632" s="44"/>
      <x:c r="B632" s="44"/>
      <x:c r="C632" s="44"/>
      <x:c r="D632" s="44"/>
      <x:c r="E632" s="44"/>
      <x:c r="F632" s="45"/>
      <x:c r="G632" s="44"/>
      <x:c r="H632" s="45"/>
      <x:c r="I632" s="45"/>
      <x:c r="J632" s="46"/>
      <x:c r="K632" s="46"/>
      <x:c r="L632" s="41"/>
      <x:c r="M632" s="41"/>
      <x:c r="N632" s="41"/>
      <x:c r="O632" s="41"/>
      <x:c r="P632" s="41"/>
      <x:c r="Q632" s="41"/>
      <x:c r="R632" s="41"/>
      <x:c r="S632" s="41"/>
      <x:c r="T632" s="41"/>
      <x:c r="U632" s="41"/>
      <x:c r="V632" s="41"/>
      <x:c r="W632" s="41"/>
      <x:c r="X632" s="41"/>
      <x:c r="Y632" s="41"/>
      <x:c r="Z632" s="41"/>
    </x:row>
    <x:row r="633">
      <x:c r="A633" s="44"/>
      <x:c r="B633" s="44"/>
      <x:c r="C633" s="44"/>
      <x:c r="D633" s="44"/>
      <x:c r="E633" s="44"/>
      <x:c r="F633" s="45"/>
      <x:c r="G633" s="44"/>
      <x:c r="H633" s="45"/>
      <x:c r="I633" s="45"/>
      <x:c r="J633" s="46"/>
      <x:c r="K633" s="46"/>
      <x:c r="L633" s="41"/>
      <x:c r="M633" s="41"/>
      <x:c r="N633" s="41"/>
      <x:c r="O633" s="41"/>
      <x:c r="P633" s="41"/>
      <x:c r="Q633" s="41"/>
      <x:c r="R633" s="41"/>
      <x:c r="S633" s="41"/>
      <x:c r="T633" s="41"/>
      <x:c r="U633" s="41"/>
      <x:c r="V633" s="41"/>
      <x:c r="W633" s="41"/>
      <x:c r="X633" s="41"/>
      <x:c r="Y633" s="41"/>
      <x:c r="Z633" s="41"/>
    </x:row>
    <x:row r="634">
      <x:c r="A634" s="44"/>
      <x:c r="B634" s="44"/>
      <x:c r="C634" s="44"/>
      <x:c r="D634" s="44"/>
      <x:c r="E634" s="44"/>
      <x:c r="F634" s="45"/>
      <x:c r="G634" s="44"/>
      <x:c r="H634" s="45"/>
      <x:c r="I634" s="45"/>
      <x:c r="J634" s="46"/>
      <x:c r="K634" s="46"/>
      <x:c r="L634" s="41"/>
      <x:c r="M634" s="41"/>
      <x:c r="N634" s="41"/>
      <x:c r="O634" s="41"/>
      <x:c r="P634" s="41"/>
      <x:c r="Q634" s="41"/>
      <x:c r="R634" s="41"/>
      <x:c r="S634" s="41"/>
      <x:c r="T634" s="41"/>
      <x:c r="U634" s="41"/>
      <x:c r="V634" s="41"/>
      <x:c r="W634" s="41"/>
      <x:c r="X634" s="41"/>
      <x:c r="Y634" s="41"/>
      <x:c r="Z634" s="41"/>
    </x:row>
    <x:row r="635">
      <x:c r="A635" s="44"/>
      <x:c r="B635" s="44"/>
      <x:c r="C635" s="44"/>
      <x:c r="D635" s="44"/>
      <x:c r="E635" s="44"/>
      <x:c r="F635" s="45"/>
      <x:c r="G635" s="44"/>
      <x:c r="H635" s="45"/>
      <x:c r="I635" s="45"/>
      <x:c r="J635" s="46"/>
      <x:c r="K635" s="46"/>
      <x:c r="L635" s="41"/>
      <x:c r="M635" s="41"/>
      <x:c r="N635" s="41"/>
      <x:c r="O635" s="41"/>
      <x:c r="P635" s="41"/>
      <x:c r="Q635" s="41"/>
      <x:c r="R635" s="41"/>
      <x:c r="S635" s="41"/>
      <x:c r="T635" s="41"/>
      <x:c r="U635" s="41"/>
      <x:c r="V635" s="41"/>
      <x:c r="W635" s="41"/>
      <x:c r="X635" s="41"/>
      <x:c r="Y635" s="41"/>
      <x:c r="Z635" s="41"/>
    </x:row>
    <x:row r="636">
      <x:c r="A636" s="44"/>
      <x:c r="B636" s="44"/>
      <x:c r="C636" s="44"/>
      <x:c r="D636" s="44"/>
      <x:c r="E636" s="44"/>
      <x:c r="F636" s="45"/>
      <x:c r="G636" s="44"/>
      <x:c r="H636" s="45"/>
      <x:c r="I636" s="45"/>
      <x:c r="J636" s="46"/>
      <x:c r="K636" s="46"/>
      <x:c r="L636" s="41"/>
      <x:c r="M636" s="41"/>
      <x:c r="N636" s="41"/>
      <x:c r="O636" s="41"/>
      <x:c r="P636" s="41"/>
      <x:c r="Q636" s="41"/>
      <x:c r="R636" s="41"/>
      <x:c r="S636" s="41"/>
      <x:c r="T636" s="41"/>
      <x:c r="U636" s="41"/>
      <x:c r="V636" s="41"/>
      <x:c r="W636" s="41"/>
      <x:c r="X636" s="41"/>
      <x:c r="Y636" s="41"/>
      <x:c r="Z636" s="41"/>
    </x:row>
    <x:row r="637">
      <x:c r="A637" s="44"/>
      <x:c r="B637" s="44"/>
      <x:c r="C637" s="44"/>
      <x:c r="D637" s="44"/>
      <x:c r="E637" s="44"/>
      <x:c r="F637" s="45"/>
      <x:c r="G637" s="44"/>
      <x:c r="H637" s="45"/>
      <x:c r="I637" s="45"/>
      <x:c r="J637" s="46"/>
      <x:c r="K637" s="46"/>
      <x:c r="L637" s="41"/>
      <x:c r="M637" s="41"/>
      <x:c r="N637" s="41"/>
      <x:c r="O637" s="41"/>
      <x:c r="P637" s="41"/>
      <x:c r="Q637" s="41"/>
      <x:c r="R637" s="41"/>
      <x:c r="S637" s="41"/>
      <x:c r="T637" s="41"/>
      <x:c r="U637" s="41"/>
      <x:c r="V637" s="41"/>
      <x:c r="W637" s="41"/>
      <x:c r="X637" s="41"/>
      <x:c r="Y637" s="41"/>
      <x:c r="Z637" s="41"/>
    </x:row>
    <x:row r="638">
      <x:c r="A638" s="44"/>
      <x:c r="B638" s="44"/>
      <x:c r="C638" s="44"/>
      <x:c r="D638" s="44"/>
      <x:c r="E638" s="44"/>
      <x:c r="F638" s="45"/>
      <x:c r="G638" s="44"/>
      <x:c r="H638" s="45"/>
      <x:c r="I638" s="45"/>
      <x:c r="J638" s="46"/>
      <x:c r="K638" s="46"/>
      <x:c r="L638" s="41"/>
      <x:c r="M638" s="41"/>
      <x:c r="N638" s="41"/>
      <x:c r="O638" s="41"/>
      <x:c r="P638" s="41"/>
      <x:c r="Q638" s="41"/>
      <x:c r="R638" s="41"/>
      <x:c r="S638" s="41"/>
      <x:c r="T638" s="41"/>
      <x:c r="U638" s="41"/>
      <x:c r="V638" s="41"/>
      <x:c r="W638" s="41"/>
      <x:c r="X638" s="41"/>
      <x:c r="Y638" s="41"/>
      <x:c r="Z638" s="41"/>
    </x:row>
    <x:row r="639">
      <x:c r="A639" s="44"/>
      <x:c r="B639" s="44"/>
      <x:c r="C639" s="44"/>
      <x:c r="D639" s="44"/>
      <x:c r="E639" s="44"/>
      <x:c r="F639" s="45"/>
      <x:c r="G639" s="44"/>
      <x:c r="H639" s="45"/>
      <x:c r="I639" s="45"/>
      <x:c r="J639" s="46"/>
      <x:c r="K639" s="46"/>
      <x:c r="L639" s="41"/>
      <x:c r="M639" s="41"/>
      <x:c r="N639" s="41"/>
      <x:c r="O639" s="41"/>
      <x:c r="P639" s="41"/>
      <x:c r="Q639" s="41"/>
      <x:c r="R639" s="41"/>
      <x:c r="S639" s="41"/>
      <x:c r="T639" s="41"/>
      <x:c r="U639" s="41"/>
      <x:c r="V639" s="41"/>
      <x:c r="W639" s="41"/>
      <x:c r="X639" s="41"/>
      <x:c r="Y639" s="41"/>
      <x:c r="Z639" s="41"/>
    </x:row>
    <x:row r="640">
      <x:c r="A640" s="44"/>
      <x:c r="B640" s="44"/>
      <x:c r="C640" s="44"/>
      <x:c r="D640" s="44"/>
      <x:c r="E640" s="44"/>
      <x:c r="F640" s="45"/>
      <x:c r="G640" s="44"/>
      <x:c r="H640" s="45"/>
      <x:c r="I640" s="45"/>
      <x:c r="J640" s="46"/>
      <x:c r="K640" s="46"/>
      <x:c r="L640" s="41"/>
      <x:c r="M640" s="41"/>
      <x:c r="N640" s="41"/>
      <x:c r="O640" s="41"/>
      <x:c r="P640" s="41"/>
      <x:c r="Q640" s="41"/>
      <x:c r="R640" s="41"/>
      <x:c r="S640" s="41"/>
      <x:c r="T640" s="41"/>
      <x:c r="U640" s="41"/>
      <x:c r="V640" s="41"/>
      <x:c r="W640" s="41"/>
      <x:c r="X640" s="41"/>
      <x:c r="Y640" s="41"/>
      <x:c r="Z640" s="41"/>
    </x:row>
    <x:row r="641">
      <x:c r="A641" s="44"/>
      <x:c r="B641" s="44"/>
      <x:c r="C641" s="44"/>
      <x:c r="D641" s="44"/>
      <x:c r="E641" s="44"/>
      <x:c r="F641" s="45"/>
      <x:c r="G641" s="44"/>
      <x:c r="H641" s="45"/>
      <x:c r="I641" s="45"/>
      <x:c r="J641" s="46"/>
      <x:c r="K641" s="46"/>
      <x:c r="L641" s="41"/>
      <x:c r="M641" s="41"/>
      <x:c r="N641" s="41"/>
      <x:c r="O641" s="41"/>
      <x:c r="P641" s="41"/>
      <x:c r="Q641" s="41"/>
      <x:c r="R641" s="41"/>
      <x:c r="S641" s="41"/>
      <x:c r="T641" s="41"/>
      <x:c r="U641" s="41"/>
      <x:c r="V641" s="41"/>
      <x:c r="W641" s="41"/>
      <x:c r="X641" s="41"/>
      <x:c r="Y641" s="41"/>
      <x:c r="Z641" s="41"/>
    </x:row>
    <x:row r="642">
      <x:c r="A642" s="44"/>
      <x:c r="B642" s="44"/>
      <x:c r="C642" s="44"/>
      <x:c r="D642" s="44"/>
      <x:c r="E642" s="44"/>
      <x:c r="F642" s="45"/>
      <x:c r="G642" s="44"/>
      <x:c r="H642" s="45"/>
      <x:c r="I642" s="45"/>
      <x:c r="J642" s="46"/>
      <x:c r="K642" s="46"/>
      <x:c r="L642" s="41"/>
      <x:c r="M642" s="41"/>
      <x:c r="N642" s="41"/>
      <x:c r="O642" s="41"/>
      <x:c r="P642" s="41"/>
      <x:c r="Q642" s="41"/>
      <x:c r="R642" s="41"/>
      <x:c r="S642" s="41"/>
      <x:c r="T642" s="41"/>
      <x:c r="U642" s="41"/>
      <x:c r="V642" s="41"/>
      <x:c r="W642" s="41"/>
      <x:c r="X642" s="41"/>
      <x:c r="Y642" s="41"/>
      <x:c r="Z642" s="41"/>
    </x:row>
    <x:row r="643">
      <x:c r="A643" s="44"/>
      <x:c r="B643" s="44"/>
      <x:c r="C643" s="44"/>
      <x:c r="D643" s="44"/>
      <x:c r="E643" s="44"/>
      <x:c r="F643" s="45"/>
      <x:c r="G643" s="44"/>
      <x:c r="H643" s="45"/>
      <x:c r="I643" s="45"/>
      <x:c r="J643" s="46"/>
      <x:c r="K643" s="46"/>
      <x:c r="L643" s="41"/>
      <x:c r="M643" s="41"/>
      <x:c r="N643" s="41"/>
      <x:c r="O643" s="41"/>
      <x:c r="P643" s="41"/>
      <x:c r="Q643" s="41"/>
      <x:c r="R643" s="41"/>
      <x:c r="S643" s="41"/>
      <x:c r="T643" s="41"/>
      <x:c r="U643" s="41"/>
      <x:c r="V643" s="41"/>
      <x:c r="W643" s="41"/>
      <x:c r="X643" s="41"/>
      <x:c r="Y643" s="41"/>
      <x:c r="Z643" s="41"/>
    </x:row>
    <x:row r="644">
      <x:c r="A644" s="44"/>
      <x:c r="B644" s="44"/>
      <x:c r="C644" s="44"/>
      <x:c r="D644" s="44"/>
      <x:c r="E644" s="44"/>
      <x:c r="F644" s="45"/>
      <x:c r="G644" s="44"/>
      <x:c r="H644" s="45"/>
      <x:c r="I644" s="45"/>
      <x:c r="J644" s="46"/>
      <x:c r="K644" s="46"/>
      <x:c r="L644" s="41"/>
      <x:c r="M644" s="41"/>
      <x:c r="N644" s="41"/>
      <x:c r="O644" s="41"/>
      <x:c r="P644" s="41"/>
      <x:c r="Q644" s="41"/>
      <x:c r="R644" s="41"/>
      <x:c r="S644" s="41"/>
      <x:c r="T644" s="41"/>
      <x:c r="U644" s="41"/>
      <x:c r="V644" s="41"/>
      <x:c r="W644" s="41"/>
      <x:c r="X644" s="41"/>
      <x:c r="Y644" s="41"/>
      <x:c r="Z644" s="41"/>
    </x:row>
    <x:row r="645">
      <x:c r="A645" s="44"/>
      <x:c r="B645" s="44"/>
      <x:c r="C645" s="44"/>
      <x:c r="D645" s="44"/>
      <x:c r="E645" s="44"/>
      <x:c r="F645" s="45"/>
      <x:c r="G645" s="44"/>
      <x:c r="H645" s="45"/>
      <x:c r="I645" s="45"/>
      <x:c r="J645" s="46"/>
      <x:c r="K645" s="46"/>
      <x:c r="L645" s="41"/>
      <x:c r="M645" s="41"/>
      <x:c r="N645" s="41"/>
      <x:c r="O645" s="41"/>
      <x:c r="P645" s="41"/>
      <x:c r="Q645" s="41"/>
      <x:c r="R645" s="41"/>
      <x:c r="S645" s="41"/>
      <x:c r="T645" s="41"/>
      <x:c r="U645" s="41"/>
      <x:c r="V645" s="41"/>
      <x:c r="W645" s="41"/>
      <x:c r="X645" s="41"/>
      <x:c r="Y645" s="41"/>
      <x:c r="Z645" s="41"/>
    </x:row>
    <x:row r="646">
      <x:c r="A646" s="44"/>
      <x:c r="B646" s="44"/>
      <x:c r="C646" s="44"/>
      <x:c r="D646" s="44"/>
      <x:c r="E646" s="44"/>
      <x:c r="F646" s="45"/>
      <x:c r="G646" s="44"/>
      <x:c r="H646" s="45"/>
      <x:c r="I646" s="45"/>
      <x:c r="J646" s="46"/>
      <x:c r="K646" s="46"/>
      <x:c r="L646" s="41"/>
      <x:c r="M646" s="41"/>
      <x:c r="N646" s="41"/>
      <x:c r="O646" s="41"/>
      <x:c r="P646" s="41"/>
      <x:c r="Q646" s="41"/>
      <x:c r="R646" s="41"/>
      <x:c r="S646" s="41"/>
      <x:c r="T646" s="41"/>
      <x:c r="U646" s="41"/>
      <x:c r="V646" s="41"/>
      <x:c r="W646" s="41"/>
      <x:c r="X646" s="41"/>
      <x:c r="Y646" s="41"/>
      <x:c r="Z646" s="41"/>
    </x:row>
    <x:row r="647">
      <x:c r="A647" s="44"/>
      <x:c r="B647" s="44"/>
      <x:c r="C647" s="44"/>
      <x:c r="D647" s="44"/>
      <x:c r="E647" s="44"/>
      <x:c r="F647" s="45"/>
      <x:c r="G647" s="44"/>
      <x:c r="H647" s="45"/>
      <x:c r="I647" s="45"/>
      <x:c r="J647" s="46"/>
      <x:c r="K647" s="46"/>
      <x:c r="L647" s="41"/>
      <x:c r="M647" s="41"/>
      <x:c r="N647" s="41"/>
      <x:c r="O647" s="41"/>
      <x:c r="P647" s="41"/>
      <x:c r="Q647" s="41"/>
      <x:c r="R647" s="41"/>
      <x:c r="S647" s="41"/>
      <x:c r="T647" s="41"/>
      <x:c r="U647" s="41"/>
      <x:c r="V647" s="41"/>
      <x:c r="W647" s="41"/>
      <x:c r="X647" s="41"/>
      <x:c r="Y647" s="41"/>
      <x:c r="Z647" s="41"/>
    </x:row>
    <x:row r="648">
      <x:c r="A648" s="44"/>
      <x:c r="B648" s="44"/>
      <x:c r="C648" s="44"/>
      <x:c r="D648" s="44"/>
      <x:c r="E648" s="44"/>
      <x:c r="F648" s="45"/>
      <x:c r="G648" s="44"/>
      <x:c r="H648" s="45"/>
      <x:c r="I648" s="45"/>
      <x:c r="J648" s="46"/>
      <x:c r="K648" s="46"/>
      <x:c r="L648" s="41"/>
      <x:c r="M648" s="41"/>
      <x:c r="N648" s="41"/>
      <x:c r="O648" s="41"/>
      <x:c r="P648" s="41"/>
      <x:c r="Q648" s="41"/>
      <x:c r="R648" s="41"/>
      <x:c r="S648" s="41"/>
      <x:c r="T648" s="41"/>
      <x:c r="U648" s="41"/>
      <x:c r="V648" s="41"/>
      <x:c r="W648" s="41"/>
      <x:c r="X648" s="41"/>
      <x:c r="Y648" s="41"/>
      <x:c r="Z648" s="41"/>
    </x:row>
    <x:row r="649">
      <x:c r="A649" s="44"/>
      <x:c r="B649" s="44"/>
      <x:c r="C649" s="44"/>
      <x:c r="D649" s="44"/>
      <x:c r="E649" s="44"/>
      <x:c r="F649" s="45"/>
      <x:c r="G649" s="44"/>
      <x:c r="H649" s="45"/>
      <x:c r="I649" s="45"/>
      <x:c r="J649" s="46"/>
      <x:c r="K649" s="46"/>
      <x:c r="L649" s="41"/>
      <x:c r="M649" s="41"/>
      <x:c r="N649" s="41"/>
      <x:c r="O649" s="41"/>
      <x:c r="P649" s="41"/>
      <x:c r="Q649" s="41"/>
      <x:c r="R649" s="41"/>
      <x:c r="S649" s="41"/>
      <x:c r="T649" s="41"/>
      <x:c r="U649" s="41"/>
      <x:c r="V649" s="41"/>
      <x:c r="W649" s="41"/>
      <x:c r="X649" s="41"/>
      <x:c r="Y649" s="41"/>
      <x:c r="Z649" s="41"/>
    </x:row>
    <x:row r="650">
      <x:c r="A650" s="44"/>
      <x:c r="B650" s="44"/>
      <x:c r="C650" s="44"/>
      <x:c r="D650" s="44"/>
      <x:c r="E650" s="44"/>
      <x:c r="F650" s="45"/>
      <x:c r="G650" s="44"/>
      <x:c r="H650" s="45"/>
      <x:c r="I650" s="45"/>
      <x:c r="J650" s="46"/>
      <x:c r="K650" s="46"/>
      <x:c r="L650" s="41"/>
      <x:c r="M650" s="41"/>
      <x:c r="N650" s="41"/>
      <x:c r="O650" s="41"/>
      <x:c r="P650" s="41"/>
      <x:c r="Q650" s="41"/>
      <x:c r="R650" s="41"/>
      <x:c r="S650" s="41"/>
      <x:c r="T650" s="41"/>
      <x:c r="U650" s="41"/>
      <x:c r="V650" s="41"/>
      <x:c r="W650" s="41"/>
      <x:c r="X650" s="41"/>
      <x:c r="Y650" s="41"/>
      <x:c r="Z650" s="41"/>
    </x:row>
    <x:row r="651">
      <x:c r="A651" s="44"/>
      <x:c r="B651" s="44"/>
      <x:c r="C651" s="44"/>
      <x:c r="D651" s="44"/>
      <x:c r="E651" s="44"/>
      <x:c r="F651" s="45"/>
      <x:c r="G651" s="44"/>
      <x:c r="H651" s="45"/>
      <x:c r="I651" s="45"/>
      <x:c r="J651" s="46"/>
      <x:c r="K651" s="46"/>
      <x:c r="L651" s="41"/>
      <x:c r="M651" s="41"/>
      <x:c r="N651" s="41"/>
      <x:c r="O651" s="41"/>
      <x:c r="P651" s="41"/>
      <x:c r="Q651" s="41"/>
      <x:c r="R651" s="41"/>
      <x:c r="S651" s="41"/>
      <x:c r="T651" s="41"/>
      <x:c r="U651" s="41"/>
      <x:c r="V651" s="41"/>
      <x:c r="W651" s="41"/>
      <x:c r="X651" s="41"/>
      <x:c r="Y651" s="41"/>
      <x:c r="Z651" s="41"/>
    </x:row>
    <x:row r="652">
      <x:c r="A652" s="44"/>
      <x:c r="B652" s="44"/>
      <x:c r="C652" s="44"/>
      <x:c r="D652" s="44"/>
      <x:c r="E652" s="44"/>
      <x:c r="F652" s="45"/>
      <x:c r="G652" s="44"/>
      <x:c r="H652" s="45"/>
      <x:c r="I652" s="45"/>
      <x:c r="J652" s="46"/>
      <x:c r="K652" s="46"/>
      <x:c r="L652" s="41"/>
      <x:c r="M652" s="41"/>
      <x:c r="N652" s="41"/>
      <x:c r="O652" s="41"/>
      <x:c r="P652" s="41"/>
      <x:c r="Q652" s="41"/>
      <x:c r="R652" s="41"/>
      <x:c r="S652" s="41"/>
      <x:c r="T652" s="41"/>
      <x:c r="U652" s="41"/>
      <x:c r="V652" s="41"/>
      <x:c r="W652" s="41"/>
      <x:c r="X652" s="41"/>
      <x:c r="Y652" s="41"/>
      <x:c r="Z652" s="41"/>
    </x:row>
    <x:row r="653">
      <x:c r="A653" s="44"/>
      <x:c r="B653" s="44"/>
      <x:c r="C653" s="44"/>
      <x:c r="D653" s="44"/>
      <x:c r="E653" s="44"/>
      <x:c r="F653" s="45"/>
      <x:c r="G653" s="44"/>
      <x:c r="H653" s="45"/>
      <x:c r="I653" s="45"/>
      <x:c r="J653" s="46"/>
      <x:c r="K653" s="46"/>
      <x:c r="L653" s="41"/>
      <x:c r="M653" s="41"/>
      <x:c r="N653" s="41"/>
      <x:c r="O653" s="41"/>
      <x:c r="P653" s="41"/>
      <x:c r="Q653" s="41"/>
      <x:c r="R653" s="41"/>
      <x:c r="S653" s="41"/>
      <x:c r="T653" s="41"/>
      <x:c r="U653" s="41"/>
      <x:c r="V653" s="41"/>
      <x:c r="W653" s="41"/>
      <x:c r="X653" s="41"/>
      <x:c r="Y653" s="41"/>
      <x:c r="Z653" s="41"/>
    </x:row>
    <x:row r="654">
      <x:c r="A654" s="44"/>
      <x:c r="B654" s="44"/>
      <x:c r="C654" s="44"/>
      <x:c r="D654" s="44"/>
      <x:c r="E654" s="44"/>
      <x:c r="F654" s="45"/>
      <x:c r="G654" s="44"/>
      <x:c r="H654" s="45"/>
      <x:c r="I654" s="45"/>
      <x:c r="J654" s="46"/>
      <x:c r="K654" s="46"/>
      <x:c r="L654" s="41"/>
      <x:c r="M654" s="41"/>
      <x:c r="N654" s="41"/>
      <x:c r="O654" s="41"/>
      <x:c r="P654" s="41"/>
      <x:c r="Q654" s="41"/>
      <x:c r="R654" s="41"/>
      <x:c r="S654" s="41"/>
      <x:c r="T654" s="41"/>
      <x:c r="U654" s="41"/>
      <x:c r="V654" s="41"/>
      <x:c r="W654" s="41"/>
      <x:c r="X654" s="41"/>
      <x:c r="Y654" s="41"/>
      <x:c r="Z654" s="41"/>
    </x:row>
    <x:row r="655">
      <x:c r="A655" s="44"/>
      <x:c r="B655" s="44"/>
      <x:c r="C655" s="44"/>
      <x:c r="D655" s="44"/>
      <x:c r="E655" s="44"/>
      <x:c r="F655" s="45"/>
      <x:c r="G655" s="44"/>
      <x:c r="H655" s="45"/>
      <x:c r="I655" s="45"/>
      <x:c r="J655" s="46"/>
      <x:c r="K655" s="46"/>
      <x:c r="L655" s="41"/>
      <x:c r="M655" s="41"/>
      <x:c r="N655" s="41"/>
      <x:c r="O655" s="41"/>
      <x:c r="P655" s="41"/>
      <x:c r="Q655" s="41"/>
      <x:c r="R655" s="41"/>
      <x:c r="S655" s="41"/>
      <x:c r="T655" s="41"/>
      <x:c r="U655" s="41"/>
      <x:c r="V655" s="41"/>
      <x:c r="W655" s="41"/>
      <x:c r="X655" s="41"/>
      <x:c r="Y655" s="41"/>
      <x:c r="Z655" s="41"/>
    </x:row>
    <x:row r="656">
      <x:c r="A656" s="44"/>
      <x:c r="B656" s="44"/>
      <x:c r="C656" s="44"/>
      <x:c r="D656" s="44"/>
      <x:c r="E656" s="44"/>
      <x:c r="F656" s="45"/>
      <x:c r="G656" s="44"/>
      <x:c r="H656" s="45"/>
      <x:c r="I656" s="45"/>
      <x:c r="J656" s="46"/>
      <x:c r="K656" s="46"/>
      <x:c r="L656" s="41"/>
      <x:c r="M656" s="41"/>
      <x:c r="N656" s="41"/>
      <x:c r="O656" s="41"/>
      <x:c r="P656" s="41"/>
      <x:c r="Q656" s="41"/>
      <x:c r="R656" s="41"/>
      <x:c r="S656" s="41"/>
      <x:c r="T656" s="41"/>
      <x:c r="U656" s="41"/>
      <x:c r="V656" s="41"/>
      <x:c r="W656" s="41"/>
      <x:c r="X656" s="41"/>
      <x:c r="Y656" s="41"/>
      <x:c r="Z656" s="41"/>
    </x:row>
    <x:row r="657">
      <x:c r="A657" s="44"/>
      <x:c r="B657" s="44"/>
      <x:c r="C657" s="44"/>
      <x:c r="D657" s="44"/>
      <x:c r="E657" s="44"/>
      <x:c r="F657" s="45"/>
      <x:c r="G657" s="44"/>
      <x:c r="H657" s="45"/>
      <x:c r="I657" s="45"/>
      <x:c r="J657" s="46"/>
      <x:c r="K657" s="46"/>
      <x:c r="L657" s="41"/>
      <x:c r="M657" s="41"/>
      <x:c r="N657" s="41"/>
      <x:c r="O657" s="41"/>
      <x:c r="P657" s="41"/>
      <x:c r="Q657" s="41"/>
      <x:c r="R657" s="41"/>
      <x:c r="S657" s="41"/>
      <x:c r="T657" s="41"/>
      <x:c r="U657" s="41"/>
      <x:c r="V657" s="41"/>
      <x:c r="W657" s="41"/>
      <x:c r="X657" s="41"/>
      <x:c r="Y657" s="41"/>
      <x:c r="Z657" s="41"/>
    </x:row>
    <x:row r="658">
      <x:c r="A658" s="44"/>
      <x:c r="B658" s="44"/>
      <x:c r="C658" s="44"/>
      <x:c r="D658" s="44"/>
      <x:c r="E658" s="44"/>
      <x:c r="F658" s="45"/>
      <x:c r="G658" s="44"/>
      <x:c r="H658" s="45"/>
      <x:c r="I658" s="45"/>
      <x:c r="J658" s="46"/>
      <x:c r="K658" s="46"/>
      <x:c r="L658" s="41"/>
      <x:c r="M658" s="41"/>
      <x:c r="N658" s="41"/>
      <x:c r="O658" s="41"/>
      <x:c r="P658" s="41"/>
      <x:c r="Q658" s="41"/>
      <x:c r="R658" s="41"/>
      <x:c r="S658" s="41"/>
      <x:c r="T658" s="41"/>
      <x:c r="U658" s="41"/>
      <x:c r="V658" s="41"/>
      <x:c r="W658" s="41"/>
      <x:c r="X658" s="41"/>
      <x:c r="Y658" s="41"/>
      <x:c r="Z658" s="41"/>
    </x:row>
    <x:row r="659">
      <x:c r="A659" s="44"/>
      <x:c r="B659" s="44"/>
      <x:c r="C659" s="44"/>
      <x:c r="D659" s="44"/>
      <x:c r="E659" s="44"/>
      <x:c r="F659" s="45"/>
      <x:c r="G659" s="44"/>
      <x:c r="H659" s="45"/>
      <x:c r="I659" s="45"/>
      <x:c r="J659" s="46"/>
      <x:c r="K659" s="46"/>
      <x:c r="L659" s="41"/>
      <x:c r="M659" s="41"/>
      <x:c r="N659" s="41"/>
      <x:c r="O659" s="41"/>
      <x:c r="P659" s="41"/>
      <x:c r="Q659" s="41"/>
      <x:c r="R659" s="41"/>
      <x:c r="S659" s="41"/>
      <x:c r="T659" s="41"/>
      <x:c r="U659" s="41"/>
      <x:c r="V659" s="41"/>
      <x:c r="W659" s="41"/>
      <x:c r="X659" s="41"/>
      <x:c r="Y659" s="41"/>
      <x:c r="Z659" s="41"/>
    </x:row>
    <x:row r="660">
      <x:c r="A660" s="44"/>
      <x:c r="B660" s="44"/>
      <x:c r="C660" s="44"/>
      <x:c r="D660" s="44"/>
      <x:c r="E660" s="44"/>
      <x:c r="F660" s="45"/>
      <x:c r="G660" s="44"/>
      <x:c r="H660" s="45"/>
      <x:c r="I660" s="45"/>
      <x:c r="J660" s="46"/>
      <x:c r="K660" s="46"/>
      <x:c r="L660" s="41"/>
      <x:c r="M660" s="41"/>
      <x:c r="N660" s="41"/>
      <x:c r="O660" s="41"/>
      <x:c r="P660" s="41"/>
      <x:c r="Q660" s="41"/>
      <x:c r="R660" s="41"/>
      <x:c r="S660" s="41"/>
      <x:c r="T660" s="41"/>
      <x:c r="U660" s="41"/>
      <x:c r="V660" s="41"/>
      <x:c r="W660" s="41"/>
      <x:c r="X660" s="41"/>
      <x:c r="Y660" s="41"/>
      <x:c r="Z660" s="41"/>
    </x:row>
    <x:row r="661">
      <x:c r="A661" s="44"/>
      <x:c r="B661" s="44"/>
      <x:c r="C661" s="44"/>
      <x:c r="D661" s="44"/>
      <x:c r="E661" s="44"/>
      <x:c r="F661" s="45"/>
      <x:c r="G661" s="44"/>
      <x:c r="H661" s="45"/>
      <x:c r="I661" s="45"/>
      <x:c r="J661" s="46"/>
      <x:c r="K661" s="46"/>
      <x:c r="L661" s="41"/>
      <x:c r="M661" s="41"/>
      <x:c r="N661" s="41"/>
      <x:c r="O661" s="41"/>
      <x:c r="P661" s="41"/>
      <x:c r="Q661" s="41"/>
      <x:c r="R661" s="41"/>
      <x:c r="S661" s="41"/>
      <x:c r="T661" s="41"/>
      <x:c r="U661" s="41"/>
      <x:c r="V661" s="41"/>
      <x:c r="W661" s="41"/>
      <x:c r="X661" s="41"/>
      <x:c r="Y661" s="41"/>
      <x:c r="Z661" s="41"/>
    </x:row>
    <x:row r="662">
      <x:c r="A662" s="44"/>
      <x:c r="B662" s="44"/>
      <x:c r="C662" s="44"/>
      <x:c r="D662" s="44"/>
      <x:c r="E662" s="44"/>
      <x:c r="F662" s="45"/>
      <x:c r="G662" s="44"/>
      <x:c r="H662" s="45"/>
      <x:c r="I662" s="45"/>
      <x:c r="J662" s="46"/>
      <x:c r="K662" s="46"/>
      <x:c r="L662" s="41"/>
      <x:c r="M662" s="41"/>
      <x:c r="N662" s="41"/>
      <x:c r="O662" s="41"/>
      <x:c r="P662" s="41"/>
      <x:c r="Q662" s="41"/>
      <x:c r="R662" s="41"/>
      <x:c r="S662" s="41"/>
      <x:c r="T662" s="41"/>
      <x:c r="U662" s="41"/>
      <x:c r="V662" s="41"/>
      <x:c r="W662" s="41"/>
      <x:c r="X662" s="41"/>
      <x:c r="Y662" s="41"/>
      <x:c r="Z662" s="41"/>
    </x:row>
    <x:row r="663">
      <x:c r="A663" s="44"/>
      <x:c r="B663" s="44"/>
      <x:c r="C663" s="44"/>
      <x:c r="D663" s="44"/>
      <x:c r="E663" s="44"/>
      <x:c r="F663" s="45"/>
      <x:c r="G663" s="44"/>
      <x:c r="H663" s="45"/>
      <x:c r="I663" s="45"/>
      <x:c r="J663" s="46"/>
      <x:c r="K663" s="46"/>
      <x:c r="L663" s="41"/>
      <x:c r="M663" s="41"/>
      <x:c r="N663" s="41"/>
      <x:c r="O663" s="41"/>
      <x:c r="P663" s="41"/>
      <x:c r="Q663" s="41"/>
      <x:c r="R663" s="41"/>
      <x:c r="S663" s="41"/>
      <x:c r="T663" s="41"/>
      <x:c r="U663" s="41"/>
      <x:c r="V663" s="41"/>
      <x:c r="W663" s="41"/>
      <x:c r="X663" s="41"/>
      <x:c r="Y663" s="41"/>
      <x:c r="Z663" s="41"/>
    </x:row>
    <x:row r="664">
      <x:c r="A664" s="44"/>
      <x:c r="B664" s="44"/>
      <x:c r="C664" s="44"/>
      <x:c r="D664" s="44"/>
      <x:c r="E664" s="44"/>
      <x:c r="F664" s="45"/>
      <x:c r="G664" s="44"/>
      <x:c r="H664" s="45"/>
      <x:c r="I664" s="45"/>
      <x:c r="J664" s="46"/>
      <x:c r="K664" s="46"/>
      <x:c r="L664" s="41"/>
      <x:c r="M664" s="41"/>
      <x:c r="N664" s="41"/>
      <x:c r="O664" s="41"/>
      <x:c r="P664" s="41"/>
      <x:c r="Q664" s="41"/>
      <x:c r="R664" s="41"/>
      <x:c r="S664" s="41"/>
      <x:c r="T664" s="41"/>
      <x:c r="U664" s="41"/>
      <x:c r="V664" s="41"/>
      <x:c r="W664" s="41"/>
      <x:c r="X664" s="41"/>
      <x:c r="Y664" s="41"/>
      <x:c r="Z664" s="41"/>
    </x:row>
    <x:row r="665">
      <x:c r="A665" s="44"/>
      <x:c r="B665" s="44"/>
      <x:c r="C665" s="44"/>
      <x:c r="D665" s="44"/>
      <x:c r="E665" s="44"/>
      <x:c r="F665" s="45"/>
      <x:c r="G665" s="44"/>
      <x:c r="H665" s="45"/>
      <x:c r="I665" s="45"/>
      <x:c r="J665" s="46"/>
      <x:c r="K665" s="46"/>
      <x:c r="L665" s="41"/>
      <x:c r="M665" s="41"/>
      <x:c r="N665" s="41"/>
      <x:c r="O665" s="41"/>
      <x:c r="P665" s="41"/>
      <x:c r="Q665" s="41"/>
      <x:c r="R665" s="41"/>
      <x:c r="S665" s="41"/>
      <x:c r="T665" s="41"/>
      <x:c r="U665" s="41"/>
      <x:c r="V665" s="41"/>
      <x:c r="W665" s="41"/>
      <x:c r="X665" s="41"/>
      <x:c r="Y665" s="41"/>
      <x:c r="Z665" s="41"/>
    </x:row>
    <x:row r="666">
      <x:c r="A666" s="44"/>
      <x:c r="B666" s="44"/>
      <x:c r="C666" s="44"/>
      <x:c r="D666" s="44"/>
      <x:c r="E666" s="44"/>
      <x:c r="F666" s="45"/>
      <x:c r="G666" s="44"/>
      <x:c r="H666" s="45"/>
      <x:c r="I666" s="45"/>
      <x:c r="J666" s="46"/>
      <x:c r="K666" s="46"/>
      <x:c r="L666" s="41"/>
      <x:c r="M666" s="41"/>
      <x:c r="N666" s="41"/>
      <x:c r="O666" s="41"/>
      <x:c r="P666" s="41"/>
      <x:c r="Q666" s="41"/>
      <x:c r="R666" s="41"/>
      <x:c r="S666" s="41"/>
      <x:c r="T666" s="41"/>
      <x:c r="U666" s="41"/>
      <x:c r="V666" s="41"/>
      <x:c r="W666" s="41"/>
      <x:c r="X666" s="41"/>
      <x:c r="Y666" s="41"/>
      <x:c r="Z666" s="41"/>
    </x:row>
    <x:row r="667">
      <x:c r="A667" s="44"/>
      <x:c r="B667" s="44"/>
      <x:c r="C667" s="44"/>
      <x:c r="D667" s="44"/>
      <x:c r="E667" s="44"/>
      <x:c r="F667" s="45"/>
      <x:c r="G667" s="44"/>
      <x:c r="H667" s="45"/>
      <x:c r="I667" s="45"/>
      <x:c r="J667" s="46"/>
      <x:c r="K667" s="46"/>
      <x:c r="L667" s="41"/>
      <x:c r="M667" s="41"/>
      <x:c r="N667" s="41"/>
      <x:c r="O667" s="41"/>
      <x:c r="P667" s="41"/>
      <x:c r="Q667" s="41"/>
      <x:c r="R667" s="41"/>
      <x:c r="S667" s="41"/>
      <x:c r="T667" s="41"/>
      <x:c r="U667" s="41"/>
      <x:c r="V667" s="41"/>
      <x:c r="W667" s="41"/>
      <x:c r="X667" s="41"/>
      <x:c r="Y667" s="41"/>
      <x:c r="Z667" s="41"/>
    </x:row>
    <x:row r="668">
      <x:c r="A668" s="44"/>
      <x:c r="B668" s="44"/>
      <x:c r="C668" s="44"/>
      <x:c r="D668" s="44"/>
      <x:c r="E668" s="44"/>
      <x:c r="F668" s="45"/>
      <x:c r="G668" s="44"/>
      <x:c r="H668" s="45"/>
      <x:c r="I668" s="45"/>
      <x:c r="J668" s="46"/>
      <x:c r="K668" s="46"/>
      <x:c r="L668" s="41"/>
      <x:c r="M668" s="41"/>
      <x:c r="N668" s="41"/>
      <x:c r="O668" s="41"/>
      <x:c r="P668" s="41"/>
      <x:c r="Q668" s="41"/>
      <x:c r="R668" s="41"/>
      <x:c r="S668" s="41"/>
      <x:c r="T668" s="41"/>
      <x:c r="U668" s="41"/>
      <x:c r="V668" s="41"/>
      <x:c r="W668" s="41"/>
      <x:c r="X668" s="41"/>
      <x:c r="Y668" s="41"/>
      <x:c r="Z668" s="41"/>
    </x:row>
    <x:row r="669">
      <x:c r="A669" s="44"/>
      <x:c r="B669" s="44"/>
      <x:c r="C669" s="44"/>
      <x:c r="D669" s="44"/>
      <x:c r="E669" s="44"/>
      <x:c r="F669" s="45"/>
      <x:c r="G669" s="44"/>
      <x:c r="H669" s="45"/>
      <x:c r="I669" s="45"/>
      <x:c r="J669" s="46"/>
      <x:c r="K669" s="46"/>
      <x:c r="L669" s="41"/>
      <x:c r="M669" s="41"/>
      <x:c r="N669" s="41"/>
      <x:c r="O669" s="41"/>
      <x:c r="P669" s="41"/>
      <x:c r="Q669" s="41"/>
      <x:c r="R669" s="41"/>
      <x:c r="S669" s="41"/>
      <x:c r="T669" s="41"/>
      <x:c r="U669" s="41"/>
      <x:c r="V669" s="41"/>
      <x:c r="W669" s="41"/>
      <x:c r="X669" s="41"/>
      <x:c r="Y669" s="41"/>
      <x:c r="Z669" s="41"/>
    </x:row>
    <x:row r="670">
      <x:c r="A670" s="44"/>
      <x:c r="B670" s="44"/>
      <x:c r="C670" s="44"/>
      <x:c r="D670" s="44"/>
      <x:c r="E670" s="44"/>
      <x:c r="F670" s="45"/>
      <x:c r="G670" s="44"/>
      <x:c r="H670" s="45"/>
      <x:c r="I670" s="45"/>
      <x:c r="J670" s="46"/>
      <x:c r="K670" s="46"/>
      <x:c r="L670" s="41"/>
      <x:c r="M670" s="41"/>
      <x:c r="N670" s="41"/>
      <x:c r="O670" s="41"/>
      <x:c r="P670" s="41"/>
      <x:c r="Q670" s="41"/>
      <x:c r="R670" s="41"/>
      <x:c r="S670" s="41"/>
      <x:c r="T670" s="41"/>
      <x:c r="U670" s="41"/>
      <x:c r="V670" s="41"/>
      <x:c r="W670" s="41"/>
      <x:c r="X670" s="41"/>
      <x:c r="Y670" s="41"/>
      <x:c r="Z670" s="41"/>
    </x:row>
    <x:row r="671">
      <x:c r="A671" s="44"/>
      <x:c r="B671" s="44"/>
      <x:c r="C671" s="44"/>
      <x:c r="D671" s="44"/>
      <x:c r="E671" s="44"/>
      <x:c r="F671" s="45"/>
      <x:c r="G671" s="44"/>
      <x:c r="H671" s="45"/>
      <x:c r="I671" s="45"/>
      <x:c r="J671" s="46"/>
      <x:c r="K671" s="46"/>
      <x:c r="L671" s="41"/>
      <x:c r="M671" s="41"/>
      <x:c r="N671" s="41"/>
      <x:c r="O671" s="41"/>
      <x:c r="P671" s="41"/>
      <x:c r="Q671" s="41"/>
      <x:c r="R671" s="41"/>
      <x:c r="S671" s="41"/>
      <x:c r="T671" s="41"/>
      <x:c r="U671" s="41"/>
      <x:c r="V671" s="41"/>
      <x:c r="W671" s="41"/>
      <x:c r="X671" s="41"/>
      <x:c r="Y671" s="41"/>
      <x:c r="Z671" s="41"/>
    </x:row>
    <x:row r="672">
      <x:c r="A672" s="44"/>
      <x:c r="B672" s="44"/>
      <x:c r="C672" s="44"/>
      <x:c r="D672" s="44"/>
      <x:c r="E672" s="44"/>
      <x:c r="F672" s="45"/>
      <x:c r="G672" s="44"/>
      <x:c r="H672" s="45"/>
      <x:c r="I672" s="45"/>
      <x:c r="J672" s="46"/>
      <x:c r="K672" s="46"/>
      <x:c r="L672" s="41"/>
      <x:c r="M672" s="41"/>
      <x:c r="N672" s="41"/>
      <x:c r="O672" s="41"/>
      <x:c r="P672" s="41"/>
      <x:c r="Q672" s="41"/>
      <x:c r="R672" s="41"/>
      <x:c r="S672" s="41"/>
      <x:c r="T672" s="41"/>
      <x:c r="U672" s="41"/>
      <x:c r="V672" s="41"/>
      <x:c r="W672" s="41"/>
      <x:c r="X672" s="41"/>
      <x:c r="Y672" s="41"/>
      <x:c r="Z672" s="41"/>
    </x:row>
    <x:row r="673">
      <x:c r="A673" s="44"/>
      <x:c r="B673" s="44"/>
      <x:c r="C673" s="44"/>
      <x:c r="D673" s="44"/>
      <x:c r="E673" s="44"/>
      <x:c r="F673" s="45"/>
      <x:c r="G673" s="44"/>
      <x:c r="H673" s="45"/>
      <x:c r="I673" s="45"/>
      <x:c r="J673" s="46"/>
      <x:c r="K673" s="46"/>
      <x:c r="L673" s="41"/>
      <x:c r="M673" s="41"/>
      <x:c r="N673" s="41"/>
      <x:c r="O673" s="41"/>
      <x:c r="P673" s="41"/>
      <x:c r="Q673" s="41"/>
      <x:c r="R673" s="41"/>
      <x:c r="S673" s="41"/>
      <x:c r="T673" s="41"/>
      <x:c r="U673" s="41"/>
      <x:c r="V673" s="41"/>
      <x:c r="W673" s="41"/>
      <x:c r="X673" s="41"/>
      <x:c r="Y673" s="41"/>
      <x:c r="Z673" s="41"/>
    </x:row>
    <x:row r="674">
      <x:c r="A674" s="44"/>
      <x:c r="B674" s="44"/>
      <x:c r="C674" s="44"/>
      <x:c r="D674" s="44"/>
      <x:c r="E674" s="44"/>
      <x:c r="F674" s="45"/>
      <x:c r="G674" s="44"/>
      <x:c r="H674" s="45"/>
      <x:c r="I674" s="45"/>
      <x:c r="J674" s="46"/>
      <x:c r="K674" s="46"/>
      <x:c r="L674" s="41"/>
      <x:c r="M674" s="41"/>
      <x:c r="N674" s="41"/>
      <x:c r="O674" s="41"/>
      <x:c r="P674" s="41"/>
      <x:c r="Q674" s="41"/>
      <x:c r="R674" s="41"/>
      <x:c r="S674" s="41"/>
      <x:c r="T674" s="41"/>
      <x:c r="U674" s="41"/>
      <x:c r="V674" s="41"/>
      <x:c r="W674" s="41"/>
      <x:c r="X674" s="41"/>
      <x:c r="Y674" s="41"/>
      <x:c r="Z674" s="41"/>
    </x:row>
    <x:row r="675">
      <x:c r="A675" s="44"/>
      <x:c r="B675" s="44"/>
      <x:c r="C675" s="44"/>
      <x:c r="D675" s="44"/>
      <x:c r="E675" s="44"/>
      <x:c r="F675" s="45"/>
      <x:c r="G675" s="44"/>
      <x:c r="H675" s="45"/>
      <x:c r="I675" s="45"/>
      <x:c r="J675" s="46"/>
      <x:c r="K675" s="46"/>
      <x:c r="L675" s="41"/>
      <x:c r="M675" s="41"/>
      <x:c r="N675" s="41"/>
      <x:c r="O675" s="41"/>
      <x:c r="P675" s="41"/>
      <x:c r="Q675" s="41"/>
      <x:c r="R675" s="41"/>
      <x:c r="S675" s="41"/>
      <x:c r="T675" s="41"/>
      <x:c r="U675" s="41"/>
      <x:c r="V675" s="41"/>
      <x:c r="W675" s="41"/>
      <x:c r="X675" s="41"/>
      <x:c r="Y675" s="41"/>
      <x:c r="Z675" s="41"/>
    </x:row>
    <x:row r="676">
      <x:c r="A676" s="44"/>
      <x:c r="B676" s="44"/>
      <x:c r="C676" s="44"/>
      <x:c r="D676" s="44"/>
      <x:c r="E676" s="44"/>
      <x:c r="F676" s="45"/>
      <x:c r="G676" s="44"/>
      <x:c r="H676" s="45"/>
      <x:c r="I676" s="45"/>
      <x:c r="J676" s="46"/>
      <x:c r="K676" s="46"/>
      <x:c r="L676" s="41"/>
      <x:c r="M676" s="41"/>
      <x:c r="N676" s="41"/>
      <x:c r="O676" s="41"/>
      <x:c r="P676" s="41"/>
      <x:c r="Q676" s="41"/>
      <x:c r="R676" s="41"/>
      <x:c r="S676" s="41"/>
      <x:c r="T676" s="41"/>
      <x:c r="U676" s="41"/>
      <x:c r="V676" s="41"/>
      <x:c r="W676" s="41"/>
      <x:c r="X676" s="41"/>
      <x:c r="Y676" s="41"/>
      <x:c r="Z676" s="41"/>
    </x:row>
    <x:row r="677">
      <x:c r="A677" s="44"/>
      <x:c r="B677" s="44"/>
      <x:c r="C677" s="44"/>
      <x:c r="D677" s="44"/>
      <x:c r="E677" s="44"/>
      <x:c r="F677" s="45"/>
      <x:c r="G677" s="44"/>
      <x:c r="H677" s="45"/>
      <x:c r="I677" s="45"/>
      <x:c r="J677" s="46"/>
      <x:c r="K677" s="46"/>
      <x:c r="L677" s="41"/>
      <x:c r="M677" s="41"/>
      <x:c r="N677" s="41"/>
      <x:c r="O677" s="41"/>
      <x:c r="P677" s="41"/>
      <x:c r="Q677" s="41"/>
      <x:c r="R677" s="41"/>
      <x:c r="S677" s="41"/>
      <x:c r="T677" s="41"/>
      <x:c r="U677" s="41"/>
      <x:c r="V677" s="41"/>
      <x:c r="W677" s="41"/>
      <x:c r="X677" s="41"/>
      <x:c r="Y677" s="41"/>
      <x:c r="Z677" s="41"/>
    </x:row>
    <x:row r="678">
      <x:c r="A678" s="44"/>
      <x:c r="B678" s="44"/>
      <x:c r="C678" s="44"/>
      <x:c r="D678" s="44"/>
      <x:c r="E678" s="44"/>
      <x:c r="F678" s="45"/>
      <x:c r="G678" s="44"/>
      <x:c r="H678" s="45"/>
      <x:c r="I678" s="45"/>
      <x:c r="J678" s="46"/>
      <x:c r="K678" s="46"/>
      <x:c r="L678" s="41"/>
      <x:c r="M678" s="41"/>
      <x:c r="N678" s="41"/>
      <x:c r="O678" s="41"/>
      <x:c r="P678" s="41"/>
      <x:c r="Q678" s="41"/>
      <x:c r="R678" s="41"/>
      <x:c r="S678" s="41"/>
      <x:c r="T678" s="41"/>
      <x:c r="U678" s="41"/>
      <x:c r="V678" s="41"/>
      <x:c r="W678" s="41"/>
      <x:c r="X678" s="41"/>
      <x:c r="Y678" s="41"/>
      <x:c r="Z678" s="41"/>
    </x:row>
    <x:row r="679">
      <x:c r="A679" s="44"/>
      <x:c r="B679" s="44"/>
      <x:c r="C679" s="44"/>
      <x:c r="D679" s="44"/>
      <x:c r="E679" s="44"/>
      <x:c r="F679" s="45"/>
      <x:c r="G679" s="44"/>
      <x:c r="H679" s="45"/>
      <x:c r="I679" s="45"/>
      <x:c r="J679" s="46"/>
      <x:c r="K679" s="46"/>
      <x:c r="L679" s="41"/>
      <x:c r="M679" s="41"/>
      <x:c r="N679" s="41"/>
      <x:c r="O679" s="41"/>
      <x:c r="P679" s="41"/>
      <x:c r="Q679" s="41"/>
      <x:c r="R679" s="41"/>
      <x:c r="S679" s="41"/>
      <x:c r="T679" s="41"/>
      <x:c r="U679" s="41"/>
      <x:c r="V679" s="41"/>
      <x:c r="W679" s="41"/>
      <x:c r="X679" s="41"/>
      <x:c r="Y679" s="41"/>
      <x:c r="Z679" s="41"/>
    </x:row>
    <x:row r="680">
      <x:c r="A680" s="44"/>
      <x:c r="B680" s="44"/>
      <x:c r="C680" s="44"/>
      <x:c r="D680" s="44"/>
      <x:c r="E680" s="44"/>
      <x:c r="F680" s="45"/>
      <x:c r="G680" s="44"/>
      <x:c r="H680" s="45"/>
      <x:c r="I680" s="45"/>
      <x:c r="J680" s="46"/>
      <x:c r="K680" s="46"/>
      <x:c r="L680" s="41"/>
      <x:c r="M680" s="41"/>
      <x:c r="N680" s="41"/>
      <x:c r="O680" s="41"/>
      <x:c r="P680" s="41"/>
      <x:c r="Q680" s="41"/>
      <x:c r="R680" s="41"/>
      <x:c r="S680" s="41"/>
      <x:c r="T680" s="41"/>
      <x:c r="U680" s="41"/>
      <x:c r="V680" s="41"/>
      <x:c r="W680" s="41"/>
      <x:c r="X680" s="41"/>
      <x:c r="Y680" s="41"/>
      <x:c r="Z680" s="41"/>
    </x:row>
    <x:row r="681">
      <x:c r="A681" s="44"/>
      <x:c r="B681" s="44"/>
      <x:c r="C681" s="44"/>
      <x:c r="D681" s="44"/>
      <x:c r="E681" s="44"/>
      <x:c r="F681" s="45"/>
      <x:c r="G681" s="44"/>
      <x:c r="H681" s="45"/>
      <x:c r="I681" s="45"/>
      <x:c r="J681" s="46"/>
      <x:c r="K681" s="46"/>
      <x:c r="L681" s="41"/>
      <x:c r="M681" s="41"/>
      <x:c r="N681" s="41"/>
      <x:c r="O681" s="41"/>
      <x:c r="P681" s="41"/>
      <x:c r="Q681" s="41"/>
      <x:c r="R681" s="41"/>
      <x:c r="S681" s="41"/>
      <x:c r="T681" s="41"/>
      <x:c r="U681" s="41"/>
      <x:c r="V681" s="41"/>
      <x:c r="W681" s="41"/>
      <x:c r="X681" s="41"/>
      <x:c r="Y681" s="41"/>
      <x:c r="Z681" s="41"/>
    </x:row>
    <x:row r="682">
      <x:c r="A682" s="44"/>
      <x:c r="B682" s="44"/>
      <x:c r="C682" s="44"/>
      <x:c r="D682" s="44"/>
      <x:c r="E682" s="44"/>
      <x:c r="F682" s="45"/>
      <x:c r="G682" s="44"/>
      <x:c r="H682" s="45"/>
      <x:c r="I682" s="45"/>
      <x:c r="J682" s="46"/>
      <x:c r="K682" s="46"/>
      <x:c r="L682" s="41"/>
      <x:c r="M682" s="41"/>
      <x:c r="N682" s="41"/>
      <x:c r="O682" s="41"/>
      <x:c r="P682" s="41"/>
      <x:c r="Q682" s="41"/>
      <x:c r="R682" s="41"/>
      <x:c r="S682" s="41"/>
      <x:c r="T682" s="41"/>
      <x:c r="U682" s="41"/>
      <x:c r="V682" s="41"/>
      <x:c r="W682" s="41"/>
      <x:c r="X682" s="41"/>
      <x:c r="Y682" s="41"/>
      <x:c r="Z682" s="41"/>
    </x:row>
    <x:row r="683">
      <x:c r="A683" s="44"/>
      <x:c r="B683" s="44"/>
      <x:c r="C683" s="44"/>
      <x:c r="D683" s="44"/>
      <x:c r="E683" s="44"/>
      <x:c r="F683" s="45"/>
      <x:c r="G683" s="44"/>
      <x:c r="H683" s="45"/>
      <x:c r="I683" s="45"/>
      <x:c r="J683" s="46"/>
      <x:c r="K683" s="46"/>
      <x:c r="L683" s="41"/>
      <x:c r="M683" s="41"/>
      <x:c r="N683" s="41"/>
      <x:c r="O683" s="41"/>
      <x:c r="P683" s="41"/>
      <x:c r="Q683" s="41"/>
      <x:c r="R683" s="41"/>
      <x:c r="S683" s="41"/>
      <x:c r="T683" s="41"/>
      <x:c r="U683" s="41"/>
      <x:c r="V683" s="41"/>
      <x:c r="W683" s="41"/>
      <x:c r="X683" s="41"/>
      <x:c r="Y683" s="41"/>
      <x:c r="Z683" s="41"/>
    </x:row>
    <x:row r="684">
      <x:c r="A684" s="44"/>
      <x:c r="B684" s="44"/>
      <x:c r="C684" s="44"/>
      <x:c r="D684" s="44"/>
      <x:c r="E684" s="44"/>
      <x:c r="F684" s="45"/>
      <x:c r="G684" s="44"/>
      <x:c r="H684" s="45"/>
      <x:c r="I684" s="45"/>
      <x:c r="J684" s="46"/>
      <x:c r="K684" s="46"/>
      <x:c r="L684" s="41"/>
      <x:c r="M684" s="41"/>
      <x:c r="N684" s="41"/>
      <x:c r="O684" s="41"/>
      <x:c r="P684" s="41"/>
      <x:c r="Q684" s="41"/>
      <x:c r="R684" s="41"/>
      <x:c r="S684" s="41"/>
      <x:c r="T684" s="41"/>
      <x:c r="U684" s="41"/>
      <x:c r="V684" s="41"/>
      <x:c r="W684" s="41"/>
      <x:c r="X684" s="41"/>
      <x:c r="Y684" s="41"/>
      <x:c r="Z684" s="41"/>
    </x:row>
    <x:row r="685">
      <x:c r="A685" s="44"/>
      <x:c r="B685" s="44"/>
      <x:c r="C685" s="44"/>
      <x:c r="D685" s="44"/>
      <x:c r="E685" s="44"/>
      <x:c r="F685" s="45"/>
      <x:c r="G685" s="44"/>
      <x:c r="H685" s="45"/>
      <x:c r="I685" s="45"/>
      <x:c r="J685" s="46"/>
      <x:c r="K685" s="46"/>
      <x:c r="L685" s="41"/>
      <x:c r="M685" s="41"/>
      <x:c r="N685" s="41"/>
      <x:c r="O685" s="41"/>
      <x:c r="P685" s="41"/>
      <x:c r="Q685" s="41"/>
      <x:c r="R685" s="41"/>
      <x:c r="S685" s="41"/>
      <x:c r="T685" s="41"/>
      <x:c r="U685" s="41"/>
      <x:c r="V685" s="41"/>
      <x:c r="W685" s="41"/>
      <x:c r="X685" s="41"/>
      <x:c r="Y685" s="41"/>
      <x:c r="Z685" s="41"/>
    </x:row>
    <x:row r="686">
      <x:c r="A686" s="44"/>
      <x:c r="B686" s="44"/>
      <x:c r="C686" s="44"/>
      <x:c r="D686" s="44"/>
      <x:c r="E686" s="44"/>
      <x:c r="F686" s="45"/>
      <x:c r="G686" s="44"/>
      <x:c r="H686" s="45"/>
      <x:c r="I686" s="45"/>
      <x:c r="J686" s="46"/>
      <x:c r="K686" s="46"/>
      <x:c r="L686" s="41"/>
      <x:c r="M686" s="41"/>
      <x:c r="N686" s="41"/>
      <x:c r="O686" s="41"/>
      <x:c r="P686" s="41"/>
      <x:c r="Q686" s="41"/>
      <x:c r="R686" s="41"/>
      <x:c r="S686" s="41"/>
      <x:c r="T686" s="41"/>
      <x:c r="U686" s="41"/>
      <x:c r="V686" s="41"/>
      <x:c r="W686" s="41"/>
      <x:c r="X686" s="41"/>
      <x:c r="Y686" s="41"/>
      <x:c r="Z686" s="41"/>
    </x:row>
    <x:row r="687">
      <x:c r="A687" s="44"/>
      <x:c r="B687" s="44"/>
      <x:c r="C687" s="44"/>
      <x:c r="D687" s="44"/>
      <x:c r="E687" s="44"/>
      <x:c r="F687" s="45"/>
      <x:c r="G687" s="44"/>
      <x:c r="H687" s="45"/>
      <x:c r="I687" s="45"/>
      <x:c r="J687" s="46"/>
      <x:c r="K687" s="46"/>
      <x:c r="L687" s="41"/>
      <x:c r="M687" s="41"/>
      <x:c r="N687" s="41"/>
      <x:c r="O687" s="41"/>
      <x:c r="P687" s="41"/>
      <x:c r="Q687" s="41"/>
      <x:c r="R687" s="41"/>
      <x:c r="S687" s="41"/>
      <x:c r="T687" s="41"/>
      <x:c r="U687" s="41"/>
      <x:c r="V687" s="41"/>
      <x:c r="W687" s="41"/>
      <x:c r="X687" s="41"/>
      <x:c r="Y687" s="41"/>
      <x:c r="Z687" s="41"/>
    </x:row>
    <x:row r="688">
      <x:c r="A688" s="44"/>
      <x:c r="B688" s="44"/>
      <x:c r="C688" s="44"/>
      <x:c r="D688" s="44"/>
      <x:c r="E688" s="44"/>
      <x:c r="F688" s="45"/>
      <x:c r="G688" s="44"/>
      <x:c r="H688" s="45"/>
      <x:c r="I688" s="45"/>
      <x:c r="J688" s="46"/>
      <x:c r="K688" s="46"/>
      <x:c r="L688" s="41"/>
      <x:c r="M688" s="41"/>
      <x:c r="N688" s="41"/>
      <x:c r="O688" s="41"/>
      <x:c r="P688" s="41"/>
      <x:c r="Q688" s="41"/>
      <x:c r="R688" s="41"/>
      <x:c r="S688" s="41"/>
      <x:c r="T688" s="41"/>
      <x:c r="U688" s="41"/>
      <x:c r="V688" s="41"/>
      <x:c r="W688" s="41"/>
      <x:c r="X688" s="41"/>
      <x:c r="Y688" s="41"/>
      <x:c r="Z688" s="41"/>
    </x:row>
    <x:row r="689">
      <x:c r="A689" s="44"/>
      <x:c r="B689" s="44"/>
      <x:c r="C689" s="44"/>
      <x:c r="D689" s="44"/>
      <x:c r="E689" s="44"/>
      <x:c r="F689" s="45"/>
      <x:c r="G689" s="44"/>
      <x:c r="H689" s="45"/>
      <x:c r="I689" s="45"/>
      <x:c r="J689" s="46"/>
      <x:c r="K689" s="46"/>
      <x:c r="L689" s="41"/>
      <x:c r="M689" s="41"/>
      <x:c r="N689" s="41"/>
      <x:c r="O689" s="41"/>
      <x:c r="P689" s="41"/>
      <x:c r="Q689" s="41"/>
      <x:c r="R689" s="41"/>
      <x:c r="S689" s="41"/>
      <x:c r="T689" s="41"/>
      <x:c r="U689" s="41"/>
      <x:c r="V689" s="41"/>
      <x:c r="W689" s="41"/>
      <x:c r="X689" s="41"/>
      <x:c r="Y689" s="41"/>
      <x:c r="Z689" s="41"/>
    </x:row>
    <x:row r="690">
      <x:c r="A690" s="44"/>
      <x:c r="B690" s="44"/>
      <x:c r="C690" s="44"/>
      <x:c r="D690" s="44"/>
      <x:c r="E690" s="44"/>
      <x:c r="F690" s="45"/>
      <x:c r="G690" s="44"/>
      <x:c r="H690" s="45"/>
      <x:c r="I690" s="45"/>
      <x:c r="J690" s="46"/>
      <x:c r="K690" s="46"/>
      <x:c r="L690" s="41"/>
      <x:c r="M690" s="41"/>
      <x:c r="N690" s="41"/>
      <x:c r="O690" s="41"/>
      <x:c r="P690" s="41"/>
      <x:c r="Q690" s="41"/>
      <x:c r="R690" s="41"/>
      <x:c r="S690" s="41"/>
      <x:c r="T690" s="41"/>
      <x:c r="U690" s="41"/>
      <x:c r="V690" s="41"/>
      <x:c r="W690" s="41"/>
      <x:c r="X690" s="41"/>
      <x:c r="Y690" s="41"/>
      <x:c r="Z690" s="41"/>
    </x:row>
    <x:row r="691">
      <x:c r="A691" s="44"/>
      <x:c r="B691" s="44"/>
      <x:c r="C691" s="44"/>
      <x:c r="D691" s="44"/>
      <x:c r="E691" s="44"/>
      <x:c r="F691" s="45"/>
      <x:c r="G691" s="44"/>
      <x:c r="H691" s="45"/>
      <x:c r="I691" s="45"/>
      <x:c r="J691" s="46"/>
      <x:c r="K691" s="46"/>
      <x:c r="L691" s="41"/>
      <x:c r="M691" s="41"/>
      <x:c r="N691" s="41"/>
      <x:c r="O691" s="41"/>
      <x:c r="P691" s="41"/>
      <x:c r="Q691" s="41"/>
      <x:c r="R691" s="41"/>
      <x:c r="S691" s="41"/>
      <x:c r="T691" s="41"/>
      <x:c r="U691" s="41"/>
      <x:c r="V691" s="41"/>
      <x:c r="W691" s="41"/>
      <x:c r="X691" s="41"/>
      <x:c r="Y691" s="41"/>
      <x:c r="Z691" s="41"/>
    </x:row>
    <x:row r="692">
      <x:c r="A692" s="44"/>
      <x:c r="B692" s="44"/>
      <x:c r="C692" s="44"/>
      <x:c r="D692" s="44"/>
      <x:c r="E692" s="44"/>
      <x:c r="F692" s="45"/>
      <x:c r="G692" s="44"/>
      <x:c r="H692" s="45"/>
      <x:c r="I692" s="45"/>
      <x:c r="J692" s="46"/>
      <x:c r="K692" s="46"/>
      <x:c r="L692" s="41"/>
      <x:c r="M692" s="41"/>
      <x:c r="N692" s="41"/>
      <x:c r="O692" s="41"/>
      <x:c r="P692" s="41"/>
      <x:c r="Q692" s="41"/>
      <x:c r="R692" s="41"/>
      <x:c r="S692" s="41"/>
      <x:c r="T692" s="41"/>
      <x:c r="U692" s="41"/>
      <x:c r="V692" s="41"/>
      <x:c r="W692" s="41"/>
      <x:c r="X692" s="41"/>
      <x:c r="Y692" s="41"/>
      <x:c r="Z692" s="41"/>
    </x:row>
    <x:row r="693">
      <x:c r="A693" s="44"/>
      <x:c r="B693" s="44"/>
      <x:c r="C693" s="44"/>
      <x:c r="D693" s="44"/>
      <x:c r="E693" s="44"/>
      <x:c r="F693" s="45"/>
      <x:c r="G693" s="44"/>
      <x:c r="H693" s="45"/>
      <x:c r="I693" s="45"/>
      <x:c r="J693" s="46"/>
      <x:c r="K693" s="46"/>
      <x:c r="L693" s="41"/>
      <x:c r="M693" s="41"/>
      <x:c r="N693" s="41"/>
      <x:c r="O693" s="41"/>
      <x:c r="P693" s="41"/>
      <x:c r="Q693" s="41"/>
      <x:c r="R693" s="41"/>
      <x:c r="S693" s="41"/>
      <x:c r="T693" s="41"/>
      <x:c r="U693" s="41"/>
      <x:c r="V693" s="41"/>
      <x:c r="W693" s="41"/>
      <x:c r="X693" s="41"/>
      <x:c r="Y693" s="41"/>
      <x:c r="Z693" s="41"/>
    </x:row>
    <x:row r="694">
      <x:c r="A694" s="44"/>
      <x:c r="B694" s="44"/>
      <x:c r="C694" s="44"/>
      <x:c r="D694" s="44"/>
      <x:c r="E694" s="44"/>
      <x:c r="F694" s="45"/>
      <x:c r="G694" s="44"/>
      <x:c r="H694" s="45"/>
      <x:c r="I694" s="45"/>
      <x:c r="J694" s="46"/>
      <x:c r="K694" s="46"/>
      <x:c r="L694" s="41"/>
      <x:c r="M694" s="41"/>
      <x:c r="N694" s="41"/>
      <x:c r="O694" s="41"/>
      <x:c r="P694" s="41"/>
      <x:c r="Q694" s="41"/>
      <x:c r="R694" s="41"/>
      <x:c r="S694" s="41"/>
      <x:c r="T694" s="41"/>
      <x:c r="U694" s="41"/>
      <x:c r="V694" s="41"/>
      <x:c r="W694" s="41"/>
      <x:c r="X694" s="41"/>
      <x:c r="Y694" s="41"/>
      <x:c r="Z694" s="41"/>
    </x:row>
    <x:row r="695">
      <x:c r="A695" s="44"/>
      <x:c r="B695" s="44"/>
      <x:c r="C695" s="44"/>
      <x:c r="D695" s="44"/>
      <x:c r="E695" s="44"/>
      <x:c r="F695" s="45"/>
      <x:c r="G695" s="44"/>
      <x:c r="H695" s="45"/>
      <x:c r="I695" s="45"/>
      <x:c r="J695" s="46"/>
      <x:c r="K695" s="46"/>
      <x:c r="L695" s="41"/>
      <x:c r="M695" s="41"/>
      <x:c r="N695" s="41"/>
      <x:c r="O695" s="41"/>
      <x:c r="P695" s="41"/>
      <x:c r="Q695" s="41"/>
      <x:c r="R695" s="41"/>
      <x:c r="S695" s="41"/>
      <x:c r="T695" s="41"/>
      <x:c r="U695" s="41"/>
      <x:c r="V695" s="41"/>
      <x:c r="W695" s="41"/>
      <x:c r="X695" s="41"/>
      <x:c r="Y695" s="41"/>
      <x:c r="Z695" s="41"/>
    </x:row>
    <x:row r="696">
      <x:c r="A696" s="44"/>
      <x:c r="B696" s="44"/>
      <x:c r="C696" s="44"/>
      <x:c r="D696" s="44"/>
      <x:c r="E696" s="44"/>
      <x:c r="F696" s="45"/>
      <x:c r="G696" s="44"/>
      <x:c r="H696" s="45"/>
      <x:c r="I696" s="45"/>
      <x:c r="J696" s="46"/>
      <x:c r="K696" s="46"/>
      <x:c r="L696" s="41"/>
      <x:c r="M696" s="41"/>
      <x:c r="N696" s="41"/>
      <x:c r="O696" s="41"/>
      <x:c r="P696" s="41"/>
      <x:c r="Q696" s="41"/>
      <x:c r="R696" s="41"/>
      <x:c r="S696" s="41"/>
      <x:c r="T696" s="41"/>
      <x:c r="U696" s="41"/>
      <x:c r="V696" s="41"/>
      <x:c r="W696" s="41"/>
      <x:c r="X696" s="41"/>
      <x:c r="Y696" s="41"/>
      <x:c r="Z696" s="41"/>
    </x:row>
    <x:row r="697">
      <x:c r="A697" s="44"/>
      <x:c r="B697" s="44"/>
      <x:c r="C697" s="44"/>
      <x:c r="D697" s="44"/>
      <x:c r="E697" s="44"/>
      <x:c r="F697" s="45"/>
      <x:c r="G697" s="44"/>
      <x:c r="H697" s="45"/>
      <x:c r="I697" s="45"/>
      <x:c r="J697" s="46"/>
      <x:c r="K697" s="46"/>
      <x:c r="L697" s="41"/>
      <x:c r="M697" s="41"/>
      <x:c r="N697" s="41"/>
      <x:c r="O697" s="41"/>
      <x:c r="P697" s="41"/>
      <x:c r="Q697" s="41"/>
      <x:c r="R697" s="41"/>
      <x:c r="S697" s="41"/>
      <x:c r="T697" s="41"/>
      <x:c r="U697" s="41"/>
      <x:c r="V697" s="41"/>
      <x:c r="W697" s="41"/>
      <x:c r="X697" s="41"/>
      <x:c r="Y697" s="41"/>
      <x:c r="Z697" s="41"/>
    </x:row>
    <x:row r="698">
      <x:c r="A698" s="44"/>
      <x:c r="B698" s="44"/>
      <x:c r="C698" s="44"/>
      <x:c r="D698" s="44"/>
      <x:c r="E698" s="44"/>
      <x:c r="F698" s="45"/>
      <x:c r="G698" s="44"/>
      <x:c r="H698" s="45"/>
      <x:c r="I698" s="45"/>
      <x:c r="J698" s="46"/>
      <x:c r="K698" s="46"/>
      <x:c r="L698" s="41"/>
      <x:c r="M698" s="41"/>
      <x:c r="N698" s="41"/>
      <x:c r="O698" s="41"/>
      <x:c r="P698" s="41"/>
      <x:c r="Q698" s="41"/>
      <x:c r="R698" s="41"/>
      <x:c r="S698" s="41"/>
      <x:c r="T698" s="41"/>
      <x:c r="U698" s="41"/>
      <x:c r="V698" s="41"/>
      <x:c r="W698" s="41"/>
      <x:c r="X698" s="41"/>
      <x:c r="Y698" s="41"/>
      <x:c r="Z698" s="41"/>
    </x:row>
    <x:row r="699">
      <x:c r="A699" s="44"/>
      <x:c r="B699" s="44"/>
      <x:c r="C699" s="44"/>
      <x:c r="D699" s="44"/>
      <x:c r="E699" s="44"/>
      <x:c r="F699" s="45"/>
      <x:c r="G699" s="44"/>
      <x:c r="H699" s="45"/>
      <x:c r="I699" s="45"/>
      <x:c r="J699" s="46"/>
      <x:c r="K699" s="46"/>
      <x:c r="L699" s="41"/>
      <x:c r="M699" s="41"/>
      <x:c r="N699" s="41"/>
      <x:c r="O699" s="41"/>
      <x:c r="P699" s="41"/>
      <x:c r="Q699" s="41"/>
      <x:c r="R699" s="41"/>
      <x:c r="S699" s="41"/>
      <x:c r="T699" s="41"/>
      <x:c r="U699" s="41"/>
      <x:c r="V699" s="41"/>
      <x:c r="W699" s="41"/>
      <x:c r="X699" s="41"/>
      <x:c r="Y699" s="41"/>
      <x:c r="Z699" s="41"/>
    </x:row>
    <x:row r="700">
      <x:c r="A700" s="44"/>
      <x:c r="B700" s="44"/>
      <x:c r="C700" s="44"/>
      <x:c r="D700" s="44"/>
      <x:c r="E700" s="44"/>
      <x:c r="F700" s="45"/>
      <x:c r="G700" s="44"/>
      <x:c r="H700" s="45"/>
      <x:c r="I700" s="45"/>
      <x:c r="J700" s="46"/>
      <x:c r="K700" s="46"/>
      <x:c r="L700" s="41"/>
      <x:c r="M700" s="41"/>
      <x:c r="N700" s="41"/>
      <x:c r="O700" s="41"/>
      <x:c r="P700" s="41"/>
      <x:c r="Q700" s="41"/>
      <x:c r="R700" s="41"/>
      <x:c r="S700" s="41"/>
      <x:c r="T700" s="41"/>
      <x:c r="U700" s="41"/>
      <x:c r="V700" s="41"/>
      <x:c r="W700" s="41"/>
      <x:c r="X700" s="41"/>
      <x:c r="Y700" s="41"/>
      <x:c r="Z700" s="41"/>
    </x:row>
    <x:row r="701">
      <x:c r="A701" s="44"/>
      <x:c r="B701" s="44"/>
      <x:c r="C701" s="44"/>
      <x:c r="D701" s="44"/>
      <x:c r="E701" s="44"/>
      <x:c r="F701" s="45"/>
      <x:c r="G701" s="44"/>
      <x:c r="H701" s="45"/>
      <x:c r="I701" s="45"/>
      <x:c r="J701" s="46"/>
      <x:c r="K701" s="46"/>
      <x:c r="L701" s="41"/>
      <x:c r="M701" s="41"/>
      <x:c r="N701" s="41"/>
      <x:c r="O701" s="41"/>
      <x:c r="P701" s="41"/>
      <x:c r="Q701" s="41"/>
      <x:c r="R701" s="41"/>
      <x:c r="S701" s="41"/>
      <x:c r="T701" s="41"/>
      <x:c r="U701" s="41"/>
      <x:c r="V701" s="41"/>
      <x:c r="W701" s="41"/>
      <x:c r="X701" s="41"/>
      <x:c r="Y701" s="41"/>
      <x:c r="Z701" s="41"/>
    </x:row>
    <x:row r="702">
      <x:c r="A702" s="44"/>
      <x:c r="B702" s="44"/>
      <x:c r="C702" s="44"/>
      <x:c r="D702" s="44"/>
      <x:c r="E702" s="44"/>
      <x:c r="F702" s="45"/>
      <x:c r="G702" s="44"/>
      <x:c r="H702" s="45"/>
      <x:c r="I702" s="45"/>
      <x:c r="J702" s="46"/>
      <x:c r="K702" s="46"/>
      <x:c r="L702" s="41"/>
      <x:c r="M702" s="41"/>
      <x:c r="N702" s="41"/>
      <x:c r="O702" s="41"/>
      <x:c r="P702" s="41"/>
      <x:c r="Q702" s="41"/>
      <x:c r="R702" s="41"/>
      <x:c r="S702" s="41"/>
      <x:c r="T702" s="41"/>
      <x:c r="U702" s="41"/>
      <x:c r="V702" s="41"/>
      <x:c r="W702" s="41"/>
      <x:c r="X702" s="41"/>
      <x:c r="Y702" s="41"/>
      <x:c r="Z702" s="41"/>
    </x:row>
    <x:row r="703">
      <x:c r="A703" s="44"/>
      <x:c r="B703" s="44"/>
      <x:c r="C703" s="44"/>
      <x:c r="D703" s="44"/>
      <x:c r="E703" s="44"/>
      <x:c r="F703" s="45"/>
      <x:c r="G703" s="44"/>
      <x:c r="H703" s="45"/>
      <x:c r="I703" s="45"/>
      <x:c r="J703" s="46"/>
      <x:c r="K703" s="46"/>
      <x:c r="L703" s="41"/>
      <x:c r="M703" s="41"/>
      <x:c r="N703" s="41"/>
      <x:c r="O703" s="41"/>
      <x:c r="P703" s="41"/>
      <x:c r="Q703" s="41"/>
      <x:c r="R703" s="41"/>
      <x:c r="S703" s="41"/>
      <x:c r="T703" s="41"/>
      <x:c r="U703" s="41"/>
      <x:c r="V703" s="41"/>
      <x:c r="W703" s="41"/>
      <x:c r="X703" s="41"/>
      <x:c r="Y703" s="41"/>
      <x:c r="Z703" s="41"/>
    </x:row>
    <x:row r="704">
      <x:c r="A704" s="44"/>
      <x:c r="B704" s="44"/>
      <x:c r="C704" s="44"/>
      <x:c r="D704" s="44"/>
      <x:c r="E704" s="44"/>
      <x:c r="F704" s="45"/>
      <x:c r="G704" s="44"/>
      <x:c r="H704" s="45"/>
      <x:c r="I704" s="45"/>
      <x:c r="J704" s="46"/>
      <x:c r="K704" s="46"/>
      <x:c r="L704" s="41"/>
      <x:c r="M704" s="41"/>
      <x:c r="N704" s="41"/>
      <x:c r="O704" s="41"/>
      <x:c r="P704" s="41"/>
      <x:c r="Q704" s="41"/>
      <x:c r="R704" s="41"/>
      <x:c r="S704" s="41"/>
      <x:c r="T704" s="41"/>
      <x:c r="U704" s="41"/>
      <x:c r="V704" s="41"/>
      <x:c r="W704" s="41"/>
      <x:c r="X704" s="41"/>
      <x:c r="Y704" s="41"/>
      <x:c r="Z704" s="41"/>
    </x:row>
    <x:row r="705">
      <x:c r="A705" s="44"/>
      <x:c r="B705" s="44"/>
      <x:c r="C705" s="44"/>
      <x:c r="D705" s="44"/>
      <x:c r="E705" s="44"/>
      <x:c r="F705" s="45"/>
      <x:c r="G705" s="44"/>
      <x:c r="H705" s="45"/>
      <x:c r="I705" s="45"/>
      <x:c r="J705" s="46"/>
      <x:c r="K705" s="46"/>
      <x:c r="L705" s="41"/>
      <x:c r="M705" s="41"/>
      <x:c r="N705" s="41"/>
      <x:c r="O705" s="41"/>
      <x:c r="P705" s="41"/>
      <x:c r="Q705" s="41"/>
      <x:c r="R705" s="41"/>
      <x:c r="S705" s="41"/>
      <x:c r="T705" s="41"/>
      <x:c r="U705" s="41"/>
      <x:c r="V705" s="41"/>
      <x:c r="W705" s="41"/>
      <x:c r="X705" s="41"/>
      <x:c r="Y705" s="41"/>
      <x:c r="Z705" s="41"/>
    </x:row>
    <x:row r="706">
      <x:c r="A706" s="44"/>
      <x:c r="B706" s="44"/>
      <x:c r="C706" s="44"/>
      <x:c r="D706" s="44"/>
      <x:c r="E706" s="44"/>
      <x:c r="F706" s="45"/>
      <x:c r="G706" s="44"/>
      <x:c r="H706" s="45"/>
      <x:c r="I706" s="45"/>
      <x:c r="J706" s="46"/>
      <x:c r="K706" s="46"/>
      <x:c r="L706" s="41"/>
      <x:c r="M706" s="41"/>
      <x:c r="N706" s="41"/>
      <x:c r="O706" s="41"/>
      <x:c r="P706" s="41"/>
      <x:c r="Q706" s="41"/>
      <x:c r="R706" s="41"/>
      <x:c r="S706" s="41"/>
      <x:c r="T706" s="41"/>
      <x:c r="U706" s="41"/>
      <x:c r="V706" s="41"/>
      <x:c r="W706" s="41"/>
      <x:c r="X706" s="41"/>
      <x:c r="Y706" s="41"/>
      <x:c r="Z706" s="41"/>
    </x:row>
    <x:row r="707">
      <x:c r="A707" s="44"/>
      <x:c r="B707" s="44"/>
      <x:c r="C707" s="44"/>
      <x:c r="D707" s="44"/>
      <x:c r="E707" s="44"/>
      <x:c r="F707" s="45"/>
      <x:c r="G707" s="44"/>
      <x:c r="H707" s="45"/>
      <x:c r="I707" s="45"/>
      <x:c r="J707" s="46"/>
      <x:c r="K707" s="46"/>
      <x:c r="L707" s="41"/>
      <x:c r="M707" s="41"/>
      <x:c r="N707" s="41"/>
      <x:c r="O707" s="41"/>
      <x:c r="P707" s="41"/>
      <x:c r="Q707" s="41"/>
      <x:c r="R707" s="41"/>
      <x:c r="S707" s="41"/>
      <x:c r="T707" s="41"/>
      <x:c r="U707" s="41"/>
      <x:c r="V707" s="41"/>
      <x:c r="W707" s="41"/>
      <x:c r="X707" s="41"/>
      <x:c r="Y707" s="41"/>
      <x:c r="Z707" s="41"/>
    </x:row>
    <x:row r="708">
      <x:c r="A708" s="44"/>
      <x:c r="B708" s="44"/>
      <x:c r="C708" s="44"/>
      <x:c r="D708" s="44"/>
      <x:c r="E708" s="44"/>
      <x:c r="F708" s="45"/>
      <x:c r="G708" s="44"/>
      <x:c r="H708" s="45"/>
      <x:c r="I708" s="45"/>
      <x:c r="J708" s="46"/>
      <x:c r="K708" s="46"/>
      <x:c r="L708" s="41"/>
      <x:c r="M708" s="41"/>
      <x:c r="N708" s="41"/>
      <x:c r="O708" s="41"/>
      <x:c r="P708" s="41"/>
      <x:c r="Q708" s="41"/>
      <x:c r="R708" s="41"/>
      <x:c r="S708" s="41"/>
      <x:c r="T708" s="41"/>
      <x:c r="U708" s="41"/>
      <x:c r="V708" s="41"/>
      <x:c r="W708" s="41"/>
      <x:c r="X708" s="41"/>
      <x:c r="Y708" s="41"/>
      <x:c r="Z708" s="41"/>
    </x:row>
    <x:row r="709">
      <x:c r="A709" s="44"/>
      <x:c r="B709" s="44"/>
      <x:c r="C709" s="44"/>
      <x:c r="D709" s="44"/>
      <x:c r="E709" s="44"/>
      <x:c r="F709" s="45"/>
      <x:c r="G709" s="44"/>
      <x:c r="H709" s="45"/>
      <x:c r="I709" s="45"/>
      <x:c r="J709" s="46"/>
      <x:c r="K709" s="46"/>
      <x:c r="L709" s="41"/>
      <x:c r="M709" s="41"/>
      <x:c r="N709" s="41"/>
      <x:c r="O709" s="41"/>
      <x:c r="P709" s="41"/>
      <x:c r="Q709" s="41"/>
      <x:c r="R709" s="41"/>
      <x:c r="S709" s="41"/>
      <x:c r="T709" s="41"/>
      <x:c r="U709" s="41"/>
      <x:c r="V709" s="41"/>
      <x:c r="W709" s="41"/>
      <x:c r="X709" s="41"/>
      <x:c r="Y709" s="41"/>
      <x:c r="Z709" s="41"/>
    </x:row>
    <x:row r="710">
      <x:c r="A710" s="44"/>
      <x:c r="B710" s="44"/>
      <x:c r="C710" s="44"/>
      <x:c r="D710" s="44"/>
      <x:c r="E710" s="44"/>
      <x:c r="F710" s="45"/>
      <x:c r="G710" s="44"/>
      <x:c r="H710" s="45"/>
      <x:c r="I710" s="45"/>
      <x:c r="J710" s="46"/>
      <x:c r="K710" s="46"/>
      <x:c r="L710" s="41"/>
      <x:c r="M710" s="41"/>
      <x:c r="N710" s="41"/>
      <x:c r="O710" s="41"/>
      <x:c r="P710" s="41"/>
      <x:c r="Q710" s="41"/>
      <x:c r="R710" s="41"/>
      <x:c r="S710" s="41"/>
      <x:c r="T710" s="41"/>
      <x:c r="U710" s="41"/>
      <x:c r="V710" s="41"/>
      <x:c r="W710" s="41"/>
      <x:c r="X710" s="41"/>
      <x:c r="Y710" s="41"/>
      <x:c r="Z710" s="41"/>
    </x:row>
    <x:row r="711">
      <x:c r="A711" s="44"/>
      <x:c r="B711" s="44"/>
      <x:c r="C711" s="44"/>
      <x:c r="D711" s="44"/>
      <x:c r="E711" s="44"/>
      <x:c r="F711" s="45"/>
      <x:c r="G711" s="44"/>
      <x:c r="H711" s="45"/>
      <x:c r="I711" s="45"/>
      <x:c r="J711" s="46"/>
      <x:c r="K711" s="46"/>
      <x:c r="L711" s="41"/>
      <x:c r="M711" s="41"/>
      <x:c r="N711" s="41"/>
      <x:c r="O711" s="41"/>
      <x:c r="P711" s="41"/>
      <x:c r="Q711" s="41"/>
      <x:c r="R711" s="41"/>
      <x:c r="S711" s="41"/>
      <x:c r="T711" s="41"/>
      <x:c r="U711" s="41"/>
      <x:c r="V711" s="41"/>
      <x:c r="W711" s="41"/>
      <x:c r="X711" s="41"/>
      <x:c r="Y711" s="41"/>
      <x:c r="Z711" s="41"/>
    </x:row>
    <x:row r="712">
      <x:c r="A712" s="44"/>
      <x:c r="B712" s="44"/>
      <x:c r="C712" s="44"/>
      <x:c r="D712" s="44"/>
      <x:c r="E712" s="44"/>
      <x:c r="F712" s="45"/>
      <x:c r="G712" s="44"/>
      <x:c r="H712" s="45"/>
      <x:c r="I712" s="45"/>
      <x:c r="J712" s="46"/>
      <x:c r="K712" s="46"/>
      <x:c r="L712" s="41"/>
      <x:c r="M712" s="41"/>
      <x:c r="N712" s="41"/>
      <x:c r="O712" s="41"/>
      <x:c r="P712" s="41"/>
      <x:c r="Q712" s="41"/>
      <x:c r="R712" s="41"/>
      <x:c r="S712" s="41"/>
      <x:c r="T712" s="41"/>
      <x:c r="U712" s="41"/>
      <x:c r="V712" s="41"/>
      <x:c r="W712" s="41"/>
      <x:c r="X712" s="41"/>
      <x:c r="Y712" s="41"/>
      <x:c r="Z712" s="41"/>
    </x:row>
    <x:row r="713">
      <x:c r="A713" s="44"/>
      <x:c r="B713" s="44"/>
      <x:c r="C713" s="44"/>
      <x:c r="D713" s="44"/>
      <x:c r="E713" s="44"/>
      <x:c r="F713" s="45"/>
      <x:c r="G713" s="44"/>
      <x:c r="H713" s="45"/>
      <x:c r="I713" s="45"/>
      <x:c r="J713" s="46"/>
      <x:c r="K713" s="46"/>
      <x:c r="L713" s="41"/>
      <x:c r="M713" s="41"/>
      <x:c r="N713" s="41"/>
      <x:c r="O713" s="41"/>
      <x:c r="P713" s="41"/>
      <x:c r="Q713" s="41"/>
      <x:c r="R713" s="41"/>
      <x:c r="S713" s="41"/>
      <x:c r="T713" s="41"/>
      <x:c r="U713" s="41"/>
      <x:c r="V713" s="41"/>
      <x:c r="W713" s="41"/>
      <x:c r="X713" s="41"/>
      <x:c r="Y713" s="41"/>
      <x:c r="Z713" s="41"/>
    </x:row>
    <x:row r="714">
      <x:c r="A714" s="44"/>
      <x:c r="B714" s="44"/>
      <x:c r="C714" s="44"/>
      <x:c r="D714" s="44"/>
      <x:c r="E714" s="44"/>
      <x:c r="F714" s="45"/>
      <x:c r="G714" s="44"/>
      <x:c r="H714" s="45"/>
      <x:c r="I714" s="45"/>
      <x:c r="J714" s="46"/>
      <x:c r="K714" s="46"/>
      <x:c r="L714" s="41"/>
      <x:c r="M714" s="41"/>
      <x:c r="N714" s="41"/>
      <x:c r="O714" s="41"/>
      <x:c r="P714" s="41"/>
      <x:c r="Q714" s="41"/>
      <x:c r="R714" s="41"/>
      <x:c r="S714" s="41"/>
      <x:c r="T714" s="41"/>
      <x:c r="U714" s="41"/>
      <x:c r="V714" s="41"/>
      <x:c r="W714" s="41"/>
      <x:c r="X714" s="41"/>
      <x:c r="Y714" s="41"/>
      <x:c r="Z714" s="41"/>
    </x:row>
    <x:row r="715">
      <x:c r="A715" s="44"/>
      <x:c r="B715" s="44"/>
      <x:c r="C715" s="44"/>
      <x:c r="D715" s="44"/>
      <x:c r="E715" s="44"/>
      <x:c r="F715" s="45"/>
      <x:c r="G715" s="44"/>
      <x:c r="H715" s="45"/>
      <x:c r="I715" s="45"/>
      <x:c r="J715" s="46"/>
      <x:c r="K715" s="46"/>
      <x:c r="L715" s="41"/>
      <x:c r="M715" s="41"/>
      <x:c r="N715" s="41"/>
      <x:c r="O715" s="41"/>
      <x:c r="P715" s="41"/>
      <x:c r="Q715" s="41"/>
      <x:c r="R715" s="41"/>
      <x:c r="S715" s="41"/>
      <x:c r="T715" s="41"/>
      <x:c r="U715" s="41"/>
      <x:c r="V715" s="41"/>
      <x:c r="W715" s="41"/>
      <x:c r="X715" s="41"/>
      <x:c r="Y715" s="41"/>
      <x:c r="Z715" s="41"/>
    </x:row>
    <x:row r="716">
      <x:c r="A716" s="44"/>
      <x:c r="B716" s="44"/>
      <x:c r="C716" s="44"/>
      <x:c r="D716" s="44"/>
      <x:c r="E716" s="44"/>
      <x:c r="F716" s="45"/>
      <x:c r="G716" s="44"/>
      <x:c r="H716" s="45"/>
      <x:c r="I716" s="45"/>
      <x:c r="J716" s="46"/>
      <x:c r="K716" s="46"/>
      <x:c r="L716" s="41"/>
      <x:c r="M716" s="41"/>
      <x:c r="N716" s="41"/>
      <x:c r="O716" s="41"/>
      <x:c r="P716" s="41"/>
      <x:c r="Q716" s="41"/>
      <x:c r="R716" s="41"/>
      <x:c r="S716" s="41"/>
      <x:c r="T716" s="41"/>
      <x:c r="U716" s="41"/>
      <x:c r="V716" s="41"/>
      <x:c r="W716" s="41"/>
      <x:c r="X716" s="41"/>
      <x:c r="Y716" s="41"/>
      <x:c r="Z716" s="41"/>
    </x:row>
    <x:row r="717">
      <x:c r="A717" s="44"/>
      <x:c r="B717" s="44"/>
      <x:c r="C717" s="44"/>
      <x:c r="D717" s="44"/>
      <x:c r="E717" s="44"/>
      <x:c r="F717" s="45"/>
      <x:c r="G717" s="44"/>
      <x:c r="H717" s="45"/>
      <x:c r="I717" s="45"/>
      <x:c r="J717" s="46"/>
      <x:c r="K717" s="46"/>
      <x:c r="L717" s="41"/>
      <x:c r="M717" s="41"/>
      <x:c r="N717" s="41"/>
      <x:c r="O717" s="41"/>
      <x:c r="P717" s="41"/>
      <x:c r="Q717" s="41"/>
      <x:c r="R717" s="41"/>
      <x:c r="S717" s="41"/>
      <x:c r="T717" s="41"/>
      <x:c r="U717" s="41"/>
      <x:c r="V717" s="41"/>
      <x:c r="W717" s="41"/>
      <x:c r="X717" s="41"/>
      <x:c r="Y717" s="41"/>
      <x:c r="Z717" s="41"/>
    </x:row>
    <x:row r="718">
      <x:c r="A718" s="44"/>
      <x:c r="B718" s="44"/>
      <x:c r="C718" s="44"/>
      <x:c r="D718" s="44"/>
      <x:c r="E718" s="44"/>
      <x:c r="F718" s="45"/>
      <x:c r="G718" s="44"/>
      <x:c r="H718" s="45"/>
      <x:c r="I718" s="45"/>
      <x:c r="J718" s="46"/>
      <x:c r="K718" s="46"/>
      <x:c r="L718" s="41"/>
      <x:c r="M718" s="41"/>
      <x:c r="N718" s="41"/>
      <x:c r="O718" s="41"/>
      <x:c r="P718" s="41"/>
      <x:c r="Q718" s="41"/>
      <x:c r="R718" s="41"/>
      <x:c r="S718" s="41"/>
      <x:c r="T718" s="41"/>
      <x:c r="U718" s="41"/>
      <x:c r="V718" s="41"/>
      <x:c r="W718" s="41"/>
      <x:c r="X718" s="41"/>
      <x:c r="Y718" s="41"/>
      <x:c r="Z718" s="41"/>
    </x:row>
    <x:row r="719">
      <x:c r="A719" s="44"/>
      <x:c r="B719" s="44"/>
      <x:c r="C719" s="44"/>
      <x:c r="D719" s="44"/>
      <x:c r="E719" s="44"/>
      <x:c r="F719" s="45"/>
      <x:c r="G719" s="44"/>
      <x:c r="H719" s="45"/>
      <x:c r="I719" s="45"/>
      <x:c r="J719" s="46"/>
      <x:c r="K719" s="46"/>
      <x:c r="L719" s="41"/>
      <x:c r="M719" s="41"/>
      <x:c r="N719" s="41"/>
      <x:c r="O719" s="41"/>
      <x:c r="P719" s="41"/>
      <x:c r="Q719" s="41"/>
      <x:c r="R719" s="41"/>
      <x:c r="S719" s="41"/>
      <x:c r="T719" s="41"/>
      <x:c r="U719" s="41"/>
      <x:c r="V719" s="41"/>
      <x:c r="W719" s="41"/>
      <x:c r="X719" s="41"/>
      <x:c r="Y719" s="41"/>
      <x:c r="Z719" s="41"/>
    </x:row>
    <x:row r="720">
      <x:c r="A720" s="44"/>
      <x:c r="B720" s="44"/>
      <x:c r="C720" s="44"/>
      <x:c r="D720" s="44"/>
      <x:c r="E720" s="44"/>
      <x:c r="F720" s="45"/>
      <x:c r="G720" s="44"/>
      <x:c r="H720" s="45"/>
      <x:c r="I720" s="45"/>
      <x:c r="J720" s="46"/>
      <x:c r="K720" s="46"/>
      <x:c r="L720" s="41"/>
      <x:c r="M720" s="41"/>
      <x:c r="N720" s="41"/>
      <x:c r="O720" s="41"/>
      <x:c r="P720" s="41"/>
      <x:c r="Q720" s="41"/>
      <x:c r="R720" s="41"/>
      <x:c r="S720" s="41"/>
      <x:c r="T720" s="41"/>
      <x:c r="U720" s="41"/>
      <x:c r="V720" s="41"/>
      <x:c r="W720" s="41"/>
      <x:c r="X720" s="41"/>
      <x:c r="Y720" s="41"/>
      <x:c r="Z720" s="41"/>
    </x:row>
    <x:row r="721">
      <x:c r="A721" s="44"/>
      <x:c r="B721" s="44"/>
      <x:c r="C721" s="44"/>
      <x:c r="D721" s="44"/>
      <x:c r="E721" s="44"/>
      <x:c r="F721" s="45"/>
      <x:c r="G721" s="44"/>
      <x:c r="H721" s="45"/>
      <x:c r="I721" s="45"/>
      <x:c r="J721" s="46"/>
      <x:c r="K721" s="46"/>
      <x:c r="L721" s="41"/>
      <x:c r="M721" s="41"/>
      <x:c r="N721" s="41"/>
      <x:c r="O721" s="41"/>
      <x:c r="P721" s="41"/>
      <x:c r="Q721" s="41"/>
      <x:c r="R721" s="41"/>
      <x:c r="S721" s="41"/>
      <x:c r="T721" s="41"/>
      <x:c r="U721" s="41"/>
      <x:c r="V721" s="41"/>
      <x:c r="W721" s="41"/>
      <x:c r="X721" s="41"/>
      <x:c r="Y721" s="41"/>
      <x:c r="Z721" s="41"/>
    </x:row>
    <x:row r="722">
      <x:c r="A722" s="44"/>
      <x:c r="B722" s="44"/>
      <x:c r="C722" s="44"/>
      <x:c r="D722" s="44"/>
      <x:c r="E722" s="44"/>
      <x:c r="F722" s="45"/>
      <x:c r="G722" s="44"/>
      <x:c r="H722" s="45"/>
      <x:c r="I722" s="45"/>
      <x:c r="J722" s="46"/>
      <x:c r="K722" s="46"/>
      <x:c r="L722" s="41"/>
      <x:c r="M722" s="41"/>
      <x:c r="N722" s="41"/>
      <x:c r="O722" s="41"/>
      <x:c r="P722" s="41"/>
      <x:c r="Q722" s="41"/>
      <x:c r="R722" s="41"/>
      <x:c r="S722" s="41"/>
      <x:c r="T722" s="41"/>
      <x:c r="U722" s="41"/>
      <x:c r="V722" s="41"/>
      <x:c r="W722" s="41"/>
      <x:c r="X722" s="41"/>
      <x:c r="Y722" s="41"/>
      <x:c r="Z722" s="41"/>
    </x:row>
    <x:row r="723">
      <x:c r="A723" s="44"/>
      <x:c r="B723" s="44"/>
      <x:c r="C723" s="44"/>
      <x:c r="D723" s="44"/>
      <x:c r="E723" s="44"/>
      <x:c r="F723" s="45"/>
      <x:c r="G723" s="44"/>
      <x:c r="H723" s="45"/>
      <x:c r="I723" s="45"/>
      <x:c r="J723" s="46"/>
      <x:c r="K723" s="46"/>
      <x:c r="L723" s="41"/>
      <x:c r="M723" s="41"/>
      <x:c r="N723" s="41"/>
      <x:c r="O723" s="41"/>
      <x:c r="P723" s="41"/>
      <x:c r="Q723" s="41"/>
      <x:c r="R723" s="41"/>
      <x:c r="S723" s="41"/>
      <x:c r="T723" s="41"/>
      <x:c r="U723" s="41"/>
      <x:c r="V723" s="41"/>
      <x:c r="W723" s="41"/>
      <x:c r="X723" s="41"/>
      <x:c r="Y723" s="41"/>
      <x:c r="Z723" s="41"/>
    </x:row>
    <x:row r="724">
      <x:c r="A724" s="44"/>
      <x:c r="B724" s="44"/>
      <x:c r="C724" s="44"/>
      <x:c r="D724" s="44"/>
      <x:c r="E724" s="44"/>
      <x:c r="F724" s="45"/>
      <x:c r="G724" s="44"/>
      <x:c r="H724" s="45"/>
      <x:c r="I724" s="45"/>
      <x:c r="J724" s="46"/>
      <x:c r="K724" s="46"/>
      <x:c r="L724" s="41"/>
      <x:c r="M724" s="41"/>
      <x:c r="N724" s="41"/>
      <x:c r="O724" s="41"/>
      <x:c r="P724" s="41"/>
      <x:c r="Q724" s="41"/>
      <x:c r="R724" s="41"/>
      <x:c r="S724" s="41"/>
      <x:c r="T724" s="41"/>
      <x:c r="U724" s="41"/>
      <x:c r="V724" s="41"/>
      <x:c r="W724" s="41"/>
      <x:c r="X724" s="41"/>
      <x:c r="Y724" s="41"/>
      <x:c r="Z724" s="41"/>
    </x:row>
    <x:row r="725">
      <x:c r="A725" s="44"/>
      <x:c r="B725" s="44"/>
      <x:c r="C725" s="44"/>
      <x:c r="D725" s="44"/>
      <x:c r="E725" s="44"/>
      <x:c r="F725" s="45"/>
      <x:c r="G725" s="44"/>
      <x:c r="H725" s="45"/>
      <x:c r="I725" s="45"/>
      <x:c r="J725" s="46"/>
      <x:c r="K725" s="46"/>
      <x:c r="L725" s="41"/>
      <x:c r="M725" s="41"/>
      <x:c r="N725" s="41"/>
      <x:c r="O725" s="41"/>
      <x:c r="P725" s="41"/>
      <x:c r="Q725" s="41"/>
      <x:c r="R725" s="41"/>
      <x:c r="S725" s="41"/>
      <x:c r="T725" s="41"/>
      <x:c r="U725" s="41"/>
      <x:c r="V725" s="41"/>
      <x:c r="W725" s="41"/>
      <x:c r="X725" s="41"/>
      <x:c r="Y725" s="41"/>
      <x:c r="Z725" s="41"/>
    </x:row>
    <x:row r="726">
      <x:c r="A726" s="44"/>
      <x:c r="B726" s="44"/>
      <x:c r="C726" s="44"/>
      <x:c r="D726" s="44"/>
      <x:c r="E726" s="44"/>
      <x:c r="F726" s="45"/>
      <x:c r="G726" s="44"/>
      <x:c r="H726" s="45"/>
      <x:c r="I726" s="45"/>
      <x:c r="J726" s="46"/>
      <x:c r="K726" s="46"/>
      <x:c r="L726" s="41"/>
      <x:c r="M726" s="41"/>
      <x:c r="N726" s="41"/>
      <x:c r="O726" s="41"/>
      <x:c r="P726" s="41"/>
      <x:c r="Q726" s="41"/>
      <x:c r="R726" s="41"/>
      <x:c r="S726" s="41"/>
      <x:c r="T726" s="41"/>
      <x:c r="U726" s="41"/>
      <x:c r="V726" s="41"/>
      <x:c r="W726" s="41"/>
      <x:c r="X726" s="41"/>
      <x:c r="Y726" s="41"/>
      <x:c r="Z726" s="41"/>
    </x:row>
    <x:row r="727">
      <x:c r="A727" s="44"/>
      <x:c r="B727" s="44"/>
      <x:c r="C727" s="44"/>
      <x:c r="D727" s="44"/>
      <x:c r="E727" s="44"/>
      <x:c r="F727" s="45"/>
      <x:c r="G727" s="44"/>
      <x:c r="H727" s="45"/>
      <x:c r="I727" s="45"/>
      <x:c r="J727" s="46"/>
      <x:c r="K727" s="46"/>
      <x:c r="L727" s="41"/>
      <x:c r="M727" s="41"/>
      <x:c r="N727" s="41"/>
      <x:c r="O727" s="41"/>
      <x:c r="P727" s="41"/>
      <x:c r="Q727" s="41"/>
      <x:c r="R727" s="41"/>
      <x:c r="S727" s="41"/>
      <x:c r="T727" s="41"/>
      <x:c r="U727" s="41"/>
      <x:c r="V727" s="41"/>
      <x:c r="W727" s="41"/>
      <x:c r="X727" s="41"/>
      <x:c r="Y727" s="41"/>
      <x:c r="Z727" s="41"/>
    </x:row>
    <x:row r="728">
      <x:c r="A728" s="44"/>
      <x:c r="B728" s="44"/>
      <x:c r="C728" s="44"/>
      <x:c r="D728" s="44"/>
      <x:c r="E728" s="44"/>
      <x:c r="F728" s="45"/>
      <x:c r="G728" s="44"/>
      <x:c r="H728" s="45"/>
      <x:c r="I728" s="45"/>
      <x:c r="J728" s="46"/>
      <x:c r="K728" s="46"/>
      <x:c r="L728" s="41"/>
      <x:c r="M728" s="41"/>
      <x:c r="N728" s="41"/>
      <x:c r="O728" s="41"/>
      <x:c r="P728" s="41"/>
      <x:c r="Q728" s="41"/>
      <x:c r="R728" s="41"/>
      <x:c r="S728" s="41"/>
      <x:c r="T728" s="41"/>
      <x:c r="U728" s="41"/>
      <x:c r="V728" s="41"/>
      <x:c r="W728" s="41"/>
      <x:c r="X728" s="41"/>
      <x:c r="Y728" s="41"/>
      <x:c r="Z728" s="41"/>
    </x:row>
    <x:row r="729">
      <x:c r="A729" s="44"/>
      <x:c r="B729" s="44"/>
      <x:c r="C729" s="44"/>
      <x:c r="D729" s="44"/>
      <x:c r="E729" s="44"/>
      <x:c r="F729" s="45"/>
      <x:c r="G729" s="44"/>
      <x:c r="H729" s="45"/>
      <x:c r="I729" s="45"/>
      <x:c r="J729" s="46"/>
      <x:c r="K729" s="46"/>
      <x:c r="L729" s="41"/>
      <x:c r="M729" s="41"/>
      <x:c r="N729" s="41"/>
      <x:c r="O729" s="41"/>
      <x:c r="P729" s="41"/>
      <x:c r="Q729" s="41"/>
      <x:c r="R729" s="41"/>
      <x:c r="S729" s="41"/>
      <x:c r="T729" s="41"/>
      <x:c r="U729" s="41"/>
      <x:c r="V729" s="41"/>
      <x:c r="W729" s="41"/>
      <x:c r="X729" s="41"/>
      <x:c r="Y729" s="41"/>
      <x:c r="Z729" s="41"/>
    </x:row>
    <x:row r="730">
      <x:c r="A730" s="44"/>
      <x:c r="B730" s="44"/>
      <x:c r="C730" s="44"/>
      <x:c r="D730" s="44"/>
      <x:c r="E730" s="44"/>
      <x:c r="F730" s="45"/>
      <x:c r="G730" s="44"/>
      <x:c r="H730" s="45"/>
      <x:c r="I730" s="45"/>
      <x:c r="J730" s="46"/>
      <x:c r="K730" s="46"/>
      <x:c r="L730" s="41"/>
      <x:c r="M730" s="41"/>
      <x:c r="N730" s="41"/>
      <x:c r="O730" s="41"/>
      <x:c r="P730" s="41"/>
      <x:c r="Q730" s="41"/>
      <x:c r="R730" s="41"/>
      <x:c r="S730" s="41"/>
      <x:c r="T730" s="41"/>
      <x:c r="U730" s="41"/>
      <x:c r="V730" s="41"/>
      <x:c r="W730" s="41"/>
      <x:c r="X730" s="41"/>
      <x:c r="Y730" s="41"/>
      <x:c r="Z730" s="41"/>
    </x:row>
    <x:row r="731">
      <x:c r="A731" s="44"/>
      <x:c r="B731" s="44"/>
      <x:c r="C731" s="44"/>
      <x:c r="D731" s="44"/>
      <x:c r="E731" s="44"/>
      <x:c r="F731" s="45"/>
      <x:c r="G731" s="44"/>
      <x:c r="H731" s="45"/>
      <x:c r="I731" s="45"/>
      <x:c r="J731" s="46"/>
      <x:c r="K731" s="46"/>
      <x:c r="L731" s="41"/>
      <x:c r="M731" s="41"/>
      <x:c r="N731" s="41"/>
      <x:c r="O731" s="41"/>
      <x:c r="P731" s="41"/>
      <x:c r="Q731" s="41"/>
      <x:c r="R731" s="41"/>
      <x:c r="S731" s="41"/>
      <x:c r="T731" s="41"/>
      <x:c r="U731" s="41"/>
      <x:c r="V731" s="41"/>
      <x:c r="W731" s="41"/>
      <x:c r="X731" s="41"/>
      <x:c r="Y731" s="41"/>
      <x:c r="Z731" s="41"/>
    </x:row>
    <x:row r="732">
      <x:c r="A732" s="44"/>
      <x:c r="B732" s="44"/>
      <x:c r="C732" s="44"/>
      <x:c r="D732" s="44"/>
      <x:c r="E732" s="44"/>
      <x:c r="F732" s="45"/>
      <x:c r="G732" s="44"/>
      <x:c r="H732" s="45"/>
      <x:c r="I732" s="45"/>
      <x:c r="J732" s="46"/>
      <x:c r="K732" s="46"/>
      <x:c r="L732" s="41"/>
      <x:c r="M732" s="41"/>
      <x:c r="N732" s="41"/>
      <x:c r="O732" s="41"/>
      <x:c r="P732" s="41"/>
      <x:c r="Q732" s="41"/>
      <x:c r="R732" s="41"/>
      <x:c r="S732" s="41"/>
      <x:c r="T732" s="41"/>
      <x:c r="U732" s="41"/>
      <x:c r="V732" s="41"/>
      <x:c r="W732" s="41"/>
      <x:c r="X732" s="41"/>
      <x:c r="Y732" s="41"/>
      <x:c r="Z732" s="41"/>
    </x:row>
    <x:row r="733">
      <x:c r="A733" s="44"/>
      <x:c r="B733" s="44"/>
      <x:c r="C733" s="44"/>
      <x:c r="D733" s="44"/>
      <x:c r="E733" s="44"/>
      <x:c r="F733" s="45"/>
      <x:c r="G733" s="44"/>
      <x:c r="H733" s="45"/>
      <x:c r="I733" s="45"/>
      <x:c r="J733" s="46"/>
      <x:c r="K733" s="46"/>
      <x:c r="L733" s="41"/>
      <x:c r="M733" s="41"/>
      <x:c r="N733" s="41"/>
      <x:c r="O733" s="41"/>
      <x:c r="P733" s="41"/>
      <x:c r="Q733" s="41"/>
      <x:c r="R733" s="41"/>
      <x:c r="S733" s="41"/>
      <x:c r="T733" s="41"/>
      <x:c r="U733" s="41"/>
      <x:c r="V733" s="41"/>
      <x:c r="W733" s="41"/>
      <x:c r="X733" s="41"/>
      <x:c r="Y733" s="41"/>
      <x:c r="Z733" s="41"/>
    </x:row>
    <x:row r="734">
      <x:c r="A734" s="44"/>
      <x:c r="B734" s="44"/>
      <x:c r="C734" s="44"/>
      <x:c r="D734" s="44"/>
      <x:c r="E734" s="44"/>
      <x:c r="F734" s="45"/>
      <x:c r="G734" s="44"/>
      <x:c r="H734" s="45"/>
      <x:c r="I734" s="45"/>
      <x:c r="J734" s="46"/>
      <x:c r="K734" s="46"/>
      <x:c r="L734" s="41"/>
      <x:c r="M734" s="41"/>
      <x:c r="N734" s="41"/>
      <x:c r="O734" s="41"/>
      <x:c r="P734" s="41"/>
      <x:c r="Q734" s="41"/>
      <x:c r="R734" s="41"/>
      <x:c r="S734" s="41"/>
      <x:c r="T734" s="41"/>
      <x:c r="U734" s="41"/>
      <x:c r="V734" s="41"/>
      <x:c r="W734" s="41"/>
      <x:c r="X734" s="41"/>
      <x:c r="Y734" s="41"/>
      <x:c r="Z734" s="41"/>
    </x:row>
    <x:row r="735">
      <x:c r="A735" s="44"/>
      <x:c r="B735" s="44"/>
      <x:c r="C735" s="44"/>
      <x:c r="D735" s="44"/>
      <x:c r="E735" s="44"/>
      <x:c r="F735" s="45"/>
      <x:c r="G735" s="44"/>
      <x:c r="H735" s="45"/>
      <x:c r="I735" s="45"/>
      <x:c r="J735" s="46"/>
      <x:c r="K735" s="46"/>
      <x:c r="L735" s="41"/>
      <x:c r="M735" s="41"/>
      <x:c r="N735" s="41"/>
      <x:c r="O735" s="41"/>
      <x:c r="P735" s="41"/>
      <x:c r="Q735" s="41"/>
      <x:c r="R735" s="41"/>
      <x:c r="S735" s="41"/>
      <x:c r="T735" s="41"/>
      <x:c r="U735" s="41"/>
      <x:c r="V735" s="41"/>
      <x:c r="W735" s="41"/>
      <x:c r="X735" s="41"/>
      <x:c r="Y735" s="41"/>
      <x:c r="Z735" s="41"/>
    </x:row>
    <x:row r="736">
      <x:c r="A736" s="44"/>
      <x:c r="B736" s="44"/>
      <x:c r="C736" s="44"/>
      <x:c r="D736" s="44"/>
      <x:c r="E736" s="44"/>
      <x:c r="F736" s="45"/>
      <x:c r="G736" s="44"/>
      <x:c r="H736" s="45"/>
      <x:c r="I736" s="45"/>
      <x:c r="J736" s="46"/>
      <x:c r="K736" s="46"/>
      <x:c r="L736" s="41"/>
      <x:c r="M736" s="41"/>
      <x:c r="N736" s="41"/>
      <x:c r="O736" s="41"/>
      <x:c r="P736" s="41"/>
      <x:c r="Q736" s="41"/>
      <x:c r="R736" s="41"/>
      <x:c r="S736" s="41"/>
      <x:c r="T736" s="41"/>
      <x:c r="U736" s="41"/>
      <x:c r="V736" s="41"/>
      <x:c r="W736" s="41"/>
      <x:c r="X736" s="41"/>
      <x:c r="Y736" s="41"/>
      <x:c r="Z736" s="41"/>
    </x:row>
    <x:row r="737">
      <x:c r="A737" s="44"/>
      <x:c r="B737" s="44"/>
      <x:c r="C737" s="44"/>
      <x:c r="D737" s="44"/>
      <x:c r="E737" s="44"/>
      <x:c r="F737" s="45"/>
      <x:c r="G737" s="44"/>
      <x:c r="H737" s="45"/>
      <x:c r="I737" s="45"/>
      <x:c r="J737" s="46"/>
      <x:c r="K737" s="46"/>
      <x:c r="L737" s="41"/>
      <x:c r="M737" s="41"/>
      <x:c r="N737" s="41"/>
      <x:c r="O737" s="41"/>
      <x:c r="P737" s="41"/>
      <x:c r="Q737" s="41"/>
      <x:c r="R737" s="41"/>
      <x:c r="S737" s="41"/>
      <x:c r="T737" s="41"/>
      <x:c r="U737" s="41"/>
      <x:c r="V737" s="41"/>
      <x:c r="W737" s="41"/>
      <x:c r="X737" s="41"/>
      <x:c r="Y737" s="41"/>
      <x:c r="Z737" s="41"/>
    </x:row>
    <x:row r="738">
      <x:c r="A738" s="44"/>
      <x:c r="B738" s="44"/>
      <x:c r="C738" s="44"/>
      <x:c r="D738" s="44"/>
      <x:c r="E738" s="44"/>
      <x:c r="F738" s="45"/>
      <x:c r="G738" s="44"/>
      <x:c r="H738" s="45"/>
      <x:c r="I738" s="45"/>
      <x:c r="J738" s="46"/>
      <x:c r="K738" s="46"/>
      <x:c r="L738" s="41"/>
      <x:c r="M738" s="41"/>
      <x:c r="N738" s="41"/>
      <x:c r="O738" s="41"/>
      <x:c r="P738" s="41"/>
      <x:c r="Q738" s="41"/>
      <x:c r="R738" s="41"/>
      <x:c r="S738" s="41"/>
      <x:c r="T738" s="41"/>
      <x:c r="U738" s="41"/>
      <x:c r="V738" s="41"/>
      <x:c r="W738" s="41"/>
      <x:c r="X738" s="41"/>
      <x:c r="Y738" s="41"/>
      <x:c r="Z738" s="41"/>
    </x:row>
    <x:row r="739">
      <x:c r="A739" s="44"/>
      <x:c r="B739" s="44"/>
      <x:c r="C739" s="44"/>
      <x:c r="D739" s="44"/>
      <x:c r="E739" s="44"/>
      <x:c r="F739" s="45"/>
      <x:c r="G739" s="44"/>
      <x:c r="H739" s="45"/>
      <x:c r="I739" s="45"/>
      <x:c r="J739" s="46"/>
      <x:c r="K739" s="46"/>
      <x:c r="L739" s="41"/>
      <x:c r="M739" s="41"/>
      <x:c r="N739" s="41"/>
      <x:c r="O739" s="41"/>
      <x:c r="P739" s="41"/>
      <x:c r="Q739" s="41"/>
      <x:c r="R739" s="41"/>
      <x:c r="S739" s="41"/>
      <x:c r="T739" s="41"/>
      <x:c r="U739" s="41"/>
      <x:c r="V739" s="41"/>
      <x:c r="W739" s="41"/>
      <x:c r="X739" s="41"/>
      <x:c r="Y739" s="41"/>
      <x:c r="Z739" s="41"/>
    </x:row>
    <x:row r="740">
      <x:c r="A740" s="44"/>
      <x:c r="B740" s="44"/>
      <x:c r="C740" s="44"/>
      <x:c r="D740" s="44"/>
      <x:c r="E740" s="44"/>
      <x:c r="F740" s="45"/>
      <x:c r="G740" s="44"/>
      <x:c r="H740" s="45"/>
      <x:c r="I740" s="45"/>
      <x:c r="J740" s="46"/>
      <x:c r="K740" s="46"/>
      <x:c r="L740" s="41"/>
      <x:c r="M740" s="41"/>
      <x:c r="N740" s="41"/>
      <x:c r="O740" s="41"/>
      <x:c r="P740" s="41"/>
      <x:c r="Q740" s="41"/>
      <x:c r="R740" s="41"/>
      <x:c r="S740" s="41"/>
      <x:c r="T740" s="41"/>
      <x:c r="U740" s="41"/>
      <x:c r="V740" s="41"/>
      <x:c r="W740" s="41"/>
      <x:c r="X740" s="41"/>
      <x:c r="Y740" s="41"/>
      <x:c r="Z740" s="41"/>
    </x:row>
    <x:row r="741">
      <x:c r="A741" s="44"/>
      <x:c r="B741" s="44"/>
      <x:c r="C741" s="44"/>
      <x:c r="D741" s="44"/>
      <x:c r="E741" s="44"/>
      <x:c r="F741" s="45"/>
      <x:c r="G741" s="44"/>
      <x:c r="H741" s="45"/>
      <x:c r="I741" s="45"/>
      <x:c r="J741" s="46"/>
      <x:c r="K741" s="46"/>
      <x:c r="L741" s="41"/>
      <x:c r="M741" s="41"/>
      <x:c r="N741" s="41"/>
      <x:c r="O741" s="41"/>
      <x:c r="P741" s="41"/>
      <x:c r="Q741" s="41"/>
      <x:c r="R741" s="41"/>
      <x:c r="S741" s="41"/>
      <x:c r="T741" s="41"/>
      <x:c r="U741" s="41"/>
      <x:c r="V741" s="41"/>
      <x:c r="W741" s="41"/>
      <x:c r="X741" s="41"/>
      <x:c r="Y741" s="41"/>
      <x:c r="Z741" s="41"/>
    </x:row>
    <x:row r="742">
      <x:c r="A742" s="44"/>
      <x:c r="B742" s="44"/>
      <x:c r="C742" s="44"/>
      <x:c r="D742" s="44"/>
      <x:c r="E742" s="44"/>
      <x:c r="F742" s="45"/>
      <x:c r="G742" s="44"/>
      <x:c r="H742" s="45"/>
      <x:c r="I742" s="45"/>
      <x:c r="J742" s="46"/>
      <x:c r="K742" s="46"/>
      <x:c r="L742" s="41"/>
      <x:c r="M742" s="41"/>
      <x:c r="N742" s="41"/>
      <x:c r="O742" s="41"/>
      <x:c r="P742" s="41"/>
      <x:c r="Q742" s="41"/>
      <x:c r="R742" s="41"/>
      <x:c r="S742" s="41"/>
      <x:c r="T742" s="41"/>
      <x:c r="U742" s="41"/>
      <x:c r="V742" s="41"/>
      <x:c r="W742" s="41"/>
      <x:c r="X742" s="41"/>
      <x:c r="Y742" s="41"/>
      <x:c r="Z742" s="41"/>
    </x:row>
    <x:row r="743">
      <x:c r="A743" s="44"/>
      <x:c r="B743" s="44"/>
      <x:c r="C743" s="44"/>
      <x:c r="D743" s="44"/>
      <x:c r="E743" s="44"/>
      <x:c r="F743" s="45"/>
      <x:c r="G743" s="44"/>
      <x:c r="H743" s="45"/>
      <x:c r="I743" s="45"/>
      <x:c r="J743" s="46"/>
      <x:c r="K743" s="46"/>
      <x:c r="L743" s="41"/>
      <x:c r="M743" s="41"/>
      <x:c r="N743" s="41"/>
      <x:c r="O743" s="41"/>
      <x:c r="P743" s="41"/>
      <x:c r="Q743" s="41"/>
      <x:c r="R743" s="41"/>
      <x:c r="S743" s="41"/>
      <x:c r="T743" s="41"/>
      <x:c r="U743" s="41"/>
      <x:c r="V743" s="41"/>
      <x:c r="W743" s="41"/>
      <x:c r="X743" s="41"/>
      <x:c r="Y743" s="41"/>
      <x:c r="Z743" s="41"/>
    </x:row>
    <x:row r="744">
      <x:c r="A744" s="44"/>
      <x:c r="B744" s="44"/>
      <x:c r="C744" s="44"/>
      <x:c r="D744" s="44"/>
      <x:c r="E744" s="44"/>
      <x:c r="F744" s="45"/>
      <x:c r="G744" s="44"/>
      <x:c r="H744" s="45"/>
      <x:c r="I744" s="45"/>
      <x:c r="J744" s="46"/>
      <x:c r="K744" s="46"/>
      <x:c r="L744" s="41"/>
      <x:c r="M744" s="41"/>
      <x:c r="N744" s="41"/>
      <x:c r="O744" s="41"/>
      <x:c r="P744" s="41"/>
      <x:c r="Q744" s="41"/>
      <x:c r="R744" s="41"/>
      <x:c r="S744" s="41"/>
      <x:c r="T744" s="41"/>
      <x:c r="U744" s="41"/>
      <x:c r="V744" s="41"/>
      <x:c r="W744" s="41"/>
      <x:c r="X744" s="41"/>
      <x:c r="Y744" s="41"/>
      <x:c r="Z744" s="41"/>
    </x:row>
    <x:row r="745">
      <x:c r="A745" s="44"/>
      <x:c r="B745" s="44"/>
      <x:c r="C745" s="44"/>
      <x:c r="D745" s="44"/>
      <x:c r="E745" s="44"/>
      <x:c r="F745" s="45"/>
      <x:c r="G745" s="44"/>
      <x:c r="H745" s="45"/>
      <x:c r="I745" s="45"/>
      <x:c r="J745" s="46"/>
      <x:c r="K745" s="46"/>
      <x:c r="L745" s="41"/>
      <x:c r="M745" s="41"/>
      <x:c r="N745" s="41"/>
      <x:c r="O745" s="41"/>
      <x:c r="P745" s="41"/>
      <x:c r="Q745" s="41"/>
      <x:c r="R745" s="41"/>
      <x:c r="S745" s="41"/>
      <x:c r="T745" s="41"/>
      <x:c r="U745" s="41"/>
      <x:c r="V745" s="41"/>
      <x:c r="W745" s="41"/>
      <x:c r="X745" s="41"/>
      <x:c r="Y745" s="41"/>
      <x:c r="Z745" s="41"/>
    </x:row>
    <x:row r="746">
      <x:c r="A746" s="44"/>
      <x:c r="B746" s="44"/>
      <x:c r="C746" s="44"/>
      <x:c r="D746" s="44"/>
      <x:c r="E746" s="44"/>
      <x:c r="F746" s="45"/>
      <x:c r="G746" s="44"/>
      <x:c r="H746" s="45"/>
      <x:c r="I746" s="45"/>
      <x:c r="J746" s="46"/>
      <x:c r="K746" s="46"/>
      <x:c r="L746" s="41"/>
      <x:c r="M746" s="41"/>
      <x:c r="N746" s="41"/>
      <x:c r="O746" s="41"/>
      <x:c r="P746" s="41"/>
      <x:c r="Q746" s="41"/>
      <x:c r="R746" s="41"/>
      <x:c r="S746" s="41"/>
      <x:c r="T746" s="41"/>
      <x:c r="U746" s="41"/>
      <x:c r="V746" s="41"/>
      <x:c r="W746" s="41"/>
      <x:c r="X746" s="41"/>
      <x:c r="Y746" s="41"/>
      <x:c r="Z746" s="41"/>
    </x:row>
    <x:row r="747">
      <x:c r="A747" s="44"/>
      <x:c r="B747" s="44"/>
      <x:c r="C747" s="44"/>
      <x:c r="D747" s="44"/>
      <x:c r="E747" s="44"/>
      <x:c r="F747" s="45"/>
      <x:c r="G747" s="44"/>
      <x:c r="H747" s="45"/>
      <x:c r="I747" s="45"/>
      <x:c r="J747" s="46"/>
      <x:c r="K747" s="46"/>
      <x:c r="L747" s="41"/>
      <x:c r="M747" s="41"/>
      <x:c r="N747" s="41"/>
      <x:c r="O747" s="41"/>
      <x:c r="P747" s="41"/>
      <x:c r="Q747" s="41"/>
      <x:c r="R747" s="41"/>
      <x:c r="S747" s="41"/>
      <x:c r="T747" s="41"/>
      <x:c r="U747" s="41"/>
      <x:c r="V747" s="41"/>
      <x:c r="W747" s="41"/>
      <x:c r="X747" s="41"/>
      <x:c r="Y747" s="41"/>
      <x:c r="Z747" s="41"/>
    </x:row>
    <x:row r="748">
      <x:c r="A748" s="44"/>
      <x:c r="B748" s="44"/>
      <x:c r="C748" s="44"/>
      <x:c r="D748" s="44"/>
      <x:c r="E748" s="44"/>
      <x:c r="F748" s="45"/>
      <x:c r="G748" s="44"/>
      <x:c r="H748" s="45"/>
      <x:c r="I748" s="45"/>
      <x:c r="J748" s="46"/>
      <x:c r="K748" s="46"/>
      <x:c r="L748" s="41"/>
      <x:c r="M748" s="41"/>
      <x:c r="N748" s="41"/>
      <x:c r="O748" s="41"/>
      <x:c r="P748" s="41"/>
      <x:c r="Q748" s="41"/>
      <x:c r="R748" s="41"/>
      <x:c r="S748" s="41"/>
      <x:c r="T748" s="41"/>
      <x:c r="U748" s="41"/>
      <x:c r="V748" s="41"/>
      <x:c r="W748" s="41"/>
      <x:c r="X748" s="41"/>
      <x:c r="Y748" s="41"/>
      <x:c r="Z748" s="41"/>
    </x:row>
    <x:row r="749">
      <x:c r="A749" s="44"/>
      <x:c r="B749" s="44"/>
      <x:c r="C749" s="44"/>
      <x:c r="D749" s="44"/>
      <x:c r="E749" s="44"/>
      <x:c r="F749" s="45"/>
      <x:c r="G749" s="44"/>
      <x:c r="H749" s="45"/>
      <x:c r="I749" s="45"/>
      <x:c r="J749" s="46"/>
      <x:c r="K749" s="46"/>
      <x:c r="L749" s="41"/>
      <x:c r="M749" s="41"/>
      <x:c r="N749" s="41"/>
      <x:c r="O749" s="41"/>
      <x:c r="P749" s="41"/>
      <x:c r="Q749" s="41"/>
      <x:c r="R749" s="41"/>
      <x:c r="S749" s="41"/>
      <x:c r="T749" s="41"/>
      <x:c r="U749" s="41"/>
      <x:c r="V749" s="41"/>
      <x:c r="W749" s="41"/>
      <x:c r="X749" s="41"/>
      <x:c r="Y749" s="41"/>
      <x:c r="Z749" s="41"/>
    </x:row>
    <x:row r="750">
      <x:c r="A750" s="44"/>
      <x:c r="B750" s="44"/>
      <x:c r="C750" s="44"/>
      <x:c r="D750" s="44"/>
      <x:c r="E750" s="44"/>
      <x:c r="F750" s="45"/>
      <x:c r="G750" s="44"/>
      <x:c r="H750" s="45"/>
      <x:c r="I750" s="45"/>
      <x:c r="J750" s="46"/>
      <x:c r="K750" s="46"/>
      <x:c r="L750" s="41"/>
      <x:c r="M750" s="41"/>
      <x:c r="N750" s="41"/>
      <x:c r="O750" s="41"/>
      <x:c r="P750" s="41"/>
      <x:c r="Q750" s="41"/>
      <x:c r="R750" s="41"/>
      <x:c r="S750" s="41"/>
      <x:c r="T750" s="41"/>
      <x:c r="U750" s="41"/>
      <x:c r="V750" s="41"/>
      <x:c r="W750" s="41"/>
      <x:c r="X750" s="41"/>
      <x:c r="Y750" s="41"/>
      <x:c r="Z750" s="41"/>
    </x:row>
    <x:row r="751">
      <x:c r="A751" s="44"/>
      <x:c r="B751" s="44"/>
      <x:c r="C751" s="44"/>
      <x:c r="D751" s="44"/>
      <x:c r="E751" s="44"/>
      <x:c r="F751" s="45"/>
      <x:c r="G751" s="44"/>
      <x:c r="H751" s="45"/>
      <x:c r="I751" s="45"/>
      <x:c r="J751" s="46"/>
      <x:c r="K751" s="46"/>
      <x:c r="L751" s="41"/>
      <x:c r="M751" s="41"/>
      <x:c r="N751" s="41"/>
      <x:c r="O751" s="41"/>
      <x:c r="P751" s="41"/>
      <x:c r="Q751" s="41"/>
      <x:c r="R751" s="41"/>
      <x:c r="S751" s="41"/>
      <x:c r="T751" s="41"/>
      <x:c r="U751" s="41"/>
      <x:c r="V751" s="41"/>
      <x:c r="W751" s="41"/>
      <x:c r="X751" s="41"/>
      <x:c r="Y751" s="41"/>
      <x:c r="Z751" s="41"/>
    </x:row>
    <x:row r="752">
      <x:c r="A752" s="44"/>
      <x:c r="B752" s="44"/>
      <x:c r="C752" s="44"/>
      <x:c r="D752" s="44"/>
      <x:c r="E752" s="44"/>
      <x:c r="F752" s="45"/>
      <x:c r="G752" s="44"/>
      <x:c r="H752" s="45"/>
      <x:c r="I752" s="45"/>
      <x:c r="J752" s="46"/>
      <x:c r="K752" s="46"/>
      <x:c r="L752" s="41"/>
      <x:c r="M752" s="41"/>
      <x:c r="N752" s="41"/>
      <x:c r="O752" s="41"/>
      <x:c r="P752" s="41"/>
      <x:c r="Q752" s="41"/>
      <x:c r="R752" s="41"/>
      <x:c r="S752" s="41"/>
      <x:c r="T752" s="41"/>
      <x:c r="U752" s="41"/>
      <x:c r="V752" s="41"/>
      <x:c r="W752" s="41"/>
      <x:c r="X752" s="41"/>
      <x:c r="Y752" s="41"/>
      <x:c r="Z752" s="41"/>
    </x:row>
    <x:row r="753">
      <x:c r="A753" s="44"/>
      <x:c r="B753" s="44"/>
      <x:c r="C753" s="44"/>
      <x:c r="D753" s="44"/>
      <x:c r="E753" s="44"/>
      <x:c r="F753" s="45"/>
      <x:c r="G753" s="44"/>
      <x:c r="H753" s="45"/>
      <x:c r="I753" s="45"/>
      <x:c r="J753" s="46"/>
      <x:c r="K753" s="46"/>
      <x:c r="L753" s="41"/>
      <x:c r="M753" s="41"/>
      <x:c r="N753" s="41"/>
      <x:c r="O753" s="41"/>
      <x:c r="P753" s="41"/>
      <x:c r="Q753" s="41"/>
      <x:c r="R753" s="41"/>
      <x:c r="S753" s="41"/>
      <x:c r="T753" s="41"/>
      <x:c r="U753" s="41"/>
      <x:c r="V753" s="41"/>
      <x:c r="W753" s="41"/>
      <x:c r="X753" s="41"/>
      <x:c r="Y753" s="41"/>
      <x:c r="Z753" s="41"/>
    </x:row>
    <x:row r="754">
      <x:c r="A754" s="44"/>
      <x:c r="B754" s="44"/>
      <x:c r="C754" s="44"/>
      <x:c r="D754" s="44"/>
      <x:c r="E754" s="44"/>
      <x:c r="F754" s="45"/>
      <x:c r="G754" s="44"/>
      <x:c r="H754" s="45"/>
      <x:c r="I754" s="45"/>
      <x:c r="J754" s="46"/>
      <x:c r="K754" s="46"/>
      <x:c r="L754" s="41"/>
      <x:c r="M754" s="41"/>
      <x:c r="N754" s="41"/>
      <x:c r="O754" s="41"/>
      <x:c r="P754" s="41"/>
      <x:c r="Q754" s="41"/>
      <x:c r="R754" s="41"/>
      <x:c r="S754" s="41"/>
      <x:c r="T754" s="41"/>
      <x:c r="U754" s="41"/>
      <x:c r="V754" s="41"/>
      <x:c r="W754" s="41"/>
      <x:c r="X754" s="41"/>
      <x:c r="Y754" s="41"/>
      <x:c r="Z754" s="41"/>
    </x:row>
    <x:row r="755">
      <x:c r="A755" s="44"/>
      <x:c r="B755" s="44"/>
      <x:c r="C755" s="44"/>
      <x:c r="D755" s="44"/>
      <x:c r="E755" s="44"/>
      <x:c r="F755" s="45"/>
      <x:c r="G755" s="44"/>
      <x:c r="H755" s="45"/>
      <x:c r="I755" s="45"/>
      <x:c r="J755" s="46"/>
      <x:c r="K755" s="46"/>
      <x:c r="L755" s="41"/>
      <x:c r="M755" s="41"/>
      <x:c r="N755" s="41"/>
      <x:c r="O755" s="41"/>
      <x:c r="P755" s="41"/>
      <x:c r="Q755" s="41"/>
      <x:c r="R755" s="41"/>
      <x:c r="S755" s="41"/>
      <x:c r="T755" s="41"/>
      <x:c r="U755" s="41"/>
      <x:c r="V755" s="41"/>
      <x:c r="W755" s="41"/>
      <x:c r="X755" s="41"/>
      <x:c r="Y755" s="41"/>
      <x:c r="Z755" s="41"/>
    </x:row>
    <x:row r="756">
      <x:c r="A756" s="44"/>
      <x:c r="B756" s="44"/>
      <x:c r="C756" s="44"/>
      <x:c r="D756" s="44"/>
      <x:c r="E756" s="44"/>
      <x:c r="F756" s="45"/>
      <x:c r="G756" s="44"/>
      <x:c r="H756" s="45"/>
      <x:c r="I756" s="45"/>
      <x:c r="J756" s="46"/>
      <x:c r="K756" s="46"/>
      <x:c r="L756" s="41"/>
      <x:c r="M756" s="41"/>
      <x:c r="N756" s="41"/>
      <x:c r="O756" s="41"/>
      <x:c r="P756" s="41"/>
      <x:c r="Q756" s="41"/>
      <x:c r="R756" s="41"/>
      <x:c r="S756" s="41"/>
      <x:c r="T756" s="41"/>
      <x:c r="U756" s="41"/>
      <x:c r="V756" s="41"/>
      <x:c r="W756" s="41"/>
      <x:c r="X756" s="41"/>
      <x:c r="Y756" s="41"/>
      <x:c r="Z756" s="41"/>
    </x:row>
    <x:row r="757">
      <x:c r="A757" s="44"/>
      <x:c r="B757" s="44"/>
      <x:c r="C757" s="44"/>
      <x:c r="D757" s="44"/>
      <x:c r="E757" s="44"/>
      <x:c r="F757" s="45"/>
      <x:c r="G757" s="44"/>
      <x:c r="H757" s="45"/>
      <x:c r="I757" s="45"/>
      <x:c r="J757" s="46"/>
      <x:c r="K757" s="46"/>
      <x:c r="L757" s="41"/>
      <x:c r="M757" s="41"/>
      <x:c r="N757" s="41"/>
      <x:c r="O757" s="41"/>
      <x:c r="P757" s="41"/>
      <x:c r="Q757" s="41"/>
      <x:c r="R757" s="41"/>
      <x:c r="S757" s="41"/>
      <x:c r="T757" s="41"/>
      <x:c r="U757" s="41"/>
      <x:c r="V757" s="41"/>
      <x:c r="W757" s="41"/>
      <x:c r="X757" s="41"/>
      <x:c r="Y757" s="41"/>
      <x:c r="Z757" s="41"/>
    </x:row>
    <x:row r="758">
      <x:c r="A758" s="44"/>
      <x:c r="B758" s="44"/>
      <x:c r="C758" s="44"/>
      <x:c r="D758" s="44"/>
      <x:c r="E758" s="44"/>
      <x:c r="F758" s="45"/>
      <x:c r="G758" s="44"/>
      <x:c r="H758" s="45"/>
      <x:c r="I758" s="45"/>
      <x:c r="J758" s="46"/>
      <x:c r="K758" s="46"/>
      <x:c r="L758" s="41"/>
      <x:c r="M758" s="41"/>
      <x:c r="N758" s="41"/>
      <x:c r="O758" s="41"/>
      <x:c r="P758" s="41"/>
      <x:c r="Q758" s="41"/>
      <x:c r="R758" s="41"/>
      <x:c r="S758" s="41"/>
      <x:c r="T758" s="41"/>
      <x:c r="U758" s="41"/>
      <x:c r="V758" s="41"/>
      <x:c r="W758" s="41"/>
      <x:c r="X758" s="41"/>
      <x:c r="Y758" s="41"/>
      <x:c r="Z758" s="41"/>
    </x:row>
    <x:row r="759">
      <x:c r="A759" s="44"/>
      <x:c r="B759" s="44"/>
      <x:c r="C759" s="44"/>
      <x:c r="D759" s="44"/>
      <x:c r="E759" s="44"/>
      <x:c r="F759" s="45"/>
      <x:c r="G759" s="44"/>
      <x:c r="H759" s="45"/>
      <x:c r="I759" s="45"/>
      <x:c r="J759" s="46"/>
      <x:c r="K759" s="46"/>
      <x:c r="L759" s="41"/>
      <x:c r="M759" s="41"/>
      <x:c r="N759" s="41"/>
      <x:c r="O759" s="41"/>
      <x:c r="P759" s="41"/>
      <x:c r="Q759" s="41"/>
      <x:c r="R759" s="41"/>
      <x:c r="S759" s="41"/>
      <x:c r="T759" s="41"/>
      <x:c r="U759" s="41"/>
      <x:c r="V759" s="41"/>
      <x:c r="W759" s="41"/>
      <x:c r="X759" s="41"/>
      <x:c r="Y759" s="41"/>
      <x:c r="Z759" s="41"/>
    </x:row>
    <x:row r="760">
      <x:c r="A760" s="44"/>
      <x:c r="B760" s="44"/>
      <x:c r="C760" s="44"/>
      <x:c r="D760" s="44"/>
      <x:c r="E760" s="44"/>
      <x:c r="F760" s="45"/>
      <x:c r="G760" s="44"/>
      <x:c r="H760" s="45"/>
      <x:c r="I760" s="45"/>
      <x:c r="J760" s="46"/>
      <x:c r="K760" s="46"/>
      <x:c r="L760" s="41"/>
      <x:c r="M760" s="41"/>
      <x:c r="N760" s="41"/>
      <x:c r="O760" s="41"/>
      <x:c r="P760" s="41"/>
      <x:c r="Q760" s="41"/>
      <x:c r="R760" s="41"/>
      <x:c r="S760" s="41"/>
      <x:c r="T760" s="41"/>
      <x:c r="U760" s="41"/>
      <x:c r="V760" s="41"/>
      <x:c r="W760" s="41"/>
      <x:c r="X760" s="41"/>
      <x:c r="Y760" s="41"/>
      <x:c r="Z760" s="41"/>
    </x:row>
    <x:row r="761">
      <x:c r="A761" s="44"/>
      <x:c r="B761" s="44"/>
      <x:c r="C761" s="44"/>
      <x:c r="D761" s="44"/>
      <x:c r="E761" s="44"/>
      <x:c r="F761" s="45"/>
      <x:c r="G761" s="44"/>
      <x:c r="H761" s="45"/>
      <x:c r="I761" s="45"/>
      <x:c r="J761" s="46"/>
      <x:c r="K761" s="46"/>
      <x:c r="L761" s="41"/>
      <x:c r="M761" s="41"/>
      <x:c r="N761" s="41"/>
      <x:c r="O761" s="41"/>
      <x:c r="P761" s="41"/>
      <x:c r="Q761" s="41"/>
      <x:c r="R761" s="41"/>
      <x:c r="S761" s="41"/>
      <x:c r="T761" s="41"/>
      <x:c r="U761" s="41"/>
      <x:c r="V761" s="41"/>
      <x:c r="W761" s="41"/>
      <x:c r="X761" s="41"/>
      <x:c r="Y761" s="41"/>
      <x:c r="Z761" s="41"/>
    </x:row>
    <x:row r="762">
      <x:c r="A762" s="44"/>
      <x:c r="B762" s="44"/>
      <x:c r="C762" s="44"/>
      <x:c r="D762" s="44"/>
      <x:c r="E762" s="44"/>
      <x:c r="F762" s="45"/>
      <x:c r="G762" s="44"/>
      <x:c r="H762" s="45"/>
      <x:c r="I762" s="45"/>
      <x:c r="J762" s="46"/>
      <x:c r="K762" s="46"/>
      <x:c r="L762" s="41"/>
      <x:c r="M762" s="41"/>
      <x:c r="N762" s="41"/>
      <x:c r="O762" s="41"/>
      <x:c r="P762" s="41"/>
      <x:c r="Q762" s="41"/>
      <x:c r="R762" s="41"/>
      <x:c r="S762" s="41"/>
      <x:c r="T762" s="41"/>
      <x:c r="U762" s="41"/>
      <x:c r="V762" s="41"/>
      <x:c r="W762" s="41"/>
      <x:c r="X762" s="41"/>
      <x:c r="Y762" s="41"/>
      <x:c r="Z762" s="41"/>
    </x:row>
    <x:row r="763">
      <x:c r="A763" s="44"/>
      <x:c r="B763" s="44"/>
      <x:c r="C763" s="44"/>
      <x:c r="D763" s="44"/>
      <x:c r="E763" s="44"/>
      <x:c r="F763" s="45"/>
      <x:c r="G763" s="44"/>
      <x:c r="H763" s="45"/>
      <x:c r="I763" s="45"/>
      <x:c r="J763" s="46"/>
      <x:c r="K763" s="46"/>
      <x:c r="L763" s="41"/>
      <x:c r="M763" s="41"/>
      <x:c r="N763" s="41"/>
      <x:c r="O763" s="41"/>
      <x:c r="P763" s="41"/>
      <x:c r="Q763" s="41"/>
      <x:c r="R763" s="41"/>
      <x:c r="S763" s="41"/>
      <x:c r="T763" s="41"/>
      <x:c r="U763" s="41"/>
      <x:c r="V763" s="41"/>
      <x:c r="W763" s="41"/>
      <x:c r="X763" s="41"/>
      <x:c r="Y763" s="41"/>
      <x:c r="Z763" s="41"/>
    </x:row>
    <x:row r="764">
      <x:c r="A764" s="44"/>
      <x:c r="B764" s="44"/>
      <x:c r="C764" s="44"/>
      <x:c r="D764" s="44"/>
      <x:c r="E764" s="44"/>
      <x:c r="F764" s="45"/>
      <x:c r="G764" s="44"/>
      <x:c r="H764" s="45"/>
      <x:c r="I764" s="45"/>
      <x:c r="J764" s="46"/>
      <x:c r="K764" s="46"/>
      <x:c r="L764" s="41"/>
      <x:c r="M764" s="41"/>
      <x:c r="N764" s="41"/>
      <x:c r="O764" s="41"/>
      <x:c r="P764" s="41"/>
      <x:c r="Q764" s="41"/>
      <x:c r="R764" s="41"/>
      <x:c r="S764" s="41"/>
      <x:c r="T764" s="41"/>
      <x:c r="U764" s="41"/>
      <x:c r="V764" s="41"/>
      <x:c r="W764" s="41"/>
      <x:c r="X764" s="41"/>
      <x:c r="Y764" s="41"/>
      <x:c r="Z764" s="41"/>
    </x:row>
    <x:row r="765">
      <x:c r="A765" s="44"/>
      <x:c r="B765" s="44"/>
      <x:c r="C765" s="44"/>
      <x:c r="D765" s="44"/>
      <x:c r="E765" s="44"/>
      <x:c r="F765" s="45"/>
      <x:c r="G765" s="44"/>
      <x:c r="H765" s="45"/>
      <x:c r="I765" s="45"/>
      <x:c r="J765" s="46"/>
      <x:c r="K765" s="46"/>
      <x:c r="L765" s="41"/>
      <x:c r="M765" s="41"/>
      <x:c r="N765" s="41"/>
      <x:c r="O765" s="41"/>
      <x:c r="P765" s="41"/>
      <x:c r="Q765" s="41"/>
      <x:c r="R765" s="41"/>
      <x:c r="S765" s="41"/>
      <x:c r="T765" s="41"/>
      <x:c r="U765" s="41"/>
      <x:c r="V765" s="41"/>
      <x:c r="W765" s="41"/>
      <x:c r="X765" s="41"/>
      <x:c r="Y765" s="41"/>
      <x:c r="Z765" s="41"/>
    </x:row>
    <x:row r="766">
      <x:c r="A766" s="44"/>
      <x:c r="B766" s="44"/>
      <x:c r="C766" s="44"/>
      <x:c r="D766" s="44"/>
      <x:c r="E766" s="44"/>
      <x:c r="F766" s="45"/>
      <x:c r="G766" s="44"/>
      <x:c r="H766" s="45"/>
      <x:c r="I766" s="45"/>
      <x:c r="J766" s="46"/>
      <x:c r="K766" s="46"/>
      <x:c r="L766" s="41"/>
      <x:c r="M766" s="41"/>
      <x:c r="N766" s="41"/>
      <x:c r="O766" s="41"/>
      <x:c r="P766" s="41"/>
      <x:c r="Q766" s="41"/>
      <x:c r="R766" s="41"/>
      <x:c r="S766" s="41"/>
      <x:c r="T766" s="41"/>
      <x:c r="U766" s="41"/>
      <x:c r="V766" s="41"/>
      <x:c r="W766" s="41"/>
      <x:c r="X766" s="41"/>
      <x:c r="Y766" s="41"/>
      <x:c r="Z766" s="41"/>
    </x:row>
    <x:row r="767">
      <x:c r="A767" s="44"/>
      <x:c r="B767" s="44"/>
      <x:c r="C767" s="44"/>
      <x:c r="D767" s="44"/>
      <x:c r="E767" s="44"/>
      <x:c r="F767" s="45"/>
      <x:c r="G767" s="44"/>
      <x:c r="H767" s="45"/>
      <x:c r="I767" s="45"/>
      <x:c r="J767" s="46"/>
      <x:c r="K767" s="46"/>
      <x:c r="L767" s="41"/>
      <x:c r="M767" s="41"/>
      <x:c r="N767" s="41"/>
      <x:c r="O767" s="41"/>
      <x:c r="P767" s="41"/>
      <x:c r="Q767" s="41"/>
      <x:c r="R767" s="41"/>
      <x:c r="S767" s="41"/>
      <x:c r="T767" s="41"/>
      <x:c r="U767" s="41"/>
      <x:c r="V767" s="41"/>
      <x:c r="W767" s="41"/>
      <x:c r="X767" s="41"/>
      <x:c r="Y767" s="41"/>
      <x:c r="Z767" s="41"/>
    </x:row>
    <x:row r="768">
      <x:c r="A768" s="44"/>
      <x:c r="B768" s="44"/>
      <x:c r="C768" s="44"/>
      <x:c r="D768" s="44"/>
      <x:c r="E768" s="44"/>
      <x:c r="F768" s="45"/>
      <x:c r="G768" s="44"/>
      <x:c r="H768" s="45"/>
      <x:c r="I768" s="45"/>
      <x:c r="J768" s="46"/>
      <x:c r="K768" s="46"/>
      <x:c r="L768" s="41"/>
      <x:c r="M768" s="41"/>
      <x:c r="N768" s="41"/>
      <x:c r="O768" s="41"/>
      <x:c r="P768" s="41"/>
      <x:c r="Q768" s="41"/>
      <x:c r="R768" s="41"/>
      <x:c r="S768" s="41"/>
      <x:c r="T768" s="41"/>
      <x:c r="U768" s="41"/>
      <x:c r="V768" s="41"/>
      <x:c r="W768" s="41"/>
      <x:c r="X768" s="41"/>
      <x:c r="Y768" s="41"/>
      <x:c r="Z768" s="41"/>
    </x:row>
    <x:row r="769">
      <x:c r="A769" s="44"/>
      <x:c r="B769" s="44"/>
      <x:c r="C769" s="44"/>
      <x:c r="D769" s="44"/>
      <x:c r="E769" s="44"/>
      <x:c r="F769" s="45"/>
      <x:c r="G769" s="44"/>
      <x:c r="H769" s="45"/>
      <x:c r="I769" s="45"/>
      <x:c r="J769" s="46"/>
      <x:c r="K769" s="46"/>
      <x:c r="L769" s="41"/>
      <x:c r="M769" s="41"/>
      <x:c r="N769" s="41"/>
      <x:c r="O769" s="41"/>
      <x:c r="P769" s="41"/>
      <x:c r="Q769" s="41"/>
      <x:c r="R769" s="41"/>
      <x:c r="S769" s="41"/>
      <x:c r="T769" s="41"/>
      <x:c r="U769" s="41"/>
      <x:c r="V769" s="41"/>
      <x:c r="W769" s="41"/>
      <x:c r="X769" s="41"/>
      <x:c r="Y769" s="41"/>
      <x:c r="Z769" s="41"/>
    </x:row>
    <x:row r="770">
      <x:c r="A770" s="44"/>
      <x:c r="B770" s="44"/>
      <x:c r="C770" s="44"/>
      <x:c r="D770" s="44"/>
      <x:c r="E770" s="44"/>
      <x:c r="F770" s="45"/>
      <x:c r="G770" s="44"/>
      <x:c r="H770" s="45"/>
      <x:c r="I770" s="45"/>
      <x:c r="J770" s="46"/>
      <x:c r="K770" s="46"/>
      <x:c r="L770" s="41"/>
      <x:c r="M770" s="41"/>
      <x:c r="N770" s="41"/>
      <x:c r="O770" s="41"/>
      <x:c r="P770" s="41"/>
      <x:c r="Q770" s="41"/>
      <x:c r="R770" s="41"/>
      <x:c r="S770" s="41"/>
      <x:c r="T770" s="41"/>
      <x:c r="U770" s="41"/>
      <x:c r="V770" s="41"/>
      <x:c r="W770" s="41"/>
      <x:c r="X770" s="41"/>
      <x:c r="Y770" s="41"/>
      <x:c r="Z770" s="41"/>
    </x:row>
    <x:row r="771">
      <x:c r="A771" s="44"/>
      <x:c r="B771" s="44"/>
      <x:c r="C771" s="44"/>
      <x:c r="D771" s="44"/>
      <x:c r="E771" s="44"/>
      <x:c r="F771" s="45"/>
      <x:c r="G771" s="44"/>
      <x:c r="H771" s="45"/>
      <x:c r="I771" s="45"/>
      <x:c r="J771" s="46"/>
      <x:c r="K771" s="46"/>
      <x:c r="L771" s="41"/>
      <x:c r="M771" s="41"/>
      <x:c r="N771" s="41"/>
      <x:c r="O771" s="41"/>
      <x:c r="P771" s="41"/>
      <x:c r="Q771" s="41"/>
      <x:c r="R771" s="41"/>
      <x:c r="S771" s="41"/>
      <x:c r="T771" s="41"/>
      <x:c r="U771" s="41"/>
      <x:c r="V771" s="41"/>
      <x:c r="W771" s="41"/>
      <x:c r="X771" s="41"/>
      <x:c r="Y771" s="41"/>
      <x:c r="Z771" s="41"/>
    </x:row>
    <x:row r="772">
      <x:c r="A772" s="44"/>
      <x:c r="B772" s="44"/>
      <x:c r="C772" s="44"/>
      <x:c r="D772" s="44"/>
      <x:c r="E772" s="44"/>
      <x:c r="F772" s="45"/>
      <x:c r="G772" s="44"/>
      <x:c r="H772" s="45"/>
      <x:c r="I772" s="45"/>
      <x:c r="J772" s="46"/>
      <x:c r="K772" s="46"/>
      <x:c r="L772" s="41"/>
      <x:c r="M772" s="41"/>
      <x:c r="N772" s="41"/>
      <x:c r="O772" s="41"/>
      <x:c r="P772" s="41"/>
      <x:c r="Q772" s="41"/>
      <x:c r="R772" s="41"/>
      <x:c r="S772" s="41"/>
      <x:c r="T772" s="41"/>
      <x:c r="U772" s="41"/>
      <x:c r="V772" s="41"/>
      <x:c r="W772" s="41"/>
      <x:c r="X772" s="41"/>
      <x:c r="Y772" s="41"/>
      <x:c r="Z772" s="41"/>
    </x:row>
    <x:row r="773">
      <x:c r="A773" s="44"/>
      <x:c r="B773" s="44"/>
      <x:c r="C773" s="44"/>
      <x:c r="D773" s="44"/>
      <x:c r="E773" s="44"/>
      <x:c r="F773" s="45"/>
      <x:c r="G773" s="44"/>
      <x:c r="H773" s="45"/>
      <x:c r="I773" s="45"/>
      <x:c r="J773" s="46"/>
      <x:c r="K773" s="46"/>
      <x:c r="L773" s="41"/>
      <x:c r="M773" s="41"/>
      <x:c r="N773" s="41"/>
      <x:c r="O773" s="41"/>
      <x:c r="P773" s="41"/>
      <x:c r="Q773" s="41"/>
      <x:c r="R773" s="41"/>
      <x:c r="S773" s="41"/>
      <x:c r="T773" s="41"/>
      <x:c r="U773" s="41"/>
      <x:c r="V773" s="41"/>
      <x:c r="W773" s="41"/>
      <x:c r="X773" s="41"/>
      <x:c r="Y773" s="41"/>
      <x:c r="Z773" s="41"/>
    </x:row>
    <x:row r="774">
      <x:c r="A774" s="44"/>
      <x:c r="B774" s="44"/>
      <x:c r="C774" s="44"/>
      <x:c r="D774" s="44"/>
      <x:c r="E774" s="44"/>
      <x:c r="F774" s="45"/>
      <x:c r="G774" s="44"/>
      <x:c r="H774" s="45"/>
      <x:c r="I774" s="45"/>
      <x:c r="J774" s="46"/>
      <x:c r="K774" s="46"/>
      <x:c r="L774" s="41"/>
      <x:c r="M774" s="41"/>
      <x:c r="N774" s="41"/>
      <x:c r="O774" s="41"/>
      <x:c r="P774" s="41"/>
      <x:c r="Q774" s="41"/>
      <x:c r="R774" s="41"/>
      <x:c r="S774" s="41"/>
      <x:c r="T774" s="41"/>
      <x:c r="U774" s="41"/>
      <x:c r="V774" s="41"/>
      <x:c r="W774" s="41"/>
      <x:c r="X774" s="41"/>
      <x:c r="Y774" s="41"/>
      <x:c r="Z774" s="41"/>
    </x:row>
    <x:row r="775">
      <x:c r="A775" s="44"/>
      <x:c r="B775" s="44"/>
      <x:c r="C775" s="44"/>
      <x:c r="D775" s="44"/>
      <x:c r="E775" s="44"/>
      <x:c r="F775" s="45"/>
      <x:c r="G775" s="44"/>
      <x:c r="H775" s="45"/>
      <x:c r="I775" s="45"/>
      <x:c r="J775" s="46"/>
      <x:c r="K775" s="46"/>
      <x:c r="L775" s="41"/>
      <x:c r="M775" s="41"/>
      <x:c r="N775" s="41"/>
      <x:c r="O775" s="41"/>
      <x:c r="P775" s="41"/>
      <x:c r="Q775" s="41"/>
      <x:c r="R775" s="41"/>
      <x:c r="S775" s="41"/>
      <x:c r="T775" s="41"/>
      <x:c r="U775" s="41"/>
      <x:c r="V775" s="41"/>
      <x:c r="W775" s="41"/>
      <x:c r="X775" s="41"/>
      <x:c r="Y775" s="41"/>
      <x:c r="Z775" s="41"/>
    </x:row>
    <x:row r="776">
      <x:c r="A776" s="44"/>
      <x:c r="B776" s="44"/>
      <x:c r="C776" s="44"/>
      <x:c r="D776" s="44"/>
      <x:c r="E776" s="44"/>
      <x:c r="F776" s="45"/>
      <x:c r="G776" s="44"/>
      <x:c r="H776" s="45"/>
      <x:c r="I776" s="45"/>
      <x:c r="J776" s="46"/>
      <x:c r="K776" s="46"/>
      <x:c r="L776" s="41"/>
      <x:c r="M776" s="41"/>
      <x:c r="N776" s="41"/>
      <x:c r="O776" s="41"/>
      <x:c r="P776" s="41"/>
      <x:c r="Q776" s="41"/>
      <x:c r="R776" s="41"/>
      <x:c r="S776" s="41"/>
      <x:c r="T776" s="41"/>
      <x:c r="U776" s="41"/>
      <x:c r="V776" s="41"/>
      <x:c r="W776" s="41"/>
      <x:c r="X776" s="41"/>
      <x:c r="Y776" s="41"/>
      <x:c r="Z776" s="41"/>
    </x:row>
    <x:row r="777">
      <x:c r="A777" s="44"/>
      <x:c r="B777" s="44"/>
      <x:c r="C777" s="44"/>
      <x:c r="D777" s="44"/>
      <x:c r="E777" s="44"/>
      <x:c r="F777" s="45"/>
      <x:c r="G777" s="44"/>
      <x:c r="H777" s="45"/>
      <x:c r="I777" s="45"/>
      <x:c r="J777" s="46"/>
      <x:c r="K777" s="46"/>
      <x:c r="L777" s="41"/>
      <x:c r="M777" s="41"/>
      <x:c r="N777" s="41"/>
      <x:c r="O777" s="41"/>
      <x:c r="P777" s="41"/>
      <x:c r="Q777" s="41"/>
      <x:c r="R777" s="41"/>
      <x:c r="S777" s="41"/>
      <x:c r="T777" s="41"/>
      <x:c r="U777" s="41"/>
      <x:c r="V777" s="41"/>
      <x:c r="W777" s="41"/>
      <x:c r="X777" s="41"/>
      <x:c r="Y777" s="41"/>
      <x:c r="Z777" s="41"/>
    </x:row>
    <x:row r="778">
      <x:c r="A778" s="44"/>
      <x:c r="B778" s="44"/>
      <x:c r="C778" s="44"/>
      <x:c r="D778" s="44"/>
      <x:c r="E778" s="44"/>
      <x:c r="F778" s="45"/>
      <x:c r="G778" s="44"/>
      <x:c r="H778" s="45"/>
      <x:c r="I778" s="45"/>
      <x:c r="J778" s="46"/>
      <x:c r="K778" s="46"/>
      <x:c r="L778" s="41"/>
      <x:c r="M778" s="41"/>
      <x:c r="N778" s="41"/>
      <x:c r="O778" s="41"/>
      <x:c r="P778" s="41"/>
      <x:c r="Q778" s="41"/>
      <x:c r="R778" s="41"/>
      <x:c r="S778" s="41"/>
      <x:c r="T778" s="41"/>
      <x:c r="U778" s="41"/>
      <x:c r="V778" s="41"/>
      <x:c r="W778" s="41"/>
      <x:c r="X778" s="41"/>
      <x:c r="Y778" s="41"/>
      <x:c r="Z778" s="41"/>
    </x:row>
    <x:row r="779">
      <x:c r="A779" s="44"/>
      <x:c r="B779" s="44"/>
      <x:c r="C779" s="44"/>
      <x:c r="D779" s="44"/>
      <x:c r="E779" s="44"/>
      <x:c r="F779" s="45"/>
      <x:c r="G779" s="44"/>
      <x:c r="H779" s="45"/>
      <x:c r="I779" s="45"/>
      <x:c r="J779" s="46"/>
      <x:c r="K779" s="46"/>
      <x:c r="L779" s="41"/>
      <x:c r="M779" s="41"/>
      <x:c r="N779" s="41"/>
      <x:c r="O779" s="41"/>
      <x:c r="P779" s="41"/>
      <x:c r="Q779" s="41"/>
      <x:c r="R779" s="41"/>
      <x:c r="S779" s="41"/>
      <x:c r="T779" s="41"/>
      <x:c r="U779" s="41"/>
      <x:c r="V779" s="41"/>
      <x:c r="W779" s="41"/>
      <x:c r="X779" s="41"/>
      <x:c r="Y779" s="41"/>
      <x:c r="Z779" s="41"/>
    </x:row>
    <x:row r="780">
      <x:c r="A780" s="44"/>
      <x:c r="B780" s="44"/>
      <x:c r="C780" s="44"/>
      <x:c r="D780" s="44"/>
      <x:c r="E780" s="44"/>
      <x:c r="F780" s="45"/>
      <x:c r="G780" s="44"/>
      <x:c r="H780" s="45"/>
      <x:c r="I780" s="45"/>
      <x:c r="J780" s="46"/>
      <x:c r="K780" s="46"/>
      <x:c r="L780" s="41"/>
      <x:c r="M780" s="41"/>
      <x:c r="N780" s="41"/>
      <x:c r="O780" s="41"/>
      <x:c r="P780" s="41"/>
      <x:c r="Q780" s="41"/>
      <x:c r="R780" s="41"/>
      <x:c r="S780" s="41"/>
      <x:c r="T780" s="41"/>
      <x:c r="U780" s="41"/>
      <x:c r="V780" s="41"/>
      <x:c r="W780" s="41"/>
      <x:c r="X780" s="41"/>
      <x:c r="Y780" s="41"/>
      <x:c r="Z780" s="41"/>
    </x:row>
    <x:row r="781">
      <x:c r="A781" s="44"/>
      <x:c r="B781" s="44"/>
      <x:c r="C781" s="44"/>
      <x:c r="D781" s="44"/>
      <x:c r="E781" s="44"/>
      <x:c r="F781" s="45"/>
      <x:c r="G781" s="44"/>
      <x:c r="H781" s="45"/>
      <x:c r="I781" s="45"/>
      <x:c r="J781" s="46"/>
      <x:c r="K781" s="46"/>
      <x:c r="L781" s="41"/>
      <x:c r="M781" s="41"/>
      <x:c r="N781" s="41"/>
      <x:c r="O781" s="41"/>
      <x:c r="P781" s="41"/>
      <x:c r="Q781" s="41"/>
      <x:c r="R781" s="41"/>
      <x:c r="S781" s="41"/>
      <x:c r="T781" s="41"/>
      <x:c r="U781" s="41"/>
      <x:c r="V781" s="41"/>
      <x:c r="W781" s="41"/>
      <x:c r="X781" s="41"/>
      <x:c r="Y781" s="41"/>
      <x:c r="Z781" s="41"/>
    </x:row>
    <x:row r="782">
      <x:c r="A782" s="44"/>
      <x:c r="B782" s="44"/>
      <x:c r="C782" s="44"/>
      <x:c r="D782" s="44"/>
      <x:c r="E782" s="44"/>
      <x:c r="F782" s="45"/>
      <x:c r="G782" s="44"/>
      <x:c r="H782" s="45"/>
      <x:c r="I782" s="45"/>
      <x:c r="J782" s="46"/>
      <x:c r="K782" s="46"/>
      <x:c r="L782" s="41"/>
      <x:c r="M782" s="41"/>
      <x:c r="N782" s="41"/>
      <x:c r="O782" s="41"/>
      <x:c r="P782" s="41"/>
      <x:c r="Q782" s="41"/>
      <x:c r="R782" s="41"/>
      <x:c r="S782" s="41"/>
      <x:c r="T782" s="41"/>
      <x:c r="U782" s="41"/>
      <x:c r="V782" s="41"/>
      <x:c r="W782" s="41"/>
      <x:c r="X782" s="41"/>
      <x:c r="Y782" s="41"/>
      <x:c r="Z782" s="41"/>
    </x:row>
    <x:row r="783">
      <x:c r="A783" s="44"/>
      <x:c r="B783" s="44"/>
      <x:c r="C783" s="44"/>
      <x:c r="D783" s="44"/>
      <x:c r="E783" s="44"/>
      <x:c r="F783" s="45"/>
      <x:c r="G783" s="44"/>
      <x:c r="H783" s="45"/>
      <x:c r="I783" s="45"/>
      <x:c r="J783" s="46"/>
      <x:c r="K783" s="46"/>
      <x:c r="L783" s="41"/>
      <x:c r="M783" s="41"/>
      <x:c r="N783" s="41"/>
      <x:c r="O783" s="41"/>
      <x:c r="P783" s="41"/>
      <x:c r="Q783" s="41"/>
      <x:c r="R783" s="41"/>
      <x:c r="S783" s="41"/>
      <x:c r="T783" s="41"/>
      <x:c r="U783" s="41"/>
      <x:c r="V783" s="41"/>
      <x:c r="W783" s="41"/>
      <x:c r="X783" s="41"/>
      <x:c r="Y783" s="41"/>
      <x:c r="Z783" s="41"/>
    </x:row>
    <x:row r="784">
      <x:c r="A784" s="44"/>
      <x:c r="B784" s="44"/>
      <x:c r="C784" s="44"/>
      <x:c r="D784" s="44"/>
      <x:c r="E784" s="44"/>
      <x:c r="F784" s="45"/>
      <x:c r="G784" s="44"/>
      <x:c r="H784" s="45"/>
      <x:c r="I784" s="45"/>
      <x:c r="J784" s="46"/>
      <x:c r="K784" s="46"/>
      <x:c r="L784" s="41"/>
      <x:c r="M784" s="41"/>
      <x:c r="N784" s="41"/>
      <x:c r="O784" s="41"/>
      <x:c r="P784" s="41"/>
      <x:c r="Q784" s="41"/>
      <x:c r="R784" s="41"/>
      <x:c r="S784" s="41"/>
      <x:c r="T784" s="41"/>
      <x:c r="U784" s="41"/>
      <x:c r="V784" s="41"/>
      <x:c r="W784" s="41"/>
      <x:c r="X784" s="41"/>
      <x:c r="Y784" s="41"/>
      <x:c r="Z784" s="41"/>
    </x:row>
    <x:row r="785">
      <x:c r="A785" s="44"/>
      <x:c r="B785" s="44"/>
      <x:c r="C785" s="44"/>
      <x:c r="D785" s="44"/>
      <x:c r="E785" s="44"/>
      <x:c r="F785" s="45"/>
      <x:c r="G785" s="44"/>
      <x:c r="H785" s="45"/>
      <x:c r="I785" s="45"/>
      <x:c r="J785" s="46"/>
      <x:c r="K785" s="46"/>
      <x:c r="L785" s="41"/>
      <x:c r="M785" s="41"/>
      <x:c r="N785" s="41"/>
      <x:c r="O785" s="41"/>
      <x:c r="P785" s="41"/>
      <x:c r="Q785" s="41"/>
      <x:c r="R785" s="41"/>
      <x:c r="S785" s="41"/>
      <x:c r="T785" s="41"/>
      <x:c r="U785" s="41"/>
      <x:c r="V785" s="41"/>
      <x:c r="W785" s="41"/>
      <x:c r="X785" s="41"/>
      <x:c r="Y785" s="41"/>
      <x:c r="Z785" s="41"/>
    </x:row>
    <x:row r="786">
      <x:c r="A786" s="44"/>
      <x:c r="B786" s="44"/>
      <x:c r="C786" s="44"/>
      <x:c r="D786" s="44"/>
      <x:c r="E786" s="44"/>
      <x:c r="F786" s="45"/>
      <x:c r="G786" s="44"/>
      <x:c r="H786" s="45"/>
      <x:c r="I786" s="45"/>
      <x:c r="J786" s="46"/>
      <x:c r="K786" s="46"/>
      <x:c r="L786" s="41"/>
      <x:c r="M786" s="41"/>
      <x:c r="N786" s="41"/>
      <x:c r="O786" s="41"/>
      <x:c r="P786" s="41"/>
      <x:c r="Q786" s="41"/>
      <x:c r="R786" s="41"/>
      <x:c r="S786" s="41"/>
      <x:c r="T786" s="41"/>
      <x:c r="U786" s="41"/>
      <x:c r="V786" s="41"/>
      <x:c r="W786" s="41"/>
      <x:c r="X786" s="41"/>
      <x:c r="Y786" s="41"/>
      <x:c r="Z786" s="41"/>
    </x:row>
    <x:row r="787">
      <x:c r="A787" s="44"/>
      <x:c r="B787" s="44"/>
      <x:c r="C787" s="44"/>
      <x:c r="D787" s="44"/>
      <x:c r="E787" s="44"/>
      <x:c r="F787" s="45"/>
      <x:c r="G787" s="44"/>
      <x:c r="H787" s="45"/>
      <x:c r="I787" s="45"/>
      <x:c r="J787" s="46"/>
      <x:c r="K787" s="46"/>
      <x:c r="L787" s="41"/>
      <x:c r="M787" s="41"/>
      <x:c r="N787" s="41"/>
      <x:c r="O787" s="41"/>
      <x:c r="P787" s="41"/>
      <x:c r="Q787" s="41"/>
      <x:c r="R787" s="41"/>
      <x:c r="S787" s="41"/>
      <x:c r="T787" s="41"/>
      <x:c r="U787" s="41"/>
      <x:c r="V787" s="41"/>
      <x:c r="W787" s="41"/>
      <x:c r="X787" s="41"/>
      <x:c r="Y787" s="41"/>
      <x:c r="Z787" s="41"/>
    </x:row>
    <x:row r="788">
      <x:c r="A788" s="44"/>
      <x:c r="B788" s="44"/>
      <x:c r="C788" s="44"/>
      <x:c r="D788" s="44"/>
      <x:c r="E788" s="44"/>
      <x:c r="F788" s="45"/>
      <x:c r="G788" s="44"/>
      <x:c r="H788" s="45"/>
      <x:c r="I788" s="45"/>
      <x:c r="J788" s="46"/>
      <x:c r="K788" s="46"/>
      <x:c r="L788" s="41"/>
      <x:c r="M788" s="41"/>
      <x:c r="N788" s="41"/>
      <x:c r="O788" s="41"/>
      <x:c r="P788" s="41"/>
      <x:c r="Q788" s="41"/>
      <x:c r="R788" s="41"/>
      <x:c r="S788" s="41"/>
      <x:c r="T788" s="41"/>
      <x:c r="U788" s="41"/>
      <x:c r="V788" s="41"/>
      <x:c r="W788" s="41"/>
      <x:c r="X788" s="41"/>
      <x:c r="Y788" s="41"/>
      <x:c r="Z788" s="41"/>
    </x:row>
    <x:row r="789">
      <x:c r="A789" s="44"/>
      <x:c r="B789" s="44"/>
      <x:c r="C789" s="44"/>
      <x:c r="D789" s="44"/>
      <x:c r="E789" s="44"/>
      <x:c r="F789" s="45"/>
      <x:c r="G789" s="44"/>
      <x:c r="H789" s="45"/>
      <x:c r="I789" s="45"/>
      <x:c r="J789" s="46"/>
      <x:c r="K789" s="46"/>
      <x:c r="L789" s="41"/>
      <x:c r="M789" s="41"/>
      <x:c r="N789" s="41"/>
      <x:c r="O789" s="41"/>
      <x:c r="P789" s="41"/>
      <x:c r="Q789" s="41"/>
      <x:c r="R789" s="41"/>
      <x:c r="S789" s="41"/>
      <x:c r="T789" s="41"/>
      <x:c r="U789" s="41"/>
      <x:c r="V789" s="41"/>
      <x:c r="W789" s="41"/>
      <x:c r="X789" s="41"/>
      <x:c r="Y789" s="41"/>
      <x:c r="Z789" s="41"/>
    </x:row>
    <x:row r="790">
      <x:c r="A790" s="44"/>
      <x:c r="B790" s="44"/>
      <x:c r="C790" s="44"/>
      <x:c r="D790" s="44"/>
      <x:c r="E790" s="44"/>
      <x:c r="F790" s="45"/>
      <x:c r="G790" s="44"/>
      <x:c r="H790" s="45"/>
      <x:c r="I790" s="45"/>
      <x:c r="J790" s="46"/>
      <x:c r="K790" s="46"/>
      <x:c r="L790" s="41"/>
      <x:c r="M790" s="41"/>
      <x:c r="N790" s="41"/>
      <x:c r="O790" s="41"/>
      <x:c r="P790" s="41"/>
      <x:c r="Q790" s="41"/>
      <x:c r="R790" s="41"/>
      <x:c r="S790" s="41"/>
      <x:c r="T790" s="41"/>
      <x:c r="U790" s="41"/>
      <x:c r="V790" s="41"/>
      <x:c r="W790" s="41"/>
      <x:c r="X790" s="41"/>
      <x:c r="Y790" s="41"/>
      <x:c r="Z790" s="41"/>
    </x:row>
    <x:row r="791">
      <x:c r="A791" s="44"/>
      <x:c r="B791" s="44"/>
      <x:c r="C791" s="44"/>
      <x:c r="D791" s="44"/>
      <x:c r="E791" s="44"/>
      <x:c r="F791" s="45"/>
      <x:c r="G791" s="44"/>
      <x:c r="H791" s="45"/>
      <x:c r="I791" s="45"/>
      <x:c r="J791" s="46"/>
      <x:c r="K791" s="46"/>
      <x:c r="L791" s="41"/>
      <x:c r="M791" s="41"/>
      <x:c r="N791" s="41"/>
      <x:c r="O791" s="41"/>
      <x:c r="P791" s="41"/>
      <x:c r="Q791" s="41"/>
      <x:c r="R791" s="41"/>
      <x:c r="S791" s="41"/>
      <x:c r="T791" s="41"/>
      <x:c r="U791" s="41"/>
      <x:c r="V791" s="41"/>
      <x:c r="W791" s="41"/>
      <x:c r="X791" s="41"/>
      <x:c r="Y791" s="41"/>
      <x:c r="Z791" s="41"/>
    </x:row>
    <x:row r="792">
      <x:c r="A792" s="44"/>
      <x:c r="B792" s="44"/>
      <x:c r="C792" s="44"/>
      <x:c r="D792" s="44"/>
      <x:c r="E792" s="44"/>
      <x:c r="F792" s="45"/>
      <x:c r="G792" s="44"/>
      <x:c r="H792" s="45"/>
      <x:c r="I792" s="45"/>
      <x:c r="J792" s="46"/>
      <x:c r="K792" s="46"/>
      <x:c r="L792" s="41"/>
      <x:c r="M792" s="41"/>
      <x:c r="N792" s="41"/>
      <x:c r="O792" s="41"/>
      <x:c r="P792" s="41"/>
      <x:c r="Q792" s="41"/>
      <x:c r="R792" s="41"/>
      <x:c r="S792" s="41"/>
      <x:c r="T792" s="41"/>
      <x:c r="U792" s="41"/>
      <x:c r="V792" s="41"/>
      <x:c r="W792" s="41"/>
      <x:c r="X792" s="41"/>
      <x:c r="Y792" s="41"/>
      <x:c r="Z792" s="41"/>
    </x:row>
    <x:row r="793">
      <x:c r="A793" s="44"/>
      <x:c r="B793" s="44"/>
      <x:c r="C793" s="44"/>
      <x:c r="D793" s="44"/>
      <x:c r="E793" s="44"/>
      <x:c r="F793" s="45"/>
      <x:c r="G793" s="44"/>
      <x:c r="H793" s="45"/>
      <x:c r="I793" s="45"/>
      <x:c r="J793" s="46"/>
      <x:c r="K793" s="46"/>
      <x:c r="L793" s="41"/>
      <x:c r="M793" s="41"/>
      <x:c r="N793" s="41"/>
      <x:c r="O793" s="41"/>
      <x:c r="P793" s="41"/>
      <x:c r="Q793" s="41"/>
      <x:c r="R793" s="41"/>
      <x:c r="S793" s="41"/>
      <x:c r="T793" s="41"/>
      <x:c r="U793" s="41"/>
      <x:c r="V793" s="41"/>
      <x:c r="W793" s="41"/>
      <x:c r="X793" s="41"/>
      <x:c r="Y793" s="41"/>
      <x:c r="Z793" s="41"/>
    </x:row>
    <x:row r="794">
      <x:c r="A794" s="44"/>
      <x:c r="B794" s="44"/>
      <x:c r="C794" s="44"/>
      <x:c r="D794" s="44"/>
      <x:c r="E794" s="44"/>
      <x:c r="F794" s="45"/>
      <x:c r="G794" s="44"/>
      <x:c r="H794" s="45"/>
      <x:c r="I794" s="45"/>
      <x:c r="J794" s="46"/>
      <x:c r="K794" s="46"/>
      <x:c r="L794" s="41"/>
      <x:c r="M794" s="41"/>
      <x:c r="N794" s="41"/>
      <x:c r="O794" s="41"/>
      <x:c r="P794" s="41"/>
      <x:c r="Q794" s="41"/>
      <x:c r="R794" s="41"/>
      <x:c r="S794" s="41"/>
      <x:c r="T794" s="41"/>
      <x:c r="U794" s="41"/>
      <x:c r="V794" s="41"/>
      <x:c r="W794" s="41"/>
      <x:c r="X794" s="41"/>
      <x:c r="Y794" s="41"/>
      <x:c r="Z794" s="41"/>
    </x:row>
    <x:row r="795">
      <x:c r="A795" s="44"/>
      <x:c r="B795" s="44"/>
      <x:c r="C795" s="44"/>
      <x:c r="D795" s="44"/>
      <x:c r="E795" s="44"/>
      <x:c r="F795" s="45"/>
      <x:c r="G795" s="44"/>
      <x:c r="H795" s="45"/>
      <x:c r="I795" s="45"/>
      <x:c r="J795" s="46"/>
      <x:c r="K795" s="46"/>
      <x:c r="L795" s="41"/>
      <x:c r="M795" s="41"/>
      <x:c r="N795" s="41"/>
      <x:c r="O795" s="41"/>
      <x:c r="P795" s="41"/>
      <x:c r="Q795" s="41"/>
      <x:c r="R795" s="41"/>
      <x:c r="S795" s="41"/>
      <x:c r="T795" s="41"/>
      <x:c r="U795" s="41"/>
      <x:c r="V795" s="41"/>
      <x:c r="W795" s="41"/>
      <x:c r="X795" s="41"/>
      <x:c r="Y795" s="41"/>
      <x:c r="Z795" s="41"/>
    </x:row>
    <x:row r="796">
      <x:c r="A796" s="44"/>
      <x:c r="B796" s="44"/>
      <x:c r="C796" s="44"/>
      <x:c r="D796" s="44"/>
      <x:c r="E796" s="44"/>
      <x:c r="F796" s="45"/>
      <x:c r="G796" s="44"/>
      <x:c r="H796" s="45"/>
      <x:c r="I796" s="45"/>
      <x:c r="J796" s="46"/>
      <x:c r="K796" s="46"/>
      <x:c r="L796" s="41"/>
      <x:c r="M796" s="41"/>
      <x:c r="N796" s="41"/>
      <x:c r="O796" s="41"/>
      <x:c r="P796" s="41"/>
      <x:c r="Q796" s="41"/>
      <x:c r="R796" s="41"/>
      <x:c r="S796" s="41"/>
      <x:c r="T796" s="41"/>
      <x:c r="U796" s="41"/>
      <x:c r="V796" s="41"/>
      <x:c r="W796" s="41"/>
      <x:c r="X796" s="41"/>
      <x:c r="Y796" s="41"/>
      <x:c r="Z796" s="41"/>
    </x:row>
    <x:row r="797">
      <x:c r="A797" s="44"/>
      <x:c r="B797" s="44"/>
      <x:c r="C797" s="44"/>
      <x:c r="D797" s="44"/>
      <x:c r="E797" s="44"/>
      <x:c r="F797" s="45"/>
      <x:c r="G797" s="44"/>
      <x:c r="H797" s="45"/>
      <x:c r="I797" s="45"/>
      <x:c r="J797" s="46"/>
      <x:c r="K797" s="46"/>
      <x:c r="L797" s="41"/>
      <x:c r="M797" s="41"/>
      <x:c r="N797" s="41"/>
      <x:c r="O797" s="41"/>
      <x:c r="P797" s="41"/>
      <x:c r="Q797" s="41"/>
      <x:c r="R797" s="41"/>
      <x:c r="S797" s="41"/>
      <x:c r="T797" s="41"/>
      <x:c r="U797" s="41"/>
      <x:c r="V797" s="41"/>
      <x:c r="W797" s="41"/>
      <x:c r="X797" s="41"/>
      <x:c r="Y797" s="41"/>
      <x:c r="Z797" s="41"/>
    </x:row>
    <x:row r="798">
      <x:c r="A798" s="44"/>
      <x:c r="B798" s="44"/>
      <x:c r="C798" s="44"/>
      <x:c r="D798" s="44"/>
      <x:c r="E798" s="44"/>
      <x:c r="F798" s="45"/>
      <x:c r="G798" s="44"/>
      <x:c r="H798" s="45"/>
      <x:c r="I798" s="45"/>
      <x:c r="J798" s="46"/>
      <x:c r="K798" s="46"/>
      <x:c r="L798" s="41"/>
      <x:c r="M798" s="41"/>
      <x:c r="N798" s="41"/>
      <x:c r="O798" s="41"/>
      <x:c r="P798" s="41"/>
      <x:c r="Q798" s="41"/>
      <x:c r="R798" s="41"/>
      <x:c r="S798" s="41"/>
      <x:c r="T798" s="41"/>
      <x:c r="U798" s="41"/>
      <x:c r="V798" s="41"/>
      <x:c r="W798" s="41"/>
      <x:c r="X798" s="41"/>
      <x:c r="Y798" s="41"/>
      <x:c r="Z798" s="41"/>
    </x:row>
    <x:row r="799">
      <x:c r="A799" s="44"/>
      <x:c r="B799" s="44"/>
      <x:c r="C799" s="44"/>
      <x:c r="D799" s="44"/>
      <x:c r="E799" s="44"/>
      <x:c r="F799" s="45"/>
      <x:c r="G799" s="44"/>
      <x:c r="H799" s="45"/>
      <x:c r="I799" s="45"/>
      <x:c r="J799" s="46"/>
      <x:c r="K799" s="46"/>
      <x:c r="L799" s="41"/>
      <x:c r="M799" s="41"/>
      <x:c r="N799" s="41"/>
      <x:c r="O799" s="41"/>
      <x:c r="P799" s="41"/>
      <x:c r="Q799" s="41"/>
      <x:c r="R799" s="41"/>
      <x:c r="S799" s="41"/>
      <x:c r="T799" s="41"/>
      <x:c r="U799" s="41"/>
      <x:c r="V799" s="41"/>
      <x:c r="W799" s="41"/>
      <x:c r="X799" s="41"/>
      <x:c r="Y799" s="41"/>
      <x:c r="Z799" s="41"/>
    </x:row>
    <x:row r="800">
      <x:c r="A800" s="44"/>
      <x:c r="B800" s="44"/>
      <x:c r="C800" s="44"/>
      <x:c r="D800" s="44"/>
      <x:c r="E800" s="44"/>
      <x:c r="F800" s="45"/>
      <x:c r="G800" s="44"/>
      <x:c r="H800" s="45"/>
      <x:c r="I800" s="45"/>
      <x:c r="J800" s="46"/>
      <x:c r="K800" s="46"/>
      <x:c r="L800" s="41"/>
      <x:c r="M800" s="41"/>
      <x:c r="N800" s="41"/>
      <x:c r="O800" s="41"/>
      <x:c r="P800" s="41"/>
      <x:c r="Q800" s="41"/>
      <x:c r="R800" s="41"/>
      <x:c r="S800" s="41"/>
      <x:c r="T800" s="41"/>
      <x:c r="U800" s="41"/>
      <x:c r="V800" s="41"/>
      <x:c r="W800" s="41"/>
      <x:c r="X800" s="41"/>
      <x:c r="Y800" s="41"/>
      <x:c r="Z800" s="41"/>
    </x:row>
    <x:row r="801">
      <x:c r="A801" s="44"/>
      <x:c r="B801" s="44"/>
      <x:c r="C801" s="44"/>
      <x:c r="D801" s="44"/>
      <x:c r="E801" s="44"/>
      <x:c r="F801" s="45"/>
      <x:c r="G801" s="44"/>
      <x:c r="H801" s="45"/>
      <x:c r="I801" s="45"/>
      <x:c r="J801" s="46"/>
      <x:c r="K801" s="46"/>
      <x:c r="L801" s="41"/>
      <x:c r="M801" s="41"/>
      <x:c r="N801" s="41"/>
      <x:c r="O801" s="41"/>
      <x:c r="P801" s="41"/>
      <x:c r="Q801" s="41"/>
      <x:c r="R801" s="41"/>
      <x:c r="S801" s="41"/>
      <x:c r="T801" s="41"/>
      <x:c r="U801" s="41"/>
      <x:c r="V801" s="41"/>
      <x:c r="W801" s="41"/>
      <x:c r="X801" s="41"/>
      <x:c r="Y801" s="41"/>
      <x:c r="Z801" s="41"/>
    </x:row>
    <x:row r="802">
      <x:c r="A802" s="44"/>
      <x:c r="B802" s="44"/>
      <x:c r="C802" s="44"/>
      <x:c r="D802" s="44"/>
      <x:c r="E802" s="44"/>
      <x:c r="F802" s="45"/>
      <x:c r="G802" s="44"/>
      <x:c r="H802" s="45"/>
      <x:c r="I802" s="45"/>
      <x:c r="J802" s="46"/>
      <x:c r="K802" s="46"/>
      <x:c r="L802" s="41"/>
      <x:c r="M802" s="41"/>
      <x:c r="N802" s="41"/>
      <x:c r="O802" s="41"/>
      <x:c r="P802" s="41"/>
      <x:c r="Q802" s="41"/>
      <x:c r="R802" s="41"/>
      <x:c r="S802" s="41"/>
      <x:c r="T802" s="41"/>
      <x:c r="U802" s="41"/>
      <x:c r="V802" s="41"/>
      <x:c r="W802" s="41"/>
      <x:c r="X802" s="41"/>
      <x:c r="Y802" s="41"/>
      <x:c r="Z802" s="41"/>
    </x:row>
    <x:row r="803">
      <x:c r="A803" s="44"/>
      <x:c r="B803" s="44"/>
      <x:c r="C803" s="44"/>
      <x:c r="D803" s="44"/>
      <x:c r="E803" s="44"/>
      <x:c r="F803" s="45"/>
      <x:c r="G803" s="44"/>
      <x:c r="H803" s="45"/>
      <x:c r="I803" s="45"/>
      <x:c r="J803" s="46"/>
      <x:c r="K803" s="46"/>
      <x:c r="L803" s="41"/>
      <x:c r="M803" s="41"/>
      <x:c r="N803" s="41"/>
      <x:c r="O803" s="41"/>
      <x:c r="P803" s="41"/>
      <x:c r="Q803" s="41"/>
      <x:c r="R803" s="41"/>
      <x:c r="S803" s="41"/>
      <x:c r="T803" s="41"/>
      <x:c r="U803" s="41"/>
      <x:c r="V803" s="41"/>
      <x:c r="W803" s="41"/>
      <x:c r="X803" s="41"/>
      <x:c r="Y803" s="41"/>
      <x:c r="Z803" s="41"/>
    </x:row>
    <x:row r="804">
      <x:c r="A804" s="44"/>
      <x:c r="B804" s="44"/>
      <x:c r="C804" s="44"/>
      <x:c r="D804" s="44"/>
      <x:c r="E804" s="44"/>
      <x:c r="F804" s="45"/>
      <x:c r="G804" s="44"/>
      <x:c r="H804" s="45"/>
      <x:c r="I804" s="45"/>
      <x:c r="J804" s="46"/>
      <x:c r="K804" s="46"/>
      <x:c r="L804" s="41"/>
      <x:c r="M804" s="41"/>
      <x:c r="N804" s="41"/>
      <x:c r="O804" s="41"/>
      <x:c r="P804" s="41"/>
      <x:c r="Q804" s="41"/>
      <x:c r="R804" s="41"/>
      <x:c r="S804" s="41"/>
      <x:c r="T804" s="41"/>
      <x:c r="U804" s="41"/>
      <x:c r="V804" s="41"/>
      <x:c r="W804" s="41"/>
      <x:c r="X804" s="41"/>
      <x:c r="Y804" s="41"/>
      <x:c r="Z804" s="41"/>
    </x:row>
    <x:row r="805">
      <x:c r="A805" s="44"/>
      <x:c r="B805" s="44"/>
      <x:c r="C805" s="44"/>
      <x:c r="D805" s="44"/>
      <x:c r="E805" s="44"/>
      <x:c r="F805" s="45"/>
      <x:c r="G805" s="44"/>
      <x:c r="H805" s="45"/>
      <x:c r="I805" s="45"/>
      <x:c r="J805" s="46"/>
      <x:c r="K805" s="46"/>
      <x:c r="L805" s="41"/>
      <x:c r="M805" s="41"/>
      <x:c r="N805" s="41"/>
      <x:c r="O805" s="41"/>
      <x:c r="P805" s="41"/>
      <x:c r="Q805" s="41"/>
      <x:c r="R805" s="41"/>
      <x:c r="S805" s="41"/>
      <x:c r="T805" s="41"/>
      <x:c r="U805" s="41"/>
      <x:c r="V805" s="41"/>
      <x:c r="W805" s="41"/>
      <x:c r="X805" s="41"/>
      <x:c r="Y805" s="41"/>
      <x:c r="Z805" s="41"/>
    </x:row>
    <x:row r="806">
      <x:c r="A806" s="44"/>
      <x:c r="B806" s="44"/>
      <x:c r="C806" s="44"/>
      <x:c r="D806" s="44"/>
      <x:c r="E806" s="44"/>
      <x:c r="F806" s="45"/>
      <x:c r="G806" s="44"/>
      <x:c r="H806" s="45"/>
      <x:c r="I806" s="45"/>
      <x:c r="J806" s="46"/>
      <x:c r="K806" s="46"/>
      <x:c r="L806" s="41"/>
      <x:c r="M806" s="41"/>
      <x:c r="N806" s="41"/>
      <x:c r="O806" s="41"/>
      <x:c r="P806" s="41"/>
      <x:c r="Q806" s="41"/>
      <x:c r="R806" s="41"/>
      <x:c r="S806" s="41"/>
      <x:c r="T806" s="41"/>
      <x:c r="U806" s="41"/>
      <x:c r="V806" s="41"/>
      <x:c r="W806" s="41"/>
      <x:c r="X806" s="41"/>
      <x:c r="Y806" s="41"/>
      <x:c r="Z806" s="41"/>
    </x:row>
    <x:row r="807">
      <x:c r="A807" s="44"/>
      <x:c r="B807" s="44"/>
      <x:c r="C807" s="44"/>
      <x:c r="D807" s="44"/>
      <x:c r="E807" s="44"/>
      <x:c r="F807" s="45"/>
      <x:c r="G807" s="44"/>
      <x:c r="H807" s="45"/>
      <x:c r="I807" s="45"/>
      <x:c r="J807" s="46"/>
      <x:c r="K807" s="46"/>
      <x:c r="L807" s="41"/>
      <x:c r="M807" s="41"/>
      <x:c r="N807" s="41"/>
      <x:c r="O807" s="41"/>
      <x:c r="P807" s="41"/>
      <x:c r="Q807" s="41"/>
      <x:c r="R807" s="41"/>
      <x:c r="S807" s="41"/>
      <x:c r="T807" s="41"/>
      <x:c r="U807" s="41"/>
      <x:c r="V807" s="41"/>
      <x:c r="W807" s="41"/>
      <x:c r="X807" s="41"/>
      <x:c r="Y807" s="41"/>
      <x:c r="Z807" s="41"/>
    </x:row>
    <x:row r="808">
      <x:c r="A808" s="44"/>
      <x:c r="B808" s="44"/>
      <x:c r="C808" s="44"/>
      <x:c r="D808" s="44"/>
      <x:c r="E808" s="44"/>
      <x:c r="F808" s="45"/>
      <x:c r="G808" s="44"/>
      <x:c r="H808" s="45"/>
      <x:c r="I808" s="45"/>
      <x:c r="J808" s="46"/>
      <x:c r="K808" s="46"/>
      <x:c r="L808" s="41"/>
      <x:c r="M808" s="41"/>
      <x:c r="N808" s="41"/>
      <x:c r="O808" s="41"/>
      <x:c r="P808" s="41"/>
      <x:c r="Q808" s="41"/>
      <x:c r="R808" s="41"/>
      <x:c r="S808" s="41"/>
      <x:c r="T808" s="41"/>
      <x:c r="U808" s="41"/>
      <x:c r="V808" s="41"/>
      <x:c r="W808" s="41"/>
      <x:c r="X808" s="41"/>
      <x:c r="Y808" s="41"/>
      <x:c r="Z808" s="41"/>
    </x:row>
    <x:row r="809">
      <x:c r="A809" s="44"/>
      <x:c r="B809" s="44"/>
      <x:c r="C809" s="44"/>
      <x:c r="D809" s="44"/>
      <x:c r="E809" s="44"/>
      <x:c r="F809" s="45"/>
      <x:c r="G809" s="44"/>
      <x:c r="H809" s="45"/>
      <x:c r="I809" s="45"/>
      <x:c r="J809" s="46"/>
      <x:c r="K809" s="46"/>
      <x:c r="L809" s="41"/>
      <x:c r="M809" s="41"/>
      <x:c r="N809" s="41"/>
      <x:c r="O809" s="41"/>
      <x:c r="P809" s="41"/>
      <x:c r="Q809" s="41"/>
      <x:c r="R809" s="41"/>
      <x:c r="S809" s="41"/>
      <x:c r="T809" s="41"/>
      <x:c r="U809" s="41"/>
      <x:c r="V809" s="41"/>
      <x:c r="W809" s="41"/>
      <x:c r="X809" s="41"/>
      <x:c r="Y809" s="41"/>
      <x:c r="Z809" s="41"/>
    </x:row>
    <x:row r="810">
      <x:c r="A810" s="44"/>
      <x:c r="B810" s="44"/>
      <x:c r="C810" s="44"/>
      <x:c r="D810" s="44"/>
      <x:c r="E810" s="44"/>
      <x:c r="F810" s="45"/>
      <x:c r="G810" s="44"/>
      <x:c r="H810" s="45"/>
      <x:c r="I810" s="45"/>
      <x:c r="J810" s="46"/>
      <x:c r="K810" s="46"/>
      <x:c r="L810" s="41"/>
      <x:c r="M810" s="41"/>
      <x:c r="N810" s="41"/>
      <x:c r="O810" s="41"/>
      <x:c r="P810" s="41"/>
      <x:c r="Q810" s="41"/>
      <x:c r="R810" s="41"/>
      <x:c r="S810" s="41"/>
      <x:c r="T810" s="41"/>
      <x:c r="U810" s="41"/>
      <x:c r="V810" s="41"/>
      <x:c r="W810" s="41"/>
      <x:c r="X810" s="41"/>
      <x:c r="Y810" s="41"/>
      <x:c r="Z810" s="41"/>
    </x:row>
    <x:row r="811">
      <x:c r="A811" s="44"/>
      <x:c r="B811" s="44"/>
      <x:c r="C811" s="44"/>
      <x:c r="D811" s="44"/>
      <x:c r="E811" s="44"/>
      <x:c r="F811" s="45"/>
      <x:c r="G811" s="44"/>
      <x:c r="H811" s="45"/>
      <x:c r="I811" s="45"/>
      <x:c r="J811" s="46"/>
      <x:c r="K811" s="46"/>
      <x:c r="L811" s="41"/>
      <x:c r="M811" s="41"/>
      <x:c r="N811" s="41"/>
      <x:c r="O811" s="41"/>
      <x:c r="P811" s="41"/>
      <x:c r="Q811" s="41"/>
      <x:c r="R811" s="41"/>
      <x:c r="S811" s="41"/>
      <x:c r="T811" s="41"/>
      <x:c r="U811" s="41"/>
      <x:c r="V811" s="41"/>
      <x:c r="W811" s="41"/>
      <x:c r="X811" s="41"/>
      <x:c r="Y811" s="41"/>
      <x:c r="Z811" s="41"/>
    </x:row>
    <x:row r="812">
      <x:c r="A812" s="44"/>
      <x:c r="B812" s="44"/>
      <x:c r="C812" s="44"/>
      <x:c r="D812" s="44"/>
      <x:c r="E812" s="44"/>
      <x:c r="F812" s="45"/>
      <x:c r="G812" s="44"/>
      <x:c r="H812" s="45"/>
      <x:c r="I812" s="45"/>
      <x:c r="J812" s="46"/>
      <x:c r="K812" s="46"/>
      <x:c r="L812" s="41"/>
      <x:c r="M812" s="41"/>
      <x:c r="N812" s="41"/>
      <x:c r="O812" s="41"/>
      <x:c r="P812" s="41"/>
      <x:c r="Q812" s="41"/>
      <x:c r="R812" s="41"/>
      <x:c r="S812" s="41"/>
      <x:c r="T812" s="41"/>
      <x:c r="U812" s="41"/>
      <x:c r="V812" s="41"/>
      <x:c r="W812" s="41"/>
      <x:c r="X812" s="41"/>
      <x:c r="Y812" s="41"/>
      <x:c r="Z812" s="41"/>
    </x:row>
    <x:row r="813">
      <x:c r="A813" s="44"/>
      <x:c r="B813" s="44"/>
      <x:c r="C813" s="44"/>
      <x:c r="D813" s="44"/>
      <x:c r="E813" s="44"/>
      <x:c r="F813" s="45"/>
      <x:c r="G813" s="44"/>
      <x:c r="H813" s="45"/>
      <x:c r="I813" s="45"/>
      <x:c r="J813" s="46"/>
      <x:c r="K813" s="46"/>
      <x:c r="L813" s="41"/>
      <x:c r="M813" s="41"/>
      <x:c r="N813" s="41"/>
      <x:c r="O813" s="41"/>
      <x:c r="P813" s="41"/>
      <x:c r="Q813" s="41"/>
      <x:c r="R813" s="41"/>
      <x:c r="S813" s="41"/>
      <x:c r="T813" s="41"/>
      <x:c r="U813" s="41"/>
      <x:c r="V813" s="41"/>
      <x:c r="W813" s="41"/>
      <x:c r="X813" s="41"/>
      <x:c r="Y813" s="41"/>
      <x:c r="Z813" s="41"/>
    </x:row>
    <x:row r="814">
      <x:c r="A814" s="44"/>
      <x:c r="B814" s="44"/>
      <x:c r="C814" s="44"/>
      <x:c r="D814" s="44"/>
      <x:c r="E814" s="44"/>
      <x:c r="F814" s="45"/>
      <x:c r="G814" s="44"/>
      <x:c r="H814" s="45"/>
      <x:c r="I814" s="45"/>
      <x:c r="J814" s="46"/>
      <x:c r="K814" s="46"/>
      <x:c r="L814" s="41"/>
      <x:c r="M814" s="41"/>
      <x:c r="N814" s="41"/>
      <x:c r="O814" s="41"/>
      <x:c r="P814" s="41"/>
      <x:c r="Q814" s="41"/>
      <x:c r="R814" s="41"/>
      <x:c r="S814" s="41"/>
      <x:c r="T814" s="41"/>
      <x:c r="U814" s="41"/>
      <x:c r="V814" s="41"/>
      <x:c r="W814" s="41"/>
      <x:c r="X814" s="41"/>
      <x:c r="Y814" s="41"/>
      <x:c r="Z814" s="41"/>
    </x:row>
    <x:row r="815">
      <x:c r="A815" s="44"/>
      <x:c r="B815" s="44"/>
      <x:c r="C815" s="44"/>
      <x:c r="D815" s="44"/>
      <x:c r="E815" s="44"/>
      <x:c r="F815" s="45"/>
      <x:c r="G815" s="44"/>
      <x:c r="H815" s="45"/>
      <x:c r="I815" s="45"/>
      <x:c r="J815" s="46"/>
      <x:c r="K815" s="46"/>
      <x:c r="L815" s="41"/>
      <x:c r="M815" s="41"/>
      <x:c r="N815" s="41"/>
      <x:c r="O815" s="41"/>
      <x:c r="P815" s="41"/>
      <x:c r="Q815" s="41"/>
      <x:c r="R815" s="41"/>
      <x:c r="S815" s="41"/>
      <x:c r="T815" s="41"/>
      <x:c r="U815" s="41"/>
      <x:c r="V815" s="41"/>
      <x:c r="W815" s="41"/>
      <x:c r="X815" s="41"/>
      <x:c r="Y815" s="41"/>
      <x:c r="Z815" s="41"/>
    </x:row>
    <x:row r="816">
      <x:c r="A816" s="44"/>
      <x:c r="B816" s="44"/>
      <x:c r="C816" s="44"/>
      <x:c r="D816" s="44"/>
      <x:c r="E816" s="44"/>
      <x:c r="F816" s="45"/>
      <x:c r="G816" s="44"/>
      <x:c r="H816" s="45"/>
      <x:c r="I816" s="45"/>
      <x:c r="J816" s="46"/>
      <x:c r="K816" s="46"/>
      <x:c r="L816" s="41"/>
      <x:c r="M816" s="41"/>
      <x:c r="N816" s="41"/>
      <x:c r="O816" s="41"/>
      <x:c r="P816" s="41"/>
      <x:c r="Q816" s="41"/>
      <x:c r="R816" s="41"/>
      <x:c r="S816" s="41"/>
      <x:c r="T816" s="41"/>
      <x:c r="U816" s="41"/>
      <x:c r="V816" s="41"/>
      <x:c r="W816" s="41"/>
      <x:c r="X816" s="41"/>
      <x:c r="Y816" s="41"/>
      <x:c r="Z816" s="41"/>
    </x:row>
    <x:row r="817">
      <x:c r="A817" s="44"/>
      <x:c r="B817" s="44"/>
      <x:c r="C817" s="44"/>
      <x:c r="D817" s="44"/>
      <x:c r="E817" s="44"/>
      <x:c r="F817" s="45"/>
      <x:c r="G817" s="44"/>
      <x:c r="H817" s="45"/>
      <x:c r="I817" s="45"/>
      <x:c r="J817" s="46"/>
      <x:c r="K817" s="46"/>
      <x:c r="L817" s="41"/>
      <x:c r="M817" s="41"/>
      <x:c r="N817" s="41"/>
      <x:c r="O817" s="41"/>
      <x:c r="P817" s="41"/>
      <x:c r="Q817" s="41"/>
      <x:c r="R817" s="41"/>
      <x:c r="S817" s="41"/>
      <x:c r="T817" s="41"/>
      <x:c r="U817" s="41"/>
      <x:c r="V817" s="41"/>
      <x:c r="W817" s="41"/>
      <x:c r="X817" s="41"/>
      <x:c r="Y817" s="41"/>
      <x:c r="Z817" s="41"/>
    </x:row>
    <x:row r="818">
      <x:c r="A818" s="44"/>
      <x:c r="B818" s="44"/>
      <x:c r="C818" s="44"/>
      <x:c r="D818" s="44"/>
      <x:c r="E818" s="44"/>
      <x:c r="F818" s="45"/>
      <x:c r="G818" s="44"/>
      <x:c r="H818" s="45"/>
      <x:c r="I818" s="45"/>
      <x:c r="J818" s="46"/>
      <x:c r="K818" s="46"/>
      <x:c r="L818" s="41"/>
      <x:c r="M818" s="41"/>
      <x:c r="N818" s="41"/>
      <x:c r="O818" s="41"/>
      <x:c r="P818" s="41"/>
      <x:c r="Q818" s="41"/>
      <x:c r="R818" s="41"/>
      <x:c r="S818" s="41"/>
      <x:c r="T818" s="41"/>
      <x:c r="U818" s="41"/>
      <x:c r="V818" s="41"/>
      <x:c r="W818" s="41"/>
      <x:c r="X818" s="41"/>
      <x:c r="Y818" s="41"/>
      <x:c r="Z818" s="41"/>
    </x:row>
    <x:row r="819">
      <x:c r="A819" s="44"/>
      <x:c r="B819" s="44"/>
      <x:c r="C819" s="44"/>
      <x:c r="D819" s="44"/>
      <x:c r="E819" s="44"/>
      <x:c r="F819" s="45"/>
      <x:c r="G819" s="44"/>
      <x:c r="H819" s="45"/>
      <x:c r="I819" s="45"/>
      <x:c r="J819" s="46"/>
      <x:c r="K819" s="46"/>
      <x:c r="L819" s="41"/>
      <x:c r="M819" s="41"/>
      <x:c r="N819" s="41"/>
      <x:c r="O819" s="41"/>
      <x:c r="P819" s="41"/>
      <x:c r="Q819" s="41"/>
      <x:c r="R819" s="41"/>
      <x:c r="S819" s="41"/>
      <x:c r="T819" s="41"/>
      <x:c r="U819" s="41"/>
      <x:c r="V819" s="41"/>
      <x:c r="W819" s="41"/>
      <x:c r="X819" s="41"/>
      <x:c r="Y819" s="41"/>
      <x:c r="Z819" s="41"/>
    </x:row>
    <x:row r="820">
      <x:c r="A820" s="44"/>
      <x:c r="B820" s="44"/>
      <x:c r="C820" s="44"/>
      <x:c r="D820" s="44"/>
      <x:c r="E820" s="44"/>
      <x:c r="F820" s="45"/>
      <x:c r="G820" s="44"/>
      <x:c r="H820" s="45"/>
      <x:c r="I820" s="45"/>
      <x:c r="J820" s="46"/>
      <x:c r="K820" s="46"/>
      <x:c r="L820" s="41"/>
      <x:c r="M820" s="41"/>
      <x:c r="N820" s="41"/>
      <x:c r="O820" s="41"/>
      <x:c r="P820" s="41"/>
      <x:c r="Q820" s="41"/>
      <x:c r="R820" s="41"/>
      <x:c r="S820" s="41"/>
      <x:c r="T820" s="41"/>
      <x:c r="U820" s="41"/>
      <x:c r="V820" s="41"/>
      <x:c r="W820" s="41"/>
      <x:c r="X820" s="41"/>
      <x:c r="Y820" s="41"/>
      <x:c r="Z820" s="41"/>
    </x:row>
    <x:row r="821">
      <x:c r="A821" s="44"/>
      <x:c r="B821" s="44"/>
      <x:c r="C821" s="44"/>
      <x:c r="D821" s="44"/>
      <x:c r="E821" s="44"/>
      <x:c r="F821" s="45"/>
      <x:c r="G821" s="44"/>
      <x:c r="H821" s="45"/>
      <x:c r="I821" s="45"/>
      <x:c r="J821" s="46"/>
      <x:c r="K821" s="46"/>
      <x:c r="L821" s="41"/>
      <x:c r="M821" s="41"/>
      <x:c r="N821" s="41"/>
      <x:c r="O821" s="41"/>
      <x:c r="P821" s="41"/>
      <x:c r="Q821" s="41"/>
      <x:c r="R821" s="41"/>
      <x:c r="S821" s="41"/>
      <x:c r="T821" s="41"/>
      <x:c r="U821" s="41"/>
      <x:c r="V821" s="41"/>
      <x:c r="W821" s="41"/>
      <x:c r="X821" s="41"/>
      <x:c r="Y821" s="41"/>
      <x:c r="Z821" s="41"/>
    </x:row>
    <x:row r="822">
      <x:c r="A822" s="44"/>
      <x:c r="B822" s="44"/>
      <x:c r="C822" s="44"/>
      <x:c r="D822" s="44"/>
      <x:c r="E822" s="44"/>
      <x:c r="F822" s="45"/>
      <x:c r="G822" s="44"/>
      <x:c r="H822" s="45"/>
      <x:c r="I822" s="45"/>
      <x:c r="J822" s="46"/>
      <x:c r="K822" s="46"/>
      <x:c r="L822" s="41"/>
      <x:c r="M822" s="41"/>
      <x:c r="N822" s="41"/>
      <x:c r="O822" s="41"/>
      <x:c r="P822" s="41"/>
      <x:c r="Q822" s="41"/>
      <x:c r="R822" s="41"/>
      <x:c r="S822" s="41"/>
      <x:c r="T822" s="41"/>
      <x:c r="U822" s="41"/>
      <x:c r="V822" s="41"/>
      <x:c r="W822" s="41"/>
      <x:c r="X822" s="41"/>
      <x:c r="Y822" s="41"/>
      <x:c r="Z822" s="41"/>
    </x:row>
    <x:row r="823">
      <x:c r="A823" s="44"/>
      <x:c r="B823" s="44"/>
      <x:c r="C823" s="44"/>
      <x:c r="D823" s="44"/>
      <x:c r="E823" s="44"/>
      <x:c r="F823" s="45"/>
      <x:c r="G823" s="44"/>
      <x:c r="H823" s="45"/>
      <x:c r="I823" s="45"/>
      <x:c r="J823" s="46"/>
      <x:c r="K823" s="46"/>
      <x:c r="L823" s="41"/>
      <x:c r="M823" s="41"/>
      <x:c r="N823" s="41"/>
      <x:c r="O823" s="41"/>
      <x:c r="P823" s="41"/>
      <x:c r="Q823" s="41"/>
      <x:c r="R823" s="41"/>
      <x:c r="S823" s="41"/>
      <x:c r="T823" s="41"/>
      <x:c r="U823" s="41"/>
      <x:c r="V823" s="41"/>
      <x:c r="W823" s="41"/>
      <x:c r="X823" s="41"/>
      <x:c r="Y823" s="41"/>
      <x:c r="Z823" s="41"/>
    </x:row>
    <x:row r="824">
      <x:c r="A824" s="44"/>
      <x:c r="B824" s="44"/>
      <x:c r="C824" s="44"/>
      <x:c r="D824" s="44"/>
      <x:c r="E824" s="44"/>
      <x:c r="F824" s="45"/>
      <x:c r="G824" s="44"/>
      <x:c r="H824" s="45"/>
      <x:c r="I824" s="45"/>
      <x:c r="J824" s="46"/>
      <x:c r="K824" s="46"/>
      <x:c r="L824" s="41"/>
      <x:c r="M824" s="41"/>
      <x:c r="N824" s="41"/>
      <x:c r="O824" s="41"/>
      <x:c r="P824" s="41"/>
      <x:c r="Q824" s="41"/>
      <x:c r="R824" s="41"/>
      <x:c r="S824" s="41"/>
      <x:c r="T824" s="41"/>
      <x:c r="U824" s="41"/>
      <x:c r="V824" s="41"/>
      <x:c r="W824" s="41"/>
      <x:c r="X824" s="41"/>
      <x:c r="Y824" s="41"/>
      <x:c r="Z824" s="41"/>
    </x:row>
    <x:row r="825">
      <x:c r="A825" s="44"/>
      <x:c r="B825" s="44"/>
      <x:c r="C825" s="44"/>
      <x:c r="D825" s="44"/>
      <x:c r="E825" s="44"/>
      <x:c r="F825" s="45"/>
      <x:c r="G825" s="44"/>
      <x:c r="H825" s="45"/>
      <x:c r="I825" s="45"/>
      <x:c r="J825" s="46"/>
      <x:c r="K825" s="46"/>
      <x:c r="L825" s="41"/>
      <x:c r="M825" s="41"/>
      <x:c r="N825" s="41"/>
      <x:c r="O825" s="41"/>
      <x:c r="P825" s="41"/>
      <x:c r="Q825" s="41"/>
      <x:c r="R825" s="41"/>
      <x:c r="S825" s="41"/>
      <x:c r="T825" s="41"/>
      <x:c r="U825" s="41"/>
      <x:c r="V825" s="41"/>
      <x:c r="W825" s="41"/>
      <x:c r="X825" s="41"/>
      <x:c r="Y825" s="41"/>
      <x:c r="Z825" s="41"/>
    </x:row>
    <x:row r="826">
      <x:c r="A826" s="44"/>
      <x:c r="B826" s="44"/>
      <x:c r="C826" s="44"/>
      <x:c r="D826" s="44"/>
      <x:c r="E826" s="44"/>
      <x:c r="F826" s="45"/>
      <x:c r="G826" s="44"/>
      <x:c r="H826" s="45"/>
      <x:c r="I826" s="45"/>
      <x:c r="J826" s="46"/>
      <x:c r="K826" s="46"/>
      <x:c r="L826" s="41"/>
      <x:c r="M826" s="41"/>
      <x:c r="N826" s="41"/>
      <x:c r="O826" s="41"/>
      <x:c r="P826" s="41"/>
      <x:c r="Q826" s="41"/>
      <x:c r="R826" s="41"/>
      <x:c r="S826" s="41"/>
      <x:c r="T826" s="41"/>
      <x:c r="U826" s="41"/>
      <x:c r="V826" s="41"/>
      <x:c r="W826" s="41"/>
      <x:c r="X826" s="41"/>
      <x:c r="Y826" s="41"/>
      <x:c r="Z826" s="41"/>
    </x:row>
    <x:row r="827">
      <x:c r="A827" s="44"/>
      <x:c r="B827" s="44"/>
      <x:c r="C827" s="44"/>
      <x:c r="D827" s="44"/>
      <x:c r="E827" s="44"/>
      <x:c r="F827" s="45"/>
      <x:c r="G827" s="44"/>
      <x:c r="H827" s="45"/>
      <x:c r="I827" s="45"/>
      <x:c r="J827" s="46"/>
      <x:c r="K827" s="46"/>
      <x:c r="L827" s="41"/>
      <x:c r="M827" s="41"/>
      <x:c r="N827" s="41"/>
      <x:c r="O827" s="41"/>
      <x:c r="P827" s="41"/>
      <x:c r="Q827" s="41"/>
      <x:c r="R827" s="41"/>
      <x:c r="S827" s="41"/>
      <x:c r="T827" s="41"/>
      <x:c r="U827" s="41"/>
      <x:c r="V827" s="41"/>
      <x:c r="W827" s="41"/>
      <x:c r="X827" s="41"/>
      <x:c r="Y827" s="41"/>
      <x:c r="Z827" s="41"/>
    </x:row>
    <x:row r="828">
      <x:c r="A828" s="44"/>
      <x:c r="B828" s="44"/>
      <x:c r="C828" s="44"/>
      <x:c r="D828" s="44"/>
      <x:c r="E828" s="44"/>
      <x:c r="F828" s="45"/>
      <x:c r="G828" s="44"/>
      <x:c r="H828" s="45"/>
      <x:c r="I828" s="45"/>
      <x:c r="J828" s="46"/>
      <x:c r="K828" s="46"/>
      <x:c r="L828" s="41"/>
      <x:c r="M828" s="41"/>
      <x:c r="N828" s="41"/>
      <x:c r="O828" s="41"/>
      <x:c r="P828" s="41"/>
      <x:c r="Q828" s="41"/>
      <x:c r="R828" s="41"/>
      <x:c r="S828" s="41"/>
      <x:c r="T828" s="41"/>
      <x:c r="U828" s="41"/>
      <x:c r="V828" s="41"/>
      <x:c r="W828" s="41"/>
      <x:c r="X828" s="41"/>
      <x:c r="Y828" s="41"/>
      <x:c r="Z828" s="41"/>
    </x:row>
    <x:row r="829">
      <x:c r="A829" s="44"/>
      <x:c r="B829" s="44"/>
      <x:c r="C829" s="44"/>
      <x:c r="D829" s="44"/>
      <x:c r="E829" s="44"/>
      <x:c r="F829" s="45"/>
      <x:c r="G829" s="44"/>
      <x:c r="H829" s="45"/>
      <x:c r="I829" s="45"/>
      <x:c r="J829" s="46"/>
      <x:c r="K829" s="46"/>
      <x:c r="L829" s="41"/>
      <x:c r="M829" s="41"/>
      <x:c r="N829" s="41"/>
      <x:c r="O829" s="41"/>
      <x:c r="P829" s="41"/>
      <x:c r="Q829" s="41"/>
      <x:c r="R829" s="41"/>
      <x:c r="S829" s="41"/>
      <x:c r="T829" s="41"/>
      <x:c r="U829" s="41"/>
      <x:c r="V829" s="41"/>
      <x:c r="W829" s="41"/>
      <x:c r="X829" s="41"/>
      <x:c r="Y829" s="41"/>
      <x:c r="Z829" s="41"/>
    </x:row>
    <x:row r="830">
      <x:c r="A830" s="44"/>
      <x:c r="B830" s="44"/>
      <x:c r="C830" s="44"/>
      <x:c r="D830" s="44"/>
      <x:c r="E830" s="44"/>
      <x:c r="F830" s="45"/>
      <x:c r="G830" s="44"/>
      <x:c r="H830" s="45"/>
      <x:c r="I830" s="45"/>
      <x:c r="J830" s="46"/>
      <x:c r="K830" s="46"/>
      <x:c r="L830" s="41"/>
      <x:c r="M830" s="41"/>
      <x:c r="N830" s="41"/>
      <x:c r="O830" s="41"/>
      <x:c r="P830" s="41"/>
      <x:c r="Q830" s="41"/>
      <x:c r="R830" s="41"/>
      <x:c r="S830" s="41"/>
      <x:c r="T830" s="41"/>
      <x:c r="U830" s="41"/>
      <x:c r="V830" s="41"/>
      <x:c r="W830" s="41"/>
      <x:c r="X830" s="41"/>
      <x:c r="Y830" s="41"/>
      <x:c r="Z830" s="41"/>
    </x:row>
    <x:row r="831">
      <x:c r="A831" s="44"/>
      <x:c r="B831" s="44"/>
      <x:c r="C831" s="44"/>
      <x:c r="D831" s="44"/>
      <x:c r="E831" s="44"/>
      <x:c r="F831" s="45"/>
      <x:c r="G831" s="44"/>
      <x:c r="H831" s="45"/>
      <x:c r="I831" s="45"/>
      <x:c r="J831" s="46"/>
      <x:c r="K831" s="46"/>
      <x:c r="L831" s="41"/>
      <x:c r="M831" s="41"/>
      <x:c r="N831" s="41"/>
      <x:c r="O831" s="41"/>
      <x:c r="P831" s="41"/>
      <x:c r="Q831" s="41"/>
      <x:c r="R831" s="41"/>
      <x:c r="S831" s="41"/>
      <x:c r="T831" s="41"/>
      <x:c r="U831" s="41"/>
      <x:c r="V831" s="41"/>
      <x:c r="W831" s="41"/>
      <x:c r="X831" s="41"/>
      <x:c r="Y831" s="41"/>
      <x:c r="Z831" s="41"/>
    </x:row>
    <x:row r="832">
      <x:c r="A832" s="44"/>
      <x:c r="B832" s="44"/>
      <x:c r="C832" s="44"/>
      <x:c r="D832" s="44"/>
      <x:c r="E832" s="44"/>
      <x:c r="F832" s="45"/>
      <x:c r="G832" s="44"/>
      <x:c r="H832" s="45"/>
      <x:c r="I832" s="45"/>
      <x:c r="J832" s="46"/>
      <x:c r="K832" s="46"/>
      <x:c r="L832" s="41"/>
      <x:c r="M832" s="41"/>
      <x:c r="N832" s="41"/>
      <x:c r="O832" s="41"/>
      <x:c r="P832" s="41"/>
      <x:c r="Q832" s="41"/>
      <x:c r="R832" s="41"/>
      <x:c r="S832" s="41"/>
      <x:c r="T832" s="41"/>
      <x:c r="U832" s="41"/>
      <x:c r="V832" s="41"/>
      <x:c r="W832" s="41"/>
      <x:c r="X832" s="41"/>
      <x:c r="Y832" s="41"/>
      <x:c r="Z832" s="41"/>
    </x:row>
    <x:row r="833">
      <x:c r="A833" s="44"/>
      <x:c r="B833" s="44"/>
      <x:c r="C833" s="44"/>
      <x:c r="D833" s="44"/>
      <x:c r="E833" s="44"/>
      <x:c r="F833" s="45"/>
      <x:c r="G833" s="44"/>
      <x:c r="H833" s="45"/>
      <x:c r="I833" s="45"/>
      <x:c r="J833" s="46"/>
      <x:c r="K833" s="46"/>
      <x:c r="L833" s="41"/>
      <x:c r="M833" s="41"/>
      <x:c r="N833" s="41"/>
      <x:c r="O833" s="41"/>
      <x:c r="P833" s="41"/>
      <x:c r="Q833" s="41"/>
      <x:c r="R833" s="41"/>
      <x:c r="S833" s="41"/>
      <x:c r="T833" s="41"/>
      <x:c r="U833" s="41"/>
      <x:c r="V833" s="41"/>
      <x:c r="W833" s="41"/>
      <x:c r="X833" s="41"/>
      <x:c r="Y833" s="41"/>
      <x:c r="Z833" s="41"/>
    </x:row>
    <x:row r="834">
      <x:c r="A834" s="44"/>
      <x:c r="B834" s="44"/>
      <x:c r="C834" s="44"/>
      <x:c r="D834" s="44"/>
      <x:c r="E834" s="44"/>
      <x:c r="F834" s="45"/>
      <x:c r="G834" s="44"/>
      <x:c r="H834" s="45"/>
      <x:c r="I834" s="45"/>
      <x:c r="J834" s="46"/>
      <x:c r="K834" s="46"/>
      <x:c r="L834" s="41"/>
      <x:c r="M834" s="41"/>
      <x:c r="N834" s="41"/>
      <x:c r="O834" s="41"/>
      <x:c r="P834" s="41"/>
      <x:c r="Q834" s="41"/>
      <x:c r="R834" s="41"/>
      <x:c r="S834" s="41"/>
      <x:c r="T834" s="41"/>
      <x:c r="U834" s="41"/>
      <x:c r="V834" s="41"/>
      <x:c r="W834" s="41"/>
      <x:c r="X834" s="41"/>
      <x:c r="Y834" s="41"/>
      <x:c r="Z834" s="41"/>
    </x:row>
    <x:row r="835">
      <x:c r="A835" s="44"/>
      <x:c r="B835" s="44"/>
      <x:c r="C835" s="44"/>
      <x:c r="D835" s="44"/>
      <x:c r="E835" s="44"/>
      <x:c r="F835" s="45"/>
      <x:c r="G835" s="44"/>
      <x:c r="H835" s="45"/>
      <x:c r="I835" s="45"/>
      <x:c r="J835" s="46"/>
      <x:c r="K835" s="46"/>
      <x:c r="L835" s="41"/>
      <x:c r="M835" s="41"/>
      <x:c r="N835" s="41"/>
      <x:c r="O835" s="41"/>
      <x:c r="P835" s="41"/>
      <x:c r="Q835" s="41"/>
      <x:c r="R835" s="41"/>
      <x:c r="S835" s="41"/>
      <x:c r="T835" s="41"/>
      <x:c r="U835" s="41"/>
      <x:c r="V835" s="41"/>
      <x:c r="W835" s="41"/>
      <x:c r="X835" s="41"/>
      <x:c r="Y835" s="41"/>
      <x:c r="Z835" s="41"/>
    </x:row>
    <x:row r="836">
      <x:c r="A836" s="44"/>
      <x:c r="B836" s="44"/>
      <x:c r="C836" s="44"/>
      <x:c r="D836" s="44"/>
      <x:c r="E836" s="44"/>
      <x:c r="F836" s="45"/>
      <x:c r="G836" s="44"/>
      <x:c r="H836" s="45"/>
      <x:c r="I836" s="45"/>
      <x:c r="J836" s="46"/>
      <x:c r="K836" s="46"/>
      <x:c r="L836" s="41"/>
      <x:c r="M836" s="41"/>
      <x:c r="N836" s="41"/>
      <x:c r="O836" s="41"/>
      <x:c r="P836" s="41"/>
      <x:c r="Q836" s="41"/>
      <x:c r="R836" s="41"/>
      <x:c r="S836" s="41"/>
      <x:c r="T836" s="41"/>
      <x:c r="U836" s="41"/>
      <x:c r="V836" s="41"/>
      <x:c r="W836" s="41"/>
      <x:c r="X836" s="41"/>
      <x:c r="Y836" s="41"/>
      <x:c r="Z836" s="41"/>
    </x:row>
    <x:row r="837">
      <x:c r="A837" s="44"/>
      <x:c r="B837" s="44"/>
      <x:c r="C837" s="44"/>
      <x:c r="D837" s="44"/>
      <x:c r="E837" s="44"/>
      <x:c r="F837" s="45"/>
      <x:c r="G837" s="44"/>
      <x:c r="H837" s="45"/>
      <x:c r="I837" s="45"/>
      <x:c r="J837" s="46"/>
      <x:c r="K837" s="46"/>
      <x:c r="L837" s="41"/>
      <x:c r="M837" s="41"/>
      <x:c r="N837" s="41"/>
      <x:c r="O837" s="41"/>
      <x:c r="P837" s="41"/>
      <x:c r="Q837" s="41"/>
      <x:c r="R837" s="41"/>
      <x:c r="S837" s="41"/>
      <x:c r="T837" s="41"/>
      <x:c r="U837" s="41"/>
      <x:c r="V837" s="41"/>
      <x:c r="W837" s="41"/>
      <x:c r="X837" s="41"/>
      <x:c r="Y837" s="41"/>
      <x:c r="Z837" s="41"/>
    </x:row>
    <x:row r="838">
      <x:c r="A838" s="44"/>
      <x:c r="B838" s="44"/>
      <x:c r="C838" s="44"/>
      <x:c r="D838" s="44"/>
      <x:c r="E838" s="44"/>
      <x:c r="F838" s="45"/>
      <x:c r="G838" s="44"/>
      <x:c r="H838" s="45"/>
      <x:c r="I838" s="45"/>
      <x:c r="J838" s="46"/>
      <x:c r="K838" s="46"/>
      <x:c r="L838" s="41"/>
      <x:c r="M838" s="41"/>
      <x:c r="N838" s="41"/>
      <x:c r="O838" s="41"/>
      <x:c r="P838" s="41"/>
      <x:c r="Q838" s="41"/>
      <x:c r="R838" s="41"/>
      <x:c r="S838" s="41"/>
      <x:c r="T838" s="41"/>
      <x:c r="U838" s="41"/>
      <x:c r="V838" s="41"/>
      <x:c r="W838" s="41"/>
      <x:c r="X838" s="41"/>
      <x:c r="Y838" s="41"/>
      <x:c r="Z838" s="41"/>
    </x:row>
    <x:row r="839">
      <x:c r="A839" s="44"/>
      <x:c r="B839" s="44"/>
      <x:c r="C839" s="44"/>
      <x:c r="D839" s="44"/>
      <x:c r="E839" s="44"/>
      <x:c r="F839" s="45"/>
      <x:c r="G839" s="44"/>
      <x:c r="H839" s="45"/>
      <x:c r="I839" s="45"/>
      <x:c r="J839" s="46"/>
      <x:c r="K839" s="46"/>
      <x:c r="L839" s="41"/>
      <x:c r="M839" s="41"/>
      <x:c r="N839" s="41"/>
      <x:c r="O839" s="41"/>
      <x:c r="P839" s="41"/>
      <x:c r="Q839" s="41"/>
      <x:c r="R839" s="41"/>
      <x:c r="S839" s="41"/>
      <x:c r="T839" s="41"/>
      <x:c r="U839" s="41"/>
      <x:c r="V839" s="41"/>
      <x:c r="W839" s="41"/>
      <x:c r="X839" s="41"/>
      <x:c r="Y839" s="41"/>
      <x:c r="Z839" s="41"/>
    </x:row>
    <x:row r="840">
      <x:c r="A840" s="44"/>
      <x:c r="B840" s="44"/>
      <x:c r="C840" s="44"/>
      <x:c r="D840" s="44"/>
      <x:c r="E840" s="44"/>
      <x:c r="F840" s="45"/>
      <x:c r="G840" s="44"/>
      <x:c r="H840" s="45"/>
      <x:c r="I840" s="45"/>
      <x:c r="J840" s="46"/>
      <x:c r="K840" s="46"/>
      <x:c r="L840" s="41"/>
      <x:c r="M840" s="41"/>
      <x:c r="N840" s="41"/>
      <x:c r="O840" s="41"/>
      <x:c r="P840" s="41"/>
      <x:c r="Q840" s="41"/>
      <x:c r="R840" s="41"/>
      <x:c r="S840" s="41"/>
      <x:c r="T840" s="41"/>
      <x:c r="U840" s="41"/>
      <x:c r="V840" s="41"/>
      <x:c r="W840" s="41"/>
      <x:c r="X840" s="41"/>
      <x:c r="Y840" s="41"/>
      <x:c r="Z840" s="41"/>
    </x:row>
    <x:row r="841">
      <x:c r="A841" s="44"/>
      <x:c r="B841" s="44"/>
      <x:c r="C841" s="44"/>
      <x:c r="D841" s="44"/>
      <x:c r="E841" s="44"/>
      <x:c r="F841" s="45"/>
      <x:c r="G841" s="44"/>
      <x:c r="H841" s="45"/>
      <x:c r="I841" s="45"/>
      <x:c r="J841" s="46"/>
      <x:c r="K841" s="46"/>
      <x:c r="L841" s="41"/>
      <x:c r="M841" s="41"/>
      <x:c r="N841" s="41"/>
      <x:c r="O841" s="41"/>
      <x:c r="P841" s="41"/>
      <x:c r="Q841" s="41"/>
      <x:c r="R841" s="41"/>
      <x:c r="S841" s="41"/>
      <x:c r="T841" s="41"/>
      <x:c r="U841" s="41"/>
      <x:c r="V841" s="41"/>
      <x:c r="W841" s="41"/>
      <x:c r="X841" s="41"/>
      <x:c r="Y841" s="41"/>
      <x:c r="Z841" s="41"/>
    </x:row>
    <x:row r="842">
      <x:c r="A842" s="44"/>
      <x:c r="B842" s="44"/>
      <x:c r="C842" s="44"/>
      <x:c r="D842" s="44"/>
      <x:c r="E842" s="44"/>
      <x:c r="F842" s="45"/>
      <x:c r="G842" s="44"/>
      <x:c r="H842" s="45"/>
      <x:c r="I842" s="45"/>
      <x:c r="J842" s="46"/>
      <x:c r="K842" s="46"/>
      <x:c r="L842" s="41"/>
      <x:c r="M842" s="41"/>
      <x:c r="N842" s="41"/>
      <x:c r="O842" s="41"/>
      <x:c r="P842" s="41"/>
      <x:c r="Q842" s="41"/>
      <x:c r="R842" s="41"/>
      <x:c r="S842" s="41"/>
      <x:c r="T842" s="41"/>
      <x:c r="U842" s="41"/>
      <x:c r="V842" s="41"/>
      <x:c r="W842" s="41"/>
      <x:c r="X842" s="41"/>
      <x:c r="Y842" s="41"/>
      <x:c r="Z842" s="41"/>
    </x:row>
    <x:row r="843">
      <x:c r="A843" s="44"/>
      <x:c r="B843" s="44"/>
      <x:c r="C843" s="44"/>
      <x:c r="D843" s="44"/>
      <x:c r="E843" s="44"/>
      <x:c r="F843" s="45"/>
      <x:c r="G843" s="44"/>
      <x:c r="H843" s="45"/>
      <x:c r="I843" s="45"/>
      <x:c r="J843" s="46"/>
      <x:c r="K843" s="46"/>
      <x:c r="L843" s="41"/>
      <x:c r="M843" s="41"/>
      <x:c r="N843" s="41"/>
      <x:c r="O843" s="41"/>
      <x:c r="P843" s="41"/>
      <x:c r="Q843" s="41"/>
      <x:c r="R843" s="41"/>
      <x:c r="S843" s="41"/>
      <x:c r="T843" s="41"/>
      <x:c r="U843" s="41"/>
      <x:c r="V843" s="41"/>
      <x:c r="W843" s="41"/>
      <x:c r="X843" s="41"/>
      <x:c r="Y843" s="41"/>
      <x:c r="Z843" s="41"/>
    </x:row>
    <x:row r="844">
      <x:c r="A844" s="44"/>
      <x:c r="B844" s="44"/>
      <x:c r="C844" s="44"/>
      <x:c r="D844" s="44"/>
      <x:c r="E844" s="44"/>
      <x:c r="F844" s="45"/>
      <x:c r="G844" s="44"/>
      <x:c r="H844" s="45"/>
      <x:c r="I844" s="45"/>
      <x:c r="J844" s="46"/>
      <x:c r="K844" s="46"/>
      <x:c r="L844" s="41"/>
      <x:c r="M844" s="41"/>
      <x:c r="N844" s="41"/>
      <x:c r="O844" s="41"/>
      <x:c r="P844" s="41"/>
      <x:c r="Q844" s="41"/>
      <x:c r="R844" s="41"/>
      <x:c r="S844" s="41"/>
      <x:c r="T844" s="41"/>
      <x:c r="U844" s="41"/>
      <x:c r="V844" s="41"/>
      <x:c r="W844" s="41"/>
      <x:c r="X844" s="41"/>
      <x:c r="Y844" s="41"/>
      <x:c r="Z844" s="41"/>
    </x:row>
    <x:row r="845">
      <x:c r="A845" s="44"/>
      <x:c r="B845" s="44"/>
      <x:c r="C845" s="44"/>
      <x:c r="D845" s="44"/>
      <x:c r="E845" s="44"/>
      <x:c r="F845" s="45"/>
      <x:c r="G845" s="44"/>
      <x:c r="H845" s="45"/>
      <x:c r="I845" s="45"/>
      <x:c r="J845" s="46"/>
      <x:c r="K845" s="46"/>
      <x:c r="L845" s="41"/>
      <x:c r="M845" s="41"/>
      <x:c r="N845" s="41"/>
      <x:c r="O845" s="41"/>
      <x:c r="P845" s="41"/>
      <x:c r="Q845" s="41"/>
      <x:c r="R845" s="41"/>
      <x:c r="S845" s="41"/>
      <x:c r="T845" s="41"/>
      <x:c r="U845" s="41"/>
      <x:c r="V845" s="41"/>
      <x:c r="W845" s="41"/>
      <x:c r="X845" s="41"/>
      <x:c r="Y845" s="41"/>
      <x:c r="Z845" s="41"/>
    </x:row>
    <x:row r="846">
      <x:c r="A846" s="44"/>
      <x:c r="B846" s="44"/>
      <x:c r="C846" s="44"/>
      <x:c r="D846" s="44"/>
      <x:c r="E846" s="44"/>
      <x:c r="F846" s="45"/>
      <x:c r="G846" s="44"/>
      <x:c r="H846" s="45"/>
      <x:c r="I846" s="45"/>
      <x:c r="J846" s="46"/>
      <x:c r="K846" s="46"/>
      <x:c r="L846" s="41"/>
      <x:c r="M846" s="41"/>
      <x:c r="N846" s="41"/>
      <x:c r="O846" s="41"/>
      <x:c r="P846" s="41"/>
      <x:c r="Q846" s="41"/>
      <x:c r="R846" s="41"/>
      <x:c r="S846" s="41"/>
      <x:c r="T846" s="41"/>
      <x:c r="U846" s="41"/>
      <x:c r="V846" s="41"/>
      <x:c r="W846" s="41"/>
      <x:c r="X846" s="41"/>
      <x:c r="Y846" s="41"/>
      <x:c r="Z846" s="41"/>
    </x:row>
    <x:row r="847">
      <x:c r="A847" s="44"/>
      <x:c r="B847" s="44"/>
      <x:c r="C847" s="44"/>
      <x:c r="D847" s="44"/>
      <x:c r="E847" s="44"/>
      <x:c r="F847" s="45"/>
      <x:c r="G847" s="44"/>
      <x:c r="H847" s="45"/>
      <x:c r="I847" s="45"/>
      <x:c r="J847" s="46"/>
      <x:c r="K847" s="46"/>
      <x:c r="L847" s="41"/>
      <x:c r="M847" s="41"/>
      <x:c r="N847" s="41"/>
      <x:c r="O847" s="41"/>
      <x:c r="P847" s="41"/>
      <x:c r="Q847" s="41"/>
      <x:c r="R847" s="41"/>
      <x:c r="S847" s="41"/>
      <x:c r="T847" s="41"/>
      <x:c r="U847" s="41"/>
      <x:c r="V847" s="41"/>
      <x:c r="W847" s="41"/>
      <x:c r="X847" s="41"/>
      <x:c r="Y847" s="41"/>
      <x:c r="Z847" s="41"/>
    </x:row>
    <x:row r="848">
      <x:c r="A848" s="44"/>
      <x:c r="B848" s="44"/>
      <x:c r="C848" s="44"/>
      <x:c r="D848" s="44"/>
      <x:c r="E848" s="44"/>
      <x:c r="F848" s="45"/>
      <x:c r="G848" s="44"/>
      <x:c r="H848" s="45"/>
      <x:c r="I848" s="45"/>
      <x:c r="J848" s="46"/>
      <x:c r="K848" s="46"/>
      <x:c r="L848" s="41"/>
      <x:c r="M848" s="41"/>
      <x:c r="N848" s="41"/>
      <x:c r="O848" s="41"/>
      <x:c r="P848" s="41"/>
      <x:c r="Q848" s="41"/>
      <x:c r="R848" s="41"/>
      <x:c r="S848" s="41"/>
      <x:c r="T848" s="41"/>
      <x:c r="U848" s="41"/>
      <x:c r="V848" s="41"/>
      <x:c r="W848" s="41"/>
      <x:c r="X848" s="41"/>
      <x:c r="Y848" s="41"/>
      <x:c r="Z848" s="41"/>
    </x:row>
    <x:row r="849">
      <x:c r="A849" s="44"/>
      <x:c r="B849" s="44"/>
      <x:c r="C849" s="44"/>
      <x:c r="D849" s="44"/>
      <x:c r="E849" s="44"/>
      <x:c r="F849" s="45"/>
      <x:c r="G849" s="44"/>
      <x:c r="H849" s="45"/>
      <x:c r="I849" s="45"/>
      <x:c r="J849" s="46"/>
      <x:c r="K849" s="46"/>
      <x:c r="L849" s="41"/>
      <x:c r="M849" s="41"/>
      <x:c r="N849" s="41"/>
      <x:c r="O849" s="41"/>
      <x:c r="P849" s="41"/>
      <x:c r="Q849" s="41"/>
      <x:c r="R849" s="41"/>
      <x:c r="S849" s="41"/>
      <x:c r="T849" s="41"/>
      <x:c r="U849" s="41"/>
      <x:c r="V849" s="41"/>
      <x:c r="W849" s="41"/>
      <x:c r="X849" s="41"/>
      <x:c r="Y849" s="41"/>
      <x:c r="Z849" s="41"/>
    </x:row>
    <x:row r="850">
      <x:c r="A850" s="44"/>
      <x:c r="B850" s="44"/>
      <x:c r="C850" s="44"/>
      <x:c r="D850" s="44"/>
      <x:c r="E850" s="44"/>
      <x:c r="F850" s="45"/>
      <x:c r="G850" s="44"/>
      <x:c r="H850" s="45"/>
      <x:c r="I850" s="45"/>
      <x:c r="J850" s="46"/>
      <x:c r="K850" s="46"/>
      <x:c r="L850" s="41"/>
      <x:c r="M850" s="41"/>
      <x:c r="N850" s="41"/>
      <x:c r="O850" s="41"/>
      <x:c r="P850" s="41"/>
      <x:c r="Q850" s="41"/>
      <x:c r="R850" s="41"/>
      <x:c r="S850" s="41"/>
      <x:c r="T850" s="41"/>
      <x:c r="U850" s="41"/>
      <x:c r="V850" s="41"/>
      <x:c r="W850" s="41"/>
      <x:c r="X850" s="41"/>
      <x:c r="Y850" s="41"/>
      <x:c r="Z850" s="41"/>
    </x:row>
    <x:row r="851">
      <x:c r="A851" s="44"/>
      <x:c r="B851" s="44"/>
      <x:c r="C851" s="44"/>
      <x:c r="D851" s="44"/>
      <x:c r="E851" s="44"/>
      <x:c r="F851" s="45"/>
      <x:c r="G851" s="44"/>
      <x:c r="H851" s="45"/>
      <x:c r="I851" s="45"/>
      <x:c r="J851" s="46"/>
      <x:c r="K851" s="46"/>
      <x:c r="L851" s="41"/>
      <x:c r="M851" s="41"/>
      <x:c r="N851" s="41"/>
      <x:c r="O851" s="41"/>
      <x:c r="P851" s="41"/>
      <x:c r="Q851" s="41"/>
      <x:c r="R851" s="41"/>
      <x:c r="S851" s="41"/>
      <x:c r="T851" s="41"/>
      <x:c r="U851" s="41"/>
      <x:c r="V851" s="41"/>
      <x:c r="W851" s="41"/>
      <x:c r="X851" s="41"/>
      <x:c r="Y851" s="41"/>
      <x:c r="Z851" s="41"/>
    </x:row>
    <x:row r="852">
      <x:c r="A852" s="44"/>
      <x:c r="B852" s="44"/>
      <x:c r="C852" s="44"/>
      <x:c r="D852" s="44"/>
      <x:c r="E852" s="44"/>
      <x:c r="F852" s="45"/>
      <x:c r="G852" s="44"/>
      <x:c r="H852" s="45"/>
      <x:c r="I852" s="45"/>
      <x:c r="J852" s="46"/>
      <x:c r="K852" s="46"/>
      <x:c r="L852" s="41"/>
      <x:c r="M852" s="41"/>
      <x:c r="N852" s="41"/>
      <x:c r="O852" s="41"/>
      <x:c r="P852" s="41"/>
      <x:c r="Q852" s="41"/>
      <x:c r="R852" s="41"/>
      <x:c r="S852" s="41"/>
      <x:c r="T852" s="41"/>
      <x:c r="U852" s="41"/>
      <x:c r="V852" s="41"/>
      <x:c r="W852" s="41"/>
      <x:c r="X852" s="41"/>
      <x:c r="Y852" s="41"/>
      <x:c r="Z852" s="41"/>
    </x:row>
    <x:row r="853">
      <x:c r="A853" s="44"/>
      <x:c r="B853" s="44"/>
      <x:c r="C853" s="44"/>
      <x:c r="D853" s="44"/>
      <x:c r="E853" s="44"/>
      <x:c r="F853" s="45"/>
      <x:c r="G853" s="44"/>
      <x:c r="H853" s="45"/>
      <x:c r="I853" s="45"/>
      <x:c r="J853" s="46"/>
      <x:c r="K853" s="46"/>
      <x:c r="L853" s="41"/>
      <x:c r="M853" s="41"/>
      <x:c r="N853" s="41"/>
      <x:c r="O853" s="41"/>
      <x:c r="P853" s="41"/>
      <x:c r="Q853" s="41"/>
      <x:c r="R853" s="41"/>
      <x:c r="S853" s="41"/>
      <x:c r="T853" s="41"/>
      <x:c r="U853" s="41"/>
      <x:c r="V853" s="41"/>
      <x:c r="W853" s="41"/>
      <x:c r="X853" s="41"/>
      <x:c r="Y853" s="41"/>
      <x:c r="Z853" s="41"/>
    </x:row>
    <x:row r="854">
      <x:c r="A854" s="44"/>
      <x:c r="B854" s="44"/>
      <x:c r="C854" s="44"/>
      <x:c r="D854" s="44"/>
      <x:c r="E854" s="44"/>
      <x:c r="F854" s="45"/>
      <x:c r="G854" s="44"/>
      <x:c r="H854" s="45"/>
      <x:c r="I854" s="45"/>
      <x:c r="J854" s="46"/>
      <x:c r="K854" s="46"/>
      <x:c r="L854" s="41"/>
      <x:c r="M854" s="41"/>
      <x:c r="N854" s="41"/>
      <x:c r="O854" s="41"/>
      <x:c r="P854" s="41"/>
      <x:c r="Q854" s="41"/>
      <x:c r="R854" s="41"/>
      <x:c r="S854" s="41"/>
      <x:c r="T854" s="41"/>
      <x:c r="U854" s="41"/>
      <x:c r="V854" s="41"/>
      <x:c r="W854" s="41"/>
      <x:c r="X854" s="41"/>
      <x:c r="Y854" s="41"/>
      <x:c r="Z854" s="41"/>
    </x:row>
    <x:row r="855">
      <x:c r="A855" s="44"/>
      <x:c r="B855" s="44"/>
      <x:c r="C855" s="44"/>
      <x:c r="D855" s="44"/>
      <x:c r="E855" s="44"/>
      <x:c r="F855" s="45"/>
      <x:c r="G855" s="44"/>
      <x:c r="H855" s="45"/>
      <x:c r="I855" s="45"/>
      <x:c r="J855" s="46"/>
      <x:c r="K855" s="46"/>
      <x:c r="L855" s="41"/>
      <x:c r="M855" s="41"/>
      <x:c r="N855" s="41"/>
      <x:c r="O855" s="41"/>
      <x:c r="P855" s="41"/>
      <x:c r="Q855" s="41"/>
      <x:c r="R855" s="41"/>
      <x:c r="S855" s="41"/>
      <x:c r="T855" s="41"/>
      <x:c r="U855" s="41"/>
      <x:c r="V855" s="41"/>
      <x:c r="W855" s="41"/>
      <x:c r="X855" s="41"/>
      <x:c r="Y855" s="41"/>
      <x:c r="Z855" s="41"/>
    </x:row>
    <x:row r="856">
      <x:c r="A856" s="44"/>
      <x:c r="B856" s="44"/>
      <x:c r="C856" s="44"/>
      <x:c r="D856" s="44"/>
      <x:c r="E856" s="44"/>
      <x:c r="F856" s="45"/>
      <x:c r="G856" s="44"/>
      <x:c r="H856" s="45"/>
      <x:c r="I856" s="45"/>
      <x:c r="J856" s="46"/>
      <x:c r="K856" s="46"/>
      <x:c r="L856" s="41"/>
      <x:c r="M856" s="41"/>
      <x:c r="N856" s="41"/>
      <x:c r="O856" s="41"/>
      <x:c r="P856" s="41"/>
      <x:c r="Q856" s="41"/>
      <x:c r="R856" s="41"/>
      <x:c r="S856" s="41"/>
      <x:c r="T856" s="41"/>
      <x:c r="U856" s="41"/>
      <x:c r="V856" s="41"/>
      <x:c r="W856" s="41"/>
      <x:c r="X856" s="41"/>
      <x:c r="Y856" s="41"/>
      <x:c r="Z856" s="41"/>
    </x:row>
    <x:row r="857">
      <x:c r="A857" s="44"/>
      <x:c r="B857" s="44"/>
      <x:c r="C857" s="44"/>
      <x:c r="D857" s="44"/>
      <x:c r="E857" s="44"/>
      <x:c r="F857" s="45"/>
      <x:c r="G857" s="44"/>
      <x:c r="H857" s="45"/>
      <x:c r="I857" s="45"/>
      <x:c r="J857" s="46"/>
      <x:c r="K857" s="46"/>
      <x:c r="L857" s="41"/>
      <x:c r="M857" s="41"/>
      <x:c r="N857" s="41"/>
      <x:c r="O857" s="41"/>
      <x:c r="P857" s="41"/>
      <x:c r="Q857" s="41"/>
      <x:c r="R857" s="41"/>
      <x:c r="S857" s="41"/>
      <x:c r="T857" s="41"/>
      <x:c r="U857" s="41"/>
      <x:c r="V857" s="41"/>
      <x:c r="W857" s="41"/>
      <x:c r="X857" s="41"/>
      <x:c r="Y857" s="41"/>
      <x:c r="Z857" s="41"/>
    </x:row>
    <x:row r="858">
      <x:c r="A858" s="44"/>
      <x:c r="B858" s="44"/>
      <x:c r="C858" s="44"/>
      <x:c r="D858" s="44"/>
      <x:c r="E858" s="44"/>
      <x:c r="F858" s="45"/>
      <x:c r="G858" s="44"/>
      <x:c r="H858" s="45"/>
      <x:c r="I858" s="45"/>
      <x:c r="J858" s="46"/>
      <x:c r="K858" s="46"/>
      <x:c r="L858" s="41"/>
      <x:c r="M858" s="41"/>
      <x:c r="N858" s="41"/>
      <x:c r="O858" s="41"/>
      <x:c r="P858" s="41"/>
      <x:c r="Q858" s="41"/>
      <x:c r="R858" s="41"/>
      <x:c r="S858" s="41"/>
      <x:c r="T858" s="41"/>
      <x:c r="U858" s="41"/>
      <x:c r="V858" s="41"/>
      <x:c r="W858" s="41"/>
      <x:c r="X858" s="41"/>
      <x:c r="Y858" s="41"/>
      <x:c r="Z858" s="41"/>
    </x:row>
    <x:row r="859">
      <x:c r="A859" s="44"/>
      <x:c r="B859" s="44"/>
      <x:c r="C859" s="44"/>
      <x:c r="D859" s="44"/>
      <x:c r="E859" s="44"/>
      <x:c r="F859" s="45"/>
      <x:c r="G859" s="44"/>
      <x:c r="H859" s="45"/>
      <x:c r="I859" s="45"/>
      <x:c r="J859" s="46"/>
      <x:c r="K859" s="46"/>
      <x:c r="L859" s="41"/>
      <x:c r="M859" s="41"/>
      <x:c r="N859" s="41"/>
      <x:c r="O859" s="41"/>
      <x:c r="P859" s="41"/>
      <x:c r="Q859" s="41"/>
      <x:c r="R859" s="41"/>
      <x:c r="S859" s="41"/>
      <x:c r="T859" s="41"/>
      <x:c r="U859" s="41"/>
      <x:c r="V859" s="41"/>
      <x:c r="W859" s="41"/>
      <x:c r="X859" s="41"/>
      <x:c r="Y859" s="41"/>
      <x:c r="Z859" s="41"/>
    </x:row>
    <x:row r="860">
      <x:c r="A860" s="44"/>
      <x:c r="B860" s="44"/>
      <x:c r="C860" s="44"/>
      <x:c r="D860" s="44"/>
      <x:c r="E860" s="44"/>
      <x:c r="F860" s="45"/>
      <x:c r="G860" s="44"/>
      <x:c r="H860" s="45"/>
      <x:c r="I860" s="45"/>
      <x:c r="J860" s="46"/>
      <x:c r="K860" s="46"/>
      <x:c r="L860" s="41"/>
      <x:c r="M860" s="41"/>
      <x:c r="N860" s="41"/>
      <x:c r="O860" s="41"/>
      <x:c r="P860" s="41"/>
      <x:c r="Q860" s="41"/>
      <x:c r="R860" s="41"/>
      <x:c r="S860" s="41"/>
      <x:c r="T860" s="41"/>
      <x:c r="U860" s="41"/>
      <x:c r="V860" s="41"/>
      <x:c r="W860" s="41"/>
      <x:c r="X860" s="41"/>
      <x:c r="Y860" s="41"/>
      <x:c r="Z860" s="41"/>
    </x:row>
    <x:row r="861">
      <x:c r="A861" s="44"/>
      <x:c r="B861" s="44"/>
      <x:c r="C861" s="44"/>
      <x:c r="D861" s="44"/>
      <x:c r="E861" s="44"/>
      <x:c r="F861" s="45"/>
      <x:c r="G861" s="44"/>
      <x:c r="H861" s="45"/>
      <x:c r="I861" s="45"/>
      <x:c r="J861" s="46"/>
      <x:c r="K861" s="46"/>
      <x:c r="L861" s="41"/>
      <x:c r="M861" s="41"/>
      <x:c r="N861" s="41"/>
      <x:c r="O861" s="41"/>
      <x:c r="P861" s="41"/>
      <x:c r="Q861" s="41"/>
      <x:c r="R861" s="41"/>
      <x:c r="S861" s="41"/>
      <x:c r="T861" s="41"/>
      <x:c r="U861" s="41"/>
      <x:c r="V861" s="41"/>
      <x:c r="W861" s="41"/>
      <x:c r="X861" s="41"/>
      <x:c r="Y861" s="41"/>
      <x:c r="Z861" s="41"/>
    </x:row>
    <x:row r="862">
      <x:c r="A862" s="44"/>
      <x:c r="B862" s="44"/>
      <x:c r="C862" s="44"/>
      <x:c r="D862" s="44"/>
      <x:c r="E862" s="44"/>
      <x:c r="F862" s="45"/>
      <x:c r="G862" s="44"/>
      <x:c r="H862" s="45"/>
      <x:c r="I862" s="45"/>
      <x:c r="J862" s="46"/>
      <x:c r="K862" s="46"/>
      <x:c r="L862" s="41"/>
      <x:c r="M862" s="41"/>
      <x:c r="N862" s="41"/>
      <x:c r="O862" s="41"/>
      <x:c r="P862" s="41"/>
      <x:c r="Q862" s="41"/>
      <x:c r="R862" s="41"/>
      <x:c r="S862" s="41"/>
      <x:c r="T862" s="41"/>
      <x:c r="U862" s="41"/>
      <x:c r="V862" s="41"/>
      <x:c r="W862" s="41"/>
      <x:c r="X862" s="41"/>
      <x:c r="Y862" s="41"/>
      <x:c r="Z862" s="41"/>
    </x:row>
    <x:row r="863">
      <x:c r="A863" s="44"/>
      <x:c r="B863" s="44"/>
      <x:c r="C863" s="44"/>
      <x:c r="D863" s="44"/>
      <x:c r="E863" s="44"/>
      <x:c r="F863" s="45"/>
      <x:c r="G863" s="44"/>
      <x:c r="H863" s="45"/>
      <x:c r="I863" s="45"/>
      <x:c r="J863" s="46"/>
      <x:c r="K863" s="46"/>
      <x:c r="L863" s="41"/>
      <x:c r="M863" s="41"/>
      <x:c r="N863" s="41"/>
      <x:c r="O863" s="41"/>
      <x:c r="P863" s="41"/>
      <x:c r="Q863" s="41"/>
      <x:c r="R863" s="41"/>
      <x:c r="S863" s="41"/>
      <x:c r="T863" s="41"/>
      <x:c r="U863" s="41"/>
      <x:c r="V863" s="41"/>
      <x:c r="W863" s="41"/>
      <x:c r="X863" s="41"/>
      <x:c r="Y863" s="41"/>
      <x:c r="Z863" s="41"/>
    </x:row>
    <x:row r="864">
      <x:c r="A864" s="44"/>
      <x:c r="B864" s="44"/>
      <x:c r="C864" s="44"/>
      <x:c r="D864" s="44"/>
      <x:c r="E864" s="44"/>
      <x:c r="F864" s="45"/>
      <x:c r="G864" s="44"/>
      <x:c r="H864" s="45"/>
      <x:c r="I864" s="45"/>
      <x:c r="J864" s="46"/>
      <x:c r="K864" s="46"/>
      <x:c r="L864" s="41"/>
      <x:c r="M864" s="41"/>
      <x:c r="N864" s="41"/>
      <x:c r="O864" s="41"/>
      <x:c r="P864" s="41"/>
      <x:c r="Q864" s="41"/>
      <x:c r="R864" s="41"/>
      <x:c r="S864" s="41"/>
      <x:c r="T864" s="41"/>
      <x:c r="U864" s="41"/>
      <x:c r="V864" s="41"/>
      <x:c r="W864" s="41"/>
      <x:c r="X864" s="41"/>
      <x:c r="Y864" s="41"/>
      <x:c r="Z864" s="41"/>
    </x:row>
    <x:row r="865">
      <x:c r="A865" s="44"/>
      <x:c r="B865" s="44"/>
      <x:c r="C865" s="44"/>
      <x:c r="D865" s="44"/>
      <x:c r="E865" s="44"/>
      <x:c r="F865" s="45"/>
      <x:c r="G865" s="44"/>
      <x:c r="H865" s="45"/>
      <x:c r="I865" s="45"/>
      <x:c r="J865" s="46"/>
      <x:c r="K865" s="46"/>
      <x:c r="L865" s="41"/>
      <x:c r="M865" s="41"/>
      <x:c r="N865" s="41"/>
      <x:c r="O865" s="41"/>
      <x:c r="P865" s="41"/>
      <x:c r="Q865" s="41"/>
      <x:c r="R865" s="41"/>
      <x:c r="S865" s="41"/>
      <x:c r="T865" s="41"/>
      <x:c r="U865" s="41"/>
      <x:c r="V865" s="41"/>
      <x:c r="W865" s="41"/>
      <x:c r="X865" s="41"/>
      <x:c r="Y865" s="41"/>
      <x:c r="Z865" s="41"/>
    </x:row>
    <x:row r="866">
      <x:c r="A866" s="44"/>
      <x:c r="B866" s="44"/>
      <x:c r="C866" s="44"/>
      <x:c r="D866" s="44"/>
      <x:c r="E866" s="44"/>
      <x:c r="F866" s="45"/>
      <x:c r="G866" s="44"/>
      <x:c r="H866" s="45"/>
      <x:c r="I866" s="45"/>
      <x:c r="J866" s="46"/>
      <x:c r="K866" s="46"/>
      <x:c r="L866" s="41"/>
      <x:c r="M866" s="41"/>
      <x:c r="N866" s="41"/>
      <x:c r="O866" s="41"/>
      <x:c r="P866" s="41"/>
      <x:c r="Q866" s="41"/>
      <x:c r="R866" s="41"/>
      <x:c r="S866" s="41"/>
      <x:c r="T866" s="41"/>
      <x:c r="U866" s="41"/>
      <x:c r="V866" s="41"/>
      <x:c r="W866" s="41"/>
      <x:c r="X866" s="41"/>
      <x:c r="Y866" s="41"/>
      <x:c r="Z866" s="41"/>
    </x:row>
    <x:row r="867">
      <x:c r="A867" s="44"/>
      <x:c r="B867" s="44"/>
      <x:c r="C867" s="44"/>
      <x:c r="D867" s="44"/>
      <x:c r="E867" s="44"/>
      <x:c r="F867" s="45"/>
      <x:c r="G867" s="44"/>
      <x:c r="H867" s="45"/>
      <x:c r="I867" s="45"/>
      <x:c r="J867" s="46"/>
      <x:c r="K867" s="46"/>
      <x:c r="L867" s="41"/>
      <x:c r="M867" s="41"/>
      <x:c r="N867" s="41"/>
      <x:c r="O867" s="41"/>
      <x:c r="P867" s="41"/>
      <x:c r="Q867" s="41"/>
      <x:c r="R867" s="41"/>
      <x:c r="S867" s="41"/>
      <x:c r="T867" s="41"/>
      <x:c r="U867" s="41"/>
      <x:c r="V867" s="41"/>
      <x:c r="W867" s="41"/>
      <x:c r="X867" s="41"/>
      <x:c r="Y867" s="41"/>
      <x:c r="Z867" s="41"/>
    </x:row>
    <x:row r="868">
      <x:c r="A868" s="44"/>
      <x:c r="B868" s="44"/>
      <x:c r="C868" s="44"/>
      <x:c r="D868" s="44"/>
      <x:c r="E868" s="44"/>
      <x:c r="F868" s="45"/>
      <x:c r="G868" s="44"/>
      <x:c r="H868" s="45"/>
      <x:c r="I868" s="45"/>
      <x:c r="J868" s="46"/>
      <x:c r="K868" s="46"/>
      <x:c r="L868" s="41"/>
      <x:c r="M868" s="41"/>
      <x:c r="N868" s="41"/>
      <x:c r="O868" s="41"/>
      <x:c r="P868" s="41"/>
      <x:c r="Q868" s="41"/>
      <x:c r="R868" s="41"/>
      <x:c r="S868" s="41"/>
      <x:c r="T868" s="41"/>
      <x:c r="U868" s="41"/>
      <x:c r="V868" s="41"/>
      <x:c r="W868" s="41"/>
      <x:c r="X868" s="41"/>
      <x:c r="Y868" s="41"/>
      <x:c r="Z868" s="41"/>
    </x:row>
    <x:row r="869">
      <x:c r="A869" s="44"/>
      <x:c r="B869" s="44"/>
      <x:c r="C869" s="44"/>
      <x:c r="D869" s="44"/>
      <x:c r="E869" s="44"/>
      <x:c r="F869" s="45"/>
      <x:c r="G869" s="44"/>
      <x:c r="H869" s="45"/>
      <x:c r="I869" s="45"/>
      <x:c r="J869" s="46"/>
      <x:c r="K869" s="46"/>
      <x:c r="L869" s="41"/>
      <x:c r="M869" s="41"/>
      <x:c r="N869" s="41"/>
      <x:c r="O869" s="41"/>
      <x:c r="P869" s="41"/>
      <x:c r="Q869" s="41"/>
      <x:c r="R869" s="41"/>
      <x:c r="S869" s="41"/>
      <x:c r="T869" s="41"/>
      <x:c r="U869" s="41"/>
      <x:c r="V869" s="41"/>
      <x:c r="W869" s="41"/>
      <x:c r="X869" s="41"/>
      <x:c r="Y869" s="41"/>
      <x:c r="Z869" s="41"/>
    </x:row>
    <x:row r="870">
      <x:c r="A870" s="44"/>
      <x:c r="B870" s="44"/>
      <x:c r="C870" s="44"/>
      <x:c r="D870" s="44"/>
      <x:c r="E870" s="44"/>
      <x:c r="F870" s="45"/>
      <x:c r="G870" s="44"/>
      <x:c r="H870" s="45"/>
      <x:c r="I870" s="45"/>
      <x:c r="J870" s="46"/>
      <x:c r="K870" s="46"/>
      <x:c r="L870" s="41"/>
      <x:c r="M870" s="41"/>
      <x:c r="N870" s="41"/>
      <x:c r="O870" s="41"/>
      <x:c r="P870" s="41"/>
      <x:c r="Q870" s="41"/>
      <x:c r="R870" s="41"/>
      <x:c r="S870" s="41"/>
      <x:c r="T870" s="41"/>
      <x:c r="U870" s="41"/>
      <x:c r="V870" s="41"/>
      <x:c r="W870" s="41"/>
      <x:c r="X870" s="41"/>
      <x:c r="Y870" s="41"/>
      <x:c r="Z870" s="41"/>
    </x:row>
    <x:row r="871">
      <x:c r="A871" s="44"/>
      <x:c r="B871" s="44"/>
      <x:c r="C871" s="44"/>
      <x:c r="D871" s="44"/>
      <x:c r="E871" s="44"/>
      <x:c r="F871" s="45"/>
      <x:c r="G871" s="44"/>
      <x:c r="H871" s="45"/>
      <x:c r="I871" s="45"/>
      <x:c r="J871" s="46"/>
      <x:c r="K871" s="46"/>
      <x:c r="L871" s="41"/>
      <x:c r="M871" s="41"/>
      <x:c r="N871" s="41"/>
      <x:c r="O871" s="41"/>
      <x:c r="P871" s="41"/>
      <x:c r="Q871" s="41"/>
      <x:c r="R871" s="41"/>
      <x:c r="S871" s="41"/>
      <x:c r="T871" s="41"/>
      <x:c r="U871" s="41"/>
      <x:c r="V871" s="41"/>
      <x:c r="W871" s="41"/>
      <x:c r="X871" s="41"/>
      <x:c r="Y871" s="41"/>
      <x:c r="Z871" s="41"/>
    </x:row>
    <x:row r="872">
      <x:c r="A872" s="44"/>
      <x:c r="B872" s="44"/>
      <x:c r="C872" s="44"/>
      <x:c r="D872" s="44"/>
      <x:c r="E872" s="44"/>
      <x:c r="F872" s="45"/>
      <x:c r="G872" s="44"/>
      <x:c r="H872" s="45"/>
      <x:c r="I872" s="45"/>
      <x:c r="J872" s="46"/>
      <x:c r="K872" s="46"/>
      <x:c r="L872" s="41"/>
      <x:c r="M872" s="41"/>
      <x:c r="N872" s="41"/>
      <x:c r="O872" s="41"/>
      <x:c r="P872" s="41"/>
      <x:c r="Q872" s="41"/>
      <x:c r="R872" s="41"/>
      <x:c r="S872" s="41"/>
      <x:c r="T872" s="41"/>
      <x:c r="U872" s="41"/>
      <x:c r="V872" s="41"/>
      <x:c r="W872" s="41"/>
      <x:c r="X872" s="41"/>
      <x:c r="Y872" s="41"/>
      <x:c r="Z872" s="41"/>
    </x:row>
    <x:row r="873">
      <x:c r="A873" s="44"/>
      <x:c r="B873" s="44"/>
      <x:c r="C873" s="44"/>
      <x:c r="D873" s="44"/>
      <x:c r="E873" s="44"/>
      <x:c r="F873" s="45"/>
      <x:c r="G873" s="44"/>
      <x:c r="H873" s="45"/>
      <x:c r="I873" s="45"/>
      <x:c r="J873" s="46"/>
      <x:c r="K873" s="46"/>
      <x:c r="L873" s="41"/>
      <x:c r="M873" s="41"/>
      <x:c r="N873" s="41"/>
      <x:c r="O873" s="41"/>
      <x:c r="P873" s="41"/>
      <x:c r="Q873" s="41"/>
      <x:c r="R873" s="41"/>
      <x:c r="S873" s="41"/>
      <x:c r="T873" s="41"/>
      <x:c r="U873" s="41"/>
      <x:c r="V873" s="41"/>
      <x:c r="W873" s="41"/>
      <x:c r="X873" s="41"/>
      <x:c r="Y873" s="41"/>
      <x:c r="Z873" s="41"/>
    </x:row>
    <x:row r="874">
      <x:c r="A874" s="44"/>
      <x:c r="B874" s="44"/>
      <x:c r="C874" s="44"/>
      <x:c r="D874" s="44"/>
      <x:c r="E874" s="44"/>
      <x:c r="F874" s="45"/>
      <x:c r="G874" s="44"/>
      <x:c r="H874" s="45"/>
      <x:c r="I874" s="45"/>
      <x:c r="J874" s="46"/>
      <x:c r="K874" s="46"/>
      <x:c r="L874" s="41"/>
      <x:c r="M874" s="41"/>
      <x:c r="N874" s="41"/>
      <x:c r="O874" s="41"/>
      <x:c r="P874" s="41"/>
      <x:c r="Q874" s="41"/>
      <x:c r="R874" s="41"/>
      <x:c r="S874" s="41"/>
      <x:c r="T874" s="41"/>
      <x:c r="U874" s="41"/>
      <x:c r="V874" s="41"/>
      <x:c r="W874" s="41"/>
      <x:c r="X874" s="41"/>
      <x:c r="Y874" s="41"/>
      <x:c r="Z874" s="41"/>
    </x:row>
    <x:row r="875">
      <x:c r="A875" s="44"/>
      <x:c r="B875" s="44"/>
      <x:c r="C875" s="44"/>
      <x:c r="D875" s="44"/>
      <x:c r="E875" s="44"/>
      <x:c r="F875" s="45"/>
      <x:c r="G875" s="44"/>
      <x:c r="H875" s="45"/>
      <x:c r="I875" s="45"/>
      <x:c r="J875" s="46"/>
      <x:c r="K875" s="46"/>
      <x:c r="L875" s="41"/>
      <x:c r="M875" s="41"/>
      <x:c r="N875" s="41"/>
      <x:c r="O875" s="41"/>
      <x:c r="P875" s="41"/>
      <x:c r="Q875" s="41"/>
      <x:c r="R875" s="41"/>
      <x:c r="S875" s="41"/>
      <x:c r="T875" s="41"/>
      <x:c r="U875" s="41"/>
      <x:c r="V875" s="41"/>
      <x:c r="W875" s="41"/>
      <x:c r="X875" s="41"/>
      <x:c r="Y875" s="41"/>
      <x:c r="Z875" s="41"/>
    </x:row>
    <x:row r="876">
      <x:c r="A876" s="44"/>
      <x:c r="B876" s="44"/>
      <x:c r="C876" s="44"/>
      <x:c r="D876" s="44"/>
      <x:c r="E876" s="44"/>
      <x:c r="F876" s="45"/>
      <x:c r="G876" s="44"/>
      <x:c r="H876" s="45"/>
      <x:c r="I876" s="45"/>
      <x:c r="J876" s="46"/>
      <x:c r="K876" s="46"/>
      <x:c r="L876" s="41"/>
      <x:c r="M876" s="41"/>
      <x:c r="N876" s="41"/>
      <x:c r="O876" s="41"/>
      <x:c r="P876" s="41"/>
      <x:c r="Q876" s="41"/>
      <x:c r="R876" s="41"/>
      <x:c r="S876" s="41"/>
      <x:c r="T876" s="41"/>
      <x:c r="U876" s="41"/>
      <x:c r="V876" s="41"/>
      <x:c r="W876" s="41"/>
      <x:c r="X876" s="41"/>
      <x:c r="Y876" s="41"/>
      <x:c r="Z876" s="41"/>
    </x:row>
    <x:row r="877">
      <x:c r="A877" s="44"/>
      <x:c r="B877" s="44"/>
      <x:c r="C877" s="44"/>
      <x:c r="D877" s="44"/>
      <x:c r="E877" s="44"/>
      <x:c r="F877" s="45"/>
      <x:c r="G877" s="44"/>
      <x:c r="H877" s="45"/>
      <x:c r="I877" s="45"/>
      <x:c r="J877" s="46"/>
      <x:c r="K877" s="46"/>
      <x:c r="L877" s="41"/>
      <x:c r="M877" s="41"/>
      <x:c r="N877" s="41"/>
      <x:c r="O877" s="41"/>
      <x:c r="P877" s="41"/>
      <x:c r="Q877" s="41"/>
      <x:c r="R877" s="41"/>
      <x:c r="S877" s="41"/>
      <x:c r="T877" s="41"/>
      <x:c r="U877" s="41"/>
      <x:c r="V877" s="41"/>
      <x:c r="W877" s="41"/>
      <x:c r="X877" s="41"/>
      <x:c r="Y877" s="41"/>
      <x:c r="Z877" s="41"/>
    </x:row>
    <x:row r="878">
      <x:c r="A878" s="44"/>
      <x:c r="B878" s="44"/>
      <x:c r="C878" s="44"/>
      <x:c r="D878" s="44"/>
      <x:c r="E878" s="44"/>
      <x:c r="F878" s="45"/>
      <x:c r="G878" s="44"/>
      <x:c r="H878" s="45"/>
      <x:c r="I878" s="45"/>
      <x:c r="J878" s="46"/>
      <x:c r="K878" s="46"/>
      <x:c r="L878" s="41"/>
      <x:c r="M878" s="41"/>
      <x:c r="N878" s="41"/>
      <x:c r="O878" s="41"/>
      <x:c r="P878" s="41"/>
      <x:c r="Q878" s="41"/>
      <x:c r="R878" s="41"/>
      <x:c r="S878" s="41"/>
      <x:c r="T878" s="41"/>
      <x:c r="U878" s="41"/>
      <x:c r="V878" s="41"/>
      <x:c r="W878" s="41"/>
      <x:c r="X878" s="41"/>
      <x:c r="Y878" s="41"/>
      <x:c r="Z878" s="41"/>
    </x:row>
    <x:row r="879">
      <x:c r="A879" s="44"/>
      <x:c r="B879" s="44"/>
      <x:c r="C879" s="44"/>
      <x:c r="D879" s="44"/>
      <x:c r="E879" s="44"/>
      <x:c r="F879" s="45"/>
      <x:c r="G879" s="44"/>
      <x:c r="H879" s="45"/>
      <x:c r="I879" s="45"/>
      <x:c r="J879" s="46"/>
      <x:c r="K879" s="46"/>
      <x:c r="L879" s="41"/>
      <x:c r="M879" s="41"/>
      <x:c r="N879" s="41"/>
      <x:c r="O879" s="41"/>
      <x:c r="P879" s="41"/>
      <x:c r="Q879" s="41"/>
      <x:c r="R879" s="41"/>
      <x:c r="S879" s="41"/>
      <x:c r="T879" s="41"/>
      <x:c r="U879" s="41"/>
      <x:c r="V879" s="41"/>
      <x:c r="W879" s="41"/>
      <x:c r="X879" s="41"/>
      <x:c r="Y879" s="41"/>
      <x:c r="Z879" s="41"/>
    </x:row>
    <x:row r="880">
      <x:c r="A880" s="44"/>
      <x:c r="B880" s="44"/>
      <x:c r="C880" s="44"/>
      <x:c r="D880" s="44"/>
      <x:c r="E880" s="44"/>
      <x:c r="F880" s="45"/>
      <x:c r="G880" s="44"/>
      <x:c r="H880" s="45"/>
      <x:c r="I880" s="45"/>
      <x:c r="J880" s="46"/>
      <x:c r="K880" s="46"/>
      <x:c r="L880" s="41"/>
      <x:c r="M880" s="41"/>
      <x:c r="N880" s="41"/>
      <x:c r="O880" s="41"/>
      <x:c r="P880" s="41"/>
      <x:c r="Q880" s="41"/>
      <x:c r="R880" s="41"/>
      <x:c r="S880" s="41"/>
      <x:c r="T880" s="41"/>
      <x:c r="U880" s="41"/>
      <x:c r="V880" s="41"/>
      <x:c r="W880" s="41"/>
      <x:c r="X880" s="41"/>
      <x:c r="Y880" s="41"/>
      <x:c r="Z880" s="41"/>
    </x:row>
    <x:row r="881">
      <x:c r="A881" s="44"/>
      <x:c r="B881" s="44"/>
      <x:c r="C881" s="44"/>
      <x:c r="D881" s="44"/>
      <x:c r="E881" s="44"/>
      <x:c r="F881" s="45"/>
      <x:c r="G881" s="44"/>
      <x:c r="H881" s="45"/>
      <x:c r="I881" s="45"/>
      <x:c r="J881" s="46"/>
      <x:c r="K881" s="46"/>
      <x:c r="L881" s="41"/>
      <x:c r="M881" s="41"/>
      <x:c r="N881" s="41"/>
      <x:c r="O881" s="41"/>
      <x:c r="P881" s="41"/>
      <x:c r="Q881" s="41"/>
      <x:c r="R881" s="41"/>
      <x:c r="S881" s="41"/>
      <x:c r="T881" s="41"/>
      <x:c r="U881" s="41"/>
      <x:c r="V881" s="41"/>
      <x:c r="W881" s="41"/>
      <x:c r="X881" s="41"/>
      <x:c r="Y881" s="41"/>
      <x:c r="Z881" s="41"/>
    </x:row>
    <x:row r="882">
      <x:c r="A882" s="44"/>
      <x:c r="B882" s="44"/>
      <x:c r="C882" s="44"/>
      <x:c r="D882" s="44"/>
      <x:c r="E882" s="44"/>
      <x:c r="F882" s="45"/>
      <x:c r="G882" s="44"/>
      <x:c r="H882" s="45"/>
      <x:c r="I882" s="45"/>
      <x:c r="J882" s="46"/>
      <x:c r="K882" s="46"/>
      <x:c r="L882" s="41"/>
      <x:c r="M882" s="41"/>
      <x:c r="N882" s="41"/>
      <x:c r="O882" s="41"/>
      <x:c r="P882" s="41"/>
      <x:c r="Q882" s="41"/>
      <x:c r="R882" s="41"/>
      <x:c r="S882" s="41"/>
      <x:c r="T882" s="41"/>
      <x:c r="U882" s="41"/>
      <x:c r="V882" s="41"/>
      <x:c r="W882" s="41"/>
      <x:c r="X882" s="41"/>
      <x:c r="Y882" s="41"/>
      <x:c r="Z882" s="41"/>
    </x:row>
    <x:row r="883">
      <x:c r="A883" s="44"/>
      <x:c r="B883" s="44"/>
      <x:c r="C883" s="44"/>
      <x:c r="D883" s="44"/>
      <x:c r="E883" s="44"/>
      <x:c r="F883" s="45"/>
      <x:c r="G883" s="44"/>
      <x:c r="H883" s="45"/>
      <x:c r="I883" s="45"/>
      <x:c r="J883" s="46"/>
      <x:c r="K883" s="46"/>
      <x:c r="L883" s="41"/>
      <x:c r="M883" s="41"/>
      <x:c r="N883" s="41"/>
      <x:c r="O883" s="41"/>
      <x:c r="P883" s="41"/>
      <x:c r="Q883" s="41"/>
      <x:c r="R883" s="41"/>
      <x:c r="S883" s="41"/>
      <x:c r="T883" s="41"/>
      <x:c r="U883" s="41"/>
      <x:c r="V883" s="41"/>
      <x:c r="W883" s="41"/>
      <x:c r="X883" s="41"/>
      <x:c r="Y883" s="41"/>
      <x:c r="Z883" s="41"/>
    </x:row>
    <x:row r="884">
      <x:c r="A884" s="44"/>
      <x:c r="B884" s="44"/>
      <x:c r="C884" s="44"/>
      <x:c r="D884" s="44"/>
      <x:c r="E884" s="44"/>
      <x:c r="F884" s="45"/>
      <x:c r="G884" s="44"/>
      <x:c r="H884" s="45"/>
      <x:c r="I884" s="45"/>
      <x:c r="J884" s="46"/>
      <x:c r="K884" s="46"/>
      <x:c r="L884" s="41"/>
      <x:c r="M884" s="41"/>
      <x:c r="N884" s="41"/>
      <x:c r="O884" s="41"/>
      <x:c r="P884" s="41"/>
      <x:c r="Q884" s="41"/>
      <x:c r="R884" s="41"/>
      <x:c r="S884" s="41"/>
      <x:c r="T884" s="41"/>
      <x:c r="U884" s="41"/>
      <x:c r="V884" s="41"/>
      <x:c r="W884" s="41"/>
      <x:c r="X884" s="41"/>
      <x:c r="Y884" s="41"/>
      <x:c r="Z884" s="41"/>
    </x:row>
    <x:row r="885">
      <x:c r="A885" s="44"/>
      <x:c r="B885" s="44"/>
      <x:c r="C885" s="44"/>
      <x:c r="D885" s="44"/>
      <x:c r="E885" s="44"/>
      <x:c r="F885" s="45"/>
      <x:c r="G885" s="44"/>
      <x:c r="H885" s="45"/>
      <x:c r="I885" s="45"/>
      <x:c r="J885" s="46"/>
      <x:c r="K885" s="46"/>
      <x:c r="L885" s="41"/>
      <x:c r="M885" s="41"/>
      <x:c r="N885" s="41"/>
      <x:c r="O885" s="41"/>
      <x:c r="P885" s="41"/>
      <x:c r="Q885" s="41"/>
      <x:c r="R885" s="41"/>
      <x:c r="S885" s="41"/>
      <x:c r="T885" s="41"/>
      <x:c r="U885" s="41"/>
      <x:c r="V885" s="41"/>
      <x:c r="W885" s="41"/>
      <x:c r="X885" s="41"/>
      <x:c r="Y885" s="41"/>
      <x:c r="Z885" s="41"/>
    </x:row>
    <x:row r="886">
      <x:c r="A886" s="44"/>
      <x:c r="B886" s="44"/>
      <x:c r="C886" s="44"/>
      <x:c r="D886" s="44"/>
      <x:c r="E886" s="44"/>
      <x:c r="F886" s="45"/>
      <x:c r="G886" s="44"/>
      <x:c r="H886" s="45"/>
      <x:c r="I886" s="45"/>
      <x:c r="J886" s="46"/>
      <x:c r="K886" s="46"/>
      <x:c r="L886" s="41"/>
      <x:c r="M886" s="41"/>
      <x:c r="N886" s="41"/>
      <x:c r="O886" s="41"/>
      <x:c r="P886" s="41"/>
      <x:c r="Q886" s="41"/>
      <x:c r="R886" s="41"/>
      <x:c r="S886" s="41"/>
      <x:c r="T886" s="41"/>
      <x:c r="U886" s="41"/>
      <x:c r="V886" s="41"/>
      <x:c r="W886" s="41"/>
      <x:c r="X886" s="41"/>
      <x:c r="Y886" s="41"/>
      <x:c r="Z886" s="41"/>
    </x:row>
    <x:row r="887">
      <x:c r="A887" s="44"/>
      <x:c r="B887" s="44"/>
      <x:c r="C887" s="44"/>
      <x:c r="D887" s="44"/>
      <x:c r="E887" s="44"/>
      <x:c r="F887" s="45"/>
      <x:c r="G887" s="44"/>
      <x:c r="H887" s="45"/>
      <x:c r="I887" s="45"/>
      <x:c r="J887" s="46"/>
      <x:c r="K887" s="46"/>
      <x:c r="L887" s="41"/>
      <x:c r="M887" s="41"/>
      <x:c r="N887" s="41"/>
      <x:c r="O887" s="41"/>
      <x:c r="P887" s="41"/>
      <x:c r="Q887" s="41"/>
      <x:c r="R887" s="41"/>
      <x:c r="S887" s="41"/>
      <x:c r="T887" s="41"/>
      <x:c r="U887" s="41"/>
      <x:c r="V887" s="41"/>
      <x:c r="W887" s="41"/>
      <x:c r="X887" s="41"/>
      <x:c r="Y887" s="41"/>
      <x:c r="Z887" s="41"/>
    </x:row>
    <x:row r="888">
      <x:c r="A888" s="44"/>
      <x:c r="B888" s="44"/>
      <x:c r="C888" s="44"/>
      <x:c r="D888" s="44"/>
      <x:c r="E888" s="44"/>
      <x:c r="F888" s="45"/>
      <x:c r="G888" s="44"/>
      <x:c r="H888" s="45"/>
      <x:c r="I888" s="45"/>
      <x:c r="J888" s="46"/>
      <x:c r="K888" s="46"/>
      <x:c r="L888" s="41"/>
      <x:c r="M888" s="41"/>
      <x:c r="N888" s="41"/>
      <x:c r="O888" s="41"/>
      <x:c r="P888" s="41"/>
      <x:c r="Q888" s="41"/>
      <x:c r="R888" s="41"/>
      <x:c r="S888" s="41"/>
      <x:c r="T888" s="41"/>
      <x:c r="U888" s="41"/>
      <x:c r="V888" s="41"/>
      <x:c r="W888" s="41"/>
      <x:c r="X888" s="41"/>
      <x:c r="Y888" s="41"/>
      <x:c r="Z888" s="41"/>
    </x:row>
    <x:row r="889">
      <x:c r="A889" s="44"/>
      <x:c r="B889" s="44"/>
      <x:c r="C889" s="44"/>
      <x:c r="D889" s="44"/>
      <x:c r="E889" s="44"/>
      <x:c r="F889" s="45"/>
      <x:c r="G889" s="44"/>
      <x:c r="H889" s="45"/>
      <x:c r="I889" s="45"/>
      <x:c r="J889" s="46"/>
      <x:c r="K889" s="46"/>
      <x:c r="L889" s="41"/>
      <x:c r="M889" s="41"/>
      <x:c r="N889" s="41"/>
      <x:c r="O889" s="41"/>
      <x:c r="P889" s="41"/>
      <x:c r="Q889" s="41"/>
      <x:c r="R889" s="41"/>
      <x:c r="S889" s="41"/>
      <x:c r="T889" s="41"/>
      <x:c r="U889" s="41"/>
      <x:c r="V889" s="41"/>
      <x:c r="W889" s="41"/>
      <x:c r="X889" s="41"/>
      <x:c r="Y889" s="41"/>
      <x:c r="Z889" s="41"/>
    </x:row>
    <x:row r="890">
      <x:c r="A890" s="44"/>
      <x:c r="B890" s="44"/>
      <x:c r="C890" s="44"/>
      <x:c r="D890" s="44"/>
      <x:c r="E890" s="44"/>
      <x:c r="F890" s="45"/>
      <x:c r="G890" s="44"/>
      <x:c r="H890" s="45"/>
      <x:c r="I890" s="45"/>
      <x:c r="J890" s="46"/>
      <x:c r="K890" s="46"/>
      <x:c r="L890" s="41"/>
      <x:c r="M890" s="41"/>
      <x:c r="N890" s="41"/>
      <x:c r="O890" s="41"/>
      <x:c r="P890" s="41"/>
      <x:c r="Q890" s="41"/>
      <x:c r="R890" s="41"/>
      <x:c r="S890" s="41"/>
      <x:c r="T890" s="41"/>
      <x:c r="U890" s="41"/>
      <x:c r="V890" s="41"/>
      <x:c r="W890" s="41"/>
      <x:c r="X890" s="41"/>
      <x:c r="Y890" s="41"/>
      <x:c r="Z890" s="41"/>
    </x:row>
    <x:row r="891">
      <x:c r="A891" s="44"/>
      <x:c r="B891" s="44"/>
      <x:c r="C891" s="44"/>
      <x:c r="D891" s="44"/>
      <x:c r="E891" s="44"/>
      <x:c r="F891" s="45"/>
      <x:c r="G891" s="44"/>
      <x:c r="H891" s="45"/>
      <x:c r="I891" s="45"/>
      <x:c r="J891" s="46"/>
      <x:c r="K891" s="46"/>
      <x:c r="L891" s="41"/>
      <x:c r="M891" s="41"/>
      <x:c r="N891" s="41"/>
      <x:c r="O891" s="41"/>
      <x:c r="P891" s="41"/>
      <x:c r="Q891" s="41"/>
      <x:c r="R891" s="41"/>
      <x:c r="S891" s="41"/>
      <x:c r="T891" s="41"/>
      <x:c r="U891" s="41"/>
      <x:c r="V891" s="41"/>
      <x:c r="W891" s="41"/>
      <x:c r="X891" s="41"/>
      <x:c r="Y891" s="41"/>
      <x:c r="Z891" s="41"/>
    </x:row>
    <x:row r="892">
      <x:c r="A892" s="44"/>
      <x:c r="B892" s="44"/>
      <x:c r="C892" s="44"/>
      <x:c r="D892" s="44"/>
      <x:c r="E892" s="44"/>
      <x:c r="F892" s="45"/>
      <x:c r="G892" s="44"/>
      <x:c r="H892" s="45"/>
      <x:c r="I892" s="45"/>
      <x:c r="J892" s="46"/>
      <x:c r="K892" s="46"/>
      <x:c r="L892" s="41"/>
      <x:c r="M892" s="41"/>
      <x:c r="N892" s="41"/>
      <x:c r="O892" s="41"/>
      <x:c r="P892" s="41"/>
      <x:c r="Q892" s="41"/>
      <x:c r="R892" s="41"/>
      <x:c r="S892" s="41"/>
      <x:c r="T892" s="41"/>
      <x:c r="U892" s="41"/>
      <x:c r="V892" s="41"/>
      <x:c r="W892" s="41"/>
      <x:c r="X892" s="41"/>
      <x:c r="Y892" s="41"/>
      <x:c r="Z892" s="41"/>
    </x:row>
    <x:row r="893">
      <x:c r="A893" s="44"/>
      <x:c r="B893" s="44"/>
      <x:c r="C893" s="44"/>
      <x:c r="D893" s="44"/>
      <x:c r="E893" s="44"/>
      <x:c r="F893" s="45"/>
      <x:c r="G893" s="44"/>
      <x:c r="H893" s="45"/>
      <x:c r="I893" s="45"/>
      <x:c r="J893" s="46"/>
      <x:c r="K893" s="46"/>
      <x:c r="L893" s="41"/>
      <x:c r="M893" s="41"/>
      <x:c r="N893" s="41"/>
      <x:c r="O893" s="41"/>
      <x:c r="P893" s="41"/>
      <x:c r="Q893" s="41"/>
      <x:c r="R893" s="41"/>
      <x:c r="S893" s="41"/>
      <x:c r="T893" s="41"/>
      <x:c r="U893" s="41"/>
      <x:c r="V893" s="41"/>
      <x:c r="W893" s="41"/>
      <x:c r="X893" s="41"/>
      <x:c r="Y893" s="41"/>
      <x:c r="Z893" s="41"/>
    </x:row>
    <x:row r="894">
      <x:c r="A894" s="44"/>
      <x:c r="B894" s="44"/>
      <x:c r="C894" s="44"/>
      <x:c r="D894" s="44"/>
      <x:c r="E894" s="44"/>
      <x:c r="F894" s="45"/>
      <x:c r="G894" s="44"/>
      <x:c r="H894" s="45"/>
      <x:c r="I894" s="45"/>
      <x:c r="J894" s="46"/>
      <x:c r="K894" s="46"/>
      <x:c r="L894" s="41"/>
      <x:c r="M894" s="41"/>
      <x:c r="N894" s="41"/>
      <x:c r="O894" s="41"/>
      <x:c r="P894" s="41"/>
      <x:c r="Q894" s="41"/>
      <x:c r="R894" s="41"/>
      <x:c r="S894" s="41"/>
      <x:c r="T894" s="41"/>
      <x:c r="U894" s="41"/>
      <x:c r="V894" s="41"/>
      <x:c r="W894" s="41"/>
      <x:c r="X894" s="41"/>
      <x:c r="Y894" s="41"/>
      <x:c r="Z894" s="41"/>
    </x:row>
    <x:row r="895">
      <x:c r="A895" s="44"/>
      <x:c r="B895" s="44"/>
      <x:c r="C895" s="44"/>
      <x:c r="D895" s="44"/>
      <x:c r="E895" s="44"/>
      <x:c r="F895" s="45"/>
      <x:c r="G895" s="44"/>
      <x:c r="H895" s="45"/>
      <x:c r="I895" s="45"/>
      <x:c r="J895" s="46"/>
      <x:c r="K895" s="46"/>
      <x:c r="L895" s="41"/>
      <x:c r="M895" s="41"/>
      <x:c r="N895" s="41"/>
      <x:c r="O895" s="41"/>
      <x:c r="P895" s="41"/>
      <x:c r="Q895" s="41"/>
      <x:c r="R895" s="41"/>
      <x:c r="S895" s="41"/>
      <x:c r="T895" s="41"/>
      <x:c r="U895" s="41"/>
      <x:c r="V895" s="41"/>
      <x:c r="W895" s="41"/>
      <x:c r="X895" s="41"/>
      <x:c r="Y895" s="41"/>
      <x:c r="Z895" s="41"/>
    </x:row>
    <x:row r="896">
      <x:c r="A896" s="44"/>
      <x:c r="B896" s="44"/>
      <x:c r="C896" s="44"/>
      <x:c r="D896" s="44"/>
      <x:c r="E896" s="44"/>
      <x:c r="F896" s="45"/>
      <x:c r="G896" s="44"/>
      <x:c r="H896" s="45"/>
      <x:c r="I896" s="45"/>
      <x:c r="J896" s="46"/>
      <x:c r="K896" s="46"/>
      <x:c r="L896" s="41"/>
      <x:c r="M896" s="41"/>
      <x:c r="N896" s="41"/>
      <x:c r="O896" s="41"/>
      <x:c r="P896" s="41"/>
      <x:c r="Q896" s="41"/>
      <x:c r="R896" s="41"/>
      <x:c r="S896" s="41"/>
      <x:c r="T896" s="41"/>
      <x:c r="U896" s="41"/>
      <x:c r="V896" s="41"/>
      <x:c r="W896" s="41"/>
      <x:c r="X896" s="41"/>
      <x:c r="Y896" s="41"/>
      <x:c r="Z896" s="41"/>
    </x:row>
    <x:row r="897">
      <x:c r="A897" s="44"/>
      <x:c r="B897" s="44"/>
      <x:c r="C897" s="44"/>
      <x:c r="D897" s="44"/>
      <x:c r="E897" s="44"/>
      <x:c r="F897" s="45"/>
      <x:c r="G897" s="44"/>
      <x:c r="H897" s="45"/>
      <x:c r="I897" s="45"/>
      <x:c r="J897" s="46"/>
      <x:c r="K897" s="46"/>
      <x:c r="L897" s="41"/>
      <x:c r="M897" s="41"/>
      <x:c r="N897" s="41"/>
      <x:c r="O897" s="41"/>
      <x:c r="P897" s="41"/>
      <x:c r="Q897" s="41"/>
      <x:c r="R897" s="41"/>
      <x:c r="S897" s="41"/>
      <x:c r="T897" s="41"/>
      <x:c r="U897" s="41"/>
      <x:c r="V897" s="41"/>
      <x:c r="W897" s="41"/>
      <x:c r="X897" s="41"/>
      <x:c r="Y897" s="41"/>
      <x:c r="Z897" s="41"/>
    </x:row>
    <x:row r="898">
      <x:c r="A898" s="44"/>
      <x:c r="B898" s="44"/>
      <x:c r="C898" s="44"/>
      <x:c r="D898" s="44"/>
      <x:c r="E898" s="44"/>
      <x:c r="F898" s="45"/>
      <x:c r="G898" s="44"/>
      <x:c r="H898" s="45"/>
      <x:c r="I898" s="45"/>
      <x:c r="J898" s="46"/>
      <x:c r="K898" s="46"/>
      <x:c r="L898" s="41"/>
      <x:c r="M898" s="41"/>
      <x:c r="N898" s="41"/>
      <x:c r="O898" s="41"/>
      <x:c r="P898" s="41"/>
      <x:c r="Q898" s="41"/>
      <x:c r="R898" s="41"/>
      <x:c r="S898" s="41"/>
      <x:c r="T898" s="41"/>
      <x:c r="U898" s="41"/>
      <x:c r="V898" s="41"/>
      <x:c r="W898" s="41"/>
      <x:c r="X898" s="41"/>
      <x:c r="Y898" s="41"/>
      <x:c r="Z898" s="41"/>
    </x:row>
    <x:row r="899">
      <x:c r="A899" s="44"/>
      <x:c r="B899" s="44"/>
      <x:c r="C899" s="44"/>
      <x:c r="D899" s="44"/>
      <x:c r="E899" s="44"/>
      <x:c r="F899" s="45"/>
      <x:c r="G899" s="44"/>
      <x:c r="H899" s="45"/>
      <x:c r="I899" s="45"/>
      <x:c r="J899" s="46"/>
      <x:c r="K899" s="46"/>
      <x:c r="L899" s="41"/>
      <x:c r="M899" s="41"/>
      <x:c r="N899" s="41"/>
      <x:c r="O899" s="41"/>
      <x:c r="P899" s="41"/>
      <x:c r="Q899" s="41"/>
      <x:c r="R899" s="41"/>
      <x:c r="S899" s="41"/>
      <x:c r="T899" s="41"/>
      <x:c r="U899" s="41"/>
      <x:c r="V899" s="41"/>
      <x:c r="W899" s="41"/>
      <x:c r="X899" s="41"/>
      <x:c r="Y899" s="41"/>
      <x:c r="Z899" s="41"/>
    </x:row>
    <x:row r="900">
      <x:c r="A900" s="44"/>
      <x:c r="B900" s="44"/>
      <x:c r="C900" s="44"/>
      <x:c r="D900" s="44"/>
      <x:c r="E900" s="44"/>
      <x:c r="F900" s="45"/>
      <x:c r="G900" s="44"/>
      <x:c r="H900" s="45"/>
      <x:c r="I900" s="45"/>
      <x:c r="J900" s="46"/>
      <x:c r="K900" s="46"/>
      <x:c r="L900" s="41"/>
      <x:c r="M900" s="41"/>
      <x:c r="N900" s="41"/>
      <x:c r="O900" s="41"/>
      <x:c r="P900" s="41"/>
      <x:c r="Q900" s="41"/>
      <x:c r="R900" s="41"/>
      <x:c r="S900" s="41"/>
      <x:c r="T900" s="41"/>
      <x:c r="U900" s="41"/>
      <x:c r="V900" s="41"/>
      <x:c r="W900" s="41"/>
      <x:c r="X900" s="41"/>
      <x:c r="Y900" s="41"/>
      <x:c r="Z900" s="41"/>
    </x:row>
    <x:row r="901">
      <x:c r="A901" s="44"/>
      <x:c r="B901" s="44"/>
      <x:c r="C901" s="44"/>
      <x:c r="D901" s="44"/>
      <x:c r="E901" s="44"/>
      <x:c r="F901" s="45"/>
      <x:c r="G901" s="44"/>
      <x:c r="H901" s="45"/>
      <x:c r="I901" s="45"/>
      <x:c r="J901" s="46"/>
      <x:c r="K901" s="46"/>
      <x:c r="L901" s="41"/>
      <x:c r="M901" s="41"/>
      <x:c r="N901" s="41"/>
      <x:c r="O901" s="41"/>
      <x:c r="P901" s="41"/>
      <x:c r="Q901" s="41"/>
      <x:c r="R901" s="41"/>
      <x:c r="S901" s="41"/>
      <x:c r="T901" s="41"/>
      <x:c r="U901" s="41"/>
      <x:c r="V901" s="41"/>
      <x:c r="W901" s="41"/>
      <x:c r="X901" s="41"/>
      <x:c r="Y901" s="41"/>
      <x:c r="Z901" s="41"/>
    </x:row>
    <x:row r="902">
      <x:c r="A902" s="44"/>
      <x:c r="B902" s="44"/>
      <x:c r="C902" s="44"/>
      <x:c r="D902" s="44"/>
      <x:c r="E902" s="44"/>
      <x:c r="F902" s="45"/>
      <x:c r="G902" s="44"/>
      <x:c r="H902" s="45"/>
      <x:c r="I902" s="45"/>
      <x:c r="J902" s="46"/>
      <x:c r="K902" s="46"/>
      <x:c r="L902" s="41"/>
      <x:c r="M902" s="41"/>
      <x:c r="N902" s="41"/>
      <x:c r="O902" s="41"/>
      <x:c r="P902" s="41"/>
      <x:c r="Q902" s="41"/>
      <x:c r="R902" s="41"/>
      <x:c r="S902" s="41"/>
      <x:c r="T902" s="41"/>
      <x:c r="U902" s="41"/>
      <x:c r="V902" s="41"/>
      <x:c r="W902" s="41"/>
      <x:c r="X902" s="41"/>
      <x:c r="Y902" s="41"/>
      <x:c r="Z902" s="41"/>
    </x:row>
    <x:row r="903">
      <x:c r="A903" s="44"/>
      <x:c r="B903" s="44"/>
      <x:c r="C903" s="44"/>
      <x:c r="D903" s="44"/>
      <x:c r="E903" s="44"/>
      <x:c r="F903" s="45"/>
      <x:c r="G903" s="44"/>
      <x:c r="H903" s="45"/>
      <x:c r="I903" s="45"/>
      <x:c r="J903" s="46"/>
      <x:c r="K903" s="46"/>
      <x:c r="L903" s="41"/>
      <x:c r="M903" s="41"/>
      <x:c r="N903" s="41"/>
      <x:c r="O903" s="41"/>
      <x:c r="P903" s="41"/>
      <x:c r="Q903" s="41"/>
      <x:c r="R903" s="41"/>
      <x:c r="S903" s="41"/>
      <x:c r="T903" s="41"/>
      <x:c r="U903" s="41"/>
      <x:c r="V903" s="41"/>
      <x:c r="W903" s="41"/>
      <x:c r="X903" s="41"/>
      <x:c r="Y903" s="41"/>
      <x:c r="Z903" s="41"/>
    </x:row>
    <x:row r="904">
      <x:c r="A904" s="44"/>
      <x:c r="B904" s="44"/>
      <x:c r="C904" s="44"/>
      <x:c r="D904" s="44"/>
      <x:c r="E904" s="44"/>
      <x:c r="F904" s="45"/>
      <x:c r="G904" s="44"/>
      <x:c r="H904" s="45"/>
      <x:c r="I904" s="45"/>
      <x:c r="J904" s="46"/>
      <x:c r="K904" s="46"/>
      <x:c r="L904" s="41"/>
      <x:c r="M904" s="41"/>
      <x:c r="N904" s="41"/>
      <x:c r="O904" s="41"/>
      <x:c r="P904" s="41"/>
      <x:c r="Q904" s="41"/>
      <x:c r="R904" s="41"/>
      <x:c r="S904" s="41"/>
      <x:c r="T904" s="41"/>
      <x:c r="U904" s="41"/>
      <x:c r="V904" s="41"/>
      <x:c r="W904" s="41"/>
      <x:c r="X904" s="41"/>
      <x:c r="Y904" s="41"/>
      <x:c r="Z904" s="41"/>
    </x:row>
    <x:row r="905">
      <x:c r="A905" s="44"/>
      <x:c r="B905" s="44"/>
      <x:c r="C905" s="44"/>
      <x:c r="D905" s="44"/>
      <x:c r="E905" s="44"/>
      <x:c r="F905" s="45"/>
      <x:c r="G905" s="44"/>
      <x:c r="H905" s="45"/>
      <x:c r="I905" s="45"/>
      <x:c r="J905" s="46"/>
      <x:c r="K905" s="46"/>
      <x:c r="L905" s="41"/>
      <x:c r="M905" s="41"/>
      <x:c r="N905" s="41"/>
      <x:c r="O905" s="41"/>
      <x:c r="P905" s="41"/>
      <x:c r="Q905" s="41"/>
      <x:c r="R905" s="41"/>
      <x:c r="S905" s="41"/>
      <x:c r="T905" s="41"/>
      <x:c r="U905" s="41"/>
      <x:c r="V905" s="41"/>
      <x:c r="W905" s="41"/>
      <x:c r="X905" s="41"/>
      <x:c r="Y905" s="41"/>
      <x:c r="Z905" s="41"/>
    </x:row>
    <x:row r="906">
      <x:c r="A906" s="44"/>
      <x:c r="B906" s="44"/>
      <x:c r="C906" s="44"/>
      <x:c r="D906" s="44"/>
      <x:c r="E906" s="44"/>
      <x:c r="F906" s="45"/>
      <x:c r="G906" s="44"/>
      <x:c r="H906" s="45"/>
      <x:c r="I906" s="45"/>
      <x:c r="J906" s="46"/>
      <x:c r="K906" s="46"/>
      <x:c r="L906" s="41"/>
      <x:c r="M906" s="41"/>
      <x:c r="N906" s="41"/>
      <x:c r="O906" s="41"/>
      <x:c r="P906" s="41"/>
      <x:c r="Q906" s="41"/>
      <x:c r="R906" s="41"/>
      <x:c r="S906" s="41"/>
      <x:c r="T906" s="41"/>
      <x:c r="U906" s="41"/>
      <x:c r="V906" s="41"/>
      <x:c r="W906" s="41"/>
      <x:c r="X906" s="41"/>
      <x:c r="Y906" s="41"/>
      <x:c r="Z906" s="41"/>
    </x:row>
    <x:row r="907">
      <x:c r="A907" s="44"/>
      <x:c r="B907" s="44"/>
      <x:c r="C907" s="44"/>
      <x:c r="D907" s="44"/>
      <x:c r="E907" s="44"/>
      <x:c r="F907" s="45"/>
      <x:c r="G907" s="44"/>
      <x:c r="H907" s="45"/>
      <x:c r="I907" s="45"/>
      <x:c r="J907" s="46"/>
      <x:c r="K907" s="46"/>
      <x:c r="L907" s="41"/>
      <x:c r="M907" s="41"/>
      <x:c r="N907" s="41"/>
      <x:c r="O907" s="41"/>
      <x:c r="P907" s="41"/>
      <x:c r="Q907" s="41"/>
      <x:c r="R907" s="41"/>
      <x:c r="S907" s="41"/>
      <x:c r="T907" s="41"/>
      <x:c r="U907" s="41"/>
      <x:c r="V907" s="41"/>
      <x:c r="W907" s="41"/>
      <x:c r="X907" s="41"/>
      <x:c r="Y907" s="41"/>
      <x:c r="Z907" s="41"/>
    </x:row>
    <x:row r="908">
      <x:c r="A908" s="44"/>
      <x:c r="B908" s="44"/>
      <x:c r="C908" s="44"/>
      <x:c r="D908" s="44"/>
      <x:c r="E908" s="44"/>
      <x:c r="F908" s="45"/>
      <x:c r="G908" s="44"/>
      <x:c r="H908" s="45"/>
      <x:c r="I908" s="45"/>
      <x:c r="J908" s="46"/>
      <x:c r="K908" s="46"/>
      <x:c r="L908" s="41"/>
      <x:c r="M908" s="41"/>
      <x:c r="N908" s="41"/>
      <x:c r="O908" s="41"/>
      <x:c r="P908" s="41"/>
      <x:c r="Q908" s="41"/>
      <x:c r="R908" s="41"/>
      <x:c r="S908" s="41"/>
      <x:c r="T908" s="41"/>
      <x:c r="U908" s="41"/>
      <x:c r="V908" s="41"/>
      <x:c r="W908" s="41"/>
      <x:c r="X908" s="41"/>
      <x:c r="Y908" s="41"/>
      <x:c r="Z908" s="41"/>
    </x:row>
    <x:row r="909">
      <x:c r="A909" s="44"/>
      <x:c r="B909" s="44"/>
      <x:c r="C909" s="44"/>
      <x:c r="D909" s="44"/>
      <x:c r="E909" s="44"/>
      <x:c r="F909" s="45"/>
      <x:c r="G909" s="44"/>
      <x:c r="H909" s="45"/>
      <x:c r="I909" s="45"/>
      <x:c r="J909" s="46"/>
      <x:c r="K909" s="46"/>
      <x:c r="L909" s="41"/>
      <x:c r="M909" s="41"/>
      <x:c r="N909" s="41"/>
      <x:c r="O909" s="41"/>
      <x:c r="P909" s="41"/>
      <x:c r="Q909" s="41"/>
      <x:c r="R909" s="41"/>
      <x:c r="S909" s="41"/>
      <x:c r="T909" s="41"/>
      <x:c r="U909" s="41"/>
      <x:c r="V909" s="41"/>
      <x:c r="W909" s="41"/>
      <x:c r="X909" s="41"/>
      <x:c r="Y909" s="41"/>
      <x:c r="Z909" s="41"/>
    </x:row>
    <x:row r="910">
      <x:c r="A910" s="44"/>
      <x:c r="B910" s="44"/>
      <x:c r="C910" s="44"/>
      <x:c r="D910" s="44"/>
      <x:c r="E910" s="44"/>
      <x:c r="F910" s="45"/>
      <x:c r="G910" s="44"/>
      <x:c r="H910" s="45"/>
      <x:c r="I910" s="45"/>
      <x:c r="J910" s="46"/>
      <x:c r="K910" s="46"/>
      <x:c r="L910" s="41"/>
      <x:c r="M910" s="41"/>
      <x:c r="N910" s="41"/>
      <x:c r="O910" s="41"/>
      <x:c r="P910" s="41"/>
      <x:c r="Q910" s="41"/>
      <x:c r="R910" s="41"/>
      <x:c r="S910" s="41"/>
      <x:c r="T910" s="41"/>
      <x:c r="U910" s="41"/>
      <x:c r="V910" s="41"/>
      <x:c r="W910" s="41"/>
      <x:c r="X910" s="41"/>
      <x:c r="Y910" s="41"/>
      <x:c r="Z910" s="41"/>
    </x:row>
    <x:row r="911">
      <x:c r="A911" s="44"/>
      <x:c r="B911" s="44"/>
      <x:c r="C911" s="44"/>
      <x:c r="D911" s="44"/>
      <x:c r="E911" s="44"/>
      <x:c r="F911" s="45"/>
      <x:c r="G911" s="44"/>
      <x:c r="H911" s="45"/>
      <x:c r="I911" s="45"/>
      <x:c r="J911" s="46"/>
      <x:c r="K911" s="46"/>
      <x:c r="L911" s="41"/>
      <x:c r="M911" s="41"/>
      <x:c r="N911" s="41"/>
      <x:c r="O911" s="41"/>
      <x:c r="P911" s="41"/>
      <x:c r="Q911" s="41"/>
      <x:c r="R911" s="41"/>
      <x:c r="S911" s="41"/>
      <x:c r="T911" s="41"/>
      <x:c r="U911" s="41"/>
      <x:c r="V911" s="41"/>
      <x:c r="W911" s="41"/>
      <x:c r="X911" s="41"/>
      <x:c r="Y911" s="41"/>
      <x:c r="Z911" s="41"/>
    </x:row>
    <x:row r="912">
      <x:c r="A912" s="44"/>
      <x:c r="B912" s="44"/>
      <x:c r="C912" s="44"/>
      <x:c r="D912" s="44"/>
      <x:c r="E912" s="44"/>
      <x:c r="F912" s="45"/>
      <x:c r="G912" s="44"/>
      <x:c r="H912" s="45"/>
      <x:c r="I912" s="45"/>
      <x:c r="J912" s="46"/>
      <x:c r="K912" s="46"/>
      <x:c r="L912" s="41"/>
      <x:c r="M912" s="41"/>
      <x:c r="N912" s="41"/>
      <x:c r="O912" s="41"/>
      <x:c r="P912" s="41"/>
      <x:c r="Q912" s="41"/>
      <x:c r="R912" s="41"/>
      <x:c r="S912" s="41"/>
      <x:c r="T912" s="41"/>
      <x:c r="U912" s="41"/>
      <x:c r="V912" s="41"/>
      <x:c r="W912" s="41"/>
      <x:c r="X912" s="41"/>
      <x:c r="Y912" s="41"/>
      <x:c r="Z912" s="41"/>
    </x:row>
    <x:row r="913">
      <x:c r="A913" s="44"/>
      <x:c r="B913" s="44"/>
      <x:c r="C913" s="44"/>
      <x:c r="D913" s="44"/>
      <x:c r="E913" s="44"/>
      <x:c r="F913" s="45"/>
      <x:c r="G913" s="44"/>
      <x:c r="H913" s="45"/>
      <x:c r="I913" s="45"/>
      <x:c r="J913" s="46"/>
      <x:c r="K913" s="46"/>
      <x:c r="L913" s="41"/>
      <x:c r="M913" s="41"/>
      <x:c r="N913" s="41"/>
      <x:c r="O913" s="41"/>
      <x:c r="P913" s="41"/>
      <x:c r="Q913" s="41"/>
      <x:c r="R913" s="41"/>
      <x:c r="S913" s="41"/>
      <x:c r="T913" s="41"/>
      <x:c r="U913" s="41"/>
      <x:c r="V913" s="41"/>
      <x:c r="W913" s="41"/>
      <x:c r="X913" s="41"/>
      <x:c r="Y913" s="41"/>
      <x:c r="Z913" s="41"/>
    </x:row>
    <x:row r="914">
      <x:c r="A914" s="44"/>
      <x:c r="B914" s="44"/>
      <x:c r="C914" s="44"/>
      <x:c r="D914" s="44"/>
      <x:c r="E914" s="44"/>
      <x:c r="F914" s="45"/>
      <x:c r="G914" s="44"/>
      <x:c r="H914" s="45"/>
      <x:c r="I914" s="45"/>
      <x:c r="J914" s="46"/>
      <x:c r="K914" s="46"/>
      <x:c r="L914" s="41"/>
      <x:c r="M914" s="41"/>
      <x:c r="N914" s="41"/>
      <x:c r="O914" s="41"/>
      <x:c r="P914" s="41"/>
      <x:c r="Q914" s="41"/>
      <x:c r="R914" s="41"/>
      <x:c r="S914" s="41"/>
      <x:c r="T914" s="41"/>
      <x:c r="U914" s="41"/>
      <x:c r="V914" s="41"/>
      <x:c r="W914" s="41"/>
      <x:c r="X914" s="41"/>
      <x:c r="Y914" s="41"/>
      <x:c r="Z914" s="41"/>
    </x:row>
    <x:row r="915">
      <x:c r="A915" s="44"/>
      <x:c r="B915" s="44"/>
      <x:c r="C915" s="44"/>
      <x:c r="D915" s="44"/>
      <x:c r="E915" s="44"/>
      <x:c r="F915" s="45"/>
      <x:c r="G915" s="44"/>
      <x:c r="H915" s="45"/>
      <x:c r="I915" s="45"/>
      <x:c r="J915" s="46"/>
      <x:c r="K915" s="46"/>
      <x:c r="L915" s="41"/>
      <x:c r="M915" s="41"/>
      <x:c r="N915" s="41"/>
      <x:c r="O915" s="41"/>
      <x:c r="P915" s="41"/>
      <x:c r="Q915" s="41"/>
      <x:c r="R915" s="41"/>
      <x:c r="S915" s="41"/>
      <x:c r="T915" s="41"/>
      <x:c r="U915" s="41"/>
      <x:c r="V915" s="41"/>
      <x:c r="W915" s="41"/>
      <x:c r="X915" s="41"/>
      <x:c r="Y915" s="41"/>
      <x:c r="Z915" s="41"/>
    </x:row>
    <x:row r="916">
      <x:c r="A916" s="44"/>
      <x:c r="B916" s="44"/>
      <x:c r="C916" s="44"/>
      <x:c r="D916" s="44"/>
      <x:c r="E916" s="44"/>
      <x:c r="F916" s="45"/>
      <x:c r="G916" s="44"/>
      <x:c r="H916" s="45"/>
      <x:c r="I916" s="45"/>
      <x:c r="J916" s="46"/>
      <x:c r="K916" s="46"/>
      <x:c r="L916" s="41"/>
      <x:c r="M916" s="41"/>
      <x:c r="N916" s="41"/>
      <x:c r="O916" s="41"/>
      <x:c r="P916" s="41"/>
      <x:c r="Q916" s="41"/>
      <x:c r="R916" s="41"/>
      <x:c r="S916" s="41"/>
      <x:c r="T916" s="41"/>
      <x:c r="U916" s="41"/>
      <x:c r="V916" s="41"/>
      <x:c r="W916" s="41"/>
      <x:c r="X916" s="41"/>
      <x:c r="Y916" s="41"/>
      <x:c r="Z916" s="41"/>
    </x:row>
    <x:row r="917">
      <x:c r="A917" s="44"/>
      <x:c r="B917" s="44"/>
      <x:c r="C917" s="44"/>
      <x:c r="D917" s="44"/>
      <x:c r="E917" s="44"/>
      <x:c r="F917" s="45"/>
      <x:c r="G917" s="44"/>
      <x:c r="H917" s="45"/>
      <x:c r="I917" s="45"/>
      <x:c r="J917" s="46"/>
      <x:c r="K917" s="46"/>
      <x:c r="L917" s="41"/>
      <x:c r="M917" s="41"/>
      <x:c r="N917" s="41"/>
      <x:c r="O917" s="41"/>
      <x:c r="P917" s="41"/>
      <x:c r="Q917" s="41"/>
      <x:c r="R917" s="41"/>
      <x:c r="S917" s="41"/>
      <x:c r="T917" s="41"/>
      <x:c r="U917" s="41"/>
      <x:c r="V917" s="41"/>
      <x:c r="W917" s="41"/>
      <x:c r="X917" s="41"/>
      <x:c r="Y917" s="41"/>
      <x:c r="Z917" s="41"/>
    </x:row>
    <x:row r="918">
      <x:c r="A918" s="44"/>
      <x:c r="B918" s="44"/>
      <x:c r="C918" s="44"/>
      <x:c r="D918" s="44"/>
      <x:c r="E918" s="44"/>
      <x:c r="F918" s="45"/>
      <x:c r="G918" s="44"/>
      <x:c r="H918" s="45"/>
      <x:c r="I918" s="45"/>
      <x:c r="J918" s="46"/>
      <x:c r="K918" s="46"/>
      <x:c r="L918" s="41"/>
      <x:c r="M918" s="41"/>
      <x:c r="N918" s="41"/>
      <x:c r="O918" s="41"/>
      <x:c r="P918" s="41"/>
      <x:c r="Q918" s="41"/>
      <x:c r="R918" s="41"/>
      <x:c r="S918" s="41"/>
      <x:c r="T918" s="41"/>
      <x:c r="U918" s="41"/>
      <x:c r="V918" s="41"/>
      <x:c r="W918" s="41"/>
      <x:c r="X918" s="41"/>
      <x:c r="Y918" s="41"/>
      <x:c r="Z918" s="41"/>
    </x:row>
    <x:row r="919">
      <x:c r="A919" s="44"/>
      <x:c r="B919" s="44"/>
      <x:c r="C919" s="44"/>
      <x:c r="D919" s="44"/>
      <x:c r="E919" s="44"/>
      <x:c r="F919" s="45"/>
      <x:c r="G919" s="44"/>
      <x:c r="H919" s="45"/>
      <x:c r="I919" s="45"/>
      <x:c r="J919" s="46"/>
      <x:c r="K919" s="46"/>
      <x:c r="L919" s="41"/>
      <x:c r="M919" s="41"/>
      <x:c r="N919" s="41"/>
      <x:c r="O919" s="41"/>
      <x:c r="P919" s="41"/>
      <x:c r="Q919" s="41"/>
      <x:c r="R919" s="41"/>
      <x:c r="S919" s="41"/>
      <x:c r="T919" s="41"/>
      <x:c r="U919" s="41"/>
      <x:c r="V919" s="41"/>
      <x:c r="W919" s="41"/>
      <x:c r="X919" s="41"/>
      <x:c r="Y919" s="41"/>
      <x:c r="Z919" s="41"/>
    </x:row>
    <x:row r="920">
      <x:c r="A920" s="44"/>
      <x:c r="B920" s="44"/>
      <x:c r="C920" s="44"/>
      <x:c r="D920" s="44"/>
      <x:c r="E920" s="44"/>
      <x:c r="F920" s="45"/>
      <x:c r="G920" s="44"/>
      <x:c r="H920" s="45"/>
      <x:c r="I920" s="45"/>
      <x:c r="J920" s="46"/>
      <x:c r="K920" s="46"/>
      <x:c r="L920" s="41"/>
      <x:c r="M920" s="41"/>
      <x:c r="N920" s="41"/>
      <x:c r="O920" s="41"/>
      <x:c r="P920" s="41"/>
      <x:c r="Q920" s="41"/>
      <x:c r="R920" s="41"/>
      <x:c r="S920" s="41"/>
      <x:c r="T920" s="41"/>
      <x:c r="U920" s="41"/>
      <x:c r="V920" s="41"/>
      <x:c r="W920" s="41"/>
      <x:c r="X920" s="41"/>
      <x:c r="Y920" s="41"/>
      <x:c r="Z920" s="41"/>
    </x:row>
    <x:row r="921">
      <x:c r="A921" s="44"/>
      <x:c r="B921" s="44"/>
      <x:c r="C921" s="44"/>
      <x:c r="D921" s="44"/>
      <x:c r="E921" s="44"/>
      <x:c r="F921" s="45"/>
      <x:c r="G921" s="44"/>
      <x:c r="H921" s="45"/>
      <x:c r="I921" s="45"/>
      <x:c r="J921" s="46"/>
      <x:c r="K921" s="46"/>
      <x:c r="L921" s="41"/>
      <x:c r="M921" s="41"/>
      <x:c r="N921" s="41"/>
      <x:c r="O921" s="41"/>
      <x:c r="P921" s="41"/>
      <x:c r="Q921" s="41"/>
      <x:c r="R921" s="41"/>
      <x:c r="S921" s="41"/>
      <x:c r="T921" s="41"/>
      <x:c r="U921" s="41"/>
      <x:c r="V921" s="41"/>
      <x:c r="W921" s="41"/>
      <x:c r="X921" s="41"/>
      <x:c r="Y921" s="41"/>
      <x:c r="Z921" s="41"/>
    </x:row>
    <x:row r="922">
      <x:c r="A922" s="44"/>
      <x:c r="B922" s="44"/>
      <x:c r="C922" s="44"/>
      <x:c r="D922" s="44"/>
      <x:c r="E922" s="44"/>
      <x:c r="F922" s="45"/>
      <x:c r="G922" s="44"/>
      <x:c r="H922" s="45"/>
      <x:c r="I922" s="45"/>
      <x:c r="J922" s="46"/>
      <x:c r="K922" s="46"/>
      <x:c r="L922" s="41"/>
      <x:c r="M922" s="41"/>
      <x:c r="N922" s="41"/>
      <x:c r="O922" s="41"/>
      <x:c r="P922" s="41"/>
      <x:c r="Q922" s="41"/>
      <x:c r="R922" s="41"/>
      <x:c r="S922" s="41"/>
      <x:c r="T922" s="41"/>
      <x:c r="U922" s="41"/>
      <x:c r="V922" s="41"/>
      <x:c r="W922" s="41"/>
      <x:c r="X922" s="41"/>
      <x:c r="Y922" s="41"/>
      <x:c r="Z922" s="41"/>
    </x:row>
    <x:row r="923">
      <x:c r="A923" s="44"/>
      <x:c r="B923" s="44"/>
      <x:c r="C923" s="44"/>
      <x:c r="D923" s="44"/>
      <x:c r="E923" s="44"/>
      <x:c r="F923" s="45"/>
      <x:c r="G923" s="44"/>
      <x:c r="H923" s="45"/>
      <x:c r="I923" s="45"/>
      <x:c r="J923" s="46"/>
      <x:c r="K923" s="46"/>
      <x:c r="L923" s="41"/>
      <x:c r="M923" s="41"/>
      <x:c r="N923" s="41"/>
      <x:c r="O923" s="41"/>
      <x:c r="P923" s="41"/>
      <x:c r="Q923" s="41"/>
      <x:c r="R923" s="41"/>
      <x:c r="S923" s="41"/>
      <x:c r="T923" s="41"/>
      <x:c r="U923" s="41"/>
      <x:c r="V923" s="41"/>
      <x:c r="W923" s="41"/>
      <x:c r="X923" s="41"/>
      <x:c r="Y923" s="41"/>
      <x:c r="Z923" s="41"/>
    </x:row>
    <x:row r="924">
      <x:c r="A924" s="44"/>
      <x:c r="B924" s="44"/>
      <x:c r="C924" s="44"/>
      <x:c r="D924" s="44"/>
      <x:c r="E924" s="44"/>
      <x:c r="F924" s="45"/>
      <x:c r="G924" s="44"/>
      <x:c r="H924" s="45"/>
      <x:c r="I924" s="45"/>
      <x:c r="J924" s="46"/>
      <x:c r="K924" s="46"/>
      <x:c r="L924" s="41"/>
      <x:c r="M924" s="41"/>
      <x:c r="N924" s="41"/>
      <x:c r="O924" s="41"/>
      <x:c r="P924" s="41"/>
      <x:c r="Q924" s="41"/>
      <x:c r="R924" s="41"/>
      <x:c r="S924" s="41"/>
      <x:c r="T924" s="41"/>
      <x:c r="U924" s="41"/>
      <x:c r="V924" s="41"/>
      <x:c r="W924" s="41"/>
      <x:c r="X924" s="41"/>
      <x:c r="Y924" s="41"/>
      <x:c r="Z924" s="41"/>
    </x:row>
    <x:row r="925">
      <x:c r="A925" s="44"/>
      <x:c r="B925" s="44"/>
      <x:c r="C925" s="44"/>
      <x:c r="D925" s="44"/>
      <x:c r="E925" s="44"/>
      <x:c r="F925" s="45"/>
      <x:c r="G925" s="44"/>
      <x:c r="H925" s="45"/>
      <x:c r="I925" s="45"/>
      <x:c r="J925" s="46"/>
      <x:c r="K925" s="46"/>
      <x:c r="L925" s="41"/>
      <x:c r="M925" s="41"/>
      <x:c r="N925" s="41"/>
      <x:c r="O925" s="41"/>
      <x:c r="P925" s="41"/>
      <x:c r="Q925" s="41"/>
      <x:c r="R925" s="41"/>
      <x:c r="S925" s="41"/>
      <x:c r="T925" s="41"/>
      <x:c r="U925" s="41"/>
      <x:c r="V925" s="41"/>
      <x:c r="W925" s="41"/>
      <x:c r="X925" s="41"/>
      <x:c r="Y925" s="41"/>
      <x:c r="Z925" s="41"/>
    </x:row>
    <x:row r="926">
      <x:c r="A926" s="44"/>
      <x:c r="B926" s="44"/>
      <x:c r="C926" s="44"/>
      <x:c r="D926" s="44"/>
      <x:c r="E926" s="44"/>
      <x:c r="F926" s="45"/>
      <x:c r="G926" s="44"/>
      <x:c r="H926" s="45"/>
      <x:c r="I926" s="45"/>
      <x:c r="J926" s="46"/>
      <x:c r="K926" s="46"/>
      <x:c r="L926" s="41"/>
      <x:c r="M926" s="41"/>
      <x:c r="N926" s="41"/>
      <x:c r="O926" s="41"/>
      <x:c r="P926" s="41"/>
      <x:c r="Q926" s="41"/>
      <x:c r="R926" s="41"/>
      <x:c r="S926" s="41"/>
      <x:c r="T926" s="41"/>
      <x:c r="U926" s="41"/>
      <x:c r="V926" s="41"/>
      <x:c r="W926" s="41"/>
      <x:c r="X926" s="41"/>
      <x:c r="Y926" s="41"/>
      <x:c r="Z926" s="41"/>
    </x:row>
    <x:row r="927">
      <x:c r="A927" s="44"/>
      <x:c r="B927" s="44"/>
      <x:c r="C927" s="44"/>
      <x:c r="D927" s="44"/>
      <x:c r="E927" s="44"/>
      <x:c r="F927" s="45"/>
      <x:c r="G927" s="44"/>
      <x:c r="H927" s="45"/>
      <x:c r="I927" s="45"/>
      <x:c r="J927" s="46"/>
      <x:c r="K927" s="46"/>
      <x:c r="L927" s="41"/>
      <x:c r="M927" s="41"/>
      <x:c r="N927" s="41"/>
      <x:c r="O927" s="41"/>
      <x:c r="P927" s="41"/>
      <x:c r="Q927" s="41"/>
      <x:c r="R927" s="41"/>
      <x:c r="S927" s="41"/>
      <x:c r="T927" s="41"/>
      <x:c r="U927" s="41"/>
      <x:c r="V927" s="41"/>
      <x:c r="W927" s="41"/>
      <x:c r="X927" s="41"/>
      <x:c r="Y927" s="41"/>
      <x:c r="Z927" s="41"/>
    </x:row>
    <x:row r="928">
      <x:c r="A928" s="44"/>
      <x:c r="B928" s="44"/>
      <x:c r="C928" s="44"/>
      <x:c r="D928" s="44"/>
      <x:c r="E928" s="44"/>
      <x:c r="F928" s="45"/>
      <x:c r="G928" s="44"/>
      <x:c r="H928" s="45"/>
      <x:c r="I928" s="45"/>
      <x:c r="J928" s="46"/>
      <x:c r="K928" s="46"/>
      <x:c r="L928" s="41"/>
      <x:c r="M928" s="41"/>
      <x:c r="N928" s="41"/>
      <x:c r="O928" s="41"/>
      <x:c r="P928" s="41"/>
      <x:c r="Q928" s="41"/>
      <x:c r="R928" s="41"/>
      <x:c r="S928" s="41"/>
      <x:c r="T928" s="41"/>
      <x:c r="U928" s="41"/>
      <x:c r="V928" s="41"/>
      <x:c r="W928" s="41"/>
      <x:c r="X928" s="41"/>
      <x:c r="Y928" s="41"/>
      <x:c r="Z928" s="41"/>
    </x:row>
    <x:row r="929">
      <x:c r="A929" s="44"/>
      <x:c r="B929" s="44"/>
      <x:c r="C929" s="44"/>
      <x:c r="D929" s="44"/>
      <x:c r="E929" s="44"/>
      <x:c r="F929" s="45"/>
      <x:c r="G929" s="44"/>
      <x:c r="H929" s="45"/>
      <x:c r="I929" s="45"/>
      <x:c r="J929" s="46"/>
      <x:c r="K929" s="46"/>
      <x:c r="L929" s="41"/>
      <x:c r="M929" s="41"/>
      <x:c r="N929" s="41"/>
      <x:c r="O929" s="41"/>
      <x:c r="P929" s="41"/>
      <x:c r="Q929" s="41"/>
      <x:c r="R929" s="41"/>
      <x:c r="S929" s="41"/>
      <x:c r="T929" s="41"/>
      <x:c r="U929" s="41"/>
      <x:c r="V929" s="41"/>
      <x:c r="W929" s="41"/>
      <x:c r="X929" s="41"/>
      <x:c r="Y929" s="41"/>
      <x:c r="Z929" s="41"/>
    </x:row>
    <x:row r="930">
      <x:c r="A930" s="44"/>
      <x:c r="B930" s="44"/>
      <x:c r="C930" s="44"/>
      <x:c r="D930" s="44"/>
      <x:c r="E930" s="44"/>
      <x:c r="F930" s="45"/>
      <x:c r="G930" s="44"/>
      <x:c r="H930" s="45"/>
      <x:c r="I930" s="45"/>
      <x:c r="J930" s="46"/>
      <x:c r="K930" s="46"/>
      <x:c r="L930" s="41"/>
      <x:c r="M930" s="41"/>
      <x:c r="N930" s="41"/>
      <x:c r="O930" s="41"/>
      <x:c r="P930" s="41"/>
      <x:c r="Q930" s="41"/>
      <x:c r="R930" s="41"/>
      <x:c r="S930" s="41"/>
      <x:c r="T930" s="41"/>
      <x:c r="U930" s="41"/>
      <x:c r="V930" s="41"/>
      <x:c r="W930" s="41"/>
      <x:c r="X930" s="41"/>
      <x:c r="Y930" s="41"/>
      <x:c r="Z930" s="41"/>
    </x:row>
    <x:row r="931">
      <x:c r="A931" s="44"/>
      <x:c r="B931" s="44"/>
      <x:c r="C931" s="44"/>
      <x:c r="D931" s="44"/>
      <x:c r="E931" s="44"/>
      <x:c r="F931" s="45"/>
      <x:c r="G931" s="44"/>
      <x:c r="H931" s="45"/>
      <x:c r="I931" s="45"/>
      <x:c r="J931" s="46"/>
      <x:c r="K931" s="46"/>
      <x:c r="L931" s="41"/>
      <x:c r="M931" s="41"/>
      <x:c r="N931" s="41"/>
      <x:c r="O931" s="41"/>
      <x:c r="P931" s="41"/>
      <x:c r="Q931" s="41"/>
      <x:c r="R931" s="41"/>
      <x:c r="S931" s="41"/>
      <x:c r="T931" s="41"/>
      <x:c r="U931" s="41"/>
      <x:c r="V931" s="41"/>
      <x:c r="W931" s="41"/>
      <x:c r="X931" s="41"/>
      <x:c r="Y931" s="41"/>
      <x:c r="Z931" s="41"/>
    </x:row>
    <x:row r="932">
      <x:c r="A932" s="44"/>
      <x:c r="B932" s="44"/>
      <x:c r="C932" s="44"/>
      <x:c r="D932" s="44"/>
      <x:c r="E932" s="44"/>
      <x:c r="F932" s="45"/>
      <x:c r="G932" s="44"/>
      <x:c r="H932" s="45"/>
      <x:c r="I932" s="45"/>
      <x:c r="J932" s="46"/>
      <x:c r="K932" s="46"/>
      <x:c r="L932" s="41"/>
      <x:c r="M932" s="41"/>
      <x:c r="N932" s="41"/>
      <x:c r="O932" s="41"/>
      <x:c r="P932" s="41"/>
      <x:c r="Q932" s="41"/>
      <x:c r="R932" s="41"/>
      <x:c r="S932" s="41"/>
      <x:c r="T932" s="41"/>
      <x:c r="U932" s="41"/>
      <x:c r="V932" s="41"/>
      <x:c r="W932" s="41"/>
      <x:c r="X932" s="41"/>
      <x:c r="Y932" s="41"/>
      <x:c r="Z932" s="41"/>
    </x:row>
    <x:row r="933">
      <x:c r="A933" s="44"/>
      <x:c r="B933" s="44"/>
      <x:c r="C933" s="44"/>
      <x:c r="D933" s="44"/>
      <x:c r="E933" s="44"/>
      <x:c r="F933" s="45"/>
      <x:c r="G933" s="44"/>
      <x:c r="H933" s="45"/>
      <x:c r="I933" s="45"/>
      <x:c r="J933" s="46"/>
      <x:c r="K933" s="46"/>
      <x:c r="L933" s="41"/>
      <x:c r="M933" s="41"/>
      <x:c r="N933" s="41"/>
      <x:c r="O933" s="41"/>
      <x:c r="P933" s="41"/>
      <x:c r="Q933" s="41"/>
      <x:c r="R933" s="41"/>
      <x:c r="S933" s="41"/>
      <x:c r="T933" s="41"/>
      <x:c r="U933" s="41"/>
      <x:c r="V933" s="41"/>
      <x:c r="W933" s="41"/>
      <x:c r="X933" s="41"/>
      <x:c r="Y933" s="41"/>
      <x:c r="Z933" s="41"/>
    </x:row>
    <x:row r="934">
      <x:c r="A934" s="44"/>
      <x:c r="B934" s="44"/>
      <x:c r="C934" s="44"/>
      <x:c r="D934" s="44"/>
      <x:c r="E934" s="44"/>
      <x:c r="F934" s="45"/>
      <x:c r="G934" s="44"/>
      <x:c r="H934" s="45"/>
      <x:c r="I934" s="45"/>
      <x:c r="J934" s="46"/>
      <x:c r="K934" s="46"/>
      <x:c r="L934" s="41"/>
      <x:c r="M934" s="41"/>
      <x:c r="N934" s="41"/>
      <x:c r="O934" s="41"/>
      <x:c r="P934" s="41"/>
      <x:c r="Q934" s="41"/>
      <x:c r="R934" s="41"/>
      <x:c r="S934" s="41"/>
      <x:c r="T934" s="41"/>
      <x:c r="U934" s="41"/>
      <x:c r="V934" s="41"/>
      <x:c r="W934" s="41"/>
      <x:c r="X934" s="41"/>
      <x:c r="Y934" s="41"/>
      <x:c r="Z934" s="41"/>
    </x:row>
    <x:row r="935">
      <x:c r="A935" s="44"/>
      <x:c r="B935" s="44"/>
      <x:c r="C935" s="44"/>
      <x:c r="D935" s="44"/>
      <x:c r="E935" s="44"/>
      <x:c r="F935" s="45"/>
      <x:c r="G935" s="44"/>
      <x:c r="H935" s="45"/>
      <x:c r="I935" s="45"/>
      <x:c r="J935" s="46"/>
      <x:c r="K935" s="46"/>
      <x:c r="L935" s="41"/>
      <x:c r="M935" s="41"/>
      <x:c r="N935" s="41"/>
      <x:c r="O935" s="41"/>
      <x:c r="P935" s="41"/>
      <x:c r="Q935" s="41"/>
      <x:c r="R935" s="41"/>
      <x:c r="S935" s="41"/>
      <x:c r="T935" s="41"/>
      <x:c r="U935" s="41"/>
      <x:c r="V935" s="41"/>
      <x:c r="W935" s="41"/>
      <x:c r="X935" s="41"/>
      <x:c r="Y935" s="41"/>
      <x:c r="Z935" s="41"/>
    </x:row>
    <x:row r="936">
      <x:c r="A936" s="44"/>
      <x:c r="B936" s="44"/>
      <x:c r="C936" s="44"/>
      <x:c r="D936" s="44"/>
      <x:c r="E936" s="44"/>
      <x:c r="F936" s="45"/>
      <x:c r="G936" s="44"/>
      <x:c r="H936" s="45"/>
      <x:c r="I936" s="45"/>
      <x:c r="J936" s="46"/>
      <x:c r="K936" s="46"/>
      <x:c r="L936" s="41"/>
      <x:c r="M936" s="41"/>
      <x:c r="N936" s="41"/>
      <x:c r="O936" s="41"/>
      <x:c r="P936" s="41"/>
      <x:c r="Q936" s="41"/>
      <x:c r="R936" s="41"/>
      <x:c r="S936" s="41"/>
      <x:c r="T936" s="41"/>
      <x:c r="U936" s="41"/>
      <x:c r="V936" s="41"/>
      <x:c r="W936" s="41"/>
      <x:c r="X936" s="41"/>
      <x:c r="Y936" s="41"/>
      <x:c r="Z936" s="41"/>
    </x:row>
    <x:row r="937">
      <x:c r="A937" s="44"/>
      <x:c r="B937" s="44"/>
      <x:c r="C937" s="44"/>
      <x:c r="D937" s="44"/>
      <x:c r="E937" s="44"/>
      <x:c r="F937" s="45"/>
      <x:c r="G937" s="44"/>
      <x:c r="H937" s="45"/>
      <x:c r="I937" s="45"/>
      <x:c r="J937" s="46"/>
      <x:c r="K937" s="46"/>
      <x:c r="L937" s="41"/>
      <x:c r="M937" s="41"/>
      <x:c r="N937" s="41"/>
      <x:c r="O937" s="41"/>
      <x:c r="P937" s="41"/>
      <x:c r="Q937" s="41"/>
      <x:c r="R937" s="41"/>
      <x:c r="S937" s="41"/>
      <x:c r="T937" s="41"/>
      <x:c r="U937" s="41"/>
      <x:c r="V937" s="41"/>
      <x:c r="W937" s="41"/>
      <x:c r="X937" s="41"/>
      <x:c r="Y937" s="41"/>
      <x:c r="Z937" s="41"/>
    </x:row>
    <x:row r="938">
      <x:c r="A938" s="44"/>
      <x:c r="B938" s="44"/>
      <x:c r="C938" s="44"/>
      <x:c r="D938" s="44"/>
      <x:c r="E938" s="44"/>
      <x:c r="F938" s="45"/>
      <x:c r="G938" s="44"/>
      <x:c r="H938" s="45"/>
      <x:c r="I938" s="45"/>
      <x:c r="J938" s="46"/>
      <x:c r="K938" s="46"/>
      <x:c r="L938" s="41"/>
      <x:c r="M938" s="41"/>
      <x:c r="N938" s="41"/>
      <x:c r="O938" s="41"/>
      <x:c r="P938" s="41"/>
      <x:c r="Q938" s="41"/>
      <x:c r="R938" s="41"/>
      <x:c r="S938" s="41"/>
      <x:c r="T938" s="41"/>
      <x:c r="U938" s="41"/>
      <x:c r="V938" s="41"/>
      <x:c r="W938" s="41"/>
      <x:c r="X938" s="41"/>
      <x:c r="Y938" s="41"/>
      <x:c r="Z938" s="41"/>
    </x:row>
    <x:row r="939">
      <x:c r="A939" s="44"/>
      <x:c r="B939" s="44"/>
      <x:c r="C939" s="44"/>
      <x:c r="D939" s="44"/>
      <x:c r="E939" s="44"/>
      <x:c r="F939" s="45"/>
      <x:c r="G939" s="44"/>
      <x:c r="H939" s="45"/>
      <x:c r="I939" s="45"/>
      <x:c r="J939" s="46"/>
      <x:c r="K939" s="46"/>
      <x:c r="L939" s="41"/>
      <x:c r="M939" s="41"/>
      <x:c r="N939" s="41"/>
      <x:c r="O939" s="41"/>
      <x:c r="P939" s="41"/>
      <x:c r="Q939" s="41"/>
      <x:c r="R939" s="41"/>
      <x:c r="S939" s="41"/>
      <x:c r="T939" s="41"/>
      <x:c r="U939" s="41"/>
      <x:c r="V939" s="41"/>
      <x:c r="W939" s="41"/>
      <x:c r="X939" s="41"/>
      <x:c r="Y939" s="41"/>
      <x:c r="Z939" s="41"/>
    </x:row>
    <x:row r="940">
      <x:c r="A940" s="44"/>
      <x:c r="B940" s="44"/>
      <x:c r="C940" s="44"/>
      <x:c r="D940" s="44"/>
      <x:c r="E940" s="44"/>
      <x:c r="F940" s="45"/>
      <x:c r="G940" s="44"/>
      <x:c r="H940" s="45"/>
      <x:c r="I940" s="45"/>
      <x:c r="J940" s="46"/>
      <x:c r="K940" s="46"/>
      <x:c r="L940" s="41"/>
      <x:c r="M940" s="41"/>
      <x:c r="N940" s="41"/>
      <x:c r="O940" s="41"/>
      <x:c r="P940" s="41"/>
      <x:c r="Q940" s="41"/>
      <x:c r="R940" s="41"/>
      <x:c r="S940" s="41"/>
      <x:c r="T940" s="41"/>
      <x:c r="U940" s="41"/>
      <x:c r="V940" s="41"/>
      <x:c r="W940" s="41"/>
      <x:c r="X940" s="41"/>
      <x:c r="Y940" s="41"/>
      <x:c r="Z940" s="41"/>
    </x:row>
    <x:row r="941">
      <x:c r="A941" s="44"/>
      <x:c r="B941" s="44"/>
      <x:c r="C941" s="44"/>
      <x:c r="D941" s="44"/>
      <x:c r="E941" s="44"/>
      <x:c r="F941" s="45"/>
      <x:c r="G941" s="44"/>
      <x:c r="H941" s="45"/>
      <x:c r="I941" s="45"/>
      <x:c r="J941" s="46"/>
      <x:c r="K941" s="46"/>
      <x:c r="L941" s="41"/>
      <x:c r="M941" s="41"/>
      <x:c r="N941" s="41"/>
      <x:c r="O941" s="41"/>
      <x:c r="P941" s="41"/>
      <x:c r="Q941" s="41"/>
      <x:c r="R941" s="41"/>
      <x:c r="S941" s="41"/>
      <x:c r="T941" s="41"/>
      <x:c r="U941" s="41"/>
      <x:c r="V941" s="41"/>
      <x:c r="W941" s="41"/>
      <x:c r="X941" s="41"/>
      <x:c r="Y941" s="41"/>
      <x:c r="Z941" s="41"/>
    </x:row>
    <x:row r="942">
      <x:c r="A942" s="44"/>
      <x:c r="B942" s="44"/>
      <x:c r="C942" s="44"/>
      <x:c r="D942" s="44"/>
      <x:c r="E942" s="44"/>
      <x:c r="F942" s="45"/>
      <x:c r="G942" s="44"/>
      <x:c r="H942" s="45"/>
      <x:c r="I942" s="45"/>
      <x:c r="J942" s="46"/>
      <x:c r="K942" s="46"/>
      <x:c r="L942" s="41"/>
      <x:c r="M942" s="41"/>
      <x:c r="N942" s="41"/>
      <x:c r="O942" s="41"/>
      <x:c r="P942" s="41"/>
      <x:c r="Q942" s="41"/>
      <x:c r="R942" s="41"/>
      <x:c r="S942" s="41"/>
      <x:c r="T942" s="41"/>
      <x:c r="U942" s="41"/>
      <x:c r="V942" s="41"/>
      <x:c r="W942" s="41"/>
      <x:c r="X942" s="41"/>
      <x:c r="Y942" s="41"/>
      <x:c r="Z942" s="41"/>
    </x:row>
    <x:row r="943">
      <x:c r="A943" s="44"/>
      <x:c r="B943" s="44"/>
      <x:c r="C943" s="44"/>
      <x:c r="D943" s="44"/>
      <x:c r="E943" s="44"/>
      <x:c r="F943" s="45"/>
      <x:c r="G943" s="44"/>
      <x:c r="H943" s="45"/>
      <x:c r="I943" s="45"/>
      <x:c r="J943" s="46"/>
      <x:c r="K943" s="46"/>
      <x:c r="L943" s="41"/>
      <x:c r="M943" s="41"/>
      <x:c r="N943" s="41"/>
      <x:c r="O943" s="41"/>
      <x:c r="P943" s="41"/>
      <x:c r="Q943" s="41"/>
      <x:c r="R943" s="41"/>
      <x:c r="S943" s="41"/>
      <x:c r="T943" s="41"/>
      <x:c r="U943" s="41"/>
      <x:c r="V943" s="41"/>
      <x:c r="W943" s="41"/>
      <x:c r="X943" s="41"/>
      <x:c r="Y943" s="41"/>
      <x:c r="Z943" s="41"/>
    </x:row>
    <x:row r="944">
      <x:c r="A944" s="44"/>
      <x:c r="B944" s="44"/>
      <x:c r="C944" s="44"/>
      <x:c r="D944" s="44"/>
      <x:c r="E944" s="44"/>
      <x:c r="F944" s="45"/>
      <x:c r="G944" s="44"/>
      <x:c r="H944" s="45"/>
      <x:c r="I944" s="45"/>
      <x:c r="J944" s="46"/>
      <x:c r="K944" s="46"/>
      <x:c r="L944" s="41"/>
      <x:c r="M944" s="41"/>
      <x:c r="N944" s="41"/>
      <x:c r="O944" s="41"/>
      <x:c r="P944" s="41"/>
      <x:c r="Q944" s="41"/>
      <x:c r="R944" s="41"/>
      <x:c r="S944" s="41"/>
      <x:c r="T944" s="41"/>
      <x:c r="U944" s="41"/>
      <x:c r="V944" s="41"/>
      <x:c r="W944" s="41"/>
      <x:c r="X944" s="41"/>
      <x:c r="Y944" s="41"/>
      <x:c r="Z944" s="41"/>
    </x:row>
    <x:row r="945">
      <x:c r="A945" s="44"/>
      <x:c r="B945" s="44"/>
      <x:c r="C945" s="44"/>
      <x:c r="D945" s="44"/>
      <x:c r="E945" s="44"/>
      <x:c r="F945" s="45"/>
      <x:c r="G945" s="44"/>
      <x:c r="H945" s="45"/>
      <x:c r="I945" s="45"/>
      <x:c r="J945" s="46"/>
      <x:c r="K945" s="46"/>
      <x:c r="L945" s="41"/>
      <x:c r="M945" s="41"/>
      <x:c r="N945" s="41"/>
      <x:c r="O945" s="41"/>
      <x:c r="P945" s="41"/>
      <x:c r="Q945" s="41"/>
      <x:c r="R945" s="41"/>
      <x:c r="S945" s="41"/>
      <x:c r="T945" s="41"/>
      <x:c r="U945" s="41"/>
      <x:c r="V945" s="41"/>
      <x:c r="W945" s="41"/>
      <x:c r="X945" s="41"/>
      <x:c r="Y945" s="41"/>
      <x:c r="Z945" s="41"/>
    </x:row>
    <x:row r="946">
      <x:c r="A946" s="44"/>
      <x:c r="B946" s="44"/>
      <x:c r="C946" s="44"/>
      <x:c r="D946" s="44"/>
      <x:c r="E946" s="44"/>
      <x:c r="F946" s="45"/>
      <x:c r="G946" s="44"/>
      <x:c r="H946" s="45"/>
      <x:c r="I946" s="45"/>
      <x:c r="J946" s="46"/>
      <x:c r="K946" s="46"/>
      <x:c r="L946" s="41"/>
      <x:c r="M946" s="41"/>
      <x:c r="N946" s="41"/>
      <x:c r="O946" s="41"/>
      <x:c r="P946" s="41"/>
      <x:c r="Q946" s="41"/>
      <x:c r="R946" s="41"/>
      <x:c r="S946" s="41"/>
      <x:c r="T946" s="41"/>
      <x:c r="U946" s="41"/>
      <x:c r="V946" s="41"/>
      <x:c r="W946" s="41"/>
      <x:c r="X946" s="41"/>
      <x:c r="Y946" s="41"/>
      <x:c r="Z946" s="41"/>
    </x:row>
    <x:row r="947">
      <x:c r="A947" s="44"/>
      <x:c r="B947" s="44"/>
      <x:c r="C947" s="44"/>
      <x:c r="D947" s="44"/>
      <x:c r="E947" s="44"/>
      <x:c r="F947" s="45"/>
      <x:c r="G947" s="44"/>
      <x:c r="H947" s="45"/>
      <x:c r="I947" s="45"/>
      <x:c r="J947" s="46"/>
      <x:c r="K947" s="46"/>
      <x:c r="L947" s="41"/>
      <x:c r="M947" s="41"/>
      <x:c r="N947" s="41"/>
      <x:c r="O947" s="41"/>
      <x:c r="P947" s="41"/>
      <x:c r="Q947" s="41"/>
      <x:c r="R947" s="41"/>
      <x:c r="S947" s="41"/>
      <x:c r="T947" s="41"/>
      <x:c r="U947" s="41"/>
      <x:c r="V947" s="41"/>
      <x:c r="W947" s="41"/>
      <x:c r="X947" s="41"/>
      <x:c r="Y947" s="41"/>
      <x:c r="Z947" s="41"/>
    </x:row>
    <x:row r="948">
      <x:c r="A948" s="44"/>
      <x:c r="B948" s="44"/>
      <x:c r="C948" s="44"/>
      <x:c r="D948" s="44"/>
      <x:c r="E948" s="44"/>
      <x:c r="F948" s="45"/>
      <x:c r="G948" s="44"/>
      <x:c r="H948" s="45"/>
      <x:c r="I948" s="45"/>
      <x:c r="J948" s="46"/>
      <x:c r="K948" s="46"/>
      <x:c r="L948" s="41"/>
      <x:c r="M948" s="41"/>
      <x:c r="N948" s="41"/>
      <x:c r="O948" s="41"/>
      <x:c r="P948" s="41"/>
      <x:c r="Q948" s="41"/>
      <x:c r="R948" s="41"/>
      <x:c r="S948" s="41"/>
      <x:c r="T948" s="41"/>
      <x:c r="U948" s="41"/>
      <x:c r="V948" s="41"/>
      <x:c r="W948" s="41"/>
      <x:c r="X948" s="41"/>
      <x:c r="Y948" s="41"/>
      <x:c r="Z948" s="41"/>
    </x:row>
    <x:row r="949">
      <x:c r="A949" s="44"/>
      <x:c r="B949" s="44"/>
      <x:c r="C949" s="44"/>
      <x:c r="D949" s="44"/>
      <x:c r="E949" s="44"/>
      <x:c r="F949" s="45"/>
      <x:c r="G949" s="44"/>
      <x:c r="H949" s="45"/>
      <x:c r="I949" s="45"/>
      <x:c r="J949" s="46"/>
      <x:c r="K949" s="46"/>
      <x:c r="L949" s="41"/>
      <x:c r="M949" s="41"/>
      <x:c r="N949" s="41"/>
      <x:c r="O949" s="41"/>
      <x:c r="P949" s="41"/>
      <x:c r="Q949" s="41"/>
      <x:c r="R949" s="41"/>
      <x:c r="S949" s="41"/>
      <x:c r="T949" s="41"/>
      <x:c r="U949" s="41"/>
      <x:c r="V949" s="41"/>
      <x:c r="W949" s="41"/>
      <x:c r="X949" s="41"/>
      <x:c r="Y949" s="41"/>
      <x:c r="Z949" s="41"/>
    </x:row>
    <x:row r="950">
      <x:c r="A950" s="44"/>
      <x:c r="B950" s="44"/>
      <x:c r="C950" s="44"/>
      <x:c r="D950" s="44"/>
      <x:c r="E950" s="44"/>
      <x:c r="F950" s="45"/>
      <x:c r="G950" s="44"/>
      <x:c r="H950" s="45"/>
      <x:c r="I950" s="45"/>
      <x:c r="J950" s="46"/>
      <x:c r="K950" s="46"/>
      <x:c r="L950" s="41"/>
      <x:c r="M950" s="41"/>
      <x:c r="N950" s="41"/>
      <x:c r="O950" s="41"/>
      <x:c r="P950" s="41"/>
      <x:c r="Q950" s="41"/>
      <x:c r="R950" s="41"/>
      <x:c r="S950" s="41"/>
      <x:c r="T950" s="41"/>
      <x:c r="U950" s="41"/>
      <x:c r="V950" s="41"/>
      <x:c r="W950" s="41"/>
      <x:c r="X950" s="41"/>
      <x:c r="Y950" s="41"/>
      <x:c r="Z950" s="41"/>
    </x:row>
    <x:row r="951">
      <x:c r="A951" s="44"/>
      <x:c r="B951" s="44"/>
      <x:c r="C951" s="44"/>
      <x:c r="D951" s="44"/>
      <x:c r="E951" s="44"/>
      <x:c r="F951" s="45"/>
      <x:c r="G951" s="44"/>
      <x:c r="H951" s="45"/>
      <x:c r="I951" s="45"/>
      <x:c r="J951" s="46"/>
      <x:c r="K951" s="46"/>
      <x:c r="L951" s="41"/>
      <x:c r="M951" s="41"/>
      <x:c r="N951" s="41"/>
      <x:c r="O951" s="41"/>
      <x:c r="P951" s="41"/>
      <x:c r="Q951" s="41"/>
      <x:c r="R951" s="41"/>
      <x:c r="S951" s="41"/>
      <x:c r="T951" s="41"/>
      <x:c r="U951" s="41"/>
      <x:c r="V951" s="41"/>
      <x:c r="W951" s="41"/>
      <x:c r="X951" s="41"/>
      <x:c r="Y951" s="41"/>
      <x:c r="Z951" s="41"/>
    </x:row>
    <x:row r="952">
      <x:c r="A952" s="44"/>
      <x:c r="B952" s="44"/>
      <x:c r="C952" s="44"/>
      <x:c r="D952" s="44"/>
      <x:c r="E952" s="44"/>
      <x:c r="F952" s="45"/>
      <x:c r="G952" s="44"/>
      <x:c r="H952" s="45"/>
      <x:c r="I952" s="45"/>
      <x:c r="J952" s="46"/>
      <x:c r="K952" s="46"/>
      <x:c r="L952" s="41"/>
      <x:c r="M952" s="41"/>
      <x:c r="N952" s="41"/>
      <x:c r="O952" s="41"/>
      <x:c r="P952" s="41"/>
      <x:c r="Q952" s="41"/>
      <x:c r="R952" s="41"/>
      <x:c r="S952" s="41"/>
      <x:c r="T952" s="41"/>
      <x:c r="U952" s="41"/>
      <x:c r="V952" s="41"/>
      <x:c r="W952" s="41"/>
      <x:c r="X952" s="41"/>
      <x:c r="Y952" s="41"/>
      <x:c r="Z952" s="41"/>
    </x:row>
    <x:row r="953">
      <x:c r="A953" s="44"/>
      <x:c r="B953" s="44"/>
      <x:c r="C953" s="44"/>
      <x:c r="D953" s="44"/>
      <x:c r="E953" s="44"/>
      <x:c r="F953" s="45"/>
      <x:c r="G953" s="44"/>
      <x:c r="H953" s="45"/>
      <x:c r="I953" s="45"/>
      <x:c r="J953" s="46"/>
      <x:c r="K953" s="46"/>
      <x:c r="L953" s="41"/>
      <x:c r="M953" s="41"/>
      <x:c r="N953" s="41"/>
      <x:c r="O953" s="41"/>
      <x:c r="P953" s="41"/>
      <x:c r="Q953" s="41"/>
      <x:c r="R953" s="41"/>
      <x:c r="S953" s="41"/>
      <x:c r="T953" s="41"/>
      <x:c r="U953" s="41"/>
      <x:c r="V953" s="41"/>
      <x:c r="W953" s="41"/>
      <x:c r="X953" s="41"/>
      <x:c r="Y953" s="41"/>
      <x:c r="Z953" s="41"/>
    </x:row>
    <x:row r="954">
      <x:c r="A954" s="44"/>
      <x:c r="B954" s="44"/>
      <x:c r="C954" s="44"/>
      <x:c r="D954" s="44"/>
      <x:c r="E954" s="44"/>
      <x:c r="F954" s="45"/>
      <x:c r="G954" s="44"/>
      <x:c r="H954" s="45"/>
      <x:c r="I954" s="45"/>
      <x:c r="J954" s="46"/>
      <x:c r="K954" s="46"/>
      <x:c r="L954" s="41"/>
      <x:c r="M954" s="41"/>
      <x:c r="N954" s="41"/>
      <x:c r="O954" s="41"/>
      <x:c r="P954" s="41"/>
      <x:c r="Q954" s="41"/>
      <x:c r="R954" s="41"/>
      <x:c r="S954" s="41"/>
      <x:c r="T954" s="41"/>
      <x:c r="U954" s="41"/>
      <x:c r="V954" s="41"/>
      <x:c r="W954" s="41"/>
      <x:c r="X954" s="41"/>
      <x:c r="Y954" s="41"/>
      <x:c r="Z954" s="41"/>
    </x:row>
    <x:row r="955">
      <x:c r="A955" s="44"/>
      <x:c r="B955" s="44"/>
      <x:c r="C955" s="44"/>
      <x:c r="D955" s="44"/>
      <x:c r="E955" s="44"/>
      <x:c r="F955" s="45"/>
      <x:c r="G955" s="44"/>
      <x:c r="H955" s="45"/>
      <x:c r="I955" s="45"/>
      <x:c r="J955" s="46"/>
      <x:c r="K955" s="46"/>
      <x:c r="L955" s="41"/>
      <x:c r="M955" s="41"/>
      <x:c r="N955" s="41"/>
      <x:c r="O955" s="41"/>
      <x:c r="P955" s="41"/>
      <x:c r="Q955" s="41"/>
      <x:c r="R955" s="41"/>
      <x:c r="S955" s="41"/>
      <x:c r="T955" s="41"/>
      <x:c r="U955" s="41"/>
      <x:c r="V955" s="41"/>
      <x:c r="W955" s="41"/>
      <x:c r="X955" s="41"/>
      <x:c r="Y955" s="41"/>
      <x:c r="Z955" s="41"/>
    </x:row>
    <x:row r="956">
      <x:c r="A956" s="44"/>
      <x:c r="B956" s="44"/>
      <x:c r="C956" s="44"/>
      <x:c r="D956" s="44"/>
      <x:c r="E956" s="44"/>
      <x:c r="F956" s="45"/>
      <x:c r="G956" s="44"/>
      <x:c r="H956" s="45"/>
      <x:c r="I956" s="45"/>
      <x:c r="J956" s="46"/>
      <x:c r="K956" s="46"/>
      <x:c r="L956" s="41"/>
      <x:c r="M956" s="41"/>
      <x:c r="N956" s="41"/>
      <x:c r="O956" s="41"/>
      <x:c r="P956" s="41"/>
      <x:c r="Q956" s="41"/>
      <x:c r="R956" s="41"/>
      <x:c r="S956" s="41"/>
      <x:c r="T956" s="41"/>
      <x:c r="U956" s="41"/>
      <x:c r="V956" s="41"/>
      <x:c r="W956" s="41"/>
      <x:c r="X956" s="41"/>
      <x:c r="Y956" s="41"/>
      <x:c r="Z956" s="41"/>
    </x:row>
    <x:row r="957">
      <x:c r="A957" s="44"/>
      <x:c r="B957" s="44"/>
      <x:c r="C957" s="44"/>
      <x:c r="D957" s="44"/>
      <x:c r="E957" s="44"/>
      <x:c r="F957" s="45"/>
      <x:c r="G957" s="44"/>
      <x:c r="H957" s="45"/>
      <x:c r="I957" s="45"/>
      <x:c r="J957" s="46"/>
      <x:c r="K957" s="46"/>
      <x:c r="L957" s="41"/>
      <x:c r="M957" s="41"/>
      <x:c r="N957" s="41"/>
      <x:c r="O957" s="41"/>
      <x:c r="P957" s="41"/>
      <x:c r="Q957" s="41"/>
      <x:c r="R957" s="41"/>
      <x:c r="S957" s="41"/>
      <x:c r="T957" s="41"/>
      <x:c r="U957" s="41"/>
      <x:c r="V957" s="41"/>
      <x:c r="W957" s="41"/>
      <x:c r="X957" s="41"/>
      <x:c r="Y957" s="41"/>
      <x:c r="Z957" s="41"/>
    </x:row>
    <x:row r="958">
      <x:c r="A958" s="44"/>
      <x:c r="B958" s="44"/>
      <x:c r="C958" s="44"/>
      <x:c r="D958" s="44"/>
      <x:c r="E958" s="44"/>
      <x:c r="F958" s="45"/>
      <x:c r="G958" s="44"/>
      <x:c r="H958" s="45"/>
      <x:c r="I958" s="45"/>
      <x:c r="J958" s="46"/>
      <x:c r="K958" s="46"/>
      <x:c r="L958" s="41"/>
      <x:c r="M958" s="41"/>
      <x:c r="N958" s="41"/>
      <x:c r="O958" s="41"/>
      <x:c r="P958" s="41"/>
      <x:c r="Q958" s="41"/>
      <x:c r="R958" s="41"/>
      <x:c r="S958" s="41"/>
      <x:c r="T958" s="41"/>
      <x:c r="U958" s="41"/>
      <x:c r="V958" s="41"/>
      <x:c r="W958" s="41"/>
      <x:c r="X958" s="41"/>
      <x:c r="Y958" s="41"/>
      <x:c r="Z958" s="41"/>
    </x:row>
    <x:row r="959">
      <x:c r="A959" s="44"/>
      <x:c r="B959" s="44"/>
      <x:c r="C959" s="44"/>
      <x:c r="D959" s="44"/>
      <x:c r="E959" s="44"/>
      <x:c r="F959" s="45"/>
      <x:c r="G959" s="44"/>
      <x:c r="H959" s="45"/>
      <x:c r="I959" s="45"/>
      <x:c r="J959" s="46"/>
      <x:c r="K959" s="46"/>
      <x:c r="L959" s="41"/>
      <x:c r="M959" s="41"/>
      <x:c r="N959" s="41"/>
      <x:c r="O959" s="41"/>
      <x:c r="P959" s="41"/>
      <x:c r="Q959" s="41"/>
      <x:c r="R959" s="41"/>
      <x:c r="S959" s="41"/>
      <x:c r="T959" s="41"/>
      <x:c r="U959" s="41"/>
      <x:c r="V959" s="41"/>
      <x:c r="W959" s="41"/>
      <x:c r="X959" s="41"/>
      <x:c r="Y959" s="41"/>
      <x:c r="Z959" s="41"/>
    </x:row>
    <x:row r="960">
      <x:c r="A960" s="44"/>
      <x:c r="B960" s="44"/>
      <x:c r="C960" s="44"/>
      <x:c r="D960" s="44"/>
      <x:c r="E960" s="44"/>
      <x:c r="F960" s="45"/>
      <x:c r="G960" s="44"/>
      <x:c r="H960" s="45"/>
      <x:c r="I960" s="45"/>
      <x:c r="J960" s="46"/>
      <x:c r="K960" s="46"/>
      <x:c r="L960" s="41"/>
      <x:c r="M960" s="41"/>
      <x:c r="N960" s="41"/>
      <x:c r="O960" s="41"/>
      <x:c r="P960" s="41"/>
      <x:c r="Q960" s="41"/>
      <x:c r="R960" s="41"/>
      <x:c r="S960" s="41"/>
      <x:c r="T960" s="41"/>
      <x:c r="U960" s="41"/>
      <x:c r="V960" s="41"/>
      <x:c r="W960" s="41"/>
      <x:c r="X960" s="41"/>
      <x:c r="Y960" s="41"/>
      <x:c r="Z960" s="41"/>
    </x:row>
    <x:row r="961">
      <x:c r="A961" s="44"/>
      <x:c r="B961" s="44"/>
      <x:c r="C961" s="44"/>
      <x:c r="D961" s="44"/>
      <x:c r="E961" s="44"/>
      <x:c r="F961" s="45"/>
      <x:c r="G961" s="44"/>
      <x:c r="H961" s="45"/>
      <x:c r="I961" s="45"/>
      <x:c r="J961" s="46"/>
      <x:c r="K961" s="46"/>
      <x:c r="L961" s="41"/>
      <x:c r="M961" s="41"/>
      <x:c r="N961" s="41"/>
      <x:c r="O961" s="41"/>
      <x:c r="P961" s="41"/>
      <x:c r="Q961" s="41"/>
      <x:c r="R961" s="41"/>
      <x:c r="S961" s="41"/>
      <x:c r="T961" s="41"/>
      <x:c r="U961" s="41"/>
      <x:c r="V961" s="41"/>
      <x:c r="W961" s="41"/>
      <x:c r="X961" s="41"/>
      <x:c r="Y961" s="41"/>
      <x:c r="Z961" s="41"/>
    </x:row>
    <x:row r="962">
      <x:c r="A962" s="44"/>
      <x:c r="B962" s="44"/>
      <x:c r="C962" s="44"/>
      <x:c r="D962" s="44"/>
      <x:c r="E962" s="44"/>
      <x:c r="F962" s="45"/>
      <x:c r="G962" s="44"/>
      <x:c r="H962" s="45"/>
      <x:c r="I962" s="45"/>
      <x:c r="J962" s="46"/>
      <x:c r="K962" s="46"/>
      <x:c r="L962" s="41"/>
      <x:c r="M962" s="41"/>
      <x:c r="N962" s="41"/>
      <x:c r="O962" s="41"/>
      <x:c r="P962" s="41"/>
      <x:c r="Q962" s="41"/>
      <x:c r="R962" s="41"/>
      <x:c r="S962" s="41"/>
      <x:c r="T962" s="41"/>
      <x:c r="U962" s="41"/>
      <x:c r="V962" s="41"/>
      <x:c r="W962" s="41"/>
      <x:c r="X962" s="41"/>
      <x:c r="Y962" s="41"/>
      <x:c r="Z962" s="41"/>
    </x:row>
    <x:row r="963">
      <x:c r="A963" s="44"/>
      <x:c r="B963" s="44"/>
      <x:c r="C963" s="44"/>
      <x:c r="D963" s="44"/>
      <x:c r="E963" s="44"/>
      <x:c r="F963" s="45"/>
      <x:c r="G963" s="44"/>
      <x:c r="H963" s="45"/>
      <x:c r="I963" s="45"/>
      <x:c r="J963" s="46"/>
      <x:c r="K963" s="46"/>
      <x:c r="L963" s="41"/>
      <x:c r="M963" s="41"/>
      <x:c r="N963" s="41"/>
      <x:c r="O963" s="41"/>
      <x:c r="P963" s="41"/>
      <x:c r="Q963" s="41"/>
      <x:c r="R963" s="41"/>
      <x:c r="S963" s="41"/>
      <x:c r="T963" s="41"/>
      <x:c r="U963" s="41"/>
      <x:c r="V963" s="41"/>
      <x:c r="W963" s="41"/>
      <x:c r="X963" s="41"/>
      <x:c r="Y963" s="41"/>
      <x:c r="Z963" s="41"/>
    </x:row>
    <x:row r="964">
      <x:c r="A964" s="44"/>
      <x:c r="B964" s="44"/>
      <x:c r="C964" s="44"/>
      <x:c r="D964" s="44"/>
      <x:c r="E964" s="44"/>
      <x:c r="F964" s="45"/>
      <x:c r="G964" s="44"/>
      <x:c r="H964" s="45"/>
      <x:c r="I964" s="45"/>
      <x:c r="J964" s="46"/>
      <x:c r="K964" s="46"/>
      <x:c r="L964" s="41"/>
      <x:c r="M964" s="41"/>
      <x:c r="N964" s="41"/>
      <x:c r="O964" s="41"/>
      <x:c r="P964" s="41"/>
      <x:c r="Q964" s="41"/>
      <x:c r="R964" s="41"/>
      <x:c r="S964" s="41"/>
      <x:c r="T964" s="41"/>
      <x:c r="U964" s="41"/>
      <x:c r="V964" s="41"/>
      <x:c r="W964" s="41"/>
      <x:c r="X964" s="41"/>
      <x:c r="Y964" s="41"/>
      <x:c r="Z964" s="41"/>
    </x:row>
    <x:row r="965">
      <x:c r="A965" s="44"/>
      <x:c r="B965" s="44"/>
      <x:c r="C965" s="44"/>
      <x:c r="D965" s="44"/>
      <x:c r="E965" s="44"/>
      <x:c r="F965" s="45"/>
      <x:c r="G965" s="44"/>
      <x:c r="H965" s="45"/>
      <x:c r="I965" s="45"/>
      <x:c r="J965" s="46"/>
      <x:c r="K965" s="46"/>
      <x:c r="L965" s="41"/>
      <x:c r="M965" s="41"/>
      <x:c r="N965" s="41"/>
      <x:c r="O965" s="41"/>
      <x:c r="P965" s="41"/>
      <x:c r="Q965" s="41"/>
      <x:c r="R965" s="41"/>
      <x:c r="S965" s="41"/>
      <x:c r="T965" s="41"/>
      <x:c r="U965" s="41"/>
      <x:c r="V965" s="41"/>
      <x:c r="W965" s="41"/>
      <x:c r="X965" s="41"/>
      <x:c r="Y965" s="41"/>
      <x:c r="Z965" s="41"/>
    </x:row>
    <x:row r="966">
      <x:c r="A966" s="44"/>
      <x:c r="B966" s="44"/>
      <x:c r="C966" s="44"/>
      <x:c r="D966" s="44"/>
      <x:c r="E966" s="44"/>
      <x:c r="F966" s="45"/>
      <x:c r="G966" s="44"/>
      <x:c r="H966" s="45"/>
      <x:c r="I966" s="45"/>
      <x:c r="J966" s="46"/>
      <x:c r="K966" s="46"/>
      <x:c r="L966" s="41"/>
      <x:c r="M966" s="41"/>
      <x:c r="N966" s="41"/>
      <x:c r="O966" s="41"/>
      <x:c r="P966" s="41"/>
      <x:c r="Q966" s="41"/>
      <x:c r="R966" s="41"/>
      <x:c r="S966" s="41"/>
      <x:c r="T966" s="41"/>
      <x:c r="U966" s="41"/>
      <x:c r="V966" s="41"/>
      <x:c r="W966" s="41"/>
      <x:c r="X966" s="41"/>
      <x:c r="Y966" s="41"/>
      <x:c r="Z966" s="41"/>
    </x:row>
    <x:row r="967">
      <x:c r="A967" s="44"/>
      <x:c r="B967" s="44"/>
      <x:c r="C967" s="44"/>
      <x:c r="D967" s="44"/>
      <x:c r="E967" s="44"/>
      <x:c r="F967" s="45"/>
      <x:c r="G967" s="44"/>
      <x:c r="H967" s="45"/>
      <x:c r="I967" s="45"/>
      <x:c r="J967" s="46"/>
      <x:c r="K967" s="46"/>
      <x:c r="L967" s="41"/>
      <x:c r="M967" s="41"/>
      <x:c r="N967" s="41"/>
      <x:c r="O967" s="41"/>
      <x:c r="P967" s="41"/>
      <x:c r="Q967" s="41"/>
      <x:c r="R967" s="41"/>
      <x:c r="S967" s="41"/>
      <x:c r="T967" s="41"/>
      <x:c r="U967" s="41"/>
      <x:c r="V967" s="41"/>
      <x:c r="W967" s="41"/>
      <x:c r="X967" s="41"/>
      <x:c r="Y967" s="41"/>
      <x:c r="Z967" s="41"/>
    </x:row>
    <x:row r="968">
      <x:c r="A968" s="44"/>
      <x:c r="B968" s="44"/>
      <x:c r="C968" s="44"/>
      <x:c r="D968" s="44"/>
      <x:c r="E968" s="44"/>
      <x:c r="F968" s="45"/>
      <x:c r="G968" s="44"/>
      <x:c r="H968" s="45"/>
      <x:c r="I968" s="45"/>
      <x:c r="J968" s="46"/>
      <x:c r="K968" s="46"/>
      <x:c r="L968" s="41"/>
      <x:c r="M968" s="41"/>
      <x:c r="N968" s="41"/>
      <x:c r="O968" s="41"/>
      <x:c r="P968" s="41"/>
      <x:c r="Q968" s="41"/>
      <x:c r="R968" s="41"/>
      <x:c r="S968" s="41"/>
      <x:c r="T968" s="41"/>
      <x:c r="U968" s="41"/>
      <x:c r="V968" s="41"/>
      <x:c r="W968" s="41"/>
      <x:c r="X968" s="41"/>
      <x:c r="Y968" s="41"/>
      <x:c r="Z968" s="41"/>
    </x:row>
    <x:row r="969">
      <x:c r="A969" s="44"/>
      <x:c r="B969" s="44"/>
      <x:c r="C969" s="44"/>
      <x:c r="D969" s="44"/>
      <x:c r="E969" s="44"/>
      <x:c r="F969" s="45"/>
      <x:c r="G969" s="44"/>
      <x:c r="H969" s="45"/>
      <x:c r="I969" s="45"/>
      <x:c r="J969" s="46"/>
      <x:c r="K969" s="46"/>
      <x:c r="L969" s="41"/>
      <x:c r="M969" s="41"/>
      <x:c r="N969" s="41"/>
      <x:c r="O969" s="41"/>
      <x:c r="P969" s="41"/>
      <x:c r="Q969" s="41"/>
      <x:c r="R969" s="41"/>
      <x:c r="S969" s="41"/>
      <x:c r="T969" s="41"/>
      <x:c r="U969" s="41"/>
      <x:c r="V969" s="41"/>
      <x:c r="W969" s="41"/>
      <x:c r="X969" s="41"/>
      <x:c r="Y969" s="41"/>
      <x:c r="Z969" s="41"/>
    </x:row>
    <x:row r="970">
      <x:c r="A970" s="44"/>
      <x:c r="B970" s="44"/>
      <x:c r="C970" s="44"/>
      <x:c r="D970" s="44"/>
      <x:c r="E970" s="44"/>
      <x:c r="F970" s="45"/>
      <x:c r="G970" s="44"/>
      <x:c r="H970" s="45"/>
      <x:c r="I970" s="45"/>
      <x:c r="J970" s="46"/>
      <x:c r="K970" s="46"/>
      <x:c r="L970" s="41"/>
      <x:c r="M970" s="41"/>
      <x:c r="N970" s="41"/>
      <x:c r="O970" s="41"/>
      <x:c r="P970" s="41"/>
      <x:c r="Q970" s="41"/>
      <x:c r="R970" s="41"/>
      <x:c r="S970" s="41"/>
      <x:c r="T970" s="41"/>
      <x:c r="U970" s="41"/>
      <x:c r="V970" s="41"/>
      <x:c r="W970" s="41"/>
      <x:c r="X970" s="41"/>
      <x:c r="Y970" s="41"/>
      <x:c r="Z970" s="41"/>
    </x:row>
    <x:row r="971">
      <x:c r="A971" s="44"/>
      <x:c r="B971" s="44"/>
      <x:c r="C971" s="44"/>
      <x:c r="D971" s="44"/>
      <x:c r="E971" s="44"/>
      <x:c r="F971" s="45"/>
      <x:c r="G971" s="44"/>
      <x:c r="H971" s="45"/>
      <x:c r="I971" s="45"/>
      <x:c r="J971" s="46"/>
      <x:c r="K971" s="46"/>
      <x:c r="L971" s="41"/>
      <x:c r="M971" s="41"/>
      <x:c r="N971" s="41"/>
      <x:c r="O971" s="41"/>
      <x:c r="P971" s="41"/>
      <x:c r="Q971" s="41"/>
      <x:c r="R971" s="41"/>
      <x:c r="S971" s="41"/>
      <x:c r="T971" s="41"/>
      <x:c r="U971" s="41"/>
      <x:c r="V971" s="41"/>
      <x:c r="W971" s="41"/>
      <x:c r="X971" s="41"/>
      <x:c r="Y971" s="41"/>
      <x:c r="Z971" s="41"/>
    </x:row>
    <x:row r="972">
      <x:c r="A972" s="44"/>
      <x:c r="B972" s="44"/>
      <x:c r="C972" s="44"/>
      <x:c r="D972" s="44"/>
      <x:c r="E972" s="44"/>
      <x:c r="F972" s="45"/>
      <x:c r="G972" s="44"/>
      <x:c r="H972" s="45"/>
      <x:c r="I972" s="45"/>
      <x:c r="J972" s="46"/>
      <x:c r="K972" s="46"/>
      <x:c r="L972" s="41"/>
      <x:c r="M972" s="41"/>
      <x:c r="N972" s="41"/>
      <x:c r="O972" s="41"/>
      <x:c r="P972" s="41"/>
      <x:c r="Q972" s="41"/>
      <x:c r="R972" s="41"/>
      <x:c r="S972" s="41"/>
      <x:c r="T972" s="41"/>
      <x:c r="U972" s="41"/>
      <x:c r="V972" s="41"/>
      <x:c r="W972" s="41"/>
      <x:c r="X972" s="41"/>
      <x:c r="Y972" s="41"/>
      <x:c r="Z972" s="41"/>
    </x:row>
    <x:row r="973">
      <x:c r="A973" s="44"/>
      <x:c r="B973" s="44"/>
      <x:c r="C973" s="44"/>
      <x:c r="D973" s="44"/>
      <x:c r="E973" s="44"/>
      <x:c r="F973" s="45"/>
      <x:c r="G973" s="44"/>
      <x:c r="H973" s="45"/>
      <x:c r="I973" s="45"/>
      <x:c r="J973" s="46"/>
      <x:c r="K973" s="46"/>
      <x:c r="L973" s="41"/>
      <x:c r="M973" s="41"/>
      <x:c r="N973" s="41"/>
      <x:c r="O973" s="41"/>
      <x:c r="P973" s="41"/>
      <x:c r="Q973" s="41"/>
      <x:c r="R973" s="41"/>
      <x:c r="S973" s="41"/>
      <x:c r="T973" s="41"/>
      <x:c r="U973" s="41"/>
      <x:c r="V973" s="41"/>
      <x:c r="W973" s="41"/>
      <x:c r="X973" s="41"/>
      <x:c r="Y973" s="41"/>
      <x:c r="Z973" s="41"/>
    </x:row>
    <x:row r="974">
      <x:c r="A974" s="44"/>
      <x:c r="B974" s="44"/>
      <x:c r="C974" s="44"/>
      <x:c r="D974" s="44"/>
      <x:c r="E974" s="44"/>
      <x:c r="F974" s="45"/>
      <x:c r="G974" s="44"/>
      <x:c r="H974" s="45"/>
      <x:c r="I974" s="45"/>
      <x:c r="J974" s="46"/>
      <x:c r="K974" s="46"/>
      <x:c r="L974" s="41"/>
      <x:c r="M974" s="41"/>
      <x:c r="N974" s="41"/>
      <x:c r="O974" s="41"/>
      <x:c r="P974" s="41"/>
      <x:c r="Q974" s="41"/>
      <x:c r="R974" s="41"/>
      <x:c r="S974" s="41"/>
      <x:c r="T974" s="41"/>
      <x:c r="U974" s="41"/>
      <x:c r="V974" s="41"/>
      <x:c r="W974" s="41"/>
      <x:c r="X974" s="41"/>
      <x:c r="Y974" s="41"/>
      <x:c r="Z974" s="41"/>
    </x:row>
    <x:row r="975">
      <x:c r="A975" s="44"/>
      <x:c r="B975" s="44"/>
      <x:c r="C975" s="44"/>
      <x:c r="D975" s="44"/>
      <x:c r="E975" s="44"/>
      <x:c r="F975" s="45"/>
      <x:c r="G975" s="44"/>
      <x:c r="H975" s="45"/>
      <x:c r="I975" s="45"/>
      <x:c r="J975" s="46"/>
      <x:c r="K975" s="46"/>
      <x:c r="L975" s="41"/>
      <x:c r="M975" s="41"/>
      <x:c r="N975" s="41"/>
      <x:c r="O975" s="41"/>
      <x:c r="P975" s="41"/>
      <x:c r="Q975" s="41"/>
      <x:c r="R975" s="41"/>
      <x:c r="S975" s="41"/>
      <x:c r="T975" s="41"/>
      <x:c r="U975" s="41"/>
      <x:c r="V975" s="41"/>
      <x:c r="W975" s="41"/>
      <x:c r="X975" s="41"/>
      <x:c r="Y975" s="41"/>
      <x:c r="Z975" s="41"/>
    </x:row>
    <x:row r="976">
      <x:c r="A976" s="44"/>
      <x:c r="B976" s="44"/>
      <x:c r="C976" s="44"/>
      <x:c r="D976" s="44"/>
      <x:c r="E976" s="44"/>
      <x:c r="F976" s="45"/>
      <x:c r="G976" s="44"/>
      <x:c r="H976" s="45"/>
      <x:c r="I976" s="45"/>
      <x:c r="J976" s="46"/>
      <x:c r="K976" s="46"/>
      <x:c r="L976" s="41"/>
      <x:c r="M976" s="41"/>
      <x:c r="N976" s="41"/>
      <x:c r="O976" s="41"/>
      <x:c r="P976" s="41"/>
      <x:c r="Q976" s="41"/>
      <x:c r="R976" s="41"/>
      <x:c r="S976" s="41"/>
      <x:c r="T976" s="41"/>
      <x:c r="U976" s="41"/>
      <x:c r="V976" s="41"/>
      <x:c r="W976" s="41"/>
      <x:c r="X976" s="41"/>
      <x:c r="Y976" s="41"/>
      <x:c r="Z976" s="41"/>
    </x:row>
    <x:row r="977">
      <x:c r="A977" s="44"/>
      <x:c r="B977" s="44"/>
      <x:c r="C977" s="44"/>
      <x:c r="D977" s="44"/>
      <x:c r="E977" s="44"/>
      <x:c r="F977" s="45"/>
      <x:c r="G977" s="44"/>
      <x:c r="H977" s="45"/>
      <x:c r="I977" s="45"/>
      <x:c r="J977" s="46"/>
      <x:c r="K977" s="46"/>
      <x:c r="L977" s="41"/>
      <x:c r="M977" s="41"/>
      <x:c r="N977" s="41"/>
      <x:c r="O977" s="41"/>
      <x:c r="P977" s="41"/>
      <x:c r="Q977" s="41"/>
      <x:c r="R977" s="41"/>
      <x:c r="S977" s="41"/>
      <x:c r="T977" s="41"/>
      <x:c r="U977" s="41"/>
      <x:c r="V977" s="41"/>
      <x:c r="W977" s="41"/>
      <x:c r="X977" s="41"/>
      <x:c r="Y977" s="41"/>
      <x:c r="Z977" s="41"/>
    </x:row>
    <x:row r="978">
      <x:c r="A978" s="44"/>
      <x:c r="B978" s="44"/>
      <x:c r="C978" s="44"/>
      <x:c r="D978" s="44"/>
      <x:c r="E978" s="44"/>
      <x:c r="F978" s="45"/>
      <x:c r="G978" s="44"/>
      <x:c r="H978" s="45"/>
      <x:c r="I978" s="45"/>
      <x:c r="J978" s="46"/>
      <x:c r="K978" s="46"/>
      <x:c r="L978" s="41"/>
      <x:c r="M978" s="41"/>
      <x:c r="N978" s="41"/>
      <x:c r="O978" s="41"/>
      <x:c r="P978" s="41"/>
      <x:c r="Q978" s="41"/>
      <x:c r="R978" s="41"/>
      <x:c r="S978" s="41"/>
      <x:c r="T978" s="41"/>
      <x:c r="U978" s="41"/>
      <x:c r="V978" s="41"/>
      <x:c r="W978" s="41"/>
      <x:c r="X978" s="41"/>
      <x:c r="Y978" s="41"/>
      <x:c r="Z978" s="41"/>
    </x:row>
    <x:row r="979">
      <x:c r="A979" s="44"/>
      <x:c r="B979" s="44"/>
      <x:c r="C979" s="44"/>
      <x:c r="D979" s="44"/>
      <x:c r="E979" s="44"/>
      <x:c r="F979" s="45"/>
      <x:c r="G979" s="44"/>
      <x:c r="H979" s="45"/>
      <x:c r="I979" s="45"/>
      <x:c r="J979" s="46"/>
      <x:c r="K979" s="46"/>
      <x:c r="L979" s="41"/>
      <x:c r="M979" s="41"/>
      <x:c r="N979" s="41"/>
      <x:c r="O979" s="41"/>
      <x:c r="P979" s="41"/>
      <x:c r="Q979" s="41"/>
      <x:c r="R979" s="41"/>
      <x:c r="S979" s="41"/>
      <x:c r="T979" s="41"/>
      <x:c r="U979" s="41"/>
      <x:c r="V979" s="41"/>
      <x:c r="W979" s="41"/>
      <x:c r="X979" s="41"/>
      <x:c r="Y979" s="41"/>
      <x:c r="Z979" s="41"/>
    </x:row>
    <x:row r="980">
      <x:c r="A980" s="44"/>
      <x:c r="B980" s="44"/>
      <x:c r="C980" s="44"/>
      <x:c r="D980" s="44"/>
      <x:c r="E980" s="44"/>
      <x:c r="F980" s="45"/>
      <x:c r="G980" s="44"/>
      <x:c r="H980" s="45"/>
      <x:c r="I980" s="45"/>
      <x:c r="J980" s="46"/>
      <x:c r="K980" s="46"/>
      <x:c r="L980" s="41"/>
      <x:c r="M980" s="41"/>
      <x:c r="N980" s="41"/>
      <x:c r="O980" s="41"/>
      <x:c r="P980" s="41"/>
      <x:c r="Q980" s="41"/>
      <x:c r="R980" s="41"/>
      <x:c r="S980" s="41"/>
      <x:c r="T980" s="41"/>
      <x:c r="U980" s="41"/>
      <x:c r="V980" s="41"/>
      <x:c r="W980" s="41"/>
      <x:c r="X980" s="41"/>
      <x:c r="Y980" s="41"/>
      <x:c r="Z980" s="41"/>
    </x:row>
    <x:row r="981">
      <x:c r="A981" s="44"/>
      <x:c r="B981" s="44"/>
      <x:c r="C981" s="44"/>
      <x:c r="D981" s="44"/>
      <x:c r="E981" s="44"/>
      <x:c r="F981" s="45"/>
      <x:c r="G981" s="44"/>
      <x:c r="H981" s="45"/>
      <x:c r="I981" s="45"/>
      <x:c r="J981" s="46"/>
      <x:c r="K981" s="46"/>
      <x:c r="L981" s="41"/>
      <x:c r="M981" s="41"/>
      <x:c r="N981" s="41"/>
      <x:c r="O981" s="41"/>
      <x:c r="P981" s="41"/>
      <x:c r="Q981" s="41"/>
      <x:c r="R981" s="41"/>
      <x:c r="S981" s="41"/>
      <x:c r="T981" s="41"/>
      <x:c r="U981" s="41"/>
      <x:c r="V981" s="41"/>
      <x:c r="W981" s="41"/>
      <x:c r="X981" s="41"/>
      <x:c r="Y981" s="41"/>
      <x:c r="Z981" s="41"/>
    </x:row>
    <x:row r="982">
      <x:c r="A982" s="44"/>
      <x:c r="B982" s="44"/>
      <x:c r="C982" s="44"/>
      <x:c r="D982" s="44"/>
      <x:c r="E982" s="44"/>
      <x:c r="F982" s="45"/>
      <x:c r="G982" s="44"/>
      <x:c r="H982" s="45"/>
      <x:c r="I982" s="45"/>
      <x:c r="J982" s="46"/>
      <x:c r="K982" s="46"/>
      <x:c r="L982" s="41"/>
      <x:c r="M982" s="41"/>
      <x:c r="N982" s="41"/>
      <x:c r="O982" s="41"/>
      <x:c r="P982" s="41"/>
      <x:c r="Q982" s="41"/>
      <x:c r="R982" s="41"/>
      <x:c r="S982" s="41"/>
      <x:c r="T982" s="41"/>
      <x:c r="U982" s="41"/>
      <x:c r="V982" s="41"/>
      <x:c r="W982" s="41"/>
      <x:c r="X982" s="41"/>
      <x:c r="Y982" s="41"/>
      <x:c r="Z982" s="41"/>
    </x:row>
    <x:row r="983">
      <x:c r="A983" s="44"/>
      <x:c r="B983" s="44"/>
      <x:c r="C983" s="44"/>
      <x:c r="D983" s="44"/>
      <x:c r="E983" s="44"/>
      <x:c r="F983" s="45"/>
      <x:c r="G983" s="44"/>
      <x:c r="H983" s="45"/>
      <x:c r="I983" s="45"/>
      <x:c r="J983" s="46"/>
      <x:c r="K983" s="46"/>
      <x:c r="L983" s="41"/>
      <x:c r="M983" s="41"/>
      <x:c r="N983" s="41"/>
      <x:c r="O983" s="41"/>
      <x:c r="P983" s="41"/>
      <x:c r="Q983" s="41"/>
      <x:c r="R983" s="41"/>
      <x:c r="S983" s="41"/>
      <x:c r="T983" s="41"/>
      <x:c r="U983" s="41"/>
      <x:c r="V983" s="41"/>
      <x:c r="W983" s="41"/>
      <x:c r="X983" s="41"/>
      <x:c r="Y983" s="41"/>
      <x:c r="Z983" s="41"/>
    </x:row>
    <x:row r="984">
      <x:c r="A984" s="44"/>
      <x:c r="B984" s="44"/>
      <x:c r="C984" s="44"/>
      <x:c r="D984" s="44"/>
      <x:c r="E984" s="44"/>
      <x:c r="F984" s="45"/>
      <x:c r="G984" s="44"/>
      <x:c r="H984" s="45"/>
      <x:c r="I984" s="45"/>
      <x:c r="J984" s="46"/>
      <x:c r="K984" s="46"/>
      <x:c r="L984" s="41"/>
      <x:c r="M984" s="41"/>
      <x:c r="N984" s="41"/>
      <x:c r="O984" s="41"/>
      <x:c r="P984" s="41"/>
      <x:c r="Q984" s="41"/>
      <x:c r="R984" s="41"/>
      <x:c r="S984" s="41"/>
      <x:c r="T984" s="41"/>
      <x:c r="U984" s="41"/>
      <x:c r="V984" s="41"/>
      <x:c r="W984" s="41"/>
      <x:c r="X984" s="41"/>
      <x:c r="Y984" s="41"/>
      <x:c r="Z984" s="41"/>
    </x:row>
    <x:row r="985">
      <x:c r="A985" s="44"/>
      <x:c r="B985" s="44"/>
      <x:c r="C985" s="44"/>
      <x:c r="D985" s="44"/>
      <x:c r="E985" s="44"/>
      <x:c r="F985" s="45"/>
      <x:c r="G985" s="44"/>
      <x:c r="H985" s="45"/>
      <x:c r="I985" s="45"/>
      <x:c r="J985" s="46"/>
      <x:c r="K985" s="46"/>
      <x:c r="L985" s="41"/>
      <x:c r="M985" s="41"/>
      <x:c r="N985" s="41"/>
      <x:c r="O985" s="41"/>
      <x:c r="P985" s="41"/>
      <x:c r="Q985" s="41"/>
      <x:c r="R985" s="41"/>
      <x:c r="S985" s="41"/>
      <x:c r="T985" s="41"/>
      <x:c r="U985" s="41"/>
      <x:c r="V985" s="41"/>
      <x:c r="W985" s="41"/>
      <x:c r="X985" s="41"/>
      <x:c r="Y985" s="41"/>
      <x:c r="Z985" s="41"/>
    </x:row>
    <x:row r="986">
      <x:c r="A986" s="44"/>
      <x:c r="B986" s="44"/>
      <x:c r="C986" s="44"/>
      <x:c r="D986" s="44"/>
      <x:c r="E986" s="44"/>
      <x:c r="F986" s="45"/>
      <x:c r="G986" s="44"/>
      <x:c r="H986" s="45"/>
      <x:c r="I986" s="45"/>
      <x:c r="J986" s="46"/>
      <x:c r="K986" s="46"/>
      <x:c r="L986" s="41"/>
      <x:c r="M986" s="41"/>
      <x:c r="N986" s="41"/>
      <x:c r="O986" s="41"/>
      <x:c r="P986" s="41"/>
      <x:c r="Q986" s="41"/>
      <x:c r="R986" s="41"/>
      <x:c r="S986" s="41"/>
      <x:c r="T986" s="41"/>
      <x:c r="U986" s="41"/>
      <x:c r="V986" s="41"/>
      <x:c r="W986" s="41"/>
      <x:c r="X986" s="41"/>
      <x:c r="Y986" s="41"/>
      <x:c r="Z986" s="41"/>
    </x:row>
    <x:row r="987">
      <x:c r="A987" s="44"/>
      <x:c r="B987" s="44"/>
      <x:c r="C987" s="44"/>
      <x:c r="D987" s="44"/>
      <x:c r="E987" s="44"/>
      <x:c r="F987" s="45"/>
      <x:c r="G987" s="44"/>
      <x:c r="H987" s="45"/>
      <x:c r="I987" s="45"/>
      <x:c r="J987" s="46"/>
      <x:c r="K987" s="46"/>
      <x:c r="L987" s="41"/>
      <x:c r="M987" s="41"/>
      <x:c r="N987" s="41"/>
      <x:c r="O987" s="41"/>
      <x:c r="P987" s="41"/>
      <x:c r="Q987" s="41"/>
      <x:c r="R987" s="41"/>
      <x:c r="S987" s="41"/>
      <x:c r="T987" s="41"/>
      <x:c r="U987" s="41"/>
      <x:c r="V987" s="41"/>
      <x:c r="W987" s="41"/>
      <x:c r="X987" s="41"/>
      <x:c r="Y987" s="41"/>
      <x:c r="Z987" s="41"/>
    </x:row>
    <x:row r="988">
      <x:c r="A988" s="44"/>
      <x:c r="B988" s="44"/>
      <x:c r="C988" s="44"/>
      <x:c r="D988" s="44"/>
      <x:c r="E988" s="44"/>
      <x:c r="F988" s="45"/>
      <x:c r="G988" s="44"/>
      <x:c r="H988" s="45"/>
      <x:c r="I988" s="45"/>
      <x:c r="J988" s="46"/>
      <x:c r="K988" s="46"/>
      <x:c r="L988" s="41"/>
      <x:c r="M988" s="41"/>
      <x:c r="N988" s="41"/>
      <x:c r="O988" s="41"/>
      <x:c r="P988" s="41"/>
      <x:c r="Q988" s="41"/>
      <x:c r="R988" s="41"/>
      <x:c r="S988" s="41"/>
      <x:c r="T988" s="41"/>
      <x:c r="U988" s="41"/>
      <x:c r="V988" s="41"/>
      <x:c r="W988" s="41"/>
      <x:c r="X988" s="41"/>
      <x:c r="Y988" s="41"/>
      <x:c r="Z988" s="41"/>
    </x:row>
    <x:row r="989">
      <x:c r="A989" s="44"/>
      <x:c r="B989" s="44"/>
      <x:c r="C989" s="44"/>
      <x:c r="D989" s="44"/>
      <x:c r="E989" s="44"/>
      <x:c r="F989" s="45"/>
      <x:c r="G989" s="44"/>
      <x:c r="H989" s="45"/>
      <x:c r="I989" s="45"/>
      <x:c r="J989" s="46"/>
      <x:c r="K989" s="46"/>
      <x:c r="L989" s="41"/>
      <x:c r="M989" s="41"/>
      <x:c r="N989" s="41"/>
      <x:c r="O989" s="41"/>
      <x:c r="P989" s="41"/>
      <x:c r="Q989" s="41"/>
      <x:c r="R989" s="41"/>
      <x:c r="S989" s="41"/>
      <x:c r="T989" s="41"/>
      <x:c r="U989" s="41"/>
      <x:c r="V989" s="41"/>
      <x:c r="W989" s="41"/>
      <x:c r="X989" s="41"/>
      <x:c r="Y989" s="41"/>
      <x:c r="Z989" s="41"/>
    </x:row>
    <x:row r="990">
      <x:c r="A990" s="44"/>
      <x:c r="B990" s="44"/>
      <x:c r="C990" s="44"/>
      <x:c r="D990" s="44"/>
      <x:c r="E990" s="44"/>
      <x:c r="F990" s="45"/>
      <x:c r="G990" s="44"/>
      <x:c r="H990" s="45"/>
      <x:c r="I990" s="45"/>
      <x:c r="J990" s="46"/>
      <x:c r="K990" s="46"/>
      <x:c r="L990" s="41"/>
      <x:c r="M990" s="41"/>
      <x:c r="N990" s="41"/>
      <x:c r="O990" s="41"/>
      <x:c r="P990" s="41"/>
      <x:c r="Q990" s="41"/>
      <x:c r="R990" s="41"/>
      <x:c r="S990" s="41"/>
      <x:c r="T990" s="41"/>
      <x:c r="U990" s="41"/>
      <x:c r="V990" s="41"/>
      <x:c r="W990" s="41"/>
      <x:c r="X990" s="41"/>
      <x:c r="Y990" s="41"/>
      <x:c r="Z990" s="41"/>
    </x:row>
    <x:row r="991">
      <x:c r="A991" s="44"/>
      <x:c r="B991" s="44"/>
      <x:c r="C991" s="44"/>
      <x:c r="D991" s="44"/>
      <x:c r="E991" s="44"/>
      <x:c r="F991" s="45"/>
      <x:c r="G991" s="44"/>
      <x:c r="H991" s="45"/>
      <x:c r="I991" s="45"/>
      <x:c r="J991" s="46"/>
      <x:c r="K991" s="46"/>
      <x:c r="L991" s="41"/>
      <x:c r="M991" s="41"/>
      <x:c r="N991" s="41"/>
      <x:c r="O991" s="41"/>
      <x:c r="P991" s="41"/>
      <x:c r="Q991" s="41"/>
      <x:c r="R991" s="41"/>
      <x:c r="S991" s="41"/>
      <x:c r="T991" s="41"/>
      <x:c r="U991" s="41"/>
      <x:c r="V991" s="41"/>
      <x:c r="W991" s="41"/>
      <x:c r="X991" s="41"/>
      <x:c r="Y991" s="41"/>
      <x:c r="Z991" s="41"/>
    </x:row>
    <x:row r="992">
      <x:c r="A992" s="44"/>
      <x:c r="B992" s="44"/>
      <x:c r="C992" s="44"/>
      <x:c r="D992" s="44"/>
      <x:c r="E992" s="44"/>
      <x:c r="F992" s="45"/>
      <x:c r="G992" s="44"/>
      <x:c r="H992" s="45"/>
      <x:c r="I992" s="45"/>
      <x:c r="J992" s="46"/>
      <x:c r="K992" s="46"/>
      <x:c r="L992" s="41"/>
      <x:c r="M992" s="41"/>
      <x:c r="N992" s="41"/>
      <x:c r="O992" s="41"/>
      <x:c r="P992" s="41"/>
      <x:c r="Q992" s="41"/>
      <x:c r="R992" s="41"/>
      <x:c r="S992" s="41"/>
      <x:c r="T992" s="41"/>
      <x:c r="U992" s="41"/>
      <x:c r="V992" s="41"/>
      <x:c r="W992" s="41"/>
      <x:c r="X992" s="41"/>
      <x:c r="Y992" s="41"/>
      <x:c r="Z992" s="41"/>
    </x:row>
    <x:row r="993">
      <x:c r="A993" s="44"/>
      <x:c r="B993" s="44"/>
      <x:c r="C993" s="44"/>
      <x:c r="D993" s="44"/>
      <x:c r="E993" s="44"/>
      <x:c r="F993" s="45"/>
      <x:c r="G993" s="44"/>
      <x:c r="H993" s="45"/>
      <x:c r="I993" s="45"/>
      <x:c r="J993" s="46"/>
      <x:c r="K993" s="46"/>
      <x:c r="L993" s="41"/>
      <x:c r="M993" s="41"/>
      <x:c r="N993" s="41"/>
      <x:c r="O993" s="41"/>
      <x:c r="P993" s="41"/>
      <x:c r="Q993" s="41"/>
      <x:c r="R993" s="41"/>
      <x:c r="S993" s="41"/>
      <x:c r="T993" s="41"/>
      <x:c r="U993" s="41"/>
      <x:c r="V993" s="41"/>
      <x:c r="W993" s="41"/>
      <x:c r="X993" s="41"/>
      <x:c r="Y993" s="41"/>
      <x:c r="Z993" s="41"/>
    </x:row>
    <x:row r="994">
      <x:c r="A994" s="44"/>
      <x:c r="B994" s="44"/>
      <x:c r="C994" s="44"/>
      <x:c r="D994" s="44"/>
      <x:c r="E994" s="44"/>
      <x:c r="F994" s="45"/>
      <x:c r="G994" s="44"/>
      <x:c r="H994" s="45"/>
      <x:c r="I994" s="45"/>
      <x:c r="J994" s="46"/>
      <x:c r="K994" s="46"/>
      <x:c r="L994" s="41"/>
      <x:c r="M994" s="41"/>
      <x:c r="N994" s="41"/>
      <x:c r="O994" s="41"/>
      <x:c r="P994" s="41"/>
      <x:c r="Q994" s="41"/>
      <x:c r="R994" s="41"/>
      <x:c r="S994" s="41"/>
      <x:c r="T994" s="41"/>
      <x:c r="U994" s="41"/>
      <x:c r="V994" s="41"/>
      <x:c r="W994" s="41"/>
      <x:c r="X994" s="41"/>
      <x:c r="Y994" s="41"/>
      <x:c r="Z994" s="41"/>
    </x:row>
    <x:row r="995">
      <x:c r="A995" s="44"/>
      <x:c r="B995" s="44"/>
      <x:c r="C995" s="44"/>
      <x:c r="D995" s="44"/>
      <x:c r="E995" s="44"/>
      <x:c r="F995" s="45"/>
      <x:c r="G995" s="44"/>
      <x:c r="H995" s="45"/>
      <x:c r="I995" s="45"/>
      <x:c r="J995" s="46"/>
      <x:c r="K995" s="46"/>
      <x:c r="L995" s="41"/>
      <x:c r="M995" s="41"/>
      <x:c r="N995" s="41"/>
      <x:c r="O995" s="41"/>
      <x:c r="P995" s="41"/>
      <x:c r="Q995" s="41"/>
      <x:c r="R995" s="41"/>
      <x:c r="S995" s="41"/>
      <x:c r="T995" s="41"/>
      <x:c r="U995" s="41"/>
      <x:c r="V995" s="41"/>
      <x:c r="W995" s="41"/>
      <x:c r="X995" s="41"/>
      <x:c r="Y995" s="41"/>
      <x:c r="Z995" s="41"/>
    </x:row>
    <x:row r="996">
      <x:c r="A996" s="44"/>
      <x:c r="B996" s="44"/>
      <x:c r="C996" s="44"/>
      <x:c r="D996" s="44"/>
      <x:c r="E996" s="44"/>
      <x:c r="F996" s="45"/>
      <x:c r="G996" s="44"/>
      <x:c r="H996" s="45"/>
      <x:c r="I996" s="45"/>
      <x:c r="J996" s="46"/>
      <x:c r="K996" s="46"/>
      <x:c r="L996" s="41"/>
      <x:c r="M996" s="41"/>
      <x:c r="N996" s="41"/>
      <x:c r="O996" s="41"/>
      <x:c r="P996" s="41"/>
      <x:c r="Q996" s="41"/>
      <x:c r="R996" s="41"/>
      <x:c r="S996" s="41"/>
      <x:c r="T996" s="41"/>
      <x:c r="U996" s="41"/>
      <x:c r="V996" s="41"/>
      <x:c r="W996" s="41"/>
      <x:c r="X996" s="41"/>
      <x:c r="Y996" s="41"/>
      <x:c r="Z996" s="41"/>
    </x:row>
    <x:row r="997">
      <x:c r="A997" s="44"/>
      <x:c r="B997" s="44"/>
      <x:c r="C997" s="44"/>
      <x:c r="D997" s="44"/>
      <x:c r="E997" s="44"/>
      <x:c r="F997" s="45"/>
      <x:c r="G997" s="44"/>
      <x:c r="H997" s="45"/>
      <x:c r="I997" s="45"/>
      <x:c r="J997" s="46"/>
      <x:c r="K997" s="46"/>
      <x:c r="L997" s="41"/>
      <x:c r="M997" s="41"/>
      <x:c r="N997" s="41"/>
      <x:c r="O997" s="41"/>
      <x:c r="P997" s="41"/>
      <x:c r="Q997" s="41"/>
      <x:c r="R997" s="41"/>
      <x:c r="S997" s="41"/>
      <x:c r="T997" s="41"/>
      <x:c r="U997" s="41"/>
      <x:c r="V997" s="41"/>
      <x:c r="W997" s="41"/>
      <x:c r="X997" s="41"/>
      <x:c r="Y997" s="41"/>
      <x:c r="Z997" s="41"/>
    </x:row>
    <x:row r="998">
      <x:c r="A998" s="44"/>
      <x:c r="B998" s="44"/>
      <x:c r="C998" s="44"/>
      <x:c r="D998" s="44"/>
      <x:c r="E998" s="44"/>
      <x:c r="F998" s="45"/>
      <x:c r="G998" s="44"/>
      <x:c r="H998" s="45"/>
      <x:c r="I998" s="45"/>
      <x:c r="J998" s="46"/>
      <x:c r="K998" s="46"/>
      <x:c r="L998" s="41"/>
      <x:c r="M998" s="41"/>
      <x:c r="N998" s="41"/>
      <x:c r="O998" s="41"/>
      <x:c r="P998" s="41"/>
      <x:c r="Q998" s="41"/>
      <x:c r="R998" s="41"/>
      <x:c r="S998" s="41"/>
      <x:c r="T998" s="41"/>
      <x:c r="U998" s="41"/>
      <x:c r="V998" s="41"/>
      <x:c r="W998" s="41"/>
      <x:c r="X998" s="41"/>
      <x:c r="Y998" s="41"/>
      <x:c r="Z998" s="41"/>
    </x:row>
    <x:row r="999">
      <x:c r="A999" s="44"/>
      <x:c r="B999" s="44"/>
      <x:c r="C999" s="44"/>
      <x:c r="D999" s="44"/>
      <x:c r="E999" s="44"/>
      <x:c r="F999" s="45"/>
      <x:c r="G999" s="44"/>
      <x:c r="H999" s="45"/>
      <x:c r="I999" s="45"/>
      <x:c r="J999" s="46"/>
      <x:c r="K999" s="46"/>
      <x:c r="L999" s="41"/>
      <x:c r="M999" s="41"/>
      <x:c r="N999" s="41"/>
      <x:c r="O999" s="41"/>
      <x:c r="P999" s="41"/>
      <x:c r="Q999" s="41"/>
      <x:c r="R999" s="41"/>
      <x:c r="S999" s="41"/>
      <x:c r="T999" s="41"/>
      <x:c r="U999" s="41"/>
      <x:c r="V999" s="41"/>
      <x:c r="W999" s="41"/>
      <x:c r="X999" s="41"/>
      <x:c r="Y999" s="41"/>
      <x:c r="Z999" s="41"/>
    </x:row>
    <x:row r="1000">
      <x:c r="A1000" s="44"/>
      <x:c r="B1000" s="44"/>
      <x:c r="C1000" s="44"/>
      <x:c r="D1000" s="44"/>
      <x:c r="E1000" s="44"/>
      <x:c r="F1000" s="45"/>
      <x:c r="G1000" s="44"/>
      <x:c r="H1000" s="45"/>
      <x:c r="I1000" s="45"/>
      <x:c r="J1000" s="46"/>
      <x:c r="K1000" s="46"/>
      <x:c r="L1000" s="41"/>
      <x:c r="M1000" s="41"/>
      <x:c r="N1000" s="41"/>
      <x:c r="O1000" s="41"/>
      <x:c r="P1000" s="41"/>
      <x:c r="Q1000" s="41"/>
      <x:c r="R1000" s="41"/>
      <x:c r="S1000" s="41"/>
      <x:c r="T1000" s="41"/>
      <x:c r="U1000" s="41"/>
      <x:c r="V1000" s="41"/>
      <x:c r="W1000" s="41"/>
      <x:c r="X1000" s="41"/>
      <x:c r="Y1000" s="41"/>
      <x:c r="Z1000" s="41"/>
    </x:row>
  </x:sheetData>
  <x:hyperlinks>
    <x:hyperlink xmlns:r="http://schemas.openxmlformats.org/officeDocument/2006/relationships" ref="P2" r:id="R79ac0d8de61c4c97"/>
    <x:hyperlink xmlns:r="http://schemas.openxmlformats.org/officeDocument/2006/relationships" ref="P3" r:id="R3355bf26e52a418f"/>
    <x:hyperlink xmlns:r="http://schemas.openxmlformats.org/officeDocument/2006/relationships" ref="P4" r:id="Rac344c465ccb446b"/>
    <x:hyperlink xmlns:r="http://schemas.openxmlformats.org/officeDocument/2006/relationships" ref="P5" r:id="R496e8f72c92848c2"/>
    <x:hyperlink xmlns:r="http://schemas.openxmlformats.org/officeDocument/2006/relationships" ref="P6" r:id="R8e315ede1c5445c9"/>
    <x:hyperlink xmlns:r="http://schemas.openxmlformats.org/officeDocument/2006/relationships" ref="P7" r:id="R6dcb80dcdcc24125"/>
    <x:hyperlink xmlns:r="http://schemas.openxmlformats.org/officeDocument/2006/relationships" ref="P8" r:id="Rc5f8879252144aaa"/>
    <x:hyperlink xmlns:r="http://schemas.openxmlformats.org/officeDocument/2006/relationships" ref="P9" r:id="R5b72bae3128f4ce6"/>
    <x:hyperlink xmlns:r="http://schemas.openxmlformats.org/officeDocument/2006/relationships" ref="P10" r:id="R734532bfb57c4b2b"/>
    <x:hyperlink xmlns:r="http://schemas.openxmlformats.org/officeDocument/2006/relationships" ref="P11" r:id="R5648faed3c1a4081"/>
    <x:hyperlink xmlns:r="http://schemas.openxmlformats.org/officeDocument/2006/relationships" ref="P12" r:id="R95808965d60c41ad"/>
    <x:hyperlink xmlns:r="http://schemas.openxmlformats.org/officeDocument/2006/relationships" ref="P13" r:id="R3ce1f2690c80497d"/>
    <x:hyperlink xmlns:r="http://schemas.openxmlformats.org/officeDocument/2006/relationships" ref="P14" r:id="R841401acb3614f50"/>
    <x:hyperlink xmlns:r="http://schemas.openxmlformats.org/officeDocument/2006/relationships" ref="P15" r:id="Rf140b211277a4b22"/>
    <x:hyperlink xmlns:r="http://schemas.openxmlformats.org/officeDocument/2006/relationships" ref="P16" r:id="R5683e9dee0534a69"/>
    <x:hyperlink xmlns:r="http://schemas.openxmlformats.org/officeDocument/2006/relationships" ref="P17" r:id="Rf5c132ec4b7c4fe5"/>
    <x:hyperlink xmlns:r="http://schemas.openxmlformats.org/officeDocument/2006/relationships" ref="P18" r:id="R3eec6ff931644112"/>
    <x:hyperlink xmlns:r="http://schemas.openxmlformats.org/officeDocument/2006/relationships" ref="P19" r:id="R3c57c8cd95ae4644"/>
    <x:hyperlink xmlns:r="http://schemas.openxmlformats.org/officeDocument/2006/relationships" ref="P20" r:id="Recb7adc048714f7a"/>
    <x:hyperlink xmlns:r="http://schemas.openxmlformats.org/officeDocument/2006/relationships" ref="P21" r:id="R2a63bf3f8b8e48d1"/>
    <x:hyperlink xmlns:r="http://schemas.openxmlformats.org/officeDocument/2006/relationships" ref="P22" r:id="R4b558b4c63f649fa"/>
    <x:hyperlink xmlns:r="http://schemas.openxmlformats.org/officeDocument/2006/relationships" ref="P23" r:id="R710ab9dacab64ced"/>
    <x:hyperlink xmlns:r="http://schemas.openxmlformats.org/officeDocument/2006/relationships" ref="P24" r:id="Rb25296a29f204667"/>
    <x:hyperlink xmlns:r="http://schemas.openxmlformats.org/officeDocument/2006/relationships" ref="P25" r:id="R68bfbd734c564316"/>
    <x:hyperlink xmlns:r="http://schemas.openxmlformats.org/officeDocument/2006/relationships" ref="P26" r:id="Rbd4876a180bc43d4"/>
    <x:hyperlink xmlns:r="http://schemas.openxmlformats.org/officeDocument/2006/relationships" ref="P27" r:id="R3c247b1c05ab4c21"/>
    <x:hyperlink xmlns:r="http://schemas.openxmlformats.org/officeDocument/2006/relationships" ref="P28" r:id="R0d58cbf03b5f439c"/>
    <x:hyperlink xmlns:r="http://schemas.openxmlformats.org/officeDocument/2006/relationships" ref="P29" r:id="Rf0ff5a11320f46ed"/>
    <x:hyperlink xmlns:r="http://schemas.openxmlformats.org/officeDocument/2006/relationships" ref="P30" r:id="Rf801cf639a8445ad"/>
    <x:hyperlink xmlns:r="http://schemas.openxmlformats.org/officeDocument/2006/relationships" ref="P31" r:id="Rae538ac54df04250"/>
    <x:hyperlink xmlns:r="http://schemas.openxmlformats.org/officeDocument/2006/relationships" ref="P32" r:id="R153aec3bbffc451f"/>
    <x:hyperlink xmlns:r="http://schemas.openxmlformats.org/officeDocument/2006/relationships" ref="P33" r:id="R780ef79de67a4432"/>
  </x:hyperlinks>
  <x:pageMargins left="0.7" right="0.7" top="0.75" bottom="0.75" header="0.3" footer="0.3"/>
  <x:tableParts count="1">
    <x:tablePart xmlns:r="http://schemas.openxmlformats.org/officeDocument/2006/relationships" r:id="R622ebfa131254d7a"/>
  </x:tableParts>
</x:worksheet>
</file>

<file path=xl/worksheets/sheet2.xml><?xml version="1.0" encoding="utf-8"?>
<x:worksheet xmlns:x="http://schemas.openxmlformats.org/spreadsheetml/2006/main">
  <x:sheetFormatPr defaultColWidth="12.630000114440918" defaultRowHeight="15.75"/>
  <x:cols>
    <x:col min="1" max="1" width="35.5" customWidth="1"/>
    <x:col min="3" max="3" width="23.3799991607666" customWidth="1"/>
    <x:col min="4" max="4" width="25.25" customWidth="1"/>
    <x:col min="5" max="5" width="30.5" customWidth="1"/>
  </x:cols>
  <x:sheetData>
    <x:row r="1">
      <x:c r="A1" s="1" t="s">
        <x:v>200</x:v>
      </x:c>
      <x:c r="B1" s="1" t="s">
        <x:v>201</x:v>
      </x:c>
      <x:c r="C1" s="1" t="s">
        <x:v>202</x:v>
      </x:c>
      <x:c r="D1" s="1" t="s">
        <x:v>203</x:v>
      </x:c>
      <x:c r="E1" s="1" t="s">
        <x:v>204</x:v>
      </x:c>
      <x:c r="F1" s="3" t="s">
        <x:v>205</x:v>
      </x:c>
    </x:row>
    <x:row r="2">
      <x:c r="A2" s="4" t="s">
        <x:v>206</x:v>
      </x:c>
      <x:c r="B2" s="4" t="s">
        <x:v>207</x:v>
      </x:c>
      <x:c r="C2" s="5">
        <x:v>34889.0</x:v>
      </x:c>
      <x:c r="D2" s="5">
        <x:v>1647.0</x:v>
      </x:c>
      <x:c r="E2" s="5">
        <x:v>356071.0</x:v>
      </x:c>
      <x:c r="F2" s="16" t="n">
        <x:f t="shared" ref="F2:F79" si="1">SUM(C2:E2)</x:f>
        <x:v>392607</x:v>
      </x:c>
    </x:row>
    <x:row r="3">
      <x:c r="A3" s="4" t="s">
        <x:v>206</x:v>
      </x:c>
      <x:c r="B3" s="4" t="s">
        <x:v>208</x:v>
      </x:c>
      <x:c r="C3" s="5">
        <x:v>32927.0</x:v>
      </x:c>
      <x:c r="D3" s="5">
        <x:v>1619.0</x:v>
      </x:c>
      <x:c r="E3" s="5">
        <x:v>262286.0</x:v>
      </x:c>
      <x:c r="F3" s="16">
        <x:f t="shared" si="1"/>
        <x:v>296832</x:v>
      </x:c>
    </x:row>
    <x:row r="4">
      <x:c r="A4" s="4" t="s">
        <x:v>206</x:v>
      </x:c>
      <x:c r="B4" s="4" t="s">
        <x:v>209</x:v>
      </x:c>
      <x:c r="C4" s="5">
        <x:v>17979.0</x:v>
      </x:c>
      <x:c r="D4" s="4">
        <x:v>502.0</x:v>
      </x:c>
      <x:c r="E4" s="5">
        <x:v>114352.0</x:v>
      </x:c>
      <x:c r="F4" s="16">
        <x:f t="shared" si="1"/>
        <x:v>132833</x:v>
      </x:c>
    </x:row>
    <x:row r="5">
      <x:c r="A5" s="4" t="s">
        <x:v>206</x:v>
      </x:c>
      <x:c r="B5" s="4" t="s">
        <x:v>210</x:v>
      </x:c>
      <x:c r="C5" s="5">
        <x:v>14389.0</x:v>
      </x:c>
      <x:c r="D5" s="4">
        <x:v>879.0</x:v>
      </x:c>
      <x:c r="E5" s="5">
        <x:v>115363.0</x:v>
      </x:c>
      <x:c r="F5" s="16">
        <x:f t="shared" si="1"/>
        <x:v>130631</x:v>
      </x:c>
    </x:row>
    <x:row r="6">
      <x:c r="A6" s="4" t="s">
        <x:v>206</x:v>
      </x:c>
      <x:c r="B6" s="4" t="s">
        <x:v>211</x:v>
      </x:c>
      <x:c r="C6" s="5">
        <x:v>9702.0</x:v>
      </x:c>
      <x:c r="D6" s="4">
        <x:v>505.0</x:v>
      </x:c>
      <x:c r="E6" s="5">
        <x:v>118441.0</x:v>
      </x:c>
      <x:c r="F6" s="16">
        <x:f t="shared" si="1"/>
        <x:v>128648</x:v>
      </x:c>
    </x:row>
    <x:row r="7">
      <x:c r="A7" s="4" t="s">
        <x:v>206</x:v>
      </x:c>
      <x:c r="B7" s="4" t="s">
        <x:v>212</x:v>
      </x:c>
      <x:c r="C7" s="5">
        <x:v>14220.0</x:v>
      </x:c>
      <x:c r="D7" s="4">
        <x:v>836.0</x:v>
      </x:c>
      <x:c r="E7" s="5">
        <x:v>188404.0</x:v>
      </x:c>
      <x:c r="F7" s="16">
        <x:f t="shared" si="1"/>
        <x:v>203460</x:v>
      </x:c>
    </x:row>
    <x:row r="8">
      <x:c r="A8" s="4" t="s">
        <x:v>206</x:v>
      </x:c>
      <x:c r="B8" s="4" t="s">
        <x:v>213</x:v>
      </x:c>
      <x:c r="C8" s="5">
        <x:v>8027.0</x:v>
      </x:c>
      <x:c r="D8" s="4">
        <x:v>477.0</x:v>
      </x:c>
      <x:c r="E8" s="5">
        <x:v>112547.0</x:v>
      </x:c>
      <x:c r="F8" s="16">
        <x:f t="shared" si="1"/>
        <x:v>121051</x:v>
      </x:c>
    </x:row>
    <x:row r="9">
      <x:c r="A9" s="4" t="s">
        <x:v>206</x:v>
      </x:c>
      <x:c r="B9" s="4" t="s">
        <x:v>214</x:v>
      </x:c>
      <x:c r="C9" s="5">
        <x:v>9249.0</x:v>
      </x:c>
      <x:c r="D9" s="4">
        <x:v>664.0</x:v>
      </x:c>
      <x:c r="E9" s="5">
        <x:v>36227.0</x:v>
      </x:c>
      <x:c r="F9" s="16">
        <x:f t="shared" si="1"/>
        <x:v>46140</x:v>
      </x:c>
    </x:row>
    <x:row r="10">
      <x:c r="A10" s="4" t="s">
        <x:v>215</x:v>
      </x:c>
      <x:c r="B10" s="4" t="s">
        <x:v>18</x:v>
      </x:c>
      <x:c r="C10" s="5">
        <x:v>24370.0</x:v>
      </x:c>
      <x:c r="D10" s="5">
        <x:v>1947.0</x:v>
      </x:c>
      <x:c r="E10" s="5">
        <x:v>82855.0</x:v>
      </x:c>
      <x:c r="F10" s="16">
        <x:f t="shared" si="1"/>
        <x:v>109172</x:v>
      </x:c>
    </x:row>
    <x:row r="11">
      <x:c r="A11" s="4" t="s">
        <x:v>215</x:v>
      </x:c>
      <x:c r="B11" s="4" t="s">
        <x:v>31</x:v>
      </x:c>
      <x:c r="C11" s="5">
        <x:v>22824.0</x:v>
      </x:c>
      <x:c r="D11" s="5">
        <x:v>1550.0</x:v>
      </x:c>
      <x:c r="E11" s="5">
        <x:v>179264.0</x:v>
      </x:c>
      <x:c r="F11" s="16">
        <x:f t="shared" si="1"/>
        <x:v>203638</x:v>
      </x:c>
    </x:row>
    <x:row r="12">
      <x:c r="A12" s="4" t="s">
        <x:v>215</x:v>
      </x:c>
      <x:c r="B12" s="4" t="s">
        <x:v>27</x:v>
      </x:c>
      <x:c r="C12" s="5">
        <x:v>17583.0</x:v>
      </x:c>
      <x:c r="D12" s="5">
        <x:v>1039.0</x:v>
      </x:c>
      <x:c r="E12" s="5">
        <x:v>178853.0</x:v>
      </x:c>
      <x:c r="F12" s="16">
        <x:f t="shared" si="1"/>
        <x:v>197475</x:v>
      </x:c>
    </x:row>
    <x:row r="13">
      <x:c r="A13" s="4" t="s">
        <x:v>215</x:v>
      </x:c>
      <x:c r="B13" s="4" t="s">
        <x:v>216</x:v>
      </x:c>
      <x:c r="C13" s="5">
        <x:v>9054.0</x:v>
      </x:c>
      <x:c r="D13" s="4">
        <x:v>577.0</x:v>
      </x:c>
      <x:c r="E13" s="5">
        <x:v>104747.0</x:v>
      </x:c>
      <x:c r="F13" s="16">
        <x:f t="shared" si="1"/>
        <x:v>114378</x:v>
      </x:c>
    </x:row>
    <x:row r="14">
      <x:c r="A14" s="4" t="s">
        <x:v>215</x:v>
      </x:c>
      <x:c r="B14" s="4" t="s">
        <x:v>217</x:v>
      </x:c>
      <x:c r="C14" s="5">
        <x:v>12474.0</x:v>
      </x:c>
      <x:c r="D14" s="4">
        <x:v>688.0</x:v>
      </x:c>
      <x:c r="E14" s="5">
        <x:v>125236.0</x:v>
      </x:c>
      <x:c r="F14" s="16">
        <x:f t="shared" si="1"/>
        <x:v>138398</x:v>
      </x:c>
    </x:row>
    <x:row r="15">
      <x:c r="A15" s="4" t="s">
        <x:v>218</x:v>
      </x:c>
      <x:c r="B15" s="4" t="s">
        <x:v>34</x:v>
      </x:c>
      <x:c r="C15" s="5">
        <x:v>16722.0</x:v>
      </x:c>
      <x:c r="D15" s="4">
        <x:v>926.0</x:v>
      </x:c>
      <x:c r="E15" s="5">
        <x:v>136607.0</x:v>
      </x:c>
      <x:c r="F15" s="16">
        <x:f t="shared" si="1"/>
        <x:v>154255</x:v>
      </x:c>
    </x:row>
    <x:row r="16">
      <x:c r="A16" s="4" t="s">
        <x:v>218</x:v>
      </x:c>
      <x:c r="B16" s="4" t="s">
        <x:v>219</x:v>
      </x:c>
      <x:c r="C16" s="5">
        <x:v>10544.0</x:v>
      </x:c>
      <x:c r="D16" s="4">
        <x:v>547.0</x:v>
      </x:c>
      <x:c r="E16" s="5">
        <x:v>112504.0</x:v>
      </x:c>
      <x:c r="F16" s="16">
        <x:f t="shared" si="1"/>
        <x:v>123595</x:v>
      </x:c>
    </x:row>
    <x:row r="17">
      <x:c r="A17" s="4" t="s">
        <x:v>218</x:v>
      </x:c>
      <x:c r="B17" s="4" t="s">
        <x:v>38</x:v>
      </x:c>
      <x:c r="C17" s="5">
        <x:v>19874.0</x:v>
      </x:c>
      <x:c r="D17" s="5">
        <x:v>1186.0</x:v>
      </x:c>
      <x:c r="E17" s="5">
        <x:v>213682.0</x:v>
      </x:c>
      <x:c r="F17" s="16">
        <x:f t="shared" si="1"/>
        <x:v>234742</x:v>
      </x:c>
    </x:row>
    <x:row r="18">
      <x:c r="A18" s="4" t="s">
        <x:v>218</x:v>
      </x:c>
      <x:c r="B18" s="4" t="s">
        <x:v>49</x:v>
      </x:c>
      <x:c r="C18" s="5">
        <x:v>6440.0</x:v>
      </x:c>
      <x:c r="D18" s="4">
        <x:v>285.0</x:v>
      </x:c>
      <x:c r="E18" s="5">
        <x:v>74391.0</x:v>
      </x:c>
      <x:c r="F18" s="16">
        <x:f t="shared" si="1"/>
        <x:v>81116</x:v>
      </x:c>
    </x:row>
    <x:row r="19">
      <x:c r="A19" s="4" t="s">
        <x:v>218</x:v>
      </x:c>
      <x:c r="B19" s="4" t="s">
        <x:v>42</x:v>
      </x:c>
      <x:c r="C19" s="5">
        <x:v>7044.0</x:v>
      </x:c>
      <x:c r="D19" s="4">
        <x:v>436.0</x:v>
      </x:c>
      <x:c r="E19" s="5">
        <x:v>69372.0</x:v>
      </x:c>
      <x:c r="F19" s="16">
        <x:f t="shared" si="1"/>
        <x:v>76852</x:v>
      </x:c>
    </x:row>
    <x:row r="20">
      <x:c r="A20" s="4" t="s">
        <x:v>220</x:v>
      </x:c>
      <x:c r="B20" s="4" t="s">
        <x:v>65</x:v>
      </x:c>
      <x:c r="C20" s="5">
        <x:v>14234.0</x:v>
      </x:c>
      <x:c r="D20" s="4">
        <x:v>523.0</x:v>
      </x:c>
      <x:c r="E20" s="5">
        <x:v>130267.0</x:v>
      </x:c>
      <x:c r="F20" s="16">
        <x:f t="shared" si="1"/>
        <x:v>145024</x:v>
      </x:c>
    </x:row>
    <x:row r="21">
      <x:c r="A21" s="4" t="s">
        <x:v>220</x:v>
      </x:c>
      <x:c r="B21" s="4" t="s">
        <x:v>78</x:v>
      </x:c>
      <x:c r="C21" s="5">
        <x:v>10774.0</x:v>
      </x:c>
      <x:c r="D21" s="4">
        <x:v>572.0</x:v>
      </x:c>
      <x:c r="E21" s="5">
        <x:v>277757.0</x:v>
      </x:c>
      <x:c r="F21" s="16">
        <x:f t="shared" si="1"/>
        <x:v>289103</x:v>
      </x:c>
    </x:row>
    <x:row r="22">
      <x:c r="A22" s="4" t="s">
        <x:v>220</x:v>
      </x:c>
      <x:c r="B22" s="4" t="s">
        <x:v>46</x:v>
      </x:c>
      <x:c r="C22" s="5">
        <x:v>14730.0</x:v>
      </x:c>
      <x:c r="D22" s="4">
        <x:v>841.0</x:v>
      </x:c>
      <x:c r="E22" s="5">
        <x:v>138429.0</x:v>
      </x:c>
      <x:c r="F22" s="16">
        <x:f t="shared" si="1"/>
        <x:v>154000</x:v>
      </x:c>
    </x:row>
    <x:row r="23">
      <x:c r="A23" s="4" t="s">
        <x:v>220</x:v>
      </x:c>
      <x:c r="B23" s="4" t="s">
        <x:v>62</x:v>
      </x:c>
      <x:c r="C23" s="5">
        <x:v>5417.0</x:v>
      </x:c>
      <x:c r="D23" s="4">
        <x:v>309.0</x:v>
      </x:c>
      <x:c r="E23" s="5">
        <x:v>63042.0</x:v>
      </x:c>
      <x:c r="F23" s="16">
        <x:f t="shared" si="1"/>
        <x:v>68768</x:v>
      </x:c>
    </x:row>
    <x:row r="24">
      <x:c r="A24" s="4" t="s">
        <x:v>220</x:v>
      </x:c>
      <x:c r="B24" s="4" t="s">
        <x:v>88</x:v>
      </x:c>
      <x:c r="C24" s="5">
        <x:v>5887.0</x:v>
      </x:c>
      <x:c r="D24" s="4">
        <x:v>505.0</x:v>
      </x:c>
      <x:c r="E24" s="5">
        <x:v>52069.0</x:v>
      </x:c>
      <x:c r="F24" s="16">
        <x:f t="shared" si="1"/>
        <x:v>58461</x:v>
      </x:c>
    </x:row>
    <x:row r="25">
      <x:c r="A25" s="4" t="s">
        <x:v>220</x:v>
      </x:c>
      <x:c r="B25" s="4" t="s">
        <x:v>52</x:v>
      </x:c>
      <x:c r="C25" s="5">
        <x:v>3872.0</x:v>
      </x:c>
      <x:c r="D25" s="4">
        <x:v>297.0</x:v>
      </x:c>
      <x:c r="E25" s="5">
        <x:v>51896.0</x:v>
      </x:c>
      <x:c r="F25" s="16">
        <x:f t="shared" si="1"/>
        <x:v>56065</x:v>
      </x:c>
    </x:row>
    <x:row r="26">
      <x:c r="A26" s="4" t="s">
        <x:v>220</x:v>
      </x:c>
      <x:c r="B26" s="4" t="s">
        <x:v>68</x:v>
      </x:c>
      <x:c r="C26" s="5">
        <x:v>15656.0</x:v>
      </x:c>
      <x:c r="D26" s="5">
        <x:v>1029.0</x:v>
      </x:c>
      <x:c r="E26" s="5">
        <x:v>162726.0</x:v>
      </x:c>
      <x:c r="F26" s="16">
        <x:f t="shared" si="1"/>
        <x:v>179411</x:v>
      </x:c>
    </x:row>
    <x:row r="27">
      <x:c r="A27" s="4" t="s">
        <x:v>220</x:v>
      </x:c>
      <x:c r="B27" s="4" t="s">
        <x:v>74</x:v>
      </x:c>
      <x:c r="C27" s="5">
        <x:v>19533.0</x:v>
      </x:c>
      <x:c r="D27" s="4">
        <x:v>552.0</x:v>
      </x:c>
      <x:c r="E27" s="5">
        <x:v>176465.0</x:v>
      </x:c>
      <x:c r="F27" s="16">
        <x:f t="shared" si="1"/>
        <x:v>196550</x:v>
      </x:c>
    </x:row>
    <x:row r="28">
      <x:c r="A28" s="4" t="s">
        <x:v>221</x:v>
      </x:c>
      <x:c r="B28" s="4" t="s">
        <x:v>222</x:v>
      </x:c>
      <x:c r="C28" s="5">
        <x:v>10389.0</x:v>
      </x:c>
      <x:c r="D28" s="4">
        <x:v>877.0</x:v>
      </x:c>
      <x:c r="E28" s="5">
        <x:v>106252.0</x:v>
      </x:c>
      <x:c r="F28" s="16">
        <x:f t="shared" si="1"/>
        <x:v>117518</x:v>
      </x:c>
    </x:row>
    <x:row r="29">
      <x:c r="A29" s="4" t="s">
        <x:v>221</x:v>
      </x:c>
      <x:c r="B29" s="4" t="s">
        <x:v>223</x:v>
      </x:c>
      <x:c r="C29" s="5">
        <x:v>8136.0</x:v>
      </x:c>
      <x:c r="D29" s="4">
        <x:v>614.0</x:v>
      </x:c>
      <x:c r="E29" s="5">
        <x:v>102896.0</x:v>
      </x:c>
      <x:c r="F29" s="16">
        <x:f t="shared" si="1"/>
        <x:v>111646</x:v>
      </x:c>
    </x:row>
    <x:row r="30">
      <x:c r="A30" s="4" t="s">
        <x:v>221</x:v>
      </x:c>
      <x:c r="B30" s="4" t="s">
        <x:v>224</x:v>
      </x:c>
      <x:c r="C30" s="5">
        <x:v>3053.0</x:v>
      </x:c>
      <x:c r="D30" s="4">
        <x:v>208.0</x:v>
      </x:c>
      <x:c r="E30" s="5">
        <x:v>43668.0</x:v>
      </x:c>
      <x:c r="F30" s="16">
        <x:f t="shared" si="1"/>
        <x:v>46929</x:v>
      </x:c>
    </x:row>
    <x:row r="31">
      <x:c r="A31" s="4" t="s">
        <x:v>221</x:v>
      </x:c>
      <x:c r="B31" s="4" t="s">
        <x:v>225</x:v>
      </x:c>
      <x:c r="C31" s="5">
        <x:v>11663.0</x:v>
      </x:c>
      <x:c r="D31" s="4">
        <x:v>944.0</x:v>
      </x:c>
      <x:c r="E31" s="5">
        <x:v>94286.0</x:v>
      </x:c>
      <x:c r="F31" s="16">
        <x:f t="shared" si="1"/>
        <x:v>106893</x:v>
      </x:c>
    </x:row>
    <x:row r="32">
      <x:c r="A32" s="4" t="s">
        <x:v>221</x:v>
      </x:c>
      <x:c r="B32" s="4" t="s">
        <x:v>55</x:v>
      </x:c>
      <x:c r="C32" s="5">
        <x:v>18424.0</x:v>
      </x:c>
      <x:c r="D32" s="5">
        <x:v>1571.0</x:v>
      </x:c>
      <x:c r="E32" s="5">
        <x:v>180778.0</x:v>
      </x:c>
      <x:c r="F32" s="16">
        <x:f t="shared" si="1"/>
        <x:v>200773</x:v>
      </x:c>
    </x:row>
    <x:row r="33">
      <x:c r="A33" s="4" t="s">
        <x:v>221</x:v>
      </x:c>
      <x:c r="B33" s="4" t="s">
        <x:v>81</x:v>
      </x:c>
      <x:c r="C33" s="5">
        <x:v>16407.0</x:v>
      </x:c>
      <x:c r="D33" s="4">
        <x:v>651.0</x:v>
      </x:c>
      <x:c r="E33" s="5">
        <x:v>197700.0</x:v>
      </x:c>
      <x:c r="F33" s="16">
        <x:f t="shared" si="1"/>
        <x:v>214758</x:v>
      </x:c>
    </x:row>
    <x:row r="34">
      <x:c r="A34" s="4" t="s">
        <x:v>221</x:v>
      </x:c>
      <x:c r="B34" s="4" t="s">
        <x:v>84</x:v>
      </x:c>
      <x:c r="C34" s="5">
        <x:v>18653.0</x:v>
      </x:c>
      <x:c r="D34" s="5">
        <x:v>1358.0</x:v>
      </x:c>
      <x:c r="E34" s="5">
        <x:v>181176.0</x:v>
      </x:c>
      <x:c r="F34" s="16">
        <x:f t="shared" si="1"/>
        <x:v>201187</x:v>
      </x:c>
    </x:row>
    <x:row r="35">
      <x:c r="A35" s="4" t="s">
        <x:v>221</x:v>
      </x:c>
      <x:c r="B35" s="4" t="s">
        <x:v>58</x:v>
      </x:c>
      <x:c r="C35" s="5">
        <x:v>19481.0</x:v>
      </x:c>
      <x:c r="D35" s="5">
        <x:v>1181.0</x:v>
      </x:c>
      <x:c r="E35" s="5">
        <x:v>147647.0</x:v>
      </x:c>
      <x:c r="F35" s="16">
        <x:f t="shared" si="1"/>
        <x:v>168309</x:v>
      </x:c>
    </x:row>
    <x:row r="36">
      <x:c r="A36" s="4" t="s">
        <x:v>226</x:v>
      </x:c>
      <x:c r="B36" s="4" t="s">
        <x:v>97</x:v>
      </x:c>
      <x:c r="C36" s="5">
        <x:v>16263.0</x:v>
      </x:c>
      <x:c r="D36" s="4">
        <x:v>862.0</x:v>
      </x:c>
      <x:c r="E36" s="5">
        <x:v>89533.0</x:v>
      </x:c>
      <x:c r="F36" s="16">
        <x:f t="shared" si="1"/>
        <x:v>106658</x:v>
      </x:c>
    </x:row>
    <x:row r="37">
      <x:c r="A37" s="4" t="s">
        <x:v>226</x:v>
      </x:c>
      <x:c r="B37" s="4" t="s">
        <x:v>91</x:v>
      </x:c>
      <x:c r="C37" s="5">
        <x:v>14586.0</x:v>
      </x:c>
      <x:c r="D37" s="4">
        <x:v>977.0</x:v>
      </x:c>
      <x:c r="E37" s="5">
        <x:v>91896.0</x:v>
      </x:c>
      <x:c r="F37" s="16">
        <x:f t="shared" si="1"/>
        <x:v>107459</x:v>
      </x:c>
    </x:row>
    <x:row r="38">
      <x:c r="A38" s="4" t="s">
        <x:v>226</x:v>
      </x:c>
      <x:c r="B38" s="4" t="s">
        <x:v>94</x:v>
      </x:c>
      <x:c r="C38" s="5">
        <x:v>13782.0</x:v>
      </x:c>
      <x:c r="D38" s="5">
        <x:v>1137.0</x:v>
      </x:c>
      <x:c r="E38" s="5">
        <x:v>136620.0</x:v>
      </x:c>
      <x:c r="F38" s="16">
        <x:f t="shared" si="1"/>
        <x:v>151539</x:v>
      </x:c>
    </x:row>
    <x:row r="39">
      <x:c r="A39" s="4" t="s">
        <x:v>226</x:v>
      </x:c>
      <x:c r="B39" s="4" t="s">
        <x:v>71</x:v>
      </x:c>
      <x:c r="C39" s="5">
        <x:v>17704.0</x:v>
      </x:c>
      <x:c r="D39" s="4">
        <x:v>772.0</x:v>
      </x:c>
      <x:c r="E39" s="5">
        <x:v>202191.0</x:v>
      </x:c>
      <x:c r="F39" s="16">
        <x:f t="shared" si="1"/>
        <x:v>220667</x:v>
      </x:c>
    </x:row>
    <x:row r="40">
      <x:c r="A40" s="4" t="s">
        <x:v>226</x:v>
      </x:c>
      <x:c r="B40" s="4" t="s">
        <x:v>101</x:v>
      </x:c>
      <x:c r="C40" s="5">
        <x:v>24426.0</x:v>
      </x:c>
      <x:c r="D40" s="5">
        <x:v>1645.0</x:v>
      </x:c>
      <x:c r="E40" s="5">
        <x:v>237201.0</x:v>
      </x:c>
      <x:c r="F40" s="16">
        <x:f t="shared" si="1"/>
        <x:v>263272</x:v>
      </x:c>
    </x:row>
    <x:row r="41">
      <x:c r="A41" s="4" t="s">
        <x:v>226</x:v>
      </x:c>
      <x:c r="B41" s="4" t="s">
        <x:v>107</x:v>
      </x:c>
      <x:c r="C41" s="5">
        <x:v>10260.0</x:v>
      </x:c>
      <x:c r="D41" s="4">
        <x:v>594.0</x:v>
      </x:c>
      <x:c r="E41" s="5">
        <x:v>110528.0</x:v>
      </x:c>
      <x:c r="F41" s="16">
        <x:f t="shared" si="1"/>
        <x:v>121382</x:v>
      </x:c>
    </x:row>
    <x:row r="42">
      <x:c r="A42" s="4" t="s">
        <x:v>226</x:v>
      </x:c>
      <x:c r="B42" s="4" t="s">
        <x:v>104</x:v>
      </x:c>
      <x:c r="C42" s="5">
        <x:v>16149.0</x:v>
      </x:c>
      <x:c r="D42" s="4">
        <x:v>908.0</x:v>
      </x:c>
      <x:c r="E42" s="5">
        <x:v>108996.0</x:v>
      </x:c>
      <x:c r="F42" s="16">
        <x:f t="shared" si="1"/>
        <x:v>126053</x:v>
      </x:c>
    </x:row>
    <x:row r="43">
      <x:c r="A43" s="4" t="s">
        <x:v>226</x:v>
      </x:c>
      <x:c r="B43" s="4" t="s">
        <x:v>110</x:v>
      </x:c>
      <x:c r="C43" s="5">
        <x:v>5262.0</x:v>
      </x:c>
      <x:c r="D43" s="4">
        <x:v>342.0</x:v>
      </x:c>
      <x:c r="E43" s="5">
        <x:v>41987.0</x:v>
      </x:c>
      <x:c r="F43" s="16">
        <x:f t="shared" si="1"/>
        <x:v>47591</x:v>
      </x:c>
    </x:row>
    <x:row r="44">
      <x:c r="A44" s="4" t="s">
        <x:v>227</x:v>
      </x:c>
      <x:c r="B44" s="4" t="s">
        <x:v>228</x:v>
      </x:c>
      <x:c r="C44" s="5">
        <x:v>23905.0</x:v>
      </x:c>
      <x:c r="D44" s="5">
        <x:v>1348.0</x:v>
      </x:c>
      <x:c r="E44" s="5">
        <x:v>181328.0</x:v>
      </x:c>
      <x:c r="F44" s="16">
        <x:f t="shared" si="1"/>
        <x:v>206581</x:v>
      </x:c>
    </x:row>
    <x:row r="45">
      <x:c r="A45" s="4" t="s">
        <x:v>227</x:v>
      </x:c>
      <x:c r="B45" s="4" t="s">
        <x:v>229</x:v>
      </x:c>
      <x:c r="C45" s="5">
        <x:v>42141.0</x:v>
      </x:c>
      <x:c r="D45" s="5">
        <x:v>2118.0</x:v>
      </x:c>
      <x:c r="E45" s="5">
        <x:v>332918.0</x:v>
      </x:c>
      <x:c r="F45" s="16">
        <x:f t="shared" si="1"/>
        <x:v>377177</x:v>
      </x:c>
    </x:row>
    <x:row r="46">
      <x:c r="A46" s="4" t="s">
        <x:v>227</x:v>
      </x:c>
      <x:c r="B46" s="4" t="s">
        <x:v>230</x:v>
      </x:c>
      <x:c r="C46" s="5">
        <x:v>21184.0</x:v>
      </x:c>
      <x:c r="D46" s="4">
        <x:v>996.0</x:v>
      </x:c>
      <x:c r="E46" s="5">
        <x:v>180645.0</x:v>
      </x:c>
      <x:c r="F46" s="16">
        <x:f t="shared" si="1"/>
        <x:v>202825</x:v>
      </x:c>
    </x:row>
    <x:row r="47">
      <x:c r="A47" s="4" t="s">
        <x:v>227</x:v>
      </x:c>
      <x:c r="B47" s="4" t="s">
        <x:v>231</x:v>
      </x:c>
      <x:c r="C47" s="5">
        <x:v>28517.0</x:v>
      </x:c>
      <x:c r="D47" s="5">
        <x:v>1207.0</x:v>
      </x:c>
      <x:c r="E47" s="5">
        <x:v>240518.0</x:v>
      </x:c>
      <x:c r="F47" s="16">
        <x:f t="shared" si="1"/>
        <x:v>270242</x:v>
      </x:c>
    </x:row>
    <x:row r="48">
      <x:c r="A48" s="4" t="s">
        <x:v>232</x:v>
      </x:c>
      <x:c r="B48" s="4" t="s">
        <x:v>233</x:v>
      </x:c>
      <x:c r="C48" s="5">
        <x:v>39966.0</x:v>
      </x:c>
      <x:c r="D48" s="5">
        <x:v>1890.0</x:v>
      </x:c>
      <x:c r="E48" s="5">
        <x:v>274831.0</x:v>
      </x:c>
      <x:c r="F48" s="16">
        <x:f t="shared" si="1"/>
        <x:v>316687</x:v>
      </x:c>
    </x:row>
    <x:row r="49">
      <x:c r="A49" s="4" t="s">
        <x:v>232</x:v>
      </x:c>
      <x:c r="B49" s="4" t="s">
        <x:v>234</x:v>
      </x:c>
      <x:c r="C49" s="5">
        <x:v>34181.0</x:v>
      </x:c>
      <x:c r="D49" s="5">
        <x:v>1540.0</x:v>
      </x:c>
      <x:c r="E49" s="5">
        <x:v>196461.0</x:v>
      </x:c>
      <x:c r="F49" s="16">
        <x:f t="shared" si="1"/>
        <x:v>232182</x:v>
      </x:c>
    </x:row>
    <x:row r="50">
      <x:c r="A50" s="4" t="s">
        <x:v>232</x:v>
      </x:c>
      <x:c r="B50" s="4" t="s">
        <x:v>235</x:v>
      </x:c>
      <x:c r="C50" s="5">
        <x:v>20236.0</x:v>
      </x:c>
      <x:c r="D50" s="4">
        <x:v>760.0</x:v>
      </x:c>
      <x:c r="E50" s="5">
        <x:v>112311.0</x:v>
      </x:c>
      <x:c r="F50" s="16">
        <x:f t="shared" si="1"/>
        <x:v>133307</x:v>
      </x:c>
    </x:row>
    <x:row r="51">
      <x:c r="A51" s="4" t="s">
        <x:v>232</x:v>
      </x:c>
      <x:c r="B51" s="4" t="s">
        <x:v>236</x:v>
      </x:c>
      <x:c r="C51" s="5">
        <x:v>18428.0</x:v>
      </x:c>
      <x:c r="D51" s="5">
        <x:v>1304.0</x:v>
      </x:c>
      <x:c r="E51" s="5">
        <x:v>130262.0</x:v>
      </x:c>
      <x:c r="F51" s="16">
        <x:f t="shared" si="1"/>
        <x:v>149994</x:v>
      </x:c>
    </x:row>
    <x:row r="52">
      <x:c r="A52" s="4" t="s">
        <x:v>232</x:v>
      </x:c>
      <x:c r="B52" s="4" t="s">
        <x:v>237</x:v>
      </x:c>
      <x:c r="C52" s="5">
        <x:v>12449.0</x:v>
      </x:c>
      <x:c r="D52" s="4">
        <x:v>501.0</x:v>
      </x:c>
      <x:c r="E52" s="5">
        <x:v>87149.0</x:v>
      </x:c>
      <x:c r="F52" s="16">
        <x:f t="shared" si="1"/>
        <x:v>100099</x:v>
      </x:c>
    </x:row>
    <x:row r="53">
      <x:c r="A53" s="4" t="s">
        <x:v>232</x:v>
      </x:c>
      <x:c r="B53" s="4" t="s">
        <x:v>238</x:v>
      </x:c>
      <x:c r="C53" s="5">
        <x:v>15217.0</x:v>
      </x:c>
      <x:c r="D53" s="4">
        <x:v>602.0</x:v>
      </x:c>
      <x:c r="E53" s="5">
        <x:v>95370.0</x:v>
      </x:c>
      <x:c r="F53" s="16">
        <x:f t="shared" si="1"/>
        <x:v>111189</x:v>
      </x:c>
    </x:row>
    <x:row r="54">
      <x:c r="A54" s="4" t="s">
        <x:v>232</x:v>
      </x:c>
      <x:c r="B54" s="4" t="s">
        <x:v>239</x:v>
      </x:c>
      <x:c r="C54" s="5">
        <x:v>11385.0</x:v>
      </x:c>
      <x:c r="D54" s="4">
        <x:v>738.0</x:v>
      </x:c>
      <x:c r="E54" s="5">
        <x:v>66473.0</x:v>
      </x:c>
      <x:c r="F54" s="16">
        <x:f t="shared" si="1"/>
        <x:v>78596</x:v>
      </x:c>
    </x:row>
    <x:row r="55">
      <x:c r="A55" s="4" t="s">
        <x:v>240</x:v>
      </x:c>
      <x:c r="B55" s="4" t="s">
        <x:v>118</x:v>
      </x:c>
      <x:c r="C55" s="5">
        <x:v>29115.0</x:v>
      </x:c>
      <x:c r="D55" s="5">
        <x:v>2601.0</x:v>
      </x:c>
      <x:c r="E55" s="5">
        <x:v>217187.0</x:v>
      </x:c>
      <x:c r="F55" s="16">
        <x:f t="shared" si="1"/>
        <x:v>248903</x:v>
      </x:c>
    </x:row>
    <x:row r="56">
      <x:c r="A56" s="4" t="s">
        <x:v>240</x:v>
      </x:c>
      <x:c r="B56" s="4" t="s">
        <x:v>122</x:v>
      </x:c>
      <x:c r="C56" s="5">
        <x:v>57292.0</x:v>
      </x:c>
      <x:c r="D56" s="5">
        <x:v>3386.0</x:v>
      </x:c>
      <x:c r="E56" s="5">
        <x:v>488816.0</x:v>
      </x:c>
      <x:c r="F56" s="16">
        <x:f t="shared" si="1"/>
        <x:v>549494</x:v>
      </x:c>
    </x:row>
    <x:row r="57">
      <x:c r="A57" s="4" t="s">
        <x:v>240</x:v>
      </x:c>
      <x:c r="B57" s="4" t="s">
        <x:v>115</x:v>
      </x:c>
      <x:c r="C57" s="5">
        <x:v>39765.0</x:v>
      </x:c>
      <x:c r="D57" s="5">
        <x:v>1503.0</x:v>
      </x:c>
      <x:c r="E57" s="5">
        <x:v>255337.0</x:v>
      </x:c>
      <x:c r="F57" s="16">
        <x:f t="shared" si="1"/>
        <x:v>296605</x:v>
      </x:c>
    </x:row>
    <x:row r="58">
      <x:c r="A58" s="4" t="s">
        <x:v>240</x:v>
      </x:c>
      <x:c r="B58" s="4" t="s">
        <x:v>125</x:v>
      </x:c>
      <x:c r="C58" s="5">
        <x:v>37715.0</x:v>
      </x:c>
      <x:c r="D58" s="5">
        <x:v>1829.0</x:v>
      </x:c>
      <x:c r="E58" s="5">
        <x:v>239792.0</x:v>
      </x:c>
      <x:c r="F58" s="16">
        <x:f t="shared" si="1"/>
        <x:v>279336</x:v>
      </x:c>
    </x:row>
    <x:row r="59">
      <x:c r="A59" s="4" t="s">
        <x:v>241</x:v>
      </x:c>
      <x:c r="B59" s="4" t="s">
        <x:v>242</x:v>
      </x:c>
      <x:c r="C59" s="5">
        <x:v>109560.0</x:v>
      </x:c>
      <x:c r="D59" s="5">
        <x:v>2878.0</x:v>
      </x:c>
      <x:c r="E59" s="5">
        <x:v>298261.0</x:v>
      </x:c>
      <x:c r="F59" s="16">
        <x:f t="shared" si="1"/>
        <x:v>410699</x:v>
      </x:c>
    </x:row>
    <x:row r="60">
      <x:c r="A60" s="4" t="s">
        <x:v>241</x:v>
      </x:c>
      <x:c r="B60" s="4" t="s">
        <x:v>243</x:v>
      </x:c>
      <x:c r="C60" s="5">
        <x:v>45557.0</x:v>
      </x:c>
      <x:c r="D60" s="5">
        <x:v>1760.0</x:v>
      </x:c>
      <x:c r="E60" s="5">
        <x:v>250798.0</x:v>
      </x:c>
      <x:c r="F60" s="16">
        <x:f t="shared" si="1"/>
        <x:v>298115</x:v>
      </x:c>
    </x:row>
    <x:row r="61">
      <x:c r="A61" s="4" t="s">
        <x:v>241</x:v>
      </x:c>
      <x:c r="B61" s="4" t="s">
        <x:v>244</x:v>
      </x:c>
      <x:c r="C61" s="5">
        <x:v>11040.0</x:v>
      </x:c>
      <x:c r="D61" s="4">
        <x:v>643.0</x:v>
      </x:c>
      <x:c r="E61" s="5">
        <x:v>57781.0</x:v>
      </x:c>
      <x:c r="F61" s="16">
        <x:f t="shared" si="1"/>
        <x:v>69464</x:v>
      </x:c>
    </x:row>
    <x:row r="62">
      <x:c r="A62" s="4" t="s">
        <x:v>241</x:v>
      </x:c>
      <x:c r="B62" s="4" t="s">
        <x:v>245</x:v>
      </x:c>
      <x:c r="C62" s="5">
        <x:v>11214.0</x:v>
      </x:c>
      <x:c r="D62" s="4">
        <x:v>481.0</x:v>
      </x:c>
      <x:c r="E62" s="5">
        <x:v>67271.0</x:v>
      </x:c>
      <x:c r="F62" s="16">
        <x:f t="shared" si="1"/>
        <x:v>78966</x:v>
      </x:c>
    </x:row>
    <x:row r="63">
      <x:c r="A63" s="4" t="s">
        <x:v>241</x:v>
      </x:c>
      <x:c r="B63" s="4" t="s">
        <x:v>246</x:v>
      </x:c>
      <x:c r="C63" s="5">
        <x:v>13667.0</x:v>
      </x:c>
      <x:c r="D63" s="4">
        <x:v>471.0</x:v>
      </x:c>
      <x:c r="E63" s="5">
        <x:v>90103.0</x:v>
      </x:c>
      <x:c r="F63" s="16">
        <x:f t="shared" si="1"/>
        <x:v>104241</x:v>
      </x:c>
    </x:row>
    <x:row r="64">
      <x:c r="A64" s="4" t="s">
        <x:v>247</x:v>
      </x:c>
      <x:c r="B64" s="4" t="s">
        <x:v>248</x:v>
      </x:c>
      <x:c r="C64" s="5">
        <x:v>43765.0</x:v>
      </x:c>
      <x:c r="D64" s="5">
        <x:v>2659.0</x:v>
      </x:c>
      <x:c r="E64" s="5">
        <x:v>282229.0</x:v>
      </x:c>
      <x:c r="F64" s="16">
        <x:f t="shared" si="1"/>
        <x:v>328653</x:v>
      </x:c>
    </x:row>
    <x:row r="65">
      <x:c r="A65" s="4" t="s">
        <x:v>247</x:v>
      </x:c>
      <x:c r="B65" s="4" t="s">
        <x:v>249</x:v>
      </x:c>
      <x:c r="C65" s="5">
        <x:v>28569.0</x:v>
      </x:c>
      <x:c r="D65" s="5">
        <x:v>2378.0</x:v>
      </x:c>
      <x:c r="E65" s="5">
        <x:v>174722.0</x:v>
      </x:c>
      <x:c r="F65" s="16">
        <x:f t="shared" si="1"/>
        <x:v>205669</x:v>
      </x:c>
    </x:row>
    <x:row r="66">
      <x:c r="A66" s="4" t="s">
        <x:v>247</x:v>
      </x:c>
      <x:c r="B66" s="4" t="s">
        <x:v>250</x:v>
      </x:c>
      <x:c r="C66" s="5">
        <x:v>5422.0</x:v>
      </x:c>
      <x:c r="D66" s="4">
        <x:v>362.0</x:v>
      </x:c>
      <x:c r="E66" s="5">
        <x:v>43372.0</x:v>
      </x:c>
      <x:c r="F66" s="16">
        <x:f t="shared" si="1"/>
        <x:v>49156</x:v>
      </x:c>
    </x:row>
    <x:row r="67">
      <x:c r="A67" s="4" t="s">
        <x:v>247</x:v>
      </x:c>
      <x:c r="B67" s="4" t="s">
        <x:v>251</x:v>
      </x:c>
      <x:c r="C67" s="5">
        <x:v>15979.0</x:v>
      </x:c>
      <x:c r="D67" s="5">
        <x:v>1033.0</x:v>
      </x:c>
      <x:c r="E67" s="5">
        <x:v>67596.0</x:v>
      </x:c>
      <x:c r="F67" s="16">
        <x:f t="shared" si="1"/>
        <x:v>84608</x:v>
      </x:c>
    </x:row>
    <x:row r="68">
      <x:c r="A68" s="4" t="s">
        <x:v>247</x:v>
      </x:c>
      <x:c r="B68" s="4" t="s">
        <x:v>252</x:v>
      </x:c>
      <x:c r="C68" s="5">
        <x:v>6811.0</x:v>
      </x:c>
      <x:c r="D68" s="4">
        <x:v>414.0</x:v>
      </x:c>
      <x:c r="E68" s="5">
        <x:v>49210.0</x:v>
      </x:c>
      <x:c r="F68" s="16">
        <x:f t="shared" si="1"/>
        <x:v>56435</x:v>
      </x:c>
    </x:row>
    <x:row r="69">
      <x:c r="A69" s="4" t="s">
        <x:v>247</x:v>
      </x:c>
      <x:c r="B69" s="4" t="s">
        <x:v>253</x:v>
      </x:c>
      <x:c r="C69" s="5">
        <x:v>4636.0</x:v>
      </x:c>
      <x:c r="D69" s="4">
        <x:v>218.0</x:v>
      </x:c>
      <x:c r="E69" s="5">
        <x:v>27994.0</x:v>
      </x:c>
      <x:c r="F69" s="16">
        <x:f t="shared" si="1"/>
        <x:v>32848</x:v>
      </x:c>
    </x:row>
    <x:row r="70">
      <x:c r="A70" s="4" t="s">
        <x:v>247</x:v>
      </x:c>
      <x:c r="B70" s="4" t="s">
        <x:v>197</x:v>
      </x:c>
      <x:c r="C70" s="5">
        <x:v>13542.0</x:v>
      </x:c>
      <x:c r="D70" s="4">
        <x:v>838.0</x:v>
      </x:c>
      <x:c r="E70" s="5">
        <x:v>97399.0</x:v>
      </x:c>
      <x:c r="F70" s="16">
        <x:f t="shared" si="1"/>
        <x:v>111779</x:v>
      </x:c>
    </x:row>
    <x:row r="71">
      <x:c r="A71" s="4" t="s">
        <x:v>254</x:v>
      </x:c>
      <x:c r="B71" s="4" t="s">
        <x:v>255</x:v>
      </x:c>
      <x:c r="C71" s="5">
        <x:v>38514.0</x:v>
      </x:c>
      <x:c r="D71" s="5">
        <x:v>3167.0</x:v>
      </x:c>
      <x:c r="E71" s="5">
        <x:v>240193.0</x:v>
      </x:c>
      <x:c r="F71" s="16">
        <x:f t="shared" si="1"/>
        <x:v>281874</x:v>
      </x:c>
    </x:row>
    <x:row r="72">
      <x:c r="A72" s="4" t="s">
        <x:v>254</x:v>
      </x:c>
      <x:c r="B72" s="4" t="s">
        <x:v>256</x:v>
      </x:c>
      <x:c r="C72" s="5">
        <x:v>12058.0</x:v>
      </x:c>
      <x:c r="D72" s="4">
        <x:v>990.0</x:v>
      </x:c>
      <x:c r="E72" s="5">
        <x:v>45339.0</x:v>
      </x:c>
      <x:c r="F72" s="16">
        <x:f t="shared" si="1"/>
        <x:v>58387</x:v>
      </x:c>
    </x:row>
    <x:row r="73">
      <x:c r="A73" s="4" t="s">
        <x:v>254</x:v>
      </x:c>
      <x:c r="B73" s="4" t="s">
        <x:v>257</x:v>
      </x:c>
      <x:c r="C73" s="5">
        <x:v>17459.0</x:v>
      </x:c>
      <x:c r="D73" s="5">
        <x:v>1109.0</x:v>
      </x:c>
      <x:c r="E73" s="5">
        <x:v>117033.0</x:v>
      </x:c>
      <x:c r="F73" s="16">
        <x:f t="shared" si="1"/>
        <x:v>135601</x:v>
      </x:c>
    </x:row>
    <x:row r="74">
      <x:c r="A74" s="4" t="s">
        <x:v>254</x:v>
      </x:c>
      <x:c r="B74" s="4" t="s">
        <x:v>258</x:v>
      </x:c>
      <x:c r="C74" s="5">
        <x:v>13759.0</x:v>
      </x:c>
      <x:c r="D74" s="4">
        <x:v>976.0</x:v>
      </x:c>
      <x:c r="E74" s="5">
        <x:v>102397.0</x:v>
      </x:c>
      <x:c r="F74" s="16">
        <x:f t="shared" si="1"/>
        <x:v>117132</x:v>
      </x:c>
    </x:row>
    <x:row r="75">
      <x:c r="A75" s="4" t="s">
        <x:v>254</x:v>
      </x:c>
      <x:c r="B75" s="4" t="s">
        <x:v>259</x:v>
      </x:c>
      <x:c r="C75" s="5">
        <x:v>40133.0</x:v>
      </x:c>
      <x:c r="D75" s="5">
        <x:v>4297.0</x:v>
      </x:c>
      <x:c r="E75" s="5">
        <x:v>88828.0</x:v>
      </x:c>
      <x:c r="F75" s="16">
        <x:f t="shared" si="1"/>
        <x:v>133258</x:v>
      </x:c>
    </x:row>
    <x:row r="76">
      <x:c r="A76" s="4" t="s">
        <x:v>254</x:v>
      </x:c>
      <x:c r="B76" s="4" t="s">
        <x:v>260</x:v>
      </x:c>
      <x:c r="C76" s="5">
        <x:v>28753.0</x:v>
      </x:c>
      <x:c r="D76" s="5">
        <x:v>3236.0</x:v>
      </x:c>
      <x:c r="E76" s="5">
        <x:v>65170.0</x:v>
      </x:c>
      <x:c r="F76" s="16">
        <x:f t="shared" si="1"/>
        <x:v>97159</x:v>
      </x:c>
    </x:row>
    <x:row r="77">
      <x:c r="A77" s="4" t="s">
        <x:v>254</x:v>
      </x:c>
      <x:c r="B77" s="4" t="s">
        <x:v>261</x:v>
      </x:c>
      <x:c r="C77" s="5">
        <x:v>38519.0</x:v>
      </x:c>
      <x:c r="D77" s="5">
        <x:v>4023.0</x:v>
      </x:c>
      <x:c r="E77" s="5">
        <x:v>91129.0</x:v>
      </x:c>
      <x:c r="F77" s="16">
        <x:f t="shared" si="1"/>
        <x:v>133671</x:v>
      </x:c>
    </x:row>
    <x:row r="78">
      <x:c r="A78" s="4" t="s">
        <x:v>262</x:v>
      </x:c>
      <x:c r="B78" s="4" t="s">
        <x:v>128</x:v>
      </x:c>
      <x:c r="C78" s="5">
        <x:v>188530.0</x:v>
      </x:c>
      <x:c r="D78" s="5">
        <x:v>48812.0</x:v>
      </x:c>
      <x:c r="E78" s="5">
        <x:v>1335665.0</x:v>
      </x:c>
      <x:c r="F78" s="16">
        <x:f t="shared" si="1"/>
        <x:v>1573007</x:v>
      </x:c>
    </x:row>
    <x:row r="79">
      <x:c r="A79" s="4" t="s">
        <x:v>205</x:v>
      </x:c>
      <x:c r="B79" s="32"/>
      <x:c r="C79" s="5">
        <x:v>1722035.0</x:v>
      </x:c>
      <x:c r="D79" s="5">
        <x:v>138647.0</x:v>
      </x:c>
      <x:c r="E79" s="5">
        <x:v>1.2399096E7</x:v>
      </x:c>
      <x:c r="F79" s="16">
        <x:f t="shared" si="1"/>
        <x:v>14259778</x:v>
      </x:c>
    </x:row>
    <x:row r="80">
      <x:c r="A80" s="33"/>
      <x:c r="B80" s="33"/>
      <x:c r="C80" s="33"/>
      <x:c r="D80" s="33"/>
      <x:c r="E80" s="33"/>
    </x:row>
    <x:row r="81">
      <x:c r="A81" s="33"/>
      <x:c r="B81" s="33"/>
      <x:c r="C81" s="33"/>
      <x:c r="D81" s="33"/>
      <x:c r="E81" s="33"/>
    </x:row>
    <x:row r="82">
      <x:c r="A82" s="34"/>
      <x:c r="B82" s="33"/>
      <x:c r="C82" s="33"/>
      <x:c r="D82" s="33"/>
      <x:c r="E82" s="33"/>
    </x:row>
    <x:row r="83">
      <x:c r="A83" s="35"/>
    </x:row>
    <x:row r="84">
      <x:c r="A84" s="35"/>
    </x:row>
  </x:sheetData>
  <x:mergeCells>
    <x:mergeCell ref="A83:E83"/>
    <x:mergeCell ref="A84:E8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.75"/>
  <x:cols>
    <x:col min="6" max="6" width="25.75" customWidth="1"/>
    <x:col min="8" max="8" width="23" customWidth="1"/>
    <x:col min="9" max="9" width="21.1299991607666" customWidth="1"/>
  </x:cols>
  <x:sheetData>
    <x:row r="1">
      <x:c r="B1" s="6" t="s">
        <x:v>263</x:v>
      </x:c>
    </x:row>
    <x:row r="3">
      <x:c r="B3" s="9" t="s">
        <x:v>264</x:v>
      </x:c>
      <x:c r="C3" s="11"/>
      <x:c r="D3" s="9" t="s">
        <x:v>265</x:v>
      </x:c>
      <x:c r="E3" s="11"/>
      <x:c r="F3" s="9" t="s">
        <x:v>266</x:v>
      </x:c>
      <x:c r="G3" s="11"/>
      <x:c r="H3" s="9" t="s">
        <x:v>267</x:v>
      </x:c>
    </x:row>
    <x:row r="4">
      <x:c r="B4" s="21" t="n">
        <x:f>COUNTA(Disaster_DB!D2:D1000)</x:f>
        <x:v>63</x:v>
      </x:c>
      <x:c r="C4" s="21"/>
      <x:c r="D4" s="21" t="n">
        <x:f>SUM(Disaster_DB!J2:J1000)</x:f>
        <x:v>2218711</x:v>
      </x:c>
      <x:c r="E4" s="21"/>
      <x:c r="F4" s="21" t="n">
        <x:f>SUM(Disaster_DB!K2:K1000)</x:f>
        <x:v>48</x:v>
      </x:c>
      <x:c r="G4" s="21"/>
      <x:c r="H4" s="21" t="n">
        <x:f>SUM(Disaster_DB!F2:F1000)</x:f>
        <x:v>386</x:v>
      </x:c>
    </x:row>
    <x:row r="7">
      <x:c r="B7" s="9" t="s">
        <x:v>2</x:v>
      </x:c>
      <x:c r="C7" s="9" t="s">
        <x:v>268</x:v>
      </x:c>
      <x:c r="D7" s="9" t="s">
        <x:v>265</x:v>
      </x:c>
      <x:c r="E7" s="9" t="s">
        <x:v>269</x:v>
      </x:c>
      <x:c r="F7" s="9" t="s">
        <x:v>270</x:v>
      </x:c>
      <x:c r="H7" s="9" t="s">
        <x:v>3</x:v>
      </x:c>
      <x:c r="I7" s="9" t="s">
        <x:v>271</x:v>
      </x:c>
    </x:row>
    <x:row r="8">
      <x:c r="B8" s="27" t="s">
        <x:v>17</x:v>
      </x:c>
      <x:c r="C8" s="29" t="n">
        <x:f>COUNTIFS(Disaster_DB!$C$2:$C1000, $B8)</x:f>
        <x:v>9</x:v>
      </x:c>
      <x:c r="D8" s="29" t="n">
        <x:f>SUMIFS(Disaster_DB!$J$2:$J1000, Disaster_DB!$C$2:$C1000, $B8)</x:f>
        <x:v>30303</x:v>
      </x:c>
      <x:c r="E8" s="29" t="n">
        <x:f>SUMIFS(Disaster_DB!$K$2:$K1000, Disaster_DB!$C$2:$C1000, $B8)</x:f>
        <x:v>0</x:v>
      </x:c>
      <x:c r="F8" s="29" t="n">
        <x:f>COUNTIFS(Disaster_DB!$C$2:$C1000, $B8, Disaster_DB!$L$2:$L1000, "เพิ่มขึ้น")</x:f>
        <x:v>3</x:v>
      </x:c>
      <x:c r="H8" s="31" t="e">
        <x:f>IFERROR(__xludf.DUMMYFUNCTION("QUERY(Disaster_DB!A2:P1000, ""SELECT D, J WHERE D IS NOT NULL ORDER BY J DESC LIMIT 5"", 0)"),"กรุงเทพมหานคร")</x:f>
        <x:v>#NAME?</x:v>
      </x:c>
      <x:c r="I8" s="29" t="e">
        <x:f>IFERROR(__xludf.DUMMYFUNCTION("""COMPUTED_VALUE"""),329000.0)</x:f>
        <x:v>#NAME?</x:v>
      </x:c>
    </x:row>
    <x:row r="9">
      <x:c r="B9" s="27" t="s">
        <x:v>41</x:v>
      </x:c>
      <x:c r="C9" s="29" t="n">
        <x:f>COUNTIFS(Disaster_DB!$C$2:$C1000, $B9)</x:f>
        <x:v>28</x:v>
      </x:c>
      <x:c r="D9" s="29" t="n">
        <x:f>SUMIFS(Disaster_DB!$J$2:$J1000, Disaster_DB!$C$2:$C1000, $B9)</x:f>
        <x:v>1047928</x:v>
      </x:c>
      <x:c r="E9" s="29" t="n">
        <x:f>SUMIFS(Disaster_DB!$K$2:$K1000, Disaster_DB!$C$2:$C1000, $B9)</x:f>
        <x:v>24</x:v>
      </x:c>
      <x:c r="F9" s="29" t="n">
        <x:f>COUNTIFS(Disaster_DB!$C$2:$C1000, $B9, Disaster_DB!$L$2:$L1000, "เพิ่มขึ้น")</x:f>
        <x:v>19</x:v>
      </x:c>
      <x:c r="H9" s="31" t="e">
        <x:f>IFERROR(__xludf.DUMMYFUNCTION("""COMPUTED_VALUE"""),"กรุงเทพมหานคร")</x:f>
        <x:v>#NAME?</x:v>
      </x:c>
      <x:c r="I9" s="29" t="e">
        <x:f>IFERROR(__xludf.DUMMYFUNCTION("""COMPUTED_VALUE"""),329000.0)</x:f>
        <x:v>#NAME?</x:v>
      </x:c>
    </x:row>
    <x:row r="10">
      <x:c r="B10" s="27" t="s">
        <x:v>87</x:v>
      </x:c>
      <x:c r="C10" s="29" t="n">
        <x:f>COUNTIFS(Disaster_DB!$C$2:$C1000, $B10)</x:f>
        <x:v>16</x:v>
      </x:c>
      <x:c r="D10" s="29" t="n">
        <x:f>SUMIFS(Disaster_DB!$J$2:$J1000, Disaster_DB!$C$2:$C1000, $B10)</x:f>
        <x:v>476218</x:v>
      </x:c>
      <x:c r="E10" s="29" t="n">
        <x:f>SUMIFS(Disaster_DB!$K$2:$K1000, Disaster_DB!$C$2:$C1000, $B10)</x:f>
        <x:v>16</x:v>
      </x:c>
      <x:c r="F10" s="29" t="n">
        <x:f>COUNTIFS(Disaster_DB!$C$2:$C1000, $B10, Disaster_DB!$L$2:$L1000, "เพิ่มขึ้น")</x:f>
        <x:v>10</x:v>
      </x:c>
      <x:c r="H10" s="31" t="e">
        <x:f>IFERROR(__xludf.DUMMYFUNCTION("""COMPUTED_VALUE"""),"สมุทรปราการ")</x:f>
        <x:v>#NAME?</x:v>
      </x:c>
      <x:c r="I10" s="29" t="e">
        <x:f>IFERROR(__xludf.DUMMYFUNCTION("""COMPUTED_VALUE"""),307704.0)</x:f>
        <x:v>#NAME?</x:v>
      </x:c>
    </x:row>
    <x:row r="11">
      <x:c r="B11" s="27" t="s">
        <x:v>114</x:v>
      </x:c>
      <x:c r="C11" s="29" t="n">
        <x:f>COUNTIFS(Disaster_DB!$C$2:$C1000, $B11)</x:f>
        <x:v>7</x:v>
      </x:c>
      <x:c r="D11" s="29" t="n">
        <x:f>SUMIFS(Disaster_DB!$J$2:$J1000, Disaster_DB!$C$2:$C1000, $B11)</x:f>
        <x:v>6262</x:v>
      </x:c>
      <x:c r="E11" s="29" t="n">
        <x:f>SUMIFS(Disaster_DB!$K$2:$K1000, Disaster_DB!$C$2:$C1000, $B11)</x:f>
        <x:v>0</x:v>
      </x:c>
      <x:c r="F11" s="29" t="n">
        <x:f>COUNTIFS(Disaster_DB!$C$2:$C1000, $B11, Disaster_DB!$L$2:$L1000, "เพิ่มขึ้น")</x:f>
        <x:v>0</x:v>
      </x:c>
      <x:c r="H11" s="31" t="e">
        <x:f>IFERROR(__xludf.DUMMYFUNCTION("""COMPUTED_VALUE"""),"สมุทรปราการ")</x:f>
        <x:v>#NAME?</x:v>
      </x:c>
      <x:c r="I11" s="29" t="e">
        <x:f>IFERROR(__xludf.DUMMYFUNCTION("""COMPUTED_VALUE"""),261797.0)</x:f>
        <x:v>#NAME?</x:v>
      </x:c>
    </x:row>
    <x:row r="12">
      <x:c r="B12" s="27" t="s">
        <x:v>128</x:v>
      </x:c>
      <x:c r="C12" s="29" t="n">
        <x:f>COUNTIFS(Disaster_DB!$C$2:$C1000, $B12)</x:f>
        <x:v>2</x:v>
      </x:c>
      <x:c r="D12" s="29" t="n">
        <x:f>SUMIFS(Disaster_DB!$J$2:$J1000, Disaster_DB!$C$2:$C1000, $B12)</x:f>
        <x:v>658000</x:v>
      </x:c>
      <x:c r="E12" s="29" t="n">
        <x:f>SUMIFS(Disaster_DB!$K$2:$K1000, Disaster_DB!$C$2:$C1000, $B12)</x:f>
        <x:v>8</x:v>
      </x:c>
      <x:c r="F12" s="29" t="n">
        <x:f>COUNTIFS(Disaster_DB!$C$2:$C1000, $B12, Disaster_DB!$L$2:$L1000, "เพิ่มขึ้น")</x:f>
        <x:v>0</x:v>
      </x:c>
      <x:c r="H12" s="31" t="e">
        <x:f>IFERROR(__xludf.DUMMYFUNCTION("""COMPUTED_VALUE"""),"ปทุมธานี")</x:f>
        <x:v>#NAME?</x:v>
      </x:c>
      <x:c r="I12" s="29" t="e">
        <x:f>IFERROR(__xludf.DUMMYFUNCTION("""COMPUTED_VALUE"""),182290.0)</x:f>
        <x:v>#NAME?</x:v>
      </x:c>
    </x:row>
  </x:sheetData>
  <x:pageMargins left="0.7" right="0.7" top="0.75" bottom="0.75" header="0.3" footer="0.3"/>
  <x:tableParts count="2">
    <x:tablePart xmlns:r="http://schemas.openxmlformats.org/officeDocument/2006/relationships" r:id="R7ce03edf035d4483"/>
    <x:tablePart xmlns:r="http://schemas.openxmlformats.org/officeDocument/2006/relationships" r:id="R36341104d61a414d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.75"/>
  <x:cols>
    <x:col min="1" max="1" width="13.880000114440918" customWidth="1"/>
    <x:col min="3" max="3" width="45.130001068115234" customWidth="1"/>
    <x:col min="4" max="5" width="25.1299991607666" customWidth="1"/>
    <x:col min="8" max="8" width="22.6299991607666" customWidth="1"/>
    <x:col min="21" max="21" width="22.6299991607666" customWidth="1"/>
    <x:col min="22" max="22" width="18.3799991607666" customWidth="1"/>
    <x:col min="23" max="23" width="139.75" customWidth="1"/>
  </x:cols>
  <x:sheetData>
    <x:row r="1">
      <x:c r="A1" s="2" t="s">
        <x:v>272</x:v>
      </x:c>
      <x:c r="B1" s="2" t="s">
        <x:v>273</x:v>
      </x:c>
      <x:c r="C1" s="2" t="s">
        <x:v>274</x:v>
      </x:c>
      <x:c r="D1" s="2" t="s">
        <x:v>275</x:v>
      </x:c>
      <x:c r="E1" s="2" t="s">
        <x:v>276</x:v>
      </x:c>
      <x:c r="F1" s="2" t="s">
        <x:v>277</x:v>
      </x:c>
      <x:c r="G1" s="2" t="s">
        <x:v>278</x:v>
      </x:c>
      <x:c r="H1" s="2" t="s">
        <x:v>279</x:v>
      </x:c>
      <x:c r="I1" s="2" t="s">
        <x:v>280</x:v>
      </x:c>
      <x:c r="J1" s="2" t="s">
        <x:v>281</x:v>
      </x:c>
      <x:c r="K1" s="2" t="s">
        <x:v>282</x:v>
      </x:c>
      <x:c r="L1" s="2" t="s">
        <x:v>283</x:v>
      </x:c>
      <x:c r="M1" s="2" t="s">
        <x:v>284</x:v>
      </x:c>
      <x:c r="N1" s="2" t="s">
        <x:v>285</x:v>
      </x:c>
      <x:c r="O1" s="2" t="s">
        <x:v>286</x:v>
      </x:c>
      <x:c r="P1" s="2" t="s">
        <x:v>287</x:v>
      </x:c>
      <x:c r="Q1" s="2" t="s">
        <x:v>288</x:v>
      </x:c>
      <x:c r="R1" s="2" t="s">
        <x:v>289</x:v>
      </x:c>
      <x:c r="S1" s="2" t="s">
        <x:v>290</x:v>
      </x:c>
      <x:c r="T1" s="2" t="s">
        <x:v>291</x:v>
      </x:c>
      <x:c r="U1" s="2" t="s">
        <x:v>292</x:v>
      </x:c>
      <x:c r="V1" s="2" t="s">
        <x:v>293</x:v>
      </x:c>
      <x:c r="W1" s="2" t="s">
        <x:v>294</x:v>
      </x:c>
    </x:row>
    <x:row r="2">
      <x:c r="A2" s="7" t="s">
        <x:v>295</x:v>
      </x:c>
      <x:c r="B2" s="7" t="s">
        <x:v>296</x:v>
      </x:c>
      <x:c r="C2" s="7" t="s">
        <x:v>297</x:v>
      </x:c>
      <x:c r="D2" s="7" t="s">
        <x:v>298</x:v>
      </x:c>
      <x:c r="E2" s="10"/>
      <x:c r="F2" s="12">
        <x:v>13.68138</x:v>
      </x:c>
      <x:c r="G2" s="12">
        <x:v>100.35047</x:v>
      </x:c>
      <x:c r="H2" s="7" t="s">
        <x:v>299</x:v>
      </x:c>
      <x:c r="I2" s="14">
        <x:v>0.12</x:v>
      </x:c>
      <x:c r="J2" s="14"/>
      <x:c r="K2" s="14"/>
      <x:c r="L2" s="14"/>
      <x:c r="M2" s="14"/>
      <x:c r="N2" s="7" t="s">
        <x:v>300</x:v>
      </x:c>
      <x:c r="O2" s="7" t="s">
        <x:v>300</x:v>
      </x:c>
      <x:c r="P2" s="10"/>
      <x:c r="Q2" s="10"/>
      <x:c r="R2" s="10">
        <x:v>2992552.6</x:v>
      </x:c>
      <x:c r="S2" s="7" t="s">
        <x:v>301</x:v>
      </x:c>
      <x:c r="T2" s="7" t="b">
        <x:v>0</x:v>
      </x:c>
      <x:c r="U2" s="7" t="s">
        <x:v>302</x:v>
      </x:c>
      <x:c r="V2" s="26" t="s">
        <x:v>303</x:v>
      </x:c>
      <x:c r="W2" s="7" t="s">
        <x:v>304</x:v>
      </x:c>
    </x:row>
    <x:row r="3">
      <x:c r="A3" s="7" t="s">
        <x:v>305</x:v>
      </x:c>
      <x:c r="B3" s="7" t="s">
        <x:v>306</x:v>
      </x:c>
      <x:c r="C3" s="7" t="s">
        <x:v>307</x:v>
      </x:c>
      <x:c r="D3" s="7" t="s">
        <x:v>308</x:v>
      </x:c>
      <x:c r="E3" s="10"/>
      <x:c r="F3" s="12">
        <x:v>13.76991</x:v>
      </x:c>
      <x:c r="G3" s="12">
        <x:v>100.71494</x:v>
      </x:c>
      <x:c r="H3" s="7" t="s">
        <x:v>309</x:v>
      </x:c>
      <x:c r="I3" s="14">
        <x:v>0.95</x:v>
      </x:c>
      <x:c r="J3" s="14"/>
      <x:c r="K3" s="14"/>
      <x:c r="L3" s="14">
        <x:v>0.3</x:v>
      </x:c>
      <x:c r="M3" s="14">
        <x:v>0.4</x:v>
      </x:c>
      <x:c r="N3" s="7" t="s">
        <x:v>300</x:v>
      </x:c>
      <x:c r="O3" s="7" t="s">
        <x:v>300</x:v>
      </x:c>
      <x:c r="P3" s="10"/>
      <x:c r="Q3" s="10"/>
      <x:c r="R3" s="10">
        <x:v>4477.6</x:v>
      </x:c>
      <x:c r="S3" s="7" t="s">
        <x:v>301</x:v>
      </x:c>
      <x:c r="T3" s="7" t="b">
        <x:v>0</x:v>
      </x:c>
      <x:c r="U3" s="7" t="s">
        <x:v>302</x:v>
      </x:c>
      <x:c r="V3" s="26" t="s">
        <x:v>303</x:v>
      </x:c>
      <x:c r="W3" s="7" t="s">
        <x:v>310</x:v>
      </x:c>
    </x:row>
    <x:row r="4">
      <x:c r="A4" s="7" t="s">
        <x:v>311</x:v>
      </x:c>
      <x:c r="B4" s="7" t="s">
        <x:v>312</x:v>
      </x:c>
      <x:c r="C4" s="7" t="s">
        <x:v>313</x:v>
      </x:c>
      <x:c r="D4" s="7" t="s">
        <x:v>314</x:v>
      </x:c>
      <x:c r="E4" s="10"/>
      <x:c r="F4" s="12">
        <x:v>13.84703</x:v>
      </x:c>
      <x:c r="G4" s="12">
        <x:v>100.6218</x:v>
      </x:c>
      <x:c r="H4" s="7" t="s">
        <x:v>315</x:v>
      </x:c>
      <x:c r="I4" s="14">
        <x:v>1.12</x:v>
      </x:c>
      <x:c r="J4" s="14"/>
      <x:c r="K4" s="14"/>
      <x:c r="L4" s="14">
        <x:v>0.7</x:v>
      </x:c>
      <x:c r="M4" s="14">
        <x:v>0.9</x:v>
      </x:c>
      <x:c r="N4" s="7" t="s">
        <x:v>300</x:v>
      </x:c>
      <x:c r="O4" s="7" t="s">
        <x:v>300</x:v>
      </x:c>
      <x:c r="P4" s="10"/>
      <x:c r="Q4" s="10"/>
      <x:c r="R4" s="10">
        <x:v>4473.6</x:v>
      </x:c>
      <x:c r="S4" s="7" t="s">
        <x:v>301</x:v>
      </x:c>
      <x:c r="T4" s="7" t="b">
        <x:v>0</x:v>
      </x:c>
      <x:c r="U4" s="7" t="s">
        <x:v>302</x:v>
      </x:c>
      <x:c r="V4" s="26" t="s">
        <x:v>303</x:v>
      </x:c>
      <x:c r="W4" s="7" t="s">
        <x:v>316</x:v>
      </x:c>
    </x:row>
    <x:row r="5">
      <x:c r="A5" s="7" t="s">
        <x:v>317</x:v>
      </x:c>
      <x:c r="B5" s="7" t="s">
        <x:v>318</x:v>
      </x:c>
      <x:c r="C5" s="7" t="s">
        <x:v>319</x:v>
      </x:c>
      <x:c r="D5" s="7" t="s">
        <x:v>320</x:v>
      </x:c>
      <x:c r="E5" s="10"/>
      <x:c r="F5" s="12">
        <x:v>13.75228</x:v>
      </x:c>
      <x:c r="G5" s="12">
        <x:v>100.60555</x:v>
      </x:c>
      <x:c r="H5" s="7" t="s">
        <x:v>321</x:v>
      </x:c>
      <x:c r="I5" s="14">
        <x:v>-0.71</x:v>
      </x:c>
      <x:c r="J5" s="14"/>
      <x:c r="K5" s="14"/>
      <x:c r="L5" s="14">
        <x:v>-0.1</x:v>
      </x:c>
      <x:c r="M5" s="14">
        <x:v>0.1</x:v>
      </x:c>
      <x:c r="N5" s="7" t="s">
        <x:v>300</x:v>
      </x:c>
      <x:c r="O5" s="7" t="s">
        <x:v>300</x:v>
      </x:c>
      <x:c r="P5" s="10"/>
      <x:c r="Q5" s="10"/>
      <x:c r="R5" s="10">
        <x:v>1546852.6</x:v>
      </x:c>
      <x:c r="S5" s="7" t="s">
        <x:v>301</x:v>
      </x:c>
      <x:c r="T5" s="7" t="b">
        <x:v>0</x:v>
      </x:c>
      <x:c r="U5" s="7" t="s">
        <x:v>302</x:v>
      </x:c>
      <x:c r="V5" s="26" t="s">
        <x:v>303</x:v>
      </x:c>
      <x:c r="W5" s="7" t="s">
        <x:v>322</x:v>
      </x:c>
    </x:row>
    <x:row r="6">
      <x:c r="A6" s="7" t="s">
        <x:v>323</x:v>
      </x:c>
      <x:c r="B6" s="7" t="s">
        <x:v>324</x:v>
      </x:c>
      <x:c r="C6" s="7" t="s">
        <x:v>325</x:v>
      </x:c>
      <x:c r="D6" s="7" t="s">
        <x:v>326</x:v>
      </x:c>
      <x:c r="E6" s="10"/>
      <x:c r="F6" s="12">
        <x:v>13.92055</x:v>
      </x:c>
      <x:c r="G6" s="12">
        <x:v>100.79237</x:v>
      </x:c>
      <x:c r="H6" s="7" t="s">
        <x:v>309</x:v>
      </x:c>
      <x:c r="I6" s="14">
        <x:v>1.69</x:v>
      </x:c>
      <x:c r="J6" s="14"/>
      <x:c r="K6" s="14"/>
      <x:c r="L6" s="14">
        <x:v>1.2</x:v>
      </x:c>
      <x:c r="M6" s="14">
        <x:v>1.7</x:v>
      </x:c>
      <x:c r="N6" s="7" t="s">
        <x:v>300</x:v>
      </x:c>
      <x:c r="O6" s="7" t="s">
        <x:v>300</x:v>
      </x:c>
      <x:c r="P6" s="10"/>
      <x:c r="Q6" s="10"/>
      <x:c r="R6" s="10">
        <x:v>4477.6</x:v>
      </x:c>
      <x:c r="S6" s="7" t="s">
        <x:v>301</x:v>
      </x:c>
      <x:c r="T6" s="7" t="b">
        <x:v>0</x:v>
      </x:c>
      <x:c r="U6" s="7" t="s">
        <x:v>302</x:v>
      </x:c>
      <x:c r="V6" s="26" t="s">
        <x:v>303</x:v>
      </x:c>
      <x:c r="W6" s="7" t="s">
        <x:v>327</x:v>
      </x:c>
    </x:row>
    <x:row r="7">
      <x:c r="A7" s="7" t="s">
        <x:v>328</x:v>
      </x:c>
      <x:c r="B7" s="7" t="s">
        <x:v>329</x:v>
      </x:c>
      <x:c r="C7" s="7" t="s">
        <x:v>330</x:v>
      </x:c>
      <x:c r="D7" s="7" t="s">
        <x:v>331</x:v>
      </x:c>
      <x:c r="E7" s="10"/>
      <x:c r="F7" s="12">
        <x:v>13.73035</x:v>
      </x:c>
      <x:c r="G7" s="12">
        <x:v>100.5141</x:v>
      </x:c>
      <x:c r="H7" s="7" t="s">
        <x:v>309</x:v>
      </x:c>
      <x:c r="I7" s="14">
        <x:v>-0.25</x:v>
      </x:c>
      <x:c r="J7" s="14"/>
      <x:c r="K7" s="14"/>
      <x:c r="L7" s="14">
        <x:v>2.6</x:v>
      </x:c>
      <x:c r="M7" s="14">
        <x:v>2.8</x:v>
      </x:c>
      <x:c r="N7" s="7" t="s">
        <x:v>300</x:v>
      </x:c>
      <x:c r="O7" s="7" t="s">
        <x:v>300</x:v>
      </x:c>
      <x:c r="P7" s="10"/>
      <x:c r="Q7" s="10"/>
      <x:c r="R7" s="10">
        <x:v>4477.6</x:v>
      </x:c>
      <x:c r="S7" s="7" t="s">
        <x:v>301</x:v>
      </x:c>
      <x:c r="T7" s="7" t="b">
        <x:v>0</x:v>
      </x:c>
      <x:c r="U7" s="7" t="s">
        <x:v>302</x:v>
      </x:c>
      <x:c r="V7" s="26" t="s">
        <x:v>303</x:v>
      </x:c>
      <x:c r="W7" s="7" t="s">
        <x:v>332</x:v>
      </x:c>
    </x:row>
    <x:row r="8">
      <x:c r="A8" s="7" t="s">
        <x:v>333</x:v>
      </x:c>
      <x:c r="B8" s="7" t="s">
        <x:v>334</x:v>
      </x:c>
      <x:c r="C8" s="7" t="s">
        <x:v>335</x:v>
      </x:c>
      <x:c r="D8" s="7" t="s">
        <x:v>336</x:v>
      </x:c>
      <x:c r="E8" s="10"/>
      <x:c r="F8" s="12">
        <x:v>13.8065</x:v>
      </x:c>
      <x:c r="G8" s="12">
        <x:v>100.64899</x:v>
      </x:c>
      <x:c r="H8" s="7" t="s">
        <x:v>309</x:v>
      </x:c>
      <x:c r="I8" s="14">
        <x:v>0.91</x:v>
      </x:c>
      <x:c r="J8" s="14"/>
      <x:c r="K8" s="14"/>
      <x:c r="L8" s="14">
        <x:v>0.4</x:v>
      </x:c>
      <x:c r="M8" s="14">
        <x:v>0.5</x:v>
      </x:c>
      <x:c r="N8" s="7" t="s">
        <x:v>300</x:v>
      </x:c>
      <x:c r="O8" s="7" t="s">
        <x:v>300</x:v>
      </x:c>
      <x:c r="P8" s="10"/>
      <x:c r="Q8" s="10"/>
      <x:c r="R8" s="10">
        <x:v>4477.6</x:v>
      </x:c>
      <x:c r="S8" s="7" t="s">
        <x:v>301</x:v>
      </x:c>
      <x:c r="T8" s="7" t="b">
        <x:v>0</x:v>
      </x:c>
      <x:c r="U8" s="7" t="s">
        <x:v>302</x:v>
      </x:c>
      <x:c r="V8" s="26" t="s">
        <x:v>303</x:v>
      </x:c>
      <x:c r="W8" s="7" t="s">
        <x:v>337</x:v>
      </x:c>
    </x:row>
    <x:row r="9">
      <x:c r="A9" s="7" t="s">
        <x:v>338</x:v>
      </x:c>
      <x:c r="B9" s="7" t="s">
        <x:v>339</x:v>
      </x:c>
      <x:c r="C9" s="7" t="s">
        <x:v>340</x:v>
      </x:c>
      <x:c r="D9" s="7" t="s">
        <x:v>341</x:v>
      </x:c>
      <x:c r="E9" s="10"/>
      <x:c r="F9" s="12">
        <x:v>13.70339</x:v>
      </x:c>
      <x:c r="G9" s="12">
        <x:v>100.39142</x:v>
      </x:c>
      <x:c r="H9" s="7" t="s">
        <x:v>342</x:v>
      </x:c>
      <x:c r="I9" s="14">
        <x:v>0.79</x:v>
      </x:c>
      <x:c r="J9" s="14"/>
      <x:c r="K9" s="14"/>
      <x:c r="L9" s="14">
        <x:v>0.6</x:v>
      </x:c>
      <x:c r="M9" s="14">
        <x:v>0.7</x:v>
      </x:c>
      <x:c r="N9" s="7" t="s">
        <x:v>300</x:v>
      </x:c>
      <x:c r="O9" s="7" t="s">
        <x:v>300</x:v>
      </x:c>
      <x:c r="P9" s="10"/>
      <x:c r="Q9" s="10"/>
      <x:c r="R9" s="10">
        <x:v>6712.6</x:v>
      </x:c>
      <x:c r="S9" s="7" t="s">
        <x:v>301</x:v>
      </x:c>
      <x:c r="T9" s="7" t="b">
        <x:v>0</x:v>
      </x:c>
      <x:c r="U9" s="7" t="s">
        <x:v>302</x:v>
      </x:c>
      <x:c r="V9" s="26" t="s">
        <x:v>303</x:v>
      </x:c>
      <x:c r="W9" s="7" t="s">
        <x:v>343</x:v>
      </x:c>
    </x:row>
    <x:row r="10">
      <x:c r="A10" s="7" t="s">
        <x:v>344</x:v>
      </x:c>
      <x:c r="B10" s="7" t="s">
        <x:v>345</x:v>
      </x:c>
      <x:c r="C10" s="7" t="s">
        <x:v>346</x:v>
      </x:c>
      <x:c r="D10" s="7" t="s">
        <x:v>347</x:v>
      </x:c>
      <x:c r="E10" s="10"/>
      <x:c r="F10" s="12">
        <x:v>13.78651</x:v>
      </x:c>
      <x:c r="G10" s="12">
        <x:v>100.37053</x:v>
      </x:c>
      <x:c r="H10" s="7" t="s">
        <x:v>309</x:v>
      </x:c>
      <x:c r="I10" s="14">
        <x:v>0.82</x:v>
      </x:c>
      <x:c r="J10" s="14"/>
      <x:c r="K10" s="14"/>
      <x:c r="L10" s="14">
        <x:v>0.9</x:v>
      </x:c>
      <x:c r="M10" s="14">
        <x:v>1.0</x:v>
      </x:c>
      <x:c r="N10" s="7" t="s">
        <x:v>300</x:v>
      </x:c>
      <x:c r="O10" s="7" t="s">
        <x:v>300</x:v>
      </x:c>
      <x:c r="P10" s="10"/>
      <x:c r="Q10" s="10"/>
      <x:c r="R10" s="10">
        <x:v>4477.6</x:v>
      </x:c>
      <x:c r="S10" s="7" t="s">
        <x:v>301</x:v>
      </x:c>
      <x:c r="T10" s="7" t="b">
        <x:v>0</x:v>
      </x:c>
      <x:c r="U10" s="7" t="s">
        <x:v>302</x:v>
      </x:c>
      <x:c r="V10" s="26" t="s">
        <x:v>303</x:v>
      </x:c>
      <x:c r="W10" s="7" t="s">
        <x:v>348</x:v>
      </x:c>
    </x:row>
    <x:row r="11">
      <x:c r="A11" s="7" t="s">
        <x:v>349</x:v>
      </x:c>
      <x:c r="B11" s="7" t="s">
        <x:v>350</x:v>
      </x:c>
      <x:c r="C11" s="7" t="s">
        <x:v>351</x:v>
      </x:c>
      <x:c r="D11" s="7" t="s">
        <x:v>352</x:v>
      </x:c>
      <x:c r="E11" s="10"/>
      <x:c r="F11" s="12">
        <x:v>13.74126</x:v>
      </x:c>
      <x:c r="G11" s="12">
        <x:v>100.51582</x:v>
      </x:c>
      <x:c r="H11" s="7" t="s">
        <x:v>309</x:v>
      </x:c>
      <x:c r="I11" s="14">
        <x:v>-0.28</x:v>
      </x:c>
      <x:c r="J11" s="14"/>
      <x:c r="K11" s="14"/>
      <x:c r="L11" s="14">
        <x:v>0.6</x:v>
      </x:c>
      <x:c r="M11" s="14">
        <x:v>0.7</x:v>
      </x:c>
      <x:c r="N11" s="7" t="s">
        <x:v>300</x:v>
      </x:c>
      <x:c r="O11" s="7" t="s">
        <x:v>300</x:v>
      </x:c>
      <x:c r="P11" s="10"/>
      <x:c r="Q11" s="10"/>
      <x:c r="R11" s="10">
        <x:v>4477.6</x:v>
      </x:c>
      <x:c r="S11" s="7" t="s">
        <x:v>301</x:v>
      </x:c>
      <x:c r="T11" s="7" t="b">
        <x:v>0</x:v>
      </x:c>
      <x:c r="U11" s="7" t="s">
        <x:v>302</x:v>
      </x:c>
      <x:c r="V11" s="26" t="s">
        <x:v>303</x:v>
      </x:c>
      <x:c r="W11" s="7" t="s">
        <x:v>353</x:v>
      </x:c>
    </x:row>
    <x:row r="12">
      <x:c r="A12" s="7" t="s">
        <x:v>354</x:v>
      </x:c>
      <x:c r="B12" s="7" t="s">
        <x:v>355</x:v>
      </x:c>
      <x:c r="C12" s="7" t="s">
        <x:v>356</x:v>
      </x:c>
      <x:c r="D12" s="7" t="s">
        <x:v>357</x:v>
      </x:c>
      <x:c r="E12" s="10"/>
      <x:c r="F12" s="12">
        <x:v>13.62817</x:v>
      </x:c>
      <x:c r="G12" s="12">
        <x:v>100.43914</x:v>
      </x:c>
      <x:c r="H12" s="7" t="s">
        <x:v>309</x:v>
      </x:c>
      <x:c r="I12" s="14">
        <x:v>-0.75</x:v>
      </x:c>
      <x:c r="J12" s="14"/>
      <x:c r="K12" s="14"/>
      <x:c r="L12" s="14">
        <x:v>1.0</x:v>
      </x:c>
      <x:c r="M12" s="14">
        <x:v>1.2</x:v>
      </x:c>
      <x:c r="N12" s="7" t="s">
        <x:v>300</x:v>
      </x:c>
      <x:c r="O12" s="7" t="s">
        <x:v>300</x:v>
      </x:c>
      <x:c r="P12" s="10"/>
      <x:c r="Q12" s="10"/>
      <x:c r="R12" s="10">
        <x:v>4477.6</x:v>
      </x:c>
      <x:c r="S12" s="7" t="s">
        <x:v>301</x:v>
      </x:c>
      <x:c r="T12" s="7" t="b">
        <x:v>0</x:v>
      </x:c>
      <x:c r="U12" s="7" t="s">
        <x:v>302</x:v>
      </x:c>
      <x:c r="V12" s="26" t="s">
        <x:v>303</x:v>
      </x:c>
      <x:c r="W12" s="7" t="s">
        <x:v>358</x:v>
      </x:c>
    </x:row>
    <x:row r="13">
      <x:c r="A13" s="7" t="s">
        <x:v>359</x:v>
      </x:c>
      <x:c r="B13" s="7" t="s">
        <x:v>360</x:v>
      </x:c>
      <x:c r="C13" s="7" t="s">
        <x:v>361</x:v>
      </x:c>
      <x:c r="D13" s="7" t="s">
        <x:v>357</x:v>
      </x:c>
      <x:c r="E13" s="10"/>
      <x:c r="F13" s="12">
        <x:v>13.63806</x:v>
      </x:c>
      <x:c r="G13" s="12">
        <x:v>100.44765</x:v>
      </x:c>
      <x:c r="H13" s="7" t="s">
        <x:v>309</x:v>
      </x:c>
      <x:c r="I13" s="14">
        <x:v>-0.26</x:v>
      </x:c>
      <x:c r="J13" s="14"/>
      <x:c r="K13" s="14"/>
      <x:c r="L13" s="14">
        <x:v>1.0</x:v>
      </x:c>
      <x:c r="M13" s="14">
        <x:v>1.2</x:v>
      </x:c>
      <x:c r="N13" s="7" t="s">
        <x:v>300</x:v>
      </x:c>
      <x:c r="O13" s="7" t="s">
        <x:v>300</x:v>
      </x:c>
      <x:c r="P13" s="10"/>
      <x:c r="Q13" s="10"/>
      <x:c r="R13" s="10">
        <x:v>4477.6</x:v>
      </x:c>
      <x:c r="S13" s="7" t="s">
        <x:v>301</x:v>
      </x:c>
      <x:c r="T13" s="7" t="b">
        <x:v>0</x:v>
      </x:c>
      <x:c r="U13" s="7" t="s">
        <x:v>302</x:v>
      </x:c>
      <x:c r="V13" s="26" t="s">
        <x:v>303</x:v>
      </x:c>
      <x:c r="W13" s="7" t="s">
        <x:v>362</x:v>
      </x:c>
    </x:row>
    <x:row r="14">
      <x:c r="A14" s="7" t="s">
        <x:v>363</x:v>
      </x:c>
      <x:c r="B14" s="7" t="s">
        <x:v>364</x:v>
      </x:c>
      <x:c r="C14" s="7" t="s">
        <x:v>365</x:v>
      </x:c>
      <x:c r="D14" s="7" t="s">
        <x:v>341</x:v>
      </x:c>
      <x:c r="E14" s="10"/>
      <x:c r="F14" s="12">
        <x:v>13.71484</x:v>
      </x:c>
      <x:c r="G14" s="12">
        <x:v>100.39596</x:v>
      </x:c>
      <x:c r="H14" s="7" t="s">
        <x:v>309</x:v>
      </x:c>
      <x:c r="I14" s="14">
        <x:v>0.64</x:v>
      </x:c>
      <x:c r="J14" s="14"/>
      <x:c r="K14" s="14"/>
      <x:c r="L14" s="14">
        <x:v>0.6</x:v>
      </x:c>
      <x:c r="M14" s="14">
        <x:v>0.7</x:v>
      </x:c>
      <x:c r="N14" s="7" t="s">
        <x:v>300</x:v>
      </x:c>
      <x:c r="O14" s="7" t="s">
        <x:v>300</x:v>
      </x:c>
      <x:c r="P14" s="10"/>
      <x:c r="Q14" s="10"/>
      <x:c r="R14" s="10">
        <x:v>4477.6</x:v>
      </x:c>
      <x:c r="S14" s="7" t="s">
        <x:v>301</x:v>
      </x:c>
      <x:c r="T14" s="7" t="b">
        <x:v>0</x:v>
      </x:c>
      <x:c r="U14" s="7" t="s">
        <x:v>302</x:v>
      </x:c>
      <x:c r="V14" s="26" t="s">
        <x:v>303</x:v>
      </x:c>
      <x:c r="W14" s="7" t="s">
        <x:v>366</x:v>
      </x:c>
    </x:row>
    <x:row r="15">
      <x:c r="A15" s="7" t="s">
        <x:v>367</x:v>
      </x:c>
      <x:c r="B15" s="7" t="s">
        <x:v>368</x:v>
      </x:c>
      <x:c r="C15" s="7" t="s">
        <x:v>369</x:v>
      </x:c>
      <x:c r="D15" s="7" t="s">
        <x:v>370</x:v>
      </x:c>
      <x:c r="E15" s="10"/>
      <x:c r="F15" s="12">
        <x:v>13.72221</x:v>
      </x:c>
      <x:c r="G15" s="12">
        <x:v>100.46868</x:v>
      </x:c>
      <x:c r="H15" s="7" t="s">
        <x:v>309</x:v>
      </x:c>
      <x:c r="I15" s="14">
        <x:v>0.3</x:v>
      </x:c>
      <x:c r="J15" s="14"/>
      <x:c r="K15" s="14"/>
      <x:c r="L15" s="14">
        <x:v>0.7</x:v>
      </x:c>
      <x:c r="M15" s="14">
        <x:v>0.8</x:v>
      </x:c>
      <x:c r="N15" s="7" t="s">
        <x:v>300</x:v>
      </x:c>
      <x:c r="O15" s="7" t="s">
        <x:v>300</x:v>
      </x:c>
      <x:c r="P15" s="10"/>
      <x:c r="Q15" s="10"/>
      <x:c r="R15" s="10">
        <x:v>4477.6</x:v>
      </x:c>
      <x:c r="S15" s="7" t="s">
        <x:v>301</x:v>
      </x:c>
      <x:c r="T15" s="7" t="b">
        <x:v>0</x:v>
      </x:c>
      <x:c r="U15" s="7" t="s">
        <x:v>302</x:v>
      </x:c>
      <x:c r="V15" s="26" t="s">
        <x:v>303</x:v>
      </x:c>
      <x:c r="W15" s="7" t="s">
        <x:v>371</x:v>
      </x:c>
    </x:row>
    <x:row r="16">
      <x:c r="A16" s="7" t="s">
        <x:v>372</x:v>
      </x:c>
      <x:c r="B16" s="7" t="s">
        <x:v>373</x:v>
      </x:c>
      <x:c r="C16" s="7" t="s">
        <x:v>374</x:v>
      </x:c>
      <x:c r="D16" s="7" t="s">
        <x:v>375</x:v>
      </x:c>
      <x:c r="E16" s="10"/>
      <x:c r="F16" s="12">
        <x:v>13.76172</x:v>
      </x:c>
      <x:c r="G16" s="12">
        <x:v>100.61521</x:v>
      </x:c>
      <x:c r="H16" s="7" t="s">
        <x:v>309</x:v>
      </x:c>
      <x:c r="I16" s="14">
        <x:v>0.05</x:v>
      </x:c>
      <x:c r="J16" s="14"/>
      <x:c r="K16" s="14"/>
      <x:c r="L16" s="14">
        <x:v>-0.3</x:v>
      </x:c>
      <x:c r="M16" s="14">
        <x:v>-0.2</x:v>
      </x:c>
      <x:c r="N16" s="7" t="s">
        <x:v>300</x:v>
      </x:c>
      <x:c r="O16" s="7" t="s">
        <x:v>300</x:v>
      </x:c>
      <x:c r="P16" s="10"/>
      <x:c r="Q16" s="10"/>
      <x:c r="R16" s="10">
        <x:v>4477.6</x:v>
      </x:c>
      <x:c r="S16" s="7" t="s">
        <x:v>301</x:v>
      </x:c>
      <x:c r="T16" s="7" t="b">
        <x:v>0</x:v>
      </x:c>
      <x:c r="U16" s="7" t="s">
        <x:v>302</x:v>
      </x:c>
      <x:c r="V16" s="26" t="s">
        <x:v>303</x:v>
      </x:c>
      <x:c r="W16" s="7" t="s">
        <x:v>376</x:v>
      </x:c>
    </x:row>
    <x:row r="17">
      <x:c r="A17" s="7" t="s">
        <x:v>377</x:v>
      </x:c>
      <x:c r="B17" s="7" t="s">
        <x:v>378</x:v>
      </x:c>
      <x:c r="C17" s="7" t="s">
        <x:v>379</x:v>
      </x:c>
      <x:c r="D17" s="7" t="s">
        <x:v>341</x:v>
      </x:c>
      <x:c r="E17" s="10"/>
      <x:c r="F17" s="12">
        <x:v>13.70769</x:v>
      </x:c>
      <x:c r="G17" s="12">
        <x:v>100.37369</x:v>
      </x:c>
      <x:c r="H17" s="7" t="s">
        <x:v>380</x:v>
      </x:c>
      <x:c r="I17" s="14">
        <x:v>0.95</x:v>
      </x:c>
      <x:c r="J17" s="14"/>
      <x:c r="K17" s="14"/>
      <x:c r="L17" s="14">
        <x:v>0.6</x:v>
      </x:c>
      <x:c r="M17" s="14">
        <x:v>0.7</x:v>
      </x:c>
      <x:c r="N17" s="7" t="s">
        <x:v>300</x:v>
      </x:c>
      <x:c r="O17" s="7" t="s">
        <x:v>300</x:v>
      </x:c>
      <x:c r="P17" s="10"/>
      <x:c r="Q17" s="10"/>
      <x:c r="R17" s="10">
        <x:v>4482.6</x:v>
      </x:c>
      <x:c r="S17" s="7" t="s">
        <x:v>301</x:v>
      </x:c>
      <x:c r="T17" s="7" t="b">
        <x:v>0</x:v>
      </x:c>
      <x:c r="U17" s="7" t="s">
        <x:v>302</x:v>
      </x:c>
      <x:c r="V17" s="26" t="s">
        <x:v>303</x:v>
      </x:c>
      <x:c r="W17" s="7" t="s">
        <x:v>381</x:v>
      </x:c>
    </x:row>
    <x:row r="18">
      <x:c r="A18" s="7" t="s">
        <x:v>382</x:v>
      </x:c>
      <x:c r="B18" s="7" t="s">
        <x:v>383</x:v>
      </x:c>
      <x:c r="C18" s="7" t="s">
        <x:v>384</x:v>
      </x:c>
      <x:c r="D18" s="7" t="s">
        <x:v>385</x:v>
      </x:c>
      <x:c r="E18" s="10"/>
      <x:c r="F18" s="12">
        <x:v>13.72592</x:v>
      </x:c>
      <x:c r="G18" s="12">
        <x:v>100.54402</x:v>
      </x:c>
      <x:c r="H18" s="7" t="s">
        <x:v>386</x:v>
      </x:c>
      <x:c r="I18" s="14">
        <x:v>-1.3</x:v>
      </x:c>
      <x:c r="J18" s="14"/>
      <x:c r="K18" s="14"/>
      <x:c r="L18" s="14">
        <x:v>0.5</x:v>
      </x:c>
      <x:c r="M18" s="14">
        <x:v>0.6</x:v>
      </x:c>
      <x:c r="N18" s="7" t="s">
        <x:v>300</x:v>
      </x:c>
      <x:c r="O18" s="7" t="s">
        <x:v>300</x:v>
      </x:c>
      <x:c r="P18" s="10"/>
      <x:c r="Q18" s="10"/>
      <x:c r="R18" s="10">
        <x:v>992297.6</x:v>
      </x:c>
      <x:c r="S18" s="7" t="s">
        <x:v>301</x:v>
      </x:c>
      <x:c r="T18" s="7" t="b">
        <x:v>0</x:v>
      </x:c>
      <x:c r="U18" s="7" t="s">
        <x:v>302</x:v>
      </x:c>
      <x:c r="V18" s="26" t="s">
        <x:v>303</x:v>
      </x:c>
      <x:c r="W18" s="7" t="s">
        <x:v>387</x:v>
      </x:c>
    </x:row>
    <x:row r="19">
      <x:c r="A19" s="7" t="s">
        <x:v>388</x:v>
      </x:c>
      <x:c r="B19" s="7" t="s">
        <x:v>389</x:v>
      </x:c>
      <x:c r="C19" s="7" t="s">
        <x:v>390</x:v>
      </x:c>
      <x:c r="D19" s="7" t="s">
        <x:v>391</x:v>
      </x:c>
      <x:c r="E19" s="10"/>
      <x:c r="F19" s="12">
        <x:v>13.76884</x:v>
      </x:c>
      <x:c r="G19" s="12">
        <x:v>100.59302</x:v>
      </x:c>
      <x:c r="H19" s="7" t="s">
        <x:v>392</x:v>
      </x:c>
      <x:c r="I19" s="14">
        <x:v>-0.42</x:v>
      </x:c>
      <x:c r="J19" s="14"/>
      <x:c r="K19" s="14"/>
      <x:c r="L19" s="14">
        <x:v>0.1</x:v>
      </x:c>
      <x:c r="M19" s="14">
        <x:v>0.2</x:v>
      </x:c>
      <x:c r="N19" s="7" t="s">
        <x:v>300</x:v>
      </x:c>
      <x:c r="O19" s="7" t="s">
        <x:v>300</x:v>
      </x:c>
      <x:c r="P19" s="10"/>
      <x:c r="Q19" s="10"/>
      <x:c r="R19" s="10">
        <x:v>2099667.6</x:v>
      </x:c>
      <x:c r="S19" s="7" t="s">
        <x:v>301</x:v>
      </x:c>
      <x:c r="T19" s="7" t="b">
        <x:v>0</x:v>
      </x:c>
      <x:c r="U19" s="7" t="s">
        <x:v>302</x:v>
      </x:c>
      <x:c r="V19" s="26" t="s">
        <x:v>303</x:v>
      </x:c>
      <x:c r="W19" s="7" t="s">
        <x:v>393</x:v>
      </x:c>
    </x:row>
    <x:row r="20">
      <x:c r="A20" s="7" t="s">
        <x:v>394</x:v>
      </x:c>
      <x:c r="B20" s="7" t="s">
        <x:v>395</x:v>
      </x:c>
      <x:c r="C20" s="7" t="s">
        <x:v>396</x:v>
      </x:c>
      <x:c r="D20" s="7" t="s">
        <x:v>397</x:v>
      </x:c>
      <x:c r="E20" s="10"/>
      <x:c r="F20" s="12">
        <x:v>13.849379</x:v>
      </x:c>
      <x:c r="G20" s="12">
        <x:v>100.542947</x:v>
      </x:c>
      <x:c r="H20" s="7" t="s">
        <x:v>398</x:v>
      </x:c>
      <x:c r="I20" s="14">
        <x:v>0.186</x:v>
      </x:c>
      <x:c r="J20" s="14"/>
      <x:c r="K20" s="14"/>
      <x:c r="L20" s="14"/>
      <x:c r="M20" s="14"/>
      <x:c r="N20" s="7" t="s">
        <x:v>300</x:v>
      </x:c>
      <x:c r="O20" s="7" t="s">
        <x:v>300</x:v>
      </x:c>
      <x:c r="P20" s="10"/>
      <x:c r="Q20" s="10"/>
      <x:c r="R20" s="10">
        <x:v>3561199.6</x:v>
      </x:c>
      <x:c r="S20" s="7" t="s">
        <x:v>301</x:v>
      </x:c>
      <x:c r="T20" s="7" t="b">
        <x:v>0</x:v>
      </x:c>
      <x:c r="U20" s="7" t="s">
        <x:v>302</x:v>
      </x:c>
      <x:c r="V20" s="26" t="s">
        <x:v>303</x:v>
      </x:c>
      <x:c r="W20" s="7" t="s">
        <x:v>399</x:v>
      </x:c>
    </x:row>
    <x:row r="21">
      <x:c r="A21" s="7" t="s">
        <x:v>400</x:v>
      </x:c>
      <x:c r="B21" s="7" t="s">
        <x:v>401</x:v>
      </x:c>
      <x:c r="C21" s="7" t="s">
        <x:v>402</x:v>
      </x:c>
      <x:c r="D21" s="7" t="s">
        <x:v>403</x:v>
      </x:c>
      <x:c r="E21" s="10"/>
      <x:c r="F21" s="12">
        <x:v>13.832213</x:v>
      </x:c>
      <x:c r="G21" s="12">
        <x:v>100.589696</x:v>
      </x:c>
      <x:c r="H21" s="7" t="s">
        <x:v>398</x:v>
      </x:c>
      <x:c r="I21" s="14">
        <x:v>-0.157</x:v>
      </x:c>
      <x:c r="J21" s="14"/>
      <x:c r="K21" s="14"/>
      <x:c r="L21" s="14"/>
      <x:c r="M21" s="14"/>
      <x:c r="N21" s="7" t="s">
        <x:v>300</x:v>
      </x:c>
      <x:c r="O21" s="7" t="s">
        <x:v>300</x:v>
      </x:c>
      <x:c r="P21" s="10"/>
      <x:c r="Q21" s="10"/>
      <x:c r="R21" s="10">
        <x:v>3561199.6</x:v>
      </x:c>
      <x:c r="S21" s="7" t="s">
        <x:v>301</x:v>
      </x:c>
      <x:c r="T21" s="7" t="b">
        <x:v>0</x:v>
      </x:c>
      <x:c r="U21" s="7" t="s">
        <x:v>302</x:v>
      </x:c>
      <x:c r="V21" s="26" t="s">
        <x:v>303</x:v>
      </x:c>
      <x:c r="W21" s="7" t="s">
        <x:v>404</x:v>
      </x:c>
    </x:row>
    <x:row r="22">
      <x:c r="A22" s="7" t="s">
        <x:v>405</x:v>
      </x:c>
      <x:c r="B22" s="7" t="s">
        <x:v>406</x:v>
      </x:c>
      <x:c r="C22" s="7" t="s">
        <x:v>407</x:v>
      </x:c>
      <x:c r="D22" s="7" t="s">
        <x:v>391</x:v>
      </x:c>
      <x:c r="E22" s="10"/>
      <x:c r="F22" s="12">
        <x:v>13.759541</x:v>
      </x:c>
      <x:c r="G22" s="12">
        <x:v>100.596361</x:v>
      </x:c>
      <x:c r="H22" s="7" t="s">
        <x:v>398</x:v>
      </x:c>
      <x:c r="I22" s="14">
        <x:v>-0.301</x:v>
      </x:c>
      <x:c r="J22" s="14"/>
      <x:c r="K22" s="14"/>
      <x:c r="L22" s="14"/>
      <x:c r="M22" s="14"/>
      <x:c r="N22" s="7" t="s">
        <x:v>300</x:v>
      </x:c>
      <x:c r="O22" s="7" t="s">
        <x:v>300</x:v>
      </x:c>
      <x:c r="P22" s="10"/>
      <x:c r="Q22" s="10"/>
      <x:c r="R22" s="10">
        <x:v>3561199.6</x:v>
      </x:c>
      <x:c r="S22" s="7" t="s">
        <x:v>301</x:v>
      </x:c>
      <x:c r="T22" s="7" t="b">
        <x:v>0</x:v>
      </x:c>
      <x:c r="U22" s="7" t="s">
        <x:v>302</x:v>
      </x:c>
      <x:c r="V22" s="26" t="s">
        <x:v>303</x:v>
      </x:c>
      <x:c r="W22" s="7" t="s">
        <x:v>408</x:v>
      </x:c>
    </x:row>
    <x:row r="23">
      <x:c r="A23" s="7" t="s">
        <x:v>409</x:v>
      </x:c>
      <x:c r="B23" s="7" t="s">
        <x:v>410</x:v>
      </x:c>
      <x:c r="C23" s="7" t="s">
        <x:v>411</x:v>
      </x:c>
      <x:c r="D23" s="7" t="s">
        <x:v>403</x:v>
      </x:c>
      <x:c r="E23" s="10"/>
      <x:c r="F23" s="12">
        <x:v>13.850711</x:v>
      </x:c>
      <x:c r="G23" s="12">
        <x:v>100.560876</x:v>
      </x:c>
      <x:c r="H23" s="7" t="s">
        <x:v>398</x:v>
      </x:c>
      <x:c r="I23" s="14">
        <x:v>-0.031</x:v>
      </x:c>
      <x:c r="J23" s="14"/>
      <x:c r="K23" s="14"/>
      <x:c r="L23" s="14"/>
      <x:c r="M23" s="14"/>
      <x:c r="N23" s="7" t="s">
        <x:v>300</x:v>
      </x:c>
      <x:c r="O23" s="7" t="s">
        <x:v>300</x:v>
      </x:c>
      <x:c r="P23" s="10"/>
      <x:c r="Q23" s="10"/>
      <x:c r="R23" s="10">
        <x:v>3561199.6</x:v>
      </x:c>
      <x:c r="S23" s="7" t="s">
        <x:v>301</x:v>
      </x:c>
      <x:c r="T23" s="7" t="b">
        <x:v>0</x:v>
      </x:c>
      <x:c r="U23" s="7" t="s">
        <x:v>302</x:v>
      </x:c>
      <x:c r="V23" s="26" t="s">
        <x:v>303</x:v>
      </x:c>
      <x:c r="W23" s="7" t="s">
        <x:v>412</x:v>
      </x:c>
    </x:row>
    <x:row r="24">
      <x:c r="A24" s="7" t="s">
        <x:v>413</x:v>
      </x:c>
      <x:c r="B24" s="7" t="s">
        <x:v>414</x:v>
      </x:c>
      <x:c r="C24" s="7" t="s">
        <x:v>415</x:v>
      </x:c>
      <x:c r="D24" s="7" t="s">
        <x:v>336</x:v>
      </x:c>
      <x:c r="E24" s="10"/>
      <x:c r="F24" s="12">
        <x:v>13.780512</x:v>
      </x:c>
      <x:c r="G24" s="12">
        <x:v>100.673845</x:v>
      </x:c>
      <x:c r="H24" s="7" t="s">
        <x:v>398</x:v>
      </x:c>
      <x:c r="I24" s="14">
        <x:v>-0.343</x:v>
      </x:c>
      <x:c r="J24" s="14"/>
      <x:c r="K24" s="14"/>
      <x:c r="L24" s="14"/>
      <x:c r="M24" s="14"/>
      <x:c r="N24" s="7" t="s">
        <x:v>300</x:v>
      </x:c>
      <x:c r="O24" s="7" t="s">
        <x:v>300</x:v>
      </x:c>
      <x:c r="P24" s="10"/>
      <x:c r="Q24" s="10"/>
      <x:c r="R24" s="10">
        <x:v>3561199.6</x:v>
      </x:c>
      <x:c r="S24" s="7" t="s">
        <x:v>301</x:v>
      </x:c>
      <x:c r="T24" s="7" t="b">
        <x:v>0</x:v>
      </x:c>
      <x:c r="U24" s="7" t="s">
        <x:v>302</x:v>
      </x:c>
      <x:c r="V24" s="26" t="s">
        <x:v>303</x:v>
      </x:c>
      <x:c r="W24" s="7" t="s">
        <x:v>416</x:v>
      </x:c>
    </x:row>
    <x:row r="25">
      <x:c r="A25" s="7" t="s">
        <x:v>417</x:v>
      </x:c>
      <x:c r="B25" s="7" t="s">
        <x:v>418</x:v>
      </x:c>
      <x:c r="C25" s="7" t="s">
        <x:v>419</x:v>
      </x:c>
      <x:c r="D25" s="7" t="s">
        <x:v>420</x:v>
      </x:c>
      <x:c r="E25" s="10"/>
      <x:c r="F25" s="12">
        <x:v>13.72294</x:v>
      </x:c>
      <x:c r="G25" s="12">
        <x:v>100.75193</x:v>
      </x:c>
      <x:c r="H25" s="7" t="s">
        <x:v>421</x:v>
      </x:c>
      <x:c r="I25" s="14">
        <x:v>-0.37</x:v>
      </x:c>
      <x:c r="J25" s="14"/>
      <x:c r="K25" s="14"/>
      <x:c r="L25" s="14">
        <x:v>0.5</x:v>
      </x:c>
      <x:c r="M25" s="14">
        <x:v>0.6</x:v>
      </x:c>
      <x:c r="N25" s="7" t="s">
        <x:v>300</x:v>
      </x:c>
      <x:c r="O25" s="7" t="s">
        <x:v>300</x:v>
      </x:c>
      <x:c r="P25" s="10"/>
      <x:c r="Q25" s="10"/>
      <x:c r="R25" s="10">
        <x:v>885732.6</x:v>
      </x:c>
      <x:c r="S25" s="7" t="s">
        <x:v>301</x:v>
      </x:c>
      <x:c r="T25" s="7" t="b">
        <x:v>0</x:v>
      </x:c>
      <x:c r="U25" s="7" t="s">
        <x:v>302</x:v>
      </x:c>
      <x:c r="V25" s="26" t="s">
        <x:v>303</x:v>
      </x:c>
      <x:c r="W25" s="7" t="s">
        <x:v>422</x:v>
      </x:c>
    </x:row>
    <x:row r="26">
      <x:c r="A26" s="7" t="s">
        <x:v>423</x:v>
      </x:c>
      <x:c r="B26" s="7" t="s">
        <x:v>424</x:v>
      </x:c>
      <x:c r="C26" s="7" t="s">
        <x:v>425</x:v>
      </x:c>
      <x:c r="D26" s="7" t="s">
        <x:v>426</x:v>
      </x:c>
      <x:c r="E26" s="10"/>
      <x:c r="F26" s="12">
        <x:v>13.80009</x:v>
      </x:c>
      <x:c r="G26" s="12">
        <x:v>100.5184</x:v>
      </x:c>
      <x:c r="H26" s="7" t="s">
        <x:v>309</x:v>
      </x:c>
      <x:c r="I26" s="14">
        <x:v>-0.79</x:v>
      </x:c>
      <x:c r="J26" s="14"/>
      <x:c r="K26" s="14"/>
      <x:c r="L26" s="14">
        <x:v>3.3</x:v>
      </x:c>
      <x:c r="M26" s="14">
        <x:v>3.5</x:v>
      </x:c>
      <x:c r="N26" s="7" t="s">
        <x:v>300</x:v>
      </x:c>
      <x:c r="O26" s="7" t="s">
        <x:v>300</x:v>
      </x:c>
      <x:c r="P26" s="10"/>
      <x:c r="Q26" s="10"/>
      <x:c r="R26" s="10">
        <x:v>4477.6</x:v>
      </x:c>
      <x:c r="S26" s="7" t="s">
        <x:v>301</x:v>
      </x:c>
      <x:c r="T26" s="7" t="b">
        <x:v>0</x:v>
      </x:c>
      <x:c r="U26" s="7" t="s">
        <x:v>302</x:v>
      </x:c>
      <x:c r="V26" s="26" t="s">
        <x:v>303</x:v>
      </x:c>
      <x:c r="W26" s="7" t="s">
        <x:v>427</x:v>
      </x:c>
    </x:row>
    <x:row r="27">
      <x:c r="A27" s="7" t="s">
        <x:v>428</x:v>
      </x:c>
      <x:c r="B27" s="7" t="s">
        <x:v>429</x:v>
      </x:c>
      <x:c r="C27" s="7" t="s">
        <x:v>430</x:v>
      </x:c>
      <x:c r="D27" s="7" t="s">
        <x:v>431</x:v>
      </x:c>
      <x:c r="E27" s="10"/>
      <x:c r="F27" s="12">
        <x:v>13.88457</x:v>
      </x:c>
      <x:c r="G27" s="12">
        <x:v>100.56277</x:v>
      </x:c>
      <x:c r="H27" s="7" t="s">
        <x:v>432</x:v>
      </x:c>
      <x:c r="I27" s="14">
        <x:v>-0.8</x:v>
      </x:c>
      <x:c r="J27" s="14"/>
      <x:c r="K27" s="14"/>
      <x:c r="L27" s="14">
        <x:v>0.7</x:v>
      </x:c>
      <x:c r="M27" s="14">
        <x:v>0.8</x:v>
      </x:c>
      <x:c r="N27" s="7" t="s">
        <x:v>300</x:v>
      </x:c>
      <x:c r="O27" s="7" t="s">
        <x:v>300</x:v>
      </x:c>
      <x:c r="P27" s="10"/>
      <x:c r="Q27" s="10"/>
      <x:c r="R27" s="10">
        <x:v>7177.6</x:v>
      </x:c>
      <x:c r="S27" s="7" t="s">
        <x:v>301</x:v>
      </x:c>
      <x:c r="T27" s="7" t="b">
        <x:v>0</x:v>
      </x:c>
      <x:c r="U27" s="7" t="s">
        <x:v>302</x:v>
      </x:c>
      <x:c r="V27" s="26" t="s">
        <x:v>303</x:v>
      </x:c>
      <x:c r="W27" s="7" t="s">
        <x:v>433</x:v>
      </x:c>
    </x:row>
    <x:row r="28">
      <x:c r="A28" s="7" t="s">
        <x:v>434</x:v>
      </x:c>
      <x:c r="B28" s="7" t="s">
        <x:v>435</x:v>
      </x:c>
      <x:c r="C28" s="7" t="s">
        <x:v>436</x:v>
      </x:c>
      <x:c r="D28" s="7" t="s">
        <x:v>391</x:v>
      </x:c>
      <x:c r="E28" s="10"/>
      <x:c r="F28" s="12">
        <x:v>13.80293</x:v>
      </x:c>
      <x:c r="G28" s="12">
        <x:v>100.58822</x:v>
      </x:c>
      <x:c r="H28" s="7" t="s">
        <x:v>437</x:v>
      </x:c>
      <x:c r="I28" s="14">
        <x:v>0.95</x:v>
      </x:c>
      <x:c r="J28" s="14"/>
      <x:c r="K28" s="14"/>
      <x:c r="L28" s="14">
        <x:v>0.4</x:v>
      </x:c>
      <x:c r="M28" s="14">
        <x:v>0.55</x:v>
      </x:c>
      <x:c r="N28" s="7" t="s">
        <x:v>300</x:v>
      </x:c>
      <x:c r="O28" s="7" t="s">
        <x:v>300</x:v>
      </x:c>
      <x:c r="P28" s="10"/>
      <x:c r="Q28" s="10"/>
      <x:c r="R28" s="10">
        <x:v>8142.6</x:v>
      </x:c>
      <x:c r="S28" s="7" t="s">
        <x:v>301</x:v>
      </x:c>
      <x:c r="T28" s="7" t="b">
        <x:v>0</x:v>
      </x:c>
      <x:c r="U28" s="7" t="s">
        <x:v>302</x:v>
      </x:c>
      <x:c r="V28" s="26" t="s">
        <x:v>303</x:v>
      </x:c>
      <x:c r="W28" s="7" t="s">
        <x:v>438</x:v>
      </x:c>
    </x:row>
    <x:row r="29">
      <x:c r="A29" s="7" t="s">
        <x:v>439</x:v>
      </x:c>
      <x:c r="B29" s="7" t="s">
        <x:v>440</x:v>
      </x:c>
      <x:c r="C29" s="7" t="s">
        <x:v>441</x:v>
      </x:c>
      <x:c r="D29" s="7" t="s">
        <x:v>308</x:v>
      </x:c>
      <x:c r="E29" s="10"/>
      <x:c r="F29" s="12">
        <x:v>13.7972</x:v>
      </x:c>
      <x:c r="G29" s="12">
        <x:v>100.70458</x:v>
      </x:c>
      <x:c r="H29" s="7" t="s">
        <x:v>309</x:v>
      </x:c>
      <x:c r="I29" s="14">
        <x:v>0.93</x:v>
      </x:c>
      <x:c r="J29" s="14"/>
      <x:c r="K29" s="14"/>
      <x:c r="L29" s="14">
        <x:v>0.4</x:v>
      </x:c>
      <x:c r="M29" s="14">
        <x:v>0.6</x:v>
      </x:c>
      <x:c r="N29" s="7" t="s">
        <x:v>300</x:v>
      </x:c>
      <x:c r="O29" s="7" t="s">
        <x:v>300</x:v>
      </x:c>
      <x:c r="P29" s="10"/>
      <x:c r="Q29" s="10"/>
      <x:c r="R29" s="10">
        <x:v>4477.6</x:v>
      </x:c>
      <x:c r="S29" s="7" t="s">
        <x:v>301</x:v>
      </x:c>
      <x:c r="T29" s="7" t="b">
        <x:v>0</x:v>
      </x:c>
      <x:c r="U29" s="7" t="s">
        <x:v>302</x:v>
      </x:c>
      <x:c r="V29" s="26" t="s">
        <x:v>303</x:v>
      </x:c>
      <x:c r="W29" s="7" t="s">
        <x:v>442</x:v>
      </x:c>
    </x:row>
    <x:row r="30">
      <x:c r="A30" s="7" t="s">
        <x:v>443</x:v>
      </x:c>
      <x:c r="B30" s="7" t="s">
        <x:v>444</x:v>
      </x:c>
      <x:c r="C30" s="7" t="s">
        <x:v>445</x:v>
      </x:c>
      <x:c r="D30" s="7" t="s">
        <x:v>446</x:v>
      </x:c>
      <x:c r="E30" s="10"/>
      <x:c r="F30" s="12">
        <x:v>13.6594</x:v>
      </x:c>
      <x:c r="G30" s="12">
        <x:v>100.64935</x:v>
      </x:c>
      <x:c r="H30" s="7" t="s">
        <x:v>309</x:v>
      </x:c>
      <x:c r="I30" s="14">
        <x:v>0.06</x:v>
      </x:c>
      <x:c r="J30" s="14"/>
      <x:c r="K30" s="14"/>
      <x:c r="L30" s="14"/>
      <x:c r="M30" s="14"/>
      <x:c r="N30" s="7" t="s">
        <x:v>300</x:v>
      </x:c>
      <x:c r="O30" s="7" t="s">
        <x:v>300</x:v>
      </x:c>
      <x:c r="P30" s="10"/>
      <x:c r="Q30" s="10"/>
      <x:c r="R30" s="10">
        <x:v>4477.6</x:v>
      </x:c>
      <x:c r="S30" s="7" t="s">
        <x:v>301</x:v>
      </x:c>
      <x:c r="T30" s="7" t="b">
        <x:v>0</x:v>
      </x:c>
      <x:c r="U30" s="7" t="s">
        <x:v>302</x:v>
      </x:c>
      <x:c r="V30" s="26" t="s">
        <x:v>303</x:v>
      </x:c>
      <x:c r="W30" s="7" t="s">
        <x:v>447</x:v>
      </x:c>
    </x:row>
    <x:row r="31">
      <x:c r="A31" s="7" t="s">
        <x:v>448</x:v>
      </x:c>
      <x:c r="B31" s="7" t="s">
        <x:v>449</x:v>
      </x:c>
      <x:c r="C31" s="7" t="s">
        <x:v>450</x:v>
      </x:c>
      <x:c r="D31" s="7" t="s">
        <x:v>403</x:v>
      </x:c>
      <x:c r="E31" s="10"/>
      <x:c r="F31" s="12">
        <x:v>13.83224</x:v>
      </x:c>
      <x:c r="G31" s="12">
        <x:v>100.58974</x:v>
      </x:c>
      <x:c r="H31" s="7" t="s">
        <x:v>309</x:v>
      </x:c>
      <x:c r="I31" s="14">
        <x:v>1.04</x:v>
      </x:c>
      <x:c r="J31" s="14"/>
      <x:c r="K31" s="14"/>
      <x:c r="L31" s="14">
        <x:v>0.6</x:v>
      </x:c>
      <x:c r="M31" s="14">
        <x:v>0.75</x:v>
      </x:c>
      <x:c r="N31" s="7" t="s">
        <x:v>300</x:v>
      </x:c>
      <x:c r="O31" s="7" t="s">
        <x:v>300</x:v>
      </x:c>
      <x:c r="P31" s="10"/>
      <x:c r="Q31" s="10"/>
      <x:c r="R31" s="10">
        <x:v>4477.6</x:v>
      </x:c>
      <x:c r="S31" s="7" t="s">
        <x:v>301</x:v>
      </x:c>
      <x:c r="T31" s="7" t="b">
        <x:v>0</x:v>
      </x:c>
      <x:c r="U31" s="7" t="s">
        <x:v>302</x:v>
      </x:c>
      <x:c r="V31" s="26" t="s">
        <x:v>303</x:v>
      </x:c>
      <x:c r="W31" s="7" t="s">
        <x:v>451</x:v>
      </x:c>
    </x:row>
    <x:row r="32">
      <x:c r="A32" s="7" t="s">
        <x:v>452</x:v>
      </x:c>
      <x:c r="B32" s="7" t="s">
        <x:v>453</x:v>
      </x:c>
      <x:c r="C32" s="7" t="s">
        <x:v>454</x:v>
      </x:c>
      <x:c r="D32" s="7" t="s">
        <x:v>375</x:v>
      </x:c>
      <x:c r="E32" s="10"/>
      <x:c r="F32" s="12">
        <x:v>13.77609</x:v>
      </x:c>
      <x:c r="G32" s="12">
        <x:v>100.62816</x:v>
      </x:c>
      <x:c r="H32" s="7" t="s">
        <x:v>309</x:v>
      </x:c>
      <x:c r="I32" s="14">
        <x:v>0.64</x:v>
      </x:c>
      <x:c r="J32" s="14"/>
      <x:c r="K32" s="14"/>
      <x:c r="L32" s="14">
        <x:v>-0.2</x:v>
      </x:c>
      <x:c r="M32" s="14">
        <x:v>0.0</x:v>
      </x:c>
      <x:c r="N32" s="7" t="s">
        <x:v>300</x:v>
      </x:c>
      <x:c r="O32" s="7" t="s">
        <x:v>300</x:v>
      </x:c>
      <x:c r="P32" s="10"/>
      <x:c r="Q32" s="10"/>
      <x:c r="R32" s="10">
        <x:v>4477.6</x:v>
      </x:c>
      <x:c r="S32" s="7" t="s">
        <x:v>301</x:v>
      </x:c>
      <x:c r="T32" s="7" t="b">
        <x:v>0</x:v>
      </x:c>
      <x:c r="U32" s="7" t="s">
        <x:v>302</x:v>
      </x:c>
      <x:c r="V32" s="26" t="s">
        <x:v>303</x:v>
      </x:c>
      <x:c r="W32" s="7" t="s">
        <x:v>455</x:v>
      </x:c>
    </x:row>
    <x:row r="33">
      <x:c r="A33" s="7" t="s">
        <x:v>456</x:v>
      </x:c>
      <x:c r="B33" s="7" t="s">
        <x:v>457</x:v>
      </x:c>
      <x:c r="C33" s="7" t="s">
        <x:v>458</x:v>
      </x:c>
      <x:c r="D33" s="7" t="s">
        <x:v>459</x:v>
      </x:c>
      <x:c r="E33" s="10"/>
      <x:c r="F33" s="12">
        <x:v>13.79619</x:v>
      </x:c>
      <x:c r="G33" s="12">
        <x:v>100.55035</x:v>
      </x:c>
      <x:c r="H33" s="7" t="s">
        <x:v>309</x:v>
      </x:c>
      <x:c r="I33" s="14">
        <x:v>-0.98</x:v>
      </x:c>
      <x:c r="J33" s="14"/>
      <x:c r="K33" s="14"/>
      <x:c r="L33" s="14">
        <x:v>0.4</x:v>
      </x:c>
      <x:c r="M33" s="14">
        <x:v>0.5</x:v>
      </x:c>
      <x:c r="N33" s="7" t="s">
        <x:v>300</x:v>
      </x:c>
      <x:c r="O33" s="7" t="s">
        <x:v>300</x:v>
      </x:c>
      <x:c r="P33" s="10"/>
      <x:c r="Q33" s="10"/>
      <x:c r="R33" s="10">
        <x:v>4477.6</x:v>
      </x:c>
      <x:c r="S33" s="7" t="s">
        <x:v>301</x:v>
      </x:c>
      <x:c r="T33" s="7" t="b">
        <x:v>0</x:v>
      </x:c>
      <x:c r="U33" s="7" t="s">
        <x:v>302</x:v>
      </x:c>
      <x:c r="V33" s="26" t="s">
        <x:v>303</x:v>
      </x:c>
      <x:c r="W33" s="7" t="s">
        <x:v>460</x:v>
      </x:c>
    </x:row>
    <x:row r="34">
      <x:c r="A34" s="7" t="s">
        <x:v>461</x:v>
      </x:c>
      <x:c r="B34" s="7" t="s">
        <x:v>462</x:v>
      </x:c>
      <x:c r="C34" s="7" t="s">
        <x:v>463</x:v>
      </x:c>
      <x:c r="D34" s="7" t="s">
        <x:v>464</x:v>
      </x:c>
      <x:c r="E34" s="10"/>
      <x:c r="F34" s="12">
        <x:v>13.68206</x:v>
      </x:c>
      <x:c r="G34" s="12">
        <x:v>100.59226</x:v>
      </x:c>
      <x:c r="H34" s="7" t="s">
        <x:v>309</x:v>
      </x:c>
      <x:c r="I34" s="14">
        <x:v>-1.28</x:v>
      </x:c>
      <x:c r="J34" s="14"/>
      <x:c r="K34" s="14"/>
      <x:c r="L34" s="14">
        <x:v>2.6</x:v>
      </x:c>
      <x:c r="M34" s="14">
        <x:v>2.8</x:v>
      </x:c>
      <x:c r="N34" s="7" t="s">
        <x:v>300</x:v>
      </x:c>
      <x:c r="O34" s="7" t="s">
        <x:v>300</x:v>
      </x:c>
      <x:c r="P34" s="10"/>
      <x:c r="Q34" s="10"/>
      <x:c r="R34" s="10">
        <x:v>4477.6</x:v>
      </x:c>
      <x:c r="S34" s="7" t="s">
        <x:v>301</x:v>
      </x:c>
      <x:c r="T34" s="7" t="b">
        <x:v>0</x:v>
      </x:c>
      <x:c r="U34" s="7" t="s">
        <x:v>302</x:v>
      </x:c>
      <x:c r="V34" s="26" t="s">
        <x:v>303</x:v>
      </x:c>
      <x:c r="W34" s="7" t="s">
        <x:v>465</x:v>
      </x:c>
    </x:row>
    <x:row r="35">
      <x:c r="A35" s="7" t="s">
        <x:v>466</x:v>
      </x:c>
      <x:c r="B35" s="7" t="s">
        <x:v>467</x:v>
      </x:c>
      <x:c r="C35" s="7" t="s">
        <x:v>468</x:v>
      </x:c>
      <x:c r="D35" s="7" t="s">
        <x:v>469</x:v>
      </x:c>
      <x:c r="E35" s="10"/>
      <x:c r="F35" s="12">
        <x:v>13.74261</x:v>
      </x:c>
      <x:c r="G35" s="12">
        <x:v>100.49492</x:v>
      </x:c>
      <x:c r="H35" s="7" t="s">
        <x:v>309</x:v>
      </x:c>
      <x:c r="I35" s="14">
        <x:v>-0.41</x:v>
      </x:c>
      <x:c r="J35" s="14"/>
      <x:c r="K35" s="14"/>
      <x:c r="L35" s="14">
        <x:v>0.6</x:v>
      </x:c>
      <x:c r="M35" s="14">
        <x:v>0.7</x:v>
      </x:c>
      <x:c r="N35" s="7" t="s">
        <x:v>300</x:v>
      </x:c>
      <x:c r="O35" s="7" t="s">
        <x:v>300</x:v>
      </x:c>
      <x:c r="P35" s="10"/>
      <x:c r="Q35" s="10"/>
      <x:c r="R35" s="10">
        <x:v>4477.6</x:v>
      </x:c>
      <x:c r="S35" s="7" t="s">
        <x:v>301</x:v>
      </x:c>
      <x:c r="T35" s="7" t="b">
        <x:v>0</x:v>
      </x:c>
      <x:c r="U35" s="7" t="s">
        <x:v>302</x:v>
      </x:c>
      <x:c r="V35" s="26" t="s">
        <x:v>303</x:v>
      </x:c>
      <x:c r="W35" s="7" t="s">
        <x:v>470</x:v>
      </x:c>
    </x:row>
    <x:row r="36">
      <x:c r="A36" s="7" t="s">
        <x:v>471</x:v>
      </x:c>
      <x:c r="B36" s="7" t="s">
        <x:v>472</x:v>
      </x:c>
      <x:c r="C36" s="7" t="s">
        <x:v>473</x:v>
      </x:c>
      <x:c r="D36" s="7" t="s">
        <x:v>431</x:v>
      </x:c>
      <x:c r="E36" s="10"/>
      <x:c r="F36" s="12">
        <x:v>13.89975</x:v>
      </x:c>
      <x:c r="G36" s="12">
        <x:v>100.58673</x:v>
      </x:c>
      <x:c r="H36" s="7" t="s">
        <x:v>474</x:v>
      </x:c>
      <x:c r="I36" s="14">
        <x:v>0.0</x:v>
      </x:c>
      <x:c r="J36" s="14"/>
      <x:c r="K36" s="14"/>
      <x:c r="L36" s="14">
        <x:v>0.6</x:v>
      </x:c>
      <x:c r="M36" s="14">
        <x:v>0.7</x:v>
      </x:c>
      <x:c r="N36" s="7" t="s">
        <x:v>300</x:v>
      </x:c>
      <x:c r="O36" s="7" t="s">
        <x:v>300</x:v>
      </x:c>
      <x:c r="P36" s="10"/>
      <x:c r="Q36" s="10"/>
      <x:c r="R36" s="10">
        <x:v>495442.6</x:v>
      </x:c>
      <x:c r="S36" s="7" t="s">
        <x:v>301</x:v>
      </x:c>
      <x:c r="T36" s="7" t="b">
        <x:v>0</x:v>
      </x:c>
      <x:c r="U36" s="7" t="s">
        <x:v>302</x:v>
      </x:c>
      <x:c r="V36" s="26" t="s">
        <x:v>303</x:v>
      </x:c>
      <x:c r="W36" s="7" t="s">
        <x:v>475</x:v>
      </x:c>
    </x:row>
    <x:row r="37">
      <x:c r="A37" s="7" t="s">
        <x:v>476</x:v>
      </x:c>
      <x:c r="B37" s="7" t="s">
        <x:v>477</x:v>
      </x:c>
      <x:c r="C37" s="7" t="s">
        <x:v>478</x:v>
      </x:c>
      <x:c r="D37" s="7" t="s">
        <x:v>479</x:v>
      </x:c>
      <x:c r="E37" s="10"/>
      <x:c r="F37" s="12">
        <x:v>13.938917</x:v>
      </x:c>
      <x:c r="G37" s="12">
        <x:v>100.606452</x:v>
      </x:c>
      <x:c r="H37" s="7" t="s">
        <x:v>398</x:v>
      </x:c>
      <x:c r="I37" s="14">
        <x:v>0.288</x:v>
      </x:c>
      <x:c r="J37" s="14"/>
      <x:c r="K37" s="14"/>
      <x:c r="L37" s="14"/>
      <x:c r="M37" s="14"/>
      <x:c r="N37" s="7" t="s">
        <x:v>300</x:v>
      </x:c>
      <x:c r="O37" s="7" t="s">
        <x:v>300</x:v>
      </x:c>
      <x:c r="P37" s="10"/>
      <x:c r="Q37" s="10"/>
      <x:c r="R37" s="10">
        <x:v>3561199.6</x:v>
      </x:c>
      <x:c r="S37" s="7" t="s">
        <x:v>301</x:v>
      </x:c>
      <x:c r="T37" s="7" t="b">
        <x:v>0</x:v>
      </x:c>
      <x:c r="U37" s="7" t="s">
        <x:v>302</x:v>
      </x:c>
      <x:c r="V37" s="26" t="s">
        <x:v>303</x:v>
      </x:c>
      <x:c r="W37" s="7" t="s">
        <x:v>480</x:v>
      </x:c>
    </x:row>
    <x:row r="38">
      <x:c r="A38" s="7" t="s">
        <x:v>481</x:v>
      </x:c>
      <x:c r="B38" s="7" t="s">
        <x:v>482</x:v>
      </x:c>
      <x:c r="C38" s="7" t="s">
        <x:v>483</x:v>
      </x:c>
      <x:c r="D38" s="7" t="s">
        <x:v>469</x:v>
      </x:c>
      <x:c r="E38" s="10"/>
      <x:c r="F38" s="12">
        <x:v>13.7422</x:v>
      </x:c>
      <x:c r="G38" s="12">
        <x:v>100.49464</x:v>
      </x:c>
      <x:c r="H38" s="7" t="s">
        <x:v>398</x:v>
      </x:c>
      <x:c r="I38" s="14">
        <x:v>0.426</x:v>
      </x:c>
      <x:c r="J38" s="14"/>
      <x:c r="K38" s="14"/>
      <x:c r="L38" s="14"/>
      <x:c r="M38" s="14"/>
      <x:c r="N38" s="7" t="s">
        <x:v>300</x:v>
      </x:c>
      <x:c r="O38" s="7" t="s">
        <x:v>300</x:v>
      </x:c>
      <x:c r="P38" s="10"/>
      <x:c r="Q38" s="10"/>
      <x:c r="R38" s="10">
        <x:v>3561199.6</x:v>
      </x:c>
      <x:c r="S38" s="7" t="s">
        <x:v>301</x:v>
      </x:c>
      <x:c r="T38" s="7" t="b">
        <x:v>0</x:v>
      </x:c>
      <x:c r="U38" s="7" t="s">
        <x:v>302</x:v>
      </x:c>
      <x:c r="V38" s="26" t="s">
        <x:v>303</x:v>
      </x:c>
      <x:c r="W38" s="7" t="s">
        <x:v>484</x:v>
      </x:c>
    </x:row>
    <x:row r="39">
      <x:c r="A39" s="7" t="s">
        <x:v>485</x:v>
      </x:c>
      <x:c r="B39" s="7" t="s">
        <x:v>486</x:v>
      </x:c>
      <x:c r="C39" s="7" t="s">
        <x:v>487</x:v>
      </x:c>
      <x:c r="D39" s="7" t="s">
        <x:v>352</x:v>
      </x:c>
      <x:c r="E39" s="10"/>
      <x:c r="F39" s="12">
        <x:v>13.752819</x:v>
      </x:c>
      <x:c r="G39" s="12">
        <x:v>100.517188</x:v>
      </x:c>
      <x:c r="H39" s="7" t="s">
        <x:v>398</x:v>
      </x:c>
      <x:c r="I39" s="14">
        <x:v>-0.164</x:v>
      </x:c>
      <x:c r="J39" s="14"/>
      <x:c r="K39" s="14"/>
      <x:c r="L39" s="14"/>
      <x:c r="M39" s="14"/>
      <x:c r="N39" s="7" t="s">
        <x:v>300</x:v>
      </x:c>
      <x:c r="O39" s="7" t="s">
        <x:v>300</x:v>
      </x:c>
      <x:c r="P39" s="10"/>
      <x:c r="Q39" s="10"/>
      <x:c r="R39" s="10">
        <x:v>3561199.6</x:v>
      </x:c>
      <x:c r="S39" s="7" t="s">
        <x:v>301</x:v>
      </x:c>
      <x:c r="T39" s="7" t="b">
        <x:v>0</x:v>
      </x:c>
      <x:c r="U39" s="7" t="s">
        <x:v>302</x:v>
      </x:c>
      <x:c r="V39" s="26" t="s">
        <x:v>303</x:v>
      </x:c>
      <x:c r="W39" s="7" t="s">
        <x:v>488</x:v>
      </x:c>
    </x:row>
    <x:row r="40">
      <x:c r="A40" s="7" t="s">
        <x:v>489</x:v>
      </x:c>
      <x:c r="B40" s="7" t="s">
        <x:v>490</x:v>
      </x:c>
      <x:c r="C40" s="7" t="s">
        <x:v>491</x:v>
      </x:c>
      <x:c r="D40" s="7" t="s">
        <x:v>357</x:v>
      </x:c>
      <x:c r="E40" s="10"/>
      <x:c r="F40" s="12">
        <x:v>13.528701</x:v>
      </x:c>
      <x:c r="G40" s="12">
        <x:v>100.417622</x:v>
      </x:c>
      <x:c r="H40" s="7" t="s">
        <x:v>398</x:v>
      </x:c>
      <x:c r="I40" s="14">
        <x:v>0.414</x:v>
      </x:c>
      <x:c r="J40" s="14"/>
      <x:c r="K40" s="14"/>
      <x:c r="L40" s="14"/>
      <x:c r="M40" s="14"/>
      <x:c r="N40" s="7" t="s">
        <x:v>300</x:v>
      </x:c>
      <x:c r="O40" s="7" t="s">
        <x:v>300</x:v>
      </x:c>
      <x:c r="P40" s="10"/>
      <x:c r="Q40" s="10"/>
      <x:c r="R40" s="10">
        <x:v>3561199.6</x:v>
      </x:c>
      <x:c r="S40" s="7" t="s">
        <x:v>301</x:v>
      </x:c>
      <x:c r="T40" s="7" t="b">
        <x:v>0</x:v>
      </x:c>
      <x:c r="U40" s="7" t="s">
        <x:v>302</x:v>
      </x:c>
      <x:c r="V40" s="26" t="s">
        <x:v>303</x:v>
      </x:c>
      <x:c r="W40" s="7" t="s">
        <x:v>492</x:v>
      </x:c>
    </x:row>
    <x:row r="41">
      <x:c r="A41" s="7" t="s">
        <x:v>493</x:v>
      </x:c>
      <x:c r="B41" s="7" t="s">
        <x:v>494</x:v>
      </x:c>
      <x:c r="C41" s="7" t="s">
        <x:v>495</x:v>
      </x:c>
      <x:c r="D41" s="7" t="s">
        <x:v>496</x:v>
      </x:c>
      <x:c r="E41" s="10"/>
      <x:c r="F41" s="12">
        <x:v>13.765552</x:v>
      </x:c>
      <x:c r="G41" s="12">
        <x:v>100.539566</x:v>
      </x:c>
      <x:c r="H41" s="7" t="s">
        <x:v>398</x:v>
      </x:c>
      <x:c r="I41" s="14">
        <x:v>-0.512</x:v>
      </x:c>
      <x:c r="J41" s="14"/>
      <x:c r="K41" s="14"/>
      <x:c r="L41" s="14"/>
      <x:c r="M41" s="14"/>
      <x:c r="N41" s="7" t="s">
        <x:v>300</x:v>
      </x:c>
      <x:c r="O41" s="7" t="s">
        <x:v>300</x:v>
      </x:c>
      <x:c r="P41" s="10"/>
      <x:c r="Q41" s="10"/>
      <x:c r="R41" s="10">
        <x:v>3561199.6</x:v>
      </x:c>
      <x:c r="S41" s="7" t="s">
        <x:v>301</x:v>
      </x:c>
      <x:c r="T41" s="7" t="b">
        <x:v>0</x:v>
      </x:c>
      <x:c r="U41" s="7" t="s">
        <x:v>302</x:v>
      </x:c>
      <x:c r="V41" s="26" t="s">
        <x:v>303</x:v>
      </x:c>
      <x:c r="W41" s="7" t="s">
        <x:v>497</x:v>
      </x:c>
    </x:row>
    <x:row r="42">
      <x:c r="A42" s="7" t="s">
        <x:v>498</x:v>
      </x:c>
      <x:c r="B42" s="7" t="s">
        <x:v>499</x:v>
      </x:c>
      <x:c r="C42" s="7" t="s">
        <x:v>500</x:v>
      </x:c>
      <x:c r="D42" s="7" t="s">
        <x:v>501</x:v>
      </x:c>
      <x:c r="E42" s="10"/>
      <x:c r="F42" s="12">
        <x:v>13.794856</x:v>
      </x:c>
      <x:c r="G42" s="12">
        <x:v>100.561336</x:v>
      </x:c>
      <x:c r="H42" s="7" t="s">
        <x:v>398</x:v>
      </x:c>
      <x:c r="I42" s="14">
        <x:v>0.0</x:v>
      </x:c>
      <x:c r="J42" s="14"/>
      <x:c r="K42" s="14"/>
      <x:c r="L42" s="14"/>
      <x:c r="M42" s="14"/>
      <x:c r="N42" s="7" t="s">
        <x:v>300</x:v>
      </x:c>
      <x:c r="O42" s="7" t="s">
        <x:v>300</x:v>
      </x:c>
      <x:c r="P42" s="10"/>
      <x:c r="Q42" s="10"/>
      <x:c r="R42" s="10">
        <x:v>3561199.6</x:v>
      </x:c>
      <x:c r="S42" s="7" t="s">
        <x:v>301</x:v>
      </x:c>
      <x:c r="T42" s="7" t="b">
        <x:v>0</x:v>
      </x:c>
      <x:c r="U42" s="7" t="s">
        <x:v>302</x:v>
      </x:c>
      <x:c r="V42" s="26" t="s">
        <x:v>303</x:v>
      </x:c>
      <x:c r="W42" s="7" t="s">
        <x:v>502</x:v>
      </x:c>
    </x:row>
    <x:row r="43">
      <x:c r="A43" s="7" t="s">
        <x:v>503</x:v>
      </x:c>
      <x:c r="B43" s="7" t="s">
        <x:v>504</x:v>
      </x:c>
      <x:c r="C43" s="7" t="s">
        <x:v>505</x:v>
      </x:c>
      <x:c r="D43" s="7" t="s">
        <x:v>403</x:v>
      </x:c>
      <x:c r="E43" s="10"/>
      <x:c r="F43" s="12">
        <x:v>13.855781</x:v>
      </x:c>
      <x:c r="G43" s="12">
        <x:v>100.566765</x:v>
      </x:c>
      <x:c r="H43" s="7" t="s">
        <x:v>398</x:v>
      </x:c>
      <x:c r="I43" s="14">
        <x:v>-5.592</x:v>
      </x:c>
      <x:c r="J43" s="14"/>
      <x:c r="K43" s="14"/>
      <x:c r="L43" s="14"/>
      <x:c r="M43" s="14"/>
      <x:c r="N43" s="7" t="s">
        <x:v>300</x:v>
      </x:c>
      <x:c r="O43" s="7" t="s">
        <x:v>300</x:v>
      </x:c>
      <x:c r="P43" s="10"/>
      <x:c r="Q43" s="10"/>
      <x:c r="R43" s="10">
        <x:v>3561199.6</x:v>
      </x:c>
      <x:c r="S43" s="7" t="s">
        <x:v>301</x:v>
      </x:c>
      <x:c r="T43" s="7" t="b">
        <x:v>0</x:v>
      </x:c>
      <x:c r="U43" s="7" t="s">
        <x:v>302</x:v>
      </x:c>
      <x:c r="V43" s="26" t="s">
        <x:v>303</x:v>
      </x:c>
      <x:c r="W43" s="7" t="s">
        <x:v>506</x:v>
      </x:c>
    </x:row>
    <x:row r="44">
      <x:c r="A44" s="7" t="s">
        <x:v>507</x:v>
      </x:c>
      <x:c r="B44" s="7" t="s">
        <x:v>508</x:v>
      </x:c>
      <x:c r="C44" s="7" t="s">
        <x:v>509</x:v>
      </x:c>
      <x:c r="D44" s="7" t="s">
        <x:v>501</x:v>
      </x:c>
      <x:c r="E44" s="10"/>
      <x:c r="F44" s="12">
        <x:v>13.756143</x:v>
      </x:c>
      <x:c r="G44" s="12">
        <x:v>100.55246</x:v>
      </x:c>
      <x:c r="H44" s="7" t="s">
        <x:v>398</x:v>
      </x:c>
      <x:c r="I44" s="14">
        <x:v>-0.887</x:v>
      </x:c>
      <x:c r="J44" s="14"/>
      <x:c r="K44" s="14"/>
      <x:c r="L44" s="14"/>
      <x:c r="M44" s="14"/>
      <x:c r="N44" s="7" t="s">
        <x:v>300</x:v>
      </x:c>
      <x:c r="O44" s="7" t="s">
        <x:v>300</x:v>
      </x:c>
      <x:c r="P44" s="10"/>
      <x:c r="Q44" s="10"/>
      <x:c r="R44" s="10">
        <x:v>3561199.6</x:v>
      </x:c>
      <x:c r="S44" s="7" t="s">
        <x:v>301</x:v>
      </x:c>
      <x:c r="T44" s="7" t="b">
        <x:v>0</x:v>
      </x:c>
      <x:c r="U44" s="7" t="s">
        <x:v>302</x:v>
      </x:c>
      <x:c r="V44" s="26" t="s">
        <x:v>303</x:v>
      </x:c>
      <x:c r="W44" s="7" t="s">
        <x:v>510</x:v>
      </x:c>
    </x:row>
    <x:row r="45">
      <x:c r="A45" s="7" t="s">
        <x:v>511</x:v>
      </x:c>
      <x:c r="B45" s="7" t="s">
        <x:v>512</x:v>
      </x:c>
      <x:c r="C45" s="7" t="s">
        <x:v>513</x:v>
      </x:c>
      <x:c r="D45" s="7" t="s">
        <x:v>501</x:v>
      </x:c>
      <x:c r="E45" s="10"/>
      <x:c r="F45" s="12">
        <x:v>13.796139</x:v>
      </x:c>
      <x:c r="G45" s="12">
        <x:v>100.574126</x:v>
      </x:c>
      <x:c r="H45" s="7" t="s">
        <x:v>398</x:v>
      </x:c>
      <x:c r="I45" s="14">
        <x:v>-0.179</x:v>
      </x:c>
      <x:c r="J45" s="14"/>
      <x:c r="K45" s="14"/>
      <x:c r="L45" s="14"/>
      <x:c r="M45" s="14"/>
      <x:c r="N45" s="7" t="s">
        <x:v>300</x:v>
      </x:c>
      <x:c r="O45" s="7" t="s">
        <x:v>300</x:v>
      </x:c>
      <x:c r="P45" s="10"/>
      <x:c r="Q45" s="10"/>
      <x:c r="R45" s="10">
        <x:v>3561199.6</x:v>
      </x:c>
      <x:c r="S45" s="7" t="s">
        <x:v>301</x:v>
      </x:c>
      <x:c r="T45" s="7" t="b">
        <x:v>0</x:v>
      </x:c>
      <x:c r="U45" s="7" t="s">
        <x:v>302</x:v>
      </x:c>
      <x:c r="V45" s="26" t="s">
        <x:v>303</x:v>
      </x:c>
      <x:c r="W45" s="7" t="s">
        <x:v>514</x:v>
      </x:c>
    </x:row>
    <x:row r="46">
      <x:c r="A46" s="7" t="s">
        <x:v>515</x:v>
      </x:c>
      <x:c r="B46" s="7" t="s">
        <x:v>516</x:v>
      </x:c>
      <x:c r="C46" s="7" t="s">
        <x:v>517</x:v>
      </x:c>
      <x:c r="D46" s="7" t="s">
        <x:v>426</x:v>
      </x:c>
      <x:c r="E46" s="10"/>
      <x:c r="F46" s="12">
        <x:v>13.805021</x:v>
      </x:c>
      <x:c r="G46" s="12">
        <x:v>100.53607</x:v>
      </x:c>
      <x:c r="H46" s="7" t="s">
        <x:v>398</x:v>
      </x:c>
      <x:c r="I46" s="14">
        <x:v>-0.052</x:v>
      </x:c>
      <x:c r="J46" s="14"/>
      <x:c r="K46" s="14"/>
      <x:c r="L46" s="14"/>
      <x:c r="M46" s="14"/>
      <x:c r="N46" s="7" t="s">
        <x:v>300</x:v>
      </x:c>
      <x:c r="O46" s="7" t="s">
        <x:v>300</x:v>
      </x:c>
      <x:c r="P46" s="10"/>
      <x:c r="Q46" s="10"/>
      <x:c r="R46" s="10">
        <x:v>3561199.6</x:v>
      </x:c>
      <x:c r="S46" s="7" t="s">
        <x:v>301</x:v>
      </x:c>
      <x:c r="T46" s="7" t="b">
        <x:v>0</x:v>
      </x:c>
      <x:c r="U46" s="7" t="s">
        <x:v>302</x:v>
      </x:c>
      <x:c r="V46" s="26" t="s">
        <x:v>303</x:v>
      </x:c>
      <x:c r="W46" s="7" t="s">
        <x:v>518</x:v>
      </x:c>
    </x:row>
    <x:row r="47">
      <x:c r="A47" s="7" t="s">
        <x:v>519</x:v>
      </x:c>
      <x:c r="B47" s="7" t="s">
        <x:v>520</x:v>
      </x:c>
      <x:c r="C47" s="7" t="s">
        <x:v>521</x:v>
      </x:c>
      <x:c r="D47" s="7" t="s">
        <x:v>496</x:v>
      </x:c>
      <x:c r="E47" s="10"/>
      <x:c r="F47" s="12">
        <x:v>13.748123</x:v>
      </x:c>
      <x:c r="G47" s="12">
        <x:v>100.562819</x:v>
      </x:c>
      <x:c r="H47" s="7" t="s">
        <x:v>398</x:v>
      </x:c>
      <x:c r="I47" s="14">
        <x:v>-0.196</x:v>
      </x:c>
      <x:c r="J47" s="14"/>
      <x:c r="K47" s="14"/>
      <x:c r="L47" s="14"/>
      <x:c r="M47" s="14"/>
      <x:c r="N47" s="7" t="s">
        <x:v>300</x:v>
      </x:c>
      <x:c r="O47" s="7" t="s">
        <x:v>300</x:v>
      </x:c>
      <x:c r="P47" s="10"/>
      <x:c r="Q47" s="10"/>
      <x:c r="R47" s="10">
        <x:v>3561199.6</x:v>
      </x:c>
      <x:c r="S47" s="7" t="s">
        <x:v>301</x:v>
      </x:c>
      <x:c r="T47" s="7" t="b">
        <x:v>0</x:v>
      </x:c>
      <x:c r="U47" s="7" t="s">
        <x:v>302</x:v>
      </x:c>
      <x:c r="V47" s="26" t="s">
        <x:v>303</x:v>
      </x:c>
      <x:c r="W47" s="7" t="s">
        <x:v>522</x:v>
      </x:c>
    </x:row>
    <x:row r="48">
      <x:c r="A48" s="7" t="s">
        <x:v>523</x:v>
      </x:c>
      <x:c r="B48" s="7" t="s">
        <x:v>524</x:v>
      </x:c>
      <x:c r="C48" s="7" t="s">
        <x:v>525</x:v>
      </x:c>
      <x:c r="D48" s="7" t="s">
        <x:v>320</x:v>
      </x:c>
      <x:c r="E48" s="10"/>
      <x:c r="F48" s="12">
        <x:v>13.76127</x:v>
      </x:c>
      <x:c r="G48" s="12">
        <x:v>100.615376</x:v>
      </x:c>
      <x:c r="H48" s="7" t="s">
        <x:v>398</x:v>
      </x:c>
      <x:c r="I48" s="14">
        <x:v>-0.368</x:v>
      </x:c>
      <x:c r="J48" s="14"/>
      <x:c r="K48" s="14"/>
      <x:c r="L48" s="14"/>
      <x:c r="M48" s="14"/>
      <x:c r="N48" s="7" t="s">
        <x:v>300</x:v>
      </x:c>
      <x:c r="O48" s="7" t="s">
        <x:v>300</x:v>
      </x:c>
      <x:c r="P48" s="10"/>
      <x:c r="Q48" s="10"/>
      <x:c r="R48" s="10">
        <x:v>3561199.6</x:v>
      </x:c>
      <x:c r="S48" s="7" t="s">
        <x:v>301</x:v>
      </x:c>
      <x:c r="T48" s="7" t="b">
        <x:v>0</x:v>
      </x:c>
      <x:c r="U48" s="7" t="s">
        <x:v>302</x:v>
      </x:c>
      <x:c r="V48" s="26" t="s">
        <x:v>303</x:v>
      </x:c>
      <x:c r="W48" s="7" t="s">
        <x:v>526</x:v>
      </x:c>
    </x:row>
    <x:row r="49">
      <x:c r="A49" s="7" t="s">
        <x:v>527</x:v>
      </x:c>
      <x:c r="B49" s="7" t="s">
        <x:v>528</x:v>
      </x:c>
      <x:c r="C49" s="7" t="s">
        <x:v>529</x:v>
      </x:c>
      <x:c r="D49" s="7" t="s">
        <x:v>397</x:v>
      </x:c>
      <x:c r="E49" s="10"/>
      <x:c r="F49" s="12">
        <x:v>13.83379</x:v>
      </x:c>
      <x:c r="G49" s="12">
        <x:v>100.522105</x:v>
      </x:c>
      <x:c r="H49" s="7" t="s">
        <x:v>398</x:v>
      </x:c>
      <x:c r="I49" s="14">
        <x:v>0.159</x:v>
      </x:c>
      <x:c r="J49" s="14"/>
      <x:c r="K49" s="14"/>
      <x:c r="L49" s="14"/>
      <x:c r="M49" s="14"/>
      <x:c r="N49" s="7" t="s">
        <x:v>300</x:v>
      </x:c>
      <x:c r="O49" s="7" t="s">
        <x:v>300</x:v>
      </x:c>
      <x:c r="P49" s="10"/>
      <x:c r="Q49" s="10"/>
      <x:c r="R49" s="10">
        <x:v>3561199.6</x:v>
      </x:c>
      <x:c r="S49" s="7" t="s">
        <x:v>301</x:v>
      </x:c>
      <x:c r="T49" s="7" t="b">
        <x:v>0</x:v>
      </x:c>
      <x:c r="U49" s="7" t="s">
        <x:v>302</x:v>
      </x:c>
      <x:c r="V49" s="26" t="s">
        <x:v>303</x:v>
      </x:c>
      <x:c r="W49" s="7" t="s">
        <x:v>530</x:v>
      </x:c>
    </x:row>
    <x:row r="50">
      <x:c r="A50" s="7" t="s">
        <x:v>531</x:v>
      </x:c>
      <x:c r="B50" s="7" t="s">
        <x:v>532</x:v>
      </x:c>
      <x:c r="C50" s="7" t="s">
        <x:v>533</x:v>
      </x:c>
      <x:c r="D50" s="7" t="s">
        <x:v>459</x:v>
      </x:c>
      <x:c r="E50" s="10"/>
      <x:c r="F50" s="12">
        <x:v>13.796218</x:v>
      </x:c>
      <x:c r="G50" s="12">
        <x:v>100.55032</x:v>
      </x:c>
      <x:c r="H50" s="7" t="s">
        <x:v>398</x:v>
      </x:c>
      <x:c r="I50" s="14">
        <x:v>0.176</x:v>
      </x:c>
      <x:c r="J50" s="14"/>
      <x:c r="K50" s="14"/>
      <x:c r="L50" s="14"/>
      <x:c r="M50" s="14"/>
      <x:c r="N50" s="7" t="s">
        <x:v>300</x:v>
      </x:c>
      <x:c r="O50" s="7" t="s">
        <x:v>300</x:v>
      </x:c>
      <x:c r="P50" s="10"/>
      <x:c r="Q50" s="10"/>
      <x:c r="R50" s="10">
        <x:v>3561199.6</x:v>
      </x:c>
      <x:c r="S50" s="7" t="s">
        <x:v>301</x:v>
      </x:c>
      <x:c r="T50" s="7" t="b">
        <x:v>0</x:v>
      </x:c>
      <x:c r="U50" s="7" t="s">
        <x:v>302</x:v>
      </x:c>
      <x:c r="V50" s="26" t="s">
        <x:v>303</x:v>
      </x:c>
      <x:c r="W50" s="7" t="s">
        <x:v>534</x:v>
      </x:c>
    </x:row>
    <x:row r="51">
      <x:c r="A51" s="7" t="s">
        <x:v>535</x:v>
      </x:c>
      <x:c r="B51" s="7" t="s">
        <x:v>536</x:v>
      </x:c>
      <x:c r="C51" s="7" t="s">
        <x:v>537</x:v>
      </x:c>
      <x:c r="D51" s="7" t="s">
        <x:v>538</x:v>
      </x:c>
      <x:c r="E51" s="10"/>
      <x:c r="F51" s="12">
        <x:v>13.7917</x:v>
      </x:c>
      <x:c r="G51" s="12">
        <x:v>100.91164</x:v>
      </x:c>
      <x:c r="H51" s="7" t="s">
        <x:v>539</x:v>
      </x:c>
      <x:c r="I51" s="14">
        <x:v>0.38</x:v>
      </x:c>
      <x:c r="J51" s="14"/>
      <x:c r="K51" s="14"/>
      <x:c r="L51" s="14">
        <x:v>0.6</x:v>
      </x:c>
      <x:c r="M51" s="14">
        <x:v>0.8</x:v>
      </x:c>
      <x:c r="N51" s="7" t="s">
        <x:v>300</x:v>
      </x:c>
      <x:c r="O51" s="7" t="s">
        <x:v>300</x:v>
      </x:c>
      <x:c r="P51" s="10"/>
      <x:c r="Q51" s="10"/>
      <x:c r="R51" s="10">
        <x:v>1585837.6</x:v>
      </x:c>
      <x:c r="S51" s="7" t="s">
        <x:v>301</x:v>
      </x:c>
      <x:c r="T51" s="7" t="b">
        <x:v>0</x:v>
      </x:c>
      <x:c r="U51" s="7" t="s">
        <x:v>302</x:v>
      </x:c>
      <x:c r="V51" s="26" t="s">
        <x:v>303</x:v>
      </x:c>
      <x:c r="W51" s="7" t="s">
        <x:v>540</x:v>
      </x:c>
    </x:row>
    <x:row r="52">
      <x:c r="A52" s="7" t="s">
        <x:v>541</x:v>
      </x:c>
      <x:c r="B52" s="7" t="s">
        <x:v>542</x:v>
      </x:c>
      <x:c r="C52" s="7" t="s">
        <x:v>543</x:v>
      </x:c>
      <x:c r="D52" s="7" t="s">
        <x:v>544</x:v>
      </x:c>
      <x:c r="E52" s="10"/>
      <x:c r="F52" s="12">
        <x:v>13.777896</x:v>
      </x:c>
      <x:c r="G52" s="12">
        <x:v>100.521271</x:v>
      </x:c>
      <x:c r="H52" s="7" t="s">
        <x:v>398</x:v>
      </x:c>
      <x:c r="I52" s="14">
        <x:v>-0.464</x:v>
      </x:c>
      <x:c r="J52" s="14"/>
      <x:c r="K52" s="14"/>
      <x:c r="L52" s="14"/>
      <x:c r="M52" s="14"/>
      <x:c r="N52" s="7" t="s">
        <x:v>300</x:v>
      </x:c>
      <x:c r="O52" s="7" t="s">
        <x:v>300</x:v>
      </x:c>
      <x:c r="P52" s="10"/>
      <x:c r="Q52" s="10"/>
      <x:c r="R52" s="10">
        <x:v>3561199.6</x:v>
      </x:c>
      <x:c r="S52" s="7" t="s">
        <x:v>301</x:v>
      </x:c>
      <x:c r="T52" s="7" t="b">
        <x:v>0</x:v>
      </x:c>
      <x:c r="U52" s="7" t="s">
        <x:v>302</x:v>
      </x:c>
      <x:c r="V52" s="26" t="s">
        <x:v>303</x:v>
      </x:c>
      <x:c r="W52" s="7" t="s">
        <x:v>545</x:v>
      </x:c>
    </x:row>
    <x:row r="53">
      <x:c r="A53" s="7" t="s">
        <x:v>546</x:v>
      </x:c>
      <x:c r="B53" s="7" t="s">
        <x:v>547</x:v>
      </x:c>
      <x:c r="C53" s="7" t="s">
        <x:v>548</x:v>
      </x:c>
      <x:c r="D53" s="7" t="s">
        <x:v>549</x:v>
      </x:c>
      <x:c r="E53" s="10"/>
      <x:c r="F53" s="12">
        <x:v>13.737542</x:v>
      </x:c>
      <x:c r="G53" s="12">
        <x:v>100.604497</x:v>
      </x:c>
      <x:c r="H53" s="7" t="s">
        <x:v>398</x:v>
      </x:c>
      <x:c r="I53" s="14">
        <x:v>-0.358</x:v>
      </x:c>
      <x:c r="J53" s="14"/>
      <x:c r="K53" s="14"/>
      <x:c r="L53" s="14"/>
      <x:c r="M53" s="14"/>
      <x:c r="N53" s="7" t="s">
        <x:v>300</x:v>
      </x:c>
      <x:c r="O53" s="7" t="s">
        <x:v>300</x:v>
      </x:c>
      <x:c r="P53" s="10"/>
      <x:c r="Q53" s="10"/>
      <x:c r="R53" s="10">
        <x:v>3561199.6</x:v>
      </x:c>
      <x:c r="S53" s="7" t="s">
        <x:v>301</x:v>
      </x:c>
      <x:c r="T53" s="7" t="b">
        <x:v>0</x:v>
      </x:c>
      <x:c r="U53" s="7" t="s">
        <x:v>302</x:v>
      </x:c>
      <x:c r="V53" s="26" t="s">
        <x:v>303</x:v>
      </x:c>
      <x:c r="W53" s="7" t="s">
        <x:v>550</x:v>
      </x:c>
    </x:row>
    <x:row r="54">
      <x:c r="A54" s="7" t="s">
        <x:v>551</x:v>
      </x:c>
      <x:c r="B54" s="7" t="s">
        <x:v>552</x:v>
      </x:c>
      <x:c r="C54" s="7" t="s">
        <x:v>553</x:v>
      </x:c>
      <x:c r="D54" s="7" t="s">
        <x:v>554</x:v>
      </x:c>
      <x:c r="E54" s="10"/>
      <x:c r="F54" s="12">
        <x:v>13.85366</x:v>
      </x:c>
      <x:c r="G54" s="12">
        <x:v>100.86679</x:v>
      </x:c>
      <x:c r="H54" s="7" t="s">
        <x:v>555</x:v>
      </x:c>
      <x:c r="I54" s="14">
        <x:v>1.3</x:v>
      </x:c>
      <x:c r="J54" s="14"/>
      <x:c r="K54" s="14"/>
      <x:c r="L54" s="14">
        <x:v>0.9</x:v>
      </x:c>
      <x:c r="M54" s="14">
        <x:v>1.1</x:v>
      </x:c>
      <x:c r="N54" s="7" t="s">
        <x:v>300</x:v>
      </x:c>
      <x:c r="O54" s="7" t="s">
        <x:v>300</x:v>
      </x:c>
      <x:c r="P54" s="10"/>
      <x:c r="Q54" s="10"/>
      <x:c r="R54" s="10">
        <x:v>6817.6</x:v>
      </x:c>
      <x:c r="S54" s="7" t="s">
        <x:v>301</x:v>
      </x:c>
      <x:c r="T54" s="7" t="b">
        <x:v>0</x:v>
      </x:c>
      <x:c r="U54" s="7" t="s">
        <x:v>302</x:v>
      </x:c>
      <x:c r="V54" s="26" t="s">
        <x:v>303</x:v>
      </x:c>
      <x:c r="W54" s="7" t="s">
        <x:v>556</x:v>
      </x:c>
    </x:row>
    <x:row r="55">
      <x:c r="A55" s="7" t="s">
        <x:v>557</x:v>
      </x:c>
      <x:c r="B55" s="7" t="s">
        <x:v>558</x:v>
      </x:c>
      <x:c r="C55" s="7" t="s">
        <x:v>559</x:v>
      </x:c>
      <x:c r="D55" s="7" t="s">
        <x:v>501</x:v>
      </x:c>
      <x:c r="E55" s="10"/>
      <x:c r="F55" s="12">
        <x:v>13.79624</x:v>
      </x:c>
      <x:c r="G55" s="12">
        <x:v>100.57422</x:v>
      </x:c>
      <x:c r="H55" s="7" t="s">
        <x:v>309</x:v>
      </x:c>
      <x:c r="I55" s="14">
        <x:v>-0.33</x:v>
      </x:c>
      <x:c r="J55" s="14"/>
      <x:c r="K55" s="14"/>
      <x:c r="L55" s="14">
        <x:v>0.1</x:v>
      </x:c>
      <x:c r="M55" s="14">
        <x:v>0.2</x:v>
      </x:c>
      <x:c r="N55" s="7" t="s">
        <x:v>300</x:v>
      </x:c>
      <x:c r="O55" s="7" t="s">
        <x:v>300</x:v>
      </x:c>
      <x:c r="P55" s="10"/>
      <x:c r="Q55" s="10"/>
      <x:c r="R55" s="10">
        <x:v>4477.6</x:v>
      </x:c>
      <x:c r="S55" s="7" t="s">
        <x:v>301</x:v>
      </x:c>
      <x:c r="T55" s="7" t="b">
        <x:v>0</x:v>
      </x:c>
      <x:c r="U55" s="7" t="s">
        <x:v>302</x:v>
      </x:c>
      <x:c r="V55" s="26" t="s">
        <x:v>303</x:v>
      </x:c>
      <x:c r="W55" s="7" t="s">
        <x:v>560</x:v>
      </x:c>
    </x:row>
    <x:row r="56">
      <x:c r="A56" s="7" t="s">
        <x:v>561</x:v>
      </x:c>
      <x:c r="B56" s="7" t="s">
        <x:v>562</x:v>
      </x:c>
      <x:c r="C56" s="7" t="s">
        <x:v>563</x:v>
      </x:c>
      <x:c r="D56" s="7" t="s">
        <x:v>341</x:v>
      </x:c>
      <x:c r="E56" s="10"/>
      <x:c r="F56" s="12">
        <x:v>13.75063</x:v>
      </x:c>
      <x:c r="G56" s="12">
        <x:v>100.3534</x:v>
      </x:c>
      <x:c r="H56" s="7" t="s">
        <x:v>309</x:v>
      </x:c>
      <x:c r="I56" s="14">
        <x:v>0.92</x:v>
      </x:c>
      <x:c r="J56" s="14"/>
      <x:c r="K56" s="14"/>
      <x:c r="L56" s="14">
        <x:v>0.8</x:v>
      </x:c>
      <x:c r="M56" s="14">
        <x:v>0.9</x:v>
      </x:c>
      <x:c r="N56" s="7" t="s">
        <x:v>300</x:v>
      </x:c>
      <x:c r="O56" s="7" t="s">
        <x:v>300</x:v>
      </x:c>
      <x:c r="P56" s="10"/>
      <x:c r="Q56" s="10"/>
      <x:c r="R56" s="10">
        <x:v>4477.6</x:v>
      </x:c>
      <x:c r="S56" s="7" t="s">
        <x:v>301</x:v>
      </x:c>
      <x:c r="T56" s="7" t="b">
        <x:v>0</x:v>
      </x:c>
      <x:c r="U56" s="7" t="s">
        <x:v>302</x:v>
      </x:c>
      <x:c r="V56" s="26" t="s">
        <x:v>303</x:v>
      </x:c>
      <x:c r="W56" s="7" t="s">
        <x:v>564</x:v>
      </x:c>
    </x:row>
    <x:row r="57">
      <x:c r="A57" s="7" t="s">
        <x:v>565</x:v>
      </x:c>
      <x:c r="B57" s="7" t="s">
        <x:v>566</x:v>
      </x:c>
      <x:c r="C57" s="7" t="s">
        <x:v>567</x:v>
      </x:c>
      <x:c r="D57" s="7" t="s">
        <x:v>347</x:v>
      </x:c>
      <x:c r="E57" s="10"/>
      <x:c r="F57" s="12">
        <x:v>13.80014</x:v>
      </x:c>
      <x:c r="G57" s="12">
        <x:v>100.34874</x:v>
      </x:c>
      <x:c r="H57" s="7" t="s">
        <x:v>309</x:v>
      </x:c>
      <x:c r="I57" s="14">
        <x:v>0.93</x:v>
      </x:c>
      <x:c r="J57" s="14"/>
      <x:c r="K57" s="14"/>
      <x:c r="L57" s="14">
        <x:v>0.9</x:v>
      </x:c>
      <x:c r="M57" s="14">
        <x:v>1.0</x:v>
      </x:c>
      <x:c r="N57" s="7" t="s">
        <x:v>300</x:v>
      </x:c>
      <x:c r="O57" s="7" t="s">
        <x:v>300</x:v>
      </x:c>
      <x:c r="P57" s="10"/>
      <x:c r="Q57" s="10"/>
      <x:c r="R57" s="10">
        <x:v>4477.6</x:v>
      </x:c>
      <x:c r="S57" s="7" t="s">
        <x:v>301</x:v>
      </x:c>
      <x:c r="T57" s="7" t="b">
        <x:v>0</x:v>
      </x:c>
      <x:c r="U57" s="7" t="s">
        <x:v>302</x:v>
      </x:c>
      <x:c r="V57" s="26" t="s">
        <x:v>303</x:v>
      </x:c>
      <x:c r="W57" s="7" t="s">
        <x:v>568</x:v>
      </x:c>
    </x:row>
    <x:row r="58">
      <x:c r="A58" s="7" t="s">
        <x:v>569</x:v>
      </x:c>
      <x:c r="B58" s="7" t="s">
        <x:v>570</x:v>
      </x:c>
      <x:c r="C58" s="7" t="s">
        <x:v>571</x:v>
      </x:c>
      <x:c r="D58" s="7" t="s">
        <x:v>391</x:v>
      </x:c>
      <x:c r="E58" s="10"/>
      <x:c r="F58" s="12">
        <x:v>13.803017</x:v>
      </x:c>
      <x:c r="G58" s="12">
        <x:v>100.588259</x:v>
      </x:c>
      <x:c r="H58" s="7" t="s">
        <x:v>398</x:v>
      </x:c>
      <x:c r="I58" s="14">
        <x:v>-0.033</x:v>
      </x:c>
      <x:c r="J58" s="14"/>
      <x:c r="K58" s="14"/>
      <x:c r="L58" s="14"/>
      <x:c r="M58" s="14"/>
      <x:c r="N58" s="7" t="s">
        <x:v>300</x:v>
      </x:c>
      <x:c r="O58" s="7" t="s">
        <x:v>300</x:v>
      </x:c>
      <x:c r="P58" s="10"/>
      <x:c r="Q58" s="10"/>
      <x:c r="R58" s="10">
        <x:v>3561199.6</x:v>
      </x:c>
      <x:c r="S58" s="7" t="s">
        <x:v>301</x:v>
      </x:c>
      <x:c r="T58" s="7" t="b">
        <x:v>0</x:v>
      </x:c>
      <x:c r="U58" s="7" t="s">
        <x:v>302</x:v>
      </x:c>
      <x:c r="V58" s="26" t="s">
        <x:v>303</x:v>
      </x:c>
      <x:c r="W58" s="7" t="s">
        <x:v>572</x:v>
      </x:c>
    </x:row>
    <x:row r="59">
      <x:c r="A59" s="7" t="s">
        <x:v>573</x:v>
      </x:c>
      <x:c r="B59" s="7" t="s">
        <x:v>574</x:v>
      </x:c>
      <x:c r="C59" s="7" t="s">
        <x:v>575</x:v>
      </x:c>
      <x:c r="D59" s="7" t="s">
        <x:v>544</x:v>
      </x:c>
      <x:c r="E59" s="10"/>
      <x:c r="F59" s="12">
        <x:v>13.798166</x:v>
      </x:c>
      <x:c r="G59" s="12">
        <x:v>100.532279</x:v>
      </x:c>
      <x:c r="H59" s="7" t="s">
        <x:v>398</x:v>
      </x:c>
      <x:c r="I59" s="14">
        <x:v>-0.095</x:v>
      </x:c>
      <x:c r="J59" s="14"/>
      <x:c r="K59" s="14"/>
      <x:c r="L59" s="14"/>
      <x:c r="M59" s="14"/>
      <x:c r="N59" s="7" t="s">
        <x:v>300</x:v>
      </x:c>
      <x:c r="O59" s="7" t="s">
        <x:v>300</x:v>
      </x:c>
      <x:c r="P59" s="10"/>
      <x:c r="Q59" s="10"/>
      <x:c r="R59" s="10">
        <x:v>3561199.6</x:v>
      </x:c>
      <x:c r="S59" s="7" t="s">
        <x:v>301</x:v>
      </x:c>
      <x:c r="T59" s="7" t="b">
        <x:v>0</x:v>
      </x:c>
      <x:c r="U59" s="7" t="s">
        <x:v>302</x:v>
      </x:c>
      <x:c r="V59" s="26" t="s">
        <x:v>303</x:v>
      </x:c>
      <x:c r="W59" s="7" t="s">
        <x:v>576</x:v>
      </x:c>
    </x:row>
    <x:row r="60">
      <x:c r="A60" s="7" t="s">
        <x:v>577</x:v>
      </x:c>
      <x:c r="B60" s="7" t="s">
        <x:v>578</x:v>
      </x:c>
      <x:c r="C60" s="7" t="s">
        <x:v>579</x:v>
      </x:c>
      <x:c r="D60" s="7" t="s">
        <x:v>391</x:v>
      </x:c>
      <x:c r="E60" s="10"/>
      <x:c r="F60" s="12">
        <x:v>13.750381</x:v>
      </x:c>
      <x:c r="G60" s="12">
        <x:v>100.592702</x:v>
      </x:c>
      <x:c r="H60" s="7" t="s">
        <x:v>398</x:v>
      </x:c>
      <x:c r="I60" s="14">
        <x:v>-0.936</x:v>
      </x:c>
      <x:c r="J60" s="14"/>
      <x:c r="K60" s="14"/>
      <x:c r="L60" s="14"/>
      <x:c r="M60" s="14"/>
      <x:c r="N60" s="7" t="s">
        <x:v>300</x:v>
      </x:c>
      <x:c r="O60" s="7" t="s">
        <x:v>300</x:v>
      </x:c>
      <x:c r="P60" s="10"/>
      <x:c r="Q60" s="10"/>
      <x:c r="R60" s="10">
        <x:v>3561199.6</x:v>
      </x:c>
      <x:c r="S60" s="7" t="s">
        <x:v>301</x:v>
      </x:c>
      <x:c r="T60" s="7" t="b">
        <x:v>0</x:v>
      </x:c>
      <x:c r="U60" s="7" t="s">
        <x:v>302</x:v>
      </x:c>
      <x:c r="V60" s="26" t="s">
        <x:v>303</x:v>
      </x:c>
      <x:c r="W60" s="7" t="s">
        <x:v>580</x:v>
      </x:c>
    </x:row>
    <x:row r="61">
      <x:c r="A61" s="7" t="s">
        <x:v>581</x:v>
      </x:c>
      <x:c r="B61" s="7" t="s">
        <x:v>582</x:v>
      </x:c>
      <x:c r="C61" s="7" t="s">
        <x:v>583</x:v>
      </x:c>
      <x:c r="D61" s="7" t="s">
        <x:v>584</x:v>
      </x:c>
      <x:c r="E61" s="10"/>
      <x:c r="F61" s="12">
        <x:v>13.68658</x:v>
      </x:c>
      <x:c r="G61" s="12">
        <x:v>100.42615</x:v>
      </x:c>
      <x:c r="H61" s="7" t="s">
        <x:v>585</x:v>
      </x:c>
      <x:c r="I61" s="14">
        <x:v>-0.19</x:v>
      </x:c>
      <x:c r="J61" s="14"/>
      <x:c r="K61" s="14"/>
      <x:c r="L61" s="14">
        <x:v>1.65</x:v>
      </x:c>
      <x:c r="M61" s="14">
        <x:v>1.85</x:v>
      </x:c>
      <x:c r="N61" s="7" t="s">
        <x:v>300</x:v>
      </x:c>
      <x:c r="O61" s="7" t="s">
        <x:v>300</x:v>
      </x:c>
      <x:c r="P61" s="10"/>
      <x:c r="Q61" s="10"/>
      <x:c r="R61" s="10">
        <x:v>1252927.6</x:v>
      </x:c>
      <x:c r="S61" s="7" t="s">
        <x:v>301</x:v>
      </x:c>
      <x:c r="T61" s="7" t="b">
        <x:v>0</x:v>
      </x:c>
      <x:c r="U61" s="7" t="s">
        <x:v>302</x:v>
      </x:c>
      <x:c r="V61" s="26" t="s">
        <x:v>303</x:v>
      </x:c>
      <x:c r="W61" s="7" t="s">
        <x:v>586</x:v>
      </x:c>
    </x:row>
    <x:row r="62">
      <x:c r="A62" s="7" t="s">
        <x:v>587</x:v>
      </x:c>
      <x:c r="B62" s="7" t="s">
        <x:v>588</x:v>
      </x:c>
      <x:c r="C62" s="7" t="s">
        <x:v>589</x:v>
      </x:c>
      <x:c r="D62" s="7" t="s">
        <x:v>479</x:v>
      </x:c>
      <x:c r="E62" s="10"/>
      <x:c r="F62" s="12">
        <x:v>13.9272</x:v>
      </x:c>
      <x:c r="G62" s="12">
        <x:v>100.58565</x:v>
      </x:c>
      <x:c r="H62" s="7" t="s">
        <x:v>590</x:v>
      </x:c>
      <x:c r="I62" s="14">
        <x:v>-0.02</x:v>
      </x:c>
      <x:c r="J62" s="14"/>
      <x:c r="K62" s="14"/>
      <x:c r="L62" s="14">
        <x:v>0.7</x:v>
      </x:c>
      <x:c r="M62" s="14">
        <x:v>0.9</x:v>
      </x:c>
      <x:c r="N62" s="7" t="s">
        <x:v>300</x:v>
      </x:c>
      <x:c r="O62" s="7" t="s">
        <x:v>300</x:v>
      </x:c>
      <x:c r="P62" s="10"/>
      <x:c r="Q62" s="10"/>
      <x:c r="R62" s="10">
        <x:v>1283032.6</x:v>
      </x:c>
      <x:c r="S62" s="7" t="s">
        <x:v>301</x:v>
      </x:c>
      <x:c r="T62" s="7" t="b">
        <x:v>0</x:v>
      </x:c>
      <x:c r="U62" s="7" t="s">
        <x:v>302</x:v>
      </x:c>
      <x:c r="V62" s="26" t="s">
        <x:v>303</x:v>
      </x:c>
      <x:c r="W62" s="7" t="s">
        <x:v>591</x:v>
      </x:c>
    </x:row>
    <x:row r="63">
      <x:c r="A63" s="7" t="s">
        <x:v>592</x:v>
      </x:c>
      <x:c r="B63" s="7" t="s">
        <x:v>593</x:v>
      </x:c>
      <x:c r="C63" s="7" t="s">
        <x:v>594</x:v>
      </x:c>
      <x:c r="D63" s="7" t="s">
        <x:v>554</x:v>
      </x:c>
      <x:c r="E63" s="10"/>
      <x:c r="F63" s="12">
        <x:v>13.81747</x:v>
      </x:c>
      <x:c r="G63" s="12">
        <x:v>100.85013</x:v>
      </x:c>
      <x:c r="H63" s="7" t="s">
        <x:v>595</x:v>
      </x:c>
      <x:c r="I63" s="14">
        <x:v>2.0</x:v>
      </x:c>
      <x:c r="J63" s="14"/>
      <x:c r="K63" s="14"/>
      <x:c r="L63" s="14">
        <x:v>0.8</x:v>
      </x:c>
      <x:c r="M63" s="14">
        <x:v>0.9</x:v>
      </x:c>
      <x:c r="N63" s="7" t="s">
        <x:v>300</x:v>
      </x:c>
      <x:c r="O63" s="7" t="s">
        <x:v>300</x:v>
      </x:c>
      <x:c r="P63" s="10"/>
      <x:c r="Q63" s="10"/>
      <x:c r="R63" s="10">
        <x:v>1112762.6</x:v>
      </x:c>
      <x:c r="S63" s="7" t="s">
        <x:v>301</x:v>
      </x:c>
      <x:c r="T63" s="7" t="b">
        <x:v>0</x:v>
      </x:c>
      <x:c r="U63" s="7" t="s">
        <x:v>302</x:v>
      </x:c>
      <x:c r="V63" s="26" t="s">
        <x:v>303</x:v>
      </x:c>
      <x:c r="W63" s="7" t="s">
        <x:v>596</x:v>
      </x:c>
    </x:row>
    <x:row r="64">
      <x:c r="A64" s="7" t="s">
        <x:v>597</x:v>
      </x:c>
      <x:c r="B64" s="7" t="s">
        <x:v>598</x:v>
      </x:c>
      <x:c r="C64" s="7" t="s">
        <x:v>599</x:v>
      </x:c>
      <x:c r="D64" s="7" t="s">
        <x:v>600</x:v>
      </x:c>
      <x:c r="E64" s="10"/>
      <x:c r="F64" s="12">
        <x:v>13.78422</x:v>
      </x:c>
      <x:c r="G64" s="12">
        <x:v>100.46424</x:v>
      </x:c>
      <x:c r="H64" s="7" t="s">
        <x:v>309</x:v>
      </x:c>
      <x:c r="I64" s="14">
        <x:v>0.02</x:v>
      </x:c>
      <x:c r="J64" s="14"/>
      <x:c r="K64" s="14"/>
      <x:c r="L64" s="14">
        <x:v>1.65</x:v>
      </x:c>
      <x:c r="M64" s="14">
        <x:v>1.85</x:v>
      </x:c>
      <x:c r="N64" s="7" t="s">
        <x:v>300</x:v>
      </x:c>
      <x:c r="O64" s="7" t="s">
        <x:v>300</x:v>
      </x:c>
      <x:c r="P64" s="10"/>
      <x:c r="Q64" s="10"/>
      <x:c r="R64" s="10">
        <x:v>4477.6</x:v>
      </x:c>
      <x:c r="S64" s="7" t="s">
        <x:v>301</x:v>
      </x:c>
      <x:c r="T64" s="7" t="b">
        <x:v>0</x:v>
      </x:c>
      <x:c r="U64" s="7" t="s">
        <x:v>302</x:v>
      </x:c>
      <x:c r="V64" s="26" t="s">
        <x:v>303</x:v>
      </x:c>
      <x:c r="W64" s="7" t="s">
        <x:v>601</x:v>
      </x:c>
    </x:row>
    <x:row r="65">
      <x:c r="A65" s="7" t="s">
        <x:v>602</x:v>
      </x:c>
      <x:c r="B65" s="7" t="s">
        <x:v>603</x:v>
      </x:c>
      <x:c r="C65" s="7" t="s">
        <x:v>604</x:v>
      </x:c>
      <x:c r="D65" s="7" t="s">
        <x:v>469</x:v>
      </x:c>
      <x:c r="E65" s="10"/>
      <x:c r="F65" s="12">
        <x:v>13.75655</x:v>
      </x:c>
      <x:c r="G65" s="12">
        <x:v>100.50563</x:v>
      </x:c>
      <x:c r="H65" s="7" t="s">
        <x:v>309</x:v>
      </x:c>
      <x:c r="I65" s="14">
        <x:v>-0.24</x:v>
      </x:c>
      <x:c r="J65" s="14"/>
      <x:c r="K65" s="14"/>
      <x:c r="L65" s="14">
        <x:v>1.65</x:v>
      </x:c>
      <x:c r="M65" s="14">
        <x:v>1.85</x:v>
      </x:c>
      <x:c r="N65" s="7" t="s">
        <x:v>300</x:v>
      </x:c>
      <x:c r="O65" s="7" t="s">
        <x:v>300</x:v>
      </x:c>
      <x:c r="P65" s="10"/>
      <x:c r="Q65" s="10"/>
      <x:c r="R65" s="10">
        <x:v>4477.6</x:v>
      </x:c>
      <x:c r="S65" s="7" t="s">
        <x:v>301</x:v>
      </x:c>
      <x:c r="T65" s="7" t="b">
        <x:v>0</x:v>
      </x:c>
      <x:c r="U65" s="7" t="s">
        <x:v>302</x:v>
      </x:c>
      <x:c r="V65" s="26" t="s">
        <x:v>303</x:v>
      </x:c>
      <x:c r="W65" s="7" t="s">
        <x:v>605</x:v>
      </x:c>
    </x:row>
    <x:row r="66">
      <x:c r="A66" s="7" t="s">
        <x:v>606</x:v>
      </x:c>
      <x:c r="B66" s="7" t="s">
        <x:v>607</x:v>
      </x:c>
      <x:c r="C66" s="7" t="s">
        <x:v>608</x:v>
      </x:c>
      <x:c r="D66" s="7" t="s">
        <x:v>501</x:v>
      </x:c>
      <x:c r="E66" s="10"/>
      <x:c r="F66" s="12">
        <x:v>13.79486</x:v>
      </x:c>
      <x:c r="G66" s="12">
        <x:v>100.56157</x:v>
      </x:c>
      <x:c r="H66" s="7" t="s">
        <x:v>609</x:v>
      </x:c>
      <x:c r="I66" s="14">
        <x:v>-0.79</x:v>
      </x:c>
      <x:c r="J66" s="14"/>
      <x:c r="K66" s="14"/>
      <x:c r="L66" s="14">
        <x:v>0.3</x:v>
      </x:c>
      <x:c r="M66" s="14">
        <x:v>0.5</x:v>
      </x:c>
      <x:c r="N66" s="7" t="s">
        <x:v>300</x:v>
      </x:c>
      <x:c r="O66" s="7" t="s">
        <x:v>300</x:v>
      </x:c>
      <x:c r="P66" s="10"/>
      <x:c r="Q66" s="10"/>
      <x:c r="R66" s="10">
        <x:v>5187.6</x:v>
      </x:c>
      <x:c r="S66" s="7" t="s">
        <x:v>301</x:v>
      </x:c>
      <x:c r="T66" s="7" t="b">
        <x:v>0</x:v>
      </x:c>
      <x:c r="U66" s="7" t="s">
        <x:v>302</x:v>
      </x:c>
      <x:c r="V66" s="26" t="s">
        <x:v>303</x:v>
      </x:c>
      <x:c r="W66" s="7" t="s">
        <x:v>610</x:v>
      </x:c>
    </x:row>
    <x:row r="67">
      <x:c r="A67" s="7" t="s">
        <x:v>611</x:v>
      </x:c>
      <x:c r="B67" s="7" t="s">
        <x:v>612</x:v>
      </x:c>
      <x:c r="C67" s="7" t="s">
        <x:v>613</x:v>
      </x:c>
      <x:c r="D67" s="7" t="s">
        <x:v>420</x:v>
      </x:c>
      <x:c r="E67" s="10"/>
      <x:c r="F67" s="12">
        <x:v>13.75363</x:v>
      </x:c>
      <x:c r="G67" s="12">
        <x:v>100.7689</x:v>
      </x:c>
      <x:c r="H67" s="7" t="s">
        <x:v>614</x:v>
      </x:c>
      <x:c r="I67" s="14">
        <x:v>1.05</x:v>
      </x:c>
      <x:c r="J67" s="14"/>
      <x:c r="K67" s="14"/>
      <x:c r="L67" s="14">
        <x:v>0.5</x:v>
      </x:c>
      <x:c r="M67" s="14">
        <x:v>0.6</x:v>
      </x:c>
      <x:c r="N67" s="7" t="s">
        <x:v>300</x:v>
      </x:c>
      <x:c r="O67" s="7" t="s">
        <x:v>300</x:v>
      </x:c>
      <x:c r="P67" s="10"/>
      <x:c r="Q67" s="10"/>
      <x:c r="R67" s="10">
        <x:v>6497.6</x:v>
      </x:c>
      <x:c r="S67" s="7" t="s">
        <x:v>301</x:v>
      </x:c>
      <x:c r="T67" s="7" t="b">
        <x:v>0</x:v>
      </x:c>
      <x:c r="U67" s="7" t="s">
        <x:v>302</x:v>
      </x:c>
      <x:c r="V67" s="26" t="s">
        <x:v>303</x:v>
      </x:c>
      <x:c r="W67" s="7" t="s">
        <x:v>615</x:v>
      </x:c>
    </x:row>
    <x:row r="68">
      <x:c r="A68" s="7" t="s">
        <x:v>616</x:v>
      </x:c>
      <x:c r="B68" s="7" t="s">
        <x:v>617</x:v>
      </x:c>
      <x:c r="C68" s="7" t="s">
        <x:v>618</x:v>
      </x:c>
      <x:c r="D68" s="7" t="s">
        <x:v>420</x:v>
      </x:c>
      <x:c r="E68" s="10"/>
      <x:c r="F68" s="12">
        <x:v>13.74068</x:v>
      </x:c>
      <x:c r="G68" s="12">
        <x:v>100.79474</x:v>
      </x:c>
      <x:c r="H68" s="7" t="s">
        <x:v>619</x:v>
      </x:c>
      <x:c r="I68" s="14">
        <x:v>0.94</x:v>
      </x:c>
      <x:c r="J68" s="14"/>
      <x:c r="K68" s="14"/>
      <x:c r="L68" s="14">
        <x:v>0.5</x:v>
      </x:c>
      <x:c r="M68" s="14">
        <x:v>0.6</x:v>
      </x:c>
      <x:c r="N68" s="7" t="s">
        <x:v>300</x:v>
      </x:c>
      <x:c r="O68" s="7" t="s">
        <x:v>300</x:v>
      </x:c>
      <x:c r="P68" s="10"/>
      <x:c r="Q68" s="10"/>
      <x:c r="R68" s="10">
        <x:v>5162.6</x:v>
      </x:c>
      <x:c r="S68" s="7" t="s">
        <x:v>301</x:v>
      </x:c>
      <x:c r="T68" s="7" t="b">
        <x:v>0</x:v>
      </x:c>
      <x:c r="U68" s="7" t="s">
        <x:v>302</x:v>
      </x:c>
      <x:c r="V68" s="26" t="s">
        <x:v>303</x:v>
      </x:c>
      <x:c r="W68" s="7" t="s">
        <x:v>620</x:v>
      </x:c>
    </x:row>
    <x:row r="69">
      <x:c r="A69" s="7" t="s">
        <x:v>621</x:v>
      </x:c>
      <x:c r="B69" s="7" t="s">
        <x:v>622</x:v>
      </x:c>
      <x:c r="C69" s="7" t="s">
        <x:v>623</x:v>
      </x:c>
      <x:c r="D69" s="7" t="s">
        <x:v>370</x:v>
      </x:c>
      <x:c r="E69" s="10"/>
      <x:c r="F69" s="12">
        <x:v>13.71868</x:v>
      </x:c>
      <x:c r="G69" s="12">
        <x:v>100.44174</x:v>
      </x:c>
      <x:c r="H69" s="7" t="s">
        <x:v>309</x:v>
      </x:c>
      <x:c r="I69" s="14">
        <x:v>0.5</x:v>
      </x:c>
      <x:c r="J69" s="14"/>
      <x:c r="K69" s="14"/>
      <x:c r="L69" s="14">
        <x:v>0.6</x:v>
      </x:c>
      <x:c r="M69" s="14">
        <x:v>0.7</x:v>
      </x:c>
      <x:c r="N69" s="7" t="s">
        <x:v>300</x:v>
      </x:c>
      <x:c r="O69" s="7" t="s">
        <x:v>300</x:v>
      </x:c>
      <x:c r="P69" s="10"/>
      <x:c r="Q69" s="10"/>
      <x:c r="R69" s="10">
        <x:v>4477.6</x:v>
      </x:c>
      <x:c r="S69" s="7" t="s">
        <x:v>301</x:v>
      </x:c>
      <x:c r="T69" s="7" t="b">
        <x:v>0</x:v>
      </x:c>
      <x:c r="U69" s="7" t="s">
        <x:v>302</x:v>
      </x:c>
      <x:c r="V69" s="26" t="s">
        <x:v>303</x:v>
      </x:c>
      <x:c r="W69" s="7" t="s">
        <x:v>624</x:v>
      </x:c>
    </x:row>
    <x:row r="70">
      <x:c r="A70" s="7" t="s">
        <x:v>625</x:v>
      </x:c>
      <x:c r="B70" s="7" t="s">
        <x:v>626</x:v>
      </x:c>
      <x:c r="C70" s="7" t="s">
        <x:v>627</x:v>
      </x:c>
      <x:c r="D70" s="7" t="s">
        <x:v>308</x:v>
      </x:c>
      <x:c r="E70" s="10"/>
      <x:c r="F70" s="12">
        <x:v>13.74247</x:v>
      </x:c>
      <x:c r="G70" s="12">
        <x:v>100.70891</x:v>
      </x:c>
      <x:c r="H70" s="7" t="s">
        <x:v>309</x:v>
      </x:c>
      <x:c r="I70" s="14">
        <x:v>0.89</x:v>
      </x:c>
      <x:c r="J70" s="14"/>
      <x:c r="K70" s="14"/>
      <x:c r="L70" s="14">
        <x:v>0.3</x:v>
      </x:c>
      <x:c r="M70" s="14">
        <x:v>0.4</x:v>
      </x:c>
      <x:c r="N70" s="7" t="s">
        <x:v>300</x:v>
      </x:c>
      <x:c r="O70" s="7" t="s">
        <x:v>300</x:v>
      </x:c>
      <x:c r="P70" s="10"/>
      <x:c r="Q70" s="10"/>
      <x:c r="R70" s="10">
        <x:v>4477.6</x:v>
      </x:c>
      <x:c r="S70" s="7" t="s">
        <x:v>301</x:v>
      </x:c>
      <x:c r="T70" s="7" t="b">
        <x:v>0</x:v>
      </x:c>
      <x:c r="U70" s="7" t="s">
        <x:v>302</x:v>
      </x:c>
      <x:c r="V70" s="26" t="s">
        <x:v>303</x:v>
      </x:c>
      <x:c r="W70" s="7" t="s">
        <x:v>628</x:v>
      </x:c>
    </x:row>
    <x:row r="71">
      <x:c r="A71" s="7" t="s">
        <x:v>629</x:v>
      </x:c>
      <x:c r="B71" s="7" t="s">
        <x:v>630</x:v>
      </x:c>
      <x:c r="C71" s="7" t="s">
        <x:v>631</x:v>
      </x:c>
      <x:c r="D71" s="7" t="s">
        <x:v>298</x:v>
      </x:c>
      <x:c r="E71" s="10"/>
      <x:c r="F71" s="12">
        <x:v>13.69163</x:v>
      </x:c>
      <x:c r="G71" s="12">
        <x:v>100.38106</x:v>
      </x:c>
      <x:c r="H71" s="7" t="s">
        <x:v>309</x:v>
      </x:c>
      <x:c r="I71" s="14">
        <x:v>0.75</x:v>
      </x:c>
      <x:c r="J71" s="14"/>
      <x:c r="K71" s="14"/>
      <x:c r="L71" s="14">
        <x:v>0.6</x:v>
      </x:c>
      <x:c r="M71" s="14">
        <x:v>0.7</x:v>
      </x:c>
      <x:c r="N71" s="7" t="s">
        <x:v>300</x:v>
      </x:c>
      <x:c r="O71" s="7" t="s">
        <x:v>300</x:v>
      </x:c>
      <x:c r="P71" s="10"/>
      <x:c r="Q71" s="10"/>
      <x:c r="R71" s="10">
        <x:v>4477.6</x:v>
      </x:c>
      <x:c r="S71" s="7" t="s">
        <x:v>301</x:v>
      </x:c>
      <x:c r="T71" s="7" t="b">
        <x:v>0</x:v>
      </x:c>
      <x:c r="U71" s="7" t="s">
        <x:v>302</x:v>
      </x:c>
      <x:c r="V71" s="26" t="s">
        <x:v>303</x:v>
      </x:c>
      <x:c r="W71" s="7" t="s">
        <x:v>632</x:v>
      </x:c>
    </x:row>
    <x:row r="72">
      <x:c r="A72" s="7" t="s">
        <x:v>633</x:v>
      </x:c>
      <x:c r="B72" s="7" t="s">
        <x:v>634</x:v>
      </x:c>
      <x:c r="C72" s="7" t="s">
        <x:v>635</x:v>
      </x:c>
      <x:c r="D72" s="7" t="s">
        <x:v>600</x:v>
      </x:c>
      <x:c r="E72" s="10"/>
      <x:c r="F72" s="12">
        <x:v>13.75973</x:v>
      </x:c>
      <x:c r="G72" s="12">
        <x:v>100.45337</x:v>
      </x:c>
      <x:c r="H72" s="7" t="s">
        <x:v>309</x:v>
      </x:c>
      <x:c r="I72" s="14">
        <x:v>0.31</x:v>
      </x:c>
      <x:c r="J72" s="14"/>
      <x:c r="K72" s="14"/>
      <x:c r="L72" s="14">
        <x:v>0.6</x:v>
      </x:c>
      <x:c r="M72" s="14">
        <x:v>0.7</x:v>
      </x:c>
      <x:c r="N72" s="7" t="s">
        <x:v>300</x:v>
      </x:c>
      <x:c r="O72" s="7" t="s">
        <x:v>300</x:v>
      </x:c>
      <x:c r="P72" s="10"/>
      <x:c r="Q72" s="10"/>
      <x:c r="R72" s="10">
        <x:v>4477.6</x:v>
      </x:c>
      <x:c r="S72" s="7" t="s">
        <x:v>301</x:v>
      </x:c>
      <x:c r="T72" s="7" t="b">
        <x:v>0</x:v>
      </x:c>
      <x:c r="U72" s="7" t="s">
        <x:v>302</x:v>
      </x:c>
      <x:c r="V72" s="26" t="s">
        <x:v>303</x:v>
      </x:c>
      <x:c r="W72" s="7" t="s">
        <x:v>636</x:v>
      </x:c>
    </x:row>
    <x:row r="73">
      <x:c r="A73" s="7" t="s">
        <x:v>637</x:v>
      </x:c>
      <x:c r="B73" s="7" t="s">
        <x:v>638</x:v>
      </x:c>
      <x:c r="C73" s="7" t="s">
        <x:v>639</x:v>
      </x:c>
      <x:c r="D73" s="7" t="s">
        <x:v>391</x:v>
      </x:c>
      <x:c r="E73" s="10"/>
      <x:c r="F73" s="12">
        <x:v>13.75502</x:v>
      </x:c>
      <x:c r="G73" s="12">
        <x:v>100.58113</x:v>
      </x:c>
      <x:c r="H73" s="7" t="s">
        <x:v>380</x:v>
      </x:c>
      <x:c r="I73" s="14">
        <x:v>-0.1</x:v>
      </x:c>
      <x:c r="J73" s="14"/>
      <x:c r="K73" s="14"/>
      <x:c r="L73" s="14">
        <x:v>-0.1</x:v>
      </x:c>
      <x:c r="M73" s="14">
        <x:v>0.0</x:v>
      </x:c>
      <x:c r="N73" s="7" t="s">
        <x:v>300</x:v>
      </x:c>
      <x:c r="O73" s="7" t="s">
        <x:v>300</x:v>
      </x:c>
      <x:c r="P73" s="10"/>
      <x:c r="Q73" s="10"/>
      <x:c r="R73" s="10">
        <x:v>4482.6</x:v>
      </x:c>
      <x:c r="S73" s="7" t="s">
        <x:v>301</x:v>
      </x:c>
      <x:c r="T73" s="7" t="b">
        <x:v>0</x:v>
      </x:c>
      <x:c r="U73" s="7" t="s">
        <x:v>302</x:v>
      </x:c>
      <x:c r="V73" s="26" t="s">
        <x:v>303</x:v>
      </x:c>
      <x:c r="W73" s="7" t="s">
        <x:v>640</x:v>
      </x:c>
    </x:row>
    <x:row r="74">
      <x:c r="A74" s="7" t="s">
        <x:v>641</x:v>
      </x:c>
      <x:c r="B74" s="7" t="s">
        <x:v>642</x:v>
      </x:c>
      <x:c r="C74" s="7" t="s">
        <x:v>643</x:v>
      </x:c>
      <x:c r="D74" s="7" t="s">
        <x:v>644</x:v>
      </x:c>
      <x:c r="E74" s="10"/>
      <x:c r="F74" s="12">
        <x:v>13.72396</x:v>
      </x:c>
      <x:c r="G74" s="12">
        <x:v>100.68956</x:v>
      </x:c>
      <x:c r="H74" s="7" t="s">
        <x:v>380</x:v>
      </x:c>
      <x:c r="I74" s="14">
        <x:v>0.72</x:v>
      </x:c>
      <x:c r="J74" s="14"/>
      <x:c r="K74" s="14"/>
      <x:c r="L74" s="14">
        <x:v>0.3</x:v>
      </x:c>
      <x:c r="M74" s="14">
        <x:v>0.4</x:v>
      </x:c>
      <x:c r="N74" s="7" t="s">
        <x:v>300</x:v>
      </x:c>
      <x:c r="O74" s="7" t="s">
        <x:v>300</x:v>
      </x:c>
      <x:c r="P74" s="10"/>
      <x:c r="Q74" s="10"/>
      <x:c r="R74" s="10">
        <x:v>4482.6</x:v>
      </x:c>
      <x:c r="S74" s="7" t="s">
        <x:v>301</x:v>
      </x:c>
      <x:c r="T74" s="7" t="b">
        <x:v>0</x:v>
      </x:c>
      <x:c r="U74" s="7" t="s">
        <x:v>302</x:v>
      </x:c>
      <x:c r="V74" s="26" t="s">
        <x:v>303</x:v>
      </x:c>
      <x:c r="W74" s="7" t="s">
        <x:v>645</x:v>
      </x:c>
    </x:row>
    <x:row r="75">
      <x:c r="A75" s="7" t="s">
        <x:v>646</x:v>
      </x:c>
      <x:c r="B75" s="7" t="s">
        <x:v>647</x:v>
      </x:c>
      <x:c r="C75" s="7" t="s">
        <x:v>648</x:v>
      </x:c>
      <x:c r="D75" s="7" t="s">
        <x:v>391</x:v>
      </x:c>
      <x:c r="E75" s="10"/>
      <x:c r="F75" s="12">
        <x:v>13.80104</x:v>
      </x:c>
      <x:c r="G75" s="12">
        <x:v>100.57494</x:v>
      </x:c>
      <x:c r="H75" s="7" t="s">
        <x:v>649</x:v>
      </x:c>
      <x:c r="I75" s="14">
        <x:v>-0.87</x:v>
      </x:c>
      <x:c r="J75" s="14"/>
      <x:c r="K75" s="14"/>
      <x:c r="L75" s="14"/>
      <x:c r="M75" s="14"/>
      <x:c r="N75" s="7" t="s">
        <x:v>300</x:v>
      </x:c>
      <x:c r="O75" s="7" t="s">
        <x:v>300</x:v>
      </x:c>
      <x:c r="P75" s="10"/>
      <x:c r="Q75" s="10"/>
      <x:c r="R75" s="10">
        <x:v>2589502.6</x:v>
      </x:c>
      <x:c r="S75" s="7" t="s">
        <x:v>301</x:v>
      </x:c>
      <x:c r="T75" s="7" t="b">
        <x:v>0</x:v>
      </x:c>
      <x:c r="U75" s="7" t="s">
        <x:v>302</x:v>
      </x:c>
      <x:c r="V75" s="26" t="s">
        <x:v>303</x:v>
      </x:c>
      <x:c r="W75" s="7" t="s">
        <x:v>650</x:v>
      </x:c>
    </x:row>
    <x:row r="76">
      <x:c r="A76" s="7" t="s">
        <x:v>651</x:v>
      </x:c>
      <x:c r="B76" s="7" t="s">
        <x:v>652</x:v>
      </x:c>
      <x:c r="C76" s="7" t="s">
        <x:v>653</x:v>
      </x:c>
      <x:c r="D76" s="7" t="s">
        <x:v>391</x:v>
      </x:c>
      <x:c r="E76" s="10"/>
      <x:c r="F76" s="12">
        <x:v>13.74851</x:v>
      </x:c>
      <x:c r="G76" s="12">
        <x:v>100.59904</x:v>
      </x:c>
      <x:c r="H76" s="7" t="s">
        <x:v>309</x:v>
      </x:c>
      <x:c r="I76" s="14">
        <x:v>0.12</x:v>
      </x:c>
      <x:c r="J76" s="14"/>
      <x:c r="K76" s="14"/>
      <x:c r="L76" s="14">
        <x:v>-0.1</x:v>
      </x:c>
      <x:c r="M76" s="14">
        <x:v>0.0</x:v>
      </x:c>
      <x:c r="N76" s="7" t="s">
        <x:v>300</x:v>
      </x:c>
      <x:c r="O76" s="7" t="s">
        <x:v>300</x:v>
      </x:c>
      <x:c r="P76" s="10"/>
      <x:c r="Q76" s="10"/>
      <x:c r="R76" s="10">
        <x:v>4477.6</x:v>
      </x:c>
      <x:c r="S76" s="7" t="s">
        <x:v>301</x:v>
      </x:c>
      <x:c r="T76" s="7" t="b">
        <x:v>0</x:v>
      </x:c>
      <x:c r="U76" s="7" t="s">
        <x:v>302</x:v>
      </x:c>
      <x:c r="V76" s="26" t="s">
        <x:v>303</x:v>
      </x:c>
      <x:c r="W76" s="7" t="s">
        <x:v>654</x:v>
      </x:c>
    </x:row>
    <x:row r="77">
      <x:c r="A77" s="7" t="s">
        <x:v>655</x:v>
      </x:c>
      <x:c r="B77" s="7" t="s">
        <x:v>656</x:v>
      </x:c>
      <x:c r="C77" s="7" t="s">
        <x:v>657</x:v>
      </x:c>
      <x:c r="D77" s="7" t="s">
        <x:v>658</x:v>
      </x:c>
      <x:c r="E77" s="10"/>
      <x:c r="F77" s="12">
        <x:v>13.70918</x:v>
      </x:c>
      <x:c r="G77" s="12">
        <x:v>100.6217</x:v>
      </x:c>
      <x:c r="H77" s="7" t="s">
        <x:v>309</x:v>
      </x:c>
      <x:c r="I77" s="14">
        <x:v>0.15</x:v>
      </x:c>
      <x:c r="J77" s="14"/>
      <x:c r="K77" s="14"/>
      <x:c r="L77" s="14">
        <x:v>-0.5</x:v>
      </x:c>
      <x:c r="M77" s="14">
        <x:v>-0.4</x:v>
      </x:c>
      <x:c r="N77" s="7" t="s">
        <x:v>300</x:v>
      </x:c>
      <x:c r="O77" s="7" t="s">
        <x:v>300</x:v>
      </x:c>
      <x:c r="P77" s="10"/>
      <x:c r="Q77" s="10"/>
      <x:c r="R77" s="10">
        <x:v>4477.6</x:v>
      </x:c>
      <x:c r="S77" s="7" t="s">
        <x:v>301</x:v>
      </x:c>
      <x:c r="T77" s="7" t="b">
        <x:v>0</x:v>
      </x:c>
      <x:c r="U77" s="7" t="s">
        <x:v>302</x:v>
      </x:c>
      <x:c r="V77" s="26" t="s">
        <x:v>303</x:v>
      </x:c>
      <x:c r="W77" s="7" t="s">
        <x:v>659</x:v>
      </x:c>
    </x:row>
    <x:row r="78">
      <x:c r="A78" s="7" t="s">
        <x:v>660</x:v>
      </x:c>
      <x:c r="B78" s="7" t="s">
        <x:v>661</x:v>
      </x:c>
      <x:c r="C78" s="7" t="s">
        <x:v>662</x:v>
      </x:c>
      <x:c r="D78" s="7" t="s">
        <x:v>501</x:v>
      </x:c>
      <x:c r="E78" s="10"/>
      <x:c r="F78" s="12">
        <x:v>13.77814</x:v>
      </x:c>
      <x:c r="G78" s="12">
        <x:v>100.57206</x:v>
      </x:c>
      <x:c r="H78" s="7" t="s">
        <x:v>309</x:v>
      </x:c>
      <x:c r="I78" s="14">
        <x:v>-0.34</x:v>
      </x:c>
      <x:c r="J78" s="14"/>
      <x:c r="K78" s="14"/>
      <x:c r="L78" s="14">
        <x:v>-0.2</x:v>
      </x:c>
      <x:c r="M78" s="14">
        <x:v>0.0</x:v>
      </x:c>
      <x:c r="N78" s="7" t="s">
        <x:v>300</x:v>
      </x:c>
      <x:c r="O78" s="7" t="s">
        <x:v>300</x:v>
      </x:c>
      <x:c r="P78" s="10"/>
      <x:c r="Q78" s="10"/>
      <x:c r="R78" s="10">
        <x:v>4477.6</x:v>
      </x:c>
      <x:c r="S78" s="7" t="s">
        <x:v>301</x:v>
      </x:c>
      <x:c r="T78" s="7" t="b">
        <x:v>0</x:v>
      </x:c>
      <x:c r="U78" s="7" t="s">
        <x:v>302</x:v>
      </x:c>
      <x:c r="V78" s="26" t="s">
        <x:v>303</x:v>
      </x:c>
      <x:c r="W78" s="7" t="s">
        <x:v>663</x:v>
      </x:c>
    </x:row>
    <x:row r="79">
      <x:c r="A79" s="7" t="s">
        <x:v>664</x:v>
      </x:c>
      <x:c r="B79" s="7" t="s">
        <x:v>665</x:v>
      </x:c>
      <x:c r="C79" s="7" t="s">
        <x:v>666</x:v>
      </x:c>
      <x:c r="D79" s="7" t="s">
        <x:v>658</x:v>
      </x:c>
      <x:c r="E79" s="10"/>
      <x:c r="F79" s="12">
        <x:v>13.73722</x:v>
      </x:c>
      <x:c r="G79" s="12">
        <x:v>100.62499</x:v>
      </x:c>
      <x:c r="H79" s="7" t="s">
        <x:v>309</x:v>
      </x:c>
      <x:c r="I79" s="14">
        <x:v>0.54</x:v>
      </x:c>
      <x:c r="J79" s="14"/>
      <x:c r="K79" s="14"/>
      <x:c r="L79" s="14">
        <x:v>-0.2</x:v>
      </x:c>
      <x:c r="M79" s="14">
        <x:v>0.0</x:v>
      </x:c>
      <x:c r="N79" s="7" t="s">
        <x:v>300</x:v>
      </x:c>
      <x:c r="O79" s="7" t="s">
        <x:v>300</x:v>
      </x:c>
      <x:c r="P79" s="10"/>
      <x:c r="Q79" s="10"/>
      <x:c r="R79" s="10">
        <x:v>4477.6</x:v>
      </x:c>
      <x:c r="S79" s="7" t="s">
        <x:v>301</x:v>
      </x:c>
      <x:c r="T79" s="7" t="b">
        <x:v>0</x:v>
      </x:c>
      <x:c r="U79" s="7" t="s">
        <x:v>302</x:v>
      </x:c>
      <x:c r="V79" s="26" t="s">
        <x:v>303</x:v>
      </x:c>
      <x:c r="W79" s="7" t="s">
        <x:v>667</x:v>
      </x:c>
    </x:row>
    <x:row r="80">
      <x:c r="A80" s="7" t="s">
        <x:v>668</x:v>
      </x:c>
      <x:c r="B80" s="7" t="s">
        <x:v>669</x:v>
      </x:c>
      <x:c r="C80" s="7" t="s">
        <x:v>670</x:v>
      </x:c>
      <x:c r="D80" s="7" t="s">
        <x:v>671</x:v>
      </x:c>
      <x:c r="E80" s="10"/>
      <x:c r="F80" s="12">
        <x:v>13.64855</x:v>
      </x:c>
      <x:c r="G80" s="12">
        <x:v>100.59523</x:v>
      </x:c>
      <x:c r="H80" s="7" t="s">
        <x:v>309</x:v>
      </x:c>
      <x:c r="I80" s="14">
        <x:v>0.2</x:v>
      </x:c>
      <x:c r="J80" s="14"/>
      <x:c r="K80" s="14"/>
      <x:c r="L80" s="14">
        <x:v>1.5</x:v>
      </x:c>
      <x:c r="M80" s="14">
        <x:v>1.8</x:v>
      </x:c>
      <x:c r="N80" s="7" t="s">
        <x:v>300</x:v>
      </x:c>
      <x:c r="O80" s="7" t="s">
        <x:v>300</x:v>
      </x:c>
      <x:c r="P80" s="10"/>
      <x:c r="Q80" s="10"/>
      <x:c r="R80" s="10">
        <x:v>4477.6</x:v>
      </x:c>
      <x:c r="S80" s="7" t="s">
        <x:v>301</x:v>
      </x:c>
      <x:c r="T80" s="7" t="b">
        <x:v>0</x:v>
      </x:c>
      <x:c r="U80" s="7" t="s">
        <x:v>302</x:v>
      </x:c>
      <x:c r="V80" s="26" t="s">
        <x:v>303</x:v>
      </x:c>
      <x:c r="W80" s="7" t="s">
        <x:v>672</x:v>
      </x:c>
    </x:row>
    <x:row r="81">
      <x:c r="A81" s="7" t="s">
        <x:v>673</x:v>
      </x:c>
      <x:c r="B81" s="7" t="s">
        <x:v>674</x:v>
      </x:c>
      <x:c r="C81" s="7" t="s">
        <x:v>675</x:v>
      </x:c>
      <x:c r="D81" s="7" t="s">
        <x:v>308</x:v>
      </x:c>
      <x:c r="E81" s="10"/>
      <x:c r="F81" s="12">
        <x:v>13.74974</x:v>
      </x:c>
      <x:c r="G81" s="12">
        <x:v>100.70291</x:v>
      </x:c>
      <x:c r="H81" s="7" t="s">
        <x:v>309</x:v>
      </x:c>
      <x:c r="I81" s="14">
        <x:v>0.89</x:v>
      </x:c>
      <x:c r="J81" s="14"/>
      <x:c r="K81" s="14"/>
      <x:c r="L81" s="14">
        <x:v>0.3</x:v>
      </x:c>
      <x:c r="M81" s="14">
        <x:v>0.4</x:v>
      </x:c>
      <x:c r="N81" s="7" t="s">
        <x:v>300</x:v>
      </x:c>
      <x:c r="O81" s="7" t="s">
        <x:v>300</x:v>
      </x:c>
      <x:c r="P81" s="10"/>
      <x:c r="Q81" s="10"/>
      <x:c r="R81" s="10">
        <x:v>4477.6</x:v>
      </x:c>
      <x:c r="S81" s="7" t="s">
        <x:v>301</x:v>
      </x:c>
      <x:c r="T81" s="7" t="b">
        <x:v>0</x:v>
      </x:c>
      <x:c r="U81" s="7" t="s">
        <x:v>302</x:v>
      </x:c>
      <x:c r="V81" s="26" t="s">
        <x:v>303</x:v>
      </x:c>
      <x:c r="W81" s="7" t="s">
        <x:v>676</x:v>
      </x:c>
    </x:row>
    <x:row r="82">
      <x:c r="A82" s="7" t="s">
        <x:v>677</x:v>
      </x:c>
      <x:c r="B82" s="7" t="s">
        <x:v>678</x:v>
      </x:c>
      <x:c r="C82" s="7" t="s">
        <x:v>679</x:v>
      </x:c>
      <x:c r="D82" s="7" t="s">
        <x:v>501</x:v>
      </x:c>
      <x:c r="E82" s="10"/>
      <x:c r="F82" s="12">
        <x:v>13.77895</x:v>
      </x:c>
      <x:c r="G82" s="12">
        <x:v>100.56654</x:v>
      </x:c>
      <x:c r="H82" s="7" t="s">
        <x:v>309</x:v>
      </x:c>
      <x:c r="I82" s="14">
        <x:v>-2.0</x:v>
      </x:c>
      <x:c r="J82" s="14"/>
      <x:c r="K82" s="14"/>
      <x:c r="L82" s="14">
        <x:v>0.0</x:v>
      </x:c>
      <x:c r="M82" s="14">
        <x:v>0.1</x:v>
      </x:c>
      <x:c r="N82" s="7" t="s">
        <x:v>300</x:v>
      </x:c>
      <x:c r="O82" s="7" t="s">
        <x:v>300</x:v>
      </x:c>
      <x:c r="P82" s="10"/>
      <x:c r="Q82" s="10"/>
      <x:c r="R82" s="10">
        <x:v>4477.6</x:v>
      </x:c>
      <x:c r="S82" s="7" t="s">
        <x:v>301</x:v>
      </x:c>
      <x:c r="T82" s="7" t="b">
        <x:v>0</x:v>
      </x:c>
      <x:c r="U82" s="7" t="s">
        <x:v>302</x:v>
      </x:c>
      <x:c r="V82" s="26" t="s">
        <x:v>303</x:v>
      </x:c>
      <x:c r="W82" s="7" t="s">
        <x:v>680</x:v>
      </x:c>
    </x:row>
    <x:row r="83">
      <x:c r="A83" s="7" t="s">
        <x:v>681</x:v>
      </x:c>
      <x:c r="B83" s="7" t="s">
        <x:v>682</x:v>
      </x:c>
      <x:c r="C83" s="7" t="s">
        <x:v>683</x:v>
      </x:c>
      <x:c r="D83" s="7" t="s">
        <x:v>549</x:v>
      </x:c>
      <x:c r="E83" s="10"/>
      <x:c r="F83" s="12">
        <x:v>13.74783</x:v>
      </x:c>
      <x:c r="G83" s="12">
        <x:v>100.56304</x:v>
      </x:c>
      <x:c r="H83" s="7" t="s">
        <x:v>309</x:v>
      </x:c>
      <x:c r="I83" s="14">
        <x:v>0.14</x:v>
      </x:c>
      <x:c r="J83" s="14"/>
      <x:c r="K83" s="14"/>
      <x:c r="L83" s="14">
        <x:v>0.0</x:v>
      </x:c>
      <x:c r="M83" s="14">
        <x:v>0.15</x:v>
      </x:c>
      <x:c r="N83" s="7" t="s">
        <x:v>300</x:v>
      </x:c>
      <x:c r="O83" s="7" t="s">
        <x:v>300</x:v>
      </x:c>
      <x:c r="P83" s="10"/>
      <x:c r="Q83" s="10"/>
      <x:c r="R83" s="10">
        <x:v>4477.6</x:v>
      </x:c>
      <x:c r="S83" s="7" t="s">
        <x:v>301</x:v>
      </x:c>
      <x:c r="T83" s="7" t="b">
        <x:v>0</x:v>
      </x:c>
      <x:c r="U83" s="7" t="s">
        <x:v>302</x:v>
      </x:c>
      <x:c r="V83" s="26" t="s">
        <x:v>303</x:v>
      </x:c>
      <x:c r="W83" s="7" t="s">
        <x:v>684</x:v>
      </x:c>
    </x:row>
    <x:row r="84">
      <x:c r="A84" s="7" t="s">
        <x:v>685</x:v>
      </x:c>
      <x:c r="B84" s="7" t="s">
        <x:v>686</x:v>
      </x:c>
      <x:c r="C84" s="7" t="s">
        <x:v>687</x:v>
      </x:c>
      <x:c r="D84" s="7" t="s">
        <x:v>549</x:v>
      </x:c>
      <x:c r="E84" s="10"/>
      <x:c r="F84" s="12">
        <x:v>13.71693</x:v>
      </x:c>
      <x:c r="G84" s="12">
        <x:v>100.59558</x:v>
      </x:c>
      <x:c r="H84" s="7" t="s">
        <x:v>309</x:v>
      </x:c>
      <x:c r="I84" s="14">
        <x:v>-1.5</x:v>
      </x:c>
      <x:c r="J84" s="14"/>
      <x:c r="K84" s="14"/>
      <x:c r="L84" s="14">
        <x:v>-0.3</x:v>
      </x:c>
      <x:c r="M84" s="14">
        <x:v>0.0</x:v>
      </x:c>
      <x:c r="N84" s="7" t="s">
        <x:v>300</x:v>
      </x:c>
      <x:c r="O84" s="7" t="s">
        <x:v>300</x:v>
      </x:c>
      <x:c r="P84" s="10"/>
      <x:c r="Q84" s="10"/>
      <x:c r="R84" s="10">
        <x:v>4477.6</x:v>
      </x:c>
      <x:c r="S84" s="7" t="s">
        <x:v>301</x:v>
      </x:c>
      <x:c r="T84" s="7" t="b">
        <x:v>0</x:v>
      </x:c>
      <x:c r="U84" s="7" t="s">
        <x:v>302</x:v>
      </x:c>
      <x:c r="V84" s="26" t="s">
        <x:v>303</x:v>
      </x:c>
      <x:c r="W84" s="7" t="s">
        <x:v>688</x:v>
      </x:c>
    </x:row>
    <x:row r="85">
      <x:c r="A85" s="7" t="s">
        <x:v>689</x:v>
      </x:c>
      <x:c r="B85" s="7" t="s">
        <x:v>690</x:v>
      </x:c>
      <x:c r="C85" s="7" t="s">
        <x:v>691</x:v>
      </x:c>
      <x:c r="D85" s="7" t="s">
        <x:v>538</x:v>
      </x:c>
      <x:c r="E85" s="10"/>
      <x:c r="F85" s="12">
        <x:v>13.75489</x:v>
      </x:c>
      <x:c r="G85" s="12">
        <x:v>100.88956</x:v>
      </x:c>
      <x:c r="H85" s="7" t="s">
        <x:v>309</x:v>
      </x:c>
      <x:c r="I85" s="14">
        <x:v>1.02</x:v>
      </x:c>
      <x:c r="J85" s="14"/>
      <x:c r="K85" s="14"/>
      <x:c r="L85" s="14">
        <x:v>0.6</x:v>
      </x:c>
      <x:c r="M85" s="14">
        <x:v>0.7</x:v>
      </x:c>
      <x:c r="N85" s="7" t="s">
        <x:v>300</x:v>
      </x:c>
      <x:c r="O85" s="7" t="s">
        <x:v>300</x:v>
      </x:c>
      <x:c r="P85" s="10"/>
      <x:c r="Q85" s="10"/>
      <x:c r="R85" s="10">
        <x:v>4477.6</x:v>
      </x:c>
      <x:c r="S85" s="7" t="s">
        <x:v>301</x:v>
      </x:c>
      <x:c r="T85" s="7" t="b">
        <x:v>0</x:v>
      </x:c>
      <x:c r="U85" s="7" t="s">
        <x:v>302</x:v>
      </x:c>
      <x:c r="V85" s="26" t="s">
        <x:v>303</x:v>
      </x:c>
      <x:c r="W85" s="7" t="s">
        <x:v>692</x:v>
      </x:c>
    </x:row>
    <x:row r="86">
      <x:c r="A86" s="7" t="s">
        <x:v>693</x:v>
      </x:c>
      <x:c r="B86" s="7" t="s">
        <x:v>694</x:v>
      </x:c>
      <x:c r="C86" s="7" t="s">
        <x:v>695</x:v>
      </x:c>
      <x:c r="D86" s="7" t="s">
        <x:v>391</x:v>
      </x:c>
      <x:c r="E86" s="10"/>
      <x:c r="F86" s="12">
        <x:v>13.79875</x:v>
      </x:c>
      <x:c r="G86" s="12">
        <x:v>100.58655</x:v>
      </x:c>
      <x:c r="H86" s="7" t="s">
        <x:v>309</x:v>
      </x:c>
      <x:c r="I86" s="14">
        <x:v>0.21</x:v>
      </x:c>
      <x:c r="J86" s="14"/>
      <x:c r="K86" s="14"/>
      <x:c r="L86" s="14"/>
      <x:c r="M86" s="14"/>
      <x:c r="N86" s="7" t="s">
        <x:v>300</x:v>
      </x:c>
      <x:c r="O86" s="7" t="s">
        <x:v>300</x:v>
      </x:c>
      <x:c r="P86" s="10"/>
      <x:c r="Q86" s="10"/>
      <x:c r="R86" s="10">
        <x:v>4477.6</x:v>
      </x:c>
      <x:c r="S86" s="7" t="s">
        <x:v>301</x:v>
      </x:c>
      <x:c r="T86" s="7" t="b">
        <x:v>0</x:v>
      </x:c>
      <x:c r="U86" s="7" t="s">
        <x:v>302</x:v>
      </x:c>
      <x:c r="V86" s="26" t="s">
        <x:v>303</x:v>
      </x:c>
      <x:c r="W86" s="7" t="s">
        <x:v>696</x:v>
      </x:c>
    </x:row>
    <x:row r="87">
      <x:c r="A87" s="7" t="s">
        <x:v>697</x:v>
      </x:c>
      <x:c r="B87" s="7" t="s">
        <x:v>698</x:v>
      </x:c>
      <x:c r="C87" s="7" t="s">
        <x:v>699</x:v>
      </x:c>
      <x:c r="D87" s="7" t="s">
        <x:v>375</x:v>
      </x:c>
      <x:c r="E87" s="10"/>
      <x:c r="F87" s="12">
        <x:v>13.78408</x:v>
      </x:c>
      <x:c r="G87" s="12">
        <x:v>100.61341</x:v>
      </x:c>
      <x:c r="H87" s="7" t="s">
        <x:v>309</x:v>
      </x:c>
      <x:c r="I87" s="14">
        <x:v>0.25</x:v>
      </x:c>
      <x:c r="J87" s="14"/>
      <x:c r="K87" s="14"/>
      <x:c r="L87" s="14">
        <x:v>-0.2</x:v>
      </x:c>
      <x:c r="M87" s="14">
        <x:v>0.0</x:v>
      </x:c>
      <x:c r="N87" s="7" t="s">
        <x:v>300</x:v>
      </x:c>
      <x:c r="O87" s="7" t="s">
        <x:v>300</x:v>
      </x:c>
      <x:c r="P87" s="10"/>
      <x:c r="Q87" s="10"/>
      <x:c r="R87" s="10">
        <x:v>4477.6</x:v>
      </x:c>
      <x:c r="S87" s="7" t="s">
        <x:v>301</x:v>
      </x:c>
      <x:c r="T87" s="7" t="b">
        <x:v>0</x:v>
      </x:c>
      <x:c r="U87" s="7" t="s">
        <x:v>302</x:v>
      </x:c>
      <x:c r="V87" s="26" t="s">
        <x:v>303</x:v>
      </x:c>
      <x:c r="W87" s="7" t="s">
        <x:v>700</x:v>
      </x:c>
    </x:row>
    <x:row r="88">
      <x:c r="A88" s="7" t="s">
        <x:v>701</x:v>
      </x:c>
      <x:c r="B88" s="7" t="s">
        <x:v>702</x:v>
      </x:c>
      <x:c r="C88" s="7" t="s">
        <x:v>703</x:v>
      </x:c>
      <x:c r="D88" s="7" t="s">
        <x:v>426</x:v>
      </x:c>
      <x:c r="E88" s="10"/>
      <x:c r="F88" s="12">
        <x:v>13.80463</x:v>
      </x:c>
      <x:c r="G88" s="12">
        <x:v>100.53595</x:v>
      </x:c>
      <x:c r="H88" s="7" t="s">
        <x:v>309</x:v>
      </x:c>
      <x:c r="I88" s="14">
        <x:v>0.66</x:v>
      </x:c>
      <x:c r="J88" s="14"/>
      <x:c r="K88" s="14"/>
      <x:c r="L88" s="14">
        <x:v>0.3</x:v>
      </x:c>
      <x:c r="M88" s="14">
        <x:v>0.4</x:v>
      </x:c>
      <x:c r="N88" s="7" t="s">
        <x:v>300</x:v>
      </x:c>
      <x:c r="O88" s="7" t="s">
        <x:v>300</x:v>
      </x:c>
      <x:c r="P88" s="10"/>
      <x:c r="Q88" s="10"/>
      <x:c r="R88" s="10">
        <x:v>4477.6</x:v>
      </x:c>
      <x:c r="S88" s="7" t="s">
        <x:v>301</x:v>
      </x:c>
      <x:c r="T88" s="7" t="b">
        <x:v>0</x:v>
      </x:c>
      <x:c r="U88" s="7" t="s">
        <x:v>302</x:v>
      </x:c>
      <x:c r="V88" s="26" t="s">
        <x:v>303</x:v>
      </x:c>
      <x:c r="W88" s="7" t="s">
        <x:v>704</x:v>
      </x:c>
    </x:row>
    <x:row r="89">
      <x:c r="A89" s="7" t="s">
        <x:v>705</x:v>
      </x:c>
      <x:c r="B89" s="7" t="s">
        <x:v>706</x:v>
      </x:c>
      <x:c r="C89" s="7" t="s">
        <x:v>707</x:v>
      </x:c>
      <x:c r="D89" s="7" t="s">
        <x:v>403</x:v>
      </x:c>
      <x:c r="E89" s="10"/>
      <x:c r="F89" s="12">
        <x:v>13.83021</x:v>
      </x:c>
      <x:c r="G89" s="12">
        <x:v>100.5571</x:v>
      </x:c>
      <x:c r="H89" s="7" t="s">
        <x:v>309</x:v>
      </x:c>
      <x:c r="I89" s="14">
        <x:v>-1.24</x:v>
      </x:c>
      <x:c r="J89" s="14"/>
      <x:c r="K89" s="14"/>
      <x:c r="L89" s="14">
        <x:v>0.2</x:v>
      </x:c>
      <x:c r="M89" s="14">
        <x:v>0.3</x:v>
      </x:c>
      <x:c r="N89" s="7" t="s">
        <x:v>300</x:v>
      </x:c>
      <x:c r="O89" s="7" t="s">
        <x:v>300</x:v>
      </x:c>
      <x:c r="P89" s="10"/>
      <x:c r="Q89" s="10"/>
      <x:c r="R89" s="10">
        <x:v>4477.6</x:v>
      </x:c>
      <x:c r="S89" s="7" t="s">
        <x:v>301</x:v>
      </x:c>
      <x:c r="T89" s="7" t="b">
        <x:v>0</x:v>
      </x:c>
      <x:c r="U89" s="7" t="s">
        <x:v>302</x:v>
      </x:c>
      <x:c r="V89" s="26" t="s">
        <x:v>303</x:v>
      </x:c>
      <x:c r="W89" s="7" t="s">
        <x:v>708</x:v>
      </x:c>
    </x:row>
    <x:row r="90">
      <x:c r="A90" s="7" t="s">
        <x:v>709</x:v>
      </x:c>
      <x:c r="B90" s="7" t="s">
        <x:v>710</x:v>
      </x:c>
      <x:c r="C90" s="7" t="s">
        <x:v>711</x:v>
      </x:c>
      <x:c r="D90" s="7" t="s">
        <x:v>352</x:v>
      </x:c>
      <x:c r="E90" s="10"/>
      <x:c r="F90" s="12">
        <x:v>13.74846</x:v>
      </x:c>
      <x:c r="G90" s="12">
        <x:v>100.54583</x:v>
      </x:c>
      <x:c r="H90" s="7" t="s">
        <x:v>712</x:v>
      </x:c>
      <x:c r="I90" s="14">
        <x:v>-0.33</x:v>
      </x:c>
      <x:c r="J90" s="14"/>
      <x:c r="K90" s="14"/>
      <x:c r="L90" s="14">
        <x:v>0.0</x:v>
      </x:c>
      <x:c r="M90" s="14">
        <x:v>0.1</x:v>
      </x:c>
      <x:c r="N90" s="7" t="s">
        <x:v>300</x:v>
      </x:c>
      <x:c r="O90" s="7" t="s">
        <x:v>300</x:v>
      </x:c>
      <x:c r="P90" s="10"/>
      <x:c r="Q90" s="10"/>
      <x:c r="R90" s="10">
        <x:v>276037.6</x:v>
      </x:c>
      <x:c r="S90" s="7" t="s">
        <x:v>301</x:v>
      </x:c>
      <x:c r="T90" s="7" t="b">
        <x:v>0</x:v>
      </x:c>
      <x:c r="U90" s="7" t="s">
        <x:v>302</x:v>
      </x:c>
      <x:c r="V90" s="26" t="s">
        <x:v>303</x:v>
      </x:c>
      <x:c r="W90" s="7" t="s">
        <x:v>713</x:v>
      </x:c>
    </x:row>
    <x:row r="91">
      <x:c r="A91" s="7" t="s">
        <x:v>714</x:v>
      </x:c>
      <x:c r="B91" s="7" t="s">
        <x:v>715</x:v>
      </x:c>
      <x:c r="C91" s="7" t="s">
        <x:v>716</x:v>
      </x:c>
      <x:c r="D91" s="7" t="s">
        <x:v>314</x:v>
      </x:c>
      <x:c r="E91" s="10"/>
      <x:c r="F91" s="12">
        <x:v>13.82306</x:v>
      </x:c>
      <x:c r="G91" s="12">
        <x:v>100.60897</x:v>
      </x:c>
      <x:c r="H91" s="7" t="s">
        <x:v>309</x:v>
      </x:c>
      <x:c r="I91" s="14">
        <x:v>-0.12</x:v>
      </x:c>
      <x:c r="J91" s="14"/>
      <x:c r="K91" s="14"/>
      <x:c r="L91" s="14">
        <x:v>0.3</x:v>
      </x:c>
      <x:c r="M91" s="14">
        <x:v>0.4</x:v>
      </x:c>
      <x:c r="N91" s="7" t="s">
        <x:v>300</x:v>
      </x:c>
      <x:c r="O91" s="7" t="s">
        <x:v>300</x:v>
      </x:c>
      <x:c r="P91" s="10"/>
      <x:c r="Q91" s="10"/>
      <x:c r="R91" s="10">
        <x:v>4477.6</x:v>
      </x:c>
      <x:c r="S91" s="7" t="s">
        <x:v>301</x:v>
      </x:c>
      <x:c r="T91" s="7" t="b">
        <x:v>0</x:v>
      </x:c>
      <x:c r="U91" s="7" t="s">
        <x:v>302</x:v>
      </x:c>
      <x:c r="V91" s="26" t="s">
        <x:v>303</x:v>
      </x:c>
      <x:c r="W91" s="7" t="s">
        <x:v>717</x:v>
      </x:c>
    </x:row>
    <x:row r="92">
      <x:c r="A92" s="7" t="s">
        <x:v>718</x:v>
      </x:c>
      <x:c r="B92" s="7" t="s">
        <x:v>719</x:v>
      </x:c>
      <x:c r="C92" s="7" t="s">
        <x:v>720</x:v>
      </x:c>
      <x:c r="D92" s="7" t="s">
        <x:v>308</x:v>
      </x:c>
      <x:c r="E92" s="10"/>
      <x:c r="F92" s="12">
        <x:v>13.7805</x:v>
      </x:c>
      <x:c r="G92" s="12">
        <x:v>100.67387</x:v>
      </x:c>
      <x:c r="H92" s="7" t="s">
        <x:v>309</x:v>
      </x:c>
      <x:c r="I92" s="14">
        <x:v>0.8</x:v>
      </x:c>
      <x:c r="J92" s="14"/>
      <x:c r="K92" s="14"/>
      <x:c r="L92" s="14">
        <x:v>0.35</x:v>
      </x:c>
      <x:c r="M92" s="14">
        <x:v>0.45</x:v>
      </x:c>
      <x:c r="N92" s="7" t="s">
        <x:v>300</x:v>
      </x:c>
      <x:c r="O92" s="7" t="s">
        <x:v>300</x:v>
      </x:c>
      <x:c r="P92" s="10"/>
      <x:c r="Q92" s="10"/>
      <x:c r="R92" s="10">
        <x:v>4477.6</x:v>
      </x:c>
      <x:c r="S92" s="7" t="s">
        <x:v>301</x:v>
      </x:c>
      <x:c r="T92" s="7" t="b">
        <x:v>0</x:v>
      </x:c>
      <x:c r="U92" s="7" t="s">
        <x:v>302</x:v>
      </x:c>
      <x:c r="V92" s="26" t="s">
        <x:v>303</x:v>
      </x:c>
      <x:c r="W92" s="7" t="s">
        <x:v>721</x:v>
      </x:c>
    </x:row>
    <x:row r="93">
      <x:c r="A93" s="7" t="s">
        <x:v>722</x:v>
      </x:c>
      <x:c r="B93" s="7" t="s">
        <x:v>723</x:v>
      </x:c>
      <x:c r="C93" s="7" t="s">
        <x:v>724</x:v>
      </x:c>
      <x:c r="D93" s="7" t="s">
        <x:v>725</x:v>
      </x:c>
      <x:c r="E93" s="10"/>
      <x:c r="F93" s="12">
        <x:v>13.82094</x:v>
      </x:c>
      <x:c r="G93" s="12">
        <x:v>100.74738</x:v>
      </x:c>
      <x:c r="H93" s="7" t="s">
        <x:v>309</x:v>
      </x:c>
      <x:c r="I93" s="14">
        <x:v>1.01</x:v>
      </x:c>
      <x:c r="J93" s="14"/>
      <x:c r="K93" s="14"/>
      <x:c r="L93" s="14">
        <x:v>0.6</x:v>
      </x:c>
      <x:c r="M93" s="14">
        <x:v>0.9</x:v>
      </x:c>
      <x:c r="N93" s="7" t="s">
        <x:v>300</x:v>
      </x:c>
      <x:c r="O93" s="7" t="s">
        <x:v>300</x:v>
      </x:c>
      <x:c r="P93" s="10"/>
      <x:c r="Q93" s="10"/>
      <x:c r="R93" s="10">
        <x:v>4477.6</x:v>
      </x:c>
      <x:c r="S93" s="7" t="s">
        <x:v>301</x:v>
      </x:c>
      <x:c r="T93" s="7" t="b">
        <x:v>0</x:v>
      </x:c>
      <x:c r="U93" s="7" t="s">
        <x:v>302</x:v>
      </x:c>
      <x:c r="V93" s="26" t="s">
        <x:v>303</x:v>
      </x:c>
      <x:c r="W93" s="7" t="s">
        <x:v>726</x:v>
      </x:c>
    </x:row>
    <x:row r="94">
      <x:c r="A94" s="7" t="s">
        <x:v>727</x:v>
      </x:c>
      <x:c r="B94" s="7" t="s">
        <x:v>728</x:v>
      </x:c>
      <x:c r="C94" s="7" t="s">
        <x:v>729</x:v>
      </x:c>
      <x:c r="D94" s="7" t="s">
        <x:v>658</x:v>
      </x:c>
      <x:c r="E94" s="10"/>
      <x:c r="F94" s="12">
        <x:v>13.7091</x:v>
      </x:c>
      <x:c r="G94" s="12">
        <x:v>100.6307</x:v>
      </x:c>
      <x:c r="H94" s="7" t="s">
        <x:v>309</x:v>
      </x:c>
      <x:c r="I94" s="14">
        <x:v>0.33</x:v>
      </x:c>
      <x:c r="J94" s="14"/>
      <x:c r="K94" s="14"/>
      <x:c r="L94" s="14">
        <x:v>0.5</x:v>
      </x:c>
      <x:c r="M94" s="14">
        <x:v>0.6</x:v>
      </x:c>
      <x:c r="N94" s="7" t="s">
        <x:v>300</x:v>
      </x:c>
      <x:c r="O94" s="7" t="s">
        <x:v>300</x:v>
      </x:c>
      <x:c r="P94" s="10"/>
      <x:c r="Q94" s="10"/>
      <x:c r="R94" s="10">
        <x:v>4477.6</x:v>
      </x:c>
      <x:c r="S94" s="7" t="s">
        <x:v>301</x:v>
      </x:c>
      <x:c r="T94" s="7" t="b">
        <x:v>0</x:v>
      </x:c>
      <x:c r="U94" s="7" t="s">
        <x:v>302</x:v>
      </x:c>
      <x:c r="V94" s="26" t="s">
        <x:v>303</x:v>
      </x:c>
      <x:c r="W94" s="7" t="s">
        <x:v>730</x:v>
      </x:c>
    </x:row>
    <x:row r="95">
      <x:c r="A95" s="7" t="s">
        <x:v>731</x:v>
      </x:c>
      <x:c r="B95" s="7" t="s">
        <x:v>732</x:v>
      </x:c>
      <x:c r="C95" s="7" t="s">
        <x:v>733</x:v>
      </x:c>
      <x:c r="D95" s="7" t="s">
        <x:v>420</x:v>
      </x:c>
      <x:c r="E95" s="10"/>
      <x:c r="F95" s="12">
        <x:v>13.72396</x:v>
      </x:c>
      <x:c r="G95" s="12">
        <x:v>100.78399</x:v>
      </x:c>
      <x:c r="H95" s="7" t="s">
        <x:v>380</x:v>
      </x:c>
      <x:c r="I95" s="14">
        <x:v>0.99</x:v>
      </x:c>
      <x:c r="J95" s="14"/>
      <x:c r="K95" s="14"/>
      <x:c r="L95" s="14">
        <x:v>0.55</x:v>
      </x:c>
      <x:c r="M95" s="14">
        <x:v>0.65</x:v>
      </x:c>
      <x:c r="N95" s="7" t="s">
        <x:v>300</x:v>
      </x:c>
      <x:c r="O95" s="7" t="s">
        <x:v>300</x:v>
      </x:c>
      <x:c r="P95" s="10"/>
      <x:c r="Q95" s="10"/>
      <x:c r="R95" s="10">
        <x:v>4482.6</x:v>
      </x:c>
      <x:c r="S95" s="7" t="s">
        <x:v>301</x:v>
      </x:c>
      <x:c r="T95" s="7" t="b">
        <x:v>0</x:v>
      </x:c>
      <x:c r="U95" s="7" t="s">
        <x:v>302</x:v>
      </x:c>
      <x:c r="V95" s="26" t="s">
        <x:v>303</x:v>
      </x:c>
      <x:c r="W95" s="7" t="s">
        <x:v>734</x:v>
      </x:c>
    </x:row>
    <x:row r="96">
      <x:c r="A96" s="7" t="s">
        <x:v>735</x:v>
      </x:c>
      <x:c r="B96" s="7" t="s">
        <x:v>736</x:v>
      </x:c>
      <x:c r="C96" s="7" t="s">
        <x:v>737</x:v>
      </x:c>
      <x:c r="D96" s="7" t="s">
        <x:v>738</x:v>
      </x:c>
      <x:c r="E96" s="10"/>
      <x:c r="F96" s="12">
        <x:v>13.83698</x:v>
      </x:c>
      <x:c r="G96" s="12">
        <x:v>100.68803</x:v>
      </x:c>
      <x:c r="H96" s="7" t="s">
        <x:v>309</x:v>
      </x:c>
      <x:c r="I96" s="14">
        <x:v>1.28</x:v>
      </x:c>
      <x:c r="J96" s="14"/>
      <x:c r="K96" s="14"/>
      <x:c r="L96" s="14">
        <x:v>0.7</x:v>
      </x:c>
      <x:c r="M96" s="14">
        <x:v>0.8</x:v>
      </x:c>
      <x:c r="N96" s="7" t="s">
        <x:v>300</x:v>
      </x:c>
      <x:c r="O96" s="7" t="s">
        <x:v>300</x:v>
      </x:c>
      <x:c r="P96" s="10"/>
      <x:c r="Q96" s="10"/>
      <x:c r="R96" s="10">
        <x:v>4477.6</x:v>
      </x:c>
      <x:c r="S96" s="7" t="s">
        <x:v>301</x:v>
      </x:c>
      <x:c r="T96" s="7" t="b">
        <x:v>0</x:v>
      </x:c>
      <x:c r="U96" s="7" t="s">
        <x:v>302</x:v>
      </x:c>
      <x:c r="V96" s="26" t="s">
        <x:v>303</x:v>
      </x:c>
      <x:c r="W96" s="7" t="s">
        <x:v>739</x:v>
      </x:c>
    </x:row>
    <x:row r="97">
      <x:c r="A97" s="7" t="s">
        <x:v>740</x:v>
      </x:c>
      <x:c r="B97" s="7" t="s">
        <x:v>741</x:v>
      </x:c>
      <x:c r="C97" s="7" t="s">
        <x:v>742</x:v>
      </x:c>
      <x:c r="D97" s="7" t="s">
        <x:v>600</x:v>
      </x:c>
      <x:c r="E97" s="10"/>
      <x:c r="F97" s="12">
        <x:v>13.79815</x:v>
      </x:c>
      <x:c r="G97" s="12">
        <x:v>100.44488</x:v>
      </x:c>
      <x:c r="H97" s="7" t="s">
        <x:v>309</x:v>
      </x:c>
      <x:c r="I97" s="14">
        <x:v>-0.11</x:v>
      </x:c>
      <x:c r="J97" s="14"/>
      <x:c r="K97" s="14"/>
      <x:c r="L97" s="14">
        <x:v>0.6</x:v>
      </x:c>
      <x:c r="M97" s="14">
        <x:v>0.7</x:v>
      </x:c>
      <x:c r="N97" s="7" t="s">
        <x:v>300</x:v>
      </x:c>
      <x:c r="O97" s="7" t="s">
        <x:v>300</x:v>
      </x:c>
      <x:c r="P97" s="10"/>
      <x:c r="Q97" s="10"/>
      <x:c r="R97" s="10">
        <x:v>4477.6</x:v>
      </x:c>
      <x:c r="S97" s="7" t="s">
        <x:v>301</x:v>
      </x:c>
      <x:c r="T97" s="7" t="b">
        <x:v>0</x:v>
      </x:c>
      <x:c r="U97" s="7" t="s">
        <x:v>302</x:v>
      </x:c>
      <x:c r="V97" s="26" t="s">
        <x:v>303</x:v>
      </x:c>
      <x:c r="W97" s="7" t="s">
        <x:v>743</x:v>
      </x:c>
    </x:row>
    <x:row r="98">
      <x:c r="A98" s="7" t="s">
        <x:v>744</x:v>
      </x:c>
      <x:c r="B98" s="7" t="s">
        <x:v>745</x:v>
      </x:c>
      <x:c r="C98" s="7" t="s">
        <x:v>746</x:v>
      </x:c>
      <x:c r="D98" s="7" t="s">
        <x:v>341</x:v>
      </x:c>
      <x:c r="E98" s="10"/>
      <x:c r="F98" s="12">
        <x:v>13.70818</x:v>
      </x:c>
      <x:c r="G98" s="12">
        <x:v>100.42615</x:v>
      </x:c>
      <x:c r="H98" s="7" t="s">
        <x:v>309</x:v>
      </x:c>
      <x:c r="I98" s="14">
        <x:v>0.45</x:v>
      </x:c>
      <x:c r="J98" s="14"/>
      <x:c r="K98" s="14"/>
      <x:c r="L98" s="14">
        <x:v>0.6</x:v>
      </x:c>
      <x:c r="M98" s="14">
        <x:v>0.7</x:v>
      </x:c>
      <x:c r="N98" s="7" t="s">
        <x:v>300</x:v>
      </x:c>
      <x:c r="O98" s="7" t="s">
        <x:v>300</x:v>
      </x:c>
      <x:c r="P98" s="10"/>
      <x:c r="Q98" s="10"/>
      <x:c r="R98" s="10">
        <x:v>4477.6</x:v>
      </x:c>
      <x:c r="S98" s="7" t="s">
        <x:v>301</x:v>
      </x:c>
      <x:c r="T98" s="7" t="b">
        <x:v>0</x:v>
      </x:c>
      <x:c r="U98" s="7" t="s">
        <x:v>302</x:v>
      </x:c>
      <x:c r="V98" s="26" t="s">
        <x:v>303</x:v>
      </x:c>
      <x:c r="W98" s="7" t="s">
        <x:v>747</x:v>
      </x:c>
    </x:row>
    <x:row r="99">
      <x:c r="A99" s="7" t="s">
        <x:v>748</x:v>
      </x:c>
      <x:c r="B99" s="7" t="s">
        <x:v>749</x:v>
      </x:c>
      <x:c r="C99" s="7" t="s">
        <x:v>750</x:v>
      </x:c>
      <x:c r="D99" s="7" t="s">
        <x:v>459</x:v>
      </x:c>
      <x:c r="E99" s="10"/>
      <x:c r="F99" s="12">
        <x:v>13.77284</x:v>
      </x:c>
      <x:c r="G99" s="12">
        <x:v>100.53</x:v>
      </x:c>
      <x:c r="H99" s="7" t="s">
        <x:v>751</x:v>
      </x:c>
      <x:c r="I99" s="14">
        <x:v>-0.54</x:v>
      </x:c>
      <x:c r="J99" s="14"/>
      <x:c r="K99" s="14"/>
      <x:c r="L99" s="14">
        <x:v>0.3</x:v>
      </x:c>
      <x:c r="M99" s="14">
        <x:v>0.4</x:v>
      </x:c>
      <x:c r="N99" s="7" t="s">
        <x:v>300</x:v>
      </x:c>
      <x:c r="O99" s="7" t="s">
        <x:v>300</x:v>
      </x:c>
      <x:c r="P99" s="10"/>
      <x:c r="Q99" s="10"/>
      <x:c r="R99" s="10">
        <x:v>319912.6</x:v>
      </x:c>
      <x:c r="S99" s="7" t="s">
        <x:v>301</x:v>
      </x:c>
      <x:c r="T99" s="7" t="b">
        <x:v>0</x:v>
      </x:c>
      <x:c r="U99" s="7" t="s">
        <x:v>302</x:v>
      </x:c>
      <x:c r="V99" s="26" t="s">
        <x:v>303</x:v>
      </x:c>
      <x:c r="W99" s="7" t="s">
        <x:v>752</x:v>
      </x:c>
    </x:row>
    <x:row r="100">
      <x:c r="A100" s="7" t="s">
        <x:v>753</x:v>
      </x:c>
      <x:c r="B100" s="7" t="s">
        <x:v>754</x:v>
      </x:c>
      <x:c r="C100" s="7" t="s">
        <x:v>755</x:v>
      </x:c>
      <x:c r="D100" s="7" t="s">
        <x:v>725</x:v>
      </x:c>
      <x:c r="E100" s="10"/>
      <x:c r="F100" s="12">
        <x:v>13.81383</x:v>
      </x:c>
      <x:c r="G100" s="12">
        <x:v>100.76524</x:v>
      </x:c>
      <x:c r="H100" s="7" t="s">
        <x:v>756</x:v>
      </x:c>
      <x:c r="I100" s="14">
        <x:v>1.11</x:v>
      </x:c>
      <x:c r="J100" s="14"/>
      <x:c r="K100" s="14"/>
      <x:c r="L100" s="14">
        <x:v>0.8</x:v>
      </x:c>
      <x:c r="M100" s="14">
        <x:v>0.9</x:v>
      </x:c>
      <x:c r="N100" s="7" t="s">
        <x:v>300</x:v>
      </x:c>
      <x:c r="O100" s="7" t="s">
        <x:v>300</x:v>
      </x:c>
      <x:c r="P100" s="10"/>
      <x:c r="Q100" s="10"/>
      <x:c r="R100" s="10">
        <x:v>5262.6</x:v>
      </x:c>
      <x:c r="S100" s="7" t="s">
        <x:v>301</x:v>
      </x:c>
      <x:c r="T100" s="7" t="b">
        <x:v>0</x:v>
      </x:c>
      <x:c r="U100" s="7" t="s">
        <x:v>302</x:v>
      </x:c>
      <x:c r="V100" s="26" t="s">
        <x:v>303</x:v>
      </x:c>
      <x:c r="W100" s="7" t="s">
        <x:v>757</x:v>
      </x:c>
    </x:row>
    <x:row r="101">
      <x:c r="A101" s="7" t="s">
        <x:v>758</x:v>
      </x:c>
      <x:c r="B101" s="7" t="s">
        <x:v>759</x:v>
      </x:c>
      <x:c r="C101" s="7" t="s">
        <x:v>760</x:v>
      </x:c>
      <x:c r="D101" s="7" t="s">
        <x:v>385</x:v>
      </x:c>
      <x:c r="E101" s="10"/>
      <x:c r="F101" s="12">
        <x:v>13.71979</x:v>
      </x:c>
      <x:c r="G101" s="12">
        <x:v>100.53124</x:v>
      </x:c>
      <x:c r="H101" s="7" t="s">
        <x:v>761</x:v>
      </x:c>
      <x:c r="I101" s="14">
        <x:v>-0.49</x:v>
      </x:c>
      <x:c r="J101" s="14"/>
      <x:c r="K101" s="14"/>
      <x:c r="L101" s="14"/>
      <x:c r="M101" s="14"/>
      <x:c r="N101" s="7" t="s">
        <x:v>300</x:v>
      </x:c>
      <x:c r="O101" s="7" t="s">
        <x:v>300</x:v>
      </x:c>
      <x:c r="P101" s="10"/>
      <x:c r="Q101" s="10"/>
      <x:c r="R101" s="10">
        <x:v>2670072.6</x:v>
      </x:c>
      <x:c r="S101" s="7" t="s">
        <x:v>301</x:v>
      </x:c>
      <x:c r="T101" s="7" t="b">
        <x:v>0</x:v>
      </x:c>
      <x:c r="U101" s="7" t="s">
        <x:v>302</x:v>
      </x:c>
      <x:c r="V101" s="26" t="s">
        <x:v>303</x:v>
      </x:c>
      <x:c r="W101" s="7" t="s">
        <x:v>762</x:v>
      </x:c>
    </x:row>
    <x:row r="102">
      <x:c r="A102" s="7" t="s">
        <x:v>763</x:v>
      </x:c>
      <x:c r="B102" s="7" t="s">
        <x:v>764</x:v>
      </x:c>
      <x:c r="C102" s="7" t="s">
        <x:v>765</x:v>
      </x:c>
      <x:c r="D102" s="7" t="s">
        <x:v>496</x:v>
      </x:c>
      <x:c r="E102" s="10"/>
      <x:c r="F102" s="12">
        <x:v>13.76308</x:v>
      </x:c>
      <x:c r="G102" s="12">
        <x:v>100.54288</x:v>
      </x:c>
      <x:c r="H102" s="7" t="s">
        <x:v>766</x:v>
      </x:c>
      <x:c r="I102" s="14">
        <x:v>-1.17</x:v>
      </x:c>
      <x:c r="J102" s="14"/>
      <x:c r="K102" s="14"/>
      <x:c r="L102" s="14">
        <x:v>0.2</x:v>
      </x:c>
      <x:c r="M102" s="14">
        <x:v>0.3</x:v>
      </x:c>
      <x:c r="N102" s="7" t="s">
        <x:v>300</x:v>
      </x:c>
      <x:c r="O102" s="7" t="s">
        <x:v>300</x:v>
      </x:c>
      <x:c r="P102" s="10"/>
      <x:c r="Q102" s="10"/>
      <x:c r="R102" s="10">
        <x:v>2095467.6</x:v>
      </x:c>
      <x:c r="S102" s="7" t="s">
        <x:v>301</x:v>
      </x:c>
      <x:c r="T102" s="7" t="b">
        <x:v>0</x:v>
      </x:c>
      <x:c r="U102" s="7" t="s">
        <x:v>302</x:v>
      </x:c>
      <x:c r="V102" s="26" t="s">
        <x:v>303</x:v>
      </x:c>
      <x:c r="W102" s="7" t="s">
        <x:v>767</x:v>
      </x:c>
    </x:row>
    <x:row r="103">
      <x:c r="A103" s="7" t="s">
        <x:v>768</x:v>
      </x:c>
      <x:c r="B103" s="7" t="s">
        <x:v>769</x:v>
      </x:c>
      <x:c r="C103" s="7" t="s">
        <x:v>770</x:v>
      </x:c>
      <x:c r="D103" s="7" t="s">
        <x:v>544</x:v>
      </x:c>
      <x:c r="E103" s="10"/>
      <x:c r="F103" s="12">
        <x:v>13.77772</x:v>
      </x:c>
      <x:c r="G103" s="12">
        <x:v>100.52121</x:v>
      </x:c>
      <x:c r="H103" s="7" t="s">
        <x:v>309</x:v>
      </x:c>
      <x:c r="I103" s="14">
        <x:v>-0.45</x:v>
      </x:c>
      <x:c r="J103" s="14"/>
      <x:c r="K103" s="14"/>
      <x:c r="L103" s="14">
        <x:v>0.4</x:v>
      </x:c>
      <x:c r="M103" s="14">
        <x:v>0.5</x:v>
      </x:c>
      <x:c r="N103" s="7" t="s">
        <x:v>300</x:v>
      </x:c>
      <x:c r="O103" s="7" t="s">
        <x:v>300</x:v>
      </x:c>
      <x:c r="P103" s="10"/>
      <x:c r="Q103" s="10"/>
      <x:c r="R103" s="10">
        <x:v>4477.6</x:v>
      </x:c>
      <x:c r="S103" s="7" t="s">
        <x:v>301</x:v>
      </x:c>
      <x:c r="T103" s="7" t="b">
        <x:v>0</x:v>
      </x:c>
      <x:c r="U103" s="7" t="s">
        <x:v>302</x:v>
      </x:c>
      <x:c r="V103" s="26" t="s">
        <x:v>303</x:v>
      </x:c>
      <x:c r="W103" s="7" t="s">
        <x:v>771</x:v>
      </x:c>
    </x:row>
    <x:row r="104">
      <x:c r="A104" s="7" t="s">
        <x:v>772</x:v>
      </x:c>
      <x:c r="B104" s="7" t="s">
        <x:v>773</x:v>
      </x:c>
      <x:c r="C104" s="7" t="s">
        <x:v>774</x:v>
      </x:c>
      <x:c r="D104" s="7" t="s">
        <x:v>496</x:v>
      </x:c>
      <x:c r="E104" s="10"/>
      <x:c r="F104" s="12">
        <x:v>13.76551</x:v>
      </x:c>
      <x:c r="G104" s="12">
        <x:v>100.5396</x:v>
      </x:c>
      <x:c r="H104" s="7" t="s">
        <x:v>775</x:v>
      </x:c>
      <x:c r="I104" s="14">
        <x:v>-0.25</x:v>
      </x:c>
      <x:c r="J104" s="14"/>
      <x:c r="K104" s="14"/>
      <x:c r="L104" s="14">
        <x:v>0.2</x:v>
      </x:c>
      <x:c r="M104" s="14">
        <x:v>0.3</x:v>
      </x:c>
      <x:c r="N104" s="7" t="s">
        <x:v>300</x:v>
      </x:c>
      <x:c r="O104" s="7" t="s">
        <x:v>300</x:v>
      </x:c>
      <x:c r="P104" s="10"/>
      <x:c r="Q104" s="10"/>
      <x:c r="R104" s="10">
        <x:v>5757.6</x:v>
      </x:c>
      <x:c r="S104" s="7" t="s">
        <x:v>301</x:v>
      </x:c>
      <x:c r="T104" s="7" t="b">
        <x:v>0</x:v>
      </x:c>
      <x:c r="U104" s="7" t="s">
        <x:v>302</x:v>
      </x:c>
      <x:c r="V104" s="26" t="s">
        <x:v>303</x:v>
      </x:c>
      <x:c r="W104" s="7" t="s">
        <x:v>776</x:v>
      </x:c>
    </x:row>
    <x:row r="105">
      <x:c r="A105" s="7" t="s">
        <x:v>777</x:v>
      </x:c>
      <x:c r="B105" s="7" t="s">
        <x:v>778</x:v>
      </x:c>
      <x:c r="C105" s="7" t="s">
        <x:v>779</x:v>
      </x:c>
      <x:c r="D105" s="7" t="s">
        <x:v>554</x:v>
      </x:c>
      <x:c r="E105" s="10"/>
      <x:c r="F105" s="12">
        <x:v>13.85874</x:v>
      </x:c>
      <x:c r="G105" s="12">
        <x:v>100.86779</x:v>
      </x:c>
      <x:c r="H105" s="7" t="s">
        <x:v>309</x:v>
      </x:c>
      <x:c r="I105" s="14">
        <x:v>1.39</x:v>
      </x:c>
      <x:c r="J105" s="14"/>
      <x:c r="K105" s="14"/>
      <x:c r="L105" s="14">
        <x:v>1.6</x:v>
      </x:c>
      <x:c r="M105" s="14">
        <x:v>1.7</x:v>
      </x:c>
      <x:c r="N105" s="7" t="s">
        <x:v>300</x:v>
      </x:c>
      <x:c r="O105" s="7" t="s">
        <x:v>300</x:v>
      </x:c>
      <x:c r="P105" s="10"/>
      <x:c r="Q105" s="10"/>
      <x:c r="R105" s="10">
        <x:v>4477.6</x:v>
      </x:c>
      <x:c r="S105" s="7" t="s">
        <x:v>301</x:v>
      </x:c>
      <x:c r="T105" s="7" t="b">
        <x:v>0</x:v>
      </x:c>
      <x:c r="U105" s="7" t="s">
        <x:v>302</x:v>
      </x:c>
      <x:c r="V105" s="26" t="s">
        <x:v>303</x:v>
      </x:c>
      <x:c r="W105" s="7" t="s">
        <x:v>780</x:v>
      </x:c>
    </x:row>
    <x:row r="106">
      <x:c r="A106" s="7" t="s">
        <x:v>781</x:v>
      </x:c>
      <x:c r="B106" s="7" t="s">
        <x:v>782</x:v>
      </x:c>
      <x:c r="C106" s="7" t="s">
        <x:v>783</x:v>
      </x:c>
      <x:c r="D106" s="7" t="s">
        <x:v>784</x:v>
      </x:c>
      <x:c r="E106" s="10"/>
      <x:c r="F106" s="12">
        <x:v>13.70682</x:v>
      </x:c>
      <x:c r="G106" s="12">
        <x:v>100.49744</x:v>
      </x:c>
      <x:c r="H106" s="7" t="s">
        <x:v>309</x:v>
      </x:c>
      <x:c r="I106" s="14">
        <x:v>-0.64</x:v>
      </x:c>
      <x:c r="J106" s="14"/>
      <x:c r="K106" s="14"/>
      <x:c r="L106" s="14">
        <x:v>2.6</x:v>
      </x:c>
      <x:c r="M106" s="14">
        <x:v>2.8</x:v>
      </x:c>
      <x:c r="N106" s="7" t="s">
        <x:v>300</x:v>
      </x:c>
      <x:c r="O106" s="7" t="s">
        <x:v>300</x:v>
      </x:c>
      <x:c r="P106" s="10"/>
      <x:c r="Q106" s="10"/>
      <x:c r="R106" s="10">
        <x:v>4477.6</x:v>
      </x:c>
      <x:c r="S106" s="7" t="s">
        <x:v>301</x:v>
      </x:c>
      <x:c r="T106" s="7" t="b">
        <x:v>0</x:v>
      </x:c>
      <x:c r="U106" s="7" t="s">
        <x:v>302</x:v>
      </x:c>
      <x:c r="V106" s="26" t="s">
        <x:v>303</x:v>
      </x:c>
      <x:c r="W106" s="7" t="s">
        <x:v>785</x:v>
      </x:c>
    </x:row>
    <x:row r="107">
      <x:c r="A107" s="7" t="s">
        <x:v>786</x:v>
      </x:c>
      <x:c r="B107" s="7" t="s">
        <x:v>787</x:v>
      </x:c>
      <x:c r="C107" s="7" t="s">
        <x:v>788</x:v>
      </x:c>
      <x:c r="D107" s="7" t="s">
        <x:v>446</x:v>
      </x:c>
      <x:c r="E107" s="10"/>
      <x:c r="F107" s="12">
        <x:v>13.67123</x:v>
      </x:c>
      <x:c r="G107" s="12">
        <x:v>100.6439</x:v>
      </x:c>
      <x:c r="H107" s="7" t="s">
        <x:v>789</x:v>
      </x:c>
      <x:c r="I107" s="14">
        <x:v>-0.08</x:v>
      </x:c>
      <x:c r="J107" s="14"/>
      <x:c r="K107" s="14"/>
      <x:c r="L107" s="14">
        <x:v>0.8</x:v>
      </x:c>
      <x:c r="M107" s="14">
        <x:v>1.0</x:v>
      </x:c>
      <x:c r="N107" s="7" t="s">
        <x:v>300</x:v>
      </x:c>
      <x:c r="O107" s="7" t="s">
        <x:v>300</x:v>
      </x:c>
      <x:c r="P107" s="10"/>
      <x:c r="Q107" s="10"/>
      <x:c r="R107" s="10">
        <x:v>5267.6</x:v>
      </x:c>
      <x:c r="S107" s="7" t="s">
        <x:v>301</x:v>
      </x:c>
      <x:c r="T107" s="7" t="b">
        <x:v>0</x:v>
      </x:c>
      <x:c r="U107" s="7" t="s">
        <x:v>302</x:v>
      </x:c>
      <x:c r="V107" s="26" t="s">
        <x:v>303</x:v>
      </x:c>
      <x:c r="W107" s="7" t="s">
        <x:v>790</x:v>
      </x:c>
    </x:row>
    <x:row r="108">
      <x:c r="A108" s="7" t="s">
        <x:v>791</x:v>
      </x:c>
      <x:c r="B108" s="7" t="s">
        <x:v>792</x:v>
      </x:c>
      <x:c r="C108" s="7" t="s">
        <x:v>793</x:v>
      </x:c>
      <x:c r="D108" s="7" t="s">
        <x:v>725</x:v>
      </x:c>
      <x:c r="E108" s="10"/>
      <x:c r="F108" s="12">
        <x:v>13.79955</x:v>
      </x:c>
      <x:c r="G108" s="12">
        <x:v>100.74475</x:v>
      </x:c>
      <x:c r="H108" s="7" t="s">
        <x:v>309</x:v>
      </x:c>
      <x:c r="I108" s="14">
        <x:v>0.8</x:v>
      </x:c>
      <x:c r="J108" s="14"/>
      <x:c r="K108" s="14"/>
      <x:c r="L108" s="14">
        <x:v>0.6</x:v>
      </x:c>
      <x:c r="M108" s="14">
        <x:v>0.8</x:v>
      </x:c>
      <x:c r="N108" s="7" t="s">
        <x:v>300</x:v>
      </x:c>
      <x:c r="O108" s="7" t="s">
        <x:v>300</x:v>
      </x:c>
      <x:c r="P108" s="10"/>
      <x:c r="Q108" s="10"/>
      <x:c r="R108" s="10">
        <x:v>4477.6</x:v>
      </x:c>
      <x:c r="S108" s="7" t="s">
        <x:v>301</x:v>
      </x:c>
      <x:c r="T108" s="7" t="b">
        <x:v>0</x:v>
      </x:c>
      <x:c r="U108" s="7" t="s">
        <x:v>302</x:v>
      </x:c>
      <x:c r="V108" s="26" t="s">
        <x:v>303</x:v>
      </x:c>
      <x:c r="W108" s="7" t="s">
        <x:v>794</x:v>
      </x:c>
    </x:row>
    <x:row r="109">
      <x:c r="A109" s="7" t="s">
        <x:v>795</x:v>
      </x:c>
      <x:c r="B109" s="7" t="s">
        <x:v>796</x:v>
      </x:c>
      <x:c r="C109" s="7" t="s">
        <x:v>797</x:v>
      </x:c>
      <x:c r="D109" s="7" t="s">
        <x:v>725</x:v>
      </x:c>
      <x:c r="E109" s="10"/>
      <x:c r="F109" s="12">
        <x:v>13.85141</x:v>
      </x:c>
      <x:c r="G109" s="12">
        <x:v>100.80344</x:v>
      </x:c>
      <x:c r="H109" s="7" t="s">
        <x:v>309</x:v>
      </x:c>
      <x:c r="I109" s="14">
        <x:v>1.0</x:v>
      </x:c>
      <x:c r="J109" s="14"/>
      <x:c r="K109" s="14"/>
      <x:c r="L109" s="14">
        <x:v>0.7</x:v>
      </x:c>
      <x:c r="M109" s="14">
        <x:v>0.8</x:v>
      </x:c>
      <x:c r="N109" s="7" t="s">
        <x:v>300</x:v>
      </x:c>
      <x:c r="O109" s="7" t="s">
        <x:v>300</x:v>
      </x:c>
      <x:c r="P109" s="10"/>
      <x:c r="Q109" s="10"/>
      <x:c r="R109" s="10">
        <x:v>4477.6</x:v>
      </x:c>
      <x:c r="S109" s="7" t="s">
        <x:v>301</x:v>
      </x:c>
      <x:c r="T109" s="7" t="b">
        <x:v>0</x:v>
      </x:c>
      <x:c r="U109" s="7" t="s">
        <x:v>302</x:v>
      </x:c>
      <x:c r="V109" s="26" t="s">
        <x:v>303</x:v>
      </x:c>
      <x:c r="W109" s="7" t="s">
        <x:v>798</x:v>
      </x:c>
    </x:row>
    <x:row r="110">
      <x:c r="A110" s="7" t="s">
        <x:v>799</x:v>
      </x:c>
      <x:c r="B110" s="7" t="s">
        <x:v>800</x:v>
      </x:c>
      <x:c r="C110" s="7" t="s">
        <x:v>801</x:v>
      </x:c>
      <x:c r="D110" s="7" t="s">
        <x:v>420</x:v>
      </x:c>
      <x:c r="E110" s="10"/>
      <x:c r="F110" s="12">
        <x:v>13.7771</x:v>
      </x:c>
      <x:c r="G110" s="12">
        <x:v>100.73883</x:v>
      </x:c>
      <x:c r="H110" s="7" t="s">
        <x:v>309</x:v>
      </x:c>
      <x:c r="I110" s="14">
        <x:v>0.97</x:v>
      </x:c>
      <x:c r="J110" s="14"/>
      <x:c r="K110" s="14"/>
      <x:c r="L110" s="14">
        <x:v>0.4</x:v>
      </x:c>
      <x:c r="M110" s="14">
        <x:v>0.6</x:v>
      </x:c>
      <x:c r="N110" s="7" t="s">
        <x:v>300</x:v>
      </x:c>
      <x:c r="O110" s="7" t="s">
        <x:v>300</x:v>
      </x:c>
      <x:c r="P110" s="10"/>
      <x:c r="Q110" s="10"/>
      <x:c r="R110" s="10">
        <x:v>4477.6</x:v>
      </x:c>
      <x:c r="S110" s="7" t="s">
        <x:v>301</x:v>
      </x:c>
      <x:c r="T110" s="7" t="b">
        <x:v>0</x:v>
      </x:c>
      <x:c r="U110" s="7" t="s">
        <x:v>302</x:v>
      </x:c>
      <x:c r="V110" s="26" t="s">
        <x:v>303</x:v>
      </x:c>
      <x:c r="W110" s="7" t="s">
        <x:v>802</x:v>
      </x:c>
    </x:row>
    <x:row r="111">
      <x:c r="A111" s="7" t="s">
        <x:v>803</x:v>
      </x:c>
      <x:c r="B111" s="7" t="s">
        <x:v>804</x:v>
      </x:c>
      <x:c r="C111" s="7" t="s">
        <x:v>805</x:v>
      </x:c>
      <x:c r="D111" s="7" t="s">
        <x:v>479</x:v>
      </x:c>
      <x:c r="E111" s="10"/>
      <x:c r="F111" s="12">
        <x:v>13.92316</x:v>
      </x:c>
      <x:c r="G111" s="12">
        <x:v>100.60051</x:v>
      </x:c>
      <x:c r="H111" s="7" t="s">
        <x:v>806</x:v>
      </x:c>
      <x:c r="I111" s="14">
        <x:v>1.59</x:v>
      </x:c>
      <x:c r="J111" s="14"/>
      <x:c r="K111" s="14"/>
      <x:c r="L111" s="14">
        <x:v>0.7</x:v>
      </x:c>
      <x:c r="M111" s="14">
        <x:v>0.8</x:v>
      </x:c>
      <x:c r="N111" s="7" t="s">
        <x:v>300</x:v>
      </x:c>
      <x:c r="O111" s="7" t="s">
        <x:v>300</x:v>
      </x:c>
      <x:c r="P111" s="10"/>
      <x:c r="Q111" s="10"/>
      <x:c r="R111" s="10">
        <x:v>4752.6</x:v>
      </x:c>
      <x:c r="S111" s="7" t="s">
        <x:v>301</x:v>
      </x:c>
      <x:c r="T111" s="7" t="b">
        <x:v>0</x:v>
      </x:c>
      <x:c r="U111" s="7" t="s">
        <x:v>302</x:v>
      </x:c>
      <x:c r="V111" s="26" t="s">
        <x:v>303</x:v>
      </x:c>
      <x:c r="W111" s="7" t="s">
        <x:v>807</x:v>
      </x:c>
    </x:row>
    <x:row r="112">
      <x:c r="A112" s="7" t="s">
        <x:v>808</x:v>
      </x:c>
      <x:c r="B112" s="7" t="s">
        <x:v>809</x:v>
      </x:c>
      <x:c r="C112" s="7" t="s">
        <x:v>810</x:v>
      </x:c>
      <x:c r="D112" s="7" t="s">
        <x:v>658</x:v>
      </x:c>
      <x:c r="E112" s="10"/>
      <x:c r="F112" s="12">
        <x:v>13.70346</x:v>
      </x:c>
      <x:c r="G112" s="12">
        <x:v>100.64388</x:v>
      </x:c>
      <x:c r="H112" s="7" t="s">
        <x:v>309</x:v>
      </x:c>
      <x:c r="I112" s="14">
        <x:v>0.28</x:v>
      </x:c>
      <x:c r="J112" s="14"/>
      <x:c r="K112" s="14"/>
      <x:c r="L112" s="14">
        <x:v>-0.5</x:v>
      </x:c>
      <x:c r="M112" s="14">
        <x:v>-0.4</x:v>
      </x:c>
      <x:c r="N112" s="7" t="s">
        <x:v>300</x:v>
      </x:c>
      <x:c r="O112" s="7" t="s">
        <x:v>300</x:v>
      </x:c>
      <x:c r="P112" s="10"/>
      <x:c r="Q112" s="10"/>
      <x:c r="R112" s="10">
        <x:v>4477.6</x:v>
      </x:c>
      <x:c r="S112" s="7" t="s">
        <x:v>301</x:v>
      </x:c>
      <x:c r="T112" s="7" t="b">
        <x:v>0</x:v>
      </x:c>
      <x:c r="U112" s="7" t="s">
        <x:v>302</x:v>
      </x:c>
      <x:c r="V112" s="26" t="s">
        <x:v>303</x:v>
      </x:c>
      <x:c r="W112" s="7" t="s">
        <x:v>811</x:v>
      </x:c>
    </x:row>
    <x:row r="113">
      <x:c r="A113" s="7" t="s">
        <x:v>812</x:v>
      </x:c>
      <x:c r="B113" s="7" t="s">
        <x:v>813</x:v>
      </x:c>
      <x:c r="C113" s="7" t="s">
        <x:v>814</x:v>
      </x:c>
      <x:c r="D113" s="7" t="s">
        <x:v>554</x:v>
      </x:c>
      <x:c r="E113" s="10"/>
      <x:c r="F113" s="12">
        <x:v>13.85537</x:v>
      </x:c>
      <x:c r="G113" s="12">
        <x:v>100.8721</x:v>
      </x:c>
      <x:c r="H113" s="7" t="s">
        <x:v>309</x:v>
      </x:c>
      <x:c r="I113" s="14">
        <x:v>1.29</x:v>
      </x:c>
      <x:c r="J113" s="14"/>
      <x:c r="K113" s="14"/>
      <x:c r="L113" s="14">
        <x:v>1.0</x:v>
      </x:c>
      <x:c r="M113" s="14">
        <x:v>1.1</x:v>
      </x:c>
      <x:c r="N113" s="7" t="s">
        <x:v>300</x:v>
      </x:c>
      <x:c r="O113" s="7" t="s">
        <x:v>300</x:v>
      </x:c>
      <x:c r="P113" s="10"/>
      <x:c r="Q113" s="10"/>
      <x:c r="R113" s="10">
        <x:v>4477.6</x:v>
      </x:c>
      <x:c r="S113" s="7" t="s">
        <x:v>301</x:v>
      </x:c>
      <x:c r="T113" s="7" t="b">
        <x:v>0</x:v>
      </x:c>
      <x:c r="U113" s="7" t="s">
        <x:v>302</x:v>
      </x:c>
      <x:c r="V113" s="26" t="s">
        <x:v>303</x:v>
      </x:c>
      <x:c r="W113" s="7" t="s">
        <x:v>815</x:v>
      </x:c>
    </x:row>
    <x:row r="114">
      <x:c r="A114" s="7" t="s">
        <x:v>816</x:v>
      </x:c>
      <x:c r="B114" s="7" t="s">
        <x:v>817</x:v>
      </x:c>
      <x:c r="C114" s="7" t="s">
        <x:v>818</x:v>
      </x:c>
      <x:c r="D114" s="7" t="s">
        <x:v>336</x:v>
      </x:c>
      <x:c r="E114" s="10"/>
      <x:c r="F114" s="12">
        <x:v>13.8242</x:v>
      </x:c>
      <x:c r="G114" s="12">
        <x:v>100.66005</x:v>
      </x:c>
      <x:c r="H114" s="7" t="s">
        <x:v>309</x:v>
      </x:c>
      <x:c r="I114" s="14">
        <x:v>1.03</x:v>
      </x:c>
      <x:c r="J114" s="14"/>
      <x:c r="K114" s="14"/>
      <x:c r="L114" s="14">
        <x:v>0.5</x:v>
      </x:c>
      <x:c r="M114" s="14">
        <x:v>0.6</x:v>
      </x:c>
      <x:c r="N114" s="7" t="s">
        <x:v>300</x:v>
      </x:c>
      <x:c r="O114" s="7" t="s">
        <x:v>300</x:v>
      </x:c>
      <x:c r="P114" s="10"/>
      <x:c r="Q114" s="10"/>
      <x:c r="R114" s="10">
        <x:v>4477.6</x:v>
      </x:c>
      <x:c r="S114" s="7" t="s">
        <x:v>301</x:v>
      </x:c>
      <x:c r="T114" s="7" t="b">
        <x:v>0</x:v>
      </x:c>
      <x:c r="U114" s="7" t="s">
        <x:v>302</x:v>
      </x:c>
      <x:c r="V114" s="26" t="s">
        <x:v>303</x:v>
      </x:c>
      <x:c r="W114" s="7" t="s">
        <x:v>819</x:v>
      </x:c>
    </x:row>
    <x:row r="115">
      <x:c r="A115" s="7" t="s">
        <x:v>820</x:v>
      </x:c>
      <x:c r="B115" s="7" t="s">
        <x:v>821</x:v>
      </x:c>
      <x:c r="C115" s="7" t="s">
        <x:v>822</x:v>
      </x:c>
      <x:c r="D115" s="7" t="s">
        <x:v>385</x:v>
      </x:c>
      <x:c r="E115" s="10"/>
      <x:c r="F115" s="12">
        <x:v>13.70724</x:v>
      </x:c>
      <x:c r="G115" s="12">
        <x:v>100.53762</x:v>
      </x:c>
      <x:c r="H115" s="7" t="s">
        <x:v>823</x:v>
      </x:c>
      <x:c r="I115" s="14">
        <x:v>0.0</x:v>
      </x:c>
      <x:c r="J115" s="14"/>
      <x:c r="K115" s="14"/>
      <x:c r="L115" s="14">
        <x:v>0.5</x:v>
      </x:c>
      <x:c r="M115" s="14">
        <x:v>0.6</x:v>
      </x:c>
      <x:c r="N115" s="7" t="s">
        <x:v>300</x:v>
      </x:c>
      <x:c r="O115" s="7" t="s">
        <x:v>300</x:v>
      </x:c>
      <x:c r="P115" s="10"/>
      <x:c r="Q115" s="10"/>
      <x:c r="R115" s="10">
        <x:v>570557.6</x:v>
      </x:c>
      <x:c r="S115" s="7" t="s">
        <x:v>301</x:v>
      </x:c>
      <x:c r="T115" s="7" t="b">
        <x:v>0</x:v>
      </x:c>
      <x:c r="U115" s="7" t="s">
        <x:v>302</x:v>
      </x:c>
      <x:c r="V115" s="26" t="s">
        <x:v>303</x:v>
      </x:c>
      <x:c r="W115" s="7" t="s">
        <x:v>824</x:v>
      </x:c>
    </x:row>
    <x:row r="116">
      <x:c r="A116" s="7" t="s">
        <x:v>825</x:v>
      </x:c>
      <x:c r="B116" s="7" t="s">
        <x:v>826</x:v>
      </x:c>
      <x:c r="C116" s="7" t="s">
        <x:v>827</x:v>
      </x:c>
      <x:c r="D116" s="7" t="s">
        <x:v>314</x:v>
      </x:c>
      <x:c r="E116" s="10"/>
      <x:c r="F116" s="12">
        <x:v>13.84656</x:v>
      </x:c>
      <x:c r="G116" s="12">
        <x:v>100.60057</x:v>
      </x:c>
      <x:c r="H116" s="7" t="s">
        <x:v>828</x:v>
      </x:c>
      <x:c r="I116" s="14">
        <x:v>-0.36</x:v>
      </x:c>
      <x:c r="J116" s="14"/>
      <x:c r="K116" s="14"/>
      <x:c r="L116" s="14">
        <x:v>0.6</x:v>
      </x:c>
      <x:c r="M116" s="14">
        <x:v>0.7</x:v>
      </x:c>
      <x:c r="N116" s="7" t="s">
        <x:v>300</x:v>
      </x:c>
      <x:c r="O116" s="7" t="s">
        <x:v>300</x:v>
      </x:c>
      <x:c r="P116" s="10"/>
      <x:c r="Q116" s="10"/>
      <x:c r="R116" s="10">
        <x:v>1632992.6</x:v>
      </x:c>
      <x:c r="S116" s="7" t="s">
        <x:v>301</x:v>
      </x:c>
      <x:c r="T116" s="7" t="b">
        <x:v>0</x:v>
      </x:c>
      <x:c r="U116" s="7" t="s">
        <x:v>302</x:v>
      </x:c>
      <x:c r="V116" s="26" t="s">
        <x:v>303</x:v>
      </x:c>
      <x:c r="W116" s="7" t="s">
        <x:v>829</x:v>
      </x:c>
    </x:row>
    <x:row r="117">
      <x:c r="A117" s="7" t="s">
        <x:v>830</x:v>
      </x:c>
      <x:c r="B117" s="7" t="s">
        <x:v>831</x:v>
      </x:c>
      <x:c r="C117" s="7" t="s">
        <x:v>832</x:v>
      </x:c>
      <x:c r="D117" s="7" t="s">
        <x:v>496</x:v>
      </x:c>
      <x:c r="E117" s="10"/>
      <x:c r="F117" s="12">
        <x:v>13.76074</x:v>
      </x:c>
      <x:c r="G117" s="12">
        <x:v>100.53037</x:v>
      </x:c>
      <x:c r="H117" s="7" t="s">
        <x:v>833</x:v>
      </x:c>
      <x:c r="I117" s="14">
        <x:v>-0.67</x:v>
      </x:c>
      <x:c r="J117" s="14"/>
      <x:c r="K117" s="14"/>
      <x:c r="L117" s="14">
        <x:v>-0.2</x:v>
      </x:c>
      <x:c r="M117" s="14">
        <x:v>0.0</x:v>
      </x:c>
      <x:c r="N117" s="7" t="s">
        <x:v>300</x:v>
      </x:c>
      <x:c r="O117" s="7" t="s">
        <x:v>300</x:v>
      </x:c>
      <x:c r="P117" s="10"/>
      <x:c r="Q117" s="10"/>
      <x:c r="R117" s="10">
        <x:v>1211102.6</x:v>
      </x:c>
      <x:c r="S117" s="7" t="s">
        <x:v>301</x:v>
      </x:c>
      <x:c r="T117" s="7" t="b">
        <x:v>0</x:v>
      </x:c>
      <x:c r="U117" s="7" t="s">
        <x:v>302</x:v>
      </x:c>
      <x:c r="V117" s="26" t="s">
        <x:v>303</x:v>
      </x:c>
      <x:c r="W117" s="7" t="s">
        <x:v>834</x:v>
      </x:c>
    </x:row>
    <x:row r="118">
      <x:c r="A118" s="7" t="s">
        <x:v>835</x:v>
      </x:c>
      <x:c r="B118" s="7" t="s">
        <x:v>836</x:v>
      </x:c>
      <x:c r="C118" s="7" t="s">
        <x:v>837</x:v>
      </x:c>
      <x:c r="D118" s="7" t="s">
        <x:v>464</x:v>
      </x:c>
      <x:c r="E118" s="10"/>
      <x:c r="F118" s="12">
        <x:v>13.68913</x:v>
      </x:c>
      <x:c r="G118" s="12">
        <x:v>100.59082</x:v>
      </x:c>
      <x:c r="H118" s="7" t="s">
        <x:v>309</x:v>
      </x:c>
      <x:c r="I118" s="14">
        <x:v>-1.49</x:v>
      </x:c>
      <x:c r="J118" s="14"/>
      <x:c r="K118" s="14"/>
      <x:c r="L118" s="14">
        <x:v>2.6</x:v>
      </x:c>
      <x:c r="M118" s="14">
        <x:v>2.8</x:v>
      </x:c>
      <x:c r="N118" s="7" t="s">
        <x:v>300</x:v>
      </x:c>
      <x:c r="O118" s="7" t="s">
        <x:v>300</x:v>
      </x:c>
      <x:c r="P118" s="10"/>
      <x:c r="Q118" s="10"/>
      <x:c r="R118" s="10">
        <x:v>4477.6</x:v>
      </x:c>
      <x:c r="S118" s="7" t="s">
        <x:v>301</x:v>
      </x:c>
      <x:c r="T118" s="7" t="b">
        <x:v>0</x:v>
      </x:c>
      <x:c r="U118" s="7" t="s">
        <x:v>302</x:v>
      </x:c>
      <x:c r="V118" s="26" t="s">
        <x:v>303</x:v>
      </x:c>
      <x:c r="W118" s="7" t="s">
        <x:v>838</x:v>
      </x:c>
    </x:row>
    <x:row r="119">
      <x:c r="A119" s="7" t="s">
        <x:v>839</x:v>
      </x:c>
      <x:c r="B119" s="7" t="s">
        <x:v>840</x:v>
      </x:c>
      <x:c r="C119" s="7" t="s">
        <x:v>841</x:v>
      </x:c>
      <x:c r="D119" s="7" t="s">
        <x:v>464</x:v>
      </x:c>
      <x:c r="E119" s="10"/>
      <x:c r="F119" s="12">
        <x:v>13.68443</x:v>
      </x:c>
      <x:c r="G119" s="12">
        <x:v>100.61107</x:v>
      </x:c>
      <x:c r="H119" s="7" t="s">
        <x:v>309</x:v>
      </x:c>
      <x:c r="I119" s="14">
        <x:v>-0.4</x:v>
      </x:c>
      <x:c r="J119" s="14"/>
      <x:c r="K119" s="14"/>
      <x:c r="L119" s="14">
        <x:v>-0.2</x:v>
      </x:c>
      <x:c r="M119" s="14">
        <x:v>0.0</x:v>
      </x:c>
      <x:c r="N119" s="7" t="s">
        <x:v>300</x:v>
      </x:c>
      <x:c r="O119" s="7" t="s">
        <x:v>300</x:v>
      </x:c>
      <x:c r="P119" s="10"/>
      <x:c r="Q119" s="10"/>
      <x:c r="R119" s="10">
        <x:v>4477.6</x:v>
      </x:c>
      <x:c r="S119" s="7" t="s">
        <x:v>301</x:v>
      </x:c>
      <x:c r="T119" s="7" t="b">
        <x:v>0</x:v>
      </x:c>
      <x:c r="U119" s="7" t="s">
        <x:v>302</x:v>
      </x:c>
      <x:c r="V119" s="26" t="s">
        <x:v>303</x:v>
      </x:c>
      <x:c r="W119" s="7" t="s">
        <x:v>842</x:v>
      </x:c>
    </x:row>
    <x:row r="120">
      <x:c r="A120" s="7" t="s">
        <x:v>843</x:v>
      </x:c>
      <x:c r="B120" s="7" t="s">
        <x:v>844</x:v>
      </x:c>
      <x:c r="C120" s="7" t="s">
        <x:v>845</x:v>
      </x:c>
      <x:c r="D120" s="7" t="s">
        <x:v>347</x:v>
      </x:c>
      <x:c r="E120" s="10"/>
      <x:c r="F120" s="12">
        <x:v>13.8036</x:v>
      </x:c>
      <x:c r="G120" s="12">
        <x:v>100.33512</x:v>
      </x:c>
      <x:c r="H120" s="7" t="s">
        <x:v>309</x:v>
      </x:c>
      <x:c r="I120" s="14">
        <x:v>1.46</x:v>
      </x:c>
      <x:c r="J120" s="14"/>
      <x:c r="K120" s="14"/>
      <x:c r="L120" s="14">
        <x:v>1.8</x:v>
      </x:c>
      <x:c r="M120" s="14">
        <x:v>2.0</x:v>
      </x:c>
      <x:c r="N120" s="7" t="s">
        <x:v>300</x:v>
      </x:c>
      <x:c r="O120" s="7" t="s">
        <x:v>300</x:v>
      </x:c>
      <x:c r="P120" s="10"/>
      <x:c r="Q120" s="10"/>
      <x:c r="R120" s="10">
        <x:v>4477.6</x:v>
      </x:c>
      <x:c r="S120" s="7" t="s">
        <x:v>301</x:v>
      </x:c>
      <x:c r="T120" s="7" t="b">
        <x:v>0</x:v>
      </x:c>
      <x:c r="U120" s="7" t="s">
        <x:v>302</x:v>
      </x:c>
      <x:c r="V120" s="26" t="s">
        <x:v>303</x:v>
      </x:c>
      <x:c r="W120" s="7" t="s">
        <x:v>846</x:v>
      </x:c>
    </x:row>
    <x:row r="121">
      <x:c r="A121" s="7" t="s">
        <x:v>847</x:v>
      </x:c>
      <x:c r="B121" s="7" t="s">
        <x:v>848</x:v>
      </x:c>
      <x:c r="C121" s="7" t="s">
        <x:v>849</x:v>
      </x:c>
      <x:c r="D121" s="7" t="s">
        <x:v>341</x:v>
      </x:c>
      <x:c r="E121" s="10"/>
      <x:c r="F121" s="12">
        <x:v>13.74925</x:v>
      </x:c>
      <x:c r="G121" s="12">
        <x:v>100.40654</x:v>
      </x:c>
      <x:c r="H121" s="7" t="s">
        <x:v>309</x:v>
      </x:c>
      <x:c r="I121" s="14">
        <x:v>0.67</x:v>
      </x:c>
      <x:c r="J121" s="14"/>
      <x:c r="K121" s="14"/>
      <x:c r="L121" s="14">
        <x:v>0.6</x:v>
      </x:c>
      <x:c r="M121" s="14">
        <x:v>0.7</x:v>
      </x:c>
      <x:c r="N121" s="7" t="s">
        <x:v>300</x:v>
      </x:c>
      <x:c r="O121" s="7" t="s">
        <x:v>300</x:v>
      </x:c>
      <x:c r="P121" s="10"/>
      <x:c r="Q121" s="10"/>
      <x:c r="R121" s="10">
        <x:v>4477.6</x:v>
      </x:c>
      <x:c r="S121" s="7" t="s">
        <x:v>301</x:v>
      </x:c>
      <x:c r="T121" s="7" t="b">
        <x:v>0</x:v>
      </x:c>
      <x:c r="U121" s="7" t="s">
        <x:v>302</x:v>
      </x:c>
      <x:c r="V121" s="26" t="s">
        <x:v>303</x:v>
      </x:c>
      <x:c r="W121" s="7" t="s">
        <x:v>850</x:v>
      </x:c>
    </x:row>
    <x:row r="122">
      <x:c r="A122" s="7" t="s">
        <x:v>851</x:v>
      </x:c>
      <x:c r="B122" s="7" t="s">
        <x:v>852</x:v>
      </x:c>
      <x:c r="C122" s="7" t="s">
        <x:v>853</x:v>
      </x:c>
      <x:c r="D122" s="7" t="s">
        <x:v>375</x:v>
      </x:c>
      <x:c r="E122" s="10"/>
      <x:c r="F122" s="12">
        <x:v>13.77323</x:v>
      </x:c>
      <x:c r="G122" s="12">
        <x:v>100.62173</x:v>
      </x:c>
      <x:c r="H122" s="7" t="s">
        <x:v>309</x:v>
      </x:c>
      <x:c r="I122" s="14">
        <x:v>0.62</x:v>
      </x:c>
      <x:c r="J122" s="14"/>
      <x:c r="K122" s="14"/>
      <x:c r="L122" s="14">
        <x:v>-0.1</x:v>
      </x:c>
      <x:c r="M122" s="14">
        <x:v>0.0</x:v>
      </x:c>
      <x:c r="N122" s="7" t="s">
        <x:v>300</x:v>
      </x:c>
      <x:c r="O122" s="7" t="s">
        <x:v>300</x:v>
      </x:c>
      <x:c r="P122" s="10"/>
      <x:c r="Q122" s="10"/>
      <x:c r="R122" s="10">
        <x:v>4477.6</x:v>
      </x:c>
      <x:c r="S122" s="7" t="s">
        <x:v>301</x:v>
      </x:c>
      <x:c r="T122" s="7" t="b">
        <x:v>0</x:v>
      </x:c>
      <x:c r="U122" s="7" t="s">
        <x:v>302</x:v>
      </x:c>
      <x:c r="V122" s="26" t="s">
        <x:v>303</x:v>
      </x:c>
      <x:c r="W122" s="7" t="s">
        <x:v>854</x:v>
      </x:c>
    </x:row>
    <x:row r="123">
      <x:c r="A123" s="7" t="s">
        <x:v>855</x:v>
      </x:c>
      <x:c r="B123" s="7" t="s">
        <x:v>856</x:v>
      </x:c>
      <x:c r="C123" s="7" t="s">
        <x:v>857</x:v>
      </x:c>
      <x:c r="D123" s="7" t="s">
        <x:v>858</x:v>
      </x:c>
      <x:c r="E123" s="10"/>
      <x:c r="F123" s="12">
        <x:v>13.7276</x:v>
      </x:c>
      <x:c r="G123" s="12">
        <x:v>100.52735</x:v>
      </x:c>
      <x:c r="H123" s="7" t="s">
        <x:v>859</x:v>
      </x:c>
      <x:c r="I123" s="14">
        <x:v>-0.64</x:v>
      </x:c>
      <x:c r="J123" s="14"/>
      <x:c r="K123" s="14"/>
      <x:c r="L123" s="14">
        <x:v>0.5</x:v>
      </x:c>
      <x:c r="M123" s="14">
        <x:v>0.6</x:v>
      </x:c>
      <x:c r="N123" s="7" t="s">
        <x:v>300</x:v>
      </x:c>
      <x:c r="O123" s="7" t="s">
        <x:v>300</x:v>
      </x:c>
      <x:c r="P123" s="10"/>
      <x:c r="Q123" s="10"/>
      <x:c r="R123" s="10">
        <x:v>1815737.6</x:v>
      </x:c>
      <x:c r="S123" s="7" t="s">
        <x:v>301</x:v>
      </x:c>
      <x:c r="T123" s="7" t="b">
        <x:v>0</x:v>
      </x:c>
      <x:c r="U123" s="7" t="s">
        <x:v>302</x:v>
      </x:c>
      <x:c r="V123" s="26" t="s">
        <x:v>303</x:v>
      </x:c>
      <x:c r="W123" s="7" t="s">
        <x:v>860</x:v>
      </x:c>
    </x:row>
    <x:row r="124">
      <x:c r="A124" s="7" t="s">
        <x:v>861</x:v>
      </x:c>
      <x:c r="B124" s="7" t="s">
        <x:v>862</x:v>
      </x:c>
      <x:c r="C124" s="7" t="s">
        <x:v>863</x:v>
      </x:c>
      <x:c r="D124" s="7" t="s">
        <x:v>864</x:v>
      </x:c>
      <x:c r="E124" s="10"/>
      <x:c r="F124" s="12">
        <x:v>13.67068</x:v>
      </x:c>
      <x:c r="G124" s="12">
        <x:v>100.54016</x:v>
      </x:c>
      <x:c r="H124" s="7" t="s">
        <x:v>309</x:v>
      </x:c>
      <x:c r="I124" s="14">
        <x:v>-0.59</x:v>
      </x:c>
      <x:c r="J124" s="14"/>
      <x:c r="K124" s="14"/>
      <x:c r="L124" s="14">
        <x:v>2.6</x:v>
      </x:c>
      <x:c r="M124" s="14">
        <x:v>2.8</x:v>
      </x:c>
      <x:c r="N124" s="7" t="s">
        <x:v>300</x:v>
      </x:c>
      <x:c r="O124" s="7" t="s">
        <x:v>300</x:v>
      </x:c>
      <x:c r="P124" s="10"/>
      <x:c r="Q124" s="10"/>
      <x:c r="R124" s="10">
        <x:v>4477.6</x:v>
      </x:c>
      <x:c r="S124" s="7" t="s">
        <x:v>301</x:v>
      </x:c>
      <x:c r="T124" s="7" t="b">
        <x:v>0</x:v>
      </x:c>
      <x:c r="U124" s="7" t="s">
        <x:v>302</x:v>
      </x:c>
      <x:c r="V124" s="26" t="s">
        <x:v>303</x:v>
      </x:c>
      <x:c r="W124" s="7" t="s">
        <x:v>865</x:v>
      </x:c>
    </x:row>
    <x:row r="125">
      <x:c r="A125" s="7" t="s">
        <x:v>866</x:v>
      </x:c>
      <x:c r="B125" s="7" t="s">
        <x:v>867</x:v>
      </x:c>
      <x:c r="C125" s="7" t="s">
        <x:v>868</x:v>
      </x:c>
      <x:c r="D125" s="7" t="s">
        <x:v>320</x:v>
      </x:c>
      <x:c r="E125" s="10"/>
      <x:c r="F125" s="12">
        <x:v>13.76127</x:v>
      </x:c>
      <x:c r="G125" s="12">
        <x:v>100.61532</x:v>
      </x:c>
      <x:c r="H125" s="7" t="s">
        <x:v>309</x:v>
      </x:c>
      <x:c r="I125" s="14">
        <x:v>0.42</x:v>
      </x:c>
      <x:c r="J125" s="14"/>
      <x:c r="K125" s="14"/>
      <x:c r="L125" s="14">
        <x:v>0.2</x:v>
      </x:c>
      <x:c r="M125" s="14">
        <x:v>0.35</x:v>
      </x:c>
      <x:c r="N125" s="7" t="s">
        <x:v>300</x:v>
      </x:c>
      <x:c r="O125" s="7" t="s">
        <x:v>300</x:v>
      </x:c>
      <x:c r="P125" s="10"/>
      <x:c r="Q125" s="10"/>
      <x:c r="R125" s="10">
        <x:v>4477.6</x:v>
      </x:c>
      <x:c r="S125" s="7" t="s">
        <x:v>301</x:v>
      </x:c>
      <x:c r="T125" s="7" t="b">
        <x:v>0</x:v>
      </x:c>
      <x:c r="U125" s="7" t="s">
        <x:v>302</x:v>
      </x:c>
      <x:c r="V125" s="26" t="s">
        <x:v>303</x:v>
      </x:c>
      <x:c r="W125" s="7" t="s">
        <x:v>869</x:v>
      </x:c>
    </x:row>
    <x:row r="126">
      <x:c r="A126" s="7" t="s">
        <x:v>870</x:v>
      </x:c>
      <x:c r="B126" s="7" t="s">
        <x:v>871</x:v>
      </x:c>
      <x:c r="C126" s="7" t="s">
        <x:v>872</x:v>
      </x:c>
      <x:c r="D126" s="7" t="s">
        <x:v>375</x:v>
      </x:c>
      <x:c r="E126" s="10"/>
      <x:c r="F126" s="12">
        <x:v>13.78678</x:v>
      </x:c>
      <x:c r="G126" s="12">
        <x:v>100.60758</x:v>
      </x:c>
      <x:c r="H126" s="7" t="s">
        <x:v>309</x:v>
      </x:c>
      <x:c r="I126" s="14">
        <x:v>-0.21</x:v>
      </x:c>
      <x:c r="J126" s="14"/>
      <x:c r="K126" s="14"/>
      <x:c r="L126" s="14">
        <x:v>0.3</x:v>
      </x:c>
      <x:c r="M126" s="14">
        <x:v>0.4</x:v>
      </x:c>
      <x:c r="N126" s="7" t="s">
        <x:v>300</x:v>
      </x:c>
      <x:c r="O126" s="7" t="s">
        <x:v>300</x:v>
      </x:c>
      <x:c r="P126" s="10"/>
      <x:c r="Q126" s="10"/>
      <x:c r="R126" s="10">
        <x:v>4477.6</x:v>
      </x:c>
      <x:c r="S126" s="7" t="s">
        <x:v>301</x:v>
      </x:c>
      <x:c r="T126" s="7" t="b">
        <x:v>0</x:v>
      </x:c>
      <x:c r="U126" s="7" t="s">
        <x:v>302</x:v>
      </x:c>
      <x:c r="V126" s="26" t="s">
        <x:v>303</x:v>
      </x:c>
      <x:c r="W126" s="7" t="s">
        <x:v>873</x:v>
      </x:c>
    </x:row>
    <x:row r="127">
      <x:c r="A127" s="7" t="s">
        <x:v>874</x:v>
      </x:c>
      <x:c r="B127" s="7" t="s">
        <x:v>875</x:v>
      </x:c>
      <x:c r="C127" s="7" t="s">
        <x:v>876</x:v>
      </x:c>
      <x:c r="D127" s="7" t="s">
        <x:v>370</x:v>
      </x:c>
      <x:c r="E127" s="10"/>
      <x:c r="F127" s="12">
        <x:v>13.73345</x:v>
      </x:c>
      <x:c r="G127" s="12">
        <x:v>100.43283</x:v>
      </x:c>
      <x:c r="H127" s="7" t="s">
        <x:v>309</x:v>
      </x:c>
      <x:c r="I127" s="14">
        <x:v>0.68</x:v>
      </x:c>
      <x:c r="J127" s="14"/>
      <x:c r="K127" s="14"/>
      <x:c r="L127" s="14">
        <x:v>0.6</x:v>
      </x:c>
      <x:c r="M127" s="14">
        <x:v>0.7</x:v>
      </x:c>
      <x:c r="N127" s="7" t="s">
        <x:v>300</x:v>
      </x:c>
      <x:c r="O127" s="7" t="s">
        <x:v>300</x:v>
      </x:c>
      <x:c r="P127" s="10"/>
      <x:c r="Q127" s="10"/>
      <x:c r="R127" s="10">
        <x:v>4477.6</x:v>
      </x:c>
      <x:c r="S127" s="7" t="s">
        <x:v>301</x:v>
      </x:c>
      <x:c r="T127" s="7" t="b">
        <x:v>0</x:v>
      </x:c>
      <x:c r="U127" s="7" t="s">
        <x:v>302</x:v>
      </x:c>
      <x:c r="V127" s="26" t="s">
        <x:v>303</x:v>
      </x:c>
      <x:c r="W127" s="7" t="s">
        <x:v>877</x:v>
      </x:c>
    </x:row>
    <x:row r="128">
      <x:c r="A128" s="7" t="s">
        <x:v>878</x:v>
      </x:c>
      <x:c r="B128" s="7" t="s">
        <x:v>879</x:v>
      </x:c>
      <x:c r="C128" s="7" t="s">
        <x:v>880</x:v>
      </x:c>
      <x:c r="D128" s="7" t="s">
        <x:v>469</x:v>
      </x:c>
      <x:c r="E128" s="10"/>
      <x:c r="F128" s="12">
        <x:v>13.7717</x:v>
      </x:c>
      <x:c r="G128" s="12">
        <x:v>100.50113</x:v>
      </x:c>
      <x:c r="H128" s="7" t="s">
        <x:v>309</x:v>
      </x:c>
      <x:c r="I128" s="14">
        <x:v>-0.24</x:v>
      </x:c>
      <x:c r="J128" s="14"/>
      <x:c r="K128" s="14"/>
      <x:c r="L128" s="14">
        <x:v>3.05</x:v>
      </x:c>
      <x:c r="M128" s="14">
        <x:v>3.25</x:v>
      </x:c>
      <x:c r="N128" s="7" t="s">
        <x:v>300</x:v>
      </x:c>
      <x:c r="O128" s="7" t="s">
        <x:v>300</x:v>
      </x:c>
      <x:c r="P128" s="10"/>
      <x:c r="Q128" s="10"/>
      <x:c r="R128" s="10">
        <x:v>4477.6</x:v>
      </x:c>
      <x:c r="S128" s="7" t="s">
        <x:v>301</x:v>
      </x:c>
      <x:c r="T128" s="7" t="b">
        <x:v>0</x:v>
      </x:c>
      <x:c r="U128" s="7" t="s">
        <x:v>302</x:v>
      </x:c>
      <x:c r="V128" s="26" t="s">
        <x:v>303</x:v>
      </x:c>
      <x:c r="W128" s="7" t="s">
        <x:v>881</x:v>
      </x:c>
    </x:row>
    <x:row r="129">
      <x:c r="A129" s="7" t="s">
        <x:v>882</x:v>
      </x:c>
      <x:c r="B129" s="7" t="s">
        <x:v>883</x:v>
      </x:c>
      <x:c r="C129" s="7" t="s">
        <x:v>884</x:v>
      </x:c>
      <x:c r="D129" s="7" t="s">
        <x:v>658</x:v>
      </x:c>
      <x:c r="E129" s="10"/>
      <x:c r="F129" s="12">
        <x:v>13.70382</x:v>
      </x:c>
      <x:c r="G129" s="12">
        <x:v>100.65075</x:v>
      </x:c>
      <x:c r="H129" s="7" t="s">
        <x:v>309</x:v>
      </x:c>
      <x:c r="I129" s="14">
        <x:v>-0.31</x:v>
      </x:c>
      <x:c r="J129" s="14"/>
      <x:c r="K129" s="14"/>
      <x:c r="L129" s="14">
        <x:v>0.0</x:v>
      </x:c>
      <x:c r="M129" s="14">
        <x:v>0.1</x:v>
      </x:c>
      <x:c r="N129" s="7" t="s">
        <x:v>300</x:v>
      </x:c>
      <x:c r="O129" s="7" t="s">
        <x:v>300</x:v>
      </x:c>
      <x:c r="P129" s="10"/>
      <x:c r="Q129" s="10"/>
      <x:c r="R129" s="10">
        <x:v>4477.6</x:v>
      </x:c>
      <x:c r="S129" s="7" t="s">
        <x:v>301</x:v>
      </x:c>
      <x:c r="T129" s="7" t="b">
        <x:v>0</x:v>
      </x:c>
      <x:c r="U129" s="7" t="s">
        <x:v>302</x:v>
      </x:c>
      <x:c r="V129" s="26" t="s">
        <x:v>303</x:v>
      </x:c>
      <x:c r="W129" s="7" t="s">
        <x:v>885</x:v>
      </x:c>
    </x:row>
    <x:row r="130">
      <x:c r="A130" s="7" t="s">
        <x:v>886</x:v>
      </x:c>
      <x:c r="B130" s="7" t="s">
        <x:v>887</x:v>
      </x:c>
      <x:c r="C130" s="7" t="s">
        <x:v>888</x:v>
      </x:c>
      <x:c r="D130" s="7" t="s">
        <x:v>889</x:v>
      </x:c>
      <x:c r="E130" s="10"/>
      <x:c r="F130" s="12">
        <x:v>13.63487</x:v>
      </x:c>
      <x:c r="G130" s="12">
        <x:v>100.50202</x:v>
      </x:c>
      <x:c r="H130" s="7" t="s">
        <x:v>309</x:v>
      </x:c>
      <x:c r="I130" s="14">
        <x:v>0.5</x:v>
      </x:c>
      <x:c r="J130" s="14"/>
      <x:c r="K130" s="14"/>
      <x:c r="L130" s="14">
        <x:v>0.8</x:v>
      </x:c>
      <x:c r="M130" s="14">
        <x:v>0.7</x:v>
      </x:c>
      <x:c r="N130" s="7" t="s">
        <x:v>300</x:v>
      </x:c>
      <x:c r="O130" s="7" t="s">
        <x:v>300</x:v>
      </x:c>
      <x:c r="P130" s="10"/>
      <x:c r="Q130" s="10"/>
      <x:c r="R130" s="10">
        <x:v>4477.6</x:v>
      </x:c>
      <x:c r="S130" s="7" t="s">
        <x:v>301</x:v>
      </x:c>
      <x:c r="T130" s="7" t="b">
        <x:v>0</x:v>
      </x:c>
      <x:c r="U130" s="7" t="s">
        <x:v>302</x:v>
      </x:c>
      <x:c r="V130" s="26" t="s">
        <x:v>303</x:v>
      </x:c>
      <x:c r="W130" s="7" t="s">
        <x:v>890</x:v>
      </x:c>
    </x:row>
    <x:row r="131">
      <x:c r="A131" s="7" t="s">
        <x:v>891</x:v>
      </x:c>
      <x:c r="B131" s="7" t="s">
        <x:v>892</x:v>
      </x:c>
      <x:c r="C131" s="7" t="s">
        <x:v>893</x:v>
      </x:c>
      <x:c r="D131" s="7" t="s">
        <x:v>549</x:v>
      </x:c>
      <x:c r="E131" s="10"/>
      <x:c r="F131" s="12">
        <x:v>13.74048</x:v>
      </x:c>
      <x:c r="G131" s="12">
        <x:v>100.58877</x:v>
      </x:c>
      <x:c r="H131" s="7" t="s">
        <x:v>309</x:v>
      </x:c>
      <x:c r="I131" s="14">
        <x:v>-1.58</x:v>
      </x:c>
      <x:c r="J131" s="14"/>
      <x:c r="K131" s="14"/>
      <x:c r="L131" s="14">
        <x:v>-0.2</x:v>
      </x:c>
      <x:c r="M131" s="14">
        <x:v>0.0</x:v>
      </x:c>
      <x:c r="N131" s="7" t="s">
        <x:v>300</x:v>
      </x:c>
      <x:c r="O131" s="7" t="s">
        <x:v>300</x:v>
      </x:c>
      <x:c r="P131" s="10"/>
      <x:c r="Q131" s="10"/>
      <x:c r="R131" s="10">
        <x:v>4477.6</x:v>
      </x:c>
      <x:c r="S131" s="7" t="s">
        <x:v>301</x:v>
      </x:c>
      <x:c r="T131" s="7" t="b">
        <x:v>0</x:v>
      </x:c>
      <x:c r="U131" s="7" t="s">
        <x:v>302</x:v>
      </x:c>
      <x:c r="V131" s="26" t="s">
        <x:v>303</x:v>
      </x:c>
      <x:c r="W131" s="7" t="s">
        <x:v>894</x:v>
      </x:c>
    </x:row>
    <x:row r="132">
      <x:c r="A132" s="7" t="s">
        <x:v>895</x:v>
      </x:c>
      <x:c r="B132" s="7" t="s">
        <x:v>896</x:v>
      </x:c>
      <x:c r="C132" s="7" t="s">
        <x:v>897</x:v>
      </x:c>
      <x:c r="D132" s="7" t="s">
        <x:v>375</x:v>
      </x:c>
      <x:c r="E132" s="10"/>
      <x:c r="F132" s="12">
        <x:v>13.76206</x:v>
      </x:c>
      <x:c r="G132" s="12">
        <x:v>100.59756</x:v>
      </x:c>
      <x:c r="H132" s="7" t="s">
        <x:v>898</x:v>
      </x:c>
      <x:c r="I132" s="14">
        <x:v>-0.19</x:v>
      </x:c>
      <x:c r="J132" s="14"/>
      <x:c r="K132" s="14"/>
      <x:c r="L132" s="14">
        <x:v>-0.2</x:v>
      </x:c>
      <x:c r="M132" s="14">
        <x:v>0.0</x:v>
      </x:c>
      <x:c r="N132" s="7" t="s">
        <x:v>300</x:v>
      </x:c>
      <x:c r="O132" s="7" t="s">
        <x:v>300</x:v>
      </x:c>
      <x:c r="P132" s="10"/>
      <x:c r="Q132" s="10"/>
      <x:c r="R132" s="10">
        <x:v>1252932.6</x:v>
      </x:c>
      <x:c r="S132" s="7" t="s">
        <x:v>301</x:v>
      </x:c>
      <x:c r="T132" s="7" t="b">
        <x:v>0</x:v>
      </x:c>
      <x:c r="U132" s="7" t="s">
        <x:v>302</x:v>
      </x:c>
      <x:c r="V132" s="26" t="s">
        <x:v>303</x:v>
      </x:c>
      <x:c r="W132" s="7" t="s">
        <x:v>899</x:v>
      </x:c>
    </x:row>
    <x:row r="133">
      <x:c r="A133" s="7" t="s">
        <x:v>900</x:v>
      </x:c>
      <x:c r="B133" s="7" t="s">
        <x:v>901</x:v>
      </x:c>
      <x:c r="C133" s="7" t="s">
        <x:v>902</x:v>
      </x:c>
      <x:c r="D133" s="7" t="s">
        <x:v>357</x:v>
      </x:c>
      <x:c r="E133" s="10"/>
      <x:c r="F133" s="12">
        <x:v>13.52834</x:v>
      </x:c>
      <x:c r="G133" s="12">
        <x:v>100.41782</x:v>
      </x:c>
      <x:c r="H133" s="7" t="s">
        <x:v>309</x:v>
      </x:c>
      <x:c r="I133" s="14">
        <x:v>-0.12</x:v>
      </x:c>
      <x:c r="J133" s="14"/>
      <x:c r="K133" s="14"/>
      <x:c r="L133" s="14">
        <x:v>1.2</x:v>
      </x:c>
      <x:c r="M133" s="14">
        <x:v>1.4</x:v>
      </x:c>
      <x:c r="N133" s="7" t="s">
        <x:v>300</x:v>
      </x:c>
      <x:c r="O133" s="7" t="s">
        <x:v>300</x:v>
      </x:c>
      <x:c r="P133" s="10"/>
      <x:c r="Q133" s="10"/>
      <x:c r="R133" s="10">
        <x:v>4477.6</x:v>
      </x:c>
      <x:c r="S133" s="7" t="s">
        <x:v>301</x:v>
      </x:c>
      <x:c r="T133" s="7" t="b">
        <x:v>0</x:v>
      </x:c>
      <x:c r="U133" s="7" t="s">
        <x:v>302</x:v>
      </x:c>
      <x:c r="V133" s="26" t="s">
        <x:v>303</x:v>
      </x:c>
      <x:c r="W133" s="7" t="s">
        <x:v>903</x:v>
      </x:c>
    </x:row>
    <x:row r="134">
      <x:c r="A134" s="7" t="s">
        <x:v>904</x:v>
      </x:c>
      <x:c r="B134" s="7" t="s">
        <x:v>905</x:v>
      </x:c>
      <x:c r="C134" s="7" t="s">
        <x:v>906</x:v>
      </x:c>
      <x:c r="D134" s="7" t="s">
        <x:v>907</x:v>
      </x:c>
      <x:c r="E134" s="10"/>
      <x:c r="F134" s="12">
        <x:v>13.70099</x:v>
      </x:c>
      <x:c r="G134" s="12">
        <x:v>100.46486</x:v>
      </x:c>
      <x:c r="H134" s="7" t="s">
        <x:v>309</x:v>
      </x:c>
      <x:c r="I134" s="14">
        <x:v>0.23</x:v>
      </x:c>
      <x:c r="J134" s="14"/>
      <x:c r="K134" s="14"/>
      <x:c r="L134" s="14">
        <x:v>0.5</x:v>
      </x:c>
      <x:c r="M134" s="14">
        <x:v>0.6</x:v>
      </x:c>
      <x:c r="N134" s="7" t="s">
        <x:v>300</x:v>
      </x:c>
      <x:c r="O134" s="7" t="s">
        <x:v>300</x:v>
      </x:c>
      <x:c r="P134" s="10"/>
      <x:c r="Q134" s="10"/>
      <x:c r="R134" s="10">
        <x:v>4477.6</x:v>
      </x:c>
      <x:c r="S134" s="7" t="s">
        <x:v>301</x:v>
      </x:c>
      <x:c r="T134" s="7" t="b">
        <x:v>0</x:v>
      </x:c>
      <x:c r="U134" s="7" t="s">
        <x:v>302</x:v>
      </x:c>
      <x:c r="V134" s="26" t="s">
        <x:v>303</x:v>
      </x:c>
      <x:c r="W134" s="7" t="s">
        <x:v>908</x:v>
      </x:c>
    </x:row>
    <x:row r="135">
      <x:c r="A135" s="7" t="s">
        <x:v>909</x:v>
      </x:c>
      <x:c r="B135" s="7" t="s">
        <x:v>910</x:v>
      </x:c>
      <x:c r="C135" s="7" t="s">
        <x:v>911</x:v>
      </x:c>
      <x:c r="D135" s="7" t="s">
        <x:v>347</x:v>
      </x:c>
      <x:c r="E135" s="10"/>
      <x:c r="F135" s="12">
        <x:v>13.79744</x:v>
      </x:c>
      <x:c r="G135" s="12">
        <x:v>100.38155</x:v>
      </x:c>
      <x:c r="H135" s="7" t="s">
        <x:v>309</x:v>
      </x:c>
      <x:c r="I135" s="14">
        <x:v>0.8</x:v>
      </x:c>
      <x:c r="J135" s="14"/>
      <x:c r="K135" s="14"/>
      <x:c r="L135" s="14">
        <x:v>0.9</x:v>
      </x:c>
      <x:c r="M135" s="14">
        <x:v>1.0</x:v>
      </x:c>
      <x:c r="N135" s="7" t="s">
        <x:v>300</x:v>
      </x:c>
      <x:c r="O135" s="7" t="s">
        <x:v>300</x:v>
      </x:c>
      <x:c r="P135" s="10"/>
      <x:c r="Q135" s="10"/>
      <x:c r="R135" s="10">
        <x:v>4477.6</x:v>
      </x:c>
      <x:c r="S135" s="7" t="s">
        <x:v>301</x:v>
      </x:c>
      <x:c r="T135" s="7" t="b">
        <x:v>0</x:v>
      </x:c>
      <x:c r="U135" s="7" t="s">
        <x:v>302</x:v>
      </x:c>
      <x:c r="V135" s="26" t="s">
        <x:v>303</x:v>
      </x:c>
      <x:c r="W135" s="7" t="s">
        <x:v>912</x:v>
      </x:c>
    </x:row>
    <x:row r="136">
      <x:c r="A136" s="7" t="s">
        <x:v>913</x:v>
      </x:c>
      <x:c r="B136" s="7" t="s">
        <x:v>914</x:v>
      </x:c>
      <x:c r="C136" s="7" t="s">
        <x:v>915</x:v>
      </x:c>
      <x:c r="D136" s="7" t="s">
        <x:v>391</x:v>
      </x:c>
      <x:c r="E136" s="10"/>
      <x:c r="F136" s="12">
        <x:v>13.76874</x:v>
      </x:c>
      <x:c r="G136" s="12">
        <x:v>100.59356</x:v>
      </x:c>
      <x:c r="H136" s="7" t="s">
        <x:v>309</x:v>
      </x:c>
      <x:c r="I136" s="14">
        <x:v>0.41</x:v>
      </x:c>
      <x:c r="J136" s="14"/>
      <x:c r="K136" s="14"/>
      <x:c r="L136" s="14">
        <x:v>0.05</x:v>
      </x:c>
      <x:c r="M136" s="14">
        <x:v>0.15</x:v>
      </x:c>
      <x:c r="N136" s="7" t="s">
        <x:v>300</x:v>
      </x:c>
      <x:c r="O136" s="7" t="s">
        <x:v>300</x:v>
      </x:c>
      <x:c r="P136" s="10"/>
      <x:c r="Q136" s="10"/>
      <x:c r="R136" s="10">
        <x:v>4477.6</x:v>
      </x:c>
      <x:c r="S136" s="7" t="s">
        <x:v>301</x:v>
      </x:c>
      <x:c r="T136" s="7" t="b">
        <x:v>0</x:v>
      </x:c>
      <x:c r="U136" s="7" t="s">
        <x:v>302</x:v>
      </x:c>
      <x:c r="V136" s="26" t="s">
        <x:v>303</x:v>
      </x:c>
      <x:c r="W136" s="7" t="s">
        <x:v>916</x:v>
      </x:c>
    </x:row>
    <x:row r="137">
      <x:c r="A137" s="7" t="s">
        <x:v>917</x:v>
      </x:c>
      <x:c r="B137" s="7" t="s">
        <x:v>918</x:v>
      </x:c>
      <x:c r="C137" s="7" t="s">
        <x:v>919</x:v>
      </x:c>
      <x:c r="D137" s="7" t="s">
        <x:v>403</x:v>
      </x:c>
      <x:c r="E137" s="10"/>
      <x:c r="F137" s="12">
        <x:v>13.85069</x:v>
      </x:c>
      <x:c r="G137" s="12">
        <x:v>100.56091</x:v>
      </x:c>
      <x:c r="H137" s="7" t="s">
        <x:v>309</x:v>
      </x:c>
      <x:c r="I137" s="14">
        <x:v>1.0</x:v>
      </x:c>
      <x:c r="J137" s="14"/>
      <x:c r="K137" s="14"/>
      <x:c r="L137" s="14">
        <x:v>0.5</x:v>
      </x:c>
      <x:c r="M137" s="14">
        <x:v>0.6</x:v>
      </x:c>
      <x:c r="N137" s="7" t="s">
        <x:v>300</x:v>
      </x:c>
      <x:c r="O137" s="7" t="s">
        <x:v>300</x:v>
      </x:c>
      <x:c r="P137" s="10"/>
      <x:c r="Q137" s="10"/>
      <x:c r="R137" s="10">
        <x:v>4477.6</x:v>
      </x:c>
      <x:c r="S137" s="7" t="s">
        <x:v>301</x:v>
      </x:c>
      <x:c r="T137" s="7" t="b">
        <x:v>0</x:v>
      </x:c>
      <x:c r="U137" s="7" t="s">
        <x:v>302</x:v>
      </x:c>
      <x:c r="V137" s="26" t="s">
        <x:v>303</x:v>
      </x:c>
      <x:c r="W137" s="7" t="s">
        <x:v>920</x:v>
      </x:c>
    </x:row>
    <x:row r="138">
      <x:c r="A138" s="7" t="s">
        <x:v>921</x:v>
      </x:c>
      <x:c r="B138" s="7" t="s">
        <x:v>922</x:v>
      </x:c>
      <x:c r="C138" s="7" t="s">
        <x:v>923</x:v>
      </x:c>
      <x:c r="D138" s="7" t="s">
        <x:v>549</x:v>
      </x:c>
      <x:c r="E138" s="10"/>
      <x:c r="F138" s="12">
        <x:v>13.74126</x:v>
      </x:c>
      <x:c r="G138" s="12">
        <x:v>100.59642</x:v>
      </x:c>
      <x:c r="H138" s="7" t="s">
        <x:v>309</x:v>
      </x:c>
      <x:c r="I138" s="14">
        <x:v>0.16</x:v>
      </x:c>
      <x:c r="J138" s="14"/>
      <x:c r="K138" s="14"/>
      <x:c r="L138" s="14">
        <x:v>0.0</x:v>
      </x:c>
      <x:c r="M138" s="14">
        <x:v>0.2</x:v>
      </x:c>
      <x:c r="N138" s="7" t="s">
        <x:v>300</x:v>
      </x:c>
      <x:c r="O138" s="7" t="s">
        <x:v>300</x:v>
      </x:c>
      <x:c r="P138" s="10"/>
      <x:c r="Q138" s="10"/>
      <x:c r="R138" s="10">
        <x:v>4477.6</x:v>
      </x:c>
      <x:c r="S138" s="7" t="s">
        <x:v>301</x:v>
      </x:c>
      <x:c r="T138" s="7" t="b">
        <x:v>0</x:v>
      </x:c>
      <x:c r="U138" s="7" t="s">
        <x:v>302</x:v>
      </x:c>
      <x:c r="V138" s="26" t="s">
        <x:v>303</x:v>
      </x:c>
      <x:c r="W138" s="7" t="s">
        <x:v>924</x:v>
      </x:c>
    </x:row>
    <x:row r="139">
      <x:c r="A139" s="7" t="s">
        <x:v>925</x:v>
      </x:c>
      <x:c r="B139" s="7" t="s">
        <x:v>926</x:v>
      </x:c>
      <x:c r="C139" s="7" t="s">
        <x:v>927</x:v>
      </x:c>
      <x:c r="D139" s="7" t="s">
        <x:v>644</x:v>
      </x:c>
      <x:c r="E139" s="10"/>
      <x:c r="F139" s="12">
        <x:v>13.71599</x:v>
      </x:c>
      <x:c r="G139" s="12">
        <x:v>100.67942</x:v>
      </x:c>
      <x:c r="H139" s="7" t="s">
        <x:v>309</x:v>
      </x:c>
      <x:c r="I139" s="14">
        <x:v>0.62</x:v>
      </x:c>
      <x:c r="J139" s="14"/>
      <x:c r="K139" s="14"/>
      <x:c r="L139" s="14">
        <x:v>-0.1</x:v>
      </x:c>
      <x:c r="M139" s="14">
        <x:v>0.0</x:v>
      </x:c>
      <x:c r="N139" s="7" t="s">
        <x:v>300</x:v>
      </x:c>
      <x:c r="O139" s="7" t="s">
        <x:v>300</x:v>
      </x:c>
      <x:c r="P139" s="10"/>
      <x:c r="Q139" s="10"/>
      <x:c r="R139" s="10">
        <x:v>4477.6</x:v>
      </x:c>
      <x:c r="S139" s="7" t="s">
        <x:v>301</x:v>
      </x:c>
      <x:c r="T139" s="7" t="b">
        <x:v>0</x:v>
      </x:c>
      <x:c r="U139" s="7" t="s">
        <x:v>302</x:v>
      </x:c>
      <x:c r="V139" s="26" t="s">
        <x:v>303</x:v>
      </x:c>
      <x:c r="W139" s="7" t="s">
        <x:v>928</x:v>
      </x:c>
    </x:row>
    <x:row r="140">
      <x:c r="A140" s="7" t="s">
        <x:v>929</x:v>
      </x:c>
      <x:c r="B140" s="7" t="s">
        <x:v>930</x:v>
      </x:c>
      <x:c r="C140" s="7" t="s">
        <x:v>931</x:v>
      </x:c>
      <x:c r="D140" s="7" t="s">
        <x:v>341</x:v>
      </x:c>
      <x:c r="E140" s="10"/>
      <x:c r="F140" s="12">
        <x:v>13.71575</x:v>
      </x:c>
      <x:c r="G140" s="12">
        <x:v>100.41648</x:v>
      </x:c>
      <x:c r="H140" s="7" t="s">
        <x:v>309</x:v>
      </x:c>
      <x:c r="I140" s="14">
        <x:v>0.61</x:v>
      </x:c>
      <x:c r="J140" s="14"/>
      <x:c r="K140" s="14"/>
      <x:c r="L140" s="14">
        <x:v>0.7</x:v>
      </x:c>
      <x:c r="M140" s="14">
        <x:v>0.8</x:v>
      </x:c>
      <x:c r="N140" s="7" t="s">
        <x:v>300</x:v>
      </x:c>
      <x:c r="O140" s="7" t="s">
        <x:v>300</x:v>
      </x:c>
      <x:c r="P140" s="10"/>
      <x:c r="Q140" s="10"/>
      <x:c r="R140" s="10">
        <x:v>4477.6</x:v>
      </x:c>
      <x:c r="S140" s="7" t="s">
        <x:v>301</x:v>
      </x:c>
      <x:c r="T140" s="7" t="b">
        <x:v>0</x:v>
      </x:c>
      <x:c r="U140" s="7" t="s">
        <x:v>302</x:v>
      </x:c>
      <x:c r="V140" s="26" t="s">
        <x:v>303</x:v>
      </x:c>
      <x:c r="W140" s="7" t="s">
        <x:v>932</x:v>
      </x:c>
    </x:row>
    <x:row r="141">
      <x:c r="A141" s="7" t="s">
        <x:v>933</x:v>
      </x:c>
      <x:c r="B141" s="7" t="s">
        <x:v>934</x:v>
      </x:c>
      <x:c r="C141" s="7" t="s">
        <x:v>935</x:v>
      </x:c>
      <x:c r="D141" s="7" t="s">
        <x:v>936</x:v>
      </x:c>
      <x:c r="E141" s="10"/>
      <x:c r="F141" s="12">
        <x:v>13.68687</x:v>
      </x:c>
      <x:c r="G141" s="12">
        <x:v>100.51676</x:v>
      </x:c>
      <x:c r="H141" s="7" t="s">
        <x:v>309</x:v>
      </x:c>
      <x:c r="I141" s="14">
        <x:v>-1.05</x:v>
      </x:c>
      <x:c r="J141" s="14"/>
      <x:c r="K141" s="14"/>
      <x:c r="L141" s="14">
        <x:v>2.6</x:v>
      </x:c>
      <x:c r="M141" s="14">
        <x:v>2.8</x:v>
      </x:c>
      <x:c r="N141" s="7" t="s">
        <x:v>300</x:v>
      </x:c>
      <x:c r="O141" s="7" t="s">
        <x:v>300</x:v>
      </x:c>
      <x:c r="P141" s="10"/>
      <x:c r="Q141" s="10"/>
      <x:c r="R141" s="10">
        <x:v>4477.6</x:v>
      </x:c>
      <x:c r="S141" s="7" t="s">
        <x:v>301</x:v>
      </x:c>
      <x:c r="T141" s="7" t="b">
        <x:v>0</x:v>
      </x:c>
      <x:c r="U141" s="7" t="s">
        <x:v>302</x:v>
      </x:c>
      <x:c r="V141" s="26" t="s">
        <x:v>303</x:v>
      </x:c>
      <x:c r="W141" s="7" t="s">
        <x:v>937</x:v>
      </x:c>
    </x:row>
    <x:row r="142">
      <x:c r="A142" s="7" t="s">
        <x:v>938</x:v>
      </x:c>
      <x:c r="B142" s="7" t="s">
        <x:v>939</x:v>
      </x:c>
      <x:c r="C142" s="7" t="s">
        <x:v>940</x:v>
      </x:c>
      <x:c r="D142" s="7" t="s">
        <x:v>658</x:v>
      </x:c>
      <x:c r="E142" s="10"/>
      <x:c r="F142" s="12">
        <x:v>13.74381</x:v>
      </x:c>
      <x:c r="G142" s="12">
        <x:v>100.61168</x:v>
      </x:c>
      <x:c r="H142" s="7" t="s">
        <x:v>309</x:v>
      </x:c>
      <x:c r="I142" s="14">
        <x:v>0.2</x:v>
      </x:c>
      <x:c r="J142" s="14"/>
      <x:c r="K142" s="14"/>
      <x:c r="L142" s="14">
        <x:v>0.0</x:v>
      </x:c>
      <x:c r="M142" s="14">
        <x:v>0.1</x:v>
      </x:c>
      <x:c r="N142" s="7" t="s">
        <x:v>300</x:v>
      </x:c>
      <x:c r="O142" s="7" t="s">
        <x:v>300</x:v>
      </x:c>
      <x:c r="P142" s="10"/>
      <x:c r="Q142" s="10"/>
      <x:c r="R142" s="10">
        <x:v>4477.6</x:v>
      </x:c>
      <x:c r="S142" s="7" t="s">
        <x:v>301</x:v>
      </x:c>
      <x:c r="T142" s="7" t="b">
        <x:v>0</x:v>
      </x:c>
      <x:c r="U142" s="7" t="s">
        <x:v>302</x:v>
      </x:c>
      <x:c r="V142" s="26" t="s">
        <x:v>303</x:v>
      </x:c>
      <x:c r="W142" s="7" t="s">
        <x:v>941</x:v>
      </x:c>
    </x:row>
    <x:row r="143">
      <x:c r="A143" s="7" t="s">
        <x:v>942</x:v>
      </x:c>
      <x:c r="B143" s="7" t="s">
        <x:v>943</x:v>
      </x:c>
      <x:c r="C143" s="7" t="s">
        <x:v>944</x:v>
      </x:c>
      <x:c r="D143" s="7" t="s">
        <x:v>370</x:v>
      </x:c>
      <x:c r="E143" s="10"/>
      <x:c r="F143" s="12">
        <x:v>13.71253</x:v>
      </x:c>
      <x:c r="G143" s="12">
        <x:v>100.43219</x:v>
      </x:c>
      <x:c r="H143" s="7" t="s">
        <x:v>309</x:v>
      </x:c>
      <x:c r="I143" s="14">
        <x:v>0.45</x:v>
      </x:c>
      <x:c r="J143" s="14"/>
      <x:c r="K143" s="14"/>
      <x:c r="L143" s="14">
        <x:v>1.65</x:v>
      </x:c>
      <x:c r="M143" s="14">
        <x:v>1.85</x:v>
      </x:c>
      <x:c r="N143" s="7" t="s">
        <x:v>300</x:v>
      </x:c>
      <x:c r="O143" s="7" t="s">
        <x:v>300</x:v>
      </x:c>
      <x:c r="P143" s="10"/>
      <x:c r="Q143" s="10"/>
      <x:c r="R143" s="10">
        <x:v>4477.6</x:v>
      </x:c>
      <x:c r="S143" s="7" t="s">
        <x:v>301</x:v>
      </x:c>
      <x:c r="T143" s="7" t="b">
        <x:v>0</x:v>
      </x:c>
      <x:c r="U143" s="7" t="s">
        <x:v>302</x:v>
      </x:c>
      <x:c r="V143" s="26" t="s">
        <x:v>303</x:v>
      </x:c>
      <x:c r="W143" s="7" t="s">
        <x:v>945</x:v>
      </x:c>
    </x:row>
    <x:row r="144">
      <x:c r="A144" s="7" t="s">
        <x:v>946</x:v>
      </x:c>
      <x:c r="B144" s="7" t="s">
        <x:v>947</x:v>
      </x:c>
      <x:c r="C144" s="7" t="s">
        <x:v>948</x:v>
      </x:c>
      <x:c r="D144" s="7" t="s">
        <x:v>584</x:v>
      </x:c>
      <x:c r="E144" s="10"/>
      <x:c r="F144" s="12">
        <x:v>13.65786</x:v>
      </x:c>
      <x:c r="G144" s="12">
        <x:v>100.40551</x:v>
      </x:c>
      <x:c r="H144" s="7" t="s">
        <x:v>309</x:v>
      </x:c>
      <x:c r="I144" s="14">
        <x:v>0.44</x:v>
      </x:c>
      <x:c r="J144" s="14"/>
      <x:c r="K144" s="14"/>
      <x:c r="L144" s="14">
        <x:v>0.6</x:v>
      </x:c>
      <x:c r="M144" s="14">
        <x:v>0.7</x:v>
      </x:c>
      <x:c r="N144" s="7" t="s">
        <x:v>300</x:v>
      </x:c>
      <x:c r="O144" s="7" t="s">
        <x:v>300</x:v>
      </x:c>
      <x:c r="P144" s="10"/>
      <x:c r="Q144" s="10"/>
      <x:c r="R144" s="10">
        <x:v>4477.6</x:v>
      </x:c>
      <x:c r="S144" s="7" t="s">
        <x:v>301</x:v>
      </x:c>
      <x:c r="T144" s="7" t="b">
        <x:v>0</x:v>
      </x:c>
      <x:c r="U144" s="7" t="s">
        <x:v>302</x:v>
      </x:c>
      <x:c r="V144" s="26" t="s">
        <x:v>303</x:v>
      </x:c>
      <x:c r="W144" s="7" t="s">
        <x:v>949</x:v>
      </x:c>
    </x:row>
    <x:row r="145">
      <x:c r="A145" s="7" t="s">
        <x:v>950</x:v>
      </x:c>
      <x:c r="B145" s="7" t="s">
        <x:v>951</x:v>
      </x:c>
      <x:c r="C145" s="7" t="s">
        <x:v>952</x:v>
      </x:c>
      <x:c r="D145" s="7" t="s">
        <x:v>738</x:v>
      </x:c>
      <x:c r="E145" s="10"/>
      <x:c r="F145" s="12">
        <x:v>13.80274</x:v>
      </x:c>
      <x:c r="G145" s="12">
        <x:v>100.70165</x:v>
      </x:c>
      <x:c r="H145" s="7" t="s">
        <x:v>953</x:v>
      </x:c>
      <x:c r="I145" s="14">
        <x:v>1.15</x:v>
      </x:c>
      <x:c r="J145" s="14"/>
      <x:c r="K145" s="14"/>
      <x:c r="L145" s="14">
        <x:v>0.8</x:v>
      </x:c>
      <x:c r="M145" s="14">
        <x:v>1.0</x:v>
      </x:c>
      <x:c r="N145" s="7" t="s">
        <x:v>300</x:v>
      </x:c>
      <x:c r="O145" s="7" t="s">
        <x:v>300</x:v>
      </x:c>
      <x:c r="P145" s="10"/>
      <x:c r="Q145" s="10"/>
      <x:c r="R145" s="10">
        <x:v>7812.6</x:v>
      </x:c>
      <x:c r="S145" s="7" t="s">
        <x:v>301</x:v>
      </x:c>
      <x:c r="T145" s="7" t="b">
        <x:v>0</x:v>
      </x:c>
      <x:c r="U145" s="7" t="s">
        <x:v>302</x:v>
      </x:c>
      <x:c r="V145" s="26" t="s">
        <x:v>303</x:v>
      </x:c>
      <x:c r="W145" s="7" t="s">
        <x:v>954</x:v>
      </x:c>
    </x:row>
    <x:row r="146">
      <x:c r="A146" s="7" t="s">
        <x:v>955</x:v>
      </x:c>
      <x:c r="B146" s="7" t="s">
        <x:v>956</x:v>
      </x:c>
      <x:c r="C146" s="7" t="s">
        <x:v>957</x:v>
      </x:c>
      <x:c r="D146" s="7" t="s">
        <x:v>958</x:v>
      </x:c>
      <x:c r="E146" s="10"/>
      <x:c r="F146" s="12">
        <x:v>13.92294</x:v>
      </x:c>
      <x:c r="G146" s="12">
        <x:v>100.63455</x:v>
      </x:c>
      <x:c r="H146" s="7" t="s">
        <x:v>309</x:v>
      </x:c>
      <x:c r="I146" s="14">
        <x:v>1.54</x:v>
      </x:c>
      <x:c r="J146" s="14"/>
      <x:c r="K146" s="14"/>
      <x:c r="L146" s="14">
        <x:v>1.1</x:v>
      </x:c>
      <x:c r="M146" s="14">
        <x:v>1.8</x:v>
      </x:c>
      <x:c r="N146" s="7" t="s">
        <x:v>300</x:v>
      </x:c>
      <x:c r="O146" s="7" t="s">
        <x:v>300</x:v>
      </x:c>
      <x:c r="P146" s="10"/>
      <x:c r="Q146" s="10"/>
      <x:c r="R146" s="10">
        <x:v>4477.6</x:v>
      </x:c>
      <x:c r="S146" s="7" t="s">
        <x:v>301</x:v>
      </x:c>
      <x:c r="T146" s="7" t="b">
        <x:v>0</x:v>
      </x:c>
      <x:c r="U146" s="7" t="s">
        <x:v>302</x:v>
      </x:c>
      <x:c r="V146" s="26" t="s">
        <x:v>303</x:v>
      </x:c>
      <x:c r="W146" s="7" t="s">
        <x:v>959</x:v>
      </x:c>
    </x:row>
    <x:row r="147">
      <x:c r="A147" s="7" t="s">
        <x:v>960</x:v>
      </x:c>
      <x:c r="B147" s="7" t="s">
        <x:v>961</x:v>
      </x:c>
      <x:c r="C147" s="7" t="s">
        <x:v>962</x:v>
      </x:c>
      <x:c r="D147" s="7" t="s">
        <x:v>501</x:v>
      </x:c>
      <x:c r="E147" s="10"/>
      <x:c r="F147" s="12">
        <x:v>13.75604</x:v>
      </x:c>
      <x:c r="G147" s="12">
        <x:v>100.5526</x:v>
      </x:c>
      <x:c r="H147" s="7" t="s">
        <x:v>309</x:v>
      </x:c>
      <x:c r="I147" s="14">
        <x:v>-0.74</x:v>
      </x:c>
      <x:c r="J147" s="14"/>
      <x:c r="K147" s="14"/>
      <x:c r="L147" s="14">
        <x:v>0.0</x:v>
      </x:c>
      <x:c r="M147" s="14">
        <x:v>0.1</x:v>
      </x:c>
      <x:c r="N147" s="7" t="s">
        <x:v>300</x:v>
      </x:c>
      <x:c r="O147" s="7" t="s">
        <x:v>300</x:v>
      </x:c>
      <x:c r="P147" s="10"/>
      <x:c r="Q147" s="10"/>
      <x:c r="R147" s="10">
        <x:v>4477.6</x:v>
      </x:c>
      <x:c r="S147" s="7" t="s">
        <x:v>301</x:v>
      </x:c>
      <x:c r="T147" s="7" t="b">
        <x:v>0</x:v>
      </x:c>
      <x:c r="U147" s="7" t="s">
        <x:v>302</x:v>
      </x:c>
      <x:c r="V147" s="26" t="s">
        <x:v>303</x:v>
      </x:c>
      <x:c r="W147" s="7" t="s">
        <x:v>963</x:v>
      </x:c>
    </x:row>
    <x:row r="148">
      <x:c r="A148" s="7" t="s">
        <x:v>964</x:v>
      </x:c>
      <x:c r="B148" s="7" t="s">
        <x:v>965</x:v>
      </x:c>
      <x:c r="C148" s="7" t="s">
        <x:v>966</x:v>
      </x:c>
      <x:c r="D148" s="7" t="s">
        <x:v>554</x:v>
      </x:c>
      <x:c r="E148" s="10"/>
      <x:c r="F148" s="12">
        <x:v>13.79205</x:v>
      </x:c>
      <x:c r="G148" s="12">
        <x:v>100.83524</x:v>
      </x:c>
      <x:c r="H148" s="7" t="s">
        <x:v>309</x:v>
      </x:c>
      <x:c r="I148" s="14">
        <x:v>1.19</x:v>
      </x:c>
      <x:c r="J148" s="14"/>
      <x:c r="K148" s="14"/>
      <x:c r="L148" s="14">
        <x:v>0.6</x:v>
      </x:c>
      <x:c r="M148" s="14">
        <x:v>0.7</x:v>
      </x:c>
      <x:c r="N148" s="7" t="s">
        <x:v>300</x:v>
      </x:c>
      <x:c r="O148" s="7" t="s">
        <x:v>300</x:v>
      </x:c>
      <x:c r="P148" s="10"/>
      <x:c r="Q148" s="10"/>
      <x:c r="R148" s="10">
        <x:v>4477.6</x:v>
      </x:c>
      <x:c r="S148" s="7" t="s">
        <x:v>301</x:v>
      </x:c>
      <x:c r="T148" s="7" t="b">
        <x:v>0</x:v>
      </x:c>
      <x:c r="U148" s="7" t="s">
        <x:v>302</x:v>
      </x:c>
      <x:c r="V148" s="26" t="s">
        <x:v>303</x:v>
      </x:c>
      <x:c r="W148" s="7" t="s">
        <x:v>967</x:v>
      </x:c>
    </x:row>
    <x:row r="149">
      <x:c r="A149" s="7" t="s">
        <x:v>968</x:v>
      </x:c>
      <x:c r="B149" s="7" t="s">
        <x:v>969</x:v>
      </x:c>
      <x:c r="C149" s="7" t="s">
        <x:v>970</x:v>
      </x:c>
      <x:c r="D149" s="7" t="s">
        <x:v>391</x:v>
      </x:c>
      <x:c r="E149" s="10"/>
      <x:c r="F149" s="12">
        <x:v>13.76324</x:v>
      </x:c>
      <x:c r="G149" s="12">
        <x:v>100.56823</x:v>
      </x:c>
      <x:c r="H149" s="7" t="s">
        <x:v>309</x:v>
      </x:c>
      <x:c r="I149" s="14">
        <x:v>-0.16</x:v>
      </x:c>
      <x:c r="J149" s="14"/>
      <x:c r="K149" s="14"/>
      <x:c r="L149" s="14">
        <x:v>0.2</x:v>
      </x:c>
      <x:c r="M149" s="14">
        <x:v>0.4</x:v>
      </x:c>
      <x:c r="N149" s="7" t="s">
        <x:v>300</x:v>
      </x:c>
      <x:c r="O149" s="7" t="s">
        <x:v>300</x:v>
      </x:c>
      <x:c r="P149" s="10"/>
      <x:c r="Q149" s="10"/>
      <x:c r="R149" s="10">
        <x:v>4477.6</x:v>
      </x:c>
      <x:c r="S149" s="7" t="s">
        <x:v>301</x:v>
      </x:c>
      <x:c r="T149" s="7" t="b">
        <x:v>0</x:v>
      </x:c>
      <x:c r="U149" s="7" t="s">
        <x:v>302</x:v>
      </x:c>
      <x:c r="V149" s="26" t="s">
        <x:v>303</x:v>
      </x:c>
      <x:c r="W149" s="7" t="s">
        <x:v>971</x:v>
      </x:c>
    </x:row>
    <x:row r="150">
      <x:c r="A150" s="7" t="s">
        <x:v>972</x:v>
      </x:c>
      <x:c r="B150" s="7" t="s">
        <x:v>973</x:v>
      </x:c>
      <x:c r="C150" s="7" t="s">
        <x:v>974</x:v>
      </x:c>
      <x:c r="D150" s="7" t="s">
        <x:v>391</x:v>
      </x:c>
      <x:c r="E150" s="10"/>
      <x:c r="F150" s="12">
        <x:v>13.75383</x:v>
      </x:c>
      <x:c r="G150" s="12">
        <x:v>100.58091</x:v>
      </x:c>
      <x:c r="H150" s="7" t="s">
        <x:v>309</x:v>
      </x:c>
      <x:c r="I150" s="14">
        <x:v>0.16</x:v>
      </x:c>
      <x:c r="J150" s="14"/>
      <x:c r="K150" s="14"/>
      <x:c r="L150" s="14"/>
      <x:c r="M150" s="14"/>
      <x:c r="N150" s="7" t="s">
        <x:v>300</x:v>
      </x:c>
      <x:c r="O150" s="7" t="s">
        <x:v>300</x:v>
      </x:c>
      <x:c r="P150" s="10"/>
      <x:c r="Q150" s="10"/>
      <x:c r="R150" s="10">
        <x:v>4477.6</x:v>
      </x:c>
      <x:c r="S150" s="7" t="s">
        <x:v>301</x:v>
      </x:c>
      <x:c r="T150" s="7" t="b">
        <x:v>0</x:v>
      </x:c>
      <x:c r="U150" s="7" t="s">
        <x:v>302</x:v>
      </x:c>
      <x:c r="V150" s="26" t="s">
        <x:v>303</x:v>
      </x:c>
      <x:c r="W150" s="7" t="s">
        <x:v>975</x:v>
      </x:c>
    </x:row>
    <x:row r="151">
      <x:c r="A151" s="7" t="s">
        <x:v>976</x:v>
      </x:c>
      <x:c r="B151" s="7" t="s">
        <x:v>977</x:v>
      </x:c>
      <x:c r="C151" s="7" t="s">
        <x:v>978</x:v>
      </x:c>
      <x:c r="D151" s="7" t="s">
        <x:v>544</x:v>
      </x:c>
      <x:c r="E151" s="10"/>
      <x:c r="F151" s="12">
        <x:v>13.79154</x:v>
      </x:c>
      <x:c r="G151" s="12">
        <x:v>100.51662</x:v>
      </x:c>
      <x:c r="H151" s="7" t="s">
        <x:v>309</x:v>
      </x:c>
      <x:c r="I151" s="14">
        <x:v>-0.2</x:v>
      </x:c>
      <x:c r="J151" s="14"/>
      <x:c r="K151" s="14"/>
      <x:c r="L151" s="14">
        <x:v>0.8</x:v>
      </x:c>
      <x:c r="M151" s="14">
        <x:v>1.0</x:v>
      </x:c>
      <x:c r="N151" s="7" t="s">
        <x:v>300</x:v>
      </x:c>
      <x:c r="O151" s="7" t="s">
        <x:v>300</x:v>
      </x:c>
      <x:c r="P151" s="10"/>
      <x:c r="Q151" s="10"/>
      <x:c r="R151" s="10">
        <x:v>4477.6</x:v>
      </x:c>
      <x:c r="S151" s="7" t="s">
        <x:v>301</x:v>
      </x:c>
      <x:c r="T151" s="7" t="b">
        <x:v>0</x:v>
      </x:c>
      <x:c r="U151" s="7" t="s">
        <x:v>302</x:v>
      </x:c>
      <x:c r="V151" s="26" t="s">
        <x:v>303</x:v>
      </x:c>
      <x:c r="W151" s="7" t="s">
        <x:v>979</x:v>
      </x:c>
    </x:row>
    <x:row r="152">
      <x:c r="A152" s="7" t="s">
        <x:v>980</x:v>
      </x:c>
      <x:c r="B152" s="7" t="s">
        <x:v>981</x:v>
      </x:c>
      <x:c r="C152" s="7" t="s">
        <x:v>982</x:v>
      </x:c>
      <x:c r="D152" s="7" t="s">
        <x:v>403</x:v>
      </x:c>
      <x:c r="E152" s="10"/>
      <x:c r="F152" s="12">
        <x:v>13.79676</x:v>
      </x:c>
      <x:c r="G152" s="12">
        <x:v>100.56697</x:v>
      </x:c>
      <x:c r="H152" s="7" t="s">
        <x:v>309</x:v>
      </x:c>
      <x:c r="I152" s="14">
        <x:v>-0.81</x:v>
      </x:c>
      <x:c r="J152" s="14"/>
      <x:c r="K152" s="14"/>
      <x:c r="L152" s="14">
        <x:v>0.1</x:v>
      </x:c>
      <x:c r="M152" s="14">
        <x:v>0.2</x:v>
      </x:c>
      <x:c r="N152" s="7" t="s">
        <x:v>300</x:v>
      </x:c>
      <x:c r="O152" s="7" t="s">
        <x:v>300</x:v>
      </x:c>
      <x:c r="P152" s="10"/>
      <x:c r="Q152" s="10"/>
      <x:c r="R152" s="10">
        <x:v>4477.6</x:v>
      </x:c>
      <x:c r="S152" s="7" t="s">
        <x:v>301</x:v>
      </x:c>
      <x:c r="T152" s="7" t="b">
        <x:v>0</x:v>
      </x:c>
      <x:c r="U152" s="7" t="s">
        <x:v>302</x:v>
      </x:c>
      <x:c r="V152" s="26" t="s">
        <x:v>303</x:v>
      </x:c>
      <x:c r="W152" s="7" t="s">
        <x:v>983</x:v>
      </x:c>
    </x:row>
    <x:row r="153">
      <x:c r="A153" s="7" t="s">
        <x:v>984</x:v>
      </x:c>
      <x:c r="B153" s="7" t="s">
        <x:v>985</x:v>
      </x:c>
      <x:c r="C153" s="7" t="s">
        <x:v>986</x:v>
      </x:c>
      <x:c r="D153" s="7" t="s">
        <x:v>496</x:v>
      </x:c>
      <x:c r="E153" s="10"/>
      <x:c r="F153" s="12">
        <x:v>13.7551</x:v>
      </x:c>
      <x:c r="G153" s="12">
        <x:v>100.53601</x:v>
      </x:c>
      <x:c r="H153" s="7" t="s">
        <x:v>987</x:v>
      </x:c>
      <x:c r="I153" s="14">
        <x:v>-0.4</x:v>
      </x:c>
      <x:c r="J153" s="14"/>
      <x:c r="K153" s="14"/>
      <x:c r="L153" s="14">
        <x:v>-0.2</x:v>
      </x:c>
      <x:c r="M153" s="14">
        <x:v>0.0</x:v>
      </x:c>
      <x:c r="N153" s="7" t="s">
        <x:v>300</x:v>
      </x:c>
      <x:c r="O153" s="7" t="s">
        <x:v>300</x:v>
      </x:c>
      <x:c r="P153" s="10"/>
      <x:c r="Q153" s="10"/>
      <x:c r="R153" s="10">
        <x:v>1808827.6</x:v>
      </x:c>
      <x:c r="S153" s="7" t="s">
        <x:v>301</x:v>
      </x:c>
      <x:c r="T153" s="7" t="b">
        <x:v>0</x:v>
      </x:c>
      <x:c r="U153" s="7" t="s">
        <x:v>302</x:v>
      </x:c>
      <x:c r="V153" s="26" t="s">
        <x:v>303</x:v>
      </x:c>
      <x:c r="W153" s="7" t="s">
        <x:v>988</x:v>
      </x:c>
    </x:row>
    <x:row r="154">
      <x:c r="A154" s="7" t="s">
        <x:v>989</x:v>
      </x:c>
      <x:c r="B154" s="7" t="s">
        <x:v>990</x:v>
      </x:c>
      <x:c r="C154" s="7" t="s">
        <x:v>991</x:v>
      </x:c>
      <x:c r="D154" s="7" t="s">
        <x:v>479</x:v>
      </x:c>
      <x:c r="E154" s="10"/>
      <x:c r="F154" s="12">
        <x:v>13.91159</x:v>
      </x:c>
      <x:c r="G154" s="12">
        <x:v>100.56559</x:v>
      </x:c>
      <x:c r="H154" s="7" t="s">
        <x:v>309</x:v>
      </x:c>
      <x:c r="I154" s="14">
        <x:v>-0.77</x:v>
      </x:c>
      <x:c r="J154" s="14"/>
      <x:c r="K154" s="14"/>
      <x:c r="L154" s="14">
        <x:v>0.3</x:v>
      </x:c>
      <x:c r="M154" s="14">
        <x:v>0.5</x:v>
      </x:c>
      <x:c r="N154" s="7" t="s">
        <x:v>300</x:v>
      </x:c>
      <x:c r="O154" s="7" t="s">
        <x:v>300</x:v>
      </x:c>
      <x:c r="P154" s="10"/>
      <x:c r="Q154" s="10"/>
      <x:c r="R154" s="10">
        <x:v>4477.6</x:v>
      </x:c>
      <x:c r="S154" s="7" t="s">
        <x:v>301</x:v>
      </x:c>
      <x:c r="T154" s="7" t="b">
        <x:v>0</x:v>
      </x:c>
      <x:c r="U154" s="7" t="s">
        <x:v>302</x:v>
      </x:c>
      <x:c r="V154" s="26" t="s">
        <x:v>303</x:v>
      </x:c>
      <x:c r="W154" s="7" t="s">
        <x:v>992</x:v>
      </x:c>
    </x:row>
    <x:row r="155">
      <x:c r="A155" s="7" t="s">
        <x:v>993</x:v>
      </x:c>
      <x:c r="B155" s="7" t="s">
        <x:v>994</x:v>
      </x:c>
      <x:c r="C155" s="7" t="s">
        <x:v>995</x:v>
      </x:c>
      <x:c r="D155" s="7" t="s">
        <x:v>958</x:v>
      </x:c>
      <x:c r="E155" s="10"/>
      <x:c r="F155" s="12">
        <x:v>13.92128</x:v>
      </x:c>
      <x:c r="G155" s="12">
        <x:v>100.68731</x:v>
      </x:c>
      <x:c r="H155" s="7" t="s">
        <x:v>309</x:v>
      </x:c>
      <x:c r="I155" s="14">
        <x:v>1.6</x:v>
      </x:c>
      <x:c r="J155" s="14"/>
      <x:c r="K155" s="14"/>
      <x:c r="L155" s="14">
        <x:v>1.1</x:v>
      </x:c>
      <x:c r="M155" s="14">
        <x:v>1.8</x:v>
      </x:c>
      <x:c r="N155" s="7" t="s">
        <x:v>300</x:v>
      </x:c>
      <x:c r="O155" s="7" t="s">
        <x:v>300</x:v>
      </x:c>
      <x:c r="P155" s="10"/>
      <x:c r="Q155" s="10"/>
      <x:c r="R155" s="10">
        <x:v>4477.6</x:v>
      </x:c>
      <x:c r="S155" s="7" t="s">
        <x:v>301</x:v>
      </x:c>
      <x:c r="T155" s="7" t="b">
        <x:v>0</x:v>
      </x:c>
      <x:c r="U155" s="7" t="s">
        <x:v>302</x:v>
      </x:c>
      <x:c r="V155" s="26" t="s">
        <x:v>303</x:v>
      </x:c>
      <x:c r="W155" s="7" t="s">
        <x:v>996</x:v>
      </x:c>
    </x:row>
    <x:row r="156">
      <x:c r="A156" s="7" t="s">
        <x:v>997</x:v>
      </x:c>
      <x:c r="B156" s="7" t="s">
        <x:v>998</x:v>
      </x:c>
      <x:c r="C156" s="7" t="s">
        <x:v>999</x:v>
      </x:c>
      <x:c r="D156" s="7" t="s">
        <x:v>308</x:v>
      </x:c>
      <x:c r="E156" s="10"/>
      <x:c r="F156" s="12">
        <x:v>13.79549</x:v>
      </x:c>
      <x:c r="G156" s="12">
        <x:v>100.70761</x:v>
      </x:c>
      <x:c r="H156" s="7" t="s">
        <x:v>1000</x:v>
      </x:c>
      <x:c r="I156" s="14">
        <x:v>-0.12</x:v>
      </x:c>
      <x:c r="J156" s="14"/>
      <x:c r="K156" s="14"/>
      <x:c r="L156" s="14">
        <x:v>0.4</x:v>
      </x:c>
      <x:c r="M156" s="14">
        <x:v>0.6</x:v>
      </x:c>
      <x:c r="N156" s="7" t="s">
        <x:v>300</x:v>
      </x:c>
      <x:c r="O156" s="7" t="s">
        <x:v>300</x:v>
      </x:c>
      <x:c r="P156" s="10"/>
      <x:c r="Q156" s="10"/>
      <x:c r="R156" s="10">
        <x:v>376202.6</x:v>
      </x:c>
      <x:c r="S156" s="7" t="s">
        <x:v>301</x:v>
      </x:c>
      <x:c r="T156" s="7" t="b">
        <x:v>0</x:v>
      </x:c>
      <x:c r="U156" s="7" t="s">
        <x:v>302</x:v>
      </x:c>
      <x:c r="V156" s="26" t="s">
        <x:v>303</x:v>
      </x:c>
      <x:c r="W156" s="7" t="s">
        <x:v>1001</x:v>
      </x:c>
    </x:row>
    <x:row r="157">
      <x:c r="A157" s="7" t="s">
        <x:v>1002</x:v>
      </x:c>
      <x:c r="B157" s="7" t="s">
        <x:v>1003</x:v>
      </x:c>
      <x:c r="C157" s="7" t="s">
        <x:v>1004</x:v>
      </x:c>
      <x:c r="D157" s="7" t="s">
        <x:v>864</x:v>
      </x:c>
      <x:c r="E157" s="10"/>
      <x:c r="F157" s="12">
        <x:v>13.67634</x:v>
      </x:c>
      <x:c r="G157" s="12">
        <x:v>100.52111</x:v>
      </x:c>
      <x:c r="H157" s="7" t="s">
        <x:v>309</x:v>
      </x:c>
      <x:c r="I157" s="14">
        <x:v>0.22</x:v>
      </x:c>
      <x:c r="J157" s="14"/>
      <x:c r="K157" s="14"/>
      <x:c r="L157" s="14">
        <x:v>2.6</x:v>
      </x:c>
      <x:c r="M157" s="14">
        <x:v>2.8</x:v>
      </x:c>
      <x:c r="N157" s="7" t="s">
        <x:v>300</x:v>
      </x:c>
      <x:c r="O157" s="7" t="s">
        <x:v>300</x:v>
      </x:c>
      <x:c r="P157" s="10"/>
      <x:c r="Q157" s="10"/>
      <x:c r="R157" s="10">
        <x:v>4477.6</x:v>
      </x:c>
      <x:c r="S157" s="7" t="s">
        <x:v>301</x:v>
      </x:c>
      <x:c r="T157" s="7" t="b">
        <x:v>0</x:v>
      </x:c>
      <x:c r="U157" s="7" t="s">
        <x:v>302</x:v>
      </x:c>
      <x:c r="V157" s="26" t="s">
        <x:v>303</x:v>
      </x:c>
      <x:c r="W157" s="7" t="s">
        <x:v>1005</x:v>
      </x:c>
    </x:row>
    <x:row r="158">
      <x:c r="A158" s="7" t="s">
        <x:v>1006</x:v>
      </x:c>
      <x:c r="B158" s="7" t="s">
        <x:v>1007</x:v>
      </x:c>
      <x:c r="C158" s="7" t="s">
        <x:v>1008</x:v>
      </x:c>
      <x:c r="D158" s="7" t="s">
        <x:v>431</x:v>
      </x:c>
      <x:c r="E158" s="10"/>
      <x:c r="F158" s="12">
        <x:v>13.87546</x:v>
      </x:c>
      <x:c r="G158" s="12">
        <x:v>100.57424</x:v>
      </x:c>
      <x:c r="H158" s="7" t="s">
        <x:v>1009</x:v>
      </x:c>
      <x:c r="I158" s="14">
        <x:v>1.56</x:v>
      </x:c>
      <x:c r="J158" s="14"/>
      <x:c r="K158" s="14"/>
      <x:c r="L158" s="14">
        <x:v>0.6</x:v>
      </x:c>
      <x:c r="M158" s="14">
        <x:v>0.7</x:v>
      </x:c>
      <x:c r="N158" s="7" t="s">
        <x:v>300</x:v>
      </x:c>
      <x:c r="O158" s="7" t="s">
        <x:v>300</x:v>
      </x:c>
      <x:c r="P158" s="10"/>
      <x:c r="Q158" s="10"/>
      <x:c r="R158" s="10">
        <x:v>4467.6</x:v>
      </x:c>
      <x:c r="S158" s="7" t="s">
        <x:v>301</x:v>
      </x:c>
      <x:c r="T158" s="7" t="b">
        <x:v>0</x:v>
      </x:c>
      <x:c r="U158" s="7" t="s">
        <x:v>302</x:v>
      </x:c>
      <x:c r="V158" s="26" t="s">
        <x:v>303</x:v>
      </x:c>
      <x:c r="W158" s="7" t="s">
        <x:v>1010</x:v>
      </x:c>
    </x:row>
    <x:row r="159">
      <x:c r="A159" s="7" t="s">
        <x:v>1011</x:v>
      </x:c>
      <x:c r="B159" s="7" t="s">
        <x:v>1012</x:v>
      </x:c>
      <x:c r="C159" s="7" t="s">
        <x:v>1013</x:v>
      </x:c>
      <x:c r="D159" s="7" t="s">
        <x:v>420</x:v>
      </x:c>
      <x:c r="E159" s="10"/>
      <x:c r="F159" s="12">
        <x:v>13.7302</x:v>
      </x:c>
      <x:c r="G159" s="12">
        <x:v>100.7541</x:v>
      </x:c>
      <x:c r="H159" s="7" t="s">
        <x:v>309</x:v>
      </x:c>
      <x:c r="I159" s="14">
        <x:v>1.0</x:v>
      </x:c>
      <x:c r="J159" s="14"/>
      <x:c r="K159" s="14"/>
      <x:c r="L159" s="14">
        <x:v>0.5</x:v>
      </x:c>
      <x:c r="M159" s="14">
        <x:v>0.6</x:v>
      </x:c>
      <x:c r="N159" s="7" t="s">
        <x:v>300</x:v>
      </x:c>
      <x:c r="O159" s="7" t="s">
        <x:v>300</x:v>
      </x:c>
      <x:c r="P159" s="10"/>
      <x:c r="Q159" s="10"/>
      <x:c r="R159" s="10">
        <x:v>4477.6</x:v>
      </x:c>
      <x:c r="S159" s="7" t="s">
        <x:v>301</x:v>
      </x:c>
      <x:c r="T159" s="7" t="b">
        <x:v>0</x:v>
      </x:c>
      <x:c r="U159" s="7" t="s">
        <x:v>302</x:v>
      </x:c>
      <x:c r="V159" s="26" t="s">
        <x:v>303</x:v>
      </x:c>
      <x:c r="W159" s="7" t="s">
        <x:v>1014</x:v>
      </x:c>
    </x:row>
    <x:row r="160">
      <x:c r="A160" s="7" t="s">
        <x:v>1015</x:v>
      </x:c>
      <x:c r="B160" s="7" t="s">
        <x:v>1016</x:v>
      </x:c>
      <x:c r="C160" s="7" t="s">
        <x:v>1017</x:v>
      </x:c>
      <x:c r="D160" s="7" t="s">
        <x:v>347</x:v>
      </x:c>
      <x:c r="E160" s="10"/>
      <x:c r="F160" s="12">
        <x:v>13.78838</x:v>
      </x:c>
      <x:c r="G160" s="12">
        <x:v>100.33518</x:v>
      </x:c>
      <x:c r="H160" s="7" t="s">
        <x:v>309</x:v>
      </x:c>
      <x:c r="I160" s="14">
        <x:v>0.88</x:v>
      </x:c>
      <x:c r="J160" s="14"/>
      <x:c r="K160" s="14"/>
      <x:c r="L160" s="14">
        <x:v>0.8</x:v>
      </x:c>
      <x:c r="M160" s="14">
        <x:v>0.9</x:v>
      </x:c>
      <x:c r="N160" s="7" t="s">
        <x:v>300</x:v>
      </x:c>
      <x:c r="O160" s="7" t="s">
        <x:v>300</x:v>
      </x:c>
      <x:c r="P160" s="10"/>
      <x:c r="Q160" s="10"/>
      <x:c r="R160" s="10">
        <x:v>4477.6</x:v>
      </x:c>
      <x:c r="S160" s="7" t="s">
        <x:v>301</x:v>
      </x:c>
      <x:c r="T160" s="7" t="b">
        <x:v>0</x:v>
      </x:c>
      <x:c r="U160" s="7" t="s">
        <x:v>302</x:v>
      </x:c>
      <x:c r="V160" s="26" t="s">
        <x:v>303</x:v>
      </x:c>
      <x:c r="W160" s="7" t="s">
        <x:v>1018</x:v>
      </x:c>
    </x:row>
    <x:row r="161">
      <x:c r="A161" s="7" t="s">
        <x:v>1019</x:v>
      </x:c>
      <x:c r="B161" s="7" t="s">
        <x:v>1020</x:v>
      </x:c>
      <x:c r="C161" s="7" t="s">
        <x:v>1021</x:v>
      </x:c>
      <x:c r="D161" s="7" t="s">
        <x:v>420</x:v>
      </x:c>
      <x:c r="E161" s="10"/>
      <x:c r="F161" s="12">
        <x:v>13.70102</x:v>
      </x:c>
      <x:c r="G161" s="12">
        <x:v>100.85095</x:v>
      </x:c>
      <x:c r="H161" s="7" t="s">
        <x:v>309</x:v>
      </x:c>
      <x:c r="I161" s="14">
        <x:v>1.0</x:v>
      </x:c>
      <x:c r="J161" s="14"/>
      <x:c r="K161" s="14"/>
      <x:c r="L161" s="14">
        <x:v>0.4</x:v>
      </x:c>
      <x:c r="M161" s="14">
        <x:v>0.6</x:v>
      </x:c>
      <x:c r="N161" s="7" t="s">
        <x:v>300</x:v>
      </x:c>
      <x:c r="O161" s="7" t="s">
        <x:v>300</x:v>
      </x:c>
      <x:c r="P161" s="10"/>
      <x:c r="Q161" s="10"/>
      <x:c r="R161" s="10">
        <x:v>4477.6</x:v>
      </x:c>
      <x:c r="S161" s="7" t="s">
        <x:v>301</x:v>
      </x:c>
      <x:c r="T161" s="7" t="b">
        <x:v>0</x:v>
      </x:c>
      <x:c r="U161" s="7" t="s">
        <x:v>302</x:v>
      </x:c>
      <x:c r="V161" s="26" t="s">
        <x:v>303</x:v>
      </x:c>
      <x:c r="W161" s="7" t="s">
        <x:v>1022</x:v>
      </x:c>
    </x:row>
    <x:row r="162">
      <x:c r="A162" s="7" t="s">
        <x:v>1023</x:v>
      </x:c>
      <x:c r="B162" s="7" t="s">
        <x:v>1024</x:v>
      </x:c>
      <x:c r="C162" s="7" t="s">
        <x:v>1025</x:v>
      </x:c>
      <x:c r="D162" s="7" t="s">
        <x:v>385</x:v>
      </x:c>
      <x:c r="E162" s="10"/>
      <x:c r="F162" s="12">
        <x:v>13.71861</x:v>
      </x:c>
      <x:c r="G162" s="12">
        <x:v>100.51499</x:v>
      </x:c>
      <x:c r="H162" s="7" t="s">
        <x:v>309</x:v>
      </x:c>
      <x:c r="I162" s="14">
        <x:v>-0.97</x:v>
      </x:c>
      <x:c r="J162" s="14"/>
      <x:c r="K162" s="14"/>
      <x:c r="L162" s="14">
        <x:v>2.6</x:v>
      </x:c>
      <x:c r="M162" s="14">
        <x:v>2.8</x:v>
      </x:c>
      <x:c r="N162" s="7" t="s">
        <x:v>300</x:v>
      </x:c>
      <x:c r="O162" s="7" t="s">
        <x:v>300</x:v>
      </x:c>
      <x:c r="P162" s="10"/>
      <x:c r="Q162" s="10"/>
      <x:c r="R162" s="10">
        <x:v>4477.6</x:v>
      </x:c>
      <x:c r="S162" s="7" t="s">
        <x:v>301</x:v>
      </x:c>
      <x:c r="T162" s="7" t="b">
        <x:v>0</x:v>
      </x:c>
      <x:c r="U162" s="7" t="s">
        <x:v>302</x:v>
      </x:c>
      <x:c r="V162" s="26" t="s">
        <x:v>303</x:v>
      </x:c>
      <x:c r="W162" s="7" t="s">
        <x:v>1026</x:v>
      </x:c>
    </x:row>
    <x:row r="163">
      <x:c r="A163" s="7" t="s">
        <x:v>1027</x:v>
      </x:c>
      <x:c r="B163" s="7" t="s">
        <x:v>1028</x:v>
      </x:c>
      <x:c r="C163" s="7" t="s">
        <x:v>1029</x:v>
      </x:c>
      <x:c r="D163" s="7" t="s">
        <x:v>658</x:v>
      </x:c>
      <x:c r="E163" s="10"/>
      <x:c r="F163" s="12">
        <x:v>13.71556</x:v>
      </x:c>
      <x:c r="G163" s="12">
        <x:v>100.6106</x:v>
      </x:c>
      <x:c r="H163" s="7" t="s">
        <x:v>309</x:v>
      </x:c>
      <x:c r="I163" s="14">
        <x:v>0.08</x:v>
      </x:c>
      <x:c r="J163" s="14"/>
      <x:c r="K163" s="14"/>
      <x:c r="L163" s="14">
        <x:v>0.2</x:v>
      </x:c>
      <x:c r="M163" s="14">
        <x:v>0.3</x:v>
      </x:c>
      <x:c r="N163" s="7" t="s">
        <x:v>300</x:v>
      </x:c>
      <x:c r="O163" s="7" t="s">
        <x:v>300</x:v>
      </x:c>
      <x:c r="P163" s="10"/>
      <x:c r="Q163" s="10"/>
      <x:c r="R163" s="10">
        <x:v>4477.6</x:v>
      </x:c>
      <x:c r="S163" s="7" t="s">
        <x:v>301</x:v>
      </x:c>
      <x:c r="T163" s="7" t="b">
        <x:v>0</x:v>
      </x:c>
      <x:c r="U163" s="7" t="s">
        <x:v>302</x:v>
      </x:c>
      <x:c r="V163" s="26" t="s">
        <x:v>303</x:v>
      </x:c>
      <x:c r="W163" s="7" t="s">
        <x:v>1030</x:v>
      </x:c>
    </x:row>
    <x:row r="164">
      <x:c r="A164" s="7" t="s">
        <x:v>1031</x:v>
      </x:c>
      <x:c r="B164" s="7" t="s">
        <x:v>1032</x:v>
      </x:c>
      <x:c r="C164" s="7" t="s">
        <x:v>1033</x:v>
      </x:c>
      <x:c r="D164" s="7" t="s">
        <x:v>352</x:v>
      </x:c>
      <x:c r="E164" s="10"/>
      <x:c r="F164" s="12">
        <x:v>13.74795</x:v>
      </x:c>
      <x:c r="G164" s="12">
        <x:v>100.53615</x:v>
      </x:c>
      <x:c r="H164" s="7" t="s">
        <x:v>309</x:v>
      </x:c>
      <x:c r="I164" s="14">
        <x:v>-1.34</x:v>
      </x:c>
      <x:c r="J164" s="14"/>
      <x:c r="K164" s="14"/>
      <x:c r="L164" s="14">
        <x:v>0.0</x:v>
      </x:c>
      <x:c r="M164" s="14">
        <x:v>0.1</x:v>
      </x:c>
      <x:c r="N164" s="7" t="s">
        <x:v>300</x:v>
      </x:c>
      <x:c r="O164" s="7" t="s">
        <x:v>300</x:v>
      </x:c>
      <x:c r="P164" s="10"/>
      <x:c r="Q164" s="10"/>
      <x:c r="R164" s="10">
        <x:v>4477.6</x:v>
      </x:c>
      <x:c r="S164" s="7" t="s">
        <x:v>301</x:v>
      </x:c>
      <x:c r="T164" s="7" t="b">
        <x:v>0</x:v>
      </x:c>
      <x:c r="U164" s="7" t="s">
        <x:v>302</x:v>
      </x:c>
      <x:c r="V164" s="26" t="s">
        <x:v>303</x:v>
      </x:c>
      <x:c r="W164" s="7" t="s">
        <x:v>1034</x:v>
      </x:c>
    </x:row>
    <x:row r="165">
      <x:c r="A165" s="7" t="s">
        <x:v>1035</x:v>
      </x:c>
      <x:c r="B165" s="7" t="s">
        <x:v>1036</x:v>
      </x:c>
      <x:c r="C165" s="7" t="s">
        <x:v>1037</x:v>
      </x:c>
      <x:c r="D165" s="7" t="s">
        <x:v>1038</x:v>
      </x:c>
      <x:c r="E165" s="10"/>
      <x:c r="F165" s="12">
        <x:v>13.78876</x:v>
      </x:c>
      <x:c r="G165" s="12">
        <x:v>100.48166</x:v>
      </x:c>
      <x:c r="H165" s="7" t="s">
        <x:v>380</x:v>
      </x:c>
      <x:c r="I165" s="14">
        <x:v>-0.31</x:v>
      </x:c>
      <x:c r="J165" s="14"/>
      <x:c r="K165" s="14"/>
      <x:c r="L165" s="14">
        <x:v>0.7</x:v>
      </x:c>
      <x:c r="M165" s="14">
        <x:v>0.8</x:v>
      </x:c>
      <x:c r="N165" s="7" t="s">
        <x:v>300</x:v>
      </x:c>
      <x:c r="O165" s="7" t="s">
        <x:v>300</x:v>
      </x:c>
      <x:c r="P165" s="10"/>
      <x:c r="Q165" s="10"/>
      <x:c r="R165" s="10">
        <x:v>4482.6</x:v>
      </x:c>
      <x:c r="S165" s="7" t="s">
        <x:v>301</x:v>
      </x:c>
      <x:c r="T165" s="7" t="b">
        <x:v>0</x:v>
      </x:c>
      <x:c r="U165" s="7" t="s">
        <x:v>302</x:v>
      </x:c>
      <x:c r="V165" s="26" t="s">
        <x:v>303</x:v>
      </x:c>
      <x:c r="W165" s="7" t="s">
        <x:v>1039</x:v>
      </x:c>
    </x:row>
    <x:row r="166">
      <x:c r="A166" s="7" t="s">
        <x:v>1040</x:v>
      </x:c>
      <x:c r="B166" s="7" t="s">
        <x:v>1041</x:v>
      </x:c>
      <x:c r="C166" s="7" t="s">
        <x:v>1042</x:v>
      </x:c>
      <x:c r="D166" s="7" t="s">
        <x:v>391</x:v>
      </x:c>
      <x:c r="E166" s="10"/>
      <x:c r="F166" s="12">
        <x:v>13.7631</x:v>
      </x:c>
      <x:c r="G166" s="12">
        <x:v>100.59243</x:v>
      </x:c>
      <x:c r="H166" s="7" t="s">
        <x:v>309</x:v>
      </x:c>
      <x:c r="I166" s="14">
        <x:v>0.46</x:v>
      </x:c>
      <x:c r="J166" s="14"/>
      <x:c r="K166" s="14"/>
      <x:c r="L166" s="14"/>
      <x:c r="M166" s="14"/>
      <x:c r="N166" s="7" t="s">
        <x:v>300</x:v>
      </x:c>
      <x:c r="O166" s="7" t="s">
        <x:v>300</x:v>
      </x:c>
      <x:c r="P166" s="10"/>
      <x:c r="Q166" s="10"/>
      <x:c r="R166" s="10">
        <x:v>4477.6</x:v>
      </x:c>
      <x:c r="S166" s="7" t="s">
        <x:v>301</x:v>
      </x:c>
      <x:c r="T166" s="7" t="b">
        <x:v>0</x:v>
      </x:c>
      <x:c r="U166" s="7" t="s">
        <x:v>302</x:v>
      </x:c>
      <x:c r="V166" s="26" t="s">
        <x:v>303</x:v>
      </x:c>
      <x:c r="W166" s="7" t="s">
        <x:v>1043</x:v>
      </x:c>
    </x:row>
    <x:row r="167">
      <x:c r="A167" s="7" t="s">
        <x:v>1044</x:v>
      </x:c>
      <x:c r="B167" s="7" t="s">
        <x:v>1045</x:v>
      </x:c>
      <x:c r="C167" s="7" t="s">
        <x:v>1046</x:v>
      </x:c>
      <x:c r="D167" s="7" t="s">
        <x:v>600</x:v>
      </x:c>
      <x:c r="E167" s="10"/>
      <x:c r="F167" s="12">
        <x:v>13.75707</x:v>
      </x:c>
      <x:c r="G167" s="12">
        <x:v>100.43334</x:v>
      </x:c>
      <x:c r="H167" s="7" t="s">
        <x:v>309</x:v>
      </x:c>
      <x:c r="I167" s="14">
        <x:v>0.54</x:v>
      </x:c>
      <x:c r="J167" s="14"/>
      <x:c r="K167" s="14"/>
      <x:c r="L167" s="14">
        <x:v>0.6</x:v>
      </x:c>
      <x:c r="M167" s="14">
        <x:v>0.7</x:v>
      </x:c>
      <x:c r="N167" s="7" t="s">
        <x:v>300</x:v>
      </x:c>
      <x:c r="O167" s="7" t="s">
        <x:v>300</x:v>
      </x:c>
      <x:c r="P167" s="10"/>
      <x:c r="Q167" s="10"/>
      <x:c r="R167" s="10">
        <x:v>4477.6</x:v>
      </x:c>
      <x:c r="S167" s="7" t="s">
        <x:v>301</x:v>
      </x:c>
      <x:c r="T167" s="7" t="b">
        <x:v>0</x:v>
      </x:c>
      <x:c r="U167" s="7" t="s">
        <x:v>302</x:v>
      </x:c>
      <x:c r="V167" s="26" t="s">
        <x:v>303</x:v>
      </x:c>
      <x:c r="W167" s="7" t="s">
        <x:v>1047</x:v>
      </x:c>
    </x:row>
    <x:row r="168">
      <x:c r="A168" s="7" t="s">
        <x:v>1048</x:v>
      </x:c>
      <x:c r="B168" s="7" t="s">
        <x:v>1049</x:v>
      </x:c>
      <x:c r="C168" s="7" t="s">
        <x:v>1050</x:v>
      </x:c>
      <x:c r="D168" s="7" t="s">
        <x:v>1051</x:v>
      </x:c>
      <x:c r="E168" s="10"/>
      <x:c r="F168" s="12">
        <x:v>13.74703</x:v>
      </x:c>
      <x:c r="G168" s="12">
        <x:v>100.48489</x:v>
      </x:c>
      <x:c r="H168" s="7" t="s">
        <x:v>309</x:v>
      </x:c>
      <x:c r="I168" s="14">
        <x:v>0.14</x:v>
      </x:c>
      <x:c r="J168" s="14"/>
      <x:c r="K168" s="14"/>
      <x:c r="L168" s="14">
        <x:v>2.8</x:v>
      </x:c>
      <x:c r="M168" s="14">
        <x:v>3.0</x:v>
      </x:c>
      <x:c r="N168" s="7" t="s">
        <x:v>300</x:v>
      </x:c>
      <x:c r="O168" s="7" t="s">
        <x:v>300</x:v>
      </x:c>
      <x:c r="P168" s="10"/>
      <x:c r="Q168" s="10"/>
      <x:c r="R168" s="10">
        <x:v>4477.6</x:v>
      </x:c>
      <x:c r="S168" s="7" t="s">
        <x:v>301</x:v>
      </x:c>
      <x:c r="T168" s="7" t="b">
        <x:v>0</x:v>
      </x:c>
      <x:c r="U168" s="7" t="s">
        <x:v>302</x:v>
      </x:c>
      <x:c r="V168" s="26" t="s">
        <x:v>303</x:v>
      </x:c>
      <x:c r="W168" s="7" t="s">
        <x:v>1052</x:v>
      </x:c>
    </x:row>
    <x:row r="169">
      <x:c r="A169" s="7" t="s">
        <x:v>1053</x:v>
      </x:c>
      <x:c r="B169" s="7" t="s">
        <x:v>1054</x:v>
      </x:c>
      <x:c r="C169" s="7" t="s">
        <x:v>1055</x:v>
      </x:c>
      <x:c r="D169" s="7" t="s">
        <x:v>549</x:v>
      </x:c>
      <x:c r="E169" s="10"/>
      <x:c r="F169" s="12">
        <x:v>13.73827</x:v>
      </x:c>
      <x:c r="G169" s="12">
        <x:v>100.57522</x:v>
      </x:c>
      <x:c r="H169" s="7" t="s">
        <x:v>309</x:v>
      </x:c>
      <x:c r="I169" s="14">
        <x:v>-1.59</x:v>
      </x:c>
      <x:c r="J169" s="14"/>
      <x:c r="K169" s="14"/>
      <x:c r="L169" s="14">
        <x:v>-0.2</x:v>
      </x:c>
      <x:c r="M169" s="14">
        <x:v>0.0</x:v>
      </x:c>
      <x:c r="N169" s="7" t="s">
        <x:v>300</x:v>
      </x:c>
      <x:c r="O169" s="7" t="s">
        <x:v>300</x:v>
      </x:c>
      <x:c r="P169" s="10"/>
      <x:c r="Q169" s="10"/>
      <x:c r="R169" s="10">
        <x:v>4477.6</x:v>
      </x:c>
      <x:c r="S169" s="7" t="s">
        <x:v>301</x:v>
      </x:c>
      <x:c r="T169" s="7" t="b">
        <x:v>0</x:v>
      </x:c>
      <x:c r="U169" s="7" t="s">
        <x:v>302</x:v>
      </x:c>
      <x:c r="V169" s="26" t="s">
        <x:v>303</x:v>
      </x:c>
      <x:c r="W169" s="7" t="s">
        <x:v>1056</x:v>
      </x:c>
    </x:row>
    <x:row r="170">
      <x:c r="A170" s="7" t="s">
        <x:v>1057</x:v>
      </x:c>
      <x:c r="B170" s="7" t="s">
        <x:v>1058</x:v>
      </x:c>
      <x:c r="C170" s="7" t="s">
        <x:v>1059</x:v>
      </x:c>
      <x:c r="D170" s="7" t="s">
        <x:v>549</x:v>
      </x:c>
      <x:c r="E170" s="10"/>
      <x:c r="F170" s="12">
        <x:v>13.74233</x:v>
      </x:c>
      <x:c r="G170" s="12">
        <x:v>100.56054</x:v>
      </x:c>
      <x:c r="H170" s="7" t="s">
        <x:v>1060</x:v>
      </x:c>
      <x:c r="I170" s="14">
        <x:v>-1.23</x:v>
      </x:c>
      <x:c r="J170" s="14"/>
      <x:c r="K170" s="14"/>
      <x:c r="L170" s="14">
        <x:v>-0.2</x:v>
      </x:c>
      <x:c r="M170" s="14">
        <x:v>0.0</x:v>
      </x:c>
      <x:c r="N170" s="7" t="s">
        <x:v>300</x:v>
      </x:c>
      <x:c r="O170" s="7" t="s">
        <x:v>300</x:v>
      </x:c>
      <x:c r="P170" s="10"/>
      <x:c r="Q170" s="10"/>
      <x:c r="R170" s="10">
        <x:v>6182.6</x:v>
      </x:c>
      <x:c r="S170" s="7" t="s">
        <x:v>301</x:v>
      </x:c>
      <x:c r="T170" s="7" t="b">
        <x:v>0</x:v>
      </x:c>
      <x:c r="U170" s="7" t="s">
        <x:v>302</x:v>
      </x:c>
      <x:c r="V170" s="26" t="s">
        <x:v>303</x:v>
      </x:c>
      <x:c r="W170" s="7" t="s">
        <x:v>1061</x:v>
      </x:c>
    </x:row>
    <x:row r="171">
      <x:c r="A171" s="7" t="s">
        <x:v>1062</x:v>
      </x:c>
      <x:c r="B171" s="7" t="s">
        <x:v>1063</x:v>
      </x:c>
      <x:c r="C171" s="7" t="s">
        <x:v>1064</x:v>
      </x:c>
      <x:c r="D171" s="7" t="s">
        <x:v>431</x:v>
      </x:c>
      <x:c r="E171" s="10"/>
      <x:c r="F171" s="12">
        <x:v>13.85509</x:v>
      </x:c>
      <x:c r="G171" s="12">
        <x:v>100.56001</x:v>
      </x:c>
      <x:c r="H171" s="7" t="s">
        <x:v>1065</x:v>
      </x:c>
      <x:c r="I171" s="14">
        <x:v>1.0</x:v>
      </x:c>
      <x:c r="J171" s="14"/>
      <x:c r="K171" s="14"/>
      <x:c r="L171" s="14">
        <x:v>0.1</x:v>
      </x:c>
      <x:c r="M171" s="14">
        <x:v>0.2</x:v>
      </x:c>
      <x:c r="N171" s="7" t="s">
        <x:v>300</x:v>
      </x:c>
      <x:c r="O171" s="7" t="s">
        <x:v>300</x:v>
      </x:c>
      <x:c r="P171" s="10"/>
      <x:c r="Q171" s="10"/>
      <x:c r="R171" s="10">
        <x:v>4627.6</x:v>
      </x:c>
      <x:c r="S171" s="7" t="s">
        <x:v>301</x:v>
      </x:c>
      <x:c r="T171" s="7" t="b">
        <x:v>0</x:v>
      </x:c>
      <x:c r="U171" s="7" t="s">
        <x:v>302</x:v>
      </x:c>
      <x:c r="V171" s="26" t="s">
        <x:v>303</x:v>
      </x:c>
      <x:c r="W171" s="7" t="s">
        <x:v>1066</x:v>
      </x:c>
    </x:row>
    <x:row r="172">
      <x:c r="A172" s="7" t="s">
        <x:v>1067</x:v>
      </x:c>
      <x:c r="B172" s="7" t="s">
        <x:v>1068</x:v>
      </x:c>
      <x:c r="C172" s="7" t="s">
        <x:v>1069</x:v>
      </x:c>
      <x:c r="D172" s="7" t="s">
        <x:v>320</x:v>
      </x:c>
      <x:c r="E172" s="10"/>
      <x:c r="F172" s="12">
        <x:v>13.7528</x:v>
      </x:c>
      <x:c r="G172" s="12">
        <x:v>100.63296</x:v>
      </x:c>
      <x:c r="H172" s="7" t="s">
        <x:v>309</x:v>
      </x:c>
      <x:c r="I172" s="14">
        <x:v>0.46</x:v>
      </x:c>
      <x:c r="J172" s="14"/>
      <x:c r="K172" s="14"/>
      <x:c r="L172" s="14">
        <x:v>-0.2</x:v>
      </x:c>
      <x:c r="M172" s="14">
        <x:v>0.0</x:v>
      </x:c>
      <x:c r="N172" s="7" t="s">
        <x:v>300</x:v>
      </x:c>
      <x:c r="O172" s="7" t="s">
        <x:v>300</x:v>
      </x:c>
      <x:c r="P172" s="10"/>
      <x:c r="Q172" s="10"/>
      <x:c r="R172" s="10">
        <x:v>4477.6</x:v>
      </x:c>
      <x:c r="S172" s="7" t="s">
        <x:v>301</x:v>
      </x:c>
      <x:c r="T172" s="7" t="b">
        <x:v>0</x:v>
      </x:c>
      <x:c r="U172" s="7" t="s">
        <x:v>302</x:v>
      </x:c>
      <x:c r="V172" s="26" t="s">
        <x:v>303</x:v>
      </x:c>
      <x:c r="W172" s="7" t="s">
        <x:v>1070</x:v>
      </x:c>
    </x:row>
    <x:row r="173">
      <x:c r="A173" s="7" t="s">
        <x:v>1071</x:v>
      </x:c>
      <x:c r="B173" s="7" t="s">
        <x:v>1072</x:v>
      </x:c>
      <x:c r="C173" s="7" t="s">
        <x:v>1073</x:v>
      </x:c>
      <x:c r="D173" s="7" t="s">
        <x:v>644</x:v>
      </x:c>
      <x:c r="E173" s="10"/>
      <x:c r="F173" s="12">
        <x:v>13.69479</x:v>
      </x:c>
      <x:c r="G173" s="12">
        <x:v>100.6535</x:v>
      </x:c>
      <x:c r="H173" s="7" t="s">
        <x:v>309</x:v>
      </x:c>
      <x:c r="I173" s="14">
        <x:v>-4.27</x:v>
      </x:c>
      <x:c r="J173" s="14"/>
      <x:c r="K173" s="14"/>
      <x:c r="L173" s="14">
        <x:v>-0.1</x:v>
      </x:c>
      <x:c r="M173" s="14">
        <x:v>0.0</x:v>
      </x:c>
      <x:c r="N173" s="7" t="s">
        <x:v>300</x:v>
      </x:c>
      <x:c r="O173" s="7" t="s">
        <x:v>300</x:v>
      </x:c>
      <x:c r="P173" s="10"/>
      <x:c r="Q173" s="10"/>
      <x:c r="R173" s="10">
        <x:v>4477.6</x:v>
      </x:c>
      <x:c r="S173" s="7" t="s">
        <x:v>301</x:v>
      </x:c>
      <x:c r="T173" s="7" t="b">
        <x:v>0</x:v>
      </x:c>
      <x:c r="U173" s="7" t="s">
        <x:v>302</x:v>
      </x:c>
      <x:c r="V173" s="26" t="s">
        <x:v>303</x:v>
      </x:c>
      <x:c r="W173" s="7" t="s">
        <x:v>1074</x:v>
      </x:c>
    </x:row>
    <x:row r="174">
      <x:c r="A174" s="7" t="s">
        <x:v>1075</x:v>
      </x:c>
      <x:c r="B174" s="7" t="s">
        <x:v>1076</x:v>
      </x:c>
      <x:c r="C174" s="7" t="s">
        <x:v>1077</x:v>
      </x:c>
      <x:c r="D174" s="7" t="s">
        <x:v>784</x:v>
      </x:c>
      <x:c r="E174" s="10"/>
      <x:c r="F174" s="12">
        <x:v>13.69486</x:v>
      </x:c>
      <x:c r="G174" s="12">
        <x:v>100.48759</x:v>
      </x:c>
      <x:c r="H174" s="7" t="s">
        <x:v>309</x:v>
      </x:c>
      <x:c r="I174" s="14">
        <x:v>0.2</x:v>
      </x:c>
      <x:c r="J174" s="14"/>
      <x:c r="K174" s="14"/>
      <x:c r="L174" s="14">
        <x:v>2.6</x:v>
      </x:c>
      <x:c r="M174" s="14">
        <x:v>2.8</x:v>
      </x:c>
      <x:c r="N174" s="7" t="s">
        <x:v>300</x:v>
      </x:c>
      <x:c r="O174" s="7" t="s">
        <x:v>300</x:v>
      </x:c>
      <x:c r="P174" s="10"/>
      <x:c r="Q174" s="10"/>
      <x:c r="R174" s="10">
        <x:v>4477.6</x:v>
      </x:c>
      <x:c r="S174" s="7" t="s">
        <x:v>301</x:v>
      </x:c>
      <x:c r="T174" s="7" t="b">
        <x:v>0</x:v>
      </x:c>
      <x:c r="U174" s="7" t="s">
        <x:v>302</x:v>
      </x:c>
      <x:c r="V174" s="26" t="s">
        <x:v>303</x:v>
      </x:c>
      <x:c r="W174" s="7" t="s">
        <x:v>1078</x:v>
      </x:c>
    </x:row>
    <x:row r="175">
      <x:c r="A175" s="7" t="s">
        <x:v>1079</x:v>
      </x:c>
      <x:c r="B175" s="7" t="s">
        <x:v>1080</x:v>
      </x:c>
      <x:c r="C175" s="7" t="s">
        <x:v>1081</x:v>
      </x:c>
      <x:c r="D175" s="7" t="s">
        <x:v>420</x:v>
      </x:c>
      <x:c r="E175" s="10"/>
      <x:c r="F175" s="12">
        <x:v>13.77538</x:v>
      </x:c>
      <x:c r="G175" s="12">
        <x:v>100.75395</x:v>
      </x:c>
      <x:c r="H175" s="7" t="s">
        <x:v>309</x:v>
      </x:c>
      <x:c r="I175" s="14">
        <x:v>1.12</x:v>
      </x:c>
      <x:c r="J175" s="14"/>
      <x:c r="K175" s="14"/>
      <x:c r="L175" s="14">
        <x:v>0.6</x:v>
      </x:c>
      <x:c r="M175" s="14">
        <x:v>0.7</x:v>
      </x:c>
      <x:c r="N175" s="7" t="s">
        <x:v>300</x:v>
      </x:c>
      <x:c r="O175" s="7" t="s">
        <x:v>300</x:v>
      </x:c>
      <x:c r="P175" s="10"/>
      <x:c r="Q175" s="10"/>
      <x:c r="R175" s="10">
        <x:v>4477.6</x:v>
      </x:c>
      <x:c r="S175" s="7" t="s">
        <x:v>301</x:v>
      </x:c>
      <x:c r="T175" s="7" t="b">
        <x:v>0</x:v>
      </x:c>
      <x:c r="U175" s="7" t="s">
        <x:v>302</x:v>
      </x:c>
      <x:c r="V175" s="26" t="s">
        <x:v>303</x:v>
      </x:c>
      <x:c r="W175" s="7" t="s">
        <x:v>1082</x:v>
      </x:c>
    </x:row>
    <x:row r="176">
      <x:c r="A176" s="7" t="s">
        <x:v>1083</x:v>
      </x:c>
      <x:c r="B176" s="7" t="s">
        <x:v>1084</x:v>
      </x:c>
      <x:c r="C176" s="7" t="s">
        <x:v>1085</x:v>
      </x:c>
      <x:c r="D176" s="7" t="s">
        <x:v>420</x:v>
      </x:c>
      <x:c r="E176" s="10"/>
      <x:c r="F176" s="12">
        <x:v>13.72411</x:v>
      </x:c>
      <x:c r="G176" s="12">
        <x:v>100.74987</x:v>
      </x:c>
      <x:c r="H176" s="7" t="s">
        <x:v>309</x:v>
      </x:c>
      <x:c r="I176" s="14">
        <x:v>0.82</x:v>
      </x:c>
      <x:c r="J176" s="14"/>
      <x:c r="K176" s="14"/>
      <x:c r="L176" s="14">
        <x:v>0.4</x:v>
      </x:c>
      <x:c r="M176" s="14">
        <x:v>0.6</x:v>
      </x:c>
      <x:c r="N176" s="7" t="s">
        <x:v>300</x:v>
      </x:c>
      <x:c r="O176" s="7" t="s">
        <x:v>300</x:v>
      </x:c>
      <x:c r="P176" s="10"/>
      <x:c r="Q176" s="10"/>
      <x:c r="R176" s="10">
        <x:v>4477.6</x:v>
      </x:c>
      <x:c r="S176" s="7" t="s">
        <x:v>301</x:v>
      </x:c>
      <x:c r="T176" s="7" t="b">
        <x:v>0</x:v>
      </x:c>
      <x:c r="U176" s="7" t="s">
        <x:v>302</x:v>
      </x:c>
      <x:c r="V176" s="26" t="s">
        <x:v>303</x:v>
      </x:c>
      <x:c r="W176" s="7" t="s">
        <x:v>1086</x:v>
      </x:c>
    </x:row>
    <x:row r="177">
      <x:c r="A177" s="7" t="s">
        <x:v>1087</x:v>
      </x:c>
      <x:c r="B177" s="7" t="s">
        <x:v>1088</x:v>
      </x:c>
      <x:c r="C177" s="7" t="s">
        <x:v>1089</x:v>
      </x:c>
      <x:c r="D177" s="7" t="s">
        <x:v>431</x:v>
      </x:c>
      <x:c r="E177" s="10"/>
      <x:c r="F177" s="12">
        <x:v>13.87579</x:v>
      </x:c>
      <x:c r="G177" s="12">
        <x:v>100.55819</x:v>
      </x:c>
      <x:c r="H177" s="7" t="s">
        <x:v>309</x:v>
      </x:c>
      <x:c r="I177" s="14">
        <x:v>0.2</x:v>
      </x:c>
      <x:c r="J177" s="14"/>
      <x:c r="K177" s="14"/>
      <x:c r="L177" s="14">
        <x:v>1.6</x:v>
      </x:c>
      <x:c r="M177" s="14">
        <x:v>1.8</x:v>
      </x:c>
      <x:c r="N177" s="7" t="s">
        <x:v>300</x:v>
      </x:c>
      <x:c r="O177" s="7" t="s">
        <x:v>300</x:v>
      </x:c>
      <x:c r="P177" s="10"/>
      <x:c r="Q177" s="10"/>
      <x:c r="R177" s="10">
        <x:v>4477.6</x:v>
      </x:c>
      <x:c r="S177" s="7" t="s">
        <x:v>301</x:v>
      </x:c>
      <x:c r="T177" s="7" t="b">
        <x:v>0</x:v>
      </x:c>
      <x:c r="U177" s="7" t="s">
        <x:v>302</x:v>
      </x:c>
      <x:c r="V177" s="26" t="s">
        <x:v>303</x:v>
      </x:c>
      <x:c r="W177" s="7" t="s">
        <x:v>1090</x:v>
      </x:c>
    </x:row>
    <x:row r="178">
      <x:c r="A178" s="7" t="s">
        <x:v>1091</x:v>
      </x:c>
      <x:c r="B178" s="7" t="s">
        <x:v>1092</x:v>
      </x:c>
      <x:c r="C178" s="7" t="s">
        <x:v>1093</x:v>
      </x:c>
      <x:c r="D178" s="7" t="s">
        <x:v>658</x:v>
      </x:c>
      <x:c r="E178" s="10"/>
      <x:c r="F178" s="12">
        <x:v>13.71537</x:v>
      </x:c>
      <x:c r="G178" s="12">
        <x:v>100.64117</x:v>
      </x:c>
      <x:c r="H178" s="7" t="s">
        <x:v>309</x:v>
      </x:c>
      <x:c r="I178" s="14">
        <x:v>0.56</x:v>
      </x:c>
      <x:c r="J178" s="14"/>
      <x:c r="K178" s="14"/>
      <x:c r="L178" s="14">
        <x:v>0.4</x:v>
      </x:c>
      <x:c r="M178" s="14">
        <x:v>0.5</x:v>
      </x:c>
      <x:c r="N178" s="7" t="s">
        <x:v>300</x:v>
      </x:c>
      <x:c r="O178" s="7" t="s">
        <x:v>300</x:v>
      </x:c>
      <x:c r="P178" s="10"/>
      <x:c r="Q178" s="10"/>
      <x:c r="R178" s="10">
        <x:v>4477.6</x:v>
      </x:c>
      <x:c r="S178" s="7" t="s">
        <x:v>301</x:v>
      </x:c>
      <x:c r="T178" s="7" t="b">
        <x:v>0</x:v>
      </x:c>
      <x:c r="U178" s="7" t="s">
        <x:v>302</x:v>
      </x:c>
      <x:c r="V178" s="26" t="s">
        <x:v>303</x:v>
      </x:c>
      <x:c r="W178" s="7" t="s">
        <x:v>1094</x:v>
      </x:c>
    </x:row>
    <x:row r="179">
      <x:c r="A179" s="7" t="s">
        <x:v>1095</x:v>
      </x:c>
      <x:c r="B179" s="7" t="s">
        <x:v>1096</x:v>
      </x:c>
      <x:c r="C179" s="7" t="s">
        <x:v>1097</x:v>
      </x:c>
      <x:c r="D179" s="7" t="s">
        <x:v>464</x:v>
      </x:c>
      <x:c r="E179" s="10"/>
      <x:c r="F179" s="12">
        <x:v>13.6922</x:v>
      </x:c>
      <x:c r="G179" s="12">
        <x:v>100.5898</x:v>
      </x:c>
      <x:c r="H179" s="7" t="s">
        <x:v>309</x:v>
      </x:c>
      <x:c r="I179" s="14">
        <x:v>-1.06</x:v>
      </x:c>
      <x:c r="J179" s="14"/>
      <x:c r="K179" s="14"/>
      <x:c r="L179" s="14">
        <x:v>2.6</x:v>
      </x:c>
      <x:c r="M179" s="14">
        <x:v>2.8</x:v>
      </x:c>
      <x:c r="N179" s="7" t="s">
        <x:v>300</x:v>
      </x:c>
      <x:c r="O179" s="7" t="s">
        <x:v>300</x:v>
      </x:c>
      <x:c r="P179" s="10"/>
      <x:c r="Q179" s="10"/>
      <x:c r="R179" s="10">
        <x:v>4477.6</x:v>
      </x:c>
      <x:c r="S179" s="7" t="s">
        <x:v>301</x:v>
      </x:c>
      <x:c r="T179" s="7" t="b">
        <x:v>0</x:v>
      </x:c>
      <x:c r="U179" s="7" t="s">
        <x:v>302</x:v>
      </x:c>
      <x:c r="V179" s="26" t="s">
        <x:v>303</x:v>
      </x:c>
      <x:c r="W179" s="7" t="s">
        <x:v>1098</x:v>
      </x:c>
    </x:row>
    <x:row r="180">
      <x:c r="A180" s="7" t="s">
        <x:v>1099</x:v>
      </x:c>
      <x:c r="B180" s="7" t="s">
        <x:v>1100</x:v>
      </x:c>
      <x:c r="C180" s="7" t="s">
        <x:v>1101</x:v>
      </x:c>
      <x:c r="D180" s="7" t="s">
        <x:v>320</x:v>
      </x:c>
      <x:c r="E180" s="10"/>
      <x:c r="F180" s="12">
        <x:v>13.80003</x:v>
      </x:c>
      <x:c r="G180" s="12">
        <x:v>100.62285</x:v>
      </x:c>
      <x:c r="H180" s="7" t="s">
        <x:v>309</x:v>
      </x:c>
      <x:c r="I180" s="14">
        <x:v>0.13</x:v>
      </x:c>
      <x:c r="J180" s="14"/>
      <x:c r="K180" s="14"/>
      <x:c r="L180" s="14">
        <x:v>-0.2</x:v>
      </x:c>
      <x:c r="M180" s="14">
        <x:v>0.0</x:v>
      </x:c>
      <x:c r="N180" s="7" t="s">
        <x:v>300</x:v>
      </x:c>
      <x:c r="O180" s="7" t="s">
        <x:v>300</x:v>
      </x:c>
      <x:c r="P180" s="10"/>
      <x:c r="Q180" s="10"/>
      <x:c r="R180" s="10">
        <x:v>4477.6</x:v>
      </x:c>
      <x:c r="S180" s="7" t="s">
        <x:v>301</x:v>
      </x:c>
      <x:c r="T180" s="7" t="b">
        <x:v>0</x:v>
      </x:c>
      <x:c r="U180" s="7" t="s">
        <x:v>302</x:v>
      </x:c>
      <x:c r="V180" s="26" t="s">
        <x:v>303</x:v>
      </x:c>
      <x:c r="W180" s="7" t="s">
        <x:v>1102</x:v>
      </x:c>
    </x:row>
    <x:row r="181">
      <x:c r="A181" s="7" t="s">
        <x:v>1103</x:v>
      </x:c>
      <x:c r="B181" s="7" t="s">
        <x:v>1104</x:v>
      </x:c>
      <x:c r="C181" s="7" t="s">
        <x:v>1105</x:v>
      </x:c>
      <x:c r="D181" s="7" t="s">
        <x:v>347</x:v>
      </x:c>
      <x:c r="E181" s="10"/>
      <x:c r="F181" s="12">
        <x:v>13.78884</x:v>
      </x:c>
      <x:c r="G181" s="12">
        <x:v>100.35271</x:v>
      </x:c>
      <x:c r="H181" s="7" t="s">
        <x:v>309</x:v>
      </x:c>
      <x:c r="I181" s="14">
        <x:v>0.93</x:v>
      </x:c>
      <x:c r="J181" s="14"/>
      <x:c r="K181" s="14"/>
      <x:c r="L181" s="14">
        <x:v>0.8</x:v>
      </x:c>
      <x:c r="M181" s="14">
        <x:v>0.9</x:v>
      </x:c>
      <x:c r="N181" s="7" t="s">
        <x:v>300</x:v>
      </x:c>
      <x:c r="O181" s="7" t="s">
        <x:v>300</x:v>
      </x:c>
      <x:c r="P181" s="10"/>
      <x:c r="Q181" s="10"/>
      <x:c r="R181" s="10">
        <x:v>4477.6</x:v>
      </x:c>
      <x:c r="S181" s="7" t="s">
        <x:v>301</x:v>
      </x:c>
      <x:c r="T181" s="7" t="b">
        <x:v>0</x:v>
      </x:c>
      <x:c r="U181" s="7" t="s">
        <x:v>302</x:v>
      </x:c>
      <x:c r="V181" s="26" t="s">
        <x:v>303</x:v>
      </x:c>
      <x:c r="W181" s="7" t="s">
        <x:v>1106</x:v>
      </x:c>
    </x:row>
    <x:row r="182">
      <x:c r="A182" s="7" t="s">
        <x:v>1107</x:v>
      </x:c>
      <x:c r="B182" s="7" t="s">
        <x:v>1108</x:v>
      </x:c>
      <x:c r="C182" s="7" t="s">
        <x:v>1109</x:v>
      </x:c>
      <x:c r="D182" s="7" t="s">
        <x:v>347</x:v>
      </x:c>
      <x:c r="E182" s="10"/>
      <x:c r="F182" s="12">
        <x:v>13.76866</x:v>
      </x:c>
      <x:c r="G182" s="12">
        <x:v>100.36401</x:v>
      </x:c>
      <x:c r="H182" s="7" t="s">
        <x:v>309</x:v>
      </x:c>
      <x:c r="I182" s="14">
        <x:v>0.78</x:v>
      </x:c>
      <x:c r="J182" s="14"/>
      <x:c r="K182" s="14"/>
      <x:c r="L182" s="14">
        <x:v>0.6</x:v>
      </x:c>
      <x:c r="M182" s="14">
        <x:v>1.0</x:v>
      </x:c>
      <x:c r="N182" s="7" t="s">
        <x:v>300</x:v>
      </x:c>
      <x:c r="O182" s="7" t="s">
        <x:v>300</x:v>
      </x:c>
      <x:c r="P182" s="10"/>
      <x:c r="Q182" s="10"/>
      <x:c r="R182" s="10">
        <x:v>4477.6</x:v>
      </x:c>
      <x:c r="S182" s="7" t="s">
        <x:v>301</x:v>
      </x:c>
      <x:c r="T182" s="7" t="b">
        <x:v>0</x:v>
      </x:c>
      <x:c r="U182" s="7" t="s">
        <x:v>302</x:v>
      </x:c>
      <x:c r="V182" s="26" t="s">
        <x:v>303</x:v>
      </x:c>
      <x:c r="W182" s="7" t="s">
        <x:v>1110</x:v>
      </x:c>
    </x:row>
    <x:row r="183">
      <x:c r="A183" s="7" t="s">
        <x:v>1111</x:v>
      </x:c>
      <x:c r="B183" s="7" t="s">
        <x:v>1112</x:v>
      </x:c>
      <x:c r="C183" s="7" t="s">
        <x:v>1113</x:v>
      </x:c>
      <x:c r="D183" s="7" t="s">
        <x:v>544</x:v>
      </x:c>
      <x:c r="E183" s="10"/>
      <x:c r="F183" s="12">
        <x:v>13.79815</x:v>
      </x:c>
      <x:c r="G183" s="12">
        <x:v>100.53226</x:v>
      </x:c>
      <x:c r="H183" s="7" t="s">
        <x:v>1114</x:v>
      </x:c>
      <x:c r="I183" s="14">
        <x:v>-0.98</x:v>
      </x:c>
      <x:c r="J183" s="14"/>
      <x:c r="K183" s="14"/>
      <x:c r="L183" s="14">
        <x:v>0.3</x:v>
      </x:c>
      <x:c r="M183" s="14">
        <x:v>0.4</x:v>
      </x:c>
      <x:c r="N183" s="7" t="s">
        <x:v>300</x:v>
      </x:c>
      <x:c r="O183" s="7" t="s">
        <x:v>300</x:v>
      </x:c>
      <x:c r="P183" s="10"/>
      <x:c r="Q183" s="10"/>
      <x:c r="R183" s="10">
        <x:v>10767.6</x:v>
      </x:c>
      <x:c r="S183" s="7" t="s">
        <x:v>301</x:v>
      </x:c>
      <x:c r="T183" s="7" t="b">
        <x:v>0</x:v>
      </x:c>
      <x:c r="U183" s="7" t="s">
        <x:v>302</x:v>
      </x:c>
      <x:c r="V183" s="26" t="s">
        <x:v>303</x:v>
      </x:c>
      <x:c r="W183" s="7" t="s">
        <x:v>1115</x:v>
      </x:c>
    </x:row>
    <x:row r="184">
      <x:c r="A184" s="7" t="s">
        <x:v>1116</x:v>
      </x:c>
      <x:c r="B184" s="7" t="s">
        <x:v>1117</x:v>
      </x:c>
      <x:c r="C184" s="7" t="s">
        <x:v>1118</x:v>
      </x:c>
      <x:c r="D184" s="7" t="s">
        <x:v>549</x:v>
      </x:c>
      <x:c r="E184" s="10"/>
      <x:c r="F184" s="12">
        <x:v>13.71075</x:v>
      </x:c>
      <x:c r="G184" s="12">
        <x:v>100.60308</x:v>
      </x:c>
      <x:c r="H184" s="7" t="s">
        <x:v>309</x:v>
      </x:c>
      <x:c r="I184" s="14">
        <x:v>-0.07</x:v>
      </x:c>
      <x:c r="J184" s="14"/>
      <x:c r="K184" s="14"/>
      <x:c r="L184" s="14">
        <x:v>-0.5</x:v>
      </x:c>
      <x:c r="M184" s="14">
        <x:v>-0.4</x:v>
      </x:c>
      <x:c r="N184" s="7" t="s">
        <x:v>300</x:v>
      </x:c>
      <x:c r="O184" s="7" t="s">
        <x:v>300</x:v>
      </x:c>
      <x:c r="P184" s="10"/>
      <x:c r="Q184" s="10"/>
      <x:c r="R184" s="10">
        <x:v>4477.6</x:v>
      </x:c>
      <x:c r="S184" s="7" t="s">
        <x:v>301</x:v>
      </x:c>
      <x:c r="T184" s="7" t="b">
        <x:v>0</x:v>
      </x:c>
      <x:c r="U184" s="7" t="s">
        <x:v>302</x:v>
      </x:c>
      <x:c r="V184" s="26" t="s">
        <x:v>303</x:v>
      </x:c>
      <x:c r="W184" s="7" t="s">
        <x:v>1119</x:v>
      </x:c>
    </x:row>
    <x:row r="185">
      <x:c r="A185" s="7" t="s">
        <x:v>1120</x:v>
      </x:c>
      <x:c r="B185" s="7" t="s">
        <x:v>1121</x:v>
      </x:c>
      <x:c r="C185" s="7" t="s">
        <x:v>1122</x:v>
      </x:c>
      <x:c r="D185" s="7" t="s">
        <x:v>326</x:v>
      </x:c>
      <x:c r="E185" s="10"/>
      <x:c r="F185" s="12">
        <x:v>13.85956</x:v>
      </x:c>
      <x:c r="G185" s="12">
        <x:v>100.72931</x:v>
      </x:c>
      <x:c r="H185" s="7" t="s">
        <x:v>309</x:v>
      </x:c>
      <x:c r="I185" s="14">
        <x:v>1.18</x:v>
      </x:c>
      <x:c r="J185" s="14"/>
      <x:c r="K185" s="14"/>
      <x:c r="L185" s="14">
        <x:v>1.1</x:v>
      </x:c>
      <x:c r="M185" s="14">
        <x:v>1.3</x:v>
      </x:c>
      <x:c r="N185" s="7" t="s">
        <x:v>300</x:v>
      </x:c>
      <x:c r="O185" s="7" t="s">
        <x:v>300</x:v>
      </x:c>
      <x:c r="P185" s="10"/>
      <x:c r="Q185" s="10"/>
      <x:c r="R185" s="10">
        <x:v>4477.6</x:v>
      </x:c>
      <x:c r="S185" s="7" t="s">
        <x:v>301</x:v>
      </x:c>
      <x:c r="T185" s="7" t="b">
        <x:v>0</x:v>
      </x:c>
      <x:c r="U185" s="7" t="s">
        <x:v>302</x:v>
      </x:c>
      <x:c r="V185" s="26" t="s">
        <x:v>303</x:v>
      </x:c>
      <x:c r="W185" s="7" t="s">
        <x:v>1123</x:v>
      </x:c>
    </x:row>
    <x:row r="186">
      <x:c r="A186" s="7" t="s">
        <x:v>1124</x:v>
      </x:c>
      <x:c r="B186" s="7" t="s">
        <x:v>1125</x:v>
      </x:c>
      <x:c r="C186" s="7" t="s">
        <x:v>1126</x:v>
      </x:c>
      <x:c r="D186" s="7" t="s">
        <x:v>464</x:v>
      </x:c>
      <x:c r="E186" s="10"/>
      <x:c r="F186" s="12">
        <x:v>13.68559</x:v>
      </x:c>
      <x:c r="G186" s="12">
        <x:v>100.60441</x:v>
      </x:c>
      <x:c r="H186" s="7" t="s">
        <x:v>309</x:v>
      </x:c>
      <x:c r="I186" s="14">
        <x:v>-1.24</x:v>
      </x:c>
      <x:c r="J186" s="14"/>
      <x:c r="K186" s="14"/>
      <x:c r="L186" s="14">
        <x:v>-0.2</x:v>
      </x:c>
      <x:c r="M186" s="14">
        <x:v>0.0</x:v>
      </x:c>
      <x:c r="N186" s="7" t="s">
        <x:v>300</x:v>
      </x:c>
      <x:c r="O186" s="7" t="s">
        <x:v>300</x:v>
      </x:c>
      <x:c r="P186" s="10"/>
      <x:c r="Q186" s="10"/>
      <x:c r="R186" s="10">
        <x:v>4477.6</x:v>
      </x:c>
      <x:c r="S186" s="7" t="s">
        <x:v>301</x:v>
      </x:c>
      <x:c r="T186" s="7" t="b">
        <x:v>0</x:v>
      </x:c>
      <x:c r="U186" s="7" t="s">
        <x:v>302</x:v>
      </x:c>
      <x:c r="V186" s="26" t="s">
        <x:v>303</x:v>
      </x:c>
      <x:c r="W186" s="7" t="s">
        <x:v>1127</x:v>
      </x:c>
    </x:row>
    <x:row r="187">
      <x:c r="A187" s="7" t="s">
        <x:v>1128</x:v>
      </x:c>
      <x:c r="B187" s="7" t="s">
        <x:v>1129</x:v>
      </x:c>
      <x:c r="C187" s="7" t="s">
        <x:v>1130</x:v>
      </x:c>
      <x:c r="D187" s="7" t="s">
        <x:v>469</x:v>
      </x:c>
      <x:c r="E187" s="10"/>
      <x:c r="F187" s="12">
        <x:v>13.74218</x:v>
      </x:c>
      <x:c r="G187" s="12">
        <x:v>100.49466</x:v>
      </x:c>
      <x:c r="H187" s="7" t="s">
        <x:v>309</x:v>
      </x:c>
      <x:c r="I187" s="14">
        <x:v>0.99</x:v>
      </x:c>
      <x:c r="J187" s="14"/>
      <x:c r="K187" s="14"/>
      <x:c r="L187" s="14">
        <x:v>2.8</x:v>
      </x:c>
      <x:c r="M187" s="14">
        <x:v>3.0</x:v>
      </x:c>
      <x:c r="N187" s="7" t="s">
        <x:v>300</x:v>
      </x:c>
      <x:c r="O187" s="7" t="s">
        <x:v>300</x:v>
      </x:c>
      <x:c r="P187" s="10"/>
      <x:c r="Q187" s="10"/>
      <x:c r="R187" s="10">
        <x:v>4477.6</x:v>
      </x:c>
      <x:c r="S187" s="7" t="s">
        <x:v>301</x:v>
      </x:c>
      <x:c r="T187" s="7" t="b">
        <x:v>0</x:v>
      </x:c>
      <x:c r="U187" s="7" t="s">
        <x:v>302</x:v>
      </x:c>
      <x:c r="V187" s="26" t="s">
        <x:v>303</x:v>
      </x:c>
      <x:c r="W187" s="7" t="s">
        <x:v>1131</x:v>
      </x:c>
    </x:row>
    <x:row r="188">
      <x:c r="A188" s="7" t="s">
        <x:v>1132</x:v>
      </x:c>
      <x:c r="B188" s="7" t="s">
        <x:v>1133</x:v>
      </x:c>
      <x:c r="C188" s="7" t="s">
        <x:v>1134</x:v>
      </x:c>
      <x:c r="D188" s="7" t="s">
        <x:v>725</x:v>
      </x:c>
      <x:c r="E188" s="10"/>
      <x:c r="F188" s="12">
        <x:v>13.80817</x:v>
      </x:c>
      <x:c r="G188" s="12">
        <x:v>100.73067</x:v>
      </x:c>
      <x:c r="H188" s="7" t="s">
        <x:v>380</x:v>
      </x:c>
      <x:c r="I188" s="14">
        <x:v>0.86</x:v>
      </x:c>
      <x:c r="J188" s="14"/>
      <x:c r="K188" s="14"/>
      <x:c r="L188" s="14">
        <x:v>0.4</x:v>
      </x:c>
      <x:c r="M188" s="14">
        <x:v>0.6</x:v>
      </x:c>
      <x:c r="N188" s="7" t="s">
        <x:v>300</x:v>
      </x:c>
      <x:c r="O188" s="7" t="s">
        <x:v>300</x:v>
      </x:c>
      <x:c r="P188" s="10"/>
      <x:c r="Q188" s="10"/>
      <x:c r="R188" s="10">
        <x:v>4482.6</x:v>
      </x:c>
      <x:c r="S188" s="7" t="s">
        <x:v>301</x:v>
      </x:c>
      <x:c r="T188" s="7" t="b">
        <x:v>0</x:v>
      </x:c>
      <x:c r="U188" s="7" t="s">
        <x:v>302</x:v>
      </x:c>
      <x:c r="V188" s="26" t="s">
        <x:v>303</x:v>
      </x:c>
      <x:c r="W188" s="7" t="s">
        <x:v>1135</x:v>
      </x:c>
    </x:row>
    <x:row r="189">
      <x:c r="A189" s="7" t="s">
        <x:v>1136</x:v>
      </x:c>
      <x:c r="B189" s="7" t="s">
        <x:v>1137</x:v>
      </x:c>
      <x:c r="C189" s="7" t="s">
        <x:v>1138</x:v>
      </x:c>
      <x:c r="D189" s="7" t="s">
        <x:v>464</x:v>
      </x:c>
      <x:c r="E189" s="10"/>
      <x:c r="F189" s="12">
        <x:v>13.69734</x:v>
      </x:c>
      <x:c r="G189" s="12">
        <x:v>100.6024</x:v>
      </x:c>
      <x:c r="H189" s="7" t="s">
        <x:v>309</x:v>
      </x:c>
      <x:c r="I189" s="14">
        <x:v>-0.82</x:v>
      </x:c>
      <x:c r="J189" s="14"/>
      <x:c r="K189" s="14"/>
      <x:c r="L189" s="14">
        <x:v>-0.2</x:v>
      </x:c>
      <x:c r="M189" s="14">
        <x:v>0.0</x:v>
      </x:c>
      <x:c r="N189" s="7" t="s">
        <x:v>300</x:v>
      </x:c>
      <x:c r="O189" s="7" t="s">
        <x:v>300</x:v>
      </x:c>
      <x:c r="P189" s="10"/>
      <x:c r="Q189" s="10"/>
      <x:c r="R189" s="10">
        <x:v>4477.6</x:v>
      </x:c>
      <x:c r="S189" s="7" t="s">
        <x:v>301</x:v>
      </x:c>
      <x:c r="T189" s="7" t="b">
        <x:v>0</x:v>
      </x:c>
      <x:c r="U189" s="7" t="s">
        <x:v>302</x:v>
      </x:c>
      <x:c r="V189" s="26" t="s">
        <x:v>303</x:v>
      </x:c>
      <x:c r="W189" s="7" t="s">
        <x:v>1139</x:v>
      </x:c>
    </x:row>
    <x:row r="190">
      <x:c r="A190" s="7" t="s">
        <x:v>1140</x:v>
      </x:c>
      <x:c r="B190" s="7" t="s">
        <x:v>1141</x:v>
      </x:c>
      <x:c r="C190" s="7" t="s">
        <x:v>1142</x:v>
      </x:c>
      <x:c r="D190" s="7" t="s">
        <x:v>403</x:v>
      </x:c>
      <x:c r="E190" s="10"/>
      <x:c r="F190" s="12">
        <x:v>13.82993</x:v>
      </x:c>
      <x:c r="G190" s="12">
        <x:v>100.54935</x:v>
      </x:c>
      <x:c r="H190" s="7" t="s">
        <x:v>1143</x:v>
      </x:c>
      <x:c r="I190" s="14">
        <x:v>1.0</x:v>
      </x:c>
      <x:c r="J190" s="14"/>
      <x:c r="K190" s="14"/>
      <x:c r="L190" s="14">
        <x:v>0.4</x:v>
      </x:c>
      <x:c r="M190" s="14">
        <x:v>0.5</x:v>
      </x:c>
      <x:c r="N190" s="7" t="s">
        <x:v>300</x:v>
      </x:c>
      <x:c r="O190" s="7" t="s">
        <x:v>300</x:v>
      </x:c>
      <x:c r="P190" s="10"/>
      <x:c r="Q190" s="10"/>
      <x:c r="R190" s="10">
        <x:v>1314992.6</x:v>
      </x:c>
      <x:c r="S190" s="7" t="s">
        <x:v>301</x:v>
      </x:c>
      <x:c r="T190" s="7" t="b">
        <x:v>0</x:v>
      </x:c>
      <x:c r="U190" s="7" t="s">
        <x:v>302</x:v>
      </x:c>
      <x:c r="V190" s="26" t="s">
        <x:v>303</x:v>
      </x:c>
      <x:c r="W190" s="7" t="s">
        <x:v>1144</x:v>
      </x:c>
    </x:row>
    <x:row r="191">
      <x:c r="A191" s="7" t="s">
        <x:v>1145</x:v>
      </x:c>
      <x:c r="B191" s="7" t="s">
        <x:v>1146</x:v>
      </x:c>
      <x:c r="C191" s="7" t="s">
        <x:v>1147</x:v>
      </x:c>
      <x:c r="D191" s="7" t="s">
        <x:v>347</x:v>
      </x:c>
      <x:c r="E191" s="10"/>
      <x:c r="F191" s="12">
        <x:v>13.76264</x:v>
      </x:c>
      <x:c r="G191" s="12">
        <x:v>100.39624</x:v>
      </x:c>
      <x:c r="H191" s="7" t="s">
        <x:v>309</x:v>
      </x:c>
      <x:c r="I191" s="14">
        <x:v>0.8</x:v>
      </x:c>
      <x:c r="J191" s="14"/>
      <x:c r="K191" s="14"/>
      <x:c r="L191" s="14">
        <x:v>0.6</x:v>
      </x:c>
      <x:c r="M191" s="14">
        <x:v>0.7</x:v>
      </x:c>
      <x:c r="N191" s="7" t="s">
        <x:v>300</x:v>
      </x:c>
      <x:c r="O191" s="7" t="s">
        <x:v>300</x:v>
      </x:c>
      <x:c r="P191" s="10"/>
      <x:c r="Q191" s="10"/>
      <x:c r="R191" s="10">
        <x:v>4477.6</x:v>
      </x:c>
      <x:c r="S191" s="7" t="s">
        <x:v>301</x:v>
      </x:c>
      <x:c r="T191" s="7" t="b">
        <x:v>0</x:v>
      </x:c>
      <x:c r="U191" s="7" t="s">
        <x:v>302</x:v>
      </x:c>
      <x:c r="V191" s="26" t="s">
        <x:v>303</x:v>
      </x:c>
      <x:c r="W191" s="7" t="s">
        <x:v>1148</x:v>
      </x:c>
    </x:row>
    <x:row r="192">
      <x:c r="A192" s="7" t="s">
        <x:v>1149</x:v>
      </x:c>
      <x:c r="B192" s="7" t="s">
        <x:v>1150</x:v>
      </x:c>
      <x:c r="C192" s="7" t="s">
        <x:v>1151</x:v>
      </x:c>
      <x:c r="D192" s="7" t="s">
        <x:v>320</x:v>
      </x:c>
      <x:c r="E192" s="10"/>
      <x:c r="F192" s="12">
        <x:v>13.77868</x:v>
      </x:c>
      <x:c r="G192" s="12">
        <x:v>100.64013</x:v>
      </x:c>
      <x:c r="H192" s="7" t="s">
        <x:v>309</x:v>
      </x:c>
      <x:c r="I192" s="14">
        <x:v>0.77</x:v>
      </x:c>
      <x:c r="J192" s="14"/>
      <x:c r="K192" s="14"/>
      <x:c r="L192" s="14">
        <x:v>-0.2</x:v>
      </x:c>
      <x:c r="M192" s="14">
        <x:v>0.0</x:v>
      </x:c>
      <x:c r="N192" s="7" t="s">
        <x:v>300</x:v>
      </x:c>
      <x:c r="O192" s="7" t="s">
        <x:v>300</x:v>
      </x:c>
      <x:c r="P192" s="10"/>
      <x:c r="Q192" s="10"/>
      <x:c r="R192" s="10">
        <x:v>4477.6</x:v>
      </x:c>
      <x:c r="S192" s="7" t="s">
        <x:v>301</x:v>
      </x:c>
      <x:c r="T192" s="7" t="b">
        <x:v>0</x:v>
      </x:c>
      <x:c r="U192" s="7" t="s">
        <x:v>302</x:v>
      </x:c>
      <x:c r="V192" s="26" t="s">
        <x:v>303</x:v>
      </x:c>
      <x:c r="W192" s="7" t="s">
        <x:v>1152</x:v>
      </x:c>
    </x:row>
    <x:row r="193">
      <x:c r="A193" s="7" t="s">
        <x:v>1153</x:v>
      </x:c>
      <x:c r="B193" s="7" t="s">
        <x:v>1154</x:v>
      </x:c>
      <x:c r="C193" s="7" t="s">
        <x:v>1155</x:v>
      </x:c>
      <x:c r="D193" s="7" t="s">
        <x:v>600</x:v>
      </x:c>
      <x:c r="E193" s="10"/>
      <x:c r="F193" s="12">
        <x:v>13.79063</x:v>
      </x:c>
      <x:c r="G193" s="12">
        <x:v>100.46199</x:v>
      </x:c>
      <x:c r="H193" s="7" t="s">
        <x:v>309</x:v>
      </x:c>
      <x:c r="I193" s="14">
        <x:v>0.23</x:v>
      </x:c>
      <x:c r="J193" s="14"/>
      <x:c r="K193" s="14"/>
      <x:c r="L193" s="14">
        <x:v>0.5</x:v>
      </x:c>
      <x:c r="M193" s="14">
        <x:v>0.6</x:v>
      </x:c>
      <x:c r="N193" s="7" t="s">
        <x:v>300</x:v>
      </x:c>
      <x:c r="O193" s="7" t="s">
        <x:v>300</x:v>
      </x:c>
      <x:c r="P193" s="10"/>
      <x:c r="Q193" s="10"/>
      <x:c r="R193" s="10">
        <x:v>4477.6</x:v>
      </x:c>
      <x:c r="S193" s="7" t="s">
        <x:v>301</x:v>
      </x:c>
      <x:c r="T193" s="7" t="b">
        <x:v>0</x:v>
      </x:c>
      <x:c r="U193" s="7" t="s">
        <x:v>302</x:v>
      </x:c>
      <x:c r="V193" s="26" t="s">
        <x:v>303</x:v>
      </x:c>
      <x:c r="W193" s="7" t="s">
        <x:v>1156</x:v>
      </x:c>
    </x:row>
    <x:row r="194">
      <x:c r="A194" s="7" t="s">
        <x:v>1157</x:v>
      </x:c>
      <x:c r="B194" s="7" t="s">
        <x:v>1158</x:v>
      </x:c>
      <x:c r="C194" s="7" t="s">
        <x:v>1159</x:v>
      </x:c>
      <x:c r="D194" s="7" t="s">
        <x:v>370</x:v>
      </x:c>
      <x:c r="E194" s="10"/>
      <x:c r="F194" s="12">
        <x:v>13.74219</x:v>
      </x:c>
      <x:c r="G194" s="12">
        <x:v>100.42747</x:v>
      </x:c>
      <x:c r="H194" s="7" t="s">
        <x:v>309</x:v>
      </x:c>
      <x:c r="I194" s="14">
        <x:v>0.6</x:v>
      </x:c>
      <x:c r="J194" s="14"/>
      <x:c r="K194" s="14"/>
      <x:c r="L194" s="14">
        <x:v>0.6</x:v>
      </x:c>
      <x:c r="M194" s="14">
        <x:v>0.7</x:v>
      </x:c>
      <x:c r="N194" s="7" t="s">
        <x:v>300</x:v>
      </x:c>
      <x:c r="O194" s="7" t="s">
        <x:v>300</x:v>
      </x:c>
      <x:c r="P194" s="10"/>
      <x:c r="Q194" s="10"/>
      <x:c r="R194" s="10">
        <x:v>4477.6</x:v>
      </x:c>
      <x:c r="S194" s="7" t="s">
        <x:v>301</x:v>
      </x:c>
      <x:c r="T194" s="7" t="b">
        <x:v>0</x:v>
      </x:c>
      <x:c r="U194" s="7" t="s">
        <x:v>302</x:v>
      </x:c>
      <x:c r="V194" s="26" t="s">
        <x:v>303</x:v>
      </x:c>
      <x:c r="W194" s="7" t="s">
        <x:v>1160</x:v>
      </x:c>
    </x:row>
    <x:row r="195">
      <x:c r="A195" s="7" t="s">
        <x:v>1161</x:v>
      </x:c>
      <x:c r="B195" s="7" t="s">
        <x:v>1162</x:v>
      </x:c>
      <x:c r="C195" s="7" t="s">
        <x:v>1163</x:v>
      </x:c>
      <x:c r="D195" s="7" t="s">
        <x:v>496</x:v>
      </x:c>
      <x:c r="E195" s="10"/>
      <x:c r="F195" s="12">
        <x:v>13.769</x:v>
      </x:c>
      <x:c r="G195" s="12">
        <x:v>100.53462</x:v>
      </x:c>
      <x:c r="H195" s="7" t="s">
        <x:v>1164</x:v>
      </x:c>
      <x:c r="I195" s="14">
        <x:v>-0.43</x:v>
      </x:c>
      <x:c r="J195" s="14"/>
      <x:c r="K195" s="14"/>
      <x:c r="L195" s="14">
        <x:v>0.2</x:v>
      </x:c>
      <x:c r="M195" s="14">
        <x:v>0.3</x:v>
      </x:c>
      <x:c r="N195" s="7" t="s">
        <x:v>300</x:v>
      </x:c>
      <x:c r="O195" s="7" t="s">
        <x:v>300</x:v>
      </x:c>
      <x:c r="P195" s="10"/>
      <x:c r="Q195" s="10"/>
      <x:c r="R195" s="10">
        <x:v>1653272.6</x:v>
      </x:c>
      <x:c r="S195" s="7" t="s">
        <x:v>301</x:v>
      </x:c>
      <x:c r="T195" s="7" t="b">
        <x:v>0</x:v>
      </x:c>
      <x:c r="U195" s="7" t="s">
        <x:v>302</x:v>
      </x:c>
      <x:c r="V195" s="26" t="s">
        <x:v>303</x:v>
      </x:c>
      <x:c r="W195" s="7" t="s">
        <x:v>1165</x:v>
      </x:c>
    </x:row>
    <x:row r="196">
      <x:c r="A196" s="7" t="s">
        <x:v>1166</x:v>
      </x:c>
      <x:c r="B196" s="7" t="s">
        <x:v>1167</x:v>
      </x:c>
      <x:c r="C196" s="7" t="s">
        <x:v>1168</x:v>
      </x:c>
      <x:c r="D196" s="7" t="s">
        <x:v>446</x:v>
      </x:c>
      <x:c r="E196" s="10"/>
      <x:c r="F196" s="12">
        <x:v>13.67482</x:v>
      </x:c>
      <x:c r="G196" s="12">
        <x:v>100.58775</x:v>
      </x:c>
      <x:c r="H196" s="7" t="s">
        <x:v>309</x:v>
      </x:c>
      <x:c r="I196" s="14">
        <x:v>-0.78</x:v>
      </x:c>
      <x:c r="J196" s="14"/>
      <x:c r="K196" s="14"/>
      <x:c r="L196" s="14">
        <x:v>2.6</x:v>
      </x:c>
      <x:c r="M196" s="14">
        <x:v>2.8</x:v>
      </x:c>
      <x:c r="N196" s="7" t="s">
        <x:v>300</x:v>
      </x:c>
      <x:c r="O196" s="7" t="s">
        <x:v>300</x:v>
      </x:c>
      <x:c r="P196" s="10"/>
      <x:c r="Q196" s="10"/>
      <x:c r="R196" s="10">
        <x:v>4477.6</x:v>
      </x:c>
      <x:c r="S196" s="7" t="s">
        <x:v>301</x:v>
      </x:c>
      <x:c r="T196" s="7" t="b">
        <x:v>0</x:v>
      </x:c>
      <x:c r="U196" s="7" t="s">
        <x:v>302</x:v>
      </x:c>
      <x:c r="V196" s="26" t="s">
        <x:v>303</x:v>
      </x:c>
      <x:c r="W196" s="7" t="s">
        <x:v>1169</x:v>
      </x:c>
    </x:row>
    <x:row r="197">
      <x:c r="A197" s="7" t="s">
        <x:v>1170</x:v>
      </x:c>
      <x:c r="B197" s="7" t="s">
        <x:v>1171</x:v>
      </x:c>
      <x:c r="C197" s="7" t="s">
        <x:v>1172</x:v>
      </x:c>
      <x:c r="D197" s="7" t="s">
        <x:v>314</x:v>
      </x:c>
      <x:c r="E197" s="10"/>
      <x:c r="F197" s="12">
        <x:v>13.80028</x:v>
      </x:c>
      <x:c r="G197" s="12">
        <x:v>100.6068</x:v>
      </x:c>
      <x:c r="H197" s="7" t="s">
        <x:v>309</x:v>
      </x:c>
      <x:c r="I197" s="14">
        <x:v>0.24</x:v>
      </x:c>
      <x:c r="J197" s="14"/>
      <x:c r="K197" s="14"/>
      <x:c r="L197" s="14">
        <x:v>-0.2</x:v>
      </x:c>
      <x:c r="M197" s="14">
        <x:v>0.0</x:v>
      </x:c>
      <x:c r="N197" s="7" t="s">
        <x:v>300</x:v>
      </x:c>
      <x:c r="O197" s="7" t="s">
        <x:v>300</x:v>
      </x:c>
      <x:c r="P197" s="10"/>
      <x:c r="Q197" s="10"/>
      <x:c r="R197" s="10">
        <x:v>4477.6</x:v>
      </x:c>
      <x:c r="S197" s="7" t="s">
        <x:v>301</x:v>
      </x:c>
      <x:c r="T197" s="7" t="b">
        <x:v>0</x:v>
      </x:c>
      <x:c r="U197" s="7" t="s">
        <x:v>302</x:v>
      </x:c>
      <x:c r="V197" s="26" t="s">
        <x:v>303</x:v>
      </x:c>
      <x:c r="W197" s="7" t="s">
        <x:v>1173</x:v>
      </x:c>
    </x:row>
    <x:row r="198">
      <x:c r="A198" s="7" t="s">
        <x:v>1174</x:v>
      </x:c>
      <x:c r="B198" s="7" t="s">
        <x:v>1175</x:v>
      </x:c>
      <x:c r="C198" s="7" t="s">
        <x:v>1176</x:v>
      </x:c>
      <x:c r="D198" s="7" t="s">
        <x:v>420</x:v>
      </x:c>
      <x:c r="E198" s="10"/>
      <x:c r="F198" s="12">
        <x:v>13.77005</x:v>
      </x:c>
      <x:c r="G198" s="12">
        <x:v>100.81298</x:v>
      </x:c>
      <x:c r="H198" s="7" t="s">
        <x:v>1177</x:v>
      </x:c>
      <x:c r="I198" s="14">
        <x:v>0.04</x:v>
      </x:c>
      <x:c r="J198" s="14"/>
      <x:c r="K198" s="14"/>
      <x:c r="L198" s="14">
        <x:v>0.6</x:v>
      </x:c>
      <x:c r="M198" s="14">
        <x:v>0.7</x:v>
      </x:c>
      <x:c r="N198" s="7" t="s">
        <x:v>300</x:v>
      </x:c>
      <x:c r="O198" s="7" t="s">
        <x:v>300</x:v>
      </x:c>
      <x:c r="P198" s="10"/>
      <x:c r="Q198" s="10"/>
      <x:c r="R198" s="10">
        <x:v>660812.6</x:v>
      </x:c>
      <x:c r="S198" s="7" t="s">
        <x:v>301</x:v>
      </x:c>
      <x:c r="T198" s="7" t="b">
        <x:v>0</x:v>
      </x:c>
      <x:c r="U198" s="7" t="s">
        <x:v>302</x:v>
      </x:c>
      <x:c r="V198" s="26" t="s">
        <x:v>303</x:v>
      </x:c>
      <x:c r="W198" s="7" t="s">
        <x:v>1178</x:v>
      </x:c>
    </x:row>
    <x:row r="199">
      <x:c r="A199" s="7" t="s">
        <x:v>1179</x:v>
      </x:c>
      <x:c r="B199" s="7" t="s">
        <x:v>1180</x:v>
      </x:c>
      <x:c r="C199" s="7" t="s">
        <x:v>1181</x:v>
      </x:c>
      <x:c r="D199" s="7" t="s">
        <x:v>357</x:v>
      </x:c>
      <x:c r="E199" s="10"/>
      <x:c r="F199" s="12">
        <x:v>13.60695</x:v>
      </x:c>
      <x:c r="G199" s="12">
        <x:v>100.41311</x:v>
      </x:c>
      <x:c r="H199" s="7" t="s">
        <x:v>309</x:v>
      </x:c>
      <x:c r="I199" s="14">
        <x:v>-0.77</x:v>
      </x:c>
      <x:c r="J199" s="14"/>
      <x:c r="K199" s="14"/>
      <x:c r="L199" s="14">
        <x:v>1.0</x:v>
      </x:c>
      <x:c r="M199" s="14">
        <x:v>1.2</x:v>
      </x:c>
      <x:c r="N199" s="7" t="s">
        <x:v>300</x:v>
      </x:c>
      <x:c r="O199" s="7" t="s">
        <x:v>300</x:v>
      </x:c>
      <x:c r="P199" s="10"/>
      <x:c r="Q199" s="10"/>
      <x:c r="R199" s="10">
        <x:v>4477.6</x:v>
      </x:c>
      <x:c r="S199" s="7" t="s">
        <x:v>301</x:v>
      </x:c>
      <x:c r="T199" s="7" t="b">
        <x:v>0</x:v>
      </x:c>
      <x:c r="U199" s="7" t="s">
        <x:v>302</x:v>
      </x:c>
      <x:c r="V199" s="26" t="s">
        <x:v>303</x:v>
      </x:c>
      <x:c r="W199" s="7" t="s">
        <x:v>1182</x:v>
      </x:c>
    </x:row>
    <x:row r="200">
      <x:c r="A200" s="7" t="s">
        <x:v>1183</x:v>
      </x:c>
      <x:c r="B200" s="7" t="s">
        <x:v>1184</x:v>
      </x:c>
      <x:c r="C200" s="7" t="s">
        <x:v>1185</x:v>
      </x:c>
      <x:c r="D200" s="7" t="s">
        <x:v>738</x:v>
      </x:c>
      <x:c r="E200" s="10"/>
      <x:c r="F200" s="12">
        <x:v>13.85077</x:v>
      </x:c>
      <x:c r="G200" s="12">
        <x:v>100.67829</x:v>
      </x:c>
      <x:c r="H200" s="7" t="s">
        <x:v>309</x:v>
      </x:c>
      <x:c r="I200" s="14">
        <x:v>1.26</x:v>
      </x:c>
      <x:c r="J200" s="14"/>
      <x:c r="K200" s="14"/>
      <x:c r="L200" s="14">
        <x:v>1.05</x:v>
      </x:c>
      <x:c r="M200" s="14">
        <x:v>1.15</x:v>
      </x:c>
      <x:c r="N200" s="7" t="s">
        <x:v>300</x:v>
      </x:c>
      <x:c r="O200" s="7" t="s">
        <x:v>300</x:v>
      </x:c>
      <x:c r="P200" s="10"/>
      <x:c r="Q200" s="10"/>
      <x:c r="R200" s="10">
        <x:v>4477.6</x:v>
      </x:c>
      <x:c r="S200" s="7" t="s">
        <x:v>301</x:v>
      </x:c>
      <x:c r="T200" s="7" t="b">
        <x:v>0</x:v>
      </x:c>
      <x:c r="U200" s="7" t="s">
        <x:v>302</x:v>
      </x:c>
      <x:c r="V200" s="26" t="s">
        <x:v>303</x:v>
      </x:c>
      <x:c r="W200" s="7" t="s">
        <x:v>1186</x:v>
      </x:c>
    </x:row>
    <x:row r="201">
      <x:c r="A201" s="7" t="s">
        <x:v>1187</x:v>
      </x:c>
      <x:c r="B201" s="7" t="s">
        <x:v>1188</x:v>
      </x:c>
      <x:c r="C201" s="7" t="s">
        <x:v>1189</x:v>
      </x:c>
      <x:c r="D201" s="7" t="s">
        <x:v>958</x:v>
      </x:c>
      <x:c r="E201" s="10"/>
      <x:c r="F201" s="12">
        <x:v>13.87621</x:v>
      </x:c>
      <x:c r="G201" s="12">
        <x:v>100.68614</x:v>
      </x:c>
      <x:c r="H201" s="7" t="s">
        <x:v>309</x:v>
      </x:c>
      <x:c r="I201" s="14">
        <x:v>1.62</x:v>
      </x:c>
      <x:c r="J201" s="14"/>
      <x:c r="K201" s="14"/>
      <x:c r="L201" s="14">
        <x:v>1.0</x:v>
      </x:c>
      <x:c r="M201" s="14">
        <x:v>1.2</x:v>
      </x:c>
      <x:c r="N201" s="7" t="s">
        <x:v>300</x:v>
      </x:c>
      <x:c r="O201" s="7" t="s">
        <x:v>300</x:v>
      </x:c>
      <x:c r="P201" s="10"/>
      <x:c r="Q201" s="10"/>
      <x:c r="R201" s="10">
        <x:v>4477.6</x:v>
      </x:c>
      <x:c r="S201" s="7" t="s">
        <x:v>301</x:v>
      </x:c>
      <x:c r="T201" s="7" t="b">
        <x:v>0</x:v>
      </x:c>
      <x:c r="U201" s="7" t="s">
        <x:v>302</x:v>
      </x:c>
      <x:c r="V201" s="26" t="s">
        <x:v>303</x:v>
      </x:c>
      <x:c r="W201" s="7" t="s">
        <x:v>1190</x:v>
      </x:c>
    </x:row>
    <x:row r="202">
      <x:c r="A202" s="7" t="s">
        <x:v>1191</x:v>
      </x:c>
      <x:c r="B202" s="7" t="s">
        <x:v>1192</x:v>
      </x:c>
      <x:c r="C202" s="7" t="s">
        <x:v>1193</x:v>
      </x:c>
      <x:c r="D202" s="7" t="s">
        <x:v>600</x:v>
      </x:c>
      <x:c r="E202" s="10"/>
      <x:c r="F202" s="12">
        <x:v>13.79993</x:v>
      </x:c>
      <x:c r="G202" s="12">
        <x:v>100.41599</x:v>
      </x:c>
      <x:c r="H202" s="7" t="s">
        <x:v>309</x:v>
      </x:c>
      <x:c r="I202" s="14">
        <x:v>0.58</x:v>
      </x:c>
      <x:c r="J202" s="14"/>
      <x:c r="K202" s="14"/>
      <x:c r="L202" s="14">
        <x:v>1.8</x:v>
      </x:c>
      <x:c r="M202" s="14">
        <x:v>2.0</x:v>
      </x:c>
      <x:c r="N202" s="7" t="s">
        <x:v>300</x:v>
      </x:c>
      <x:c r="O202" s="7" t="s">
        <x:v>300</x:v>
      </x:c>
      <x:c r="P202" s="10"/>
      <x:c r="Q202" s="10"/>
      <x:c r="R202" s="10">
        <x:v>4477.6</x:v>
      </x:c>
      <x:c r="S202" s="7" t="s">
        <x:v>301</x:v>
      </x:c>
      <x:c r="T202" s="7" t="b">
        <x:v>0</x:v>
      </x:c>
      <x:c r="U202" s="7" t="s">
        <x:v>302</x:v>
      </x:c>
      <x:c r="V202" s="26" t="s">
        <x:v>303</x:v>
      </x:c>
      <x:c r="W202" s="7" t="s">
        <x:v>1194</x:v>
      </x:c>
    </x:row>
    <x:row r="203">
      <x:c r="A203" s="7" t="s">
        <x:v>1195</x:v>
      </x:c>
      <x:c r="B203" s="7" t="s">
        <x:v>1196</x:v>
      </x:c>
      <x:c r="C203" s="7" t="s">
        <x:v>1197</x:v>
      </x:c>
      <x:c r="D203" s="7" t="s">
        <x:v>658</x:v>
      </x:c>
      <x:c r="E203" s="10"/>
      <x:c r="F203" s="12">
        <x:v>13.7367</x:v>
      </x:c>
      <x:c r="G203" s="12">
        <x:v>100.61167</x:v>
      </x:c>
      <x:c r="H203" s="7" t="s">
        <x:v>309</x:v>
      </x:c>
      <x:c r="I203" s="14">
        <x:v>0.23</x:v>
      </x:c>
      <x:c r="J203" s="14"/>
      <x:c r="K203" s="14"/>
      <x:c r="L203" s="14">
        <x:v>-0.2</x:v>
      </x:c>
      <x:c r="M203" s="14">
        <x:v>0.0</x:v>
      </x:c>
      <x:c r="N203" s="7" t="s">
        <x:v>300</x:v>
      </x:c>
      <x:c r="O203" s="7" t="s">
        <x:v>300</x:v>
      </x:c>
      <x:c r="P203" s="10"/>
      <x:c r="Q203" s="10"/>
      <x:c r="R203" s="10">
        <x:v>4477.6</x:v>
      </x:c>
      <x:c r="S203" s="7" t="s">
        <x:v>301</x:v>
      </x:c>
      <x:c r="T203" s="7" t="b">
        <x:v>0</x:v>
      </x:c>
      <x:c r="U203" s="7" t="s">
        <x:v>302</x:v>
      </x:c>
      <x:c r="V203" s="26" t="s">
        <x:v>303</x:v>
      </x:c>
      <x:c r="W203" s="7" t="s">
        <x:v>1198</x:v>
      </x:c>
    </x:row>
    <x:row r="204">
      <x:c r="A204" s="7" t="s">
        <x:v>1199</x:v>
      </x:c>
      <x:c r="B204" s="7" t="s">
        <x:v>1200</x:v>
      </x:c>
      <x:c r="C204" s="7" t="s">
        <x:v>1201</x:v>
      </x:c>
      <x:c r="D204" s="7" t="s">
        <x:v>584</x:v>
      </x:c>
      <x:c r="E204" s="10"/>
      <x:c r="F204" s="12">
        <x:v>13.67782</x:v>
      </x:c>
      <x:c r="G204" s="12">
        <x:v>100.42555</x:v>
      </x:c>
      <x:c r="H204" s="7" t="s">
        <x:v>1202</x:v>
      </x:c>
      <x:c r="I204" s="14">
        <x:v>-1.27</x:v>
      </x:c>
      <x:c r="J204" s="14"/>
      <x:c r="K204" s="14"/>
      <x:c r="L204" s="14">
        <x:v>0.6</x:v>
      </x:c>
      <x:c r="M204" s="14">
        <x:v>0.7</x:v>
      </x:c>
      <x:c r="N204" s="7" t="s">
        <x:v>300</x:v>
      </x:c>
      <x:c r="O204" s="7" t="s">
        <x:v>300</x:v>
      </x:c>
      <x:c r="P204" s="10"/>
      <x:c r="Q204" s="10"/>
      <x:c r="R204" s="10">
        <x:v>1253007.6</x:v>
      </x:c>
      <x:c r="S204" s="7" t="s">
        <x:v>301</x:v>
      </x:c>
      <x:c r="T204" s="7" t="b">
        <x:v>0</x:v>
      </x:c>
      <x:c r="U204" s="7" t="s">
        <x:v>302</x:v>
      </x:c>
      <x:c r="V204" s="26" t="s">
        <x:v>303</x:v>
      </x:c>
      <x:c r="W204" s="7" t="s">
        <x:v>1203</x:v>
      </x:c>
    </x:row>
    <x:row r="205">
      <x:c r="A205" s="7" t="s">
        <x:v>1204</x:v>
      </x:c>
      <x:c r="B205" s="7" t="s">
        <x:v>1205</x:v>
      </x:c>
      <x:c r="C205" s="7" t="s">
        <x:v>1206</x:v>
      </x:c>
      <x:c r="D205" s="7" t="s">
        <x:v>479</x:v>
      </x:c>
      <x:c r="E205" s="10"/>
      <x:c r="F205" s="12">
        <x:v>13.94336</x:v>
      </x:c>
      <x:c r="G205" s="12">
        <x:v>100.60579</x:v>
      </x:c>
      <x:c r="H205" s="7" t="s">
        <x:v>1207</x:v>
      </x:c>
      <x:c r="I205" s="14">
        <x:v>1.57</x:v>
      </x:c>
      <x:c r="J205" s="14"/>
      <x:c r="K205" s="14"/>
      <x:c r="L205" s="14">
        <x:v>0.8</x:v>
      </x:c>
      <x:c r="M205" s="14">
        <x:v>0.9</x:v>
      </x:c>
      <x:c r="N205" s="7" t="s">
        <x:v>300</x:v>
      </x:c>
      <x:c r="O205" s="7" t="s">
        <x:v>300</x:v>
      </x:c>
      <x:c r="P205" s="10"/>
      <x:c r="Q205" s="10"/>
      <x:c r="R205" s="10">
        <x:v>4502.6</x:v>
      </x:c>
      <x:c r="S205" s="7" t="s">
        <x:v>301</x:v>
      </x:c>
      <x:c r="T205" s="7" t="b">
        <x:v>0</x:v>
      </x:c>
      <x:c r="U205" s="7" t="s">
        <x:v>302</x:v>
      </x:c>
      <x:c r="V205" s="26" t="s">
        <x:v>303</x:v>
      </x:c>
      <x:c r="W205" s="7" t="s">
        <x:v>1208</x:v>
      </x:c>
    </x:row>
    <x:row r="206">
      <x:c r="A206" s="7" t="s">
        <x:v>1209</x:v>
      </x:c>
      <x:c r="B206" s="7" t="s">
        <x:v>1210</x:v>
      </x:c>
      <x:c r="C206" s="7" t="s">
        <x:v>1211</x:v>
      </x:c>
      <x:c r="D206" s="7" t="s">
        <x:v>347</x:v>
      </x:c>
      <x:c r="E206" s="10"/>
      <x:c r="F206" s="12">
        <x:v>13.80251</x:v>
      </x:c>
      <x:c r="G206" s="12">
        <x:v>100.37078</x:v>
      </x:c>
      <x:c r="H206" s="7" t="s">
        <x:v>309</x:v>
      </x:c>
      <x:c r="I206" s="14">
        <x:v>0.88</x:v>
      </x:c>
      <x:c r="J206" s="14"/>
      <x:c r="K206" s="14"/>
      <x:c r="L206" s="14">
        <x:v>1.8</x:v>
      </x:c>
      <x:c r="M206" s="14">
        <x:v>2.0</x:v>
      </x:c>
      <x:c r="N206" s="7" t="s">
        <x:v>300</x:v>
      </x:c>
      <x:c r="O206" s="7" t="s">
        <x:v>300</x:v>
      </x:c>
      <x:c r="P206" s="10"/>
      <x:c r="Q206" s="10"/>
      <x:c r="R206" s="10">
        <x:v>4477.6</x:v>
      </x:c>
      <x:c r="S206" s="7" t="s">
        <x:v>301</x:v>
      </x:c>
      <x:c r="T206" s="7" t="b">
        <x:v>0</x:v>
      </x:c>
      <x:c r="U206" s="7" t="s">
        <x:v>302</x:v>
      </x:c>
      <x:c r="V206" s="26" t="s">
        <x:v>303</x:v>
      </x:c>
      <x:c r="W206" s="7" t="s">
        <x:v>1212</x:v>
      </x:c>
    </x:row>
    <x:row r="207">
      <x:c r="A207" s="7" t="s">
        <x:v>1213</x:v>
      </x:c>
      <x:c r="B207" s="7" t="s">
        <x:v>1214</x:v>
      </x:c>
      <x:c r="C207" s="7" t="s">
        <x:v>1215</x:v>
      </x:c>
      <x:c r="D207" s="7" t="s">
        <x:v>391</x:v>
      </x:c>
      <x:c r="E207" s="10"/>
      <x:c r="F207" s="12">
        <x:v>13.77211</x:v>
      </x:c>
      <x:c r="G207" s="12">
        <x:v>100.58021</x:v>
      </x:c>
      <x:c r="H207" s="7" t="s">
        <x:v>1216</x:v>
      </x:c>
      <x:c r="I207" s="14">
        <x:v>0.84</x:v>
      </x:c>
      <x:c r="J207" s="14"/>
      <x:c r="K207" s="14"/>
      <x:c r="L207" s="14">
        <x:v>0.1</x:v>
      </x:c>
      <x:c r="M207" s="14">
        <x:v>0.2</x:v>
      </x:c>
      <x:c r="N207" s="7" t="s">
        <x:v>300</x:v>
      </x:c>
      <x:c r="O207" s="7" t="s">
        <x:v>300</x:v>
      </x:c>
      <x:c r="P207" s="10"/>
      <x:c r="Q207" s="10"/>
      <x:c r="R207" s="10">
        <x:v>175627.6</x:v>
      </x:c>
      <x:c r="S207" s="7" t="s">
        <x:v>301</x:v>
      </x:c>
      <x:c r="T207" s="7" t="b">
        <x:v>0</x:v>
      </x:c>
      <x:c r="U207" s="7" t="s">
        <x:v>302</x:v>
      </x:c>
      <x:c r="V207" s="26" t="s">
        <x:v>303</x:v>
      </x:c>
      <x:c r="W207" s="7" t="s">
        <x:v>1217</x:v>
      </x:c>
    </x:row>
    <x:row r="208">
      <x:c r="A208" s="7" t="s">
        <x:v>1218</x:v>
      </x:c>
      <x:c r="B208" s="7" t="s">
        <x:v>1219</x:v>
      </x:c>
      <x:c r="C208" s="7" t="s">
        <x:v>1220</x:v>
      </x:c>
      <x:c r="D208" s="7" t="s">
        <x:v>464</x:v>
      </x:c>
      <x:c r="E208" s="10"/>
      <x:c r="F208" s="12">
        <x:v>13.7006</x:v>
      </x:c>
      <x:c r="G208" s="12">
        <x:v>100.60891</x:v>
      </x:c>
      <x:c r="H208" s="7" t="s">
        <x:v>309</x:v>
      </x:c>
      <x:c r="I208" s="14">
        <x:v>-0.1</x:v>
      </x:c>
      <x:c r="J208" s="14"/>
      <x:c r="K208" s="14"/>
      <x:c r="L208" s="14">
        <x:v>-0.1</x:v>
      </x:c>
      <x:c r="M208" s="14">
        <x:v>0.0</x:v>
      </x:c>
      <x:c r="N208" s="7" t="s">
        <x:v>300</x:v>
      </x:c>
      <x:c r="O208" s="7" t="s">
        <x:v>300</x:v>
      </x:c>
      <x:c r="P208" s="10"/>
      <x:c r="Q208" s="10"/>
      <x:c r="R208" s="10">
        <x:v>4477.6</x:v>
      </x:c>
      <x:c r="S208" s="7" t="s">
        <x:v>301</x:v>
      </x:c>
      <x:c r="T208" s="7" t="b">
        <x:v>0</x:v>
      </x:c>
      <x:c r="U208" s="7" t="s">
        <x:v>302</x:v>
      </x:c>
      <x:c r="V208" s="26" t="s">
        <x:v>303</x:v>
      </x:c>
      <x:c r="W208" s="7" t="s">
        <x:v>1221</x:v>
      </x:c>
    </x:row>
    <x:row r="209">
      <x:c r="A209" s="7" t="s">
        <x:v>1222</x:v>
      </x:c>
      <x:c r="B209" s="7" t="s">
        <x:v>1223</x:v>
      </x:c>
      <x:c r="C209" s="7" t="s">
        <x:v>1224</x:v>
      </x:c>
      <x:c r="D209" s="7" t="s">
        <x:v>584</x:v>
      </x:c>
      <x:c r="E209" s="10"/>
      <x:c r="F209" s="12">
        <x:v>13.64249</x:v>
      </x:c>
      <x:c r="G209" s="12">
        <x:v>100.37944</x:v>
      </x:c>
      <x:c r="H209" s="7" t="s">
        <x:v>309</x:v>
      </x:c>
      <x:c r="I209" s="14">
        <x:v>0.68</x:v>
      </x:c>
      <x:c r="J209" s="14"/>
      <x:c r="K209" s="14"/>
      <x:c r="L209" s="14">
        <x:v>0.4</x:v>
      </x:c>
      <x:c r="M209" s="14">
        <x:v>0.5</x:v>
      </x:c>
      <x:c r="N209" s="7" t="s">
        <x:v>300</x:v>
      </x:c>
      <x:c r="O209" s="7" t="s">
        <x:v>300</x:v>
      </x:c>
      <x:c r="P209" s="10"/>
      <x:c r="Q209" s="10"/>
      <x:c r="R209" s="10">
        <x:v>4477.6</x:v>
      </x:c>
      <x:c r="S209" s="7" t="s">
        <x:v>301</x:v>
      </x:c>
      <x:c r="T209" s="7" t="b">
        <x:v>0</x:v>
      </x:c>
      <x:c r="U209" s="7" t="s">
        <x:v>302</x:v>
      </x:c>
      <x:c r="V209" s="26" t="s">
        <x:v>303</x:v>
      </x:c>
      <x:c r="W209" s="7" t="s">
        <x:v>1225</x:v>
      </x:c>
    </x:row>
    <x:row r="210">
      <x:c r="A210" s="7" t="s">
        <x:v>1226</x:v>
      </x:c>
      <x:c r="B210" s="7" t="s">
        <x:v>1227</x:v>
      </x:c>
      <x:c r="C210" s="7" t="s">
        <x:v>1228</x:v>
      </x:c>
      <x:c r="D210" s="7" t="s">
        <x:v>600</x:v>
      </x:c>
      <x:c r="E210" s="10"/>
      <x:c r="F210" s="12">
        <x:v>13.7789</x:v>
      </x:c>
      <x:c r="G210" s="12">
        <x:v>100.46431</x:v>
      </x:c>
      <x:c r="H210" s="7" t="s">
        <x:v>309</x:v>
      </x:c>
      <x:c r="I210" s="14">
        <x:v>0.29</x:v>
      </x:c>
      <x:c r="J210" s="14"/>
      <x:c r="K210" s="14"/>
      <x:c r="L210" s="14">
        <x:v>1.8</x:v>
      </x:c>
      <x:c r="M210" s="14">
        <x:v>1.9</x:v>
      </x:c>
      <x:c r="N210" s="7" t="s">
        <x:v>300</x:v>
      </x:c>
      <x:c r="O210" s="7" t="s">
        <x:v>300</x:v>
      </x:c>
      <x:c r="P210" s="10"/>
      <x:c r="Q210" s="10"/>
      <x:c r="R210" s="10">
        <x:v>4477.6</x:v>
      </x:c>
      <x:c r="S210" s="7" t="s">
        <x:v>301</x:v>
      </x:c>
      <x:c r="T210" s="7" t="b">
        <x:v>0</x:v>
      </x:c>
      <x:c r="U210" s="7" t="s">
        <x:v>302</x:v>
      </x:c>
      <x:c r="V210" s="26" t="s">
        <x:v>303</x:v>
      </x:c>
      <x:c r="W210" s="7" t="s">
        <x:v>1229</x:v>
      </x:c>
    </x:row>
    <x:row r="211">
      <x:c r="A211" s="7" t="s">
        <x:v>1230</x:v>
      </x:c>
      <x:c r="B211" s="7" t="s">
        <x:v>1231</x:v>
      </x:c>
      <x:c r="C211" s="7" t="s">
        <x:v>1232</x:v>
      </x:c>
      <x:c r="D211" s="7" t="s">
        <x:v>1233</x:v>
      </x:c>
      <x:c r="E211" s="10"/>
      <x:c r="F211" s="12">
        <x:v>13.88471</x:v>
      </x:c>
      <x:c r="G211" s="12">
        <x:v>100.60201</x:v>
      </x:c>
      <x:c r="H211" s="7" t="s">
        <x:v>309</x:v>
      </x:c>
      <x:c r="I211" s="14">
        <x:v>1.38</x:v>
      </x:c>
      <x:c r="J211" s="14"/>
      <x:c r="K211" s="14"/>
      <x:c r="L211" s="14">
        <x:v>0.8</x:v>
      </x:c>
      <x:c r="M211" s="14">
        <x:v>0.9</x:v>
      </x:c>
      <x:c r="N211" s="7" t="s">
        <x:v>300</x:v>
      </x:c>
      <x:c r="O211" s="7" t="s">
        <x:v>300</x:v>
      </x:c>
      <x:c r="P211" s="10"/>
      <x:c r="Q211" s="10"/>
      <x:c r="R211" s="10">
        <x:v>4477.6</x:v>
      </x:c>
      <x:c r="S211" s="7" t="s">
        <x:v>301</x:v>
      </x:c>
      <x:c r="T211" s="7" t="b">
        <x:v>0</x:v>
      </x:c>
      <x:c r="U211" s="7" t="s">
        <x:v>302</x:v>
      </x:c>
      <x:c r="V211" s="26" t="s">
        <x:v>303</x:v>
      </x:c>
      <x:c r="W211" s="7" t="s">
        <x:v>1234</x:v>
      </x:c>
    </x:row>
    <x:row r="212">
      <x:c r="A212" s="7" t="s">
        <x:v>1235</x:v>
      </x:c>
      <x:c r="B212" s="7" t="s">
        <x:v>1236</x:v>
      </x:c>
      <x:c r="C212" s="7" t="s">
        <x:v>1237</x:v>
      </x:c>
      <x:c r="D212" s="7" t="s">
        <x:v>347</x:v>
      </x:c>
      <x:c r="E212" s="10"/>
      <x:c r="F212" s="12">
        <x:v>13.78593</x:v>
      </x:c>
      <x:c r="G212" s="12">
        <x:v>100.38354</x:v>
      </x:c>
      <x:c r="H212" s="7" t="s">
        <x:v>309</x:v>
      </x:c>
      <x:c r="I212" s="14">
        <x:v>0.82</x:v>
      </x:c>
      <x:c r="J212" s="14"/>
      <x:c r="K212" s="14"/>
      <x:c r="L212" s="14">
        <x:v>0.9</x:v>
      </x:c>
      <x:c r="M212" s="14">
        <x:v>1.0</x:v>
      </x:c>
      <x:c r="N212" s="7" t="s">
        <x:v>300</x:v>
      </x:c>
      <x:c r="O212" s="7" t="s">
        <x:v>300</x:v>
      </x:c>
      <x:c r="P212" s="10"/>
      <x:c r="Q212" s="10"/>
      <x:c r="R212" s="10">
        <x:v>4477.6</x:v>
      </x:c>
      <x:c r="S212" s="7" t="s">
        <x:v>301</x:v>
      </x:c>
      <x:c r="T212" s="7" t="b">
        <x:v>0</x:v>
      </x:c>
      <x:c r="U212" s="7" t="s">
        <x:v>302</x:v>
      </x:c>
      <x:c r="V212" s="26" t="s">
        <x:v>303</x:v>
      </x:c>
      <x:c r="W212" s="7" t="s">
        <x:v>1238</x:v>
      </x:c>
    </x:row>
    <x:row r="213">
      <x:c r="A213" s="7" t="s">
        <x:v>1239</x:v>
      </x:c>
      <x:c r="B213" s="7" t="s">
        <x:v>1240</x:v>
      </x:c>
      <x:c r="C213" s="7" t="s">
        <x:v>1241</x:v>
      </x:c>
      <x:c r="D213" s="7" t="s">
        <x:v>357</x:v>
      </x:c>
      <x:c r="E213" s="10"/>
      <x:c r="F213" s="12">
        <x:v>13.62715</x:v>
      </x:c>
      <x:c r="G213" s="12">
        <x:v>100.43402</x:v>
      </x:c>
      <x:c r="H213" s="7" t="s">
        <x:v>309</x:v>
      </x:c>
      <x:c r="I213" s="14">
        <x:v>-0.55</x:v>
      </x:c>
      <x:c r="J213" s="14"/>
      <x:c r="K213" s="14"/>
      <x:c r="L213" s="14">
        <x:v>0.4</x:v>
      </x:c>
      <x:c r="M213" s="14">
        <x:v>0.5</x:v>
      </x:c>
      <x:c r="N213" s="7" t="s">
        <x:v>300</x:v>
      </x:c>
      <x:c r="O213" s="7" t="s">
        <x:v>300</x:v>
      </x:c>
      <x:c r="P213" s="10"/>
      <x:c r="Q213" s="10"/>
      <x:c r="R213" s="10">
        <x:v>4477.6</x:v>
      </x:c>
      <x:c r="S213" s="7" t="s">
        <x:v>301</x:v>
      </x:c>
      <x:c r="T213" s="7" t="b">
        <x:v>0</x:v>
      </x:c>
      <x:c r="U213" s="7" t="s">
        <x:v>302</x:v>
      </x:c>
      <x:c r="V213" s="26" t="s">
        <x:v>303</x:v>
      </x:c>
      <x:c r="W213" s="7" t="s">
        <x:v>1242</x:v>
      </x:c>
    </x:row>
    <x:row r="214">
      <x:c r="A214" s="7" t="s">
        <x:v>1243</x:v>
      </x:c>
      <x:c r="B214" s="7" t="s">
        <x:v>1244</x:v>
      </x:c>
      <x:c r="C214" s="7" t="s">
        <x:v>1245</x:v>
      </x:c>
      <x:c r="D214" s="7" t="s">
        <x:v>326</x:v>
      </x:c>
      <x:c r="E214" s="10"/>
      <x:c r="F214" s="12">
        <x:v>13.90121</x:v>
      </x:c>
      <x:c r="G214" s="12">
        <x:v>100.69049</x:v>
      </x:c>
      <x:c r="H214" s="7" t="s">
        <x:v>309</x:v>
      </x:c>
      <x:c r="I214" s="14">
        <x:v>1.63</x:v>
      </x:c>
      <x:c r="J214" s="14"/>
      <x:c r="K214" s="14"/>
      <x:c r="L214" s="14">
        <x:v>1.0</x:v>
      </x:c>
      <x:c r="M214" s="14">
        <x:v>1.2</x:v>
      </x:c>
      <x:c r="N214" s="7" t="s">
        <x:v>300</x:v>
      </x:c>
      <x:c r="O214" s="7" t="s">
        <x:v>300</x:v>
      </x:c>
      <x:c r="P214" s="10"/>
      <x:c r="Q214" s="10"/>
      <x:c r="R214" s="10">
        <x:v>4477.6</x:v>
      </x:c>
      <x:c r="S214" s="7" t="s">
        <x:v>301</x:v>
      </x:c>
      <x:c r="T214" s="7" t="b">
        <x:v>0</x:v>
      </x:c>
      <x:c r="U214" s="7" t="s">
        <x:v>302</x:v>
      </x:c>
      <x:c r="V214" s="26" t="s">
        <x:v>303</x:v>
      </x:c>
      <x:c r="W214" s="7" t="s">
        <x:v>1246</x:v>
      </x:c>
    </x:row>
    <x:row r="215">
      <x:c r="A215" s="7" t="s">
        <x:v>1247</x:v>
      </x:c>
      <x:c r="B215" s="7" t="s">
        <x:v>1248</x:v>
      </x:c>
      <x:c r="C215" s="7" t="s">
        <x:v>1249</x:v>
      </x:c>
      <x:c r="D215" s="7" t="s">
        <x:v>426</x:v>
      </x:c>
      <x:c r="E215" s="10"/>
      <x:c r="F215" s="12">
        <x:v>13.81722</x:v>
      </x:c>
      <x:c r="G215" s="12">
        <x:v>100.51066</x:v>
      </x:c>
      <x:c r="H215" s="7" t="s">
        <x:v>309</x:v>
      </x:c>
      <x:c r="I215" s="14">
        <x:v>-0.83</x:v>
      </x:c>
      <x:c r="J215" s="14"/>
      <x:c r="K215" s="14"/>
      <x:c r="L215" s="14">
        <x:v>3.3</x:v>
      </x:c>
      <x:c r="M215" s="14">
        <x:v>3.5</x:v>
      </x:c>
      <x:c r="N215" s="7" t="s">
        <x:v>300</x:v>
      </x:c>
      <x:c r="O215" s="7" t="s">
        <x:v>300</x:v>
      </x:c>
      <x:c r="P215" s="10"/>
      <x:c r="Q215" s="10"/>
      <x:c r="R215" s="10">
        <x:v>4477.6</x:v>
      </x:c>
      <x:c r="S215" s="7" t="s">
        <x:v>301</x:v>
      </x:c>
      <x:c r="T215" s="7" t="b">
        <x:v>0</x:v>
      </x:c>
      <x:c r="U215" s="7" t="s">
        <x:v>302</x:v>
      </x:c>
      <x:c r="V215" s="26" t="s">
        <x:v>303</x:v>
      </x:c>
      <x:c r="W215" s="7" t="s">
        <x:v>1250</x:v>
      </x:c>
    </x:row>
    <x:row r="216">
      <x:c r="A216" s="7" t="s">
        <x:v>1251</x:v>
      </x:c>
      <x:c r="B216" s="7" t="s">
        <x:v>1252</x:v>
      </x:c>
      <x:c r="C216" s="7" t="s">
        <x:v>1253</x:v>
      </x:c>
      <x:c r="D216" s="7" t="s">
        <x:v>600</x:v>
      </x:c>
      <x:c r="E216" s="10"/>
      <x:c r="F216" s="12">
        <x:v>13.79841</x:v>
      </x:c>
      <x:c r="G216" s="12">
        <x:v>100.45451</x:v>
      </x:c>
      <x:c r="H216" s="7" t="s">
        <x:v>309</x:v>
      </x:c>
      <x:c r="I216" s="14">
        <x:v>1.38</x:v>
      </x:c>
      <x:c r="J216" s="14"/>
      <x:c r="K216" s="14"/>
      <x:c r="L216" s="14">
        <x:v>1.8</x:v>
      </x:c>
      <x:c r="M216" s="14">
        <x:v>2.0</x:v>
      </x:c>
      <x:c r="N216" s="7" t="s">
        <x:v>300</x:v>
      </x:c>
      <x:c r="O216" s="7" t="s">
        <x:v>300</x:v>
      </x:c>
      <x:c r="P216" s="10"/>
      <x:c r="Q216" s="10"/>
      <x:c r="R216" s="10">
        <x:v>4477.6</x:v>
      </x:c>
      <x:c r="S216" s="7" t="s">
        <x:v>301</x:v>
      </x:c>
      <x:c r="T216" s="7" t="b">
        <x:v>0</x:v>
      </x:c>
      <x:c r="U216" s="7" t="s">
        <x:v>302</x:v>
      </x:c>
      <x:c r="V216" s="26" t="s">
        <x:v>303</x:v>
      </x:c>
      <x:c r="W216" s="7" t="s">
        <x:v>1254</x:v>
      </x:c>
    </x:row>
    <x:row r="217">
      <x:c r="A217" s="7" t="s">
        <x:v>1255</x:v>
      </x:c>
      <x:c r="B217" s="7" t="s">
        <x:v>1256</x:v>
      </x:c>
      <x:c r="C217" s="7" t="s">
        <x:v>1257</x:v>
      </x:c>
      <x:c r="D217" s="7" t="s">
        <x:v>658</x:v>
      </x:c>
      <x:c r="E217" s="10"/>
      <x:c r="F217" s="12">
        <x:v>13.73309</x:v>
      </x:c>
      <x:c r="G217" s="12">
        <x:v>100.64107</x:v>
      </x:c>
      <x:c r="H217" s="7" t="s">
        <x:v>309</x:v>
      </x:c>
      <x:c r="I217" s="14">
        <x:v>0.57</x:v>
      </x:c>
      <x:c r="J217" s="14"/>
      <x:c r="K217" s="14"/>
      <x:c r="L217" s="14">
        <x:v>-0.2</x:v>
      </x:c>
      <x:c r="M217" s="14">
        <x:v>0.0</x:v>
      </x:c>
      <x:c r="N217" s="7" t="s">
        <x:v>300</x:v>
      </x:c>
      <x:c r="O217" s="7" t="s">
        <x:v>300</x:v>
      </x:c>
      <x:c r="P217" s="10"/>
      <x:c r="Q217" s="10"/>
      <x:c r="R217" s="10">
        <x:v>4477.6</x:v>
      </x:c>
      <x:c r="S217" s="7" t="s">
        <x:v>301</x:v>
      </x:c>
      <x:c r="T217" s="7" t="b">
        <x:v>0</x:v>
      </x:c>
      <x:c r="U217" s="7" t="s">
        <x:v>302</x:v>
      </x:c>
      <x:c r="V217" s="26" t="s">
        <x:v>303</x:v>
      </x:c>
      <x:c r="W217" s="7" t="s">
        <x:v>1258</x:v>
      </x:c>
    </x:row>
    <x:row r="218">
      <x:c r="A218" s="7" t="s">
        <x:v>1259</x:v>
      </x:c>
      <x:c r="B218" s="7" t="s">
        <x:v>1260</x:v>
      </x:c>
      <x:c r="C218" s="7" t="s">
        <x:v>1261</x:v>
      </x:c>
      <x:c r="D218" s="7" t="s">
        <x:v>320</x:v>
      </x:c>
      <x:c r="E218" s="10"/>
      <x:c r="F218" s="12">
        <x:v>13.76832</x:v>
      </x:c>
      <x:c r="G218" s="12">
        <x:v>100.63938</x:v>
      </x:c>
      <x:c r="H218" s="7" t="s">
        <x:v>309</x:v>
      </x:c>
      <x:c r="I218" s="14">
        <x:v>0.54</x:v>
      </x:c>
      <x:c r="J218" s="14"/>
      <x:c r="K218" s="14"/>
      <x:c r="L218" s="14">
        <x:v>-0.2</x:v>
      </x:c>
      <x:c r="M218" s="14">
        <x:v>0.0</x:v>
      </x:c>
      <x:c r="N218" s="7" t="s">
        <x:v>300</x:v>
      </x:c>
      <x:c r="O218" s="7" t="s">
        <x:v>300</x:v>
      </x:c>
      <x:c r="P218" s="10"/>
      <x:c r="Q218" s="10"/>
      <x:c r="R218" s="10">
        <x:v>4477.6</x:v>
      </x:c>
      <x:c r="S218" s="7" t="s">
        <x:v>301</x:v>
      </x:c>
      <x:c r="T218" s="7" t="b">
        <x:v>0</x:v>
      </x:c>
      <x:c r="U218" s="7" t="s">
        <x:v>302</x:v>
      </x:c>
      <x:c r="V218" s="26" t="s">
        <x:v>303</x:v>
      </x:c>
      <x:c r="W218" s="7" t="s">
        <x:v>1262</x:v>
      </x:c>
    </x:row>
    <x:row r="219">
      <x:c r="A219" s="7" t="s">
        <x:v>1263</x:v>
      </x:c>
      <x:c r="B219" s="7" t="s">
        <x:v>1264</x:v>
      </x:c>
      <x:c r="C219" s="7" t="s">
        <x:v>1265</x:v>
      </x:c>
      <x:c r="D219" s="7" t="s">
        <x:v>584</x:v>
      </x:c>
      <x:c r="E219" s="10"/>
      <x:c r="F219" s="12">
        <x:v>13.66885</x:v>
      </x:c>
      <x:c r="G219" s="12">
        <x:v>100.4299</x:v>
      </x:c>
      <x:c r="H219" s="7" t="s">
        <x:v>309</x:v>
      </x:c>
      <x:c r="I219" s="14">
        <x:v>0.06</x:v>
      </x:c>
      <x:c r="J219" s="14"/>
      <x:c r="K219" s="14"/>
      <x:c r="L219" s="14">
        <x:v>0.6</x:v>
      </x:c>
      <x:c r="M219" s="14">
        <x:v>0.7</x:v>
      </x:c>
      <x:c r="N219" s="7" t="s">
        <x:v>300</x:v>
      </x:c>
      <x:c r="O219" s="7" t="s">
        <x:v>300</x:v>
      </x:c>
      <x:c r="P219" s="10"/>
      <x:c r="Q219" s="10"/>
      <x:c r="R219" s="10">
        <x:v>4477.6</x:v>
      </x:c>
      <x:c r="S219" s="7" t="s">
        <x:v>301</x:v>
      </x:c>
      <x:c r="T219" s="7" t="b">
        <x:v>0</x:v>
      </x:c>
      <x:c r="U219" s="7" t="s">
        <x:v>302</x:v>
      </x:c>
      <x:c r="V219" s="26" t="s">
        <x:v>303</x:v>
      </x:c>
      <x:c r="W219" s="7" t="s">
        <x:v>1266</x:v>
      </x:c>
    </x:row>
    <x:row r="220">
      <x:c r="A220" s="7" t="s">
        <x:v>1267</x:v>
      </x:c>
      <x:c r="B220" s="7" t="s">
        <x:v>1268</x:v>
      </x:c>
      <x:c r="C220" s="7" t="s">
        <x:v>1269</x:v>
      </x:c>
      <x:c r="D220" s="7" t="s">
        <x:v>341</x:v>
      </x:c>
      <x:c r="E220" s="10"/>
      <x:c r="F220" s="12">
        <x:v>13.75173</x:v>
      </x:c>
      <x:c r="G220" s="12">
        <x:v>100.39162</x:v>
      </x:c>
      <x:c r="H220" s="7" t="s">
        <x:v>309</x:v>
      </x:c>
      <x:c r="I220" s="14">
        <x:v>0.75</x:v>
      </x:c>
      <x:c r="J220" s="14"/>
      <x:c r="K220" s="14"/>
      <x:c r="L220" s="14">
        <x:v>0.7</x:v>
      </x:c>
      <x:c r="M220" s="14">
        <x:v>1.0</x:v>
      </x:c>
      <x:c r="N220" s="7" t="s">
        <x:v>300</x:v>
      </x:c>
      <x:c r="O220" s="7" t="s">
        <x:v>300</x:v>
      </x:c>
      <x:c r="P220" s="10"/>
      <x:c r="Q220" s="10"/>
      <x:c r="R220" s="10">
        <x:v>4477.6</x:v>
      </x:c>
      <x:c r="S220" s="7" t="s">
        <x:v>301</x:v>
      </x:c>
      <x:c r="T220" s="7" t="b">
        <x:v>0</x:v>
      </x:c>
      <x:c r="U220" s="7" t="s">
        <x:v>302</x:v>
      </x:c>
      <x:c r="V220" s="26" t="s">
        <x:v>303</x:v>
      </x:c>
      <x:c r="W220" s="7" t="s">
        <x:v>1270</x:v>
      </x:c>
    </x:row>
    <x:row r="221">
      <x:c r="A221" s="7" t="s">
        <x:v>1271</x:v>
      </x:c>
      <x:c r="B221" s="7" t="s">
        <x:v>1272</x:v>
      </x:c>
      <x:c r="C221" s="7" t="s">
        <x:v>1273</x:v>
      </x:c>
      <x:c r="D221" s="7" t="s">
        <x:v>554</x:v>
      </x:c>
      <x:c r="E221" s="10"/>
      <x:c r="F221" s="12">
        <x:v>13.91359</x:v>
      </x:c>
      <x:c r="G221" s="12">
        <x:v>100.86248</x:v>
      </x:c>
      <x:c r="H221" s="7" t="s">
        <x:v>309</x:v>
      </x:c>
      <x:c r="I221" s="14">
        <x:v>1.63</x:v>
      </x:c>
      <x:c r="J221" s="14"/>
      <x:c r="K221" s="14"/>
      <x:c r="L221" s="14">
        <x:v>1.2</x:v>
      </x:c>
      <x:c r="M221" s="14">
        <x:v>1.7</x:v>
      </x:c>
      <x:c r="N221" s="7" t="s">
        <x:v>300</x:v>
      </x:c>
      <x:c r="O221" s="7" t="s">
        <x:v>300</x:v>
      </x:c>
      <x:c r="P221" s="10"/>
      <x:c r="Q221" s="10"/>
      <x:c r="R221" s="10">
        <x:v>4477.6</x:v>
      </x:c>
      <x:c r="S221" s="7" t="s">
        <x:v>301</x:v>
      </x:c>
      <x:c r="T221" s="7" t="b">
        <x:v>0</x:v>
      </x:c>
      <x:c r="U221" s="7" t="s">
        <x:v>302</x:v>
      </x:c>
      <x:c r="V221" s="26" t="s">
        <x:v>303</x:v>
      </x:c>
      <x:c r="W221" s="7" t="s">
        <x:v>1274</x:v>
      </x:c>
    </x:row>
    <x:row r="222">
      <x:c r="A222" s="7" t="s">
        <x:v>1275</x:v>
      </x:c>
      <x:c r="B222" s="7" t="s">
        <x:v>1276</x:v>
      </x:c>
      <x:c r="C222" s="7" t="s">
        <x:v>1277</x:v>
      </x:c>
      <x:c r="D222" s="7" t="s">
        <x:v>1278</x:v>
      </x:c>
      <x:c r="E222" s="10"/>
      <x:c r="F222" s="12">
        <x:v>13.70901</x:v>
      </x:c>
      <x:c r="G222" s="12">
        <x:v>100.59503</x:v>
      </x:c>
      <x:c r="H222" s="7" t="s">
        <x:v>309</x:v>
      </x:c>
      <x:c r="I222" s="14">
        <x:v>-0.6</x:v>
      </x:c>
      <x:c r="J222" s="14"/>
      <x:c r="K222" s="14"/>
      <x:c r="L222" s="14">
        <x:v>2.6</x:v>
      </x:c>
      <x:c r="M222" s="14">
        <x:v>2.8</x:v>
      </x:c>
      <x:c r="N222" s="7" t="s">
        <x:v>300</x:v>
      </x:c>
      <x:c r="O222" s="7" t="s">
        <x:v>300</x:v>
      </x:c>
      <x:c r="P222" s="10"/>
      <x:c r="Q222" s="10"/>
      <x:c r="R222" s="10">
        <x:v>4477.6</x:v>
      </x:c>
      <x:c r="S222" s="7" t="s">
        <x:v>301</x:v>
      </x:c>
      <x:c r="T222" s="7" t="b">
        <x:v>0</x:v>
      </x:c>
      <x:c r="U222" s="7" t="s">
        <x:v>302</x:v>
      </x:c>
      <x:c r="V222" s="26" t="s">
        <x:v>303</x:v>
      </x:c>
      <x:c r="W222" s="7" t="s">
        <x:v>1279</x:v>
      </x:c>
    </x:row>
    <x:row r="223">
      <x:c r="A223" s="7" t="s">
        <x:v>1280</x:v>
      </x:c>
      <x:c r="B223" s="7" t="s">
        <x:v>1281</x:v>
      </x:c>
      <x:c r="C223" s="7" t="s">
        <x:v>1282</x:v>
      </x:c>
      <x:c r="D223" s="7" t="s">
        <x:v>391</x:v>
      </x:c>
      <x:c r="E223" s="10"/>
      <x:c r="F223" s="12">
        <x:v>13.75954</x:v>
      </x:c>
      <x:c r="G223" s="12">
        <x:v>100.59646</x:v>
      </x:c>
      <x:c r="H223" s="7" t="s">
        <x:v>309</x:v>
      </x:c>
      <x:c r="I223" s="14">
        <x:v>0.3</x:v>
      </x:c>
      <x:c r="J223" s="14"/>
      <x:c r="K223" s="14"/>
      <x:c r="L223" s="14">
        <x:v>-0.1</x:v>
      </x:c>
      <x:c r="M223" s="14">
        <x:v>0.1</x:v>
      </x:c>
      <x:c r="N223" s="7" t="s">
        <x:v>300</x:v>
      </x:c>
      <x:c r="O223" s="7" t="s">
        <x:v>300</x:v>
      </x:c>
      <x:c r="P223" s="10"/>
      <x:c r="Q223" s="10"/>
      <x:c r="R223" s="10">
        <x:v>4477.6</x:v>
      </x:c>
      <x:c r="S223" s="7" t="s">
        <x:v>301</x:v>
      </x:c>
      <x:c r="T223" s="7" t="b">
        <x:v>0</x:v>
      </x:c>
      <x:c r="U223" s="7" t="s">
        <x:v>302</x:v>
      </x:c>
      <x:c r="V223" s="26" t="s">
        <x:v>303</x:v>
      </x:c>
      <x:c r="W223" s="7" t="s">
        <x:v>1283</x:v>
      </x:c>
    </x:row>
    <x:row r="224">
      <x:c r="A224" s="7" t="s">
        <x:v>1284</x:v>
      </x:c>
      <x:c r="B224" s="7" t="s">
        <x:v>1285</x:v>
      </x:c>
      <x:c r="C224" s="7" t="s">
        <x:v>1286</x:v>
      </x:c>
      <x:c r="D224" s="7" t="s">
        <x:v>375</x:v>
      </x:c>
      <x:c r="E224" s="10"/>
      <x:c r="F224" s="12">
        <x:v>13.79446</x:v>
      </x:c>
      <x:c r="G224" s="12">
        <x:v>100.58957</x:v>
      </x:c>
      <x:c r="H224" s="7" t="s">
        <x:v>309</x:v>
      </x:c>
      <x:c r="I224" s="14">
        <x:v>0.46</x:v>
      </x:c>
      <x:c r="J224" s="14"/>
      <x:c r="K224" s="14"/>
      <x:c r="L224" s="14">
        <x:v>0.2</x:v>
      </x:c>
      <x:c r="M224" s="14">
        <x:v>0.4</x:v>
      </x:c>
      <x:c r="N224" s="7" t="s">
        <x:v>300</x:v>
      </x:c>
      <x:c r="O224" s="7" t="s">
        <x:v>300</x:v>
      </x:c>
      <x:c r="P224" s="10"/>
      <x:c r="Q224" s="10"/>
      <x:c r="R224" s="10">
        <x:v>4477.6</x:v>
      </x:c>
      <x:c r="S224" s="7" t="s">
        <x:v>301</x:v>
      </x:c>
      <x:c r="T224" s="7" t="b">
        <x:v>0</x:v>
      </x:c>
      <x:c r="U224" s="7" t="s">
        <x:v>302</x:v>
      </x:c>
      <x:c r="V224" s="26" t="s">
        <x:v>303</x:v>
      </x:c>
      <x:c r="W224" s="7" t="s">
        <x:v>1287</x:v>
      </x:c>
    </x:row>
    <x:row r="225">
      <x:c r="A225" s="7" t="s">
        <x:v>1288</x:v>
      </x:c>
      <x:c r="B225" s="7" t="s">
        <x:v>1289</x:v>
      </x:c>
      <x:c r="C225" s="7" t="s">
        <x:v>1290</x:v>
      </x:c>
      <x:c r="D225" s="7" t="s">
        <x:v>1038</x:v>
      </x:c>
      <x:c r="E225" s="10"/>
      <x:c r="F225" s="12">
        <x:v>13.76741</x:v>
      </x:c>
      <x:c r="G225" s="12">
        <x:v>100.49361</x:v>
      </x:c>
      <x:c r="H225" s="7" t="s">
        <x:v>309</x:v>
      </x:c>
      <x:c r="I225" s="14">
        <x:v>-0.31</x:v>
      </x:c>
      <x:c r="J225" s="14"/>
      <x:c r="K225" s="14"/>
      <x:c r="L225" s="14">
        <x:v>0.6</x:v>
      </x:c>
      <x:c r="M225" s="14">
        <x:v>0.7</x:v>
      </x:c>
      <x:c r="N225" s="7" t="s">
        <x:v>300</x:v>
      </x:c>
      <x:c r="O225" s="7" t="s">
        <x:v>300</x:v>
      </x:c>
      <x:c r="P225" s="10"/>
      <x:c r="Q225" s="10"/>
      <x:c r="R225" s="10">
        <x:v>4477.6</x:v>
      </x:c>
      <x:c r="S225" s="7" t="s">
        <x:v>301</x:v>
      </x:c>
      <x:c r="T225" s="7" t="b">
        <x:v>0</x:v>
      </x:c>
      <x:c r="U225" s="7" t="s">
        <x:v>302</x:v>
      </x:c>
      <x:c r="V225" s="26" t="s">
        <x:v>303</x:v>
      </x:c>
      <x:c r="W225" s="7" t="s">
        <x:v>1291</x:v>
      </x:c>
    </x:row>
    <x:row r="226">
      <x:c r="A226" s="7" t="s">
        <x:v>1292</x:v>
      </x:c>
      <x:c r="B226" s="7" t="s">
        <x:v>1293</x:v>
      </x:c>
      <x:c r="C226" s="7" t="s">
        <x:v>1294</x:v>
      </x:c>
      <x:c r="D226" s="7" t="s">
        <x:v>1051</x:v>
      </x:c>
      <x:c r="E226" s="10"/>
      <x:c r="F226" s="12">
        <x:v>13.7402</x:v>
      </x:c>
      <x:c r="G226" s="12">
        <x:v>100.48992</x:v>
      </x:c>
      <x:c r="H226" s="7" t="s">
        <x:v>309</x:v>
      </x:c>
      <x:c r="I226" s="14">
        <x:v>0.13</x:v>
      </x:c>
      <x:c r="J226" s="14"/>
      <x:c r="K226" s="14"/>
      <x:c r="L226" s="14">
        <x:v>2.8</x:v>
      </x:c>
      <x:c r="M226" s="14">
        <x:v>3.0</x:v>
      </x:c>
      <x:c r="N226" s="7" t="s">
        <x:v>300</x:v>
      </x:c>
      <x:c r="O226" s="7" t="s">
        <x:v>300</x:v>
      </x:c>
      <x:c r="P226" s="10"/>
      <x:c r="Q226" s="10"/>
      <x:c r="R226" s="10">
        <x:v>4477.6</x:v>
      </x:c>
      <x:c r="S226" s="7" t="s">
        <x:v>301</x:v>
      </x:c>
      <x:c r="T226" s="7" t="b">
        <x:v>0</x:v>
      </x:c>
      <x:c r="U226" s="7" t="s">
        <x:v>302</x:v>
      </x:c>
      <x:c r="V226" s="26" t="s">
        <x:v>303</x:v>
      </x:c>
      <x:c r="W226" s="7" t="s">
        <x:v>1295</x:v>
      </x:c>
    </x:row>
    <x:row r="227">
      <x:c r="A227" s="7" t="s">
        <x:v>1296</x:v>
      </x:c>
      <x:c r="B227" s="7" t="s">
        <x:v>1297</x:v>
      </x:c>
      <x:c r="C227" s="7" t="s">
        <x:v>1298</x:v>
      </x:c>
      <x:c r="D227" s="7" t="s">
        <x:v>1278</x:v>
      </x:c>
      <x:c r="E227" s="10"/>
      <x:c r="F227" s="12">
        <x:v>13.70635</x:v>
      </x:c>
      <x:c r="G227" s="12">
        <x:v>100.58779</x:v>
      </x:c>
      <x:c r="H227" s="7" t="s">
        <x:v>309</x:v>
      </x:c>
      <x:c r="I227" s="14">
        <x:v>-2.09</x:v>
      </x:c>
      <x:c r="J227" s="14"/>
      <x:c r="K227" s="14"/>
      <x:c r="L227" s="14"/>
      <x:c r="M227" s="14"/>
      <x:c r="N227" s="7" t="s">
        <x:v>300</x:v>
      </x:c>
      <x:c r="O227" s="7" t="s">
        <x:v>300</x:v>
      </x:c>
      <x:c r="P227" s="10"/>
      <x:c r="Q227" s="10"/>
      <x:c r="R227" s="10">
        <x:v>4477.6</x:v>
      </x:c>
      <x:c r="S227" s="7" t="s">
        <x:v>301</x:v>
      </x:c>
      <x:c r="T227" s="7" t="b">
        <x:v>0</x:v>
      </x:c>
      <x:c r="U227" s="7" t="s">
        <x:v>302</x:v>
      </x:c>
      <x:c r="V227" s="26" t="s">
        <x:v>303</x:v>
      </x:c>
      <x:c r="W227" s="7" t="s">
        <x:v>1299</x:v>
      </x:c>
    </x:row>
    <x:row r="228">
      <x:c r="A228" s="7" t="s">
        <x:v>1300</x:v>
      </x:c>
      <x:c r="B228" s="7" t="s">
        <x:v>1301</x:v>
      </x:c>
      <x:c r="C228" s="7" t="s">
        <x:v>1302</x:v>
      </x:c>
      <x:c r="D228" s="7" t="s">
        <x:v>446</x:v>
      </x:c>
      <x:c r="E228" s="10"/>
      <x:c r="F228" s="12">
        <x:v>13.67099</x:v>
      </x:c>
      <x:c r="G228" s="12">
        <x:v>100.62222</x:v>
      </x:c>
      <x:c r="H228" s="7" t="s">
        <x:v>309</x:v>
      </x:c>
      <x:c r="I228" s="14">
        <x:v>-0.56</x:v>
      </x:c>
      <x:c r="J228" s="14"/>
      <x:c r="K228" s="14"/>
      <x:c r="L228" s="14">
        <x:v>-0.2</x:v>
      </x:c>
      <x:c r="M228" s="14">
        <x:v>0.0</x:v>
      </x:c>
      <x:c r="N228" s="7" t="s">
        <x:v>300</x:v>
      </x:c>
      <x:c r="O228" s="7" t="s">
        <x:v>300</x:v>
      </x:c>
      <x:c r="P228" s="10"/>
      <x:c r="Q228" s="10"/>
      <x:c r="R228" s="10">
        <x:v>4477.6</x:v>
      </x:c>
      <x:c r="S228" s="7" t="s">
        <x:v>301</x:v>
      </x:c>
      <x:c r="T228" s="7" t="b">
        <x:v>0</x:v>
      </x:c>
      <x:c r="U228" s="7" t="s">
        <x:v>302</x:v>
      </x:c>
      <x:c r="V228" s="26" t="s">
        <x:v>303</x:v>
      </x:c>
      <x:c r="W228" s="7" t="s">
        <x:v>1303</x:v>
      </x:c>
    </x:row>
    <x:row r="229">
      <x:c r="A229" s="7" t="s">
        <x:v>1304</x:v>
      </x:c>
      <x:c r="B229" s="7" t="s">
        <x:v>1305</x:v>
      </x:c>
      <x:c r="C229" s="7" t="s">
        <x:v>1306</x:v>
      </x:c>
      <x:c r="D229" s="7" t="s">
        <x:v>459</x:v>
      </x:c>
      <x:c r="E229" s="10"/>
      <x:c r="F229" s="12">
        <x:v>13.79759</x:v>
      </x:c>
      <x:c r="G229" s="12">
        <x:v>100.53881</x:v>
      </x:c>
      <x:c r="H229" s="7" t="s">
        <x:v>309</x:v>
      </x:c>
      <x:c r="I229" s="14">
        <x:v>-0.93</x:v>
      </x:c>
      <x:c r="J229" s="14"/>
      <x:c r="K229" s="14"/>
      <x:c r="L229" s="14">
        <x:v>0.1</x:v>
      </x:c>
      <x:c r="M229" s="14">
        <x:v>0.2</x:v>
      </x:c>
      <x:c r="N229" s="7" t="s">
        <x:v>300</x:v>
      </x:c>
      <x:c r="O229" s="7" t="s">
        <x:v>300</x:v>
      </x:c>
      <x:c r="P229" s="10"/>
      <x:c r="Q229" s="10"/>
      <x:c r="R229" s="10">
        <x:v>4477.6</x:v>
      </x:c>
      <x:c r="S229" s="7" t="s">
        <x:v>301</x:v>
      </x:c>
      <x:c r="T229" s="7" t="b">
        <x:v>0</x:v>
      </x:c>
      <x:c r="U229" s="7" t="s">
        <x:v>302</x:v>
      </x:c>
      <x:c r="V229" s="26" t="s">
        <x:v>303</x:v>
      </x:c>
      <x:c r="W229" s="7" t="s">
        <x:v>1307</x:v>
      </x:c>
    </x:row>
    <x:row r="230">
      <x:c r="A230" s="7" t="s">
        <x:v>1308</x:v>
      </x:c>
      <x:c r="B230" s="7" t="s">
        <x:v>1309</x:v>
      </x:c>
      <x:c r="C230" s="7" t="s">
        <x:v>1310</x:v>
      </x:c>
      <x:c r="D230" s="7" t="s">
        <x:v>584</x:v>
      </x:c>
      <x:c r="E230" s="10"/>
      <x:c r="F230" s="12">
        <x:v>13.67055</x:v>
      </x:c>
      <x:c r="G230" s="12">
        <x:v>100.42713</x:v>
      </x:c>
      <x:c r="H230" s="7" t="s">
        <x:v>1311</x:v>
      </x:c>
      <x:c r="I230" s="14">
        <x:v>0.22</x:v>
      </x:c>
      <x:c r="J230" s="14"/>
      <x:c r="K230" s="14"/>
      <x:c r="L230" s="14">
        <x:v>0.6</x:v>
      </x:c>
      <x:c r="M230" s="14">
        <x:v>0.7</x:v>
      </x:c>
      <x:c r="N230" s="7" t="s">
        <x:v>300</x:v>
      </x:c>
      <x:c r="O230" s="7" t="s">
        <x:v>300</x:v>
      </x:c>
      <x:c r="P230" s="10"/>
      <x:c r="Q230" s="10"/>
      <x:c r="R230" s="10">
        <x:v>6442.6</x:v>
      </x:c>
      <x:c r="S230" s="7" t="s">
        <x:v>301</x:v>
      </x:c>
      <x:c r="T230" s="7" t="b">
        <x:v>0</x:v>
      </x:c>
      <x:c r="U230" s="7" t="s">
        <x:v>302</x:v>
      </x:c>
      <x:c r="V230" s="26" t="s">
        <x:v>303</x:v>
      </x:c>
      <x:c r="W230" s="7" t="s">
        <x:v>1312</x:v>
      </x:c>
    </x:row>
    <x:row r="231">
      <x:c r="A231" s="7" t="s">
        <x:v>1313</x:v>
      </x:c>
      <x:c r="B231" s="7" t="s">
        <x:v>1314</x:v>
      </x:c>
      <x:c r="C231" s="7" t="s">
        <x:v>1315</x:v>
      </x:c>
      <x:c r="D231" s="7" t="s">
        <x:v>658</x:v>
      </x:c>
      <x:c r="E231" s="10"/>
      <x:c r="F231" s="12">
        <x:v>13.74953</x:v>
      </x:c>
      <x:c r="G231" s="12">
        <x:v>100.63387</x:v>
      </x:c>
      <x:c r="H231" s="7" t="s">
        <x:v>309</x:v>
      </x:c>
      <x:c r="I231" s="14">
        <x:v>0.61</x:v>
      </x:c>
      <x:c r="J231" s="14"/>
      <x:c r="K231" s="14"/>
      <x:c r="L231" s="14">
        <x:v>-0.2</x:v>
      </x:c>
      <x:c r="M231" s="14">
        <x:v>0.0</x:v>
      </x:c>
      <x:c r="N231" s="7" t="s">
        <x:v>300</x:v>
      </x:c>
      <x:c r="O231" s="7" t="s">
        <x:v>300</x:v>
      </x:c>
      <x:c r="P231" s="10"/>
      <x:c r="Q231" s="10"/>
      <x:c r="R231" s="10">
        <x:v>4477.6</x:v>
      </x:c>
      <x:c r="S231" s="7" t="s">
        <x:v>301</x:v>
      </x:c>
      <x:c r="T231" s="7" t="b">
        <x:v>0</x:v>
      </x:c>
      <x:c r="U231" s="7" t="s">
        <x:v>302</x:v>
      </x:c>
      <x:c r="V231" s="26" t="s">
        <x:v>303</x:v>
      </x:c>
      <x:c r="W231" s="7" t="s">
        <x:v>1316</x:v>
      </x:c>
    </x:row>
    <x:row r="232">
      <x:c r="A232" s="7" t="s">
        <x:v>1317</x:v>
      </x:c>
      <x:c r="B232" s="7" t="s">
        <x:v>1318</x:v>
      </x:c>
      <x:c r="C232" s="7" t="s">
        <x:v>1319</x:v>
      </x:c>
      <x:c r="D232" s="7" t="s">
        <x:v>403</x:v>
      </x:c>
      <x:c r="E232" s="10"/>
      <x:c r="F232" s="12">
        <x:v>13.85572</x:v>
      </x:c>
      <x:c r="G232" s="12">
        <x:v>100.56673</x:v>
      </x:c>
      <x:c r="H232" s="7" t="s">
        <x:v>309</x:v>
      </x:c>
      <x:c r="I232" s="14">
        <x:v>1.0</x:v>
      </x:c>
      <x:c r="J232" s="14"/>
      <x:c r="K232" s="14"/>
      <x:c r="L232" s="14">
        <x:v>0.6</x:v>
      </x:c>
      <x:c r="M232" s="14">
        <x:v>0.7</x:v>
      </x:c>
      <x:c r="N232" s="7" t="s">
        <x:v>300</x:v>
      </x:c>
      <x:c r="O232" s="7" t="s">
        <x:v>300</x:v>
      </x:c>
      <x:c r="P232" s="10"/>
      <x:c r="Q232" s="10"/>
      <x:c r="R232" s="10">
        <x:v>4477.6</x:v>
      </x:c>
      <x:c r="S232" s="7" t="s">
        <x:v>301</x:v>
      </x:c>
      <x:c r="T232" s="7" t="b">
        <x:v>0</x:v>
      </x:c>
      <x:c r="U232" s="7" t="s">
        <x:v>302</x:v>
      </x:c>
      <x:c r="V232" s="26" t="s">
        <x:v>303</x:v>
      </x:c>
      <x:c r="W232" s="7" t="s">
        <x:v>1320</x:v>
      </x:c>
    </x:row>
    <x:row r="233">
      <x:c r="A233" s="7" t="s">
        <x:v>1321</x:v>
      </x:c>
      <x:c r="B233" s="7" t="s">
        <x:v>1322</x:v>
      </x:c>
      <x:c r="C233" s="7" t="s">
        <x:v>1323</x:v>
      </x:c>
      <x:c r="D233" s="7" t="s">
        <x:v>725</x:v>
      </x:c>
      <x:c r="E233" s="10"/>
      <x:c r="F233" s="12">
        <x:v>13.80069</x:v>
      </x:c>
      <x:c r="G233" s="12">
        <x:v>100.78818</x:v>
      </x:c>
      <x:c r="H233" s="7" t="s">
        <x:v>309</x:v>
      </x:c>
      <x:c r="I233" s="14">
        <x:v>1.0</x:v>
      </x:c>
      <x:c r="J233" s="14"/>
      <x:c r="K233" s="14"/>
      <x:c r="L233" s="14">
        <x:v>0.6</x:v>
      </x:c>
      <x:c r="M233" s="14">
        <x:v>0.7</x:v>
      </x:c>
      <x:c r="N233" s="7" t="s">
        <x:v>300</x:v>
      </x:c>
      <x:c r="O233" s="7" t="s">
        <x:v>300</x:v>
      </x:c>
      <x:c r="P233" s="10"/>
      <x:c r="Q233" s="10"/>
      <x:c r="R233" s="10">
        <x:v>4477.6</x:v>
      </x:c>
      <x:c r="S233" s="7" t="s">
        <x:v>301</x:v>
      </x:c>
      <x:c r="T233" s="7" t="b">
        <x:v>0</x:v>
      </x:c>
      <x:c r="U233" s="7" t="s">
        <x:v>302</x:v>
      </x:c>
      <x:c r="V233" s="26" t="s">
        <x:v>303</x:v>
      </x:c>
      <x:c r="W233" s="7" t="s">
        <x:v>1324</x:v>
      </x:c>
    </x:row>
    <x:row r="234">
      <x:c r="A234" s="7" t="s">
        <x:v>1325</x:v>
      </x:c>
      <x:c r="B234" s="7" t="s">
        <x:v>1326</x:v>
      </x:c>
      <x:c r="C234" s="7" t="s">
        <x:v>1327</x:v>
      </x:c>
      <x:c r="D234" s="7" t="s">
        <x:v>644</x:v>
      </x:c>
      <x:c r="E234" s="10"/>
      <x:c r="F234" s="12">
        <x:v>13.72193</x:v>
      </x:c>
      <x:c r="G234" s="12">
        <x:v>100.70919</x:v>
      </x:c>
      <x:c r="H234" s="7" t="s">
        <x:v>309</x:v>
      </x:c>
      <x:c r="I234" s="14">
        <x:v>0.81</x:v>
      </x:c>
      <x:c r="J234" s="14"/>
      <x:c r="K234" s="14"/>
      <x:c r="L234" s="14">
        <x:v>0.4</x:v>
      </x:c>
      <x:c r="M234" s="14">
        <x:v>0.5</x:v>
      </x:c>
      <x:c r="N234" s="7" t="s">
        <x:v>300</x:v>
      </x:c>
      <x:c r="O234" s="7" t="s">
        <x:v>300</x:v>
      </x:c>
      <x:c r="P234" s="10"/>
      <x:c r="Q234" s="10"/>
      <x:c r="R234" s="10">
        <x:v>4477.6</x:v>
      </x:c>
      <x:c r="S234" s="7" t="s">
        <x:v>301</x:v>
      </x:c>
      <x:c r="T234" s="7" t="b">
        <x:v>0</x:v>
      </x:c>
      <x:c r="U234" s="7" t="s">
        <x:v>302</x:v>
      </x:c>
      <x:c r="V234" s="26" t="s">
        <x:v>303</x:v>
      </x:c>
      <x:c r="W234" s="7" t="s">
        <x:v>1328</x:v>
      </x:c>
    </x:row>
    <x:row r="235">
      <x:c r="A235" s="7" t="s">
        <x:v>1329</x:v>
      </x:c>
      <x:c r="B235" s="7" t="s">
        <x:v>1330</x:v>
      </x:c>
      <x:c r="C235" s="7" t="s">
        <x:v>1331</x:v>
      </x:c>
      <x:c r="D235" s="7" t="s">
        <x:v>320</x:v>
      </x:c>
      <x:c r="E235" s="10"/>
      <x:c r="F235" s="12">
        <x:v>13.80547</x:v>
      </x:c>
      <x:c r="G235" s="12">
        <x:v>100.6226</x:v>
      </x:c>
      <x:c r="H235" s="7" t="s">
        <x:v>309</x:v>
      </x:c>
      <x:c r="I235" s="14">
        <x:v>0.94</x:v>
      </x:c>
      <x:c r="J235" s="14"/>
      <x:c r="K235" s="14"/>
      <x:c r="L235" s="14">
        <x:v>0.3</x:v>
      </x:c>
      <x:c r="M235" s="14">
        <x:v>0.4</x:v>
      </x:c>
      <x:c r="N235" s="7" t="s">
        <x:v>300</x:v>
      </x:c>
      <x:c r="O235" s="7" t="s">
        <x:v>300</x:v>
      </x:c>
      <x:c r="P235" s="10"/>
      <x:c r="Q235" s="10"/>
      <x:c r="R235" s="10">
        <x:v>4477.6</x:v>
      </x:c>
      <x:c r="S235" s="7" t="s">
        <x:v>301</x:v>
      </x:c>
      <x:c r="T235" s="7" t="b">
        <x:v>0</x:v>
      </x:c>
      <x:c r="U235" s="7" t="s">
        <x:v>302</x:v>
      </x:c>
      <x:c r="V235" s="26" t="s">
        <x:v>303</x:v>
      </x:c>
      <x:c r="W235" s="7" t="s">
        <x:v>1332</x:v>
      </x:c>
    </x:row>
    <x:row r="236">
      <x:c r="A236" s="7" t="s">
        <x:v>1333</x:v>
      </x:c>
      <x:c r="B236" s="7" t="s">
        <x:v>1334</x:v>
      </x:c>
      <x:c r="C236" s="7" t="s">
        <x:v>1335</x:v>
      </x:c>
      <x:c r="D236" s="7" t="s">
        <x:v>357</x:v>
      </x:c>
      <x:c r="E236" s="10"/>
      <x:c r="F236" s="12">
        <x:v>13.60384</x:v>
      </x:c>
      <x:c r="G236" s="12">
        <x:v>100.3946</x:v>
      </x:c>
      <x:c r="H236" s="7" t="s">
        <x:v>309</x:v>
      </x:c>
      <x:c r="I236" s="14">
        <x:v>-0.09</x:v>
      </x:c>
      <x:c r="J236" s="14"/>
      <x:c r="K236" s="14"/>
      <x:c r="L236" s="14">
        <x:v>1.0</x:v>
      </x:c>
      <x:c r="M236" s="14">
        <x:v>1.2</x:v>
      </x:c>
      <x:c r="N236" s="7" t="s">
        <x:v>300</x:v>
      </x:c>
      <x:c r="O236" s="7" t="s">
        <x:v>300</x:v>
      </x:c>
      <x:c r="P236" s="10"/>
      <x:c r="Q236" s="10"/>
      <x:c r="R236" s="10">
        <x:v>4477.6</x:v>
      </x:c>
      <x:c r="S236" s="7" t="s">
        <x:v>301</x:v>
      </x:c>
      <x:c r="T236" s="7" t="b">
        <x:v>0</x:v>
      </x:c>
      <x:c r="U236" s="7" t="s">
        <x:v>302</x:v>
      </x:c>
      <x:c r="V236" s="26" t="s">
        <x:v>303</x:v>
      </x:c>
      <x:c r="W236" s="7" t="s">
        <x:v>1336</x:v>
      </x:c>
    </x:row>
    <x:row r="237">
      <x:c r="A237" s="7" t="s">
        <x:v>1337</x:v>
      </x:c>
      <x:c r="B237" s="7" t="s">
        <x:v>1338</x:v>
      </x:c>
      <x:c r="C237" s="7" t="s">
        <x:v>1339</x:v>
      </x:c>
      <x:c r="D237" s="7" t="s">
        <x:v>544</x:v>
      </x:c>
      <x:c r="E237" s="10"/>
      <x:c r="F237" s="12">
        <x:v>13.78484</x:v>
      </x:c>
      <x:c r="G237" s="12">
        <x:v>100.50837</x:v>
      </x:c>
      <x:c r="H237" s="7" t="s">
        <x:v>309</x:v>
      </x:c>
      <x:c r="I237" s="14">
        <x:v>-0.5</x:v>
      </x:c>
      <x:c r="J237" s="14"/>
      <x:c r="K237" s="14"/>
      <x:c r="L237" s="14">
        <x:v>3.3</x:v>
      </x:c>
      <x:c r="M237" s="14">
        <x:v>3.5</x:v>
      </x:c>
      <x:c r="N237" s="7" t="s">
        <x:v>300</x:v>
      </x:c>
      <x:c r="O237" s="7" t="s">
        <x:v>300</x:v>
      </x:c>
      <x:c r="P237" s="10"/>
      <x:c r="Q237" s="10"/>
      <x:c r="R237" s="10">
        <x:v>4477.6</x:v>
      </x:c>
      <x:c r="S237" s="7" t="s">
        <x:v>301</x:v>
      </x:c>
      <x:c r="T237" s="7" t="b">
        <x:v>0</x:v>
      </x:c>
      <x:c r="U237" s="7" t="s">
        <x:v>302</x:v>
      </x:c>
      <x:c r="V237" s="26" t="s">
        <x:v>303</x:v>
      </x:c>
      <x:c r="W237" s="7" t="s">
        <x:v>1340</x:v>
      </x:c>
    </x:row>
    <x:row r="238">
      <x:c r="A238" s="7" t="s">
        <x:v>1341</x:v>
      </x:c>
      <x:c r="B238" s="7" t="s">
        <x:v>1342</x:v>
      </x:c>
      <x:c r="C238" s="7" t="s">
        <x:v>1343</x:v>
      </x:c>
      <x:c r="D238" s="7" t="s">
        <x:v>446</x:v>
      </x:c>
      <x:c r="E238" s="10"/>
      <x:c r="F238" s="12">
        <x:v>13.66102</x:v>
      </x:c>
      <x:c r="G238" s="12">
        <x:v>100.63926</x:v>
      </x:c>
      <x:c r="H238" s="7" t="s">
        <x:v>309</x:v>
      </x:c>
      <x:c r="I238" s="14">
        <x:v>-0.12</x:v>
      </x:c>
      <x:c r="J238" s="14"/>
      <x:c r="K238" s="14"/>
      <x:c r="L238" s="14">
        <x:v>0.4</x:v>
      </x:c>
      <x:c r="M238" s="14">
        <x:v>0.6</x:v>
      </x:c>
      <x:c r="N238" s="7" t="s">
        <x:v>300</x:v>
      </x:c>
      <x:c r="O238" s="7" t="s">
        <x:v>300</x:v>
      </x:c>
      <x:c r="P238" s="10"/>
      <x:c r="Q238" s="10"/>
      <x:c r="R238" s="10">
        <x:v>4477.6</x:v>
      </x:c>
      <x:c r="S238" s="7" t="s">
        <x:v>301</x:v>
      </x:c>
      <x:c r="T238" s="7" t="b">
        <x:v>0</x:v>
      </x:c>
      <x:c r="U238" s="7" t="s">
        <x:v>302</x:v>
      </x:c>
      <x:c r="V238" s="26" t="s">
        <x:v>303</x:v>
      </x:c>
      <x:c r="W238" s="7" t="s">
        <x:v>1344</x:v>
      </x:c>
    </x:row>
    <x:row r="239">
      <x:c r="A239" s="7" t="s">
        <x:v>1345</x:v>
      </x:c>
      <x:c r="B239" s="7" t="s">
        <x:v>1346</x:v>
      </x:c>
      <x:c r="C239" s="7" t="s">
        <x:v>1347</x:v>
      </x:c>
      <x:c r="D239" s="7" t="s">
        <x:v>479</x:v>
      </x:c>
      <x:c r="E239" s="10"/>
      <x:c r="F239" s="12">
        <x:v>13.89041</x:v>
      </x:c>
      <x:c r="G239" s="12">
        <x:v>100.5847</x:v>
      </x:c>
      <x:c r="H239" s="7" t="s">
        <x:v>309</x:v>
      </x:c>
      <x:c r="I239" s="14">
        <x:v>1.49</x:v>
      </x:c>
      <x:c r="J239" s="14"/>
      <x:c r="K239" s="14"/>
      <x:c r="L239" s="14">
        <x:v>0.6</x:v>
      </x:c>
      <x:c r="M239" s="14">
        <x:v>0.7</x:v>
      </x:c>
      <x:c r="N239" s="7" t="s">
        <x:v>300</x:v>
      </x:c>
      <x:c r="O239" s="7" t="s">
        <x:v>300</x:v>
      </x:c>
      <x:c r="P239" s="10"/>
      <x:c r="Q239" s="10"/>
      <x:c r="R239" s="10">
        <x:v>4477.6</x:v>
      </x:c>
      <x:c r="S239" s="7" t="s">
        <x:v>301</x:v>
      </x:c>
      <x:c r="T239" s="7" t="b">
        <x:v>0</x:v>
      </x:c>
      <x:c r="U239" s="7" t="s">
        <x:v>302</x:v>
      </x:c>
      <x:c r="V239" s="26" t="s">
        <x:v>303</x:v>
      </x:c>
      <x:c r="W239" s="7" t="s">
        <x:v>1348</x:v>
      </x:c>
    </x:row>
    <x:row r="240">
      <x:c r="A240" s="7" t="s">
        <x:v>1349</x:v>
      </x:c>
      <x:c r="B240" s="7" t="s">
        <x:v>1350</x:v>
      </x:c>
      <x:c r="C240" s="7" t="s">
        <x:v>1351</x:v>
      </x:c>
      <x:c r="D240" s="7" t="s">
        <x:v>357</x:v>
      </x:c>
      <x:c r="E240" s="10"/>
      <x:c r="F240" s="12">
        <x:v>13.67309</x:v>
      </x:c>
      <x:c r="G240" s="12">
        <x:v>100.44606</x:v>
      </x:c>
      <x:c r="H240" s="7" t="s">
        <x:v>309</x:v>
      </x:c>
      <x:c r="I240" s="14">
        <x:v>-0.33</x:v>
      </x:c>
      <x:c r="J240" s="14"/>
      <x:c r="K240" s="14"/>
      <x:c r="L240" s="14">
        <x:v>0.4</x:v>
      </x:c>
      <x:c r="M240" s="14">
        <x:v>0.5</x:v>
      </x:c>
      <x:c r="N240" s="7" t="s">
        <x:v>300</x:v>
      </x:c>
      <x:c r="O240" s="7" t="s">
        <x:v>300</x:v>
      </x:c>
      <x:c r="P240" s="10"/>
      <x:c r="Q240" s="10"/>
      <x:c r="R240" s="10">
        <x:v>4477.6</x:v>
      </x:c>
      <x:c r="S240" s="7" t="s">
        <x:v>301</x:v>
      </x:c>
      <x:c r="T240" s="7" t="b">
        <x:v>0</x:v>
      </x:c>
      <x:c r="U240" s="7" t="s">
        <x:v>302</x:v>
      </x:c>
      <x:c r="V240" s="26" t="s">
        <x:v>303</x:v>
      </x:c>
      <x:c r="W240" s="7" t="s">
        <x:v>1352</x:v>
      </x:c>
    </x:row>
    <x:row r="241">
      <x:c r="A241" s="7" t="s">
        <x:v>1353</x:v>
      </x:c>
      <x:c r="B241" s="7" t="s">
        <x:v>1354</x:v>
      </x:c>
      <x:c r="C241" s="7" t="s">
        <x:v>1355</x:v>
      </x:c>
      <x:c r="D241" s="7" t="s">
        <x:v>469</x:v>
      </x:c>
      <x:c r="E241" s="10"/>
      <x:c r="F241" s="12">
        <x:v>13.75512</x:v>
      </x:c>
      <x:c r="G241" s="12">
        <x:v>100.49554</x:v>
      </x:c>
      <x:c r="H241" s="7" t="s">
        <x:v>309</x:v>
      </x:c>
      <x:c r="I241" s="14">
        <x:v>-0.32</x:v>
      </x:c>
      <x:c r="J241" s="14"/>
      <x:c r="K241" s="14"/>
      <x:c r="L241" s="14">
        <x:v>0.6</x:v>
      </x:c>
      <x:c r="M241" s="14">
        <x:v>0.7</x:v>
      </x:c>
      <x:c r="N241" s="7" t="s">
        <x:v>300</x:v>
      </x:c>
      <x:c r="O241" s="7" t="s">
        <x:v>300</x:v>
      </x:c>
      <x:c r="P241" s="10"/>
      <x:c r="Q241" s="10"/>
      <x:c r="R241" s="10">
        <x:v>4477.6</x:v>
      </x:c>
      <x:c r="S241" s="7" t="s">
        <x:v>301</x:v>
      </x:c>
      <x:c r="T241" s="7" t="b">
        <x:v>0</x:v>
      </x:c>
      <x:c r="U241" s="7" t="s">
        <x:v>302</x:v>
      </x:c>
      <x:c r="V241" s="26" t="s">
        <x:v>303</x:v>
      </x:c>
      <x:c r="W241" s="7" t="s">
        <x:v>1356</x:v>
      </x:c>
    </x:row>
    <x:row r="242">
      <x:c r="A242" s="7" t="s">
        <x:v>1357</x:v>
      </x:c>
      <x:c r="B242" s="7" t="s">
        <x:v>1358</x:v>
      </x:c>
      <x:c r="C242" s="7" t="s">
        <x:v>1359</x:v>
      </x:c>
      <x:c r="D242" s="7" t="s">
        <x:v>738</x:v>
      </x:c>
      <x:c r="E242" s="10"/>
      <x:c r="F242" s="12">
        <x:v>13.8363</x:v>
      </x:c>
      <x:c r="G242" s="12">
        <x:v>100.66134</x:v>
      </x:c>
      <x:c r="H242" s="7" t="s">
        <x:v>309</x:v>
      </x:c>
      <x:c r="I242" s="14">
        <x:v>1.34</x:v>
      </x:c>
      <x:c r="J242" s="14"/>
      <x:c r="K242" s="14"/>
      <x:c r="L242" s="14">
        <x:v>0.8</x:v>
      </x:c>
      <x:c r="M242" s="14">
        <x:v>1.0</x:v>
      </x:c>
      <x:c r="N242" s="7" t="s">
        <x:v>300</x:v>
      </x:c>
      <x:c r="O242" s="7" t="s">
        <x:v>300</x:v>
      </x:c>
      <x:c r="P242" s="10"/>
      <x:c r="Q242" s="10"/>
      <x:c r="R242" s="10">
        <x:v>4477.6</x:v>
      </x:c>
      <x:c r="S242" s="7" t="s">
        <x:v>301</x:v>
      </x:c>
      <x:c r="T242" s="7" t="b">
        <x:v>0</x:v>
      </x:c>
      <x:c r="U242" s="7" t="s">
        <x:v>302</x:v>
      </x:c>
      <x:c r="V242" s="26" t="s">
        <x:v>303</x:v>
      </x:c>
      <x:c r="W242" s="7" t="s">
        <x:v>1360</x:v>
      </x:c>
    </x:row>
    <x:row r="243">
      <x:c r="A243" s="7" t="s">
        <x:v>1361</x:v>
      </x:c>
      <x:c r="B243" s="7" t="s">
        <x:v>1362</x:v>
      </x:c>
      <x:c r="C243" s="7" t="s">
        <x:v>1363</x:v>
      </x:c>
      <x:c r="D243" s="7" t="s">
        <x:v>549</x:v>
      </x:c>
      <x:c r="E243" s="10"/>
      <x:c r="F243" s="12">
        <x:v>13.7423</x:v>
      </x:c>
      <x:c r="G243" s="12">
        <x:v>100.56775</x:v>
      </x:c>
      <x:c r="H243" s="7" t="s">
        <x:v>309</x:v>
      </x:c>
      <x:c r="I243" s="14">
        <x:v>-1.56</x:v>
      </x:c>
      <x:c r="J243" s="14"/>
      <x:c r="K243" s="14"/>
      <x:c r="L243" s="14">
        <x:v>-0.2</x:v>
      </x:c>
      <x:c r="M243" s="14">
        <x:v>0.0</x:v>
      </x:c>
      <x:c r="N243" s="7" t="s">
        <x:v>300</x:v>
      </x:c>
      <x:c r="O243" s="7" t="s">
        <x:v>300</x:v>
      </x:c>
      <x:c r="P243" s="10"/>
      <x:c r="Q243" s="10"/>
      <x:c r="R243" s="10">
        <x:v>4477.6</x:v>
      </x:c>
      <x:c r="S243" s="7" t="s">
        <x:v>301</x:v>
      </x:c>
      <x:c r="T243" s="7" t="b">
        <x:v>0</x:v>
      </x:c>
      <x:c r="U243" s="7" t="s">
        <x:v>302</x:v>
      </x:c>
      <x:c r="V243" s="26" t="s">
        <x:v>303</x:v>
      </x:c>
      <x:c r="W243" s="7" t="s">
        <x:v>1364</x:v>
      </x:c>
    </x:row>
    <x:row r="244">
      <x:c r="A244" s="7" t="s">
        <x:v>1365</x:v>
      </x:c>
      <x:c r="B244" s="7" t="s">
        <x:v>1366</x:v>
      </x:c>
      <x:c r="C244" s="7" t="s">
        <x:v>1367</x:v>
      </x:c>
      <x:c r="D244" s="7" t="s">
        <x:v>544</x:v>
      </x:c>
      <x:c r="E244" s="10"/>
      <x:c r="F244" s="12">
        <x:v>13.76099</x:v>
      </x:c>
      <x:c r="G244" s="12">
        <x:v>100.51212</x:v>
      </x:c>
      <x:c r="H244" s="7" t="s">
        <x:v>309</x:v>
      </x:c>
      <x:c r="I244" s="14">
        <x:v>-0.2</x:v>
      </x:c>
      <x:c r="J244" s="14"/>
      <x:c r="K244" s="14"/>
      <x:c r="L244" s="14">
        <x:v>0.6</x:v>
      </x:c>
      <x:c r="M244" s="14">
        <x:v>0.7</x:v>
      </x:c>
      <x:c r="N244" s="7" t="s">
        <x:v>300</x:v>
      </x:c>
      <x:c r="O244" s="7" t="s">
        <x:v>300</x:v>
      </x:c>
      <x:c r="P244" s="10"/>
      <x:c r="Q244" s="10"/>
      <x:c r="R244" s="10">
        <x:v>4477.6</x:v>
      </x:c>
      <x:c r="S244" s="7" t="s">
        <x:v>301</x:v>
      </x:c>
      <x:c r="T244" s="7" t="b">
        <x:v>0</x:v>
      </x:c>
      <x:c r="U244" s="7" t="s">
        <x:v>302</x:v>
      </x:c>
      <x:c r="V244" s="26" t="s">
        <x:v>303</x:v>
      </x:c>
      <x:c r="W244" s="7" t="s">
        <x:v>1368</x:v>
      </x:c>
    </x:row>
    <x:row r="245">
      <x:c r="A245" s="7" t="s">
        <x:v>1369</x:v>
      </x:c>
      <x:c r="B245" s="7" t="s">
        <x:v>1370</x:v>
      </x:c>
      <x:c r="C245" s="7" t="s">
        <x:v>1371</x:v>
      </x:c>
      <x:c r="D245" s="7" t="s">
        <x:v>479</x:v>
      </x:c>
      <x:c r="E245" s="10"/>
      <x:c r="F245" s="12">
        <x:v>13.89974</x:v>
      </x:c>
      <x:c r="G245" s="12">
        <x:v>100.61087</x:v>
      </x:c>
      <x:c r="H245" s="7" t="s">
        <x:v>309</x:v>
      </x:c>
      <x:c r="I245" s="14">
        <x:v>1.51</x:v>
      </x:c>
      <x:c r="J245" s="14"/>
      <x:c r="K245" s="14"/>
      <x:c r="L245" s="14">
        <x:v>0.8</x:v>
      </x:c>
      <x:c r="M245" s="14">
        <x:v>0.9</x:v>
      </x:c>
      <x:c r="N245" s="7" t="s">
        <x:v>300</x:v>
      </x:c>
      <x:c r="O245" s="7" t="s">
        <x:v>300</x:v>
      </x:c>
      <x:c r="P245" s="10"/>
      <x:c r="Q245" s="10"/>
      <x:c r="R245" s="10">
        <x:v>4477.6</x:v>
      </x:c>
      <x:c r="S245" s="7" t="s">
        <x:v>301</x:v>
      </x:c>
      <x:c r="T245" s="7" t="b">
        <x:v>0</x:v>
      </x:c>
      <x:c r="U245" s="7" t="s">
        <x:v>302</x:v>
      </x:c>
      <x:c r="V245" s="26" t="s">
        <x:v>303</x:v>
      </x:c>
      <x:c r="W245" s="7" t="s">
        <x:v>1372</x:v>
      </x:c>
    </x:row>
    <x:row r="246">
      <x:c r="A246" s="7" t="s">
        <x:v>1373</x:v>
      </x:c>
      <x:c r="B246" s="7" t="s">
        <x:v>1374</x:v>
      </x:c>
      <x:c r="C246" s="7" t="s">
        <x:v>1375</x:v>
      </x:c>
      <x:c r="D246" s="7" t="s">
        <x:v>600</x:v>
      </x:c>
      <x:c r="E246" s="10"/>
      <x:c r="F246" s="12">
        <x:v>13.7797</x:v>
      </x:c>
      <x:c r="G246" s="12">
        <x:v>100.42681</x:v>
      </x:c>
      <x:c r="H246" s="7" t="s">
        <x:v>309</x:v>
      </x:c>
      <x:c r="I246" s="14">
        <x:v>0.6</x:v>
      </x:c>
      <x:c r="J246" s="14"/>
      <x:c r="K246" s="14"/>
      <x:c r="L246" s="14">
        <x:v>0.9</x:v>
      </x:c>
      <x:c r="M246" s="14">
        <x:v>1.0</x:v>
      </x:c>
      <x:c r="N246" s="7" t="s">
        <x:v>300</x:v>
      </x:c>
      <x:c r="O246" s="7" t="s">
        <x:v>300</x:v>
      </x:c>
      <x:c r="P246" s="10"/>
      <x:c r="Q246" s="10"/>
      <x:c r="R246" s="10">
        <x:v>4477.6</x:v>
      </x:c>
      <x:c r="S246" s="7" t="s">
        <x:v>301</x:v>
      </x:c>
      <x:c r="T246" s="7" t="b">
        <x:v>0</x:v>
      </x:c>
      <x:c r="U246" s="7" t="s">
        <x:v>302</x:v>
      </x:c>
      <x:c r="V246" s="26" t="s">
        <x:v>303</x:v>
      </x:c>
      <x:c r="W246" s="7" t="s">
        <x:v>1376</x:v>
      </x:c>
    </x:row>
    <x:row r="247">
      <x:c r="A247" s="7" t="s">
        <x:v>1377</x:v>
      </x:c>
      <x:c r="B247" s="7" t="s">
        <x:v>1378</x:v>
      </x:c>
      <x:c r="C247" s="7" t="s">
        <x:v>1379</x:v>
      </x:c>
      <x:c r="D247" s="7" t="s">
        <x:v>391</x:v>
      </x:c>
      <x:c r="E247" s="10"/>
      <x:c r="F247" s="12">
        <x:v>13.75038</x:v>
      </x:c>
      <x:c r="G247" s="12">
        <x:v>100.59268</x:v>
      </x:c>
      <x:c r="H247" s="7" t="s">
        <x:v>1380</x:v>
      </x:c>
      <x:c r="I247" s="14">
        <x:v>0.0</x:v>
      </x:c>
      <x:c r="J247" s="14"/>
      <x:c r="K247" s="14"/>
      <x:c r="L247" s="14">
        <x:v>-0.1</x:v>
      </x:c>
      <x:c r="M247" s="14">
        <x:v>0.0</x:v>
      </x:c>
      <x:c r="N247" s="7" t="s">
        <x:v>300</x:v>
      </x:c>
      <x:c r="O247" s="7" t="s">
        <x:v>300</x:v>
      </x:c>
      <x:c r="P247" s="10"/>
      <x:c r="Q247" s="10"/>
      <x:c r="R247" s="10">
        <x:v>8567.6</x:v>
      </x:c>
      <x:c r="S247" s="7" t="s">
        <x:v>301</x:v>
      </x:c>
      <x:c r="T247" s="7" t="b">
        <x:v>0</x:v>
      </x:c>
      <x:c r="U247" s="7" t="s">
        <x:v>302</x:v>
      </x:c>
      <x:c r="V247" s="26" t="s">
        <x:v>303</x:v>
      </x:c>
      <x:c r="W247" s="7" t="s">
        <x:v>1381</x:v>
      </x:c>
    </x:row>
    <x:row r="248">
      <x:c r="A248" s="7" t="s">
        <x:v>1382</x:v>
      </x:c>
      <x:c r="B248" s="7" t="s">
        <x:v>1383</x:v>
      </x:c>
      <x:c r="C248" s="7" t="s">
        <x:v>1384</x:v>
      </x:c>
      <x:c r="D248" s="7" t="s">
        <x:v>403</x:v>
      </x:c>
      <x:c r="E248" s="10"/>
      <x:c r="F248" s="12">
        <x:v>13.83042</x:v>
      </x:c>
      <x:c r="G248" s="12">
        <x:v>100.56229</x:v>
      </x:c>
      <x:c r="H248" s="7" t="s">
        <x:v>309</x:v>
      </x:c>
      <x:c r="I248" s="14">
        <x:v>-0.94</x:v>
      </x:c>
      <x:c r="J248" s="14"/>
      <x:c r="K248" s="14"/>
      <x:c r="L248" s="14">
        <x:v>0.2</x:v>
      </x:c>
      <x:c r="M248" s="14">
        <x:v>0.3</x:v>
      </x:c>
      <x:c r="N248" s="7" t="s">
        <x:v>300</x:v>
      </x:c>
      <x:c r="O248" s="7" t="s">
        <x:v>300</x:v>
      </x:c>
      <x:c r="P248" s="10"/>
      <x:c r="Q248" s="10"/>
      <x:c r="R248" s="10">
        <x:v>4477.6</x:v>
      </x:c>
      <x:c r="S248" s="7" t="s">
        <x:v>301</x:v>
      </x:c>
      <x:c r="T248" s="7" t="b">
        <x:v>0</x:v>
      </x:c>
      <x:c r="U248" s="7" t="s">
        <x:v>302</x:v>
      </x:c>
      <x:c r="V248" s="26" t="s">
        <x:v>303</x:v>
      </x:c>
      <x:c r="W248" s="7" t="s">
        <x:v>1385</x:v>
      </x:c>
    </x:row>
    <x:row r="249">
      <x:c r="A249" s="7" t="s">
        <x:v>1386</x:v>
      </x:c>
      <x:c r="B249" s="7" t="s">
        <x:v>1387</x:v>
      </x:c>
      <x:c r="C249" s="7" t="s">
        <x:v>1388</x:v>
      </x:c>
      <x:c r="D249" s="7" t="s">
        <x:v>1389</x:v>
      </x:c>
      <x:c r="E249" s="10"/>
      <x:c r="F249" s="12">
        <x:v>13.80042</x:v>
      </x:c>
      <x:c r="G249" s="12">
        <x:v>100.32977</x:v>
      </x:c>
      <x:c r="H249" s="7" t="s">
        <x:v>309</x:v>
      </x:c>
      <x:c r="I249" s="14">
        <x:v>0.89</x:v>
      </x:c>
      <x:c r="J249" s="14"/>
      <x:c r="K249" s="14"/>
      <x:c r="L249" s="14">
        <x:v>0.9</x:v>
      </x:c>
      <x:c r="M249" s="14">
        <x:v>1.0</x:v>
      </x:c>
      <x:c r="N249" s="7" t="s">
        <x:v>300</x:v>
      </x:c>
      <x:c r="O249" s="7" t="s">
        <x:v>300</x:v>
      </x:c>
      <x:c r="P249" s="10"/>
      <x:c r="Q249" s="10"/>
      <x:c r="R249" s="10">
        <x:v>4477.6</x:v>
      </x:c>
      <x:c r="S249" s="7" t="s">
        <x:v>301</x:v>
      </x:c>
      <x:c r="T249" s="7" t="b">
        <x:v>0</x:v>
      </x:c>
      <x:c r="U249" s="7" t="s">
        <x:v>302</x:v>
      </x:c>
      <x:c r="V249" s="26" t="s">
        <x:v>303</x:v>
      </x:c>
      <x:c r="W249" s="7" t="s">
        <x:v>1390</x:v>
      </x:c>
    </x:row>
    <x:row r="250">
      <x:c r="A250" s="7" t="s">
        <x:v>1391</x:v>
      </x:c>
      <x:c r="B250" s="7" t="s">
        <x:v>1392</x:v>
      </x:c>
      <x:c r="C250" s="7" t="s">
        <x:v>1393</x:v>
      </x:c>
      <x:c r="D250" s="7" t="s">
        <x:v>391</x:v>
      </x:c>
      <x:c r="E250" s="10"/>
      <x:c r="F250" s="12">
        <x:v>13.75512</x:v>
      </x:c>
      <x:c r="G250" s="12">
        <x:v>100.56505</x:v>
      </x:c>
      <x:c r="H250" s="7" t="s">
        <x:v>309</x:v>
      </x:c>
      <x:c r="I250" s="14">
        <x:v>-0.1</x:v>
      </x:c>
      <x:c r="J250" s="14"/>
      <x:c r="K250" s="14"/>
      <x:c r="L250" s="14">
        <x:v>0.0</x:v>
      </x:c>
      <x:c r="M250" s="14">
        <x:v>0.1</x:v>
      </x:c>
      <x:c r="N250" s="7" t="s">
        <x:v>300</x:v>
      </x:c>
      <x:c r="O250" s="7" t="s">
        <x:v>300</x:v>
      </x:c>
      <x:c r="P250" s="10"/>
      <x:c r="Q250" s="10"/>
      <x:c r="R250" s="10">
        <x:v>4477.6</x:v>
      </x:c>
      <x:c r="S250" s="7" t="s">
        <x:v>301</x:v>
      </x:c>
      <x:c r="T250" s="7" t="b">
        <x:v>0</x:v>
      </x:c>
      <x:c r="U250" s="7" t="s">
        <x:v>302</x:v>
      </x:c>
      <x:c r="V250" s="26" t="s">
        <x:v>303</x:v>
      </x:c>
      <x:c r="W250" s="7" t="s">
        <x:v>1394</x:v>
      </x:c>
    </x:row>
    <x:row r="251">
      <x:c r="A251" s="7" t="s">
        <x:v>1395</x:v>
      </x:c>
      <x:c r="B251" s="7" t="s">
        <x:v>1396</x:v>
      </x:c>
      <x:c r="C251" s="7" t="s">
        <x:v>1397</x:v>
      </x:c>
      <x:c r="D251" s="7" t="s">
        <x:v>644</x:v>
      </x:c>
      <x:c r="E251" s="10"/>
      <x:c r="F251" s="12">
        <x:v>13.68353</x:v>
      </x:c>
      <x:c r="G251" s="12">
        <x:v>100.64666</x:v>
      </x:c>
      <x:c r="H251" s="7" t="s">
        <x:v>309</x:v>
      </x:c>
      <x:c r="I251" s="14">
        <x:v>-0.83</x:v>
      </x:c>
      <x:c r="J251" s="14"/>
      <x:c r="K251" s="14"/>
      <x:c r="L251" s="14">
        <x:v>-0.5</x:v>
      </x:c>
      <x:c r="M251" s="14">
        <x:v>-0.2</x:v>
      </x:c>
      <x:c r="N251" s="7" t="s">
        <x:v>300</x:v>
      </x:c>
      <x:c r="O251" s="7" t="s">
        <x:v>300</x:v>
      </x:c>
      <x:c r="P251" s="10"/>
      <x:c r="Q251" s="10"/>
      <x:c r="R251" s="10">
        <x:v>4477.6</x:v>
      </x:c>
      <x:c r="S251" s="7" t="s">
        <x:v>301</x:v>
      </x:c>
      <x:c r="T251" s="7" t="b">
        <x:v>0</x:v>
      </x:c>
      <x:c r="U251" s="7" t="s">
        <x:v>302</x:v>
      </x:c>
      <x:c r="V251" s="26" t="s">
        <x:v>303</x:v>
      </x:c>
      <x:c r="W251" s="7" t="s">
        <x:v>1398</x:v>
      </x:c>
    </x:row>
    <x:row r="252">
      <x:c r="A252" s="7" t="s">
        <x:v>1399</x:v>
      </x:c>
      <x:c r="B252" s="7" t="s">
        <x:v>1400</x:v>
      </x:c>
      <x:c r="C252" s="7" t="s">
        <x:v>1401</x:v>
      </x:c>
      <x:c r="D252" s="7" t="s">
        <x:v>584</x:v>
      </x:c>
      <x:c r="E252" s="10"/>
      <x:c r="F252" s="12">
        <x:v>13.66731</x:v>
      </x:c>
      <x:c r="G252" s="12">
        <x:v>100.40662</x:v>
      </x:c>
      <x:c r="H252" s="7" t="s">
        <x:v>309</x:v>
      </x:c>
      <x:c r="I252" s="14">
        <x:v>0.48</x:v>
      </x:c>
      <x:c r="J252" s="14"/>
      <x:c r="K252" s="14"/>
      <x:c r="L252" s="14">
        <x:v>0.6</x:v>
      </x:c>
      <x:c r="M252" s="14">
        <x:v>0.7</x:v>
      </x:c>
      <x:c r="N252" s="7" t="s">
        <x:v>300</x:v>
      </x:c>
      <x:c r="O252" s="7" t="s">
        <x:v>300</x:v>
      </x:c>
      <x:c r="P252" s="10"/>
      <x:c r="Q252" s="10"/>
      <x:c r="R252" s="10">
        <x:v>4477.6</x:v>
      </x:c>
      <x:c r="S252" s="7" t="s">
        <x:v>301</x:v>
      </x:c>
      <x:c r="T252" s="7" t="b">
        <x:v>0</x:v>
      </x:c>
      <x:c r="U252" s="7" t="s">
        <x:v>302</x:v>
      </x:c>
      <x:c r="V252" s="26" t="s">
        <x:v>303</x:v>
      </x:c>
      <x:c r="W252" s="7" t="s">
        <x:v>1402</x:v>
      </x:c>
    </x:row>
    <x:row r="253">
      <x:c r="A253" s="7" t="s">
        <x:v>1403</x:v>
      </x:c>
      <x:c r="B253" s="7" t="s">
        <x:v>1404</x:v>
      </x:c>
      <x:c r="C253" s="7" t="s">
        <x:v>1405</x:v>
      </x:c>
      <x:c r="D253" s="7" t="s">
        <x:v>464</x:v>
      </x:c>
      <x:c r="E253" s="10"/>
      <x:c r="F253" s="12">
        <x:v>13.68886</x:v>
      </x:c>
      <x:c r="G253" s="12">
        <x:v>100.63809</x:v>
      </x:c>
      <x:c r="H253" s="7" t="s">
        <x:v>309</x:v>
      </x:c>
      <x:c r="I253" s="14">
        <x:v>0.2</x:v>
      </x:c>
      <x:c r="J253" s="14"/>
      <x:c r="K253" s="14"/>
      <x:c r="L253" s="14">
        <x:v>0.9</x:v>
      </x:c>
      <x:c r="M253" s="14">
        <x:v>0.8</x:v>
      </x:c>
      <x:c r="N253" s="7" t="s">
        <x:v>300</x:v>
      </x:c>
      <x:c r="O253" s="7" t="s">
        <x:v>300</x:v>
      </x:c>
      <x:c r="P253" s="10"/>
      <x:c r="Q253" s="10"/>
      <x:c r="R253" s="10">
        <x:v>4477.6</x:v>
      </x:c>
      <x:c r="S253" s="7" t="s">
        <x:v>301</x:v>
      </x:c>
      <x:c r="T253" s="7" t="b">
        <x:v>0</x:v>
      </x:c>
      <x:c r="U253" s="7" t="s">
        <x:v>302</x:v>
      </x:c>
      <x:c r="V253" s="26" t="s">
        <x:v>303</x:v>
      </x:c>
      <x:c r="W253" s="7" t="s">
        <x:v>1406</x:v>
      </x:c>
    </x:row>
    <x:row r="254">
      <x:c r="A254" s="7" t="s">
        <x:v>1407</x:v>
      </x:c>
      <x:c r="B254" s="7" t="s">
        <x:v>1408</x:v>
      </x:c>
      <x:c r="C254" s="7" t="s">
        <x:v>1409</x:v>
      </x:c>
      <x:c r="D254" s="7" t="s">
        <x:v>426</x:v>
      </x:c>
      <x:c r="E254" s="10"/>
      <x:c r="F254" s="12">
        <x:v>13.80504</x:v>
      </x:c>
      <x:c r="G254" s="12">
        <x:v>100.52867</x:v>
      </x:c>
      <x:c r="H254" s="7" t="s">
        <x:v>1410</x:v>
      </x:c>
      <x:c r="I254" s="14">
        <x:v>-0.24</x:v>
      </x:c>
      <x:c r="J254" s="14"/>
      <x:c r="K254" s="14"/>
      <x:c r="L254" s="14">
        <x:v>0.4</x:v>
      </x:c>
      <x:c r="M254" s="14">
        <x:v>0.5</x:v>
      </x:c>
      <x:c r="N254" s="7" t="s">
        <x:v>300</x:v>
      </x:c>
      <x:c r="O254" s="7" t="s">
        <x:v>300</x:v>
      </x:c>
      <x:c r="P254" s="10"/>
      <x:c r="Q254" s="10"/>
      <x:c r="R254" s="10">
        <x:v>170162.6</x:v>
      </x:c>
      <x:c r="S254" s="7" t="s">
        <x:v>301</x:v>
      </x:c>
      <x:c r="T254" s="7" t="b">
        <x:v>0</x:v>
      </x:c>
      <x:c r="U254" s="7" t="s">
        <x:v>302</x:v>
      </x:c>
      <x:c r="V254" s="26" t="s">
        <x:v>303</x:v>
      </x:c>
      <x:c r="W254" s="7" t="s">
        <x:v>1411</x:v>
      </x:c>
    </x:row>
    <x:row r="255">
      <x:c r="A255" s="7" t="s">
        <x:v>1412</x:v>
      </x:c>
      <x:c r="B255" s="7" t="s">
        <x:v>1413</x:v>
      </x:c>
      <x:c r="C255" s="7" t="s">
        <x:v>1414</x:v>
      </x:c>
      <x:c r="D255" s="7" t="s">
        <x:v>784</x:v>
      </x:c>
      <x:c r="E255" s="10"/>
      <x:c r="F255" s="12">
        <x:v>13.70671</x:v>
      </x:c>
      <x:c r="G255" s="12">
        <x:v>100.49647</x:v>
      </x:c>
      <x:c r="H255" s="7" t="s">
        <x:v>309</x:v>
      </x:c>
      <x:c r="I255" s="14">
        <x:v>-0.86</x:v>
      </x:c>
      <x:c r="J255" s="14"/>
      <x:c r="K255" s="14"/>
      <x:c r="L255" s="14">
        <x:v>2.6</x:v>
      </x:c>
      <x:c r="M255" s="14">
        <x:v>2.8</x:v>
      </x:c>
      <x:c r="N255" s="7" t="s">
        <x:v>300</x:v>
      </x:c>
      <x:c r="O255" s="7" t="s">
        <x:v>300</x:v>
      </x:c>
      <x:c r="P255" s="10"/>
      <x:c r="Q255" s="10"/>
      <x:c r="R255" s="10">
        <x:v>4477.6</x:v>
      </x:c>
      <x:c r="S255" s="7" t="s">
        <x:v>301</x:v>
      </x:c>
      <x:c r="T255" s="7" t="b">
        <x:v>0</x:v>
      </x:c>
      <x:c r="U255" s="7" t="s">
        <x:v>302</x:v>
      </x:c>
      <x:c r="V255" s="26" t="s">
        <x:v>303</x:v>
      </x:c>
      <x:c r="W255" s="7" t="s">
        <x:v>1415</x:v>
      </x:c>
    </x:row>
    <x:row r="256">
      <x:c r="A256" s="7" t="s">
        <x:v>1416</x:v>
      </x:c>
      <x:c r="B256" s="7" t="s">
        <x:v>1417</x:v>
      </x:c>
      <x:c r="C256" s="7" t="s">
        <x:v>1418</x:v>
      </x:c>
      <x:c r="D256" s="7" t="s">
        <x:v>298</x:v>
      </x:c>
      <x:c r="E256" s="10"/>
      <x:c r="F256" s="12">
        <x:v>13.72619</x:v>
      </x:c>
      <x:c r="G256" s="12">
        <x:v>100.36426</x:v>
      </x:c>
      <x:c r="H256" s="7" t="s">
        <x:v>309</x:v>
      </x:c>
      <x:c r="I256" s="14">
        <x:v>0.88</x:v>
      </x:c>
      <x:c r="J256" s="14"/>
      <x:c r="K256" s="14"/>
      <x:c r="L256" s="14">
        <x:v>0.7</x:v>
      </x:c>
      <x:c r="M256" s="14">
        <x:v>0.8</x:v>
      </x:c>
      <x:c r="N256" s="7" t="s">
        <x:v>300</x:v>
      </x:c>
      <x:c r="O256" s="7" t="s">
        <x:v>300</x:v>
      </x:c>
      <x:c r="P256" s="10"/>
      <x:c r="Q256" s="10"/>
      <x:c r="R256" s="10">
        <x:v>4477.6</x:v>
      </x:c>
      <x:c r="S256" s="7" t="s">
        <x:v>301</x:v>
      </x:c>
      <x:c r="T256" s="7" t="b">
        <x:v>0</x:v>
      </x:c>
      <x:c r="U256" s="7" t="s">
        <x:v>302</x:v>
      </x:c>
      <x:c r="V256" s="26" t="s">
        <x:v>303</x:v>
      </x:c>
      <x:c r="W256" s="7" t="s">
        <x:v>1419</x:v>
      </x:c>
    </x:row>
    <x:row r="257">
      <x:c r="A257" s="7" t="s">
        <x:v>1420</x:v>
      </x:c>
      <x:c r="B257" s="7" t="s">
        <x:v>1421</x:v>
      </x:c>
      <x:c r="C257" s="7" t="s">
        <x:v>1422</x:v>
      </x:c>
      <x:c r="D257" s="7" t="s">
        <x:v>1423</x:v>
      </x:c>
      <x:c r="E257" s="10"/>
      <x:c r="F257" s="12">
        <x:v>13.75287</x:v>
      </x:c>
      <x:c r="G257" s="12">
        <x:v>100.51722</x:v>
      </x:c>
      <x:c r="H257" s="7" t="s">
        <x:v>309</x:v>
      </x:c>
      <x:c r="I257" s="14">
        <x:v>-0.25</x:v>
      </x:c>
      <x:c r="J257" s="14"/>
      <x:c r="K257" s="14"/>
      <x:c r="L257" s="14">
        <x:v>0.6</x:v>
      </x:c>
      <x:c r="M257" s="14">
        <x:v>0.7</x:v>
      </x:c>
      <x:c r="N257" s="7" t="s">
        <x:v>300</x:v>
      </x:c>
      <x:c r="O257" s="7" t="s">
        <x:v>300</x:v>
      </x:c>
      <x:c r="P257" s="10"/>
      <x:c r="Q257" s="10"/>
      <x:c r="R257" s="10">
        <x:v>4477.6</x:v>
      </x:c>
      <x:c r="S257" s="7" t="s">
        <x:v>301</x:v>
      </x:c>
      <x:c r="T257" s="7" t="b">
        <x:v>0</x:v>
      </x:c>
      <x:c r="U257" s="7" t="s">
        <x:v>302</x:v>
      </x:c>
      <x:c r="V257" s="26" t="s">
        <x:v>303</x:v>
      </x:c>
      <x:c r="W257" s="7" t="s">
        <x:v>1424</x:v>
      </x:c>
    </x:row>
    <x:row r="258">
      <x:c r="A258" s="7" t="s">
        <x:v>1425</x:v>
      </x:c>
      <x:c r="B258" s="7" t="s">
        <x:v>1426</x:v>
      </x:c>
      <x:c r="C258" s="7" t="s">
        <x:v>1427</x:v>
      </x:c>
      <x:c r="D258" s="7" t="s">
        <x:v>370</x:v>
      </x:c>
      <x:c r="E258" s="10"/>
      <x:c r="F258" s="12">
        <x:v>13.74358</x:v>
      </x:c>
      <x:c r="G258" s="12">
        <x:v>100.45955</x:v>
      </x:c>
      <x:c r="H258" s="7" t="s">
        <x:v>309</x:v>
      </x:c>
      <x:c r="I258" s="14">
        <x:v>0.39</x:v>
      </x:c>
      <x:c r="J258" s="14"/>
      <x:c r="K258" s="14"/>
      <x:c r="L258" s="14">
        <x:v>0.6</x:v>
      </x:c>
      <x:c r="M258" s="14">
        <x:v>0.7</x:v>
      </x:c>
      <x:c r="N258" s="7" t="s">
        <x:v>300</x:v>
      </x:c>
      <x:c r="O258" s="7" t="s">
        <x:v>300</x:v>
      </x:c>
      <x:c r="P258" s="10"/>
      <x:c r="Q258" s="10"/>
      <x:c r="R258" s="10">
        <x:v>4477.6</x:v>
      </x:c>
      <x:c r="S258" s="7" t="s">
        <x:v>301</x:v>
      </x:c>
      <x:c r="T258" s="7" t="b">
        <x:v>0</x:v>
      </x:c>
      <x:c r="U258" s="7" t="s">
        <x:v>302</x:v>
      </x:c>
      <x:c r="V258" s="26" t="s">
        <x:v>303</x:v>
      </x:c>
      <x:c r="W258" s="7" t="s">
        <x:v>1428</x:v>
      </x:c>
    </x:row>
    <x:row r="259">
      <x:c r="A259" s="7" t="s">
        <x:v>1429</x:v>
      </x:c>
      <x:c r="B259" s="7" t="s">
        <x:v>1430</x:v>
      </x:c>
      <x:c r="C259" s="7" t="s">
        <x:v>1431</x:v>
      </x:c>
      <x:c r="D259" s="7" t="s">
        <x:v>320</x:v>
      </x:c>
      <x:c r="E259" s="10"/>
      <x:c r="F259" s="12">
        <x:v>13.76725</x:v>
      </x:c>
      <x:c r="G259" s="12">
        <x:v>100.64345</x:v>
      </x:c>
      <x:c r="H259" s="7" t="s">
        <x:v>1432</x:v>
      </x:c>
      <x:c r="I259" s="14">
        <x:v>-2.0</x:v>
      </x:c>
      <x:c r="J259" s="14"/>
      <x:c r="K259" s="14"/>
      <x:c r="L259" s="14">
        <x:v>-0.2</x:v>
      </x:c>
      <x:c r="M259" s="14">
        <x:v>0.0</x:v>
      </x:c>
      <x:c r="N259" s="7" t="s">
        <x:v>300</x:v>
      </x:c>
      <x:c r="O259" s="7" t="s">
        <x:v>300</x:v>
      </x:c>
      <x:c r="P259" s="10"/>
      <x:c r="Q259" s="10"/>
      <x:c r="R259" s="10">
        <x:v>164387.6</x:v>
      </x:c>
      <x:c r="S259" s="7" t="s">
        <x:v>301</x:v>
      </x:c>
      <x:c r="T259" s="7" t="b">
        <x:v>0</x:v>
      </x:c>
      <x:c r="U259" s="7" t="s">
        <x:v>302</x:v>
      </x:c>
      <x:c r="V259" s="26" t="s">
        <x:v>303</x:v>
      </x:c>
      <x:c r="W259" s="7" t="s">
        <x:v>1433</x:v>
      </x:c>
    </x:row>
    <x:row r="260">
      <x:c r="A260" s="7" t="s">
        <x:v>1434</x:v>
      </x:c>
      <x:c r="B260" s="7" t="s">
        <x:v>1435</x:v>
      </x:c>
      <x:c r="C260" s="7" t="s">
        <x:v>1436</x:v>
      </x:c>
      <x:c r="D260" s="7" t="s">
        <x:v>600</x:v>
      </x:c>
      <x:c r="E260" s="10"/>
      <x:c r="F260" s="12">
        <x:v>13.78277</x:v>
      </x:c>
      <x:c r="G260" s="12">
        <x:v>100.44432</x:v>
      </x:c>
      <x:c r="H260" s="7" t="s">
        <x:v>309</x:v>
      </x:c>
      <x:c r="I260" s="14">
        <x:v>-0.5</x:v>
      </x:c>
      <x:c r="J260" s="14"/>
      <x:c r="K260" s="14"/>
      <x:c r="L260" s="14">
        <x:v>1.65</x:v>
      </x:c>
      <x:c r="M260" s="14">
        <x:v>1.85</x:v>
      </x:c>
      <x:c r="N260" s="7" t="s">
        <x:v>300</x:v>
      </x:c>
      <x:c r="O260" s="7" t="s">
        <x:v>300</x:v>
      </x:c>
      <x:c r="P260" s="10"/>
      <x:c r="Q260" s="10"/>
      <x:c r="R260" s="10">
        <x:v>4477.6</x:v>
      </x:c>
      <x:c r="S260" s="7" t="s">
        <x:v>301</x:v>
      </x:c>
      <x:c r="T260" s="7" t="b">
        <x:v>0</x:v>
      </x:c>
      <x:c r="U260" s="7" t="s">
        <x:v>302</x:v>
      </x:c>
      <x:c r="V260" s="26" t="s">
        <x:v>303</x:v>
      </x:c>
      <x:c r="W260" s="7" t="s">
        <x:v>1437</x:v>
      </x:c>
    </x:row>
    <x:row r="261">
      <x:c r="A261" s="7" t="s">
        <x:v>1438</x:v>
      </x:c>
      <x:c r="B261" s="7" t="s">
        <x:v>1439</x:v>
      </x:c>
      <x:c r="C261" s="7" t="s">
        <x:v>1440</x:v>
      </x:c>
      <x:c r="D261" s="7" t="s">
        <x:v>370</x:v>
      </x:c>
      <x:c r="E261" s="10"/>
      <x:c r="F261" s="12">
        <x:v>13.71167</x:v>
      </x:c>
      <x:c r="G261" s="12">
        <x:v>100.43889</x:v>
      </x:c>
      <x:c r="H261" s="7" t="s">
        <x:v>309</x:v>
      </x:c>
      <x:c r="I261" s="14">
        <x:v>0.39</x:v>
      </x:c>
      <x:c r="J261" s="14"/>
      <x:c r="K261" s="14"/>
      <x:c r="L261" s="14">
        <x:v>0.7</x:v>
      </x:c>
      <x:c r="M261" s="14">
        <x:v>0.8</x:v>
      </x:c>
      <x:c r="N261" s="7" t="s">
        <x:v>300</x:v>
      </x:c>
      <x:c r="O261" s="7" t="s">
        <x:v>300</x:v>
      </x:c>
      <x:c r="P261" s="10"/>
      <x:c r="Q261" s="10"/>
      <x:c r="R261" s="10">
        <x:v>4477.6</x:v>
      </x:c>
      <x:c r="S261" s="7" t="s">
        <x:v>301</x:v>
      </x:c>
      <x:c r="T261" s="7" t="b">
        <x:v>0</x:v>
      </x:c>
      <x:c r="U261" s="7" t="s">
        <x:v>302</x:v>
      </x:c>
      <x:c r="V261" s="26" t="s">
        <x:v>303</x:v>
      </x:c>
      <x:c r="W261" s="7" t="s">
        <x:v>1441</x:v>
      </x:c>
    </x:row>
    <x:row r="262">
      <x:c r="A262" s="7" t="s">
        <x:v>1442</x:v>
      </x:c>
      <x:c r="B262" s="7" t="s">
        <x:v>1443</x:v>
      </x:c>
      <x:c r="C262" s="7" t="s">
        <x:v>1444</x:v>
      </x:c>
      <x:c r="D262" s="7" t="s">
        <x:v>1445</x:v>
      </x:c>
      <x:c r="E262" s="10"/>
      <x:c r="F262" s="12">
        <x:v>13.81303</x:v>
      </x:c>
      <x:c r="G262" s="12">
        <x:v>100.93742</x:v>
      </x:c>
      <x:c r="H262" s="7" t="s">
        <x:v>309</x:v>
      </x:c>
      <x:c r="I262" s="14">
        <x:v>1.09</x:v>
      </x:c>
      <x:c r="J262" s="14"/>
      <x:c r="K262" s="14"/>
      <x:c r="L262" s="14">
        <x:v>1.0</x:v>
      </x:c>
      <x:c r="M262" s="14">
        <x:v>1.1</x:v>
      </x:c>
      <x:c r="N262" s="7" t="s">
        <x:v>300</x:v>
      </x:c>
      <x:c r="O262" s="7" t="s">
        <x:v>300</x:v>
      </x:c>
      <x:c r="P262" s="10"/>
      <x:c r="Q262" s="10"/>
      <x:c r="R262" s="10">
        <x:v>4477.6</x:v>
      </x:c>
      <x:c r="S262" s="7" t="s">
        <x:v>301</x:v>
      </x:c>
      <x:c r="T262" s="7" t="b">
        <x:v>0</x:v>
      </x:c>
      <x:c r="U262" s="7" t="s">
        <x:v>302</x:v>
      </x:c>
      <x:c r="V262" s="26" t="s">
        <x:v>303</x:v>
      </x:c>
      <x:c r="W262" s="7" t="s">
        <x:v>1446</x:v>
      </x:c>
    </x:row>
    <x:row r="263">
      <x:c r="A263" s="7" t="s">
        <x:v>1447</x:v>
      </x:c>
      <x:c r="B263" s="7" t="s">
        <x:v>1448</x:v>
      </x:c>
      <x:c r="C263" s="7" t="s">
        <x:v>1449</x:v>
      </x:c>
      <x:c r="D263" s="7" t="s">
        <x:v>549</x:v>
      </x:c>
      <x:c r="E263" s="10"/>
      <x:c r="F263" s="12">
        <x:v>13.73776</x:v>
      </x:c>
      <x:c r="G263" s="12">
        <x:v>100.60436</x:v>
      </x:c>
      <x:c r="H263" s="7" t="s">
        <x:v>309</x:v>
      </x:c>
      <x:c r="I263" s="14">
        <x:v>0.09</x:v>
      </x:c>
      <x:c r="J263" s="14"/>
      <x:c r="K263" s="14"/>
      <x:c r="L263" s="14">
        <x:v>-0.2</x:v>
      </x:c>
      <x:c r="M263" s="14">
        <x:v>0.0</x:v>
      </x:c>
      <x:c r="N263" s="7" t="s">
        <x:v>300</x:v>
      </x:c>
      <x:c r="O263" s="7" t="s">
        <x:v>300</x:v>
      </x:c>
      <x:c r="P263" s="10"/>
      <x:c r="Q263" s="10"/>
      <x:c r="R263" s="10">
        <x:v>4477.6</x:v>
      </x:c>
      <x:c r="S263" s="7" t="s">
        <x:v>301</x:v>
      </x:c>
      <x:c r="T263" s="7" t="b">
        <x:v>0</x:v>
      </x:c>
      <x:c r="U263" s="7" t="s">
        <x:v>302</x:v>
      </x:c>
      <x:c r="V263" s="26" t="s">
        <x:v>303</x:v>
      </x:c>
      <x:c r="W263" s="7" t="s">
        <x:v>1450</x:v>
      </x:c>
    </x:row>
    <x:row r="264">
      <x:c r="A264" s="7" t="s">
        <x:v>1451</x:v>
      </x:c>
      <x:c r="B264" s="7" t="s">
        <x:v>1452</x:v>
      </x:c>
      <x:c r="C264" s="7" t="s">
        <x:v>1453</x:v>
      </x:c>
      <x:c r="D264" s="7" t="s">
        <x:v>1454</x:v>
      </x:c>
      <x:c r="E264" s="10"/>
      <x:c r="F264" s="12">
        <x:v>13.6952</x:v>
      </x:c>
      <x:c r="G264" s="12">
        <x:v>100.54853</x:v>
      </x:c>
      <x:c r="H264" s="7" t="s">
        <x:v>309</x:v>
      </x:c>
      <x:c r="I264" s="14">
        <x:v>-2.41</x:v>
      </x:c>
      <x:c r="J264" s="14"/>
      <x:c r="K264" s="14"/>
      <x:c r="L264" s="14">
        <x:v>2.6</x:v>
      </x:c>
      <x:c r="M264" s="14">
        <x:v>2.8</x:v>
      </x:c>
      <x:c r="N264" s="7" t="s">
        <x:v>300</x:v>
      </x:c>
      <x:c r="O264" s="7" t="s">
        <x:v>300</x:v>
      </x:c>
      <x:c r="P264" s="10"/>
      <x:c r="Q264" s="10"/>
      <x:c r="R264" s="10">
        <x:v>4477.6</x:v>
      </x:c>
      <x:c r="S264" s="7" t="s">
        <x:v>301</x:v>
      </x:c>
      <x:c r="T264" s="7" t="b">
        <x:v>0</x:v>
      </x:c>
      <x:c r="U264" s="7" t="s">
        <x:v>302</x:v>
      </x:c>
      <x:c r="V264" s="26" t="s">
        <x:v>303</x:v>
      </x:c>
      <x:c r="W264" s="7" t="s">
        <x:v>1455</x:v>
      </x:c>
    </x:row>
    <x:row r="265">
      <x:c r="A265" s="7" t="s">
        <x:v>1456</x:v>
      </x:c>
      <x:c r="B265" s="7" t="s">
        <x:v>1457</x:v>
      </x:c>
      <x:c r="C265" s="7" t="s">
        <x:v>1458</x:v>
      </x:c>
      <x:c r="D265" s="7" t="s">
        <x:v>420</x:v>
      </x:c>
      <x:c r="E265" s="10"/>
      <x:c r="F265" s="12">
        <x:v>13.72975</x:v>
      </x:c>
      <x:c r="G265" s="12">
        <x:v>100.73899</x:v>
      </x:c>
      <x:c r="H265" s="7" t="s">
        <x:v>309</x:v>
      </x:c>
      <x:c r="I265" s="14">
        <x:v>0.99</x:v>
      </x:c>
      <x:c r="J265" s="14"/>
      <x:c r="K265" s="14"/>
      <x:c r="L265" s="14">
        <x:v>0.3</x:v>
      </x:c>
      <x:c r="M265" s="14">
        <x:v>0.4</x:v>
      </x:c>
      <x:c r="N265" s="7" t="s">
        <x:v>300</x:v>
      </x:c>
      <x:c r="O265" s="7" t="s">
        <x:v>300</x:v>
      </x:c>
      <x:c r="P265" s="10"/>
      <x:c r="Q265" s="10"/>
      <x:c r="R265" s="10">
        <x:v>4477.6</x:v>
      </x:c>
      <x:c r="S265" s="7" t="s">
        <x:v>301</x:v>
      </x:c>
      <x:c r="T265" s="7" t="b">
        <x:v>0</x:v>
      </x:c>
      <x:c r="U265" s="7" t="s">
        <x:v>302</x:v>
      </x:c>
      <x:c r="V265" s="26" t="s">
        <x:v>303</x:v>
      </x:c>
      <x:c r="W265" s="7" t="s">
        <x:v>1459</x:v>
      </x:c>
    </x:row>
    <x:row r="266">
      <x:c r="A266" s="7" t="s">
        <x:v>1460</x:v>
      </x:c>
      <x:c r="B266" s="7" t="s">
        <x:v>1461</x:v>
      </x:c>
      <x:c r="C266" s="7" t="s">
        <x:v>1462</x:v>
      </x:c>
      <x:c r="D266" s="7" t="s">
        <x:v>391</x:v>
      </x:c>
      <x:c r="E266" s="10"/>
      <x:c r="F266" s="12">
        <x:v>13.80278</x:v>
      </x:c>
      <x:c r="G266" s="12">
        <x:v>100.58458</x:v>
      </x:c>
      <x:c r="H266" s="7" t="s">
        <x:v>309</x:v>
      </x:c>
      <x:c r="I266" s="14">
        <x:v>0.42</x:v>
      </x:c>
      <x:c r="J266" s="14"/>
      <x:c r="K266" s="14"/>
      <x:c r="L266" s="14">
        <x:v>0.4</x:v>
      </x:c>
      <x:c r="M266" s="14">
        <x:v>0.6</x:v>
      </x:c>
      <x:c r="N266" s="7" t="s">
        <x:v>300</x:v>
      </x:c>
      <x:c r="O266" s="7" t="s">
        <x:v>300</x:v>
      </x:c>
      <x:c r="P266" s="10"/>
      <x:c r="Q266" s="10"/>
      <x:c r="R266" s="10">
        <x:v>4477.6</x:v>
      </x:c>
      <x:c r="S266" s="7" t="s">
        <x:v>301</x:v>
      </x:c>
      <x:c r="T266" s="7" t="b">
        <x:v>0</x:v>
      </x:c>
      <x:c r="U266" s="7" t="s">
        <x:v>302</x:v>
      </x:c>
      <x:c r="V266" s="26" t="s">
        <x:v>303</x:v>
      </x:c>
      <x:c r="W266" s="7" t="s">
        <x:v>1463</x:v>
      </x:c>
    </x:row>
    <x:row r="267">
      <x:c r="A267" s="7" t="s">
        <x:v>1464</x:v>
      </x:c>
      <x:c r="B267" s="7" t="s">
        <x:v>1465</x:v>
      </x:c>
      <x:c r="C267" s="7" t="s">
        <x:v>1466</x:v>
      </x:c>
      <x:c r="D267" s="7" t="s">
        <x:v>446</x:v>
      </x:c>
      <x:c r="E267" s="10"/>
      <x:c r="F267" s="12">
        <x:v>13.68202</x:v>
      </x:c>
      <x:c r="G267" s="12">
        <x:v>100.60746</x:v>
      </x:c>
      <x:c r="H267" s="7" t="s">
        <x:v>309</x:v>
      </x:c>
      <x:c r="I267" s="14">
        <x:v>-1.89</x:v>
      </x:c>
      <x:c r="J267" s="14"/>
      <x:c r="K267" s="14"/>
      <x:c r="L267" s="14">
        <x:v>-0.3</x:v>
      </x:c>
      <x:c r="M267" s="14">
        <x:v>-0.1</x:v>
      </x:c>
      <x:c r="N267" s="7" t="s">
        <x:v>300</x:v>
      </x:c>
      <x:c r="O267" s="7" t="s">
        <x:v>300</x:v>
      </x:c>
      <x:c r="P267" s="10"/>
      <x:c r="Q267" s="10"/>
      <x:c r="R267" s="10">
        <x:v>4477.6</x:v>
      </x:c>
      <x:c r="S267" s="7" t="s">
        <x:v>301</x:v>
      </x:c>
      <x:c r="T267" s="7" t="b">
        <x:v>0</x:v>
      </x:c>
      <x:c r="U267" s="7" t="s">
        <x:v>302</x:v>
      </x:c>
      <x:c r="V267" s="26" t="s">
        <x:v>303</x:v>
      </x:c>
      <x:c r="W267" s="7" t="s">
        <x:v>1467</x:v>
      </x:c>
    </x:row>
    <x:row r="268">
      <x:c r="A268" s="7" t="s">
        <x:v>1468</x:v>
      </x:c>
      <x:c r="B268" s="7" t="s">
        <x:v>1469</x:v>
      </x:c>
      <x:c r="C268" s="7" t="s">
        <x:v>1470</x:v>
      </x:c>
      <x:c r="D268" s="7" t="s">
        <x:v>320</x:v>
      </x:c>
      <x:c r="E268" s="10"/>
      <x:c r="F268" s="12">
        <x:v>13.76509</x:v>
      </x:c>
      <x:c r="G268" s="12">
        <x:v>100.64791</x:v>
      </x:c>
      <x:c r="H268" s="7" t="s">
        <x:v>309</x:v>
      </x:c>
      <x:c r="I268" s="14">
        <x:v>0.4</x:v>
      </x:c>
      <x:c r="J268" s="14"/>
      <x:c r="K268" s="14"/>
      <x:c r="L268" s="14">
        <x:v>0.35</x:v>
      </x:c>
      <x:c r="M268" s="14">
        <x:v>0.45</x:v>
      </x:c>
      <x:c r="N268" s="7" t="s">
        <x:v>300</x:v>
      </x:c>
      <x:c r="O268" s="7" t="s">
        <x:v>300</x:v>
      </x:c>
      <x:c r="P268" s="10"/>
      <x:c r="Q268" s="10"/>
      <x:c r="R268" s="10">
        <x:v>4477.6</x:v>
      </x:c>
      <x:c r="S268" s="7" t="s">
        <x:v>301</x:v>
      </x:c>
      <x:c r="T268" s="7" t="b">
        <x:v>0</x:v>
      </x:c>
      <x:c r="U268" s="7" t="s">
        <x:v>302</x:v>
      </x:c>
      <x:c r="V268" s="26" t="s">
        <x:v>303</x:v>
      </x:c>
      <x:c r="W268" s="7" t="s">
        <x:v>1471</x:v>
      </x:c>
    </x:row>
    <x:row r="269">
      <x:c r="A269" s="7" t="s">
        <x:v>1472</x:v>
      </x:c>
      <x:c r="B269" s="7" t="s">
        <x:v>1473</x:v>
      </x:c>
      <x:c r="C269" s="7" t="s">
        <x:v>1474</x:v>
      </x:c>
      <x:c r="D269" s="7" t="s">
        <x:v>644</x:v>
      </x:c>
      <x:c r="E269" s="10"/>
      <x:c r="F269" s="12">
        <x:v>13.678</x:v>
      </x:c>
      <x:c r="G269" s="12">
        <x:v>100.66295</x:v>
      </x:c>
      <x:c r="H269" s="7" t="s">
        <x:v>309</x:v>
      </x:c>
      <x:c r="I269" s="14">
        <x:v>0.25</x:v>
      </x:c>
      <x:c r="J269" s="14"/>
      <x:c r="K269" s="14"/>
      <x:c r="L269" s="14">
        <x:v>0.0</x:v>
      </x:c>
      <x:c r="M269" s="14">
        <x:v>0.1</x:v>
      </x:c>
      <x:c r="N269" s="7" t="s">
        <x:v>300</x:v>
      </x:c>
      <x:c r="O269" s="7" t="s">
        <x:v>300</x:v>
      </x:c>
      <x:c r="P269" s="10"/>
      <x:c r="Q269" s="10"/>
      <x:c r="R269" s="10">
        <x:v>4477.6</x:v>
      </x:c>
      <x:c r="S269" s="7" t="s">
        <x:v>301</x:v>
      </x:c>
      <x:c r="T269" s="7" t="b">
        <x:v>0</x:v>
      </x:c>
      <x:c r="U269" s="7" t="s">
        <x:v>302</x:v>
      </x:c>
      <x:c r="V269" s="26" t="s">
        <x:v>303</x:v>
      </x:c>
      <x:c r="W269" s="7" t="s">
        <x:v>1475</x:v>
      </x:c>
    </x:row>
    <x:row r="270">
      <x:c r="A270" s="7" t="s">
        <x:v>1476</x:v>
      </x:c>
      <x:c r="B270" s="7" t="s">
        <x:v>1477</x:v>
      </x:c>
      <x:c r="C270" s="7" t="s">
        <x:v>1478</x:v>
      </x:c>
      <x:c r="D270" s="7" t="s">
        <x:v>426</x:v>
      </x:c>
      <x:c r="E270" s="10"/>
      <x:c r="F270" s="12">
        <x:v>13.84933</x:v>
      </x:c>
      <x:c r="G270" s="12">
        <x:v>100.54268</x:v>
      </x:c>
      <x:c r="H270" s="7" t="s">
        <x:v>309</x:v>
      </x:c>
      <x:c r="I270" s="14">
        <x:v>0.89</x:v>
      </x:c>
      <x:c r="J270" s="14"/>
      <x:c r="K270" s="14"/>
      <x:c r="L270" s="14">
        <x:v>0.5</x:v>
      </x:c>
      <x:c r="M270" s="14">
        <x:v>0.7</x:v>
      </x:c>
      <x:c r="N270" s="7" t="s">
        <x:v>300</x:v>
      </x:c>
      <x:c r="O270" s="7" t="s">
        <x:v>300</x:v>
      </x:c>
      <x:c r="P270" s="10"/>
      <x:c r="Q270" s="10"/>
      <x:c r="R270" s="10">
        <x:v>4477.6</x:v>
      </x:c>
      <x:c r="S270" s="7" t="s">
        <x:v>301</x:v>
      </x:c>
      <x:c r="T270" s="7" t="b">
        <x:v>0</x:v>
      </x:c>
      <x:c r="U270" s="7" t="s">
        <x:v>302</x:v>
      </x:c>
      <x:c r="V270" s="26" t="s">
        <x:v>303</x:v>
      </x:c>
      <x:c r="W270" s="7" t="s">
        <x:v>1479</x:v>
      </x:c>
    </x:row>
    <x:row r="271">
      <x:c r="A271" s="7" t="s">
        <x:v>1480</x:v>
      </x:c>
      <x:c r="B271" s="7" t="s">
        <x:v>1481</x:v>
      </x:c>
      <x:c r="C271" s="7" t="s">
        <x:v>1482</x:v>
      </x:c>
      <x:c r="D271" s="7" t="s">
        <x:v>501</x:v>
      </x:c>
      <x:c r="E271" s="10"/>
      <x:c r="F271" s="12">
        <x:v>13.75957</x:v>
      </x:c>
      <x:c r="G271" s="12">
        <x:v>100.55618</x:v>
      </x:c>
      <x:c r="H271" s="7" t="s">
        <x:v>309</x:v>
      </x:c>
      <x:c r="I271" s="14">
        <x:v>-1.03</x:v>
      </x:c>
      <x:c r="J271" s="14"/>
      <x:c r="K271" s="14"/>
      <x:c r="L271" s="14">
        <x:v>0.0</x:v>
      </x:c>
      <x:c r="M271" s="14">
        <x:v>0.1</x:v>
      </x:c>
      <x:c r="N271" s="7" t="s">
        <x:v>300</x:v>
      </x:c>
      <x:c r="O271" s="7" t="s">
        <x:v>300</x:v>
      </x:c>
      <x:c r="P271" s="10"/>
      <x:c r="Q271" s="10"/>
      <x:c r="R271" s="10">
        <x:v>4477.6</x:v>
      </x:c>
      <x:c r="S271" s="7" t="s">
        <x:v>301</x:v>
      </x:c>
      <x:c r="T271" s="7" t="b">
        <x:v>0</x:v>
      </x:c>
      <x:c r="U271" s="7" t="s">
        <x:v>302</x:v>
      </x:c>
      <x:c r="V271" s="26" t="s">
        <x:v>303</x:v>
      </x:c>
      <x:c r="W271" s="7" t="s">
        <x:v>1483</x:v>
      </x:c>
    </x:row>
    <x:row r="272">
      <x:c r="A272" s="7" t="s">
        <x:v>1484</x:v>
      </x:c>
      <x:c r="B272" s="7" t="s">
        <x:v>1485</x:v>
      </x:c>
      <x:c r="C272" s="7" t="s">
        <x:v>1486</x:v>
      </x:c>
      <x:c r="D272" s="7" t="s">
        <x:v>446</x:v>
      </x:c>
      <x:c r="E272" s="10"/>
      <x:c r="F272" s="12">
        <x:v>13.66948</x:v>
      </x:c>
      <x:c r="G272" s="12">
        <x:v>100.60535</x:v>
      </x:c>
      <x:c r="H272" s="7" t="s">
        <x:v>309</x:v>
      </x:c>
      <x:c r="I272" s="14">
        <x:v>-0.43</x:v>
      </x:c>
      <x:c r="J272" s="14"/>
      <x:c r="K272" s="14"/>
      <x:c r="L272" s="14">
        <x:v>0.5</x:v>
      </x:c>
      <x:c r="M272" s="14">
        <x:v>0.7</x:v>
      </x:c>
      <x:c r="N272" s="7" t="s">
        <x:v>300</x:v>
      </x:c>
      <x:c r="O272" s="7" t="s">
        <x:v>300</x:v>
      </x:c>
      <x:c r="P272" s="10"/>
      <x:c r="Q272" s="10"/>
      <x:c r="R272" s="10">
        <x:v>4477.6</x:v>
      </x:c>
      <x:c r="S272" s="7" t="s">
        <x:v>301</x:v>
      </x:c>
      <x:c r="T272" s="7" t="b">
        <x:v>0</x:v>
      </x:c>
      <x:c r="U272" s="7" t="s">
        <x:v>302</x:v>
      </x:c>
      <x:c r="V272" s="26" t="s">
        <x:v>303</x:v>
      </x:c>
      <x:c r="W272" s="7" t="s">
        <x:v>1487</x:v>
      </x:c>
    </x:row>
    <x:row r="273">
      <x:c r="A273" s="7" t="s">
        <x:v>1488</x:v>
      </x:c>
      <x:c r="B273" s="7" t="s">
        <x:v>1489</x:v>
      </x:c>
      <x:c r="C273" s="7" t="s">
        <x:v>1490</x:v>
      </x:c>
      <x:c r="D273" s="7" t="s">
        <x:v>347</x:v>
      </x:c>
      <x:c r="E273" s="10"/>
      <x:c r="F273" s="12">
        <x:v>13.80187</x:v>
      </x:c>
      <x:c r="G273" s="12">
        <x:v>100.39432</x:v>
      </x:c>
      <x:c r="H273" s="7" t="s">
        <x:v>309</x:v>
      </x:c>
      <x:c r="I273" s="14">
        <x:v>-1.65</x:v>
      </x:c>
      <x:c r="J273" s="14"/>
      <x:c r="K273" s="14"/>
      <x:c r="L273" s="14">
        <x:v>1.8</x:v>
      </x:c>
      <x:c r="M273" s="14">
        <x:v>2.0</x:v>
      </x:c>
      <x:c r="N273" s="7" t="s">
        <x:v>300</x:v>
      </x:c>
      <x:c r="O273" s="7" t="s">
        <x:v>300</x:v>
      </x:c>
      <x:c r="P273" s="10"/>
      <x:c r="Q273" s="10"/>
      <x:c r="R273" s="10">
        <x:v>4477.6</x:v>
      </x:c>
      <x:c r="S273" s="7" t="s">
        <x:v>301</x:v>
      </x:c>
      <x:c r="T273" s="7" t="b">
        <x:v>0</x:v>
      </x:c>
      <x:c r="U273" s="7" t="s">
        <x:v>302</x:v>
      </x:c>
      <x:c r="V273" s="26" t="s">
        <x:v>303</x:v>
      </x:c>
      <x:c r="W273" s="7" t="s">
        <x:v>1491</x:v>
      </x:c>
    </x:row>
    <x:row r="274">
      <x:c r="A274" s="7" t="s">
        <x:v>1492</x:v>
      </x:c>
      <x:c r="B274" s="7" t="s">
        <x:v>1493</x:v>
      </x:c>
      <x:c r="C274" s="7" t="s">
        <x:v>1494</x:v>
      </x:c>
      <x:c r="D274" s="7" t="s">
        <x:v>397</x:v>
      </x:c>
      <x:c r="E274" s="10"/>
      <x:c r="F274" s="12">
        <x:v>13.83374</x:v>
      </x:c>
      <x:c r="G274" s="12">
        <x:v>100.52207</x:v>
      </x:c>
      <x:c r="H274" s="7" t="s">
        <x:v>309</x:v>
      </x:c>
      <x:c r="I274" s="14">
        <x:v>0.24</x:v>
      </x:c>
      <x:c r="J274" s="14"/>
      <x:c r="K274" s="14"/>
      <x:c r="L274" s="14">
        <x:v>0.7</x:v>
      </x:c>
      <x:c r="M274" s="14">
        <x:v>0.9</x:v>
      </x:c>
      <x:c r="N274" s="7" t="s">
        <x:v>300</x:v>
      </x:c>
      <x:c r="O274" s="7" t="s">
        <x:v>300</x:v>
      </x:c>
      <x:c r="P274" s="10"/>
      <x:c r="Q274" s="10"/>
      <x:c r="R274" s="10">
        <x:v>4477.6</x:v>
      </x:c>
      <x:c r="S274" s="7" t="s">
        <x:v>301</x:v>
      </x:c>
      <x:c r="T274" s="7" t="b">
        <x:v>0</x:v>
      </x:c>
      <x:c r="U274" s="7" t="s">
        <x:v>302</x:v>
      </x:c>
      <x:c r="V274" s="26" t="s">
        <x:v>303</x:v>
      </x:c>
      <x:c r="W274" s="7" t="s">
        <x:v>1495</x:v>
      </x:c>
    </x:row>
    <x:row r="275">
      <x:c r="A275" s="7" t="s">
        <x:v>1496</x:v>
      </x:c>
      <x:c r="B275" s="7" t="s">
        <x:v>1497</x:v>
      </x:c>
      <x:c r="C275" s="7" t="s">
        <x:v>1498</x:v>
      </x:c>
      <x:c r="D275" s="7" t="s">
        <x:v>391</x:v>
      </x:c>
      <x:c r="E275" s="10"/>
      <x:c r="F275" s="12">
        <x:v>13.76755</x:v>
      </x:c>
      <x:c r="G275" s="12">
        <x:v>100.57674</x:v>
      </x:c>
      <x:c r="H275" s="7" t="s">
        <x:v>309</x:v>
      </x:c>
      <x:c r="I275" s="14">
        <x:v>-0.24</x:v>
      </x:c>
      <x:c r="J275" s="14"/>
      <x:c r="K275" s="14"/>
      <x:c r="L275" s="14">
        <x:v>0.1</x:v>
      </x:c>
      <x:c r="M275" s="14">
        <x:v>0.3</x:v>
      </x:c>
      <x:c r="N275" s="7" t="s">
        <x:v>300</x:v>
      </x:c>
      <x:c r="O275" s="7" t="s">
        <x:v>300</x:v>
      </x:c>
      <x:c r="P275" s="10"/>
      <x:c r="Q275" s="10"/>
      <x:c r="R275" s="10">
        <x:v>4477.6</x:v>
      </x:c>
      <x:c r="S275" s="7" t="s">
        <x:v>301</x:v>
      </x:c>
      <x:c r="T275" s="7" t="b">
        <x:v>0</x:v>
      </x:c>
      <x:c r="U275" s="7" t="s">
        <x:v>302</x:v>
      </x:c>
      <x:c r="V275" s="26" t="s">
        <x:v>303</x:v>
      </x:c>
      <x:c r="W275" s="7" t="s">
        <x:v>1499</x:v>
      </x:c>
    </x:row>
    <x:row r="276">
      <x:c r="A276" s="7" t="s">
        <x:v>1500</x:v>
      </x:c>
      <x:c r="B276" s="7" t="s">
        <x:v>1501</x:v>
      </x:c>
      <x:c r="C276" s="7" t="s">
        <x:v>1502</x:v>
      </x:c>
      <x:c r="D276" s="7" t="s">
        <x:v>446</x:v>
      </x:c>
      <x:c r="E276" s="10"/>
      <x:c r="F276" s="12">
        <x:v>13.66749</x:v>
      </x:c>
      <x:c r="G276" s="12">
        <x:v>100.63337</x:v>
      </x:c>
      <x:c r="H276" s="7" t="s">
        <x:v>309</x:v>
      </x:c>
      <x:c r="I276" s="14">
        <x:v>-0.2</x:v>
      </x:c>
      <x:c r="J276" s="14"/>
      <x:c r="K276" s="14"/>
      <x:c r="L276" s="14">
        <x:v>-0.4</x:v>
      </x:c>
      <x:c r="M276" s="14">
        <x:v>-0.2</x:v>
      </x:c>
      <x:c r="N276" s="7" t="s">
        <x:v>300</x:v>
      </x:c>
      <x:c r="O276" s="7" t="s">
        <x:v>300</x:v>
      </x:c>
      <x:c r="P276" s="10"/>
      <x:c r="Q276" s="10"/>
      <x:c r="R276" s="10">
        <x:v>4477.6</x:v>
      </x:c>
      <x:c r="S276" s="7" t="s">
        <x:v>301</x:v>
      </x:c>
      <x:c r="T276" s="7" t="b">
        <x:v>0</x:v>
      </x:c>
      <x:c r="U276" s="7" t="s">
        <x:v>302</x:v>
      </x:c>
      <x:c r="V276" s="26" t="s">
        <x:v>303</x:v>
      </x:c>
      <x:c r="W276" s="7" t="s">
        <x:v>1503</x:v>
      </x:c>
    </x:row>
    <x:row r="277">
      <x:c r="A277" s="7" t="s">
        <x:v>1504</x:v>
      </x:c>
      <x:c r="B277" s="7" t="s">
        <x:v>1505</x:v>
      </x:c>
      <x:c r="C277" s="7" t="s">
        <x:v>1506</x:v>
      </x:c>
      <x:c r="D277" s="7" t="s">
        <x:v>370</x:v>
      </x:c>
      <x:c r="E277" s="10"/>
      <x:c r="F277" s="12">
        <x:v>13.73823</x:v>
      </x:c>
      <x:c r="G277" s="12">
        <x:v>100.45901</x:v>
      </x:c>
      <x:c r="H277" s="7" t="s">
        <x:v>309</x:v>
      </x:c>
      <x:c r="I277" s="14">
        <x:v>0.35</x:v>
      </x:c>
      <x:c r="J277" s="14"/>
      <x:c r="K277" s="14"/>
      <x:c r="L277" s="14">
        <x:v>0.6</x:v>
      </x:c>
      <x:c r="M277" s="14">
        <x:v>0.7</x:v>
      </x:c>
      <x:c r="N277" s="7" t="s">
        <x:v>300</x:v>
      </x:c>
      <x:c r="O277" s="7" t="s">
        <x:v>300</x:v>
      </x:c>
      <x:c r="P277" s="10"/>
      <x:c r="Q277" s="10"/>
      <x:c r="R277" s="10">
        <x:v>4477.6</x:v>
      </x:c>
      <x:c r="S277" s="7" t="s">
        <x:v>301</x:v>
      </x:c>
      <x:c r="T277" s="7" t="b">
        <x:v>0</x:v>
      </x:c>
      <x:c r="U277" s="7" t="s">
        <x:v>302</x:v>
      </x:c>
      <x:c r="V277" s="26" t="s">
        <x:v>303</x:v>
      </x:c>
      <x:c r="W277" s="7" t="s">
        <x:v>1507</x:v>
      </x:c>
    </x:row>
    <x:row r="278">
      <x:c r="A278" s="7" t="s">
        <x:v>1508</x:v>
      </x:c>
      <x:c r="B278" s="7" t="s">
        <x:v>1509</x:v>
      </x:c>
      <x:c r="C278" s="7" t="s">
        <x:v>1510</x:v>
      </x:c>
      <x:c r="D278" s="7" t="s">
        <x:v>403</x:v>
      </x:c>
      <x:c r="E278" s="10"/>
      <x:c r="F278" s="12">
        <x:v>13.84162</x:v>
      </x:c>
      <x:c r="G278" s="12">
        <x:v>100.55997</x:v>
      </x:c>
      <x:c r="H278" s="7" t="s">
        <x:v>309</x:v>
      </x:c>
      <x:c r="I278" s="14">
        <x:v>-0.92</x:v>
      </x:c>
      <x:c r="J278" s="14"/>
      <x:c r="K278" s="14"/>
      <x:c r="L278" s="14">
        <x:v>0.2</x:v>
      </x:c>
      <x:c r="M278" s="14">
        <x:v>0.3</x:v>
      </x:c>
      <x:c r="N278" s="7" t="s">
        <x:v>300</x:v>
      </x:c>
      <x:c r="O278" s="7" t="s">
        <x:v>300</x:v>
      </x:c>
      <x:c r="P278" s="10"/>
      <x:c r="Q278" s="10"/>
      <x:c r="R278" s="10">
        <x:v>4477.6</x:v>
      </x:c>
      <x:c r="S278" s="7" t="s">
        <x:v>301</x:v>
      </x:c>
      <x:c r="T278" s="7" t="b">
        <x:v>0</x:v>
      </x:c>
      <x:c r="U278" s="7" t="s">
        <x:v>302</x:v>
      </x:c>
      <x:c r="V278" s="26" t="s">
        <x:v>303</x:v>
      </x:c>
      <x:c r="W278" s="7" t="s">
        <x:v>1511</x:v>
      </x:c>
    </x:row>
    <x:row r="279">
      <x:c r="A279" s="7" t="s">
        <x:v>1512</x:v>
      </x:c>
      <x:c r="B279" s="7" t="s">
        <x:v>1513</x:v>
      </x:c>
      <x:c r="C279" s="7" t="s">
        <x:v>1514</x:v>
      </x:c>
      <x:c r="D279" s="7" t="s">
        <x:v>391</x:v>
      </x:c>
      <x:c r="E279" s="10"/>
      <x:c r="F279" s="12">
        <x:v>13.76217</x:v>
      </x:c>
      <x:c r="G279" s="12">
        <x:v>100.58648</x:v>
      </x:c>
      <x:c r="H279" s="7" t="s">
        <x:v>309</x:v>
      </x:c>
      <x:c r="I279" s="14">
        <x:v>-0.13</x:v>
      </x:c>
      <x:c r="J279" s="14"/>
      <x:c r="K279" s="14"/>
      <x:c r="L279" s="14">
        <x:v>0.0</x:v>
      </x:c>
      <x:c r="M279" s="14">
        <x:v>0.1</x:v>
      </x:c>
      <x:c r="N279" s="7" t="s">
        <x:v>300</x:v>
      </x:c>
      <x:c r="O279" s="7" t="s">
        <x:v>300</x:v>
      </x:c>
      <x:c r="P279" s="10"/>
      <x:c r="Q279" s="10"/>
      <x:c r="R279" s="10">
        <x:v>4477.6</x:v>
      </x:c>
      <x:c r="S279" s="7" t="s">
        <x:v>301</x:v>
      </x:c>
      <x:c r="T279" s="7" t="b">
        <x:v>0</x:v>
      </x:c>
      <x:c r="U279" s="7" t="s">
        <x:v>302</x:v>
      </x:c>
      <x:c r="V279" s="26" t="s">
        <x:v>303</x:v>
      </x:c>
      <x:c r="W279" s="7" t="s">
        <x:v>1515</x:v>
      </x:c>
    </x:row>
    <x:row r="280">
      <x:c r="A280" s="7" t="s">
        <x:v>1516</x:v>
      </x:c>
      <x:c r="B280" s="7" t="s">
        <x:v>1517</x:v>
      </x:c>
      <x:c r="C280" s="7" t="s">
        <x:v>1518</x:v>
      </x:c>
      <x:c r="D280" s="7" t="s">
        <x:v>1519</x:v>
      </x:c>
      <x:c r="E280" s="10"/>
      <x:c r="F280" s="12">
        <x:v>13.77927</x:v>
      </x:c>
      <x:c r="G280" s="12">
        <x:v>100.47591</x:v>
      </x:c>
      <x:c r="H280" s="7" t="s">
        <x:v>309</x:v>
      </x:c>
      <x:c r="I280" s="14">
        <x:v>-0.38</x:v>
      </x:c>
      <x:c r="J280" s="14"/>
      <x:c r="K280" s="14"/>
      <x:c r="L280" s="14">
        <x:v>0.6</x:v>
      </x:c>
      <x:c r="M280" s="14">
        <x:v>0.7</x:v>
      </x:c>
      <x:c r="N280" s="7" t="s">
        <x:v>300</x:v>
      </x:c>
      <x:c r="O280" s="7" t="s">
        <x:v>300</x:v>
      </x:c>
      <x:c r="P280" s="10"/>
      <x:c r="Q280" s="10"/>
      <x:c r="R280" s="10">
        <x:v>4477.6</x:v>
      </x:c>
      <x:c r="S280" s="7" t="s">
        <x:v>301</x:v>
      </x:c>
      <x:c r="T280" s="7" t="b">
        <x:v>0</x:v>
      </x:c>
      <x:c r="U280" s="7" t="s">
        <x:v>302</x:v>
      </x:c>
      <x:c r="V280" s="26" t="s">
        <x:v>303</x:v>
      </x:c>
      <x:c r="W280" s="7" t="s">
        <x:v>1520</x:v>
      </x:c>
    </x:row>
    <x:row r="281">
      <x:c r="A281" s="7" t="s">
        <x:v>1521</x:v>
      </x:c>
      <x:c r="B281" s="7" t="s">
        <x:v>1522</x:v>
      </x:c>
      <x:c r="C281" s="7" t="s">
        <x:v>1523</x:v>
      </x:c>
      <x:c r="D281" s="7" t="s">
        <x:v>403</x:v>
      </x:c>
      <x:c r="E281" s="10"/>
      <x:c r="F281" s="12">
        <x:v>13.85806</x:v>
      </x:c>
      <x:c r="G281" s="12">
        <x:v>100.58656</x:v>
      </x:c>
      <x:c r="H281" s="7" t="s">
        <x:v>309</x:v>
      </x:c>
      <x:c r="I281" s="14">
        <x:v>1.47</x:v>
      </x:c>
      <x:c r="J281" s="14"/>
      <x:c r="K281" s="14"/>
      <x:c r="L281" s="14">
        <x:v>0.7</x:v>
      </x:c>
      <x:c r="M281" s="14">
        <x:v>0.8</x:v>
      </x:c>
      <x:c r="N281" s="7" t="s">
        <x:v>300</x:v>
      </x:c>
      <x:c r="O281" s="7" t="s">
        <x:v>300</x:v>
      </x:c>
      <x:c r="P281" s="10"/>
      <x:c r="Q281" s="10"/>
      <x:c r="R281" s="10">
        <x:v>4477.6</x:v>
      </x:c>
      <x:c r="S281" s="7" t="s">
        <x:v>301</x:v>
      </x:c>
      <x:c r="T281" s="7" t="b">
        <x:v>0</x:v>
      </x:c>
      <x:c r="U281" s="7" t="s">
        <x:v>302</x:v>
      </x:c>
      <x:c r="V281" s="26" t="s">
        <x:v>303</x:v>
      </x:c>
      <x:c r="W281" s="7" t="s">
        <x:v>1524</x:v>
      </x:c>
    </x:row>
    <x:row r="282">
      <x:c r="A282" s="7" t="s">
        <x:v>1525</x:v>
      </x:c>
      <x:c r="B282" s="7" t="s">
        <x:v>1526</x:v>
      </x:c>
      <x:c r="C282" s="7" t="s">
        <x:v>1527</x:v>
      </x:c>
      <x:c r="D282" s="7" t="s">
        <x:v>1038</x:v>
      </x:c>
      <x:c r="E282" s="10"/>
      <x:c r="F282" s="12">
        <x:v>13.77571</x:v>
      </x:c>
      <x:c r="G282" s="12">
        <x:v>100.48371</x:v>
      </x:c>
      <x:c r="H282" s="7" t="s">
        <x:v>309</x:v>
      </x:c>
      <x:c r="I282" s="14">
        <x:v>-0.39</x:v>
      </x:c>
      <x:c r="J282" s="14"/>
      <x:c r="K282" s="14"/>
      <x:c r="L282" s="14">
        <x:v>0.6</x:v>
      </x:c>
      <x:c r="M282" s="14">
        <x:v>0.7</x:v>
      </x:c>
      <x:c r="N282" s="7" t="s">
        <x:v>300</x:v>
      </x:c>
      <x:c r="O282" s="7" t="s">
        <x:v>300</x:v>
      </x:c>
      <x:c r="P282" s="10"/>
      <x:c r="Q282" s="10"/>
      <x:c r="R282" s="10">
        <x:v>4477.6</x:v>
      </x:c>
      <x:c r="S282" s="7" t="s">
        <x:v>301</x:v>
      </x:c>
      <x:c r="T282" s="7" t="b">
        <x:v>0</x:v>
      </x:c>
      <x:c r="U282" s="7" t="s">
        <x:v>302</x:v>
      </x:c>
      <x:c r="V282" s="26" t="s">
        <x:v>303</x:v>
      </x:c>
      <x:c r="W282" s="7" t="s">
        <x:v>1528</x:v>
      </x:c>
    </x:row>
    <x:row r="283">
      <x:c r="A283" s="7" t="s">
        <x:v>1529</x:v>
      </x:c>
      <x:c r="B283" s="7" t="s">
        <x:v>1530</x:v>
      </x:c>
      <x:c r="C283" s="7" t="s">
        <x:v>1531</x:v>
      </x:c>
      <x:c r="D283" s="7" t="s">
        <x:v>549</x:v>
      </x:c>
      <x:c r="E283" s="10"/>
      <x:c r="F283" s="12">
        <x:v>13.74019</x:v>
      </x:c>
      <x:c r="G283" s="12">
        <x:v>100.58037</x:v>
      </x:c>
      <x:c r="H283" s="7" t="s">
        <x:v>309</x:v>
      </x:c>
      <x:c r="I283" s="14">
        <x:v>-1.76</x:v>
      </x:c>
      <x:c r="J283" s="14"/>
      <x:c r="K283" s="14"/>
      <x:c r="L283" s="14">
        <x:v>-0.2</x:v>
      </x:c>
      <x:c r="M283" s="14">
        <x:v>0.0</x:v>
      </x:c>
      <x:c r="N283" s="7" t="s">
        <x:v>300</x:v>
      </x:c>
      <x:c r="O283" s="7" t="s">
        <x:v>300</x:v>
      </x:c>
      <x:c r="P283" s="10"/>
      <x:c r="Q283" s="10"/>
      <x:c r="R283" s="10">
        <x:v>4477.6</x:v>
      </x:c>
      <x:c r="S283" s="7" t="s">
        <x:v>301</x:v>
      </x:c>
      <x:c r="T283" s="7" t="b">
        <x:v>0</x:v>
      </x:c>
      <x:c r="U283" s="7" t="s">
        <x:v>302</x:v>
      </x:c>
      <x:c r="V283" s="26" t="s">
        <x:v>303</x:v>
      </x:c>
      <x:c r="W283" s="7" t="s">
        <x:v>1532</x:v>
      </x:c>
    </x:row>
    <x:row r="284">
      <x:c r="A284" s="53"/>
      <x:c r="B284" s="53"/>
      <x:c r="C284" s="53"/>
      <x:c r="D284" s="53"/>
      <x:c r="E284" s="53"/>
      <x:c r="F284" s="53"/>
      <x:c r="G284" s="53"/>
      <x:c r="H284" s="53"/>
      <x:c r="I284" s="53"/>
      <x:c r="J284" s="53"/>
      <x:c r="K284" s="53"/>
      <x:c r="L284" s="53"/>
      <x:c r="M284" s="53"/>
      <x:c r="N284" s="53"/>
      <x:c r="O284" s="53"/>
      <x:c r="P284" s="53"/>
      <x:c r="Q284" s="53"/>
      <x:c r="R284" s="53"/>
      <x:c r="S284" s="53"/>
      <x:c r="T284" s="53"/>
      <x:c r="U284" s="53"/>
      <x:c r="V284" s="53"/>
      <x:c r="W284" s="53"/>
    </x:row>
    <x:row r="285">
      <x:c r="A285" s="53"/>
      <x:c r="B285" s="53"/>
      <x:c r="C285" s="53"/>
      <x:c r="D285" s="53"/>
      <x:c r="E285" s="53"/>
      <x:c r="F285" s="53"/>
      <x:c r="G285" s="53"/>
      <x:c r="H285" s="53"/>
      <x:c r="I285" s="53"/>
      <x:c r="J285" s="53"/>
      <x:c r="K285" s="53"/>
      <x:c r="L285" s="53"/>
      <x:c r="M285" s="53"/>
      <x:c r="N285" s="53"/>
      <x:c r="O285" s="53"/>
      <x:c r="P285" s="53"/>
      <x:c r="Q285" s="53"/>
      <x:c r="R285" s="53"/>
      <x:c r="S285" s="53"/>
      <x:c r="T285" s="53"/>
      <x:c r="U285" s="53"/>
      <x:c r="V285" s="53"/>
      <x:c r="W285" s="53"/>
    </x:row>
    <x:row r="286">
      <x:c r="A286" s="53"/>
      <x:c r="B286" s="53"/>
      <x:c r="C286" s="53"/>
      <x:c r="D286" s="53"/>
      <x:c r="E286" s="53"/>
      <x:c r="F286" s="53"/>
      <x:c r="G286" s="53"/>
      <x:c r="H286" s="53"/>
      <x:c r="I286" s="53"/>
      <x:c r="J286" s="53"/>
      <x:c r="K286" s="53"/>
      <x:c r="L286" s="53"/>
      <x:c r="M286" s="53"/>
      <x:c r="N286" s="53"/>
      <x:c r="O286" s="53"/>
      <x:c r="P286" s="53"/>
      <x:c r="Q286" s="53"/>
      <x:c r="R286" s="53"/>
      <x:c r="S286" s="53"/>
      <x:c r="T286" s="53"/>
      <x:c r="U286" s="53"/>
      <x:c r="V286" s="53"/>
      <x:c r="W286" s="53"/>
    </x:row>
    <x:row r="287">
      <x:c r="A287" s="53"/>
      <x:c r="B287" s="53"/>
      <x:c r="C287" s="53"/>
      <x:c r="D287" s="53"/>
      <x:c r="E287" s="53"/>
      <x:c r="F287" s="53"/>
      <x:c r="G287" s="53"/>
      <x:c r="H287" s="53"/>
      <x:c r="I287" s="53"/>
      <x:c r="J287" s="53"/>
      <x:c r="K287" s="53"/>
      <x:c r="L287" s="53"/>
      <x:c r="M287" s="53"/>
      <x:c r="N287" s="53"/>
      <x:c r="O287" s="53"/>
      <x:c r="P287" s="53"/>
      <x:c r="Q287" s="53"/>
      <x:c r="R287" s="53"/>
      <x:c r="S287" s="53"/>
      <x:c r="T287" s="53"/>
      <x:c r="U287" s="53"/>
      <x:c r="V287" s="53"/>
      <x:c r="W287" s="53"/>
    </x:row>
    <x:row r="288">
      <x:c r="A288" s="53"/>
      <x:c r="B288" s="53"/>
      <x:c r="C288" s="53"/>
      <x:c r="D288" s="53"/>
      <x:c r="E288" s="53"/>
      <x:c r="F288" s="53"/>
      <x:c r="G288" s="53"/>
      <x:c r="H288" s="53"/>
      <x:c r="I288" s="53"/>
      <x:c r="J288" s="53"/>
      <x:c r="K288" s="53"/>
      <x:c r="L288" s="53"/>
      <x:c r="M288" s="53"/>
      <x:c r="N288" s="53"/>
      <x:c r="O288" s="53"/>
      <x:c r="P288" s="53"/>
      <x:c r="Q288" s="53"/>
      <x:c r="R288" s="53"/>
      <x:c r="S288" s="53"/>
      <x:c r="T288" s="53"/>
      <x:c r="U288" s="53"/>
      <x:c r="V288" s="53"/>
      <x:c r="W288" s="53"/>
    </x:row>
    <x:row r="289">
      <x:c r="A289" s="53"/>
      <x:c r="B289" s="53"/>
      <x:c r="C289" s="53"/>
      <x:c r="D289" s="53"/>
      <x:c r="E289" s="53"/>
      <x:c r="F289" s="53"/>
      <x:c r="G289" s="53"/>
      <x:c r="H289" s="53"/>
      <x:c r="I289" s="53"/>
      <x:c r="J289" s="53"/>
      <x:c r="K289" s="53"/>
      <x:c r="L289" s="53"/>
      <x:c r="M289" s="53"/>
      <x:c r="N289" s="53"/>
      <x:c r="O289" s="53"/>
      <x:c r="P289" s="53"/>
      <x:c r="Q289" s="53"/>
      <x:c r="R289" s="53"/>
      <x:c r="S289" s="53"/>
      <x:c r="T289" s="53"/>
      <x:c r="U289" s="53"/>
      <x:c r="V289" s="53"/>
      <x:c r="W289" s="53"/>
    </x:row>
    <x:row r="290">
      <x:c r="A290" s="53"/>
      <x:c r="B290" s="53"/>
      <x:c r="C290" s="53"/>
      <x:c r="D290" s="53"/>
      <x:c r="E290" s="53"/>
      <x:c r="F290" s="53"/>
      <x:c r="G290" s="53"/>
      <x:c r="H290" s="53"/>
      <x:c r="I290" s="53"/>
      <x:c r="J290" s="53"/>
      <x:c r="K290" s="53"/>
      <x:c r="L290" s="53"/>
      <x:c r="M290" s="53"/>
      <x:c r="N290" s="53"/>
      <x:c r="O290" s="53"/>
      <x:c r="P290" s="53"/>
      <x:c r="Q290" s="53"/>
      <x:c r="R290" s="53"/>
      <x:c r="S290" s="53"/>
      <x:c r="T290" s="53"/>
      <x:c r="U290" s="53"/>
      <x:c r="V290" s="53"/>
      <x:c r="W290" s="53"/>
    </x:row>
    <x:row r="291">
      <x:c r="A291" s="53"/>
      <x:c r="B291" s="53"/>
      <x:c r="C291" s="53"/>
      <x:c r="D291" s="53"/>
      <x:c r="E291" s="53"/>
      <x:c r="F291" s="53"/>
      <x:c r="G291" s="53"/>
      <x:c r="H291" s="53"/>
      <x:c r="I291" s="53"/>
      <x:c r="J291" s="53"/>
      <x:c r="K291" s="53"/>
      <x:c r="L291" s="53"/>
      <x:c r="M291" s="53"/>
      <x:c r="N291" s="53"/>
      <x:c r="O291" s="53"/>
      <x:c r="P291" s="53"/>
      <x:c r="Q291" s="53"/>
      <x:c r="R291" s="53"/>
      <x:c r="S291" s="53"/>
      <x:c r="T291" s="53"/>
      <x:c r="U291" s="53"/>
      <x:c r="V291" s="53"/>
      <x:c r="W291" s="53"/>
    </x:row>
    <x:row r="292">
      <x:c r="A292" s="53"/>
      <x:c r="B292" s="53"/>
      <x:c r="C292" s="53"/>
      <x:c r="D292" s="53"/>
      <x:c r="E292" s="53"/>
      <x:c r="F292" s="53"/>
      <x:c r="G292" s="53"/>
      <x:c r="H292" s="53"/>
      <x:c r="I292" s="53"/>
      <x:c r="J292" s="53"/>
      <x:c r="K292" s="53"/>
      <x:c r="L292" s="53"/>
      <x:c r="M292" s="53"/>
      <x:c r="N292" s="53"/>
      <x:c r="O292" s="53"/>
      <x:c r="P292" s="53"/>
      <x:c r="Q292" s="53"/>
      <x:c r="R292" s="53"/>
      <x:c r="S292" s="53"/>
      <x:c r="T292" s="53"/>
      <x:c r="U292" s="53"/>
      <x:c r="V292" s="53"/>
      <x:c r="W292" s="53"/>
    </x:row>
    <x:row r="293">
      <x:c r="A293" s="53"/>
      <x:c r="B293" s="53"/>
      <x:c r="C293" s="53"/>
      <x:c r="D293" s="53"/>
      <x:c r="E293" s="53"/>
      <x:c r="F293" s="53"/>
      <x:c r="G293" s="53"/>
      <x:c r="H293" s="53"/>
      <x:c r="I293" s="53"/>
      <x:c r="J293" s="53"/>
      <x:c r="K293" s="53"/>
      <x:c r="L293" s="53"/>
      <x:c r="M293" s="53"/>
      <x:c r="N293" s="53"/>
      <x:c r="O293" s="53"/>
      <x:c r="P293" s="53"/>
      <x:c r="Q293" s="53"/>
      <x:c r="R293" s="53"/>
      <x:c r="S293" s="53"/>
      <x:c r="T293" s="53"/>
      <x:c r="U293" s="53"/>
      <x:c r="V293" s="53"/>
      <x:c r="W293" s="53"/>
    </x:row>
    <x:row r="294">
      <x:c r="A294" s="53"/>
      <x:c r="B294" s="53"/>
      <x:c r="C294" s="53"/>
      <x:c r="D294" s="53"/>
      <x:c r="E294" s="53"/>
      <x:c r="F294" s="53"/>
      <x:c r="G294" s="53"/>
      <x:c r="H294" s="53"/>
      <x:c r="I294" s="53"/>
      <x:c r="J294" s="53"/>
      <x:c r="K294" s="53"/>
      <x:c r="L294" s="53"/>
      <x:c r="M294" s="53"/>
      <x:c r="N294" s="53"/>
      <x:c r="O294" s="53"/>
      <x:c r="P294" s="53"/>
      <x:c r="Q294" s="53"/>
      <x:c r="R294" s="53"/>
      <x:c r="S294" s="53"/>
      <x:c r="T294" s="53"/>
      <x:c r="U294" s="53"/>
      <x:c r="V294" s="53"/>
      <x:c r="W294" s="53"/>
    </x:row>
    <x:row r="295">
      <x:c r="A295" s="53"/>
      <x:c r="B295" s="53"/>
      <x:c r="C295" s="53"/>
      <x:c r="D295" s="53"/>
      <x:c r="E295" s="53"/>
      <x:c r="F295" s="53"/>
      <x:c r="G295" s="53"/>
      <x:c r="H295" s="53"/>
      <x:c r="I295" s="53"/>
      <x:c r="J295" s="53"/>
      <x:c r="K295" s="53"/>
      <x:c r="L295" s="53"/>
      <x:c r="M295" s="53"/>
      <x:c r="N295" s="53"/>
      <x:c r="O295" s="53"/>
      <x:c r="P295" s="53"/>
      <x:c r="Q295" s="53"/>
      <x:c r="R295" s="53"/>
      <x:c r="S295" s="53"/>
      <x:c r="T295" s="53"/>
      <x:c r="U295" s="53"/>
      <x:c r="V295" s="53"/>
      <x:c r="W295" s="53"/>
    </x:row>
    <x:row r="296">
      <x:c r="A296" s="53"/>
      <x:c r="B296" s="53"/>
      <x:c r="C296" s="53"/>
      <x:c r="D296" s="53"/>
      <x:c r="E296" s="53"/>
      <x:c r="F296" s="53"/>
      <x:c r="G296" s="53"/>
      <x:c r="H296" s="53"/>
      <x:c r="I296" s="53"/>
      <x:c r="J296" s="53"/>
      <x:c r="K296" s="53"/>
      <x:c r="L296" s="53"/>
      <x:c r="M296" s="53"/>
      <x:c r="N296" s="53"/>
      <x:c r="O296" s="53"/>
      <x:c r="P296" s="53"/>
      <x:c r="Q296" s="53"/>
      <x:c r="R296" s="53"/>
      <x:c r="S296" s="53"/>
      <x:c r="T296" s="53"/>
      <x:c r="U296" s="53"/>
      <x:c r="V296" s="53"/>
      <x:c r="W296" s="53"/>
    </x:row>
    <x:row r="297">
      <x:c r="A297" s="53"/>
      <x:c r="B297" s="53"/>
      <x:c r="C297" s="53"/>
      <x:c r="D297" s="53"/>
      <x:c r="E297" s="53"/>
      <x:c r="F297" s="53"/>
      <x:c r="G297" s="53"/>
      <x:c r="H297" s="53"/>
      <x:c r="I297" s="53"/>
      <x:c r="J297" s="53"/>
      <x:c r="K297" s="53"/>
      <x:c r="L297" s="53"/>
      <x:c r="M297" s="53"/>
      <x:c r="N297" s="53"/>
      <x:c r="O297" s="53"/>
      <x:c r="P297" s="53"/>
      <x:c r="Q297" s="53"/>
      <x:c r="R297" s="53"/>
      <x:c r="S297" s="53"/>
      <x:c r="T297" s="53"/>
      <x:c r="U297" s="53"/>
      <x:c r="V297" s="53"/>
      <x:c r="W297" s="53"/>
    </x:row>
    <x:row r="298">
      <x:c r="A298" s="53"/>
      <x:c r="B298" s="53"/>
      <x:c r="C298" s="53"/>
      <x:c r="D298" s="53"/>
      <x:c r="E298" s="53"/>
      <x:c r="F298" s="53"/>
      <x:c r="G298" s="53"/>
      <x:c r="H298" s="53"/>
      <x:c r="I298" s="53"/>
      <x:c r="J298" s="53"/>
      <x:c r="K298" s="53"/>
      <x:c r="L298" s="53"/>
      <x:c r="M298" s="53"/>
      <x:c r="N298" s="53"/>
      <x:c r="O298" s="53"/>
      <x:c r="P298" s="53"/>
      <x:c r="Q298" s="53"/>
      <x:c r="R298" s="53"/>
      <x:c r="S298" s="53"/>
      <x:c r="T298" s="53"/>
      <x:c r="U298" s="53"/>
      <x:c r="V298" s="53"/>
      <x:c r="W298" s="53"/>
    </x:row>
    <x:row r="299">
      <x:c r="A299" s="53"/>
      <x:c r="B299" s="53"/>
      <x:c r="C299" s="53"/>
      <x:c r="D299" s="53"/>
      <x:c r="E299" s="53"/>
      <x:c r="F299" s="53"/>
      <x:c r="G299" s="53"/>
      <x:c r="H299" s="53"/>
      <x:c r="I299" s="53"/>
      <x:c r="J299" s="53"/>
      <x:c r="K299" s="53"/>
      <x:c r="L299" s="53"/>
      <x:c r="M299" s="53"/>
      <x:c r="N299" s="53"/>
      <x:c r="O299" s="53"/>
      <x:c r="P299" s="53"/>
      <x:c r="Q299" s="53"/>
      <x:c r="R299" s="53"/>
      <x:c r="S299" s="53"/>
      <x:c r="T299" s="53"/>
      <x:c r="U299" s="53"/>
      <x:c r="V299" s="53"/>
      <x:c r="W299" s="53"/>
    </x:row>
    <x:row r="300">
      <x:c r="A300" s="53"/>
      <x:c r="B300" s="53"/>
      <x:c r="C300" s="53"/>
      <x:c r="D300" s="53"/>
      <x:c r="E300" s="53"/>
      <x:c r="F300" s="53"/>
      <x:c r="G300" s="53"/>
      <x:c r="H300" s="53"/>
      <x:c r="I300" s="53"/>
      <x:c r="J300" s="53"/>
      <x:c r="K300" s="53"/>
      <x:c r="L300" s="53"/>
      <x:c r="M300" s="53"/>
      <x:c r="N300" s="53"/>
      <x:c r="O300" s="53"/>
      <x:c r="P300" s="53"/>
      <x:c r="Q300" s="53"/>
      <x:c r="R300" s="53"/>
      <x:c r="S300" s="53"/>
      <x:c r="T300" s="53"/>
      <x:c r="U300" s="53"/>
      <x:c r="V300" s="53"/>
      <x:c r="W300" s="53"/>
    </x:row>
    <x:row r="301">
      <x:c r="A301" s="53"/>
      <x:c r="B301" s="53"/>
      <x:c r="C301" s="53"/>
      <x:c r="D301" s="53"/>
      <x:c r="E301" s="53"/>
      <x:c r="F301" s="53"/>
      <x:c r="G301" s="53"/>
      <x:c r="H301" s="53"/>
      <x:c r="I301" s="53"/>
      <x:c r="J301" s="53"/>
      <x:c r="K301" s="53"/>
      <x:c r="L301" s="53"/>
      <x:c r="M301" s="53"/>
      <x:c r="N301" s="53"/>
      <x:c r="O301" s="53"/>
      <x:c r="P301" s="53"/>
      <x:c r="Q301" s="53"/>
      <x:c r="R301" s="53"/>
      <x:c r="S301" s="53"/>
      <x:c r="T301" s="53"/>
      <x:c r="U301" s="53"/>
      <x:c r="V301" s="53"/>
      <x:c r="W301" s="53"/>
    </x:row>
    <x:row r="302">
      <x:c r="A302" s="53"/>
      <x:c r="B302" s="53"/>
      <x:c r="C302" s="53"/>
      <x:c r="D302" s="53"/>
      <x:c r="E302" s="53"/>
      <x:c r="F302" s="53"/>
      <x:c r="G302" s="53"/>
      <x:c r="H302" s="53"/>
      <x:c r="I302" s="53"/>
      <x:c r="J302" s="53"/>
      <x:c r="K302" s="53"/>
      <x:c r="L302" s="53"/>
      <x:c r="M302" s="53"/>
      <x:c r="N302" s="53"/>
      <x:c r="O302" s="53"/>
      <x:c r="P302" s="53"/>
      <x:c r="Q302" s="53"/>
      <x:c r="R302" s="53"/>
      <x:c r="S302" s="53"/>
      <x:c r="T302" s="53"/>
      <x:c r="U302" s="53"/>
      <x:c r="V302" s="53"/>
      <x:c r="W302" s="53"/>
    </x:row>
    <x:row r="303">
      <x:c r="A303" s="53"/>
      <x:c r="B303" s="53"/>
      <x:c r="C303" s="53"/>
      <x:c r="D303" s="53"/>
      <x:c r="E303" s="53"/>
      <x:c r="F303" s="53"/>
      <x:c r="G303" s="53"/>
      <x:c r="H303" s="53"/>
      <x:c r="I303" s="53"/>
      <x:c r="J303" s="53"/>
      <x:c r="K303" s="53"/>
      <x:c r="L303" s="53"/>
      <x:c r="M303" s="53"/>
      <x:c r="N303" s="53"/>
      <x:c r="O303" s="53"/>
      <x:c r="P303" s="53"/>
      <x:c r="Q303" s="53"/>
      <x:c r="R303" s="53"/>
      <x:c r="S303" s="53"/>
      <x:c r="T303" s="53"/>
      <x:c r="U303" s="53"/>
      <x:c r="V303" s="53"/>
      <x:c r="W303" s="53"/>
    </x:row>
    <x:row r="304">
      <x:c r="A304" s="53"/>
      <x:c r="B304" s="53"/>
      <x:c r="C304" s="53"/>
      <x:c r="D304" s="53"/>
      <x:c r="E304" s="53"/>
      <x:c r="F304" s="53"/>
      <x:c r="G304" s="53"/>
      <x:c r="H304" s="53"/>
      <x:c r="I304" s="53"/>
      <x:c r="J304" s="53"/>
      <x:c r="K304" s="53"/>
      <x:c r="L304" s="53"/>
      <x:c r="M304" s="53"/>
      <x:c r="N304" s="53"/>
      <x:c r="O304" s="53"/>
      <x:c r="P304" s="53"/>
      <x:c r="Q304" s="53"/>
      <x:c r="R304" s="53"/>
      <x:c r="S304" s="53"/>
      <x:c r="T304" s="53"/>
      <x:c r="U304" s="53"/>
      <x:c r="V304" s="53"/>
      <x:c r="W304" s="53"/>
    </x:row>
  </x:sheetData>
  <x:hyperlinks>
    <x:hyperlink xmlns:r="http://schemas.openxmlformats.org/officeDocument/2006/relationships" ref="V2" r:id="R0add13292ccb49ff"/>
    <x:hyperlink xmlns:r="http://schemas.openxmlformats.org/officeDocument/2006/relationships" ref="V3" r:id="Rff73486c816647db"/>
    <x:hyperlink xmlns:r="http://schemas.openxmlformats.org/officeDocument/2006/relationships" ref="V4" r:id="Rcb6fca1adcd84f44"/>
    <x:hyperlink xmlns:r="http://schemas.openxmlformats.org/officeDocument/2006/relationships" ref="V5" r:id="Rca662267a3fe4415"/>
    <x:hyperlink xmlns:r="http://schemas.openxmlformats.org/officeDocument/2006/relationships" ref="V6" r:id="R313c84c1f43b447f"/>
    <x:hyperlink xmlns:r="http://schemas.openxmlformats.org/officeDocument/2006/relationships" ref="V7" r:id="R1259de50b4614fa6"/>
    <x:hyperlink xmlns:r="http://schemas.openxmlformats.org/officeDocument/2006/relationships" ref="V8" r:id="R123c509ba9724d97"/>
    <x:hyperlink xmlns:r="http://schemas.openxmlformats.org/officeDocument/2006/relationships" ref="V9" r:id="R4983b6b116f1429c"/>
    <x:hyperlink xmlns:r="http://schemas.openxmlformats.org/officeDocument/2006/relationships" ref="V10" r:id="R4f9a0e4d6c684773"/>
    <x:hyperlink xmlns:r="http://schemas.openxmlformats.org/officeDocument/2006/relationships" ref="V11" r:id="R88e68b2ef2364c4b"/>
    <x:hyperlink xmlns:r="http://schemas.openxmlformats.org/officeDocument/2006/relationships" ref="V12" r:id="R8b827076a00b4f68"/>
    <x:hyperlink xmlns:r="http://schemas.openxmlformats.org/officeDocument/2006/relationships" ref="V13" r:id="R38f5e4c3b0504d15"/>
    <x:hyperlink xmlns:r="http://schemas.openxmlformats.org/officeDocument/2006/relationships" ref="V14" r:id="Ra49ae7928b664ffd"/>
    <x:hyperlink xmlns:r="http://schemas.openxmlformats.org/officeDocument/2006/relationships" ref="V15" r:id="R63a3facf42d84f4d"/>
    <x:hyperlink xmlns:r="http://schemas.openxmlformats.org/officeDocument/2006/relationships" ref="V16" r:id="Rdf990d679cf34aaa"/>
    <x:hyperlink xmlns:r="http://schemas.openxmlformats.org/officeDocument/2006/relationships" ref="V17" r:id="Rb1252ced650542e0"/>
    <x:hyperlink xmlns:r="http://schemas.openxmlformats.org/officeDocument/2006/relationships" ref="V18" r:id="R70e302d3b8b14f95"/>
    <x:hyperlink xmlns:r="http://schemas.openxmlformats.org/officeDocument/2006/relationships" ref="V19" r:id="Rff6f494d4e4a43a7"/>
    <x:hyperlink xmlns:r="http://schemas.openxmlformats.org/officeDocument/2006/relationships" ref="V20" r:id="Re69d9f888a7444a2"/>
    <x:hyperlink xmlns:r="http://schemas.openxmlformats.org/officeDocument/2006/relationships" ref="V21" r:id="R4794106535be4532"/>
    <x:hyperlink xmlns:r="http://schemas.openxmlformats.org/officeDocument/2006/relationships" ref="V22" r:id="Rf66a89ed1e644a32"/>
    <x:hyperlink xmlns:r="http://schemas.openxmlformats.org/officeDocument/2006/relationships" ref="V23" r:id="R321c281203344b6c"/>
    <x:hyperlink xmlns:r="http://schemas.openxmlformats.org/officeDocument/2006/relationships" ref="V24" r:id="R9e8fb282a7304fc8"/>
    <x:hyperlink xmlns:r="http://schemas.openxmlformats.org/officeDocument/2006/relationships" ref="V25" r:id="R2b7d18690dcd44f7"/>
    <x:hyperlink xmlns:r="http://schemas.openxmlformats.org/officeDocument/2006/relationships" ref="V26" r:id="R246d757f878e4bca"/>
    <x:hyperlink xmlns:r="http://schemas.openxmlformats.org/officeDocument/2006/relationships" ref="V27" r:id="Ra4cf410027ef42ac"/>
    <x:hyperlink xmlns:r="http://schemas.openxmlformats.org/officeDocument/2006/relationships" ref="V28" r:id="R8223787708bf4cb9"/>
    <x:hyperlink xmlns:r="http://schemas.openxmlformats.org/officeDocument/2006/relationships" ref="V29" r:id="R8656da6109994926"/>
    <x:hyperlink xmlns:r="http://schemas.openxmlformats.org/officeDocument/2006/relationships" ref="V30" r:id="R4227b8c845734a55"/>
    <x:hyperlink xmlns:r="http://schemas.openxmlformats.org/officeDocument/2006/relationships" ref="V31" r:id="R55287e2560ba490b"/>
    <x:hyperlink xmlns:r="http://schemas.openxmlformats.org/officeDocument/2006/relationships" ref="V32" r:id="R80fb923963f04034"/>
    <x:hyperlink xmlns:r="http://schemas.openxmlformats.org/officeDocument/2006/relationships" ref="V33" r:id="Rb87d5b3af97f4c58"/>
    <x:hyperlink xmlns:r="http://schemas.openxmlformats.org/officeDocument/2006/relationships" ref="V34" r:id="R07e38841071d45e2"/>
    <x:hyperlink xmlns:r="http://schemas.openxmlformats.org/officeDocument/2006/relationships" ref="V35" r:id="Rc766e9fb74864a83"/>
    <x:hyperlink xmlns:r="http://schemas.openxmlformats.org/officeDocument/2006/relationships" ref="V36" r:id="R2d6df67b46a3447b"/>
    <x:hyperlink xmlns:r="http://schemas.openxmlformats.org/officeDocument/2006/relationships" ref="V37" r:id="R5d1affaf04ba4711"/>
    <x:hyperlink xmlns:r="http://schemas.openxmlformats.org/officeDocument/2006/relationships" ref="V38" r:id="Rbb6a9fcae229434f"/>
    <x:hyperlink xmlns:r="http://schemas.openxmlformats.org/officeDocument/2006/relationships" ref="V39" r:id="Rd04247e9546b4092"/>
    <x:hyperlink xmlns:r="http://schemas.openxmlformats.org/officeDocument/2006/relationships" ref="V40" r:id="Re589ff3c6c7247dd"/>
    <x:hyperlink xmlns:r="http://schemas.openxmlformats.org/officeDocument/2006/relationships" ref="V41" r:id="Rbe107f1546124352"/>
    <x:hyperlink xmlns:r="http://schemas.openxmlformats.org/officeDocument/2006/relationships" ref="V42" r:id="Rc2f2d2b6da5e4cb9"/>
    <x:hyperlink xmlns:r="http://schemas.openxmlformats.org/officeDocument/2006/relationships" ref="V43" r:id="Rb297b4ceca9c43dc"/>
    <x:hyperlink xmlns:r="http://schemas.openxmlformats.org/officeDocument/2006/relationships" ref="V44" r:id="R685f92c8bae84fe6"/>
    <x:hyperlink xmlns:r="http://schemas.openxmlformats.org/officeDocument/2006/relationships" ref="V45" r:id="R244bd864e58b40f2"/>
    <x:hyperlink xmlns:r="http://schemas.openxmlformats.org/officeDocument/2006/relationships" ref="V46" r:id="R79bf1bc70ed84ecd"/>
    <x:hyperlink xmlns:r="http://schemas.openxmlformats.org/officeDocument/2006/relationships" ref="V47" r:id="R5728ce497fa24b6d"/>
    <x:hyperlink xmlns:r="http://schemas.openxmlformats.org/officeDocument/2006/relationships" ref="V48" r:id="Rbd46d4798d324600"/>
    <x:hyperlink xmlns:r="http://schemas.openxmlformats.org/officeDocument/2006/relationships" ref="V49" r:id="Rb9bd4907249044da"/>
    <x:hyperlink xmlns:r="http://schemas.openxmlformats.org/officeDocument/2006/relationships" ref="V50" r:id="R64130244f4874a74"/>
    <x:hyperlink xmlns:r="http://schemas.openxmlformats.org/officeDocument/2006/relationships" ref="V51" r:id="Rac599282682e425b"/>
    <x:hyperlink xmlns:r="http://schemas.openxmlformats.org/officeDocument/2006/relationships" ref="V52" r:id="R4ba82f6ff41b47c2"/>
    <x:hyperlink xmlns:r="http://schemas.openxmlformats.org/officeDocument/2006/relationships" ref="V53" r:id="Rb4df84a14d2f4a30"/>
    <x:hyperlink xmlns:r="http://schemas.openxmlformats.org/officeDocument/2006/relationships" ref="V54" r:id="Rec697e1304b74dba"/>
    <x:hyperlink xmlns:r="http://schemas.openxmlformats.org/officeDocument/2006/relationships" ref="V55" r:id="Re4380bc636e14d6b"/>
    <x:hyperlink xmlns:r="http://schemas.openxmlformats.org/officeDocument/2006/relationships" ref="V56" r:id="Rfc350ba1ed0a4707"/>
    <x:hyperlink xmlns:r="http://schemas.openxmlformats.org/officeDocument/2006/relationships" ref="V57" r:id="Ra6540d4b91814eac"/>
    <x:hyperlink xmlns:r="http://schemas.openxmlformats.org/officeDocument/2006/relationships" ref="V58" r:id="R35e0fc5df8a54326"/>
    <x:hyperlink xmlns:r="http://schemas.openxmlformats.org/officeDocument/2006/relationships" ref="V59" r:id="R112ae4f279164a57"/>
    <x:hyperlink xmlns:r="http://schemas.openxmlformats.org/officeDocument/2006/relationships" ref="V60" r:id="Rbebd0b1d14124698"/>
    <x:hyperlink xmlns:r="http://schemas.openxmlformats.org/officeDocument/2006/relationships" ref="V61" r:id="Rec24de1bb556471e"/>
    <x:hyperlink xmlns:r="http://schemas.openxmlformats.org/officeDocument/2006/relationships" ref="V62" r:id="R450666bc32234781"/>
    <x:hyperlink xmlns:r="http://schemas.openxmlformats.org/officeDocument/2006/relationships" ref="V63" r:id="R244dc98ea2c14911"/>
    <x:hyperlink xmlns:r="http://schemas.openxmlformats.org/officeDocument/2006/relationships" ref="V64" r:id="R858a0cdf685546ae"/>
    <x:hyperlink xmlns:r="http://schemas.openxmlformats.org/officeDocument/2006/relationships" ref="V65" r:id="R3d7d8b064d4a448b"/>
    <x:hyperlink xmlns:r="http://schemas.openxmlformats.org/officeDocument/2006/relationships" ref="V66" r:id="R75e9974f4cab432b"/>
    <x:hyperlink xmlns:r="http://schemas.openxmlformats.org/officeDocument/2006/relationships" ref="V67" r:id="R4d821ae0cdfe41d5"/>
    <x:hyperlink xmlns:r="http://schemas.openxmlformats.org/officeDocument/2006/relationships" ref="V68" r:id="R70827f3ebc1043ac"/>
    <x:hyperlink xmlns:r="http://schemas.openxmlformats.org/officeDocument/2006/relationships" ref="V69" r:id="R9791ee26a58e44d3"/>
    <x:hyperlink xmlns:r="http://schemas.openxmlformats.org/officeDocument/2006/relationships" ref="V70" r:id="R4ba19fc9967141fd"/>
    <x:hyperlink xmlns:r="http://schemas.openxmlformats.org/officeDocument/2006/relationships" ref="V71" r:id="R59fcd4e892d14a25"/>
    <x:hyperlink xmlns:r="http://schemas.openxmlformats.org/officeDocument/2006/relationships" ref="V72" r:id="R5498b778e9e44cb7"/>
    <x:hyperlink xmlns:r="http://schemas.openxmlformats.org/officeDocument/2006/relationships" ref="V73" r:id="R2061eafa50624923"/>
    <x:hyperlink xmlns:r="http://schemas.openxmlformats.org/officeDocument/2006/relationships" ref="V74" r:id="Rebba118f5a9e4233"/>
    <x:hyperlink xmlns:r="http://schemas.openxmlformats.org/officeDocument/2006/relationships" ref="V75" r:id="R1189821fb8934f79"/>
    <x:hyperlink xmlns:r="http://schemas.openxmlformats.org/officeDocument/2006/relationships" ref="V76" r:id="Re4f076df0c1f4bd6"/>
    <x:hyperlink xmlns:r="http://schemas.openxmlformats.org/officeDocument/2006/relationships" ref="V77" r:id="R71ac3bb31fe94d97"/>
    <x:hyperlink xmlns:r="http://schemas.openxmlformats.org/officeDocument/2006/relationships" ref="V78" r:id="R53b8f0e55ce54039"/>
    <x:hyperlink xmlns:r="http://schemas.openxmlformats.org/officeDocument/2006/relationships" ref="V79" r:id="R461bee59ccdb4017"/>
    <x:hyperlink xmlns:r="http://schemas.openxmlformats.org/officeDocument/2006/relationships" ref="V80" r:id="R6f349bcd12ce4cdb"/>
    <x:hyperlink xmlns:r="http://schemas.openxmlformats.org/officeDocument/2006/relationships" ref="V81" r:id="R6378fb5d41d44269"/>
    <x:hyperlink xmlns:r="http://schemas.openxmlformats.org/officeDocument/2006/relationships" ref="V82" r:id="R283ea900e7344594"/>
    <x:hyperlink xmlns:r="http://schemas.openxmlformats.org/officeDocument/2006/relationships" ref="V83" r:id="R518f265a13b3409c"/>
    <x:hyperlink xmlns:r="http://schemas.openxmlformats.org/officeDocument/2006/relationships" ref="V84" r:id="Rea6662c2b93a442d"/>
    <x:hyperlink xmlns:r="http://schemas.openxmlformats.org/officeDocument/2006/relationships" ref="V85" r:id="R054edde1b14b42b2"/>
    <x:hyperlink xmlns:r="http://schemas.openxmlformats.org/officeDocument/2006/relationships" ref="V86" r:id="R1ce2bed34cf74781"/>
    <x:hyperlink xmlns:r="http://schemas.openxmlformats.org/officeDocument/2006/relationships" ref="V87" r:id="R6d013e2198ca4d38"/>
    <x:hyperlink xmlns:r="http://schemas.openxmlformats.org/officeDocument/2006/relationships" ref="V88" r:id="R18a0da0910164ad3"/>
    <x:hyperlink xmlns:r="http://schemas.openxmlformats.org/officeDocument/2006/relationships" ref="V89" r:id="Re6370ff2b8ae49a7"/>
    <x:hyperlink xmlns:r="http://schemas.openxmlformats.org/officeDocument/2006/relationships" ref="V90" r:id="R5a09c07039bf4ada"/>
    <x:hyperlink xmlns:r="http://schemas.openxmlformats.org/officeDocument/2006/relationships" ref="V91" r:id="Rbc9ac468f8794673"/>
    <x:hyperlink xmlns:r="http://schemas.openxmlformats.org/officeDocument/2006/relationships" ref="V92" r:id="R8d50701d6625448e"/>
    <x:hyperlink xmlns:r="http://schemas.openxmlformats.org/officeDocument/2006/relationships" ref="V93" r:id="R3f46e3173efe420d"/>
    <x:hyperlink xmlns:r="http://schemas.openxmlformats.org/officeDocument/2006/relationships" ref="V94" r:id="R0f36b16ba2ab44ac"/>
    <x:hyperlink xmlns:r="http://schemas.openxmlformats.org/officeDocument/2006/relationships" ref="V95" r:id="R0c90b52301024402"/>
    <x:hyperlink xmlns:r="http://schemas.openxmlformats.org/officeDocument/2006/relationships" ref="V96" r:id="R2bb7e4f0c8ba40b3"/>
    <x:hyperlink xmlns:r="http://schemas.openxmlformats.org/officeDocument/2006/relationships" ref="V97" r:id="Rcc1b7a3f336748df"/>
    <x:hyperlink xmlns:r="http://schemas.openxmlformats.org/officeDocument/2006/relationships" ref="V98" r:id="R74ba46ae72ba4582"/>
    <x:hyperlink xmlns:r="http://schemas.openxmlformats.org/officeDocument/2006/relationships" ref="V99" r:id="R7c55db2be38c4611"/>
    <x:hyperlink xmlns:r="http://schemas.openxmlformats.org/officeDocument/2006/relationships" ref="V100" r:id="Rc47d086627ec493b"/>
    <x:hyperlink xmlns:r="http://schemas.openxmlformats.org/officeDocument/2006/relationships" ref="V101" r:id="R11d8617f7d6e400e"/>
    <x:hyperlink xmlns:r="http://schemas.openxmlformats.org/officeDocument/2006/relationships" ref="V102" r:id="Rc6fe7d237ebf46aa"/>
    <x:hyperlink xmlns:r="http://schemas.openxmlformats.org/officeDocument/2006/relationships" ref="V103" r:id="R3105eb5765f54174"/>
    <x:hyperlink xmlns:r="http://schemas.openxmlformats.org/officeDocument/2006/relationships" ref="V104" r:id="R2090d174b73a4605"/>
    <x:hyperlink xmlns:r="http://schemas.openxmlformats.org/officeDocument/2006/relationships" ref="V105" r:id="Reeeb1b35ef6547ce"/>
    <x:hyperlink xmlns:r="http://schemas.openxmlformats.org/officeDocument/2006/relationships" ref="V106" r:id="Rf356ef3325614a7a"/>
    <x:hyperlink xmlns:r="http://schemas.openxmlformats.org/officeDocument/2006/relationships" ref="V107" r:id="R641b7b54e7bd40e3"/>
    <x:hyperlink xmlns:r="http://schemas.openxmlformats.org/officeDocument/2006/relationships" ref="V108" r:id="R6f3f1f116f70470d"/>
    <x:hyperlink xmlns:r="http://schemas.openxmlformats.org/officeDocument/2006/relationships" ref="V109" r:id="R00ef21415c604e07"/>
    <x:hyperlink xmlns:r="http://schemas.openxmlformats.org/officeDocument/2006/relationships" ref="V110" r:id="R9cf1185bd9434dde"/>
    <x:hyperlink xmlns:r="http://schemas.openxmlformats.org/officeDocument/2006/relationships" ref="V111" r:id="R0d7e78c8501842a0"/>
    <x:hyperlink xmlns:r="http://schemas.openxmlformats.org/officeDocument/2006/relationships" ref="V112" r:id="R369bf6d0d3b84c52"/>
    <x:hyperlink xmlns:r="http://schemas.openxmlformats.org/officeDocument/2006/relationships" ref="V113" r:id="R1b697432acd0494b"/>
    <x:hyperlink xmlns:r="http://schemas.openxmlformats.org/officeDocument/2006/relationships" ref="V114" r:id="Ra3915e161c924825"/>
    <x:hyperlink xmlns:r="http://schemas.openxmlformats.org/officeDocument/2006/relationships" ref="V115" r:id="R0f29dcf58ae34971"/>
    <x:hyperlink xmlns:r="http://schemas.openxmlformats.org/officeDocument/2006/relationships" ref="V116" r:id="R29d004c3e0334471"/>
    <x:hyperlink xmlns:r="http://schemas.openxmlformats.org/officeDocument/2006/relationships" ref="V117" r:id="R52ebca6ee2a44116"/>
    <x:hyperlink xmlns:r="http://schemas.openxmlformats.org/officeDocument/2006/relationships" ref="V118" r:id="R31cbcb0f9b7445a1"/>
    <x:hyperlink xmlns:r="http://schemas.openxmlformats.org/officeDocument/2006/relationships" ref="V119" r:id="R324d1221a90d4b61"/>
    <x:hyperlink xmlns:r="http://schemas.openxmlformats.org/officeDocument/2006/relationships" ref="V120" r:id="Reb3af7811e624616"/>
    <x:hyperlink xmlns:r="http://schemas.openxmlformats.org/officeDocument/2006/relationships" ref="V121" r:id="R62ea607f440d4d5b"/>
    <x:hyperlink xmlns:r="http://schemas.openxmlformats.org/officeDocument/2006/relationships" ref="V122" r:id="R4b4f20446f074773"/>
    <x:hyperlink xmlns:r="http://schemas.openxmlformats.org/officeDocument/2006/relationships" ref="V123" r:id="Rf1c370b987ca48c7"/>
    <x:hyperlink xmlns:r="http://schemas.openxmlformats.org/officeDocument/2006/relationships" ref="V124" r:id="R7ef4d882199e4d5e"/>
    <x:hyperlink xmlns:r="http://schemas.openxmlformats.org/officeDocument/2006/relationships" ref="V125" r:id="Rb2e02a43357e4c35"/>
    <x:hyperlink xmlns:r="http://schemas.openxmlformats.org/officeDocument/2006/relationships" ref="V126" r:id="R5549f30453ec4338"/>
    <x:hyperlink xmlns:r="http://schemas.openxmlformats.org/officeDocument/2006/relationships" ref="V127" r:id="R1ce7bdba757241d1"/>
    <x:hyperlink xmlns:r="http://schemas.openxmlformats.org/officeDocument/2006/relationships" ref="V128" r:id="R29691d36fb54457a"/>
    <x:hyperlink xmlns:r="http://schemas.openxmlformats.org/officeDocument/2006/relationships" ref="V129" r:id="Raa23b492aad2453f"/>
    <x:hyperlink xmlns:r="http://schemas.openxmlformats.org/officeDocument/2006/relationships" ref="V130" r:id="Rd02c3efda7594b34"/>
    <x:hyperlink xmlns:r="http://schemas.openxmlformats.org/officeDocument/2006/relationships" ref="V131" r:id="R79afc1838231453f"/>
    <x:hyperlink xmlns:r="http://schemas.openxmlformats.org/officeDocument/2006/relationships" ref="V132" r:id="Rbcca749796614feb"/>
    <x:hyperlink xmlns:r="http://schemas.openxmlformats.org/officeDocument/2006/relationships" ref="V133" r:id="Rf5f6647e3f6b497a"/>
    <x:hyperlink xmlns:r="http://schemas.openxmlformats.org/officeDocument/2006/relationships" ref="V134" r:id="R66203524c3ef4483"/>
    <x:hyperlink xmlns:r="http://schemas.openxmlformats.org/officeDocument/2006/relationships" ref="V135" r:id="Re443377dd3e1446d"/>
    <x:hyperlink xmlns:r="http://schemas.openxmlformats.org/officeDocument/2006/relationships" ref="V136" r:id="R67869ba883264a0a"/>
    <x:hyperlink xmlns:r="http://schemas.openxmlformats.org/officeDocument/2006/relationships" ref="V137" r:id="R7c7bd0079d9b4e15"/>
    <x:hyperlink xmlns:r="http://schemas.openxmlformats.org/officeDocument/2006/relationships" ref="V138" r:id="R8461a16360e34b76"/>
    <x:hyperlink xmlns:r="http://schemas.openxmlformats.org/officeDocument/2006/relationships" ref="V139" r:id="R9fe5a5cc62b54ebe"/>
    <x:hyperlink xmlns:r="http://schemas.openxmlformats.org/officeDocument/2006/relationships" ref="V140" r:id="Rd2ee169b3d0b474f"/>
    <x:hyperlink xmlns:r="http://schemas.openxmlformats.org/officeDocument/2006/relationships" ref="V141" r:id="R143ebdc70ce146fa"/>
    <x:hyperlink xmlns:r="http://schemas.openxmlformats.org/officeDocument/2006/relationships" ref="V142" r:id="R0f5de25b45d24dfd"/>
    <x:hyperlink xmlns:r="http://schemas.openxmlformats.org/officeDocument/2006/relationships" ref="V143" r:id="Rd0295f1b821b4822"/>
    <x:hyperlink xmlns:r="http://schemas.openxmlformats.org/officeDocument/2006/relationships" ref="V144" r:id="R2f854ab2688f431f"/>
    <x:hyperlink xmlns:r="http://schemas.openxmlformats.org/officeDocument/2006/relationships" ref="V145" r:id="R17e82f789519486f"/>
    <x:hyperlink xmlns:r="http://schemas.openxmlformats.org/officeDocument/2006/relationships" ref="V146" r:id="R5356824606ab48ee"/>
    <x:hyperlink xmlns:r="http://schemas.openxmlformats.org/officeDocument/2006/relationships" ref="V147" r:id="R7f10d59a86754859"/>
    <x:hyperlink xmlns:r="http://schemas.openxmlformats.org/officeDocument/2006/relationships" ref="V148" r:id="R546374aeb7394b6b"/>
    <x:hyperlink xmlns:r="http://schemas.openxmlformats.org/officeDocument/2006/relationships" ref="V149" r:id="R0dc24d80ca604b87"/>
    <x:hyperlink xmlns:r="http://schemas.openxmlformats.org/officeDocument/2006/relationships" ref="V150" r:id="R2d8ca5cabe514bd3"/>
    <x:hyperlink xmlns:r="http://schemas.openxmlformats.org/officeDocument/2006/relationships" ref="V151" r:id="Rcc383f73772b4989"/>
    <x:hyperlink xmlns:r="http://schemas.openxmlformats.org/officeDocument/2006/relationships" ref="V152" r:id="R9a5b5a7e64a84813"/>
    <x:hyperlink xmlns:r="http://schemas.openxmlformats.org/officeDocument/2006/relationships" ref="V153" r:id="R260df46ea591410f"/>
    <x:hyperlink xmlns:r="http://schemas.openxmlformats.org/officeDocument/2006/relationships" ref="V154" r:id="Rd10b46f1abc64040"/>
    <x:hyperlink xmlns:r="http://schemas.openxmlformats.org/officeDocument/2006/relationships" ref="V155" r:id="R2d019b3ca85b4ad4"/>
    <x:hyperlink xmlns:r="http://schemas.openxmlformats.org/officeDocument/2006/relationships" ref="V156" r:id="R1142527effba4379"/>
    <x:hyperlink xmlns:r="http://schemas.openxmlformats.org/officeDocument/2006/relationships" ref="V157" r:id="Rc55c2fdfd1674480"/>
    <x:hyperlink xmlns:r="http://schemas.openxmlformats.org/officeDocument/2006/relationships" ref="V158" r:id="Rd2cb491b46854058"/>
    <x:hyperlink xmlns:r="http://schemas.openxmlformats.org/officeDocument/2006/relationships" ref="V159" r:id="Rdb7e7fd60d554363"/>
    <x:hyperlink xmlns:r="http://schemas.openxmlformats.org/officeDocument/2006/relationships" ref="V160" r:id="R6511371044e54164"/>
    <x:hyperlink xmlns:r="http://schemas.openxmlformats.org/officeDocument/2006/relationships" ref="V161" r:id="R7b15538432ca4d4f"/>
    <x:hyperlink xmlns:r="http://schemas.openxmlformats.org/officeDocument/2006/relationships" ref="V162" r:id="Ra5678f7beaf74fb8"/>
    <x:hyperlink xmlns:r="http://schemas.openxmlformats.org/officeDocument/2006/relationships" ref="V163" r:id="R3c8b73aea7a34f3e"/>
    <x:hyperlink xmlns:r="http://schemas.openxmlformats.org/officeDocument/2006/relationships" ref="V164" r:id="R6e5d818ed7ad4d7a"/>
    <x:hyperlink xmlns:r="http://schemas.openxmlformats.org/officeDocument/2006/relationships" ref="V165" r:id="R697feaed20594035"/>
    <x:hyperlink xmlns:r="http://schemas.openxmlformats.org/officeDocument/2006/relationships" ref="V166" r:id="Rae4c9bba0ae046b1"/>
    <x:hyperlink xmlns:r="http://schemas.openxmlformats.org/officeDocument/2006/relationships" ref="V167" r:id="Rc7ba395c6aee4120"/>
    <x:hyperlink xmlns:r="http://schemas.openxmlformats.org/officeDocument/2006/relationships" ref="V168" r:id="Rcecb8040cb374179"/>
    <x:hyperlink xmlns:r="http://schemas.openxmlformats.org/officeDocument/2006/relationships" ref="V169" r:id="R270737f326ed4ca3"/>
    <x:hyperlink xmlns:r="http://schemas.openxmlformats.org/officeDocument/2006/relationships" ref="V170" r:id="R9cef4703f5c04d5c"/>
    <x:hyperlink xmlns:r="http://schemas.openxmlformats.org/officeDocument/2006/relationships" ref="V171" r:id="R31e118c85ff944ed"/>
    <x:hyperlink xmlns:r="http://schemas.openxmlformats.org/officeDocument/2006/relationships" ref="V172" r:id="R00f3647bea6b4e23"/>
    <x:hyperlink xmlns:r="http://schemas.openxmlformats.org/officeDocument/2006/relationships" ref="V173" r:id="R7611fae368d940c8"/>
    <x:hyperlink xmlns:r="http://schemas.openxmlformats.org/officeDocument/2006/relationships" ref="V174" r:id="Re363da7b75c64ea4"/>
    <x:hyperlink xmlns:r="http://schemas.openxmlformats.org/officeDocument/2006/relationships" ref="V175" r:id="Rc48e1d0b47c04850"/>
    <x:hyperlink xmlns:r="http://schemas.openxmlformats.org/officeDocument/2006/relationships" ref="V176" r:id="R988bdbb1e38444e8"/>
    <x:hyperlink xmlns:r="http://schemas.openxmlformats.org/officeDocument/2006/relationships" ref="V177" r:id="Rba40e13369014af3"/>
    <x:hyperlink xmlns:r="http://schemas.openxmlformats.org/officeDocument/2006/relationships" ref="V178" r:id="Rf4f093444eee4315"/>
    <x:hyperlink xmlns:r="http://schemas.openxmlformats.org/officeDocument/2006/relationships" ref="V179" r:id="R8a2c88f26d06415d"/>
    <x:hyperlink xmlns:r="http://schemas.openxmlformats.org/officeDocument/2006/relationships" ref="V180" r:id="Rceb6f6b9b1134aa4"/>
    <x:hyperlink xmlns:r="http://schemas.openxmlformats.org/officeDocument/2006/relationships" ref="V181" r:id="Rbe940bc900114cde"/>
    <x:hyperlink xmlns:r="http://schemas.openxmlformats.org/officeDocument/2006/relationships" ref="V182" r:id="R66d647bdd67d46a3"/>
    <x:hyperlink xmlns:r="http://schemas.openxmlformats.org/officeDocument/2006/relationships" ref="V183" r:id="Rd1fe6ffc2e714dd1"/>
    <x:hyperlink xmlns:r="http://schemas.openxmlformats.org/officeDocument/2006/relationships" ref="V184" r:id="R92ea1575ce6e40f7"/>
    <x:hyperlink xmlns:r="http://schemas.openxmlformats.org/officeDocument/2006/relationships" ref="V185" r:id="R0cf3c5c21d804040"/>
    <x:hyperlink xmlns:r="http://schemas.openxmlformats.org/officeDocument/2006/relationships" ref="V186" r:id="R3061e156ede443d1"/>
    <x:hyperlink xmlns:r="http://schemas.openxmlformats.org/officeDocument/2006/relationships" ref="V187" r:id="Ra5d38590b6eb43d2"/>
    <x:hyperlink xmlns:r="http://schemas.openxmlformats.org/officeDocument/2006/relationships" ref="V188" r:id="R443b40610ffa4f01"/>
    <x:hyperlink xmlns:r="http://schemas.openxmlformats.org/officeDocument/2006/relationships" ref="V189" r:id="R0f274db7dfed44c6"/>
    <x:hyperlink xmlns:r="http://schemas.openxmlformats.org/officeDocument/2006/relationships" ref="V190" r:id="R9216fb11022146f9"/>
    <x:hyperlink xmlns:r="http://schemas.openxmlformats.org/officeDocument/2006/relationships" ref="V191" r:id="Rfcab0538b9df45b4"/>
    <x:hyperlink xmlns:r="http://schemas.openxmlformats.org/officeDocument/2006/relationships" ref="V192" r:id="Rf988e77ca1304d84"/>
    <x:hyperlink xmlns:r="http://schemas.openxmlformats.org/officeDocument/2006/relationships" ref="V193" r:id="R0211347e9a5d48af"/>
    <x:hyperlink xmlns:r="http://schemas.openxmlformats.org/officeDocument/2006/relationships" ref="V194" r:id="Ra22af94460354afb"/>
    <x:hyperlink xmlns:r="http://schemas.openxmlformats.org/officeDocument/2006/relationships" ref="V195" r:id="Rf3bad9d6dc2c4517"/>
    <x:hyperlink xmlns:r="http://schemas.openxmlformats.org/officeDocument/2006/relationships" ref="V196" r:id="R176c6f9877294a1a"/>
    <x:hyperlink xmlns:r="http://schemas.openxmlformats.org/officeDocument/2006/relationships" ref="V197" r:id="Rf306170fbe964b25"/>
    <x:hyperlink xmlns:r="http://schemas.openxmlformats.org/officeDocument/2006/relationships" ref="V198" r:id="R220e07e533c04d79"/>
    <x:hyperlink xmlns:r="http://schemas.openxmlformats.org/officeDocument/2006/relationships" ref="V199" r:id="Ra5ee03b378e34bef"/>
    <x:hyperlink xmlns:r="http://schemas.openxmlformats.org/officeDocument/2006/relationships" ref="V200" r:id="R3ee35179ede546ad"/>
    <x:hyperlink xmlns:r="http://schemas.openxmlformats.org/officeDocument/2006/relationships" ref="V201" r:id="R6cf925eed5b84aba"/>
    <x:hyperlink xmlns:r="http://schemas.openxmlformats.org/officeDocument/2006/relationships" ref="V202" r:id="R73068fc1af404113"/>
    <x:hyperlink xmlns:r="http://schemas.openxmlformats.org/officeDocument/2006/relationships" ref="V203" r:id="R47996b0059df4999"/>
    <x:hyperlink xmlns:r="http://schemas.openxmlformats.org/officeDocument/2006/relationships" ref="V204" r:id="R807ba7b560e141f0"/>
    <x:hyperlink xmlns:r="http://schemas.openxmlformats.org/officeDocument/2006/relationships" ref="V205" r:id="R8b8a3053220c4b9f"/>
    <x:hyperlink xmlns:r="http://schemas.openxmlformats.org/officeDocument/2006/relationships" ref="V206" r:id="Rd7742ee1a29246d7"/>
    <x:hyperlink xmlns:r="http://schemas.openxmlformats.org/officeDocument/2006/relationships" ref="V207" r:id="R02f0383a1f134622"/>
    <x:hyperlink xmlns:r="http://schemas.openxmlformats.org/officeDocument/2006/relationships" ref="V208" r:id="R93ef78676e714cdc"/>
    <x:hyperlink xmlns:r="http://schemas.openxmlformats.org/officeDocument/2006/relationships" ref="V209" r:id="R7578da3ec86647b5"/>
    <x:hyperlink xmlns:r="http://schemas.openxmlformats.org/officeDocument/2006/relationships" ref="V210" r:id="Rb2c5a62737214d4f"/>
    <x:hyperlink xmlns:r="http://schemas.openxmlformats.org/officeDocument/2006/relationships" ref="V211" r:id="Rc8bfc6b88a77422a"/>
    <x:hyperlink xmlns:r="http://schemas.openxmlformats.org/officeDocument/2006/relationships" ref="V212" r:id="R7b3e86a1802c4b02"/>
    <x:hyperlink xmlns:r="http://schemas.openxmlformats.org/officeDocument/2006/relationships" ref="V213" r:id="Rd93fd57de56948d3"/>
    <x:hyperlink xmlns:r="http://schemas.openxmlformats.org/officeDocument/2006/relationships" ref="V214" r:id="Raea5dd96679e4c30"/>
    <x:hyperlink xmlns:r="http://schemas.openxmlformats.org/officeDocument/2006/relationships" ref="V215" r:id="R93bdcbc52bb044ae"/>
    <x:hyperlink xmlns:r="http://schemas.openxmlformats.org/officeDocument/2006/relationships" ref="V216" r:id="R8091d9208f924edb"/>
    <x:hyperlink xmlns:r="http://schemas.openxmlformats.org/officeDocument/2006/relationships" ref="V217" r:id="R5d088896264a4360"/>
    <x:hyperlink xmlns:r="http://schemas.openxmlformats.org/officeDocument/2006/relationships" ref="V218" r:id="R14364c0fdfb6416a"/>
    <x:hyperlink xmlns:r="http://schemas.openxmlformats.org/officeDocument/2006/relationships" ref="V219" r:id="Rfc8e59b1a14c44c6"/>
    <x:hyperlink xmlns:r="http://schemas.openxmlformats.org/officeDocument/2006/relationships" ref="V220" r:id="R4dce2285e30b4c99"/>
    <x:hyperlink xmlns:r="http://schemas.openxmlformats.org/officeDocument/2006/relationships" ref="V221" r:id="Ra24d7b855341487a"/>
    <x:hyperlink xmlns:r="http://schemas.openxmlformats.org/officeDocument/2006/relationships" ref="V222" r:id="R8aefd91de4f24ae0"/>
    <x:hyperlink xmlns:r="http://schemas.openxmlformats.org/officeDocument/2006/relationships" ref="V223" r:id="R8ec410ba3b044428"/>
    <x:hyperlink xmlns:r="http://schemas.openxmlformats.org/officeDocument/2006/relationships" ref="V224" r:id="R613e9f73d5f84de0"/>
    <x:hyperlink xmlns:r="http://schemas.openxmlformats.org/officeDocument/2006/relationships" ref="V225" r:id="Rd85aa8cdd266491c"/>
    <x:hyperlink xmlns:r="http://schemas.openxmlformats.org/officeDocument/2006/relationships" ref="V226" r:id="R62e9d3ab4bdc4925"/>
    <x:hyperlink xmlns:r="http://schemas.openxmlformats.org/officeDocument/2006/relationships" ref="V227" r:id="R2fab26f6a8b9413d"/>
    <x:hyperlink xmlns:r="http://schemas.openxmlformats.org/officeDocument/2006/relationships" ref="V228" r:id="R7d9d794c27ef4a43"/>
    <x:hyperlink xmlns:r="http://schemas.openxmlformats.org/officeDocument/2006/relationships" ref="V229" r:id="R39e6fd4980d1434d"/>
    <x:hyperlink xmlns:r="http://schemas.openxmlformats.org/officeDocument/2006/relationships" ref="V230" r:id="R4871a762301645f5"/>
    <x:hyperlink xmlns:r="http://schemas.openxmlformats.org/officeDocument/2006/relationships" ref="V231" r:id="Rf7406f52a9bb4680"/>
    <x:hyperlink xmlns:r="http://schemas.openxmlformats.org/officeDocument/2006/relationships" ref="V232" r:id="R505e966844284f77"/>
    <x:hyperlink xmlns:r="http://schemas.openxmlformats.org/officeDocument/2006/relationships" ref="V233" r:id="R809b46932db84e3f"/>
    <x:hyperlink xmlns:r="http://schemas.openxmlformats.org/officeDocument/2006/relationships" ref="V234" r:id="R440e2269be894e4d"/>
    <x:hyperlink xmlns:r="http://schemas.openxmlformats.org/officeDocument/2006/relationships" ref="V235" r:id="Rbd39a60ea53448a0"/>
    <x:hyperlink xmlns:r="http://schemas.openxmlformats.org/officeDocument/2006/relationships" ref="V236" r:id="R180260644f09499d"/>
    <x:hyperlink xmlns:r="http://schemas.openxmlformats.org/officeDocument/2006/relationships" ref="V237" r:id="R0508e05aa7cc4f89"/>
    <x:hyperlink xmlns:r="http://schemas.openxmlformats.org/officeDocument/2006/relationships" ref="V238" r:id="R379f86340e16465c"/>
    <x:hyperlink xmlns:r="http://schemas.openxmlformats.org/officeDocument/2006/relationships" ref="V239" r:id="R62a1af9661e4498b"/>
    <x:hyperlink xmlns:r="http://schemas.openxmlformats.org/officeDocument/2006/relationships" ref="V240" r:id="Rbc5e54c0b0c14f5b"/>
    <x:hyperlink xmlns:r="http://schemas.openxmlformats.org/officeDocument/2006/relationships" ref="V241" r:id="R1b74b3dfe663419f"/>
    <x:hyperlink xmlns:r="http://schemas.openxmlformats.org/officeDocument/2006/relationships" ref="V242" r:id="R6ebfc8f373f34bf4"/>
    <x:hyperlink xmlns:r="http://schemas.openxmlformats.org/officeDocument/2006/relationships" ref="V243" r:id="R6b5f7e65880d4954"/>
    <x:hyperlink xmlns:r="http://schemas.openxmlformats.org/officeDocument/2006/relationships" ref="V244" r:id="Rff49976a64434af5"/>
    <x:hyperlink xmlns:r="http://schemas.openxmlformats.org/officeDocument/2006/relationships" ref="V245" r:id="Rf9524708ceed43ce"/>
    <x:hyperlink xmlns:r="http://schemas.openxmlformats.org/officeDocument/2006/relationships" ref="V246" r:id="R7aa04c2476874abf"/>
    <x:hyperlink xmlns:r="http://schemas.openxmlformats.org/officeDocument/2006/relationships" ref="V247" r:id="R57ec2c2e02474910"/>
    <x:hyperlink xmlns:r="http://schemas.openxmlformats.org/officeDocument/2006/relationships" ref="V248" r:id="R3ebcd28694c24c2e"/>
    <x:hyperlink xmlns:r="http://schemas.openxmlformats.org/officeDocument/2006/relationships" ref="V249" r:id="R541c1e63f4574afb"/>
    <x:hyperlink xmlns:r="http://schemas.openxmlformats.org/officeDocument/2006/relationships" ref="V250" r:id="R450fd55695b145ea"/>
    <x:hyperlink xmlns:r="http://schemas.openxmlformats.org/officeDocument/2006/relationships" ref="V251" r:id="R500c0c1692c4431c"/>
    <x:hyperlink xmlns:r="http://schemas.openxmlformats.org/officeDocument/2006/relationships" ref="V252" r:id="R478a12019a464378"/>
    <x:hyperlink xmlns:r="http://schemas.openxmlformats.org/officeDocument/2006/relationships" ref="V253" r:id="Re6b47c1262e74e37"/>
    <x:hyperlink xmlns:r="http://schemas.openxmlformats.org/officeDocument/2006/relationships" ref="V254" r:id="Rd9739c943b4a4f3c"/>
    <x:hyperlink xmlns:r="http://schemas.openxmlformats.org/officeDocument/2006/relationships" ref="V255" r:id="Rabd9d8b8b5f442f0"/>
    <x:hyperlink xmlns:r="http://schemas.openxmlformats.org/officeDocument/2006/relationships" ref="V256" r:id="R75f54f2f8f7940ba"/>
    <x:hyperlink xmlns:r="http://schemas.openxmlformats.org/officeDocument/2006/relationships" ref="V257" r:id="R75de0dd2a9b54702"/>
    <x:hyperlink xmlns:r="http://schemas.openxmlformats.org/officeDocument/2006/relationships" ref="V258" r:id="Ra136c8b77dab4520"/>
    <x:hyperlink xmlns:r="http://schemas.openxmlformats.org/officeDocument/2006/relationships" ref="V259" r:id="R490f00e9624f4523"/>
    <x:hyperlink xmlns:r="http://schemas.openxmlformats.org/officeDocument/2006/relationships" ref="V260" r:id="R929bc462c5744bbd"/>
    <x:hyperlink xmlns:r="http://schemas.openxmlformats.org/officeDocument/2006/relationships" ref="V261" r:id="R49ece7d7bb0b4f49"/>
    <x:hyperlink xmlns:r="http://schemas.openxmlformats.org/officeDocument/2006/relationships" ref="V262" r:id="R751eb8d9f8204856"/>
    <x:hyperlink xmlns:r="http://schemas.openxmlformats.org/officeDocument/2006/relationships" ref="V263" r:id="R135b09ced4444564"/>
    <x:hyperlink xmlns:r="http://schemas.openxmlformats.org/officeDocument/2006/relationships" ref="V264" r:id="R4bee98f01a3d4899"/>
    <x:hyperlink xmlns:r="http://schemas.openxmlformats.org/officeDocument/2006/relationships" ref="V265" r:id="R6dda3e35da4541eb"/>
    <x:hyperlink xmlns:r="http://schemas.openxmlformats.org/officeDocument/2006/relationships" ref="V266" r:id="R5e153643e6294d04"/>
    <x:hyperlink xmlns:r="http://schemas.openxmlformats.org/officeDocument/2006/relationships" ref="V267" r:id="R113f5ac428624765"/>
    <x:hyperlink xmlns:r="http://schemas.openxmlformats.org/officeDocument/2006/relationships" ref="V268" r:id="Ra17031334997468f"/>
    <x:hyperlink xmlns:r="http://schemas.openxmlformats.org/officeDocument/2006/relationships" ref="V269" r:id="R6e46146d726f4d0f"/>
    <x:hyperlink xmlns:r="http://schemas.openxmlformats.org/officeDocument/2006/relationships" ref="V270" r:id="R6ba851a0996b4a04"/>
    <x:hyperlink xmlns:r="http://schemas.openxmlformats.org/officeDocument/2006/relationships" ref="V271" r:id="Rd9932cbdd8734633"/>
    <x:hyperlink xmlns:r="http://schemas.openxmlformats.org/officeDocument/2006/relationships" ref="V272" r:id="Rf6b12c294a234cab"/>
    <x:hyperlink xmlns:r="http://schemas.openxmlformats.org/officeDocument/2006/relationships" ref="V273" r:id="Rc6d5060752a34df0"/>
    <x:hyperlink xmlns:r="http://schemas.openxmlformats.org/officeDocument/2006/relationships" ref="V274" r:id="R92169e73c8384be1"/>
    <x:hyperlink xmlns:r="http://schemas.openxmlformats.org/officeDocument/2006/relationships" ref="V275" r:id="Rffe923f575fe42e0"/>
    <x:hyperlink xmlns:r="http://schemas.openxmlformats.org/officeDocument/2006/relationships" ref="V276" r:id="R07441b5904b0434c"/>
    <x:hyperlink xmlns:r="http://schemas.openxmlformats.org/officeDocument/2006/relationships" ref="V277" r:id="R9c9612eebf404ccf"/>
    <x:hyperlink xmlns:r="http://schemas.openxmlformats.org/officeDocument/2006/relationships" ref="V278" r:id="Rbd50e438480f4529"/>
    <x:hyperlink xmlns:r="http://schemas.openxmlformats.org/officeDocument/2006/relationships" ref="V279" r:id="R65e2fa9515c64cd0"/>
    <x:hyperlink xmlns:r="http://schemas.openxmlformats.org/officeDocument/2006/relationships" ref="V280" r:id="Re7cc24914024410b"/>
    <x:hyperlink xmlns:r="http://schemas.openxmlformats.org/officeDocument/2006/relationships" ref="V281" r:id="R429133a078054bf8"/>
    <x:hyperlink xmlns:r="http://schemas.openxmlformats.org/officeDocument/2006/relationships" ref="V282" r:id="R6df2c39161ee4092"/>
    <x:hyperlink xmlns:r="http://schemas.openxmlformats.org/officeDocument/2006/relationships" ref="V283" r:id="Rc24a7cf0e6a947c4"/>
  </x:hyperlinks>
  <x:pageMargins left="0.7" right="0.7" top="0.75" bottom="0.75" header="0.3" footer="0.3"/>
  <x:legacyDrawing xmlns:r="http://schemas.openxmlformats.org/officeDocument/2006/relationships" r:id="R8671140cef834529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.75"/>
  <x:sheetData>
    <x:row r="1">
      <x:c r="A1" s="42" t="s">
        <x:v>272</x:v>
      </x:c>
      <x:c r="B1" s="42" t="s">
        <x:v>273</x:v>
      </x:c>
      <x:c r="C1" s="42" t="s">
        <x:v>274</x:v>
      </x:c>
      <x:c r="D1" s="42" t="s">
        <x:v>275</x:v>
      </x:c>
      <x:c r="E1" s="42" t="s">
        <x:v>276</x:v>
      </x:c>
      <x:c r="F1" s="42" t="s">
        <x:v>277</x:v>
      </x:c>
      <x:c r="G1" s="42" t="s">
        <x:v>278</x:v>
      </x:c>
      <x:c r="H1" s="42" t="s">
        <x:v>279</x:v>
      </x:c>
      <x:c r="I1" s="42" t="s">
        <x:v>280</x:v>
      </x:c>
      <x:c r="J1" s="42" t="s">
        <x:v>281</x:v>
      </x:c>
      <x:c r="K1" s="42" t="s">
        <x:v>282</x:v>
      </x:c>
      <x:c r="L1" s="42" t="s">
        <x:v>283</x:v>
      </x:c>
      <x:c r="M1" s="42" t="s">
        <x:v>284</x:v>
      </x:c>
      <x:c r="N1" s="42" t="s">
        <x:v>285</x:v>
      </x:c>
      <x:c r="O1" s="42" t="s">
        <x:v>286</x:v>
      </x:c>
      <x:c r="P1" s="42" t="s">
        <x:v>287</x:v>
      </x:c>
      <x:c r="Q1" s="42" t="s">
        <x:v>288</x:v>
      </x:c>
      <x:c r="R1" s="42" t="s">
        <x:v>289</x:v>
      </x:c>
      <x:c r="S1" s="42" t="s">
        <x:v>290</x:v>
      </x:c>
      <x:c r="T1" s="42" t="s">
        <x:v>291</x:v>
      </x:c>
      <x:c r="U1" s="42" t="s">
        <x:v>292</x:v>
      </x:c>
      <x:c r="V1" s="42" t="s">
        <x:v>293</x:v>
      </x:c>
      <x:c r="W1" s="42" t="s">
        <x:v>294</x:v>
      </x:c>
      <x:c r="X1" s="41"/>
      <x:c r="Y1" s="41"/>
      <x:c r="Z1" s="41"/>
    </x:row>
    <x:row r="2">
      <x:c r="A2" s="7" t="s">
        <x:v>1533</x:v>
      </x:c>
      <x:c r="B2" s="7" t="s">
        <x:v>1534</x:v>
      </x:c>
      <x:c r="C2" s="7" t="s">
        <x:v>1535</x:v>
      </x:c>
      <x:c r="D2" s="7" t="s">
        <x:v>58</x:v>
      </x:c>
      <x:c r="E2" s="7" t="s">
        <x:v>1536</x:v>
      </x:c>
      <x:c r="F2" s="10">
        <x:v>14.21513</x:v>
      </x:c>
      <x:c r="G2" s="10">
        <x:v>99.058197</x:v>
      </x:c>
      <x:c r="H2" s="7" t="s">
        <x:v>1537</x:v>
      </x:c>
      <x:c r="I2" s="10">
        <x:v>50.27</x:v>
      </x:c>
      <x:c r="J2" s="41"/>
      <x:c r="K2" s="41"/>
      <x:c r="L2" s="41"/>
      <x:c r="M2" s="41"/>
      <x:c r="N2" s="7" t="s">
        <x:v>1538</x:v>
      </x:c>
      <x:c r="O2" s="7" t="s">
        <x:v>1539</x:v>
      </x:c>
      <x:c r="P2" s="10">
        <x:v>5.0</x:v>
      </x:c>
      <x:c r="Q2" s="41"/>
      <x:c r="R2" s="10">
        <x:v>-457.6</x:v>
      </x:c>
      <x:c r="S2" s="7" t="s">
        <x:v>1540</x:v>
      </x:c>
      <x:c r="T2" s="7" t="b">
        <x:v>0</x:v>
      </x:c>
      <x:c r="U2" s="7" t="s">
        <x:v>1541</x:v>
      </x:c>
      <x:c r="V2" s="26" t="s">
        <x:v>1542</x:v>
      </x:c>
      <x:c r="W2" s="7" t="s">
        <x:v>1543</x:v>
      </x:c>
      <x:c r="X2" s="41"/>
      <x:c r="Y2" s="41"/>
      <x:c r="Z2" s="41"/>
    </x:row>
    <x:row r="3">
      <x:c r="A3" s="7" t="s">
        <x:v>1544</x:v>
      </x:c>
      <x:c r="B3" s="7" t="s">
        <x:v>1545</x:v>
      </x:c>
      <x:c r="C3" s="7" t="s">
        <x:v>1546</x:v>
      </x:c>
      <x:c r="D3" s="7" t="s">
        <x:v>97</x:v>
      </x:c>
      <x:c r="E3" s="7" t="s">
        <x:v>1547</x:v>
      </x:c>
      <x:c r="F3" s="10">
        <x:v>13.93635</x:v>
      </x:c>
      <x:c r="G3" s="10">
        <x:v>101.972321</x:v>
      </x:c>
      <x:c r="H3" s="7" t="s">
        <x:v>1548</x:v>
      </x:c>
      <x:c r="I3" s="10">
        <x:v>23.99</x:v>
      </x:c>
      <x:c r="J3" s="41"/>
      <x:c r="K3" s="41"/>
      <x:c r="L3" s="41"/>
      <x:c r="M3" s="41"/>
      <x:c r="N3" s="7" t="s">
        <x:v>1538</x:v>
      </x:c>
      <x:c r="O3" s="7" t="s">
        <x:v>1539</x:v>
      </x:c>
      <x:c r="P3" s="10">
        <x:v>5.0</x:v>
      </x:c>
      <x:c r="Q3" s="41"/>
      <x:c r="R3" s="10">
        <x:v>82.4</x:v>
      </x:c>
      <x:c r="S3" s="7" t="s">
        <x:v>301</x:v>
      </x:c>
      <x:c r="T3" s="7" t="b">
        <x:v>0</x:v>
      </x:c>
      <x:c r="U3" s="7" t="s">
        <x:v>1541</x:v>
      </x:c>
      <x:c r="V3" s="26" t="s">
        <x:v>1542</x:v>
      </x:c>
      <x:c r="W3" s="7" t="s">
        <x:v>1549</x:v>
      </x:c>
      <x:c r="X3" s="41"/>
      <x:c r="Y3" s="41"/>
      <x:c r="Z3" s="41"/>
    </x:row>
    <x:row r="4">
      <x:c r="A4" s="7" t="s">
        <x:v>1550</x:v>
      </x:c>
      <x:c r="B4" s="7" t="s">
        <x:v>1551</x:v>
      </x:c>
      <x:c r="C4" s="7" t="s">
        <x:v>1552</x:v>
      </x:c>
      <x:c r="D4" s="7" t="s">
        <x:v>107</x:v>
      </x:c>
      <x:c r="E4" s="7" t="s">
        <x:v>1553</x:v>
      </x:c>
      <x:c r="F4" s="10">
        <x:v>12.722433</x:v>
      </x:c>
      <x:c r="G4" s="10">
        <x:v>101.95606</x:v>
      </x:c>
      <x:c r="H4" s="7" t="s">
        <x:v>1554</x:v>
      </x:c>
      <x:c r="I4" s="10">
        <x:v>6.22</x:v>
      </x:c>
      <x:c r="J4" s="41"/>
      <x:c r="K4" s="41"/>
      <x:c r="L4" s="41"/>
      <x:c r="M4" s="41"/>
      <x:c r="N4" s="7" t="s">
        <x:v>1538</x:v>
      </x:c>
      <x:c r="O4" s="7" t="s">
        <x:v>1539</x:v>
      </x:c>
      <x:c r="P4" s="10">
        <x:v>5.0</x:v>
      </x:c>
      <x:c r="Q4" s="41"/>
      <x:c r="R4" s="10">
        <x:v>12.4</x:v>
      </x:c>
      <x:c r="S4" s="7" t="s">
        <x:v>1540</x:v>
      </x:c>
      <x:c r="T4" s="7" t="b">
        <x:v>0</x:v>
      </x:c>
      <x:c r="U4" s="7" t="s">
        <x:v>1541</x:v>
      </x:c>
      <x:c r="V4" s="26" t="s">
        <x:v>1542</x:v>
      </x:c>
      <x:c r="W4" s="7" t="s">
        <x:v>1555</x:v>
      </x:c>
      <x:c r="X4" s="41"/>
      <x:c r="Y4" s="41"/>
      <x:c r="Z4" s="41"/>
    </x:row>
    <x:row r="5">
      <x:c r="A5" s="7" t="s">
        <x:v>1556</x:v>
      </x:c>
      <x:c r="B5" s="7" t="s">
        <x:v>1557</x:v>
      </x:c>
      <x:c r="C5" s="7" t="s">
        <x:v>1558</x:v>
      </x:c>
      <x:c r="D5" s="7" t="s">
        <x:v>68</x:v>
      </x:c>
      <x:c r="E5" s="7"/>
      <x:c r="F5" s="10">
        <x:v>14.36851</x:v>
      </x:c>
      <x:c r="G5" s="10">
        <x:v>100.414391</x:v>
      </x:c>
      <x:c r="H5" s="7" t="s">
        <x:v>1548</x:v>
      </x:c>
      <x:c r="I5" s="10">
        <x:v>5.24</x:v>
      </x:c>
      <x:c r="J5" s="41"/>
      <x:c r="K5" s="41"/>
      <x:c r="L5" s="41"/>
      <x:c r="M5" s="41"/>
      <x:c r="N5" s="7" t="s">
        <x:v>1538</x:v>
      </x:c>
      <x:c r="O5" s="7" t="s">
        <x:v>1539</x:v>
      </x:c>
      <x:c r="P5" s="10">
        <x:v>5.0</x:v>
      </x:c>
      <x:c r="Q5" s="41"/>
      <x:c r="R5" s="10">
        <x:v>82.4</x:v>
      </x:c>
      <x:c r="S5" s="7" t="s">
        <x:v>301</x:v>
      </x:c>
      <x:c r="T5" s="7" t="b">
        <x:v>0</x:v>
      </x:c>
      <x:c r="U5" s="7" t="s">
        <x:v>1541</x:v>
      </x:c>
      <x:c r="V5" s="26" t="s">
        <x:v>1542</x:v>
      </x:c>
      <x:c r="W5" s="7" t="s">
        <x:v>1559</x:v>
      </x:c>
      <x:c r="X5" s="41"/>
      <x:c r="Y5" s="41"/>
      <x:c r="Z5" s="41"/>
    </x:row>
    <x:row r="6">
      <x:c r="A6" s="7" t="s">
        <x:v>1560</x:v>
      </x:c>
      <x:c r="B6" s="7" t="s">
        <x:v>1561</x:v>
      </x:c>
      <x:c r="C6" s="7" t="s">
        <x:v>1562</x:v>
      </x:c>
      <x:c r="D6" s="7" t="s">
        <x:v>71</x:v>
      </x:c>
      <x:c r="E6" s="7" t="s">
        <x:v>1563</x:v>
      </x:c>
      <x:c r="F6" s="10">
        <x:v>13.661021</x:v>
      </x:c>
      <x:c r="G6" s="10">
        <x:v>100.56727</x:v>
      </x:c>
      <x:c r="H6" s="7" t="s">
        <x:v>1564</x:v>
      </x:c>
      <x:c r="I6" s="10">
        <x:v>1.57</x:v>
      </x:c>
      <x:c r="J6" s="41"/>
      <x:c r="K6" s="41"/>
      <x:c r="L6" s="41"/>
      <x:c r="M6" s="41"/>
      <x:c r="N6" s="7" t="s">
        <x:v>1538</x:v>
      </x:c>
      <x:c r="O6" s="7" t="s">
        <x:v>1539</x:v>
      </x:c>
      <x:c r="P6" s="10">
        <x:v>5.0</x:v>
      </x:c>
      <x:c r="Q6" s="41"/>
      <x:c r="R6" s="10">
        <x:v>1182.4</x:v>
      </x:c>
      <x:c r="S6" s="7" t="s">
        <x:v>301</x:v>
      </x:c>
      <x:c r="T6" s="7" t="b">
        <x:v>0</x:v>
      </x:c>
      <x:c r="U6" s="7" t="s">
        <x:v>1541</x:v>
      </x:c>
      <x:c r="V6" s="26" t="s">
        <x:v>1542</x:v>
      </x:c>
      <x:c r="W6" s="7" t="s">
        <x:v>1565</x:v>
      </x:c>
      <x:c r="X6" s="41"/>
      <x:c r="Y6" s="41"/>
      <x:c r="Z6" s="41"/>
    </x:row>
    <x:row r="7">
      <x:c r="A7" s="7" t="s">
        <x:v>1566</x:v>
      </x:c>
      <x:c r="B7" s="7" t="s">
        <x:v>1567</x:v>
      </x:c>
      <x:c r="C7" s="7" t="s">
        <x:v>1568</x:v>
      </x:c>
      <x:c r="D7" s="7" t="s">
        <x:v>55</x:v>
      </x:c>
      <x:c r="E7" s="7" t="s">
        <x:v>1569</x:v>
      </x:c>
      <x:c r="F7" s="10">
        <x:v>14.15657</x:v>
      </x:c>
      <x:c r="G7" s="10">
        <x:v>100.12744</x:v>
      </x:c>
      <x:c r="H7" s="7" t="s">
        <x:v>1554</x:v>
      </x:c>
      <x:c r="I7" s="10">
        <x:v>3.22</x:v>
      </x:c>
      <x:c r="J7" s="41"/>
      <x:c r="K7" s="41"/>
      <x:c r="L7" s="41"/>
      <x:c r="M7" s="41"/>
      <x:c r="N7" s="7" t="s">
        <x:v>1538</x:v>
      </x:c>
      <x:c r="O7" s="7" t="s">
        <x:v>1539</x:v>
      </x:c>
      <x:c r="P7" s="10">
        <x:v>5.0</x:v>
      </x:c>
      <x:c r="Q7" s="41"/>
      <x:c r="R7" s="10">
        <x:v>12.4</x:v>
      </x:c>
      <x:c r="S7" s="7" t="s">
        <x:v>1540</x:v>
      </x:c>
      <x:c r="T7" s="7" t="b">
        <x:v>0</x:v>
      </x:c>
      <x:c r="U7" s="7" t="s">
        <x:v>1541</x:v>
      </x:c>
      <x:c r="V7" s="26" t="s">
        <x:v>1542</x:v>
      </x:c>
      <x:c r="W7" s="7" t="s">
        <x:v>1570</x:v>
      </x:c>
      <x:c r="X7" s="41"/>
      <x:c r="Y7" s="41"/>
      <x:c r="Z7" s="41"/>
    </x:row>
    <x:row r="8">
      <x:c r="A8" s="7" t="s">
        <x:v>1571</x:v>
      </x:c>
      <x:c r="B8" s="7" t="s">
        <x:v>1572</x:v>
      </x:c>
      <x:c r="C8" s="7" t="s">
        <x:v>1573</x:v>
      </x:c>
      <x:c r="D8" s="7" t="s">
        <x:v>68</x:v>
      </x:c>
      <x:c r="E8" s="7" t="s">
        <x:v>1574</x:v>
      </x:c>
      <x:c r="F8" s="10">
        <x:v>14.4158</x:v>
      </x:c>
      <x:c r="G8" s="10">
        <x:v>100.44071</x:v>
      </x:c>
      <x:c r="H8" s="7" t="s">
        <x:v>1554</x:v>
      </x:c>
      <x:c r="I8" s="10">
        <x:v>6.37</x:v>
      </x:c>
      <x:c r="J8" s="41"/>
      <x:c r="K8" s="41"/>
      <x:c r="L8" s="41"/>
      <x:c r="M8" s="10"/>
      <x:c r="N8" s="7" t="s">
        <x:v>1538</x:v>
      </x:c>
      <x:c r="O8" s="7" t="s">
        <x:v>1539</x:v>
      </x:c>
      <x:c r="P8" s="10">
        <x:v>5.0</x:v>
      </x:c>
      <x:c r="Q8" s="41"/>
      <x:c r="R8" s="10">
        <x:v>12.4</x:v>
      </x:c>
      <x:c r="S8" s="7" t="s">
        <x:v>1540</x:v>
      </x:c>
      <x:c r="T8" s="7" t="b">
        <x:v>0</x:v>
      </x:c>
      <x:c r="U8" s="7" t="s">
        <x:v>1541</x:v>
      </x:c>
      <x:c r="V8" s="26" t="s">
        <x:v>1542</x:v>
      </x:c>
      <x:c r="W8" s="7" t="s">
        <x:v>1575</x:v>
      </x:c>
      <x:c r="X8" s="41"/>
      <x:c r="Y8" s="41"/>
      <x:c r="Z8" s="41"/>
    </x:row>
    <x:row r="9">
      <x:c r="A9" s="7" t="s">
        <x:v>1576</x:v>
      </x:c>
      <x:c r="B9" s="7" t="s">
        <x:v>1577</x:v>
      </x:c>
      <x:c r="C9" s="7" t="s">
        <x:v>1578</x:v>
      </x:c>
      <x:c r="D9" s="7" t="s">
        <x:v>58</x:v>
      </x:c>
      <x:c r="E9" s="7" t="s">
        <x:v>1536</x:v>
      </x:c>
      <x:c r="F9" s="10">
        <x:v>14.09243</x:v>
      </x:c>
      <x:c r="G9" s="10">
        <x:v>99.178993</x:v>
      </x:c>
      <x:c r="H9" s="7" t="s">
        <x:v>1537</x:v>
      </x:c>
      <x:c r="I9" s="10">
        <x:v>43.76</x:v>
      </x:c>
      <x:c r="J9" s="41"/>
      <x:c r="K9" s="41"/>
      <x:c r="L9" s="41"/>
      <x:c r="M9" s="10">
        <x:v>40.4</x:v>
      </x:c>
      <x:c r="N9" s="7" t="s">
        <x:v>1538</x:v>
      </x:c>
      <x:c r="O9" s="7" t="s">
        <x:v>1539</x:v>
      </x:c>
      <x:c r="P9" s="10">
        <x:v>5.0</x:v>
      </x:c>
      <x:c r="Q9" s="41"/>
      <x:c r="R9" s="10">
        <x:v>-457.6</x:v>
      </x:c>
      <x:c r="S9" s="7" t="s">
        <x:v>1540</x:v>
      </x:c>
      <x:c r="T9" s="7" t="b">
        <x:v>0</x:v>
      </x:c>
      <x:c r="U9" s="7" t="s">
        <x:v>1541</x:v>
      </x:c>
      <x:c r="V9" s="26" t="s">
        <x:v>1542</x:v>
      </x:c>
      <x:c r="W9" s="7" t="s">
        <x:v>1579</x:v>
      </x:c>
      <x:c r="X9" s="41"/>
      <x:c r="Y9" s="41"/>
      <x:c r="Z9" s="41"/>
    </x:row>
    <x:row r="10">
      <x:c r="A10" s="7" t="s">
        <x:v>1580</x:v>
      </x:c>
      <x:c r="B10" s="7" t="s">
        <x:v>1581</x:v>
      </x:c>
      <x:c r="C10" s="7" t="s">
        <x:v>1582</x:v>
      </x:c>
      <x:c r="D10" s="7" t="s">
        <x:v>97</x:v>
      </x:c>
      <x:c r="E10" s="7" t="s">
        <x:v>1583</x:v>
      </x:c>
      <x:c r="F10" s="10">
        <x:v>13.705864</x:v>
      </x:c>
      <x:c r="G10" s="10">
        <x:v>102.48168</x:v>
      </x:c>
      <x:c r="H10" s="7" t="s">
        <x:v>1554</x:v>
      </x:c>
      <x:c r="I10" s="10">
        <x:v>45.12</x:v>
      </x:c>
      <x:c r="J10" s="41"/>
      <x:c r="K10" s="41"/>
      <x:c r="L10" s="41"/>
      <x:c r="M10" s="10">
        <x:v>44.389</x:v>
      </x:c>
      <x:c r="N10" s="7" t="s">
        <x:v>1538</x:v>
      </x:c>
      <x:c r="O10" s="7" t="s">
        <x:v>1539</x:v>
      </x:c>
      <x:c r="P10" s="10">
        <x:v>5.0</x:v>
      </x:c>
      <x:c r="Q10" s="41"/>
      <x:c r="R10" s="10">
        <x:v>12.4</x:v>
      </x:c>
      <x:c r="S10" s="7" t="s">
        <x:v>1540</x:v>
      </x:c>
      <x:c r="T10" s="7" t="b">
        <x:v>0</x:v>
      </x:c>
      <x:c r="U10" s="7" t="s">
        <x:v>1541</x:v>
      </x:c>
      <x:c r="V10" s="26" t="s">
        <x:v>1542</x:v>
      </x:c>
      <x:c r="W10" s="7" t="s">
        <x:v>1584</x:v>
      </x:c>
      <x:c r="X10" s="41"/>
      <x:c r="Y10" s="41"/>
      <x:c r="Z10" s="41"/>
    </x:row>
    <x:row r="11">
      <x:c r="A11" s="7" t="s">
        <x:v>1585</x:v>
      </x:c>
      <x:c r="B11" s="7" t="s">
        <x:v>1586</x:v>
      </x:c>
      <x:c r="C11" s="7" t="s">
        <x:v>1587</x:v>
      </x:c>
      <x:c r="D11" s="7" t="s">
        <x:v>58</x:v>
      </x:c>
      <x:c r="E11" s="7" t="s">
        <x:v>1588</x:v>
      </x:c>
      <x:c r="F11" s="10">
        <x:v>14.48943</x:v>
      </x:c>
      <x:c r="G11" s="10">
        <x:v>99.469788</x:v>
      </x:c>
      <x:c r="H11" s="7" t="s">
        <x:v>1537</x:v>
      </x:c>
      <x:c r="I11" s="10">
        <x:v>103.87</x:v>
      </x:c>
      <x:c r="J11" s="41"/>
      <x:c r="K11" s="41"/>
      <x:c r="L11" s="41"/>
      <x:c r="M11" s="10"/>
      <x:c r="N11" s="7" t="s">
        <x:v>1538</x:v>
      </x:c>
      <x:c r="O11" s="7" t="s">
        <x:v>1539</x:v>
      </x:c>
      <x:c r="P11" s="10">
        <x:v>5.0</x:v>
      </x:c>
      <x:c r="Q11" s="41"/>
      <x:c r="R11" s="10">
        <x:v>-457.6</x:v>
      </x:c>
      <x:c r="S11" s="7" t="s">
        <x:v>1540</x:v>
      </x:c>
      <x:c r="T11" s="7" t="b">
        <x:v>0</x:v>
      </x:c>
      <x:c r="U11" s="7" t="s">
        <x:v>1541</x:v>
      </x:c>
      <x:c r="V11" s="26" t="s">
        <x:v>1542</x:v>
      </x:c>
      <x:c r="W11" s="7" t="s">
        <x:v>1589</x:v>
      </x:c>
      <x:c r="X11" s="41"/>
      <x:c r="Y11" s="41"/>
      <x:c r="Z11" s="41"/>
    </x:row>
    <x:row r="12">
      <x:c r="A12" s="7" t="s">
        <x:v>1590</x:v>
      </x:c>
      <x:c r="B12" s="7" t="s">
        <x:v>1591</x:v>
      </x:c>
      <x:c r="C12" s="7" t="s">
        <x:v>1592</x:v>
      </x:c>
      <x:c r="D12" s="7" t="s">
        <x:v>55</x:v>
      </x:c>
      <x:c r="E12" s="7" t="s">
        <x:v>1593</x:v>
      </x:c>
      <x:c r="F12" s="10">
        <x:v>14.21608</x:v>
      </x:c>
      <x:c r="G12" s="10">
        <x:v>100.05017</x:v>
      </x:c>
      <x:c r="H12" s="7" t="s">
        <x:v>1554</x:v>
      </x:c>
      <x:c r="I12" s="10">
        <x:v>3.28</x:v>
      </x:c>
      <x:c r="J12" s="41"/>
      <x:c r="K12" s="41"/>
      <x:c r="L12" s="41"/>
      <x:c r="M12" s="41"/>
      <x:c r="N12" s="7" t="s">
        <x:v>1538</x:v>
      </x:c>
      <x:c r="O12" s="7" t="s">
        <x:v>1539</x:v>
      </x:c>
      <x:c r="P12" s="10">
        <x:v>5.0</x:v>
      </x:c>
      <x:c r="Q12" s="41"/>
      <x:c r="R12" s="10">
        <x:v>12.4</x:v>
      </x:c>
      <x:c r="S12" s="7" t="s">
        <x:v>1540</x:v>
      </x:c>
      <x:c r="T12" s="7" t="b">
        <x:v>0</x:v>
      </x:c>
      <x:c r="U12" s="7" t="s">
        <x:v>1541</x:v>
      </x:c>
      <x:c r="V12" s="26" t="s">
        <x:v>1542</x:v>
      </x:c>
      <x:c r="W12" s="7" t="s">
        <x:v>1594</x:v>
      </x:c>
      <x:c r="X12" s="41"/>
      <x:c r="Y12" s="41"/>
      <x:c r="Z12" s="41"/>
    </x:row>
    <x:row r="13">
      <x:c r="A13" s="7" t="s">
        <x:v>1595</x:v>
      </x:c>
      <x:c r="B13" s="7" t="s">
        <x:v>1596</x:v>
      </x:c>
      <x:c r="C13" s="7" t="s">
        <x:v>1597</x:v>
      </x:c>
      <x:c r="D13" s="7" t="s">
        <x:v>58</x:v>
      </x:c>
      <x:c r="E13" s="7" t="s">
        <x:v>1598</x:v>
      </x:c>
      <x:c r="F13" s="10">
        <x:v>14.27618</x:v>
      </x:c>
      <x:c r="G13" s="10">
        <x:v>98.931068</x:v>
      </x:c>
      <x:c r="H13" s="7" t="s">
        <x:v>1599</x:v>
      </x:c>
      <x:c r="I13" s="10">
        <x:v>91.42</x:v>
      </x:c>
      <x:c r="J13" s="41"/>
      <x:c r="K13" s="41"/>
      <x:c r="L13" s="41"/>
      <x:c r="M13" s="41"/>
      <x:c r="N13" s="7" t="s">
        <x:v>1538</x:v>
      </x:c>
      <x:c r="O13" s="7" t="s">
        <x:v>1539</x:v>
      </x:c>
      <x:c r="P13" s="10">
        <x:v>5.0</x:v>
      </x:c>
      <x:c r="Q13" s="41"/>
      <x:c r="R13" s="10">
        <x:v>6082.4</x:v>
      </x:c>
      <x:c r="S13" s="7" t="s">
        <x:v>301</x:v>
      </x:c>
      <x:c r="T13" s="7" t="b">
        <x:v>0</x:v>
      </x:c>
      <x:c r="U13" s="7" t="s">
        <x:v>1541</x:v>
      </x:c>
      <x:c r="V13" s="26" t="s">
        <x:v>1542</x:v>
      </x:c>
      <x:c r="W13" s="7" t="s">
        <x:v>1600</x:v>
      </x:c>
      <x:c r="X13" s="41"/>
      <x:c r="Y13" s="41"/>
      <x:c r="Z13" s="41"/>
    </x:row>
    <x:row r="14">
      <x:c r="A14" s="7" t="s">
        <x:v>1601</x:v>
      </x:c>
      <x:c r="B14" s="7" t="s">
        <x:v>1602</x:v>
      </x:c>
      <x:c r="C14" s="7" t="s">
        <x:v>1603</x:v>
      </x:c>
      <x:c r="D14" s="7" t="s">
        <x:v>68</x:v>
      </x:c>
      <x:c r="E14" s="7" t="s">
        <x:v>1574</x:v>
      </x:c>
      <x:c r="F14" s="10">
        <x:v>14.41588</x:v>
      </x:c>
      <x:c r="G14" s="10">
        <x:v>100.440804</x:v>
      </x:c>
      <x:c r="H14" s="7" t="s">
        <x:v>1548</x:v>
      </x:c>
      <x:c r="I14" s="10">
        <x:v>6.41</x:v>
      </x:c>
      <x:c r="J14" s="41"/>
      <x:c r="K14" s="41"/>
      <x:c r="L14" s="41"/>
      <x:c r="M14" s="41"/>
      <x:c r="N14" s="7" t="s">
        <x:v>1538</x:v>
      </x:c>
      <x:c r="O14" s="7" t="s">
        <x:v>1539</x:v>
      </x:c>
      <x:c r="P14" s="10">
        <x:v>5.0</x:v>
      </x:c>
      <x:c r="Q14" s="41"/>
      <x:c r="R14" s="10">
        <x:v>82.4</x:v>
      </x:c>
      <x:c r="S14" s="7" t="s">
        <x:v>301</x:v>
      </x:c>
      <x:c r="T14" s="7" t="b">
        <x:v>0</x:v>
      </x:c>
      <x:c r="U14" s="7" t="s">
        <x:v>1541</x:v>
      </x:c>
      <x:c r="V14" s="26" t="s">
        <x:v>1542</x:v>
      </x:c>
      <x:c r="W14" s="7" t="s">
        <x:v>1604</x:v>
      </x:c>
      <x:c r="X14" s="41"/>
      <x:c r="Y14" s="41"/>
      <x:c r="Z14" s="41"/>
    </x:row>
    <x:row r="15">
      <x:c r="A15" s="7" t="s">
        <x:v>1605</x:v>
      </x:c>
      <x:c r="B15" s="7" t="s">
        <x:v>1606</x:v>
      </x:c>
      <x:c r="C15" s="7" t="s">
        <x:v>1607</x:v>
      </x:c>
      <x:c r="D15" s="7" t="s">
        <x:v>68</x:v>
      </x:c>
      <x:c r="E15" s="7" t="s">
        <x:v>1607</x:v>
      </x:c>
      <x:c r="F15" s="10">
        <x:v>14.42303</x:v>
      </x:c>
      <x:c r="G15" s="10">
        <x:v>100.48186</x:v>
      </x:c>
      <x:c r="H15" s="7" t="s">
        <x:v>1554</x:v>
      </x:c>
      <x:c r="I15" s="10">
        <x:v>7.11</x:v>
      </x:c>
      <x:c r="J15" s="41"/>
      <x:c r="K15" s="41"/>
      <x:c r="L15" s="41"/>
      <x:c r="M15" s="41"/>
      <x:c r="N15" s="7" t="s">
        <x:v>1538</x:v>
      </x:c>
      <x:c r="O15" s="7" t="s">
        <x:v>1539</x:v>
      </x:c>
      <x:c r="P15" s="10">
        <x:v>5.0</x:v>
      </x:c>
      <x:c r="Q15" s="41"/>
      <x:c r="R15" s="10">
        <x:v>12.4</x:v>
      </x:c>
      <x:c r="S15" s="7" t="s">
        <x:v>1540</x:v>
      </x:c>
      <x:c r="T15" s="7" t="b">
        <x:v>0</x:v>
      </x:c>
      <x:c r="U15" s="7" t="s">
        <x:v>1541</x:v>
      </x:c>
      <x:c r="V15" s="26" t="s">
        <x:v>1542</x:v>
      </x:c>
      <x:c r="W15" s="7" t="s">
        <x:v>1608</x:v>
      </x:c>
      <x:c r="X15" s="41"/>
      <x:c r="Y15" s="41"/>
      <x:c r="Z15" s="41"/>
    </x:row>
    <x:row r="16">
      <x:c r="A16" s="7" t="s">
        <x:v>1609</x:v>
      </x:c>
      <x:c r="B16" s="7" t="s">
        <x:v>1610</x:v>
      </x:c>
      <x:c r="C16" s="7" t="s">
        <x:v>1611</x:v>
      </x:c>
      <x:c r="D16" s="7" t="s">
        <x:v>91</x:v>
      </x:c>
      <x:c r="E16" s="7" t="s">
        <x:v>1612</x:v>
      </x:c>
      <x:c r="F16" s="10">
        <x:v>14.053554</x:v>
      </x:c>
      <x:c r="G16" s="10">
        <x:v>101.38684</x:v>
      </x:c>
      <x:c r="H16" s="7" t="s">
        <x:v>1613</x:v>
      </x:c>
      <x:c r="I16" s="10">
        <x:v>5.65</x:v>
      </x:c>
      <x:c r="J16" s="41"/>
      <x:c r="K16" s="41"/>
      <x:c r="L16" s="41"/>
      <x:c r="M16" s="41"/>
      <x:c r="N16" s="7" t="s">
        <x:v>1538</x:v>
      </x:c>
      <x:c r="O16" s="7" t="s">
        <x:v>1539</x:v>
      </x:c>
      <x:c r="P16" s="10">
        <x:v>5.0</x:v>
      </x:c>
      <x:c r="Q16" s="41"/>
      <x:c r="R16" s="10">
        <x:v>1422.4</x:v>
      </x:c>
      <x:c r="S16" s="7" t="s">
        <x:v>301</x:v>
      </x:c>
      <x:c r="T16" s="7" t="b">
        <x:v>0</x:v>
      </x:c>
      <x:c r="U16" s="7" t="s">
        <x:v>1541</x:v>
      </x:c>
      <x:c r="V16" s="26" t="s">
        <x:v>1542</x:v>
      </x:c>
      <x:c r="W16" s="7" t="s">
        <x:v>1614</x:v>
      </x:c>
      <x:c r="X16" s="41"/>
      <x:c r="Y16" s="41"/>
      <x:c r="Z16" s="41"/>
    </x:row>
    <x:row r="17">
      <x:c r="A17" s="7" t="s">
        <x:v>1615</x:v>
      </x:c>
      <x:c r="B17" s="7" t="s">
        <x:v>1616</x:v>
      </x:c>
      <x:c r="C17" s="7" t="s">
        <x:v>1617</x:v>
      </x:c>
      <x:c r="D17" s="7" t="s">
        <x:v>94</x:v>
      </x:c>
      <x:c r="E17" s="7" t="s">
        <x:v>1618</x:v>
      </x:c>
      <x:c r="F17" s="10">
        <x:v>13.72662</x:v>
      </x:c>
      <x:c r="G17" s="10">
        <x:v>101.35298</x:v>
      </x:c>
      <x:c r="H17" s="7" t="s">
        <x:v>1554</x:v>
      </x:c>
      <x:c r="I17" s="10">
        <x:v>6.63</x:v>
      </x:c>
      <x:c r="J17" s="41"/>
      <x:c r="K17" s="41"/>
      <x:c r="L17" s="41"/>
      <x:c r="M17" s="41"/>
      <x:c r="N17" s="7" t="s">
        <x:v>1538</x:v>
      </x:c>
      <x:c r="O17" s="7" t="s">
        <x:v>1539</x:v>
      </x:c>
      <x:c r="P17" s="10">
        <x:v>5.0</x:v>
      </x:c>
      <x:c r="Q17" s="41"/>
      <x:c r="R17" s="10">
        <x:v>12.4</x:v>
      </x:c>
      <x:c r="S17" s="7" t="s">
        <x:v>1540</x:v>
      </x:c>
      <x:c r="T17" s="7" t="b">
        <x:v>0</x:v>
      </x:c>
      <x:c r="U17" s="7" t="s">
        <x:v>1541</x:v>
      </x:c>
      <x:c r="V17" s="26" t="s">
        <x:v>1542</x:v>
      </x:c>
      <x:c r="W17" s="7" t="s">
        <x:v>1619</x:v>
      </x:c>
      <x:c r="X17" s="41"/>
      <x:c r="Y17" s="41"/>
      <x:c r="Z17" s="41"/>
    </x:row>
    <x:row r="18">
      <x:c r="A18" s="7" t="s">
        <x:v>1620</x:v>
      </x:c>
      <x:c r="B18" s="7" t="s">
        <x:v>1621</x:v>
      </x:c>
      <x:c r="C18" s="7" t="s">
        <x:v>1622</x:v>
      </x:c>
      <x:c r="D18" s="7" t="s">
        <x:v>84</x:v>
      </x:c>
      <x:c r="E18" s="7" t="s">
        <x:v>1623</x:v>
      </x:c>
      <x:c r="F18" s="10">
        <x:v>13.80568</x:v>
      </x:c>
      <x:c r="G18" s="10">
        <x:v>99.87159</x:v>
      </x:c>
      <x:c r="H18" s="7" t="s">
        <x:v>1537</x:v>
      </x:c>
      <x:c r="I18" s="10">
        <x:v>10.61</x:v>
      </x:c>
      <x:c r="J18" s="41"/>
      <x:c r="K18" s="41"/>
      <x:c r="L18" s="41"/>
      <x:c r="M18" s="41"/>
      <x:c r="N18" s="7" t="s">
        <x:v>1538</x:v>
      </x:c>
      <x:c r="O18" s="7" t="s">
        <x:v>1539</x:v>
      </x:c>
      <x:c r="P18" s="10">
        <x:v>5.0</x:v>
      </x:c>
      <x:c r="Q18" s="41"/>
      <x:c r="R18" s="10">
        <x:v>-457.6</x:v>
      </x:c>
      <x:c r="S18" s="7" t="s">
        <x:v>1540</x:v>
      </x:c>
      <x:c r="T18" s="7" t="b">
        <x:v>0</x:v>
      </x:c>
      <x:c r="U18" s="7" t="s">
        <x:v>1541</x:v>
      </x:c>
      <x:c r="V18" s="26" t="s">
        <x:v>1542</x:v>
      </x:c>
      <x:c r="W18" s="7" t="s">
        <x:v>1624</x:v>
      </x:c>
      <x:c r="X18" s="41"/>
      <x:c r="Y18" s="41"/>
      <x:c r="Z18" s="41"/>
    </x:row>
    <x:row r="19">
      <x:c r="A19" s="7" t="s">
        <x:v>1625</x:v>
      </x:c>
      <x:c r="B19" s="7" t="s">
        <x:v>1626</x:v>
      </x:c>
      <x:c r="C19" s="7" t="s">
        <x:v>1547</x:v>
      </x:c>
      <x:c r="D19" s="7" t="s">
        <x:v>97</x:v>
      </x:c>
      <x:c r="E19" s="7" t="s">
        <x:v>1547</x:v>
      </x:c>
      <x:c r="F19" s="10">
        <x:v>13.937376</x:v>
      </x:c>
      <x:c r="G19" s="10">
        <x:v>101.922035</x:v>
      </x:c>
      <x:c r="H19" s="7" t="s">
        <x:v>1554</x:v>
      </x:c>
      <x:c r="I19" s="10">
        <x:v>21.05</x:v>
      </x:c>
      <x:c r="J19" s="41"/>
      <x:c r="K19" s="41"/>
      <x:c r="L19" s="41"/>
      <x:c r="M19" s="41"/>
      <x:c r="N19" s="7" t="s">
        <x:v>1538</x:v>
      </x:c>
      <x:c r="O19" s="7" t="s">
        <x:v>1539</x:v>
      </x:c>
      <x:c r="P19" s="10">
        <x:v>5.0</x:v>
      </x:c>
      <x:c r="Q19" s="41"/>
      <x:c r="R19" s="10">
        <x:v>12.4</x:v>
      </x:c>
      <x:c r="S19" s="7" t="s">
        <x:v>1540</x:v>
      </x:c>
      <x:c r="T19" s="7" t="b">
        <x:v>0</x:v>
      </x:c>
      <x:c r="U19" s="7" t="s">
        <x:v>1541</x:v>
      </x:c>
      <x:c r="V19" s="26" t="s">
        <x:v>1542</x:v>
      </x:c>
      <x:c r="W19" s="7" t="s">
        <x:v>1627</x:v>
      </x:c>
      <x:c r="X19" s="41"/>
      <x:c r="Y19" s="41"/>
      <x:c r="Z19" s="41"/>
    </x:row>
    <x:row r="20">
      <x:c r="A20" s="7" t="s">
        <x:v>1628</x:v>
      </x:c>
      <x:c r="B20" s="7" t="s">
        <x:v>1629</x:v>
      </x:c>
      <x:c r="C20" s="7" t="s">
        <x:v>1630</x:v>
      </x:c>
      <x:c r="D20" s="7" t="s">
        <x:v>91</x:v>
      </x:c>
      <x:c r="E20" s="7" t="s">
        <x:v>1631</x:v>
      </x:c>
      <x:c r="F20" s="10">
        <x:v>14.070941</x:v>
      </x:c>
      <x:c r="G20" s="10">
        <x:v>101.51893</x:v>
      </x:c>
      <x:c r="H20" s="7" t="s">
        <x:v>1554</x:v>
      </x:c>
      <x:c r="I20" s="10">
        <x:v>7.47</x:v>
      </x:c>
      <x:c r="J20" s="41"/>
      <x:c r="K20" s="41"/>
      <x:c r="L20" s="41"/>
      <x:c r="M20" s="41"/>
      <x:c r="N20" s="7" t="s">
        <x:v>1538</x:v>
      </x:c>
      <x:c r="O20" s="7" t="s">
        <x:v>1539</x:v>
      </x:c>
      <x:c r="P20" s="10">
        <x:v>5.0</x:v>
      </x:c>
      <x:c r="Q20" s="41"/>
      <x:c r="R20" s="10">
        <x:v>12.4</x:v>
      </x:c>
      <x:c r="S20" s="7" t="s">
        <x:v>1540</x:v>
      </x:c>
      <x:c r="T20" s="7" t="b">
        <x:v>0</x:v>
      </x:c>
      <x:c r="U20" s="7" t="s">
        <x:v>1541</x:v>
      </x:c>
      <x:c r="V20" s="26" t="s">
        <x:v>1542</x:v>
      </x:c>
      <x:c r="W20" s="7" t="s">
        <x:v>1632</x:v>
      </x:c>
      <x:c r="X20" s="41"/>
      <x:c r="Y20" s="41"/>
      <x:c r="Z20" s="41"/>
    </x:row>
    <x:row r="21">
      <x:c r="A21" s="7" t="s">
        <x:v>1633</x:v>
      </x:c>
      <x:c r="B21" s="7" t="s">
        <x:v>1634</x:v>
      </x:c>
      <x:c r="C21" s="7" t="s">
        <x:v>1635</x:v>
      </x:c>
      <x:c r="D21" s="7" t="s">
        <x:v>55</x:v>
      </x:c>
      <x:c r="E21" s="7" t="s">
        <x:v>1569</x:v>
      </x:c>
      <x:c r="F21" s="10">
        <x:v>14.157</x:v>
      </x:c>
      <x:c r="G21" s="10">
        <x:v>100.127907</x:v>
      </x:c>
      <x:c r="H21" s="7" t="s">
        <x:v>1537</x:v>
      </x:c>
      <x:c r="I21" s="10">
        <x:v>3.37</x:v>
      </x:c>
      <x:c r="J21" s="41"/>
      <x:c r="K21" s="41"/>
      <x:c r="L21" s="41"/>
      <x:c r="M21" s="41"/>
      <x:c r="N21" s="7" t="s">
        <x:v>1538</x:v>
      </x:c>
      <x:c r="O21" s="7" t="s">
        <x:v>1539</x:v>
      </x:c>
      <x:c r="P21" s="10">
        <x:v>5.0</x:v>
      </x:c>
      <x:c r="Q21" s="41"/>
      <x:c r="R21" s="10">
        <x:v>-457.6</x:v>
      </x:c>
      <x:c r="S21" s="7" t="s">
        <x:v>1540</x:v>
      </x:c>
      <x:c r="T21" s="7" t="b">
        <x:v>0</x:v>
      </x:c>
      <x:c r="U21" s="7" t="s">
        <x:v>1541</x:v>
      </x:c>
      <x:c r="V21" s="26" t="s">
        <x:v>1542</x:v>
      </x:c>
      <x:c r="W21" s="7" t="s">
        <x:v>1636</x:v>
      </x:c>
      <x:c r="X21" s="41"/>
      <x:c r="Y21" s="41"/>
      <x:c r="Z21" s="41"/>
    </x:row>
    <x:row r="22">
      <x:c r="A22" s="7" t="s">
        <x:v>1637</x:v>
      </x:c>
      <x:c r="B22" s="7" t="s">
        <x:v>1638</x:v>
      </x:c>
      <x:c r="C22" s="7" t="s">
        <x:v>1639</x:v>
      </x:c>
      <x:c r="D22" s="7" t="s">
        <x:v>91</x:v>
      </x:c>
      <x:c r="E22" s="7" t="s">
        <x:v>1612</x:v>
      </x:c>
      <x:c r="F22" s="10">
        <x:v>13.97348</x:v>
      </x:c>
      <x:c r="G22" s="10">
        <x:v>101.51751</x:v>
      </x:c>
      <x:c r="H22" s="7" t="s">
        <x:v>1640</x:v>
      </x:c>
      <x:c r="I22" s="10">
        <x:v>8.74</x:v>
      </x:c>
      <x:c r="J22" s="41"/>
      <x:c r="K22" s="41"/>
      <x:c r="L22" s="41"/>
      <x:c r="M22" s="41"/>
      <x:c r="N22" s="7" t="s">
        <x:v>1538</x:v>
      </x:c>
      <x:c r="O22" s="7" t="s">
        <x:v>1539</x:v>
      </x:c>
      <x:c r="P22" s="10">
        <x:v>5.0</x:v>
      </x:c>
      <x:c r="Q22" s="41"/>
      <x:c r="R22" s="10">
        <x:v>92.4</x:v>
      </x:c>
      <x:c r="S22" s="7" t="s">
        <x:v>301</x:v>
      </x:c>
      <x:c r="T22" s="7" t="b">
        <x:v>0</x:v>
      </x:c>
      <x:c r="U22" s="7" t="s">
        <x:v>1541</x:v>
      </x:c>
      <x:c r="V22" s="26" t="s">
        <x:v>1542</x:v>
      </x:c>
      <x:c r="W22" s="7" t="s">
        <x:v>1641</x:v>
      </x:c>
      <x:c r="X22" s="41"/>
      <x:c r="Y22" s="41"/>
      <x:c r="Z22" s="41"/>
    </x:row>
    <x:row r="23">
      <x:c r="A23" s="7" t="s">
        <x:v>1642</x:v>
      </x:c>
      <x:c r="B23" s="7" t="s">
        <x:v>1643</x:v>
      </x:c>
      <x:c r="C23" s="7" t="s">
        <x:v>1644</x:v>
      </x:c>
      <x:c r="D23" s="7" t="s">
        <x:v>81</x:v>
      </x:c>
      <x:c r="E23" s="7" t="s">
        <x:v>1569</x:v>
      </x:c>
      <x:c r="F23" s="10">
        <x:v>14.05221</x:v>
      </x:c>
      <x:c r="G23" s="10">
        <x:v>100.175087</x:v>
      </x:c>
      <x:c r="H23" s="7" t="s">
        <x:v>1537</x:v>
      </x:c>
      <x:c r="I23" s="10">
        <x:v>2.6</x:v>
      </x:c>
      <x:c r="J23" s="41"/>
      <x:c r="K23" s="41"/>
      <x:c r="L23" s="41"/>
      <x:c r="M23" s="41"/>
      <x:c r="N23" s="7" t="s">
        <x:v>1538</x:v>
      </x:c>
      <x:c r="O23" s="7" t="s">
        <x:v>1539</x:v>
      </x:c>
      <x:c r="P23" s="10">
        <x:v>5.0</x:v>
      </x:c>
      <x:c r="Q23" s="41"/>
      <x:c r="R23" s="10">
        <x:v>-457.6</x:v>
      </x:c>
      <x:c r="S23" s="7" t="s">
        <x:v>1540</x:v>
      </x:c>
      <x:c r="T23" s="7" t="b">
        <x:v>0</x:v>
      </x:c>
      <x:c r="U23" s="7" t="s">
        <x:v>1541</x:v>
      </x:c>
      <x:c r="V23" s="26" t="s">
        <x:v>1542</x:v>
      </x:c>
      <x:c r="W23" s="7" t="s">
        <x:v>1645</x:v>
      </x:c>
      <x:c r="X23" s="41"/>
      <x:c r="Y23" s="41"/>
      <x:c r="Z23" s="41"/>
    </x:row>
    <x:row r="24">
      <x:c r="A24" s="7" t="s">
        <x:v>1646</x:v>
      </x:c>
      <x:c r="B24" s="7" t="s">
        <x:v>1647</x:v>
      </x:c>
      <x:c r="C24" s="7" t="s">
        <x:v>1648</x:v>
      </x:c>
      <x:c r="D24" s="7" t="s">
        <x:v>55</x:v>
      </x:c>
      <x:c r="E24" s="7" t="s">
        <x:v>1649</x:v>
      </x:c>
      <x:c r="F24" s="10">
        <x:v>14.4705</x:v>
      </x:c>
      <x:c r="G24" s="10">
        <x:v>100.11475</x:v>
      </x:c>
      <x:c r="H24" s="7" t="s">
        <x:v>1554</x:v>
      </x:c>
      <x:c r="I24" s="10">
        <x:v>5.65</x:v>
      </x:c>
      <x:c r="J24" s="41"/>
      <x:c r="K24" s="41"/>
      <x:c r="L24" s="41"/>
      <x:c r="M24" s="41"/>
      <x:c r="N24" s="7" t="s">
        <x:v>1538</x:v>
      </x:c>
      <x:c r="O24" s="7" t="s">
        <x:v>1539</x:v>
      </x:c>
      <x:c r="P24" s="10">
        <x:v>5.0</x:v>
      </x:c>
      <x:c r="Q24" s="41"/>
      <x:c r="R24" s="10">
        <x:v>12.4</x:v>
      </x:c>
      <x:c r="S24" s="7" t="s">
        <x:v>1540</x:v>
      </x:c>
      <x:c r="T24" s="7" t="b">
        <x:v>0</x:v>
      </x:c>
      <x:c r="U24" s="7" t="s">
        <x:v>1541</x:v>
      </x:c>
      <x:c r="V24" s="26" t="s">
        <x:v>1542</x:v>
      </x:c>
      <x:c r="W24" s="7" t="s">
        <x:v>1650</x:v>
      </x:c>
      <x:c r="X24" s="41"/>
      <x:c r="Y24" s="41"/>
      <x:c r="Z24" s="41"/>
    </x:row>
    <x:row r="25">
      <x:c r="A25" s="7" t="s">
        <x:v>1651</x:v>
      </x:c>
      <x:c r="B25" s="7" t="s">
        <x:v>1652</x:v>
      </x:c>
      <x:c r="C25" s="7" t="s">
        <x:v>1653</x:v>
      </x:c>
      <x:c r="D25" s="7" t="s">
        <x:v>84</x:v>
      </x:c>
      <x:c r="E25" s="7" t="s">
        <x:v>1623</x:v>
      </x:c>
      <x:c r="F25" s="10">
        <x:v>13.81866</x:v>
      </x:c>
      <x:c r="G25" s="10">
        <x:v>99.86508</x:v>
      </x:c>
      <x:c r="H25" s="7" t="s">
        <x:v>1554</x:v>
      </x:c>
      <x:c r="I25" s="10">
        <x:v>10.52</x:v>
      </x:c>
      <x:c r="J25" s="41"/>
      <x:c r="K25" s="41"/>
      <x:c r="L25" s="41"/>
      <x:c r="M25" s="41"/>
      <x:c r="N25" s="7" t="s">
        <x:v>1538</x:v>
      </x:c>
      <x:c r="O25" s="7" t="s">
        <x:v>1539</x:v>
      </x:c>
      <x:c r="P25" s="10">
        <x:v>5.0</x:v>
      </x:c>
      <x:c r="Q25" s="41"/>
      <x:c r="R25" s="10">
        <x:v>12.4</x:v>
      </x:c>
      <x:c r="S25" s="7" t="s">
        <x:v>1540</x:v>
      </x:c>
      <x:c r="T25" s="7" t="b">
        <x:v>0</x:v>
      </x:c>
      <x:c r="U25" s="7" t="s">
        <x:v>1541</x:v>
      </x:c>
      <x:c r="V25" s="26" t="s">
        <x:v>1542</x:v>
      </x:c>
      <x:c r="W25" s="7" t="s">
        <x:v>1654</x:v>
      </x:c>
      <x:c r="X25" s="41"/>
      <x:c r="Y25" s="41"/>
      <x:c r="Z25" s="41"/>
    </x:row>
    <x:row r="26">
      <x:c r="A26" s="7" t="s">
        <x:v>1655</x:v>
      </x:c>
      <x:c r="B26" s="7" t="s">
        <x:v>1656</x:v>
      </x:c>
      <x:c r="C26" s="7" t="s">
        <x:v>1657</x:v>
      </x:c>
      <x:c r="D26" s="7" t="s">
        <x:v>58</x:v>
      </x:c>
      <x:c r="E26" s="7" t="s">
        <x:v>1588</x:v>
      </x:c>
      <x:c r="F26" s="10">
        <x:v>14.17509</x:v>
      </x:c>
      <x:c r="G26" s="10">
        <x:v>99.43382</x:v>
      </x:c>
      <x:c r="H26" s="7" t="s">
        <x:v>1658</x:v>
      </x:c>
      <x:c r="I26" s="10">
        <x:v>46.73</x:v>
      </x:c>
      <x:c r="J26" s="41"/>
      <x:c r="K26" s="41"/>
      <x:c r="L26" s="41"/>
      <x:c r="M26" s="10">
        <x:v>45.8</x:v>
      </x:c>
      <x:c r="N26" s="7" t="s">
        <x:v>1538</x:v>
      </x:c>
      <x:c r="O26" s="7" t="s">
        <x:v>1539</x:v>
      </x:c>
      <x:c r="P26" s="10">
        <x:v>5.0</x:v>
      </x:c>
      <x:c r="Q26" s="41"/>
      <x:c r="R26" s="10">
        <x:v>22.4</x:v>
      </x:c>
      <x:c r="S26" s="7" t="s">
        <x:v>1540</x:v>
      </x:c>
      <x:c r="T26" s="7" t="b">
        <x:v>0</x:v>
      </x:c>
      <x:c r="U26" s="7" t="s">
        <x:v>1541</x:v>
      </x:c>
      <x:c r="V26" s="26" t="s">
        <x:v>1542</x:v>
      </x:c>
      <x:c r="W26" s="7" t="s">
        <x:v>1659</x:v>
      </x:c>
      <x:c r="X26" s="41"/>
      <x:c r="Y26" s="41"/>
      <x:c r="Z26" s="41"/>
    </x:row>
    <x:row r="27">
      <x:c r="A27" s="7" t="s">
        <x:v>1660</x:v>
      </x:c>
      <x:c r="B27" s="7" t="s">
        <x:v>1661</x:v>
      </x:c>
      <x:c r="C27" s="7" t="s">
        <x:v>1662</x:v>
      </x:c>
      <x:c r="D27" s="7" t="s">
        <x:v>104</x:v>
      </x:c>
      <x:c r="E27" s="7" t="s">
        <x:v>1663</x:v>
      </x:c>
      <x:c r="F27" s="10">
        <x:v>12.802991</x:v>
      </x:c>
      <x:c r="G27" s="10">
        <x:v>101.65024</x:v>
      </x:c>
      <x:c r="H27" s="7" t="s">
        <x:v>1554</x:v>
      </x:c>
      <x:c r="I27" s="10">
        <x:v>4.6</x:v>
      </x:c>
      <x:c r="J27" s="41"/>
      <x:c r="K27" s="41"/>
      <x:c r="L27" s="41"/>
      <x:c r="M27" s="10"/>
      <x:c r="N27" s="7" t="s">
        <x:v>1538</x:v>
      </x:c>
      <x:c r="O27" s="7" t="s">
        <x:v>1539</x:v>
      </x:c>
      <x:c r="P27" s="10">
        <x:v>5.0</x:v>
      </x:c>
      <x:c r="Q27" s="41"/>
      <x:c r="R27" s="10">
        <x:v>12.4</x:v>
      </x:c>
      <x:c r="S27" s="7" t="s">
        <x:v>1540</x:v>
      </x:c>
      <x:c r="T27" s="7" t="b">
        <x:v>0</x:v>
      </x:c>
      <x:c r="U27" s="7" t="s">
        <x:v>1541</x:v>
      </x:c>
      <x:c r="V27" s="26" t="s">
        <x:v>1542</x:v>
      </x:c>
      <x:c r="W27" s="7" t="s">
        <x:v>1664</x:v>
      </x:c>
      <x:c r="X27" s="41"/>
      <x:c r="Y27" s="41"/>
      <x:c r="Z27" s="41"/>
    </x:row>
    <x:row r="28">
      <x:c r="A28" s="7" t="s">
        <x:v>1665</x:v>
      </x:c>
      <x:c r="B28" s="7" t="s">
        <x:v>1666</x:v>
      </x:c>
      <x:c r="C28" s="7" t="s">
        <x:v>1667</x:v>
      </x:c>
      <x:c r="D28" s="7" t="s">
        <x:v>91</x:v>
      </x:c>
      <x:c r="E28" s="7" t="s">
        <x:v>1547</x:v>
      </x:c>
      <x:c r="F28" s="10">
        <x:v>13.91009</x:v>
      </x:c>
      <x:c r="G28" s="10">
        <x:v>101.838211</x:v>
      </x:c>
      <x:c r="H28" s="7" t="s">
        <x:v>1548</x:v>
      </x:c>
      <x:c r="I28" s="10">
        <x:v>17.22</x:v>
      </x:c>
      <x:c r="J28" s="41"/>
      <x:c r="K28" s="41"/>
      <x:c r="L28" s="41"/>
      <x:c r="M28" s="41"/>
      <x:c r="N28" s="7" t="s">
        <x:v>1538</x:v>
      </x:c>
      <x:c r="O28" s="7" t="s">
        <x:v>1539</x:v>
      </x:c>
      <x:c r="P28" s="10">
        <x:v>5.0</x:v>
      </x:c>
      <x:c r="Q28" s="41"/>
      <x:c r="R28" s="10">
        <x:v>82.4</x:v>
      </x:c>
      <x:c r="S28" s="7" t="s">
        <x:v>301</x:v>
      </x:c>
      <x:c r="T28" s="7" t="b">
        <x:v>0</x:v>
      </x:c>
      <x:c r="U28" s="7" t="s">
        <x:v>1541</x:v>
      </x:c>
      <x:c r="V28" s="26" t="s">
        <x:v>1542</x:v>
      </x:c>
      <x:c r="W28" s="7" t="s">
        <x:v>1668</x:v>
      </x:c>
      <x:c r="X28" s="41"/>
      <x:c r="Y28" s="41"/>
      <x:c r="Z28" s="41"/>
    </x:row>
    <x:row r="29">
      <x:c r="A29" s="7" t="s">
        <x:v>1669</x:v>
      </x:c>
      <x:c r="B29" s="7" t="s">
        <x:v>1670</x:v>
      </x:c>
      <x:c r="C29" s="7" t="s">
        <x:v>1671</x:v>
      </x:c>
      <x:c r="D29" s="7" t="s">
        <x:v>91</x:v>
      </x:c>
      <x:c r="E29" s="7" t="s">
        <x:v>1612</x:v>
      </x:c>
      <x:c r="F29" s="10">
        <x:v>13.97341</x:v>
      </x:c>
      <x:c r="G29" s="10">
        <x:v>101.517448</x:v>
      </x:c>
      <x:c r="H29" s="7" t="s">
        <x:v>1548</x:v>
      </x:c>
      <x:c r="I29" s="10">
        <x:v>7.85</x:v>
      </x:c>
      <x:c r="J29" s="41"/>
      <x:c r="K29" s="41"/>
      <x:c r="L29" s="41"/>
      <x:c r="M29" s="41"/>
      <x:c r="N29" s="7" t="s">
        <x:v>1538</x:v>
      </x:c>
      <x:c r="O29" s="7" t="s">
        <x:v>1539</x:v>
      </x:c>
      <x:c r="P29" s="10">
        <x:v>5.0</x:v>
      </x:c>
      <x:c r="Q29" s="41"/>
      <x:c r="R29" s="10">
        <x:v>82.4</x:v>
      </x:c>
      <x:c r="S29" s="7" t="s">
        <x:v>301</x:v>
      </x:c>
      <x:c r="T29" s="7" t="b">
        <x:v>0</x:v>
      </x:c>
      <x:c r="U29" s="7" t="s">
        <x:v>1541</x:v>
      </x:c>
      <x:c r="V29" s="26" t="s">
        <x:v>1542</x:v>
      </x:c>
      <x:c r="W29" s="7" t="s">
        <x:v>1672</x:v>
      </x:c>
      <x:c r="X29" s="41"/>
      <x:c r="Y29" s="41"/>
      <x:c r="Z29" s="41"/>
    </x:row>
    <x:row r="30">
      <x:c r="A30" s="7" t="s">
        <x:v>1673</x:v>
      </x:c>
      <x:c r="B30" s="7" t="s">
        <x:v>1674</x:v>
      </x:c>
      <x:c r="C30" s="7" t="s">
        <x:v>1675</x:v>
      </x:c>
      <x:c r="D30" s="7" t="s">
        <x:v>49</x:v>
      </x:c>
      <x:c r="E30" s="7" t="s">
        <x:v>1563</x:v>
      </x:c>
      <x:c r="F30" s="10">
        <x:v>15.25029</x:v>
      </x:c>
      <x:c r="G30" s="10">
        <x:v>100.08347</x:v>
      </x:c>
      <x:c r="H30" s="7" t="s">
        <x:v>1554</x:v>
      </x:c>
      <x:c r="I30" s="10">
        <x:v>18.79</x:v>
      </x:c>
      <x:c r="J30" s="41"/>
      <x:c r="K30" s="41"/>
      <x:c r="L30" s="41"/>
      <x:c r="M30" s="41"/>
      <x:c r="N30" s="7" t="s">
        <x:v>1538</x:v>
      </x:c>
      <x:c r="O30" s="7" t="s">
        <x:v>1539</x:v>
      </x:c>
      <x:c r="P30" s="10">
        <x:v>5.0</x:v>
      </x:c>
      <x:c r="Q30" s="41"/>
      <x:c r="R30" s="10">
        <x:v>12.4</x:v>
      </x:c>
      <x:c r="S30" s="7" t="s">
        <x:v>1540</x:v>
      </x:c>
      <x:c r="T30" s="7" t="b">
        <x:v>0</x:v>
      </x:c>
      <x:c r="U30" s="7" t="s">
        <x:v>1541</x:v>
      </x:c>
      <x:c r="V30" s="26" t="s">
        <x:v>1542</x:v>
      </x:c>
      <x:c r="W30" s="7" t="s">
        <x:v>1676</x:v>
      </x:c>
      <x:c r="X30" s="41"/>
      <x:c r="Y30" s="41"/>
      <x:c r="Z30" s="41"/>
    </x:row>
    <x:row r="31">
      <x:c r="A31" s="7" t="s">
        <x:v>1677</x:v>
      </x:c>
      <x:c r="B31" s="7" t="s">
        <x:v>1678</x:v>
      </x:c>
      <x:c r="C31" s="7" t="s">
        <x:v>1679</x:v>
      </x:c>
      <x:c r="D31" s="7" t="s">
        <x:v>91</x:v>
      </x:c>
      <x:c r="E31" s="7" t="s">
        <x:v>1680</x:v>
      </x:c>
      <x:c r="F31" s="10">
        <x:v>14.02174</x:v>
      </x:c>
      <x:c r="G31" s="10">
        <x:v>101.750664</x:v>
      </x:c>
      <x:c r="H31" s="7" t="s">
        <x:v>1548</x:v>
      </x:c>
      <x:c r="I31" s="10">
        <x:v>13.13</x:v>
      </x:c>
      <x:c r="J31" s="41"/>
      <x:c r="K31" s="41"/>
      <x:c r="L31" s="41"/>
      <x:c r="M31" s="41"/>
      <x:c r="N31" s="7" t="s">
        <x:v>1538</x:v>
      </x:c>
      <x:c r="O31" s="7" t="s">
        <x:v>1539</x:v>
      </x:c>
      <x:c r="P31" s="10">
        <x:v>5.0</x:v>
      </x:c>
      <x:c r="Q31" s="41"/>
      <x:c r="R31" s="10">
        <x:v>82.4</x:v>
      </x:c>
      <x:c r="S31" s="7" t="s">
        <x:v>301</x:v>
      </x:c>
      <x:c r="T31" s="7" t="b">
        <x:v>0</x:v>
      </x:c>
      <x:c r="U31" s="7" t="s">
        <x:v>1541</x:v>
      </x:c>
      <x:c r="V31" s="26" t="s">
        <x:v>1542</x:v>
      </x:c>
      <x:c r="W31" s="7" t="s">
        <x:v>1681</x:v>
      </x:c>
      <x:c r="X31" s="41"/>
      <x:c r="Y31" s="41"/>
      <x:c r="Z31" s="41"/>
    </x:row>
    <x:row r="32">
      <x:c r="A32" s="7" t="s">
        <x:v>1682</x:v>
      </x:c>
      <x:c r="B32" s="7" t="s">
        <x:v>1683</x:v>
      </x:c>
      <x:c r="C32" s="7" t="s">
        <x:v>1684</x:v>
      </x:c>
      <x:c r="D32" s="7" t="s">
        <x:v>125</x:v>
      </x:c>
      <x:c r="E32" s="7" t="s">
        <x:v>1685</x:v>
      </x:c>
      <x:c r="F32" s="10">
        <x:v>14.875494</x:v>
      </x:c>
      <x:c r="G32" s="10">
        <x:v>103.37887</x:v>
      </x:c>
      <x:c r="H32" s="7" t="s">
        <x:v>1554</x:v>
      </x:c>
      <x:c r="I32" s="10">
        <x:v>138.1</x:v>
      </x:c>
      <x:c r="J32" s="41"/>
      <x:c r="K32" s="41"/>
      <x:c r="L32" s="41"/>
      <x:c r="M32" s="41"/>
      <x:c r="N32" s="7" t="s">
        <x:v>1538</x:v>
      </x:c>
      <x:c r="O32" s="7" t="s">
        <x:v>1539</x:v>
      </x:c>
      <x:c r="P32" s="10">
        <x:v>5.0</x:v>
      </x:c>
      <x:c r="Q32" s="41"/>
      <x:c r="R32" s="10">
        <x:v>12.4</x:v>
      </x:c>
      <x:c r="S32" s="7" t="s">
        <x:v>1540</x:v>
      </x:c>
      <x:c r="T32" s="7" t="b">
        <x:v>0</x:v>
      </x:c>
      <x:c r="U32" s="7" t="s">
        <x:v>1541</x:v>
      </x:c>
      <x:c r="V32" s="26" t="s">
        <x:v>1542</x:v>
      </x:c>
      <x:c r="W32" s="7" t="s">
        <x:v>1686</x:v>
      </x:c>
      <x:c r="X32" s="41"/>
      <x:c r="Y32" s="41"/>
      <x:c r="Z32" s="41"/>
    </x:row>
    <x:row r="33">
      <x:c r="A33" s="7" t="s">
        <x:v>1687</x:v>
      </x:c>
      <x:c r="B33" s="7" t="s">
        <x:v>1688</x:v>
      </x:c>
      <x:c r="C33" s="7" t="s">
        <x:v>1689</x:v>
      </x:c>
      <x:c r="D33" s="7" t="s">
        <x:v>81</x:v>
      </x:c>
      <x:c r="E33" s="7" t="s">
        <x:v>1569</x:v>
      </x:c>
      <x:c r="F33" s="10">
        <x:v>13.80096</x:v>
      </x:c>
      <x:c r="G33" s="10">
        <x:v>100.188026</x:v>
      </x:c>
      <x:c r="H33" s="7" t="s">
        <x:v>1537</x:v>
      </x:c>
      <x:c r="I33" s="10">
        <x:v>2.32</x:v>
      </x:c>
      <x:c r="J33" s="41"/>
      <x:c r="K33" s="41"/>
      <x:c r="L33" s="41"/>
      <x:c r="M33" s="10">
        <x:v>1.6</x:v>
      </x:c>
      <x:c r="N33" s="7" t="s">
        <x:v>1538</x:v>
      </x:c>
      <x:c r="O33" s="7" t="s">
        <x:v>1539</x:v>
      </x:c>
      <x:c r="P33" s="10">
        <x:v>5.0</x:v>
      </x:c>
      <x:c r="Q33" s="41"/>
      <x:c r="R33" s="10">
        <x:v>-457.6</x:v>
      </x:c>
      <x:c r="S33" s="7" t="s">
        <x:v>1540</x:v>
      </x:c>
      <x:c r="T33" s="7" t="b">
        <x:v>0</x:v>
      </x:c>
      <x:c r="U33" s="7" t="s">
        <x:v>1541</x:v>
      </x:c>
      <x:c r="V33" s="26" t="s">
        <x:v>1542</x:v>
      </x:c>
      <x:c r="W33" s="7" t="s">
        <x:v>1690</x:v>
      </x:c>
      <x:c r="X33" s="41"/>
      <x:c r="Y33" s="41"/>
      <x:c r="Z33" s="41"/>
    </x:row>
    <x:row r="34">
      <x:c r="A34" s="7" t="s">
        <x:v>1691</x:v>
      </x:c>
      <x:c r="B34" s="7" t="s">
        <x:v>1692</x:v>
      </x:c>
      <x:c r="C34" s="7" t="s">
        <x:v>1693</x:v>
      </x:c>
      <x:c r="D34" s="7" t="s">
        <x:v>91</x:v>
      </x:c>
      <x:c r="E34" s="7" t="s">
        <x:v>1612</x:v>
      </x:c>
      <x:c r="F34" s="10">
        <x:v>14.05144</x:v>
      </x:c>
      <x:c r="G34" s="10">
        <x:v>101.367378</x:v>
      </x:c>
      <x:c r="H34" s="7" t="s">
        <x:v>1548</x:v>
      </x:c>
      <x:c r="I34" s="10">
        <x:v>4.92</x:v>
      </x:c>
      <x:c r="J34" s="41"/>
      <x:c r="K34" s="41"/>
      <x:c r="L34" s="41"/>
      <x:c r="M34" s="10">
        <x:v>4.13</x:v>
      </x:c>
      <x:c r="N34" s="7" t="s">
        <x:v>1538</x:v>
      </x:c>
      <x:c r="O34" s="7" t="s">
        <x:v>1539</x:v>
      </x:c>
      <x:c r="P34" s="10">
        <x:v>5.0</x:v>
      </x:c>
      <x:c r="Q34" s="41"/>
      <x:c r="R34" s="10">
        <x:v>82.4</x:v>
      </x:c>
      <x:c r="S34" s="7" t="s">
        <x:v>301</x:v>
      </x:c>
      <x:c r="T34" s="7" t="b">
        <x:v>0</x:v>
      </x:c>
      <x:c r="U34" s="7" t="s">
        <x:v>1541</x:v>
      </x:c>
      <x:c r="V34" s="26" t="s">
        <x:v>1542</x:v>
      </x:c>
      <x:c r="W34" s="7" t="s">
        <x:v>1694</x:v>
      </x:c>
      <x:c r="X34" s="41"/>
      <x:c r="Y34" s="41"/>
      <x:c r="Z34" s="41"/>
    </x:row>
    <x:row r="35">
      <x:c r="A35" s="7" t="s">
        <x:v>1695</x:v>
      </x:c>
      <x:c r="B35" s="7" t="s">
        <x:v>1696</x:v>
      </x:c>
      <x:c r="C35" s="7" t="s">
        <x:v>1697</x:v>
      </x:c>
      <x:c r="D35" s="7" t="s">
        <x:v>97</x:v>
      </x:c>
      <x:c r="E35" s="7" t="s">
        <x:v>1698</x:v>
      </x:c>
      <x:c r="F35" s="10">
        <x:v>13.809611</x:v>
      </x:c>
      <x:c r="G35" s="10">
        <x:v>102.05431</x:v>
      </x:c>
      <x:c r="H35" s="7" t="s">
        <x:v>1554</x:v>
      </x:c>
      <x:c r="I35" s="10">
        <x:v>35.52</x:v>
      </x:c>
      <x:c r="J35" s="41"/>
      <x:c r="K35" s="41"/>
      <x:c r="L35" s="41"/>
      <x:c r="M35" s="10"/>
      <x:c r="N35" s="7" t="s">
        <x:v>1538</x:v>
      </x:c>
      <x:c r="O35" s="7" t="s">
        <x:v>1539</x:v>
      </x:c>
      <x:c r="P35" s="10">
        <x:v>5.0</x:v>
      </x:c>
      <x:c r="Q35" s="41"/>
      <x:c r="R35" s="10">
        <x:v>12.4</x:v>
      </x:c>
      <x:c r="S35" s="7" t="s">
        <x:v>1540</x:v>
      </x:c>
      <x:c r="T35" s="7" t="b">
        <x:v>0</x:v>
      </x:c>
      <x:c r="U35" s="7" t="s">
        <x:v>1541</x:v>
      </x:c>
      <x:c r="V35" s="26" t="s">
        <x:v>1542</x:v>
      </x:c>
      <x:c r="W35" s="7" t="s">
        <x:v>1699</x:v>
      </x:c>
      <x:c r="X35" s="41"/>
      <x:c r="Y35" s="41"/>
      <x:c r="Z35" s="41"/>
    </x:row>
    <x:row r="36">
      <x:c r="A36" s="7" t="s">
        <x:v>1700</x:v>
      </x:c>
      <x:c r="B36" s="7" t="s">
        <x:v>1701</x:v>
      </x:c>
      <x:c r="C36" s="7" t="s">
        <x:v>1702</x:v>
      </x:c>
      <x:c r="D36" s="7" t="s">
        <x:v>31</x:v>
      </x:c>
      <x:c r="E36" s="7" t="s">
        <x:v>1703</x:v>
      </x:c>
      <x:c r="F36" s="10">
        <x:v>16.11497</x:v>
      </x:c>
      <x:c r="G36" s="10">
        <x:v>101.09709</x:v>
      </x:c>
      <x:c r="H36" s="7" t="s">
        <x:v>1554</x:v>
      </x:c>
      <x:c r="I36" s="10">
        <x:v>93.92</x:v>
      </x:c>
      <x:c r="J36" s="41"/>
      <x:c r="K36" s="41"/>
      <x:c r="L36" s="41"/>
      <x:c r="M36" s="10"/>
      <x:c r="N36" s="7" t="s">
        <x:v>1538</x:v>
      </x:c>
      <x:c r="O36" s="7" t="s">
        <x:v>1539</x:v>
      </x:c>
      <x:c r="P36" s="10">
        <x:v>5.0</x:v>
      </x:c>
      <x:c r="Q36" s="41"/>
      <x:c r="R36" s="10">
        <x:v>12.4</x:v>
      </x:c>
      <x:c r="S36" s="7" t="s">
        <x:v>1540</x:v>
      </x:c>
      <x:c r="T36" s="7" t="b">
        <x:v>0</x:v>
      </x:c>
      <x:c r="U36" s="7" t="s">
        <x:v>1541</x:v>
      </x:c>
      <x:c r="V36" s="26" t="s">
        <x:v>1542</x:v>
      </x:c>
      <x:c r="W36" s="7" t="s">
        <x:v>1704</x:v>
      </x:c>
      <x:c r="X36" s="41"/>
      <x:c r="Y36" s="41"/>
      <x:c r="Z36" s="41"/>
    </x:row>
    <x:row r="37">
      <x:c r="A37" s="7" t="s">
        <x:v>1705</x:v>
      </x:c>
      <x:c r="B37" s="7" t="s">
        <x:v>1706</x:v>
      </x:c>
      <x:c r="C37" s="7" t="s">
        <x:v>1445</x:v>
      </x:c>
      <x:c r="D37" s="7" t="s">
        <x:v>94</x:v>
      </x:c>
      <x:c r="E37" s="7" t="s">
        <x:v>1612</x:v>
      </x:c>
      <x:c r="F37" s="10">
        <x:v>13.87032</x:v>
      </x:c>
      <x:c r="G37" s="10">
        <x:v>101.14574</x:v>
      </x:c>
      <x:c r="H37" s="7" t="s">
        <x:v>1554</x:v>
      </x:c>
      <x:c r="I37" s="10">
        <x:v>2.29</x:v>
      </x:c>
      <x:c r="J37" s="41"/>
      <x:c r="K37" s="41"/>
      <x:c r="L37" s="41"/>
      <x:c r="M37" s="41"/>
      <x:c r="N37" s="7" t="s">
        <x:v>1538</x:v>
      </x:c>
      <x:c r="O37" s="7" t="s">
        <x:v>1539</x:v>
      </x:c>
      <x:c r="P37" s="10">
        <x:v>5.0</x:v>
      </x:c>
      <x:c r="Q37" s="41"/>
      <x:c r="R37" s="10">
        <x:v>12.4</x:v>
      </x:c>
      <x:c r="S37" s="7" t="s">
        <x:v>1540</x:v>
      </x:c>
      <x:c r="T37" s="7" t="b">
        <x:v>0</x:v>
      </x:c>
      <x:c r="U37" s="7" t="s">
        <x:v>1541</x:v>
      </x:c>
      <x:c r="V37" s="26" t="s">
        <x:v>1542</x:v>
      </x:c>
      <x:c r="W37" s="7" t="s">
        <x:v>1707</x:v>
      </x:c>
      <x:c r="X37" s="41"/>
      <x:c r="Y37" s="41"/>
      <x:c r="Z37" s="41"/>
    </x:row>
    <x:row r="38">
      <x:c r="A38" s="7" t="s">
        <x:v>1708</x:v>
      </x:c>
      <x:c r="B38" s="7" t="s">
        <x:v>1709</x:v>
      </x:c>
      <x:c r="C38" s="7" t="s">
        <x:v>1710</x:v>
      </x:c>
      <x:c r="D38" s="7" t="s">
        <x:v>71</x:v>
      </x:c>
      <x:c r="E38" s="7" t="s">
        <x:v>1711</x:v>
      </x:c>
      <x:c r="F38" s="10">
        <x:v>13.66949</x:v>
      </x:c>
      <x:c r="G38" s="10">
        <x:v>100.80058</x:v>
      </x:c>
      <x:c r="H38" s="7" t="s">
        <x:v>1712</x:v>
      </x:c>
      <x:c r="I38" s="10">
        <x:v>0.6</x:v>
      </x:c>
      <x:c r="J38" s="41"/>
      <x:c r="K38" s="41"/>
      <x:c r="L38" s="41"/>
      <x:c r="M38" s="41"/>
      <x:c r="N38" s="7" t="s">
        <x:v>1538</x:v>
      </x:c>
      <x:c r="O38" s="7" t="s">
        <x:v>1539</x:v>
      </x:c>
      <x:c r="P38" s="10">
        <x:v>5.0</x:v>
      </x:c>
      <x:c r="Q38" s="41"/>
      <x:c r="R38" s="10">
        <x:v>7982.4</x:v>
      </x:c>
      <x:c r="S38" s="7" t="s">
        <x:v>301</x:v>
      </x:c>
      <x:c r="T38" s="7" t="b">
        <x:v>0</x:v>
      </x:c>
      <x:c r="U38" s="7" t="s">
        <x:v>1541</x:v>
      </x:c>
      <x:c r="V38" s="26" t="s">
        <x:v>1542</x:v>
      </x:c>
      <x:c r="W38" s="7" t="s">
        <x:v>1713</x:v>
      </x:c>
      <x:c r="X38" s="41"/>
      <x:c r="Y38" s="41"/>
      <x:c r="Z38" s="41"/>
    </x:row>
    <x:row r="39">
      <x:c r="A39" s="7" t="s">
        <x:v>1714</x:v>
      </x:c>
      <x:c r="B39" s="7" t="s">
        <x:v>1715</x:v>
      </x:c>
      <x:c r="C39" s="7" t="s">
        <x:v>1716</x:v>
      </x:c>
      <x:c r="D39" s="7" t="s">
        <x:v>81</x:v>
      </x:c>
      <x:c r="E39" s="7" t="s">
        <x:v>1569</x:v>
      </x:c>
      <x:c r="F39" s="10">
        <x:v>14.01636</x:v>
      </x:c>
      <x:c r="G39" s="10">
        <x:v>100.17979</x:v>
      </x:c>
      <x:c r="H39" s="7" t="s">
        <x:v>1554</x:v>
      </x:c>
      <x:c r="I39" s="10">
        <x:v>2.82</x:v>
      </x:c>
      <x:c r="J39" s="41"/>
      <x:c r="K39" s="41"/>
      <x:c r="L39" s="41"/>
      <x:c r="M39" s="41"/>
      <x:c r="N39" s="7" t="s">
        <x:v>1538</x:v>
      </x:c>
      <x:c r="O39" s="7" t="s">
        <x:v>1539</x:v>
      </x:c>
      <x:c r="P39" s="10">
        <x:v>5.0</x:v>
      </x:c>
      <x:c r="Q39" s="41"/>
      <x:c r="R39" s="10">
        <x:v>12.4</x:v>
      </x:c>
      <x:c r="S39" s="7" t="s">
        <x:v>1540</x:v>
      </x:c>
      <x:c r="T39" s="7" t="b">
        <x:v>0</x:v>
      </x:c>
      <x:c r="U39" s="7" t="s">
        <x:v>1541</x:v>
      </x:c>
      <x:c r="V39" s="26" t="s">
        <x:v>1542</x:v>
      </x:c>
      <x:c r="W39" s="7" t="s">
        <x:v>1717</x:v>
      </x:c>
      <x:c r="X39" s="41"/>
      <x:c r="Y39" s="41"/>
      <x:c r="Z39" s="41"/>
    </x:row>
    <x:row r="40">
      <x:c r="A40" s="7" t="s">
        <x:v>1718</x:v>
      </x:c>
      <x:c r="B40" s="7" t="s">
        <x:v>1719</x:v>
      </x:c>
      <x:c r="C40" s="7" t="s">
        <x:v>1720</x:v>
      </x:c>
      <x:c r="D40" s="7" t="s">
        <x:v>58</x:v>
      </x:c>
      <x:c r="E40" s="7" t="s">
        <x:v>1588</x:v>
      </x:c>
      <x:c r="F40" s="10">
        <x:v>14.17522</x:v>
      </x:c>
      <x:c r="G40" s="10">
        <x:v>99.434067</x:v>
      </x:c>
      <x:c r="H40" s="7" t="s">
        <x:v>1537</x:v>
      </x:c>
      <x:c r="I40" s="10">
        <x:v>46.18</x:v>
      </x:c>
      <x:c r="J40" s="41"/>
      <x:c r="K40" s="41"/>
      <x:c r="L40" s="41"/>
      <x:c r="M40" s="41"/>
      <x:c r="N40" s="7" t="s">
        <x:v>1538</x:v>
      </x:c>
      <x:c r="O40" s="7" t="s">
        <x:v>1539</x:v>
      </x:c>
      <x:c r="P40" s="10">
        <x:v>5.0</x:v>
      </x:c>
      <x:c r="Q40" s="41"/>
      <x:c r="R40" s="10">
        <x:v>-457.6</x:v>
      </x:c>
      <x:c r="S40" s="7" t="s">
        <x:v>1540</x:v>
      </x:c>
      <x:c r="T40" s="7" t="b">
        <x:v>0</x:v>
      </x:c>
      <x:c r="U40" s="7" t="s">
        <x:v>1541</x:v>
      </x:c>
      <x:c r="V40" s="26" t="s">
        <x:v>1542</x:v>
      </x:c>
      <x:c r="W40" s="7" t="s">
        <x:v>1721</x:v>
      </x:c>
      <x:c r="X40" s="41"/>
      <x:c r="Y40" s="41"/>
      <x:c r="Z40" s="41"/>
    </x:row>
    <x:row r="41">
      <x:c r="A41" s="7" t="s">
        <x:v>1722</x:v>
      </x:c>
      <x:c r="B41" s="7" t="s">
        <x:v>1723</x:v>
      </x:c>
      <x:c r="C41" s="7" t="s">
        <x:v>1724</x:v>
      </x:c>
      <x:c r="D41" s="7" t="s">
        <x:v>68</x:v>
      </x:c>
      <x:c r="E41" s="7" t="s">
        <x:v>1563</x:v>
      </x:c>
      <x:c r="F41" s="10">
        <x:v>14.3691</x:v>
      </x:c>
      <x:c r="G41" s="10">
        <x:v>100.528732</x:v>
      </x:c>
      <x:c r="H41" s="7" t="s">
        <x:v>1548</x:v>
      </x:c>
      <x:c r="I41" s="10">
        <x:v>5.1</x:v>
      </x:c>
      <x:c r="J41" s="41"/>
      <x:c r="K41" s="41"/>
      <x:c r="L41" s="41"/>
      <x:c r="M41" s="41"/>
      <x:c r="N41" s="7" t="s">
        <x:v>1538</x:v>
      </x:c>
      <x:c r="O41" s="7" t="s">
        <x:v>1539</x:v>
      </x:c>
      <x:c r="P41" s="10">
        <x:v>5.0</x:v>
      </x:c>
      <x:c r="Q41" s="41"/>
      <x:c r="R41" s="10">
        <x:v>82.4</x:v>
      </x:c>
      <x:c r="S41" s="7" t="s">
        <x:v>301</x:v>
      </x:c>
      <x:c r="T41" s="7" t="b">
        <x:v>0</x:v>
      </x:c>
      <x:c r="U41" s="7" t="s">
        <x:v>1541</x:v>
      </x:c>
      <x:c r="V41" s="26" t="s">
        <x:v>1542</x:v>
      </x:c>
      <x:c r="W41" s="7" t="s">
        <x:v>1725</x:v>
      </x:c>
      <x:c r="X41" s="41"/>
      <x:c r="Y41" s="41"/>
      <x:c r="Z41" s="41"/>
    </x:row>
    <x:row r="42">
      <x:c r="A42" s="7" t="s">
        <x:v>1726</x:v>
      </x:c>
      <x:c r="B42" s="7" t="s">
        <x:v>1727</x:v>
      </x:c>
      <x:c r="C42" s="7" t="s">
        <x:v>1728</x:v>
      </x:c>
      <x:c r="D42" s="7" t="s">
        <x:v>128</x:v>
      </x:c>
      <x:c r="E42" s="7" t="s">
        <x:v>1729</x:v>
      </x:c>
      <x:c r="F42" s="10">
        <x:v>13.93183</x:v>
      </x:c>
      <x:c r="G42" s="10">
        <x:v>100.63952</x:v>
      </x:c>
      <x:c r="H42" s="7" t="s">
        <x:v>1554</x:v>
      </x:c>
      <x:c r="I42" s="10">
        <x:v>2.12</x:v>
      </x:c>
      <x:c r="J42" s="41"/>
      <x:c r="K42" s="41"/>
      <x:c r="L42" s="41"/>
      <x:c r="M42" s="10"/>
      <x:c r="N42" s="7" t="s">
        <x:v>1538</x:v>
      </x:c>
      <x:c r="O42" s="7" t="s">
        <x:v>1539</x:v>
      </x:c>
      <x:c r="P42" s="10">
        <x:v>5.0</x:v>
      </x:c>
      <x:c r="Q42" s="41"/>
      <x:c r="R42" s="10">
        <x:v>12.4</x:v>
      </x:c>
      <x:c r="S42" s="7" t="s">
        <x:v>1540</x:v>
      </x:c>
      <x:c r="T42" s="7" t="b">
        <x:v>0</x:v>
      </x:c>
      <x:c r="U42" s="7" t="s">
        <x:v>1541</x:v>
      </x:c>
      <x:c r="V42" s="26" t="s">
        <x:v>1542</x:v>
      </x:c>
      <x:c r="W42" s="7" t="s">
        <x:v>1730</x:v>
      </x:c>
      <x:c r="X42" s="41"/>
      <x:c r="Y42" s="41"/>
      <x:c r="Z42" s="41"/>
    </x:row>
    <x:row r="43">
      <x:c r="A43" s="7" t="s">
        <x:v>1731</x:v>
      </x:c>
      <x:c r="B43" s="7" t="s">
        <x:v>1732</x:v>
      </x:c>
      <x:c r="C43" s="7" t="s">
        <x:v>1733</x:v>
      </x:c>
      <x:c r="D43" s="7" t="s">
        <x:v>27</x:v>
      </x:c>
      <x:c r="E43" s="7" t="s">
        <x:v>1734</x:v>
      </x:c>
      <x:c r="F43" s="10">
        <x:v>16.8586</x:v>
      </x:c>
      <x:c r="G43" s="10">
        <x:v>100.05965</x:v>
      </x:c>
      <x:c r="H43" s="7" t="s">
        <x:v>1554</x:v>
      </x:c>
      <x:c r="I43" s="10">
        <x:v>40.95</x:v>
      </x:c>
      <x:c r="J43" s="41"/>
      <x:c r="K43" s="41"/>
      <x:c r="L43" s="41"/>
      <x:c r="M43" s="10"/>
      <x:c r="N43" s="7" t="s">
        <x:v>1538</x:v>
      </x:c>
      <x:c r="O43" s="7" t="s">
        <x:v>1539</x:v>
      </x:c>
      <x:c r="P43" s="10">
        <x:v>5.0</x:v>
      </x:c>
      <x:c r="Q43" s="41"/>
      <x:c r="R43" s="10">
        <x:v>12.4</x:v>
      </x:c>
      <x:c r="S43" s="7" t="s">
        <x:v>1540</x:v>
      </x:c>
      <x:c r="T43" s="7" t="b">
        <x:v>0</x:v>
      </x:c>
      <x:c r="U43" s="7" t="s">
        <x:v>1541</x:v>
      </x:c>
      <x:c r="V43" s="26" t="s">
        <x:v>1542</x:v>
      </x:c>
      <x:c r="W43" s="7" t="s">
        <x:v>1735</x:v>
      </x:c>
      <x:c r="X43" s="41"/>
      <x:c r="Y43" s="41"/>
      <x:c r="Z43" s="41"/>
    </x:row>
    <x:row r="44">
      <x:c r="A44" s="7" t="s">
        <x:v>1736</x:v>
      </x:c>
      <x:c r="B44" s="7" t="s">
        <x:v>1737</x:v>
      </x:c>
      <x:c r="C44" s="7" t="s">
        <x:v>1738</x:v>
      </x:c>
      <x:c r="D44" s="7" t="s">
        <x:v>58</x:v>
      </x:c>
      <x:c r="E44" s="7" t="s">
        <x:v>1623</x:v>
      </x:c>
      <x:c r="F44" s="10">
        <x:v>14.01615</x:v>
      </x:c>
      <x:c r="G44" s="10">
        <x:v>99.53029</x:v>
      </x:c>
      <x:c r="H44" s="7" t="s">
        <x:v>1658</x:v>
      </x:c>
      <x:c r="I44" s="10">
        <x:v>23.89</x:v>
      </x:c>
      <x:c r="J44" s="41"/>
      <x:c r="K44" s="41"/>
      <x:c r="L44" s="41"/>
      <x:c r="M44" s="10">
        <x:v>24.19</x:v>
      </x:c>
      <x:c r="N44" s="7" t="s">
        <x:v>1538</x:v>
      </x:c>
      <x:c r="O44" s="7" t="s">
        <x:v>1539</x:v>
      </x:c>
      <x:c r="P44" s="10">
        <x:v>5.0</x:v>
      </x:c>
      <x:c r="Q44" s="41"/>
      <x:c r="R44" s="10">
        <x:v>22.4</x:v>
      </x:c>
      <x:c r="S44" s="7" t="s">
        <x:v>1540</x:v>
      </x:c>
      <x:c r="T44" s="7" t="b">
        <x:v>0</x:v>
      </x:c>
      <x:c r="U44" s="7" t="s">
        <x:v>1541</x:v>
      </x:c>
      <x:c r="V44" s="26" t="s">
        <x:v>1542</x:v>
      </x:c>
      <x:c r="W44" s="7" t="s">
        <x:v>1739</x:v>
      </x:c>
      <x:c r="X44" s="41"/>
      <x:c r="Y44" s="41"/>
      <x:c r="Z44" s="41"/>
    </x:row>
    <x:row r="45">
      <x:c r="A45" s="7" t="s">
        <x:v>1740</x:v>
      </x:c>
      <x:c r="B45" s="7" t="s">
        <x:v>1741</x:v>
      </x:c>
      <x:c r="C45" s="7" t="s">
        <x:v>1742</x:v>
      </x:c>
      <x:c r="D45" s="7" t="s">
        <x:v>68</x:v>
      </x:c>
      <x:c r="E45" s="7" t="s">
        <x:v>1563</x:v>
      </x:c>
      <x:c r="F45" s="10">
        <x:v>14.30455</x:v>
      </x:c>
      <x:c r="G45" s="10">
        <x:v>100.56645</x:v>
      </x:c>
      <x:c r="H45" s="7" t="s">
        <x:v>1554</x:v>
      </x:c>
      <x:c r="I45" s="10">
        <x:v>3.13</x:v>
      </x:c>
      <x:c r="J45" s="41"/>
      <x:c r="K45" s="41"/>
      <x:c r="L45" s="41"/>
      <x:c r="M45" s="10"/>
      <x:c r="N45" s="7" t="s">
        <x:v>1538</x:v>
      </x:c>
      <x:c r="O45" s="7" t="s">
        <x:v>1539</x:v>
      </x:c>
      <x:c r="P45" s="10">
        <x:v>5.0</x:v>
      </x:c>
      <x:c r="Q45" s="41"/>
      <x:c r="R45" s="10">
        <x:v>12.4</x:v>
      </x:c>
      <x:c r="S45" s="7" t="s">
        <x:v>1540</x:v>
      </x:c>
      <x:c r="T45" s="7" t="b">
        <x:v>0</x:v>
      </x:c>
      <x:c r="U45" s="7" t="s">
        <x:v>1541</x:v>
      </x:c>
      <x:c r="V45" s="26" t="s">
        <x:v>1542</x:v>
      </x:c>
      <x:c r="W45" s="7" t="s">
        <x:v>1743</x:v>
      </x:c>
      <x:c r="X45" s="41"/>
      <x:c r="Y45" s="41"/>
      <x:c r="Z45" s="41"/>
    </x:row>
    <x:row r="46">
      <x:c r="A46" s="7" t="s">
        <x:v>1744</x:v>
      </x:c>
      <x:c r="B46" s="7" t="s">
        <x:v>1745</x:v>
      </x:c>
      <x:c r="C46" s="7" t="s">
        <x:v>1746</x:v>
      </x:c>
      <x:c r="D46" s="7" t="s">
        <x:v>34</x:v>
      </x:c>
      <x:c r="E46" s="7" t="s">
        <x:v>1747</x:v>
      </x:c>
      <x:c r="F46" s="10">
        <x:v>15.91465</x:v>
      </x:c>
      <x:c r="G46" s="10">
        <x:v>99.4194</x:v>
      </x:c>
      <x:c r="H46" s="7" t="s">
        <x:v>1554</x:v>
      </x:c>
      <x:c r="I46" s="10">
        <x:v>118.83</x:v>
      </x:c>
      <x:c r="J46" s="41"/>
      <x:c r="K46" s="41"/>
      <x:c r="L46" s="41"/>
      <x:c r="M46" s="10"/>
      <x:c r="N46" s="7" t="s">
        <x:v>1538</x:v>
      </x:c>
      <x:c r="O46" s="7" t="s">
        <x:v>1539</x:v>
      </x:c>
      <x:c r="P46" s="10">
        <x:v>5.0</x:v>
      </x:c>
      <x:c r="Q46" s="41"/>
      <x:c r="R46" s="10">
        <x:v>12.4</x:v>
      </x:c>
      <x:c r="S46" s="7" t="s">
        <x:v>1540</x:v>
      </x:c>
      <x:c r="T46" s="7" t="b">
        <x:v>0</x:v>
      </x:c>
      <x:c r="U46" s="7" t="s">
        <x:v>1541</x:v>
      </x:c>
      <x:c r="V46" s="26" t="s">
        <x:v>1542</x:v>
      </x:c>
      <x:c r="W46" s="7" t="s">
        <x:v>1748</x:v>
      </x:c>
      <x:c r="X46" s="41"/>
      <x:c r="Y46" s="41"/>
      <x:c r="Z46" s="41"/>
    </x:row>
    <x:row r="47">
      <x:c r="A47" s="7" t="s">
        <x:v>1749</x:v>
      </x:c>
      <x:c r="B47" s="7" t="s">
        <x:v>1750</x:v>
      </x:c>
      <x:c r="C47" s="7" t="s">
        <x:v>1751</x:v>
      </x:c>
      <x:c r="D47" s="7" t="s">
        <x:v>68</x:v>
      </x:c>
      <x:c r="E47" s="7" t="s">
        <x:v>1752</x:v>
      </x:c>
      <x:c r="F47" s="10">
        <x:v>14.42731</x:v>
      </x:c>
      <x:c r="G47" s="10">
        <x:v>100.55605</x:v>
      </x:c>
      <x:c r="H47" s="7" t="s">
        <x:v>1554</x:v>
      </x:c>
      <x:c r="I47" s="10">
        <x:v>5.09</x:v>
      </x:c>
      <x:c r="J47" s="41"/>
      <x:c r="K47" s="41"/>
      <x:c r="L47" s="41"/>
      <x:c r="M47" s="41"/>
      <x:c r="N47" s="7" t="s">
        <x:v>1538</x:v>
      </x:c>
      <x:c r="O47" s="7" t="s">
        <x:v>1539</x:v>
      </x:c>
      <x:c r="P47" s="10">
        <x:v>5.0</x:v>
      </x:c>
      <x:c r="Q47" s="41"/>
      <x:c r="R47" s="10">
        <x:v>12.4</x:v>
      </x:c>
      <x:c r="S47" s="7" t="s">
        <x:v>1540</x:v>
      </x:c>
      <x:c r="T47" s="7" t="b">
        <x:v>0</x:v>
      </x:c>
      <x:c r="U47" s="7" t="s">
        <x:v>1541</x:v>
      </x:c>
      <x:c r="V47" s="26" t="s">
        <x:v>1542</x:v>
      </x:c>
      <x:c r="W47" s="7" t="s">
        <x:v>1753</x:v>
      </x:c>
      <x:c r="X47" s="41"/>
      <x:c r="Y47" s="41"/>
      <x:c r="Z47" s="41"/>
    </x:row>
    <x:row r="48">
      <x:c r="A48" s="7" t="s">
        <x:v>1754</x:v>
      </x:c>
      <x:c r="B48" s="7" t="s">
        <x:v>1755</x:v>
      </x:c>
      <x:c r="C48" s="7" t="s">
        <x:v>1756</x:v>
      </x:c>
      <x:c r="D48" s="7" t="s">
        <x:v>68</x:v>
      </x:c>
      <x:c r="E48" s="7" t="s">
        <x:v>1757</x:v>
      </x:c>
      <x:c r="F48" s="10">
        <x:v>14.288251</x:v>
      </x:c>
      <x:c r="G48" s="10">
        <x:v>100.61132</x:v>
      </x:c>
      <x:c r="H48" s="7" t="s">
        <x:v>1554</x:v>
      </x:c>
      <x:c r="I48" s="10">
        <x:v>2.71</x:v>
      </x:c>
      <x:c r="J48" s="41"/>
      <x:c r="K48" s="41"/>
      <x:c r="L48" s="41"/>
      <x:c r="M48" s="41"/>
      <x:c r="N48" s="7" t="s">
        <x:v>1538</x:v>
      </x:c>
      <x:c r="O48" s="7" t="s">
        <x:v>1539</x:v>
      </x:c>
      <x:c r="P48" s="10">
        <x:v>5.0</x:v>
      </x:c>
      <x:c r="Q48" s="41"/>
      <x:c r="R48" s="10">
        <x:v>12.4</x:v>
      </x:c>
      <x:c r="S48" s="7" t="s">
        <x:v>1540</x:v>
      </x:c>
      <x:c r="T48" s="7" t="b">
        <x:v>0</x:v>
      </x:c>
      <x:c r="U48" s="7" t="s">
        <x:v>1541</x:v>
      </x:c>
      <x:c r="V48" s="26" t="s">
        <x:v>1542</x:v>
      </x:c>
      <x:c r="W48" s="7" t="s">
        <x:v>1758</x:v>
      </x:c>
      <x:c r="X48" s="41"/>
      <x:c r="Y48" s="41"/>
      <x:c r="Z48" s="41"/>
    </x:row>
    <x:row r="49">
      <x:c r="A49" s="7" t="s">
        <x:v>1759</x:v>
      </x:c>
      <x:c r="B49" s="7" t="s">
        <x:v>1760</x:v>
      </x:c>
      <x:c r="C49" s="7" t="s">
        <x:v>1761</x:v>
      </x:c>
      <x:c r="D49" s="7" t="s">
        <x:v>88</x:v>
      </x:c>
      <x:c r="E49" s="7" t="s">
        <x:v>1762</x:v>
      </x:c>
      <x:c r="F49" s="10">
        <x:v>14.113633</x:v>
      </x:c>
      <x:c r="G49" s="10">
        <x:v>101.01952</x:v>
      </x:c>
      <x:c r="H49" s="7" t="s">
        <x:v>1763</x:v>
      </x:c>
      <x:c r="I49" s="10">
        <x:v>2.79</x:v>
      </x:c>
      <x:c r="J49" s="41"/>
      <x:c r="K49" s="41"/>
      <x:c r="L49" s="41"/>
      <x:c r="M49" s="41"/>
      <x:c r="N49" s="7" t="s">
        <x:v>1538</x:v>
      </x:c>
      <x:c r="O49" s="7" t="s">
        <x:v>1539</x:v>
      </x:c>
      <x:c r="P49" s="10">
        <x:v>5.0</x:v>
      </x:c>
      <x:c r="Q49" s="41"/>
      <x:c r="R49" s="10">
        <x:v>3202.4</x:v>
      </x:c>
      <x:c r="S49" s="7" t="s">
        <x:v>301</x:v>
      </x:c>
      <x:c r="T49" s="7" t="b">
        <x:v>0</x:v>
      </x:c>
      <x:c r="U49" s="7" t="s">
        <x:v>1541</x:v>
      </x:c>
      <x:c r="V49" s="26" t="s">
        <x:v>1542</x:v>
      </x:c>
      <x:c r="W49" s="7" t="s">
        <x:v>1764</x:v>
      </x:c>
      <x:c r="X49" s="41"/>
      <x:c r="Y49" s="41"/>
      <x:c r="Z49" s="41"/>
    </x:row>
    <x:row r="50">
      <x:c r="A50" s="7" t="s">
        <x:v>1765</x:v>
      </x:c>
      <x:c r="B50" s="7" t="s">
        <x:v>1766</x:v>
      </x:c>
      <x:c r="C50" s="7" t="s">
        <x:v>1767</x:v>
      </x:c>
      <x:c r="D50" s="7" t="s">
        <x:v>31</x:v>
      </x:c>
      <x:c r="E50" s="7" t="s">
        <x:v>1703</x:v>
      </x:c>
      <x:c r="F50" s="10">
        <x:v>15.5783</x:v>
      </x:c>
      <x:c r="G50" s="10">
        <x:v>101.088623</x:v>
      </x:c>
      <x:c r="H50" s="7" t="s">
        <x:v>1548</x:v>
      </x:c>
      <x:c r="I50" s="10">
        <x:v>63.09</x:v>
      </x:c>
      <x:c r="J50" s="41"/>
      <x:c r="K50" s="41"/>
      <x:c r="L50" s="41"/>
      <x:c r="M50" s="41"/>
      <x:c r="N50" s="7" t="s">
        <x:v>1538</x:v>
      </x:c>
      <x:c r="O50" s="7" t="s">
        <x:v>1539</x:v>
      </x:c>
      <x:c r="P50" s="10">
        <x:v>5.0</x:v>
      </x:c>
      <x:c r="Q50" s="41"/>
      <x:c r="R50" s="10">
        <x:v>82.4</x:v>
      </x:c>
      <x:c r="S50" s="7" t="s">
        <x:v>301</x:v>
      </x:c>
      <x:c r="T50" s="7" t="b">
        <x:v>0</x:v>
      </x:c>
      <x:c r="U50" s="7" t="s">
        <x:v>1541</x:v>
      </x:c>
      <x:c r="V50" s="26" t="s">
        <x:v>1542</x:v>
      </x:c>
      <x:c r="W50" s="7" t="s">
        <x:v>1768</x:v>
      </x:c>
      <x:c r="X50" s="41"/>
      <x:c r="Y50" s="41"/>
      <x:c r="Z50" s="41"/>
    </x:row>
    <x:row r="51">
      <x:c r="A51" s="7" t="s">
        <x:v>1769</x:v>
      </x:c>
      <x:c r="B51" s="7" t="s">
        <x:v>1770</x:v>
      </x:c>
      <x:c r="C51" s="7" t="s">
        <x:v>1771</x:v>
      </x:c>
      <x:c r="D51" s="7" t="s">
        <x:v>58</x:v>
      </x:c>
      <x:c r="E51" s="7" t="s">
        <x:v>1772</x:v>
      </x:c>
      <x:c r="F51" s="10">
        <x:v>14.44497</x:v>
      </x:c>
      <x:c r="G51" s="10">
        <x:v>98.80493</x:v>
      </x:c>
      <x:c r="H51" s="7" t="s">
        <x:v>1658</x:v>
      </x:c>
      <x:c r="I51" s="10">
        <x:v>60.66</x:v>
      </x:c>
      <x:c r="J51" s="41"/>
      <x:c r="K51" s="41"/>
      <x:c r="L51" s="41"/>
      <x:c r="M51" s="10">
        <x:v>62.4</x:v>
      </x:c>
      <x:c r="N51" s="7" t="s">
        <x:v>1538</x:v>
      </x:c>
      <x:c r="O51" s="7" t="s">
        <x:v>1539</x:v>
      </x:c>
      <x:c r="P51" s="10">
        <x:v>5.0</x:v>
      </x:c>
      <x:c r="Q51" s="41"/>
      <x:c r="R51" s="10">
        <x:v>22.4</x:v>
      </x:c>
      <x:c r="S51" s="7" t="s">
        <x:v>1540</x:v>
      </x:c>
      <x:c r="T51" s="7" t="b">
        <x:v>0</x:v>
      </x:c>
      <x:c r="U51" s="7" t="s">
        <x:v>1541</x:v>
      </x:c>
      <x:c r="V51" s="26" t="s">
        <x:v>1542</x:v>
      </x:c>
      <x:c r="W51" s="7" t="s">
        <x:v>1773</x:v>
      </x:c>
      <x:c r="X51" s="41"/>
      <x:c r="Y51" s="41"/>
      <x:c r="Z51" s="41"/>
    </x:row>
    <x:row r="52">
      <x:c r="A52" s="7" t="s">
        <x:v>1774</x:v>
      </x:c>
      <x:c r="B52" s="7" t="s">
        <x:v>1775</x:v>
      </x:c>
      <x:c r="C52" s="7" t="s">
        <x:v>1776</x:v>
      </x:c>
      <x:c r="D52" s="7" t="s">
        <x:v>97</x:v>
      </x:c>
      <x:c r="E52" s="7" t="s">
        <x:v>1698</x:v>
      </x:c>
      <x:c r="F52" s="10">
        <x:v>13.8096</x:v>
      </x:c>
      <x:c r="G52" s="10">
        <x:v>102.054382</x:v>
      </x:c>
      <x:c r="H52" s="7" t="s">
        <x:v>1777</x:v>
      </x:c>
      <x:c r="I52" s="10">
        <x:v>35.35</x:v>
      </x:c>
      <x:c r="J52" s="41"/>
      <x:c r="K52" s="41"/>
      <x:c r="L52" s="41"/>
      <x:c r="M52" s="41"/>
      <x:c r="N52" s="7" t="s">
        <x:v>1538</x:v>
      </x:c>
      <x:c r="O52" s="7" t="s">
        <x:v>1539</x:v>
      </x:c>
      <x:c r="P52" s="10">
        <x:v>5.0</x:v>
      </x:c>
      <x:c r="Q52" s="41"/>
      <x:c r="R52" s="10">
        <x:v>562.4</x:v>
      </x:c>
      <x:c r="S52" s="7" t="s">
        <x:v>301</x:v>
      </x:c>
      <x:c r="T52" s="7" t="b">
        <x:v>0</x:v>
      </x:c>
      <x:c r="U52" s="7" t="s">
        <x:v>1541</x:v>
      </x:c>
      <x:c r="V52" s="26" t="s">
        <x:v>1542</x:v>
      </x:c>
      <x:c r="W52" s="7" t="s">
        <x:v>1778</x:v>
      </x:c>
      <x:c r="X52" s="41"/>
      <x:c r="Y52" s="41"/>
      <x:c r="Z52" s="41"/>
    </x:row>
    <x:row r="53">
      <x:c r="A53" s="7" t="s">
        <x:v>1779</x:v>
      </x:c>
      <x:c r="B53" s="7" t="s">
        <x:v>1780</x:v>
      </x:c>
      <x:c r="C53" s="7" t="s">
        <x:v>1781</x:v>
      </x:c>
      <x:c r="D53" s="7" t="s">
        <x:v>104</x:v>
      </x:c>
      <x:c r="E53" s="7" t="s">
        <x:v>1663</x:v>
      </x:c>
      <x:c r="F53" s="10">
        <x:v>12.85783</x:v>
      </x:c>
      <x:c r="G53" s="10">
        <x:v>101.615738</x:v>
      </x:c>
      <x:c r="H53" s="7" t="s">
        <x:v>1548</x:v>
      </x:c>
      <x:c r="I53" s="10">
        <x:v>9.29</x:v>
      </x:c>
      <x:c r="J53" s="41"/>
      <x:c r="K53" s="41"/>
      <x:c r="L53" s="41"/>
      <x:c r="M53" s="41"/>
      <x:c r="N53" s="7" t="s">
        <x:v>1538</x:v>
      </x:c>
      <x:c r="O53" s="7" t="s">
        <x:v>1539</x:v>
      </x:c>
      <x:c r="P53" s="10">
        <x:v>5.0</x:v>
      </x:c>
      <x:c r="Q53" s="41"/>
      <x:c r="R53" s="10">
        <x:v>82.4</x:v>
      </x:c>
      <x:c r="S53" s="7" t="s">
        <x:v>301</x:v>
      </x:c>
      <x:c r="T53" s="7" t="b">
        <x:v>0</x:v>
      </x:c>
      <x:c r="U53" s="7" t="s">
        <x:v>1541</x:v>
      </x:c>
      <x:c r="V53" s="26" t="s">
        <x:v>1542</x:v>
      </x:c>
      <x:c r="W53" s="7" t="s">
        <x:v>1782</x:v>
      </x:c>
      <x:c r="X53" s="41"/>
      <x:c r="Y53" s="41"/>
      <x:c r="Z53" s="41"/>
    </x:row>
    <x:row r="54">
      <x:c r="A54" s="7" t="s">
        <x:v>1783</x:v>
      </x:c>
      <x:c r="B54" s="7" t="s">
        <x:v>1784</x:v>
      </x:c>
      <x:c r="C54" s="7" t="s">
        <x:v>1785</x:v>
      </x:c>
      <x:c r="D54" s="7" t="s">
        <x:v>122</x:v>
      </x:c>
      <x:c r="E54" s="7" t="s">
        <x:v>1786</x:v>
      </x:c>
      <x:c r="F54" s="10">
        <x:v>15.31065</x:v>
      </x:c>
      <x:c r="G54" s="10">
        <x:v>101.74405</x:v>
      </x:c>
      <x:c r="H54" s="7" t="s">
        <x:v>1554</x:v>
      </x:c>
      <x:c r="I54" s="10">
        <x:v>202.01</x:v>
      </x:c>
      <x:c r="J54" s="41"/>
      <x:c r="K54" s="41"/>
      <x:c r="L54" s="41"/>
      <x:c r="M54" s="41"/>
      <x:c r="N54" s="7" t="s">
        <x:v>1538</x:v>
      </x:c>
      <x:c r="O54" s="7" t="s">
        <x:v>1539</x:v>
      </x:c>
      <x:c r="P54" s="10">
        <x:v>5.0</x:v>
      </x:c>
      <x:c r="Q54" s="41"/>
      <x:c r="R54" s="10">
        <x:v>12.4</x:v>
      </x:c>
      <x:c r="S54" s="7" t="s">
        <x:v>1540</x:v>
      </x:c>
      <x:c r="T54" s="7" t="b">
        <x:v>0</x:v>
      </x:c>
      <x:c r="U54" s="7" t="s">
        <x:v>1541</x:v>
      </x:c>
      <x:c r="V54" s="26" t="s">
        <x:v>1542</x:v>
      </x:c>
      <x:c r="W54" s="7" t="s">
        <x:v>1787</x:v>
      </x:c>
      <x:c r="X54" s="41"/>
      <x:c r="Y54" s="41"/>
      <x:c r="Z54" s="41"/>
    </x:row>
    <x:row r="55">
      <x:c r="A55" s="7" t="s">
        <x:v>1788</x:v>
      </x:c>
      <x:c r="B55" s="7" t="s">
        <x:v>1789</x:v>
      </x:c>
      <x:c r="C55" s="7" t="s">
        <x:v>1790</x:v>
      </x:c>
      <x:c r="D55" s="7" t="s">
        <x:v>81</x:v>
      </x:c>
      <x:c r="E55" s="7" t="s">
        <x:v>1569</x:v>
      </x:c>
      <x:c r="F55" s="10">
        <x:v>13.79217</x:v>
      </x:c>
      <x:c r="G55" s="10">
        <x:v>100.19817</x:v>
      </x:c>
      <x:c r="H55" s="7" t="s">
        <x:v>1554</x:v>
      </x:c>
      <x:c r="I55" s="10">
        <x:v>2.12</x:v>
      </x:c>
      <x:c r="J55" s="41"/>
      <x:c r="K55" s="41"/>
      <x:c r="L55" s="41"/>
      <x:c r="M55" s="41"/>
      <x:c r="N55" s="7" t="s">
        <x:v>1538</x:v>
      </x:c>
      <x:c r="O55" s="7" t="s">
        <x:v>1539</x:v>
      </x:c>
      <x:c r="P55" s="10">
        <x:v>5.0</x:v>
      </x:c>
      <x:c r="Q55" s="41"/>
      <x:c r="R55" s="10">
        <x:v>12.4</x:v>
      </x:c>
      <x:c r="S55" s="7" t="s">
        <x:v>1540</x:v>
      </x:c>
      <x:c r="T55" s="7" t="b">
        <x:v>0</x:v>
      </x:c>
      <x:c r="U55" s="7" t="s">
        <x:v>1541</x:v>
      </x:c>
      <x:c r="V55" s="26" t="s">
        <x:v>1542</x:v>
      </x:c>
      <x:c r="W55" s="7" t="s">
        <x:v>1791</x:v>
      </x:c>
      <x:c r="X55" s="41"/>
      <x:c r="Y55" s="41"/>
      <x:c r="Z55" s="41"/>
    </x:row>
    <x:row r="56">
      <x:c r="A56" s="7" t="s">
        <x:v>1792</x:v>
      </x:c>
      <x:c r="B56" s="7" t="s">
        <x:v>1793</x:v>
      </x:c>
      <x:c r="C56" s="7" t="s">
        <x:v>1794</x:v>
      </x:c>
      <x:c r="D56" s="7" t="s">
        <x:v>55</x:v>
      </x:c>
      <x:c r="E56" s="7" t="s">
        <x:v>1569</x:v>
      </x:c>
      <x:c r="F56" s="10">
        <x:v>14.75138</x:v>
      </x:c>
      <x:c r="G56" s="10">
        <x:v>100.09592</x:v>
      </x:c>
      <x:c r="H56" s="7" t="s">
        <x:v>1554</x:v>
      </x:c>
      <x:c r="I56" s="10">
        <x:v>8.02</x:v>
      </x:c>
      <x:c r="J56" s="41"/>
      <x:c r="K56" s="41"/>
      <x:c r="L56" s="41"/>
      <x:c r="M56" s="41"/>
      <x:c r="N56" s="7" t="s">
        <x:v>1538</x:v>
      </x:c>
      <x:c r="O56" s="7" t="s">
        <x:v>1539</x:v>
      </x:c>
      <x:c r="P56" s="10">
        <x:v>5.0</x:v>
      </x:c>
      <x:c r="Q56" s="41"/>
      <x:c r="R56" s="10">
        <x:v>12.4</x:v>
      </x:c>
      <x:c r="S56" s="7" t="s">
        <x:v>1540</x:v>
      </x:c>
      <x:c r="T56" s="7" t="b">
        <x:v>0</x:v>
      </x:c>
      <x:c r="U56" s="7" t="s">
        <x:v>1541</x:v>
      </x:c>
      <x:c r="V56" s="26" t="s">
        <x:v>1542</x:v>
      </x:c>
      <x:c r="W56" s="7" t="s">
        <x:v>1795</x:v>
      </x:c>
      <x:c r="X56" s="41"/>
      <x:c r="Y56" s="41"/>
      <x:c r="Z56" s="41"/>
    </x:row>
    <x:row r="57">
      <x:c r="A57" s="7" t="s">
        <x:v>1796</x:v>
      </x:c>
      <x:c r="B57" s="7" t="s">
        <x:v>1797</x:v>
      </x:c>
      <x:c r="C57" s="7" t="s">
        <x:v>130</x:v>
      </x:c>
      <x:c r="D57" s="7" t="s">
        <x:v>27</x:v>
      </x:c>
      <x:c r="E57" s="7" t="s">
        <x:v>1734</x:v>
      </x:c>
      <x:c r="F57" s="10">
        <x:v>16.757919</x:v>
      </x:c>
      <x:c r="G57" s="10">
        <x:v>100.115578</x:v>
      </x:c>
      <x:c r="H57" s="7" t="s">
        <x:v>1548</x:v>
      </x:c>
      <x:c r="I57" s="10">
        <x:v>39.04</x:v>
      </x:c>
      <x:c r="J57" s="41"/>
      <x:c r="K57" s="41"/>
      <x:c r="L57" s="41"/>
      <x:c r="M57" s="41"/>
      <x:c r="N57" s="7" t="s">
        <x:v>1538</x:v>
      </x:c>
      <x:c r="O57" s="7" t="s">
        <x:v>1539</x:v>
      </x:c>
      <x:c r="P57" s="10">
        <x:v>5.0</x:v>
      </x:c>
      <x:c r="Q57" s="41"/>
      <x:c r="R57" s="10">
        <x:v>82.4</x:v>
      </x:c>
      <x:c r="S57" s="7" t="s">
        <x:v>301</x:v>
      </x:c>
      <x:c r="T57" s="7" t="b">
        <x:v>0</x:v>
      </x:c>
      <x:c r="U57" s="7" t="s">
        <x:v>1541</x:v>
      </x:c>
      <x:c r="V57" s="26" t="s">
        <x:v>1542</x:v>
      </x:c>
      <x:c r="W57" s="7" t="s">
        <x:v>1798</x:v>
      </x:c>
      <x:c r="X57" s="41"/>
      <x:c r="Y57" s="41"/>
      <x:c r="Z57" s="41"/>
    </x:row>
    <x:row r="58">
      <x:c r="A58" s="7" t="s">
        <x:v>1799</x:v>
      </x:c>
      <x:c r="B58" s="7" t="s">
        <x:v>1800</x:v>
      </x:c>
      <x:c r="C58" s="7" t="s">
        <x:v>1801</x:v>
      </x:c>
      <x:c r="D58" s="7" t="s">
        <x:v>68</x:v>
      </x:c>
      <x:c r="E58" s="7" t="s">
        <x:v>1607</x:v>
      </x:c>
      <x:c r="F58" s="10">
        <x:v>14.36319</x:v>
      </x:c>
      <x:c r="G58" s="10">
        <x:v>100.484833</x:v>
      </x:c>
      <x:c r="H58" s="7" t="s">
        <x:v>1548</x:v>
      </x:c>
      <x:c r="I58" s="10">
        <x:v>4.23</x:v>
      </x:c>
      <x:c r="J58" s="41"/>
      <x:c r="K58" s="41"/>
      <x:c r="L58" s="41"/>
      <x:c r="M58" s="41"/>
      <x:c r="N58" s="7" t="s">
        <x:v>1538</x:v>
      </x:c>
      <x:c r="O58" s="7" t="s">
        <x:v>1539</x:v>
      </x:c>
      <x:c r="P58" s="10">
        <x:v>5.0</x:v>
      </x:c>
      <x:c r="Q58" s="41"/>
      <x:c r="R58" s="10">
        <x:v>82.4</x:v>
      </x:c>
      <x:c r="S58" s="7" t="s">
        <x:v>301</x:v>
      </x:c>
      <x:c r="T58" s="7" t="b">
        <x:v>0</x:v>
      </x:c>
      <x:c r="U58" s="7" t="s">
        <x:v>1541</x:v>
      </x:c>
      <x:c r="V58" s="26" t="s">
        <x:v>1542</x:v>
      </x:c>
      <x:c r="W58" s="7" t="s">
        <x:v>1802</x:v>
      </x:c>
      <x:c r="X58" s="41"/>
      <x:c r="Y58" s="41"/>
      <x:c r="Z58" s="41"/>
    </x:row>
    <x:row r="59">
      <x:c r="A59" s="7" t="s">
        <x:v>1803</x:v>
      </x:c>
      <x:c r="B59" s="7" t="s">
        <x:v>1804</x:v>
      </x:c>
      <x:c r="C59" s="7" t="s">
        <x:v>1805</x:v>
      </x:c>
      <x:c r="D59" s="7" t="s">
        <x:v>249</x:v>
      </x:c>
      <x:c r="E59" s="7"/>
      <x:c r="F59" s="10">
        <x:v>9.191049</x:v>
      </x:c>
      <x:c r="G59" s="10">
        <x:v>99.263785</x:v>
      </x:c>
      <x:c r="H59" s="7" t="s">
        <x:v>1658</x:v>
      </x:c>
      <x:c r="I59" s="10">
        <x:v>1.4</x:v>
      </x:c>
      <x:c r="J59" s="41"/>
      <x:c r="K59" s="41"/>
      <x:c r="L59" s="41"/>
      <x:c r="M59" s="10">
        <x:v>1.33</x:v>
      </x:c>
      <x:c r="N59" s="7" t="s">
        <x:v>1538</x:v>
      </x:c>
      <x:c r="O59" s="7" t="s">
        <x:v>1539</x:v>
      </x:c>
      <x:c r="P59" s="10">
        <x:v>5.0</x:v>
      </x:c>
      <x:c r="Q59" s="41"/>
      <x:c r="R59" s="10">
        <x:v>22.4</x:v>
      </x:c>
      <x:c r="S59" s="7" t="s">
        <x:v>1540</x:v>
      </x:c>
      <x:c r="T59" s="7" t="b">
        <x:v>0</x:v>
      </x:c>
      <x:c r="U59" s="7" t="s">
        <x:v>1541</x:v>
      </x:c>
      <x:c r="V59" s="26" t="s">
        <x:v>1542</x:v>
      </x:c>
      <x:c r="W59" s="7" t="s">
        <x:v>1806</x:v>
      </x:c>
      <x:c r="X59" s="41"/>
      <x:c r="Y59" s="41"/>
      <x:c r="Z59" s="41"/>
    </x:row>
    <x:row r="60">
      <x:c r="A60" s="7" t="s">
        <x:v>1807</x:v>
      </x:c>
      <x:c r="B60" s="7" t="s">
        <x:v>1808</x:v>
      </x:c>
      <x:c r="C60" s="7" t="s">
        <x:v>1809</x:v>
      </x:c>
      <x:c r="D60" s="7" t="s">
        <x:v>128</x:v>
      </x:c>
      <x:c r="E60" s="7" t="s">
        <x:v>1810</x:v>
      </x:c>
      <x:c r="F60" s="10">
        <x:v>13.7407</x:v>
      </x:c>
      <x:c r="G60" s="10">
        <x:v>100.79468</x:v>
      </x:c>
      <x:c r="H60" s="7" t="s">
        <x:v>1811</x:v>
      </x:c>
      <x:c r="I60" s="10">
        <x:v>0.65</x:v>
      </x:c>
      <x:c r="J60" s="41"/>
      <x:c r="K60" s="41"/>
      <x:c r="L60" s="41"/>
      <x:c r="M60" s="41"/>
      <x:c r="N60" s="7" t="s">
        <x:v>1538</x:v>
      </x:c>
      <x:c r="O60" s="7" t="s">
        <x:v>1539</x:v>
      </x:c>
      <x:c r="P60" s="10">
        <x:v>5.0</x:v>
      </x:c>
      <x:c r="Q60" s="41"/>
      <x:c r="R60" s="10">
        <x:v>5582.4</x:v>
      </x:c>
      <x:c r="S60" s="7" t="s">
        <x:v>301</x:v>
      </x:c>
      <x:c r="T60" s="7" t="b">
        <x:v>0</x:v>
      </x:c>
      <x:c r="U60" s="7" t="s">
        <x:v>1541</x:v>
      </x:c>
      <x:c r="V60" s="26" t="s">
        <x:v>1542</x:v>
      </x:c>
      <x:c r="W60" s="7" t="s">
        <x:v>1812</x:v>
      </x:c>
      <x:c r="X60" s="41"/>
      <x:c r="Y60" s="41"/>
      <x:c r="Z60" s="41"/>
    </x:row>
    <x:row r="61">
      <x:c r="A61" s="7" t="s">
        <x:v>1813</x:v>
      </x:c>
      <x:c r="B61" s="7" t="s">
        <x:v>1814</x:v>
      </x:c>
      <x:c r="C61" s="7" t="s">
        <x:v>1815</x:v>
      </x:c>
      <x:c r="D61" s="7" t="s">
        <x:v>84</x:v>
      </x:c>
      <x:c r="E61" s="7" t="s">
        <x:v>1623</x:v>
      </x:c>
      <x:c r="F61" s="10">
        <x:v>13.63308</x:v>
      </x:c>
      <x:c r="G61" s="10">
        <x:v>99.8164</x:v>
      </x:c>
      <x:c r="H61" s="7" t="s">
        <x:v>1554</x:v>
      </x:c>
      <x:c r="I61" s="10">
        <x:v>5.95</x:v>
      </x:c>
      <x:c r="J61" s="41"/>
      <x:c r="K61" s="41"/>
      <x:c r="L61" s="41"/>
      <x:c r="M61" s="41"/>
      <x:c r="N61" s="7" t="s">
        <x:v>1538</x:v>
      </x:c>
      <x:c r="O61" s="7" t="s">
        <x:v>1539</x:v>
      </x:c>
      <x:c r="P61" s="10">
        <x:v>5.0</x:v>
      </x:c>
      <x:c r="Q61" s="41"/>
      <x:c r="R61" s="10">
        <x:v>12.4</x:v>
      </x:c>
      <x:c r="S61" s="7" t="s">
        <x:v>1540</x:v>
      </x:c>
      <x:c r="T61" s="7" t="b">
        <x:v>0</x:v>
      </x:c>
      <x:c r="U61" s="7" t="s">
        <x:v>1541</x:v>
      </x:c>
      <x:c r="V61" s="26" t="s">
        <x:v>1542</x:v>
      </x:c>
      <x:c r="W61" s="7" t="s">
        <x:v>1816</x:v>
      </x:c>
      <x:c r="X61" s="41"/>
      <x:c r="Y61" s="41"/>
      <x:c r="Z61" s="41"/>
    </x:row>
    <x:row r="62">
      <x:c r="A62" s="7" t="s">
        <x:v>1817</x:v>
      </x:c>
      <x:c r="B62" s="7" t="s">
        <x:v>1818</x:v>
      </x:c>
      <x:c r="C62" s="7" t="s">
        <x:v>130</x:v>
      </x:c>
      <x:c r="D62" s="7" t="s">
        <x:v>27</x:v>
      </x:c>
      <x:c r="E62" s="7" t="s">
        <x:v>1734</x:v>
      </x:c>
      <x:c r="F62" s="10">
        <x:v>16.762119</x:v>
      </x:c>
      <x:c r="G62" s="10">
        <x:v>100.121201</x:v>
      </x:c>
      <x:c r="H62" s="7" t="s">
        <x:v>1548</x:v>
      </x:c>
      <x:c r="I62" s="10">
        <x:v>38.93</x:v>
      </x:c>
      <x:c r="J62" s="41"/>
      <x:c r="K62" s="41"/>
      <x:c r="L62" s="41"/>
      <x:c r="M62" s="41"/>
      <x:c r="N62" s="7" t="s">
        <x:v>1538</x:v>
      </x:c>
      <x:c r="O62" s="7" t="s">
        <x:v>1539</x:v>
      </x:c>
      <x:c r="P62" s="10">
        <x:v>5.0</x:v>
      </x:c>
      <x:c r="Q62" s="41"/>
      <x:c r="R62" s="10">
        <x:v>82.4</x:v>
      </x:c>
      <x:c r="S62" s="7" t="s">
        <x:v>301</x:v>
      </x:c>
      <x:c r="T62" s="7" t="b">
        <x:v>0</x:v>
      </x:c>
      <x:c r="U62" s="7" t="s">
        <x:v>1541</x:v>
      </x:c>
      <x:c r="V62" s="26" t="s">
        <x:v>1542</x:v>
      </x:c>
      <x:c r="W62" s="7" t="s">
        <x:v>1819</x:v>
      </x:c>
      <x:c r="X62" s="41"/>
      <x:c r="Y62" s="41"/>
      <x:c r="Z62" s="41"/>
    </x:row>
    <x:row r="63">
      <x:c r="A63" s="7" t="s">
        <x:v>1820</x:v>
      </x:c>
      <x:c r="B63" s="7" t="s">
        <x:v>1821</x:v>
      </x:c>
      <x:c r="C63" s="7" t="s">
        <x:v>1822</x:v>
      </x:c>
      <x:c r="D63" s="7" t="s">
        <x:v>74</x:v>
      </x:c>
      <x:c r="E63" s="7" t="s">
        <x:v>1823</x:v>
      </x:c>
      <x:c r="F63" s="10">
        <x:v>13.96562</x:v>
      </x:c>
      <x:c r="G63" s="10">
        <x:v>100.60262</x:v>
      </x:c>
      <x:c r="H63" s="7" t="s">
        <x:v>1554</x:v>
      </x:c>
      <x:c r="I63" s="10">
        <x:v>1.29</x:v>
      </x:c>
      <x:c r="J63" s="41"/>
      <x:c r="K63" s="41"/>
      <x:c r="L63" s="41"/>
      <x:c r="M63" s="41"/>
      <x:c r="N63" s="7" t="s">
        <x:v>1538</x:v>
      </x:c>
      <x:c r="O63" s="7" t="s">
        <x:v>1539</x:v>
      </x:c>
      <x:c r="P63" s="10">
        <x:v>5.0</x:v>
      </x:c>
      <x:c r="Q63" s="41"/>
      <x:c r="R63" s="10">
        <x:v>12.4</x:v>
      </x:c>
      <x:c r="S63" s="7" t="s">
        <x:v>1540</x:v>
      </x:c>
      <x:c r="T63" s="7" t="b">
        <x:v>0</x:v>
      </x:c>
      <x:c r="U63" s="7" t="s">
        <x:v>1541</x:v>
      </x:c>
      <x:c r="V63" s="26" t="s">
        <x:v>1542</x:v>
      </x:c>
      <x:c r="W63" s="7" t="s">
        <x:v>1824</x:v>
      </x:c>
      <x:c r="X63" s="41"/>
      <x:c r="Y63" s="41"/>
      <x:c r="Z63" s="41"/>
    </x:row>
    <x:row r="64">
      <x:c r="A64" s="7" t="s">
        <x:v>1825</x:v>
      </x:c>
      <x:c r="B64" s="7" t="s">
        <x:v>1826</x:v>
      </x:c>
      <x:c r="C64" s="7" t="s">
        <x:v>1827</x:v>
      </x:c>
      <x:c r="D64" s="7" t="s">
        <x:v>81</x:v>
      </x:c>
      <x:c r="E64" s="7" t="s">
        <x:v>1569</x:v>
      </x:c>
      <x:c r="F64" s="10">
        <x:v>13.72411</x:v>
      </x:c>
      <x:c r="G64" s="10">
        <x:v>100.215683</x:v>
      </x:c>
      <x:c r="H64" s="7" t="s">
        <x:v>1537</x:v>
      </x:c>
      <x:c r="I64" s="10">
        <x:v>1.47</x:v>
      </x:c>
      <x:c r="J64" s="41"/>
      <x:c r="K64" s="41"/>
      <x:c r="L64" s="41"/>
      <x:c r="M64" s="41"/>
      <x:c r="N64" s="7" t="s">
        <x:v>1828</x:v>
      </x:c>
      <x:c r="O64" s="7" t="s">
        <x:v>1539</x:v>
      </x:c>
      <x:c r="P64" s="10">
        <x:v>4.0</x:v>
      </x:c>
      <x:c r="Q64" s="41"/>
      <x:c r="R64" s="10">
        <x:v>-457.6</x:v>
      </x:c>
      <x:c r="S64" s="7" t="s">
        <x:v>1540</x:v>
      </x:c>
      <x:c r="T64" s="7" t="b">
        <x:v>0</x:v>
      </x:c>
      <x:c r="U64" s="7" t="s">
        <x:v>1541</x:v>
      </x:c>
      <x:c r="V64" s="26" t="s">
        <x:v>1542</x:v>
      </x:c>
      <x:c r="W64" s="7" t="s">
        <x:v>1829</x:v>
      </x:c>
      <x:c r="X64" s="41"/>
      <x:c r="Y64" s="41"/>
      <x:c r="Z64" s="41"/>
    </x:row>
    <x:row r="65">
      <x:c r="A65" s="7" t="s">
        <x:v>1830</x:v>
      </x:c>
      <x:c r="B65" s="7" t="s">
        <x:v>1831</x:v>
      </x:c>
      <x:c r="C65" s="7" t="s">
        <x:v>1832</x:v>
      </x:c>
      <x:c r="D65" s="7" t="s">
        <x:v>68</x:v>
      </x:c>
      <x:c r="E65" s="7" t="s">
        <x:v>1703</x:v>
      </x:c>
      <x:c r="F65" s="10">
        <x:v>14.56014</x:v>
      </x:c>
      <x:c r="G65" s="10">
        <x:v>100.71987</x:v>
      </x:c>
      <x:c r="H65" s="7" t="s">
        <x:v>1554</x:v>
      </x:c>
      <x:c r="I65" s="10">
        <x:v>6.09</x:v>
      </x:c>
      <x:c r="J65" s="41"/>
      <x:c r="K65" s="41"/>
      <x:c r="L65" s="41"/>
      <x:c r="M65" s="10"/>
      <x:c r="N65" s="7" t="s">
        <x:v>1828</x:v>
      </x:c>
      <x:c r="O65" s="7" t="s">
        <x:v>1539</x:v>
      </x:c>
      <x:c r="P65" s="10">
        <x:v>4.0</x:v>
      </x:c>
      <x:c r="Q65" s="41"/>
      <x:c r="R65" s="10">
        <x:v>12.4</x:v>
      </x:c>
      <x:c r="S65" s="7" t="s">
        <x:v>1540</x:v>
      </x:c>
      <x:c r="T65" s="7" t="b">
        <x:v>0</x:v>
      </x:c>
      <x:c r="U65" s="7" t="s">
        <x:v>1541</x:v>
      </x:c>
      <x:c r="V65" s="26" t="s">
        <x:v>1542</x:v>
      </x:c>
      <x:c r="W65" s="7" t="s">
        <x:v>1833</x:v>
      </x:c>
      <x:c r="X65" s="41"/>
      <x:c r="Y65" s="41"/>
      <x:c r="Z65" s="41"/>
    </x:row>
    <x:row r="66">
      <x:c r="A66" s="7" t="s">
        <x:v>1834</x:v>
      </x:c>
      <x:c r="B66" s="7" t="s">
        <x:v>1835</x:v>
      </x:c>
      <x:c r="C66" s="7" t="s">
        <x:v>1836</x:v>
      </x:c>
      <x:c r="D66" s="7" t="s">
        <x:v>58</x:v>
      </x:c>
      <x:c r="E66" s="7" t="s">
        <x:v>1837</x:v>
      </x:c>
      <x:c r="F66" s="10">
        <x:v>14.05861</x:v>
      </x:c>
      <x:c r="G66" s="10">
        <x:v>99.445221</x:v>
      </x:c>
      <x:c r="H66" s="7" t="s">
        <x:v>1537</x:v>
      </x:c>
      <x:c r="I66" s="10">
        <x:v>26.98</x:v>
      </x:c>
      <x:c r="J66" s="41"/>
      <x:c r="K66" s="41"/>
      <x:c r="L66" s="41"/>
      <x:c r="M66" s="10"/>
      <x:c r="N66" s="7" t="s">
        <x:v>1828</x:v>
      </x:c>
      <x:c r="O66" s="7" t="s">
        <x:v>1539</x:v>
      </x:c>
      <x:c r="P66" s="10">
        <x:v>4.0</x:v>
      </x:c>
      <x:c r="Q66" s="41"/>
      <x:c r="R66" s="10">
        <x:v>-457.6</x:v>
      </x:c>
      <x:c r="S66" s="7" t="s">
        <x:v>1540</x:v>
      </x:c>
      <x:c r="T66" s="7" t="b">
        <x:v>0</x:v>
      </x:c>
      <x:c r="U66" s="7" t="s">
        <x:v>1541</x:v>
      </x:c>
      <x:c r="V66" s="26" t="s">
        <x:v>1542</x:v>
      </x:c>
      <x:c r="W66" s="7" t="s">
        <x:v>1838</x:v>
      </x:c>
      <x:c r="X66" s="41"/>
      <x:c r="Y66" s="41"/>
      <x:c r="Z66" s="41"/>
    </x:row>
    <x:row r="67">
      <x:c r="A67" s="7" t="s">
        <x:v>1839</x:v>
      </x:c>
      <x:c r="B67" s="7" t="s">
        <x:v>1840</x:v>
      </x:c>
      <x:c r="C67" s="7" t="s">
        <x:v>1841</x:v>
      </x:c>
      <x:c r="D67" s="7" t="s">
        <x:v>58</x:v>
      </x:c>
      <x:c r="E67" s="7" t="s">
        <x:v>1536</x:v>
      </x:c>
      <x:c r="F67" s="10">
        <x:v>13.93906</x:v>
      </x:c>
      <x:c r="G67" s="10">
        <x:v>99.416252</x:v>
      </x:c>
      <x:c r="H67" s="7" t="s">
        <x:v>1537</x:v>
      </x:c>
      <x:c r="I67" s="10">
        <x:v>31.39</x:v>
      </x:c>
      <x:c r="J67" s="41"/>
      <x:c r="K67" s="41"/>
      <x:c r="L67" s="41"/>
      <x:c r="M67" s="10">
        <x:v>31.45</x:v>
      </x:c>
      <x:c r="N67" s="7" t="s">
        <x:v>1828</x:v>
      </x:c>
      <x:c r="O67" s="7" t="s">
        <x:v>1539</x:v>
      </x:c>
      <x:c r="P67" s="10">
        <x:v>4.0</x:v>
      </x:c>
      <x:c r="Q67" s="41"/>
      <x:c r="R67" s="10">
        <x:v>-457.6</x:v>
      </x:c>
      <x:c r="S67" s="7" t="s">
        <x:v>1540</x:v>
      </x:c>
      <x:c r="T67" s="7" t="b">
        <x:v>0</x:v>
      </x:c>
      <x:c r="U67" s="7" t="s">
        <x:v>1541</x:v>
      </x:c>
      <x:c r="V67" s="26" t="s">
        <x:v>1542</x:v>
      </x:c>
      <x:c r="W67" s="7" t="s">
        <x:v>1842</x:v>
      </x:c>
      <x:c r="X67" s="41"/>
      <x:c r="Y67" s="41"/>
      <x:c r="Z67" s="41"/>
    </x:row>
    <x:row r="68">
      <x:c r="A68" s="7" t="s">
        <x:v>1843</x:v>
      </x:c>
      <x:c r="B68" s="7" t="s">
        <x:v>1844</x:v>
      </x:c>
      <x:c r="C68" s="7" t="s">
        <x:v>1845</x:v>
      </x:c>
      <x:c r="D68" s="7" t="s">
        <x:v>248</x:v>
      </x:c>
      <x:c r="E68" s="7"/>
      <x:c r="F68" s="10">
        <x:v>8.438141</x:v>
      </x:c>
      <x:c r="G68" s="10">
        <x:v>100.0304</x:v>
      </x:c>
      <x:c r="H68" s="7" t="s">
        <x:v>1554</x:v>
      </x:c>
      <x:c r="I68" s="10">
        <x:v>0.69</x:v>
      </x:c>
      <x:c r="J68" s="41"/>
      <x:c r="K68" s="41"/>
      <x:c r="L68" s="41"/>
      <x:c r="M68" s="10"/>
      <x:c r="N68" s="7" t="s">
        <x:v>1828</x:v>
      </x:c>
      <x:c r="O68" s="7" t="s">
        <x:v>1539</x:v>
      </x:c>
      <x:c r="P68" s="10">
        <x:v>4.0</x:v>
      </x:c>
      <x:c r="Q68" s="41"/>
      <x:c r="R68" s="10">
        <x:v>12.4</x:v>
      </x:c>
      <x:c r="S68" s="7" t="s">
        <x:v>1540</x:v>
      </x:c>
      <x:c r="T68" s="7" t="b">
        <x:v>0</x:v>
      </x:c>
      <x:c r="U68" s="7" t="s">
        <x:v>1541</x:v>
      </x:c>
      <x:c r="V68" s="26" t="s">
        <x:v>1542</x:v>
      </x:c>
      <x:c r="W68" s="7" t="s">
        <x:v>1846</x:v>
      </x:c>
      <x:c r="X68" s="41"/>
      <x:c r="Y68" s="41"/>
      <x:c r="Z68" s="41"/>
    </x:row>
    <x:row r="69">
      <x:c r="A69" s="7" t="s">
        <x:v>1847</x:v>
      </x:c>
      <x:c r="B69" s="7" t="s">
        <x:v>1848</x:v>
      </x:c>
      <x:c r="C69" s="7" t="s">
        <x:v>1849</x:v>
      </x:c>
      <x:c r="D69" s="7" t="s">
        <x:v>18</x:v>
      </x:c>
      <x:c r="E69" s="7" t="s">
        <x:v>1837</x:v>
      </x:c>
      <x:c r="F69" s="10">
        <x:v>16.04928</x:v>
      </x:c>
      <x:c r="G69" s="10">
        <x:v>98.844765</x:v>
      </x:c>
      <x:c r="H69" s="7" t="s">
        <x:v>1554</x:v>
      </x:c>
      <x:c r="I69" s="10">
        <x:v>454.3</x:v>
      </x:c>
      <x:c r="J69" s="41"/>
      <x:c r="K69" s="41"/>
      <x:c r="L69" s="41"/>
      <x:c r="M69" s="10"/>
      <x:c r="N69" s="7" t="s">
        <x:v>1828</x:v>
      </x:c>
      <x:c r="O69" s="7" t="s">
        <x:v>1539</x:v>
      </x:c>
      <x:c r="P69" s="10">
        <x:v>4.0</x:v>
      </x:c>
      <x:c r="Q69" s="41"/>
      <x:c r="R69" s="10">
        <x:v>12.4</x:v>
      </x:c>
      <x:c r="S69" s="7" t="s">
        <x:v>1540</x:v>
      </x:c>
      <x:c r="T69" s="7" t="b">
        <x:v>0</x:v>
      </x:c>
      <x:c r="U69" s="7" t="s">
        <x:v>1541</x:v>
      </x:c>
      <x:c r="V69" s="26" t="s">
        <x:v>1542</x:v>
      </x:c>
      <x:c r="W69" s="7" t="s">
        <x:v>1850</x:v>
      </x:c>
      <x:c r="X69" s="41"/>
      <x:c r="Y69" s="41"/>
      <x:c r="Z69" s="41"/>
    </x:row>
    <x:row r="70">
      <x:c r="A70" s="7" t="s">
        <x:v>1851</x:v>
      </x:c>
      <x:c r="B70" s="7" t="s">
        <x:v>1852</x:v>
      </x:c>
      <x:c r="C70" s="7" t="s">
        <x:v>1853</x:v>
      </x:c>
      <x:c r="D70" s="7" t="s">
        <x:v>78</x:v>
      </x:c>
      <x:c r="E70" s="7" t="s">
        <x:v>1563</x:v>
      </x:c>
      <x:c r="F70" s="10">
        <x:v>13.94749</x:v>
      </x:c>
      <x:c r="G70" s="10">
        <x:v>100.53507</x:v>
      </x:c>
      <x:c r="H70" s="7" t="s">
        <x:v>1554</x:v>
      </x:c>
      <x:c r="I70" s="10">
        <x:v>2.3</x:v>
      </x:c>
      <x:c r="J70" s="41"/>
      <x:c r="K70" s="41"/>
      <x:c r="L70" s="41"/>
      <x:c r="M70" s="41"/>
      <x:c r="N70" s="7" t="s">
        <x:v>1828</x:v>
      </x:c>
      <x:c r="O70" s="7" t="s">
        <x:v>1539</x:v>
      </x:c>
      <x:c r="P70" s="10">
        <x:v>4.0</x:v>
      </x:c>
      <x:c r="Q70" s="41"/>
      <x:c r="R70" s="10">
        <x:v>12.4</x:v>
      </x:c>
      <x:c r="S70" s="7" t="s">
        <x:v>1540</x:v>
      </x:c>
      <x:c r="T70" s="7" t="b">
        <x:v>0</x:v>
      </x:c>
      <x:c r="U70" s="7" t="s">
        <x:v>1541</x:v>
      </x:c>
      <x:c r="V70" s="26" t="s">
        <x:v>1542</x:v>
      </x:c>
      <x:c r="W70" s="7" t="s">
        <x:v>1854</x:v>
      </x:c>
      <x:c r="X70" s="41"/>
      <x:c r="Y70" s="41"/>
      <x:c r="Z70" s="41"/>
    </x:row>
    <x:row r="71">
      <x:c r="A71" s="7" t="s">
        <x:v>1855</x:v>
      </x:c>
      <x:c r="B71" s="7" t="s">
        <x:v>1856</x:v>
      </x:c>
      <x:c r="C71" s="7" t="s">
        <x:v>1857</x:v>
      </x:c>
      <x:c r="D71" s="7" t="s">
        <x:v>118</x:v>
      </x:c>
      <x:c r="E71" s="7" t="s">
        <x:v>1858</x:v>
      </x:c>
      <x:c r="F71" s="10">
        <x:v>16.590509</x:v>
      </x:c>
      <x:c r="G71" s="10">
        <x:v>101.983223</x:v>
      </x:c>
      <x:c r="H71" s="7" t="s">
        <x:v>1548</x:v>
      </x:c>
      <x:c r="I71" s="10">
        <x:v>229.93</x:v>
      </x:c>
      <x:c r="J71" s="41"/>
      <x:c r="K71" s="41"/>
      <x:c r="L71" s="41"/>
      <x:c r="M71" s="41"/>
      <x:c r="N71" s="7" t="s">
        <x:v>1828</x:v>
      </x:c>
      <x:c r="O71" s="7" t="s">
        <x:v>1539</x:v>
      </x:c>
      <x:c r="P71" s="10">
        <x:v>4.0</x:v>
      </x:c>
      <x:c r="Q71" s="41"/>
      <x:c r="R71" s="10">
        <x:v>82.4</x:v>
      </x:c>
      <x:c r="S71" s="7" t="s">
        <x:v>301</x:v>
      </x:c>
      <x:c r="T71" s="7" t="b">
        <x:v>0</x:v>
      </x:c>
      <x:c r="U71" s="7" t="s">
        <x:v>1541</x:v>
      </x:c>
      <x:c r="V71" s="26" t="s">
        <x:v>1542</x:v>
      </x:c>
      <x:c r="W71" s="7" t="s">
        <x:v>1859</x:v>
      </x:c>
      <x:c r="X71" s="41"/>
      <x:c r="Y71" s="41"/>
      <x:c r="Z71" s="41"/>
    </x:row>
    <x:row r="72">
      <x:c r="A72" s="7" t="s">
        <x:v>1860</x:v>
      </x:c>
      <x:c r="B72" s="7" t="s">
        <x:v>1861</x:v>
      </x:c>
      <x:c r="C72" s="7" t="s">
        <x:v>1862</x:v>
      </x:c>
      <x:c r="D72" s="7" t="s">
        <x:v>68</x:v>
      </x:c>
      <x:c r="E72" s="7" t="s">
        <x:v>1703</x:v>
      </x:c>
      <x:c r="F72" s="10">
        <x:v>14.40269</x:v>
      </x:c>
      <x:c r="G72" s="10">
        <x:v>100.5864</x:v>
      </x:c>
      <x:c r="H72" s="7" t="s">
        <x:v>1554</x:v>
      </x:c>
      <x:c r="I72" s="10">
        <x:v>3.67</x:v>
      </x:c>
      <x:c r="J72" s="41"/>
      <x:c r="K72" s="41"/>
      <x:c r="L72" s="41"/>
      <x:c r="M72" s="41"/>
      <x:c r="N72" s="7" t="s">
        <x:v>1828</x:v>
      </x:c>
      <x:c r="O72" s="7" t="s">
        <x:v>1539</x:v>
      </x:c>
      <x:c r="P72" s="10">
        <x:v>4.0</x:v>
      </x:c>
      <x:c r="Q72" s="41"/>
      <x:c r="R72" s="10">
        <x:v>12.4</x:v>
      </x:c>
      <x:c r="S72" s="7" t="s">
        <x:v>1540</x:v>
      </x:c>
      <x:c r="T72" s="7" t="b">
        <x:v>0</x:v>
      </x:c>
      <x:c r="U72" s="7" t="s">
        <x:v>1541</x:v>
      </x:c>
      <x:c r="V72" s="26" t="s">
        <x:v>1542</x:v>
      </x:c>
      <x:c r="W72" s="7" t="s">
        <x:v>1863</x:v>
      </x:c>
      <x:c r="X72" s="41"/>
      <x:c r="Y72" s="41"/>
      <x:c r="Z72" s="41"/>
    </x:row>
    <x:row r="73">
      <x:c r="A73" s="7" t="s">
        <x:v>1864</x:v>
      </x:c>
      <x:c r="B73" s="7" t="s">
        <x:v>1865</x:v>
      </x:c>
      <x:c r="C73" s="7" t="s">
        <x:v>1866</x:v>
      </x:c>
      <x:c r="D73" s="7" t="s">
        <x:v>46</x:v>
      </x:c>
      <x:c r="E73" s="7" t="s">
        <x:v>1752</x:v>
      </x:c>
      <x:c r="F73" s="10">
        <x:v>14.76049</x:v>
      </x:c>
      <x:c r="G73" s="10">
        <x:v>100.5996</x:v>
      </x:c>
      <x:c r="H73" s="7" t="s">
        <x:v>1554</x:v>
      </x:c>
      <x:c r="I73" s="10">
        <x:v>6.29</x:v>
      </x:c>
      <x:c r="J73" s="41"/>
      <x:c r="K73" s="41"/>
      <x:c r="L73" s="41"/>
      <x:c r="M73" s="41"/>
      <x:c r="N73" s="7" t="s">
        <x:v>1828</x:v>
      </x:c>
      <x:c r="O73" s="7" t="s">
        <x:v>1539</x:v>
      </x:c>
      <x:c r="P73" s="10">
        <x:v>4.0</x:v>
      </x:c>
      <x:c r="Q73" s="41"/>
      <x:c r="R73" s="10">
        <x:v>12.4</x:v>
      </x:c>
      <x:c r="S73" s="7" t="s">
        <x:v>1540</x:v>
      </x:c>
      <x:c r="T73" s="7" t="b">
        <x:v>0</x:v>
      </x:c>
      <x:c r="U73" s="7" t="s">
        <x:v>1541</x:v>
      </x:c>
      <x:c r="V73" s="26" t="s">
        <x:v>1542</x:v>
      </x:c>
      <x:c r="W73" s="7" t="s">
        <x:v>1867</x:v>
      </x:c>
      <x:c r="X73" s="41"/>
      <x:c r="Y73" s="41"/>
      <x:c r="Z73" s="41"/>
    </x:row>
    <x:row r="74">
      <x:c r="A74" s="7" t="s">
        <x:v>1868</x:v>
      </x:c>
      <x:c r="B74" s="7" t="s">
        <x:v>1869</x:v>
      </x:c>
      <x:c r="C74" s="7" t="s">
        <x:v>68</x:v>
      </x:c>
      <x:c r="D74" s="7" t="s">
        <x:v>68</x:v>
      </x:c>
      <x:c r="E74" s="7" t="s">
        <x:v>1563</x:v>
      </x:c>
      <x:c r="F74" s="10">
        <x:v>14.36913</x:v>
      </x:c>
      <x:c r="G74" s="10">
        <x:v>100.52861</x:v>
      </x:c>
      <x:c r="H74" s="7" t="s">
        <x:v>1554</x:v>
      </x:c>
      <x:c r="I74" s="10">
        <x:v>4.72</x:v>
      </x:c>
      <x:c r="J74" s="41"/>
      <x:c r="K74" s="41"/>
      <x:c r="L74" s="41"/>
      <x:c r="M74" s="41"/>
      <x:c r="N74" s="7" t="s">
        <x:v>1828</x:v>
      </x:c>
      <x:c r="O74" s="7" t="s">
        <x:v>1539</x:v>
      </x:c>
      <x:c r="P74" s="10">
        <x:v>4.0</x:v>
      </x:c>
      <x:c r="Q74" s="41"/>
      <x:c r="R74" s="10">
        <x:v>12.4</x:v>
      </x:c>
      <x:c r="S74" s="7" t="s">
        <x:v>1540</x:v>
      </x:c>
      <x:c r="T74" s="7" t="b">
        <x:v>0</x:v>
      </x:c>
      <x:c r="U74" s="7" t="s">
        <x:v>1541</x:v>
      </x:c>
      <x:c r="V74" s="26" t="s">
        <x:v>1542</x:v>
      </x:c>
      <x:c r="W74" s="7" t="s">
        <x:v>1870</x:v>
      </x:c>
      <x:c r="X74" s="41"/>
      <x:c r="Y74" s="41"/>
      <x:c r="Z74" s="41"/>
    </x:row>
    <x:row r="75">
      <x:c r="A75" s="7" t="s">
        <x:v>1871</x:v>
      </x:c>
      <x:c r="B75" s="7" t="s">
        <x:v>1872</x:v>
      </x:c>
      <x:c r="C75" s="7" t="s">
        <x:v>1873</x:v>
      </x:c>
      <x:c r="D75" s="7" t="s">
        <x:v>128</x:v>
      </x:c>
      <x:c r="E75" s="7" t="s">
        <x:v>1874</x:v>
      </x:c>
      <x:c r="F75" s="10">
        <x:v>13.85402</x:v>
      </x:c>
      <x:c r="G75" s="10">
        <x:v>100.58746</x:v>
      </x:c>
      <x:c r="H75" s="7" t="s">
        <x:v>1554</x:v>
      </x:c>
      <x:c r="I75" s="10">
        <x:v>2.12</x:v>
      </x:c>
      <x:c r="J75" s="41"/>
      <x:c r="K75" s="41"/>
      <x:c r="L75" s="41"/>
      <x:c r="M75" s="41"/>
      <x:c r="N75" s="7" t="s">
        <x:v>1828</x:v>
      </x:c>
      <x:c r="O75" s="7" t="s">
        <x:v>1539</x:v>
      </x:c>
      <x:c r="P75" s="10">
        <x:v>4.0</x:v>
      </x:c>
      <x:c r="Q75" s="41"/>
      <x:c r="R75" s="10">
        <x:v>12.4</x:v>
      </x:c>
      <x:c r="S75" s="7" t="s">
        <x:v>1540</x:v>
      </x:c>
      <x:c r="T75" s="7" t="b">
        <x:v>0</x:v>
      </x:c>
      <x:c r="U75" s="7" t="s">
        <x:v>1541</x:v>
      </x:c>
      <x:c r="V75" s="26" t="s">
        <x:v>1542</x:v>
      </x:c>
      <x:c r="W75" s="7" t="s">
        <x:v>1875</x:v>
      </x:c>
      <x:c r="X75" s="41"/>
      <x:c r="Y75" s="41"/>
      <x:c r="Z75" s="41"/>
    </x:row>
    <x:row r="76">
      <x:c r="A76" s="7" t="s">
        <x:v>1876</x:v>
      </x:c>
      <x:c r="B76" s="7" t="s">
        <x:v>1877</x:v>
      </x:c>
      <x:c r="C76" s="7" t="s">
        <x:v>1878</x:v>
      </x:c>
      <x:c r="D76" s="7" t="s">
        <x:v>52</x:v>
      </x:c>
      <x:c r="E76" s="7" t="s">
        <x:v>1563</x:v>
      </x:c>
      <x:c r="F76" s="10">
        <x:v>14.79091</x:v>
      </x:c>
      <x:c r="G76" s="10">
        <x:v>100.45184</x:v>
      </x:c>
      <x:c r="H76" s="7" t="s">
        <x:v>1554</x:v>
      </x:c>
      <x:c r="I76" s="10">
        <x:v>10.5</x:v>
      </x:c>
      <x:c r="J76" s="41"/>
      <x:c r="K76" s="41"/>
      <x:c r="L76" s="41"/>
      <x:c r="M76" s="41"/>
      <x:c r="N76" s="7" t="s">
        <x:v>1828</x:v>
      </x:c>
      <x:c r="O76" s="7" t="s">
        <x:v>1539</x:v>
      </x:c>
      <x:c r="P76" s="10">
        <x:v>4.0</x:v>
      </x:c>
      <x:c r="Q76" s="41"/>
      <x:c r="R76" s="10">
        <x:v>12.4</x:v>
      </x:c>
      <x:c r="S76" s="7" t="s">
        <x:v>1540</x:v>
      </x:c>
      <x:c r="T76" s="7" t="b">
        <x:v>0</x:v>
      </x:c>
      <x:c r="U76" s="7" t="s">
        <x:v>1541</x:v>
      </x:c>
      <x:c r="V76" s="26" t="s">
        <x:v>1542</x:v>
      </x:c>
      <x:c r="W76" s="7" t="s">
        <x:v>1879</x:v>
      </x:c>
      <x:c r="X76" s="41"/>
      <x:c r="Y76" s="41"/>
      <x:c r="Z76" s="41"/>
    </x:row>
    <x:row r="77">
      <x:c r="A77" s="7" t="s">
        <x:v>1880</x:v>
      </x:c>
      <x:c r="B77" s="7" t="s">
        <x:v>1881</x:v>
      </x:c>
      <x:c r="C77" s="7" t="s">
        <x:v>1882</x:v>
      </x:c>
      <x:c r="D77" s="7" t="s">
        <x:v>62</x:v>
      </x:c>
      <x:c r="E77" s="7" t="s">
        <x:v>1563</x:v>
      </x:c>
      <x:c r="F77" s="10">
        <x:v>14.5765</x:v>
      </x:c>
      <x:c r="G77" s="10">
        <x:v>100.44852</x:v>
      </x:c>
      <x:c r="H77" s="7" t="s">
        <x:v>1554</x:v>
      </x:c>
      <x:c r="I77" s="10">
        <x:v>8.3</x:v>
      </x:c>
      <x:c r="J77" s="41"/>
      <x:c r="K77" s="41"/>
      <x:c r="L77" s="41"/>
      <x:c r="M77" s="10"/>
      <x:c r="N77" s="7" t="s">
        <x:v>1828</x:v>
      </x:c>
      <x:c r="O77" s="7" t="s">
        <x:v>1539</x:v>
      </x:c>
      <x:c r="P77" s="10">
        <x:v>4.0</x:v>
      </x:c>
      <x:c r="Q77" s="41"/>
      <x:c r="R77" s="10">
        <x:v>12.4</x:v>
      </x:c>
      <x:c r="S77" s="7" t="s">
        <x:v>1540</x:v>
      </x:c>
      <x:c r="T77" s="7" t="b">
        <x:v>0</x:v>
      </x:c>
      <x:c r="U77" s="7" t="s">
        <x:v>1541</x:v>
      </x:c>
      <x:c r="V77" s="26" t="s">
        <x:v>1542</x:v>
      </x:c>
      <x:c r="W77" s="7" t="s">
        <x:v>1883</x:v>
      </x:c>
      <x:c r="X77" s="41"/>
      <x:c r="Y77" s="41"/>
      <x:c r="Z77" s="41"/>
    </x:row>
    <x:row r="78">
      <x:c r="A78" s="7" t="s">
        <x:v>1884</x:v>
      </x:c>
      <x:c r="B78" s="7" t="s">
        <x:v>1885</x:v>
      </x:c>
      <x:c r="C78" s="7" t="s">
        <x:v>1886</x:v>
      </x:c>
      <x:c r="D78" s="7" t="s">
        <x:v>42</x:v>
      </x:c>
      <x:c r="E78" s="7" t="s">
        <x:v>1887</x:v>
      </x:c>
      <x:c r="F78" s="10">
        <x:v>15.45274</x:v>
      </x:c>
      <x:c r="G78" s="10">
        <x:v>100.031891</x:v>
      </x:c>
      <x:c r="H78" s="7" t="s">
        <x:v>1548</x:v>
      </x:c>
      <x:c r="I78" s="10">
        <x:v>24.24</x:v>
      </x:c>
      <x:c r="J78" s="41"/>
      <x:c r="K78" s="41"/>
      <x:c r="L78" s="41"/>
      <x:c r="M78" s="10">
        <x:v>24.35</x:v>
      </x:c>
      <x:c r="N78" s="7" t="s">
        <x:v>1828</x:v>
      </x:c>
      <x:c r="O78" s="7" t="s">
        <x:v>1539</x:v>
      </x:c>
      <x:c r="P78" s="10">
        <x:v>4.0</x:v>
      </x:c>
      <x:c r="Q78" s="41"/>
      <x:c r="R78" s="10">
        <x:v>82.4</x:v>
      </x:c>
      <x:c r="S78" s="7" t="s">
        <x:v>301</x:v>
      </x:c>
      <x:c r="T78" s="7" t="b">
        <x:v>0</x:v>
      </x:c>
      <x:c r="U78" s="7" t="s">
        <x:v>1541</x:v>
      </x:c>
      <x:c r="V78" s="26" t="s">
        <x:v>1542</x:v>
      </x:c>
      <x:c r="W78" s="7" t="s">
        <x:v>1888</x:v>
      </x:c>
      <x:c r="X78" s="41"/>
      <x:c r="Y78" s="41"/>
      <x:c r="Z78" s="41"/>
    </x:row>
    <x:row r="79">
      <x:c r="A79" s="7" t="s">
        <x:v>1889</x:v>
      </x:c>
      <x:c r="B79" s="7" t="s">
        <x:v>1890</x:v>
      </x:c>
      <x:c r="C79" s="7" t="s">
        <x:v>1891</x:v>
      </x:c>
      <x:c r="D79" s="7" t="s">
        <x:v>128</x:v>
      </x:c>
      <x:c r="E79" s="7" t="s">
        <x:v>1563</x:v>
      </x:c>
      <x:c r="F79" s="10">
        <x:v>13.78815</x:v>
      </x:c>
      <x:c r="G79" s="10">
        <x:v>100.509148</x:v>
      </x:c>
      <x:c r="H79" s="7" t="s">
        <x:v>1548</x:v>
      </x:c>
      <x:c r="I79" s="10">
        <x:v>1.63</x:v>
      </x:c>
      <x:c r="J79" s="41"/>
      <x:c r="K79" s="41"/>
      <x:c r="L79" s="41"/>
      <x:c r="M79" s="10"/>
      <x:c r="N79" s="7" t="s">
        <x:v>1828</x:v>
      </x:c>
      <x:c r="O79" s="7" t="s">
        <x:v>1539</x:v>
      </x:c>
      <x:c r="P79" s="10">
        <x:v>4.0</x:v>
      </x:c>
      <x:c r="Q79" s="41"/>
      <x:c r="R79" s="10">
        <x:v>82.4</x:v>
      </x:c>
      <x:c r="S79" s="7" t="s">
        <x:v>301</x:v>
      </x:c>
      <x:c r="T79" s="7" t="b">
        <x:v>0</x:v>
      </x:c>
      <x:c r="U79" s="7" t="s">
        <x:v>1541</x:v>
      </x:c>
      <x:c r="V79" s="26" t="s">
        <x:v>1542</x:v>
      </x:c>
      <x:c r="W79" s="7" t="s">
        <x:v>1892</x:v>
      </x:c>
      <x:c r="X79" s="41"/>
      <x:c r="Y79" s="41"/>
      <x:c r="Z79" s="41"/>
    </x:row>
    <x:row r="80">
      <x:c r="A80" s="7" t="s">
        <x:v>1893</x:v>
      </x:c>
      <x:c r="B80" s="7" t="s">
        <x:v>1894</x:v>
      </x:c>
      <x:c r="C80" s="7" t="s">
        <x:v>1895</x:v>
      </x:c>
      <x:c r="D80" s="7" t="s">
        <x:v>110</x:v>
      </x:c>
      <x:c r="E80" s="7" t="s">
        <x:v>1896</x:v>
      </x:c>
      <x:c r="F80" s="10">
        <x:v>12.325195</x:v>
      </x:c>
      <x:c r="G80" s="10">
        <x:v>102.5005</x:v>
      </x:c>
      <x:c r="H80" s="7" t="s">
        <x:v>1554</x:v>
      </x:c>
      <x:c r="I80" s="10">
        <x:v>0.4</x:v>
      </x:c>
      <x:c r="J80" s="41"/>
      <x:c r="K80" s="41"/>
      <x:c r="L80" s="41"/>
      <x:c r="M80" s="10"/>
      <x:c r="N80" s="7" t="s">
        <x:v>1828</x:v>
      </x:c>
      <x:c r="O80" s="7" t="s">
        <x:v>1539</x:v>
      </x:c>
      <x:c r="P80" s="10">
        <x:v>4.0</x:v>
      </x:c>
      <x:c r="Q80" s="41"/>
      <x:c r="R80" s="10">
        <x:v>12.4</x:v>
      </x:c>
      <x:c r="S80" s="7" t="s">
        <x:v>1540</x:v>
      </x:c>
      <x:c r="T80" s="7" t="b">
        <x:v>0</x:v>
      </x:c>
      <x:c r="U80" s="7" t="s">
        <x:v>1541</x:v>
      </x:c>
      <x:c r="V80" s="26" t="s">
        <x:v>1542</x:v>
      </x:c>
      <x:c r="W80" s="7" t="s">
        <x:v>1897</x:v>
      </x:c>
      <x:c r="X80" s="41"/>
      <x:c r="Y80" s="41"/>
      <x:c r="Z80" s="41"/>
    </x:row>
    <x:row r="81">
      <x:c r="A81" s="7" t="s">
        <x:v>1898</x:v>
      </x:c>
      <x:c r="B81" s="7" t="s">
        <x:v>1899</x:v>
      </x:c>
      <x:c r="C81" s="7" t="s">
        <x:v>1900</x:v>
      </x:c>
      <x:c r="D81" s="7" t="s">
        <x:v>49</x:v>
      </x:c>
      <x:c r="E81" s="7" t="s">
        <x:v>1563</x:v>
      </x:c>
      <x:c r="F81" s="10">
        <x:v>15.10907</x:v>
      </x:c>
      <x:c r="G81" s="10">
        <x:v>100.26785</x:v>
      </x:c>
      <x:c r="H81" s="7" t="s">
        <x:v>1554</x:v>
      </x:c>
      <x:c r="I81" s="10">
        <x:v>14.79</x:v>
      </x:c>
      <x:c r="J81" s="41"/>
      <x:c r="K81" s="41"/>
      <x:c r="L81" s="41"/>
      <x:c r="M81" s="10"/>
      <x:c r="N81" s="7" t="s">
        <x:v>1828</x:v>
      </x:c>
      <x:c r="O81" s="7" t="s">
        <x:v>1539</x:v>
      </x:c>
      <x:c r="P81" s="10">
        <x:v>4.0</x:v>
      </x:c>
      <x:c r="Q81" s="41"/>
      <x:c r="R81" s="10">
        <x:v>12.4</x:v>
      </x:c>
      <x:c r="S81" s="7" t="s">
        <x:v>1540</x:v>
      </x:c>
      <x:c r="T81" s="7" t="b">
        <x:v>0</x:v>
      </x:c>
      <x:c r="U81" s="7" t="s">
        <x:v>1541</x:v>
      </x:c>
      <x:c r="V81" s="26" t="s">
        <x:v>1542</x:v>
      </x:c>
      <x:c r="W81" s="7" t="s">
        <x:v>1901</x:v>
      </x:c>
      <x:c r="X81" s="41"/>
      <x:c r="Y81" s="41"/>
      <x:c r="Z81" s="41"/>
    </x:row>
    <x:row r="82">
      <x:c r="A82" s="7" t="s">
        <x:v>1902</x:v>
      </x:c>
      <x:c r="B82" s="7" t="s">
        <x:v>1903</x:v>
      </x:c>
      <x:c r="C82" s="7" t="s">
        <x:v>1904</x:v>
      </x:c>
      <x:c r="D82" s="7" t="s">
        <x:v>49</x:v>
      </x:c>
      <x:c r="E82" s="7" t="s">
        <x:v>1563</x:v>
      </x:c>
      <x:c r="F82" s="10">
        <x:v>15.16384</x:v>
      </x:c>
      <x:c r="G82" s="10">
        <x:v>100.18792</x:v>
      </x:c>
      <x:c r="H82" s="7" t="s">
        <x:v>1548</x:v>
      </x:c>
      <x:c r="I82" s="10">
        <x:v>15.69</x:v>
      </x:c>
      <x:c r="J82" s="41"/>
      <x:c r="K82" s="41"/>
      <x:c r="L82" s="41"/>
      <x:c r="M82" s="10">
        <x:v>16.34</x:v>
      </x:c>
      <x:c r="N82" s="7" t="s">
        <x:v>1828</x:v>
      </x:c>
      <x:c r="O82" s="7" t="s">
        <x:v>1539</x:v>
      </x:c>
      <x:c r="P82" s="10">
        <x:v>4.0</x:v>
      </x:c>
      <x:c r="Q82" s="41"/>
      <x:c r="R82" s="10">
        <x:v>82.4</x:v>
      </x:c>
      <x:c r="S82" s="7" t="s">
        <x:v>301</x:v>
      </x:c>
      <x:c r="T82" s="7" t="b">
        <x:v>0</x:v>
      </x:c>
      <x:c r="U82" s="7" t="s">
        <x:v>1541</x:v>
      </x:c>
      <x:c r="V82" s="26" t="s">
        <x:v>1542</x:v>
      </x:c>
      <x:c r="W82" s="7" t="s">
        <x:v>1905</x:v>
      </x:c>
      <x:c r="X82" s="41"/>
      <x:c r="Y82" s="41"/>
      <x:c r="Z82" s="41"/>
    </x:row>
    <x:row r="83">
      <x:c r="A83" s="7" t="s">
        <x:v>1906</x:v>
      </x:c>
      <x:c r="B83" s="7" t="s">
        <x:v>1907</x:v>
      </x:c>
      <x:c r="C83" s="7" t="s">
        <x:v>1908</x:v>
      </x:c>
      <x:c r="D83" s="7" t="s">
        <x:v>128</x:v>
      </x:c>
      <x:c r="E83" s="7" t="s">
        <x:v>1909</x:v>
      </x:c>
      <x:c r="F83" s="10">
        <x:v>13.79965</x:v>
      </x:c>
      <x:c r="G83" s="10">
        <x:v>100.43863</x:v>
      </x:c>
      <x:c r="H83" s="7" t="s">
        <x:v>1910</x:v>
      </x:c>
      <x:c r="I83" s="10">
        <x:v>1.83</x:v>
      </x:c>
      <x:c r="J83" s="41"/>
      <x:c r="K83" s="41"/>
      <x:c r="L83" s="41"/>
      <x:c r="M83" s="10"/>
      <x:c r="N83" s="7" t="s">
        <x:v>1828</x:v>
      </x:c>
      <x:c r="O83" s="7" t="s">
        <x:v>1539</x:v>
      </x:c>
      <x:c r="P83" s="10">
        <x:v>4.0</x:v>
      </x:c>
      <x:c r="Q83" s="41"/>
      <x:c r="R83" s="10">
        <x:v>432.4</x:v>
      </x:c>
      <x:c r="S83" s="7" t="s">
        <x:v>301</x:v>
      </x:c>
      <x:c r="T83" s="7" t="b">
        <x:v>0</x:v>
      </x:c>
      <x:c r="U83" s="7" t="s">
        <x:v>1541</x:v>
      </x:c>
      <x:c r="V83" s="26" t="s">
        <x:v>1542</x:v>
      </x:c>
      <x:c r="W83" s="7" t="s">
        <x:v>1911</x:v>
      </x:c>
      <x:c r="X83" s="41"/>
      <x:c r="Y83" s="41"/>
      <x:c r="Z83" s="41"/>
    </x:row>
    <x:row r="84">
      <x:c r="A84" s="7" t="s">
        <x:v>1912</x:v>
      </x:c>
      <x:c r="B84" s="7" t="s">
        <x:v>1913</x:v>
      </x:c>
      <x:c r="C84" s="7" t="s">
        <x:v>1914</x:v>
      </x:c>
      <x:c r="D84" s="7" t="s">
        <x:v>249</x:v>
      </x:c>
      <x:c r="E84" s="7"/>
      <x:c r="F84" s="10">
        <x:v>9.074279</x:v>
      </x:c>
      <x:c r="G84" s="10">
        <x:v>99.217619</x:v>
      </x:c>
      <x:c r="H84" s="7" t="s">
        <x:v>1658</x:v>
      </x:c>
      <x:c r="I84" s="10">
        <x:v>1.18</x:v>
      </x:c>
      <x:c r="J84" s="41"/>
      <x:c r="K84" s="41"/>
      <x:c r="L84" s="41"/>
      <x:c r="M84" s="10">
        <x:v>1.69</x:v>
      </x:c>
      <x:c r="N84" s="7" t="s">
        <x:v>1828</x:v>
      </x:c>
      <x:c r="O84" s="7" t="s">
        <x:v>1539</x:v>
      </x:c>
      <x:c r="P84" s="10">
        <x:v>4.0</x:v>
      </x:c>
      <x:c r="Q84" s="41"/>
      <x:c r="R84" s="10">
        <x:v>22.4</x:v>
      </x:c>
      <x:c r="S84" s="7" t="s">
        <x:v>1540</x:v>
      </x:c>
      <x:c r="T84" s="7" t="b">
        <x:v>0</x:v>
      </x:c>
      <x:c r="U84" s="7" t="s">
        <x:v>1541</x:v>
      </x:c>
      <x:c r="V84" s="26" t="s">
        <x:v>1542</x:v>
      </x:c>
      <x:c r="W84" s="7" t="s">
        <x:v>1915</x:v>
      </x:c>
      <x:c r="X84" s="41"/>
      <x:c r="Y84" s="41"/>
      <x:c r="Z84" s="41"/>
    </x:row>
    <x:row r="85">
      <x:c r="A85" s="7" t="s">
        <x:v>1916</x:v>
      </x:c>
      <x:c r="B85" s="7" t="s">
        <x:v>1917</x:v>
      </x:c>
      <x:c r="C85" s="7" t="s">
        <x:v>1918</x:v>
      </x:c>
      <x:c r="D85" s="7" t="s">
        <x:v>27</x:v>
      </x:c>
      <x:c r="E85" s="7" t="s">
        <x:v>1919</x:v>
      </x:c>
      <x:c r="F85" s="10">
        <x:v>16.670555</x:v>
      </x:c>
      <x:c r="G85" s="10">
        <x:v>100.32789</x:v>
      </x:c>
      <x:c r="H85" s="7" t="s">
        <x:v>1554</x:v>
      </x:c>
      <x:c r="I85" s="10">
        <x:v>38.44</x:v>
      </x:c>
      <x:c r="J85" s="41"/>
      <x:c r="K85" s="41"/>
      <x:c r="L85" s="41"/>
      <x:c r="M85" s="10"/>
      <x:c r="N85" s="7" t="s">
        <x:v>1828</x:v>
      </x:c>
      <x:c r="O85" s="7" t="s">
        <x:v>1539</x:v>
      </x:c>
      <x:c r="P85" s="10">
        <x:v>4.0</x:v>
      </x:c>
      <x:c r="Q85" s="41"/>
      <x:c r="R85" s="10">
        <x:v>12.4</x:v>
      </x:c>
      <x:c r="S85" s="7" t="s">
        <x:v>1540</x:v>
      </x:c>
      <x:c r="T85" s="7" t="b">
        <x:v>0</x:v>
      </x:c>
      <x:c r="U85" s="7" t="s">
        <x:v>1541</x:v>
      </x:c>
      <x:c r="V85" s="26" t="s">
        <x:v>1542</x:v>
      </x:c>
      <x:c r="W85" s="7" t="s">
        <x:v>1920</x:v>
      </x:c>
      <x:c r="X85" s="41"/>
      <x:c r="Y85" s="41"/>
      <x:c r="Z85" s="41"/>
    </x:row>
    <x:row r="86">
      <x:c r="A86" s="7" t="s">
        <x:v>1921</x:v>
      </x:c>
      <x:c r="B86" s="7" t="s">
        <x:v>1922</x:v>
      </x:c>
      <x:c r="C86" s="7" t="s">
        <x:v>1923</x:v>
      </x:c>
      <x:c r="D86" s="7" t="s">
        <x:v>68</x:v>
      </x:c>
      <x:c r="E86" s="7" t="s">
        <x:v>1703</x:v>
      </x:c>
      <x:c r="F86" s="10">
        <x:v>14.56012</x:v>
      </x:c>
      <x:c r="G86" s="10">
        <x:v>100.71994</x:v>
      </x:c>
      <x:c r="H86" s="7" t="s">
        <x:v>1548</x:v>
      </x:c>
      <x:c r="I86" s="10">
        <x:v>6.47</x:v>
      </x:c>
      <x:c r="J86" s="41"/>
      <x:c r="K86" s="41"/>
      <x:c r="L86" s="41"/>
      <x:c r="M86" s="10">
        <x:v>8.0</x:v>
      </x:c>
      <x:c r="N86" s="7" t="s">
        <x:v>1828</x:v>
      </x:c>
      <x:c r="O86" s="7" t="s">
        <x:v>1539</x:v>
      </x:c>
      <x:c r="P86" s="10">
        <x:v>4.0</x:v>
      </x:c>
      <x:c r="Q86" s="41"/>
      <x:c r="R86" s="10">
        <x:v>82.4</x:v>
      </x:c>
      <x:c r="S86" s="7" t="s">
        <x:v>301</x:v>
      </x:c>
      <x:c r="T86" s="7" t="b">
        <x:v>0</x:v>
      </x:c>
      <x:c r="U86" s="7" t="s">
        <x:v>1541</x:v>
      </x:c>
      <x:c r="V86" s="26" t="s">
        <x:v>1542</x:v>
      </x:c>
      <x:c r="W86" s="7" t="s">
        <x:v>1924</x:v>
      </x:c>
      <x:c r="X86" s="41"/>
      <x:c r="Y86" s="41"/>
      <x:c r="Z86" s="41"/>
    </x:row>
    <x:row r="87">
      <x:c r="A87" s="7" t="s">
        <x:v>1925</x:v>
      </x:c>
      <x:c r="B87" s="7" t="s">
        <x:v>1926</x:v>
      </x:c>
      <x:c r="C87" s="7" t="s">
        <x:v>1927</x:v>
      </x:c>
      <x:c r="D87" s="7" t="s">
        <x:v>248</x:v>
      </x:c>
      <x:c r="E87" s="7" t="s">
        <x:v>1927</x:v>
      </x:c>
      <x:c r="F87" s="10">
        <x:v>7.96636</x:v>
      </x:c>
      <x:c r="G87" s="10">
        <x:v>99.99436</x:v>
      </x:c>
      <x:c r="H87" s="7" t="s">
        <x:v>1554</x:v>
      </x:c>
      <x:c r="I87" s="10">
        <x:v>22.73</x:v>
      </x:c>
      <x:c r="J87" s="41"/>
      <x:c r="K87" s="41"/>
      <x:c r="L87" s="41"/>
      <x:c r="M87" s="10"/>
      <x:c r="N87" s="7" t="s">
        <x:v>1828</x:v>
      </x:c>
      <x:c r="O87" s="7" t="s">
        <x:v>1539</x:v>
      </x:c>
      <x:c r="P87" s="10">
        <x:v>4.0</x:v>
      </x:c>
      <x:c r="Q87" s="41"/>
      <x:c r="R87" s="10">
        <x:v>12.4</x:v>
      </x:c>
      <x:c r="S87" s="7" t="s">
        <x:v>1540</x:v>
      </x:c>
      <x:c r="T87" s="7" t="b">
        <x:v>0</x:v>
      </x:c>
      <x:c r="U87" s="7" t="s">
        <x:v>1541</x:v>
      </x:c>
      <x:c r="V87" s="26" t="s">
        <x:v>1542</x:v>
      </x:c>
      <x:c r="W87" s="7" t="s">
        <x:v>1928</x:v>
      </x:c>
      <x:c r="X87" s="41"/>
      <x:c r="Y87" s="41"/>
      <x:c r="Z87" s="41"/>
    </x:row>
    <x:row r="88">
      <x:c r="A88" s="7" t="s">
        <x:v>1929</x:v>
      </x:c>
      <x:c r="B88" s="7" t="s">
        <x:v>1930</x:v>
      </x:c>
      <x:c r="C88" s="7" t="s">
        <x:v>1931</x:v>
      </x:c>
      <x:c r="D88" s="7" t="s">
        <x:v>34</x:v>
      </x:c>
      <x:c r="E88" s="7" t="s">
        <x:v>1932</x:v>
      </x:c>
      <x:c r="F88" s="10">
        <x:v>16.181589</x:v>
      </x:c>
      <x:c r="G88" s="10">
        <x:v>99.598358</x:v>
      </x:c>
      <x:c r="H88" s="7" t="s">
        <x:v>1548</x:v>
      </x:c>
      <x:c r="I88" s="10">
        <x:v>71.08</x:v>
      </x:c>
      <x:c r="J88" s="41"/>
      <x:c r="K88" s="41"/>
      <x:c r="L88" s="41"/>
      <x:c r="M88" s="10"/>
      <x:c r="N88" s="7" t="s">
        <x:v>1828</x:v>
      </x:c>
      <x:c r="O88" s="7" t="s">
        <x:v>1539</x:v>
      </x:c>
      <x:c r="P88" s="10">
        <x:v>4.0</x:v>
      </x:c>
      <x:c r="Q88" s="41"/>
      <x:c r="R88" s="10">
        <x:v>82.4</x:v>
      </x:c>
      <x:c r="S88" s="7" t="s">
        <x:v>301</x:v>
      </x:c>
      <x:c r="T88" s="7" t="b">
        <x:v>0</x:v>
      </x:c>
      <x:c r="U88" s="7" t="s">
        <x:v>1541</x:v>
      </x:c>
      <x:c r="V88" s="26" t="s">
        <x:v>1542</x:v>
      </x:c>
      <x:c r="W88" s="7" t="s">
        <x:v>1933</x:v>
      </x:c>
      <x:c r="X88" s="41"/>
      <x:c r="Y88" s="41"/>
      <x:c r="Z88" s="41"/>
    </x:row>
    <x:row r="89">
      <x:c r="A89" s="7" t="s">
        <x:v>1934</x:v>
      </x:c>
      <x:c r="B89" s="7" t="s">
        <x:v>1935</x:v>
      </x:c>
      <x:c r="C89" s="7" t="s">
        <x:v>1936</x:v>
      </x:c>
      <x:c r="D89" s="7" t="s">
        <x:v>62</x:v>
      </x:c>
      <x:c r="E89" s="7"/>
      <x:c r="F89" s="10">
        <x:v>14.498074</x:v>
      </x:c>
      <x:c r="G89" s="10">
        <x:v>100.44962</x:v>
      </x:c>
      <x:c r="H89" s="7" t="s">
        <x:v>1554</x:v>
      </x:c>
      <x:c r="I89" s="10">
        <x:v>7.36</x:v>
      </x:c>
      <x:c r="J89" s="41"/>
      <x:c r="K89" s="41"/>
      <x:c r="L89" s="41"/>
      <x:c r="M89" s="41"/>
      <x:c r="N89" s="7" t="s">
        <x:v>1828</x:v>
      </x:c>
      <x:c r="O89" s="7" t="s">
        <x:v>1539</x:v>
      </x:c>
      <x:c r="P89" s="10">
        <x:v>4.0</x:v>
      </x:c>
      <x:c r="Q89" s="41"/>
      <x:c r="R89" s="10">
        <x:v>12.4</x:v>
      </x:c>
      <x:c r="S89" s="7" t="s">
        <x:v>1540</x:v>
      </x:c>
      <x:c r="T89" s="7" t="b">
        <x:v>0</x:v>
      </x:c>
      <x:c r="U89" s="7" t="s">
        <x:v>1541</x:v>
      </x:c>
      <x:c r="V89" s="26" t="s">
        <x:v>1542</x:v>
      </x:c>
      <x:c r="W89" s="7" t="s">
        <x:v>1937</x:v>
      </x:c>
      <x:c r="X89" s="41"/>
      <x:c r="Y89" s="41"/>
      <x:c r="Z89" s="41"/>
    </x:row>
    <x:row r="90">
      <x:c r="A90" s="7" t="s">
        <x:v>1938</x:v>
      </x:c>
      <x:c r="B90" s="7" t="s">
        <x:v>1939</x:v>
      </x:c>
      <x:c r="C90" s="7" t="s">
        <x:v>1940</x:v>
      </x:c>
      <x:c r="D90" s="7" t="s">
        <x:v>68</x:v>
      </x:c>
      <x:c r="E90" s="7" t="s">
        <x:v>1703</x:v>
      </x:c>
      <x:c r="F90" s="10">
        <x:v>14.35872</x:v>
      </x:c>
      <x:c r="G90" s="10">
        <x:v>100.580452</x:v>
      </x:c>
      <x:c r="H90" s="7" t="s">
        <x:v>1548</x:v>
      </x:c>
      <x:c r="I90" s="10">
        <x:v>3.82</x:v>
      </x:c>
      <x:c r="J90" s="41"/>
      <x:c r="K90" s="41"/>
      <x:c r="L90" s="41"/>
      <x:c r="M90" s="10"/>
      <x:c r="N90" s="7" t="s">
        <x:v>1828</x:v>
      </x:c>
      <x:c r="O90" s="7" t="s">
        <x:v>1539</x:v>
      </x:c>
      <x:c r="P90" s="10">
        <x:v>4.0</x:v>
      </x:c>
      <x:c r="Q90" s="41"/>
      <x:c r="R90" s="10">
        <x:v>82.4</x:v>
      </x:c>
      <x:c r="S90" s="7" t="s">
        <x:v>301</x:v>
      </x:c>
      <x:c r="T90" s="7" t="b">
        <x:v>0</x:v>
      </x:c>
      <x:c r="U90" s="7" t="s">
        <x:v>1541</x:v>
      </x:c>
      <x:c r="V90" s="26" t="s">
        <x:v>1542</x:v>
      </x:c>
      <x:c r="W90" s="7" t="s">
        <x:v>1941</x:v>
      </x:c>
      <x:c r="X90" s="41"/>
      <x:c r="Y90" s="41"/>
      <x:c r="Z90" s="41"/>
    </x:row>
    <x:row r="91">
      <x:c r="A91" s="7" t="s">
        <x:v>1942</x:v>
      </x:c>
      <x:c r="B91" s="7" t="s">
        <x:v>1943</x:v>
      </x:c>
      <x:c r="C91" s="7" t="s">
        <x:v>1944</x:v>
      </x:c>
      <x:c r="D91" s="7" t="s">
        <x:v>235</x:v>
      </x:c>
      <x:c r="E91" s="7" t="s">
        <x:v>1945</x:v>
      </x:c>
      <x:c r="F91" s="10">
        <x:v>16.929113</x:v>
      </x:c>
      <x:c r="G91" s="10">
        <x:v>104.700676</x:v>
      </x:c>
      <x:c r="H91" s="7" t="s">
        <x:v>1554</x:v>
      </x:c>
      <x:c r="I91" s="10">
        <x:v>138.48</x:v>
      </x:c>
      <x:c r="J91" s="41"/>
      <x:c r="K91" s="41"/>
      <x:c r="L91" s="41"/>
      <x:c r="M91" s="41"/>
      <x:c r="N91" s="7" t="s">
        <x:v>1828</x:v>
      </x:c>
      <x:c r="O91" s="7" t="s">
        <x:v>1539</x:v>
      </x:c>
      <x:c r="P91" s="10">
        <x:v>4.0</x:v>
      </x:c>
      <x:c r="Q91" s="41"/>
      <x:c r="R91" s="10">
        <x:v>12.4</x:v>
      </x:c>
      <x:c r="S91" s="7" t="s">
        <x:v>1540</x:v>
      </x:c>
      <x:c r="T91" s="7" t="b">
        <x:v>0</x:v>
      </x:c>
      <x:c r="U91" s="7" t="s">
        <x:v>1541</x:v>
      </x:c>
      <x:c r="V91" s="26" t="s">
        <x:v>1542</x:v>
      </x:c>
      <x:c r="W91" s="7" t="s">
        <x:v>1946</x:v>
      </x:c>
      <x:c r="X91" s="41"/>
      <x:c r="Y91" s="41"/>
      <x:c r="Z91" s="41"/>
    </x:row>
    <x:row r="92">
      <x:c r="A92" s="7" t="s">
        <x:v>1947</x:v>
      </x:c>
      <x:c r="B92" s="7" t="s">
        <x:v>1948</x:v>
      </x:c>
      <x:c r="C92" s="7" t="s">
        <x:v>1949</x:v>
      </x:c>
      <x:c r="D92" s="7" t="s">
        <x:v>52</x:v>
      </x:c>
      <x:c r="E92" s="7"/>
      <x:c r="F92" s="10">
        <x:v>14.870205</x:v>
      </x:c>
      <x:c r="G92" s="10">
        <x:v>100.408585</x:v>
      </x:c>
      <x:c r="H92" s="7" t="s">
        <x:v>1554</x:v>
      </x:c>
      <x:c r="I92" s="10">
        <x:v>11.86</x:v>
      </x:c>
      <x:c r="J92" s="41"/>
      <x:c r="K92" s="41"/>
      <x:c r="L92" s="41"/>
      <x:c r="M92" s="41"/>
      <x:c r="N92" s="7" t="s">
        <x:v>1828</x:v>
      </x:c>
      <x:c r="O92" s="7" t="s">
        <x:v>1539</x:v>
      </x:c>
      <x:c r="P92" s="10">
        <x:v>4.0</x:v>
      </x:c>
      <x:c r="Q92" s="41"/>
      <x:c r="R92" s="10">
        <x:v>12.4</x:v>
      </x:c>
      <x:c r="S92" s="7" t="s">
        <x:v>1540</x:v>
      </x:c>
      <x:c r="T92" s="7" t="b">
        <x:v>0</x:v>
      </x:c>
      <x:c r="U92" s="7" t="s">
        <x:v>1541</x:v>
      </x:c>
      <x:c r="V92" s="26" t="s">
        <x:v>1542</x:v>
      </x:c>
      <x:c r="W92" s="7" t="s">
        <x:v>1950</x:v>
      </x:c>
      <x:c r="X92" s="41"/>
      <x:c r="Y92" s="41"/>
      <x:c r="Z92" s="41"/>
    </x:row>
    <x:row r="93">
      <x:c r="A93" s="7" t="s">
        <x:v>1951</x:v>
      </x:c>
      <x:c r="B93" s="7" t="s">
        <x:v>1952</x:v>
      </x:c>
      <x:c r="C93" s="7" t="s">
        <x:v>1953</x:v>
      </x:c>
      <x:c r="D93" s="7" t="s">
        <x:v>52</x:v>
      </x:c>
      <x:c r="E93" s="7" t="s">
        <x:v>1563</x:v>
      </x:c>
      <x:c r="F93" s="10">
        <x:v>14.89868</x:v>
      </x:c>
      <x:c r="G93" s="10">
        <x:v>100.401863</x:v>
      </x:c>
      <x:c r="H93" s="7" t="s">
        <x:v>1548</x:v>
      </x:c>
      <x:c r="I93" s="10">
        <x:v>12.14</x:v>
      </x:c>
      <x:c r="J93" s="41"/>
      <x:c r="K93" s="41"/>
      <x:c r="L93" s="41"/>
      <x:c r="M93" s="10"/>
      <x:c r="N93" s="7" t="s">
        <x:v>1828</x:v>
      </x:c>
      <x:c r="O93" s="7" t="s">
        <x:v>1539</x:v>
      </x:c>
      <x:c r="P93" s="10">
        <x:v>4.0</x:v>
      </x:c>
      <x:c r="Q93" s="41"/>
      <x:c r="R93" s="10">
        <x:v>82.4</x:v>
      </x:c>
      <x:c r="S93" s="7" t="s">
        <x:v>301</x:v>
      </x:c>
      <x:c r="T93" s="7" t="b">
        <x:v>0</x:v>
      </x:c>
      <x:c r="U93" s="7" t="s">
        <x:v>1541</x:v>
      </x:c>
      <x:c r="V93" s="26" t="s">
        <x:v>1542</x:v>
      </x:c>
      <x:c r="W93" s="7" t="s">
        <x:v>1954</x:v>
      </x:c>
      <x:c r="X93" s="41"/>
      <x:c r="Y93" s="41"/>
      <x:c r="Z93" s="41"/>
    </x:row>
    <x:row r="94">
      <x:c r="A94" s="7" t="s">
        <x:v>1955</x:v>
      </x:c>
      <x:c r="B94" s="7" t="s">
        <x:v>1956</x:v>
      </x:c>
      <x:c r="C94" s="7" t="s">
        <x:v>1957</x:v>
      </x:c>
      <x:c r="D94" s="7" t="s">
        <x:v>260</x:v>
      </x:c>
      <x:c r="E94" s="7" t="s">
        <x:v>1958</x:v>
      </x:c>
      <x:c r="F94" s="10">
        <x:v>6.67525</x:v>
      </x:c>
      <x:c r="G94" s="10">
        <x:v>101.286354</x:v>
      </x:c>
      <x:c r="H94" s="7" t="s">
        <x:v>1554</x:v>
      </x:c>
      <x:c r="I94" s="10">
        <x:v>13.02</x:v>
      </x:c>
      <x:c r="J94" s="41"/>
      <x:c r="K94" s="41"/>
      <x:c r="L94" s="41"/>
      <x:c r="M94" s="41"/>
      <x:c r="N94" s="7" t="s">
        <x:v>1828</x:v>
      </x:c>
      <x:c r="O94" s="7" t="s">
        <x:v>1539</x:v>
      </x:c>
      <x:c r="P94" s="10">
        <x:v>4.0</x:v>
      </x:c>
      <x:c r="Q94" s="41"/>
      <x:c r="R94" s="10">
        <x:v>12.4</x:v>
      </x:c>
      <x:c r="S94" s="7" t="s">
        <x:v>1540</x:v>
      </x:c>
      <x:c r="T94" s="7" t="b">
        <x:v>0</x:v>
      </x:c>
      <x:c r="U94" s="7" t="s">
        <x:v>1541</x:v>
      </x:c>
      <x:c r="V94" s="26" t="s">
        <x:v>1542</x:v>
      </x:c>
      <x:c r="W94" s="7" t="s">
        <x:v>1959</x:v>
      </x:c>
      <x:c r="X94" s="41"/>
      <x:c r="Y94" s="41"/>
      <x:c r="Z94" s="41"/>
    </x:row>
    <x:row r="95">
      <x:c r="A95" s="7" t="s">
        <x:v>1960</x:v>
      </x:c>
      <x:c r="B95" s="7" t="s">
        <x:v>1961</x:v>
      </x:c>
      <x:c r="C95" s="7" t="s">
        <x:v>1962</x:v>
      </x:c>
      <x:c r="D95" s="7" t="s">
        <x:v>110</x:v>
      </x:c>
      <x:c r="E95" s="7" t="s">
        <x:v>1963</x:v>
      </x:c>
      <x:c r="F95" s="10">
        <x:v>12.262445</x:v>
      </x:c>
      <x:c r="G95" s="10">
        <x:v>102.52681</x:v>
      </x:c>
      <x:c r="H95" s="7" t="s">
        <x:v>1554</x:v>
      </x:c>
      <x:c r="I95" s="10">
        <x:v>0.76</x:v>
      </x:c>
      <x:c r="J95" s="41"/>
      <x:c r="K95" s="41"/>
      <x:c r="L95" s="41"/>
      <x:c r="M95" s="10"/>
      <x:c r="N95" s="7" t="s">
        <x:v>1828</x:v>
      </x:c>
      <x:c r="O95" s="7" t="s">
        <x:v>1539</x:v>
      </x:c>
      <x:c r="P95" s="10">
        <x:v>4.0</x:v>
      </x:c>
      <x:c r="Q95" s="41"/>
      <x:c r="R95" s="10">
        <x:v>12.4</x:v>
      </x:c>
      <x:c r="S95" s="7" t="s">
        <x:v>1540</x:v>
      </x:c>
      <x:c r="T95" s="7" t="b">
        <x:v>0</x:v>
      </x:c>
      <x:c r="U95" s="7" t="s">
        <x:v>1541</x:v>
      </x:c>
      <x:c r="V95" s="26" t="s">
        <x:v>1542</x:v>
      </x:c>
      <x:c r="W95" s="7" t="s">
        <x:v>1964</x:v>
      </x:c>
      <x:c r="X95" s="41"/>
      <x:c r="Y95" s="41"/>
      <x:c r="Z95" s="41"/>
    </x:row>
    <x:row r="96">
      <x:c r="A96" s="7" t="s">
        <x:v>1965</x:v>
      </x:c>
      <x:c r="B96" s="7" t="s">
        <x:v>1966</x:v>
      </x:c>
      <x:c r="C96" s="7" t="s">
        <x:v>1967</x:v>
      </x:c>
      <x:c r="D96" s="7" t="s">
        <x:v>62</x:v>
      </x:c>
      <x:c r="E96" s="7" t="s">
        <x:v>1563</x:v>
      </x:c>
      <x:c r="F96" s="10">
        <x:v>14.59044</x:v>
      </x:c>
      <x:c r="G96" s="10">
        <x:v>100.453293</x:v>
      </x:c>
      <x:c r="H96" s="7" t="s">
        <x:v>1548</x:v>
      </x:c>
      <x:c r="I96" s="10">
        <x:v>8.73</x:v>
      </x:c>
      <x:c r="J96" s="41"/>
      <x:c r="K96" s="41"/>
      <x:c r="L96" s="41"/>
      <x:c r="M96" s="41"/>
      <x:c r="N96" s="7" t="s">
        <x:v>1828</x:v>
      </x:c>
      <x:c r="O96" s="7" t="s">
        <x:v>1539</x:v>
      </x:c>
      <x:c r="P96" s="10">
        <x:v>4.0</x:v>
      </x:c>
      <x:c r="Q96" s="41"/>
      <x:c r="R96" s="10">
        <x:v>82.4</x:v>
      </x:c>
      <x:c r="S96" s="7" t="s">
        <x:v>301</x:v>
      </x:c>
      <x:c r="T96" s="7" t="b">
        <x:v>0</x:v>
      </x:c>
      <x:c r="U96" s="7" t="s">
        <x:v>1541</x:v>
      </x:c>
      <x:c r="V96" s="26" t="s">
        <x:v>1542</x:v>
      </x:c>
      <x:c r="W96" s="7" t="s">
        <x:v>1968</x:v>
      </x:c>
      <x:c r="X96" s="41"/>
      <x:c r="Y96" s="41"/>
      <x:c r="Z96" s="41"/>
    </x:row>
    <x:row r="97">
      <x:c r="A97" s="7" t="s">
        <x:v>1969</x:v>
      </x:c>
      <x:c r="B97" s="7" t="s">
        <x:v>1970</x:v>
      </x:c>
      <x:c r="C97" s="7" t="s">
        <x:v>1971</x:v>
      </x:c>
      <x:c r="D97" s="7" t="s">
        <x:v>74</x:v>
      </x:c>
      <x:c r="E97" s="7" t="s">
        <x:v>1972</x:v>
      </x:c>
      <x:c r="F97" s="10">
        <x:v>14.2206</x:v>
      </x:c>
      <x:c r="G97" s="10">
        <x:v>100.89168</x:v>
      </x:c>
      <x:c r="H97" s="7" t="s">
        <x:v>1554</x:v>
      </x:c>
      <x:c r="I97" s="10">
        <x:v>3.62</x:v>
      </x:c>
      <x:c r="J97" s="41"/>
      <x:c r="K97" s="41"/>
      <x:c r="L97" s="41"/>
      <x:c r="M97" s="41"/>
      <x:c r="N97" s="7" t="s">
        <x:v>1828</x:v>
      </x:c>
      <x:c r="O97" s="7" t="s">
        <x:v>1539</x:v>
      </x:c>
      <x:c r="P97" s="10">
        <x:v>4.0</x:v>
      </x:c>
      <x:c r="Q97" s="41"/>
      <x:c r="R97" s="10">
        <x:v>12.4</x:v>
      </x:c>
      <x:c r="S97" s="7" t="s">
        <x:v>1540</x:v>
      </x:c>
      <x:c r="T97" s="7" t="b">
        <x:v>0</x:v>
      </x:c>
      <x:c r="U97" s="7" t="s">
        <x:v>1541</x:v>
      </x:c>
      <x:c r="V97" s="26" t="s">
        <x:v>1542</x:v>
      </x:c>
      <x:c r="W97" s="7" t="s">
        <x:v>1973</x:v>
      </x:c>
      <x:c r="X97" s="41"/>
      <x:c r="Y97" s="41"/>
      <x:c r="Z97" s="41"/>
    </x:row>
    <x:row r="98">
      <x:c r="A98" s="7" t="s">
        <x:v>1974</x:v>
      </x:c>
      <x:c r="B98" s="7" t="s">
        <x:v>1975</x:v>
      </x:c>
      <x:c r="C98" s="7" t="s">
        <x:v>1976</x:v>
      </x:c>
      <x:c r="D98" s="7" t="s">
        <x:v>255</x:v>
      </x:c>
      <x:c r="E98" s="7" t="s">
        <x:v>1977</x:v>
      </x:c>
      <x:c r="F98" s="10">
        <x:v>7.261514</x:v>
      </x:c>
      <x:c r="G98" s="10">
        <x:v>100.42447</x:v>
      </x:c>
      <x:c r="H98" s="7" t="s">
        <x:v>1554</x:v>
      </x:c>
      <x:c r="I98" s="10">
        <x:v>0.43</x:v>
      </x:c>
      <x:c r="J98" s="41"/>
      <x:c r="K98" s="41"/>
      <x:c r="L98" s="41"/>
      <x:c r="M98" s="41"/>
      <x:c r="N98" s="7" t="s">
        <x:v>1828</x:v>
      </x:c>
      <x:c r="O98" s="7" t="s">
        <x:v>1539</x:v>
      </x:c>
      <x:c r="P98" s="10">
        <x:v>4.0</x:v>
      </x:c>
      <x:c r="Q98" s="41"/>
      <x:c r="R98" s="10">
        <x:v>12.4</x:v>
      </x:c>
      <x:c r="S98" s="7" t="s">
        <x:v>1540</x:v>
      </x:c>
      <x:c r="T98" s="7" t="b">
        <x:v>0</x:v>
      </x:c>
      <x:c r="U98" s="7" t="s">
        <x:v>1541</x:v>
      </x:c>
      <x:c r="V98" s="26" t="s">
        <x:v>1542</x:v>
      </x:c>
      <x:c r="W98" s="7" t="s">
        <x:v>1978</x:v>
      </x:c>
      <x:c r="X98" s="41"/>
      <x:c r="Y98" s="41"/>
      <x:c r="Z98" s="41"/>
    </x:row>
    <x:row r="99">
      <x:c r="A99" s="7" t="s">
        <x:v>1979</x:v>
      </x:c>
      <x:c r="B99" s="7" t="s">
        <x:v>1980</x:v>
      </x:c>
      <x:c r="C99" s="7" t="s">
        <x:v>1981</x:v>
      </x:c>
      <x:c r="D99" s="7" t="s">
        <x:v>234</x:v>
      </x:c>
      <x:c r="E99" s="7" t="s">
        <x:v>1982</x:v>
      </x:c>
      <x:c r="F99" s="10">
        <x:v>17.777582</x:v>
      </x:c>
      <x:c r="G99" s="10">
        <x:v>104.01503</x:v>
      </x:c>
      <x:c r="H99" s="7" t="s">
        <x:v>1554</x:v>
      </x:c>
      <x:c r="I99" s="10">
        <x:v>142.93</x:v>
      </x:c>
      <x:c r="J99" s="41"/>
      <x:c r="K99" s="41"/>
      <x:c r="L99" s="41"/>
      <x:c r="M99" s="10"/>
      <x:c r="N99" s="7" t="s">
        <x:v>1828</x:v>
      </x:c>
      <x:c r="O99" s="7" t="s">
        <x:v>1539</x:v>
      </x:c>
      <x:c r="P99" s="10">
        <x:v>4.0</x:v>
      </x:c>
      <x:c r="Q99" s="41"/>
      <x:c r="R99" s="10">
        <x:v>12.4</x:v>
      </x:c>
      <x:c r="S99" s="7" t="s">
        <x:v>1540</x:v>
      </x:c>
      <x:c r="T99" s="7" t="b">
        <x:v>0</x:v>
      </x:c>
      <x:c r="U99" s="7" t="s">
        <x:v>1541</x:v>
      </x:c>
      <x:c r="V99" s="26" t="s">
        <x:v>1542</x:v>
      </x:c>
      <x:c r="W99" s="7" t="s">
        <x:v>1983</x:v>
      </x:c>
      <x:c r="X99" s="41"/>
      <x:c r="Y99" s="41"/>
      <x:c r="Z99" s="41"/>
    </x:row>
    <x:row r="100">
      <x:c r="A100" s="7" t="s">
        <x:v>1984</x:v>
      </x:c>
      <x:c r="B100" s="7" t="s">
        <x:v>1985</x:v>
      </x:c>
      <x:c r="C100" s="7" t="s">
        <x:v>1986</x:v>
      </x:c>
      <x:c r="D100" s="7" t="s">
        <x:v>128</x:v>
      </x:c>
      <x:c r="E100" s="7" t="s">
        <x:v>1563</x:v>
      </x:c>
      <x:c r="F100" s="10">
        <x:v>13.700301</x:v>
      </x:c>
      <x:c r="G100" s="10">
        <x:v>100.49277</x:v>
      </x:c>
      <x:c r="H100" s="7" t="s">
        <x:v>1554</x:v>
      </x:c>
      <x:c r="I100" s="10">
        <x:v>0.78</x:v>
      </x:c>
      <x:c r="J100" s="41"/>
      <x:c r="K100" s="41"/>
      <x:c r="L100" s="41"/>
      <x:c r="M100" s="10"/>
      <x:c r="N100" s="7" t="s">
        <x:v>1828</x:v>
      </x:c>
      <x:c r="O100" s="7" t="s">
        <x:v>1539</x:v>
      </x:c>
      <x:c r="P100" s="10">
        <x:v>4.0</x:v>
      </x:c>
      <x:c r="Q100" s="41"/>
      <x:c r="R100" s="10">
        <x:v>12.4</x:v>
      </x:c>
      <x:c r="S100" s="7" t="s">
        <x:v>1540</x:v>
      </x:c>
      <x:c r="T100" s="7" t="b">
        <x:v>0</x:v>
      </x:c>
      <x:c r="U100" s="7" t="s">
        <x:v>1541</x:v>
      </x:c>
      <x:c r="V100" s="26" t="s">
        <x:v>1542</x:v>
      </x:c>
      <x:c r="W100" s="7" t="s">
        <x:v>1987</x:v>
      </x:c>
      <x:c r="X100" s="41"/>
      <x:c r="Y100" s="41"/>
      <x:c r="Z100" s="41"/>
    </x:row>
    <x:row r="101">
      <x:c r="A101" s="7" t="s">
        <x:v>1988</x:v>
      </x:c>
      <x:c r="B101" s="7" t="s">
        <x:v>1989</x:v>
      </x:c>
      <x:c r="C101" s="7" t="s">
        <x:v>1990</x:v>
      </x:c>
      <x:c r="D101" s="7" t="s">
        <x:v>68</x:v>
      </x:c>
      <x:c r="E101" s="7" t="s">
        <x:v>1990</x:v>
      </x:c>
      <x:c r="F101" s="10">
        <x:v>14.344762</x:v>
      </x:c>
      <x:c r="G101" s="10">
        <x:v>100.670105</x:v>
      </x:c>
      <x:c r="H101" s="7" t="s">
        <x:v>1554</x:v>
      </x:c>
      <x:c r="I101" s="10">
        <x:v>2.8</x:v>
      </x:c>
      <x:c r="J101" s="41"/>
      <x:c r="K101" s="41"/>
      <x:c r="L101" s="41"/>
      <x:c r="M101" s="41"/>
      <x:c r="N101" s="7" t="s">
        <x:v>1828</x:v>
      </x:c>
      <x:c r="O101" s="7" t="s">
        <x:v>1539</x:v>
      </x:c>
      <x:c r="P101" s="10">
        <x:v>4.0</x:v>
      </x:c>
      <x:c r="Q101" s="41"/>
      <x:c r="R101" s="10">
        <x:v>12.4</x:v>
      </x:c>
      <x:c r="S101" s="7" t="s">
        <x:v>1540</x:v>
      </x:c>
      <x:c r="T101" s="7" t="b">
        <x:v>0</x:v>
      </x:c>
      <x:c r="U101" s="7" t="s">
        <x:v>1541</x:v>
      </x:c>
      <x:c r="V101" s="26" t="s">
        <x:v>1542</x:v>
      </x:c>
      <x:c r="W101" s="7" t="s">
        <x:v>1991</x:v>
      </x:c>
      <x:c r="X101" s="41"/>
      <x:c r="Y101" s="41"/>
      <x:c r="Z101" s="41"/>
    </x:row>
    <x:row r="102">
      <x:c r="A102" s="7" t="s">
        <x:v>1992</x:v>
      </x:c>
      <x:c r="B102" s="7" t="s">
        <x:v>1993</x:v>
      </x:c>
      <x:c r="C102" s="7" t="s">
        <x:v>1994</x:v>
      </x:c>
      <x:c r="D102" s="7" t="s">
        <x:v>125</x:v>
      </x:c>
      <x:c r="E102" s="7" t="s">
        <x:v>1995</x:v>
      </x:c>
      <x:c r="F102" s="10">
        <x:v>14.85738</x:v>
      </x:c>
      <x:c r="G102" s="10">
        <x:v>103.476936</x:v>
      </x:c>
      <x:c r="H102" s="7" t="s">
        <x:v>1548</x:v>
      </x:c>
      <x:c r="I102" s="10">
        <x:v>140.09</x:v>
      </x:c>
      <x:c r="J102" s="41"/>
      <x:c r="K102" s="41"/>
      <x:c r="L102" s="41"/>
      <x:c r="M102" s="41"/>
      <x:c r="N102" s="7" t="s">
        <x:v>1828</x:v>
      </x:c>
      <x:c r="O102" s="7" t="s">
        <x:v>1539</x:v>
      </x:c>
      <x:c r="P102" s="10">
        <x:v>4.0</x:v>
      </x:c>
      <x:c r="Q102" s="41"/>
      <x:c r="R102" s="10">
        <x:v>82.4</x:v>
      </x:c>
      <x:c r="S102" s="7" t="s">
        <x:v>301</x:v>
      </x:c>
      <x:c r="T102" s="7" t="b">
        <x:v>0</x:v>
      </x:c>
      <x:c r="U102" s="7" t="s">
        <x:v>1541</x:v>
      </x:c>
      <x:c r="V102" s="26" t="s">
        <x:v>1542</x:v>
      </x:c>
      <x:c r="W102" s="7" t="s">
        <x:v>1996</x:v>
      </x:c>
      <x:c r="X102" s="41"/>
      <x:c r="Y102" s="41"/>
      <x:c r="Z102" s="41"/>
    </x:row>
    <x:row r="103">
      <x:c r="A103" s="7" t="s">
        <x:v>1997</x:v>
      </x:c>
      <x:c r="B103" s="7" t="s">
        <x:v>1998</x:v>
      </x:c>
      <x:c r="C103" s="7" t="s">
        <x:v>1999</x:v>
      </x:c>
      <x:c r="D103" s="7" t="s">
        <x:v>58</x:v>
      </x:c>
      <x:c r="E103" s="7" t="s">
        <x:v>1536</x:v>
      </x:c>
      <x:c r="F103" s="10">
        <x:v>13.9382</x:v>
      </x:c>
      <x:c r="G103" s="10">
        <x:v>99.41518</x:v>
      </x:c>
      <x:c r="H103" s="7" t="s">
        <x:v>1658</x:v>
      </x:c>
      <x:c r="I103" s="10">
        <x:v>31.13</x:v>
      </x:c>
      <x:c r="J103" s="41"/>
      <x:c r="K103" s="41"/>
      <x:c r="L103" s="41"/>
      <x:c r="M103" s="10">
        <x:v>31.45</x:v>
      </x:c>
      <x:c r="N103" s="7" t="s">
        <x:v>1828</x:v>
      </x:c>
      <x:c r="O103" s="7" t="s">
        <x:v>1539</x:v>
      </x:c>
      <x:c r="P103" s="10">
        <x:v>4.0</x:v>
      </x:c>
      <x:c r="Q103" s="41"/>
      <x:c r="R103" s="10">
        <x:v>22.4</x:v>
      </x:c>
      <x:c r="S103" s="7" t="s">
        <x:v>1540</x:v>
      </x:c>
      <x:c r="T103" s="7" t="b">
        <x:v>0</x:v>
      </x:c>
      <x:c r="U103" s="7" t="s">
        <x:v>1541</x:v>
      </x:c>
      <x:c r="V103" s="26" t="s">
        <x:v>1542</x:v>
      </x:c>
      <x:c r="W103" s="7" t="s">
        <x:v>2000</x:v>
      </x:c>
      <x:c r="X103" s="41"/>
      <x:c r="Y103" s="41"/>
      <x:c r="Z103" s="41"/>
    </x:row>
    <x:row r="104">
      <x:c r="A104" s="7" t="s">
        <x:v>2001</x:v>
      </x:c>
      <x:c r="B104" s="7" t="s">
        <x:v>2002</x:v>
      </x:c>
      <x:c r="C104" s="7" t="s">
        <x:v>2003</x:v>
      </x:c>
      <x:c r="D104" s="7" t="s">
        <x:v>234</x:v>
      </x:c>
      <x:c r="E104" s="7" t="s">
        <x:v>1982</x:v>
      </x:c>
      <x:c r="F104" s="10">
        <x:v>17.557489</x:v>
      </x:c>
      <x:c r="G104" s="10">
        <x:v>103.335228</x:v>
      </x:c>
      <x:c r="H104" s="7" t="s">
        <x:v>1548</x:v>
      </x:c>
      <x:c r="I104" s="10">
        <x:v>187.73</x:v>
      </x:c>
      <x:c r="J104" s="41"/>
      <x:c r="K104" s="41"/>
      <x:c r="L104" s="41"/>
      <x:c r="M104" s="41"/>
      <x:c r="N104" s="7" t="s">
        <x:v>1828</x:v>
      </x:c>
      <x:c r="O104" s="7" t="s">
        <x:v>1539</x:v>
      </x:c>
      <x:c r="P104" s="10">
        <x:v>4.0</x:v>
      </x:c>
      <x:c r="Q104" s="41"/>
      <x:c r="R104" s="10">
        <x:v>82.4</x:v>
      </x:c>
      <x:c r="S104" s="7" t="s">
        <x:v>301</x:v>
      </x:c>
      <x:c r="T104" s="7" t="b">
        <x:v>0</x:v>
      </x:c>
      <x:c r="U104" s="7" t="s">
        <x:v>1541</x:v>
      </x:c>
      <x:c r="V104" s="26" t="s">
        <x:v>1542</x:v>
      </x:c>
      <x:c r="W104" s="7" t="s">
        <x:v>2004</x:v>
      </x:c>
      <x:c r="X104" s="41"/>
      <x:c r="Y104" s="41"/>
      <x:c r="Z104" s="41"/>
    </x:row>
    <x:row r="105">
      <x:c r="A105" s="7" t="s">
        <x:v>2005</x:v>
      </x:c>
      <x:c r="B105" s="7" t="s">
        <x:v>2006</x:v>
      </x:c>
      <x:c r="C105" s="7" t="s">
        <x:v>2007</x:v>
      </x:c>
      <x:c r="D105" s="7" t="s">
        <x:v>74</x:v>
      </x:c>
      <x:c r="E105" s="7" t="s">
        <x:v>2007</x:v>
      </x:c>
      <x:c r="F105" s="10">
        <x:v>14.20612</x:v>
      </x:c>
      <x:c r="G105" s="10">
        <x:v>100.74476</x:v>
      </x:c>
      <x:c r="H105" s="7" t="s">
        <x:v>1554</x:v>
      </x:c>
      <x:c r="I105" s="10">
        <x:v>4.12</x:v>
      </x:c>
      <x:c r="J105" s="41"/>
      <x:c r="K105" s="41"/>
      <x:c r="L105" s="41"/>
      <x:c r="M105" s="41"/>
      <x:c r="N105" s="7" t="s">
        <x:v>1828</x:v>
      </x:c>
      <x:c r="O105" s="7" t="s">
        <x:v>1539</x:v>
      </x:c>
      <x:c r="P105" s="10">
        <x:v>4.0</x:v>
      </x:c>
      <x:c r="Q105" s="41"/>
      <x:c r="R105" s="10">
        <x:v>12.4</x:v>
      </x:c>
      <x:c r="S105" s="7" t="s">
        <x:v>1540</x:v>
      </x:c>
      <x:c r="T105" s="7" t="b">
        <x:v>0</x:v>
      </x:c>
      <x:c r="U105" s="7" t="s">
        <x:v>1541</x:v>
      </x:c>
      <x:c r="V105" s="26" t="s">
        <x:v>1542</x:v>
      </x:c>
      <x:c r="W105" s="7" t="s">
        <x:v>2008</x:v>
      </x:c>
      <x:c r="X105" s="41"/>
      <x:c r="Y105" s="41"/>
      <x:c r="Z105" s="41"/>
    </x:row>
    <x:row r="106">
      <x:c r="A106" s="7" t="s">
        <x:v>2009</x:v>
      </x:c>
      <x:c r="B106" s="7" t="s">
        <x:v>2010</x:v>
      </x:c>
      <x:c r="C106" s="7" t="s">
        <x:v>2011</x:v>
      </x:c>
      <x:c r="D106" s="7" t="s">
        <x:v>122</x:v>
      </x:c>
      <x:c r="E106" s="7" t="s">
        <x:v>2012</x:v>
      </x:c>
      <x:c r="F106" s="10">
        <x:v>14.93225</x:v>
      </x:c>
      <x:c r="G106" s="10">
        <x:v>101.867882</x:v>
      </x:c>
      <x:c r="H106" s="7" t="s">
        <x:v>1548</x:v>
      </x:c>
      <x:c r="I106" s="10">
        <x:v>203.56</x:v>
      </x:c>
      <x:c r="J106" s="41"/>
      <x:c r="K106" s="41"/>
      <x:c r="L106" s="41"/>
      <x:c r="M106" s="10"/>
      <x:c r="N106" s="7" t="s">
        <x:v>1828</x:v>
      </x:c>
      <x:c r="O106" s="7" t="s">
        <x:v>1539</x:v>
      </x:c>
      <x:c r="P106" s="10">
        <x:v>4.0</x:v>
      </x:c>
      <x:c r="Q106" s="41"/>
      <x:c r="R106" s="10">
        <x:v>82.4</x:v>
      </x:c>
      <x:c r="S106" s="7" t="s">
        <x:v>301</x:v>
      </x:c>
      <x:c r="T106" s="7" t="b">
        <x:v>0</x:v>
      </x:c>
      <x:c r="U106" s="7" t="s">
        <x:v>1541</x:v>
      </x:c>
      <x:c r="V106" s="26" t="s">
        <x:v>1542</x:v>
      </x:c>
      <x:c r="W106" s="7" t="s">
        <x:v>2013</x:v>
      </x:c>
      <x:c r="X106" s="41"/>
      <x:c r="Y106" s="41"/>
      <x:c r="Z106" s="41"/>
    </x:row>
    <x:row r="107">
      <x:c r="A107" s="7" t="s">
        <x:v>2014</x:v>
      </x:c>
      <x:c r="B107" s="7" t="s">
        <x:v>2015</x:v>
      </x:c>
      <x:c r="C107" s="7" t="s">
        <x:v>2016</x:v>
      </x:c>
      <x:c r="D107" s="7" t="s">
        <x:v>222</x:v>
      </x:c>
      <x:c r="E107" s="7" t="s">
        <x:v>2017</x:v>
      </x:c>
      <x:c r="F107" s="10">
        <x:v>12.81345</x:v>
      </x:c>
      <x:c r="G107" s="10">
        <x:v>99.79404</x:v>
      </x:c>
      <x:c r="H107" s="7" t="s">
        <x:v>1554</x:v>
      </x:c>
      <x:c r="I107" s="10">
        <x:v>25.71</x:v>
      </x:c>
      <x:c r="J107" s="41"/>
      <x:c r="K107" s="41"/>
      <x:c r="L107" s="41"/>
      <x:c r="M107" s="41"/>
      <x:c r="N107" s="7" t="s">
        <x:v>1828</x:v>
      </x:c>
      <x:c r="O107" s="7" t="s">
        <x:v>1539</x:v>
      </x:c>
      <x:c r="P107" s="10">
        <x:v>4.0</x:v>
      </x:c>
      <x:c r="Q107" s="41"/>
      <x:c r="R107" s="10">
        <x:v>12.4</x:v>
      </x:c>
      <x:c r="S107" s="7" t="s">
        <x:v>1540</x:v>
      </x:c>
      <x:c r="T107" s="7" t="b">
        <x:v>0</x:v>
      </x:c>
      <x:c r="U107" s="7" t="s">
        <x:v>1541</x:v>
      </x:c>
      <x:c r="V107" s="26" t="s">
        <x:v>1542</x:v>
      </x:c>
      <x:c r="W107" s="7" t="s">
        <x:v>2018</x:v>
      </x:c>
      <x:c r="X107" s="41"/>
      <x:c r="Y107" s="41"/>
      <x:c r="Z107" s="41"/>
    </x:row>
    <x:row r="108">
      <x:c r="A108" s="7" t="s">
        <x:v>2019</x:v>
      </x:c>
      <x:c r="B108" s="7" t="s">
        <x:v>2020</x:v>
      </x:c>
      <x:c r="C108" s="7" t="s">
        <x:v>2021</x:v>
      </x:c>
      <x:c r="D108" s="7" t="s">
        <x:v>115</x:v>
      </x:c>
      <x:c r="E108" s="7" t="s">
        <x:v>2022</x:v>
      </x:c>
      <x:c r="F108" s="10">
        <x:v>15.02688</x:v>
      </x:c>
      <x:c r="G108" s="10">
        <x:v>102.805687</x:v>
      </x:c>
      <x:c r="H108" s="7" t="s">
        <x:v>1548</x:v>
      </x:c>
      <x:c r="I108" s="10">
        <x:v>158.03</x:v>
      </x:c>
      <x:c r="J108" s="41"/>
      <x:c r="K108" s="41"/>
      <x:c r="L108" s="41"/>
      <x:c r="M108" s="41"/>
      <x:c r="N108" s="7" t="s">
        <x:v>1828</x:v>
      </x:c>
      <x:c r="O108" s="7" t="s">
        <x:v>1539</x:v>
      </x:c>
      <x:c r="P108" s="10">
        <x:v>4.0</x:v>
      </x:c>
      <x:c r="Q108" s="41"/>
      <x:c r="R108" s="10">
        <x:v>82.4</x:v>
      </x:c>
      <x:c r="S108" s="7" t="s">
        <x:v>301</x:v>
      </x:c>
      <x:c r="T108" s="7" t="b">
        <x:v>0</x:v>
      </x:c>
      <x:c r="U108" s="7" t="s">
        <x:v>1541</x:v>
      </x:c>
      <x:c r="V108" s="26" t="s">
        <x:v>1542</x:v>
      </x:c>
      <x:c r="W108" s="7" t="s">
        <x:v>2023</x:v>
      </x:c>
      <x:c r="X108" s="41"/>
      <x:c r="Y108" s="41"/>
      <x:c r="Z108" s="41"/>
    </x:row>
    <x:row r="109">
      <x:c r="A109" s="7" t="s">
        <x:v>2024</x:v>
      </x:c>
      <x:c r="B109" s="7" t="s">
        <x:v>2025</x:v>
      </x:c>
      <x:c r="C109" s="7" t="s">
        <x:v>2026</x:v>
      </x:c>
      <x:c r="D109" s="7" t="s">
        <x:v>38</x:v>
      </x:c>
      <x:c r="E109" s="7" t="s">
        <x:v>2027</x:v>
      </x:c>
      <x:c r="F109" s="10">
        <x:v>15.169044</x:v>
      </x:c>
      <x:c r="G109" s="10">
        <x:v>100.41471</x:v>
      </x:c>
      <x:c r="H109" s="7" t="s">
        <x:v>1554</x:v>
      </x:c>
      <x:c r="I109" s="10">
        <x:v>15.25</x:v>
      </x:c>
      <x:c r="J109" s="41"/>
      <x:c r="K109" s="41"/>
      <x:c r="L109" s="41"/>
      <x:c r="M109" s="10"/>
      <x:c r="N109" s="7" t="s">
        <x:v>1828</x:v>
      </x:c>
      <x:c r="O109" s="7" t="s">
        <x:v>1539</x:v>
      </x:c>
      <x:c r="P109" s="10">
        <x:v>4.0</x:v>
      </x:c>
      <x:c r="Q109" s="41"/>
      <x:c r="R109" s="10">
        <x:v>12.4</x:v>
      </x:c>
      <x:c r="S109" s="7" t="s">
        <x:v>1540</x:v>
      </x:c>
      <x:c r="T109" s="7" t="b">
        <x:v>0</x:v>
      </x:c>
      <x:c r="U109" s="7" t="s">
        <x:v>1541</x:v>
      </x:c>
      <x:c r="V109" s="26" t="s">
        <x:v>1542</x:v>
      </x:c>
      <x:c r="W109" s="7" t="s">
        <x:v>2028</x:v>
      </x:c>
      <x:c r="X109" s="41"/>
      <x:c r="Y109" s="41"/>
      <x:c r="Z109" s="41"/>
    </x:row>
    <x:row r="110">
      <x:c r="A110" s="7" t="s">
        <x:v>2029</x:v>
      </x:c>
      <x:c r="B110" s="7" t="s">
        <x:v>2030</x:v>
      </x:c>
      <x:c r="C110" s="7" t="s">
        <x:v>2031</x:v>
      </x:c>
      <x:c r="D110" s="7" t="s">
        <x:v>242</x:v>
      </x:c>
      <x:c r="E110" s="7" t="s">
        <x:v>2032</x:v>
      </x:c>
      <x:c r="F110" s="10">
        <x:v>15.22263</x:v>
      </x:c>
      <x:c r="G110" s="10">
        <x:v>104.859131</x:v>
      </x:c>
      <x:c r="H110" s="7" t="s">
        <x:v>1548</x:v>
      </x:c>
      <x:c r="I110" s="10">
        <x:v>110.87</x:v>
      </x:c>
      <x:c r="J110" s="41"/>
      <x:c r="K110" s="41"/>
      <x:c r="L110" s="41"/>
      <x:c r="M110" s="10">
        <x:v>112.0</x:v>
      </x:c>
      <x:c r="N110" s="7" t="s">
        <x:v>1828</x:v>
      </x:c>
      <x:c r="O110" s="7" t="s">
        <x:v>1539</x:v>
      </x:c>
      <x:c r="P110" s="10">
        <x:v>4.0</x:v>
      </x:c>
      <x:c r="Q110" s="41"/>
      <x:c r="R110" s="10">
        <x:v>82.4</x:v>
      </x:c>
      <x:c r="S110" s="7" t="s">
        <x:v>301</x:v>
      </x:c>
      <x:c r="T110" s="7" t="b">
        <x:v>0</x:v>
      </x:c>
      <x:c r="U110" s="7" t="s">
        <x:v>1541</x:v>
      </x:c>
      <x:c r="V110" s="26" t="s">
        <x:v>1542</x:v>
      </x:c>
      <x:c r="W110" s="7" t="s">
        <x:v>2033</x:v>
      </x:c>
      <x:c r="X110" s="41"/>
      <x:c r="Y110" s="41"/>
      <x:c r="Z110" s="41"/>
    </x:row>
    <x:row r="111">
      <x:c r="A111" s="7" t="s">
        <x:v>2034</x:v>
      </x:c>
      <x:c r="B111" s="7" t="s">
        <x:v>2035</x:v>
      </x:c>
      <x:c r="C111" s="7" t="s">
        <x:v>2036</x:v>
      </x:c>
      <x:c r="D111" s="7" t="s">
        <x:v>38</x:v>
      </x:c>
      <x:c r="E111" s="7" t="s">
        <x:v>2037</x:v>
      </x:c>
      <x:c r="F111" s="10">
        <x:v>15.84175</x:v>
      </x:c>
      <x:c r="G111" s="10">
        <x:v>99.41808</x:v>
      </x:c>
      <x:c r="H111" s="7" t="s">
        <x:v>1554</x:v>
      </x:c>
      <x:c r="I111" s="10">
        <x:v>134.13</x:v>
      </x:c>
      <x:c r="J111" s="41"/>
      <x:c r="K111" s="41"/>
      <x:c r="L111" s="41"/>
      <x:c r="M111" s="10"/>
      <x:c r="N111" s="7" t="s">
        <x:v>1828</x:v>
      </x:c>
      <x:c r="O111" s="7" t="s">
        <x:v>1539</x:v>
      </x:c>
      <x:c r="P111" s="10">
        <x:v>4.0</x:v>
      </x:c>
      <x:c r="Q111" s="41"/>
      <x:c r="R111" s="10">
        <x:v>12.4</x:v>
      </x:c>
      <x:c r="S111" s="7" t="s">
        <x:v>1540</x:v>
      </x:c>
      <x:c r="T111" s="7" t="b">
        <x:v>0</x:v>
      </x:c>
      <x:c r="U111" s="7" t="s">
        <x:v>1541</x:v>
      </x:c>
      <x:c r="V111" s="26" t="s">
        <x:v>1542</x:v>
      </x:c>
      <x:c r="W111" s="7" t="s">
        <x:v>2038</x:v>
      </x:c>
      <x:c r="X111" s="41"/>
      <x:c r="Y111" s="41"/>
      <x:c r="Z111" s="41"/>
    </x:row>
    <x:row r="112">
      <x:c r="A112" s="7" t="s">
        <x:v>2039</x:v>
      </x:c>
      <x:c r="B112" s="7" t="s">
        <x:v>2040</x:v>
      </x:c>
      <x:c r="C112" s="7" t="s">
        <x:v>2041</x:v>
      </x:c>
      <x:c r="D112" s="7" t="s">
        <x:v>52</x:v>
      </x:c>
      <x:c r="E112" s="7" t="s">
        <x:v>2042</x:v>
      </x:c>
      <x:c r="F112" s="10">
        <x:v>15.05502</x:v>
      </x:c>
      <x:c r="G112" s="10">
        <x:v>100.32081</x:v>
      </x:c>
      <x:c r="H112" s="7" t="s">
        <x:v>1554</x:v>
      </x:c>
      <x:c r="I112" s="10">
        <x:v>11.02</x:v>
      </x:c>
      <x:c r="J112" s="41"/>
      <x:c r="K112" s="41"/>
      <x:c r="L112" s="41"/>
      <x:c r="M112" s="10"/>
      <x:c r="N112" s="7" t="s">
        <x:v>1828</x:v>
      </x:c>
      <x:c r="O112" s="7" t="s">
        <x:v>1539</x:v>
      </x:c>
      <x:c r="P112" s="10">
        <x:v>4.0</x:v>
      </x:c>
      <x:c r="Q112" s="41"/>
      <x:c r="R112" s="10">
        <x:v>12.4</x:v>
      </x:c>
      <x:c r="S112" s="7" t="s">
        <x:v>1540</x:v>
      </x:c>
      <x:c r="T112" s="7" t="b">
        <x:v>0</x:v>
      </x:c>
      <x:c r="U112" s="7" t="s">
        <x:v>1541</x:v>
      </x:c>
      <x:c r="V112" s="26" t="s">
        <x:v>1542</x:v>
      </x:c>
      <x:c r="W112" s="7" t="s">
        <x:v>2043</x:v>
      </x:c>
      <x:c r="X112" s="41"/>
      <x:c r="Y112" s="41"/>
      <x:c r="Z112" s="41"/>
    </x:row>
    <x:row r="113">
      <x:c r="A113" s="7" t="s">
        <x:v>2044</x:v>
      </x:c>
      <x:c r="B113" s="7" t="s">
        <x:v>2045</x:v>
      </x:c>
      <x:c r="C113" s="7" t="s">
        <x:v>2046</x:v>
      </x:c>
      <x:c r="D113" s="7" t="s">
        <x:v>258</x:v>
      </x:c>
      <x:c r="E113" s="7" t="s">
        <x:v>2047</x:v>
      </x:c>
      <x:c r="F113" s="10">
        <x:v>7.48407</x:v>
      </x:c>
      <x:c r="G113" s="10">
        <x:v>99.89179</x:v>
      </x:c>
      <x:c r="H113" s="7" t="s">
        <x:v>1554</x:v>
      </x:c>
      <x:c r="I113" s="10">
        <x:v>399.08</x:v>
      </x:c>
      <x:c r="J113" s="41"/>
      <x:c r="K113" s="41"/>
      <x:c r="L113" s="41"/>
      <x:c r="M113" s="41"/>
      <x:c r="N113" s="7" t="s">
        <x:v>1828</x:v>
      </x:c>
      <x:c r="O113" s="7" t="s">
        <x:v>1539</x:v>
      </x:c>
      <x:c r="P113" s="10">
        <x:v>4.0</x:v>
      </x:c>
      <x:c r="Q113" s="41"/>
      <x:c r="R113" s="10">
        <x:v>12.4</x:v>
      </x:c>
      <x:c r="S113" s="7" t="s">
        <x:v>1540</x:v>
      </x:c>
      <x:c r="T113" s="7" t="b">
        <x:v>0</x:v>
      </x:c>
      <x:c r="U113" s="7" t="s">
        <x:v>1541</x:v>
      </x:c>
      <x:c r="V113" s="26" t="s">
        <x:v>1542</x:v>
      </x:c>
      <x:c r="W113" s="7" t="s">
        <x:v>2048</x:v>
      </x:c>
      <x:c r="X113" s="41"/>
      <x:c r="Y113" s="41"/>
      <x:c r="Z113" s="41"/>
    </x:row>
    <x:row r="114">
      <x:c r="A114" s="7" t="s">
        <x:v>2049</x:v>
      </x:c>
      <x:c r="B114" s="7" t="s">
        <x:v>2050</x:v>
      </x:c>
      <x:c r="C114" s="7" t="s">
        <x:v>2051</x:v>
      </x:c>
      <x:c r="D114" s="7" t="s">
        <x:v>52</x:v>
      </x:c>
      <x:c r="E114" s="7" t="s">
        <x:v>1563</x:v>
      </x:c>
      <x:c r="F114" s="10">
        <x:v>15.00602</x:v>
      </x:c>
      <x:c r="G114" s="10">
        <x:v>100.33088</x:v>
      </x:c>
      <x:c r="H114" s="7" t="s">
        <x:v>1554</x:v>
      </x:c>
      <x:c r="I114" s="10">
        <x:v>13.66</x:v>
      </x:c>
      <x:c r="J114" s="41"/>
      <x:c r="K114" s="41"/>
      <x:c r="L114" s="41"/>
      <x:c r="M114" s="10"/>
      <x:c r="N114" s="7" t="s">
        <x:v>1828</x:v>
      </x:c>
      <x:c r="O114" s="7" t="s">
        <x:v>1539</x:v>
      </x:c>
      <x:c r="P114" s="10">
        <x:v>4.0</x:v>
      </x:c>
      <x:c r="Q114" s="41"/>
      <x:c r="R114" s="10">
        <x:v>12.4</x:v>
      </x:c>
      <x:c r="S114" s="7" t="s">
        <x:v>1540</x:v>
      </x:c>
      <x:c r="T114" s="7" t="b">
        <x:v>0</x:v>
      </x:c>
      <x:c r="U114" s="7" t="s">
        <x:v>1541</x:v>
      </x:c>
      <x:c r="V114" s="26" t="s">
        <x:v>1542</x:v>
      </x:c>
      <x:c r="W114" s="7" t="s">
        <x:v>2052</x:v>
      </x:c>
      <x:c r="X114" s="41"/>
      <x:c r="Y114" s="41"/>
      <x:c r="Z114" s="41"/>
    </x:row>
    <x:row r="115">
      <x:c r="A115" s="7" t="s">
        <x:v>2053</x:v>
      </x:c>
      <x:c r="B115" s="7" t="s">
        <x:v>2054</x:v>
      </x:c>
      <x:c r="C115" s="7" t="s">
        <x:v>2055</x:v>
      </x:c>
      <x:c r="D115" s="7" t="s">
        <x:v>58</x:v>
      </x:c>
      <x:c r="E115" s="7" t="s">
        <x:v>1536</x:v>
      </x:c>
      <x:c r="F115" s="10">
        <x:v>14.59539</x:v>
      </x:c>
      <x:c r="G115" s="10">
        <x:v>98.72946</x:v>
      </x:c>
      <x:c r="H115" s="7" t="s">
        <x:v>1658</x:v>
      </x:c>
      <x:c r="I115" s="10">
        <x:v>70.52</x:v>
      </x:c>
      <x:c r="J115" s="41"/>
      <x:c r="K115" s="41"/>
      <x:c r="L115" s="41"/>
      <x:c r="M115" s="10">
        <x:v>0.0</x:v>
      </x:c>
      <x:c r="N115" s="7" t="s">
        <x:v>1828</x:v>
      </x:c>
      <x:c r="O115" s="7" t="s">
        <x:v>1539</x:v>
      </x:c>
      <x:c r="P115" s="10">
        <x:v>4.0</x:v>
      </x:c>
      <x:c r="Q115" s="41"/>
      <x:c r="R115" s="10">
        <x:v>22.4</x:v>
      </x:c>
      <x:c r="S115" s="7" t="s">
        <x:v>1540</x:v>
      </x:c>
      <x:c r="T115" s="7" t="b">
        <x:v>0</x:v>
      </x:c>
      <x:c r="U115" s="7" t="s">
        <x:v>1541</x:v>
      </x:c>
      <x:c r="V115" s="26" t="s">
        <x:v>1542</x:v>
      </x:c>
      <x:c r="W115" s="7" t="s">
        <x:v>2056</x:v>
      </x:c>
      <x:c r="X115" s="41"/>
      <x:c r="Y115" s="41"/>
      <x:c r="Z115" s="41"/>
    </x:row>
    <x:row r="116">
      <x:c r="A116" s="7" t="s">
        <x:v>2057</x:v>
      </x:c>
      <x:c r="B116" s="7" t="s">
        <x:v>2058</x:v>
      </x:c>
      <x:c r="C116" s="7" t="s">
        <x:v>2059</x:v>
      </x:c>
      <x:c r="D116" s="7" t="s">
        <x:v>255</x:v>
      </x:c>
      <x:c r="E116" s="7" t="s">
        <x:v>2060</x:v>
      </x:c>
      <x:c r="F116" s="10">
        <x:v>7.134997</x:v>
      </x:c>
      <x:c r="G116" s="10">
        <x:v>100.45321</x:v>
      </x:c>
      <x:c r="H116" s="7" t="s">
        <x:v>1554</x:v>
      </x:c>
      <x:c r="I116" s="10">
        <x:v>0.27</x:v>
      </x:c>
      <x:c r="J116" s="41"/>
      <x:c r="K116" s="41"/>
      <x:c r="L116" s="41"/>
      <x:c r="M116" s="41"/>
      <x:c r="N116" s="7" t="s">
        <x:v>1828</x:v>
      </x:c>
      <x:c r="O116" s="7" t="s">
        <x:v>1539</x:v>
      </x:c>
      <x:c r="P116" s="10">
        <x:v>4.0</x:v>
      </x:c>
      <x:c r="Q116" s="41"/>
      <x:c r="R116" s="10">
        <x:v>12.4</x:v>
      </x:c>
      <x:c r="S116" s="7" t="s">
        <x:v>1540</x:v>
      </x:c>
      <x:c r="T116" s="7" t="b">
        <x:v>0</x:v>
      </x:c>
      <x:c r="U116" s="7" t="s">
        <x:v>1541</x:v>
      </x:c>
      <x:c r="V116" s="26" t="s">
        <x:v>1542</x:v>
      </x:c>
      <x:c r="W116" s="7" t="s">
        <x:v>2061</x:v>
      </x:c>
      <x:c r="X116" s="41"/>
      <x:c r="Y116" s="41"/>
      <x:c r="Z116" s="41"/>
    </x:row>
    <x:row r="117">
      <x:c r="A117" s="7" t="s">
        <x:v>2062</x:v>
      </x:c>
      <x:c r="B117" s="7" t="s">
        <x:v>2063</x:v>
      </x:c>
      <x:c r="C117" s="7" t="s">
        <x:v>2064</x:v>
      </x:c>
      <x:c r="D117" s="7" t="s">
        <x:v>261</x:v>
      </x:c>
      <x:c r="E117" s="7" t="s">
        <x:v>2065</x:v>
      </x:c>
      <x:c r="F117" s="10">
        <x:v>5.827553</x:v>
      </x:c>
      <x:c r="G117" s="10">
        <x:v>101.75235</x:v>
      </x:c>
      <x:c r="H117" s="7" t="s">
        <x:v>1658</x:v>
      </x:c>
      <x:c r="I117" s="10">
        <x:v>112.44</x:v>
      </x:c>
      <x:c r="J117" s="41"/>
      <x:c r="K117" s="41"/>
      <x:c r="L117" s="41"/>
      <x:c r="M117" s="41"/>
      <x:c r="N117" s="7" t="s">
        <x:v>1828</x:v>
      </x:c>
      <x:c r="O117" s="7" t="s">
        <x:v>1539</x:v>
      </x:c>
      <x:c r="P117" s="10">
        <x:v>4.0</x:v>
      </x:c>
      <x:c r="Q117" s="41"/>
      <x:c r="R117" s="10">
        <x:v>22.4</x:v>
      </x:c>
      <x:c r="S117" s="7" t="s">
        <x:v>1540</x:v>
      </x:c>
      <x:c r="T117" s="7" t="b">
        <x:v>0</x:v>
      </x:c>
      <x:c r="U117" s="7" t="s">
        <x:v>1541</x:v>
      </x:c>
      <x:c r="V117" s="26" t="s">
        <x:v>1542</x:v>
      </x:c>
      <x:c r="W117" s="7" t="s">
        <x:v>2066</x:v>
      </x:c>
      <x:c r="X117" s="41"/>
      <x:c r="Y117" s="41"/>
      <x:c r="Z117" s="41"/>
    </x:row>
    <x:row r="118">
      <x:c r="A118" s="7" t="s">
        <x:v>2067</x:v>
      </x:c>
      <x:c r="B118" s="7" t="s">
        <x:v>2068</x:v>
      </x:c>
      <x:c r="C118" s="7" t="s">
        <x:v>2069</x:v>
      </x:c>
      <x:c r="D118" s="7" t="s">
        <x:v>38</x:v>
      </x:c>
      <x:c r="E118" s="7" t="s">
        <x:v>1563</x:v>
      </x:c>
      <x:c r="F118" s="10">
        <x:v>15.42655</x:v>
      </x:c>
      <x:c r="G118" s="10">
        <x:v>100.13471</x:v>
      </x:c>
      <x:c r="H118" s="7" t="s">
        <x:v>1554</x:v>
      </x:c>
      <x:c r="I118" s="10">
        <x:v>20.14</x:v>
      </x:c>
      <x:c r="J118" s="41"/>
      <x:c r="K118" s="41"/>
      <x:c r="L118" s="41"/>
      <x:c r="M118" s="10"/>
      <x:c r="N118" s="7" t="s">
        <x:v>1828</x:v>
      </x:c>
      <x:c r="O118" s="7" t="s">
        <x:v>1539</x:v>
      </x:c>
      <x:c r="P118" s="10">
        <x:v>4.0</x:v>
      </x:c>
      <x:c r="Q118" s="41"/>
      <x:c r="R118" s="10">
        <x:v>12.4</x:v>
      </x:c>
      <x:c r="S118" s="7" t="s">
        <x:v>1540</x:v>
      </x:c>
      <x:c r="T118" s="7" t="b">
        <x:v>0</x:v>
      </x:c>
      <x:c r="U118" s="7" t="s">
        <x:v>1541</x:v>
      </x:c>
      <x:c r="V118" s="26" t="s">
        <x:v>1542</x:v>
      </x:c>
      <x:c r="W118" s="7" t="s">
        <x:v>2070</x:v>
      </x:c>
      <x:c r="X118" s="41"/>
      <x:c r="Y118" s="41"/>
      <x:c r="Z118" s="41"/>
    </x:row>
    <x:row r="119">
      <x:c r="A119" s="7" t="s">
        <x:v>2071</x:v>
      </x:c>
      <x:c r="B119" s="7" t="s">
        <x:v>2072</x:v>
      </x:c>
      <x:c r="C119" s="7" t="s">
        <x:v>2073</x:v>
      </x:c>
      <x:c r="D119" s="7" t="s">
        <x:v>38</x:v>
      </x:c>
      <x:c r="E119" s="7" t="s">
        <x:v>2074</x:v>
      </x:c>
      <x:c r="F119" s="10">
        <x:v>15.85051</x:v>
      </x:c>
      <x:c r="G119" s="10">
        <x:v>100.05206</x:v>
      </x:c>
      <x:c r="H119" s="7" t="s">
        <x:v>1554</x:v>
      </x:c>
      <x:c r="I119" s="10">
        <x:v>30.97</x:v>
      </x:c>
      <x:c r="J119" s="41"/>
      <x:c r="K119" s="41"/>
      <x:c r="L119" s="41"/>
      <x:c r="M119" s="41"/>
      <x:c r="N119" s="7" t="s">
        <x:v>1828</x:v>
      </x:c>
      <x:c r="O119" s="7" t="s">
        <x:v>1539</x:v>
      </x:c>
      <x:c r="P119" s="10">
        <x:v>4.0</x:v>
      </x:c>
      <x:c r="Q119" s="41"/>
      <x:c r="R119" s="10">
        <x:v>12.4</x:v>
      </x:c>
      <x:c r="S119" s="7" t="s">
        <x:v>1540</x:v>
      </x:c>
      <x:c r="T119" s="7" t="b">
        <x:v>0</x:v>
      </x:c>
      <x:c r="U119" s="7" t="s">
        <x:v>1541</x:v>
      </x:c>
      <x:c r="V119" s="26" t="s">
        <x:v>1542</x:v>
      </x:c>
      <x:c r="W119" s="7" t="s">
        <x:v>2075</x:v>
      </x:c>
      <x:c r="X119" s="41"/>
      <x:c r="Y119" s="41"/>
      <x:c r="Z119" s="41"/>
    </x:row>
    <x:row r="120">
      <x:c r="A120" s="7" t="s">
        <x:v>2076</x:v>
      </x:c>
      <x:c r="B120" s="7" t="s">
        <x:v>2077</x:v>
      </x:c>
      <x:c r="C120" s="7" t="s">
        <x:v>2078</x:v>
      </x:c>
      <x:c r="D120" s="7" t="s">
        <x:v>42</x:v>
      </x:c>
      <x:c r="E120" s="7" t="s">
        <x:v>2079</x:v>
      </x:c>
      <x:c r="F120" s="10">
        <x:v>15.41085</x:v>
      </x:c>
      <x:c r="G120" s="10">
        <x:v>100.057068</x:v>
      </x:c>
      <x:c r="H120" s="7" t="s">
        <x:v>1548</x:v>
      </x:c>
      <x:c r="I120" s="10">
        <x:v>20.22</x:v>
      </x:c>
      <x:c r="J120" s="41"/>
      <x:c r="K120" s="41"/>
      <x:c r="L120" s="41"/>
      <x:c r="M120" s="41"/>
      <x:c r="N120" s="7" t="s">
        <x:v>1828</x:v>
      </x:c>
      <x:c r="O120" s="7" t="s">
        <x:v>1539</x:v>
      </x:c>
      <x:c r="P120" s="10">
        <x:v>4.0</x:v>
      </x:c>
      <x:c r="Q120" s="41"/>
      <x:c r="R120" s="10">
        <x:v>82.4</x:v>
      </x:c>
      <x:c r="S120" s="7" t="s">
        <x:v>301</x:v>
      </x:c>
      <x:c r="T120" s="7" t="b">
        <x:v>0</x:v>
      </x:c>
      <x:c r="U120" s="7" t="s">
        <x:v>1541</x:v>
      </x:c>
      <x:c r="V120" s="26" t="s">
        <x:v>1542</x:v>
      </x:c>
      <x:c r="W120" s="7" t="s">
        <x:v>2080</x:v>
      </x:c>
      <x:c r="X120" s="41"/>
      <x:c r="Y120" s="41"/>
      <x:c r="Z120" s="41"/>
    </x:row>
    <x:row r="121">
      <x:c r="A121" s="7" t="s">
        <x:v>2081</x:v>
      </x:c>
      <x:c r="B121" s="7" t="s">
        <x:v>2082</x:v>
      </x:c>
      <x:c r="C121" s="7" t="s">
        <x:v>2083</x:v>
      </x:c>
      <x:c r="D121" s="7" t="s">
        <x:v>38</x:v>
      </x:c>
      <x:c r="E121" s="7" t="s">
        <x:v>2084</x:v>
      </x:c>
      <x:c r="F121" s="10">
        <x:v>15.86918</x:v>
      </x:c>
      <x:c r="G121" s="10">
        <x:v>100.264732</x:v>
      </x:c>
      <x:c r="H121" s="7" t="s">
        <x:v>1548</x:v>
      </x:c>
      <x:c r="I121" s="10">
        <x:v>26.43</x:v>
      </x:c>
      <x:c r="J121" s="41"/>
      <x:c r="K121" s="41"/>
      <x:c r="L121" s="10">
        <x:v>23.3</x:v>
      </x:c>
      <x:c r="M121" s="10">
        <x:v>28.3</x:v>
      </x:c>
      <x:c r="N121" s="7" t="s">
        <x:v>1828</x:v>
      </x:c>
      <x:c r="O121" s="7" t="s">
        <x:v>1539</x:v>
      </x:c>
      <x:c r="P121" s="10">
        <x:v>4.0</x:v>
      </x:c>
      <x:c r="Q121" s="41"/>
      <x:c r="R121" s="10">
        <x:v>82.4</x:v>
      </x:c>
      <x:c r="S121" s="7" t="s">
        <x:v>301</x:v>
      </x:c>
      <x:c r="T121" s="7" t="b">
        <x:v>0</x:v>
      </x:c>
      <x:c r="U121" s="7" t="s">
        <x:v>1541</x:v>
      </x:c>
      <x:c r="V121" s="26" t="s">
        <x:v>1542</x:v>
      </x:c>
      <x:c r="W121" s="7" t="s">
        <x:v>2085</x:v>
      </x:c>
      <x:c r="X121" s="41"/>
      <x:c r="Y121" s="41"/>
      <x:c r="Z121" s="41"/>
    </x:row>
    <x:row r="122">
      <x:c r="A122" s="7" t="s">
        <x:v>2086</x:v>
      </x:c>
      <x:c r="B122" s="7" t="s">
        <x:v>2087</x:v>
      </x:c>
      <x:c r="C122" s="7" t="s">
        <x:v>2088</x:v>
      </x:c>
      <x:c r="D122" s="7" t="s">
        <x:v>224</x:v>
      </x:c>
      <x:c r="E122" s="7" t="s">
        <x:v>1623</x:v>
      </x:c>
      <x:c r="F122" s="10">
        <x:v>13.38362</x:v>
      </x:c>
      <x:c r="G122" s="10">
        <x:v>99.9836</x:v>
      </x:c>
      <x:c r="H122" s="7" t="s">
        <x:v>1554</x:v>
      </x:c>
      <x:c r="I122" s="10">
        <x:v>0.4</x:v>
      </x:c>
      <x:c r="J122" s="41"/>
      <x:c r="K122" s="41"/>
      <x:c r="L122" s="10"/>
      <x:c r="M122" s="10"/>
      <x:c r="N122" s="7" t="s">
        <x:v>1828</x:v>
      </x:c>
      <x:c r="O122" s="7" t="s">
        <x:v>1539</x:v>
      </x:c>
      <x:c r="P122" s="10">
        <x:v>4.0</x:v>
      </x:c>
      <x:c r="Q122" s="41"/>
      <x:c r="R122" s="10">
        <x:v>12.4</x:v>
      </x:c>
      <x:c r="S122" s="7" t="s">
        <x:v>1540</x:v>
      </x:c>
      <x:c r="T122" s="7" t="b">
        <x:v>0</x:v>
      </x:c>
      <x:c r="U122" s="7" t="s">
        <x:v>1541</x:v>
      </x:c>
      <x:c r="V122" s="26" t="s">
        <x:v>1542</x:v>
      </x:c>
      <x:c r="W122" s="7" t="s">
        <x:v>2089</x:v>
      </x:c>
      <x:c r="X122" s="41"/>
      <x:c r="Y122" s="41"/>
      <x:c r="Z122" s="41"/>
    </x:row>
    <x:row r="123">
      <x:c r="A123" s="7" t="s">
        <x:v>2090</x:v>
      </x:c>
      <x:c r="B123" s="7" t="s">
        <x:v>2091</x:v>
      </x:c>
      <x:c r="C123" s="7" t="s">
        <x:v>2092</x:v>
      </x:c>
      <x:c r="D123" s="7" t="s">
        <x:v>249</x:v>
      </x:c>
      <x:c r="E123" s="7" t="s">
        <x:v>2093</x:v>
      </x:c>
      <x:c r="F123" s="10">
        <x:v>9.191764</x:v>
      </x:c>
      <x:c r="G123" s="10">
        <x:v>99.253975</x:v>
      </x:c>
      <x:c r="H123" s="7" t="s">
        <x:v>1554</x:v>
      </x:c>
      <x:c r="I123" s="10">
        <x:v>1.43</x:v>
      </x:c>
      <x:c r="J123" s="41"/>
      <x:c r="K123" s="41"/>
      <x:c r="L123" s="10"/>
      <x:c r="M123" s="10"/>
      <x:c r="N123" s="7" t="s">
        <x:v>1828</x:v>
      </x:c>
      <x:c r="O123" s="7" t="s">
        <x:v>1539</x:v>
      </x:c>
      <x:c r="P123" s="10">
        <x:v>4.0</x:v>
      </x:c>
      <x:c r="Q123" s="41"/>
      <x:c r="R123" s="10">
        <x:v>12.4</x:v>
      </x:c>
      <x:c r="S123" s="7" t="s">
        <x:v>1540</x:v>
      </x:c>
      <x:c r="T123" s="7" t="b">
        <x:v>0</x:v>
      </x:c>
      <x:c r="U123" s="7" t="s">
        <x:v>1541</x:v>
      </x:c>
      <x:c r="V123" s="26" t="s">
        <x:v>1542</x:v>
      </x:c>
      <x:c r="W123" s="7" t="s">
        <x:v>2094</x:v>
      </x:c>
      <x:c r="X123" s="41"/>
      <x:c r="Y123" s="41"/>
      <x:c r="Z123" s="41"/>
    </x:row>
    <x:row r="124">
      <x:c r="A124" s="7" t="s">
        <x:v>2095</x:v>
      </x:c>
      <x:c r="B124" s="7" t="s">
        <x:v>2096</x:v>
      </x:c>
      <x:c r="C124" s="7" t="s">
        <x:v>2097</x:v>
      </x:c>
      <x:c r="D124" s="7" t="s">
        <x:v>68</x:v>
      </x:c>
      <x:c r="E124" s="7" t="s">
        <x:v>2097</x:v>
      </x:c>
      <x:c r="F124" s="10">
        <x:v>14.16476</x:v>
      </x:c>
      <x:c r="G124" s="10">
        <x:v>100.30725</x:v>
      </x:c>
      <x:c r="H124" s="7" t="s">
        <x:v>1554</x:v>
      </x:c>
      <x:c r="I124" s="10">
        <x:v>2.93</x:v>
      </x:c>
      <x:c r="J124" s="41"/>
      <x:c r="K124" s="41"/>
      <x:c r="L124" s="10"/>
      <x:c r="M124" s="10"/>
      <x:c r="N124" s="7" t="s">
        <x:v>1828</x:v>
      </x:c>
      <x:c r="O124" s="7" t="s">
        <x:v>1539</x:v>
      </x:c>
      <x:c r="P124" s="10">
        <x:v>4.0</x:v>
      </x:c>
      <x:c r="Q124" s="41"/>
      <x:c r="R124" s="10">
        <x:v>12.4</x:v>
      </x:c>
      <x:c r="S124" s="7" t="s">
        <x:v>1540</x:v>
      </x:c>
      <x:c r="T124" s="7" t="b">
        <x:v>0</x:v>
      </x:c>
      <x:c r="U124" s="7" t="s">
        <x:v>1541</x:v>
      </x:c>
      <x:c r="V124" s="26" t="s">
        <x:v>1542</x:v>
      </x:c>
      <x:c r="W124" s="7" t="s">
        <x:v>2098</x:v>
      </x:c>
      <x:c r="X124" s="41"/>
      <x:c r="Y124" s="41"/>
      <x:c r="Z124" s="41"/>
    </x:row>
    <x:row r="125">
      <x:c r="A125" s="7" t="s">
        <x:v>2099</x:v>
      </x:c>
      <x:c r="B125" s="7" t="s">
        <x:v>2100</x:v>
      </x:c>
      <x:c r="C125" s="7" t="s">
        <x:v>2101</x:v>
      </x:c>
      <x:c r="D125" s="7" t="s">
        <x:v>46</x:v>
      </x:c>
      <x:c r="E125" s="7" t="s">
        <x:v>2102</x:v>
      </x:c>
      <x:c r="F125" s="10">
        <x:v>14.818599</x:v>
      </x:c>
      <x:c r="G125" s="10">
        <x:v>100.576515</x:v>
      </x:c>
      <x:c r="H125" s="7" t="s">
        <x:v>2103</x:v>
      </x:c>
      <x:c r="I125" s="10">
        <x:v>7.06</x:v>
      </x:c>
      <x:c r="J125" s="41"/>
      <x:c r="K125" s="41"/>
      <x:c r="L125" s="10"/>
      <x:c r="M125" s="10"/>
      <x:c r="N125" s="7" t="s">
        <x:v>1828</x:v>
      </x:c>
      <x:c r="O125" s="7" t="s">
        <x:v>1539</x:v>
      </x:c>
      <x:c r="P125" s="10">
        <x:v>4.0</x:v>
      </x:c>
      <x:c r="Q125" s="41"/>
      <x:c r="R125" s="10">
        <x:v>32.4</x:v>
      </x:c>
      <x:c r="S125" s="7" t="s">
        <x:v>1540</x:v>
      </x:c>
      <x:c r="T125" s="7" t="b">
        <x:v>0</x:v>
      </x:c>
      <x:c r="U125" s="7" t="s">
        <x:v>1541</x:v>
      </x:c>
      <x:c r="V125" s="26" t="s">
        <x:v>1542</x:v>
      </x:c>
      <x:c r="W125" s="7" t="s">
        <x:v>2104</x:v>
      </x:c>
      <x:c r="X125" s="41"/>
      <x:c r="Y125" s="41"/>
      <x:c r="Z125" s="41"/>
    </x:row>
    <x:row r="126">
      <x:c r="A126" s="7" t="s">
        <x:v>2105</x:v>
      </x:c>
      <x:c r="B126" s="7" t="s">
        <x:v>2106</x:v>
      </x:c>
      <x:c r="C126" s="7" t="s">
        <x:v>2107</x:v>
      </x:c>
      <x:c r="D126" s="7" t="s">
        <x:v>94</x:v>
      </x:c>
      <x:c r="E126" s="7" t="s">
        <x:v>1612</x:v>
      </x:c>
      <x:c r="F126" s="10">
        <x:v>13.54901</x:v>
      </x:c>
      <x:c r="G126" s="10">
        <x:v>101.00111</x:v>
      </x:c>
      <x:c r="H126" s="7" t="s">
        <x:v>1554</x:v>
      </x:c>
      <x:c r="I126" s="10">
        <x:v>0.1</x:v>
      </x:c>
      <x:c r="J126" s="41"/>
      <x:c r="K126" s="41"/>
      <x:c r="L126" s="10"/>
      <x:c r="M126" s="10"/>
      <x:c r="N126" s="7" t="s">
        <x:v>1828</x:v>
      </x:c>
      <x:c r="O126" s="7" t="s">
        <x:v>1539</x:v>
      </x:c>
      <x:c r="P126" s="10">
        <x:v>4.0</x:v>
      </x:c>
      <x:c r="Q126" s="41"/>
      <x:c r="R126" s="10">
        <x:v>12.4</x:v>
      </x:c>
      <x:c r="S126" s="7" t="s">
        <x:v>1540</x:v>
      </x:c>
      <x:c r="T126" s="7" t="b">
        <x:v>0</x:v>
      </x:c>
      <x:c r="U126" s="7" t="s">
        <x:v>1541</x:v>
      </x:c>
      <x:c r="V126" s="26" t="s">
        <x:v>1542</x:v>
      </x:c>
      <x:c r="W126" s="7" t="s">
        <x:v>2108</x:v>
      </x:c>
      <x:c r="X126" s="41"/>
      <x:c r="Y126" s="41"/>
      <x:c r="Z126" s="41"/>
    </x:row>
    <x:row r="127">
      <x:c r="A127" s="7" t="s">
        <x:v>2109</x:v>
      </x:c>
      <x:c r="B127" s="7" t="s">
        <x:v>2110</x:v>
      </x:c>
      <x:c r="C127" s="7" t="s">
        <x:v>2111</x:v>
      </x:c>
      <x:c r="D127" s="7" t="s">
        <x:v>248</x:v>
      </x:c>
      <x:c r="E127" s="7" t="s">
        <x:v>2112</x:v>
      </x:c>
      <x:c r="F127" s="10">
        <x:v>8.42915</x:v>
      </x:c>
      <x:c r="G127" s="10">
        <x:v>99.508362</x:v>
      </x:c>
      <x:c r="H127" s="7" t="s">
        <x:v>1548</x:v>
      </x:c>
      <x:c r="I127" s="10">
        <x:v>23.75</x:v>
      </x:c>
      <x:c r="J127" s="41"/>
      <x:c r="K127" s="41"/>
      <x:c r="L127" s="41"/>
      <x:c r="M127" s="41"/>
      <x:c r="N127" s="7" t="s">
        <x:v>1828</x:v>
      </x:c>
      <x:c r="O127" s="7" t="s">
        <x:v>1539</x:v>
      </x:c>
      <x:c r="P127" s="10">
        <x:v>4.0</x:v>
      </x:c>
      <x:c r="Q127" s="41"/>
      <x:c r="R127" s="10">
        <x:v>82.4</x:v>
      </x:c>
      <x:c r="S127" s="7" t="s">
        <x:v>301</x:v>
      </x:c>
      <x:c r="T127" s="7" t="b">
        <x:v>0</x:v>
      </x:c>
      <x:c r="U127" s="7" t="s">
        <x:v>1541</x:v>
      </x:c>
      <x:c r="V127" s="26" t="s">
        <x:v>1542</x:v>
      </x:c>
      <x:c r="W127" s="7" t="s">
        <x:v>2113</x:v>
      </x:c>
      <x:c r="X127" s="41"/>
      <x:c r="Y127" s="41"/>
      <x:c r="Z127" s="41"/>
    </x:row>
    <x:row r="128">
      <x:c r="A128" s="7" t="s">
        <x:v>2114</x:v>
      </x:c>
      <x:c r="B128" s="7" t="s">
        <x:v>2115</x:v>
      </x:c>
      <x:c r="C128" s="7" t="s">
        <x:v>2116</x:v>
      </x:c>
      <x:c r="D128" s="7" t="s">
        <x:v>91</x:v>
      </x:c>
      <x:c r="E128" s="7" t="s">
        <x:v>1680</x:v>
      </x:c>
      <x:c r="F128" s="10">
        <x:v>14.10461</x:v>
      </x:c>
      <x:c r="G128" s="10">
        <x:v>101.744179</x:v>
      </x:c>
      <x:c r="H128" s="7" t="s">
        <x:v>1548</x:v>
      </x:c>
      <x:c r="I128" s="10">
        <x:v>9.97</x:v>
      </x:c>
      <x:c r="J128" s="41"/>
      <x:c r="K128" s="41"/>
      <x:c r="L128" s="41"/>
      <x:c r="M128" s="41"/>
      <x:c r="N128" s="7" t="s">
        <x:v>1828</x:v>
      </x:c>
      <x:c r="O128" s="7" t="s">
        <x:v>1539</x:v>
      </x:c>
      <x:c r="P128" s="10">
        <x:v>4.0</x:v>
      </x:c>
      <x:c r="Q128" s="41"/>
      <x:c r="R128" s="10">
        <x:v>82.4</x:v>
      </x:c>
      <x:c r="S128" s="7" t="s">
        <x:v>301</x:v>
      </x:c>
      <x:c r="T128" s="7" t="b">
        <x:v>0</x:v>
      </x:c>
      <x:c r="U128" s="7" t="s">
        <x:v>1541</x:v>
      </x:c>
      <x:c r="V128" s="26" t="s">
        <x:v>1542</x:v>
      </x:c>
      <x:c r="W128" s="7" t="s">
        <x:v>2117</x:v>
      </x:c>
      <x:c r="X128" s="41"/>
      <x:c r="Y128" s="41"/>
      <x:c r="Z128" s="41"/>
    </x:row>
    <x:row r="129">
      <x:c r="A129" s="7" t="s">
        <x:v>2118</x:v>
      </x:c>
      <x:c r="B129" s="7" t="s">
        <x:v>2119</x:v>
      </x:c>
      <x:c r="C129" s="7" t="s">
        <x:v>2120</x:v>
      </x:c>
      <x:c r="D129" s="7" t="s">
        <x:v>52</x:v>
      </x:c>
      <x:c r="E129" s="7"/>
      <x:c r="F129" s="10">
        <x:v>14.815288</x:v>
      </x:c>
      <x:c r="G129" s="10">
        <x:v>100.36448</x:v>
      </x:c>
      <x:c r="H129" s="7" t="s">
        <x:v>1554</x:v>
      </x:c>
      <x:c r="I129" s="10">
        <x:v>8.84</x:v>
      </x:c>
      <x:c r="J129" s="41"/>
      <x:c r="K129" s="41"/>
      <x:c r="L129" s="41"/>
      <x:c r="M129" s="41"/>
      <x:c r="N129" s="7" t="s">
        <x:v>1828</x:v>
      </x:c>
      <x:c r="O129" s="7" t="s">
        <x:v>1539</x:v>
      </x:c>
      <x:c r="P129" s="10">
        <x:v>4.0</x:v>
      </x:c>
      <x:c r="Q129" s="41"/>
      <x:c r="R129" s="10">
        <x:v>12.4</x:v>
      </x:c>
      <x:c r="S129" s="7" t="s">
        <x:v>1540</x:v>
      </x:c>
      <x:c r="T129" s="7" t="b">
        <x:v>0</x:v>
      </x:c>
      <x:c r="U129" s="7" t="s">
        <x:v>1541</x:v>
      </x:c>
      <x:c r="V129" s="26" t="s">
        <x:v>1542</x:v>
      </x:c>
      <x:c r="W129" s="7" t="s">
        <x:v>2121</x:v>
      </x:c>
      <x:c r="X129" s="41"/>
      <x:c r="Y129" s="41"/>
      <x:c r="Z129" s="41"/>
    </x:row>
    <x:row r="130">
      <x:c r="A130" s="7" t="s">
        <x:v>2122</x:v>
      </x:c>
      <x:c r="B130" s="7" t="s">
        <x:v>2123</x:v>
      </x:c>
      <x:c r="C130" s="7" t="s">
        <x:v>2124</x:v>
      </x:c>
      <x:c r="D130" s="7" t="s">
        <x:v>122</x:v>
      </x:c>
      <x:c r="E130" s="7" t="s">
        <x:v>2032</x:v>
      </x:c>
      <x:c r="F130" s="10">
        <x:v>14.74504</x:v>
      </x:c>
      <x:c r="G130" s="10">
        <x:v>102.211777</x:v>
      </x:c>
      <x:c r="H130" s="7" t="s">
        <x:v>1548</x:v>
      </x:c>
      <x:c r="I130" s="10">
        <x:v>181.55</x:v>
      </x:c>
      <x:c r="J130" s="41"/>
      <x:c r="K130" s="41"/>
      <x:c r="L130" s="41"/>
      <x:c r="M130" s="41"/>
      <x:c r="N130" s="7" t="s">
        <x:v>1828</x:v>
      </x:c>
      <x:c r="O130" s="7" t="s">
        <x:v>1539</x:v>
      </x:c>
      <x:c r="P130" s="10">
        <x:v>4.0</x:v>
      </x:c>
      <x:c r="Q130" s="41"/>
      <x:c r="R130" s="10">
        <x:v>82.4</x:v>
      </x:c>
      <x:c r="S130" s="7" t="s">
        <x:v>301</x:v>
      </x:c>
      <x:c r="T130" s="7" t="b">
        <x:v>0</x:v>
      </x:c>
      <x:c r="U130" s="7" t="s">
        <x:v>1541</x:v>
      </x:c>
      <x:c r="V130" s="26" t="s">
        <x:v>1542</x:v>
      </x:c>
      <x:c r="W130" s="7" t="s">
        <x:v>2125</x:v>
      </x:c>
      <x:c r="X130" s="41"/>
      <x:c r="Y130" s="41"/>
      <x:c r="Z130" s="41"/>
    </x:row>
    <x:row r="131">
      <x:c r="A131" s="7" t="s">
        <x:v>2126</x:v>
      </x:c>
      <x:c r="B131" s="7" t="s">
        <x:v>2127</x:v>
      </x:c>
      <x:c r="C131" s="7" t="s">
        <x:v>2128</x:v>
      </x:c>
      <x:c r="D131" s="7" t="s">
        <x:v>38</x:v>
      </x:c>
      <x:c r="E131" s="7" t="s">
        <x:v>2074</x:v>
      </x:c>
      <x:c r="F131" s="10">
        <x:v>15.93539</x:v>
      </x:c>
      <x:c r="G131" s="10">
        <x:v>99.976089</x:v>
      </x:c>
      <x:c r="H131" s="7" t="s">
        <x:v>1548</x:v>
      </x:c>
      <x:c r="I131" s="10">
        <x:v>37.3</x:v>
      </x:c>
      <x:c r="J131" s="41"/>
      <x:c r="K131" s="41"/>
      <x:c r="L131" s="41"/>
      <x:c r="M131" s="10">
        <x:v>38.08</x:v>
      </x:c>
      <x:c r="N131" s="7" t="s">
        <x:v>1828</x:v>
      </x:c>
      <x:c r="O131" s="7" t="s">
        <x:v>1539</x:v>
      </x:c>
      <x:c r="P131" s="10">
        <x:v>4.0</x:v>
      </x:c>
      <x:c r="Q131" s="41"/>
      <x:c r="R131" s="10">
        <x:v>82.4</x:v>
      </x:c>
      <x:c r="S131" s="7" t="s">
        <x:v>301</x:v>
      </x:c>
      <x:c r="T131" s="7" t="b">
        <x:v>0</x:v>
      </x:c>
      <x:c r="U131" s="7" t="s">
        <x:v>1541</x:v>
      </x:c>
      <x:c r="V131" s="26" t="s">
        <x:v>1542</x:v>
      </x:c>
      <x:c r="W131" s="7" t="s">
        <x:v>2129</x:v>
      </x:c>
      <x:c r="X131" s="41"/>
      <x:c r="Y131" s="41"/>
      <x:c r="Z131" s="41"/>
    </x:row>
    <x:row r="132">
      <x:c r="A132" s="7" t="s">
        <x:v>2130</x:v>
      </x:c>
      <x:c r="B132" s="7" t="s">
        <x:v>2131</x:v>
      </x:c>
      <x:c r="C132" s="7" t="s">
        <x:v>2132</x:v>
      </x:c>
      <x:c r="D132" s="7" t="s">
        <x:v>260</x:v>
      </x:c>
      <x:c r="E132" s="7" t="s">
        <x:v>2133</x:v>
      </x:c>
      <x:c r="F132" s="10">
        <x:v>6.1525</x:v>
      </x:c>
      <x:c r="G132" s="10">
        <x:v>101.080902</x:v>
      </x:c>
      <x:c r="H132" s="7" t="s">
        <x:v>1548</x:v>
      </x:c>
      <x:c r="I132" s="10">
        <x:v>35.19</x:v>
      </x:c>
      <x:c r="J132" s="41"/>
      <x:c r="K132" s="41"/>
      <x:c r="L132" s="41"/>
      <x:c r="M132" s="10"/>
      <x:c r="N132" s="7" t="s">
        <x:v>1828</x:v>
      </x:c>
      <x:c r="O132" s="7" t="s">
        <x:v>1539</x:v>
      </x:c>
      <x:c r="P132" s="10">
        <x:v>4.0</x:v>
      </x:c>
      <x:c r="Q132" s="41"/>
      <x:c r="R132" s="10">
        <x:v>82.4</x:v>
      </x:c>
      <x:c r="S132" s="7" t="s">
        <x:v>301</x:v>
      </x:c>
      <x:c r="T132" s="7" t="b">
        <x:v>0</x:v>
      </x:c>
      <x:c r="U132" s="7" t="s">
        <x:v>1541</x:v>
      </x:c>
      <x:c r="V132" s="26" t="s">
        <x:v>1542</x:v>
      </x:c>
      <x:c r="W132" s="7" t="s">
        <x:v>2134</x:v>
      </x:c>
      <x:c r="X132" s="41"/>
      <x:c r="Y132" s="41"/>
      <x:c r="Z132" s="41"/>
    </x:row>
    <x:row r="133">
      <x:c r="A133" s="7" t="s">
        <x:v>2135</x:v>
      </x:c>
      <x:c r="B133" s="7" t="s">
        <x:v>2136</x:v>
      </x:c>
      <x:c r="C133" s="7" t="s">
        <x:v>2137</x:v>
      </x:c>
      <x:c r="D133" s="7" t="s">
        <x:v>229</x:v>
      </x:c>
      <x:c r="E133" s="7" t="s">
        <x:v>1858</x:v>
      </x:c>
      <x:c r="F133" s="10">
        <x:v>16.48883</x:v>
      </x:c>
      <x:c r="G133" s="10">
        <x:v>102.41904</x:v>
      </x:c>
      <x:c r="H133" s="7" t="s">
        <x:v>1554</x:v>
      </x:c>
      <x:c r="I133" s="10">
        <x:v>182.21</x:v>
      </x:c>
      <x:c r="J133" s="41"/>
      <x:c r="K133" s="41"/>
      <x:c r="L133" s="41"/>
      <x:c r="M133" s="41"/>
      <x:c r="N133" s="7" t="s">
        <x:v>1828</x:v>
      </x:c>
      <x:c r="O133" s="7" t="s">
        <x:v>1539</x:v>
      </x:c>
      <x:c r="P133" s="10">
        <x:v>4.0</x:v>
      </x:c>
      <x:c r="Q133" s="41"/>
      <x:c r="R133" s="10">
        <x:v>12.4</x:v>
      </x:c>
      <x:c r="S133" s="7" t="s">
        <x:v>1540</x:v>
      </x:c>
      <x:c r="T133" s="7" t="b">
        <x:v>0</x:v>
      </x:c>
      <x:c r="U133" s="7" t="s">
        <x:v>1541</x:v>
      </x:c>
      <x:c r="V133" s="26" t="s">
        <x:v>1542</x:v>
      </x:c>
      <x:c r="W133" s="7" t="s">
        <x:v>2138</x:v>
      </x:c>
      <x:c r="X133" s="41"/>
      <x:c r="Y133" s="41"/>
      <x:c r="Z133" s="41"/>
    </x:row>
    <x:row r="134">
      <x:c r="A134" s="7" t="s">
        <x:v>2139</x:v>
      </x:c>
      <x:c r="B134" s="7" t="s">
        <x:v>2140</x:v>
      </x:c>
      <x:c r="C134" s="7" t="s">
        <x:v>2141</x:v>
      </x:c>
      <x:c r="D134" s="7" t="s">
        <x:v>58</x:v>
      </x:c>
      <x:c r="E134" s="7" t="s">
        <x:v>1837</x:v>
      </x:c>
      <x:c r="F134" s="10">
        <x:v>14.06024</x:v>
      </x:c>
      <x:c r="G134" s="10">
        <x:v>99.44414</x:v>
      </x:c>
      <x:c r="H134" s="7" t="s">
        <x:v>1658</x:v>
      </x:c>
      <x:c r="I134" s="10">
        <x:v>26.34</x:v>
      </x:c>
      <x:c r="J134" s="41"/>
      <x:c r="K134" s="41"/>
      <x:c r="L134" s="41"/>
      <x:c r="M134" s="10">
        <x:v>27.0</x:v>
      </x:c>
      <x:c r="N134" s="7" t="s">
        <x:v>1828</x:v>
      </x:c>
      <x:c r="O134" s="7" t="s">
        <x:v>1539</x:v>
      </x:c>
      <x:c r="P134" s="10">
        <x:v>4.0</x:v>
      </x:c>
      <x:c r="Q134" s="41"/>
      <x:c r="R134" s="10">
        <x:v>22.4</x:v>
      </x:c>
      <x:c r="S134" s="7" t="s">
        <x:v>1540</x:v>
      </x:c>
      <x:c r="T134" s="7" t="b">
        <x:v>0</x:v>
      </x:c>
      <x:c r="U134" s="7" t="s">
        <x:v>1541</x:v>
      </x:c>
      <x:c r="V134" s="26" t="s">
        <x:v>1542</x:v>
      </x:c>
      <x:c r="W134" s="7" t="s">
        <x:v>2142</x:v>
      </x:c>
      <x:c r="X134" s="41"/>
      <x:c r="Y134" s="41"/>
      <x:c r="Z134" s="41"/>
    </x:row>
    <x:row r="135">
      <x:c r="A135" s="7" t="s">
        <x:v>2143</x:v>
      </x:c>
      <x:c r="B135" s="7" t="s">
        <x:v>2144</x:v>
      </x:c>
      <x:c r="C135" s="7" t="s">
        <x:v>2145</x:v>
      </x:c>
      <x:c r="D135" s="7" t="s">
        <x:v>71</x:v>
      </x:c>
      <x:c r="E135" s="7" t="s">
        <x:v>2146</x:v>
      </x:c>
      <x:c r="F135" s="10">
        <x:v>13.689612</x:v>
      </x:c>
      <x:c r="G135" s="10">
        <x:v>100.554886</x:v>
      </x:c>
      <x:c r="H135" s="7" t="s">
        <x:v>1554</x:v>
      </x:c>
      <x:c r="I135" s="10">
        <x:v>0.91</x:v>
      </x:c>
      <x:c r="J135" s="41"/>
      <x:c r="K135" s="41"/>
      <x:c r="L135" s="41"/>
      <x:c r="M135" s="41"/>
      <x:c r="N135" s="7" t="s">
        <x:v>1828</x:v>
      </x:c>
      <x:c r="O135" s="7" t="s">
        <x:v>1539</x:v>
      </x:c>
      <x:c r="P135" s="10">
        <x:v>4.0</x:v>
      </x:c>
      <x:c r="Q135" s="41"/>
      <x:c r="R135" s="10">
        <x:v>12.4</x:v>
      </x:c>
      <x:c r="S135" s="7" t="s">
        <x:v>1540</x:v>
      </x:c>
      <x:c r="T135" s="7" t="b">
        <x:v>0</x:v>
      </x:c>
      <x:c r="U135" s="7" t="s">
        <x:v>1541</x:v>
      </x:c>
      <x:c r="V135" s="26" t="s">
        <x:v>1542</x:v>
      </x:c>
      <x:c r="W135" s="7" t="s">
        <x:v>2147</x:v>
      </x:c>
      <x:c r="X135" s="41"/>
      <x:c r="Y135" s="41"/>
      <x:c r="Z135" s="41"/>
    </x:row>
    <x:row r="136">
      <x:c r="A136" s="7" t="s">
        <x:v>2148</x:v>
      </x:c>
      <x:c r="B136" s="7" t="s">
        <x:v>2149</x:v>
      </x:c>
      <x:c r="C136" s="7" t="s">
        <x:v>2150</x:v>
      </x:c>
      <x:c r="D136" s="7" t="s">
        <x:v>38</x:v>
      </x:c>
      <x:c r="E136" s="7" t="s">
        <x:v>1563</x:v>
      </x:c>
      <x:c r="F136" s="10">
        <x:v>15.68849</x:v>
      </x:c>
      <x:c r="G136" s="10">
        <x:v>100.12381</x:v>
      </x:c>
      <x:c r="H136" s="7" t="s">
        <x:v>1554</x:v>
      </x:c>
      <x:c r="I136" s="10">
        <x:v>23.68</x:v>
      </x:c>
      <x:c r="J136" s="41"/>
      <x:c r="K136" s="41"/>
      <x:c r="L136" s="41"/>
      <x:c r="M136" s="41"/>
      <x:c r="N136" s="7" t="s">
        <x:v>1828</x:v>
      </x:c>
      <x:c r="O136" s="7" t="s">
        <x:v>1539</x:v>
      </x:c>
      <x:c r="P136" s="10">
        <x:v>4.0</x:v>
      </x:c>
      <x:c r="Q136" s="41"/>
      <x:c r="R136" s="10">
        <x:v>12.4</x:v>
      </x:c>
      <x:c r="S136" s="7" t="s">
        <x:v>1540</x:v>
      </x:c>
      <x:c r="T136" s="7" t="b">
        <x:v>0</x:v>
      </x:c>
      <x:c r="U136" s="7" t="s">
        <x:v>1541</x:v>
      </x:c>
      <x:c r="V136" s="26" t="s">
        <x:v>1542</x:v>
      </x:c>
      <x:c r="W136" s="7" t="s">
        <x:v>2151</x:v>
      </x:c>
      <x:c r="X136" s="41"/>
      <x:c r="Y136" s="41"/>
      <x:c r="Z136" s="41"/>
    </x:row>
    <x:row r="137">
      <x:c r="A137" s="7" t="s">
        <x:v>2152</x:v>
      </x:c>
      <x:c r="B137" s="7" t="s">
        <x:v>2153</x:v>
      </x:c>
      <x:c r="C137" s="7" t="s">
        <x:v>2154</x:v>
      </x:c>
      <x:c r="D137" s="7" t="s">
        <x:v>223</x:v>
      </x:c>
      <x:c r="E137" s="7" t="s">
        <x:v>2155</x:v>
      </x:c>
      <x:c r="F137" s="10">
        <x:v>13.57563</x:v>
      </x:c>
      <x:c r="G137" s="10">
        <x:v>100.07884</x:v>
      </x:c>
      <x:c r="H137" s="7" t="s">
        <x:v>1554</x:v>
      </x:c>
      <x:c r="I137" s="10">
        <x:v>0.53</x:v>
      </x:c>
      <x:c r="J137" s="41"/>
      <x:c r="K137" s="41"/>
      <x:c r="L137" s="41"/>
      <x:c r="M137" s="41"/>
      <x:c r="N137" s="7" t="s">
        <x:v>1828</x:v>
      </x:c>
      <x:c r="O137" s="7" t="s">
        <x:v>1539</x:v>
      </x:c>
      <x:c r="P137" s="10">
        <x:v>4.0</x:v>
      </x:c>
      <x:c r="Q137" s="41"/>
      <x:c r="R137" s="10">
        <x:v>12.4</x:v>
      </x:c>
      <x:c r="S137" s="7" t="s">
        <x:v>1540</x:v>
      </x:c>
      <x:c r="T137" s="7" t="b">
        <x:v>0</x:v>
      </x:c>
      <x:c r="U137" s="7" t="s">
        <x:v>1541</x:v>
      </x:c>
      <x:c r="V137" s="26" t="s">
        <x:v>1542</x:v>
      </x:c>
      <x:c r="W137" s="7" t="s">
        <x:v>2156</x:v>
      </x:c>
      <x:c r="X137" s="41"/>
      <x:c r="Y137" s="41"/>
      <x:c r="Z137" s="41"/>
    </x:row>
    <x:row r="138">
      <x:c r="A138" s="7" t="s">
        <x:v>2157</x:v>
      </x:c>
      <x:c r="B138" s="7" t="s">
        <x:v>2158</x:v>
      </x:c>
      <x:c r="C138" s="7" t="s">
        <x:v>2159</x:v>
      </x:c>
      <x:c r="D138" s="7" t="s">
        <x:v>88</x:v>
      </x:c>
      <x:c r="E138" s="7" t="s">
        <x:v>1762</x:v>
      </x:c>
      <x:c r="F138" s="10">
        <x:v>14.20048</x:v>
      </x:c>
      <x:c r="G138" s="10">
        <x:v>101.219307</x:v>
      </x:c>
      <x:c r="H138" s="7" t="s">
        <x:v>1548</x:v>
      </x:c>
      <x:c r="I138" s="10">
        <x:v>6.9</x:v>
      </x:c>
      <x:c r="J138" s="41"/>
      <x:c r="K138" s="41"/>
      <x:c r="L138" s="41"/>
      <x:c r="M138" s="41"/>
      <x:c r="N138" s="7" t="s">
        <x:v>1828</x:v>
      </x:c>
      <x:c r="O138" s="7" t="s">
        <x:v>1539</x:v>
      </x:c>
      <x:c r="P138" s="10">
        <x:v>4.0</x:v>
      </x:c>
      <x:c r="Q138" s="41"/>
      <x:c r="R138" s="10">
        <x:v>82.4</x:v>
      </x:c>
      <x:c r="S138" s="7" t="s">
        <x:v>301</x:v>
      </x:c>
      <x:c r="T138" s="7" t="b">
        <x:v>0</x:v>
      </x:c>
      <x:c r="U138" s="7" t="s">
        <x:v>1541</x:v>
      </x:c>
      <x:c r="V138" s="26" t="s">
        <x:v>1542</x:v>
      </x:c>
      <x:c r="W138" s="7" t="s">
        <x:v>2160</x:v>
      </x:c>
      <x:c r="X138" s="41"/>
      <x:c r="Y138" s="41"/>
      <x:c r="Z138" s="41"/>
    </x:row>
    <x:row r="139">
      <x:c r="A139" s="7" t="s">
        <x:v>2161</x:v>
      </x:c>
      <x:c r="B139" s="7" t="s">
        <x:v>2162</x:v>
      </x:c>
      <x:c r="C139" s="7" t="s">
        <x:v>2163</x:v>
      </x:c>
      <x:c r="D139" s="7" t="s">
        <x:v>249</x:v>
      </x:c>
      <x:c r="E139" s="7" t="s">
        <x:v>2112</x:v>
      </x:c>
      <x:c r="F139" s="10">
        <x:v>9.131233</x:v>
      </x:c>
      <x:c r="G139" s="10">
        <x:v>99.25885</x:v>
      </x:c>
      <x:c r="H139" s="7" t="s">
        <x:v>1554</x:v>
      </x:c>
      <x:c r="I139" s="10">
        <x:v>1.2</x:v>
      </x:c>
      <x:c r="J139" s="41"/>
      <x:c r="K139" s="41"/>
      <x:c r="L139" s="41"/>
      <x:c r="M139" s="10"/>
      <x:c r="N139" s="7" t="s">
        <x:v>1828</x:v>
      </x:c>
      <x:c r="O139" s="7" t="s">
        <x:v>1539</x:v>
      </x:c>
      <x:c r="P139" s="10">
        <x:v>4.0</x:v>
      </x:c>
      <x:c r="Q139" s="41"/>
      <x:c r="R139" s="10">
        <x:v>12.4</x:v>
      </x:c>
      <x:c r="S139" s="7" t="s">
        <x:v>1540</x:v>
      </x:c>
      <x:c r="T139" s="7" t="b">
        <x:v>0</x:v>
      </x:c>
      <x:c r="U139" s="7" t="s">
        <x:v>1541</x:v>
      </x:c>
      <x:c r="V139" s="26" t="s">
        <x:v>1542</x:v>
      </x:c>
      <x:c r="W139" s="7" t="s">
        <x:v>2164</x:v>
      </x:c>
      <x:c r="X139" s="41"/>
      <x:c r="Y139" s="41"/>
      <x:c r="Z139" s="41"/>
    </x:row>
    <x:row r="140">
      <x:c r="A140" s="7" t="s">
        <x:v>2165</x:v>
      </x:c>
      <x:c r="B140" s="7" t="s">
        <x:v>2166</x:v>
      </x:c>
      <x:c r="C140" s="7" t="s">
        <x:v>2167</x:v>
      </x:c>
      <x:c r="D140" s="7" t="s">
        <x:v>46</x:v>
      </x:c>
      <x:c r="E140" s="7" t="s">
        <x:v>2168</x:v>
      </x:c>
      <x:c r="F140" s="10">
        <x:v>15.082755</x:v>
      </x:c>
      <x:c r="G140" s="10">
        <x:v>100.554504</x:v>
      </x:c>
      <x:c r="H140" s="7" t="s">
        <x:v>1554</x:v>
      </x:c>
      <x:c r="I140" s="10">
        <x:v>13.38</x:v>
      </x:c>
      <x:c r="J140" s="41"/>
      <x:c r="K140" s="41"/>
      <x:c r="L140" s="41"/>
      <x:c r="M140" s="10"/>
      <x:c r="N140" s="7" t="s">
        <x:v>1828</x:v>
      </x:c>
      <x:c r="O140" s="7" t="s">
        <x:v>1539</x:v>
      </x:c>
      <x:c r="P140" s="10">
        <x:v>4.0</x:v>
      </x:c>
      <x:c r="Q140" s="41"/>
      <x:c r="R140" s="10">
        <x:v>12.4</x:v>
      </x:c>
      <x:c r="S140" s="7" t="s">
        <x:v>1540</x:v>
      </x:c>
      <x:c r="T140" s="7" t="b">
        <x:v>0</x:v>
      </x:c>
      <x:c r="U140" s="7" t="s">
        <x:v>1541</x:v>
      </x:c>
      <x:c r="V140" s="26" t="s">
        <x:v>1542</x:v>
      </x:c>
      <x:c r="W140" s="7" t="s">
        <x:v>2169</x:v>
      </x:c>
      <x:c r="X140" s="41"/>
      <x:c r="Y140" s="41"/>
      <x:c r="Z140" s="41"/>
    </x:row>
    <x:row r="141">
      <x:c r="A141" s="7" t="s">
        <x:v>2170</x:v>
      </x:c>
      <x:c r="B141" s="7" t="s">
        <x:v>2171</x:v>
      </x:c>
      <x:c r="C141" s="7" t="s">
        <x:v>2172</x:v>
      </x:c>
      <x:c r="D141" s="7" t="s">
        <x:v>211</x:v>
      </x:c>
      <x:c r="E141" s="7" t="s">
        <x:v>2173</x:v>
      </x:c>
      <x:c r="F141" s="10">
        <x:v>19.15985</x:v>
      </x:c>
      <x:c r="G141" s="10">
        <x:v>99.91412</x:v>
      </x:c>
      <x:c r="H141" s="7" t="s">
        <x:v>1554</x:v>
      </x:c>
      <x:c r="I141" s="10">
        <x:v>391.82</x:v>
      </x:c>
      <x:c r="J141" s="41"/>
      <x:c r="K141" s="41"/>
      <x:c r="L141" s="41"/>
      <x:c r="M141" s="10"/>
      <x:c r="N141" s="7" t="s">
        <x:v>1828</x:v>
      </x:c>
      <x:c r="O141" s="7" t="s">
        <x:v>1539</x:v>
      </x:c>
      <x:c r="P141" s="10">
        <x:v>4.0</x:v>
      </x:c>
      <x:c r="Q141" s="41"/>
      <x:c r="R141" s="10">
        <x:v>12.4</x:v>
      </x:c>
      <x:c r="S141" s="7" t="s">
        <x:v>1540</x:v>
      </x:c>
      <x:c r="T141" s="7" t="b">
        <x:v>0</x:v>
      </x:c>
      <x:c r="U141" s="7" t="s">
        <x:v>1541</x:v>
      </x:c>
      <x:c r="V141" s="26" t="s">
        <x:v>1542</x:v>
      </x:c>
      <x:c r="W141" s="7" t="s">
        <x:v>2174</x:v>
      </x:c>
      <x:c r="X141" s="41"/>
      <x:c r="Y141" s="41"/>
      <x:c r="Z141" s="41"/>
    </x:row>
    <x:row r="142">
      <x:c r="A142" s="7" t="s">
        <x:v>2175</x:v>
      </x:c>
      <x:c r="B142" s="7" t="s">
        <x:v>2176</x:v>
      </x:c>
      <x:c r="C142" s="7" t="s">
        <x:v>2177</x:v>
      </x:c>
      <x:c r="D142" s="7" t="s">
        <x:v>233</x:v>
      </x:c>
      <x:c r="E142" s="7" t="s">
        <x:v>1982</x:v>
      </x:c>
      <x:c r="F142" s="10">
        <x:v>17.821621</x:v>
      </x:c>
      <x:c r="G142" s="10">
        <x:v>103.386932</x:v>
      </x:c>
      <x:c r="H142" s="7" t="s">
        <x:v>1548</x:v>
      </x:c>
      <x:c r="I142" s="10">
        <x:v>153.5</x:v>
      </x:c>
      <x:c r="J142" s="41"/>
      <x:c r="K142" s="41"/>
      <x:c r="L142" s="41"/>
      <x:c r="M142" s="41"/>
      <x:c r="N142" s="7" t="s">
        <x:v>1828</x:v>
      </x:c>
      <x:c r="O142" s="7" t="s">
        <x:v>1539</x:v>
      </x:c>
      <x:c r="P142" s="10">
        <x:v>4.0</x:v>
      </x:c>
      <x:c r="Q142" s="41"/>
      <x:c r="R142" s="10">
        <x:v>82.4</x:v>
      </x:c>
      <x:c r="S142" s="7" t="s">
        <x:v>301</x:v>
      </x:c>
      <x:c r="T142" s="7" t="b">
        <x:v>0</x:v>
      </x:c>
      <x:c r="U142" s="7" t="s">
        <x:v>1541</x:v>
      </x:c>
      <x:c r="V142" s="26" t="s">
        <x:v>1542</x:v>
      </x:c>
      <x:c r="W142" s="7" t="s">
        <x:v>2178</x:v>
      </x:c>
      <x:c r="X142" s="41"/>
      <x:c r="Y142" s="41"/>
      <x:c r="Z142" s="41"/>
    </x:row>
    <x:row r="143">
      <x:c r="A143" s="7" t="s">
        <x:v>2179</x:v>
      </x:c>
      <x:c r="B143" s="7" t="s">
        <x:v>2180</x:v>
      </x:c>
      <x:c r="C143" s="7" t="s">
        <x:v>2181</x:v>
      </x:c>
      <x:c r="D143" s="7" t="s">
        <x:v>38</x:v>
      </x:c>
      <x:c r="E143" s="7" t="s">
        <x:v>1563</x:v>
      </x:c>
      <x:c r="F143" s="10">
        <x:v>15.67059</x:v>
      </x:c>
      <x:c r="G143" s="10">
        <x:v>100.10936</x:v>
      </x:c>
      <x:c r="H143" s="7" t="s">
        <x:v>1548</x:v>
      </x:c>
      <x:c r="I143" s="10">
        <x:v>24.03</x:v>
      </x:c>
      <x:c r="J143" s="41"/>
      <x:c r="K143" s="41"/>
      <x:c r="L143" s="41"/>
      <x:c r="M143" s="10">
        <x:v>26.2</x:v>
      </x:c>
      <x:c r="N143" s="7" t="s">
        <x:v>1828</x:v>
      </x:c>
      <x:c r="O143" s="7" t="s">
        <x:v>1539</x:v>
      </x:c>
      <x:c r="P143" s="10">
        <x:v>4.0</x:v>
      </x:c>
      <x:c r="Q143" s="41"/>
      <x:c r="R143" s="10">
        <x:v>82.4</x:v>
      </x:c>
      <x:c r="S143" s="7" t="s">
        <x:v>301</x:v>
      </x:c>
      <x:c r="T143" s="7" t="b">
        <x:v>0</x:v>
      </x:c>
      <x:c r="U143" s="7" t="s">
        <x:v>1541</x:v>
      </x:c>
      <x:c r="V143" s="26" t="s">
        <x:v>1542</x:v>
      </x:c>
      <x:c r="W143" s="7" t="s">
        <x:v>2182</x:v>
      </x:c>
      <x:c r="X143" s="41"/>
      <x:c r="Y143" s="41"/>
      <x:c r="Z143" s="41"/>
    </x:row>
    <x:row r="144">
      <x:c r="A144" s="7" t="s">
        <x:v>2183</x:v>
      </x:c>
      <x:c r="B144" s="7" t="s">
        <x:v>2184</x:v>
      </x:c>
      <x:c r="C144" s="7" t="s">
        <x:v>2185</x:v>
      </x:c>
      <x:c r="D144" s="7" t="s">
        <x:v>234</x:v>
      </x:c>
      <x:c r="E144" s="7" t="s">
        <x:v>2186</x:v>
      </x:c>
      <x:c r="F144" s="10">
        <x:v>17.59971</x:v>
      </x:c>
      <x:c r="G144" s="10">
        <x:v>103.98087</x:v>
      </x:c>
      <x:c r="H144" s="7" t="s">
        <x:v>1554</x:v>
      </x:c>
      <x:c r="I144" s="10">
        <x:v>149.46</x:v>
      </x:c>
      <x:c r="J144" s="41"/>
      <x:c r="K144" s="41"/>
      <x:c r="L144" s="41"/>
      <x:c r="M144" s="10"/>
      <x:c r="N144" s="7" t="s">
        <x:v>1828</x:v>
      </x:c>
      <x:c r="O144" s="7" t="s">
        <x:v>1539</x:v>
      </x:c>
      <x:c r="P144" s="10">
        <x:v>4.0</x:v>
      </x:c>
      <x:c r="Q144" s="41"/>
      <x:c r="R144" s="10">
        <x:v>12.4</x:v>
      </x:c>
      <x:c r="S144" s="7" t="s">
        <x:v>1540</x:v>
      </x:c>
      <x:c r="T144" s="7" t="b">
        <x:v>0</x:v>
      </x:c>
      <x:c r="U144" s="7" t="s">
        <x:v>1541</x:v>
      </x:c>
      <x:c r="V144" s="26" t="s">
        <x:v>1542</x:v>
      </x:c>
      <x:c r="W144" s="7" t="s">
        <x:v>2187</x:v>
      </x:c>
      <x:c r="X144" s="41"/>
      <x:c r="Y144" s="41"/>
      <x:c r="Z144" s="41"/>
    </x:row>
    <x:row r="145">
      <x:c r="A145" s="7" t="s">
        <x:v>2188</x:v>
      </x:c>
      <x:c r="B145" s="7" t="s">
        <x:v>2189</x:v>
      </x:c>
      <x:c r="C145" s="7" t="s">
        <x:v>2190</x:v>
      </x:c>
      <x:c r="D145" s="7" t="s">
        <x:v>94</x:v>
      </x:c>
      <x:c r="E145" s="7" t="s">
        <x:v>2191</x:v>
      </x:c>
      <x:c r="F145" s="10">
        <x:v>13.83819</x:v>
      </x:c>
      <x:c r="G145" s="10">
        <x:v>100.9666</x:v>
      </x:c>
      <x:c r="H145" s="7" t="s">
        <x:v>1554</x:v>
      </x:c>
      <x:c r="I145" s="10">
        <x:v>0.74</x:v>
      </x:c>
      <x:c r="J145" s="41"/>
      <x:c r="K145" s="41"/>
      <x:c r="L145" s="41"/>
      <x:c r="M145" s="41"/>
      <x:c r="N145" s="7" t="s">
        <x:v>1828</x:v>
      </x:c>
      <x:c r="O145" s="7" t="s">
        <x:v>1539</x:v>
      </x:c>
      <x:c r="P145" s="10">
        <x:v>4.0</x:v>
      </x:c>
      <x:c r="Q145" s="41"/>
      <x:c r="R145" s="10">
        <x:v>12.4</x:v>
      </x:c>
      <x:c r="S145" s="7" t="s">
        <x:v>1540</x:v>
      </x:c>
      <x:c r="T145" s="7" t="b">
        <x:v>0</x:v>
      </x:c>
      <x:c r="U145" s="7" t="s">
        <x:v>1541</x:v>
      </x:c>
      <x:c r="V145" s="26" t="s">
        <x:v>1542</x:v>
      </x:c>
      <x:c r="W145" s="7" t="s">
        <x:v>2192</x:v>
      </x:c>
      <x:c r="X145" s="41"/>
      <x:c r="Y145" s="41"/>
      <x:c r="Z145" s="41"/>
    </x:row>
    <x:row r="146">
      <x:c r="A146" s="7" t="s">
        <x:v>2193</x:v>
      </x:c>
      <x:c r="B146" s="7" t="s">
        <x:v>2194</x:v>
      </x:c>
      <x:c r="C146" s="7" t="s">
        <x:v>2195</x:v>
      </x:c>
      <x:c r="D146" s="7" t="s">
        <x:v>197</x:v>
      </x:c>
      <x:c r="E146" s="7" t="s">
        <x:v>2196</x:v>
      </x:c>
      <x:c r="F146" s="10">
        <x:v>10.2312</x:v>
      </x:c>
      <x:c r="G146" s="10">
        <x:v>99.09844</x:v>
      </x:c>
      <x:c r="H146" s="7" t="s">
        <x:v>1554</x:v>
      </x:c>
      <x:c r="I146" s="10">
        <x:v>2.04</x:v>
      </x:c>
      <x:c r="J146" s="41"/>
      <x:c r="K146" s="41"/>
      <x:c r="L146" s="41"/>
      <x:c r="M146" s="10"/>
      <x:c r="N146" s="7" t="s">
        <x:v>1828</x:v>
      </x:c>
      <x:c r="O146" s="7" t="s">
        <x:v>1539</x:v>
      </x:c>
      <x:c r="P146" s="10">
        <x:v>4.0</x:v>
      </x:c>
      <x:c r="Q146" s="41"/>
      <x:c r="R146" s="10">
        <x:v>12.4</x:v>
      </x:c>
      <x:c r="S146" s="7" t="s">
        <x:v>1540</x:v>
      </x:c>
      <x:c r="T146" s="7" t="b">
        <x:v>0</x:v>
      </x:c>
      <x:c r="U146" s="7" t="s">
        <x:v>1541</x:v>
      </x:c>
      <x:c r="V146" s="26" t="s">
        <x:v>1542</x:v>
      </x:c>
      <x:c r="W146" s="7" t="s">
        <x:v>2197</x:v>
      </x:c>
      <x:c r="X146" s="41"/>
      <x:c r="Y146" s="41"/>
      <x:c r="Z146" s="41"/>
    </x:row>
    <x:row r="147">
      <x:c r="A147" s="7" t="s">
        <x:v>2198</x:v>
      </x:c>
      <x:c r="B147" s="7" t="s">
        <x:v>2199</x:v>
      </x:c>
      <x:c r="C147" s="7" t="s">
        <x:v>2200</x:v>
      </x:c>
      <x:c r="D147" s="7" t="s">
        <x:v>219</x:v>
      </x:c>
      <x:c r="E147" s="7" t="s">
        <x:v>1734</x:v>
      </x:c>
      <x:c r="F147" s="10">
        <x:v>16.09481</x:v>
      </x:c>
      <x:c r="G147" s="10">
        <x:v>100.259903</x:v>
      </x:c>
      <x:c r="H147" s="7" t="s">
        <x:v>1548</x:v>
      </x:c>
      <x:c r="I147" s="10">
        <x:v>29.32</x:v>
      </x:c>
      <x:c r="J147" s="41"/>
      <x:c r="K147" s="41"/>
      <x:c r="L147" s="41"/>
      <x:c r="M147" s="10"/>
      <x:c r="N147" s="7" t="s">
        <x:v>1828</x:v>
      </x:c>
      <x:c r="O147" s="7" t="s">
        <x:v>1539</x:v>
      </x:c>
      <x:c r="P147" s="10">
        <x:v>4.0</x:v>
      </x:c>
      <x:c r="Q147" s="41"/>
      <x:c r="R147" s="10">
        <x:v>82.4</x:v>
      </x:c>
      <x:c r="S147" s="7" t="s">
        <x:v>301</x:v>
      </x:c>
      <x:c r="T147" s="7" t="b">
        <x:v>0</x:v>
      </x:c>
      <x:c r="U147" s="7" t="s">
        <x:v>1541</x:v>
      </x:c>
      <x:c r="V147" s="26" t="s">
        <x:v>1542</x:v>
      </x:c>
      <x:c r="W147" s="7" t="s">
        <x:v>2201</x:v>
      </x:c>
      <x:c r="X147" s="41"/>
      <x:c r="Y147" s="41"/>
      <x:c r="Z147" s="41"/>
    </x:row>
    <x:row r="148">
      <x:c r="A148" s="7" t="s">
        <x:v>2202</x:v>
      </x:c>
      <x:c r="B148" s="7" t="s">
        <x:v>2203</x:v>
      </x:c>
      <x:c r="C148" s="7" t="s">
        <x:v>2204</x:v>
      </x:c>
      <x:c r="D148" s="7" t="s">
        <x:v>38</x:v>
      </x:c>
      <x:c r="E148" s="7" t="s">
        <x:v>2205</x:v>
      </x:c>
      <x:c r="F148" s="10">
        <x:v>15.78585</x:v>
      </x:c>
      <x:c r="G148" s="10">
        <x:v>99.678329</x:v>
      </x:c>
      <x:c r="H148" s="7" t="s">
        <x:v>1548</x:v>
      </x:c>
      <x:c r="I148" s="10">
        <x:v>70.82</x:v>
      </x:c>
      <x:c r="J148" s="41"/>
      <x:c r="K148" s="41"/>
      <x:c r="L148" s="41"/>
      <x:c r="M148" s="10"/>
      <x:c r="N148" s="7" t="s">
        <x:v>1828</x:v>
      </x:c>
      <x:c r="O148" s="7" t="s">
        <x:v>1539</x:v>
      </x:c>
      <x:c r="P148" s="10">
        <x:v>4.0</x:v>
      </x:c>
      <x:c r="Q148" s="41"/>
      <x:c r="R148" s="10">
        <x:v>82.4</x:v>
      </x:c>
      <x:c r="S148" s="7" t="s">
        <x:v>301</x:v>
      </x:c>
      <x:c r="T148" s="7" t="b">
        <x:v>0</x:v>
      </x:c>
      <x:c r="U148" s="7" t="s">
        <x:v>1541</x:v>
      </x:c>
      <x:c r="V148" s="26" t="s">
        <x:v>1542</x:v>
      </x:c>
      <x:c r="W148" s="7" t="s">
        <x:v>2206</x:v>
      </x:c>
      <x:c r="X148" s="41"/>
      <x:c r="Y148" s="41"/>
      <x:c r="Z148" s="41"/>
    </x:row>
    <x:row r="149">
      <x:c r="A149" s="7" t="s">
        <x:v>2207</x:v>
      </x:c>
      <x:c r="B149" s="7" t="s">
        <x:v>2208</x:v>
      </x:c>
      <x:c r="C149" s="7" t="s">
        <x:v>2209</x:v>
      </x:c>
      <x:c r="D149" s="7" t="s">
        <x:v>235</x:v>
      </x:c>
      <x:c r="E149" s="7" t="s">
        <x:v>1945</x:v>
      </x:c>
      <x:c r="F149" s="10">
        <x:v>16.92321</x:v>
      </x:c>
      <x:c r="G149" s="10">
        <x:v>104.71615</x:v>
      </x:c>
      <x:c r="H149" s="7" t="s">
        <x:v>1554</x:v>
      </x:c>
      <x:c r="I149" s="10">
        <x:v>138.5</x:v>
      </x:c>
      <x:c r="J149" s="41"/>
      <x:c r="K149" s="41"/>
      <x:c r="L149" s="41"/>
      <x:c r="M149" s="41"/>
      <x:c r="N149" s="7" t="s">
        <x:v>1828</x:v>
      </x:c>
      <x:c r="O149" s="7" t="s">
        <x:v>1539</x:v>
      </x:c>
      <x:c r="P149" s="10">
        <x:v>4.0</x:v>
      </x:c>
      <x:c r="Q149" s="41"/>
      <x:c r="R149" s="10">
        <x:v>12.4</x:v>
      </x:c>
      <x:c r="S149" s="7" t="s">
        <x:v>1540</x:v>
      </x:c>
      <x:c r="T149" s="7" t="b">
        <x:v>0</x:v>
      </x:c>
      <x:c r="U149" s="7" t="s">
        <x:v>1541</x:v>
      </x:c>
      <x:c r="V149" s="26" t="s">
        <x:v>1542</x:v>
      </x:c>
      <x:c r="W149" s="7" t="s">
        <x:v>2210</x:v>
      </x:c>
      <x:c r="X149" s="41"/>
      <x:c r="Y149" s="41"/>
      <x:c r="Z149" s="41"/>
    </x:row>
    <x:row r="150">
      <x:c r="A150" s="7" t="s">
        <x:v>2211</x:v>
      </x:c>
      <x:c r="B150" s="7" t="s">
        <x:v>2212</x:v>
      </x:c>
      <x:c r="C150" s="7" t="s">
        <x:v>2213</x:v>
      </x:c>
      <x:c r="D150" s="7" t="s">
        <x:v>122</x:v>
      </x:c>
      <x:c r="E150" s="7" t="s">
        <x:v>2032</x:v>
      </x:c>
      <x:c r="F150" s="10">
        <x:v>15.21996</x:v>
      </x:c>
      <x:c r="G150" s="10">
        <x:v>102.428299</x:v>
      </x:c>
      <x:c r="H150" s="7" t="s">
        <x:v>1548</x:v>
      </x:c>
      <x:c r="I150" s="10">
        <x:v>154.47</x:v>
      </x:c>
      <x:c r="J150" s="41"/>
      <x:c r="K150" s="41"/>
      <x:c r="L150" s="41"/>
      <x:c r="M150" s="41"/>
      <x:c r="N150" s="7" t="s">
        <x:v>1828</x:v>
      </x:c>
      <x:c r="O150" s="7" t="s">
        <x:v>1539</x:v>
      </x:c>
      <x:c r="P150" s="10">
        <x:v>4.0</x:v>
      </x:c>
      <x:c r="Q150" s="41"/>
      <x:c r="R150" s="10">
        <x:v>82.4</x:v>
      </x:c>
      <x:c r="S150" s="7" t="s">
        <x:v>301</x:v>
      </x:c>
      <x:c r="T150" s="7" t="b">
        <x:v>0</x:v>
      </x:c>
      <x:c r="U150" s="7" t="s">
        <x:v>1541</x:v>
      </x:c>
      <x:c r="V150" s="26" t="s">
        <x:v>1542</x:v>
      </x:c>
      <x:c r="W150" s="7" t="s">
        <x:v>2214</x:v>
      </x:c>
      <x:c r="X150" s="41"/>
      <x:c r="Y150" s="41"/>
      <x:c r="Z150" s="41"/>
    </x:row>
    <x:row r="151">
      <x:c r="A151" s="7" t="s">
        <x:v>2215</x:v>
      </x:c>
      <x:c r="B151" s="7" t="s">
        <x:v>2216</x:v>
      </x:c>
      <x:c r="C151" s="7" t="s">
        <x:v>2217</x:v>
      </x:c>
      <x:c r="D151" s="7" t="s">
        <x:v>234</x:v>
      </x:c>
      <x:c r="E151" s="7" t="s">
        <x:v>1982</x:v>
      </x:c>
      <x:c r="F151" s="10">
        <x:v>17.86562</x:v>
      </x:c>
      <x:c r="G151" s="10">
        <x:v>103.774361</x:v>
      </x:c>
      <x:c r="H151" s="7" t="s">
        <x:v>1548</x:v>
      </x:c>
      <x:c r="I151" s="10">
        <x:v>147.58</x:v>
      </x:c>
      <x:c r="J151" s="41"/>
      <x:c r="K151" s="41"/>
      <x:c r="L151" s="41"/>
      <x:c r="M151" s="41"/>
      <x:c r="N151" s="7" t="s">
        <x:v>1828</x:v>
      </x:c>
      <x:c r="O151" s="7" t="s">
        <x:v>1539</x:v>
      </x:c>
      <x:c r="P151" s="10">
        <x:v>4.0</x:v>
      </x:c>
      <x:c r="Q151" s="41"/>
      <x:c r="R151" s="10">
        <x:v>82.4</x:v>
      </x:c>
      <x:c r="S151" s="7" t="s">
        <x:v>301</x:v>
      </x:c>
      <x:c r="T151" s="7" t="b">
        <x:v>0</x:v>
      </x:c>
      <x:c r="U151" s="7" t="s">
        <x:v>1541</x:v>
      </x:c>
      <x:c r="V151" s="26" t="s">
        <x:v>1542</x:v>
      </x:c>
      <x:c r="W151" s="7" t="s">
        <x:v>2218</x:v>
      </x:c>
      <x:c r="X151" s="41"/>
      <x:c r="Y151" s="41"/>
      <x:c r="Z151" s="41"/>
    </x:row>
    <x:row r="152">
      <x:c r="A152" s="7" t="s">
        <x:v>2219</x:v>
      </x:c>
      <x:c r="B152" s="7" t="s">
        <x:v>2220</x:v>
      </x:c>
      <x:c r="C152" s="7" t="s">
        <x:v>2221</x:v>
      </x:c>
      <x:c r="D152" s="7" t="s">
        <x:v>122</x:v>
      </x:c>
      <x:c r="E152" s="7" t="s">
        <x:v>2032</x:v>
      </x:c>
      <x:c r="F152" s="10">
        <x:v>14.968</x:v>
      </x:c>
      <x:c r="G152" s="10">
        <x:v>102.23782</x:v>
      </x:c>
      <x:c r="H152" s="7" t="s">
        <x:v>1554</x:v>
      </x:c>
      <x:c r="I152" s="10">
        <x:v>166.77</x:v>
      </x:c>
      <x:c r="J152" s="41"/>
      <x:c r="K152" s="41"/>
      <x:c r="L152" s="41"/>
      <x:c r="M152" s="41"/>
      <x:c r="N152" s="7" t="s">
        <x:v>1828</x:v>
      </x:c>
      <x:c r="O152" s="7" t="s">
        <x:v>1539</x:v>
      </x:c>
      <x:c r="P152" s="10">
        <x:v>4.0</x:v>
      </x:c>
      <x:c r="Q152" s="41"/>
      <x:c r="R152" s="10">
        <x:v>12.4</x:v>
      </x:c>
      <x:c r="S152" s="7" t="s">
        <x:v>1540</x:v>
      </x:c>
      <x:c r="T152" s="7" t="b">
        <x:v>0</x:v>
      </x:c>
      <x:c r="U152" s="7" t="s">
        <x:v>1541</x:v>
      </x:c>
      <x:c r="V152" s="26" t="s">
        <x:v>1542</x:v>
      </x:c>
      <x:c r="W152" s="7" t="s">
        <x:v>2222</x:v>
      </x:c>
      <x:c r="X152" s="41"/>
      <x:c r="Y152" s="41"/>
      <x:c r="Z152" s="41"/>
    </x:row>
    <x:row r="153">
      <x:c r="A153" s="7" t="s">
        <x:v>2223</x:v>
      </x:c>
      <x:c r="B153" s="7" t="s">
        <x:v>2224</x:v>
      </x:c>
      <x:c r="C153" s="7" t="s">
        <x:v>2225</x:v>
      </x:c>
      <x:c r="D153" s="7" t="s">
        <x:v>255</x:v>
      </x:c>
      <x:c r="E153" s="7" t="s">
        <x:v>2226</x:v>
      </x:c>
      <x:c r="F153" s="10">
        <x:v>7.10502</x:v>
      </x:c>
      <x:c r="G153" s="10">
        <x:v>100.193932</x:v>
      </x:c>
      <x:c r="H153" s="7" t="s">
        <x:v>1548</x:v>
      </x:c>
      <x:c r="I153" s="10">
        <x:v>33.66</x:v>
      </x:c>
      <x:c r="J153" s="41"/>
      <x:c r="K153" s="41"/>
      <x:c r="L153" s="41"/>
      <x:c r="M153" s="41"/>
      <x:c r="N153" s="7" t="s">
        <x:v>1828</x:v>
      </x:c>
      <x:c r="O153" s="7" t="s">
        <x:v>1539</x:v>
      </x:c>
      <x:c r="P153" s="10">
        <x:v>4.0</x:v>
      </x:c>
      <x:c r="Q153" s="41"/>
      <x:c r="R153" s="10">
        <x:v>82.4</x:v>
      </x:c>
      <x:c r="S153" s="7" t="s">
        <x:v>301</x:v>
      </x:c>
      <x:c r="T153" s="7" t="b">
        <x:v>0</x:v>
      </x:c>
      <x:c r="U153" s="7" t="s">
        <x:v>1541</x:v>
      </x:c>
      <x:c r="V153" s="26" t="s">
        <x:v>1542</x:v>
      </x:c>
      <x:c r="W153" s="7" t="s">
        <x:v>2227</x:v>
      </x:c>
      <x:c r="X153" s="41"/>
      <x:c r="Y153" s="41"/>
      <x:c r="Z153" s="41"/>
    </x:row>
    <x:row r="154">
      <x:c r="A154" s="7" t="s">
        <x:v>2228</x:v>
      </x:c>
      <x:c r="B154" s="7" t="s">
        <x:v>2229</x:v>
      </x:c>
      <x:c r="C154" s="7" t="s">
        <x:v>2230</x:v>
      </x:c>
      <x:c r="D154" s="7" t="s">
        <x:v>68</x:v>
      </x:c>
      <x:c r="E154" s="7" t="s">
        <x:v>1574</x:v>
      </x:c>
      <x:c r="F154" s="10">
        <x:v>14.31976</x:v>
      </x:c>
      <x:c r="G154" s="10">
        <x:v>100.37952</x:v>
      </x:c>
      <x:c r="H154" s="7" t="s">
        <x:v>1554</x:v>
      </x:c>
      <x:c r="I154" s="10">
        <x:v>2.79</x:v>
      </x:c>
      <x:c r="J154" s="41"/>
      <x:c r="K154" s="41"/>
      <x:c r="L154" s="41"/>
      <x:c r="M154" s="41"/>
      <x:c r="N154" s="7" t="s">
        <x:v>1828</x:v>
      </x:c>
      <x:c r="O154" s="7" t="s">
        <x:v>1539</x:v>
      </x:c>
      <x:c r="P154" s="10">
        <x:v>4.0</x:v>
      </x:c>
      <x:c r="Q154" s="41"/>
      <x:c r="R154" s="10">
        <x:v>12.4</x:v>
      </x:c>
      <x:c r="S154" s="7" t="s">
        <x:v>1540</x:v>
      </x:c>
      <x:c r="T154" s="7" t="b">
        <x:v>0</x:v>
      </x:c>
      <x:c r="U154" s="7" t="s">
        <x:v>1541</x:v>
      </x:c>
      <x:c r="V154" s="26" t="s">
        <x:v>1542</x:v>
      </x:c>
      <x:c r="W154" s="7" t="s">
        <x:v>2231</x:v>
      </x:c>
      <x:c r="X154" s="41"/>
      <x:c r="Y154" s="41"/>
      <x:c r="Z154" s="41"/>
    </x:row>
    <x:row r="155">
      <x:c r="A155" s="7" t="s">
        <x:v>2232</x:v>
      </x:c>
      <x:c r="B155" s="7" t="s">
        <x:v>2233</x:v>
      </x:c>
      <x:c r="C155" s="7" t="s">
        <x:v>2234</x:v>
      </x:c>
      <x:c r="D155" s="7" t="s">
        <x:v>58</x:v>
      </x:c>
      <x:c r="E155" s="7" t="s">
        <x:v>1837</x:v>
      </x:c>
      <x:c r="F155" s="10">
        <x:v>14.06047</x:v>
      </x:c>
      <x:c r="G155" s="10">
        <x:v>99.48325</x:v>
      </x:c>
      <x:c r="H155" s="7" t="s">
        <x:v>1554</x:v>
      </x:c>
      <x:c r="I155" s="10">
        <x:v>24.84</x:v>
      </x:c>
      <x:c r="J155" s="41"/>
      <x:c r="K155" s="41"/>
      <x:c r="L155" s="41"/>
      <x:c r="M155" s="10"/>
      <x:c r="N155" s="7" t="s">
        <x:v>1828</x:v>
      </x:c>
      <x:c r="O155" s="7" t="s">
        <x:v>1539</x:v>
      </x:c>
      <x:c r="P155" s="10">
        <x:v>4.0</x:v>
      </x:c>
      <x:c r="Q155" s="41"/>
      <x:c r="R155" s="10">
        <x:v>12.4</x:v>
      </x:c>
      <x:c r="S155" s="7" t="s">
        <x:v>1540</x:v>
      </x:c>
      <x:c r="T155" s="7" t="b">
        <x:v>0</x:v>
      </x:c>
      <x:c r="U155" s="7" t="s">
        <x:v>1541</x:v>
      </x:c>
      <x:c r="V155" s="26" t="s">
        <x:v>1542</x:v>
      </x:c>
      <x:c r="W155" s="7" t="s">
        <x:v>2235</x:v>
      </x:c>
      <x:c r="X155" s="41"/>
      <x:c r="Y155" s="41"/>
      <x:c r="Z155" s="41"/>
    </x:row>
    <x:row r="156">
      <x:c r="A156" s="7" t="s">
        <x:v>2236</x:v>
      </x:c>
      <x:c r="B156" s="7" t="s">
        <x:v>2237</x:v>
      </x:c>
      <x:c r="C156" s="7" t="s">
        <x:v>2238</x:v>
      </x:c>
      <x:c r="D156" s="7" t="s">
        <x:v>261</x:v>
      </x:c>
      <x:c r="E156" s="7" t="s">
        <x:v>2239</x:v>
      </x:c>
      <x:c r="F156" s="10">
        <x:v>5.895713</x:v>
      </x:c>
      <x:c r="G156" s="10">
        <x:v>101.76639</x:v>
      </x:c>
      <x:c r="H156" s="7" t="s">
        <x:v>1554</x:v>
      </x:c>
      <x:c r="I156" s="10">
        <x:v>21.3</x:v>
      </x:c>
      <x:c r="J156" s="41"/>
      <x:c r="K156" s="41"/>
      <x:c r="L156" s="41"/>
      <x:c r="M156" s="41"/>
      <x:c r="N156" s="7" t="s">
        <x:v>1828</x:v>
      </x:c>
      <x:c r="O156" s="7" t="s">
        <x:v>1539</x:v>
      </x:c>
      <x:c r="P156" s="10">
        <x:v>4.0</x:v>
      </x:c>
      <x:c r="Q156" s="41"/>
      <x:c r="R156" s="10">
        <x:v>12.4</x:v>
      </x:c>
      <x:c r="S156" s="7" t="s">
        <x:v>1540</x:v>
      </x:c>
      <x:c r="T156" s="7" t="b">
        <x:v>0</x:v>
      </x:c>
      <x:c r="U156" s="7" t="s">
        <x:v>1541</x:v>
      </x:c>
      <x:c r="V156" s="26" t="s">
        <x:v>1542</x:v>
      </x:c>
      <x:c r="W156" s="7" t="s">
        <x:v>2240</x:v>
      </x:c>
      <x:c r="X156" s="41"/>
      <x:c r="Y156" s="41"/>
      <x:c r="Z156" s="41"/>
    </x:row>
    <x:row r="157">
      <x:c r="A157" s="7" t="s">
        <x:v>2241</x:v>
      </x:c>
      <x:c r="B157" s="7" t="s">
        <x:v>2242</x:v>
      </x:c>
      <x:c r="C157" s="7" t="s">
        <x:v>2243</x:v>
      </x:c>
      <x:c r="D157" s="7" t="s">
        <x:v>258</x:v>
      </x:c>
      <x:c r="E157" s="7" t="s">
        <x:v>2244</x:v>
      </x:c>
      <x:c r="F157" s="10">
        <x:v>7.61689</x:v>
      </x:c>
      <x:c r="G157" s="10">
        <x:v>100.078903</x:v>
      </x:c>
      <x:c r="H157" s="7" t="s">
        <x:v>1548</x:v>
      </x:c>
      <x:c r="I157" s="10">
        <x:v>6.74</x:v>
      </x:c>
      <x:c r="J157" s="41"/>
      <x:c r="K157" s="41"/>
      <x:c r="L157" s="41"/>
      <x:c r="M157" s="41"/>
      <x:c r="N157" s="7" t="s">
        <x:v>1828</x:v>
      </x:c>
      <x:c r="O157" s="7" t="s">
        <x:v>1539</x:v>
      </x:c>
      <x:c r="P157" s="10">
        <x:v>4.0</x:v>
      </x:c>
      <x:c r="Q157" s="41"/>
      <x:c r="R157" s="10">
        <x:v>82.4</x:v>
      </x:c>
      <x:c r="S157" s="7" t="s">
        <x:v>301</x:v>
      </x:c>
      <x:c r="T157" s="7" t="b">
        <x:v>0</x:v>
      </x:c>
      <x:c r="U157" s="7" t="s">
        <x:v>1541</x:v>
      </x:c>
      <x:c r="V157" s="26" t="s">
        <x:v>1542</x:v>
      </x:c>
      <x:c r="W157" s="7" t="s">
        <x:v>2245</x:v>
      </x:c>
      <x:c r="X157" s="41"/>
      <x:c r="Y157" s="41"/>
      <x:c r="Z157" s="41"/>
    </x:row>
    <x:row r="158">
      <x:c r="A158" s="7" t="s">
        <x:v>2246</x:v>
      </x:c>
      <x:c r="B158" s="7" t="s">
        <x:v>2247</x:v>
      </x:c>
      <x:c r="C158" s="7" t="s">
        <x:v>2248</x:v>
      </x:c>
      <x:c r="D158" s="7" t="s">
        <x:v>46</x:v>
      </x:c>
      <x:c r="E158" s="7" t="s">
        <x:v>2249</x:v>
      </x:c>
      <x:c r="F158" s="10">
        <x:v>14.940779</x:v>
      </x:c>
      <x:c r="G158" s="10">
        <x:v>100.59284</x:v>
      </x:c>
      <x:c r="H158" s="7" t="s">
        <x:v>1554</x:v>
      </x:c>
      <x:c r="I158" s="10">
        <x:v>12.79</x:v>
      </x:c>
      <x:c r="J158" s="41"/>
      <x:c r="K158" s="41"/>
      <x:c r="L158" s="41"/>
      <x:c r="M158" s="10"/>
      <x:c r="N158" s="7" t="s">
        <x:v>1828</x:v>
      </x:c>
      <x:c r="O158" s="7" t="s">
        <x:v>1539</x:v>
      </x:c>
      <x:c r="P158" s="10">
        <x:v>4.0</x:v>
      </x:c>
      <x:c r="Q158" s="41"/>
      <x:c r="R158" s="10">
        <x:v>12.4</x:v>
      </x:c>
      <x:c r="S158" s="7" t="s">
        <x:v>1540</x:v>
      </x:c>
      <x:c r="T158" s="7" t="b">
        <x:v>0</x:v>
      </x:c>
      <x:c r="U158" s="7" t="s">
        <x:v>1541</x:v>
      </x:c>
      <x:c r="V158" s="26" t="s">
        <x:v>1542</x:v>
      </x:c>
      <x:c r="W158" s="7" t="s">
        <x:v>2250</x:v>
      </x:c>
      <x:c r="X158" s="41"/>
      <x:c r="Y158" s="41"/>
      <x:c r="Z158" s="41"/>
    </x:row>
    <x:row r="159">
      <x:c r="A159" s="7" t="s">
        <x:v>2251</x:v>
      </x:c>
      <x:c r="B159" s="7" t="s">
        <x:v>2252</x:v>
      </x:c>
      <x:c r="C159" s="7" t="s">
        <x:v>2253</x:v>
      </x:c>
      <x:c r="D159" s="7" t="s">
        <x:v>261</x:v>
      </x:c>
      <x:c r="E159" s="7" t="s">
        <x:v>2254</x:v>
      </x:c>
      <x:c r="F159" s="10">
        <x:v>6.16992</x:v>
      </x:c>
      <x:c r="G159" s="10">
        <x:v>101.713257</x:v>
      </x:c>
      <x:c r="H159" s="7" t="s">
        <x:v>1548</x:v>
      </x:c>
      <x:c r="I159" s="10">
        <x:v>22.46</x:v>
      </x:c>
      <x:c r="J159" s="41"/>
      <x:c r="K159" s="41"/>
      <x:c r="L159" s="41"/>
      <x:c r="M159" s="10"/>
      <x:c r="N159" s="7" t="s">
        <x:v>1828</x:v>
      </x:c>
      <x:c r="O159" s="7" t="s">
        <x:v>1539</x:v>
      </x:c>
      <x:c r="P159" s="10">
        <x:v>4.0</x:v>
      </x:c>
      <x:c r="Q159" s="41"/>
      <x:c r="R159" s="10">
        <x:v>82.4</x:v>
      </x:c>
      <x:c r="S159" s="7" t="s">
        <x:v>301</x:v>
      </x:c>
      <x:c r="T159" s="7" t="b">
        <x:v>0</x:v>
      </x:c>
      <x:c r="U159" s="7" t="s">
        <x:v>1541</x:v>
      </x:c>
      <x:c r="V159" s="26" t="s">
        <x:v>1542</x:v>
      </x:c>
      <x:c r="W159" s="7" t="s">
        <x:v>2255</x:v>
      </x:c>
      <x:c r="X159" s="41"/>
      <x:c r="Y159" s="41"/>
      <x:c r="Z159" s="41"/>
    </x:row>
    <x:row r="160">
      <x:c r="A160" s="7" t="s">
        <x:v>2256</x:v>
      </x:c>
      <x:c r="B160" s="7" t="s">
        <x:v>2257</x:v>
      </x:c>
      <x:c r="C160" s="7" t="s">
        <x:v>2258</x:v>
      </x:c>
      <x:c r="D160" s="7" t="s">
        <x:v>49</x:v>
      </x:c>
      <x:c r="E160" s="7" t="s">
        <x:v>1569</x:v>
      </x:c>
      <x:c r="F160" s="10">
        <x:v>15.225</x:v>
      </x:c>
      <x:c r="G160" s="10">
        <x:v>100.07824</x:v>
      </x:c>
      <x:c r="H160" s="7" t="s">
        <x:v>1554</x:v>
      </x:c>
      <x:c r="I160" s="10">
        <x:v>17.89</x:v>
      </x:c>
      <x:c r="J160" s="41"/>
      <x:c r="K160" s="41"/>
      <x:c r="L160" s="41"/>
      <x:c r="M160" s="10"/>
      <x:c r="N160" s="7" t="s">
        <x:v>1828</x:v>
      </x:c>
      <x:c r="O160" s="7" t="s">
        <x:v>1539</x:v>
      </x:c>
      <x:c r="P160" s="10">
        <x:v>4.0</x:v>
      </x:c>
      <x:c r="Q160" s="41"/>
      <x:c r="R160" s="10">
        <x:v>12.4</x:v>
      </x:c>
      <x:c r="S160" s="7" t="s">
        <x:v>1540</x:v>
      </x:c>
      <x:c r="T160" s="7" t="b">
        <x:v>0</x:v>
      </x:c>
      <x:c r="U160" s="7" t="s">
        <x:v>1541</x:v>
      </x:c>
      <x:c r="V160" s="26" t="s">
        <x:v>1542</x:v>
      </x:c>
      <x:c r="W160" s="7" t="s">
        <x:v>2259</x:v>
      </x:c>
      <x:c r="X160" s="41"/>
      <x:c r="Y160" s="41"/>
      <x:c r="Z160" s="41"/>
    </x:row>
    <x:row r="161">
      <x:c r="A161" s="7" t="s">
        <x:v>2260</x:v>
      </x:c>
      <x:c r="B161" s="7" t="s">
        <x:v>2261</x:v>
      </x:c>
      <x:c r="C161" s="7" t="s">
        <x:v>2262</x:v>
      </x:c>
      <x:c r="D161" s="7" t="s">
        <x:v>38</x:v>
      </x:c>
      <x:c r="E161" s="7" t="s">
        <x:v>2263</x:v>
      </x:c>
      <x:c r="F161" s="10">
        <x:v>15.7832</x:v>
      </x:c>
      <x:c r="G161" s="10">
        <x:v>99.65321</x:v>
      </x:c>
      <x:c r="H161" s="7" t="s">
        <x:v>1554</x:v>
      </x:c>
      <x:c r="I161" s="10">
        <x:v>73.48</x:v>
      </x:c>
      <x:c r="J161" s="41"/>
      <x:c r="K161" s="41"/>
      <x:c r="L161" s="41"/>
      <x:c r="M161" s="41"/>
      <x:c r="N161" s="7" t="s">
        <x:v>1828</x:v>
      </x:c>
      <x:c r="O161" s="7" t="s">
        <x:v>1539</x:v>
      </x:c>
      <x:c r="P161" s="10">
        <x:v>4.0</x:v>
      </x:c>
      <x:c r="Q161" s="41"/>
      <x:c r="R161" s="10">
        <x:v>12.4</x:v>
      </x:c>
      <x:c r="S161" s="7" t="s">
        <x:v>1540</x:v>
      </x:c>
      <x:c r="T161" s="7" t="b">
        <x:v>0</x:v>
      </x:c>
      <x:c r="U161" s="7" t="s">
        <x:v>1541</x:v>
      </x:c>
      <x:c r="V161" s="26" t="s">
        <x:v>1542</x:v>
      </x:c>
      <x:c r="W161" s="7" t="s">
        <x:v>2264</x:v>
      </x:c>
      <x:c r="X161" s="41"/>
      <x:c r="Y161" s="41"/>
      <x:c r="Z161" s="41"/>
    </x:row>
    <x:row r="162">
      <x:c r="A162" s="7" t="s">
        <x:v>2265</x:v>
      </x:c>
      <x:c r="B162" s="7" t="s">
        <x:v>2266</x:v>
      </x:c>
      <x:c r="C162" s="7" t="s">
        <x:v>2267</x:v>
      </x:c>
      <x:c r="D162" s="7" t="s">
        <x:v>256</x:v>
      </x:c>
      <x:c r="E162" s="7" t="s">
        <x:v>2268</x:v>
      </x:c>
      <x:c r="F162" s="10">
        <x:v>6.885757</x:v>
      </x:c>
      <x:c r="G162" s="10">
        <x:v>99.804344</x:v>
      </x:c>
      <x:c r="H162" s="7" t="s">
        <x:v>1554</x:v>
      </x:c>
      <x:c r="I162" s="10">
        <x:v>2.06</x:v>
      </x:c>
      <x:c r="J162" s="41"/>
      <x:c r="K162" s="41"/>
      <x:c r="L162" s="41"/>
      <x:c r="M162" s="41"/>
      <x:c r="N162" s="7" t="s">
        <x:v>1828</x:v>
      </x:c>
      <x:c r="O162" s="7" t="s">
        <x:v>1539</x:v>
      </x:c>
      <x:c r="P162" s="10">
        <x:v>4.0</x:v>
      </x:c>
      <x:c r="Q162" s="41"/>
      <x:c r="R162" s="10">
        <x:v>12.4</x:v>
      </x:c>
      <x:c r="S162" s="7" t="s">
        <x:v>1540</x:v>
      </x:c>
      <x:c r="T162" s="7" t="b">
        <x:v>0</x:v>
      </x:c>
      <x:c r="U162" s="7" t="s">
        <x:v>1541</x:v>
      </x:c>
      <x:c r="V162" s="26" t="s">
        <x:v>1542</x:v>
      </x:c>
      <x:c r="W162" s="7" t="s">
        <x:v>2269</x:v>
      </x:c>
      <x:c r="X162" s="41"/>
      <x:c r="Y162" s="41"/>
      <x:c r="Z162" s="41"/>
    </x:row>
    <x:row r="163">
      <x:c r="A163" s="7" t="s">
        <x:v>2270</x:v>
      </x:c>
      <x:c r="B163" s="7" t="s">
        <x:v>2271</x:v>
      </x:c>
      <x:c r="C163" s="7" t="s">
        <x:v>2272</x:v>
      </x:c>
      <x:c r="D163" s="7" t="s">
        <x:v>68</x:v>
      </x:c>
      <x:c r="E163" s="7" t="s">
        <x:v>1574</x:v>
      </x:c>
      <x:c r="F163" s="10">
        <x:v>14.412405</x:v>
      </x:c>
      <x:c r="G163" s="10">
        <x:v>100.40116</x:v>
      </x:c>
      <x:c r="H163" s="7" t="s">
        <x:v>1554</x:v>
      </x:c>
      <x:c r="I163" s="10">
        <x:v>5.9</x:v>
      </x:c>
      <x:c r="J163" s="41"/>
      <x:c r="K163" s="41"/>
      <x:c r="L163" s="41"/>
      <x:c r="M163" s="41"/>
      <x:c r="N163" s="7" t="s">
        <x:v>1828</x:v>
      </x:c>
      <x:c r="O163" s="7" t="s">
        <x:v>1539</x:v>
      </x:c>
      <x:c r="P163" s="10">
        <x:v>4.0</x:v>
      </x:c>
      <x:c r="Q163" s="41"/>
      <x:c r="R163" s="10">
        <x:v>12.4</x:v>
      </x:c>
      <x:c r="S163" s="7" t="s">
        <x:v>1540</x:v>
      </x:c>
      <x:c r="T163" s="7" t="b">
        <x:v>0</x:v>
      </x:c>
      <x:c r="U163" s="7" t="s">
        <x:v>1541</x:v>
      </x:c>
      <x:c r="V163" s="26" t="s">
        <x:v>1542</x:v>
      </x:c>
      <x:c r="W163" s="7" t="s">
        <x:v>2273</x:v>
      </x:c>
      <x:c r="X163" s="41"/>
      <x:c r="Y163" s="41"/>
      <x:c r="Z163" s="41"/>
    </x:row>
    <x:row r="164">
      <x:c r="A164" s="7" t="s">
        <x:v>2274</x:v>
      </x:c>
      <x:c r="B164" s="7" t="s">
        <x:v>2275</x:v>
      </x:c>
      <x:c r="C164" s="7" t="s">
        <x:v>2276</x:v>
      </x:c>
      <x:c r="D164" s="7" t="s">
        <x:v>58</x:v>
      </x:c>
      <x:c r="E164" s="7" t="s">
        <x:v>1588</x:v>
      </x:c>
      <x:c r="F164" s="10">
        <x:v>14.609306</x:v>
      </x:c>
      <x:c r="G164" s="10">
        <x:v>99.457694</x:v>
      </x:c>
      <x:c r="H164" s="7" t="s">
        <x:v>1658</x:v>
      </x:c>
      <x:c r="I164" s="10">
        <x:v>129.29</x:v>
      </x:c>
      <x:c r="J164" s="41"/>
      <x:c r="K164" s="41"/>
      <x:c r="L164" s="41"/>
      <x:c r="M164" s="10">
        <x:v>129.68</x:v>
      </x:c>
      <x:c r="N164" s="7" t="s">
        <x:v>1828</x:v>
      </x:c>
      <x:c r="O164" s="7" t="s">
        <x:v>1539</x:v>
      </x:c>
      <x:c r="P164" s="10">
        <x:v>4.0</x:v>
      </x:c>
      <x:c r="Q164" s="41"/>
      <x:c r="R164" s="10">
        <x:v>22.4</x:v>
      </x:c>
      <x:c r="S164" s="7" t="s">
        <x:v>1540</x:v>
      </x:c>
      <x:c r="T164" s="7" t="b">
        <x:v>0</x:v>
      </x:c>
      <x:c r="U164" s="7" t="s">
        <x:v>1541</x:v>
      </x:c>
      <x:c r="V164" s="26" t="s">
        <x:v>1542</x:v>
      </x:c>
      <x:c r="W164" s="7" t="s">
        <x:v>2277</x:v>
      </x:c>
      <x:c r="X164" s="41"/>
      <x:c r="Y164" s="41"/>
      <x:c r="Z164" s="41"/>
    </x:row>
    <x:row r="165">
      <x:c r="A165" s="7" t="s">
        <x:v>2278</x:v>
      </x:c>
      <x:c r="B165" s="7" t="s">
        <x:v>2279</x:v>
      </x:c>
      <x:c r="C165" s="7" t="s">
        <x:v>2280</x:v>
      </x:c>
      <x:c r="D165" s="7" t="s">
        <x:v>235</x:v>
      </x:c>
      <x:c r="E165" s="7" t="s">
        <x:v>2281</x:v>
      </x:c>
      <x:c r="F165" s="10">
        <x:v>16.928366</x:v>
      </x:c>
      <x:c r="G165" s="10">
        <x:v>104.72031</x:v>
      </x:c>
      <x:c r="H165" s="7" t="s">
        <x:v>1554</x:v>
      </x:c>
      <x:c r="I165" s="10">
        <x:v>138.85</x:v>
      </x:c>
      <x:c r="J165" s="41"/>
      <x:c r="K165" s="41"/>
      <x:c r="L165" s="41"/>
      <x:c r="M165" s="10"/>
      <x:c r="N165" s="7" t="s">
        <x:v>1828</x:v>
      </x:c>
      <x:c r="O165" s="7" t="s">
        <x:v>1539</x:v>
      </x:c>
      <x:c r="P165" s="10">
        <x:v>4.0</x:v>
      </x:c>
      <x:c r="Q165" s="41"/>
      <x:c r="R165" s="10">
        <x:v>12.4</x:v>
      </x:c>
      <x:c r="S165" s="7" t="s">
        <x:v>1540</x:v>
      </x:c>
      <x:c r="T165" s="7" t="b">
        <x:v>0</x:v>
      </x:c>
      <x:c r="U165" s="7" t="s">
        <x:v>1541</x:v>
      </x:c>
      <x:c r="V165" s="26" t="s">
        <x:v>1542</x:v>
      </x:c>
      <x:c r="W165" s="7" t="s">
        <x:v>2282</x:v>
      </x:c>
      <x:c r="X165" s="41"/>
      <x:c r="Y165" s="41"/>
      <x:c r="Z165" s="41"/>
    </x:row>
    <x:row r="166">
      <x:c r="A166" s="7" t="s">
        <x:v>2283</x:v>
      </x:c>
      <x:c r="B166" s="7" t="s">
        <x:v>2284</x:v>
      </x:c>
      <x:c r="C166" s="7" t="s">
        <x:v>2285</x:v>
      </x:c>
      <x:c r="D166" s="7" t="s">
        <x:v>122</x:v>
      </x:c>
      <x:c r="E166" s="7" t="s">
        <x:v>2022</x:v>
      </x:c>
      <x:c r="F166" s="10">
        <x:v>15.28663</x:v>
      </x:c>
      <x:c r="G166" s="10">
        <x:v>102.68459</x:v>
      </x:c>
      <x:c r="H166" s="7" t="s">
        <x:v>1554</x:v>
      </x:c>
      <x:c r="I166" s="10">
        <x:v>146.22</x:v>
      </x:c>
      <x:c r="J166" s="41"/>
      <x:c r="K166" s="41"/>
      <x:c r="L166" s="41"/>
      <x:c r="M166" s="10"/>
      <x:c r="N166" s="7" t="s">
        <x:v>1828</x:v>
      </x:c>
      <x:c r="O166" s="7" t="s">
        <x:v>1539</x:v>
      </x:c>
      <x:c r="P166" s="10">
        <x:v>4.0</x:v>
      </x:c>
      <x:c r="Q166" s="41"/>
      <x:c r="R166" s="10">
        <x:v>12.4</x:v>
      </x:c>
      <x:c r="S166" s="7" t="s">
        <x:v>1540</x:v>
      </x:c>
      <x:c r="T166" s="7" t="b">
        <x:v>0</x:v>
      </x:c>
      <x:c r="U166" s="7" t="s">
        <x:v>1541</x:v>
      </x:c>
      <x:c r="V166" s="26" t="s">
        <x:v>1542</x:v>
      </x:c>
      <x:c r="W166" s="7" t="s">
        <x:v>2286</x:v>
      </x:c>
      <x:c r="X166" s="41"/>
      <x:c r="Y166" s="41"/>
      <x:c r="Z166" s="41"/>
    </x:row>
    <x:row r="167">
      <x:c r="A167" s="7" t="s">
        <x:v>2287</x:v>
      </x:c>
      <x:c r="B167" s="7" t="s">
        <x:v>2288</x:v>
      </x:c>
      <x:c r="C167" s="7" t="s">
        <x:v>2289</x:v>
      </x:c>
      <x:c r="D167" s="7" t="s">
        <x:v>38</x:v>
      </x:c>
      <x:c r="E167" s="7" t="s">
        <x:v>2084</x:v>
      </x:c>
      <x:c r="F167" s="10">
        <x:v>15.86923</x:v>
      </x:c>
      <x:c r="G167" s="10">
        <x:v>100.26481</x:v>
      </x:c>
      <x:c r="H167" s="7" t="s">
        <x:v>1554</x:v>
      </x:c>
      <x:c r="I167" s="10">
        <x:v>25.88</x:v>
      </x:c>
      <x:c r="J167" s="41"/>
      <x:c r="K167" s="41"/>
      <x:c r="L167" s="41"/>
      <x:c r="M167" s="10"/>
      <x:c r="N167" s="7" t="s">
        <x:v>1828</x:v>
      </x:c>
      <x:c r="O167" s="7" t="s">
        <x:v>1539</x:v>
      </x:c>
      <x:c r="P167" s="10">
        <x:v>4.0</x:v>
      </x:c>
      <x:c r="Q167" s="41"/>
      <x:c r="R167" s="10">
        <x:v>12.4</x:v>
      </x:c>
      <x:c r="S167" s="7" t="s">
        <x:v>1540</x:v>
      </x:c>
      <x:c r="T167" s="7" t="b">
        <x:v>0</x:v>
      </x:c>
      <x:c r="U167" s="7" t="s">
        <x:v>1541</x:v>
      </x:c>
      <x:c r="V167" s="26" t="s">
        <x:v>1542</x:v>
      </x:c>
      <x:c r="W167" s="7" t="s">
        <x:v>2290</x:v>
      </x:c>
      <x:c r="X167" s="41"/>
      <x:c r="Y167" s="41"/>
      <x:c r="Z167" s="41"/>
    </x:row>
    <x:row r="168">
      <x:c r="A168" s="7" t="s">
        <x:v>2291</x:v>
      </x:c>
      <x:c r="B168" s="7" t="s">
        <x:v>2292</x:v>
      </x:c>
      <x:c r="C168" s="7" t="s">
        <x:v>2293</x:v>
      </x:c>
      <x:c r="D168" s="7" t="s">
        <x:v>242</x:v>
      </x:c>
      <x:c r="E168" s="7" t="s">
        <x:v>2032</x:v>
      </x:c>
      <x:c r="F168" s="10">
        <x:v>15.30606</x:v>
      </x:c>
      <x:c r="G168" s="10">
        <x:v>105.17113</x:v>
      </x:c>
      <x:c r="H168" s="7" t="s">
        <x:v>1548</x:v>
      </x:c>
      <x:c r="I168" s="10">
        <x:v>110.49</x:v>
      </x:c>
      <x:c r="J168" s="41"/>
      <x:c r="K168" s="41"/>
      <x:c r="L168" s="41"/>
      <x:c r="M168" s="10">
        <x:v>112.81</x:v>
      </x:c>
      <x:c r="N168" s="7" t="s">
        <x:v>1828</x:v>
      </x:c>
      <x:c r="O168" s="7" t="s">
        <x:v>1539</x:v>
      </x:c>
      <x:c r="P168" s="10">
        <x:v>4.0</x:v>
      </x:c>
      <x:c r="Q168" s="41"/>
      <x:c r="R168" s="10">
        <x:v>82.4</x:v>
      </x:c>
      <x:c r="S168" s="7" t="s">
        <x:v>301</x:v>
      </x:c>
      <x:c r="T168" s="7" t="b">
        <x:v>0</x:v>
      </x:c>
      <x:c r="U168" s="7" t="s">
        <x:v>1541</x:v>
      </x:c>
      <x:c r="V168" s="26" t="s">
        <x:v>1542</x:v>
      </x:c>
      <x:c r="W168" s="7" t="s">
        <x:v>2294</x:v>
      </x:c>
      <x:c r="X168" s="41"/>
      <x:c r="Y168" s="41"/>
      <x:c r="Z168" s="41"/>
    </x:row>
    <x:row r="169">
      <x:c r="A169" s="7" t="s">
        <x:v>2295</x:v>
      </x:c>
      <x:c r="B169" s="7" t="s">
        <x:v>2296</x:v>
      </x:c>
      <x:c r="C169" s="7" t="s">
        <x:v>2297</x:v>
      </x:c>
      <x:c r="D169" s="7" t="s">
        <x:v>258</x:v>
      </x:c>
      <x:c r="E169" s="7" t="s">
        <x:v>2298</x:v>
      </x:c>
      <x:c r="F169" s="10">
        <x:v>7.729605</x:v>
      </x:c>
      <x:c r="G169" s="10">
        <x:v>100.10799</x:v>
      </x:c>
      <x:c r="H169" s="7" t="s">
        <x:v>1554</x:v>
      </x:c>
      <x:c r="I169" s="10">
        <x:v>0.22</x:v>
      </x:c>
      <x:c r="J169" s="41"/>
      <x:c r="K169" s="41"/>
      <x:c r="L169" s="41"/>
      <x:c r="M169" s="41"/>
      <x:c r="N169" s="7" t="s">
        <x:v>1828</x:v>
      </x:c>
      <x:c r="O169" s="7" t="s">
        <x:v>1539</x:v>
      </x:c>
      <x:c r="P169" s="10">
        <x:v>4.0</x:v>
      </x:c>
      <x:c r="Q169" s="41"/>
      <x:c r="R169" s="10">
        <x:v>12.4</x:v>
      </x:c>
      <x:c r="S169" s="7" t="s">
        <x:v>1540</x:v>
      </x:c>
      <x:c r="T169" s="7" t="b">
        <x:v>0</x:v>
      </x:c>
      <x:c r="U169" s="7" t="s">
        <x:v>1541</x:v>
      </x:c>
      <x:c r="V169" s="26" t="s">
        <x:v>1542</x:v>
      </x:c>
      <x:c r="W169" s="7" t="s">
        <x:v>2299</x:v>
      </x:c>
      <x:c r="X169" s="41"/>
      <x:c r="Y169" s="41"/>
      <x:c r="Z169" s="41"/>
    </x:row>
    <x:row r="170">
      <x:c r="A170" s="7" t="s">
        <x:v>2300</x:v>
      </x:c>
      <x:c r="B170" s="7" t="s">
        <x:v>2301</x:v>
      </x:c>
      <x:c r="C170" s="7" t="s">
        <x:v>2302</x:v>
      </x:c>
      <x:c r="D170" s="7" t="s">
        <x:v>261</x:v>
      </x:c>
      <x:c r="E170" s="7" t="s">
        <x:v>2303</x:v>
      </x:c>
      <x:c r="F170" s="10">
        <x:v>5.835714</x:v>
      </x:c>
      <x:c r="G170" s="10">
        <x:v>101.73493</x:v>
      </x:c>
      <x:c r="H170" s="7" t="s">
        <x:v>1554</x:v>
      </x:c>
      <x:c r="I170" s="10">
        <x:v>92.2</x:v>
      </x:c>
      <x:c r="J170" s="41"/>
      <x:c r="K170" s="41"/>
      <x:c r="L170" s="41"/>
      <x:c r="M170" s="41"/>
      <x:c r="N170" s="7" t="s">
        <x:v>1828</x:v>
      </x:c>
      <x:c r="O170" s="7" t="s">
        <x:v>1539</x:v>
      </x:c>
      <x:c r="P170" s="10">
        <x:v>4.0</x:v>
      </x:c>
      <x:c r="Q170" s="41"/>
      <x:c r="R170" s="10">
        <x:v>12.4</x:v>
      </x:c>
      <x:c r="S170" s="7" t="s">
        <x:v>1540</x:v>
      </x:c>
      <x:c r="T170" s="7" t="b">
        <x:v>0</x:v>
      </x:c>
      <x:c r="U170" s="7" t="s">
        <x:v>1541</x:v>
      </x:c>
      <x:c r="V170" s="26" t="s">
        <x:v>1542</x:v>
      </x:c>
      <x:c r="W170" s="7" t="s">
        <x:v>2304</x:v>
      </x:c>
      <x:c r="X170" s="41"/>
      <x:c r="Y170" s="41"/>
      <x:c r="Z170" s="41"/>
    </x:row>
    <x:row r="171">
      <x:c r="A171" s="7" t="s">
        <x:v>2305</x:v>
      </x:c>
      <x:c r="B171" s="7" t="s">
        <x:v>2306</x:v>
      </x:c>
      <x:c r="C171" s="7" t="s">
        <x:v>2307</x:v>
      </x:c>
      <x:c r="D171" s="7" t="s">
        <x:v>222</x:v>
      </x:c>
      <x:c r="E171" s="7" t="s">
        <x:v>2308</x:v>
      </x:c>
      <x:c r="F171" s="10">
        <x:v>13.26553</x:v>
      </x:c>
      <x:c r="G171" s="10">
        <x:v>99.9418</x:v>
      </x:c>
      <x:c r="H171" s="7" t="s">
        <x:v>1554</x:v>
      </x:c>
      <x:c r="I171" s="10">
        <x:v>0.66</x:v>
      </x:c>
      <x:c r="J171" s="41"/>
      <x:c r="K171" s="41"/>
      <x:c r="L171" s="41"/>
      <x:c r="M171" s="41"/>
      <x:c r="N171" s="7" t="s">
        <x:v>1828</x:v>
      </x:c>
      <x:c r="O171" s="7" t="s">
        <x:v>1539</x:v>
      </x:c>
      <x:c r="P171" s="10">
        <x:v>4.0</x:v>
      </x:c>
      <x:c r="Q171" s="41"/>
      <x:c r="R171" s="10">
        <x:v>12.4</x:v>
      </x:c>
      <x:c r="S171" s="7" t="s">
        <x:v>1540</x:v>
      </x:c>
      <x:c r="T171" s="7" t="b">
        <x:v>0</x:v>
      </x:c>
      <x:c r="U171" s="7" t="s">
        <x:v>1541</x:v>
      </x:c>
      <x:c r="V171" s="26" t="s">
        <x:v>1542</x:v>
      </x:c>
      <x:c r="W171" s="7" t="s">
        <x:v>2309</x:v>
      </x:c>
      <x:c r="X171" s="41"/>
      <x:c r="Y171" s="41"/>
      <x:c r="Z171" s="41"/>
    </x:row>
    <x:row r="172">
      <x:c r="A172" s="7" t="s">
        <x:v>2310</x:v>
      </x:c>
      <x:c r="B172" s="7" t="s">
        <x:v>2311</x:v>
      </x:c>
      <x:c r="C172" s="7" t="s">
        <x:v>2312</x:v>
      </x:c>
      <x:c r="D172" s="7" t="s">
        <x:v>31</x:v>
      </x:c>
      <x:c r="E172" s="7" t="s">
        <x:v>1703</x:v>
      </x:c>
      <x:c r="F172" s="10">
        <x:v>16.42322</x:v>
      </x:c>
      <x:c r="G172" s="10">
        <x:v>101.162079</x:v>
      </x:c>
      <x:c r="H172" s="7" t="s">
        <x:v>1548</x:v>
      </x:c>
      <x:c r="I172" s="10">
        <x:v>114.53</x:v>
      </x:c>
      <x:c r="J172" s="41"/>
      <x:c r="K172" s="41"/>
      <x:c r="L172" s="41"/>
      <x:c r="M172" s="41"/>
      <x:c r="N172" s="7" t="s">
        <x:v>1828</x:v>
      </x:c>
      <x:c r="O172" s="7" t="s">
        <x:v>1539</x:v>
      </x:c>
      <x:c r="P172" s="10">
        <x:v>4.0</x:v>
      </x:c>
      <x:c r="Q172" s="41"/>
      <x:c r="R172" s="10">
        <x:v>82.4</x:v>
      </x:c>
      <x:c r="S172" s="7" t="s">
        <x:v>301</x:v>
      </x:c>
      <x:c r="T172" s="7" t="b">
        <x:v>0</x:v>
      </x:c>
      <x:c r="U172" s="7" t="s">
        <x:v>1541</x:v>
      </x:c>
      <x:c r="V172" s="26" t="s">
        <x:v>1542</x:v>
      </x:c>
      <x:c r="W172" s="7" t="s">
        <x:v>2313</x:v>
      </x:c>
      <x:c r="X172" s="41"/>
      <x:c r="Y172" s="41"/>
      <x:c r="Z172" s="41"/>
    </x:row>
    <x:row r="173">
      <x:c r="A173" s="7" t="s">
        <x:v>2314</x:v>
      </x:c>
      <x:c r="B173" s="7" t="s">
        <x:v>2315</x:v>
      </x:c>
      <x:c r="C173" s="7" t="s">
        <x:v>2316</x:v>
      </x:c>
      <x:c r="D173" s="7" t="s">
        <x:v>234</x:v>
      </x:c>
      <x:c r="E173" s="7" t="s">
        <x:v>1982</x:v>
      </x:c>
      <x:c r="F173" s="10">
        <x:v>17.594717</x:v>
      </x:c>
      <x:c r="G173" s="10">
        <x:v>103.38448</x:v>
      </x:c>
      <x:c r="H173" s="7" t="s">
        <x:v>1554</x:v>
      </x:c>
      <x:c r="I173" s="10">
        <x:v>154.72</x:v>
      </x:c>
      <x:c r="J173" s="41"/>
      <x:c r="K173" s="41"/>
      <x:c r="L173" s="41"/>
      <x:c r="M173" s="41"/>
      <x:c r="N173" s="7" t="s">
        <x:v>1828</x:v>
      </x:c>
      <x:c r="O173" s="7" t="s">
        <x:v>1539</x:v>
      </x:c>
      <x:c r="P173" s="10">
        <x:v>4.0</x:v>
      </x:c>
      <x:c r="Q173" s="41"/>
      <x:c r="R173" s="10">
        <x:v>12.4</x:v>
      </x:c>
      <x:c r="S173" s="7" t="s">
        <x:v>1540</x:v>
      </x:c>
      <x:c r="T173" s="7" t="b">
        <x:v>0</x:v>
      </x:c>
      <x:c r="U173" s="7" t="s">
        <x:v>1541</x:v>
      </x:c>
      <x:c r="V173" s="26" t="s">
        <x:v>1542</x:v>
      </x:c>
      <x:c r="W173" s="7" t="s">
        <x:v>2317</x:v>
      </x:c>
      <x:c r="X173" s="41"/>
      <x:c r="Y173" s="41"/>
      <x:c r="Z173" s="41"/>
    </x:row>
    <x:row r="174">
      <x:c r="A174" s="7" t="s">
        <x:v>2318</x:v>
      </x:c>
      <x:c r="B174" s="7" t="s">
        <x:v>2319</x:v>
      </x:c>
      <x:c r="C174" s="7" t="s">
        <x:v>2320</x:v>
      </x:c>
      <x:c r="D174" s="7" t="s">
        <x:v>260</x:v>
      </x:c>
      <x:c r="E174" s="7" t="s">
        <x:v>2321</x:v>
      </x:c>
      <x:c r="F174" s="10">
        <x:v>6.262041</x:v>
      </x:c>
      <x:c r="G174" s="10">
        <x:v>101.268036</x:v>
      </x:c>
      <x:c r="H174" s="7" t="s">
        <x:v>1554</x:v>
      </x:c>
      <x:c r="I174" s="10">
        <x:v>34.77</x:v>
      </x:c>
      <x:c r="J174" s="41"/>
      <x:c r="K174" s="41"/>
      <x:c r="L174" s="41"/>
      <x:c r="M174" s="41"/>
      <x:c r="N174" s="7" t="s">
        <x:v>1828</x:v>
      </x:c>
      <x:c r="O174" s="7" t="s">
        <x:v>1539</x:v>
      </x:c>
      <x:c r="P174" s="10">
        <x:v>4.0</x:v>
      </x:c>
      <x:c r="Q174" s="41"/>
      <x:c r="R174" s="10">
        <x:v>12.4</x:v>
      </x:c>
      <x:c r="S174" s="7" t="s">
        <x:v>1540</x:v>
      </x:c>
      <x:c r="T174" s="7" t="b">
        <x:v>0</x:v>
      </x:c>
      <x:c r="U174" s="7" t="s">
        <x:v>1541</x:v>
      </x:c>
      <x:c r="V174" s="26" t="s">
        <x:v>1542</x:v>
      </x:c>
      <x:c r="W174" s="7" t="s">
        <x:v>2322</x:v>
      </x:c>
      <x:c r="X174" s="41"/>
      <x:c r="Y174" s="41"/>
      <x:c r="Z174" s="41"/>
    </x:row>
    <x:row r="175">
      <x:c r="A175" s="7" t="s">
        <x:v>2323</x:v>
      </x:c>
      <x:c r="B175" s="7" t="s">
        <x:v>2324</x:v>
      </x:c>
      <x:c r="C175" s="7" t="s">
        <x:v>2325</x:v>
      </x:c>
      <x:c r="D175" s="7" t="s">
        <x:v>223</x:v>
      </x:c>
      <x:c r="E175" s="7" t="s">
        <x:v>1569</x:v>
      </x:c>
      <x:c r="F175" s="10">
        <x:v>13.58598</x:v>
      </x:c>
      <x:c r="G175" s="10">
        <x:v>100.23048</x:v>
      </x:c>
      <x:c r="H175" s="7" t="s">
        <x:v>1554</x:v>
      </x:c>
      <x:c r="I175" s="10">
        <x:v>0.21</x:v>
      </x:c>
      <x:c r="J175" s="41"/>
      <x:c r="K175" s="41"/>
      <x:c r="L175" s="41"/>
      <x:c r="M175" s="41"/>
      <x:c r="N175" s="7" t="s">
        <x:v>1828</x:v>
      </x:c>
      <x:c r="O175" s="7" t="s">
        <x:v>1539</x:v>
      </x:c>
      <x:c r="P175" s="10">
        <x:v>4.0</x:v>
      </x:c>
      <x:c r="Q175" s="41"/>
      <x:c r="R175" s="10">
        <x:v>12.4</x:v>
      </x:c>
      <x:c r="S175" s="7" t="s">
        <x:v>1540</x:v>
      </x:c>
      <x:c r="T175" s="7" t="b">
        <x:v>0</x:v>
      </x:c>
      <x:c r="U175" s="7" t="s">
        <x:v>1541</x:v>
      </x:c>
      <x:c r="V175" s="26" t="s">
        <x:v>1542</x:v>
      </x:c>
      <x:c r="W175" s="7" t="s">
        <x:v>2326</x:v>
      </x:c>
      <x:c r="X175" s="41"/>
      <x:c r="Y175" s="41"/>
      <x:c r="Z175" s="41"/>
    </x:row>
    <x:row r="176">
      <x:c r="A176" s="7" t="s">
        <x:v>2327</x:v>
      </x:c>
      <x:c r="B176" s="7" t="s">
        <x:v>2328</x:v>
      </x:c>
      <x:c r="C176" s="7" t="s">
        <x:v>2329</x:v>
      </x:c>
      <x:c r="D176" s="7" t="s">
        <x:v>62</x:v>
      </x:c>
      <x:c r="E176" s="7"/>
      <x:c r="F176" s="10">
        <x:v>14.553573</x:v>
      </x:c>
      <x:c r="G176" s="10">
        <x:v>100.316765</x:v>
      </x:c>
      <x:c r="H176" s="7" t="s">
        <x:v>1554</x:v>
      </x:c>
      <x:c r="I176" s="10">
        <x:v>4.15</x:v>
      </x:c>
      <x:c r="J176" s="41"/>
      <x:c r="K176" s="41"/>
      <x:c r="L176" s="41"/>
      <x:c r="M176" s="41"/>
      <x:c r="N176" s="7" t="s">
        <x:v>1828</x:v>
      </x:c>
      <x:c r="O176" s="7" t="s">
        <x:v>1539</x:v>
      </x:c>
      <x:c r="P176" s="10">
        <x:v>4.0</x:v>
      </x:c>
      <x:c r="Q176" s="41"/>
      <x:c r="R176" s="10">
        <x:v>12.4</x:v>
      </x:c>
      <x:c r="S176" s="7" t="s">
        <x:v>1540</x:v>
      </x:c>
      <x:c r="T176" s="7" t="b">
        <x:v>0</x:v>
      </x:c>
      <x:c r="U176" s="7" t="s">
        <x:v>1541</x:v>
      </x:c>
      <x:c r="V176" s="26" t="s">
        <x:v>1542</x:v>
      </x:c>
      <x:c r="W176" s="7" t="s">
        <x:v>2330</x:v>
      </x:c>
      <x:c r="X176" s="41"/>
      <x:c r="Y176" s="41"/>
      <x:c r="Z176" s="41"/>
    </x:row>
    <x:row r="177">
      <x:c r="A177" s="7" t="s">
        <x:v>2331</x:v>
      </x:c>
      <x:c r="B177" s="7" t="s">
        <x:v>2332</x:v>
      </x:c>
      <x:c r="C177" s="7" t="s">
        <x:v>2333</x:v>
      </x:c>
      <x:c r="D177" s="7" t="s">
        <x:v>68</x:v>
      </x:c>
      <x:c r="E177" s="7" t="s">
        <x:v>2334</x:v>
      </x:c>
      <x:c r="F177" s="10">
        <x:v>14.464386</x:v>
      </x:c>
      <x:c r="G177" s="10">
        <x:v>100.366005</x:v>
      </x:c>
      <x:c r="H177" s="7" t="s">
        <x:v>1554</x:v>
      </x:c>
      <x:c r="I177" s="10">
        <x:v>3.86</x:v>
      </x:c>
      <x:c r="J177" s="41"/>
      <x:c r="K177" s="41"/>
      <x:c r="L177" s="41"/>
      <x:c r="M177" s="10"/>
      <x:c r="N177" s="7" t="s">
        <x:v>1828</x:v>
      </x:c>
      <x:c r="O177" s="7" t="s">
        <x:v>1539</x:v>
      </x:c>
      <x:c r="P177" s="10">
        <x:v>4.0</x:v>
      </x:c>
      <x:c r="Q177" s="41"/>
      <x:c r="R177" s="10">
        <x:v>12.4</x:v>
      </x:c>
      <x:c r="S177" s="7" t="s">
        <x:v>1540</x:v>
      </x:c>
      <x:c r="T177" s="7" t="b">
        <x:v>0</x:v>
      </x:c>
      <x:c r="U177" s="7" t="s">
        <x:v>1541</x:v>
      </x:c>
      <x:c r="V177" s="26" t="s">
        <x:v>1542</x:v>
      </x:c>
      <x:c r="W177" s="7" t="s">
        <x:v>2335</x:v>
      </x:c>
      <x:c r="X177" s="41"/>
      <x:c r="Y177" s="41"/>
      <x:c r="Z177" s="41"/>
    </x:row>
    <x:row r="178">
      <x:c r="A178" s="7" t="s">
        <x:v>2336</x:v>
      </x:c>
      <x:c r="B178" s="7" t="s">
        <x:v>2337</x:v>
      </x:c>
      <x:c r="C178" s="7" t="s">
        <x:v>2338</x:v>
      </x:c>
      <x:c r="D178" s="7" t="s">
        <x:v>58</x:v>
      </x:c>
      <x:c r="E178" s="7" t="s">
        <x:v>1623</x:v>
      </x:c>
      <x:c r="F178" s="10">
        <x:v>13.99597</x:v>
      </x:c>
      <x:c r="G178" s="10">
        <x:v>99.538818</x:v>
      </x:c>
      <x:c r="H178" s="7" t="s">
        <x:v>1537</x:v>
      </x:c>
      <x:c r="I178" s="10">
        <x:v>23.35</x:v>
      </x:c>
      <x:c r="J178" s="41"/>
      <x:c r="K178" s="41"/>
      <x:c r="L178" s="41"/>
      <x:c r="M178" s="10">
        <x:v>24.07</x:v>
      </x:c>
      <x:c r="N178" s="7" t="s">
        <x:v>1828</x:v>
      </x:c>
      <x:c r="O178" s="7" t="s">
        <x:v>1539</x:v>
      </x:c>
      <x:c r="P178" s="10">
        <x:v>4.0</x:v>
      </x:c>
      <x:c r="Q178" s="41"/>
      <x:c r="R178" s="10">
        <x:v>-457.6</x:v>
      </x:c>
      <x:c r="S178" s="7" t="s">
        <x:v>1540</x:v>
      </x:c>
      <x:c r="T178" s="7" t="b">
        <x:v>0</x:v>
      </x:c>
      <x:c r="U178" s="7" t="s">
        <x:v>1541</x:v>
      </x:c>
      <x:c r="V178" s="26" t="s">
        <x:v>1542</x:v>
      </x:c>
      <x:c r="W178" s="7" t="s">
        <x:v>2339</x:v>
      </x:c>
      <x:c r="X178" s="41"/>
      <x:c r="Y178" s="41"/>
      <x:c r="Z178" s="41"/>
    </x:row>
    <x:row r="179">
      <x:c r="A179" s="7" t="s">
        <x:v>2340</x:v>
      </x:c>
      <x:c r="B179" s="7" t="s">
        <x:v>2341</x:v>
      </x:c>
      <x:c r="C179" s="7" t="s">
        <x:v>2342</x:v>
      </x:c>
      <x:c r="D179" s="7" t="s">
        <x:v>31</x:v>
      </x:c>
      <x:c r="E179" s="7" t="s">
        <x:v>1703</x:v>
      </x:c>
      <x:c r="F179" s="10">
        <x:v>16.44786</x:v>
      </x:c>
      <x:c r="G179" s="10">
        <x:v>101.17017</x:v>
      </x:c>
      <x:c r="H179" s="7" t="s">
        <x:v>1554</x:v>
      </x:c>
      <x:c r="I179" s="10">
        <x:v>115.44</x:v>
      </x:c>
      <x:c r="J179" s="41"/>
      <x:c r="K179" s="41"/>
      <x:c r="L179" s="41"/>
      <x:c r="M179" s="10"/>
      <x:c r="N179" s="7" t="s">
        <x:v>1828</x:v>
      </x:c>
      <x:c r="O179" s="7" t="s">
        <x:v>1539</x:v>
      </x:c>
      <x:c r="P179" s="10">
        <x:v>4.0</x:v>
      </x:c>
      <x:c r="Q179" s="41"/>
      <x:c r="R179" s="10">
        <x:v>12.4</x:v>
      </x:c>
      <x:c r="S179" s="7" t="s">
        <x:v>1540</x:v>
      </x:c>
      <x:c r="T179" s="7" t="b">
        <x:v>0</x:v>
      </x:c>
      <x:c r="U179" s="7" t="s">
        <x:v>1541</x:v>
      </x:c>
      <x:c r="V179" s="26" t="s">
        <x:v>1542</x:v>
      </x:c>
      <x:c r="W179" s="7" t="s">
        <x:v>2343</x:v>
      </x:c>
      <x:c r="X179" s="41"/>
      <x:c r="Y179" s="41"/>
      <x:c r="Z179" s="41"/>
    </x:row>
    <x:row r="180">
      <x:c r="A180" s="7" t="s">
        <x:v>2344</x:v>
      </x:c>
      <x:c r="B180" s="7" t="s">
        <x:v>2345</x:v>
      </x:c>
      <x:c r="C180" s="7" t="s">
        <x:v>2346</x:v>
      </x:c>
      <x:c r="D180" s="7" t="s">
        <x:v>74</x:v>
      </x:c>
      <x:c r="E180" s="7" t="s">
        <x:v>1729</x:v>
      </x:c>
      <x:c r="F180" s="10">
        <x:v>13.9416</x:v>
      </x:c>
      <x:c r="G180" s="10">
        <x:v>100.77499</x:v>
      </x:c>
      <x:c r="H180" s="7" t="s">
        <x:v>1554</x:v>
      </x:c>
      <x:c r="I180" s="10">
        <x:v>1.68</x:v>
      </x:c>
      <x:c r="J180" s="41"/>
      <x:c r="K180" s="41"/>
      <x:c r="L180" s="41"/>
      <x:c r="M180" s="10"/>
      <x:c r="N180" s="7" t="s">
        <x:v>1828</x:v>
      </x:c>
      <x:c r="O180" s="7" t="s">
        <x:v>1539</x:v>
      </x:c>
      <x:c r="P180" s="10">
        <x:v>4.0</x:v>
      </x:c>
      <x:c r="Q180" s="41"/>
      <x:c r="R180" s="10">
        <x:v>12.4</x:v>
      </x:c>
      <x:c r="S180" s="7" t="s">
        <x:v>1540</x:v>
      </x:c>
      <x:c r="T180" s="7" t="b">
        <x:v>0</x:v>
      </x:c>
      <x:c r="U180" s="7" t="s">
        <x:v>1541</x:v>
      </x:c>
      <x:c r="V180" s="26" t="s">
        <x:v>1542</x:v>
      </x:c>
      <x:c r="W180" s="7" t="s">
        <x:v>2347</x:v>
      </x:c>
      <x:c r="X180" s="41"/>
      <x:c r="Y180" s="41"/>
      <x:c r="Z180" s="41"/>
    </x:row>
    <x:row r="181">
      <x:c r="A181" s="7" t="s">
        <x:v>2348</x:v>
      </x:c>
      <x:c r="B181" s="7" t="s">
        <x:v>2349</x:v>
      </x:c>
      <x:c r="C181" s="7" t="s">
        <x:v>2350</x:v>
      </x:c>
      <x:c r="D181" s="7" t="s">
        <x:v>249</x:v>
      </x:c>
      <x:c r="E181" s="7" t="s">
        <x:v>2112</x:v>
      </x:c>
      <x:c r="F181" s="10">
        <x:v>8.986764</x:v>
      </x:c>
      <x:c r="G181" s="10">
        <x:v>99.2113</x:v>
      </x:c>
      <x:c r="H181" s="7" t="s">
        <x:v>1554</x:v>
      </x:c>
      <x:c r="I181" s="10">
        <x:v>1.03</x:v>
      </x:c>
      <x:c r="J181" s="41"/>
      <x:c r="K181" s="41"/>
      <x:c r="L181" s="41"/>
      <x:c r="M181" s="10"/>
      <x:c r="N181" s="7" t="s">
        <x:v>1828</x:v>
      </x:c>
      <x:c r="O181" s="7" t="s">
        <x:v>1539</x:v>
      </x:c>
      <x:c r="P181" s="10">
        <x:v>4.0</x:v>
      </x:c>
      <x:c r="Q181" s="41"/>
      <x:c r="R181" s="10">
        <x:v>12.4</x:v>
      </x:c>
      <x:c r="S181" s="7" t="s">
        <x:v>1540</x:v>
      </x:c>
      <x:c r="T181" s="7" t="b">
        <x:v>0</x:v>
      </x:c>
      <x:c r="U181" s="7" t="s">
        <x:v>1541</x:v>
      </x:c>
      <x:c r="V181" s="26" t="s">
        <x:v>1542</x:v>
      </x:c>
      <x:c r="W181" s="7" t="s">
        <x:v>2351</x:v>
      </x:c>
      <x:c r="X181" s="41"/>
      <x:c r="Y181" s="41"/>
      <x:c r="Z181" s="41"/>
    </x:row>
    <x:row r="182">
      <x:c r="A182" s="7" t="s">
        <x:v>2352</x:v>
      </x:c>
      <x:c r="B182" s="7" t="s">
        <x:v>2353</x:v>
      </x:c>
      <x:c r="C182" s="7" t="s">
        <x:v>2354</x:v>
      </x:c>
      <x:c r="D182" s="7" t="s">
        <x:v>211</x:v>
      </x:c>
      <x:c r="E182" s="7" t="s">
        <x:v>2355</x:v>
      </x:c>
      <x:c r="F182" s="10">
        <x:v>19.186546</x:v>
      </x:c>
      <x:c r="G182" s="10">
        <x:v>99.9439</x:v>
      </x:c>
      <x:c r="H182" s="7" t="s">
        <x:v>1554</x:v>
      </x:c>
      <x:c r="I182" s="10">
        <x:v>387.28</x:v>
      </x:c>
      <x:c r="J182" s="41"/>
      <x:c r="K182" s="41"/>
      <x:c r="L182" s="41"/>
      <x:c r="M182" s="41"/>
      <x:c r="N182" s="7" t="s">
        <x:v>1828</x:v>
      </x:c>
      <x:c r="O182" s="7" t="s">
        <x:v>1539</x:v>
      </x:c>
      <x:c r="P182" s="10">
        <x:v>4.0</x:v>
      </x:c>
      <x:c r="Q182" s="41"/>
      <x:c r="R182" s="10">
        <x:v>12.4</x:v>
      </x:c>
      <x:c r="S182" s="7" t="s">
        <x:v>1540</x:v>
      </x:c>
      <x:c r="T182" s="7" t="b">
        <x:v>0</x:v>
      </x:c>
      <x:c r="U182" s="7" t="s">
        <x:v>1541</x:v>
      </x:c>
      <x:c r="V182" s="26" t="s">
        <x:v>1542</x:v>
      </x:c>
      <x:c r="W182" s="7" t="s">
        <x:v>2356</x:v>
      </x:c>
      <x:c r="X182" s="41"/>
      <x:c r="Y182" s="41"/>
      <x:c r="Z182" s="41"/>
    </x:row>
    <x:row r="183">
      <x:c r="A183" s="7" t="s">
        <x:v>2357</x:v>
      </x:c>
      <x:c r="B183" s="7" t="s">
        <x:v>2358</x:v>
      </x:c>
      <x:c r="C183" s="7" t="s">
        <x:v>2359</x:v>
      </x:c>
      <x:c r="D183" s="7" t="s">
        <x:v>216</x:v>
      </x:c>
      <x:c r="E183" s="7" t="s">
        <x:v>2360</x:v>
      </x:c>
      <x:c r="F183" s="10">
        <x:v>17.66514</x:v>
      </x:c>
      <x:c r="G183" s="10">
        <x:v>100.29809</x:v>
      </x:c>
      <x:c r="H183" s="7" t="s">
        <x:v>1658</x:v>
      </x:c>
      <x:c r="I183" s="10">
        <x:v>67.13</x:v>
      </x:c>
      <x:c r="J183" s="41"/>
      <x:c r="K183" s="41"/>
      <x:c r="L183" s="41"/>
      <x:c r="M183" s="10">
        <x:v>70.56</x:v>
      </x:c>
      <x:c r="N183" s="7" t="s">
        <x:v>1828</x:v>
      </x:c>
      <x:c r="O183" s="7" t="s">
        <x:v>1539</x:v>
      </x:c>
      <x:c r="P183" s="10">
        <x:v>4.0</x:v>
      </x:c>
      <x:c r="Q183" s="41"/>
      <x:c r="R183" s="10">
        <x:v>22.4</x:v>
      </x:c>
      <x:c r="S183" s="7" t="s">
        <x:v>1540</x:v>
      </x:c>
      <x:c r="T183" s="7" t="b">
        <x:v>0</x:v>
      </x:c>
      <x:c r="U183" s="7" t="s">
        <x:v>1541</x:v>
      </x:c>
      <x:c r="V183" s="26" t="s">
        <x:v>1542</x:v>
      </x:c>
      <x:c r="W183" s="7" t="s">
        <x:v>2361</x:v>
      </x:c>
      <x:c r="X183" s="41"/>
      <x:c r="Y183" s="41"/>
      <x:c r="Z183" s="41"/>
    </x:row>
    <x:row r="184">
      <x:c r="A184" s="7" t="s">
        <x:v>2362</x:v>
      </x:c>
      <x:c r="B184" s="7" t="s">
        <x:v>2363</x:v>
      </x:c>
      <x:c r="C184" s="7" t="s">
        <x:v>2364</x:v>
      </x:c>
      <x:c r="D184" s="7" t="s">
        <x:v>243</x:v>
      </x:c>
      <x:c r="E184" s="7" t="s">
        <x:v>2365</x:v>
      </x:c>
      <x:c r="F184" s="10">
        <x:v>15.11808</x:v>
      </x:c>
      <x:c r="G184" s="10">
        <x:v>104.318642</x:v>
      </x:c>
      <x:c r="H184" s="7" t="s">
        <x:v>1548</x:v>
      </x:c>
      <x:c r="I184" s="10">
        <x:v>116.15</x:v>
      </x:c>
      <x:c r="J184" s="41"/>
      <x:c r="K184" s="41"/>
      <x:c r="L184" s="41"/>
      <x:c r="M184" s="41"/>
      <x:c r="N184" s="7" t="s">
        <x:v>1828</x:v>
      </x:c>
      <x:c r="O184" s="7" t="s">
        <x:v>1539</x:v>
      </x:c>
      <x:c r="P184" s="10">
        <x:v>4.0</x:v>
      </x:c>
      <x:c r="Q184" s="41"/>
      <x:c r="R184" s="10">
        <x:v>82.4</x:v>
      </x:c>
      <x:c r="S184" s="7" t="s">
        <x:v>301</x:v>
      </x:c>
      <x:c r="T184" s="7" t="b">
        <x:v>0</x:v>
      </x:c>
      <x:c r="U184" s="7" t="s">
        <x:v>1541</x:v>
      </x:c>
      <x:c r="V184" s="26" t="s">
        <x:v>1542</x:v>
      </x:c>
      <x:c r="W184" s="7" t="s">
        <x:v>2366</x:v>
      </x:c>
      <x:c r="X184" s="41"/>
      <x:c r="Y184" s="41"/>
      <x:c r="Z184" s="41"/>
    </x:row>
    <x:row r="185">
      <x:c r="A185" s="7" t="s">
        <x:v>2367</x:v>
      </x:c>
      <x:c r="B185" s="7" t="s">
        <x:v>2368</x:v>
      </x:c>
      <x:c r="C185" s="7" t="s">
        <x:v>2369</x:v>
      </x:c>
      <x:c r="D185" s="7" t="s">
        <x:v>249</x:v>
      </x:c>
      <x:c r="E185" s="7"/>
      <x:c r="F185" s="10">
        <x:v>9.51646</x:v>
      </x:c>
      <x:c r="G185" s="10">
        <x:v>99.22589</x:v>
      </x:c>
      <x:c r="H185" s="7" t="s">
        <x:v>1554</x:v>
      </x:c>
      <x:c r="I185" s="10">
        <x:v>1.1</x:v>
      </x:c>
      <x:c r="J185" s="41"/>
      <x:c r="K185" s="41"/>
      <x:c r="L185" s="41"/>
      <x:c r="M185" s="41"/>
      <x:c r="N185" s="7" t="s">
        <x:v>1828</x:v>
      </x:c>
      <x:c r="O185" s="7" t="s">
        <x:v>1539</x:v>
      </x:c>
      <x:c r="P185" s="10">
        <x:v>4.0</x:v>
      </x:c>
      <x:c r="Q185" s="41"/>
      <x:c r="R185" s="10">
        <x:v>12.4</x:v>
      </x:c>
      <x:c r="S185" s="7" t="s">
        <x:v>1540</x:v>
      </x:c>
      <x:c r="T185" s="7" t="b">
        <x:v>0</x:v>
      </x:c>
      <x:c r="U185" s="7" t="s">
        <x:v>1541</x:v>
      </x:c>
      <x:c r="V185" s="26" t="s">
        <x:v>1542</x:v>
      </x:c>
      <x:c r="W185" s="7" t="s">
        <x:v>2370</x:v>
      </x:c>
      <x:c r="X185" s="41"/>
      <x:c r="Y185" s="41"/>
      <x:c r="Z185" s="41"/>
    </x:row>
    <x:row r="186">
      <x:c r="A186" s="7" t="s">
        <x:v>2371</x:v>
      </x:c>
      <x:c r="B186" s="7" t="s">
        <x:v>2372</x:v>
      </x:c>
      <x:c r="C186" s="7" t="s">
        <x:v>2373</x:v>
      </x:c>
      <x:c r="D186" s="7" t="s">
        <x:v>97</x:v>
      </x:c>
      <x:c r="E186" s="7" t="s">
        <x:v>2374</x:v>
      </x:c>
      <x:c r="F186" s="10">
        <x:v>14.051278</x:v>
      </x:c>
      <x:c r="G186" s="10">
        <x:v>102.88541</x:v>
      </x:c>
      <x:c r="H186" s="7" t="s">
        <x:v>1554</x:v>
      </x:c>
      <x:c r="I186" s="10">
        <x:v>58.26</x:v>
      </x:c>
      <x:c r="J186" s="41"/>
      <x:c r="K186" s="41"/>
      <x:c r="L186" s="41"/>
      <x:c r="M186" s="41"/>
      <x:c r="N186" s="7" t="s">
        <x:v>1828</x:v>
      </x:c>
      <x:c r="O186" s="7" t="s">
        <x:v>1539</x:v>
      </x:c>
      <x:c r="P186" s="10">
        <x:v>4.0</x:v>
      </x:c>
      <x:c r="Q186" s="41"/>
      <x:c r="R186" s="10">
        <x:v>12.4</x:v>
      </x:c>
      <x:c r="S186" s="7" t="s">
        <x:v>1540</x:v>
      </x:c>
      <x:c r="T186" s="7" t="b">
        <x:v>0</x:v>
      </x:c>
      <x:c r="U186" s="7" t="s">
        <x:v>1541</x:v>
      </x:c>
      <x:c r="V186" s="26" t="s">
        <x:v>1542</x:v>
      </x:c>
      <x:c r="W186" s="7" t="s">
        <x:v>2375</x:v>
      </x:c>
      <x:c r="X186" s="41"/>
      <x:c r="Y186" s="41"/>
      <x:c r="Z186" s="41"/>
    </x:row>
    <x:row r="187">
      <x:c r="A187" s="7" t="s">
        <x:v>2376</x:v>
      </x:c>
      <x:c r="B187" s="7" t="s">
        <x:v>2377</x:v>
      </x:c>
      <x:c r="C187" s="7" t="s">
        <x:v>2378</x:v>
      </x:c>
      <x:c r="D187" s="7" t="s">
        <x:v>197</x:v>
      </x:c>
      <x:c r="E187" s="7" t="s">
        <x:v>2379</x:v>
      </x:c>
      <x:c r="F187" s="10">
        <x:v>9.85488</x:v>
      </x:c>
      <x:c r="G187" s="10">
        <x:v>98.8401</x:v>
      </x:c>
      <x:c r="H187" s="7" t="s">
        <x:v>1554</x:v>
      </x:c>
      <x:c r="I187" s="10">
        <x:v>17.81</x:v>
      </x:c>
      <x:c r="J187" s="41"/>
      <x:c r="K187" s="41"/>
      <x:c r="L187" s="41"/>
      <x:c r="M187" s="41"/>
      <x:c r="N187" s="7" t="s">
        <x:v>1828</x:v>
      </x:c>
      <x:c r="O187" s="7" t="s">
        <x:v>1539</x:v>
      </x:c>
      <x:c r="P187" s="10">
        <x:v>4.0</x:v>
      </x:c>
      <x:c r="Q187" s="41"/>
      <x:c r="R187" s="10">
        <x:v>12.4</x:v>
      </x:c>
      <x:c r="S187" s="7" t="s">
        <x:v>1540</x:v>
      </x:c>
      <x:c r="T187" s="7" t="b">
        <x:v>0</x:v>
      </x:c>
      <x:c r="U187" s="7" t="s">
        <x:v>1541</x:v>
      </x:c>
      <x:c r="V187" s="26" t="s">
        <x:v>1542</x:v>
      </x:c>
      <x:c r="W187" s="7" t="s">
        <x:v>2380</x:v>
      </x:c>
      <x:c r="X187" s="41"/>
      <x:c r="Y187" s="41"/>
      <x:c r="Z187" s="41"/>
    </x:row>
    <x:row r="188">
      <x:c r="A188" s="7" t="s">
        <x:v>2381</x:v>
      </x:c>
      <x:c r="B188" s="7" t="s">
        <x:v>2382</x:v>
      </x:c>
      <x:c r="C188" s="7" t="s">
        <x:v>2383</x:v>
      </x:c>
      <x:c r="D188" s="7" t="s">
        <x:v>219</x:v>
      </x:c>
      <x:c r="E188" s="7" t="s">
        <x:v>2084</x:v>
      </x:c>
      <x:c r="F188" s="10">
        <x:v>16.27034</x:v>
      </x:c>
      <x:c r="G188" s="10">
        <x:v>100.41396</x:v>
      </x:c>
      <x:c r="H188" s="7" t="s">
        <x:v>1554</x:v>
      </x:c>
      <x:c r="I188" s="10">
        <x:v>31.47</x:v>
      </x:c>
      <x:c r="J188" s="41"/>
      <x:c r="K188" s="41"/>
      <x:c r="L188" s="41"/>
      <x:c r="M188" s="41"/>
      <x:c r="N188" s="7" t="s">
        <x:v>1828</x:v>
      </x:c>
      <x:c r="O188" s="7" t="s">
        <x:v>1539</x:v>
      </x:c>
      <x:c r="P188" s="10">
        <x:v>4.0</x:v>
      </x:c>
      <x:c r="Q188" s="41"/>
      <x:c r="R188" s="10">
        <x:v>12.4</x:v>
      </x:c>
      <x:c r="S188" s="7" t="s">
        <x:v>1540</x:v>
      </x:c>
      <x:c r="T188" s="7" t="b">
        <x:v>0</x:v>
      </x:c>
      <x:c r="U188" s="7" t="s">
        <x:v>1541</x:v>
      </x:c>
      <x:c r="V188" s="26" t="s">
        <x:v>1542</x:v>
      </x:c>
      <x:c r="W188" s="7" t="s">
        <x:v>2384</x:v>
      </x:c>
      <x:c r="X188" s="41"/>
      <x:c r="Y188" s="41"/>
      <x:c r="Z188" s="41"/>
    </x:row>
    <x:row r="189">
      <x:c r="A189" s="7" t="s">
        <x:v>2385</x:v>
      </x:c>
      <x:c r="B189" s="7" t="s">
        <x:v>2386</x:v>
      </x:c>
      <x:c r="C189" s="7" t="s">
        <x:v>2387</x:v>
      </x:c>
      <x:c r="D189" s="7" t="s">
        <x:v>258</x:v>
      </x:c>
      <x:c r="E189" s="7" t="s">
        <x:v>2388</x:v>
      </x:c>
      <x:c r="F189" s="10">
        <x:v>7.365284</x:v>
      </x:c>
      <x:c r="G189" s="10">
        <x:v>100.27959</x:v>
      </x:c>
      <x:c r="H189" s="7" t="s">
        <x:v>1554</x:v>
      </x:c>
      <x:c r="I189" s="10">
        <x:v>0.25</x:v>
      </x:c>
      <x:c r="J189" s="41"/>
      <x:c r="K189" s="41"/>
      <x:c r="L189" s="41"/>
      <x:c r="M189" s="10"/>
      <x:c r="N189" s="7" t="s">
        <x:v>1828</x:v>
      </x:c>
      <x:c r="O189" s="7" t="s">
        <x:v>1539</x:v>
      </x:c>
      <x:c r="P189" s="10">
        <x:v>4.0</x:v>
      </x:c>
      <x:c r="Q189" s="41"/>
      <x:c r="R189" s="10">
        <x:v>12.4</x:v>
      </x:c>
      <x:c r="S189" s="7" t="s">
        <x:v>1540</x:v>
      </x:c>
      <x:c r="T189" s="7" t="b">
        <x:v>0</x:v>
      </x:c>
      <x:c r="U189" s="7" t="s">
        <x:v>1541</x:v>
      </x:c>
      <x:c r="V189" s="26" t="s">
        <x:v>1542</x:v>
      </x:c>
      <x:c r="W189" s="7" t="s">
        <x:v>2389</x:v>
      </x:c>
      <x:c r="X189" s="41"/>
      <x:c r="Y189" s="41"/>
      <x:c r="Z189" s="41"/>
    </x:row>
    <x:row r="190">
      <x:c r="A190" s="7" t="s">
        <x:v>2390</x:v>
      </x:c>
      <x:c r="B190" s="7" t="s">
        <x:v>2391</x:v>
      </x:c>
      <x:c r="C190" s="7" t="s">
        <x:v>2392</x:v>
      </x:c>
      <x:c r="D190" s="7" t="s">
        <x:v>246</x:v>
      </x:c>
      <x:c r="E190" s="7" t="s">
        <x:v>2393</x:v>
      </x:c>
      <x:c r="F190" s="10">
        <x:v>15.79962</x:v>
      </x:c>
      <x:c r="G190" s="10">
        <x:v>104.134857</x:v>
      </x:c>
      <x:c r="H190" s="7" t="s">
        <x:v>1548</x:v>
      </x:c>
      <x:c r="I190" s="10">
        <x:v>123.4</x:v>
      </x:c>
      <x:c r="J190" s="41"/>
      <x:c r="K190" s="41"/>
      <x:c r="L190" s="41"/>
      <x:c r="M190" s="10"/>
      <x:c r="N190" s="7" t="s">
        <x:v>1828</x:v>
      </x:c>
      <x:c r="O190" s="7" t="s">
        <x:v>1539</x:v>
      </x:c>
      <x:c r="P190" s="10">
        <x:v>4.0</x:v>
      </x:c>
      <x:c r="Q190" s="41"/>
      <x:c r="R190" s="10">
        <x:v>82.4</x:v>
      </x:c>
      <x:c r="S190" s="7" t="s">
        <x:v>301</x:v>
      </x:c>
      <x:c r="T190" s="7" t="b">
        <x:v>0</x:v>
      </x:c>
      <x:c r="U190" s="7" t="s">
        <x:v>1541</x:v>
      </x:c>
      <x:c r="V190" s="26" t="s">
        <x:v>1542</x:v>
      </x:c>
      <x:c r="W190" s="7" t="s">
        <x:v>2394</x:v>
      </x:c>
      <x:c r="X190" s="41"/>
      <x:c r="Y190" s="41"/>
      <x:c r="Z190" s="41"/>
    </x:row>
    <x:row r="191">
      <x:c r="A191" s="7" t="s">
        <x:v>2395</x:v>
      </x:c>
      <x:c r="B191" s="7" t="s">
        <x:v>2396</x:v>
      </x:c>
      <x:c r="C191" s="7" t="s">
        <x:v>2397</x:v>
      </x:c>
      <x:c r="D191" s="7" t="s">
        <x:v>261</x:v>
      </x:c>
      <x:c r="E191" s="7" t="s">
        <x:v>2398</x:v>
      </x:c>
      <x:c r="F191" s="10">
        <x:v>5.83916</x:v>
      </x:c>
      <x:c r="G191" s="10">
        <x:v>101.892143</x:v>
      </x:c>
      <x:c r="H191" s="7" t="s">
        <x:v>1548</x:v>
      </x:c>
      <x:c r="I191" s="10">
        <x:v>18.3</x:v>
      </x:c>
      <x:c r="J191" s="41"/>
      <x:c r="K191" s="41"/>
      <x:c r="L191" s="41"/>
      <x:c r="M191" s="10"/>
      <x:c r="N191" s="7" t="s">
        <x:v>1828</x:v>
      </x:c>
      <x:c r="O191" s="7" t="s">
        <x:v>1539</x:v>
      </x:c>
      <x:c r="P191" s="10">
        <x:v>4.0</x:v>
      </x:c>
      <x:c r="Q191" s="41"/>
      <x:c r="R191" s="10">
        <x:v>82.4</x:v>
      </x:c>
      <x:c r="S191" s="7" t="s">
        <x:v>301</x:v>
      </x:c>
      <x:c r="T191" s="7" t="b">
        <x:v>0</x:v>
      </x:c>
      <x:c r="U191" s="7" t="s">
        <x:v>1541</x:v>
      </x:c>
      <x:c r="V191" s="26" t="s">
        <x:v>1542</x:v>
      </x:c>
      <x:c r="W191" s="7" t="s">
        <x:v>2399</x:v>
      </x:c>
      <x:c r="X191" s="41"/>
      <x:c r="Y191" s="41"/>
      <x:c r="Z191" s="41"/>
    </x:row>
    <x:row r="192">
      <x:c r="A192" s="7" t="s">
        <x:v>2400</x:v>
      </x:c>
      <x:c r="B192" s="7" t="s">
        <x:v>2401</x:v>
      </x:c>
      <x:c r="C192" s="7" t="s">
        <x:v>2402</x:v>
      </x:c>
      <x:c r="D192" s="7" t="s">
        <x:v>246</x:v>
      </x:c>
      <x:c r="E192" s="7" t="s">
        <x:v>2393</x:v>
      </x:c>
      <x:c r="F192" s="10">
        <x:v>15.52481</x:v>
      </x:c>
      <x:c r="G192" s="10">
        <x:v>104.249657</x:v>
      </x:c>
      <x:c r="H192" s="7" t="s">
        <x:v>1548</x:v>
      </x:c>
      <x:c r="I192" s="10">
        <x:v>119.27</x:v>
      </x:c>
      <x:c r="J192" s="41"/>
      <x:c r="K192" s="41"/>
      <x:c r="L192" s="41"/>
      <x:c r="M192" s="10">
        <x:v>121.98</x:v>
      </x:c>
      <x:c r="N192" s="7" t="s">
        <x:v>1828</x:v>
      </x:c>
      <x:c r="O192" s="7" t="s">
        <x:v>1539</x:v>
      </x:c>
      <x:c r="P192" s="10">
        <x:v>4.0</x:v>
      </x:c>
      <x:c r="Q192" s="41"/>
      <x:c r="R192" s="10">
        <x:v>82.4</x:v>
      </x:c>
      <x:c r="S192" s="7" t="s">
        <x:v>301</x:v>
      </x:c>
      <x:c r="T192" s="7" t="b">
        <x:v>0</x:v>
      </x:c>
      <x:c r="U192" s="7" t="s">
        <x:v>1541</x:v>
      </x:c>
      <x:c r="V192" s="26" t="s">
        <x:v>1542</x:v>
      </x:c>
      <x:c r="W192" s="7" t="s">
        <x:v>2403</x:v>
      </x:c>
      <x:c r="X192" s="41"/>
      <x:c r="Y192" s="41"/>
      <x:c r="Z192" s="41"/>
    </x:row>
    <x:row r="193">
      <x:c r="A193" s="7" t="s">
        <x:v>2404</x:v>
      </x:c>
      <x:c r="B193" s="7" t="s">
        <x:v>2405</x:v>
      </x:c>
      <x:c r="C193" s="7" t="s">
        <x:v>2406</x:v>
      </x:c>
      <x:c r="D193" s="7" t="s">
        <x:v>248</x:v>
      </x:c>
      <x:c r="E193" s="7" t="s">
        <x:v>1927</x:v>
      </x:c>
      <x:c r="F193" s="10">
        <x:v>8.089498</x:v>
      </x:c>
      <x:c r="G193" s="10">
        <x:v>100.12784</x:v>
      </x:c>
      <x:c r="H193" s="7" t="s">
        <x:v>1554</x:v>
      </x:c>
      <x:c r="I193" s="10">
        <x:v>-0.41</x:v>
      </x:c>
      <x:c r="J193" s="41"/>
      <x:c r="K193" s="41"/>
      <x:c r="L193" s="41"/>
      <x:c r="M193" s="10"/>
      <x:c r="N193" s="7" t="s">
        <x:v>1828</x:v>
      </x:c>
      <x:c r="O193" s="7" t="s">
        <x:v>1539</x:v>
      </x:c>
      <x:c r="P193" s="10">
        <x:v>4.0</x:v>
      </x:c>
      <x:c r="Q193" s="41"/>
      <x:c r="R193" s="10">
        <x:v>12.4</x:v>
      </x:c>
      <x:c r="S193" s="7" t="s">
        <x:v>1540</x:v>
      </x:c>
      <x:c r="T193" s="7" t="b">
        <x:v>0</x:v>
      </x:c>
      <x:c r="U193" s="7" t="s">
        <x:v>1541</x:v>
      </x:c>
      <x:c r="V193" s="26" t="s">
        <x:v>1542</x:v>
      </x:c>
      <x:c r="W193" s="7" t="s">
        <x:v>2407</x:v>
      </x:c>
      <x:c r="X193" s="41"/>
      <x:c r="Y193" s="41"/>
      <x:c r="Z193" s="41"/>
    </x:row>
    <x:row r="194">
      <x:c r="A194" s="7" t="s">
        <x:v>2408</x:v>
      </x:c>
      <x:c r="B194" s="7" t="s">
        <x:v>2409</x:v>
      </x:c>
      <x:c r="C194" s="7" t="s">
        <x:v>2410</x:v>
      </x:c>
      <x:c r="D194" s="7" t="s">
        <x:v>107</x:v>
      </x:c>
      <x:c r="E194" s="7" t="s">
        <x:v>2411</x:v>
      </x:c>
      <x:c r="F194" s="10">
        <x:v>12.61359</x:v>
      </x:c>
      <x:c r="G194" s="10">
        <x:v>102.114113</x:v>
      </x:c>
      <x:c r="H194" s="7" t="s">
        <x:v>1548</x:v>
      </x:c>
      <x:c r="I194" s="10">
        <x:v>1.57</x:v>
      </x:c>
      <x:c r="J194" s="41"/>
      <x:c r="K194" s="41"/>
      <x:c r="L194" s="41"/>
      <x:c r="M194" s="10">
        <x:v>3.44</x:v>
      </x:c>
      <x:c r="N194" s="7" t="s">
        <x:v>1828</x:v>
      </x:c>
      <x:c r="O194" s="7" t="s">
        <x:v>1539</x:v>
      </x:c>
      <x:c r="P194" s="10">
        <x:v>4.0</x:v>
      </x:c>
      <x:c r="Q194" s="41"/>
      <x:c r="R194" s="10">
        <x:v>82.4</x:v>
      </x:c>
      <x:c r="S194" s="7" t="s">
        <x:v>301</x:v>
      </x:c>
      <x:c r="T194" s="7" t="b">
        <x:v>0</x:v>
      </x:c>
      <x:c r="U194" s="7" t="s">
        <x:v>1541</x:v>
      </x:c>
      <x:c r="V194" s="26" t="s">
        <x:v>1542</x:v>
      </x:c>
      <x:c r="W194" s="7" t="s">
        <x:v>2412</x:v>
      </x:c>
      <x:c r="X194" s="41"/>
      <x:c r="Y194" s="41"/>
      <x:c r="Z194" s="41"/>
    </x:row>
    <x:row r="195">
      <x:c r="A195" s="7" t="s">
        <x:v>2413</x:v>
      </x:c>
      <x:c r="B195" s="7" t="s">
        <x:v>2414</x:v>
      </x:c>
      <x:c r="C195" s="7" t="s">
        <x:v>2415</x:v>
      </x:c>
      <x:c r="D195" s="7" t="s">
        <x:v>234</x:v>
      </x:c>
      <x:c r="E195" s="7" t="s">
        <x:v>2186</x:v>
      </x:c>
      <x:c r="F195" s="10">
        <x:v>17.594904</x:v>
      </x:c>
      <x:c r="G195" s="10">
        <x:v>103.969406</x:v>
      </x:c>
      <x:c r="H195" s="7" t="s">
        <x:v>1554</x:v>
      </x:c>
      <x:c r="I195" s="10">
        <x:v>150.04</x:v>
      </x:c>
      <x:c r="J195" s="41"/>
      <x:c r="K195" s="41"/>
      <x:c r="L195" s="41"/>
      <x:c r="M195" s="41"/>
      <x:c r="N195" s="7" t="s">
        <x:v>1828</x:v>
      </x:c>
      <x:c r="O195" s="7" t="s">
        <x:v>1539</x:v>
      </x:c>
      <x:c r="P195" s="10">
        <x:v>4.0</x:v>
      </x:c>
      <x:c r="Q195" s="41"/>
      <x:c r="R195" s="10">
        <x:v>12.4</x:v>
      </x:c>
      <x:c r="S195" s="7" t="s">
        <x:v>1540</x:v>
      </x:c>
      <x:c r="T195" s="7" t="b">
        <x:v>0</x:v>
      </x:c>
      <x:c r="U195" s="7" t="s">
        <x:v>1541</x:v>
      </x:c>
      <x:c r="V195" s="26" t="s">
        <x:v>1542</x:v>
      </x:c>
      <x:c r="W195" s="7" t="s">
        <x:v>2416</x:v>
      </x:c>
      <x:c r="X195" s="41"/>
      <x:c r="Y195" s="41"/>
      <x:c r="Z195" s="41"/>
    </x:row>
    <x:row r="196">
      <x:c r="A196" s="7" t="s">
        <x:v>2417</x:v>
      </x:c>
      <x:c r="B196" s="7" t="s">
        <x:v>2418</x:v>
      </x:c>
      <x:c r="C196" s="7" t="s">
        <x:v>2419</x:v>
      </x:c>
      <x:c r="D196" s="7" t="s">
        <x:v>58</x:v>
      </x:c>
      <x:c r="E196" s="7" t="s">
        <x:v>1536</x:v>
      </x:c>
      <x:c r="F196" s="10">
        <x:v>14.11265</x:v>
      </x:c>
      <x:c r="G196" s="10">
        <x:v>99.14635</x:v>
      </x:c>
      <x:c r="H196" s="7" t="s">
        <x:v>1554</x:v>
      </x:c>
      <x:c r="I196" s="10">
        <x:v>42.79</x:v>
      </x:c>
      <x:c r="J196" s="41"/>
      <x:c r="K196" s="41"/>
      <x:c r="L196" s="41"/>
      <x:c r="M196" s="10"/>
      <x:c r="N196" s="7" t="s">
        <x:v>1828</x:v>
      </x:c>
      <x:c r="O196" s="7" t="s">
        <x:v>1539</x:v>
      </x:c>
      <x:c r="P196" s="10">
        <x:v>4.0</x:v>
      </x:c>
      <x:c r="Q196" s="41"/>
      <x:c r="R196" s="10">
        <x:v>12.4</x:v>
      </x:c>
      <x:c r="S196" s="7" t="s">
        <x:v>1540</x:v>
      </x:c>
      <x:c r="T196" s="7" t="b">
        <x:v>0</x:v>
      </x:c>
      <x:c r="U196" s="7" t="s">
        <x:v>1541</x:v>
      </x:c>
      <x:c r="V196" s="26" t="s">
        <x:v>1542</x:v>
      </x:c>
      <x:c r="W196" s="7" t="s">
        <x:v>2420</x:v>
      </x:c>
      <x:c r="X196" s="41"/>
      <x:c r="Y196" s="41"/>
      <x:c r="Z196" s="41"/>
    </x:row>
    <x:row r="197">
      <x:c r="A197" s="7" t="s">
        <x:v>2421</x:v>
      </x:c>
      <x:c r="B197" s="7" t="s">
        <x:v>2422</x:v>
      </x:c>
      <x:c r="C197" s="7" t="s">
        <x:v>2423</x:v>
      </x:c>
      <x:c r="D197" s="7" t="s">
        <x:v>242</x:v>
      </x:c>
      <x:c r="E197" s="7" t="s">
        <x:v>2393</x:v>
      </x:c>
      <x:c r="F197" s="10">
        <x:v>15.32248</x:v>
      </x:c>
      <x:c r="G197" s="10">
        <x:v>104.54649</x:v>
      </x:c>
      <x:c r="H197" s="7" t="s">
        <x:v>1554</x:v>
      </x:c>
      <x:c r="I197" s="10">
        <x:v>114.15</x:v>
      </x:c>
      <x:c r="J197" s="41"/>
      <x:c r="K197" s="41"/>
      <x:c r="L197" s="41"/>
      <x:c r="M197" s="10"/>
      <x:c r="N197" s="7" t="s">
        <x:v>1828</x:v>
      </x:c>
      <x:c r="O197" s="7" t="s">
        <x:v>1539</x:v>
      </x:c>
      <x:c r="P197" s="10">
        <x:v>4.0</x:v>
      </x:c>
      <x:c r="Q197" s="41"/>
      <x:c r="R197" s="10">
        <x:v>12.4</x:v>
      </x:c>
      <x:c r="S197" s="7" t="s">
        <x:v>1540</x:v>
      </x:c>
      <x:c r="T197" s="7" t="b">
        <x:v>0</x:v>
      </x:c>
      <x:c r="U197" s="7" t="s">
        <x:v>1541</x:v>
      </x:c>
      <x:c r="V197" s="26" t="s">
        <x:v>1542</x:v>
      </x:c>
      <x:c r="W197" s="7" t="s">
        <x:v>2424</x:v>
      </x:c>
      <x:c r="X197" s="41"/>
      <x:c r="Y197" s="41"/>
      <x:c r="Z197" s="41"/>
    </x:row>
    <x:row r="198">
      <x:c r="A198" s="7" t="s">
        <x:v>2425</x:v>
      </x:c>
      <x:c r="B198" s="7" t="s">
        <x:v>2426</x:v>
      </x:c>
      <x:c r="C198" s="7" t="s">
        <x:v>2427</x:v>
      </x:c>
      <x:c r="D198" s="7" t="s">
        <x:v>107</x:v>
      </x:c>
      <x:c r="E198" s="7" t="s">
        <x:v>2428</x:v>
      </x:c>
      <x:c r="F198" s="10">
        <x:v>12.657133</x:v>
      </x:c>
      <x:c r="G198" s="10">
        <x:v>102.15435</x:v>
      </x:c>
      <x:c r="H198" s="7" t="s">
        <x:v>1548</x:v>
      </x:c>
      <x:c r="I198" s="10">
        <x:v>4.93</x:v>
      </x:c>
      <x:c r="J198" s="41"/>
      <x:c r="K198" s="41"/>
      <x:c r="L198" s="41"/>
      <x:c r="M198" s="10"/>
      <x:c r="N198" s="7" t="s">
        <x:v>1828</x:v>
      </x:c>
      <x:c r="O198" s="7" t="s">
        <x:v>1539</x:v>
      </x:c>
      <x:c r="P198" s="10">
        <x:v>4.0</x:v>
      </x:c>
      <x:c r="Q198" s="41"/>
      <x:c r="R198" s="10">
        <x:v>82.4</x:v>
      </x:c>
      <x:c r="S198" s="7" t="s">
        <x:v>301</x:v>
      </x:c>
      <x:c r="T198" s="7" t="b">
        <x:v>0</x:v>
      </x:c>
      <x:c r="U198" s="7" t="s">
        <x:v>1541</x:v>
      </x:c>
      <x:c r="V198" s="26" t="s">
        <x:v>1542</x:v>
      </x:c>
      <x:c r="W198" s="7" t="s">
        <x:v>2429</x:v>
      </x:c>
      <x:c r="X198" s="41"/>
      <x:c r="Y198" s="41"/>
      <x:c r="Z198" s="41"/>
    </x:row>
    <x:row r="199">
      <x:c r="A199" s="7" t="s">
        <x:v>2430</x:v>
      </x:c>
      <x:c r="B199" s="7" t="s">
        <x:v>2431</x:v>
      </x:c>
      <x:c r="C199" s="7" t="s">
        <x:v>2432</x:v>
      </x:c>
      <x:c r="D199" s="7" t="s">
        <x:v>125</x:v>
      </x:c>
      <x:c r="E199" s="7" t="s">
        <x:v>1685</x:v>
      </x:c>
      <x:c r="F199" s="10">
        <x:v>15.14119</x:v>
      </x:c>
      <x:c r="G199" s="10">
        <x:v>103.429359</x:v>
      </x:c>
      <x:c r="H199" s="7" t="s">
        <x:v>1548</x:v>
      </x:c>
      <x:c r="I199" s="10">
        <x:v>127.2</x:v>
      </x:c>
      <x:c r="J199" s="41"/>
      <x:c r="K199" s="41"/>
      <x:c r="L199" s="41"/>
      <x:c r="M199" s="41"/>
      <x:c r="N199" s="7" t="s">
        <x:v>1828</x:v>
      </x:c>
      <x:c r="O199" s="7" t="s">
        <x:v>1539</x:v>
      </x:c>
      <x:c r="P199" s="10">
        <x:v>4.0</x:v>
      </x:c>
      <x:c r="Q199" s="41"/>
      <x:c r="R199" s="10">
        <x:v>82.4</x:v>
      </x:c>
      <x:c r="S199" s="7" t="s">
        <x:v>301</x:v>
      </x:c>
      <x:c r="T199" s="7" t="b">
        <x:v>0</x:v>
      </x:c>
      <x:c r="U199" s="7" t="s">
        <x:v>1541</x:v>
      </x:c>
      <x:c r="V199" s="26" t="s">
        <x:v>1542</x:v>
      </x:c>
      <x:c r="W199" s="7" t="s">
        <x:v>2433</x:v>
      </x:c>
      <x:c r="X199" s="41"/>
      <x:c r="Y199" s="41"/>
      <x:c r="Z199" s="41"/>
    </x:row>
    <x:row r="200">
      <x:c r="A200" s="7" t="s">
        <x:v>2434</x:v>
      </x:c>
      <x:c r="B200" s="7" t="s">
        <x:v>2435</x:v>
      </x:c>
      <x:c r="C200" s="7" t="s">
        <x:v>2436</x:v>
      </x:c>
      <x:c r="D200" s="7" t="s">
        <x:v>257</x:v>
      </x:c>
      <x:c r="E200" s="7" t="s">
        <x:v>2437</x:v>
      </x:c>
      <x:c r="F200" s="10">
        <x:v>7.668987</x:v>
      </x:c>
      <x:c r="G200" s="10">
        <x:v>99.45936</x:v>
      </x:c>
      <x:c r="H200" s="7" t="s">
        <x:v>1554</x:v>
      </x:c>
      <x:c r="I200" s="10">
        <x:v>12.76</x:v>
      </x:c>
      <x:c r="J200" s="41"/>
      <x:c r="K200" s="41"/>
      <x:c r="L200" s="41"/>
      <x:c r="M200" s="41"/>
      <x:c r="N200" s="7" t="s">
        <x:v>1828</x:v>
      </x:c>
      <x:c r="O200" s="7" t="s">
        <x:v>1539</x:v>
      </x:c>
      <x:c r="P200" s="10">
        <x:v>4.0</x:v>
      </x:c>
      <x:c r="Q200" s="41"/>
      <x:c r="R200" s="10">
        <x:v>12.4</x:v>
      </x:c>
      <x:c r="S200" s="7" t="s">
        <x:v>1540</x:v>
      </x:c>
      <x:c r="T200" s="7" t="b">
        <x:v>0</x:v>
      </x:c>
      <x:c r="U200" s="7" t="s">
        <x:v>1541</x:v>
      </x:c>
      <x:c r="V200" s="26" t="s">
        <x:v>1542</x:v>
      </x:c>
      <x:c r="W200" s="7" t="s">
        <x:v>2438</x:v>
      </x:c>
      <x:c r="X200" s="41"/>
      <x:c r="Y200" s="41"/>
      <x:c r="Z200" s="41"/>
    </x:row>
    <x:row r="201">
      <x:c r="A201" s="7" t="s">
        <x:v>2439</x:v>
      </x:c>
      <x:c r="B201" s="7" t="s">
        <x:v>2440</x:v>
      </x:c>
      <x:c r="C201" s="7" t="s">
        <x:v>2441</x:v>
      </x:c>
      <x:c r="D201" s="7" t="s">
        <x:v>219</x:v>
      </x:c>
      <x:c r="E201" s="7" t="s">
        <x:v>2084</x:v>
      </x:c>
      <x:c r="F201" s="10">
        <x:v>16.4695</x:v>
      </x:c>
      <x:c r="G201" s="10">
        <x:v>100.330872</x:v>
      </x:c>
      <x:c r="H201" s="7" t="s">
        <x:v>1548</x:v>
      </x:c>
      <x:c r="I201" s="10">
        <x:v>32.91</x:v>
      </x:c>
      <x:c r="J201" s="41"/>
      <x:c r="K201" s="41"/>
      <x:c r="L201" s="41"/>
      <x:c r="M201" s="41"/>
      <x:c r="N201" s="7" t="s">
        <x:v>1828</x:v>
      </x:c>
      <x:c r="O201" s="7" t="s">
        <x:v>1539</x:v>
      </x:c>
      <x:c r="P201" s="10">
        <x:v>4.0</x:v>
      </x:c>
      <x:c r="Q201" s="41"/>
      <x:c r="R201" s="10">
        <x:v>82.4</x:v>
      </x:c>
      <x:c r="S201" s="7" t="s">
        <x:v>301</x:v>
      </x:c>
      <x:c r="T201" s="7" t="b">
        <x:v>0</x:v>
      </x:c>
      <x:c r="U201" s="7" t="s">
        <x:v>1541</x:v>
      </x:c>
      <x:c r="V201" s="26" t="s">
        <x:v>1542</x:v>
      </x:c>
      <x:c r="W201" s="7" t="s">
        <x:v>2442</x:v>
      </x:c>
      <x:c r="X201" s="41"/>
      <x:c r="Y201" s="41"/>
      <x:c r="Z201" s="41"/>
    </x:row>
    <x:row r="202">
      <x:c r="A202" s="7" t="s">
        <x:v>2443</x:v>
      </x:c>
      <x:c r="B202" s="7" t="s">
        <x:v>2444</x:v>
      </x:c>
      <x:c r="C202" s="7" t="s">
        <x:v>2445</x:v>
      </x:c>
      <x:c r="D202" s="7" t="s">
        <x:v>217</x:v>
      </x:c>
      <x:c r="E202" s="7" t="s">
        <x:v>1734</x:v>
      </x:c>
      <x:c r="F202" s="10">
        <x:v>16.927441</x:v>
      </x:c>
      <x:c r="G202" s="10">
        <x:v>99.959427</x:v>
      </x:c>
      <x:c r="H202" s="7" t="s">
        <x:v>1548</x:v>
      </x:c>
      <x:c r="I202" s="10">
        <x:v>42.77</x:v>
      </x:c>
      <x:c r="J202" s="41"/>
      <x:c r="K202" s="41"/>
      <x:c r="L202" s="41"/>
      <x:c r="M202" s="41"/>
      <x:c r="N202" s="7" t="s">
        <x:v>1828</x:v>
      </x:c>
      <x:c r="O202" s="7" t="s">
        <x:v>1539</x:v>
      </x:c>
      <x:c r="P202" s="10">
        <x:v>4.0</x:v>
      </x:c>
      <x:c r="Q202" s="41"/>
      <x:c r="R202" s="10">
        <x:v>82.4</x:v>
      </x:c>
      <x:c r="S202" s="7" t="s">
        <x:v>301</x:v>
      </x:c>
      <x:c r="T202" s="7" t="b">
        <x:v>0</x:v>
      </x:c>
      <x:c r="U202" s="7" t="s">
        <x:v>1541</x:v>
      </x:c>
      <x:c r="V202" s="26" t="s">
        <x:v>1542</x:v>
      </x:c>
      <x:c r="W202" s="7" t="s">
        <x:v>2446</x:v>
      </x:c>
      <x:c r="X202" s="41"/>
      <x:c r="Y202" s="41"/>
      <x:c r="Z202" s="41"/>
    </x:row>
    <x:row r="203">
      <x:c r="A203" s="7" t="s">
        <x:v>2447</x:v>
      </x:c>
      <x:c r="B203" s="7" t="s">
        <x:v>2448</x:v>
      </x:c>
      <x:c r="C203" s="7" t="s">
        <x:v>2449</x:v>
      </x:c>
      <x:c r="D203" s="7" t="s">
        <x:v>207</x:v>
      </x:c>
      <x:c r="E203" s="7" t="s">
        <x:v>2450</x:v>
      </x:c>
      <x:c r="F203" s="10">
        <x:v>19.85606</x:v>
      </x:c>
      <x:c r="G203" s="10">
        <x:v>99.19549</x:v>
      </x:c>
      <x:c r="H203" s="7" t="s">
        <x:v>1554</x:v>
      </x:c>
      <x:c r="I203" s="10">
        <x:v>509.65</x:v>
      </x:c>
      <x:c r="J203" s="41"/>
      <x:c r="K203" s="41"/>
      <x:c r="L203" s="41"/>
      <x:c r="M203" s="41"/>
      <x:c r="N203" s="7" t="s">
        <x:v>1828</x:v>
      </x:c>
      <x:c r="O203" s="7" t="s">
        <x:v>1539</x:v>
      </x:c>
      <x:c r="P203" s="10">
        <x:v>4.0</x:v>
      </x:c>
      <x:c r="Q203" s="41"/>
      <x:c r="R203" s="10">
        <x:v>12.4</x:v>
      </x:c>
      <x:c r="S203" s="7" t="s">
        <x:v>1540</x:v>
      </x:c>
      <x:c r="T203" s="7" t="b">
        <x:v>0</x:v>
      </x:c>
      <x:c r="U203" s="7" t="s">
        <x:v>1541</x:v>
      </x:c>
      <x:c r="V203" s="26" t="s">
        <x:v>1542</x:v>
      </x:c>
      <x:c r="W203" s="7" t="s">
        <x:v>2451</x:v>
      </x:c>
      <x:c r="X203" s="41"/>
      <x:c r="Y203" s="41"/>
      <x:c r="Z203" s="41"/>
    </x:row>
    <x:row r="204">
      <x:c r="A204" s="7" t="s">
        <x:v>2452</x:v>
      </x:c>
      <x:c r="B204" s="7" t="s">
        <x:v>2453</x:v>
      </x:c>
      <x:c r="C204" s="7" t="s">
        <x:v>2454</x:v>
      </x:c>
      <x:c r="D204" s="7" t="s">
        <x:v>110</x:v>
      </x:c>
      <x:c r="E204" s="7" t="s">
        <x:v>1896</x:v>
      </x:c>
      <x:c r="F204" s="10">
        <x:v>12.35731</x:v>
      </x:c>
      <x:c r="G204" s="10">
        <x:v>102.437897</x:v>
      </x:c>
      <x:c r="H204" s="7" t="s">
        <x:v>1548</x:v>
      </x:c>
      <x:c r="I204" s="10">
        <x:v>2.32</x:v>
      </x:c>
      <x:c r="J204" s="41"/>
      <x:c r="K204" s="41"/>
      <x:c r="L204" s="41"/>
      <x:c r="M204" s="41"/>
      <x:c r="N204" s="7" t="s">
        <x:v>1828</x:v>
      </x:c>
      <x:c r="O204" s="7" t="s">
        <x:v>1539</x:v>
      </x:c>
      <x:c r="P204" s="10">
        <x:v>4.0</x:v>
      </x:c>
      <x:c r="Q204" s="41"/>
      <x:c r="R204" s="10">
        <x:v>82.4</x:v>
      </x:c>
      <x:c r="S204" s="7" t="s">
        <x:v>301</x:v>
      </x:c>
      <x:c r="T204" s="7" t="b">
        <x:v>0</x:v>
      </x:c>
      <x:c r="U204" s="7" t="s">
        <x:v>1541</x:v>
      </x:c>
      <x:c r="V204" s="26" t="s">
        <x:v>1542</x:v>
      </x:c>
      <x:c r="W204" s="7" t="s">
        <x:v>2455</x:v>
      </x:c>
      <x:c r="X204" s="41"/>
      <x:c r="Y204" s="41"/>
      <x:c r="Z204" s="41"/>
    </x:row>
    <x:row r="205">
      <x:c r="A205" s="7" t="s">
        <x:v>2456</x:v>
      </x:c>
      <x:c r="B205" s="7" t="s">
        <x:v>2457</x:v>
      </x:c>
      <x:c r="C205" s="7" t="s">
        <x:v>2458</x:v>
      </x:c>
      <x:c r="D205" s="7" t="s">
        <x:v>259</x:v>
      </x:c>
      <x:c r="E205" s="7" t="s">
        <x:v>2459</x:v>
      </x:c>
      <x:c r="F205" s="10">
        <x:v>6.737094</x:v>
      </x:c>
      <x:c r="G205" s="10">
        <x:v>101.27308</x:v>
      </x:c>
      <x:c r="H205" s="7" t="s">
        <x:v>1554</x:v>
      </x:c>
      <x:c r="I205" s="10">
        <x:v>2.2</x:v>
      </x:c>
      <x:c r="J205" s="41"/>
      <x:c r="K205" s="41"/>
      <x:c r="L205" s="41"/>
      <x:c r="M205" s="41"/>
      <x:c r="N205" s="7" t="s">
        <x:v>1828</x:v>
      </x:c>
      <x:c r="O205" s="7" t="s">
        <x:v>1539</x:v>
      </x:c>
      <x:c r="P205" s="10">
        <x:v>4.0</x:v>
      </x:c>
      <x:c r="Q205" s="41"/>
      <x:c r="R205" s="10">
        <x:v>12.4</x:v>
      </x:c>
      <x:c r="S205" s="7" t="s">
        <x:v>1540</x:v>
      </x:c>
      <x:c r="T205" s="7" t="b">
        <x:v>0</x:v>
      </x:c>
      <x:c r="U205" s="7" t="s">
        <x:v>1541</x:v>
      </x:c>
      <x:c r="V205" s="26" t="s">
        <x:v>1542</x:v>
      </x:c>
      <x:c r="W205" s="7" t="s">
        <x:v>2460</x:v>
      </x:c>
      <x:c r="X205" s="41"/>
      <x:c r="Y205" s="41"/>
      <x:c r="Z205" s="41"/>
    </x:row>
    <x:row r="206">
      <x:c r="A206" s="7" t="s">
        <x:v>2461</x:v>
      </x:c>
      <x:c r="B206" s="7" t="s">
        <x:v>2462</x:v>
      </x:c>
      <x:c r="C206" s="7" t="s">
        <x:v>2463</x:v>
      </x:c>
      <x:c r="D206" s="7" t="s">
        <x:v>65</x:v>
      </x:c>
      <x:c r="E206" s="7"/>
      <x:c r="F206" s="10">
        <x:v>14.650794</x:v>
      </x:c>
      <x:c r="G206" s="10">
        <x:v>100.742775</x:v>
      </x:c>
      <x:c r="H206" s="7" t="s">
        <x:v>1554</x:v>
      </x:c>
      <x:c r="I206" s="10">
        <x:v>9.65</x:v>
      </x:c>
      <x:c r="J206" s="41"/>
      <x:c r="K206" s="41"/>
      <x:c r="L206" s="41"/>
      <x:c r="M206" s="41"/>
      <x:c r="N206" s="7" t="s">
        <x:v>1828</x:v>
      </x:c>
      <x:c r="O206" s="7" t="s">
        <x:v>1539</x:v>
      </x:c>
      <x:c r="P206" s="10">
        <x:v>4.0</x:v>
      </x:c>
      <x:c r="Q206" s="41"/>
      <x:c r="R206" s="10">
        <x:v>12.4</x:v>
      </x:c>
      <x:c r="S206" s="7" t="s">
        <x:v>1540</x:v>
      </x:c>
      <x:c r="T206" s="7" t="b">
        <x:v>0</x:v>
      </x:c>
      <x:c r="U206" s="7" t="s">
        <x:v>1541</x:v>
      </x:c>
      <x:c r="V206" s="26" t="s">
        <x:v>1542</x:v>
      </x:c>
      <x:c r="W206" s="7" t="s">
        <x:v>2464</x:v>
      </x:c>
      <x:c r="X206" s="41"/>
      <x:c r="Y206" s="41"/>
      <x:c r="Z206" s="41"/>
    </x:row>
    <x:row r="207">
      <x:c r="A207" s="7" t="s">
        <x:v>2465</x:v>
      </x:c>
      <x:c r="B207" s="7" t="s">
        <x:v>2466</x:v>
      </x:c>
      <x:c r="C207" s="7" t="s">
        <x:v>2467</x:v>
      </x:c>
      <x:c r="D207" s="7" t="s">
        <x:v>246</x:v>
      </x:c>
      <x:c r="E207" s="7" t="s">
        <x:v>2467</x:v>
      </x:c>
      <x:c r="F207" s="10">
        <x:v>16.195435</x:v>
      </x:c>
      <x:c r="G207" s="10">
        <x:v>104.52569</x:v>
      </x:c>
      <x:c r="H207" s="7" t="s">
        <x:v>1554</x:v>
      </x:c>
      <x:c r="I207" s="10">
        <x:v>143.61</x:v>
      </x:c>
      <x:c r="J207" s="41"/>
      <x:c r="K207" s="41"/>
      <x:c r="L207" s="41"/>
      <x:c r="M207" s="41"/>
      <x:c r="N207" s="7" t="s">
        <x:v>1828</x:v>
      </x:c>
      <x:c r="O207" s="7" t="s">
        <x:v>1539</x:v>
      </x:c>
      <x:c r="P207" s="10">
        <x:v>4.0</x:v>
      </x:c>
      <x:c r="Q207" s="41"/>
      <x:c r="R207" s="10">
        <x:v>12.4</x:v>
      </x:c>
      <x:c r="S207" s="7" t="s">
        <x:v>1540</x:v>
      </x:c>
      <x:c r="T207" s="7" t="b">
        <x:v>0</x:v>
      </x:c>
      <x:c r="U207" s="7" t="s">
        <x:v>1541</x:v>
      </x:c>
      <x:c r="V207" s="26" t="s">
        <x:v>1542</x:v>
      </x:c>
      <x:c r="W207" s="7" t="s">
        <x:v>2468</x:v>
      </x:c>
      <x:c r="X207" s="41"/>
      <x:c r="Y207" s="41"/>
      <x:c r="Z207" s="41"/>
    </x:row>
    <x:row r="208">
      <x:c r="A208" s="7" t="s">
        <x:v>2469</x:v>
      </x:c>
      <x:c r="B208" s="7" t="s">
        <x:v>2470</x:v>
      </x:c>
      <x:c r="C208" s="7" t="s">
        <x:v>2471</x:v>
      </x:c>
      <x:c r="D208" s="7" t="s">
        <x:v>18</x:v>
      </x:c>
      <x:c r="E208" s="7" t="s">
        <x:v>2471</x:v>
      </x:c>
      <x:c r="F208" s="10">
        <x:v>16.63925</x:v>
      </x:c>
      <x:c r="G208" s="10">
        <x:v>99.242813</x:v>
      </x:c>
      <x:c r="H208" s="7" t="s">
        <x:v>1548</x:v>
      </x:c>
      <x:c r="I208" s="10">
        <x:v>107.26</x:v>
      </x:c>
      <x:c r="J208" s="41"/>
      <x:c r="K208" s="41"/>
      <x:c r="L208" s="41"/>
      <x:c r="M208" s="41"/>
      <x:c r="N208" s="7" t="s">
        <x:v>1828</x:v>
      </x:c>
      <x:c r="O208" s="7" t="s">
        <x:v>1539</x:v>
      </x:c>
      <x:c r="P208" s="10">
        <x:v>4.0</x:v>
      </x:c>
      <x:c r="Q208" s="41"/>
      <x:c r="R208" s="10">
        <x:v>82.4</x:v>
      </x:c>
      <x:c r="S208" s="7" t="s">
        <x:v>301</x:v>
      </x:c>
      <x:c r="T208" s="7" t="b">
        <x:v>0</x:v>
      </x:c>
      <x:c r="U208" s="7" t="s">
        <x:v>1541</x:v>
      </x:c>
      <x:c r="V208" s="26" t="s">
        <x:v>1542</x:v>
      </x:c>
      <x:c r="W208" s="7" t="s">
        <x:v>2472</x:v>
      </x:c>
      <x:c r="X208" s="41"/>
      <x:c r="Y208" s="41"/>
      <x:c r="Z208" s="41"/>
    </x:row>
    <x:row r="209">
      <x:c r="A209" s="7" t="s">
        <x:v>2473</x:v>
      </x:c>
      <x:c r="B209" s="7" t="s">
        <x:v>2474</x:v>
      </x:c>
      <x:c r="C209" s="7" t="s">
        <x:v>2475</x:v>
      </x:c>
      <x:c r="D209" s="7" t="s">
        <x:v>235</x:v>
      </x:c>
      <x:c r="E209" s="7" t="s">
        <x:v>2476</x:v>
      </x:c>
      <x:c r="F209" s="10">
        <x:v>17.115396</x:v>
      </x:c>
      <x:c r="G209" s="10">
        <x:v>104.53788</x:v>
      </x:c>
      <x:c r="H209" s="7" t="s">
        <x:v>1554</x:v>
      </x:c>
      <x:c r="I209" s="10">
        <x:v>147.43</x:v>
      </x:c>
      <x:c r="J209" s="41"/>
      <x:c r="K209" s="41"/>
      <x:c r="L209" s="41"/>
      <x:c r="M209" s="41"/>
      <x:c r="N209" s="7" t="s">
        <x:v>1828</x:v>
      </x:c>
      <x:c r="O209" s="7" t="s">
        <x:v>1539</x:v>
      </x:c>
      <x:c r="P209" s="10">
        <x:v>4.0</x:v>
      </x:c>
      <x:c r="Q209" s="41"/>
      <x:c r="R209" s="10">
        <x:v>12.4</x:v>
      </x:c>
      <x:c r="S209" s="7" t="s">
        <x:v>1540</x:v>
      </x:c>
      <x:c r="T209" s="7" t="b">
        <x:v>0</x:v>
      </x:c>
      <x:c r="U209" s="7" t="s">
        <x:v>1541</x:v>
      </x:c>
      <x:c r="V209" s="26" t="s">
        <x:v>1542</x:v>
      </x:c>
      <x:c r="W209" s="7" t="s">
        <x:v>2477</x:v>
      </x:c>
      <x:c r="X209" s="41"/>
      <x:c r="Y209" s="41"/>
      <x:c r="Z209" s="41"/>
    </x:row>
    <x:row r="210">
      <x:c r="A210" s="7" t="s">
        <x:v>2478</x:v>
      </x:c>
      <x:c r="B210" s="7" t="s">
        <x:v>2479</x:v>
      </x:c>
      <x:c r="C210" s="7" t="s">
        <x:v>2480</x:v>
      </x:c>
      <x:c r="D210" s="7" t="s">
        <x:v>234</x:v>
      </x:c>
      <x:c r="E210" s="7" t="s">
        <x:v>2480</x:v>
      </x:c>
      <x:c r="F210" s="10">
        <x:v>17.322742</x:v>
      </x:c>
      <x:c r="G210" s="10">
        <x:v>103.97923</x:v>
      </x:c>
      <x:c r="H210" s="7" t="s">
        <x:v>1554</x:v>
      </x:c>
      <x:c r="I210" s="10">
        <x:v>153.22</x:v>
      </x:c>
      <x:c r="J210" s="41"/>
      <x:c r="K210" s="41"/>
      <x:c r="L210" s="41"/>
      <x:c r="M210" s="41"/>
      <x:c r="N210" s="7" t="s">
        <x:v>1828</x:v>
      </x:c>
      <x:c r="O210" s="7" t="s">
        <x:v>1539</x:v>
      </x:c>
      <x:c r="P210" s="10">
        <x:v>4.0</x:v>
      </x:c>
      <x:c r="Q210" s="41"/>
      <x:c r="R210" s="10">
        <x:v>12.4</x:v>
      </x:c>
      <x:c r="S210" s="7" t="s">
        <x:v>1540</x:v>
      </x:c>
      <x:c r="T210" s="7" t="b">
        <x:v>0</x:v>
      </x:c>
      <x:c r="U210" s="7" t="s">
        <x:v>1541</x:v>
      </x:c>
      <x:c r="V210" s="26" t="s">
        <x:v>1542</x:v>
      </x:c>
      <x:c r="W210" s="7" t="s">
        <x:v>2481</x:v>
      </x:c>
      <x:c r="X210" s="41"/>
      <x:c r="Y210" s="41"/>
      <x:c r="Z210" s="41"/>
    </x:row>
    <x:row r="211">
      <x:c r="A211" s="7" t="s">
        <x:v>2482</x:v>
      </x:c>
      <x:c r="B211" s="7" t="s">
        <x:v>2483</x:v>
      </x:c>
      <x:c r="C211" s="7" t="s">
        <x:v>2484</x:v>
      </x:c>
      <x:c r="D211" s="7" t="s">
        <x:v>242</x:v>
      </x:c>
      <x:c r="E211" s="7" t="s">
        <x:v>2032</x:v>
      </x:c>
      <x:c r="F211" s="10">
        <x:v>15.22652</x:v>
      </x:c>
      <x:c r="G211" s="10">
        <x:v>104.86159</x:v>
      </x:c>
      <x:c r="H211" s="7" t="s">
        <x:v>1548</x:v>
      </x:c>
      <x:c r="I211" s="10">
        <x:v>110.85</x:v>
      </x:c>
      <x:c r="J211" s="41"/>
      <x:c r="K211" s="41"/>
      <x:c r="L211" s="41"/>
      <x:c r="M211" s="10">
        <x:v>113.84</x:v>
      </x:c>
      <x:c r="N211" s="7" t="s">
        <x:v>1828</x:v>
      </x:c>
      <x:c r="O211" s="7" t="s">
        <x:v>1539</x:v>
      </x:c>
      <x:c r="P211" s="10">
        <x:v>4.0</x:v>
      </x:c>
      <x:c r="Q211" s="41"/>
      <x:c r="R211" s="10">
        <x:v>82.4</x:v>
      </x:c>
      <x:c r="S211" s="7" t="s">
        <x:v>301</x:v>
      </x:c>
      <x:c r="T211" s="7" t="b">
        <x:v>0</x:v>
      </x:c>
      <x:c r="U211" s="7" t="s">
        <x:v>1541</x:v>
      </x:c>
      <x:c r="V211" s="26" t="s">
        <x:v>1542</x:v>
      </x:c>
      <x:c r="W211" s="7" t="s">
        <x:v>2485</x:v>
      </x:c>
      <x:c r="X211" s="41"/>
      <x:c r="Y211" s="41"/>
      <x:c r="Z211" s="41"/>
    </x:row>
    <x:row r="212">
      <x:c r="A212" s="7" t="s">
        <x:v>2486</x:v>
      </x:c>
      <x:c r="B212" s="7" t="s">
        <x:v>2487</x:v>
      </x:c>
      <x:c r="C212" s="7" t="s">
        <x:v>2488</x:v>
      </x:c>
      <x:c r="D212" s="7" t="s">
        <x:v>242</x:v>
      </x:c>
      <x:c r="E212" s="7" t="s">
        <x:v>2489</x:v>
      </x:c>
      <x:c r="F212" s="10">
        <x:v>14.79088</x:v>
      </x:c>
      <x:c r="G212" s="10">
        <x:v>105.102768</x:v>
      </x:c>
      <x:c r="H212" s="7" t="s">
        <x:v>1548</x:v>
      </x:c>
      <x:c r="I212" s="10">
        <x:v>129.95</x:v>
      </x:c>
      <x:c r="J212" s="41"/>
      <x:c r="K212" s="41"/>
      <x:c r="L212" s="41"/>
      <x:c r="M212" s="10"/>
      <x:c r="N212" s="7" t="s">
        <x:v>1828</x:v>
      </x:c>
      <x:c r="O212" s="7" t="s">
        <x:v>1539</x:v>
      </x:c>
      <x:c r="P212" s="10">
        <x:v>4.0</x:v>
      </x:c>
      <x:c r="Q212" s="41"/>
      <x:c r="R212" s="10">
        <x:v>82.4</x:v>
      </x:c>
      <x:c r="S212" s="7" t="s">
        <x:v>301</x:v>
      </x:c>
      <x:c r="T212" s="7" t="b">
        <x:v>0</x:v>
      </x:c>
      <x:c r="U212" s="7" t="s">
        <x:v>1541</x:v>
      </x:c>
      <x:c r="V212" s="26" t="s">
        <x:v>1542</x:v>
      </x:c>
      <x:c r="W212" s="7" t="s">
        <x:v>2490</x:v>
      </x:c>
      <x:c r="X212" s="41"/>
      <x:c r="Y212" s="41"/>
      <x:c r="Z212" s="41"/>
    </x:row>
    <x:row r="213">
      <x:c r="A213" s="7" t="s">
        <x:v>2491</x:v>
      </x:c>
      <x:c r="B213" s="7" t="s">
        <x:v>2492</x:v>
      </x:c>
      <x:c r="C213" s="7" t="s">
        <x:v>2493</x:v>
      </x:c>
      <x:c r="D213" s="7" t="s">
        <x:v>217</x:v>
      </x:c>
      <x:c r="E213" s="7" t="s">
        <x:v>1734</x:v>
      </x:c>
      <x:c r="F213" s="10">
        <x:v>16.92732</x:v>
      </x:c>
      <x:c r="G213" s="10">
        <x:v>99.95933</x:v>
      </x:c>
      <x:c r="H213" s="7" t="s">
        <x:v>1554</x:v>
      </x:c>
      <x:c r="I213" s="10">
        <x:v>42.01</x:v>
      </x:c>
      <x:c r="J213" s="41"/>
      <x:c r="K213" s="41"/>
      <x:c r="L213" s="41"/>
      <x:c r="M213" s="41"/>
      <x:c r="N213" s="7" t="s">
        <x:v>1828</x:v>
      </x:c>
      <x:c r="O213" s="7" t="s">
        <x:v>1539</x:v>
      </x:c>
      <x:c r="P213" s="10">
        <x:v>4.0</x:v>
      </x:c>
      <x:c r="Q213" s="41"/>
      <x:c r="R213" s="10">
        <x:v>12.4</x:v>
      </x:c>
      <x:c r="S213" s="7" t="s">
        <x:v>1540</x:v>
      </x:c>
      <x:c r="T213" s="7" t="b">
        <x:v>0</x:v>
      </x:c>
      <x:c r="U213" s="7" t="s">
        <x:v>1541</x:v>
      </x:c>
      <x:c r="V213" s="26" t="s">
        <x:v>1542</x:v>
      </x:c>
      <x:c r="W213" s="7" t="s">
        <x:v>2494</x:v>
      </x:c>
      <x:c r="X213" s="41"/>
      <x:c r="Y213" s="41"/>
      <x:c r="Z213" s="41"/>
    </x:row>
    <x:row r="214">
      <x:c r="A214" s="7" t="s">
        <x:v>2495</x:v>
      </x:c>
      <x:c r="B214" s="7" t="s">
        <x:v>2496</x:v>
      </x:c>
      <x:c r="C214" s="7" t="s">
        <x:v>2497</x:v>
      </x:c>
      <x:c r="D214" s="7" t="s">
        <x:v>118</x:v>
      </x:c>
      <x:c r="E214" s="7" t="s">
        <x:v>2393</x:v>
      </x:c>
      <x:c r="F214" s="10">
        <x:v>15.68176</x:v>
      </x:c>
      <x:c r="G214" s="10">
        <x:v>102.009552</x:v>
      </x:c>
      <x:c r="H214" s="7" t="s">
        <x:v>1548</x:v>
      </x:c>
      <x:c r="I214" s="10">
        <x:v>183.26</x:v>
      </x:c>
      <x:c r="J214" s="41"/>
      <x:c r="K214" s="41"/>
      <x:c r="L214" s="41"/>
      <x:c r="M214" s="10"/>
      <x:c r="N214" s="7" t="s">
        <x:v>1828</x:v>
      </x:c>
      <x:c r="O214" s="7" t="s">
        <x:v>1539</x:v>
      </x:c>
      <x:c r="P214" s="10">
        <x:v>4.0</x:v>
      </x:c>
      <x:c r="Q214" s="41"/>
      <x:c r="R214" s="10">
        <x:v>82.4</x:v>
      </x:c>
      <x:c r="S214" s="7" t="s">
        <x:v>301</x:v>
      </x:c>
      <x:c r="T214" s="7" t="b">
        <x:v>0</x:v>
      </x:c>
      <x:c r="U214" s="7" t="s">
        <x:v>1541</x:v>
      </x:c>
      <x:c r="V214" s="26" t="s">
        <x:v>1542</x:v>
      </x:c>
      <x:c r="W214" s="7" t="s">
        <x:v>2498</x:v>
      </x:c>
      <x:c r="X214" s="41"/>
      <x:c r="Y214" s="41"/>
      <x:c r="Z214" s="41"/>
    </x:row>
    <x:row r="215">
      <x:c r="A215" s="7" t="s">
        <x:v>2499</x:v>
      </x:c>
      <x:c r="B215" s="7" t="s">
        <x:v>2500</x:v>
      </x:c>
      <x:c r="C215" s="7" t="s">
        <x:v>2501</x:v>
      </x:c>
      <x:c r="D215" s="7" t="s">
        <x:v>223</x:v>
      </x:c>
      <x:c r="E215" s="7" t="s">
        <x:v>2502</x:v>
      </x:c>
      <x:c r="F215" s="10">
        <x:v>13.58184</x:v>
      </x:c>
      <x:c r="G215" s="10">
        <x:v>100.36587</x:v>
      </x:c>
      <x:c r="H215" s="7" t="s">
        <x:v>1554</x:v>
      </x:c>
      <x:c r="I215" s="10">
        <x:v>0.3</x:v>
      </x:c>
      <x:c r="J215" s="41"/>
      <x:c r="K215" s="41"/>
      <x:c r="L215" s="41"/>
      <x:c r="M215" s="41"/>
      <x:c r="N215" s="7" t="s">
        <x:v>1828</x:v>
      </x:c>
      <x:c r="O215" s="7" t="s">
        <x:v>1539</x:v>
      </x:c>
      <x:c r="P215" s="10">
        <x:v>4.0</x:v>
      </x:c>
      <x:c r="Q215" s="41"/>
      <x:c r="R215" s="10">
        <x:v>12.4</x:v>
      </x:c>
      <x:c r="S215" s="7" t="s">
        <x:v>1540</x:v>
      </x:c>
      <x:c r="T215" s="7" t="b">
        <x:v>0</x:v>
      </x:c>
      <x:c r="U215" s="7" t="s">
        <x:v>1541</x:v>
      </x:c>
      <x:c r="V215" s="26" t="s">
        <x:v>1542</x:v>
      </x:c>
      <x:c r="W215" s="7" t="s">
        <x:v>2503</x:v>
      </x:c>
      <x:c r="X215" s="41"/>
      <x:c r="Y215" s="41"/>
      <x:c r="Z215" s="41"/>
    </x:row>
    <x:row r="216">
      <x:c r="A216" s="7" t="s">
        <x:v>2504</x:v>
      </x:c>
      <x:c r="B216" s="7" t="s">
        <x:v>2505</x:v>
      </x:c>
      <x:c r="C216" s="7" t="s">
        <x:v>2506</x:v>
      </x:c>
      <x:c r="D216" s="7" t="s">
        <x:v>122</x:v>
      </x:c>
      <x:c r="E216" s="7" t="s">
        <x:v>2032</x:v>
      </x:c>
      <x:c r="F216" s="10">
        <x:v>14.96803</x:v>
      </x:c>
      <x:c r="G216" s="10">
        <x:v>102.237831</x:v>
      </x:c>
      <x:c r="H216" s="7" t="s">
        <x:v>1548</x:v>
      </x:c>
      <x:c r="I216" s="10">
        <x:v>165.6</x:v>
      </x:c>
      <x:c r="J216" s="41"/>
      <x:c r="K216" s="41"/>
      <x:c r="L216" s="41"/>
      <x:c r="M216" s="41"/>
      <x:c r="N216" s="7" t="s">
        <x:v>1828</x:v>
      </x:c>
      <x:c r="O216" s="7" t="s">
        <x:v>1539</x:v>
      </x:c>
      <x:c r="P216" s="10">
        <x:v>4.0</x:v>
      </x:c>
      <x:c r="Q216" s="41"/>
      <x:c r="R216" s="10">
        <x:v>82.4</x:v>
      </x:c>
      <x:c r="S216" s="7" t="s">
        <x:v>301</x:v>
      </x:c>
      <x:c r="T216" s="7" t="b">
        <x:v>0</x:v>
      </x:c>
      <x:c r="U216" s="7" t="s">
        <x:v>1541</x:v>
      </x:c>
      <x:c r="V216" s="26" t="s">
        <x:v>1542</x:v>
      </x:c>
      <x:c r="W216" s="7" t="s">
        <x:v>2507</x:v>
      </x:c>
      <x:c r="X216" s="41"/>
      <x:c r="Y216" s="41"/>
      <x:c r="Z216" s="41"/>
    </x:row>
    <x:row r="217">
      <x:c r="A217" s="7" t="s">
        <x:v>2508</x:v>
      </x:c>
      <x:c r="B217" s="7" t="s">
        <x:v>2509</x:v>
      </x:c>
      <x:c r="C217" s="7" t="s">
        <x:v>2510</x:v>
      </x:c>
      <x:c r="D217" s="7" t="s">
        <x:v>243</x:v>
      </x:c>
      <x:c r="E217" s="7" t="s">
        <x:v>2365</x:v>
      </x:c>
      <x:c r="F217" s="10">
        <x:v>15.118111</x:v>
      </x:c>
      <x:c r="G217" s="10">
        <x:v>104.31859</x:v>
      </x:c>
      <x:c r="H217" s="7" t="s">
        <x:v>1554</x:v>
      </x:c>
      <x:c r="I217" s="10">
        <x:v>115.94</x:v>
      </x:c>
      <x:c r="J217" s="41"/>
      <x:c r="K217" s="41"/>
      <x:c r="L217" s="41"/>
      <x:c r="M217" s="41"/>
      <x:c r="N217" s="7" t="s">
        <x:v>1828</x:v>
      </x:c>
      <x:c r="O217" s="7" t="s">
        <x:v>1539</x:v>
      </x:c>
      <x:c r="P217" s="10">
        <x:v>4.0</x:v>
      </x:c>
      <x:c r="Q217" s="41"/>
      <x:c r="R217" s="10">
        <x:v>12.4</x:v>
      </x:c>
      <x:c r="S217" s="7" t="s">
        <x:v>1540</x:v>
      </x:c>
      <x:c r="T217" s="7" t="b">
        <x:v>0</x:v>
      </x:c>
      <x:c r="U217" s="7" t="s">
        <x:v>1541</x:v>
      </x:c>
      <x:c r="V217" s="26" t="s">
        <x:v>1542</x:v>
      </x:c>
      <x:c r="W217" s="7" t="s">
        <x:v>2511</x:v>
      </x:c>
      <x:c r="X217" s="41"/>
      <x:c r="Y217" s="41"/>
      <x:c r="Z217" s="41"/>
    </x:row>
    <x:row r="218">
      <x:c r="A218" s="7" t="s">
        <x:v>2512</x:v>
      </x:c>
      <x:c r="B218" s="7" t="s">
        <x:v>2513</x:v>
      </x:c>
      <x:c r="C218" s="7" t="s">
        <x:v>2514</x:v>
      </x:c>
      <x:c r="D218" s="7" t="s">
        <x:v>219</x:v>
      </x:c>
      <x:c r="E218" s="7" t="s">
        <x:v>1734</x:v>
      </x:c>
      <x:c r="F218" s="10">
        <x:v>16.31077</x:v>
      </x:c>
      <x:c r="G218" s="10">
        <x:v>100.27173</x:v>
      </x:c>
      <x:c r="H218" s="7" t="s">
        <x:v>1554</x:v>
      </x:c>
      <x:c r="I218" s="10">
        <x:v>32.58</x:v>
      </x:c>
      <x:c r="J218" s="41"/>
      <x:c r="K218" s="41"/>
      <x:c r="L218" s="41"/>
      <x:c r="M218" s="41"/>
      <x:c r="N218" s="7" t="s">
        <x:v>1828</x:v>
      </x:c>
      <x:c r="O218" s="7" t="s">
        <x:v>1539</x:v>
      </x:c>
      <x:c r="P218" s="10">
        <x:v>4.0</x:v>
      </x:c>
      <x:c r="Q218" s="41"/>
      <x:c r="R218" s="10">
        <x:v>12.4</x:v>
      </x:c>
      <x:c r="S218" s="7" t="s">
        <x:v>1540</x:v>
      </x:c>
      <x:c r="T218" s="7" t="b">
        <x:v>0</x:v>
      </x:c>
      <x:c r="U218" s="7" t="s">
        <x:v>1541</x:v>
      </x:c>
      <x:c r="V218" s="26" t="s">
        <x:v>1542</x:v>
      </x:c>
      <x:c r="W218" s="7" t="s">
        <x:v>2515</x:v>
      </x:c>
      <x:c r="X218" s="41"/>
      <x:c r="Y218" s="41"/>
      <x:c r="Z218" s="41"/>
    </x:row>
    <x:row r="219">
      <x:c r="A219" s="7" t="s">
        <x:v>2516</x:v>
      </x:c>
      <x:c r="B219" s="7" t="s">
        <x:v>2517</x:v>
      </x:c>
      <x:c r="C219" s="7" t="s">
        <x:v>2518</x:v>
      </x:c>
      <x:c r="D219" s="7" t="s">
        <x:v>235</x:v>
      </x:c>
      <x:c r="E219" s="7" t="s">
        <x:v>1945</x:v>
      </x:c>
      <x:c r="F219" s="10">
        <x:v>17.065418</x:v>
      </x:c>
      <x:c r="G219" s="10">
        <x:v>104.57897</x:v>
      </x:c>
      <x:c r="H219" s="7" t="s">
        <x:v>1554</x:v>
      </x:c>
      <x:c r="I219" s="10">
        <x:v>143.11</x:v>
      </x:c>
      <x:c r="J219" s="41"/>
      <x:c r="K219" s="41"/>
      <x:c r="L219" s="41"/>
      <x:c r="M219" s="41"/>
      <x:c r="N219" s="7" t="s">
        <x:v>1828</x:v>
      </x:c>
      <x:c r="O219" s="7" t="s">
        <x:v>1539</x:v>
      </x:c>
      <x:c r="P219" s="10">
        <x:v>4.0</x:v>
      </x:c>
      <x:c r="Q219" s="41"/>
      <x:c r="R219" s="10">
        <x:v>12.4</x:v>
      </x:c>
      <x:c r="S219" s="7" t="s">
        <x:v>1540</x:v>
      </x:c>
      <x:c r="T219" s="7" t="b">
        <x:v>0</x:v>
      </x:c>
      <x:c r="U219" s="7" t="s">
        <x:v>1541</x:v>
      </x:c>
      <x:c r="V219" s="26" t="s">
        <x:v>1542</x:v>
      </x:c>
      <x:c r="W219" s="7" t="s">
        <x:v>2519</x:v>
      </x:c>
      <x:c r="X219" s="41"/>
      <x:c r="Y219" s="41"/>
      <x:c r="Z219" s="41"/>
    </x:row>
    <x:row r="220">
      <x:c r="A220" s="7" t="s">
        <x:v>2520</x:v>
      </x:c>
      <x:c r="B220" s="7" t="s">
        <x:v>2521</x:v>
      </x:c>
      <x:c r="C220" s="7" t="s">
        <x:v>2522</x:v>
      </x:c>
      <x:c r="D220" s="7" t="s">
        <x:v>128</x:v>
      </x:c>
      <x:c r="E220" s="7" t="s">
        <x:v>1729</x:v>
      </x:c>
      <x:c r="F220" s="10">
        <x:v>13.92245</x:v>
      </x:c>
      <x:c r="G220" s="10">
        <x:v>100.63438</x:v>
      </x:c>
      <x:c r="H220" s="7" t="s">
        <x:v>1554</x:v>
      </x:c>
      <x:c r="I220" s="10">
        <x:v>1.42</x:v>
      </x:c>
      <x:c r="J220" s="41"/>
      <x:c r="K220" s="41"/>
      <x:c r="L220" s="41"/>
      <x:c r="M220" s="41"/>
      <x:c r="N220" s="7" t="s">
        <x:v>1828</x:v>
      </x:c>
      <x:c r="O220" s="7" t="s">
        <x:v>1539</x:v>
      </x:c>
      <x:c r="P220" s="10">
        <x:v>4.0</x:v>
      </x:c>
      <x:c r="Q220" s="41"/>
      <x:c r="R220" s="10">
        <x:v>12.4</x:v>
      </x:c>
      <x:c r="S220" s="7" t="s">
        <x:v>1540</x:v>
      </x:c>
      <x:c r="T220" s="7" t="b">
        <x:v>0</x:v>
      </x:c>
      <x:c r="U220" s="7" t="s">
        <x:v>1541</x:v>
      </x:c>
      <x:c r="V220" s="26" t="s">
        <x:v>1542</x:v>
      </x:c>
      <x:c r="W220" s="7" t="s">
        <x:v>2523</x:v>
      </x:c>
      <x:c r="X220" s="41"/>
      <x:c r="Y220" s="41"/>
      <x:c r="Z220" s="41"/>
    </x:row>
    <x:row r="221">
      <x:c r="A221" s="7" t="s">
        <x:v>2524</x:v>
      </x:c>
      <x:c r="B221" s="7" t="s">
        <x:v>2525</x:v>
      </x:c>
      <x:c r="C221" s="7" t="s">
        <x:v>2526</x:v>
      </x:c>
      <x:c r="D221" s="7" t="s">
        <x:v>242</x:v>
      </x:c>
      <x:c r="E221" s="7" t="s">
        <x:v>2032</x:v>
      </x:c>
      <x:c r="F221" s="10">
        <x:v>15.26995</x:v>
      </x:c>
      <x:c r="G221" s="10">
        <x:v>105.30611</x:v>
      </x:c>
      <x:c r="H221" s="7" t="s">
        <x:v>1548</x:v>
      </x:c>
      <x:c r="I221" s="10">
        <x:v>107.3</x:v>
      </x:c>
      <x:c r="J221" s="41"/>
      <x:c r="K221" s="41"/>
      <x:c r="L221" s="41"/>
      <x:c r="M221" s="10">
        <x:v>111.8</x:v>
      </x:c>
      <x:c r="N221" s="7" t="s">
        <x:v>1828</x:v>
      </x:c>
      <x:c r="O221" s="7" t="s">
        <x:v>1539</x:v>
      </x:c>
      <x:c r="P221" s="10">
        <x:v>4.0</x:v>
      </x:c>
      <x:c r="Q221" s="41"/>
      <x:c r="R221" s="10">
        <x:v>82.4</x:v>
      </x:c>
      <x:c r="S221" s="7" t="s">
        <x:v>301</x:v>
      </x:c>
      <x:c r="T221" s="7" t="b">
        <x:v>0</x:v>
      </x:c>
      <x:c r="U221" s="7" t="s">
        <x:v>1541</x:v>
      </x:c>
      <x:c r="V221" s="26" t="s">
        <x:v>1542</x:v>
      </x:c>
      <x:c r="W221" s="7" t="s">
        <x:v>2527</x:v>
      </x:c>
      <x:c r="X221" s="41"/>
      <x:c r="Y221" s="41"/>
      <x:c r="Z221" s="41"/>
    </x:row>
    <x:row r="222">
      <x:c r="A222" s="7" t="s">
        <x:v>2528</x:v>
      </x:c>
      <x:c r="B222" s="7" t="s">
        <x:v>2529</x:v>
      </x:c>
      <x:c r="C222" s="7" t="s">
        <x:v>2530</x:v>
      </x:c>
      <x:c r="D222" s="7" t="s">
        <x:v>46</x:v>
      </x:c>
      <x:c r="E222" s="7" t="s">
        <x:v>1703</x:v>
      </x:c>
      <x:c r="F222" s="10">
        <x:v>15.32743</x:v>
      </x:c>
      <x:c r="G222" s="10">
        <x:v>101.212402</x:v>
      </x:c>
      <x:c r="H222" s="7" t="s">
        <x:v>1548</x:v>
      </x:c>
      <x:c r="I222" s="10">
        <x:v>47.99</x:v>
      </x:c>
      <x:c r="J222" s="41"/>
      <x:c r="K222" s="41"/>
      <x:c r="L222" s="41"/>
      <x:c r="M222" s="10"/>
      <x:c r="N222" s="7" t="s">
        <x:v>1828</x:v>
      </x:c>
      <x:c r="O222" s="7" t="s">
        <x:v>1539</x:v>
      </x:c>
      <x:c r="P222" s="10">
        <x:v>4.0</x:v>
      </x:c>
      <x:c r="Q222" s="41"/>
      <x:c r="R222" s="10">
        <x:v>82.4</x:v>
      </x:c>
      <x:c r="S222" s="7" t="s">
        <x:v>301</x:v>
      </x:c>
      <x:c r="T222" s="7" t="b">
        <x:v>0</x:v>
      </x:c>
      <x:c r="U222" s="7" t="s">
        <x:v>1541</x:v>
      </x:c>
      <x:c r="V222" s="26" t="s">
        <x:v>1542</x:v>
      </x:c>
      <x:c r="W222" s="7" t="s">
        <x:v>2531</x:v>
      </x:c>
      <x:c r="X222" s="41"/>
      <x:c r="Y222" s="41"/>
      <x:c r="Z222" s="41"/>
    </x:row>
    <x:row r="223">
      <x:c r="A223" s="7" t="s">
        <x:v>2532</x:v>
      </x:c>
      <x:c r="B223" s="7" t="s">
        <x:v>2533</x:v>
      </x:c>
      <x:c r="C223" s="7" t="s">
        <x:v>2534</x:v>
      </x:c>
      <x:c r="D223" s="7" t="s">
        <x:v>235</x:v>
      </x:c>
      <x:c r="E223" s="7" t="s">
        <x:v>1945</x:v>
      </x:c>
      <x:c r="F223" s="10">
        <x:v>16.962238</x:v>
      </x:c>
      <x:c r="G223" s="10">
        <x:v>104.52524</x:v>
      </x:c>
      <x:c r="H223" s="7" t="s">
        <x:v>1554</x:v>
      </x:c>
      <x:c r="I223" s="10">
        <x:v>142.45</x:v>
      </x:c>
      <x:c r="J223" s="41"/>
      <x:c r="K223" s="41"/>
      <x:c r="L223" s="41"/>
      <x:c r="M223" s="10"/>
      <x:c r="N223" s="7" t="s">
        <x:v>1828</x:v>
      </x:c>
      <x:c r="O223" s="7" t="s">
        <x:v>1539</x:v>
      </x:c>
      <x:c r="P223" s="10">
        <x:v>4.0</x:v>
      </x:c>
      <x:c r="Q223" s="41"/>
      <x:c r="R223" s="10">
        <x:v>12.4</x:v>
      </x:c>
      <x:c r="S223" s="7" t="s">
        <x:v>1540</x:v>
      </x:c>
      <x:c r="T223" s="7" t="b">
        <x:v>0</x:v>
      </x:c>
      <x:c r="U223" s="7" t="s">
        <x:v>1541</x:v>
      </x:c>
      <x:c r="V223" s="26" t="s">
        <x:v>1542</x:v>
      </x:c>
      <x:c r="W223" s="7" t="s">
        <x:v>2535</x:v>
      </x:c>
      <x:c r="X223" s="41"/>
      <x:c r="Y223" s="41"/>
      <x:c r="Z223" s="41"/>
    </x:row>
    <x:row r="224">
      <x:c r="A224" s="7" t="s">
        <x:v>2536</x:v>
      </x:c>
      <x:c r="B224" s="7" t="s">
        <x:v>2537</x:v>
      </x:c>
      <x:c r="C224" s="7" t="s">
        <x:v>2538</x:v>
      </x:c>
      <x:c r="D224" s="7" t="s">
        <x:v>107</x:v>
      </x:c>
      <x:c r="E224" s="7" t="s">
        <x:v>2411</x:v>
      </x:c>
      <x:c r="F224" s="10">
        <x:v>12.613584</x:v>
      </x:c>
      <x:c r="G224" s="10">
        <x:v>102.11407</x:v>
      </x:c>
      <x:c r="H224" s="7" t="s">
        <x:v>1554</x:v>
      </x:c>
      <x:c r="I224" s="10">
        <x:v>1.42</x:v>
      </x:c>
      <x:c r="J224" s="41"/>
      <x:c r="K224" s="41"/>
      <x:c r="L224" s="41"/>
      <x:c r="M224" s="10"/>
      <x:c r="N224" s="7" t="s">
        <x:v>1828</x:v>
      </x:c>
      <x:c r="O224" s="7" t="s">
        <x:v>1539</x:v>
      </x:c>
      <x:c r="P224" s="10">
        <x:v>4.0</x:v>
      </x:c>
      <x:c r="Q224" s="41"/>
      <x:c r="R224" s="10">
        <x:v>12.4</x:v>
      </x:c>
      <x:c r="S224" s="7" t="s">
        <x:v>1540</x:v>
      </x:c>
      <x:c r="T224" s="7" t="b">
        <x:v>0</x:v>
      </x:c>
      <x:c r="U224" s="7" t="s">
        <x:v>1541</x:v>
      </x:c>
      <x:c r="V224" s="26" t="s">
        <x:v>1542</x:v>
      </x:c>
      <x:c r="W224" s="7" t="s">
        <x:v>2539</x:v>
      </x:c>
      <x:c r="X224" s="41"/>
      <x:c r="Y224" s="41"/>
      <x:c r="Z224" s="41"/>
    </x:row>
    <x:row r="225">
      <x:c r="A225" s="7" t="s">
        <x:v>2540</x:v>
      </x:c>
      <x:c r="B225" s="7" t="s">
        <x:v>2541</x:v>
      </x:c>
      <x:c r="C225" s="7" t="s">
        <x:v>2542</x:v>
      </x:c>
      <x:c r="D225" s="7" t="s">
        <x:v>219</x:v>
      </x:c>
      <x:c r="E225" s="7" t="s">
        <x:v>1734</x:v>
      </x:c>
      <x:c r="F225" s="10">
        <x:v>16.507441</x:v>
      </x:c>
      <x:c r="G225" s="10">
        <x:v>100.204086</x:v>
      </x:c>
      <x:c r="H225" s="7" t="s">
        <x:v>1548</x:v>
      </x:c>
      <x:c r="I225" s="10">
        <x:v>36.11</x:v>
      </x:c>
      <x:c r="J225" s="41"/>
      <x:c r="K225" s="41"/>
      <x:c r="L225" s="41"/>
      <x:c r="M225" s="41"/>
      <x:c r="N225" s="7" t="s">
        <x:v>1828</x:v>
      </x:c>
      <x:c r="O225" s="7" t="s">
        <x:v>1539</x:v>
      </x:c>
      <x:c r="P225" s="10">
        <x:v>4.0</x:v>
      </x:c>
      <x:c r="Q225" s="41"/>
      <x:c r="R225" s="10">
        <x:v>82.4</x:v>
      </x:c>
      <x:c r="S225" s="7" t="s">
        <x:v>301</x:v>
      </x:c>
      <x:c r="T225" s="7" t="b">
        <x:v>0</x:v>
      </x:c>
      <x:c r="U225" s="7" t="s">
        <x:v>1541</x:v>
      </x:c>
      <x:c r="V225" s="26" t="s">
        <x:v>1542</x:v>
      </x:c>
      <x:c r="W225" s="7" t="s">
        <x:v>2543</x:v>
      </x:c>
      <x:c r="X225" s="41"/>
      <x:c r="Y225" s="41"/>
      <x:c r="Z225" s="41"/>
    </x:row>
    <x:row r="226">
      <x:c r="A226" s="7" t="s">
        <x:v>2544</x:v>
      </x:c>
      <x:c r="B226" s="7" t="s">
        <x:v>2545</x:v>
      </x:c>
      <x:c r="C226" s="7" t="s">
        <x:v>2546</x:v>
      </x:c>
      <x:c r="D226" s="7" t="s">
        <x:v>71</x:v>
      </x:c>
      <x:c r="E226" s="7" t="s">
        <x:v>1563</x:v>
      </x:c>
      <x:c r="F226" s="10">
        <x:v>13.676162</x:v>
      </x:c>
      <x:c r="G226" s="10">
        <x:v>100.553085</x:v>
      </x:c>
      <x:c r="H226" s="7" t="s">
        <x:v>1554</x:v>
      </x:c>
      <x:c r="I226" s="10">
        <x:v>0.88</x:v>
      </x:c>
      <x:c r="J226" s="41"/>
      <x:c r="K226" s="41"/>
      <x:c r="L226" s="41"/>
      <x:c r="M226" s="41"/>
      <x:c r="N226" s="7" t="s">
        <x:v>1828</x:v>
      </x:c>
      <x:c r="O226" s="7" t="s">
        <x:v>1539</x:v>
      </x:c>
      <x:c r="P226" s="10">
        <x:v>4.0</x:v>
      </x:c>
      <x:c r="Q226" s="41"/>
      <x:c r="R226" s="10">
        <x:v>12.4</x:v>
      </x:c>
      <x:c r="S226" s="7" t="s">
        <x:v>1540</x:v>
      </x:c>
      <x:c r="T226" s="7" t="b">
        <x:v>0</x:v>
      </x:c>
      <x:c r="U226" s="7" t="s">
        <x:v>1541</x:v>
      </x:c>
      <x:c r="V226" s="26" t="s">
        <x:v>1542</x:v>
      </x:c>
      <x:c r="W226" s="7" t="s">
        <x:v>2547</x:v>
      </x:c>
      <x:c r="X226" s="41"/>
      <x:c r="Y226" s="41"/>
      <x:c r="Z226" s="41"/>
    </x:row>
    <x:row r="227">
      <x:c r="A227" s="7" t="s">
        <x:v>2548</x:v>
      </x:c>
      <x:c r="B227" s="7" t="s">
        <x:v>2549</x:v>
      </x:c>
      <x:c r="C227" s="7" t="s">
        <x:v>2550</x:v>
      </x:c>
      <x:c r="D227" s="7" t="s">
        <x:v>88</x:v>
      </x:c>
      <x:c r="E227" s="7" t="s">
        <x:v>1762</x:v>
      </x:c>
      <x:c r="F227" s="10">
        <x:v>14.245718</x:v>
      </x:c>
      <x:c r="G227" s="10">
        <x:v>101.27481</x:v>
      </x:c>
      <x:c r="H227" s="7" t="s">
        <x:v>1554</x:v>
      </x:c>
      <x:c r="I227" s="10">
        <x:v>7.26</x:v>
      </x:c>
      <x:c r="J227" s="41"/>
      <x:c r="K227" s="41"/>
      <x:c r="L227" s="41"/>
      <x:c r="M227" s="41"/>
      <x:c r="N227" s="7" t="s">
        <x:v>1828</x:v>
      </x:c>
      <x:c r="O227" s="7" t="s">
        <x:v>1539</x:v>
      </x:c>
      <x:c r="P227" s="10">
        <x:v>4.0</x:v>
      </x:c>
      <x:c r="Q227" s="41"/>
      <x:c r="R227" s="10">
        <x:v>12.4</x:v>
      </x:c>
      <x:c r="S227" s="7" t="s">
        <x:v>1540</x:v>
      </x:c>
      <x:c r="T227" s="7" t="b">
        <x:v>0</x:v>
      </x:c>
      <x:c r="U227" s="7" t="s">
        <x:v>1541</x:v>
      </x:c>
      <x:c r="V227" s="26" t="s">
        <x:v>1542</x:v>
      </x:c>
      <x:c r="W227" s="7" t="s">
        <x:v>2551</x:v>
      </x:c>
      <x:c r="X227" s="41"/>
      <x:c r="Y227" s="41"/>
      <x:c r="Z227" s="41"/>
    </x:row>
    <x:row r="228">
      <x:c r="A228" s="7" t="s">
        <x:v>2552</x:v>
      </x:c>
      <x:c r="B228" s="7" t="s">
        <x:v>2553</x:v>
      </x:c>
      <x:c r="C228" s="7" t="s">
        <x:v>2554</x:v>
      </x:c>
      <x:c r="D228" s="7" t="s">
        <x:v>258</x:v>
      </x:c>
      <x:c r="E228" s="7" t="s">
        <x:v>2555</x:v>
      </x:c>
      <x:c r="F228" s="10">
        <x:v>7.55901</x:v>
      </x:c>
      <x:c r="G228" s="10">
        <x:v>99.987556</x:v>
      </x:c>
      <x:c r="H228" s="7" t="s">
        <x:v>1548</x:v>
      </x:c>
      <x:c r="I228" s="10">
        <x:v>20.75</x:v>
      </x:c>
      <x:c r="J228" s="41"/>
      <x:c r="K228" s="41"/>
      <x:c r="L228" s="41"/>
      <x:c r="M228" s="10"/>
      <x:c r="N228" s="7" t="s">
        <x:v>1828</x:v>
      </x:c>
      <x:c r="O228" s="7" t="s">
        <x:v>1539</x:v>
      </x:c>
      <x:c r="P228" s="10">
        <x:v>4.0</x:v>
      </x:c>
      <x:c r="Q228" s="41"/>
      <x:c r="R228" s="10">
        <x:v>82.4</x:v>
      </x:c>
      <x:c r="S228" s="7" t="s">
        <x:v>301</x:v>
      </x:c>
      <x:c r="T228" s="7" t="b">
        <x:v>0</x:v>
      </x:c>
      <x:c r="U228" s="7" t="s">
        <x:v>1541</x:v>
      </x:c>
      <x:c r="V228" s="26" t="s">
        <x:v>1542</x:v>
      </x:c>
      <x:c r="W228" s="7" t="s">
        <x:v>2556</x:v>
      </x:c>
      <x:c r="X228" s="41"/>
      <x:c r="Y228" s="41"/>
      <x:c r="Z228" s="41"/>
    </x:row>
    <x:row r="229">
      <x:c r="A229" s="7" t="s">
        <x:v>2557</x:v>
      </x:c>
      <x:c r="B229" s="7" t="s">
        <x:v>2558</x:v>
      </x:c>
      <x:c r="C229" s="7" t="s">
        <x:v>2559</x:v>
      </x:c>
      <x:c r="D229" s="7" t="s">
        <x:v>211</x:v>
      </x:c>
      <x:c r="E229" s="7" t="s">
        <x:v>2560</x:v>
      </x:c>
      <x:c r="F229" s="10">
        <x:v>19.21819</x:v>
      </x:c>
      <x:c r="G229" s="10">
        <x:v>99.862686</x:v>
      </x:c>
      <x:c r="H229" s="7" t="s">
        <x:v>1554</x:v>
      </x:c>
      <x:c r="I229" s="10">
        <x:v>391.89</x:v>
      </x:c>
      <x:c r="J229" s="41"/>
      <x:c r="K229" s="41"/>
      <x:c r="L229" s="41"/>
      <x:c r="M229" s="10"/>
      <x:c r="N229" s="7" t="s">
        <x:v>1828</x:v>
      </x:c>
      <x:c r="O229" s="7" t="s">
        <x:v>1539</x:v>
      </x:c>
      <x:c r="P229" s="10">
        <x:v>4.0</x:v>
      </x:c>
      <x:c r="Q229" s="41"/>
      <x:c r="R229" s="10">
        <x:v>12.4</x:v>
      </x:c>
      <x:c r="S229" s="7" t="s">
        <x:v>1540</x:v>
      </x:c>
      <x:c r="T229" s="7" t="b">
        <x:v>0</x:v>
      </x:c>
      <x:c r="U229" s="7" t="s">
        <x:v>1541</x:v>
      </x:c>
      <x:c r="V229" s="26" t="s">
        <x:v>1542</x:v>
      </x:c>
      <x:c r="W229" s="7" t="s">
        <x:v>2561</x:v>
      </x:c>
      <x:c r="X229" s="41"/>
      <x:c r="Y229" s="41"/>
      <x:c r="Z229" s="41"/>
    </x:row>
    <x:row r="230">
      <x:c r="A230" s="7" t="s">
        <x:v>2562</x:v>
      </x:c>
      <x:c r="B230" s="7" t="s">
        <x:v>2563</x:v>
      </x:c>
      <x:c r="C230" s="7" t="s">
        <x:v>2564</x:v>
      </x:c>
      <x:c r="D230" s="7" t="s">
        <x:v>217</x:v>
      </x:c>
      <x:c r="E230" s="7" t="s">
        <x:v>1734</x:v>
      </x:c>
      <x:c r="F230" s="10">
        <x:v>17.006359</x:v>
      </x:c>
      <x:c r="G230" s="10">
        <x:v>99.822113</x:v>
      </x:c>
      <x:c r="H230" s="7" t="s">
        <x:v>1548</x:v>
      </x:c>
      <x:c r="I230" s="10">
        <x:v>49.07</x:v>
      </x:c>
      <x:c r="J230" s="41"/>
      <x:c r="K230" s="41"/>
      <x:c r="L230" s="41"/>
      <x:c r="M230" s="10">
        <x:v>50.87</x:v>
      </x:c>
      <x:c r="N230" s="7" t="s">
        <x:v>1828</x:v>
      </x:c>
      <x:c r="O230" s="7" t="s">
        <x:v>1539</x:v>
      </x:c>
      <x:c r="P230" s="10">
        <x:v>4.0</x:v>
      </x:c>
      <x:c r="Q230" s="41"/>
      <x:c r="R230" s="10">
        <x:v>82.4</x:v>
      </x:c>
      <x:c r="S230" s="7" t="s">
        <x:v>301</x:v>
      </x:c>
      <x:c r="T230" s="7" t="b">
        <x:v>0</x:v>
      </x:c>
      <x:c r="U230" s="7" t="s">
        <x:v>1541</x:v>
      </x:c>
      <x:c r="V230" s="26" t="s">
        <x:v>1542</x:v>
      </x:c>
      <x:c r="W230" s="7" t="s">
        <x:v>2565</x:v>
      </x:c>
      <x:c r="X230" s="41"/>
      <x:c r="Y230" s="41"/>
      <x:c r="Z230" s="41"/>
    </x:row>
    <x:row r="231">
      <x:c r="A231" s="7" t="s">
        <x:v>2566</x:v>
      </x:c>
      <x:c r="B231" s="7" t="s">
        <x:v>2567</x:v>
      </x:c>
      <x:c r="C231" s="7" t="s">
        <x:v>2568</x:v>
      </x:c>
      <x:c r="D231" s="7" t="s">
        <x:v>118</x:v>
      </x:c>
      <x:c r="E231" s="7"/>
      <x:c r="F231" s="10">
        <x:v>16.15583</x:v>
      </x:c>
      <x:c r="G231" s="10">
        <x:v>101.65372</x:v>
      </x:c>
      <x:c r="H231" s="7" t="s">
        <x:v>1554</x:v>
      </x:c>
      <x:c r="I231" s="10">
        <x:v>229.14</x:v>
      </x:c>
      <x:c r="J231" s="41"/>
      <x:c r="K231" s="41"/>
      <x:c r="L231" s="41"/>
      <x:c r="M231" s="41"/>
      <x:c r="N231" s="7" t="s">
        <x:v>1828</x:v>
      </x:c>
      <x:c r="O231" s="7" t="s">
        <x:v>1539</x:v>
      </x:c>
      <x:c r="P231" s="10">
        <x:v>4.0</x:v>
      </x:c>
      <x:c r="Q231" s="41"/>
      <x:c r="R231" s="10">
        <x:v>12.4</x:v>
      </x:c>
      <x:c r="S231" s="7" t="s">
        <x:v>1540</x:v>
      </x:c>
      <x:c r="T231" s="7" t="b">
        <x:v>0</x:v>
      </x:c>
      <x:c r="U231" s="7" t="s">
        <x:v>1541</x:v>
      </x:c>
      <x:c r="V231" s="26" t="s">
        <x:v>1542</x:v>
      </x:c>
      <x:c r="W231" s="7" t="s">
        <x:v>2569</x:v>
      </x:c>
      <x:c r="X231" s="41"/>
      <x:c r="Y231" s="41"/>
      <x:c r="Z231" s="41"/>
    </x:row>
    <x:row r="232">
      <x:c r="A232" s="7" t="s">
        <x:v>2570</x:v>
      </x:c>
      <x:c r="B232" s="7" t="s">
        <x:v>2571</x:v>
      </x:c>
      <x:c r="C232" s="7" t="s">
        <x:v>2572</x:v>
      </x:c>
      <x:c r="D232" s="7" t="s">
        <x:v>243</x:v>
      </x:c>
      <x:c r="E232" s="7" t="s">
        <x:v>2365</x:v>
      </x:c>
      <x:c r="F232" s="10">
        <x:v>15.01052</x:v>
      </x:c>
      <x:c r="G232" s="10">
        <x:v>104.128448</x:v>
      </x:c>
      <x:c r="H232" s="7" t="s">
        <x:v>1548</x:v>
      </x:c>
      <x:c r="I232" s="10">
        <x:v>125.54</x:v>
      </x:c>
      <x:c r="J232" s="41"/>
      <x:c r="K232" s="41"/>
      <x:c r="L232" s="41"/>
      <x:c r="M232" s="10"/>
      <x:c r="N232" s="7" t="s">
        <x:v>1828</x:v>
      </x:c>
      <x:c r="O232" s="7" t="s">
        <x:v>1539</x:v>
      </x:c>
      <x:c r="P232" s="10">
        <x:v>4.0</x:v>
      </x:c>
      <x:c r="Q232" s="41"/>
      <x:c r="R232" s="10">
        <x:v>82.4</x:v>
      </x:c>
      <x:c r="S232" s="7" t="s">
        <x:v>301</x:v>
      </x:c>
      <x:c r="T232" s="7" t="b">
        <x:v>0</x:v>
      </x:c>
      <x:c r="U232" s="7" t="s">
        <x:v>1541</x:v>
      </x:c>
      <x:c r="V232" s="26" t="s">
        <x:v>1542</x:v>
      </x:c>
      <x:c r="W232" s="7" t="s">
        <x:v>2573</x:v>
      </x:c>
      <x:c r="X232" s="41"/>
      <x:c r="Y232" s="41"/>
      <x:c r="Z232" s="41"/>
    </x:row>
    <x:row r="233">
      <x:c r="A233" s="7" t="s">
        <x:v>2574</x:v>
      </x:c>
      <x:c r="B233" s="7" t="s">
        <x:v>2575</x:v>
      </x:c>
      <x:c r="C233" s="7" t="s">
        <x:v>2576</x:v>
      </x:c>
      <x:c r="D233" s="7" t="s">
        <x:v>34</x:v>
      </x:c>
      <x:c r="E233" s="7" t="s">
        <x:v>2074</x:v>
      </x:c>
      <x:c r="F233" s="10">
        <x:v>16.06475</x:v>
      </x:c>
      <x:c r="G233" s="10">
        <x:v>99.8603</x:v>
      </x:c>
      <x:c r="H233" s="7" t="s">
        <x:v>1554</x:v>
      </x:c>
      <x:c r="I233" s="10">
        <x:v>43.62</x:v>
      </x:c>
      <x:c r="J233" s="41"/>
      <x:c r="K233" s="41"/>
      <x:c r="L233" s="41"/>
      <x:c r="M233" s="41"/>
      <x:c r="N233" s="7" t="s">
        <x:v>1828</x:v>
      </x:c>
      <x:c r="O233" s="7" t="s">
        <x:v>1539</x:v>
      </x:c>
      <x:c r="P233" s="10">
        <x:v>4.0</x:v>
      </x:c>
      <x:c r="Q233" s="41"/>
      <x:c r="R233" s="10">
        <x:v>12.4</x:v>
      </x:c>
      <x:c r="S233" s="7" t="s">
        <x:v>1540</x:v>
      </x:c>
      <x:c r="T233" s="7" t="b">
        <x:v>0</x:v>
      </x:c>
      <x:c r="U233" s="7" t="s">
        <x:v>1541</x:v>
      </x:c>
      <x:c r="V233" s="26" t="s">
        <x:v>1542</x:v>
      </x:c>
      <x:c r="W233" s="7" t="s">
        <x:v>2577</x:v>
      </x:c>
      <x:c r="X233" s="41"/>
      <x:c r="Y233" s="41"/>
      <x:c r="Z233" s="41"/>
    </x:row>
    <x:row r="234">
      <x:c r="A234" s="7" t="s">
        <x:v>2578</x:v>
      </x:c>
      <x:c r="B234" s="7" t="s">
        <x:v>2579</x:v>
      </x:c>
      <x:c r="C234" s="7" t="s">
        <x:v>2580</x:v>
      </x:c>
      <x:c r="D234" s="7" t="s">
        <x:v>27</x:v>
      </x:c>
      <x:c r="E234" s="7" t="s">
        <x:v>2360</x:v>
      </x:c>
      <x:c r="F234" s="10">
        <x:v>17.10701</x:v>
      </x:c>
      <x:c r="G234" s="10">
        <x:v>100.84587</x:v>
      </x:c>
      <x:c r="H234" s="7" t="s">
        <x:v>1554</x:v>
      </x:c>
      <x:c r="I234" s="10">
        <x:v>200.73</x:v>
      </x:c>
      <x:c r="J234" s="41"/>
      <x:c r="K234" s="41"/>
      <x:c r="L234" s="41"/>
      <x:c r="M234" s="41"/>
      <x:c r="N234" s="7" t="s">
        <x:v>1828</x:v>
      </x:c>
      <x:c r="O234" s="7" t="s">
        <x:v>1539</x:v>
      </x:c>
      <x:c r="P234" s="10">
        <x:v>4.0</x:v>
      </x:c>
      <x:c r="Q234" s="41"/>
      <x:c r="R234" s="10">
        <x:v>12.4</x:v>
      </x:c>
      <x:c r="S234" s="7" t="s">
        <x:v>1540</x:v>
      </x:c>
      <x:c r="T234" s="7" t="b">
        <x:v>0</x:v>
      </x:c>
      <x:c r="U234" s="7" t="s">
        <x:v>1541</x:v>
      </x:c>
      <x:c r="V234" s="26" t="s">
        <x:v>1542</x:v>
      </x:c>
      <x:c r="W234" s="7" t="s">
        <x:v>2581</x:v>
      </x:c>
      <x:c r="X234" s="41"/>
      <x:c r="Y234" s="41"/>
      <x:c r="Z234" s="41"/>
    </x:row>
    <x:row r="235">
      <x:c r="A235" s="7" t="s">
        <x:v>2582</x:v>
      </x:c>
      <x:c r="B235" s="7" t="s">
        <x:v>2583</x:v>
      </x:c>
      <x:c r="C235" s="7" t="s">
        <x:v>2584</x:v>
      </x:c>
      <x:c r="D235" s="7" t="s">
        <x:v>38</x:v>
      </x:c>
      <x:c r="E235" s="7" t="s">
        <x:v>1747</x:v>
      </x:c>
      <x:c r="F235" s="10">
        <x:v>15.92832</x:v>
      </x:c>
      <x:c r="G235" s="10">
        <x:v>99.502373</x:v>
      </x:c>
      <x:c r="H235" s="7" t="s">
        <x:v>1548</x:v>
      </x:c>
      <x:c r="I235" s="10">
        <x:v>105.86</x:v>
      </x:c>
      <x:c r="J235" s="41"/>
      <x:c r="K235" s="41"/>
      <x:c r="L235" s="41"/>
      <x:c r="M235" s="10"/>
      <x:c r="N235" s="7" t="s">
        <x:v>1828</x:v>
      </x:c>
      <x:c r="O235" s="7" t="s">
        <x:v>1539</x:v>
      </x:c>
      <x:c r="P235" s="10">
        <x:v>4.0</x:v>
      </x:c>
      <x:c r="Q235" s="41"/>
      <x:c r="R235" s="10">
        <x:v>82.4</x:v>
      </x:c>
      <x:c r="S235" s="7" t="s">
        <x:v>301</x:v>
      </x:c>
      <x:c r="T235" s="7" t="b">
        <x:v>0</x:v>
      </x:c>
      <x:c r="U235" s="7" t="s">
        <x:v>1541</x:v>
      </x:c>
      <x:c r="V235" s="26" t="s">
        <x:v>1542</x:v>
      </x:c>
      <x:c r="W235" s="7" t="s">
        <x:v>2585</x:v>
      </x:c>
      <x:c r="X235" s="41"/>
      <x:c r="Y235" s="41"/>
      <x:c r="Z235" s="41"/>
    </x:row>
    <x:row r="236">
      <x:c r="A236" s="7" t="s">
        <x:v>2586</x:v>
      </x:c>
      <x:c r="B236" s="7" t="s">
        <x:v>2587</x:v>
      </x:c>
      <x:c r="C236" s="7" t="s">
        <x:v>2588</x:v>
      </x:c>
      <x:c r="D236" s="7" t="s">
        <x:v>118</x:v>
      </x:c>
      <x:c r="E236" s="7" t="s">
        <x:v>2589</x:v>
      </x:c>
      <x:c r="F236" s="10">
        <x:v>16.309406</x:v>
      </x:c>
      <x:c r="G236" s="10">
        <x:v>101.971772</x:v>
      </x:c>
      <x:c r="H236" s="7" t="s">
        <x:v>1658</x:v>
      </x:c>
      <x:c r="I236" s="10">
        <x:v>224.41</x:v>
      </x:c>
      <x:c r="J236" s="41"/>
      <x:c r="K236" s="41"/>
      <x:c r="L236" s="41"/>
      <x:c r="M236" s="10">
        <x:v>225.39</x:v>
      </x:c>
      <x:c r="N236" s="7" t="s">
        <x:v>1828</x:v>
      </x:c>
      <x:c r="O236" s="7" t="s">
        <x:v>1539</x:v>
      </x:c>
      <x:c r="P236" s="10">
        <x:v>4.0</x:v>
      </x:c>
      <x:c r="Q236" s="41"/>
      <x:c r="R236" s="10">
        <x:v>22.4</x:v>
      </x:c>
      <x:c r="S236" s="7" t="s">
        <x:v>1540</x:v>
      </x:c>
      <x:c r="T236" s="7" t="b">
        <x:v>0</x:v>
      </x:c>
      <x:c r="U236" s="7" t="s">
        <x:v>1541</x:v>
      </x:c>
      <x:c r="V236" s="26" t="s">
        <x:v>1542</x:v>
      </x:c>
      <x:c r="W236" s="7" t="s">
        <x:v>2590</x:v>
      </x:c>
      <x:c r="X236" s="41"/>
      <x:c r="Y236" s="41"/>
      <x:c r="Z236" s="41"/>
    </x:row>
    <x:row r="237">
      <x:c r="A237" s="7" t="s">
        <x:v>2591</x:v>
      </x:c>
      <x:c r="B237" s="7" t="s">
        <x:v>2592</x:v>
      </x:c>
      <x:c r="C237" s="7" t="s">
        <x:v>2593</x:v>
      </x:c>
      <x:c r="D237" s="7" t="s">
        <x:v>68</x:v>
      </x:c>
      <x:c r="E237" s="7" t="s">
        <x:v>1574</x:v>
      </x:c>
      <x:c r="F237" s="10">
        <x:v>14.436604</x:v>
      </x:c>
      <x:c r="G237" s="10">
        <x:v>100.37149</x:v>
      </x:c>
      <x:c r="H237" s="7" t="s">
        <x:v>1554</x:v>
      </x:c>
      <x:c r="I237" s="10">
        <x:v>3.62</x:v>
      </x:c>
      <x:c r="J237" s="41"/>
      <x:c r="K237" s="41"/>
      <x:c r="L237" s="41"/>
      <x:c r="M237" s="10"/>
      <x:c r="N237" s="7" t="s">
        <x:v>1828</x:v>
      </x:c>
      <x:c r="O237" s="7" t="s">
        <x:v>1539</x:v>
      </x:c>
      <x:c r="P237" s="10">
        <x:v>4.0</x:v>
      </x:c>
      <x:c r="Q237" s="41"/>
      <x:c r="R237" s="10">
        <x:v>12.4</x:v>
      </x:c>
      <x:c r="S237" s="7" t="s">
        <x:v>1540</x:v>
      </x:c>
      <x:c r="T237" s="7" t="b">
        <x:v>0</x:v>
      </x:c>
      <x:c r="U237" s="7" t="s">
        <x:v>1541</x:v>
      </x:c>
      <x:c r="V237" s="26" t="s">
        <x:v>1542</x:v>
      </x:c>
      <x:c r="W237" s="7" t="s">
        <x:v>2594</x:v>
      </x:c>
      <x:c r="X237" s="41"/>
      <x:c r="Y237" s="41"/>
      <x:c r="Z237" s="41"/>
    </x:row>
    <x:row r="238">
      <x:c r="A238" s="7" t="s">
        <x:v>2595</x:v>
      </x:c>
      <x:c r="B238" s="7" t="s">
        <x:v>2596</x:v>
      </x:c>
      <x:c r="C238" s="7" t="s">
        <x:v>2597</x:v>
      </x:c>
      <x:c r="D238" s="7" t="s">
        <x:v>256</x:v>
      </x:c>
      <x:c r="E238" s="7" t="s">
        <x:v>2598</x:v>
      </x:c>
      <x:c r="F238" s="10">
        <x:v>6.726527</x:v>
      </x:c>
      <x:c r="G238" s="10">
        <x:v>100.06259</x:v>
      </x:c>
      <x:c r="H238" s="7" t="s">
        <x:v>1554</x:v>
      </x:c>
      <x:c r="I238" s="10">
        <x:v>14.24</x:v>
      </x:c>
      <x:c r="J238" s="41"/>
      <x:c r="K238" s="41"/>
      <x:c r="L238" s="41"/>
      <x:c r="M238" s="10"/>
      <x:c r="N238" s="7" t="s">
        <x:v>1828</x:v>
      </x:c>
      <x:c r="O238" s="7" t="s">
        <x:v>1539</x:v>
      </x:c>
      <x:c r="P238" s="10">
        <x:v>4.0</x:v>
      </x:c>
      <x:c r="Q238" s="41"/>
      <x:c r="R238" s="10">
        <x:v>12.4</x:v>
      </x:c>
      <x:c r="S238" s="7" t="s">
        <x:v>1540</x:v>
      </x:c>
      <x:c r="T238" s="7" t="b">
        <x:v>0</x:v>
      </x:c>
      <x:c r="U238" s="7" t="s">
        <x:v>1541</x:v>
      </x:c>
      <x:c r="V238" s="26" t="s">
        <x:v>1542</x:v>
      </x:c>
      <x:c r="W238" s="7" t="s">
        <x:v>2599</x:v>
      </x:c>
      <x:c r="X238" s="41"/>
      <x:c r="Y238" s="41"/>
      <x:c r="Z238" s="41"/>
    </x:row>
    <x:row r="239">
      <x:c r="A239" s="7" t="s">
        <x:v>2600</x:v>
      </x:c>
      <x:c r="B239" s="7" t="s">
        <x:v>2601</x:v>
      </x:c>
      <x:c r="C239" s="7" t="s">
        <x:v>2602</x:v>
      </x:c>
      <x:c r="D239" s="7" t="s">
        <x:v>217</x:v>
      </x:c>
      <x:c r="E239" s="7" t="s">
        <x:v>1734</x:v>
      </x:c>
      <x:c r="F239" s="10">
        <x:v>17.02127</x:v>
      </x:c>
      <x:c r="G239" s="10">
        <x:v>99.81973</x:v>
      </x:c>
      <x:c r="H239" s="7" t="s">
        <x:v>2603</x:v>
      </x:c>
      <x:c r="I239" s="10">
        <x:v>49.25</x:v>
      </x:c>
      <x:c r="J239" s="41"/>
      <x:c r="K239" s="41"/>
      <x:c r="L239" s="41"/>
      <x:c r="M239" s="41"/>
      <x:c r="N239" s="7" t="s">
        <x:v>1828</x:v>
      </x:c>
      <x:c r="O239" s="7" t="s">
        <x:v>1539</x:v>
      </x:c>
      <x:c r="P239" s="10">
        <x:v>4.0</x:v>
      </x:c>
      <x:c r="Q239" s="41"/>
      <x:c r="R239" s="10">
        <x:v>142.4</x:v>
      </x:c>
      <x:c r="S239" s="7" t="s">
        <x:v>301</x:v>
      </x:c>
      <x:c r="T239" s="7" t="b">
        <x:v>0</x:v>
      </x:c>
      <x:c r="U239" s="7" t="s">
        <x:v>1541</x:v>
      </x:c>
      <x:c r="V239" s="26" t="s">
        <x:v>1542</x:v>
      </x:c>
      <x:c r="W239" s="7" t="s">
        <x:v>2604</x:v>
      </x:c>
      <x:c r="X239" s="41"/>
      <x:c r="Y239" s="41"/>
      <x:c r="Z239" s="41"/>
    </x:row>
    <x:row r="240">
      <x:c r="A240" s="7" t="s">
        <x:v>2605</x:v>
      </x:c>
      <x:c r="B240" s="7" t="s">
        <x:v>2606</x:v>
      </x:c>
      <x:c r="C240" s="7" t="s">
        <x:v>2607</x:v>
      </x:c>
      <x:c r="D240" s="7" t="s">
        <x:v>68</x:v>
      </x:c>
      <x:c r="E240" s="7" t="s">
        <x:v>2608</x:v>
      </x:c>
      <x:c r="F240" s="10">
        <x:v>14.44056</x:v>
      </x:c>
      <x:c r="G240" s="10">
        <x:v>100.35738</x:v>
      </x:c>
      <x:c r="H240" s="7" t="s">
        <x:v>1554</x:v>
      </x:c>
      <x:c r="I240" s="10">
        <x:v>3.6</x:v>
      </x:c>
      <x:c r="J240" s="41"/>
      <x:c r="K240" s="41"/>
      <x:c r="L240" s="41"/>
      <x:c r="M240" s="41"/>
      <x:c r="N240" s="7" t="s">
        <x:v>1828</x:v>
      </x:c>
      <x:c r="O240" s="7" t="s">
        <x:v>1539</x:v>
      </x:c>
      <x:c r="P240" s="10">
        <x:v>4.0</x:v>
      </x:c>
      <x:c r="Q240" s="41"/>
      <x:c r="R240" s="10">
        <x:v>12.4</x:v>
      </x:c>
      <x:c r="S240" s="7" t="s">
        <x:v>1540</x:v>
      </x:c>
      <x:c r="T240" s="7" t="b">
        <x:v>0</x:v>
      </x:c>
      <x:c r="U240" s="7" t="s">
        <x:v>1541</x:v>
      </x:c>
      <x:c r="V240" s="26" t="s">
        <x:v>1542</x:v>
      </x:c>
      <x:c r="W240" s="7" t="s">
        <x:v>2609</x:v>
      </x:c>
      <x:c r="X240" s="41"/>
      <x:c r="Y240" s="41"/>
      <x:c r="Z240" s="41"/>
    </x:row>
    <x:row r="241">
      <x:c r="A241" s="7" t="s">
        <x:v>2610</x:v>
      </x:c>
      <x:c r="B241" s="7" t="s">
        <x:v>2611</x:v>
      </x:c>
      <x:c r="C241" s="7" t="s">
        <x:v>2612</x:v>
      </x:c>
      <x:c r="D241" s="7" t="s">
        <x:v>122</x:v>
      </x:c>
      <x:c r="E241" s="7" t="s">
        <x:v>2613</x:v>
      </x:c>
      <x:c r="F241" s="10">
        <x:v>14.98457</x:v>
      </x:c>
      <x:c r="G241" s="10">
        <x:v>102.092941</x:v>
      </x:c>
      <x:c r="H241" s="7" t="s">
        <x:v>1548</x:v>
      </x:c>
      <x:c r="I241" s="10">
        <x:v>176.72</x:v>
      </x:c>
      <x:c r="J241" s="41"/>
      <x:c r="K241" s="41"/>
      <x:c r="L241" s="41"/>
      <x:c r="M241" s="10">
        <x:v>177.6</x:v>
      </x:c>
      <x:c r="N241" s="7" t="s">
        <x:v>1828</x:v>
      </x:c>
      <x:c r="O241" s="7" t="s">
        <x:v>1539</x:v>
      </x:c>
      <x:c r="P241" s="10">
        <x:v>4.0</x:v>
      </x:c>
      <x:c r="Q241" s="41"/>
      <x:c r="R241" s="10">
        <x:v>82.4</x:v>
      </x:c>
      <x:c r="S241" s="7" t="s">
        <x:v>301</x:v>
      </x:c>
      <x:c r="T241" s="7" t="b">
        <x:v>0</x:v>
      </x:c>
      <x:c r="U241" s="7" t="s">
        <x:v>1541</x:v>
      </x:c>
      <x:c r="V241" s="26" t="s">
        <x:v>1542</x:v>
      </x:c>
      <x:c r="W241" s="7" t="s">
        <x:v>2614</x:v>
      </x:c>
      <x:c r="X241" s="41"/>
      <x:c r="Y241" s="41"/>
      <x:c r="Z241" s="41"/>
    </x:row>
    <x:row r="242">
      <x:c r="A242" s="7" t="s">
        <x:v>2615</x:v>
      </x:c>
      <x:c r="B242" s="7" t="s">
        <x:v>2616</x:v>
      </x:c>
      <x:c r="C242" s="7" t="s">
        <x:v>2617</x:v>
      </x:c>
      <x:c r="D242" s="7" t="s">
        <x:v>58</x:v>
      </x:c>
      <x:c r="E242" s="7" t="s">
        <x:v>1536</x:v>
      </x:c>
      <x:c r="F242" s="10">
        <x:v>14.09336</x:v>
      </x:c>
      <x:c r="G242" s="10">
        <x:v>99.17583</x:v>
      </x:c>
      <x:c r="H242" s="7" t="s">
        <x:v>1658</x:v>
      </x:c>
      <x:c r="I242" s="10">
        <x:v>42.35</x:v>
      </x:c>
      <x:c r="J242" s="41"/>
      <x:c r="K242" s="41"/>
      <x:c r="L242" s="41"/>
      <x:c r="M242" s="10">
        <x:v>40.7</x:v>
      </x:c>
      <x:c r="N242" s="7" t="s">
        <x:v>1828</x:v>
      </x:c>
      <x:c r="O242" s="7" t="s">
        <x:v>1539</x:v>
      </x:c>
      <x:c r="P242" s="10">
        <x:v>4.0</x:v>
      </x:c>
      <x:c r="Q242" s="41"/>
      <x:c r="R242" s="10">
        <x:v>22.4</x:v>
      </x:c>
      <x:c r="S242" s="7" t="s">
        <x:v>1540</x:v>
      </x:c>
      <x:c r="T242" s="7" t="b">
        <x:v>0</x:v>
      </x:c>
      <x:c r="U242" s="7" t="s">
        <x:v>1541</x:v>
      </x:c>
      <x:c r="V242" s="26" t="s">
        <x:v>1542</x:v>
      </x:c>
      <x:c r="W242" s="7" t="s">
        <x:v>2618</x:v>
      </x:c>
      <x:c r="X242" s="41"/>
      <x:c r="Y242" s="41"/>
      <x:c r="Z242" s="41"/>
    </x:row>
    <x:row r="243">
      <x:c r="A243" s="7" t="s">
        <x:v>2619</x:v>
      </x:c>
      <x:c r="B243" s="7" t="s">
        <x:v>2620</x:v>
      </x:c>
      <x:c r="C243" s="7" t="s">
        <x:v>2621</x:v>
      </x:c>
      <x:c r="D243" s="7" t="s">
        <x:v>231</x:v>
      </x:c>
      <x:c r="E243" s="7" t="s">
        <x:v>2622</x:v>
      </x:c>
      <x:c r="F243" s="10">
        <x:v>15.57186</x:v>
      </x:c>
      <x:c r="G243" s="10">
        <x:v>103.819847</x:v>
      </x:c>
      <x:c r="H243" s="7" t="s">
        <x:v>1548</x:v>
      </x:c>
      <x:c r="I243" s="10">
        <x:v>121.03</x:v>
      </x:c>
      <x:c r="J243" s="41"/>
      <x:c r="K243" s="41"/>
      <x:c r="L243" s="41"/>
      <x:c r="M243" s="10"/>
      <x:c r="N243" s="7" t="s">
        <x:v>1828</x:v>
      </x:c>
      <x:c r="O243" s="7" t="s">
        <x:v>1539</x:v>
      </x:c>
      <x:c r="P243" s="10">
        <x:v>4.0</x:v>
      </x:c>
      <x:c r="Q243" s="41"/>
      <x:c r="R243" s="10">
        <x:v>82.4</x:v>
      </x:c>
      <x:c r="S243" s="7" t="s">
        <x:v>301</x:v>
      </x:c>
      <x:c r="T243" s="7" t="b">
        <x:v>0</x:v>
      </x:c>
      <x:c r="U243" s="7" t="s">
        <x:v>1541</x:v>
      </x:c>
      <x:c r="V243" s="26" t="s">
        <x:v>1542</x:v>
      </x:c>
      <x:c r="W243" s="7" t="s">
        <x:v>2623</x:v>
      </x:c>
      <x:c r="X243" s="41"/>
      <x:c r="Y243" s="41"/>
      <x:c r="Z243" s="41"/>
    </x:row>
    <x:row r="244">
      <x:c r="A244" s="7" t="s">
        <x:v>2624</x:v>
      </x:c>
      <x:c r="B244" s="7" t="s">
        <x:v>2625</x:v>
      </x:c>
      <x:c r="C244" s="7" t="s">
        <x:v>2626</x:v>
      </x:c>
      <x:c r="D244" s="7" t="s">
        <x:v>249</x:v>
      </x:c>
      <x:c r="E244" s="7" t="s">
        <x:v>2627</x:v>
      </x:c>
      <x:c r="F244" s="10">
        <x:v>9.085781</x:v>
      </x:c>
      <x:c r="G244" s="10">
        <x:v>99.170006</x:v>
      </x:c>
      <x:c r="H244" s="7" t="s">
        <x:v>1554</x:v>
      </x:c>
      <x:c r="I244" s="10">
        <x:v>1.07</x:v>
      </x:c>
      <x:c r="J244" s="41"/>
      <x:c r="K244" s="41"/>
      <x:c r="L244" s="41"/>
      <x:c r="M244" s="10"/>
      <x:c r="N244" s="7" t="s">
        <x:v>1828</x:v>
      </x:c>
      <x:c r="O244" s="7" t="s">
        <x:v>1539</x:v>
      </x:c>
      <x:c r="P244" s="10">
        <x:v>4.0</x:v>
      </x:c>
      <x:c r="Q244" s="41"/>
      <x:c r="R244" s="10">
        <x:v>12.4</x:v>
      </x:c>
      <x:c r="S244" s="7" t="s">
        <x:v>1540</x:v>
      </x:c>
      <x:c r="T244" s="7" t="b">
        <x:v>0</x:v>
      </x:c>
      <x:c r="U244" s="7" t="s">
        <x:v>1541</x:v>
      </x:c>
      <x:c r="V244" s="26" t="s">
        <x:v>1542</x:v>
      </x:c>
      <x:c r="W244" s="7" t="s">
        <x:v>2628</x:v>
      </x:c>
      <x:c r="X244" s="41"/>
      <x:c r="Y244" s="41"/>
      <x:c r="Z244" s="41"/>
    </x:row>
    <x:row r="245">
      <x:c r="A245" s="7" t="s">
        <x:v>2629</x:v>
      </x:c>
      <x:c r="B245" s="7" t="s">
        <x:v>2630</x:v>
      </x:c>
      <x:c r="C245" s="7" t="s">
        <x:v>2631</x:v>
      </x:c>
      <x:c r="D245" s="7" t="s">
        <x:v>238</x:v>
      </x:c>
      <x:c r="E245" s="7" t="s">
        <x:v>2632</x:v>
      </x:c>
      <x:c r="F245" s="10">
        <x:v>17.082161</x:v>
      </x:c>
      <x:c r="G245" s="10">
        <x:v>102.450798</x:v>
      </x:c>
      <x:c r="H245" s="7" t="s">
        <x:v>1548</x:v>
      </x:c>
      <x:c r="I245" s="10">
        <x:v>198.02</x:v>
      </x:c>
      <x:c r="J245" s="41"/>
      <x:c r="K245" s="41"/>
      <x:c r="L245" s="41"/>
      <x:c r="M245" s="10"/>
      <x:c r="N245" s="7" t="s">
        <x:v>1828</x:v>
      </x:c>
      <x:c r="O245" s="7" t="s">
        <x:v>1539</x:v>
      </x:c>
      <x:c r="P245" s="10">
        <x:v>4.0</x:v>
      </x:c>
      <x:c r="Q245" s="41"/>
      <x:c r="R245" s="10">
        <x:v>82.4</x:v>
      </x:c>
      <x:c r="S245" s="7" t="s">
        <x:v>301</x:v>
      </x:c>
      <x:c r="T245" s="7" t="b">
        <x:v>0</x:v>
      </x:c>
      <x:c r="U245" s="7" t="s">
        <x:v>1541</x:v>
      </x:c>
      <x:c r="V245" s="26" t="s">
        <x:v>1542</x:v>
      </x:c>
      <x:c r="W245" s="7" t="s">
        <x:v>2633</x:v>
      </x:c>
      <x:c r="X245" s="41"/>
      <x:c r="Y245" s="41"/>
      <x:c r="Z245" s="41"/>
    </x:row>
    <x:row r="246">
      <x:c r="A246" s="7" t="s">
        <x:v>2634</x:v>
      </x:c>
      <x:c r="B246" s="7" t="s">
        <x:v>2635</x:v>
      </x:c>
      <x:c r="C246" s="7" t="s">
        <x:v>2636</x:v>
      </x:c>
      <x:c r="D246" s="7" t="s">
        <x:v>104</x:v>
      </x:c>
      <x:c r="E246" s="7" t="s">
        <x:v>2637</x:v>
      </x:c>
      <x:c r="F246" s="10">
        <x:v>12.73796</x:v>
      </x:c>
      <x:c r="G246" s="10">
        <x:v>101.228401</x:v>
      </x:c>
      <x:c r="H246" s="7" t="s">
        <x:v>1548</x:v>
      </x:c>
      <x:c r="I246" s="10">
        <x:v>9.56</x:v>
      </x:c>
      <x:c r="J246" s="41"/>
      <x:c r="K246" s="41"/>
      <x:c r="L246" s="41"/>
      <x:c r="M246" s="10"/>
      <x:c r="N246" s="7" t="s">
        <x:v>1828</x:v>
      </x:c>
      <x:c r="O246" s="7" t="s">
        <x:v>1539</x:v>
      </x:c>
      <x:c r="P246" s="10">
        <x:v>4.0</x:v>
      </x:c>
      <x:c r="Q246" s="41"/>
      <x:c r="R246" s="10">
        <x:v>82.4</x:v>
      </x:c>
      <x:c r="S246" s="7" t="s">
        <x:v>301</x:v>
      </x:c>
      <x:c r="T246" s="7" t="b">
        <x:v>0</x:v>
      </x:c>
      <x:c r="U246" s="7" t="s">
        <x:v>1541</x:v>
      </x:c>
      <x:c r="V246" s="26" t="s">
        <x:v>1542</x:v>
      </x:c>
      <x:c r="W246" s="7" t="s">
        <x:v>2638</x:v>
      </x:c>
      <x:c r="X246" s="41"/>
      <x:c r="Y246" s="41"/>
      <x:c r="Z246" s="41"/>
    </x:row>
    <x:row r="247">
      <x:c r="A247" s="7" t="s">
        <x:v>2639</x:v>
      </x:c>
      <x:c r="B247" s="7" t="s">
        <x:v>2640</x:v>
      </x:c>
      <x:c r="C247" s="7" t="s">
        <x:v>2641</x:v>
      </x:c>
      <x:c r="D247" s="7" t="s">
        <x:v>211</x:v>
      </x:c>
      <x:c r="E247" s="7"/>
      <x:c r="F247" s="10">
        <x:v>18.881905</x:v>
      </x:c>
      <x:c r="G247" s="10">
        <x:v>100.28281</x:v>
      </x:c>
      <x:c r="H247" s="7" t="s">
        <x:v>1554</x:v>
      </x:c>
      <x:c r="I247" s="10">
        <x:v>258.31</x:v>
      </x:c>
      <x:c r="J247" s="41"/>
      <x:c r="K247" s="41"/>
      <x:c r="L247" s="41"/>
      <x:c r="M247" s="41"/>
      <x:c r="N247" s="7" t="s">
        <x:v>1828</x:v>
      </x:c>
      <x:c r="O247" s="7" t="s">
        <x:v>1539</x:v>
      </x:c>
      <x:c r="P247" s="10">
        <x:v>4.0</x:v>
      </x:c>
      <x:c r="Q247" s="41"/>
      <x:c r="R247" s="10">
        <x:v>12.4</x:v>
      </x:c>
      <x:c r="S247" s="7" t="s">
        <x:v>1540</x:v>
      </x:c>
      <x:c r="T247" s="7" t="b">
        <x:v>0</x:v>
      </x:c>
      <x:c r="U247" s="7" t="s">
        <x:v>1541</x:v>
      </x:c>
      <x:c r="V247" s="26" t="s">
        <x:v>1542</x:v>
      </x:c>
      <x:c r="W247" s="7" t="s">
        <x:v>2642</x:v>
      </x:c>
      <x:c r="X247" s="41"/>
      <x:c r="Y247" s="41"/>
      <x:c r="Z247" s="41"/>
    </x:row>
    <x:row r="248">
      <x:c r="A248" s="7" t="s">
        <x:v>2643</x:v>
      </x:c>
      <x:c r="B248" s="7" t="s">
        <x:v>2644</x:v>
      </x:c>
      <x:c r="C248" s="7" t="s">
        <x:v>2645</x:v>
      </x:c>
      <x:c r="D248" s="7" t="s">
        <x:v>230</x:v>
      </x:c>
      <x:c r="E248" s="7" t="s">
        <x:v>2393</x:v>
      </x:c>
      <x:c r="F248" s="10">
        <x:v>16.368304</x:v>
      </x:c>
      <x:c r="G248" s="10">
        <x:v>102.946387</x:v>
      </x:c>
      <x:c r="H248" s="7" t="s">
        <x:v>1658</x:v>
      </x:c>
      <x:c r="I248" s="10">
        <x:v>146.74</x:v>
      </x:c>
      <x:c r="J248" s="41"/>
      <x:c r="K248" s="41"/>
      <x:c r="L248" s="41"/>
      <x:c r="M248" s="10">
        <x:v>149.45</x:v>
      </x:c>
      <x:c r="N248" s="7" t="s">
        <x:v>1828</x:v>
      </x:c>
      <x:c r="O248" s="7" t="s">
        <x:v>1539</x:v>
      </x:c>
      <x:c r="P248" s="10">
        <x:v>4.0</x:v>
      </x:c>
      <x:c r="Q248" s="41"/>
      <x:c r="R248" s="10">
        <x:v>22.4</x:v>
      </x:c>
      <x:c r="S248" s="7" t="s">
        <x:v>1540</x:v>
      </x:c>
      <x:c r="T248" s="7" t="b">
        <x:v>0</x:v>
      </x:c>
      <x:c r="U248" s="7" t="s">
        <x:v>1541</x:v>
      </x:c>
      <x:c r="V248" s="26" t="s">
        <x:v>1542</x:v>
      </x:c>
      <x:c r="W248" s="7" t="s">
        <x:v>2646</x:v>
      </x:c>
      <x:c r="X248" s="41"/>
      <x:c r="Y248" s="41"/>
      <x:c r="Z248" s="41"/>
    </x:row>
    <x:row r="249">
      <x:c r="A249" s="7" t="s">
        <x:v>2647</x:v>
      </x:c>
      <x:c r="B249" s="7" t="s">
        <x:v>2648</x:v>
      </x:c>
      <x:c r="C249" s="7" t="s">
        <x:v>2649</x:v>
      </x:c>
      <x:c r="D249" s="7" t="s">
        <x:v>249</x:v>
      </x:c>
      <x:c r="E249" s="7"/>
      <x:c r="F249" s="10">
        <x:v>9.113061</x:v>
      </x:c>
      <x:c r="G249" s="10">
        <x:v>99.223751</x:v>
      </x:c>
      <x:c r="H249" s="7" t="s">
        <x:v>1658</x:v>
      </x:c>
      <x:c r="I249" s="10">
        <x:v>1.45</x:v>
      </x:c>
      <x:c r="J249" s="41"/>
      <x:c r="K249" s="41"/>
      <x:c r="L249" s="41"/>
      <x:c r="M249" s="10">
        <x:v>2.5</x:v>
      </x:c>
      <x:c r="N249" s="7" t="s">
        <x:v>1828</x:v>
      </x:c>
      <x:c r="O249" s="7" t="s">
        <x:v>1539</x:v>
      </x:c>
      <x:c r="P249" s="10">
        <x:v>4.0</x:v>
      </x:c>
      <x:c r="Q249" s="41"/>
      <x:c r="R249" s="10">
        <x:v>22.4</x:v>
      </x:c>
      <x:c r="S249" s="7" t="s">
        <x:v>1540</x:v>
      </x:c>
      <x:c r="T249" s="7" t="b">
        <x:v>0</x:v>
      </x:c>
      <x:c r="U249" s="7" t="s">
        <x:v>1541</x:v>
      </x:c>
      <x:c r="V249" s="26" t="s">
        <x:v>1542</x:v>
      </x:c>
      <x:c r="W249" s="7" t="s">
        <x:v>2650</x:v>
      </x:c>
      <x:c r="X249" s="41"/>
      <x:c r="Y249" s="41"/>
      <x:c r="Z249" s="41"/>
    </x:row>
    <x:row r="250">
      <x:c r="A250" s="7" t="s">
        <x:v>2651</x:v>
      </x:c>
      <x:c r="B250" s="7" t="s">
        <x:v>2652</x:v>
      </x:c>
      <x:c r="C250" s="7" t="s">
        <x:v>2653</x:v>
      </x:c>
      <x:c r="D250" s="7" t="s">
        <x:v>78</x:v>
      </x:c>
      <x:c r="E250" s="7" t="s">
        <x:v>2654</x:v>
      </x:c>
      <x:c r="F250" s="10">
        <x:v>13.97396</x:v>
      </x:c>
      <x:c r="G250" s="10">
        <x:v>100.31901</x:v>
      </x:c>
      <x:c r="H250" s="7" t="s">
        <x:v>1554</x:v>
      </x:c>
      <x:c r="I250" s="10">
        <x:v>2.26</x:v>
      </x:c>
      <x:c r="J250" s="41"/>
      <x:c r="K250" s="41"/>
      <x:c r="L250" s="41"/>
      <x:c r="M250" s="41"/>
      <x:c r="N250" s="7" t="s">
        <x:v>1828</x:v>
      </x:c>
      <x:c r="O250" s="7" t="s">
        <x:v>1539</x:v>
      </x:c>
      <x:c r="P250" s="10">
        <x:v>4.0</x:v>
      </x:c>
      <x:c r="Q250" s="41"/>
      <x:c r="R250" s="10">
        <x:v>12.4</x:v>
      </x:c>
      <x:c r="S250" s="7" t="s">
        <x:v>1540</x:v>
      </x:c>
      <x:c r="T250" s="7" t="b">
        <x:v>0</x:v>
      </x:c>
      <x:c r="U250" s="7" t="s">
        <x:v>1541</x:v>
      </x:c>
      <x:c r="V250" s="26" t="s">
        <x:v>1542</x:v>
      </x:c>
      <x:c r="W250" s="7" t="s">
        <x:v>2655</x:v>
      </x:c>
      <x:c r="X250" s="41"/>
      <x:c r="Y250" s="41"/>
      <x:c r="Z250" s="41"/>
    </x:row>
    <x:row r="251">
      <x:c r="A251" s="7" t="s">
        <x:v>2656</x:v>
      </x:c>
      <x:c r="B251" s="7" t="s">
        <x:v>2657</x:v>
      </x:c>
      <x:c r="C251" s="7" t="s">
        <x:v>2658</x:v>
      </x:c>
      <x:c r="D251" s="7" t="s">
        <x:v>27</x:v>
      </x:c>
      <x:c r="E251" s="7" t="s">
        <x:v>2360</x:v>
      </x:c>
      <x:c r="F251" s="10">
        <x:v>17.0851</x:v>
      </x:c>
      <x:c r="G251" s="10">
        <x:v>100.824669</x:v>
      </x:c>
      <x:c r="H251" s="7" t="s">
        <x:v>1548</x:v>
      </x:c>
      <x:c r="I251" s="10">
        <x:v>197.1</x:v>
      </x:c>
      <x:c r="J251" s="41"/>
      <x:c r="K251" s="41"/>
      <x:c r="L251" s="41"/>
      <x:c r="M251" s="41"/>
      <x:c r="N251" s="7" t="s">
        <x:v>1828</x:v>
      </x:c>
      <x:c r="O251" s="7" t="s">
        <x:v>1539</x:v>
      </x:c>
      <x:c r="P251" s="10">
        <x:v>4.0</x:v>
      </x:c>
      <x:c r="Q251" s="41"/>
      <x:c r="R251" s="10">
        <x:v>82.4</x:v>
      </x:c>
      <x:c r="S251" s="7" t="s">
        <x:v>301</x:v>
      </x:c>
      <x:c r="T251" s="7" t="b">
        <x:v>0</x:v>
      </x:c>
      <x:c r="U251" s="7" t="s">
        <x:v>1541</x:v>
      </x:c>
      <x:c r="V251" s="26" t="s">
        <x:v>1542</x:v>
      </x:c>
      <x:c r="W251" s="7" t="s">
        <x:v>2659</x:v>
      </x:c>
      <x:c r="X251" s="41"/>
      <x:c r="Y251" s="41"/>
      <x:c r="Z251" s="41"/>
    </x:row>
    <x:row r="252">
      <x:c r="A252" s="7" t="s">
        <x:v>2660</x:v>
      </x:c>
      <x:c r="B252" s="7" t="s">
        <x:v>2661</x:v>
      </x:c>
      <x:c r="C252" s="7" t="s">
        <x:v>2662</x:v>
      </x:c>
      <x:c r="D252" s="7" t="s">
        <x:v>207</x:v>
      </x:c>
      <x:c r="E252" s="7" t="s">
        <x:v>2074</x:v>
      </x:c>
      <x:c r="F252" s="10">
        <x:v>18.29126</x:v>
      </x:c>
      <x:c r="G252" s="10">
        <x:v>98.64756</x:v>
      </x:c>
      <x:c r="H252" s="7" t="s">
        <x:v>1548</x:v>
      </x:c>
      <x:c r="I252" s="10">
        <x:v>264.79</x:v>
      </x:c>
      <x:c r="J252" s="41"/>
      <x:c r="K252" s="41"/>
      <x:c r="L252" s="41"/>
      <x:c r="M252" s="41"/>
      <x:c r="N252" s="7" t="s">
        <x:v>2663</x:v>
      </x:c>
      <x:c r="O252" s="7" t="s">
        <x:v>1539</x:v>
      </x:c>
      <x:c r="P252" s="10">
        <x:v>3.0</x:v>
      </x:c>
      <x:c r="Q252" s="41"/>
      <x:c r="R252" s="10">
        <x:v>82.4</x:v>
      </x:c>
      <x:c r="S252" s="7" t="s">
        <x:v>301</x:v>
      </x:c>
      <x:c r="T252" s="7" t="b">
        <x:v>0</x:v>
      </x:c>
      <x:c r="U252" s="7" t="s">
        <x:v>1541</x:v>
      </x:c>
      <x:c r="V252" s="26" t="s">
        <x:v>1542</x:v>
      </x:c>
      <x:c r="W252" s="7" t="s">
        <x:v>2664</x:v>
      </x:c>
      <x:c r="X252" s="41"/>
      <x:c r="Y252" s="41"/>
      <x:c r="Z252" s="41"/>
    </x:row>
    <x:row r="253">
      <x:c r="A253" s="7" t="s">
        <x:v>2665</x:v>
      </x:c>
      <x:c r="B253" s="7" t="s">
        <x:v>2666</x:v>
      </x:c>
      <x:c r="C253" s="7" t="s">
        <x:v>2667</x:v>
      </x:c>
      <x:c r="D253" s="7" t="s">
        <x:v>248</x:v>
      </x:c>
      <x:c r="E253" s="7" t="s">
        <x:v>2668</x:v>
      </x:c>
      <x:c r="F253" s="10">
        <x:v>8.232547</x:v>
      </x:c>
      <x:c r="G253" s="10">
        <x:v>99.70778</x:v>
      </x:c>
      <x:c r="H253" s="7" t="s">
        <x:v>1658</x:v>
      </x:c>
      <x:c r="I253" s="10">
        <x:v>122.81</x:v>
      </x:c>
      <x:c r="J253" s="41"/>
      <x:c r="K253" s="41"/>
      <x:c r="L253" s="41"/>
      <x:c r="M253" s="41"/>
      <x:c r="N253" s="7" t="s">
        <x:v>2663</x:v>
      </x:c>
      <x:c r="O253" s="7" t="s">
        <x:v>1539</x:v>
      </x:c>
      <x:c r="P253" s="10">
        <x:v>3.0</x:v>
      </x:c>
      <x:c r="Q253" s="41"/>
      <x:c r="R253" s="10">
        <x:v>22.4</x:v>
      </x:c>
      <x:c r="S253" s="7" t="s">
        <x:v>1540</x:v>
      </x:c>
      <x:c r="T253" s="7" t="b">
        <x:v>0</x:v>
      </x:c>
      <x:c r="U253" s="7" t="s">
        <x:v>1541</x:v>
      </x:c>
      <x:c r="V253" s="26" t="s">
        <x:v>1542</x:v>
      </x:c>
      <x:c r="W253" s="7" t="s">
        <x:v>2669</x:v>
      </x:c>
      <x:c r="X253" s="41"/>
      <x:c r="Y253" s="41"/>
      <x:c r="Z253" s="41"/>
    </x:row>
    <x:row r="254">
      <x:c r="A254" s="7" t="s">
        <x:v>2670</x:v>
      </x:c>
      <x:c r="B254" s="7" t="s">
        <x:v>2671</x:v>
      </x:c>
      <x:c r="C254" s="7" t="s">
        <x:v>2672</x:v>
      </x:c>
      <x:c r="D254" s="7" t="s">
        <x:v>81</x:v>
      </x:c>
      <x:c r="E254" s="7" t="s">
        <x:v>2673</x:v>
      </x:c>
      <x:c r="F254" s="10">
        <x:v>13.80777</x:v>
      </x:c>
      <x:c r="G254" s="10">
        <x:v>100.27417</x:v>
      </x:c>
      <x:c r="H254" s="7" t="s">
        <x:v>1554</x:v>
      </x:c>
      <x:c r="I254" s="10">
        <x:v>1.0</x:v>
      </x:c>
      <x:c r="J254" s="41"/>
      <x:c r="K254" s="41"/>
      <x:c r="L254" s="41"/>
      <x:c r="M254" s="10"/>
      <x:c r="N254" s="7" t="s">
        <x:v>2663</x:v>
      </x:c>
      <x:c r="O254" s="7" t="s">
        <x:v>1539</x:v>
      </x:c>
      <x:c r="P254" s="10">
        <x:v>3.0</x:v>
      </x:c>
      <x:c r="Q254" s="41"/>
      <x:c r="R254" s="10">
        <x:v>12.4</x:v>
      </x:c>
      <x:c r="S254" s="7" t="s">
        <x:v>1540</x:v>
      </x:c>
      <x:c r="T254" s="7" t="b">
        <x:v>0</x:v>
      </x:c>
      <x:c r="U254" s="7" t="s">
        <x:v>1541</x:v>
      </x:c>
      <x:c r="V254" s="26" t="s">
        <x:v>1542</x:v>
      </x:c>
      <x:c r="W254" s="7" t="s">
        <x:v>2674</x:v>
      </x:c>
      <x:c r="X254" s="41"/>
      <x:c r="Y254" s="41"/>
      <x:c r="Z254" s="41"/>
    </x:row>
    <x:row r="255">
      <x:c r="A255" s="7" t="s">
        <x:v>2675</x:v>
      </x:c>
      <x:c r="B255" s="7" t="s">
        <x:v>2676</x:v>
      </x:c>
      <x:c r="C255" s="7" t="s">
        <x:v>2677</x:v>
      </x:c>
      <x:c r="D255" s="7" t="s">
        <x:v>27</x:v>
      </x:c>
      <x:c r="E255" s="7" t="s">
        <x:v>2678</x:v>
      </x:c>
      <x:c r="F255" s="10">
        <x:v>16.8222</x:v>
      </x:c>
      <x:c r="G255" s="10">
        <x:v>100.43159</x:v>
      </x:c>
      <x:c r="H255" s="7" t="s">
        <x:v>1554</x:v>
      </x:c>
      <x:c r="I255" s="10">
        <x:v>45.93</x:v>
      </x:c>
      <x:c r="J255" s="41"/>
      <x:c r="K255" s="41"/>
      <x:c r="L255" s="41"/>
      <x:c r="M255" s="10"/>
      <x:c r="N255" s="7" t="s">
        <x:v>2663</x:v>
      </x:c>
      <x:c r="O255" s="7" t="s">
        <x:v>1539</x:v>
      </x:c>
      <x:c r="P255" s="10">
        <x:v>3.0</x:v>
      </x:c>
      <x:c r="Q255" s="41"/>
      <x:c r="R255" s="10">
        <x:v>12.4</x:v>
      </x:c>
      <x:c r="S255" s="7" t="s">
        <x:v>1540</x:v>
      </x:c>
      <x:c r="T255" s="7" t="b">
        <x:v>0</x:v>
      </x:c>
      <x:c r="U255" s="7" t="s">
        <x:v>1541</x:v>
      </x:c>
      <x:c r="V255" s="26" t="s">
        <x:v>1542</x:v>
      </x:c>
      <x:c r="W255" s="7" t="s">
        <x:v>2679</x:v>
      </x:c>
      <x:c r="X255" s="41"/>
      <x:c r="Y255" s="41"/>
      <x:c r="Z255" s="41"/>
    </x:row>
    <x:row r="256">
      <x:c r="A256" s="7" t="s">
        <x:v>2680</x:v>
      </x:c>
      <x:c r="B256" s="7" t="s">
        <x:v>2681</x:v>
      </x:c>
      <x:c r="C256" s="7" t="s">
        <x:v>2682</x:v>
      </x:c>
      <x:c r="D256" s="7" t="s">
        <x:v>91</x:v>
      </x:c>
      <x:c r="E256" s="7" t="s">
        <x:v>1680</x:v>
      </x:c>
      <x:c r="F256" s="10">
        <x:v>14.133605</x:v>
      </x:c>
      <x:c r="G256" s="10">
        <x:v>101.72767</x:v>
      </x:c>
      <x:c r="H256" s="7" t="s">
        <x:v>1554</x:v>
      </x:c>
      <x:c r="I256" s="10">
        <x:v>13.95</x:v>
      </x:c>
      <x:c r="J256" s="41"/>
      <x:c r="K256" s="41"/>
      <x:c r="L256" s="41"/>
      <x:c r="M256" s="41"/>
      <x:c r="N256" s="7" t="s">
        <x:v>2663</x:v>
      </x:c>
      <x:c r="O256" s="7" t="s">
        <x:v>1539</x:v>
      </x:c>
      <x:c r="P256" s="10">
        <x:v>3.0</x:v>
      </x:c>
      <x:c r="Q256" s="41"/>
      <x:c r="R256" s="10">
        <x:v>12.4</x:v>
      </x:c>
      <x:c r="S256" s="7" t="s">
        <x:v>1540</x:v>
      </x:c>
      <x:c r="T256" s="7" t="b">
        <x:v>0</x:v>
      </x:c>
      <x:c r="U256" s="7" t="s">
        <x:v>1541</x:v>
      </x:c>
      <x:c r="V256" s="26" t="s">
        <x:v>1542</x:v>
      </x:c>
      <x:c r="W256" s="7" t="s">
        <x:v>2683</x:v>
      </x:c>
      <x:c r="X256" s="41"/>
      <x:c r="Y256" s="41"/>
      <x:c r="Z256" s="41"/>
    </x:row>
    <x:row r="257">
      <x:c r="A257" s="7" t="s">
        <x:v>2684</x:v>
      </x:c>
      <x:c r="B257" s="7" t="s">
        <x:v>2685</x:v>
      </x:c>
      <x:c r="C257" s="7" t="s">
        <x:v>2686</x:v>
      </x:c>
      <x:c r="D257" s="7" t="s">
        <x:v>258</x:v>
      </x:c>
      <x:c r="E257" s="7" t="s">
        <x:v>2687</x:v>
      </x:c>
      <x:c r="F257" s="10">
        <x:v>7.62273</x:v>
      </x:c>
      <x:c r="G257" s="10">
        <x:v>100.146835</x:v>
      </x:c>
      <x:c r="H257" s="7" t="s">
        <x:v>1554</x:v>
      </x:c>
      <x:c r="I257" s="10">
        <x:v>0.25</x:v>
      </x:c>
      <x:c r="J257" s="41"/>
      <x:c r="K257" s="41"/>
      <x:c r="L257" s="41"/>
      <x:c r="M257" s="41"/>
      <x:c r="N257" s="7" t="s">
        <x:v>2663</x:v>
      </x:c>
      <x:c r="O257" s="7" t="s">
        <x:v>1539</x:v>
      </x:c>
      <x:c r="P257" s="10">
        <x:v>3.0</x:v>
      </x:c>
      <x:c r="Q257" s="41"/>
      <x:c r="R257" s="10">
        <x:v>12.4</x:v>
      </x:c>
      <x:c r="S257" s="7" t="s">
        <x:v>1540</x:v>
      </x:c>
      <x:c r="T257" s="7" t="b">
        <x:v>0</x:v>
      </x:c>
      <x:c r="U257" s="7" t="s">
        <x:v>1541</x:v>
      </x:c>
      <x:c r="V257" s="26" t="s">
        <x:v>1542</x:v>
      </x:c>
      <x:c r="W257" s="7" t="s">
        <x:v>2688</x:v>
      </x:c>
      <x:c r="X257" s="41"/>
      <x:c r="Y257" s="41"/>
      <x:c r="Z257" s="41"/>
    </x:row>
    <x:row r="258">
      <x:c r="A258" s="7" t="s">
        <x:v>2689</x:v>
      </x:c>
      <x:c r="B258" s="7" t="s">
        <x:v>2690</x:v>
      </x:c>
      <x:c r="C258" s="7" t="s">
        <x:v>2359</x:v>
      </x:c>
      <x:c r="D258" s="7" t="s">
        <x:v>34</x:v>
      </x:c>
      <x:c r="E258" s="7" t="s">
        <x:v>2074</x:v>
      </x:c>
      <x:c r="F258" s="10">
        <x:v>16.064671</x:v>
      </x:c>
      <x:c r="G258" s="10">
        <x:v>99.860191</x:v>
      </x:c>
      <x:c r="H258" s="7" t="s">
        <x:v>1548</x:v>
      </x:c>
      <x:c r="I258" s="10">
        <x:v>43.82</x:v>
      </x:c>
      <x:c r="J258" s="41"/>
      <x:c r="K258" s="41"/>
      <x:c r="L258" s="41"/>
      <x:c r="M258" s="10"/>
      <x:c r="N258" s="7" t="s">
        <x:v>2663</x:v>
      </x:c>
      <x:c r="O258" s="7" t="s">
        <x:v>1539</x:v>
      </x:c>
      <x:c r="P258" s="10">
        <x:v>3.0</x:v>
      </x:c>
      <x:c r="Q258" s="41"/>
      <x:c r="R258" s="10">
        <x:v>82.4</x:v>
      </x:c>
      <x:c r="S258" s="7" t="s">
        <x:v>301</x:v>
      </x:c>
      <x:c r="T258" s="7" t="b">
        <x:v>0</x:v>
      </x:c>
      <x:c r="U258" s="7" t="s">
        <x:v>1541</x:v>
      </x:c>
      <x:c r="V258" s="26" t="s">
        <x:v>1542</x:v>
      </x:c>
      <x:c r="W258" s="7" t="s">
        <x:v>2691</x:v>
      </x:c>
      <x:c r="X258" s="41"/>
      <x:c r="Y258" s="41"/>
      <x:c r="Z258" s="41"/>
    </x:row>
    <x:row r="259">
      <x:c r="A259" s="7" t="s">
        <x:v>2692</x:v>
      </x:c>
      <x:c r="B259" s="7" t="s">
        <x:v>2693</x:v>
      </x:c>
      <x:c r="C259" s="7" t="s">
        <x:v>2694</x:v>
      </x:c>
      <x:c r="D259" s="7" t="s">
        <x:v>18</x:v>
      </x:c>
      <x:c r="E259" s="7" t="s">
        <x:v>2695</x:v>
      </x:c>
      <x:c r="F259" s="10">
        <x:v>17.20499</x:v>
      </x:c>
      <x:c r="G259" s="10">
        <x:v>99.098122</x:v>
      </x:c>
      <x:c r="H259" s="7" t="s">
        <x:v>1548</x:v>
      </x:c>
      <x:c r="I259" s="10">
        <x:v>134.64</x:v>
      </x:c>
      <x:c r="J259" s="41"/>
      <x:c r="K259" s="41"/>
      <x:c r="L259" s="41"/>
      <x:c r="M259" s="10"/>
      <x:c r="N259" s="7" t="s">
        <x:v>2663</x:v>
      </x:c>
      <x:c r="O259" s="7" t="s">
        <x:v>1539</x:v>
      </x:c>
      <x:c r="P259" s="10">
        <x:v>3.0</x:v>
      </x:c>
      <x:c r="Q259" s="41"/>
      <x:c r="R259" s="10">
        <x:v>82.4</x:v>
      </x:c>
      <x:c r="S259" s="7" t="s">
        <x:v>301</x:v>
      </x:c>
      <x:c r="T259" s="7" t="b">
        <x:v>0</x:v>
      </x:c>
      <x:c r="U259" s="7" t="s">
        <x:v>1541</x:v>
      </x:c>
      <x:c r="V259" s="26" t="s">
        <x:v>1542</x:v>
      </x:c>
      <x:c r="W259" s="7" t="s">
        <x:v>2696</x:v>
      </x:c>
      <x:c r="X259" s="41"/>
      <x:c r="Y259" s="41"/>
      <x:c r="Z259" s="41"/>
    </x:row>
    <x:row r="260">
      <x:c r="A260" s="7" t="s">
        <x:v>2697</x:v>
      </x:c>
      <x:c r="B260" s="7" t="s">
        <x:v>2698</x:v>
      </x:c>
      <x:c r="C260" s="7" t="s">
        <x:v>2699</x:v>
      </x:c>
      <x:c r="D260" s="7" t="s">
        <x:v>34</x:v>
      </x:c>
      <x:c r="E260" s="7" t="s">
        <x:v>2074</x:v>
      </x:c>
      <x:c r="F260" s="10">
        <x:v>16.21414</x:v>
      </x:c>
      <x:c r="G260" s="10">
        <x:v>99.722328</x:v>
      </x:c>
      <x:c r="H260" s="7" t="s">
        <x:v>1548</x:v>
      </x:c>
      <x:c r="I260" s="10">
        <x:v>55.06</x:v>
      </x:c>
      <x:c r="J260" s="41"/>
      <x:c r="K260" s="41"/>
      <x:c r="L260" s="41"/>
      <x:c r="M260" s="10"/>
      <x:c r="N260" s="7" t="s">
        <x:v>2663</x:v>
      </x:c>
      <x:c r="O260" s="7" t="s">
        <x:v>1539</x:v>
      </x:c>
      <x:c r="P260" s="10">
        <x:v>3.0</x:v>
      </x:c>
      <x:c r="Q260" s="41"/>
      <x:c r="R260" s="10">
        <x:v>82.4</x:v>
      </x:c>
      <x:c r="S260" s="7" t="s">
        <x:v>301</x:v>
      </x:c>
      <x:c r="T260" s="7" t="b">
        <x:v>0</x:v>
      </x:c>
      <x:c r="U260" s="7" t="s">
        <x:v>1541</x:v>
      </x:c>
      <x:c r="V260" s="26" t="s">
        <x:v>1542</x:v>
      </x:c>
      <x:c r="W260" s="7" t="s">
        <x:v>2700</x:v>
      </x:c>
      <x:c r="X260" s="41"/>
      <x:c r="Y260" s="41"/>
      <x:c r="Z260" s="41"/>
    </x:row>
    <x:row r="261">
      <x:c r="A261" s="7" t="s">
        <x:v>2701</x:v>
      </x:c>
      <x:c r="B261" s="7" t="s">
        <x:v>2702</x:v>
      </x:c>
      <x:c r="C261" s="7" t="s">
        <x:v>2703</x:v>
      </x:c>
      <x:c r="D261" s="7" t="s">
        <x:v>242</x:v>
      </x:c>
      <x:c r="E261" s="7" t="s">
        <x:v>2032</x:v>
      </x:c>
      <x:c r="F261" s="10">
        <x:v>15.24992</x:v>
      </x:c>
      <x:c r="G261" s="10">
        <x:v>105.239243</x:v>
      </x:c>
      <x:c r="H261" s="7" t="s">
        <x:v>1548</x:v>
      </x:c>
      <x:c r="I261" s="10">
        <x:v>109.21</x:v>
      </x:c>
      <x:c r="J261" s="41"/>
      <x:c r="K261" s="41"/>
      <x:c r="L261" s="41"/>
      <x:c r="M261" s="10"/>
      <x:c r="N261" s="7" t="s">
        <x:v>2663</x:v>
      </x:c>
      <x:c r="O261" s="7" t="s">
        <x:v>1539</x:v>
      </x:c>
      <x:c r="P261" s="10">
        <x:v>3.0</x:v>
      </x:c>
      <x:c r="Q261" s="41"/>
      <x:c r="R261" s="10">
        <x:v>82.4</x:v>
      </x:c>
      <x:c r="S261" s="7" t="s">
        <x:v>301</x:v>
      </x:c>
      <x:c r="T261" s="7" t="b">
        <x:v>0</x:v>
      </x:c>
      <x:c r="U261" s="7" t="s">
        <x:v>1541</x:v>
      </x:c>
      <x:c r="V261" s="26" t="s">
        <x:v>1542</x:v>
      </x:c>
      <x:c r="W261" s="7" t="s">
        <x:v>2704</x:v>
      </x:c>
      <x:c r="X261" s="41"/>
      <x:c r="Y261" s="41"/>
      <x:c r="Z261" s="41"/>
    </x:row>
    <x:row r="262">
      <x:c r="A262" s="7" t="s">
        <x:v>2705</x:v>
      </x:c>
      <x:c r="B262" s="7" t="s">
        <x:v>2706</x:v>
      </x:c>
      <x:c r="C262" s="7" t="s">
        <x:v>2707</x:v>
      </x:c>
      <x:c r="D262" s="7" t="s">
        <x:v>242</x:v>
      </x:c>
      <x:c r="E262" s="7" t="s">
        <x:v>2489</x:v>
      </x:c>
      <x:c r="F262" s="10">
        <x:v>15.07663</x:v>
      </x:c>
      <x:c r="G262" s="10">
        <x:v>105.07114</x:v>
      </x:c>
      <x:c r="H262" s="7" t="s">
        <x:v>1548</x:v>
      </x:c>
      <x:c r="I262" s="10">
        <x:v>115.55</x:v>
      </x:c>
      <x:c r="J262" s="41"/>
      <x:c r="K262" s="41"/>
      <x:c r="L262" s="41"/>
      <x:c r="M262" s="10">
        <x:v>119.19</x:v>
      </x:c>
      <x:c r="N262" s="7" t="s">
        <x:v>2663</x:v>
      </x:c>
      <x:c r="O262" s="7" t="s">
        <x:v>1539</x:v>
      </x:c>
      <x:c r="P262" s="10">
        <x:v>3.0</x:v>
      </x:c>
      <x:c r="Q262" s="41"/>
      <x:c r="R262" s="10">
        <x:v>82.4</x:v>
      </x:c>
      <x:c r="S262" s="7" t="s">
        <x:v>301</x:v>
      </x:c>
      <x:c r="T262" s="7" t="b">
        <x:v>0</x:v>
      </x:c>
      <x:c r="U262" s="7" t="s">
        <x:v>1541</x:v>
      </x:c>
      <x:c r="V262" s="26" t="s">
        <x:v>1542</x:v>
      </x:c>
      <x:c r="W262" s="7" t="s">
        <x:v>2708</x:v>
      </x:c>
      <x:c r="X262" s="41"/>
      <x:c r="Y262" s="41"/>
      <x:c r="Z262" s="41"/>
    </x:row>
    <x:row r="263">
      <x:c r="A263" s="7" t="s">
        <x:v>2709</x:v>
      </x:c>
      <x:c r="B263" s="7" t="s">
        <x:v>2710</x:v>
      </x:c>
      <x:c r="C263" s="7" t="s">
        <x:v>2711</x:v>
      </x:c>
      <x:c r="D263" s="7" t="s">
        <x:v>217</x:v>
      </x:c>
      <x:c r="E263" s="7"/>
      <x:c r="F263" s="10">
        <x:v>16.81476</x:v>
      </x:c>
      <x:c r="G263" s="10">
        <x:v>99.80374</x:v>
      </x:c>
      <x:c r="H263" s="7" t="s">
        <x:v>1554</x:v>
      </x:c>
      <x:c r="I263" s="10">
        <x:v>46.89</x:v>
      </x:c>
      <x:c r="J263" s="41"/>
      <x:c r="K263" s="41"/>
      <x:c r="L263" s="41"/>
      <x:c r="M263" s="10"/>
      <x:c r="N263" s="7" t="s">
        <x:v>2663</x:v>
      </x:c>
      <x:c r="O263" s="7" t="s">
        <x:v>1539</x:v>
      </x:c>
      <x:c r="P263" s="10">
        <x:v>3.0</x:v>
      </x:c>
      <x:c r="Q263" s="41"/>
      <x:c r="R263" s="10">
        <x:v>12.4</x:v>
      </x:c>
      <x:c r="S263" s="7" t="s">
        <x:v>1540</x:v>
      </x:c>
      <x:c r="T263" s="7" t="b">
        <x:v>0</x:v>
      </x:c>
      <x:c r="U263" s="7" t="s">
        <x:v>1541</x:v>
      </x:c>
      <x:c r="V263" s="26" t="s">
        <x:v>1542</x:v>
      </x:c>
      <x:c r="W263" s="7" t="s">
        <x:v>2712</x:v>
      </x:c>
      <x:c r="X263" s="41"/>
      <x:c r="Y263" s="41"/>
      <x:c r="Z263" s="41"/>
    </x:row>
    <x:row r="264">
      <x:c r="A264" s="7" t="s">
        <x:v>2713</x:v>
      </x:c>
      <x:c r="B264" s="7" t="s">
        <x:v>2714</x:v>
      </x:c>
      <x:c r="C264" s="7" t="s">
        <x:v>2715</x:v>
      </x:c>
      <x:c r="D264" s="7" t="s">
        <x:v>242</x:v>
      </x:c>
      <x:c r="E264" s="7" t="s">
        <x:v>2393</x:v>
      </x:c>
      <x:c r="F264" s="10">
        <x:v>15.30323</x:v>
      </x:c>
      <x:c r="G264" s="10">
        <x:v>104.50032</x:v>
      </x:c>
      <x:c r="H264" s="7" t="s">
        <x:v>1548</x:v>
      </x:c>
      <x:c r="I264" s="10">
        <x:v>114.72</x:v>
      </x:c>
      <x:c r="J264" s="41"/>
      <x:c r="K264" s="41"/>
      <x:c r="L264" s="41"/>
      <x:c r="M264" s="10"/>
      <x:c r="N264" s="7" t="s">
        <x:v>2663</x:v>
      </x:c>
      <x:c r="O264" s="7" t="s">
        <x:v>1539</x:v>
      </x:c>
      <x:c r="P264" s="10">
        <x:v>3.0</x:v>
      </x:c>
      <x:c r="Q264" s="41"/>
      <x:c r="R264" s="10">
        <x:v>82.4</x:v>
      </x:c>
      <x:c r="S264" s="7" t="s">
        <x:v>301</x:v>
      </x:c>
      <x:c r="T264" s="7" t="b">
        <x:v>0</x:v>
      </x:c>
      <x:c r="U264" s="7" t="s">
        <x:v>1541</x:v>
      </x:c>
      <x:c r="V264" s="26" t="s">
        <x:v>1542</x:v>
      </x:c>
      <x:c r="W264" s="7" t="s">
        <x:v>2716</x:v>
      </x:c>
      <x:c r="X264" s="41"/>
      <x:c r="Y264" s="41"/>
      <x:c r="Z264" s="41"/>
    </x:row>
    <x:row r="265">
      <x:c r="A265" s="7" t="s">
        <x:v>2717</x:v>
      </x:c>
      <x:c r="B265" s="7" t="s">
        <x:v>2718</x:v>
      </x:c>
      <x:c r="C265" s="7" t="s">
        <x:v>2719</x:v>
      </x:c>
      <x:c r="D265" s="7" t="s">
        <x:v>58</x:v>
      </x:c>
      <x:c r="E265" s="7" t="s">
        <x:v>1536</x:v>
      </x:c>
      <x:c r="F265" s="10">
        <x:v>14.53566</x:v>
      </x:c>
      <x:c r="G265" s="10">
        <x:v>98.78764</x:v>
      </x:c>
      <x:c r="H265" s="7" t="s">
        <x:v>1658</x:v>
      </x:c>
      <x:c r="I265" s="10">
        <x:v>66.84</x:v>
      </x:c>
      <x:c r="J265" s="41"/>
      <x:c r="K265" s="41"/>
      <x:c r="L265" s="41"/>
      <x:c r="M265" s="10">
        <x:v>75.85</x:v>
      </x:c>
      <x:c r="N265" s="7" t="s">
        <x:v>2663</x:v>
      </x:c>
      <x:c r="O265" s="7" t="s">
        <x:v>1539</x:v>
      </x:c>
      <x:c r="P265" s="10">
        <x:v>3.0</x:v>
      </x:c>
      <x:c r="Q265" s="41"/>
      <x:c r="R265" s="10">
        <x:v>22.4</x:v>
      </x:c>
      <x:c r="S265" s="7" t="s">
        <x:v>1540</x:v>
      </x:c>
      <x:c r="T265" s="7" t="b">
        <x:v>0</x:v>
      </x:c>
      <x:c r="U265" s="7" t="s">
        <x:v>1541</x:v>
      </x:c>
      <x:c r="V265" s="26" t="s">
        <x:v>1542</x:v>
      </x:c>
      <x:c r="W265" s="7" t="s">
        <x:v>2720</x:v>
      </x:c>
      <x:c r="X265" s="41"/>
      <x:c r="Y265" s="41"/>
      <x:c r="Z265" s="41"/>
    </x:row>
    <x:row r="266">
      <x:c r="A266" s="7" t="s">
        <x:v>2721</x:v>
      </x:c>
      <x:c r="B266" s="7" t="s">
        <x:v>2722</x:v>
      </x:c>
      <x:c r="C266" s="7" t="s">
        <x:v>2723</x:v>
      </x:c>
      <x:c r="D266" s="7" t="s">
        <x:v>257</x:v>
      </x:c>
      <x:c r="E266" s="7" t="s">
        <x:v>2724</x:v>
      </x:c>
      <x:c r="F266" s="10">
        <x:v>7.90741</x:v>
      </x:c>
      <x:c r="G266" s="10">
        <x:v>99.542389</x:v>
      </x:c>
      <x:c r="H266" s="7" t="s">
        <x:v>1548</x:v>
      </x:c>
      <x:c r="I266" s="10">
        <x:v>14.63</x:v>
      </x:c>
      <x:c r="J266" s="41"/>
      <x:c r="K266" s="41"/>
      <x:c r="L266" s="41"/>
      <x:c r="M266" s="10"/>
      <x:c r="N266" s="7" t="s">
        <x:v>2663</x:v>
      </x:c>
      <x:c r="O266" s="7" t="s">
        <x:v>1539</x:v>
      </x:c>
      <x:c r="P266" s="10">
        <x:v>3.0</x:v>
      </x:c>
      <x:c r="Q266" s="41"/>
      <x:c r="R266" s="10">
        <x:v>82.4</x:v>
      </x:c>
      <x:c r="S266" s="7" t="s">
        <x:v>301</x:v>
      </x:c>
      <x:c r="T266" s="7" t="b">
        <x:v>0</x:v>
      </x:c>
      <x:c r="U266" s="7" t="s">
        <x:v>1541</x:v>
      </x:c>
      <x:c r="V266" s="26" t="s">
        <x:v>1542</x:v>
      </x:c>
      <x:c r="W266" s="7" t="s">
        <x:v>2725</x:v>
      </x:c>
      <x:c r="X266" s="41"/>
      <x:c r="Y266" s="41"/>
      <x:c r="Z266" s="41"/>
    </x:row>
    <x:row r="267">
      <x:c r="A267" s="7" t="s">
        <x:v>2726</x:v>
      </x:c>
      <x:c r="B267" s="7" t="s">
        <x:v>2727</x:v>
      </x:c>
      <x:c r="C267" s="7" t="s">
        <x:v>2728</x:v>
      </x:c>
      <x:c r="D267" s="7" t="s">
        <x:v>68</x:v>
      </x:c>
      <x:c r="E267" s="7" t="s">
        <x:v>1574</x:v>
      </x:c>
      <x:c r="F267" s="10">
        <x:v>14.327773</x:v>
      </x:c>
      <x:c r="G267" s="10">
        <x:v>100.405464</x:v>
      </x:c>
      <x:c r="H267" s="7" t="s">
        <x:v>1554</x:v>
      </x:c>
      <x:c r="I267" s="10">
        <x:v>2.02</x:v>
      </x:c>
      <x:c r="J267" s="41"/>
      <x:c r="K267" s="41"/>
      <x:c r="L267" s="41"/>
      <x:c r="M267" s="41"/>
      <x:c r="N267" s="7" t="s">
        <x:v>2663</x:v>
      </x:c>
      <x:c r="O267" s="7" t="s">
        <x:v>1539</x:v>
      </x:c>
      <x:c r="P267" s="10">
        <x:v>3.0</x:v>
      </x:c>
      <x:c r="Q267" s="41"/>
      <x:c r="R267" s="10">
        <x:v>12.4</x:v>
      </x:c>
      <x:c r="S267" s="7" t="s">
        <x:v>1540</x:v>
      </x:c>
      <x:c r="T267" s="7" t="b">
        <x:v>0</x:v>
      </x:c>
      <x:c r="U267" s="7" t="s">
        <x:v>1541</x:v>
      </x:c>
      <x:c r="V267" s="26" t="s">
        <x:v>1542</x:v>
      </x:c>
      <x:c r="W267" s="7" t="s">
        <x:v>2729</x:v>
      </x:c>
      <x:c r="X267" s="41"/>
      <x:c r="Y267" s="41"/>
      <x:c r="Z267" s="41"/>
    </x:row>
    <x:row r="268">
      <x:c r="A268" s="7" t="s">
        <x:v>2730</x:v>
      </x:c>
      <x:c r="B268" s="7" t="s">
        <x:v>2731</x:v>
      </x:c>
      <x:c r="C268" s="7" t="s">
        <x:v>2732</x:v>
      </x:c>
      <x:c r="D268" s="7" t="s">
        <x:v>115</x:v>
      </x:c>
      <x:c r="E268" s="7" t="s">
        <x:v>2733</x:v>
      </x:c>
      <x:c r="F268" s="10">
        <x:v>15.51345</x:v>
      </x:c>
      <x:c r="G268" s="10">
        <x:v>102.843826</x:v>
      </x:c>
      <x:c r="H268" s="7" t="s">
        <x:v>1548</x:v>
      </x:c>
      <x:c r="I268" s="10">
        <x:v>138.15</x:v>
      </x:c>
      <x:c r="J268" s="41"/>
      <x:c r="K268" s="41"/>
      <x:c r="L268" s="41"/>
      <x:c r="M268" s="41"/>
      <x:c r="N268" s="7" t="s">
        <x:v>2663</x:v>
      </x:c>
      <x:c r="O268" s="7" t="s">
        <x:v>1539</x:v>
      </x:c>
      <x:c r="P268" s="10">
        <x:v>3.0</x:v>
      </x:c>
      <x:c r="Q268" s="41"/>
      <x:c r="R268" s="10">
        <x:v>82.4</x:v>
      </x:c>
      <x:c r="S268" s="7" t="s">
        <x:v>301</x:v>
      </x:c>
      <x:c r="T268" s="7" t="b">
        <x:v>0</x:v>
      </x:c>
      <x:c r="U268" s="7" t="s">
        <x:v>1541</x:v>
      </x:c>
      <x:c r="V268" s="26" t="s">
        <x:v>1542</x:v>
      </x:c>
      <x:c r="W268" s="7" t="s">
        <x:v>2734</x:v>
      </x:c>
      <x:c r="X268" s="41"/>
      <x:c r="Y268" s="41"/>
      <x:c r="Z268" s="41"/>
    </x:row>
    <x:row r="269">
      <x:c r="A269" s="7" t="s">
        <x:v>2735</x:v>
      </x:c>
      <x:c r="B269" s="7" t="s">
        <x:v>2736</x:v>
      </x:c>
      <x:c r="C269" s="7" t="s">
        <x:v>2737</x:v>
      </x:c>
      <x:c r="D269" s="7" t="s">
        <x:v>118</x:v>
      </x:c>
      <x:c r="E269" s="7" t="s">
        <x:v>2393</x:v>
      </x:c>
      <x:c r="F269" s="10">
        <x:v>15.7325</x:v>
      </x:c>
      <x:c r="G269" s="10">
        <x:v>101.830048</x:v>
      </x:c>
      <x:c r="H269" s="7" t="s">
        <x:v>1548</x:v>
      </x:c>
      <x:c r="I269" s="10">
        <x:v>192.39</x:v>
      </x:c>
      <x:c r="J269" s="41"/>
      <x:c r="K269" s="41"/>
      <x:c r="L269" s="41"/>
      <x:c r="M269" s="41"/>
      <x:c r="N269" s="7" t="s">
        <x:v>2663</x:v>
      </x:c>
      <x:c r="O269" s="7" t="s">
        <x:v>1539</x:v>
      </x:c>
      <x:c r="P269" s="10">
        <x:v>3.0</x:v>
      </x:c>
      <x:c r="Q269" s="41"/>
      <x:c r="R269" s="10">
        <x:v>82.4</x:v>
      </x:c>
      <x:c r="S269" s="7" t="s">
        <x:v>301</x:v>
      </x:c>
      <x:c r="T269" s="7" t="b">
        <x:v>0</x:v>
      </x:c>
      <x:c r="U269" s="7" t="s">
        <x:v>1541</x:v>
      </x:c>
      <x:c r="V269" s="26" t="s">
        <x:v>1542</x:v>
      </x:c>
      <x:c r="W269" s="7" t="s">
        <x:v>2738</x:v>
      </x:c>
      <x:c r="X269" s="41"/>
      <x:c r="Y269" s="41"/>
      <x:c r="Z269" s="41"/>
    </x:row>
    <x:row r="270">
      <x:c r="A270" s="7" t="s">
        <x:v>2739</x:v>
      </x:c>
      <x:c r="B270" s="7" t="s">
        <x:v>2740</x:v>
      </x:c>
      <x:c r="C270" s="7" t="s">
        <x:v>2741</x:v>
      </x:c>
      <x:c r="D270" s="7" t="s">
        <x:v>249</x:v>
      </x:c>
      <x:c r="E270" s="7"/>
      <x:c r="F270" s="10">
        <x:v>9.24312</x:v>
      </x:c>
      <x:c r="G270" s="10">
        <x:v>98.919251</x:v>
      </x:c>
      <x:c r="H270" s="7" t="s">
        <x:v>1658</x:v>
      </x:c>
      <x:c r="I270" s="10">
        <x:v>32.8</x:v>
      </x:c>
      <x:c r="J270" s="41"/>
      <x:c r="K270" s="41"/>
      <x:c r="L270" s="41"/>
      <x:c r="M270" s="10">
        <x:v>34.881</x:v>
      </x:c>
      <x:c r="N270" s="7" t="s">
        <x:v>2663</x:v>
      </x:c>
      <x:c r="O270" s="7" t="s">
        <x:v>1539</x:v>
      </x:c>
      <x:c r="P270" s="10">
        <x:v>3.0</x:v>
      </x:c>
      <x:c r="Q270" s="41"/>
      <x:c r="R270" s="10">
        <x:v>22.4</x:v>
      </x:c>
      <x:c r="S270" s="7" t="s">
        <x:v>1540</x:v>
      </x:c>
      <x:c r="T270" s="7" t="b">
        <x:v>0</x:v>
      </x:c>
      <x:c r="U270" s="7" t="s">
        <x:v>1541</x:v>
      </x:c>
      <x:c r="V270" s="26" t="s">
        <x:v>1542</x:v>
      </x:c>
      <x:c r="W270" s="7" t="s">
        <x:v>2742</x:v>
      </x:c>
      <x:c r="X270" s="41"/>
      <x:c r="Y270" s="41"/>
      <x:c r="Z270" s="41"/>
    </x:row>
    <x:row r="271">
      <x:c r="A271" s="7" t="s">
        <x:v>2743</x:v>
      </x:c>
      <x:c r="B271" s="7" t="s">
        <x:v>2744</x:v>
      </x:c>
      <x:c r="C271" s="7" t="s">
        <x:v>2745</x:v>
      </x:c>
      <x:c r="D271" s="7" t="s">
        <x:v>230</x:v>
      </x:c>
      <x:c r="E271" s="7"/>
      <x:c r="F271" s="10">
        <x:v>15.95648</x:v>
      </x:c>
      <x:c r="G271" s="10">
        <x:v>103.1543</x:v>
      </x:c>
      <x:c r="H271" s="7" t="s">
        <x:v>1554</x:v>
      </x:c>
      <x:c r="I271" s="10">
        <x:v>159.85</x:v>
      </x:c>
      <x:c r="J271" s="41"/>
      <x:c r="K271" s="41"/>
      <x:c r="L271" s="41"/>
      <x:c r="M271" s="41"/>
      <x:c r="N271" s="7" t="s">
        <x:v>2663</x:v>
      </x:c>
      <x:c r="O271" s="7" t="s">
        <x:v>1539</x:v>
      </x:c>
      <x:c r="P271" s="10">
        <x:v>3.0</x:v>
      </x:c>
      <x:c r="Q271" s="41"/>
      <x:c r="R271" s="10">
        <x:v>12.4</x:v>
      </x:c>
      <x:c r="S271" s="7" t="s">
        <x:v>1540</x:v>
      </x:c>
      <x:c r="T271" s="7" t="b">
        <x:v>0</x:v>
      </x:c>
      <x:c r="U271" s="7" t="s">
        <x:v>1541</x:v>
      </x:c>
      <x:c r="V271" s="26" t="s">
        <x:v>1542</x:v>
      </x:c>
      <x:c r="W271" s="7" t="s">
        <x:v>2746</x:v>
      </x:c>
      <x:c r="X271" s="41"/>
      <x:c r="Y271" s="41"/>
      <x:c r="Z271" s="41"/>
    </x:row>
    <x:row r="272">
      <x:c r="A272" s="7" t="s">
        <x:v>2747</x:v>
      </x:c>
      <x:c r="B272" s="7" t="s">
        <x:v>2748</x:v>
      </x:c>
      <x:c r="C272" s="7" t="s">
        <x:v>2749</x:v>
      </x:c>
      <x:c r="D272" s="7" t="s">
        <x:v>222</x:v>
      </x:c>
      <x:c r="E272" s="7" t="s">
        <x:v>2017</x:v>
      </x:c>
      <x:c r="F272" s="10">
        <x:v>12.80623</x:v>
      </x:c>
      <x:c r="G272" s="10">
        <x:v>99.770569</x:v>
      </x:c>
      <x:c r="H272" s="7" t="s">
        <x:v>1537</x:v>
      </x:c>
      <x:c r="I272" s="10">
        <x:v>29.23</x:v>
      </x:c>
      <x:c r="J272" s="41"/>
      <x:c r="K272" s="41"/>
      <x:c r="L272" s="41"/>
      <x:c r="M272" s="41"/>
      <x:c r="N272" s="7" t="s">
        <x:v>2663</x:v>
      </x:c>
      <x:c r="O272" s="7" t="s">
        <x:v>1539</x:v>
      </x:c>
      <x:c r="P272" s="10">
        <x:v>3.0</x:v>
      </x:c>
      <x:c r="Q272" s="41"/>
      <x:c r="R272" s="10">
        <x:v>-457.6</x:v>
      </x:c>
      <x:c r="S272" s="7" t="s">
        <x:v>1540</x:v>
      </x:c>
      <x:c r="T272" s="7" t="b">
        <x:v>0</x:v>
      </x:c>
      <x:c r="U272" s="7" t="s">
        <x:v>1541</x:v>
      </x:c>
      <x:c r="V272" s="26" t="s">
        <x:v>1542</x:v>
      </x:c>
      <x:c r="W272" s="7" t="s">
        <x:v>2750</x:v>
      </x:c>
      <x:c r="X272" s="41"/>
      <x:c r="Y272" s="41"/>
      <x:c r="Z272" s="41"/>
    </x:row>
    <x:row r="273">
      <x:c r="A273" s="7" t="s">
        <x:v>2751</x:v>
      </x:c>
      <x:c r="B273" s="7" t="s">
        <x:v>2752</x:v>
      </x:c>
      <x:c r="C273" s="7" t="s">
        <x:v>2753</x:v>
      </x:c>
      <x:c r="D273" s="7" t="s">
        <x:v>27</x:v>
      </x:c>
      <x:c r="E273" s="7" t="s">
        <x:v>2754</x:v>
      </x:c>
      <x:c r="F273" s="10">
        <x:v>16.84712</x:v>
      </x:c>
      <x:c r="G273" s="10">
        <x:v>100.512093</x:v>
      </x:c>
      <x:c r="H273" s="7" t="s">
        <x:v>1548</x:v>
      </x:c>
      <x:c r="I273" s="10">
        <x:v>48.46</x:v>
      </x:c>
      <x:c r="J273" s="41"/>
      <x:c r="K273" s="41"/>
      <x:c r="L273" s="41"/>
      <x:c r="M273" s="41"/>
      <x:c r="N273" s="7" t="s">
        <x:v>2663</x:v>
      </x:c>
      <x:c r="O273" s="7" t="s">
        <x:v>1539</x:v>
      </x:c>
      <x:c r="P273" s="10">
        <x:v>3.0</x:v>
      </x:c>
      <x:c r="Q273" s="41"/>
      <x:c r="R273" s="10">
        <x:v>82.4</x:v>
      </x:c>
      <x:c r="S273" s="7" t="s">
        <x:v>301</x:v>
      </x:c>
      <x:c r="T273" s="7" t="b">
        <x:v>0</x:v>
      </x:c>
      <x:c r="U273" s="7" t="s">
        <x:v>1541</x:v>
      </x:c>
      <x:c r="V273" s="26" t="s">
        <x:v>1542</x:v>
      </x:c>
      <x:c r="W273" s="7" t="s">
        <x:v>2755</x:v>
      </x:c>
      <x:c r="X273" s="41"/>
      <x:c r="Y273" s="41"/>
      <x:c r="Z273" s="41"/>
    </x:row>
    <x:row r="274">
      <x:c r="A274" s="7" t="s">
        <x:v>2756</x:v>
      </x:c>
      <x:c r="B274" s="7" t="s">
        <x:v>2757</x:v>
      </x:c>
      <x:c r="C274" s="7" t="s">
        <x:v>2758</x:v>
      </x:c>
      <x:c r="D274" s="7" t="s">
        <x:v>257</x:v>
      </x:c>
      <x:c r="E274" s="7" t="s">
        <x:v>2758</x:v>
      </x:c>
      <x:c r="F274" s="10">
        <x:v>7.568049</x:v>
      </x:c>
      <x:c r="G274" s="10">
        <x:v>99.65109</x:v>
      </x:c>
      <x:c r="H274" s="7" t="s">
        <x:v>1554</x:v>
      </x:c>
      <x:c r="I274" s="10">
        <x:v>15.86</x:v>
      </x:c>
      <x:c r="J274" s="41"/>
      <x:c r="K274" s="41"/>
      <x:c r="L274" s="41"/>
      <x:c r="M274" s="10"/>
      <x:c r="N274" s="7" t="s">
        <x:v>2663</x:v>
      </x:c>
      <x:c r="O274" s="7" t="s">
        <x:v>1539</x:v>
      </x:c>
      <x:c r="P274" s="10">
        <x:v>3.0</x:v>
      </x:c>
      <x:c r="Q274" s="41"/>
      <x:c r="R274" s="10">
        <x:v>12.4</x:v>
      </x:c>
      <x:c r="S274" s="7" t="s">
        <x:v>1540</x:v>
      </x:c>
      <x:c r="T274" s="7" t="b">
        <x:v>0</x:v>
      </x:c>
      <x:c r="U274" s="7" t="s">
        <x:v>1541</x:v>
      </x:c>
      <x:c r="V274" s="26" t="s">
        <x:v>1542</x:v>
      </x:c>
      <x:c r="W274" s="7" t="s">
        <x:v>2759</x:v>
      </x:c>
      <x:c r="X274" s="41"/>
      <x:c r="Y274" s="41"/>
      <x:c r="Z274" s="41"/>
    </x:row>
    <x:row r="275">
      <x:c r="A275" s="7" t="s">
        <x:v>2760</x:v>
      </x:c>
      <x:c r="B275" s="7" t="s">
        <x:v>2761</x:v>
      </x:c>
      <x:c r="C275" s="7" t="s">
        <x:v>2762</x:v>
      </x:c>
      <x:c r="D275" s="7" t="s">
        <x:v>258</x:v>
      </x:c>
      <x:c r="E275" s="7" t="s">
        <x:v>2763</x:v>
      </x:c>
      <x:c r="F275" s="10">
        <x:v>7.817578</x:v>
      </x:c>
      <x:c r="G275" s="10">
        <x:v>100.047485</x:v>
      </x:c>
      <x:c r="H275" s="7" t="s">
        <x:v>1554</x:v>
      </x:c>
      <x:c r="I275" s="10">
        <x:v>2.69</x:v>
      </x:c>
      <x:c r="J275" s="41"/>
      <x:c r="K275" s="41"/>
      <x:c r="L275" s="41"/>
      <x:c r="M275" s="41"/>
      <x:c r="N275" s="7" t="s">
        <x:v>2663</x:v>
      </x:c>
      <x:c r="O275" s="7" t="s">
        <x:v>1539</x:v>
      </x:c>
      <x:c r="P275" s="10">
        <x:v>3.0</x:v>
      </x:c>
      <x:c r="Q275" s="41"/>
      <x:c r="R275" s="10">
        <x:v>12.4</x:v>
      </x:c>
      <x:c r="S275" s="7" t="s">
        <x:v>1540</x:v>
      </x:c>
      <x:c r="T275" s="7" t="b">
        <x:v>0</x:v>
      </x:c>
      <x:c r="U275" s="7" t="s">
        <x:v>1541</x:v>
      </x:c>
      <x:c r="V275" s="26" t="s">
        <x:v>1542</x:v>
      </x:c>
      <x:c r="W275" s="7" t="s">
        <x:v>2764</x:v>
      </x:c>
      <x:c r="X275" s="41"/>
      <x:c r="Y275" s="41"/>
      <x:c r="Z275" s="41"/>
    </x:row>
    <x:row r="276">
      <x:c r="A276" s="7" t="s">
        <x:v>2765</x:v>
      </x:c>
      <x:c r="B276" s="7" t="s">
        <x:v>2766</x:v>
      </x:c>
      <x:c r="C276" s="7" t="s">
        <x:v>2767</x:v>
      </x:c>
      <x:c r="D276" s="7" t="s">
        <x:v>81</x:v>
      </x:c>
      <x:c r="E276" s="7" t="s">
        <x:v>2768</x:v>
      </x:c>
      <x:c r="F276" s="10">
        <x:v>13.88207</x:v>
      </x:c>
      <x:c r="G276" s="10">
        <x:v>100.29086</x:v>
      </x:c>
      <x:c r="H276" s="7" t="s">
        <x:v>1554</x:v>
      </x:c>
      <x:c r="I276" s="10">
        <x:v>2.06</x:v>
      </x:c>
      <x:c r="J276" s="41"/>
      <x:c r="K276" s="41"/>
      <x:c r="L276" s="41"/>
      <x:c r="M276" s="41"/>
      <x:c r="N276" s="7" t="s">
        <x:v>2663</x:v>
      </x:c>
      <x:c r="O276" s="7" t="s">
        <x:v>1539</x:v>
      </x:c>
      <x:c r="P276" s="10">
        <x:v>3.0</x:v>
      </x:c>
      <x:c r="Q276" s="41"/>
      <x:c r="R276" s="10">
        <x:v>12.4</x:v>
      </x:c>
      <x:c r="S276" s="7" t="s">
        <x:v>1540</x:v>
      </x:c>
      <x:c r="T276" s="7" t="b">
        <x:v>0</x:v>
      </x:c>
      <x:c r="U276" s="7" t="s">
        <x:v>1541</x:v>
      </x:c>
      <x:c r="V276" s="26" t="s">
        <x:v>1542</x:v>
      </x:c>
      <x:c r="W276" s="7" t="s">
        <x:v>2769</x:v>
      </x:c>
      <x:c r="X276" s="41"/>
      <x:c r="Y276" s="41"/>
      <x:c r="Z276" s="41"/>
    </x:row>
    <x:row r="277">
      <x:c r="A277" s="7" t="s">
        <x:v>2770</x:v>
      </x:c>
      <x:c r="B277" s="7" t="s">
        <x:v>2771</x:v>
      </x:c>
      <x:c r="C277" s="7" t="s">
        <x:v>2772</x:v>
      </x:c>
      <x:c r="D277" s="7" t="s">
        <x:v>229</x:v>
      </x:c>
      <x:c r="E277" s="7" t="s">
        <x:v>2393</x:v>
      </x:c>
      <x:c r="F277" s="10">
        <x:v>16.096939</x:v>
      </x:c>
      <x:c r="G277" s="10">
        <x:v>102.570023</x:v>
      </x:c>
      <x:c r="H277" s="7" t="s">
        <x:v>1548</x:v>
      </x:c>
      <x:c r="I277" s="10">
        <x:v>157.71</x:v>
      </x:c>
      <x:c r="J277" s="41"/>
      <x:c r="K277" s="41"/>
      <x:c r="L277" s="41"/>
      <x:c r="M277" s="41"/>
      <x:c r="N277" s="7" t="s">
        <x:v>2663</x:v>
      </x:c>
      <x:c r="O277" s="7" t="s">
        <x:v>1539</x:v>
      </x:c>
      <x:c r="P277" s="10">
        <x:v>3.0</x:v>
      </x:c>
      <x:c r="Q277" s="41"/>
      <x:c r="R277" s="10">
        <x:v>82.4</x:v>
      </x:c>
      <x:c r="S277" s="7" t="s">
        <x:v>301</x:v>
      </x:c>
      <x:c r="T277" s="7" t="b">
        <x:v>0</x:v>
      </x:c>
      <x:c r="U277" s="7" t="s">
        <x:v>1541</x:v>
      </x:c>
      <x:c r="V277" s="26" t="s">
        <x:v>1542</x:v>
      </x:c>
      <x:c r="W277" s="7" t="s">
        <x:v>2773</x:v>
      </x:c>
      <x:c r="X277" s="41"/>
      <x:c r="Y277" s="41"/>
      <x:c r="Z277" s="41"/>
    </x:row>
    <x:row r="278">
      <x:c r="A278" s="7" t="s">
        <x:v>2774</x:v>
      </x:c>
      <x:c r="B278" s="7" t="s">
        <x:v>2775</x:v>
      </x:c>
      <x:c r="C278" s="7" t="s">
        <x:v>2776</x:v>
      </x:c>
      <x:c r="D278" s="7" t="s">
        <x:v>230</x:v>
      </x:c>
      <x:c r="E278" s="7"/>
      <x:c r="F278" s="10">
        <x:v>15.98427</x:v>
      </x:c>
      <x:c r="G278" s="10">
        <x:v>103.14799</x:v>
      </x:c>
      <x:c r="H278" s="7" t="s">
        <x:v>1554</x:v>
      </x:c>
      <x:c r="I278" s="10">
        <x:v>164.86</x:v>
      </x:c>
      <x:c r="J278" s="41"/>
      <x:c r="K278" s="41"/>
      <x:c r="L278" s="41"/>
      <x:c r="M278" s="10"/>
      <x:c r="N278" s="7" t="s">
        <x:v>2663</x:v>
      </x:c>
      <x:c r="O278" s="7" t="s">
        <x:v>1539</x:v>
      </x:c>
      <x:c r="P278" s="10">
        <x:v>3.0</x:v>
      </x:c>
      <x:c r="Q278" s="41"/>
      <x:c r="R278" s="10">
        <x:v>12.4</x:v>
      </x:c>
      <x:c r="S278" s="7" t="s">
        <x:v>1540</x:v>
      </x:c>
      <x:c r="T278" s="7" t="b">
        <x:v>0</x:v>
      </x:c>
      <x:c r="U278" s="7" t="s">
        <x:v>1541</x:v>
      </x:c>
      <x:c r="V278" s="26" t="s">
        <x:v>1542</x:v>
      </x:c>
      <x:c r="W278" s="7" t="s">
        <x:v>2777</x:v>
      </x:c>
      <x:c r="X278" s="41"/>
      <x:c r="Y278" s="41"/>
      <x:c r="Z278" s="41"/>
    </x:row>
    <x:row r="279">
      <x:c r="A279" s="7" t="s">
        <x:v>2778</x:v>
      </x:c>
      <x:c r="B279" s="7" t="s">
        <x:v>2779</x:v>
      </x:c>
      <x:c r="C279" s="7" t="s">
        <x:v>2780</x:v>
      </x:c>
      <x:c r="D279" s="7" t="s">
        <x:v>238</x:v>
      </x:c>
      <x:c r="E279" s="7" t="s">
        <x:v>2632</x:v>
      </x:c>
      <x:c r="F279" s="10">
        <x:v>17.182448</x:v>
      </x:c>
      <x:c r="G279" s="10">
        <x:v>102.431941</x:v>
      </x:c>
      <x:c r="H279" s="7" t="s">
        <x:v>1658</x:v>
      </x:c>
      <x:c r="I279" s="10">
        <x:v>207.75</x:v>
      </x:c>
      <x:c r="J279" s="41"/>
      <x:c r="K279" s="41"/>
      <x:c r="L279" s="41"/>
      <x:c r="M279" s="10">
        <x:v>210.62</x:v>
      </x:c>
      <x:c r="N279" s="7" t="s">
        <x:v>2663</x:v>
      </x:c>
      <x:c r="O279" s="7" t="s">
        <x:v>1539</x:v>
      </x:c>
      <x:c r="P279" s="10">
        <x:v>3.0</x:v>
      </x:c>
      <x:c r="Q279" s="41"/>
      <x:c r="R279" s="10">
        <x:v>22.4</x:v>
      </x:c>
      <x:c r="S279" s="7" t="s">
        <x:v>1540</x:v>
      </x:c>
      <x:c r="T279" s="7" t="b">
        <x:v>0</x:v>
      </x:c>
      <x:c r="U279" s="7" t="s">
        <x:v>1541</x:v>
      </x:c>
      <x:c r="V279" s="26" t="s">
        <x:v>1542</x:v>
      </x:c>
      <x:c r="W279" s="7" t="s">
        <x:v>2781</x:v>
      </x:c>
      <x:c r="X279" s="41"/>
      <x:c r="Y279" s="41"/>
      <x:c r="Z279" s="41"/>
    </x:row>
    <x:row r="280">
      <x:c r="A280" s="7" t="s">
        <x:v>2782</x:v>
      </x:c>
      <x:c r="B280" s="7" t="s">
        <x:v>2783</x:v>
      </x:c>
      <x:c r="C280" s="7" t="s">
        <x:v>2784</x:v>
      </x:c>
      <x:c r="D280" s="7" t="s">
        <x:v>255</x:v>
      </x:c>
      <x:c r="E280" s="7" t="s">
        <x:v>2785</x:v>
      </x:c>
      <x:c r="F280" s="10">
        <x:v>6.825135</x:v>
      </x:c>
      <x:c r="G280" s="10">
        <x:v>100.972626</x:v>
      </x:c>
      <x:c r="H280" s="7" t="s">
        <x:v>1554</x:v>
      </x:c>
      <x:c r="I280" s="10">
        <x:v>0.37</x:v>
      </x:c>
      <x:c r="J280" s="41"/>
      <x:c r="K280" s="41"/>
      <x:c r="L280" s="41"/>
      <x:c r="M280" s="10"/>
      <x:c r="N280" s="7" t="s">
        <x:v>2663</x:v>
      </x:c>
      <x:c r="O280" s="7" t="s">
        <x:v>1539</x:v>
      </x:c>
      <x:c r="P280" s="10">
        <x:v>3.0</x:v>
      </x:c>
      <x:c r="Q280" s="41"/>
      <x:c r="R280" s="10">
        <x:v>12.4</x:v>
      </x:c>
      <x:c r="S280" s="7" t="s">
        <x:v>1540</x:v>
      </x:c>
      <x:c r="T280" s="7" t="b">
        <x:v>0</x:v>
      </x:c>
      <x:c r="U280" s="7" t="s">
        <x:v>1541</x:v>
      </x:c>
      <x:c r="V280" s="26" t="s">
        <x:v>1542</x:v>
      </x:c>
      <x:c r="W280" s="7" t="s">
        <x:v>2786</x:v>
      </x:c>
      <x:c r="X280" s="41"/>
      <x:c r="Y280" s="41"/>
      <x:c r="Z280" s="41"/>
    </x:row>
    <x:row r="281">
      <x:c r="A281" s="7" t="s">
        <x:v>2787</x:v>
      </x:c>
      <x:c r="B281" s="7" t="s">
        <x:v>2788</x:v>
      </x:c>
      <x:c r="C281" s="7" t="s">
        <x:v>2789</x:v>
      </x:c>
      <x:c r="D281" s="7" t="s">
        <x:v>260</x:v>
      </x:c>
      <x:c r="E281" s="7" t="s">
        <x:v>2239</x:v>
      </x:c>
      <x:c r="F281" s="10">
        <x:v>6.47977</x:v>
      </x:c>
      <x:c r="G281" s="10">
        <x:v>101.44474</x:v>
      </x:c>
      <x:c r="H281" s="7" t="s">
        <x:v>1548</x:v>
      </x:c>
      <x:c r="I281" s="10">
        <x:v>10.79</x:v>
      </x:c>
      <x:c r="J281" s="41"/>
      <x:c r="K281" s="41"/>
      <x:c r="L281" s="41"/>
      <x:c r="M281" s="41"/>
      <x:c r="N281" s="7" t="s">
        <x:v>2663</x:v>
      </x:c>
      <x:c r="O281" s="7" t="s">
        <x:v>1539</x:v>
      </x:c>
      <x:c r="P281" s="10">
        <x:v>3.0</x:v>
      </x:c>
      <x:c r="Q281" s="41"/>
      <x:c r="R281" s="10">
        <x:v>82.4</x:v>
      </x:c>
      <x:c r="S281" s="7" t="s">
        <x:v>301</x:v>
      </x:c>
      <x:c r="T281" s="7" t="b">
        <x:v>0</x:v>
      </x:c>
      <x:c r="U281" s="7" t="s">
        <x:v>1541</x:v>
      </x:c>
      <x:c r="V281" s="26" t="s">
        <x:v>1542</x:v>
      </x:c>
      <x:c r="W281" s="7" t="s">
        <x:v>2790</x:v>
      </x:c>
      <x:c r="X281" s="41"/>
      <x:c r="Y281" s="41"/>
      <x:c r="Z281" s="41"/>
    </x:row>
    <x:row r="282">
      <x:c r="A282" s="7" t="s">
        <x:v>2791</x:v>
      </x:c>
      <x:c r="B282" s="7" t="s">
        <x:v>2792</x:v>
      </x:c>
      <x:c r="C282" s="7" t="s">
        <x:v>2793</x:v>
      </x:c>
      <x:c r="D282" s="7" t="s">
        <x:v>222</x:v>
      </x:c>
      <x:c r="E282" s="7" t="s">
        <x:v>2017</x:v>
      </x:c>
      <x:c r="F282" s="10">
        <x:v>12.86361</x:v>
      </x:c>
      <x:c r="G282" s="10">
        <x:v>99.678497</x:v>
      </x:c>
      <x:c r="H282" s="7" t="s">
        <x:v>1537</x:v>
      </x:c>
      <x:c r="I282" s="10">
        <x:v>43.69</x:v>
      </x:c>
      <x:c r="J282" s="41"/>
      <x:c r="K282" s="41"/>
      <x:c r="L282" s="41"/>
      <x:c r="M282" s="41"/>
      <x:c r="N282" s="7" t="s">
        <x:v>2663</x:v>
      </x:c>
      <x:c r="O282" s="7" t="s">
        <x:v>1539</x:v>
      </x:c>
      <x:c r="P282" s="10">
        <x:v>3.0</x:v>
      </x:c>
      <x:c r="Q282" s="41"/>
      <x:c r="R282" s="10">
        <x:v>-457.6</x:v>
      </x:c>
      <x:c r="S282" s="7" t="s">
        <x:v>1540</x:v>
      </x:c>
      <x:c r="T282" s="7" t="b">
        <x:v>0</x:v>
      </x:c>
      <x:c r="U282" s="7" t="s">
        <x:v>1541</x:v>
      </x:c>
      <x:c r="V282" s="26" t="s">
        <x:v>1542</x:v>
      </x:c>
      <x:c r="W282" s="7" t="s">
        <x:v>2794</x:v>
      </x:c>
      <x:c r="X282" s="41"/>
      <x:c r="Y282" s="41"/>
      <x:c r="Z282" s="41"/>
    </x:row>
    <x:row r="283">
      <x:c r="A283" s="7" t="s">
        <x:v>2795</x:v>
      </x:c>
      <x:c r="B283" s="7" t="s">
        <x:v>2796</x:v>
      </x:c>
      <x:c r="C283" s="7" t="s">
        <x:v>2797</x:v>
      </x:c>
      <x:c r="D283" s="7" t="s">
        <x:v>222</x:v>
      </x:c>
      <x:c r="E283" s="7" t="s">
        <x:v>2017</x:v>
      </x:c>
      <x:c r="F283" s="10">
        <x:v>12.81337</x:v>
      </x:c>
      <x:c r="G283" s="10">
        <x:v>99.794022</x:v>
      </x:c>
      <x:c r="H283" s="7" t="s">
        <x:v>1537</x:v>
      </x:c>
      <x:c r="I283" s="10">
        <x:v>25.7</x:v>
      </x:c>
      <x:c r="J283" s="41"/>
      <x:c r="K283" s="41"/>
      <x:c r="L283" s="41"/>
      <x:c r="M283" s="41"/>
      <x:c r="N283" s="7" t="s">
        <x:v>2663</x:v>
      </x:c>
      <x:c r="O283" s="7" t="s">
        <x:v>1539</x:v>
      </x:c>
      <x:c r="P283" s="10">
        <x:v>3.0</x:v>
      </x:c>
      <x:c r="Q283" s="41"/>
      <x:c r="R283" s="10">
        <x:v>-457.6</x:v>
      </x:c>
      <x:c r="S283" s="7" t="s">
        <x:v>1540</x:v>
      </x:c>
      <x:c r="T283" s="7" t="b">
        <x:v>0</x:v>
      </x:c>
      <x:c r="U283" s="7" t="s">
        <x:v>1541</x:v>
      </x:c>
      <x:c r="V283" s="26" t="s">
        <x:v>1542</x:v>
      </x:c>
      <x:c r="W283" s="7" t="s">
        <x:v>2798</x:v>
      </x:c>
      <x:c r="X283" s="41"/>
      <x:c r="Y283" s="41"/>
      <x:c r="Z283" s="41"/>
    </x:row>
    <x:row r="284">
      <x:c r="A284" s="7" t="s">
        <x:v>2799</x:v>
      </x:c>
      <x:c r="B284" s="7" t="s">
        <x:v>2800</x:v>
      </x:c>
      <x:c r="C284" s="7" t="s">
        <x:v>2801</x:v>
      </x:c>
      <x:c r="D284" s="7" t="s">
        <x:v>197</x:v>
      </x:c>
      <x:c r="E284" s="7" t="s">
        <x:v>2802</x:v>
      </x:c>
      <x:c r="F284" s="10">
        <x:v>10.49706</x:v>
      </x:c>
      <x:c r="G284" s="10">
        <x:v>99.17012</x:v>
      </x:c>
      <x:c r="H284" s="7" t="s">
        <x:v>1548</x:v>
      </x:c>
      <x:c r="I284" s="10">
        <x:v>0.96</x:v>
      </x:c>
      <x:c r="J284" s="41"/>
      <x:c r="K284" s="41"/>
      <x:c r="L284" s="41"/>
      <x:c r="M284" s="41"/>
      <x:c r="N284" s="7" t="s">
        <x:v>2663</x:v>
      </x:c>
      <x:c r="O284" s="7" t="s">
        <x:v>1539</x:v>
      </x:c>
      <x:c r="P284" s="10">
        <x:v>3.0</x:v>
      </x:c>
      <x:c r="Q284" s="41"/>
      <x:c r="R284" s="10">
        <x:v>82.4</x:v>
      </x:c>
      <x:c r="S284" s="7" t="s">
        <x:v>301</x:v>
      </x:c>
      <x:c r="T284" s="7" t="b">
        <x:v>0</x:v>
      </x:c>
      <x:c r="U284" s="7" t="s">
        <x:v>1541</x:v>
      </x:c>
      <x:c r="V284" s="26" t="s">
        <x:v>1542</x:v>
      </x:c>
      <x:c r="W284" s="7" t="s">
        <x:v>2803</x:v>
      </x:c>
      <x:c r="X284" s="41"/>
      <x:c r="Y284" s="41"/>
      <x:c r="Z284" s="41"/>
    </x:row>
    <x:row r="285">
      <x:c r="A285" s="7" t="s">
        <x:v>2804</x:v>
      </x:c>
      <x:c r="B285" s="7" t="s">
        <x:v>2805</x:v>
      </x:c>
      <x:c r="C285" s="7" t="s">
        <x:v>2806</x:v>
      </x:c>
      <x:c r="D285" s="7" t="s">
        <x:v>246</x:v>
      </x:c>
      <x:c r="E285" s="7" t="s">
        <x:v>2467</x:v>
      </x:c>
      <x:c r="F285" s="10">
        <x:v>15.84008</x:v>
      </x:c>
      <x:c r="G285" s="10">
        <x:v>104.455704</x:v>
      </x:c>
      <x:c r="H285" s="7" t="s">
        <x:v>1548</x:v>
      </x:c>
      <x:c r="I285" s="10">
        <x:v>124.6</x:v>
      </x:c>
      <x:c r="J285" s="41"/>
      <x:c r="K285" s="41"/>
      <x:c r="L285" s="41"/>
      <x:c r="M285" s="41"/>
      <x:c r="N285" s="7" t="s">
        <x:v>2663</x:v>
      </x:c>
      <x:c r="O285" s="7" t="s">
        <x:v>1539</x:v>
      </x:c>
      <x:c r="P285" s="10">
        <x:v>3.0</x:v>
      </x:c>
      <x:c r="Q285" s="41"/>
      <x:c r="R285" s="10">
        <x:v>82.4</x:v>
      </x:c>
      <x:c r="S285" s="7" t="s">
        <x:v>301</x:v>
      </x:c>
      <x:c r="T285" s="7" t="b">
        <x:v>0</x:v>
      </x:c>
      <x:c r="U285" s="7" t="s">
        <x:v>1541</x:v>
      </x:c>
      <x:c r="V285" s="26" t="s">
        <x:v>1542</x:v>
      </x:c>
      <x:c r="W285" s="7" t="s">
        <x:v>2807</x:v>
      </x:c>
      <x:c r="X285" s="41"/>
      <x:c r="Y285" s="41"/>
      <x:c r="Z285" s="41"/>
    </x:row>
    <x:row r="286">
      <x:c r="A286" s="7" t="s">
        <x:v>2808</x:v>
      </x:c>
      <x:c r="B286" s="7" t="s">
        <x:v>2809</x:v>
      </x:c>
      <x:c r="C286" s="7" t="s">
        <x:v>2810</x:v>
      </x:c>
      <x:c r="D286" s="7" t="s">
        <x:v>228</x:v>
      </x:c>
      <x:c r="E286" s="7" t="s">
        <x:v>2811</x:v>
      </x:c>
      <x:c r="F286" s="10">
        <x:v>16.259254</x:v>
      </x:c>
      <x:c r="G286" s="10">
        <x:v>103.69041</x:v>
      </x:c>
      <x:c r="H286" s="7" t="s">
        <x:v>1554</x:v>
      </x:c>
      <x:c r="I286" s="10">
        <x:v>130.4</x:v>
      </x:c>
      <x:c r="J286" s="41"/>
      <x:c r="K286" s="41"/>
      <x:c r="L286" s="41"/>
      <x:c r="M286" s="41"/>
      <x:c r="N286" s="7" t="s">
        <x:v>2663</x:v>
      </x:c>
      <x:c r="O286" s="7" t="s">
        <x:v>1539</x:v>
      </x:c>
      <x:c r="P286" s="10">
        <x:v>3.0</x:v>
      </x:c>
      <x:c r="Q286" s="41"/>
      <x:c r="R286" s="10">
        <x:v>12.4</x:v>
      </x:c>
      <x:c r="S286" s="7" t="s">
        <x:v>1540</x:v>
      </x:c>
      <x:c r="T286" s="7" t="b">
        <x:v>0</x:v>
      </x:c>
      <x:c r="U286" s="7" t="s">
        <x:v>1541</x:v>
      </x:c>
      <x:c r="V286" s="26" t="s">
        <x:v>1542</x:v>
      </x:c>
      <x:c r="W286" s="7" t="s">
        <x:v>2812</x:v>
      </x:c>
      <x:c r="X286" s="41"/>
      <x:c r="Y286" s="41"/>
      <x:c r="Z286" s="41"/>
    </x:row>
    <x:row r="287">
      <x:c r="A287" s="7" t="s">
        <x:v>2813</x:v>
      </x:c>
      <x:c r="B287" s="7" t="s">
        <x:v>2814</x:v>
      </x:c>
      <x:c r="C287" s="7" t="s">
        <x:v>2815</x:v>
      </x:c>
      <x:c r="D287" s="7" t="s">
        <x:v>207</x:v>
      </x:c>
      <x:c r="E287" s="7" t="s">
        <x:v>2816</x:v>
      </x:c>
      <x:c r="F287" s="10">
        <x:v>18.88353</x:v>
      </x:c>
      <x:c r="G287" s="10">
        <x:v>99.08182</x:v>
      </x:c>
      <x:c r="H287" s="7" t="s">
        <x:v>1554</x:v>
      </x:c>
      <x:c r="I287" s="10">
        <x:v>320.98</x:v>
      </x:c>
      <x:c r="J287" s="41"/>
      <x:c r="K287" s="41"/>
      <x:c r="L287" s="41"/>
      <x:c r="M287" s="41"/>
      <x:c r="N287" s="7" t="s">
        <x:v>2663</x:v>
      </x:c>
      <x:c r="O287" s="7" t="s">
        <x:v>1539</x:v>
      </x:c>
      <x:c r="P287" s="10">
        <x:v>3.0</x:v>
      </x:c>
      <x:c r="Q287" s="41"/>
      <x:c r="R287" s="10">
        <x:v>12.4</x:v>
      </x:c>
      <x:c r="S287" s="7" t="s">
        <x:v>1540</x:v>
      </x:c>
      <x:c r="T287" s="7" t="b">
        <x:v>0</x:v>
      </x:c>
      <x:c r="U287" s="7" t="s">
        <x:v>1541</x:v>
      </x:c>
      <x:c r="V287" s="26" t="s">
        <x:v>1542</x:v>
      </x:c>
      <x:c r="W287" s="7" t="s">
        <x:v>2817</x:v>
      </x:c>
      <x:c r="X287" s="41"/>
      <x:c r="Y287" s="41"/>
      <x:c r="Z287" s="41"/>
    </x:row>
    <x:row r="288">
      <x:c r="A288" s="7" t="s">
        <x:v>2818</x:v>
      </x:c>
      <x:c r="B288" s="7" t="s">
        <x:v>2819</x:v>
      </x:c>
      <x:c r="C288" s="7" t="s">
        <x:v>2820</x:v>
      </x:c>
      <x:c r="D288" s="7" t="s">
        <x:v>88</x:v>
      </x:c>
      <x:c r="E288" s="7" t="s">
        <x:v>1762</x:v>
      </x:c>
      <x:c r="F288" s="10">
        <x:v>14.24582</x:v>
      </x:c>
      <x:c r="G288" s="10">
        <x:v>101.274246</x:v>
      </x:c>
      <x:c r="H288" s="7" t="s">
        <x:v>1548</x:v>
      </x:c>
      <x:c r="I288" s="10">
        <x:v>6.62</x:v>
      </x:c>
      <x:c r="J288" s="41"/>
      <x:c r="K288" s="41"/>
      <x:c r="L288" s="41"/>
      <x:c r="M288" s="41"/>
      <x:c r="N288" s="7" t="s">
        <x:v>2663</x:v>
      </x:c>
      <x:c r="O288" s="7" t="s">
        <x:v>1539</x:v>
      </x:c>
      <x:c r="P288" s="10">
        <x:v>3.0</x:v>
      </x:c>
      <x:c r="Q288" s="41"/>
      <x:c r="R288" s="10">
        <x:v>82.4</x:v>
      </x:c>
      <x:c r="S288" s="7" t="s">
        <x:v>301</x:v>
      </x:c>
      <x:c r="T288" s="7" t="b">
        <x:v>0</x:v>
      </x:c>
      <x:c r="U288" s="7" t="s">
        <x:v>1541</x:v>
      </x:c>
      <x:c r="V288" s="26" t="s">
        <x:v>1542</x:v>
      </x:c>
      <x:c r="W288" s="7" t="s">
        <x:v>2821</x:v>
      </x:c>
      <x:c r="X288" s="41"/>
      <x:c r="Y288" s="41"/>
      <x:c r="Z288" s="41"/>
    </x:row>
    <x:row r="289">
      <x:c r="A289" s="7" t="s">
        <x:v>2822</x:v>
      </x:c>
      <x:c r="B289" s="7" t="s">
        <x:v>2823</x:v>
      </x:c>
      <x:c r="C289" s="7" t="s">
        <x:v>2824</x:v>
      </x:c>
      <x:c r="D289" s="7" t="s">
        <x:v>213</x:v>
      </x:c>
      <x:c r="E289" s="7" t="s">
        <x:v>2825</x:v>
      </x:c>
      <x:c r="F289" s="10">
        <x:v>18.653353</x:v>
      </x:c>
      <x:c r="G289" s="10">
        <x:v>99.06447</x:v>
      </x:c>
      <x:c r="H289" s="7" t="s">
        <x:v>1554</x:v>
      </x:c>
      <x:c r="I289" s="10">
        <x:v>292.0</x:v>
      </x:c>
      <x:c r="J289" s="41"/>
      <x:c r="K289" s="41"/>
      <x:c r="L289" s="41"/>
      <x:c r="M289" s="41"/>
      <x:c r="N289" s="7" t="s">
        <x:v>2663</x:v>
      </x:c>
      <x:c r="O289" s="7" t="s">
        <x:v>1539</x:v>
      </x:c>
      <x:c r="P289" s="10">
        <x:v>3.0</x:v>
      </x:c>
      <x:c r="Q289" s="41"/>
      <x:c r="R289" s="10">
        <x:v>12.4</x:v>
      </x:c>
      <x:c r="S289" s="7" t="s">
        <x:v>1540</x:v>
      </x:c>
      <x:c r="T289" s="7" t="b">
        <x:v>0</x:v>
      </x:c>
      <x:c r="U289" s="7" t="s">
        <x:v>1541</x:v>
      </x:c>
      <x:c r="V289" s="26" t="s">
        <x:v>1542</x:v>
      </x:c>
      <x:c r="W289" s="7" t="s">
        <x:v>2826</x:v>
      </x:c>
      <x:c r="X289" s="41"/>
      <x:c r="Y289" s="41"/>
      <x:c r="Z289" s="41"/>
    </x:row>
    <x:row r="290">
      <x:c r="A290" s="7" t="s">
        <x:v>2827</x:v>
      </x:c>
      <x:c r="B290" s="7" t="s">
        <x:v>2828</x:v>
      </x:c>
      <x:c r="C290" s="7" t="s">
        <x:v>2829</x:v>
      </x:c>
      <x:c r="D290" s="7" t="s">
        <x:v>255</x:v>
      </x:c>
      <x:c r="E290" s="7" t="s">
        <x:v>2830</x:v>
      </x:c>
      <x:c r="F290" s="10">
        <x:v>7.769855</x:v>
      </x:c>
      <x:c r="G290" s="10">
        <x:v>100.30203</x:v>
      </x:c>
      <x:c r="H290" s="7" t="s">
        <x:v>1554</x:v>
      </x:c>
      <x:c r="I290" s="10">
        <x:v>0.28</x:v>
      </x:c>
      <x:c r="J290" s="41"/>
      <x:c r="K290" s="41"/>
      <x:c r="L290" s="41"/>
      <x:c r="M290" s="41"/>
      <x:c r="N290" s="7" t="s">
        <x:v>2663</x:v>
      </x:c>
      <x:c r="O290" s="7" t="s">
        <x:v>1539</x:v>
      </x:c>
      <x:c r="P290" s="10">
        <x:v>3.0</x:v>
      </x:c>
      <x:c r="Q290" s="41"/>
      <x:c r="R290" s="10">
        <x:v>12.4</x:v>
      </x:c>
      <x:c r="S290" s="7" t="s">
        <x:v>1540</x:v>
      </x:c>
      <x:c r="T290" s="7" t="b">
        <x:v>0</x:v>
      </x:c>
      <x:c r="U290" s="7" t="s">
        <x:v>1541</x:v>
      </x:c>
      <x:c r="V290" s="26" t="s">
        <x:v>1542</x:v>
      </x:c>
      <x:c r="W290" s="7" t="s">
        <x:v>2831</x:v>
      </x:c>
      <x:c r="X290" s="41"/>
      <x:c r="Y290" s="41"/>
      <x:c r="Z290" s="41"/>
    </x:row>
    <x:row r="291">
      <x:c r="A291" s="7" t="s">
        <x:v>2832</x:v>
      </x:c>
      <x:c r="B291" s="7" t="s">
        <x:v>2833</x:v>
      </x:c>
      <x:c r="C291" s="7" t="s">
        <x:v>2834</x:v>
      </x:c>
      <x:c r="D291" s="7" t="s">
        <x:v>212</x:v>
      </x:c>
      <x:c r="E291" s="7" t="s">
        <x:v>2695</x:v>
      </x:c>
      <x:c r="F291" s="10">
        <x:v>17.36661</x:v>
      </x:c>
      <x:c r="G291" s="10">
        <x:v>99.113007</x:v>
      </x:c>
      <x:c r="H291" s="7" t="s">
        <x:v>1548</x:v>
      </x:c>
      <x:c r="I291" s="10">
        <x:v>144.94</x:v>
      </x:c>
      <x:c r="J291" s="41"/>
      <x:c r="K291" s="41"/>
      <x:c r="L291" s="41"/>
      <x:c r="M291" s="41"/>
      <x:c r="N291" s="7" t="s">
        <x:v>2663</x:v>
      </x:c>
      <x:c r="O291" s="7" t="s">
        <x:v>1539</x:v>
      </x:c>
      <x:c r="P291" s="10">
        <x:v>3.0</x:v>
      </x:c>
      <x:c r="Q291" s="41"/>
      <x:c r="R291" s="10">
        <x:v>82.4</x:v>
      </x:c>
      <x:c r="S291" s="7" t="s">
        <x:v>301</x:v>
      </x:c>
      <x:c r="T291" s="7" t="b">
        <x:v>0</x:v>
      </x:c>
      <x:c r="U291" s="7" t="s">
        <x:v>1541</x:v>
      </x:c>
      <x:c r="V291" s="26" t="s">
        <x:v>1542</x:v>
      </x:c>
      <x:c r="W291" s="7" t="s">
        <x:v>2835</x:v>
      </x:c>
      <x:c r="X291" s="41"/>
      <x:c r="Y291" s="41"/>
      <x:c r="Z291" s="41"/>
    </x:row>
    <x:row r="292">
      <x:c r="A292" s="7" t="s">
        <x:v>2836</x:v>
      </x:c>
      <x:c r="B292" s="7" t="s">
        <x:v>2837</x:v>
      </x:c>
      <x:c r="C292" s="7" t="s">
        <x:v>2838</x:v>
      </x:c>
      <x:c r="D292" s="7" t="s">
        <x:v>229</x:v>
      </x:c>
      <x:c r="E292" s="7" t="s">
        <x:v>2393</x:v>
      </x:c>
      <x:c r="F292" s="10">
        <x:v>16.09691</x:v>
      </x:c>
      <x:c r="G292" s="10">
        <x:v>102.56997</x:v>
      </x:c>
      <x:c r="H292" s="7" t="s">
        <x:v>1554</x:v>
      </x:c>
      <x:c r="I292" s="10">
        <x:v>157.16</x:v>
      </x:c>
      <x:c r="J292" s="41"/>
      <x:c r="K292" s="41"/>
      <x:c r="L292" s="41"/>
      <x:c r="M292" s="10"/>
      <x:c r="N292" s="7" t="s">
        <x:v>2663</x:v>
      </x:c>
      <x:c r="O292" s="7" t="s">
        <x:v>1539</x:v>
      </x:c>
      <x:c r="P292" s="10">
        <x:v>3.0</x:v>
      </x:c>
      <x:c r="Q292" s="41"/>
      <x:c r="R292" s="10">
        <x:v>12.4</x:v>
      </x:c>
      <x:c r="S292" s="7" t="s">
        <x:v>1540</x:v>
      </x:c>
      <x:c r="T292" s="7" t="b">
        <x:v>0</x:v>
      </x:c>
      <x:c r="U292" s="7" t="s">
        <x:v>1541</x:v>
      </x:c>
      <x:c r="V292" s="26" t="s">
        <x:v>1542</x:v>
      </x:c>
      <x:c r="W292" s="7" t="s">
        <x:v>2839</x:v>
      </x:c>
      <x:c r="X292" s="41"/>
      <x:c r="Y292" s="41"/>
      <x:c r="Z292" s="41"/>
    </x:row>
    <x:row r="293">
      <x:c r="A293" s="7" t="s">
        <x:v>2840</x:v>
      </x:c>
      <x:c r="B293" s="7" t="s">
        <x:v>2841</x:v>
      </x:c>
      <x:c r="C293" s="7" t="s">
        <x:v>2842</x:v>
      </x:c>
      <x:c r="D293" s="7" t="s">
        <x:v>242</x:v>
      </x:c>
      <x:c r="E293" s="7" t="s">
        <x:v>2032</x:v>
      </x:c>
      <x:c r="F293" s="10">
        <x:v>15.23735</x:v>
      </x:c>
      <x:c r="G293" s="10">
        <x:v>105.24523</x:v>
      </x:c>
      <x:c r="H293" s="7" t="s">
        <x:v>1548</x:v>
      </x:c>
      <x:c r="I293" s="10">
        <x:v>105.31</x:v>
      </x:c>
      <x:c r="J293" s="41"/>
      <x:c r="K293" s="41"/>
      <x:c r="L293" s="41"/>
      <x:c r="M293" s="10">
        <x:v>112.17</x:v>
      </x:c>
      <x:c r="N293" s="7" t="s">
        <x:v>2663</x:v>
      </x:c>
      <x:c r="O293" s="7" t="s">
        <x:v>1539</x:v>
      </x:c>
      <x:c r="P293" s="10">
        <x:v>3.0</x:v>
      </x:c>
      <x:c r="Q293" s="41"/>
      <x:c r="R293" s="10">
        <x:v>82.4</x:v>
      </x:c>
      <x:c r="S293" s="7" t="s">
        <x:v>301</x:v>
      </x:c>
      <x:c r="T293" s="7" t="b">
        <x:v>0</x:v>
      </x:c>
      <x:c r="U293" s="7" t="s">
        <x:v>1541</x:v>
      </x:c>
      <x:c r="V293" s="26" t="s">
        <x:v>1542</x:v>
      </x:c>
      <x:c r="W293" s="7" t="s">
        <x:v>2843</x:v>
      </x:c>
      <x:c r="X293" s="41"/>
      <x:c r="Y293" s="41"/>
      <x:c r="Z293" s="41"/>
    </x:row>
    <x:row r="294">
      <x:c r="A294" s="7" t="s">
        <x:v>2844</x:v>
      </x:c>
      <x:c r="B294" s="7" t="s">
        <x:v>2845</x:v>
      </x:c>
      <x:c r="C294" s="7" t="s">
        <x:v>2846</x:v>
      </x:c>
      <x:c r="D294" s="7" t="s">
        <x:v>27</x:v>
      </x:c>
      <x:c r="E294" s="7" t="s">
        <x:v>2847</x:v>
      </x:c>
      <x:c r="F294" s="10">
        <x:v>16.95387</x:v>
      </x:c>
      <x:c r="G294" s="10">
        <x:v>100.12127</x:v>
      </x:c>
      <x:c r="H294" s="7" t="s">
        <x:v>1554</x:v>
      </x:c>
      <x:c r="I294" s="10">
        <x:v>41.5</x:v>
      </x:c>
      <x:c r="J294" s="41"/>
      <x:c r="K294" s="41"/>
      <x:c r="L294" s="41"/>
      <x:c r="M294" s="10"/>
      <x:c r="N294" s="7" t="s">
        <x:v>2663</x:v>
      </x:c>
      <x:c r="O294" s="7" t="s">
        <x:v>1539</x:v>
      </x:c>
      <x:c r="P294" s="10">
        <x:v>3.0</x:v>
      </x:c>
      <x:c r="Q294" s="41"/>
      <x:c r="R294" s="10">
        <x:v>12.4</x:v>
      </x:c>
      <x:c r="S294" s="7" t="s">
        <x:v>1540</x:v>
      </x:c>
      <x:c r="T294" s="7" t="b">
        <x:v>0</x:v>
      </x:c>
      <x:c r="U294" s="7" t="s">
        <x:v>1541</x:v>
      </x:c>
      <x:c r="V294" s="26" t="s">
        <x:v>1542</x:v>
      </x:c>
      <x:c r="W294" s="7" t="s">
        <x:v>2848</x:v>
      </x:c>
      <x:c r="X294" s="41"/>
      <x:c r="Y294" s="41"/>
      <x:c r="Z294" s="41"/>
    </x:row>
    <x:row r="295">
      <x:c r="A295" s="7" t="s">
        <x:v>2849</x:v>
      </x:c>
      <x:c r="B295" s="7" t="s">
        <x:v>2850</x:v>
      </x:c>
      <x:c r="C295" s="7" t="s">
        <x:v>2851</x:v>
      </x:c>
      <x:c r="D295" s="7" t="s">
        <x:v>249</x:v>
      </x:c>
      <x:c r="E295" s="7" t="s">
        <x:v>2852</x:v>
      </x:c>
      <x:c r="F295" s="10">
        <x:v>9.314687</x:v>
      </x:c>
      <x:c r="G295" s="10">
        <x:v>98.889885</x:v>
      </x:c>
      <x:c r="H295" s="7" t="s">
        <x:v>1554</x:v>
      </x:c>
      <x:c r="I295" s="10">
        <x:v>121.82</x:v>
      </x:c>
      <x:c r="J295" s="41"/>
      <x:c r="K295" s="41"/>
      <x:c r="L295" s="41"/>
      <x:c r="M295" s="10"/>
      <x:c r="N295" s="7" t="s">
        <x:v>2663</x:v>
      </x:c>
      <x:c r="O295" s="7" t="s">
        <x:v>1539</x:v>
      </x:c>
      <x:c r="P295" s="10">
        <x:v>3.0</x:v>
      </x:c>
      <x:c r="Q295" s="41"/>
      <x:c r="R295" s="10">
        <x:v>12.4</x:v>
      </x:c>
      <x:c r="S295" s="7" t="s">
        <x:v>1540</x:v>
      </x:c>
      <x:c r="T295" s="7" t="b">
        <x:v>0</x:v>
      </x:c>
      <x:c r="U295" s="7" t="s">
        <x:v>1541</x:v>
      </x:c>
      <x:c r="V295" s="26" t="s">
        <x:v>1542</x:v>
      </x:c>
      <x:c r="W295" s="7" t="s">
        <x:v>2853</x:v>
      </x:c>
      <x:c r="X295" s="41"/>
      <x:c r="Y295" s="41"/>
      <x:c r="Z295" s="41"/>
    </x:row>
    <x:row r="296">
      <x:c r="A296" s="7" t="s">
        <x:v>2854</x:v>
      </x:c>
      <x:c r="B296" s="7" t="s">
        <x:v>2855</x:v>
      </x:c>
      <x:c r="C296" s="7" t="s">
        <x:v>2856</x:v>
      </x:c>
      <x:c r="D296" s="7" t="s">
        <x:v>249</x:v>
      </x:c>
      <x:c r="E296" s="7" t="s">
        <x:v>2112</x:v>
      </x:c>
      <x:c r="F296" s="10">
        <x:v>8.84753</x:v>
      </x:c>
      <x:c r="G296" s="10">
        <x:v>99.19886</x:v>
      </x:c>
      <x:c r="H296" s="7" t="s">
        <x:v>1548</x:v>
      </x:c>
      <x:c r="I296" s="10">
        <x:v>0.91</x:v>
      </x:c>
      <x:c r="J296" s="41"/>
      <x:c r="K296" s="41"/>
      <x:c r="L296" s="41"/>
      <x:c r="M296" s="41"/>
      <x:c r="N296" s="7" t="s">
        <x:v>2663</x:v>
      </x:c>
      <x:c r="O296" s="7" t="s">
        <x:v>1539</x:v>
      </x:c>
      <x:c r="P296" s="10">
        <x:v>3.0</x:v>
      </x:c>
      <x:c r="Q296" s="41"/>
      <x:c r="R296" s="10">
        <x:v>82.4</x:v>
      </x:c>
      <x:c r="S296" s="7" t="s">
        <x:v>301</x:v>
      </x:c>
      <x:c r="T296" s="7" t="b">
        <x:v>0</x:v>
      </x:c>
      <x:c r="U296" s="7" t="s">
        <x:v>1541</x:v>
      </x:c>
      <x:c r="V296" s="26" t="s">
        <x:v>1542</x:v>
      </x:c>
      <x:c r="W296" s="7" t="s">
        <x:v>2857</x:v>
      </x:c>
      <x:c r="X296" s="41"/>
      <x:c r="Y296" s="41"/>
      <x:c r="Z296" s="41"/>
    </x:row>
    <x:row r="297">
      <x:c r="A297" s="7" t="s">
        <x:v>2858</x:v>
      </x:c>
      <x:c r="B297" s="7" t="s">
        <x:v>2859</x:v>
      </x:c>
      <x:c r="C297" s="7" t="s">
        <x:v>2860</x:v>
      </x:c>
      <x:c r="D297" s="7" t="s">
        <x:v>110</x:v>
      </x:c>
      <x:c r="E297" s="7" t="s">
        <x:v>2861</x:v>
      </x:c>
      <x:c r="F297" s="10">
        <x:v>12.511324</x:v>
      </x:c>
      <x:c r="G297" s="10">
        <x:v>102.37168</x:v>
      </x:c>
      <x:c r="H297" s="7" t="s">
        <x:v>1554</x:v>
      </x:c>
      <x:c r="I297" s="10">
        <x:v>3.62</x:v>
      </x:c>
      <x:c r="J297" s="41"/>
      <x:c r="K297" s="41"/>
      <x:c r="L297" s="41"/>
      <x:c r="M297" s="41"/>
      <x:c r="N297" s="7" t="s">
        <x:v>2663</x:v>
      </x:c>
      <x:c r="O297" s="7" t="s">
        <x:v>1539</x:v>
      </x:c>
      <x:c r="P297" s="10">
        <x:v>3.0</x:v>
      </x:c>
      <x:c r="Q297" s="41"/>
      <x:c r="R297" s="10">
        <x:v>12.4</x:v>
      </x:c>
      <x:c r="S297" s="7" t="s">
        <x:v>1540</x:v>
      </x:c>
      <x:c r="T297" s="7" t="b">
        <x:v>0</x:v>
      </x:c>
      <x:c r="U297" s="7" t="s">
        <x:v>1541</x:v>
      </x:c>
      <x:c r="V297" s="26" t="s">
        <x:v>1542</x:v>
      </x:c>
      <x:c r="W297" s="7" t="s">
        <x:v>2862</x:v>
      </x:c>
      <x:c r="X297" s="41"/>
      <x:c r="Y297" s="41"/>
      <x:c r="Z297" s="41"/>
    </x:row>
    <x:row r="298">
      <x:c r="A298" s="7" t="s">
        <x:v>2863</x:v>
      </x:c>
      <x:c r="B298" s="7" t="s">
        <x:v>2864</x:v>
      </x:c>
      <x:c r="C298" s="7" t="s">
        <x:v>2865</x:v>
      </x:c>
      <x:c r="D298" s="7" t="s">
        <x:v>197</x:v>
      </x:c>
      <x:c r="E298" s="7" t="s">
        <x:v>2379</x:v>
      </x:c>
      <x:c r="F298" s="10">
        <x:v>9.953369</x:v>
      </x:c>
      <x:c r="G298" s="10">
        <x:v>99.06444</x:v>
      </x:c>
      <x:c r="H298" s="7" t="s">
        <x:v>1554</x:v>
      </x:c>
      <x:c r="I298" s="10">
        <x:v>1.23</x:v>
      </x:c>
      <x:c r="J298" s="41"/>
      <x:c r="K298" s="41"/>
      <x:c r="L298" s="41"/>
      <x:c r="M298" s="41"/>
      <x:c r="N298" s="7" t="s">
        <x:v>2663</x:v>
      </x:c>
      <x:c r="O298" s="7" t="s">
        <x:v>1539</x:v>
      </x:c>
      <x:c r="P298" s="10">
        <x:v>3.0</x:v>
      </x:c>
      <x:c r="Q298" s="41"/>
      <x:c r="R298" s="10">
        <x:v>12.4</x:v>
      </x:c>
      <x:c r="S298" s="7" t="s">
        <x:v>1540</x:v>
      </x:c>
      <x:c r="T298" s="7" t="b">
        <x:v>0</x:v>
      </x:c>
      <x:c r="U298" s="7" t="s">
        <x:v>1541</x:v>
      </x:c>
      <x:c r="V298" s="26" t="s">
        <x:v>1542</x:v>
      </x:c>
      <x:c r="W298" s="7" t="s">
        <x:v>2866</x:v>
      </x:c>
      <x:c r="X298" s="41"/>
      <x:c r="Y298" s="41"/>
      <x:c r="Z298" s="41"/>
    </x:row>
    <x:row r="299">
      <x:c r="A299" s="7" t="s">
        <x:v>2867</x:v>
      </x:c>
      <x:c r="B299" s="7" t="s">
        <x:v>2868</x:v>
      </x:c>
      <x:c r="C299" s="7" t="s">
        <x:v>2869</x:v>
      </x:c>
      <x:c r="D299" s="7" t="s">
        <x:v>122</x:v>
      </x:c>
      <x:c r="E299" s="7" t="s">
        <x:v>2032</x:v>
      </x:c>
      <x:c r="F299" s="10">
        <x:v>15.20926</x:v>
      </x:c>
      <x:c r="G299" s="10">
        <x:v>102.392952</x:v>
      </x:c>
      <x:c r="H299" s="7" t="s">
        <x:v>1548</x:v>
      </x:c>
      <x:c r="I299" s="10">
        <x:v>155.35</x:v>
      </x:c>
      <x:c r="J299" s="41"/>
      <x:c r="K299" s="41"/>
      <x:c r="L299" s="41"/>
      <x:c r="M299" s="41"/>
      <x:c r="N299" s="7" t="s">
        <x:v>2663</x:v>
      </x:c>
      <x:c r="O299" s="7" t="s">
        <x:v>1539</x:v>
      </x:c>
      <x:c r="P299" s="10">
        <x:v>3.0</x:v>
      </x:c>
      <x:c r="Q299" s="41"/>
      <x:c r="R299" s="10">
        <x:v>82.4</x:v>
      </x:c>
      <x:c r="S299" s="7" t="s">
        <x:v>301</x:v>
      </x:c>
      <x:c r="T299" s="7" t="b">
        <x:v>0</x:v>
      </x:c>
      <x:c r="U299" s="7" t="s">
        <x:v>1541</x:v>
      </x:c>
      <x:c r="V299" s="26" t="s">
        <x:v>1542</x:v>
      </x:c>
      <x:c r="W299" s="7" t="s">
        <x:v>2870</x:v>
      </x:c>
      <x:c r="X299" s="41"/>
      <x:c r="Y299" s="41"/>
      <x:c r="Z299" s="41"/>
    </x:row>
    <x:row r="300">
      <x:c r="A300" s="7" t="s">
        <x:v>2871</x:v>
      </x:c>
      <x:c r="B300" s="7" t="s">
        <x:v>2872</x:v>
      </x:c>
      <x:c r="C300" s="7" t="s">
        <x:v>2873</x:v>
      </x:c>
      <x:c r="D300" s="7" t="s">
        <x:v>207</x:v>
      </x:c>
      <x:c r="E300" s="7" t="s">
        <x:v>2874</x:v>
      </x:c>
      <x:c r="F300" s="10">
        <x:v>20.06092</x:v>
      </x:c>
      <x:c r="G300" s="10">
        <x:v>99.36204</x:v>
      </x:c>
      <x:c r="H300" s="7" t="s">
        <x:v>1554</x:v>
      </x:c>
      <x:c r="I300" s="10">
        <x:v>446.04</x:v>
      </x:c>
      <x:c r="J300" s="41"/>
      <x:c r="K300" s="41"/>
      <x:c r="L300" s="41"/>
      <x:c r="M300" s="41"/>
      <x:c r="N300" s="7" t="s">
        <x:v>2663</x:v>
      </x:c>
      <x:c r="O300" s="7" t="s">
        <x:v>1539</x:v>
      </x:c>
      <x:c r="P300" s="10">
        <x:v>3.0</x:v>
      </x:c>
      <x:c r="Q300" s="41"/>
      <x:c r="R300" s="10">
        <x:v>12.4</x:v>
      </x:c>
      <x:c r="S300" s="7" t="s">
        <x:v>1540</x:v>
      </x:c>
      <x:c r="T300" s="7" t="b">
        <x:v>0</x:v>
      </x:c>
      <x:c r="U300" s="7" t="s">
        <x:v>1541</x:v>
      </x:c>
      <x:c r="V300" s="26" t="s">
        <x:v>1542</x:v>
      </x:c>
      <x:c r="W300" s="7" t="s">
        <x:v>2875</x:v>
      </x:c>
      <x:c r="X300" s="41"/>
      <x:c r="Y300" s="41"/>
      <x:c r="Z300" s="41"/>
    </x:row>
    <x:row r="301">
      <x:c r="A301" s="7" t="s">
        <x:v>2876</x:v>
      </x:c>
      <x:c r="B301" s="7" t="s">
        <x:v>2877</x:v>
      </x:c>
      <x:c r="C301" s="7" t="s">
        <x:v>2878</x:v>
      </x:c>
      <x:c r="D301" s="7" t="s">
        <x:v>118</x:v>
      </x:c>
      <x:c r="E301" s="7" t="s">
        <x:v>2393</x:v>
      </x:c>
      <x:c r="F301" s="10">
        <x:v>15.9074</x:v>
      </x:c>
      <x:c r="G301" s="10">
        <x:v>101.708229</x:v>
      </x:c>
      <x:c r="H301" s="7" t="s">
        <x:v>1548</x:v>
      </x:c>
      <x:c r="I301" s="10">
        <x:v>205.21</x:v>
      </x:c>
      <x:c r="J301" s="41"/>
      <x:c r="K301" s="41"/>
      <x:c r="L301" s="41"/>
      <x:c r="M301" s="41"/>
      <x:c r="N301" s="7" t="s">
        <x:v>2663</x:v>
      </x:c>
      <x:c r="O301" s="7" t="s">
        <x:v>1539</x:v>
      </x:c>
      <x:c r="P301" s="10">
        <x:v>3.0</x:v>
      </x:c>
      <x:c r="Q301" s="41"/>
      <x:c r="R301" s="10">
        <x:v>82.4</x:v>
      </x:c>
      <x:c r="S301" s="7" t="s">
        <x:v>301</x:v>
      </x:c>
      <x:c r="T301" s="7" t="b">
        <x:v>0</x:v>
      </x:c>
      <x:c r="U301" s="7" t="s">
        <x:v>1541</x:v>
      </x:c>
      <x:c r="V301" s="26" t="s">
        <x:v>1542</x:v>
      </x:c>
      <x:c r="W301" s="7" t="s">
        <x:v>2879</x:v>
      </x:c>
      <x:c r="X301" s="41"/>
      <x:c r="Y301" s="41"/>
      <x:c r="Z301" s="41"/>
    </x:row>
    <x:row r="302">
      <x:c r="A302" s="7" t="s">
        <x:v>2880</x:v>
      </x:c>
      <x:c r="B302" s="7" t="s">
        <x:v>2881</x:v>
      </x:c>
      <x:c r="C302" s="7" t="s">
        <x:v>2882</x:v>
      </x:c>
      <x:c r="D302" s="7" t="s">
        <x:v>27</x:v>
      </x:c>
      <x:c r="E302" s="7" t="s">
        <x:v>2883</x:v>
      </x:c>
      <x:c r="F302" s="10">
        <x:v>16.60887</x:v>
      </x:c>
      <x:c r="G302" s="10">
        <x:v>100.36977</x:v>
      </x:c>
      <x:c r="H302" s="7" t="s">
        <x:v>1554</x:v>
      </x:c>
      <x:c r="I302" s="10">
        <x:v>34.63</x:v>
      </x:c>
      <x:c r="J302" s="41"/>
      <x:c r="K302" s="41"/>
      <x:c r="L302" s="41"/>
      <x:c r="M302" s="41"/>
      <x:c r="N302" s="7" t="s">
        <x:v>2663</x:v>
      </x:c>
      <x:c r="O302" s="7" t="s">
        <x:v>1539</x:v>
      </x:c>
      <x:c r="P302" s="10">
        <x:v>3.0</x:v>
      </x:c>
      <x:c r="Q302" s="41"/>
      <x:c r="R302" s="10">
        <x:v>12.4</x:v>
      </x:c>
      <x:c r="S302" s="7" t="s">
        <x:v>1540</x:v>
      </x:c>
      <x:c r="T302" s="7" t="b">
        <x:v>0</x:v>
      </x:c>
      <x:c r="U302" s="7" t="s">
        <x:v>1541</x:v>
      </x:c>
      <x:c r="V302" s="26" t="s">
        <x:v>1542</x:v>
      </x:c>
      <x:c r="W302" s="7" t="s">
        <x:v>2884</x:v>
      </x:c>
      <x:c r="X302" s="41"/>
      <x:c r="Y302" s="41"/>
      <x:c r="Z302" s="41"/>
    </x:row>
    <x:row r="303">
      <x:c r="A303" s="7" t="s">
        <x:v>2885</x:v>
      </x:c>
      <x:c r="B303" s="7" t="s">
        <x:v>2886</x:v>
      </x:c>
      <x:c r="C303" s="7" t="s">
        <x:v>2887</x:v>
      </x:c>
      <x:c r="D303" s="7" t="s">
        <x:v>97</x:v>
      </x:c>
      <x:c r="E303" s="7" t="s">
        <x:v>1698</x:v>
      </x:c>
      <x:c r="F303" s="10">
        <x:v>13.66804</x:v>
      </x:c>
      <x:c r="G303" s="10">
        <x:v>102.0756</x:v>
      </x:c>
      <x:c r="H303" s="7" t="s">
        <x:v>1548</x:v>
      </x:c>
      <x:c r="I303" s="10">
        <x:v>45.57</x:v>
      </x:c>
      <x:c r="J303" s="41"/>
      <x:c r="K303" s="41"/>
      <x:c r="L303" s="41"/>
      <x:c r="M303" s="41"/>
      <x:c r="N303" s="7" t="s">
        <x:v>2663</x:v>
      </x:c>
      <x:c r="O303" s="7" t="s">
        <x:v>1539</x:v>
      </x:c>
      <x:c r="P303" s="10">
        <x:v>3.0</x:v>
      </x:c>
      <x:c r="Q303" s="41"/>
      <x:c r="R303" s="10">
        <x:v>82.4</x:v>
      </x:c>
      <x:c r="S303" s="7" t="s">
        <x:v>301</x:v>
      </x:c>
      <x:c r="T303" s="7" t="b">
        <x:v>0</x:v>
      </x:c>
      <x:c r="U303" s="7" t="s">
        <x:v>1541</x:v>
      </x:c>
      <x:c r="V303" s="26" t="s">
        <x:v>1542</x:v>
      </x:c>
      <x:c r="W303" s="7" t="s">
        <x:v>2888</x:v>
      </x:c>
      <x:c r="X303" s="41"/>
      <x:c r="Y303" s="41"/>
      <x:c r="Z303" s="41"/>
    </x:row>
    <x:row r="304">
      <x:c r="A304" s="7" t="s">
        <x:v>2889</x:v>
      </x:c>
      <x:c r="B304" s="7" t="s">
        <x:v>2890</x:v>
      </x:c>
      <x:c r="C304" s="7" t="s">
        <x:v>2891</x:v>
      </x:c>
      <x:c r="D304" s="7" t="s">
        <x:v>49</x:v>
      </x:c>
      <x:c r="E304" s="7" t="s">
        <x:v>1563</x:v>
      </x:c>
      <x:c r="F304" s="10">
        <x:v>15.3277</x:v>
      </x:c>
      <x:c r="G304" s="10">
        <x:v>100.10913</x:v>
      </x:c>
      <x:c r="H304" s="7" t="s">
        <x:v>1554</x:v>
      </x:c>
      <x:c r="I304" s="10">
        <x:v>16.36</x:v>
      </x:c>
      <x:c r="J304" s="41"/>
      <x:c r="K304" s="41"/>
      <x:c r="L304" s="41"/>
      <x:c r="M304" s="41"/>
      <x:c r="N304" s="7" t="s">
        <x:v>2663</x:v>
      </x:c>
      <x:c r="O304" s="7" t="s">
        <x:v>1539</x:v>
      </x:c>
      <x:c r="P304" s="10">
        <x:v>3.0</x:v>
      </x:c>
      <x:c r="Q304" s="41"/>
      <x:c r="R304" s="10">
        <x:v>12.4</x:v>
      </x:c>
      <x:c r="S304" s="7" t="s">
        <x:v>1540</x:v>
      </x:c>
      <x:c r="T304" s="7" t="b">
        <x:v>0</x:v>
      </x:c>
      <x:c r="U304" s="7" t="s">
        <x:v>1541</x:v>
      </x:c>
      <x:c r="V304" s="26" t="s">
        <x:v>1542</x:v>
      </x:c>
      <x:c r="W304" s="7" t="s">
        <x:v>2892</x:v>
      </x:c>
      <x:c r="X304" s="41"/>
      <x:c r="Y304" s="41"/>
      <x:c r="Z304" s="41"/>
    </x:row>
    <x:row r="305">
      <x:c r="A305" s="7" t="s">
        <x:v>2893</x:v>
      </x:c>
      <x:c r="B305" s="7" t="s">
        <x:v>2894</x:v>
      </x:c>
      <x:c r="C305" s="7" t="s">
        <x:v>2895</x:v>
      </x:c>
      <x:c r="D305" s="7" t="s">
        <x:v>217</x:v>
      </x:c>
      <x:c r="E305" s="7" t="s">
        <x:v>1734</x:v>
      </x:c>
      <x:c r="F305" s="10">
        <x:v>17.16888</x:v>
      </x:c>
      <x:c r="G305" s="10">
        <x:v>99.860977</x:v>
      </x:c>
      <x:c r="H305" s="7" t="s">
        <x:v>1548</x:v>
      </x:c>
      <x:c r="I305" s="10">
        <x:v>52.21</x:v>
      </x:c>
      <x:c r="J305" s="41"/>
      <x:c r="K305" s="41"/>
      <x:c r="L305" s="41"/>
      <x:c r="M305" s="10"/>
      <x:c r="N305" s="7" t="s">
        <x:v>2663</x:v>
      </x:c>
      <x:c r="O305" s="7" t="s">
        <x:v>1539</x:v>
      </x:c>
      <x:c r="P305" s="10">
        <x:v>3.0</x:v>
      </x:c>
      <x:c r="Q305" s="41"/>
      <x:c r="R305" s="10">
        <x:v>82.4</x:v>
      </x:c>
      <x:c r="S305" s="7" t="s">
        <x:v>301</x:v>
      </x:c>
      <x:c r="T305" s="7" t="b">
        <x:v>0</x:v>
      </x:c>
      <x:c r="U305" s="7" t="s">
        <x:v>1541</x:v>
      </x:c>
      <x:c r="V305" s="26" t="s">
        <x:v>1542</x:v>
      </x:c>
      <x:c r="W305" s="7" t="s">
        <x:v>2896</x:v>
      </x:c>
      <x:c r="X305" s="41"/>
      <x:c r="Y305" s="41"/>
      <x:c r="Z305" s="41"/>
    </x:row>
    <x:row r="306">
      <x:c r="A306" s="7" t="s">
        <x:v>2897</x:v>
      </x:c>
      <x:c r="B306" s="7" t="s">
        <x:v>2898</x:v>
      </x:c>
      <x:c r="C306" s="7" t="s">
        <x:v>2899</x:v>
      </x:c>
      <x:c r="D306" s="7" t="s">
        <x:v>18</x:v>
      </x:c>
      <x:c r="E306" s="7" t="s">
        <x:v>2695</x:v>
      </x:c>
      <x:c r="F306" s="10">
        <x:v>17.32165</x:v>
      </x:c>
      <x:c r="G306" s="10">
        <x:v>99.077217</x:v>
      </x:c>
      <x:c r="H306" s="7" t="s">
        <x:v>1548</x:v>
      </x:c>
      <x:c r="I306" s="10">
        <x:v>140.83</x:v>
      </x:c>
      <x:c r="J306" s="41"/>
      <x:c r="K306" s="41"/>
      <x:c r="L306" s="41"/>
      <x:c r="M306" s="41"/>
      <x:c r="N306" s="7" t="s">
        <x:v>2663</x:v>
      </x:c>
      <x:c r="O306" s="7" t="s">
        <x:v>1539</x:v>
      </x:c>
      <x:c r="P306" s="10">
        <x:v>3.0</x:v>
      </x:c>
      <x:c r="Q306" s="41"/>
      <x:c r="R306" s="10">
        <x:v>82.4</x:v>
      </x:c>
      <x:c r="S306" s="7" t="s">
        <x:v>301</x:v>
      </x:c>
      <x:c r="T306" s="7" t="b">
        <x:v>0</x:v>
      </x:c>
      <x:c r="U306" s="7" t="s">
        <x:v>1541</x:v>
      </x:c>
      <x:c r="V306" s="26" t="s">
        <x:v>1542</x:v>
      </x:c>
      <x:c r="W306" s="7" t="s">
        <x:v>2900</x:v>
      </x:c>
      <x:c r="X306" s="41"/>
      <x:c r="Y306" s="41"/>
      <x:c r="Z306" s="41"/>
    </x:row>
    <x:row r="307">
      <x:c r="A307" s="7" t="s">
        <x:v>2901</x:v>
      </x:c>
      <x:c r="B307" s="7" t="s">
        <x:v>2902</x:v>
      </x:c>
      <x:c r="C307" s="7" t="s">
        <x:v>2903</x:v>
      </x:c>
      <x:c r="D307" s="7" t="s">
        <x:v>27</x:v>
      </x:c>
      <x:c r="E307" s="7" t="s">
        <x:v>2904</x:v>
      </x:c>
      <x:c r="F307" s="10">
        <x:v>17.253153</x:v>
      </x:c>
      <x:c r="G307" s="10">
        <x:v>100.62827</x:v>
      </x:c>
      <x:c r="H307" s="7" t="s">
        <x:v>1554</x:v>
      </x:c>
      <x:c r="I307" s="10">
        <x:v>186.51</x:v>
      </x:c>
      <x:c r="J307" s="41"/>
      <x:c r="K307" s="41"/>
      <x:c r="L307" s="41"/>
      <x:c r="M307" s="10"/>
      <x:c r="N307" s="7" t="s">
        <x:v>2663</x:v>
      </x:c>
      <x:c r="O307" s="7" t="s">
        <x:v>1539</x:v>
      </x:c>
      <x:c r="P307" s="10">
        <x:v>3.0</x:v>
      </x:c>
      <x:c r="Q307" s="41"/>
      <x:c r="R307" s="10">
        <x:v>12.4</x:v>
      </x:c>
      <x:c r="S307" s="7" t="s">
        <x:v>1540</x:v>
      </x:c>
      <x:c r="T307" s="7" t="b">
        <x:v>0</x:v>
      </x:c>
      <x:c r="U307" s="7" t="s">
        <x:v>1541</x:v>
      </x:c>
      <x:c r="V307" s="26" t="s">
        <x:v>1542</x:v>
      </x:c>
      <x:c r="W307" s="7" t="s">
        <x:v>2905</x:v>
      </x:c>
      <x:c r="X307" s="41"/>
      <x:c r="Y307" s="41"/>
      <x:c r="Z307" s="41"/>
    </x:row>
    <x:row r="308">
      <x:c r="A308" s="7" t="s">
        <x:v>2906</x:v>
      </x:c>
      <x:c r="B308" s="7" t="s">
        <x:v>2907</x:v>
      </x:c>
      <x:c r="C308" s="7" t="s">
        <x:v>2908</x:v>
      </x:c>
      <x:c r="D308" s="7" t="s">
        <x:v>249</x:v>
      </x:c>
      <x:c r="E308" s="7"/>
      <x:c r="F308" s="10">
        <x:v>9.063301</x:v>
      </x:c>
      <x:c r="G308" s="10">
        <x:v>99.093328</x:v>
      </x:c>
      <x:c r="H308" s="7" t="s">
        <x:v>1658</x:v>
      </x:c>
      <x:c r="I308" s="10">
        <x:v>1.27</x:v>
      </x:c>
      <x:c r="J308" s="41"/>
      <x:c r="K308" s="41"/>
      <x:c r="L308" s="41"/>
      <x:c r="M308" s="10">
        <x:v>4.26</x:v>
      </x:c>
      <x:c r="N308" s="7" t="s">
        <x:v>2663</x:v>
      </x:c>
      <x:c r="O308" s="7" t="s">
        <x:v>1539</x:v>
      </x:c>
      <x:c r="P308" s="10">
        <x:v>3.0</x:v>
      </x:c>
      <x:c r="Q308" s="41"/>
      <x:c r="R308" s="10">
        <x:v>22.4</x:v>
      </x:c>
      <x:c r="S308" s="7" t="s">
        <x:v>1540</x:v>
      </x:c>
      <x:c r="T308" s="7" t="b">
        <x:v>0</x:v>
      </x:c>
      <x:c r="U308" s="7" t="s">
        <x:v>1541</x:v>
      </x:c>
      <x:c r="V308" s="26" t="s">
        <x:v>1542</x:v>
      </x:c>
      <x:c r="W308" s="7" t="s">
        <x:v>2909</x:v>
      </x:c>
      <x:c r="X308" s="41"/>
      <x:c r="Y308" s="41"/>
      <x:c r="Z308" s="41"/>
    </x:row>
    <x:row r="309">
      <x:c r="A309" s="7" t="s">
        <x:v>2910</x:v>
      </x:c>
      <x:c r="B309" s="7" t="s">
        <x:v>2911</x:v>
      </x:c>
      <x:c r="C309" s="7" t="s">
        <x:v>2912</x:v>
      </x:c>
      <x:c r="D309" s="7" t="s">
        <x:v>222</x:v>
      </x:c>
      <x:c r="E309" s="7" t="s">
        <x:v>2017</x:v>
      </x:c>
      <x:c r="F309" s="10">
        <x:v>13.11125</x:v>
      </x:c>
      <x:c r="G309" s="10">
        <x:v>99.948219</x:v>
      </x:c>
      <x:c r="H309" s="7" t="s">
        <x:v>1537</x:v>
      </x:c>
      <x:c r="I309" s="10">
        <x:v>3.01</x:v>
      </x:c>
      <x:c r="J309" s="41"/>
      <x:c r="K309" s="41"/>
      <x:c r="L309" s="41"/>
      <x:c r="M309" s="10">
        <x:v>5.1</x:v>
      </x:c>
      <x:c r="N309" s="7" t="s">
        <x:v>2663</x:v>
      </x:c>
      <x:c r="O309" s="7" t="s">
        <x:v>1539</x:v>
      </x:c>
      <x:c r="P309" s="10">
        <x:v>3.0</x:v>
      </x:c>
      <x:c r="Q309" s="41"/>
      <x:c r="R309" s="10">
        <x:v>-457.6</x:v>
      </x:c>
      <x:c r="S309" s="7" t="s">
        <x:v>1540</x:v>
      </x:c>
      <x:c r="T309" s="7" t="b">
        <x:v>0</x:v>
      </x:c>
      <x:c r="U309" s="7" t="s">
        <x:v>1541</x:v>
      </x:c>
      <x:c r="V309" s="26" t="s">
        <x:v>1542</x:v>
      </x:c>
      <x:c r="W309" s="7" t="s">
        <x:v>2913</x:v>
      </x:c>
      <x:c r="X309" s="41"/>
      <x:c r="Y309" s="41"/>
      <x:c r="Z309" s="41"/>
    </x:row>
    <x:row r="310">
      <x:c r="A310" s="7" t="s">
        <x:v>2914</x:v>
      </x:c>
      <x:c r="B310" s="7" t="s">
        <x:v>2915</x:v>
      </x:c>
      <x:c r="C310" s="7" t="s">
        <x:v>2916</x:v>
      </x:c>
      <x:c r="D310" s="7" t="s">
        <x:v>228</x:v>
      </x:c>
      <x:c r="E310" s="7" t="s">
        <x:v>2917</x:v>
      </x:c>
      <x:c r="F310" s="10">
        <x:v>16.603594</x:v>
      </x:c>
      <x:c r="G310" s="10">
        <x:v>103.96229</x:v>
      </x:c>
      <x:c r="H310" s="7" t="s">
        <x:v>1554</x:v>
      </x:c>
      <x:c r="I310" s="10">
        <x:v>159.47</x:v>
      </x:c>
      <x:c r="J310" s="41"/>
      <x:c r="K310" s="41"/>
      <x:c r="L310" s="41"/>
      <x:c r="M310" s="10"/>
      <x:c r="N310" s="7" t="s">
        <x:v>2663</x:v>
      </x:c>
      <x:c r="O310" s="7" t="s">
        <x:v>1539</x:v>
      </x:c>
      <x:c r="P310" s="10">
        <x:v>3.0</x:v>
      </x:c>
      <x:c r="Q310" s="41"/>
      <x:c r="R310" s="10">
        <x:v>12.4</x:v>
      </x:c>
      <x:c r="S310" s="7" t="s">
        <x:v>1540</x:v>
      </x:c>
      <x:c r="T310" s="7" t="b">
        <x:v>0</x:v>
      </x:c>
      <x:c r="U310" s="7" t="s">
        <x:v>1541</x:v>
      </x:c>
      <x:c r="V310" s="26" t="s">
        <x:v>1542</x:v>
      </x:c>
      <x:c r="W310" s="7" t="s">
        <x:v>2918</x:v>
      </x:c>
      <x:c r="X310" s="41"/>
      <x:c r="Y310" s="41"/>
      <x:c r="Z310" s="41"/>
    </x:row>
    <x:row r="311">
      <x:c r="A311" s="7" t="s">
        <x:v>2919</x:v>
      </x:c>
      <x:c r="B311" s="7" t="s">
        <x:v>2920</x:v>
      </x:c>
      <x:c r="C311" s="7" t="s">
        <x:v>2921</x:v>
      </x:c>
      <x:c r="D311" s="7" t="s">
        <x:v>243</x:v>
      </x:c>
      <x:c r="E311" s="7" t="s">
        <x:v>2922</x:v>
      </x:c>
      <x:c r="F311" s="10">
        <x:v>15.00636</x:v>
      </x:c>
      <x:c r="G311" s="10">
        <x:v>104.633453</x:v>
      </x:c>
      <x:c r="H311" s="7" t="s">
        <x:v>1548</x:v>
      </x:c>
      <x:c r="I311" s="10">
        <x:v>117.59</x:v>
      </x:c>
      <x:c r="J311" s="41"/>
      <x:c r="K311" s="41"/>
      <x:c r="L311" s="41"/>
      <x:c r="M311" s="41"/>
      <x:c r="N311" s="7" t="s">
        <x:v>2663</x:v>
      </x:c>
      <x:c r="O311" s="7" t="s">
        <x:v>1539</x:v>
      </x:c>
      <x:c r="P311" s="10">
        <x:v>3.0</x:v>
      </x:c>
      <x:c r="Q311" s="41"/>
      <x:c r="R311" s="10">
        <x:v>82.4</x:v>
      </x:c>
      <x:c r="S311" s="7" t="s">
        <x:v>301</x:v>
      </x:c>
      <x:c r="T311" s="7" t="b">
        <x:v>0</x:v>
      </x:c>
      <x:c r="U311" s="7" t="s">
        <x:v>1541</x:v>
      </x:c>
      <x:c r="V311" s="26" t="s">
        <x:v>1542</x:v>
      </x:c>
      <x:c r="W311" s="7" t="s">
        <x:v>2923</x:v>
      </x:c>
      <x:c r="X311" s="41"/>
      <x:c r="Y311" s="41"/>
      <x:c r="Z311" s="41"/>
    </x:row>
    <x:row r="312">
      <x:c r="A312" s="7" t="s">
        <x:v>2924</x:v>
      </x:c>
      <x:c r="B312" s="7" t="s">
        <x:v>2925</x:v>
      </x:c>
      <x:c r="C312" s="7" t="s">
        <x:v>2926</x:v>
      </x:c>
      <x:c r="D312" s="7" t="s">
        <x:v>236</x:v>
      </x:c>
      <x:c r="E312" s="7" t="s">
        <x:v>2927</x:v>
      </x:c>
      <x:c r="F312" s="10">
        <x:v>17.860956</x:v>
      </x:c>
      <x:c r="G312" s="10">
        <x:v>101.61144</x:v>
      </x:c>
      <x:c r="H312" s="7" t="s">
        <x:v>1554</x:v>
      </x:c>
      <x:c r="I312" s="10">
        <x:v>202.67</x:v>
      </x:c>
      <x:c r="J312" s="41"/>
      <x:c r="K312" s="41"/>
      <x:c r="L312" s="41"/>
      <x:c r="M312" s="10"/>
      <x:c r="N312" s="7" t="s">
        <x:v>2663</x:v>
      </x:c>
      <x:c r="O312" s="7" t="s">
        <x:v>1539</x:v>
      </x:c>
      <x:c r="P312" s="10">
        <x:v>3.0</x:v>
      </x:c>
      <x:c r="Q312" s="41"/>
      <x:c r="R312" s="10">
        <x:v>12.4</x:v>
      </x:c>
      <x:c r="S312" s="7" t="s">
        <x:v>1540</x:v>
      </x:c>
      <x:c r="T312" s="7" t="b">
        <x:v>0</x:v>
      </x:c>
      <x:c r="U312" s="7" t="s">
        <x:v>1541</x:v>
      </x:c>
      <x:c r="V312" s="26" t="s">
        <x:v>1542</x:v>
      </x:c>
      <x:c r="W312" s="7" t="s">
        <x:v>2928</x:v>
      </x:c>
      <x:c r="X312" s="41"/>
      <x:c r="Y312" s="41"/>
      <x:c r="Z312" s="41"/>
    </x:row>
    <x:row r="313">
      <x:c r="A313" s="7" t="s">
        <x:v>2929</x:v>
      </x:c>
      <x:c r="B313" s="7" t="s">
        <x:v>2930</x:v>
      </x:c>
      <x:c r="C313" s="7" t="s">
        <x:v>2931</x:v>
      </x:c>
      <x:c r="D313" s="7" t="s">
        <x:v>122</x:v>
      </x:c>
      <x:c r="E313" s="7" t="s">
        <x:v>2932</x:v>
      </x:c>
      <x:c r="F313" s="10">
        <x:v>15.18159</x:v>
      </x:c>
      <x:c r="G313" s="10">
        <x:v>102.242737</x:v>
      </x:c>
      <x:c r="H313" s="7" t="s">
        <x:v>1548</x:v>
      </x:c>
      <x:c r="I313" s="10">
        <x:v>161.15</x:v>
      </x:c>
      <x:c r="J313" s="41"/>
      <x:c r="K313" s="41"/>
      <x:c r="L313" s="41"/>
      <x:c r="M313" s="41"/>
      <x:c r="N313" s="7" t="s">
        <x:v>2663</x:v>
      </x:c>
      <x:c r="O313" s="7" t="s">
        <x:v>1539</x:v>
      </x:c>
      <x:c r="P313" s="10">
        <x:v>3.0</x:v>
      </x:c>
      <x:c r="Q313" s="41"/>
      <x:c r="R313" s="10">
        <x:v>82.4</x:v>
      </x:c>
      <x:c r="S313" s="7" t="s">
        <x:v>301</x:v>
      </x:c>
      <x:c r="T313" s="7" t="b">
        <x:v>0</x:v>
      </x:c>
      <x:c r="U313" s="7" t="s">
        <x:v>1541</x:v>
      </x:c>
      <x:c r="V313" s="26" t="s">
        <x:v>1542</x:v>
      </x:c>
      <x:c r="W313" s="7" t="s">
        <x:v>2933</x:v>
      </x:c>
      <x:c r="X313" s="41"/>
      <x:c r="Y313" s="41"/>
      <x:c r="Z313" s="41"/>
    </x:row>
    <x:row r="314">
      <x:c r="A314" s="7" t="s">
        <x:v>2934</x:v>
      </x:c>
      <x:c r="B314" s="7" t="s">
        <x:v>2935</x:v>
      </x:c>
      <x:c r="C314" s="7" t="s">
        <x:v>2936</x:v>
      </x:c>
      <x:c r="D314" s="7" t="s">
        <x:v>107</x:v>
      </x:c>
      <x:c r="E314" s="7" t="s">
        <x:v>2411</x:v>
      </x:c>
      <x:c r="F314" s="10">
        <x:v>12.76323</x:v>
      </x:c>
      <x:c r="G314" s="10">
        <x:v>102.138039</x:v>
      </x:c>
      <x:c r="H314" s="7" t="s">
        <x:v>1548</x:v>
      </x:c>
      <x:c r="I314" s="10">
        <x:v>9.77</x:v>
      </x:c>
      <x:c r="J314" s="41"/>
      <x:c r="K314" s="41"/>
      <x:c r="L314" s="41"/>
      <x:c r="M314" s="10"/>
      <x:c r="N314" s="7" t="s">
        <x:v>2663</x:v>
      </x:c>
      <x:c r="O314" s="7" t="s">
        <x:v>1539</x:v>
      </x:c>
      <x:c r="P314" s="10">
        <x:v>3.0</x:v>
      </x:c>
      <x:c r="Q314" s="41"/>
      <x:c r="R314" s="10">
        <x:v>82.4</x:v>
      </x:c>
      <x:c r="S314" s="7" t="s">
        <x:v>301</x:v>
      </x:c>
      <x:c r="T314" s="7" t="b">
        <x:v>0</x:v>
      </x:c>
      <x:c r="U314" s="7" t="s">
        <x:v>1541</x:v>
      </x:c>
      <x:c r="V314" s="26" t="s">
        <x:v>1542</x:v>
      </x:c>
      <x:c r="W314" s="7" t="s">
        <x:v>2937</x:v>
      </x:c>
      <x:c r="X314" s="41"/>
      <x:c r="Y314" s="41"/>
      <x:c r="Z314" s="41"/>
    </x:row>
    <x:row r="315">
      <x:c r="A315" s="7" t="s">
        <x:v>2938</x:v>
      </x:c>
      <x:c r="B315" s="7" t="s">
        <x:v>2939</x:v>
      </x:c>
      <x:c r="C315" s="7" t="s">
        <x:v>2940</x:v>
      </x:c>
      <x:c r="D315" s="7" t="s">
        <x:v>256</x:v>
      </x:c>
      <x:c r="E315" s="7" t="s">
        <x:v>2268</x:v>
      </x:c>
      <x:c r="F315" s="10">
        <x:v>6.94082</x:v>
      </x:c>
      <x:c r="G315" s="10">
        <x:v>99.872917</x:v>
      </x:c>
      <x:c r="H315" s="7" t="s">
        <x:v>1548</x:v>
      </x:c>
      <x:c r="I315" s="10">
        <x:v>9.53</x:v>
      </x:c>
      <x:c r="J315" s="41"/>
      <x:c r="K315" s="41"/>
      <x:c r="L315" s="41"/>
      <x:c r="M315" s="10"/>
      <x:c r="N315" s="7" t="s">
        <x:v>2663</x:v>
      </x:c>
      <x:c r="O315" s="7" t="s">
        <x:v>1539</x:v>
      </x:c>
      <x:c r="P315" s="10">
        <x:v>3.0</x:v>
      </x:c>
      <x:c r="Q315" s="41"/>
      <x:c r="R315" s="10">
        <x:v>82.4</x:v>
      </x:c>
      <x:c r="S315" s="7" t="s">
        <x:v>301</x:v>
      </x:c>
      <x:c r="T315" s="7" t="b">
        <x:v>0</x:v>
      </x:c>
      <x:c r="U315" s="7" t="s">
        <x:v>1541</x:v>
      </x:c>
      <x:c r="V315" s="26" t="s">
        <x:v>1542</x:v>
      </x:c>
      <x:c r="W315" s="7" t="s">
        <x:v>2941</x:v>
      </x:c>
      <x:c r="X315" s="41"/>
      <x:c r="Y315" s="41"/>
      <x:c r="Z315" s="41"/>
    </x:row>
    <x:row r="316">
      <x:c r="A316" s="7" t="s">
        <x:v>2942</x:v>
      </x:c>
      <x:c r="B316" s="7" t="s">
        <x:v>2943</x:v>
      </x:c>
      <x:c r="C316" s="7" t="s">
        <x:v>2944</x:v>
      </x:c>
      <x:c r="D316" s="7" t="s">
        <x:v>34</x:v>
      </x:c>
      <x:c r="E316" s="7"/>
      <x:c r="F316" s="10">
        <x:v>16.21715</x:v>
      </x:c>
      <x:c r="G316" s="10">
        <x:v>99.720608</x:v>
      </x:c>
      <x:c r="H316" s="7" t="s">
        <x:v>1658</x:v>
      </x:c>
      <x:c r="I316" s="10">
        <x:v>55.04</x:v>
      </x:c>
      <x:c r="J316" s="41"/>
      <x:c r="K316" s="41"/>
      <x:c r="L316" s="41"/>
      <x:c r="M316" s="10">
        <x:v>57.65</x:v>
      </x:c>
      <x:c r="N316" s="7" t="s">
        <x:v>2663</x:v>
      </x:c>
      <x:c r="O316" s="7" t="s">
        <x:v>1539</x:v>
      </x:c>
      <x:c r="P316" s="10">
        <x:v>3.0</x:v>
      </x:c>
      <x:c r="Q316" s="41"/>
      <x:c r="R316" s="10">
        <x:v>22.4</x:v>
      </x:c>
      <x:c r="S316" s="7" t="s">
        <x:v>1540</x:v>
      </x:c>
      <x:c r="T316" s="7" t="b">
        <x:v>0</x:v>
      </x:c>
      <x:c r="U316" s="7" t="s">
        <x:v>1541</x:v>
      </x:c>
      <x:c r="V316" s="26" t="s">
        <x:v>1542</x:v>
      </x:c>
      <x:c r="W316" s="7" t="s">
        <x:v>2945</x:v>
      </x:c>
      <x:c r="X316" s="41"/>
      <x:c r="Y316" s="41"/>
      <x:c r="Z316" s="41"/>
    </x:row>
    <x:row r="317">
      <x:c r="A317" s="7" t="s">
        <x:v>2946</x:v>
      </x:c>
      <x:c r="B317" s="7" t="s">
        <x:v>2947</x:v>
      </x:c>
      <x:c r="C317" s="7" t="s">
        <x:v>2948</x:v>
      </x:c>
      <x:c r="D317" s="7" t="s">
        <x:v>58</x:v>
      </x:c>
      <x:c r="E317" s="7" t="s">
        <x:v>1536</x:v>
      </x:c>
      <x:c r="F317" s="10">
        <x:v>14.215</x:v>
      </x:c>
      <x:c r="G317" s="10">
        <x:v>99.058</x:v>
      </x:c>
      <x:c r="H317" s="7" t="s">
        <x:v>1658</x:v>
      </x:c>
      <x:c r="I317" s="10">
        <x:v>49.3</x:v>
      </x:c>
      <x:c r="J317" s="41"/>
      <x:c r="K317" s="41"/>
      <x:c r="L317" s="41"/>
      <x:c r="M317" s="10">
        <x:v>48.52</x:v>
      </x:c>
      <x:c r="N317" s="7" t="s">
        <x:v>2663</x:v>
      </x:c>
      <x:c r="O317" s="7" t="s">
        <x:v>1539</x:v>
      </x:c>
      <x:c r="P317" s="10">
        <x:v>3.0</x:v>
      </x:c>
      <x:c r="Q317" s="41"/>
      <x:c r="R317" s="10">
        <x:v>22.4</x:v>
      </x:c>
      <x:c r="S317" s="7" t="s">
        <x:v>1540</x:v>
      </x:c>
      <x:c r="T317" s="7" t="b">
        <x:v>0</x:v>
      </x:c>
      <x:c r="U317" s="7" t="s">
        <x:v>1541</x:v>
      </x:c>
      <x:c r="V317" s="26" t="s">
        <x:v>1542</x:v>
      </x:c>
      <x:c r="W317" s="7" t="s">
        <x:v>2949</x:v>
      </x:c>
      <x:c r="X317" s="41"/>
      <x:c r="Y317" s="41"/>
      <x:c r="Z317" s="41"/>
    </x:row>
    <x:row r="318">
      <x:c r="A318" s="7" t="s">
        <x:v>2950</x:v>
      </x:c>
      <x:c r="B318" s="7" t="s">
        <x:v>2951</x:v>
      </x:c>
      <x:c r="C318" s="7" t="s">
        <x:v>2952</x:v>
      </x:c>
      <x:c r="D318" s="7" t="s">
        <x:v>222</x:v>
      </x:c>
      <x:c r="E318" s="7" t="s">
        <x:v>2017</x:v>
      </x:c>
      <x:c r="F318" s="10">
        <x:v>13.04917</x:v>
      </x:c>
      <x:c r="G318" s="10">
        <x:v>99.918549</x:v>
      </x:c>
      <x:c r="H318" s="7" t="s">
        <x:v>1537</x:v>
      </x:c>
      <x:c r="I318" s="10">
        <x:v>5.99</x:v>
      </x:c>
      <x:c r="J318" s="41"/>
      <x:c r="K318" s="41"/>
      <x:c r="L318" s="41"/>
      <x:c r="M318" s="10"/>
      <x:c r="N318" s="7" t="s">
        <x:v>2663</x:v>
      </x:c>
      <x:c r="O318" s="7" t="s">
        <x:v>1539</x:v>
      </x:c>
      <x:c r="P318" s="10">
        <x:v>3.0</x:v>
      </x:c>
      <x:c r="Q318" s="41"/>
      <x:c r="R318" s="10">
        <x:v>-457.6</x:v>
      </x:c>
      <x:c r="S318" s="7" t="s">
        <x:v>1540</x:v>
      </x:c>
      <x:c r="T318" s="7" t="b">
        <x:v>0</x:v>
      </x:c>
      <x:c r="U318" s="7" t="s">
        <x:v>1541</x:v>
      </x:c>
      <x:c r="V318" s="26" t="s">
        <x:v>1542</x:v>
      </x:c>
      <x:c r="W318" s="7" t="s">
        <x:v>2953</x:v>
      </x:c>
      <x:c r="X318" s="41"/>
      <x:c r="Y318" s="41"/>
      <x:c r="Z318" s="41"/>
    </x:row>
    <x:row r="319">
      <x:c r="A319" s="7" t="s">
        <x:v>2954</x:v>
      </x:c>
      <x:c r="B319" s="7" t="s">
        <x:v>2955</x:v>
      </x:c>
      <x:c r="C319" s="7" t="s">
        <x:v>2956</x:v>
      </x:c>
      <x:c r="D319" s="7" t="s">
        <x:v>213</x:v>
      </x:c>
      <x:c r="E319" s="7" t="s">
        <x:v>2957</x:v>
      </x:c>
      <x:c r="F319" s="10">
        <x:v>18.546852</x:v>
      </x:c>
      <x:c r="G319" s="10">
        <x:v>99.25007</x:v>
      </x:c>
      <x:c r="H319" s="7" t="s">
        <x:v>1554</x:v>
      </x:c>
      <x:c r="I319" s="10">
        <x:v>440.04</x:v>
      </x:c>
      <x:c r="J319" s="41"/>
      <x:c r="K319" s="41"/>
      <x:c r="L319" s="41"/>
      <x:c r="M319" s="41"/>
      <x:c r="N319" s="7" t="s">
        <x:v>2663</x:v>
      </x:c>
      <x:c r="O319" s="7" t="s">
        <x:v>1539</x:v>
      </x:c>
      <x:c r="P319" s="10">
        <x:v>3.0</x:v>
      </x:c>
      <x:c r="Q319" s="41"/>
      <x:c r="R319" s="10">
        <x:v>12.4</x:v>
      </x:c>
      <x:c r="S319" s="7" t="s">
        <x:v>1540</x:v>
      </x:c>
      <x:c r="T319" s="7" t="b">
        <x:v>0</x:v>
      </x:c>
      <x:c r="U319" s="7" t="s">
        <x:v>1541</x:v>
      </x:c>
      <x:c r="V319" s="26" t="s">
        <x:v>1542</x:v>
      </x:c>
      <x:c r="W319" s="7" t="s">
        <x:v>2958</x:v>
      </x:c>
      <x:c r="X319" s="41"/>
      <x:c r="Y319" s="41"/>
      <x:c r="Z319" s="41"/>
    </x:row>
    <x:row r="320">
      <x:c r="A320" s="7" t="s">
        <x:v>2959</x:v>
      </x:c>
      <x:c r="B320" s="7" t="s">
        <x:v>2960</x:v>
      </x:c>
      <x:c r="C320" s="7" t="s">
        <x:v>2961</x:v>
      </x:c>
      <x:c r="D320" s="7" t="s">
        <x:v>110</x:v>
      </x:c>
      <x:c r="E320" s="7" t="s">
        <x:v>2962</x:v>
      </x:c>
      <x:c r="F320" s="10">
        <x:v>12.369261</x:v>
      </x:c>
      <x:c r="G320" s="10">
        <x:v>102.54332</x:v>
      </x:c>
      <x:c r="H320" s="7" t="s">
        <x:v>1554</x:v>
      </x:c>
      <x:c r="I320" s="10">
        <x:v>0.4</x:v>
      </x:c>
      <x:c r="J320" s="41"/>
      <x:c r="K320" s="41"/>
      <x:c r="L320" s="41"/>
      <x:c r="M320" s="41"/>
      <x:c r="N320" s="7" t="s">
        <x:v>2663</x:v>
      </x:c>
      <x:c r="O320" s="7" t="s">
        <x:v>1539</x:v>
      </x:c>
      <x:c r="P320" s="10">
        <x:v>3.0</x:v>
      </x:c>
      <x:c r="Q320" s="41"/>
      <x:c r="R320" s="10">
        <x:v>12.4</x:v>
      </x:c>
      <x:c r="S320" s="7" t="s">
        <x:v>1540</x:v>
      </x:c>
      <x:c r="T320" s="7" t="b">
        <x:v>0</x:v>
      </x:c>
      <x:c r="U320" s="7" t="s">
        <x:v>1541</x:v>
      </x:c>
      <x:c r="V320" s="26" t="s">
        <x:v>1542</x:v>
      </x:c>
      <x:c r="W320" s="7" t="s">
        <x:v>2963</x:v>
      </x:c>
      <x:c r="X320" s="41"/>
      <x:c r="Y320" s="41"/>
      <x:c r="Z320" s="41"/>
    </x:row>
    <x:row r="321">
      <x:c r="A321" s="7" t="s">
        <x:v>2964</x:v>
      </x:c>
      <x:c r="B321" s="7" t="s">
        <x:v>2965</x:v>
      </x:c>
      <x:c r="C321" s="7" t="s">
        <x:v>2966</x:v>
      </x:c>
      <x:c r="D321" s="7" t="s">
        <x:v>256</x:v>
      </x:c>
      <x:c r="E321" s="7" t="s">
        <x:v>2268</x:v>
      </x:c>
      <x:c r="F321" s="10">
        <x:v>6.940811</x:v>
      </x:c>
      <x:c r="G321" s="10">
        <x:v>99.872925</x:v>
      </x:c>
      <x:c r="H321" s="7" t="s">
        <x:v>1554</x:v>
      </x:c>
      <x:c r="I321" s="10">
        <x:v>9.34</x:v>
      </x:c>
      <x:c r="J321" s="41"/>
      <x:c r="K321" s="41"/>
      <x:c r="L321" s="41"/>
      <x:c r="M321" s="41"/>
      <x:c r="N321" s="7" t="s">
        <x:v>2663</x:v>
      </x:c>
      <x:c r="O321" s="7" t="s">
        <x:v>1539</x:v>
      </x:c>
      <x:c r="P321" s="10">
        <x:v>3.0</x:v>
      </x:c>
      <x:c r="Q321" s="41"/>
      <x:c r="R321" s="10">
        <x:v>12.4</x:v>
      </x:c>
      <x:c r="S321" s="7" t="s">
        <x:v>1540</x:v>
      </x:c>
      <x:c r="T321" s="7" t="b">
        <x:v>0</x:v>
      </x:c>
      <x:c r="U321" s="7" t="s">
        <x:v>1541</x:v>
      </x:c>
      <x:c r="V321" s="26" t="s">
        <x:v>1542</x:v>
      </x:c>
      <x:c r="W321" s="7" t="s">
        <x:v>2967</x:v>
      </x:c>
      <x:c r="X321" s="41"/>
      <x:c r="Y321" s="41"/>
      <x:c r="Z321" s="41"/>
    </x:row>
    <x:row r="322">
      <x:c r="A322" s="7" t="s">
        <x:v>2968</x:v>
      </x:c>
      <x:c r="B322" s="7" t="s">
        <x:v>2969</x:v>
      </x:c>
      <x:c r="C322" s="7" t="s">
        <x:v>2970</x:v>
      </x:c>
      <x:c r="D322" s="7" t="s">
        <x:v>243</x:v>
      </x:c>
      <x:c r="E322" s="7" t="s">
        <x:v>2032</x:v>
      </x:c>
      <x:c r="F322" s="10">
        <x:v>15.13208</x:v>
      </x:c>
      <x:c r="G322" s="10">
        <x:v>104.488403</x:v>
      </x:c>
      <x:c r="H322" s="7" t="s">
        <x:v>1548</x:v>
      </x:c>
      <x:c r="I322" s="10">
        <x:v>112.7</x:v>
      </x:c>
      <x:c r="J322" s="41"/>
      <x:c r="K322" s="41"/>
      <x:c r="L322" s="41"/>
      <x:c r="M322" s="10"/>
      <x:c r="N322" s="7" t="s">
        <x:v>2663</x:v>
      </x:c>
      <x:c r="O322" s="7" t="s">
        <x:v>1539</x:v>
      </x:c>
      <x:c r="P322" s="10">
        <x:v>3.0</x:v>
      </x:c>
      <x:c r="Q322" s="41"/>
      <x:c r="R322" s="10">
        <x:v>82.4</x:v>
      </x:c>
      <x:c r="S322" s="7" t="s">
        <x:v>301</x:v>
      </x:c>
      <x:c r="T322" s="7" t="b">
        <x:v>0</x:v>
      </x:c>
      <x:c r="U322" s="7" t="s">
        <x:v>1541</x:v>
      </x:c>
      <x:c r="V322" s="26" t="s">
        <x:v>1542</x:v>
      </x:c>
      <x:c r="W322" s="7" t="s">
        <x:v>2971</x:v>
      </x:c>
      <x:c r="X322" s="41"/>
      <x:c r="Y322" s="41"/>
      <x:c r="Z322" s="41"/>
    </x:row>
    <x:row r="323">
      <x:c r="A323" s="7" t="s">
        <x:v>2972</x:v>
      </x:c>
      <x:c r="B323" s="7" t="s">
        <x:v>2973</x:v>
      </x:c>
      <x:c r="C323" s="7" t="s">
        <x:v>2974</x:v>
      </x:c>
      <x:c r="D323" s="7" t="s">
        <x:v>118</x:v>
      </x:c>
      <x:c r="E323" s="7" t="s">
        <x:v>2393</x:v>
      </x:c>
      <x:c r="F323" s="10">
        <x:v>15.68157</x:v>
      </x:c>
      <x:c r="G323" s="10">
        <x:v>102.0095</x:v>
      </x:c>
      <x:c r="H323" s="7" t="s">
        <x:v>1554</x:v>
      </x:c>
      <x:c r="I323" s="10">
        <x:v>182.06</x:v>
      </x:c>
      <x:c r="J323" s="41"/>
      <x:c r="K323" s="41"/>
      <x:c r="L323" s="41"/>
      <x:c r="M323" s="10"/>
      <x:c r="N323" s="7" t="s">
        <x:v>2663</x:v>
      </x:c>
      <x:c r="O323" s="7" t="s">
        <x:v>1539</x:v>
      </x:c>
      <x:c r="P323" s="10">
        <x:v>3.0</x:v>
      </x:c>
      <x:c r="Q323" s="41"/>
      <x:c r="R323" s="10">
        <x:v>12.4</x:v>
      </x:c>
      <x:c r="S323" s="7" t="s">
        <x:v>1540</x:v>
      </x:c>
      <x:c r="T323" s="7" t="b">
        <x:v>0</x:v>
      </x:c>
      <x:c r="U323" s="7" t="s">
        <x:v>1541</x:v>
      </x:c>
      <x:c r="V323" s="26" t="s">
        <x:v>1542</x:v>
      </x:c>
      <x:c r="W323" s="7" t="s">
        <x:v>2975</x:v>
      </x:c>
      <x:c r="X323" s="41"/>
      <x:c r="Y323" s="41"/>
      <x:c r="Z323" s="41"/>
    </x:row>
    <x:row r="324">
      <x:c r="A324" s="7" t="s">
        <x:v>2976</x:v>
      </x:c>
      <x:c r="B324" s="7" t="s">
        <x:v>2977</x:v>
      </x:c>
      <x:c r="C324" s="7" t="s">
        <x:v>2978</x:v>
      </x:c>
      <x:c r="D324" s="7" t="s">
        <x:v>65</x:v>
      </x:c>
      <x:c r="E324" s="7"/>
      <x:c r="F324" s="10">
        <x:v>14.546983</x:v>
      </x:c>
      <x:c r="G324" s="10">
        <x:v>100.88976</x:v>
      </x:c>
      <x:c r="H324" s="7" t="s">
        <x:v>1554</x:v>
      </x:c>
      <x:c r="I324" s="10">
        <x:v>7.66</x:v>
      </x:c>
      <x:c r="J324" s="41"/>
      <x:c r="K324" s="41"/>
      <x:c r="L324" s="41"/>
      <x:c r="M324" s="10"/>
      <x:c r="N324" s="7" t="s">
        <x:v>2663</x:v>
      </x:c>
      <x:c r="O324" s="7" t="s">
        <x:v>1539</x:v>
      </x:c>
      <x:c r="P324" s="10">
        <x:v>3.0</x:v>
      </x:c>
      <x:c r="Q324" s="41"/>
      <x:c r="R324" s="10">
        <x:v>12.4</x:v>
      </x:c>
      <x:c r="S324" s="7" t="s">
        <x:v>1540</x:v>
      </x:c>
      <x:c r="T324" s="7" t="b">
        <x:v>0</x:v>
      </x:c>
      <x:c r="U324" s="7" t="s">
        <x:v>1541</x:v>
      </x:c>
      <x:c r="V324" s="26" t="s">
        <x:v>1542</x:v>
      </x:c>
      <x:c r="W324" s="7" t="s">
        <x:v>2979</x:v>
      </x:c>
      <x:c r="X324" s="41"/>
      <x:c r="Y324" s="41"/>
      <x:c r="Z324" s="41"/>
    </x:row>
    <x:row r="325">
      <x:c r="A325" s="7" t="s">
        <x:v>2980</x:v>
      </x:c>
      <x:c r="B325" s="7" t="s">
        <x:v>2981</x:v>
      </x:c>
      <x:c r="C325" s="7" t="s">
        <x:v>2982</x:v>
      </x:c>
      <x:c r="D325" s="7" t="s">
        <x:v>65</x:v>
      </x:c>
      <x:c r="E325" s="7" t="s">
        <x:v>1703</x:v>
      </x:c>
      <x:c r="F325" s="10">
        <x:v>14.55752</x:v>
      </x:c>
      <x:c r="G325" s="10">
        <x:v>100.924217</x:v>
      </x:c>
      <x:c r="H325" s="7" t="s">
        <x:v>1548</x:v>
      </x:c>
      <x:c r="I325" s="10">
        <x:v>8.13</x:v>
      </x:c>
      <x:c r="J325" s="41"/>
      <x:c r="K325" s="41"/>
      <x:c r="L325" s="41"/>
      <x:c r="M325" s="10"/>
      <x:c r="N325" s="7" t="s">
        <x:v>2663</x:v>
      </x:c>
      <x:c r="O325" s="7" t="s">
        <x:v>1539</x:v>
      </x:c>
      <x:c r="P325" s="10">
        <x:v>3.0</x:v>
      </x:c>
      <x:c r="Q325" s="41"/>
      <x:c r="R325" s="10">
        <x:v>82.4</x:v>
      </x:c>
      <x:c r="S325" s="7" t="s">
        <x:v>301</x:v>
      </x:c>
      <x:c r="T325" s="7" t="b">
        <x:v>0</x:v>
      </x:c>
      <x:c r="U325" s="7" t="s">
        <x:v>1541</x:v>
      </x:c>
      <x:c r="V325" s="26" t="s">
        <x:v>1542</x:v>
      </x:c>
      <x:c r="W325" s="7" t="s">
        <x:v>2983</x:v>
      </x:c>
      <x:c r="X325" s="41"/>
      <x:c r="Y325" s="41"/>
      <x:c r="Z325" s="41"/>
    </x:row>
    <x:row r="326">
      <x:c r="A326" s="7" t="s">
        <x:v>2984</x:v>
      </x:c>
      <x:c r="B326" s="7" t="s">
        <x:v>2985</x:v>
      </x:c>
      <x:c r="C326" s="7" t="s">
        <x:v>2986</x:v>
      </x:c>
      <x:c r="D326" s="7" t="s">
        <x:v>217</x:v>
      </x:c>
      <x:c r="E326" s="7" t="s">
        <x:v>2987</x:v>
      </x:c>
      <x:c r="F326" s="10">
        <x:v>17.074213</x:v>
      </x:c>
      <x:c r="G326" s="10">
        <x:v>100.00566</x:v>
      </x:c>
      <x:c r="H326" s="7" t="s">
        <x:v>1554</x:v>
      </x:c>
      <x:c r="I326" s="10">
        <x:v>44.32</x:v>
      </x:c>
      <x:c r="J326" s="41"/>
      <x:c r="K326" s="41"/>
      <x:c r="L326" s="41"/>
      <x:c r="M326" s="41"/>
      <x:c r="N326" s="7" t="s">
        <x:v>2663</x:v>
      </x:c>
      <x:c r="O326" s="7" t="s">
        <x:v>1539</x:v>
      </x:c>
      <x:c r="P326" s="10">
        <x:v>3.0</x:v>
      </x:c>
      <x:c r="Q326" s="41"/>
      <x:c r="R326" s="10">
        <x:v>12.4</x:v>
      </x:c>
      <x:c r="S326" s="7" t="s">
        <x:v>1540</x:v>
      </x:c>
      <x:c r="T326" s="7" t="b">
        <x:v>0</x:v>
      </x:c>
      <x:c r="U326" s="7" t="s">
        <x:v>1541</x:v>
      </x:c>
      <x:c r="V326" s="26" t="s">
        <x:v>1542</x:v>
      </x:c>
      <x:c r="W326" s="7" t="s">
        <x:v>2988</x:v>
      </x:c>
      <x:c r="X326" s="41"/>
      <x:c r="Y326" s="41"/>
      <x:c r="Z326" s="41"/>
    </x:row>
    <x:row r="327">
      <x:c r="A327" s="7" t="s">
        <x:v>2989</x:v>
      </x:c>
      <x:c r="B327" s="7" t="s">
        <x:v>2990</x:v>
      </x:c>
      <x:c r="C327" s="7" t="s">
        <x:v>2991</x:v>
      </x:c>
      <x:c r="D327" s="7" t="s">
        <x:v>248</x:v>
      </x:c>
      <x:c r="E327" s="7" t="s">
        <x:v>2992</x:v>
      </x:c>
      <x:c r="F327" s="10">
        <x:v>8.786868</x:v>
      </x:c>
      <x:c r="G327" s="10">
        <x:v>99.911316</x:v>
      </x:c>
      <x:c r="H327" s="7" t="s">
        <x:v>1554</x:v>
      </x:c>
      <x:c r="I327" s="10">
        <x:v>0.59</x:v>
      </x:c>
      <x:c r="J327" s="41"/>
      <x:c r="K327" s="41"/>
      <x:c r="L327" s="41"/>
      <x:c r="M327" s="41"/>
      <x:c r="N327" s="7" t="s">
        <x:v>2663</x:v>
      </x:c>
      <x:c r="O327" s="7" t="s">
        <x:v>1539</x:v>
      </x:c>
      <x:c r="P327" s="10">
        <x:v>3.0</x:v>
      </x:c>
      <x:c r="Q327" s="41"/>
      <x:c r="R327" s="10">
        <x:v>12.4</x:v>
      </x:c>
      <x:c r="S327" s="7" t="s">
        <x:v>1540</x:v>
      </x:c>
      <x:c r="T327" s="7" t="b">
        <x:v>0</x:v>
      </x:c>
      <x:c r="U327" s="7" t="s">
        <x:v>1541</x:v>
      </x:c>
      <x:c r="V327" s="26" t="s">
        <x:v>1542</x:v>
      </x:c>
      <x:c r="W327" s="7" t="s">
        <x:v>2993</x:v>
      </x:c>
      <x:c r="X327" s="41"/>
      <x:c r="Y327" s="41"/>
      <x:c r="Z327" s="41"/>
    </x:row>
    <x:row r="328">
      <x:c r="A328" s="7" t="s">
        <x:v>2994</x:v>
      </x:c>
      <x:c r="B328" s="7" t="s">
        <x:v>2995</x:v>
      </x:c>
      <x:c r="C328" s="7" t="s">
        <x:v>2996</x:v>
      </x:c>
      <x:c r="D328" s="7" t="s">
        <x:v>255</x:v>
      </x:c>
      <x:c r="E328" s="7" t="s">
        <x:v>2997</x:v>
      </x:c>
      <x:c r="F328" s="10">
        <x:v>7.079418</x:v>
      </x:c>
      <x:c r="G328" s="10">
        <x:v>100.42788</x:v>
      </x:c>
      <x:c r="H328" s="7" t="s">
        <x:v>1554</x:v>
      </x:c>
      <x:c r="I328" s="10">
        <x:v>0.21</x:v>
      </x:c>
      <x:c r="J328" s="41"/>
      <x:c r="K328" s="41"/>
      <x:c r="L328" s="41"/>
      <x:c r="M328" s="41"/>
      <x:c r="N328" s="7" t="s">
        <x:v>2663</x:v>
      </x:c>
      <x:c r="O328" s="7" t="s">
        <x:v>1539</x:v>
      </x:c>
      <x:c r="P328" s="10">
        <x:v>3.0</x:v>
      </x:c>
      <x:c r="Q328" s="41"/>
      <x:c r="R328" s="10">
        <x:v>12.4</x:v>
      </x:c>
      <x:c r="S328" s="7" t="s">
        <x:v>1540</x:v>
      </x:c>
      <x:c r="T328" s="7" t="b">
        <x:v>0</x:v>
      </x:c>
      <x:c r="U328" s="7" t="s">
        <x:v>1541</x:v>
      </x:c>
      <x:c r="V328" s="26" t="s">
        <x:v>1542</x:v>
      </x:c>
      <x:c r="W328" s="7" t="s">
        <x:v>2998</x:v>
      </x:c>
      <x:c r="X328" s="41"/>
      <x:c r="Y328" s="41"/>
      <x:c r="Z328" s="41"/>
    </x:row>
    <x:row r="329">
      <x:c r="A329" s="7" t="s">
        <x:v>2999</x:v>
      </x:c>
      <x:c r="B329" s="7" t="s">
        <x:v>3000</x:v>
      </x:c>
      <x:c r="C329" s="7" t="s">
        <x:v>3001</x:v>
      </x:c>
      <x:c r="D329" s="7" t="s">
        <x:v>27</x:v>
      </x:c>
      <x:c r="E329" s="7"/>
      <x:c r="F329" s="10">
        <x:v>17.185375</x:v>
      </x:c>
      <x:c r="G329" s="10">
        <x:v>100.68031</x:v>
      </x:c>
      <x:c r="H329" s="7" t="s">
        <x:v>1554</x:v>
      </x:c>
      <x:c r="I329" s="10">
        <x:v>183.71</x:v>
      </x:c>
      <x:c r="J329" s="41"/>
      <x:c r="K329" s="41"/>
      <x:c r="L329" s="41"/>
      <x:c r="M329" s="41"/>
      <x:c r="N329" s="7" t="s">
        <x:v>2663</x:v>
      </x:c>
      <x:c r="O329" s="7" t="s">
        <x:v>1539</x:v>
      </x:c>
      <x:c r="P329" s="10">
        <x:v>3.0</x:v>
      </x:c>
      <x:c r="Q329" s="41"/>
      <x:c r="R329" s="10">
        <x:v>12.4</x:v>
      </x:c>
      <x:c r="S329" s="7" t="s">
        <x:v>1540</x:v>
      </x:c>
      <x:c r="T329" s="7" t="b">
        <x:v>0</x:v>
      </x:c>
      <x:c r="U329" s="7" t="s">
        <x:v>1541</x:v>
      </x:c>
      <x:c r="V329" s="26" t="s">
        <x:v>1542</x:v>
      </x:c>
      <x:c r="W329" s="7" t="s">
        <x:v>3002</x:v>
      </x:c>
      <x:c r="X329" s="41"/>
      <x:c r="Y329" s="41"/>
      <x:c r="Z329" s="41"/>
    </x:row>
    <x:row r="330">
      <x:c r="A330" s="7" t="s">
        <x:v>3003</x:v>
      </x:c>
      <x:c r="B330" s="7" t="s">
        <x:v>3004</x:v>
      </x:c>
      <x:c r="C330" s="7" t="s">
        <x:v>3005</x:v>
      </x:c>
      <x:c r="D330" s="7" t="s">
        <x:v>128</x:v>
      </x:c>
      <x:c r="E330" s="7" t="s">
        <x:v>3006</x:v>
      </x:c>
      <x:c r="F330" s="10">
        <x:v>13.74325</x:v>
      </x:c>
      <x:c r="G330" s="10">
        <x:v>100.562164</x:v>
      </x:c>
      <x:c r="H330" s="7" t="s">
        <x:v>1554</x:v>
      </x:c>
      <x:c r="I330" s="10">
        <x:v>1.6</x:v>
      </x:c>
      <x:c r="J330" s="41"/>
      <x:c r="K330" s="41"/>
      <x:c r="L330" s="41"/>
      <x:c r="M330" s="41"/>
      <x:c r="N330" s="7" t="s">
        <x:v>2663</x:v>
      </x:c>
      <x:c r="O330" s="7" t="s">
        <x:v>1539</x:v>
      </x:c>
      <x:c r="P330" s="10">
        <x:v>3.0</x:v>
      </x:c>
      <x:c r="Q330" s="41"/>
      <x:c r="R330" s="10">
        <x:v>12.4</x:v>
      </x:c>
      <x:c r="S330" s="7" t="s">
        <x:v>1540</x:v>
      </x:c>
      <x:c r="T330" s="7" t="b">
        <x:v>0</x:v>
      </x:c>
      <x:c r="U330" s="7" t="s">
        <x:v>1541</x:v>
      </x:c>
      <x:c r="V330" s="26" t="s">
        <x:v>1542</x:v>
      </x:c>
      <x:c r="W330" s="7" t="s">
        <x:v>3007</x:v>
      </x:c>
      <x:c r="X330" s="41"/>
      <x:c r="Y330" s="41"/>
      <x:c r="Z330" s="41"/>
    </x:row>
    <x:row r="331">
      <x:c r="A331" s="7" t="s">
        <x:v>3008</x:v>
      </x:c>
      <x:c r="B331" s="7" t="s">
        <x:v>3009</x:v>
      </x:c>
      <x:c r="C331" s="7" t="s">
        <x:v>3010</x:v>
      </x:c>
      <x:c r="D331" s="7" t="s">
        <x:v>255</x:v>
      </x:c>
      <x:c r="E331" s="7" t="s">
        <x:v>2060</x:v>
      </x:c>
      <x:c r="F331" s="10">
        <x:v>6.79663</x:v>
      </x:c>
      <x:c r="G331" s="10">
        <x:v>100.442337</x:v>
      </x:c>
      <x:c r="H331" s="7" t="s">
        <x:v>1548</x:v>
      </x:c>
      <x:c r="I331" s="10">
        <x:v>10.93</x:v>
      </x:c>
      <x:c r="J331" s="41"/>
      <x:c r="K331" s="41"/>
      <x:c r="L331" s="41"/>
      <x:c r="M331" s="10"/>
      <x:c r="N331" s="7" t="s">
        <x:v>2663</x:v>
      </x:c>
      <x:c r="O331" s="7" t="s">
        <x:v>1539</x:v>
      </x:c>
      <x:c r="P331" s="10">
        <x:v>3.0</x:v>
      </x:c>
      <x:c r="Q331" s="41"/>
      <x:c r="R331" s="10">
        <x:v>82.4</x:v>
      </x:c>
      <x:c r="S331" s="7" t="s">
        <x:v>301</x:v>
      </x:c>
      <x:c r="T331" s="7" t="b">
        <x:v>0</x:v>
      </x:c>
      <x:c r="U331" s="7" t="s">
        <x:v>1541</x:v>
      </x:c>
      <x:c r="V331" s="26" t="s">
        <x:v>1542</x:v>
      </x:c>
      <x:c r="W331" s="7" t="s">
        <x:v>3011</x:v>
      </x:c>
      <x:c r="X331" s="41"/>
      <x:c r="Y331" s="41"/>
      <x:c r="Z331" s="41"/>
    </x:row>
    <x:row r="332">
      <x:c r="A332" s="7" t="s">
        <x:v>3012</x:v>
      </x:c>
      <x:c r="B332" s="7" t="s">
        <x:v>3013</x:v>
      </x:c>
      <x:c r="C332" s="7" t="s">
        <x:v>3014</x:v>
      </x:c>
      <x:c r="D332" s="7" t="s">
        <x:v>257</x:v>
      </x:c>
      <x:c r="E332" s="7" t="s">
        <x:v>2724</x:v>
      </x:c>
      <x:c r="F332" s="10">
        <x:v>7.555884</x:v>
      </x:c>
      <x:c r="G332" s="10">
        <x:v>99.57825</x:v>
      </x:c>
      <x:c r="H332" s="7" t="s">
        <x:v>1554</x:v>
      </x:c>
      <x:c r="I332" s="10">
        <x:v>1.05</x:v>
      </x:c>
      <x:c r="J332" s="41"/>
      <x:c r="K332" s="41"/>
      <x:c r="L332" s="41"/>
      <x:c r="M332" s="10"/>
      <x:c r="N332" s="7" t="s">
        <x:v>2663</x:v>
      </x:c>
      <x:c r="O332" s="7" t="s">
        <x:v>1539</x:v>
      </x:c>
      <x:c r="P332" s="10">
        <x:v>3.0</x:v>
      </x:c>
      <x:c r="Q332" s="41"/>
      <x:c r="R332" s="10">
        <x:v>12.4</x:v>
      </x:c>
      <x:c r="S332" s="7" t="s">
        <x:v>1540</x:v>
      </x:c>
      <x:c r="T332" s="7" t="b">
        <x:v>0</x:v>
      </x:c>
      <x:c r="U332" s="7" t="s">
        <x:v>1541</x:v>
      </x:c>
      <x:c r="V332" s="26" t="s">
        <x:v>1542</x:v>
      </x:c>
      <x:c r="W332" s="7" t="s">
        <x:v>3015</x:v>
      </x:c>
      <x:c r="X332" s="41"/>
      <x:c r="Y332" s="41"/>
      <x:c r="Z332" s="41"/>
    </x:row>
    <x:row r="333">
      <x:c r="A333" s="7" t="s">
        <x:v>3016</x:v>
      </x:c>
      <x:c r="B333" s="7" t="s">
        <x:v>3017</x:v>
      </x:c>
      <x:c r="C333" s="7" t="s">
        <x:v>3018</x:v>
      </x:c>
      <x:c r="D333" s="7" t="s">
        <x:v>242</x:v>
      </x:c>
      <x:c r="E333" s="7" t="s">
        <x:v>2467</x:v>
      </x:c>
      <x:c r="F333" s="10">
        <x:v>15.50299</x:v>
      </x:c>
      <x:c r="G333" s="10">
        <x:v>104.595444</x:v>
      </x:c>
      <x:c r="H333" s="7" t="s">
        <x:v>1548</x:v>
      </x:c>
      <x:c r="I333" s="10">
        <x:v>115.44</x:v>
      </x:c>
      <x:c r="J333" s="41"/>
      <x:c r="K333" s="41"/>
      <x:c r="L333" s="41"/>
      <x:c r="M333" s="41"/>
      <x:c r="N333" s="7" t="s">
        <x:v>2663</x:v>
      </x:c>
      <x:c r="O333" s="7" t="s">
        <x:v>1539</x:v>
      </x:c>
      <x:c r="P333" s="10">
        <x:v>3.0</x:v>
      </x:c>
      <x:c r="Q333" s="41"/>
      <x:c r="R333" s="10">
        <x:v>82.4</x:v>
      </x:c>
      <x:c r="S333" s="7" t="s">
        <x:v>301</x:v>
      </x:c>
      <x:c r="T333" s="7" t="b">
        <x:v>0</x:v>
      </x:c>
      <x:c r="U333" s="7" t="s">
        <x:v>1541</x:v>
      </x:c>
      <x:c r="V333" s="26" t="s">
        <x:v>1542</x:v>
      </x:c>
      <x:c r="W333" s="7" t="s">
        <x:v>3019</x:v>
      </x:c>
      <x:c r="X333" s="41"/>
      <x:c r="Y333" s="41"/>
      <x:c r="Z333" s="41"/>
    </x:row>
    <x:row r="334">
      <x:c r="A334" s="7" t="s">
        <x:v>3020</x:v>
      </x:c>
      <x:c r="B334" s="7" t="s">
        <x:v>3021</x:v>
      </x:c>
      <x:c r="C334" s="7" t="s">
        <x:v>3022</x:v>
      </x:c>
      <x:c r="D334" s="7" t="s">
        <x:v>207</x:v>
      </x:c>
      <x:c r="E334" s="7" t="s">
        <x:v>2074</x:v>
      </x:c>
      <x:c r="F334" s="10">
        <x:v>18.25341</x:v>
      </x:c>
      <x:c r="G334" s="10">
        <x:v>98.641411</x:v>
      </x:c>
      <x:c r="H334" s="7" t="s">
        <x:v>1548</x:v>
      </x:c>
      <x:c r="I334" s="10">
        <x:v>260.11</x:v>
      </x:c>
      <x:c r="J334" s="41"/>
      <x:c r="K334" s="41"/>
      <x:c r="L334" s="41"/>
      <x:c r="M334" s="41"/>
      <x:c r="N334" s="7" t="s">
        <x:v>2663</x:v>
      </x:c>
      <x:c r="O334" s="7" t="s">
        <x:v>1539</x:v>
      </x:c>
      <x:c r="P334" s="10">
        <x:v>3.0</x:v>
      </x:c>
      <x:c r="Q334" s="41"/>
      <x:c r="R334" s="10">
        <x:v>82.4</x:v>
      </x:c>
      <x:c r="S334" s="7" t="s">
        <x:v>301</x:v>
      </x:c>
      <x:c r="T334" s="7" t="b">
        <x:v>0</x:v>
      </x:c>
      <x:c r="U334" s="7" t="s">
        <x:v>1541</x:v>
      </x:c>
      <x:c r="V334" s="26" t="s">
        <x:v>1542</x:v>
      </x:c>
      <x:c r="W334" s="7" t="s">
        <x:v>3023</x:v>
      </x:c>
      <x:c r="X334" s="41"/>
      <x:c r="Y334" s="41"/>
      <x:c r="Z334" s="41"/>
    </x:row>
    <x:row r="335">
      <x:c r="A335" s="7" t="s">
        <x:v>3024</x:v>
      </x:c>
      <x:c r="B335" s="7" t="s">
        <x:v>3025</x:v>
      </x:c>
      <x:c r="C335" s="7" t="s">
        <x:v>3026</x:v>
      </x:c>
      <x:c r="D335" s="7" t="s">
        <x:v>255</x:v>
      </x:c>
      <x:c r="E335" s="7" t="s">
        <x:v>3027</x:v>
      </x:c>
      <x:c r="F335" s="10">
        <x:v>7.182746</x:v>
      </x:c>
      <x:c r="G335" s="10">
        <x:v>100.59448</x:v>
      </x:c>
      <x:c r="H335" s="7" t="s">
        <x:v>1554</x:v>
      </x:c>
      <x:c r="I335" s="10">
        <x:v>0.18</x:v>
      </x:c>
      <x:c r="J335" s="41"/>
      <x:c r="K335" s="41"/>
      <x:c r="L335" s="41"/>
      <x:c r="M335" s="10"/>
      <x:c r="N335" s="7" t="s">
        <x:v>2663</x:v>
      </x:c>
      <x:c r="O335" s="7" t="s">
        <x:v>1539</x:v>
      </x:c>
      <x:c r="P335" s="10">
        <x:v>3.0</x:v>
      </x:c>
      <x:c r="Q335" s="41"/>
      <x:c r="R335" s="10">
        <x:v>12.4</x:v>
      </x:c>
      <x:c r="S335" s="7" t="s">
        <x:v>1540</x:v>
      </x:c>
      <x:c r="T335" s="7" t="b">
        <x:v>0</x:v>
      </x:c>
      <x:c r="U335" s="7" t="s">
        <x:v>1541</x:v>
      </x:c>
      <x:c r="V335" s="26" t="s">
        <x:v>1542</x:v>
      </x:c>
      <x:c r="W335" s="7" t="s">
        <x:v>3028</x:v>
      </x:c>
      <x:c r="X335" s="41"/>
      <x:c r="Y335" s="41"/>
      <x:c r="Z335" s="41"/>
    </x:row>
    <x:row r="336">
      <x:c r="A336" s="7" t="s">
        <x:v>3029</x:v>
      </x:c>
      <x:c r="B336" s="7" t="s">
        <x:v>3030</x:v>
      </x:c>
      <x:c r="C336" s="7" t="s">
        <x:v>3031</x:v>
      </x:c>
      <x:c r="D336" s="7" t="s">
        <x:v>216</x:v>
      </x:c>
      <x:c r="E336" s="7" t="s">
        <x:v>3032</x:v>
      </x:c>
      <x:c r="F336" s="10">
        <x:v>17.463362</x:v>
      </x:c>
      <x:c r="G336" s="10">
        <x:v>100.23722</x:v>
      </x:c>
      <x:c r="H336" s="7" t="s">
        <x:v>1554</x:v>
      </x:c>
      <x:c r="I336" s="10">
        <x:v>62.78</x:v>
      </x:c>
      <x:c r="J336" s="41"/>
      <x:c r="K336" s="41"/>
      <x:c r="L336" s="41"/>
      <x:c r="M336" s="41"/>
      <x:c r="N336" s="7" t="s">
        <x:v>2663</x:v>
      </x:c>
      <x:c r="O336" s="7" t="s">
        <x:v>1539</x:v>
      </x:c>
      <x:c r="P336" s="10">
        <x:v>3.0</x:v>
      </x:c>
      <x:c r="Q336" s="41"/>
      <x:c r="R336" s="10">
        <x:v>12.4</x:v>
      </x:c>
      <x:c r="S336" s="7" t="s">
        <x:v>1540</x:v>
      </x:c>
      <x:c r="T336" s="7" t="b">
        <x:v>0</x:v>
      </x:c>
      <x:c r="U336" s="7" t="s">
        <x:v>1541</x:v>
      </x:c>
      <x:c r="V336" s="26" t="s">
        <x:v>1542</x:v>
      </x:c>
      <x:c r="W336" s="7" t="s">
        <x:v>3033</x:v>
      </x:c>
      <x:c r="X336" s="41"/>
      <x:c r="Y336" s="41"/>
      <x:c r="Z336" s="41"/>
    </x:row>
    <x:row r="337">
      <x:c r="A337" s="7" t="s">
        <x:v>3034</x:v>
      </x:c>
      <x:c r="B337" s="7" t="s">
        <x:v>3035</x:v>
      </x:c>
      <x:c r="C337" s="7" t="s">
        <x:v>3036</x:v>
      </x:c>
      <x:c r="D337" s="7" t="s">
        <x:v>122</x:v>
      </x:c>
      <x:c r="E337" s="7" t="s">
        <x:v>3037</x:v>
      </x:c>
      <x:c r="F337" s="10">
        <x:v>14.63599</x:v>
      </x:c>
      <x:c r="G337" s="10">
        <x:v>101.884697</x:v>
      </x:c>
      <x:c r="H337" s="7" t="s">
        <x:v>1548</x:v>
      </x:c>
      <x:c r="I337" s="10">
        <x:v>222.41</x:v>
      </x:c>
      <x:c r="J337" s="41"/>
      <x:c r="K337" s="41"/>
      <x:c r="L337" s="41"/>
      <x:c r="M337" s="41"/>
      <x:c r="N337" s="7" t="s">
        <x:v>2663</x:v>
      </x:c>
      <x:c r="O337" s="7" t="s">
        <x:v>1539</x:v>
      </x:c>
      <x:c r="P337" s="10">
        <x:v>3.0</x:v>
      </x:c>
      <x:c r="Q337" s="41"/>
      <x:c r="R337" s="10">
        <x:v>82.4</x:v>
      </x:c>
      <x:c r="S337" s="7" t="s">
        <x:v>301</x:v>
      </x:c>
      <x:c r="T337" s="7" t="b">
        <x:v>0</x:v>
      </x:c>
      <x:c r="U337" s="7" t="s">
        <x:v>1541</x:v>
      </x:c>
      <x:c r="V337" s="26" t="s">
        <x:v>1542</x:v>
      </x:c>
      <x:c r="W337" s="7" t="s">
        <x:v>3038</x:v>
      </x:c>
      <x:c r="X337" s="41"/>
      <x:c r="Y337" s="41"/>
      <x:c r="Z337" s="41"/>
    </x:row>
    <x:row r="338">
      <x:c r="A338" s="7" t="s">
        <x:v>3039</x:v>
      </x:c>
      <x:c r="B338" s="7" t="s">
        <x:v>3040</x:v>
      </x:c>
      <x:c r="C338" s="7" t="s">
        <x:v>3041</x:v>
      </x:c>
      <x:c r="D338" s="7" t="s">
        <x:v>238</x:v>
      </x:c>
      <x:c r="E338" s="7" t="s">
        <x:v>3042</x:v>
      </x:c>
      <x:c r="F338" s="10">
        <x:v>17.57572</x:v>
      </x:c>
      <x:c r="G338" s="10">
        <x:v>102.273346</x:v>
      </x:c>
      <x:c r="H338" s="7" t="s">
        <x:v>1554</x:v>
      </x:c>
      <x:c r="I338" s="10">
        <x:v>198.0</x:v>
      </x:c>
      <x:c r="J338" s="41"/>
      <x:c r="K338" s="41"/>
      <x:c r="L338" s="41"/>
      <x:c r="M338" s="41"/>
      <x:c r="N338" s="7" t="s">
        <x:v>2663</x:v>
      </x:c>
      <x:c r="O338" s="7" t="s">
        <x:v>1539</x:v>
      </x:c>
      <x:c r="P338" s="10">
        <x:v>3.0</x:v>
      </x:c>
      <x:c r="Q338" s="41"/>
      <x:c r="R338" s="10">
        <x:v>12.4</x:v>
      </x:c>
      <x:c r="S338" s="7" t="s">
        <x:v>1540</x:v>
      </x:c>
      <x:c r="T338" s="7" t="b">
        <x:v>0</x:v>
      </x:c>
      <x:c r="U338" s="7" t="s">
        <x:v>1541</x:v>
      </x:c>
      <x:c r="V338" s="26" t="s">
        <x:v>1542</x:v>
      </x:c>
      <x:c r="W338" s="7" t="s">
        <x:v>3043</x:v>
      </x:c>
      <x:c r="X338" s="41"/>
      <x:c r="Y338" s="41"/>
      <x:c r="Z338" s="41"/>
    </x:row>
    <x:row r="339">
      <x:c r="A339" s="7" t="s">
        <x:v>3044</x:v>
      </x:c>
      <x:c r="B339" s="7" t="s">
        <x:v>3045</x:v>
      </x:c>
      <x:c r="C339" s="7" t="s">
        <x:v>3046</x:v>
      </x:c>
      <x:c r="D339" s="7" t="s">
        <x:v>235</x:v>
      </x:c>
      <x:c r="E339" s="7" t="s">
        <x:v>1982</x:v>
      </x:c>
      <x:c r="F339" s="10">
        <x:v>17.67484</x:v>
      </x:c>
      <x:c r="G339" s="10">
        <x:v>104.28581</x:v>
      </x:c>
      <x:c r="H339" s="7" t="s">
        <x:v>1554</x:v>
      </x:c>
      <x:c r="I339" s="10">
        <x:v>138.17</x:v>
      </x:c>
      <x:c r="J339" s="41"/>
      <x:c r="K339" s="41"/>
      <x:c r="L339" s="41"/>
      <x:c r="M339" s="41"/>
      <x:c r="N339" s="7" t="s">
        <x:v>2663</x:v>
      </x:c>
      <x:c r="O339" s="7" t="s">
        <x:v>1539</x:v>
      </x:c>
      <x:c r="P339" s="10">
        <x:v>3.0</x:v>
      </x:c>
      <x:c r="Q339" s="41"/>
      <x:c r="R339" s="10">
        <x:v>12.4</x:v>
      </x:c>
      <x:c r="S339" s="7" t="s">
        <x:v>1540</x:v>
      </x:c>
      <x:c r="T339" s="7" t="b">
        <x:v>0</x:v>
      </x:c>
      <x:c r="U339" s="7" t="s">
        <x:v>1541</x:v>
      </x:c>
      <x:c r="V339" s="26" t="s">
        <x:v>1542</x:v>
      </x:c>
      <x:c r="W339" s="7" t="s">
        <x:v>3047</x:v>
      </x:c>
      <x:c r="X339" s="41"/>
      <x:c r="Y339" s="41"/>
      <x:c r="Z339" s="41"/>
    </x:row>
    <x:row r="340">
      <x:c r="A340" s="7" t="s">
        <x:v>3048</x:v>
      </x:c>
      <x:c r="B340" s="7" t="s">
        <x:v>3049</x:v>
      </x:c>
      <x:c r="C340" s="7" t="s">
        <x:v>3050</x:v>
      </x:c>
      <x:c r="D340" s="7" t="s">
        <x:v>257</x:v>
      </x:c>
      <x:c r="E340" s="7" t="s">
        <x:v>3051</x:v>
      </x:c>
      <x:c r="F340" s="10">
        <x:v>7.32009</x:v>
      </x:c>
      <x:c r="G340" s="10">
        <x:v>99.7957</x:v>
      </x:c>
      <x:c r="H340" s="7" t="s">
        <x:v>1548</x:v>
      </x:c>
      <x:c r="I340" s="10">
        <x:v>21.59</x:v>
      </x:c>
      <x:c r="J340" s="41"/>
      <x:c r="K340" s="41"/>
      <x:c r="L340" s="41"/>
      <x:c r="M340" s="41"/>
      <x:c r="N340" s="7" t="s">
        <x:v>2663</x:v>
      </x:c>
      <x:c r="O340" s="7" t="s">
        <x:v>1539</x:v>
      </x:c>
      <x:c r="P340" s="10">
        <x:v>3.0</x:v>
      </x:c>
      <x:c r="Q340" s="41"/>
      <x:c r="R340" s="10">
        <x:v>82.4</x:v>
      </x:c>
      <x:c r="S340" s="7" t="s">
        <x:v>301</x:v>
      </x:c>
      <x:c r="T340" s="7" t="b">
        <x:v>0</x:v>
      </x:c>
      <x:c r="U340" s="7" t="s">
        <x:v>1541</x:v>
      </x:c>
      <x:c r="V340" s="26" t="s">
        <x:v>1542</x:v>
      </x:c>
      <x:c r="W340" s="7" t="s">
        <x:v>3052</x:v>
      </x:c>
      <x:c r="X340" s="41"/>
      <x:c r="Y340" s="41"/>
      <x:c r="Z340" s="41"/>
    </x:row>
    <x:row r="341">
      <x:c r="A341" s="7" t="s">
        <x:v>3053</x:v>
      </x:c>
      <x:c r="B341" s="7" t="s">
        <x:v>3054</x:v>
      </x:c>
      <x:c r="C341" s="7" t="s">
        <x:v>3055</x:v>
      </x:c>
      <x:c r="D341" s="7" t="s">
        <x:v>207</x:v>
      </x:c>
      <x:c r="E341" s="7" t="s">
        <x:v>3056</x:v>
      </x:c>
      <x:c r="F341" s="10">
        <x:v>20.014154</x:v>
      </x:c>
      <x:c r="G341" s="10">
        <x:v>99.26691</x:v>
      </x:c>
      <x:c r="H341" s="7" t="s">
        <x:v>1554</x:v>
      </x:c>
      <x:c r="I341" s="10">
        <x:v>459.69</x:v>
      </x:c>
      <x:c r="J341" s="41"/>
      <x:c r="K341" s="41"/>
      <x:c r="L341" s="41"/>
      <x:c r="M341" s="41"/>
      <x:c r="N341" s="7" t="s">
        <x:v>2663</x:v>
      </x:c>
      <x:c r="O341" s="7" t="s">
        <x:v>1539</x:v>
      </x:c>
      <x:c r="P341" s="10">
        <x:v>3.0</x:v>
      </x:c>
      <x:c r="Q341" s="41"/>
      <x:c r="R341" s="10">
        <x:v>12.4</x:v>
      </x:c>
      <x:c r="S341" s="7" t="s">
        <x:v>1540</x:v>
      </x:c>
      <x:c r="T341" s="7" t="b">
        <x:v>0</x:v>
      </x:c>
      <x:c r="U341" s="7" t="s">
        <x:v>1541</x:v>
      </x:c>
      <x:c r="V341" s="26" t="s">
        <x:v>1542</x:v>
      </x:c>
      <x:c r="W341" s="7" t="s">
        <x:v>3057</x:v>
      </x:c>
      <x:c r="X341" s="41"/>
      <x:c r="Y341" s="41"/>
      <x:c r="Z341" s="41"/>
    </x:row>
    <x:row r="342">
      <x:c r="A342" s="7" t="s">
        <x:v>3058</x:v>
      </x:c>
      <x:c r="B342" s="7" t="s">
        <x:v>3059</x:v>
      </x:c>
      <x:c r="C342" s="7" t="s">
        <x:v>3060</x:v>
      </x:c>
      <x:c r="D342" s="7" t="s">
        <x:v>104</x:v>
      </x:c>
      <x:c r="E342" s="7" t="s">
        <x:v>2133</x:v>
      </x:c>
      <x:c r="F342" s="10">
        <x:v>12.849195</x:v>
      </x:c>
      <x:c r="G342" s="10">
        <x:v>101.301346</x:v>
      </x:c>
      <x:c r="H342" s="7" t="s">
        <x:v>1554</x:v>
      </x:c>
      <x:c r="I342" s="10">
        <x:v>12.78</x:v>
      </x:c>
      <x:c r="J342" s="41"/>
      <x:c r="K342" s="41"/>
      <x:c r="L342" s="41"/>
      <x:c r="M342" s="41"/>
      <x:c r="N342" s="7" t="s">
        <x:v>2663</x:v>
      </x:c>
      <x:c r="O342" s="7" t="s">
        <x:v>1539</x:v>
      </x:c>
      <x:c r="P342" s="10">
        <x:v>3.0</x:v>
      </x:c>
      <x:c r="Q342" s="41"/>
      <x:c r="R342" s="10">
        <x:v>12.4</x:v>
      </x:c>
      <x:c r="S342" s="7" t="s">
        <x:v>1540</x:v>
      </x:c>
      <x:c r="T342" s="7" t="b">
        <x:v>0</x:v>
      </x:c>
      <x:c r="U342" s="7" t="s">
        <x:v>1541</x:v>
      </x:c>
      <x:c r="V342" s="26" t="s">
        <x:v>1542</x:v>
      </x:c>
      <x:c r="W342" s="7" t="s">
        <x:v>3061</x:v>
      </x:c>
      <x:c r="X342" s="41"/>
      <x:c r="Y342" s="41"/>
      <x:c r="Z342" s="41"/>
    </x:row>
    <x:row r="343">
      <x:c r="A343" s="7" t="s">
        <x:v>3062</x:v>
      </x:c>
      <x:c r="B343" s="7" t="s">
        <x:v>3063</x:v>
      </x:c>
      <x:c r="C343" s="7" t="s">
        <x:v>3064</x:v>
      </x:c>
      <x:c r="D343" s="7" t="s">
        <x:v>212</x:v>
      </x:c>
      <x:c r="E343" s="7" t="s">
        <x:v>2695</x:v>
      </x:c>
      <x:c r="F343" s="10">
        <x:v>18.19154</x:v>
      </x:c>
      <x:c r="G343" s="10">
        <x:v>99.396873</x:v>
      </x:c>
      <x:c r="H343" s="7" t="s">
        <x:v>3065</x:v>
      </x:c>
      <x:c r="I343" s="10">
        <x:v>217.06</x:v>
      </x:c>
      <x:c r="J343" s="41"/>
      <x:c r="K343" s="41"/>
      <x:c r="L343" s="41"/>
      <x:c r="M343" s="10"/>
      <x:c r="N343" s="7" t="s">
        <x:v>2663</x:v>
      </x:c>
      <x:c r="O343" s="7" t="s">
        <x:v>1539</x:v>
      </x:c>
      <x:c r="P343" s="10">
        <x:v>3.0</x:v>
      </x:c>
      <x:c r="Q343" s="41"/>
      <x:c r="R343" s="10">
        <x:v>262.4</x:v>
      </x:c>
      <x:c r="S343" s="7" t="s">
        <x:v>301</x:v>
      </x:c>
      <x:c r="T343" s="7" t="b">
        <x:v>0</x:v>
      </x:c>
      <x:c r="U343" s="7" t="s">
        <x:v>1541</x:v>
      </x:c>
      <x:c r="V343" s="26" t="s">
        <x:v>1542</x:v>
      </x:c>
      <x:c r="W343" s="7" t="s">
        <x:v>3066</x:v>
      </x:c>
      <x:c r="X343" s="41"/>
      <x:c r="Y343" s="41"/>
      <x:c r="Z343" s="41"/>
    </x:row>
    <x:row r="344">
      <x:c r="A344" s="7" t="s">
        <x:v>3067</x:v>
      </x:c>
      <x:c r="B344" s="7" t="s">
        <x:v>3068</x:v>
      </x:c>
      <x:c r="C344" s="7" t="s">
        <x:v>3069</x:v>
      </x:c>
      <x:c r="D344" s="7" t="s">
        <x:v>249</x:v>
      </x:c>
      <x:c r="E344" s="7"/>
      <x:c r="F344" s="10">
        <x:v>9.068123</x:v>
      </x:c>
      <x:c r="G344" s="10">
        <x:v>98.98318</x:v>
      </x:c>
      <x:c r="H344" s="7" t="s">
        <x:v>1658</x:v>
      </x:c>
      <x:c r="I344" s="10">
        <x:v>9.51</x:v>
      </x:c>
      <x:c r="J344" s="41"/>
      <x:c r="K344" s="41"/>
      <x:c r="L344" s="41"/>
      <x:c r="M344" s="10">
        <x:v>11.49</x:v>
      </x:c>
      <x:c r="N344" s="7" t="s">
        <x:v>2663</x:v>
      </x:c>
      <x:c r="O344" s="7" t="s">
        <x:v>1539</x:v>
      </x:c>
      <x:c r="P344" s="10">
        <x:v>3.0</x:v>
      </x:c>
      <x:c r="Q344" s="41"/>
      <x:c r="R344" s="10">
        <x:v>22.4</x:v>
      </x:c>
      <x:c r="S344" s="7" t="s">
        <x:v>1540</x:v>
      </x:c>
      <x:c r="T344" s="7" t="b">
        <x:v>0</x:v>
      </x:c>
      <x:c r="U344" s="7" t="s">
        <x:v>1541</x:v>
      </x:c>
      <x:c r="V344" s="26" t="s">
        <x:v>1542</x:v>
      </x:c>
      <x:c r="W344" s="7" t="s">
        <x:v>3070</x:v>
      </x:c>
      <x:c r="X344" s="41"/>
      <x:c r="Y344" s="41"/>
      <x:c r="Z344" s="41"/>
    </x:row>
    <x:row r="345">
      <x:c r="A345" s="7" t="s">
        <x:v>3071</x:v>
      </x:c>
      <x:c r="B345" s="7" t="s">
        <x:v>3072</x:v>
      </x:c>
      <x:c r="C345" s="7" t="s">
        <x:v>3073</x:v>
      </x:c>
      <x:c r="D345" s="7" t="s">
        <x:v>242</x:v>
      </x:c>
      <x:c r="E345" s="7" t="s">
        <x:v>2032</x:v>
      </x:c>
      <x:c r="F345" s="10">
        <x:v>15.310499</x:v>
      </x:c>
      <x:c r="G345" s="10">
        <x:v>105.49311</x:v>
      </x:c>
      <x:c r="H345" s="7" t="s">
        <x:v>1554</x:v>
      </x:c>
      <x:c r="I345" s="10">
        <x:v>96.0</x:v>
      </x:c>
      <x:c r="J345" s="41"/>
      <x:c r="K345" s="41"/>
      <x:c r="L345" s="41"/>
      <x:c r="M345" s="41"/>
      <x:c r="N345" s="7" t="s">
        <x:v>2663</x:v>
      </x:c>
      <x:c r="O345" s="7" t="s">
        <x:v>1539</x:v>
      </x:c>
      <x:c r="P345" s="10">
        <x:v>3.0</x:v>
      </x:c>
      <x:c r="Q345" s="41"/>
      <x:c r="R345" s="10">
        <x:v>12.4</x:v>
      </x:c>
      <x:c r="S345" s="7" t="s">
        <x:v>1540</x:v>
      </x:c>
      <x:c r="T345" s="7" t="b">
        <x:v>0</x:v>
      </x:c>
      <x:c r="U345" s="7" t="s">
        <x:v>1541</x:v>
      </x:c>
      <x:c r="V345" s="26" t="s">
        <x:v>1542</x:v>
      </x:c>
      <x:c r="W345" s="7" t="s">
        <x:v>3074</x:v>
      </x:c>
      <x:c r="X345" s="41"/>
      <x:c r="Y345" s="41"/>
      <x:c r="Z345" s="41"/>
    </x:row>
    <x:row r="346">
      <x:c r="A346" s="7" t="s">
        <x:v>3075</x:v>
      </x:c>
      <x:c r="B346" s="7" t="s">
        <x:v>3076</x:v>
      </x:c>
      <x:c r="C346" s="7" t="s">
        <x:v>3077</x:v>
      </x:c>
      <x:c r="D346" s="7" t="s">
        <x:v>104</x:v>
      </x:c>
      <x:c r="E346" s="7" t="s">
        <x:v>3078</x:v>
      </x:c>
      <x:c r="F346" s="10">
        <x:v>12.95677</x:v>
      </x:c>
      <x:c r="G346" s="10">
        <x:v>101.672096</x:v>
      </x:c>
      <x:c r="H346" s="7" t="s">
        <x:v>1777</x:v>
      </x:c>
      <x:c r="I346" s="10">
        <x:v>30.7</x:v>
      </x:c>
      <x:c r="J346" s="41"/>
      <x:c r="K346" s="41"/>
      <x:c r="L346" s="41"/>
      <x:c r="M346" s="41"/>
      <x:c r="N346" s="7" t="s">
        <x:v>2663</x:v>
      </x:c>
      <x:c r="O346" s="7" t="s">
        <x:v>1539</x:v>
      </x:c>
      <x:c r="P346" s="10">
        <x:v>3.0</x:v>
      </x:c>
      <x:c r="Q346" s="41"/>
      <x:c r="R346" s="10">
        <x:v>562.4</x:v>
      </x:c>
      <x:c r="S346" s="7" t="s">
        <x:v>301</x:v>
      </x:c>
      <x:c r="T346" s="7" t="b">
        <x:v>0</x:v>
      </x:c>
      <x:c r="U346" s="7" t="s">
        <x:v>1541</x:v>
      </x:c>
      <x:c r="V346" s="26" t="s">
        <x:v>1542</x:v>
      </x:c>
      <x:c r="W346" s="7" t="s">
        <x:v>3079</x:v>
      </x:c>
      <x:c r="X346" s="41"/>
      <x:c r="Y346" s="41"/>
      <x:c r="Z346" s="41"/>
    </x:row>
    <x:row r="347">
      <x:c r="A347" s="7" t="s">
        <x:v>3080</x:v>
      </x:c>
      <x:c r="B347" s="7" t="s">
        <x:v>3081</x:v>
      </x:c>
      <x:c r="C347" s="7" t="s">
        <x:v>3082</x:v>
      </x:c>
      <x:c r="D347" s="7" t="s">
        <x:v>110</x:v>
      </x:c>
      <x:c r="E347" s="7" t="s">
        <x:v>1896</x:v>
      </x:c>
      <x:c r="F347" s="10">
        <x:v>12.4765</x:v>
      </x:c>
      <x:c r="G347" s="10">
        <x:v>102.477867</x:v>
      </x:c>
      <x:c r="H347" s="7" t="s">
        <x:v>1548</x:v>
      </x:c>
      <x:c r="I347" s="10">
        <x:v>8.68</x:v>
      </x:c>
      <x:c r="J347" s="41"/>
      <x:c r="K347" s="41"/>
      <x:c r="L347" s="41"/>
      <x:c r="M347" s="41"/>
      <x:c r="N347" s="7" t="s">
        <x:v>2663</x:v>
      </x:c>
      <x:c r="O347" s="7" t="s">
        <x:v>1539</x:v>
      </x:c>
      <x:c r="P347" s="10">
        <x:v>3.0</x:v>
      </x:c>
      <x:c r="Q347" s="41"/>
      <x:c r="R347" s="10">
        <x:v>82.4</x:v>
      </x:c>
      <x:c r="S347" s="7" t="s">
        <x:v>301</x:v>
      </x:c>
      <x:c r="T347" s="7" t="b">
        <x:v>0</x:v>
      </x:c>
      <x:c r="U347" s="7" t="s">
        <x:v>1541</x:v>
      </x:c>
      <x:c r="V347" s="26" t="s">
        <x:v>1542</x:v>
      </x:c>
      <x:c r="W347" s="7" t="s">
        <x:v>3083</x:v>
      </x:c>
      <x:c r="X347" s="41"/>
      <x:c r="Y347" s="41"/>
      <x:c r="Z347" s="41"/>
    </x:row>
    <x:row r="348">
      <x:c r="A348" s="7" t="s">
        <x:v>3084</x:v>
      </x:c>
      <x:c r="B348" s="7" t="s">
        <x:v>3085</x:v>
      </x:c>
      <x:c r="C348" s="7" t="s">
        <x:v>3086</x:v>
      </x:c>
      <x:c r="D348" s="7" t="s">
        <x:v>231</x:v>
      </x:c>
      <x:c r="E348" s="7" t="s">
        <x:v>2393</x:v>
      </x:c>
      <x:c r="F348" s="10">
        <x:v>16.20825</x:v>
      </x:c>
      <x:c r="G348" s="10">
        <x:v>103.527641</x:v>
      </x:c>
      <x:c r="H348" s="7" t="s">
        <x:v>1548</x:v>
      </x:c>
      <x:c r="I348" s="10">
        <x:v>133.37</x:v>
      </x:c>
      <x:c r="J348" s="41"/>
      <x:c r="K348" s="41"/>
      <x:c r="L348" s="41"/>
      <x:c r="M348" s="41"/>
      <x:c r="N348" s="7" t="s">
        <x:v>2663</x:v>
      </x:c>
      <x:c r="O348" s="7" t="s">
        <x:v>1539</x:v>
      </x:c>
      <x:c r="P348" s="10">
        <x:v>3.0</x:v>
      </x:c>
      <x:c r="Q348" s="41"/>
      <x:c r="R348" s="10">
        <x:v>82.4</x:v>
      </x:c>
      <x:c r="S348" s="7" t="s">
        <x:v>301</x:v>
      </x:c>
      <x:c r="T348" s="7" t="b">
        <x:v>0</x:v>
      </x:c>
      <x:c r="U348" s="7" t="s">
        <x:v>1541</x:v>
      </x:c>
      <x:c r="V348" s="26" t="s">
        <x:v>1542</x:v>
      </x:c>
      <x:c r="W348" s="7" t="s">
        <x:v>3087</x:v>
      </x:c>
      <x:c r="X348" s="41"/>
      <x:c r="Y348" s="41"/>
      <x:c r="Z348" s="41"/>
    </x:row>
    <x:row r="349">
      <x:c r="A349" s="7" t="s">
        <x:v>3088</x:v>
      </x:c>
      <x:c r="B349" s="7" t="s">
        <x:v>3089</x:v>
      </x:c>
      <x:c r="C349" s="7" t="s">
        <x:v>3090</x:v>
      </x:c>
      <x:c r="D349" s="7" t="s">
        <x:v>118</x:v>
      </x:c>
      <x:c r="E349" s="7" t="s">
        <x:v>2393</x:v>
      </x:c>
      <x:c r="F349" s="10">
        <x:v>15.93316</x:v>
      </x:c>
      <x:c r="G349" s="10">
        <x:v>101.69951</x:v>
      </x:c>
      <x:c r="H349" s="7" t="s">
        <x:v>1554</x:v>
      </x:c>
      <x:c r="I349" s="10">
        <x:v>206.02</x:v>
      </x:c>
      <x:c r="J349" s="41"/>
      <x:c r="K349" s="41"/>
      <x:c r="L349" s="41"/>
      <x:c r="M349" s="41"/>
      <x:c r="N349" s="7" t="s">
        <x:v>2663</x:v>
      </x:c>
      <x:c r="O349" s="7" t="s">
        <x:v>1539</x:v>
      </x:c>
      <x:c r="P349" s="10">
        <x:v>3.0</x:v>
      </x:c>
      <x:c r="Q349" s="41"/>
      <x:c r="R349" s="10">
        <x:v>12.4</x:v>
      </x:c>
      <x:c r="S349" s="7" t="s">
        <x:v>1540</x:v>
      </x:c>
      <x:c r="T349" s="7" t="b">
        <x:v>0</x:v>
      </x:c>
      <x:c r="U349" s="7" t="s">
        <x:v>1541</x:v>
      </x:c>
      <x:c r="V349" s="26" t="s">
        <x:v>1542</x:v>
      </x:c>
      <x:c r="W349" s="7" t="s">
        <x:v>3091</x:v>
      </x:c>
      <x:c r="X349" s="41"/>
      <x:c r="Y349" s="41"/>
      <x:c r="Z349" s="41"/>
    </x:row>
    <x:row r="350">
      <x:c r="A350" s="7" t="s">
        <x:v>3092</x:v>
      </x:c>
      <x:c r="B350" s="7" t="s">
        <x:v>3093</x:v>
      </x:c>
      <x:c r="C350" s="7" t="s">
        <x:v>3094</x:v>
      </x:c>
      <x:c r="D350" s="7" t="s">
        <x:v>233</x:v>
      </x:c>
      <x:c r="E350" s="7" t="s">
        <x:v>3095</x:v>
      </x:c>
      <x:c r="F350" s="10">
        <x:v>17.482368</x:v>
      </x:c>
      <x:c r="G350" s="10">
        <x:v>102.79713</x:v>
      </x:c>
      <x:c r="H350" s="7" t="s">
        <x:v>1554</x:v>
      </x:c>
      <x:c r="I350" s="10">
        <x:v>168.67</x:v>
      </x:c>
      <x:c r="J350" s="41"/>
      <x:c r="K350" s="41"/>
      <x:c r="L350" s="41"/>
      <x:c r="M350" s="41"/>
      <x:c r="N350" s="7" t="s">
        <x:v>2663</x:v>
      </x:c>
      <x:c r="O350" s="7" t="s">
        <x:v>1539</x:v>
      </x:c>
      <x:c r="P350" s="10">
        <x:v>3.0</x:v>
      </x:c>
      <x:c r="Q350" s="41"/>
      <x:c r="R350" s="10">
        <x:v>12.4</x:v>
      </x:c>
      <x:c r="S350" s="7" t="s">
        <x:v>1540</x:v>
      </x:c>
      <x:c r="T350" s="7" t="b">
        <x:v>0</x:v>
      </x:c>
      <x:c r="U350" s="7" t="s">
        <x:v>1541</x:v>
      </x:c>
      <x:c r="V350" s="26" t="s">
        <x:v>1542</x:v>
      </x:c>
      <x:c r="W350" s="7" t="s">
        <x:v>3096</x:v>
      </x:c>
      <x:c r="X350" s="41"/>
      <x:c r="Y350" s="41"/>
      <x:c r="Z350" s="41"/>
    </x:row>
    <x:row r="351">
      <x:c r="A351" s="7" t="s">
        <x:v>3097</x:v>
      </x:c>
      <x:c r="B351" s="7" t="s">
        <x:v>3098</x:v>
      </x:c>
      <x:c r="C351" s="7" t="s">
        <x:v>3099</x:v>
      </x:c>
      <x:c r="D351" s="7" t="s">
        <x:v>255</x:v>
      </x:c>
      <x:c r="E351" s="7" t="s">
        <x:v>3100</x:v>
      </x:c>
      <x:c r="F351" s="10">
        <x:v>6.738124</x:v>
      </x:c>
      <x:c r="G351" s="10">
        <x:v>100.69319</x:v>
      </x:c>
      <x:c r="H351" s="7" t="s">
        <x:v>1554</x:v>
      </x:c>
      <x:c r="I351" s="10">
        <x:v>20.53</x:v>
      </x:c>
      <x:c r="J351" s="41"/>
      <x:c r="K351" s="41"/>
      <x:c r="L351" s="41"/>
      <x:c r="M351" s="41"/>
      <x:c r="N351" s="7" t="s">
        <x:v>2663</x:v>
      </x:c>
      <x:c r="O351" s="7" t="s">
        <x:v>1539</x:v>
      </x:c>
      <x:c r="P351" s="10">
        <x:v>3.0</x:v>
      </x:c>
      <x:c r="Q351" s="41"/>
      <x:c r="R351" s="10">
        <x:v>12.4</x:v>
      </x:c>
      <x:c r="S351" s="7" t="s">
        <x:v>1540</x:v>
      </x:c>
      <x:c r="T351" s="7" t="b">
        <x:v>0</x:v>
      </x:c>
      <x:c r="U351" s="7" t="s">
        <x:v>1541</x:v>
      </x:c>
      <x:c r="V351" s="26" t="s">
        <x:v>1542</x:v>
      </x:c>
      <x:c r="W351" s="7" t="s">
        <x:v>3101</x:v>
      </x:c>
      <x:c r="X351" s="41"/>
      <x:c r="Y351" s="41"/>
      <x:c r="Z351" s="41"/>
    </x:row>
    <x:row r="352">
      <x:c r="A352" s="7" t="s">
        <x:v>3102</x:v>
      </x:c>
      <x:c r="B352" s="7" t="s">
        <x:v>3103</x:v>
      </x:c>
      <x:c r="C352" s="7" t="s">
        <x:v>3104</x:v>
      </x:c>
      <x:c r="D352" s="7" t="s">
        <x:v>118</x:v>
      </x:c>
      <x:c r="E352" s="7" t="s">
        <x:v>3105</x:v>
      </x:c>
      <x:c r="F352" s="10">
        <x:v>16.31431</x:v>
      </x:c>
      <x:c r="G352" s="10">
        <x:v>101.875816</x:v>
      </x:c>
      <x:c r="H352" s="7" t="s">
        <x:v>1548</x:v>
      </x:c>
      <x:c r="I352" s="10">
        <x:v>228.83</x:v>
      </x:c>
      <x:c r="J352" s="41"/>
      <x:c r="K352" s="41"/>
      <x:c r="L352" s="41"/>
      <x:c r="M352" s="41"/>
      <x:c r="N352" s="7" t="s">
        <x:v>2663</x:v>
      </x:c>
      <x:c r="O352" s="7" t="s">
        <x:v>1539</x:v>
      </x:c>
      <x:c r="P352" s="10">
        <x:v>3.0</x:v>
      </x:c>
      <x:c r="Q352" s="41"/>
      <x:c r="R352" s="10">
        <x:v>82.4</x:v>
      </x:c>
      <x:c r="S352" s="7" t="s">
        <x:v>301</x:v>
      </x:c>
      <x:c r="T352" s="7" t="b">
        <x:v>0</x:v>
      </x:c>
      <x:c r="U352" s="7" t="s">
        <x:v>1541</x:v>
      </x:c>
      <x:c r="V352" s="26" t="s">
        <x:v>1542</x:v>
      </x:c>
      <x:c r="W352" s="7" t="s">
        <x:v>3106</x:v>
      </x:c>
      <x:c r="X352" s="41"/>
      <x:c r="Y352" s="41"/>
      <x:c r="Z352" s="41"/>
    </x:row>
    <x:row r="353">
      <x:c r="A353" s="7" t="s">
        <x:v>3107</x:v>
      </x:c>
      <x:c r="B353" s="7" t="s">
        <x:v>3108</x:v>
      </x:c>
      <x:c r="C353" s="7" t="s">
        <x:v>3109</x:v>
      </x:c>
      <x:c r="D353" s="7" t="s">
        <x:v>231</x:v>
      </x:c>
      <x:c r="E353" s="7" t="s">
        <x:v>2393</x:v>
      </x:c>
      <x:c r="F353" s="10">
        <x:v>16.034149</x:v>
      </x:c>
      <x:c r="G353" s="10">
        <x:v>103.906937</x:v>
      </x:c>
      <x:c r="H353" s="7" t="s">
        <x:v>1548</x:v>
      </x:c>
      <x:c r="I353" s="10">
        <x:v>126.74</x:v>
      </x:c>
      <x:c r="J353" s="41"/>
      <x:c r="K353" s="41"/>
      <x:c r="L353" s="41"/>
      <x:c r="M353" s="41"/>
      <x:c r="N353" s="7" t="s">
        <x:v>2663</x:v>
      </x:c>
      <x:c r="O353" s="7" t="s">
        <x:v>1539</x:v>
      </x:c>
      <x:c r="P353" s="10">
        <x:v>3.0</x:v>
      </x:c>
      <x:c r="Q353" s="41"/>
      <x:c r="R353" s="10">
        <x:v>82.4</x:v>
      </x:c>
      <x:c r="S353" s="7" t="s">
        <x:v>301</x:v>
      </x:c>
      <x:c r="T353" s="7" t="b">
        <x:v>0</x:v>
      </x:c>
      <x:c r="U353" s="7" t="s">
        <x:v>1541</x:v>
      </x:c>
      <x:c r="V353" s="26" t="s">
        <x:v>1542</x:v>
      </x:c>
      <x:c r="W353" s="7" t="s">
        <x:v>3110</x:v>
      </x:c>
      <x:c r="X353" s="41"/>
      <x:c r="Y353" s="41"/>
      <x:c r="Z353" s="41"/>
    </x:row>
    <x:row r="354">
      <x:c r="A354" s="7" t="s">
        <x:v>3111</x:v>
      </x:c>
      <x:c r="B354" s="7" t="s">
        <x:v>3112</x:v>
      </x:c>
      <x:c r="C354" s="7" t="s">
        <x:v>3113</x:v>
      </x:c>
      <x:c r="D354" s="7" t="s">
        <x:v>249</x:v>
      </x:c>
      <x:c r="E354" s="7" t="s">
        <x:v>3114</x:v>
      </x:c>
      <x:c r="F354" s="10">
        <x:v>9.368512</x:v>
      </x:c>
      <x:c r="G354" s="10">
        <x:v>98.867485</x:v>
      </x:c>
      <x:c r="H354" s="7" t="s">
        <x:v>1554</x:v>
      </x:c>
      <x:c r="I354" s="10">
        <x:v>152.76</x:v>
      </x:c>
      <x:c r="J354" s="41"/>
      <x:c r="K354" s="41"/>
      <x:c r="L354" s="41"/>
      <x:c r="M354" s="41"/>
      <x:c r="N354" s="7" t="s">
        <x:v>2663</x:v>
      </x:c>
      <x:c r="O354" s="7" t="s">
        <x:v>1539</x:v>
      </x:c>
      <x:c r="P354" s="10">
        <x:v>3.0</x:v>
      </x:c>
      <x:c r="Q354" s="41"/>
      <x:c r="R354" s="10">
        <x:v>12.4</x:v>
      </x:c>
      <x:c r="S354" s="7" t="s">
        <x:v>1540</x:v>
      </x:c>
      <x:c r="T354" s="7" t="b">
        <x:v>0</x:v>
      </x:c>
      <x:c r="U354" s="7" t="s">
        <x:v>1541</x:v>
      </x:c>
      <x:c r="V354" s="26" t="s">
        <x:v>1542</x:v>
      </x:c>
      <x:c r="W354" s="7" t="s">
        <x:v>3115</x:v>
      </x:c>
      <x:c r="X354" s="41"/>
      <x:c r="Y354" s="41"/>
      <x:c r="Z354" s="41"/>
    </x:row>
    <x:row r="355">
      <x:c r="A355" s="7" t="s">
        <x:v>3116</x:v>
      </x:c>
      <x:c r="B355" s="7" t="s">
        <x:v>3117</x:v>
      </x:c>
      <x:c r="C355" s="7" t="s">
        <x:v>3118</x:v>
      </x:c>
      <x:c r="D355" s="7" t="s">
        <x:v>242</x:v>
      </x:c>
      <x:c r="E355" s="7" t="s">
        <x:v>2032</x:v>
      </x:c>
      <x:c r="F355" s="10">
        <x:v>15.249705</x:v>
      </x:c>
      <x:c r="G355" s="10">
        <x:v>105.2393</x:v>
      </x:c>
      <x:c r="H355" s="7" t="s">
        <x:v>1554</x:v>
      </x:c>
      <x:c r="I355" s="10">
        <x:v>108.88</x:v>
      </x:c>
      <x:c r="J355" s="41"/>
      <x:c r="K355" s="41"/>
      <x:c r="L355" s="41"/>
      <x:c r="M355" s="41"/>
      <x:c r="N355" s="7" t="s">
        <x:v>2663</x:v>
      </x:c>
      <x:c r="O355" s="7" t="s">
        <x:v>1539</x:v>
      </x:c>
      <x:c r="P355" s="10">
        <x:v>3.0</x:v>
      </x:c>
      <x:c r="Q355" s="41"/>
      <x:c r="R355" s="10">
        <x:v>12.4</x:v>
      </x:c>
      <x:c r="S355" s="7" t="s">
        <x:v>1540</x:v>
      </x:c>
      <x:c r="T355" s="7" t="b">
        <x:v>0</x:v>
      </x:c>
      <x:c r="U355" s="7" t="s">
        <x:v>1541</x:v>
      </x:c>
      <x:c r="V355" s="26" t="s">
        <x:v>1542</x:v>
      </x:c>
      <x:c r="W355" s="7" t="s">
        <x:v>3119</x:v>
      </x:c>
      <x:c r="X355" s="41"/>
      <x:c r="Y355" s="41"/>
      <x:c r="Z355" s="41"/>
    </x:row>
    <x:row r="356">
      <x:c r="A356" s="7" t="s">
        <x:v>3120</x:v>
      </x:c>
      <x:c r="B356" s="7" t="s">
        <x:v>3121</x:v>
      </x:c>
      <x:c r="C356" s="7" t="s">
        <x:v>3122</x:v>
      </x:c>
      <x:c r="D356" s="7" t="s">
        <x:v>243</x:v>
      </x:c>
      <x:c r="E356" s="7" t="s">
        <x:v>2032</x:v>
      </x:c>
      <x:c r="F356" s="10">
        <x:v>15.33953</x:v>
      </x:c>
      <x:c r="G356" s="10">
        <x:v>104.15237</x:v>
      </x:c>
      <x:c r="H356" s="7" t="s">
        <x:v>1554</x:v>
      </x:c>
      <x:c r="I356" s="10">
        <x:v>114.03</x:v>
      </x:c>
      <x:c r="J356" s="41"/>
      <x:c r="K356" s="41"/>
      <x:c r="L356" s="41"/>
      <x:c r="M356" s="41"/>
      <x:c r="N356" s="7" t="s">
        <x:v>2663</x:v>
      </x:c>
      <x:c r="O356" s="7" t="s">
        <x:v>1539</x:v>
      </x:c>
      <x:c r="P356" s="10">
        <x:v>3.0</x:v>
      </x:c>
      <x:c r="Q356" s="41"/>
      <x:c r="R356" s="10">
        <x:v>12.4</x:v>
      </x:c>
      <x:c r="S356" s="7" t="s">
        <x:v>1540</x:v>
      </x:c>
      <x:c r="T356" s="7" t="b">
        <x:v>0</x:v>
      </x:c>
      <x:c r="U356" s="7" t="s">
        <x:v>1541</x:v>
      </x:c>
      <x:c r="V356" s="26" t="s">
        <x:v>1542</x:v>
      </x:c>
      <x:c r="W356" s="7" t="s">
        <x:v>3123</x:v>
      </x:c>
      <x:c r="X356" s="41"/>
      <x:c r="Y356" s="41"/>
      <x:c r="Z356" s="41"/>
    </x:row>
    <x:row r="357">
      <x:c r="A357" s="7" t="s">
        <x:v>3124</x:v>
      </x:c>
      <x:c r="B357" s="7" t="s">
        <x:v>3125</x:v>
      </x:c>
      <x:c r="C357" s="7" t="s">
        <x:v>3126</x:v>
      </x:c>
      <x:c r="D357" s="7" t="s">
        <x:v>207</x:v>
      </x:c>
      <x:c r="E357" s="7" t="s">
        <x:v>2074</x:v>
      </x:c>
      <x:c r="F357" s="10">
        <x:v>19.00985</x:v>
      </x:c>
      <x:c r="G357" s="10">
        <x:v>98.95974</x:v>
      </x:c>
      <x:c r="H357" s="7" t="s">
        <x:v>1548</x:v>
      </x:c>
      <x:c r="I357" s="10">
        <x:v>316.07</x:v>
      </x:c>
      <x:c r="J357" s="41"/>
      <x:c r="K357" s="41"/>
      <x:c r="L357" s="41"/>
      <x:c r="M357" s="41"/>
      <x:c r="N357" s="7" t="s">
        <x:v>2663</x:v>
      </x:c>
      <x:c r="O357" s="7" t="s">
        <x:v>1539</x:v>
      </x:c>
      <x:c r="P357" s="10">
        <x:v>3.0</x:v>
      </x:c>
      <x:c r="Q357" s="41"/>
      <x:c r="R357" s="10">
        <x:v>82.4</x:v>
      </x:c>
      <x:c r="S357" s="7" t="s">
        <x:v>301</x:v>
      </x:c>
      <x:c r="T357" s="7" t="b">
        <x:v>0</x:v>
      </x:c>
      <x:c r="U357" s="7" t="s">
        <x:v>1541</x:v>
      </x:c>
      <x:c r="V357" s="26" t="s">
        <x:v>1542</x:v>
      </x:c>
      <x:c r="W357" s="7" t="s">
        <x:v>3127</x:v>
      </x:c>
      <x:c r="X357" s="41"/>
      <x:c r="Y357" s="41"/>
      <x:c r="Z357" s="41"/>
    </x:row>
    <x:row r="358">
      <x:c r="A358" s="7" t="s">
        <x:v>3128</x:v>
      </x:c>
      <x:c r="B358" s="7" t="s">
        <x:v>3129</x:v>
      </x:c>
      <x:c r="C358" s="7" t="s">
        <x:v>3130</x:v>
      </x:c>
      <x:c r="D358" s="7" t="s">
        <x:v>252</x:v>
      </x:c>
      <x:c r="E358" s="7" t="s">
        <x:v>3131</x:v>
      </x:c>
      <x:c r="F358" s="10">
        <x:v>8.82934</x:v>
      </x:c>
      <x:c r="G358" s="10">
        <x:v>98.36924</x:v>
      </x:c>
      <x:c r="H358" s="7" t="s">
        <x:v>1548</x:v>
      </x:c>
      <x:c r="I358" s="10">
        <x:v>-0.11</x:v>
      </x:c>
      <x:c r="J358" s="41"/>
      <x:c r="K358" s="41"/>
      <x:c r="L358" s="41"/>
      <x:c r="M358" s="41"/>
      <x:c r="N358" s="7" t="s">
        <x:v>2663</x:v>
      </x:c>
      <x:c r="O358" s="7" t="s">
        <x:v>1539</x:v>
      </x:c>
      <x:c r="P358" s="10">
        <x:v>3.0</x:v>
      </x:c>
      <x:c r="Q358" s="41"/>
      <x:c r="R358" s="10">
        <x:v>82.4</x:v>
      </x:c>
      <x:c r="S358" s="7" t="s">
        <x:v>301</x:v>
      </x:c>
      <x:c r="T358" s="7" t="b">
        <x:v>0</x:v>
      </x:c>
      <x:c r="U358" s="7" t="s">
        <x:v>1541</x:v>
      </x:c>
      <x:c r="V358" s="26" t="s">
        <x:v>1542</x:v>
      </x:c>
      <x:c r="W358" s="7" t="s">
        <x:v>3132</x:v>
      </x:c>
      <x:c r="X358" s="41"/>
      <x:c r="Y358" s="41"/>
      <x:c r="Z358" s="41"/>
    </x:row>
    <x:row r="359">
      <x:c r="A359" s="7" t="s">
        <x:v>3133</x:v>
      </x:c>
      <x:c r="B359" s="7" t="s">
        <x:v>3134</x:v>
      </x:c>
      <x:c r="C359" s="7" t="s">
        <x:v>3135</x:v>
      </x:c>
      <x:c r="D359" s="7" t="s">
        <x:v>230</x:v>
      </x:c>
      <x:c r="E359" s="7"/>
      <x:c r="F359" s="10">
        <x:v>15.95243</x:v>
      </x:c>
      <x:c r="G359" s="10">
        <x:v>103.19807</x:v>
      </x:c>
      <x:c r="H359" s="7" t="s">
        <x:v>1554</x:v>
      </x:c>
      <x:c r="I359" s="10">
        <x:v>157.31</x:v>
      </x:c>
      <x:c r="J359" s="41"/>
      <x:c r="K359" s="41"/>
      <x:c r="L359" s="41"/>
      <x:c r="M359" s="41"/>
      <x:c r="N359" s="7" t="s">
        <x:v>2663</x:v>
      </x:c>
      <x:c r="O359" s="7" t="s">
        <x:v>1539</x:v>
      </x:c>
      <x:c r="P359" s="10">
        <x:v>3.0</x:v>
      </x:c>
      <x:c r="Q359" s="41"/>
      <x:c r="R359" s="10">
        <x:v>12.4</x:v>
      </x:c>
      <x:c r="S359" s="7" t="s">
        <x:v>1540</x:v>
      </x:c>
      <x:c r="T359" s="7" t="b">
        <x:v>0</x:v>
      </x:c>
      <x:c r="U359" s="7" t="s">
        <x:v>1541</x:v>
      </x:c>
      <x:c r="V359" s="26" t="s">
        <x:v>1542</x:v>
      </x:c>
      <x:c r="W359" s="7" t="s">
        <x:v>3136</x:v>
      </x:c>
      <x:c r="X359" s="41"/>
      <x:c r="Y359" s="41"/>
      <x:c r="Z359" s="41"/>
    </x:row>
    <x:row r="360">
      <x:c r="A360" s="7" t="s">
        <x:v>3137</x:v>
      </x:c>
      <x:c r="B360" s="7" t="s">
        <x:v>3138</x:v>
      </x:c>
      <x:c r="C360" s="7" t="s">
        <x:v>3139</x:v>
      </x:c>
      <x:c r="D360" s="7" t="s">
        <x:v>122</x:v>
      </x:c>
      <x:c r="E360" s="7"/>
      <x:c r="F360" s="10">
        <x:v>14.550208</x:v>
      </x:c>
      <x:c r="G360" s="10">
        <x:v>101.459465</x:v>
      </x:c>
      <x:c r="H360" s="7" t="s">
        <x:v>1554</x:v>
      </x:c>
      <x:c r="I360" s="10">
        <x:v>346.49</x:v>
      </x:c>
      <x:c r="J360" s="41"/>
      <x:c r="K360" s="41"/>
      <x:c r="L360" s="41"/>
      <x:c r="M360" s="41"/>
      <x:c r="N360" s="7" t="s">
        <x:v>2663</x:v>
      </x:c>
      <x:c r="O360" s="7" t="s">
        <x:v>1539</x:v>
      </x:c>
      <x:c r="P360" s="10">
        <x:v>3.0</x:v>
      </x:c>
      <x:c r="Q360" s="41"/>
      <x:c r="R360" s="10">
        <x:v>12.4</x:v>
      </x:c>
      <x:c r="S360" s="7" t="s">
        <x:v>1540</x:v>
      </x:c>
      <x:c r="T360" s="7" t="b">
        <x:v>0</x:v>
      </x:c>
      <x:c r="U360" s="7" t="s">
        <x:v>1541</x:v>
      </x:c>
      <x:c r="V360" s="26" t="s">
        <x:v>1542</x:v>
      </x:c>
      <x:c r="W360" s="7" t="s">
        <x:v>3140</x:v>
      </x:c>
      <x:c r="X360" s="41"/>
      <x:c r="Y360" s="41"/>
      <x:c r="Z360" s="41"/>
    </x:row>
    <x:row r="361">
      <x:c r="A361" s="7" t="s">
        <x:v>3141</x:v>
      </x:c>
      <x:c r="B361" s="7" t="s">
        <x:v>3142</x:v>
      </x:c>
      <x:c r="C361" s="7" t="s">
        <x:v>3143</x:v>
      </x:c>
      <x:c r="D361" s="7" t="s">
        <x:v>244</x:v>
      </x:c>
      <x:c r="E361" s="7" t="s">
        <x:v>3144</x:v>
      </x:c>
      <x:c r="F361" s="10">
        <x:v>16.345835</x:v>
      </x:c>
      <x:c r="G361" s="10">
        <x:v>104.889885</x:v>
      </x:c>
      <x:c r="H361" s="7" t="s">
        <x:v>1658</x:v>
      </x:c>
      <x:c r="I361" s="10">
        <x:v>127.43</x:v>
      </x:c>
      <x:c r="J361" s="41"/>
      <x:c r="K361" s="41"/>
      <x:c r="L361" s="41"/>
      <x:c r="M361" s="41"/>
      <x:c r="N361" s="7" t="s">
        <x:v>2663</x:v>
      </x:c>
      <x:c r="O361" s="7" t="s">
        <x:v>1539</x:v>
      </x:c>
      <x:c r="P361" s="10">
        <x:v>3.0</x:v>
      </x:c>
      <x:c r="Q361" s="41"/>
      <x:c r="R361" s="10">
        <x:v>22.4</x:v>
      </x:c>
      <x:c r="S361" s="7" t="s">
        <x:v>1540</x:v>
      </x:c>
      <x:c r="T361" s="7" t="b">
        <x:v>0</x:v>
      </x:c>
      <x:c r="U361" s="7" t="s">
        <x:v>1541</x:v>
      </x:c>
      <x:c r="V361" s="26" t="s">
        <x:v>1542</x:v>
      </x:c>
      <x:c r="W361" s="7" t="s">
        <x:v>3145</x:v>
      </x:c>
      <x:c r="X361" s="41"/>
      <x:c r="Y361" s="41"/>
      <x:c r="Z361" s="41"/>
    </x:row>
    <x:row r="362">
      <x:c r="A362" s="7" t="s">
        <x:v>3146</x:v>
      </x:c>
      <x:c r="B362" s="7" t="s">
        <x:v>3147</x:v>
      </x:c>
      <x:c r="C362" s="7" t="s">
        <x:v>2312</x:v>
      </x:c>
      <x:c r="D362" s="7" t="s">
        <x:v>34</x:v>
      </x:c>
      <x:c r="E362" s="7" t="s">
        <x:v>2074</x:v>
      </x:c>
      <x:c r="F362" s="10">
        <x:v>16.47772</x:v>
      </x:c>
      <x:c r="G362" s="10">
        <x:v>99.517921</x:v>
      </x:c>
      <x:c r="H362" s="7" t="s">
        <x:v>1548</x:v>
      </x:c>
      <x:c r="I362" s="10">
        <x:v>73.71</x:v>
      </x:c>
      <x:c r="J362" s="41"/>
      <x:c r="K362" s="41"/>
      <x:c r="L362" s="41"/>
      <x:c r="M362" s="10"/>
      <x:c r="N362" s="7" t="s">
        <x:v>2663</x:v>
      </x:c>
      <x:c r="O362" s="7" t="s">
        <x:v>1539</x:v>
      </x:c>
      <x:c r="P362" s="10">
        <x:v>3.0</x:v>
      </x:c>
      <x:c r="Q362" s="41"/>
      <x:c r="R362" s="10">
        <x:v>82.4</x:v>
      </x:c>
      <x:c r="S362" s="7" t="s">
        <x:v>301</x:v>
      </x:c>
      <x:c r="T362" s="7" t="b">
        <x:v>0</x:v>
      </x:c>
      <x:c r="U362" s="7" t="s">
        <x:v>1541</x:v>
      </x:c>
      <x:c r="V362" s="26" t="s">
        <x:v>1542</x:v>
      </x:c>
      <x:c r="W362" s="7" t="s">
        <x:v>3148</x:v>
      </x:c>
      <x:c r="X362" s="41"/>
      <x:c r="Y362" s="41"/>
      <x:c r="Z362" s="41"/>
    </x:row>
    <x:row r="363">
      <x:c r="A363" s="7" t="s">
        <x:v>3149</x:v>
      </x:c>
      <x:c r="B363" s="7" t="s">
        <x:v>3150</x:v>
      </x:c>
      <x:c r="C363" s="7" t="s">
        <x:v>3151</x:v>
      </x:c>
      <x:c r="D363" s="7" t="s">
        <x:v>211</x:v>
      </x:c>
      <x:c r="E363" s="7" t="s">
        <x:v>3152</x:v>
      </x:c>
      <x:c r="F363" s="10">
        <x:v>18.882099</x:v>
      </x:c>
      <x:c r="G363" s="10">
        <x:v>100.291382</x:v>
      </x:c>
      <x:c r="H363" s="7" t="s">
        <x:v>1548</x:v>
      </x:c>
      <x:c r="I363" s="10">
        <x:v>260.62</x:v>
      </x:c>
      <x:c r="J363" s="41"/>
      <x:c r="K363" s="41"/>
      <x:c r="L363" s="41"/>
      <x:c r="M363" s="10"/>
      <x:c r="N363" s="7" t="s">
        <x:v>2663</x:v>
      </x:c>
      <x:c r="O363" s="7" t="s">
        <x:v>1539</x:v>
      </x:c>
      <x:c r="P363" s="10">
        <x:v>3.0</x:v>
      </x:c>
      <x:c r="Q363" s="41"/>
      <x:c r="R363" s="10">
        <x:v>82.4</x:v>
      </x:c>
      <x:c r="S363" s="7" t="s">
        <x:v>301</x:v>
      </x:c>
      <x:c r="T363" s="7" t="b">
        <x:v>0</x:v>
      </x:c>
      <x:c r="U363" s="7" t="s">
        <x:v>1541</x:v>
      </x:c>
      <x:c r="V363" s="26" t="s">
        <x:v>1542</x:v>
      </x:c>
      <x:c r="W363" s="7" t="s">
        <x:v>3153</x:v>
      </x:c>
      <x:c r="X363" s="41"/>
      <x:c r="Y363" s="41"/>
      <x:c r="Z363" s="41"/>
    </x:row>
    <x:row r="364">
      <x:c r="A364" s="7" t="s">
        <x:v>3154</x:v>
      </x:c>
      <x:c r="B364" s="7" t="s">
        <x:v>3155</x:v>
      </x:c>
      <x:c r="C364" s="7" t="s">
        <x:v>3156</x:v>
      </x:c>
      <x:c r="D364" s="7" t="s">
        <x:v>229</x:v>
      </x:c>
      <x:c r="E364" s="7" t="s">
        <x:v>2393</x:v>
      </x:c>
      <x:c r="F364" s="10">
        <x:v>16.356001</x:v>
      </x:c>
      <x:c r="G364" s="10">
        <x:v>102.804291</x:v>
      </x:c>
      <x:c r="H364" s="7" t="s">
        <x:v>1548</x:v>
      </x:c>
      <x:c r="I364" s="10">
        <x:v>147.45</x:v>
      </x:c>
      <x:c r="J364" s="41"/>
      <x:c r="K364" s="41"/>
      <x:c r="L364" s="41"/>
      <x:c r="M364" s="10">
        <x:v>152.3</x:v>
      </x:c>
      <x:c r="N364" s="7" t="s">
        <x:v>2663</x:v>
      </x:c>
      <x:c r="O364" s="7" t="s">
        <x:v>1539</x:v>
      </x:c>
      <x:c r="P364" s="10">
        <x:v>3.0</x:v>
      </x:c>
      <x:c r="Q364" s="41"/>
      <x:c r="R364" s="10">
        <x:v>82.4</x:v>
      </x:c>
      <x:c r="S364" s="7" t="s">
        <x:v>301</x:v>
      </x:c>
      <x:c r="T364" s="7" t="b">
        <x:v>0</x:v>
      </x:c>
      <x:c r="U364" s="7" t="s">
        <x:v>1541</x:v>
      </x:c>
      <x:c r="V364" s="26" t="s">
        <x:v>1542</x:v>
      </x:c>
      <x:c r="W364" s="7" t="s">
        <x:v>3157</x:v>
      </x:c>
      <x:c r="X364" s="41"/>
      <x:c r="Y364" s="41"/>
      <x:c r="Z364" s="41"/>
    </x:row>
    <x:row r="365">
      <x:c r="A365" s="7" t="s">
        <x:v>3158</x:v>
      </x:c>
      <x:c r="B365" s="7" t="s">
        <x:v>3159</x:v>
      </x:c>
      <x:c r="C365" s="7" t="s">
        <x:v>3160</x:v>
      </x:c>
      <x:c r="D365" s="7" t="s">
        <x:v>217</x:v>
      </x:c>
      <x:c r="E365" s="7" t="s">
        <x:v>1734</x:v>
      </x:c>
      <x:c r="F365" s="10">
        <x:v>17.2019</x:v>
      </x:c>
      <x:c r="G365" s="10">
        <x:v>99.86388</x:v>
      </x:c>
      <x:c r="H365" s="7" t="s">
        <x:v>1554</x:v>
      </x:c>
      <x:c r="I365" s="10">
        <x:v>52.95</x:v>
      </x:c>
      <x:c r="J365" s="41"/>
      <x:c r="K365" s="41"/>
      <x:c r="L365" s="41"/>
      <x:c r="M365" s="41"/>
      <x:c r="N365" s="7" t="s">
        <x:v>2663</x:v>
      </x:c>
      <x:c r="O365" s="7" t="s">
        <x:v>1539</x:v>
      </x:c>
      <x:c r="P365" s="10">
        <x:v>3.0</x:v>
      </x:c>
      <x:c r="Q365" s="41"/>
      <x:c r="R365" s="10">
        <x:v>12.4</x:v>
      </x:c>
      <x:c r="S365" s="7" t="s">
        <x:v>1540</x:v>
      </x:c>
      <x:c r="T365" s="7" t="b">
        <x:v>0</x:v>
      </x:c>
      <x:c r="U365" s="7" t="s">
        <x:v>1541</x:v>
      </x:c>
      <x:c r="V365" s="26" t="s">
        <x:v>1542</x:v>
      </x:c>
      <x:c r="W365" s="7" t="s">
        <x:v>3161</x:v>
      </x:c>
      <x:c r="X365" s="41"/>
      <x:c r="Y365" s="41"/>
      <x:c r="Z365" s="41"/>
    </x:row>
    <x:row r="366">
      <x:c r="A366" s="7" t="s">
        <x:v>3162</x:v>
      </x:c>
      <x:c r="B366" s="7" t="s">
        <x:v>3163</x:v>
      </x:c>
      <x:c r="C366" s="7" t="s">
        <x:v>3164</x:v>
      </x:c>
      <x:c r="D366" s="7" t="s">
        <x:v>207</x:v>
      </x:c>
      <x:c r="E366" s="7" t="s">
        <x:v>3165</x:v>
      </x:c>
      <x:c r="F366" s="10">
        <x:v>18.54735</x:v>
      </x:c>
      <x:c r="G366" s="10">
        <x:v>98.862282</x:v>
      </x:c>
      <x:c r="H366" s="7" t="s">
        <x:v>1548</x:v>
      </x:c>
      <x:c r="I366" s="10">
        <x:v>285.8</x:v>
      </x:c>
      <x:c r="J366" s="41"/>
      <x:c r="K366" s="41"/>
      <x:c r="L366" s="41"/>
      <x:c r="M366" s="41"/>
      <x:c r="N366" s="7" t="s">
        <x:v>2663</x:v>
      </x:c>
      <x:c r="O366" s="7" t="s">
        <x:v>1539</x:v>
      </x:c>
      <x:c r="P366" s="10">
        <x:v>3.0</x:v>
      </x:c>
      <x:c r="Q366" s="41"/>
      <x:c r="R366" s="10">
        <x:v>82.4</x:v>
      </x:c>
      <x:c r="S366" s="7" t="s">
        <x:v>301</x:v>
      </x:c>
      <x:c r="T366" s="7" t="b">
        <x:v>0</x:v>
      </x:c>
      <x:c r="U366" s="7" t="s">
        <x:v>1541</x:v>
      </x:c>
      <x:c r="V366" s="26" t="s">
        <x:v>1542</x:v>
      </x:c>
      <x:c r="W366" s="7" t="s">
        <x:v>3166</x:v>
      </x:c>
      <x:c r="X366" s="41"/>
      <x:c r="Y366" s="41"/>
      <x:c r="Z366" s="41"/>
    </x:row>
    <x:row r="367">
      <x:c r="A367" s="7" t="s">
        <x:v>3167</x:v>
      </x:c>
      <x:c r="B367" s="7" t="s">
        <x:v>3168</x:v>
      </x:c>
      <x:c r="C367" s="7" t="s">
        <x:v>3169</x:v>
      </x:c>
      <x:c r="D367" s="7" t="s">
        <x:v>212</x:v>
      </x:c>
      <x:c r="E367" s="7" t="s">
        <x:v>3170</x:v>
      </x:c>
      <x:c r="F367" s="10">
        <x:v>18.14444</x:v>
      </x:c>
      <x:c r="G367" s="10">
        <x:v>99.408463</x:v>
      </x:c>
      <x:c r="H367" s="7" t="s">
        <x:v>3065</x:v>
      </x:c>
      <x:c r="I367" s="10">
        <x:v>216.13</x:v>
      </x:c>
      <x:c r="J367" s="41"/>
      <x:c r="K367" s="41"/>
      <x:c r="L367" s="41"/>
      <x:c r="M367" s="41"/>
      <x:c r="N367" s="7" t="s">
        <x:v>2663</x:v>
      </x:c>
      <x:c r="O367" s="7" t="s">
        <x:v>1539</x:v>
      </x:c>
      <x:c r="P367" s="10">
        <x:v>3.0</x:v>
      </x:c>
      <x:c r="Q367" s="41"/>
      <x:c r="R367" s="10">
        <x:v>262.4</x:v>
      </x:c>
      <x:c r="S367" s="7" t="s">
        <x:v>301</x:v>
      </x:c>
      <x:c r="T367" s="7" t="b">
        <x:v>0</x:v>
      </x:c>
      <x:c r="U367" s="7" t="s">
        <x:v>1541</x:v>
      </x:c>
      <x:c r="V367" s="26" t="s">
        <x:v>1542</x:v>
      </x:c>
      <x:c r="W367" s="7" t="s">
        <x:v>3171</x:v>
      </x:c>
      <x:c r="X367" s="41"/>
      <x:c r="Y367" s="41"/>
      <x:c r="Z367" s="41"/>
    </x:row>
    <x:row r="368">
      <x:c r="A368" s="7" t="s">
        <x:v>3172</x:v>
      </x:c>
      <x:c r="B368" s="7" t="s">
        <x:v>3173</x:v>
      </x:c>
      <x:c r="C368" s="7" t="s">
        <x:v>3174</x:v>
      </x:c>
      <x:c r="D368" s="7" t="s">
        <x:v>216</x:v>
      </x:c>
      <x:c r="E368" s="7" t="s">
        <x:v>2084</x:v>
      </x:c>
      <x:c r="F368" s="10">
        <x:v>17.29433</x:v>
      </x:c>
      <x:c r="G368" s="10">
        <x:v>100.08282</x:v>
      </x:c>
      <x:c r="H368" s="7" t="s">
        <x:v>1554</x:v>
      </x:c>
      <x:c r="I368" s="10">
        <x:v>47.81</x:v>
      </x:c>
      <x:c r="J368" s="41"/>
      <x:c r="K368" s="41"/>
      <x:c r="L368" s="41"/>
      <x:c r="M368" s="41"/>
      <x:c r="N368" s="7" t="s">
        <x:v>2663</x:v>
      </x:c>
      <x:c r="O368" s="7" t="s">
        <x:v>1539</x:v>
      </x:c>
      <x:c r="P368" s="10">
        <x:v>3.0</x:v>
      </x:c>
      <x:c r="Q368" s="41"/>
      <x:c r="R368" s="10">
        <x:v>12.4</x:v>
      </x:c>
      <x:c r="S368" s="7" t="s">
        <x:v>1540</x:v>
      </x:c>
      <x:c r="T368" s="7" t="b">
        <x:v>0</x:v>
      </x:c>
      <x:c r="U368" s="7" t="s">
        <x:v>1541</x:v>
      </x:c>
      <x:c r="V368" s="26" t="s">
        <x:v>1542</x:v>
      </x:c>
      <x:c r="W368" s="7" t="s">
        <x:v>3175</x:v>
      </x:c>
      <x:c r="X368" s="41"/>
      <x:c r="Y368" s="41"/>
      <x:c r="Z368" s="41"/>
    </x:row>
    <x:row r="369">
      <x:c r="A369" s="7" t="s">
        <x:v>3176</x:v>
      </x:c>
      <x:c r="B369" s="7" t="s">
        <x:v>3177</x:v>
      </x:c>
      <x:c r="C369" s="7" t="s">
        <x:v>3178</x:v>
      </x:c>
      <x:c r="D369" s="7" t="s">
        <x:v>207</x:v>
      </x:c>
      <x:c r="E369" s="7" t="s">
        <x:v>3165</x:v>
      </x:c>
      <x:c r="F369" s="10">
        <x:v>18.57391</x:v>
      </x:c>
      <x:c r="G369" s="10">
        <x:v>98.86222</x:v>
      </x:c>
      <x:c r="H369" s="7" t="s">
        <x:v>1554</x:v>
      </x:c>
      <x:c r="I369" s="10">
        <x:v>290.73</x:v>
      </x:c>
      <x:c r="J369" s="41"/>
      <x:c r="K369" s="41"/>
      <x:c r="L369" s="41"/>
      <x:c r="M369" s="41"/>
      <x:c r="N369" s="7" t="s">
        <x:v>2663</x:v>
      </x:c>
      <x:c r="O369" s="7" t="s">
        <x:v>1539</x:v>
      </x:c>
      <x:c r="P369" s="10">
        <x:v>3.0</x:v>
      </x:c>
      <x:c r="Q369" s="41"/>
      <x:c r="R369" s="10">
        <x:v>12.4</x:v>
      </x:c>
      <x:c r="S369" s="7" t="s">
        <x:v>1540</x:v>
      </x:c>
      <x:c r="T369" s="7" t="b">
        <x:v>0</x:v>
      </x:c>
      <x:c r="U369" s="7" t="s">
        <x:v>1541</x:v>
      </x:c>
      <x:c r="V369" s="26" t="s">
        <x:v>1542</x:v>
      </x:c>
      <x:c r="W369" s="7" t="s">
        <x:v>3179</x:v>
      </x:c>
      <x:c r="X369" s="41"/>
      <x:c r="Y369" s="41"/>
      <x:c r="Z369" s="41"/>
    </x:row>
    <x:row r="370">
      <x:c r="A370" s="7" t="s">
        <x:v>3180</x:v>
      </x:c>
      <x:c r="B370" s="7" t="s">
        <x:v>3181</x:v>
      </x:c>
      <x:c r="C370" s="7" t="s">
        <x:v>3182</x:v>
      </x:c>
      <x:c r="D370" s="7" t="s">
        <x:v>222</x:v>
      </x:c>
      <x:c r="E370" s="7" t="s">
        <x:v>2017</x:v>
      </x:c>
      <x:c r="F370" s="10">
        <x:v>13.08562</x:v>
      </x:c>
      <x:c r="G370" s="10">
        <x:v>99.94393</x:v>
      </x:c>
      <x:c r="H370" s="7" t="s">
        <x:v>1554</x:v>
      </x:c>
      <x:c r="I370" s="10">
        <x:v>2.96</x:v>
      </x:c>
      <x:c r="J370" s="41"/>
      <x:c r="K370" s="41"/>
      <x:c r="L370" s="41"/>
      <x:c r="M370" s="41"/>
      <x:c r="N370" s="7" t="s">
        <x:v>2663</x:v>
      </x:c>
      <x:c r="O370" s="7" t="s">
        <x:v>1539</x:v>
      </x:c>
      <x:c r="P370" s="10">
        <x:v>3.0</x:v>
      </x:c>
      <x:c r="Q370" s="41"/>
      <x:c r="R370" s="10">
        <x:v>12.4</x:v>
      </x:c>
      <x:c r="S370" s="7" t="s">
        <x:v>1540</x:v>
      </x:c>
      <x:c r="T370" s="7" t="b">
        <x:v>0</x:v>
      </x:c>
      <x:c r="U370" s="7" t="s">
        <x:v>1541</x:v>
      </x:c>
      <x:c r="V370" s="26" t="s">
        <x:v>1542</x:v>
      </x:c>
      <x:c r="W370" s="7" t="s">
        <x:v>3183</x:v>
      </x:c>
      <x:c r="X370" s="41"/>
      <x:c r="Y370" s="41"/>
      <x:c r="Z370" s="41"/>
    </x:row>
    <x:row r="371">
      <x:c r="A371" s="7" t="s">
        <x:v>3184</x:v>
      </x:c>
      <x:c r="B371" s="7" t="s">
        <x:v>3185</x:v>
      </x:c>
      <x:c r="C371" s="7" t="s">
        <x:v>3186</x:v>
      </x:c>
      <x:c r="D371" s="7" t="s">
        <x:v>216</x:v>
      </x:c>
      <x:c r="E371" s="7" t="s">
        <x:v>3187</x:v>
      </x:c>
      <x:c r="F371" s="10">
        <x:v>17.718473</x:v>
      </x:c>
      <x:c r="G371" s="10">
        <x:v>100.577058</x:v>
      </x:c>
      <x:c r="H371" s="7" t="s">
        <x:v>1658</x:v>
      </x:c>
      <x:c r="I371" s="10">
        <x:v>81.33</x:v>
      </x:c>
      <x:c r="J371" s="41"/>
      <x:c r="K371" s="41"/>
      <x:c r="L371" s="41"/>
      <x:c r="M371" s="10">
        <x:v>84.41</x:v>
      </x:c>
      <x:c r="N371" s="7" t="s">
        <x:v>2663</x:v>
      </x:c>
      <x:c r="O371" s="7" t="s">
        <x:v>1539</x:v>
      </x:c>
      <x:c r="P371" s="10">
        <x:v>3.0</x:v>
      </x:c>
      <x:c r="Q371" s="41"/>
      <x:c r="R371" s="10">
        <x:v>22.4</x:v>
      </x:c>
      <x:c r="S371" s="7" t="s">
        <x:v>1540</x:v>
      </x:c>
      <x:c r="T371" s="7" t="b">
        <x:v>0</x:v>
      </x:c>
      <x:c r="U371" s="7" t="s">
        <x:v>1541</x:v>
      </x:c>
      <x:c r="V371" s="26" t="s">
        <x:v>1542</x:v>
      </x:c>
      <x:c r="W371" s="7" t="s">
        <x:v>3188</x:v>
      </x:c>
      <x:c r="X371" s="41"/>
      <x:c r="Y371" s="41"/>
      <x:c r="Z371" s="41"/>
    </x:row>
    <x:row r="372">
      <x:c r="A372" s="7" t="s">
        <x:v>3189</x:v>
      </x:c>
      <x:c r="B372" s="7" t="s">
        <x:v>3190</x:v>
      </x:c>
      <x:c r="C372" s="7" t="s">
        <x:v>3191</x:v>
      </x:c>
      <x:c r="D372" s="7" t="s">
        <x:v>229</x:v>
      </x:c>
      <x:c r="E372" s="7" t="s">
        <x:v>2393</x:v>
      </x:c>
      <x:c r="F372" s="10">
        <x:v>16.3259</x:v>
      </x:c>
      <x:c r="G372" s="10">
        <x:v>102.78601</x:v>
      </x:c>
      <x:c r="H372" s="7" t="s">
        <x:v>1554</x:v>
      </x:c>
      <x:c r="I372" s="10">
        <x:v>147.51</x:v>
      </x:c>
      <x:c r="J372" s="41"/>
      <x:c r="K372" s="41"/>
      <x:c r="L372" s="41"/>
      <x:c r="M372" s="10"/>
      <x:c r="N372" s="7" t="s">
        <x:v>2663</x:v>
      </x:c>
      <x:c r="O372" s="7" t="s">
        <x:v>1539</x:v>
      </x:c>
      <x:c r="P372" s="10">
        <x:v>3.0</x:v>
      </x:c>
      <x:c r="Q372" s="41"/>
      <x:c r="R372" s="10">
        <x:v>12.4</x:v>
      </x:c>
      <x:c r="S372" s="7" t="s">
        <x:v>1540</x:v>
      </x:c>
      <x:c r="T372" s="7" t="b">
        <x:v>0</x:v>
      </x:c>
      <x:c r="U372" s="7" t="s">
        <x:v>1541</x:v>
      </x:c>
      <x:c r="V372" s="26" t="s">
        <x:v>1542</x:v>
      </x:c>
      <x:c r="W372" s="7" t="s">
        <x:v>3192</x:v>
      </x:c>
      <x:c r="X372" s="41"/>
      <x:c r="Y372" s="41"/>
      <x:c r="Z372" s="41"/>
    </x:row>
    <x:row r="373">
      <x:c r="A373" s="7" t="s">
        <x:v>3193</x:v>
      </x:c>
      <x:c r="B373" s="7" t="s">
        <x:v>3194</x:v>
      </x:c>
      <x:c r="C373" s="7" t="s">
        <x:v>3195</x:v>
      </x:c>
      <x:c r="D373" s="7" t="s">
        <x:v>125</x:v>
      </x:c>
      <x:c r="E373" s="7" t="s">
        <x:v>2032</x:v>
      </x:c>
      <x:c r="F373" s="10">
        <x:v>15.32958</x:v>
      </x:c>
      <x:c r="G373" s="10">
        <x:v>103.68261</x:v>
      </x:c>
      <x:c r="H373" s="7" t="s">
        <x:v>1548</x:v>
      </x:c>
      <x:c r="I373" s="10">
        <x:v>120.62</x:v>
      </x:c>
      <x:c r="J373" s="41"/>
      <x:c r="K373" s="41"/>
      <x:c r="L373" s="41"/>
      <x:c r="M373" s="10"/>
      <x:c r="N373" s="7" t="s">
        <x:v>2663</x:v>
      </x:c>
      <x:c r="O373" s="7" t="s">
        <x:v>1539</x:v>
      </x:c>
      <x:c r="P373" s="10">
        <x:v>3.0</x:v>
      </x:c>
      <x:c r="Q373" s="41"/>
      <x:c r="R373" s="10">
        <x:v>82.4</x:v>
      </x:c>
      <x:c r="S373" s="7" t="s">
        <x:v>301</x:v>
      </x:c>
      <x:c r="T373" s="7" t="b">
        <x:v>0</x:v>
      </x:c>
      <x:c r="U373" s="7" t="s">
        <x:v>1541</x:v>
      </x:c>
      <x:c r="V373" s="26" t="s">
        <x:v>1542</x:v>
      </x:c>
      <x:c r="W373" s="7" t="s">
        <x:v>3196</x:v>
      </x:c>
      <x:c r="X373" s="41"/>
      <x:c r="Y373" s="41"/>
      <x:c r="Z373" s="41"/>
    </x:row>
    <x:row r="374">
      <x:c r="A374" s="7" t="s">
        <x:v>3197</x:v>
      </x:c>
      <x:c r="B374" s="7" t="s">
        <x:v>3198</x:v>
      </x:c>
      <x:c r="C374" s="7" t="s">
        <x:v>3199</x:v>
      </x:c>
      <x:c r="D374" s="7" t="s">
        <x:v>228</x:v>
      </x:c>
      <x:c r="E374" s="7" t="s">
        <x:v>3200</x:v>
      </x:c>
      <x:c r="F374" s="10">
        <x:v>16.95174</x:v>
      </x:c>
      <x:c r="G374" s="10">
        <x:v>103.168053</x:v>
      </x:c>
      <x:c r="H374" s="7" t="s">
        <x:v>1548</x:v>
      </x:c>
      <x:c r="I374" s="10">
        <x:v>163.09</x:v>
      </x:c>
      <x:c r="J374" s="41"/>
      <x:c r="K374" s="41"/>
      <x:c r="L374" s="41"/>
      <x:c r="M374" s="10"/>
      <x:c r="N374" s="7" t="s">
        <x:v>2663</x:v>
      </x:c>
      <x:c r="O374" s="7" t="s">
        <x:v>1539</x:v>
      </x:c>
      <x:c r="P374" s="10">
        <x:v>3.0</x:v>
      </x:c>
      <x:c r="Q374" s="41"/>
      <x:c r="R374" s="10">
        <x:v>82.4</x:v>
      </x:c>
      <x:c r="S374" s="7" t="s">
        <x:v>301</x:v>
      </x:c>
      <x:c r="T374" s="7" t="b">
        <x:v>0</x:v>
      </x:c>
      <x:c r="U374" s="7" t="s">
        <x:v>1541</x:v>
      </x:c>
      <x:c r="V374" s="26" t="s">
        <x:v>1542</x:v>
      </x:c>
      <x:c r="W374" s="7" t="s">
        <x:v>3201</x:v>
      </x:c>
      <x:c r="X374" s="41"/>
      <x:c r="Y374" s="41"/>
      <x:c r="Z374" s="41"/>
    </x:row>
    <x:row r="375">
      <x:c r="A375" s="7" t="s">
        <x:v>3202</x:v>
      </x:c>
      <x:c r="B375" s="7" t="s">
        <x:v>3203</x:v>
      </x:c>
      <x:c r="C375" s="7" t="s">
        <x:v>3204</x:v>
      </x:c>
      <x:c r="D375" s="7" t="s">
        <x:v>207</x:v>
      </x:c>
      <x:c r="E375" s="7" t="s">
        <x:v>2074</x:v>
      </x:c>
      <x:c r="F375" s="10">
        <x:v>18.786961</x:v>
      </x:c>
      <x:c r="G375" s="10">
        <x:v>99.005089</x:v>
      </x:c>
      <x:c r="H375" s="7" t="s">
        <x:v>1548</x:v>
      </x:c>
      <x:c r="I375" s="10">
        <x:v>301.82</x:v>
      </x:c>
      <x:c r="J375" s="41"/>
      <x:c r="K375" s="41"/>
      <x:c r="L375" s="41"/>
      <x:c r="M375" s="10">
        <x:v>304.2</x:v>
      </x:c>
      <x:c r="N375" s="7" t="s">
        <x:v>2663</x:v>
      </x:c>
      <x:c r="O375" s="7" t="s">
        <x:v>1539</x:v>
      </x:c>
      <x:c r="P375" s="10">
        <x:v>3.0</x:v>
      </x:c>
      <x:c r="Q375" s="41"/>
      <x:c r="R375" s="10">
        <x:v>82.4</x:v>
      </x:c>
      <x:c r="S375" s="7" t="s">
        <x:v>301</x:v>
      </x:c>
      <x:c r="T375" s="7" t="b">
        <x:v>0</x:v>
      </x:c>
      <x:c r="U375" s="7" t="s">
        <x:v>1541</x:v>
      </x:c>
      <x:c r="V375" s="26" t="s">
        <x:v>1542</x:v>
      </x:c>
      <x:c r="W375" s="7" t="s">
        <x:v>3205</x:v>
      </x:c>
      <x:c r="X375" s="41"/>
      <x:c r="Y375" s="41"/>
      <x:c r="Z375" s="41"/>
    </x:row>
    <x:row r="376">
      <x:c r="A376" s="7" t="s">
        <x:v>3206</x:v>
      </x:c>
      <x:c r="B376" s="7" t="s">
        <x:v>3207</x:v>
      </x:c>
      <x:c r="C376" s="7" t="s">
        <x:v>3208</x:v>
      </x:c>
      <x:c r="D376" s="7" t="s">
        <x:v>208</x:v>
      </x:c>
      <x:c r="E376" s="7"/>
      <x:c r="F376" s="10">
        <x:v>19.72628</x:v>
      </x:c>
      <x:c r="G376" s="10">
        <x:v>99.50745</x:v>
      </x:c>
      <x:c r="H376" s="7" t="s">
        <x:v>1658</x:v>
      </x:c>
      <x:c r="I376" s="10">
        <x:v>507.01</x:v>
      </x:c>
      <x:c r="J376" s="41"/>
      <x:c r="K376" s="41"/>
      <x:c r="L376" s="41"/>
      <x:c r="M376" s="10"/>
      <x:c r="N376" s="7" t="s">
        <x:v>2663</x:v>
      </x:c>
      <x:c r="O376" s="7" t="s">
        <x:v>1539</x:v>
      </x:c>
      <x:c r="P376" s="10">
        <x:v>3.0</x:v>
      </x:c>
      <x:c r="Q376" s="41"/>
      <x:c r="R376" s="10">
        <x:v>22.4</x:v>
      </x:c>
      <x:c r="S376" s="7" t="s">
        <x:v>1540</x:v>
      </x:c>
      <x:c r="T376" s="7" t="b">
        <x:v>0</x:v>
      </x:c>
      <x:c r="U376" s="7" t="s">
        <x:v>1541</x:v>
      </x:c>
      <x:c r="V376" s="26" t="s">
        <x:v>1542</x:v>
      </x:c>
      <x:c r="W376" s="7" t="s">
        <x:v>3209</x:v>
      </x:c>
      <x:c r="X376" s="41"/>
      <x:c r="Y376" s="41"/>
      <x:c r="Z376" s="41"/>
    </x:row>
    <x:row r="377">
      <x:c r="A377" s="7" t="s">
        <x:v>3210</x:v>
      </x:c>
      <x:c r="B377" s="7" t="s">
        <x:v>3211</x:v>
      </x:c>
      <x:c r="C377" s="7" t="s">
        <x:v>3212</x:v>
      </x:c>
      <x:c r="D377" s="7" t="s">
        <x:v>210</x:v>
      </x:c>
      <x:c r="E377" s="7" t="s">
        <x:v>3213</x:v>
      </x:c>
      <x:c r="F377" s="10">
        <x:v>18.924017</x:v>
      </x:c>
      <x:c r="G377" s="10">
        <x:v>100.92668</x:v>
      </x:c>
      <x:c r="H377" s="7" t="s">
        <x:v>1554</x:v>
      </x:c>
      <x:c r="I377" s="10">
        <x:v>262.19</x:v>
      </x:c>
      <x:c r="J377" s="41"/>
      <x:c r="K377" s="41"/>
      <x:c r="L377" s="41"/>
      <x:c r="M377" s="41"/>
      <x:c r="N377" s="7" t="s">
        <x:v>2663</x:v>
      </x:c>
      <x:c r="O377" s="7" t="s">
        <x:v>1539</x:v>
      </x:c>
      <x:c r="P377" s="10">
        <x:v>3.0</x:v>
      </x:c>
      <x:c r="Q377" s="41"/>
      <x:c r="R377" s="10">
        <x:v>12.4</x:v>
      </x:c>
      <x:c r="S377" s="7" t="s">
        <x:v>1540</x:v>
      </x:c>
      <x:c r="T377" s="7" t="b">
        <x:v>0</x:v>
      </x:c>
      <x:c r="U377" s="7" t="s">
        <x:v>1541</x:v>
      </x:c>
      <x:c r="V377" s="26" t="s">
        <x:v>1542</x:v>
      </x:c>
      <x:c r="W377" s="7" t="s">
        <x:v>3214</x:v>
      </x:c>
      <x:c r="X377" s="41"/>
      <x:c r="Y377" s="41"/>
      <x:c r="Z377" s="41"/>
    </x:row>
    <x:row r="378">
      <x:c r="A378" s="7" t="s">
        <x:v>3215</x:v>
      </x:c>
      <x:c r="B378" s="7" t="s">
        <x:v>3216</x:v>
      </x:c>
      <x:c r="C378" s="7" t="s">
        <x:v>3217</x:v>
      </x:c>
      <x:c r="D378" s="7" t="s">
        <x:v>224</x:v>
      </x:c>
      <x:c r="E378" s="7"/>
      <x:c r="F378" s="10">
        <x:v>13.3319</x:v>
      </x:c>
      <x:c r="G378" s="10">
        <x:v>99.96896</x:v>
      </x:c>
      <x:c r="H378" s="7" t="s">
        <x:v>1554</x:v>
      </x:c>
      <x:c r="I378" s="10">
        <x:v>0.14</x:v>
      </x:c>
      <x:c r="J378" s="41"/>
      <x:c r="K378" s="41"/>
      <x:c r="L378" s="41"/>
      <x:c r="M378" s="10"/>
      <x:c r="N378" s="7" t="s">
        <x:v>2663</x:v>
      </x:c>
      <x:c r="O378" s="7" t="s">
        <x:v>1539</x:v>
      </x:c>
      <x:c r="P378" s="10">
        <x:v>3.0</x:v>
      </x:c>
      <x:c r="Q378" s="41"/>
      <x:c r="R378" s="10">
        <x:v>12.4</x:v>
      </x:c>
      <x:c r="S378" s="7" t="s">
        <x:v>1540</x:v>
      </x:c>
      <x:c r="T378" s="7" t="b">
        <x:v>0</x:v>
      </x:c>
      <x:c r="U378" s="7" t="s">
        <x:v>1541</x:v>
      </x:c>
      <x:c r="V378" s="26" t="s">
        <x:v>1542</x:v>
      </x:c>
      <x:c r="W378" s="7" t="s">
        <x:v>3218</x:v>
      </x:c>
      <x:c r="X378" s="41"/>
      <x:c r="Y378" s="41"/>
      <x:c r="Z378" s="41"/>
    </x:row>
    <x:row r="379">
      <x:c r="A379" s="7" t="s">
        <x:v>3219</x:v>
      </x:c>
      <x:c r="B379" s="7" t="s">
        <x:v>3220</x:v>
      </x:c>
      <x:c r="C379" s="7" t="s">
        <x:v>3221</x:v>
      </x:c>
      <x:c r="D379" s="7" t="s">
        <x:v>255</x:v>
      </x:c>
      <x:c r="E379" s="7" t="s">
        <x:v>3222</x:v>
      </x:c>
      <x:c r="F379" s="10">
        <x:v>6.98637</x:v>
      </x:c>
      <x:c r="G379" s="10">
        <x:v>100.481857</x:v>
      </x:c>
      <x:c r="H379" s="7" t="s">
        <x:v>1548</x:v>
      </x:c>
      <x:c r="I379" s="10">
        <x:v>4.57</x:v>
      </x:c>
      <x:c r="J379" s="41"/>
      <x:c r="K379" s="41"/>
      <x:c r="L379" s="41"/>
      <x:c r="M379" s="10"/>
      <x:c r="N379" s="7" t="s">
        <x:v>2663</x:v>
      </x:c>
      <x:c r="O379" s="7" t="s">
        <x:v>1539</x:v>
      </x:c>
      <x:c r="P379" s="10">
        <x:v>3.0</x:v>
      </x:c>
      <x:c r="Q379" s="41"/>
      <x:c r="R379" s="10">
        <x:v>82.4</x:v>
      </x:c>
      <x:c r="S379" s="7" t="s">
        <x:v>301</x:v>
      </x:c>
      <x:c r="T379" s="7" t="b">
        <x:v>0</x:v>
      </x:c>
      <x:c r="U379" s="7" t="s">
        <x:v>1541</x:v>
      </x:c>
      <x:c r="V379" s="26" t="s">
        <x:v>1542</x:v>
      </x:c>
      <x:c r="W379" s="7" t="s">
        <x:v>3223</x:v>
      </x:c>
      <x:c r="X379" s="41"/>
      <x:c r="Y379" s="41"/>
      <x:c r="Z379" s="41"/>
    </x:row>
    <x:row r="380">
      <x:c r="A380" s="7" t="s">
        <x:v>3224</x:v>
      </x:c>
      <x:c r="B380" s="7" t="s">
        <x:v>3225</x:v>
      </x:c>
      <x:c r="C380" s="7" t="s">
        <x:v>3226</x:v>
      </x:c>
      <x:c r="D380" s="7" t="s">
        <x:v>207</x:v>
      </x:c>
      <x:c r="E380" s="7" t="s">
        <x:v>3227</x:v>
      </x:c>
      <x:c r="F380" s="10">
        <x:v>18.92746</x:v>
      </x:c>
      <x:c r="G380" s="10">
        <x:v>98.939774</x:v>
      </x:c>
      <x:c r="H380" s="7" t="s">
        <x:v>1548</x:v>
      </x:c>
      <x:c r="I380" s="10">
        <x:v>321.24</x:v>
      </x:c>
      <x:c r="J380" s="41"/>
      <x:c r="K380" s="41"/>
      <x:c r="L380" s="41"/>
      <x:c r="M380" s="41"/>
      <x:c r="N380" s="7" t="s">
        <x:v>2663</x:v>
      </x:c>
      <x:c r="O380" s="7" t="s">
        <x:v>1539</x:v>
      </x:c>
      <x:c r="P380" s="10">
        <x:v>3.0</x:v>
      </x:c>
      <x:c r="Q380" s="41"/>
      <x:c r="R380" s="10">
        <x:v>82.4</x:v>
      </x:c>
      <x:c r="S380" s="7" t="s">
        <x:v>301</x:v>
      </x:c>
      <x:c r="T380" s="7" t="b">
        <x:v>0</x:v>
      </x:c>
      <x:c r="U380" s="7" t="s">
        <x:v>1541</x:v>
      </x:c>
      <x:c r="V380" s="26" t="s">
        <x:v>1542</x:v>
      </x:c>
      <x:c r="W380" s="7" t="s">
        <x:v>3228</x:v>
      </x:c>
      <x:c r="X380" s="41"/>
      <x:c r="Y380" s="41"/>
      <x:c r="Z380" s="41"/>
    </x:row>
    <x:row r="381">
      <x:c r="A381" s="7" t="s">
        <x:v>3229</x:v>
      </x:c>
      <x:c r="B381" s="7" t="s">
        <x:v>3230</x:v>
      </x:c>
      <x:c r="C381" s="7" t="s">
        <x:v>3231</x:v>
      </x:c>
      <x:c r="D381" s="7" t="s">
        <x:v>122</x:v>
      </x:c>
      <x:c r="E381" s="7" t="s">
        <x:v>3232</x:v>
      </x:c>
      <x:c r="F381" s="10">
        <x:v>14.60611</x:v>
      </x:c>
      <x:c r="G381" s="10">
        <x:v>101.472778</x:v>
      </x:c>
      <x:c r="H381" s="7" t="s">
        <x:v>1548</x:v>
      </x:c>
      <x:c r="I381" s="10">
        <x:v>331.24</x:v>
      </x:c>
      <x:c r="J381" s="41"/>
      <x:c r="K381" s="41"/>
      <x:c r="L381" s="41"/>
      <x:c r="M381" s="10"/>
      <x:c r="N381" s="7" t="s">
        <x:v>2663</x:v>
      </x:c>
      <x:c r="O381" s="7" t="s">
        <x:v>1539</x:v>
      </x:c>
      <x:c r="P381" s="10">
        <x:v>3.0</x:v>
      </x:c>
      <x:c r="Q381" s="41"/>
      <x:c r="R381" s="10">
        <x:v>82.4</x:v>
      </x:c>
      <x:c r="S381" s="7" t="s">
        <x:v>301</x:v>
      </x:c>
      <x:c r="T381" s="7" t="b">
        <x:v>0</x:v>
      </x:c>
      <x:c r="U381" s="7" t="s">
        <x:v>1541</x:v>
      </x:c>
      <x:c r="V381" s="26" t="s">
        <x:v>1542</x:v>
      </x:c>
      <x:c r="W381" s="7" t="s">
        <x:v>3233</x:v>
      </x:c>
      <x:c r="X381" s="41"/>
      <x:c r="Y381" s="41"/>
      <x:c r="Z381" s="41"/>
    </x:row>
    <x:row r="382">
      <x:c r="A382" s="7" t="s">
        <x:v>3234</x:v>
      </x:c>
      <x:c r="B382" s="7" t="s">
        <x:v>3235</x:v>
      </x:c>
      <x:c r="C382" s="7" t="s">
        <x:v>3236</x:v>
      </x:c>
      <x:c r="D382" s="7" t="s">
        <x:v>261</x:v>
      </x:c>
      <x:c r="E382" s="7" t="s">
        <x:v>2398</x:v>
      </x:c>
      <x:c r="F382" s="10">
        <x:v>6.02261</x:v>
      </x:c>
      <x:c r="G382" s="10">
        <x:v>101.974892</x:v>
      </x:c>
      <x:c r="H382" s="7" t="s">
        <x:v>1548</x:v>
      </x:c>
      <x:c r="I382" s="10">
        <x:v>4.75</x:v>
      </x:c>
      <x:c r="J382" s="41"/>
      <x:c r="K382" s="41"/>
      <x:c r="L382" s="41"/>
      <x:c r="M382" s="10">
        <x:v>8.2</x:v>
      </x:c>
      <x:c r="N382" s="7" t="s">
        <x:v>2663</x:v>
      </x:c>
      <x:c r="O382" s="7" t="s">
        <x:v>1539</x:v>
      </x:c>
      <x:c r="P382" s="10">
        <x:v>3.0</x:v>
      </x:c>
      <x:c r="Q382" s="41"/>
      <x:c r="R382" s="10">
        <x:v>82.4</x:v>
      </x:c>
      <x:c r="S382" s="7" t="s">
        <x:v>301</x:v>
      </x:c>
      <x:c r="T382" s="7" t="b">
        <x:v>0</x:v>
      </x:c>
      <x:c r="U382" s="7" t="s">
        <x:v>1541</x:v>
      </x:c>
      <x:c r="V382" s="26" t="s">
        <x:v>1542</x:v>
      </x:c>
      <x:c r="W382" s="7" t="s">
        <x:v>3237</x:v>
      </x:c>
      <x:c r="X382" s="41"/>
      <x:c r="Y382" s="41"/>
      <x:c r="Z382" s="41"/>
    </x:row>
    <x:row r="383">
      <x:c r="A383" s="7" t="s">
        <x:v>3238</x:v>
      </x:c>
      <x:c r="B383" s="7" t="s">
        <x:v>3239</x:v>
      </x:c>
      <x:c r="C383" s="7" t="s">
        <x:v>3240</x:v>
      </x:c>
      <x:c r="D383" s="7" t="s">
        <x:v>31</x:v>
      </x:c>
      <x:c r="E383" s="7" t="s">
        <x:v>1703</x:v>
      </x:c>
      <x:c r="F383" s="10">
        <x:v>16.78151</x:v>
      </x:c>
      <x:c r="G383" s="10">
        <x:v>101.2467</x:v>
      </x:c>
      <x:c r="H383" s="7" t="s">
        <x:v>1554</x:v>
      </x:c>
      <x:c r="I383" s="10">
        <x:v>141.63</x:v>
      </x:c>
      <x:c r="J383" s="41"/>
      <x:c r="K383" s="41"/>
      <x:c r="L383" s="41"/>
      <x:c r="M383" s="41"/>
      <x:c r="N383" s="7" t="s">
        <x:v>2663</x:v>
      </x:c>
      <x:c r="O383" s="7" t="s">
        <x:v>1539</x:v>
      </x:c>
      <x:c r="P383" s="10">
        <x:v>3.0</x:v>
      </x:c>
      <x:c r="Q383" s="41"/>
      <x:c r="R383" s="10">
        <x:v>12.4</x:v>
      </x:c>
      <x:c r="S383" s="7" t="s">
        <x:v>1540</x:v>
      </x:c>
      <x:c r="T383" s="7" t="b">
        <x:v>0</x:v>
      </x:c>
      <x:c r="U383" s="7" t="s">
        <x:v>1541</x:v>
      </x:c>
      <x:c r="V383" s="26" t="s">
        <x:v>1542</x:v>
      </x:c>
      <x:c r="W383" s="7" t="s">
        <x:v>3241</x:v>
      </x:c>
      <x:c r="X383" s="41"/>
      <x:c r="Y383" s="41"/>
      <x:c r="Z383" s="41"/>
    </x:row>
    <x:row r="384">
      <x:c r="A384" s="7" t="s">
        <x:v>3242</x:v>
      </x:c>
      <x:c r="B384" s="7" t="s">
        <x:v>3243</x:v>
      </x:c>
      <x:c r="C384" s="7" t="s">
        <x:v>3244</x:v>
      </x:c>
      <x:c r="D384" s="7" t="s">
        <x:v>122</x:v>
      </x:c>
      <x:c r="E384" s="7" t="s">
        <x:v>3245</x:v>
      </x:c>
      <x:c r="F384" s="10">
        <x:v>14.69785</x:v>
      </x:c>
      <x:c r="G384" s="10">
        <x:v>101.415154</x:v>
      </x:c>
      <x:c r="H384" s="7" t="s">
        <x:v>1548</x:v>
      </x:c>
      <x:c r="I384" s="10">
        <x:v>294.42</x:v>
      </x:c>
      <x:c r="J384" s="41"/>
      <x:c r="K384" s="41"/>
      <x:c r="L384" s="41"/>
      <x:c r="M384" s="10"/>
      <x:c r="N384" s="7" t="s">
        <x:v>2663</x:v>
      </x:c>
      <x:c r="O384" s="7" t="s">
        <x:v>1539</x:v>
      </x:c>
      <x:c r="P384" s="10">
        <x:v>3.0</x:v>
      </x:c>
      <x:c r="Q384" s="41"/>
      <x:c r="R384" s="10">
        <x:v>82.4</x:v>
      </x:c>
      <x:c r="S384" s="7" t="s">
        <x:v>301</x:v>
      </x:c>
      <x:c r="T384" s="7" t="b">
        <x:v>0</x:v>
      </x:c>
      <x:c r="U384" s="7" t="s">
        <x:v>1541</x:v>
      </x:c>
      <x:c r="V384" s="26" t="s">
        <x:v>1542</x:v>
      </x:c>
      <x:c r="W384" s="7" t="s">
        <x:v>3246</x:v>
      </x:c>
      <x:c r="X384" s="41"/>
      <x:c r="Y384" s="41"/>
      <x:c r="Z384" s="41"/>
    </x:row>
    <x:row r="385">
      <x:c r="A385" s="7" t="s">
        <x:v>3247</x:v>
      </x:c>
      <x:c r="B385" s="7" t="s">
        <x:v>3248</x:v>
      </x:c>
      <x:c r="C385" s="7" t="s">
        <x:v>3249</x:v>
      </x:c>
      <x:c r="D385" s="7" t="s">
        <x:v>209</x:v>
      </x:c>
      <x:c r="E385" s="7" t="s">
        <x:v>3250</x:v>
      </x:c>
      <x:c r="F385" s="10">
        <x:v>17.775057</x:v>
      </x:c>
      <x:c r="G385" s="10">
        <x:v>99.46933</x:v>
      </x:c>
      <x:c r="H385" s="7" t="s">
        <x:v>1554</x:v>
      </x:c>
      <x:c r="I385" s="10">
        <x:v>155.71</x:v>
      </x:c>
      <x:c r="J385" s="41"/>
      <x:c r="K385" s="41"/>
      <x:c r="L385" s="41"/>
      <x:c r="M385" s="10"/>
      <x:c r="N385" s="7" t="s">
        <x:v>2663</x:v>
      </x:c>
      <x:c r="O385" s="7" t="s">
        <x:v>1539</x:v>
      </x:c>
      <x:c r="P385" s="10">
        <x:v>3.0</x:v>
      </x:c>
      <x:c r="Q385" s="41"/>
      <x:c r="R385" s="10">
        <x:v>12.4</x:v>
      </x:c>
      <x:c r="S385" s="7" t="s">
        <x:v>1540</x:v>
      </x:c>
      <x:c r="T385" s="7" t="b">
        <x:v>0</x:v>
      </x:c>
      <x:c r="U385" s="7" t="s">
        <x:v>1541</x:v>
      </x:c>
      <x:c r="V385" s="26" t="s">
        <x:v>1542</x:v>
      </x:c>
      <x:c r="W385" s="7" t="s">
        <x:v>3251</x:v>
      </x:c>
      <x:c r="X385" s="41"/>
      <x:c r="Y385" s="41"/>
      <x:c r="Z385" s="41"/>
    </x:row>
    <x:row r="386">
      <x:c r="A386" s="7" t="s">
        <x:v>3252</x:v>
      </x:c>
      <x:c r="B386" s="7" t="s">
        <x:v>3253</x:v>
      </x:c>
      <x:c r="C386" s="7" t="s">
        <x:v>3254</x:v>
      </x:c>
      <x:c r="D386" s="7" t="s">
        <x:v>251</x:v>
      </x:c>
      <x:c r="E386" s="7" t="s">
        <x:v>3255</x:v>
      </x:c>
      <x:c r="F386" s="10">
        <x:v>8.109219</x:v>
      </x:c>
      <x:c r="G386" s="10">
        <x:v>98.905525</x:v>
      </x:c>
      <x:c r="H386" s="7" t="s">
        <x:v>1554</x:v>
      </x:c>
      <x:c r="I386" s="10">
        <x:v>2.24</x:v>
      </x:c>
      <x:c r="J386" s="41"/>
      <x:c r="K386" s="41"/>
      <x:c r="L386" s="41"/>
      <x:c r="M386" s="41"/>
      <x:c r="N386" s="7" t="s">
        <x:v>2663</x:v>
      </x:c>
      <x:c r="O386" s="7" t="s">
        <x:v>1539</x:v>
      </x:c>
      <x:c r="P386" s="10">
        <x:v>3.0</x:v>
      </x:c>
      <x:c r="Q386" s="41"/>
      <x:c r="R386" s="10">
        <x:v>12.4</x:v>
      </x:c>
      <x:c r="S386" s="7" t="s">
        <x:v>1540</x:v>
      </x:c>
      <x:c r="T386" s="7" t="b">
        <x:v>0</x:v>
      </x:c>
      <x:c r="U386" s="7" t="s">
        <x:v>1541</x:v>
      </x:c>
      <x:c r="V386" s="26" t="s">
        <x:v>1542</x:v>
      </x:c>
      <x:c r="W386" s="7" t="s">
        <x:v>3256</x:v>
      </x:c>
      <x:c r="X386" s="41"/>
      <x:c r="Y386" s="41"/>
      <x:c r="Z386" s="41"/>
    </x:row>
    <x:row r="387">
      <x:c r="A387" s="7" t="s">
        <x:v>3257</x:v>
      </x:c>
      <x:c r="B387" s="7" t="s">
        <x:v>3258</x:v>
      </x:c>
      <x:c r="C387" s="7" t="s">
        <x:v>3259</x:v>
      </x:c>
      <x:c r="D387" s="7" t="s">
        <x:v>197</x:v>
      </x:c>
      <x:c r="E387" s="7" t="s">
        <x:v>2802</x:v>
      </x:c>
      <x:c r="F387" s="10">
        <x:v>10.59451</x:v>
      </x:c>
      <x:c r="G387" s="10">
        <x:v>99.141769</x:v>
      </x:c>
      <x:c r="H387" s="7" t="s">
        <x:v>1548</x:v>
      </x:c>
      <x:c r="I387" s="10">
        <x:v>6.16</x:v>
      </x:c>
      <x:c r="J387" s="41"/>
      <x:c r="K387" s="41"/>
      <x:c r="L387" s="41"/>
      <x:c r="M387" s="41"/>
      <x:c r="N387" s="7" t="s">
        <x:v>2663</x:v>
      </x:c>
      <x:c r="O387" s="7" t="s">
        <x:v>1539</x:v>
      </x:c>
      <x:c r="P387" s="10">
        <x:v>3.0</x:v>
      </x:c>
      <x:c r="Q387" s="41"/>
      <x:c r="R387" s="10">
        <x:v>82.4</x:v>
      </x:c>
      <x:c r="S387" s="7" t="s">
        <x:v>301</x:v>
      </x:c>
      <x:c r="T387" s="7" t="b">
        <x:v>0</x:v>
      </x:c>
      <x:c r="U387" s="7" t="s">
        <x:v>1541</x:v>
      </x:c>
      <x:c r="V387" s="26" t="s">
        <x:v>1542</x:v>
      </x:c>
      <x:c r="W387" s="7" t="s">
        <x:v>3260</x:v>
      </x:c>
      <x:c r="X387" s="41"/>
      <x:c r="Y387" s="41"/>
      <x:c r="Z387" s="41"/>
    </x:row>
    <x:row r="388">
      <x:c r="A388" s="7" t="s">
        <x:v>3261</x:v>
      </x:c>
      <x:c r="B388" s="7" t="s">
        <x:v>3262</x:v>
      </x:c>
      <x:c r="C388" s="7" t="s">
        <x:v>3263</x:v>
      </x:c>
      <x:c r="D388" s="7" t="s">
        <x:v>225</x:v>
      </x:c>
      <x:c r="E388" s="7" t="s">
        <x:v>3264</x:v>
      </x:c>
      <x:c r="F388" s="10">
        <x:v>11.24042</x:v>
      </x:c>
      <x:c r="G388" s="10">
        <x:v>99.43526</x:v>
      </x:c>
      <x:c r="H388" s="7" t="s">
        <x:v>1554</x:v>
      </x:c>
      <x:c r="I388" s="10">
        <x:v>13.72</x:v>
      </x:c>
      <x:c r="J388" s="41"/>
      <x:c r="K388" s="41"/>
      <x:c r="L388" s="41"/>
      <x:c r="M388" s="41"/>
      <x:c r="N388" s="7" t="s">
        <x:v>2663</x:v>
      </x:c>
      <x:c r="O388" s="7" t="s">
        <x:v>1539</x:v>
      </x:c>
      <x:c r="P388" s="10">
        <x:v>3.0</x:v>
      </x:c>
      <x:c r="Q388" s="41"/>
      <x:c r="R388" s="10">
        <x:v>12.4</x:v>
      </x:c>
      <x:c r="S388" s="7" t="s">
        <x:v>1540</x:v>
      </x:c>
      <x:c r="T388" s="7" t="b">
        <x:v>0</x:v>
      </x:c>
      <x:c r="U388" s="7" t="s">
        <x:v>1541</x:v>
      </x:c>
      <x:c r="V388" s="26" t="s">
        <x:v>1542</x:v>
      </x:c>
      <x:c r="W388" s="7" t="s">
        <x:v>3265</x:v>
      </x:c>
      <x:c r="X388" s="41"/>
      <x:c r="Y388" s="41"/>
      <x:c r="Z388" s="41"/>
    </x:row>
    <x:row r="389">
      <x:c r="A389" s="7" t="s">
        <x:v>3266</x:v>
      </x:c>
      <x:c r="B389" s="7" t="s">
        <x:v>3267</x:v>
      </x:c>
      <x:c r="C389" s="7" t="s">
        <x:v>3268</x:v>
      </x:c>
      <x:c r="D389" s="7" t="s">
        <x:v>249</x:v>
      </x:c>
      <x:c r="E389" s="7"/>
      <x:c r="F389" s="10">
        <x:v>8.847581</x:v>
      </x:c>
      <x:c r="G389" s="10">
        <x:v>99.198984</x:v>
      </x:c>
      <x:c r="H389" s="7" t="s">
        <x:v>1658</x:v>
      </x:c>
      <x:c r="I389" s="10">
        <x:v>0.96</x:v>
      </x:c>
      <x:c r="J389" s="41"/>
      <x:c r="K389" s="41"/>
      <x:c r="L389" s="41"/>
      <x:c r="M389" s="10">
        <x:v>6.0</x:v>
      </x:c>
      <x:c r="N389" s="7" t="s">
        <x:v>2663</x:v>
      </x:c>
      <x:c r="O389" s="7" t="s">
        <x:v>1539</x:v>
      </x:c>
      <x:c r="P389" s="10">
        <x:v>3.0</x:v>
      </x:c>
      <x:c r="Q389" s="41"/>
      <x:c r="R389" s="10">
        <x:v>22.4</x:v>
      </x:c>
      <x:c r="S389" s="7" t="s">
        <x:v>1540</x:v>
      </x:c>
      <x:c r="T389" s="7" t="b">
        <x:v>0</x:v>
      </x:c>
      <x:c r="U389" s="7" t="s">
        <x:v>1541</x:v>
      </x:c>
      <x:c r="V389" s="26" t="s">
        <x:v>1542</x:v>
      </x:c>
      <x:c r="W389" s="7" t="s">
        <x:v>3269</x:v>
      </x:c>
      <x:c r="X389" s="41"/>
      <x:c r="Y389" s="41"/>
      <x:c r="Z389" s="41"/>
    </x:row>
    <x:row r="390">
      <x:c r="A390" s="7" t="s">
        <x:v>3270</x:v>
      </x:c>
      <x:c r="B390" s="7" t="s">
        <x:v>3271</x:v>
      </x:c>
      <x:c r="C390" s="7" t="s">
        <x:v>3272</x:v>
      </x:c>
      <x:c r="D390" s="7" t="s">
        <x:v>248</x:v>
      </x:c>
      <x:c r="E390" s="7" t="s">
        <x:v>3273</x:v>
      </x:c>
      <x:c r="F390" s="10">
        <x:v>8.2801</x:v>
      </x:c>
      <x:c r="G390" s="10">
        <x:v>99.906487</x:v>
      </x:c>
      <x:c r="H390" s="7" t="s">
        <x:v>1548</x:v>
      </x:c>
      <x:c r="I390" s="10">
        <x:v>9.09</x:v>
      </x:c>
      <x:c r="J390" s="41"/>
      <x:c r="K390" s="41"/>
      <x:c r="L390" s="41"/>
      <x:c r="M390" s="41"/>
      <x:c r="N390" s="7" t="s">
        <x:v>2663</x:v>
      </x:c>
      <x:c r="O390" s="7" t="s">
        <x:v>1539</x:v>
      </x:c>
      <x:c r="P390" s="10">
        <x:v>3.0</x:v>
      </x:c>
      <x:c r="Q390" s="41"/>
      <x:c r="R390" s="10">
        <x:v>82.4</x:v>
      </x:c>
      <x:c r="S390" s="7" t="s">
        <x:v>301</x:v>
      </x:c>
      <x:c r="T390" s="7" t="b">
        <x:v>0</x:v>
      </x:c>
      <x:c r="U390" s="7" t="s">
        <x:v>1541</x:v>
      </x:c>
      <x:c r="V390" s="26" t="s">
        <x:v>1542</x:v>
      </x:c>
      <x:c r="W390" s="7" t="s">
        <x:v>3274</x:v>
      </x:c>
      <x:c r="X390" s="41"/>
      <x:c r="Y390" s="41"/>
      <x:c r="Z390" s="41"/>
    </x:row>
    <x:row r="391">
      <x:c r="A391" s="7" t="s">
        <x:v>3275</x:v>
      </x:c>
      <x:c r="B391" s="7" t="s">
        <x:v>3276</x:v>
      </x:c>
      <x:c r="C391" s="7" t="s">
        <x:v>3277</x:v>
      </x:c>
      <x:c r="D391" s="7" t="s">
        <x:v>18</x:v>
      </x:c>
      <x:c r="E391" s="7" t="s">
        <x:v>2695</x:v>
      </x:c>
      <x:c r="F391" s="10">
        <x:v>17.26053</x:v>
      </x:c>
      <x:c r="G391" s="10">
        <x:v>99.07797</x:v>
      </x:c>
      <x:c r="H391" s="7" t="s">
        <x:v>1554</x:v>
      </x:c>
      <x:c r="I391" s="10">
        <x:v>135.52</x:v>
      </x:c>
      <x:c r="J391" s="41"/>
      <x:c r="K391" s="41"/>
      <x:c r="L391" s="41"/>
      <x:c r="M391" s="41"/>
      <x:c r="N391" s="7" t="s">
        <x:v>2663</x:v>
      </x:c>
      <x:c r="O391" s="7" t="s">
        <x:v>1539</x:v>
      </x:c>
      <x:c r="P391" s="10">
        <x:v>3.0</x:v>
      </x:c>
      <x:c r="Q391" s="41"/>
      <x:c r="R391" s="10">
        <x:v>12.4</x:v>
      </x:c>
      <x:c r="S391" s="7" t="s">
        <x:v>1540</x:v>
      </x:c>
      <x:c r="T391" s="7" t="b">
        <x:v>0</x:v>
      </x:c>
      <x:c r="U391" s="7" t="s">
        <x:v>1541</x:v>
      </x:c>
      <x:c r="V391" s="26" t="s">
        <x:v>1542</x:v>
      </x:c>
      <x:c r="W391" s="7" t="s">
        <x:v>3278</x:v>
      </x:c>
      <x:c r="X391" s="41"/>
      <x:c r="Y391" s="41"/>
      <x:c r="Z391" s="41"/>
    </x:row>
    <x:row r="392">
      <x:c r="A392" s="7" t="s">
        <x:v>3279</x:v>
      </x:c>
      <x:c r="B392" s="7" t="s">
        <x:v>3280</x:v>
      </x:c>
      <x:c r="C392" s="7" t="s">
        <x:v>3281</x:v>
      </x:c>
      <x:c r="D392" s="7" t="s">
        <x:v>213</x:v>
      </x:c>
      <x:c r="E392" s="7" t="s">
        <x:v>3282</x:v>
      </x:c>
      <x:c r="F392" s="10">
        <x:v>18.366421</x:v>
      </x:c>
      <x:c r="G392" s="10">
        <x:v>98.772102</x:v>
      </x:c>
      <x:c r="H392" s="7" t="s">
        <x:v>1548</x:v>
      </x:c>
      <x:c r="I392" s="10">
        <x:v>290.64</x:v>
      </x:c>
      <x:c r="J392" s="41"/>
      <x:c r="K392" s="41"/>
      <x:c r="L392" s="41"/>
      <x:c r="M392" s="41"/>
      <x:c r="N392" s="7" t="s">
        <x:v>2663</x:v>
      </x:c>
      <x:c r="O392" s="7" t="s">
        <x:v>1539</x:v>
      </x:c>
      <x:c r="P392" s="10">
        <x:v>3.0</x:v>
      </x:c>
      <x:c r="Q392" s="41"/>
      <x:c r="R392" s="10">
        <x:v>82.4</x:v>
      </x:c>
      <x:c r="S392" s="7" t="s">
        <x:v>301</x:v>
      </x:c>
      <x:c r="T392" s="7" t="b">
        <x:v>0</x:v>
      </x:c>
      <x:c r="U392" s="7" t="s">
        <x:v>1541</x:v>
      </x:c>
      <x:c r="V392" s="26" t="s">
        <x:v>1542</x:v>
      </x:c>
      <x:c r="W392" s="7" t="s">
        <x:v>3283</x:v>
      </x:c>
      <x:c r="X392" s="41"/>
      <x:c r="Y392" s="41"/>
      <x:c r="Z392" s="41"/>
    </x:row>
    <x:row r="393">
      <x:c r="A393" s="7" t="s">
        <x:v>3284</x:v>
      </x:c>
      <x:c r="B393" s="7" t="s">
        <x:v>3285</x:v>
      </x:c>
      <x:c r="C393" s="7" t="s">
        <x:v>3286</x:v>
      </x:c>
      <x:c r="D393" s="7" t="s">
        <x:v>231</x:v>
      </x:c>
      <x:c r="E393" s="7" t="s">
        <x:v>2393</x:v>
      </x:c>
      <x:c r="F393" s="10">
        <x:v>16.115801</x:v>
      </x:c>
      <x:c r="G393" s="10">
        <x:v>103.846603</x:v>
      </x:c>
      <x:c r="H393" s="7" t="s">
        <x:v>1548</x:v>
      </x:c>
      <x:c r="I393" s="10">
        <x:v>127.03</x:v>
      </x:c>
      <x:c r="J393" s="41"/>
      <x:c r="K393" s="41"/>
      <x:c r="L393" s="41"/>
      <x:c r="M393" s="41"/>
      <x:c r="N393" s="7" t="s">
        <x:v>2663</x:v>
      </x:c>
      <x:c r="O393" s="7" t="s">
        <x:v>1539</x:v>
      </x:c>
      <x:c r="P393" s="10">
        <x:v>3.0</x:v>
      </x:c>
      <x:c r="Q393" s="41"/>
      <x:c r="R393" s="10">
        <x:v>82.4</x:v>
      </x:c>
      <x:c r="S393" s="7" t="s">
        <x:v>301</x:v>
      </x:c>
      <x:c r="T393" s="7" t="b">
        <x:v>0</x:v>
      </x:c>
      <x:c r="U393" s="7" t="s">
        <x:v>1541</x:v>
      </x:c>
      <x:c r="V393" s="26" t="s">
        <x:v>1542</x:v>
      </x:c>
      <x:c r="W393" s="7" t="s">
        <x:v>3287</x:v>
      </x:c>
      <x:c r="X393" s="41"/>
      <x:c r="Y393" s="41"/>
      <x:c r="Z393" s="41"/>
    </x:row>
    <x:row r="394">
      <x:c r="A394" s="7" t="s">
        <x:v>3288</x:v>
      </x:c>
      <x:c r="B394" s="7" t="s">
        <x:v>3289</x:v>
      </x:c>
      <x:c r="C394" s="7" t="s">
        <x:v>3290</x:v>
      </x:c>
      <x:c r="D394" s="7" t="s">
        <x:v>197</x:v>
      </x:c>
      <x:c r="E394" s="7" t="s">
        <x:v>3291</x:v>
      </x:c>
      <x:c r="F394" s="10">
        <x:v>10.50334</x:v>
      </x:c>
      <x:c r="G394" s="10">
        <x:v>98.964401</x:v>
      </x:c>
      <x:c r="H394" s="7" t="s">
        <x:v>1548</x:v>
      </x:c>
      <x:c r="I394" s="10">
        <x:v>38.81</x:v>
      </x:c>
      <x:c r="J394" s="41"/>
      <x:c r="K394" s="41"/>
      <x:c r="L394" s="41"/>
      <x:c r="M394" s="41"/>
      <x:c r="N394" s="7" t="s">
        <x:v>2663</x:v>
      </x:c>
      <x:c r="O394" s="7" t="s">
        <x:v>1539</x:v>
      </x:c>
      <x:c r="P394" s="10">
        <x:v>3.0</x:v>
      </x:c>
      <x:c r="Q394" s="41"/>
      <x:c r="R394" s="10">
        <x:v>82.4</x:v>
      </x:c>
      <x:c r="S394" s="7" t="s">
        <x:v>301</x:v>
      </x:c>
      <x:c r="T394" s="7" t="b">
        <x:v>0</x:v>
      </x:c>
      <x:c r="U394" s="7" t="s">
        <x:v>1541</x:v>
      </x:c>
      <x:c r="V394" s="26" t="s">
        <x:v>1542</x:v>
      </x:c>
      <x:c r="W394" s="7" t="s">
        <x:v>3292</x:v>
      </x:c>
      <x:c r="X394" s="41"/>
      <x:c r="Y394" s="41"/>
      <x:c r="Z394" s="41"/>
    </x:row>
    <x:row r="395">
      <x:c r="A395" s="7" t="s">
        <x:v>3293</x:v>
      </x:c>
      <x:c r="B395" s="7" t="s">
        <x:v>3294</x:v>
      </x:c>
      <x:c r="C395" s="7" t="s">
        <x:v>3295</x:v>
      </x:c>
      <x:c r="D395" s="7" t="s">
        <x:v>197</x:v>
      </x:c>
      <x:c r="E395" s="7" t="s">
        <x:v>2802</x:v>
      </x:c>
      <x:c r="F395" s="10">
        <x:v>10.574472</x:v>
      </x:c>
      <x:c r="G395" s="10">
        <x:v>99.145744</x:v>
      </x:c>
      <x:c r="H395" s="7" t="s">
        <x:v>3296</x:v>
      </x:c>
      <x:c r="I395" s="10">
        <x:v>4.03</x:v>
      </x:c>
      <x:c r="J395" s="41"/>
      <x:c r="K395" s="41"/>
      <x:c r="L395" s="41"/>
      <x:c r="M395" s="41"/>
      <x:c r="N395" s="7" t="s">
        <x:v>2663</x:v>
      </x:c>
      <x:c r="O395" s="7" t="s">
        <x:v>1539</x:v>
      </x:c>
      <x:c r="P395" s="10">
        <x:v>3.0</x:v>
      </x:c>
      <x:c r="Q395" s="41"/>
      <x:c r="R395" s="10">
        <x:v>1132.4</x:v>
      </x:c>
      <x:c r="S395" s="7" t="s">
        <x:v>301</x:v>
      </x:c>
      <x:c r="T395" s="7" t="b">
        <x:v>0</x:v>
      </x:c>
      <x:c r="U395" s="7" t="s">
        <x:v>1541</x:v>
      </x:c>
      <x:c r="V395" s="26" t="s">
        <x:v>1542</x:v>
      </x:c>
      <x:c r="W395" s="7" t="s">
        <x:v>3297</x:v>
      </x:c>
      <x:c r="X395" s="41"/>
      <x:c r="Y395" s="41"/>
      <x:c r="Z395" s="41"/>
    </x:row>
    <x:row r="396">
      <x:c r="A396" s="7" t="s">
        <x:v>3298</x:v>
      </x:c>
      <x:c r="B396" s="7" t="s">
        <x:v>3299</x:v>
      </x:c>
      <x:c r="C396" s="7" t="s">
        <x:v>3300</x:v>
      </x:c>
      <x:c r="D396" s="7" t="s">
        <x:v>27</x:v>
      </x:c>
      <x:c r="E396" s="7"/>
      <x:c r="F396" s="10">
        <x:v>16.835382</x:v>
      </x:c>
      <x:c r="G396" s="10">
        <x:v>100.56083</x:v>
      </x:c>
      <x:c r="H396" s="7" t="s">
        <x:v>1554</x:v>
      </x:c>
      <x:c r="I396" s="10">
        <x:v>64.73</x:v>
      </x:c>
      <x:c r="J396" s="41"/>
      <x:c r="K396" s="41"/>
      <x:c r="L396" s="41"/>
      <x:c r="M396" s="41"/>
      <x:c r="N396" s="7" t="s">
        <x:v>2663</x:v>
      </x:c>
      <x:c r="O396" s="7" t="s">
        <x:v>1539</x:v>
      </x:c>
      <x:c r="P396" s="10">
        <x:v>3.0</x:v>
      </x:c>
      <x:c r="Q396" s="41"/>
      <x:c r="R396" s="10">
        <x:v>12.4</x:v>
      </x:c>
      <x:c r="S396" s="7" t="s">
        <x:v>1540</x:v>
      </x:c>
      <x:c r="T396" s="7" t="b">
        <x:v>0</x:v>
      </x:c>
      <x:c r="U396" s="7" t="s">
        <x:v>1541</x:v>
      </x:c>
      <x:c r="V396" s="26" t="s">
        <x:v>1542</x:v>
      </x:c>
      <x:c r="W396" s="7" t="s">
        <x:v>3301</x:v>
      </x:c>
      <x:c r="X396" s="41"/>
      <x:c r="Y396" s="41"/>
      <x:c r="Z396" s="41"/>
    </x:row>
    <x:row r="397">
      <x:c r="A397" s="7" t="s">
        <x:v>3302</x:v>
      </x:c>
      <x:c r="B397" s="7" t="s">
        <x:v>3303</x:v>
      </x:c>
      <x:c r="C397" s="7" t="s">
        <x:v>3304</x:v>
      </x:c>
      <x:c r="D397" s="7" t="s">
        <x:v>107</x:v>
      </x:c>
      <x:c r="E397" s="7" t="s">
        <x:v>3305</x:v>
      </x:c>
      <x:c r="F397" s="10">
        <x:v>12.986792</x:v>
      </x:c>
      <x:c r="G397" s="10">
        <x:v>101.89965</x:v>
      </x:c>
      <x:c r="H397" s="7" t="s">
        <x:v>1554</x:v>
      </x:c>
      <x:c r="I397" s="10">
        <x:v>24.3</x:v>
      </x:c>
      <x:c r="J397" s="41"/>
      <x:c r="K397" s="41"/>
      <x:c r="L397" s="41"/>
      <x:c r="M397" s="41"/>
      <x:c r="N397" s="7" t="s">
        <x:v>2663</x:v>
      </x:c>
      <x:c r="O397" s="7" t="s">
        <x:v>1539</x:v>
      </x:c>
      <x:c r="P397" s="10">
        <x:v>3.0</x:v>
      </x:c>
      <x:c r="Q397" s="41"/>
      <x:c r="R397" s="10">
        <x:v>12.4</x:v>
      </x:c>
      <x:c r="S397" s="7" t="s">
        <x:v>1540</x:v>
      </x:c>
      <x:c r="T397" s="7" t="b">
        <x:v>0</x:v>
      </x:c>
      <x:c r="U397" s="7" t="s">
        <x:v>1541</x:v>
      </x:c>
      <x:c r="V397" s="26" t="s">
        <x:v>1542</x:v>
      </x:c>
      <x:c r="W397" s="7" t="s">
        <x:v>3306</x:v>
      </x:c>
      <x:c r="X397" s="41"/>
      <x:c r="Y397" s="41"/>
      <x:c r="Z397" s="41"/>
    </x:row>
    <x:row r="398">
      <x:c r="A398" s="7" t="s">
        <x:v>3307</x:v>
      </x:c>
      <x:c r="B398" s="7" t="s">
        <x:v>3308</x:v>
      </x:c>
      <x:c r="C398" s="7" t="s">
        <x:v>3309</x:v>
      </x:c>
      <x:c r="D398" s="7" t="s">
        <x:v>34</x:v>
      </x:c>
      <x:c r="E398" s="7" t="s">
        <x:v>3310</x:v>
      </x:c>
      <x:c r="F398" s="10">
        <x:v>16.49714</x:v>
      </x:c>
      <x:c r="G398" s="10">
        <x:v>99.51958</x:v>
      </x:c>
      <x:c r="H398" s="7" t="s">
        <x:v>1554</x:v>
      </x:c>
      <x:c r="I398" s="10">
        <x:v>75.08</x:v>
      </x:c>
      <x:c r="J398" s="41"/>
      <x:c r="K398" s="41"/>
      <x:c r="L398" s="41"/>
      <x:c r="M398" s="41"/>
      <x:c r="N398" s="7" t="s">
        <x:v>2663</x:v>
      </x:c>
      <x:c r="O398" s="7" t="s">
        <x:v>1539</x:v>
      </x:c>
      <x:c r="P398" s="10">
        <x:v>3.0</x:v>
      </x:c>
      <x:c r="Q398" s="41"/>
      <x:c r="R398" s="10">
        <x:v>12.4</x:v>
      </x:c>
      <x:c r="S398" s="7" t="s">
        <x:v>1540</x:v>
      </x:c>
      <x:c r="T398" s="7" t="b">
        <x:v>0</x:v>
      </x:c>
      <x:c r="U398" s="7" t="s">
        <x:v>1541</x:v>
      </x:c>
      <x:c r="V398" s="26" t="s">
        <x:v>1542</x:v>
      </x:c>
      <x:c r="W398" s="7" t="s">
        <x:v>3311</x:v>
      </x:c>
      <x:c r="X398" s="41"/>
      <x:c r="Y398" s="41"/>
      <x:c r="Z398" s="41"/>
    </x:row>
    <x:row r="399">
      <x:c r="A399" s="7" t="s">
        <x:v>3312</x:v>
      </x:c>
      <x:c r="B399" s="7" t="s">
        <x:v>3313</x:v>
      </x:c>
      <x:c r="C399" s="7" t="s">
        <x:v>3314</x:v>
      </x:c>
      <x:c r="D399" s="7" t="s">
        <x:v>213</x:v>
      </x:c>
      <x:c r="E399" s="7" t="s">
        <x:v>3282</x:v>
      </x:c>
      <x:c r="F399" s="10">
        <x:v>18.310793</x:v>
      </x:c>
      <x:c r="G399" s="10">
        <x:v>98.82355</x:v>
      </x:c>
      <x:c r="H399" s="7" t="s">
        <x:v>1554</x:v>
      </x:c>
      <x:c r="I399" s="10">
        <x:v>308.52</x:v>
      </x:c>
      <x:c r="J399" s="41"/>
      <x:c r="K399" s="41"/>
      <x:c r="L399" s="41"/>
      <x:c r="M399" s="41"/>
      <x:c r="N399" s="7" t="s">
        <x:v>2663</x:v>
      </x:c>
      <x:c r="O399" s="7" t="s">
        <x:v>1539</x:v>
      </x:c>
      <x:c r="P399" s="10">
        <x:v>3.0</x:v>
      </x:c>
      <x:c r="Q399" s="41"/>
      <x:c r="R399" s="10">
        <x:v>12.4</x:v>
      </x:c>
      <x:c r="S399" s="7" t="s">
        <x:v>1540</x:v>
      </x:c>
      <x:c r="T399" s="7" t="b">
        <x:v>0</x:v>
      </x:c>
      <x:c r="U399" s="7" t="s">
        <x:v>1541</x:v>
      </x:c>
      <x:c r="V399" s="26" t="s">
        <x:v>1542</x:v>
      </x:c>
      <x:c r="W399" s="7" t="s">
        <x:v>3315</x:v>
      </x:c>
      <x:c r="X399" s="41"/>
      <x:c r="Y399" s="41"/>
      <x:c r="Z399" s="41"/>
    </x:row>
    <x:row r="400">
      <x:c r="A400" s="7" t="s">
        <x:v>3316</x:v>
      </x:c>
      <x:c r="B400" s="7" t="s">
        <x:v>3317</x:v>
      </x:c>
      <x:c r="C400" s="7" t="s">
        <x:v>3318</x:v>
      </x:c>
      <x:c r="D400" s="7" t="s">
        <x:v>58</x:v>
      </x:c>
      <x:c r="E400" s="7" t="s">
        <x:v>1623</x:v>
      </x:c>
      <x:c r="F400" s="10">
        <x:v>13.95094</x:v>
      </x:c>
      <x:c r="G400" s="10">
        <x:v>99.645477</x:v>
      </x:c>
      <x:c r="H400" s="7" t="s">
        <x:v>1537</x:v>
      </x:c>
      <x:c r="I400" s="10">
        <x:v>12.03</x:v>
      </x:c>
      <x:c r="J400" s="41"/>
      <x:c r="K400" s="41"/>
      <x:c r="L400" s="41"/>
      <x:c r="M400" s="41"/>
      <x:c r="N400" s="7" t="s">
        <x:v>2663</x:v>
      </x:c>
      <x:c r="O400" s="7" t="s">
        <x:v>1539</x:v>
      </x:c>
      <x:c r="P400" s="10">
        <x:v>3.0</x:v>
      </x:c>
      <x:c r="Q400" s="41"/>
      <x:c r="R400" s="10">
        <x:v>-457.6</x:v>
      </x:c>
      <x:c r="S400" s="7" t="s">
        <x:v>1540</x:v>
      </x:c>
      <x:c r="T400" s="7" t="b">
        <x:v>0</x:v>
      </x:c>
      <x:c r="U400" s="7" t="s">
        <x:v>1541</x:v>
      </x:c>
      <x:c r="V400" s="26" t="s">
        <x:v>1542</x:v>
      </x:c>
      <x:c r="W400" s="7" t="s">
        <x:v>3319</x:v>
      </x:c>
      <x:c r="X400" s="41"/>
      <x:c r="Y400" s="41"/>
      <x:c r="Z400" s="41"/>
    </x:row>
    <x:row r="401">
      <x:c r="A401" s="7" t="s">
        <x:v>3320</x:v>
      </x:c>
      <x:c r="B401" s="7" t="s">
        <x:v>3321</x:v>
      </x:c>
      <x:c r="C401" s="7" t="s">
        <x:v>3322</x:v>
      </x:c>
      <x:c r="D401" s="7" t="s">
        <x:v>197</x:v>
      </x:c>
      <x:c r="E401" s="7" t="s">
        <x:v>2379</x:v>
      </x:c>
      <x:c r="F401" s="10">
        <x:v>9.95473</x:v>
      </x:c>
      <x:c r="G401" s="10">
        <x:v>99.08004</x:v>
      </x:c>
      <x:c r="H401" s="7" t="s">
        <x:v>1548</x:v>
      </x:c>
      <x:c r="I401" s="10">
        <x:v>1.44</x:v>
      </x:c>
      <x:c r="J401" s="41"/>
      <x:c r="K401" s="41"/>
      <x:c r="L401" s="41"/>
      <x:c r="M401" s="41"/>
      <x:c r="N401" s="7" t="s">
        <x:v>2663</x:v>
      </x:c>
      <x:c r="O401" s="7" t="s">
        <x:v>1539</x:v>
      </x:c>
      <x:c r="P401" s="10">
        <x:v>3.0</x:v>
      </x:c>
      <x:c r="Q401" s="41"/>
      <x:c r="R401" s="10">
        <x:v>82.4</x:v>
      </x:c>
      <x:c r="S401" s="7" t="s">
        <x:v>301</x:v>
      </x:c>
      <x:c r="T401" s="7" t="b">
        <x:v>0</x:v>
      </x:c>
      <x:c r="U401" s="7" t="s">
        <x:v>1541</x:v>
      </x:c>
      <x:c r="V401" s="26" t="s">
        <x:v>1542</x:v>
      </x:c>
      <x:c r="W401" s="7" t="s">
        <x:v>3323</x:v>
      </x:c>
      <x:c r="X401" s="41"/>
      <x:c r="Y401" s="41"/>
      <x:c r="Z401" s="41"/>
    </x:row>
    <x:row r="402">
      <x:c r="A402" s="7" t="s">
        <x:v>3324</x:v>
      </x:c>
      <x:c r="B402" s="7" t="s">
        <x:v>3325</x:v>
      </x:c>
      <x:c r="C402" s="7" t="s">
        <x:v>3326</x:v>
      </x:c>
      <x:c r="D402" s="7" t="s">
        <x:v>18</x:v>
      </x:c>
      <x:c r="E402" s="7" t="s">
        <x:v>2074</x:v>
      </x:c>
      <x:c r="F402" s="10">
        <x:v>16.78657</x:v>
      </x:c>
      <x:c r="G402" s="10">
        <x:v>99.18398</x:v>
      </x:c>
      <x:c r="H402" s="7" t="s">
        <x:v>1554</x:v>
      </x:c>
      <x:c r="I402" s="10">
        <x:v>99.98</x:v>
      </x:c>
      <x:c r="J402" s="41"/>
      <x:c r="K402" s="41"/>
      <x:c r="L402" s="41"/>
      <x:c r="M402" s="41"/>
      <x:c r="N402" s="7" t="s">
        <x:v>2663</x:v>
      </x:c>
      <x:c r="O402" s="7" t="s">
        <x:v>1539</x:v>
      </x:c>
      <x:c r="P402" s="10">
        <x:v>3.0</x:v>
      </x:c>
      <x:c r="Q402" s="41"/>
      <x:c r="R402" s="10">
        <x:v>12.4</x:v>
      </x:c>
      <x:c r="S402" s="7" t="s">
        <x:v>1540</x:v>
      </x:c>
      <x:c r="T402" s="7" t="b">
        <x:v>0</x:v>
      </x:c>
      <x:c r="U402" s="7" t="s">
        <x:v>1541</x:v>
      </x:c>
      <x:c r="V402" s="26" t="s">
        <x:v>1542</x:v>
      </x:c>
      <x:c r="W402" s="7" t="s">
        <x:v>3327</x:v>
      </x:c>
      <x:c r="X402" s="41"/>
      <x:c r="Y402" s="41"/>
      <x:c r="Z402" s="41"/>
    </x:row>
    <x:row r="403">
      <x:c r="A403" s="7" t="s">
        <x:v>3328</x:v>
      </x:c>
      <x:c r="B403" s="7" t="s">
        <x:v>3329</x:v>
      </x:c>
      <x:c r="C403" s="7" t="s">
        <x:v>3330</x:v>
      </x:c>
      <x:c r="D403" s="7" t="s">
        <x:v>216</x:v>
      </x:c>
      <x:c r="E403" s="7" t="s">
        <x:v>3331</x:v>
      </x:c>
      <x:c r="F403" s="10">
        <x:v>17.29251</x:v>
      </x:c>
      <x:c r="G403" s="10">
        <x:v>100.07764</x:v>
      </x:c>
      <x:c r="H403" s="7" t="s">
        <x:v>1554</x:v>
      </x:c>
      <x:c r="I403" s="10">
        <x:v>47.97</x:v>
      </x:c>
      <x:c r="J403" s="41"/>
      <x:c r="K403" s="41"/>
      <x:c r="L403" s="41"/>
      <x:c r="M403" s="10"/>
      <x:c r="N403" s="7" t="s">
        <x:v>2663</x:v>
      </x:c>
      <x:c r="O403" s="7" t="s">
        <x:v>1539</x:v>
      </x:c>
      <x:c r="P403" s="10">
        <x:v>3.0</x:v>
      </x:c>
      <x:c r="Q403" s="41"/>
      <x:c r="R403" s="10">
        <x:v>12.4</x:v>
      </x:c>
      <x:c r="S403" s="7" t="s">
        <x:v>1540</x:v>
      </x:c>
      <x:c r="T403" s="7" t="b">
        <x:v>0</x:v>
      </x:c>
      <x:c r="U403" s="7" t="s">
        <x:v>1541</x:v>
      </x:c>
      <x:c r="V403" s="26" t="s">
        <x:v>1542</x:v>
      </x:c>
      <x:c r="W403" s="7" t="s">
        <x:v>3332</x:v>
      </x:c>
      <x:c r="X403" s="41"/>
      <x:c r="Y403" s="41"/>
      <x:c r="Z403" s="41"/>
    </x:row>
    <x:row r="404">
      <x:c r="A404" s="7" t="s">
        <x:v>3333</x:v>
      </x:c>
      <x:c r="B404" s="7" t="s">
        <x:v>3334</x:v>
      </x:c>
      <x:c r="C404" s="7" t="s">
        <x:v>3335</x:v>
      </x:c>
      <x:c r="D404" s="7" t="s">
        <x:v>101</x:v>
      </x:c>
      <x:c r="E404" s="7" t="s">
        <x:v>3336</x:v>
      </x:c>
      <x:c r="F404" s="10">
        <x:v>13.40472</x:v>
      </x:c>
      <x:c r="G404" s="10">
        <x:v>101.281776</x:v>
      </x:c>
      <x:c r="H404" s="7" t="s">
        <x:v>1548</x:v>
      </x:c>
      <x:c r="I404" s="10">
        <x:v>15.8</x:v>
      </x:c>
      <x:c r="J404" s="41"/>
      <x:c r="K404" s="41"/>
      <x:c r="L404" s="41"/>
      <x:c r="M404" s="10"/>
      <x:c r="N404" s="7" t="s">
        <x:v>2663</x:v>
      </x:c>
      <x:c r="O404" s="7" t="s">
        <x:v>1539</x:v>
      </x:c>
      <x:c r="P404" s="10">
        <x:v>3.0</x:v>
      </x:c>
      <x:c r="Q404" s="41"/>
      <x:c r="R404" s="10">
        <x:v>82.4</x:v>
      </x:c>
      <x:c r="S404" s="7" t="s">
        <x:v>301</x:v>
      </x:c>
      <x:c r="T404" s="7" t="b">
        <x:v>0</x:v>
      </x:c>
      <x:c r="U404" s="7" t="s">
        <x:v>1541</x:v>
      </x:c>
      <x:c r="V404" s="26" t="s">
        <x:v>1542</x:v>
      </x:c>
      <x:c r="W404" s="7" t="s">
        <x:v>3337</x:v>
      </x:c>
      <x:c r="X404" s="41"/>
      <x:c r="Y404" s="41"/>
      <x:c r="Z404" s="41"/>
    </x:row>
    <x:row r="405">
      <x:c r="A405" s="7" t="s">
        <x:v>3338</x:v>
      </x:c>
      <x:c r="B405" s="7" t="s">
        <x:v>3339</x:v>
      </x:c>
      <x:c r="C405" s="7" t="s">
        <x:v>3340</x:v>
      </x:c>
      <x:c r="D405" s="7" t="s">
        <x:v>252</x:v>
      </x:c>
      <x:c r="E405" s="7" t="s">
        <x:v>3341</x:v>
      </x:c>
      <x:c r="F405" s="10">
        <x:v>8.70251</x:v>
      </x:c>
      <x:c r="G405" s="10">
        <x:v>98.409027</x:v>
      </x:c>
      <x:c r="H405" s="7" t="s">
        <x:v>1548</x:v>
      </x:c>
      <x:c r="I405" s="10">
        <x:v>15.17</x:v>
      </x:c>
      <x:c r="J405" s="41"/>
      <x:c r="K405" s="41"/>
      <x:c r="L405" s="41"/>
      <x:c r="M405" s="10"/>
      <x:c r="N405" s="7" t="s">
        <x:v>2663</x:v>
      </x:c>
      <x:c r="O405" s="7" t="s">
        <x:v>1539</x:v>
      </x:c>
      <x:c r="P405" s="10">
        <x:v>3.0</x:v>
      </x:c>
      <x:c r="Q405" s="41"/>
      <x:c r="R405" s="10">
        <x:v>82.4</x:v>
      </x:c>
      <x:c r="S405" s="7" t="s">
        <x:v>301</x:v>
      </x:c>
      <x:c r="T405" s="7" t="b">
        <x:v>0</x:v>
      </x:c>
      <x:c r="U405" s="7" t="s">
        <x:v>1541</x:v>
      </x:c>
      <x:c r="V405" s="26" t="s">
        <x:v>1542</x:v>
      </x:c>
      <x:c r="W405" s="7" t="s">
        <x:v>3342</x:v>
      </x:c>
      <x:c r="X405" s="41"/>
      <x:c r="Y405" s="41"/>
      <x:c r="Z405" s="41"/>
    </x:row>
    <x:row r="406">
      <x:c r="A406" s="7" t="s">
        <x:v>3343</x:v>
      </x:c>
      <x:c r="B406" s="7" t="s">
        <x:v>3344</x:v>
      </x:c>
      <x:c r="C406" s="7" t="s">
        <x:v>3345</x:v>
      </x:c>
      <x:c r="D406" s="7" t="s">
        <x:v>255</x:v>
      </x:c>
      <x:c r="E406" s="7" t="s">
        <x:v>2060</x:v>
      </x:c>
      <x:c r="F406" s="10">
        <x:v>6.796687</x:v>
      </x:c>
      <x:c r="G406" s="10">
        <x:v>100.44239</x:v>
      </x:c>
      <x:c r="H406" s="7" t="s">
        <x:v>1554</x:v>
      </x:c>
      <x:c r="I406" s="10">
        <x:v>13.53</x:v>
      </x:c>
      <x:c r="J406" s="41"/>
      <x:c r="K406" s="41"/>
      <x:c r="L406" s="41"/>
      <x:c r="M406" s="41"/>
      <x:c r="N406" s="7" t="s">
        <x:v>2663</x:v>
      </x:c>
      <x:c r="O406" s="7" t="s">
        <x:v>1539</x:v>
      </x:c>
      <x:c r="P406" s="10">
        <x:v>3.0</x:v>
      </x:c>
      <x:c r="Q406" s="41"/>
      <x:c r="R406" s="10">
        <x:v>12.4</x:v>
      </x:c>
      <x:c r="S406" s="7" t="s">
        <x:v>1540</x:v>
      </x:c>
      <x:c r="T406" s="7" t="b">
        <x:v>0</x:v>
      </x:c>
      <x:c r="U406" s="7" t="s">
        <x:v>1541</x:v>
      </x:c>
      <x:c r="V406" s="26" t="s">
        <x:v>1542</x:v>
      </x:c>
      <x:c r="W406" s="7" t="s">
        <x:v>3346</x:v>
      </x:c>
      <x:c r="X406" s="41"/>
      <x:c r="Y406" s="41"/>
      <x:c r="Z406" s="41"/>
    </x:row>
    <x:row r="407">
      <x:c r="A407" s="7" t="s">
        <x:v>3347</x:v>
      </x:c>
      <x:c r="B407" s="7" t="s">
        <x:v>3348</x:v>
      </x:c>
      <x:c r="C407" s="7" t="s">
        <x:v>3349</x:v>
      </x:c>
      <x:c r="D407" s="7" t="s">
        <x:v>243</x:v>
      </x:c>
      <x:c r="E407" s="7" t="s">
        <x:v>2032</x:v>
      </x:c>
      <x:c r="F407" s="10">
        <x:v>15.33716</x:v>
      </x:c>
      <x:c r="G407" s="10">
        <x:v>104.15292</x:v>
      </x:c>
      <x:c r="H407" s="7" t="s">
        <x:v>1658</x:v>
      </x:c>
      <x:c r="I407" s="10">
        <x:v>114.34</x:v>
      </x:c>
      <x:c r="J407" s="41"/>
      <x:c r="K407" s="41"/>
      <x:c r="L407" s="41"/>
      <x:c r="M407" s="10">
        <x:v>120.38</x:v>
      </x:c>
      <x:c r="N407" s="7" t="s">
        <x:v>2663</x:v>
      </x:c>
      <x:c r="O407" s="7" t="s">
        <x:v>1539</x:v>
      </x:c>
      <x:c r="P407" s="10">
        <x:v>3.0</x:v>
      </x:c>
      <x:c r="Q407" s="41"/>
      <x:c r="R407" s="10">
        <x:v>22.4</x:v>
      </x:c>
      <x:c r="S407" s="7" t="s">
        <x:v>1540</x:v>
      </x:c>
      <x:c r="T407" s="7" t="b">
        <x:v>0</x:v>
      </x:c>
      <x:c r="U407" s="7" t="s">
        <x:v>1541</x:v>
      </x:c>
      <x:c r="V407" s="26" t="s">
        <x:v>1542</x:v>
      </x:c>
      <x:c r="W407" s="7" t="s">
        <x:v>3350</x:v>
      </x:c>
      <x:c r="X407" s="41"/>
      <x:c r="Y407" s="41"/>
      <x:c r="Z407" s="41"/>
    </x:row>
    <x:row r="408">
      <x:c r="A408" s="7" t="s">
        <x:v>3351</x:v>
      </x:c>
      <x:c r="B408" s="7" t="s">
        <x:v>3352</x:v>
      </x:c>
      <x:c r="C408" s="7" t="s">
        <x:v>3353</x:v>
      </x:c>
      <x:c r="D408" s="7" t="s">
        <x:v>257</x:v>
      </x:c>
      <x:c r="E408" s="7" t="s">
        <x:v>3051</x:v>
      </x:c>
      <x:c r="F408" s="10">
        <x:v>7.371991</x:v>
      </x:c>
      <x:c r="G408" s="10">
        <x:v>99.677246</x:v>
      </x:c>
      <x:c r="H408" s="7" t="s">
        <x:v>1554</x:v>
      </x:c>
      <x:c r="I408" s="10">
        <x:v>1.87</x:v>
      </x:c>
      <x:c r="J408" s="41"/>
      <x:c r="K408" s="41"/>
      <x:c r="L408" s="41"/>
      <x:c r="M408" s="10"/>
      <x:c r="N408" s="7" t="s">
        <x:v>2663</x:v>
      </x:c>
      <x:c r="O408" s="7" t="s">
        <x:v>1539</x:v>
      </x:c>
      <x:c r="P408" s="10">
        <x:v>3.0</x:v>
      </x:c>
      <x:c r="Q408" s="41"/>
      <x:c r="R408" s="10">
        <x:v>12.4</x:v>
      </x:c>
      <x:c r="S408" s="7" t="s">
        <x:v>1540</x:v>
      </x:c>
      <x:c r="T408" s="7" t="b">
        <x:v>0</x:v>
      </x:c>
      <x:c r="U408" s="7" t="s">
        <x:v>1541</x:v>
      </x:c>
      <x:c r="V408" s="26" t="s">
        <x:v>1542</x:v>
      </x:c>
      <x:c r="W408" s="7" t="s">
        <x:v>3354</x:v>
      </x:c>
      <x:c r="X408" s="41"/>
      <x:c r="Y408" s="41"/>
      <x:c r="Z408" s="41"/>
    </x:row>
    <x:row r="409">
      <x:c r="A409" s="7" t="s">
        <x:v>3355</x:v>
      </x:c>
      <x:c r="B409" s="7" t="s">
        <x:v>3356</x:v>
      </x:c>
      <x:c r="C409" s="7" t="s">
        <x:v>3357</x:v>
      </x:c>
      <x:c r="D409" s="7" t="s">
        <x:v>207</x:v>
      </x:c>
      <x:c r="E409" s="7" t="s">
        <x:v>3358</x:v>
      </x:c>
      <x:c r="F409" s="10">
        <x:v>18.65423</x:v>
      </x:c>
      <x:c r="G409" s="10">
        <x:v>98.685661</x:v>
      </x:c>
      <x:c r="H409" s="7" t="s">
        <x:v>1548</x:v>
      </x:c>
      <x:c r="I409" s="10">
        <x:v>401.7</x:v>
      </x:c>
      <x:c r="J409" s="41"/>
      <x:c r="K409" s="41"/>
      <x:c r="L409" s="41"/>
      <x:c r="M409" s="41"/>
      <x:c r="N409" s="7" t="s">
        <x:v>2663</x:v>
      </x:c>
      <x:c r="O409" s="7" t="s">
        <x:v>1539</x:v>
      </x:c>
      <x:c r="P409" s="10">
        <x:v>3.0</x:v>
      </x:c>
      <x:c r="Q409" s="41"/>
      <x:c r="R409" s="10">
        <x:v>82.4</x:v>
      </x:c>
      <x:c r="S409" s="7" t="s">
        <x:v>301</x:v>
      </x:c>
      <x:c r="T409" s="7" t="b">
        <x:v>0</x:v>
      </x:c>
      <x:c r="U409" s="7" t="s">
        <x:v>1541</x:v>
      </x:c>
      <x:c r="V409" s="26" t="s">
        <x:v>1542</x:v>
      </x:c>
      <x:c r="W409" s="7" t="s">
        <x:v>3359</x:v>
      </x:c>
      <x:c r="X409" s="41"/>
      <x:c r="Y409" s="41"/>
      <x:c r="Z409" s="41"/>
    </x:row>
    <x:row r="410">
      <x:c r="A410" s="7" t="s">
        <x:v>3360</x:v>
      </x:c>
      <x:c r="B410" s="7" t="s">
        <x:v>3361</x:v>
      </x:c>
      <x:c r="C410" s="7" t="s">
        <x:v>3362</x:v>
      </x:c>
      <x:c r="D410" s="7" t="s">
        <x:v>31</x:v>
      </x:c>
      <x:c r="E410" s="7" t="s">
        <x:v>1703</x:v>
      </x:c>
      <x:c r="F410" s="10">
        <x:v>16.78157</x:v>
      </x:c>
      <x:c r="G410" s="10">
        <x:v>101.246689</x:v>
      </x:c>
      <x:c r="H410" s="7" t="s">
        <x:v>1548</x:v>
      </x:c>
      <x:c r="I410" s="10">
        <x:v>142.02</x:v>
      </x:c>
      <x:c r="J410" s="41"/>
      <x:c r="K410" s="41"/>
      <x:c r="L410" s="41"/>
      <x:c r="M410" s="41"/>
      <x:c r="N410" s="7" t="s">
        <x:v>2663</x:v>
      </x:c>
      <x:c r="O410" s="7" t="s">
        <x:v>1539</x:v>
      </x:c>
      <x:c r="P410" s="10">
        <x:v>3.0</x:v>
      </x:c>
      <x:c r="Q410" s="41"/>
      <x:c r="R410" s="10">
        <x:v>82.4</x:v>
      </x:c>
      <x:c r="S410" s="7" t="s">
        <x:v>301</x:v>
      </x:c>
      <x:c r="T410" s="7" t="b">
        <x:v>0</x:v>
      </x:c>
      <x:c r="U410" s="7" t="s">
        <x:v>1541</x:v>
      </x:c>
      <x:c r="V410" s="26" t="s">
        <x:v>1542</x:v>
      </x:c>
      <x:c r="W410" s="7" t="s">
        <x:v>3363</x:v>
      </x:c>
      <x:c r="X410" s="41"/>
      <x:c r="Y410" s="41"/>
      <x:c r="Z410" s="41"/>
    </x:row>
    <x:row r="411">
      <x:c r="A411" s="7" t="s">
        <x:v>3364</x:v>
      </x:c>
      <x:c r="B411" s="7" t="s">
        <x:v>3365</x:v>
      </x:c>
      <x:c r="C411" s="7" t="s">
        <x:v>3366</x:v>
      </x:c>
      <x:c r="D411" s="7" t="s">
        <x:v>210</x:v>
      </x:c>
      <x:c r="E411" s="7" t="s">
        <x:v>2084</x:v>
      </x:c>
      <x:c r="F411" s="10">
        <x:v>18.54992</x:v>
      </x:c>
      <x:c r="G411" s="10">
        <x:v>100.76151</x:v>
      </x:c>
      <x:c r="H411" s="7" t="s">
        <x:v>1554</x:v>
      </x:c>
      <x:c r="I411" s="10">
        <x:v>179.85</x:v>
      </x:c>
      <x:c r="J411" s="41"/>
      <x:c r="K411" s="41"/>
      <x:c r="L411" s="41"/>
      <x:c r="M411" s="41"/>
      <x:c r="N411" s="7" t="s">
        <x:v>2663</x:v>
      </x:c>
      <x:c r="O411" s="7" t="s">
        <x:v>1539</x:v>
      </x:c>
      <x:c r="P411" s="10">
        <x:v>3.0</x:v>
      </x:c>
      <x:c r="Q411" s="41"/>
      <x:c r="R411" s="10">
        <x:v>12.4</x:v>
      </x:c>
      <x:c r="S411" s="7" t="s">
        <x:v>1540</x:v>
      </x:c>
      <x:c r="T411" s="7" t="b">
        <x:v>0</x:v>
      </x:c>
      <x:c r="U411" s="7" t="s">
        <x:v>1541</x:v>
      </x:c>
      <x:c r="V411" s="26" t="s">
        <x:v>1542</x:v>
      </x:c>
      <x:c r="W411" s="7" t="s">
        <x:v>3367</x:v>
      </x:c>
      <x:c r="X411" s="41"/>
      <x:c r="Y411" s="41"/>
      <x:c r="Z411" s="41"/>
    </x:row>
    <x:row r="412">
      <x:c r="A412" s="7" t="s">
        <x:v>3368</x:v>
      </x:c>
      <x:c r="B412" s="7" t="s">
        <x:v>3369</x:v>
      </x:c>
      <x:c r="C412" s="7" t="s">
        <x:v>3370</x:v>
      </x:c>
      <x:c r="D412" s="7" t="s">
        <x:v>235</x:v>
      </x:c>
      <x:c r="E412" s="7" t="s">
        <x:v>1945</x:v>
      </x:c>
      <x:c r="F412" s="10">
        <x:v>16.993015</x:v>
      </x:c>
      <x:c r="G412" s="10">
        <x:v>104.591446</x:v>
      </x:c>
      <x:c r="H412" s="7" t="s">
        <x:v>1554</x:v>
      </x:c>
      <x:c r="I412" s="10">
        <x:v>138.45</x:v>
      </x:c>
      <x:c r="J412" s="41"/>
      <x:c r="K412" s="41"/>
      <x:c r="L412" s="41"/>
      <x:c r="M412" s="41"/>
      <x:c r="N412" s="7" t="s">
        <x:v>2663</x:v>
      </x:c>
      <x:c r="O412" s="7" t="s">
        <x:v>1539</x:v>
      </x:c>
      <x:c r="P412" s="10">
        <x:v>3.0</x:v>
      </x:c>
      <x:c r="Q412" s="41"/>
      <x:c r="R412" s="10">
        <x:v>12.4</x:v>
      </x:c>
      <x:c r="S412" s="7" t="s">
        <x:v>1540</x:v>
      </x:c>
      <x:c r="T412" s="7" t="b">
        <x:v>0</x:v>
      </x:c>
      <x:c r="U412" s="7" t="s">
        <x:v>1541</x:v>
      </x:c>
      <x:c r="V412" s="26" t="s">
        <x:v>1542</x:v>
      </x:c>
      <x:c r="W412" s="7" t="s">
        <x:v>3371</x:v>
      </x:c>
      <x:c r="X412" s="41"/>
      <x:c r="Y412" s="41"/>
      <x:c r="Z412" s="41"/>
    </x:row>
    <x:row r="413">
      <x:c r="A413" s="7" t="s">
        <x:v>3372</x:v>
      </x:c>
      <x:c r="B413" s="7" t="s">
        <x:v>3373</x:v>
      </x:c>
      <x:c r="C413" s="7" t="s">
        <x:v>3374</x:v>
      </x:c>
      <x:c r="D413" s="7" t="s">
        <x:v>208</x:v>
      </x:c>
      <x:c r="E413" s="7" t="s">
        <x:v>2355</x:v>
      </x:c>
      <x:c r="F413" s="10">
        <x:v>19.68822</x:v>
      </x:c>
      <x:c r="G413" s="10">
        <x:v>100.18758</x:v>
      </x:c>
      <x:c r="H413" s="7" t="s">
        <x:v>1554</x:v>
      </x:c>
      <x:c r="I413" s="10">
        <x:v>361.26</x:v>
      </x:c>
      <x:c r="J413" s="41"/>
      <x:c r="K413" s="41"/>
      <x:c r="L413" s="41"/>
      <x:c r="M413" s="41"/>
      <x:c r="N413" s="7" t="s">
        <x:v>2663</x:v>
      </x:c>
      <x:c r="O413" s="7" t="s">
        <x:v>1539</x:v>
      </x:c>
      <x:c r="P413" s="10">
        <x:v>3.0</x:v>
      </x:c>
      <x:c r="Q413" s="41"/>
      <x:c r="R413" s="10">
        <x:v>12.4</x:v>
      </x:c>
      <x:c r="S413" s="7" t="s">
        <x:v>1540</x:v>
      </x:c>
      <x:c r="T413" s="7" t="b">
        <x:v>0</x:v>
      </x:c>
      <x:c r="U413" s="7" t="s">
        <x:v>1541</x:v>
      </x:c>
      <x:c r="V413" s="26" t="s">
        <x:v>1542</x:v>
      </x:c>
      <x:c r="W413" s="7" t="s">
        <x:v>3375</x:v>
      </x:c>
      <x:c r="X413" s="41"/>
      <x:c r="Y413" s="41"/>
      <x:c r="Z413" s="41"/>
    </x:row>
    <x:row r="414">
      <x:c r="A414" s="7" t="s">
        <x:v>3376</x:v>
      </x:c>
      <x:c r="B414" s="7" t="s">
        <x:v>3377</x:v>
      </x:c>
      <x:c r="C414" s="7" t="s">
        <x:v>3378</x:v>
      </x:c>
      <x:c r="D414" s="7" t="s">
        <x:v>239</x:v>
      </x:c>
      <x:c r="E414" s="7" t="s">
        <x:v>3379</x:v>
      </x:c>
      <x:c r="F414" s="10">
        <x:v>18.282616</x:v>
      </x:c>
      <x:c r="G414" s="10">
        <x:v>103.88075</x:v>
      </x:c>
      <x:c r="H414" s="7" t="s">
        <x:v>1554</x:v>
      </x:c>
      <x:c r="I414" s="10">
        <x:v>145.4</x:v>
      </x:c>
      <x:c r="J414" s="41"/>
      <x:c r="K414" s="41"/>
      <x:c r="L414" s="41"/>
      <x:c r="M414" s="41"/>
      <x:c r="N414" s="7" t="s">
        <x:v>2663</x:v>
      </x:c>
      <x:c r="O414" s="7" t="s">
        <x:v>1539</x:v>
      </x:c>
      <x:c r="P414" s="10">
        <x:v>3.0</x:v>
      </x:c>
      <x:c r="Q414" s="41"/>
      <x:c r="R414" s="10">
        <x:v>12.4</x:v>
      </x:c>
      <x:c r="S414" s="7" t="s">
        <x:v>1540</x:v>
      </x:c>
      <x:c r="T414" s="7" t="b">
        <x:v>0</x:v>
      </x:c>
      <x:c r="U414" s="7" t="s">
        <x:v>1541</x:v>
      </x:c>
      <x:c r="V414" s="26" t="s">
        <x:v>1542</x:v>
      </x:c>
      <x:c r="W414" s="7" t="s">
        <x:v>3380</x:v>
      </x:c>
      <x:c r="X414" s="41"/>
      <x:c r="Y414" s="41"/>
      <x:c r="Z414" s="41"/>
    </x:row>
    <x:row r="415">
      <x:c r="A415" s="7" t="s">
        <x:v>3381</x:v>
      </x:c>
      <x:c r="B415" s="7" t="s">
        <x:v>3382</x:v>
      </x:c>
      <x:c r="C415" s="7" t="s">
        <x:v>3383</x:v>
      </x:c>
      <x:c r="D415" s="7" t="s">
        <x:v>34</x:v>
      </x:c>
      <x:c r="E415" s="7" t="s">
        <x:v>1747</x:v>
      </x:c>
      <x:c r="F415" s="10">
        <x:v>15.90176</x:v>
      </x:c>
      <x:c r="G415" s="10">
        <x:v>99.4704</x:v>
      </x:c>
      <x:c r="H415" s="7" t="s">
        <x:v>1554</x:v>
      </x:c>
      <x:c r="I415" s="10">
        <x:v>110.54</x:v>
      </x:c>
      <x:c r="J415" s="41"/>
      <x:c r="K415" s="41"/>
      <x:c r="L415" s="41"/>
      <x:c r="M415" s="41"/>
      <x:c r="N415" s="7" t="s">
        <x:v>2663</x:v>
      </x:c>
      <x:c r="O415" s="7" t="s">
        <x:v>1539</x:v>
      </x:c>
      <x:c r="P415" s="10">
        <x:v>3.0</x:v>
      </x:c>
      <x:c r="Q415" s="41"/>
      <x:c r="R415" s="10">
        <x:v>12.4</x:v>
      </x:c>
      <x:c r="S415" s="7" t="s">
        <x:v>1540</x:v>
      </x:c>
      <x:c r="T415" s="7" t="b">
        <x:v>0</x:v>
      </x:c>
      <x:c r="U415" s="7" t="s">
        <x:v>1541</x:v>
      </x:c>
      <x:c r="V415" s="26" t="s">
        <x:v>1542</x:v>
      </x:c>
      <x:c r="W415" s="7" t="s">
        <x:v>3384</x:v>
      </x:c>
      <x:c r="X415" s="41"/>
      <x:c r="Y415" s="41"/>
      <x:c r="Z415" s="41"/>
    </x:row>
    <x:row r="416">
      <x:c r="A416" s="7" t="s">
        <x:v>3385</x:v>
      </x:c>
      <x:c r="B416" s="7" t="s">
        <x:v>3386</x:v>
      </x:c>
      <x:c r="C416" s="7" t="s">
        <x:v>3387</x:v>
      </x:c>
      <x:c r="D416" s="7" t="s">
        <x:v>91</x:v>
      </x:c>
      <x:c r="E416" s="7" t="s">
        <x:v>2374</x:v>
      </x:c>
      <x:c r="F416" s="10">
        <x:v>14.16131</x:v>
      </x:c>
      <x:c r="G416" s="10">
        <x:v>101.883057</x:v>
      </x:c>
      <x:c r="H416" s="7" t="s">
        <x:v>1548</x:v>
      </x:c>
      <x:c r="I416" s="10">
        <x:v>36.65</x:v>
      </x:c>
      <x:c r="J416" s="41"/>
      <x:c r="K416" s="41"/>
      <x:c r="L416" s="41"/>
      <x:c r="M416" s="41"/>
      <x:c r="N416" s="7" t="s">
        <x:v>2663</x:v>
      </x:c>
      <x:c r="O416" s="7" t="s">
        <x:v>1539</x:v>
      </x:c>
      <x:c r="P416" s="10">
        <x:v>3.0</x:v>
      </x:c>
      <x:c r="Q416" s="41"/>
      <x:c r="R416" s="10">
        <x:v>82.4</x:v>
      </x:c>
      <x:c r="S416" s="7" t="s">
        <x:v>301</x:v>
      </x:c>
      <x:c r="T416" s="7" t="b">
        <x:v>0</x:v>
      </x:c>
      <x:c r="U416" s="7" t="s">
        <x:v>1541</x:v>
      </x:c>
      <x:c r="V416" s="26" t="s">
        <x:v>1542</x:v>
      </x:c>
      <x:c r="W416" s="7" t="s">
        <x:v>3388</x:v>
      </x:c>
      <x:c r="X416" s="41"/>
      <x:c r="Y416" s="41"/>
      <x:c r="Z416" s="41"/>
    </x:row>
    <x:row r="417">
      <x:c r="A417" s="7" t="s">
        <x:v>3389</x:v>
      </x:c>
      <x:c r="B417" s="7" t="s">
        <x:v>3390</x:v>
      </x:c>
      <x:c r="C417" s="7" t="s">
        <x:v>3391</x:v>
      </x:c>
      <x:c r="D417" s="7" t="s">
        <x:v>197</x:v>
      </x:c>
      <x:c r="E417" s="7" t="s">
        <x:v>3291</x:v>
      </x:c>
      <x:c r="F417" s="10">
        <x:v>10.5072</x:v>
      </x:c>
      <x:c r="G417" s="10">
        <x:v>99.117798</x:v>
      </x:c>
      <x:c r="H417" s="7" t="s">
        <x:v>1548</x:v>
      </x:c>
      <x:c r="I417" s="10">
        <x:v>4.93</x:v>
      </x:c>
      <x:c r="J417" s="41"/>
      <x:c r="K417" s="41"/>
      <x:c r="L417" s="41"/>
      <x:c r="M417" s="10"/>
      <x:c r="N417" s="7" t="s">
        <x:v>2663</x:v>
      </x:c>
      <x:c r="O417" s="7" t="s">
        <x:v>1539</x:v>
      </x:c>
      <x:c r="P417" s="10">
        <x:v>3.0</x:v>
      </x:c>
      <x:c r="Q417" s="41"/>
      <x:c r="R417" s="10">
        <x:v>82.4</x:v>
      </x:c>
      <x:c r="S417" s="7" t="s">
        <x:v>301</x:v>
      </x:c>
      <x:c r="T417" s="7" t="b">
        <x:v>0</x:v>
      </x:c>
      <x:c r="U417" s="7" t="s">
        <x:v>1541</x:v>
      </x:c>
      <x:c r="V417" s="26" t="s">
        <x:v>1542</x:v>
      </x:c>
      <x:c r="W417" s="7" t="s">
        <x:v>3392</x:v>
      </x:c>
      <x:c r="X417" s="41"/>
      <x:c r="Y417" s="41"/>
      <x:c r="Z417" s="41"/>
    </x:row>
    <x:row r="418">
      <x:c r="A418" s="7" t="s">
        <x:v>3393</x:v>
      </x:c>
      <x:c r="B418" s="7" t="s">
        <x:v>3394</x:v>
      </x:c>
      <x:c r="C418" s="7" t="s">
        <x:v>3395</x:v>
      </x:c>
      <x:c r="D418" s="7" t="s">
        <x:v>3396</x:v>
      </x:c>
      <x:c r="E418" s="7"/>
      <x:c r="F418" s="10">
        <x:v>20.3913</x:v>
      </x:c>
      <x:c r="G418" s="10">
        <x:v>99.68576</x:v>
      </x:c>
      <x:c r="H418" s="7" t="s">
        <x:v>1554</x:v>
      </x:c>
      <x:c r="I418" s="10">
        <x:v>512.97</x:v>
      </x:c>
      <x:c r="J418" s="41"/>
      <x:c r="K418" s="41"/>
      <x:c r="L418" s="41"/>
      <x:c r="M418" s="10"/>
      <x:c r="N418" s="7" t="s">
        <x:v>2663</x:v>
      </x:c>
      <x:c r="O418" s="7" t="s">
        <x:v>1539</x:v>
      </x:c>
      <x:c r="P418" s="10">
        <x:v>3.0</x:v>
      </x:c>
      <x:c r="Q418" s="41"/>
      <x:c r="R418" s="10">
        <x:v>12.4</x:v>
      </x:c>
      <x:c r="S418" s="7" t="s">
        <x:v>1540</x:v>
      </x:c>
      <x:c r="T418" s="7" t="b">
        <x:v>0</x:v>
      </x:c>
      <x:c r="U418" s="7" t="s">
        <x:v>1541</x:v>
      </x:c>
      <x:c r="V418" s="26" t="s">
        <x:v>1542</x:v>
      </x:c>
      <x:c r="W418" s="7" t="s">
        <x:v>3397</x:v>
      </x:c>
      <x:c r="X418" s="41"/>
      <x:c r="Y418" s="41"/>
      <x:c r="Z418" s="41"/>
    </x:row>
    <x:row r="419">
      <x:c r="A419" s="7" t="s">
        <x:v>3398</x:v>
      </x:c>
      <x:c r="B419" s="7" t="s">
        <x:v>3399</x:v>
      </x:c>
      <x:c r="C419" s="7" t="s">
        <x:v>3400</x:v>
      </x:c>
      <x:c r="D419" s="7" t="s">
        <x:v>212</x:v>
      </x:c>
      <x:c r="E419" s="7" t="s">
        <x:v>2695</x:v>
      </x:c>
      <x:c r="F419" s="10">
        <x:v>18.785219</x:v>
      </x:c>
      <x:c r="G419" s="10">
        <x:v>99.630409</x:v>
      </x:c>
      <x:c r="H419" s="7" t="s">
        <x:v>1548</x:v>
      </x:c>
      <x:c r="I419" s="10">
        <x:v>305.36</x:v>
      </x:c>
      <x:c r="J419" s="41"/>
      <x:c r="K419" s="41"/>
      <x:c r="L419" s="41"/>
      <x:c r="M419" s="10"/>
      <x:c r="N419" s="7" t="s">
        <x:v>2663</x:v>
      </x:c>
      <x:c r="O419" s="7" t="s">
        <x:v>1539</x:v>
      </x:c>
      <x:c r="P419" s="10">
        <x:v>3.0</x:v>
      </x:c>
      <x:c r="Q419" s="41"/>
      <x:c r="R419" s="10">
        <x:v>82.4</x:v>
      </x:c>
      <x:c r="S419" s="7" t="s">
        <x:v>301</x:v>
      </x:c>
      <x:c r="T419" s="7" t="b">
        <x:v>0</x:v>
      </x:c>
      <x:c r="U419" s="7" t="s">
        <x:v>1541</x:v>
      </x:c>
      <x:c r="V419" s="26" t="s">
        <x:v>1542</x:v>
      </x:c>
      <x:c r="W419" s="7" t="s">
        <x:v>3401</x:v>
      </x:c>
      <x:c r="X419" s="41"/>
      <x:c r="Y419" s="41"/>
      <x:c r="Z419" s="41"/>
    </x:row>
    <x:row r="420">
      <x:c r="A420" s="7" t="s">
        <x:v>3402</x:v>
      </x:c>
      <x:c r="B420" s="7" t="s">
        <x:v>3403</x:v>
      </x:c>
      <x:c r="C420" s="7" t="s">
        <x:v>3404</x:v>
      </x:c>
      <x:c r="D420" s="7" t="s">
        <x:v>208</x:v>
      </x:c>
      <x:c r="E420" s="7"/>
      <x:c r="F420" s="10">
        <x:v>20.44454</x:v>
      </x:c>
      <x:c r="G420" s="10">
        <x:v>99.88048</x:v>
      </x:c>
      <x:c r="H420" s="7" t="s">
        <x:v>1554</x:v>
      </x:c>
      <x:c r="I420" s="10">
        <x:v>394.99</x:v>
      </x:c>
      <x:c r="J420" s="41"/>
      <x:c r="K420" s="41"/>
      <x:c r="L420" s="41"/>
      <x:c r="M420" s="10"/>
      <x:c r="N420" s="7" t="s">
        <x:v>2663</x:v>
      </x:c>
      <x:c r="O420" s="7" t="s">
        <x:v>1539</x:v>
      </x:c>
      <x:c r="P420" s="10">
        <x:v>3.0</x:v>
      </x:c>
      <x:c r="Q420" s="41"/>
      <x:c r="R420" s="10">
        <x:v>12.4</x:v>
      </x:c>
      <x:c r="S420" s="7" t="s">
        <x:v>1540</x:v>
      </x:c>
      <x:c r="T420" s="7" t="b">
        <x:v>0</x:v>
      </x:c>
      <x:c r="U420" s="7" t="s">
        <x:v>1541</x:v>
      </x:c>
      <x:c r="V420" s="26" t="s">
        <x:v>1542</x:v>
      </x:c>
      <x:c r="W420" s="7" t="s">
        <x:v>3405</x:v>
      </x:c>
      <x:c r="X420" s="41"/>
      <x:c r="Y420" s="41"/>
      <x:c r="Z420" s="41"/>
    </x:row>
    <x:row r="421">
      <x:c r="A421" s="7" t="s">
        <x:v>3406</x:v>
      </x:c>
      <x:c r="B421" s="7" t="s">
        <x:v>3407</x:v>
      </x:c>
      <x:c r="C421" s="7" t="s">
        <x:v>3408</x:v>
      </x:c>
      <x:c r="D421" s="7" t="s">
        <x:v>230</x:v>
      </x:c>
      <x:c r="E421" s="7" t="s">
        <x:v>2393</x:v>
      </x:c>
      <x:c r="F421" s="10">
        <x:v>16.36607</x:v>
      </x:c>
      <x:c r="G421" s="10">
        <x:v>102.949753</x:v>
      </x:c>
      <x:c r="H421" s="7" t="s">
        <x:v>1548</x:v>
      </x:c>
      <x:c r="I421" s="10">
        <x:v>143.32</x:v>
      </x:c>
      <x:c r="J421" s="41"/>
      <x:c r="K421" s="41"/>
      <x:c r="L421" s="41"/>
      <x:c r="M421" s="41"/>
      <x:c r="N421" s="7" t="s">
        <x:v>2663</x:v>
      </x:c>
      <x:c r="O421" s="7" t="s">
        <x:v>1539</x:v>
      </x:c>
      <x:c r="P421" s="10">
        <x:v>3.0</x:v>
      </x:c>
      <x:c r="Q421" s="41"/>
      <x:c r="R421" s="10">
        <x:v>82.4</x:v>
      </x:c>
      <x:c r="S421" s="7" t="s">
        <x:v>301</x:v>
      </x:c>
      <x:c r="T421" s="7" t="b">
        <x:v>0</x:v>
      </x:c>
      <x:c r="U421" s="7" t="s">
        <x:v>1541</x:v>
      </x:c>
      <x:c r="V421" s="26" t="s">
        <x:v>1542</x:v>
      </x:c>
      <x:c r="W421" s="7" t="s">
        <x:v>3409</x:v>
      </x:c>
      <x:c r="X421" s="41"/>
      <x:c r="Y421" s="41"/>
      <x:c r="Z421" s="41"/>
    </x:row>
    <x:row r="422">
      <x:c r="A422" s="7" t="s">
        <x:v>3410</x:v>
      </x:c>
      <x:c r="B422" s="7" t="s">
        <x:v>3411</x:v>
      </x:c>
      <x:c r="C422" s="7" t="s">
        <x:v>3412</x:v>
      </x:c>
      <x:c r="D422" s="7" t="s">
        <x:v>255</x:v>
      </x:c>
      <x:c r="E422" s="7"/>
      <x:c r="F422" s="10">
        <x:v>7.779112</x:v>
      </x:c>
      <x:c r="G422" s="10">
        <x:v>100.36791</x:v>
      </x:c>
      <x:c r="H422" s="7" t="s">
        <x:v>1554</x:v>
      </x:c>
      <x:c r="I422" s="10">
        <x:v>0.53</x:v>
      </x:c>
      <x:c r="J422" s="41"/>
      <x:c r="K422" s="41"/>
      <x:c r="L422" s="41"/>
      <x:c r="M422" s="41"/>
      <x:c r="N422" s="7" t="s">
        <x:v>2663</x:v>
      </x:c>
      <x:c r="O422" s="7" t="s">
        <x:v>1539</x:v>
      </x:c>
      <x:c r="P422" s="10">
        <x:v>3.0</x:v>
      </x:c>
      <x:c r="Q422" s="41"/>
      <x:c r="R422" s="10">
        <x:v>12.4</x:v>
      </x:c>
      <x:c r="S422" s="7" t="s">
        <x:v>1540</x:v>
      </x:c>
      <x:c r="T422" s="7" t="b">
        <x:v>0</x:v>
      </x:c>
      <x:c r="U422" s="7" t="s">
        <x:v>1541</x:v>
      </x:c>
      <x:c r="V422" s="26" t="s">
        <x:v>1542</x:v>
      </x:c>
      <x:c r="W422" s="7" t="s">
        <x:v>3413</x:v>
      </x:c>
      <x:c r="X422" s="41"/>
      <x:c r="Y422" s="41"/>
      <x:c r="Z422" s="41"/>
    </x:row>
    <x:row r="423">
      <x:c r="A423" s="7" t="s">
        <x:v>3414</x:v>
      </x:c>
      <x:c r="B423" s="7" t="s">
        <x:v>3415</x:v>
      </x:c>
      <x:c r="C423" s="7" t="s">
        <x:v>3416</x:v>
      </x:c>
      <x:c r="D423" s="7" t="s">
        <x:v>261</x:v>
      </x:c>
      <x:c r="E423" s="7" t="s">
        <x:v>2398</x:v>
      </x:c>
      <x:c r="F423" s="10">
        <x:v>6.07114</x:v>
      </x:c>
      <x:c r="G423" s="10">
        <x:v>102.035881</x:v>
      </x:c>
      <x:c r="H423" s="7" t="s">
        <x:v>1548</x:v>
      </x:c>
      <x:c r="I423" s="10">
        <x:v>3.25</x:v>
      </x:c>
      <x:c r="J423" s="41"/>
      <x:c r="K423" s="41"/>
      <x:c r="L423" s="41"/>
      <x:c r="M423" s="10"/>
      <x:c r="N423" s="7" t="s">
        <x:v>2663</x:v>
      </x:c>
      <x:c r="O423" s="7" t="s">
        <x:v>1539</x:v>
      </x:c>
      <x:c r="P423" s="10">
        <x:v>3.0</x:v>
      </x:c>
      <x:c r="Q423" s="41"/>
      <x:c r="R423" s="10">
        <x:v>82.4</x:v>
      </x:c>
      <x:c r="S423" s="7" t="s">
        <x:v>301</x:v>
      </x:c>
      <x:c r="T423" s="7" t="b">
        <x:v>0</x:v>
      </x:c>
      <x:c r="U423" s="7" t="s">
        <x:v>1541</x:v>
      </x:c>
      <x:c r="V423" s="26" t="s">
        <x:v>1542</x:v>
      </x:c>
      <x:c r="W423" s="7" t="s">
        <x:v>3417</x:v>
      </x:c>
      <x:c r="X423" s="41"/>
      <x:c r="Y423" s="41"/>
      <x:c r="Z423" s="41"/>
    </x:row>
    <x:row r="424">
      <x:c r="A424" s="7" t="s">
        <x:v>3418</x:v>
      </x:c>
      <x:c r="B424" s="7" t="s">
        <x:v>3419</x:v>
      </x:c>
      <x:c r="C424" s="7" t="s">
        <x:v>3420</x:v>
      </x:c>
      <x:c r="D424" s="7" t="s">
        <x:v>257</x:v>
      </x:c>
      <x:c r="E424" s="7" t="s">
        <x:v>3051</x:v>
      </x:c>
      <x:c r="F424" s="10">
        <x:v>7.37199</x:v>
      </x:c>
      <x:c r="G424" s="10">
        <x:v>99.677269</x:v>
      </x:c>
      <x:c r="H424" s="7" t="s">
        <x:v>1548</x:v>
      </x:c>
      <x:c r="I424" s="10">
        <x:v>1.51</x:v>
      </x:c>
      <x:c r="J424" s="41"/>
      <x:c r="K424" s="41"/>
      <x:c r="L424" s="41"/>
      <x:c r="M424" s="10"/>
      <x:c r="N424" s="7" t="s">
        <x:v>2663</x:v>
      </x:c>
      <x:c r="O424" s="7" t="s">
        <x:v>1539</x:v>
      </x:c>
      <x:c r="P424" s="10">
        <x:v>3.0</x:v>
      </x:c>
      <x:c r="Q424" s="41"/>
      <x:c r="R424" s="10">
        <x:v>82.4</x:v>
      </x:c>
      <x:c r="S424" s="7" t="s">
        <x:v>301</x:v>
      </x:c>
      <x:c r="T424" s="7" t="b">
        <x:v>0</x:v>
      </x:c>
      <x:c r="U424" s="7" t="s">
        <x:v>1541</x:v>
      </x:c>
      <x:c r="V424" s="26" t="s">
        <x:v>1542</x:v>
      </x:c>
      <x:c r="W424" s="7" t="s">
        <x:v>3421</x:v>
      </x:c>
      <x:c r="X424" s="41"/>
      <x:c r="Y424" s="41"/>
      <x:c r="Z424" s="41"/>
    </x:row>
    <x:row r="425">
      <x:c r="A425" s="7" t="s">
        <x:v>3422</x:v>
      </x:c>
      <x:c r="B425" s="7" t="s">
        <x:v>3423</x:v>
      </x:c>
      <x:c r="C425" s="7" t="s">
        <x:v>3424</x:v>
      </x:c>
      <x:c r="D425" s="7" t="s">
        <x:v>256</x:v>
      </x:c>
      <x:c r="E425" s="7" t="s">
        <x:v>3425</x:v>
      </x:c>
      <x:c r="F425" s="10">
        <x:v>6.77741</x:v>
      </x:c>
      <x:c r="G425" s="10">
        <x:v>100.071487</x:v>
      </x:c>
      <x:c r="H425" s="7" t="s">
        <x:v>1548</x:v>
      </x:c>
      <x:c r="I425" s="10">
        <x:v>20.34</x:v>
      </x:c>
      <x:c r="J425" s="41"/>
      <x:c r="K425" s="41"/>
      <x:c r="L425" s="41"/>
      <x:c r="M425" s="10"/>
      <x:c r="N425" s="7" t="s">
        <x:v>2663</x:v>
      </x:c>
      <x:c r="O425" s="7" t="s">
        <x:v>1539</x:v>
      </x:c>
      <x:c r="P425" s="10">
        <x:v>3.0</x:v>
      </x:c>
      <x:c r="Q425" s="41"/>
      <x:c r="R425" s="10">
        <x:v>82.4</x:v>
      </x:c>
      <x:c r="S425" s="7" t="s">
        <x:v>301</x:v>
      </x:c>
      <x:c r="T425" s="7" t="b">
        <x:v>0</x:v>
      </x:c>
      <x:c r="U425" s="7" t="s">
        <x:v>1541</x:v>
      </x:c>
      <x:c r="V425" s="26" t="s">
        <x:v>1542</x:v>
      </x:c>
      <x:c r="W425" s="7" t="s">
        <x:v>3426</x:v>
      </x:c>
      <x:c r="X425" s="41"/>
      <x:c r="Y425" s="41"/>
      <x:c r="Z425" s="41"/>
    </x:row>
    <x:row r="426">
      <x:c r="A426" s="7" t="s">
        <x:v>3427</x:v>
      </x:c>
      <x:c r="B426" s="7" t="s">
        <x:v>3428</x:v>
      </x:c>
      <x:c r="C426" s="7" t="s">
        <x:v>3429</x:v>
      </x:c>
      <x:c r="D426" s="7" t="s">
        <x:v>209</x:v>
      </x:c>
      <x:c r="E426" s="7" t="s">
        <x:v>3430</x:v>
      </x:c>
      <x:c r="F426" s="10">
        <x:v>18.22003</x:v>
      </x:c>
      <x:c r="G426" s="10">
        <x:v>100.20636</x:v>
      </x:c>
      <x:c r="H426" s="7" t="s">
        <x:v>1548</x:v>
      </x:c>
      <x:c r="I426" s="10">
        <x:v>159.27</x:v>
      </x:c>
      <x:c r="J426" s="41"/>
      <x:c r="K426" s="41"/>
      <x:c r="L426" s="41"/>
      <x:c r="M426" s="41"/>
      <x:c r="N426" s="7" t="s">
        <x:v>2663</x:v>
      </x:c>
      <x:c r="O426" s="7" t="s">
        <x:v>1539</x:v>
      </x:c>
      <x:c r="P426" s="10">
        <x:v>3.0</x:v>
      </x:c>
      <x:c r="Q426" s="41"/>
      <x:c r="R426" s="10">
        <x:v>82.4</x:v>
      </x:c>
      <x:c r="S426" s="7" t="s">
        <x:v>301</x:v>
      </x:c>
      <x:c r="T426" s="7" t="b">
        <x:v>0</x:v>
      </x:c>
      <x:c r="U426" s="7" t="s">
        <x:v>1541</x:v>
      </x:c>
      <x:c r="V426" s="26" t="s">
        <x:v>1542</x:v>
      </x:c>
      <x:c r="W426" s="7" t="s">
        <x:v>3431</x:v>
      </x:c>
      <x:c r="X426" s="41"/>
      <x:c r="Y426" s="41"/>
      <x:c r="Z426" s="41"/>
    </x:row>
    <x:row r="427">
      <x:c r="A427" s="7" t="s">
        <x:v>3432</x:v>
      </x:c>
      <x:c r="B427" s="7" t="s">
        <x:v>3433</x:v>
      </x:c>
      <x:c r="C427" s="7" t="s">
        <x:v>3434</x:v>
      </x:c>
      <x:c r="D427" s="7" t="s">
        <x:v>27</x:v>
      </x:c>
      <x:c r="E427" s="7" t="s">
        <x:v>2754</x:v>
      </x:c>
      <x:c r="F427" s="10">
        <x:v>16.85502</x:v>
      </x:c>
      <x:c r="G427" s="10">
        <x:v>100.66681</x:v>
      </x:c>
      <x:c r="H427" s="7" t="s">
        <x:v>1554</x:v>
      </x:c>
      <x:c r="I427" s="10">
        <x:v>136.78</x:v>
      </x:c>
      <x:c r="J427" s="41"/>
      <x:c r="K427" s="41"/>
      <x:c r="L427" s="41"/>
      <x:c r="M427" s="41"/>
      <x:c r="N427" s="7" t="s">
        <x:v>2663</x:v>
      </x:c>
      <x:c r="O427" s="7" t="s">
        <x:v>1539</x:v>
      </x:c>
      <x:c r="P427" s="10">
        <x:v>3.0</x:v>
      </x:c>
      <x:c r="Q427" s="41"/>
      <x:c r="R427" s="10">
        <x:v>12.4</x:v>
      </x:c>
      <x:c r="S427" s="7" t="s">
        <x:v>1540</x:v>
      </x:c>
      <x:c r="T427" s="7" t="b">
        <x:v>0</x:v>
      </x:c>
      <x:c r="U427" s="7" t="s">
        <x:v>1541</x:v>
      </x:c>
      <x:c r="V427" s="26" t="s">
        <x:v>1542</x:v>
      </x:c>
      <x:c r="W427" s="7" t="s">
        <x:v>3435</x:v>
      </x:c>
      <x:c r="X427" s="41"/>
      <x:c r="Y427" s="41"/>
      <x:c r="Z427" s="41"/>
    </x:row>
    <x:row r="428">
      <x:c r="A428" s="7" t="s">
        <x:v>3436</x:v>
      </x:c>
      <x:c r="B428" s="7" t="s">
        <x:v>3437</x:v>
      </x:c>
      <x:c r="C428" s="7" t="s">
        <x:v>3438</x:v>
      </x:c>
      <x:c r="D428" s="7" t="s">
        <x:v>207</x:v>
      </x:c>
      <x:c r="E428" s="7"/>
      <x:c r="F428" s="10">
        <x:v>17.387731</x:v>
      </x:c>
      <x:c r="G428" s="10">
        <x:v>98.467658</x:v>
      </x:c>
      <x:c r="H428" s="7" t="s">
        <x:v>1658</x:v>
      </x:c>
      <x:c r="I428" s="10">
        <x:v>421.57</x:v>
      </x:c>
      <x:c r="J428" s="41"/>
      <x:c r="K428" s="41"/>
      <x:c r="L428" s="41"/>
      <x:c r="M428" s="10">
        <x:v>426.24</x:v>
      </x:c>
      <x:c r="N428" s="7" t="s">
        <x:v>2663</x:v>
      </x:c>
      <x:c r="O428" s="7" t="s">
        <x:v>1539</x:v>
      </x:c>
      <x:c r="P428" s="10">
        <x:v>3.0</x:v>
      </x:c>
      <x:c r="Q428" s="41"/>
      <x:c r="R428" s="10">
        <x:v>22.4</x:v>
      </x:c>
      <x:c r="S428" s="7" t="s">
        <x:v>1540</x:v>
      </x:c>
      <x:c r="T428" s="7" t="b">
        <x:v>0</x:v>
      </x:c>
      <x:c r="U428" s="7" t="s">
        <x:v>1541</x:v>
      </x:c>
      <x:c r="V428" s="26" t="s">
        <x:v>1542</x:v>
      </x:c>
      <x:c r="W428" s="7" t="s">
        <x:v>3439</x:v>
      </x:c>
      <x:c r="X428" s="41"/>
      <x:c r="Y428" s="41"/>
      <x:c r="Z428" s="41"/>
    </x:row>
    <x:row r="429">
      <x:c r="A429" s="7" t="s">
        <x:v>3440</x:v>
      </x:c>
      <x:c r="B429" s="7" t="s">
        <x:v>3441</x:v>
      </x:c>
      <x:c r="C429" s="7" t="s">
        <x:v>3442</x:v>
      </x:c>
      <x:c r="D429" s="7" t="s">
        <x:v>216</x:v>
      </x:c>
      <x:c r="E429" s="7" t="s">
        <x:v>2084</x:v>
      </x:c>
      <x:c r="F429" s="10">
        <x:v>17.41834</x:v>
      </x:c>
      <x:c r="G429" s="10">
        <x:v>100.13075</x:v>
      </x:c>
      <x:c r="H429" s="7" t="s">
        <x:v>1554</x:v>
      </x:c>
      <x:c r="I429" s="10">
        <x:v>49.2</x:v>
      </x:c>
      <x:c r="J429" s="41"/>
      <x:c r="K429" s="41"/>
      <x:c r="L429" s="41"/>
      <x:c r="M429" s="10"/>
      <x:c r="N429" s="7" t="s">
        <x:v>2663</x:v>
      </x:c>
      <x:c r="O429" s="7" t="s">
        <x:v>1539</x:v>
      </x:c>
      <x:c r="P429" s="10">
        <x:v>3.0</x:v>
      </x:c>
      <x:c r="Q429" s="41"/>
      <x:c r="R429" s="10">
        <x:v>12.4</x:v>
      </x:c>
      <x:c r="S429" s="7" t="s">
        <x:v>1540</x:v>
      </x:c>
      <x:c r="T429" s="7" t="b">
        <x:v>0</x:v>
      </x:c>
      <x:c r="U429" s="7" t="s">
        <x:v>1541</x:v>
      </x:c>
      <x:c r="V429" s="26" t="s">
        <x:v>1542</x:v>
      </x:c>
      <x:c r="W429" s="7" t="s">
        <x:v>3443</x:v>
      </x:c>
      <x:c r="X429" s="41"/>
      <x:c r="Y429" s="41"/>
      <x:c r="Z429" s="41"/>
    </x:row>
    <x:row r="430">
      <x:c r="A430" s="7" t="s">
        <x:v>3444</x:v>
      </x:c>
      <x:c r="B430" s="7" t="s">
        <x:v>3445</x:v>
      </x:c>
      <x:c r="C430" s="7" t="s">
        <x:v>3446</x:v>
      </x:c>
      <x:c r="D430" s="7" t="s">
        <x:v>128</x:v>
      </x:c>
      <x:c r="E430" s="7" t="s">
        <x:v>3447</x:v>
      </x:c>
      <x:c r="F430" s="10">
        <x:v>13.69158</x:v>
      </x:c>
      <x:c r="G430" s="10">
        <x:v>100.38127</x:v>
      </x:c>
      <x:c r="H430" s="7" t="s">
        <x:v>1554</x:v>
      </x:c>
      <x:c r="I430" s="10">
        <x:v>-2.94</x:v>
      </x:c>
      <x:c r="J430" s="41"/>
      <x:c r="K430" s="41"/>
      <x:c r="L430" s="41"/>
      <x:c r="M430" s="10"/>
      <x:c r="N430" s="7" t="s">
        <x:v>2663</x:v>
      </x:c>
      <x:c r="O430" s="7" t="s">
        <x:v>1539</x:v>
      </x:c>
      <x:c r="P430" s="10">
        <x:v>3.0</x:v>
      </x:c>
      <x:c r="Q430" s="41"/>
      <x:c r="R430" s="10">
        <x:v>12.4</x:v>
      </x:c>
      <x:c r="S430" s="7" t="s">
        <x:v>1540</x:v>
      </x:c>
      <x:c r="T430" s="7" t="b">
        <x:v>0</x:v>
      </x:c>
      <x:c r="U430" s="7" t="s">
        <x:v>1541</x:v>
      </x:c>
      <x:c r="V430" s="26" t="s">
        <x:v>1542</x:v>
      </x:c>
      <x:c r="W430" s="7" t="s">
        <x:v>3448</x:v>
      </x:c>
      <x:c r="X430" s="41"/>
      <x:c r="Y430" s="41"/>
      <x:c r="Z430" s="41"/>
    </x:row>
    <x:row r="431">
      <x:c r="A431" s="7" t="s">
        <x:v>3449</x:v>
      </x:c>
      <x:c r="B431" s="7" t="s">
        <x:v>3450</x:v>
      </x:c>
      <x:c r="C431" s="7" t="s">
        <x:v>3451</x:v>
      </x:c>
      <x:c r="D431" s="7" t="s">
        <x:v>207</x:v>
      </x:c>
      <x:c r="E431" s="7"/>
      <x:c r="F431" s="10">
        <x:v>18.178275</x:v>
      </x:c>
      <x:c r="G431" s="10">
        <x:v>98.630519</x:v>
      </x:c>
      <x:c r="H431" s="7" t="s">
        <x:v>3452</x:v>
      </x:c>
      <x:c r="I431" s="10">
        <x:v>257.61</x:v>
      </x:c>
      <x:c r="J431" s="41"/>
      <x:c r="K431" s="41"/>
      <x:c r="L431" s="41"/>
      <x:c r="M431" s="10">
        <x:v>261.91</x:v>
      </x:c>
      <x:c r="N431" s="7" t="s">
        <x:v>2663</x:v>
      </x:c>
      <x:c r="O431" s="7" t="s">
        <x:v>1539</x:v>
      </x:c>
      <x:c r="P431" s="10">
        <x:v>3.0</x:v>
      </x:c>
      <x:c r="Q431" s="41"/>
      <x:c r="R431" s="10">
        <x:v>1342.4</x:v>
      </x:c>
      <x:c r="S431" s="7" t="s">
        <x:v>301</x:v>
      </x:c>
      <x:c r="T431" s="7" t="b">
        <x:v>0</x:v>
      </x:c>
      <x:c r="U431" s="7" t="s">
        <x:v>1541</x:v>
      </x:c>
      <x:c r="V431" s="26" t="s">
        <x:v>1542</x:v>
      </x:c>
      <x:c r="W431" s="7" t="s">
        <x:v>3453</x:v>
      </x:c>
      <x:c r="X431" s="41"/>
      <x:c r="Y431" s="41"/>
      <x:c r="Z431" s="41"/>
    </x:row>
    <x:row r="432">
      <x:c r="A432" s="7" t="s">
        <x:v>3454</x:v>
      </x:c>
      <x:c r="B432" s="7" t="s">
        <x:v>3455</x:v>
      </x:c>
      <x:c r="C432" s="7" t="s">
        <x:v>3456</x:v>
      </x:c>
      <x:c r="D432" s="7" t="s">
        <x:v>213</x:v>
      </x:c>
      <x:c r="E432" s="7" t="s">
        <x:v>2957</x:v>
      </x:c>
      <x:c r="F432" s="10">
        <x:v>18.471687</x:v>
      </x:c>
      <x:c r="G432" s="10">
        <x:v>98.95513</x:v>
      </x:c>
      <x:c r="H432" s="7" t="s">
        <x:v>1554</x:v>
      </x:c>
      <x:c r="I432" s="10">
        <x:v>304.03</x:v>
      </x:c>
      <x:c r="J432" s="41"/>
      <x:c r="K432" s="41"/>
      <x:c r="L432" s="41"/>
      <x:c r="M432" s="10"/>
      <x:c r="N432" s="7" t="s">
        <x:v>2663</x:v>
      </x:c>
      <x:c r="O432" s="7" t="s">
        <x:v>1539</x:v>
      </x:c>
      <x:c r="P432" s="10">
        <x:v>3.0</x:v>
      </x:c>
      <x:c r="Q432" s="41"/>
      <x:c r="R432" s="10">
        <x:v>12.4</x:v>
      </x:c>
      <x:c r="S432" s="7" t="s">
        <x:v>1540</x:v>
      </x:c>
      <x:c r="T432" s="7" t="b">
        <x:v>0</x:v>
      </x:c>
      <x:c r="U432" s="7" t="s">
        <x:v>1541</x:v>
      </x:c>
      <x:c r="V432" s="26" t="s">
        <x:v>1542</x:v>
      </x:c>
      <x:c r="W432" s="7" t="s">
        <x:v>3457</x:v>
      </x:c>
      <x:c r="X432" s="41"/>
      <x:c r="Y432" s="41"/>
      <x:c r="Z432" s="41"/>
    </x:row>
    <x:row r="433">
      <x:c r="A433" s="7" t="s">
        <x:v>3458</x:v>
      </x:c>
      <x:c r="B433" s="7" t="s">
        <x:v>3459</x:v>
      </x:c>
      <x:c r="C433" s="7" t="s">
        <x:v>3460</x:v>
      </x:c>
      <x:c r="D433" s="7" t="s">
        <x:v>253</x:v>
      </x:c>
      <x:c r="E433" s="7" t="s">
        <x:v>3460</x:v>
      </x:c>
      <x:c r="F433" s="10">
        <x:v>9.95839</x:v>
      </x:c>
      <x:c r="G433" s="10">
        <x:v>98.648537</x:v>
      </x:c>
      <x:c r="H433" s="7" t="s">
        <x:v>1548</x:v>
      </x:c>
      <x:c r="I433" s="10">
        <x:v>8.32</x:v>
      </x:c>
      <x:c r="J433" s="41"/>
      <x:c r="K433" s="41"/>
      <x:c r="L433" s="41"/>
      <x:c r="M433" s="10"/>
      <x:c r="N433" s="7" t="s">
        <x:v>2663</x:v>
      </x:c>
      <x:c r="O433" s="7" t="s">
        <x:v>1539</x:v>
      </x:c>
      <x:c r="P433" s="10">
        <x:v>3.0</x:v>
      </x:c>
      <x:c r="Q433" s="41"/>
      <x:c r="R433" s="10">
        <x:v>82.4</x:v>
      </x:c>
      <x:c r="S433" s="7" t="s">
        <x:v>301</x:v>
      </x:c>
      <x:c r="T433" s="7" t="b">
        <x:v>0</x:v>
      </x:c>
      <x:c r="U433" s="7" t="s">
        <x:v>1541</x:v>
      </x:c>
      <x:c r="V433" s="26" t="s">
        <x:v>1542</x:v>
      </x:c>
      <x:c r="W433" s="7" t="s">
        <x:v>3461</x:v>
      </x:c>
      <x:c r="X433" s="41"/>
      <x:c r="Y433" s="41"/>
      <x:c r="Z433" s="41"/>
    </x:row>
    <x:row r="434">
      <x:c r="A434" s="7" t="s">
        <x:v>3462</x:v>
      </x:c>
      <x:c r="B434" s="7" t="s">
        <x:v>3463</x:v>
      </x:c>
      <x:c r="C434" s="7" t="s">
        <x:v>3464</x:v>
      </x:c>
      <x:c r="D434" s="7" t="s">
        <x:v>27</x:v>
      </x:c>
      <x:c r="E434" s="7" t="s">
        <x:v>2084</x:v>
      </x:c>
      <x:c r="F434" s="10">
        <x:v>16.58046</x:v>
      </x:c>
      <x:c r="G434" s="10">
        <x:v>100.23858</x:v>
      </x:c>
      <x:c r="H434" s="7" t="s">
        <x:v>1554</x:v>
      </x:c>
      <x:c r="I434" s="10">
        <x:v>33.99</x:v>
      </x:c>
      <x:c r="J434" s="41"/>
      <x:c r="K434" s="41"/>
      <x:c r="L434" s="41"/>
      <x:c r="M434" s="10"/>
      <x:c r="N434" s="7" t="s">
        <x:v>2663</x:v>
      </x:c>
      <x:c r="O434" s="7" t="s">
        <x:v>1539</x:v>
      </x:c>
      <x:c r="P434" s="10">
        <x:v>3.0</x:v>
      </x:c>
      <x:c r="Q434" s="41"/>
      <x:c r="R434" s="10">
        <x:v>12.4</x:v>
      </x:c>
      <x:c r="S434" s="7" t="s">
        <x:v>1540</x:v>
      </x:c>
      <x:c r="T434" s="7" t="b">
        <x:v>0</x:v>
      </x:c>
      <x:c r="U434" s="7" t="s">
        <x:v>1541</x:v>
      </x:c>
      <x:c r="V434" s="26" t="s">
        <x:v>1542</x:v>
      </x:c>
      <x:c r="W434" s="7" t="s">
        <x:v>3465</x:v>
      </x:c>
      <x:c r="X434" s="41"/>
      <x:c r="Y434" s="41"/>
      <x:c r="Z434" s="41"/>
    </x:row>
    <x:row r="435">
      <x:c r="A435" s="7" t="s">
        <x:v>3466</x:v>
      </x:c>
      <x:c r="B435" s="7" t="s">
        <x:v>3467</x:v>
      </x:c>
      <x:c r="C435" s="7" t="s">
        <x:v>3468</x:v>
      </x:c>
      <x:c r="D435" s="7" t="s">
        <x:v>243</x:v>
      </x:c>
      <x:c r="E435" s="7" t="s">
        <x:v>2032</x:v>
      </x:c>
      <x:c r="F435" s="10">
        <x:v>15.33969</x:v>
      </x:c>
      <x:c r="G435" s="10">
        <x:v>104.15403</x:v>
      </x:c>
      <x:c r="H435" s="7" t="s">
        <x:v>1777</x:v>
      </x:c>
      <x:c r="I435" s="10">
        <x:v>114.21</x:v>
      </x:c>
      <x:c r="J435" s="41"/>
      <x:c r="K435" s="41"/>
      <x:c r="L435" s="41"/>
      <x:c r="M435" s="41"/>
      <x:c r="N435" s="7" t="s">
        <x:v>2663</x:v>
      </x:c>
      <x:c r="O435" s="7" t="s">
        <x:v>1539</x:v>
      </x:c>
      <x:c r="P435" s="10">
        <x:v>3.0</x:v>
      </x:c>
      <x:c r="Q435" s="41"/>
      <x:c r="R435" s="10">
        <x:v>562.4</x:v>
      </x:c>
      <x:c r="S435" s="7" t="s">
        <x:v>301</x:v>
      </x:c>
      <x:c r="T435" s="7" t="b">
        <x:v>0</x:v>
      </x:c>
      <x:c r="U435" s="7" t="s">
        <x:v>1541</x:v>
      </x:c>
      <x:c r="V435" s="26" t="s">
        <x:v>1542</x:v>
      </x:c>
      <x:c r="W435" s="7" t="s">
        <x:v>3469</x:v>
      </x:c>
      <x:c r="X435" s="41"/>
      <x:c r="Y435" s="41"/>
      <x:c r="Z435" s="41"/>
    </x:row>
    <x:row r="436">
      <x:c r="A436" s="7" t="s">
        <x:v>3470</x:v>
      </x:c>
      <x:c r="B436" s="7" t="s">
        <x:v>3471</x:v>
      </x:c>
      <x:c r="C436" s="7" t="s">
        <x:v>3472</x:v>
      </x:c>
      <x:c r="D436" s="7" t="s">
        <x:v>233</x:v>
      </x:c>
      <x:c r="E436" s="7" t="s">
        <x:v>3095</x:v>
      </x:c>
      <x:c r="F436" s="10">
        <x:v>17.2659</x:v>
      </x:c>
      <x:c r="G436" s="10">
        <x:v>102.59243</x:v>
      </x:c>
      <x:c r="H436" s="7" t="s">
        <x:v>1548</x:v>
      </x:c>
      <x:c r="I436" s="10">
        <x:v>204.4</x:v>
      </x:c>
      <x:c r="J436" s="41"/>
      <x:c r="K436" s="41"/>
      <x:c r="L436" s="41"/>
      <x:c r="M436" s="41"/>
      <x:c r="N436" s="7" t="s">
        <x:v>2663</x:v>
      </x:c>
      <x:c r="O436" s="7" t="s">
        <x:v>1539</x:v>
      </x:c>
      <x:c r="P436" s="10">
        <x:v>3.0</x:v>
      </x:c>
      <x:c r="Q436" s="41"/>
      <x:c r="R436" s="10">
        <x:v>82.4</x:v>
      </x:c>
      <x:c r="S436" s="7" t="s">
        <x:v>301</x:v>
      </x:c>
      <x:c r="T436" s="7" t="b">
        <x:v>0</x:v>
      </x:c>
      <x:c r="U436" s="7" t="s">
        <x:v>1541</x:v>
      </x:c>
      <x:c r="V436" s="26" t="s">
        <x:v>1542</x:v>
      </x:c>
      <x:c r="W436" s="7" t="s">
        <x:v>3473</x:v>
      </x:c>
      <x:c r="X436" s="41"/>
      <x:c r="Y436" s="41"/>
      <x:c r="Z436" s="41"/>
    </x:row>
    <x:row r="437">
      <x:c r="A437" s="7" t="s">
        <x:v>3474</x:v>
      </x:c>
      <x:c r="B437" s="7" t="s">
        <x:v>3475</x:v>
      </x:c>
      <x:c r="C437" s="7" t="s">
        <x:v>3476</x:v>
      </x:c>
      <x:c r="D437" s="7" t="s">
        <x:v>242</x:v>
      </x:c>
      <x:c r="E437" s="7" t="s">
        <x:v>2032</x:v>
      </x:c>
      <x:c r="F437" s="10">
        <x:v>15.28496</x:v>
      </x:c>
      <x:c r="G437" s="10">
        <x:v>105.46831</x:v>
      </x:c>
      <x:c r="H437" s="7" t="s">
        <x:v>1548</x:v>
      </x:c>
      <x:c r="I437" s="10">
        <x:v>99.64</x:v>
      </x:c>
      <x:c r="J437" s="41"/>
      <x:c r="K437" s="41"/>
      <x:c r="L437" s="41"/>
      <x:c r="M437" s="10">
        <x:v>111.9</x:v>
      </x:c>
      <x:c r="N437" s="7" t="s">
        <x:v>2663</x:v>
      </x:c>
      <x:c r="O437" s="7" t="s">
        <x:v>1539</x:v>
      </x:c>
      <x:c r="P437" s="10">
        <x:v>3.0</x:v>
      </x:c>
      <x:c r="Q437" s="41"/>
      <x:c r="R437" s="10">
        <x:v>82.4</x:v>
      </x:c>
      <x:c r="S437" s="7" t="s">
        <x:v>301</x:v>
      </x:c>
      <x:c r="T437" s="7" t="b">
        <x:v>0</x:v>
      </x:c>
      <x:c r="U437" s="7" t="s">
        <x:v>1541</x:v>
      </x:c>
      <x:c r="V437" s="26" t="s">
        <x:v>1542</x:v>
      </x:c>
      <x:c r="W437" s="7" t="s">
        <x:v>3477</x:v>
      </x:c>
      <x:c r="X437" s="41"/>
      <x:c r="Y437" s="41"/>
      <x:c r="Z437" s="41"/>
    </x:row>
    <x:row r="438">
      <x:c r="A438" s="7" t="s">
        <x:v>3478</x:v>
      </x:c>
      <x:c r="B438" s="7" t="s">
        <x:v>3479</x:v>
      </x:c>
      <x:c r="C438" s="7" t="s">
        <x:v>3480</x:v>
      </x:c>
      <x:c r="D438" s="7" t="s">
        <x:v>217</x:v>
      </x:c>
      <x:c r="E438" s="7"/>
      <x:c r="F438" s="10">
        <x:v>17.03065</x:v>
      </x:c>
      <x:c r="G438" s="10">
        <x:v>99.71174</x:v>
      </x:c>
      <x:c r="H438" s="7" t="s">
        <x:v>3481</x:v>
      </x:c>
      <x:c r="I438" s="10">
        <x:v>53.0</x:v>
      </x:c>
      <x:c r="J438" s="41"/>
      <x:c r="K438" s="41"/>
      <x:c r="L438" s="41"/>
      <x:c r="M438" s="10"/>
      <x:c r="N438" s="7" t="s">
        <x:v>2663</x:v>
      </x:c>
      <x:c r="O438" s="7" t="s">
        <x:v>1539</x:v>
      </x:c>
      <x:c r="P438" s="10">
        <x:v>3.0</x:v>
      </x:c>
      <x:c r="Q438" s="41"/>
      <x:c r="R438" s="10">
        <x:v>5652.4</x:v>
      </x:c>
      <x:c r="S438" s="7" t="s">
        <x:v>301</x:v>
      </x:c>
      <x:c r="T438" s="7" t="b">
        <x:v>0</x:v>
      </x:c>
      <x:c r="U438" s="7" t="s">
        <x:v>1541</x:v>
      </x:c>
      <x:c r="V438" s="26" t="s">
        <x:v>1542</x:v>
      </x:c>
      <x:c r="W438" s="7" t="s">
        <x:v>3482</x:v>
      </x:c>
      <x:c r="X438" s="41"/>
      <x:c r="Y438" s="41"/>
      <x:c r="Z438" s="41"/>
    </x:row>
    <x:row r="439">
      <x:c r="A439" s="7" t="s">
        <x:v>3483</x:v>
      </x:c>
      <x:c r="B439" s="7" t="s">
        <x:v>3484</x:v>
      </x:c>
      <x:c r="C439" s="7" t="s">
        <x:v>3485</x:v>
      </x:c>
      <x:c r="D439" s="7" t="s">
        <x:v>212</x:v>
      </x:c>
      <x:c r="E439" s="7"/>
      <x:c r="F439" s="10">
        <x:v>18.6275</x:v>
      </x:c>
      <x:c r="G439" s="10">
        <x:v>100.04149</x:v>
      </x:c>
      <x:c r="H439" s="7" t="s">
        <x:v>1554</x:v>
      </x:c>
      <x:c r="I439" s="10">
        <x:v>228.69</x:v>
      </x:c>
      <x:c r="J439" s="41"/>
      <x:c r="K439" s="41"/>
      <x:c r="L439" s="41"/>
      <x:c r="M439" s="10"/>
      <x:c r="N439" s="7" t="s">
        <x:v>2663</x:v>
      </x:c>
      <x:c r="O439" s="7" t="s">
        <x:v>1539</x:v>
      </x:c>
      <x:c r="P439" s="10">
        <x:v>3.0</x:v>
      </x:c>
      <x:c r="Q439" s="41"/>
      <x:c r="R439" s="10">
        <x:v>12.4</x:v>
      </x:c>
      <x:c r="S439" s="7" t="s">
        <x:v>1540</x:v>
      </x:c>
      <x:c r="T439" s="7" t="b">
        <x:v>0</x:v>
      </x:c>
      <x:c r="U439" s="7" t="s">
        <x:v>1541</x:v>
      </x:c>
      <x:c r="V439" s="26" t="s">
        <x:v>1542</x:v>
      </x:c>
      <x:c r="W439" s="7" t="s">
        <x:v>3486</x:v>
      </x:c>
      <x:c r="X439" s="41"/>
      <x:c r="Y439" s="41"/>
      <x:c r="Z439" s="41"/>
    </x:row>
    <x:row r="440">
      <x:c r="A440" s="7" t="s">
        <x:v>3487</x:v>
      </x:c>
      <x:c r="B440" s="7" t="s">
        <x:v>3488</x:v>
      </x:c>
      <x:c r="C440" s="7" t="s">
        <x:v>3489</x:v>
      </x:c>
      <x:c r="D440" s="7" t="s">
        <x:v>27</x:v>
      </x:c>
      <x:c r="E440" s="7" t="s">
        <x:v>2084</x:v>
      </x:c>
      <x:c r="F440" s="10">
        <x:v>16.80608</x:v>
      </x:c>
      <x:c r="G440" s="10">
        <x:v>100.245827</x:v>
      </x:c>
      <x:c r="H440" s="7" t="s">
        <x:v>1548</x:v>
      </x:c>
      <x:c r="I440" s="10">
        <x:v>37.29</x:v>
      </x:c>
      <x:c r="J440" s="41"/>
      <x:c r="K440" s="41"/>
      <x:c r="L440" s="41"/>
      <x:c r="M440" s="10">
        <x:v>44.87</x:v>
      </x:c>
      <x:c r="N440" s="7" t="s">
        <x:v>2663</x:v>
      </x:c>
      <x:c r="O440" s="7" t="s">
        <x:v>1539</x:v>
      </x:c>
      <x:c r="P440" s="10">
        <x:v>3.0</x:v>
      </x:c>
      <x:c r="Q440" s="41"/>
      <x:c r="R440" s="10">
        <x:v>82.4</x:v>
      </x:c>
      <x:c r="S440" s="7" t="s">
        <x:v>301</x:v>
      </x:c>
      <x:c r="T440" s="7" t="b">
        <x:v>0</x:v>
      </x:c>
      <x:c r="U440" s="7" t="s">
        <x:v>1541</x:v>
      </x:c>
      <x:c r="V440" s="26" t="s">
        <x:v>1542</x:v>
      </x:c>
      <x:c r="W440" s="7" t="s">
        <x:v>3490</x:v>
      </x:c>
      <x:c r="X440" s="41"/>
      <x:c r="Y440" s="41"/>
      <x:c r="Z440" s="41"/>
    </x:row>
    <x:row r="441">
      <x:c r="A441" s="7" t="s">
        <x:v>3491</x:v>
      </x:c>
      <x:c r="B441" s="7" t="s">
        <x:v>3492</x:v>
      </x:c>
      <x:c r="C441" s="7" t="s">
        <x:v>3493</x:v>
      </x:c>
      <x:c r="D441" s="7" t="s">
        <x:v>212</x:v>
      </x:c>
      <x:c r="E441" s="7" t="s">
        <x:v>2695</x:v>
      </x:c>
      <x:c r="F441" s="10">
        <x:v>17.641491</x:v>
      </x:c>
      <x:c r="G441" s="10">
        <x:v>99.23201</x:v>
      </x:c>
      <x:c r="H441" s="7" t="s">
        <x:v>1777</x:v>
      </x:c>
      <x:c r="I441" s="10">
        <x:v>162.1</x:v>
      </x:c>
      <x:c r="J441" s="41"/>
      <x:c r="K441" s="41"/>
      <x:c r="L441" s="41"/>
      <x:c r="M441" s="10"/>
      <x:c r="N441" s="7" t="s">
        <x:v>2663</x:v>
      </x:c>
      <x:c r="O441" s="7" t="s">
        <x:v>1539</x:v>
      </x:c>
      <x:c r="P441" s="10">
        <x:v>3.0</x:v>
      </x:c>
      <x:c r="Q441" s="41"/>
      <x:c r="R441" s="10">
        <x:v>562.4</x:v>
      </x:c>
      <x:c r="S441" s="7" t="s">
        <x:v>301</x:v>
      </x:c>
      <x:c r="T441" s="7" t="b">
        <x:v>0</x:v>
      </x:c>
      <x:c r="U441" s="7" t="s">
        <x:v>1541</x:v>
      </x:c>
      <x:c r="V441" s="26" t="s">
        <x:v>1542</x:v>
      </x:c>
      <x:c r="W441" s="7" t="s">
        <x:v>3494</x:v>
      </x:c>
      <x:c r="X441" s="41"/>
      <x:c r="Y441" s="41"/>
      <x:c r="Z441" s="41"/>
    </x:row>
    <x:row r="442">
      <x:c r="A442" s="7" t="s">
        <x:v>3495</x:v>
      </x:c>
      <x:c r="B442" s="7" t="s">
        <x:v>3496</x:v>
      </x:c>
      <x:c r="C442" s="7" t="s">
        <x:v>3497</x:v>
      </x:c>
      <x:c r="D442" s="7" t="s">
        <x:v>58</x:v>
      </x:c>
      <x:c r="E442" s="7" t="s">
        <x:v>1536</x:v>
      </x:c>
      <x:c r="F442" s="10">
        <x:v>14.53559</x:v>
      </x:c>
      <x:c r="G442" s="10">
        <x:v>98.78764</x:v>
      </x:c>
      <x:c r="H442" s="7" t="s">
        <x:v>1554</x:v>
      </x:c>
      <x:c r="I442" s="10">
        <x:v>64.63</x:v>
      </x:c>
      <x:c r="J442" s="41"/>
      <x:c r="K442" s="41"/>
      <x:c r="L442" s="41"/>
      <x:c r="M442" s="10"/>
      <x:c r="N442" s="7" t="s">
        <x:v>2663</x:v>
      </x:c>
      <x:c r="O442" s="7" t="s">
        <x:v>1539</x:v>
      </x:c>
      <x:c r="P442" s="10">
        <x:v>3.0</x:v>
      </x:c>
      <x:c r="Q442" s="41"/>
      <x:c r="R442" s="10">
        <x:v>12.4</x:v>
      </x:c>
      <x:c r="S442" s="7" t="s">
        <x:v>1540</x:v>
      </x:c>
      <x:c r="T442" s="7" t="b">
        <x:v>0</x:v>
      </x:c>
      <x:c r="U442" s="7" t="s">
        <x:v>1541</x:v>
      </x:c>
      <x:c r="V442" s="26" t="s">
        <x:v>1542</x:v>
      </x:c>
      <x:c r="W442" s="7" t="s">
        <x:v>3498</x:v>
      </x:c>
      <x:c r="X442" s="41"/>
      <x:c r="Y442" s="41"/>
      <x:c r="Z442" s="41"/>
    </x:row>
    <x:row r="443">
      <x:c r="A443" s="7" t="s">
        <x:v>3499</x:v>
      </x:c>
      <x:c r="B443" s="7" t="s">
        <x:v>3500</x:v>
      </x:c>
      <x:c r="C443" s="7" t="s">
        <x:v>3501</x:v>
      </x:c>
      <x:c r="D443" s="7" t="s">
        <x:v>251</x:v>
      </x:c>
      <x:c r="E443" s="7" t="s">
        <x:v>3502</x:v>
      </x:c>
      <x:c r="F443" s="10">
        <x:v>8.525791</x:v>
      </x:c>
      <x:c r="G443" s="10">
        <x:v>98.88188</x:v>
      </x:c>
      <x:c r="H443" s="7" t="s">
        <x:v>1554</x:v>
      </x:c>
      <x:c r="I443" s="10">
        <x:v>38.37</x:v>
      </x:c>
      <x:c r="J443" s="41"/>
      <x:c r="K443" s="41"/>
      <x:c r="L443" s="41"/>
      <x:c r="M443" s="41"/>
      <x:c r="N443" s="7" t="s">
        <x:v>2663</x:v>
      </x:c>
      <x:c r="O443" s="7" t="s">
        <x:v>1539</x:v>
      </x:c>
      <x:c r="P443" s="10">
        <x:v>3.0</x:v>
      </x:c>
      <x:c r="Q443" s="41"/>
      <x:c r="R443" s="10">
        <x:v>12.4</x:v>
      </x:c>
      <x:c r="S443" s="7" t="s">
        <x:v>1540</x:v>
      </x:c>
      <x:c r="T443" s="7" t="b">
        <x:v>0</x:v>
      </x:c>
      <x:c r="U443" s="7" t="s">
        <x:v>1541</x:v>
      </x:c>
      <x:c r="V443" s="26" t="s">
        <x:v>1542</x:v>
      </x:c>
      <x:c r="W443" s="7" t="s">
        <x:v>3503</x:v>
      </x:c>
      <x:c r="X443" s="41"/>
      <x:c r="Y443" s="41"/>
      <x:c r="Z443" s="41"/>
    </x:row>
    <x:row r="444">
      <x:c r="A444" s="7" t="s">
        <x:v>3504</x:v>
      </x:c>
      <x:c r="B444" s="7" t="s">
        <x:v>3505</x:v>
      </x:c>
      <x:c r="C444" s="7" t="s">
        <x:v>3506</x:v>
      </x:c>
      <x:c r="D444" s="7" t="s">
        <x:v>222</x:v>
      </x:c>
      <x:c r="E444" s="7" t="s">
        <x:v>2017</x:v>
      </x:c>
      <x:c r="F444" s="10">
        <x:v>12.97398</x:v>
      </x:c>
      <x:c r="G444" s="10">
        <x:v>99.88784</x:v>
      </x:c>
      <x:c r="H444" s="7" t="s">
        <x:v>1537</x:v>
      </x:c>
      <x:c r="I444" s="10">
        <x:v>8.93</x:v>
      </x:c>
      <x:c r="J444" s="41"/>
      <x:c r="K444" s="41"/>
      <x:c r="L444" s="41"/>
      <x:c r="M444" s="10">
        <x:v>13.9</x:v>
      </x:c>
      <x:c r="N444" s="7" t="s">
        <x:v>2663</x:v>
      </x:c>
      <x:c r="O444" s="7" t="s">
        <x:v>1539</x:v>
      </x:c>
      <x:c r="P444" s="10">
        <x:v>3.0</x:v>
      </x:c>
      <x:c r="Q444" s="41"/>
      <x:c r="R444" s="10">
        <x:v>-457.6</x:v>
      </x:c>
      <x:c r="S444" s="7" t="s">
        <x:v>1540</x:v>
      </x:c>
      <x:c r="T444" s="7" t="b">
        <x:v>0</x:v>
      </x:c>
      <x:c r="U444" s="7" t="s">
        <x:v>1541</x:v>
      </x:c>
      <x:c r="V444" s="26" t="s">
        <x:v>1542</x:v>
      </x:c>
      <x:c r="W444" s="7" t="s">
        <x:v>3507</x:v>
      </x:c>
      <x:c r="X444" s="41"/>
      <x:c r="Y444" s="41"/>
      <x:c r="Z444" s="41"/>
    </x:row>
    <x:row r="445">
      <x:c r="A445" s="7" t="s">
        <x:v>3508</x:v>
      </x:c>
      <x:c r="B445" s="7" t="s">
        <x:v>3509</x:v>
      </x:c>
      <x:c r="C445" s="7" t="s">
        <x:v>3510</x:v>
      </x:c>
      <x:c r="D445" s="7" t="s">
        <x:v>107</x:v>
      </x:c>
      <x:c r="E445" s="7" t="s">
        <x:v>3305</x:v>
      </x:c>
      <x:c r="F445" s="10">
        <x:v>13.119586</x:v>
      </x:c>
      <x:c r="G445" s="10">
        <x:v>101.954346</x:v>
      </x:c>
      <x:c r="H445" s="7" t="s">
        <x:v>1554</x:v>
      </x:c>
      <x:c r="I445" s="10">
        <x:v>44.46</x:v>
      </x:c>
      <x:c r="J445" s="41"/>
      <x:c r="K445" s="41"/>
      <x:c r="L445" s="41"/>
      <x:c r="M445" s="10"/>
      <x:c r="N445" s="7" t="s">
        <x:v>2663</x:v>
      </x:c>
      <x:c r="O445" s="7" t="s">
        <x:v>1539</x:v>
      </x:c>
      <x:c r="P445" s="10">
        <x:v>3.0</x:v>
      </x:c>
      <x:c r="Q445" s="41"/>
      <x:c r="R445" s="10">
        <x:v>12.4</x:v>
      </x:c>
      <x:c r="S445" s="7" t="s">
        <x:v>1540</x:v>
      </x:c>
      <x:c r="T445" s="7" t="b">
        <x:v>0</x:v>
      </x:c>
      <x:c r="U445" s="7" t="s">
        <x:v>1541</x:v>
      </x:c>
      <x:c r="V445" s="26" t="s">
        <x:v>1542</x:v>
      </x:c>
      <x:c r="W445" s="7" t="s">
        <x:v>3511</x:v>
      </x:c>
      <x:c r="X445" s="41"/>
      <x:c r="Y445" s="41"/>
      <x:c r="Z445" s="41"/>
    </x:row>
    <x:row r="446">
      <x:c r="A446" s="7" t="s">
        <x:v>3512</x:v>
      </x:c>
      <x:c r="B446" s="7" t="s">
        <x:v>3513</x:v>
      </x:c>
      <x:c r="C446" s="7" t="s">
        <x:v>3514</x:v>
      </x:c>
      <x:c r="D446" s="7" t="s">
        <x:v>58</x:v>
      </x:c>
      <x:c r="E446" s="7" t="s">
        <x:v>3515</x:v>
      </x:c>
      <x:c r="F446" s="10">
        <x:v>13.78092</x:v>
      </x:c>
      <x:c r="G446" s="10">
        <x:v>99.420921</x:v>
      </x:c>
      <x:c r="H446" s="7" t="s">
        <x:v>1537</x:v>
      </x:c>
      <x:c r="I446" s="10">
        <x:v>51.39</x:v>
      </x:c>
      <x:c r="J446" s="41"/>
      <x:c r="K446" s="41"/>
      <x:c r="L446" s="41"/>
      <x:c r="M446" s="10"/>
      <x:c r="N446" s="7" t="s">
        <x:v>2663</x:v>
      </x:c>
      <x:c r="O446" s="7" t="s">
        <x:v>1539</x:v>
      </x:c>
      <x:c r="P446" s="10">
        <x:v>3.0</x:v>
      </x:c>
      <x:c r="Q446" s="41"/>
      <x:c r="R446" s="10">
        <x:v>-457.6</x:v>
      </x:c>
      <x:c r="S446" s="7" t="s">
        <x:v>1540</x:v>
      </x:c>
      <x:c r="T446" s="7" t="b">
        <x:v>0</x:v>
      </x:c>
      <x:c r="U446" s="7" t="s">
        <x:v>1541</x:v>
      </x:c>
      <x:c r="V446" s="26" t="s">
        <x:v>1542</x:v>
      </x:c>
      <x:c r="W446" s="7" t="s">
        <x:v>3516</x:v>
      </x:c>
      <x:c r="X446" s="41"/>
      <x:c r="Y446" s="41"/>
      <x:c r="Z446" s="41"/>
    </x:row>
    <x:row r="447">
      <x:c r="A447" s="7" t="s">
        <x:v>3517</x:v>
      </x:c>
      <x:c r="B447" s="7" t="s">
        <x:v>3518</x:v>
      </x:c>
      <x:c r="C447" s="7" t="s">
        <x:v>3519</x:v>
      </x:c>
      <x:c r="D447" s="7" t="s">
        <x:v>125</x:v>
      </x:c>
      <x:c r="E447" s="7" t="s">
        <x:v>2032</x:v>
      </x:c>
      <x:c r="F447" s="10">
        <x:v>15.30003</x:v>
      </x:c>
      <x:c r="G447" s="10">
        <x:v>103.292282</x:v>
      </x:c>
      <x:c r="H447" s="7" t="s">
        <x:v>1548</x:v>
      </x:c>
      <x:c r="I447" s="10">
        <x:v>125.41</x:v>
      </x:c>
      <x:c r="J447" s="41"/>
      <x:c r="K447" s="41"/>
      <x:c r="L447" s="41"/>
      <x:c r="M447" s="10">
        <x:v>129.0</x:v>
      </x:c>
      <x:c r="N447" s="7" t="s">
        <x:v>2663</x:v>
      </x:c>
      <x:c r="O447" s="7" t="s">
        <x:v>1539</x:v>
      </x:c>
      <x:c r="P447" s="10">
        <x:v>3.0</x:v>
      </x:c>
      <x:c r="Q447" s="41"/>
      <x:c r="R447" s="10">
        <x:v>82.4</x:v>
      </x:c>
      <x:c r="S447" s="7" t="s">
        <x:v>301</x:v>
      </x:c>
      <x:c r="T447" s="7" t="b">
        <x:v>0</x:v>
      </x:c>
      <x:c r="U447" s="7" t="s">
        <x:v>1541</x:v>
      </x:c>
      <x:c r="V447" s="26" t="s">
        <x:v>1542</x:v>
      </x:c>
      <x:c r="W447" s="7" t="s">
        <x:v>3520</x:v>
      </x:c>
      <x:c r="X447" s="41"/>
      <x:c r="Y447" s="41"/>
      <x:c r="Z447" s="41"/>
    </x:row>
    <x:row r="448">
      <x:c r="A448" s="7" t="s">
        <x:v>3521</x:v>
      </x:c>
      <x:c r="B448" s="7" t="s">
        <x:v>3522</x:v>
      </x:c>
      <x:c r="C448" s="7" t="s">
        <x:v>3523</x:v>
      </x:c>
      <x:c r="D448" s="7" t="s">
        <x:v>65</x:v>
      </x:c>
      <x:c r="E448" s="7" t="s">
        <x:v>1703</x:v>
      </x:c>
      <x:c r="F448" s="10">
        <x:v>14.62918</x:v>
      </x:c>
      <x:c r="G448" s="10">
        <x:v>101.014427</x:v>
      </x:c>
      <x:c r="H448" s="7" t="s">
        <x:v>1548</x:v>
      </x:c>
      <x:c r="I448" s="10">
        <x:v>11.86</x:v>
      </x:c>
      <x:c r="J448" s="41"/>
      <x:c r="K448" s="41"/>
      <x:c r="L448" s="41"/>
      <x:c r="M448" s="41"/>
      <x:c r="N448" s="7" t="s">
        <x:v>2663</x:v>
      </x:c>
      <x:c r="O448" s="7" t="s">
        <x:v>1539</x:v>
      </x:c>
      <x:c r="P448" s="10">
        <x:v>3.0</x:v>
      </x:c>
      <x:c r="Q448" s="41"/>
      <x:c r="R448" s="10">
        <x:v>82.4</x:v>
      </x:c>
      <x:c r="S448" s="7" t="s">
        <x:v>301</x:v>
      </x:c>
      <x:c r="T448" s="7" t="b">
        <x:v>0</x:v>
      </x:c>
      <x:c r="U448" s="7" t="s">
        <x:v>1541</x:v>
      </x:c>
      <x:c r="V448" s="26" t="s">
        <x:v>1542</x:v>
      </x:c>
      <x:c r="W448" s="7" t="s">
        <x:v>3524</x:v>
      </x:c>
      <x:c r="X448" s="41"/>
      <x:c r="Y448" s="41"/>
      <x:c r="Z448" s="41"/>
    </x:row>
    <x:row r="449">
      <x:c r="A449" s="7" t="s">
        <x:v>3525</x:v>
      </x:c>
      <x:c r="B449" s="7" t="s">
        <x:v>3526</x:v>
      </x:c>
      <x:c r="C449" s="7" t="s">
        <x:v>3527</x:v>
      </x:c>
      <x:c r="D449" s="7" t="s">
        <x:v>210</x:v>
      </x:c>
      <x:c r="E449" s="7" t="s">
        <x:v>2084</x:v>
      </x:c>
      <x:c r="F449" s="10">
        <x:v>18.73796</x:v>
      </x:c>
      <x:c r="G449" s="10">
        <x:v>100.75609</x:v>
      </x:c>
      <x:c r="H449" s="7" t="s">
        <x:v>1554</x:v>
      </x:c>
      <x:c r="I449" s="10">
        <x:v>190.76</x:v>
      </x:c>
      <x:c r="J449" s="41"/>
      <x:c r="K449" s="41"/>
      <x:c r="L449" s="41"/>
      <x:c r="M449" s="10"/>
      <x:c r="N449" s="7" t="s">
        <x:v>2663</x:v>
      </x:c>
      <x:c r="O449" s="7" t="s">
        <x:v>1539</x:v>
      </x:c>
      <x:c r="P449" s="10">
        <x:v>3.0</x:v>
      </x:c>
      <x:c r="Q449" s="41"/>
      <x:c r="R449" s="10">
        <x:v>12.4</x:v>
      </x:c>
      <x:c r="S449" s="7" t="s">
        <x:v>1540</x:v>
      </x:c>
      <x:c r="T449" s="7" t="b">
        <x:v>0</x:v>
      </x:c>
      <x:c r="U449" s="7" t="s">
        <x:v>1541</x:v>
      </x:c>
      <x:c r="V449" s="26" t="s">
        <x:v>1542</x:v>
      </x:c>
      <x:c r="W449" s="7" t="s">
        <x:v>3528</x:v>
      </x:c>
      <x:c r="X449" s="41"/>
      <x:c r="Y449" s="41"/>
      <x:c r="Z449" s="41"/>
    </x:row>
    <x:row r="450">
      <x:c r="A450" s="7" t="s">
        <x:v>3529</x:v>
      </x:c>
      <x:c r="B450" s="7" t="s">
        <x:v>3530</x:v>
      </x:c>
      <x:c r="C450" s="7" t="s">
        <x:v>3531</x:v>
      </x:c>
      <x:c r="D450" s="7" t="s">
        <x:v>217</x:v>
      </x:c>
      <x:c r="E450" s="7" t="s">
        <x:v>1734</x:v>
      </x:c>
      <x:c r="F450" s="10">
        <x:v>17.302389</x:v>
      </x:c>
      <x:c r="G450" s="10">
        <x:v>99.830307</x:v>
      </x:c>
      <x:c r="H450" s="7" t="s">
        <x:v>1548</x:v>
      </x:c>
      <x:c r="I450" s="10">
        <x:v>55.39</x:v>
      </x:c>
      <x:c r="J450" s="41"/>
      <x:c r="K450" s="41"/>
      <x:c r="L450" s="41"/>
      <x:c r="M450" s="41"/>
      <x:c r="N450" s="7" t="s">
        <x:v>2663</x:v>
      </x:c>
      <x:c r="O450" s="7" t="s">
        <x:v>1539</x:v>
      </x:c>
      <x:c r="P450" s="10">
        <x:v>3.0</x:v>
      </x:c>
      <x:c r="Q450" s="41"/>
      <x:c r="R450" s="10">
        <x:v>82.4</x:v>
      </x:c>
      <x:c r="S450" s="7" t="s">
        <x:v>301</x:v>
      </x:c>
      <x:c r="T450" s="7" t="b">
        <x:v>0</x:v>
      </x:c>
      <x:c r="U450" s="7" t="s">
        <x:v>1541</x:v>
      </x:c>
      <x:c r="V450" s="26" t="s">
        <x:v>1542</x:v>
      </x:c>
      <x:c r="W450" s="7" t="s">
        <x:v>3532</x:v>
      </x:c>
      <x:c r="X450" s="41"/>
      <x:c r="Y450" s="41"/>
      <x:c r="Z450" s="41"/>
    </x:row>
    <x:row r="451">
      <x:c r="A451" s="7" t="s">
        <x:v>3533</x:v>
      </x:c>
      <x:c r="B451" s="7" t="s">
        <x:v>3534</x:v>
      </x:c>
      <x:c r="C451" s="7" t="s">
        <x:v>3535</x:v>
      </x:c>
      <x:c r="D451" s="7" t="s">
        <x:v>208</x:v>
      </x:c>
      <x:c r="E451" s="7" t="s">
        <x:v>3536</x:v>
      </x:c>
      <x:c r="F451" s="10">
        <x:v>19.56656</x:v>
      </x:c>
      <x:c r="G451" s="10">
        <x:v>99.98423</x:v>
      </x:c>
      <x:c r="H451" s="7" t="s">
        <x:v>1554</x:v>
      </x:c>
      <x:c r="I451" s="10">
        <x:v>381.61</x:v>
      </x:c>
      <x:c r="J451" s="41"/>
      <x:c r="K451" s="41"/>
      <x:c r="L451" s="41"/>
      <x:c r="M451" s="41"/>
      <x:c r="N451" s="7" t="s">
        <x:v>2663</x:v>
      </x:c>
      <x:c r="O451" s="7" t="s">
        <x:v>1539</x:v>
      </x:c>
      <x:c r="P451" s="10">
        <x:v>3.0</x:v>
      </x:c>
      <x:c r="Q451" s="41"/>
      <x:c r="R451" s="10">
        <x:v>12.4</x:v>
      </x:c>
      <x:c r="S451" s="7" t="s">
        <x:v>1540</x:v>
      </x:c>
      <x:c r="T451" s="7" t="b">
        <x:v>0</x:v>
      </x:c>
      <x:c r="U451" s="7" t="s">
        <x:v>1541</x:v>
      </x:c>
      <x:c r="V451" s="26" t="s">
        <x:v>1542</x:v>
      </x:c>
      <x:c r="W451" s="7" t="s">
        <x:v>3537</x:v>
      </x:c>
      <x:c r="X451" s="41"/>
      <x:c r="Y451" s="41"/>
      <x:c r="Z451" s="41"/>
    </x:row>
    <x:row r="452">
      <x:c r="A452" s="7" t="s">
        <x:v>3538</x:v>
      </x:c>
      <x:c r="B452" s="7" t="s">
        <x:v>3539</x:v>
      </x:c>
      <x:c r="C452" s="7" t="s">
        <x:v>3540</x:v>
      </x:c>
      <x:c r="D452" s="7" t="s">
        <x:v>213</x:v>
      </x:c>
      <x:c r="E452" s="7" t="s">
        <x:v>2957</x:v>
      </x:c>
      <x:c r="F452" s="10">
        <x:v>18.519119</x:v>
      </x:c>
      <x:c r="G452" s="10">
        <x:v>98.942291</x:v>
      </x:c>
      <x:c r="H452" s="7" t="s">
        <x:v>1548</x:v>
      </x:c>
      <x:c r="I452" s="10">
        <x:v>289.9</x:v>
      </x:c>
      <x:c r="J452" s="41"/>
      <x:c r="K452" s="41"/>
      <x:c r="L452" s="41"/>
      <x:c r="M452" s="41"/>
      <x:c r="N452" s="7" t="s">
        <x:v>2663</x:v>
      </x:c>
      <x:c r="O452" s="7" t="s">
        <x:v>1539</x:v>
      </x:c>
      <x:c r="P452" s="10">
        <x:v>3.0</x:v>
      </x:c>
      <x:c r="Q452" s="41"/>
      <x:c r="R452" s="10">
        <x:v>82.4</x:v>
      </x:c>
      <x:c r="S452" s="7" t="s">
        <x:v>301</x:v>
      </x:c>
      <x:c r="T452" s="7" t="b">
        <x:v>0</x:v>
      </x:c>
      <x:c r="U452" s="7" t="s">
        <x:v>1541</x:v>
      </x:c>
      <x:c r="V452" s="26" t="s">
        <x:v>1542</x:v>
      </x:c>
      <x:c r="W452" s="7" t="s">
        <x:v>3541</x:v>
      </x:c>
      <x:c r="X452" s="41"/>
      <x:c r="Y452" s="41"/>
      <x:c r="Z452" s="41"/>
    </x:row>
    <x:row r="453">
      <x:c r="A453" s="7" t="s">
        <x:v>3542</x:v>
      </x:c>
      <x:c r="B453" s="7" t="s">
        <x:v>3543</x:v>
      </x:c>
      <x:c r="C453" s="7" t="s">
        <x:v>3544</x:v>
      </x:c>
      <x:c r="D453" s="7" t="s">
        <x:v>212</x:v>
      </x:c>
      <x:c r="E453" s="7" t="s">
        <x:v>3485</x:v>
      </x:c>
      <x:c r="F453" s="10">
        <x:v>18.76083</x:v>
      </x:c>
      <x:c r="G453" s="10">
        <x:v>99.972557</x:v>
      </x:c>
      <x:c r="H453" s="7" t="s">
        <x:v>3065</x:v>
      </x:c>
      <x:c r="I453" s="10">
        <x:v>269.53</x:v>
      </x:c>
      <x:c r="J453" s="41"/>
      <x:c r="K453" s="41"/>
      <x:c r="L453" s="41"/>
      <x:c r="M453" s="41"/>
      <x:c r="N453" s="7" t="s">
        <x:v>2663</x:v>
      </x:c>
      <x:c r="O453" s="7" t="s">
        <x:v>1539</x:v>
      </x:c>
      <x:c r="P453" s="10">
        <x:v>3.0</x:v>
      </x:c>
      <x:c r="Q453" s="41"/>
      <x:c r="R453" s="10">
        <x:v>262.4</x:v>
      </x:c>
      <x:c r="S453" s="7" t="s">
        <x:v>301</x:v>
      </x:c>
      <x:c r="T453" s="7" t="b">
        <x:v>0</x:v>
      </x:c>
      <x:c r="U453" s="7" t="s">
        <x:v>1541</x:v>
      </x:c>
      <x:c r="V453" s="26" t="s">
        <x:v>1542</x:v>
      </x:c>
      <x:c r="W453" s="7" t="s">
        <x:v>3545</x:v>
      </x:c>
      <x:c r="X453" s="41"/>
      <x:c r="Y453" s="41"/>
      <x:c r="Z453" s="41"/>
    </x:row>
    <x:row r="454">
      <x:c r="A454" s="7" t="s">
        <x:v>3546</x:v>
      </x:c>
      <x:c r="B454" s="7" t="s">
        <x:v>3547</x:v>
      </x:c>
      <x:c r="C454" s="7" t="s">
        <x:v>3548</x:v>
      </x:c>
      <x:c r="D454" s="7" t="s">
        <x:v>46</x:v>
      </x:c>
      <x:c r="E454" s="7" t="s">
        <x:v>3549</x:v>
      </x:c>
      <x:c r="F454" s="10">
        <x:v>15.22528</x:v>
      </x:c>
      <x:c r="G454" s="10">
        <x:v>101.277458</x:v>
      </x:c>
      <x:c r="H454" s="7" t="s">
        <x:v>1548</x:v>
      </x:c>
      <x:c r="I454" s="10">
        <x:v>57.09</x:v>
      </x:c>
      <x:c r="J454" s="41"/>
      <x:c r="K454" s="41"/>
      <x:c r="L454" s="41"/>
      <x:c r="M454" s="41"/>
      <x:c r="N454" s="7" t="s">
        <x:v>2663</x:v>
      </x:c>
      <x:c r="O454" s="7" t="s">
        <x:v>1539</x:v>
      </x:c>
      <x:c r="P454" s="10">
        <x:v>3.0</x:v>
      </x:c>
      <x:c r="Q454" s="41"/>
      <x:c r="R454" s="10">
        <x:v>82.4</x:v>
      </x:c>
      <x:c r="S454" s="7" t="s">
        <x:v>301</x:v>
      </x:c>
      <x:c r="T454" s="7" t="b">
        <x:v>0</x:v>
      </x:c>
      <x:c r="U454" s="7" t="s">
        <x:v>1541</x:v>
      </x:c>
      <x:c r="V454" s="26" t="s">
        <x:v>1542</x:v>
      </x:c>
      <x:c r="W454" s="7" t="s">
        <x:v>3550</x:v>
      </x:c>
      <x:c r="X454" s="41"/>
      <x:c r="Y454" s="41"/>
      <x:c r="Z454" s="41"/>
    </x:row>
    <x:row r="455">
      <x:c r="A455" s="7" t="s">
        <x:v>3551</x:v>
      </x:c>
      <x:c r="B455" s="7" t="s">
        <x:v>3552</x:v>
      </x:c>
      <x:c r="C455" s="7" t="s">
        <x:v>3553</x:v>
      </x:c>
      <x:c r="D455" s="7" t="s">
        <x:v>27</x:v>
      </x:c>
      <x:c r="E455" s="7" t="s">
        <x:v>2904</x:v>
      </x:c>
      <x:c r="F455" s="10">
        <x:v>17.25317</x:v>
      </x:c>
      <x:c r="G455" s="10">
        <x:v>100.628242</x:v>
      </x:c>
      <x:c r="H455" s="7" t="s">
        <x:v>1548</x:v>
      </x:c>
      <x:c r="I455" s="10">
        <x:v>186.64</x:v>
      </x:c>
      <x:c r="J455" s="41"/>
      <x:c r="K455" s="41"/>
      <x:c r="L455" s="41"/>
      <x:c r="M455" s="41"/>
      <x:c r="N455" s="7" t="s">
        <x:v>2663</x:v>
      </x:c>
      <x:c r="O455" s="7" t="s">
        <x:v>1539</x:v>
      </x:c>
      <x:c r="P455" s="10">
        <x:v>3.0</x:v>
      </x:c>
      <x:c r="Q455" s="41"/>
      <x:c r="R455" s="10">
        <x:v>82.4</x:v>
      </x:c>
      <x:c r="S455" s="7" t="s">
        <x:v>301</x:v>
      </x:c>
      <x:c r="T455" s="7" t="b">
        <x:v>0</x:v>
      </x:c>
      <x:c r="U455" s="7" t="s">
        <x:v>1541</x:v>
      </x:c>
      <x:c r="V455" s="26" t="s">
        <x:v>1542</x:v>
      </x:c>
      <x:c r="W455" s="7" t="s">
        <x:v>3554</x:v>
      </x:c>
      <x:c r="X455" s="41"/>
      <x:c r="Y455" s="41"/>
      <x:c r="Z455" s="41"/>
    </x:row>
    <x:row r="456">
      <x:c r="A456" s="7" t="s">
        <x:v>3555</x:v>
      </x:c>
      <x:c r="B456" s="7" t="s">
        <x:v>3556</x:v>
      </x:c>
      <x:c r="C456" s="7" t="s">
        <x:v>3557</x:v>
      </x:c>
      <x:c r="D456" s="7" t="s">
        <x:v>252</x:v>
      </x:c>
      <x:c r="E456" s="7" t="s">
        <x:v>3131</x:v>
      </x:c>
      <x:c r="F456" s="10">
        <x:v>8.829399</x:v>
      </x:c>
      <x:c r="G456" s="10">
        <x:v>98.36931</x:v>
      </x:c>
      <x:c r="H456" s="7" t="s">
        <x:v>1554</x:v>
      </x:c>
      <x:c r="I456" s="10">
        <x:v>0.22</x:v>
      </x:c>
      <x:c r="J456" s="41"/>
      <x:c r="K456" s="41"/>
      <x:c r="L456" s="41"/>
      <x:c r="M456" s="10"/>
      <x:c r="N456" s="7" t="s">
        <x:v>2663</x:v>
      </x:c>
      <x:c r="O456" s="7" t="s">
        <x:v>1539</x:v>
      </x:c>
      <x:c r="P456" s="10">
        <x:v>3.0</x:v>
      </x:c>
      <x:c r="Q456" s="41"/>
      <x:c r="R456" s="10">
        <x:v>12.4</x:v>
      </x:c>
      <x:c r="S456" s="7" t="s">
        <x:v>1540</x:v>
      </x:c>
      <x:c r="T456" s="7" t="b">
        <x:v>0</x:v>
      </x:c>
      <x:c r="U456" s="7" t="s">
        <x:v>1541</x:v>
      </x:c>
      <x:c r="V456" s="26" t="s">
        <x:v>1542</x:v>
      </x:c>
      <x:c r="W456" s="7" t="s">
        <x:v>3558</x:v>
      </x:c>
      <x:c r="X456" s="41"/>
      <x:c r="Y456" s="41"/>
      <x:c r="Z456" s="41"/>
    </x:row>
    <x:row r="457">
      <x:c r="A457" s="7" t="s">
        <x:v>3559</x:v>
      </x:c>
      <x:c r="B457" s="7" t="s">
        <x:v>3560</x:v>
      </x:c>
      <x:c r="C457" s="7" t="s">
        <x:v>3561</x:v>
      </x:c>
      <x:c r="D457" s="7" t="s">
        <x:v>207</x:v>
      </x:c>
      <x:c r="E457" s="7" t="s">
        <x:v>2074</x:v>
      </x:c>
      <x:c r="F457" s="10">
        <x:v>18.86651</x:v>
      </x:c>
      <x:c r="G457" s="10">
        <x:v>98.978188</x:v>
      </x:c>
      <x:c r="H457" s="7" t="s">
        <x:v>1548</x:v>
      </x:c>
      <x:c r="I457" s="10">
        <x:v>303.53</x:v>
      </x:c>
      <x:c r="J457" s="41"/>
      <x:c r="K457" s="41"/>
      <x:c r="L457" s="41"/>
      <x:c r="M457" s="10"/>
      <x:c r="N457" s="7" t="s">
        <x:v>2663</x:v>
      </x:c>
      <x:c r="O457" s="7" t="s">
        <x:v>1539</x:v>
      </x:c>
      <x:c r="P457" s="10">
        <x:v>3.0</x:v>
      </x:c>
      <x:c r="Q457" s="41"/>
      <x:c r="R457" s="10">
        <x:v>82.4</x:v>
      </x:c>
      <x:c r="S457" s="7" t="s">
        <x:v>301</x:v>
      </x:c>
      <x:c r="T457" s="7" t="b">
        <x:v>0</x:v>
      </x:c>
      <x:c r="U457" s="7" t="s">
        <x:v>1541</x:v>
      </x:c>
      <x:c r="V457" s="26" t="s">
        <x:v>1542</x:v>
      </x:c>
      <x:c r="W457" s="7" t="s">
        <x:v>3562</x:v>
      </x:c>
      <x:c r="X457" s="41"/>
      <x:c r="Y457" s="41"/>
      <x:c r="Z457" s="41"/>
    </x:row>
    <x:row r="458">
      <x:c r="A458" s="7" t="s">
        <x:v>3563</x:v>
      </x:c>
      <x:c r="B458" s="7" t="s">
        <x:v>3564</x:v>
      </x:c>
      <x:c r="C458" s="7" t="s">
        <x:v>3565</x:v>
      </x:c>
      <x:c r="D458" s="7" t="s">
        <x:v>122</x:v>
      </x:c>
      <x:c r="E458" s="7" t="s">
        <x:v>3566</x:v>
      </x:c>
      <x:c r="F458" s="10">
        <x:v>14.93281</x:v>
      </x:c>
      <x:c r="G458" s="10">
        <x:v>101.951889</x:v>
      </x:c>
      <x:c r="H458" s="7" t="s">
        <x:v>1548</x:v>
      </x:c>
      <x:c r="I458" s="10">
        <x:v>193.41</x:v>
      </x:c>
      <x:c r="J458" s="41"/>
      <x:c r="K458" s="41"/>
      <x:c r="L458" s="41"/>
      <x:c r="M458" s="10"/>
      <x:c r="N458" s="7" t="s">
        <x:v>2663</x:v>
      </x:c>
      <x:c r="O458" s="7" t="s">
        <x:v>1539</x:v>
      </x:c>
      <x:c r="P458" s="10">
        <x:v>3.0</x:v>
      </x:c>
      <x:c r="Q458" s="41"/>
      <x:c r="R458" s="10">
        <x:v>82.4</x:v>
      </x:c>
      <x:c r="S458" s="7" t="s">
        <x:v>301</x:v>
      </x:c>
      <x:c r="T458" s="7" t="b">
        <x:v>0</x:v>
      </x:c>
      <x:c r="U458" s="7" t="s">
        <x:v>1541</x:v>
      </x:c>
      <x:c r="V458" s="26" t="s">
        <x:v>1542</x:v>
      </x:c>
      <x:c r="W458" s="7" t="s">
        <x:v>3567</x:v>
      </x:c>
      <x:c r="X458" s="41"/>
      <x:c r="Y458" s="41"/>
      <x:c r="Z458" s="41"/>
    </x:row>
    <x:row r="459">
      <x:c r="A459" s="7" t="s">
        <x:v>3568</x:v>
      </x:c>
      <x:c r="B459" s="7" t="s">
        <x:v>3569</x:v>
      </x:c>
      <x:c r="C459" s="7" t="s">
        <x:v>3570</x:v>
      </x:c>
      <x:c r="D459" s="7" t="s">
        <x:v>212</x:v>
      </x:c>
      <x:c r="E459" s="7" t="s">
        <x:v>2695</x:v>
      </x:c>
      <x:c r="F459" s="10">
        <x:v>18.29973</x:v>
      </x:c>
      <x:c r="G459" s="10">
        <x:v>99.51123</x:v>
      </x:c>
      <x:c r="H459" s="7" t="s">
        <x:v>1548</x:v>
      </x:c>
      <x:c r="I459" s="10">
        <x:v>230.24</x:v>
      </x:c>
      <x:c r="J459" s="41"/>
      <x:c r="K459" s="41"/>
      <x:c r="L459" s="41"/>
      <x:c r="M459" s="10">
        <x:v>234.5</x:v>
      </x:c>
      <x:c r="N459" s="7" t="s">
        <x:v>2663</x:v>
      </x:c>
      <x:c r="O459" s="7" t="s">
        <x:v>1539</x:v>
      </x:c>
      <x:c r="P459" s="10">
        <x:v>3.0</x:v>
      </x:c>
      <x:c r="Q459" s="41"/>
      <x:c r="R459" s="10">
        <x:v>82.4</x:v>
      </x:c>
      <x:c r="S459" s="7" t="s">
        <x:v>301</x:v>
      </x:c>
      <x:c r="T459" s="7" t="b">
        <x:v>0</x:v>
      </x:c>
      <x:c r="U459" s="7" t="s">
        <x:v>1541</x:v>
      </x:c>
      <x:c r="V459" s="26" t="s">
        <x:v>1542</x:v>
      </x:c>
      <x:c r="W459" s="7" t="s">
        <x:v>3571</x:v>
      </x:c>
      <x:c r="X459" s="41"/>
      <x:c r="Y459" s="41"/>
      <x:c r="Z459" s="41"/>
    </x:row>
    <x:row r="460">
      <x:c r="A460" s="7" t="s">
        <x:v>3572</x:v>
      </x:c>
      <x:c r="B460" s="7" t="s">
        <x:v>3573</x:v>
      </x:c>
      <x:c r="C460" s="7" t="s">
        <x:v>3574</x:v>
      </x:c>
      <x:c r="D460" s="7" t="s">
        <x:v>217</x:v>
      </x:c>
      <x:c r="E460" s="7" t="s">
        <x:v>3480</x:v>
      </x:c>
      <x:c r="F460" s="10">
        <x:v>17.050436</x:v>
      </x:c>
      <x:c r="G460" s="10">
        <x:v>99.664345</x:v>
      </x:c>
      <x:c r="H460" s="7" t="s">
        <x:v>1554</x:v>
      </x:c>
      <x:c r="I460" s="10">
        <x:v>61.06</x:v>
      </x:c>
      <x:c r="J460" s="41"/>
      <x:c r="K460" s="41"/>
      <x:c r="L460" s="41"/>
      <x:c r="M460" s="10"/>
      <x:c r="N460" s="7" t="s">
        <x:v>2663</x:v>
      </x:c>
      <x:c r="O460" s="7" t="s">
        <x:v>1539</x:v>
      </x:c>
      <x:c r="P460" s="10">
        <x:v>3.0</x:v>
      </x:c>
      <x:c r="Q460" s="41"/>
      <x:c r="R460" s="10">
        <x:v>12.4</x:v>
      </x:c>
      <x:c r="S460" s="7" t="s">
        <x:v>1540</x:v>
      </x:c>
      <x:c r="T460" s="7" t="b">
        <x:v>0</x:v>
      </x:c>
      <x:c r="U460" s="7" t="s">
        <x:v>1541</x:v>
      </x:c>
      <x:c r="V460" s="26" t="s">
        <x:v>1542</x:v>
      </x:c>
      <x:c r="W460" s="7" t="s">
        <x:v>3575</x:v>
      </x:c>
      <x:c r="X460" s="41"/>
      <x:c r="Y460" s="41"/>
      <x:c r="Z460" s="41"/>
    </x:row>
    <x:row r="461">
      <x:c r="A461" s="7" t="s">
        <x:v>3576</x:v>
      </x:c>
      <x:c r="B461" s="7" t="s">
        <x:v>3577</x:v>
      </x:c>
      <x:c r="C461" s="7" t="s">
        <x:v>3578</x:v>
      </x:c>
      <x:c r="D461" s="7" t="s">
        <x:v>229</x:v>
      </x:c>
      <x:c r="E461" s="7" t="s">
        <x:v>2393</x:v>
      </x:c>
      <x:c r="F461" s="10">
        <x:v>16.250316</x:v>
      </x:c>
      <x:c r="G461" s="10">
        <x:v>102.743923</x:v>
      </x:c>
      <x:c r="H461" s="7" t="s">
        <x:v>1658</x:v>
      </x:c>
      <x:c r="I461" s="10">
        <x:v>148.33</x:v>
      </x:c>
      <x:c r="J461" s="41"/>
      <x:c r="K461" s="41"/>
      <x:c r="L461" s="41"/>
      <x:c r="M461" s="10">
        <x:v>154.72</x:v>
      </x:c>
      <x:c r="N461" s="7" t="s">
        <x:v>2663</x:v>
      </x:c>
      <x:c r="O461" s="7" t="s">
        <x:v>1539</x:v>
      </x:c>
      <x:c r="P461" s="10">
        <x:v>3.0</x:v>
      </x:c>
      <x:c r="Q461" s="41"/>
      <x:c r="R461" s="10">
        <x:v>22.4</x:v>
      </x:c>
      <x:c r="S461" s="7" t="s">
        <x:v>1540</x:v>
      </x:c>
      <x:c r="T461" s="7" t="b">
        <x:v>0</x:v>
      </x:c>
      <x:c r="U461" s="7" t="s">
        <x:v>1541</x:v>
      </x:c>
      <x:c r="V461" s="26" t="s">
        <x:v>1542</x:v>
      </x:c>
      <x:c r="W461" s="7" t="s">
        <x:v>3579</x:v>
      </x:c>
      <x:c r="X461" s="41"/>
      <x:c r="Y461" s="41"/>
      <x:c r="Z461" s="41"/>
    </x:row>
    <x:row r="462">
      <x:c r="A462" s="7" t="s">
        <x:v>3580</x:v>
      </x:c>
      <x:c r="B462" s="7" t="s">
        <x:v>3581</x:v>
      </x:c>
      <x:c r="C462" s="7" t="s">
        <x:v>3582</x:v>
      </x:c>
      <x:c r="D462" s="7" t="s">
        <x:v>27</x:v>
      </x:c>
      <x:c r="E462" s="7" t="s">
        <x:v>3583</x:v>
      </x:c>
      <x:c r="F462" s="10">
        <x:v>16.69232</x:v>
      </x:c>
      <x:c r="G462" s="10">
        <x:v>100.670921</x:v>
      </x:c>
      <x:c r="H462" s="7" t="s">
        <x:v>1548</x:v>
      </x:c>
      <x:c r="I462" s="10">
        <x:v>54.39</x:v>
      </x:c>
      <x:c r="J462" s="41"/>
      <x:c r="K462" s="41"/>
      <x:c r="L462" s="41"/>
      <x:c r="M462" s="10"/>
      <x:c r="N462" s="7" t="s">
        <x:v>2663</x:v>
      </x:c>
      <x:c r="O462" s="7" t="s">
        <x:v>1539</x:v>
      </x:c>
      <x:c r="P462" s="10">
        <x:v>3.0</x:v>
      </x:c>
      <x:c r="Q462" s="41"/>
      <x:c r="R462" s="10">
        <x:v>82.4</x:v>
      </x:c>
      <x:c r="S462" s="7" t="s">
        <x:v>301</x:v>
      </x:c>
      <x:c r="T462" s="7" t="b">
        <x:v>0</x:v>
      </x:c>
      <x:c r="U462" s="7" t="s">
        <x:v>1541</x:v>
      </x:c>
      <x:c r="V462" s="26" t="s">
        <x:v>1542</x:v>
      </x:c>
      <x:c r="W462" s="7" t="s">
        <x:v>3584</x:v>
      </x:c>
      <x:c r="X462" s="41"/>
      <x:c r="Y462" s="41"/>
      <x:c r="Z462" s="41"/>
    </x:row>
    <x:row r="463">
      <x:c r="A463" s="7" t="s">
        <x:v>3585</x:v>
      </x:c>
      <x:c r="B463" s="7" t="s">
        <x:v>3586</x:v>
      </x:c>
      <x:c r="C463" s="7" t="s">
        <x:v>3587</x:v>
      </x:c>
      <x:c r="D463" s="7" t="s">
        <x:v>27</x:v>
      </x:c>
      <x:c r="E463" s="7" t="s">
        <x:v>2084</x:v>
      </x:c>
      <x:c r="F463" s="10">
        <x:v>17.033621</x:v>
      </x:c>
      <x:c r="G463" s="10">
        <x:v>100.197968</x:v>
      </x:c>
      <x:c r="H463" s="7" t="s">
        <x:v>1548</x:v>
      </x:c>
      <x:c r="I463" s="10">
        <x:v>40.27</x:v>
      </x:c>
      <x:c r="J463" s="41"/>
      <x:c r="K463" s="41"/>
      <x:c r="L463" s="41"/>
      <x:c r="M463" s="10"/>
      <x:c r="N463" s="7" t="s">
        <x:v>2663</x:v>
      </x:c>
      <x:c r="O463" s="7" t="s">
        <x:v>1539</x:v>
      </x:c>
      <x:c r="P463" s="10">
        <x:v>3.0</x:v>
      </x:c>
      <x:c r="Q463" s="41"/>
      <x:c r="R463" s="10">
        <x:v>82.4</x:v>
      </x:c>
      <x:c r="S463" s="7" t="s">
        <x:v>301</x:v>
      </x:c>
      <x:c r="T463" s="7" t="b">
        <x:v>0</x:v>
      </x:c>
      <x:c r="U463" s="7" t="s">
        <x:v>1541</x:v>
      </x:c>
      <x:c r="V463" s="26" t="s">
        <x:v>1542</x:v>
      </x:c>
      <x:c r="W463" s="7" t="s">
        <x:v>3588</x:v>
      </x:c>
      <x:c r="X463" s="41"/>
      <x:c r="Y463" s="41"/>
      <x:c r="Z463" s="41"/>
    </x:row>
    <x:row r="464">
      <x:c r="A464" s="7" t="s">
        <x:v>3589</x:v>
      </x:c>
      <x:c r="B464" s="7" t="s">
        <x:v>3590</x:v>
      </x:c>
      <x:c r="C464" s="7" t="s">
        <x:v>3591</x:v>
      </x:c>
      <x:c r="D464" s="7" t="s">
        <x:v>255</x:v>
      </x:c>
      <x:c r="E464" s="7" t="s">
        <x:v>2785</x:v>
      </x:c>
      <x:c r="F464" s="10">
        <x:v>6.534085</x:v>
      </x:c>
      <x:c r="G464" s="10">
        <x:v>100.963394</x:v>
      </x:c>
      <x:c r="H464" s="7" t="s">
        <x:v>3592</x:v>
      </x:c>
      <x:c r="I464" s="10">
        <x:v>15.53</x:v>
      </x:c>
      <x:c r="J464" s="41"/>
      <x:c r="K464" s="41"/>
      <x:c r="L464" s="41"/>
      <x:c r="M464" s="41"/>
      <x:c r="N464" s="7" t="s">
        <x:v>2663</x:v>
      </x:c>
      <x:c r="O464" s="7" t="s">
        <x:v>1539</x:v>
      </x:c>
      <x:c r="P464" s="10">
        <x:v>3.0</x:v>
      </x:c>
      <x:c r="Q464" s="41"/>
      <x:c r="R464" s="10">
        <x:v>392.4</x:v>
      </x:c>
      <x:c r="S464" s="7" t="s">
        <x:v>301</x:v>
      </x:c>
      <x:c r="T464" s="7" t="b">
        <x:v>0</x:v>
      </x:c>
      <x:c r="U464" s="7" t="s">
        <x:v>1541</x:v>
      </x:c>
      <x:c r="V464" s="26" t="s">
        <x:v>1542</x:v>
      </x:c>
      <x:c r="W464" s="7" t="s">
        <x:v>3593</x:v>
      </x:c>
      <x:c r="X464" s="41"/>
      <x:c r="Y464" s="41"/>
      <x:c r="Z464" s="41"/>
    </x:row>
    <x:row r="465">
      <x:c r="A465" s="7" t="s">
        <x:v>3594</x:v>
      </x:c>
      <x:c r="B465" s="7" t="s">
        <x:v>3595</x:v>
      </x:c>
      <x:c r="C465" s="7" t="s">
        <x:v>3596</x:v>
      </x:c>
      <x:c r="D465" s="7" t="s">
        <x:v>213</x:v>
      </x:c>
      <x:c r="E465" s="7" t="s">
        <x:v>2957</x:v>
      </x:c>
      <x:c r="F465" s="10">
        <x:v>18.43327</x:v>
      </x:c>
      <x:c r="G465" s="10">
        <x:v>99.085129</x:v>
      </x:c>
      <x:c r="H465" s="7" t="s">
        <x:v>1548</x:v>
      </x:c>
      <x:c r="I465" s="10">
        <x:v>367.18</x:v>
      </x:c>
      <x:c r="J465" s="41"/>
      <x:c r="K465" s="41"/>
      <x:c r="L465" s="41"/>
      <x:c r="M465" s="41"/>
      <x:c r="N465" s="7" t="s">
        <x:v>2663</x:v>
      </x:c>
      <x:c r="O465" s="7" t="s">
        <x:v>1539</x:v>
      </x:c>
      <x:c r="P465" s="10">
        <x:v>3.0</x:v>
      </x:c>
      <x:c r="Q465" s="41"/>
      <x:c r="R465" s="10">
        <x:v>82.4</x:v>
      </x:c>
      <x:c r="S465" s="7" t="s">
        <x:v>301</x:v>
      </x:c>
      <x:c r="T465" s="7" t="b">
        <x:v>0</x:v>
      </x:c>
      <x:c r="U465" s="7" t="s">
        <x:v>1541</x:v>
      </x:c>
      <x:c r="V465" s="26" t="s">
        <x:v>1542</x:v>
      </x:c>
      <x:c r="W465" s="7" t="s">
        <x:v>3597</x:v>
      </x:c>
      <x:c r="X465" s="41"/>
      <x:c r="Y465" s="41"/>
      <x:c r="Z465" s="41"/>
    </x:row>
    <x:row r="466">
      <x:c r="A466" s="7" t="s">
        <x:v>3598</x:v>
      </x:c>
      <x:c r="B466" s="7" t="s">
        <x:v>3599</x:v>
      </x:c>
      <x:c r="C466" s="7" t="s">
        <x:v>3600</x:v>
      </x:c>
      <x:c r="D466" s="7" t="s">
        <x:v>110</x:v>
      </x:c>
      <x:c r="E466" s="7" t="s">
        <x:v>3600</x:v>
      </x:c>
      <x:c r="F466" s="10">
        <x:v>12.513374</x:v>
      </x:c>
      <x:c r="G466" s="10">
        <x:v>102.50484</x:v>
      </x:c>
      <x:c r="H466" s="7" t="s">
        <x:v>1554</x:v>
      </x:c>
      <x:c r="I466" s="10">
        <x:v>9.92</x:v>
      </x:c>
      <x:c r="J466" s="41"/>
      <x:c r="K466" s="41"/>
      <x:c r="L466" s="41"/>
      <x:c r="M466" s="41"/>
      <x:c r="N466" s="7" t="s">
        <x:v>2663</x:v>
      </x:c>
      <x:c r="O466" s="7" t="s">
        <x:v>1539</x:v>
      </x:c>
      <x:c r="P466" s="10">
        <x:v>3.0</x:v>
      </x:c>
      <x:c r="Q466" s="41"/>
      <x:c r="R466" s="10">
        <x:v>12.4</x:v>
      </x:c>
      <x:c r="S466" s="7" t="s">
        <x:v>1540</x:v>
      </x:c>
      <x:c r="T466" s="7" t="b">
        <x:v>0</x:v>
      </x:c>
      <x:c r="U466" s="7" t="s">
        <x:v>1541</x:v>
      </x:c>
      <x:c r="V466" s="26" t="s">
        <x:v>1542</x:v>
      </x:c>
      <x:c r="W466" s="7" t="s">
        <x:v>3601</x:v>
      </x:c>
      <x:c r="X466" s="41"/>
      <x:c r="Y466" s="41"/>
      <x:c r="Z466" s="41"/>
    </x:row>
    <x:row r="467">
      <x:c r="A467" s="7" t="s">
        <x:v>3602</x:v>
      </x:c>
      <x:c r="B467" s="7" t="s">
        <x:v>3603</x:v>
      </x:c>
      <x:c r="C467" s="7" t="s">
        <x:v>3604</x:v>
      </x:c>
      <x:c r="D467" s="7" t="s">
        <x:v>235</x:v>
      </x:c>
      <x:c r="E467" s="7" t="s">
        <x:v>1945</x:v>
      </x:c>
      <x:c r="F467" s="10">
        <x:v>16.922241</x:v>
      </x:c>
      <x:c r="G467" s="10">
        <x:v>104.71625</x:v>
      </x:c>
      <x:c r="H467" s="7" t="s">
        <x:v>1554</x:v>
      </x:c>
      <x:c r="I467" s="10">
        <x:v>133.32</x:v>
      </x:c>
      <x:c r="J467" s="41"/>
      <x:c r="K467" s="41"/>
      <x:c r="L467" s="41"/>
      <x:c r="M467" s="41"/>
      <x:c r="N467" s="7" t="s">
        <x:v>2663</x:v>
      </x:c>
      <x:c r="O467" s="7" t="s">
        <x:v>1539</x:v>
      </x:c>
      <x:c r="P467" s="10">
        <x:v>3.0</x:v>
      </x:c>
      <x:c r="Q467" s="41"/>
      <x:c r="R467" s="10">
        <x:v>12.4</x:v>
      </x:c>
      <x:c r="S467" s="7" t="s">
        <x:v>1540</x:v>
      </x:c>
      <x:c r="T467" s="7" t="b">
        <x:v>0</x:v>
      </x:c>
      <x:c r="U467" s="7" t="s">
        <x:v>1541</x:v>
      </x:c>
      <x:c r="V467" s="26" t="s">
        <x:v>1542</x:v>
      </x:c>
      <x:c r="W467" s="7" t="s">
        <x:v>3605</x:v>
      </x:c>
      <x:c r="X467" s="41"/>
      <x:c r="Y467" s="41"/>
      <x:c r="Z467" s="41"/>
    </x:row>
    <x:row r="468">
      <x:c r="A468" s="7" t="s">
        <x:v>3606</x:v>
      </x:c>
      <x:c r="B468" s="7" t="s">
        <x:v>3607</x:v>
      </x:c>
      <x:c r="C468" s="7" t="s">
        <x:v>3608</x:v>
      </x:c>
      <x:c r="D468" s="7" t="s">
        <x:v>91</x:v>
      </x:c>
      <x:c r="E468" s="7" t="s">
        <x:v>2374</x:v>
      </x:c>
      <x:c r="F468" s="10">
        <x:v>14.136408</x:v>
      </x:c>
      <x:c r="G468" s="10">
        <x:v>101.857475</x:v>
      </x:c>
      <x:c r="H468" s="7" t="s">
        <x:v>1554</x:v>
      </x:c>
      <x:c r="I468" s="10">
        <x:v>31.73</x:v>
      </x:c>
      <x:c r="J468" s="41"/>
      <x:c r="K468" s="41"/>
      <x:c r="L468" s="41"/>
      <x:c r="M468" s="41"/>
      <x:c r="N468" s="7" t="s">
        <x:v>2663</x:v>
      </x:c>
      <x:c r="O468" s="7" t="s">
        <x:v>1539</x:v>
      </x:c>
      <x:c r="P468" s="10">
        <x:v>3.0</x:v>
      </x:c>
      <x:c r="Q468" s="41"/>
      <x:c r="R468" s="10">
        <x:v>12.4</x:v>
      </x:c>
      <x:c r="S468" s="7" t="s">
        <x:v>1540</x:v>
      </x:c>
      <x:c r="T468" s="7" t="b">
        <x:v>0</x:v>
      </x:c>
      <x:c r="U468" s="7" t="s">
        <x:v>1541</x:v>
      </x:c>
      <x:c r="V468" s="26" t="s">
        <x:v>1542</x:v>
      </x:c>
      <x:c r="W468" s="7" t="s">
        <x:v>3609</x:v>
      </x:c>
      <x:c r="X468" s="41"/>
      <x:c r="Y468" s="41"/>
      <x:c r="Z468" s="41"/>
    </x:row>
    <x:row r="469">
      <x:c r="A469" s="7" t="s">
        <x:v>3610</x:v>
      </x:c>
      <x:c r="B469" s="7" t="s">
        <x:v>3611</x:v>
      </x:c>
      <x:c r="C469" s="7" t="s">
        <x:v>3612</x:v>
      </x:c>
      <x:c r="D469" s="7" t="s">
        <x:v>207</x:v>
      </x:c>
      <x:c r="E469" s="7"/>
      <x:c r="F469" s="10">
        <x:v>17.37028</x:v>
      </x:c>
      <x:c r="G469" s="10">
        <x:v>98.48728</x:v>
      </x:c>
      <x:c r="H469" s="7" t="s">
        <x:v>1554</x:v>
      </x:c>
      <x:c r="I469" s="10">
        <x:v>409.38</x:v>
      </x:c>
      <x:c r="J469" s="41"/>
      <x:c r="K469" s="41"/>
      <x:c r="L469" s="41"/>
      <x:c r="M469" s="10"/>
      <x:c r="N469" s="7" t="s">
        <x:v>2663</x:v>
      </x:c>
      <x:c r="O469" s="7" t="s">
        <x:v>1539</x:v>
      </x:c>
      <x:c r="P469" s="10">
        <x:v>3.0</x:v>
      </x:c>
      <x:c r="Q469" s="41"/>
      <x:c r="R469" s="10">
        <x:v>12.4</x:v>
      </x:c>
      <x:c r="S469" s="7" t="s">
        <x:v>1540</x:v>
      </x:c>
      <x:c r="T469" s="7" t="b">
        <x:v>0</x:v>
      </x:c>
      <x:c r="U469" s="7" t="s">
        <x:v>1541</x:v>
      </x:c>
      <x:c r="V469" s="26" t="s">
        <x:v>1542</x:v>
      </x:c>
      <x:c r="W469" s="7" t="s">
        <x:v>3613</x:v>
      </x:c>
      <x:c r="X469" s="41"/>
      <x:c r="Y469" s="41"/>
      <x:c r="Z469" s="41"/>
    </x:row>
    <x:row r="470">
      <x:c r="A470" s="7" t="s">
        <x:v>3614</x:v>
      </x:c>
      <x:c r="B470" s="7" t="s">
        <x:v>3615</x:v>
      </x:c>
      <x:c r="C470" s="7" t="s">
        <x:v>3616</x:v>
      </x:c>
      <x:c r="D470" s="7" t="s">
        <x:v>253</x:v>
      </x:c>
      <x:c r="E470" s="7" t="s">
        <x:v>3617</x:v>
      </x:c>
      <x:c r="F470" s="10">
        <x:v>10.40327</x:v>
      </x:c>
      <x:c r="G470" s="10">
        <x:v>98.776932</x:v>
      </x:c>
      <x:c r="H470" s="7" t="s">
        <x:v>1548</x:v>
      </x:c>
      <x:c r="I470" s="10">
        <x:v>1.33</x:v>
      </x:c>
      <x:c r="J470" s="41"/>
      <x:c r="K470" s="41"/>
      <x:c r="L470" s="41"/>
      <x:c r="M470" s="10"/>
      <x:c r="N470" s="7" t="s">
        <x:v>2663</x:v>
      </x:c>
      <x:c r="O470" s="7" t="s">
        <x:v>1539</x:v>
      </x:c>
      <x:c r="P470" s="10">
        <x:v>3.0</x:v>
      </x:c>
      <x:c r="Q470" s="41"/>
      <x:c r="R470" s="10">
        <x:v>82.4</x:v>
      </x:c>
      <x:c r="S470" s="7" t="s">
        <x:v>301</x:v>
      </x:c>
      <x:c r="T470" s="7" t="b">
        <x:v>0</x:v>
      </x:c>
      <x:c r="U470" s="7" t="s">
        <x:v>1541</x:v>
      </x:c>
      <x:c r="V470" s="26" t="s">
        <x:v>1542</x:v>
      </x:c>
      <x:c r="W470" s="7" t="s">
        <x:v>3618</x:v>
      </x:c>
      <x:c r="X470" s="41"/>
      <x:c r="Y470" s="41"/>
      <x:c r="Z470" s="41"/>
    </x:row>
    <x:row r="471">
      <x:c r="A471" s="7" t="s">
        <x:v>3619</x:v>
      </x:c>
      <x:c r="B471" s="7" t="s">
        <x:v>3620</x:v>
      </x:c>
      <x:c r="C471" s="7" t="s">
        <x:v>3621</x:v>
      </x:c>
      <x:c r="D471" s="7" t="s">
        <x:v>122</x:v>
      </x:c>
      <x:c r="E471" s="7" t="s">
        <x:v>3245</x:v>
      </x:c>
      <x:c r="F471" s="10">
        <x:v>14.51204</x:v>
      </x:c>
      <x:c r="G471" s="10">
        <x:v>101.380348</x:v>
      </x:c>
      <x:c r="H471" s="7" t="s">
        <x:v>1548</x:v>
      </x:c>
      <x:c r="I471" s="10">
        <x:v>373.27</x:v>
      </x:c>
      <x:c r="J471" s="41"/>
      <x:c r="K471" s="41"/>
      <x:c r="L471" s="41"/>
      <x:c r="M471" s="10"/>
      <x:c r="N471" s="7" t="s">
        <x:v>2663</x:v>
      </x:c>
      <x:c r="O471" s="7" t="s">
        <x:v>1539</x:v>
      </x:c>
      <x:c r="P471" s="10">
        <x:v>3.0</x:v>
      </x:c>
      <x:c r="Q471" s="41"/>
      <x:c r="R471" s="10">
        <x:v>82.4</x:v>
      </x:c>
      <x:c r="S471" s="7" t="s">
        <x:v>301</x:v>
      </x:c>
      <x:c r="T471" s="7" t="b">
        <x:v>0</x:v>
      </x:c>
      <x:c r="U471" s="7" t="s">
        <x:v>1541</x:v>
      </x:c>
      <x:c r="V471" s="26" t="s">
        <x:v>1542</x:v>
      </x:c>
      <x:c r="W471" s="7" t="s">
        <x:v>3622</x:v>
      </x:c>
      <x:c r="X471" s="41"/>
      <x:c r="Y471" s="41"/>
      <x:c r="Z471" s="41"/>
    </x:row>
    <x:row r="472">
      <x:c r="A472" s="7" t="s">
        <x:v>3623</x:v>
      </x:c>
      <x:c r="B472" s="7" t="s">
        <x:v>3624</x:v>
      </x:c>
      <x:c r="C472" s="7" t="s">
        <x:v>3625</x:v>
      </x:c>
      <x:c r="D472" s="7" t="s">
        <x:v>46</x:v>
      </x:c>
      <x:c r="E472" s="7" t="s">
        <x:v>1703</x:v>
      </x:c>
      <x:c r="F472" s="10">
        <x:v>14.83464</x:v>
      </x:c>
      <x:c r="G472" s="10">
        <x:v>101.084297</x:v>
      </x:c>
      <x:c r="H472" s="7" t="s">
        <x:v>1548</x:v>
      </x:c>
      <x:c r="I472" s="10">
        <x:v>22.06</x:v>
      </x:c>
      <x:c r="J472" s="41"/>
      <x:c r="K472" s="41"/>
      <x:c r="L472" s="41"/>
      <x:c r="M472" s="10"/>
      <x:c r="N472" s="7" t="s">
        <x:v>2663</x:v>
      </x:c>
      <x:c r="O472" s="7" t="s">
        <x:v>1539</x:v>
      </x:c>
      <x:c r="P472" s="10">
        <x:v>3.0</x:v>
      </x:c>
      <x:c r="Q472" s="41"/>
      <x:c r="R472" s="10">
        <x:v>82.4</x:v>
      </x:c>
      <x:c r="S472" s="7" t="s">
        <x:v>301</x:v>
      </x:c>
      <x:c r="T472" s="7" t="b">
        <x:v>0</x:v>
      </x:c>
      <x:c r="U472" s="7" t="s">
        <x:v>1541</x:v>
      </x:c>
      <x:c r="V472" s="26" t="s">
        <x:v>1542</x:v>
      </x:c>
      <x:c r="W472" s="7" t="s">
        <x:v>3626</x:v>
      </x:c>
      <x:c r="X472" s="41"/>
      <x:c r="Y472" s="41"/>
      <x:c r="Z472" s="41"/>
    </x:row>
    <x:row r="473">
      <x:c r="A473" s="7" t="s">
        <x:v>3627</x:v>
      </x:c>
      <x:c r="B473" s="7" t="s">
        <x:v>3628</x:v>
      </x:c>
      <x:c r="C473" s="7" t="s">
        <x:v>3629</x:v>
      </x:c>
      <x:c r="D473" s="7" t="s">
        <x:v>249</x:v>
      </x:c>
      <x:c r="E473" s="7" t="s">
        <x:v>2112</x:v>
      </x:c>
      <x:c r="F473" s="10">
        <x:v>9.11322</x:v>
      </x:c>
      <x:c r="G473" s="10">
        <x:v>99.223679</x:v>
      </x:c>
      <x:c r="H473" s="7" t="s">
        <x:v>1548</x:v>
      </x:c>
      <x:c r="I473" s="10">
        <x:v>0.96</x:v>
      </x:c>
      <x:c r="J473" s="41"/>
      <x:c r="K473" s="41"/>
      <x:c r="L473" s="41"/>
      <x:c r="M473" s="10">
        <x:v>2.5</x:v>
      </x:c>
      <x:c r="N473" s="7" t="s">
        <x:v>2663</x:v>
      </x:c>
      <x:c r="O473" s="7" t="s">
        <x:v>1539</x:v>
      </x:c>
      <x:c r="P473" s="10">
        <x:v>3.0</x:v>
      </x:c>
      <x:c r="Q473" s="41"/>
      <x:c r="R473" s="10">
        <x:v>82.4</x:v>
      </x:c>
      <x:c r="S473" s="7" t="s">
        <x:v>301</x:v>
      </x:c>
      <x:c r="T473" s="7" t="b">
        <x:v>0</x:v>
      </x:c>
      <x:c r="U473" s="7" t="s">
        <x:v>1541</x:v>
      </x:c>
      <x:c r="V473" s="26" t="s">
        <x:v>1542</x:v>
      </x:c>
      <x:c r="W473" s="7" t="s">
        <x:v>3630</x:v>
      </x:c>
      <x:c r="X473" s="41"/>
      <x:c r="Y473" s="41"/>
      <x:c r="Z473" s="41"/>
    </x:row>
    <x:row r="474">
      <x:c r="A474" s="7" t="s">
        <x:v>3631</x:v>
      </x:c>
      <x:c r="B474" s="7" t="s">
        <x:v>3632</x:v>
      </x:c>
      <x:c r="C474" s="7" t="s">
        <x:v>3633</x:v>
      </x:c>
      <x:c r="D474" s="7" t="s">
        <x:v>216</x:v>
      </x:c>
      <x:c r="E474" s="7" t="s">
        <x:v>2084</x:v>
      </x:c>
      <x:c r="F474" s="10">
        <x:v>17.418329</x:v>
      </x:c>
      <x:c r="G474" s="10">
        <x:v>100.130913</x:v>
      </x:c>
      <x:c r="H474" s="7" t="s">
        <x:v>1548</x:v>
      </x:c>
      <x:c r="I474" s="10">
        <x:v>49.68</x:v>
      </x:c>
      <x:c r="J474" s="41"/>
      <x:c r="K474" s="41"/>
      <x:c r="L474" s="41"/>
      <x:c r="M474" s="10"/>
      <x:c r="N474" s="7" t="s">
        <x:v>2663</x:v>
      </x:c>
      <x:c r="O474" s="7" t="s">
        <x:v>1539</x:v>
      </x:c>
      <x:c r="P474" s="10">
        <x:v>3.0</x:v>
      </x:c>
      <x:c r="Q474" s="41"/>
      <x:c r="R474" s="10">
        <x:v>82.4</x:v>
      </x:c>
      <x:c r="S474" s="7" t="s">
        <x:v>301</x:v>
      </x:c>
      <x:c r="T474" s="7" t="b">
        <x:v>0</x:v>
      </x:c>
      <x:c r="U474" s="7" t="s">
        <x:v>1541</x:v>
      </x:c>
      <x:c r="V474" s="26" t="s">
        <x:v>1542</x:v>
      </x:c>
      <x:c r="W474" s="7" t="s">
        <x:v>3634</x:v>
      </x:c>
      <x:c r="X474" s="41"/>
      <x:c r="Y474" s="41"/>
      <x:c r="Z474" s="41"/>
    </x:row>
    <x:row r="475">
      <x:c r="A475" s="7" t="s">
        <x:v>3635</x:v>
      </x:c>
      <x:c r="B475" s="7" t="s">
        <x:v>3636</x:v>
      </x:c>
      <x:c r="C475" s="7" t="s">
        <x:v>3637</x:v>
      </x:c>
      <x:c r="D475" s="7" t="s">
        <x:v>256</x:v>
      </x:c>
      <x:c r="E475" s="7" t="s">
        <x:v>2598</x:v>
      </x:c>
      <x:c r="F475" s="10">
        <x:v>6.72662</x:v>
      </x:c>
      <x:c r="G475" s="10">
        <x:v>100.062737</x:v>
      </x:c>
      <x:c r="H475" s="7" t="s">
        <x:v>1548</x:v>
      </x:c>
      <x:c r="I475" s="10">
        <x:v>14.27</x:v>
      </x:c>
      <x:c r="J475" s="41"/>
      <x:c r="K475" s="41"/>
      <x:c r="L475" s="41"/>
      <x:c r="M475" s="10">
        <x:v>16.2</x:v>
      </x:c>
      <x:c r="N475" s="7" t="s">
        <x:v>2663</x:v>
      </x:c>
      <x:c r="O475" s="7" t="s">
        <x:v>1539</x:v>
      </x:c>
      <x:c r="P475" s="10">
        <x:v>3.0</x:v>
      </x:c>
      <x:c r="Q475" s="41"/>
      <x:c r="R475" s="10">
        <x:v>82.4</x:v>
      </x:c>
      <x:c r="S475" s="7" t="s">
        <x:v>301</x:v>
      </x:c>
      <x:c r="T475" s="7" t="b">
        <x:v>0</x:v>
      </x:c>
      <x:c r="U475" s="7" t="s">
        <x:v>1541</x:v>
      </x:c>
      <x:c r="V475" s="26" t="s">
        <x:v>1542</x:v>
      </x:c>
      <x:c r="W475" s="7" t="s">
        <x:v>3638</x:v>
      </x:c>
      <x:c r="X475" s="41"/>
      <x:c r="Y475" s="41"/>
      <x:c r="Z475" s="41"/>
    </x:row>
    <x:row r="476">
      <x:c r="A476" s="7" t="s">
        <x:v>3639</x:v>
      </x:c>
      <x:c r="B476" s="7" t="s">
        <x:v>3640</x:v>
      </x:c>
      <x:c r="C476" s="7" t="s">
        <x:v>3641</x:v>
      </x:c>
      <x:c r="D476" s="7" t="s">
        <x:v>210</x:v>
      </x:c>
      <x:c r="E476" s="7" t="s">
        <x:v>2084</x:v>
      </x:c>
      <x:c r="F476" s="10">
        <x:v>18.774879</x:v>
      </x:c>
      <x:c r="G476" s="10">
        <x:v>100.779694</x:v>
      </x:c>
      <x:c r="H476" s="7" t="s">
        <x:v>1548</x:v>
      </x:c>
      <x:c r="I476" s="10">
        <x:v>193.23</x:v>
      </x:c>
      <x:c r="J476" s="41"/>
      <x:c r="K476" s="41"/>
      <x:c r="L476" s="41"/>
      <x:c r="M476" s="10"/>
      <x:c r="N476" s="7" t="s">
        <x:v>2663</x:v>
      </x:c>
      <x:c r="O476" s="7" t="s">
        <x:v>1539</x:v>
      </x:c>
      <x:c r="P476" s="10">
        <x:v>3.0</x:v>
      </x:c>
      <x:c r="Q476" s="41"/>
      <x:c r="R476" s="10">
        <x:v>82.4</x:v>
      </x:c>
      <x:c r="S476" s="7" t="s">
        <x:v>301</x:v>
      </x:c>
      <x:c r="T476" s="7" t="b">
        <x:v>0</x:v>
      </x:c>
      <x:c r="U476" s="7" t="s">
        <x:v>1541</x:v>
      </x:c>
      <x:c r="V476" s="26" t="s">
        <x:v>1542</x:v>
      </x:c>
      <x:c r="W476" s="7" t="s">
        <x:v>3642</x:v>
      </x:c>
      <x:c r="X476" s="41"/>
      <x:c r="Y476" s="41"/>
      <x:c r="Z476" s="41"/>
    </x:row>
    <x:row r="477">
      <x:c r="A477" s="7" t="s">
        <x:v>3643</x:v>
      </x:c>
      <x:c r="B477" s="7" t="s">
        <x:v>3644</x:v>
      </x:c>
      <x:c r="C477" s="7" t="s">
        <x:v>3645</x:v>
      </x:c>
      <x:c r="D477" s="7" t="s">
        <x:v>212</x:v>
      </x:c>
      <x:c r="E477" s="7" t="s">
        <x:v>2695</x:v>
      </x:c>
      <x:c r="F477" s="10">
        <x:v>17.44521</x:v>
      </x:c>
      <x:c r="G477" s="10">
        <x:v>99.12897</x:v>
      </x:c>
      <x:c r="H477" s="7" t="s">
        <x:v>1554</x:v>
      </x:c>
      <x:c r="I477" s="10">
        <x:v>148.89</x:v>
      </x:c>
      <x:c r="J477" s="41"/>
      <x:c r="K477" s="41"/>
      <x:c r="L477" s="41"/>
      <x:c r="M477" s="10"/>
      <x:c r="N477" s="7" t="s">
        <x:v>2663</x:v>
      </x:c>
      <x:c r="O477" s="7" t="s">
        <x:v>1539</x:v>
      </x:c>
      <x:c r="P477" s="10">
        <x:v>3.0</x:v>
      </x:c>
      <x:c r="Q477" s="41"/>
      <x:c r="R477" s="10">
        <x:v>12.4</x:v>
      </x:c>
      <x:c r="S477" s="7" t="s">
        <x:v>1540</x:v>
      </x:c>
      <x:c r="T477" s="7" t="b">
        <x:v>0</x:v>
      </x:c>
      <x:c r="U477" s="7" t="s">
        <x:v>1541</x:v>
      </x:c>
      <x:c r="V477" s="26" t="s">
        <x:v>1542</x:v>
      </x:c>
      <x:c r="W477" s="7" t="s">
        <x:v>3646</x:v>
      </x:c>
      <x:c r="X477" s="41"/>
      <x:c r="Y477" s="41"/>
      <x:c r="Z477" s="41"/>
    </x:row>
    <x:row r="478">
      <x:c r="A478" s="7" t="s">
        <x:v>3647</x:v>
      </x:c>
      <x:c r="B478" s="7" t="s">
        <x:v>3648</x:v>
      </x:c>
      <x:c r="C478" s="7" t="s">
        <x:v>3649</x:v>
      </x:c>
      <x:c r="D478" s="7" t="s">
        <x:v>225</x:v>
      </x:c>
      <x:c r="E478" s="7" t="s">
        <x:v>3650</x:v>
      </x:c>
      <x:c r="F478" s="10">
        <x:v>12.50849</x:v>
      </x:c>
      <x:c r="G478" s="10">
        <x:v>99.84201</x:v>
      </x:c>
      <x:c r="H478" s="7" t="s">
        <x:v>1554</x:v>
      </x:c>
      <x:c r="I478" s="10">
        <x:v>29.28</x:v>
      </x:c>
      <x:c r="J478" s="41"/>
      <x:c r="K478" s="41"/>
      <x:c r="L478" s="41"/>
      <x:c r="M478" s="10"/>
      <x:c r="N478" s="7" t="s">
        <x:v>2663</x:v>
      </x:c>
      <x:c r="O478" s="7" t="s">
        <x:v>1539</x:v>
      </x:c>
      <x:c r="P478" s="10">
        <x:v>3.0</x:v>
      </x:c>
      <x:c r="Q478" s="41"/>
      <x:c r="R478" s="10">
        <x:v>12.4</x:v>
      </x:c>
      <x:c r="S478" s="7" t="s">
        <x:v>1540</x:v>
      </x:c>
      <x:c r="T478" s="7" t="b">
        <x:v>0</x:v>
      </x:c>
      <x:c r="U478" s="7" t="s">
        <x:v>1541</x:v>
      </x:c>
      <x:c r="V478" s="26" t="s">
        <x:v>1542</x:v>
      </x:c>
      <x:c r="W478" s="7" t="s">
        <x:v>3651</x:v>
      </x:c>
      <x:c r="X478" s="41"/>
      <x:c r="Y478" s="41"/>
      <x:c r="Z478" s="41"/>
    </x:row>
    <x:row r="479">
      <x:c r="A479" s="7" t="s">
        <x:v>3652</x:v>
      </x:c>
      <x:c r="B479" s="7" t="s">
        <x:v>3653</x:v>
      </x:c>
      <x:c r="C479" s="7" t="s">
        <x:v>3654</x:v>
      </x:c>
      <x:c r="D479" s="7" t="s">
        <x:v>58</x:v>
      </x:c>
      <x:c r="E479" s="7" t="s">
        <x:v>3515</x:v>
      </x:c>
      <x:c r="F479" s="10">
        <x:v>13.78093</x:v>
      </x:c>
      <x:c r="G479" s="10">
        <x:v>99.42085</x:v>
      </x:c>
      <x:c r="H479" s="7" t="s">
        <x:v>1658</x:v>
      </x:c>
      <x:c r="I479" s="10">
        <x:v>51.19</x:v>
      </x:c>
      <x:c r="J479" s="41"/>
      <x:c r="K479" s="41"/>
      <x:c r="L479" s="41"/>
      <x:c r="M479" s="10">
        <x:v>53.0</x:v>
      </x:c>
      <x:c r="N479" s="7" t="s">
        <x:v>2663</x:v>
      </x:c>
      <x:c r="O479" s="7" t="s">
        <x:v>1539</x:v>
      </x:c>
      <x:c r="P479" s="10">
        <x:v>3.0</x:v>
      </x:c>
      <x:c r="Q479" s="41"/>
      <x:c r="R479" s="10">
        <x:v>22.4</x:v>
      </x:c>
      <x:c r="S479" s="7" t="s">
        <x:v>1540</x:v>
      </x:c>
      <x:c r="T479" s="7" t="b">
        <x:v>0</x:v>
      </x:c>
      <x:c r="U479" s="7" t="s">
        <x:v>1541</x:v>
      </x:c>
      <x:c r="V479" s="26" t="s">
        <x:v>1542</x:v>
      </x:c>
      <x:c r="W479" s="7" t="s">
        <x:v>3655</x:v>
      </x:c>
      <x:c r="X479" s="41"/>
      <x:c r="Y479" s="41"/>
      <x:c r="Z479" s="41"/>
    </x:row>
    <x:row r="480">
      <x:c r="A480" s="7" t="s">
        <x:v>3656</x:v>
      </x:c>
      <x:c r="B480" s="7" t="s">
        <x:v>3657</x:v>
      </x:c>
      <x:c r="C480" s="7" t="s">
        <x:v>3658</x:v>
      </x:c>
      <x:c r="D480" s="7" t="s">
        <x:v>216</x:v>
      </x:c>
      <x:c r="E480" s="7" t="s">
        <x:v>2084</x:v>
      </x:c>
      <x:c r="F480" s="10">
        <x:v>17.418528</x:v>
      </x:c>
      <x:c r="G480" s="10">
        <x:v>100.130819</x:v>
      </x:c>
      <x:c r="H480" s="7" t="s">
        <x:v>1658</x:v>
      </x:c>
      <x:c r="I480" s="10">
        <x:v>49.5</x:v>
      </x:c>
      <x:c r="J480" s="41"/>
      <x:c r="K480" s="41"/>
      <x:c r="L480" s="41"/>
      <x:c r="M480" s="10">
        <x:v>56.92</x:v>
      </x:c>
      <x:c r="N480" s="7" t="s">
        <x:v>2663</x:v>
      </x:c>
      <x:c r="O480" s="7" t="s">
        <x:v>1539</x:v>
      </x:c>
      <x:c r="P480" s="10">
        <x:v>3.0</x:v>
      </x:c>
      <x:c r="Q480" s="41"/>
      <x:c r="R480" s="10">
        <x:v>22.4</x:v>
      </x:c>
      <x:c r="S480" s="7" t="s">
        <x:v>1540</x:v>
      </x:c>
      <x:c r="T480" s="7" t="b">
        <x:v>0</x:v>
      </x:c>
      <x:c r="U480" s="7" t="s">
        <x:v>1541</x:v>
      </x:c>
      <x:c r="V480" s="26" t="s">
        <x:v>1542</x:v>
      </x:c>
      <x:c r="W480" s="7" t="s">
        <x:v>3659</x:v>
      </x:c>
      <x:c r="X480" s="41"/>
      <x:c r="Y480" s="41"/>
      <x:c r="Z480" s="41"/>
    </x:row>
    <x:row r="481">
      <x:c r="A481" s="7" t="s">
        <x:v>3660</x:v>
      </x:c>
      <x:c r="B481" s="7" t="s">
        <x:v>3661</x:v>
      </x:c>
      <x:c r="C481" s="7" t="s">
        <x:v>3662</x:v>
      </x:c>
      <x:c r="D481" s="7" t="s">
        <x:v>236</x:v>
      </x:c>
      <x:c r="E481" s="7" t="s">
        <x:v>2927</x:v>
      </x:c>
      <x:c r="F481" s="10">
        <x:v>17.31229</x:v>
      </x:c>
      <x:c r="G481" s="10">
        <x:v>101.772461</x:v>
      </x:c>
      <x:c r="H481" s="7" t="s">
        <x:v>1548</x:v>
      </x:c>
      <x:c r="I481" s="10">
        <x:v>242.31</x:v>
      </x:c>
      <x:c r="J481" s="41"/>
      <x:c r="K481" s="41"/>
      <x:c r="L481" s="41"/>
      <x:c r="M481" s="10"/>
      <x:c r="N481" s="7" t="s">
        <x:v>2663</x:v>
      </x:c>
      <x:c r="O481" s="7" t="s">
        <x:v>1539</x:v>
      </x:c>
      <x:c r="P481" s="10">
        <x:v>3.0</x:v>
      </x:c>
      <x:c r="Q481" s="41"/>
      <x:c r="R481" s="10">
        <x:v>82.4</x:v>
      </x:c>
      <x:c r="S481" s="7" t="s">
        <x:v>301</x:v>
      </x:c>
      <x:c r="T481" s="7" t="b">
        <x:v>0</x:v>
      </x:c>
      <x:c r="U481" s="7" t="s">
        <x:v>1541</x:v>
      </x:c>
      <x:c r="V481" s="26" t="s">
        <x:v>1542</x:v>
      </x:c>
      <x:c r="W481" s="7" t="s">
        <x:v>3663</x:v>
      </x:c>
      <x:c r="X481" s="41"/>
      <x:c r="Y481" s="41"/>
      <x:c r="Z481" s="41"/>
    </x:row>
    <x:row r="482">
      <x:c r="A482" s="7" t="s">
        <x:v>3664</x:v>
      </x:c>
      <x:c r="B482" s="7" t="s">
        <x:v>3665</x:v>
      </x:c>
      <x:c r="C482" s="7" t="s">
        <x:v>3666</x:v>
      </x:c>
      <x:c r="D482" s="7" t="s">
        <x:v>249</x:v>
      </x:c>
      <x:c r="E482" s="7"/>
      <x:c r="F482" s="10">
        <x:v>8.822734</x:v>
      </x:c>
      <x:c r="G482" s="10">
        <x:v>98.832075</x:v>
      </x:c>
      <x:c r="H482" s="7" t="s">
        <x:v>1658</x:v>
      </x:c>
      <x:c r="I482" s="10">
        <x:v>12.72</x:v>
      </x:c>
      <x:c r="J482" s="41"/>
      <x:c r="K482" s="41"/>
      <x:c r="L482" s="41"/>
      <x:c r="M482" s="10">
        <x:v>17.473</x:v>
      </x:c>
      <x:c r="N482" s="7" t="s">
        <x:v>2663</x:v>
      </x:c>
      <x:c r="O482" s="7" t="s">
        <x:v>1539</x:v>
      </x:c>
      <x:c r="P482" s="10">
        <x:v>3.0</x:v>
      </x:c>
      <x:c r="Q482" s="41"/>
      <x:c r="R482" s="10">
        <x:v>22.4</x:v>
      </x:c>
      <x:c r="S482" s="7" t="s">
        <x:v>1540</x:v>
      </x:c>
      <x:c r="T482" s="7" t="b">
        <x:v>0</x:v>
      </x:c>
      <x:c r="U482" s="7" t="s">
        <x:v>1541</x:v>
      </x:c>
      <x:c r="V482" s="26" t="s">
        <x:v>1542</x:v>
      </x:c>
      <x:c r="W482" s="7" t="s">
        <x:v>3667</x:v>
      </x:c>
      <x:c r="X482" s="41"/>
      <x:c r="Y482" s="41"/>
      <x:c r="Z482" s="41"/>
    </x:row>
    <x:row r="483">
      <x:c r="A483" s="7" t="s">
        <x:v>3668</x:v>
      </x:c>
      <x:c r="B483" s="7" t="s">
        <x:v>3669</x:v>
      </x:c>
      <x:c r="C483" s="7" t="s">
        <x:v>3670</x:v>
      </x:c>
      <x:c r="D483" s="7" t="s">
        <x:v>107</x:v>
      </x:c>
      <x:c r="E483" s="7" t="s">
        <x:v>3671</x:v>
      </x:c>
      <x:c r="F483" s="10">
        <x:v>12.74451</x:v>
      </x:c>
      <x:c r="G483" s="10">
        <x:v>102.206421</x:v>
      </x:c>
      <x:c r="H483" s="7" t="s">
        <x:v>1548</x:v>
      </x:c>
      <x:c r="I483" s="10">
        <x:v>8.72</x:v>
      </x:c>
      <x:c r="J483" s="41"/>
      <x:c r="K483" s="41"/>
      <x:c r="L483" s="41"/>
      <x:c r="M483" s="41"/>
      <x:c r="N483" s="7" t="s">
        <x:v>2663</x:v>
      </x:c>
      <x:c r="O483" s="7" t="s">
        <x:v>1539</x:v>
      </x:c>
      <x:c r="P483" s="10">
        <x:v>3.0</x:v>
      </x:c>
      <x:c r="Q483" s="41"/>
      <x:c r="R483" s="10">
        <x:v>82.4</x:v>
      </x:c>
      <x:c r="S483" s="7" t="s">
        <x:v>301</x:v>
      </x:c>
      <x:c r="T483" s="7" t="b">
        <x:v>0</x:v>
      </x:c>
      <x:c r="U483" s="7" t="s">
        <x:v>1541</x:v>
      </x:c>
      <x:c r="V483" s="26" t="s">
        <x:v>1542</x:v>
      </x:c>
      <x:c r="W483" s="7" t="s">
        <x:v>3672</x:v>
      </x:c>
      <x:c r="X483" s="41"/>
      <x:c r="Y483" s="41"/>
      <x:c r="Z483" s="41"/>
    </x:row>
    <x:row r="484">
      <x:c r="A484" s="7" t="s">
        <x:v>3673</x:v>
      </x:c>
      <x:c r="B484" s="7" t="s">
        <x:v>3674</x:v>
      </x:c>
      <x:c r="C484" s="7" t="s">
        <x:v>3675</x:v>
      </x:c>
      <x:c r="D484" s="7" t="s">
        <x:v>208</x:v>
      </x:c>
      <x:c r="E484" s="7" t="s">
        <x:v>3676</x:v>
      </x:c>
      <x:c r="F484" s="10">
        <x:v>19.71244</x:v>
      </x:c>
      <x:c r="G484" s="10">
        <x:v>99.620811</x:v>
      </x:c>
      <x:c r="H484" s="7" t="s">
        <x:v>1548</x:v>
      </x:c>
      <x:c r="I484" s="10">
        <x:v>434.17</x:v>
      </x:c>
      <x:c r="J484" s="41"/>
      <x:c r="K484" s="41"/>
      <x:c r="L484" s="41"/>
      <x:c r="M484" s="41"/>
      <x:c r="N484" s="7" t="s">
        <x:v>2663</x:v>
      </x:c>
      <x:c r="O484" s="7" t="s">
        <x:v>1539</x:v>
      </x:c>
      <x:c r="P484" s="10">
        <x:v>3.0</x:v>
      </x:c>
      <x:c r="Q484" s="41"/>
      <x:c r="R484" s="10">
        <x:v>82.4</x:v>
      </x:c>
      <x:c r="S484" s="7" t="s">
        <x:v>301</x:v>
      </x:c>
      <x:c r="T484" s="7" t="b">
        <x:v>0</x:v>
      </x:c>
      <x:c r="U484" s="7" t="s">
        <x:v>1541</x:v>
      </x:c>
      <x:c r="V484" s="26" t="s">
        <x:v>1542</x:v>
      </x:c>
      <x:c r="W484" s="7" t="s">
        <x:v>3677</x:v>
      </x:c>
      <x:c r="X484" s="41"/>
      <x:c r="Y484" s="41"/>
      <x:c r="Z484" s="41"/>
    </x:row>
    <x:row r="485">
      <x:c r="A485" s="7" t="s">
        <x:v>3678</x:v>
      </x:c>
      <x:c r="B485" s="7" t="s">
        <x:v>3679</x:v>
      </x:c>
      <x:c r="C485" s="7" t="s">
        <x:v>3680</x:v>
      </x:c>
      <x:c r="D485" s="7" t="s">
        <x:v>107</x:v>
      </x:c>
      <x:c r="E485" s="7" t="s">
        <x:v>3305</x:v>
      </x:c>
      <x:c r="F485" s="10">
        <x:v>13.07735</x:v>
      </x:c>
      <x:c r="G485" s="10">
        <x:v>101.945534</x:v>
      </x:c>
      <x:c r="H485" s="7" t="s">
        <x:v>1548</x:v>
      </x:c>
      <x:c r="I485" s="10">
        <x:v>35.53</x:v>
      </x:c>
      <x:c r="J485" s="41"/>
      <x:c r="K485" s="41"/>
      <x:c r="L485" s="41"/>
      <x:c r="M485" s="41"/>
      <x:c r="N485" s="7" t="s">
        <x:v>2663</x:v>
      </x:c>
      <x:c r="O485" s="7" t="s">
        <x:v>1539</x:v>
      </x:c>
      <x:c r="P485" s="10">
        <x:v>3.0</x:v>
      </x:c>
      <x:c r="Q485" s="41"/>
      <x:c r="R485" s="10">
        <x:v>82.4</x:v>
      </x:c>
      <x:c r="S485" s="7" t="s">
        <x:v>301</x:v>
      </x:c>
      <x:c r="T485" s="7" t="b">
        <x:v>0</x:v>
      </x:c>
      <x:c r="U485" s="7" t="s">
        <x:v>1541</x:v>
      </x:c>
      <x:c r="V485" s="26" t="s">
        <x:v>1542</x:v>
      </x:c>
      <x:c r="W485" s="7" t="s">
        <x:v>3681</x:v>
      </x:c>
      <x:c r="X485" s="41"/>
      <x:c r="Y485" s="41"/>
      <x:c r="Z485" s="41"/>
    </x:row>
    <x:row r="486">
      <x:c r="A486" s="7" t="s">
        <x:v>3682</x:v>
      </x:c>
      <x:c r="B486" s="7" t="s">
        <x:v>3683</x:v>
      </x:c>
      <x:c r="C486" s="7" t="s">
        <x:v>1653</x:v>
      </x:c>
      <x:c r="D486" s="7" t="s">
        <x:v>207</x:v>
      </x:c>
      <x:c r="E486" s="7" t="s">
        <x:v>2825</x:v>
      </x:c>
      <x:c r="F486" s="10">
        <x:v>18.69521</x:v>
      </x:c>
      <x:c r="G486" s="10">
        <x:v>99.078751</x:v>
      </x:c>
      <x:c r="H486" s="7" t="s">
        <x:v>1548</x:v>
      </x:c>
      <x:c r="I486" s="10">
        <x:v>292.41</x:v>
      </x:c>
      <x:c r="J486" s="41"/>
      <x:c r="K486" s="41"/>
      <x:c r="L486" s="41"/>
      <x:c r="M486" s="41"/>
      <x:c r="N486" s="7" t="s">
        <x:v>2663</x:v>
      </x:c>
      <x:c r="O486" s="7" t="s">
        <x:v>1539</x:v>
      </x:c>
      <x:c r="P486" s="10">
        <x:v>3.0</x:v>
      </x:c>
      <x:c r="Q486" s="41"/>
      <x:c r="R486" s="10">
        <x:v>82.4</x:v>
      </x:c>
      <x:c r="S486" s="7" t="s">
        <x:v>301</x:v>
      </x:c>
      <x:c r="T486" s="7" t="b">
        <x:v>0</x:v>
      </x:c>
      <x:c r="U486" s="7" t="s">
        <x:v>1541</x:v>
      </x:c>
      <x:c r="V486" s="26" t="s">
        <x:v>1542</x:v>
      </x:c>
      <x:c r="W486" s="7" t="s">
        <x:v>3684</x:v>
      </x:c>
      <x:c r="X486" s="41"/>
      <x:c r="Y486" s="41"/>
      <x:c r="Z486" s="41"/>
    </x:row>
    <x:row r="487">
      <x:c r="A487" s="7" t="s">
        <x:v>3685</x:v>
      </x:c>
      <x:c r="B487" s="7" t="s">
        <x:v>3686</x:v>
      </x:c>
      <x:c r="C487" s="7" t="s">
        <x:v>3687</x:v>
      </x:c>
      <x:c r="D487" s="7" t="s">
        <x:v>207</x:v>
      </x:c>
      <x:c r="E487" s="7" t="s">
        <x:v>3688</x:v>
      </x:c>
      <x:c r="F487" s="10">
        <x:v>19.015091</x:v>
      </x:c>
      <x:c r="G487" s="10">
        <x:v>98.880836</x:v>
      </x:c>
      <x:c r="H487" s="7" t="s">
        <x:v>1777</x:v>
      </x:c>
      <x:c r="I487" s="10">
        <x:v>341.59</x:v>
      </x:c>
      <x:c r="J487" s="41"/>
      <x:c r="K487" s="41"/>
      <x:c r="L487" s="41"/>
      <x:c r="M487" s="41"/>
      <x:c r="N487" s="7" t="s">
        <x:v>2663</x:v>
      </x:c>
      <x:c r="O487" s="7" t="s">
        <x:v>1539</x:v>
      </x:c>
      <x:c r="P487" s="10">
        <x:v>3.0</x:v>
      </x:c>
      <x:c r="Q487" s="41"/>
      <x:c r="R487" s="10">
        <x:v>562.4</x:v>
      </x:c>
      <x:c r="S487" s="7" t="s">
        <x:v>301</x:v>
      </x:c>
      <x:c r="T487" s="7" t="b">
        <x:v>0</x:v>
      </x:c>
      <x:c r="U487" s="7" t="s">
        <x:v>1541</x:v>
      </x:c>
      <x:c r="V487" s="26" t="s">
        <x:v>1542</x:v>
      </x:c>
      <x:c r="W487" s="7" t="s">
        <x:v>3689</x:v>
      </x:c>
      <x:c r="X487" s="41"/>
      <x:c r="Y487" s="41"/>
      <x:c r="Z487" s="41"/>
    </x:row>
    <x:row r="488">
      <x:c r="A488" s="7" t="s">
        <x:v>3690</x:v>
      </x:c>
      <x:c r="B488" s="7" t="s">
        <x:v>3691</x:v>
      </x:c>
      <x:c r="C488" s="7" t="s">
        <x:v>3692</x:v>
      </x:c>
      <x:c r="D488" s="7" t="s">
        <x:v>34</x:v>
      </x:c>
      <x:c r="E488" s="7" t="s">
        <x:v>2074</x:v>
      </x:c>
      <x:c r="F488" s="10">
        <x:v>16.47816</x:v>
      </x:c>
      <x:c r="G488" s="10">
        <x:v>99.51866</x:v>
      </x:c>
      <x:c r="H488" s="7" t="s">
        <x:v>1554</x:v>
      </x:c>
      <x:c r="I488" s="10">
        <x:v>73.43</x:v>
      </x:c>
      <x:c r="J488" s="41"/>
      <x:c r="K488" s="41"/>
      <x:c r="L488" s="41"/>
      <x:c r="M488" s="41"/>
      <x:c r="N488" s="7" t="s">
        <x:v>2663</x:v>
      </x:c>
      <x:c r="O488" s="7" t="s">
        <x:v>1539</x:v>
      </x:c>
      <x:c r="P488" s="10">
        <x:v>3.0</x:v>
      </x:c>
      <x:c r="Q488" s="41"/>
      <x:c r="R488" s="10">
        <x:v>12.4</x:v>
      </x:c>
      <x:c r="S488" s="7" t="s">
        <x:v>1540</x:v>
      </x:c>
      <x:c r="T488" s="7" t="b">
        <x:v>0</x:v>
      </x:c>
      <x:c r="U488" s="7" t="s">
        <x:v>1541</x:v>
      </x:c>
      <x:c r="V488" s="26" t="s">
        <x:v>1542</x:v>
      </x:c>
      <x:c r="W488" s="7" t="s">
        <x:v>3693</x:v>
      </x:c>
      <x:c r="X488" s="41"/>
      <x:c r="Y488" s="41"/>
      <x:c r="Z488" s="41"/>
    </x:row>
    <x:row r="489">
      <x:c r="A489" s="7" t="s">
        <x:v>3694</x:v>
      </x:c>
      <x:c r="B489" s="7" t="s">
        <x:v>3695</x:v>
      </x:c>
      <x:c r="C489" s="7" t="s">
        <x:v>3696</x:v>
      </x:c>
      <x:c r="D489" s="7" t="s">
        <x:v>233</x:v>
      </x:c>
      <x:c r="E489" s="7" t="s">
        <x:v>3095</x:v>
      </x:c>
      <x:c r="F489" s="10">
        <x:v>17.482571</x:v>
      </x:c>
      <x:c r="G489" s="10">
        <x:v>102.797394</x:v>
      </x:c>
      <x:c r="H489" s="7" t="s">
        <x:v>1548</x:v>
      </x:c>
      <x:c r="I489" s="10">
        <x:v>168.62</x:v>
      </x:c>
      <x:c r="J489" s="41"/>
      <x:c r="K489" s="41"/>
      <x:c r="L489" s="41"/>
      <x:c r="M489" s="41"/>
      <x:c r="N489" s="7" t="s">
        <x:v>2663</x:v>
      </x:c>
      <x:c r="O489" s="7" t="s">
        <x:v>1539</x:v>
      </x:c>
      <x:c r="P489" s="10">
        <x:v>3.0</x:v>
      </x:c>
      <x:c r="Q489" s="41"/>
      <x:c r="R489" s="10">
        <x:v>82.4</x:v>
      </x:c>
      <x:c r="S489" s="7" t="s">
        <x:v>301</x:v>
      </x:c>
      <x:c r="T489" s="7" t="b">
        <x:v>0</x:v>
      </x:c>
      <x:c r="U489" s="7" t="s">
        <x:v>1541</x:v>
      </x:c>
      <x:c r="V489" s="26" t="s">
        <x:v>1542</x:v>
      </x:c>
      <x:c r="W489" s="7" t="s">
        <x:v>3697</x:v>
      </x:c>
      <x:c r="X489" s="41"/>
      <x:c r="Y489" s="41"/>
      <x:c r="Z489" s="41"/>
    </x:row>
    <x:row r="490">
      <x:c r="A490" s="7" t="s">
        <x:v>3698</x:v>
      </x:c>
      <x:c r="B490" s="7" t="s">
        <x:v>3699</x:v>
      </x:c>
      <x:c r="C490" s="7" t="s">
        <x:v>3700</x:v>
      </x:c>
      <x:c r="D490" s="7" t="s">
        <x:v>27</x:v>
      </x:c>
      <x:c r="E490" s="7" t="s">
        <x:v>2084</x:v>
      </x:c>
      <x:c r="F490" s="10">
        <x:v>16.86469</x:v>
      </x:c>
      <x:c r="G490" s="10">
        <x:v>100.24476</x:v>
      </x:c>
      <x:c r="H490" s="7" t="s">
        <x:v>1554</x:v>
      </x:c>
      <x:c r="I490" s="10">
        <x:v>37.62</x:v>
      </x:c>
      <x:c r="J490" s="41"/>
      <x:c r="K490" s="41"/>
      <x:c r="L490" s="41"/>
      <x:c r="M490" s="41"/>
      <x:c r="N490" s="7" t="s">
        <x:v>2663</x:v>
      </x:c>
      <x:c r="O490" s="7" t="s">
        <x:v>1539</x:v>
      </x:c>
      <x:c r="P490" s="10">
        <x:v>3.0</x:v>
      </x:c>
      <x:c r="Q490" s="41"/>
      <x:c r="R490" s="10">
        <x:v>12.4</x:v>
      </x:c>
      <x:c r="S490" s="7" t="s">
        <x:v>1540</x:v>
      </x:c>
      <x:c r="T490" s="7" t="b">
        <x:v>0</x:v>
      </x:c>
      <x:c r="U490" s="7" t="s">
        <x:v>1541</x:v>
      </x:c>
      <x:c r="V490" s="26" t="s">
        <x:v>1542</x:v>
      </x:c>
      <x:c r="W490" s="7" t="s">
        <x:v>3701</x:v>
      </x:c>
      <x:c r="X490" s="41"/>
      <x:c r="Y490" s="41"/>
      <x:c r="Z490" s="41"/>
    </x:row>
    <x:row r="491">
      <x:c r="A491" s="7" t="s">
        <x:v>3702</x:v>
      </x:c>
      <x:c r="B491" s="7" t="s">
        <x:v>3703</x:v>
      </x:c>
      <x:c r="C491" s="7" t="s">
        <x:v>3704</x:v>
      </x:c>
      <x:c r="D491" s="7" t="s">
        <x:v>208</x:v>
      </x:c>
      <x:c r="E491" s="7" t="s">
        <x:v>3705</x:v>
      </x:c>
      <x:c r="F491" s="10">
        <x:v>20.15754</x:v>
      </x:c>
      <x:c r="G491" s="10">
        <x:v>99.85966</x:v>
      </x:c>
      <x:c r="H491" s="7" t="s">
        <x:v>1554</x:v>
      </x:c>
      <x:c r="I491" s="10">
        <x:v>409.59</x:v>
      </x:c>
      <x:c r="J491" s="41"/>
      <x:c r="K491" s="41"/>
      <x:c r="L491" s="41"/>
      <x:c r="M491" s="41"/>
      <x:c r="N491" s="7" t="s">
        <x:v>2663</x:v>
      </x:c>
      <x:c r="O491" s="7" t="s">
        <x:v>1539</x:v>
      </x:c>
      <x:c r="P491" s="10">
        <x:v>3.0</x:v>
      </x:c>
      <x:c r="Q491" s="41"/>
      <x:c r="R491" s="10">
        <x:v>12.4</x:v>
      </x:c>
      <x:c r="S491" s="7" t="s">
        <x:v>1540</x:v>
      </x:c>
      <x:c r="T491" s="7" t="b">
        <x:v>0</x:v>
      </x:c>
      <x:c r="U491" s="7" t="s">
        <x:v>1541</x:v>
      </x:c>
      <x:c r="V491" s="26" t="s">
        <x:v>1542</x:v>
      </x:c>
      <x:c r="W491" s="7" t="s">
        <x:v>3706</x:v>
      </x:c>
      <x:c r="X491" s="41"/>
      <x:c r="Y491" s="41"/>
      <x:c r="Z491" s="41"/>
    </x:row>
    <x:row r="492">
      <x:c r="A492" s="7" t="s">
        <x:v>3707</x:v>
      </x:c>
      <x:c r="B492" s="7" t="s">
        <x:v>3708</x:v>
      </x:c>
      <x:c r="C492" s="7" t="s">
        <x:v>3709</x:v>
      </x:c>
      <x:c r="D492" s="7" t="s">
        <x:v>3396</x:v>
      </x:c>
      <x:c r="E492" s="7"/>
      <x:c r="F492" s="10">
        <x:v>20.44352</x:v>
      </x:c>
      <x:c r="G492" s="10">
        <x:v>99.86226</x:v>
      </x:c>
      <x:c r="H492" s="7" t="s">
        <x:v>1554</x:v>
      </x:c>
      <x:c r="I492" s="10">
        <x:v>401.79</x:v>
      </x:c>
      <x:c r="J492" s="41"/>
      <x:c r="K492" s="41"/>
      <x:c r="L492" s="41"/>
      <x:c r="M492" s="41"/>
      <x:c r="N492" s="7" t="s">
        <x:v>2663</x:v>
      </x:c>
      <x:c r="O492" s="7" t="s">
        <x:v>1539</x:v>
      </x:c>
      <x:c r="P492" s="10">
        <x:v>3.0</x:v>
      </x:c>
      <x:c r="Q492" s="41"/>
      <x:c r="R492" s="10">
        <x:v>12.4</x:v>
      </x:c>
      <x:c r="S492" s="7" t="s">
        <x:v>1540</x:v>
      </x:c>
      <x:c r="T492" s="7" t="b">
        <x:v>0</x:v>
      </x:c>
      <x:c r="U492" s="7" t="s">
        <x:v>1541</x:v>
      </x:c>
      <x:c r="V492" s="26" t="s">
        <x:v>1542</x:v>
      </x:c>
      <x:c r="W492" s="7" t="s">
        <x:v>3710</x:v>
      </x:c>
      <x:c r="X492" s="41"/>
      <x:c r="Y492" s="41"/>
      <x:c r="Z492" s="41"/>
    </x:row>
    <x:row r="493">
      <x:c r="A493" s="7" t="s">
        <x:v>3711</x:v>
      </x:c>
      <x:c r="B493" s="7" t="s">
        <x:v>3712</x:v>
      </x:c>
      <x:c r="C493" s="7" t="s">
        <x:v>3713</x:v>
      </x:c>
      <x:c r="D493" s="7" t="s">
        <x:v>235</x:v>
      </x:c>
      <x:c r="E493" s="7" t="s">
        <x:v>1945</x:v>
      </x:c>
      <x:c r="F493" s="10">
        <x:v>17.03068</x:v>
      </x:c>
      <x:c r="G493" s="10">
        <x:v>104.41476</x:v>
      </x:c>
      <x:c r="H493" s="7" t="s">
        <x:v>1554</x:v>
      </x:c>
      <x:c r="I493" s="10">
        <x:v>146.3</x:v>
      </x:c>
      <x:c r="J493" s="41"/>
      <x:c r="K493" s="41"/>
      <x:c r="L493" s="41"/>
      <x:c r="M493" s="41"/>
      <x:c r="N493" s="7" t="s">
        <x:v>2663</x:v>
      </x:c>
      <x:c r="O493" s="7" t="s">
        <x:v>1539</x:v>
      </x:c>
      <x:c r="P493" s="10">
        <x:v>3.0</x:v>
      </x:c>
      <x:c r="Q493" s="41"/>
      <x:c r="R493" s="10">
        <x:v>12.4</x:v>
      </x:c>
      <x:c r="S493" s="7" t="s">
        <x:v>1540</x:v>
      </x:c>
      <x:c r="T493" s="7" t="b">
        <x:v>0</x:v>
      </x:c>
      <x:c r="U493" s="7" t="s">
        <x:v>1541</x:v>
      </x:c>
      <x:c r="V493" s="26" t="s">
        <x:v>1542</x:v>
      </x:c>
      <x:c r="W493" s="7" t="s">
        <x:v>3714</x:v>
      </x:c>
      <x:c r="X493" s="41"/>
      <x:c r="Y493" s="41"/>
      <x:c r="Z493" s="41"/>
    </x:row>
    <x:row r="494">
      <x:c r="A494" s="7" t="s">
        <x:v>3715</x:v>
      </x:c>
      <x:c r="B494" s="7" t="s">
        <x:v>3716</x:v>
      </x:c>
      <x:c r="C494" s="7" t="s">
        <x:v>3717</x:v>
      </x:c>
      <x:c r="D494" s="7" t="s">
        <x:v>228</x:v>
      </x:c>
      <x:c r="E494" s="7" t="s">
        <x:v>2917</x:v>
      </x:c>
      <x:c r="F494" s="10">
        <x:v>16.68523</x:v>
      </x:c>
      <x:c r="G494" s="10">
        <x:v>104.08213</x:v>
      </x:c>
      <x:c r="H494" s="7" t="s">
        <x:v>1548</x:v>
      </x:c>
      <x:c r="I494" s="10">
        <x:v>173.38</x:v>
      </x:c>
      <x:c r="J494" s="41"/>
      <x:c r="K494" s="41"/>
      <x:c r="L494" s="41"/>
      <x:c r="M494" s="41"/>
      <x:c r="N494" s="7" t="s">
        <x:v>2663</x:v>
      </x:c>
      <x:c r="O494" s="7" t="s">
        <x:v>1539</x:v>
      </x:c>
      <x:c r="P494" s="10">
        <x:v>3.0</x:v>
      </x:c>
      <x:c r="Q494" s="41"/>
      <x:c r="R494" s="10">
        <x:v>82.4</x:v>
      </x:c>
      <x:c r="S494" s="7" t="s">
        <x:v>301</x:v>
      </x:c>
      <x:c r="T494" s="7" t="b">
        <x:v>0</x:v>
      </x:c>
      <x:c r="U494" s="7" t="s">
        <x:v>1541</x:v>
      </x:c>
      <x:c r="V494" s="26" t="s">
        <x:v>1542</x:v>
      </x:c>
      <x:c r="W494" s="7" t="s">
        <x:v>3718</x:v>
      </x:c>
      <x:c r="X494" s="41"/>
      <x:c r="Y494" s="41"/>
      <x:c r="Z494" s="41"/>
    </x:row>
    <x:row r="495">
      <x:c r="A495" s="7" t="s">
        <x:v>3719</x:v>
      </x:c>
      <x:c r="B495" s="7" t="s">
        <x:v>3720</x:v>
      </x:c>
      <x:c r="C495" s="7" t="s">
        <x:v>3721</x:v>
      </x:c>
      <x:c r="D495" s="7" t="s">
        <x:v>91</x:v>
      </x:c>
      <x:c r="E495" s="7" t="s">
        <x:v>3722</x:v>
      </x:c>
      <x:c r="F495" s="10">
        <x:v>14.06587</x:v>
      </x:c>
      <x:c r="G495" s="10">
        <x:v>101.922638</x:v>
      </x:c>
      <x:c r="H495" s="7" t="s">
        <x:v>1548</x:v>
      </x:c>
      <x:c r="I495" s="10">
        <x:v>15.71</x:v>
      </x:c>
      <x:c r="J495" s="41"/>
      <x:c r="K495" s="41"/>
      <x:c r="L495" s="41"/>
      <x:c r="M495" s="41"/>
      <x:c r="N495" s="7" t="s">
        <x:v>2663</x:v>
      </x:c>
      <x:c r="O495" s="7" t="s">
        <x:v>1539</x:v>
      </x:c>
      <x:c r="P495" s="10">
        <x:v>3.0</x:v>
      </x:c>
      <x:c r="Q495" s="41"/>
      <x:c r="R495" s="10">
        <x:v>82.4</x:v>
      </x:c>
      <x:c r="S495" s="7" t="s">
        <x:v>301</x:v>
      </x:c>
      <x:c r="T495" s="7" t="b">
        <x:v>0</x:v>
      </x:c>
      <x:c r="U495" s="7" t="s">
        <x:v>1541</x:v>
      </x:c>
      <x:c r="V495" s="26" t="s">
        <x:v>1542</x:v>
      </x:c>
      <x:c r="W495" s="7" t="s">
        <x:v>3723</x:v>
      </x:c>
      <x:c r="X495" s="41"/>
      <x:c r="Y495" s="41"/>
      <x:c r="Z495" s="41"/>
    </x:row>
    <x:row r="496">
      <x:c r="A496" s="7" t="s">
        <x:v>3724</x:v>
      </x:c>
      <x:c r="B496" s="7" t="s">
        <x:v>3725</x:v>
      </x:c>
      <x:c r="C496" s="7" t="s">
        <x:v>3726</x:v>
      </x:c>
      <x:c r="D496" s="7" t="s">
        <x:v>115</x:v>
      </x:c>
      <x:c r="E496" s="7" t="s">
        <x:v>2032</x:v>
      </x:c>
      <x:c r="F496" s="10">
        <x:v>15.299888</x:v>
      </x:c>
      <x:c r="G496" s="10">
        <x:v>103.29234</x:v>
      </x:c>
      <x:c r="H496" s="7" t="s">
        <x:v>1554</x:v>
      </x:c>
      <x:c r="I496" s="10">
        <x:v>125.19</x:v>
      </x:c>
      <x:c r="J496" s="41"/>
      <x:c r="K496" s="41"/>
      <x:c r="L496" s="41"/>
      <x:c r="M496" s="41"/>
      <x:c r="N496" s="7" t="s">
        <x:v>2663</x:v>
      </x:c>
      <x:c r="O496" s="7" t="s">
        <x:v>1539</x:v>
      </x:c>
      <x:c r="P496" s="10">
        <x:v>3.0</x:v>
      </x:c>
      <x:c r="Q496" s="41"/>
      <x:c r="R496" s="10">
        <x:v>12.4</x:v>
      </x:c>
      <x:c r="S496" s="7" t="s">
        <x:v>1540</x:v>
      </x:c>
      <x:c r="T496" s="7" t="b">
        <x:v>0</x:v>
      </x:c>
      <x:c r="U496" s="7" t="s">
        <x:v>1541</x:v>
      </x:c>
      <x:c r="V496" s="26" t="s">
        <x:v>1542</x:v>
      </x:c>
      <x:c r="W496" s="7" t="s">
        <x:v>3727</x:v>
      </x:c>
      <x:c r="X496" s="41"/>
      <x:c r="Y496" s="41"/>
      <x:c r="Z496" s="41"/>
    </x:row>
    <x:row r="497">
      <x:c r="A497" s="7" t="s">
        <x:v>3728</x:v>
      </x:c>
      <x:c r="B497" s="7" t="s">
        <x:v>3729</x:v>
      </x:c>
      <x:c r="C497" s="7" t="s">
        <x:v>3730</x:v>
      </x:c>
      <x:c r="D497" s="7" t="s">
        <x:v>118</x:v>
      </x:c>
      <x:c r="E497" s="7" t="s">
        <x:v>2393</x:v>
      </x:c>
      <x:c r="F497" s="10">
        <x:v>15.75292</x:v>
      </x:c>
      <x:c r="G497" s="10">
        <x:v>102.252609</x:v>
      </x:c>
      <x:c r="H497" s="7" t="s">
        <x:v>1548</x:v>
      </x:c>
      <x:c r="I497" s="10">
        <x:v>168.97</x:v>
      </x:c>
      <x:c r="J497" s="41"/>
      <x:c r="K497" s="41"/>
      <x:c r="L497" s="41"/>
      <x:c r="M497" s="41"/>
      <x:c r="N497" s="7" t="s">
        <x:v>2663</x:v>
      </x:c>
      <x:c r="O497" s="7" t="s">
        <x:v>1539</x:v>
      </x:c>
      <x:c r="P497" s="10">
        <x:v>3.0</x:v>
      </x:c>
      <x:c r="Q497" s="41"/>
      <x:c r="R497" s="10">
        <x:v>82.4</x:v>
      </x:c>
      <x:c r="S497" s="7" t="s">
        <x:v>301</x:v>
      </x:c>
      <x:c r="T497" s="7" t="b">
        <x:v>0</x:v>
      </x:c>
      <x:c r="U497" s="7" t="s">
        <x:v>1541</x:v>
      </x:c>
      <x:c r="V497" s="26" t="s">
        <x:v>1542</x:v>
      </x:c>
      <x:c r="W497" s="7" t="s">
        <x:v>3731</x:v>
      </x:c>
      <x:c r="X497" s="41"/>
      <x:c r="Y497" s="41"/>
      <x:c r="Z497" s="41"/>
    </x:row>
    <x:row r="498">
      <x:c r="A498" s="7" t="s">
        <x:v>3732</x:v>
      </x:c>
      <x:c r="B498" s="7" t="s">
        <x:v>3733</x:v>
      </x:c>
      <x:c r="C498" s="7" t="s">
        <x:v>3734</x:v>
      </x:c>
      <x:c r="D498" s="7" t="s">
        <x:v>249</x:v>
      </x:c>
      <x:c r="E498" s="7" t="s">
        <x:v>2627</x:v>
      </x:c>
      <x:c r="F498" s="10">
        <x:v>9.029423</x:v>
      </x:c>
      <x:c r="G498" s="10">
        <x:v>98.969635</x:v>
      </x:c>
      <x:c r="H498" s="7" t="s">
        <x:v>1554</x:v>
      </x:c>
      <x:c r="I498" s="10">
        <x:v>4.81</x:v>
      </x:c>
      <x:c r="J498" s="41"/>
      <x:c r="K498" s="41"/>
      <x:c r="L498" s="41"/>
      <x:c r="M498" s="41"/>
      <x:c r="N498" s="7" t="s">
        <x:v>2663</x:v>
      </x:c>
      <x:c r="O498" s="7" t="s">
        <x:v>1539</x:v>
      </x:c>
      <x:c r="P498" s="10">
        <x:v>3.0</x:v>
      </x:c>
      <x:c r="Q498" s="41"/>
      <x:c r="R498" s="10">
        <x:v>12.4</x:v>
      </x:c>
      <x:c r="S498" s="7" t="s">
        <x:v>1540</x:v>
      </x:c>
      <x:c r="T498" s="7" t="b">
        <x:v>0</x:v>
      </x:c>
      <x:c r="U498" s="7" t="s">
        <x:v>1541</x:v>
      </x:c>
      <x:c r="V498" s="26" t="s">
        <x:v>1542</x:v>
      </x:c>
      <x:c r="W498" s="7" t="s">
        <x:v>3735</x:v>
      </x:c>
      <x:c r="X498" s="41"/>
      <x:c r="Y498" s="41"/>
      <x:c r="Z498" s="41"/>
    </x:row>
    <x:row r="499">
      <x:c r="A499" s="7" t="s">
        <x:v>3736</x:v>
      </x:c>
      <x:c r="B499" s="7" t="s">
        <x:v>3737</x:v>
      </x:c>
      <x:c r="C499" s="7" t="s">
        <x:v>3738</x:v>
      </x:c>
      <x:c r="D499" s="7" t="s">
        <x:v>197</x:v>
      </x:c>
      <x:c r="E499" s="7" t="s">
        <x:v>3739</x:v>
      </x:c>
      <x:c r="F499" s="10">
        <x:v>10.66562</x:v>
      </x:c>
      <x:c r="G499" s="10">
        <x:v>99.171227</x:v>
      </x:c>
      <x:c r="H499" s="7" t="s">
        <x:v>1548</x:v>
      </x:c>
      <x:c r="I499" s="10">
        <x:v>10.66</x:v>
      </x:c>
      <x:c r="J499" s="41"/>
      <x:c r="K499" s="41"/>
      <x:c r="L499" s="41"/>
      <x:c r="M499" s="41"/>
      <x:c r="N499" s="7" t="s">
        <x:v>2663</x:v>
      </x:c>
      <x:c r="O499" s="7" t="s">
        <x:v>1539</x:v>
      </x:c>
      <x:c r="P499" s="10">
        <x:v>3.0</x:v>
      </x:c>
      <x:c r="Q499" s="41"/>
      <x:c r="R499" s="10">
        <x:v>82.4</x:v>
      </x:c>
      <x:c r="S499" s="7" t="s">
        <x:v>301</x:v>
      </x:c>
      <x:c r="T499" s="7" t="b">
        <x:v>0</x:v>
      </x:c>
      <x:c r="U499" s="7" t="s">
        <x:v>1541</x:v>
      </x:c>
      <x:c r="V499" s="26" t="s">
        <x:v>1542</x:v>
      </x:c>
      <x:c r="W499" s="7" t="s">
        <x:v>3740</x:v>
      </x:c>
      <x:c r="X499" s="41"/>
      <x:c r="Y499" s="41"/>
      <x:c r="Z499" s="41"/>
    </x:row>
    <x:row r="500">
      <x:c r="A500" s="7" t="s">
        <x:v>3741</x:v>
      </x:c>
      <x:c r="B500" s="7" t="s">
        <x:v>3742</x:v>
      </x:c>
      <x:c r="C500" s="7" t="s">
        <x:v>3743</x:v>
      </x:c>
      <x:c r="D500" s="7" t="s">
        <x:v>249</x:v>
      </x:c>
      <x:c r="E500" s="7" t="s">
        <x:v>3744</x:v>
      </x:c>
      <x:c r="F500" s="10">
        <x:v>8.54373</x:v>
      </x:c>
      <x:c r="G500" s="10">
        <x:v>99.223457</x:v>
      </x:c>
      <x:c r="H500" s="7" t="s">
        <x:v>1777</x:v>
      </x:c>
      <x:c r="I500" s="10">
        <x:v>6.66</x:v>
      </x:c>
      <x:c r="J500" s="41"/>
      <x:c r="K500" s="41"/>
      <x:c r="L500" s="41"/>
      <x:c r="M500" s="41"/>
      <x:c r="N500" s="7" t="s">
        <x:v>2663</x:v>
      </x:c>
      <x:c r="O500" s="7" t="s">
        <x:v>1539</x:v>
      </x:c>
      <x:c r="P500" s="10">
        <x:v>3.0</x:v>
      </x:c>
      <x:c r="Q500" s="41"/>
      <x:c r="R500" s="10">
        <x:v>562.4</x:v>
      </x:c>
      <x:c r="S500" s="7" t="s">
        <x:v>301</x:v>
      </x:c>
      <x:c r="T500" s="7" t="b">
        <x:v>0</x:v>
      </x:c>
      <x:c r="U500" s="7" t="s">
        <x:v>1541</x:v>
      </x:c>
      <x:c r="V500" s="26" t="s">
        <x:v>1542</x:v>
      </x:c>
      <x:c r="W500" s="7" t="s">
        <x:v>3745</x:v>
      </x:c>
      <x:c r="X500" s="41"/>
      <x:c r="Y500" s="41"/>
      <x:c r="Z500" s="41"/>
    </x:row>
    <x:row r="501">
      <x:c r="A501" s="7" t="s">
        <x:v>3746</x:v>
      </x:c>
      <x:c r="B501" s="7" t="s">
        <x:v>3747</x:v>
      </x:c>
      <x:c r="C501" s="7" t="s">
        <x:v>3748</x:v>
      </x:c>
      <x:c r="D501" s="7" t="s">
        <x:v>209</x:v>
      </x:c>
      <x:c r="E501" s="7" t="s">
        <x:v>1734</x:v>
      </x:c>
      <x:c r="F501" s="10">
        <x:v>17.90118</x:v>
      </x:c>
      <x:c r="G501" s="10">
        <x:v>99.605652</x:v>
      </x:c>
      <x:c r="H501" s="7" t="s">
        <x:v>1548</x:v>
      </x:c>
      <x:c r="I501" s="10">
        <x:v>96.37</x:v>
      </x:c>
      <x:c r="J501" s="41"/>
      <x:c r="K501" s="41"/>
      <x:c r="L501" s="41"/>
      <x:c r="M501" s="10"/>
      <x:c r="N501" s="7" t="s">
        <x:v>2663</x:v>
      </x:c>
      <x:c r="O501" s="7" t="s">
        <x:v>1539</x:v>
      </x:c>
      <x:c r="P501" s="10">
        <x:v>3.0</x:v>
      </x:c>
      <x:c r="Q501" s="41"/>
      <x:c r="R501" s="10">
        <x:v>82.4</x:v>
      </x:c>
      <x:c r="S501" s="7" t="s">
        <x:v>301</x:v>
      </x:c>
      <x:c r="T501" s="7" t="b">
        <x:v>0</x:v>
      </x:c>
      <x:c r="U501" s="7" t="s">
        <x:v>1541</x:v>
      </x:c>
      <x:c r="V501" s="26" t="s">
        <x:v>1542</x:v>
      </x:c>
      <x:c r="W501" s="7" t="s">
        <x:v>3749</x:v>
      </x:c>
      <x:c r="X501" s="41"/>
      <x:c r="Y501" s="41"/>
      <x:c r="Z501" s="41"/>
    </x:row>
    <x:row r="502">
      <x:c r="A502" s="7" t="s">
        <x:v>3750</x:v>
      </x:c>
      <x:c r="B502" s="7" t="s">
        <x:v>3751</x:v>
      </x:c>
      <x:c r="C502" s="7" t="s">
        <x:v>3752</x:v>
      </x:c>
      <x:c r="D502" s="7" t="s">
        <x:v>27</x:v>
      </x:c>
      <x:c r="E502" s="7" t="s">
        <x:v>2360</x:v>
      </x:c>
      <x:c r="F502" s="10">
        <x:v>17.12855</x:v>
      </x:c>
      <x:c r="G502" s="10">
        <x:v>100.588066</x:v>
      </x:c>
      <x:c r="H502" s="7" t="s">
        <x:v>1548</x:v>
      </x:c>
      <x:c r="I502" s="10">
        <x:v>162.75</x:v>
      </x:c>
      <x:c r="J502" s="41"/>
      <x:c r="K502" s="41"/>
      <x:c r="L502" s="41"/>
      <x:c r="M502" s="10"/>
      <x:c r="N502" s="7" t="s">
        <x:v>2663</x:v>
      </x:c>
      <x:c r="O502" s="7" t="s">
        <x:v>1539</x:v>
      </x:c>
      <x:c r="P502" s="10">
        <x:v>3.0</x:v>
      </x:c>
      <x:c r="Q502" s="41"/>
      <x:c r="R502" s="10">
        <x:v>82.4</x:v>
      </x:c>
      <x:c r="S502" s="7" t="s">
        <x:v>301</x:v>
      </x:c>
      <x:c r="T502" s="7" t="b">
        <x:v>0</x:v>
      </x:c>
      <x:c r="U502" s="7" t="s">
        <x:v>1541</x:v>
      </x:c>
      <x:c r="V502" s="26" t="s">
        <x:v>1542</x:v>
      </x:c>
      <x:c r="W502" s="7" t="s">
        <x:v>3753</x:v>
      </x:c>
      <x:c r="X502" s="41"/>
      <x:c r="Y502" s="41"/>
      <x:c r="Z502" s="41"/>
    </x:row>
    <x:row r="503">
      <x:c r="A503" s="7" t="s">
        <x:v>3754</x:v>
      </x:c>
      <x:c r="B503" s="7" t="s">
        <x:v>3755</x:v>
      </x:c>
      <x:c r="C503" s="7" t="s">
        <x:v>2312</x:v>
      </x:c>
      <x:c r="D503" s="7" t="s">
        <x:v>216</x:v>
      </x:c>
      <x:c r="E503" s="7" t="s">
        <x:v>2084</x:v>
      </x:c>
      <x:c r="F503" s="10">
        <x:v>17.609871</x:v>
      </x:c>
      <x:c r="G503" s="10">
        <x:v>100.099609</x:v>
      </x:c>
      <x:c r="H503" s="7" t="s">
        <x:v>1548</x:v>
      </x:c>
      <x:c r="I503" s="10">
        <x:v>52.75</x:v>
      </x:c>
      <x:c r="J503" s="41"/>
      <x:c r="K503" s="41"/>
      <x:c r="L503" s="41"/>
      <x:c r="M503" s="10">
        <x:v>59.3</x:v>
      </x:c>
      <x:c r="N503" s="7" t="s">
        <x:v>2663</x:v>
      </x:c>
      <x:c r="O503" s="7" t="s">
        <x:v>1539</x:v>
      </x:c>
      <x:c r="P503" s="10">
        <x:v>3.0</x:v>
      </x:c>
      <x:c r="Q503" s="41"/>
      <x:c r="R503" s="10">
        <x:v>82.4</x:v>
      </x:c>
      <x:c r="S503" s="7" t="s">
        <x:v>301</x:v>
      </x:c>
      <x:c r="T503" s="7" t="b">
        <x:v>0</x:v>
      </x:c>
      <x:c r="U503" s="7" t="s">
        <x:v>1541</x:v>
      </x:c>
      <x:c r="V503" s="26" t="s">
        <x:v>1542</x:v>
      </x:c>
      <x:c r="W503" s="7" t="s">
        <x:v>3756</x:v>
      </x:c>
      <x:c r="X503" s="41"/>
      <x:c r="Y503" s="41"/>
      <x:c r="Z503" s="41"/>
    </x:row>
    <x:row r="504">
      <x:c r="A504" s="7" t="s">
        <x:v>3757</x:v>
      </x:c>
      <x:c r="B504" s="7" t="s">
        <x:v>3758</x:v>
      </x:c>
      <x:c r="C504" s="7" t="s">
        <x:v>3759</x:v>
      </x:c>
      <x:c r="D504" s="7" t="s">
        <x:v>243</x:v>
      </x:c>
      <x:c r="E504" s="7" t="s">
        <x:v>2922</x:v>
      </x:c>
      <x:c r="F504" s="10">
        <x:v>14.64329</x:v>
      </x:c>
      <x:c r="G504" s="10">
        <x:v>104.6595</x:v>
      </x:c>
      <x:c r="H504" s="7" t="s">
        <x:v>1548</x:v>
      </x:c>
      <x:c r="I504" s="10">
        <x:v>144.31</x:v>
      </x:c>
      <x:c r="J504" s="41"/>
      <x:c r="K504" s="41"/>
      <x:c r="L504" s="41"/>
      <x:c r="M504" s="10"/>
      <x:c r="N504" s="7" t="s">
        <x:v>2663</x:v>
      </x:c>
      <x:c r="O504" s="7" t="s">
        <x:v>1539</x:v>
      </x:c>
      <x:c r="P504" s="10">
        <x:v>3.0</x:v>
      </x:c>
      <x:c r="Q504" s="41"/>
      <x:c r="R504" s="10">
        <x:v>82.4</x:v>
      </x:c>
      <x:c r="S504" s="7" t="s">
        <x:v>301</x:v>
      </x:c>
      <x:c r="T504" s="7" t="b">
        <x:v>0</x:v>
      </x:c>
      <x:c r="U504" s="7" t="s">
        <x:v>1541</x:v>
      </x:c>
      <x:c r="V504" s="26" t="s">
        <x:v>1542</x:v>
      </x:c>
      <x:c r="W504" s="7" t="s">
        <x:v>3760</x:v>
      </x:c>
      <x:c r="X504" s="41"/>
      <x:c r="Y504" s="41"/>
      <x:c r="Z504" s="41"/>
    </x:row>
    <x:row r="505">
      <x:c r="A505" s="7" t="s">
        <x:v>3761</x:v>
      </x:c>
      <x:c r="B505" s="7" t="s">
        <x:v>3762</x:v>
      </x:c>
      <x:c r="C505" s="7" t="s">
        <x:v>3763</x:v>
      </x:c>
      <x:c r="D505" s="7" t="s">
        <x:v>230</x:v>
      </x:c>
      <x:c r="E505" s="7" t="s">
        <x:v>2393</x:v>
      </x:c>
      <x:c r="F505" s="10">
        <x:v>16.23231</x:v>
      </x:c>
      <x:c r="G505" s="10">
        <x:v>103.27106</x:v>
      </x:c>
      <x:c r="H505" s="7" t="s">
        <x:v>1554</x:v>
      </x:c>
      <x:c r="I505" s="10">
        <x:v>137.85</x:v>
      </x:c>
      <x:c r="J505" s="41"/>
      <x:c r="K505" s="41"/>
      <x:c r="L505" s="41"/>
      <x:c r="M505" s="10"/>
      <x:c r="N505" s="7" t="s">
        <x:v>2663</x:v>
      </x:c>
      <x:c r="O505" s="7" t="s">
        <x:v>1539</x:v>
      </x:c>
      <x:c r="P505" s="10">
        <x:v>3.0</x:v>
      </x:c>
      <x:c r="Q505" s="41"/>
      <x:c r="R505" s="10">
        <x:v>12.4</x:v>
      </x:c>
      <x:c r="S505" s="7" t="s">
        <x:v>1540</x:v>
      </x:c>
      <x:c r="T505" s="7" t="b">
        <x:v>0</x:v>
      </x:c>
      <x:c r="U505" s="7" t="s">
        <x:v>1541</x:v>
      </x:c>
      <x:c r="V505" s="26" t="s">
        <x:v>1542</x:v>
      </x:c>
      <x:c r="W505" s="7" t="s">
        <x:v>3764</x:v>
      </x:c>
      <x:c r="X505" s="41"/>
      <x:c r="Y505" s="41"/>
      <x:c r="Z505" s="41"/>
    </x:row>
    <x:row r="506">
      <x:c r="A506" s="7" t="s">
        <x:v>3765</x:v>
      </x:c>
      <x:c r="B506" s="7" t="s">
        <x:v>3766</x:v>
      </x:c>
      <x:c r="C506" s="7" t="s">
        <x:v>3767</x:v>
      </x:c>
      <x:c r="D506" s="7" t="s">
        <x:v>235</x:v>
      </x:c>
      <x:c r="E506" s="7" t="s">
        <x:v>1945</x:v>
      </x:c>
      <x:c r="F506" s="10">
        <x:v>17.000439</x:v>
      </x:c>
      <x:c r="G506" s="10">
        <x:v>104.42528</x:v>
      </x:c>
      <x:c r="H506" s="7" t="s">
        <x:v>1554</x:v>
      </x:c>
      <x:c r="I506" s="10">
        <x:v>142.43</x:v>
      </x:c>
      <x:c r="J506" s="41"/>
      <x:c r="K506" s="41"/>
      <x:c r="L506" s="41"/>
      <x:c r="M506" s="10"/>
      <x:c r="N506" s="7" t="s">
        <x:v>2663</x:v>
      </x:c>
      <x:c r="O506" s="7" t="s">
        <x:v>1539</x:v>
      </x:c>
      <x:c r="P506" s="10">
        <x:v>3.0</x:v>
      </x:c>
      <x:c r="Q506" s="41"/>
      <x:c r="R506" s="10">
        <x:v>12.4</x:v>
      </x:c>
      <x:c r="S506" s="7" t="s">
        <x:v>1540</x:v>
      </x:c>
      <x:c r="T506" s="7" t="b">
        <x:v>0</x:v>
      </x:c>
      <x:c r="U506" s="7" t="s">
        <x:v>1541</x:v>
      </x:c>
      <x:c r="V506" s="26" t="s">
        <x:v>1542</x:v>
      </x:c>
      <x:c r="W506" s="7" t="s">
        <x:v>3768</x:v>
      </x:c>
      <x:c r="X506" s="41"/>
      <x:c r="Y506" s="41"/>
      <x:c r="Z506" s="41"/>
    </x:row>
    <x:row r="507">
      <x:c r="A507" s="7" t="s">
        <x:v>3769</x:v>
      </x:c>
      <x:c r="B507" s="7" t="s">
        <x:v>3770</x:v>
      </x:c>
      <x:c r="C507" s="7" t="s">
        <x:v>3771</x:v>
      </x:c>
      <x:c r="D507" s="7" t="s">
        <x:v>18</x:v>
      </x:c>
      <x:c r="E507" s="7"/>
      <x:c r="F507" s="10">
        <x:v>17.049092</x:v>
      </x:c>
      <x:c r="G507" s="10">
        <x:v>99.066017</x:v>
      </x:c>
      <x:c r="H507" s="7" t="s">
        <x:v>1658</x:v>
      </x:c>
      <x:c r="I507" s="10">
        <x:v>119.51</x:v>
      </x:c>
      <x:c r="J507" s="41"/>
      <x:c r="K507" s="41"/>
      <x:c r="L507" s="41"/>
      <x:c r="M507" s="10">
        <x:v>121.95</x:v>
      </x:c>
      <x:c r="N507" s="7" t="s">
        <x:v>2663</x:v>
      </x:c>
      <x:c r="O507" s="7" t="s">
        <x:v>1539</x:v>
      </x:c>
      <x:c r="P507" s="10">
        <x:v>3.0</x:v>
      </x:c>
      <x:c r="Q507" s="41"/>
      <x:c r="R507" s="10">
        <x:v>22.4</x:v>
      </x:c>
      <x:c r="S507" s="7" t="s">
        <x:v>1540</x:v>
      </x:c>
      <x:c r="T507" s="7" t="b">
        <x:v>0</x:v>
      </x:c>
      <x:c r="U507" s="7" t="s">
        <x:v>1541</x:v>
      </x:c>
      <x:c r="V507" s="26" t="s">
        <x:v>1542</x:v>
      </x:c>
      <x:c r="W507" s="7" t="s">
        <x:v>3772</x:v>
      </x:c>
      <x:c r="X507" s="41"/>
      <x:c r="Y507" s="41"/>
      <x:c r="Z507" s="41"/>
    </x:row>
    <x:row r="508">
      <x:c r="A508" s="7" t="s">
        <x:v>3773</x:v>
      </x:c>
      <x:c r="B508" s="7" t="s">
        <x:v>3774</x:v>
      </x:c>
      <x:c r="C508" s="7" t="s">
        <x:v>3164</x:v>
      </x:c>
      <x:c r="D508" s="7" t="s">
        <x:v>257</x:v>
      </x:c>
      <x:c r="E508" s="7" t="s">
        <x:v>2724</x:v>
      </x:c>
      <x:c r="F508" s="10">
        <x:v>7.64556</x:v>
      </x:c>
      <x:c r="G508" s="10">
        <x:v>99.532204</x:v>
      </x:c>
      <x:c r="H508" s="7" t="s">
        <x:v>1548</x:v>
      </x:c>
      <x:c r="I508" s="10">
        <x:v>3.31</x:v>
      </x:c>
      <x:c r="J508" s="41"/>
      <x:c r="K508" s="41"/>
      <x:c r="L508" s="41"/>
      <x:c r="M508" s="10"/>
      <x:c r="N508" s="7" t="s">
        <x:v>2663</x:v>
      </x:c>
      <x:c r="O508" s="7" t="s">
        <x:v>1539</x:v>
      </x:c>
      <x:c r="P508" s="10">
        <x:v>3.0</x:v>
      </x:c>
      <x:c r="Q508" s="41"/>
      <x:c r="R508" s="10">
        <x:v>82.4</x:v>
      </x:c>
      <x:c r="S508" s="7" t="s">
        <x:v>301</x:v>
      </x:c>
      <x:c r="T508" s="7" t="b">
        <x:v>0</x:v>
      </x:c>
      <x:c r="U508" s="7" t="s">
        <x:v>1541</x:v>
      </x:c>
      <x:c r="V508" s="26" t="s">
        <x:v>1542</x:v>
      </x:c>
      <x:c r="W508" s="7" t="s">
        <x:v>3775</x:v>
      </x:c>
      <x:c r="X508" s="41"/>
      <x:c r="Y508" s="41"/>
      <x:c r="Z508" s="41"/>
    </x:row>
    <x:row r="509">
      <x:c r="A509" s="7" t="s">
        <x:v>3776</x:v>
      </x:c>
      <x:c r="B509" s="7" t="s">
        <x:v>3777</x:v>
      </x:c>
      <x:c r="C509" s="7" t="s">
        <x:v>3778</x:v>
      </x:c>
      <x:c r="D509" s="7" t="s">
        <x:v>207</x:v>
      </x:c>
      <x:c r="E509" s="7"/>
      <x:c r="F509" s="10">
        <x:v>18.507551</x:v>
      </x:c>
      <x:c r="G509" s="10">
        <x:v>98.66203</x:v>
      </x:c>
      <x:c r="H509" s="7" t="s">
        <x:v>1554</x:v>
      </x:c>
      <x:c r="I509" s="10">
        <x:v>429.77</x:v>
      </x:c>
      <x:c r="J509" s="41"/>
      <x:c r="K509" s="41"/>
      <x:c r="L509" s="41"/>
      <x:c r="M509" s="10"/>
      <x:c r="N509" s="7" t="s">
        <x:v>2663</x:v>
      </x:c>
      <x:c r="O509" s="7" t="s">
        <x:v>1539</x:v>
      </x:c>
      <x:c r="P509" s="10">
        <x:v>3.0</x:v>
      </x:c>
      <x:c r="Q509" s="41"/>
      <x:c r="R509" s="10">
        <x:v>12.4</x:v>
      </x:c>
      <x:c r="S509" s="7" t="s">
        <x:v>1540</x:v>
      </x:c>
      <x:c r="T509" s="7" t="b">
        <x:v>0</x:v>
      </x:c>
      <x:c r="U509" s="7" t="s">
        <x:v>1541</x:v>
      </x:c>
      <x:c r="V509" s="26" t="s">
        <x:v>1542</x:v>
      </x:c>
      <x:c r="W509" s="7" t="s">
        <x:v>3779</x:v>
      </x:c>
      <x:c r="X509" s="41"/>
      <x:c r="Y509" s="41"/>
      <x:c r="Z509" s="41"/>
    </x:row>
    <x:row r="510">
      <x:c r="A510" s="7" t="s">
        <x:v>3780</x:v>
      </x:c>
      <x:c r="B510" s="7" t="s">
        <x:v>3781</x:v>
      </x:c>
      <x:c r="C510" s="7" t="s">
        <x:v>3782</x:v>
      </x:c>
      <x:c r="D510" s="7" t="s">
        <x:v>216</x:v>
      </x:c>
      <x:c r="E510" s="7" t="s">
        <x:v>2084</x:v>
      </x:c>
      <x:c r="F510" s="10">
        <x:v>17.61011</x:v>
      </x:c>
      <x:c r="G510" s="10">
        <x:v>100.09943</x:v>
      </x:c>
      <x:c r="H510" s="7" t="s">
        <x:v>1554</x:v>
      </x:c>
      <x:c r="I510" s="10">
        <x:v>52.82</x:v>
      </x:c>
      <x:c r="J510" s="41"/>
      <x:c r="K510" s="41"/>
      <x:c r="L510" s="41"/>
      <x:c r="M510" s="10"/>
      <x:c r="N510" s="7" t="s">
        <x:v>2663</x:v>
      </x:c>
      <x:c r="O510" s="7" t="s">
        <x:v>1539</x:v>
      </x:c>
      <x:c r="P510" s="10">
        <x:v>3.0</x:v>
      </x:c>
      <x:c r="Q510" s="41"/>
      <x:c r="R510" s="10">
        <x:v>12.4</x:v>
      </x:c>
      <x:c r="S510" s="7" t="s">
        <x:v>1540</x:v>
      </x:c>
      <x:c r="T510" s="7" t="b">
        <x:v>0</x:v>
      </x:c>
      <x:c r="U510" s="7" t="s">
        <x:v>1541</x:v>
      </x:c>
      <x:c r="V510" s="26" t="s">
        <x:v>1542</x:v>
      </x:c>
      <x:c r="W510" s="7" t="s">
        <x:v>3783</x:v>
      </x:c>
      <x:c r="X510" s="41"/>
      <x:c r="Y510" s="41"/>
      <x:c r="Z510" s="41"/>
    </x:row>
    <x:row r="511">
      <x:c r="A511" s="7" t="s">
        <x:v>3784</x:v>
      </x:c>
      <x:c r="B511" s="7" t="s">
        <x:v>3785</x:v>
      </x:c>
      <x:c r="C511" s="7" t="s">
        <x:v>3786</x:v>
      </x:c>
      <x:c r="D511" s="7" t="s">
        <x:v>197</x:v>
      </x:c>
      <x:c r="E511" s="7" t="s">
        <x:v>2196</x:v>
      </x:c>
      <x:c r="F511" s="10">
        <x:v>10.203275</x:v>
      </x:c>
      <x:c r="G511" s="10">
        <x:v>99.04355</x:v>
      </x:c>
      <x:c r="H511" s="7" t="s">
        <x:v>1554</x:v>
      </x:c>
      <x:c r="I511" s="10">
        <x:v>1.8</x:v>
      </x:c>
      <x:c r="J511" s="41"/>
      <x:c r="K511" s="41"/>
      <x:c r="L511" s="41"/>
      <x:c r="M511" s="10"/>
      <x:c r="N511" s="7" t="s">
        <x:v>2663</x:v>
      </x:c>
      <x:c r="O511" s="7" t="s">
        <x:v>1539</x:v>
      </x:c>
      <x:c r="P511" s="10">
        <x:v>3.0</x:v>
      </x:c>
      <x:c r="Q511" s="41"/>
      <x:c r="R511" s="10">
        <x:v>12.4</x:v>
      </x:c>
      <x:c r="S511" s="7" t="s">
        <x:v>1540</x:v>
      </x:c>
      <x:c r="T511" s="7" t="b">
        <x:v>0</x:v>
      </x:c>
      <x:c r="U511" s="7" t="s">
        <x:v>1541</x:v>
      </x:c>
      <x:c r="V511" s="26" t="s">
        <x:v>1542</x:v>
      </x:c>
      <x:c r="W511" s="7" t="s">
        <x:v>3787</x:v>
      </x:c>
      <x:c r="X511" s="41"/>
      <x:c r="Y511" s="41"/>
      <x:c r="Z511" s="41"/>
    </x:row>
    <x:row r="512">
      <x:c r="A512" s="7" t="s">
        <x:v>3788</x:v>
      </x:c>
      <x:c r="B512" s="7" t="s">
        <x:v>3789</x:v>
      </x:c>
      <x:c r="C512" s="7" t="s">
        <x:v>3790</x:v>
      </x:c>
      <x:c r="D512" s="7" t="s">
        <x:v>260</x:v>
      </x:c>
      <x:c r="E512" s="7" t="s">
        <x:v>2321</x:v>
      </x:c>
      <x:c r="F512" s="10">
        <x:v>6.552798</x:v>
      </x:c>
      <x:c r="G512" s="10">
        <x:v>101.266294</x:v>
      </x:c>
      <x:c r="H512" s="7" t="s">
        <x:v>1548</x:v>
      </x:c>
      <x:c r="I512" s="10">
        <x:v>12.75</x:v>
      </x:c>
      <x:c r="J512" s="41"/>
      <x:c r="K512" s="41"/>
      <x:c r="L512" s="41"/>
      <x:c r="M512" s="10">
        <x:v>16.5</x:v>
      </x:c>
      <x:c r="N512" s="7" t="s">
        <x:v>2663</x:v>
      </x:c>
      <x:c r="O512" s="7" t="s">
        <x:v>1539</x:v>
      </x:c>
      <x:c r="P512" s="10">
        <x:v>3.0</x:v>
      </x:c>
      <x:c r="Q512" s="41"/>
      <x:c r="R512" s="10">
        <x:v>82.4</x:v>
      </x:c>
      <x:c r="S512" s="7" t="s">
        <x:v>301</x:v>
      </x:c>
      <x:c r="T512" s="7" t="b">
        <x:v>0</x:v>
      </x:c>
      <x:c r="U512" s="7" t="s">
        <x:v>1541</x:v>
      </x:c>
      <x:c r="V512" s="26" t="s">
        <x:v>1542</x:v>
      </x:c>
      <x:c r="W512" s="7" t="s">
        <x:v>3791</x:v>
      </x:c>
      <x:c r="X512" s="41"/>
      <x:c r="Y512" s="41"/>
      <x:c r="Z512" s="41"/>
    </x:row>
    <x:row r="513">
      <x:c r="A513" s="7" t="s">
        <x:v>3792</x:v>
      </x:c>
      <x:c r="B513" s="7" t="s">
        <x:v>3793</x:v>
      </x:c>
      <x:c r="C513" s="7" t="s">
        <x:v>3794</x:v>
      </x:c>
      <x:c r="D513" s="7" t="s">
        <x:v>252</x:v>
      </x:c>
      <x:c r="E513" s="7" t="s">
        <x:v>3795</x:v>
      </x:c>
      <x:c r="F513" s="10">
        <x:v>8.83334</x:v>
      </x:c>
      <x:c r="G513" s="10">
        <x:v>98.458527</x:v>
      </x:c>
      <x:c r="H513" s="7" t="s">
        <x:v>1548</x:v>
      </x:c>
      <x:c r="I513" s="10">
        <x:v>13.84</x:v>
      </x:c>
      <x:c r="J513" s="41"/>
      <x:c r="K513" s="41"/>
      <x:c r="L513" s="41"/>
      <x:c r="M513" s="41"/>
      <x:c r="N513" s="7" t="s">
        <x:v>2663</x:v>
      </x:c>
      <x:c r="O513" s="7" t="s">
        <x:v>1539</x:v>
      </x:c>
      <x:c r="P513" s="10">
        <x:v>3.0</x:v>
      </x:c>
      <x:c r="Q513" s="41"/>
      <x:c r="R513" s="10">
        <x:v>82.4</x:v>
      </x:c>
      <x:c r="S513" s="7" t="s">
        <x:v>301</x:v>
      </x:c>
      <x:c r="T513" s="7" t="b">
        <x:v>0</x:v>
      </x:c>
      <x:c r="U513" s="7" t="s">
        <x:v>1541</x:v>
      </x:c>
      <x:c r="V513" s="26" t="s">
        <x:v>1542</x:v>
      </x:c>
      <x:c r="W513" s="7" t="s">
        <x:v>3796</x:v>
      </x:c>
      <x:c r="X513" s="41"/>
      <x:c r="Y513" s="41"/>
      <x:c r="Z513" s="41"/>
    </x:row>
    <x:row r="514">
      <x:c r="A514" s="7" t="s">
        <x:v>3797</x:v>
      </x:c>
      <x:c r="B514" s="7" t="s">
        <x:v>3798</x:v>
      </x:c>
      <x:c r="C514" s="7" t="s">
        <x:v>3799</x:v>
      </x:c>
      <x:c r="D514" s="7" t="s">
        <x:v>207</x:v>
      </x:c>
      <x:c r="E514" s="7" t="s">
        <x:v>3800</x:v>
      </x:c>
      <x:c r="F514" s="10">
        <x:v>19.369551</x:v>
      </x:c>
      <x:c r="G514" s="10">
        <x:v>98.969101</x:v>
      </x:c>
      <x:c r="H514" s="7" t="s">
        <x:v>1548</x:v>
      </x:c>
      <x:c r="I514" s="10">
        <x:v>380.14</x:v>
      </x:c>
      <x:c r="J514" s="41"/>
      <x:c r="K514" s="41"/>
      <x:c r="L514" s="41"/>
      <x:c r="M514" s="41"/>
      <x:c r="N514" s="7" t="s">
        <x:v>2663</x:v>
      </x:c>
      <x:c r="O514" s="7" t="s">
        <x:v>1539</x:v>
      </x:c>
      <x:c r="P514" s="10">
        <x:v>3.0</x:v>
      </x:c>
      <x:c r="Q514" s="41"/>
      <x:c r="R514" s="10">
        <x:v>82.4</x:v>
      </x:c>
      <x:c r="S514" s="7" t="s">
        <x:v>301</x:v>
      </x:c>
      <x:c r="T514" s="7" t="b">
        <x:v>0</x:v>
      </x:c>
      <x:c r="U514" s="7" t="s">
        <x:v>1541</x:v>
      </x:c>
      <x:c r="V514" s="26" t="s">
        <x:v>1542</x:v>
      </x:c>
      <x:c r="W514" s="7" t="s">
        <x:v>3801</x:v>
      </x:c>
      <x:c r="X514" s="41"/>
      <x:c r="Y514" s="41"/>
      <x:c r="Z514" s="41"/>
    </x:row>
    <x:row r="515">
      <x:c r="A515" s="7" t="s">
        <x:v>3802</x:v>
      </x:c>
      <x:c r="B515" s="7" t="s">
        <x:v>3803</x:v>
      </x:c>
      <x:c r="C515" s="7" t="s">
        <x:v>3804</x:v>
      </x:c>
      <x:c r="D515" s="7" t="s">
        <x:v>211</x:v>
      </x:c>
      <x:c r="E515" s="7"/>
      <x:c r="F515" s="10">
        <x:v>19.165922</x:v>
      </x:c>
      <x:c r="G515" s="10">
        <x:v>99.9343</x:v>
      </x:c>
      <x:c r="H515" s="7" t="s">
        <x:v>1554</x:v>
      </x:c>
      <x:c r="I515" s="10">
        <x:v>387.23</x:v>
      </x:c>
      <x:c r="J515" s="41"/>
      <x:c r="K515" s="41"/>
      <x:c r="L515" s="41"/>
      <x:c r="M515" s="41"/>
      <x:c r="N515" s="7" t="s">
        <x:v>2663</x:v>
      </x:c>
      <x:c r="O515" s="7" t="s">
        <x:v>1539</x:v>
      </x:c>
      <x:c r="P515" s="10">
        <x:v>3.0</x:v>
      </x:c>
      <x:c r="Q515" s="41"/>
      <x:c r="R515" s="10">
        <x:v>12.4</x:v>
      </x:c>
      <x:c r="S515" s="7" t="s">
        <x:v>1540</x:v>
      </x:c>
      <x:c r="T515" s="7" t="b">
        <x:v>0</x:v>
      </x:c>
      <x:c r="U515" s="7" t="s">
        <x:v>1541</x:v>
      </x:c>
      <x:c r="V515" s="26" t="s">
        <x:v>1542</x:v>
      </x:c>
      <x:c r="W515" s="7" t="s">
        <x:v>3805</x:v>
      </x:c>
      <x:c r="X515" s="41"/>
      <x:c r="Y515" s="41"/>
      <x:c r="Z515" s="41"/>
    </x:row>
    <x:row r="516">
      <x:c r="A516" s="7" t="s">
        <x:v>3806</x:v>
      </x:c>
      <x:c r="B516" s="7" t="s">
        <x:v>3807</x:v>
      </x:c>
      <x:c r="C516" s="7" t="s">
        <x:v>3808</x:v>
      </x:c>
      <x:c r="D516" s="7" t="s">
        <x:v>249</x:v>
      </x:c>
      <x:c r="E516" s="7" t="s">
        <x:v>3809</x:v>
      </x:c>
      <x:c r="F516" s="10">
        <x:v>9.282515</x:v>
      </x:c>
      <x:c r="G516" s="10">
        <x:v>98.87693</x:v>
      </x:c>
      <x:c r="H516" s="7" t="s">
        <x:v>1554</x:v>
      </x:c>
      <x:c r="I516" s="10">
        <x:v>47.3</x:v>
      </x:c>
      <x:c r="J516" s="41"/>
      <x:c r="K516" s="41"/>
      <x:c r="L516" s="41"/>
      <x:c r="M516" s="41"/>
      <x:c r="N516" s="7" t="s">
        <x:v>2663</x:v>
      </x:c>
      <x:c r="O516" s="7" t="s">
        <x:v>1539</x:v>
      </x:c>
      <x:c r="P516" s="10">
        <x:v>3.0</x:v>
      </x:c>
      <x:c r="Q516" s="41"/>
      <x:c r="R516" s="10">
        <x:v>12.4</x:v>
      </x:c>
      <x:c r="S516" s="7" t="s">
        <x:v>1540</x:v>
      </x:c>
      <x:c r="T516" s="7" t="b">
        <x:v>0</x:v>
      </x:c>
      <x:c r="U516" s="7" t="s">
        <x:v>1541</x:v>
      </x:c>
      <x:c r="V516" s="26" t="s">
        <x:v>1542</x:v>
      </x:c>
      <x:c r="W516" s="7" t="s">
        <x:v>3810</x:v>
      </x:c>
      <x:c r="X516" s="41"/>
      <x:c r="Y516" s="41"/>
      <x:c r="Z516" s="41"/>
    </x:row>
    <x:row r="517">
      <x:c r="A517" s="7" t="s">
        <x:v>3811</x:v>
      </x:c>
      <x:c r="B517" s="7" t="s">
        <x:v>3812</x:v>
      </x:c>
      <x:c r="C517" s="7" t="s">
        <x:v>3813</x:v>
      </x:c>
      <x:c r="D517" s="7" t="s">
        <x:v>122</x:v>
      </x:c>
      <x:c r="E517" s="7" t="s">
        <x:v>3037</x:v>
      </x:c>
      <x:c r="F517" s="10">
        <x:v>14.49406</x:v>
      </x:c>
      <x:c r="G517" s="10">
        <x:v>101.684914</x:v>
      </x:c>
      <x:c r="H517" s="7" t="s">
        <x:v>1777</x:v>
      </x:c>
      <x:c r="I517" s="10">
        <x:v>387.3</x:v>
      </x:c>
      <x:c r="J517" s="41"/>
      <x:c r="K517" s="41"/>
      <x:c r="L517" s="10"/>
      <x:c r="M517" s="10"/>
      <x:c r="N517" s="7" t="s">
        <x:v>2663</x:v>
      </x:c>
      <x:c r="O517" s="7" t="s">
        <x:v>1539</x:v>
      </x:c>
      <x:c r="P517" s="10">
        <x:v>3.0</x:v>
      </x:c>
      <x:c r="Q517" s="41"/>
      <x:c r="R517" s="10">
        <x:v>562.4</x:v>
      </x:c>
      <x:c r="S517" s="7" t="s">
        <x:v>301</x:v>
      </x:c>
      <x:c r="T517" s="7" t="b">
        <x:v>0</x:v>
      </x:c>
      <x:c r="U517" s="7" t="s">
        <x:v>1541</x:v>
      </x:c>
      <x:c r="V517" s="26" t="s">
        <x:v>1542</x:v>
      </x:c>
      <x:c r="W517" s="7" t="s">
        <x:v>3814</x:v>
      </x:c>
      <x:c r="X517" s="41"/>
      <x:c r="Y517" s="41"/>
      <x:c r="Z517" s="41"/>
    </x:row>
    <x:row r="518">
      <x:c r="A518" s="7" t="s">
        <x:v>3815</x:v>
      </x:c>
      <x:c r="B518" s="7" t="s">
        <x:v>3816</x:v>
      </x:c>
      <x:c r="C518" s="7" t="s">
        <x:v>3817</x:v>
      </x:c>
      <x:c r="D518" s="7" t="s">
        <x:v>217</x:v>
      </x:c>
      <x:c r="E518" s="7"/>
      <x:c r="F518" s="10">
        <x:v>17.586782</x:v>
      </x:c>
      <x:c r="G518" s="10">
        <x:v>99.81109</x:v>
      </x:c>
      <x:c r="H518" s="7" t="s">
        <x:v>1554</x:v>
      </x:c>
      <x:c r="I518" s="10">
        <x:v>82.91</x:v>
      </x:c>
      <x:c r="J518" s="41"/>
      <x:c r="K518" s="41"/>
      <x:c r="L518" s="10"/>
      <x:c r="M518" s="10"/>
      <x:c r="N518" s="7" t="s">
        <x:v>2663</x:v>
      </x:c>
      <x:c r="O518" s="7" t="s">
        <x:v>1539</x:v>
      </x:c>
      <x:c r="P518" s="10">
        <x:v>3.0</x:v>
      </x:c>
      <x:c r="Q518" s="41"/>
      <x:c r="R518" s="10">
        <x:v>12.4</x:v>
      </x:c>
      <x:c r="S518" s="7" t="s">
        <x:v>1540</x:v>
      </x:c>
      <x:c r="T518" s="7" t="b">
        <x:v>0</x:v>
      </x:c>
      <x:c r="U518" s="7" t="s">
        <x:v>1541</x:v>
      </x:c>
      <x:c r="V518" s="26" t="s">
        <x:v>1542</x:v>
      </x:c>
      <x:c r="W518" s="7" t="s">
        <x:v>3818</x:v>
      </x:c>
      <x:c r="X518" s="41"/>
      <x:c r="Y518" s="41"/>
      <x:c r="Z518" s="41"/>
    </x:row>
    <x:row r="519">
      <x:c r="A519" s="7" t="s">
        <x:v>3819</x:v>
      </x:c>
      <x:c r="B519" s="7" t="s">
        <x:v>3820</x:v>
      </x:c>
      <x:c r="C519" s="7" t="s">
        <x:v>3821</x:v>
      </x:c>
      <x:c r="D519" s="7" t="s">
        <x:v>207</x:v>
      </x:c>
      <x:c r="E519" s="7" t="s">
        <x:v>2074</x:v>
      </x:c>
      <x:c r="F519" s="10">
        <x:v>18.17859</x:v>
      </x:c>
      <x:c r="G519" s="10">
        <x:v>98.63017</x:v>
      </x:c>
      <x:c r="H519" s="7" t="s">
        <x:v>1554</x:v>
      </x:c>
      <x:c r="I519" s="10">
        <x:v>256.84</x:v>
      </x:c>
      <x:c r="J519" s="41"/>
      <x:c r="K519" s="41"/>
      <x:c r="L519" s="10"/>
      <x:c r="M519" s="10"/>
      <x:c r="N519" s="7" t="s">
        <x:v>2663</x:v>
      </x:c>
      <x:c r="O519" s="7" t="s">
        <x:v>1539</x:v>
      </x:c>
      <x:c r="P519" s="10">
        <x:v>3.0</x:v>
      </x:c>
      <x:c r="Q519" s="41"/>
      <x:c r="R519" s="10">
        <x:v>12.4</x:v>
      </x:c>
      <x:c r="S519" s="7" t="s">
        <x:v>1540</x:v>
      </x:c>
      <x:c r="T519" s="7" t="b">
        <x:v>0</x:v>
      </x:c>
      <x:c r="U519" s="7" t="s">
        <x:v>1541</x:v>
      </x:c>
      <x:c r="V519" s="26" t="s">
        <x:v>1542</x:v>
      </x:c>
      <x:c r="W519" s="7" t="s">
        <x:v>3822</x:v>
      </x:c>
      <x:c r="X519" s="41"/>
      <x:c r="Y519" s="41"/>
      <x:c r="Z519" s="41"/>
    </x:row>
    <x:row r="520">
      <x:c r="A520" s="7" t="s">
        <x:v>3823</x:v>
      </x:c>
      <x:c r="B520" s="7" t="s">
        <x:v>3824</x:v>
      </x:c>
      <x:c r="C520" s="7" t="s">
        <x:v>3825</x:v>
      </x:c>
      <x:c r="D520" s="7" t="s">
        <x:v>225</x:v>
      </x:c>
      <x:c r="E520" s="7"/>
      <x:c r="F520" s="10">
        <x:v>12.5175</x:v>
      </x:c>
      <x:c r="G520" s="10">
        <x:v>99.97219</x:v>
      </x:c>
      <x:c r="H520" s="7" t="s">
        <x:v>1554</x:v>
      </x:c>
      <x:c r="I520" s="10">
        <x:v>0.77</x:v>
      </x:c>
      <x:c r="J520" s="41"/>
      <x:c r="K520" s="41"/>
      <x:c r="L520" s="10"/>
      <x:c r="M520" s="10"/>
      <x:c r="N520" s="7" t="s">
        <x:v>2663</x:v>
      </x:c>
      <x:c r="O520" s="7" t="s">
        <x:v>1539</x:v>
      </x:c>
      <x:c r="P520" s="10">
        <x:v>3.0</x:v>
      </x:c>
      <x:c r="Q520" s="41"/>
      <x:c r="R520" s="10">
        <x:v>12.4</x:v>
      </x:c>
      <x:c r="S520" s="7" t="s">
        <x:v>1540</x:v>
      </x:c>
      <x:c r="T520" s="7" t="b">
        <x:v>0</x:v>
      </x:c>
      <x:c r="U520" s="7" t="s">
        <x:v>1541</x:v>
      </x:c>
      <x:c r="V520" s="26" t="s">
        <x:v>1542</x:v>
      </x:c>
      <x:c r="W520" s="7" t="s">
        <x:v>3826</x:v>
      </x:c>
      <x:c r="X520" s="41"/>
      <x:c r="Y520" s="41"/>
      <x:c r="Z520" s="41"/>
    </x:row>
    <x:row r="521">
      <x:c r="A521" s="7" t="s">
        <x:v>3827</x:v>
      </x:c>
      <x:c r="B521" s="7" t="s">
        <x:v>3828</x:v>
      </x:c>
      <x:c r="C521" s="7" t="s">
        <x:v>3829</x:v>
      </x:c>
      <x:c r="D521" s="7" t="s">
        <x:v>208</x:v>
      </x:c>
      <x:c r="E521" s="7"/>
      <x:c r="F521" s="10">
        <x:v>20.444576</x:v>
      </x:c>
      <x:c r="G521" s="10">
        <x:v>99.87177</x:v>
      </x:c>
      <x:c r="H521" s="7" t="s">
        <x:v>1554</x:v>
      </x:c>
      <x:c r="I521" s="10">
        <x:v>396.24</x:v>
      </x:c>
      <x:c r="J521" s="41"/>
      <x:c r="K521" s="41"/>
      <x:c r="L521" s="10"/>
      <x:c r="M521" s="10"/>
      <x:c r="N521" s="7" t="s">
        <x:v>2663</x:v>
      </x:c>
      <x:c r="O521" s="7" t="s">
        <x:v>1539</x:v>
      </x:c>
      <x:c r="P521" s="10">
        <x:v>3.0</x:v>
      </x:c>
      <x:c r="Q521" s="41"/>
      <x:c r="R521" s="10">
        <x:v>12.4</x:v>
      </x:c>
      <x:c r="S521" s="7" t="s">
        <x:v>1540</x:v>
      </x:c>
      <x:c r="T521" s="7" t="b">
        <x:v>0</x:v>
      </x:c>
      <x:c r="U521" s="7" t="s">
        <x:v>1541</x:v>
      </x:c>
      <x:c r="V521" s="26" t="s">
        <x:v>1542</x:v>
      </x:c>
      <x:c r="W521" s="7" t="s">
        <x:v>3830</x:v>
      </x:c>
      <x:c r="X521" s="41"/>
      <x:c r="Y521" s="41"/>
      <x:c r="Z521" s="41"/>
    </x:row>
    <x:row r="522">
      <x:c r="A522" s="7" t="s">
        <x:v>3831</x:v>
      </x:c>
      <x:c r="B522" s="7" t="s">
        <x:v>3832</x:v>
      </x:c>
      <x:c r="C522" s="7" t="s">
        <x:v>3833</x:v>
      </x:c>
      <x:c r="D522" s="7" t="s">
        <x:v>246</x:v>
      </x:c>
      <x:c r="E522" s="7" t="s">
        <x:v>3834</x:v>
      </x:c>
      <x:c r="F522" s="10">
        <x:v>15.80624</x:v>
      </x:c>
      <x:c r="G522" s="10">
        <x:v>104.32795</x:v>
      </x:c>
      <x:c r="H522" s="7" t="s">
        <x:v>1548</x:v>
      </x:c>
      <x:c r="I522" s="10">
        <x:v>125.7</x:v>
      </x:c>
      <x:c r="J522" s="41"/>
      <x:c r="K522" s="41"/>
      <x:c r="L522" s="41"/>
      <x:c r="M522" s="41"/>
      <x:c r="N522" s="7" t="s">
        <x:v>2663</x:v>
      </x:c>
      <x:c r="O522" s="7" t="s">
        <x:v>1539</x:v>
      </x:c>
      <x:c r="P522" s="10">
        <x:v>3.0</x:v>
      </x:c>
      <x:c r="Q522" s="41"/>
      <x:c r="R522" s="10">
        <x:v>82.4</x:v>
      </x:c>
      <x:c r="S522" s="7" t="s">
        <x:v>301</x:v>
      </x:c>
      <x:c r="T522" s="7" t="b">
        <x:v>0</x:v>
      </x:c>
      <x:c r="U522" s="7" t="s">
        <x:v>1541</x:v>
      </x:c>
      <x:c r="V522" s="26" t="s">
        <x:v>1542</x:v>
      </x:c>
      <x:c r="W522" s="7" t="s">
        <x:v>3835</x:v>
      </x:c>
      <x:c r="X522" s="41"/>
      <x:c r="Y522" s="41"/>
      <x:c r="Z522" s="41"/>
    </x:row>
    <x:row r="523">
      <x:c r="A523" s="7" t="s">
        <x:v>3836</x:v>
      </x:c>
      <x:c r="B523" s="7" t="s">
        <x:v>3837</x:v>
      </x:c>
      <x:c r="C523" s="7" t="s">
        <x:v>3838</x:v>
      </x:c>
      <x:c r="D523" s="7" t="s">
        <x:v>260</x:v>
      </x:c>
      <x:c r="E523" s="7" t="s">
        <x:v>2321</x:v>
      </x:c>
      <x:c r="F523" s="10">
        <x:v>6.552715</x:v>
      </x:c>
      <x:c r="G523" s="10">
        <x:v>101.266197</x:v>
      </x:c>
      <x:c r="H523" s="7" t="s">
        <x:v>1658</x:v>
      </x:c>
      <x:c r="I523" s="10">
        <x:v>12.72</x:v>
      </x:c>
      <x:c r="J523" s="41"/>
      <x:c r="K523" s="41"/>
      <x:c r="L523" s="10">
        <x:v>16.0</x:v>
      </x:c>
      <x:c r="M523" s="10">
        <x:v>16.5</x:v>
      </x:c>
      <x:c r="N523" s="7" t="s">
        <x:v>2663</x:v>
      </x:c>
      <x:c r="O523" s="7" t="s">
        <x:v>1539</x:v>
      </x:c>
      <x:c r="P523" s="10">
        <x:v>3.0</x:v>
      </x:c>
      <x:c r="Q523" s="41"/>
      <x:c r="R523" s="10">
        <x:v>22.4</x:v>
      </x:c>
      <x:c r="S523" s="7" t="s">
        <x:v>1540</x:v>
      </x:c>
      <x:c r="T523" s="7" t="b">
        <x:v>0</x:v>
      </x:c>
      <x:c r="U523" s="7" t="s">
        <x:v>1541</x:v>
      </x:c>
      <x:c r="V523" s="26" t="s">
        <x:v>1542</x:v>
      </x:c>
      <x:c r="W523" s="7" t="s">
        <x:v>3839</x:v>
      </x:c>
      <x:c r="X523" s="41"/>
      <x:c r="Y523" s="41"/>
      <x:c r="Z523" s="41"/>
    </x:row>
    <x:row r="524">
      <x:c r="A524" s="7" t="s">
        <x:v>3840</x:v>
      </x:c>
      <x:c r="B524" s="7" t="s">
        <x:v>3841</x:v>
      </x:c>
      <x:c r="C524" s="7" t="s">
        <x:v>3842</x:v>
      </x:c>
      <x:c r="D524" s="7" t="s">
        <x:v>211</x:v>
      </x:c>
      <x:c r="E524" s="7" t="s">
        <x:v>1734</x:v>
      </x:c>
      <x:c r="F524" s="10">
        <x:v>18.94628</x:v>
      </x:c>
      <x:c r="G524" s="10">
        <x:v>100.258949</x:v>
      </x:c>
      <x:c r="H524" s="7" t="s">
        <x:v>1548</x:v>
      </x:c>
      <x:c r="I524" s="10">
        <x:v>259.0</x:v>
      </x:c>
      <x:c r="J524" s="41"/>
      <x:c r="K524" s="41"/>
      <x:c r="L524" s="41"/>
      <x:c r="M524" s="41"/>
      <x:c r="N524" s="7" t="s">
        <x:v>2663</x:v>
      </x:c>
      <x:c r="O524" s="7" t="s">
        <x:v>1539</x:v>
      </x:c>
      <x:c r="P524" s="10">
        <x:v>3.0</x:v>
      </x:c>
      <x:c r="Q524" s="41"/>
      <x:c r="R524" s="10">
        <x:v>82.4</x:v>
      </x:c>
      <x:c r="S524" s="7" t="s">
        <x:v>301</x:v>
      </x:c>
      <x:c r="T524" s="7" t="b">
        <x:v>0</x:v>
      </x:c>
      <x:c r="U524" s="7" t="s">
        <x:v>1541</x:v>
      </x:c>
      <x:c r="V524" s="26" t="s">
        <x:v>1542</x:v>
      </x:c>
      <x:c r="W524" s="7" t="s">
        <x:v>3843</x:v>
      </x:c>
      <x:c r="X524" s="41"/>
      <x:c r="Y524" s="41"/>
      <x:c r="Z524" s="41"/>
    </x:row>
    <x:row r="525">
      <x:c r="A525" s="7" t="s">
        <x:v>3844</x:v>
      </x:c>
      <x:c r="B525" s="7" t="s">
        <x:v>3845</x:v>
      </x:c>
      <x:c r="C525" s="7" t="s">
        <x:v>3846</x:v>
      </x:c>
      <x:c r="D525" s="7" t="s">
        <x:v>249</x:v>
      </x:c>
      <x:c r="E525" s="7"/>
      <x:c r="F525" s="10">
        <x:v>9.029581</x:v>
      </x:c>
      <x:c r="G525" s="10">
        <x:v>98.969587</x:v>
      </x:c>
      <x:c r="H525" s="7" t="s">
        <x:v>1658</x:v>
      </x:c>
      <x:c r="I525" s="10">
        <x:v>2.37</x:v>
      </x:c>
      <x:c r="J525" s="41"/>
      <x:c r="K525" s="41"/>
      <x:c r="L525" s="41"/>
      <x:c r="M525" s="10">
        <x:v>10.2</x:v>
      </x:c>
      <x:c r="N525" s="7" t="s">
        <x:v>2663</x:v>
      </x:c>
      <x:c r="O525" s="7" t="s">
        <x:v>1539</x:v>
      </x:c>
      <x:c r="P525" s="10">
        <x:v>3.0</x:v>
      </x:c>
      <x:c r="Q525" s="41"/>
      <x:c r="R525" s="10">
        <x:v>22.4</x:v>
      </x:c>
      <x:c r="S525" s="7" t="s">
        <x:v>1540</x:v>
      </x:c>
      <x:c r="T525" s="7" t="b">
        <x:v>0</x:v>
      </x:c>
      <x:c r="U525" s="7" t="s">
        <x:v>1541</x:v>
      </x:c>
      <x:c r="V525" s="26" t="s">
        <x:v>1542</x:v>
      </x:c>
      <x:c r="W525" s="7" t="s">
        <x:v>3847</x:v>
      </x:c>
      <x:c r="X525" s="41"/>
      <x:c r="Y525" s="41"/>
      <x:c r="Z525" s="41"/>
    </x:row>
    <x:row r="526">
      <x:c r="A526" s="7" t="s">
        <x:v>3848</x:v>
      </x:c>
      <x:c r="B526" s="7" t="s">
        <x:v>3849</x:v>
      </x:c>
      <x:c r="C526" s="7" t="s">
        <x:v>3850</x:v>
      </x:c>
      <x:c r="D526" s="7" t="s">
        <x:v>27</x:v>
      </x:c>
      <x:c r="E526" s="7" t="s">
        <x:v>2084</x:v>
      </x:c>
      <x:c r="F526" s="10">
        <x:v>16.67167</x:v>
      </x:c>
      <x:c r="G526" s="10">
        <x:v>100.24581</x:v>
      </x:c>
      <x:c r="H526" s="7" t="s">
        <x:v>1554</x:v>
      </x:c>
      <x:c r="I526" s="10">
        <x:v>37.56</x:v>
      </x:c>
      <x:c r="J526" s="41"/>
      <x:c r="K526" s="41"/>
      <x:c r="L526" s="41"/>
      <x:c r="M526" s="41"/>
      <x:c r="N526" s="7" t="s">
        <x:v>2663</x:v>
      </x:c>
      <x:c r="O526" s="7" t="s">
        <x:v>1539</x:v>
      </x:c>
      <x:c r="P526" s="10">
        <x:v>3.0</x:v>
      </x:c>
      <x:c r="Q526" s="41"/>
      <x:c r="R526" s="10">
        <x:v>12.4</x:v>
      </x:c>
      <x:c r="S526" s="7" t="s">
        <x:v>1540</x:v>
      </x:c>
      <x:c r="T526" s="7" t="b">
        <x:v>0</x:v>
      </x:c>
      <x:c r="U526" s="7" t="s">
        <x:v>1541</x:v>
      </x:c>
      <x:c r="V526" s="26" t="s">
        <x:v>1542</x:v>
      </x:c>
      <x:c r="W526" s="7" t="s">
        <x:v>3851</x:v>
      </x:c>
      <x:c r="X526" s="41"/>
      <x:c r="Y526" s="41"/>
      <x:c r="Z526" s="41"/>
    </x:row>
    <x:row r="527">
      <x:c r="A527" s="7" t="s">
        <x:v>3852</x:v>
      </x:c>
      <x:c r="B527" s="7" t="s">
        <x:v>3853</x:v>
      </x:c>
      <x:c r="C527" s="7" t="s">
        <x:v>3854</x:v>
      </x:c>
      <x:c r="D527" s="7" t="s">
        <x:v>248</x:v>
      </x:c>
      <x:c r="E527" s="7" t="s">
        <x:v>2668</x:v>
      </x:c>
      <x:c r="F527" s="10">
        <x:v>8.218343</x:v>
      </x:c>
      <x:c r="G527" s="10">
        <x:v>99.71981</x:v>
      </x:c>
      <x:c r="H527" s="7" t="s">
        <x:v>1554</x:v>
      </x:c>
      <x:c r="I527" s="10">
        <x:v>93.31</x:v>
      </x:c>
      <x:c r="J527" s="41"/>
      <x:c r="K527" s="41"/>
      <x:c r="L527" s="41"/>
      <x:c r="M527" s="10"/>
      <x:c r="N527" s="7" t="s">
        <x:v>2663</x:v>
      </x:c>
      <x:c r="O527" s="7" t="s">
        <x:v>1539</x:v>
      </x:c>
      <x:c r="P527" s="10">
        <x:v>3.0</x:v>
      </x:c>
      <x:c r="Q527" s="41"/>
      <x:c r="R527" s="10">
        <x:v>12.4</x:v>
      </x:c>
      <x:c r="S527" s="7" t="s">
        <x:v>1540</x:v>
      </x:c>
      <x:c r="T527" s="7" t="b">
        <x:v>0</x:v>
      </x:c>
      <x:c r="U527" s="7" t="s">
        <x:v>1541</x:v>
      </x:c>
      <x:c r="V527" s="26" t="s">
        <x:v>1542</x:v>
      </x:c>
      <x:c r="W527" s="7" t="s">
        <x:v>3855</x:v>
      </x:c>
      <x:c r="X527" s="41"/>
      <x:c r="Y527" s="41"/>
      <x:c r="Z527" s="41"/>
    </x:row>
    <x:row r="528">
      <x:c r="A528" s="7" t="s">
        <x:v>3856</x:v>
      </x:c>
      <x:c r="B528" s="7" t="s">
        <x:v>3857</x:v>
      </x:c>
      <x:c r="C528" s="7" t="s">
        <x:v>3858</x:v>
      </x:c>
      <x:c r="D528" s="7" t="s">
        <x:v>255</x:v>
      </x:c>
      <x:c r="E528" s="7" t="s">
        <x:v>2060</x:v>
      </x:c>
      <x:c r="F528" s="10">
        <x:v>6.93124</x:v>
      </x:c>
      <x:c r="G528" s="10">
        <x:v>100.439857</x:v>
      </x:c>
      <x:c r="H528" s="7" t="s">
        <x:v>1548</x:v>
      </x:c>
      <x:c r="I528" s="10">
        <x:v>2.76</x:v>
      </x:c>
      <x:c r="J528" s="41"/>
      <x:c r="K528" s="41"/>
      <x:c r="L528" s="41"/>
      <x:c r="M528" s="10"/>
      <x:c r="N528" s="7" t="s">
        <x:v>2663</x:v>
      </x:c>
      <x:c r="O528" s="7" t="s">
        <x:v>1539</x:v>
      </x:c>
      <x:c r="P528" s="10">
        <x:v>3.0</x:v>
      </x:c>
      <x:c r="Q528" s="41"/>
      <x:c r="R528" s="10">
        <x:v>82.4</x:v>
      </x:c>
      <x:c r="S528" s="7" t="s">
        <x:v>301</x:v>
      </x:c>
      <x:c r="T528" s="7" t="b">
        <x:v>0</x:v>
      </x:c>
      <x:c r="U528" s="7" t="s">
        <x:v>1541</x:v>
      </x:c>
      <x:c r="V528" s="26" t="s">
        <x:v>1542</x:v>
      </x:c>
      <x:c r="W528" s="7" t="s">
        <x:v>3859</x:v>
      </x:c>
      <x:c r="X528" s="41"/>
      <x:c r="Y528" s="41"/>
      <x:c r="Z528" s="41"/>
    </x:row>
    <x:row r="529">
      <x:c r="A529" s="7" t="s">
        <x:v>3860</x:v>
      </x:c>
      <x:c r="B529" s="7" t="s">
        <x:v>3861</x:v>
      </x:c>
      <x:c r="C529" s="7" t="s">
        <x:v>3862</x:v>
      </x:c>
      <x:c r="D529" s="7" t="s">
        <x:v>230</x:v>
      </x:c>
      <x:c r="E529" s="7"/>
      <x:c r="F529" s="10">
        <x:v>15.82878</x:v>
      </x:c>
      <x:c r="G529" s="10">
        <x:v>103.35448</x:v>
      </x:c>
      <x:c r="H529" s="7" t="s">
        <x:v>1554</x:v>
      </x:c>
      <x:c r="I529" s="10">
        <x:v>136.13</x:v>
      </x:c>
      <x:c r="J529" s="41"/>
      <x:c r="K529" s="41"/>
      <x:c r="L529" s="41"/>
      <x:c r="M529" s="10"/>
      <x:c r="N529" s="7" t="s">
        <x:v>2663</x:v>
      </x:c>
      <x:c r="O529" s="7" t="s">
        <x:v>1539</x:v>
      </x:c>
      <x:c r="P529" s="10">
        <x:v>3.0</x:v>
      </x:c>
      <x:c r="Q529" s="41"/>
      <x:c r="R529" s="10">
        <x:v>12.4</x:v>
      </x:c>
      <x:c r="S529" s="7" t="s">
        <x:v>1540</x:v>
      </x:c>
      <x:c r="T529" s="7" t="b">
        <x:v>0</x:v>
      </x:c>
      <x:c r="U529" s="7" t="s">
        <x:v>1541</x:v>
      </x:c>
      <x:c r="V529" s="26" t="s">
        <x:v>1542</x:v>
      </x:c>
      <x:c r="W529" s="7" t="s">
        <x:v>3863</x:v>
      </x:c>
      <x:c r="X529" s="41"/>
      <x:c r="Y529" s="41"/>
      <x:c r="Z529" s="41"/>
    </x:row>
    <x:row r="530">
      <x:c r="A530" s="7" t="s">
        <x:v>3864</x:v>
      </x:c>
      <x:c r="B530" s="7" t="s">
        <x:v>3865</x:v>
      </x:c>
      <x:c r="C530" s="7" t="s">
        <x:v>3866</x:v>
      </x:c>
      <x:c r="D530" s="7" t="s">
        <x:v>260</x:v>
      </x:c>
      <x:c r="E530" s="7" t="s">
        <x:v>2321</x:v>
      </x:c>
      <x:c r="F530" s="10">
        <x:v>6.160477</x:v>
      </x:c>
      <x:c r="G530" s="10">
        <x:v>101.276104</x:v>
      </x:c>
      <x:c r="H530" s="7" t="s">
        <x:v>1658</x:v>
      </x:c>
      <x:c r="I530" s="10">
        <x:v>43.23</x:v>
      </x:c>
      <x:c r="J530" s="41"/>
      <x:c r="K530" s="41"/>
      <x:c r="L530" s="41"/>
      <x:c r="M530" s="10">
        <x:v>48.678</x:v>
      </x:c>
      <x:c r="N530" s="7" t="s">
        <x:v>2663</x:v>
      </x:c>
      <x:c r="O530" s="7" t="s">
        <x:v>1539</x:v>
      </x:c>
      <x:c r="P530" s="10">
        <x:v>3.0</x:v>
      </x:c>
      <x:c r="Q530" s="41"/>
      <x:c r="R530" s="10">
        <x:v>22.4</x:v>
      </x:c>
      <x:c r="S530" s="7" t="s">
        <x:v>1540</x:v>
      </x:c>
      <x:c r="T530" s="7" t="b">
        <x:v>0</x:v>
      </x:c>
      <x:c r="U530" s="7" t="s">
        <x:v>1541</x:v>
      </x:c>
      <x:c r="V530" s="26" t="s">
        <x:v>1542</x:v>
      </x:c>
      <x:c r="W530" s="7" t="s">
        <x:v>3867</x:v>
      </x:c>
      <x:c r="X530" s="41"/>
      <x:c r="Y530" s="41"/>
      <x:c r="Z530" s="41"/>
    </x:row>
    <x:row r="531">
      <x:c r="A531" s="7" t="s">
        <x:v>3868</x:v>
      </x:c>
      <x:c r="B531" s="7" t="s">
        <x:v>3869</x:v>
      </x:c>
      <x:c r="C531" s="7" t="s">
        <x:v>3870</x:v>
      </x:c>
      <x:c r="D531" s="7" t="s">
        <x:v>209</x:v>
      </x:c>
      <x:c r="E531" s="7" t="s">
        <x:v>1734</x:v>
      </x:c>
      <x:c r="F531" s="10">
        <x:v>18.13367</x:v>
      </x:c>
      <x:c r="G531" s="10">
        <x:v>100.12458</x:v>
      </x:c>
      <x:c r="H531" s="7" t="s">
        <x:v>1554</x:v>
      </x:c>
      <x:c r="I531" s="10">
        <x:v>145.26</x:v>
      </x:c>
      <x:c r="J531" s="41"/>
      <x:c r="K531" s="41"/>
      <x:c r="L531" s="41"/>
      <x:c r="M531" s="41"/>
      <x:c r="N531" s="7" t="s">
        <x:v>2663</x:v>
      </x:c>
      <x:c r="O531" s="7" t="s">
        <x:v>1539</x:v>
      </x:c>
      <x:c r="P531" s="10">
        <x:v>3.0</x:v>
      </x:c>
      <x:c r="Q531" s="41"/>
      <x:c r="R531" s="10">
        <x:v>12.4</x:v>
      </x:c>
      <x:c r="S531" s="7" t="s">
        <x:v>1540</x:v>
      </x:c>
      <x:c r="T531" s="7" t="b">
        <x:v>0</x:v>
      </x:c>
      <x:c r="U531" s="7" t="s">
        <x:v>1541</x:v>
      </x:c>
      <x:c r="V531" s="26" t="s">
        <x:v>1542</x:v>
      </x:c>
      <x:c r="W531" s="7" t="s">
        <x:v>3871</x:v>
      </x:c>
      <x:c r="X531" s="41"/>
      <x:c r="Y531" s="41"/>
      <x:c r="Z531" s="41"/>
    </x:row>
    <x:row r="532">
      <x:c r="A532" s="7" t="s">
        <x:v>3872</x:v>
      </x:c>
      <x:c r="B532" s="7" t="s">
        <x:v>3873</x:v>
      </x:c>
      <x:c r="C532" s="7" t="s">
        <x:v>3874</x:v>
      </x:c>
      <x:c r="D532" s="7" t="s">
        <x:v>210</x:v>
      </x:c>
      <x:c r="E532" s="7" t="s">
        <x:v>3875</x:v>
      </x:c>
      <x:c r="F532" s="10">
        <x:v>18.584002</x:v>
      </x:c>
      <x:c r="G532" s="10">
        <x:v>100.600266</x:v>
      </x:c>
      <x:c r="H532" s="7" t="s">
        <x:v>1554</x:v>
      </x:c>
      <x:c r="I532" s="10">
        <x:v>228.15</x:v>
      </x:c>
      <x:c r="J532" s="41"/>
      <x:c r="K532" s="41"/>
      <x:c r="L532" s="41"/>
      <x:c r="M532" s="41"/>
      <x:c r="N532" s="7" t="s">
        <x:v>2663</x:v>
      </x:c>
      <x:c r="O532" s="7" t="s">
        <x:v>1539</x:v>
      </x:c>
      <x:c r="P532" s="10">
        <x:v>3.0</x:v>
      </x:c>
      <x:c r="Q532" s="41"/>
      <x:c r="R532" s="10">
        <x:v>12.4</x:v>
      </x:c>
      <x:c r="S532" s="7" t="s">
        <x:v>1540</x:v>
      </x:c>
      <x:c r="T532" s="7" t="b">
        <x:v>0</x:v>
      </x:c>
      <x:c r="U532" s="7" t="s">
        <x:v>1541</x:v>
      </x:c>
      <x:c r="V532" s="26" t="s">
        <x:v>1542</x:v>
      </x:c>
      <x:c r="W532" s="7" t="s">
        <x:v>3876</x:v>
      </x:c>
      <x:c r="X532" s="41"/>
      <x:c r="Y532" s="41"/>
      <x:c r="Z532" s="41"/>
    </x:row>
    <x:row r="533">
      <x:c r="A533" s="7" t="s">
        <x:v>3877</x:v>
      </x:c>
      <x:c r="B533" s="7" t="s">
        <x:v>3878</x:v>
      </x:c>
      <x:c r="C533" s="7" t="s">
        <x:v>3187</x:v>
      </x:c>
      <x:c r="D533" s="7" t="s">
        <x:v>216</x:v>
      </x:c>
      <x:c r="E533" s="7" t="s">
        <x:v>3187</x:v>
      </x:c>
      <x:c r="F533" s="10">
        <x:v>17.79087</x:v>
      </x:c>
      <x:c r="G533" s="10">
        <x:v>100.74902</x:v>
      </x:c>
      <x:c r="H533" s="7" t="s">
        <x:v>1554</x:v>
      </x:c>
      <x:c r="I533" s="10">
        <x:v>154.86</x:v>
      </x:c>
      <x:c r="J533" s="41"/>
      <x:c r="K533" s="41"/>
      <x:c r="L533" s="41"/>
      <x:c r="M533" s="41"/>
      <x:c r="N533" s="7" t="s">
        <x:v>2663</x:v>
      </x:c>
      <x:c r="O533" s="7" t="s">
        <x:v>1539</x:v>
      </x:c>
      <x:c r="P533" s="10">
        <x:v>3.0</x:v>
      </x:c>
      <x:c r="Q533" s="41"/>
      <x:c r="R533" s="10">
        <x:v>12.4</x:v>
      </x:c>
      <x:c r="S533" s="7" t="s">
        <x:v>1540</x:v>
      </x:c>
      <x:c r="T533" s="7" t="b">
        <x:v>0</x:v>
      </x:c>
      <x:c r="U533" s="7" t="s">
        <x:v>1541</x:v>
      </x:c>
      <x:c r="V533" s="26" t="s">
        <x:v>1542</x:v>
      </x:c>
      <x:c r="W533" s="7" t="s">
        <x:v>3879</x:v>
      </x:c>
      <x:c r="X533" s="41"/>
      <x:c r="Y533" s="41"/>
      <x:c r="Z533" s="41"/>
    </x:row>
    <x:row r="534">
      <x:c r="A534" s="7" t="s">
        <x:v>3880</x:v>
      </x:c>
      <x:c r="B534" s="7" t="s">
        <x:v>3881</x:v>
      </x:c>
      <x:c r="C534" s="7" t="s">
        <x:v>3882</x:v>
      </x:c>
      <x:c r="D534" s="7" t="s">
        <x:v>208</x:v>
      </x:c>
      <x:c r="E534" s="7" t="s">
        <x:v>3883</x:v>
      </x:c>
      <x:c r="F534" s="10">
        <x:v>20.218361</x:v>
      </x:c>
      <x:c r="G534" s="10">
        <x:v>99.856987</x:v>
      </x:c>
      <x:c r="H534" s="7" t="s">
        <x:v>1548</x:v>
      </x:c>
      <x:c r="I534" s="10">
        <x:v>395.12</x:v>
      </x:c>
      <x:c r="J534" s="41"/>
      <x:c r="K534" s="41"/>
      <x:c r="L534" s="41"/>
      <x:c r="M534" s="41"/>
      <x:c r="N534" s="7" t="s">
        <x:v>2663</x:v>
      </x:c>
      <x:c r="O534" s="7" t="s">
        <x:v>1539</x:v>
      </x:c>
      <x:c r="P534" s="10">
        <x:v>3.0</x:v>
      </x:c>
      <x:c r="Q534" s="41"/>
      <x:c r="R534" s="10">
        <x:v>82.4</x:v>
      </x:c>
      <x:c r="S534" s="7" t="s">
        <x:v>301</x:v>
      </x:c>
      <x:c r="T534" s="7" t="b">
        <x:v>0</x:v>
      </x:c>
      <x:c r="U534" s="7" t="s">
        <x:v>1541</x:v>
      </x:c>
      <x:c r="V534" s="26" t="s">
        <x:v>1542</x:v>
      </x:c>
      <x:c r="W534" s="7" t="s">
        <x:v>3884</x:v>
      </x:c>
      <x:c r="X534" s="41"/>
      <x:c r="Y534" s="41"/>
      <x:c r="Z534" s="41"/>
    </x:row>
    <x:row r="535">
      <x:c r="A535" s="7" t="s">
        <x:v>3885</x:v>
      </x:c>
      <x:c r="B535" s="7" t="s">
        <x:v>3886</x:v>
      </x:c>
      <x:c r="C535" s="7" t="s">
        <x:v>3887</x:v>
      </x:c>
      <x:c r="D535" s="7" t="s">
        <x:v>212</x:v>
      </x:c>
      <x:c r="E535" s="7" t="s">
        <x:v>2695</x:v>
      </x:c>
      <x:c r="F535" s="10">
        <x:v>18.51882</x:v>
      </x:c>
      <x:c r="G535" s="10">
        <x:v>99.629997</x:v>
      </x:c>
      <x:c r="H535" s="7" t="s">
        <x:v>1548</x:v>
      </x:c>
      <x:c r="I535" s="10">
        <x:v>259.59</x:v>
      </x:c>
      <x:c r="J535" s="41"/>
      <x:c r="K535" s="41"/>
      <x:c r="L535" s="41"/>
      <x:c r="M535" s="41"/>
      <x:c r="N535" s="7" t="s">
        <x:v>2663</x:v>
      </x:c>
      <x:c r="O535" s="7" t="s">
        <x:v>1539</x:v>
      </x:c>
      <x:c r="P535" s="10">
        <x:v>3.0</x:v>
      </x:c>
      <x:c r="Q535" s="41"/>
      <x:c r="R535" s="10">
        <x:v>82.4</x:v>
      </x:c>
      <x:c r="S535" s="7" t="s">
        <x:v>301</x:v>
      </x:c>
      <x:c r="T535" s="7" t="b">
        <x:v>0</x:v>
      </x:c>
      <x:c r="U535" s="7" t="s">
        <x:v>1541</x:v>
      </x:c>
      <x:c r="V535" s="26" t="s">
        <x:v>1542</x:v>
      </x:c>
      <x:c r="W535" s="7" t="s">
        <x:v>3888</x:v>
      </x:c>
      <x:c r="X535" s="41"/>
      <x:c r="Y535" s="41"/>
      <x:c r="Z535" s="41"/>
    </x:row>
    <x:row r="536">
      <x:c r="A536" s="7" t="s">
        <x:v>3889</x:v>
      </x:c>
      <x:c r="B536" s="7" t="s">
        <x:v>3890</x:v>
      </x:c>
      <x:c r="C536" s="7" t="s">
        <x:v>3891</x:v>
      </x:c>
      <x:c r="D536" s="7" t="s">
        <x:v>255</x:v>
      </x:c>
      <x:c r="E536" s="7" t="s">
        <x:v>2060</x:v>
      </x:c>
      <x:c r="F536" s="10">
        <x:v>6.931234</x:v>
      </x:c>
      <x:c r="G536" s="10">
        <x:v>100.43985</x:v>
      </x:c>
      <x:c r="H536" s="7" t="s">
        <x:v>1554</x:v>
      </x:c>
      <x:c r="I536" s="10">
        <x:v>2.56</x:v>
      </x:c>
      <x:c r="J536" s="41"/>
      <x:c r="K536" s="41"/>
      <x:c r="L536" s="41"/>
      <x:c r="M536" s="10"/>
      <x:c r="N536" s="7" t="s">
        <x:v>2663</x:v>
      </x:c>
      <x:c r="O536" s="7" t="s">
        <x:v>1539</x:v>
      </x:c>
      <x:c r="P536" s="10">
        <x:v>3.0</x:v>
      </x:c>
      <x:c r="Q536" s="41"/>
      <x:c r="R536" s="10">
        <x:v>12.4</x:v>
      </x:c>
      <x:c r="S536" s="7" t="s">
        <x:v>1540</x:v>
      </x:c>
      <x:c r="T536" s="7" t="b">
        <x:v>0</x:v>
      </x:c>
      <x:c r="U536" s="7" t="s">
        <x:v>1541</x:v>
      </x:c>
      <x:c r="V536" s="26" t="s">
        <x:v>1542</x:v>
      </x:c>
      <x:c r="W536" s="7" t="s">
        <x:v>3892</x:v>
      </x:c>
      <x:c r="X536" s="41"/>
      <x:c r="Y536" s="41"/>
      <x:c r="Z536" s="41"/>
    </x:row>
    <x:row r="537">
      <x:c r="A537" s="7" t="s">
        <x:v>3893</x:v>
      </x:c>
      <x:c r="B537" s="7" t="s">
        <x:v>3894</x:v>
      </x:c>
      <x:c r="C537" s="7" t="s">
        <x:v>3895</x:v>
      </x:c>
      <x:c r="D537" s="7" t="s">
        <x:v>259</x:v>
      </x:c>
      <x:c r="E537" s="7" t="s">
        <x:v>2321</x:v>
      </x:c>
      <x:c r="F537" s="10">
        <x:v>6.715493</x:v>
      </x:c>
      <x:c r="G537" s="10">
        <x:v>101.285399</x:v>
      </x:c>
      <x:c r="H537" s="7" t="s">
        <x:v>1548</x:v>
      </x:c>
      <x:c r="I537" s="10">
        <x:v>4.81</x:v>
      </x:c>
      <x:c r="J537" s="41"/>
      <x:c r="K537" s="41"/>
      <x:c r="L537" s="41"/>
      <x:c r="M537" s="10"/>
      <x:c r="N537" s="7" t="s">
        <x:v>2663</x:v>
      </x:c>
      <x:c r="O537" s="7" t="s">
        <x:v>1539</x:v>
      </x:c>
      <x:c r="P537" s="10">
        <x:v>3.0</x:v>
      </x:c>
      <x:c r="Q537" s="41"/>
      <x:c r="R537" s="10">
        <x:v>82.4</x:v>
      </x:c>
      <x:c r="S537" s="7" t="s">
        <x:v>301</x:v>
      </x:c>
      <x:c r="T537" s="7" t="b">
        <x:v>0</x:v>
      </x:c>
      <x:c r="U537" s="7" t="s">
        <x:v>1541</x:v>
      </x:c>
      <x:c r="V537" s="26" t="s">
        <x:v>1542</x:v>
      </x:c>
      <x:c r="W537" s="7" t="s">
        <x:v>3896</x:v>
      </x:c>
      <x:c r="X537" s="41"/>
      <x:c r="Y537" s="41"/>
      <x:c r="Z537" s="41"/>
    </x:row>
    <x:row r="538">
      <x:c r="A538" s="7" t="s">
        <x:v>3897</x:v>
      </x:c>
      <x:c r="B538" s="7" t="s">
        <x:v>3898</x:v>
      </x:c>
      <x:c r="C538" s="7" t="s">
        <x:v>3899</x:v>
      </x:c>
      <x:c r="D538" s="7" t="s">
        <x:v>18</x:v>
      </x:c>
      <x:c r="E538" s="7"/>
      <x:c r="F538" s="10">
        <x:v>17.204904</x:v>
      </x:c>
      <x:c r="G538" s="10">
        <x:v>99.098093</x:v>
      </x:c>
      <x:c r="H538" s="7" t="s">
        <x:v>1658</x:v>
      </x:c>
      <x:c r="I538" s="10">
        <x:v>134.59</x:v>
      </x:c>
      <x:c r="J538" s="41"/>
      <x:c r="K538" s="41"/>
      <x:c r="L538" s="41"/>
      <x:c r="M538" s="10">
        <x:v>138.0</x:v>
      </x:c>
      <x:c r="N538" s="7" t="s">
        <x:v>2663</x:v>
      </x:c>
      <x:c r="O538" s="7" t="s">
        <x:v>1539</x:v>
      </x:c>
      <x:c r="P538" s="10">
        <x:v>3.0</x:v>
      </x:c>
      <x:c r="Q538" s="41"/>
      <x:c r="R538" s="10">
        <x:v>22.4</x:v>
      </x:c>
      <x:c r="S538" s="7" t="s">
        <x:v>1540</x:v>
      </x:c>
      <x:c r="T538" s="7" t="b">
        <x:v>0</x:v>
      </x:c>
      <x:c r="U538" s="7" t="s">
        <x:v>1541</x:v>
      </x:c>
      <x:c r="V538" s="26" t="s">
        <x:v>1542</x:v>
      </x:c>
      <x:c r="W538" s="7" t="s">
        <x:v>3900</x:v>
      </x:c>
      <x:c r="X538" s="41"/>
      <x:c r="Y538" s="41"/>
      <x:c r="Z538" s="41"/>
    </x:row>
    <x:row r="539">
      <x:c r="A539" s="7" t="s">
        <x:v>3901</x:v>
      </x:c>
      <x:c r="B539" s="7" t="s">
        <x:v>3902</x:v>
      </x:c>
      <x:c r="C539" s="7" t="s">
        <x:v>3903</x:v>
      </x:c>
      <x:c r="D539" s="7" t="s">
        <x:v>209</x:v>
      </x:c>
      <x:c r="E539" s="7" t="s">
        <x:v>1734</x:v>
      </x:c>
      <x:c r="F539" s="10">
        <x:v>18.58613</x:v>
      </x:c>
      <x:c r="G539" s="10">
        <x:v>100.151337</x:v>
      </x:c>
      <x:c r="H539" s="7" t="s">
        <x:v>1548</x:v>
      </x:c>
      <x:c r="I539" s="10">
        <x:v>182.89</x:v>
      </x:c>
      <x:c r="J539" s="41"/>
      <x:c r="K539" s="41"/>
      <x:c r="L539" s="41"/>
      <x:c r="M539" s="10"/>
      <x:c r="N539" s="7" t="s">
        <x:v>2663</x:v>
      </x:c>
      <x:c r="O539" s="7" t="s">
        <x:v>1539</x:v>
      </x:c>
      <x:c r="P539" s="10">
        <x:v>3.0</x:v>
      </x:c>
      <x:c r="Q539" s="41"/>
      <x:c r="R539" s="10">
        <x:v>82.4</x:v>
      </x:c>
      <x:c r="S539" s="7" t="s">
        <x:v>301</x:v>
      </x:c>
      <x:c r="T539" s="7" t="b">
        <x:v>0</x:v>
      </x:c>
      <x:c r="U539" s="7" t="s">
        <x:v>1541</x:v>
      </x:c>
      <x:c r="V539" s="26" t="s">
        <x:v>1542</x:v>
      </x:c>
      <x:c r="W539" s="7" t="s">
        <x:v>3904</x:v>
      </x:c>
      <x:c r="X539" s="41"/>
      <x:c r="Y539" s="41"/>
      <x:c r="Z539" s="41"/>
    </x:row>
    <x:row r="540">
      <x:c r="A540" s="7" t="s">
        <x:v>3905</x:v>
      </x:c>
      <x:c r="B540" s="7" t="s">
        <x:v>3906</x:v>
      </x:c>
      <x:c r="C540" s="7" t="s">
        <x:v>3907</x:v>
      </x:c>
      <x:c r="D540" s="7" t="s">
        <x:v>210</x:v>
      </x:c>
      <x:c r="E540" s="7" t="s">
        <x:v>3908</x:v>
      </x:c>
      <x:c r="F540" s="10">
        <x:v>18.548229</x:v>
      </x:c>
      <x:c r="G540" s="10">
        <x:v>100.808617</x:v>
      </x:c>
      <x:c r="H540" s="7" t="s">
        <x:v>1548</x:v>
      </x:c>
      <x:c r="I540" s="10">
        <x:v>185.27</x:v>
      </x:c>
      <x:c r="J540" s="41"/>
      <x:c r="K540" s="41"/>
      <x:c r="L540" s="41"/>
      <x:c r="M540" s="41"/>
      <x:c r="N540" s="7" t="s">
        <x:v>2663</x:v>
      </x:c>
      <x:c r="O540" s="7" t="s">
        <x:v>1539</x:v>
      </x:c>
      <x:c r="P540" s="10">
        <x:v>3.0</x:v>
      </x:c>
      <x:c r="Q540" s="41"/>
      <x:c r="R540" s="10">
        <x:v>82.4</x:v>
      </x:c>
      <x:c r="S540" s="7" t="s">
        <x:v>301</x:v>
      </x:c>
      <x:c r="T540" s="7" t="b">
        <x:v>0</x:v>
      </x:c>
      <x:c r="U540" s="7" t="s">
        <x:v>1541</x:v>
      </x:c>
      <x:c r="V540" s="26" t="s">
        <x:v>1542</x:v>
      </x:c>
      <x:c r="W540" s="7" t="s">
        <x:v>3909</x:v>
      </x:c>
      <x:c r="X540" s="41"/>
      <x:c r="Y540" s="41"/>
      <x:c r="Z540" s="41"/>
    </x:row>
    <x:row r="541">
      <x:c r="A541" s="7" t="s">
        <x:v>3910</x:v>
      </x:c>
      <x:c r="B541" s="7" t="s">
        <x:v>3911</x:v>
      </x:c>
      <x:c r="C541" s="7" t="s">
        <x:v>3912</x:v>
      </x:c>
      <x:c r="D541" s="7" t="s">
        <x:v>257</x:v>
      </x:c>
      <x:c r="E541" s="7" t="s">
        <x:v>2724</x:v>
      </x:c>
      <x:c r="F541" s="10">
        <x:v>7.96409</x:v>
      </x:c>
      <x:c r="G541" s="10">
        <x:v>99.59775</x:v>
      </x:c>
      <x:c r="H541" s="7" t="s">
        <x:v>1554</x:v>
      </x:c>
      <x:c r="I541" s="10">
        <x:v>19.62</x:v>
      </x:c>
      <x:c r="J541" s="41"/>
      <x:c r="K541" s="41"/>
      <x:c r="L541" s="41"/>
      <x:c r="M541" s="41"/>
      <x:c r="N541" s="7" t="s">
        <x:v>2663</x:v>
      </x:c>
      <x:c r="O541" s="7" t="s">
        <x:v>1539</x:v>
      </x:c>
      <x:c r="P541" s="10">
        <x:v>3.0</x:v>
      </x:c>
      <x:c r="Q541" s="41"/>
      <x:c r="R541" s="10">
        <x:v>12.4</x:v>
      </x:c>
      <x:c r="S541" s="7" t="s">
        <x:v>1540</x:v>
      </x:c>
      <x:c r="T541" s="7" t="b">
        <x:v>0</x:v>
      </x:c>
      <x:c r="U541" s="7" t="s">
        <x:v>1541</x:v>
      </x:c>
      <x:c r="V541" s="26" t="s">
        <x:v>1542</x:v>
      </x:c>
      <x:c r="W541" s="7" t="s">
        <x:v>3913</x:v>
      </x:c>
      <x:c r="X541" s="41"/>
      <x:c r="Y541" s="41"/>
      <x:c r="Z541" s="41"/>
    </x:row>
    <x:row r="542">
      <x:c r="A542" s="7" t="s">
        <x:v>3914</x:v>
      </x:c>
      <x:c r="B542" s="7" t="s">
        <x:v>3915</x:v>
      </x:c>
      <x:c r="C542" s="7" t="s">
        <x:v>3916</x:v>
      </x:c>
      <x:c r="D542" s="7" t="s">
        <x:v>65</x:v>
      </x:c>
      <x:c r="E542" s="7" t="s">
        <x:v>3917</x:v>
      </x:c>
      <x:c r="F542" s="10">
        <x:v>14.78944</x:v>
      </x:c>
      <x:c r="G542" s="10">
        <x:v>101.117104</x:v>
      </x:c>
      <x:c r="H542" s="7" t="s">
        <x:v>1548</x:v>
      </x:c>
      <x:c r="I542" s="10">
        <x:v>44.34</x:v>
      </x:c>
      <x:c r="J542" s="41"/>
      <x:c r="K542" s="41"/>
      <x:c r="L542" s="41"/>
      <x:c r="M542" s="41"/>
      <x:c r="N542" s="7" t="s">
        <x:v>2663</x:v>
      </x:c>
      <x:c r="O542" s="7" t="s">
        <x:v>1539</x:v>
      </x:c>
      <x:c r="P542" s="10">
        <x:v>3.0</x:v>
      </x:c>
      <x:c r="Q542" s="41"/>
      <x:c r="R542" s="10">
        <x:v>82.4</x:v>
      </x:c>
      <x:c r="S542" s="7" t="s">
        <x:v>301</x:v>
      </x:c>
      <x:c r="T542" s="7" t="b">
        <x:v>0</x:v>
      </x:c>
      <x:c r="U542" s="7" t="s">
        <x:v>1541</x:v>
      </x:c>
      <x:c r="V542" s="26" t="s">
        <x:v>1542</x:v>
      </x:c>
      <x:c r="W542" s="7" t="s">
        <x:v>3918</x:v>
      </x:c>
      <x:c r="X542" s="41"/>
      <x:c r="Y542" s="41"/>
      <x:c r="Z542" s="41"/>
    </x:row>
    <x:row r="543">
      <x:c r="A543" s="7" t="s">
        <x:v>3919</x:v>
      </x:c>
      <x:c r="B543" s="7" t="s">
        <x:v>3920</x:v>
      </x:c>
      <x:c r="C543" s="7" t="s">
        <x:v>3921</x:v>
      </x:c>
      <x:c r="D543" s="7" t="s">
        <x:v>257</x:v>
      </x:c>
      <x:c r="E543" s="7" t="s">
        <x:v>2724</x:v>
      </x:c>
      <x:c r="F543" s="10">
        <x:v>7.58883</x:v>
      </x:c>
      <x:c r="G543" s="10">
        <x:v>99.576874</x:v>
      </x:c>
      <x:c r="H543" s="7" t="s">
        <x:v>1548</x:v>
      </x:c>
      <x:c r="I543" s="10">
        <x:v>0.96</x:v>
      </x:c>
      <x:c r="J543" s="41"/>
      <x:c r="K543" s="41"/>
      <x:c r="L543" s="41"/>
      <x:c r="M543" s="41"/>
      <x:c r="N543" s="7" t="s">
        <x:v>2663</x:v>
      </x:c>
      <x:c r="O543" s="7" t="s">
        <x:v>1539</x:v>
      </x:c>
      <x:c r="P543" s="10">
        <x:v>3.0</x:v>
      </x:c>
      <x:c r="Q543" s="41"/>
      <x:c r="R543" s="10">
        <x:v>82.4</x:v>
      </x:c>
      <x:c r="S543" s="7" t="s">
        <x:v>301</x:v>
      </x:c>
      <x:c r="T543" s="7" t="b">
        <x:v>0</x:v>
      </x:c>
      <x:c r="U543" s="7" t="s">
        <x:v>1541</x:v>
      </x:c>
      <x:c r="V543" s="26" t="s">
        <x:v>1542</x:v>
      </x:c>
      <x:c r="W543" s="7" t="s">
        <x:v>3922</x:v>
      </x:c>
      <x:c r="X543" s="41"/>
      <x:c r="Y543" s="41"/>
      <x:c r="Z543" s="41"/>
    </x:row>
    <x:row r="544">
      <x:c r="A544" s="7" t="s">
        <x:v>3923</x:v>
      </x:c>
      <x:c r="B544" s="7" t="s">
        <x:v>3924</x:v>
      </x:c>
      <x:c r="C544" s="7" t="s">
        <x:v>3925</x:v>
      </x:c>
      <x:c r="D544" s="7" t="s">
        <x:v>18</x:v>
      </x:c>
      <x:c r="E544" s="7" t="s">
        <x:v>2074</x:v>
      </x:c>
      <x:c r="F544" s="10">
        <x:v>16.855261</x:v>
      </x:c>
      <x:c r="G544" s="10">
        <x:v>99.124489</x:v>
      </x:c>
      <x:c r="H544" s="7" t="s">
        <x:v>1548</x:v>
      </x:c>
      <x:c r="I544" s="10">
        <x:v>105.04</x:v>
      </x:c>
      <x:c r="J544" s="41"/>
      <x:c r="K544" s="41"/>
      <x:c r="L544" s="41"/>
      <x:c r="M544" s="10"/>
      <x:c r="N544" s="7" t="s">
        <x:v>2663</x:v>
      </x:c>
      <x:c r="O544" s="7" t="s">
        <x:v>1539</x:v>
      </x:c>
      <x:c r="P544" s="10">
        <x:v>3.0</x:v>
      </x:c>
      <x:c r="Q544" s="41"/>
      <x:c r="R544" s="10">
        <x:v>82.4</x:v>
      </x:c>
      <x:c r="S544" s="7" t="s">
        <x:v>301</x:v>
      </x:c>
      <x:c r="T544" s="7" t="b">
        <x:v>0</x:v>
      </x:c>
      <x:c r="U544" s="7" t="s">
        <x:v>1541</x:v>
      </x:c>
      <x:c r="V544" s="26" t="s">
        <x:v>1542</x:v>
      </x:c>
      <x:c r="W544" s="7" t="s">
        <x:v>3926</x:v>
      </x:c>
      <x:c r="X544" s="41"/>
      <x:c r="Y544" s="41"/>
      <x:c r="Z544" s="41"/>
    </x:row>
    <x:row r="545">
      <x:c r="A545" s="7" t="s">
        <x:v>3927</x:v>
      </x:c>
      <x:c r="B545" s="7" t="s">
        <x:v>3928</x:v>
      </x:c>
      <x:c r="C545" s="7" t="s">
        <x:v>3929</x:v>
      </x:c>
      <x:c r="D545" s="7" t="s">
        <x:v>255</x:v>
      </x:c>
      <x:c r="E545" s="7" t="s">
        <x:v>3930</x:v>
      </x:c>
      <x:c r="F545" s="10">
        <x:v>6.63504</x:v>
      </x:c>
      <x:c r="G545" s="10">
        <x:v>100.39341</x:v>
      </x:c>
      <x:c r="H545" s="7" t="s">
        <x:v>1548</x:v>
      </x:c>
      <x:c r="I545" s="10">
        <x:v>33.08</x:v>
      </x:c>
      <x:c r="J545" s="41"/>
      <x:c r="K545" s="41"/>
      <x:c r="L545" s="41"/>
      <x:c r="M545" s="10"/>
      <x:c r="N545" s="7" t="s">
        <x:v>2663</x:v>
      </x:c>
      <x:c r="O545" s="7" t="s">
        <x:v>1539</x:v>
      </x:c>
      <x:c r="P545" s="10">
        <x:v>3.0</x:v>
      </x:c>
      <x:c r="Q545" s="41"/>
      <x:c r="R545" s="10">
        <x:v>82.4</x:v>
      </x:c>
      <x:c r="S545" s="7" t="s">
        <x:v>301</x:v>
      </x:c>
      <x:c r="T545" s="7" t="b">
        <x:v>0</x:v>
      </x:c>
      <x:c r="U545" s="7" t="s">
        <x:v>1541</x:v>
      </x:c>
      <x:c r="V545" s="26" t="s">
        <x:v>1542</x:v>
      </x:c>
      <x:c r="W545" s="7" t="s">
        <x:v>3931</x:v>
      </x:c>
      <x:c r="X545" s="41"/>
      <x:c r="Y545" s="41"/>
      <x:c r="Z545" s="41"/>
    </x:row>
    <x:row r="546">
      <x:c r="A546" s="7" t="s">
        <x:v>3932</x:v>
      </x:c>
      <x:c r="B546" s="7" t="s">
        <x:v>3933</x:v>
      </x:c>
      <x:c r="C546" s="7" t="s">
        <x:v>3934</x:v>
      </x:c>
      <x:c r="D546" s="7" t="s">
        <x:v>217</x:v>
      </x:c>
      <x:c r="E546" s="7"/>
      <x:c r="F546" s="10">
        <x:v>17.22242</x:v>
      </x:c>
      <x:c r="G546" s="10">
        <x:v>99.70545</x:v>
      </x:c>
      <x:c r="H546" s="7" t="s">
        <x:v>1554</x:v>
      </x:c>
      <x:c r="I546" s="10">
        <x:v>57.62</x:v>
      </x:c>
      <x:c r="J546" s="41"/>
      <x:c r="K546" s="41"/>
      <x:c r="L546" s="41"/>
      <x:c r="M546" s="10"/>
      <x:c r="N546" s="7" t="s">
        <x:v>2663</x:v>
      </x:c>
      <x:c r="O546" s="7" t="s">
        <x:v>1539</x:v>
      </x:c>
      <x:c r="P546" s="10">
        <x:v>3.0</x:v>
      </x:c>
      <x:c r="Q546" s="41"/>
      <x:c r="R546" s="10">
        <x:v>12.4</x:v>
      </x:c>
      <x:c r="S546" s="7" t="s">
        <x:v>1540</x:v>
      </x:c>
      <x:c r="T546" s="7" t="b">
        <x:v>0</x:v>
      </x:c>
      <x:c r="U546" s="7" t="s">
        <x:v>1541</x:v>
      </x:c>
      <x:c r="V546" s="26" t="s">
        <x:v>1542</x:v>
      </x:c>
      <x:c r="W546" s="7" t="s">
        <x:v>3935</x:v>
      </x:c>
      <x:c r="X546" s="41"/>
      <x:c r="Y546" s="41"/>
      <x:c r="Z546" s="41"/>
    </x:row>
    <x:row r="547">
      <x:c r="A547" s="7" t="s">
        <x:v>3936</x:v>
      </x:c>
      <x:c r="B547" s="7" t="s">
        <x:v>3937</x:v>
      </x:c>
      <x:c r="C547" s="7" t="s">
        <x:v>3938</x:v>
      </x:c>
      <x:c r="D547" s="7" t="s">
        <x:v>228</x:v>
      </x:c>
      <x:c r="E547" s="7" t="s">
        <x:v>3939</x:v>
      </x:c>
      <x:c r="F547" s="10">
        <x:v>16.411083</x:v>
      </x:c>
      <x:c r="G547" s="10">
        <x:v>103.467125</x:v>
      </x:c>
      <x:c r="H547" s="7" t="s">
        <x:v>1554</x:v>
      </x:c>
      <x:c r="I547" s="10">
        <x:v>136.2</x:v>
      </x:c>
      <x:c r="J547" s="41"/>
      <x:c r="K547" s="41"/>
      <x:c r="L547" s="41"/>
      <x:c r="M547" s="10"/>
      <x:c r="N547" s="7" t="s">
        <x:v>2663</x:v>
      </x:c>
      <x:c r="O547" s="7" t="s">
        <x:v>1539</x:v>
      </x:c>
      <x:c r="P547" s="10">
        <x:v>3.0</x:v>
      </x:c>
      <x:c r="Q547" s="41"/>
      <x:c r="R547" s="10">
        <x:v>12.4</x:v>
      </x:c>
      <x:c r="S547" s="7" t="s">
        <x:v>1540</x:v>
      </x:c>
      <x:c r="T547" s="7" t="b">
        <x:v>0</x:v>
      </x:c>
      <x:c r="U547" s="7" t="s">
        <x:v>1541</x:v>
      </x:c>
      <x:c r="V547" s="26" t="s">
        <x:v>1542</x:v>
      </x:c>
      <x:c r="W547" s="7" t="s">
        <x:v>3940</x:v>
      </x:c>
      <x:c r="X547" s="41"/>
      <x:c r="Y547" s="41"/>
      <x:c r="Z547" s="41"/>
    </x:row>
    <x:row r="548">
      <x:c r="A548" s="7" t="s">
        <x:v>3941</x:v>
      </x:c>
      <x:c r="B548" s="7" t="s">
        <x:v>3942</x:v>
      </x:c>
      <x:c r="C548" s="7" t="s">
        <x:v>3943</x:v>
      </x:c>
      <x:c r="D548" s="7" t="s">
        <x:v>251</x:v>
      </x:c>
      <x:c r="E548" s="7" t="s">
        <x:v>3255</x:v>
      </x:c>
      <x:c r="F548" s="10">
        <x:v>8.187541</x:v>
      </x:c>
      <x:c r="G548" s="10">
        <x:v>98.87916</x:v>
      </x:c>
      <x:c r="H548" s="7" t="s">
        <x:v>1554</x:v>
      </x:c>
      <x:c r="I548" s="10">
        <x:v>23.76</x:v>
      </x:c>
      <x:c r="J548" s="41"/>
      <x:c r="K548" s="41"/>
      <x:c r="L548" s="41"/>
      <x:c r="M548" s="10"/>
      <x:c r="N548" s="7" t="s">
        <x:v>2663</x:v>
      </x:c>
      <x:c r="O548" s="7" t="s">
        <x:v>1539</x:v>
      </x:c>
      <x:c r="P548" s="10">
        <x:v>3.0</x:v>
      </x:c>
      <x:c r="Q548" s="41"/>
      <x:c r="R548" s="10">
        <x:v>12.4</x:v>
      </x:c>
      <x:c r="S548" s="7" t="s">
        <x:v>1540</x:v>
      </x:c>
      <x:c r="T548" s="7" t="b">
        <x:v>0</x:v>
      </x:c>
      <x:c r="U548" s="7" t="s">
        <x:v>1541</x:v>
      </x:c>
      <x:c r="V548" s="26" t="s">
        <x:v>1542</x:v>
      </x:c>
      <x:c r="W548" s="7" t="s">
        <x:v>3944</x:v>
      </x:c>
      <x:c r="X548" s="41"/>
      <x:c r="Y548" s="41"/>
      <x:c r="Z548" s="41"/>
    </x:row>
    <x:row r="549">
      <x:c r="A549" s="7" t="s">
        <x:v>3945</x:v>
      </x:c>
      <x:c r="B549" s="7" t="s">
        <x:v>3946</x:v>
      </x:c>
      <x:c r="C549" s="7" t="s">
        <x:v>3947</x:v>
      </x:c>
      <x:c r="D549" s="7" t="s">
        <x:v>207</x:v>
      </x:c>
      <x:c r="E549" s="7" t="s">
        <x:v>3948</x:v>
      </x:c>
      <x:c r="F549" s="10">
        <x:v>19.220449</x:v>
      </x:c>
      <x:c r="G549" s="10">
        <x:v>98.847214</x:v>
      </x:c>
      <x:c r="H549" s="7" t="s">
        <x:v>1548</x:v>
      </x:c>
      <x:c r="I549" s="10">
        <x:v>441.55</x:v>
      </x:c>
      <x:c r="J549" s="41"/>
      <x:c r="K549" s="41"/>
      <x:c r="L549" s="41"/>
      <x:c r="M549" s="10"/>
      <x:c r="N549" s="7" t="s">
        <x:v>2663</x:v>
      </x:c>
      <x:c r="O549" s="7" t="s">
        <x:v>1539</x:v>
      </x:c>
      <x:c r="P549" s="10">
        <x:v>3.0</x:v>
      </x:c>
      <x:c r="Q549" s="41"/>
      <x:c r="R549" s="10">
        <x:v>82.4</x:v>
      </x:c>
      <x:c r="S549" s="7" t="s">
        <x:v>301</x:v>
      </x:c>
      <x:c r="T549" s="7" t="b">
        <x:v>0</x:v>
      </x:c>
      <x:c r="U549" s="7" t="s">
        <x:v>1541</x:v>
      </x:c>
      <x:c r="V549" s="26" t="s">
        <x:v>1542</x:v>
      </x:c>
      <x:c r="W549" s="7" t="s">
        <x:v>3949</x:v>
      </x:c>
      <x:c r="X549" s="41"/>
      <x:c r="Y549" s="41"/>
      <x:c r="Z549" s="41"/>
    </x:row>
    <x:row r="550">
      <x:c r="A550" s="7" t="s">
        <x:v>3950</x:v>
      </x:c>
      <x:c r="B550" s="7" t="s">
        <x:v>3951</x:v>
      </x:c>
      <x:c r="C550" s="7" t="s">
        <x:v>3952</x:v>
      </x:c>
      <x:c r="D550" s="7" t="s">
        <x:v>207</x:v>
      </x:c>
      <x:c r="E550" s="7" t="s">
        <x:v>3953</x:v>
      </x:c>
      <x:c r="F550" s="10">
        <x:v>18.20228</x:v>
      </x:c>
      <x:c r="G550" s="10">
        <x:v>98.614441</x:v>
      </x:c>
      <x:c r="H550" s="7" t="s">
        <x:v>3065</x:v>
      </x:c>
      <x:c r="I550" s="10">
        <x:v>262.03</x:v>
      </x:c>
      <x:c r="J550" s="41"/>
      <x:c r="K550" s="41"/>
      <x:c r="L550" s="41"/>
      <x:c r="M550" s="41"/>
      <x:c r="N550" s="7" t="s">
        <x:v>2663</x:v>
      </x:c>
      <x:c r="O550" s="7" t="s">
        <x:v>1539</x:v>
      </x:c>
      <x:c r="P550" s="10">
        <x:v>3.0</x:v>
      </x:c>
      <x:c r="Q550" s="41"/>
      <x:c r="R550" s="10">
        <x:v>262.4</x:v>
      </x:c>
      <x:c r="S550" s="7" t="s">
        <x:v>301</x:v>
      </x:c>
      <x:c r="T550" s="7" t="b">
        <x:v>0</x:v>
      </x:c>
      <x:c r="U550" s="7" t="s">
        <x:v>1541</x:v>
      </x:c>
      <x:c r="V550" s="26" t="s">
        <x:v>1542</x:v>
      </x:c>
      <x:c r="W550" s="7" t="s">
        <x:v>3954</x:v>
      </x:c>
      <x:c r="X550" s="41"/>
      <x:c r="Y550" s="41"/>
      <x:c r="Z550" s="41"/>
    </x:row>
    <x:row r="551">
      <x:c r="A551" s="7" t="s">
        <x:v>3955</x:v>
      </x:c>
      <x:c r="B551" s="7" t="s">
        <x:v>3956</x:v>
      </x:c>
      <x:c r="C551" s="7" t="s">
        <x:v>3957</x:v>
      </x:c>
      <x:c r="D551" s="7" t="s">
        <x:v>58</x:v>
      </x:c>
      <x:c r="E551" s="7" t="s">
        <x:v>1536</x:v>
      </x:c>
      <x:c r="F551" s="10">
        <x:v>14.73758</x:v>
      </x:c>
      <x:c r="G551" s="10">
        <x:v>98.63576</x:v>
      </x:c>
      <x:c r="H551" s="7" t="s">
        <x:v>1658</x:v>
      </x:c>
      <x:c r="I551" s="10">
        <x:v>80.47</x:v>
      </x:c>
      <x:c r="J551" s="41"/>
      <x:c r="K551" s="41"/>
      <x:c r="L551" s="41"/>
      <x:c r="M551" s="10">
        <x:v>0.0</x:v>
      </x:c>
      <x:c r="N551" s="7" t="s">
        <x:v>2663</x:v>
      </x:c>
      <x:c r="O551" s="7" t="s">
        <x:v>1539</x:v>
      </x:c>
      <x:c r="P551" s="10">
        <x:v>3.0</x:v>
      </x:c>
      <x:c r="Q551" s="41"/>
      <x:c r="R551" s="10">
        <x:v>22.4</x:v>
      </x:c>
      <x:c r="S551" s="7" t="s">
        <x:v>1540</x:v>
      </x:c>
      <x:c r="T551" s="7" t="b">
        <x:v>0</x:v>
      </x:c>
      <x:c r="U551" s="7" t="s">
        <x:v>1541</x:v>
      </x:c>
      <x:c r="V551" s="26" t="s">
        <x:v>1542</x:v>
      </x:c>
      <x:c r="W551" s="7" t="s">
        <x:v>3958</x:v>
      </x:c>
      <x:c r="X551" s="41"/>
      <x:c r="Y551" s="41"/>
      <x:c r="Z551" s="41"/>
    </x:row>
    <x:row r="552">
      <x:c r="A552" s="7" t="s">
        <x:v>3959</x:v>
      </x:c>
      <x:c r="B552" s="7" t="s">
        <x:v>3960</x:v>
      </x:c>
      <x:c r="C552" s="7" t="s">
        <x:v>3961</x:v>
      </x:c>
      <x:c r="D552" s="7" t="s">
        <x:v>237</x:v>
      </x:c>
      <x:c r="E552" s="7" t="s">
        <x:v>3962</x:v>
      </x:c>
      <x:c r="F552" s="10">
        <x:v>18.151169</x:v>
      </x:c>
      <x:c r="G552" s="10">
        <x:v>102.17911</x:v>
      </x:c>
      <x:c r="H552" s="7" t="s">
        <x:v>3963</x:v>
      </x:c>
      <x:c r="I552" s="10">
        <x:v>169.82</x:v>
      </x:c>
      <x:c r="J552" s="41"/>
      <x:c r="K552" s="41"/>
      <x:c r="L552" s="41"/>
      <x:c r="M552" s="41"/>
      <x:c r="N552" s="7" t="s">
        <x:v>2663</x:v>
      </x:c>
      <x:c r="O552" s="7" t="s">
        <x:v>1539</x:v>
      </x:c>
      <x:c r="P552" s="10">
        <x:v>3.0</x:v>
      </x:c>
      <x:c r="Q552" s="41"/>
      <x:c r="R552" s="10">
        <x:v>382.4</x:v>
      </x:c>
      <x:c r="S552" s="7" t="s">
        <x:v>301</x:v>
      </x:c>
      <x:c r="T552" s="7" t="b">
        <x:v>0</x:v>
      </x:c>
      <x:c r="U552" s="7" t="s">
        <x:v>1541</x:v>
      </x:c>
      <x:c r="V552" s="26" t="s">
        <x:v>1542</x:v>
      </x:c>
      <x:c r="W552" s="7" t="s">
        <x:v>3964</x:v>
      </x:c>
      <x:c r="X552" s="41"/>
      <x:c r="Y552" s="41"/>
      <x:c r="Z552" s="41"/>
    </x:row>
    <x:row r="553">
      <x:c r="A553" s="7" t="s">
        <x:v>3965</x:v>
      </x:c>
      <x:c r="B553" s="7" t="s">
        <x:v>3966</x:v>
      </x:c>
      <x:c r="C553" s="7" t="s">
        <x:v>3967</x:v>
      </x:c>
      <x:c r="D553" s="7" t="s">
        <x:v>58</x:v>
      </x:c>
      <x:c r="E553" s="7" t="s">
        <x:v>1772</x:v>
      </x:c>
      <x:c r="F553" s="10">
        <x:v>14.43409</x:v>
      </x:c>
      <x:c r="G553" s="10">
        <x:v>98.80909</x:v>
      </x:c>
      <x:c r="H553" s="7" t="s">
        <x:v>1537</x:v>
      </x:c>
      <x:c r="I553" s="10">
        <x:v>60.55</x:v>
      </x:c>
      <x:c r="J553" s="41"/>
      <x:c r="K553" s="41"/>
      <x:c r="L553" s="41"/>
      <x:c r="M553" s="41"/>
      <x:c r="N553" s="7" t="s">
        <x:v>2663</x:v>
      </x:c>
      <x:c r="O553" s="7" t="s">
        <x:v>1539</x:v>
      </x:c>
      <x:c r="P553" s="10">
        <x:v>3.0</x:v>
      </x:c>
      <x:c r="Q553" s="41"/>
      <x:c r="R553" s="10">
        <x:v>-457.6</x:v>
      </x:c>
      <x:c r="S553" s="7" t="s">
        <x:v>1540</x:v>
      </x:c>
      <x:c r="T553" s="7" t="b">
        <x:v>0</x:v>
      </x:c>
      <x:c r="U553" s="7" t="s">
        <x:v>1541</x:v>
      </x:c>
      <x:c r="V553" s="26" t="s">
        <x:v>1542</x:v>
      </x:c>
      <x:c r="W553" s="7" t="s">
        <x:v>3968</x:v>
      </x:c>
      <x:c r="X553" s="41"/>
      <x:c r="Y553" s="41"/>
      <x:c r="Z553" s="41"/>
    </x:row>
    <x:row r="554">
      <x:c r="A554" s="7" t="s">
        <x:v>3969</x:v>
      </x:c>
      <x:c r="B554" s="7" t="s">
        <x:v>3970</x:v>
      </x:c>
      <x:c r="C554" s="7" t="s">
        <x:v>3971</x:v>
      </x:c>
      <x:c r="D554" s="7" t="s">
        <x:v>236</x:v>
      </x:c>
      <x:c r="E554" s="7" t="s">
        <x:v>2927</x:v>
      </x:c>
      <x:c r="F554" s="10">
        <x:v>17.509344</x:v>
      </x:c>
      <x:c r="G554" s="10">
        <x:v>101.73663</x:v>
      </x:c>
      <x:c r="H554" s="7" t="s">
        <x:v>1554</x:v>
      </x:c>
      <x:c r="I554" s="10">
        <x:v>231.64</x:v>
      </x:c>
      <x:c r="J554" s="41"/>
      <x:c r="K554" s="41"/>
      <x:c r="L554" s="41"/>
      <x:c r="M554" s="41"/>
      <x:c r="N554" s="7" t="s">
        <x:v>2663</x:v>
      </x:c>
      <x:c r="O554" s="7" t="s">
        <x:v>1539</x:v>
      </x:c>
      <x:c r="P554" s="10">
        <x:v>3.0</x:v>
      </x:c>
      <x:c r="Q554" s="41"/>
      <x:c r="R554" s="10">
        <x:v>12.4</x:v>
      </x:c>
      <x:c r="S554" s="7" t="s">
        <x:v>1540</x:v>
      </x:c>
      <x:c r="T554" s="7" t="b">
        <x:v>0</x:v>
      </x:c>
      <x:c r="U554" s="7" t="s">
        <x:v>1541</x:v>
      </x:c>
      <x:c r="V554" s="26" t="s">
        <x:v>1542</x:v>
      </x:c>
      <x:c r="W554" s="7" t="s">
        <x:v>3972</x:v>
      </x:c>
      <x:c r="X554" s="41"/>
      <x:c r="Y554" s="41"/>
      <x:c r="Z554" s="41"/>
    </x:row>
    <x:row r="555">
      <x:c r="A555" s="7" t="s">
        <x:v>3973</x:v>
      </x:c>
      <x:c r="B555" s="7" t="s">
        <x:v>3974</x:v>
      </x:c>
      <x:c r="C555" s="7" t="s">
        <x:v>3975</x:v>
      </x:c>
      <x:c r="D555" s="7" t="s">
        <x:v>209</x:v>
      </x:c>
      <x:c r="E555" s="7" t="s">
        <x:v>1734</x:v>
      </x:c>
      <x:c r="F555" s="10">
        <x:v>18.599714</x:v>
      </x:c>
      <x:c r="G555" s="10">
        <x:v>100.1496</x:v>
      </x:c>
      <x:c r="H555" s="7" t="s">
        <x:v>1658</x:v>
      </x:c>
      <x:c r="I555" s="10">
        <x:v>183.76</x:v>
      </x:c>
      <x:c r="J555" s="41"/>
      <x:c r="K555" s="41"/>
      <x:c r="L555" s="41"/>
      <x:c r="M555" s="41"/>
      <x:c r="N555" s="7" t="s">
        <x:v>2663</x:v>
      </x:c>
      <x:c r="O555" s="7" t="s">
        <x:v>1539</x:v>
      </x:c>
      <x:c r="P555" s="10">
        <x:v>3.0</x:v>
      </x:c>
      <x:c r="Q555" s="41"/>
      <x:c r="R555" s="10">
        <x:v>22.4</x:v>
      </x:c>
      <x:c r="S555" s="7" t="s">
        <x:v>1540</x:v>
      </x:c>
      <x:c r="T555" s="7" t="b">
        <x:v>0</x:v>
      </x:c>
      <x:c r="U555" s="7" t="s">
        <x:v>1541</x:v>
      </x:c>
      <x:c r="V555" s="26" t="s">
        <x:v>1542</x:v>
      </x:c>
      <x:c r="W555" s="7" t="s">
        <x:v>3976</x:v>
      </x:c>
      <x:c r="X555" s="41"/>
      <x:c r="Y555" s="41"/>
      <x:c r="Z555" s="41"/>
    </x:row>
    <x:row r="556">
      <x:c r="A556" s="7" t="s">
        <x:v>3977</x:v>
      </x:c>
      <x:c r="B556" s="7" t="s">
        <x:v>3978</x:v>
      </x:c>
      <x:c r="C556" s="7" t="s">
        <x:v>3979</x:v>
      </x:c>
      <x:c r="D556" s="7" t="s">
        <x:v>207</x:v>
      </x:c>
      <x:c r="E556" s="7" t="s">
        <x:v>3980</x:v>
      </x:c>
      <x:c r="F556" s="10">
        <x:v>19.14599</x:v>
      </x:c>
      <x:c r="G556" s="10">
        <x:v>99.007332</x:v>
      </x:c>
      <x:c r="H556" s="7" t="s">
        <x:v>1548</x:v>
      </x:c>
      <x:c r="I556" s="10">
        <x:v>338.41</x:v>
      </x:c>
      <x:c r="J556" s="41"/>
      <x:c r="K556" s="41"/>
      <x:c r="L556" s="41"/>
      <x:c r="M556" s="41"/>
      <x:c r="N556" s="7" t="s">
        <x:v>2663</x:v>
      </x:c>
      <x:c r="O556" s="7" t="s">
        <x:v>1539</x:v>
      </x:c>
      <x:c r="P556" s="10">
        <x:v>3.0</x:v>
      </x:c>
      <x:c r="Q556" s="41"/>
      <x:c r="R556" s="10">
        <x:v>82.4</x:v>
      </x:c>
      <x:c r="S556" s="7" t="s">
        <x:v>301</x:v>
      </x:c>
      <x:c r="T556" s="7" t="b">
        <x:v>0</x:v>
      </x:c>
      <x:c r="U556" s="7" t="s">
        <x:v>1541</x:v>
      </x:c>
      <x:c r="V556" s="26" t="s">
        <x:v>1542</x:v>
      </x:c>
      <x:c r="W556" s="7" t="s">
        <x:v>3981</x:v>
      </x:c>
      <x:c r="X556" s="41"/>
      <x:c r="Y556" s="41"/>
      <x:c r="Z556" s="41"/>
    </x:row>
    <x:row r="557">
      <x:c r="A557" s="7" t="s">
        <x:v>3982</x:v>
      </x:c>
      <x:c r="B557" s="7" t="s">
        <x:v>3983</x:v>
      </x:c>
      <x:c r="C557" s="7" t="s">
        <x:v>3984</x:v>
      </x:c>
      <x:c r="D557" s="7" t="s">
        <x:v>242</x:v>
      </x:c>
      <x:c r="E557" s="7" t="s">
        <x:v>3985</x:v>
      </x:c>
      <x:c r="F557" s="10">
        <x:v>15.50421</x:v>
      </x:c>
      <x:c r="G557" s="10">
        <x:v>104.966202</x:v>
      </x:c>
      <x:c r="H557" s="7" t="s">
        <x:v>1548</x:v>
      </x:c>
      <x:c r="I557" s="10">
        <x:v>110.88</x:v>
      </x:c>
      <x:c r="J557" s="41"/>
      <x:c r="K557" s="41"/>
      <x:c r="L557" s="41"/>
      <x:c r="M557" s="41"/>
      <x:c r="N557" s="7" t="s">
        <x:v>2663</x:v>
      </x:c>
      <x:c r="O557" s="7" t="s">
        <x:v>1539</x:v>
      </x:c>
      <x:c r="P557" s="10">
        <x:v>3.0</x:v>
      </x:c>
      <x:c r="Q557" s="41"/>
      <x:c r="R557" s="10">
        <x:v>82.4</x:v>
      </x:c>
      <x:c r="S557" s="7" t="s">
        <x:v>301</x:v>
      </x:c>
      <x:c r="T557" s="7" t="b">
        <x:v>0</x:v>
      </x:c>
      <x:c r="U557" s="7" t="s">
        <x:v>1541</x:v>
      </x:c>
      <x:c r="V557" s="26" t="s">
        <x:v>1542</x:v>
      </x:c>
      <x:c r="W557" s="7" t="s">
        <x:v>3986</x:v>
      </x:c>
      <x:c r="X557" s="41"/>
      <x:c r="Y557" s="41"/>
      <x:c r="Z557" s="41"/>
    </x:row>
    <x:row r="558">
      <x:c r="A558" s="7" t="s">
        <x:v>3987</x:v>
      </x:c>
      <x:c r="B558" s="7" t="s">
        <x:v>3988</x:v>
      </x:c>
      <x:c r="C558" s="7" t="s">
        <x:v>3989</x:v>
      </x:c>
      <x:c r="D558" s="7" t="s">
        <x:v>256</x:v>
      </x:c>
      <x:c r="E558" s="7" t="s">
        <x:v>2268</x:v>
      </x:c>
      <x:c r="F558" s="10">
        <x:v>6.87577</x:v>
      </x:c>
      <x:c r="G558" s="10">
        <x:v>99.782639</x:v>
      </x:c>
      <x:c r="H558" s="7" t="s">
        <x:v>1548</x:v>
      </x:c>
      <x:c r="I558" s="10">
        <x:v>1.0</x:v>
      </x:c>
      <x:c r="J558" s="41"/>
      <x:c r="K558" s="41"/>
      <x:c r="L558" s="41"/>
      <x:c r="M558" s="10">
        <x:v>3.0</x:v>
      </x:c>
      <x:c r="N558" s="7" t="s">
        <x:v>2663</x:v>
      </x:c>
      <x:c r="O558" s="7" t="s">
        <x:v>1539</x:v>
      </x:c>
      <x:c r="P558" s="10">
        <x:v>3.0</x:v>
      </x:c>
      <x:c r="Q558" s="41"/>
      <x:c r="R558" s="10">
        <x:v>82.4</x:v>
      </x:c>
      <x:c r="S558" s="7" t="s">
        <x:v>301</x:v>
      </x:c>
      <x:c r="T558" s="7" t="b">
        <x:v>0</x:v>
      </x:c>
      <x:c r="U558" s="7" t="s">
        <x:v>1541</x:v>
      </x:c>
      <x:c r="V558" s="26" t="s">
        <x:v>1542</x:v>
      </x:c>
      <x:c r="W558" s="7" t="s">
        <x:v>3990</x:v>
      </x:c>
      <x:c r="X558" s="41"/>
      <x:c r="Y558" s="41"/>
      <x:c r="Z558" s="41"/>
    </x:row>
    <x:row r="559">
      <x:c r="A559" s="7" t="s">
        <x:v>3991</x:v>
      </x:c>
      <x:c r="B559" s="7" t="s">
        <x:v>3992</x:v>
      </x:c>
      <x:c r="C559" s="7" t="s">
        <x:v>3925</x:v>
      </x:c>
      <x:c r="D559" s="7" t="s">
        <x:v>258</x:v>
      </x:c>
      <x:c r="E559" s="7" t="s">
        <x:v>3993</x:v>
      </x:c>
      <x:c r="F559" s="10">
        <x:v>7.56871</x:v>
      </x:c>
      <x:c r="G559" s="10">
        <x:v>100.0485</x:v>
      </x:c>
      <x:c r="H559" s="7" t="s">
        <x:v>1548</x:v>
      </x:c>
      <x:c r="I559" s="10">
        <x:v>13.23</x:v>
      </x:c>
      <x:c r="J559" s="41"/>
      <x:c r="K559" s="41"/>
      <x:c r="L559" s="41"/>
      <x:c r="M559" s="41"/>
      <x:c r="N559" s="7" t="s">
        <x:v>2663</x:v>
      </x:c>
      <x:c r="O559" s="7" t="s">
        <x:v>1539</x:v>
      </x:c>
      <x:c r="P559" s="10">
        <x:v>3.0</x:v>
      </x:c>
      <x:c r="Q559" s="41"/>
      <x:c r="R559" s="10">
        <x:v>82.4</x:v>
      </x:c>
      <x:c r="S559" s="7" t="s">
        <x:v>301</x:v>
      </x:c>
      <x:c r="T559" s="7" t="b">
        <x:v>0</x:v>
      </x:c>
      <x:c r="U559" s="7" t="s">
        <x:v>1541</x:v>
      </x:c>
      <x:c r="V559" s="26" t="s">
        <x:v>1542</x:v>
      </x:c>
      <x:c r="W559" s="7" t="s">
        <x:v>3994</x:v>
      </x:c>
      <x:c r="X559" s="41"/>
      <x:c r="Y559" s="41"/>
      <x:c r="Z559" s="41"/>
    </x:row>
    <x:row r="560">
      <x:c r="A560" s="7" t="s">
        <x:v>3995</x:v>
      </x:c>
      <x:c r="B560" s="7" t="s">
        <x:v>3996</x:v>
      </x:c>
      <x:c r="C560" s="7" t="s">
        <x:v>3997</x:v>
      </x:c>
      <x:c r="D560" s="7" t="s">
        <x:v>230</x:v>
      </x:c>
      <x:c r="E560" s="7" t="s">
        <x:v>2393</x:v>
      </x:c>
      <x:c r="F560" s="10">
        <x:v>16.231939</x:v>
      </x:c>
      <x:c r="G560" s="10">
        <x:v>103.271019</x:v>
      </x:c>
      <x:c r="H560" s="7" t="s">
        <x:v>1548</x:v>
      </x:c>
      <x:c r="I560" s="10">
        <x:v>138.04</x:v>
      </x:c>
      <x:c r="J560" s="41"/>
      <x:c r="K560" s="41"/>
      <x:c r="L560" s="41"/>
      <x:c r="M560" s="10"/>
      <x:c r="N560" s="7" t="s">
        <x:v>2663</x:v>
      </x:c>
      <x:c r="O560" s="7" t="s">
        <x:v>1539</x:v>
      </x:c>
      <x:c r="P560" s="10">
        <x:v>3.0</x:v>
      </x:c>
      <x:c r="Q560" s="41"/>
      <x:c r="R560" s="10">
        <x:v>82.4</x:v>
      </x:c>
      <x:c r="S560" s="7" t="s">
        <x:v>301</x:v>
      </x:c>
      <x:c r="T560" s="7" t="b">
        <x:v>0</x:v>
      </x:c>
      <x:c r="U560" s="7" t="s">
        <x:v>1541</x:v>
      </x:c>
      <x:c r="V560" s="26" t="s">
        <x:v>1542</x:v>
      </x:c>
      <x:c r="W560" s="7" t="s">
        <x:v>3998</x:v>
      </x:c>
      <x:c r="X560" s="41"/>
      <x:c r="Y560" s="41"/>
      <x:c r="Z560" s="41"/>
    </x:row>
    <x:row r="561">
      <x:c r="A561" s="7" t="s">
        <x:v>3999</x:v>
      </x:c>
      <x:c r="B561" s="7" t="s">
        <x:v>4000</x:v>
      </x:c>
      <x:c r="C561" s="7" t="s">
        <x:v>4001</x:v>
      </x:c>
      <x:c r="D561" s="7" t="s">
        <x:v>236</x:v>
      </x:c>
      <x:c r="E561" s="7" t="s">
        <x:v>2927</x:v>
      </x:c>
      <x:c r="F561" s="10">
        <x:v>17.312359</x:v>
      </x:c>
      <x:c r="G561" s="10">
        <x:v>101.7726</x:v>
      </x:c>
      <x:c r="H561" s="7" t="s">
        <x:v>1554</x:v>
      </x:c>
      <x:c r="I561" s="10">
        <x:v>240.86</x:v>
      </x:c>
      <x:c r="J561" s="41"/>
      <x:c r="K561" s="41"/>
      <x:c r="L561" s="41"/>
      <x:c r="M561" s="41"/>
      <x:c r="N561" s="7" t="s">
        <x:v>2663</x:v>
      </x:c>
      <x:c r="O561" s="7" t="s">
        <x:v>1539</x:v>
      </x:c>
      <x:c r="P561" s="10">
        <x:v>3.0</x:v>
      </x:c>
      <x:c r="Q561" s="41"/>
      <x:c r="R561" s="10">
        <x:v>12.4</x:v>
      </x:c>
      <x:c r="S561" s="7" t="s">
        <x:v>1540</x:v>
      </x:c>
      <x:c r="T561" s="7" t="b">
        <x:v>0</x:v>
      </x:c>
      <x:c r="U561" s="7" t="s">
        <x:v>1541</x:v>
      </x:c>
      <x:c r="V561" s="26" t="s">
        <x:v>1542</x:v>
      </x:c>
      <x:c r="W561" s="7" t="s">
        <x:v>4002</x:v>
      </x:c>
      <x:c r="X561" s="41"/>
      <x:c r="Y561" s="41"/>
      <x:c r="Z561" s="41"/>
    </x:row>
    <x:row r="562">
      <x:c r="A562" s="7" t="s">
        <x:v>4003</x:v>
      </x:c>
      <x:c r="B562" s="7" t="s">
        <x:v>4004</x:v>
      </x:c>
      <x:c r="C562" s="7" t="s">
        <x:v>130</x:v>
      </x:c>
      <x:c r="D562" s="7" t="s">
        <x:v>27</x:v>
      </x:c>
      <x:c r="E562" s="7" t="s">
        <x:v>1734</x:v>
      </x:c>
      <x:c r="F562" s="10">
        <x:v>16.70818</x:v>
      </x:c>
      <x:c r="G562" s="10">
        <x:v>100.17179</x:v>
      </x:c>
      <x:c r="H562" s="7" t="s">
        <x:v>1554</x:v>
      </x:c>
      <x:c r="I562" s="10">
        <x:v>33.29</x:v>
      </x:c>
      <x:c r="J562" s="41"/>
      <x:c r="K562" s="41"/>
      <x:c r="L562" s="41"/>
      <x:c r="M562" s="41"/>
      <x:c r="N562" s="7" t="s">
        <x:v>2663</x:v>
      </x:c>
      <x:c r="O562" s="7" t="s">
        <x:v>1539</x:v>
      </x:c>
      <x:c r="P562" s="10">
        <x:v>3.0</x:v>
      </x:c>
      <x:c r="Q562" s="41"/>
      <x:c r="R562" s="10">
        <x:v>12.4</x:v>
      </x:c>
      <x:c r="S562" s="7" t="s">
        <x:v>1540</x:v>
      </x:c>
      <x:c r="T562" s="7" t="b">
        <x:v>0</x:v>
      </x:c>
      <x:c r="U562" s="7" t="s">
        <x:v>1541</x:v>
      </x:c>
      <x:c r="V562" s="26" t="s">
        <x:v>1542</x:v>
      </x:c>
      <x:c r="W562" s="7" t="s">
        <x:v>4005</x:v>
      </x:c>
      <x:c r="X562" s="41"/>
      <x:c r="Y562" s="41"/>
      <x:c r="Z562" s="41"/>
    </x:row>
    <x:row r="563">
      <x:c r="A563" s="7" t="s">
        <x:v>4006</x:v>
      </x:c>
      <x:c r="B563" s="7" t="s">
        <x:v>4007</x:v>
      </x:c>
      <x:c r="C563" s="7" t="s">
        <x:v>4008</x:v>
      </x:c>
      <x:c r="D563" s="7" t="s">
        <x:v>18</x:v>
      </x:c>
      <x:c r="E563" s="7" t="s">
        <x:v>4009</x:v>
      </x:c>
      <x:c r="F563" s="10">
        <x:v>17.12535</x:v>
      </x:c>
      <x:c r="G563" s="10">
        <x:v>98.6394</x:v>
      </x:c>
      <x:c r="H563" s="7" t="s">
        <x:v>1658</x:v>
      </x:c>
      <x:c r="I563" s="10">
        <x:v>299.49</x:v>
      </x:c>
      <x:c r="J563" s="41"/>
      <x:c r="K563" s="41"/>
      <x:c r="L563" s="41"/>
      <x:c r="M563" s="41"/>
      <x:c r="N563" s="7" t="s">
        <x:v>2663</x:v>
      </x:c>
      <x:c r="O563" s="7" t="s">
        <x:v>1539</x:v>
      </x:c>
      <x:c r="P563" s="10">
        <x:v>3.0</x:v>
      </x:c>
      <x:c r="Q563" s="41"/>
      <x:c r="R563" s="10">
        <x:v>22.4</x:v>
      </x:c>
      <x:c r="S563" s="7" t="s">
        <x:v>1540</x:v>
      </x:c>
      <x:c r="T563" s="7" t="b">
        <x:v>0</x:v>
      </x:c>
      <x:c r="U563" s="7" t="s">
        <x:v>1541</x:v>
      </x:c>
      <x:c r="V563" s="26" t="s">
        <x:v>1542</x:v>
      </x:c>
      <x:c r="W563" s="7" t="s">
        <x:v>4010</x:v>
      </x:c>
      <x:c r="X563" s="41"/>
      <x:c r="Y563" s="41"/>
      <x:c r="Z563" s="41"/>
    </x:row>
    <x:row r="564">
      <x:c r="A564" s="7" t="s">
        <x:v>4011</x:v>
      </x:c>
      <x:c r="B564" s="7" t="s">
        <x:v>4012</x:v>
      </x:c>
      <x:c r="C564" s="7" t="s">
        <x:v>4013</x:v>
      </x:c>
      <x:c r="D564" s="7" t="s">
        <x:v>46</x:v>
      </x:c>
      <x:c r="E564" s="7"/>
      <x:c r="F564" s="10">
        <x:v>15.511389</x:v>
      </x:c>
      <x:c r="G564" s="10">
        <x:v>101.34012</x:v>
      </x:c>
      <x:c r="H564" s="7" t="s">
        <x:v>1554</x:v>
      </x:c>
      <x:c r="I564" s="10">
        <x:v>130.4</x:v>
      </x:c>
      <x:c r="J564" s="41"/>
      <x:c r="K564" s="41"/>
      <x:c r="L564" s="41"/>
      <x:c r="M564" s="41"/>
      <x:c r="N564" s="7" t="s">
        <x:v>2663</x:v>
      </x:c>
      <x:c r="O564" s="7" t="s">
        <x:v>1539</x:v>
      </x:c>
      <x:c r="P564" s="10">
        <x:v>3.0</x:v>
      </x:c>
      <x:c r="Q564" s="41"/>
      <x:c r="R564" s="10">
        <x:v>12.4</x:v>
      </x:c>
      <x:c r="S564" s="7" t="s">
        <x:v>1540</x:v>
      </x:c>
      <x:c r="T564" s="7" t="b">
        <x:v>0</x:v>
      </x:c>
      <x:c r="U564" s="7" t="s">
        <x:v>1541</x:v>
      </x:c>
      <x:c r="V564" s="26" t="s">
        <x:v>1542</x:v>
      </x:c>
      <x:c r="W564" s="7" t="s">
        <x:v>4014</x:v>
      </x:c>
      <x:c r="X564" s="41"/>
      <x:c r="Y564" s="41"/>
      <x:c r="Z564" s="41"/>
    </x:row>
    <x:row r="565">
      <x:c r="A565" s="7" t="s">
        <x:v>4015</x:v>
      </x:c>
      <x:c r="B565" s="7" t="s">
        <x:v>4016</x:v>
      </x:c>
      <x:c r="C565" s="7" t="s">
        <x:v>4017</x:v>
      </x:c>
      <x:c r="D565" s="7" t="s">
        <x:v>207</x:v>
      </x:c>
      <x:c r="E565" s="7" t="s">
        <x:v>3358</x:v>
      </x:c>
      <x:c r="F565" s="10">
        <x:v>18.59133</x:v>
      </x:c>
      <x:c r="G565" s="10">
        <x:v>98.796623</x:v>
      </x:c>
      <x:c r="H565" s="7" t="s">
        <x:v>1548</x:v>
      </x:c>
      <x:c r="I565" s="10">
        <x:v>304.47</x:v>
      </x:c>
      <x:c r="J565" s="41"/>
      <x:c r="K565" s="41"/>
      <x:c r="L565" s="41"/>
      <x:c r="M565" s="41"/>
      <x:c r="N565" s="7" t="s">
        <x:v>2663</x:v>
      </x:c>
      <x:c r="O565" s="7" t="s">
        <x:v>1539</x:v>
      </x:c>
      <x:c r="P565" s="10">
        <x:v>3.0</x:v>
      </x:c>
      <x:c r="Q565" s="41"/>
      <x:c r="R565" s="10">
        <x:v>82.4</x:v>
      </x:c>
      <x:c r="S565" s="7" t="s">
        <x:v>301</x:v>
      </x:c>
      <x:c r="T565" s="7" t="b">
        <x:v>0</x:v>
      </x:c>
      <x:c r="U565" s="7" t="s">
        <x:v>1541</x:v>
      </x:c>
      <x:c r="V565" s="26" t="s">
        <x:v>1542</x:v>
      </x:c>
      <x:c r="W565" s="7" t="s">
        <x:v>4018</x:v>
      </x:c>
      <x:c r="X565" s="41"/>
      <x:c r="Y565" s="41"/>
      <x:c r="Z565" s="41"/>
    </x:row>
    <x:row r="566">
      <x:c r="A566" s="7" t="s">
        <x:v>4019</x:v>
      </x:c>
      <x:c r="B566" s="7" t="s">
        <x:v>4020</x:v>
      </x:c>
      <x:c r="C566" s="7" t="s">
        <x:v>4021</x:v>
      </x:c>
      <x:c r="D566" s="7" t="s">
        <x:v>211</x:v>
      </x:c>
      <x:c r="E566" s="7"/>
      <x:c r="F566" s="10">
        <x:v>19.0328</x:v>
      </x:c>
      <x:c r="G566" s="10">
        <x:v>99.92907</x:v>
      </x:c>
      <x:c r="H566" s="7" t="s">
        <x:v>1554</x:v>
      </x:c>
      <x:c r="I566" s="10">
        <x:v>434.73</x:v>
      </x:c>
      <x:c r="J566" s="41"/>
      <x:c r="K566" s="41"/>
      <x:c r="L566" s="41"/>
      <x:c r="M566" s="41"/>
      <x:c r="N566" s="7" t="s">
        <x:v>2663</x:v>
      </x:c>
      <x:c r="O566" s="7" t="s">
        <x:v>1539</x:v>
      </x:c>
      <x:c r="P566" s="10">
        <x:v>3.0</x:v>
      </x:c>
      <x:c r="Q566" s="41"/>
      <x:c r="R566" s="10">
        <x:v>12.4</x:v>
      </x:c>
      <x:c r="S566" s="7" t="s">
        <x:v>1540</x:v>
      </x:c>
      <x:c r="T566" s="7" t="b">
        <x:v>0</x:v>
      </x:c>
      <x:c r="U566" s="7" t="s">
        <x:v>1541</x:v>
      </x:c>
      <x:c r="V566" s="26" t="s">
        <x:v>1542</x:v>
      </x:c>
      <x:c r="W566" s="7" t="s">
        <x:v>4022</x:v>
      </x:c>
      <x:c r="X566" s="41"/>
      <x:c r="Y566" s="41"/>
      <x:c r="Z566" s="41"/>
    </x:row>
    <x:row r="567">
      <x:c r="A567" s="7" t="s">
        <x:v>4023</x:v>
      </x:c>
      <x:c r="B567" s="7" t="s">
        <x:v>4024</x:v>
      </x:c>
      <x:c r="C567" s="7" t="s">
        <x:v>4025</x:v>
      </x:c>
      <x:c r="D567" s="7" t="s">
        <x:v>27</x:v>
      </x:c>
      <x:c r="E567" s="7" t="s">
        <x:v>2360</x:v>
      </x:c>
      <x:c r="F567" s="10">
        <x:v>16.998826</x:v>
      </x:c>
      <x:c r="G567" s="10">
        <x:v>100.325921</x:v>
      </x:c>
      <x:c r="H567" s="7" t="s">
        <x:v>1658</x:v>
      </x:c>
      <x:c r="I567" s="10">
        <x:v>42.61</x:v>
      </x:c>
      <x:c r="J567" s="41"/>
      <x:c r="K567" s="41"/>
      <x:c r="L567" s="41"/>
      <x:c r="M567" s="10">
        <x:v>49.31</x:v>
      </x:c>
      <x:c r="N567" s="7" t="s">
        <x:v>2663</x:v>
      </x:c>
      <x:c r="O567" s="7" t="s">
        <x:v>1539</x:v>
      </x:c>
      <x:c r="P567" s="10">
        <x:v>3.0</x:v>
      </x:c>
      <x:c r="Q567" s="41"/>
      <x:c r="R567" s="10">
        <x:v>22.4</x:v>
      </x:c>
      <x:c r="S567" s="7" t="s">
        <x:v>1540</x:v>
      </x:c>
      <x:c r="T567" s="7" t="b">
        <x:v>0</x:v>
      </x:c>
      <x:c r="U567" s="7" t="s">
        <x:v>1541</x:v>
      </x:c>
      <x:c r="V567" s="26" t="s">
        <x:v>1542</x:v>
      </x:c>
      <x:c r="W567" s="7" t="s">
        <x:v>4026</x:v>
      </x:c>
      <x:c r="X567" s="41"/>
      <x:c r="Y567" s="41"/>
      <x:c r="Z567" s="41"/>
    </x:row>
    <x:row r="568">
      <x:c r="A568" s="7" t="s">
        <x:v>4027</x:v>
      </x:c>
      <x:c r="B568" s="7" t="s">
        <x:v>4028</x:v>
      </x:c>
      <x:c r="C568" s="7" t="s">
        <x:v>4029</x:v>
      </x:c>
      <x:c r="D568" s="7" t="s">
        <x:v>244</x:v>
      </x:c>
      <x:c r="E568" s="7" t="s">
        <x:v>4030</x:v>
      </x:c>
      <x:c r="F568" s="10">
        <x:v>16.546862</x:v>
      </x:c>
      <x:c r="G568" s="10">
        <x:v>104.730385</x:v>
      </x:c>
      <x:c r="H568" s="7" t="s">
        <x:v>1554</x:v>
      </x:c>
      <x:c r="I568" s="10">
        <x:v>129.12</x:v>
      </x:c>
      <x:c r="J568" s="41"/>
      <x:c r="K568" s="41"/>
      <x:c r="L568" s="41"/>
      <x:c r="M568" s="10"/>
      <x:c r="N568" s="7" t="s">
        <x:v>2663</x:v>
      </x:c>
      <x:c r="O568" s="7" t="s">
        <x:v>1539</x:v>
      </x:c>
      <x:c r="P568" s="10">
        <x:v>3.0</x:v>
      </x:c>
      <x:c r="Q568" s="41"/>
      <x:c r="R568" s="10">
        <x:v>12.4</x:v>
      </x:c>
      <x:c r="S568" s="7" t="s">
        <x:v>1540</x:v>
      </x:c>
      <x:c r="T568" s="7" t="b">
        <x:v>0</x:v>
      </x:c>
      <x:c r="U568" s="7" t="s">
        <x:v>1541</x:v>
      </x:c>
      <x:c r="V568" s="26" t="s">
        <x:v>1542</x:v>
      </x:c>
      <x:c r="W568" s="7" t="s">
        <x:v>4031</x:v>
      </x:c>
      <x:c r="X568" s="41"/>
      <x:c r="Y568" s="41"/>
      <x:c r="Z568" s="41"/>
    </x:row>
    <x:row r="569">
      <x:c r="A569" s="7" t="s">
        <x:v>4032</x:v>
      </x:c>
      <x:c r="B569" s="7" t="s">
        <x:v>4033</x:v>
      </x:c>
      <x:c r="C569" s="7" t="s">
        <x:v>4034</x:v>
      </x:c>
      <x:c r="D569" s="7" t="s">
        <x:v>31</x:v>
      </x:c>
      <x:c r="E569" s="7" t="s">
        <x:v>2754</x:v>
      </x:c>
      <x:c r="F569" s="10">
        <x:v>16.56912</x:v>
      </x:c>
      <x:c r="G569" s="10">
        <x:v>100.891792</x:v>
      </x:c>
      <x:c r="H569" s="7" t="s">
        <x:v>1548</x:v>
      </x:c>
      <x:c r="I569" s="10">
        <x:v>687.35</x:v>
      </x:c>
      <x:c r="J569" s="41"/>
      <x:c r="K569" s="41"/>
      <x:c r="L569" s="41"/>
      <x:c r="M569" s="41"/>
      <x:c r="N569" s="7" t="s">
        <x:v>2663</x:v>
      </x:c>
      <x:c r="O569" s="7" t="s">
        <x:v>1539</x:v>
      </x:c>
      <x:c r="P569" s="10">
        <x:v>3.0</x:v>
      </x:c>
      <x:c r="Q569" s="41"/>
      <x:c r="R569" s="10">
        <x:v>82.4</x:v>
      </x:c>
      <x:c r="S569" s="7" t="s">
        <x:v>301</x:v>
      </x:c>
      <x:c r="T569" s="7" t="b">
        <x:v>0</x:v>
      </x:c>
      <x:c r="U569" s="7" t="s">
        <x:v>1541</x:v>
      </x:c>
      <x:c r="V569" s="26" t="s">
        <x:v>1542</x:v>
      </x:c>
      <x:c r="W569" s="7" t="s">
        <x:v>4035</x:v>
      </x:c>
      <x:c r="X569" s="41"/>
      <x:c r="Y569" s="41"/>
      <x:c r="Z569" s="41"/>
    </x:row>
    <x:row r="570">
      <x:c r="A570" s="7" t="s">
        <x:v>4036</x:v>
      </x:c>
      <x:c r="B570" s="7" t="s">
        <x:v>4037</x:v>
      </x:c>
      <x:c r="C570" s="7" t="s">
        <x:v>4038</x:v>
      </x:c>
      <x:c r="D570" s="7" t="s">
        <x:v>88</x:v>
      </x:c>
      <x:c r="E570" s="7"/>
      <x:c r="F570" s="10">
        <x:v>14.321305</x:v>
      </x:c>
      <x:c r="G570" s="10">
        <x:v>101.30604</x:v>
      </x:c>
      <x:c r="H570" s="7" t="s">
        <x:v>1554</x:v>
      </x:c>
      <x:c r="I570" s="10">
        <x:v>27.16</x:v>
      </x:c>
      <x:c r="J570" s="41"/>
      <x:c r="K570" s="41"/>
      <x:c r="L570" s="41"/>
      <x:c r="M570" s="10"/>
      <x:c r="N570" s="7" t="s">
        <x:v>2663</x:v>
      </x:c>
      <x:c r="O570" s="7" t="s">
        <x:v>1539</x:v>
      </x:c>
      <x:c r="P570" s="10">
        <x:v>3.0</x:v>
      </x:c>
      <x:c r="Q570" s="41"/>
      <x:c r="R570" s="10">
        <x:v>12.4</x:v>
      </x:c>
      <x:c r="S570" s="7" t="s">
        <x:v>1540</x:v>
      </x:c>
      <x:c r="T570" s="7" t="b">
        <x:v>0</x:v>
      </x:c>
      <x:c r="U570" s="7" t="s">
        <x:v>1541</x:v>
      </x:c>
      <x:c r="V570" s="26" t="s">
        <x:v>1542</x:v>
      </x:c>
      <x:c r="W570" s="7" t="s">
        <x:v>4039</x:v>
      </x:c>
      <x:c r="X570" s="41"/>
      <x:c r="Y570" s="41"/>
      <x:c r="Z570" s="41"/>
    </x:row>
    <x:row r="571">
      <x:c r="A571" s="7" t="s">
        <x:v>4040</x:v>
      </x:c>
      <x:c r="B571" s="7" t="s">
        <x:v>4041</x:v>
      </x:c>
      <x:c r="C571" s="7" t="s">
        <x:v>4042</x:v>
      </x:c>
      <x:c r="D571" s="7" t="s">
        <x:v>249</x:v>
      </x:c>
      <x:c r="E571" s="7" t="s">
        <x:v>2112</x:v>
      </x:c>
      <x:c r="F571" s="10">
        <x:v>8.57098</x:v>
      </x:c>
      <x:c r="G571" s="10">
        <x:v>99.253868</x:v>
      </x:c>
      <x:c r="H571" s="7" t="s">
        <x:v>1548</x:v>
      </x:c>
      <x:c r="I571" s="10">
        <x:v>5.61</x:v>
      </x:c>
      <x:c r="J571" s="41"/>
      <x:c r="K571" s="41"/>
      <x:c r="L571" s="41"/>
      <x:c r="M571" s="10"/>
      <x:c r="N571" s="7" t="s">
        <x:v>2663</x:v>
      </x:c>
      <x:c r="O571" s="7" t="s">
        <x:v>1539</x:v>
      </x:c>
      <x:c r="P571" s="10">
        <x:v>3.0</x:v>
      </x:c>
      <x:c r="Q571" s="41"/>
      <x:c r="R571" s="10">
        <x:v>82.4</x:v>
      </x:c>
      <x:c r="S571" s="7" t="s">
        <x:v>301</x:v>
      </x:c>
      <x:c r="T571" s="7" t="b">
        <x:v>0</x:v>
      </x:c>
      <x:c r="U571" s="7" t="s">
        <x:v>1541</x:v>
      </x:c>
      <x:c r="V571" s="26" t="s">
        <x:v>1542</x:v>
      </x:c>
      <x:c r="W571" s="7" t="s">
        <x:v>4043</x:v>
      </x:c>
      <x:c r="X571" s="41"/>
      <x:c r="Y571" s="41"/>
      <x:c r="Z571" s="41"/>
    </x:row>
    <x:row r="572">
      <x:c r="A572" s="7" t="s">
        <x:v>4044</x:v>
      </x:c>
      <x:c r="B572" s="7" t="s">
        <x:v>4045</x:v>
      </x:c>
      <x:c r="C572" s="7" t="s">
        <x:v>4046</x:v>
      </x:c>
      <x:c r="D572" s="7" t="s">
        <x:v>207</x:v>
      </x:c>
      <x:c r="E572" s="7" t="s">
        <x:v>4047</x:v>
      </x:c>
      <x:c r="F572" s="10">
        <x:v>19.133591</x:v>
      </x:c>
      <x:c r="G572" s="10">
        <x:v>99.166328</x:v>
      </x:c>
      <x:c r="H572" s="7" t="s">
        <x:v>3065</x:v>
      </x:c>
      <x:c r="I572" s="10">
        <x:v>413.83</x:v>
      </x:c>
      <x:c r="J572" s="41"/>
      <x:c r="K572" s="41"/>
      <x:c r="L572" s="41"/>
      <x:c r="M572" s="41"/>
      <x:c r="N572" s="7" t="s">
        <x:v>2663</x:v>
      </x:c>
      <x:c r="O572" s="7" t="s">
        <x:v>1539</x:v>
      </x:c>
      <x:c r="P572" s="10">
        <x:v>3.0</x:v>
      </x:c>
      <x:c r="Q572" s="41"/>
      <x:c r="R572" s="10">
        <x:v>262.4</x:v>
      </x:c>
      <x:c r="S572" s="7" t="s">
        <x:v>301</x:v>
      </x:c>
      <x:c r="T572" s="7" t="b">
        <x:v>0</x:v>
      </x:c>
      <x:c r="U572" s="7" t="s">
        <x:v>1541</x:v>
      </x:c>
      <x:c r="V572" s="26" t="s">
        <x:v>1542</x:v>
      </x:c>
      <x:c r="W572" s="7" t="s">
        <x:v>4048</x:v>
      </x:c>
      <x:c r="X572" s="41"/>
      <x:c r="Y572" s="41"/>
      <x:c r="Z572" s="41"/>
    </x:row>
    <x:row r="573">
      <x:c r="A573" s="7" t="s">
        <x:v>4049</x:v>
      </x:c>
      <x:c r="B573" s="7" t="s">
        <x:v>4050</x:v>
      </x:c>
      <x:c r="C573" s="7" t="s">
        <x:v>4051</x:v>
      </x:c>
      <x:c r="D573" s="7" t="s">
        <x:v>207</x:v>
      </x:c>
      <x:c r="E573" s="7" t="s">
        <x:v>4052</x:v>
      </x:c>
      <x:c r="F573" s="10">
        <x:v>18.771976</x:v>
      </x:c>
      <x:c r="G573" s="10">
        <x:v>98.862595</x:v>
      </x:c>
      <x:c r="H573" s="7" t="s">
        <x:v>1554</x:v>
      </x:c>
      <x:c r="I573" s="10">
        <x:v>379.64</x:v>
      </x:c>
      <x:c r="J573" s="41"/>
      <x:c r="K573" s="41"/>
      <x:c r="L573" s="41"/>
      <x:c r="M573" s="41"/>
      <x:c r="N573" s="7" t="s">
        <x:v>2663</x:v>
      </x:c>
      <x:c r="O573" s="7" t="s">
        <x:v>1539</x:v>
      </x:c>
      <x:c r="P573" s="10">
        <x:v>3.0</x:v>
      </x:c>
      <x:c r="Q573" s="41"/>
      <x:c r="R573" s="10">
        <x:v>12.4</x:v>
      </x:c>
      <x:c r="S573" s="7" t="s">
        <x:v>1540</x:v>
      </x:c>
      <x:c r="T573" s="7" t="b">
        <x:v>0</x:v>
      </x:c>
      <x:c r="U573" s="7" t="s">
        <x:v>1541</x:v>
      </x:c>
      <x:c r="V573" s="26" t="s">
        <x:v>1542</x:v>
      </x:c>
      <x:c r="W573" s="7" t="s">
        <x:v>4053</x:v>
      </x:c>
      <x:c r="X573" s="41"/>
      <x:c r="Y573" s="41"/>
      <x:c r="Z573" s="41"/>
    </x:row>
    <x:row r="574">
      <x:c r="A574" s="7" t="s">
        <x:v>4054</x:v>
      </x:c>
      <x:c r="B574" s="7" t="s">
        <x:v>4055</x:v>
      </x:c>
      <x:c r="C574" s="7" t="s">
        <x:v>4056</x:v>
      </x:c>
      <x:c r="D574" s="7" t="s">
        <x:v>212</x:v>
      </x:c>
      <x:c r="E574" s="7" t="s">
        <x:v>2695</x:v>
      </x:c>
      <x:c r="F574" s="10">
        <x:v>17.75171</x:v>
      </x:c>
      <x:c r="G574" s="10">
        <x:v>99.23061</x:v>
      </x:c>
      <x:c r="H574" s="7" t="s">
        <x:v>1554</x:v>
      </x:c>
      <x:c r="I574" s="10">
        <x:v>172.02</x:v>
      </x:c>
      <x:c r="J574" s="41"/>
      <x:c r="K574" s="41"/>
      <x:c r="L574" s="41"/>
      <x:c r="M574" s="41"/>
      <x:c r="N574" s="7" t="s">
        <x:v>2663</x:v>
      </x:c>
      <x:c r="O574" s="7" t="s">
        <x:v>1539</x:v>
      </x:c>
      <x:c r="P574" s="10">
        <x:v>3.0</x:v>
      </x:c>
      <x:c r="Q574" s="41"/>
      <x:c r="R574" s="10">
        <x:v>12.4</x:v>
      </x:c>
      <x:c r="S574" s="7" t="s">
        <x:v>1540</x:v>
      </x:c>
      <x:c r="T574" s="7" t="b">
        <x:v>0</x:v>
      </x:c>
      <x:c r="U574" s="7" t="s">
        <x:v>1541</x:v>
      </x:c>
      <x:c r="V574" s="26" t="s">
        <x:v>1542</x:v>
      </x:c>
      <x:c r="W574" s="7" t="s">
        <x:v>4057</x:v>
      </x:c>
      <x:c r="X574" s="41"/>
      <x:c r="Y574" s="41"/>
      <x:c r="Z574" s="41"/>
    </x:row>
    <x:row r="575">
      <x:c r="A575" s="7" t="s">
        <x:v>4058</x:v>
      </x:c>
      <x:c r="B575" s="7" t="s">
        <x:v>4059</x:v>
      </x:c>
      <x:c r="C575" s="7" t="s">
        <x:v>4060</x:v>
      </x:c>
      <x:c r="D575" s="7" t="s">
        <x:v>213</x:v>
      </x:c>
      <x:c r="E575" s="7" t="s">
        <x:v>3282</x:v>
      </x:c>
      <x:c r="F575" s="10">
        <x:v>18.14139</x:v>
      </x:c>
      <x:c r="G575" s="10">
        <x:v>98.896606</x:v>
      </x:c>
      <x:c r="H575" s="7" t="s">
        <x:v>1548</x:v>
      </x:c>
      <x:c r="I575" s="10">
        <x:v>365.7</x:v>
      </x:c>
      <x:c r="J575" s="41"/>
      <x:c r="K575" s="41"/>
      <x:c r="L575" s="41"/>
      <x:c r="M575" s="41"/>
      <x:c r="N575" s="7" t="s">
        <x:v>2663</x:v>
      </x:c>
      <x:c r="O575" s="7" t="s">
        <x:v>1539</x:v>
      </x:c>
      <x:c r="P575" s="10">
        <x:v>3.0</x:v>
      </x:c>
      <x:c r="Q575" s="41"/>
      <x:c r="R575" s="10">
        <x:v>82.4</x:v>
      </x:c>
      <x:c r="S575" s="7" t="s">
        <x:v>301</x:v>
      </x:c>
      <x:c r="T575" s="7" t="b">
        <x:v>0</x:v>
      </x:c>
      <x:c r="U575" s="7" t="s">
        <x:v>1541</x:v>
      </x:c>
      <x:c r="V575" s="26" t="s">
        <x:v>1542</x:v>
      </x:c>
      <x:c r="W575" s="7" t="s">
        <x:v>4061</x:v>
      </x:c>
      <x:c r="X575" s="41"/>
      <x:c r="Y575" s="41"/>
      <x:c r="Z575" s="41"/>
    </x:row>
    <x:row r="576">
      <x:c r="A576" s="7" t="s">
        <x:v>4062</x:v>
      </x:c>
      <x:c r="B576" s="7" t="s">
        <x:v>4063</x:v>
      </x:c>
      <x:c r="C576" s="7" t="s">
        <x:v>4064</x:v>
      </x:c>
      <x:c r="D576" s="7" t="s">
        <x:v>197</x:v>
      </x:c>
      <x:c r="E576" s="7" t="s">
        <x:v>4065</x:v>
      </x:c>
      <x:c r="F576" s="10">
        <x:v>10.112872</x:v>
      </x:c>
      <x:c r="G576" s="10">
        <x:v>99.07568</x:v>
      </x:c>
      <x:c r="H576" s="7" t="s">
        <x:v>1554</x:v>
      </x:c>
      <x:c r="I576" s="10">
        <x:v>4.64</x:v>
      </x:c>
      <x:c r="J576" s="41"/>
      <x:c r="K576" s="41"/>
      <x:c r="L576" s="41"/>
      <x:c r="M576" s="10"/>
      <x:c r="N576" s="7" t="s">
        <x:v>2663</x:v>
      </x:c>
      <x:c r="O576" s="7" t="s">
        <x:v>1539</x:v>
      </x:c>
      <x:c r="P576" s="10">
        <x:v>3.0</x:v>
      </x:c>
      <x:c r="Q576" s="41"/>
      <x:c r="R576" s="10">
        <x:v>12.4</x:v>
      </x:c>
      <x:c r="S576" s="7" t="s">
        <x:v>1540</x:v>
      </x:c>
      <x:c r="T576" s="7" t="b">
        <x:v>0</x:v>
      </x:c>
      <x:c r="U576" s="7" t="s">
        <x:v>1541</x:v>
      </x:c>
      <x:c r="V576" s="26" t="s">
        <x:v>1542</x:v>
      </x:c>
      <x:c r="W576" s="7" t="s">
        <x:v>4066</x:v>
      </x:c>
      <x:c r="X576" s="41"/>
      <x:c r="Y576" s="41"/>
      <x:c r="Z576" s="41"/>
    </x:row>
    <x:row r="577">
      <x:c r="A577" s="7" t="s">
        <x:v>4067</x:v>
      </x:c>
      <x:c r="B577" s="7" t="s">
        <x:v>4068</x:v>
      </x:c>
      <x:c r="C577" s="7" t="s">
        <x:v>2132</x:v>
      </x:c>
      <x:c r="D577" s="7" t="s">
        <x:v>208</x:v>
      </x:c>
      <x:c r="E577" s="7" t="s">
        <x:v>3705</x:v>
      </x:c>
      <x:c r="F577" s="10">
        <x:v>20.15753</x:v>
      </x:c>
      <x:c r="G577" s="10">
        <x:v>99.859596</x:v>
      </x:c>
      <x:c r="H577" s="7" t="s">
        <x:v>1548</x:v>
      </x:c>
      <x:c r="I577" s="10">
        <x:v>407.08</x:v>
      </x:c>
      <x:c r="J577" s="41"/>
      <x:c r="K577" s="41"/>
      <x:c r="L577" s="41"/>
      <x:c r="M577" s="41"/>
      <x:c r="N577" s="7" t="s">
        <x:v>2663</x:v>
      </x:c>
      <x:c r="O577" s="7" t="s">
        <x:v>1539</x:v>
      </x:c>
      <x:c r="P577" s="10">
        <x:v>3.0</x:v>
      </x:c>
      <x:c r="Q577" s="41"/>
      <x:c r="R577" s="10">
        <x:v>82.4</x:v>
      </x:c>
      <x:c r="S577" s="7" t="s">
        <x:v>301</x:v>
      </x:c>
      <x:c r="T577" s="7" t="b">
        <x:v>0</x:v>
      </x:c>
      <x:c r="U577" s="7" t="s">
        <x:v>1541</x:v>
      </x:c>
      <x:c r="V577" s="26" t="s">
        <x:v>1542</x:v>
      </x:c>
      <x:c r="W577" s="7" t="s">
        <x:v>4069</x:v>
      </x:c>
      <x:c r="X577" s="41"/>
      <x:c r="Y577" s="41"/>
      <x:c r="Z577" s="41"/>
    </x:row>
    <x:row r="578">
      <x:c r="A578" s="7" t="s">
        <x:v>4070</x:v>
      </x:c>
      <x:c r="B578" s="7" t="s">
        <x:v>4071</x:v>
      </x:c>
      <x:c r="C578" s="7" t="s">
        <x:v>4072</x:v>
      </x:c>
      <x:c r="D578" s="7" t="s">
        <x:v>256</x:v>
      </x:c>
      <x:c r="E578" s="7" t="s">
        <x:v>4073</x:v>
      </x:c>
      <x:c r="F578" s="10">
        <x:v>6.928349</x:v>
      </x:c>
      <x:c r="G578" s="10">
        <x:v>99.936035</x:v>
      </x:c>
      <x:c r="H578" s="7" t="s">
        <x:v>1554</x:v>
      </x:c>
      <x:c r="I578" s="10">
        <x:v>21.67</x:v>
      </x:c>
      <x:c r="J578" s="41"/>
      <x:c r="K578" s="41"/>
      <x:c r="L578" s="41"/>
      <x:c r="M578" s="10"/>
      <x:c r="N578" s="7" t="s">
        <x:v>2663</x:v>
      </x:c>
      <x:c r="O578" s="7" t="s">
        <x:v>1539</x:v>
      </x:c>
      <x:c r="P578" s="10">
        <x:v>3.0</x:v>
      </x:c>
      <x:c r="Q578" s="41"/>
      <x:c r="R578" s="10">
        <x:v>12.4</x:v>
      </x:c>
      <x:c r="S578" s="7" t="s">
        <x:v>1540</x:v>
      </x:c>
      <x:c r="T578" s="7" t="b">
        <x:v>0</x:v>
      </x:c>
      <x:c r="U578" s="7" t="s">
        <x:v>1541</x:v>
      </x:c>
      <x:c r="V578" s="26" t="s">
        <x:v>1542</x:v>
      </x:c>
      <x:c r="W578" s="7" t="s">
        <x:v>4074</x:v>
      </x:c>
      <x:c r="X578" s="41"/>
      <x:c r="Y578" s="41"/>
      <x:c r="Z578" s="41"/>
    </x:row>
    <x:row r="579">
      <x:c r="A579" s="7" t="s">
        <x:v>4075</x:v>
      </x:c>
      <x:c r="B579" s="7" t="s">
        <x:v>4076</x:v>
      </x:c>
      <x:c r="C579" s="7" t="s">
        <x:v>4077</x:v>
      </x:c>
      <x:c r="D579" s="7" t="s">
        <x:v>207</x:v>
      </x:c>
      <x:c r="E579" s="7" t="s">
        <x:v>2074</x:v>
      </x:c>
      <x:c r="F579" s="10">
        <x:v>19.36728</x:v>
      </x:c>
      <x:c r="G579" s="10">
        <x:v>98.96884</x:v>
      </x:c>
      <x:c r="H579" s="7" t="s">
        <x:v>1554</x:v>
      </x:c>
      <x:c r="I579" s="10">
        <x:v>379.2</x:v>
      </x:c>
      <x:c r="J579" s="41"/>
      <x:c r="K579" s="41"/>
      <x:c r="L579" s="41"/>
      <x:c r="M579" s="10"/>
      <x:c r="N579" s="7" t="s">
        <x:v>2663</x:v>
      </x:c>
      <x:c r="O579" s="7" t="s">
        <x:v>1539</x:v>
      </x:c>
      <x:c r="P579" s="10">
        <x:v>3.0</x:v>
      </x:c>
      <x:c r="Q579" s="41"/>
      <x:c r="R579" s="10">
        <x:v>12.4</x:v>
      </x:c>
      <x:c r="S579" s="7" t="s">
        <x:v>1540</x:v>
      </x:c>
      <x:c r="T579" s="7" t="b">
        <x:v>0</x:v>
      </x:c>
      <x:c r="U579" s="7" t="s">
        <x:v>1541</x:v>
      </x:c>
      <x:c r="V579" s="26" t="s">
        <x:v>1542</x:v>
      </x:c>
      <x:c r="W579" s="7" t="s">
        <x:v>4078</x:v>
      </x:c>
      <x:c r="X579" s="41"/>
      <x:c r="Y579" s="41"/>
      <x:c r="Z579" s="41"/>
    </x:row>
    <x:row r="580">
      <x:c r="A580" s="7" t="s">
        <x:v>4079</x:v>
      </x:c>
      <x:c r="B580" s="7" t="s">
        <x:v>4080</x:v>
      </x:c>
      <x:c r="C580" s="7" t="s">
        <x:v>4081</x:v>
      </x:c>
      <x:c r="D580" s="7" t="s">
        <x:v>55</x:v>
      </x:c>
      <x:c r="E580" s="7" t="s">
        <x:v>1649</x:v>
      </x:c>
      <x:c r="F580" s="10">
        <x:v>14.194874</x:v>
      </x:c>
      <x:c r="G580" s="10">
        <x:v>100.13267</x:v>
      </x:c>
      <x:c r="H580" s="7" t="s">
        <x:v>1554</x:v>
      </x:c>
      <x:c r="I580" s="10">
        <x:v>1.39</x:v>
      </x:c>
      <x:c r="J580" s="41"/>
      <x:c r="K580" s="41"/>
      <x:c r="L580" s="41"/>
      <x:c r="M580" s="41"/>
      <x:c r="N580" s="7" t="s">
        <x:v>2663</x:v>
      </x:c>
      <x:c r="O580" s="7" t="s">
        <x:v>1539</x:v>
      </x:c>
      <x:c r="P580" s="10">
        <x:v>3.0</x:v>
      </x:c>
      <x:c r="Q580" s="41"/>
      <x:c r="R580" s="10">
        <x:v>12.4</x:v>
      </x:c>
      <x:c r="S580" s="7" t="s">
        <x:v>1540</x:v>
      </x:c>
      <x:c r="T580" s="7" t="b">
        <x:v>0</x:v>
      </x:c>
      <x:c r="U580" s="7" t="s">
        <x:v>1541</x:v>
      </x:c>
      <x:c r="V580" s="26" t="s">
        <x:v>1542</x:v>
      </x:c>
      <x:c r="W580" s="7" t="s">
        <x:v>4082</x:v>
      </x:c>
      <x:c r="X580" s="41"/>
      <x:c r="Y580" s="41"/>
      <x:c r="Z580" s="41"/>
    </x:row>
    <x:row r="581">
      <x:c r="A581" s="7" t="s">
        <x:v>4083</x:v>
      </x:c>
      <x:c r="B581" s="7" t="s">
        <x:v>4084</x:v>
      </x:c>
      <x:c r="C581" s="7" t="s">
        <x:v>4085</x:v>
      </x:c>
      <x:c r="D581" s="7" t="s">
        <x:v>197</x:v>
      </x:c>
      <x:c r="E581" s="7" t="s">
        <x:v>4086</x:v>
      </x:c>
      <x:c r="F581" s="10">
        <x:v>10.607499</x:v>
      </x:c>
      <x:c r="G581" s="10">
        <x:v>99.095345</x:v>
      </x:c>
      <x:c r="H581" s="7" t="s">
        <x:v>1554</x:v>
      </x:c>
      <x:c r="I581" s="10">
        <x:v>9.38</x:v>
      </x:c>
      <x:c r="J581" s="41"/>
      <x:c r="K581" s="41"/>
      <x:c r="L581" s="41"/>
      <x:c r="M581" s="41"/>
      <x:c r="N581" s="7" t="s">
        <x:v>2663</x:v>
      </x:c>
      <x:c r="O581" s="7" t="s">
        <x:v>1539</x:v>
      </x:c>
      <x:c r="P581" s="10">
        <x:v>3.0</x:v>
      </x:c>
      <x:c r="Q581" s="41"/>
      <x:c r="R581" s="10">
        <x:v>12.4</x:v>
      </x:c>
      <x:c r="S581" s="7" t="s">
        <x:v>1540</x:v>
      </x:c>
      <x:c r="T581" s="7" t="b">
        <x:v>0</x:v>
      </x:c>
      <x:c r="U581" s="7" t="s">
        <x:v>1541</x:v>
      </x:c>
      <x:c r="V581" s="26" t="s">
        <x:v>1542</x:v>
      </x:c>
      <x:c r="W581" s="7" t="s">
        <x:v>4087</x:v>
      </x:c>
      <x:c r="X581" s="41"/>
      <x:c r="Y581" s="41"/>
      <x:c r="Z581" s="41"/>
    </x:row>
    <x:row r="582">
      <x:c r="A582" s="7" t="s">
        <x:v>4088</x:v>
      </x:c>
      <x:c r="B582" s="7" t="s">
        <x:v>4089</x:v>
      </x:c>
      <x:c r="C582" s="7" t="s">
        <x:v>4090</x:v>
      </x:c>
      <x:c r="D582" s="7" t="s">
        <x:v>212</x:v>
      </x:c>
      <x:c r="E582" s="7" t="s">
        <x:v>2695</x:v>
      </x:c>
      <x:c r="F582" s="10">
        <x:v>18.15915</x:v>
      </x:c>
      <x:c r="G582" s="10">
        <x:v>99.38407</x:v>
      </x:c>
      <x:c r="H582" s="7" t="s">
        <x:v>1554</x:v>
      </x:c>
      <x:c r="I582" s="10">
        <x:v>210.92</x:v>
      </x:c>
      <x:c r="J582" s="41"/>
      <x:c r="K582" s="41"/>
      <x:c r="L582" s="41"/>
      <x:c r="M582" s="10"/>
      <x:c r="N582" s="7" t="s">
        <x:v>2663</x:v>
      </x:c>
      <x:c r="O582" s="7" t="s">
        <x:v>1539</x:v>
      </x:c>
      <x:c r="P582" s="10">
        <x:v>3.0</x:v>
      </x:c>
      <x:c r="Q582" s="41"/>
      <x:c r="R582" s="10">
        <x:v>12.4</x:v>
      </x:c>
      <x:c r="S582" s="7" t="s">
        <x:v>1540</x:v>
      </x:c>
      <x:c r="T582" s="7" t="b">
        <x:v>0</x:v>
      </x:c>
      <x:c r="U582" s="7" t="s">
        <x:v>1541</x:v>
      </x:c>
      <x:c r="V582" s="26" t="s">
        <x:v>1542</x:v>
      </x:c>
      <x:c r="W582" s="7" t="s">
        <x:v>4091</x:v>
      </x:c>
      <x:c r="X582" s="41"/>
      <x:c r="Y582" s="41"/>
      <x:c r="Z582" s="41"/>
    </x:row>
    <x:row r="583">
      <x:c r="A583" s="7" t="s">
        <x:v>4092</x:v>
      </x:c>
      <x:c r="B583" s="7" t="s">
        <x:v>4093</x:v>
      </x:c>
      <x:c r="C583" s="7" t="s">
        <x:v>4094</x:v>
      </x:c>
      <x:c r="D583" s="7" t="s">
        <x:v>248</x:v>
      </x:c>
      <x:c r="E583" s="7" t="s">
        <x:v>4095</x:v>
      </x:c>
      <x:c r="F583" s="10">
        <x:v>7.954553</x:v>
      </x:c>
      <x:c r="G583" s="10">
        <x:v>99.896324</x:v>
      </x:c>
      <x:c r="H583" s="7" t="s">
        <x:v>1658</x:v>
      </x:c>
      <x:c r="I583" s="10">
        <x:v>10.86</x:v>
      </x:c>
      <x:c r="J583" s="41"/>
      <x:c r="K583" s="41"/>
      <x:c r="L583" s="41"/>
      <x:c r="M583" s="10"/>
      <x:c r="N583" s="7" t="s">
        <x:v>2663</x:v>
      </x:c>
      <x:c r="O583" s="7" t="s">
        <x:v>1539</x:v>
      </x:c>
      <x:c r="P583" s="10">
        <x:v>3.0</x:v>
      </x:c>
      <x:c r="Q583" s="41"/>
      <x:c r="R583" s="10">
        <x:v>22.4</x:v>
      </x:c>
      <x:c r="S583" s="7" t="s">
        <x:v>1540</x:v>
      </x:c>
      <x:c r="T583" s="7" t="b">
        <x:v>0</x:v>
      </x:c>
      <x:c r="U583" s="7" t="s">
        <x:v>1541</x:v>
      </x:c>
      <x:c r="V583" s="26" t="s">
        <x:v>1542</x:v>
      </x:c>
      <x:c r="W583" s="7" t="s">
        <x:v>4096</x:v>
      </x:c>
      <x:c r="X583" s="41"/>
      <x:c r="Y583" s="41"/>
      <x:c r="Z583" s="41"/>
    </x:row>
    <x:row r="584">
      <x:c r="A584" s="7" t="s">
        <x:v>4097</x:v>
      </x:c>
      <x:c r="B584" s="7" t="s">
        <x:v>4098</x:v>
      </x:c>
      <x:c r="C584" s="7" t="s">
        <x:v>4099</x:v>
      </x:c>
      <x:c r="D584" s="7" t="s">
        <x:v>249</x:v>
      </x:c>
      <x:c r="E584" s="7" t="s">
        <x:v>3744</x:v>
      </x:c>
      <x:c r="F584" s="10">
        <x:v>8.537499</x:v>
      </x:c>
      <x:c r="G584" s="10">
        <x:v>99.181015</x:v>
      </x:c>
      <x:c r="H584" s="7" t="s">
        <x:v>1554</x:v>
      </x:c>
      <x:c r="I584" s="10">
        <x:v>7.78</x:v>
      </x:c>
      <x:c r="J584" s="41"/>
      <x:c r="K584" s="41"/>
      <x:c r="L584" s="41"/>
      <x:c r="M584" s="10"/>
      <x:c r="N584" s="7" t="s">
        <x:v>2663</x:v>
      </x:c>
      <x:c r="O584" s="7" t="s">
        <x:v>1539</x:v>
      </x:c>
      <x:c r="P584" s="10">
        <x:v>3.0</x:v>
      </x:c>
      <x:c r="Q584" s="41"/>
      <x:c r="R584" s="10">
        <x:v>12.4</x:v>
      </x:c>
      <x:c r="S584" s="7" t="s">
        <x:v>1540</x:v>
      </x:c>
      <x:c r="T584" s="7" t="b">
        <x:v>0</x:v>
      </x:c>
      <x:c r="U584" s="7" t="s">
        <x:v>1541</x:v>
      </x:c>
      <x:c r="V584" s="26" t="s">
        <x:v>1542</x:v>
      </x:c>
      <x:c r="W584" s="7" t="s">
        <x:v>4100</x:v>
      </x:c>
      <x:c r="X584" s="41"/>
      <x:c r="Y584" s="41"/>
      <x:c r="Z584" s="41"/>
    </x:row>
    <x:row r="585">
      <x:c r="A585" s="7" t="s">
        <x:v>4101</x:v>
      </x:c>
      <x:c r="B585" s="7" t="s">
        <x:v>4102</x:v>
      </x:c>
      <x:c r="C585" s="7" t="s">
        <x:v>4103</x:v>
      </x:c>
      <x:c r="D585" s="7" t="s">
        <x:v>208</x:v>
      </x:c>
      <x:c r="E585" s="7" t="s">
        <x:v>3676</x:v>
      </x:c>
      <x:c r="F585" s="10">
        <x:v>19.301765</x:v>
      </x:c>
      <x:c r="G585" s="10">
        <x:v>99.51751</x:v>
      </x:c>
      <x:c r="H585" s="7" t="s">
        <x:v>1554</x:v>
      </x:c>
      <x:c r="I585" s="10">
        <x:v>544.4</x:v>
      </x:c>
      <x:c r="J585" s="41"/>
      <x:c r="K585" s="41"/>
      <x:c r="L585" s="41"/>
      <x:c r="M585" s="10"/>
      <x:c r="N585" s="7" t="s">
        <x:v>2663</x:v>
      </x:c>
      <x:c r="O585" s="7" t="s">
        <x:v>1539</x:v>
      </x:c>
      <x:c r="P585" s="10">
        <x:v>3.0</x:v>
      </x:c>
      <x:c r="Q585" s="41"/>
      <x:c r="R585" s="10">
        <x:v>12.4</x:v>
      </x:c>
      <x:c r="S585" s="7" t="s">
        <x:v>1540</x:v>
      </x:c>
      <x:c r="T585" s="7" t="b">
        <x:v>0</x:v>
      </x:c>
      <x:c r="U585" s="7" t="s">
        <x:v>1541</x:v>
      </x:c>
      <x:c r="V585" s="26" t="s">
        <x:v>1542</x:v>
      </x:c>
      <x:c r="W585" s="7" t="s">
        <x:v>4104</x:v>
      </x:c>
      <x:c r="X585" s="41"/>
      <x:c r="Y585" s="41"/>
      <x:c r="Z585" s="41"/>
    </x:row>
    <x:row r="586">
      <x:c r="A586" s="7" t="s">
        <x:v>4105</x:v>
      </x:c>
      <x:c r="B586" s="7" t="s">
        <x:v>4106</x:v>
      </x:c>
      <x:c r="C586" s="7" t="s">
        <x:v>4107</x:v>
      </x:c>
      <x:c r="D586" s="7" t="s">
        <x:v>257</x:v>
      </x:c>
      <x:c r="E586" s="7" t="s">
        <x:v>2724</x:v>
      </x:c>
      <x:c r="F586" s="10">
        <x:v>7.55583</x:v>
      </x:c>
      <x:c r="G586" s="10">
        <x:v>99.578438</x:v>
      </x:c>
      <x:c r="H586" s="7" t="s">
        <x:v>1548</x:v>
      </x:c>
      <x:c r="I586" s="10">
        <x:v>1.66</x:v>
      </x:c>
      <x:c r="J586" s="41"/>
      <x:c r="K586" s="41"/>
      <x:c r="L586" s="41"/>
      <x:c r="M586" s="10"/>
      <x:c r="N586" s="7" t="s">
        <x:v>2663</x:v>
      </x:c>
      <x:c r="O586" s="7" t="s">
        <x:v>1539</x:v>
      </x:c>
      <x:c r="P586" s="10">
        <x:v>3.0</x:v>
      </x:c>
      <x:c r="Q586" s="41"/>
      <x:c r="R586" s="10">
        <x:v>82.4</x:v>
      </x:c>
      <x:c r="S586" s="7" t="s">
        <x:v>301</x:v>
      </x:c>
      <x:c r="T586" s="7" t="b">
        <x:v>0</x:v>
      </x:c>
      <x:c r="U586" s="7" t="s">
        <x:v>1541</x:v>
      </x:c>
      <x:c r="V586" s="26" t="s">
        <x:v>1542</x:v>
      </x:c>
      <x:c r="W586" s="7" t="s">
        <x:v>4108</x:v>
      </x:c>
      <x:c r="X586" s="41"/>
      <x:c r="Y586" s="41"/>
      <x:c r="Z586" s="41"/>
    </x:row>
    <x:row r="587">
      <x:c r="A587" s="7" t="s">
        <x:v>4109</x:v>
      </x:c>
      <x:c r="B587" s="7" t="s">
        <x:v>4110</x:v>
      </x:c>
      <x:c r="C587" s="7" t="s">
        <x:v>4111</x:v>
      </x:c>
      <x:c r="D587" s="7" t="s">
        <x:v>18</x:v>
      </x:c>
      <x:c r="E587" s="7" t="s">
        <x:v>2074</x:v>
      </x:c>
      <x:c r="F587" s="10">
        <x:v>17.04066</x:v>
      </x:c>
      <x:c r="G587" s="10">
        <x:v>99.06628</x:v>
      </x:c>
      <x:c r="H587" s="7" t="s">
        <x:v>1554</x:v>
      </x:c>
      <x:c r="I587" s="10">
        <x:v>118.93</x:v>
      </x:c>
      <x:c r="J587" s="41"/>
      <x:c r="K587" s="41"/>
      <x:c r="L587" s="41"/>
      <x:c r="M587" s="41"/>
      <x:c r="N587" s="7" t="s">
        <x:v>2663</x:v>
      </x:c>
      <x:c r="O587" s="7" t="s">
        <x:v>1539</x:v>
      </x:c>
      <x:c r="P587" s="10">
        <x:v>3.0</x:v>
      </x:c>
      <x:c r="Q587" s="41"/>
      <x:c r="R587" s="10">
        <x:v>12.4</x:v>
      </x:c>
      <x:c r="S587" s="7" t="s">
        <x:v>1540</x:v>
      </x:c>
      <x:c r="T587" s="7" t="b">
        <x:v>0</x:v>
      </x:c>
      <x:c r="U587" s="7" t="s">
        <x:v>1541</x:v>
      </x:c>
      <x:c r="V587" s="26" t="s">
        <x:v>1542</x:v>
      </x:c>
      <x:c r="W587" s="7" t="s">
        <x:v>4112</x:v>
      </x:c>
      <x:c r="X587" s="41"/>
      <x:c r="Y587" s="41"/>
      <x:c r="Z587" s="41"/>
    </x:row>
    <x:row r="588">
      <x:c r="A588" s="7" t="s">
        <x:v>4113</x:v>
      </x:c>
      <x:c r="B588" s="7" t="s">
        <x:v>4114</x:v>
      </x:c>
      <x:c r="C588" s="7" t="s">
        <x:v>4115</x:v>
      </x:c>
      <x:c r="D588" s="7" t="s">
        <x:v>208</x:v>
      </x:c>
      <x:c r="E588" s="7" t="s">
        <x:v>3676</x:v>
      </x:c>
      <x:c r="F588" s="10">
        <x:v>19.65265</x:v>
      </x:c>
      <x:c r="G588" s="10">
        <x:v>99.5379</x:v>
      </x:c>
      <x:c r="H588" s="7" t="s">
        <x:v>1554</x:v>
      </x:c>
      <x:c r="I588" s="10">
        <x:v>451.44</x:v>
      </x:c>
      <x:c r="J588" s="41"/>
      <x:c r="K588" s="41"/>
      <x:c r="L588" s="41"/>
      <x:c r="M588" s="10"/>
      <x:c r="N588" s="7" t="s">
        <x:v>2663</x:v>
      </x:c>
      <x:c r="O588" s="7" t="s">
        <x:v>1539</x:v>
      </x:c>
      <x:c r="P588" s="10">
        <x:v>3.0</x:v>
      </x:c>
      <x:c r="Q588" s="41"/>
      <x:c r="R588" s="10">
        <x:v>12.4</x:v>
      </x:c>
      <x:c r="S588" s="7" t="s">
        <x:v>1540</x:v>
      </x:c>
      <x:c r="T588" s="7" t="b">
        <x:v>0</x:v>
      </x:c>
      <x:c r="U588" s="7" t="s">
        <x:v>1541</x:v>
      </x:c>
      <x:c r="V588" s="26" t="s">
        <x:v>1542</x:v>
      </x:c>
      <x:c r="W588" s="7" t="s">
        <x:v>4116</x:v>
      </x:c>
      <x:c r="X588" s="41"/>
      <x:c r="Y588" s="41"/>
      <x:c r="Z588" s="41"/>
    </x:row>
    <x:row r="589">
      <x:c r="A589" s="7" t="s">
        <x:v>4117</x:v>
      </x:c>
      <x:c r="B589" s="7" t="s">
        <x:v>4118</x:v>
      </x:c>
      <x:c r="C589" s="7" t="s">
        <x:v>4119</x:v>
      </x:c>
      <x:c r="D589" s="7" t="s">
        <x:v>207</x:v>
      </x:c>
      <x:c r="E589" s="7"/>
      <x:c r="F589" s="10">
        <x:v>19.238968</x:v>
      </x:c>
      <x:c r="G589" s="10">
        <x:v>99.18048</x:v>
      </x:c>
      <x:c r="H589" s="7" t="s">
        <x:v>1554</x:v>
      </x:c>
      <x:c r="I589" s="10">
        <x:v>398.6</x:v>
      </x:c>
      <x:c r="J589" s="41"/>
      <x:c r="K589" s="41"/>
      <x:c r="L589" s="41"/>
      <x:c r="M589" s="10"/>
      <x:c r="N589" s="7" t="s">
        <x:v>2663</x:v>
      </x:c>
      <x:c r="O589" s="7" t="s">
        <x:v>1539</x:v>
      </x:c>
      <x:c r="P589" s="10">
        <x:v>3.0</x:v>
      </x:c>
      <x:c r="Q589" s="41"/>
      <x:c r="R589" s="10">
        <x:v>12.4</x:v>
      </x:c>
      <x:c r="S589" s="7" t="s">
        <x:v>1540</x:v>
      </x:c>
      <x:c r="T589" s="7" t="b">
        <x:v>0</x:v>
      </x:c>
      <x:c r="U589" s="7" t="s">
        <x:v>1541</x:v>
      </x:c>
      <x:c r="V589" s="26" t="s">
        <x:v>1542</x:v>
      </x:c>
      <x:c r="W589" s="7" t="s">
        <x:v>4120</x:v>
      </x:c>
      <x:c r="X589" s="41"/>
      <x:c r="Y589" s="41"/>
      <x:c r="Z589" s="41"/>
    </x:row>
    <x:row r="590">
      <x:c r="A590" s="7" t="s">
        <x:v>4121</x:v>
      </x:c>
      <x:c r="B590" s="7" t="s">
        <x:v>4122</x:v>
      </x:c>
      <x:c r="C590" s="7" t="s">
        <x:v>4123</x:v>
      </x:c>
      <x:c r="D590" s="7" t="s">
        <x:v>31</x:v>
      </x:c>
      <x:c r="E590" s="7" t="s">
        <x:v>1703</x:v>
      </x:c>
      <x:c r="F590" s="10">
        <x:v>17.004061</x:v>
      </x:c>
      <x:c r="G590" s="10">
        <x:v>101.352898</x:v>
      </x:c>
      <x:c r="H590" s="7" t="s">
        <x:v>1548</x:v>
      </x:c>
      <x:c r="I590" s="10">
        <x:v>193.37</x:v>
      </x:c>
      <x:c r="J590" s="41"/>
      <x:c r="K590" s="41"/>
      <x:c r="L590" s="41"/>
      <x:c r="M590" s="10"/>
      <x:c r="N590" s="7" t="s">
        <x:v>2663</x:v>
      </x:c>
      <x:c r="O590" s="7" t="s">
        <x:v>1539</x:v>
      </x:c>
      <x:c r="P590" s="10">
        <x:v>3.0</x:v>
      </x:c>
      <x:c r="Q590" s="41"/>
      <x:c r="R590" s="10">
        <x:v>82.4</x:v>
      </x:c>
      <x:c r="S590" s="7" t="s">
        <x:v>301</x:v>
      </x:c>
      <x:c r="T590" s="7" t="b">
        <x:v>0</x:v>
      </x:c>
      <x:c r="U590" s="7" t="s">
        <x:v>1541</x:v>
      </x:c>
      <x:c r="V590" s="26" t="s">
        <x:v>1542</x:v>
      </x:c>
      <x:c r="W590" s="7" t="s">
        <x:v>4124</x:v>
      </x:c>
      <x:c r="X590" s="41"/>
      <x:c r="Y590" s="41"/>
      <x:c r="Z590" s="41"/>
    </x:row>
    <x:row r="591">
      <x:c r="A591" s="7" t="s">
        <x:v>4125</x:v>
      </x:c>
      <x:c r="B591" s="7" t="s">
        <x:v>4126</x:v>
      </x:c>
      <x:c r="C591" s="7" t="s">
        <x:v>4127</x:v>
      </x:c>
      <x:c r="D591" s="7" t="s">
        <x:v>209</x:v>
      </x:c>
      <x:c r="E591" s="7" t="s">
        <x:v>4128</x:v>
      </x:c>
      <x:c r="F591" s="10">
        <x:v>18.243488</x:v>
      </x:c>
      <x:c r="G591" s="10">
        <x:v>99.97737</x:v>
      </x:c>
      <x:c r="H591" s="7" t="s">
        <x:v>1554</x:v>
      </x:c>
      <x:c r="I591" s="10">
        <x:v>182.36</x:v>
      </x:c>
      <x:c r="J591" s="41"/>
      <x:c r="K591" s="41"/>
      <x:c r="L591" s="41"/>
      <x:c r="M591" s="10"/>
      <x:c r="N591" s="7" t="s">
        <x:v>2663</x:v>
      </x:c>
      <x:c r="O591" s="7" t="s">
        <x:v>1539</x:v>
      </x:c>
      <x:c r="P591" s="10">
        <x:v>3.0</x:v>
      </x:c>
      <x:c r="Q591" s="41"/>
      <x:c r="R591" s="10">
        <x:v>12.4</x:v>
      </x:c>
      <x:c r="S591" s="7" t="s">
        <x:v>1540</x:v>
      </x:c>
      <x:c r="T591" s="7" t="b">
        <x:v>0</x:v>
      </x:c>
      <x:c r="U591" s="7" t="s">
        <x:v>1541</x:v>
      </x:c>
      <x:c r="V591" s="26" t="s">
        <x:v>1542</x:v>
      </x:c>
      <x:c r="W591" s="7" t="s">
        <x:v>4129</x:v>
      </x:c>
      <x:c r="X591" s="41"/>
      <x:c r="Y591" s="41"/>
      <x:c r="Z591" s="41"/>
    </x:row>
    <x:row r="592">
      <x:c r="A592" s="7" t="s">
        <x:v>4130</x:v>
      </x:c>
      <x:c r="B592" s="7" t="s">
        <x:v>4131</x:v>
      </x:c>
      <x:c r="C592" s="7" t="s">
        <x:v>4132</x:v>
      </x:c>
      <x:c r="D592" s="7" t="s">
        <x:v>255</x:v>
      </x:c>
      <x:c r="E592" s="7" t="s">
        <x:v>2060</x:v>
      </x:c>
      <x:c r="F592" s="10">
        <x:v>7.00218</x:v>
      </x:c>
      <x:c r="G592" s="10">
        <x:v>100.456062</x:v>
      </x:c>
      <x:c r="H592" s="7" t="s">
        <x:v>1548</x:v>
      </x:c>
      <x:c r="I592" s="10">
        <x:v>0.63</x:v>
      </x:c>
      <x:c r="J592" s="41"/>
      <x:c r="K592" s="41"/>
      <x:c r="L592" s="41"/>
      <x:c r="M592" s="10">
        <x:v>7.44</x:v>
      </x:c>
      <x:c r="N592" s="7" t="s">
        <x:v>2663</x:v>
      </x:c>
      <x:c r="O592" s="7" t="s">
        <x:v>1539</x:v>
      </x:c>
      <x:c r="P592" s="10">
        <x:v>3.0</x:v>
      </x:c>
      <x:c r="Q592" s="41"/>
      <x:c r="R592" s="10">
        <x:v>82.4</x:v>
      </x:c>
      <x:c r="S592" s="7" t="s">
        <x:v>301</x:v>
      </x:c>
      <x:c r="T592" s="7" t="b">
        <x:v>0</x:v>
      </x:c>
      <x:c r="U592" s="7" t="s">
        <x:v>1541</x:v>
      </x:c>
      <x:c r="V592" s="26" t="s">
        <x:v>1542</x:v>
      </x:c>
      <x:c r="W592" s="7" t="s">
        <x:v>4133</x:v>
      </x:c>
      <x:c r="X592" s="41"/>
      <x:c r="Y592" s="41"/>
      <x:c r="Z592" s="41"/>
    </x:row>
    <x:row r="593">
      <x:c r="A593" s="7" t="s">
        <x:v>4134</x:v>
      </x:c>
      <x:c r="B593" s="7" t="s">
        <x:v>4135</x:v>
      </x:c>
      <x:c r="C593" s="7" t="s">
        <x:v>4136</x:v>
      </x:c>
      <x:c r="D593" s="7" t="s">
        <x:v>229</x:v>
      </x:c>
      <x:c r="E593" s="7" t="s">
        <x:v>4137</x:v>
      </x:c>
      <x:c r="F593" s="10">
        <x:v>16.724766</x:v>
      </x:c>
      <x:c r="G593" s="10">
        <x:v>102.803416</x:v>
      </x:c>
      <x:c r="H593" s="7" t="s">
        <x:v>1658</x:v>
      </x:c>
      <x:c r="I593" s="10">
        <x:v>162.6</x:v>
      </x:c>
      <x:c r="J593" s="41"/>
      <x:c r="K593" s="41"/>
      <x:c r="L593" s="41"/>
      <x:c r="M593" s="10">
        <x:v>164.91</x:v>
      </x:c>
      <x:c r="N593" s="7" t="s">
        <x:v>2663</x:v>
      </x:c>
      <x:c r="O593" s="7" t="s">
        <x:v>1539</x:v>
      </x:c>
      <x:c r="P593" s="10">
        <x:v>3.0</x:v>
      </x:c>
      <x:c r="Q593" s="41"/>
      <x:c r="R593" s="10">
        <x:v>22.4</x:v>
      </x:c>
      <x:c r="S593" s="7" t="s">
        <x:v>1540</x:v>
      </x:c>
      <x:c r="T593" s="7" t="b">
        <x:v>0</x:v>
      </x:c>
      <x:c r="U593" s="7" t="s">
        <x:v>1541</x:v>
      </x:c>
      <x:c r="V593" s="26" t="s">
        <x:v>1542</x:v>
      </x:c>
      <x:c r="W593" s="7" t="s">
        <x:v>4138</x:v>
      </x:c>
      <x:c r="X593" s="41"/>
      <x:c r="Y593" s="41"/>
      <x:c r="Z593" s="41"/>
    </x:row>
    <x:row r="594">
      <x:c r="A594" s="7" t="s">
        <x:v>4139</x:v>
      </x:c>
      <x:c r="B594" s="7" t="s">
        <x:v>4140</x:v>
      </x:c>
      <x:c r="C594" s="7" t="s">
        <x:v>4141</x:v>
      </x:c>
      <x:c r="D594" s="7" t="s">
        <x:v>207</x:v>
      </x:c>
      <x:c r="E594" s="7"/>
      <x:c r="F594" s="10">
        <x:v>18.435266</x:v>
      </x:c>
      <x:c r="G594" s="10">
        <x:v>98.740107</x:v>
      </x:c>
      <x:c r="H594" s="7" t="s">
        <x:v>1658</x:v>
      </x:c>
      <x:c r="I594" s="10">
        <x:v>273.25</x:v>
      </x:c>
      <x:c r="J594" s="41"/>
      <x:c r="K594" s="41"/>
      <x:c r="L594" s="41"/>
      <x:c r="M594" s="10">
        <x:v>280.63</x:v>
      </x:c>
      <x:c r="N594" s="7" t="s">
        <x:v>4142</x:v>
      </x:c>
      <x:c r="O594" s="7" t="s">
        <x:v>1539</x:v>
      </x:c>
      <x:c r="P594" s="10">
        <x:v>2.0</x:v>
      </x:c>
      <x:c r="Q594" s="41"/>
      <x:c r="R594" s="10">
        <x:v>22.4</x:v>
      </x:c>
      <x:c r="S594" s="7" t="s">
        <x:v>1540</x:v>
      </x:c>
      <x:c r="T594" s="7" t="b">
        <x:v>0</x:v>
      </x:c>
      <x:c r="U594" s="7" t="s">
        <x:v>1541</x:v>
      </x:c>
      <x:c r="V594" s="26" t="s">
        <x:v>1542</x:v>
      </x:c>
      <x:c r="W594" s="7" t="s">
        <x:v>4143</x:v>
      </x:c>
      <x:c r="X594" s="41"/>
      <x:c r="Y594" s="41"/>
      <x:c r="Z594" s="41"/>
    </x:row>
    <x:row r="595">
      <x:c r="A595" s="7" t="s">
        <x:v>4144</x:v>
      </x:c>
      <x:c r="B595" s="7" t="s">
        <x:v>4145</x:v>
      </x:c>
      <x:c r="C595" s="7" t="s">
        <x:v>4146</x:v>
      </x:c>
      <x:c r="D595" s="7" t="s">
        <x:v>217</x:v>
      </x:c>
      <x:c r="E595" s="7" t="s">
        <x:v>4147</x:v>
      </x:c>
      <x:c r="F595" s="10">
        <x:v>17.341522</x:v>
      </x:c>
      <x:c r="G595" s="10">
        <x:v>99.85578</x:v>
      </x:c>
      <x:c r="H595" s="7" t="s">
        <x:v>1554</x:v>
      </x:c>
      <x:c r="I595" s="10">
        <x:v>55.84</x:v>
      </x:c>
      <x:c r="J595" s="41"/>
      <x:c r="K595" s="41"/>
      <x:c r="L595" s="41"/>
      <x:c r="M595" s="10"/>
      <x:c r="N595" s="7" t="s">
        <x:v>4142</x:v>
      </x:c>
      <x:c r="O595" s="7" t="s">
        <x:v>1539</x:v>
      </x:c>
      <x:c r="P595" s="10">
        <x:v>2.0</x:v>
      </x:c>
      <x:c r="Q595" s="41"/>
      <x:c r="R595" s="10">
        <x:v>12.4</x:v>
      </x:c>
      <x:c r="S595" s="7" t="s">
        <x:v>1540</x:v>
      </x:c>
      <x:c r="T595" s="7" t="b">
        <x:v>0</x:v>
      </x:c>
      <x:c r="U595" s="7" t="s">
        <x:v>1541</x:v>
      </x:c>
      <x:c r="V595" s="26" t="s">
        <x:v>1542</x:v>
      </x:c>
      <x:c r="W595" s="7" t="s">
        <x:v>4148</x:v>
      </x:c>
      <x:c r="X595" s="41"/>
      <x:c r="Y595" s="41"/>
      <x:c r="Z595" s="41"/>
    </x:row>
    <x:row r="596">
      <x:c r="A596" s="7" t="s">
        <x:v>4149</x:v>
      </x:c>
      <x:c r="B596" s="7" t="s">
        <x:v>4150</x:v>
      </x:c>
      <x:c r="C596" s="7" t="s">
        <x:v>4151</x:v>
      </x:c>
      <x:c r="D596" s="7" t="s">
        <x:v>231</x:v>
      </x:c>
      <x:c r="E596" s="7" t="s">
        <x:v>4152</x:v>
      </x:c>
      <x:c r="F596" s="10">
        <x:v>16.288441</x:v>
      </x:c>
      <x:c r="G596" s="10">
        <x:v>104.00489</x:v>
      </x:c>
      <x:c r="H596" s="7" t="s">
        <x:v>1548</x:v>
      </x:c>
      <x:c r="I596" s="10">
        <x:v>132.71</x:v>
      </x:c>
      <x:c r="J596" s="41"/>
      <x:c r="K596" s="41"/>
      <x:c r="L596" s="41"/>
      <x:c r="M596" s="10"/>
      <x:c r="N596" s="7" t="s">
        <x:v>4142</x:v>
      </x:c>
      <x:c r="O596" s="7" t="s">
        <x:v>1539</x:v>
      </x:c>
      <x:c r="P596" s="10">
        <x:v>2.0</x:v>
      </x:c>
      <x:c r="Q596" s="41"/>
      <x:c r="R596" s="10">
        <x:v>82.4</x:v>
      </x:c>
      <x:c r="S596" s="7" t="s">
        <x:v>301</x:v>
      </x:c>
      <x:c r="T596" s="7" t="b">
        <x:v>0</x:v>
      </x:c>
      <x:c r="U596" s="7" t="s">
        <x:v>1541</x:v>
      </x:c>
      <x:c r="V596" s="26" t="s">
        <x:v>1542</x:v>
      </x:c>
      <x:c r="W596" s="7" t="s">
        <x:v>4153</x:v>
      </x:c>
      <x:c r="X596" s="41"/>
      <x:c r="Y596" s="41"/>
      <x:c r="Z596" s="41"/>
    </x:row>
    <x:row r="597">
      <x:c r="A597" s="7" t="s">
        <x:v>4154</x:v>
      </x:c>
      <x:c r="B597" s="7" t="s">
        <x:v>4155</x:v>
      </x:c>
      <x:c r="C597" s="7" t="s">
        <x:v>4156</x:v>
      </x:c>
      <x:c r="D597" s="7" t="s">
        <x:v>209</x:v>
      </x:c>
      <x:c r="E597" s="7" t="s">
        <x:v>1734</x:v>
      </x:c>
      <x:c r="F597" s="10">
        <x:v>18.0208</x:v>
      </x:c>
      <x:c r="G597" s="10">
        <x:v>100.0588</x:v>
      </x:c>
      <x:c r="H597" s="7" t="s">
        <x:v>1554</x:v>
      </x:c>
      <x:c r="I597" s="10">
        <x:v>139.47</x:v>
      </x:c>
      <x:c r="J597" s="41"/>
      <x:c r="K597" s="41"/>
      <x:c r="L597" s="41"/>
      <x:c r="M597" s="10"/>
      <x:c r="N597" s="7" t="s">
        <x:v>4142</x:v>
      </x:c>
      <x:c r="O597" s="7" t="s">
        <x:v>1539</x:v>
      </x:c>
      <x:c r="P597" s="10">
        <x:v>2.0</x:v>
      </x:c>
      <x:c r="Q597" s="41"/>
      <x:c r="R597" s="10">
        <x:v>12.4</x:v>
      </x:c>
      <x:c r="S597" s="7" t="s">
        <x:v>1540</x:v>
      </x:c>
      <x:c r="T597" s="7" t="b">
        <x:v>0</x:v>
      </x:c>
      <x:c r="U597" s="7" t="s">
        <x:v>1541</x:v>
      </x:c>
      <x:c r="V597" s="26" t="s">
        <x:v>1542</x:v>
      </x:c>
      <x:c r="W597" s="7" t="s">
        <x:v>4157</x:v>
      </x:c>
      <x:c r="X597" s="41"/>
      <x:c r="Y597" s="41"/>
      <x:c r="Z597" s="41"/>
    </x:row>
    <x:row r="598">
      <x:c r="A598" s="7" t="s">
        <x:v>4158</x:v>
      </x:c>
      <x:c r="B598" s="7" t="s">
        <x:v>4159</x:v>
      </x:c>
      <x:c r="C598" s="7" t="s">
        <x:v>4160</x:v>
      </x:c>
      <x:c r="D598" s="7" t="s">
        <x:v>213</x:v>
      </x:c>
      <x:c r="E598" s="7" t="s">
        <x:v>3282</x:v>
      </x:c>
      <x:c r="F598" s="10">
        <x:v>17.805399</x:v>
      </x:c>
      <x:c r="G598" s="10">
        <x:v>98.953316</x:v>
      </x:c>
      <x:c r="H598" s="7" t="s">
        <x:v>1554</x:v>
      </x:c>
      <x:c r="I598" s="10">
        <x:v>441.29</x:v>
      </x:c>
      <x:c r="J598" s="41"/>
      <x:c r="K598" s="41"/>
      <x:c r="L598" s="41"/>
      <x:c r="M598" s="10"/>
      <x:c r="N598" s="7" t="s">
        <x:v>4142</x:v>
      </x:c>
      <x:c r="O598" s="7" t="s">
        <x:v>1539</x:v>
      </x:c>
      <x:c r="P598" s="10">
        <x:v>2.0</x:v>
      </x:c>
      <x:c r="Q598" s="41"/>
      <x:c r="R598" s="10">
        <x:v>12.4</x:v>
      </x:c>
      <x:c r="S598" s="7" t="s">
        <x:v>1540</x:v>
      </x:c>
      <x:c r="T598" s="7" t="b">
        <x:v>0</x:v>
      </x:c>
      <x:c r="U598" s="7" t="s">
        <x:v>1541</x:v>
      </x:c>
      <x:c r="V598" s="26" t="s">
        <x:v>1542</x:v>
      </x:c>
      <x:c r="W598" s="7" t="s">
        <x:v>4161</x:v>
      </x:c>
      <x:c r="X598" s="41"/>
      <x:c r="Y598" s="41"/>
      <x:c r="Z598" s="41"/>
    </x:row>
    <x:row r="599">
      <x:c r="A599" s="7" t="s">
        <x:v>4162</x:v>
      </x:c>
      <x:c r="B599" s="7" t="s">
        <x:v>4163</x:v>
      </x:c>
      <x:c r="C599" s="7" t="s">
        <x:v>4164</x:v>
      </x:c>
      <x:c r="D599" s="7" t="s">
        <x:v>18</x:v>
      </x:c>
      <x:c r="E599" s="7"/>
      <x:c r="F599" s="10">
        <x:v>16.856702</x:v>
      </x:c>
      <x:c r="G599" s="10">
        <x:v>99.125294</x:v>
      </x:c>
      <x:c r="H599" s="7" t="s">
        <x:v>1658</x:v>
      </x:c>
      <x:c r="I599" s="10">
        <x:v>105.03</x:v>
      </x:c>
      <x:c r="J599" s="41"/>
      <x:c r="K599" s="41"/>
      <x:c r="L599" s="41"/>
      <x:c r="M599" s="10">
        <x:v>109.78</x:v>
      </x:c>
      <x:c r="N599" s="7" t="s">
        <x:v>4142</x:v>
      </x:c>
      <x:c r="O599" s="7" t="s">
        <x:v>1539</x:v>
      </x:c>
      <x:c r="P599" s="10">
        <x:v>2.0</x:v>
      </x:c>
      <x:c r="Q599" s="41"/>
      <x:c r="R599" s="10">
        <x:v>22.4</x:v>
      </x:c>
      <x:c r="S599" s="7" t="s">
        <x:v>1540</x:v>
      </x:c>
      <x:c r="T599" s="7" t="b">
        <x:v>0</x:v>
      </x:c>
      <x:c r="U599" s="7" t="s">
        <x:v>1541</x:v>
      </x:c>
      <x:c r="V599" s="26" t="s">
        <x:v>1542</x:v>
      </x:c>
      <x:c r="W599" s="7" t="s">
        <x:v>4165</x:v>
      </x:c>
      <x:c r="X599" s="41"/>
      <x:c r="Y599" s="41"/>
      <x:c r="Z599" s="41"/>
    </x:row>
    <x:row r="600">
      <x:c r="A600" s="7" t="s">
        <x:v>4166</x:v>
      </x:c>
      <x:c r="B600" s="7" t="s">
        <x:v>4167</x:v>
      </x:c>
      <x:c r="C600" s="7" t="s">
        <x:v>4168</x:v>
      </x:c>
      <x:c r="D600" s="7" t="s">
        <x:v>27</x:v>
      </x:c>
      <x:c r="E600" s="7" t="s">
        <x:v>2360</x:v>
      </x:c>
      <x:c r="F600" s="10">
        <x:v>16.998871</x:v>
      </x:c>
      <x:c r="G600" s="10">
        <x:v>100.32663</x:v>
      </x:c>
      <x:c r="H600" s="7" t="s">
        <x:v>1548</x:v>
      </x:c>
      <x:c r="I600" s="10">
        <x:v>42.45</x:v>
      </x:c>
      <x:c r="J600" s="41"/>
      <x:c r="K600" s="41"/>
      <x:c r="L600" s="41"/>
      <x:c r="M600" s="10"/>
      <x:c r="N600" s="7" t="s">
        <x:v>4142</x:v>
      </x:c>
      <x:c r="O600" s="7" t="s">
        <x:v>1539</x:v>
      </x:c>
      <x:c r="P600" s="10">
        <x:v>2.0</x:v>
      </x:c>
      <x:c r="Q600" s="41"/>
      <x:c r="R600" s="10">
        <x:v>82.4</x:v>
      </x:c>
      <x:c r="S600" s="7" t="s">
        <x:v>301</x:v>
      </x:c>
      <x:c r="T600" s="7" t="b">
        <x:v>0</x:v>
      </x:c>
      <x:c r="U600" s="7" t="s">
        <x:v>1541</x:v>
      </x:c>
      <x:c r="V600" s="26" t="s">
        <x:v>1542</x:v>
      </x:c>
      <x:c r="W600" s="7" t="s">
        <x:v>4169</x:v>
      </x:c>
      <x:c r="X600" s="41"/>
      <x:c r="Y600" s="41"/>
      <x:c r="Z600" s="41"/>
    </x:row>
    <x:row r="601">
      <x:c r="A601" s="7" t="s">
        <x:v>4170</x:v>
      </x:c>
      <x:c r="B601" s="7" t="s">
        <x:v>4171</x:v>
      </x:c>
      <x:c r="C601" s="7" t="s">
        <x:v>4172</x:v>
      </x:c>
      <x:c r="D601" s="7" t="s">
        <x:v>210</x:v>
      </x:c>
      <x:c r="E601" s="7" t="s">
        <x:v>2084</x:v>
      </x:c>
      <x:c r="F601" s="10">
        <x:v>19.09611</x:v>
      </x:c>
      <x:c r="G601" s="10">
        <x:v>100.80258</x:v>
      </x:c>
      <x:c r="H601" s="7" t="s">
        <x:v>1554</x:v>
      </x:c>
      <x:c r="I601" s="10">
        <x:v>218.36</x:v>
      </x:c>
      <x:c r="J601" s="41"/>
      <x:c r="K601" s="41"/>
      <x:c r="L601" s="41"/>
      <x:c r="M601" s="10"/>
      <x:c r="N601" s="7" t="s">
        <x:v>4142</x:v>
      </x:c>
      <x:c r="O601" s="7" t="s">
        <x:v>1539</x:v>
      </x:c>
      <x:c r="P601" s="10">
        <x:v>2.0</x:v>
      </x:c>
      <x:c r="Q601" s="41"/>
      <x:c r="R601" s="10">
        <x:v>12.4</x:v>
      </x:c>
      <x:c r="S601" s="7" t="s">
        <x:v>1540</x:v>
      </x:c>
      <x:c r="T601" s="7" t="b">
        <x:v>0</x:v>
      </x:c>
      <x:c r="U601" s="7" t="s">
        <x:v>1541</x:v>
      </x:c>
      <x:c r="V601" s="26" t="s">
        <x:v>1542</x:v>
      </x:c>
      <x:c r="W601" s="7" t="s">
        <x:v>4173</x:v>
      </x:c>
      <x:c r="X601" s="41"/>
      <x:c r="Y601" s="41"/>
      <x:c r="Z601" s="41"/>
    </x:row>
    <x:row r="602">
      <x:c r="A602" s="7" t="s">
        <x:v>4174</x:v>
      </x:c>
      <x:c r="B602" s="7" t="s">
        <x:v>4175</x:v>
      </x:c>
      <x:c r="C602" s="7" t="s">
        <x:v>4176</x:v>
      </x:c>
      <x:c r="D602" s="7" t="s">
        <x:v>213</x:v>
      </x:c>
      <x:c r="E602" s="7" t="s">
        <x:v>4177</x:v>
      </x:c>
      <x:c r="F602" s="10">
        <x:v>18.511826</x:v>
      </x:c>
      <x:c r="G602" s="10">
        <x:v>99.07731</x:v>
      </x:c>
      <x:c r="H602" s="7" t="s">
        <x:v>1554</x:v>
      </x:c>
      <x:c r="I602" s="10">
        <x:v>317.94</x:v>
      </x:c>
      <x:c r="J602" s="41"/>
      <x:c r="K602" s="41"/>
      <x:c r="L602" s="41"/>
      <x:c r="M602" s="10"/>
      <x:c r="N602" s="7" t="s">
        <x:v>4142</x:v>
      </x:c>
      <x:c r="O602" s="7" t="s">
        <x:v>1539</x:v>
      </x:c>
      <x:c r="P602" s="10">
        <x:v>2.0</x:v>
      </x:c>
      <x:c r="Q602" s="41"/>
      <x:c r="R602" s="10">
        <x:v>12.4</x:v>
      </x:c>
      <x:c r="S602" s="7" t="s">
        <x:v>1540</x:v>
      </x:c>
      <x:c r="T602" s="7" t="b">
        <x:v>0</x:v>
      </x:c>
      <x:c r="U602" s="7" t="s">
        <x:v>1541</x:v>
      </x:c>
      <x:c r="V602" s="26" t="s">
        <x:v>1542</x:v>
      </x:c>
      <x:c r="W602" s="7" t="s">
        <x:v>4178</x:v>
      </x:c>
      <x:c r="X602" s="41"/>
      <x:c r="Y602" s="41"/>
      <x:c r="Z602" s="41"/>
    </x:row>
    <x:row r="603">
      <x:c r="A603" s="7" t="s">
        <x:v>4179</x:v>
      </x:c>
      <x:c r="B603" s="7" t="s">
        <x:v>4180</x:v>
      </x:c>
      <x:c r="C603" s="7" t="s">
        <x:v>4181</x:v>
      </x:c>
      <x:c r="D603" s="7" t="s">
        <x:v>210</x:v>
      </x:c>
      <x:c r="E603" s="7" t="s">
        <x:v>4182</x:v>
      </x:c>
      <x:c r="F603" s="10">
        <x:v>19.175901</x:v>
      </x:c>
      <x:c r="G603" s="10">
        <x:v>100.92981</x:v>
      </x:c>
      <x:c r="H603" s="7" t="s">
        <x:v>1554</x:v>
      </x:c>
      <x:c r="I603" s="10">
        <x:v>257.03</x:v>
      </x:c>
      <x:c r="J603" s="41"/>
      <x:c r="K603" s="41"/>
      <x:c r="L603" s="41"/>
      <x:c r="M603" s="10"/>
      <x:c r="N603" s="7" t="s">
        <x:v>4142</x:v>
      </x:c>
      <x:c r="O603" s="7" t="s">
        <x:v>1539</x:v>
      </x:c>
      <x:c r="P603" s="10">
        <x:v>2.0</x:v>
      </x:c>
      <x:c r="Q603" s="41"/>
      <x:c r="R603" s="10">
        <x:v>12.4</x:v>
      </x:c>
      <x:c r="S603" s="7" t="s">
        <x:v>1540</x:v>
      </x:c>
      <x:c r="T603" s="7" t="b">
        <x:v>0</x:v>
      </x:c>
      <x:c r="U603" s="7" t="s">
        <x:v>1541</x:v>
      </x:c>
      <x:c r="V603" s="26" t="s">
        <x:v>1542</x:v>
      </x:c>
      <x:c r="W603" s="7" t="s">
        <x:v>4183</x:v>
      </x:c>
      <x:c r="X603" s="41"/>
      <x:c r="Y603" s="41"/>
      <x:c r="Z603" s="41"/>
    </x:row>
    <x:row r="604">
      <x:c r="A604" s="7" t="s">
        <x:v>4184</x:v>
      </x:c>
      <x:c r="B604" s="7" t="s">
        <x:v>4185</x:v>
      </x:c>
      <x:c r="C604" s="7" t="s">
        <x:v>4186</x:v>
      </x:c>
      <x:c r="D604" s="7" t="s">
        <x:v>248</x:v>
      </x:c>
      <x:c r="E604" s="7" t="s">
        <x:v>2112</x:v>
      </x:c>
      <x:c r="F604" s="10">
        <x:v>8.555</x:v>
      </x:c>
      <x:c r="G604" s="10">
        <x:v>99.569283</x:v>
      </x:c>
      <x:c r="H604" s="7" t="s">
        <x:v>1548</x:v>
      </x:c>
      <x:c r="I604" s="10">
        <x:v>39.66</x:v>
      </x:c>
      <x:c r="J604" s="41"/>
      <x:c r="K604" s="41"/>
      <x:c r="L604" s="41"/>
      <x:c r="M604" s="10"/>
      <x:c r="N604" s="7" t="s">
        <x:v>4142</x:v>
      </x:c>
      <x:c r="O604" s="7" t="s">
        <x:v>1539</x:v>
      </x:c>
      <x:c r="P604" s="10">
        <x:v>2.0</x:v>
      </x:c>
      <x:c r="Q604" s="41"/>
      <x:c r="R604" s="10">
        <x:v>82.4</x:v>
      </x:c>
      <x:c r="S604" s="7" t="s">
        <x:v>301</x:v>
      </x:c>
      <x:c r="T604" s="7" t="b">
        <x:v>0</x:v>
      </x:c>
      <x:c r="U604" s="7" t="s">
        <x:v>1541</x:v>
      </x:c>
      <x:c r="V604" s="26" t="s">
        <x:v>1542</x:v>
      </x:c>
      <x:c r="W604" s="7" t="s">
        <x:v>4187</x:v>
      </x:c>
      <x:c r="X604" s="41"/>
      <x:c r="Y604" s="41"/>
      <x:c r="Z604" s="41"/>
    </x:row>
    <x:row r="605">
      <x:c r="A605" s="7" t="s">
        <x:v>4188</x:v>
      </x:c>
      <x:c r="B605" s="7" t="s">
        <x:v>4189</x:v>
      </x:c>
      <x:c r="C605" s="7" t="s">
        <x:v>4190</x:v>
      </x:c>
      <x:c r="D605" s="7" t="s">
        <x:v>212</x:v>
      </x:c>
      <x:c r="E605" s="7"/>
      <x:c r="F605" s="10">
        <x:v>17.641503</x:v>
      </x:c>
      <x:c r="G605" s="10">
        <x:v>99.232057</x:v>
      </x:c>
      <x:c r="H605" s="7" t="s">
        <x:v>1658</x:v>
      </x:c>
      <x:c r="I605" s="10">
        <x:v>161.9</x:v>
      </x:c>
      <x:c r="J605" s="41"/>
      <x:c r="K605" s="41"/>
      <x:c r="L605" s="41"/>
      <x:c r="M605" s="10">
        <x:v>165.8</x:v>
      </x:c>
      <x:c r="N605" s="7" t="s">
        <x:v>4142</x:v>
      </x:c>
      <x:c r="O605" s="7" t="s">
        <x:v>1539</x:v>
      </x:c>
      <x:c r="P605" s="10">
        <x:v>2.0</x:v>
      </x:c>
      <x:c r="Q605" s="41"/>
      <x:c r="R605" s="10">
        <x:v>22.4</x:v>
      </x:c>
      <x:c r="S605" s="7" t="s">
        <x:v>1540</x:v>
      </x:c>
      <x:c r="T605" s="7" t="b">
        <x:v>0</x:v>
      </x:c>
      <x:c r="U605" s="7" t="s">
        <x:v>1541</x:v>
      </x:c>
      <x:c r="V605" s="26" t="s">
        <x:v>1542</x:v>
      </x:c>
      <x:c r="W605" s="7" t="s">
        <x:v>4191</x:v>
      </x:c>
      <x:c r="X605" s="41"/>
      <x:c r="Y605" s="41"/>
      <x:c r="Z605" s="41"/>
    </x:row>
    <x:row r="606">
      <x:c r="A606" s="7" t="s">
        <x:v>4192</x:v>
      </x:c>
      <x:c r="B606" s="7" t="s">
        <x:v>4193</x:v>
      </x:c>
      <x:c r="C606" s="7" t="s">
        <x:v>4194</x:v>
      </x:c>
      <x:c r="D606" s="7" t="s">
        <x:v>210</x:v>
      </x:c>
      <x:c r="E606" s="7" t="s">
        <x:v>2084</x:v>
      </x:c>
      <x:c r="F606" s="10">
        <x:v>18.77485</x:v>
      </x:c>
      <x:c r="G606" s="10">
        <x:v>100.77974</x:v>
      </x:c>
      <x:c r="H606" s="7" t="s">
        <x:v>1658</x:v>
      </x:c>
      <x:c r="I606" s="10">
        <x:v>193.19</x:v>
      </x:c>
      <x:c r="J606" s="41"/>
      <x:c r="K606" s="41"/>
      <x:c r="L606" s="41"/>
      <x:c r="M606" s="10">
        <x:v>199.2</x:v>
      </x:c>
      <x:c r="N606" s="7" t="s">
        <x:v>4142</x:v>
      </x:c>
      <x:c r="O606" s="7" t="s">
        <x:v>1539</x:v>
      </x:c>
      <x:c r="P606" s="10">
        <x:v>2.0</x:v>
      </x:c>
      <x:c r="Q606" s="41"/>
      <x:c r="R606" s="10">
        <x:v>22.4</x:v>
      </x:c>
      <x:c r="S606" s="7" t="s">
        <x:v>1540</x:v>
      </x:c>
      <x:c r="T606" s="7" t="b">
        <x:v>0</x:v>
      </x:c>
      <x:c r="U606" s="7" t="s">
        <x:v>1541</x:v>
      </x:c>
      <x:c r="V606" s="26" t="s">
        <x:v>1542</x:v>
      </x:c>
      <x:c r="W606" s="7" t="s">
        <x:v>4195</x:v>
      </x:c>
      <x:c r="X606" s="41"/>
      <x:c r="Y606" s="41"/>
      <x:c r="Z606" s="41"/>
    </x:row>
    <x:row r="607">
      <x:c r="A607" s="7" t="s">
        <x:v>4196</x:v>
      </x:c>
      <x:c r="B607" s="7" t="s">
        <x:v>4197</x:v>
      </x:c>
      <x:c r="C607" s="7" t="s">
        <x:v>4198</x:v>
      </x:c>
      <x:c r="D607" s="7" t="s">
        <x:v>210</x:v>
      </x:c>
      <x:c r="E607" s="7" t="s">
        <x:v>2084</x:v>
      </x:c>
      <x:c r="F607" s="10">
        <x:v>18.549993</x:v>
      </x:c>
      <x:c r="G607" s="10">
        <x:v>100.760637</x:v>
      </x:c>
      <x:c r="H607" s="7" t="s">
        <x:v>1658</x:v>
      </x:c>
      <x:c r="I607" s="10">
        <x:v>178.63</x:v>
      </x:c>
      <x:c r="J607" s="41"/>
      <x:c r="K607" s="41"/>
      <x:c r="L607" s="41"/>
      <x:c r="M607" s="10">
        <x:v>183.9</x:v>
      </x:c>
      <x:c r="N607" s="7" t="s">
        <x:v>4142</x:v>
      </x:c>
      <x:c r="O607" s="7" t="s">
        <x:v>1539</x:v>
      </x:c>
      <x:c r="P607" s="10">
        <x:v>2.0</x:v>
      </x:c>
      <x:c r="Q607" s="41"/>
      <x:c r="R607" s="10">
        <x:v>22.4</x:v>
      </x:c>
      <x:c r="S607" s="7" t="s">
        <x:v>1540</x:v>
      </x:c>
      <x:c r="T607" s="7" t="b">
        <x:v>0</x:v>
      </x:c>
      <x:c r="U607" s="7" t="s">
        <x:v>1541</x:v>
      </x:c>
      <x:c r="V607" s="26" t="s">
        <x:v>1542</x:v>
      </x:c>
      <x:c r="W607" s="7" t="s">
        <x:v>4199</x:v>
      </x:c>
      <x:c r="X607" s="41"/>
      <x:c r="Y607" s="41"/>
      <x:c r="Z607" s="41"/>
    </x:row>
    <x:row r="608">
      <x:c r="A608" s="7" t="s">
        <x:v>4200</x:v>
      </x:c>
      <x:c r="B608" s="7" t="s">
        <x:v>4201</x:v>
      </x:c>
      <x:c r="C608" s="7" t="s">
        <x:v>4202</x:v>
      </x:c>
      <x:c r="D608" s="7" t="s">
        <x:v>258</x:v>
      </x:c>
      <x:c r="E608" s="7" t="s">
        <x:v>4203</x:v>
      </x:c>
      <x:c r="F608" s="10">
        <x:v>7.37654</x:v>
      </x:c>
      <x:c r="G608" s="10">
        <x:v>100.10043</x:v>
      </x:c>
      <x:c r="H608" s="7" t="s">
        <x:v>1554</x:v>
      </x:c>
      <x:c r="I608" s="10">
        <x:v>16.13</x:v>
      </x:c>
      <x:c r="J608" s="41"/>
      <x:c r="K608" s="41"/>
      <x:c r="L608" s="41"/>
      <x:c r="M608" s="41"/>
      <x:c r="N608" s="7" t="s">
        <x:v>4142</x:v>
      </x:c>
      <x:c r="O608" s="7" t="s">
        <x:v>1539</x:v>
      </x:c>
      <x:c r="P608" s="10">
        <x:v>2.0</x:v>
      </x:c>
      <x:c r="Q608" s="41"/>
      <x:c r="R608" s="10">
        <x:v>12.4</x:v>
      </x:c>
      <x:c r="S608" s="7" t="s">
        <x:v>1540</x:v>
      </x:c>
      <x:c r="T608" s="7" t="b">
        <x:v>0</x:v>
      </x:c>
      <x:c r="U608" s="7" t="s">
        <x:v>1541</x:v>
      </x:c>
      <x:c r="V608" s="26" t="s">
        <x:v>1542</x:v>
      </x:c>
      <x:c r="W608" s="7" t="s">
        <x:v>4204</x:v>
      </x:c>
      <x:c r="X608" s="41"/>
      <x:c r="Y608" s="41"/>
      <x:c r="Z608" s="41"/>
    </x:row>
    <x:row r="609">
      <x:c r="A609" s="7" t="s">
        <x:v>4205</x:v>
      </x:c>
      <x:c r="B609" s="7" t="s">
        <x:v>4206</x:v>
      </x:c>
      <x:c r="C609" s="7" t="s">
        <x:v>4207</x:v>
      </x:c>
      <x:c r="D609" s="7" t="s">
        <x:v>228</x:v>
      </x:c>
      <x:c r="E609" s="7" t="s">
        <x:v>2811</x:v>
      </x:c>
      <x:c r="F609" s="10">
        <x:v>16.34078</x:v>
      </x:c>
      <x:c r="G609" s="10">
        <x:v>103.577011</x:v>
      </x:c>
      <x:c r="H609" s="7" t="s">
        <x:v>1548</x:v>
      </x:c>
      <x:c r="I609" s="10">
        <x:v>131.71</x:v>
      </x:c>
      <x:c r="J609" s="41"/>
      <x:c r="K609" s="41"/>
      <x:c r="L609" s="41"/>
      <x:c r="M609" s="10"/>
      <x:c r="N609" s="7" t="s">
        <x:v>4142</x:v>
      </x:c>
      <x:c r="O609" s="7" t="s">
        <x:v>1539</x:v>
      </x:c>
      <x:c r="P609" s="10">
        <x:v>2.0</x:v>
      </x:c>
      <x:c r="Q609" s="41"/>
      <x:c r="R609" s="10">
        <x:v>82.4</x:v>
      </x:c>
      <x:c r="S609" s="7" t="s">
        <x:v>301</x:v>
      </x:c>
      <x:c r="T609" s="7" t="b">
        <x:v>0</x:v>
      </x:c>
      <x:c r="U609" s="7" t="s">
        <x:v>1541</x:v>
      </x:c>
      <x:c r="V609" s="26" t="s">
        <x:v>1542</x:v>
      </x:c>
      <x:c r="W609" s="7" t="s">
        <x:v>4208</x:v>
      </x:c>
      <x:c r="X609" s="41"/>
      <x:c r="Y609" s="41"/>
      <x:c r="Z609" s="41"/>
    </x:row>
    <x:row r="610">
      <x:c r="A610" s="7" t="s">
        <x:v>4209</x:v>
      </x:c>
      <x:c r="B610" s="7" t="s">
        <x:v>4210</x:v>
      </x:c>
      <x:c r="C610" s="7" t="s">
        <x:v>4211</x:v>
      </x:c>
      <x:c r="D610" s="7" t="s">
        <x:v>211</x:v>
      </x:c>
      <x:c r="E610" s="7"/>
      <x:c r="F610" s="10">
        <x:v>19.09763</x:v>
      </x:c>
      <x:c r="G610" s="10">
        <x:v>99.91642</x:v>
      </x:c>
      <x:c r="H610" s="7" t="s">
        <x:v>1554</x:v>
      </x:c>
      <x:c r="I610" s="10">
        <x:v>398.14</x:v>
      </x:c>
      <x:c r="J610" s="41"/>
      <x:c r="K610" s="41"/>
      <x:c r="L610" s="41"/>
      <x:c r="M610" s="10"/>
      <x:c r="N610" s="7" t="s">
        <x:v>4142</x:v>
      </x:c>
      <x:c r="O610" s="7" t="s">
        <x:v>1539</x:v>
      </x:c>
      <x:c r="P610" s="10">
        <x:v>2.0</x:v>
      </x:c>
      <x:c r="Q610" s="41"/>
      <x:c r="R610" s="10">
        <x:v>12.4</x:v>
      </x:c>
      <x:c r="S610" s="7" t="s">
        <x:v>1540</x:v>
      </x:c>
      <x:c r="T610" s="7" t="b">
        <x:v>0</x:v>
      </x:c>
      <x:c r="U610" s="7" t="s">
        <x:v>1541</x:v>
      </x:c>
      <x:c r="V610" s="26" t="s">
        <x:v>1542</x:v>
      </x:c>
      <x:c r="W610" s="7" t="s">
        <x:v>4212</x:v>
      </x:c>
      <x:c r="X610" s="41"/>
      <x:c r="Y610" s="41"/>
      <x:c r="Z610" s="41"/>
    </x:row>
    <x:row r="611">
      <x:c r="A611" s="7" t="s">
        <x:v>4213</x:v>
      </x:c>
      <x:c r="B611" s="7" t="s">
        <x:v>4214</x:v>
      </x:c>
      <x:c r="C611" s="7" t="s">
        <x:v>4215</x:v>
      </x:c>
      <x:c r="D611" s="7" t="s">
        <x:v>212</x:v>
      </x:c>
      <x:c r="E611" s="7" t="s">
        <x:v>4216</x:v>
      </x:c>
      <x:c r="F611" s="10">
        <x:v>18.722269</x:v>
      </x:c>
      <x:c r="G611" s="10">
        <x:v>99.567268</x:v>
      </x:c>
      <x:c r="H611" s="7" t="s">
        <x:v>1548</x:v>
      </x:c>
      <x:c r="I611" s="10">
        <x:v>291.5</x:v>
      </x:c>
      <x:c r="J611" s="41"/>
      <x:c r="K611" s="41"/>
      <x:c r="L611" s="41"/>
      <x:c r="M611" s="10"/>
      <x:c r="N611" s="7" t="s">
        <x:v>4142</x:v>
      </x:c>
      <x:c r="O611" s="7" t="s">
        <x:v>1539</x:v>
      </x:c>
      <x:c r="P611" s="10">
        <x:v>2.0</x:v>
      </x:c>
      <x:c r="Q611" s="41"/>
      <x:c r="R611" s="10">
        <x:v>82.4</x:v>
      </x:c>
      <x:c r="S611" s="7" t="s">
        <x:v>301</x:v>
      </x:c>
      <x:c r="T611" s="7" t="b">
        <x:v>0</x:v>
      </x:c>
      <x:c r="U611" s="7" t="s">
        <x:v>1541</x:v>
      </x:c>
      <x:c r="V611" s="26" t="s">
        <x:v>1542</x:v>
      </x:c>
      <x:c r="W611" s="7" t="s">
        <x:v>4217</x:v>
      </x:c>
      <x:c r="X611" s="41"/>
      <x:c r="Y611" s="41"/>
      <x:c r="Z611" s="41"/>
    </x:row>
    <x:row r="612">
      <x:c r="A612" s="7" t="s">
        <x:v>4218</x:v>
      </x:c>
      <x:c r="B612" s="7" t="s">
        <x:v>4219</x:v>
      </x:c>
      <x:c r="C612" s="7" t="s">
        <x:v>4220</x:v>
      </x:c>
      <x:c r="D612" s="7" t="s">
        <x:v>248</x:v>
      </x:c>
      <x:c r="E612" s="7" t="s">
        <x:v>4221</x:v>
      </x:c>
      <x:c r="F612" s="10">
        <x:v>8.39629</x:v>
      </x:c>
      <x:c r="G612" s="10">
        <x:v>99.920143</x:v>
      </x:c>
      <x:c r="H612" s="7" t="s">
        <x:v>1548</x:v>
      </x:c>
      <x:c r="I612" s="10">
        <x:v>8.22</x:v>
      </x:c>
      <x:c r="J612" s="41"/>
      <x:c r="K612" s="41"/>
      <x:c r="L612" s="41"/>
      <x:c r="M612" s="10">
        <x:v>10.8</x:v>
      </x:c>
      <x:c r="N612" s="7" t="s">
        <x:v>4142</x:v>
      </x:c>
      <x:c r="O612" s="7" t="s">
        <x:v>1539</x:v>
      </x:c>
      <x:c r="P612" s="10">
        <x:v>2.0</x:v>
      </x:c>
      <x:c r="Q612" s="41"/>
      <x:c r="R612" s="10">
        <x:v>82.4</x:v>
      </x:c>
      <x:c r="S612" s="7" t="s">
        <x:v>301</x:v>
      </x:c>
      <x:c r="T612" s="7" t="b">
        <x:v>0</x:v>
      </x:c>
      <x:c r="U612" s="7" t="s">
        <x:v>1541</x:v>
      </x:c>
      <x:c r="V612" s="26" t="s">
        <x:v>1542</x:v>
      </x:c>
      <x:c r="W612" s="7" t="s">
        <x:v>4222</x:v>
      </x:c>
      <x:c r="X612" s="41"/>
      <x:c r="Y612" s="41"/>
      <x:c r="Z612" s="41"/>
    </x:row>
    <x:row r="613">
      <x:c r="A613" s="7" t="s">
        <x:v>4223</x:v>
      </x:c>
      <x:c r="B613" s="7" t="s">
        <x:v>4224</x:v>
      </x:c>
      <x:c r="C613" s="7" t="s">
        <x:v>4225</x:v>
      </x:c>
      <x:c r="D613" s="7" t="s">
        <x:v>248</x:v>
      </x:c>
      <x:c r="E613" s="7" t="s">
        <x:v>2112</x:v>
      </x:c>
      <x:c r="F613" s="10">
        <x:v>8.391227</x:v>
      </x:c>
      <x:c r="G613" s="10">
        <x:v>99.39519</x:v>
      </x:c>
      <x:c r="H613" s="7" t="s">
        <x:v>1554</x:v>
      </x:c>
      <x:c r="I613" s="10">
        <x:v>13.32</x:v>
      </x:c>
      <x:c r="J613" s="41"/>
      <x:c r="K613" s="41"/>
      <x:c r="L613" s="41"/>
      <x:c r="M613" s="41"/>
      <x:c r="N613" s="7" t="s">
        <x:v>4142</x:v>
      </x:c>
      <x:c r="O613" s="7" t="s">
        <x:v>1539</x:v>
      </x:c>
      <x:c r="P613" s="10">
        <x:v>2.0</x:v>
      </x:c>
      <x:c r="Q613" s="41"/>
      <x:c r="R613" s="10">
        <x:v>12.4</x:v>
      </x:c>
      <x:c r="S613" s="7" t="s">
        <x:v>1540</x:v>
      </x:c>
      <x:c r="T613" s="7" t="b">
        <x:v>0</x:v>
      </x:c>
      <x:c r="U613" s="7" t="s">
        <x:v>1541</x:v>
      </x:c>
      <x:c r="V613" s="26" t="s">
        <x:v>1542</x:v>
      </x:c>
      <x:c r="W613" s="7" t="s">
        <x:v>4226</x:v>
      </x:c>
      <x:c r="X613" s="41"/>
      <x:c r="Y613" s="41"/>
      <x:c r="Z613" s="41"/>
    </x:row>
    <x:row r="614">
      <x:c r="A614" s="7" t="s">
        <x:v>4227</x:v>
      </x:c>
      <x:c r="B614" s="7" t="s">
        <x:v>4228</x:v>
      </x:c>
      <x:c r="C614" s="7" t="s">
        <x:v>4229</x:v>
      </x:c>
      <x:c r="D614" s="7" t="s">
        <x:v>209</x:v>
      </x:c>
      <x:c r="E614" s="7" t="s">
        <x:v>1734</x:v>
      </x:c>
      <x:c r="F614" s="10">
        <x:v>18.133909</x:v>
      </x:c>
      <x:c r="G614" s="10">
        <x:v>100.124641</x:v>
      </x:c>
      <x:c r="H614" s="7" t="s">
        <x:v>1548</x:v>
      </x:c>
      <x:c r="I614" s="10">
        <x:v>145.43</x:v>
      </x:c>
      <x:c r="J614" s="41"/>
      <x:c r="K614" s="41"/>
      <x:c r="L614" s="41"/>
      <x:c r="M614" s="10"/>
      <x:c r="N614" s="7" t="s">
        <x:v>4142</x:v>
      </x:c>
      <x:c r="O614" s="7" t="s">
        <x:v>1539</x:v>
      </x:c>
      <x:c r="P614" s="10">
        <x:v>2.0</x:v>
      </x:c>
      <x:c r="Q614" s="41"/>
      <x:c r="R614" s="10">
        <x:v>82.4</x:v>
      </x:c>
      <x:c r="S614" s="7" t="s">
        <x:v>301</x:v>
      </x:c>
      <x:c r="T614" s="7" t="b">
        <x:v>0</x:v>
      </x:c>
      <x:c r="U614" s="7" t="s">
        <x:v>1541</x:v>
      </x:c>
      <x:c r="V614" s="26" t="s">
        <x:v>1542</x:v>
      </x:c>
      <x:c r="W614" s="7" t="s">
        <x:v>4230</x:v>
      </x:c>
      <x:c r="X614" s="41"/>
      <x:c r="Y614" s="41"/>
      <x:c r="Z614" s="41"/>
    </x:row>
    <x:row r="615">
      <x:c r="A615" s="7" t="s">
        <x:v>4231</x:v>
      </x:c>
      <x:c r="B615" s="7" t="s">
        <x:v>4232</x:v>
      </x:c>
      <x:c r="C615" s="7" t="s">
        <x:v>4233</x:v>
      </x:c>
      <x:c r="D615" s="7" t="s">
        <x:v>258</x:v>
      </x:c>
      <x:c r="E615" s="7" t="s">
        <x:v>2555</x:v>
      </x:c>
      <x:c r="F615" s="10">
        <x:v>7.558824</x:v>
      </x:c>
      <x:c r="G615" s="10">
        <x:v>99.98739</x:v>
      </x:c>
      <x:c r="H615" s="7" t="s">
        <x:v>1554</x:v>
      </x:c>
      <x:c r="I615" s="10">
        <x:v>19.86</x:v>
      </x:c>
      <x:c r="J615" s="41"/>
      <x:c r="K615" s="41"/>
      <x:c r="L615" s="41"/>
      <x:c r="M615" s="10"/>
      <x:c r="N615" s="7" t="s">
        <x:v>4142</x:v>
      </x:c>
      <x:c r="O615" s="7" t="s">
        <x:v>1539</x:v>
      </x:c>
      <x:c r="P615" s="10">
        <x:v>2.0</x:v>
      </x:c>
      <x:c r="Q615" s="41"/>
      <x:c r="R615" s="10">
        <x:v>12.4</x:v>
      </x:c>
      <x:c r="S615" s="7" t="s">
        <x:v>1540</x:v>
      </x:c>
      <x:c r="T615" s="7" t="b">
        <x:v>0</x:v>
      </x:c>
      <x:c r="U615" s="7" t="s">
        <x:v>1541</x:v>
      </x:c>
      <x:c r="V615" s="26" t="s">
        <x:v>1542</x:v>
      </x:c>
      <x:c r="W615" s="7" t="s">
        <x:v>4234</x:v>
      </x:c>
      <x:c r="X615" s="41"/>
      <x:c r="Y615" s="41"/>
      <x:c r="Z615" s="41"/>
    </x:row>
    <x:row r="616">
      <x:c r="A616" s="7" t="s">
        <x:v>4235</x:v>
      </x:c>
      <x:c r="B616" s="7" t="s">
        <x:v>4236</x:v>
      </x:c>
      <x:c r="C616" s="7" t="s">
        <x:v>4237</x:v>
      </x:c>
      <x:c r="D616" s="7" t="s">
        <x:v>38</x:v>
      </x:c>
      <x:c r="E616" s="7" t="s">
        <x:v>2027</x:v>
      </x:c>
      <x:c r="F616" s="10">
        <x:v>15.181689</x:v>
      </x:c>
      <x:c r="G616" s="10">
        <x:v>100.41453</x:v>
      </x:c>
      <x:c r="H616" s="7" t="s">
        <x:v>1554</x:v>
      </x:c>
      <x:c r="I616" s="10">
        <x:v>4.67</x:v>
      </x:c>
      <x:c r="J616" s="41"/>
      <x:c r="K616" s="41"/>
      <x:c r="L616" s="41"/>
      <x:c r="M616" s="10"/>
      <x:c r="N616" s="7" t="s">
        <x:v>4142</x:v>
      </x:c>
      <x:c r="O616" s="7" t="s">
        <x:v>1539</x:v>
      </x:c>
      <x:c r="P616" s="10">
        <x:v>2.0</x:v>
      </x:c>
      <x:c r="Q616" s="41"/>
      <x:c r="R616" s="10">
        <x:v>12.4</x:v>
      </x:c>
      <x:c r="S616" s="7" t="s">
        <x:v>1540</x:v>
      </x:c>
      <x:c r="T616" s="7" t="b">
        <x:v>0</x:v>
      </x:c>
      <x:c r="U616" s="7" t="s">
        <x:v>1541</x:v>
      </x:c>
      <x:c r="V616" s="26" t="s">
        <x:v>1542</x:v>
      </x:c>
      <x:c r="W616" s="7" t="s">
        <x:v>4238</x:v>
      </x:c>
      <x:c r="X616" s="41"/>
      <x:c r="Y616" s="41"/>
      <x:c r="Z616" s="41"/>
    </x:row>
    <x:row r="617">
      <x:c r="A617" s="7" t="s">
        <x:v>4239</x:v>
      </x:c>
      <x:c r="B617" s="7" t="s">
        <x:v>4240</x:v>
      </x:c>
      <x:c r="C617" s="7" t="s">
        <x:v>4241</x:v>
      </x:c>
      <x:c r="D617" s="7" t="s">
        <x:v>249</x:v>
      </x:c>
      <x:c r="E617" s="7" t="s">
        <x:v>4242</x:v>
      </x:c>
      <x:c r="F617" s="10">
        <x:v>9.598671</x:v>
      </x:c>
      <x:c r="G617" s="10">
        <x:v>98.94901</x:v>
      </x:c>
      <x:c r="H617" s="7" t="s">
        <x:v>1554</x:v>
      </x:c>
      <x:c r="I617" s="10">
        <x:v>89.22</x:v>
      </x:c>
      <x:c r="J617" s="41"/>
      <x:c r="K617" s="41"/>
      <x:c r="L617" s="41"/>
      <x:c r="M617" s="10"/>
      <x:c r="N617" s="7" t="s">
        <x:v>4142</x:v>
      </x:c>
      <x:c r="O617" s="7" t="s">
        <x:v>1539</x:v>
      </x:c>
      <x:c r="P617" s="10">
        <x:v>2.0</x:v>
      </x:c>
      <x:c r="Q617" s="41"/>
      <x:c r="R617" s="10">
        <x:v>12.4</x:v>
      </x:c>
      <x:c r="S617" s="7" t="s">
        <x:v>1540</x:v>
      </x:c>
      <x:c r="T617" s="7" t="b">
        <x:v>0</x:v>
      </x:c>
      <x:c r="U617" s="7" t="s">
        <x:v>1541</x:v>
      </x:c>
      <x:c r="V617" s="26" t="s">
        <x:v>1542</x:v>
      </x:c>
      <x:c r="W617" s="7" t="s">
        <x:v>4243</x:v>
      </x:c>
      <x:c r="X617" s="41"/>
      <x:c r="Y617" s="41"/>
      <x:c r="Z617" s="41"/>
    </x:row>
    <x:row r="618">
      <x:c r="A618" s="7" t="s">
        <x:v>4244</x:v>
      </x:c>
      <x:c r="B618" s="7" t="s">
        <x:v>4245</x:v>
      </x:c>
      <x:c r="C618" s="7" t="s">
        <x:v>4246</x:v>
      </x:c>
      <x:c r="D618" s="7" t="s">
        <x:v>229</x:v>
      </x:c>
      <x:c r="E618" s="7" t="s">
        <x:v>4137</x:v>
      </x:c>
      <x:c r="F618" s="10">
        <x:v>16.88054</x:v>
      </x:c>
      <x:c r="G618" s="10">
        <x:v>102.145442</x:v>
      </x:c>
      <x:c r="H618" s="7" t="s">
        <x:v>1548</x:v>
      </x:c>
      <x:c r="I618" s="10">
        <x:v>193.37</x:v>
      </x:c>
      <x:c r="J618" s="41"/>
      <x:c r="K618" s="41"/>
      <x:c r="L618" s="41"/>
      <x:c r="M618" s="10">
        <x:v>202.33</x:v>
      </x:c>
      <x:c r="N618" s="7" t="s">
        <x:v>4142</x:v>
      </x:c>
      <x:c r="O618" s="7" t="s">
        <x:v>1539</x:v>
      </x:c>
      <x:c r="P618" s="10">
        <x:v>2.0</x:v>
      </x:c>
      <x:c r="Q618" s="41"/>
      <x:c r="R618" s="10">
        <x:v>82.4</x:v>
      </x:c>
      <x:c r="S618" s="7" t="s">
        <x:v>301</x:v>
      </x:c>
      <x:c r="T618" s="7" t="b">
        <x:v>0</x:v>
      </x:c>
      <x:c r="U618" s="7" t="s">
        <x:v>1541</x:v>
      </x:c>
      <x:c r="V618" s="26" t="s">
        <x:v>1542</x:v>
      </x:c>
      <x:c r="W618" s="7" t="s">
        <x:v>4247</x:v>
      </x:c>
      <x:c r="X618" s="41"/>
      <x:c r="Y618" s="41"/>
      <x:c r="Z618" s="41"/>
    </x:row>
    <x:row r="619">
      <x:c r="A619" s="7" t="s">
        <x:v>4248</x:v>
      </x:c>
      <x:c r="B619" s="7" t="s">
        <x:v>4249</x:v>
      </x:c>
      <x:c r="C619" s="7" t="s">
        <x:v>4250</x:v>
      </x:c>
      <x:c r="D619" s="7" t="s">
        <x:v>236</x:v>
      </x:c>
      <x:c r="E619" s="7" t="s">
        <x:v>2927</x:v>
      </x:c>
      <x:c r="F619" s="10">
        <x:v>17.13114</x:v>
      </x:c>
      <x:c r="G619" s="10">
        <x:v>101.679489</x:v>
      </x:c>
      <x:c r="H619" s="7" t="s">
        <x:v>1548</x:v>
      </x:c>
      <x:c r="I619" s="10">
        <x:v>260.49</x:v>
      </x:c>
      <x:c r="J619" s="41"/>
      <x:c r="K619" s="41"/>
      <x:c r="L619" s="41"/>
      <x:c r="M619" s="41"/>
      <x:c r="N619" s="7" t="s">
        <x:v>4142</x:v>
      </x:c>
      <x:c r="O619" s="7" t="s">
        <x:v>1539</x:v>
      </x:c>
      <x:c r="P619" s="10">
        <x:v>2.0</x:v>
      </x:c>
      <x:c r="Q619" s="41"/>
      <x:c r="R619" s="10">
        <x:v>82.4</x:v>
      </x:c>
      <x:c r="S619" s="7" t="s">
        <x:v>301</x:v>
      </x:c>
      <x:c r="T619" s="7" t="b">
        <x:v>0</x:v>
      </x:c>
      <x:c r="U619" s="7" t="s">
        <x:v>1541</x:v>
      </x:c>
      <x:c r="V619" s="26" t="s">
        <x:v>1542</x:v>
      </x:c>
      <x:c r="W619" s="7" t="s">
        <x:v>4251</x:v>
      </x:c>
      <x:c r="X619" s="41"/>
      <x:c r="Y619" s="41"/>
      <x:c r="Z619" s="41"/>
    </x:row>
    <x:row r="620">
      <x:c r="A620" s="7" t="s">
        <x:v>4252</x:v>
      </x:c>
      <x:c r="B620" s="7" t="s">
        <x:v>4253</x:v>
      </x:c>
      <x:c r="C620" s="7" t="s">
        <x:v>4254</x:v>
      </x:c>
      <x:c r="D620" s="7" t="s">
        <x:v>207</x:v>
      </x:c>
      <x:c r="E620" s="7" t="s">
        <x:v>4255</x:v>
      </x:c>
      <x:c r="F620" s="10">
        <x:v>17.78546</x:v>
      </x:c>
      <x:c r="G620" s="10">
        <x:v>98.372391</x:v>
      </x:c>
      <x:c r="H620" s="7" t="s">
        <x:v>1777</x:v>
      </x:c>
      <x:c r="I620" s="10">
        <x:v>788.74</x:v>
      </x:c>
      <x:c r="J620" s="41"/>
      <x:c r="K620" s="41"/>
      <x:c r="L620" s="41"/>
      <x:c r="M620" s="10"/>
      <x:c r="N620" s="7" t="s">
        <x:v>4142</x:v>
      </x:c>
      <x:c r="O620" s="7" t="s">
        <x:v>1539</x:v>
      </x:c>
      <x:c r="P620" s="10">
        <x:v>2.0</x:v>
      </x:c>
      <x:c r="Q620" s="41"/>
      <x:c r="R620" s="10">
        <x:v>562.4</x:v>
      </x:c>
      <x:c r="S620" s="7" t="s">
        <x:v>301</x:v>
      </x:c>
      <x:c r="T620" s="7" t="b">
        <x:v>0</x:v>
      </x:c>
      <x:c r="U620" s="7" t="s">
        <x:v>1541</x:v>
      </x:c>
      <x:c r="V620" s="26" t="s">
        <x:v>1542</x:v>
      </x:c>
      <x:c r="W620" s="7" t="s">
        <x:v>4256</x:v>
      </x:c>
      <x:c r="X620" s="41"/>
      <x:c r="Y620" s="41"/>
      <x:c r="Z620" s="41"/>
    </x:row>
    <x:row r="621">
      <x:c r="A621" s="7" t="s">
        <x:v>4257</x:v>
      </x:c>
      <x:c r="B621" s="7" t="s">
        <x:v>4258</x:v>
      </x:c>
      <x:c r="C621" s="7" t="s">
        <x:v>4259</x:v>
      </x:c>
      <x:c r="D621" s="7" t="s">
        <x:v>212</x:v>
      </x:c>
      <x:c r="E621" s="7" t="s">
        <x:v>4260</x:v>
      </x:c>
      <x:c r="F621" s="10">
        <x:v>18.310881</x:v>
      </x:c>
      <x:c r="G621" s="10">
        <x:v>99.45784</x:v>
      </x:c>
      <x:c r="H621" s="7" t="s">
        <x:v>3065</x:v>
      </x:c>
      <x:c r="I621" s="10">
        <x:v>230.21</x:v>
      </x:c>
      <x:c r="J621" s="41"/>
      <x:c r="K621" s="41"/>
      <x:c r="L621" s="41"/>
      <x:c r="M621" s="41"/>
      <x:c r="N621" s="7" t="s">
        <x:v>4142</x:v>
      </x:c>
      <x:c r="O621" s="7" t="s">
        <x:v>1539</x:v>
      </x:c>
      <x:c r="P621" s="10">
        <x:v>2.0</x:v>
      </x:c>
      <x:c r="Q621" s="41"/>
      <x:c r="R621" s="10">
        <x:v>262.4</x:v>
      </x:c>
      <x:c r="S621" s="7" t="s">
        <x:v>301</x:v>
      </x:c>
      <x:c r="T621" s="7" t="b">
        <x:v>0</x:v>
      </x:c>
      <x:c r="U621" s="7" t="s">
        <x:v>1541</x:v>
      </x:c>
      <x:c r="V621" s="26" t="s">
        <x:v>1542</x:v>
      </x:c>
      <x:c r="W621" s="7" t="s">
        <x:v>4261</x:v>
      </x:c>
      <x:c r="X621" s="41"/>
      <x:c r="Y621" s="41"/>
      <x:c r="Z621" s="41"/>
    </x:row>
    <x:row r="622">
      <x:c r="A622" s="7" t="s">
        <x:v>4262</x:v>
      </x:c>
      <x:c r="B622" s="7" t="s">
        <x:v>4263</x:v>
      </x:c>
      <x:c r="C622" s="7" t="s">
        <x:v>4264</x:v>
      </x:c>
      <x:c r="D622" s="7" t="s">
        <x:v>88</x:v>
      </x:c>
      <x:c r="E622" s="7"/>
      <x:c r="F622" s="10">
        <x:v>14.315195</x:v>
      </x:c>
      <x:c r="G622" s="10">
        <x:v>101.312836</x:v>
      </x:c>
      <x:c r="H622" s="7" t="s">
        <x:v>1554</x:v>
      </x:c>
      <x:c r="I622" s="10">
        <x:v>23.73</x:v>
      </x:c>
      <x:c r="J622" s="41"/>
      <x:c r="K622" s="41"/>
      <x:c r="L622" s="41"/>
      <x:c r="M622" s="41"/>
      <x:c r="N622" s="7" t="s">
        <x:v>4142</x:v>
      </x:c>
      <x:c r="O622" s="7" t="s">
        <x:v>1539</x:v>
      </x:c>
      <x:c r="P622" s="10">
        <x:v>2.0</x:v>
      </x:c>
      <x:c r="Q622" s="41"/>
      <x:c r="R622" s="10">
        <x:v>12.4</x:v>
      </x:c>
      <x:c r="S622" s="7" t="s">
        <x:v>1540</x:v>
      </x:c>
      <x:c r="T622" s="7" t="b">
        <x:v>0</x:v>
      </x:c>
      <x:c r="U622" s="7" t="s">
        <x:v>1541</x:v>
      </x:c>
      <x:c r="V622" s="26" t="s">
        <x:v>1542</x:v>
      </x:c>
      <x:c r="W622" s="7" t="s">
        <x:v>4265</x:v>
      </x:c>
      <x:c r="X622" s="41"/>
      <x:c r="Y622" s="41"/>
      <x:c r="Z622" s="41"/>
    </x:row>
    <x:row r="623">
      <x:c r="A623" s="7" t="s">
        <x:v>4266</x:v>
      </x:c>
      <x:c r="B623" s="7" t="s">
        <x:v>4267</x:v>
      </x:c>
      <x:c r="C623" s="7" t="s">
        <x:v>4268</x:v>
      </x:c>
      <x:c r="D623" s="7" t="s">
        <x:v>208</x:v>
      </x:c>
      <x:c r="E623" s="7" t="s">
        <x:v>3676</x:v>
      </x:c>
      <x:c r="F623" s="10">
        <x:v>19.82637</x:v>
      </x:c>
      <x:c r="G623" s="10">
        <x:v>99.77892</x:v>
      </x:c>
      <x:c r="H623" s="7" t="s">
        <x:v>1554</x:v>
      </x:c>
      <x:c r="I623" s="10">
        <x:v>401.41</x:v>
      </x:c>
      <x:c r="J623" s="41"/>
      <x:c r="K623" s="41"/>
      <x:c r="L623" s="41"/>
      <x:c r="M623" s="10"/>
      <x:c r="N623" s="7" t="s">
        <x:v>4142</x:v>
      </x:c>
      <x:c r="O623" s="7" t="s">
        <x:v>1539</x:v>
      </x:c>
      <x:c r="P623" s="10">
        <x:v>2.0</x:v>
      </x:c>
      <x:c r="Q623" s="41"/>
      <x:c r="R623" s="10">
        <x:v>12.4</x:v>
      </x:c>
      <x:c r="S623" s="7" t="s">
        <x:v>1540</x:v>
      </x:c>
      <x:c r="T623" s="7" t="b">
        <x:v>0</x:v>
      </x:c>
      <x:c r="U623" s="7" t="s">
        <x:v>1541</x:v>
      </x:c>
      <x:c r="V623" s="26" t="s">
        <x:v>1542</x:v>
      </x:c>
      <x:c r="W623" s="7" t="s">
        <x:v>4269</x:v>
      </x:c>
      <x:c r="X623" s="41"/>
      <x:c r="Y623" s="41"/>
      <x:c r="Z623" s="41"/>
    </x:row>
    <x:row r="624">
      <x:c r="A624" s="7" t="s">
        <x:v>4270</x:v>
      </x:c>
      <x:c r="B624" s="7" t="s">
        <x:v>4271</x:v>
      </x:c>
      <x:c r="C624" s="7" t="s">
        <x:v>4272</x:v>
      </x:c>
      <x:c r="D624" s="7" t="s">
        <x:v>212</x:v>
      </x:c>
      <x:c r="E624" s="7" t="s">
        <x:v>2695</x:v>
      </x:c>
      <x:c r="F624" s="10">
        <x:v>18.34301</x:v>
      </x:c>
      <x:c r="G624" s="10">
        <x:v>99.537178</x:v>
      </x:c>
      <x:c r="H624" s="7" t="s">
        <x:v>1777</x:v>
      </x:c>
      <x:c r="I624" s="10">
        <x:v>232.75</x:v>
      </x:c>
      <x:c r="J624" s="41"/>
      <x:c r="K624" s="41"/>
      <x:c r="L624" s="41"/>
      <x:c r="M624" s="10"/>
      <x:c r="N624" s="7" t="s">
        <x:v>4142</x:v>
      </x:c>
      <x:c r="O624" s="7" t="s">
        <x:v>1539</x:v>
      </x:c>
      <x:c r="P624" s="10">
        <x:v>2.0</x:v>
      </x:c>
      <x:c r="Q624" s="41"/>
      <x:c r="R624" s="10">
        <x:v>562.4</x:v>
      </x:c>
      <x:c r="S624" s="7" t="s">
        <x:v>301</x:v>
      </x:c>
      <x:c r="T624" s="7" t="b">
        <x:v>0</x:v>
      </x:c>
      <x:c r="U624" s="7" t="s">
        <x:v>1541</x:v>
      </x:c>
      <x:c r="V624" s="26" t="s">
        <x:v>1542</x:v>
      </x:c>
      <x:c r="W624" s="7" t="s">
        <x:v>4273</x:v>
      </x:c>
      <x:c r="X624" s="41"/>
      <x:c r="Y624" s="41"/>
      <x:c r="Z624" s="41"/>
    </x:row>
    <x:row r="625">
      <x:c r="A625" s="7" t="s">
        <x:v>4274</x:v>
      </x:c>
      <x:c r="B625" s="7" t="s">
        <x:v>4275</x:v>
      </x:c>
      <x:c r="C625" s="7" t="s">
        <x:v>4276</x:v>
      </x:c>
      <x:c r="D625" s="7" t="s">
        <x:v>34</x:v>
      </x:c>
      <x:c r="E625" s="7" t="s">
        <x:v>2074</x:v>
      </x:c>
      <x:c r="F625" s="10">
        <x:v>16.6282</x:v>
      </x:c>
      <x:c r="G625" s="10">
        <x:v>99.43257</x:v>
      </x:c>
      <x:c r="H625" s="7" t="s">
        <x:v>1554</x:v>
      </x:c>
      <x:c r="I625" s="10">
        <x:v>81.35</x:v>
      </x:c>
      <x:c r="J625" s="41"/>
      <x:c r="K625" s="41"/>
      <x:c r="L625" s="41"/>
      <x:c r="M625" s="41"/>
      <x:c r="N625" s="7" t="s">
        <x:v>4142</x:v>
      </x:c>
      <x:c r="O625" s="7" t="s">
        <x:v>1539</x:v>
      </x:c>
      <x:c r="P625" s="10">
        <x:v>2.0</x:v>
      </x:c>
      <x:c r="Q625" s="41"/>
      <x:c r="R625" s="10">
        <x:v>12.4</x:v>
      </x:c>
      <x:c r="S625" s="7" t="s">
        <x:v>1540</x:v>
      </x:c>
      <x:c r="T625" s="7" t="b">
        <x:v>0</x:v>
      </x:c>
      <x:c r="U625" s="7" t="s">
        <x:v>1541</x:v>
      </x:c>
      <x:c r="V625" s="26" t="s">
        <x:v>1542</x:v>
      </x:c>
      <x:c r="W625" s="7" t="s">
        <x:v>4277</x:v>
      </x:c>
      <x:c r="X625" s="41"/>
      <x:c r="Y625" s="41"/>
      <x:c r="Z625" s="41"/>
    </x:row>
    <x:row r="626">
      <x:c r="A626" s="7" t="s">
        <x:v>4278</x:v>
      </x:c>
      <x:c r="B626" s="7" t="s">
        <x:v>4279</x:v>
      </x:c>
      <x:c r="C626" s="7" t="s">
        <x:v>4280</x:v>
      </x:c>
      <x:c r="D626" s="7" t="s">
        <x:v>122</x:v>
      </x:c>
      <x:c r="E626" s="7" t="s">
        <x:v>3037</x:v>
      </x:c>
      <x:c r="F626" s="10">
        <x:v>14.50134</x:v>
      </x:c>
      <x:c r="G626" s="10">
        <x:v>101.768478</x:v>
      </x:c>
      <x:c r="H626" s="7" t="s">
        <x:v>1548</x:v>
      </x:c>
      <x:c r="I626" s="10">
        <x:v>273.45</x:v>
      </x:c>
      <x:c r="J626" s="41"/>
      <x:c r="K626" s="41"/>
      <x:c r="L626" s="41"/>
      <x:c r="M626" s="41"/>
      <x:c r="N626" s="7" t="s">
        <x:v>4142</x:v>
      </x:c>
      <x:c r="O626" s="7" t="s">
        <x:v>1539</x:v>
      </x:c>
      <x:c r="P626" s="10">
        <x:v>2.0</x:v>
      </x:c>
      <x:c r="Q626" s="41"/>
      <x:c r="R626" s="10">
        <x:v>82.4</x:v>
      </x:c>
      <x:c r="S626" s="7" t="s">
        <x:v>301</x:v>
      </x:c>
      <x:c r="T626" s="7" t="b">
        <x:v>0</x:v>
      </x:c>
      <x:c r="U626" s="7" t="s">
        <x:v>1541</x:v>
      </x:c>
      <x:c r="V626" s="26" t="s">
        <x:v>1542</x:v>
      </x:c>
      <x:c r="W626" s="7" t="s">
        <x:v>4281</x:v>
      </x:c>
      <x:c r="X626" s="41"/>
      <x:c r="Y626" s="41"/>
      <x:c r="Z626" s="41"/>
    </x:row>
    <x:row r="627">
      <x:c r="A627" s="7" t="s">
        <x:v>4282</x:v>
      </x:c>
      <x:c r="B627" s="7" t="s">
        <x:v>4283</x:v>
      </x:c>
      <x:c r="C627" s="7" t="s">
        <x:v>4284</x:v>
      </x:c>
      <x:c r="D627" s="7" t="s">
        <x:v>3396</x:v>
      </x:c>
      <x:c r="E627" s="7"/>
      <x:c r="F627" s="10">
        <x:v>20.47149</x:v>
      </x:c>
      <x:c r="G627" s="10">
        <x:v>99.95349</x:v>
      </x:c>
      <x:c r="H627" s="7" t="s">
        <x:v>1554</x:v>
      </x:c>
      <x:c r="I627" s="10">
        <x:v>395.64</x:v>
      </x:c>
      <x:c r="J627" s="41"/>
      <x:c r="K627" s="41"/>
      <x:c r="L627" s="41"/>
      <x:c r="M627" s="41"/>
      <x:c r="N627" s="7" t="s">
        <x:v>4142</x:v>
      </x:c>
      <x:c r="O627" s="7" t="s">
        <x:v>1539</x:v>
      </x:c>
      <x:c r="P627" s="10">
        <x:v>2.0</x:v>
      </x:c>
      <x:c r="Q627" s="41"/>
      <x:c r="R627" s="10">
        <x:v>12.4</x:v>
      </x:c>
      <x:c r="S627" s="7" t="s">
        <x:v>1540</x:v>
      </x:c>
      <x:c r="T627" s="7" t="b">
        <x:v>0</x:v>
      </x:c>
      <x:c r="U627" s="7" t="s">
        <x:v>1541</x:v>
      </x:c>
      <x:c r="V627" s="26" t="s">
        <x:v>1542</x:v>
      </x:c>
      <x:c r="W627" s="7" t="s">
        <x:v>4285</x:v>
      </x:c>
      <x:c r="X627" s="41"/>
      <x:c r="Y627" s="41"/>
      <x:c r="Z627" s="41"/>
    </x:row>
    <x:row r="628">
      <x:c r="A628" s="7" t="s">
        <x:v>4286</x:v>
      </x:c>
      <x:c r="B628" s="7" t="s">
        <x:v>4287</x:v>
      </x:c>
      <x:c r="C628" s="7" t="s">
        <x:v>4288</x:v>
      </x:c>
      <x:c r="D628" s="7" t="s">
        <x:v>210</x:v>
      </x:c>
      <x:c r="E628" s="7" t="s">
        <x:v>3908</x:v>
      </x:c>
      <x:c r="F628" s="10">
        <x:v>18.643177</x:v>
      </x:c>
      <x:c r="G628" s="10">
        <x:v>101.010826</x:v>
      </x:c>
      <x:c r="H628" s="7" t="s">
        <x:v>1554</x:v>
      </x:c>
      <x:c r="I628" s="10">
        <x:v>244.51</x:v>
      </x:c>
      <x:c r="J628" s="41"/>
      <x:c r="K628" s="41"/>
      <x:c r="L628" s="41"/>
      <x:c r="M628" s="41"/>
      <x:c r="N628" s="7" t="s">
        <x:v>4142</x:v>
      </x:c>
      <x:c r="O628" s="7" t="s">
        <x:v>1539</x:v>
      </x:c>
      <x:c r="P628" s="10">
        <x:v>2.0</x:v>
      </x:c>
      <x:c r="Q628" s="41"/>
      <x:c r="R628" s="10">
        <x:v>12.4</x:v>
      </x:c>
      <x:c r="S628" s="7" t="s">
        <x:v>1540</x:v>
      </x:c>
      <x:c r="T628" s="7" t="b">
        <x:v>0</x:v>
      </x:c>
      <x:c r="U628" s="7" t="s">
        <x:v>1541</x:v>
      </x:c>
      <x:c r="V628" s="26" t="s">
        <x:v>1542</x:v>
      </x:c>
      <x:c r="W628" s="7" t="s">
        <x:v>4289</x:v>
      </x:c>
      <x:c r="X628" s="41"/>
      <x:c r="Y628" s="41"/>
      <x:c r="Z628" s="41"/>
    </x:row>
    <x:row r="629">
      <x:c r="A629" s="7" t="s">
        <x:v>4290</x:v>
      </x:c>
      <x:c r="B629" s="7" t="s">
        <x:v>4291</x:v>
      </x:c>
      <x:c r="C629" s="7" t="s">
        <x:v>4292</x:v>
      </x:c>
      <x:c r="D629" s="7" t="s">
        <x:v>208</x:v>
      </x:c>
      <x:c r="E629" s="7" t="s">
        <x:v>4293</x:v>
      </x:c>
      <x:c r="F629" s="10">
        <x:v>20.030533</x:v>
      </x:c>
      <x:c r="G629" s="10">
        <x:v>100.48944</x:v>
      </x:c>
      <x:c r="H629" s="7" t="s">
        <x:v>1554</x:v>
      </x:c>
      <x:c r="I629" s="10">
        <x:v>381.44</x:v>
      </x:c>
      <x:c r="J629" s="41"/>
      <x:c r="K629" s="41"/>
      <x:c r="L629" s="41"/>
      <x:c r="M629" s="41"/>
      <x:c r="N629" s="7" t="s">
        <x:v>4142</x:v>
      </x:c>
      <x:c r="O629" s="7" t="s">
        <x:v>1539</x:v>
      </x:c>
      <x:c r="P629" s="10">
        <x:v>2.0</x:v>
      </x:c>
      <x:c r="Q629" s="41"/>
      <x:c r="R629" s="10">
        <x:v>12.4</x:v>
      </x:c>
      <x:c r="S629" s="7" t="s">
        <x:v>1540</x:v>
      </x:c>
      <x:c r="T629" s="7" t="b">
        <x:v>0</x:v>
      </x:c>
      <x:c r="U629" s="7" t="s">
        <x:v>1541</x:v>
      </x:c>
      <x:c r="V629" s="26" t="s">
        <x:v>1542</x:v>
      </x:c>
      <x:c r="W629" s="7" t="s">
        <x:v>4294</x:v>
      </x:c>
      <x:c r="X629" s="41"/>
      <x:c r="Y629" s="41"/>
      <x:c r="Z629" s="41"/>
    </x:row>
    <x:row r="630">
      <x:c r="A630" s="7" t="s">
        <x:v>4295</x:v>
      </x:c>
      <x:c r="B630" s="7" t="s">
        <x:v>4296</x:v>
      </x:c>
      <x:c r="C630" s="7" t="s">
        <x:v>4297</x:v>
      </x:c>
      <x:c r="D630" s="7" t="s">
        <x:v>257</x:v>
      </x:c>
      <x:c r="E630" s="7" t="s">
        <x:v>2724</x:v>
      </x:c>
      <x:c r="F630" s="10">
        <x:v>7.77079</x:v>
      </x:c>
      <x:c r="G630" s="10">
        <x:v>99.53743</x:v>
      </x:c>
      <x:c r="H630" s="7" t="s">
        <x:v>1548</x:v>
      </x:c>
      <x:c r="I630" s="10">
        <x:v>8.08</x:v>
      </x:c>
      <x:c r="J630" s="41"/>
      <x:c r="K630" s="41"/>
      <x:c r="L630" s="41"/>
      <x:c r="M630" s="41"/>
      <x:c r="N630" s="7" t="s">
        <x:v>4142</x:v>
      </x:c>
      <x:c r="O630" s="7" t="s">
        <x:v>1539</x:v>
      </x:c>
      <x:c r="P630" s="10">
        <x:v>2.0</x:v>
      </x:c>
      <x:c r="Q630" s="41"/>
      <x:c r="R630" s="10">
        <x:v>82.4</x:v>
      </x:c>
      <x:c r="S630" s="7" t="s">
        <x:v>301</x:v>
      </x:c>
      <x:c r="T630" s="7" t="b">
        <x:v>0</x:v>
      </x:c>
      <x:c r="U630" s="7" t="s">
        <x:v>1541</x:v>
      </x:c>
      <x:c r="V630" s="26" t="s">
        <x:v>1542</x:v>
      </x:c>
      <x:c r="W630" s="7" t="s">
        <x:v>4298</x:v>
      </x:c>
      <x:c r="X630" s="41"/>
      <x:c r="Y630" s="41"/>
      <x:c r="Z630" s="41"/>
    </x:row>
    <x:row r="631">
      <x:c r="A631" s="7" t="s">
        <x:v>4299</x:v>
      </x:c>
      <x:c r="B631" s="7" t="s">
        <x:v>4300</x:v>
      </x:c>
      <x:c r="C631" s="7" t="s">
        <x:v>4301</x:v>
      </x:c>
      <x:c r="D631" s="7" t="s">
        <x:v>249</x:v>
      </x:c>
      <x:c r="E631" s="7"/>
      <x:c r="F631" s="10">
        <x:v>8.915783</x:v>
      </x:c>
      <x:c r="G631" s="10">
        <x:v>98.885678</x:v>
      </x:c>
      <x:c r="H631" s="7" t="s">
        <x:v>1658</x:v>
      </x:c>
      <x:c r="I631" s="10">
        <x:v>5.86</x:v>
      </x:c>
      <x:c r="J631" s="41"/>
      <x:c r="K631" s="41"/>
      <x:c r="L631" s="41"/>
      <x:c r="M631" s="10">
        <x:v>20.524</x:v>
      </x:c>
      <x:c r="N631" s="7" t="s">
        <x:v>4142</x:v>
      </x:c>
      <x:c r="O631" s="7" t="s">
        <x:v>1539</x:v>
      </x:c>
      <x:c r="P631" s="10">
        <x:v>2.0</x:v>
      </x:c>
      <x:c r="Q631" s="41"/>
      <x:c r="R631" s="10">
        <x:v>22.4</x:v>
      </x:c>
      <x:c r="S631" s="7" t="s">
        <x:v>1540</x:v>
      </x:c>
      <x:c r="T631" s="7" t="b">
        <x:v>0</x:v>
      </x:c>
      <x:c r="U631" s="7" t="s">
        <x:v>1541</x:v>
      </x:c>
      <x:c r="V631" s="26" t="s">
        <x:v>1542</x:v>
      </x:c>
      <x:c r="W631" s="7" t="s">
        <x:v>4302</x:v>
      </x:c>
      <x:c r="X631" s="41"/>
      <x:c r="Y631" s="41"/>
      <x:c r="Z631" s="41"/>
    </x:row>
    <x:row r="632">
      <x:c r="A632" s="7" t="s">
        <x:v>4303</x:v>
      </x:c>
      <x:c r="B632" s="7" t="s">
        <x:v>4304</x:v>
      </x:c>
      <x:c r="C632" s="7" t="s">
        <x:v>4305</x:v>
      </x:c>
      <x:c r="D632" s="7" t="s">
        <x:v>216</x:v>
      </x:c>
      <x:c r="E632" s="7" t="s">
        <x:v>3187</x:v>
      </x:c>
      <x:c r="F632" s="10">
        <x:v>17.997021</x:v>
      </x:c>
      <x:c r="G632" s="10">
        <x:v>100.879089</x:v>
      </x:c>
      <x:c r="H632" s="7" t="s">
        <x:v>1548</x:v>
      </x:c>
      <x:c r="I632" s="10">
        <x:v>210.02</x:v>
      </x:c>
      <x:c r="J632" s="41"/>
      <x:c r="K632" s="41"/>
      <x:c r="L632" s="41"/>
      <x:c r="M632" s="10"/>
      <x:c r="N632" s="7" t="s">
        <x:v>4142</x:v>
      </x:c>
      <x:c r="O632" s="7" t="s">
        <x:v>1539</x:v>
      </x:c>
      <x:c r="P632" s="10">
        <x:v>2.0</x:v>
      </x:c>
      <x:c r="Q632" s="41"/>
      <x:c r="R632" s="10">
        <x:v>82.4</x:v>
      </x:c>
      <x:c r="S632" s="7" t="s">
        <x:v>301</x:v>
      </x:c>
      <x:c r="T632" s="7" t="b">
        <x:v>0</x:v>
      </x:c>
      <x:c r="U632" s="7" t="s">
        <x:v>1541</x:v>
      </x:c>
      <x:c r="V632" s="26" t="s">
        <x:v>1542</x:v>
      </x:c>
      <x:c r="W632" s="7" t="s">
        <x:v>4306</x:v>
      </x:c>
      <x:c r="X632" s="41"/>
      <x:c r="Y632" s="41"/>
      <x:c r="Z632" s="41"/>
    </x:row>
    <x:row r="633">
      <x:c r="A633" s="7" t="s">
        <x:v>4307</x:v>
      </x:c>
      <x:c r="B633" s="7" t="s">
        <x:v>4308</x:v>
      </x:c>
      <x:c r="C633" s="7" t="s">
        <x:v>4309</x:v>
      </x:c>
      <x:c r="D633" s="7" t="s">
        <x:v>210</x:v>
      </x:c>
      <x:c r="E633" s="7" t="s">
        <x:v>3908</x:v>
      </x:c>
      <x:c r="F633" s="10">
        <x:v>18.548273</x:v>
      </x:c>
      <x:c r="G633" s="10">
        <x:v>100.808617</x:v>
      </x:c>
      <x:c r="H633" s="7" t="s">
        <x:v>1658</x:v>
      </x:c>
      <x:c r="I633" s="10">
        <x:v>185.29</x:v>
      </x:c>
      <x:c r="J633" s="41"/>
      <x:c r="K633" s="41"/>
      <x:c r="L633" s="41"/>
      <x:c r="M633" s="10">
        <x:v>193.8</x:v>
      </x:c>
      <x:c r="N633" s="7" t="s">
        <x:v>4142</x:v>
      </x:c>
      <x:c r="O633" s="7" t="s">
        <x:v>1539</x:v>
      </x:c>
      <x:c r="P633" s="10">
        <x:v>2.0</x:v>
      </x:c>
      <x:c r="Q633" s="41"/>
      <x:c r="R633" s="10">
        <x:v>22.4</x:v>
      </x:c>
      <x:c r="S633" s="7" t="s">
        <x:v>1540</x:v>
      </x:c>
      <x:c r="T633" s="7" t="b">
        <x:v>0</x:v>
      </x:c>
      <x:c r="U633" s="7" t="s">
        <x:v>1541</x:v>
      </x:c>
      <x:c r="V633" s="26" t="s">
        <x:v>1542</x:v>
      </x:c>
      <x:c r="W633" s="7" t="s">
        <x:v>4310</x:v>
      </x:c>
      <x:c r="X633" s="41"/>
      <x:c r="Y633" s="41"/>
      <x:c r="Z633" s="41"/>
    </x:row>
    <x:row r="634">
      <x:c r="A634" s="7" t="s">
        <x:v>4311</x:v>
      </x:c>
      <x:c r="B634" s="7" t="s">
        <x:v>4312</x:v>
      </x:c>
      <x:c r="C634" s="7" t="s">
        <x:v>4313</x:v>
      </x:c>
      <x:c r="D634" s="7" t="s">
        <x:v>209</x:v>
      </x:c>
      <x:c r="E634" s="7" t="s">
        <x:v>1734</x:v>
      </x:c>
      <x:c r="F634" s="10">
        <x:v>18.46601</x:v>
      </x:c>
      <x:c r="G634" s="10">
        <x:v>100.151665</x:v>
      </x:c>
      <x:c r="H634" s="7" t="s">
        <x:v>1554</x:v>
      </x:c>
      <x:c r="I634" s="10">
        <x:v>171.49</x:v>
      </x:c>
      <x:c r="J634" s="41"/>
      <x:c r="K634" s="41"/>
      <x:c r="L634" s="41"/>
      <x:c r="M634" s="10"/>
      <x:c r="N634" s="7" t="s">
        <x:v>4142</x:v>
      </x:c>
      <x:c r="O634" s="7" t="s">
        <x:v>1539</x:v>
      </x:c>
      <x:c r="P634" s="10">
        <x:v>2.0</x:v>
      </x:c>
      <x:c r="Q634" s="41"/>
      <x:c r="R634" s="10">
        <x:v>12.4</x:v>
      </x:c>
      <x:c r="S634" s="7" t="s">
        <x:v>1540</x:v>
      </x:c>
      <x:c r="T634" s="7" t="b">
        <x:v>0</x:v>
      </x:c>
      <x:c r="U634" s="7" t="s">
        <x:v>1541</x:v>
      </x:c>
      <x:c r="V634" s="26" t="s">
        <x:v>1542</x:v>
      </x:c>
      <x:c r="W634" s="7" t="s">
        <x:v>4314</x:v>
      </x:c>
      <x:c r="X634" s="41"/>
      <x:c r="Y634" s="41"/>
      <x:c r="Z634" s="41"/>
    </x:row>
    <x:row r="635">
      <x:c r="A635" s="7" t="s">
        <x:v>4315</x:v>
      </x:c>
      <x:c r="B635" s="7" t="s">
        <x:v>4316</x:v>
      </x:c>
      <x:c r="C635" s="7" t="s">
        <x:v>4317</x:v>
      </x:c>
      <x:c r="D635" s="7" t="s">
        <x:v>235</x:v>
      </x:c>
      <x:c r="E635" s="7" t="s">
        <x:v>1945</x:v>
      </x:c>
      <x:c r="F635" s="10">
        <x:v>16.961792</x:v>
      </x:c>
      <x:c r="G635" s="10">
        <x:v>104.52589</x:v>
      </x:c>
      <x:c r="H635" s="7" t="s">
        <x:v>1554</x:v>
      </x:c>
      <x:c r="I635" s="10">
        <x:v>138.54</x:v>
      </x:c>
      <x:c r="J635" s="41"/>
      <x:c r="K635" s="41"/>
      <x:c r="L635" s="41"/>
      <x:c r="M635" s="10"/>
      <x:c r="N635" s="7" t="s">
        <x:v>4142</x:v>
      </x:c>
      <x:c r="O635" s="7" t="s">
        <x:v>1539</x:v>
      </x:c>
      <x:c r="P635" s="10">
        <x:v>2.0</x:v>
      </x:c>
      <x:c r="Q635" s="41"/>
      <x:c r="R635" s="10">
        <x:v>12.4</x:v>
      </x:c>
      <x:c r="S635" s="7" t="s">
        <x:v>1540</x:v>
      </x:c>
      <x:c r="T635" s="7" t="b">
        <x:v>0</x:v>
      </x:c>
      <x:c r="U635" s="7" t="s">
        <x:v>1541</x:v>
      </x:c>
      <x:c r="V635" s="26" t="s">
        <x:v>1542</x:v>
      </x:c>
      <x:c r="W635" s="7" t="s">
        <x:v>4318</x:v>
      </x:c>
      <x:c r="X635" s="41"/>
      <x:c r="Y635" s="41"/>
      <x:c r="Z635" s="41"/>
    </x:row>
    <x:row r="636">
      <x:c r="A636" s="7" t="s">
        <x:v>4319</x:v>
      </x:c>
      <x:c r="B636" s="7" t="s">
        <x:v>4320</x:v>
      </x:c>
      <x:c r="C636" s="7" t="s">
        <x:v>4321</x:v>
      </x:c>
      <x:c r="D636" s="7" t="s">
        <x:v>249</x:v>
      </x:c>
      <x:c r="E636" s="7"/>
      <x:c r="F636" s="10">
        <x:v>8.962559</x:v>
      </x:c>
      <x:c r="G636" s="10">
        <x:v>98.814738</x:v>
      </x:c>
      <x:c r="H636" s="7" t="s">
        <x:v>1658</x:v>
      </x:c>
      <x:c r="I636" s="10">
        <x:v>10.16</x:v>
      </x:c>
      <x:c r="J636" s="41"/>
      <x:c r="K636" s="41"/>
      <x:c r="L636" s="41"/>
      <x:c r="M636" s="10">
        <x:v>17.3901</x:v>
      </x:c>
      <x:c r="N636" s="7" t="s">
        <x:v>4142</x:v>
      </x:c>
      <x:c r="O636" s="7" t="s">
        <x:v>1539</x:v>
      </x:c>
      <x:c r="P636" s="10">
        <x:v>2.0</x:v>
      </x:c>
      <x:c r="Q636" s="41"/>
      <x:c r="R636" s="10">
        <x:v>22.4</x:v>
      </x:c>
      <x:c r="S636" s="7" t="s">
        <x:v>1540</x:v>
      </x:c>
      <x:c r="T636" s="7" t="b">
        <x:v>0</x:v>
      </x:c>
      <x:c r="U636" s="7" t="s">
        <x:v>1541</x:v>
      </x:c>
      <x:c r="V636" s="26" t="s">
        <x:v>1542</x:v>
      </x:c>
      <x:c r="W636" s="7" t="s">
        <x:v>4322</x:v>
      </x:c>
      <x:c r="X636" s="41"/>
      <x:c r="Y636" s="41"/>
      <x:c r="Z636" s="41"/>
    </x:row>
    <x:row r="637">
      <x:c r="A637" s="7" t="s">
        <x:v>4323</x:v>
      </x:c>
      <x:c r="B637" s="7" t="s">
        <x:v>4324</x:v>
      </x:c>
      <x:c r="C637" s="7" t="s">
        <x:v>4325</x:v>
      </x:c>
      <x:c r="D637" s="7" t="s">
        <x:v>253</x:v>
      </x:c>
      <x:c r="E637" s="7" t="s">
        <x:v>3460</x:v>
      </x:c>
      <x:c r="F637" s="10">
        <x:v>9.961575</x:v>
      </x:c>
      <x:c r="G637" s="10">
        <x:v>98.644485</x:v>
      </x:c>
      <x:c r="H637" s="7" t="s">
        <x:v>1554</x:v>
      </x:c>
      <x:c r="I637" s="10">
        <x:v>8.25</x:v>
      </x:c>
      <x:c r="J637" s="41"/>
      <x:c r="K637" s="41"/>
      <x:c r="L637" s="41"/>
      <x:c r="M637" s="41"/>
      <x:c r="N637" s="7" t="s">
        <x:v>4142</x:v>
      </x:c>
      <x:c r="O637" s="7" t="s">
        <x:v>1539</x:v>
      </x:c>
      <x:c r="P637" s="10">
        <x:v>2.0</x:v>
      </x:c>
      <x:c r="Q637" s="41"/>
      <x:c r="R637" s="10">
        <x:v>12.4</x:v>
      </x:c>
      <x:c r="S637" s="7" t="s">
        <x:v>1540</x:v>
      </x:c>
      <x:c r="T637" s="7" t="b">
        <x:v>0</x:v>
      </x:c>
      <x:c r="U637" s="7" t="s">
        <x:v>1541</x:v>
      </x:c>
      <x:c r="V637" s="26" t="s">
        <x:v>1542</x:v>
      </x:c>
      <x:c r="W637" s="7" t="s">
        <x:v>4326</x:v>
      </x:c>
      <x:c r="X637" s="41"/>
      <x:c r="Y637" s="41"/>
      <x:c r="Z637" s="41"/>
    </x:row>
    <x:row r="638">
      <x:c r="A638" s="7" t="s">
        <x:v>4327</x:v>
      </x:c>
      <x:c r="B638" s="7" t="s">
        <x:v>4328</x:v>
      </x:c>
      <x:c r="C638" s="7" t="s">
        <x:v>4329</x:v>
      </x:c>
      <x:c r="D638" s="7" t="s">
        <x:v>260</x:v>
      </x:c>
      <x:c r="E638" s="7" t="s">
        <x:v>2321</x:v>
      </x:c>
      <x:c r="F638" s="10">
        <x:v>5.920578</x:v>
      </x:c>
      <x:c r="G638" s="10">
        <x:v>101.182086</x:v>
      </x:c>
      <x:c r="H638" s="7" t="s">
        <x:v>1658</x:v>
      </x:c>
      <x:c r="I638" s="10">
        <x:v>117.0</x:v>
      </x:c>
      <x:c r="J638" s="41"/>
      <x:c r="K638" s="41"/>
      <x:c r="L638" s="41"/>
      <x:c r="M638" s="10">
        <x:v>120.37</x:v>
      </x:c>
      <x:c r="N638" s="7" t="s">
        <x:v>4142</x:v>
      </x:c>
      <x:c r="O638" s="7" t="s">
        <x:v>1539</x:v>
      </x:c>
      <x:c r="P638" s="10">
        <x:v>2.0</x:v>
      </x:c>
      <x:c r="Q638" s="41"/>
      <x:c r="R638" s="10">
        <x:v>22.4</x:v>
      </x:c>
      <x:c r="S638" s="7" t="s">
        <x:v>1540</x:v>
      </x:c>
      <x:c r="T638" s="7" t="b">
        <x:v>0</x:v>
      </x:c>
      <x:c r="U638" s="7" t="s">
        <x:v>1541</x:v>
      </x:c>
      <x:c r="V638" s="26" t="s">
        <x:v>1542</x:v>
      </x:c>
      <x:c r="W638" s="7" t="s">
        <x:v>4330</x:v>
      </x:c>
      <x:c r="X638" s="41"/>
      <x:c r="Y638" s="41"/>
      <x:c r="Z638" s="41"/>
    </x:row>
    <x:row r="639">
      <x:c r="A639" s="7" t="s">
        <x:v>4331</x:v>
      </x:c>
      <x:c r="B639" s="7" t="s">
        <x:v>4332</x:v>
      </x:c>
      <x:c r="C639" s="7" t="s">
        <x:v>4333</x:v>
      </x:c>
      <x:c r="D639" s="7" t="s">
        <x:v>197</x:v>
      </x:c>
      <x:c r="E639" s="7" t="s">
        <x:v>4086</x:v>
      </x:c>
      <x:c r="F639" s="10">
        <x:v>10.6375</x:v>
      </x:c>
      <x:c r="G639" s="10">
        <x:v>99.050163</x:v>
      </x:c>
      <x:c r="H639" s="7" t="s">
        <x:v>1548</x:v>
      </x:c>
      <x:c r="I639" s="10">
        <x:v>18.83</x:v>
      </x:c>
      <x:c r="J639" s="41"/>
      <x:c r="K639" s="41"/>
      <x:c r="L639" s="41"/>
      <x:c r="M639" s="41"/>
      <x:c r="N639" s="7" t="s">
        <x:v>4142</x:v>
      </x:c>
      <x:c r="O639" s="7" t="s">
        <x:v>1539</x:v>
      </x:c>
      <x:c r="P639" s="10">
        <x:v>2.0</x:v>
      </x:c>
      <x:c r="Q639" s="41"/>
      <x:c r="R639" s="10">
        <x:v>82.4</x:v>
      </x:c>
      <x:c r="S639" s="7" t="s">
        <x:v>301</x:v>
      </x:c>
      <x:c r="T639" s="7" t="b">
        <x:v>0</x:v>
      </x:c>
      <x:c r="U639" s="7" t="s">
        <x:v>1541</x:v>
      </x:c>
      <x:c r="V639" s="26" t="s">
        <x:v>1542</x:v>
      </x:c>
      <x:c r="W639" s="7" t="s">
        <x:v>4334</x:v>
      </x:c>
      <x:c r="X639" s="41"/>
      <x:c r="Y639" s="41"/>
      <x:c r="Z639" s="41"/>
    </x:row>
    <x:row r="640">
      <x:c r="A640" s="7" t="s">
        <x:v>4335</x:v>
      </x:c>
      <x:c r="B640" s="7" t="s">
        <x:v>4336</x:v>
      </x:c>
      <x:c r="C640" s="7" t="s">
        <x:v>4337</x:v>
      </x:c>
      <x:c r="D640" s="7" t="s">
        <x:v>249</x:v>
      </x:c>
      <x:c r="E640" s="7" t="s">
        <x:v>4338</x:v>
      </x:c>
      <x:c r="F640" s="10">
        <x:v>9.492312</x:v>
      </x:c>
      <x:c r="G640" s="10">
        <x:v>98.91996</x:v>
      </x:c>
      <x:c r="H640" s="7" t="s">
        <x:v>1554</x:v>
      </x:c>
      <x:c r="I640" s="10">
        <x:v>97.0</x:v>
      </x:c>
      <x:c r="J640" s="41"/>
      <x:c r="K640" s="41"/>
      <x:c r="L640" s="41"/>
      <x:c r="M640" s="41"/>
      <x:c r="N640" s="7" t="s">
        <x:v>4142</x:v>
      </x:c>
      <x:c r="O640" s="7" t="s">
        <x:v>1539</x:v>
      </x:c>
      <x:c r="P640" s="10">
        <x:v>2.0</x:v>
      </x:c>
      <x:c r="Q640" s="41"/>
      <x:c r="R640" s="10">
        <x:v>12.4</x:v>
      </x:c>
      <x:c r="S640" s="7" t="s">
        <x:v>1540</x:v>
      </x:c>
      <x:c r="T640" s="7" t="b">
        <x:v>0</x:v>
      </x:c>
      <x:c r="U640" s="7" t="s">
        <x:v>1541</x:v>
      </x:c>
      <x:c r="V640" s="26" t="s">
        <x:v>1542</x:v>
      </x:c>
      <x:c r="W640" s="7" t="s">
        <x:v>4339</x:v>
      </x:c>
      <x:c r="X640" s="41"/>
      <x:c r="Y640" s="41"/>
      <x:c r="Z640" s="41"/>
    </x:row>
    <x:row r="641">
      <x:c r="A641" s="7" t="s">
        <x:v>4340</x:v>
      </x:c>
      <x:c r="B641" s="7" t="s">
        <x:v>4341</x:v>
      </x:c>
      <x:c r="C641" s="7" t="s">
        <x:v>4342</x:v>
      </x:c>
      <x:c r="D641" s="7" t="s">
        <x:v>231</x:v>
      </x:c>
      <x:c r="E641" s="7" t="s">
        <x:v>4152</x:v>
      </x:c>
      <x:c r="F641" s="10">
        <x:v>16.442511</x:v>
      </x:c>
      <x:c r="G641" s="10">
        <x:v>104.030724</x:v>
      </x:c>
      <x:c r="H641" s="7" t="s">
        <x:v>1548</x:v>
      </x:c>
      <x:c r="I641" s="10">
        <x:v>140.59</x:v>
      </x:c>
      <x:c r="J641" s="41"/>
      <x:c r="K641" s="41"/>
      <x:c r="L641" s="41"/>
      <x:c r="M641" s="41"/>
      <x:c r="N641" s="7" t="s">
        <x:v>4142</x:v>
      </x:c>
      <x:c r="O641" s="7" t="s">
        <x:v>1539</x:v>
      </x:c>
      <x:c r="P641" s="10">
        <x:v>2.0</x:v>
      </x:c>
      <x:c r="Q641" s="41"/>
      <x:c r="R641" s="10">
        <x:v>82.4</x:v>
      </x:c>
      <x:c r="S641" s="7" t="s">
        <x:v>301</x:v>
      </x:c>
      <x:c r="T641" s="7" t="b">
        <x:v>0</x:v>
      </x:c>
      <x:c r="U641" s="7" t="s">
        <x:v>1541</x:v>
      </x:c>
      <x:c r="V641" s="26" t="s">
        <x:v>1542</x:v>
      </x:c>
      <x:c r="W641" s="7" t="s">
        <x:v>4343</x:v>
      </x:c>
      <x:c r="X641" s="41"/>
      <x:c r="Y641" s="41"/>
      <x:c r="Z641" s="41"/>
    </x:row>
    <x:row r="642">
      <x:c r="A642" s="7" t="s">
        <x:v>4344</x:v>
      </x:c>
      <x:c r="B642" s="7" t="s">
        <x:v>4345</x:v>
      </x:c>
      <x:c r="C642" s="7" t="s">
        <x:v>4346</x:v>
      </x:c>
      <x:c r="D642" s="7" t="s">
        <x:v>18</x:v>
      </x:c>
      <x:c r="E642" s="7"/>
      <x:c r="F642" s="10">
        <x:v>16.983826</x:v>
      </x:c>
      <x:c r="G642" s="10">
        <x:v>98.52675</x:v>
      </x:c>
      <x:c r="H642" s="7" t="s">
        <x:v>1554</x:v>
      </x:c>
      <x:c r="I642" s="10">
        <x:v>173.25</x:v>
      </x:c>
      <x:c r="J642" s="41"/>
      <x:c r="K642" s="41"/>
      <x:c r="L642" s="41"/>
      <x:c r="M642" s="10"/>
      <x:c r="N642" s="7" t="s">
        <x:v>4142</x:v>
      </x:c>
      <x:c r="O642" s="7" t="s">
        <x:v>1539</x:v>
      </x:c>
      <x:c r="P642" s="10">
        <x:v>2.0</x:v>
      </x:c>
      <x:c r="Q642" s="41"/>
      <x:c r="R642" s="10">
        <x:v>12.4</x:v>
      </x:c>
      <x:c r="S642" s="7" t="s">
        <x:v>1540</x:v>
      </x:c>
      <x:c r="T642" s="7" t="b">
        <x:v>0</x:v>
      </x:c>
      <x:c r="U642" s="7" t="s">
        <x:v>1541</x:v>
      </x:c>
      <x:c r="V642" s="26" t="s">
        <x:v>1542</x:v>
      </x:c>
      <x:c r="W642" s="7" t="s">
        <x:v>4347</x:v>
      </x:c>
      <x:c r="X642" s="41"/>
      <x:c r="Y642" s="41"/>
      <x:c r="Z642" s="41"/>
    </x:row>
    <x:row r="643">
      <x:c r="A643" s="7" t="s">
        <x:v>4348</x:v>
      </x:c>
      <x:c r="B643" s="7" t="s">
        <x:v>4349</x:v>
      </x:c>
      <x:c r="C643" s="7" t="s">
        <x:v>4350</x:v>
      </x:c>
      <x:c r="D643" s="7" t="s">
        <x:v>236</x:v>
      </x:c>
      <x:c r="E643" s="7" t="s">
        <x:v>4351</x:v>
      </x:c>
      <x:c r="F643" s="10">
        <x:v>16.847639</x:v>
      </x:c>
      <x:c r="G643" s="10">
        <x:v>101.94426</x:v>
      </x:c>
      <x:c r="H643" s="7" t="s">
        <x:v>1548</x:v>
      </x:c>
      <x:c r="I643" s="10">
        <x:v>230.61</x:v>
      </x:c>
      <x:c r="J643" s="41"/>
      <x:c r="K643" s="41"/>
      <x:c r="L643" s="41"/>
      <x:c r="M643" s="41"/>
      <x:c r="N643" s="7" t="s">
        <x:v>4142</x:v>
      </x:c>
      <x:c r="O643" s="7" t="s">
        <x:v>1539</x:v>
      </x:c>
      <x:c r="P643" s="10">
        <x:v>2.0</x:v>
      </x:c>
      <x:c r="Q643" s="41"/>
      <x:c r="R643" s="10">
        <x:v>82.4</x:v>
      </x:c>
      <x:c r="S643" s="7" t="s">
        <x:v>301</x:v>
      </x:c>
      <x:c r="T643" s="7" t="b">
        <x:v>0</x:v>
      </x:c>
      <x:c r="U643" s="7" t="s">
        <x:v>1541</x:v>
      </x:c>
      <x:c r="V643" s="26" t="s">
        <x:v>1542</x:v>
      </x:c>
      <x:c r="W643" s="7" t="s">
        <x:v>4352</x:v>
      </x:c>
      <x:c r="X643" s="41"/>
      <x:c r="Y643" s="41"/>
      <x:c r="Z643" s="41"/>
    </x:row>
    <x:row r="644">
      <x:c r="A644" s="7" t="s">
        <x:v>4353</x:v>
      </x:c>
      <x:c r="B644" s="7" t="s">
        <x:v>4354</x:v>
      </x:c>
      <x:c r="C644" s="7" t="s">
        <x:v>4355</x:v>
      </x:c>
      <x:c r="D644" s="7" t="s">
        <x:v>107</x:v>
      </x:c>
      <x:c r="E644" s="7" t="s">
        <x:v>4356</x:v>
      </x:c>
      <x:c r="F644" s="10">
        <x:v>12.79196</x:v>
      </x:c>
      <x:c r="G644" s="10">
        <x:v>102.254669</x:v>
      </x:c>
      <x:c r="H644" s="7" t="s">
        <x:v>2603</x:v>
      </x:c>
      <x:c r="I644" s="10">
        <x:v>22.86</x:v>
      </x:c>
      <x:c r="J644" s="41"/>
      <x:c r="K644" s="41"/>
      <x:c r="L644" s="41"/>
      <x:c r="M644" s="10"/>
      <x:c r="N644" s="7" t="s">
        <x:v>4142</x:v>
      </x:c>
      <x:c r="O644" s="7" t="s">
        <x:v>1539</x:v>
      </x:c>
      <x:c r="P644" s="10">
        <x:v>2.0</x:v>
      </x:c>
      <x:c r="Q644" s="41"/>
      <x:c r="R644" s="10">
        <x:v>142.4</x:v>
      </x:c>
      <x:c r="S644" s="7" t="s">
        <x:v>301</x:v>
      </x:c>
      <x:c r="T644" s="7" t="b">
        <x:v>0</x:v>
      </x:c>
      <x:c r="U644" s="7" t="s">
        <x:v>1541</x:v>
      </x:c>
      <x:c r="V644" s="26" t="s">
        <x:v>1542</x:v>
      </x:c>
      <x:c r="W644" s="7" t="s">
        <x:v>4357</x:v>
      </x:c>
      <x:c r="X644" s="41"/>
      <x:c r="Y644" s="41"/>
      <x:c r="Z644" s="41"/>
    </x:row>
    <x:row r="645">
      <x:c r="A645" s="7" t="s">
        <x:v>4358</x:v>
      </x:c>
      <x:c r="B645" s="7" t="s">
        <x:v>4359</x:v>
      </x:c>
      <x:c r="C645" s="7" t="s">
        <x:v>4360</x:v>
      </x:c>
      <x:c r="D645" s="7" t="s">
        <x:v>213</x:v>
      </x:c>
      <x:c r="E645" s="7" t="s">
        <x:v>4361</x:v>
      </x:c>
      <x:c r="F645" s="10">
        <x:v>17.636518</x:v>
      </x:c>
      <x:c r="G645" s="10">
        <x:v>98.77956</x:v>
      </x:c>
      <x:c r="H645" s="7" t="s">
        <x:v>1554</x:v>
      </x:c>
      <x:c r="I645" s="10">
        <x:v>258.21</x:v>
      </x:c>
      <x:c r="J645" s="41"/>
      <x:c r="K645" s="41"/>
      <x:c r="L645" s="41"/>
      <x:c r="M645" s="41"/>
      <x:c r="N645" s="7" t="s">
        <x:v>4142</x:v>
      </x:c>
      <x:c r="O645" s="7" t="s">
        <x:v>1539</x:v>
      </x:c>
      <x:c r="P645" s="10">
        <x:v>2.0</x:v>
      </x:c>
      <x:c r="Q645" s="41"/>
      <x:c r="R645" s="10">
        <x:v>12.4</x:v>
      </x:c>
      <x:c r="S645" s="7" t="s">
        <x:v>1540</x:v>
      </x:c>
      <x:c r="T645" s="7" t="b">
        <x:v>0</x:v>
      </x:c>
      <x:c r="U645" s="7" t="s">
        <x:v>1541</x:v>
      </x:c>
      <x:c r="V645" s="26" t="s">
        <x:v>1542</x:v>
      </x:c>
      <x:c r="W645" s="7" t="s">
        <x:v>4362</x:v>
      </x:c>
      <x:c r="X645" s="41"/>
      <x:c r="Y645" s="41"/>
      <x:c r="Z645" s="41"/>
    </x:row>
    <x:row r="646">
      <x:c r="A646" s="7" t="s">
        <x:v>4363</x:v>
      </x:c>
      <x:c r="B646" s="7" t="s">
        <x:v>4364</x:v>
      </x:c>
      <x:c r="C646" s="7" t="s">
        <x:v>4365</x:v>
      </x:c>
      <x:c r="D646" s="7" t="s">
        <x:v>248</x:v>
      </x:c>
      <x:c r="E646" s="7" t="s">
        <x:v>4221</x:v>
      </x:c>
      <x:c r="F646" s="10">
        <x:v>8.432906</x:v>
      </x:c>
      <x:c r="G646" s="10">
        <x:v>99.782646</x:v>
      </x:c>
      <x:c r="H646" s="7" t="s">
        <x:v>1554</x:v>
      </x:c>
      <x:c r="I646" s="10">
        <x:v>42.91</x:v>
      </x:c>
      <x:c r="J646" s="41"/>
      <x:c r="K646" s="41"/>
      <x:c r="L646" s="41"/>
      <x:c r="M646" s="10"/>
      <x:c r="N646" s="7" t="s">
        <x:v>4142</x:v>
      </x:c>
      <x:c r="O646" s="7" t="s">
        <x:v>1539</x:v>
      </x:c>
      <x:c r="P646" s="10">
        <x:v>2.0</x:v>
      </x:c>
      <x:c r="Q646" s="41"/>
      <x:c r="R646" s="10">
        <x:v>12.4</x:v>
      </x:c>
      <x:c r="S646" s="7" t="s">
        <x:v>1540</x:v>
      </x:c>
      <x:c r="T646" s="7" t="b">
        <x:v>0</x:v>
      </x:c>
      <x:c r="U646" s="7" t="s">
        <x:v>1541</x:v>
      </x:c>
      <x:c r="V646" s="26" t="s">
        <x:v>1542</x:v>
      </x:c>
      <x:c r="W646" s="7" t="s">
        <x:v>4366</x:v>
      </x:c>
      <x:c r="X646" s="41"/>
      <x:c r="Y646" s="41"/>
      <x:c r="Z646" s="41"/>
    </x:row>
    <x:row r="647">
      <x:c r="A647" s="7" t="s">
        <x:v>4367</x:v>
      </x:c>
      <x:c r="B647" s="7" t="s">
        <x:v>4368</x:v>
      </x:c>
      <x:c r="C647" s="7" t="s">
        <x:v>4369</x:v>
      </x:c>
      <x:c r="D647" s="7" t="s">
        <x:v>248</x:v>
      </x:c>
      <x:c r="E647" s="7" t="s">
        <x:v>2992</x:v>
      </x:c>
      <x:c r="F647" s="10">
        <x:v>8.73097</x:v>
      </x:c>
      <x:c r="G647" s="10">
        <x:v>99.746094</x:v>
      </x:c>
      <x:c r="H647" s="7" t="s">
        <x:v>1548</x:v>
      </x:c>
      <x:c r="I647" s="10">
        <x:v>26.65</x:v>
      </x:c>
      <x:c r="J647" s="41"/>
      <x:c r="K647" s="41"/>
      <x:c r="L647" s="41"/>
      <x:c r="M647" s="10"/>
      <x:c r="N647" s="7" t="s">
        <x:v>4142</x:v>
      </x:c>
      <x:c r="O647" s="7" t="s">
        <x:v>1539</x:v>
      </x:c>
      <x:c r="P647" s="10">
        <x:v>2.0</x:v>
      </x:c>
      <x:c r="Q647" s="41"/>
      <x:c r="R647" s="10">
        <x:v>82.4</x:v>
      </x:c>
      <x:c r="S647" s="7" t="s">
        <x:v>301</x:v>
      </x:c>
      <x:c r="T647" s="7" t="b">
        <x:v>0</x:v>
      </x:c>
      <x:c r="U647" s="7" t="s">
        <x:v>1541</x:v>
      </x:c>
      <x:c r="V647" s="26" t="s">
        <x:v>1542</x:v>
      </x:c>
      <x:c r="W647" s="7" t="s">
        <x:v>4370</x:v>
      </x:c>
      <x:c r="X647" s="41"/>
      <x:c r="Y647" s="41"/>
      <x:c r="Z647" s="41"/>
    </x:row>
    <x:row r="648">
      <x:c r="A648" s="7" t="s">
        <x:v>4371</x:v>
      </x:c>
      <x:c r="B648" s="7" t="s">
        <x:v>4372</x:v>
      </x:c>
      <x:c r="C648" s="7" t="s">
        <x:v>4373</x:v>
      </x:c>
      <x:c r="D648" s="7" t="s">
        <x:v>216</x:v>
      </x:c>
      <x:c r="E648" s="7" t="s">
        <x:v>2084</x:v>
      </x:c>
      <x:c r="F648" s="10">
        <x:v>17.668222</x:v>
      </x:c>
      <x:c r="G648" s="10">
        <x:v>100.21413</x:v>
      </x:c>
      <x:c r="H648" s="7" t="s">
        <x:v>1658</x:v>
      </x:c>
      <x:c r="I648" s="10">
        <x:v>55.81</x:v>
      </x:c>
      <x:c r="J648" s="41"/>
      <x:c r="K648" s="41"/>
      <x:c r="L648" s="41"/>
      <x:c r="M648" s="10">
        <x:v>68.95</x:v>
      </x:c>
      <x:c r="N648" s="7" t="s">
        <x:v>4142</x:v>
      </x:c>
      <x:c r="O648" s="7" t="s">
        <x:v>1539</x:v>
      </x:c>
      <x:c r="P648" s="10">
        <x:v>2.0</x:v>
      </x:c>
      <x:c r="Q648" s="41"/>
      <x:c r="R648" s="10">
        <x:v>22.4</x:v>
      </x:c>
      <x:c r="S648" s="7" t="s">
        <x:v>1540</x:v>
      </x:c>
      <x:c r="T648" s="7" t="b">
        <x:v>0</x:v>
      </x:c>
      <x:c r="U648" s="7" t="s">
        <x:v>1541</x:v>
      </x:c>
      <x:c r="V648" s="26" t="s">
        <x:v>1542</x:v>
      </x:c>
      <x:c r="W648" s="7" t="s">
        <x:v>4374</x:v>
      </x:c>
      <x:c r="X648" s="41"/>
      <x:c r="Y648" s="41"/>
      <x:c r="Z648" s="41"/>
    </x:row>
    <x:row r="649">
      <x:c r="A649" s="7" t="s">
        <x:v>4375</x:v>
      </x:c>
      <x:c r="B649" s="7" t="s">
        <x:v>4376</x:v>
      </x:c>
      <x:c r="C649" s="7" t="s">
        <x:v>4377</x:v>
      </x:c>
      <x:c r="D649" s="7" t="s">
        <x:v>229</x:v>
      </x:c>
      <x:c r="E649" s="7" t="s">
        <x:v>4137</x:v>
      </x:c>
      <x:c r="F649" s="10">
        <x:v>16.571498</x:v>
      </x:c>
      <x:c r="G649" s="10">
        <x:v>102.881228</x:v>
      </x:c>
      <x:c r="H649" s="7" t="s">
        <x:v>1658</x:v>
      </x:c>
      <x:c r="I649" s="10">
        <x:v>147.36</x:v>
      </x:c>
      <x:c r="J649" s="41"/>
      <x:c r="K649" s="41"/>
      <x:c r="L649" s="41"/>
      <x:c r="M649" s="10">
        <x:v>155.0</x:v>
      </x:c>
      <x:c r="N649" s="7" t="s">
        <x:v>4142</x:v>
      </x:c>
      <x:c r="O649" s="7" t="s">
        <x:v>1539</x:v>
      </x:c>
      <x:c r="P649" s="10">
        <x:v>2.0</x:v>
      </x:c>
      <x:c r="Q649" s="41"/>
      <x:c r="R649" s="10">
        <x:v>22.4</x:v>
      </x:c>
      <x:c r="S649" s="7" t="s">
        <x:v>1540</x:v>
      </x:c>
      <x:c r="T649" s="7" t="b">
        <x:v>0</x:v>
      </x:c>
      <x:c r="U649" s="7" t="s">
        <x:v>1541</x:v>
      </x:c>
      <x:c r="V649" s="26" t="s">
        <x:v>1542</x:v>
      </x:c>
      <x:c r="W649" s="7" t="s">
        <x:v>4378</x:v>
      </x:c>
      <x:c r="X649" s="41"/>
      <x:c r="Y649" s="41"/>
      <x:c r="Z649" s="41"/>
    </x:row>
    <x:row r="650">
      <x:c r="A650" s="7" t="s">
        <x:v>4379</x:v>
      </x:c>
      <x:c r="B650" s="7" t="s">
        <x:v>4380</x:v>
      </x:c>
      <x:c r="C650" s="7" t="s">
        <x:v>4381</x:v>
      </x:c>
      <x:c r="D650" s="7" t="s">
        <x:v>236</x:v>
      </x:c>
      <x:c r="E650" s="7" t="s">
        <x:v>4351</x:v>
      </x:c>
      <x:c r="F650" s="10">
        <x:v>16.847333</x:v>
      </x:c>
      <x:c r="G650" s="10">
        <x:v>101.943603</x:v>
      </x:c>
      <x:c r="H650" s="7" t="s">
        <x:v>1658</x:v>
      </x:c>
      <x:c r="I650" s="10">
        <x:v>228.43</x:v>
      </x:c>
      <x:c r="J650" s="41"/>
      <x:c r="K650" s="41"/>
      <x:c r="L650" s="41"/>
      <x:c r="M650" s="10">
        <x:v>237.39</x:v>
      </x:c>
      <x:c r="N650" s="7" t="s">
        <x:v>4142</x:v>
      </x:c>
      <x:c r="O650" s="7" t="s">
        <x:v>1539</x:v>
      </x:c>
      <x:c r="P650" s="10">
        <x:v>2.0</x:v>
      </x:c>
      <x:c r="Q650" s="41"/>
      <x:c r="R650" s="10">
        <x:v>22.4</x:v>
      </x:c>
      <x:c r="S650" s="7" t="s">
        <x:v>1540</x:v>
      </x:c>
      <x:c r="T650" s="7" t="b">
        <x:v>0</x:v>
      </x:c>
      <x:c r="U650" s="7" t="s">
        <x:v>1541</x:v>
      </x:c>
      <x:c r="V650" s="26" t="s">
        <x:v>1542</x:v>
      </x:c>
      <x:c r="W650" s="7" t="s">
        <x:v>4382</x:v>
      </x:c>
      <x:c r="X650" s="41"/>
      <x:c r="Y650" s="41"/>
      <x:c r="Z650" s="41"/>
    </x:row>
    <x:row r="651">
      <x:c r="A651" s="7" t="s">
        <x:v>4383</x:v>
      </x:c>
      <x:c r="B651" s="7" t="s">
        <x:v>4384</x:v>
      </x:c>
      <x:c r="C651" s="7" t="s">
        <x:v>4385</x:v>
      </x:c>
      <x:c r="D651" s="7" t="s">
        <x:v>212</x:v>
      </x:c>
      <x:c r="E651" s="7" t="s">
        <x:v>2695</x:v>
      </x:c>
      <x:c r="F651" s="10">
        <x:v>18.990931</x:v>
      </x:c>
      <x:c r="G651" s="10">
        <x:v>99.621109</x:v>
      </x:c>
      <x:c r="H651" s="7" t="s">
        <x:v>3065</x:v>
      </x:c>
      <x:c r="I651" s="10">
        <x:v>382.33</x:v>
      </x:c>
      <x:c r="J651" s="41"/>
      <x:c r="K651" s="41"/>
      <x:c r="L651" s="41"/>
      <x:c r="M651" s="41"/>
      <x:c r="N651" s="7" t="s">
        <x:v>4142</x:v>
      </x:c>
      <x:c r="O651" s="7" t="s">
        <x:v>1539</x:v>
      </x:c>
      <x:c r="P651" s="10">
        <x:v>2.0</x:v>
      </x:c>
      <x:c r="Q651" s="41"/>
      <x:c r="R651" s="10">
        <x:v>262.4</x:v>
      </x:c>
      <x:c r="S651" s="7" t="s">
        <x:v>301</x:v>
      </x:c>
      <x:c r="T651" s="7" t="b">
        <x:v>0</x:v>
      </x:c>
      <x:c r="U651" s="7" t="s">
        <x:v>1541</x:v>
      </x:c>
      <x:c r="V651" s="26" t="s">
        <x:v>1542</x:v>
      </x:c>
      <x:c r="W651" s="7" t="s">
        <x:v>4386</x:v>
      </x:c>
      <x:c r="X651" s="41"/>
      <x:c r="Y651" s="41"/>
      <x:c r="Z651" s="41"/>
    </x:row>
    <x:row r="652">
      <x:c r="A652" s="7" t="s">
        <x:v>4387</x:v>
      </x:c>
      <x:c r="B652" s="7" t="s">
        <x:v>4388</x:v>
      </x:c>
      <x:c r="C652" s="7" t="s">
        <x:v>4389</x:v>
      </x:c>
      <x:c r="D652" s="7" t="s">
        <x:v>207</x:v>
      </x:c>
      <x:c r="E652" s="7"/>
      <x:c r="F652" s="10">
        <x:v>18.7955</x:v>
      </x:c>
      <x:c r="G652" s="10">
        <x:v>98.7307</x:v>
      </x:c>
      <x:c r="H652" s="7" t="s">
        <x:v>1658</x:v>
      </x:c>
      <x:c r="I652" s="10">
        <x:v>441.4</x:v>
      </x:c>
      <x:c r="J652" s="41"/>
      <x:c r="K652" s="41"/>
      <x:c r="L652" s="41"/>
      <x:c r="M652" s="41"/>
      <x:c r="N652" s="7" t="s">
        <x:v>4142</x:v>
      </x:c>
      <x:c r="O652" s="7" t="s">
        <x:v>1539</x:v>
      </x:c>
      <x:c r="P652" s="10">
        <x:v>2.0</x:v>
      </x:c>
      <x:c r="Q652" s="41"/>
      <x:c r="R652" s="10">
        <x:v>22.4</x:v>
      </x:c>
      <x:c r="S652" s="7" t="s">
        <x:v>1540</x:v>
      </x:c>
      <x:c r="T652" s="7" t="b">
        <x:v>0</x:v>
      </x:c>
      <x:c r="U652" s="7" t="s">
        <x:v>1541</x:v>
      </x:c>
      <x:c r="V652" s="26" t="s">
        <x:v>1542</x:v>
      </x:c>
      <x:c r="W652" s="7" t="s">
        <x:v>4390</x:v>
      </x:c>
      <x:c r="X652" s="41"/>
      <x:c r="Y652" s="41"/>
      <x:c r="Z652" s="41"/>
    </x:row>
    <x:row r="653">
      <x:c r="A653" s="7" t="s">
        <x:v>4391</x:v>
      </x:c>
      <x:c r="B653" s="7" t="s">
        <x:v>4392</x:v>
      </x:c>
      <x:c r="C653" s="7" t="s">
        <x:v>4393</x:v>
      </x:c>
      <x:c r="D653" s="7" t="s">
        <x:v>208</x:v>
      </x:c>
      <x:c r="E653" s="7" t="s">
        <x:v>2874</x:v>
      </x:c>
      <x:c r="F653" s="10">
        <x:v>19.92195</x:v>
      </x:c>
      <x:c r="G653" s="10">
        <x:v>99.81826</x:v>
      </x:c>
      <x:c r="H653" s="7" t="s">
        <x:v>1554</x:v>
      </x:c>
      <x:c r="I653" s="10">
        <x:v>389.4</x:v>
      </x:c>
      <x:c r="J653" s="41"/>
      <x:c r="K653" s="41"/>
      <x:c r="L653" s="41"/>
      <x:c r="M653" s="41"/>
      <x:c r="N653" s="7" t="s">
        <x:v>4142</x:v>
      </x:c>
      <x:c r="O653" s="7" t="s">
        <x:v>1539</x:v>
      </x:c>
      <x:c r="P653" s="10">
        <x:v>2.0</x:v>
      </x:c>
      <x:c r="Q653" s="41"/>
      <x:c r="R653" s="10">
        <x:v>12.4</x:v>
      </x:c>
      <x:c r="S653" s="7" t="s">
        <x:v>1540</x:v>
      </x:c>
      <x:c r="T653" s="7" t="b">
        <x:v>0</x:v>
      </x:c>
      <x:c r="U653" s="7" t="s">
        <x:v>1541</x:v>
      </x:c>
      <x:c r="V653" s="26" t="s">
        <x:v>1542</x:v>
      </x:c>
      <x:c r="W653" s="7" t="s">
        <x:v>4394</x:v>
      </x:c>
      <x:c r="X653" s="41"/>
      <x:c r="Y653" s="41"/>
      <x:c r="Z653" s="41"/>
    </x:row>
    <x:row r="654">
      <x:c r="A654" s="7" t="s">
        <x:v>4395</x:v>
      </x:c>
      <x:c r="B654" s="7" t="s">
        <x:v>4396</x:v>
      </x:c>
      <x:c r="C654" s="7" t="s">
        <x:v>4397</x:v>
      </x:c>
      <x:c r="D654" s="7" t="s">
        <x:v>207</x:v>
      </x:c>
      <x:c r="E654" s="7" t="s">
        <x:v>3953</x:v>
      </x:c>
      <x:c r="F654" s="10">
        <x:v>18.232069</x:v>
      </x:c>
      <x:c r="G654" s="10">
        <x:v>98.439766</x:v>
      </x:c>
      <x:c r="H654" s="7" t="s">
        <x:v>1554</x:v>
      </x:c>
      <x:c r="I654" s="10">
        <x:v>332.71</x:v>
      </x:c>
      <x:c r="J654" s="41"/>
      <x:c r="K654" s="41"/>
      <x:c r="L654" s="41"/>
      <x:c r="M654" s="10"/>
      <x:c r="N654" s="7" t="s">
        <x:v>4142</x:v>
      </x:c>
      <x:c r="O654" s="7" t="s">
        <x:v>1539</x:v>
      </x:c>
      <x:c r="P654" s="10">
        <x:v>2.0</x:v>
      </x:c>
      <x:c r="Q654" s="41"/>
      <x:c r="R654" s="10">
        <x:v>12.4</x:v>
      </x:c>
      <x:c r="S654" s="7" t="s">
        <x:v>1540</x:v>
      </x:c>
      <x:c r="T654" s="7" t="b">
        <x:v>0</x:v>
      </x:c>
      <x:c r="U654" s="7" t="s">
        <x:v>1541</x:v>
      </x:c>
      <x:c r="V654" s="26" t="s">
        <x:v>1542</x:v>
      </x:c>
      <x:c r="W654" s="7" t="s">
        <x:v>4398</x:v>
      </x:c>
      <x:c r="X654" s="41"/>
      <x:c r="Y654" s="41"/>
      <x:c r="Z654" s="41"/>
    </x:row>
    <x:row r="655">
      <x:c r="A655" s="7" t="s">
        <x:v>4399</x:v>
      </x:c>
      <x:c r="B655" s="7" t="s">
        <x:v>4400</x:v>
      </x:c>
      <x:c r="C655" s="7" t="s">
        <x:v>4401</x:v>
      </x:c>
      <x:c r="D655" s="7" t="s">
        <x:v>228</x:v>
      </x:c>
      <x:c r="E655" s="7" t="s">
        <x:v>4402</x:v>
      </x:c>
      <x:c r="F655" s="10">
        <x:v>16.83222</x:v>
      </x:c>
      <x:c r="G655" s="10">
        <x:v>103.369171</x:v>
      </x:c>
      <x:c r="H655" s="7" t="s">
        <x:v>1777</x:v>
      </x:c>
      <x:c r="I655" s="10">
        <x:v>164.21</x:v>
      </x:c>
      <x:c r="J655" s="41"/>
      <x:c r="K655" s="41"/>
      <x:c r="L655" s="41"/>
      <x:c r="M655" s="41"/>
      <x:c r="N655" s="7" t="s">
        <x:v>4142</x:v>
      </x:c>
      <x:c r="O655" s="7" t="s">
        <x:v>1539</x:v>
      </x:c>
      <x:c r="P655" s="10">
        <x:v>2.0</x:v>
      </x:c>
      <x:c r="Q655" s="41"/>
      <x:c r="R655" s="10">
        <x:v>562.4</x:v>
      </x:c>
      <x:c r="S655" s="7" t="s">
        <x:v>301</x:v>
      </x:c>
      <x:c r="T655" s="7" t="b">
        <x:v>0</x:v>
      </x:c>
      <x:c r="U655" s="7" t="s">
        <x:v>1541</x:v>
      </x:c>
      <x:c r="V655" s="26" t="s">
        <x:v>1542</x:v>
      </x:c>
      <x:c r="W655" s="7" t="s">
        <x:v>4403</x:v>
      </x:c>
      <x:c r="X655" s="41"/>
      <x:c r="Y655" s="41"/>
      <x:c r="Z655" s="41"/>
    </x:row>
    <x:row r="656">
      <x:c r="A656" s="7" t="s">
        <x:v>4404</x:v>
      </x:c>
      <x:c r="B656" s="7" t="s">
        <x:v>4405</x:v>
      </x:c>
      <x:c r="C656" s="7" t="s">
        <x:v>4406</x:v>
      </x:c>
      <x:c r="D656" s="7" t="s">
        <x:v>261</x:v>
      </x:c>
      <x:c r="E656" s="7" t="s">
        <x:v>2239</x:v>
      </x:c>
      <x:c r="F656" s="10">
        <x:v>6.22716</x:v>
      </x:c>
      <x:c r="G656" s="10">
        <x:v>101.496948</x:v>
      </x:c>
      <x:c r="H656" s="7" t="s">
        <x:v>1548</x:v>
      </x:c>
      <x:c r="I656" s="10">
        <x:v>22.97</x:v>
      </x:c>
      <x:c r="J656" s="41"/>
      <x:c r="K656" s="41"/>
      <x:c r="L656" s="41"/>
      <x:c r="M656" s="10"/>
      <x:c r="N656" s="7" t="s">
        <x:v>4142</x:v>
      </x:c>
      <x:c r="O656" s="7" t="s">
        <x:v>1539</x:v>
      </x:c>
      <x:c r="P656" s="10">
        <x:v>2.0</x:v>
      </x:c>
      <x:c r="Q656" s="41"/>
      <x:c r="R656" s="10">
        <x:v>82.4</x:v>
      </x:c>
      <x:c r="S656" s="7" t="s">
        <x:v>301</x:v>
      </x:c>
      <x:c r="T656" s="7" t="b">
        <x:v>0</x:v>
      </x:c>
      <x:c r="U656" s="7" t="s">
        <x:v>1541</x:v>
      </x:c>
      <x:c r="V656" s="26" t="s">
        <x:v>1542</x:v>
      </x:c>
      <x:c r="W656" s="7" t="s">
        <x:v>4407</x:v>
      </x:c>
      <x:c r="X656" s="41"/>
      <x:c r="Y656" s="41"/>
      <x:c r="Z656" s="41"/>
    </x:row>
    <x:row r="657">
      <x:c r="A657" s="7" t="s">
        <x:v>4408</x:v>
      </x:c>
      <x:c r="B657" s="7" t="s">
        <x:v>4409</x:v>
      </x:c>
      <x:c r="C657" s="7" t="s">
        <x:v>4410</x:v>
      </x:c>
      <x:c r="D657" s="7" t="s">
        <x:v>258</x:v>
      </x:c>
      <x:c r="E657" s="7" t="s">
        <x:v>4411</x:v>
      </x:c>
      <x:c r="F657" s="10">
        <x:v>7.33842</x:v>
      </x:c>
      <x:c r="G657" s="10">
        <x:v>100.109978</x:v>
      </x:c>
      <x:c r="H657" s="7" t="s">
        <x:v>1777</x:v>
      </x:c>
      <x:c r="I657" s="10">
        <x:v>21.9</x:v>
      </x:c>
      <x:c r="J657" s="41"/>
      <x:c r="K657" s="41"/>
      <x:c r="L657" s="41"/>
      <x:c r="M657" s="10"/>
      <x:c r="N657" s="7" t="s">
        <x:v>4142</x:v>
      </x:c>
      <x:c r="O657" s="7" t="s">
        <x:v>1539</x:v>
      </x:c>
      <x:c r="P657" s="10">
        <x:v>2.0</x:v>
      </x:c>
      <x:c r="Q657" s="41"/>
      <x:c r="R657" s="10">
        <x:v>562.4</x:v>
      </x:c>
      <x:c r="S657" s="7" t="s">
        <x:v>301</x:v>
      </x:c>
      <x:c r="T657" s="7" t="b">
        <x:v>0</x:v>
      </x:c>
      <x:c r="U657" s="7" t="s">
        <x:v>1541</x:v>
      </x:c>
      <x:c r="V657" s="26" t="s">
        <x:v>1542</x:v>
      </x:c>
      <x:c r="W657" s="7" t="s">
        <x:v>4412</x:v>
      </x:c>
      <x:c r="X657" s="41"/>
      <x:c r="Y657" s="41"/>
      <x:c r="Z657" s="41"/>
    </x:row>
    <x:row r="658">
      <x:c r="A658" s="7" t="s">
        <x:v>4413</x:v>
      </x:c>
      <x:c r="B658" s="7" t="s">
        <x:v>4414</x:v>
      </x:c>
      <x:c r="C658" s="7" t="s">
        <x:v>4415</x:v>
      </x:c>
      <x:c r="D658" s="7" t="s">
        <x:v>122</x:v>
      </x:c>
      <x:c r="E658" s="7" t="s">
        <x:v>4416</x:v>
      </x:c>
      <x:c r="F658" s="10">
        <x:v>14.72852</x:v>
      </x:c>
      <x:c r="G658" s="10">
        <x:v>101.564293</x:v>
      </x:c>
      <x:c r="H658" s="7" t="s">
        <x:v>1548</x:v>
      </x:c>
      <x:c r="I658" s="10">
        <x:v>296.4</x:v>
      </x:c>
      <x:c r="J658" s="41"/>
      <x:c r="K658" s="41"/>
      <x:c r="L658" s="41"/>
      <x:c r="M658" s="41"/>
      <x:c r="N658" s="7" t="s">
        <x:v>4142</x:v>
      </x:c>
      <x:c r="O658" s="7" t="s">
        <x:v>1539</x:v>
      </x:c>
      <x:c r="P658" s="10">
        <x:v>2.0</x:v>
      </x:c>
      <x:c r="Q658" s="41"/>
      <x:c r="R658" s="10">
        <x:v>82.4</x:v>
      </x:c>
      <x:c r="S658" s="7" t="s">
        <x:v>301</x:v>
      </x:c>
      <x:c r="T658" s="7" t="b">
        <x:v>0</x:v>
      </x:c>
      <x:c r="U658" s="7" t="s">
        <x:v>1541</x:v>
      </x:c>
      <x:c r="V658" s="26" t="s">
        <x:v>1542</x:v>
      </x:c>
      <x:c r="W658" s="7" t="s">
        <x:v>4417</x:v>
      </x:c>
      <x:c r="X658" s="41"/>
      <x:c r="Y658" s="41"/>
      <x:c r="Z658" s="41"/>
    </x:row>
    <x:row r="659">
      <x:c r="A659" s="7" t="s">
        <x:v>4418</x:v>
      </x:c>
      <x:c r="B659" s="7" t="s">
        <x:v>4419</x:v>
      </x:c>
      <x:c r="C659" s="7" t="s">
        <x:v>4420</x:v>
      </x:c>
      <x:c r="D659" s="7" t="s">
        <x:v>249</x:v>
      </x:c>
      <x:c r="E659" s="7" t="s">
        <x:v>3809</x:v>
      </x:c>
      <x:c r="F659" s="10">
        <x:v>9.206472</x:v>
      </x:c>
      <x:c r="G659" s="10">
        <x:v>98.95253</x:v>
      </x:c>
      <x:c r="H659" s="7" t="s">
        <x:v>1554</x:v>
      </x:c>
      <x:c r="I659" s="10">
        <x:v>23.87</x:v>
      </x:c>
      <x:c r="J659" s="41"/>
      <x:c r="K659" s="41"/>
      <x:c r="L659" s="41"/>
      <x:c r="M659" s="41"/>
      <x:c r="N659" s="7" t="s">
        <x:v>4142</x:v>
      </x:c>
      <x:c r="O659" s="7" t="s">
        <x:v>1539</x:v>
      </x:c>
      <x:c r="P659" s="10">
        <x:v>2.0</x:v>
      </x:c>
      <x:c r="Q659" s="41"/>
      <x:c r="R659" s="10">
        <x:v>12.4</x:v>
      </x:c>
      <x:c r="S659" s="7" t="s">
        <x:v>1540</x:v>
      </x:c>
      <x:c r="T659" s="7" t="b">
        <x:v>0</x:v>
      </x:c>
      <x:c r="U659" s="7" t="s">
        <x:v>1541</x:v>
      </x:c>
      <x:c r="V659" s="26" t="s">
        <x:v>1542</x:v>
      </x:c>
      <x:c r="W659" s="7" t="s">
        <x:v>4421</x:v>
      </x:c>
      <x:c r="X659" s="41"/>
      <x:c r="Y659" s="41"/>
      <x:c r="Z659" s="41"/>
    </x:row>
    <x:row r="660">
      <x:c r="A660" s="7" t="s">
        <x:v>4422</x:v>
      </x:c>
      <x:c r="B660" s="7" t="s">
        <x:v>4423</x:v>
      </x:c>
      <x:c r="C660" s="7" t="s">
        <x:v>4424</x:v>
      </x:c>
      <x:c r="D660" s="7" t="s">
        <x:v>207</x:v>
      </x:c>
      <x:c r="E660" s="7" t="s">
        <x:v>2074</x:v>
      </x:c>
      <x:c r="F660" s="10">
        <x:v>19.00979</x:v>
      </x:c>
      <x:c r="G660" s="10">
        <x:v>98.95975</x:v>
      </x:c>
      <x:c r="H660" s="7" t="s">
        <x:v>1554</x:v>
      </x:c>
      <x:c r="I660" s="10">
        <x:v>315.03</x:v>
      </x:c>
      <x:c r="J660" s="41"/>
      <x:c r="K660" s="41"/>
      <x:c r="L660" s="41"/>
      <x:c r="M660" s="10"/>
      <x:c r="N660" s="7" t="s">
        <x:v>4142</x:v>
      </x:c>
      <x:c r="O660" s="7" t="s">
        <x:v>1539</x:v>
      </x:c>
      <x:c r="P660" s="10">
        <x:v>2.0</x:v>
      </x:c>
      <x:c r="Q660" s="41"/>
      <x:c r="R660" s="10">
        <x:v>12.4</x:v>
      </x:c>
      <x:c r="S660" s="7" t="s">
        <x:v>1540</x:v>
      </x:c>
      <x:c r="T660" s="7" t="b">
        <x:v>0</x:v>
      </x:c>
      <x:c r="U660" s="7" t="s">
        <x:v>1541</x:v>
      </x:c>
      <x:c r="V660" s="26" t="s">
        <x:v>1542</x:v>
      </x:c>
      <x:c r="W660" s="7" t="s">
        <x:v>4425</x:v>
      </x:c>
      <x:c r="X660" s="41"/>
      <x:c r="Y660" s="41"/>
      <x:c r="Z660" s="41"/>
    </x:row>
    <x:row r="661">
      <x:c r="A661" s="7" t="s">
        <x:v>4426</x:v>
      </x:c>
      <x:c r="B661" s="7" t="s">
        <x:v>4427</x:v>
      </x:c>
      <x:c r="C661" s="7" t="s">
        <x:v>4428</x:v>
      </x:c>
      <x:c r="D661" s="7" t="s">
        <x:v>259</x:v>
      </x:c>
      <x:c r="E661" s="7" t="s">
        <x:v>2321</x:v>
      </x:c>
      <x:c r="F661" s="10">
        <x:v>6.82152</x:v>
      </x:c>
      <x:c r="G661" s="10">
        <x:v>101.244888</x:v>
      </x:c>
      <x:c r="H661" s="7" t="s">
        <x:v>1548</x:v>
      </x:c>
      <x:c r="I661" s="10">
        <x:v>0.47</x:v>
      </x:c>
      <x:c r="J661" s="41"/>
      <x:c r="K661" s="41"/>
      <x:c r="L661" s="41"/>
      <x:c r="M661" s="10"/>
      <x:c r="N661" s="7" t="s">
        <x:v>4142</x:v>
      </x:c>
      <x:c r="O661" s="7" t="s">
        <x:v>1539</x:v>
      </x:c>
      <x:c r="P661" s="10">
        <x:v>2.0</x:v>
      </x:c>
      <x:c r="Q661" s="41"/>
      <x:c r="R661" s="10">
        <x:v>82.4</x:v>
      </x:c>
      <x:c r="S661" s="7" t="s">
        <x:v>301</x:v>
      </x:c>
      <x:c r="T661" s="7" t="b">
        <x:v>0</x:v>
      </x:c>
      <x:c r="U661" s="7" t="s">
        <x:v>1541</x:v>
      </x:c>
      <x:c r="V661" s="26" t="s">
        <x:v>1542</x:v>
      </x:c>
      <x:c r="W661" s="7" t="s">
        <x:v>4429</x:v>
      </x:c>
      <x:c r="X661" s="41"/>
      <x:c r="Y661" s="41"/>
      <x:c r="Z661" s="41"/>
    </x:row>
    <x:row r="662">
      <x:c r="A662" s="7" t="s">
        <x:v>4430</x:v>
      </x:c>
      <x:c r="B662" s="7" t="s">
        <x:v>4431</x:v>
      </x:c>
      <x:c r="C662" s="7" t="s">
        <x:v>4432</x:v>
      </x:c>
      <x:c r="D662" s="7" t="s">
        <x:v>208</x:v>
      </x:c>
      <x:c r="E662" s="7" t="s">
        <x:v>3676</x:v>
      </x:c>
      <x:c r="F662" s="10">
        <x:v>19.622379</x:v>
      </x:c>
      <x:c r="G662" s="10">
        <x:v>99.476936</x:v>
      </x:c>
      <x:c r="H662" s="7" t="s">
        <x:v>1777</x:v>
      </x:c>
      <x:c r="I662" s="10">
        <x:v>462.46</x:v>
      </x:c>
      <x:c r="J662" s="41"/>
      <x:c r="K662" s="41"/>
      <x:c r="L662" s="41"/>
      <x:c r="M662" s="10"/>
      <x:c r="N662" s="7" t="s">
        <x:v>4142</x:v>
      </x:c>
      <x:c r="O662" s="7" t="s">
        <x:v>1539</x:v>
      </x:c>
      <x:c r="P662" s="10">
        <x:v>2.0</x:v>
      </x:c>
      <x:c r="Q662" s="41"/>
      <x:c r="R662" s="10">
        <x:v>562.4</x:v>
      </x:c>
      <x:c r="S662" s="7" t="s">
        <x:v>301</x:v>
      </x:c>
      <x:c r="T662" s="7" t="b">
        <x:v>0</x:v>
      </x:c>
      <x:c r="U662" s="7" t="s">
        <x:v>1541</x:v>
      </x:c>
      <x:c r="V662" s="26" t="s">
        <x:v>1542</x:v>
      </x:c>
      <x:c r="W662" s="7" t="s">
        <x:v>4433</x:v>
      </x:c>
      <x:c r="X662" s="41"/>
      <x:c r="Y662" s="41"/>
      <x:c r="Z662" s="41"/>
    </x:row>
    <x:row r="663">
      <x:c r="A663" s="7" t="s">
        <x:v>4434</x:v>
      </x:c>
      <x:c r="B663" s="7" t="s">
        <x:v>4435</x:v>
      </x:c>
      <x:c r="C663" s="7" t="s">
        <x:v>4436</x:v>
      </x:c>
      <x:c r="D663" s="7" t="s">
        <x:v>248</x:v>
      </x:c>
      <x:c r="E663" s="7" t="s">
        <x:v>3273</x:v>
      </x:c>
      <x:c r="F663" s="10">
        <x:v>8.3062</x:v>
      </x:c>
      <x:c r="G663" s="10">
        <x:v>99.859917</x:v>
      </x:c>
      <x:c r="H663" s="7" t="s">
        <x:v>1548</x:v>
      </x:c>
      <x:c r="I663" s="10">
        <x:v>15.24</x:v>
      </x:c>
      <x:c r="J663" s="41"/>
      <x:c r="K663" s="41"/>
      <x:c r="L663" s="41"/>
      <x:c r="M663" s="10"/>
      <x:c r="N663" s="7" t="s">
        <x:v>4142</x:v>
      </x:c>
      <x:c r="O663" s="7" t="s">
        <x:v>1539</x:v>
      </x:c>
      <x:c r="P663" s="10">
        <x:v>2.0</x:v>
      </x:c>
      <x:c r="Q663" s="41"/>
      <x:c r="R663" s="10">
        <x:v>82.4</x:v>
      </x:c>
      <x:c r="S663" s="7" t="s">
        <x:v>301</x:v>
      </x:c>
      <x:c r="T663" s="7" t="b">
        <x:v>0</x:v>
      </x:c>
      <x:c r="U663" s="7" t="s">
        <x:v>1541</x:v>
      </x:c>
      <x:c r="V663" s="26" t="s">
        <x:v>1542</x:v>
      </x:c>
      <x:c r="W663" s="7" t="s">
        <x:v>4437</x:v>
      </x:c>
      <x:c r="X663" s="41"/>
      <x:c r="Y663" s="41"/>
      <x:c r="Z663" s="41"/>
    </x:row>
    <x:row r="664">
      <x:c r="A664" s="7" t="s">
        <x:v>4438</x:v>
      </x:c>
      <x:c r="B664" s="7" t="s">
        <x:v>4439</x:v>
      </x:c>
      <x:c r="C664" s="7" t="s">
        <x:v>4440</x:v>
      </x:c>
      <x:c r="D664" s="7" t="s">
        <x:v>225</x:v>
      </x:c>
      <x:c r="E664" s="7" t="s">
        <x:v>4441</x:v>
      </x:c>
      <x:c r="F664" s="10">
        <x:v>12.38992</x:v>
      </x:c>
      <x:c r="G664" s="10">
        <x:v>99.91119</x:v>
      </x:c>
      <x:c r="H664" s="7" t="s">
        <x:v>1554</x:v>
      </x:c>
      <x:c r="I664" s="10">
        <x:v>0.0</x:v>
      </x:c>
      <x:c r="J664" s="41"/>
      <x:c r="K664" s="41"/>
      <x:c r="L664" s="41"/>
      <x:c r="M664" s="10"/>
      <x:c r="N664" s="7" t="s">
        <x:v>4142</x:v>
      </x:c>
      <x:c r="O664" s="7" t="s">
        <x:v>1539</x:v>
      </x:c>
      <x:c r="P664" s="10">
        <x:v>2.0</x:v>
      </x:c>
      <x:c r="Q664" s="41"/>
      <x:c r="R664" s="10">
        <x:v>12.4</x:v>
      </x:c>
      <x:c r="S664" s="7" t="s">
        <x:v>1540</x:v>
      </x:c>
      <x:c r="T664" s="7" t="b">
        <x:v>0</x:v>
      </x:c>
      <x:c r="U664" s="7" t="s">
        <x:v>1541</x:v>
      </x:c>
      <x:c r="V664" s="26" t="s">
        <x:v>1542</x:v>
      </x:c>
      <x:c r="W664" s="7" t="s">
        <x:v>4442</x:v>
      </x:c>
      <x:c r="X664" s="41"/>
      <x:c r="Y664" s="41"/>
      <x:c r="Z664" s="41"/>
    </x:row>
    <x:row r="665">
      <x:c r="A665" s="7" t="s">
        <x:v>4443</x:v>
      </x:c>
      <x:c r="B665" s="7" t="s">
        <x:v>4444</x:v>
      </x:c>
      <x:c r="C665" s="7" t="s">
        <x:v>4445</x:v>
      </x:c>
      <x:c r="D665" s="7" t="s">
        <x:v>216</x:v>
      </x:c>
      <x:c r="E665" s="7" t="s">
        <x:v>3187</x:v>
      </x:c>
      <x:c r="F665" s="10">
        <x:v>17.74103</x:v>
      </x:c>
      <x:c r="G665" s="10">
        <x:v>100.679276</x:v>
      </x:c>
      <x:c r="H665" s="7" t="s">
        <x:v>1548</x:v>
      </x:c>
      <x:c r="I665" s="10">
        <x:v>137.63</x:v>
      </x:c>
      <x:c r="J665" s="41"/>
      <x:c r="K665" s="41"/>
      <x:c r="L665" s="41"/>
      <x:c r="M665" s="10"/>
      <x:c r="N665" s="7" t="s">
        <x:v>4142</x:v>
      </x:c>
      <x:c r="O665" s="7" t="s">
        <x:v>1539</x:v>
      </x:c>
      <x:c r="P665" s="10">
        <x:v>2.0</x:v>
      </x:c>
      <x:c r="Q665" s="41"/>
      <x:c r="R665" s="10">
        <x:v>82.4</x:v>
      </x:c>
      <x:c r="S665" s="7" t="s">
        <x:v>301</x:v>
      </x:c>
      <x:c r="T665" s="7" t="b">
        <x:v>0</x:v>
      </x:c>
      <x:c r="U665" s="7" t="s">
        <x:v>1541</x:v>
      </x:c>
      <x:c r="V665" s="26" t="s">
        <x:v>1542</x:v>
      </x:c>
      <x:c r="W665" s="7" t="s">
        <x:v>4446</x:v>
      </x:c>
      <x:c r="X665" s="41"/>
      <x:c r="Y665" s="41"/>
      <x:c r="Z665" s="41"/>
    </x:row>
    <x:row r="666">
      <x:c r="A666" s="7" t="s">
        <x:v>4447</x:v>
      </x:c>
      <x:c r="B666" s="7" t="s">
        <x:v>4448</x:v>
      </x:c>
      <x:c r="C666" s="7" t="s">
        <x:v>4449</x:v>
      </x:c>
      <x:c r="D666" s="7" t="s">
        <x:v>225</x:v>
      </x:c>
      <x:c r="E666" s="7" t="s">
        <x:v>4450</x:v>
      </x:c>
      <x:c r="F666" s="10">
        <x:v>11.06431</x:v>
      </x:c>
      <x:c r="G666" s="10">
        <x:v>99.372253</x:v>
      </x:c>
      <x:c r="H666" s="7" t="s">
        <x:v>1537</x:v>
      </x:c>
      <x:c r="I666" s="10">
        <x:v>38.38</x:v>
      </x:c>
      <x:c r="J666" s="41"/>
      <x:c r="K666" s="41"/>
      <x:c r="L666" s="41"/>
      <x:c r="M666" s="10"/>
      <x:c r="N666" s="7" t="s">
        <x:v>4142</x:v>
      </x:c>
      <x:c r="O666" s="7" t="s">
        <x:v>1539</x:v>
      </x:c>
      <x:c r="P666" s="10">
        <x:v>2.0</x:v>
      </x:c>
      <x:c r="Q666" s="41"/>
      <x:c r="R666" s="10">
        <x:v>-457.6</x:v>
      </x:c>
      <x:c r="S666" s="7" t="s">
        <x:v>1540</x:v>
      </x:c>
      <x:c r="T666" s="7" t="b">
        <x:v>0</x:v>
      </x:c>
      <x:c r="U666" s="7" t="s">
        <x:v>1541</x:v>
      </x:c>
      <x:c r="V666" s="26" t="s">
        <x:v>1542</x:v>
      </x:c>
      <x:c r="W666" s="7" t="s">
        <x:v>4451</x:v>
      </x:c>
      <x:c r="X666" s="41"/>
      <x:c r="Y666" s="41"/>
      <x:c r="Z666" s="41"/>
    </x:row>
    <x:row r="667">
      <x:c r="A667" s="7" t="s">
        <x:v>4452</x:v>
      </x:c>
      <x:c r="B667" s="7" t="s">
        <x:v>4453</x:v>
      </x:c>
      <x:c r="C667" s="7" t="s">
        <x:v>4454</x:v>
      </x:c>
      <x:c r="D667" s="7" t="s">
        <x:v>235</x:v>
      </x:c>
      <x:c r="E667" s="7" t="s">
        <x:v>2476</x:v>
      </x:c>
      <x:c r="F667" s="10">
        <x:v>17.11483</x:v>
      </x:c>
      <x:c r="G667" s="10">
        <x:v>104.53841</x:v>
      </x:c>
      <x:c r="H667" s="7" t="s">
        <x:v>1554</x:v>
      </x:c>
      <x:c r="I667" s="10">
        <x:v>142.83</x:v>
      </x:c>
      <x:c r="J667" s="41"/>
      <x:c r="K667" s="41"/>
      <x:c r="L667" s="41"/>
      <x:c r="M667" s="10"/>
      <x:c r="N667" s="7" t="s">
        <x:v>4142</x:v>
      </x:c>
      <x:c r="O667" s="7" t="s">
        <x:v>1539</x:v>
      </x:c>
      <x:c r="P667" s="10">
        <x:v>2.0</x:v>
      </x:c>
      <x:c r="Q667" s="41"/>
      <x:c r="R667" s="10">
        <x:v>12.4</x:v>
      </x:c>
      <x:c r="S667" s="7" t="s">
        <x:v>1540</x:v>
      </x:c>
      <x:c r="T667" s="7" t="b">
        <x:v>0</x:v>
      </x:c>
      <x:c r="U667" s="7" t="s">
        <x:v>1541</x:v>
      </x:c>
      <x:c r="V667" s="26" t="s">
        <x:v>1542</x:v>
      </x:c>
      <x:c r="W667" s="7" t="s">
        <x:v>4455</x:v>
      </x:c>
      <x:c r="X667" s="41"/>
      <x:c r="Y667" s="41"/>
      <x:c r="Z667" s="41"/>
    </x:row>
    <x:row r="668">
      <x:c r="A668" s="7" t="s">
        <x:v>4456</x:v>
      </x:c>
      <x:c r="B668" s="7" t="s">
        <x:v>4457</x:v>
      </x:c>
      <x:c r="C668" s="7" t="s">
        <x:v>4458</x:v>
      </x:c>
      <x:c r="D668" s="7" t="s">
        <x:v>18</x:v>
      </x:c>
      <x:c r="E668" s="7"/>
      <x:c r="F668" s="10">
        <x:v>16.840886</x:v>
      </x:c>
      <x:c r="G668" s="10">
        <x:v>99.068334</x:v>
      </x:c>
      <x:c r="H668" s="7" t="s">
        <x:v>1658</x:v>
      </x:c>
      <x:c r="I668" s="10">
        <x:v>128.47</x:v>
      </x:c>
      <x:c r="J668" s="41"/>
      <x:c r="K668" s="41"/>
      <x:c r="L668" s="41"/>
      <x:c r="M668" s="10">
        <x:v>132.22</x:v>
      </x:c>
      <x:c r="N668" s="7" t="s">
        <x:v>4142</x:v>
      </x:c>
      <x:c r="O668" s="7" t="s">
        <x:v>1539</x:v>
      </x:c>
      <x:c r="P668" s="10">
        <x:v>2.0</x:v>
      </x:c>
      <x:c r="Q668" s="41"/>
      <x:c r="R668" s="10">
        <x:v>22.4</x:v>
      </x:c>
      <x:c r="S668" s="7" t="s">
        <x:v>1540</x:v>
      </x:c>
      <x:c r="T668" s="7" t="b">
        <x:v>0</x:v>
      </x:c>
      <x:c r="U668" s="7" t="s">
        <x:v>1541</x:v>
      </x:c>
      <x:c r="V668" s="26" t="s">
        <x:v>1542</x:v>
      </x:c>
      <x:c r="W668" s="7" t="s">
        <x:v>4459</x:v>
      </x:c>
      <x:c r="X668" s="41"/>
      <x:c r="Y668" s="41"/>
      <x:c r="Z668" s="41"/>
    </x:row>
    <x:row r="669">
      <x:c r="A669" s="7" t="s">
        <x:v>4460</x:v>
      </x:c>
      <x:c r="B669" s="7" t="s">
        <x:v>4461</x:v>
      </x:c>
      <x:c r="C669" s="7" t="s">
        <x:v>4462</x:v>
      </x:c>
      <x:c r="D669" s="7" t="s">
        <x:v>229</x:v>
      </x:c>
      <x:c r="E669" s="7" t="s">
        <x:v>4137</x:v>
      </x:c>
      <x:c r="F669" s="10">
        <x:v>16.528994</x:v>
      </x:c>
      <x:c r="G669" s="10">
        <x:v>102.906006</x:v>
      </x:c>
      <x:c r="H669" s="7" t="s">
        <x:v>1554</x:v>
      </x:c>
      <x:c r="I669" s="10">
        <x:v>147.23</x:v>
      </x:c>
      <x:c r="J669" s="41"/>
      <x:c r="K669" s="41"/>
      <x:c r="L669" s="41"/>
      <x:c r="M669" s="41"/>
      <x:c r="N669" s="7" t="s">
        <x:v>4142</x:v>
      </x:c>
      <x:c r="O669" s="7" t="s">
        <x:v>1539</x:v>
      </x:c>
      <x:c r="P669" s="10">
        <x:v>2.0</x:v>
      </x:c>
      <x:c r="Q669" s="41"/>
      <x:c r="R669" s="10">
        <x:v>12.4</x:v>
      </x:c>
      <x:c r="S669" s="7" t="s">
        <x:v>1540</x:v>
      </x:c>
      <x:c r="T669" s="7" t="b">
        <x:v>0</x:v>
      </x:c>
      <x:c r="U669" s="7" t="s">
        <x:v>1541</x:v>
      </x:c>
      <x:c r="V669" s="26" t="s">
        <x:v>1542</x:v>
      </x:c>
      <x:c r="W669" s="7" t="s">
        <x:v>4463</x:v>
      </x:c>
      <x:c r="X669" s="41"/>
      <x:c r="Y669" s="41"/>
      <x:c r="Z669" s="41"/>
    </x:row>
    <x:row r="670">
      <x:c r="A670" s="7" t="s">
        <x:v>4464</x:v>
      </x:c>
      <x:c r="B670" s="7" t="s">
        <x:v>4465</x:v>
      </x:c>
      <x:c r="C670" s="7" t="s">
        <x:v>4466</x:v>
      </x:c>
      <x:c r="D670" s="7" t="s">
        <x:v>234</x:v>
      </x:c>
      <x:c r="E670" s="7" t="s">
        <x:v>4467</x:v>
      </x:c>
      <x:c r="F670" s="10">
        <x:v>17.208937</x:v>
      </x:c>
      <x:c r="G670" s="10">
        <x:v>104.101845</x:v>
      </x:c>
      <x:c r="H670" s="7" t="s">
        <x:v>1554</x:v>
      </x:c>
      <x:c r="I670" s="10">
        <x:v>159.75</x:v>
      </x:c>
      <x:c r="J670" s="41"/>
      <x:c r="K670" s="41"/>
      <x:c r="L670" s="41"/>
      <x:c r="M670" s="41"/>
      <x:c r="N670" s="7" t="s">
        <x:v>4142</x:v>
      </x:c>
      <x:c r="O670" s="7" t="s">
        <x:v>1539</x:v>
      </x:c>
      <x:c r="P670" s="10">
        <x:v>2.0</x:v>
      </x:c>
      <x:c r="Q670" s="41"/>
      <x:c r="R670" s="10">
        <x:v>12.4</x:v>
      </x:c>
      <x:c r="S670" s="7" t="s">
        <x:v>1540</x:v>
      </x:c>
      <x:c r="T670" s="7" t="b">
        <x:v>0</x:v>
      </x:c>
      <x:c r="U670" s="7" t="s">
        <x:v>1541</x:v>
      </x:c>
      <x:c r="V670" s="26" t="s">
        <x:v>1542</x:v>
      </x:c>
      <x:c r="W670" s="7" t="s">
        <x:v>4468</x:v>
      </x:c>
      <x:c r="X670" s="41"/>
      <x:c r="Y670" s="41"/>
      <x:c r="Z670" s="41"/>
    </x:row>
    <x:row r="671">
      <x:c r="A671" s="7" t="s">
        <x:v>4469</x:v>
      </x:c>
      <x:c r="B671" s="7" t="s">
        <x:v>4470</x:v>
      </x:c>
      <x:c r="C671" s="7" t="s">
        <x:v>4471</x:v>
      </x:c>
      <x:c r="D671" s="7" t="s">
        <x:v>248</x:v>
      </x:c>
      <x:c r="E671" s="7" t="s">
        <x:v>4472</x:v>
      </x:c>
      <x:c r="F671" s="10">
        <x:v>8.178368</x:v>
      </x:c>
      <x:c r="G671" s="10">
        <x:v>99.70351</x:v>
      </x:c>
      <x:c r="H671" s="7" t="s">
        <x:v>4473</x:v>
      </x:c>
      <x:c r="I671" s="10">
        <x:v>59.85</x:v>
      </x:c>
      <x:c r="J671" s="41"/>
      <x:c r="K671" s="41"/>
      <x:c r="L671" s="41"/>
      <x:c r="M671" s="41"/>
      <x:c r="N671" s="7" t="s">
        <x:v>4142</x:v>
      </x:c>
      <x:c r="O671" s="7" t="s">
        <x:v>1539</x:v>
      </x:c>
      <x:c r="P671" s="10">
        <x:v>2.0</x:v>
      </x:c>
      <x:c r="Q671" s="41"/>
      <x:c r="R671" s="10">
        <x:v>152.4</x:v>
      </x:c>
      <x:c r="S671" s="7" t="s">
        <x:v>301</x:v>
      </x:c>
      <x:c r="T671" s="7" t="b">
        <x:v>0</x:v>
      </x:c>
      <x:c r="U671" s="7" t="s">
        <x:v>1541</x:v>
      </x:c>
      <x:c r="V671" s="26" t="s">
        <x:v>1542</x:v>
      </x:c>
      <x:c r="W671" s="7" t="s">
        <x:v>4474</x:v>
      </x:c>
      <x:c r="X671" s="41"/>
      <x:c r="Y671" s="41"/>
      <x:c r="Z671" s="41"/>
    </x:row>
    <x:row r="672">
      <x:c r="A672" s="7" t="s">
        <x:v>4475</x:v>
      </x:c>
      <x:c r="B672" s="7" t="s">
        <x:v>4476</x:v>
      </x:c>
      <x:c r="C672" s="7" t="s">
        <x:v>4477</x:v>
      </x:c>
      <x:c r="D672" s="7" t="s">
        <x:v>209</x:v>
      </x:c>
      <x:c r="E672" s="7" t="s">
        <x:v>1734</x:v>
      </x:c>
      <x:c r="F672" s="10">
        <x:v>18.26591</x:v>
      </x:c>
      <x:c r="G672" s="10">
        <x:v>100.17706</x:v>
      </x:c>
      <x:c r="H672" s="7" t="s">
        <x:v>1554</x:v>
      </x:c>
      <x:c r="I672" s="10">
        <x:v>154.15</x:v>
      </x:c>
      <x:c r="J672" s="41"/>
      <x:c r="K672" s="41"/>
      <x:c r="L672" s="41"/>
      <x:c r="M672" s="10"/>
      <x:c r="N672" s="7" t="s">
        <x:v>4142</x:v>
      </x:c>
      <x:c r="O672" s="7" t="s">
        <x:v>1539</x:v>
      </x:c>
      <x:c r="P672" s="10">
        <x:v>2.0</x:v>
      </x:c>
      <x:c r="Q672" s="41"/>
      <x:c r="R672" s="10">
        <x:v>12.4</x:v>
      </x:c>
      <x:c r="S672" s="7" t="s">
        <x:v>1540</x:v>
      </x:c>
      <x:c r="T672" s="7" t="b">
        <x:v>0</x:v>
      </x:c>
      <x:c r="U672" s="7" t="s">
        <x:v>1541</x:v>
      </x:c>
      <x:c r="V672" s="26" t="s">
        <x:v>1542</x:v>
      </x:c>
      <x:c r="W672" s="7" t="s">
        <x:v>4478</x:v>
      </x:c>
      <x:c r="X672" s="41"/>
      <x:c r="Y672" s="41"/>
      <x:c r="Z672" s="41"/>
    </x:row>
    <x:row r="673">
      <x:c r="A673" s="7" t="s">
        <x:v>4479</x:v>
      </x:c>
      <x:c r="B673" s="7" t="s">
        <x:v>4480</x:v>
      </x:c>
      <x:c r="C673" s="7" t="s">
        <x:v>4481</x:v>
      </x:c>
      <x:c r="D673" s="7" t="s">
        <x:v>222</x:v>
      </x:c>
      <x:c r="E673" s="7" t="s">
        <x:v>4482</x:v>
      </x:c>
      <x:c r="F673" s="10">
        <x:v>12.92212</x:v>
      </x:c>
      <x:c r="G673" s="10">
        <x:v>99.81754</x:v>
      </x:c>
      <x:c r="H673" s="7" t="s">
        <x:v>1554</x:v>
      </x:c>
      <x:c r="I673" s="10">
        <x:v>18.46</x:v>
      </x:c>
      <x:c r="J673" s="41"/>
      <x:c r="K673" s="41"/>
      <x:c r="L673" s="41"/>
      <x:c r="M673" s="10"/>
      <x:c r="N673" s="7" t="s">
        <x:v>4142</x:v>
      </x:c>
      <x:c r="O673" s="7" t="s">
        <x:v>1539</x:v>
      </x:c>
      <x:c r="P673" s="10">
        <x:v>2.0</x:v>
      </x:c>
      <x:c r="Q673" s="41"/>
      <x:c r="R673" s="10">
        <x:v>12.4</x:v>
      </x:c>
      <x:c r="S673" s="7" t="s">
        <x:v>1540</x:v>
      </x:c>
      <x:c r="T673" s="7" t="b">
        <x:v>0</x:v>
      </x:c>
      <x:c r="U673" s="7" t="s">
        <x:v>1541</x:v>
      </x:c>
      <x:c r="V673" s="26" t="s">
        <x:v>1542</x:v>
      </x:c>
      <x:c r="W673" s="7" t="s">
        <x:v>4483</x:v>
      </x:c>
      <x:c r="X673" s="41"/>
      <x:c r="Y673" s="41"/>
      <x:c r="Z673" s="41"/>
    </x:row>
    <x:row r="674">
      <x:c r="A674" s="7" t="s">
        <x:v>4484</x:v>
      </x:c>
      <x:c r="B674" s="7" t="s">
        <x:v>4485</x:v>
      </x:c>
      <x:c r="C674" s="7" t="s">
        <x:v>4486</x:v>
      </x:c>
      <x:c r="D674" s="7" t="s">
        <x:v>253</x:v>
      </x:c>
      <x:c r="E674" s="7" t="s">
        <x:v>4487</x:v>
      </x:c>
      <x:c r="F674" s="10">
        <x:v>9.590022</x:v>
      </x:c>
      <x:c r="G674" s="10">
        <x:v>98.63291</x:v>
      </x:c>
      <x:c r="H674" s="7" t="s">
        <x:v>1554</x:v>
      </x:c>
      <x:c r="I674" s="10">
        <x:v>9.58</x:v>
      </x:c>
      <x:c r="J674" s="41"/>
      <x:c r="K674" s="41"/>
      <x:c r="L674" s="41"/>
      <x:c r="M674" s="41"/>
      <x:c r="N674" s="7" t="s">
        <x:v>4142</x:v>
      </x:c>
      <x:c r="O674" s="7" t="s">
        <x:v>1539</x:v>
      </x:c>
      <x:c r="P674" s="10">
        <x:v>2.0</x:v>
      </x:c>
      <x:c r="Q674" s="41"/>
      <x:c r="R674" s="10">
        <x:v>12.4</x:v>
      </x:c>
      <x:c r="S674" s="7" t="s">
        <x:v>1540</x:v>
      </x:c>
      <x:c r="T674" s="7" t="b">
        <x:v>0</x:v>
      </x:c>
      <x:c r="U674" s="7" t="s">
        <x:v>1541</x:v>
      </x:c>
      <x:c r="V674" s="26" t="s">
        <x:v>1542</x:v>
      </x:c>
      <x:c r="W674" s="7" t="s">
        <x:v>4488</x:v>
      </x:c>
      <x:c r="X674" s="41"/>
      <x:c r="Y674" s="41"/>
      <x:c r="Z674" s="41"/>
    </x:row>
    <x:row r="675">
      <x:c r="A675" s="7" t="s">
        <x:v>4489</x:v>
      </x:c>
      <x:c r="B675" s="7" t="s">
        <x:v>4490</x:v>
      </x:c>
      <x:c r="C675" s="7" t="s">
        <x:v>4491</x:v>
      </x:c>
      <x:c r="D675" s="7" t="s">
        <x:v>122</x:v>
      </x:c>
      <x:c r="E675" s="7" t="s">
        <x:v>4492</x:v>
      </x:c>
      <x:c r="F675" s="10">
        <x:v>14.85019</x:v>
      </x:c>
      <x:c r="G675" s="10">
        <x:v>101.616791</x:v>
      </x:c>
      <x:c r="H675" s="7" t="s">
        <x:v>1548</x:v>
      </x:c>
      <x:c r="I675" s="10">
        <x:v>238.84</x:v>
      </x:c>
      <x:c r="J675" s="41"/>
      <x:c r="K675" s="41"/>
      <x:c r="L675" s="41"/>
      <x:c r="M675" s="41"/>
      <x:c r="N675" s="7" t="s">
        <x:v>4142</x:v>
      </x:c>
      <x:c r="O675" s="7" t="s">
        <x:v>1539</x:v>
      </x:c>
      <x:c r="P675" s="10">
        <x:v>2.0</x:v>
      </x:c>
      <x:c r="Q675" s="41"/>
      <x:c r="R675" s="10">
        <x:v>82.4</x:v>
      </x:c>
      <x:c r="S675" s="7" t="s">
        <x:v>301</x:v>
      </x:c>
      <x:c r="T675" s="7" t="b">
        <x:v>0</x:v>
      </x:c>
      <x:c r="U675" s="7" t="s">
        <x:v>1541</x:v>
      </x:c>
      <x:c r="V675" s="26" t="s">
        <x:v>1542</x:v>
      </x:c>
      <x:c r="W675" s="7" t="s">
        <x:v>4493</x:v>
      </x:c>
      <x:c r="X675" s="41"/>
      <x:c r="Y675" s="41"/>
      <x:c r="Z675" s="41"/>
    </x:row>
    <x:row r="676">
      <x:c r="A676" s="7" t="s">
        <x:v>4494</x:v>
      </x:c>
      <x:c r="B676" s="7" t="s">
        <x:v>4495</x:v>
      </x:c>
      <x:c r="C676" s="7" t="s">
        <x:v>4496</x:v>
      </x:c>
      <x:c r="D676" s="7" t="s">
        <x:v>207</x:v>
      </x:c>
      <x:c r="E676" s="7" t="s">
        <x:v>4497</x:v>
      </x:c>
      <x:c r="F676" s="10">
        <x:v>19.638411</x:v>
      </x:c>
      <x:c r="G676" s="10">
        <x:v>98.635262</x:v>
      </x:c>
      <x:c r="H676" s="7" t="s">
        <x:v>3065</x:v>
      </x:c>
      <x:c r="I676" s="10">
        <x:v>741.83</x:v>
      </x:c>
      <x:c r="J676" s="41"/>
      <x:c r="K676" s="41"/>
      <x:c r="L676" s="41"/>
      <x:c r="M676" s="41"/>
      <x:c r="N676" s="7" t="s">
        <x:v>4142</x:v>
      </x:c>
      <x:c r="O676" s="7" t="s">
        <x:v>1539</x:v>
      </x:c>
      <x:c r="P676" s="10">
        <x:v>2.0</x:v>
      </x:c>
      <x:c r="Q676" s="41"/>
      <x:c r="R676" s="10">
        <x:v>262.4</x:v>
      </x:c>
      <x:c r="S676" s="7" t="s">
        <x:v>301</x:v>
      </x:c>
      <x:c r="T676" s="7" t="b">
        <x:v>0</x:v>
      </x:c>
      <x:c r="U676" s="7" t="s">
        <x:v>1541</x:v>
      </x:c>
      <x:c r="V676" s="26" t="s">
        <x:v>1542</x:v>
      </x:c>
      <x:c r="W676" s="7" t="s">
        <x:v>4498</x:v>
      </x:c>
      <x:c r="X676" s="41"/>
      <x:c r="Y676" s="41"/>
      <x:c r="Z676" s="41"/>
    </x:row>
    <x:row r="677">
      <x:c r="A677" s="7" t="s">
        <x:v>4499</x:v>
      </x:c>
      <x:c r="B677" s="7" t="s">
        <x:v>4500</x:v>
      </x:c>
      <x:c r="C677" s="7" t="s">
        <x:v>4501</x:v>
      </x:c>
      <x:c r="D677" s="7" t="s">
        <x:v>249</x:v>
      </x:c>
      <x:c r="E677" s="7" t="s">
        <x:v>4502</x:v>
      </x:c>
      <x:c r="F677" s="10">
        <x:v>9.398603</x:v>
      </x:c>
      <x:c r="G677" s="10">
        <x:v>99.16833</x:v>
      </x:c>
      <x:c r="H677" s="7" t="s">
        <x:v>1554</x:v>
      </x:c>
      <x:c r="I677" s="10">
        <x:v>7.26</x:v>
      </x:c>
      <x:c r="J677" s="41"/>
      <x:c r="K677" s="41"/>
      <x:c r="L677" s="41"/>
      <x:c r="M677" s="41"/>
      <x:c r="N677" s="7" t="s">
        <x:v>4142</x:v>
      </x:c>
      <x:c r="O677" s="7" t="s">
        <x:v>1539</x:v>
      </x:c>
      <x:c r="P677" s="10">
        <x:v>2.0</x:v>
      </x:c>
      <x:c r="Q677" s="41"/>
      <x:c r="R677" s="10">
        <x:v>12.4</x:v>
      </x:c>
      <x:c r="S677" s="7" t="s">
        <x:v>1540</x:v>
      </x:c>
      <x:c r="T677" s="7" t="b">
        <x:v>0</x:v>
      </x:c>
      <x:c r="U677" s="7" t="s">
        <x:v>1541</x:v>
      </x:c>
      <x:c r="V677" s="26" t="s">
        <x:v>1542</x:v>
      </x:c>
      <x:c r="W677" s="7" t="s">
        <x:v>4503</x:v>
      </x:c>
      <x:c r="X677" s="41"/>
      <x:c r="Y677" s="41"/>
      <x:c r="Z677" s="41"/>
    </x:row>
    <x:row r="678">
      <x:c r="A678" s="7" t="s">
        <x:v>4504</x:v>
      </x:c>
      <x:c r="B678" s="7" t="s">
        <x:v>4505</x:v>
      </x:c>
      <x:c r="C678" s="7" t="s">
        <x:v>4506</x:v>
      </x:c>
      <x:c r="D678" s="7" t="s">
        <x:v>248</x:v>
      </x:c>
      <x:c r="E678" s="7" t="s">
        <x:v>4507</x:v>
      </x:c>
      <x:c r="F678" s="10">
        <x:v>8.166437</x:v>
      </x:c>
      <x:c r="G678" s="10">
        <x:v>99.704285</x:v>
      </x:c>
      <x:c r="H678" s="7" t="s">
        <x:v>1554</x:v>
      </x:c>
      <x:c r="I678" s="10">
        <x:v>58.0</x:v>
      </x:c>
      <x:c r="J678" s="41"/>
      <x:c r="K678" s="41"/>
      <x:c r="L678" s="41"/>
      <x:c r="M678" s="41"/>
      <x:c r="N678" s="7" t="s">
        <x:v>4142</x:v>
      </x:c>
      <x:c r="O678" s="7" t="s">
        <x:v>1539</x:v>
      </x:c>
      <x:c r="P678" s="10">
        <x:v>2.0</x:v>
      </x:c>
      <x:c r="Q678" s="41"/>
      <x:c r="R678" s="10">
        <x:v>12.4</x:v>
      </x:c>
      <x:c r="S678" s="7" t="s">
        <x:v>1540</x:v>
      </x:c>
      <x:c r="T678" s="7" t="b">
        <x:v>0</x:v>
      </x:c>
      <x:c r="U678" s="7" t="s">
        <x:v>1541</x:v>
      </x:c>
      <x:c r="V678" s="26" t="s">
        <x:v>1542</x:v>
      </x:c>
      <x:c r="W678" s="7" t="s">
        <x:v>4508</x:v>
      </x:c>
      <x:c r="X678" s="41"/>
      <x:c r="Y678" s="41"/>
      <x:c r="Z678" s="41"/>
    </x:row>
    <x:row r="679">
      <x:c r="A679" s="7" t="s">
        <x:v>4509</x:v>
      </x:c>
      <x:c r="B679" s="7" t="s">
        <x:v>4510</x:v>
      </x:c>
      <x:c r="C679" s="7" t="s">
        <x:v>4511</x:v>
      </x:c>
      <x:c r="D679" s="7" t="s">
        <x:v>208</x:v>
      </x:c>
      <x:c r="E679" s="7" t="s">
        <x:v>3676</x:v>
      </x:c>
      <x:c r="F679" s="10">
        <x:v>19.173138</x:v>
      </x:c>
      <x:c r="G679" s="10">
        <x:v>99.50559</x:v>
      </x:c>
      <x:c r="H679" s="7" t="s">
        <x:v>1554</x:v>
      </x:c>
      <x:c r="I679" s="10">
        <x:v>587.48</x:v>
      </x:c>
      <x:c r="J679" s="41"/>
      <x:c r="K679" s="41"/>
      <x:c r="L679" s="41"/>
      <x:c r="M679" s="41"/>
      <x:c r="N679" s="7" t="s">
        <x:v>4142</x:v>
      </x:c>
      <x:c r="O679" s="7" t="s">
        <x:v>1539</x:v>
      </x:c>
      <x:c r="P679" s="10">
        <x:v>2.0</x:v>
      </x:c>
      <x:c r="Q679" s="41"/>
      <x:c r="R679" s="10">
        <x:v>12.4</x:v>
      </x:c>
      <x:c r="S679" s="7" t="s">
        <x:v>1540</x:v>
      </x:c>
      <x:c r="T679" s="7" t="b">
        <x:v>0</x:v>
      </x:c>
      <x:c r="U679" s="7" t="s">
        <x:v>1541</x:v>
      </x:c>
      <x:c r="V679" s="26" t="s">
        <x:v>1542</x:v>
      </x:c>
      <x:c r="W679" s="7" t="s">
        <x:v>4512</x:v>
      </x:c>
      <x:c r="X679" s="41"/>
      <x:c r="Y679" s="41"/>
      <x:c r="Z679" s="41"/>
    </x:row>
    <x:row r="680">
      <x:c r="A680" s="7" t="s">
        <x:v>4513</x:v>
      </x:c>
      <x:c r="B680" s="7" t="s">
        <x:v>4514</x:v>
      </x:c>
      <x:c r="C680" s="7" t="s">
        <x:v>4515</x:v>
      </x:c>
      <x:c r="D680" s="7" t="s">
        <x:v>210</x:v>
      </x:c>
      <x:c r="E680" s="7" t="s">
        <x:v>4516</x:v>
      </x:c>
      <x:c r="F680" s="10">
        <x:v>19.23041</x:v>
      </x:c>
      <x:c r="G680" s="10">
        <x:v>100.754089</x:v>
      </x:c>
      <x:c r="H680" s="7" t="s">
        <x:v>1548</x:v>
      </x:c>
      <x:c r="I680" s="10">
        <x:v>250.0</x:v>
      </x:c>
      <x:c r="J680" s="41"/>
      <x:c r="K680" s="41"/>
      <x:c r="L680" s="41"/>
      <x:c r="M680" s="41"/>
      <x:c r="N680" s="7" t="s">
        <x:v>4142</x:v>
      </x:c>
      <x:c r="O680" s="7" t="s">
        <x:v>1539</x:v>
      </x:c>
      <x:c r="P680" s="10">
        <x:v>2.0</x:v>
      </x:c>
      <x:c r="Q680" s="41"/>
      <x:c r="R680" s="10">
        <x:v>82.4</x:v>
      </x:c>
      <x:c r="S680" s="7" t="s">
        <x:v>301</x:v>
      </x:c>
      <x:c r="T680" s="7" t="b">
        <x:v>0</x:v>
      </x:c>
      <x:c r="U680" s="7" t="s">
        <x:v>1541</x:v>
      </x:c>
      <x:c r="V680" s="26" t="s">
        <x:v>1542</x:v>
      </x:c>
      <x:c r="W680" s="7" t="s">
        <x:v>4517</x:v>
      </x:c>
      <x:c r="X680" s="41"/>
      <x:c r="Y680" s="41"/>
      <x:c r="Z680" s="41"/>
    </x:row>
    <x:row r="681">
      <x:c r="A681" s="7" t="s">
        <x:v>4518</x:v>
      </x:c>
      <x:c r="B681" s="7" t="s">
        <x:v>4519</x:v>
      </x:c>
      <x:c r="C681" s="7" t="s">
        <x:v>4520</x:v>
      </x:c>
      <x:c r="D681" s="7" t="s">
        <x:v>210</x:v>
      </x:c>
      <x:c r="E681" s="7" t="s">
        <x:v>2084</x:v>
      </x:c>
      <x:c r="F681" s="10">
        <x:v>18.85971</x:v>
      </x:c>
      <x:c r="G681" s="10">
        <x:v>100.8171</x:v>
      </x:c>
      <x:c r="H681" s="7" t="s">
        <x:v>1554</x:v>
      </x:c>
      <x:c r="I681" s="10">
        <x:v>197.3</x:v>
      </x:c>
      <x:c r="J681" s="41"/>
      <x:c r="K681" s="41"/>
      <x:c r="L681" s="41"/>
      <x:c r="M681" s="41"/>
      <x:c r="N681" s="7" t="s">
        <x:v>4142</x:v>
      </x:c>
      <x:c r="O681" s="7" t="s">
        <x:v>1539</x:v>
      </x:c>
      <x:c r="P681" s="10">
        <x:v>2.0</x:v>
      </x:c>
      <x:c r="Q681" s="41"/>
      <x:c r="R681" s="10">
        <x:v>12.4</x:v>
      </x:c>
      <x:c r="S681" s="7" t="s">
        <x:v>1540</x:v>
      </x:c>
      <x:c r="T681" s="7" t="b">
        <x:v>0</x:v>
      </x:c>
      <x:c r="U681" s="7" t="s">
        <x:v>1541</x:v>
      </x:c>
      <x:c r="V681" s="26" t="s">
        <x:v>1542</x:v>
      </x:c>
      <x:c r="W681" s="7" t="s">
        <x:v>4521</x:v>
      </x:c>
      <x:c r="X681" s="41"/>
      <x:c r="Y681" s="41"/>
      <x:c r="Z681" s="41"/>
    </x:row>
    <x:row r="682">
      <x:c r="A682" s="7" t="s">
        <x:v>4522</x:v>
      </x:c>
      <x:c r="B682" s="7" t="s">
        <x:v>4523</x:v>
      </x:c>
      <x:c r="C682" s="7" t="s">
        <x:v>4524</x:v>
      </x:c>
      <x:c r="D682" s="7" t="s">
        <x:v>214</x:v>
      </x:c>
      <x:c r="E682" s="7" t="s">
        <x:v>4525</x:v>
      </x:c>
      <x:c r="F682" s="10">
        <x:v>19.36703</x:v>
      </x:c>
      <x:c r="G682" s="10">
        <x:v>97.96665</x:v>
      </x:c>
      <x:c r="H682" s="7" t="s">
        <x:v>1554</x:v>
      </x:c>
      <x:c r="I682" s="10">
        <x:v>201.06</x:v>
      </x:c>
      <x:c r="J682" s="41"/>
      <x:c r="K682" s="41"/>
      <x:c r="L682" s="41"/>
      <x:c r="M682" s="41"/>
      <x:c r="N682" s="7" t="s">
        <x:v>4142</x:v>
      </x:c>
      <x:c r="O682" s="7" t="s">
        <x:v>1539</x:v>
      </x:c>
      <x:c r="P682" s="10">
        <x:v>2.0</x:v>
      </x:c>
      <x:c r="Q682" s="41"/>
      <x:c r="R682" s="10">
        <x:v>12.4</x:v>
      </x:c>
      <x:c r="S682" s="7" t="s">
        <x:v>1540</x:v>
      </x:c>
      <x:c r="T682" s="7" t="b">
        <x:v>0</x:v>
      </x:c>
      <x:c r="U682" s="7" t="s">
        <x:v>1541</x:v>
      </x:c>
      <x:c r="V682" s="26" t="s">
        <x:v>1542</x:v>
      </x:c>
      <x:c r="W682" s="7" t="s">
        <x:v>4526</x:v>
      </x:c>
      <x:c r="X682" s="41"/>
      <x:c r="Y682" s="41"/>
      <x:c r="Z682" s="41"/>
    </x:row>
    <x:row r="683">
      <x:c r="A683" s="7" t="s">
        <x:v>4527</x:v>
      </x:c>
      <x:c r="B683" s="7" t="s">
        <x:v>4528</x:v>
      </x:c>
      <x:c r="C683" s="7" t="s">
        <x:v>4168</x:v>
      </x:c>
      <x:c r="D683" s="7" t="s">
        <x:v>228</x:v>
      </x:c>
      <x:c r="E683" s="7" t="s">
        <x:v>4529</x:v>
      </x:c>
      <x:c r="F683" s="10">
        <x:v>16.952499</x:v>
      </x:c>
      <x:c r="G683" s="10">
        <x:v>103.496674</x:v>
      </x:c>
      <x:c r="H683" s="7" t="s">
        <x:v>1777</x:v>
      </x:c>
      <x:c r="I683" s="10">
        <x:v>161.82</x:v>
      </x:c>
      <x:c r="J683" s="41"/>
      <x:c r="K683" s="41"/>
      <x:c r="L683" s="41"/>
      <x:c r="M683" s="41"/>
      <x:c r="N683" s="7" t="s">
        <x:v>4142</x:v>
      </x:c>
      <x:c r="O683" s="7" t="s">
        <x:v>1539</x:v>
      </x:c>
      <x:c r="P683" s="10">
        <x:v>2.0</x:v>
      </x:c>
      <x:c r="Q683" s="41"/>
      <x:c r="R683" s="10">
        <x:v>562.4</x:v>
      </x:c>
      <x:c r="S683" s="7" t="s">
        <x:v>301</x:v>
      </x:c>
      <x:c r="T683" s="7" t="b">
        <x:v>0</x:v>
      </x:c>
      <x:c r="U683" s="7" t="s">
        <x:v>1541</x:v>
      </x:c>
      <x:c r="V683" s="26" t="s">
        <x:v>1542</x:v>
      </x:c>
      <x:c r="W683" s="7" t="s">
        <x:v>4530</x:v>
      </x:c>
      <x:c r="X683" s="41"/>
      <x:c r="Y683" s="41"/>
      <x:c r="Z683" s="41"/>
    </x:row>
    <x:row r="684">
      <x:c r="A684" s="7" t="s">
        <x:v>4531</x:v>
      </x:c>
      <x:c r="B684" s="7" t="s">
        <x:v>4532</x:v>
      </x:c>
      <x:c r="C684" s="7" t="s">
        <x:v>4533</x:v>
      </x:c>
      <x:c r="D684" s="7" t="s">
        <x:v>260</x:v>
      </x:c>
      <x:c r="E684" s="7" t="s">
        <x:v>2321</x:v>
      </x:c>
      <x:c r="F684" s="10">
        <x:v>6.262132</x:v>
      </x:c>
      <x:c r="G684" s="10">
        <x:v>101.268237</x:v>
      </x:c>
      <x:c r="H684" s="7" t="s">
        <x:v>1658</x:v>
      </x:c>
      <x:c r="I684" s="10">
        <x:v>35.62</x:v>
      </x:c>
      <x:c r="J684" s="41"/>
      <x:c r="K684" s="41"/>
      <x:c r="L684" s="41"/>
      <x:c r="M684" s="10">
        <x:v>40.3</x:v>
      </x:c>
      <x:c r="N684" s="7" t="s">
        <x:v>4142</x:v>
      </x:c>
      <x:c r="O684" s="7" t="s">
        <x:v>1539</x:v>
      </x:c>
      <x:c r="P684" s="10">
        <x:v>2.0</x:v>
      </x:c>
      <x:c r="Q684" s="41"/>
      <x:c r="R684" s="10">
        <x:v>22.4</x:v>
      </x:c>
      <x:c r="S684" s="7" t="s">
        <x:v>1540</x:v>
      </x:c>
      <x:c r="T684" s="7" t="b">
        <x:v>0</x:v>
      </x:c>
      <x:c r="U684" s="7" t="s">
        <x:v>1541</x:v>
      </x:c>
      <x:c r="V684" s="26" t="s">
        <x:v>1542</x:v>
      </x:c>
      <x:c r="W684" s="7" t="s">
        <x:v>4534</x:v>
      </x:c>
      <x:c r="X684" s="41"/>
      <x:c r="Y684" s="41"/>
      <x:c r="Z684" s="41"/>
    </x:row>
    <x:row r="685">
      <x:c r="A685" s="7" t="s">
        <x:v>4535</x:v>
      </x:c>
      <x:c r="B685" s="7" t="s">
        <x:v>4536</x:v>
      </x:c>
      <x:c r="C685" s="7" t="s">
        <x:v>4537</x:v>
      </x:c>
      <x:c r="D685" s="7" t="s">
        <x:v>249</x:v>
      </x:c>
      <x:c r="E685" s="7" t="s">
        <x:v>4538</x:v>
      </x:c>
      <x:c r="F685" s="10">
        <x:v>9.576583</x:v>
      </x:c>
      <x:c r="G685" s="10">
        <x:v>99.12956</x:v>
      </x:c>
      <x:c r="H685" s="7" t="s">
        <x:v>1554</x:v>
      </x:c>
      <x:c r="I685" s="10">
        <x:v>6.34</x:v>
      </x:c>
      <x:c r="J685" s="41"/>
      <x:c r="K685" s="41"/>
      <x:c r="L685" s="41"/>
      <x:c r="M685" s="41"/>
      <x:c r="N685" s="7" t="s">
        <x:v>4142</x:v>
      </x:c>
      <x:c r="O685" s="7" t="s">
        <x:v>1539</x:v>
      </x:c>
      <x:c r="P685" s="10">
        <x:v>2.0</x:v>
      </x:c>
      <x:c r="Q685" s="41"/>
      <x:c r="R685" s="10">
        <x:v>12.4</x:v>
      </x:c>
      <x:c r="S685" s="7" t="s">
        <x:v>1540</x:v>
      </x:c>
      <x:c r="T685" s="7" t="b">
        <x:v>0</x:v>
      </x:c>
      <x:c r="U685" s="7" t="s">
        <x:v>1541</x:v>
      </x:c>
      <x:c r="V685" s="26" t="s">
        <x:v>1542</x:v>
      </x:c>
      <x:c r="W685" s="7" t="s">
        <x:v>4539</x:v>
      </x:c>
      <x:c r="X685" s="41"/>
      <x:c r="Y685" s="41"/>
      <x:c r="Z685" s="41"/>
    </x:row>
    <x:row r="686">
      <x:c r="A686" s="7" t="s">
        <x:v>4540</x:v>
      </x:c>
      <x:c r="B686" s="7" t="s">
        <x:v>4541</x:v>
      </x:c>
      <x:c r="C686" s="7" t="s">
        <x:v>4542</x:v>
      </x:c>
      <x:c r="D686" s="7" t="s">
        <x:v>91</x:v>
      </x:c>
      <x:c r="E686" s="7"/>
      <x:c r="F686" s="10">
        <x:v>14.26568</x:v>
      </x:c>
      <x:c r="G686" s="10">
        <x:v>101.89133</x:v>
      </x:c>
      <x:c r="H686" s="7" t="s">
        <x:v>1554</x:v>
      </x:c>
      <x:c r="I686" s="10">
        <x:v>79.69</x:v>
      </x:c>
      <x:c r="J686" s="41"/>
      <x:c r="K686" s="41"/>
      <x:c r="L686" s="41"/>
      <x:c r="M686" s="41"/>
      <x:c r="N686" s="7" t="s">
        <x:v>4142</x:v>
      </x:c>
      <x:c r="O686" s="7" t="s">
        <x:v>1539</x:v>
      </x:c>
      <x:c r="P686" s="10">
        <x:v>2.0</x:v>
      </x:c>
      <x:c r="Q686" s="41"/>
      <x:c r="R686" s="10">
        <x:v>12.4</x:v>
      </x:c>
      <x:c r="S686" s="7" t="s">
        <x:v>1540</x:v>
      </x:c>
      <x:c r="T686" s="7" t="b">
        <x:v>0</x:v>
      </x:c>
      <x:c r="U686" s="7" t="s">
        <x:v>1541</x:v>
      </x:c>
      <x:c r="V686" s="26" t="s">
        <x:v>1542</x:v>
      </x:c>
      <x:c r="W686" s="7" t="s">
        <x:v>4543</x:v>
      </x:c>
      <x:c r="X686" s="41"/>
      <x:c r="Y686" s="41"/>
      <x:c r="Z686" s="41"/>
    </x:row>
    <x:row r="687">
      <x:c r="A687" s="7" t="s">
        <x:v>4544</x:v>
      </x:c>
      <x:c r="B687" s="7" t="s">
        <x:v>4545</x:v>
      </x:c>
      <x:c r="C687" s="7" t="s">
        <x:v>4546</x:v>
      </x:c>
      <x:c r="D687" s="7" t="s">
        <x:v>217</x:v>
      </x:c>
      <x:c r="E687" s="7" t="s">
        <x:v>1734</x:v>
      </x:c>
      <x:c r="F687" s="10">
        <x:v>17.51715</x:v>
      </x:c>
      <x:c r="G687" s="10">
        <x:v>99.75877</x:v>
      </x:c>
      <x:c r="H687" s="7" t="s">
        <x:v>1554</x:v>
      </x:c>
      <x:c r="I687" s="10">
        <x:v>61.13</x:v>
      </x:c>
      <x:c r="J687" s="41"/>
      <x:c r="K687" s="41"/>
      <x:c r="L687" s="41"/>
      <x:c r="M687" s="41"/>
      <x:c r="N687" s="7" t="s">
        <x:v>4142</x:v>
      </x:c>
      <x:c r="O687" s="7" t="s">
        <x:v>1539</x:v>
      </x:c>
      <x:c r="P687" s="10">
        <x:v>2.0</x:v>
      </x:c>
      <x:c r="Q687" s="41"/>
      <x:c r="R687" s="10">
        <x:v>12.4</x:v>
      </x:c>
      <x:c r="S687" s="7" t="s">
        <x:v>1540</x:v>
      </x:c>
      <x:c r="T687" s="7" t="b">
        <x:v>0</x:v>
      </x:c>
      <x:c r="U687" s="7" t="s">
        <x:v>1541</x:v>
      </x:c>
      <x:c r="V687" s="26" t="s">
        <x:v>1542</x:v>
      </x:c>
      <x:c r="W687" s="7" t="s">
        <x:v>4547</x:v>
      </x:c>
      <x:c r="X687" s="41"/>
      <x:c r="Y687" s="41"/>
      <x:c r="Z687" s="41"/>
    </x:row>
    <x:row r="688">
      <x:c r="A688" s="7" t="s">
        <x:v>4548</x:v>
      </x:c>
      <x:c r="B688" s="7" t="s">
        <x:v>4549</x:v>
      </x:c>
      <x:c r="C688" s="7" t="s">
        <x:v>4550</x:v>
      </x:c>
      <x:c r="D688" s="7" t="s">
        <x:v>118</x:v>
      </x:c>
      <x:c r="E688" s="7" t="s">
        <x:v>4551</x:v>
      </x:c>
      <x:c r="F688" s="10">
        <x:v>15.95536</x:v>
      </x:c>
      <x:c r="G688" s="10">
        <x:v>102.03363</x:v>
      </x:c>
      <x:c r="H688" s="7" t="s">
        <x:v>1548</x:v>
      </x:c>
      <x:c r="I688" s="10">
        <x:v>193.38</x:v>
      </x:c>
      <x:c r="J688" s="41"/>
      <x:c r="K688" s="41"/>
      <x:c r="L688" s="41"/>
      <x:c r="M688" s="41"/>
      <x:c r="N688" s="7" t="s">
        <x:v>4142</x:v>
      </x:c>
      <x:c r="O688" s="7" t="s">
        <x:v>1539</x:v>
      </x:c>
      <x:c r="P688" s="10">
        <x:v>2.0</x:v>
      </x:c>
      <x:c r="Q688" s="41"/>
      <x:c r="R688" s="10">
        <x:v>82.4</x:v>
      </x:c>
      <x:c r="S688" s="7" t="s">
        <x:v>301</x:v>
      </x:c>
      <x:c r="T688" s="7" t="b">
        <x:v>0</x:v>
      </x:c>
      <x:c r="U688" s="7" t="s">
        <x:v>1541</x:v>
      </x:c>
      <x:c r="V688" s="26" t="s">
        <x:v>1542</x:v>
      </x:c>
      <x:c r="W688" s="7" t="s">
        <x:v>4552</x:v>
      </x:c>
      <x:c r="X688" s="41"/>
      <x:c r="Y688" s="41"/>
      <x:c r="Z688" s="41"/>
    </x:row>
    <x:row r="689">
      <x:c r="A689" s="7" t="s">
        <x:v>4553</x:v>
      </x:c>
      <x:c r="B689" s="7" t="s">
        <x:v>4554</x:v>
      </x:c>
      <x:c r="C689" s="7" t="s">
        <x:v>4555</x:v>
      </x:c>
      <x:c r="D689" s="7" t="s">
        <x:v>210</x:v>
      </x:c>
      <x:c r="E689" s="7" t="s">
        <x:v>4516</x:v>
      </x:c>
      <x:c r="F689" s="10">
        <x:v>18.99374</x:v>
      </x:c>
      <x:c r="G689" s="10">
        <x:v>100.940102</x:v>
      </x:c>
      <x:c r="H689" s="7" t="s">
        <x:v>1548</x:v>
      </x:c>
      <x:c r="I689" s="10">
        <x:v>265.16</x:v>
      </x:c>
      <x:c r="J689" s="41"/>
      <x:c r="K689" s="41"/>
      <x:c r="L689" s="41"/>
      <x:c r="M689" s="41"/>
      <x:c r="N689" s="7" t="s">
        <x:v>4142</x:v>
      </x:c>
      <x:c r="O689" s="7" t="s">
        <x:v>1539</x:v>
      </x:c>
      <x:c r="P689" s="10">
        <x:v>2.0</x:v>
      </x:c>
      <x:c r="Q689" s="41"/>
      <x:c r="R689" s="10">
        <x:v>82.4</x:v>
      </x:c>
      <x:c r="S689" s="7" t="s">
        <x:v>301</x:v>
      </x:c>
      <x:c r="T689" s="7" t="b">
        <x:v>0</x:v>
      </x:c>
      <x:c r="U689" s="7" t="s">
        <x:v>1541</x:v>
      </x:c>
      <x:c r="V689" s="26" t="s">
        <x:v>1542</x:v>
      </x:c>
      <x:c r="W689" s="7" t="s">
        <x:v>4556</x:v>
      </x:c>
      <x:c r="X689" s="41"/>
      <x:c r="Y689" s="41"/>
      <x:c r="Z689" s="41"/>
    </x:row>
    <x:row r="690">
      <x:c r="A690" s="7" t="s">
        <x:v>4557</x:v>
      </x:c>
      <x:c r="B690" s="7" t="s">
        <x:v>4558</x:v>
      </x:c>
      <x:c r="C690" s="7" t="s">
        <x:v>4559</x:v>
      </x:c>
      <x:c r="D690" s="7" t="s">
        <x:v>257</x:v>
      </x:c>
      <x:c r="E690" s="7" t="s">
        <x:v>2724</x:v>
      </x:c>
      <x:c r="F690" s="10">
        <x:v>7.729391</x:v>
      </x:c>
      <x:c r="G690" s="10">
        <x:v>99.55152</x:v>
      </x:c>
      <x:c r="H690" s="7" t="s">
        <x:v>1554</x:v>
      </x:c>
      <x:c r="I690" s="10">
        <x:v>6.22</x:v>
      </x:c>
      <x:c r="J690" s="41"/>
      <x:c r="K690" s="41"/>
      <x:c r="L690" s="41"/>
      <x:c r="M690" s="41"/>
      <x:c r="N690" s="7" t="s">
        <x:v>4142</x:v>
      </x:c>
      <x:c r="O690" s="7" t="s">
        <x:v>1539</x:v>
      </x:c>
      <x:c r="P690" s="10">
        <x:v>2.0</x:v>
      </x:c>
      <x:c r="Q690" s="41"/>
      <x:c r="R690" s="10">
        <x:v>12.4</x:v>
      </x:c>
      <x:c r="S690" s="7" t="s">
        <x:v>1540</x:v>
      </x:c>
      <x:c r="T690" s="7" t="b">
        <x:v>0</x:v>
      </x:c>
      <x:c r="U690" s="7" t="s">
        <x:v>1541</x:v>
      </x:c>
      <x:c r="V690" s="26" t="s">
        <x:v>1542</x:v>
      </x:c>
      <x:c r="W690" s="7" t="s">
        <x:v>4560</x:v>
      </x:c>
      <x:c r="X690" s="41"/>
      <x:c r="Y690" s="41"/>
      <x:c r="Z690" s="41"/>
    </x:row>
    <x:row r="691">
      <x:c r="A691" s="7" t="s">
        <x:v>4561</x:v>
      </x:c>
      <x:c r="B691" s="7" t="s">
        <x:v>4562</x:v>
      </x:c>
      <x:c r="C691" s="7" t="s">
        <x:v>4563</x:v>
      </x:c>
      <x:c r="D691" s="7" t="s">
        <x:v>252</x:v>
      </x:c>
      <x:c r="E691" s="7" t="s">
        <x:v>4564</x:v>
      </x:c>
      <x:c r="F691" s="10">
        <x:v>8.477331</x:v>
      </x:c>
      <x:c r="G691" s="10">
        <x:v>98.52832</x:v>
      </x:c>
      <x:c r="H691" s="7" t="s">
        <x:v>4565</x:v>
      </x:c>
      <x:c r="I691" s="10">
        <x:v>2.73</x:v>
      </x:c>
      <x:c r="J691" s="41"/>
      <x:c r="K691" s="41"/>
      <x:c r="L691" s="41"/>
      <x:c r="M691" s="41"/>
      <x:c r="N691" s="7" t="s">
        <x:v>4142</x:v>
      </x:c>
      <x:c r="O691" s="7" t="s">
        <x:v>1539</x:v>
      </x:c>
      <x:c r="P691" s="10">
        <x:v>2.0</x:v>
      </x:c>
      <x:c r="Q691" s="41"/>
      <x:c r="R691" s="10">
        <x:v>232.4</x:v>
      </x:c>
      <x:c r="S691" s="7" t="s">
        <x:v>301</x:v>
      </x:c>
      <x:c r="T691" s="7" t="b">
        <x:v>0</x:v>
      </x:c>
      <x:c r="U691" s="7" t="s">
        <x:v>1541</x:v>
      </x:c>
      <x:c r="V691" s="26" t="s">
        <x:v>1542</x:v>
      </x:c>
      <x:c r="W691" s="7" t="s">
        <x:v>4566</x:v>
      </x:c>
      <x:c r="X691" s="41"/>
      <x:c r="Y691" s="41"/>
      <x:c r="Z691" s="41"/>
    </x:row>
    <x:row r="692">
      <x:c r="A692" s="7" t="s">
        <x:v>4567</x:v>
      </x:c>
      <x:c r="B692" s="7" t="s">
        <x:v>4568</x:v>
      </x:c>
      <x:c r="C692" s="7" t="s">
        <x:v>4569</x:v>
      </x:c>
      <x:c r="D692" s="7" t="s">
        <x:v>84</x:v>
      </x:c>
      <x:c r="E692" s="7" t="s">
        <x:v>4570</x:v>
      </x:c>
      <x:c r="F692" s="10">
        <x:v>13.56008</x:v>
      </x:c>
      <x:c r="G692" s="10">
        <x:v>99.36224</x:v>
      </x:c>
      <x:c r="H692" s="7" t="s">
        <x:v>1554</x:v>
      </x:c>
      <x:c r="I692" s="10">
        <x:v>95.9</x:v>
      </x:c>
      <x:c r="J692" s="41"/>
      <x:c r="K692" s="41"/>
      <x:c r="L692" s="41"/>
      <x:c r="M692" s="41"/>
      <x:c r="N692" s="7" t="s">
        <x:v>4142</x:v>
      </x:c>
      <x:c r="O692" s="7" t="s">
        <x:v>1539</x:v>
      </x:c>
      <x:c r="P692" s="10">
        <x:v>2.0</x:v>
      </x:c>
      <x:c r="Q692" s="41"/>
      <x:c r="R692" s="10">
        <x:v>12.4</x:v>
      </x:c>
      <x:c r="S692" s="7" t="s">
        <x:v>1540</x:v>
      </x:c>
      <x:c r="T692" s="7" t="b">
        <x:v>0</x:v>
      </x:c>
      <x:c r="U692" s="7" t="s">
        <x:v>1541</x:v>
      </x:c>
      <x:c r="V692" s="26" t="s">
        <x:v>1542</x:v>
      </x:c>
      <x:c r="W692" s="7" t="s">
        <x:v>4571</x:v>
      </x:c>
      <x:c r="X692" s="41"/>
      <x:c r="Y692" s="41"/>
      <x:c r="Z692" s="41"/>
    </x:row>
    <x:row r="693">
      <x:c r="A693" s="7" t="s">
        <x:v>4572</x:v>
      </x:c>
      <x:c r="B693" s="7" t="s">
        <x:v>4573</x:v>
      </x:c>
      <x:c r="C693" s="7" t="s">
        <x:v>4574</x:v>
      </x:c>
      <x:c r="D693" s="7" t="s">
        <x:v>207</x:v>
      </x:c>
      <x:c r="E693" s="7" t="s">
        <x:v>2825</x:v>
      </x:c>
      <x:c r="F693" s="10">
        <x:v>18.9643</x:v>
      </x:c>
      <x:c r="G693" s="10">
        <x:v>99.237518</x:v>
      </x:c>
      <x:c r="H693" s="7" t="s">
        <x:v>3065</x:v>
      </x:c>
      <x:c r="I693" s="10">
        <x:v>442.69</x:v>
      </x:c>
      <x:c r="J693" s="41"/>
      <x:c r="K693" s="41"/>
      <x:c r="L693" s="41"/>
      <x:c r="M693" s="41"/>
      <x:c r="N693" s="7" t="s">
        <x:v>4142</x:v>
      </x:c>
      <x:c r="O693" s="7" t="s">
        <x:v>1539</x:v>
      </x:c>
      <x:c r="P693" s="10">
        <x:v>2.0</x:v>
      </x:c>
      <x:c r="Q693" s="41"/>
      <x:c r="R693" s="10">
        <x:v>262.4</x:v>
      </x:c>
      <x:c r="S693" s="7" t="s">
        <x:v>301</x:v>
      </x:c>
      <x:c r="T693" s="7" t="b">
        <x:v>0</x:v>
      </x:c>
      <x:c r="U693" s="7" t="s">
        <x:v>1541</x:v>
      </x:c>
      <x:c r="V693" s="26" t="s">
        <x:v>1542</x:v>
      </x:c>
      <x:c r="W693" s="7" t="s">
        <x:v>4575</x:v>
      </x:c>
      <x:c r="X693" s="41"/>
      <x:c r="Y693" s="41"/>
      <x:c r="Z693" s="41"/>
    </x:row>
    <x:row r="694">
      <x:c r="A694" s="7" t="s">
        <x:v>4576</x:v>
      </x:c>
      <x:c r="B694" s="7" t="s">
        <x:v>4577</x:v>
      </x:c>
      <x:c r="C694" s="7" t="s">
        <x:v>4578</x:v>
      </x:c>
      <x:c r="D694" s="7" t="s">
        <x:v>211</x:v>
      </x:c>
      <x:c r="E694" s="7" t="s">
        <x:v>4579</x:v>
      </x:c>
      <x:c r="F694" s="10">
        <x:v>19.321678</x:v>
      </x:c>
      <x:c r="G694" s="10">
        <x:v>100.456184</x:v>
      </x:c>
      <x:c r="H694" s="7" t="s">
        <x:v>1554</x:v>
      </x:c>
      <x:c r="I694" s="10">
        <x:v>444.1</x:v>
      </x:c>
      <x:c r="J694" s="41"/>
      <x:c r="K694" s="41"/>
      <x:c r="L694" s="41"/>
      <x:c r="M694" s="41"/>
      <x:c r="N694" s="7" t="s">
        <x:v>4142</x:v>
      </x:c>
      <x:c r="O694" s="7" t="s">
        <x:v>1539</x:v>
      </x:c>
      <x:c r="P694" s="10">
        <x:v>2.0</x:v>
      </x:c>
      <x:c r="Q694" s="41"/>
      <x:c r="R694" s="10">
        <x:v>12.4</x:v>
      </x:c>
      <x:c r="S694" s="7" t="s">
        <x:v>1540</x:v>
      </x:c>
      <x:c r="T694" s="7" t="b">
        <x:v>0</x:v>
      </x:c>
      <x:c r="U694" s="7" t="s">
        <x:v>1541</x:v>
      </x:c>
      <x:c r="V694" s="26" t="s">
        <x:v>1542</x:v>
      </x:c>
      <x:c r="W694" s="7" t="s">
        <x:v>4580</x:v>
      </x:c>
      <x:c r="X694" s="41"/>
      <x:c r="Y694" s="41"/>
      <x:c r="Z694" s="41"/>
    </x:row>
    <x:row r="695">
      <x:c r="A695" s="7" t="s">
        <x:v>4581</x:v>
      </x:c>
      <x:c r="B695" s="7" t="s">
        <x:v>4582</x:v>
      </x:c>
      <x:c r="C695" s="7" t="s">
        <x:v>4583</x:v>
      </x:c>
      <x:c r="D695" s="7" t="s">
        <x:v>234</x:v>
      </x:c>
      <x:c r="E695" s="7" t="s">
        <x:v>4583</x:v>
      </x:c>
      <x:c r="F695" s="10">
        <x:v>16.996609</x:v>
      </x:c>
      <x:c r="G695" s="10">
        <x:v>104.17364</x:v>
      </x:c>
      <x:c r="H695" s="7" t="s">
        <x:v>1554</x:v>
      </x:c>
      <x:c r="I695" s="10">
        <x:v>168.7</x:v>
      </x:c>
      <x:c r="J695" s="41"/>
      <x:c r="K695" s="41"/>
      <x:c r="L695" s="41"/>
      <x:c r="M695" s="41"/>
      <x:c r="N695" s="7" t="s">
        <x:v>4142</x:v>
      </x:c>
      <x:c r="O695" s="7" t="s">
        <x:v>1539</x:v>
      </x:c>
      <x:c r="P695" s="10">
        <x:v>2.0</x:v>
      </x:c>
      <x:c r="Q695" s="41"/>
      <x:c r="R695" s="10">
        <x:v>12.4</x:v>
      </x:c>
      <x:c r="S695" s="7" t="s">
        <x:v>1540</x:v>
      </x:c>
      <x:c r="T695" s="7" t="b">
        <x:v>0</x:v>
      </x:c>
      <x:c r="U695" s="7" t="s">
        <x:v>1541</x:v>
      </x:c>
      <x:c r="V695" s="26" t="s">
        <x:v>1542</x:v>
      </x:c>
      <x:c r="W695" s="7" t="s">
        <x:v>4584</x:v>
      </x:c>
      <x:c r="X695" s="41"/>
      <x:c r="Y695" s="41"/>
      <x:c r="Z695" s="41"/>
    </x:row>
    <x:row r="696">
      <x:c r="A696" s="7" t="s">
        <x:v>4585</x:v>
      </x:c>
      <x:c r="B696" s="7" t="s">
        <x:v>4586</x:v>
      </x:c>
      <x:c r="C696" s="7" t="s">
        <x:v>1653</x:v>
      </x:c>
      <x:c r="D696" s="7" t="s">
        <x:v>212</x:v>
      </x:c>
      <x:c r="E696" s="7" t="s">
        <x:v>4587</x:v>
      </x:c>
      <x:c r="F696" s="10">
        <x:v>18.709379</x:v>
      </x:c>
      <x:c r="G696" s="10">
        <x:v>99.957626</x:v>
      </x:c>
      <x:c r="H696" s="7" t="s">
        <x:v>1777</x:v>
      </x:c>
      <x:c r="I696" s="10">
        <x:v>266.12</x:v>
      </x:c>
      <x:c r="J696" s="41"/>
      <x:c r="K696" s="41"/>
      <x:c r="L696" s="41"/>
      <x:c r="M696" s="41"/>
      <x:c r="N696" s="7" t="s">
        <x:v>4142</x:v>
      </x:c>
      <x:c r="O696" s="7" t="s">
        <x:v>1539</x:v>
      </x:c>
      <x:c r="P696" s="10">
        <x:v>2.0</x:v>
      </x:c>
      <x:c r="Q696" s="41"/>
      <x:c r="R696" s="10">
        <x:v>562.4</x:v>
      </x:c>
      <x:c r="S696" s="7" t="s">
        <x:v>301</x:v>
      </x:c>
      <x:c r="T696" s="7" t="b">
        <x:v>0</x:v>
      </x:c>
      <x:c r="U696" s="7" t="s">
        <x:v>1541</x:v>
      </x:c>
      <x:c r="V696" s="26" t="s">
        <x:v>1542</x:v>
      </x:c>
      <x:c r="W696" s="7" t="s">
        <x:v>4588</x:v>
      </x:c>
      <x:c r="X696" s="41"/>
      <x:c r="Y696" s="41"/>
      <x:c r="Z696" s="41"/>
    </x:row>
    <x:row r="697">
      <x:c r="A697" s="7" t="s">
        <x:v>4589</x:v>
      </x:c>
      <x:c r="B697" s="7" t="s">
        <x:v>4590</x:v>
      </x:c>
      <x:c r="C697" s="7" t="s">
        <x:v>4591</x:v>
      </x:c>
      <x:c r="D697" s="7" t="s">
        <x:v>207</x:v>
      </x:c>
      <x:c r="E697" s="7" t="s">
        <x:v>3948</x:v>
      </x:c>
      <x:c r="F697" s="10">
        <x:v>19.122181</x:v>
      </x:c>
      <x:c r="G697" s="10">
        <x:v>98.944412</x:v>
      </x:c>
      <x:c r="H697" s="7" t="s">
        <x:v>1548</x:v>
      </x:c>
      <x:c r="I697" s="10">
        <x:v>333.35</x:v>
      </x:c>
      <x:c r="J697" s="41"/>
      <x:c r="K697" s="41"/>
      <x:c r="L697" s="41"/>
      <x:c r="M697" s="41"/>
      <x:c r="N697" s="7" t="s">
        <x:v>4142</x:v>
      </x:c>
      <x:c r="O697" s="7" t="s">
        <x:v>1539</x:v>
      </x:c>
      <x:c r="P697" s="10">
        <x:v>2.0</x:v>
      </x:c>
      <x:c r="Q697" s="41"/>
      <x:c r="R697" s="10">
        <x:v>82.4</x:v>
      </x:c>
      <x:c r="S697" s="7" t="s">
        <x:v>301</x:v>
      </x:c>
      <x:c r="T697" s="7" t="b">
        <x:v>0</x:v>
      </x:c>
      <x:c r="U697" s="7" t="s">
        <x:v>1541</x:v>
      </x:c>
      <x:c r="V697" s="26" t="s">
        <x:v>1542</x:v>
      </x:c>
      <x:c r="W697" s="7" t="s">
        <x:v>4592</x:v>
      </x:c>
      <x:c r="X697" s="41"/>
      <x:c r="Y697" s="41"/>
      <x:c r="Z697" s="41"/>
    </x:row>
    <x:row r="698">
      <x:c r="A698" s="7" t="s">
        <x:v>4593</x:v>
      </x:c>
      <x:c r="B698" s="7" t="s">
        <x:v>4594</x:v>
      </x:c>
      <x:c r="C698" s="7" t="s">
        <x:v>4595</x:v>
      </x:c>
      <x:c r="D698" s="7" t="s">
        <x:v>212</x:v>
      </x:c>
      <x:c r="E698" s="7"/>
      <x:c r="F698" s="10">
        <x:v>18.784391</x:v>
      </x:c>
      <x:c r="G698" s="10">
        <x:v>99.56949</x:v>
      </x:c>
      <x:c r="H698" s="7" t="s">
        <x:v>1554</x:v>
      </x:c>
      <x:c r="I698" s="10">
        <x:v>308.95</x:v>
      </x:c>
      <x:c r="J698" s="41"/>
      <x:c r="K698" s="41"/>
      <x:c r="L698" s="41"/>
      <x:c r="M698" s="41"/>
      <x:c r="N698" s="7" t="s">
        <x:v>4142</x:v>
      </x:c>
      <x:c r="O698" s="7" t="s">
        <x:v>1539</x:v>
      </x:c>
      <x:c r="P698" s="10">
        <x:v>2.0</x:v>
      </x:c>
      <x:c r="Q698" s="41"/>
      <x:c r="R698" s="10">
        <x:v>12.4</x:v>
      </x:c>
      <x:c r="S698" s="7" t="s">
        <x:v>1540</x:v>
      </x:c>
      <x:c r="T698" s="7" t="b">
        <x:v>0</x:v>
      </x:c>
      <x:c r="U698" s="7" t="s">
        <x:v>1541</x:v>
      </x:c>
      <x:c r="V698" s="26" t="s">
        <x:v>1542</x:v>
      </x:c>
      <x:c r="W698" s="7" t="s">
        <x:v>4596</x:v>
      </x:c>
      <x:c r="X698" s="41"/>
      <x:c r="Y698" s="41"/>
      <x:c r="Z698" s="41"/>
    </x:row>
    <x:row r="699">
      <x:c r="A699" s="7" t="s">
        <x:v>4597</x:v>
      </x:c>
      <x:c r="B699" s="7" t="s">
        <x:v>4598</x:v>
      </x:c>
      <x:c r="C699" s="7" t="s">
        <x:v>4599</x:v>
      </x:c>
      <x:c r="D699" s="7" t="s">
        <x:v>212</x:v>
      </x:c>
      <x:c r="E699" s="7" t="s">
        <x:v>4600</x:v>
      </x:c>
      <x:c r="F699" s="10">
        <x:v>18.596041</x:v>
      </x:c>
      <x:c r="G699" s="10">
        <x:v>99.622063</x:v>
      </x:c>
      <x:c r="H699" s="7" t="s">
        <x:v>1548</x:v>
      </x:c>
      <x:c r="I699" s="10">
        <x:v>286.59</x:v>
      </x:c>
      <x:c r="J699" s="41"/>
      <x:c r="K699" s="41"/>
      <x:c r="L699" s="41"/>
      <x:c r="M699" s="41"/>
      <x:c r="N699" s="7" t="s">
        <x:v>4142</x:v>
      </x:c>
      <x:c r="O699" s="7" t="s">
        <x:v>1539</x:v>
      </x:c>
      <x:c r="P699" s="10">
        <x:v>2.0</x:v>
      </x:c>
      <x:c r="Q699" s="41"/>
      <x:c r="R699" s="10">
        <x:v>82.4</x:v>
      </x:c>
      <x:c r="S699" s="7" t="s">
        <x:v>301</x:v>
      </x:c>
      <x:c r="T699" s="7" t="b">
        <x:v>0</x:v>
      </x:c>
      <x:c r="U699" s="7" t="s">
        <x:v>1541</x:v>
      </x:c>
      <x:c r="V699" s="26" t="s">
        <x:v>1542</x:v>
      </x:c>
      <x:c r="W699" s="7" t="s">
        <x:v>4601</x:v>
      </x:c>
      <x:c r="X699" s="41"/>
      <x:c r="Y699" s="41"/>
      <x:c r="Z699" s="41"/>
    </x:row>
    <x:row r="700">
      <x:c r="A700" s="7" t="s">
        <x:v>4602</x:v>
      </x:c>
      <x:c r="B700" s="7" t="s">
        <x:v>4603</x:v>
      </x:c>
      <x:c r="C700" s="7" t="s">
        <x:v>4604</x:v>
      </x:c>
      <x:c r="D700" s="7" t="s">
        <x:v>234</x:v>
      </x:c>
      <x:c r="E700" s="7" t="s">
        <x:v>4605</x:v>
      </x:c>
      <x:c r="F700" s="10">
        <x:v>17.166727</x:v>
      </x:c>
      <x:c r="G700" s="10">
        <x:v>104.118996</x:v>
      </x:c>
      <x:c r="H700" s="7" t="s">
        <x:v>1554</x:v>
      </x:c>
      <x:c r="I700" s="10">
        <x:v>157.54</x:v>
      </x:c>
      <x:c r="J700" s="41"/>
      <x:c r="K700" s="41"/>
      <x:c r="L700" s="41"/>
      <x:c r="M700" s="41"/>
      <x:c r="N700" s="7" t="s">
        <x:v>4142</x:v>
      </x:c>
      <x:c r="O700" s="7" t="s">
        <x:v>1539</x:v>
      </x:c>
      <x:c r="P700" s="10">
        <x:v>2.0</x:v>
      </x:c>
      <x:c r="Q700" s="41"/>
      <x:c r="R700" s="10">
        <x:v>12.4</x:v>
      </x:c>
      <x:c r="S700" s="7" t="s">
        <x:v>1540</x:v>
      </x:c>
      <x:c r="T700" s="7" t="b">
        <x:v>0</x:v>
      </x:c>
      <x:c r="U700" s="7" t="s">
        <x:v>1541</x:v>
      </x:c>
      <x:c r="V700" s="26" t="s">
        <x:v>1542</x:v>
      </x:c>
      <x:c r="W700" s="7" t="s">
        <x:v>4606</x:v>
      </x:c>
      <x:c r="X700" s="41"/>
      <x:c r="Y700" s="41"/>
      <x:c r="Z700" s="41"/>
    </x:row>
    <x:row r="701">
      <x:c r="A701" s="7" t="s">
        <x:v>4607</x:v>
      </x:c>
      <x:c r="B701" s="7" t="s">
        <x:v>4608</x:v>
      </x:c>
      <x:c r="C701" s="7" t="s">
        <x:v>4609</x:v>
      </x:c>
      <x:c r="D701" s="7" t="s">
        <x:v>212</x:v>
      </x:c>
      <x:c r="E701" s="7"/>
      <x:c r="F701" s="10">
        <x:v>18.474373</x:v>
      </x:c>
      <x:c r="G701" s="10">
        <x:v>99.46628</x:v>
      </x:c>
      <x:c r="H701" s="7" t="s">
        <x:v>1554</x:v>
      </x:c>
      <x:c r="I701" s="10">
        <x:v>266.61</x:v>
      </x:c>
      <x:c r="J701" s="41"/>
      <x:c r="K701" s="41"/>
      <x:c r="L701" s="41"/>
      <x:c r="M701" s="41"/>
      <x:c r="N701" s="7" t="s">
        <x:v>4142</x:v>
      </x:c>
      <x:c r="O701" s="7" t="s">
        <x:v>1539</x:v>
      </x:c>
      <x:c r="P701" s="10">
        <x:v>2.0</x:v>
      </x:c>
      <x:c r="Q701" s="41"/>
      <x:c r="R701" s="10">
        <x:v>12.4</x:v>
      </x:c>
      <x:c r="S701" s="7" t="s">
        <x:v>1540</x:v>
      </x:c>
      <x:c r="T701" s="7" t="b">
        <x:v>0</x:v>
      </x:c>
      <x:c r="U701" s="7" t="s">
        <x:v>1541</x:v>
      </x:c>
      <x:c r="V701" s="26" t="s">
        <x:v>1542</x:v>
      </x:c>
      <x:c r="W701" s="7" t="s">
        <x:v>4610</x:v>
      </x:c>
      <x:c r="X701" s="41"/>
      <x:c r="Y701" s="41"/>
      <x:c r="Z701" s="41"/>
    </x:row>
    <x:row r="702">
      <x:c r="A702" s="7" t="s">
        <x:v>4611</x:v>
      </x:c>
      <x:c r="B702" s="7" t="s">
        <x:v>4612</x:v>
      </x:c>
      <x:c r="C702" s="7" t="s">
        <x:v>4613</x:v>
      </x:c>
      <x:c r="D702" s="7" t="s">
        <x:v>207</x:v>
      </x:c>
      <x:c r="E702" s="7" t="s">
        <x:v>3948</x:v>
      </x:c>
      <x:c r="F702" s="10">
        <x:v>19.12207</x:v>
      </x:c>
      <x:c r="G702" s="10">
        <x:v>98.94447</x:v>
      </x:c>
      <x:c r="H702" s="7" t="s">
        <x:v>1554</x:v>
      </x:c>
      <x:c r="I702" s="10">
        <x:v>330.31</x:v>
      </x:c>
      <x:c r="J702" s="41"/>
      <x:c r="K702" s="41"/>
      <x:c r="L702" s="41"/>
      <x:c r="M702" s="41"/>
      <x:c r="N702" s="7" t="s">
        <x:v>4142</x:v>
      </x:c>
      <x:c r="O702" s="7" t="s">
        <x:v>1539</x:v>
      </x:c>
      <x:c r="P702" s="10">
        <x:v>2.0</x:v>
      </x:c>
      <x:c r="Q702" s="41"/>
      <x:c r="R702" s="10">
        <x:v>12.4</x:v>
      </x:c>
      <x:c r="S702" s="7" t="s">
        <x:v>1540</x:v>
      </x:c>
      <x:c r="T702" s="7" t="b">
        <x:v>0</x:v>
      </x:c>
      <x:c r="U702" s="7" t="s">
        <x:v>1541</x:v>
      </x:c>
      <x:c r="V702" s="26" t="s">
        <x:v>1542</x:v>
      </x:c>
      <x:c r="W702" s="7" t="s">
        <x:v>4614</x:v>
      </x:c>
      <x:c r="X702" s="41"/>
      <x:c r="Y702" s="41"/>
      <x:c r="Z702" s="41"/>
    </x:row>
    <x:row r="703">
      <x:c r="A703" s="7" t="s">
        <x:v>4615</x:v>
      </x:c>
      <x:c r="B703" s="7" t="s">
        <x:v>4616</x:v>
      </x:c>
      <x:c r="C703" s="7" t="s">
        <x:v>4617</x:v>
      </x:c>
      <x:c r="D703" s="7" t="s">
        <x:v>235</x:v>
      </x:c>
      <x:c r="E703" s="7" t="s">
        <x:v>1945</x:v>
      </x:c>
      <x:c r="F703" s="10">
        <x:v>17.05715</x:v>
      </x:c>
      <x:c r="G703" s="10">
        <x:v>104.3636</x:v>
      </x:c>
      <x:c r="H703" s="7" t="s">
        <x:v>1554</x:v>
      </x:c>
      <x:c r="I703" s="10">
        <x:v>145.44</x:v>
      </x:c>
      <x:c r="J703" s="41"/>
      <x:c r="K703" s="41"/>
      <x:c r="L703" s="41"/>
      <x:c r="M703" s="41"/>
      <x:c r="N703" s="7" t="s">
        <x:v>4142</x:v>
      </x:c>
      <x:c r="O703" s="7" t="s">
        <x:v>1539</x:v>
      </x:c>
      <x:c r="P703" s="10">
        <x:v>2.0</x:v>
      </x:c>
      <x:c r="Q703" s="41"/>
      <x:c r="R703" s="10">
        <x:v>12.4</x:v>
      </x:c>
      <x:c r="S703" s="7" t="s">
        <x:v>1540</x:v>
      </x:c>
      <x:c r="T703" s="7" t="b">
        <x:v>0</x:v>
      </x:c>
      <x:c r="U703" s="7" t="s">
        <x:v>1541</x:v>
      </x:c>
      <x:c r="V703" s="26" t="s">
        <x:v>1542</x:v>
      </x:c>
      <x:c r="W703" s="7" t="s">
        <x:v>4618</x:v>
      </x:c>
      <x:c r="X703" s="41"/>
      <x:c r="Y703" s="41"/>
      <x:c r="Z703" s="41"/>
    </x:row>
    <x:row r="704">
      <x:c r="A704" s="7" t="s">
        <x:v>4619</x:v>
      </x:c>
      <x:c r="B704" s="7" t="s">
        <x:v>4620</x:v>
      </x:c>
      <x:c r="C704" s="7" t="s">
        <x:v>4621</x:v>
      </x:c>
      <x:c r="D704" s="7" t="s">
        <x:v>228</x:v>
      </x:c>
      <x:c r="E704" s="7" t="s">
        <x:v>4622</x:v>
      </x:c>
      <x:c r="F704" s="10">
        <x:v>16.772221</x:v>
      </x:c>
      <x:c r="G704" s="10">
        <x:v>103.648331</x:v>
      </x:c>
      <x:c r="H704" s="7" t="s">
        <x:v>1777</x:v>
      </x:c>
      <x:c r="I704" s="10">
        <x:v>161.58</x:v>
      </x:c>
      <x:c r="J704" s="41"/>
      <x:c r="K704" s="41"/>
      <x:c r="L704" s="41"/>
      <x:c r="M704" s="41"/>
      <x:c r="N704" s="7" t="s">
        <x:v>4142</x:v>
      </x:c>
      <x:c r="O704" s="7" t="s">
        <x:v>1539</x:v>
      </x:c>
      <x:c r="P704" s="10">
        <x:v>2.0</x:v>
      </x:c>
      <x:c r="Q704" s="41"/>
      <x:c r="R704" s="10">
        <x:v>562.4</x:v>
      </x:c>
      <x:c r="S704" s="7" t="s">
        <x:v>301</x:v>
      </x:c>
      <x:c r="T704" s="7" t="b">
        <x:v>0</x:v>
      </x:c>
      <x:c r="U704" s="7" t="s">
        <x:v>1541</x:v>
      </x:c>
      <x:c r="V704" s="26" t="s">
        <x:v>1542</x:v>
      </x:c>
      <x:c r="W704" s="7" t="s">
        <x:v>4623</x:v>
      </x:c>
      <x:c r="X704" s="41"/>
      <x:c r="Y704" s="41"/>
      <x:c r="Z704" s="41"/>
    </x:row>
    <x:row r="705">
      <x:c r="A705" s="7" t="s">
        <x:v>4624</x:v>
      </x:c>
      <x:c r="B705" s="7" t="s">
        <x:v>4625</x:v>
      </x:c>
      <x:c r="C705" s="7" t="s">
        <x:v>4626</x:v>
      </x:c>
      <x:c r="D705" s="7" t="s">
        <x:v>212</x:v>
      </x:c>
      <x:c r="E705" s="7" t="s">
        <x:v>2695</x:v>
      </x:c>
      <x:c r="F705" s="10">
        <x:v>19.232492</x:v>
      </x:c>
      <x:c r="G705" s="10">
        <x:v>99.63247</x:v>
      </x:c>
      <x:c r="H705" s="7" t="s">
        <x:v>1554</x:v>
      </x:c>
      <x:c r="I705" s="10">
        <x:v>442.84</x:v>
      </x:c>
      <x:c r="J705" s="41"/>
      <x:c r="K705" s="41"/>
      <x:c r="L705" s="41"/>
      <x:c r="M705" s="41"/>
      <x:c r="N705" s="7" t="s">
        <x:v>4142</x:v>
      </x:c>
      <x:c r="O705" s="7" t="s">
        <x:v>1539</x:v>
      </x:c>
      <x:c r="P705" s="10">
        <x:v>2.0</x:v>
      </x:c>
      <x:c r="Q705" s="41"/>
      <x:c r="R705" s="10">
        <x:v>12.4</x:v>
      </x:c>
      <x:c r="S705" s="7" t="s">
        <x:v>1540</x:v>
      </x:c>
      <x:c r="T705" s="7" t="b">
        <x:v>0</x:v>
      </x:c>
      <x:c r="U705" s="7" t="s">
        <x:v>1541</x:v>
      </x:c>
      <x:c r="V705" s="26" t="s">
        <x:v>1542</x:v>
      </x:c>
      <x:c r="W705" s="7" t="s">
        <x:v>4627</x:v>
      </x:c>
      <x:c r="X705" s="41"/>
      <x:c r="Y705" s="41"/>
      <x:c r="Z705" s="41"/>
    </x:row>
    <x:row r="706">
      <x:c r="A706" s="7" t="s">
        <x:v>4628</x:v>
      </x:c>
      <x:c r="B706" s="7" t="s">
        <x:v>4629</x:v>
      </x:c>
      <x:c r="C706" s="7" t="s">
        <x:v>4630</x:v>
      </x:c>
      <x:c r="D706" s="7" t="s">
        <x:v>208</x:v>
      </x:c>
      <x:c r="E706" s="7" t="s">
        <x:v>2874</x:v>
      </x:c>
      <x:c r="F706" s="10">
        <x:v>20.2197</x:v>
      </x:c>
      <x:c r="G706" s="10">
        <x:v>100.12121</x:v>
      </x:c>
      <x:c r="H706" s="7" t="s">
        <x:v>1554</x:v>
      </x:c>
      <x:c r="I706" s="10">
        <x:v>356.9</x:v>
      </x:c>
      <x:c r="J706" s="41"/>
      <x:c r="K706" s="41"/>
      <x:c r="L706" s="41"/>
      <x:c r="M706" s="41"/>
      <x:c r="N706" s="7" t="s">
        <x:v>4142</x:v>
      </x:c>
      <x:c r="O706" s="7" t="s">
        <x:v>1539</x:v>
      </x:c>
      <x:c r="P706" s="10">
        <x:v>2.0</x:v>
      </x:c>
      <x:c r="Q706" s="41"/>
      <x:c r="R706" s="10">
        <x:v>12.4</x:v>
      </x:c>
      <x:c r="S706" s="7" t="s">
        <x:v>1540</x:v>
      </x:c>
      <x:c r="T706" s="7" t="b">
        <x:v>0</x:v>
      </x:c>
      <x:c r="U706" s="7" t="s">
        <x:v>1541</x:v>
      </x:c>
      <x:c r="V706" s="26" t="s">
        <x:v>1542</x:v>
      </x:c>
      <x:c r="W706" s="7" t="s">
        <x:v>4631</x:v>
      </x:c>
      <x:c r="X706" s="41"/>
      <x:c r="Y706" s="41"/>
      <x:c r="Z706" s="41"/>
    </x:row>
    <x:row r="707">
      <x:c r="A707" s="7" t="s">
        <x:v>4632</x:v>
      </x:c>
      <x:c r="B707" s="7" t="s">
        <x:v>4633</x:v>
      </x:c>
      <x:c r="C707" s="7" t="s">
        <x:v>3875</x:v>
      </x:c>
      <x:c r="D707" s="7" t="s">
        <x:v>210</x:v>
      </x:c>
      <x:c r="E707" s="7" t="s">
        <x:v>3875</x:v>
      </x:c>
      <x:c r="F707" s="10">
        <x:v>18.571873</x:v>
      </x:c>
      <x:c r="G707" s="10">
        <x:v>100.74266</x:v>
      </x:c>
      <x:c r="H707" s="7" t="s">
        <x:v>1554</x:v>
      </x:c>
      <x:c r="I707" s="10">
        <x:v>183.86</x:v>
      </x:c>
      <x:c r="J707" s="41"/>
      <x:c r="K707" s="41"/>
      <x:c r="L707" s="41"/>
      <x:c r="M707" s="41"/>
      <x:c r="N707" s="7" t="s">
        <x:v>4142</x:v>
      </x:c>
      <x:c r="O707" s="7" t="s">
        <x:v>1539</x:v>
      </x:c>
      <x:c r="P707" s="10">
        <x:v>2.0</x:v>
      </x:c>
      <x:c r="Q707" s="41"/>
      <x:c r="R707" s="10">
        <x:v>12.4</x:v>
      </x:c>
      <x:c r="S707" s="7" t="s">
        <x:v>1540</x:v>
      </x:c>
      <x:c r="T707" s="7" t="b">
        <x:v>0</x:v>
      </x:c>
      <x:c r="U707" s="7" t="s">
        <x:v>1541</x:v>
      </x:c>
      <x:c r="V707" s="26" t="s">
        <x:v>1542</x:v>
      </x:c>
      <x:c r="W707" s="7" t="s">
        <x:v>4634</x:v>
      </x:c>
      <x:c r="X707" s="41"/>
      <x:c r="Y707" s="41"/>
      <x:c r="Z707" s="41"/>
    </x:row>
    <x:row r="708">
      <x:c r="A708" s="7" t="s">
        <x:v>4635</x:v>
      </x:c>
      <x:c r="B708" s="7" t="s">
        <x:v>4636</x:v>
      </x:c>
      <x:c r="C708" s="7" t="s">
        <x:v>4637</x:v>
      </x:c>
      <x:c r="D708" s="7" t="s">
        <x:v>248</x:v>
      </x:c>
      <x:c r="E708" s="7" t="s">
        <x:v>4221</x:v>
      </x:c>
      <x:c r="F708" s="10">
        <x:v>8.43379</x:v>
      </x:c>
      <x:c r="G708" s="10">
        <x:v>99.78328</x:v>
      </x:c>
      <x:c r="H708" s="7" t="s">
        <x:v>1554</x:v>
      </x:c>
      <x:c r="I708" s="10">
        <x:v>43.11</x:v>
      </x:c>
      <x:c r="J708" s="41"/>
      <x:c r="K708" s="41"/>
      <x:c r="L708" s="41"/>
      <x:c r="M708" s="41"/>
      <x:c r="N708" s="7" t="s">
        <x:v>4142</x:v>
      </x:c>
      <x:c r="O708" s="7" t="s">
        <x:v>1539</x:v>
      </x:c>
      <x:c r="P708" s="10">
        <x:v>2.0</x:v>
      </x:c>
      <x:c r="Q708" s="41"/>
      <x:c r="R708" s="10">
        <x:v>12.4</x:v>
      </x:c>
      <x:c r="S708" s="7" t="s">
        <x:v>1540</x:v>
      </x:c>
      <x:c r="T708" s="7" t="b">
        <x:v>0</x:v>
      </x:c>
      <x:c r="U708" s="7" t="s">
        <x:v>1541</x:v>
      </x:c>
      <x:c r="V708" s="26" t="s">
        <x:v>1542</x:v>
      </x:c>
      <x:c r="W708" s="7" t="s">
        <x:v>4638</x:v>
      </x:c>
      <x:c r="X708" s="41"/>
      <x:c r="Y708" s="41"/>
      <x:c r="Z708" s="41"/>
    </x:row>
    <x:row r="709">
      <x:c r="A709" s="7" t="s">
        <x:v>4639</x:v>
      </x:c>
      <x:c r="B709" s="7" t="s">
        <x:v>4640</x:v>
      </x:c>
      <x:c r="C709" s="7" t="s">
        <x:v>4641</x:v>
      </x:c>
      <x:c r="D709" s="7" t="s">
        <x:v>252</x:v>
      </x:c>
      <x:c r="E709" s="7" t="s">
        <x:v>4564</x:v>
      </x:c>
      <x:c r="F709" s="10">
        <x:v>8.51336</x:v>
      </x:c>
      <x:c r="G709" s="10">
        <x:v>98.503563</x:v>
      </x:c>
      <x:c r="H709" s="7" t="s">
        <x:v>1548</x:v>
      </x:c>
      <x:c r="I709" s="10">
        <x:v>7.97</x:v>
      </x:c>
      <x:c r="J709" s="41"/>
      <x:c r="K709" s="41"/>
      <x:c r="L709" s="41"/>
      <x:c r="M709" s="10"/>
      <x:c r="N709" s="7" t="s">
        <x:v>4142</x:v>
      </x:c>
      <x:c r="O709" s="7" t="s">
        <x:v>1539</x:v>
      </x:c>
      <x:c r="P709" s="10">
        <x:v>2.0</x:v>
      </x:c>
      <x:c r="Q709" s="41"/>
      <x:c r="R709" s="10">
        <x:v>82.4</x:v>
      </x:c>
      <x:c r="S709" s="7" t="s">
        <x:v>301</x:v>
      </x:c>
      <x:c r="T709" s="7" t="b">
        <x:v>0</x:v>
      </x:c>
      <x:c r="U709" s="7" t="s">
        <x:v>1541</x:v>
      </x:c>
      <x:c r="V709" s="26" t="s">
        <x:v>1542</x:v>
      </x:c>
      <x:c r="W709" s="7" t="s">
        <x:v>4642</x:v>
      </x:c>
      <x:c r="X709" s="41"/>
      <x:c r="Y709" s="41"/>
      <x:c r="Z709" s="41"/>
    </x:row>
    <x:row r="710">
      <x:c r="A710" s="7" t="s">
        <x:v>4643</x:v>
      </x:c>
      <x:c r="B710" s="7" t="s">
        <x:v>4644</x:v>
      </x:c>
      <x:c r="C710" s="7" t="s">
        <x:v>4645</x:v>
      </x:c>
      <x:c r="D710" s="7" t="s">
        <x:v>210</x:v>
      </x:c>
      <x:c r="E710" s="7" t="s">
        <x:v>2084</x:v>
      </x:c>
      <x:c r="F710" s="10">
        <x:v>19.015169</x:v>
      </x:c>
      <x:c r="G710" s="10">
        <x:v>100.780212</x:v>
      </x:c>
      <x:c r="H710" s="7" t="s">
        <x:v>1548</x:v>
      </x:c>
      <x:c r="I710" s="10">
        <x:v>212.44</x:v>
      </x:c>
      <x:c r="J710" s="41"/>
      <x:c r="K710" s="41"/>
      <x:c r="L710" s="41"/>
      <x:c r="M710" s="10"/>
      <x:c r="N710" s="7" t="s">
        <x:v>4142</x:v>
      </x:c>
      <x:c r="O710" s="7" t="s">
        <x:v>1539</x:v>
      </x:c>
      <x:c r="P710" s="10">
        <x:v>2.0</x:v>
      </x:c>
      <x:c r="Q710" s="41"/>
      <x:c r="R710" s="10">
        <x:v>82.4</x:v>
      </x:c>
      <x:c r="S710" s="7" t="s">
        <x:v>301</x:v>
      </x:c>
      <x:c r="T710" s="7" t="b">
        <x:v>0</x:v>
      </x:c>
      <x:c r="U710" s="7" t="s">
        <x:v>1541</x:v>
      </x:c>
      <x:c r="V710" s="26" t="s">
        <x:v>1542</x:v>
      </x:c>
      <x:c r="W710" s="7" t="s">
        <x:v>4646</x:v>
      </x:c>
      <x:c r="X710" s="41"/>
      <x:c r="Y710" s="41"/>
      <x:c r="Z710" s="41"/>
    </x:row>
    <x:row r="711">
      <x:c r="A711" s="7" t="s">
        <x:v>4647</x:v>
      </x:c>
      <x:c r="B711" s="7" t="s">
        <x:v>4648</x:v>
      </x:c>
      <x:c r="C711" s="7" t="s">
        <x:v>4649</x:v>
      </x:c>
      <x:c r="D711" s="7" t="s">
        <x:v>208</x:v>
      </x:c>
      <x:c r="E711" s="7" t="s">
        <x:v>4650</x:v>
      </x:c>
      <x:c r="F711" s="10">
        <x:v>19.745991</x:v>
      </x:c>
      <x:c r="G711" s="10">
        <x:v>99.500763</x:v>
      </x:c>
      <x:c r="H711" s="7" t="s">
        <x:v>4651</x:v>
      </x:c>
      <x:c r="I711" s="10">
        <x:v>515.53</x:v>
      </x:c>
      <x:c r="J711" s="41"/>
      <x:c r="K711" s="41"/>
      <x:c r="L711" s="41"/>
      <x:c r="M711" s="10"/>
      <x:c r="N711" s="7" t="s">
        <x:v>4142</x:v>
      </x:c>
      <x:c r="O711" s="7" t="s">
        <x:v>1539</x:v>
      </x:c>
      <x:c r="P711" s="10">
        <x:v>2.0</x:v>
      </x:c>
      <x:c r="Q711" s="41"/>
      <x:c r="R711" s="10">
        <x:v>982.4</x:v>
      </x:c>
      <x:c r="S711" s="7" t="s">
        <x:v>301</x:v>
      </x:c>
      <x:c r="T711" s="7" t="b">
        <x:v>0</x:v>
      </x:c>
      <x:c r="U711" s="7" t="s">
        <x:v>1541</x:v>
      </x:c>
      <x:c r="V711" s="26" t="s">
        <x:v>1542</x:v>
      </x:c>
      <x:c r="W711" s="7" t="s">
        <x:v>4652</x:v>
      </x:c>
      <x:c r="X711" s="41"/>
      <x:c r="Y711" s="41"/>
      <x:c r="Z711" s="41"/>
    </x:row>
    <x:row r="712">
      <x:c r="A712" s="7" t="s">
        <x:v>4653</x:v>
      </x:c>
      <x:c r="B712" s="7" t="s">
        <x:v>4654</x:v>
      </x:c>
      <x:c r="C712" s="7" t="s">
        <x:v>4655</x:v>
      </x:c>
      <x:c r="D712" s="7" t="s">
        <x:v>225</x:v>
      </x:c>
      <x:c r="E712" s="7" t="s">
        <x:v>4656</x:v>
      </x:c>
      <x:c r="F712" s="10">
        <x:v>11.20557</x:v>
      </x:c>
      <x:c r="G712" s="10">
        <x:v>99.508499</x:v>
      </x:c>
      <x:c r="H712" s="7" t="s">
        <x:v>1537</x:v>
      </x:c>
      <x:c r="I712" s="10">
        <x:v>0.0</x:v>
      </x:c>
      <x:c r="J712" s="41"/>
      <x:c r="K712" s="41"/>
      <x:c r="L712" s="41"/>
      <x:c r="M712" s="10">
        <x:v>8.3</x:v>
      </x:c>
      <x:c r="N712" s="7" t="s">
        <x:v>4142</x:v>
      </x:c>
      <x:c r="O712" s="7" t="s">
        <x:v>1539</x:v>
      </x:c>
      <x:c r="P712" s="10">
        <x:v>2.0</x:v>
      </x:c>
      <x:c r="Q712" s="41"/>
      <x:c r="R712" s="10">
        <x:v>-457.6</x:v>
      </x:c>
      <x:c r="S712" s="7" t="s">
        <x:v>1540</x:v>
      </x:c>
      <x:c r="T712" s="7" t="b">
        <x:v>0</x:v>
      </x:c>
      <x:c r="U712" s="7" t="s">
        <x:v>1541</x:v>
      </x:c>
      <x:c r="V712" s="26" t="s">
        <x:v>1542</x:v>
      </x:c>
      <x:c r="W712" s="7" t="s">
        <x:v>4657</x:v>
      </x:c>
      <x:c r="X712" s="41"/>
      <x:c r="Y712" s="41"/>
      <x:c r="Z712" s="41"/>
    </x:row>
    <x:row r="713">
      <x:c r="A713" s="7" t="s">
        <x:v>4658</x:v>
      </x:c>
      <x:c r="B713" s="7" t="s">
        <x:v>4659</x:v>
      </x:c>
      <x:c r="C713" s="7" t="s">
        <x:v>4660</x:v>
      </x:c>
      <x:c r="D713" s="7" t="s">
        <x:v>261</x:v>
      </x:c>
      <x:c r="E713" s="7" t="s">
        <x:v>4661</x:v>
      </x:c>
      <x:c r="F713" s="10">
        <x:v>6.33992</x:v>
      </x:c>
      <x:c r="G713" s="10">
        <x:v>101.726959</x:v>
      </x:c>
      <x:c r="H713" s="7" t="s">
        <x:v>1548</x:v>
      </x:c>
      <x:c r="I713" s="10">
        <x:v>10.9</x:v>
      </x:c>
      <x:c r="J713" s="41"/>
      <x:c r="K713" s="41"/>
      <x:c r="L713" s="41"/>
      <x:c r="M713" s="41"/>
      <x:c r="N713" s="7" t="s">
        <x:v>4142</x:v>
      </x:c>
      <x:c r="O713" s="7" t="s">
        <x:v>1539</x:v>
      </x:c>
      <x:c r="P713" s="10">
        <x:v>2.0</x:v>
      </x:c>
      <x:c r="Q713" s="41"/>
      <x:c r="R713" s="10">
        <x:v>82.4</x:v>
      </x:c>
      <x:c r="S713" s="7" t="s">
        <x:v>301</x:v>
      </x:c>
      <x:c r="T713" s="7" t="b">
        <x:v>0</x:v>
      </x:c>
      <x:c r="U713" s="7" t="s">
        <x:v>1541</x:v>
      </x:c>
      <x:c r="V713" s="26" t="s">
        <x:v>1542</x:v>
      </x:c>
      <x:c r="W713" s="7" t="s">
        <x:v>4662</x:v>
      </x:c>
      <x:c r="X713" s="41"/>
      <x:c r="Y713" s="41"/>
      <x:c r="Z713" s="41"/>
    </x:row>
    <x:row r="714">
      <x:c r="A714" s="7" t="s">
        <x:v>4663</x:v>
      </x:c>
      <x:c r="B714" s="7" t="s">
        <x:v>4664</x:v>
      </x:c>
      <x:c r="C714" s="7" t="s">
        <x:v>4665</x:v>
      </x:c>
      <x:c r="D714" s="7" t="s">
        <x:v>207</x:v>
      </x:c>
      <x:c r="E714" s="7" t="s">
        <x:v>3953</x:v>
      </x:c>
      <x:c r="F714" s="10">
        <x:v>19.073114</x:v>
      </x:c>
      <x:c r="G714" s="10">
        <x:v>98.30675</x:v>
      </x:c>
      <x:c r="H714" s="7" t="s">
        <x:v>1554</x:v>
      </x:c>
      <x:c r="I714" s="10">
        <x:v>950.05</x:v>
      </x:c>
      <x:c r="J714" s="41"/>
      <x:c r="K714" s="41"/>
      <x:c r="L714" s="41"/>
      <x:c r="M714" s="41"/>
      <x:c r="N714" s="7" t="s">
        <x:v>4142</x:v>
      </x:c>
      <x:c r="O714" s="7" t="s">
        <x:v>1539</x:v>
      </x:c>
      <x:c r="P714" s="10">
        <x:v>2.0</x:v>
      </x:c>
      <x:c r="Q714" s="41"/>
      <x:c r="R714" s="10">
        <x:v>12.4</x:v>
      </x:c>
      <x:c r="S714" s="7" t="s">
        <x:v>1540</x:v>
      </x:c>
      <x:c r="T714" s="7" t="b">
        <x:v>0</x:v>
      </x:c>
      <x:c r="U714" s="7" t="s">
        <x:v>1541</x:v>
      </x:c>
      <x:c r="V714" s="26" t="s">
        <x:v>1542</x:v>
      </x:c>
      <x:c r="W714" s="7" t="s">
        <x:v>4666</x:v>
      </x:c>
      <x:c r="X714" s="41"/>
      <x:c r="Y714" s="41"/>
      <x:c r="Z714" s="41"/>
    </x:row>
    <x:row r="715">
      <x:c r="A715" s="7" t="s">
        <x:v>4667</x:v>
      </x:c>
      <x:c r="B715" s="7" t="s">
        <x:v>4668</x:v>
      </x:c>
      <x:c r="C715" s="7" t="s">
        <x:v>4669</x:v>
      </x:c>
      <x:c r="D715" s="7" t="s">
        <x:v>216</x:v>
      </x:c>
      <x:c r="E715" s="7" t="s">
        <x:v>2084</x:v>
      </x:c>
      <x:c r="F715" s="10">
        <x:v>17.73687</x:v>
      </x:c>
      <x:c r="G715" s="10">
        <x:v>100.531586</x:v>
      </x:c>
      <x:c r="H715" s="7" t="s">
        <x:v>1548</x:v>
      </x:c>
      <x:c r="I715" s="10">
        <x:v>70.3</x:v>
      </x:c>
      <x:c r="J715" s="41"/>
      <x:c r="K715" s="41"/>
      <x:c r="L715" s="41"/>
      <x:c r="M715" s="41"/>
      <x:c r="N715" s="7" t="s">
        <x:v>4142</x:v>
      </x:c>
      <x:c r="O715" s="7" t="s">
        <x:v>1539</x:v>
      </x:c>
      <x:c r="P715" s="10">
        <x:v>2.0</x:v>
      </x:c>
      <x:c r="Q715" s="41"/>
      <x:c r="R715" s="10">
        <x:v>82.4</x:v>
      </x:c>
      <x:c r="S715" s="7" t="s">
        <x:v>301</x:v>
      </x:c>
      <x:c r="T715" s="7" t="b">
        <x:v>0</x:v>
      </x:c>
      <x:c r="U715" s="7" t="s">
        <x:v>1541</x:v>
      </x:c>
      <x:c r="V715" s="26" t="s">
        <x:v>1542</x:v>
      </x:c>
      <x:c r="W715" s="7" t="s">
        <x:v>4670</x:v>
      </x:c>
      <x:c r="X715" s="41"/>
      <x:c r="Y715" s="41"/>
      <x:c r="Z715" s="41"/>
    </x:row>
    <x:row r="716">
      <x:c r="A716" s="7" t="s">
        <x:v>4671</x:v>
      </x:c>
      <x:c r="B716" s="7" t="s">
        <x:v>4672</x:v>
      </x:c>
      <x:c r="C716" s="7" t="s">
        <x:v>4673</x:v>
      </x:c>
      <x:c r="D716" s="7" t="s">
        <x:v>234</x:v>
      </x:c>
      <x:c r="E716" s="7" t="s">
        <x:v>1945</x:v>
      </x:c>
      <x:c r="F716" s="10">
        <x:v>17.1422</x:v>
      </x:c>
      <x:c r="G716" s="10">
        <x:v>104.2901</x:v>
      </x:c>
      <x:c r="H716" s="7" t="s">
        <x:v>1548</x:v>
      </x:c>
      <x:c r="I716" s="10">
        <x:v>151.25</x:v>
      </x:c>
      <x:c r="J716" s="41"/>
      <x:c r="K716" s="41"/>
      <x:c r="L716" s="41"/>
      <x:c r="M716" s="41"/>
      <x:c r="N716" s="7" t="s">
        <x:v>4142</x:v>
      </x:c>
      <x:c r="O716" s="7" t="s">
        <x:v>1539</x:v>
      </x:c>
      <x:c r="P716" s="10">
        <x:v>2.0</x:v>
      </x:c>
      <x:c r="Q716" s="41"/>
      <x:c r="R716" s="10">
        <x:v>82.4</x:v>
      </x:c>
      <x:c r="S716" s="7" t="s">
        <x:v>301</x:v>
      </x:c>
      <x:c r="T716" s="7" t="b">
        <x:v>0</x:v>
      </x:c>
      <x:c r="U716" s="7" t="s">
        <x:v>1541</x:v>
      </x:c>
      <x:c r="V716" s="26" t="s">
        <x:v>1542</x:v>
      </x:c>
      <x:c r="W716" s="7" t="s">
        <x:v>4674</x:v>
      </x:c>
      <x:c r="X716" s="41"/>
      <x:c r="Y716" s="41"/>
      <x:c r="Z716" s="41"/>
    </x:row>
    <x:row r="717">
      <x:c r="A717" s="7" t="s">
        <x:v>4675</x:v>
      </x:c>
      <x:c r="B717" s="7" t="s">
        <x:v>4676</x:v>
      </x:c>
      <x:c r="C717" s="7" t="s">
        <x:v>4677</x:v>
      </x:c>
      <x:c r="D717" s="7" t="s">
        <x:v>207</x:v>
      </x:c>
      <x:c r="E717" s="7" t="s">
        <x:v>4678</x:v>
      </x:c>
      <x:c r="F717" s="10">
        <x:v>18.739611</x:v>
      </x:c>
      <x:c r="G717" s="10">
        <x:v>99.218651</x:v>
      </x:c>
      <x:c r="H717" s="7" t="s">
        <x:v>1548</x:v>
      </x:c>
      <x:c r="I717" s="10">
        <x:v>341.0</x:v>
      </x:c>
      <x:c r="J717" s="41"/>
      <x:c r="K717" s="41"/>
      <x:c r="L717" s="41"/>
      <x:c r="M717" s="41"/>
      <x:c r="N717" s="7" t="s">
        <x:v>4142</x:v>
      </x:c>
      <x:c r="O717" s="7" t="s">
        <x:v>1539</x:v>
      </x:c>
      <x:c r="P717" s="10">
        <x:v>2.0</x:v>
      </x:c>
      <x:c r="Q717" s="41"/>
      <x:c r="R717" s="10">
        <x:v>82.4</x:v>
      </x:c>
      <x:c r="S717" s="7" t="s">
        <x:v>301</x:v>
      </x:c>
      <x:c r="T717" s="7" t="b">
        <x:v>0</x:v>
      </x:c>
      <x:c r="U717" s="7" t="s">
        <x:v>1541</x:v>
      </x:c>
      <x:c r="V717" s="26" t="s">
        <x:v>1542</x:v>
      </x:c>
      <x:c r="W717" s="7" t="s">
        <x:v>4679</x:v>
      </x:c>
      <x:c r="X717" s="41"/>
      <x:c r="Y717" s="41"/>
      <x:c r="Z717" s="41"/>
    </x:row>
    <x:row r="718">
      <x:c r="A718" s="7" t="s">
        <x:v>4680</x:v>
      </x:c>
      <x:c r="B718" s="7" t="s">
        <x:v>4681</x:v>
      </x:c>
      <x:c r="C718" s="7" t="s">
        <x:v>4682</x:v>
      </x:c>
      <x:c r="D718" s="7" t="s">
        <x:v>209</x:v>
      </x:c>
      <x:c r="E718" s="7" t="s">
        <x:v>4683</x:v>
      </x:c>
      <x:c r="F718" s="10">
        <x:v>18.26643</x:v>
      </x:c>
      <x:c r="G718" s="10">
        <x:v>100.237633</x:v>
      </x:c>
      <x:c r="H718" s="7" t="s">
        <x:v>1777</x:v>
      </x:c>
      <x:c r="I718" s="10">
        <x:v>170.75</x:v>
      </x:c>
      <x:c r="J718" s="41"/>
      <x:c r="K718" s="41"/>
      <x:c r="L718" s="41"/>
      <x:c r="M718" s="41"/>
      <x:c r="N718" s="7" t="s">
        <x:v>4142</x:v>
      </x:c>
      <x:c r="O718" s="7" t="s">
        <x:v>1539</x:v>
      </x:c>
      <x:c r="P718" s="10">
        <x:v>2.0</x:v>
      </x:c>
      <x:c r="Q718" s="41"/>
      <x:c r="R718" s="10">
        <x:v>562.4</x:v>
      </x:c>
      <x:c r="S718" s="7" t="s">
        <x:v>301</x:v>
      </x:c>
      <x:c r="T718" s="7" t="b">
        <x:v>0</x:v>
      </x:c>
      <x:c r="U718" s="7" t="s">
        <x:v>1541</x:v>
      </x:c>
      <x:c r="V718" s="26" t="s">
        <x:v>1542</x:v>
      </x:c>
      <x:c r="W718" s="7" t="s">
        <x:v>4684</x:v>
      </x:c>
      <x:c r="X718" s="41"/>
      <x:c r="Y718" s="41"/>
      <x:c r="Z718" s="41"/>
    </x:row>
    <x:row r="719">
      <x:c r="A719" s="7" t="s">
        <x:v>4685</x:v>
      </x:c>
      <x:c r="B719" s="7" t="s">
        <x:v>4686</x:v>
      </x:c>
      <x:c r="C719" s="7" t="s">
        <x:v>4687</x:v>
      </x:c>
      <x:c r="D719" s="7" t="s">
        <x:v>110</x:v>
      </x:c>
      <x:c r="E719" s="7" t="s">
        <x:v>4688</x:v>
      </x:c>
      <x:c r="F719" s="10">
        <x:v>12.25058</x:v>
      </x:c>
      <x:c r="G719" s="10">
        <x:v>102.475716</x:v>
      </x:c>
      <x:c r="H719" s="7" t="s">
        <x:v>2103</x:v>
      </x:c>
      <x:c r="I719" s="10">
        <x:v>2.05</x:v>
      </x:c>
      <x:c r="J719" s="41"/>
      <x:c r="K719" s="41"/>
      <x:c r="L719" s="41"/>
      <x:c r="M719" s="41"/>
      <x:c r="N719" s="7" t="s">
        <x:v>4142</x:v>
      </x:c>
      <x:c r="O719" s="7" t="s">
        <x:v>1539</x:v>
      </x:c>
      <x:c r="P719" s="10">
        <x:v>2.0</x:v>
      </x:c>
      <x:c r="Q719" s="41"/>
      <x:c r="R719" s="10">
        <x:v>32.4</x:v>
      </x:c>
      <x:c r="S719" s="7" t="s">
        <x:v>1540</x:v>
      </x:c>
      <x:c r="T719" s="7" t="b">
        <x:v>0</x:v>
      </x:c>
      <x:c r="U719" s="7" t="s">
        <x:v>1541</x:v>
      </x:c>
      <x:c r="V719" s="26" t="s">
        <x:v>1542</x:v>
      </x:c>
      <x:c r="W719" s="7" t="s">
        <x:v>4689</x:v>
      </x:c>
      <x:c r="X719" s="41"/>
      <x:c r="Y719" s="41"/>
      <x:c r="Z719" s="41"/>
    </x:row>
    <x:row r="720">
      <x:c r="A720" s="7" t="s">
        <x:v>4690</x:v>
      </x:c>
      <x:c r="B720" s="7" t="s">
        <x:v>4691</x:v>
      </x:c>
      <x:c r="C720" s="7" t="s">
        <x:v>4692</x:v>
      </x:c>
      <x:c r="D720" s="7" t="s">
        <x:v>252</x:v>
      </x:c>
      <x:c r="E720" s="7" t="s">
        <x:v>3131</x:v>
      </x:c>
      <x:c r="F720" s="10">
        <x:v>8.77622</x:v>
      </x:c>
      <x:c r="G720" s="10">
        <x:v>98.390472</x:v>
      </x:c>
      <x:c r="H720" s="7" t="s">
        <x:v>1548</x:v>
      </x:c>
      <x:c r="I720" s="10">
        <x:v>3.47</x:v>
      </x:c>
      <x:c r="J720" s="41"/>
      <x:c r="K720" s="41"/>
      <x:c r="L720" s="41"/>
      <x:c r="M720" s="10"/>
      <x:c r="N720" s="7" t="s">
        <x:v>4142</x:v>
      </x:c>
      <x:c r="O720" s="7" t="s">
        <x:v>1539</x:v>
      </x:c>
      <x:c r="P720" s="10">
        <x:v>2.0</x:v>
      </x:c>
      <x:c r="Q720" s="41"/>
      <x:c r="R720" s="10">
        <x:v>82.4</x:v>
      </x:c>
      <x:c r="S720" s="7" t="s">
        <x:v>301</x:v>
      </x:c>
      <x:c r="T720" s="7" t="b">
        <x:v>0</x:v>
      </x:c>
      <x:c r="U720" s="7" t="s">
        <x:v>1541</x:v>
      </x:c>
      <x:c r="V720" s="26" t="s">
        <x:v>1542</x:v>
      </x:c>
      <x:c r="W720" s="7" t="s">
        <x:v>4693</x:v>
      </x:c>
      <x:c r="X720" s="41"/>
      <x:c r="Y720" s="41"/>
      <x:c r="Z720" s="41"/>
    </x:row>
    <x:row r="721">
      <x:c r="A721" s="7" t="s">
        <x:v>4694</x:v>
      </x:c>
      <x:c r="B721" s="7" t="s">
        <x:v>4695</x:v>
      </x:c>
      <x:c r="C721" s="7" t="s">
        <x:v>4696</x:v>
      </x:c>
      <x:c r="D721" s="7" t="s">
        <x:v>55</x:v>
      </x:c>
      <x:c r="E721" s="7" t="s">
        <x:v>4697</x:v>
      </x:c>
      <x:c r="F721" s="10">
        <x:v>14.83506</x:v>
      </x:c>
      <x:c r="G721" s="10">
        <x:v>99.66543</x:v>
      </x:c>
      <x:c r="H721" s="7" t="s">
        <x:v>1554</x:v>
      </x:c>
      <x:c r="I721" s="10">
        <x:v>62.43</x:v>
      </x:c>
      <x:c r="J721" s="41"/>
      <x:c r="K721" s="41"/>
      <x:c r="L721" s="41"/>
      <x:c r="M721" s="10"/>
      <x:c r="N721" s="7" t="s">
        <x:v>4142</x:v>
      </x:c>
      <x:c r="O721" s="7" t="s">
        <x:v>1539</x:v>
      </x:c>
      <x:c r="P721" s="10">
        <x:v>2.0</x:v>
      </x:c>
      <x:c r="Q721" s="41"/>
      <x:c r="R721" s="10">
        <x:v>12.4</x:v>
      </x:c>
      <x:c r="S721" s="7" t="s">
        <x:v>1540</x:v>
      </x:c>
      <x:c r="T721" s="7" t="b">
        <x:v>0</x:v>
      </x:c>
      <x:c r="U721" s="7" t="s">
        <x:v>1541</x:v>
      </x:c>
      <x:c r="V721" s="26" t="s">
        <x:v>1542</x:v>
      </x:c>
      <x:c r="W721" s="7" t="s">
        <x:v>4698</x:v>
      </x:c>
      <x:c r="X721" s="41"/>
      <x:c r="Y721" s="41"/>
      <x:c r="Z721" s="41"/>
    </x:row>
    <x:row r="722">
      <x:c r="A722" s="7" t="s">
        <x:v>4699</x:v>
      </x:c>
      <x:c r="B722" s="7" t="s">
        <x:v>4700</x:v>
      </x:c>
      <x:c r="C722" s="7" t="s">
        <x:v>4701</x:v>
      </x:c>
      <x:c r="D722" s="7" t="s">
        <x:v>260</x:v>
      </x:c>
      <x:c r="E722" s="7" t="s">
        <x:v>4702</x:v>
      </x:c>
      <x:c r="F722" s="10">
        <x:v>6.47481</x:v>
      </x:c>
      <x:c r="G722" s="10">
        <x:v>101.139521</x:v>
      </x:c>
      <x:c r="H722" s="7" t="s">
        <x:v>1658</x:v>
      </x:c>
      <x:c r="I722" s="10">
        <x:v>22.93</x:v>
      </x:c>
      <x:c r="J722" s="41"/>
      <x:c r="K722" s="41"/>
      <x:c r="L722" s="41"/>
      <x:c r="M722" s="10">
        <x:v>26.9</x:v>
      </x:c>
      <x:c r="N722" s="7" t="s">
        <x:v>4142</x:v>
      </x:c>
      <x:c r="O722" s="7" t="s">
        <x:v>1539</x:v>
      </x:c>
      <x:c r="P722" s="10">
        <x:v>2.0</x:v>
      </x:c>
      <x:c r="Q722" s="41"/>
      <x:c r="R722" s="10">
        <x:v>22.4</x:v>
      </x:c>
      <x:c r="S722" s="7" t="s">
        <x:v>1540</x:v>
      </x:c>
      <x:c r="T722" s="7" t="b">
        <x:v>0</x:v>
      </x:c>
      <x:c r="U722" s="7" t="s">
        <x:v>1541</x:v>
      </x:c>
      <x:c r="V722" s="26" t="s">
        <x:v>1542</x:v>
      </x:c>
      <x:c r="W722" s="7" t="s">
        <x:v>4703</x:v>
      </x:c>
      <x:c r="X722" s="41"/>
      <x:c r="Y722" s="41"/>
      <x:c r="Z722" s="41"/>
    </x:row>
    <x:row r="723">
      <x:c r="A723" s="7" t="s">
        <x:v>4704</x:v>
      </x:c>
      <x:c r="B723" s="7" t="s">
        <x:v>4705</x:v>
      </x:c>
      <x:c r="C723" s="7" t="s">
        <x:v>4706</x:v>
      </x:c>
      <x:c r="D723" s="7" t="s">
        <x:v>255</x:v>
      </x:c>
      <x:c r="E723" s="7" t="s">
        <x:v>4707</x:v>
      </x:c>
      <x:c r="F723" s="10">
        <x:v>6.98306</x:v>
      </x:c>
      <x:c r="G723" s="10">
        <x:v>100.328331</x:v>
      </x:c>
      <x:c r="H723" s="7" t="s">
        <x:v>1548</x:v>
      </x:c>
      <x:c r="I723" s="10">
        <x:v>17.78</x:v>
      </x:c>
      <x:c r="J723" s="41"/>
      <x:c r="K723" s="41"/>
      <x:c r="L723" s="41"/>
      <x:c r="M723" s="10"/>
      <x:c r="N723" s="7" t="s">
        <x:v>4142</x:v>
      </x:c>
      <x:c r="O723" s="7" t="s">
        <x:v>1539</x:v>
      </x:c>
      <x:c r="P723" s="10">
        <x:v>2.0</x:v>
      </x:c>
      <x:c r="Q723" s="41"/>
      <x:c r="R723" s="10">
        <x:v>82.4</x:v>
      </x:c>
      <x:c r="S723" s="7" t="s">
        <x:v>301</x:v>
      </x:c>
      <x:c r="T723" s="7" t="b">
        <x:v>0</x:v>
      </x:c>
      <x:c r="U723" s="7" t="s">
        <x:v>1541</x:v>
      </x:c>
      <x:c r="V723" s="26" t="s">
        <x:v>1542</x:v>
      </x:c>
      <x:c r="W723" s="7" t="s">
        <x:v>4708</x:v>
      </x:c>
      <x:c r="X723" s="41"/>
      <x:c r="Y723" s="41"/>
      <x:c r="Z723" s="41"/>
    </x:row>
    <x:row r="724">
      <x:c r="A724" s="7" t="s">
        <x:v>4709</x:v>
      </x:c>
      <x:c r="B724" s="7" t="s">
        <x:v>4710</x:v>
      </x:c>
      <x:c r="C724" s="7" t="s">
        <x:v>4711</x:v>
      </x:c>
      <x:c r="D724" s="7" t="s">
        <x:v>31</x:v>
      </x:c>
      <x:c r="E724" s="7" t="s">
        <x:v>4712</x:v>
      </x:c>
      <x:c r="F724" s="10">
        <x:v>16.327471</x:v>
      </x:c>
      <x:c r="G724" s="10">
        <x:v>100.801727</x:v>
      </x:c>
      <x:c r="H724" s="7" t="s">
        <x:v>1548</x:v>
      </x:c>
      <x:c r="I724" s="10">
        <x:v>104.34</x:v>
      </x:c>
      <x:c r="J724" s="41"/>
      <x:c r="K724" s="41"/>
      <x:c r="L724" s="41"/>
      <x:c r="M724" s="10"/>
      <x:c r="N724" s="7" t="s">
        <x:v>4142</x:v>
      </x:c>
      <x:c r="O724" s="7" t="s">
        <x:v>1539</x:v>
      </x:c>
      <x:c r="P724" s="10">
        <x:v>2.0</x:v>
      </x:c>
      <x:c r="Q724" s="41"/>
      <x:c r="R724" s="10">
        <x:v>82.4</x:v>
      </x:c>
      <x:c r="S724" s="7" t="s">
        <x:v>301</x:v>
      </x:c>
      <x:c r="T724" s="7" t="b">
        <x:v>0</x:v>
      </x:c>
      <x:c r="U724" s="7" t="s">
        <x:v>1541</x:v>
      </x:c>
      <x:c r="V724" s="26" t="s">
        <x:v>1542</x:v>
      </x:c>
      <x:c r="W724" s="7" t="s">
        <x:v>4713</x:v>
      </x:c>
      <x:c r="X724" s="41"/>
      <x:c r="Y724" s="41"/>
      <x:c r="Z724" s="41"/>
    </x:row>
    <x:row r="725">
      <x:c r="A725" s="7" t="s">
        <x:v>4714</x:v>
      </x:c>
      <x:c r="B725" s="7" t="s">
        <x:v>4715</x:v>
      </x:c>
      <x:c r="C725" s="7" t="s">
        <x:v>4716</x:v>
      </x:c>
      <x:c r="D725" s="7" t="s">
        <x:v>217</x:v>
      </x:c>
      <x:c r="E725" s="7" t="s">
        <x:v>4716</x:v>
      </x:c>
      <x:c r="F725" s="10">
        <x:v>17.792339</x:v>
      </x:c>
      <x:c r="G725" s="10">
        <x:v>99.787033</x:v>
      </x:c>
      <x:c r="H725" s="7" t="s">
        <x:v>1548</x:v>
      </x:c>
      <x:c r="I725" s="10">
        <x:v>115.08</x:v>
      </x:c>
      <x:c r="J725" s="41"/>
      <x:c r="K725" s="41"/>
      <x:c r="L725" s="41"/>
      <x:c r="M725" s="10"/>
      <x:c r="N725" s="7" t="s">
        <x:v>4142</x:v>
      </x:c>
      <x:c r="O725" s="7" t="s">
        <x:v>1539</x:v>
      </x:c>
      <x:c r="P725" s="10">
        <x:v>2.0</x:v>
      </x:c>
      <x:c r="Q725" s="41"/>
      <x:c r="R725" s="10">
        <x:v>82.4</x:v>
      </x:c>
      <x:c r="S725" s="7" t="s">
        <x:v>301</x:v>
      </x:c>
      <x:c r="T725" s="7" t="b">
        <x:v>0</x:v>
      </x:c>
      <x:c r="U725" s="7" t="s">
        <x:v>1541</x:v>
      </x:c>
      <x:c r="V725" s="26" t="s">
        <x:v>1542</x:v>
      </x:c>
      <x:c r="W725" s="7" t="s">
        <x:v>4717</x:v>
      </x:c>
      <x:c r="X725" s="41"/>
      <x:c r="Y725" s="41"/>
      <x:c r="Z725" s="41"/>
    </x:row>
    <x:row r="726">
      <x:c r="A726" s="7" t="s">
        <x:v>4718</x:v>
      </x:c>
      <x:c r="B726" s="7" t="s">
        <x:v>4719</x:v>
      </x:c>
      <x:c r="C726" s="7" t="s">
        <x:v>4720</x:v>
      </x:c>
      <x:c r="D726" s="7" t="s">
        <x:v>207</x:v>
      </x:c>
      <x:c r="E726" s="7" t="s">
        <x:v>4721</x:v>
      </x:c>
      <x:c r="F726" s="10">
        <x:v>19.284189</x:v>
      </x:c>
      <x:c r="G726" s="10">
        <x:v>99.186943</x:v>
      </x:c>
      <x:c r="H726" s="7" t="s">
        <x:v>1777</x:v>
      </x:c>
      <x:c r="I726" s="10">
        <x:v>409.2</x:v>
      </x:c>
      <x:c r="J726" s="41"/>
      <x:c r="K726" s="41"/>
      <x:c r="L726" s="41"/>
      <x:c r="M726" s="41"/>
      <x:c r="N726" s="7" t="s">
        <x:v>4142</x:v>
      </x:c>
      <x:c r="O726" s="7" t="s">
        <x:v>1539</x:v>
      </x:c>
      <x:c r="P726" s="10">
        <x:v>2.0</x:v>
      </x:c>
      <x:c r="Q726" s="41"/>
      <x:c r="R726" s="10">
        <x:v>562.4</x:v>
      </x:c>
      <x:c r="S726" s="7" t="s">
        <x:v>301</x:v>
      </x:c>
      <x:c r="T726" s="7" t="b">
        <x:v>0</x:v>
      </x:c>
      <x:c r="U726" s="7" t="s">
        <x:v>1541</x:v>
      </x:c>
      <x:c r="V726" s="26" t="s">
        <x:v>1542</x:v>
      </x:c>
      <x:c r="W726" s="7" t="s">
        <x:v>4722</x:v>
      </x:c>
      <x:c r="X726" s="41"/>
      <x:c r="Y726" s="41"/>
      <x:c r="Z726" s="41"/>
    </x:row>
    <x:row r="727">
      <x:c r="A727" s="7" t="s">
        <x:v>4723</x:v>
      </x:c>
      <x:c r="B727" s="7" t="s">
        <x:v>4724</x:v>
      </x:c>
      <x:c r="C727" s="7" t="s">
        <x:v>4725</x:v>
      </x:c>
      <x:c r="D727" s="7" t="s">
        <x:v>259</x:v>
      </x:c>
      <x:c r="E727" s="7" t="s">
        <x:v>2321</x:v>
      </x:c>
      <x:c r="F727" s="10">
        <x:v>6.866</x:v>
      </x:c>
      <x:c r="G727" s="10">
        <x:v>101.252129</x:v>
      </x:c>
      <x:c r="H727" s="7" t="s">
        <x:v>1548</x:v>
      </x:c>
      <x:c r="I727" s="10">
        <x:v>0.16</x:v>
      </x:c>
      <x:c r="J727" s="41"/>
      <x:c r="K727" s="41"/>
      <x:c r="L727" s="41"/>
      <x:c r="M727" s="10">
        <x:v>1.15</x:v>
      </x:c>
      <x:c r="N727" s="7" t="s">
        <x:v>4142</x:v>
      </x:c>
      <x:c r="O727" s="7" t="s">
        <x:v>1539</x:v>
      </x:c>
      <x:c r="P727" s="10">
        <x:v>2.0</x:v>
      </x:c>
      <x:c r="Q727" s="41"/>
      <x:c r="R727" s="10">
        <x:v>82.4</x:v>
      </x:c>
      <x:c r="S727" s="7" t="s">
        <x:v>301</x:v>
      </x:c>
      <x:c r="T727" s="7" t="b">
        <x:v>0</x:v>
      </x:c>
      <x:c r="U727" s="7" t="s">
        <x:v>1541</x:v>
      </x:c>
      <x:c r="V727" s="26" t="s">
        <x:v>1542</x:v>
      </x:c>
      <x:c r="W727" s="7" t="s">
        <x:v>4726</x:v>
      </x:c>
      <x:c r="X727" s="41"/>
      <x:c r="Y727" s="41"/>
      <x:c r="Z727" s="41"/>
    </x:row>
    <x:row r="728">
      <x:c r="A728" s="7" t="s">
        <x:v>4727</x:v>
      </x:c>
      <x:c r="B728" s="7" t="s">
        <x:v>4728</x:v>
      </x:c>
      <x:c r="C728" s="7" t="s">
        <x:v>4729</x:v>
      </x:c>
      <x:c r="D728" s="7" t="s">
        <x:v>210</x:v>
      </x:c>
      <x:c r="E728" s="7" t="s">
        <x:v>4730</x:v>
      </x:c>
      <x:c r="F728" s="10">
        <x:v>19.286142</x:v>
      </x:c>
      <x:c r="G728" s="10">
        <x:v>100.90128</x:v>
      </x:c>
      <x:c r="H728" s="7" t="s">
        <x:v>1554</x:v>
      </x:c>
      <x:c r="I728" s="10">
        <x:v>266.18</x:v>
      </x:c>
      <x:c r="J728" s="41"/>
      <x:c r="K728" s="41"/>
      <x:c r="L728" s="41"/>
      <x:c r="M728" s="41"/>
      <x:c r="N728" s="7" t="s">
        <x:v>4142</x:v>
      </x:c>
      <x:c r="O728" s="7" t="s">
        <x:v>1539</x:v>
      </x:c>
      <x:c r="P728" s="10">
        <x:v>2.0</x:v>
      </x:c>
      <x:c r="Q728" s="41"/>
      <x:c r="R728" s="10">
        <x:v>12.4</x:v>
      </x:c>
      <x:c r="S728" s="7" t="s">
        <x:v>1540</x:v>
      </x:c>
      <x:c r="T728" s="7" t="b">
        <x:v>0</x:v>
      </x:c>
      <x:c r="U728" s="7" t="s">
        <x:v>1541</x:v>
      </x:c>
      <x:c r="V728" s="26" t="s">
        <x:v>1542</x:v>
      </x:c>
      <x:c r="W728" s="7" t="s">
        <x:v>4731</x:v>
      </x:c>
      <x:c r="X728" s="41"/>
      <x:c r="Y728" s="41"/>
      <x:c r="Z728" s="41"/>
    </x:row>
    <x:row r="729">
      <x:c r="A729" s="7" t="s">
        <x:v>4732</x:v>
      </x:c>
      <x:c r="B729" s="7" t="s">
        <x:v>4733</x:v>
      </x:c>
      <x:c r="C729" s="7" t="s">
        <x:v>4734</x:v>
      </x:c>
      <x:c r="D729" s="7" t="s">
        <x:v>207</x:v>
      </x:c>
      <x:c r="E729" s="7" t="s">
        <x:v>4735</x:v>
      </x:c>
      <x:c r="F729" s="10">
        <x:v>18.916401</x:v>
      </x:c>
      <x:c r="G729" s="10">
        <x:v>99.235817</x:v>
      </x:c>
      <x:c r="H729" s="7" t="s">
        <x:v>3065</x:v>
      </x:c>
      <x:c r="I729" s="10">
        <x:v>455.54</x:v>
      </x:c>
      <x:c r="J729" s="41"/>
      <x:c r="K729" s="41"/>
      <x:c r="L729" s="41"/>
      <x:c r="M729" s="10"/>
      <x:c r="N729" s="7" t="s">
        <x:v>4142</x:v>
      </x:c>
      <x:c r="O729" s="7" t="s">
        <x:v>1539</x:v>
      </x:c>
      <x:c r="P729" s="10">
        <x:v>2.0</x:v>
      </x:c>
      <x:c r="Q729" s="41"/>
      <x:c r="R729" s="10">
        <x:v>262.4</x:v>
      </x:c>
      <x:c r="S729" s="7" t="s">
        <x:v>301</x:v>
      </x:c>
      <x:c r="T729" s="7" t="b">
        <x:v>0</x:v>
      </x:c>
      <x:c r="U729" s="7" t="s">
        <x:v>1541</x:v>
      </x:c>
      <x:c r="V729" s="26" t="s">
        <x:v>1542</x:v>
      </x:c>
      <x:c r="W729" s="7" t="s">
        <x:v>4736</x:v>
      </x:c>
      <x:c r="X729" s="41"/>
      <x:c r="Y729" s="41"/>
      <x:c r="Z729" s="41"/>
    </x:row>
    <x:row r="730">
      <x:c r="A730" s="7" t="s">
        <x:v>4737</x:v>
      </x:c>
      <x:c r="B730" s="7" t="s">
        <x:v>4738</x:v>
      </x:c>
      <x:c r="C730" s="7" t="s">
        <x:v>4739</x:v>
      </x:c>
      <x:c r="D730" s="7" t="s">
        <x:v>250</x:v>
      </x:c>
      <x:c r="E730" s="7" t="s">
        <x:v>4740</x:v>
      </x:c>
      <x:c r="F730" s="10">
        <x:v>7.9034</x:v>
      </x:c>
      <x:c r="G730" s="10">
        <x:v>98.349678</x:v>
      </x:c>
      <x:c r="H730" s="7" t="s">
        <x:v>1548</x:v>
      </x:c>
      <x:c r="I730" s="10">
        <x:v>14.37</x:v>
      </x:c>
      <x:c r="J730" s="41"/>
      <x:c r="K730" s="41"/>
      <x:c r="L730" s="41"/>
      <x:c r="M730" s="41"/>
      <x:c r="N730" s="7" t="s">
        <x:v>4142</x:v>
      </x:c>
      <x:c r="O730" s="7" t="s">
        <x:v>1539</x:v>
      </x:c>
      <x:c r="P730" s="10">
        <x:v>2.0</x:v>
      </x:c>
      <x:c r="Q730" s="41"/>
      <x:c r="R730" s="10">
        <x:v>82.4</x:v>
      </x:c>
      <x:c r="S730" s="7" t="s">
        <x:v>301</x:v>
      </x:c>
      <x:c r="T730" s="7" t="b">
        <x:v>0</x:v>
      </x:c>
      <x:c r="U730" s="7" t="s">
        <x:v>1541</x:v>
      </x:c>
      <x:c r="V730" s="26" t="s">
        <x:v>1542</x:v>
      </x:c>
      <x:c r="W730" s="7" t="s">
        <x:v>4741</x:v>
      </x:c>
      <x:c r="X730" s="41"/>
      <x:c r="Y730" s="41"/>
      <x:c r="Z730" s="41"/>
    </x:row>
    <x:row r="731">
      <x:c r="A731" s="7" t="s">
        <x:v>4742</x:v>
      </x:c>
      <x:c r="B731" s="7" t="s">
        <x:v>4743</x:v>
      </x:c>
      <x:c r="C731" s="7" t="s">
        <x:v>4744</x:v>
      </x:c>
      <x:c r="D731" s="7" t="s">
        <x:v>261</x:v>
      </x:c>
      <x:c r="E731" s="7" t="s">
        <x:v>2239</x:v>
      </x:c>
      <x:c r="F731" s="10">
        <x:v>6.227293</x:v>
      </x:c>
      <x:c r="G731" s="10">
        <x:v>101.49695</x:v>
      </x:c>
      <x:c r="H731" s="7" t="s">
        <x:v>1554</x:v>
      </x:c>
      <x:c r="I731" s="10">
        <x:v>24.08</x:v>
      </x:c>
      <x:c r="J731" s="41"/>
      <x:c r="K731" s="41"/>
      <x:c r="L731" s="41"/>
      <x:c r="M731" s="41"/>
      <x:c r="N731" s="7" t="s">
        <x:v>4142</x:v>
      </x:c>
      <x:c r="O731" s="7" t="s">
        <x:v>1539</x:v>
      </x:c>
      <x:c r="P731" s="10">
        <x:v>2.0</x:v>
      </x:c>
      <x:c r="Q731" s="41"/>
      <x:c r="R731" s="10">
        <x:v>12.4</x:v>
      </x:c>
      <x:c r="S731" s="7" t="s">
        <x:v>1540</x:v>
      </x:c>
      <x:c r="T731" s="7" t="b">
        <x:v>0</x:v>
      </x:c>
      <x:c r="U731" s="7" t="s">
        <x:v>1541</x:v>
      </x:c>
      <x:c r="V731" s="26" t="s">
        <x:v>1542</x:v>
      </x:c>
      <x:c r="W731" s="7" t="s">
        <x:v>4745</x:v>
      </x:c>
      <x:c r="X731" s="41"/>
      <x:c r="Y731" s="41"/>
      <x:c r="Z731" s="41"/>
    </x:row>
    <x:row r="732">
      <x:c r="A732" s="7" t="s">
        <x:v>4746</x:v>
      </x:c>
      <x:c r="B732" s="7" t="s">
        <x:v>4747</x:v>
      </x:c>
      <x:c r="C732" s="7" t="s">
        <x:v>4748</x:v>
      </x:c>
      <x:c r="D732" s="7" t="s">
        <x:v>233</x:v>
      </x:c>
      <x:c r="E732" s="7"/>
      <x:c r="F732" s="10">
        <x:v>17.39577</x:v>
      </x:c>
      <x:c r="G732" s="10">
        <x:v>103.30043</x:v>
      </x:c>
      <x:c r="H732" s="7" t="s">
        <x:v>1554</x:v>
      </x:c>
      <x:c r="I732" s="10">
        <x:v>164.17</x:v>
      </x:c>
      <x:c r="J732" s="41"/>
      <x:c r="K732" s="41"/>
      <x:c r="L732" s="41"/>
      <x:c r="M732" s="10"/>
      <x:c r="N732" s="7" t="s">
        <x:v>4142</x:v>
      </x:c>
      <x:c r="O732" s="7" t="s">
        <x:v>1539</x:v>
      </x:c>
      <x:c r="P732" s="10">
        <x:v>2.0</x:v>
      </x:c>
      <x:c r="Q732" s="41"/>
      <x:c r="R732" s="10">
        <x:v>12.4</x:v>
      </x:c>
      <x:c r="S732" s="7" t="s">
        <x:v>1540</x:v>
      </x:c>
      <x:c r="T732" s="7" t="b">
        <x:v>0</x:v>
      </x:c>
      <x:c r="U732" s="7" t="s">
        <x:v>1541</x:v>
      </x:c>
      <x:c r="V732" s="26" t="s">
        <x:v>1542</x:v>
      </x:c>
      <x:c r="W732" s="7" t="s">
        <x:v>4749</x:v>
      </x:c>
      <x:c r="X732" s="41"/>
      <x:c r="Y732" s="41"/>
      <x:c r="Z732" s="41"/>
    </x:row>
    <x:row r="733">
      <x:c r="A733" s="7" t="s">
        <x:v>4750</x:v>
      </x:c>
      <x:c r="B733" s="7" t="s">
        <x:v>4751</x:v>
      </x:c>
      <x:c r="C733" s="7" t="s">
        <x:v>4752</x:v>
      </x:c>
      <x:c r="D733" s="7" t="s">
        <x:v>258</x:v>
      </x:c>
      <x:c r="E733" s="7" t="s">
        <x:v>2133</x:v>
      </x:c>
      <x:c r="F733" s="10">
        <x:v>7.70724</x:v>
      </x:c>
      <x:c r="G733" s="10">
        <x:v>99.841743</x:v>
      </x:c>
      <x:c r="H733" s="7" t="s">
        <x:v>1548</x:v>
      </x:c>
      <x:c r="I733" s="10">
        <x:v>50.49</x:v>
      </x:c>
      <x:c r="J733" s="41"/>
      <x:c r="K733" s="41"/>
      <x:c r="L733" s="41"/>
      <x:c r="M733" s="10"/>
      <x:c r="N733" s="7" t="s">
        <x:v>4142</x:v>
      </x:c>
      <x:c r="O733" s="7" t="s">
        <x:v>1539</x:v>
      </x:c>
      <x:c r="P733" s="10">
        <x:v>2.0</x:v>
      </x:c>
      <x:c r="Q733" s="41"/>
      <x:c r="R733" s="10">
        <x:v>82.4</x:v>
      </x:c>
      <x:c r="S733" s="7" t="s">
        <x:v>301</x:v>
      </x:c>
      <x:c r="T733" s="7" t="b">
        <x:v>0</x:v>
      </x:c>
      <x:c r="U733" s="7" t="s">
        <x:v>1541</x:v>
      </x:c>
      <x:c r="V733" s="26" t="s">
        <x:v>1542</x:v>
      </x:c>
      <x:c r="W733" s="7" t="s">
        <x:v>4753</x:v>
      </x:c>
      <x:c r="X733" s="41"/>
      <x:c r="Y733" s="41"/>
      <x:c r="Z733" s="41"/>
    </x:row>
    <x:row r="734">
      <x:c r="A734" s="7" t="s">
        <x:v>4754</x:v>
      </x:c>
      <x:c r="B734" s="7" t="s">
        <x:v>4755</x:v>
      </x:c>
      <x:c r="C734" s="7" t="s">
        <x:v>4756</x:v>
      </x:c>
      <x:c r="D734" s="7" t="s">
        <x:v>210</x:v>
      </x:c>
      <x:c r="E734" s="7" t="s">
        <x:v>2084</x:v>
      </x:c>
      <x:c r="F734" s="10">
        <x:v>19.015332</x:v>
      </x:c>
      <x:c r="G734" s="10">
        <x:v>100.780161</x:v>
      </x:c>
      <x:c r="H734" s="7" t="s">
        <x:v>1658</x:v>
      </x:c>
      <x:c r="I734" s="10">
        <x:v>212.41</x:v>
      </x:c>
      <x:c r="J734" s="41"/>
      <x:c r="K734" s="41"/>
      <x:c r="L734" s="41"/>
      <x:c r="M734" s="10">
        <x:v>220.4</x:v>
      </x:c>
      <x:c r="N734" s="7" t="s">
        <x:v>4142</x:v>
      </x:c>
      <x:c r="O734" s="7" t="s">
        <x:v>1539</x:v>
      </x:c>
      <x:c r="P734" s="10">
        <x:v>2.0</x:v>
      </x:c>
      <x:c r="Q734" s="41"/>
      <x:c r="R734" s="10">
        <x:v>22.4</x:v>
      </x:c>
      <x:c r="S734" s="7" t="s">
        <x:v>1540</x:v>
      </x:c>
      <x:c r="T734" s="7" t="b">
        <x:v>0</x:v>
      </x:c>
      <x:c r="U734" s="7" t="s">
        <x:v>1541</x:v>
      </x:c>
      <x:c r="V734" s="26" t="s">
        <x:v>1542</x:v>
      </x:c>
      <x:c r="W734" s="7" t="s">
        <x:v>4757</x:v>
      </x:c>
      <x:c r="X734" s="41"/>
      <x:c r="Y734" s="41"/>
      <x:c r="Z734" s="41"/>
    </x:row>
    <x:row r="735">
      <x:c r="A735" s="7" t="s">
        <x:v>4758</x:v>
      </x:c>
      <x:c r="B735" s="7" t="s">
        <x:v>4759</x:v>
      </x:c>
      <x:c r="C735" s="7" t="s">
        <x:v>4760</x:v>
      </x:c>
      <x:c r="D735" s="7" t="s">
        <x:v>118</x:v>
      </x:c>
      <x:c r="E735" s="7" t="s">
        <x:v>2589</x:v>
      </x:c>
      <x:c r="F735" s="10">
        <x:v>16.293755</x:v>
      </x:c>
      <x:c r="G735" s="10">
        <x:v>101.904798</x:v>
      </x:c>
      <x:c r="H735" s="7" t="s">
        <x:v>1548</x:v>
      </x:c>
      <x:c r="I735" s="10">
        <x:v>228.14</x:v>
      </x:c>
      <x:c r="J735" s="41"/>
      <x:c r="K735" s="41"/>
      <x:c r="L735" s="41"/>
      <x:c r="M735" s="10"/>
      <x:c r="N735" s="7" t="s">
        <x:v>4142</x:v>
      </x:c>
      <x:c r="O735" s="7" t="s">
        <x:v>1539</x:v>
      </x:c>
      <x:c r="P735" s="10">
        <x:v>2.0</x:v>
      </x:c>
      <x:c r="Q735" s="41"/>
      <x:c r="R735" s="10">
        <x:v>82.4</x:v>
      </x:c>
      <x:c r="S735" s="7" t="s">
        <x:v>301</x:v>
      </x:c>
      <x:c r="T735" s="7" t="b">
        <x:v>0</x:v>
      </x:c>
      <x:c r="U735" s="7" t="s">
        <x:v>1541</x:v>
      </x:c>
      <x:c r="V735" s="26" t="s">
        <x:v>1542</x:v>
      </x:c>
      <x:c r="W735" s="7" t="s">
        <x:v>4761</x:v>
      </x:c>
      <x:c r="X735" s="41"/>
      <x:c r="Y735" s="41"/>
      <x:c r="Z735" s="41"/>
    </x:row>
    <x:row r="736">
      <x:c r="A736" s="7" t="s">
        <x:v>4762</x:v>
      </x:c>
      <x:c r="B736" s="7" t="s">
        <x:v>4763</x:v>
      </x:c>
      <x:c r="C736" s="7" t="s">
        <x:v>4764</x:v>
      </x:c>
      <x:c r="D736" s="7" t="s">
        <x:v>235</x:v>
      </x:c>
      <x:c r="E736" s="7" t="s">
        <x:v>2281</x:v>
      </x:c>
      <x:c r="F736" s="10">
        <x:v>16.927904</x:v>
      </x:c>
      <x:c r="G736" s="10">
        <x:v>104.72032</x:v>
      </x:c>
      <x:c r="H736" s="7" t="s">
        <x:v>1554</x:v>
      </x:c>
      <x:c r="I736" s="10">
        <x:v>133.45</x:v>
      </x:c>
      <x:c r="J736" s="41"/>
      <x:c r="K736" s="41"/>
      <x:c r="L736" s="41"/>
      <x:c r="M736" s="41"/>
      <x:c r="N736" s="7" t="s">
        <x:v>4142</x:v>
      </x:c>
      <x:c r="O736" s="7" t="s">
        <x:v>1539</x:v>
      </x:c>
      <x:c r="P736" s="10">
        <x:v>2.0</x:v>
      </x:c>
      <x:c r="Q736" s="41"/>
      <x:c r="R736" s="10">
        <x:v>12.4</x:v>
      </x:c>
      <x:c r="S736" s="7" t="s">
        <x:v>1540</x:v>
      </x:c>
      <x:c r="T736" s="7" t="b">
        <x:v>0</x:v>
      </x:c>
      <x:c r="U736" s="7" t="s">
        <x:v>1541</x:v>
      </x:c>
      <x:c r="V736" s="26" t="s">
        <x:v>1542</x:v>
      </x:c>
      <x:c r="W736" s="7" t="s">
        <x:v>4765</x:v>
      </x:c>
      <x:c r="X736" s="41"/>
      <x:c r="Y736" s="41"/>
      <x:c r="Z736" s="41"/>
    </x:row>
    <x:row r="737">
      <x:c r="A737" s="7" t="s">
        <x:v>4766</x:v>
      </x:c>
      <x:c r="B737" s="7" t="s">
        <x:v>4767</x:v>
      </x:c>
      <x:c r="C737" s="7" t="s">
        <x:v>4768</x:v>
      </x:c>
      <x:c r="D737" s="7" t="s">
        <x:v>249</x:v>
      </x:c>
      <x:c r="E737" s="7" t="s">
        <x:v>4769</x:v>
      </x:c>
      <x:c r="F737" s="10">
        <x:v>9.155624</x:v>
      </x:c>
      <x:c r="G737" s="10">
        <x:v>98.895035</x:v>
      </x:c>
      <x:c r="H737" s="7" t="s">
        <x:v>1554</x:v>
      </x:c>
      <x:c r="I737" s="10">
        <x:v>77.92</x:v>
      </x:c>
      <x:c r="J737" s="41"/>
      <x:c r="K737" s="41"/>
      <x:c r="L737" s="41"/>
      <x:c r="M737" s="10"/>
      <x:c r="N737" s="7" t="s">
        <x:v>4142</x:v>
      </x:c>
      <x:c r="O737" s="7" t="s">
        <x:v>1539</x:v>
      </x:c>
      <x:c r="P737" s="10">
        <x:v>2.0</x:v>
      </x:c>
      <x:c r="Q737" s="41"/>
      <x:c r="R737" s="10">
        <x:v>12.4</x:v>
      </x:c>
      <x:c r="S737" s="7" t="s">
        <x:v>1540</x:v>
      </x:c>
      <x:c r="T737" s="7" t="b">
        <x:v>0</x:v>
      </x:c>
      <x:c r="U737" s="7" t="s">
        <x:v>1541</x:v>
      </x:c>
      <x:c r="V737" s="26" t="s">
        <x:v>1542</x:v>
      </x:c>
      <x:c r="W737" s="7" t="s">
        <x:v>4770</x:v>
      </x:c>
      <x:c r="X737" s="41"/>
      <x:c r="Y737" s="41"/>
      <x:c r="Z737" s="41"/>
    </x:row>
    <x:row r="738">
      <x:c r="A738" s="7" t="s">
        <x:v>4771</x:v>
      </x:c>
      <x:c r="B738" s="7" t="s">
        <x:v>4772</x:v>
      </x:c>
      <x:c r="C738" s="7" t="s">
        <x:v>4773</x:v>
      </x:c>
      <x:c r="D738" s="7" t="s">
        <x:v>55</x:v>
      </x:c>
      <x:c r="E738" s="7" t="s">
        <x:v>4774</x:v>
      </x:c>
      <x:c r="F738" s="10">
        <x:v>14.320748</x:v>
      </x:c>
      <x:c r="G738" s="10">
        <x:v>100.017395</x:v>
      </x:c>
      <x:c r="H738" s="7" t="s">
        <x:v>1554</x:v>
      </x:c>
      <x:c r="I738" s="10">
        <x:v>-1.22</x:v>
      </x:c>
      <x:c r="J738" s="41"/>
      <x:c r="K738" s="41"/>
      <x:c r="L738" s="41"/>
      <x:c r="M738" s="10"/>
      <x:c r="N738" s="7" t="s">
        <x:v>4142</x:v>
      </x:c>
      <x:c r="O738" s="7" t="s">
        <x:v>1539</x:v>
      </x:c>
      <x:c r="P738" s="10">
        <x:v>2.0</x:v>
      </x:c>
      <x:c r="Q738" s="41"/>
      <x:c r="R738" s="10">
        <x:v>12.4</x:v>
      </x:c>
      <x:c r="S738" s="7" t="s">
        <x:v>1540</x:v>
      </x:c>
      <x:c r="T738" s="7" t="b">
        <x:v>0</x:v>
      </x:c>
      <x:c r="U738" s="7" t="s">
        <x:v>1541</x:v>
      </x:c>
      <x:c r="V738" s="26" t="s">
        <x:v>1542</x:v>
      </x:c>
      <x:c r="W738" s="7" t="s">
        <x:v>4775</x:v>
      </x:c>
      <x:c r="X738" s="41"/>
      <x:c r="Y738" s="41"/>
      <x:c r="Z738" s="41"/>
    </x:row>
    <x:row r="739">
      <x:c r="A739" s="7" t="s">
        <x:v>4776</x:v>
      </x:c>
      <x:c r="B739" s="7" t="s">
        <x:v>4777</x:v>
      </x:c>
      <x:c r="C739" s="7" t="s">
        <x:v>4778</x:v>
      </x:c>
      <x:c r="D739" s="7" t="s">
        <x:v>209</x:v>
      </x:c>
      <x:c r="E739" s="7"/>
      <x:c r="F739" s="10">
        <x:v>17.801989</x:v>
      </x:c>
      <x:c r="G739" s="10">
        <x:v>99.849495</x:v>
      </x:c>
      <x:c r="H739" s="7" t="s">
        <x:v>1554</x:v>
      </x:c>
      <x:c r="I739" s="10">
        <x:v>144.47</x:v>
      </x:c>
      <x:c r="J739" s="41"/>
      <x:c r="K739" s="41"/>
      <x:c r="L739" s="41"/>
      <x:c r="M739" s="10"/>
      <x:c r="N739" s="7" t="s">
        <x:v>4142</x:v>
      </x:c>
      <x:c r="O739" s="7" t="s">
        <x:v>1539</x:v>
      </x:c>
      <x:c r="P739" s="10">
        <x:v>2.0</x:v>
      </x:c>
      <x:c r="Q739" s="41"/>
      <x:c r="R739" s="10">
        <x:v>12.4</x:v>
      </x:c>
      <x:c r="S739" s="7" t="s">
        <x:v>1540</x:v>
      </x:c>
      <x:c r="T739" s="7" t="b">
        <x:v>0</x:v>
      </x:c>
      <x:c r="U739" s="7" t="s">
        <x:v>1541</x:v>
      </x:c>
      <x:c r="V739" s="26" t="s">
        <x:v>1542</x:v>
      </x:c>
      <x:c r="W739" s="7" t="s">
        <x:v>4779</x:v>
      </x:c>
      <x:c r="X739" s="41"/>
      <x:c r="Y739" s="41"/>
      <x:c r="Z739" s="41"/>
    </x:row>
    <x:row r="740">
      <x:c r="A740" s="7" t="s">
        <x:v>4780</x:v>
      </x:c>
      <x:c r="B740" s="7" t="s">
        <x:v>4781</x:v>
      </x:c>
      <x:c r="C740" s="7" t="s">
        <x:v>4782</x:v>
      </x:c>
      <x:c r="D740" s="7" t="s">
        <x:v>248</x:v>
      </x:c>
      <x:c r="E740" s="7" t="s">
        <x:v>2668</x:v>
      </x:c>
      <x:c r="F740" s="10">
        <x:v>8.212035</x:v>
      </x:c>
      <x:c r="G740" s="10">
        <x:v>99.703316</x:v>
      </x:c>
      <x:c r="H740" s="7" t="s">
        <x:v>1554</x:v>
      </x:c>
      <x:c r="I740" s="10">
        <x:v>66.92</x:v>
      </x:c>
      <x:c r="J740" s="41"/>
      <x:c r="K740" s="41"/>
      <x:c r="L740" s="41"/>
      <x:c r="M740" s="41"/>
      <x:c r="N740" s="7" t="s">
        <x:v>4142</x:v>
      </x:c>
      <x:c r="O740" s="7" t="s">
        <x:v>1539</x:v>
      </x:c>
      <x:c r="P740" s="10">
        <x:v>2.0</x:v>
      </x:c>
      <x:c r="Q740" s="41"/>
      <x:c r="R740" s="10">
        <x:v>12.4</x:v>
      </x:c>
      <x:c r="S740" s="7" t="s">
        <x:v>1540</x:v>
      </x:c>
      <x:c r="T740" s="7" t="b">
        <x:v>0</x:v>
      </x:c>
      <x:c r="U740" s="7" t="s">
        <x:v>1541</x:v>
      </x:c>
      <x:c r="V740" s="26" t="s">
        <x:v>1542</x:v>
      </x:c>
      <x:c r="W740" s="7" t="s">
        <x:v>4783</x:v>
      </x:c>
      <x:c r="X740" s="41"/>
      <x:c r="Y740" s="41"/>
      <x:c r="Z740" s="41"/>
    </x:row>
    <x:row r="741">
      <x:c r="A741" s="7" t="s">
        <x:v>4784</x:v>
      </x:c>
      <x:c r="B741" s="7" t="s">
        <x:v>4785</x:v>
      </x:c>
      <x:c r="C741" s="7" t="s">
        <x:v>4786</x:v>
      </x:c>
      <x:c r="D741" s="7" t="s">
        <x:v>211</x:v>
      </x:c>
      <x:c r="E741" s="7" t="s">
        <x:v>4787</x:v>
      </x:c>
      <x:c r="F741" s="10">
        <x:v>19.228998</x:v>
      </x:c>
      <x:c r="G741" s="10">
        <x:v>100.326294</x:v>
      </x:c>
      <x:c r="H741" s="7" t="s">
        <x:v>1554</x:v>
      </x:c>
      <x:c r="I741" s="10">
        <x:v>310.58</x:v>
      </x:c>
      <x:c r="J741" s="41"/>
      <x:c r="K741" s="41"/>
      <x:c r="L741" s="41"/>
      <x:c r="M741" s="41"/>
      <x:c r="N741" s="7" t="s">
        <x:v>4142</x:v>
      </x:c>
      <x:c r="O741" s="7" t="s">
        <x:v>1539</x:v>
      </x:c>
      <x:c r="P741" s="10">
        <x:v>2.0</x:v>
      </x:c>
      <x:c r="Q741" s="41"/>
      <x:c r="R741" s="10">
        <x:v>12.4</x:v>
      </x:c>
      <x:c r="S741" s="7" t="s">
        <x:v>1540</x:v>
      </x:c>
      <x:c r="T741" s="7" t="b">
        <x:v>0</x:v>
      </x:c>
      <x:c r="U741" s="7" t="s">
        <x:v>1541</x:v>
      </x:c>
      <x:c r="V741" s="26" t="s">
        <x:v>1542</x:v>
      </x:c>
      <x:c r="W741" s="7" t="s">
        <x:v>4788</x:v>
      </x:c>
      <x:c r="X741" s="41"/>
      <x:c r="Y741" s="41"/>
      <x:c r="Z741" s="41"/>
    </x:row>
    <x:row r="742">
      <x:c r="A742" s="7" t="s">
        <x:v>4789</x:v>
      </x:c>
      <x:c r="B742" s="7" t="s">
        <x:v>4790</x:v>
      </x:c>
      <x:c r="C742" s="7" t="s">
        <x:v>4791</x:v>
      </x:c>
      <x:c r="D742" s="7" t="s">
        <x:v>234</x:v>
      </x:c>
      <x:c r="E742" s="7" t="s">
        <x:v>4792</x:v>
      </x:c>
      <x:c r="F742" s="10">
        <x:v>17.126015</x:v>
      </x:c>
      <x:c r="G742" s="10">
        <x:v>104.140945</x:v>
      </x:c>
      <x:c r="H742" s="7" t="s">
        <x:v>1554</x:v>
      </x:c>
      <x:c r="I742" s="10">
        <x:v>160.86</x:v>
      </x:c>
      <x:c r="J742" s="41"/>
      <x:c r="K742" s="41"/>
      <x:c r="L742" s="41"/>
      <x:c r="M742" s="10"/>
      <x:c r="N742" s="7" t="s">
        <x:v>4142</x:v>
      </x:c>
      <x:c r="O742" s="7" t="s">
        <x:v>1539</x:v>
      </x:c>
      <x:c r="P742" s="10">
        <x:v>2.0</x:v>
      </x:c>
      <x:c r="Q742" s="41"/>
      <x:c r="R742" s="10">
        <x:v>12.4</x:v>
      </x:c>
      <x:c r="S742" s="7" t="s">
        <x:v>1540</x:v>
      </x:c>
      <x:c r="T742" s="7" t="b">
        <x:v>0</x:v>
      </x:c>
      <x:c r="U742" s="7" t="s">
        <x:v>1541</x:v>
      </x:c>
      <x:c r="V742" s="26" t="s">
        <x:v>1542</x:v>
      </x:c>
      <x:c r="W742" s="7" t="s">
        <x:v>4793</x:v>
      </x:c>
      <x:c r="X742" s="41"/>
      <x:c r="Y742" s="41"/>
      <x:c r="Z742" s="41"/>
    </x:row>
    <x:row r="743">
      <x:c r="A743" s="7" t="s">
        <x:v>4794</x:v>
      </x:c>
      <x:c r="B743" s="7" t="s">
        <x:v>4795</x:v>
      </x:c>
      <x:c r="C743" s="7" t="s">
        <x:v>4796</x:v>
      </x:c>
      <x:c r="D743" s="7" t="s">
        <x:v>217</x:v>
      </x:c>
      <x:c r="E743" s="7"/>
      <x:c r="F743" s="10">
        <x:v>17.43854</x:v>
      </x:c>
      <x:c r="G743" s="10">
        <x:v>99.6882</x:v>
      </x:c>
      <x:c r="H743" s="7" t="s">
        <x:v>1554</x:v>
      </x:c>
      <x:c r="I743" s="10">
        <x:v>70.74</x:v>
      </x:c>
      <x:c r="J743" s="41"/>
      <x:c r="K743" s="41"/>
      <x:c r="L743" s="41"/>
      <x:c r="M743" s="10"/>
      <x:c r="N743" s="7" t="s">
        <x:v>4142</x:v>
      </x:c>
      <x:c r="O743" s="7" t="s">
        <x:v>1539</x:v>
      </x:c>
      <x:c r="P743" s="10">
        <x:v>2.0</x:v>
      </x:c>
      <x:c r="Q743" s="41"/>
      <x:c r="R743" s="10">
        <x:v>12.4</x:v>
      </x:c>
      <x:c r="S743" s="7" t="s">
        <x:v>1540</x:v>
      </x:c>
      <x:c r="T743" s="7" t="b">
        <x:v>0</x:v>
      </x:c>
      <x:c r="U743" s="7" t="s">
        <x:v>1541</x:v>
      </x:c>
      <x:c r="V743" s="26" t="s">
        <x:v>1542</x:v>
      </x:c>
      <x:c r="W743" s="7" t="s">
        <x:v>4797</x:v>
      </x:c>
      <x:c r="X743" s="41"/>
      <x:c r="Y743" s="41"/>
      <x:c r="Z743" s="41"/>
    </x:row>
    <x:row r="744">
      <x:c r="A744" s="7" t="s">
        <x:v>4798</x:v>
      </x:c>
      <x:c r="B744" s="7" t="s">
        <x:v>4799</x:v>
      </x:c>
      <x:c r="C744" s="7" t="s">
        <x:v>4800</x:v>
      </x:c>
      <x:c r="D744" s="7" t="s">
        <x:v>18</x:v>
      </x:c>
      <x:c r="E744" s="7"/>
      <x:c r="F744" s="10">
        <x:v>17.041879</x:v>
      </x:c>
      <x:c r="G744" s="10">
        <x:v>99.058188</x:v>
      </x:c>
      <x:c r="H744" s="7" t="s">
        <x:v>4801</x:v>
      </x:c>
      <x:c r="I744" s="10">
        <x:v>119.78</x:v>
      </x:c>
      <x:c r="J744" s="41"/>
      <x:c r="K744" s="41"/>
      <x:c r="L744" s="41"/>
      <x:c r="M744" s="10">
        <x:v>123.66</x:v>
      </x:c>
      <x:c r="N744" s="7" t="s">
        <x:v>4142</x:v>
      </x:c>
      <x:c r="O744" s="7" t="s">
        <x:v>1539</x:v>
      </x:c>
      <x:c r="P744" s="10">
        <x:v>2.0</x:v>
      </x:c>
      <x:c r="Q744" s="41"/>
      <x:c r="R744" s="10">
        <x:v>8722.4</x:v>
      </x:c>
      <x:c r="S744" s="7" t="s">
        <x:v>301</x:v>
      </x:c>
      <x:c r="T744" s="7" t="b">
        <x:v>0</x:v>
      </x:c>
      <x:c r="U744" s="7" t="s">
        <x:v>1541</x:v>
      </x:c>
      <x:c r="V744" s="26" t="s">
        <x:v>1542</x:v>
      </x:c>
      <x:c r="W744" s="7" t="s">
        <x:v>4802</x:v>
      </x:c>
      <x:c r="X744" s="41"/>
      <x:c r="Y744" s="41"/>
      <x:c r="Z744" s="41"/>
    </x:row>
    <x:row r="745">
      <x:c r="A745" s="7" t="s">
        <x:v>4803</x:v>
      </x:c>
      <x:c r="B745" s="7" t="s">
        <x:v>4804</x:v>
      </x:c>
      <x:c r="C745" s="7" t="s">
        <x:v>4805</x:v>
      </x:c>
      <x:c r="D745" s="7" t="s">
        <x:v>229</x:v>
      </x:c>
      <x:c r="E745" s="7" t="s">
        <x:v>4137</x:v>
      </x:c>
      <x:c r="F745" s="10">
        <x:v>16.65448</x:v>
      </x:c>
      <x:c r="G745" s="10">
        <x:v>102.823486</x:v>
      </x:c>
      <x:c r="H745" s="7" t="s">
        <x:v>1548</x:v>
      </x:c>
      <x:c r="I745" s="10">
        <x:v>151.63</x:v>
      </x:c>
      <x:c r="J745" s="41"/>
      <x:c r="K745" s="41"/>
      <x:c r="L745" s="41"/>
      <x:c r="M745" s="10"/>
      <x:c r="N745" s="7" t="s">
        <x:v>4142</x:v>
      </x:c>
      <x:c r="O745" s="7" t="s">
        <x:v>1539</x:v>
      </x:c>
      <x:c r="P745" s="10">
        <x:v>2.0</x:v>
      </x:c>
      <x:c r="Q745" s="41"/>
      <x:c r="R745" s="10">
        <x:v>82.4</x:v>
      </x:c>
      <x:c r="S745" s="7" t="s">
        <x:v>301</x:v>
      </x:c>
      <x:c r="T745" s="7" t="b">
        <x:v>0</x:v>
      </x:c>
      <x:c r="U745" s="7" t="s">
        <x:v>1541</x:v>
      </x:c>
      <x:c r="V745" s="26" t="s">
        <x:v>1542</x:v>
      </x:c>
      <x:c r="W745" s="7" t="s">
        <x:v>4806</x:v>
      </x:c>
      <x:c r="X745" s="41"/>
      <x:c r="Y745" s="41"/>
      <x:c r="Z745" s="41"/>
    </x:row>
    <x:row r="746">
      <x:c r="A746" s="7" t="s">
        <x:v>4807</x:v>
      </x:c>
      <x:c r="B746" s="7" t="s">
        <x:v>4808</x:v>
      </x:c>
      <x:c r="C746" s="7" t="s">
        <x:v>4809</x:v>
      </x:c>
      <x:c r="D746" s="7" t="s">
        <x:v>249</x:v>
      </x:c>
      <x:c r="E746" s="7"/>
      <x:c r="F746" s="10">
        <x:v>8.57104</x:v>
      </x:c>
      <x:c r="G746" s="10">
        <x:v>99.25391</x:v>
      </x:c>
      <x:c r="H746" s="7" t="s">
        <x:v>4810</x:v>
      </x:c>
      <x:c r="I746" s="10">
        <x:v>3.83</x:v>
      </x:c>
      <x:c r="J746" s="41"/>
      <x:c r="K746" s="41"/>
      <x:c r="L746" s="41"/>
      <x:c r="M746" s="10">
        <x:v>11.7</x:v>
      </x:c>
      <x:c r="N746" s="7" t="s">
        <x:v>1539</x:v>
      </x:c>
      <x:c r="O746" s="7" t="s">
        <x:v>1539</x:v>
      </x:c>
      <x:c r="P746" s="10">
        <x:v>1.0</x:v>
      </x:c>
      <x:c r="Q746" s="41"/>
      <x:c r="R746" s="10">
        <x:v>8542.4</x:v>
      </x:c>
      <x:c r="S746" s="7" t="s">
        <x:v>301</x:v>
      </x:c>
      <x:c r="T746" s="7" t="b">
        <x:v>0</x:v>
      </x:c>
      <x:c r="U746" s="7" t="s">
        <x:v>1541</x:v>
      </x:c>
      <x:c r="V746" s="26" t="s">
        <x:v>1542</x:v>
      </x:c>
      <x:c r="W746" s="7" t="s">
        <x:v>4811</x:v>
      </x:c>
      <x:c r="X746" s="41"/>
      <x:c r="Y746" s="41"/>
      <x:c r="Z746" s="41"/>
    </x:row>
    <x:row r="747">
      <x:c r="A747" s="7" t="s">
        <x:v>4812</x:v>
      </x:c>
      <x:c r="B747" s="7" t="s">
        <x:v>4813</x:v>
      </x:c>
      <x:c r="C747" s="7" t="s">
        <x:v>4814</x:v>
      </x:c>
      <x:c r="D747" s="7" t="s">
        <x:v>110</x:v>
      </x:c>
      <x:c r="E747" s="7" t="s">
        <x:v>4815</x:v>
      </x:c>
      <x:c r="F747" s="10">
        <x:v>12.7065</x:v>
      </x:c>
      <x:c r="G747" s="10">
        <x:v>102.415</x:v>
      </x:c>
      <x:c r="H747" s="7" t="s">
        <x:v>1658</x:v>
      </x:c>
      <x:c r="I747" s="10">
        <x:v>95.07</x:v>
      </x:c>
      <x:c r="J747" s="41"/>
      <x:c r="K747" s="41"/>
      <x:c r="L747" s="41"/>
      <x:c r="M747" s="10"/>
      <x:c r="N747" s="7" t="s">
        <x:v>1539</x:v>
      </x:c>
      <x:c r="O747" s="7" t="s">
        <x:v>1539</x:v>
      </x:c>
      <x:c r="P747" s="10">
        <x:v>1.0</x:v>
      </x:c>
      <x:c r="Q747" s="41"/>
      <x:c r="R747" s="10">
        <x:v>22.4</x:v>
      </x:c>
      <x:c r="S747" s="7" t="s">
        <x:v>1540</x:v>
      </x:c>
      <x:c r="T747" s="7" t="b">
        <x:v>0</x:v>
      </x:c>
      <x:c r="U747" s="7" t="s">
        <x:v>1541</x:v>
      </x:c>
      <x:c r="V747" s="26" t="s">
        <x:v>1542</x:v>
      </x:c>
      <x:c r="W747" s="7" t="s">
        <x:v>4816</x:v>
      </x:c>
      <x:c r="X747" s="41"/>
      <x:c r="Y747" s="41"/>
      <x:c r="Z747" s="41"/>
    </x:row>
    <x:row r="748">
      <x:c r="A748" s="7" t="s">
        <x:v>4817</x:v>
      </x:c>
      <x:c r="B748" s="7" t="s">
        <x:v>4818</x:v>
      </x:c>
      <x:c r="C748" s="7" t="s">
        <x:v>4819</x:v>
      </x:c>
      <x:c r="D748" s="7" t="s">
        <x:v>210</x:v>
      </x:c>
      <x:c r="E748" s="7" t="s">
        <x:v>4516</x:v>
      </x:c>
      <x:c r="F748" s="10">
        <x:v>19.356688</x:v>
      </x:c>
      <x:c r="G748" s="10">
        <x:v>100.706436</x:v>
      </x:c>
      <x:c r="H748" s="7" t="s">
        <x:v>1554</x:v>
      </x:c>
      <x:c r="I748" s="10">
        <x:v>279.26</x:v>
      </x:c>
      <x:c r="J748" s="41"/>
      <x:c r="K748" s="41"/>
      <x:c r="L748" s="41"/>
      <x:c r="M748" s="41"/>
      <x:c r="N748" s="7" t="s">
        <x:v>1539</x:v>
      </x:c>
      <x:c r="O748" s="7" t="s">
        <x:v>1539</x:v>
      </x:c>
      <x:c r="P748" s="10">
        <x:v>1.0</x:v>
      </x:c>
      <x:c r="Q748" s="41"/>
      <x:c r="R748" s="10">
        <x:v>12.4</x:v>
      </x:c>
      <x:c r="S748" s="7" t="s">
        <x:v>1540</x:v>
      </x:c>
      <x:c r="T748" s="7" t="b">
        <x:v>0</x:v>
      </x:c>
      <x:c r="U748" s="7" t="s">
        <x:v>1541</x:v>
      </x:c>
      <x:c r="V748" s="26" t="s">
        <x:v>1542</x:v>
      </x:c>
      <x:c r="W748" s="7" t="s">
        <x:v>4820</x:v>
      </x:c>
      <x:c r="X748" s="41"/>
      <x:c r="Y748" s="41"/>
      <x:c r="Z748" s="41"/>
    </x:row>
    <x:row r="749">
      <x:c r="A749" s="7" t="s">
        <x:v>4821</x:v>
      </x:c>
      <x:c r="B749" s="7" t="s">
        <x:v>4822</x:v>
      </x:c>
      <x:c r="C749" s="7" t="s">
        <x:v>4823</x:v>
      </x:c>
      <x:c r="D749" s="7" t="s">
        <x:v>249</x:v>
      </x:c>
      <x:c r="E749" s="7" t="s">
        <x:v>4824</x:v>
      </x:c>
      <x:c r="F749" s="10">
        <x:v>9.252886</x:v>
      </x:c>
      <x:c r="G749" s="10">
        <x:v>98.85421</x:v>
      </x:c>
      <x:c r="H749" s="7" t="s">
        <x:v>1658</x:v>
      </x:c>
      <x:c r="I749" s="10">
        <x:v>110.72</x:v>
      </x:c>
      <x:c r="J749" s="41"/>
      <x:c r="K749" s="41"/>
      <x:c r="L749" s="41"/>
      <x:c r="M749" s="41"/>
      <x:c r="N749" s="7" t="s">
        <x:v>1539</x:v>
      </x:c>
      <x:c r="O749" s="7" t="s">
        <x:v>1539</x:v>
      </x:c>
      <x:c r="P749" s="10">
        <x:v>1.0</x:v>
      </x:c>
      <x:c r="Q749" s="41"/>
      <x:c r="R749" s="10">
        <x:v>22.4</x:v>
      </x:c>
      <x:c r="S749" s="7" t="s">
        <x:v>1540</x:v>
      </x:c>
      <x:c r="T749" s="7" t="b">
        <x:v>0</x:v>
      </x:c>
      <x:c r="U749" s="7" t="s">
        <x:v>1541</x:v>
      </x:c>
      <x:c r="V749" s="26" t="s">
        <x:v>1542</x:v>
      </x:c>
      <x:c r="W749" s="7" t="s">
        <x:v>4825</x:v>
      </x:c>
      <x:c r="X749" s="41"/>
      <x:c r="Y749" s="41"/>
      <x:c r="Z749" s="41"/>
    </x:row>
    <x:row r="750">
      <x:c r="A750" s="7" t="s">
        <x:v>4826</x:v>
      </x:c>
      <x:c r="B750" s="7" t="s">
        <x:v>4827</x:v>
      </x:c>
      <x:c r="C750" s="7" t="s">
        <x:v>4828</x:v>
      </x:c>
      <x:c r="D750" s="7" t="s">
        <x:v>248</x:v>
      </x:c>
      <x:c r="E750" s="7" t="s">
        <x:v>2668</x:v>
      </x:c>
      <x:c r="F750" s="10">
        <x:v>8.174942</x:v>
      </x:c>
      <x:c r="G750" s="10">
        <x:v>99.67887</x:v>
      </x:c>
      <x:c r="H750" s="7" t="s">
        <x:v>1554</x:v>
      </x:c>
      <x:c r="I750" s="10">
        <x:v>50.98</x:v>
      </x:c>
      <x:c r="J750" s="41"/>
      <x:c r="K750" s="41"/>
      <x:c r="L750" s="41"/>
      <x:c r="M750" s="41"/>
      <x:c r="N750" s="7" t="s">
        <x:v>1539</x:v>
      </x:c>
      <x:c r="O750" s="7" t="s">
        <x:v>1539</x:v>
      </x:c>
      <x:c r="P750" s="10">
        <x:v>1.0</x:v>
      </x:c>
      <x:c r="Q750" s="41"/>
      <x:c r="R750" s="10">
        <x:v>12.4</x:v>
      </x:c>
      <x:c r="S750" s="7" t="s">
        <x:v>1540</x:v>
      </x:c>
      <x:c r="T750" s="7" t="b">
        <x:v>0</x:v>
      </x:c>
      <x:c r="U750" s="7" t="s">
        <x:v>1541</x:v>
      </x:c>
      <x:c r="V750" s="26" t="s">
        <x:v>1542</x:v>
      </x:c>
      <x:c r="W750" s="7" t="s">
        <x:v>4829</x:v>
      </x:c>
      <x:c r="X750" s="41"/>
      <x:c r="Y750" s="41"/>
      <x:c r="Z750" s="41"/>
    </x:row>
    <x:row r="751">
      <x:c r="A751" s="7" t="s">
        <x:v>4830</x:v>
      </x:c>
      <x:c r="B751" s="7" t="s">
        <x:v>4831</x:v>
      </x:c>
      <x:c r="C751" s="7" t="s">
        <x:v>4832</x:v>
      </x:c>
      <x:c r="D751" s="7" t="s">
        <x:v>233</x:v>
      </x:c>
      <x:c r="E751" s="7"/>
      <x:c r="F751" s="10">
        <x:v>17.69902</x:v>
      </x:c>
      <x:c r="G751" s="10">
        <x:v>102.4467</x:v>
      </x:c>
      <x:c r="H751" s="7" t="s">
        <x:v>1554</x:v>
      </x:c>
      <x:c r="I751" s="10">
        <x:v>170.36</x:v>
      </x:c>
      <x:c r="J751" s="41"/>
      <x:c r="K751" s="41"/>
      <x:c r="L751" s="41"/>
      <x:c r="M751" s="41"/>
      <x:c r="N751" s="7" t="s">
        <x:v>1539</x:v>
      </x:c>
      <x:c r="O751" s="7" t="s">
        <x:v>1539</x:v>
      </x:c>
      <x:c r="P751" s="10">
        <x:v>1.0</x:v>
      </x:c>
      <x:c r="Q751" s="41"/>
      <x:c r="R751" s="10">
        <x:v>12.4</x:v>
      </x:c>
      <x:c r="S751" s="7" t="s">
        <x:v>1540</x:v>
      </x:c>
      <x:c r="T751" s="7" t="b">
        <x:v>0</x:v>
      </x:c>
      <x:c r="U751" s="7" t="s">
        <x:v>1541</x:v>
      </x:c>
      <x:c r="V751" s="26" t="s">
        <x:v>1542</x:v>
      </x:c>
      <x:c r="W751" s="7" t="s">
        <x:v>4833</x:v>
      </x:c>
      <x:c r="X751" s="41"/>
      <x:c r="Y751" s="41"/>
      <x:c r="Z751" s="41"/>
    </x:row>
    <x:row r="752">
      <x:c r="A752" s="7" t="s">
        <x:v>4834</x:v>
      </x:c>
      <x:c r="B752" s="7" t="s">
        <x:v>4835</x:v>
      </x:c>
      <x:c r="C752" s="7" t="s">
        <x:v>4836</x:v>
      </x:c>
      <x:c r="D752" s="7" t="s">
        <x:v>249</x:v>
      </x:c>
      <x:c r="E752" s="7" t="s">
        <x:v>4837</x:v>
      </x:c>
      <x:c r="F752" s="10">
        <x:v>8.889655</x:v>
      </x:c>
      <x:c r="G752" s="10">
        <x:v>98.82028</x:v>
      </x:c>
      <x:c r="H752" s="7" t="s">
        <x:v>1554</x:v>
      </x:c>
      <x:c r="I752" s="10">
        <x:v>31.0</x:v>
      </x:c>
      <x:c r="J752" s="41"/>
      <x:c r="K752" s="41"/>
      <x:c r="L752" s="41"/>
      <x:c r="M752" s="41"/>
      <x:c r="N752" s="7" t="s">
        <x:v>1539</x:v>
      </x:c>
      <x:c r="O752" s="7" t="s">
        <x:v>1539</x:v>
      </x:c>
      <x:c r="P752" s="10">
        <x:v>1.0</x:v>
      </x:c>
      <x:c r="Q752" s="41"/>
      <x:c r="R752" s="10">
        <x:v>12.4</x:v>
      </x:c>
      <x:c r="S752" s="7" t="s">
        <x:v>1540</x:v>
      </x:c>
      <x:c r="T752" s="7" t="b">
        <x:v>0</x:v>
      </x:c>
      <x:c r="U752" s="7" t="s">
        <x:v>1541</x:v>
      </x:c>
      <x:c r="V752" s="26" t="s">
        <x:v>1542</x:v>
      </x:c>
      <x:c r="W752" s="7" t="s">
        <x:v>4838</x:v>
      </x:c>
      <x:c r="X752" s="41"/>
      <x:c r="Y752" s="41"/>
      <x:c r="Z752" s="41"/>
    </x:row>
    <x:row r="753">
      <x:c r="A753" s="7" t="s">
        <x:v>4839</x:v>
      </x:c>
      <x:c r="B753" s="7" t="s">
        <x:v>4840</x:v>
      </x:c>
      <x:c r="C753" s="7" t="s">
        <x:v>4841</x:v>
      </x:c>
      <x:c r="D753" s="7" t="s">
        <x:v>107</x:v>
      </x:c>
      <x:c r="E753" s="7" t="s">
        <x:v>2411</x:v>
      </x:c>
      <x:c r="F753" s="10">
        <x:v>13.003336</x:v>
      </x:c>
      <x:c r="G753" s="10">
        <x:v>102.04864</x:v>
      </x:c>
      <x:c r="H753" s="7" t="s">
        <x:v>1554</x:v>
      </x:c>
      <x:c r="I753" s="10">
        <x:v>52.37</x:v>
      </x:c>
      <x:c r="J753" s="41"/>
      <x:c r="K753" s="41"/>
      <x:c r="L753" s="41"/>
      <x:c r="M753" s="41"/>
      <x:c r="N753" s="7" t="s">
        <x:v>1539</x:v>
      </x:c>
      <x:c r="O753" s="7" t="s">
        <x:v>1539</x:v>
      </x:c>
      <x:c r="P753" s="10">
        <x:v>1.0</x:v>
      </x:c>
      <x:c r="Q753" s="41"/>
      <x:c r="R753" s="10">
        <x:v>12.4</x:v>
      </x:c>
      <x:c r="S753" s="7" t="s">
        <x:v>1540</x:v>
      </x:c>
      <x:c r="T753" s="7" t="b">
        <x:v>0</x:v>
      </x:c>
      <x:c r="U753" s="7" t="s">
        <x:v>1541</x:v>
      </x:c>
      <x:c r="V753" s="26" t="s">
        <x:v>1542</x:v>
      </x:c>
      <x:c r="W753" s="7" t="s">
        <x:v>4842</x:v>
      </x:c>
      <x:c r="X753" s="41"/>
      <x:c r="Y753" s="41"/>
      <x:c r="Z753" s="41"/>
    </x:row>
    <x:row r="754">
      <x:c r="A754" s="7" t="s">
        <x:v>4843</x:v>
      </x:c>
      <x:c r="B754" s="7" t="s">
        <x:v>4844</x:v>
      </x:c>
      <x:c r="C754" s="7" t="s">
        <x:v>4845</x:v>
      </x:c>
      <x:c r="D754" s="7" t="s">
        <x:v>208</x:v>
      </x:c>
      <x:c r="E754" s="7" t="s">
        <x:v>2355</x:v>
      </x:c>
      <x:c r="F754" s="10">
        <x:v>20.19635</x:v>
      </x:c>
      <x:c r="G754" s="10">
        <x:v>100.44173</x:v>
      </x:c>
      <x:c r="H754" s="7" t="s">
        <x:v>1554</x:v>
      </x:c>
      <x:c r="I754" s="10">
        <x:v>334.83</x:v>
      </x:c>
      <x:c r="J754" s="41"/>
      <x:c r="K754" s="41"/>
      <x:c r="L754" s="41"/>
      <x:c r="M754" s="41"/>
      <x:c r="N754" s="7" t="s">
        <x:v>1539</x:v>
      </x:c>
      <x:c r="O754" s="7" t="s">
        <x:v>1539</x:v>
      </x:c>
      <x:c r="P754" s="10">
        <x:v>1.0</x:v>
      </x:c>
      <x:c r="Q754" s="41"/>
      <x:c r="R754" s="10">
        <x:v>12.4</x:v>
      </x:c>
      <x:c r="S754" s="7" t="s">
        <x:v>1540</x:v>
      </x:c>
      <x:c r="T754" s="7" t="b">
        <x:v>0</x:v>
      </x:c>
      <x:c r="U754" s="7" t="s">
        <x:v>1541</x:v>
      </x:c>
      <x:c r="V754" s="26" t="s">
        <x:v>1542</x:v>
      </x:c>
      <x:c r="W754" s="7" t="s">
        <x:v>4846</x:v>
      </x:c>
      <x:c r="X754" s="41"/>
      <x:c r="Y754" s="41"/>
      <x:c r="Z754" s="41"/>
    </x:row>
    <x:row r="755">
      <x:c r="A755" s="7" t="s">
        <x:v>4847</x:v>
      </x:c>
      <x:c r="B755" s="7" t="s">
        <x:v>4848</x:v>
      </x:c>
      <x:c r="C755" s="7" t="s">
        <x:v>4849</x:v>
      </x:c>
      <x:c r="D755" s="7" t="s">
        <x:v>228</x:v>
      </x:c>
      <x:c r="E755" s="7" t="s">
        <x:v>4850</x:v>
      </x:c>
      <x:c r="F755" s="10">
        <x:v>16.86068</x:v>
      </x:c>
      <x:c r="G755" s="10">
        <x:v>103.594856</x:v>
      </x:c>
      <x:c r="H755" s="7" t="s">
        <x:v>1548</x:v>
      </x:c>
      <x:c r="I755" s="10">
        <x:v>164.49</x:v>
      </x:c>
      <x:c r="J755" s="41"/>
      <x:c r="K755" s="41"/>
      <x:c r="L755" s="41"/>
      <x:c r="M755" s="41"/>
      <x:c r="N755" s="7" t="s">
        <x:v>1539</x:v>
      </x:c>
      <x:c r="O755" s="7" t="s">
        <x:v>1539</x:v>
      </x:c>
      <x:c r="P755" s="10">
        <x:v>1.0</x:v>
      </x:c>
      <x:c r="Q755" s="41"/>
      <x:c r="R755" s="10">
        <x:v>82.4</x:v>
      </x:c>
      <x:c r="S755" s="7" t="s">
        <x:v>301</x:v>
      </x:c>
      <x:c r="T755" s="7" t="b">
        <x:v>0</x:v>
      </x:c>
      <x:c r="U755" s="7" t="s">
        <x:v>1541</x:v>
      </x:c>
      <x:c r="V755" s="26" t="s">
        <x:v>1542</x:v>
      </x:c>
      <x:c r="W755" s="7" t="s">
        <x:v>4851</x:v>
      </x:c>
      <x:c r="X755" s="41"/>
      <x:c r="Y755" s="41"/>
      <x:c r="Z755" s="41"/>
    </x:row>
    <x:row r="756">
      <x:c r="A756" s="7" t="s">
        <x:v>4852</x:v>
      </x:c>
      <x:c r="B756" s="7" t="s">
        <x:v>4853</x:v>
      </x:c>
      <x:c r="C756" s="7" t="s">
        <x:v>4854</x:v>
      </x:c>
      <x:c r="D756" s="7" t="s">
        <x:v>255</x:v>
      </x:c>
      <x:c r="E756" s="7" t="s">
        <x:v>4855</x:v>
      </x:c>
      <x:c r="F756" s="10">
        <x:v>6.916742</x:v>
      </x:c>
      <x:c r="G756" s="10">
        <x:v>100.72962</x:v>
      </x:c>
      <x:c r="H756" s="7" t="s">
        <x:v>1554</x:v>
      </x:c>
      <x:c r="I756" s="10">
        <x:v>2.83</x:v>
      </x:c>
      <x:c r="J756" s="41"/>
      <x:c r="K756" s="41"/>
      <x:c r="L756" s="41"/>
      <x:c r="M756" s="41"/>
      <x:c r="N756" s="7" t="s">
        <x:v>1539</x:v>
      </x:c>
      <x:c r="O756" s="7" t="s">
        <x:v>1539</x:v>
      </x:c>
      <x:c r="P756" s="10">
        <x:v>1.0</x:v>
      </x:c>
      <x:c r="Q756" s="41"/>
      <x:c r="R756" s="10">
        <x:v>12.4</x:v>
      </x:c>
      <x:c r="S756" s="7" t="s">
        <x:v>1540</x:v>
      </x:c>
      <x:c r="T756" s="7" t="b">
        <x:v>0</x:v>
      </x:c>
      <x:c r="U756" s="7" t="s">
        <x:v>1541</x:v>
      </x:c>
      <x:c r="V756" s="26" t="s">
        <x:v>1542</x:v>
      </x:c>
      <x:c r="W756" s="7" t="s">
        <x:v>4856</x:v>
      </x:c>
      <x:c r="X756" s="41"/>
      <x:c r="Y756" s="41"/>
      <x:c r="Z756" s="41"/>
    </x:row>
    <x:row r="757">
      <x:c r="A757" s="7" t="s">
        <x:v>4857</x:v>
      </x:c>
      <x:c r="B757" s="7" t="s">
        <x:v>4858</x:v>
      </x:c>
      <x:c r="C757" s="7" t="s">
        <x:v>4859</x:v>
      </x:c>
      <x:c r="D757" s="7" t="s">
        <x:v>259</x:v>
      </x:c>
      <x:c r="E757" s="7" t="s">
        <x:v>2321</x:v>
      </x:c>
      <x:c r="F757" s="10">
        <x:v>6.859914</x:v>
      </x:c>
      <x:c r="G757" s="10">
        <x:v>101.251309</x:v>
      </x:c>
      <x:c r="H757" s="7" t="s">
        <x:v>1658</x:v>
      </x:c>
      <x:c r="I757" s="10">
        <x:v>0.08</x:v>
      </x:c>
      <x:c r="J757" s="41"/>
      <x:c r="K757" s="41"/>
      <x:c r="L757" s="41"/>
      <x:c r="M757" s="10">
        <x:v>1.33</x:v>
      </x:c>
      <x:c r="N757" s="7" t="s">
        <x:v>1539</x:v>
      </x:c>
      <x:c r="O757" s="7" t="s">
        <x:v>1539</x:v>
      </x:c>
      <x:c r="P757" s="10">
        <x:v>1.0</x:v>
      </x:c>
      <x:c r="Q757" s="41"/>
      <x:c r="R757" s="10">
        <x:v>22.4</x:v>
      </x:c>
      <x:c r="S757" s="7" t="s">
        <x:v>1540</x:v>
      </x:c>
      <x:c r="T757" s="7" t="b">
        <x:v>0</x:v>
      </x:c>
      <x:c r="U757" s="7" t="s">
        <x:v>1541</x:v>
      </x:c>
      <x:c r="V757" s="26" t="s">
        <x:v>1542</x:v>
      </x:c>
      <x:c r="W757" s="7" t="s">
        <x:v>4860</x:v>
      </x:c>
      <x:c r="X757" s="41"/>
      <x:c r="Y757" s="41"/>
      <x:c r="Z757" s="41"/>
    </x:row>
    <x:row r="758">
      <x:c r="A758" s="7" t="s">
        <x:v>4861</x:v>
      </x:c>
      <x:c r="B758" s="7" t="s">
        <x:v>4862</x:v>
      </x:c>
      <x:c r="C758" s="7" t="s">
        <x:v>4863</x:v>
      </x:c>
      <x:c r="D758" s="7" t="s">
        <x:v>212</x:v>
      </x:c>
      <x:c r="E758" s="7"/>
      <x:c r="F758" s="10">
        <x:v>18.810192</x:v>
      </x:c>
      <x:c r="G758" s="10">
        <x:v>99.50328</x:v>
      </x:c>
      <x:c r="H758" s="7" t="s">
        <x:v>1554</x:v>
      </x:c>
      <x:c r="I758" s="10">
        <x:v>353.29</x:v>
      </x:c>
      <x:c r="J758" s="41"/>
      <x:c r="K758" s="41"/>
      <x:c r="L758" s="41"/>
      <x:c r="M758" s="41"/>
      <x:c r="N758" s="7" t="s">
        <x:v>1539</x:v>
      </x:c>
      <x:c r="O758" s="7" t="s">
        <x:v>1539</x:v>
      </x:c>
      <x:c r="P758" s="10">
        <x:v>1.0</x:v>
      </x:c>
      <x:c r="Q758" s="41"/>
      <x:c r="R758" s="10">
        <x:v>12.4</x:v>
      </x:c>
      <x:c r="S758" s="7" t="s">
        <x:v>1540</x:v>
      </x:c>
      <x:c r="T758" s="7" t="b">
        <x:v>0</x:v>
      </x:c>
      <x:c r="U758" s="7" t="s">
        <x:v>1541</x:v>
      </x:c>
      <x:c r="V758" s="26" t="s">
        <x:v>1542</x:v>
      </x:c>
      <x:c r="W758" s="7" t="s">
        <x:v>4864</x:v>
      </x:c>
      <x:c r="X758" s="41"/>
      <x:c r="Y758" s="41"/>
      <x:c r="Z758" s="41"/>
    </x:row>
    <x:row r="759">
      <x:c r="A759" s="7" t="s">
        <x:v>4865</x:v>
      </x:c>
      <x:c r="B759" s="7" t="s">
        <x:v>4866</x:v>
      </x:c>
      <x:c r="C759" s="7" t="s">
        <x:v>4867</x:v>
      </x:c>
      <x:c r="D759" s="7" t="s">
        <x:v>18</x:v>
      </x:c>
      <x:c r="E759" s="7" t="s">
        <x:v>2074</x:v>
      </x:c>
      <x:c r="F759" s="10">
        <x:v>17.23818</x:v>
      </x:c>
      <x:c r="G759" s="10">
        <x:v>99.02626</x:v>
      </x:c>
      <x:c r="H759" s="7" t="s">
        <x:v>1548</x:v>
      </x:c>
      <x:c r="I759" s="10">
        <x:v>128.0</x:v>
      </x:c>
      <x:c r="J759" s="41"/>
      <x:c r="K759" s="41"/>
      <x:c r="L759" s="41"/>
      <x:c r="M759" s="41"/>
      <x:c r="N759" s="7" t="s">
        <x:v>1539</x:v>
      </x:c>
      <x:c r="O759" s="7" t="s">
        <x:v>1539</x:v>
      </x:c>
      <x:c r="P759" s="10">
        <x:v>1.0</x:v>
      </x:c>
      <x:c r="Q759" s="41"/>
      <x:c r="R759" s="10">
        <x:v>82.4</x:v>
      </x:c>
      <x:c r="S759" s="7" t="s">
        <x:v>301</x:v>
      </x:c>
      <x:c r="T759" s="7" t="b">
        <x:v>0</x:v>
      </x:c>
      <x:c r="U759" s="7" t="s">
        <x:v>1541</x:v>
      </x:c>
      <x:c r="V759" s="26" t="s">
        <x:v>1542</x:v>
      </x:c>
      <x:c r="W759" s="7" t="s">
        <x:v>4868</x:v>
      </x:c>
      <x:c r="X759" s="41"/>
      <x:c r="Y759" s="41"/>
      <x:c r="Z759" s="41"/>
    </x:row>
    <x:row r="760">
      <x:c r="A760" s="7" t="s">
        <x:v>4869</x:v>
      </x:c>
      <x:c r="B760" s="7" t="s">
        <x:v>4870</x:v>
      </x:c>
      <x:c r="C760" s="7" t="s">
        <x:v>4871</x:v>
      </x:c>
      <x:c r="D760" s="7" t="s">
        <x:v>207</x:v>
      </x:c>
      <x:c r="E760" s="7" t="s">
        <x:v>4872</x:v>
      </x:c>
      <x:c r="F760" s="10">
        <x:v>18.919376</x:v>
      </x:c>
      <x:c r="G760" s="10">
        <x:v>98.20057</x:v>
      </x:c>
      <x:c r="H760" s="7" t="s">
        <x:v>1554</x:v>
      </x:c>
      <x:c r="I760" s="10">
        <x:v>1183.79</x:v>
      </x:c>
      <x:c r="J760" s="41"/>
      <x:c r="K760" s="41"/>
      <x:c r="L760" s="41"/>
      <x:c r="M760" s="41"/>
      <x:c r="N760" s="7" t="s">
        <x:v>1539</x:v>
      </x:c>
      <x:c r="O760" s="7" t="s">
        <x:v>1539</x:v>
      </x:c>
      <x:c r="P760" s="10">
        <x:v>1.0</x:v>
      </x:c>
      <x:c r="Q760" s="41"/>
      <x:c r="R760" s="10">
        <x:v>12.4</x:v>
      </x:c>
      <x:c r="S760" s="7" t="s">
        <x:v>1540</x:v>
      </x:c>
      <x:c r="T760" s="7" t="b">
        <x:v>0</x:v>
      </x:c>
      <x:c r="U760" s="7" t="s">
        <x:v>1541</x:v>
      </x:c>
      <x:c r="V760" s="26" t="s">
        <x:v>1542</x:v>
      </x:c>
      <x:c r="W760" s="7" t="s">
        <x:v>4873</x:v>
      </x:c>
      <x:c r="X760" s="41"/>
      <x:c r="Y760" s="41"/>
      <x:c r="Z760" s="41"/>
    </x:row>
    <x:row r="761">
      <x:c r="A761" s="7" t="s">
        <x:v>4874</x:v>
      </x:c>
      <x:c r="B761" s="7" t="s">
        <x:v>4875</x:v>
      </x:c>
      <x:c r="C761" s="7" t="s">
        <x:v>4876</x:v>
      </x:c>
      <x:c r="D761" s="7" t="s">
        <x:v>225</x:v>
      </x:c>
      <x:c r="E761" s="7"/>
      <x:c r="F761" s="10">
        <x:v>12.6096</x:v>
      </x:c>
      <x:c r="G761" s="10">
        <x:v>99.9453</x:v>
      </x:c>
      <x:c r="H761" s="7" t="s">
        <x:v>1554</x:v>
      </x:c>
      <x:c r="I761" s="10">
        <x:v>7.28</x:v>
      </x:c>
      <x:c r="J761" s="41"/>
      <x:c r="K761" s="41"/>
      <x:c r="L761" s="41"/>
      <x:c r="M761" s="10"/>
      <x:c r="N761" s="7" t="s">
        <x:v>1539</x:v>
      </x:c>
      <x:c r="O761" s="7" t="s">
        <x:v>1539</x:v>
      </x:c>
      <x:c r="P761" s="10">
        <x:v>1.0</x:v>
      </x:c>
      <x:c r="Q761" s="41"/>
      <x:c r="R761" s="10">
        <x:v>12.4</x:v>
      </x:c>
      <x:c r="S761" s="7" t="s">
        <x:v>1540</x:v>
      </x:c>
      <x:c r="T761" s="7" t="b">
        <x:v>0</x:v>
      </x:c>
      <x:c r="U761" s="7" t="s">
        <x:v>1541</x:v>
      </x:c>
      <x:c r="V761" s="26" t="s">
        <x:v>1542</x:v>
      </x:c>
      <x:c r="W761" s="7" t="s">
        <x:v>4877</x:v>
      </x:c>
      <x:c r="X761" s="41"/>
      <x:c r="Y761" s="41"/>
      <x:c r="Z761" s="41"/>
    </x:row>
    <x:row r="762">
      <x:c r="A762" s="7" t="s">
        <x:v>4878</x:v>
      </x:c>
      <x:c r="B762" s="7" t="s">
        <x:v>4879</x:v>
      </x:c>
      <x:c r="C762" s="7" t="s">
        <x:v>4880</x:v>
      </x:c>
      <x:c r="D762" s="7" t="s">
        <x:v>212</x:v>
      </x:c>
      <x:c r="E762" s="7"/>
      <x:c r="F762" s="10">
        <x:v>18.889063</x:v>
      </x:c>
      <x:c r="G762" s="10">
        <x:v>99.940125</x:v>
      </x:c>
      <x:c r="H762" s="7" t="s">
        <x:v>1554</x:v>
      </x:c>
      <x:c r="I762" s="10">
        <x:v>332.32</x:v>
      </x:c>
      <x:c r="J762" s="41"/>
      <x:c r="K762" s="41"/>
      <x:c r="L762" s="41"/>
      <x:c r="M762" s="10"/>
      <x:c r="N762" s="7" t="s">
        <x:v>1539</x:v>
      </x:c>
      <x:c r="O762" s="7" t="s">
        <x:v>1539</x:v>
      </x:c>
      <x:c r="P762" s="10">
        <x:v>1.0</x:v>
      </x:c>
      <x:c r="Q762" s="41"/>
      <x:c r="R762" s="10">
        <x:v>12.4</x:v>
      </x:c>
      <x:c r="S762" s="7" t="s">
        <x:v>1540</x:v>
      </x:c>
      <x:c r="T762" s="7" t="b">
        <x:v>0</x:v>
      </x:c>
      <x:c r="U762" s="7" t="s">
        <x:v>1541</x:v>
      </x:c>
      <x:c r="V762" s="26" t="s">
        <x:v>1542</x:v>
      </x:c>
      <x:c r="W762" s="7" t="s">
        <x:v>4881</x:v>
      </x:c>
      <x:c r="X762" s="41"/>
      <x:c r="Y762" s="41"/>
      <x:c r="Z762" s="41"/>
    </x:row>
    <x:row r="763">
      <x:c r="A763" s="7" t="s">
        <x:v>4882</x:v>
      </x:c>
      <x:c r="B763" s="7" t="s">
        <x:v>4883</x:v>
      </x:c>
      <x:c r="C763" s="7" t="s">
        <x:v>4884</x:v>
      </x:c>
      <x:c r="D763" s="7" t="s">
        <x:v>208</x:v>
      </x:c>
      <x:c r="E763" s="7" t="s">
        <x:v>3676</x:v>
      </x:c>
      <x:c r="F763" s="10">
        <x:v>19.108244</x:v>
      </x:c>
      <x:c r="G763" s="10">
        <x:v>99.45519</x:v>
      </x:c>
      <x:c r="H763" s="7" t="s">
        <x:v>1554</x:v>
      </x:c>
      <x:c r="I763" s="10">
        <x:v>663.22</x:v>
      </x:c>
      <x:c r="J763" s="41"/>
      <x:c r="K763" s="41"/>
      <x:c r="L763" s="41"/>
      <x:c r="M763" s="10"/>
      <x:c r="N763" s="7" t="s">
        <x:v>1539</x:v>
      </x:c>
      <x:c r="O763" s="7" t="s">
        <x:v>1539</x:v>
      </x:c>
      <x:c r="P763" s="10">
        <x:v>1.0</x:v>
      </x:c>
      <x:c r="Q763" s="41"/>
      <x:c r="R763" s="10">
        <x:v>12.4</x:v>
      </x:c>
      <x:c r="S763" s="7" t="s">
        <x:v>1540</x:v>
      </x:c>
      <x:c r="T763" s="7" t="b">
        <x:v>0</x:v>
      </x:c>
      <x:c r="U763" s="7" t="s">
        <x:v>1541</x:v>
      </x:c>
      <x:c r="V763" s="26" t="s">
        <x:v>1542</x:v>
      </x:c>
      <x:c r="W763" s="7" t="s">
        <x:v>4885</x:v>
      </x:c>
      <x:c r="X763" s="41"/>
      <x:c r="Y763" s="41"/>
      <x:c r="Z763" s="41"/>
    </x:row>
    <x:row r="764">
      <x:c r="A764" s="7" t="s">
        <x:v>4886</x:v>
      </x:c>
      <x:c r="B764" s="7" t="s">
        <x:v>4887</x:v>
      </x:c>
      <x:c r="C764" s="7" t="s">
        <x:v>4888</x:v>
      </x:c>
      <x:c r="D764" s="7" t="s">
        <x:v>18</x:v>
      </x:c>
      <x:c r="E764" s="7"/>
      <x:c r="F764" s="10">
        <x:v>17.238336</x:v>
      </x:c>
      <x:c r="G764" s="10">
        <x:v>99.026296</x:v>
      </x:c>
      <x:c r="H764" s="7" t="s">
        <x:v>1658</x:v>
      </x:c>
      <x:c r="I764" s="10">
        <x:v>127.97</x:v>
      </x:c>
      <x:c r="J764" s="41"/>
      <x:c r="K764" s="41"/>
      <x:c r="L764" s="41"/>
      <x:c r="M764" s="10">
        <x:v>134.44</x:v>
      </x:c>
      <x:c r="N764" s="7" t="s">
        <x:v>1539</x:v>
      </x:c>
      <x:c r="O764" s="7" t="s">
        <x:v>1539</x:v>
      </x:c>
      <x:c r="P764" s="10">
        <x:v>1.0</x:v>
      </x:c>
      <x:c r="Q764" s="41"/>
      <x:c r="R764" s="10">
        <x:v>22.4</x:v>
      </x:c>
      <x:c r="S764" s="7" t="s">
        <x:v>1540</x:v>
      </x:c>
      <x:c r="T764" s="7" t="b">
        <x:v>0</x:v>
      </x:c>
      <x:c r="U764" s="7" t="s">
        <x:v>1541</x:v>
      </x:c>
      <x:c r="V764" s="26" t="s">
        <x:v>1542</x:v>
      </x:c>
      <x:c r="W764" s="7" t="s">
        <x:v>4889</x:v>
      </x:c>
      <x:c r="X764" s="41"/>
      <x:c r="Y764" s="41"/>
      <x:c r="Z764" s="41"/>
    </x:row>
    <x:row r="765">
      <x:c r="A765" s="7" t="s">
        <x:v>4890</x:v>
      </x:c>
      <x:c r="B765" s="7" t="s">
        <x:v>4891</x:v>
      </x:c>
      <x:c r="C765" s="7" t="s">
        <x:v>4892</x:v>
      </x:c>
      <x:c r="D765" s="7" t="s">
        <x:v>210</x:v>
      </x:c>
      <x:c r="E765" s="7" t="s">
        <x:v>4893</x:v>
      </x:c>
      <x:c r="F765" s="10">
        <x:v>19.026337</x:v>
      </x:c>
      <x:c r="G765" s="10">
        <x:v>100.73505</x:v>
      </x:c>
      <x:c r="H765" s="7" t="s">
        <x:v>1554</x:v>
      </x:c>
      <x:c r="I765" s="10">
        <x:v>263.73</x:v>
      </x:c>
      <x:c r="J765" s="41"/>
      <x:c r="K765" s="41"/>
      <x:c r="L765" s="41"/>
      <x:c r="M765" s="41"/>
      <x:c r="N765" s="7" t="s">
        <x:v>1539</x:v>
      </x:c>
      <x:c r="O765" s="7" t="s">
        <x:v>1539</x:v>
      </x:c>
      <x:c r="P765" s="10">
        <x:v>1.0</x:v>
      </x:c>
      <x:c r="Q765" s="41"/>
      <x:c r="R765" s="10">
        <x:v>12.4</x:v>
      </x:c>
      <x:c r="S765" s="7" t="s">
        <x:v>1540</x:v>
      </x:c>
      <x:c r="T765" s="7" t="b">
        <x:v>0</x:v>
      </x:c>
      <x:c r="U765" s="7" t="s">
        <x:v>1541</x:v>
      </x:c>
      <x:c r="V765" s="26" t="s">
        <x:v>1542</x:v>
      </x:c>
      <x:c r="W765" s="7" t="s">
        <x:v>4894</x:v>
      </x:c>
      <x:c r="X765" s="41"/>
      <x:c r="Y765" s="41"/>
      <x:c r="Z765" s="41"/>
    </x:row>
    <x:row r="766">
      <x:c r="A766" s="7" t="s">
        <x:v>4895</x:v>
      </x:c>
      <x:c r="B766" s="7" t="s">
        <x:v>4896</x:v>
      </x:c>
      <x:c r="C766" s="7" t="s">
        <x:v>4897</x:v>
      </x:c>
      <x:c r="D766" s="7" t="s">
        <x:v>228</x:v>
      </x:c>
      <x:c r="E766" s="7" t="s">
        <x:v>2811</x:v>
      </x:c>
      <x:c r="F766" s="10">
        <x:v>16.581209</x:v>
      </x:c>
      <x:c r="G766" s="10">
        <x:v>103.437111</x:v>
      </x:c>
      <x:c r="H766" s="7" t="s">
        <x:v>1548</x:v>
      </x:c>
      <x:c r="I766" s="10">
        <x:v>137.67</x:v>
      </x:c>
      <x:c r="J766" s="41"/>
      <x:c r="K766" s="41"/>
      <x:c r="L766" s="41"/>
      <x:c r="M766" s="41"/>
      <x:c r="N766" s="7" t="s">
        <x:v>1539</x:v>
      </x:c>
      <x:c r="O766" s="7" t="s">
        <x:v>1539</x:v>
      </x:c>
      <x:c r="P766" s="10">
        <x:v>1.0</x:v>
      </x:c>
      <x:c r="Q766" s="41"/>
      <x:c r="R766" s="10">
        <x:v>82.4</x:v>
      </x:c>
      <x:c r="S766" s="7" t="s">
        <x:v>301</x:v>
      </x:c>
      <x:c r="T766" s="7" t="b">
        <x:v>0</x:v>
      </x:c>
      <x:c r="U766" s="7" t="s">
        <x:v>1541</x:v>
      </x:c>
      <x:c r="V766" s="26" t="s">
        <x:v>1542</x:v>
      </x:c>
      <x:c r="W766" s="7" t="s">
        <x:v>4898</x:v>
      </x:c>
      <x:c r="X766" s="41"/>
      <x:c r="Y766" s="41"/>
      <x:c r="Z766" s="41"/>
    </x:row>
    <x:row r="767">
      <x:c r="A767" s="7" t="s">
        <x:v>4899</x:v>
      </x:c>
      <x:c r="B767" s="7" t="s">
        <x:v>4900</x:v>
      </x:c>
      <x:c r="C767" s="7" t="s">
        <x:v>4901</x:v>
      </x:c>
      <x:c r="D767" s="7" t="s">
        <x:v>233</x:v>
      </x:c>
      <x:c r="E767" s="7"/>
      <x:c r="F767" s="10">
        <x:v>17.38925</x:v>
      </x:c>
      <x:c r="G767" s="10">
        <x:v>103.08734</x:v>
      </x:c>
      <x:c r="H767" s="7" t="s">
        <x:v>1554</x:v>
      </x:c>
      <x:c r="I767" s="10">
        <x:v>163.13</x:v>
      </x:c>
      <x:c r="J767" s="41"/>
      <x:c r="K767" s="41"/>
      <x:c r="L767" s="41"/>
      <x:c r="M767" s="41"/>
      <x:c r="N767" s="7" t="s">
        <x:v>1539</x:v>
      </x:c>
      <x:c r="O767" s="7" t="s">
        <x:v>1539</x:v>
      </x:c>
      <x:c r="P767" s="10">
        <x:v>1.0</x:v>
      </x:c>
      <x:c r="Q767" s="41"/>
      <x:c r="R767" s="10">
        <x:v>12.4</x:v>
      </x:c>
      <x:c r="S767" s="7" t="s">
        <x:v>1540</x:v>
      </x:c>
      <x:c r="T767" s="7" t="b">
        <x:v>0</x:v>
      </x:c>
      <x:c r="U767" s="7" t="s">
        <x:v>1541</x:v>
      </x:c>
      <x:c r="V767" s="26" t="s">
        <x:v>1542</x:v>
      </x:c>
      <x:c r="W767" s="7" t="s">
        <x:v>4902</x:v>
      </x:c>
      <x:c r="X767" s="41"/>
      <x:c r="Y767" s="41"/>
      <x:c r="Z767" s="41"/>
    </x:row>
    <x:row r="768">
      <x:c r="A768" s="7" t="s">
        <x:v>4903</x:v>
      </x:c>
      <x:c r="B768" s="7" t="s">
        <x:v>4904</x:v>
      </x:c>
      <x:c r="C768" s="7" t="s">
        <x:v>4905</x:v>
      </x:c>
      <x:c r="D768" s="7" t="s">
        <x:v>211</x:v>
      </x:c>
      <x:c r="E768" s="7"/>
      <x:c r="F768" s="10">
        <x:v>19.019968</x:v>
      </x:c>
      <x:c r="G768" s="10">
        <x:v>100.264275</x:v>
      </x:c>
      <x:c r="H768" s="7" t="s">
        <x:v>1554</x:v>
      </x:c>
      <x:c r="I768" s="10">
        <x:v>269.64</x:v>
      </x:c>
      <x:c r="J768" s="41"/>
      <x:c r="K768" s="41"/>
      <x:c r="L768" s="41"/>
      <x:c r="M768" s="41"/>
      <x:c r="N768" s="7" t="s">
        <x:v>1539</x:v>
      </x:c>
      <x:c r="O768" s="7" t="s">
        <x:v>1539</x:v>
      </x:c>
      <x:c r="P768" s="10">
        <x:v>1.0</x:v>
      </x:c>
      <x:c r="Q768" s="41"/>
      <x:c r="R768" s="10">
        <x:v>12.4</x:v>
      </x:c>
      <x:c r="S768" s="7" t="s">
        <x:v>1540</x:v>
      </x:c>
      <x:c r="T768" s="7" t="b">
        <x:v>0</x:v>
      </x:c>
      <x:c r="U768" s="7" t="s">
        <x:v>1541</x:v>
      </x:c>
      <x:c r="V768" s="26" t="s">
        <x:v>1542</x:v>
      </x:c>
      <x:c r="W768" s="7" t="s">
        <x:v>4906</x:v>
      </x:c>
      <x:c r="X768" s="41"/>
      <x:c r="Y768" s="41"/>
      <x:c r="Z768" s="41"/>
    </x:row>
    <x:row r="769">
      <x:c r="A769" s="7" t="s">
        <x:v>4907</x:v>
      </x:c>
      <x:c r="B769" s="7" t="s">
        <x:v>4908</x:v>
      </x:c>
      <x:c r="C769" s="7" t="s">
        <x:v>4909</x:v>
      </x:c>
      <x:c r="D769" s="7" t="s">
        <x:v>217</x:v>
      </x:c>
      <x:c r="E769" s="7" t="s">
        <x:v>4147</x:v>
      </x:c>
      <x:c r="F769" s="10">
        <x:v>17.219545</x:v>
      </x:c>
      <x:c r="G769" s="10">
        <x:v>99.8896</x:v>
      </x:c>
      <x:c r="H769" s="7" t="s">
        <x:v>1554</x:v>
      </x:c>
      <x:c r="I769" s="10">
        <x:v>52.83</x:v>
      </x:c>
      <x:c r="J769" s="41"/>
      <x:c r="K769" s="41"/>
      <x:c r="L769" s="41"/>
      <x:c r="M769" s="41"/>
      <x:c r="N769" s="7" t="s">
        <x:v>1539</x:v>
      </x:c>
      <x:c r="O769" s="7" t="s">
        <x:v>1539</x:v>
      </x:c>
      <x:c r="P769" s="10">
        <x:v>1.0</x:v>
      </x:c>
      <x:c r="Q769" s="41"/>
      <x:c r="R769" s="10">
        <x:v>12.4</x:v>
      </x:c>
      <x:c r="S769" s="7" t="s">
        <x:v>1540</x:v>
      </x:c>
      <x:c r="T769" s="7" t="b">
        <x:v>0</x:v>
      </x:c>
      <x:c r="U769" s="7" t="s">
        <x:v>1541</x:v>
      </x:c>
      <x:c r="V769" s="26" t="s">
        <x:v>1542</x:v>
      </x:c>
      <x:c r="W769" s="7" t="s">
        <x:v>4910</x:v>
      </x:c>
      <x:c r="X769" s="41"/>
      <x:c r="Y769" s="41"/>
      <x:c r="Z769" s="41"/>
    </x:row>
    <x:row r="770">
      <x:c r="A770" s="7" t="s">
        <x:v>4911</x:v>
      </x:c>
      <x:c r="B770" s="7" t="s">
        <x:v>4912</x:v>
      </x:c>
      <x:c r="C770" s="7" t="s">
        <x:v>4913</x:v>
      </x:c>
      <x:c r="D770" s="7" t="s">
        <x:v>207</x:v>
      </x:c>
      <x:c r="E770" s="7" t="s">
        <x:v>4914</x:v>
      </x:c>
      <x:c r="F770" s="10">
        <x:v>17.799877</x:v>
      </x:c>
      <x:c r="G770" s="10">
        <x:v>98.36419</x:v>
      </x:c>
      <x:c r="H770" s="7" t="s">
        <x:v>1554</x:v>
      </x:c>
      <x:c r="I770" s="10">
        <x:v>794.66</x:v>
      </x:c>
      <x:c r="J770" s="41"/>
      <x:c r="K770" s="41"/>
      <x:c r="L770" s="41"/>
      <x:c r="M770" s="41"/>
      <x:c r="N770" s="7" t="s">
        <x:v>1539</x:v>
      </x:c>
      <x:c r="O770" s="7" t="s">
        <x:v>1539</x:v>
      </x:c>
      <x:c r="P770" s="10">
        <x:v>1.0</x:v>
      </x:c>
      <x:c r="Q770" s="41"/>
      <x:c r="R770" s="10">
        <x:v>12.4</x:v>
      </x:c>
      <x:c r="S770" s="7" t="s">
        <x:v>1540</x:v>
      </x:c>
      <x:c r="T770" s="7" t="b">
        <x:v>0</x:v>
      </x:c>
      <x:c r="U770" s="7" t="s">
        <x:v>1541</x:v>
      </x:c>
      <x:c r="V770" s="26" t="s">
        <x:v>1542</x:v>
      </x:c>
      <x:c r="W770" s="7" t="s">
        <x:v>4915</x:v>
      </x:c>
      <x:c r="X770" s="41"/>
      <x:c r="Y770" s="41"/>
      <x:c r="Z770" s="41"/>
    </x:row>
    <x:row r="771">
      <x:c r="A771" s="7" t="s">
        <x:v>4916</x:v>
      </x:c>
      <x:c r="B771" s="7" t="s">
        <x:v>4917</x:v>
      </x:c>
      <x:c r="C771" s="7" t="s">
        <x:v>4918</x:v>
      </x:c>
      <x:c r="D771" s="7" t="s">
        <x:v>228</x:v>
      </x:c>
      <x:c r="E771" s="7" t="s">
        <x:v>4919</x:v>
      </x:c>
      <x:c r="F771" s="10">
        <x:v>16.665831</x:v>
      </x:c>
      <x:c r="G771" s="10">
        <x:v>103.308609</x:v>
      </x:c>
      <x:c r="H771" s="7" t="s">
        <x:v>1777</x:v>
      </x:c>
      <x:c r="I771" s="10">
        <x:v>172.1</x:v>
      </x:c>
      <x:c r="J771" s="41"/>
      <x:c r="K771" s="41"/>
      <x:c r="L771" s="41"/>
      <x:c r="M771" s="41"/>
      <x:c r="N771" s="7" t="s">
        <x:v>1539</x:v>
      </x:c>
      <x:c r="O771" s="7" t="s">
        <x:v>1539</x:v>
      </x:c>
      <x:c r="P771" s="10">
        <x:v>1.0</x:v>
      </x:c>
      <x:c r="Q771" s="41"/>
      <x:c r="R771" s="10">
        <x:v>562.4</x:v>
      </x:c>
      <x:c r="S771" s="7" t="s">
        <x:v>301</x:v>
      </x:c>
      <x:c r="T771" s="7" t="b">
        <x:v>0</x:v>
      </x:c>
      <x:c r="U771" s="7" t="s">
        <x:v>1541</x:v>
      </x:c>
      <x:c r="V771" s="26" t="s">
        <x:v>1542</x:v>
      </x:c>
      <x:c r="W771" s="7" t="s">
        <x:v>4920</x:v>
      </x:c>
      <x:c r="X771" s="41"/>
      <x:c r="Y771" s="41"/>
      <x:c r="Z771" s="41"/>
    </x:row>
    <x:row r="772">
      <x:c r="A772" s="7" t="s">
        <x:v>4921</x:v>
      </x:c>
      <x:c r="B772" s="7" t="s">
        <x:v>4922</x:v>
      </x:c>
      <x:c r="C772" s="7" t="s">
        <x:v>4923</x:v>
      </x:c>
      <x:c r="D772" s="7" t="s">
        <x:v>248</x:v>
      </x:c>
      <x:c r="E772" s="7" t="s">
        <x:v>4221</x:v>
      </x:c>
      <x:c r="F772" s="10">
        <x:v>8.40836</x:v>
      </x:c>
      <x:c r="G772" s="10">
        <x:v>99.797852</x:v>
      </x:c>
      <x:c r="H772" s="7" t="s">
        <x:v>1548</x:v>
      </x:c>
      <x:c r="I772" s="10">
        <x:v>31.46</x:v>
      </x:c>
      <x:c r="J772" s="41"/>
      <x:c r="K772" s="41"/>
      <x:c r="L772" s="41"/>
      <x:c r="M772" s="41"/>
      <x:c r="N772" s="7" t="s">
        <x:v>1539</x:v>
      </x:c>
      <x:c r="O772" s="7" t="s">
        <x:v>1539</x:v>
      </x:c>
      <x:c r="P772" s="10">
        <x:v>1.0</x:v>
      </x:c>
      <x:c r="Q772" s="41"/>
      <x:c r="R772" s="10">
        <x:v>82.4</x:v>
      </x:c>
      <x:c r="S772" s="7" t="s">
        <x:v>301</x:v>
      </x:c>
      <x:c r="T772" s="7" t="b">
        <x:v>0</x:v>
      </x:c>
      <x:c r="U772" s="7" t="s">
        <x:v>1541</x:v>
      </x:c>
      <x:c r="V772" s="26" t="s">
        <x:v>1542</x:v>
      </x:c>
      <x:c r="W772" s="7" t="s">
        <x:v>4924</x:v>
      </x:c>
      <x:c r="X772" s="41"/>
      <x:c r="Y772" s="41"/>
      <x:c r="Z772" s="41"/>
    </x:row>
    <x:row r="773">
      <x:c r="A773" s="7" t="s">
        <x:v>4925</x:v>
      </x:c>
      <x:c r="B773" s="7" t="s">
        <x:v>4926</x:v>
      </x:c>
      <x:c r="C773" s="7" t="s">
        <x:v>4927</x:v>
      </x:c>
      <x:c r="D773" s="7" t="s">
        <x:v>249</x:v>
      </x:c>
      <x:c r="E773" s="7" t="s">
        <x:v>4928</x:v>
      </x:c>
      <x:c r="F773" s="10">
        <x:v>9.021284</x:v>
      </x:c>
      <x:c r="G773" s="10">
        <x:v>99.633125</x:v>
      </x:c>
      <x:c r="H773" s="7" t="s">
        <x:v>4929</x:v>
      </x:c>
      <x:c r="I773" s="10">
        <x:v>42.27</x:v>
      </x:c>
      <x:c r="J773" s="41"/>
      <x:c r="K773" s="41"/>
      <x:c r="L773" s="41"/>
      <x:c r="M773" s="41"/>
      <x:c r="N773" s="7" t="s">
        <x:v>1539</x:v>
      </x:c>
      <x:c r="O773" s="7" t="s">
        <x:v>1539</x:v>
      </x:c>
      <x:c r="P773" s="10">
        <x:v>1.0</x:v>
      </x:c>
      <x:c r="Q773" s="41"/>
      <x:c r="R773" s="10">
        <x:v>6092.4</x:v>
      </x:c>
      <x:c r="S773" s="7" t="s">
        <x:v>301</x:v>
      </x:c>
      <x:c r="T773" s="7" t="b">
        <x:v>0</x:v>
      </x:c>
      <x:c r="U773" s="7" t="s">
        <x:v>1541</x:v>
      </x:c>
      <x:c r="V773" s="26" t="s">
        <x:v>1542</x:v>
      </x:c>
      <x:c r="W773" s="7" t="s">
        <x:v>4930</x:v>
      </x:c>
      <x:c r="X773" s="41"/>
      <x:c r="Y773" s="41"/>
      <x:c r="Z773" s="41"/>
    </x:row>
    <x:row r="774">
      <x:c r="A774" s="7" t="s">
        <x:v>4931</x:v>
      </x:c>
      <x:c r="B774" s="7" t="s">
        <x:v>4932</x:v>
      </x:c>
      <x:c r="C774" s="7" t="s">
        <x:v>4933</x:v>
      </x:c>
      <x:c r="D774" s="7" t="s">
        <x:v>210</x:v>
      </x:c>
      <x:c r="E774" s="7" t="s">
        <x:v>4934</x:v>
      </x:c>
      <x:c r="F774" s="10">
        <x:v>19.432049</x:v>
      </x:c>
      <x:c r="G774" s="10">
        <x:v>101.15271</x:v>
      </x:c>
      <x:c r="H774" s="7" t="s">
        <x:v>1554</x:v>
      </x:c>
      <x:c r="I774" s="10">
        <x:v>621.05</x:v>
      </x:c>
      <x:c r="J774" s="41"/>
      <x:c r="K774" s="41"/>
      <x:c r="L774" s="41"/>
      <x:c r="M774" s="41"/>
      <x:c r="N774" s="7" t="s">
        <x:v>1539</x:v>
      </x:c>
      <x:c r="O774" s="7" t="s">
        <x:v>1539</x:v>
      </x:c>
      <x:c r="P774" s="10">
        <x:v>1.0</x:v>
      </x:c>
      <x:c r="Q774" s="41"/>
      <x:c r="R774" s="10">
        <x:v>12.4</x:v>
      </x:c>
      <x:c r="S774" s="7" t="s">
        <x:v>1540</x:v>
      </x:c>
      <x:c r="T774" s="7" t="b">
        <x:v>0</x:v>
      </x:c>
      <x:c r="U774" s="7" t="s">
        <x:v>1541</x:v>
      </x:c>
      <x:c r="V774" s="26" t="s">
        <x:v>1542</x:v>
      </x:c>
      <x:c r="W774" s="7" t="s">
        <x:v>4935</x:v>
      </x:c>
      <x:c r="X774" s="41"/>
      <x:c r="Y774" s="41"/>
      <x:c r="Z774" s="41"/>
    </x:row>
    <x:row r="775">
      <x:c r="A775" s="7" t="s">
        <x:v>4936</x:v>
      </x:c>
      <x:c r="B775" s="7" t="s">
        <x:v>4937</x:v>
      </x:c>
      <x:c r="C775" s="7" t="s">
        <x:v>4938</x:v>
      </x:c>
      <x:c r="D775" s="7" t="s">
        <x:v>207</x:v>
      </x:c>
      <x:c r="E775" s="7"/>
      <x:c r="F775" s="10">
        <x:v>19.507914</x:v>
      </x:c>
      <x:c r="G775" s="10">
        <x:v>98.95879</x:v>
      </x:c>
      <x:c r="H775" s="7" t="s">
        <x:v>1554</x:v>
      </x:c>
      <x:c r="I775" s="10">
        <x:v>428.59</x:v>
      </x:c>
      <x:c r="J775" s="41"/>
      <x:c r="K775" s="41"/>
      <x:c r="L775" s="41"/>
      <x:c r="M775" s="41"/>
      <x:c r="N775" s="7" t="s">
        <x:v>1539</x:v>
      </x:c>
      <x:c r="O775" s="7" t="s">
        <x:v>1539</x:v>
      </x:c>
      <x:c r="P775" s="10">
        <x:v>1.0</x:v>
      </x:c>
      <x:c r="Q775" s="41"/>
      <x:c r="R775" s="10">
        <x:v>12.4</x:v>
      </x:c>
      <x:c r="S775" s="7" t="s">
        <x:v>1540</x:v>
      </x:c>
      <x:c r="T775" s="7" t="b">
        <x:v>0</x:v>
      </x:c>
      <x:c r="U775" s="7" t="s">
        <x:v>1541</x:v>
      </x:c>
      <x:c r="V775" s="26" t="s">
        <x:v>1542</x:v>
      </x:c>
      <x:c r="W775" s="7" t="s">
        <x:v>4939</x:v>
      </x:c>
      <x:c r="X775" s="41"/>
      <x:c r="Y775" s="41"/>
      <x:c r="Z775" s="41"/>
    </x:row>
    <x:row r="776">
      <x:c r="A776" s="7" t="s">
        <x:v>4940</x:v>
      </x:c>
      <x:c r="B776" s="7" t="s">
        <x:v>4941</x:v>
      </x:c>
      <x:c r="C776" s="7" t="s">
        <x:v>4942</x:v>
      </x:c>
      <x:c r="D776" s="7" t="s">
        <x:v>42</x:v>
      </x:c>
      <x:c r="E776" s="7" t="s">
        <x:v>4943</x:v>
      </x:c>
      <x:c r="F776" s="10">
        <x:v>15.51829</x:v>
      </x:c>
      <x:c r="G776" s="10">
        <x:v>99.483528</x:v>
      </x:c>
      <x:c r="H776" s="7" t="s">
        <x:v>1548</x:v>
      </x:c>
      <x:c r="I776" s="10">
        <x:v>122.71</x:v>
      </x:c>
      <x:c r="J776" s="41"/>
      <x:c r="K776" s="41"/>
      <x:c r="L776" s="41"/>
      <x:c r="M776" s="41"/>
      <x:c r="N776" s="7" t="s">
        <x:v>1539</x:v>
      </x:c>
      <x:c r="O776" s="7" t="s">
        <x:v>1539</x:v>
      </x:c>
      <x:c r="P776" s="10">
        <x:v>1.0</x:v>
      </x:c>
      <x:c r="Q776" s="41"/>
      <x:c r="R776" s="10">
        <x:v>82.4</x:v>
      </x:c>
      <x:c r="S776" s="7" t="s">
        <x:v>301</x:v>
      </x:c>
      <x:c r="T776" s="7" t="b">
        <x:v>0</x:v>
      </x:c>
      <x:c r="U776" s="7" t="s">
        <x:v>1541</x:v>
      </x:c>
      <x:c r="V776" s="26" t="s">
        <x:v>1542</x:v>
      </x:c>
      <x:c r="W776" s="7" t="s">
        <x:v>4944</x:v>
      </x:c>
      <x:c r="X776" s="41"/>
      <x:c r="Y776" s="41"/>
      <x:c r="Z776" s="41"/>
    </x:row>
    <x:row r="777">
      <x:c r="A777" s="7" t="s">
        <x:v>4945</x:v>
      </x:c>
      <x:c r="B777" s="7" t="s">
        <x:v>4946</x:v>
      </x:c>
      <x:c r="C777" s="7" t="s">
        <x:v>4947</x:v>
      </x:c>
      <x:c r="D777" s="7" t="s">
        <x:v>211</x:v>
      </x:c>
      <x:c r="E777" s="7"/>
      <x:c r="F777" s="10">
        <x:v>19.337248</x:v>
      </x:c>
      <x:c r="G777" s="10">
        <x:v>100.43124</x:v>
      </x:c>
      <x:c r="H777" s="7" t="s">
        <x:v>1554</x:v>
      </x:c>
      <x:c r="I777" s="10">
        <x:v>424.54</x:v>
      </x:c>
      <x:c r="J777" s="41"/>
      <x:c r="K777" s="41"/>
      <x:c r="L777" s="41"/>
      <x:c r="M777" s="41"/>
      <x:c r="N777" s="7" t="s">
        <x:v>1539</x:v>
      </x:c>
      <x:c r="O777" s="7" t="s">
        <x:v>1539</x:v>
      </x:c>
      <x:c r="P777" s="10">
        <x:v>1.0</x:v>
      </x:c>
      <x:c r="Q777" s="41"/>
      <x:c r="R777" s="10">
        <x:v>12.4</x:v>
      </x:c>
      <x:c r="S777" s="7" t="s">
        <x:v>1540</x:v>
      </x:c>
      <x:c r="T777" s="7" t="b">
        <x:v>0</x:v>
      </x:c>
      <x:c r="U777" s="7" t="s">
        <x:v>1541</x:v>
      </x:c>
      <x:c r="V777" s="26" t="s">
        <x:v>1542</x:v>
      </x:c>
      <x:c r="W777" s="7" t="s">
        <x:v>4948</x:v>
      </x:c>
      <x:c r="X777" s="41"/>
      <x:c r="Y777" s="41"/>
      <x:c r="Z777" s="41"/>
    </x:row>
    <x:row r="778">
      <x:c r="A778" s="7" t="s">
        <x:v>4949</x:v>
      </x:c>
      <x:c r="B778" s="7" t="s">
        <x:v>4950</x:v>
      </x:c>
      <x:c r="C778" s="7" t="s">
        <x:v>4951</x:v>
      </x:c>
      <x:c r="D778" s="7" t="s">
        <x:v>248</x:v>
      </x:c>
      <x:c r="E778" s="7" t="s">
        <x:v>4952</x:v>
      </x:c>
      <x:c r="F778" s="10">
        <x:v>7.889575</x:v>
      </x:c>
      <x:c r="G778" s="10">
        <x:v>99.87421</x:v>
      </x:c>
      <x:c r="H778" s="7" t="s">
        <x:v>1554</x:v>
      </x:c>
      <x:c r="I778" s="10">
        <x:v>23.72</x:v>
      </x:c>
      <x:c r="J778" s="41"/>
      <x:c r="K778" s="41"/>
      <x:c r="L778" s="41"/>
      <x:c r="M778" s="41"/>
      <x:c r="N778" s="7" t="s">
        <x:v>1539</x:v>
      </x:c>
      <x:c r="O778" s="7" t="s">
        <x:v>1539</x:v>
      </x:c>
      <x:c r="P778" s="10">
        <x:v>1.0</x:v>
      </x:c>
      <x:c r="Q778" s="41"/>
      <x:c r="R778" s="10">
        <x:v>12.4</x:v>
      </x:c>
      <x:c r="S778" s="7" t="s">
        <x:v>1540</x:v>
      </x:c>
      <x:c r="T778" s="7" t="b">
        <x:v>0</x:v>
      </x:c>
      <x:c r="U778" s="7" t="s">
        <x:v>1541</x:v>
      </x:c>
      <x:c r="V778" s="26" t="s">
        <x:v>1542</x:v>
      </x:c>
      <x:c r="W778" s="7" t="s">
        <x:v>4953</x:v>
      </x:c>
      <x:c r="X778" s="41"/>
      <x:c r="Y778" s="41"/>
      <x:c r="Z778" s="41"/>
    </x:row>
    <x:row r="779">
      <x:c r="A779" s="7" t="s">
        <x:v>4954</x:v>
      </x:c>
      <x:c r="B779" s="7" t="s">
        <x:v>4955</x:v>
      </x:c>
      <x:c r="C779" s="7" t="s">
        <x:v>4956</x:v>
      </x:c>
      <x:c r="D779" s="7" t="s">
        <x:v>248</x:v>
      </x:c>
      <x:c r="E779" s="7" t="s">
        <x:v>4957</x:v>
      </x:c>
      <x:c r="F779" s="10">
        <x:v>7.8768</x:v>
      </x:c>
      <x:c r="G779" s="10">
        <x:v>99.93328</x:v>
      </x:c>
      <x:c r="H779" s="7" t="s">
        <x:v>1554</x:v>
      </x:c>
      <x:c r="I779" s="10">
        <x:v>13.3</x:v>
      </x:c>
      <x:c r="J779" s="41"/>
      <x:c r="K779" s="41"/>
      <x:c r="L779" s="41"/>
      <x:c r="M779" s="41"/>
      <x:c r="N779" s="7" t="s">
        <x:v>1539</x:v>
      </x:c>
      <x:c r="O779" s="7" t="s">
        <x:v>1539</x:v>
      </x:c>
      <x:c r="P779" s="10">
        <x:v>1.0</x:v>
      </x:c>
      <x:c r="Q779" s="41"/>
      <x:c r="R779" s="10">
        <x:v>12.4</x:v>
      </x:c>
      <x:c r="S779" s="7" t="s">
        <x:v>1540</x:v>
      </x:c>
      <x:c r="T779" s="7" t="b">
        <x:v>0</x:v>
      </x:c>
      <x:c r="U779" s="7" t="s">
        <x:v>1541</x:v>
      </x:c>
      <x:c r="V779" s="26" t="s">
        <x:v>1542</x:v>
      </x:c>
      <x:c r="W779" s="7" t="s">
        <x:v>4958</x:v>
      </x:c>
      <x:c r="X779" s="41"/>
      <x:c r="Y779" s="41"/>
      <x:c r="Z779" s="41"/>
    </x:row>
    <x:row r="780">
      <x:c r="A780" s="7" t="s">
        <x:v>4959</x:v>
      </x:c>
      <x:c r="B780" s="7" t="s">
        <x:v>4960</x:v>
      </x:c>
      <x:c r="C780" s="7" t="s">
        <x:v>4961</x:v>
      </x:c>
      <x:c r="D780" s="7" t="s">
        <x:v>222</x:v>
      </x:c>
      <x:c r="E780" s="7" t="s">
        <x:v>4962</x:v>
      </x:c>
      <x:c r="F780" s="10">
        <x:v>12.81504</x:v>
      </x:c>
      <x:c r="G780" s="10">
        <x:v>99.700867</x:v>
      </x:c>
      <x:c r="H780" s="7" t="s">
        <x:v>1537</x:v>
      </x:c>
      <x:c r="I780" s="10">
        <x:v>39.42</x:v>
      </x:c>
      <x:c r="J780" s="41"/>
      <x:c r="K780" s="41"/>
      <x:c r="L780" s="41"/>
      <x:c r="M780" s="41"/>
      <x:c r="N780" s="7" t="s">
        <x:v>1539</x:v>
      </x:c>
      <x:c r="O780" s="7" t="s">
        <x:v>1539</x:v>
      </x:c>
      <x:c r="P780" s="10">
        <x:v>1.0</x:v>
      </x:c>
      <x:c r="Q780" s="41"/>
      <x:c r="R780" s="10">
        <x:v>-457.6</x:v>
      </x:c>
      <x:c r="S780" s="7" t="s">
        <x:v>1540</x:v>
      </x:c>
      <x:c r="T780" s="7" t="b">
        <x:v>0</x:v>
      </x:c>
      <x:c r="U780" s="7" t="s">
        <x:v>1541</x:v>
      </x:c>
      <x:c r="V780" s="26" t="s">
        <x:v>1542</x:v>
      </x:c>
      <x:c r="W780" s="7" t="s">
        <x:v>4963</x:v>
      </x:c>
      <x:c r="X780" s="41"/>
      <x:c r="Y780" s="41"/>
      <x:c r="Z780" s="41"/>
    </x:row>
    <x:row r="781">
      <x:c r="A781" s="7" t="s">
        <x:v>4964</x:v>
      </x:c>
      <x:c r="B781" s="7" t="s">
        <x:v>4965</x:v>
      </x:c>
      <x:c r="C781" s="7" t="s">
        <x:v>4966</x:v>
      </x:c>
      <x:c r="D781" s="7" t="s">
        <x:v>207</x:v>
      </x:c>
      <x:c r="E781" s="7" t="s">
        <x:v>4967</x:v>
      </x:c>
      <x:c r="F781" s="10">
        <x:v>18.885838</x:v>
      </x:c>
      <x:c r="G781" s="10">
        <x:v>98.826904</x:v>
      </x:c>
      <x:c r="H781" s="7" t="s">
        <x:v>1554</x:v>
      </x:c>
      <x:c r="I781" s="10">
        <x:v>735.24</x:v>
      </x:c>
      <x:c r="J781" s="41"/>
      <x:c r="K781" s="41"/>
      <x:c r="L781" s="41"/>
      <x:c r="M781" s="41"/>
      <x:c r="N781" s="7" t="s">
        <x:v>1539</x:v>
      </x:c>
      <x:c r="O781" s="7" t="s">
        <x:v>1539</x:v>
      </x:c>
      <x:c r="P781" s="10">
        <x:v>1.0</x:v>
      </x:c>
      <x:c r="Q781" s="41"/>
      <x:c r="R781" s="10">
        <x:v>12.4</x:v>
      </x:c>
      <x:c r="S781" s="7" t="s">
        <x:v>1540</x:v>
      </x:c>
      <x:c r="T781" s="7" t="b">
        <x:v>0</x:v>
      </x:c>
      <x:c r="U781" s="7" t="s">
        <x:v>1541</x:v>
      </x:c>
      <x:c r="V781" s="26" t="s">
        <x:v>1542</x:v>
      </x:c>
      <x:c r="W781" s="7" t="s">
        <x:v>4968</x:v>
      </x:c>
      <x:c r="X781" s="41"/>
      <x:c r="Y781" s="41"/>
      <x:c r="Z781" s="41"/>
    </x:row>
    <x:row r="782">
      <x:c r="A782" s="7" t="s">
        <x:v>4969</x:v>
      </x:c>
      <x:c r="B782" s="7" t="s">
        <x:v>4970</x:v>
      </x:c>
      <x:c r="C782" s="7" t="s">
        <x:v>4971</x:v>
      </x:c>
      <x:c r="D782" s="7" t="s">
        <x:v>249</x:v>
      </x:c>
      <x:c r="E782" s="7" t="s">
        <x:v>4972</x:v>
      </x:c>
      <x:c r="F782" s="10">
        <x:v>8.935923</x:v>
      </x:c>
      <x:c r="G782" s="10">
        <x:v>99.60879</x:v>
      </x:c>
      <x:c r="H782" s="7" t="s">
        <x:v>1554</x:v>
      </x:c>
      <x:c r="I782" s="10">
        <x:v>66.6</x:v>
      </x:c>
      <x:c r="J782" s="41"/>
      <x:c r="K782" s="41"/>
      <x:c r="L782" s="41"/>
      <x:c r="M782" s="41"/>
      <x:c r="N782" s="7" t="s">
        <x:v>1539</x:v>
      </x:c>
      <x:c r="O782" s="7" t="s">
        <x:v>1539</x:v>
      </x:c>
      <x:c r="P782" s="10">
        <x:v>1.0</x:v>
      </x:c>
      <x:c r="Q782" s="41"/>
      <x:c r="R782" s="10">
        <x:v>12.4</x:v>
      </x:c>
      <x:c r="S782" s="7" t="s">
        <x:v>1540</x:v>
      </x:c>
      <x:c r="T782" s="7" t="b">
        <x:v>0</x:v>
      </x:c>
      <x:c r="U782" s="7" t="s">
        <x:v>1541</x:v>
      </x:c>
      <x:c r="V782" s="26" t="s">
        <x:v>1542</x:v>
      </x:c>
      <x:c r="W782" s="7" t="s">
        <x:v>4973</x:v>
      </x:c>
      <x:c r="X782" s="41"/>
      <x:c r="Y782" s="41"/>
      <x:c r="Z782" s="41"/>
    </x:row>
    <x:row r="783">
      <x:c r="A783" s="7" t="s">
        <x:v>4974</x:v>
      </x:c>
      <x:c r="B783" s="7" t="s">
        <x:v>4975</x:v>
      </x:c>
      <x:c r="C783" s="7" t="s">
        <x:v>4976</x:v>
      </x:c>
      <x:c r="D783" s="7" t="s">
        <x:v>210</x:v>
      </x:c>
      <x:c r="E783" s="7" t="s">
        <x:v>3213</x:v>
      </x:c>
      <x:c r="F783" s="10">
        <x:v>18.846567</x:v>
      </x:c>
      <x:c r="G783" s="10">
        <x:v>101.028946</x:v>
      </x:c>
      <x:c r="H783" s="7" t="s">
        <x:v>1554</x:v>
      </x:c>
      <x:c r="I783" s="10">
        <x:v>356.74</x:v>
      </x:c>
      <x:c r="J783" s="41"/>
      <x:c r="K783" s="41"/>
      <x:c r="L783" s="41"/>
      <x:c r="M783" s="41"/>
      <x:c r="N783" s="7" t="s">
        <x:v>1539</x:v>
      </x:c>
      <x:c r="O783" s="7" t="s">
        <x:v>1539</x:v>
      </x:c>
      <x:c r="P783" s="10">
        <x:v>1.0</x:v>
      </x:c>
      <x:c r="Q783" s="41"/>
      <x:c r="R783" s="10">
        <x:v>12.4</x:v>
      </x:c>
      <x:c r="S783" s="7" t="s">
        <x:v>1540</x:v>
      </x:c>
      <x:c r="T783" s="7" t="b">
        <x:v>0</x:v>
      </x:c>
      <x:c r="U783" s="7" t="s">
        <x:v>1541</x:v>
      </x:c>
      <x:c r="V783" s="26" t="s">
        <x:v>1542</x:v>
      </x:c>
      <x:c r="W783" s="7" t="s">
        <x:v>4977</x:v>
      </x:c>
      <x:c r="X783" s="41"/>
      <x:c r="Y783" s="41"/>
      <x:c r="Z783" s="41"/>
    </x:row>
    <x:row r="784">
      <x:c r="A784" s="7" t="s">
        <x:v>4978</x:v>
      </x:c>
      <x:c r="B784" s="7" t="s">
        <x:v>4979</x:v>
      </x:c>
      <x:c r="C784" s="7" t="s">
        <x:v>4980</x:v>
      </x:c>
      <x:c r="D784" s="7" t="s">
        <x:v>216</x:v>
      </x:c>
      <x:c r="E784" s="7" t="s">
        <x:v>4981</x:v>
      </x:c>
      <x:c r="F784" s="10">
        <x:v>17.71633</x:v>
      </x:c>
      <x:c r="G784" s="10">
        <x:v>100.124115</x:v>
      </x:c>
      <x:c r="H784" s="7" t="s">
        <x:v>1554</x:v>
      </x:c>
      <x:c r="I784" s="10">
        <x:v>69.29</x:v>
      </x:c>
      <x:c r="J784" s="41"/>
      <x:c r="K784" s="41"/>
      <x:c r="L784" s="41"/>
      <x:c r="M784" s="41"/>
      <x:c r="N784" s="7" t="s">
        <x:v>1539</x:v>
      </x:c>
      <x:c r="O784" s="7" t="s">
        <x:v>1539</x:v>
      </x:c>
      <x:c r="P784" s="10">
        <x:v>1.0</x:v>
      </x:c>
      <x:c r="Q784" s="41"/>
      <x:c r="R784" s="10">
        <x:v>12.4</x:v>
      </x:c>
      <x:c r="S784" s="7" t="s">
        <x:v>1540</x:v>
      </x:c>
      <x:c r="T784" s="7" t="b">
        <x:v>0</x:v>
      </x:c>
      <x:c r="U784" s="7" t="s">
        <x:v>1541</x:v>
      </x:c>
      <x:c r="V784" s="26" t="s">
        <x:v>1542</x:v>
      </x:c>
      <x:c r="W784" s="7" t="s">
        <x:v>4982</x:v>
      </x:c>
      <x:c r="X784" s="41"/>
      <x:c r="Y784" s="41"/>
      <x:c r="Z784" s="41"/>
    </x:row>
    <x:row r="785">
      <x:c r="A785" s="7" t="s">
        <x:v>4983</x:v>
      </x:c>
      <x:c r="B785" s="7" t="s">
        <x:v>4984</x:v>
      </x:c>
      <x:c r="C785" s="7" t="s">
        <x:v>4985</x:v>
      </x:c>
      <x:c r="D785" s="7" t="s">
        <x:v>260</x:v>
      </x:c>
      <x:c r="E785" s="7" t="s">
        <x:v>4986</x:v>
      </x:c>
      <x:c r="F785" s="10">
        <x:v>5.785312</x:v>
      </x:c>
      <x:c r="G785" s="10">
        <x:v>101.058685</x:v>
      </x:c>
      <x:c r="H785" s="7" t="s">
        <x:v>1554</x:v>
      </x:c>
      <x:c r="I785" s="10">
        <x:v>281.66</x:v>
      </x:c>
      <x:c r="J785" s="41"/>
      <x:c r="K785" s="41"/>
      <x:c r="L785" s="41"/>
      <x:c r="M785" s="41"/>
      <x:c r="N785" s="7" t="s">
        <x:v>1539</x:v>
      </x:c>
      <x:c r="O785" s="7" t="s">
        <x:v>1539</x:v>
      </x:c>
      <x:c r="P785" s="10">
        <x:v>1.0</x:v>
      </x:c>
      <x:c r="Q785" s="41"/>
      <x:c r="R785" s="10">
        <x:v>12.4</x:v>
      </x:c>
      <x:c r="S785" s="7" t="s">
        <x:v>1540</x:v>
      </x:c>
      <x:c r="T785" s="7" t="b">
        <x:v>0</x:v>
      </x:c>
      <x:c r="U785" s="7" t="s">
        <x:v>1541</x:v>
      </x:c>
      <x:c r="V785" s="26" t="s">
        <x:v>1542</x:v>
      </x:c>
      <x:c r="W785" s="7" t="s">
        <x:v>4987</x:v>
      </x:c>
      <x:c r="X785" s="41"/>
      <x:c r="Y785" s="41"/>
      <x:c r="Z785" s="41"/>
    </x:row>
    <x:row r="786">
      <x:c r="A786" s="7" t="s">
        <x:v>4988</x:v>
      </x:c>
      <x:c r="B786" s="7" t="s">
        <x:v>4989</x:v>
      </x:c>
      <x:c r="C786" s="7" t="s">
        <x:v>4990</x:v>
      </x:c>
      <x:c r="D786" s="7" t="s">
        <x:v>260</x:v>
      </x:c>
      <x:c r="E786" s="7" t="s">
        <x:v>2321</x:v>
      </x:c>
      <x:c r="F786" s="10">
        <x:v>6.411704</x:v>
      </x:c>
      <x:c r="G786" s="10">
        <x:v>101.27776</x:v>
      </x:c>
      <x:c r="H786" s="7" t="s">
        <x:v>1554</x:v>
      </x:c>
      <x:c r="I786" s="10">
        <x:v>5.79</x:v>
      </x:c>
      <x:c r="J786" s="41"/>
      <x:c r="K786" s="41"/>
      <x:c r="L786" s="41"/>
      <x:c r="M786" s="41"/>
      <x:c r="N786" s="7" t="s">
        <x:v>1539</x:v>
      </x:c>
      <x:c r="O786" s="7" t="s">
        <x:v>1539</x:v>
      </x:c>
      <x:c r="P786" s="10">
        <x:v>1.0</x:v>
      </x:c>
      <x:c r="Q786" s="41"/>
      <x:c r="R786" s="10">
        <x:v>12.4</x:v>
      </x:c>
      <x:c r="S786" s="7" t="s">
        <x:v>1540</x:v>
      </x:c>
      <x:c r="T786" s="7" t="b">
        <x:v>0</x:v>
      </x:c>
      <x:c r="U786" s="7" t="s">
        <x:v>1541</x:v>
      </x:c>
      <x:c r="V786" s="26" t="s">
        <x:v>1542</x:v>
      </x:c>
      <x:c r="W786" s="7" t="s">
        <x:v>4991</x:v>
      </x:c>
      <x:c r="X786" s="41"/>
      <x:c r="Y786" s="41"/>
      <x:c r="Z786" s="41"/>
    </x:row>
    <x:row r="787">
      <x:c r="A787" s="7" t="s">
        <x:v>4992</x:v>
      </x:c>
      <x:c r="B787" s="7" t="s">
        <x:v>4993</x:v>
      </x:c>
      <x:c r="C787" s="7" t="s">
        <x:v>4994</x:v>
      </x:c>
      <x:c r="D787" s="7" t="s">
        <x:v>210</x:v>
      </x:c>
      <x:c r="E787" s="7" t="s">
        <x:v>4995</x:v>
      </x:c>
      <x:c r="F787" s="10">
        <x:v>18.584373</x:v>
      </x:c>
      <x:c r="G787" s="10">
        <x:v>100.50956</x:v>
      </x:c>
      <x:c r="H787" s="7" t="s">
        <x:v>1554</x:v>
      </x:c>
      <x:c r="I787" s="10">
        <x:v>289.98</x:v>
      </x:c>
      <x:c r="J787" s="41"/>
      <x:c r="K787" s="41"/>
      <x:c r="L787" s="41"/>
      <x:c r="M787" s="41"/>
      <x:c r="N787" s="7" t="s">
        <x:v>1539</x:v>
      </x:c>
      <x:c r="O787" s="7" t="s">
        <x:v>1539</x:v>
      </x:c>
      <x:c r="P787" s="10">
        <x:v>1.0</x:v>
      </x:c>
      <x:c r="Q787" s="41"/>
      <x:c r="R787" s="10">
        <x:v>12.4</x:v>
      </x:c>
      <x:c r="S787" s="7" t="s">
        <x:v>1540</x:v>
      </x:c>
      <x:c r="T787" s="7" t="b">
        <x:v>0</x:v>
      </x:c>
      <x:c r="U787" s="7" t="s">
        <x:v>1541</x:v>
      </x:c>
      <x:c r="V787" s="26" t="s">
        <x:v>1542</x:v>
      </x:c>
      <x:c r="W787" s="7" t="s">
        <x:v>4996</x:v>
      </x:c>
      <x:c r="X787" s="41"/>
      <x:c r="Y787" s="41"/>
      <x:c r="Z787" s="41"/>
    </x:row>
    <x:row r="788">
      <x:c r="A788" s="7" t="s">
        <x:v>4997</x:v>
      </x:c>
      <x:c r="B788" s="7" t="s">
        <x:v>4998</x:v>
      </x:c>
      <x:c r="C788" s="7" t="s">
        <x:v>4999</x:v>
      </x:c>
      <x:c r="D788" s="7" t="s">
        <x:v>210</x:v>
      </x:c>
      <x:c r="E788" s="7" t="s">
        <x:v>3213</x:v>
      </x:c>
      <x:c r="F788" s="10">
        <x:v>18.484377</x:v>
      </x:c>
      <x:c r="G788" s="10">
        <x:v>100.93808</x:v>
      </x:c>
      <x:c r="H788" s="7" t="s">
        <x:v>1554</x:v>
      </x:c>
      <x:c r="I788" s="10">
        <x:v>291.03</x:v>
      </x:c>
      <x:c r="J788" s="41"/>
      <x:c r="K788" s="41"/>
      <x:c r="L788" s="41"/>
      <x:c r="M788" s="41"/>
      <x:c r="N788" s="7" t="s">
        <x:v>1539</x:v>
      </x:c>
      <x:c r="O788" s="7" t="s">
        <x:v>1539</x:v>
      </x:c>
      <x:c r="P788" s="10">
        <x:v>1.0</x:v>
      </x:c>
      <x:c r="Q788" s="41"/>
      <x:c r="R788" s="10">
        <x:v>12.4</x:v>
      </x:c>
      <x:c r="S788" s="7" t="s">
        <x:v>1540</x:v>
      </x:c>
      <x:c r="T788" s="7" t="b">
        <x:v>0</x:v>
      </x:c>
      <x:c r="U788" s="7" t="s">
        <x:v>1541</x:v>
      </x:c>
      <x:c r="V788" s="26" t="s">
        <x:v>1542</x:v>
      </x:c>
      <x:c r="W788" s="7" t="s">
        <x:v>5000</x:v>
      </x:c>
      <x:c r="X788" s="41"/>
      <x:c r="Y788" s="41"/>
      <x:c r="Z788" s="41"/>
    </x:row>
    <x:row r="789">
      <x:c r="A789" s="7" t="s">
        <x:v>5001</x:v>
      </x:c>
      <x:c r="B789" s="7" t="s">
        <x:v>5002</x:v>
      </x:c>
      <x:c r="C789" s="7" t="s">
        <x:v>5003</x:v>
      </x:c>
      <x:c r="D789" s="7" t="s">
        <x:v>91</x:v>
      </x:c>
      <x:c r="E789" s="7" t="s">
        <x:v>1612</x:v>
      </x:c>
      <x:c r="F789" s="10">
        <x:v>13.986616</x:v>
      </x:c>
      <x:c r="G789" s="10">
        <x:v>101.70547</x:v>
      </x:c>
      <x:c r="H789" s="7" t="s">
        <x:v>789</x:v>
      </x:c>
      <x:c r="I789" s="10">
        <x:v>-2.55</x:v>
      </x:c>
      <x:c r="J789" s="41"/>
      <x:c r="K789" s="41"/>
      <x:c r="L789" s="41"/>
      <x:c r="M789" s="41"/>
      <x:c r="N789" s="7" t="s">
        <x:v>1539</x:v>
      </x:c>
      <x:c r="O789" s="7" t="s">
        <x:v>1539</x:v>
      </x:c>
      <x:c r="P789" s="10">
        <x:v>1.0</x:v>
      </x:c>
      <x:c r="Q789" s="41"/>
      <x:c r="R789" s="10">
        <x:v>5232.4</x:v>
      </x:c>
      <x:c r="S789" s="7" t="s">
        <x:v>301</x:v>
      </x:c>
      <x:c r="T789" s="7" t="b">
        <x:v>0</x:v>
      </x:c>
      <x:c r="U789" s="7" t="s">
        <x:v>1541</x:v>
      </x:c>
      <x:c r="V789" s="26" t="s">
        <x:v>1542</x:v>
      </x:c>
      <x:c r="W789" s="7" t="s">
        <x:v>5004</x:v>
      </x:c>
      <x:c r="X789" s="41"/>
      <x:c r="Y789" s="41"/>
      <x:c r="Z789" s="41"/>
    </x:row>
    <x:row r="790">
      <x:c r="A790" s="7" t="s">
        <x:v>5005</x:v>
      </x:c>
      <x:c r="B790" s="7" t="s">
        <x:v>5006</x:v>
      </x:c>
      <x:c r="C790" s="7" t="s">
        <x:v>5007</x:v>
      </x:c>
      <x:c r="D790" s="7" t="s">
        <x:v>212</x:v>
      </x:c>
      <x:c r="E790" s="7" t="s">
        <x:v>5007</x:v>
      </x:c>
      <x:c r="F790" s="10">
        <x:v>17.33189</x:v>
      </x:c>
      <x:c r="G790" s="10">
        <x:v>99.461807</x:v>
      </x:c>
      <x:c r="H790" s="7" t="s">
        <x:v>1548</x:v>
      </x:c>
      <x:c r="I790" s="10">
        <x:v>101.48</x:v>
      </x:c>
      <x:c r="J790" s="41"/>
      <x:c r="K790" s="41"/>
      <x:c r="L790" s="41"/>
      <x:c r="M790" s="41"/>
      <x:c r="N790" s="7" t="s">
        <x:v>1539</x:v>
      </x:c>
      <x:c r="O790" s="7" t="s">
        <x:v>1539</x:v>
      </x:c>
      <x:c r="P790" s="10">
        <x:v>1.0</x:v>
      </x:c>
      <x:c r="Q790" s="41"/>
      <x:c r="R790" s="10">
        <x:v>82.4</x:v>
      </x:c>
      <x:c r="S790" s="7" t="s">
        <x:v>301</x:v>
      </x:c>
      <x:c r="T790" s="7" t="b">
        <x:v>0</x:v>
      </x:c>
      <x:c r="U790" s="7" t="s">
        <x:v>1541</x:v>
      </x:c>
      <x:c r="V790" s="26" t="s">
        <x:v>1542</x:v>
      </x:c>
      <x:c r="W790" s="7" t="s">
        <x:v>5008</x:v>
      </x:c>
      <x:c r="X790" s="41"/>
      <x:c r="Y790" s="41"/>
      <x:c r="Z790" s="41"/>
    </x:row>
    <x:row r="791">
      <x:c r="A791" s="7" t="s">
        <x:v>5009</x:v>
      </x:c>
      <x:c r="B791" s="7" t="s">
        <x:v>5010</x:v>
      </x:c>
      <x:c r="C791" s="7" t="s">
        <x:v>5011</x:v>
      </x:c>
      <x:c r="D791" s="7" t="s">
        <x:v>197</x:v>
      </x:c>
      <x:c r="E791" s="7" t="s">
        <x:v>4065</x:v>
      </x:c>
      <x:c r="F791" s="10">
        <x:v>10.077709</x:v>
      </x:c>
      <x:c r="G791" s="10">
        <x:v>98.98693</x:v>
      </x:c>
      <x:c r="H791" s="7" t="s">
        <x:v>1554</x:v>
      </x:c>
      <x:c r="I791" s="10">
        <x:v>66.93</x:v>
      </x:c>
      <x:c r="J791" s="41"/>
      <x:c r="K791" s="41"/>
      <x:c r="L791" s="41"/>
      <x:c r="M791" s="10"/>
      <x:c r="N791" s="7" t="s">
        <x:v>1539</x:v>
      </x:c>
      <x:c r="O791" s="7" t="s">
        <x:v>1539</x:v>
      </x:c>
      <x:c r="P791" s="10">
        <x:v>1.0</x:v>
      </x:c>
      <x:c r="Q791" s="41"/>
      <x:c r="R791" s="10">
        <x:v>12.4</x:v>
      </x:c>
      <x:c r="S791" s="7" t="s">
        <x:v>1540</x:v>
      </x:c>
      <x:c r="T791" s="7" t="b">
        <x:v>0</x:v>
      </x:c>
      <x:c r="U791" s="7" t="s">
        <x:v>1541</x:v>
      </x:c>
      <x:c r="V791" s="26" t="s">
        <x:v>1542</x:v>
      </x:c>
      <x:c r="W791" s="7" t="s">
        <x:v>5012</x:v>
      </x:c>
      <x:c r="X791" s="41"/>
      <x:c r="Y791" s="41"/>
      <x:c r="Z791" s="41"/>
    </x:row>
    <x:row r="792">
      <x:c r="A792" s="7" t="s">
        <x:v>5013</x:v>
      </x:c>
      <x:c r="B792" s="7" t="s">
        <x:v>5014</x:v>
      </x:c>
      <x:c r="C792" s="7" t="s">
        <x:v>5015</x:v>
      </x:c>
      <x:c r="D792" s="7" t="s">
        <x:v>84</x:v>
      </x:c>
      <x:c r="E792" s="7" t="s">
        <x:v>4570</x:v>
      </x:c>
      <x:c r="F792" s="10">
        <x:v>13.56012</x:v>
      </x:c>
      <x:c r="G792" s="10">
        <x:v>99.36201</x:v>
      </x:c>
      <x:c r="H792" s="7" t="s">
        <x:v>1658</x:v>
      </x:c>
      <x:c r="I792" s="10">
        <x:v>95.99</x:v>
      </x:c>
      <x:c r="J792" s="41"/>
      <x:c r="K792" s="41"/>
      <x:c r="L792" s="41"/>
      <x:c r="M792" s="10">
        <x:v>99.32</x:v>
      </x:c>
      <x:c r="N792" s="7" t="s">
        <x:v>1539</x:v>
      </x:c>
      <x:c r="O792" s="7" t="s">
        <x:v>1539</x:v>
      </x:c>
      <x:c r="P792" s="10">
        <x:v>1.0</x:v>
      </x:c>
      <x:c r="Q792" s="41"/>
      <x:c r="R792" s="10">
        <x:v>22.4</x:v>
      </x:c>
      <x:c r="S792" s="7" t="s">
        <x:v>1540</x:v>
      </x:c>
      <x:c r="T792" s="7" t="b">
        <x:v>0</x:v>
      </x:c>
      <x:c r="U792" s="7" t="s">
        <x:v>1541</x:v>
      </x:c>
      <x:c r="V792" s="26" t="s">
        <x:v>1542</x:v>
      </x:c>
      <x:c r="W792" s="7" t="s">
        <x:v>5016</x:v>
      </x:c>
      <x:c r="X792" s="41"/>
      <x:c r="Y792" s="41"/>
      <x:c r="Z792" s="41"/>
    </x:row>
    <x:row r="793">
      <x:c r="A793" s="7" t="s">
        <x:v>5017</x:v>
      </x:c>
      <x:c r="B793" s="7" t="s">
        <x:v>5018</x:v>
      </x:c>
      <x:c r="C793" s="7" t="s">
        <x:v>5019</x:v>
      </x:c>
      <x:c r="D793" s="7" t="s">
        <x:v>210</x:v>
      </x:c>
      <x:c r="E793" s="7" t="s">
        <x:v>5020</x:v>
      </x:c>
      <x:c r="F793" s="10">
        <x:v>19.148926</x:v>
      </x:c>
      <x:c r="G793" s="10">
        <x:v>100.94644</x:v>
      </x:c>
      <x:c r="H793" s="7" t="s">
        <x:v>1554</x:v>
      </x:c>
      <x:c r="I793" s="10">
        <x:v>296.15</x:v>
      </x:c>
      <x:c r="J793" s="41"/>
      <x:c r="K793" s="41"/>
      <x:c r="L793" s="41"/>
      <x:c r="M793" s="10"/>
      <x:c r="N793" s="7" t="s">
        <x:v>1539</x:v>
      </x:c>
      <x:c r="O793" s="7" t="s">
        <x:v>1539</x:v>
      </x:c>
      <x:c r="P793" s="10">
        <x:v>1.0</x:v>
      </x:c>
      <x:c r="Q793" s="41"/>
      <x:c r="R793" s="10">
        <x:v>12.4</x:v>
      </x:c>
      <x:c r="S793" s="7" t="s">
        <x:v>1540</x:v>
      </x:c>
      <x:c r="T793" s="7" t="b">
        <x:v>0</x:v>
      </x:c>
      <x:c r="U793" s="7" t="s">
        <x:v>1541</x:v>
      </x:c>
      <x:c r="V793" s="26" t="s">
        <x:v>1542</x:v>
      </x:c>
      <x:c r="W793" s="7" t="s">
        <x:v>5021</x:v>
      </x:c>
      <x:c r="X793" s="41"/>
      <x:c r="Y793" s="41"/>
      <x:c r="Z793" s="41"/>
    </x:row>
    <x:row r="794">
      <x:c r="A794" s="7" t="s">
        <x:v>5022</x:v>
      </x:c>
      <x:c r="B794" s="7" t="s">
        <x:v>5023</x:v>
      </x:c>
      <x:c r="C794" s="7" t="s">
        <x:v>5024</x:v>
      </x:c>
      <x:c r="D794" s="7" t="s">
        <x:v>248</x:v>
      </x:c>
      <x:c r="E794" s="7" t="s">
        <x:v>4221</x:v>
      </x:c>
      <x:c r="F794" s="10">
        <x:v>8.40118</x:v>
      </x:c>
      <x:c r="G794" s="10">
        <x:v>99.802</x:v>
      </x:c>
      <x:c r="H794" s="7" t="s">
        <x:v>1554</x:v>
      </x:c>
      <x:c r="I794" s="10">
        <x:v>23.19</x:v>
      </x:c>
      <x:c r="J794" s="41"/>
      <x:c r="K794" s="41"/>
      <x:c r="L794" s="41"/>
      <x:c r="M794" s="10"/>
      <x:c r="N794" s="7" t="s">
        <x:v>300</x:v>
      </x:c>
      <x:c r="O794" s="7" t="s">
        <x:v>1539</x:v>
      </x:c>
      <x:c r="P794" s="41"/>
      <x:c r="Q794" s="41"/>
      <x:c r="R794" s="10">
        <x:v>12.4</x:v>
      </x:c>
      <x:c r="S794" s="7" t="s">
        <x:v>1540</x:v>
      </x:c>
      <x:c r="T794" s="7" t="b">
        <x:v>0</x:v>
      </x:c>
      <x:c r="U794" s="7" t="s">
        <x:v>1541</x:v>
      </x:c>
      <x:c r="V794" s="26" t="s">
        <x:v>1542</x:v>
      </x:c>
      <x:c r="W794" s="7" t="s">
        <x:v>5025</x:v>
      </x:c>
      <x:c r="X794" s="41"/>
      <x:c r="Y794" s="41"/>
      <x:c r="Z794" s="41"/>
    </x:row>
    <x:row r="795">
      <x:c r="A795" s="7" t="s">
        <x:v>5026</x:v>
      </x:c>
      <x:c r="B795" s="7" t="s">
        <x:v>5027</x:v>
      </x:c>
      <x:c r="C795" s="7" t="s">
        <x:v>5028</x:v>
      </x:c>
      <x:c r="D795" s="7" t="s">
        <x:v>234</x:v>
      </x:c>
      <x:c r="E795" s="7" t="s">
        <x:v>4583</x:v>
      </x:c>
      <x:c r="F795" s="10">
        <x:v>16.994</x:v>
      </x:c>
      <x:c r="G795" s="10">
        <x:v>104.172</x:v>
      </x:c>
      <x:c r="H795" s="7" t="s">
        <x:v>1548</x:v>
      </x:c>
      <x:c r="I795" s="10">
        <x:v>171.9</x:v>
      </x:c>
      <x:c r="J795" s="41"/>
      <x:c r="K795" s="41"/>
      <x:c r="L795" s="41"/>
      <x:c r="M795" s="10">
        <x:v>174.5</x:v>
      </x:c>
      <x:c r="N795" s="7" t="s">
        <x:v>300</x:v>
      </x:c>
      <x:c r="O795" s="7" t="s">
        <x:v>1539</x:v>
      </x:c>
      <x:c r="P795" s="41"/>
      <x:c r="Q795" s="41"/>
      <x:c r="R795" s="10">
        <x:v>82.4</x:v>
      </x:c>
      <x:c r="S795" s="7" t="s">
        <x:v>301</x:v>
      </x:c>
      <x:c r="T795" s="7" t="b">
        <x:v>0</x:v>
      </x:c>
      <x:c r="U795" s="7" t="s">
        <x:v>1541</x:v>
      </x:c>
      <x:c r="V795" s="26" t="s">
        <x:v>1542</x:v>
      </x:c>
      <x:c r="W795" s="7" t="s">
        <x:v>5029</x:v>
      </x:c>
      <x:c r="X795" s="41"/>
      <x:c r="Y795" s="41"/>
      <x:c r="Z795" s="41"/>
    </x:row>
    <x:row r="796">
      <x:c r="A796" s="7" t="s">
        <x:v>5030</x:v>
      </x:c>
      <x:c r="B796" s="7" t="s">
        <x:v>5031</x:v>
      </x:c>
      <x:c r="C796" s="7" t="s">
        <x:v>5032</x:v>
      </x:c>
      <x:c r="D796" s="7" t="s">
        <x:v>88</x:v>
      </x:c>
      <x:c r="E796" s="7" t="s">
        <x:v>5033</x:v>
      </x:c>
      <x:c r="F796" s="10">
        <x:v>14.28644</x:v>
      </x:c>
      <x:c r="G796" s="10">
        <x:v>101.070473</x:v>
      </x:c>
      <x:c r="H796" s="7" t="s">
        <x:v>1548</x:v>
      </x:c>
      <x:c r="I796" s="10">
        <x:v>9.39</x:v>
      </x:c>
      <x:c r="J796" s="41"/>
      <x:c r="K796" s="41"/>
      <x:c r="L796" s="41"/>
      <x:c r="M796" s="10"/>
      <x:c r="N796" s="7" t="s">
        <x:v>300</x:v>
      </x:c>
      <x:c r="O796" s="7" t="s">
        <x:v>1539</x:v>
      </x:c>
      <x:c r="P796" s="41"/>
      <x:c r="Q796" s="41"/>
      <x:c r="R796" s="10">
        <x:v>82.4</x:v>
      </x:c>
      <x:c r="S796" s="7" t="s">
        <x:v>301</x:v>
      </x:c>
      <x:c r="T796" s="7" t="b">
        <x:v>0</x:v>
      </x:c>
      <x:c r="U796" s="7" t="s">
        <x:v>1541</x:v>
      </x:c>
      <x:c r="V796" s="26" t="s">
        <x:v>1542</x:v>
      </x:c>
      <x:c r="W796" s="7" t="s">
        <x:v>5034</x:v>
      </x:c>
      <x:c r="X796" s="41"/>
      <x:c r="Y796" s="41"/>
      <x:c r="Z796" s="41"/>
    </x:row>
    <x:row r="797">
      <x:c r="A797" s="7" t="s">
        <x:v>5035</x:v>
      </x:c>
      <x:c r="B797" s="7" t="s">
        <x:v>5036</x:v>
      </x:c>
      <x:c r="C797" s="7" t="s">
        <x:v>5037</x:v>
      </x:c>
      <x:c r="D797" s="7" t="s">
        <x:v>225</x:v>
      </x:c>
      <x:c r="E797" s="7" t="s">
        <x:v>4441</x:v>
      </x:c>
      <x:c r="F797" s="10">
        <x:v>12.38995</x:v>
      </x:c>
      <x:c r="G797" s="10">
        <x:v>99.911247</x:v>
      </x:c>
      <x:c r="H797" s="7" t="s">
        <x:v>1537</x:v>
      </x:c>
      <x:c r="I797" s="10">
        <x:v>2.1</x:v>
      </x:c>
      <x:c r="J797" s="41"/>
      <x:c r="K797" s="41"/>
      <x:c r="L797" s="41"/>
      <x:c r="M797" s="10"/>
      <x:c r="N797" s="7" t="s">
        <x:v>300</x:v>
      </x:c>
      <x:c r="O797" s="7" t="s">
        <x:v>1539</x:v>
      </x:c>
      <x:c r="P797" s="41"/>
      <x:c r="Q797" s="41"/>
      <x:c r="R797" s="10">
        <x:v>-457.6</x:v>
      </x:c>
      <x:c r="S797" s="7" t="s">
        <x:v>1540</x:v>
      </x:c>
      <x:c r="T797" s="7" t="b">
        <x:v>0</x:v>
      </x:c>
      <x:c r="U797" s="7" t="s">
        <x:v>1541</x:v>
      </x:c>
      <x:c r="V797" s="26" t="s">
        <x:v>1542</x:v>
      </x:c>
      <x:c r="W797" s="7" t="s">
        <x:v>5038</x:v>
      </x:c>
      <x:c r="X797" s="41"/>
      <x:c r="Y797" s="41"/>
      <x:c r="Z797" s="41"/>
    </x:row>
    <x:row r="798">
      <x:c r="A798" s="7" t="s">
        <x:v>5039</x:v>
      </x:c>
      <x:c r="B798" s="7" t="s">
        <x:v>5040</x:v>
      </x:c>
      <x:c r="C798" s="7" t="s">
        <x:v>5041</x:v>
      </x:c>
      <x:c r="D798" s="7" t="s">
        <x:v>234</x:v>
      </x:c>
      <x:c r="E798" s="7" t="s">
        <x:v>5042</x:v>
      </x:c>
      <x:c r="F798" s="10">
        <x:v>16.97249</x:v>
      </x:c>
      <x:c r="G798" s="10">
        <x:v>103.983376</x:v>
      </x:c>
      <x:c r="H798" s="7" t="s">
        <x:v>1548</x:v>
      </x:c>
      <x:c r="I798" s="10">
        <x:v>279.35</x:v>
      </x:c>
      <x:c r="J798" s="41"/>
      <x:c r="K798" s="41"/>
      <x:c r="L798" s="41"/>
      <x:c r="M798" s="10">
        <x:v>0.0</x:v>
      </x:c>
      <x:c r="N798" s="7" t="s">
        <x:v>300</x:v>
      </x:c>
      <x:c r="O798" s="7" t="s">
        <x:v>1539</x:v>
      </x:c>
      <x:c r="P798" s="41"/>
      <x:c r="Q798" s="41"/>
      <x:c r="R798" s="10">
        <x:v>82.4</x:v>
      </x:c>
      <x:c r="S798" s="7" t="s">
        <x:v>301</x:v>
      </x:c>
      <x:c r="T798" s="7" t="b">
        <x:v>0</x:v>
      </x:c>
      <x:c r="U798" s="7" t="s">
        <x:v>1541</x:v>
      </x:c>
      <x:c r="V798" s="26" t="s">
        <x:v>1542</x:v>
      </x:c>
      <x:c r="W798" s="7" t="s">
        <x:v>5043</x:v>
      </x:c>
      <x:c r="X798" s="41"/>
      <x:c r="Y798" s="41"/>
      <x:c r="Z798" s="41"/>
    </x:row>
    <x:row r="799">
      <x:c r="A799" s="7" t="s">
        <x:v>5044</x:v>
      </x:c>
      <x:c r="B799" s="7" t="s">
        <x:v>5045</x:v>
      </x:c>
      <x:c r="C799" s="7" t="s">
        <x:v>5046</x:v>
      </x:c>
      <x:c r="D799" s="7" t="s">
        <x:v>211</x:v>
      </x:c>
      <x:c r="E799" s="7" t="s">
        <x:v>5047</x:v>
      </x:c>
      <x:c r="F799" s="10">
        <x:v>19.16588</x:v>
      </x:c>
      <x:c r="G799" s="10">
        <x:v>99.934341</x:v>
      </x:c>
      <x:c r="H799" s="7" t="s">
        <x:v>5048</x:v>
      </x:c>
      <x:c r="I799" s="10">
        <x:v>388.0</x:v>
      </x:c>
      <x:c r="J799" s="41"/>
      <x:c r="K799" s="41"/>
      <x:c r="L799" s="41"/>
      <x:c r="M799" s="10"/>
      <x:c r="N799" s="7" t="s">
        <x:v>300</x:v>
      </x:c>
      <x:c r="O799" s="7" t="s">
        <x:v>1539</x:v>
      </x:c>
      <x:c r="P799" s="41"/>
      <x:c r="Q799" s="41"/>
      <x:c r="R799" s="10">
        <x:v>2002.4</x:v>
      </x:c>
      <x:c r="S799" s="7" t="s">
        <x:v>301</x:v>
      </x:c>
      <x:c r="T799" s="7" t="b">
        <x:v>0</x:v>
      </x:c>
      <x:c r="U799" s="7" t="s">
        <x:v>1541</x:v>
      </x:c>
      <x:c r="V799" s="26" t="s">
        <x:v>1542</x:v>
      </x:c>
      <x:c r="W799" s="7" t="s">
        <x:v>5049</x:v>
      </x:c>
      <x:c r="X799" s="41"/>
      <x:c r="Y799" s="41"/>
      <x:c r="Z799" s="41"/>
    </x:row>
    <x:row r="800">
      <x:c r="A800" s="7" t="s">
        <x:v>5050</x:v>
      </x:c>
      <x:c r="B800" s="7" t="s">
        <x:v>5051</x:v>
      </x:c>
      <x:c r="C800" s="7" t="s">
        <x:v>5052</x:v>
      </x:c>
      <x:c r="D800" s="7" t="s">
        <x:v>214</x:v>
      </x:c>
      <x:c r="E800" s="7" t="s">
        <x:v>4525</x:v>
      </x:c>
      <x:c r="F800" s="10">
        <x:v>19.27033</x:v>
      </x:c>
      <x:c r="G800" s="10">
        <x:v>97.945213</x:v>
      </x:c>
      <x:c r="H800" s="7" t="s">
        <x:v>1777</x:v>
      </x:c>
      <x:c r="I800" s="10">
        <x:v>176.84</x:v>
      </x:c>
      <x:c r="J800" s="41"/>
      <x:c r="K800" s="41"/>
      <x:c r="L800" s="41"/>
      <x:c r="M800" s="10">
        <x:v>208.49</x:v>
      </x:c>
      <x:c r="N800" s="7" t="s">
        <x:v>300</x:v>
      </x:c>
      <x:c r="O800" s="7" t="s">
        <x:v>1539</x:v>
      </x:c>
      <x:c r="P800" s="41"/>
      <x:c r="Q800" s="41"/>
      <x:c r="R800" s="10">
        <x:v>562.4</x:v>
      </x:c>
      <x:c r="S800" s="7" t="s">
        <x:v>301</x:v>
      </x:c>
      <x:c r="T800" s="7" t="b">
        <x:v>0</x:v>
      </x:c>
      <x:c r="U800" s="7" t="s">
        <x:v>1541</x:v>
      </x:c>
      <x:c r="V800" s="26" t="s">
        <x:v>1542</x:v>
      </x:c>
      <x:c r="W800" s="7" t="s">
        <x:v>5053</x:v>
      </x:c>
      <x:c r="X800" s="41"/>
      <x:c r="Y800" s="41"/>
      <x:c r="Z800" s="41"/>
    </x:row>
    <x:row r="801">
      <x:c r="A801" s="7" t="s">
        <x:v>5054</x:v>
      </x:c>
      <x:c r="B801" s="7" t="s">
        <x:v>5055</x:v>
      </x:c>
      <x:c r="C801" s="7" t="s">
        <x:v>5056</x:v>
      </x:c>
      <x:c r="D801" s="7" t="s">
        <x:v>260</x:v>
      </x:c>
      <x:c r="E801" s="7" t="s">
        <x:v>2321</x:v>
      </x:c>
      <x:c r="F801" s="10">
        <x:v>6.153667</x:v>
      </x:c>
      <x:c r="G801" s="10">
        <x:v>101.273116</x:v>
      </x:c>
      <x:c r="H801" s="7" t="s">
        <x:v>1658</x:v>
      </x:c>
      <x:c r="I801" s="10">
        <x:v>99.6</x:v>
      </x:c>
      <x:c r="J801" s="41"/>
      <x:c r="K801" s="41"/>
      <x:c r="L801" s="41"/>
      <x:c r="M801" s="10">
        <x:v>0.0</x:v>
      </x:c>
      <x:c r="N801" s="7" t="s">
        <x:v>300</x:v>
      </x:c>
      <x:c r="O801" s="7" t="s">
        <x:v>1539</x:v>
      </x:c>
      <x:c r="P801" s="41"/>
      <x:c r="Q801" s="41"/>
      <x:c r="R801" s="10">
        <x:v>22.4</x:v>
      </x:c>
      <x:c r="S801" s="7" t="s">
        <x:v>1540</x:v>
      </x:c>
      <x:c r="T801" s="7" t="b">
        <x:v>0</x:v>
      </x:c>
      <x:c r="U801" s="7" t="s">
        <x:v>1541</x:v>
      </x:c>
      <x:c r="V801" s="26" t="s">
        <x:v>1542</x:v>
      </x:c>
      <x:c r="W801" s="7" t="s">
        <x:v>5057</x:v>
      </x:c>
      <x:c r="X801" s="41"/>
      <x:c r="Y801" s="41"/>
      <x:c r="Z801" s="41"/>
    </x:row>
    <x:row r="802">
      <x:c r="A802" s="7" t="s">
        <x:v>5058</x:v>
      </x:c>
      <x:c r="B802" s="7" t="s">
        <x:v>5059</x:v>
      </x:c>
      <x:c r="C802" s="7" t="s">
        <x:v>3164</x:v>
      </x:c>
      <x:c r="D802" s="7" t="s">
        <x:v>225</x:v>
      </x:c>
      <x:c r="E802" s="7" t="s">
        <x:v>5060</x:v>
      </x:c>
      <x:c r="F802" s="10">
        <x:v>11.49674</x:v>
      </x:c>
      <x:c r="G802" s="10">
        <x:v>99.602303</x:v>
      </x:c>
      <x:c r="H802" s="7" t="s">
        <x:v>1537</x:v>
      </x:c>
      <x:c r="I802" s="10">
        <x:v>7.33</x:v>
      </x:c>
      <x:c r="J802" s="41"/>
      <x:c r="K802" s="41"/>
      <x:c r="L802" s="41"/>
      <x:c r="M802" s="10">
        <x:v>10.9</x:v>
      </x:c>
      <x:c r="N802" s="7" t="s">
        <x:v>300</x:v>
      </x:c>
      <x:c r="O802" s="7" t="s">
        <x:v>1539</x:v>
      </x:c>
      <x:c r="P802" s="41"/>
      <x:c r="Q802" s="41"/>
      <x:c r="R802" s="10">
        <x:v>-457.6</x:v>
      </x:c>
      <x:c r="S802" s="7" t="s">
        <x:v>1540</x:v>
      </x:c>
      <x:c r="T802" s="7" t="b">
        <x:v>0</x:v>
      </x:c>
      <x:c r="U802" s="7" t="s">
        <x:v>1541</x:v>
      </x:c>
      <x:c r="V802" s="26" t="s">
        <x:v>1542</x:v>
      </x:c>
      <x:c r="W802" s="7" t="s">
        <x:v>5061</x:v>
      </x:c>
      <x:c r="X802" s="41"/>
      <x:c r="Y802" s="41"/>
      <x:c r="Z802" s="41"/>
    </x:row>
    <x:row r="803">
      <x:c r="A803" s="7" t="s">
        <x:v>5062</x:v>
      </x:c>
      <x:c r="B803" s="7" t="s">
        <x:v>5063</x:v>
      </x:c>
      <x:c r="C803" s="7" t="s">
        <x:v>5064</x:v>
      </x:c>
      <x:c r="D803" s="7" t="s">
        <x:v>260</x:v>
      </x:c>
      <x:c r="E803" s="7" t="s">
        <x:v>5065</x:v>
      </x:c>
      <x:c r="F803" s="10">
        <x:v>6.143055</x:v>
      </x:c>
      <x:c r="G803" s="10">
        <x:v>101.309167</x:v>
      </x:c>
      <x:c r="H803" s="7" t="s">
        <x:v>1658</x:v>
      </x:c>
      <x:c r="I803" s="10">
        <x:v>331.7</x:v>
      </x:c>
      <x:c r="J803" s="41"/>
      <x:c r="K803" s="41"/>
      <x:c r="L803" s="41"/>
      <x:c r="M803" s="10">
        <x:v>0.0</x:v>
      </x:c>
      <x:c r="N803" s="7" t="s">
        <x:v>300</x:v>
      </x:c>
      <x:c r="O803" s="7" t="s">
        <x:v>1539</x:v>
      </x:c>
      <x:c r="P803" s="41"/>
      <x:c r="Q803" s="41"/>
      <x:c r="R803" s="10">
        <x:v>22.4</x:v>
      </x:c>
      <x:c r="S803" s="7" t="s">
        <x:v>1540</x:v>
      </x:c>
      <x:c r="T803" s="7" t="b">
        <x:v>0</x:v>
      </x:c>
      <x:c r="U803" s="7" t="s">
        <x:v>1541</x:v>
      </x:c>
      <x:c r="V803" s="26" t="s">
        <x:v>1542</x:v>
      </x:c>
      <x:c r="W803" s="7" t="s">
        <x:v>5066</x:v>
      </x:c>
      <x:c r="X803" s="41"/>
      <x:c r="Y803" s="41"/>
      <x:c r="Z803" s="41"/>
    </x:row>
    <x:row r="804">
      <x:c r="A804" s="7" t="s">
        <x:v>5067</x:v>
      </x:c>
      <x:c r="B804" s="7" t="s">
        <x:v>5068</x:v>
      </x:c>
      <x:c r="C804" s="7" t="s">
        <x:v>5069</x:v>
      </x:c>
      <x:c r="D804" s="7" t="s">
        <x:v>225</x:v>
      </x:c>
      <x:c r="E804" s="7" t="s">
        <x:v>5070</x:v>
      </x:c>
      <x:c r="F804" s="10">
        <x:v>11.40416</x:v>
      </x:c>
      <x:c r="G804" s="10">
        <x:v>99.519218</x:v>
      </x:c>
      <x:c r="H804" s="7" t="s">
        <x:v>1537</x:v>
      </x:c>
      <x:c r="I804" s="10">
        <x:v>24.08</x:v>
      </x:c>
      <x:c r="J804" s="41"/>
      <x:c r="K804" s="41"/>
      <x:c r="L804" s="41"/>
      <x:c r="M804" s="10"/>
      <x:c r="N804" s="7" t="s">
        <x:v>300</x:v>
      </x:c>
      <x:c r="O804" s="7" t="s">
        <x:v>1539</x:v>
      </x:c>
      <x:c r="P804" s="41"/>
      <x:c r="Q804" s="41"/>
      <x:c r="R804" s="10">
        <x:v>-457.6</x:v>
      </x:c>
      <x:c r="S804" s="7" t="s">
        <x:v>1540</x:v>
      </x:c>
      <x:c r="T804" s="7" t="b">
        <x:v>0</x:v>
      </x:c>
      <x:c r="U804" s="7" t="s">
        <x:v>1541</x:v>
      </x:c>
      <x:c r="V804" s="26" t="s">
        <x:v>1542</x:v>
      </x:c>
      <x:c r="W804" s="7" t="s">
        <x:v>5071</x:v>
      </x:c>
      <x:c r="X804" s="41"/>
      <x:c r="Y804" s="41"/>
      <x:c r="Z804" s="41"/>
    </x:row>
    <x:row r="805">
      <x:c r="A805" s="7" t="s">
        <x:v>5072</x:v>
      </x:c>
      <x:c r="B805" s="7" t="s">
        <x:v>5073</x:v>
      </x:c>
      <x:c r="C805" s="7" t="s">
        <x:v>3387</x:v>
      </x:c>
      <x:c r="D805" s="7" t="s">
        <x:v>225</x:v>
      </x:c>
      <x:c r="E805" s="7" t="s">
        <x:v>5074</x:v>
      </x:c>
      <x:c r="F805" s="10">
        <x:v>12.09765</x:v>
      </x:c>
      <x:c r="G805" s="10">
        <x:v>99.78846</x:v>
      </x:c>
      <x:c r="H805" s="7" t="s">
        <x:v>1537</x:v>
      </x:c>
      <x:c r="I805" s="10">
        <x:v>20.85</x:v>
      </x:c>
      <x:c r="J805" s="41"/>
      <x:c r="K805" s="41"/>
      <x:c r="L805" s="41"/>
      <x:c r="M805" s="10"/>
      <x:c r="N805" s="7" t="s">
        <x:v>300</x:v>
      </x:c>
      <x:c r="O805" s="7" t="s">
        <x:v>1539</x:v>
      </x:c>
      <x:c r="P805" s="41"/>
      <x:c r="Q805" s="41"/>
      <x:c r="R805" s="10">
        <x:v>-457.6</x:v>
      </x:c>
      <x:c r="S805" s="7" t="s">
        <x:v>1540</x:v>
      </x:c>
      <x:c r="T805" s="7" t="b">
        <x:v>0</x:v>
      </x:c>
      <x:c r="U805" s="7" t="s">
        <x:v>1541</x:v>
      </x:c>
      <x:c r="V805" s="26" t="s">
        <x:v>1542</x:v>
      </x:c>
      <x:c r="W805" s="7" t="s">
        <x:v>5075</x:v>
      </x:c>
      <x:c r="X805" s="41"/>
      <x:c r="Y805" s="41"/>
      <x:c r="Z805" s="41"/>
    </x:row>
    <x:row r="806">
      <x:c r="A806" s="7" t="s">
        <x:v>5076</x:v>
      </x:c>
      <x:c r="B806" s="7" t="s">
        <x:v>5077</x:v>
      </x:c>
      <x:c r="C806" s="7" t="s">
        <x:v>5078</x:v>
      </x:c>
      <x:c r="D806" s="7" t="s">
        <x:v>42</x:v>
      </x:c>
      <x:c r="E806" s="7" t="s">
        <x:v>5079</x:v>
      </x:c>
      <x:c r="F806" s="10">
        <x:v>15.27736</x:v>
      </x:c>
      <x:c r="G806" s="10">
        <x:v>99.15219</x:v>
      </x:c>
      <x:c r="H806" s="7" t="s">
        <x:v>1658</x:v>
      </x:c>
      <x:c r="I806" s="10">
        <x:v>210.58</x:v>
      </x:c>
      <x:c r="J806" s="41"/>
      <x:c r="K806" s="41"/>
      <x:c r="L806" s="41"/>
      <x:c r="M806" s="10">
        <x:v>0.0</x:v>
      </x:c>
      <x:c r="N806" s="7" t="s">
        <x:v>300</x:v>
      </x:c>
      <x:c r="O806" s="7" t="s">
        <x:v>1539</x:v>
      </x:c>
      <x:c r="P806" s="41"/>
      <x:c r="Q806" s="41"/>
      <x:c r="R806" s="10">
        <x:v>22.4</x:v>
      </x:c>
      <x:c r="S806" s="7" t="s">
        <x:v>1540</x:v>
      </x:c>
      <x:c r="T806" s="7" t="b">
        <x:v>0</x:v>
      </x:c>
      <x:c r="U806" s="7" t="s">
        <x:v>1541</x:v>
      </x:c>
      <x:c r="V806" s="26" t="s">
        <x:v>1542</x:v>
      </x:c>
      <x:c r="W806" s="7" t="s">
        <x:v>5080</x:v>
      </x:c>
      <x:c r="X806" s="41"/>
      <x:c r="Y806" s="41"/>
      <x:c r="Z806" s="41"/>
    </x:row>
    <x:row r="807">
      <x:c r="A807" s="7" t="s">
        <x:v>5081</x:v>
      </x:c>
      <x:c r="B807" s="7" t="s">
        <x:v>5082</x:v>
      </x:c>
      <x:c r="C807" s="7" t="s">
        <x:v>5083</x:v>
      </x:c>
      <x:c r="D807" s="7" t="s">
        <x:v>115</x:v>
      </x:c>
      <x:c r="E807" s="7" t="s">
        <x:v>2032</x:v>
      </x:c>
      <x:c r="F807" s="10">
        <x:v>15.43527</x:v>
      </x:c>
      <x:c r="G807" s="10">
        <x:v>103.012627</x:v>
      </x:c>
      <x:c r="H807" s="7" t="s">
        <x:v>1548</x:v>
      </x:c>
      <x:c r="I807" s="10">
        <x:v>133.16</x:v>
      </x:c>
      <x:c r="J807" s="41"/>
      <x:c r="K807" s="41"/>
      <x:c r="L807" s="41"/>
      <x:c r="M807" s="10"/>
      <x:c r="N807" s="7" t="s">
        <x:v>300</x:v>
      </x:c>
      <x:c r="O807" s="7" t="s">
        <x:v>1539</x:v>
      </x:c>
      <x:c r="P807" s="41"/>
      <x:c r="Q807" s="41"/>
      <x:c r="R807" s="10">
        <x:v>82.4</x:v>
      </x:c>
      <x:c r="S807" s="7" t="s">
        <x:v>301</x:v>
      </x:c>
      <x:c r="T807" s="7" t="b">
        <x:v>0</x:v>
      </x:c>
      <x:c r="U807" s="7" t="s">
        <x:v>1541</x:v>
      </x:c>
      <x:c r="V807" s="26" t="s">
        <x:v>1542</x:v>
      </x:c>
      <x:c r="W807" s="7" t="s">
        <x:v>5084</x:v>
      </x:c>
      <x:c r="X807" s="41"/>
      <x:c r="Y807" s="41"/>
      <x:c r="Z807" s="41"/>
    </x:row>
    <x:row r="808">
      <x:c r="A808" s="7" t="s">
        <x:v>5085</x:v>
      </x:c>
      <x:c r="B808" s="7" t="s">
        <x:v>5086</x:v>
      </x:c>
      <x:c r="C808" s="7" t="s">
        <x:v>5087</x:v>
      </x:c>
      <x:c r="D808" s="7" t="s">
        <x:v>58</x:v>
      </x:c>
      <x:c r="E808" s="7" t="s">
        <x:v>5088</x:v>
      </x:c>
      <x:c r="F808" s="10">
        <x:v>14.233779</x:v>
      </x:c>
      <x:c r="G808" s="10">
        <x:v>99.235022</x:v>
      </x:c>
      <x:c r="H808" s="7" t="s">
        <x:v>1658</x:v>
      </x:c>
      <x:c r="I808" s="10">
        <x:v>57.71</x:v>
      </x:c>
      <x:c r="J808" s="41"/>
      <x:c r="K808" s="41"/>
      <x:c r="L808" s="41"/>
      <x:c r="M808" s="10">
        <x:v>0.0</x:v>
      </x:c>
      <x:c r="N808" s="7" t="s">
        <x:v>300</x:v>
      </x:c>
      <x:c r="O808" s="7" t="s">
        <x:v>1539</x:v>
      </x:c>
      <x:c r="P808" s="41"/>
      <x:c r="Q808" s="41"/>
      <x:c r="R808" s="10">
        <x:v>22.4</x:v>
      </x:c>
      <x:c r="S808" s="7" t="s">
        <x:v>1540</x:v>
      </x:c>
      <x:c r="T808" s="7" t="b">
        <x:v>0</x:v>
      </x:c>
      <x:c r="U808" s="7" t="s">
        <x:v>1541</x:v>
      </x:c>
      <x:c r="V808" s="26" t="s">
        <x:v>1542</x:v>
      </x:c>
      <x:c r="W808" s="7" t="s">
        <x:v>5089</x:v>
      </x:c>
      <x:c r="X808" s="41"/>
      <x:c r="Y808" s="41"/>
      <x:c r="Z808" s="41"/>
    </x:row>
    <x:row r="809">
      <x:c r="A809" s="41"/>
      <x:c r="B809" s="41"/>
      <x:c r="C809" s="41"/>
      <x:c r="D809" s="41"/>
      <x:c r="E809" s="41"/>
      <x:c r="F809" s="41"/>
      <x:c r="G809" s="41"/>
      <x:c r="H809" s="41"/>
      <x:c r="I809" s="41"/>
      <x:c r="J809" s="41"/>
      <x:c r="K809" s="41"/>
      <x:c r="L809" s="41"/>
      <x:c r="M809" s="41"/>
      <x:c r="N809" s="41"/>
      <x:c r="O809" s="41"/>
      <x:c r="P809" s="41"/>
      <x:c r="Q809" s="41"/>
      <x:c r="R809" s="41"/>
      <x:c r="S809" s="41"/>
      <x:c r="T809" s="41"/>
      <x:c r="U809" s="41"/>
      <x:c r="V809" s="41"/>
      <x:c r="W809" s="41"/>
      <x:c r="X809" s="41"/>
      <x:c r="Y809" s="41"/>
      <x:c r="Z809" s="41"/>
    </x:row>
    <x:row r="810">
      <x:c r="A810" s="41"/>
      <x:c r="B810" s="41"/>
      <x:c r="C810" s="41"/>
      <x:c r="D810" s="41"/>
      <x:c r="E810" s="41"/>
      <x:c r="F810" s="41"/>
      <x:c r="G810" s="41"/>
      <x:c r="H810" s="41"/>
      <x:c r="I810" s="41"/>
      <x:c r="J810" s="41"/>
      <x:c r="K810" s="41"/>
      <x:c r="L810" s="41"/>
      <x:c r="M810" s="41"/>
      <x:c r="N810" s="41"/>
      <x:c r="O810" s="41"/>
      <x:c r="P810" s="41"/>
      <x:c r="Q810" s="41"/>
      <x:c r="R810" s="41"/>
      <x:c r="S810" s="41"/>
      <x:c r="T810" s="41"/>
      <x:c r="U810" s="41"/>
      <x:c r="V810" s="41"/>
      <x:c r="W810" s="41"/>
      <x:c r="X810" s="41"/>
      <x:c r="Y810" s="41"/>
      <x:c r="Z810" s="41"/>
    </x:row>
    <x:row r="811">
      <x:c r="A811" s="41"/>
      <x:c r="B811" s="41"/>
      <x:c r="C811" s="41"/>
      <x:c r="D811" s="41"/>
      <x:c r="E811" s="41"/>
      <x:c r="F811" s="41"/>
      <x:c r="G811" s="41"/>
      <x:c r="H811" s="41"/>
      <x:c r="I811" s="41"/>
      <x:c r="J811" s="41"/>
      <x:c r="K811" s="41"/>
      <x:c r="L811" s="41"/>
      <x:c r="M811" s="41"/>
      <x:c r="N811" s="41"/>
      <x:c r="O811" s="41"/>
      <x:c r="P811" s="41"/>
      <x:c r="Q811" s="41"/>
      <x:c r="R811" s="41"/>
      <x:c r="S811" s="41"/>
      <x:c r="T811" s="41"/>
      <x:c r="U811" s="41"/>
      <x:c r="V811" s="41"/>
      <x:c r="W811" s="41"/>
      <x:c r="X811" s="41"/>
      <x:c r="Y811" s="41"/>
      <x:c r="Z811" s="41"/>
    </x:row>
    <x:row r="812">
      <x:c r="A812" s="41"/>
      <x:c r="B812" s="41"/>
      <x:c r="C812" s="41"/>
      <x:c r="D812" s="41"/>
      <x:c r="E812" s="41"/>
      <x:c r="F812" s="41"/>
      <x:c r="G812" s="41"/>
      <x:c r="H812" s="41"/>
      <x:c r="I812" s="41"/>
      <x:c r="J812" s="41"/>
      <x:c r="K812" s="41"/>
      <x:c r="L812" s="41"/>
      <x:c r="M812" s="41"/>
      <x:c r="N812" s="41"/>
      <x:c r="O812" s="41"/>
      <x:c r="P812" s="41"/>
      <x:c r="Q812" s="41"/>
      <x:c r="R812" s="41"/>
      <x:c r="S812" s="41"/>
      <x:c r="T812" s="41"/>
      <x:c r="U812" s="41"/>
      <x:c r="V812" s="41"/>
      <x:c r="W812" s="41"/>
      <x:c r="X812" s="41"/>
      <x:c r="Y812" s="41"/>
      <x:c r="Z812" s="41"/>
    </x:row>
    <x:row r="813">
      <x:c r="A813" s="41"/>
      <x:c r="B813" s="41"/>
      <x:c r="C813" s="41"/>
      <x:c r="D813" s="41"/>
      <x:c r="E813" s="41"/>
      <x:c r="F813" s="41"/>
      <x:c r="G813" s="41"/>
      <x:c r="H813" s="41"/>
      <x:c r="I813" s="41"/>
      <x:c r="J813" s="41"/>
      <x:c r="K813" s="41"/>
      <x:c r="L813" s="41"/>
      <x:c r="M813" s="41"/>
      <x:c r="N813" s="41"/>
      <x:c r="O813" s="41"/>
      <x:c r="P813" s="41"/>
      <x:c r="Q813" s="41"/>
      <x:c r="R813" s="41"/>
      <x:c r="S813" s="41"/>
      <x:c r="T813" s="41"/>
      <x:c r="U813" s="41"/>
      <x:c r="V813" s="41"/>
      <x:c r="W813" s="41"/>
      <x:c r="X813" s="41"/>
      <x:c r="Y813" s="41"/>
      <x:c r="Z813" s="41"/>
    </x:row>
    <x:row r="814">
      <x:c r="A814" s="41"/>
      <x:c r="B814" s="41"/>
      <x:c r="C814" s="41"/>
      <x:c r="D814" s="41"/>
      <x:c r="E814" s="41"/>
      <x:c r="F814" s="41"/>
      <x:c r="G814" s="41"/>
      <x:c r="H814" s="41"/>
      <x:c r="I814" s="41"/>
      <x:c r="J814" s="41"/>
      <x:c r="K814" s="41"/>
      <x:c r="L814" s="41"/>
      <x:c r="M814" s="41"/>
      <x:c r="N814" s="41"/>
      <x:c r="O814" s="41"/>
      <x:c r="P814" s="41"/>
      <x:c r="Q814" s="41"/>
      <x:c r="R814" s="41"/>
      <x:c r="S814" s="41"/>
      <x:c r="T814" s="41"/>
      <x:c r="U814" s="41"/>
      <x:c r="V814" s="41"/>
      <x:c r="W814" s="41"/>
      <x:c r="X814" s="41"/>
      <x:c r="Y814" s="41"/>
      <x:c r="Z814" s="41"/>
    </x:row>
    <x:row r="815">
      <x:c r="A815" s="41"/>
      <x:c r="B815" s="41"/>
      <x:c r="C815" s="41"/>
      <x:c r="D815" s="41"/>
      <x:c r="E815" s="41"/>
      <x:c r="F815" s="41"/>
      <x:c r="G815" s="41"/>
      <x:c r="H815" s="41"/>
      <x:c r="I815" s="41"/>
      <x:c r="J815" s="41"/>
      <x:c r="K815" s="41"/>
      <x:c r="L815" s="41"/>
      <x:c r="M815" s="41"/>
      <x:c r="N815" s="41"/>
      <x:c r="O815" s="41"/>
      <x:c r="P815" s="41"/>
      <x:c r="Q815" s="41"/>
      <x:c r="R815" s="41"/>
      <x:c r="S815" s="41"/>
      <x:c r="T815" s="41"/>
      <x:c r="U815" s="41"/>
      <x:c r="V815" s="41"/>
      <x:c r="W815" s="41"/>
      <x:c r="X815" s="41"/>
      <x:c r="Y815" s="41"/>
      <x:c r="Z815" s="41"/>
    </x:row>
    <x:row r="816">
      <x:c r="A816" s="41"/>
      <x:c r="B816" s="41"/>
      <x:c r="C816" s="41"/>
      <x:c r="D816" s="41"/>
      <x:c r="E816" s="41"/>
      <x:c r="F816" s="41"/>
      <x:c r="G816" s="41"/>
      <x:c r="H816" s="41"/>
      <x:c r="I816" s="41"/>
      <x:c r="J816" s="41"/>
      <x:c r="K816" s="41"/>
      <x:c r="L816" s="41"/>
      <x:c r="M816" s="41"/>
      <x:c r="N816" s="41"/>
      <x:c r="O816" s="41"/>
      <x:c r="P816" s="41"/>
      <x:c r="Q816" s="41"/>
      <x:c r="R816" s="41"/>
      <x:c r="S816" s="41"/>
      <x:c r="T816" s="41"/>
      <x:c r="U816" s="41"/>
      <x:c r="V816" s="41"/>
      <x:c r="W816" s="41"/>
      <x:c r="X816" s="41"/>
      <x:c r="Y816" s="41"/>
      <x:c r="Z816" s="41"/>
    </x:row>
    <x:row r="817">
      <x:c r="A817" s="41"/>
      <x:c r="B817" s="41"/>
      <x:c r="C817" s="41"/>
      <x:c r="D817" s="41"/>
      <x:c r="E817" s="41"/>
      <x:c r="F817" s="41"/>
      <x:c r="G817" s="41"/>
      <x:c r="H817" s="41"/>
      <x:c r="I817" s="41"/>
      <x:c r="J817" s="41"/>
      <x:c r="K817" s="41"/>
      <x:c r="L817" s="41"/>
      <x:c r="M817" s="41"/>
      <x:c r="N817" s="41"/>
      <x:c r="O817" s="41"/>
      <x:c r="P817" s="41"/>
      <x:c r="Q817" s="41"/>
      <x:c r="R817" s="41"/>
      <x:c r="S817" s="41"/>
      <x:c r="T817" s="41"/>
      <x:c r="U817" s="41"/>
      <x:c r="V817" s="41"/>
      <x:c r="W817" s="41"/>
      <x:c r="X817" s="41"/>
      <x:c r="Y817" s="41"/>
      <x:c r="Z817" s="41"/>
    </x:row>
    <x:row r="818">
      <x:c r="A818" s="41"/>
      <x:c r="B818" s="41"/>
      <x:c r="C818" s="41"/>
      <x:c r="D818" s="41"/>
      <x:c r="E818" s="41"/>
      <x:c r="F818" s="41"/>
      <x:c r="G818" s="41"/>
      <x:c r="H818" s="41"/>
      <x:c r="I818" s="41"/>
      <x:c r="J818" s="41"/>
      <x:c r="K818" s="41"/>
      <x:c r="L818" s="41"/>
      <x:c r="M818" s="41"/>
      <x:c r="N818" s="41"/>
      <x:c r="O818" s="41"/>
      <x:c r="P818" s="41"/>
      <x:c r="Q818" s="41"/>
      <x:c r="R818" s="41"/>
      <x:c r="S818" s="41"/>
      <x:c r="T818" s="41"/>
      <x:c r="U818" s="41"/>
      <x:c r="V818" s="41"/>
      <x:c r="W818" s="41"/>
      <x:c r="X818" s="41"/>
      <x:c r="Y818" s="41"/>
      <x:c r="Z818" s="41"/>
    </x:row>
    <x:row r="819">
      <x:c r="A819" s="41"/>
      <x:c r="B819" s="41"/>
      <x:c r="C819" s="41"/>
      <x:c r="D819" s="41"/>
      <x:c r="E819" s="41"/>
      <x:c r="F819" s="41"/>
      <x:c r="G819" s="41"/>
      <x:c r="H819" s="41"/>
      <x:c r="I819" s="41"/>
      <x:c r="J819" s="41"/>
      <x:c r="K819" s="41"/>
      <x:c r="L819" s="41"/>
      <x:c r="M819" s="41"/>
      <x:c r="N819" s="41"/>
      <x:c r="O819" s="41"/>
      <x:c r="P819" s="41"/>
      <x:c r="Q819" s="41"/>
      <x:c r="R819" s="41"/>
      <x:c r="S819" s="41"/>
      <x:c r="T819" s="41"/>
      <x:c r="U819" s="41"/>
      <x:c r="V819" s="41"/>
      <x:c r="W819" s="41"/>
      <x:c r="X819" s="41"/>
      <x:c r="Y819" s="41"/>
      <x:c r="Z819" s="41"/>
    </x:row>
    <x:row r="820">
      <x:c r="A820" s="41"/>
      <x:c r="B820" s="41"/>
      <x:c r="C820" s="41"/>
      <x:c r="D820" s="41"/>
      <x:c r="E820" s="41"/>
      <x:c r="F820" s="41"/>
      <x:c r="G820" s="41"/>
      <x:c r="H820" s="41"/>
      <x:c r="I820" s="41"/>
      <x:c r="J820" s="41"/>
      <x:c r="K820" s="41"/>
      <x:c r="L820" s="41"/>
      <x:c r="M820" s="41"/>
      <x:c r="N820" s="41"/>
      <x:c r="O820" s="41"/>
      <x:c r="P820" s="41"/>
      <x:c r="Q820" s="41"/>
      <x:c r="R820" s="41"/>
      <x:c r="S820" s="41"/>
      <x:c r="T820" s="41"/>
      <x:c r="U820" s="41"/>
      <x:c r="V820" s="41"/>
      <x:c r="W820" s="41"/>
      <x:c r="X820" s="41"/>
      <x:c r="Y820" s="41"/>
      <x:c r="Z820" s="41"/>
    </x:row>
    <x:row r="821">
      <x:c r="A821" s="41"/>
      <x:c r="B821" s="41"/>
      <x:c r="C821" s="41"/>
      <x:c r="D821" s="41"/>
      <x:c r="E821" s="41"/>
      <x:c r="F821" s="41"/>
      <x:c r="G821" s="41"/>
      <x:c r="H821" s="41"/>
      <x:c r="I821" s="41"/>
      <x:c r="J821" s="41"/>
      <x:c r="K821" s="41"/>
      <x:c r="L821" s="41"/>
      <x:c r="M821" s="41"/>
      <x:c r="N821" s="41"/>
      <x:c r="O821" s="41"/>
      <x:c r="P821" s="41"/>
      <x:c r="Q821" s="41"/>
      <x:c r="R821" s="41"/>
      <x:c r="S821" s="41"/>
      <x:c r="T821" s="41"/>
      <x:c r="U821" s="41"/>
      <x:c r="V821" s="41"/>
      <x:c r="W821" s="41"/>
      <x:c r="X821" s="41"/>
      <x:c r="Y821" s="41"/>
      <x:c r="Z821" s="41"/>
    </x:row>
    <x:row r="822">
      <x:c r="A822" s="41"/>
      <x:c r="B822" s="41"/>
      <x:c r="C822" s="41"/>
      <x:c r="D822" s="41"/>
      <x:c r="E822" s="41"/>
      <x:c r="F822" s="41"/>
      <x:c r="G822" s="41"/>
      <x:c r="H822" s="41"/>
      <x:c r="I822" s="41"/>
      <x:c r="J822" s="41"/>
      <x:c r="K822" s="41"/>
      <x:c r="L822" s="41"/>
      <x:c r="M822" s="41"/>
      <x:c r="N822" s="41"/>
      <x:c r="O822" s="41"/>
      <x:c r="P822" s="41"/>
      <x:c r="Q822" s="41"/>
      <x:c r="R822" s="41"/>
      <x:c r="S822" s="41"/>
      <x:c r="T822" s="41"/>
      <x:c r="U822" s="41"/>
      <x:c r="V822" s="41"/>
      <x:c r="W822" s="41"/>
      <x:c r="X822" s="41"/>
      <x:c r="Y822" s="41"/>
      <x:c r="Z822" s="41"/>
    </x:row>
    <x:row r="823">
      <x:c r="A823" s="41"/>
      <x:c r="B823" s="41"/>
      <x:c r="C823" s="41"/>
      <x:c r="D823" s="41"/>
      <x:c r="E823" s="41"/>
      <x:c r="F823" s="41"/>
      <x:c r="G823" s="41"/>
      <x:c r="H823" s="41"/>
      <x:c r="I823" s="41"/>
      <x:c r="J823" s="41"/>
      <x:c r="K823" s="41"/>
      <x:c r="L823" s="41"/>
      <x:c r="M823" s="41"/>
      <x:c r="N823" s="41"/>
      <x:c r="O823" s="41"/>
      <x:c r="P823" s="41"/>
      <x:c r="Q823" s="41"/>
      <x:c r="R823" s="41"/>
      <x:c r="S823" s="41"/>
      <x:c r="T823" s="41"/>
      <x:c r="U823" s="41"/>
      <x:c r="V823" s="41"/>
      <x:c r="W823" s="41"/>
      <x:c r="X823" s="41"/>
      <x:c r="Y823" s="41"/>
      <x:c r="Z823" s="41"/>
    </x:row>
    <x:row r="824">
      <x:c r="A824" s="41"/>
      <x:c r="B824" s="41"/>
      <x:c r="C824" s="41"/>
      <x:c r="D824" s="41"/>
      <x:c r="E824" s="41"/>
      <x:c r="F824" s="41"/>
      <x:c r="G824" s="41"/>
      <x:c r="H824" s="41"/>
      <x:c r="I824" s="41"/>
      <x:c r="J824" s="41"/>
      <x:c r="K824" s="41"/>
      <x:c r="L824" s="41"/>
      <x:c r="M824" s="41"/>
      <x:c r="N824" s="41"/>
      <x:c r="O824" s="41"/>
      <x:c r="P824" s="41"/>
      <x:c r="Q824" s="41"/>
      <x:c r="R824" s="41"/>
      <x:c r="S824" s="41"/>
      <x:c r="T824" s="41"/>
      <x:c r="U824" s="41"/>
      <x:c r="V824" s="41"/>
      <x:c r="W824" s="41"/>
      <x:c r="X824" s="41"/>
      <x:c r="Y824" s="41"/>
      <x:c r="Z824" s="41"/>
    </x:row>
    <x:row r="825">
      <x:c r="A825" s="41"/>
      <x:c r="B825" s="41"/>
      <x:c r="C825" s="41"/>
      <x:c r="D825" s="41"/>
      <x:c r="E825" s="41"/>
      <x:c r="F825" s="41"/>
      <x:c r="G825" s="41"/>
      <x:c r="H825" s="41"/>
      <x:c r="I825" s="41"/>
      <x:c r="J825" s="41"/>
      <x:c r="K825" s="41"/>
      <x:c r="L825" s="41"/>
      <x:c r="M825" s="41"/>
      <x:c r="N825" s="41"/>
      <x:c r="O825" s="41"/>
      <x:c r="P825" s="41"/>
      <x:c r="Q825" s="41"/>
      <x:c r="R825" s="41"/>
      <x:c r="S825" s="41"/>
      <x:c r="T825" s="41"/>
      <x:c r="U825" s="41"/>
      <x:c r="V825" s="41"/>
      <x:c r="W825" s="41"/>
      <x:c r="X825" s="41"/>
      <x:c r="Y825" s="41"/>
      <x:c r="Z825" s="41"/>
    </x:row>
    <x:row r="826">
      <x:c r="A826" s="41"/>
      <x:c r="B826" s="41"/>
      <x:c r="C826" s="41"/>
      <x:c r="D826" s="41"/>
      <x:c r="E826" s="41"/>
      <x:c r="F826" s="41"/>
      <x:c r="G826" s="41"/>
      <x:c r="H826" s="41"/>
      <x:c r="I826" s="41"/>
      <x:c r="J826" s="41"/>
      <x:c r="K826" s="41"/>
      <x:c r="L826" s="41"/>
      <x:c r="M826" s="41"/>
      <x:c r="N826" s="41"/>
      <x:c r="O826" s="41"/>
      <x:c r="P826" s="41"/>
      <x:c r="Q826" s="41"/>
      <x:c r="R826" s="41"/>
      <x:c r="S826" s="41"/>
      <x:c r="T826" s="41"/>
      <x:c r="U826" s="41"/>
      <x:c r="V826" s="41"/>
      <x:c r="W826" s="41"/>
      <x:c r="X826" s="41"/>
      <x:c r="Y826" s="41"/>
      <x:c r="Z826" s="41"/>
    </x:row>
    <x:row r="827">
      <x:c r="A827" s="41"/>
      <x:c r="B827" s="41"/>
      <x:c r="C827" s="41"/>
      <x:c r="D827" s="41"/>
      <x:c r="E827" s="41"/>
      <x:c r="F827" s="41"/>
      <x:c r="G827" s="41"/>
      <x:c r="H827" s="41"/>
      <x:c r="I827" s="41"/>
      <x:c r="J827" s="41"/>
      <x:c r="K827" s="41"/>
      <x:c r="L827" s="41"/>
      <x:c r="M827" s="41"/>
      <x:c r="N827" s="41"/>
      <x:c r="O827" s="41"/>
      <x:c r="P827" s="41"/>
      <x:c r="Q827" s="41"/>
      <x:c r="R827" s="41"/>
      <x:c r="S827" s="41"/>
      <x:c r="T827" s="41"/>
      <x:c r="U827" s="41"/>
      <x:c r="V827" s="41"/>
      <x:c r="W827" s="41"/>
      <x:c r="X827" s="41"/>
      <x:c r="Y827" s="41"/>
      <x:c r="Z827" s="41"/>
    </x:row>
    <x:row r="828">
      <x:c r="A828" s="41"/>
      <x:c r="B828" s="41"/>
      <x:c r="C828" s="41"/>
      <x:c r="D828" s="41"/>
      <x:c r="E828" s="41"/>
      <x:c r="F828" s="41"/>
      <x:c r="G828" s="41"/>
      <x:c r="H828" s="41"/>
      <x:c r="I828" s="41"/>
      <x:c r="J828" s="41"/>
      <x:c r="K828" s="41"/>
      <x:c r="L828" s="41"/>
      <x:c r="M828" s="41"/>
      <x:c r="N828" s="41"/>
      <x:c r="O828" s="41"/>
      <x:c r="P828" s="41"/>
      <x:c r="Q828" s="41"/>
      <x:c r="R828" s="41"/>
      <x:c r="S828" s="41"/>
      <x:c r="T828" s="41"/>
      <x:c r="U828" s="41"/>
      <x:c r="V828" s="41"/>
      <x:c r="W828" s="41"/>
      <x:c r="X828" s="41"/>
      <x:c r="Y828" s="41"/>
      <x:c r="Z828" s="41"/>
    </x:row>
    <x:row r="829">
      <x:c r="A829" s="41"/>
      <x:c r="B829" s="41"/>
      <x:c r="C829" s="41"/>
      <x:c r="D829" s="41"/>
      <x:c r="E829" s="41"/>
      <x:c r="F829" s="41"/>
      <x:c r="G829" s="41"/>
      <x:c r="H829" s="41"/>
      <x:c r="I829" s="41"/>
      <x:c r="J829" s="41"/>
      <x:c r="K829" s="41"/>
      <x:c r="L829" s="41"/>
      <x:c r="M829" s="41"/>
      <x:c r="N829" s="41"/>
      <x:c r="O829" s="41"/>
      <x:c r="P829" s="41"/>
      <x:c r="Q829" s="41"/>
      <x:c r="R829" s="41"/>
      <x:c r="S829" s="41"/>
      <x:c r="T829" s="41"/>
      <x:c r="U829" s="41"/>
      <x:c r="V829" s="41"/>
      <x:c r="W829" s="41"/>
      <x:c r="X829" s="41"/>
      <x:c r="Y829" s="41"/>
      <x:c r="Z829" s="41"/>
    </x:row>
    <x:row r="830">
      <x:c r="A830" s="41"/>
      <x:c r="B830" s="41"/>
      <x:c r="C830" s="41"/>
      <x:c r="D830" s="41"/>
      <x:c r="E830" s="41"/>
      <x:c r="F830" s="41"/>
      <x:c r="G830" s="41"/>
      <x:c r="H830" s="41"/>
      <x:c r="I830" s="41"/>
      <x:c r="J830" s="41"/>
      <x:c r="K830" s="41"/>
      <x:c r="L830" s="41"/>
      <x:c r="M830" s="41"/>
      <x:c r="N830" s="41"/>
      <x:c r="O830" s="41"/>
      <x:c r="P830" s="41"/>
      <x:c r="Q830" s="41"/>
      <x:c r="R830" s="41"/>
      <x:c r="S830" s="41"/>
      <x:c r="T830" s="41"/>
      <x:c r="U830" s="41"/>
      <x:c r="V830" s="41"/>
      <x:c r="W830" s="41"/>
      <x:c r="X830" s="41"/>
      <x:c r="Y830" s="41"/>
      <x:c r="Z830" s="41"/>
    </x:row>
    <x:row r="831">
      <x:c r="A831" s="41"/>
      <x:c r="B831" s="41"/>
      <x:c r="C831" s="41"/>
      <x:c r="D831" s="41"/>
      <x:c r="E831" s="41"/>
      <x:c r="F831" s="41"/>
      <x:c r="G831" s="41"/>
      <x:c r="H831" s="41"/>
      <x:c r="I831" s="41"/>
      <x:c r="J831" s="41"/>
      <x:c r="K831" s="41"/>
      <x:c r="L831" s="41"/>
      <x:c r="M831" s="41"/>
      <x:c r="N831" s="41"/>
      <x:c r="O831" s="41"/>
      <x:c r="P831" s="41"/>
      <x:c r="Q831" s="41"/>
      <x:c r="R831" s="41"/>
      <x:c r="S831" s="41"/>
      <x:c r="T831" s="41"/>
      <x:c r="U831" s="41"/>
      <x:c r="V831" s="41"/>
      <x:c r="W831" s="41"/>
      <x:c r="X831" s="41"/>
      <x:c r="Y831" s="41"/>
      <x:c r="Z831" s="41"/>
    </x:row>
    <x:row r="832">
      <x:c r="A832" s="41"/>
      <x:c r="B832" s="41"/>
      <x:c r="C832" s="41"/>
      <x:c r="D832" s="41"/>
      <x:c r="E832" s="41"/>
      <x:c r="F832" s="41"/>
      <x:c r="G832" s="41"/>
      <x:c r="H832" s="41"/>
      <x:c r="I832" s="41"/>
      <x:c r="J832" s="41"/>
      <x:c r="K832" s="41"/>
      <x:c r="L832" s="41"/>
      <x:c r="M832" s="41"/>
      <x:c r="N832" s="41"/>
      <x:c r="O832" s="41"/>
      <x:c r="P832" s="41"/>
      <x:c r="Q832" s="41"/>
      <x:c r="R832" s="41"/>
      <x:c r="S832" s="41"/>
      <x:c r="T832" s="41"/>
      <x:c r="U832" s="41"/>
      <x:c r="V832" s="41"/>
      <x:c r="W832" s="41"/>
      <x:c r="X832" s="41"/>
      <x:c r="Y832" s="41"/>
      <x:c r="Z832" s="41"/>
    </x:row>
    <x:row r="833">
      <x:c r="A833" s="41"/>
      <x:c r="B833" s="41"/>
      <x:c r="C833" s="41"/>
      <x:c r="D833" s="41"/>
      <x:c r="E833" s="41"/>
      <x:c r="F833" s="41"/>
      <x:c r="G833" s="41"/>
      <x:c r="H833" s="41"/>
      <x:c r="I833" s="41"/>
      <x:c r="J833" s="41"/>
      <x:c r="K833" s="41"/>
      <x:c r="L833" s="41"/>
      <x:c r="M833" s="41"/>
      <x:c r="N833" s="41"/>
      <x:c r="O833" s="41"/>
      <x:c r="P833" s="41"/>
      <x:c r="Q833" s="41"/>
      <x:c r="R833" s="41"/>
      <x:c r="S833" s="41"/>
      <x:c r="T833" s="41"/>
      <x:c r="U833" s="41"/>
      <x:c r="V833" s="41"/>
      <x:c r="W833" s="41"/>
      <x:c r="X833" s="41"/>
      <x:c r="Y833" s="41"/>
      <x:c r="Z833" s="41"/>
    </x:row>
    <x:row r="834">
      <x:c r="A834" s="41"/>
      <x:c r="B834" s="41"/>
      <x:c r="C834" s="41"/>
      <x:c r="D834" s="41"/>
      <x:c r="E834" s="41"/>
      <x:c r="F834" s="41"/>
      <x:c r="G834" s="41"/>
      <x:c r="H834" s="41"/>
      <x:c r="I834" s="41"/>
      <x:c r="J834" s="41"/>
      <x:c r="K834" s="41"/>
      <x:c r="L834" s="41"/>
      <x:c r="M834" s="41"/>
      <x:c r="N834" s="41"/>
      <x:c r="O834" s="41"/>
      <x:c r="P834" s="41"/>
      <x:c r="Q834" s="41"/>
      <x:c r="R834" s="41"/>
      <x:c r="S834" s="41"/>
      <x:c r="T834" s="41"/>
      <x:c r="U834" s="41"/>
      <x:c r="V834" s="41"/>
      <x:c r="W834" s="41"/>
      <x:c r="X834" s="41"/>
      <x:c r="Y834" s="41"/>
      <x:c r="Z834" s="41"/>
    </x:row>
    <x:row r="835">
      <x:c r="A835" s="41"/>
      <x:c r="B835" s="41"/>
      <x:c r="C835" s="41"/>
      <x:c r="D835" s="41"/>
      <x:c r="E835" s="41"/>
      <x:c r="F835" s="41"/>
      <x:c r="G835" s="41"/>
      <x:c r="H835" s="41"/>
      <x:c r="I835" s="41"/>
      <x:c r="J835" s="41"/>
      <x:c r="K835" s="41"/>
      <x:c r="L835" s="41"/>
      <x:c r="M835" s="41"/>
      <x:c r="N835" s="41"/>
      <x:c r="O835" s="41"/>
      <x:c r="P835" s="41"/>
      <x:c r="Q835" s="41"/>
      <x:c r="R835" s="41"/>
      <x:c r="S835" s="41"/>
      <x:c r="T835" s="41"/>
      <x:c r="U835" s="41"/>
      <x:c r="V835" s="41"/>
      <x:c r="W835" s="41"/>
      <x:c r="X835" s="41"/>
      <x:c r="Y835" s="41"/>
      <x:c r="Z835" s="41"/>
    </x:row>
    <x:row r="836">
      <x:c r="A836" s="41"/>
      <x:c r="B836" s="41"/>
      <x:c r="C836" s="41"/>
      <x:c r="D836" s="41"/>
      <x:c r="E836" s="41"/>
      <x:c r="F836" s="41"/>
      <x:c r="G836" s="41"/>
      <x:c r="H836" s="41"/>
      <x:c r="I836" s="41"/>
      <x:c r="J836" s="41"/>
      <x:c r="K836" s="41"/>
      <x:c r="L836" s="41"/>
      <x:c r="M836" s="41"/>
      <x:c r="N836" s="41"/>
      <x:c r="O836" s="41"/>
      <x:c r="P836" s="41"/>
      <x:c r="Q836" s="41"/>
      <x:c r="R836" s="41"/>
      <x:c r="S836" s="41"/>
      <x:c r="T836" s="41"/>
      <x:c r="U836" s="41"/>
      <x:c r="V836" s="41"/>
      <x:c r="W836" s="41"/>
      <x:c r="X836" s="41"/>
      <x:c r="Y836" s="41"/>
      <x:c r="Z836" s="41"/>
    </x:row>
    <x:row r="837">
      <x:c r="A837" s="41"/>
      <x:c r="B837" s="41"/>
      <x:c r="C837" s="41"/>
      <x:c r="D837" s="41"/>
      <x:c r="E837" s="41"/>
      <x:c r="F837" s="41"/>
      <x:c r="G837" s="41"/>
      <x:c r="H837" s="41"/>
      <x:c r="I837" s="41"/>
      <x:c r="J837" s="41"/>
      <x:c r="K837" s="41"/>
      <x:c r="L837" s="41"/>
      <x:c r="M837" s="41"/>
      <x:c r="N837" s="41"/>
      <x:c r="O837" s="41"/>
      <x:c r="P837" s="41"/>
      <x:c r="Q837" s="41"/>
      <x:c r="R837" s="41"/>
      <x:c r="S837" s="41"/>
      <x:c r="T837" s="41"/>
      <x:c r="U837" s="41"/>
      <x:c r="V837" s="41"/>
      <x:c r="W837" s="41"/>
      <x:c r="X837" s="41"/>
      <x:c r="Y837" s="41"/>
      <x:c r="Z837" s="41"/>
    </x:row>
    <x:row r="838">
      <x:c r="A838" s="41"/>
      <x:c r="B838" s="41"/>
      <x:c r="C838" s="41"/>
      <x:c r="D838" s="41"/>
      <x:c r="E838" s="41"/>
      <x:c r="F838" s="41"/>
      <x:c r="G838" s="41"/>
      <x:c r="H838" s="41"/>
      <x:c r="I838" s="41"/>
      <x:c r="J838" s="41"/>
      <x:c r="K838" s="41"/>
      <x:c r="L838" s="41"/>
      <x:c r="M838" s="41"/>
      <x:c r="N838" s="41"/>
      <x:c r="O838" s="41"/>
      <x:c r="P838" s="41"/>
      <x:c r="Q838" s="41"/>
      <x:c r="R838" s="41"/>
      <x:c r="S838" s="41"/>
      <x:c r="T838" s="41"/>
      <x:c r="U838" s="41"/>
      <x:c r="V838" s="41"/>
      <x:c r="W838" s="41"/>
      <x:c r="X838" s="41"/>
      <x:c r="Y838" s="41"/>
      <x:c r="Z838" s="41"/>
    </x:row>
    <x:row r="839">
      <x:c r="A839" s="41"/>
      <x:c r="B839" s="41"/>
      <x:c r="C839" s="41"/>
      <x:c r="D839" s="41"/>
      <x:c r="E839" s="41"/>
      <x:c r="F839" s="41"/>
      <x:c r="G839" s="41"/>
      <x:c r="H839" s="41"/>
      <x:c r="I839" s="41"/>
      <x:c r="J839" s="41"/>
      <x:c r="K839" s="41"/>
      <x:c r="L839" s="41"/>
      <x:c r="M839" s="41"/>
      <x:c r="N839" s="41"/>
      <x:c r="O839" s="41"/>
      <x:c r="P839" s="41"/>
      <x:c r="Q839" s="41"/>
      <x:c r="R839" s="41"/>
      <x:c r="S839" s="41"/>
      <x:c r="T839" s="41"/>
      <x:c r="U839" s="41"/>
      <x:c r="V839" s="41"/>
      <x:c r="W839" s="41"/>
      <x:c r="X839" s="41"/>
      <x:c r="Y839" s="41"/>
      <x:c r="Z839" s="41"/>
    </x:row>
    <x:row r="840">
      <x:c r="A840" s="41"/>
      <x:c r="B840" s="41"/>
      <x:c r="C840" s="41"/>
      <x:c r="D840" s="41"/>
      <x:c r="E840" s="41"/>
      <x:c r="F840" s="41"/>
      <x:c r="G840" s="41"/>
      <x:c r="H840" s="41"/>
      <x:c r="I840" s="41"/>
      <x:c r="J840" s="41"/>
      <x:c r="K840" s="41"/>
      <x:c r="L840" s="41"/>
      <x:c r="M840" s="41"/>
      <x:c r="N840" s="41"/>
      <x:c r="O840" s="41"/>
      <x:c r="P840" s="41"/>
      <x:c r="Q840" s="41"/>
      <x:c r="R840" s="41"/>
      <x:c r="S840" s="41"/>
      <x:c r="T840" s="41"/>
      <x:c r="U840" s="41"/>
      <x:c r="V840" s="41"/>
      <x:c r="W840" s="41"/>
      <x:c r="X840" s="41"/>
      <x:c r="Y840" s="41"/>
      <x:c r="Z840" s="41"/>
    </x:row>
    <x:row r="841">
      <x:c r="A841" s="41"/>
      <x:c r="B841" s="41"/>
      <x:c r="C841" s="41"/>
      <x:c r="D841" s="41"/>
      <x:c r="E841" s="41"/>
      <x:c r="F841" s="41"/>
      <x:c r="G841" s="41"/>
      <x:c r="H841" s="41"/>
      <x:c r="I841" s="41"/>
      <x:c r="J841" s="41"/>
      <x:c r="K841" s="41"/>
      <x:c r="L841" s="41"/>
      <x:c r="M841" s="41"/>
      <x:c r="N841" s="41"/>
      <x:c r="O841" s="41"/>
      <x:c r="P841" s="41"/>
      <x:c r="Q841" s="41"/>
      <x:c r="R841" s="41"/>
      <x:c r="S841" s="41"/>
      <x:c r="T841" s="41"/>
      <x:c r="U841" s="41"/>
      <x:c r="V841" s="41"/>
      <x:c r="W841" s="41"/>
      <x:c r="X841" s="41"/>
      <x:c r="Y841" s="41"/>
      <x:c r="Z841" s="41"/>
    </x:row>
    <x:row r="842">
      <x:c r="A842" s="41"/>
      <x:c r="B842" s="41"/>
      <x:c r="C842" s="41"/>
      <x:c r="D842" s="41"/>
      <x:c r="E842" s="41"/>
      <x:c r="F842" s="41"/>
      <x:c r="G842" s="41"/>
      <x:c r="H842" s="41"/>
      <x:c r="I842" s="41"/>
      <x:c r="J842" s="41"/>
      <x:c r="K842" s="41"/>
      <x:c r="L842" s="41"/>
      <x:c r="M842" s="41"/>
      <x:c r="N842" s="41"/>
      <x:c r="O842" s="41"/>
      <x:c r="P842" s="41"/>
      <x:c r="Q842" s="41"/>
      <x:c r="R842" s="41"/>
      <x:c r="S842" s="41"/>
      <x:c r="T842" s="41"/>
      <x:c r="U842" s="41"/>
      <x:c r="V842" s="41"/>
      <x:c r="W842" s="41"/>
      <x:c r="X842" s="41"/>
      <x:c r="Y842" s="41"/>
      <x:c r="Z842" s="41"/>
    </x:row>
    <x:row r="843">
      <x:c r="A843" s="41"/>
      <x:c r="B843" s="41"/>
      <x:c r="C843" s="41"/>
      <x:c r="D843" s="41"/>
      <x:c r="E843" s="41"/>
      <x:c r="F843" s="41"/>
      <x:c r="G843" s="41"/>
      <x:c r="H843" s="41"/>
      <x:c r="I843" s="41"/>
      <x:c r="J843" s="41"/>
      <x:c r="K843" s="41"/>
      <x:c r="L843" s="41"/>
      <x:c r="M843" s="41"/>
      <x:c r="N843" s="41"/>
      <x:c r="O843" s="41"/>
      <x:c r="P843" s="41"/>
      <x:c r="Q843" s="41"/>
      <x:c r="R843" s="41"/>
      <x:c r="S843" s="41"/>
      <x:c r="T843" s="41"/>
      <x:c r="U843" s="41"/>
      <x:c r="V843" s="41"/>
      <x:c r="W843" s="41"/>
      <x:c r="X843" s="41"/>
      <x:c r="Y843" s="41"/>
      <x:c r="Z843" s="41"/>
    </x:row>
    <x:row r="844">
      <x:c r="A844" s="41"/>
      <x:c r="B844" s="41"/>
      <x:c r="C844" s="41"/>
      <x:c r="D844" s="41"/>
      <x:c r="E844" s="41"/>
      <x:c r="F844" s="41"/>
      <x:c r="G844" s="41"/>
      <x:c r="H844" s="41"/>
      <x:c r="I844" s="41"/>
      <x:c r="J844" s="41"/>
      <x:c r="K844" s="41"/>
      <x:c r="L844" s="41"/>
      <x:c r="M844" s="41"/>
      <x:c r="N844" s="41"/>
      <x:c r="O844" s="41"/>
      <x:c r="P844" s="41"/>
      <x:c r="Q844" s="41"/>
      <x:c r="R844" s="41"/>
      <x:c r="S844" s="41"/>
      <x:c r="T844" s="41"/>
      <x:c r="U844" s="41"/>
      <x:c r="V844" s="41"/>
      <x:c r="W844" s="41"/>
      <x:c r="X844" s="41"/>
      <x:c r="Y844" s="41"/>
      <x:c r="Z844" s="41"/>
    </x:row>
    <x:row r="845">
      <x:c r="A845" s="41"/>
      <x:c r="B845" s="41"/>
      <x:c r="C845" s="41"/>
      <x:c r="D845" s="41"/>
      <x:c r="E845" s="41"/>
      <x:c r="F845" s="41"/>
      <x:c r="G845" s="41"/>
      <x:c r="H845" s="41"/>
      <x:c r="I845" s="41"/>
      <x:c r="J845" s="41"/>
      <x:c r="K845" s="41"/>
      <x:c r="L845" s="41"/>
      <x:c r="M845" s="41"/>
      <x:c r="N845" s="41"/>
      <x:c r="O845" s="41"/>
      <x:c r="P845" s="41"/>
      <x:c r="Q845" s="41"/>
      <x:c r="R845" s="41"/>
      <x:c r="S845" s="41"/>
      <x:c r="T845" s="41"/>
      <x:c r="U845" s="41"/>
      <x:c r="V845" s="41"/>
      <x:c r="W845" s="41"/>
      <x:c r="X845" s="41"/>
      <x:c r="Y845" s="41"/>
      <x:c r="Z845" s="41"/>
    </x:row>
    <x:row r="846">
      <x:c r="A846" s="41"/>
      <x:c r="B846" s="41"/>
      <x:c r="C846" s="41"/>
      <x:c r="D846" s="41"/>
      <x:c r="E846" s="41"/>
      <x:c r="F846" s="41"/>
      <x:c r="G846" s="41"/>
      <x:c r="H846" s="41"/>
      <x:c r="I846" s="41"/>
      <x:c r="J846" s="41"/>
      <x:c r="K846" s="41"/>
      <x:c r="L846" s="41"/>
      <x:c r="M846" s="41"/>
      <x:c r="N846" s="41"/>
      <x:c r="O846" s="41"/>
      <x:c r="P846" s="41"/>
      <x:c r="Q846" s="41"/>
      <x:c r="R846" s="41"/>
      <x:c r="S846" s="41"/>
      <x:c r="T846" s="41"/>
      <x:c r="U846" s="41"/>
      <x:c r="V846" s="41"/>
      <x:c r="W846" s="41"/>
      <x:c r="X846" s="41"/>
      <x:c r="Y846" s="41"/>
      <x:c r="Z846" s="41"/>
    </x:row>
    <x:row r="847">
      <x:c r="A847" s="41"/>
      <x:c r="B847" s="41"/>
      <x:c r="C847" s="41"/>
      <x:c r="D847" s="41"/>
      <x:c r="E847" s="41"/>
      <x:c r="F847" s="41"/>
      <x:c r="G847" s="41"/>
      <x:c r="H847" s="41"/>
      <x:c r="I847" s="41"/>
      <x:c r="J847" s="41"/>
      <x:c r="K847" s="41"/>
      <x:c r="L847" s="41"/>
      <x:c r="M847" s="41"/>
      <x:c r="N847" s="41"/>
      <x:c r="O847" s="41"/>
      <x:c r="P847" s="41"/>
      <x:c r="Q847" s="41"/>
      <x:c r="R847" s="41"/>
      <x:c r="S847" s="41"/>
      <x:c r="T847" s="41"/>
      <x:c r="U847" s="41"/>
      <x:c r="V847" s="41"/>
      <x:c r="W847" s="41"/>
      <x:c r="X847" s="41"/>
      <x:c r="Y847" s="41"/>
      <x:c r="Z847" s="41"/>
    </x:row>
    <x:row r="848">
      <x:c r="A848" s="41"/>
      <x:c r="B848" s="41"/>
      <x:c r="C848" s="41"/>
      <x:c r="D848" s="41"/>
      <x:c r="E848" s="41"/>
      <x:c r="F848" s="41"/>
      <x:c r="G848" s="41"/>
      <x:c r="H848" s="41"/>
      <x:c r="I848" s="41"/>
      <x:c r="J848" s="41"/>
      <x:c r="K848" s="41"/>
      <x:c r="L848" s="41"/>
      <x:c r="M848" s="41"/>
      <x:c r="N848" s="41"/>
      <x:c r="O848" s="41"/>
      <x:c r="P848" s="41"/>
      <x:c r="Q848" s="41"/>
      <x:c r="R848" s="41"/>
      <x:c r="S848" s="41"/>
      <x:c r="T848" s="41"/>
      <x:c r="U848" s="41"/>
      <x:c r="V848" s="41"/>
      <x:c r="W848" s="41"/>
      <x:c r="X848" s="41"/>
      <x:c r="Y848" s="41"/>
      <x:c r="Z848" s="41"/>
    </x:row>
    <x:row r="849">
      <x:c r="A849" s="41"/>
      <x:c r="B849" s="41"/>
      <x:c r="C849" s="41"/>
      <x:c r="D849" s="41"/>
      <x:c r="E849" s="41"/>
      <x:c r="F849" s="41"/>
      <x:c r="G849" s="41"/>
      <x:c r="H849" s="41"/>
      <x:c r="I849" s="41"/>
      <x:c r="J849" s="41"/>
      <x:c r="K849" s="41"/>
      <x:c r="L849" s="41"/>
      <x:c r="M849" s="41"/>
      <x:c r="N849" s="41"/>
      <x:c r="O849" s="41"/>
      <x:c r="P849" s="41"/>
      <x:c r="Q849" s="41"/>
      <x:c r="R849" s="41"/>
      <x:c r="S849" s="41"/>
      <x:c r="T849" s="41"/>
      <x:c r="U849" s="41"/>
      <x:c r="V849" s="41"/>
      <x:c r="W849" s="41"/>
      <x:c r="X849" s="41"/>
      <x:c r="Y849" s="41"/>
      <x:c r="Z849" s="41"/>
    </x:row>
    <x:row r="850">
      <x:c r="A850" s="41"/>
      <x:c r="B850" s="41"/>
      <x:c r="C850" s="41"/>
      <x:c r="D850" s="41"/>
      <x:c r="E850" s="41"/>
      <x:c r="F850" s="41"/>
      <x:c r="G850" s="41"/>
      <x:c r="H850" s="41"/>
      <x:c r="I850" s="41"/>
      <x:c r="J850" s="41"/>
      <x:c r="K850" s="41"/>
      <x:c r="L850" s="41"/>
      <x:c r="M850" s="41"/>
      <x:c r="N850" s="41"/>
      <x:c r="O850" s="41"/>
      <x:c r="P850" s="41"/>
      <x:c r="Q850" s="41"/>
      <x:c r="R850" s="41"/>
      <x:c r="S850" s="41"/>
      <x:c r="T850" s="41"/>
      <x:c r="U850" s="41"/>
      <x:c r="V850" s="41"/>
      <x:c r="W850" s="41"/>
      <x:c r="X850" s="41"/>
      <x:c r="Y850" s="41"/>
      <x:c r="Z850" s="41"/>
    </x:row>
    <x:row r="851">
      <x:c r="A851" s="41"/>
      <x:c r="B851" s="41"/>
      <x:c r="C851" s="41"/>
      <x:c r="D851" s="41"/>
      <x:c r="E851" s="41"/>
      <x:c r="F851" s="41"/>
      <x:c r="G851" s="41"/>
      <x:c r="H851" s="41"/>
      <x:c r="I851" s="41"/>
      <x:c r="J851" s="41"/>
      <x:c r="K851" s="41"/>
      <x:c r="L851" s="41"/>
      <x:c r="M851" s="41"/>
      <x:c r="N851" s="41"/>
      <x:c r="O851" s="41"/>
      <x:c r="P851" s="41"/>
      <x:c r="Q851" s="41"/>
      <x:c r="R851" s="41"/>
      <x:c r="S851" s="41"/>
      <x:c r="T851" s="41"/>
      <x:c r="U851" s="41"/>
      <x:c r="V851" s="41"/>
      <x:c r="W851" s="41"/>
      <x:c r="X851" s="41"/>
      <x:c r="Y851" s="41"/>
      <x:c r="Z851" s="41"/>
    </x:row>
    <x:row r="852">
      <x:c r="A852" s="41"/>
      <x:c r="B852" s="41"/>
      <x:c r="C852" s="41"/>
      <x:c r="D852" s="41"/>
      <x:c r="E852" s="41"/>
      <x:c r="F852" s="41"/>
      <x:c r="G852" s="41"/>
      <x:c r="H852" s="41"/>
      <x:c r="I852" s="41"/>
      <x:c r="J852" s="41"/>
      <x:c r="K852" s="41"/>
      <x:c r="L852" s="41"/>
      <x:c r="M852" s="41"/>
      <x:c r="N852" s="41"/>
      <x:c r="O852" s="41"/>
      <x:c r="P852" s="41"/>
      <x:c r="Q852" s="41"/>
      <x:c r="R852" s="41"/>
      <x:c r="S852" s="41"/>
      <x:c r="T852" s="41"/>
      <x:c r="U852" s="41"/>
      <x:c r="V852" s="41"/>
      <x:c r="W852" s="41"/>
      <x:c r="X852" s="41"/>
      <x:c r="Y852" s="41"/>
      <x:c r="Z852" s="41"/>
    </x:row>
    <x:row r="853">
      <x:c r="A853" s="41"/>
      <x:c r="B853" s="41"/>
      <x:c r="C853" s="41"/>
      <x:c r="D853" s="41"/>
      <x:c r="E853" s="41"/>
      <x:c r="F853" s="41"/>
      <x:c r="G853" s="41"/>
      <x:c r="H853" s="41"/>
      <x:c r="I853" s="41"/>
      <x:c r="J853" s="41"/>
      <x:c r="K853" s="41"/>
      <x:c r="L853" s="41"/>
      <x:c r="M853" s="41"/>
      <x:c r="N853" s="41"/>
      <x:c r="O853" s="41"/>
      <x:c r="P853" s="41"/>
      <x:c r="Q853" s="41"/>
      <x:c r="R853" s="41"/>
      <x:c r="S853" s="41"/>
      <x:c r="T853" s="41"/>
      <x:c r="U853" s="41"/>
      <x:c r="V853" s="41"/>
      <x:c r="W853" s="41"/>
      <x:c r="X853" s="41"/>
      <x:c r="Y853" s="41"/>
      <x:c r="Z853" s="41"/>
    </x:row>
    <x:row r="854">
      <x:c r="A854" s="41"/>
      <x:c r="B854" s="41"/>
      <x:c r="C854" s="41"/>
      <x:c r="D854" s="41"/>
      <x:c r="E854" s="41"/>
      <x:c r="F854" s="41"/>
      <x:c r="G854" s="41"/>
      <x:c r="H854" s="41"/>
      <x:c r="I854" s="41"/>
      <x:c r="J854" s="41"/>
      <x:c r="K854" s="41"/>
      <x:c r="L854" s="41"/>
      <x:c r="M854" s="41"/>
      <x:c r="N854" s="41"/>
      <x:c r="O854" s="41"/>
      <x:c r="P854" s="41"/>
      <x:c r="Q854" s="41"/>
      <x:c r="R854" s="41"/>
      <x:c r="S854" s="41"/>
      <x:c r="T854" s="41"/>
      <x:c r="U854" s="41"/>
      <x:c r="V854" s="41"/>
      <x:c r="W854" s="41"/>
      <x:c r="X854" s="41"/>
      <x:c r="Y854" s="41"/>
      <x:c r="Z854" s="41"/>
    </x:row>
    <x:row r="855">
      <x:c r="A855" s="41"/>
      <x:c r="B855" s="41"/>
      <x:c r="C855" s="41"/>
      <x:c r="D855" s="41"/>
      <x:c r="E855" s="41"/>
      <x:c r="F855" s="41"/>
      <x:c r="G855" s="41"/>
      <x:c r="H855" s="41"/>
      <x:c r="I855" s="41"/>
      <x:c r="J855" s="41"/>
      <x:c r="K855" s="41"/>
      <x:c r="L855" s="41"/>
      <x:c r="M855" s="41"/>
      <x:c r="N855" s="41"/>
      <x:c r="O855" s="41"/>
      <x:c r="P855" s="41"/>
      <x:c r="Q855" s="41"/>
      <x:c r="R855" s="41"/>
      <x:c r="S855" s="41"/>
      <x:c r="T855" s="41"/>
      <x:c r="U855" s="41"/>
      <x:c r="V855" s="41"/>
      <x:c r="W855" s="41"/>
      <x:c r="X855" s="41"/>
      <x:c r="Y855" s="41"/>
      <x:c r="Z855" s="41"/>
    </x:row>
    <x:row r="856">
      <x:c r="A856" s="41"/>
      <x:c r="B856" s="41"/>
      <x:c r="C856" s="41"/>
      <x:c r="D856" s="41"/>
      <x:c r="E856" s="41"/>
      <x:c r="F856" s="41"/>
      <x:c r="G856" s="41"/>
      <x:c r="H856" s="41"/>
      <x:c r="I856" s="41"/>
      <x:c r="J856" s="41"/>
      <x:c r="K856" s="41"/>
      <x:c r="L856" s="41"/>
      <x:c r="M856" s="41"/>
      <x:c r="N856" s="41"/>
      <x:c r="O856" s="41"/>
      <x:c r="P856" s="41"/>
      <x:c r="Q856" s="41"/>
      <x:c r="R856" s="41"/>
      <x:c r="S856" s="41"/>
      <x:c r="T856" s="41"/>
      <x:c r="U856" s="41"/>
      <x:c r="V856" s="41"/>
      <x:c r="W856" s="41"/>
      <x:c r="X856" s="41"/>
      <x:c r="Y856" s="41"/>
      <x:c r="Z856" s="41"/>
    </x:row>
    <x:row r="857">
      <x:c r="A857" s="41"/>
      <x:c r="B857" s="41"/>
      <x:c r="C857" s="41"/>
      <x:c r="D857" s="41"/>
      <x:c r="E857" s="41"/>
      <x:c r="F857" s="41"/>
      <x:c r="G857" s="41"/>
      <x:c r="H857" s="41"/>
      <x:c r="I857" s="41"/>
      <x:c r="J857" s="41"/>
      <x:c r="K857" s="41"/>
      <x:c r="L857" s="41"/>
      <x:c r="M857" s="41"/>
      <x:c r="N857" s="41"/>
      <x:c r="O857" s="41"/>
      <x:c r="P857" s="41"/>
      <x:c r="Q857" s="41"/>
      <x:c r="R857" s="41"/>
      <x:c r="S857" s="41"/>
      <x:c r="T857" s="41"/>
      <x:c r="U857" s="41"/>
      <x:c r="V857" s="41"/>
      <x:c r="W857" s="41"/>
      <x:c r="X857" s="41"/>
      <x:c r="Y857" s="41"/>
      <x:c r="Z857" s="41"/>
    </x:row>
    <x:row r="858">
      <x:c r="A858" s="41"/>
      <x:c r="B858" s="41"/>
      <x:c r="C858" s="41"/>
      <x:c r="D858" s="41"/>
      <x:c r="E858" s="41"/>
      <x:c r="F858" s="41"/>
      <x:c r="G858" s="41"/>
      <x:c r="H858" s="41"/>
      <x:c r="I858" s="41"/>
      <x:c r="J858" s="41"/>
      <x:c r="K858" s="41"/>
      <x:c r="L858" s="41"/>
      <x:c r="M858" s="41"/>
      <x:c r="N858" s="41"/>
      <x:c r="O858" s="41"/>
      <x:c r="P858" s="41"/>
      <x:c r="Q858" s="41"/>
      <x:c r="R858" s="41"/>
      <x:c r="S858" s="41"/>
      <x:c r="T858" s="41"/>
      <x:c r="U858" s="41"/>
      <x:c r="V858" s="41"/>
      <x:c r="W858" s="41"/>
      <x:c r="X858" s="41"/>
      <x:c r="Y858" s="41"/>
      <x:c r="Z858" s="41"/>
    </x:row>
    <x:row r="859">
      <x:c r="A859" s="41"/>
      <x:c r="B859" s="41"/>
      <x:c r="C859" s="41"/>
      <x:c r="D859" s="41"/>
      <x:c r="E859" s="41"/>
      <x:c r="F859" s="41"/>
      <x:c r="G859" s="41"/>
      <x:c r="H859" s="41"/>
      <x:c r="I859" s="41"/>
      <x:c r="J859" s="41"/>
      <x:c r="K859" s="41"/>
      <x:c r="L859" s="41"/>
      <x:c r="M859" s="41"/>
      <x:c r="N859" s="41"/>
      <x:c r="O859" s="41"/>
      <x:c r="P859" s="41"/>
      <x:c r="Q859" s="41"/>
      <x:c r="R859" s="41"/>
      <x:c r="S859" s="41"/>
      <x:c r="T859" s="41"/>
      <x:c r="U859" s="41"/>
      <x:c r="V859" s="41"/>
      <x:c r="W859" s="41"/>
      <x:c r="X859" s="41"/>
      <x:c r="Y859" s="41"/>
      <x:c r="Z859" s="41"/>
    </x:row>
    <x:row r="860">
      <x:c r="A860" s="41"/>
      <x:c r="B860" s="41"/>
      <x:c r="C860" s="41"/>
      <x:c r="D860" s="41"/>
      <x:c r="E860" s="41"/>
      <x:c r="F860" s="41"/>
      <x:c r="G860" s="41"/>
      <x:c r="H860" s="41"/>
      <x:c r="I860" s="41"/>
      <x:c r="J860" s="41"/>
      <x:c r="K860" s="41"/>
      <x:c r="L860" s="41"/>
      <x:c r="M860" s="41"/>
      <x:c r="N860" s="41"/>
      <x:c r="O860" s="41"/>
      <x:c r="P860" s="41"/>
      <x:c r="Q860" s="41"/>
      <x:c r="R860" s="41"/>
      <x:c r="S860" s="41"/>
      <x:c r="T860" s="41"/>
      <x:c r="U860" s="41"/>
      <x:c r="V860" s="41"/>
      <x:c r="W860" s="41"/>
      <x:c r="X860" s="41"/>
      <x:c r="Y860" s="41"/>
      <x:c r="Z860" s="41"/>
    </x:row>
    <x:row r="861">
      <x:c r="A861" s="41"/>
      <x:c r="B861" s="41"/>
      <x:c r="C861" s="41"/>
      <x:c r="D861" s="41"/>
      <x:c r="E861" s="41"/>
      <x:c r="F861" s="41"/>
      <x:c r="G861" s="41"/>
      <x:c r="H861" s="41"/>
      <x:c r="I861" s="41"/>
      <x:c r="J861" s="41"/>
      <x:c r="K861" s="41"/>
      <x:c r="L861" s="41"/>
      <x:c r="M861" s="41"/>
      <x:c r="N861" s="41"/>
      <x:c r="O861" s="41"/>
      <x:c r="P861" s="41"/>
      <x:c r="Q861" s="41"/>
      <x:c r="R861" s="41"/>
      <x:c r="S861" s="41"/>
      <x:c r="T861" s="41"/>
      <x:c r="U861" s="41"/>
      <x:c r="V861" s="41"/>
      <x:c r="W861" s="41"/>
      <x:c r="X861" s="41"/>
      <x:c r="Y861" s="41"/>
      <x:c r="Z861" s="41"/>
    </x:row>
    <x:row r="862">
      <x:c r="A862" s="41"/>
      <x:c r="B862" s="41"/>
      <x:c r="C862" s="41"/>
      <x:c r="D862" s="41"/>
      <x:c r="E862" s="41"/>
      <x:c r="F862" s="41"/>
      <x:c r="G862" s="41"/>
      <x:c r="H862" s="41"/>
      <x:c r="I862" s="41"/>
      <x:c r="J862" s="41"/>
      <x:c r="K862" s="41"/>
      <x:c r="L862" s="41"/>
      <x:c r="M862" s="41"/>
      <x:c r="N862" s="41"/>
      <x:c r="O862" s="41"/>
      <x:c r="P862" s="41"/>
      <x:c r="Q862" s="41"/>
      <x:c r="R862" s="41"/>
      <x:c r="S862" s="41"/>
      <x:c r="T862" s="41"/>
      <x:c r="U862" s="41"/>
      <x:c r="V862" s="41"/>
      <x:c r="W862" s="41"/>
      <x:c r="X862" s="41"/>
      <x:c r="Y862" s="41"/>
      <x:c r="Z862" s="41"/>
    </x:row>
    <x:row r="863">
      <x:c r="A863" s="41"/>
      <x:c r="B863" s="41"/>
      <x:c r="C863" s="41"/>
      <x:c r="D863" s="41"/>
      <x:c r="E863" s="41"/>
      <x:c r="F863" s="41"/>
      <x:c r="G863" s="41"/>
      <x:c r="H863" s="41"/>
      <x:c r="I863" s="41"/>
      <x:c r="J863" s="41"/>
      <x:c r="K863" s="41"/>
      <x:c r="L863" s="41"/>
      <x:c r="M863" s="41"/>
      <x:c r="N863" s="41"/>
      <x:c r="O863" s="41"/>
      <x:c r="P863" s="41"/>
      <x:c r="Q863" s="41"/>
      <x:c r="R863" s="41"/>
      <x:c r="S863" s="41"/>
      <x:c r="T863" s="41"/>
      <x:c r="U863" s="41"/>
      <x:c r="V863" s="41"/>
      <x:c r="W863" s="41"/>
      <x:c r="X863" s="41"/>
      <x:c r="Y863" s="41"/>
      <x:c r="Z863" s="41"/>
    </x:row>
    <x:row r="864">
      <x:c r="A864" s="41"/>
      <x:c r="B864" s="41"/>
      <x:c r="C864" s="41"/>
      <x:c r="D864" s="41"/>
      <x:c r="E864" s="41"/>
      <x:c r="F864" s="41"/>
      <x:c r="G864" s="41"/>
      <x:c r="H864" s="41"/>
      <x:c r="I864" s="41"/>
      <x:c r="J864" s="41"/>
      <x:c r="K864" s="41"/>
      <x:c r="L864" s="41"/>
      <x:c r="M864" s="41"/>
      <x:c r="N864" s="41"/>
      <x:c r="O864" s="41"/>
      <x:c r="P864" s="41"/>
      <x:c r="Q864" s="41"/>
      <x:c r="R864" s="41"/>
      <x:c r="S864" s="41"/>
      <x:c r="T864" s="41"/>
      <x:c r="U864" s="41"/>
      <x:c r="V864" s="41"/>
      <x:c r="W864" s="41"/>
      <x:c r="X864" s="41"/>
      <x:c r="Y864" s="41"/>
      <x:c r="Z864" s="41"/>
    </x:row>
    <x:row r="865">
      <x:c r="A865" s="41"/>
      <x:c r="B865" s="41"/>
      <x:c r="C865" s="41"/>
      <x:c r="D865" s="41"/>
      <x:c r="E865" s="41"/>
      <x:c r="F865" s="41"/>
      <x:c r="G865" s="41"/>
      <x:c r="H865" s="41"/>
      <x:c r="I865" s="41"/>
      <x:c r="J865" s="41"/>
      <x:c r="K865" s="41"/>
      <x:c r="L865" s="41"/>
      <x:c r="M865" s="41"/>
      <x:c r="N865" s="41"/>
      <x:c r="O865" s="41"/>
      <x:c r="P865" s="41"/>
      <x:c r="Q865" s="41"/>
      <x:c r="R865" s="41"/>
      <x:c r="S865" s="41"/>
      <x:c r="T865" s="41"/>
      <x:c r="U865" s="41"/>
      <x:c r="V865" s="41"/>
      <x:c r="W865" s="41"/>
      <x:c r="X865" s="41"/>
      <x:c r="Y865" s="41"/>
      <x:c r="Z865" s="41"/>
    </x:row>
    <x:row r="866">
      <x:c r="A866" s="41"/>
      <x:c r="B866" s="41"/>
      <x:c r="C866" s="41"/>
      <x:c r="D866" s="41"/>
      <x:c r="E866" s="41"/>
      <x:c r="F866" s="41"/>
      <x:c r="G866" s="41"/>
      <x:c r="H866" s="41"/>
      <x:c r="I866" s="41"/>
      <x:c r="J866" s="41"/>
      <x:c r="K866" s="41"/>
      <x:c r="L866" s="41"/>
      <x:c r="M866" s="41"/>
      <x:c r="N866" s="41"/>
      <x:c r="O866" s="41"/>
      <x:c r="P866" s="41"/>
      <x:c r="Q866" s="41"/>
      <x:c r="R866" s="41"/>
      <x:c r="S866" s="41"/>
      <x:c r="T866" s="41"/>
      <x:c r="U866" s="41"/>
      <x:c r="V866" s="41"/>
      <x:c r="W866" s="41"/>
      <x:c r="X866" s="41"/>
      <x:c r="Y866" s="41"/>
      <x:c r="Z866" s="41"/>
    </x:row>
    <x:row r="867">
      <x:c r="A867" s="41"/>
      <x:c r="B867" s="41"/>
      <x:c r="C867" s="41"/>
      <x:c r="D867" s="41"/>
      <x:c r="E867" s="41"/>
      <x:c r="F867" s="41"/>
      <x:c r="G867" s="41"/>
      <x:c r="H867" s="41"/>
      <x:c r="I867" s="41"/>
      <x:c r="J867" s="41"/>
      <x:c r="K867" s="41"/>
      <x:c r="L867" s="41"/>
      <x:c r="M867" s="41"/>
      <x:c r="N867" s="41"/>
      <x:c r="O867" s="41"/>
      <x:c r="P867" s="41"/>
      <x:c r="Q867" s="41"/>
      <x:c r="R867" s="41"/>
      <x:c r="S867" s="41"/>
      <x:c r="T867" s="41"/>
      <x:c r="U867" s="41"/>
      <x:c r="V867" s="41"/>
      <x:c r="W867" s="41"/>
      <x:c r="X867" s="41"/>
      <x:c r="Y867" s="41"/>
      <x:c r="Z867" s="41"/>
    </x:row>
    <x:row r="868">
      <x:c r="A868" s="41"/>
      <x:c r="B868" s="41"/>
      <x:c r="C868" s="41"/>
      <x:c r="D868" s="41"/>
      <x:c r="E868" s="41"/>
      <x:c r="F868" s="41"/>
      <x:c r="G868" s="41"/>
      <x:c r="H868" s="41"/>
      <x:c r="I868" s="41"/>
      <x:c r="J868" s="41"/>
      <x:c r="K868" s="41"/>
      <x:c r="L868" s="41"/>
      <x:c r="M868" s="41"/>
      <x:c r="N868" s="41"/>
      <x:c r="O868" s="41"/>
      <x:c r="P868" s="41"/>
      <x:c r="Q868" s="41"/>
      <x:c r="R868" s="41"/>
      <x:c r="S868" s="41"/>
      <x:c r="T868" s="41"/>
      <x:c r="U868" s="41"/>
      <x:c r="V868" s="41"/>
      <x:c r="W868" s="41"/>
      <x:c r="X868" s="41"/>
      <x:c r="Y868" s="41"/>
      <x:c r="Z868" s="41"/>
    </x:row>
    <x:row r="869">
      <x:c r="A869" s="41"/>
      <x:c r="B869" s="41"/>
      <x:c r="C869" s="41"/>
      <x:c r="D869" s="41"/>
      <x:c r="E869" s="41"/>
      <x:c r="F869" s="41"/>
      <x:c r="G869" s="41"/>
      <x:c r="H869" s="41"/>
      <x:c r="I869" s="41"/>
      <x:c r="J869" s="41"/>
      <x:c r="K869" s="41"/>
      <x:c r="L869" s="41"/>
      <x:c r="M869" s="41"/>
      <x:c r="N869" s="41"/>
      <x:c r="O869" s="41"/>
      <x:c r="P869" s="41"/>
      <x:c r="Q869" s="41"/>
      <x:c r="R869" s="41"/>
      <x:c r="S869" s="41"/>
      <x:c r="T869" s="41"/>
      <x:c r="U869" s="41"/>
      <x:c r="V869" s="41"/>
      <x:c r="W869" s="41"/>
      <x:c r="X869" s="41"/>
      <x:c r="Y869" s="41"/>
      <x:c r="Z869" s="41"/>
    </x:row>
    <x:row r="870">
      <x:c r="A870" s="41"/>
      <x:c r="B870" s="41"/>
      <x:c r="C870" s="41"/>
      <x:c r="D870" s="41"/>
      <x:c r="E870" s="41"/>
      <x:c r="F870" s="41"/>
      <x:c r="G870" s="41"/>
      <x:c r="H870" s="41"/>
      <x:c r="I870" s="41"/>
      <x:c r="J870" s="41"/>
      <x:c r="K870" s="41"/>
      <x:c r="L870" s="41"/>
      <x:c r="M870" s="41"/>
      <x:c r="N870" s="41"/>
      <x:c r="O870" s="41"/>
      <x:c r="P870" s="41"/>
      <x:c r="Q870" s="41"/>
      <x:c r="R870" s="41"/>
      <x:c r="S870" s="41"/>
      <x:c r="T870" s="41"/>
      <x:c r="U870" s="41"/>
      <x:c r="V870" s="41"/>
      <x:c r="W870" s="41"/>
      <x:c r="X870" s="41"/>
      <x:c r="Y870" s="41"/>
      <x:c r="Z870" s="41"/>
    </x:row>
    <x:row r="871">
      <x:c r="A871" s="41"/>
      <x:c r="B871" s="41"/>
      <x:c r="C871" s="41"/>
      <x:c r="D871" s="41"/>
      <x:c r="E871" s="41"/>
      <x:c r="F871" s="41"/>
      <x:c r="G871" s="41"/>
      <x:c r="H871" s="41"/>
      <x:c r="I871" s="41"/>
      <x:c r="J871" s="41"/>
      <x:c r="K871" s="41"/>
      <x:c r="L871" s="41"/>
      <x:c r="M871" s="41"/>
      <x:c r="N871" s="41"/>
      <x:c r="O871" s="41"/>
      <x:c r="P871" s="41"/>
      <x:c r="Q871" s="41"/>
      <x:c r="R871" s="41"/>
      <x:c r="S871" s="41"/>
      <x:c r="T871" s="41"/>
      <x:c r="U871" s="41"/>
      <x:c r="V871" s="41"/>
      <x:c r="W871" s="41"/>
      <x:c r="X871" s="41"/>
      <x:c r="Y871" s="41"/>
      <x:c r="Z871" s="41"/>
    </x:row>
    <x:row r="872">
      <x:c r="A872" s="41"/>
      <x:c r="B872" s="41"/>
      <x:c r="C872" s="41"/>
      <x:c r="D872" s="41"/>
      <x:c r="E872" s="41"/>
      <x:c r="F872" s="41"/>
      <x:c r="G872" s="41"/>
      <x:c r="H872" s="41"/>
      <x:c r="I872" s="41"/>
      <x:c r="J872" s="41"/>
      <x:c r="K872" s="41"/>
      <x:c r="L872" s="41"/>
      <x:c r="M872" s="41"/>
      <x:c r="N872" s="41"/>
      <x:c r="O872" s="41"/>
      <x:c r="P872" s="41"/>
      <x:c r="Q872" s="41"/>
      <x:c r="R872" s="41"/>
      <x:c r="S872" s="41"/>
      <x:c r="T872" s="41"/>
      <x:c r="U872" s="41"/>
      <x:c r="V872" s="41"/>
      <x:c r="W872" s="41"/>
      <x:c r="X872" s="41"/>
      <x:c r="Y872" s="41"/>
      <x:c r="Z872" s="41"/>
    </x:row>
    <x:row r="873">
      <x:c r="A873" s="41"/>
      <x:c r="B873" s="41"/>
      <x:c r="C873" s="41"/>
      <x:c r="D873" s="41"/>
      <x:c r="E873" s="41"/>
      <x:c r="F873" s="41"/>
      <x:c r="G873" s="41"/>
      <x:c r="H873" s="41"/>
      <x:c r="I873" s="41"/>
      <x:c r="J873" s="41"/>
      <x:c r="K873" s="41"/>
      <x:c r="L873" s="41"/>
      <x:c r="M873" s="41"/>
      <x:c r="N873" s="41"/>
      <x:c r="O873" s="41"/>
      <x:c r="P873" s="41"/>
      <x:c r="Q873" s="41"/>
      <x:c r="R873" s="41"/>
      <x:c r="S873" s="41"/>
      <x:c r="T873" s="41"/>
      <x:c r="U873" s="41"/>
      <x:c r="V873" s="41"/>
      <x:c r="W873" s="41"/>
      <x:c r="X873" s="41"/>
      <x:c r="Y873" s="41"/>
      <x:c r="Z873" s="41"/>
    </x:row>
    <x:row r="874">
      <x:c r="A874" s="41"/>
      <x:c r="B874" s="41"/>
      <x:c r="C874" s="41"/>
      <x:c r="D874" s="41"/>
      <x:c r="E874" s="41"/>
      <x:c r="F874" s="41"/>
      <x:c r="G874" s="41"/>
      <x:c r="H874" s="41"/>
      <x:c r="I874" s="41"/>
      <x:c r="J874" s="41"/>
      <x:c r="K874" s="41"/>
      <x:c r="L874" s="41"/>
      <x:c r="M874" s="41"/>
      <x:c r="N874" s="41"/>
      <x:c r="O874" s="41"/>
      <x:c r="P874" s="41"/>
      <x:c r="Q874" s="41"/>
      <x:c r="R874" s="41"/>
      <x:c r="S874" s="41"/>
      <x:c r="T874" s="41"/>
      <x:c r="U874" s="41"/>
      <x:c r="V874" s="41"/>
      <x:c r="W874" s="41"/>
      <x:c r="X874" s="41"/>
      <x:c r="Y874" s="41"/>
      <x:c r="Z874" s="41"/>
    </x:row>
    <x:row r="875">
      <x:c r="A875" s="41"/>
      <x:c r="B875" s="41"/>
      <x:c r="C875" s="41"/>
      <x:c r="D875" s="41"/>
      <x:c r="E875" s="41"/>
      <x:c r="F875" s="41"/>
      <x:c r="G875" s="41"/>
      <x:c r="H875" s="41"/>
      <x:c r="I875" s="41"/>
      <x:c r="J875" s="41"/>
      <x:c r="K875" s="41"/>
      <x:c r="L875" s="41"/>
      <x:c r="M875" s="41"/>
      <x:c r="N875" s="41"/>
      <x:c r="O875" s="41"/>
      <x:c r="P875" s="41"/>
      <x:c r="Q875" s="41"/>
      <x:c r="R875" s="41"/>
      <x:c r="S875" s="41"/>
      <x:c r="T875" s="41"/>
      <x:c r="U875" s="41"/>
      <x:c r="V875" s="41"/>
      <x:c r="W875" s="41"/>
      <x:c r="X875" s="41"/>
      <x:c r="Y875" s="41"/>
      <x:c r="Z875" s="41"/>
    </x:row>
    <x:row r="876">
      <x:c r="A876" s="41"/>
      <x:c r="B876" s="41"/>
      <x:c r="C876" s="41"/>
      <x:c r="D876" s="41"/>
      <x:c r="E876" s="41"/>
      <x:c r="F876" s="41"/>
      <x:c r="G876" s="41"/>
      <x:c r="H876" s="41"/>
      <x:c r="I876" s="41"/>
      <x:c r="J876" s="41"/>
      <x:c r="K876" s="41"/>
      <x:c r="L876" s="41"/>
      <x:c r="M876" s="41"/>
      <x:c r="N876" s="41"/>
      <x:c r="O876" s="41"/>
      <x:c r="P876" s="41"/>
      <x:c r="Q876" s="41"/>
      <x:c r="R876" s="41"/>
      <x:c r="S876" s="41"/>
      <x:c r="T876" s="41"/>
      <x:c r="U876" s="41"/>
      <x:c r="V876" s="41"/>
      <x:c r="W876" s="41"/>
      <x:c r="X876" s="41"/>
      <x:c r="Y876" s="41"/>
      <x:c r="Z876" s="41"/>
    </x:row>
    <x:row r="877">
      <x:c r="A877" s="41"/>
      <x:c r="B877" s="41"/>
      <x:c r="C877" s="41"/>
      <x:c r="D877" s="41"/>
      <x:c r="E877" s="41"/>
      <x:c r="F877" s="41"/>
      <x:c r="G877" s="41"/>
      <x:c r="H877" s="41"/>
      <x:c r="I877" s="41"/>
      <x:c r="J877" s="41"/>
      <x:c r="K877" s="41"/>
      <x:c r="L877" s="41"/>
      <x:c r="M877" s="41"/>
      <x:c r="N877" s="41"/>
      <x:c r="O877" s="41"/>
      <x:c r="P877" s="41"/>
      <x:c r="Q877" s="41"/>
      <x:c r="R877" s="41"/>
      <x:c r="S877" s="41"/>
      <x:c r="T877" s="41"/>
      <x:c r="U877" s="41"/>
      <x:c r="V877" s="41"/>
      <x:c r="W877" s="41"/>
      <x:c r="X877" s="41"/>
      <x:c r="Y877" s="41"/>
      <x:c r="Z877" s="41"/>
    </x:row>
    <x:row r="878">
      <x:c r="A878" s="41"/>
      <x:c r="B878" s="41"/>
      <x:c r="C878" s="41"/>
      <x:c r="D878" s="41"/>
      <x:c r="E878" s="41"/>
      <x:c r="F878" s="41"/>
      <x:c r="G878" s="41"/>
      <x:c r="H878" s="41"/>
      <x:c r="I878" s="41"/>
      <x:c r="J878" s="41"/>
      <x:c r="K878" s="41"/>
      <x:c r="L878" s="41"/>
      <x:c r="M878" s="41"/>
      <x:c r="N878" s="41"/>
      <x:c r="O878" s="41"/>
      <x:c r="P878" s="41"/>
      <x:c r="Q878" s="41"/>
      <x:c r="R878" s="41"/>
      <x:c r="S878" s="41"/>
      <x:c r="T878" s="41"/>
      <x:c r="U878" s="41"/>
      <x:c r="V878" s="41"/>
      <x:c r="W878" s="41"/>
      <x:c r="X878" s="41"/>
      <x:c r="Y878" s="41"/>
      <x:c r="Z878" s="41"/>
    </x:row>
    <x:row r="879">
      <x:c r="A879" s="41"/>
      <x:c r="B879" s="41"/>
      <x:c r="C879" s="41"/>
      <x:c r="D879" s="41"/>
      <x:c r="E879" s="41"/>
      <x:c r="F879" s="41"/>
      <x:c r="G879" s="41"/>
      <x:c r="H879" s="41"/>
      <x:c r="I879" s="41"/>
      <x:c r="J879" s="41"/>
      <x:c r="K879" s="41"/>
      <x:c r="L879" s="41"/>
      <x:c r="M879" s="41"/>
      <x:c r="N879" s="41"/>
      <x:c r="O879" s="41"/>
      <x:c r="P879" s="41"/>
      <x:c r="Q879" s="41"/>
      <x:c r="R879" s="41"/>
      <x:c r="S879" s="41"/>
      <x:c r="T879" s="41"/>
      <x:c r="U879" s="41"/>
      <x:c r="V879" s="41"/>
      <x:c r="W879" s="41"/>
      <x:c r="X879" s="41"/>
      <x:c r="Y879" s="41"/>
      <x:c r="Z879" s="41"/>
    </x:row>
    <x:row r="880">
      <x:c r="A880" s="41"/>
      <x:c r="B880" s="41"/>
      <x:c r="C880" s="41"/>
      <x:c r="D880" s="41"/>
      <x:c r="E880" s="41"/>
      <x:c r="F880" s="41"/>
      <x:c r="G880" s="41"/>
      <x:c r="H880" s="41"/>
      <x:c r="I880" s="41"/>
      <x:c r="J880" s="41"/>
      <x:c r="K880" s="41"/>
      <x:c r="L880" s="41"/>
      <x:c r="M880" s="41"/>
      <x:c r="N880" s="41"/>
      <x:c r="O880" s="41"/>
      <x:c r="P880" s="41"/>
      <x:c r="Q880" s="41"/>
      <x:c r="R880" s="41"/>
      <x:c r="S880" s="41"/>
      <x:c r="T880" s="41"/>
      <x:c r="U880" s="41"/>
      <x:c r="V880" s="41"/>
      <x:c r="W880" s="41"/>
      <x:c r="X880" s="41"/>
      <x:c r="Y880" s="41"/>
      <x:c r="Z880" s="41"/>
    </x:row>
    <x:row r="881">
      <x:c r="A881" s="41"/>
      <x:c r="B881" s="41"/>
      <x:c r="C881" s="41"/>
      <x:c r="D881" s="41"/>
      <x:c r="E881" s="41"/>
      <x:c r="F881" s="41"/>
      <x:c r="G881" s="41"/>
      <x:c r="H881" s="41"/>
      <x:c r="I881" s="41"/>
      <x:c r="J881" s="41"/>
      <x:c r="K881" s="41"/>
      <x:c r="L881" s="41"/>
      <x:c r="M881" s="41"/>
      <x:c r="N881" s="41"/>
      <x:c r="O881" s="41"/>
      <x:c r="P881" s="41"/>
      <x:c r="Q881" s="41"/>
      <x:c r="R881" s="41"/>
      <x:c r="S881" s="41"/>
      <x:c r="T881" s="41"/>
      <x:c r="U881" s="41"/>
      <x:c r="V881" s="41"/>
      <x:c r="W881" s="41"/>
      <x:c r="X881" s="41"/>
      <x:c r="Y881" s="41"/>
      <x:c r="Z881" s="41"/>
    </x:row>
    <x:row r="882">
      <x:c r="A882" s="41"/>
      <x:c r="B882" s="41"/>
      <x:c r="C882" s="41"/>
      <x:c r="D882" s="41"/>
      <x:c r="E882" s="41"/>
      <x:c r="F882" s="41"/>
      <x:c r="G882" s="41"/>
      <x:c r="H882" s="41"/>
      <x:c r="I882" s="41"/>
      <x:c r="J882" s="41"/>
      <x:c r="K882" s="41"/>
      <x:c r="L882" s="41"/>
      <x:c r="M882" s="41"/>
      <x:c r="N882" s="41"/>
      <x:c r="O882" s="41"/>
      <x:c r="P882" s="41"/>
      <x:c r="Q882" s="41"/>
      <x:c r="R882" s="41"/>
      <x:c r="S882" s="41"/>
      <x:c r="T882" s="41"/>
      <x:c r="U882" s="41"/>
      <x:c r="V882" s="41"/>
      <x:c r="W882" s="41"/>
      <x:c r="X882" s="41"/>
      <x:c r="Y882" s="41"/>
      <x:c r="Z882" s="41"/>
    </x:row>
    <x:row r="883">
      <x:c r="A883" s="41"/>
      <x:c r="B883" s="41"/>
      <x:c r="C883" s="41"/>
      <x:c r="D883" s="41"/>
      <x:c r="E883" s="41"/>
      <x:c r="F883" s="41"/>
      <x:c r="G883" s="41"/>
      <x:c r="H883" s="41"/>
      <x:c r="I883" s="41"/>
      <x:c r="J883" s="41"/>
      <x:c r="K883" s="41"/>
      <x:c r="L883" s="41"/>
      <x:c r="M883" s="41"/>
      <x:c r="N883" s="41"/>
      <x:c r="O883" s="41"/>
      <x:c r="P883" s="41"/>
      <x:c r="Q883" s="41"/>
      <x:c r="R883" s="41"/>
      <x:c r="S883" s="41"/>
      <x:c r="T883" s="41"/>
      <x:c r="U883" s="41"/>
      <x:c r="V883" s="41"/>
      <x:c r="W883" s="41"/>
      <x:c r="X883" s="41"/>
      <x:c r="Y883" s="41"/>
      <x:c r="Z883" s="41"/>
    </x:row>
    <x:row r="884">
      <x:c r="A884" s="41"/>
      <x:c r="B884" s="41"/>
      <x:c r="C884" s="41"/>
      <x:c r="D884" s="41"/>
      <x:c r="E884" s="41"/>
      <x:c r="F884" s="41"/>
      <x:c r="G884" s="41"/>
      <x:c r="H884" s="41"/>
      <x:c r="I884" s="41"/>
      <x:c r="J884" s="41"/>
      <x:c r="K884" s="41"/>
      <x:c r="L884" s="41"/>
      <x:c r="M884" s="41"/>
      <x:c r="N884" s="41"/>
      <x:c r="O884" s="41"/>
      <x:c r="P884" s="41"/>
      <x:c r="Q884" s="41"/>
      <x:c r="R884" s="41"/>
      <x:c r="S884" s="41"/>
      <x:c r="T884" s="41"/>
      <x:c r="U884" s="41"/>
      <x:c r="V884" s="41"/>
      <x:c r="W884" s="41"/>
      <x:c r="X884" s="41"/>
      <x:c r="Y884" s="41"/>
      <x:c r="Z884" s="41"/>
    </x:row>
    <x:row r="885">
      <x:c r="A885" s="41"/>
      <x:c r="B885" s="41"/>
      <x:c r="C885" s="41"/>
      <x:c r="D885" s="41"/>
      <x:c r="E885" s="41"/>
      <x:c r="F885" s="41"/>
      <x:c r="G885" s="41"/>
      <x:c r="H885" s="41"/>
      <x:c r="I885" s="41"/>
      <x:c r="J885" s="41"/>
      <x:c r="K885" s="41"/>
      <x:c r="L885" s="41"/>
      <x:c r="M885" s="41"/>
      <x:c r="N885" s="41"/>
      <x:c r="O885" s="41"/>
      <x:c r="P885" s="41"/>
      <x:c r="Q885" s="41"/>
      <x:c r="R885" s="41"/>
      <x:c r="S885" s="41"/>
      <x:c r="T885" s="41"/>
      <x:c r="U885" s="41"/>
      <x:c r="V885" s="41"/>
      <x:c r="W885" s="41"/>
      <x:c r="X885" s="41"/>
      <x:c r="Y885" s="41"/>
      <x:c r="Z885" s="41"/>
    </x:row>
    <x:row r="886">
      <x:c r="A886" s="41"/>
      <x:c r="B886" s="41"/>
      <x:c r="C886" s="41"/>
      <x:c r="D886" s="41"/>
      <x:c r="E886" s="41"/>
      <x:c r="F886" s="41"/>
      <x:c r="G886" s="41"/>
      <x:c r="H886" s="41"/>
      <x:c r="I886" s="41"/>
      <x:c r="J886" s="41"/>
      <x:c r="K886" s="41"/>
      <x:c r="L886" s="41"/>
      <x:c r="M886" s="41"/>
      <x:c r="N886" s="41"/>
      <x:c r="O886" s="41"/>
      <x:c r="P886" s="41"/>
      <x:c r="Q886" s="41"/>
      <x:c r="R886" s="41"/>
      <x:c r="S886" s="41"/>
      <x:c r="T886" s="41"/>
      <x:c r="U886" s="41"/>
      <x:c r="V886" s="41"/>
      <x:c r="W886" s="41"/>
      <x:c r="X886" s="41"/>
      <x:c r="Y886" s="41"/>
      <x:c r="Z886" s="41"/>
    </x:row>
    <x:row r="887">
      <x:c r="A887" s="41"/>
      <x:c r="B887" s="41"/>
      <x:c r="C887" s="41"/>
      <x:c r="D887" s="41"/>
      <x:c r="E887" s="41"/>
      <x:c r="F887" s="41"/>
      <x:c r="G887" s="41"/>
      <x:c r="H887" s="41"/>
      <x:c r="I887" s="41"/>
      <x:c r="J887" s="41"/>
      <x:c r="K887" s="41"/>
      <x:c r="L887" s="41"/>
      <x:c r="M887" s="41"/>
      <x:c r="N887" s="41"/>
      <x:c r="O887" s="41"/>
      <x:c r="P887" s="41"/>
      <x:c r="Q887" s="41"/>
      <x:c r="R887" s="41"/>
      <x:c r="S887" s="41"/>
      <x:c r="T887" s="41"/>
      <x:c r="U887" s="41"/>
      <x:c r="V887" s="41"/>
      <x:c r="W887" s="41"/>
      <x:c r="X887" s="41"/>
      <x:c r="Y887" s="41"/>
      <x:c r="Z887" s="41"/>
    </x:row>
    <x:row r="888">
      <x:c r="A888" s="41"/>
      <x:c r="B888" s="41"/>
      <x:c r="C888" s="41"/>
      <x:c r="D888" s="41"/>
      <x:c r="E888" s="41"/>
      <x:c r="F888" s="41"/>
      <x:c r="G888" s="41"/>
      <x:c r="H888" s="41"/>
      <x:c r="I888" s="41"/>
      <x:c r="J888" s="41"/>
      <x:c r="K888" s="41"/>
      <x:c r="L888" s="41"/>
      <x:c r="M888" s="41"/>
      <x:c r="N888" s="41"/>
      <x:c r="O888" s="41"/>
      <x:c r="P888" s="41"/>
      <x:c r="Q888" s="41"/>
      <x:c r="R888" s="41"/>
      <x:c r="S888" s="41"/>
      <x:c r="T888" s="41"/>
      <x:c r="U888" s="41"/>
      <x:c r="V888" s="41"/>
      <x:c r="W888" s="41"/>
      <x:c r="X888" s="41"/>
      <x:c r="Y888" s="41"/>
      <x:c r="Z888" s="41"/>
    </x:row>
    <x:row r="889">
      <x:c r="A889" s="41"/>
      <x:c r="B889" s="41"/>
      <x:c r="C889" s="41"/>
      <x:c r="D889" s="41"/>
      <x:c r="E889" s="41"/>
      <x:c r="F889" s="41"/>
      <x:c r="G889" s="41"/>
      <x:c r="H889" s="41"/>
      <x:c r="I889" s="41"/>
      <x:c r="J889" s="41"/>
      <x:c r="K889" s="41"/>
      <x:c r="L889" s="41"/>
      <x:c r="M889" s="41"/>
      <x:c r="N889" s="41"/>
      <x:c r="O889" s="41"/>
      <x:c r="P889" s="41"/>
      <x:c r="Q889" s="41"/>
      <x:c r="R889" s="41"/>
      <x:c r="S889" s="41"/>
      <x:c r="T889" s="41"/>
      <x:c r="U889" s="41"/>
      <x:c r="V889" s="41"/>
      <x:c r="W889" s="41"/>
      <x:c r="X889" s="41"/>
      <x:c r="Y889" s="41"/>
      <x:c r="Z889" s="41"/>
    </x:row>
    <x:row r="890">
      <x:c r="A890" s="41"/>
      <x:c r="B890" s="41"/>
      <x:c r="C890" s="41"/>
      <x:c r="D890" s="41"/>
      <x:c r="E890" s="41"/>
      <x:c r="F890" s="41"/>
      <x:c r="G890" s="41"/>
      <x:c r="H890" s="41"/>
      <x:c r="I890" s="41"/>
      <x:c r="J890" s="41"/>
      <x:c r="K890" s="41"/>
      <x:c r="L890" s="41"/>
      <x:c r="M890" s="41"/>
      <x:c r="N890" s="41"/>
      <x:c r="O890" s="41"/>
      <x:c r="P890" s="41"/>
      <x:c r="Q890" s="41"/>
      <x:c r="R890" s="41"/>
      <x:c r="S890" s="41"/>
      <x:c r="T890" s="41"/>
      <x:c r="U890" s="41"/>
      <x:c r="V890" s="41"/>
      <x:c r="W890" s="41"/>
      <x:c r="X890" s="41"/>
      <x:c r="Y890" s="41"/>
      <x:c r="Z890" s="41"/>
    </x:row>
    <x:row r="891">
      <x:c r="A891" s="41"/>
      <x:c r="B891" s="41"/>
      <x:c r="C891" s="41"/>
      <x:c r="D891" s="41"/>
      <x:c r="E891" s="41"/>
      <x:c r="F891" s="41"/>
      <x:c r="G891" s="41"/>
      <x:c r="H891" s="41"/>
      <x:c r="I891" s="41"/>
      <x:c r="J891" s="41"/>
      <x:c r="K891" s="41"/>
      <x:c r="L891" s="41"/>
      <x:c r="M891" s="41"/>
      <x:c r="N891" s="41"/>
      <x:c r="O891" s="41"/>
      <x:c r="P891" s="41"/>
      <x:c r="Q891" s="41"/>
      <x:c r="R891" s="41"/>
      <x:c r="S891" s="41"/>
      <x:c r="T891" s="41"/>
      <x:c r="U891" s="41"/>
      <x:c r="V891" s="41"/>
      <x:c r="W891" s="41"/>
      <x:c r="X891" s="41"/>
      <x:c r="Y891" s="41"/>
      <x:c r="Z891" s="41"/>
    </x:row>
    <x:row r="892">
      <x:c r="A892" s="41"/>
      <x:c r="B892" s="41"/>
      <x:c r="C892" s="41"/>
      <x:c r="D892" s="41"/>
      <x:c r="E892" s="41"/>
      <x:c r="F892" s="41"/>
      <x:c r="G892" s="41"/>
      <x:c r="H892" s="41"/>
      <x:c r="I892" s="41"/>
      <x:c r="J892" s="41"/>
      <x:c r="K892" s="41"/>
      <x:c r="L892" s="41"/>
      <x:c r="M892" s="41"/>
      <x:c r="N892" s="41"/>
      <x:c r="O892" s="41"/>
      <x:c r="P892" s="41"/>
      <x:c r="Q892" s="41"/>
      <x:c r="R892" s="41"/>
      <x:c r="S892" s="41"/>
      <x:c r="T892" s="41"/>
      <x:c r="U892" s="41"/>
      <x:c r="V892" s="41"/>
      <x:c r="W892" s="41"/>
      <x:c r="X892" s="41"/>
      <x:c r="Y892" s="41"/>
      <x:c r="Z892" s="41"/>
    </x:row>
    <x:row r="893">
      <x:c r="A893" s="41"/>
      <x:c r="B893" s="41"/>
      <x:c r="C893" s="41"/>
      <x:c r="D893" s="41"/>
      <x:c r="E893" s="41"/>
      <x:c r="F893" s="41"/>
      <x:c r="G893" s="41"/>
      <x:c r="H893" s="41"/>
      <x:c r="I893" s="41"/>
      <x:c r="J893" s="41"/>
      <x:c r="K893" s="41"/>
      <x:c r="L893" s="41"/>
      <x:c r="M893" s="41"/>
      <x:c r="N893" s="41"/>
      <x:c r="O893" s="41"/>
      <x:c r="P893" s="41"/>
      <x:c r="Q893" s="41"/>
      <x:c r="R893" s="41"/>
      <x:c r="S893" s="41"/>
      <x:c r="T893" s="41"/>
      <x:c r="U893" s="41"/>
      <x:c r="V893" s="41"/>
      <x:c r="W893" s="41"/>
      <x:c r="X893" s="41"/>
      <x:c r="Y893" s="41"/>
      <x:c r="Z893" s="41"/>
    </x:row>
    <x:row r="894">
      <x:c r="A894" s="41"/>
      <x:c r="B894" s="41"/>
      <x:c r="C894" s="41"/>
      <x:c r="D894" s="41"/>
      <x:c r="E894" s="41"/>
      <x:c r="F894" s="41"/>
      <x:c r="G894" s="41"/>
      <x:c r="H894" s="41"/>
      <x:c r="I894" s="41"/>
      <x:c r="J894" s="41"/>
      <x:c r="K894" s="41"/>
      <x:c r="L894" s="41"/>
      <x:c r="M894" s="41"/>
      <x:c r="N894" s="41"/>
      <x:c r="O894" s="41"/>
      <x:c r="P894" s="41"/>
      <x:c r="Q894" s="41"/>
      <x:c r="R894" s="41"/>
      <x:c r="S894" s="41"/>
      <x:c r="T894" s="41"/>
      <x:c r="U894" s="41"/>
      <x:c r="V894" s="41"/>
      <x:c r="W894" s="41"/>
      <x:c r="X894" s="41"/>
      <x:c r="Y894" s="41"/>
      <x:c r="Z894" s="41"/>
    </x:row>
    <x:row r="895">
      <x:c r="A895" s="41"/>
      <x:c r="B895" s="41"/>
      <x:c r="C895" s="41"/>
      <x:c r="D895" s="41"/>
      <x:c r="E895" s="41"/>
      <x:c r="F895" s="41"/>
      <x:c r="G895" s="41"/>
      <x:c r="H895" s="41"/>
      <x:c r="I895" s="41"/>
      <x:c r="J895" s="41"/>
      <x:c r="K895" s="41"/>
      <x:c r="L895" s="41"/>
      <x:c r="M895" s="41"/>
      <x:c r="N895" s="41"/>
      <x:c r="O895" s="41"/>
      <x:c r="P895" s="41"/>
      <x:c r="Q895" s="41"/>
      <x:c r="R895" s="41"/>
      <x:c r="S895" s="41"/>
      <x:c r="T895" s="41"/>
      <x:c r="U895" s="41"/>
      <x:c r="V895" s="41"/>
      <x:c r="W895" s="41"/>
      <x:c r="X895" s="41"/>
      <x:c r="Y895" s="41"/>
      <x:c r="Z895" s="41"/>
    </x:row>
    <x:row r="896">
      <x:c r="A896" s="41"/>
      <x:c r="B896" s="41"/>
      <x:c r="C896" s="41"/>
      <x:c r="D896" s="41"/>
      <x:c r="E896" s="41"/>
      <x:c r="F896" s="41"/>
      <x:c r="G896" s="41"/>
      <x:c r="H896" s="41"/>
      <x:c r="I896" s="41"/>
      <x:c r="J896" s="41"/>
      <x:c r="K896" s="41"/>
      <x:c r="L896" s="41"/>
      <x:c r="M896" s="41"/>
      <x:c r="N896" s="41"/>
      <x:c r="O896" s="41"/>
      <x:c r="P896" s="41"/>
      <x:c r="Q896" s="41"/>
      <x:c r="R896" s="41"/>
      <x:c r="S896" s="41"/>
      <x:c r="T896" s="41"/>
      <x:c r="U896" s="41"/>
      <x:c r="V896" s="41"/>
      <x:c r="W896" s="41"/>
      <x:c r="X896" s="41"/>
      <x:c r="Y896" s="41"/>
      <x:c r="Z896" s="41"/>
    </x:row>
    <x:row r="897">
      <x:c r="A897" s="41"/>
      <x:c r="B897" s="41"/>
      <x:c r="C897" s="41"/>
      <x:c r="D897" s="41"/>
      <x:c r="E897" s="41"/>
      <x:c r="F897" s="41"/>
      <x:c r="G897" s="41"/>
      <x:c r="H897" s="41"/>
      <x:c r="I897" s="41"/>
      <x:c r="J897" s="41"/>
      <x:c r="K897" s="41"/>
      <x:c r="L897" s="41"/>
      <x:c r="M897" s="41"/>
      <x:c r="N897" s="41"/>
      <x:c r="O897" s="41"/>
      <x:c r="P897" s="41"/>
      <x:c r="Q897" s="41"/>
      <x:c r="R897" s="41"/>
      <x:c r="S897" s="41"/>
      <x:c r="T897" s="41"/>
      <x:c r="U897" s="41"/>
      <x:c r="V897" s="41"/>
      <x:c r="W897" s="41"/>
      <x:c r="X897" s="41"/>
      <x:c r="Y897" s="41"/>
      <x:c r="Z897" s="41"/>
    </x:row>
    <x:row r="898">
      <x:c r="A898" s="41"/>
      <x:c r="B898" s="41"/>
      <x:c r="C898" s="41"/>
      <x:c r="D898" s="41"/>
      <x:c r="E898" s="41"/>
      <x:c r="F898" s="41"/>
      <x:c r="G898" s="41"/>
      <x:c r="H898" s="41"/>
      <x:c r="I898" s="41"/>
      <x:c r="J898" s="41"/>
      <x:c r="K898" s="41"/>
      <x:c r="L898" s="41"/>
      <x:c r="M898" s="41"/>
      <x:c r="N898" s="41"/>
      <x:c r="O898" s="41"/>
      <x:c r="P898" s="41"/>
      <x:c r="Q898" s="41"/>
      <x:c r="R898" s="41"/>
      <x:c r="S898" s="41"/>
      <x:c r="T898" s="41"/>
      <x:c r="U898" s="41"/>
      <x:c r="V898" s="41"/>
      <x:c r="W898" s="41"/>
      <x:c r="X898" s="41"/>
      <x:c r="Y898" s="41"/>
      <x:c r="Z898" s="41"/>
    </x:row>
    <x:row r="899">
      <x:c r="A899" s="41"/>
      <x:c r="B899" s="41"/>
      <x:c r="C899" s="41"/>
      <x:c r="D899" s="41"/>
      <x:c r="E899" s="41"/>
      <x:c r="F899" s="41"/>
      <x:c r="G899" s="41"/>
      <x:c r="H899" s="41"/>
      <x:c r="I899" s="41"/>
      <x:c r="J899" s="41"/>
      <x:c r="K899" s="41"/>
      <x:c r="L899" s="41"/>
      <x:c r="M899" s="41"/>
      <x:c r="N899" s="41"/>
      <x:c r="O899" s="41"/>
      <x:c r="P899" s="41"/>
      <x:c r="Q899" s="41"/>
      <x:c r="R899" s="41"/>
      <x:c r="S899" s="41"/>
      <x:c r="T899" s="41"/>
      <x:c r="U899" s="41"/>
      <x:c r="V899" s="41"/>
      <x:c r="W899" s="41"/>
      <x:c r="X899" s="41"/>
      <x:c r="Y899" s="41"/>
      <x:c r="Z899" s="41"/>
    </x:row>
    <x:row r="900">
      <x:c r="A900" s="41"/>
      <x:c r="B900" s="41"/>
      <x:c r="C900" s="41"/>
      <x:c r="D900" s="41"/>
      <x:c r="E900" s="41"/>
      <x:c r="F900" s="41"/>
      <x:c r="G900" s="41"/>
      <x:c r="H900" s="41"/>
      <x:c r="I900" s="41"/>
      <x:c r="J900" s="41"/>
      <x:c r="K900" s="41"/>
      <x:c r="L900" s="41"/>
      <x:c r="M900" s="41"/>
      <x:c r="N900" s="41"/>
      <x:c r="O900" s="41"/>
      <x:c r="P900" s="41"/>
      <x:c r="Q900" s="41"/>
      <x:c r="R900" s="41"/>
      <x:c r="S900" s="41"/>
      <x:c r="T900" s="41"/>
      <x:c r="U900" s="41"/>
      <x:c r="V900" s="41"/>
      <x:c r="W900" s="41"/>
      <x:c r="X900" s="41"/>
      <x:c r="Y900" s="41"/>
      <x:c r="Z900" s="41"/>
    </x:row>
    <x:row r="901">
      <x:c r="A901" s="41"/>
      <x:c r="B901" s="41"/>
      <x:c r="C901" s="41"/>
      <x:c r="D901" s="41"/>
      <x:c r="E901" s="41"/>
      <x:c r="F901" s="41"/>
      <x:c r="G901" s="41"/>
      <x:c r="H901" s="41"/>
      <x:c r="I901" s="41"/>
      <x:c r="J901" s="41"/>
      <x:c r="K901" s="41"/>
      <x:c r="L901" s="41"/>
      <x:c r="M901" s="41"/>
      <x:c r="N901" s="41"/>
      <x:c r="O901" s="41"/>
      <x:c r="P901" s="41"/>
      <x:c r="Q901" s="41"/>
      <x:c r="R901" s="41"/>
      <x:c r="S901" s="41"/>
      <x:c r="T901" s="41"/>
      <x:c r="U901" s="41"/>
      <x:c r="V901" s="41"/>
      <x:c r="W901" s="41"/>
      <x:c r="X901" s="41"/>
      <x:c r="Y901" s="41"/>
      <x:c r="Z901" s="41"/>
    </x:row>
    <x:row r="902">
      <x:c r="A902" s="41"/>
      <x:c r="B902" s="41"/>
      <x:c r="C902" s="41"/>
      <x:c r="D902" s="41"/>
      <x:c r="E902" s="41"/>
      <x:c r="F902" s="41"/>
      <x:c r="G902" s="41"/>
      <x:c r="H902" s="41"/>
      <x:c r="I902" s="41"/>
      <x:c r="J902" s="41"/>
      <x:c r="K902" s="41"/>
      <x:c r="L902" s="41"/>
      <x:c r="M902" s="41"/>
      <x:c r="N902" s="41"/>
      <x:c r="O902" s="41"/>
      <x:c r="P902" s="41"/>
      <x:c r="Q902" s="41"/>
      <x:c r="R902" s="41"/>
      <x:c r="S902" s="41"/>
      <x:c r="T902" s="41"/>
      <x:c r="U902" s="41"/>
      <x:c r="V902" s="41"/>
      <x:c r="W902" s="41"/>
      <x:c r="X902" s="41"/>
      <x:c r="Y902" s="41"/>
      <x:c r="Z902" s="41"/>
    </x:row>
    <x:row r="903">
      <x:c r="A903" s="41"/>
      <x:c r="B903" s="41"/>
      <x:c r="C903" s="41"/>
      <x:c r="D903" s="41"/>
      <x:c r="E903" s="41"/>
      <x:c r="F903" s="41"/>
      <x:c r="G903" s="41"/>
      <x:c r="H903" s="41"/>
      <x:c r="I903" s="41"/>
      <x:c r="J903" s="41"/>
      <x:c r="K903" s="41"/>
      <x:c r="L903" s="41"/>
      <x:c r="M903" s="41"/>
      <x:c r="N903" s="41"/>
      <x:c r="O903" s="41"/>
      <x:c r="P903" s="41"/>
      <x:c r="Q903" s="41"/>
      <x:c r="R903" s="41"/>
      <x:c r="S903" s="41"/>
      <x:c r="T903" s="41"/>
      <x:c r="U903" s="41"/>
      <x:c r="V903" s="41"/>
      <x:c r="W903" s="41"/>
      <x:c r="X903" s="41"/>
      <x:c r="Y903" s="41"/>
      <x:c r="Z903" s="41"/>
    </x:row>
    <x:row r="904">
      <x:c r="A904" s="41"/>
      <x:c r="B904" s="41"/>
      <x:c r="C904" s="41"/>
      <x:c r="D904" s="41"/>
      <x:c r="E904" s="41"/>
      <x:c r="F904" s="41"/>
      <x:c r="G904" s="41"/>
      <x:c r="H904" s="41"/>
      <x:c r="I904" s="41"/>
      <x:c r="J904" s="41"/>
      <x:c r="K904" s="41"/>
      <x:c r="L904" s="41"/>
      <x:c r="M904" s="41"/>
      <x:c r="N904" s="41"/>
      <x:c r="O904" s="41"/>
      <x:c r="P904" s="41"/>
      <x:c r="Q904" s="41"/>
      <x:c r="R904" s="41"/>
      <x:c r="S904" s="41"/>
      <x:c r="T904" s="41"/>
      <x:c r="U904" s="41"/>
      <x:c r="V904" s="41"/>
      <x:c r="W904" s="41"/>
      <x:c r="X904" s="41"/>
      <x:c r="Y904" s="41"/>
      <x:c r="Z904" s="41"/>
    </x:row>
    <x:row r="905">
      <x:c r="A905" s="41"/>
      <x:c r="B905" s="41"/>
      <x:c r="C905" s="41"/>
      <x:c r="D905" s="41"/>
      <x:c r="E905" s="41"/>
      <x:c r="F905" s="41"/>
      <x:c r="G905" s="41"/>
      <x:c r="H905" s="41"/>
      <x:c r="I905" s="41"/>
      <x:c r="J905" s="41"/>
      <x:c r="K905" s="41"/>
      <x:c r="L905" s="41"/>
      <x:c r="M905" s="41"/>
      <x:c r="N905" s="41"/>
      <x:c r="O905" s="41"/>
      <x:c r="P905" s="41"/>
      <x:c r="Q905" s="41"/>
      <x:c r="R905" s="41"/>
      <x:c r="S905" s="41"/>
      <x:c r="T905" s="41"/>
      <x:c r="U905" s="41"/>
      <x:c r="V905" s="41"/>
      <x:c r="W905" s="41"/>
      <x:c r="X905" s="41"/>
      <x:c r="Y905" s="41"/>
      <x:c r="Z905" s="41"/>
    </x:row>
    <x:row r="906">
      <x:c r="A906" s="41"/>
      <x:c r="B906" s="41"/>
      <x:c r="C906" s="41"/>
      <x:c r="D906" s="41"/>
      <x:c r="E906" s="41"/>
      <x:c r="F906" s="41"/>
      <x:c r="G906" s="41"/>
      <x:c r="H906" s="41"/>
      <x:c r="I906" s="41"/>
      <x:c r="J906" s="41"/>
      <x:c r="K906" s="41"/>
      <x:c r="L906" s="41"/>
      <x:c r="M906" s="41"/>
      <x:c r="N906" s="41"/>
      <x:c r="O906" s="41"/>
      <x:c r="P906" s="41"/>
      <x:c r="Q906" s="41"/>
      <x:c r="R906" s="41"/>
      <x:c r="S906" s="41"/>
      <x:c r="T906" s="41"/>
      <x:c r="U906" s="41"/>
      <x:c r="V906" s="41"/>
      <x:c r="W906" s="41"/>
      <x:c r="X906" s="41"/>
      <x:c r="Y906" s="41"/>
      <x:c r="Z906" s="41"/>
    </x:row>
    <x:row r="907">
      <x:c r="A907" s="41"/>
      <x:c r="B907" s="41"/>
      <x:c r="C907" s="41"/>
      <x:c r="D907" s="41"/>
      <x:c r="E907" s="41"/>
      <x:c r="F907" s="41"/>
      <x:c r="G907" s="41"/>
      <x:c r="H907" s="41"/>
      <x:c r="I907" s="41"/>
      <x:c r="J907" s="41"/>
      <x:c r="K907" s="41"/>
      <x:c r="L907" s="41"/>
      <x:c r="M907" s="41"/>
      <x:c r="N907" s="41"/>
      <x:c r="O907" s="41"/>
      <x:c r="P907" s="41"/>
      <x:c r="Q907" s="41"/>
      <x:c r="R907" s="41"/>
      <x:c r="S907" s="41"/>
      <x:c r="T907" s="41"/>
      <x:c r="U907" s="41"/>
      <x:c r="V907" s="41"/>
      <x:c r="W907" s="41"/>
      <x:c r="X907" s="41"/>
      <x:c r="Y907" s="41"/>
      <x:c r="Z907" s="41"/>
    </x:row>
    <x:row r="908">
      <x:c r="A908" s="41"/>
      <x:c r="B908" s="41"/>
      <x:c r="C908" s="41"/>
      <x:c r="D908" s="41"/>
      <x:c r="E908" s="41"/>
      <x:c r="F908" s="41"/>
      <x:c r="G908" s="41"/>
      <x:c r="H908" s="41"/>
      <x:c r="I908" s="41"/>
      <x:c r="J908" s="41"/>
      <x:c r="K908" s="41"/>
      <x:c r="L908" s="41"/>
      <x:c r="M908" s="41"/>
      <x:c r="N908" s="41"/>
      <x:c r="O908" s="41"/>
      <x:c r="P908" s="41"/>
      <x:c r="Q908" s="41"/>
      <x:c r="R908" s="41"/>
      <x:c r="S908" s="41"/>
      <x:c r="T908" s="41"/>
      <x:c r="U908" s="41"/>
      <x:c r="V908" s="41"/>
      <x:c r="W908" s="41"/>
      <x:c r="X908" s="41"/>
      <x:c r="Y908" s="41"/>
      <x:c r="Z908" s="41"/>
    </x:row>
    <x:row r="909">
      <x:c r="A909" s="41"/>
      <x:c r="B909" s="41"/>
      <x:c r="C909" s="41"/>
      <x:c r="D909" s="41"/>
      <x:c r="E909" s="41"/>
      <x:c r="F909" s="41"/>
      <x:c r="G909" s="41"/>
      <x:c r="H909" s="41"/>
      <x:c r="I909" s="41"/>
      <x:c r="J909" s="41"/>
      <x:c r="K909" s="41"/>
      <x:c r="L909" s="41"/>
      <x:c r="M909" s="41"/>
      <x:c r="N909" s="41"/>
      <x:c r="O909" s="41"/>
      <x:c r="P909" s="41"/>
      <x:c r="Q909" s="41"/>
      <x:c r="R909" s="41"/>
      <x:c r="S909" s="41"/>
      <x:c r="T909" s="41"/>
      <x:c r="U909" s="41"/>
      <x:c r="V909" s="41"/>
      <x:c r="W909" s="41"/>
      <x:c r="X909" s="41"/>
      <x:c r="Y909" s="41"/>
      <x:c r="Z909" s="41"/>
    </x:row>
    <x:row r="910">
      <x:c r="A910" s="41"/>
      <x:c r="B910" s="41"/>
      <x:c r="C910" s="41"/>
      <x:c r="D910" s="41"/>
      <x:c r="E910" s="41"/>
      <x:c r="F910" s="41"/>
      <x:c r="G910" s="41"/>
      <x:c r="H910" s="41"/>
      <x:c r="I910" s="41"/>
      <x:c r="J910" s="41"/>
      <x:c r="K910" s="41"/>
      <x:c r="L910" s="41"/>
      <x:c r="M910" s="41"/>
      <x:c r="N910" s="41"/>
      <x:c r="O910" s="41"/>
      <x:c r="P910" s="41"/>
      <x:c r="Q910" s="41"/>
      <x:c r="R910" s="41"/>
      <x:c r="S910" s="41"/>
      <x:c r="T910" s="41"/>
      <x:c r="U910" s="41"/>
      <x:c r="V910" s="41"/>
      <x:c r="W910" s="41"/>
      <x:c r="X910" s="41"/>
      <x:c r="Y910" s="41"/>
      <x:c r="Z910" s="41"/>
    </x:row>
    <x:row r="911">
      <x:c r="A911" s="41"/>
      <x:c r="B911" s="41"/>
      <x:c r="C911" s="41"/>
      <x:c r="D911" s="41"/>
      <x:c r="E911" s="41"/>
      <x:c r="F911" s="41"/>
      <x:c r="G911" s="41"/>
      <x:c r="H911" s="41"/>
      <x:c r="I911" s="41"/>
      <x:c r="J911" s="41"/>
      <x:c r="K911" s="41"/>
      <x:c r="L911" s="41"/>
      <x:c r="M911" s="41"/>
      <x:c r="N911" s="41"/>
      <x:c r="O911" s="41"/>
      <x:c r="P911" s="41"/>
      <x:c r="Q911" s="41"/>
      <x:c r="R911" s="41"/>
      <x:c r="S911" s="41"/>
      <x:c r="T911" s="41"/>
      <x:c r="U911" s="41"/>
      <x:c r="V911" s="41"/>
      <x:c r="W911" s="41"/>
      <x:c r="X911" s="41"/>
      <x:c r="Y911" s="41"/>
      <x:c r="Z911" s="41"/>
    </x:row>
    <x:row r="912">
      <x:c r="A912" s="41"/>
      <x:c r="B912" s="41"/>
      <x:c r="C912" s="41"/>
      <x:c r="D912" s="41"/>
      <x:c r="E912" s="41"/>
      <x:c r="F912" s="41"/>
      <x:c r="G912" s="41"/>
      <x:c r="H912" s="41"/>
      <x:c r="I912" s="41"/>
      <x:c r="J912" s="41"/>
      <x:c r="K912" s="41"/>
      <x:c r="L912" s="41"/>
      <x:c r="M912" s="41"/>
      <x:c r="N912" s="41"/>
      <x:c r="O912" s="41"/>
      <x:c r="P912" s="41"/>
      <x:c r="Q912" s="41"/>
      <x:c r="R912" s="41"/>
      <x:c r="S912" s="41"/>
      <x:c r="T912" s="41"/>
      <x:c r="U912" s="41"/>
      <x:c r="V912" s="41"/>
      <x:c r="W912" s="41"/>
      <x:c r="X912" s="41"/>
      <x:c r="Y912" s="41"/>
      <x:c r="Z912" s="41"/>
    </x:row>
    <x:row r="913">
      <x:c r="A913" s="41"/>
      <x:c r="B913" s="41"/>
      <x:c r="C913" s="41"/>
      <x:c r="D913" s="41"/>
      <x:c r="E913" s="41"/>
      <x:c r="F913" s="41"/>
      <x:c r="G913" s="41"/>
      <x:c r="H913" s="41"/>
      <x:c r="I913" s="41"/>
      <x:c r="J913" s="41"/>
      <x:c r="K913" s="41"/>
      <x:c r="L913" s="41"/>
      <x:c r="M913" s="41"/>
      <x:c r="N913" s="41"/>
      <x:c r="O913" s="41"/>
      <x:c r="P913" s="41"/>
      <x:c r="Q913" s="41"/>
      <x:c r="R913" s="41"/>
      <x:c r="S913" s="41"/>
      <x:c r="T913" s="41"/>
      <x:c r="U913" s="41"/>
      <x:c r="V913" s="41"/>
      <x:c r="W913" s="41"/>
      <x:c r="X913" s="41"/>
      <x:c r="Y913" s="41"/>
      <x:c r="Z913" s="41"/>
    </x:row>
    <x:row r="914">
      <x:c r="A914" s="41"/>
      <x:c r="B914" s="41"/>
      <x:c r="C914" s="41"/>
      <x:c r="D914" s="41"/>
      <x:c r="E914" s="41"/>
      <x:c r="F914" s="41"/>
      <x:c r="G914" s="41"/>
      <x:c r="H914" s="41"/>
      <x:c r="I914" s="41"/>
      <x:c r="J914" s="41"/>
      <x:c r="K914" s="41"/>
      <x:c r="L914" s="41"/>
      <x:c r="M914" s="41"/>
      <x:c r="N914" s="41"/>
      <x:c r="O914" s="41"/>
      <x:c r="P914" s="41"/>
      <x:c r="Q914" s="41"/>
      <x:c r="R914" s="41"/>
      <x:c r="S914" s="41"/>
      <x:c r="T914" s="41"/>
      <x:c r="U914" s="41"/>
      <x:c r="V914" s="41"/>
      <x:c r="W914" s="41"/>
      <x:c r="X914" s="41"/>
      <x:c r="Y914" s="41"/>
      <x:c r="Z914" s="41"/>
    </x:row>
    <x:row r="915">
      <x:c r="A915" s="41"/>
      <x:c r="B915" s="41"/>
      <x:c r="C915" s="41"/>
      <x:c r="D915" s="41"/>
      <x:c r="E915" s="41"/>
      <x:c r="F915" s="41"/>
      <x:c r="G915" s="41"/>
      <x:c r="H915" s="41"/>
      <x:c r="I915" s="41"/>
      <x:c r="J915" s="41"/>
      <x:c r="K915" s="41"/>
      <x:c r="L915" s="41"/>
      <x:c r="M915" s="41"/>
      <x:c r="N915" s="41"/>
      <x:c r="O915" s="41"/>
      <x:c r="P915" s="41"/>
      <x:c r="Q915" s="41"/>
      <x:c r="R915" s="41"/>
      <x:c r="S915" s="41"/>
      <x:c r="T915" s="41"/>
      <x:c r="U915" s="41"/>
      <x:c r="V915" s="41"/>
      <x:c r="W915" s="41"/>
      <x:c r="X915" s="41"/>
      <x:c r="Y915" s="41"/>
      <x:c r="Z915" s="41"/>
    </x:row>
    <x:row r="916">
      <x:c r="A916" s="41"/>
      <x:c r="B916" s="41"/>
      <x:c r="C916" s="41"/>
      <x:c r="D916" s="41"/>
      <x:c r="E916" s="41"/>
      <x:c r="F916" s="41"/>
      <x:c r="G916" s="41"/>
      <x:c r="H916" s="41"/>
      <x:c r="I916" s="41"/>
      <x:c r="J916" s="41"/>
      <x:c r="K916" s="41"/>
      <x:c r="L916" s="41"/>
      <x:c r="M916" s="41"/>
      <x:c r="N916" s="41"/>
      <x:c r="O916" s="41"/>
      <x:c r="P916" s="41"/>
      <x:c r="Q916" s="41"/>
      <x:c r="R916" s="41"/>
      <x:c r="S916" s="41"/>
      <x:c r="T916" s="41"/>
      <x:c r="U916" s="41"/>
      <x:c r="V916" s="41"/>
      <x:c r="W916" s="41"/>
      <x:c r="X916" s="41"/>
      <x:c r="Y916" s="41"/>
      <x:c r="Z916" s="41"/>
    </x:row>
    <x:row r="917">
      <x:c r="A917" s="41"/>
      <x:c r="B917" s="41"/>
      <x:c r="C917" s="41"/>
      <x:c r="D917" s="41"/>
      <x:c r="E917" s="41"/>
      <x:c r="F917" s="41"/>
      <x:c r="G917" s="41"/>
      <x:c r="H917" s="41"/>
      <x:c r="I917" s="41"/>
      <x:c r="J917" s="41"/>
      <x:c r="K917" s="41"/>
      <x:c r="L917" s="41"/>
      <x:c r="M917" s="41"/>
      <x:c r="N917" s="41"/>
      <x:c r="O917" s="41"/>
      <x:c r="P917" s="41"/>
      <x:c r="Q917" s="41"/>
      <x:c r="R917" s="41"/>
      <x:c r="S917" s="41"/>
      <x:c r="T917" s="41"/>
      <x:c r="U917" s="41"/>
      <x:c r="V917" s="41"/>
      <x:c r="W917" s="41"/>
      <x:c r="X917" s="41"/>
      <x:c r="Y917" s="41"/>
      <x:c r="Z917" s="41"/>
    </x:row>
    <x:row r="918">
      <x:c r="A918" s="41"/>
      <x:c r="B918" s="41"/>
      <x:c r="C918" s="41"/>
      <x:c r="D918" s="41"/>
      <x:c r="E918" s="41"/>
      <x:c r="F918" s="41"/>
      <x:c r="G918" s="41"/>
      <x:c r="H918" s="41"/>
      <x:c r="I918" s="41"/>
      <x:c r="J918" s="41"/>
      <x:c r="K918" s="41"/>
      <x:c r="L918" s="41"/>
      <x:c r="M918" s="41"/>
      <x:c r="N918" s="41"/>
      <x:c r="O918" s="41"/>
      <x:c r="P918" s="41"/>
      <x:c r="Q918" s="41"/>
      <x:c r="R918" s="41"/>
      <x:c r="S918" s="41"/>
      <x:c r="T918" s="41"/>
      <x:c r="U918" s="41"/>
      <x:c r="V918" s="41"/>
      <x:c r="W918" s="41"/>
      <x:c r="X918" s="41"/>
      <x:c r="Y918" s="41"/>
      <x:c r="Z918" s="41"/>
    </x:row>
    <x:row r="919">
      <x:c r="A919" s="41"/>
      <x:c r="B919" s="41"/>
      <x:c r="C919" s="41"/>
      <x:c r="D919" s="41"/>
      <x:c r="E919" s="41"/>
      <x:c r="F919" s="41"/>
      <x:c r="G919" s="41"/>
      <x:c r="H919" s="41"/>
      <x:c r="I919" s="41"/>
      <x:c r="J919" s="41"/>
      <x:c r="K919" s="41"/>
      <x:c r="L919" s="41"/>
      <x:c r="M919" s="41"/>
      <x:c r="N919" s="41"/>
      <x:c r="O919" s="41"/>
      <x:c r="P919" s="41"/>
      <x:c r="Q919" s="41"/>
      <x:c r="R919" s="41"/>
      <x:c r="S919" s="41"/>
      <x:c r="T919" s="41"/>
      <x:c r="U919" s="41"/>
      <x:c r="V919" s="41"/>
      <x:c r="W919" s="41"/>
      <x:c r="X919" s="41"/>
      <x:c r="Y919" s="41"/>
      <x:c r="Z919" s="41"/>
    </x:row>
    <x:row r="920">
      <x:c r="A920" s="41"/>
      <x:c r="B920" s="41"/>
      <x:c r="C920" s="41"/>
      <x:c r="D920" s="41"/>
      <x:c r="E920" s="41"/>
      <x:c r="F920" s="41"/>
      <x:c r="G920" s="41"/>
      <x:c r="H920" s="41"/>
      <x:c r="I920" s="41"/>
      <x:c r="J920" s="41"/>
      <x:c r="K920" s="41"/>
      <x:c r="L920" s="41"/>
      <x:c r="M920" s="41"/>
      <x:c r="N920" s="41"/>
      <x:c r="O920" s="41"/>
      <x:c r="P920" s="41"/>
      <x:c r="Q920" s="41"/>
      <x:c r="R920" s="41"/>
      <x:c r="S920" s="41"/>
      <x:c r="T920" s="41"/>
      <x:c r="U920" s="41"/>
      <x:c r="V920" s="41"/>
      <x:c r="W920" s="41"/>
      <x:c r="X920" s="41"/>
      <x:c r="Y920" s="41"/>
      <x:c r="Z920" s="41"/>
    </x:row>
    <x:row r="921">
      <x:c r="A921" s="41"/>
      <x:c r="B921" s="41"/>
      <x:c r="C921" s="41"/>
      <x:c r="D921" s="41"/>
      <x:c r="E921" s="41"/>
      <x:c r="F921" s="41"/>
      <x:c r="G921" s="41"/>
      <x:c r="H921" s="41"/>
      <x:c r="I921" s="41"/>
      <x:c r="J921" s="41"/>
      <x:c r="K921" s="41"/>
      <x:c r="L921" s="41"/>
      <x:c r="M921" s="41"/>
      <x:c r="N921" s="41"/>
      <x:c r="O921" s="41"/>
      <x:c r="P921" s="41"/>
      <x:c r="Q921" s="41"/>
      <x:c r="R921" s="41"/>
      <x:c r="S921" s="41"/>
      <x:c r="T921" s="41"/>
      <x:c r="U921" s="41"/>
      <x:c r="V921" s="41"/>
      <x:c r="W921" s="41"/>
      <x:c r="X921" s="41"/>
      <x:c r="Y921" s="41"/>
      <x:c r="Z921" s="41"/>
    </x:row>
    <x:row r="922">
      <x:c r="A922" s="41"/>
      <x:c r="B922" s="41"/>
      <x:c r="C922" s="41"/>
      <x:c r="D922" s="41"/>
      <x:c r="E922" s="41"/>
      <x:c r="F922" s="41"/>
      <x:c r="G922" s="41"/>
      <x:c r="H922" s="41"/>
      <x:c r="I922" s="41"/>
      <x:c r="J922" s="41"/>
      <x:c r="K922" s="41"/>
      <x:c r="L922" s="41"/>
      <x:c r="M922" s="41"/>
      <x:c r="N922" s="41"/>
      <x:c r="O922" s="41"/>
      <x:c r="P922" s="41"/>
      <x:c r="Q922" s="41"/>
      <x:c r="R922" s="41"/>
      <x:c r="S922" s="41"/>
      <x:c r="T922" s="41"/>
      <x:c r="U922" s="41"/>
      <x:c r="V922" s="41"/>
      <x:c r="W922" s="41"/>
      <x:c r="X922" s="41"/>
      <x:c r="Y922" s="41"/>
      <x:c r="Z922" s="41"/>
    </x:row>
    <x:row r="923">
      <x:c r="A923" s="41"/>
      <x:c r="B923" s="41"/>
      <x:c r="C923" s="41"/>
      <x:c r="D923" s="41"/>
      <x:c r="E923" s="41"/>
      <x:c r="F923" s="41"/>
      <x:c r="G923" s="41"/>
      <x:c r="H923" s="41"/>
      <x:c r="I923" s="41"/>
      <x:c r="J923" s="41"/>
      <x:c r="K923" s="41"/>
      <x:c r="L923" s="41"/>
      <x:c r="M923" s="41"/>
      <x:c r="N923" s="41"/>
      <x:c r="O923" s="41"/>
      <x:c r="P923" s="41"/>
      <x:c r="Q923" s="41"/>
      <x:c r="R923" s="41"/>
      <x:c r="S923" s="41"/>
      <x:c r="T923" s="41"/>
      <x:c r="U923" s="41"/>
      <x:c r="V923" s="41"/>
      <x:c r="W923" s="41"/>
      <x:c r="X923" s="41"/>
      <x:c r="Y923" s="41"/>
      <x:c r="Z923" s="41"/>
    </x:row>
    <x:row r="924">
      <x:c r="A924" s="41"/>
      <x:c r="B924" s="41"/>
      <x:c r="C924" s="41"/>
      <x:c r="D924" s="41"/>
      <x:c r="E924" s="41"/>
      <x:c r="F924" s="41"/>
      <x:c r="G924" s="41"/>
      <x:c r="H924" s="41"/>
      <x:c r="I924" s="41"/>
      <x:c r="J924" s="41"/>
      <x:c r="K924" s="41"/>
      <x:c r="L924" s="41"/>
      <x:c r="M924" s="41"/>
      <x:c r="N924" s="41"/>
      <x:c r="O924" s="41"/>
      <x:c r="P924" s="41"/>
      <x:c r="Q924" s="41"/>
      <x:c r="R924" s="41"/>
      <x:c r="S924" s="41"/>
      <x:c r="T924" s="41"/>
      <x:c r="U924" s="41"/>
      <x:c r="V924" s="41"/>
      <x:c r="W924" s="41"/>
      <x:c r="X924" s="41"/>
      <x:c r="Y924" s="41"/>
      <x:c r="Z924" s="41"/>
    </x:row>
    <x:row r="925">
      <x:c r="A925" s="41"/>
      <x:c r="B925" s="41"/>
      <x:c r="C925" s="41"/>
      <x:c r="D925" s="41"/>
      <x:c r="E925" s="41"/>
      <x:c r="F925" s="41"/>
      <x:c r="G925" s="41"/>
      <x:c r="H925" s="41"/>
      <x:c r="I925" s="41"/>
      <x:c r="J925" s="41"/>
      <x:c r="K925" s="41"/>
      <x:c r="L925" s="41"/>
      <x:c r="M925" s="41"/>
      <x:c r="N925" s="41"/>
      <x:c r="O925" s="41"/>
      <x:c r="P925" s="41"/>
      <x:c r="Q925" s="41"/>
      <x:c r="R925" s="41"/>
      <x:c r="S925" s="41"/>
      <x:c r="T925" s="41"/>
      <x:c r="U925" s="41"/>
      <x:c r="V925" s="41"/>
      <x:c r="W925" s="41"/>
      <x:c r="X925" s="41"/>
      <x:c r="Y925" s="41"/>
      <x:c r="Z925" s="41"/>
    </x:row>
    <x:row r="926">
      <x:c r="A926" s="41"/>
      <x:c r="B926" s="41"/>
      <x:c r="C926" s="41"/>
      <x:c r="D926" s="41"/>
      <x:c r="E926" s="41"/>
      <x:c r="F926" s="41"/>
      <x:c r="G926" s="41"/>
      <x:c r="H926" s="41"/>
      <x:c r="I926" s="41"/>
      <x:c r="J926" s="41"/>
      <x:c r="K926" s="41"/>
      <x:c r="L926" s="41"/>
      <x:c r="M926" s="41"/>
      <x:c r="N926" s="41"/>
      <x:c r="O926" s="41"/>
      <x:c r="P926" s="41"/>
      <x:c r="Q926" s="41"/>
      <x:c r="R926" s="41"/>
      <x:c r="S926" s="41"/>
      <x:c r="T926" s="41"/>
      <x:c r="U926" s="41"/>
      <x:c r="V926" s="41"/>
      <x:c r="W926" s="41"/>
      <x:c r="X926" s="41"/>
      <x:c r="Y926" s="41"/>
      <x:c r="Z926" s="41"/>
    </x:row>
    <x:row r="927">
      <x:c r="A927" s="41"/>
      <x:c r="B927" s="41"/>
      <x:c r="C927" s="41"/>
      <x:c r="D927" s="41"/>
      <x:c r="E927" s="41"/>
      <x:c r="F927" s="41"/>
      <x:c r="G927" s="41"/>
      <x:c r="H927" s="41"/>
      <x:c r="I927" s="41"/>
      <x:c r="J927" s="41"/>
      <x:c r="K927" s="41"/>
      <x:c r="L927" s="41"/>
      <x:c r="M927" s="41"/>
      <x:c r="N927" s="41"/>
      <x:c r="O927" s="41"/>
      <x:c r="P927" s="41"/>
      <x:c r="Q927" s="41"/>
      <x:c r="R927" s="41"/>
      <x:c r="S927" s="41"/>
      <x:c r="T927" s="41"/>
      <x:c r="U927" s="41"/>
      <x:c r="V927" s="41"/>
      <x:c r="W927" s="41"/>
      <x:c r="X927" s="41"/>
      <x:c r="Y927" s="41"/>
      <x:c r="Z927" s="41"/>
    </x:row>
    <x:row r="928">
      <x:c r="A928" s="41"/>
      <x:c r="B928" s="41"/>
      <x:c r="C928" s="41"/>
      <x:c r="D928" s="41"/>
      <x:c r="E928" s="41"/>
      <x:c r="F928" s="41"/>
      <x:c r="G928" s="41"/>
      <x:c r="H928" s="41"/>
      <x:c r="I928" s="41"/>
      <x:c r="J928" s="41"/>
      <x:c r="K928" s="41"/>
      <x:c r="L928" s="41"/>
      <x:c r="M928" s="41"/>
      <x:c r="N928" s="41"/>
      <x:c r="O928" s="41"/>
      <x:c r="P928" s="41"/>
      <x:c r="Q928" s="41"/>
      <x:c r="R928" s="41"/>
      <x:c r="S928" s="41"/>
      <x:c r="T928" s="41"/>
      <x:c r="U928" s="41"/>
      <x:c r="V928" s="41"/>
      <x:c r="W928" s="41"/>
      <x:c r="X928" s="41"/>
      <x:c r="Y928" s="41"/>
      <x:c r="Z928" s="41"/>
    </x:row>
    <x:row r="929">
      <x:c r="A929" s="41"/>
      <x:c r="B929" s="41"/>
      <x:c r="C929" s="41"/>
      <x:c r="D929" s="41"/>
      <x:c r="E929" s="41"/>
      <x:c r="F929" s="41"/>
      <x:c r="G929" s="41"/>
      <x:c r="H929" s="41"/>
      <x:c r="I929" s="41"/>
      <x:c r="J929" s="41"/>
      <x:c r="K929" s="41"/>
      <x:c r="L929" s="41"/>
      <x:c r="M929" s="41"/>
      <x:c r="N929" s="41"/>
      <x:c r="O929" s="41"/>
      <x:c r="P929" s="41"/>
      <x:c r="Q929" s="41"/>
      <x:c r="R929" s="41"/>
      <x:c r="S929" s="41"/>
      <x:c r="T929" s="41"/>
      <x:c r="U929" s="41"/>
      <x:c r="V929" s="41"/>
      <x:c r="W929" s="41"/>
      <x:c r="X929" s="41"/>
      <x:c r="Y929" s="41"/>
      <x:c r="Z929" s="41"/>
    </x:row>
    <x:row r="930">
      <x:c r="A930" s="41"/>
      <x:c r="B930" s="41"/>
      <x:c r="C930" s="41"/>
      <x:c r="D930" s="41"/>
      <x:c r="E930" s="41"/>
      <x:c r="F930" s="41"/>
      <x:c r="G930" s="41"/>
      <x:c r="H930" s="41"/>
      <x:c r="I930" s="41"/>
      <x:c r="J930" s="41"/>
      <x:c r="K930" s="41"/>
      <x:c r="L930" s="41"/>
      <x:c r="M930" s="41"/>
      <x:c r="N930" s="41"/>
      <x:c r="O930" s="41"/>
      <x:c r="P930" s="41"/>
      <x:c r="Q930" s="41"/>
      <x:c r="R930" s="41"/>
      <x:c r="S930" s="41"/>
      <x:c r="T930" s="41"/>
      <x:c r="U930" s="41"/>
      <x:c r="V930" s="41"/>
      <x:c r="W930" s="41"/>
      <x:c r="X930" s="41"/>
      <x:c r="Y930" s="41"/>
      <x:c r="Z930" s="41"/>
    </x:row>
    <x:row r="931">
      <x:c r="A931" s="41"/>
      <x:c r="B931" s="41"/>
      <x:c r="C931" s="41"/>
      <x:c r="D931" s="41"/>
      <x:c r="E931" s="41"/>
      <x:c r="F931" s="41"/>
      <x:c r="G931" s="41"/>
      <x:c r="H931" s="41"/>
      <x:c r="I931" s="41"/>
      <x:c r="J931" s="41"/>
      <x:c r="K931" s="41"/>
      <x:c r="L931" s="41"/>
      <x:c r="M931" s="41"/>
      <x:c r="N931" s="41"/>
      <x:c r="O931" s="41"/>
      <x:c r="P931" s="41"/>
      <x:c r="Q931" s="41"/>
      <x:c r="R931" s="41"/>
      <x:c r="S931" s="41"/>
      <x:c r="T931" s="41"/>
      <x:c r="U931" s="41"/>
      <x:c r="V931" s="41"/>
      <x:c r="W931" s="41"/>
      <x:c r="X931" s="41"/>
      <x:c r="Y931" s="41"/>
      <x:c r="Z931" s="41"/>
    </x:row>
    <x:row r="932">
      <x:c r="A932" s="41"/>
      <x:c r="B932" s="41"/>
      <x:c r="C932" s="41"/>
      <x:c r="D932" s="41"/>
      <x:c r="E932" s="41"/>
      <x:c r="F932" s="41"/>
      <x:c r="G932" s="41"/>
      <x:c r="H932" s="41"/>
      <x:c r="I932" s="41"/>
      <x:c r="J932" s="41"/>
      <x:c r="K932" s="41"/>
      <x:c r="L932" s="41"/>
      <x:c r="M932" s="41"/>
      <x:c r="N932" s="41"/>
      <x:c r="O932" s="41"/>
      <x:c r="P932" s="41"/>
      <x:c r="Q932" s="41"/>
      <x:c r="R932" s="41"/>
      <x:c r="S932" s="41"/>
      <x:c r="T932" s="41"/>
      <x:c r="U932" s="41"/>
      <x:c r="V932" s="41"/>
      <x:c r="W932" s="41"/>
      <x:c r="X932" s="41"/>
      <x:c r="Y932" s="41"/>
      <x:c r="Z932" s="41"/>
    </x:row>
    <x:row r="933">
      <x:c r="A933" s="41"/>
      <x:c r="B933" s="41"/>
      <x:c r="C933" s="41"/>
      <x:c r="D933" s="41"/>
      <x:c r="E933" s="41"/>
      <x:c r="F933" s="41"/>
      <x:c r="G933" s="41"/>
      <x:c r="H933" s="41"/>
      <x:c r="I933" s="41"/>
      <x:c r="J933" s="41"/>
      <x:c r="K933" s="41"/>
      <x:c r="L933" s="41"/>
      <x:c r="M933" s="41"/>
      <x:c r="N933" s="41"/>
      <x:c r="O933" s="41"/>
      <x:c r="P933" s="41"/>
      <x:c r="Q933" s="41"/>
      <x:c r="R933" s="41"/>
      <x:c r="S933" s="41"/>
      <x:c r="T933" s="41"/>
      <x:c r="U933" s="41"/>
      <x:c r="V933" s="41"/>
      <x:c r="W933" s="41"/>
      <x:c r="X933" s="41"/>
      <x:c r="Y933" s="41"/>
      <x:c r="Z933" s="41"/>
    </x:row>
    <x:row r="934">
      <x:c r="A934" s="41"/>
      <x:c r="B934" s="41"/>
      <x:c r="C934" s="41"/>
      <x:c r="D934" s="41"/>
      <x:c r="E934" s="41"/>
      <x:c r="F934" s="41"/>
      <x:c r="G934" s="41"/>
      <x:c r="H934" s="41"/>
      <x:c r="I934" s="41"/>
      <x:c r="J934" s="41"/>
      <x:c r="K934" s="41"/>
      <x:c r="L934" s="41"/>
      <x:c r="M934" s="41"/>
      <x:c r="N934" s="41"/>
      <x:c r="O934" s="41"/>
      <x:c r="P934" s="41"/>
      <x:c r="Q934" s="41"/>
      <x:c r="R934" s="41"/>
      <x:c r="S934" s="41"/>
      <x:c r="T934" s="41"/>
      <x:c r="U934" s="41"/>
      <x:c r="V934" s="41"/>
      <x:c r="W934" s="41"/>
      <x:c r="X934" s="41"/>
      <x:c r="Y934" s="41"/>
      <x:c r="Z934" s="41"/>
    </x:row>
    <x:row r="935">
      <x:c r="A935" s="41"/>
      <x:c r="B935" s="41"/>
      <x:c r="C935" s="41"/>
      <x:c r="D935" s="41"/>
      <x:c r="E935" s="41"/>
      <x:c r="F935" s="41"/>
      <x:c r="G935" s="41"/>
      <x:c r="H935" s="41"/>
      <x:c r="I935" s="41"/>
      <x:c r="J935" s="41"/>
      <x:c r="K935" s="41"/>
      <x:c r="L935" s="41"/>
      <x:c r="M935" s="41"/>
      <x:c r="N935" s="41"/>
      <x:c r="O935" s="41"/>
      <x:c r="P935" s="41"/>
      <x:c r="Q935" s="41"/>
      <x:c r="R935" s="41"/>
      <x:c r="S935" s="41"/>
      <x:c r="T935" s="41"/>
      <x:c r="U935" s="41"/>
      <x:c r="V935" s="41"/>
      <x:c r="W935" s="41"/>
      <x:c r="X935" s="41"/>
      <x:c r="Y935" s="41"/>
      <x:c r="Z935" s="41"/>
    </x:row>
    <x:row r="936">
      <x:c r="A936" s="41"/>
      <x:c r="B936" s="41"/>
      <x:c r="C936" s="41"/>
      <x:c r="D936" s="41"/>
      <x:c r="E936" s="41"/>
      <x:c r="F936" s="41"/>
      <x:c r="G936" s="41"/>
      <x:c r="H936" s="41"/>
      <x:c r="I936" s="41"/>
      <x:c r="J936" s="41"/>
      <x:c r="K936" s="41"/>
      <x:c r="L936" s="41"/>
      <x:c r="M936" s="41"/>
      <x:c r="N936" s="41"/>
      <x:c r="O936" s="41"/>
      <x:c r="P936" s="41"/>
      <x:c r="Q936" s="41"/>
      <x:c r="R936" s="41"/>
      <x:c r="S936" s="41"/>
      <x:c r="T936" s="41"/>
      <x:c r="U936" s="41"/>
      <x:c r="V936" s="41"/>
      <x:c r="W936" s="41"/>
      <x:c r="X936" s="41"/>
      <x:c r="Y936" s="41"/>
      <x:c r="Z936" s="41"/>
    </x:row>
    <x:row r="937">
      <x:c r="A937" s="41"/>
      <x:c r="B937" s="41"/>
      <x:c r="C937" s="41"/>
      <x:c r="D937" s="41"/>
      <x:c r="E937" s="41"/>
      <x:c r="F937" s="41"/>
      <x:c r="G937" s="41"/>
      <x:c r="H937" s="41"/>
      <x:c r="I937" s="41"/>
      <x:c r="J937" s="41"/>
      <x:c r="K937" s="41"/>
      <x:c r="L937" s="41"/>
      <x:c r="M937" s="41"/>
      <x:c r="N937" s="41"/>
      <x:c r="O937" s="41"/>
      <x:c r="P937" s="41"/>
      <x:c r="Q937" s="41"/>
      <x:c r="R937" s="41"/>
      <x:c r="S937" s="41"/>
      <x:c r="T937" s="41"/>
      <x:c r="U937" s="41"/>
      <x:c r="V937" s="41"/>
      <x:c r="W937" s="41"/>
      <x:c r="X937" s="41"/>
      <x:c r="Y937" s="41"/>
      <x:c r="Z937" s="41"/>
    </x:row>
    <x:row r="938">
      <x:c r="A938" s="41"/>
      <x:c r="B938" s="41"/>
      <x:c r="C938" s="41"/>
      <x:c r="D938" s="41"/>
      <x:c r="E938" s="41"/>
      <x:c r="F938" s="41"/>
      <x:c r="G938" s="41"/>
      <x:c r="H938" s="41"/>
      <x:c r="I938" s="41"/>
      <x:c r="J938" s="41"/>
      <x:c r="K938" s="41"/>
      <x:c r="L938" s="41"/>
      <x:c r="M938" s="41"/>
      <x:c r="N938" s="41"/>
      <x:c r="O938" s="41"/>
      <x:c r="P938" s="41"/>
      <x:c r="Q938" s="41"/>
      <x:c r="R938" s="41"/>
      <x:c r="S938" s="41"/>
      <x:c r="T938" s="41"/>
      <x:c r="U938" s="41"/>
      <x:c r="V938" s="41"/>
      <x:c r="W938" s="41"/>
      <x:c r="X938" s="41"/>
      <x:c r="Y938" s="41"/>
      <x:c r="Z938" s="41"/>
    </x:row>
    <x:row r="939">
      <x:c r="A939" s="41"/>
      <x:c r="B939" s="41"/>
      <x:c r="C939" s="41"/>
      <x:c r="D939" s="41"/>
      <x:c r="E939" s="41"/>
      <x:c r="F939" s="41"/>
      <x:c r="G939" s="41"/>
      <x:c r="H939" s="41"/>
      <x:c r="I939" s="41"/>
      <x:c r="J939" s="41"/>
      <x:c r="K939" s="41"/>
      <x:c r="L939" s="41"/>
      <x:c r="M939" s="41"/>
      <x:c r="N939" s="41"/>
      <x:c r="O939" s="41"/>
      <x:c r="P939" s="41"/>
      <x:c r="Q939" s="41"/>
      <x:c r="R939" s="41"/>
      <x:c r="S939" s="41"/>
      <x:c r="T939" s="41"/>
      <x:c r="U939" s="41"/>
      <x:c r="V939" s="41"/>
      <x:c r="W939" s="41"/>
      <x:c r="X939" s="41"/>
      <x:c r="Y939" s="41"/>
      <x:c r="Z939" s="41"/>
    </x:row>
    <x:row r="940">
      <x:c r="A940" s="41"/>
      <x:c r="B940" s="41"/>
      <x:c r="C940" s="41"/>
      <x:c r="D940" s="41"/>
      <x:c r="E940" s="41"/>
      <x:c r="F940" s="41"/>
      <x:c r="G940" s="41"/>
      <x:c r="H940" s="41"/>
      <x:c r="I940" s="41"/>
      <x:c r="J940" s="41"/>
      <x:c r="K940" s="41"/>
      <x:c r="L940" s="41"/>
      <x:c r="M940" s="41"/>
      <x:c r="N940" s="41"/>
      <x:c r="O940" s="41"/>
      <x:c r="P940" s="41"/>
      <x:c r="Q940" s="41"/>
      <x:c r="R940" s="41"/>
      <x:c r="S940" s="41"/>
      <x:c r="T940" s="41"/>
      <x:c r="U940" s="41"/>
      <x:c r="V940" s="41"/>
      <x:c r="W940" s="41"/>
      <x:c r="X940" s="41"/>
      <x:c r="Y940" s="41"/>
      <x:c r="Z940" s="41"/>
    </x:row>
    <x:row r="941">
      <x:c r="A941" s="41"/>
      <x:c r="B941" s="41"/>
      <x:c r="C941" s="41"/>
      <x:c r="D941" s="41"/>
      <x:c r="E941" s="41"/>
      <x:c r="F941" s="41"/>
      <x:c r="G941" s="41"/>
      <x:c r="H941" s="41"/>
      <x:c r="I941" s="41"/>
      <x:c r="J941" s="41"/>
      <x:c r="K941" s="41"/>
      <x:c r="L941" s="41"/>
      <x:c r="M941" s="41"/>
      <x:c r="N941" s="41"/>
      <x:c r="O941" s="41"/>
      <x:c r="P941" s="41"/>
      <x:c r="Q941" s="41"/>
      <x:c r="R941" s="41"/>
      <x:c r="S941" s="41"/>
      <x:c r="T941" s="41"/>
      <x:c r="U941" s="41"/>
      <x:c r="V941" s="41"/>
      <x:c r="W941" s="41"/>
      <x:c r="X941" s="41"/>
      <x:c r="Y941" s="41"/>
      <x:c r="Z941" s="41"/>
    </x:row>
    <x:row r="942">
      <x:c r="A942" s="41"/>
      <x:c r="B942" s="41"/>
      <x:c r="C942" s="41"/>
      <x:c r="D942" s="41"/>
      <x:c r="E942" s="41"/>
      <x:c r="F942" s="41"/>
      <x:c r="G942" s="41"/>
      <x:c r="H942" s="41"/>
      <x:c r="I942" s="41"/>
      <x:c r="J942" s="41"/>
      <x:c r="K942" s="41"/>
      <x:c r="L942" s="41"/>
      <x:c r="M942" s="41"/>
      <x:c r="N942" s="41"/>
      <x:c r="O942" s="41"/>
      <x:c r="P942" s="41"/>
      <x:c r="Q942" s="41"/>
      <x:c r="R942" s="41"/>
      <x:c r="S942" s="41"/>
      <x:c r="T942" s="41"/>
      <x:c r="U942" s="41"/>
      <x:c r="V942" s="41"/>
      <x:c r="W942" s="41"/>
      <x:c r="X942" s="41"/>
      <x:c r="Y942" s="41"/>
      <x:c r="Z942" s="41"/>
    </x:row>
    <x:row r="943">
      <x:c r="A943" s="41"/>
      <x:c r="B943" s="41"/>
      <x:c r="C943" s="41"/>
      <x:c r="D943" s="41"/>
      <x:c r="E943" s="41"/>
      <x:c r="F943" s="41"/>
      <x:c r="G943" s="41"/>
      <x:c r="H943" s="41"/>
      <x:c r="I943" s="41"/>
      <x:c r="J943" s="41"/>
      <x:c r="K943" s="41"/>
      <x:c r="L943" s="41"/>
      <x:c r="M943" s="41"/>
      <x:c r="N943" s="41"/>
      <x:c r="O943" s="41"/>
      <x:c r="P943" s="41"/>
      <x:c r="Q943" s="41"/>
      <x:c r="R943" s="41"/>
      <x:c r="S943" s="41"/>
      <x:c r="T943" s="41"/>
      <x:c r="U943" s="41"/>
      <x:c r="V943" s="41"/>
      <x:c r="W943" s="41"/>
      <x:c r="X943" s="41"/>
      <x:c r="Y943" s="41"/>
      <x:c r="Z943" s="41"/>
    </x:row>
    <x:row r="944">
      <x:c r="A944" s="41"/>
      <x:c r="B944" s="41"/>
      <x:c r="C944" s="41"/>
      <x:c r="D944" s="41"/>
      <x:c r="E944" s="41"/>
      <x:c r="F944" s="41"/>
      <x:c r="G944" s="41"/>
      <x:c r="H944" s="41"/>
      <x:c r="I944" s="41"/>
      <x:c r="J944" s="41"/>
      <x:c r="K944" s="41"/>
      <x:c r="L944" s="41"/>
      <x:c r="M944" s="41"/>
      <x:c r="N944" s="41"/>
      <x:c r="O944" s="41"/>
      <x:c r="P944" s="41"/>
      <x:c r="Q944" s="41"/>
      <x:c r="R944" s="41"/>
      <x:c r="S944" s="41"/>
      <x:c r="T944" s="41"/>
      <x:c r="U944" s="41"/>
      <x:c r="V944" s="41"/>
      <x:c r="W944" s="41"/>
      <x:c r="X944" s="41"/>
      <x:c r="Y944" s="41"/>
      <x:c r="Z944" s="41"/>
    </x:row>
    <x:row r="945">
      <x:c r="A945" s="41"/>
      <x:c r="B945" s="41"/>
      <x:c r="C945" s="41"/>
      <x:c r="D945" s="41"/>
      <x:c r="E945" s="41"/>
      <x:c r="F945" s="41"/>
      <x:c r="G945" s="41"/>
      <x:c r="H945" s="41"/>
      <x:c r="I945" s="41"/>
      <x:c r="J945" s="41"/>
      <x:c r="K945" s="41"/>
      <x:c r="L945" s="41"/>
      <x:c r="M945" s="41"/>
      <x:c r="N945" s="41"/>
      <x:c r="O945" s="41"/>
      <x:c r="P945" s="41"/>
      <x:c r="Q945" s="41"/>
      <x:c r="R945" s="41"/>
      <x:c r="S945" s="41"/>
      <x:c r="T945" s="41"/>
      <x:c r="U945" s="41"/>
      <x:c r="V945" s="41"/>
      <x:c r="W945" s="41"/>
      <x:c r="X945" s="41"/>
      <x:c r="Y945" s="41"/>
      <x:c r="Z945" s="41"/>
    </x:row>
    <x:row r="946">
      <x:c r="A946" s="41"/>
      <x:c r="B946" s="41"/>
      <x:c r="C946" s="41"/>
      <x:c r="D946" s="41"/>
      <x:c r="E946" s="41"/>
      <x:c r="F946" s="41"/>
      <x:c r="G946" s="41"/>
      <x:c r="H946" s="41"/>
      <x:c r="I946" s="41"/>
      <x:c r="J946" s="41"/>
      <x:c r="K946" s="41"/>
      <x:c r="L946" s="41"/>
      <x:c r="M946" s="41"/>
      <x:c r="N946" s="41"/>
      <x:c r="O946" s="41"/>
      <x:c r="P946" s="41"/>
      <x:c r="Q946" s="41"/>
      <x:c r="R946" s="41"/>
      <x:c r="S946" s="41"/>
      <x:c r="T946" s="41"/>
      <x:c r="U946" s="41"/>
      <x:c r="V946" s="41"/>
      <x:c r="W946" s="41"/>
      <x:c r="X946" s="41"/>
      <x:c r="Y946" s="41"/>
      <x:c r="Z946" s="41"/>
    </x:row>
    <x:row r="947">
      <x:c r="A947" s="41"/>
      <x:c r="B947" s="41"/>
      <x:c r="C947" s="41"/>
      <x:c r="D947" s="41"/>
      <x:c r="E947" s="41"/>
      <x:c r="F947" s="41"/>
      <x:c r="G947" s="41"/>
      <x:c r="H947" s="41"/>
      <x:c r="I947" s="41"/>
      <x:c r="J947" s="41"/>
      <x:c r="K947" s="41"/>
      <x:c r="L947" s="41"/>
      <x:c r="M947" s="41"/>
      <x:c r="N947" s="41"/>
      <x:c r="O947" s="41"/>
      <x:c r="P947" s="41"/>
      <x:c r="Q947" s="41"/>
      <x:c r="R947" s="41"/>
      <x:c r="S947" s="41"/>
      <x:c r="T947" s="41"/>
      <x:c r="U947" s="41"/>
      <x:c r="V947" s="41"/>
      <x:c r="W947" s="41"/>
      <x:c r="X947" s="41"/>
      <x:c r="Y947" s="41"/>
      <x:c r="Z947" s="41"/>
    </x:row>
    <x:row r="948">
      <x:c r="A948" s="41"/>
      <x:c r="B948" s="41"/>
      <x:c r="C948" s="41"/>
      <x:c r="D948" s="41"/>
      <x:c r="E948" s="41"/>
      <x:c r="F948" s="41"/>
      <x:c r="G948" s="41"/>
      <x:c r="H948" s="41"/>
      <x:c r="I948" s="41"/>
      <x:c r="J948" s="41"/>
      <x:c r="K948" s="41"/>
      <x:c r="L948" s="41"/>
      <x:c r="M948" s="41"/>
      <x:c r="N948" s="41"/>
      <x:c r="O948" s="41"/>
      <x:c r="P948" s="41"/>
      <x:c r="Q948" s="41"/>
      <x:c r="R948" s="41"/>
      <x:c r="S948" s="41"/>
      <x:c r="T948" s="41"/>
      <x:c r="U948" s="41"/>
      <x:c r="V948" s="41"/>
      <x:c r="W948" s="41"/>
      <x:c r="X948" s="41"/>
      <x:c r="Y948" s="41"/>
      <x:c r="Z948" s="41"/>
    </x:row>
    <x:row r="949">
      <x:c r="A949" s="41"/>
      <x:c r="B949" s="41"/>
      <x:c r="C949" s="41"/>
      <x:c r="D949" s="41"/>
      <x:c r="E949" s="41"/>
      <x:c r="F949" s="41"/>
      <x:c r="G949" s="41"/>
      <x:c r="H949" s="41"/>
      <x:c r="I949" s="41"/>
      <x:c r="J949" s="41"/>
      <x:c r="K949" s="41"/>
      <x:c r="L949" s="41"/>
      <x:c r="M949" s="41"/>
      <x:c r="N949" s="41"/>
      <x:c r="O949" s="41"/>
      <x:c r="P949" s="41"/>
      <x:c r="Q949" s="41"/>
      <x:c r="R949" s="41"/>
      <x:c r="S949" s="41"/>
      <x:c r="T949" s="41"/>
      <x:c r="U949" s="41"/>
      <x:c r="V949" s="41"/>
      <x:c r="W949" s="41"/>
      <x:c r="X949" s="41"/>
      <x:c r="Y949" s="41"/>
      <x:c r="Z949" s="41"/>
    </x:row>
    <x:row r="950">
      <x:c r="A950" s="41"/>
      <x:c r="B950" s="41"/>
      <x:c r="C950" s="41"/>
      <x:c r="D950" s="41"/>
      <x:c r="E950" s="41"/>
      <x:c r="F950" s="41"/>
      <x:c r="G950" s="41"/>
      <x:c r="H950" s="41"/>
      <x:c r="I950" s="41"/>
      <x:c r="J950" s="41"/>
      <x:c r="K950" s="41"/>
      <x:c r="L950" s="41"/>
      <x:c r="M950" s="41"/>
      <x:c r="N950" s="41"/>
      <x:c r="O950" s="41"/>
      <x:c r="P950" s="41"/>
      <x:c r="Q950" s="41"/>
      <x:c r="R950" s="41"/>
      <x:c r="S950" s="41"/>
      <x:c r="T950" s="41"/>
      <x:c r="U950" s="41"/>
      <x:c r="V950" s="41"/>
      <x:c r="W950" s="41"/>
      <x:c r="X950" s="41"/>
      <x:c r="Y950" s="41"/>
      <x:c r="Z950" s="41"/>
    </x:row>
    <x:row r="951">
      <x:c r="A951" s="41"/>
      <x:c r="B951" s="41"/>
      <x:c r="C951" s="41"/>
      <x:c r="D951" s="41"/>
      <x:c r="E951" s="41"/>
      <x:c r="F951" s="41"/>
      <x:c r="G951" s="41"/>
      <x:c r="H951" s="41"/>
      <x:c r="I951" s="41"/>
      <x:c r="J951" s="41"/>
      <x:c r="K951" s="41"/>
      <x:c r="L951" s="41"/>
      <x:c r="M951" s="41"/>
      <x:c r="N951" s="41"/>
      <x:c r="O951" s="41"/>
      <x:c r="P951" s="41"/>
      <x:c r="Q951" s="41"/>
      <x:c r="R951" s="41"/>
      <x:c r="S951" s="41"/>
      <x:c r="T951" s="41"/>
      <x:c r="U951" s="41"/>
      <x:c r="V951" s="41"/>
      <x:c r="W951" s="41"/>
      <x:c r="X951" s="41"/>
      <x:c r="Y951" s="41"/>
      <x:c r="Z951" s="41"/>
    </x:row>
    <x:row r="952">
      <x:c r="A952" s="41"/>
      <x:c r="B952" s="41"/>
      <x:c r="C952" s="41"/>
      <x:c r="D952" s="41"/>
      <x:c r="E952" s="41"/>
      <x:c r="F952" s="41"/>
      <x:c r="G952" s="41"/>
      <x:c r="H952" s="41"/>
      <x:c r="I952" s="41"/>
      <x:c r="J952" s="41"/>
      <x:c r="K952" s="41"/>
      <x:c r="L952" s="41"/>
      <x:c r="M952" s="41"/>
      <x:c r="N952" s="41"/>
      <x:c r="O952" s="41"/>
      <x:c r="P952" s="41"/>
      <x:c r="Q952" s="41"/>
      <x:c r="R952" s="41"/>
      <x:c r="S952" s="41"/>
      <x:c r="T952" s="41"/>
      <x:c r="U952" s="41"/>
      <x:c r="V952" s="41"/>
      <x:c r="W952" s="41"/>
      <x:c r="X952" s="41"/>
      <x:c r="Y952" s="41"/>
      <x:c r="Z952" s="41"/>
    </x:row>
    <x:row r="953">
      <x:c r="A953" s="41"/>
      <x:c r="B953" s="41"/>
      <x:c r="C953" s="41"/>
      <x:c r="D953" s="41"/>
      <x:c r="E953" s="41"/>
      <x:c r="F953" s="41"/>
      <x:c r="G953" s="41"/>
      <x:c r="H953" s="41"/>
      <x:c r="I953" s="41"/>
      <x:c r="J953" s="41"/>
      <x:c r="K953" s="41"/>
      <x:c r="L953" s="41"/>
      <x:c r="M953" s="41"/>
      <x:c r="N953" s="41"/>
      <x:c r="O953" s="41"/>
      <x:c r="P953" s="41"/>
      <x:c r="Q953" s="41"/>
      <x:c r="R953" s="41"/>
      <x:c r="S953" s="41"/>
      <x:c r="T953" s="41"/>
      <x:c r="U953" s="41"/>
      <x:c r="V953" s="41"/>
      <x:c r="W953" s="41"/>
      <x:c r="X953" s="41"/>
      <x:c r="Y953" s="41"/>
      <x:c r="Z953" s="41"/>
    </x:row>
    <x:row r="954">
      <x:c r="A954" s="41"/>
      <x:c r="B954" s="41"/>
      <x:c r="C954" s="41"/>
      <x:c r="D954" s="41"/>
      <x:c r="E954" s="41"/>
      <x:c r="F954" s="41"/>
      <x:c r="G954" s="41"/>
      <x:c r="H954" s="41"/>
      <x:c r="I954" s="41"/>
      <x:c r="J954" s="41"/>
      <x:c r="K954" s="41"/>
      <x:c r="L954" s="41"/>
      <x:c r="M954" s="41"/>
      <x:c r="N954" s="41"/>
      <x:c r="O954" s="41"/>
      <x:c r="P954" s="41"/>
      <x:c r="Q954" s="41"/>
      <x:c r="R954" s="41"/>
      <x:c r="S954" s="41"/>
      <x:c r="T954" s="41"/>
      <x:c r="U954" s="41"/>
      <x:c r="V954" s="41"/>
      <x:c r="W954" s="41"/>
      <x:c r="X954" s="41"/>
      <x:c r="Y954" s="41"/>
      <x:c r="Z954" s="41"/>
    </x:row>
    <x:row r="955">
      <x:c r="A955" s="41"/>
      <x:c r="B955" s="41"/>
      <x:c r="C955" s="41"/>
      <x:c r="D955" s="41"/>
      <x:c r="E955" s="41"/>
      <x:c r="F955" s="41"/>
      <x:c r="G955" s="41"/>
      <x:c r="H955" s="41"/>
      <x:c r="I955" s="41"/>
      <x:c r="J955" s="41"/>
      <x:c r="K955" s="41"/>
      <x:c r="L955" s="41"/>
      <x:c r="M955" s="41"/>
      <x:c r="N955" s="41"/>
      <x:c r="O955" s="41"/>
      <x:c r="P955" s="41"/>
      <x:c r="Q955" s="41"/>
      <x:c r="R955" s="41"/>
      <x:c r="S955" s="41"/>
      <x:c r="T955" s="41"/>
      <x:c r="U955" s="41"/>
      <x:c r="V955" s="41"/>
      <x:c r="W955" s="41"/>
      <x:c r="X955" s="41"/>
      <x:c r="Y955" s="41"/>
      <x:c r="Z955" s="41"/>
    </x:row>
    <x:row r="956">
      <x:c r="A956" s="41"/>
      <x:c r="B956" s="41"/>
      <x:c r="C956" s="41"/>
      <x:c r="D956" s="41"/>
      <x:c r="E956" s="41"/>
      <x:c r="F956" s="41"/>
      <x:c r="G956" s="41"/>
      <x:c r="H956" s="41"/>
      <x:c r="I956" s="41"/>
      <x:c r="J956" s="41"/>
      <x:c r="K956" s="41"/>
      <x:c r="L956" s="41"/>
      <x:c r="M956" s="41"/>
      <x:c r="N956" s="41"/>
      <x:c r="O956" s="41"/>
      <x:c r="P956" s="41"/>
      <x:c r="Q956" s="41"/>
      <x:c r="R956" s="41"/>
      <x:c r="S956" s="41"/>
      <x:c r="T956" s="41"/>
      <x:c r="U956" s="41"/>
      <x:c r="V956" s="41"/>
      <x:c r="W956" s="41"/>
      <x:c r="X956" s="41"/>
      <x:c r="Y956" s="41"/>
      <x:c r="Z956" s="41"/>
    </x:row>
    <x:row r="957">
      <x:c r="A957" s="41"/>
      <x:c r="B957" s="41"/>
      <x:c r="C957" s="41"/>
      <x:c r="D957" s="41"/>
      <x:c r="E957" s="41"/>
      <x:c r="F957" s="41"/>
      <x:c r="G957" s="41"/>
      <x:c r="H957" s="41"/>
      <x:c r="I957" s="41"/>
      <x:c r="J957" s="41"/>
      <x:c r="K957" s="41"/>
      <x:c r="L957" s="41"/>
      <x:c r="M957" s="41"/>
      <x:c r="N957" s="41"/>
      <x:c r="O957" s="41"/>
      <x:c r="P957" s="41"/>
      <x:c r="Q957" s="41"/>
      <x:c r="R957" s="41"/>
      <x:c r="S957" s="41"/>
      <x:c r="T957" s="41"/>
      <x:c r="U957" s="41"/>
      <x:c r="V957" s="41"/>
      <x:c r="W957" s="41"/>
      <x:c r="X957" s="41"/>
      <x:c r="Y957" s="41"/>
      <x:c r="Z957" s="41"/>
    </x:row>
    <x:row r="958">
      <x:c r="A958" s="41"/>
      <x:c r="B958" s="41"/>
      <x:c r="C958" s="41"/>
      <x:c r="D958" s="41"/>
      <x:c r="E958" s="41"/>
      <x:c r="F958" s="41"/>
      <x:c r="G958" s="41"/>
      <x:c r="H958" s="41"/>
      <x:c r="I958" s="41"/>
      <x:c r="J958" s="41"/>
      <x:c r="K958" s="41"/>
      <x:c r="L958" s="41"/>
      <x:c r="M958" s="41"/>
      <x:c r="N958" s="41"/>
      <x:c r="O958" s="41"/>
      <x:c r="P958" s="41"/>
      <x:c r="Q958" s="41"/>
      <x:c r="R958" s="41"/>
      <x:c r="S958" s="41"/>
      <x:c r="T958" s="41"/>
      <x:c r="U958" s="41"/>
      <x:c r="V958" s="41"/>
      <x:c r="W958" s="41"/>
      <x:c r="X958" s="41"/>
      <x:c r="Y958" s="41"/>
      <x:c r="Z958" s="41"/>
    </x:row>
    <x:row r="959">
      <x:c r="A959" s="41"/>
      <x:c r="B959" s="41"/>
      <x:c r="C959" s="41"/>
      <x:c r="D959" s="41"/>
      <x:c r="E959" s="41"/>
      <x:c r="F959" s="41"/>
      <x:c r="G959" s="41"/>
      <x:c r="H959" s="41"/>
      <x:c r="I959" s="41"/>
      <x:c r="J959" s="41"/>
      <x:c r="K959" s="41"/>
      <x:c r="L959" s="41"/>
      <x:c r="M959" s="41"/>
      <x:c r="N959" s="41"/>
      <x:c r="O959" s="41"/>
      <x:c r="P959" s="41"/>
      <x:c r="Q959" s="41"/>
      <x:c r="R959" s="41"/>
      <x:c r="S959" s="41"/>
      <x:c r="T959" s="41"/>
      <x:c r="U959" s="41"/>
      <x:c r="V959" s="41"/>
      <x:c r="W959" s="41"/>
      <x:c r="X959" s="41"/>
      <x:c r="Y959" s="41"/>
      <x:c r="Z959" s="41"/>
    </x:row>
    <x:row r="960">
      <x:c r="A960" s="41"/>
      <x:c r="B960" s="41"/>
      <x:c r="C960" s="41"/>
      <x:c r="D960" s="41"/>
      <x:c r="E960" s="41"/>
      <x:c r="F960" s="41"/>
      <x:c r="G960" s="41"/>
      <x:c r="H960" s="41"/>
      <x:c r="I960" s="41"/>
      <x:c r="J960" s="41"/>
      <x:c r="K960" s="41"/>
      <x:c r="L960" s="41"/>
      <x:c r="M960" s="41"/>
      <x:c r="N960" s="41"/>
      <x:c r="O960" s="41"/>
      <x:c r="P960" s="41"/>
      <x:c r="Q960" s="41"/>
      <x:c r="R960" s="41"/>
      <x:c r="S960" s="41"/>
      <x:c r="T960" s="41"/>
      <x:c r="U960" s="41"/>
      <x:c r="V960" s="41"/>
      <x:c r="W960" s="41"/>
      <x:c r="X960" s="41"/>
      <x:c r="Y960" s="41"/>
      <x:c r="Z960" s="41"/>
    </x:row>
    <x:row r="961">
      <x:c r="A961" s="41"/>
      <x:c r="B961" s="41"/>
      <x:c r="C961" s="41"/>
      <x:c r="D961" s="41"/>
      <x:c r="E961" s="41"/>
      <x:c r="F961" s="41"/>
      <x:c r="G961" s="41"/>
      <x:c r="H961" s="41"/>
      <x:c r="I961" s="41"/>
      <x:c r="J961" s="41"/>
      <x:c r="K961" s="41"/>
      <x:c r="L961" s="41"/>
      <x:c r="M961" s="41"/>
      <x:c r="N961" s="41"/>
      <x:c r="O961" s="41"/>
      <x:c r="P961" s="41"/>
      <x:c r="Q961" s="41"/>
      <x:c r="R961" s="41"/>
      <x:c r="S961" s="41"/>
      <x:c r="T961" s="41"/>
      <x:c r="U961" s="41"/>
      <x:c r="V961" s="41"/>
      <x:c r="W961" s="41"/>
      <x:c r="X961" s="41"/>
      <x:c r="Y961" s="41"/>
      <x:c r="Z961" s="41"/>
    </x:row>
    <x:row r="962">
      <x:c r="A962" s="41"/>
      <x:c r="B962" s="41"/>
      <x:c r="C962" s="41"/>
      <x:c r="D962" s="41"/>
      <x:c r="E962" s="41"/>
      <x:c r="F962" s="41"/>
      <x:c r="G962" s="41"/>
      <x:c r="H962" s="41"/>
      <x:c r="I962" s="41"/>
      <x:c r="J962" s="41"/>
      <x:c r="K962" s="41"/>
      <x:c r="L962" s="41"/>
      <x:c r="M962" s="41"/>
      <x:c r="N962" s="41"/>
      <x:c r="O962" s="41"/>
      <x:c r="P962" s="41"/>
      <x:c r="Q962" s="41"/>
      <x:c r="R962" s="41"/>
      <x:c r="S962" s="41"/>
      <x:c r="T962" s="41"/>
      <x:c r="U962" s="41"/>
      <x:c r="V962" s="41"/>
      <x:c r="W962" s="41"/>
      <x:c r="X962" s="41"/>
      <x:c r="Y962" s="41"/>
      <x:c r="Z962" s="41"/>
    </x:row>
    <x:row r="963">
      <x:c r="A963" s="41"/>
      <x:c r="B963" s="41"/>
      <x:c r="C963" s="41"/>
      <x:c r="D963" s="41"/>
      <x:c r="E963" s="41"/>
      <x:c r="F963" s="41"/>
      <x:c r="G963" s="41"/>
      <x:c r="H963" s="41"/>
      <x:c r="I963" s="41"/>
      <x:c r="J963" s="41"/>
      <x:c r="K963" s="41"/>
      <x:c r="L963" s="41"/>
      <x:c r="M963" s="41"/>
      <x:c r="N963" s="41"/>
      <x:c r="O963" s="41"/>
      <x:c r="P963" s="41"/>
      <x:c r="Q963" s="41"/>
      <x:c r="R963" s="41"/>
      <x:c r="S963" s="41"/>
      <x:c r="T963" s="41"/>
      <x:c r="U963" s="41"/>
      <x:c r="V963" s="41"/>
      <x:c r="W963" s="41"/>
      <x:c r="X963" s="41"/>
      <x:c r="Y963" s="41"/>
      <x:c r="Z963" s="41"/>
    </x:row>
    <x:row r="964">
      <x:c r="A964" s="41"/>
      <x:c r="B964" s="41"/>
      <x:c r="C964" s="41"/>
      <x:c r="D964" s="41"/>
      <x:c r="E964" s="41"/>
      <x:c r="F964" s="41"/>
      <x:c r="G964" s="41"/>
      <x:c r="H964" s="41"/>
      <x:c r="I964" s="41"/>
      <x:c r="J964" s="41"/>
      <x:c r="K964" s="41"/>
      <x:c r="L964" s="41"/>
      <x:c r="M964" s="41"/>
      <x:c r="N964" s="41"/>
      <x:c r="O964" s="41"/>
      <x:c r="P964" s="41"/>
      <x:c r="Q964" s="41"/>
      <x:c r="R964" s="41"/>
      <x:c r="S964" s="41"/>
      <x:c r="T964" s="41"/>
      <x:c r="U964" s="41"/>
      <x:c r="V964" s="41"/>
      <x:c r="W964" s="41"/>
      <x:c r="X964" s="41"/>
      <x:c r="Y964" s="41"/>
      <x:c r="Z964" s="41"/>
    </x:row>
    <x:row r="965">
      <x:c r="A965" s="41"/>
      <x:c r="B965" s="41"/>
      <x:c r="C965" s="41"/>
      <x:c r="D965" s="41"/>
      <x:c r="E965" s="41"/>
      <x:c r="F965" s="41"/>
      <x:c r="G965" s="41"/>
      <x:c r="H965" s="41"/>
      <x:c r="I965" s="41"/>
      <x:c r="J965" s="41"/>
      <x:c r="K965" s="41"/>
      <x:c r="L965" s="41"/>
      <x:c r="M965" s="41"/>
      <x:c r="N965" s="41"/>
      <x:c r="O965" s="41"/>
      <x:c r="P965" s="41"/>
      <x:c r="Q965" s="41"/>
      <x:c r="R965" s="41"/>
      <x:c r="S965" s="41"/>
      <x:c r="T965" s="41"/>
      <x:c r="U965" s="41"/>
      <x:c r="V965" s="41"/>
      <x:c r="W965" s="41"/>
      <x:c r="X965" s="41"/>
      <x:c r="Y965" s="41"/>
      <x:c r="Z965" s="41"/>
    </x:row>
    <x:row r="966">
      <x:c r="A966" s="41"/>
      <x:c r="B966" s="41"/>
      <x:c r="C966" s="41"/>
      <x:c r="D966" s="41"/>
      <x:c r="E966" s="41"/>
      <x:c r="F966" s="41"/>
      <x:c r="G966" s="41"/>
      <x:c r="H966" s="41"/>
      <x:c r="I966" s="41"/>
      <x:c r="J966" s="41"/>
      <x:c r="K966" s="41"/>
      <x:c r="L966" s="41"/>
      <x:c r="M966" s="41"/>
      <x:c r="N966" s="41"/>
      <x:c r="O966" s="41"/>
      <x:c r="P966" s="41"/>
      <x:c r="Q966" s="41"/>
      <x:c r="R966" s="41"/>
      <x:c r="S966" s="41"/>
      <x:c r="T966" s="41"/>
      <x:c r="U966" s="41"/>
      <x:c r="V966" s="41"/>
      <x:c r="W966" s="41"/>
      <x:c r="X966" s="41"/>
      <x:c r="Y966" s="41"/>
      <x:c r="Z966" s="41"/>
    </x:row>
    <x:row r="967">
      <x:c r="A967" s="41"/>
      <x:c r="B967" s="41"/>
      <x:c r="C967" s="41"/>
      <x:c r="D967" s="41"/>
      <x:c r="E967" s="41"/>
      <x:c r="F967" s="41"/>
      <x:c r="G967" s="41"/>
      <x:c r="H967" s="41"/>
      <x:c r="I967" s="41"/>
      <x:c r="J967" s="41"/>
      <x:c r="K967" s="41"/>
      <x:c r="L967" s="41"/>
      <x:c r="M967" s="41"/>
      <x:c r="N967" s="41"/>
      <x:c r="O967" s="41"/>
      <x:c r="P967" s="41"/>
      <x:c r="Q967" s="41"/>
      <x:c r="R967" s="41"/>
      <x:c r="S967" s="41"/>
      <x:c r="T967" s="41"/>
      <x:c r="U967" s="41"/>
      <x:c r="V967" s="41"/>
      <x:c r="W967" s="41"/>
      <x:c r="X967" s="41"/>
      <x:c r="Y967" s="41"/>
      <x:c r="Z967" s="41"/>
    </x:row>
    <x:row r="968">
      <x:c r="A968" s="41"/>
      <x:c r="B968" s="41"/>
      <x:c r="C968" s="41"/>
      <x:c r="D968" s="41"/>
      <x:c r="E968" s="41"/>
      <x:c r="F968" s="41"/>
      <x:c r="G968" s="41"/>
      <x:c r="H968" s="41"/>
      <x:c r="I968" s="41"/>
      <x:c r="J968" s="41"/>
      <x:c r="K968" s="41"/>
      <x:c r="L968" s="41"/>
      <x:c r="M968" s="41"/>
      <x:c r="N968" s="41"/>
      <x:c r="O968" s="41"/>
      <x:c r="P968" s="41"/>
      <x:c r="Q968" s="41"/>
      <x:c r="R968" s="41"/>
      <x:c r="S968" s="41"/>
      <x:c r="T968" s="41"/>
      <x:c r="U968" s="41"/>
      <x:c r="V968" s="41"/>
      <x:c r="W968" s="41"/>
      <x:c r="X968" s="41"/>
      <x:c r="Y968" s="41"/>
      <x:c r="Z968" s="41"/>
    </x:row>
    <x:row r="969">
      <x:c r="A969" s="41"/>
      <x:c r="B969" s="41"/>
      <x:c r="C969" s="41"/>
      <x:c r="D969" s="41"/>
      <x:c r="E969" s="41"/>
      <x:c r="F969" s="41"/>
      <x:c r="G969" s="41"/>
      <x:c r="H969" s="41"/>
      <x:c r="I969" s="41"/>
      <x:c r="J969" s="41"/>
      <x:c r="K969" s="41"/>
      <x:c r="L969" s="41"/>
      <x:c r="M969" s="41"/>
      <x:c r="N969" s="41"/>
      <x:c r="O969" s="41"/>
      <x:c r="P969" s="41"/>
      <x:c r="Q969" s="41"/>
      <x:c r="R969" s="41"/>
      <x:c r="S969" s="41"/>
      <x:c r="T969" s="41"/>
      <x:c r="U969" s="41"/>
      <x:c r="V969" s="41"/>
      <x:c r="W969" s="41"/>
      <x:c r="X969" s="41"/>
      <x:c r="Y969" s="41"/>
      <x:c r="Z969" s="41"/>
    </x:row>
    <x:row r="970">
      <x:c r="A970" s="41"/>
      <x:c r="B970" s="41"/>
      <x:c r="C970" s="41"/>
      <x:c r="D970" s="41"/>
      <x:c r="E970" s="41"/>
      <x:c r="F970" s="41"/>
      <x:c r="G970" s="41"/>
      <x:c r="H970" s="41"/>
      <x:c r="I970" s="41"/>
      <x:c r="J970" s="41"/>
      <x:c r="K970" s="41"/>
      <x:c r="L970" s="41"/>
      <x:c r="M970" s="41"/>
      <x:c r="N970" s="41"/>
      <x:c r="O970" s="41"/>
      <x:c r="P970" s="41"/>
      <x:c r="Q970" s="41"/>
      <x:c r="R970" s="41"/>
      <x:c r="S970" s="41"/>
      <x:c r="T970" s="41"/>
      <x:c r="U970" s="41"/>
      <x:c r="V970" s="41"/>
      <x:c r="W970" s="41"/>
      <x:c r="X970" s="41"/>
      <x:c r="Y970" s="41"/>
      <x:c r="Z970" s="41"/>
    </x:row>
    <x:row r="971">
      <x:c r="A971" s="41"/>
      <x:c r="B971" s="41"/>
      <x:c r="C971" s="41"/>
      <x:c r="D971" s="41"/>
      <x:c r="E971" s="41"/>
      <x:c r="F971" s="41"/>
      <x:c r="G971" s="41"/>
      <x:c r="H971" s="41"/>
      <x:c r="I971" s="41"/>
      <x:c r="J971" s="41"/>
      <x:c r="K971" s="41"/>
      <x:c r="L971" s="41"/>
      <x:c r="M971" s="41"/>
      <x:c r="N971" s="41"/>
      <x:c r="O971" s="41"/>
      <x:c r="P971" s="41"/>
      <x:c r="Q971" s="41"/>
      <x:c r="R971" s="41"/>
      <x:c r="S971" s="41"/>
      <x:c r="T971" s="41"/>
      <x:c r="U971" s="41"/>
      <x:c r="V971" s="41"/>
      <x:c r="W971" s="41"/>
      <x:c r="X971" s="41"/>
      <x:c r="Y971" s="41"/>
      <x:c r="Z971" s="41"/>
    </x:row>
    <x:row r="972">
      <x:c r="A972" s="41"/>
      <x:c r="B972" s="41"/>
      <x:c r="C972" s="41"/>
      <x:c r="D972" s="41"/>
      <x:c r="E972" s="41"/>
      <x:c r="F972" s="41"/>
      <x:c r="G972" s="41"/>
      <x:c r="H972" s="41"/>
      <x:c r="I972" s="41"/>
      <x:c r="J972" s="41"/>
      <x:c r="K972" s="41"/>
      <x:c r="L972" s="41"/>
      <x:c r="M972" s="41"/>
      <x:c r="N972" s="41"/>
      <x:c r="O972" s="41"/>
      <x:c r="P972" s="41"/>
      <x:c r="Q972" s="41"/>
      <x:c r="R972" s="41"/>
      <x:c r="S972" s="41"/>
      <x:c r="T972" s="41"/>
      <x:c r="U972" s="41"/>
      <x:c r="V972" s="41"/>
      <x:c r="W972" s="41"/>
      <x:c r="X972" s="41"/>
      <x:c r="Y972" s="41"/>
      <x:c r="Z972" s="41"/>
    </x:row>
    <x:row r="973">
      <x:c r="A973" s="41"/>
      <x:c r="B973" s="41"/>
      <x:c r="C973" s="41"/>
      <x:c r="D973" s="41"/>
      <x:c r="E973" s="41"/>
      <x:c r="F973" s="41"/>
      <x:c r="G973" s="41"/>
      <x:c r="H973" s="41"/>
      <x:c r="I973" s="41"/>
      <x:c r="J973" s="41"/>
      <x:c r="K973" s="41"/>
      <x:c r="L973" s="41"/>
      <x:c r="M973" s="41"/>
      <x:c r="N973" s="41"/>
      <x:c r="O973" s="41"/>
      <x:c r="P973" s="41"/>
      <x:c r="Q973" s="41"/>
      <x:c r="R973" s="41"/>
      <x:c r="S973" s="41"/>
      <x:c r="T973" s="41"/>
      <x:c r="U973" s="41"/>
      <x:c r="V973" s="41"/>
      <x:c r="W973" s="41"/>
      <x:c r="X973" s="41"/>
      <x:c r="Y973" s="41"/>
      <x:c r="Z973" s="41"/>
    </x:row>
    <x:row r="974">
      <x:c r="A974" s="41"/>
      <x:c r="B974" s="41"/>
      <x:c r="C974" s="41"/>
      <x:c r="D974" s="41"/>
      <x:c r="E974" s="41"/>
      <x:c r="F974" s="41"/>
      <x:c r="G974" s="41"/>
      <x:c r="H974" s="41"/>
      <x:c r="I974" s="41"/>
      <x:c r="J974" s="41"/>
      <x:c r="K974" s="41"/>
      <x:c r="L974" s="41"/>
      <x:c r="M974" s="41"/>
      <x:c r="N974" s="41"/>
      <x:c r="O974" s="41"/>
      <x:c r="P974" s="41"/>
      <x:c r="Q974" s="41"/>
      <x:c r="R974" s="41"/>
      <x:c r="S974" s="41"/>
      <x:c r="T974" s="41"/>
      <x:c r="U974" s="41"/>
      <x:c r="V974" s="41"/>
      <x:c r="W974" s="41"/>
      <x:c r="X974" s="41"/>
      <x:c r="Y974" s="41"/>
      <x:c r="Z974" s="41"/>
    </x:row>
    <x:row r="975">
      <x:c r="A975" s="41"/>
      <x:c r="B975" s="41"/>
      <x:c r="C975" s="41"/>
      <x:c r="D975" s="41"/>
      <x:c r="E975" s="41"/>
      <x:c r="F975" s="41"/>
      <x:c r="G975" s="41"/>
      <x:c r="H975" s="41"/>
      <x:c r="I975" s="41"/>
      <x:c r="J975" s="41"/>
      <x:c r="K975" s="41"/>
      <x:c r="L975" s="41"/>
      <x:c r="M975" s="41"/>
      <x:c r="N975" s="41"/>
      <x:c r="O975" s="41"/>
      <x:c r="P975" s="41"/>
      <x:c r="Q975" s="41"/>
      <x:c r="R975" s="41"/>
      <x:c r="S975" s="41"/>
      <x:c r="T975" s="41"/>
      <x:c r="U975" s="41"/>
      <x:c r="V975" s="41"/>
      <x:c r="W975" s="41"/>
      <x:c r="X975" s="41"/>
      <x:c r="Y975" s="41"/>
      <x:c r="Z975" s="41"/>
    </x:row>
    <x:row r="976">
      <x:c r="A976" s="41"/>
      <x:c r="B976" s="41"/>
      <x:c r="C976" s="41"/>
      <x:c r="D976" s="41"/>
      <x:c r="E976" s="41"/>
      <x:c r="F976" s="41"/>
      <x:c r="G976" s="41"/>
      <x:c r="H976" s="41"/>
      <x:c r="I976" s="41"/>
      <x:c r="J976" s="41"/>
      <x:c r="K976" s="41"/>
      <x:c r="L976" s="41"/>
      <x:c r="M976" s="41"/>
      <x:c r="N976" s="41"/>
      <x:c r="O976" s="41"/>
      <x:c r="P976" s="41"/>
      <x:c r="Q976" s="41"/>
      <x:c r="R976" s="41"/>
      <x:c r="S976" s="41"/>
      <x:c r="T976" s="41"/>
      <x:c r="U976" s="41"/>
      <x:c r="V976" s="41"/>
      <x:c r="W976" s="41"/>
      <x:c r="X976" s="41"/>
      <x:c r="Y976" s="41"/>
      <x:c r="Z976" s="41"/>
    </x:row>
    <x:row r="977">
      <x:c r="A977" s="41"/>
      <x:c r="B977" s="41"/>
      <x:c r="C977" s="41"/>
      <x:c r="D977" s="41"/>
      <x:c r="E977" s="41"/>
      <x:c r="F977" s="41"/>
      <x:c r="G977" s="41"/>
      <x:c r="H977" s="41"/>
      <x:c r="I977" s="41"/>
      <x:c r="J977" s="41"/>
      <x:c r="K977" s="41"/>
      <x:c r="L977" s="41"/>
      <x:c r="M977" s="41"/>
      <x:c r="N977" s="41"/>
      <x:c r="O977" s="41"/>
      <x:c r="P977" s="41"/>
      <x:c r="Q977" s="41"/>
      <x:c r="R977" s="41"/>
      <x:c r="S977" s="41"/>
      <x:c r="T977" s="41"/>
      <x:c r="U977" s="41"/>
      <x:c r="V977" s="41"/>
      <x:c r="W977" s="41"/>
      <x:c r="X977" s="41"/>
      <x:c r="Y977" s="41"/>
      <x:c r="Z977" s="41"/>
    </x:row>
    <x:row r="978">
      <x:c r="A978" s="41"/>
      <x:c r="B978" s="41"/>
      <x:c r="C978" s="41"/>
      <x:c r="D978" s="41"/>
      <x:c r="E978" s="41"/>
      <x:c r="F978" s="41"/>
      <x:c r="G978" s="41"/>
      <x:c r="H978" s="41"/>
      <x:c r="I978" s="41"/>
      <x:c r="J978" s="41"/>
      <x:c r="K978" s="41"/>
      <x:c r="L978" s="41"/>
      <x:c r="M978" s="41"/>
      <x:c r="N978" s="41"/>
      <x:c r="O978" s="41"/>
      <x:c r="P978" s="41"/>
      <x:c r="Q978" s="41"/>
      <x:c r="R978" s="41"/>
      <x:c r="S978" s="41"/>
      <x:c r="T978" s="41"/>
      <x:c r="U978" s="41"/>
      <x:c r="V978" s="41"/>
      <x:c r="W978" s="41"/>
      <x:c r="X978" s="41"/>
      <x:c r="Y978" s="41"/>
      <x:c r="Z978" s="41"/>
    </x:row>
    <x:row r="979">
      <x:c r="A979" s="41"/>
      <x:c r="B979" s="41"/>
      <x:c r="C979" s="41"/>
      <x:c r="D979" s="41"/>
      <x:c r="E979" s="41"/>
      <x:c r="F979" s="41"/>
      <x:c r="G979" s="41"/>
      <x:c r="H979" s="41"/>
      <x:c r="I979" s="41"/>
      <x:c r="J979" s="41"/>
      <x:c r="K979" s="41"/>
      <x:c r="L979" s="41"/>
      <x:c r="M979" s="41"/>
      <x:c r="N979" s="41"/>
      <x:c r="O979" s="41"/>
      <x:c r="P979" s="41"/>
      <x:c r="Q979" s="41"/>
      <x:c r="R979" s="41"/>
      <x:c r="S979" s="41"/>
      <x:c r="T979" s="41"/>
      <x:c r="U979" s="41"/>
      <x:c r="V979" s="41"/>
      <x:c r="W979" s="41"/>
      <x:c r="X979" s="41"/>
      <x:c r="Y979" s="41"/>
      <x:c r="Z979" s="41"/>
    </x:row>
    <x:row r="980">
      <x:c r="A980" s="41"/>
      <x:c r="B980" s="41"/>
      <x:c r="C980" s="41"/>
      <x:c r="D980" s="41"/>
      <x:c r="E980" s="41"/>
      <x:c r="F980" s="41"/>
      <x:c r="G980" s="41"/>
      <x:c r="H980" s="41"/>
      <x:c r="I980" s="41"/>
      <x:c r="J980" s="41"/>
      <x:c r="K980" s="41"/>
      <x:c r="L980" s="41"/>
      <x:c r="M980" s="41"/>
      <x:c r="N980" s="41"/>
      <x:c r="O980" s="41"/>
      <x:c r="P980" s="41"/>
      <x:c r="Q980" s="41"/>
      <x:c r="R980" s="41"/>
      <x:c r="S980" s="41"/>
      <x:c r="T980" s="41"/>
      <x:c r="U980" s="41"/>
      <x:c r="V980" s="41"/>
      <x:c r="W980" s="41"/>
      <x:c r="X980" s="41"/>
      <x:c r="Y980" s="41"/>
      <x:c r="Z980" s="41"/>
    </x:row>
    <x:row r="981">
      <x:c r="A981" s="41"/>
      <x:c r="B981" s="41"/>
      <x:c r="C981" s="41"/>
      <x:c r="D981" s="41"/>
      <x:c r="E981" s="41"/>
      <x:c r="F981" s="41"/>
      <x:c r="G981" s="41"/>
      <x:c r="H981" s="41"/>
      <x:c r="I981" s="41"/>
      <x:c r="J981" s="41"/>
      <x:c r="K981" s="41"/>
      <x:c r="L981" s="41"/>
      <x:c r="M981" s="41"/>
      <x:c r="N981" s="41"/>
      <x:c r="O981" s="41"/>
      <x:c r="P981" s="41"/>
      <x:c r="Q981" s="41"/>
      <x:c r="R981" s="41"/>
      <x:c r="S981" s="41"/>
      <x:c r="T981" s="41"/>
      <x:c r="U981" s="41"/>
      <x:c r="V981" s="41"/>
      <x:c r="W981" s="41"/>
      <x:c r="X981" s="41"/>
      <x:c r="Y981" s="41"/>
      <x:c r="Z981" s="41"/>
    </x:row>
    <x:row r="982">
      <x:c r="A982" s="41"/>
      <x:c r="B982" s="41"/>
      <x:c r="C982" s="41"/>
      <x:c r="D982" s="41"/>
      <x:c r="E982" s="41"/>
      <x:c r="F982" s="41"/>
      <x:c r="G982" s="41"/>
      <x:c r="H982" s="41"/>
      <x:c r="I982" s="41"/>
      <x:c r="J982" s="41"/>
      <x:c r="K982" s="41"/>
      <x:c r="L982" s="41"/>
      <x:c r="M982" s="41"/>
      <x:c r="N982" s="41"/>
      <x:c r="O982" s="41"/>
      <x:c r="P982" s="41"/>
      <x:c r="Q982" s="41"/>
      <x:c r="R982" s="41"/>
      <x:c r="S982" s="41"/>
      <x:c r="T982" s="41"/>
      <x:c r="U982" s="41"/>
      <x:c r="V982" s="41"/>
      <x:c r="W982" s="41"/>
      <x:c r="X982" s="41"/>
      <x:c r="Y982" s="41"/>
      <x:c r="Z982" s="41"/>
    </x:row>
    <x:row r="983">
      <x:c r="A983" s="41"/>
      <x:c r="B983" s="41"/>
      <x:c r="C983" s="41"/>
      <x:c r="D983" s="41"/>
      <x:c r="E983" s="41"/>
      <x:c r="F983" s="41"/>
      <x:c r="G983" s="41"/>
      <x:c r="H983" s="41"/>
      <x:c r="I983" s="41"/>
      <x:c r="J983" s="41"/>
      <x:c r="K983" s="41"/>
      <x:c r="L983" s="41"/>
      <x:c r="M983" s="41"/>
      <x:c r="N983" s="41"/>
      <x:c r="O983" s="41"/>
      <x:c r="P983" s="41"/>
      <x:c r="Q983" s="41"/>
      <x:c r="R983" s="41"/>
      <x:c r="S983" s="41"/>
      <x:c r="T983" s="41"/>
      <x:c r="U983" s="41"/>
      <x:c r="V983" s="41"/>
      <x:c r="W983" s="41"/>
      <x:c r="X983" s="41"/>
      <x:c r="Y983" s="41"/>
      <x:c r="Z983" s="41"/>
    </x:row>
    <x:row r="984">
      <x:c r="A984" s="41"/>
      <x:c r="B984" s="41"/>
      <x:c r="C984" s="41"/>
      <x:c r="D984" s="41"/>
      <x:c r="E984" s="41"/>
      <x:c r="F984" s="41"/>
      <x:c r="G984" s="41"/>
      <x:c r="H984" s="41"/>
      <x:c r="I984" s="41"/>
      <x:c r="J984" s="41"/>
      <x:c r="K984" s="41"/>
      <x:c r="L984" s="41"/>
      <x:c r="M984" s="41"/>
      <x:c r="N984" s="41"/>
      <x:c r="O984" s="41"/>
      <x:c r="P984" s="41"/>
      <x:c r="Q984" s="41"/>
      <x:c r="R984" s="41"/>
      <x:c r="S984" s="41"/>
      <x:c r="T984" s="41"/>
      <x:c r="U984" s="41"/>
      <x:c r="V984" s="41"/>
      <x:c r="W984" s="41"/>
      <x:c r="X984" s="41"/>
      <x:c r="Y984" s="41"/>
      <x:c r="Z984" s="41"/>
    </x:row>
    <x:row r="985">
      <x:c r="A985" s="41"/>
      <x:c r="B985" s="41"/>
      <x:c r="C985" s="41"/>
      <x:c r="D985" s="41"/>
      <x:c r="E985" s="41"/>
      <x:c r="F985" s="41"/>
      <x:c r="G985" s="41"/>
      <x:c r="H985" s="41"/>
      <x:c r="I985" s="41"/>
      <x:c r="J985" s="41"/>
      <x:c r="K985" s="41"/>
      <x:c r="L985" s="41"/>
      <x:c r="M985" s="41"/>
      <x:c r="N985" s="41"/>
      <x:c r="O985" s="41"/>
      <x:c r="P985" s="41"/>
      <x:c r="Q985" s="41"/>
      <x:c r="R985" s="41"/>
      <x:c r="S985" s="41"/>
      <x:c r="T985" s="41"/>
      <x:c r="U985" s="41"/>
      <x:c r="V985" s="41"/>
      <x:c r="W985" s="41"/>
      <x:c r="X985" s="41"/>
      <x:c r="Y985" s="41"/>
      <x:c r="Z985" s="41"/>
    </x:row>
    <x:row r="986">
      <x:c r="A986" s="41"/>
      <x:c r="B986" s="41"/>
      <x:c r="C986" s="41"/>
      <x:c r="D986" s="41"/>
      <x:c r="E986" s="41"/>
      <x:c r="F986" s="41"/>
      <x:c r="G986" s="41"/>
      <x:c r="H986" s="41"/>
      <x:c r="I986" s="41"/>
      <x:c r="J986" s="41"/>
      <x:c r="K986" s="41"/>
      <x:c r="L986" s="41"/>
      <x:c r="M986" s="41"/>
      <x:c r="N986" s="41"/>
      <x:c r="O986" s="41"/>
      <x:c r="P986" s="41"/>
      <x:c r="Q986" s="41"/>
      <x:c r="R986" s="41"/>
      <x:c r="S986" s="41"/>
      <x:c r="T986" s="41"/>
      <x:c r="U986" s="41"/>
      <x:c r="V986" s="41"/>
      <x:c r="W986" s="41"/>
      <x:c r="X986" s="41"/>
      <x:c r="Y986" s="41"/>
      <x:c r="Z986" s="41"/>
    </x:row>
    <x:row r="987">
      <x:c r="A987" s="41"/>
      <x:c r="B987" s="41"/>
      <x:c r="C987" s="41"/>
      <x:c r="D987" s="41"/>
      <x:c r="E987" s="41"/>
      <x:c r="F987" s="41"/>
      <x:c r="G987" s="41"/>
      <x:c r="H987" s="41"/>
      <x:c r="I987" s="41"/>
      <x:c r="J987" s="41"/>
      <x:c r="K987" s="41"/>
      <x:c r="L987" s="41"/>
      <x:c r="M987" s="41"/>
      <x:c r="N987" s="41"/>
      <x:c r="O987" s="41"/>
      <x:c r="P987" s="41"/>
      <x:c r="Q987" s="41"/>
      <x:c r="R987" s="41"/>
      <x:c r="S987" s="41"/>
      <x:c r="T987" s="41"/>
      <x:c r="U987" s="41"/>
      <x:c r="V987" s="41"/>
      <x:c r="W987" s="41"/>
      <x:c r="X987" s="41"/>
      <x:c r="Y987" s="41"/>
      <x:c r="Z987" s="41"/>
    </x:row>
    <x:row r="988">
      <x:c r="A988" s="41"/>
      <x:c r="B988" s="41"/>
      <x:c r="C988" s="41"/>
      <x:c r="D988" s="41"/>
      <x:c r="E988" s="41"/>
      <x:c r="F988" s="41"/>
      <x:c r="G988" s="41"/>
      <x:c r="H988" s="41"/>
      <x:c r="I988" s="41"/>
      <x:c r="J988" s="41"/>
      <x:c r="K988" s="41"/>
      <x:c r="L988" s="41"/>
      <x:c r="M988" s="41"/>
      <x:c r="N988" s="41"/>
      <x:c r="O988" s="41"/>
      <x:c r="P988" s="41"/>
      <x:c r="Q988" s="41"/>
      <x:c r="R988" s="41"/>
      <x:c r="S988" s="41"/>
      <x:c r="T988" s="41"/>
      <x:c r="U988" s="41"/>
      <x:c r="V988" s="41"/>
      <x:c r="W988" s="41"/>
      <x:c r="X988" s="41"/>
      <x:c r="Y988" s="41"/>
      <x:c r="Z988" s="41"/>
    </x:row>
    <x:row r="989">
      <x:c r="A989" s="41"/>
      <x:c r="B989" s="41"/>
      <x:c r="C989" s="41"/>
      <x:c r="D989" s="41"/>
      <x:c r="E989" s="41"/>
      <x:c r="F989" s="41"/>
      <x:c r="G989" s="41"/>
      <x:c r="H989" s="41"/>
      <x:c r="I989" s="41"/>
      <x:c r="J989" s="41"/>
      <x:c r="K989" s="41"/>
      <x:c r="L989" s="41"/>
      <x:c r="M989" s="41"/>
      <x:c r="N989" s="41"/>
      <x:c r="O989" s="41"/>
      <x:c r="P989" s="41"/>
      <x:c r="Q989" s="41"/>
      <x:c r="R989" s="41"/>
      <x:c r="S989" s="41"/>
      <x:c r="T989" s="41"/>
      <x:c r="U989" s="41"/>
      <x:c r="V989" s="41"/>
      <x:c r="W989" s="41"/>
      <x:c r="X989" s="41"/>
      <x:c r="Y989" s="41"/>
      <x:c r="Z989" s="41"/>
    </x:row>
    <x:row r="990">
      <x:c r="A990" s="41"/>
      <x:c r="B990" s="41"/>
      <x:c r="C990" s="41"/>
      <x:c r="D990" s="41"/>
      <x:c r="E990" s="41"/>
      <x:c r="F990" s="41"/>
      <x:c r="G990" s="41"/>
      <x:c r="H990" s="41"/>
      <x:c r="I990" s="41"/>
      <x:c r="J990" s="41"/>
      <x:c r="K990" s="41"/>
      <x:c r="L990" s="41"/>
      <x:c r="M990" s="41"/>
      <x:c r="N990" s="41"/>
      <x:c r="O990" s="41"/>
      <x:c r="P990" s="41"/>
      <x:c r="Q990" s="41"/>
      <x:c r="R990" s="41"/>
      <x:c r="S990" s="41"/>
      <x:c r="T990" s="41"/>
      <x:c r="U990" s="41"/>
      <x:c r="V990" s="41"/>
      <x:c r="W990" s="41"/>
      <x:c r="X990" s="41"/>
      <x:c r="Y990" s="41"/>
      <x:c r="Z990" s="41"/>
    </x:row>
    <x:row r="991">
      <x:c r="A991" s="41"/>
      <x:c r="B991" s="41"/>
      <x:c r="C991" s="41"/>
      <x:c r="D991" s="41"/>
      <x:c r="E991" s="41"/>
      <x:c r="F991" s="41"/>
      <x:c r="G991" s="41"/>
      <x:c r="H991" s="41"/>
      <x:c r="I991" s="41"/>
      <x:c r="J991" s="41"/>
      <x:c r="K991" s="41"/>
      <x:c r="L991" s="41"/>
      <x:c r="M991" s="41"/>
      <x:c r="N991" s="41"/>
      <x:c r="O991" s="41"/>
      <x:c r="P991" s="41"/>
      <x:c r="Q991" s="41"/>
      <x:c r="R991" s="41"/>
      <x:c r="S991" s="41"/>
      <x:c r="T991" s="41"/>
      <x:c r="U991" s="41"/>
      <x:c r="V991" s="41"/>
      <x:c r="W991" s="41"/>
      <x:c r="X991" s="41"/>
      <x:c r="Y991" s="41"/>
      <x:c r="Z991" s="41"/>
    </x:row>
    <x:row r="992">
      <x:c r="A992" s="41"/>
      <x:c r="B992" s="41"/>
      <x:c r="C992" s="41"/>
      <x:c r="D992" s="41"/>
      <x:c r="E992" s="41"/>
      <x:c r="F992" s="41"/>
      <x:c r="G992" s="41"/>
      <x:c r="H992" s="41"/>
      <x:c r="I992" s="41"/>
      <x:c r="J992" s="41"/>
      <x:c r="K992" s="41"/>
      <x:c r="L992" s="41"/>
      <x:c r="M992" s="41"/>
      <x:c r="N992" s="41"/>
      <x:c r="O992" s="41"/>
      <x:c r="P992" s="41"/>
      <x:c r="Q992" s="41"/>
      <x:c r="R992" s="41"/>
      <x:c r="S992" s="41"/>
      <x:c r="T992" s="41"/>
      <x:c r="U992" s="41"/>
      <x:c r="V992" s="41"/>
      <x:c r="W992" s="41"/>
      <x:c r="X992" s="41"/>
      <x:c r="Y992" s="41"/>
      <x:c r="Z992" s="41"/>
    </x:row>
    <x:row r="993">
      <x:c r="A993" s="41"/>
      <x:c r="B993" s="41"/>
      <x:c r="C993" s="41"/>
      <x:c r="D993" s="41"/>
      <x:c r="E993" s="41"/>
      <x:c r="F993" s="41"/>
      <x:c r="G993" s="41"/>
      <x:c r="H993" s="41"/>
      <x:c r="I993" s="41"/>
      <x:c r="J993" s="41"/>
      <x:c r="K993" s="41"/>
      <x:c r="L993" s="41"/>
      <x:c r="M993" s="41"/>
      <x:c r="N993" s="41"/>
      <x:c r="O993" s="41"/>
      <x:c r="P993" s="41"/>
      <x:c r="Q993" s="41"/>
      <x:c r="R993" s="41"/>
      <x:c r="S993" s="41"/>
      <x:c r="T993" s="41"/>
      <x:c r="U993" s="41"/>
      <x:c r="V993" s="41"/>
      <x:c r="W993" s="41"/>
      <x:c r="X993" s="41"/>
      <x:c r="Y993" s="41"/>
      <x:c r="Z993" s="41"/>
    </x:row>
    <x:row r="994">
      <x:c r="A994" s="41"/>
      <x:c r="B994" s="41"/>
      <x:c r="C994" s="41"/>
      <x:c r="D994" s="41"/>
      <x:c r="E994" s="41"/>
      <x:c r="F994" s="41"/>
      <x:c r="G994" s="41"/>
      <x:c r="H994" s="41"/>
      <x:c r="I994" s="41"/>
      <x:c r="J994" s="41"/>
      <x:c r="K994" s="41"/>
      <x:c r="L994" s="41"/>
      <x:c r="M994" s="41"/>
      <x:c r="N994" s="41"/>
      <x:c r="O994" s="41"/>
      <x:c r="P994" s="41"/>
      <x:c r="Q994" s="41"/>
      <x:c r="R994" s="41"/>
      <x:c r="S994" s="41"/>
      <x:c r="T994" s="41"/>
      <x:c r="U994" s="41"/>
      <x:c r="V994" s="41"/>
      <x:c r="W994" s="41"/>
      <x:c r="X994" s="41"/>
      <x:c r="Y994" s="41"/>
      <x:c r="Z994" s="41"/>
    </x:row>
    <x:row r="995">
      <x:c r="A995" s="41"/>
      <x:c r="B995" s="41"/>
      <x:c r="C995" s="41"/>
      <x:c r="D995" s="41"/>
      <x:c r="E995" s="41"/>
      <x:c r="F995" s="41"/>
      <x:c r="G995" s="41"/>
      <x:c r="H995" s="41"/>
      <x:c r="I995" s="41"/>
      <x:c r="J995" s="41"/>
      <x:c r="K995" s="41"/>
      <x:c r="L995" s="41"/>
      <x:c r="M995" s="41"/>
      <x:c r="N995" s="41"/>
      <x:c r="O995" s="41"/>
      <x:c r="P995" s="41"/>
      <x:c r="Q995" s="41"/>
      <x:c r="R995" s="41"/>
      <x:c r="S995" s="41"/>
      <x:c r="T995" s="41"/>
      <x:c r="U995" s="41"/>
      <x:c r="V995" s="41"/>
      <x:c r="W995" s="41"/>
      <x:c r="X995" s="41"/>
      <x:c r="Y995" s="41"/>
      <x:c r="Z995" s="41"/>
    </x:row>
    <x:row r="996">
      <x:c r="A996" s="41"/>
      <x:c r="B996" s="41"/>
      <x:c r="C996" s="41"/>
      <x:c r="D996" s="41"/>
      <x:c r="E996" s="41"/>
      <x:c r="F996" s="41"/>
      <x:c r="G996" s="41"/>
      <x:c r="H996" s="41"/>
      <x:c r="I996" s="41"/>
      <x:c r="J996" s="41"/>
      <x:c r="K996" s="41"/>
      <x:c r="L996" s="41"/>
      <x:c r="M996" s="41"/>
      <x:c r="N996" s="41"/>
      <x:c r="O996" s="41"/>
      <x:c r="P996" s="41"/>
      <x:c r="Q996" s="41"/>
      <x:c r="R996" s="41"/>
      <x:c r="S996" s="41"/>
      <x:c r="T996" s="41"/>
      <x:c r="U996" s="41"/>
      <x:c r="V996" s="41"/>
      <x:c r="W996" s="41"/>
      <x:c r="X996" s="41"/>
      <x:c r="Y996" s="41"/>
      <x:c r="Z996" s="41"/>
    </x:row>
    <x:row r="997">
      <x:c r="A997" s="41"/>
      <x:c r="B997" s="41"/>
      <x:c r="C997" s="41"/>
      <x:c r="D997" s="41"/>
      <x:c r="E997" s="41"/>
      <x:c r="F997" s="41"/>
      <x:c r="G997" s="41"/>
      <x:c r="H997" s="41"/>
      <x:c r="I997" s="41"/>
      <x:c r="J997" s="41"/>
      <x:c r="K997" s="41"/>
      <x:c r="L997" s="41"/>
      <x:c r="M997" s="41"/>
      <x:c r="N997" s="41"/>
      <x:c r="O997" s="41"/>
      <x:c r="P997" s="41"/>
      <x:c r="Q997" s="41"/>
      <x:c r="R997" s="41"/>
      <x:c r="S997" s="41"/>
      <x:c r="T997" s="41"/>
      <x:c r="U997" s="41"/>
      <x:c r="V997" s="41"/>
      <x:c r="W997" s="41"/>
      <x:c r="X997" s="41"/>
      <x:c r="Y997" s="41"/>
      <x:c r="Z997" s="41"/>
    </x:row>
    <x:row r="998">
      <x:c r="A998" s="41"/>
      <x:c r="B998" s="41"/>
      <x:c r="C998" s="41"/>
      <x:c r="D998" s="41"/>
      <x:c r="E998" s="41"/>
      <x:c r="F998" s="41"/>
      <x:c r="G998" s="41"/>
      <x:c r="H998" s="41"/>
      <x:c r="I998" s="41"/>
      <x:c r="J998" s="41"/>
      <x:c r="K998" s="41"/>
      <x:c r="L998" s="41"/>
      <x:c r="M998" s="41"/>
      <x:c r="N998" s="41"/>
      <x:c r="O998" s="41"/>
      <x:c r="P998" s="41"/>
      <x:c r="Q998" s="41"/>
      <x:c r="R998" s="41"/>
      <x:c r="S998" s="41"/>
      <x:c r="T998" s="41"/>
      <x:c r="U998" s="41"/>
      <x:c r="V998" s="41"/>
      <x:c r="W998" s="41"/>
      <x:c r="X998" s="41"/>
      <x:c r="Y998" s="41"/>
      <x:c r="Z998" s="41"/>
    </x:row>
    <x:row r="999">
      <x:c r="A999" s="41"/>
      <x:c r="B999" s="41"/>
      <x:c r="C999" s="41"/>
      <x:c r="D999" s="41"/>
      <x:c r="E999" s="41"/>
      <x:c r="F999" s="41"/>
      <x:c r="G999" s="41"/>
      <x:c r="H999" s="41"/>
      <x:c r="I999" s="41"/>
      <x:c r="J999" s="41"/>
      <x:c r="K999" s="41"/>
      <x:c r="L999" s="41"/>
      <x:c r="M999" s="41"/>
      <x:c r="N999" s="41"/>
      <x:c r="O999" s="41"/>
      <x:c r="P999" s="41"/>
      <x:c r="Q999" s="41"/>
      <x:c r="R999" s="41"/>
      <x:c r="S999" s="41"/>
      <x:c r="T999" s="41"/>
      <x:c r="U999" s="41"/>
      <x:c r="V999" s="41"/>
      <x:c r="W999" s="41"/>
      <x:c r="X999" s="41"/>
      <x:c r="Y999" s="41"/>
      <x:c r="Z999" s="41"/>
    </x:row>
    <x:row r="1000">
      <x:c r="A1000" s="41"/>
      <x:c r="B1000" s="41"/>
      <x:c r="C1000" s="41"/>
      <x:c r="D1000" s="41"/>
      <x:c r="E1000" s="41"/>
      <x:c r="F1000" s="41"/>
      <x:c r="G1000" s="41"/>
      <x:c r="H1000" s="41"/>
      <x:c r="I1000" s="41"/>
      <x:c r="J1000" s="41"/>
      <x:c r="K1000" s="41"/>
      <x:c r="L1000" s="41"/>
      <x:c r="M1000" s="41"/>
      <x:c r="N1000" s="41"/>
      <x:c r="O1000" s="41"/>
      <x:c r="P1000" s="41"/>
      <x:c r="Q1000" s="41"/>
      <x:c r="R1000" s="41"/>
      <x:c r="S1000" s="41"/>
      <x:c r="T1000" s="41"/>
      <x:c r="U1000" s="41"/>
      <x:c r="V1000" s="41"/>
      <x:c r="W1000" s="41"/>
      <x:c r="X1000" s="41"/>
      <x:c r="Y1000" s="41"/>
      <x:c r="Z1000" s="41"/>
    </x:row>
  </x:sheetData>
  <x:hyperlinks>
    <x:hyperlink xmlns:r="http://schemas.openxmlformats.org/officeDocument/2006/relationships" ref="V2" r:id="R93f51b4b83fc435b"/>
    <x:hyperlink xmlns:r="http://schemas.openxmlformats.org/officeDocument/2006/relationships" ref="V3" r:id="Rcc91f5d6f9184a4c"/>
    <x:hyperlink xmlns:r="http://schemas.openxmlformats.org/officeDocument/2006/relationships" ref="V4" r:id="R89677659cee94d1e"/>
    <x:hyperlink xmlns:r="http://schemas.openxmlformats.org/officeDocument/2006/relationships" ref="V5" r:id="R897afc018b714724"/>
    <x:hyperlink xmlns:r="http://schemas.openxmlformats.org/officeDocument/2006/relationships" ref="V6" r:id="R62e4fe78ee654b81"/>
    <x:hyperlink xmlns:r="http://schemas.openxmlformats.org/officeDocument/2006/relationships" ref="V7" r:id="R598f0f5e9a5d4baa"/>
    <x:hyperlink xmlns:r="http://schemas.openxmlformats.org/officeDocument/2006/relationships" ref="V8" r:id="R81b4cc0c9997455f"/>
    <x:hyperlink xmlns:r="http://schemas.openxmlformats.org/officeDocument/2006/relationships" ref="V9" r:id="R23e83e8453a8405d"/>
    <x:hyperlink xmlns:r="http://schemas.openxmlformats.org/officeDocument/2006/relationships" ref="V10" r:id="Rc00b53e688454fdb"/>
    <x:hyperlink xmlns:r="http://schemas.openxmlformats.org/officeDocument/2006/relationships" ref="V11" r:id="R54d024bb5cf247b6"/>
    <x:hyperlink xmlns:r="http://schemas.openxmlformats.org/officeDocument/2006/relationships" ref="V12" r:id="R717889869407464f"/>
    <x:hyperlink xmlns:r="http://schemas.openxmlformats.org/officeDocument/2006/relationships" ref="V13" r:id="Rfb4d8eeeda844d88"/>
    <x:hyperlink xmlns:r="http://schemas.openxmlformats.org/officeDocument/2006/relationships" ref="V14" r:id="Rb253fcc82f3f45ae"/>
    <x:hyperlink xmlns:r="http://schemas.openxmlformats.org/officeDocument/2006/relationships" ref="V15" r:id="R14c060176c814704"/>
    <x:hyperlink xmlns:r="http://schemas.openxmlformats.org/officeDocument/2006/relationships" ref="V16" r:id="R90e950aa76284329"/>
    <x:hyperlink xmlns:r="http://schemas.openxmlformats.org/officeDocument/2006/relationships" ref="V17" r:id="Re437f2a3cfff48b5"/>
    <x:hyperlink xmlns:r="http://schemas.openxmlformats.org/officeDocument/2006/relationships" ref="V18" r:id="Rdcf4e3a977d247c4"/>
    <x:hyperlink xmlns:r="http://schemas.openxmlformats.org/officeDocument/2006/relationships" ref="V19" r:id="R46068e12f35e412d"/>
    <x:hyperlink xmlns:r="http://schemas.openxmlformats.org/officeDocument/2006/relationships" ref="V20" r:id="Re41e1a01f7694504"/>
    <x:hyperlink xmlns:r="http://schemas.openxmlformats.org/officeDocument/2006/relationships" ref="V21" r:id="R21cd1839922042c7"/>
    <x:hyperlink xmlns:r="http://schemas.openxmlformats.org/officeDocument/2006/relationships" ref="V22" r:id="Re3d1b6a43ddf4ea7"/>
    <x:hyperlink xmlns:r="http://schemas.openxmlformats.org/officeDocument/2006/relationships" ref="V23" r:id="R750a606aa1a547a9"/>
    <x:hyperlink xmlns:r="http://schemas.openxmlformats.org/officeDocument/2006/relationships" ref="V24" r:id="R9eb2e4c67ffa4e92"/>
    <x:hyperlink xmlns:r="http://schemas.openxmlformats.org/officeDocument/2006/relationships" ref="V25" r:id="Rad3d83f2d5684d2a"/>
    <x:hyperlink xmlns:r="http://schemas.openxmlformats.org/officeDocument/2006/relationships" ref="V26" r:id="Rf27a3ca45838452f"/>
    <x:hyperlink xmlns:r="http://schemas.openxmlformats.org/officeDocument/2006/relationships" ref="V27" r:id="R5c9549f548384302"/>
    <x:hyperlink xmlns:r="http://schemas.openxmlformats.org/officeDocument/2006/relationships" ref="V28" r:id="R077934d451b04748"/>
    <x:hyperlink xmlns:r="http://schemas.openxmlformats.org/officeDocument/2006/relationships" ref="V29" r:id="Rbd71a02906de44d1"/>
    <x:hyperlink xmlns:r="http://schemas.openxmlformats.org/officeDocument/2006/relationships" ref="V30" r:id="Rd2a9ce2d773449d7"/>
    <x:hyperlink xmlns:r="http://schemas.openxmlformats.org/officeDocument/2006/relationships" ref="V31" r:id="R247a2cb00f0d4b3f"/>
    <x:hyperlink xmlns:r="http://schemas.openxmlformats.org/officeDocument/2006/relationships" ref="V32" r:id="R87742f9f4be54914"/>
    <x:hyperlink xmlns:r="http://schemas.openxmlformats.org/officeDocument/2006/relationships" ref="V33" r:id="Ra81eb02703cd42ca"/>
    <x:hyperlink xmlns:r="http://schemas.openxmlformats.org/officeDocument/2006/relationships" ref="V34" r:id="Rdf8563413a4544a6"/>
    <x:hyperlink xmlns:r="http://schemas.openxmlformats.org/officeDocument/2006/relationships" ref="V35" r:id="R8356e2fc9aa24c47"/>
    <x:hyperlink xmlns:r="http://schemas.openxmlformats.org/officeDocument/2006/relationships" ref="V36" r:id="Rf85ff38db6644e79"/>
    <x:hyperlink xmlns:r="http://schemas.openxmlformats.org/officeDocument/2006/relationships" ref="V37" r:id="R2aff9122494d4639"/>
    <x:hyperlink xmlns:r="http://schemas.openxmlformats.org/officeDocument/2006/relationships" ref="V38" r:id="R48f91d03e4674a95"/>
    <x:hyperlink xmlns:r="http://schemas.openxmlformats.org/officeDocument/2006/relationships" ref="V39" r:id="Rb59add0e1ea64efc"/>
    <x:hyperlink xmlns:r="http://schemas.openxmlformats.org/officeDocument/2006/relationships" ref="V40" r:id="Rc2d914bd40594821"/>
    <x:hyperlink xmlns:r="http://schemas.openxmlformats.org/officeDocument/2006/relationships" ref="V41" r:id="R686362e9e2224f88"/>
    <x:hyperlink xmlns:r="http://schemas.openxmlformats.org/officeDocument/2006/relationships" ref="V42" r:id="R279b181da8fd4b93"/>
    <x:hyperlink xmlns:r="http://schemas.openxmlformats.org/officeDocument/2006/relationships" ref="V43" r:id="R3d961b7c82864bf2"/>
    <x:hyperlink xmlns:r="http://schemas.openxmlformats.org/officeDocument/2006/relationships" ref="V44" r:id="Re98cee7266334c92"/>
    <x:hyperlink xmlns:r="http://schemas.openxmlformats.org/officeDocument/2006/relationships" ref="V45" r:id="R6a382bfb97c749e2"/>
    <x:hyperlink xmlns:r="http://schemas.openxmlformats.org/officeDocument/2006/relationships" ref="V46" r:id="R2c16d6781c93466d"/>
    <x:hyperlink xmlns:r="http://schemas.openxmlformats.org/officeDocument/2006/relationships" ref="V47" r:id="R795e3f9b15a14ddf"/>
    <x:hyperlink xmlns:r="http://schemas.openxmlformats.org/officeDocument/2006/relationships" ref="V48" r:id="R108f5317ee334edc"/>
    <x:hyperlink xmlns:r="http://schemas.openxmlformats.org/officeDocument/2006/relationships" ref="V49" r:id="Rcb4a8e5137224e33"/>
    <x:hyperlink xmlns:r="http://schemas.openxmlformats.org/officeDocument/2006/relationships" ref="V50" r:id="Raf78b814cddc43a3"/>
    <x:hyperlink xmlns:r="http://schemas.openxmlformats.org/officeDocument/2006/relationships" ref="V51" r:id="Ra2d25b96a204449a"/>
    <x:hyperlink xmlns:r="http://schemas.openxmlformats.org/officeDocument/2006/relationships" ref="V52" r:id="R90167672b8d24e34"/>
    <x:hyperlink xmlns:r="http://schemas.openxmlformats.org/officeDocument/2006/relationships" ref="V53" r:id="Rd937c592723a4586"/>
    <x:hyperlink xmlns:r="http://schemas.openxmlformats.org/officeDocument/2006/relationships" ref="V54" r:id="R79e1825bc9a24c5a"/>
    <x:hyperlink xmlns:r="http://schemas.openxmlformats.org/officeDocument/2006/relationships" ref="V55" r:id="R718b375e60ed48d1"/>
    <x:hyperlink xmlns:r="http://schemas.openxmlformats.org/officeDocument/2006/relationships" ref="V56" r:id="R14c3dab7e2a04b50"/>
    <x:hyperlink xmlns:r="http://schemas.openxmlformats.org/officeDocument/2006/relationships" ref="V57" r:id="R93d5bf8239994cf2"/>
    <x:hyperlink xmlns:r="http://schemas.openxmlformats.org/officeDocument/2006/relationships" ref="V58" r:id="Raa2cc6b0c59f41f8"/>
    <x:hyperlink xmlns:r="http://schemas.openxmlformats.org/officeDocument/2006/relationships" ref="V59" r:id="Rd049f21f8cb54a2b"/>
    <x:hyperlink xmlns:r="http://schemas.openxmlformats.org/officeDocument/2006/relationships" ref="V60" r:id="R1e8ee29645794aca"/>
    <x:hyperlink xmlns:r="http://schemas.openxmlformats.org/officeDocument/2006/relationships" ref="V61" r:id="R691b69fc42774c6c"/>
    <x:hyperlink xmlns:r="http://schemas.openxmlformats.org/officeDocument/2006/relationships" ref="V62" r:id="R8b74363aa50d4e74"/>
    <x:hyperlink xmlns:r="http://schemas.openxmlformats.org/officeDocument/2006/relationships" ref="V63" r:id="R9c3310524e934217"/>
    <x:hyperlink xmlns:r="http://schemas.openxmlformats.org/officeDocument/2006/relationships" ref="V64" r:id="R3e41fac33c31452d"/>
    <x:hyperlink xmlns:r="http://schemas.openxmlformats.org/officeDocument/2006/relationships" ref="V65" r:id="R28100c350cf440b3"/>
    <x:hyperlink xmlns:r="http://schemas.openxmlformats.org/officeDocument/2006/relationships" ref="V66" r:id="R24178c3bc22f4222"/>
    <x:hyperlink xmlns:r="http://schemas.openxmlformats.org/officeDocument/2006/relationships" ref="V67" r:id="R295990d27dac4197"/>
    <x:hyperlink xmlns:r="http://schemas.openxmlformats.org/officeDocument/2006/relationships" ref="V68" r:id="R91e1545b0935463c"/>
    <x:hyperlink xmlns:r="http://schemas.openxmlformats.org/officeDocument/2006/relationships" ref="V69" r:id="Rd395c5e163da4100"/>
    <x:hyperlink xmlns:r="http://schemas.openxmlformats.org/officeDocument/2006/relationships" ref="V70" r:id="Rfab0d734d57c4028"/>
    <x:hyperlink xmlns:r="http://schemas.openxmlformats.org/officeDocument/2006/relationships" ref="V71" r:id="R825de2600eac4b71"/>
    <x:hyperlink xmlns:r="http://schemas.openxmlformats.org/officeDocument/2006/relationships" ref="V72" r:id="R09376572c2b54c95"/>
    <x:hyperlink xmlns:r="http://schemas.openxmlformats.org/officeDocument/2006/relationships" ref="V73" r:id="Rd746776938824b45"/>
    <x:hyperlink xmlns:r="http://schemas.openxmlformats.org/officeDocument/2006/relationships" ref="V74" r:id="R85722244c8b64479"/>
    <x:hyperlink xmlns:r="http://schemas.openxmlformats.org/officeDocument/2006/relationships" ref="V75" r:id="R34459ce28b6c4471"/>
    <x:hyperlink xmlns:r="http://schemas.openxmlformats.org/officeDocument/2006/relationships" ref="V76" r:id="R4ad00f23822e4111"/>
    <x:hyperlink xmlns:r="http://schemas.openxmlformats.org/officeDocument/2006/relationships" ref="V77" r:id="Re571ed9fba5f423e"/>
    <x:hyperlink xmlns:r="http://schemas.openxmlformats.org/officeDocument/2006/relationships" ref="V78" r:id="Rf99134d54b26407d"/>
    <x:hyperlink xmlns:r="http://schemas.openxmlformats.org/officeDocument/2006/relationships" ref="V79" r:id="Red8ba1e901384c75"/>
    <x:hyperlink xmlns:r="http://schemas.openxmlformats.org/officeDocument/2006/relationships" ref="V80" r:id="Reb32680052d14154"/>
    <x:hyperlink xmlns:r="http://schemas.openxmlformats.org/officeDocument/2006/relationships" ref="V81" r:id="R0d4c77acc5b94bef"/>
    <x:hyperlink xmlns:r="http://schemas.openxmlformats.org/officeDocument/2006/relationships" ref="V82" r:id="Rb627cba87b0142b9"/>
    <x:hyperlink xmlns:r="http://schemas.openxmlformats.org/officeDocument/2006/relationships" ref="V83" r:id="Rc5c241d2ea684522"/>
    <x:hyperlink xmlns:r="http://schemas.openxmlformats.org/officeDocument/2006/relationships" ref="V84" r:id="Rb1ac327b7c654dbf"/>
    <x:hyperlink xmlns:r="http://schemas.openxmlformats.org/officeDocument/2006/relationships" ref="V85" r:id="R6ebd54449be2454f"/>
    <x:hyperlink xmlns:r="http://schemas.openxmlformats.org/officeDocument/2006/relationships" ref="V86" r:id="R6d1dc2d93b364a07"/>
    <x:hyperlink xmlns:r="http://schemas.openxmlformats.org/officeDocument/2006/relationships" ref="V87" r:id="Rd4acf64101a24281"/>
    <x:hyperlink xmlns:r="http://schemas.openxmlformats.org/officeDocument/2006/relationships" ref="V88" r:id="R81ba859cbb954cda"/>
    <x:hyperlink xmlns:r="http://schemas.openxmlformats.org/officeDocument/2006/relationships" ref="V89" r:id="R91adf753baac4926"/>
    <x:hyperlink xmlns:r="http://schemas.openxmlformats.org/officeDocument/2006/relationships" ref="V90" r:id="R6126ed8583224a3a"/>
    <x:hyperlink xmlns:r="http://schemas.openxmlformats.org/officeDocument/2006/relationships" ref="V91" r:id="Ra3287d436f8345ac"/>
    <x:hyperlink xmlns:r="http://schemas.openxmlformats.org/officeDocument/2006/relationships" ref="V92" r:id="R6e1390cbe4e0416d"/>
    <x:hyperlink xmlns:r="http://schemas.openxmlformats.org/officeDocument/2006/relationships" ref="V93" r:id="Rbf7eda2fa8824f1e"/>
    <x:hyperlink xmlns:r="http://schemas.openxmlformats.org/officeDocument/2006/relationships" ref="V94" r:id="R37f6d40c5fdd4f3f"/>
    <x:hyperlink xmlns:r="http://schemas.openxmlformats.org/officeDocument/2006/relationships" ref="V95" r:id="R63ece6036a30427b"/>
    <x:hyperlink xmlns:r="http://schemas.openxmlformats.org/officeDocument/2006/relationships" ref="V96" r:id="R7c43c16b3ecf4e40"/>
    <x:hyperlink xmlns:r="http://schemas.openxmlformats.org/officeDocument/2006/relationships" ref="V97" r:id="R3be1195ec78d4921"/>
    <x:hyperlink xmlns:r="http://schemas.openxmlformats.org/officeDocument/2006/relationships" ref="V98" r:id="R5940951bae084122"/>
    <x:hyperlink xmlns:r="http://schemas.openxmlformats.org/officeDocument/2006/relationships" ref="V99" r:id="R918971afa8344c04"/>
    <x:hyperlink xmlns:r="http://schemas.openxmlformats.org/officeDocument/2006/relationships" ref="V100" r:id="R21c5ce95c44f42bf"/>
    <x:hyperlink xmlns:r="http://schemas.openxmlformats.org/officeDocument/2006/relationships" ref="V101" r:id="R4dca1a168b274760"/>
    <x:hyperlink xmlns:r="http://schemas.openxmlformats.org/officeDocument/2006/relationships" ref="V102" r:id="R44e9235331b24ba4"/>
    <x:hyperlink xmlns:r="http://schemas.openxmlformats.org/officeDocument/2006/relationships" ref="V103" r:id="Rb93befd53b7c497a"/>
    <x:hyperlink xmlns:r="http://schemas.openxmlformats.org/officeDocument/2006/relationships" ref="V104" r:id="R1e216a8a6d56430b"/>
    <x:hyperlink xmlns:r="http://schemas.openxmlformats.org/officeDocument/2006/relationships" ref="V105" r:id="R6c4fe736e76e4343"/>
    <x:hyperlink xmlns:r="http://schemas.openxmlformats.org/officeDocument/2006/relationships" ref="V106" r:id="R3e0e1a440e5545d9"/>
    <x:hyperlink xmlns:r="http://schemas.openxmlformats.org/officeDocument/2006/relationships" ref="V107" r:id="Rd7fd354fc5e84889"/>
    <x:hyperlink xmlns:r="http://schemas.openxmlformats.org/officeDocument/2006/relationships" ref="V108" r:id="Rced6bd45754240aa"/>
    <x:hyperlink xmlns:r="http://schemas.openxmlformats.org/officeDocument/2006/relationships" ref="V109" r:id="Rf582ac228f184c2a"/>
    <x:hyperlink xmlns:r="http://schemas.openxmlformats.org/officeDocument/2006/relationships" ref="V110" r:id="Rd4cbc953c1464d2d"/>
    <x:hyperlink xmlns:r="http://schemas.openxmlformats.org/officeDocument/2006/relationships" ref="V111" r:id="R97dd6319196747ce"/>
    <x:hyperlink xmlns:r="http://schemas.openxmlformats.org/officeDocument/2006/relationships" ref="V112" r:id="R41465b965ac34a0b"/>
    <x:hyperlink xmlns:r="http://schemas.openxmlformats.org/officeDocument/2006/relationships" ref="V113" r:id="Rcc5b4b0ffbd948b6"/>
    <x:hyperlink xmlns:r="http://schemas.openxmlformats.org/officeDocument/2006/relationships" ref="V114" r:id="R1c2cb38ef2214a51"/>
    <x:hyperlink xmlns:r="http://schemas.openxmlformats.org/officeDocument/2006/relationships" ref="V115" r:id="R50aebeebe1994019"/>
    <x:hyperlink xmlns:r="http://schemas.openxmlformats.org/officeDocument/2006/relationships" ref="V116" r:id="R29256aad52b14aec"/>
    <x:hyperlink xmlns:r="http://schemas.openxmlformats.org/officeDocument/2006/relationships" ref="V117" r:id="R02b9d9e76f7c4959"/>
    <x:hyperlink xmlns:r="http://schemas.openxmlformats.org/officeDocument/2006/relationships" ref="V118" r:id="Re154e530e1e84487"/>
    <x:hyperlink xmlns:r="http://schemas.openxmlformats.org/officeDocument/2006/relationships" ref="V119" r:id="R25f178c28d424e43"/>
    <x:hyperlink xmlns:r="http://schemas.openxmlformats.org/officeDocument/2006/relationships" ref="V120" r:id="R42c26a3d557f43e9"/>
    <x:hyperlink xmlns:r="http://schemas.openxmlformats.org/officeDocument/2006/relationships" ref="V121" r:id="R16b3033a7db4434b"/>
    <x:hyperlink xmlns:r="http://schemas.openxmlformats.org/officeDocument/2006/relationships" ref="V122" r:id="Re2baf580073c401e"/>
    <x:hyperlink xmlns:r="http://schemas.openxmlformats.org/officeDocument/2006/relationships" ref="V123" r:id="Re72b3764f2b5478d"/>
    <x:hyperlink xmlns:r="http://schemas.openxmlformats.org/officeDocument/2006/relationships" ref="V124" r:id="R49e9b4c7e6374348"/>
    <x:hyperlink xmlns:r="http://schemas.openxmlformats.org/officeDocument/2006/relationships" ref="V125" r:id="Rb6bb365367ad4e70"/>
    <x:hyperlink xmlns:r="http://schemas.openxmlformats.org/officeDocument/2006/relationships" ref="V126" r:id="R1df522a8f65d462f"/>
    <x:hyperlink xmlns:r="http://schemas.openxmlformats.org/officeDocument/2006/relationships" ref="V127" r:id="R4ec0e65197c24d09"/>
    <x:hyperlink xmlns:r="http://schemas.openxmlformats.org/officeDocument/2006/relationships" ref="V128" r:id="R52755c288c0b48f1"/>
    <x:hyperlink xmlns:r="http://schemas.openxmlformats.org/officeDocument/2006/relationships" ref="V129" r:id="Raf511bdc8c70431e"/>
    <x:hyperlink xmlns:r="http://schemas.openxmlformats.org/officeDocument/2006/relationships" ref="V130" r:id="R115b1fd23232465f"/>
    <x:hyperlink xmlns:r="http://schemas.openxmlformats.org/officeDocument/2006/relationships" ref="V131" r:id="R708c3e0a6e654ba0"/>
    <x:hyperlink xmlns:r="http://schemas.openxmlformats.org/officeDocument/2006/relationships" ref="V132" r:id="R4a5e5f5dde1048d1"/>
    <x:hyperlink xmlns:r="http://schemas.openxmlformats.org/officeDocument/2006/relationships" ref="V133" r:id="R166232208dc74fc1"/>
    <x:hyperlink xmlns:r="http://schemas.openxmlformats.org/officeDocument/2006/relationships" ref="V134" r:id="R431b8856f4bc420a"/>
    <x:hyperlink xmlns:r="http://schemas.openxmlformats.org/officeDocument/2006/relationships" ref="V135" r:id="Rf13ec1c0ac434c45"/>
    <x:hyperlink xmlns:r="http://schemas.openxmlformats.org/officeDocument/2006/relationships" ref="V136" r:id="R8244a4589d864d77"/>
    <x:hyperlink xmlns:r="http://schemas.openxmlformats.org/officeDocument/2006/relationships" ref="V137" r:id="R7d62c4cbb8724a86"/>
    <x:hyperlink xmlns:r="http://schemas.openxmlformats.org/officeDocument/2006/relationships" ref="V138" r:id="Ra61f23a694344a0e"/>
    <x:hyperlink xmlns:r="http://schemas.openxmlformats.org/officeDocument/2006/relationships" ref="V139" r:id="R4b34a6b0a2b9457d"/>
    <x:hyperlink xmlns:r="http://schemas.openxmlformats.org/officeDocument/2006/relationships" ref="V140" r:id="R5fd550fc7a5248e2"/>
    <x:hyperlink xmlns:r="http://schemas.openxmlformats.org/officeDocument/2006/relationships" ref="V141" r:id="Rdd83ea22f1504432"/>
    <x:hyperlink xmlns:r="http://schemas.openxmlformats.org/officeDocument/2006/relationships" ref="V142" r:id="Rb0cec33c8c2b4b7c"/>
    <x:hyperlink xmlns:r="http://schemas.openxmlformats.org/officeDocument/2006/relationships" ref="V143" r:id="Re7c91bceeb3b437c"/>
    <x:hyperlink xmlns:r="http://schemas.openxmlformats.org/officeDocument/2006/relationships" ref="V144" r:id="R2df42066af504000"/>
    <x:hyperlink xmlns:r="http://schemas.openxmlformats.org/officeDocument/2006/relationships" ref="V145" r:id="R682fa8549444498e"/>
    <x:hyperlink xmlns:r="http://schemas.openxmlformats.org/officeDocument/2006/relationships" ref="V146" r:id="Rebbc5e6f7de04ce2"/>
    <x:hyperlink xmlns:r="http://schemas.openxmlformats.org/officeDocument/2006/relationships" ref="V147" r:id="R756075f8bf7c4450"/>
    <x:hyperlink xmlns:r="http://schemas.openxmlformats.org/officeDocument/2006/relationships" ref="V148" r:id="R2afcd355754b4056"/>
    <x:hyperlink xmlns:r="http://schemas.openxmlformats.org/officeDocument/2006/relationships" ref="V149" r:id="R45ec2dc38b2a46e6"/>
    <x:hyperlink xmlns:r="http://schemas.openxmlformats.org/officeDocument/2006/relationships" ref="V150" r:id="Rbd8bf1c54b9d4911"/>
    <x:hyperlink xmlns:r="http://schemas.openxmlformats.org/officeDocument/2006/relationships" ref="V151" r:id="R05b75af77621474e"/>
    <x:hyperlink xmlns:r="http://schemas.openxmlformats.org/officeDocument/2006/relationships" ref="V152" r:id="R8d3fe6c1ac474b86"/>
    <x:hyperlink xmlns:r="http://schemas.openxmlformats.org/officeDocument/2006/relationships" ref="V153" r:id="R47f5b217d1d94f9d"/>
    <x:hyperlink xmlns:r="http://schemas.openxmlformats.org/officeDocument/2006/relationships" ref="V154" r:id="R278d1f8a6fc247cd"/>
    <x:hyperlink xmlns:r="http://schemas.openxmlformats.org/officeDocument/2006/relationships" ref="V155" r:id="R5fe9aa862c5348e9"/>
    <x:hyperlink xmlns:r="http://schemas.openxmlformats.org/officeDocument/2006/relationships" ref="V156" r:id="Refc2288a9b2d40ec"/>
    <x:hyperlink xmlns:r="http://schemas.openxmlformats.org/officeDocument/2006/relationships" ref="V157" r:id="Rec091ab836b048ae"/>
    <x:hyperlink xmlns:r="http://schemas.openxmlformats.org/officeDocument/2006/relationships" ref="V158" r:id="R7de1e3a4a8f04284"/>
    <x:hyperlink xmlns:r="http://schemas.openxmlformats.org/officeDocument/2006/relationships" ref="V159" r:id="Re2594973cdc64f27"/>
    <x:hyperlink xmlns:r="http://schemas.openxmlformats.org/officeDocument/2006/relationships" ref="V160" r:id="R0b1bc5d34b7944c5"/>
    <x:hyperlink xmlns:r="http://schemas.openxmlformats.org/officeDocument/2006/relationships" ref="V161" r:id="Rc9d5d8b17f3a418e"/>
    <x:hyperlink xmlns:r="http://schemas.openxmlformats.org/officeDocument/2006/relationships" ref="V162" r:id="R7d8c59fad6f64785"/>
    <x:hyperlink xmlns:r="http://schemas.openxmlformats.org/officeDocument/2006/relationships" ref="V163" r:id="R7805921620c640d9"/>
    <x:hyperlink xmlns:r="http://schemas.openxmlformats.org/officeDocument/2006/relationships" ref="V164" r:id="R99440ede93bb460b"/>
    <x:hyperlink xmlns:r="http://schemas.openxmlformats.org/officeDocument/2006/relationships" ref="V165" r:id="R61b970ac81494a2c"/>
    <x:hyperlink xmlns:r="http://schemas.openxmlformats.org/officeDocument/2006/relationships" ref="V166" r:id="R77b1e460c0b74d3a"/>
    <x:hyperlink xmlns:r="http://schemas.openxmlformats.org/officeDocument/2006/relationships" ref="V167" r:id="Ra3fd9abf3433491b"/>
    <x:hyperlink xmlns:r="http://schemas.openxmlformats.org/officeDocument/2006/relationships" ref="V168" r:id="R249b3b3fe7cb4acb"/>
    <x:hyperlink xmlns:r="http://schemas.openxmlformats.org/officeDocument/2006/relationships" ref="V169" r:id="R0ba2641673714a2b"/>
    <x:hyperlink xmlns:r="http://schemas.openxmlformats.org/officeDocument/2006/relationships" ref="V170" r:id="Rea27a38de3064734"/>
    <x:hyperlink xmlns:r="http://schemas.openxmlformats.org/officeDocument/2006/relationships" ref="V171" r:id="Ra5975597766444de"/>
    <x:hyperlink xmlns:r="http://schemas.openxmlformats.org/officeDocument/2006/relationships" ref="V172" r:id="Rcb664b68168e4186"/>
    <x:hyperlink xmlns:r="http://schemas.openxmlformats.org/officeDocument/2006/relationships" ref="V173" r:id="R9af7cf69a1644074"/>
    <x:hyperlink xmlns:r="http://schemas.openxmlformats.org/officeDocument/2006/relationships" ref="V174" r:id="R11c117b85d1d4f10"/>
    <x:hyperlink xmlns:r="http://schemas.openxmlformats.org/officeDocument/2006/relationships" ref="V175" r:id="Re439b690393042b1"/>
    <x:hyperlink xmlns:r="http://schemas.openxmlformats.org/officeDocument/2006/relationships" ref="V176" r:id="Re596cd1dcbf64f78"/>
    <x:hyperlink xmlns:r="http://schemas.openxmlformats.org/officeDocument/2006/relationships" ref="V177" r:id="Rcee7835ff49f4caf"/>
    <x:hyperlink xmlns:r="http://schemas.openxmlformats.org/officeDocument/2006/relationships" ref="V178" r:id="Re7ef185fce2b45de"/>
    <x:hyperlink xmlns:r="http://schemas.openxmlformats.org/officeDocument/2006/relationships" ref="V179" r:id="R03bb739d524b43a6"/>
    <x:hyperlink xmlns:r="http://schemas.openxmlformats.org/officeDocument/2006/relationships" ref="V180" r:id="R093049ffee004a13"/>
    <x:hyperlink xmlns:r="http://schemas.openxmlformats.org/officeDocument/2006/relationships" ref="V181" r:id="Rd17ef682d6214c60"/>
    <x:hyperlink xmlns:r="http://schemas.openxmlformats.org/officeDocument/2006/relationships" ref="V182" r:id="R5b90efabf0c24c2e"/>
    <x:hyperlink xmlns:r="http://schemas.openxmlformats.org/officeDocument/2006/relationships" ref="V183" r:id="Rc5027a6df7e64706"/>
    <x:hyperlink xmlns:r="http://schemas.openxmlformats.org/officeDocument/2006/relationships" ref="V184" r:id="Re6a38ffbe7094b8f"/>
    <x:hyperlink xmlns:r="http://schemas.openxmlformats.org/officeDocument/2006/relationships" ref="V185" r:id="Rafe8f84cba594094"/>
    <x:hyperlink xmlns:r="http://schemas.openxmlformats.org/officeDocument/2006/relationships" ref="V186" r:id="Rcee97220bbe14fd5"/>
    <x:hyperlink xmlns:r="http://schemas.openxmlformats.org/officeDocument/2006/relationships" ref="V187" r:id="Rbebea87101d74f80"/>
    <x:hyperlink xmlns:r="http://schemas.openxmlformats.org/officeDocument/2006/relationships" ref="V188" r:id="R80122edac0a14235"/>
    <x:hyperlink xmlns:r="http://schemas.openxmlformats.org/officeDocument/2006/relationships" ref="V189" r:id="R84f4ccc5d82d4de3"/>
    <x:hyperlink xmlns:r="http://schemas.openxmlformats.org/officeDocument/2006/relationships" ref="V190" r:id="R2192930c34484e1e"/>
    <x:hyperlink xmlns:r="http://schemas.openxmlformats.org/officeDocument/2006/relationships" ref="V191" r:id="Re3686550db414ff2"/>
    <x:hyperlink xmlns:r="http://schemas.openxmlformats.org/officeDocument/2006/relationships" ref="V192" r:id="R53c80cad4bee4231"/>
    <x:hyperlink xmlns:r="http://schemas.openxmlformats.org/officeDocument/2006/relationships" ref="V193" r:id="R7d3a2b08b9d54d00"/>
    <x:hyperlink xmlns:r="http://schemas.openxmlformats.org/officeDocument/2006/relationships" ref="V194" r:id="Rcfb39875edfa4f1b"/>
    <x:hyperlink xmlns:r="http://schemas.openxmlformats.org/officeDocument/2006/relationships" ref="V195" r:id="Rb2bd9f70405945cb"/>
    <x:hyperlink xmlns:r="http://schemas.openxmlformats.org/officeDocument/2006/relationships" ref="V196" r:id="Rbc21118caf8c4134"/>
    <x:hyperlink xmlns:r="http://schemas.openxmlformats.org/officeDocument/2006/relationships" ref="V197" r:id="Rab9237bdc5d6435b"/>
    <x:hyperlink xmlns:r="http://schemas.openxmlformats.org/officeDocument/2006/relationships" ref="V198" r:id="Rd92c9db6005c4016"/>
    <x:hyperlink xmlns:r="http://schemas.openxmlformats.org/officeDocument/2006/relationships" ref="V199" r:id="Ra3c8de5a40cb442c"/>
    <x:hyperlink xmlns:r="http://schemas.openxmlformats.org/officeDocument/2006/relationships" ref="V200" r:id="R1df40a970e6b4d54"/>
    <x:hyperlink xmlns:r="http://schemas.openxmlformats.org/officeDocument/2006/relationships" ref="V201" r:id="Rfbd049269d7542c9"/>
    <x:hyperlink xmlns:r="http://schemas.openxmlformats.org/officeDocument/2006/relationships" ref="V202" r:id="R7a678d6141f24acb"/>
    <x:hyperlink xmlns:r="http://schemas.openxmlformats.org/officeDocument/2006/relationships" ref="V203" r:id="R4aac7b400c8049d9"/>
    <x:hyperlink xmlns:r="http://schemas.openxmlformats.org/officeDocument/2006/relationships" ref="V204" r:id="Rb1c7d333af2248b4"/>
    <x:hyperlink xmlns:r="http://schemas.openxmlformats.org/officeDocument/2006/relationships" ref="V205" r:id="Rd7e6a74223664704"/>
    <x:hyperlink xmlns:r="http://schemas.openxmlformats.org/officeDocument/2006/relationships" ref="V206" r:id="R5ee563f8ee0e4483"/>
    <x:hyperlink xmlns:r="http://schemas.openxmlformats.org/officeDocument/2006/relationships" ref="V207" r:id="Re6e637772e504764"/>
    <x:hyperlink xmlns:r="http://schemas.openxmlformats.org/officeDocument/2006/relationships" ref="V208" r:id="R82851a54c2164a2e"/>
    <x:hyperlink xmlns:r="http://schemas.openxmlformats.org/officeDocument/2006/relationships" ref="V209" r:id="R125e77e587a54da6"/>
    <x:hyperlink xmlns:r="http://schemas.openxmlformats.org/officeDocument/2006/relationships" ref="V210" r:id="Rbab674bb5dc54140"/>
    <x:hyperlink xmlns:r="http://schemas.openxmlformats.org/officeDocument/2006/relationships" ref="V211" r:id="Rde3c0758ac0a4420"/>
    <x:hyperlink xmlns:r="http://schemas.openxmlformats.org/officeDocument/2006/relationships" ref="V212" r:id="Rd3a8627ae4dc439c"/>
    <x:hyperlink xmlns:r="http://schemas.openxmlformats.org/officeDocument/2006/relationships" ref="V213" r:id="R147f291e474c4459"/>
    <x:hyperlink xmlns:r="http://schemas.openxmlformats.org/officeDocument/2006/relationships" ref="V214" r:id="R275c3af33e0e4096"/>
    <x:hyperlink xmlns:r="http://schemas.openxmlformats.org/officeDocument/2006/relationships" ref="V215" r:id="R57bb178cc7e34737"/>
    <x:hyperlink xmlns:r="http://schemas.openxmlformats.org/officeDocument/2006/relationships" ref="V216" r:id="R2cee28f0b5064bc5"/>
    <x:hyperlink xmlns:r="http://schemas.openxmlformats.org/officeDocument/2006/relationships" ref="V217" r:id="R233293846f4f480a"/>
    <x:hyperlink xmlns:r="http://schemas.openxmlformats.org/officeDocument/2006/relationships" ref="V218" r:id="Rd798b95a829140ca"/>
    <x:hyperlink xmlns:r="http://schemas.openxmlformats.org/officeDocument/2006/relationships" ref="V219" r:id="Rfe7aee23e1e448e4"/>
    <x:hyperlink xmlns:r="http://schemas.openxmlformats.org/officeDocument/2006/relationships" ref="V220" r:id="R2ef8e95c3cc549c8"/>
    <x:hyperlink xmlns:r="http://schemas.openxmlformats.org/officeDocument/2006/relationships" ref="V221" r:id="Rc346e9c5ed4a4ede"/>
    <x:hyperlink xmlns:r="http://schemas.openxmlformats.org/officeDocument/2006/relationships" ref="V222" r:id="R541efde81c7a492d"/>
    <x:hyperlink xmlns:r="http://schemas.openxmlformats.org/officeDocument/2006/relationships" ref="V223" r:id="R9f48b5734d1e49e2"/>
    <x:hyperlink xmlns:r="http://schemas.openxmlformats.org/officeDocument/2006/relationships" ref="V224" r:id="Rabeda5bde18c4942"/>
    <x:hyperlink xmlns:r="http://schemas.openxmlformats.org/officeDocument/2006/relationships" ref="V225" r:id="Re1558f5f62d844a4"/>
    <x:hyperlink xmlns:r="http://schemas.openxmlformats.org/officeDocument/2006/relationships" ref="V226" r:id="R2233cea4f3aa4512"/>
    <x:hyperlink xmlns:r="http://schemas.openxmlformats.org/officeDocument/2006/relationships" ref="V227" r:id="R69edc06242a14dc2"/>
    <x:hyperlink xmlns:r="http://schemas.openxmlformats.org/officeDocument/2006/relationships" ref="V228" r:id="R9b858b0552ff48ce"/>
    <x:hyperlink xmlns:r="http://schemas.openxmlformats.org/officeDocument/2006/relationships" ref="V229" r:id="Rd5c391e258eb4559"/>
    <x:hyperlink xmlns:r="http://schemas.openxmlformats.org/officeDocument/2006/relationships" ref="V230" r:id="R8e5b26cefff34d27"/>
    <x:hyperlink xmlns:r="http://schemas.openxmlformats.org/officeDocument/2006/relationships" ref="V231" r:id="R993b372830d1412c"/>
    <x:hyperlink xmlns:r="http://schemas.openxmlformats.org/officeDocument/2006/relationships" ref="V232" r:id="R821c64eca08d48a1"/>
    <x:hyperlink xmlns:r="http://schemas.openxmlformats.org/officeDocument/2006/relationships" ref="V233" r:id="R2548f9cb84b44eac"/>
    <x:hyperlink xmlns:r="http://schemas.openxmlformats.org/officeDocument/2006/relationships" ref="V234" r:id="Rf912ad0f18fb49d0"/>
    <x:hyperlink xmlns:r="http://schemas.openxmlformats.org/officeDocument/2006/relationships" ref="V235" r:id="Rc8c5ea6eb9f848d0"/>
    <x:hyperlink xmlns:r="http://schemas.openxmlformats.org/officeDocument/2006/relationships" ref="V236" r:id="Rf9b5599150fd4015"/>
    <x:hyperlink xmlns:r="http://schemas.openxmlformats.org/officeDocument/2006/relationships" ref="V237" r:id="R62346ee7a3124edf"/>
    <x:hyperlink xmlns:r="http://schemas.openxmlformats.org/officeDocument/2006/relationships" ref="V238" r:id="R6df4baaab03d4a3f"/>
    <x:hyperlink xmlns:r="http://schemas.openxmlformats.org/officeDocument/2006/relationships" ref="V239" r:id="R8d3b2e67c330401a"/>
    <x:hyperlink xmlns:r="http://schemas.openxmlformats.org/officeDocument/2006/relationships" ref="V240" r:id="R2046a1337c1e43e9"/>
    <x:hyperlink xmlns:r="http://schemas.openxmlformats.org/officeDocument/2006/relationships" ref="V241" r:id="R8874261aec514728"/>
    <x:hyperlink xmlns:r="http://schemas.openxmlformats.org/officeDocument/2006/relationships" ref="V242" r:id="Rdce5ba149d6c40ce"/>
    <x:hyperlink xmlns:r="http://schemas.openxmlformats.org/officeDocument/2006/relationships" ref="V243" r:id="R4c09bdbbbe204da0"/>
    <x:hyperlink xmlns:r="http://schemas.openxmlformats.org/officeDocument/2006/relationships" ref="V244" r:id="R97aa205b0352414f"/>
    <x:hyperlink xmlns:r="http://schemas.openxmlformats.org/officeDocument/2006/relationships" ref="V245" r:id="R152dd97e7b3e4002"/>
    <x:hyperlink xmlns:r="http://schemas.openxmlformats.org/officeDocument/2006/relationships" ref="V246" r:id="R2536f6fa283a4bb7"/>
    <x:hyperlink xmlns:r="http://schemas.openxmlformats.org/officeDocument/2006/relationships" ref="V247" r:id="R1ee0aa1f67ff4d8a"/>
    <x:hyperlink xmlns:r="http://schemas.openxmlformats.org/officeDocument/2006/relationships" ref="V248" r:id="R988bb500508c4726"/>
    <x:hyperlink xmlns:r="http://schemas.openxmlformats.org/officeDocument/2006/relationships" ref="V249" r:id="R74f2131b7ca64fe7"/>
    <x:hyperlink xmlns:r="http://schemas.openxmlformats.org/officeDocument/2006/relationships" ref="V250" r:id="Rd298dc1e1a034ec5"/>
    <x:hyperlink xmlns:r="http://schemas.openxmlformats.org/officeDocument/2006/relationships" ref="V251" r:id="R6303e263f09e4aa5"/>
    <x:hyperlink xmlns:r="http://schemas.openxmlformats.org/officeDocument/2006/relationships" ref="V252" r:id="Ra1b62b4c05d4496f"/>
    <x:hyperlink xmlns:r="http://schemas.openxmlformats.org/officeDocument/2006/relationships" ref="V253" r:id="Ree5046c345e24a1d"/>
    <x:hyperlink xmlns:r="http://schemas.openxmlformats.org/officeDocument/2006/relationships" ref="V254" r:id="Rca364cec94b64c8f"/>
    <x:hyperlink xmlns:r="http://schemas.openxmlformats.org/officeDocument/2006/relationships" ref="V255" r:id="R91c3cb84683a4772"/>
    <x:hyperlink xmlns:r="http://schemas.openxmlformats.org/officeDocument/2006/relationships" ref="V256" r:id="R0da1870bdcef4202"/>
    <x:hyperlink xmlns:r="http://schemas.openxmlformats.org/officeDocument/2006/relationships" ref="V257" r:id="Rface54315b734d27"/>
    <x:hyperlink xmlns:r="http://schemas.openxmlformats.org/officeDocument/2006/relationships" ref="V258" r:id="R03ce3475051f4b51"/>
    <x:hyperlink xmlns:r="http://schemas.openxmlformats.org/officeDocument/2006/relationships" ref="V259" r:id="Rfddd381739204537"/>
    <x:hyperlink xmlns:r="http://schemas.openxmlformats.org/officeDocument/2006/relationships" ref="V260" r:id="Rba2baeb951ce49e7"/>
    <x:hyperlink xmlns:r="http://schemas.openxmlformats.org/officeDocument/2006/relationships" ref="V261" r:id="R25a68791ac3b4d0f"/>
    <x:hyperlink xmlns:r="http://schemas.openxmlformats.org/officeDocument/2006/relationships" ref="V262" r:id="R5e15f0b94b5742c9"/>
    <x:hyperlink xmlns:r="http://schemas.openxmlformats.org/officeDocument/2006/relationships" ref="V263" r:id="R641e6a6df9c14186"/>
    <x:hyperlink xmlns:r="http://schemas.openxmlformats.org/officeDocument/2006/relationships" ref="V264" r:id="Rd10d880595704872"/>
    <x:hyperlink xmlns:r="http://schemas.openxmlformats.org/officeDocument/2006/relationships" ref="V265" r:id="R879a62a4a07242e1"/>
    <x:hyperlink xmlns:r="http://schemas.openxmlformats.org/officeDocument/2006/relationships" ref="V266" r:id="R4d5e67ae5d814cdc"/>
    <x:hyperlink xmlns:r="http://schemas.openxmlformats.org/officeDocument/2006/relationships" ref="V267" r:id="Ra2a502b907a54fa5"/>
    <x:hyperlink xmlns:r="http://schemas.openxmlformats.org/officeDocument/2006/relationships" ref="V268" r:id="R641378b3d8f9437f"/>
    <x:hyperlink xmlns:r="http://schemas.openxmlformats.org/officeDocument/2006/relationships" ref="V269" r:id="R7911f0d5dcc34ffd"/>
    <x:hyperlink xmlns:r="http://schemas.openxmlformats.org/officeDocument/2006/relationships" ref="V270" r:id="Rdc5dee268a4e48c6"/>
    <x:hyperlink xmlns:r="http://schemas.openxmlformats.org/officeDocument/2006/relationships" ref="V271" r:id="R83b85a2e16394420"/>
    <x:hyperlink xmlns:r="http://schemas.openxmlformats.org/officeDocument/2006/relationships" ref="V272" r:id="R5a22a89c54e24693"/>
    <x:hyperlink xmlns:r="http://schemas.openxmlformats.org/officeDocument/2006/relationships" ref="V273" r:id="Rd192e1d5cb734f72"/>
    <x:hyperlink xmlns:r="http://schemas.openxmlformats.org/officeDocument/2006/relationships" ref="V274" r:id="Rd187612e79c14a02"/>
    <x:hyperlink xmlns:r="http://schemas.openxmlformats.org/officeDocument/2006/relationships" ref="V275" r:id="R86031fab1212411d"/>
    <x:hyperlink xmlns:r="http://schemas.openxmlformats.org/officeDocument/2006/relationships" ref="V276" r:id="Rb6d54a70c032419e"/>
    <x:hyperlink xmlns:r="http://schemas.openxmlformats.org/officeDocument/2006/relationships" ref="V277" r:id="Rcb54695af836400c"/>
    <x:hyperlink xmlns:r="http://schemas.openxmlformats.org/officeDocument/2006/relationships" ref="V278" r:id="Ra93c3e46a07641c9"/>
    <x:hyperlink xmlns:r="http://schemas.openxmlformats.org/officeDocument/2006/relationships" ref="V279" r:id="R8559a6cf1a2945e8"/>
    <x:hyperlink xmlns:r="http://schemas.openxmlformats.org/officeDocument/2006/relationships" ref="V280" r:id="R04ae343188fc41ea"/>
    <x:hyperlink xmlns:r="http://schemas.openxmlformats.org/officeDocument/2006/relationships" ref="V281" r:id="Re188ebbd90cf4424"/>
    <x:hyperlink xmlns:r="http://schemas.openxmlformats.org/officeDocument/2006/relationships" ref="V282" r:id="Rf81be416190e462b"/>
    <x:hyperlink xmlns:r="http://schemas.openxmlformats.org/officeDocument/2006/relationships" ref="V283" r:id="R8bd86fac8c664f1a"/>
    <x:hyperlink xmlns:r="http://schemas.openxmlformats.org/officeDocument/2006/relationships" ref="V284" r:id="R358e1c1c3bbf457f"/>
    <x:hyperlink xmlns:r="http://schemas.openxmlformats.org/officeDocument/2006/relationships" ref="V285" r:id="R202fb6c6321c48de"/>
    <x:hyperlink xmlns:r="http://schemas.openxmlformats.org/officeDocument/2006/relationships" ref="V286" r:id="R927a24b16d6b45e8"/>
    <x:hyperlink xmlns:r="http://schemas.openxmlformats.org/officeDocument/2006/relationships" ref="V287" r:id="R7225f6faad9b4322"/>
    <x:hyperlink xmlns:r="http://schemas.openxmlformats.org/officeDocument/2006/relationships" ref="V288" r:id="R985a64bedaf2471c"/>
    <x:hyperlink xmlns:r="http://schemas.openxmlformats.org/officeDocument/2006/relationships" ref="V289" r:id="R57f3992a5fd34cb6"/>
    <x:hyperlink xmlns:r="http://schemas.openxmlformats.org/officeDocument/2006/relationships" ref="V290" r:id="Rf415bb3062b74289"/>
    <x:hyperlink xmlns:r="http://schemas.openxmlformats.org/officeDocument/2006/relationships" ref="V291" r:id="R6331db3e19fb422c"/>
    <x:hyperlink xmlns:r="http://schemas.openxmlformats.org/officeDocument/2006/relationships" ref="V292" r:id="R0e0175cada48422b"/>
    <x:hyperlink xmlns:r="http://schemas.openxmlformats.org/officeDocument/2006/relationships" ref="V293" r:id="Ra65f95b8ea4a4a9d"/>
    <x:hyperlink xmlns:r="http://schemas.openxmlformats.org/officeDocument/2006/relationships" ref="V294" r:id="Rf8049bd4b4514439"/>
    <x:hyperlink xmlns:r="http://schemas.openxmlformats.org/officeDocument/2006/relationships" ref="V295" r:id="Rf51b59ced1f54ee9"/>
    <x:hyperlink xmlns:r="http://schemas.openxmlformats.org/officeDocument/2006/relationships" ref="V296" r:id="R50563ba2089c4ff5"/>
    <x:hyperlink xmlns:r="http://schemas.openxmlformats.org/officeDocument/2006/relationships" ref="V297" r:id="R39bf0fb1f5234aa7"/>
    <x:hyperlink xmlns:r="http://schemas.openxmlformats.org/officeDocument/2006/relationships" ref="V298" r:id="Ra6a5b2839bae423e"/>
    <x:hyperlink xmlns:r="http://schemas.openxmlformats.org/officeDocument/2006/relationships" ref="V299" r:id="R7b00f2ea265c4fe4"/>
    <x:hyperlink xmlns:r="http://schemas.openxmlformats.org/officeDocument/2006/relationships" ref="V300" r:id="R2cec0d5549584523"/>
    <x:hyperlink xmlns:r="http://schemas.openxmlformats.org/officeDocument/2006/relationships" ref="V301" r:id="Rb4917b86d9f44d03"/>
    <x:hyperlink xmlns:r="http://schemas.openxmlformats.org/officeDocument/2006/relationships" ref="V302" r:id="Rab63a3f951904350"/>
    <x:hyperlink xmlns:r="http://schemas.openxmlformats.org/officeDocument/2006/relationships" ref="V303" r:id="Rc1506ab0375e4bbb"/>
    <x:hyperlink xmlns:r="http://schemas.openxmlformats.org/officeDocument/2006/relationships" ref="V304" r:id="R21be1d4baf014225"/>
    <x:hyperlink xmlns:r="http://schemas.openxmlformats.org/officeDocument/2006/relationships" ref="V305" r:id="R7df6febae04d4e6b"/>
    <x:hyperlink xmlns:r="http://schemas.openxmlformats.org/officeDocument/2006/relationships" ref="V306" r:id="R9eb0fa06f42a4010"/>
    <x:hyperlink xmlns:r="http://schemas.openxmlformats.org/officeDocument/2006/relationships" ref="V307" r:id="R4d7b2bd77cf94a45"/>
    <x:hyperlink xmlns:r="http://schemas.openxmlformats.org/officeDocument/2006/relationships" ref="V308" r:id="R50a857d6e0ae43de"/>
    <x:hyperlink xmlns:r="http://schemas.openxmlformats.org/officeDocument/2006/relationships" ref="V309" r:id="R1423f5665ff84d70"/>
    <x:hyperlink xmlns:r="http://schemas.openxmlformats.org/officeDocument/2006/relationships" ref="V310" r:id="R79f8ab2897d54079"/>
    <x:hyperlink xmlns:r="http://schemas.openxmlformats.org/officeDocument/2006/relationships" ref="V311" r:id="R2b2c2d87698143bd"/>
    <x:hyperlink xmlns:r="http://schemas.openxmlformats.org/officeDocument/2006/relationships" ref="V312" r:id="Rf93c2ebdcd63423b"/>
    <x:hyperlink xmlns:r="http://schemas.openxmlformats.org/officeDocument/2006/relationships" ref="V313" r:id="R1870ed3e5805474d"/>
    <x:hyperlink xmlns:r="http://schemas.openxmlformats.org/officeDocument/2006/relationships" ref="V314" r:id="Racf1aa0507d04d2e"/>
    <x:hyperlink xmlns:r="http://schemas.openxmlformats.org/officeDocument/2006/relationships" ref="V315" r:id="Rafd0e5903f5641f2"/>
    <x:hyperlink xmlns:r="http://schemas.openxmlformats.org/officeDocument/2006/relationships" ref="V316" r:id="Rd2520e0df685451a"/>
    <x:hyperlink xmlns:r="http://schemas.openxmlformats.org/officeDocument/2006/relationships" ref="V317" r:id="Rfb35b5cb33424eee"/>
    <x:hyperlink xmlns:r="http://schemas.openxmlformats.org/officeDocument/2006/relationships" ref="V318" r:id="R51171c07692b4345"/>
    <x:hyperlink xmlns:r="http://schemas.openxmlformats.org/officeDocument/2006/relationships" ref="V319" r:id="R5484aad04ee84b95"/>
    <x:hyperlink xmlns:r="http://schemas.openxmlformats.org/officeDocument/2006/relationships" ref="V320" r:id="R7d17f35756804d1d"/>
    <x:hyperlink xmlns:r="http://schemas.openxmlformats.org/officeDocument/2006/relationships" ref="V321" r:id="Rf1af2ffe6fc84b8f"/>
    <x:hyperlink xmlns:r="http://schemas.openxmlformats.org/officeDocument/2006/relationships" ref="V322" r:id="R768932af67a8400e"/>
    <x:hyperlink xmlns:r="http://schemas.openxmlformats.org/officeDocument/2006/relationships" ref="V323" r:id="R842940b0f2524e47"/>
    <x:hyperlink xmlns:r="http://schemas.openxmlformats.org/officeDocument/2006/relationships" ref="V324" r:id="Rf7c60636e5be4371"/>
    <x:hyperlink xmlns:r="http://schemas.openxmlformats.org/officeDocument/2006/relationships" ref="V325" r:id="Rf0c060a7439b45fd"/>
    <x:hyperlink xmlns:r="http://schemas.openxmlformats.org/officeDocument/2006/relationships" ref="V326" r:id="Re2e7f7a2cfe944b3"/>
    <x:hyperlink xmlns:r="http://schemas.openxmlformats.org/officeDocument/2006/relationships" ref="V327" r:id="Rbdc80b1c73de438a"/>
    <x:hyperlink xmlns:r="http://schemas.openxmlformats.org/officeDocument/2006/relationships" ref="V328" r:id="R3fca4a09c7344f66"/>
    <x:hyperlink xmlns:r="http://schemas.openxmlformats.org/officeDocument/2006/relationships" ref="V329" r:id="R29f7073a0d9444ed"/>
    <x:hyperlink xmlns:r="http://schemas.openxmlformats.org/officeDocument/2006/relationships" ref="V330" r:id="R83be43a121374ffd"/>
    <x:hyperlink xmlns:r="http://schemas.openxmlformats.org/officeDocument/2006/relationships" ref="V331" r:id="R1f0c4c1e1610434d"/>
    <x:hyperlink xmlns:r="http://schemas.openxmlformats.org/officeDocument/2006/relationships" ref="V332" r:id="R8a53ff4cdfc84377"/>
    <x:hyperlink xmlns:r="http://schemas.openxmlformats.org/officeDocument/2006/relationships" ref="V333" r:id="R1107a495c7544c5a"/>
    <x:hyperlink xmlns:r="http://schemas.openxmlformats.org/officeDocument/2006/relationships" ref="V334" r:id="Rfbf6924a8e52415f"/>
    <x:hyperlink xmlns:r="http://schemas.openxmlformats.org/officeDocument/2006/relationships" ref="V335" r:id="R133d5b1c852142c8"/>
    <x:hyperlink xmlns:r="http://schemas.openxmlformats.org/officeDocument/2006/relationships" ref="V336" r:id="Rd02649d44c86412d"/>
    <x:hyperlink xmlns:r="http://schemas.openxmlformats.org/officeDocument/2006/relationships" ref="V337" r:id="R4f942143f5b54639"/>
    <x:hyperlink xmlns:r="http://schemas.openxmlformats.org/officeDocument/2006/relationships" ref="V338" r:id="R216c7fc207d44291"/>
    <x:hyperlink xmlns:r="http://schemas.openxmlformats.org/officeDocument/2006/relationships" ref="V339" r:id="R470251fc6ec94c84"/>
    <x:hyperlink xmlns:r="http://schemas.openxmlformats.org/officeDocument/2006/relationships" ref="V340" r:id="Rf8e0a467b93e4270"/>
    <x:hyperlink xmlns:r="http://schemas.openxmlformats.org/officeDocument/2006/relationships" ref="V341" r:id="R750616aec25b4a68"/>
    <x:hyperlink xmlns:r="http://schemas.openxmlformats.org/officeDocument/2006/relationships" ref="V342" r:id="R9072b0e3130b44a0"/>
    <x:hyperlink xmlns:r="http://schemas.openxmlformats.org/officeDocument/2006/relationships" ref="V343" r:id="Re40da8cf2d2543a1"/>
    <x:hyperlink xmlns:r="http://schemas.openxmlformats.org/officeDocument/2006/relationships" ref="V344" r:id="R5750424534c74325"/>
    <x:hyperlink xmlns:r="http://schemas.openxmlformats.org/officeDocument/2006/relationships" ref="V345" r:id="R6dbe4e5de2ff4c1b"/>
    <x:hyperlink xmlns:r="http://schemas.openxmlformats.org/officeDocument/2006/relationships" ref="V346" r:id="R623f059296ff455c"/>
    <x:hyperlink xmlns:r="http://schemas.openxmlformats.org/officeDocument/2006/relationships" ref="V347" r:id="R24a389854d574070"/>
    <x:hyperlink xmlns:r="http://schemas.openxmlformats.org/officeDocument/2006/relationships" ref="V348" r:id="Rb37a7107ce5941d3"/>
    <x:hyperlink xmlns:r="http://schemas.openxmlformats.org/officeDocument/2006/relationships" ref="V349" r:id="R536671b485d84d24"/>
    <x:hyperlink xmlns:r="http://schemas.openxmlformats.org/officeDocument/2006/relationships" ref="V350" r:id="R4b0a8850ece6470a"/>
    <x:hyperlink xmlns:r="http://schemas.openxmlformats.org/officeDocument/2006/relationships" ref="V351" r:id="R586a95589bf64147"/>
    <x:hyperlink xmlns:r="http://schemas.openxmlformats.org/officeDocument/2006/relationships" ref="V352" r:id="R07a566b39f0d47be"/>
    <x:hyperlink xmlns:r="http://schemas.openxmlformats.org/officeDocument/2006/relationships" ref="V353" r:id="Rdf258302bc064426"/>
    <x:hyperlink xmlns:r="http://schemas.openxmlformats.org/officeDocument/2006/relationships" ref="V354" r:id="R0d27d547b8584576"/>
    <x:hyperlink xmlns:r="http://schemas.openxmlformats.org/officeDocument/2006/relationships" ref="V355" r:id="Rc5abda6e3e1d438f"/>
    <x:hyperlink xmlns:r="http://schemas.openxmlformats.org/officeDocument/2006/relationships" ref="V356" r:id="Re0da3007e2c145fd"/>
    <x:hyperlink xmlns:r="http://schemas.openxmlformats.org/officeDocument/2006/relationships" ref="V357" r:id="Rb322cefd9f6342f3"/>
    <x:hyperlink xmlns:r="http://schemas.openxmlformats.org/officeDocument/2006/relationships" ref="V358" r:id="R09c847aecf7748fc"/>
    <x:hyperlink xmlns:r="http://schemas.openxmlformats.org/officeDocument/2006/relationships" ref="V359" r:id="Ra54ce249362f4673"/>
    <x:hyperlink xmlns:r="http://schemas.openxmlformats.org/officeDocument/2006/relationships" ref="V360" r:id="R37a98640a9654d62"/>
    <x:hyperlink xmlns:r="http://schemas.openxmlformats.org/officeDocument/2006/relationships" ref="V361" r:id="R5e8eb4c88b384bf0"/>
    <x:hyperlink xmlns:r="http://schemas.openxmlformats.org/officeDocument/2006/relationships" ref="V362" r:id="R0b0c9239bb5b44f4"/>
    <x:hyperlink xmlns:r="http://schemas.openxmlformats.org/officeDocument/2006/relationships" ref="V363" r:id="Rae3707dc3a39416d"/>
    <x:hyperlink xmlns:r="http://schemas.openxmlformats.org/officeDocument/2006/relationships" ref="V364" r:id="R55b79b2236924a08"/>
    <x:hyperlink xmlns:r="http://schemas.openxmlformats.org/officeDocument/2006/relationships" ref="V365" r:id="R9f367ec0164c43fd"/>
    <x:hyperlink xmlns:r="http://schemas.openxmlformats.org/officeDocument/2006/relationships" ref="V366" r:id="Rfc6dc226cbd14caa"/>
    <x:hyperlink xmlns:r="http://schemas.openxmlformats.org/officeDocument/2006/relationships" ref="V367" r:id="R8e999b790745498b"/>
    <x:hyperlink xmlns:r="http://schemas.openxmlformats.org/officeDocument/2006/relationships" ref="V368" r:id="R19ae2670d9bd4fb3"/>
    <x:hyperlink xmlns:r="http://schemas.openxmlformats.org/officeDocument/2006/relationships" ref="V369" r:id="R2171196225824781"/>
    <x:hyperlink xmlns:r="http://schemas.openxmlformats.org/officeDocument/2006/relationships" ref="V370" r:id="R1c7ac3257d174fee"/>
    <x:hyperlink xmlns:r="http://schemas.openxmlformats.org/officeDocument/2006/relationships" ref="V371" r:id="Ra30a007d066f416b"/>
    <x:hyperlink xmlns:r="http://schemas.openxmlformats.org/officeDocument/2006/relationships" ref="V372" r:id="R81b808f6975947e8"/>
    <x:hyperlink xmlns:r="http://schemas.openxmlformats.org/officeDocument/2006/relationships" ref="V373" r:id="Rb8a1873de2b34729"/>
    <x:hyperlink xmlns:r="http://schemas.openxmlformats.org/officeDocument/2006/relationships" ref="V374" r:id="R203c45ec03904f62"/>
    <x:hyperlink xmlns:r="http://schemas.openxmlformats.org/officeDocument/2006/relationships" ref="V375" r:id="Rc7df799fc0a34287"/>
    <x:hyperlink xmlns:r="http://schemas.openxmlformats.org/officeDocument/2006/relationships" ref="V376" r:id="R474fc05a9d194446"/>
    <x:hyperlink xmlns:r="http://schemas.openxmlformats.org/officeDocument/2006/relationships" ref="V377" r:id="Rc1f5a135b2214810"/>
    <x:hyperlink xmlns:r="http://schemas.openxmlformats.org/officeDocument/2006/relationships" ref="V378" r:id="R06d5c21f61cd4b84"/>
    <x:hyperlink xmlns:r="http://schemas.openxmlformats.org/officeDocument/2006/relationships" ref="V379" r:id="Rbdc316ab4384498d"/>
    <x:hyperlink xmlns:r="http://schemas.openxmlformats.org/officeDocument/2006/relationships" ref="V380" r:id="R6f196206e7d74267"/>
    <x:hyperlink xmlns:r="http://schemas.openxmlformats.org/officeDocument/2006/relationships" ref="V381" r:id="Rbe6d656d92104d86"/>
    <x:hyperlink xmlns:r="http://schemas.openxmlformats.org/officeDocument/2006/relationships" ref="V382" r:id="R5c8f824de3f54af4"/>
    <x:hyperlink xmlns:r="http://schemas.openxmlformats.org/officeDocument/2006/relationships" ref="V383" r:id="R8b4acd6038884075"/>
    <x:hyperlink xmlns:r="http://schemas.openxmlformats.org/officeDocument/2006/relationships" ref="V384" r:id="Rcef145fdd8464d63"/>
    <x:hyperlink xmlns:r="http://schemas.openxmlformats.org/officeDocument/2006/relationships" ref="V385" r:id="R89714848162c4f3e"/>
    <x:hyperlink xmlns:r="http://schemas.openxmlformats.org/officeDocument/2006/relationships" ref="V386" r:id="R4c7c72ab92224e95"/>
    <x:hyperlink xmlns:r="http://schemas.openxmlformats.org/officeDocument/2006/relationships" ref="V387" r:id="Re7b4dd6f79d443f8"/>
    <x:hyperlink xmlns:r="http://schemas.openxmlformats.org/officeDocument/2006/relationships" ref="V388" r:id="Re9b9edc1a3874451"/>
    <x:hyperlink xmlns:r="http://schemas.openxmlformats.org/officeDocument/2006/relationships" ref="V389" r:id="R46850c7a781043e5"/>
    <x:hyperlink xmlns:r="http://schemas.openxmlformats.org/officeDocument/2006/relationships" ref="V390" r:id="R03e3edd948c44187"/>
    <x:hyperlink xmlns:r="http://schemas.openxmlformats.org/officeDocument/2006/relationships" ref="V391" r:id="R6a1362daccc443d0"/>
    <x:hyperlink xmlns:r="http://schemas.openxmlformats.org/officeDocument/2006/relationships" ref="V392" r:id="Rbf5fc33bc5424d78"/>
    <x:hyperlink xmlns:r="http://schemas.openxmlformats.org/officeDocument/2006/relationships" ref="V393" r:id="Re83fde319c394a96"/>
    <x:hyperlink xmlns:r="http://schemas.openxmlformats.org/officeDocument/2006/relationships" ref="V394" r:id="Redc51210a2944d0b"/>
    <x:hyperlink xmlns:r="http://schemas.openxmlformats.org/officeDocument/2006/relationships" ref="V395" r:id="R092a475a3cb1458c"/>
    <x:hyperlink xmlns:r="http://schemas.openxmlformats.org/officeDocument/2006/relationships" ref="V396" r:id="R435493c32a874956"/>
    <x:hyperlink xmlns:r="http://schemas.openxmlformats.org/officeDocument/2006/relationships" ref="V397" r:id="R0e1417dc3f7d4ca3"/>
    <x:hyperlink xmlns:r="http://schemas.openxmlformats.org/officeDocument/2006/relationships" ref="V398" r:id="R771dd368993d413b"/>
    <x:hyperlink xmlns:r="http://schemas.openxmlformats.org/officeDocument/2006/relationships" ref="V399" r:id="R1e3a0b55106d4023"/>
    <x:hyperlink xmlns:r="http://schemas.openxmlformats.org/officeDocument/2006/relationships" ref="V400" r:id="R4e851b99cf2e46cf"/>
    <x:hyperlink xmlns:r="http://schemas.openxmlformats.org/officeDocument/2006/relationships" ref="V401" r:id="Re73cef3a004a46f4"/>
    <x:hyperlink xmlns:r="http://schemas.openxmlformats.org/officeDocument/2006/relationships" ref="V402" r:id="R5ccb6e8d92df4f2f"/>
    <x:hyperlink xmlns:r="http://schemas.openxmlformats.org/officeDocument/2006/relationships" ref="V403" r:id="R099cedcc35864dc3"/>
    <x:hyperlink xmlns:r="http://schemas.openxmlformats.org/officeDocument/2006/relationships" ref="V404" r:id="R9a16a98ed16b42b7"/>
    <x:hyperlink xmlns:r="http://schemas.openxmlformats.org/officeDocument/2006/relationships" ref="V405" r:id="R2828b109b78742a2"/>
    <x:hyperlink xmlns:r="http://schemas.openxmlformats.org/officeDocument/2006/relationships" ref="V406" r:id="R5c4ac3e3bcd0460d"/>
    <x:hyperlink xmlns:r="http://schemas.openxmlformats.org/officeDocument/2006/relationships" ref="V407" r:id="R89f19222d6884aac"/>
    <x:hyperlink xmlns:r="http://schemas.openxmlformats.org/officeDocument/2006/relationships" ref="V408" r:id="Rfb2353478f324fc2"/>
    <x:hyperlink xmlns:r="http://schemas.openxmlformats.org/officeDocument/2006/relationships" ref="V409" r:id="Rb55ffe45a03a493f"/>
    <x:hyperlink xmlns:r="http://schemas.openxmlformats.org/officeDocument/2006/relationships" ref="V410" r:id="R7470050f5e794a00"/>
    <x:hyperlink xmlns:r="http://schemas.openxmlformats.org/officeDocument/2006/relationships" ref="V411" r:id="R445e05594e9741d1"/>
    <x:hyperlink xmlns:r="http://schemas.openxmlformats.org/officeDocument/2006/relationships" ref="V412" r:id="R1a0b56c37f11459b"/>
    <x:hyperlink xmlns:r="http://schemas.openxmlformats.org/officeDocument/2006/relationships" ref="V413" r:id="R5444c1338884453a"/>
    <x:hyperlink xmlns:r="http://schemas.openxmlformats.org/officeDocument/2006/relationships" ref="V414" r:id="R1697dacee3a74a4c"/>
    <x:hyperlink xmlns:r="http://schemas.openxmlformats.org/officeDocument/2006/relationships" ref="V415" r:id="Rf807a050cc564a13"/>
    <x:hyperlink xmlns:r="http://schemas.openxmlformats.org/officeDocument/2006/relationships" ref="V416" r:id="R466341a8547249b3"/>
    <x:hyperlink xmlns:r="http://schemas.openxmlformats.org/officeDocument/2006/relationships" ref="V417" r:id="R0503d4dfd7434baa"/>
    <x:hyperlink xmlns:r="http://schemas.openxmlformats.org/officeDocument/2006/relationships" ref="V418" r:id="Rf100a550afaf41ae"/>
    <x:hyperlink xmlns:r="http://schemas.openxmlformats.org/officeDocument/2006/relationships" ref="V419" r:id="R60d63e93aca04228"/>
    <x:hyperlink xmlns:r="http://schemas.openxmlformats.org/officeDocument/2006/relationships" ref="V420" r:id="R8596fdcd58a4426b"/>
    <x:hyperlink xmlns:r="http://schemas.openxmlformats.org/officeDocument/2006/relationships" ref="V421" r:id="R6935cf1df6c247c3"/>
    <x:hyperlink xmlns:r="http://schemas.openxmlformats.org/officeDocument/2006/relationships" ref="V422" r:id="R23c0e29170b14564"/>
    <x:hyperlink xmlns:r="http://schemas.openxmlformats.org/officeDocument/2006/relationships" ref="V423" r:id="R6c525a8e87a147bf"/>
    <x:hyperlink xmlns:r="http://schemas.openxmlformats.org/officeDocument/2006/relationships" ref="V424" r:id="R33a306ee51ce4fd1"/>
    <x:hyperlink xmlns:r="http://schemas.openxmlformats.org/officeDocument/2006/relationships" ref="V425" r:id="R58404394354d4bbe"/>
    <x:hyperlink xmlns:r="http://schemas.openxmlformats.org/officeDocument/2006/relationships" ref="V426" r:id="R2638fd7d99b24258"/>
    <x:hyperlink xmlns:r="http://schemas.openxmlformats.org/officeDocument/2006/relationships" ref="V427" r:id="Rbcf0427babd74934"/>
    <x:hyperlink xmlns:r="http://schemas.openxmlformats.org/officeDocument/2006/relationships" ref="V428" r:id="Re697f836ba5a4de9"/>
    <x:hyperlink xmlns:r="http://schemas.openxmlformats.org/officeDocument/2006/relationships" ref="V429" r:id="Rf4893c4a10c64f59"/>
    <x:hyperlink xmlns:r="http://schemas.openxmlformats.org/officeDocument/2006/relationships" ref="V430" r:id="R8007208544c34045"/>
    <x:hyperlink xmlns:r="http://schemas.openxmlformats.org/officeDocument/2006/relationships" ref="V431" r:id="Re6a6f17443454481"/>
    <x:hyperlink xmlns:r="http://schemas.openxmlformats.org/officeDocument/2006/relationships" ref="V432" r:id="Re9a90bab5d3443b7"/>
    <x:hyperlink xmlns:r="http://schemas.openxmlformats.org/officeDocument/2006/relationships" ref="V433" r:id="R46c9b7ebbb144297"/>
    <x:hyperlink xmlns:r="http://schemas.openxmlformats.org/officeDocument/2006/relationships" ref="V434" r:id="R6dfac3d380414b99"/>
    <x:hyperlink xmlns:r="http://schemas.openxmlformats.org/officeDocument/2006/relationships" ref="V435" r:id="R4966f3e7fafa4ad7"/>
    <x:hyperlink xmlns:r="http://schemas.openxmlformats.org/officeDocument/2006/relationships" ref="V436" r:id="Re9cedf21bf8a4834"/>
    <x:hyperlink xmlns:r="http://schemas.openxmlformats.org/officeDocument/2006/relationships" ref="V437" r:id="R972e8f7a00dc4eb4"/>
    <x:hyperlink xmlns:r="http://schemas.openxmlformats.org/officeDocument/2006/relationships" ref="V438" r:id="R611189aecb624a55"/>
    <x:hyperlink xmlns:r="http://schemas.openxmlformats.org/officeDocument/2006/relationships" ref="V439" r:id="R4eb94d8bb55f4121"/>
    <x:hyperlink xmlns:r="http://schemas.openxmlformats.org/officeDocument/2006/relationships" ref="V440" r:id="R5f8f40271c424467"/>
    <x:hyperlink xmlns:r="http://schemas.openxmlformats.org/officeDocument/2006/relationships" ref="V441" r:id="Ra2a4fb97280d41b2"/>
    <x:hyperlink xmlns:r="http://schemas.openxmlformats.org/officeDocument/2006/relationships" ref="V442" r:id="Ra175d1fa9d714541"/>
    <x:hyperlink xmlns:r="http://schemas.openxmlformats.org/officeDocument/2006/relationships" ref="V443" r:id="Reb1a2ba3703844f6"/>
    <x:hyperlink xmlns:r="http://schemas.openxmlformats.org/officeDocument/2006/relationships" ref="V444" r:id="Rd0d60a573bfc414b"/>
    <x:hyperlink xmlns:r="http://schemas.openxmlformats.org/officeDocument/2006/relationships" ref="V445" r:id="Re2f076016e654bd7"/>
    <x:hyperlink xmlns:r="http://schemas.openxmlformats.org/officeDocument/2006/relationships" ref="V446" r:id="Rbe323d5e91fa40c6"/>
    <x:hyperlink xmlns:r="http://schemas.openxmlformats.org/officeDocument/2006/relationships" ref="V447" r:id="R159c7c6fa837484c"/>
    <x:hyperlink xmlns:r="http://schemas.openxmlformats.org/officeDocument/2006/relationships" ref="V448" r:id="Ra548875b48ce43c9"/>
    <x:hyperlink xmlns:r="http://schemas.openxmlformats.org/officeDocument/2006/relationships" ref="V449" r:id="Re1939bef56fc44b9"/>
    <x:hyperlink xmlns:r="http://schemas.openxmlformats.org/officeDocument/2006/relationships" ref="V450" r:id="R603d2acf8e624bbe"/>
    <x:hyperlink xmlns:r="http://schemas.openxmlformats.org/officeDocument/2006/relationships" ref="V451" r:id="Rf22ab832e4c34f38"/>
    <x:hyperlink xmlns:r="http://schemas.openxmlformats.org/officeDocument/2006/relationships" ref="V452" r:id="R90f010b642734c13"/>
    <x:hyperlink xmlns:r="http://schemas.openxmlformats.org/officeDocument/2006/relationships" ref="V453" r:id="R28ff8c90b8ac471e"/>
    <x:hyperlink xmlns:r="http://schemas.openxmlformats.org/officeDocument/2006/relationships" ref="V454" r:id="Red48e2fb139545a7"/>
    <x:hyperlink xmlns:r="http://schemas.openxmlformats.org/officeDocument/2006/relationships" ref="V455" r:id="R563c86b2a7a14182"/>
    <x:hyperlink xmlns:r="http://schemas.openxmlformats.org/officeDocument/2006/relationships" ref="V456" r:id="Rfe85819a4d51427b"/>
    <x:hyperlink xmlns:r="http://schemas.openxmlformats.org/officeDocument/2006/relationships" ref="V457" r:id="R47aa47c90e8b413b"/>
    <x:hyperlink xmlns:r="http://schemas.openxmlformats.org/officeDocument/2006/relationships" ref="V458" r:id="R7745ba3d00f3454c"/>
    <x:hyperlink xmlns:r="http://schemas.openxmlformats.org/officeDocument/2006/relationships" ref="V459" r:id="R32ddc3ed489d4c86"/>
    <x:hyperlink xmlns:r="http://schemas.openxmlformats.org/officeDocument/2006/relationships" ref="V460" r:id="R6878897423504520"/>
    <x:hyperlink xmlns:r="http://schemas.openxmlformats.org/officeDocument/2006/relationships" ref="V461" r:id="R69f2559086434b35"/>
    <x:hyperlink xmlns:r="http://schemas.openxmlformats.org/officeDocument/2006/relationships" ref="V462" r:id="Rd3f23d2cfcbf4568"/>
    <x:hyperlink xmlns:r="http://schemas.openxmlformats.org/officeDocument/2006/relationships" ref="V463" r:id="R38d6fa9fbc2a4d30"/>
    <x:hyperlink xmlns:r="http://schemas.openxmlformats.org/officeDocument/2006/relationships" ref="V464" r:id="R0335413affd6484a"/>
    <x:hyperlink xmlns:r="http://schemas.openxmlformats.org/officeDocument/2006/relationships" ref="V465" r:id="Rfc38d411451c4453"/>
    <x:hyperlink xmlns:r="http://schemas.openxmlformats.org/officeDocument/2006/relationships" ref="V466" r:id="Rc47e2e6839b94644"/>
    <x:hyperlink xmlns:r="http://schemas.openxmlformats.org/officeDocument/2006/relationships" ref="V467" r:id="Rec850711f48e4cb7"/>
    <x:hyperlink xmlns:r="http://schemas.openxmlformats.org/officeDocument/2006/relationships" ref="V468" r:id="R1d932e518ba7432c"/>
    <x:hyperlink xmlns:r="http://schemas.openxmlformats.org/officeDocument/2006/relationships" ref="V469" r:id="R9f3754f1b91147c3"/>
    <x:hyperlink xmlns:r="http://schemas.openxmlformats.org/officeDocument/2006/relationships" ref="V470" r:id="R05d2b1226eeb48ee"/>
    <x:hyperlink xmlns:r="http://schemas.openxmlformats.org/officeDocument/2006/relationships" ref="V471" r:id="Rb6167c0a71b64280"/>
    <x:hyperlink xmlns:r="http://schemas.openxmlformats.org/officeDocument/2006/relationships" ref="V472" r:id="R3db410d688b443ec"/>
    <x:hyperlink xmlns:r="http://schemas.openxmlformats.org/officeDocument/2006/relationships" ref="V473" r:id="R8fcb2aa64ee643b9"/>
    <x:hyperlink xmlns:r="http://schemas.openxmlformats.org/officeDocument/2006/relationships" ref="V474" r:id="R0299bae290a84a7f"/>
    <x:hyperlink xmlns:r="http://schemas.openxmlformats.org/officeDocument/2006/relationships" ref="V475" r:id="Rb0f01835e4c14a99"/>
    <x:hyperlink xmlns:r="http://schemas.openxmlformats.org/officeDocument/2006/relationships" ref="V476" r:id="R0a0e60a334494399"/>
    <x:hyperlink xmlns:r="http://schemas.openxmlformats.org/officeDocument/2006/relationships" ref="V477" r:id="Re471d4ac34544ef1"/>
    <x:hyperlink xmlns:r="http://schemas.openxmlformats.org/officeDocument/2006/relationships" ref="V478" r:id="Rf75a0ac4b366496d"/>
    <x:hyperlink xmlns:r="http://schemas.openxmlformats.org/officeDocument/2006/relationships" ref="V479" r:id="R612d7859affe41c0"/>
    <x:hyperlink xmlns:r="http://schemas.openxmlformats.org/officeDocument/2006/relationships" ref="V480" r:id="Rcd1c789815a24b2b"/>
    <x:hyperlink xmlns:r="http://schemas.openxmlformats.org/officeDocument/2006/relationships" ref="V481" r:id="R170ebdb4e9d843f6"/>
    <x:hyperlink xmlns:r="http://schemas.openxmlformats.org/officeDocument/2006/relationships" ref="V482" r:id="Rd743d1c00c90463b"/>
    <x:hyperlink xmlns:r="http://schemas.openxmlformats.org/officeDocument/2006/relationships" ref="V483" r:id="Rb23e26a1f33040e6"/>
    <x:hyperlink xmlns:r="http://schemas.openxmlformats.org/officeDocument/2006/relationships" ref="V484" r:id="Rf126a163aa524ecf"/>
    <x:hyperlink xmlns:r="http://schemas.openxmlformats.org/officeDocument/2006/relationships" ref="V485" r:id="R6e5c2947b162413f"/>
    <x:hyperlink xmlns:r="http://schemas.openxmlformats.org/officeDocument/2006/relationships" ref="V486" r:id="R41175c99cb7a4a38"/>
    <x:hyperlink xmlns:r="http://schemas.openxmlformats.org/officeDocument/2006/relationships" ref="V487" r:id="Re98b39c8ed954255"/>
    <x:hyperlink xmlns:r="http://schemas.openxmlformats.org/officeDocument/2006/relationships" ref="V488" r:id="R0ce1454df0a443b7"/>
    <x:hyperlink xmlns:r="http://schemas.openxmlformats.org/officeDocument/2006/relationships" ref="V489" r:id="R698f63763e474795"/>
    <x:hyperlink xmlns:r="http://schemas.openxmlformats.org/officeDocument/2006/relationships" ref="V490" r:id="R47718bc451fe4562"/>
    <x:hyperlink xmlns:r="http://schemas.openxmlformats.org/officeDocument/2006/relationships" ref="V491" r:id="R5148038ed0164a9f"/>
    <x:hyperlink xmlns:r="http://schemas.openxmlformats.org/officeDocument/2006/relationships" ref="V492" r:id="R6918ce7c49a1423e"/>
    <x:hyperlink xmlns:r="http://schemas.openxmlformats.org/officeDocument/2006/relationships" ref="V493" r:id="R46c36c36cc07468e"/>
    <x:hyperlink xmlns:r="http://schemas.openxmlformats.org/officeDocument/2006/relationships" ref="V494" r:id="R80ba2081c79048a5"/>
    <x:hyperlink xmlns:r="http://schemas.openxmlformats.org/officeDocument/2006/relationships" ref="V495" r:id="R9d01c4f8214b4f2e"/>
    <x:hyperlink xmlns:r="http://schemas.openxmlformats.org/officeDocument/2006/relationships" ref="V496" r:id="R44a0785d62a44306"/>
    <x:hyperlink xmlns:r="http://schemas.openxmlformats.org/officeDocument/2006/relationships" ref="V497" r:id="Re56dc4164c0743aa"/>
    <x:hyperlink xmlns:r="http://schemas.openxmlformats.org/officeDocument/2006/relationships" ref="V498" r:id="Rd672c8d51a3b408d"/>
    <x:hyperlink xmlns:r="http://schemas.openxmlformats.org/officeDocument/2006/relationships" ref="V499" r:id="R64dab387803244c4"/>
    <x:hyperlink xmlns:r="http://schemas.openxmlformats.org/officeDocument/2006/relationships" ref="V500" r:id="Rf20e7e7f55634bf4"/>
    <x:hyperlink xmlns:r="http://schemas.openxmlformats.org/officeDocument/2006/relationships" ref="V501" r:id="R1e9dbd36b9ec45ae"/>
    <x:hyperlink xmlns:r="http://schemas.openxmlformats.org/officeDocument/2006/relationships" ref="V502" r:id="Rea7cc21f3e004b83"/>
    <x:hyperlink xmlns:r="http://schemas.openxmlformats.org/officeDocument/2006/relationships" ref="V503" r:id="R0e8bc994aa414bd3"/>
    <x:hyperlink xmlns:r="http://schemas.openxmlformats.org/officeDocument/2006/relationships" ref="V504" r:id="Ra80d388f27bc4abb"/>
    <x:hyperlink xmlns:r="http://schemas.openxmlformats.org/officeDocument/2006/relationships" ref="V505" r:id="R5492545b0dc44763"/>
    <x:hyperlink xmlns:r="http://schemas.openxmlformats.org/officeDocument/2006/relationships" ref="V506" r:id="Rc772a80db5a24bb4"/>
    <x:hyperlink xmlns:r="http://schemas.openxmlformats.org/officeDocument/2006/relationships" ref="V507" r:id="R01ec37cd0a144774"/>
    <x:hyperlink xmlns:r="http://schemas.openxmlformats.org/officeDocument/2006/relationships" ref="V508" r:id="R1b7386b896df434d"/>
    <x:hyperlink xmlns:r="http://schemas.openxmlformats.org/officeDocument/2006/relationships" ref="V509" r:id="R6ab4680f8b184675"/>
    <x:hyperlink xmlns:r="http://schemas.openxmlformats.org/officeDocument/2006/relationships" ref="V510" r:id="Rb50e676981764dc1"/>
    <x:hyperlink xmlns:r="http://schemas.openxmlformats.org/officeDocument/2006/relationships" ref="V511" r:id="R9876ce27291444f4"/>
    <x:hyperlink xmlns:r="http://schemas.openxmlformats.org/officeDocument/2006/relationships" ref="V512" r:id="R89dfc865574a4504"/>
    <x:hyperlink xmlns:r="http://schemas.openxmlformats.org/officeDocument/2006/relationships" ref="V513" r:id="R894b6436ddd44742"/>
    <x:hyperlink xmlns:r="http://schemas.openxmlformats.org/officeDocument/2006/relationships" ref="V514" r:id="Ra4df5d1ff2dc439b"/>
    <x:hyperlink xmlns:r="http://schemas.openxmlformats.org/officeDocument/2006/relationships" ref="V515" r:id="R7c2360e1e400463e"/>
    <x:hyperlink xmlns:r="http://schemas.openxmlformats.org/officeDocument/2006/relationships" ref="V516" r:id="R58a532fa24bb49b3"/>
    <x:hyperlink xmlns:r="http://schemas.openxmlformats.org/officeDocument/2006/relationships" ref="V517" r:id="R4a29bd918d484436"/>
    <x:hyperlink xmlns:r="http://schemas.openxmlformats.org/officeDocument/2006/relationships" ref="V518" r:id="R1e7fb77ec2bd46cd"/>
    <x:hyperlink xmlns:r="http://schemas.openxmlformats.org/officeDocument/2006/relationships" ref="V519" r:id="R828a030532334833"/>
    <x:hyperlink xmlns:r="http://schemas.openxmlformats.org/officeDocument/2006/relationships" ref="V520" r:id="R571de0e2f0c4428d"/>
    <x:hyperlink xmlns:r="http://schemas.openxmlformats.org/officeDocument/2006/relationships" ref="V521" r:id="Rfad90da993f2436a"/>
    <x:hyperlink xmlns:r="http://schemas.openxmlformats.org/officeDocument/2006/relationships" ref="V522" r:id="R2b6b5debfa1d4dd6"/>
    <x:hyperlink xmlns:r="http://schemas.openxmlformats.org/officeDocument/2006/relationships" ref="V523" r:id="R4aca51f4afc94ae0"/>
    <x:hyperlink xmlns:r="http://schemas.openxmlformats.org/officeDocument/2006/relationships" ref="V524" r:id="Rac1c98a1a4974207"/>
    <x:hyperlink xmlns:r="http://schemas.openxmlformats.org/officeDocument/2006/relationships" ref="V525" r:id="R4103e03ec20e4a47"/>
    <x:hyperlink xmlns:r="http://schemas.openxmlformats.org/officeDocument/2006/relationships" ref="V526" r:id="R7def28433bfb42c1"/>
    <x:hyperlink xmlns:r="http://schemas.openxmlformats.org/officeDocument/2006/relationships" ref="V527" r:id="Rb1d362d8bc9248f4"/>
    <x:hyperlink xmlns:r="http://schemas.openxmlformats.org/officeDocument/2006/relationships" ref="V528" r:id="Rfd834c44a47244e1"/>
    <x:hyperlink xmlns:r="http://schemas.openxmlformats.org/officeDocument/2006/relationships" ref="V529" r:id="Ra9e82a5b05b04dd2"/>
    <x:hyperlink xmlns:r="http://schemas.openxmlformats.org/officeDocument/2006/relationships" ref="V530" r:id="Rfbcae225b0774f7e"/>
    <x:hyperlink xmlns:r="http://schemas.openxmlformats.org/officeDocument/2006/relationships" ref="V531" r:id="R3b4b514e7f9b41e6"/>
    <x:hyperlink xmlns:r="http://schemas.openxmlformats.org/officeDocument/2006/relationships" ref="V532" r:id="Rd18c8525b2fc4920"/>
    <x:hyperlink xmlns:r="http://schemas.openxmlformats.org/officeDocument/2006/relationships" ref="V533" r:id="R30006add09264e36"/>
    <x:hyperlink xmlns:r="http://schemas.openxmlformats.org/officeDocument/2006/relationships" ref="V534" r:id="Rbf014e66c4704bda"/>
    <x:hyperlink xmlns:r="http://schemas.openxmlformats.org/officeDocument/2006/relationships" ref="V535" r:id="Rd01545c8ddeb440c"/>
    <x:hyperlink xmlns:r="http://schemas.openxmlformats.org/officeDocument/2006/relationships" ref="V536" r:id="Rab7d5d79fc034fbd"/>
    <x:hyperlink xmlns:r="http://schemas.openxmlformats.org/officeDocument/2006/relationships" ref="V537" r:id="R7ce15a3ec63842a0"/>
    <x:hyperlink xmlns:r="http://schemas.openxmlformats.org/officeDocument/2006/relationships" ref="V538" r:id="Rf9b8bd0dbbd545e6"/>
    <x:hyperlink xmlns:r="http://schemas.openxmlformats.org/officeDocument/2006/relationships" ref="V539" r:id="R7f42e1f4440b4ca2"/>
    <x:hyperlink xmlns:r="http://schemas.openxmlformats.org/officeDocument/2006/relationships" ref="V540" r:id="Ra6a566a1912c4d41"/>
    <x:hyperlink xmlns:r="http://schemas.openxmlformats.org/officeDocument/2006/relationships" ref="V541" r:id="R7d72452cf959417a"/>
    <x:hyperlink xmlns:r="http://schemas.openxmlformats.org/officeDocument/2006/relationships" ref="V542" r:id="R85f9ebea68fe4709"/>
    <x:hyperlink xmlns:r="http://schemas.openxmlformats.org/officeDocument/2006/relationships" ref="V543" r:id="Rc73bf83c340b4c34"/>
    <x:hyperlink xmlns:r="http://schemas.openxmlformats.org/officeDocument/2006/relationships" ref="V544" r:id="R5b00fece0bb04c91"/>
    <x:hyperlink xmlns:r="http://schemas.openxmlformats.org/officeDocument/2006/relationships" ref="V545" r:id="R48e0b71a126a4c3e"/>
    <x:hyperlink xmlns:r="http://schemas.openxmlformats.org/officeDocument/2006/relationships" ref="V546" r:id="Rfff5846d2b85486b"/>
    <x:hyperlink xmlns:r="http://schemas.openxmlformats.org/officeDocument/2006/relationships" ref="V547" r:id="R7d07ae9fb7114e7c"/>
    <x:hyperlink xmlns:r="http://schemas.openxmlformats.org/officeDocument/2006/relationships" ref="V548" r:id="Rc633c4062e2349d9"/>
    <x:hyperlink xmlns:r="http://schemas.openxmlformats.org/officeDocument/2006/relationships" ref="V549" r:id="R4b36ecacc0a341b5"/>
    <x:hyperlink xmlns:r="http://schemas.openxmlformats.org/officeDocument/2006/relationships" ref="V550" r:id="Rcbb6da6ae9a54b8e"/>
    <x:hyperlink xmlns:r="http://schemas.openxmlformats.org/officeDocument/2006/relationships" ref="V551" r:id="Re4365facda84407f"/>
    <x:hyperlink xmlns:r="http://schemas.openxmlformats.org/officeDocument/2006/relationships" ref="V552" r:id="R5998ba5aad994b78"/>
    <x:hyperlink xmlns:r="http://schemas.openxmlformats.org/officeDocument/2006/relationships" ref="V553" r:id="R02bb059d69674342"/>
    <x:hyperlink xmlns:r="http://schemas.openxmlformats.org/officeDocument/2006/relationships" ref="V554" r:id="R1d75be70920a4762"/>
    <x:hyperlink xmlns:r="http://schemas.openxmlformats.org/officeDocument/2006/relationships" ref="V555" r:id="R172a4ba599fa4e39"/>
    <x:hyperlink xmlns:r="http://schemas.openxmlformats.org/officeDocument/2006/relationships" ref="V556" r:id="R9e2660c0d105494d"/>
    <x:hyperlink xmlns:r="http://schemas.openxmlformats.org/officeDocument/2006/relationships" ref="V557" r:id="Rb4afa84d152a4956"/>
    <x:hyperlink xmlns:r="http://schemas.openxmlformats.org/officeDocument/2006/relationships" ref="V558" r:id="R969b05817cd74dc5"/>
    <x:hyperlink xmlns:r="http://schemas.openxmlformats.org/officeDocument/2006/relationships" ref="V559" r:id="Rcb1503e3a2bc45d8"/>
    <x:hyperlink xmlns:r="http://schemas.openxmlformats.org/officeDocument/2006/relationships" ref="V560" r:id="R7d351614235e4e9c"/>
    <x:hyperlink xmlns:r="http://schemas.openxmlformats.org/officeDocument/2006/relationships" ref="V561" r:id="R509a924303b7422c"/>
    <x:hyperlink xmlns:r="http://schemas.openxmlformats.org/officeDocument/2006/relationships" ref="V562" r:id="R5838dfa99b6a41ec"/>
    <x:hyperlink xmlns:r="http://schemas.openxmlformats.org/officeDocument/2006/relationships" ref="V563" r:id="Ref91adc2a6204e05"/>
    <x:hyperlink xmlns:r="http://schemas.openxmlformats.org/officeDocument/2006/relationships" ref="V564" r:id="R8ecc0dd6e5cf4cd3"/>
    <x:hyperlink xmlns:r="http://schemas.openxmlformats.org/officeDocument/2006/relationships" ref="V565" r:id="R4c85ac8d73e2407a"/>
    <x:hyperlink xmlns:r="http://schemas.openxmlformats.org/officeDocument/2006/relationships" ref="V566" r:id="Rd292e7a766ad4e18"/>
    <x:hyperlink xmlns:r="http://schemas.openxmlformats.org/officeDocument/2006/relationships" ref="V567" r:id="Rdae27f6e40aa4229"/>
    <x:hyperlink xmlns:r="http://schemas.openxmlformats.org/officeDocument/2006/relationships" ref="V568" r:id="R5d784ea1271740c6"/>
    <x:hyperlink xmlns:r="http://schemas.openxmlformats.org/officeDocument/2006/relationships" ref="V569" r:id="R928cf9ce75d64026"/>
    <x:hyperlink xmlns:r="http://schemas.openxmlformats.org/officeDocument/2006/relationships" ref="V570" r:id="Rb8ef4669510b4bfd"/>
    <x:hyperlink xmlns:r="http://schemas.openxmlformats.org/officeDocument/2006/relationships" ref="V571" r:id="R2c24bfa49b8f4a6c"/>
    <x:hyperlink xmlns:r="http://schemas.openxmlformats.org/officeDocument/2006/relationships" ref="V572" r:id="Rcf2f700a641b4749"/>
    <x:hyperlink xmlns:r="http://schemas.openxmlformats.org/officeDocument/2006/relationships" ref="V573" r:id="R096cb34cdce84b5e"/>
    <x:hyperlink xmlns:r="http://schemas.openxmlformats.org/officeDocument/2006/relationships" ref="V574" r:id="R2161eb8db78c44b9"/>
    <x:hyperlink xmlns:r="http://schemas.openxmlformats.org/officeDocument/2006/relationships" ref="V575" r:id="R9f0d452b918f43e1"/>
    <x:hyperlink xmlns:r="http://schemas.openxmlformats.org/officeDocument/2006/relationships" ref="V576" r:id="R23a6ee65536d4398"/>
    <x:hyperlink xmlns:r="http://schemas.openxmlformats.org/officeDocument/2006/relationships" ref="V577" r:id="Rbba8f53245b94fc4"/>
    <x:hyperlink xmlns:r="http://schemas.openxmlformats.org/officeDocument/2006/relationships" ref="V578" r:id="R26df3ee9a9e14039"/>
    <x:hyperlink xmlns:r="http://schemas.openxmlformats.org/officeDocument/2006/relationships" ref="V579" r:id="R8e5223326e2e47bf"/>
    <x:hyperlink xmlns:r="http://schemas.openxmlformats.org/officeDocument/2006/relationships" ref="V580" r:id="R406571d5e8de4006"/>
    <x:hyperlink xmlns:r="http://schemas.openxmlformats.org/officeDocument/2006/relationships" ref="V581" r:id="R20f9417451f74d14"/>
    <x:hyperlink xmlns:r="http://schemas.openxmlformats.org/officeDocument/2006/relationships" ref="V582" r:id="Rdcb90800314a4a12"/>
    <x:hyperlink xmlns:r="http://schemas.openxmlformats.org/officeDocument/2006/relationships" ref="V583" r:id="R4b63228846e84f2a"/>
    <x:hyperlink xmlns:r="http://schemas.openxmlformats.org/officeDocument/2006/relationships" ref="V584" r:id="R1b691670725044e3"/>
    <x:hyperlink xmlns:r="http://schemas.openxmlformats.org/officeDocument/2006/relationships" ref="V585" r:id="Rc394826e1e0d4316"/>
    <x:hyperlink xmlns:r="http://schemas.openxmlformats.org/officeDocument/2006/relationships" ref="V586" r:id="R8f93a95a9a2b4f36"/>
    <x:hyperlink xmlns:r="http://schemas.openxmlformats.org/officeDocument/2006/relationships" ref="V587" r:id="Rf435c8aa0a6c4933"/>
    <x:hyperlink xmlns:r="http://schemas.openxmlformats.org/officeDocument/2006/relationships" ref="V588" r:id="R8115b589209a4859"/>
    <x:hyperlink xmlns:r="http://schemas.openxmlformats.org/officeDocument/2006/relationships" ref="V589" r:id="R2f51bea59a1a40ae"/>
    <x:hyperlink xmlns:r="http://schemas.openxmlformats.org/officeDocument/2006/relationships" ref="V590" r:id="Re00780fc27f148b4"/>
    <x:hyperlink xmlns:r="http://schemas.openxmlformats.org/officeDocument/2006/relationships" ref="V591" r:id="R76581dc3fb2741f3"/>
    <x:hyperlink xmlns:r="http://schemas.openxmlformats.org/officeDocument/2006/relationships" ref="V592" r:id="R9850f212a4134e23"/>
    <x:hyperlink xmlns:r="http://schemas.openxmlformats.org/officeDocument/2006/relationships" ref="V593" r:id="R12b6a95c712d4806"/>
    <x:hyperlink xmlns:r="http://schemas.openxmlformats.org/officeDocument/2006/relationships" ref="V594" r:id="Rfd542543f6444f2f"/>
    <x:hyperlink xmlns:r="http://schemas.openxmlformats.org/officeDocument/2006/relationships" ref="V595" r:id="Rf9348d22902c498e"/>
    <x:hyperlink xmlns:r="http://schemas.openxmlformats.org/officeDocument/2006/relationships" ref="V596" r:id="R1f0af25b22c347b1"/>
    <x:hyperlink xmlns:r="http://schemas.openxmlformats.org/officeDocument/2006/relationships" ref="V597" r:id="R0b23662781544717"/>
    <x:hyperlink xmlns:r="http://schemas.openxmlformats.org/officeDocument/2006/relationships" ref="V598" r:id="R3e0951347c1f40ea"/>
    <x:hyperlink xmlns:r="http://schemas.openxmlformats.org/officeDocument/2006/relationships" ref="V599" r:id="R18d3bbcb8de94a21"/>
    <x:hyperlink xmlns:r="http://schemas.openxmlformats.org/officeDocument/2006/relationships" ref="V600" r:id="Rbb6fc35566ef4cd8"/>
    <x:hyperlink xmlns:r="http://schemas.openxmlformats.org/officeDocument/2006/relationships" ref="V601" r:id="Rd17bb725d5f84917"/>
    <x:hyperlink xmlns:r="http://schemas.openxmlformats.org/officeDocument/2006/relationships" ref="V602" r:id="R17d8a190d2614baf"/>
    <x:hyperlink xmlns:r="http://schemas.openxmlformats.org/officeDocument/2006/relationships" ref="V603" r:id="R4bfdb9c570b5452f"/>
    <x:hyperlink xmlns:r="http://schemas.openxmlformats.org/officeDocument/2006/relationships" ref="V604" r:id="R89d23f20e57a4d1e"/>
    <x:hyperlink xmlns:r="http://schemas.openxmlformats.org/officeDocument/2006/relationships" ref="V605" r:id="R7c3420ebeb4d4d8d"/>
    <x:hyperlink xmlns:r="http://schemas.openxmlformats.org/officeDocument/2006/relationships" ref="V606" r:id="Ra6e4ff41ed1f4c4b"/>
    <x:hyperlink xmlns:r="http://schemas.openxmlformats.org/officeDocument/2006/relationships" ref="V607" r:id="Rd6940b5fb4644a73"/>
    <x:hyperlink xmlns:r="http://schemas.openxmlformats.org/officeDocument/2006/relationships" ref="V608" r:id="R580f903242ae4ea9"/>
    <x:hyperlink xmlns:r="http://schemas.openxmlformats.org/officeDocument/2006/relationships" ref="V609" r:id="Ref1a23fa37364c9c"/>
    <x:hyperlink xmlns:r="http://schemas.openxmlformats.org/officeDocument/2006/relationships" ref="V610" r:id="Rac9351f2abb24020"/>
    <x:hyperlink xmlns:r="http://schemas.openxmlformats.org/officeDocument/2006/relationships" ref="V611" r:id="Ra9585f541ea74a51"/>
    <x:hyperlink xmlns:r="http://schemas.openxmlformats.org/officeDocument/2006/relationships" ref="V612" r:id="R4d44e4d290bd455a"/>
    <x:hyperlink xmlns:r="http://schemas.openxmlformats.org/officeDocument/2006/relationships" ref="V613" r:id="R04250f0ea3cb45e4"/>
    <x:hyperlink xmlns:r="http://schemas.openxmlformats.org/officeDocument/2006/relationships" ref="V614" r:id="Rec5f7dac481e40a5"/>
    <x:hyperlink xmlns:r="http://schemas.openxmlformats.org/officeDocument/2006/relationships" ref="V615" r:id="R6c344d0b33f8446d"/>
    <x:hyperlink xmlns:r="http://schemas.openxmlformats.org/officeDocument/2006/relationships" ref="V616" r:id="R26a6e99709434eeb"/>
    <x:hyperlink xmlns:r="http://schemas.openxmlformats.org/officeDocument/2006/relationships" ref="V617" r:id="R114ccbc1dff649a6"/>
    <x:hyperlink xmlns:r="http://schemas.openxmlformats.org/officeDocument/2006/relationships" ref="V618" r:id="R9a9118421f3d41ee"/>
    <x:hyperlink xmlns:r="http://schemas.openxmlformats.org/officeDocument/2006/relationships" ref="V619" r:id="Rf393ca3b62744ae5"/>
    <x:hyperlink xmlns:r="http://schemas.openxmlformats.org/officeDocument/2006/relationships" ref="V620" r:id="R64da1ccea14a4f50"/>
    <x:hyperlink xmlns:r="http://schemas.openxmlformats.org/officeDocument/2006/relationships" ref="V621" r:id="R0de64c1dc7434551"/>
    <x:hyperlink xmlns:r="http://schemas.openxmlformats.org/officeDocument/2006/relationships" ref="V622" r:id="R96a2f967bc7f4ae7"/>
    <x:hyperlink xmlns:r="http://schemas.openxmlformats.org/officeDocument/2006/relationships" ref="V623" r:id="R6e529739d1524389"/>
    <x:hyperlink xmlns:r="http://schemas.openxmlformats.org/officeDocument/2006/relationships" ref="V624" r:id="R0e0c885bb1cf452b"/>
    <x:hyperlink xmlns:r="http://schemas.openxmlformats.org/officeDocument/2006/relationships" ref="V625" r:id="R48475fd401de473e"/>
    <x:hyperlink xmlns:r="http://schemas.openxmlformats.org/officeDocument/2006/relationships" ref="V626" r:id="R927719a01c4a4936"/>
    <x:hyperlink xmlns:r="http://schemas.openxmlformats.org/officeDocument/2006/relationships" ref="V627" r:id="R936d3c6d8c6348d9"/>
    <x:hyperlink xmlns:r="http://schemas.openxmlformats.org/officeDocument/2006/relationships" ref="V628" r:id="R71a72457062d4602"/>
    <x:hyperlink xmlns:r="http://schemas.openxmlformats.org/officeDocument/2006/relationships" ref="V629" r:id="Ra883390d3b1c4bfa"/>
    <x:hyperlink xmlns:r="http://schemas.openxmlformats.org/officeDocument/2006/relationships" ref="V630" r:id="Rfcae17d75be64903"/>
    <x:hyperlink xmlns:r="http://schemas.openxmlformats.org/officeDocument/2006/relationships" ref="V631" r:id="Rec89a646c4af4ee7"/>
    <x:hyperlink xmlns:r="http://schemas.openxmlformats.org/officeDocument/2006/relationships" ref="V632" r:id="Ra9cfa49b8d644e2c"/>
    <x:hyperlink xmlns:r="http://schemas.openxmlformats.org/officeDocument/2006/relationships" ref="V633" r:id="R82599773a0cb42a6"/>
    <x:hyperlink xmlns:r="http://schemas.openxmlformats.org/officeDocument/2006/relationships" ref="V634" r:id="R111e367e77894e7e"/>
    <x:hyperlink xmlns:r="http://schemas.openxmlformats.org/officeDocument/2006/relationships" ref="V635" r:id="Rce1ce17f44be4a24"/>
    <x:hyperlink xmlns:r="http://schemas.openxmlformats.org/officeDocument/2006/relationships" ref="V636" r:id="R247a470e986e4c47"/>
    <x:hyperlink xmlns:r="http://schemas.openxmlformats.org/officeDocument/2006/relationships" ref="V637" r:id="R90424ccd4d4248a7"/>
    <x:hyperlink xmlns:r="http://schemas.openxmlformats.org/officeDocument/2006/relationships" ref="V638" r:id="R4ace0b90d27747c1"/>
    <x:hyperlink xmlns:r="http://schemas.openxmlformats.org/officeDocument/2006/relationships" ref="V639" r:id="R793e4de40c054003"/>
    <x:hyperlink xmlns:r="http://schemas.openxmlformats.org/officeDocument/2006/relationships" ref="V640" r:id="R505e84ce2d6d44a0"/>
    <x:hyperlink xmlns:r="http://schemas.openxmlformats.org/officeDocument/2006/relationships" ref="V641" r:id="Rc326c3e73f63432e"/>
    <x:hyperlink xmlns:r="http://schemas.openxmlformats.org/officeDocument/2006/relationships" ref="V642" r:id="R07c8c74708a5424b"/>
    <x:hyperlink xmlns:r="http://schemas.openxmlformats.org/officeDocument/2006/relationships" ref="V643" r:id="R79dbe67fb5d643c0"/>
    <x:hyperlink xmlns:r="http://schemas.openxmlformats.org/officeDocument/2006/relationships" ref="V644" r:id="R8024c9fb511745b9"/>
    <x:hyperlink xmlns:r="http://schemas.openxmlformats.org/officeDocument/2006/relationships" ref="V645" r:id="Radd2840cd2974166"/>
    <x:hyperlink xmlns:r="http://schemas.openxmlformats.org/officeDocument/2006/relationships" ref="V646" r:id="R6418f2b21f3d455d"/>
    <x:hyperlink xmlns:r="http://schemas.openxmlformats.org/officeDocument/2006/relationships" ref="V647" r:id="Rbb9d9149a8c144f2"/>
    <x:hyperlink xmlns:r="http://schemas.openxmlformats.org/officeDocument/2006/relationships" ref="V648" r:id="R2ee1d32b30ae495f"/>
    <x:hyperlink xmlns:r="http://schemas.openxmlformats.org/officeDocument/2006/relationships" ref="V649" r:id="R58508d3bffc74166"/>
    <x:hyperlink xmlns:r="http://schemas.openxmlformats.org/officeDocument/2006/relationships" ref="V650" r:id="Rc62b418fcb4a407f"/>
    <x:hyperlink xmlns:r="http://schemas.openxmlformats.org/officeDocument/2006/relationships" ref="V651" r:id="Rd29da0976b31431e"/>
    <x:hyperlink xmlns:r="http://schemas.openxmlformats.org/officeDocument/2006/relationships" ref="V652" r:id="R16aef7ce7c8c4932"/>
    <x:hyperlink xmlns:r="http://schemas.openxmlformats.org/officeDocument/2006/relationships" ref="V653" r:id="R40f431d8ed464372"/>
    <x:hyperlink xmlns:r="http://schemas.openxmlformats.org/officeDocument/2006/relationships" ref="V654" r:id="R906ee623030049e8"/>
    <x:hyperlink xmlns:r="http://schemas.openxmlformats.org/officeDocument/2006/relationships" ref="V655" r:id="Ra7d760e9ff794d63"/>
    <x:hyperlink xmlns:r="http://schemas.openxmlformats.org/officeDocument/2006/relationships" ref="V656" r:id="Rbf4615fb8e6b4aad"/>
    <x:hyperlink xmlns:r="http://schemas.openxmlformats.org/officeDocument/2006/relationships" ref="V657" r:id="R9ce00c0b042d45de"/>
    <x:hyperlink xmlns:r="http://schemas.openxmlformats.org/officeDocument/2006/relationships" ref="V658" r:id="R7c258263912740d6"/>
    <x:hyperlink xmlns:r="http://schemas.openxmlformats.org/officeDocument/2006/relationships" ref="V659" r:id="R9f025ef454224797"/>
    <x:hyperlink xmlns:r="http://schemas.openxmlformats.org/officeDocument/2006/relationships" ref="V660" r:id="R55411c95da04439e"/>
    <x:hyperlink xmlns:r="http://schemas.openxmlformats.org/officeDocument/2006/relationships" ref="V661" r:id="R77ea4f243afc4bc3"/>
    <x:hyperlink xmlns:r="http://schemas.openxmlformats.org/officeDocument/2006/relationships" ref="V662" r:id="Rc003f54f2fb64d5d"/>
    <x:hyperlink xmlns:r="http://schemas.openxmlformats.org/officeDocument/2006/relationships" ref="V663" r:id="R1f2918ec27af414a"/>
    <x:hyperlink xmlns:r="http://schemas.openxmlformats.org/officeDocument/2006/relationships" ref="V664" r:id="R05f89d0b52eb40b0"/>
    <x:hyperlink xmlns:r="http://schemas.openxmlformats.org/officeDocument/2006/relationships" ref="V665" r:id="R5401ee2212144e37"/>
    <x:hyperlink xmlns:r="http://schemas.openxmlformats.org/officeDocument/2006/relationships" ref="V666" r:id="R1895b6f2387340ec"/>
    <x:hyperlink xmlns:r="http://schemas.openxmlformats.org/officeDocument/2006/relationships" ref="V667" r:id="R59a5cfc1d74545f5"/>
    <x:hyperlink xmlns:r="http://schemas.openxmlformats.org/officeDocument/2006/relationships" ref="V668" r:id="R459ac4d4f4d54dab"/>
    <x:hyperlink xmlns:r="http://schemas.openxmlformats.org/officeDocument/2006/relationships" ref="V669" r:id="Ra61dad5810354d90"/>
    <x:hyperlink xmlns:r="http://schemas.openxmlformats.org/officeDocument/2006/relationships" ref="V670" r:id="Rae581612368e4f95"/>
    <x:hyperlink xmlns:r="http://schemas.openxmlformats.org/officeDocument/2006/relationships" ref="V671" r:id="Re4fc9b8546484787"/>
    <x:hyperlink xmlns:r="http://schemas.openxmlformats.org/officeDocument/2006/relationships" ref="V672" r:id="R02ea179ace6045ec"/>
    <x:hyperlink xmlns:r="http://schemas.openxmlformats.org/officeDocument/2006/relationships" ref="V673" r:id="Ra5f13c70ac1249aa"/>
    <x:hyperlink xmlns:r="http://schemas.openxmlformats.org/officeDocument/2006/relationships" ref="V674" r:id="R759ba4a59ff3469d"/>
    <x:hyperlink xmlns:r="http://schemas.openxmlformats.org/officeDocument/2006/relationships" ref="V675" r:id="R08794812bf0e455f"/>
    <x:hyperlink xmlns:r="http://schemas.openxmlformats.org/officeDocument/2006/relationships" ref="V676" r:id="R05d61a38f84240d6"/>
    <x:hyperlink xmlns:r="http://schemas.openxmlformats.org/officeDocument/2006/relationships" ref="V677" r:id="R7540713f77f94ca1"/>
    <x:hyperlink xmlns:r="http://schemas.openxmlformats.org/officeDocument/2006/relationships" ref="V678" r:id="R98009089c7cf48c6"/>
    <x:hyperlink xmlns:r="http://schemas.openxmlformats.org/officeDocument/2006/relationships" ref="V679" r:id="Re67485680f924ab9"/>
    <x:hyperlink xmlns:r="http://schemas.openxmlformats.org/officeDocument/2006/relationships" ref="V680" r:id="Re9dbb7d09f074de3"/>
    <x:hyperlink xmlns:r="http://schemas.openxmlformats.org/officeDocument/2006/relationships" ref="V681" r:id="R0ed45e3ea0984bb1"/>
    <x:hyperlink xmlns:r="http://schemas.openxmlformats.org/officeDocument/2006/relationships" ref="V682" r:id="Rd49b6c11507d42d7"/>
    <x:hyperlink xmlns:r="http://schemas.openxmlformats.org/officeDocument/2006/relationships" ref="V683" r:id="R7dc073f0b7fe4f88"/>
    <x:hyperlink xmlns:r="http://schemas.openxmlformats.org/officeDocument/2006/relationships" ref="V684" r:id="R153473340599495a"/>
    <x:hyperlink xmlns:r="http://schemas.openxmlformats.org/officeDocument/2006/relationships" ref="V685" r:id="Rb06f2c74d96f4002"/>
    <x:hyperlink xmlns:r="http://schemas.openxmlformats.org/officeDocument/2006/relationships" ref="V686" r:id="Rcab800a74d714d06"/>
    <x:hyperlink xmlns:r="http://schemas.openxmlformats.org/officeDocument/2006/relationships" ref="V687" r:id="R2829197d2d134f66"/>
    <x:hyperlink xmlns:r="http://schemas.openxmlformats.org/officeDocument/2006/relationships" ref="V688" r:id="R8153dcdfb6b54f8b"/>
    <x:hyperlink xmlns:r="http://schemas.openxmlformats.org/officeDocument/2006/relationships" ref="V689" r:id="Ra2c53d7bdcdb4f51"/>
    <x:hyperlink xmlns:r="http://schemas.openxmlformats.org/officeDocument/2006/relationships" ref="V690" r:id="Recfda9c387ce4536"/>
    <x:hyperlink xmlns:r="http://schemas.openxmlformats.org/officeDocument/2006/relationships" ref="V691" r:id="Ra9ee3f0f874b437b"/>
    <x:hyperlink xmlns:r="http://schemas.openxmlformats.org/officeDocument/2006/relationships" ref="V692" r:id="R59ad1bf677244817"/>
    <x:hyperlink xmlns:r="http://schemas.openxmlformats.org/officeDocument/2006/relationships" ref="V693" r:id="R20872113e1e548f2"/>
    <x:hyperlink xmlns:r="http://schemas.openxmlformats.org/officeDocument/2006/relationships" ref="V694" r:id="R1d8ded74d9f84f04"/>
    <x:hyperlink xmlns:r="http://schemas.openxmlformats.org/officeDocument/2006/relationships" ref="V695" r:id="Rc574bfa6410f4f5b"/>
    <x:hyperlink xmlns:r="http://schemas.openxmlformats.org/officeDocument/2006/relationships" ref="V696" r:id="Rb6332b3f18ce4acf"/>
    <x:hyperlink xmlns:r="http://schemas.openxmlformats.org/officeDocument/2006/relationships" ref="V697" r:id="R8daec703b3974d6f"/>
    <x:hyperlink xmlns:r="http://schemas.openxmlformats.org/officeDocument/2006/relationships" ref="V698" r:id="R647e906aae214168"/>
    <x:hyperlink xmlns:r="http://schemas.openxmlformats.org/officeDocument/2006/relationships" ref="V699" r:id="Rcea7ffb51d2d4a0f"/>
    <x:hyperlink xmlns:r="http://schemas.openxmlformats.org/officeDocument/2006/relationships" ref="V700" r:id="Reac80e440cdb4881"/>
    <x:hyperlink xmlns:r="http://schemas.openxmlformats.org/officeDocument/2006/relationships" ref="V701" r:id="R047656bd8117406d"/>
    <x:hyperlink xmlns:r="http://schemas.openxmlformats.org/officeDocument/2006/relationships" ref="V702" r:id="R13e3c66be70d4d4d"/>
    <x:hyperlink xmlns:r="http://schemas.openxmlformats.org/officeDocument/2006/relationships" ref="V703" r:id="R315e348eb15c4445"/>
    <x:hyperlink xmlns:r="http://schemas.openxmlformats.org/officeDocument/2006/relationships" ref="V704" r:id="Raf0b590be1aa42b3"/>
    <x:hyperlink xmlns:r="http://schemas.openxmlformats.org/officeDocument/2006/relationships" ref="V705" r:id="R83dab9ba85414635"/>
    <x:hyperlink xmlns:r="http://schemas.openxmlformats.org/officeDocument/2006/relationships" ref="V706" r:id="R1f4d9e36d25242ba"/>
    <x:hyperlink xmlns:r="http://schemas.openxmlformats.org/officeDocument/2006/relationships" ref="V707" r:id="Rea0870990ec74709"/>
    <x:hyperlink xmlns:r="http://schemas.openxmlformats.org/officeDocument/2006/relationships" ref="V708" r:id="Rf6dc7375ed6b486a"/>
    <x:hyperlink xmlns:r="http://schemas.openxmlformats.org/officeDocument/2006/relationships" ref="V709" r:id="R55f42aa4005e454d"/>
    <x:hyperlink xmlns:r="http://schemas.openxmlformats.org/officeDocument/2006/relationships" ref="V710" r:id="R54d85a2007e24cc9"/>
    <x:hyperlink xmlns:r="http://schemas.openxmlformats.org/officeDocument/2006/relationships" ref="V711" r:id="R8b74163ae0674a70"/>
    <x:hyperlink xmlns:r="http://schemas.openxmlformats.org/officeDocument/2006/relationships" ref="V712" r:id="R234b148ef5bf4bf7"/>
    <x:hyperlink xmlns:r="http://schemas.openxmlformats.org/officeDocument/2006/relationships" ref="V713" r:id="R02763a4b64684900"/>
    <x:hyperlink xmlns:r="http://schemas.openxmlformats.org/officeDocument/2006/relationships" ref="V714" r:id="R59d9ee56d6e6407b"/>
    <x:hyperlink xmlns:r="http://schemas.openxmlformats.org/officeDocument/2006/relationships" ref="V715" r:id="Reaae63fcb00748f0"/>
    <x:hyperlink xmlns:r="http://schemas.openxmlformats.org/officeDocument/2006/relationships" ref="V716" r:id="R93d60cea011f425c"/>
    <x:hyperlink xmlns:r="http://schemas.openxmlformats.org/officeDocument/2006/relationships" ref="V717" r:id="R4ba01e9349b84624"/>
    <x:hyperlink xmlns:r="http://schemas.openxmlformats.org/officeDocument/2006/relationships" ref="V718" r:id="Rb4fff7ea0b4645d3"/>
    <x:hyperlink xmlns:r="http://schemas.openxmlformats.org/officeDocument/2006/relationships" ref="V719" r:id="R83a22c69f3d74898"/>
    <x:hyperlink xmlns:r="http://schemas.openxmlformats.org/officeDocument/2006/relationships" ref="V720" r:id="R77da21c5ce414ef7"/>
    <x:hyperlink xmlns:r="http://schemas.openxmlformats.org/officeDocument/2006/relationships" ref="V721" r:id="R7d282b7c2cc94dce"/>
    <x:hyperlink xmlns:r="http://schemas.openxmlformats.org/officeDocument/2006/relationships" ref="V722" r:id="Rc5a70fb23b8e47e3"/>
    <x:hyperlink xmlns:r="http://schemas.openxmlformats.org/officeDocument/2006/relationships" ref="V723" r:id="R2a99c5601ad84830"/>
    <x:hyperlink xmlns:r="http://schemas.openxmlformats.org/officeDocument/2006/relationships" ref="V724" r:id="Rf30e132efbbe46e1"/>
    <x:hyperlink xmlns:r="http://schemas.openxmlformats.org/officeDocument/2006/relationships" ref="V725" r:id="Rc8cc26a386ca42ff"/>
    <x:hyperlink xmlns:r="http://schemas.openxmlformats.org/officeDocument/2006/relationships" ref="V726" r:id="R9cd2e9219dc7459f"/>
    <x:hyperlink xmlns:r="http://schemas.openxmlformats.org/officeDocument/2006/relationships" ref="V727" r:id="R2fcff2a06bd84006"/>
    <x:hyperlink xmlns:r="http://schemas.openxmlformats.org/officeDocument/2006/relationships" ref="V728" r:id="R72223a10bd5948b4"/>
    <x:hyperlink xmlns:r="http://schemas.openxmlformats.org/officeDocument/2006/relationships" ref="V729" r:id="Rca9544233bff44b4"/>
    <x:hyperlink xmlns:r="http://schemas.openxmlformats.org/officeDocument/2006/relationships" ref="V730" r:id="R830b5721fa2d4dc0"/>
    <x:hyperlink xmlns:r="http://schemas.openxmlformats.org/officeDocument/2006/relationships" ref="V731" r:id="Rdbe0c7fac03e48a7"/>
    <x:hyperlink xmlns:r="http://schemas.openxmlformats.org/officeDocument/2006/relationships" ref="V732" r:id="Rffc4398e512642e4"/>
    <x:hyperlink xmlns:r="http://schemas.openxmlformats.org/officeDocument/2006/relationships" ref="V733" r:id="R54175560e59948e5"/>
    <x:hyperlink xmlns:r="http://schemas.openxmlformats.org/officeDocument/2006/relationships" ref="V734" r:id="Rc3add5187ee1417d"/>
    <x:hyperlink xmlns:r="http://schemas.openxmlformats.org/officeDocument/2006/relationships" ref="V735" r:id="R86ad859a21ab4f32"/>
    <x:hyperlink xmlns:r="http://schemas.openxmlformats.org/officeDocument/2006/relationships" ref="V736" r:id="R1da830dc493e4f58"/>
    <x:hyperlink xmlns:r="http://schemas.openxmlformats.org/officeDocument/2006/relationships" ref="V737" r:id="R14ad73eac8344589"/>
    <x:hyperlink xmlns:r="http://schemas.openxmlformats.org/officeDocument/2006/relationships" ref="V738" r:id="R04987c3870d7473b"/>
    <x:hyperlink xmlns:r="http://schemas.openxmlformats.org/officeDocument/2006/relationships" ref="V739" r:id="R789881effc874753"/>
    <x:hyperlink xmlns:r="http://schemas.openxmlformats.org/officeDocument/2006/relationships" ref="V740" r:id="R1a708ec045104a93"/>
    <x:hyperlink xmlns:r="http://schemas.openxmlformats.org/officeDocument/2006/relationships" ref="V741" r:id="R5c3f72a92bad4baa"/>
    <x:hyperlink xmlns:r="http://schemas.openxmlformats.org/officeDocument/2006/relationships" ref="V742" r:id="Rc955627e0bff4ce2"/>
    <x:hyperlink xmlns:r="http://schemas.openxmlformats.org/officeDocument/2006/relationships" ref="V743" r:id="R225421a7570647c1"/>
    <x:hyperlink xmlns:r="http://schemas.openxmlformats.org/officeDocument/2006/relationships" ref="V744" r:id="R6f1f4b5d7dd040e9"/>
    <x:hyperlink xmlns:r="http://schemas.openxmlformats.org/officeDocument/2006/relationships" ref="V745" r:id="Ra13dba1d0a9d48c2"/>
    <x:hyperlink xmlns:r="http://schemas.openxmlformats.org/officeDocument/2006/relationships" ref="V746" r:id="R82ced6fa63ad4a82"/>
    <x:hyperlink xmlns:r="http://schemas.openxmlformats.org/officeDocument/2006/relationships" ref="V747" r:id="R74394a802ab04560"/>
    <x:hyperlink xmlns:r="http://schemas.openxmlformats.org/officeDocument/2006/relationships" ref="V748" r:id="R3267928c33094793"/>
    <x:hyperlink xmlns:r="http://schemas.openxmlformats.org/officeDocument/2006/relationships" ref="V749" r:id="R4379d672b290404b"/>
    <x:hyperlink xmlns:r="http://schemas.openxmlformats.org/officeDocument/2006/relationships" ref="V750" r:id="R8cbb54e835804957"/>
    <x:hyperlink xmlns:r="http://schemas.openxmlformats.org/officeDocument/2006/relationships" ref="V751" r:id="R362214bdabd24c7c"/>
    <x:hyperlink xmlns:r="http://schemas.openxmlformats.org/officeDocument/2006/relationships" ref="V752" r:id="Rfb0f640b77924c42"/>
    <x:hyperlink xmlns:r="http://schemas.openxmlformats.org/officeDocument/2006/relationships" ref="V753" r:id="R8a7b94e4b0b446ad"/>
    <x:hyperlink xmlns:r="http://schemas.openxmlformats.org/officeDocument/2006/relationships" ref="V754" r:id="Rc1e150de710f4f9d"/>
    <x:hyperlink xmlns:r="http://schemas.openxmlformats.org/officeDocument/2006/relationships" ref="V755" r:id="R4c990dd353724b3d"/>
    <x:hyperlink xmlns:r="http://schemas.openxmlformats.org/officeDocument/2006/relationships" ref="V756" r:id="R5328c6be283d40ed"/>
    <x:hyperlink xmlns:r="http://schemas.openxmlformats.org/officeDocument/2006/relationships" ref="V757" r:id="Recb799dfff73454e"/>
    <x:hyperlink xmlns:r="http://schemas.openxmlformats.org/officeDocument/2006/relationships" ref="V758" r:id="R1d4c0f74b4ee427f"/>
    <x:hyperlink xmlns:r="http://schemas.openxmlformats.org/officeDocument/2006/relationships" ref="V759" r:id="R20c6361b6d144df2"/>
    <x:hyperlink xmlns:r="http://schemas.openxmlformats.org/officeDocument/2006/relationships" ref="V760" r:id="Re7b0fe4f0b4542d8"/>
    <x:hyperlink xmlns:r="http://schemas.openxmlformats.org/officeDocument/2006/relationships" ref="V761" r:id="Ra0bac9165fd44d4e"/>
    <x:hyperlink xmlns:r="http://schemas.openxmlformats.org/officeDocument/2006/relationships" ref="V762" r:id="R135e7a95fbaf485d"/>
    <x:hyperlink xmlns:r="http://schemas.openxmlformats.org/officeDocument/2006/relationships" ref="V763" r:id="R5cca1bac6c614d09"/>
    <x:hyperlink xmlns:r="http://schemas.openxmlformats.org/officeDocument/2006/relationships" ref="V764" r:id="R92f46c6492bc4025"/>
    <x:hyperlink xmlns:r="http://schemas.openxmlformats.org/officeDocument/2006/relationships" ref="V765" r:id="R0cffd9cc5b854ad2"/>
    <x:hyperlink xmlns:r="http://schemas.openxmlformats.org/officeDocument/2006/relationships" ref="V766" r:id="Rba9cf1358d944d74"/>
    <x:hyperlink xmlns:r="http://schemas.openxmlformats.org/officeDocument/2006/relationships" ref="V767" r:id="R4724873156d54ef0"/>
    <x:hyperlink xmlns:r="http://schemas.openxmlformats.org/officeDocument/2006/relationships" ref="V768" r:id="R4e3b769f04834dec"/>
    <x:hyperlink xmlns:r="http://schemas.openxmlformats.org/officeDocument/2006/relationships" ref="V769" r:id="Rac40467ce8d34c9b"/>
    <x:hyperlink xmlns:r="http://schemas.openxmlformats.org/officeDocument/2006/relationships" ref="V770" r:id="Re7089bc658514590"/>
    <x:hyperlink xmlns:r="http://schemas.openxmlformats.org/officeDocument/2006/relationships" ref="V771" r:id="R081e6f0531304dc4"/>
    <x:hyperlink xmlns:r="http://schemas.openxmlformats.org/officeDocument/2006/relationships" ref="V772" r:id="Rfd0c4f73678f41e6"/>
    <x:hyperlink xmlns:r="http://schemas.openxmlformats.org/officeDocument/2006/relationships" ref="V773" r:id="R143d555fbdd74841"/>
    <x:hyperlink xmlns:r="http://schemas.openxmlformats.org/officeDocument/2006/relationships" ref="V774" r:id="Rc8c863f94b314d90"/>
    <x:hyperlink xmlns:r="http://schemas.openxmlformats.org/officeDocument/2006/relationships" ref="V775" r:id="R73e5a53e71b1491b"/>
    <x:hyperlink xmlns:r="http://schemas.openxmlformats.org/officeDocument/2006/relationships" ref="V776" r:id="R5419b81487094eb0"/>
    <x:hyperlink xmlns:r="http://schemas.openxmlformats.org/officeDocument/2006/relationships" ref="V777" r:id="Rd9fc528a2cc2474d"/>
    <x:hyperlink xmlns:r="http://schemas.openxmlformats.org/officeDocument/2006/relationships" ref="V778" r:id="R0a290411b67d4d32"/>
    <x:hyperlink xmlns:r="http://schemas.openxmlformats.org/officeDocument/2006/relationships" ref="V779" r:id="Rc6565e1b5fef4f49"/>
    <x:hyperlink xmlns:r="http://schemas.openxmlformats.org/officeDocument/2006/relationships" ref="V780" r:id="R0db8234f94704f15"/>
    <x:hyperlink xmlns:r="http://schemas.openxmlformats.org/officeDocument/2006/relationships" ref="V781" r:id="R63bf87a5be9340de"/>
    <x:hyperlink xmlns:r="http://schemas.openxmlformats.org/officeDocument/2006/relationships" ref="V782" r:id="Rcfde571bddb24a45"/>
    <x:hyperlink xmlns:r="http://schemas.openxmlformats.org/officeDocument/2006/relationships" ref="V783" r:id="R395b19a0fd9c432e"/>
    <x:hyperlink xmlns:r="http://schemas.openxmlformats.org/officeDocument/2006/relationships" ref="V784" r:id="Rbd04f24fb5df44c7"/>
    <x:hyperlink xmlns:r="http://schemas.openxmlformats.org/officeDocument/2006/relationships" ref="V785" r:id="R5b3e33527251411e"/>
    <x:hyperlink xmlns:r="http://schemas.openxmlformats.org/officeDocument/2006/relationships" ref="V786" r:id="R3bf843179c4243a1"/>
    <x:hyperlink xmlns:r="http://schemas.openxmlformats.org/officeDocument/2006/relationships" ref="V787" r:id="R2844b0d8000b49a2"/>
    <x:hyperlink xmlns:r="http://schemas.openxmlformats.org/officeDocument/2006/relationships" ref="V788" r:id="R44b643d7e55b4bde"/>
    <x:hyperlink xmlns:r="http://schemas.openxmlformats.org/officeDocument/2006/relationships" ref="V789" r:id="R509ce9b7660746fc"/>
    <x:hyperlink xmlns:r="http://schemas.openxmlformats.org/officeDocument/2006/relationships" ref="V790" r:id="R0abfcfb14cb1484e"/>
    <x:hyperlink xmlns:r="http://schemas.openxmlformats.org/officeDocument/2006/relationships" ref="V791" r:id="Reb043ba591b946f5"/>
    <x:hyperlink xmlns:r="http://schemas.openxmlformats.org/officeDocument/2006/relationships" ref="V792" r:id="R31e7e559e3cc4ff2"/>
    <x:hyperlink xmlns:r="http://schemas.openxmlformats.org/officeDocument/2006/relationships" ref="V793" r:id="R23a872d107004bec"/>
    <x:hyperlink xmlns:r="http://schemas.openxmlformats.org/officeDocument/2006/relationships" ref="V794" r:id="R6953f3627e26485b"/>
    <x:hyperlink xmlns:r="http://schemas.openxmlformats.org/officeDocument/2006/relationships" ref="V795" r:id="R79a3341bb454444e"/>
    <x:hyperlink xmlns:r="http://schemas.openxmlformats.org/officeDocument/2006/relationships" ref="V796" r:id="R12d0acdf3c2d4bc4"/>
    <x:hyperlink xmlns:r="http://schemas.openxmlformats.org/officeDocument/2006/relationships" ref="V797" r:id="R5f3467581f594357"/>
    <x:hyperlink xmlns:r="http://schemas.openxmlformats.org/officeDocument/2006/relationships" ref="V798" r:id="R62bf665e6abd4b90"/>
    <x:hyperlink xmlns:r="http://schemas.openxmlformats.org/officeDocument/2006/relationships" ref="V799" r:id="Rdcdb2d339eab4a03"/>
    <x:hyperlink xmlns:r="http://schemas.openxmlformats.org/officeDocument/2006/relationships" ref="V800" r:id="Ra002980d325b46db"/>
    <x:hyperlink xmlns:r="http://schemas.openxmlformats.org/officeDocument/2006/relationships" ref="V801" r:id="R87b68cf24a8c46e7"/>
    <x:hyperlink xmlns:r="http://schemas.openxmlformats.org/officeDocument/2006/relationships" ref="V802" r:id="R4337774ff0e44851"/>
    <x:hyperlink xmlns:r="http://schemas.openxmlformats.org/officeDocument/2006/relationships" ref="V803" r:id="Rb33508990b014ca6"/>
    <x:hyperlink xmlns:r="http://schemas.openxmlformats.org/officeDocument/2006/relationships" ref="V804" r:id="R46511734e84745b9"/>
    <x:hyperlink xmlns:r="http://schemas.openxmlformats.org/officeDocument/2006/relationships" ref="V805" r:id="R032954f07f19475a"/>
    <x:hyperlink xmlns:r="http://schemas.openxmlformats.org/officeDocument/2006/relationships" ref="V806" r:id="Rc37cbde3ac0446b4"/>
    <x:hyperlink xmlns:r="http://schemas.openxmlformats.org/officeDocument/2006/relationships" ref="V807" r:id="R487d2c199f14492c"/>
    <x:hyperlink xmlns:r="http://schemas.openxmlformats.org/officeDocument/2006/relationships" ref="V808" r:id="Rd84a8ba28dcc4aeb"/>
  </x:hyperlinks>
  <x:pageMargins left="0.7" right="0.7" top="0.75" bottom="0.75" header="0.3" footer="0.3"/>
  <x:legacyDrawing xmlns:r="http://schemas.openxmlformats.org/officeDocument/2006/relationships" r:id="R04631f12f24442f9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.75"/>
  <x:cols>
    <x:col min="3" max="3" width="40.130001068115234" customWidth="1"/>
    <x:col min="13" max="17" width="23.8799991607666" customWidth="1"/>
  </x:cols>
  <x:sheetData>
    <x:row r="1">
      <x:c r="A1" s="43" t="s">
        <x:v>5090</x:v>
      </x:c>
      <x:c r="B1" s="43" t="s">
        <x:v>5091</x:v>
      </x:c>
      <x:c r="C1" s="43" t="s">
        <x:v>5092</x:v>
      </x:c>
      <x:c r="D1" s="43" t="s">
        <x:v>5093</x:v>
      </x:c>
      <x:c r="E1" s="43" t="s">
        <x:v>5094</x:v>
      </x:c>
      <x:c r="F1" s="43" t="s">
        <x:v>5095</x:v>
      </x:c>
      <x:c r="G1" s="43" t="s">
        <x:v>5096</x:v>
      </x:c>
      <x:c r="H1" s="43" t="s">
        <x:v>5097</x:v>
      </x:c>
      <x:c r="I1" s="43" t="s">
        <x:v>5098</x:v>
      </x:c>
      <x:c r="J1" s="43" t="s">
        <x:v>5099</x:v>
      </x:c>
      <x:c r="K1" s="43" t="s">
        <x:v>5100</x:v>
      </x:c>
      <x:c r="L1" s="43" t="s">
        <x:v>5101</x:v>
      </x:c>
      <x:c r="M1" s="43" t="s">
        <x:v>5102</x:v>
      </x:c>
      <x:c r="N1" s="43" t="s">
        <x:v>5103</x:v>
      </x:c>
      <x:c r="O1" s="43" t="s">
        <x:v>5104</x:v>
      </x:c>
      <x:c r="P1" s="43" t="s">
        <x:v>5105</x:v>
      </x:c>
      <x:c r="Q1" s="43" t="s">
        <x:v>292</x:v>
      </x:c>
      <x:c r="R1" s="43" t="s">
        <x:v>293</x:v>
      </x:c>
      <x:c r="S1" s="43" t="s">
        <x:v>5106</x:v>
      </x:c>
      <x:c r="T1" s="47" t="s">
        <x:v>277</x:v>
      </x:c>
      <x:c r="U1" s="47" t="s">
        <x:v>278</x:v>
      </x:c>
      <x:c r="V1" s="47" t="s">
        <x:v>5107</x:v>
      </x:c>
      <x:c r="W1" s="47" t="s">
        <x:v>5108</x:v>
      </x:c>
      <x:c r="X1" s="47" t="s">
        <x:v>5109</x:v>
      </x:c>
      <x:c r="Y1" s="48"/>
      <x:c r="Z1" s="48"/>
    </x:row>
    <x:row r="2">
      <x:c r="A2" s="7" t="s">
        <x:v>5110</x:v>
      </x:c>
      <x:c r="B2" s="7" t="s">
        <x:v>5111</x:v>
      </x:c>
      <x:c r="C2" s="7" t="s">
        <x:v>5112</x:v>
      </x:c>
      <x:c r="D2" s="7" t="s">
        <x:v>5113</x:v>
      </x:c>
      <x:c r="E2" s="10">
        <x:v>100.0</x:v>
      </x:c>
      <x:c r="F2" s="10">
        <x:v>0.0</x:v>
      </x:c>
      <x:c r="G2" s="10">
        <x:v>100.0</x:v>
      </x:c>
      <x:c r="H2" s="7" t="s">
        <x:v>5114</x:v>
      </x:c>
      <x:c r="I2" s="7" t="s">
        <x:v>5115</x:v>
      </x:c>
      <x:c r="J2" s="26" t="s">
        <x:v>5116</x:v>
      </x:c>
      <x:c r="K2" s="41"/>
      <x:c r="L2" s="41"/>
      <x:c r="M2" s="7" t="s">
        <x:v>5117</x:v>
      </x:c>
      <x:c r="N2" s="7" t="s">
        <x:v>5117</x:v>
      </x:c>
      <x:c r="O2" s="7" t="s">
        <x:v>5118</x:v>
      </x:c>
      <x:c r="P2" s="7" t="b">
        <x:v>0</x:v>
      </x:c>
      <x:c r="Q2" s="7" t="s">
        <x:v>5119</x:v>
      </x:c>
      <x:c r="R2" s="26" t="s">
        <x:v>5120</x:v>
      </x:c>
      <x:c r="S2" s="7" t="s">
        <x:v>5121</x:v>
      </x:c>
      <x:c r="T2" s="49"/>
      <x:c r="U2" s="49"/>
      <x:c r="V2" s="50" t="s">
        <x:v>5122</x:v>
      </x:c>
      <x:c r="W2" s="50" t="s">
        <x:v>5123</x:v>
      </x:c>
      <x:c r="X2" s="50" t="s">
        <x:v>5119</x:v>
      </x:c>
      <x:c r="Y2" s="48"/>
      <x:c r="Z2" s="48"/>
    </x:row>
    <x:row r="3">
      <x:c r="A3" s="7" t="s">
        <x:v>5124</x:v>
      </x:c>
      <x:c r="B3" s="7" t="s">
        <x:v>5111</x:v>
      </x:c>
      <x:c r="C3" s="7" t="s">
        <x:v>5125</x:v>
      </x:c>
      <x:c r="D3" s="7" t="s">
        <x:v>5113</x:v>
      </x:c>
      <x:c r="E3" s="10">
        <x:v>30.0</x:v>
      </x:c>
      <x:c r="F3" s="10">
        <x:v>0.0</x:v>
      </x:c>
      <x:c r="G3" s="10">
        <x:v>30.0</x:v>
      </x:c>
      <x:c r="H3" s="7" t="s">
        <x:v>5114</x:v>
      </x:c>
      <x:c r="I3" s="7" t="s">
        <x:v>5115</x:v>
      </x:c>
      <x:c r="J3" s="26" t="s">
        <x:v>5126</x:v>
      </x:c>
      <x:c r="K3" s="41"/>
      <x:c r="L3" s="41"/>
      <x:c r="M3" s="7" t="s">
        <x:v>5117</x:v>
      </x:c>
      <x:c r="N3" s="7" t="s">
        <x:v>5117</x:v>
      </x:c>
      <x:c r="O3" s="7" t="s">
        <x:v>5118</x:v>
      </x:c>
      <x:c r="P3" s="7" t="b">
        <x:v>0</x:v>
      </x:c>
      <x:c r="Q3" s="7" t="s">
        <x:v>5119</x:v>
      </x:c>
      <x:c r="R3" s="26" t="s">
        <x:v>5120</x:v>
      </x:c>
      <x:c r="S3" s="7" t="s">
        <x:v>5127</x:v>
      </x:c>
      <x:c r="T3" s="49"/>
      <x:c r="U3" s="49"/>
      <x:c r="V3" s="50" t="s">
        <x:v>5122</x:v>
      </x:c>
      <x:c r="W3" s="50" t="s">
        <x:v>5128</x:v>
      </x:c>
      <x:c r="X3" s="50" t="s">
        <x:v>5119</x:v>
      </x:c>
      <x:c r="Y3" s="48"/>
      <x:c r="Z3" s="48"/>
    </x:row>
    <x:row r="4">
      <x:c r="A4" s="7" t="s">
        <x:v>5129</x:v>
      </x:c>
      <x:c r="B4" s="7" t="s">
        <x:v>5111</x:v>
      </x:c>
      <x:c r="C4" s="7" t="s">
        <x:v>5130</x:v>
      </x:c>
      <x:c r="D4" s="7" t="s">
        <x:v>5113</x:v>
      </x:c>
      <x:c r="E4" s="10">
        <x:v>30.0</x:v>
      </x:c>
      <x:c r="F4" s="10">
        <x:v>0.0</x:v>
      </x:c>
      <x:c r="G4" s="10">
        <x:v>30.0</x:v>
      </x:c>
      <x:c r="H4" s="7" t="s">
        <x:v>5114</x:v>
      </x:c>
      <x:c r="I4" s="7" t="s">
        <x:v>5115</x:v>
      </x:c>
      <x:c r="J4" s="26" t="s">
        <x:v>5131</x:v>
      </x:c>
      <x:c r="K4" s="41"/>
      <x:c r="L4" s="41"/>
      <x:c r="M4" s="7" t="s">
        <x:v>5117</x:v>
      </x:c>
      <x:c r="N4" s="7" t="s">
        <x:v>5117</x:v>
      </x:c>
      <x:c r="O4" s="7" t="s">
        <x:v>5118</x:v>
      </x:c>
      <x:c r="P4" s="7" t="b">
        <x:v>0</x:v>
      </x:c>
      <x:c r="Q4" s="7" t="s">
        <x:v>5119</x:v>
      </x:c>
      <x:c r="R4" s="26" t="s">
        <x:v>5120</x:v>
      </x:c>
      <x:c r="S4" s="7" t="s">
        <x:v>5132</x:v>
      </x:c>
      <x:c r="T4" s="49"/>
      <x:c r="U4" s="49"/>
      <x:c r="V4" s="50" t="s">
        <x:v>5122</x:v>
      </x:c>
      <x:c r="W4" s="50" t="s">
        <x:v>5133</x:v>
      </x:c>
      <x:c r="X4" s="50" t="s">
        <x:v>5119</x:v>
      </x:c>
      <x:c r="Y4" s="48"/>
      <x:c r="Z4" s="48"/>
    </x:row>
    <x:row r="5">
      <x:c r="A5" s="7" t="s">
        <x:v>5134</x:v>
      </x:c>
      <x:c r="B5" s="7" t="s">
        <x:v>5111</x:v>
      </x:c>
      <x:c r="C5" s="7" t="s">
        <x:v>5135</x:v>
      </x:c>
      <x:c r="D5" s="7" t="s">
        <x:v>5113</x:v>
      </x:c>
      <x:c r="E5" s="10">
        <x:v>50.0</x:v>
      </x:c>
      <x:c r="F5" s="10">
        <x:v>0.0</x:v>
      </x:c>
      <x:c r="G5" s="10">
        <x:v>50.0</x:v>
      </x:c>
      <x:c r="H5" s="7" t="s">
        <x:v>5114</x:v>
      </x:c>
      <x:c r="I5" s="7" t="s">
        <x:v>5115</x:v>
      </x:c>
      <x:c r="J5" s="26" t="s">
        <x:v>5136</x:v>
      </x:c>
      <x:c r="K5" s="41"/>
      <x:c r="L5" s="41"/>
      <x:c r="M5" s="7" t="s">
        <x:v>5117</x:v>
      </x:c>
      <x:c r="N5" s="7" t="s">
        <x:v>5117</x:v>
      </x:c>
      <x:c r="O5" s="7" t="s">
        <x:v>5118</x:v>
      </x:c>
      <x:c r="P5" s="7" t="b">
        <x:v>0</x:v>
      </x:c>
      <x:c r="Q5" s="7" t="s">
        <x:v>5119</x:v>
      </x:c>
      <x:c r="R5" s="26" t="s">
        <x:v>5120</x:v>
      </x:c>
      <x:c r="S5" s="7" t="s">
        <x:v>5137</x:v>
      </x:c>
      <x:c r="T5" s="49"/>
      <x:c r="U5" s="49"/>
      <x:c r="V5" s="50" t="s">
        <x:v>5122</x:v>
      </x:c>
      <x:c r="W5" s="50" t="s">
        <x:v>5138</x:v>
      </x:c>
      <x:c r="X5" s="50" t="s">
        <x:v>5119</x:v>
      </x:c>
      <x:c r="Y5" s="48"/>
      <x:c r="Z5" s="48"/>
    </x:row>
    <x:row r="6">
      <x:c r="A6" s="7" t="s">
        <x:v>5139</x:v>
      </x:c>
      <x:c r="B6" s="7" t="s">
        <x:v>5111</x:v>
      </x:c>
      <x:c r="C6" s="7" t="s">
        <x:v>5140</x:v>
      </x:c>
      <x:c r="D6" s="7" t="s">
        <x:v>5113</x:v>
      </x:c>
      <x:c r="E6" s="10">
        <x:v>50.0</x:v>
      </x:c>
      <x:c r="F6" s="10">
        <x:v>0.0</x:v>
      </x:c>
      <x:c r="G6" s="10">
        <x:v>50.0</x:v>
      </x:c>
      <x:c r="H6" s="7" t="s">
        <x:v>5114</x:v>
      </x:c>
      <x:c r="I6" s="7" t="s">
        <x:v>5115</x:v>
      </x:c>
      <x:c r="J6" s="26" t="s">
        <x:v>5141</x:v>
      </x:c>
      <x:c r="K6" s="41"/>
      <x:c r="L6" s="41"/>
      <x:c r="M6" s="7" t="s">
        <x:v>5117</x:v>
      </x:c>
      <x:c r="N6" s="7" t="s">
        <x:v>5117</x:v>
      </x:c>
      <x:c r="O6" s="7" t="s">
        <x:v>5118</x:v>
      </x:c>
      <x:c r="P6" s="7" t="b">
        <x:v>0</x:v>
      </x:c>
      <x:c r="Q6" s="7" t="s">
        <x:v>5119</x:v>
      </x:c>
      <x:c r="R6" s="26" t="s">
        <x:v>5120</x:v>
      </x:c>
      <x:c r="S6" s="7" t="s">
        <x:v>5142</x:v>
      </x:c>
      <x:c r="T6" s="49"/>
      <x:c r="U6" s="49"/>
      <x:c r="V6" s="50" t="s">
        <x:v>5122</x:v>
      </x:c>
      <x:c r="W6" s="50" t="s">
        <x:v>5143</x:v>
      </x:c>
      <x:c r="X6" s="50" t="s">
        <x:v>5119</x:v>
      </x:c>
      <x:c r="Y6" s="48"/>
      <x:c r="Z6" s="48"/>
    </x:row>
    <x:row r="7">
      <x:c r="A7" s="7" t="s">
        <x:v>5144</x:v>
      </x:c>
      <x:c r="B7" s="7" t="s">
        <x:v>5111</x:v>
      </x:c>
      <x:c r="C7" s="7" t="s">
        <x:v>5145</x:v>
      </x:c>
      <x:c r="D7" s="7" t="s">
        <x:v>5113</x:v>
      </x:c>
      <x:c r="E7" s="10">
        <x:v>50.0</x:v>
      </x:c>
      <x:c r="F7" s="10">
        <x:v>0.0</x:v>
      </x:c>
      <x:c r="G7" s="10">
        <x:v>50.0</x:v>
      </x:c>
      <x:c r="H7" s="7" t="s">
        <x:v>5114</x:v>
      </x:c>
      <x:c r="I7" s="7" t="s">
        <x:v>5115</x:v>
      </x:c>
      <x:c r="J7" s="26" t="s">
        <x:v>5146</x:v>
      </x:c>
      <x:c r="K7" s="41"/>
      <x:c r="L7" s="41"/>
      <x:c r="M7" s="7" t="s">
        <x:v>5117</x:v>
      </x:c>
      <x:c r="N7" s="7" t="s">
        <x:v>5117</x:v>
      </x:c>
      <x:c r="O7" s="7" t="s">
        <x:v>5118</x:v>
      </x:c>
      <x:c r="P7" s="7" t="b">
        <x:v>0</x:v>
      </x:c>
      <x:c r="Q7" s="7" t="s">
        <x:v>5119</x:v>
      </x:c>
      <x:c r="R7" s="26" t="s">
        <x:v>5120</x:v>
      </x:c>
      <x:c r="S7" s="7" t="s">
        <x:v>5147</x:v>
      </x:c>
      <x:c r="T7" s="49"/>
      <x:c r="U7" s="49"/>
      <x:c r="V7" s="50" t="s">
        <x:v>5122</x:v>
      </x:c>
      <x:c r="W7" s="50" t="s">
        <x:v>5148</x:v>
      </x:c>
      <x:c r="X7" s="50" t="s">
        <x:v>5119</x:v>
      </x:c>
      <x:c r="Y7" s="48"/>
      <x:c r="Z7" s="48"/>
    </x:row>
    <x:row r="8">
      <x:c r="A8" s="7" t="s">
        <x:v>5149</x:v>
      </x:c>
      <x:c r="B8" s="7" t="s">
        <x:v>5111</x:v>
      </x:c>
      <x:c r="C8" s="7" t="s">
        <x:v>5150</x:v>
      </x:c>
      <x:c r="D8" s="7" t="s">
        <x:v>5113</x:v>
      </x:c>
      <x:c r="E8" s="10">
        <x:v>50.0</x:v>
      </x:c>
      <x:c r="F8" s="10">
        <x:v>0.0</x:v>
      </x:c>
      <x:c r="G8" s="10">
        <x:v>50.0</x:v>
      </x:c>
      <x:c r="H8" s="7" t="s">
        <x:v>5114</x:v>
      </x:c>
      <x:c r="I8" s="7" t="s">
        <x:v>5115</x:v>
      </x:c>
      <x:c r="J8" s="26" t="s">
        <x:v>5151</x:v>
      </x:c>
      <x:c r="K8" s="41"/>
      <x:c r="L8" s="41"/>
      <x:c r="M8" s="7" t="s">
        <x:v>5117</x:v>
      </x:c>
      <x:c r="N8" s="7" t="s">
        <x:v>5117</x:v>
      </x:c>
      <x:c r="O8" s="7" t="s">
        <x:v>5118</x:v>
      </x:c>
      <x:c r="P8" s="7" t="b">
        <x:v>0</x:v>
      </x:c>
      <x:c r="Q8" s="7" t="s">
        <x:v>5119</x:v>
      </x:c>
      <x:c r="R8" s="26" t="s">
        <x:v>5120</x:v>
      </x:c>
      <x:c r="S8" s="7" t="s">
        <x:v>5152</x:v>
      </x:c>
      <x:c r="T8" s="49"/>
      <x:c r="U8" s="49"/>
      <x:c r="V8" s="50" t="s">
        <x:v>5122</x:v>
      </x:c>
      <x:c r="W8" s="50" t="s">
        <x:v>5153</x:v>
      </x:c>
      <x:c r="X8" s="50" t="s">
        <x:v>5119</x:v>
      </x:c>
      <x:c r="Y8" s="48"/>
      <x:c r="Z8" s="48"/>
    </x:row>
    <x:row r="9">
      <x:c r="A9" s="7" t="s">
        <x:v>5154</x:v>
      </x:c>
      <x:c r="B9" s="7" t="s">
        <x:v>5111</x:v>
      </x:c>
      <x:c r="C9" s="7" t="s">
        <x:v>5155</x:v>
      </x:c>
      <x:c r="D9" s="7" t="s">
        <x:v>5113</x:v>
      </x:c>
      <x:c r="E9" s="10">
        <x:v>30.0</x:v>
      </x:c>
      <x:c r="F9" s="10">
        <x:v>0.0</x:v>
      </x:c>
      <x:c r="G9" s="10">
        <x:v>30.0</x:v>
      </x:c>
      <x:c r="H9" s="7" t="s">
        <x:v>5114</x:v>
      </x:c>
      <x:c r="I9" s="7" t="s">
        <x:v>5115</x:v>
      </x:c>
      <x:c r="J9" s="26" t="s">
        <x:v>5156</x:v>
      </x:c>
      <x:c r="K9" s="41"/>
      <x:c r="L9" s="41"/>
      <x:c r="M9" s="7" t="s">
        <x:v>5117</x:v>
      </x:c>
      <x:c r="N9" s="7" t="s">
        <x:v>5117</x:v>
      </x:c>
      <x:c r="O9" s="7" t="s">
        <x:v>5118</x:v>
      </x:c>
      <x:c r="P9" s="7" t="b">
        <x:v>0</x:v>
      </x:c>
      <x:c r="Q9" s="7" t="s">
        <x:v>5119</x:v>
      </x:c>
      <x:c r="R9" s="26" t="s">
        <x:v>5120</x:v>
      </x:c>
      <x:c r="S9" s="7" t="s">
        <x:v>5157</x:v>
      </x:c>
      <x:c r="T9" s="49"/>
      <x:c r="U9" s="49"/>
      <x:c r="V9" s="50" t="s">
        <x:v>5122</x:v>
      </x:c>
      <x:c r="W9" s="50" t="s">
        <x:v>5158</x:v>
      </x:c>
      <x:c r="X9" s="50" t="s">
        <x:v>5119</x:v>
      </x:c>
      <x:c r="Y9" s="48"/>
      <x:c r="Z9" s="48"/>
    </x:row>
    <x:row r="10">
      <x:c r="A10" s="7" t="s">
        <x:v>5159</x:v>
      </x:c>
      <x:c r="B10" s="7" t="s">
        <x:v>326</x:v>
      </x:c>
      <x:c r="C10" s="7" t="s">
        <x:v>5160</x:v>
      </x:c>
      <x:c r="D10" s="7" t="s">
        <x:v>5113</x:v>
      </x:c>
      <x:c r="E10" s="10">
        <x:v>450.0</x:v>
      </x:c>
      <x:c r="F10" s="10">
        <x:v>3.0</x:v>
      </x:c>
      <x:c r="G10" s="10">
        <x:v>447.0</x:v>
      </x:c>
      <x:c r="H10" s="7" t="s">
        <x:v>5114</x:v>
      </x:c>
      <x:c r="I10" s="7" t="s">
        <x:v>5115</x:v>
      </x:c>
      <x:c r="J10" s="26" t="s">
        <x:v>5161</x:v>
      </x:c>
      <x:c r="K10" s="41"/>
      <x:c r="L10" s="41"/>
      <x:c r="M10" s="7" t="s">
        <x:v>5162</x:v>
      </x:c>
      <x:c r="N10" s="7" t="s">
        <x:v>5163</x:v>
      </x:c>
      <x:c r="O10" s="7" t="s">
        <x:v>5118</x:v>
      </x:c>
      <x:c r="P10" s="7" t="b">
        <x:v>0</x:v>
      </x:c>
      <x:c r="Q10" s="7" t="s">
        <x:v>5119</x:v>
      </x:c>
      <x:c r="R10" s="26" t="s">
        <x:v>5120</x:v>
      </x:c>
      <x:c r="S10" s="7" t="s">
        <x:v>5164</x:v>
      </x:c>
      <x:c r="T10" s="51">
        <x:v>13.9098281</x:v>
      </x:c>
      <x:c r="U10" s="51">
        <x:v>100.752979</x:v>
      </x:c>
      <x:c r="V10" s="50" t="s">
        <x:v>5165</x:v>
      </x:c>
      <x:c r="W10" s="52" t="s">
        <x:v>5166</x:v>
      </x:c>
      <x:c r="X10" s="50" t="s">
        <x:v>5119</x:v>
      </x:c>
      <x:c r="Y10" s="48"/>
      <x:c r="Z10" s="48"/>
    </x:row>
    <x:row r="11">
      <x:c r="A11" s="7" t="s">
        <x:v>5167</x:v>
      </x:c>
      <x:c r="B11" s="7" t="s">
        <x:v>326</x:v>
      </x:c>
      <x:c r="C11" s="7" t="s">
        <x:v>5168</x:v>
      </x:c>
      <x:c r="D11" s="7" t="s">
        <x:v>5113</x:v>
      </x:c>
      <x:c r="E11" s="10">
        <x:v>60.0</x:v>
      </x:c>
      <x:c r="F11" s="10">
        <x:v>60.0</x:v>
      </x:c>
      <x:c r="G11" s="10">
        <x:v>0.0</x:v>
      </x:c>
      <x:c r="H11" s="7" t="s">
        <x:v>5114</x:v>
      </x:c>
      <x:c r="I11" s="7" t="s">
        <x:v>5169</x:v>
      </x:c>
      <x:c r="J11" s="26" t="s">
        <x:v>5170</x:v>
      </x:c>
      <x:c r="K11" s="41"/>
      <x:c r="L11" s="41"/>
      <x:c r="M11" s="7" t="s">
        <x:v>5171</x:v>
      </x:c>
      <x:c r="N11" s="7" t="s">
        <x:v>5171</x:v>
      </x:c>
      <x:c r="O11" s="7" t="s">
        <x:v>5118</x:v>
      </x:c>
      <x:c r="P11" s="7" t="b">
        <x:v>0</x:v>
      </x:c>
      <x:c r="Q11" s="7" t="s">
        <x:v>5119</x:v>
      </x:c>
      <x:c r="R11" s="26" t="s">
        <x:v>5120</x:v>
      </x:c>
      <x:c r="S11" s="7" t="s">
        <x:v>5172</x:v>
      </x:c>
      <x:c r="T11" s="51">
        <x:v>13.8739455</x:v>
      </x:c>
      <x:c r="U11" s="51">
        <x:v>100.6855615</x:v>
      </x:c>
      <x:c r="V11" s="50" t="s">
        <x:v>5165</x:v>
      </x:c>
      <x:c r="W11" s="52" t="s">
        <x:v>5173</x:v>
      </x:c>
      <x:c r="X11" s="50" t="s">
        <x:v>5119</x:v>
      </x:c>
      <x:c r="Y11" s="48"/>
      <x:c r="Z11" s="48"/>
    </x:row>
    <x:row r="12">
      <x:c r="A12" s="7" t="s">
        <x:v>5174</x:v>
      </x:c>
      <x:c r="B12" s="7" t="s">
        <x:v>326</x:v>
      </x:c>
      <x:c r="C12" s="7" t="s">
        <x:v>5175</x:v>
      </x:c>
      <x:c r="D12" s="7" t="s">
        <x:v>5113</x:v>
      </x:c>
      <x:c r="E12" s="10">
        <x:v>30.0</x:v>
      </x:c>
      <x:c r="F12" s="10">
        <x:v>6.0</x:v>
      </x:c>
      <x:c r="G12" s="10">
        <x:v>24.0</x:v>
      </x:c>
      <x:c r="H12" s="7" t="s">
        <x:v>5114</x:v>
      </x:c>
      <x:c r="I12" s="7" t="s">
        <x:v>5115</x:v>
      </x:c>
      <x:c r="J12" s="26" t="s">
        <x:v>5176</x:v>
      </x:c>
      <x:c r="K12" s="41"/>
      <x:c r="L12" s="41"/>
      <x:c r="M12" s="7" t="s">
        <x:v>5177</x:v>
      </x:c>
      <x:c r="N12" s="7" t="s">
        <x:v>5177</x:v>
      </x:c>
      <x:c r="O12" s="7" t="s">
        <x:v>5118</x:v>
      </x:c>
      <x:c r="P12" s="7" t="b">
        <x:v>0</x:v>
      </x:c>
      <x:c r="Q12" s="7" t="s">
        <x:v>5119</x:v>
      </x:c>
      <x:c r="R12" s="26" t="s">
        <x:v>5120</x:v>
      </x:c>
      <x:c r="S12" s="7" t="s">
        <x:v>5178</x:v>
      </x:c>
      <x:c r="T12" s="51">
        <x:v>13.8623825</x:v>
      </x:c>
      <x:c r="U12" s="51">
        <x:v>100.6991111</x:v>
      </x:c>
      <x:c r="V12" s="50" t="s">
        <x:v>5165</x:v>
      </x:c>
      <x:c r="W12" s="52" t="s">
        <x:v>5179</x:v>
      </x:c>
      <x:c r="X12" s="50" t="s">
        <x:v>5119</x:v>
      </x:c>
      <x:c r="Y12" s="48"/>
      <x:c r="Z12" s="48"/>
    </x:row>
    <x:row r="13">
      <x:c r="A13" s="7" t="s">
        <x:v>5180</x:v>
      </x:c>
      <x:c r="B13" s="7" t="s">
        <x:v>326</x:v>
      </x:c>
      <x:c r="C13" s="7" t="s">
        <x:v>5181</x:v>
      </x:c>
      <x:c r="D13" s="7" t="s">
        <x:v>5113</x:v>
      </x:c>
      <x:c r="E13" s="10">
        <x:v>100.0</x:v>
      </x:c>
      <x:c r="F13" s="10">
        <x:v>100.0</x:v>
      </x:c>
      <x:c r="G13" s="10">
        <x:v>0.0</x:v>
      </x:c>
      <x:c r="H13" s="7" t="s">
        <x:v>5114</x:v>
      </x:c>
      <x:c r="I13" s="7" t="s">
        <x:v>5169</x:v>
      </x:c>
      <x:c r="J13" s="26" t="s">
        <x:v>5182</x:v>
      </x:c>
      <x:c r="K13" s="41"/>
      <x:c r="L13" s="41"/>
      <x:c r="M13" s="7" t="s">
        <x:v>5177</x:v>
      </x:c>
      <x:c r="N13" s="7" t="s">
        <x:v>5183</x:v>
      </x:c>
      <x:c r="O13" s="7" t="s">
        <x:v>5118</x:v>
      </x:c>
      <x:c r="P13" s="7" t="b">
        <x:v>0</x:v>
      </x:c>
      <x:c r="Q13" s="7" t="s">
        <x:v>5119</x:v>
      </x:c>
      <x:c r="R13" s="26" t="s">
        <x:v>5120</x:v>
      </x:c>
      <x:c r="S13" s="7" t="s">
        <x:v>5184</x:v>
      </x:c>
      <x:c r="T13" s="51">
        <x:v>13.817645</x:v>
      </x:c>
      <x:c r="U13" s="51">
        <x:v>100.6988714</x:v>
      </x:c>
      <x:c r="V13" s="50" t="s">
        <x:v>5165</x:v>
      </x:c>
      <x:c r="W13" s="52" t="s">
        <x:v>5185</x:v>
      </x:c>
      <x:c r="X13" s="50" t="s">
        <x:v>5119</x:v>
      </x:c>
      <x:c r="Y13" s="48"/>
      <x:c r="Z13" s="48"/>
    </x:row>
    <x:row r="14">
      <x:c r="A14" s="7" t="s">
        <x:v>5186</x:v>
      </x:c>
      <x:c r="B14" s="7" t="s">
        <x:v>326</x:v>
      </x:c>
      <x:c r="C14" s="7" t="s">
        <x:v>5187</x:v>
      </x:c>
      <x:c r="D14" s="7" t="s">
        <x:v>5113</x:v>
      </x:c>
      <x:c r="E14" s="10">
        <x:v>20.0</x:v>
      </x:c>
      <x:c r="F14" s="10">
        <x:v>17.0</x:v>
      </x:c>
      <x:c r="G14" s="10">
        <x:v>3.0</x:v>
      </x:c>
      <x:c r="H14" s="7" t="s">
        <x:v>5114</x:v>
      </x:c>
      <x:c r="I14" s="7" t="s">
        <x:v>5115</x:v>
      </x:c>
      <x:c r="J14" s="26" t="s">
        <x:v>5188</x:v>
      </x:c>
      <x:c r="K14" s="41"/>
      <x:c r="L14" s="41"/>
      <x:c r="M14" s="7" t="s">
        <x:v>5177</x:v>
      </x:c>
      <x:c r="N14" s="7" t="s">
        <x:v>5177</x:v>
      </x:c>
      <x:c r="O14" s="7" t="s">
        <x:v>5118</x:v>
      </x:c>
      <x:c r="P14" s="7" t="b">
        <x:v>0</x:v>
      </x:c>
      <x:c r="Q14" s="7" t="s">
        <x:v>5119</x:v>
      </x:c>
      <x:c r="R14" s="26" t="s">
        <x:v>5120</x:v>
      </x:c>
      <x:c r="S14" s="7" t="s">
        <x:v>5189</x:v>
      </x:c>
      <x:c r="T14" s="51">
        <x:v>13.9012456</x:v>
      </x:c>
      <x:c r="U14" s="51">
        <x:v>100.6913492</x:v>
      </x:c>
      <x:c r="V14" s="50" t="s">
        <x:v>5165</x:v>
      </x:c>
      <x:c r="W14" s="52" t="s">
        <x:v>5190</x:v>
      </x:c>
      <x:c r="X14" s="50" t="s">
        <x:v>5119</x:v>
      </x:c>
      <x:c r="Y14" s="48"/>
      <x:c r="Z14" s="48"/>
    </x:row>
    <x:row r="15">
      <x:c r="A15" s="7" t="s">
        <x:v>5191</x:v>
      </x:c>
      <x:c r="B15" s="7" t="s">
        <x:v>326</x:v>
      </x:c>
      <x:c r="C15" s="7" t="s">
        <x:v>5192</x:v>
      </x:c>
      <x:c r="D15" s="7" t="s">
        <x:v>5113</x:v>
      </x:c>
      <x:c r="E15" s="10">
        <x:v>30.0</x:v>
      </x:c>
      <x:c r="F15" s="10">
        <x:v>0.0</x:v>
      </x:c>
      <x:c r="G15" s="10">
        <x:v>30.0</x:v>
      </x:c>
      <x:c r="H15" s="7" t="s">
        <x:v>5114</x:v>
      </x:c>
      <x:c r="I15" s="7" t="s">
        <x:v>5115</x:v>
      </x:c>
      <x:c r="J15" s="26" t="s">
        <x:v>5193</x:v>
      </x:c>
      <x:c r="K15" s="41"/>
      <x:c r="L15" s="41"/>
      <x:c r="M15" s="7" t="s">
        <x:v>5177</x:v>
      </x:c>
      <x:c r="N15" s="7" t="s">
        <x:v>5177</x:v>
      </x:c>
      <x:c r="O15" s="7" t="s">
        <x:v>5118</x:v>
      </x:c>
      <x:c r="P15" s="7" t="b">
        <x:v>0</x:v>
      </x:c>
      <x:c r="Q15" s="7" t="s">
        <x:v>5119</x:v>
      </x:c>
      <x:c r="R15" s="26" t="s">
        <x:v>5120</x:v>
      </x:c>
      <x:c r="S15" s="7" t="s">
        <x:v>5194</x:v>
      </x:c>
      <x:c r="T15" s="51">
        <x:v>13.8765664</x:v>
      </x:c>
      <x:c r="U15" s="51">
        <x:v>100.7836207</x:v>
      </x:c>
      <x:c r="V15" s="50" t="s">
        <x:v>5165</x:v>
      </x:c>
      <x:c r="W15" s="52" t="s">
        <x:v>5195</x:v>
      </x:c>
      <x:c r="X15" s="50" t="s">
        <x:v>5119</x:v>
      </x:c>
      <x:c r="Y15" s="48"/>
      <x:c r="Z15" s="48"/>
    </x:row>
    <x:row r="16">
      <x:c r="A16" s="7" t="s">
        <x:v>5196</x:v>
      </x:c>
      <x:c r="B16" s="7" t="s">
        <x:v>326</x:v>
      </x:c>
      <x:c r="C16" s="7" t="s">
        <x:v>5197</x:v>
      </x:c>
      <x:c r="D16" s="7" t="s">
        <x:v>5113</x:v>
      </x:c>
      <x:c r="E16" s="10">
        <x:v>100.0</x:v>
      </x:c>
      <x:c r="F16" s="10">
        <x:v>147.0</x:v>
      </x:c>
      <x:c r="G16" s="10">
        <x:v>0.0</x:v>
      </x:c>
      <x:c r="H16" s="7" t="s">
        <x:v>5114</x:v>
      </x:c>
      <x:c r="I16" s="7" t="s">
        <x:v>5169</x:v>
      </x:c>
      <x:c r="J16" s="26" t="s">
        <x:v>5198</x:v>
      </x:c>
      <x:c r="K16" s="41"/>
      <x:c r="L16" s="41"/>
      <x:c r="M16" s="7" t="s">
        <x:v>5177</x:v>
      </x:c>
      <x:c r="N16" s="7" t="s">
        <x:v>5199</x:v>
      </x:c>
      <x:c r="O16" s="7" t="s">
        <x:v>5118</x:v>
      </x:c>
      <x:c r="P16" s="7" t="b">
        <x:v>0</x:v>
      </x:c>
      <x:c r="Q16" s="7" t="s">
        <x:v>5119</x:v>
      </x:c>
      <x:c r="R16" s="26" t="s">
        <x:v>5120</x:v>
      </x:c>
      <x:c r="S16" s="7" t="s">
        <x:v>5200</x:v>
      </x:c>
      <x:c r="T16" s="51">
        <x:v>13.8442089</x:v>
      </x:c>
      <x:c r="U16" s="51">
        <x:v>100.6960353</x:v>
      </x:c>
      <x:c r="V16" s="50" t="s">
        <x:v>5165</x:v>
      </x:c>
      <x:c r="W16" s="52" t="s">
        <x:v>5201</x:v>
      </x:c>
      <x:c r="X16" s="50" t="s">
        <x:v>5119</x:v>
      </x:c>
      <x:c r="Y16" s="48"/>
      <x:c r="Z16" s="48"/>
    </x:row>
    <x:row r="17">
      <x:c r="A17" s="7" t="s">
        <x:v>5202</x:v>
      </x:c>
      <x:c r="B17" s="7" t="s">
        <x:v>326</x:v>
      </x:c>
      <x:c r="C17" s="7" t="s">
        <x:v>5203</x:v>
      </x:c>
      <x:c r="D17" s="7" t="s">
        <x:v>5113</x:v>
      </x:c>
      <x:c r="E17" s="10">
        <x:v>50.0</x:v>
      </x:c>
      <x:c r="F17" s="10">
        <x:v>40.0</x:v>
      </x:c>
      <x:c r="G17" s="10">
        <x:v>10.0</x:v>
      </x:c>
      <x:c r="H17" s="7" t="s">
        <x:v>5114</x:v>
      </x:c>
      <x:c r="I17" s="7" t="s">
        <x:v>5115</x:v>
      </x:c>
      <x:c r="J17" s="26" t="s">
        <x:v>5204</x:v>
      </x:c>
      <x:c r="K17" s="41"/>
      <x:c r="L17" s="41"/>
      <x:c r="M17" s="7" t="s">
        <x:v>5177</x:v>
      </x:c>
      <x:c r="N17" s="7" t="s">
        <x:v>5205</x:v>
      </x:c>
      <x:c r="O17" s="7" t="s">
        <x:v>5118</x:v>
      </x:c>
      <x:c r="P17" s="7" t="b">
        <x:v>0</x:v>
      </x:c>
      <x:c r="Q17" s="7" t="s">
        <x:v>5119</x:v>
      </x:c>
      <x:c r="R17" s="26" t="s">
        <x:v>5120</x:v>
      </x:c>
      <x:c r="S17" s="7" t="s">
        <x:v>5206</x:v>
      </x:c>
      <x:c r="T17" s="51">
        <x:v>13.8538816</x:v>
      </x:c>
      <x:c r="U17" s="51">
        <x:v>100.6736866</x:v>
      </x:c>
      <x:c r="V17" s="50" t="s">
        <x:v>5165</x:v>
      </x:c>
      <x:c r="W17" s="52" t="s">
        <x:v>5207</x:v>
      </x:c>
      <x:c r="X17" s="50" t="s">
        <x:v>5119</x:v>
      </x:c>
      <x:c r="Y17" s="48"/>
      <x:c r="Z17" s="48"/>
    </x:row>
    <x:row r="18">
      <x:c r="A18" s="7" t="s">
        <x:v>5208</x:v>
      </x:c>
      <x:c r="B18" s="7" t="s">
        <x:v>326</x:v>
      </x:c>
      <x:c r="C18" s="7" t="s">
        <x:v>5209</x:v>
      </x:c>
      <x:c r="D18" s="7" t="s">
        <x:v>5113</x:v>
      </x:c>
      <x:c r="E18" s="10">
        <x:v>20.0</x:v>
      </x:c>
      <x:c r="F18" s="10">
        <x:v>0.0</x:v>
      </x:c>
      <x:c r="G18" s="10">
        <x:v>20.0</x:v>
      </x:c>
      <x:c r="H18" s="7" t="s">
        <x:v>5114</x:v>
      </x:c>
      <x:c r="I18" s="7" t="s">
        <x:v>5115</x:v>
      </x:c>
      <x:c r="J18" s="26" t="s">
        <x:v>5210</x:v>
      </x:c>
      <x:c r="K18" s="41"/>
      <x:c r="L18" s="41"/>
      <x:c r="M18" s="7" t="s">
        <x:v>5177</x:v>
      </x:c>
      <x:c r="N18" s="7" t="s">
        <x:v>5177</x:v>
      </x:c>
      <x:c r="O18" s="7" t="s">
        <x:v>5118</x:v>
      </x:c>
      <x:c r="P18" s="7" t="b">
        <x:v>0</x:v>
      </x:c>
      <x:c r="Q18" s="7" t="s">
        <x:v>5119</x:v>
      </x:c>
      <x:c r="R18" s="26" t="s">
        <x:v>5120</x:v>
      </x:c>
      <x:c r="S18" s="7" t="s">
        <x:v>5211</x:v>
      </x:c>
      <x:c r="T18" s="51">
        <x:v>13.8508973</x:v>
      </x:c>
      <x:c r="U18" s="51">
        <x:v>100.7312155</x:v>
      </x:c>
      <x:c r="V18" s="50" t="s">
        <x:v>5165</x:v>
      </x:c>
      <x:c r="W18" s="52" t="s">
        <x:v>5212</x:v>
      </x:c>
      <x:c r="X18" s="50" t="s">
        <x:v>5119</x:v>
      </x:c>
      <x:c r="Y18" s="48"/>
      <x:c r="Z18" s="48"/>
    </x:row>
    <x:row r="19">
      <x:c r="A19" s="7" t="s">
        <x:v>5213</x:v>
      </x:c>
      <x:c r="B19" s="7" t="s">
        <x:v>326</x:v>
      </x:c>
      <x:c r="C19" s="7" t="s">
        <x:v>5214</x:v>
      </x:c>
      <x:c r="D19" s="7" t="s">
        <x:v>5113</x:v>
      </x:c>
      <x:c r="E19" s="10">
        <x:v>100.0</x:v>
      </x:c>
      <x:c r="F19" s="10">
        <x:v>78.0</x:v>
      </x:c>
      <x:c r="G19" s="10">
        <x:v>22.0</x:v>
      </x:c>
      <x:c r="H19" s="7" t="s">
        <x:v>5114</x:v>
      </x:c>
      <x:c r="I19" s="7" t="s">
        <x:v>5115</x:v>
      </x:c>
      <x:c r="J19" s="26" t="s">
        <x:v>5215</x:v>
      </x:c>
      <x:c r="K19" s="41"/>
      <x:c r="L19" s="41"/>
      <x:c r="M19" s="7" t="s">
        <x:v>5177</x:v>
      </x:c>
      <x:c r="N19" s="7" t="s">
        <x:v>5216</x:v>
      </x:c>
      <x:c r="O19" s="7" t="s">
        <x:v>5118</x:v>
      </x:c>
      <x:c r="P19" s="7" t="b">
        <x:v>0</x:v>
      </x:c>
      <x:c r="Q19" s="7" t="s">
        <x:v>5119</x:v>
      </x:c>
      <x:c r="R19" s="26" t="s">
        <x:v>5120</x:v>
      </x:c>
      <x:c r="S19" s="7" t="s">
        <x:v>5217</x:v>
      </x:c>
      <x:c r="T19" s="51">
        <x:v>13.8734813</x:v>
      </x:c>
      <x:c r="U19" s="51">
        <x:v>100.6865445</x:v>
      </x:c>
      <x:c r="V19" s="50" t="s">
        <x:v>5165</x:v>
      </x:c>
      <x:c r="W19" s="52" t="s">
        <x:v>5218</x:v>
      </x:c>
      <x:c r="X19" s="50" t="s">
        <x:v>5119</x:v>
      </x:c>
      <x:c r="Y19" s="48"/>
      <x:c r="Z19" s="48"/>
    </x:row>
    <x:row r="20">
      <x:c r="A20" s="7" t="s">
        <x:v>5219</x:v>
      </x:c>
      <x:c r="B20" s="7" t="s">
        <x:v>326</x:v>
      </x:c>
      <x:c r="C20" s="7" t="s">
        <x:v>5220</x:v>
      </x:c>
      <x:c r="D20" s="7" t="s">
        <x:v>5113</x:v>
      </x:c>
      <x:c r="E20" s="10">
        <x:v>40.0</x:v>
      </x:c>
      <x:c r="F20" s="10">
        <x:v>0.0</x:v>
      </x:c>
      <x:c r="G20" s="10">
        <x:v>40.0</x:v>
      </x:c>
      <x:c r="H20" s="7" t="s">
        <x:v>5114</x:v>
      </x:c>
      <x:c r="I20" s="7" t="s">
        <x:v>5115</x:v>
      </x:c>
      <x:c r="J20" s="26" t="s">
        <x:v>5221</x:v>
      </x:c>
      <x:c r="K20" s="41"/>
      <x:c r="L20" s="41"/>
      <x:c r="M20" s="7" t="s">
        <x:v>5177</x:v>
      </x:c>
      <x:c r="N20" s="7" t="s">
        <x:v>5177</x:v>
      </x:c>
      <x:c r="O20" s="7" t="s">
        <x:v>5118</x:v>
      </x:c>
      <x:c r="P20" s="7" t="b">
        <x:v>0</x:v>
      </x:c>
      <x:c r="Q20" s="7" t="s">
        <x:v>5119</x:v>
      </x:c>
      <x:c r="R20" s="26" t="s">
        <x:v>5120</x:v>
      </x:c>
      <x:c r="S20" s="7" t="s">
        <x:v>5222</x:v>
      </x:c>
      <x:c r="T20" s="51">
        <x:v>13.9174808</x:v>
      </x:c>
      <x:c r="U20" s="51">
        <x:v>100.752918</x:v>
      </x:c>
      <x:c r="V20" s="50" t="s">
        <x:v>5165</x:v>
      </x:c>
      <x:c r="W20" s="52" t="s">
        <x:v>5223</x:v>
      </x:c>
      <x:c r="X20" s="50" t="s">
        <x:v>5119</x:v>
      </x:c>
      <x:c r="Y20" s="48"/>
      <x:c r="Z20" s="48"/>
    </x:row>
    <x:row r="21">
      <x:c r="A21" s="7" t="s">
        <x:v>5224</x:v>
      </x:c>
      <x:c r="B21" s="7" t="s">
        <x:v>326</x:v>
      </x:c>
      <x:c r="C21" s="7" t="s">
        <x:v>5225</x:v>
      </x:c>
      <x:c r="D21" s="7" t="s">
        <x:v>5113</x:v>
      </x:c>
      <x:c r="E21" s="10">
        <x:v>20.0</x:v>
      </x:c>
      <x:c r="F21" s="10">
        <x:v>0.0</x:v>
      </x:c>
      <x:c r="G21" s="10">
        <x:v>20.0</x:v>
      </x:c>
      <x:c r="H21" s="7" t="s">
        <x:v>5114</x:v>
      </x:c>
      <x:c r="I21" s="7" t="s">
        <x:v>5115</x:v>
      </x:c>
      <x:c r="J21" s="26" t="s">
        <x:v>5226</x:v>
      </x:c>
      <x:c r="K21" s="41"/>
      <x:c r="L21" s="41"/>
      <x:c r="M21" s="7" t="s">
        <x:v>5177</x:v>
      </x:c>
      <x:c r="N21" s="7" t="s">
        <x:v>5177</x:v>
      </x:c>
      <x:c r="O21" s="7" t="s">
        <x:v>5118</x:v>
      </x:c>
      <x:c r="P21" s="7" t="b">
        <x:v>0</x:v>
      </x:c>
      <x:c r="Q21" s="7" t="s">
        <x:v>5119</x:v>
      </x:c>
      <x:c r="R21" s="26" t="s">
        <x:v>5120</x:v>
      </x:c>
      <x:c r="S21" s="7" t="s">
        <x:v>5227</x:v>
      </x:c>
      <x:c r="T21" s="51">
        <x:v>13.9184414</x:v>
      </x:c>
      <x:c r="U21" s="51">
        <x:v>100.7917995</x:v>
      </x:c>
      <x:c r="V21" s="50" t="s">
        <x:v>5165</x:v>
      </x:c>
      <x:c r="W21" s="52" t="s">
        <x:v>5228</x:v>
      </x:c>
      <x:c r="X21" s="50" t="s">
        <x:v>5119</x:v>
      </x:c>
      <x:c r="Y21" s="48"/>
      <x:c r="Z21" s="48"/>
    </x:row>
    <x:row r="22">
      <x:c r="A22" s="7" t="s">
        <x:v>5229</x:v>
      </x:c>
      <x:c r="B22" s="7" t="s">
        <x:v>326</x:v>
      </x:c>
      <x:c r="C22" s="7" t="s">
        <x:v>5230</x:v>
      </x:c>
      <x:c r="D22" s="7" t="s">
        <x:v>5113</x:v>
      </x:c>
      <x:c r="E22" s="10">
        <x:v>20.0</x:v>
      </x:c>
      <x:c r="F22" s="10">
        <x:v>0.0</x:v>
      </x:c>
      <x:c r="G22" s="10">
        <x:v>20.0</x:v>
      </x:c>
      <x:c r="H22" s="7" t="s">
        <x:v>5114</x:v>
      </x:c>
      <x:c r="I22" s="7" t="s">
        <x:v>5115</x:v>
      </x:c>
      <x:c r="J22" s="26" t="s">
        <x:v>5231</x:v>
      </x:c>
      <x:c r="K22" s="41"/>
      <x:c r="L22" s="41"/>
      <x:c r="M22" s="7" t="s">
        <x:v>5177</x:v>
      </x:c>
      <x:c r="N22" s="7" t="s">
        <x:v>5177</x:v>
      </x:c>
      <x:c r="O22" s="7" t="s">
        <x:v>5118</x:v>
      </x:c>
      <x:c r="P22" s="7" t="b">
        <x:v>0</x:v>
      </x:c>
      <x:c r="Q22" s="7" t="s">
        <x:v>5119</x:v>
      </x:c>
      <x:c r="R22" s="26" t="s">
        <x:v>5120</x:v>
      </x:c>
      <x:c r="S22" s="7" t="s">
        <x:v>5232</x:v>
      </x:c>
      <x:c r="T22" s="51">
        <x:v>13.872037</x:v>
      </x:c>
      <x:c r="U22" s="51">
        <x:v>100.7737308</x:v>
      </x:c>
      <x:c r="V22" s="50" t="s">
        <x:v>5165</x:v>
      </x:c>
      <x:c r="W22" s="52" t="s">
        <x:v>5233</x:v>
      </x:c>
      <x:c r="X22" s="50" t="s">
        <x:v>5119</x:v>
      </x:c>
      <x:c r="Y22" s="48"/>
      <x:c r="Z22" s="48"/>
    </x:row>
    <x:row r="23">
      <x:c r="A23" s="7" t="s">
        <x:v>5234</x:v>
      </x:c>
      <x:c r="B23" s="7" t="s">
        <x:v>326</x:v>
      </x:c>
      <x:c r="C23" s="7" t="s">
        <x:v>5235</x:v>
      </x:c>
      <x:c r="D23" s="7" t="s">
        <x:v>5113</x:v>
      </x:c>
      <x:c r="E23" s="10">
        <x:v>50.0</x:v>
      </x:c>
      <x:c r="F23" s="10">
        <x:v>0.0</x:v>
      </x:c>
      <x:c r="G23" s="10">
        <x:v>50.0</x:v>
      </x:c>
      <x:c r="H23" s="7" t="s">
        <x:v>5114</x:v>
      </x:c>
      <x:c r="I23" s="7" t="s">
        <x:v>5115</x:v>
      </x:c>
      <x:c r="J23" s="26" t="s">
        <x:v>5236</x:v>
      </x:c>
      <x:c r="K23" s="41"/>
      <x:c r="L23" s="41"/>
      <x:c r="M23" s="7" t="s">
        <x:v>5177</x:v>
      </x:c>
      <x:c r="N23" s="7" t="s">
        <x:v>5177</x:v>
      </x:c>
      <x:c r="O23" s="7" t="s">
        <x:v>5118</x:v>
      </x:c>
      <x:c r="P23" s="7" t="b">
        <x:v>0</x:v>
      </x:c>
      <x:c r="Q23" s="7" t="s">
        <x:v>5119</x:v>
      </x:c>
      <x:c r="R23" s="26" t="s">
        <x:v>5120</x:v>
      </x:c>
      <x:c r="S23" s="7" t="s">
        <x:v>5237</x:v>
      </x:c>
      <x:c r="T23" s="51">
        <x:v>13.877293</x:v>
      </x:c>
      <x:c r="U23" s="51">
        <x:v>100.7324536</x:v>
      </x:c>
      <x:c r="V23" s="50" t="s">
        <x:v>5165</x:v>
      </x:c>
      <x:c r="W23" s="52" t="s">
        <x:v>5238</x:v>
      </x:c>
      <x:c r="X23" s="50" t="s">
        <x:v>5119</x:v>
      </x:c>
      <x:c r="Y23" s="48"/>
      <x:c r="Z23" s="48"/>
    </x:row>
    <x:row r="24">
      <x:c r="A24" s="7" t="s">
        <x:v>5239</x:v>
      </x:c>
      <x:c r="B24" s="7" t="s">
        <x:v>326</x:v>
      </x:c>
      <x:c r="C24" s="7" t="s">
        <x:v>5240</x:v>
      </x:c>
      <x:c r="D24" s="7" t="s">
        <x:v>5113</x:v>
      </x:c>
      <x:c r="E24" s="10">
        <x:v>50.0</x:v>
      </x:c>
      <x:c r="F24" s="10">
        <x:v>25.0</x:v>
      </x:c>
      <x:c r="G24" s="10">
        <x:v>25.0</x:v>
      </x:c>
      <x:c r="H24" s="7" t="s">
        <x:v>5114</x:v>
      </x:c>
      <x:c r="I24" s="7" t="s">
        <x:v>5115</x:v>
      </x:c>
      <x:c r="J24" s="26" t="s">
        <x:v>5241</x:v>
      </x:c>
      <x:c r="K24" s="41"/>
      <x:c r="L24" s="41"/>
      <x:c r="M24" s="7" t="s">
        <x:v>5177</x:v>
      </x:c>
      <x:c r="N24" s="7" t="s">
        <x:v>5242</x:v>
      </x:c>
      <x:c r="O24" s="7" t="s">
        <x:v>5118</x:v>
      </x:c>
      <x:c r="P24" s="7" t="b">
        <x:v>0</x:v>
      </x:c>
      <x:c r="Q24" s="7" t="s">
        <x:v>5119</x:v>
      </x:c>
      <x:c r="R24" s="26" t="s">
        <x:v>5120</x:v>
      </x:c>
      <x:c r="S24" s="7" t="s">
        <x:v>5243</x:v>
      </x:c>
      <x:c r="T24" s="51">
        <x:v>13.8861952</x:v>
      </x:c>
      <x:c r="U24" s="51">
        <x:v>100.7086731</x:v>
      </x:c>
      <x:c r="V24" s="50" t="s">
        <x:v>5165</x:v>
      </x:c>
      <x:c r="W24" s="52" t="s">
        <x:v>5244</x:v>
      </x:c>
      <x:c r="X24" s="50" t="s">
        <x:v>5119</x:v>
      </x:c>
      <x:c r="Y24" s="48"/>
      <x:c r="Z24" s="48"/>
    </x:row>
    <x:row r="25">
      <x:c r="A25" s="7" t="s">
        <x:v>5245</x:v>
      </x:c>
      <x:c r="B25" s="7" t="s">
        <x:v>326</x:v>
      </x:c>
      <x:c r="C25" s="7" t="s">
        <x:v>5246</x:v>
      </x:c>
      <x:c r="D25" s="7" t="s">
        <x:v>5113</x:v>
      </x:c>
      <x:c r="E25" s="10">
        <x:v>15.0</x:v>
      </x:c>
      <x:c r="F25" s="10">
        <x:v>0.0</x:v>
      </x:c>
      <x:c r="G25" s="10">
        <x:v>15.0</x:v>
      </x:c>
      <x:c r="H25" s="7" t="s">
        <x:v>5114</x:v>
      </x:c>
      <x:c r="I25" s="7" t="s">
        <x:v>5115</x:v>
      </x:c>
      <x:c r="J25" s="26" t="s">
        <x:v>5247</x:v>
      </x:c>
      <x:c r="K25" s="41"/>
      <x:c r="L25" s="41"/>
      <x:c r="M25" s="7" t="s">
        <x:v>5177</x:v>
      </x:c>
      <x:c r="N25" s="7" t="s">
        <x:v>5177</x:v>
      </x:c>
      <x:c r="O25" s="7" t="s">
        <x:v>5118</x:v>
      </x:c>
      <x:c r="P25" s="7" t="b">
        <x:v>0</x:v>
      </x:c>
      <x:c r="Q25" s="7" t="s">
        <x:v>5119</x:v>
      </x:c>
      <x:c r="R25" s="26" t="s">
        <x:v>5120</x:v>
      </x:c>
      <x:c r="S25" s="7" t="s">
        <x:v>5248</x:v>
      </x:c>
      <x:c r="T25" s="51">
        <x:v>13.912987</x:v>
      </x:c>
      <x:c r="U25" s="51">
        <x:v>100.770257</x:v>
      </x:c>
      <x:c r="V25" s="50" t="s">
        <x:v>5165</x:v>
      </x:c>
      <x:c r="W25" s="52" t="s">
        <x:v>5249</x:v>
      </x:c>
      <x:c r="X25" s="50" t="s">
        <x:v>5119</x:v>
      </x:c>
      <x:c r="Y25" s="48"/>
      <x:c r="Z25" s="48"/>
    </x:row>
    <x:row r="26">
      <x:c r="A26" s="7" t="s">
        <x:v>5250</x:v>
      </x:c>
      <x:c r="B26" s="7" t="s">
        <x:v>326</x:v>
      </x:c>
      <x:c r="C26" s="7" t="s">
        <x:v>5251</x:v>
      </x:c>
      <x:c r="D26" s="7" t="s">
        <x:v>5113</x:v>
      </x:c>
      <x:c r="E26" s="10">
        <x:v>30.0</x:v>
      </x:c>
      <x:c r="F26" s="10">
        <x:v>31.0</x:v>
      </x:c>
      <x:c r="G26" s="10">
        <x:v>0.0</x:v>
      </x:c>
      <x:c r="H26" s="7" t="s">
        <x:v>5114</x:v>
      </x:c>
      <x:c r="I26" s="7" t="s">
        <x:v>5169</x:v>
      </x:c>
      <x:c r="J26" s="26" t="s">
        <x:v>5252</x:v>
      </x:c>
      <x:c r="K26" s="41"/>
      <x:c r="L26" s="41"/>
      <x:c r="M26" s="7" t="s">
        <x:v>5177</x:v>
      </x:c>
      <x:c r="N26" s="7" t="s">
        <x:v>5253</x:v>
      </x:c>
      <x:c r="O26" s="7" t="s">
        <x:v>5118</x:v>
      </x:c>
      <x:c r="P26" s="7" t="b">
        <x:v>0</x:v>
      </x:c>
      <x:c r="Q26" s="7" t="s">
        <x:v>5119</x:v>
      </x:c>
      <x:c r="R26" s="26" t="s">
        <x:v>5120</x:v>
      </x:c>
      <x:c r="S26" s="7" t="s">
        <x:v>5254</x:v>
      </x:c>
      <x:c r="T26" s="51">
        <x:v>13.8424341</x:v>
      </x:c>
      <x:c r="U26" s="51">
        <x:v>100.7111727</x:v>
      </x:c>
      <x:c r="V26" s="50" t="s">
        <x:v>5165</x:v>
      </x:c>
      <x:c r="W26" s="52" t="s">
        <x:v>5255</x:v>
      </x:c>
      <x:c r="X26" s="50" t="s">
        <x:v>5119</x:v>
      </x:c>
      <x:c r="Y26" s="48"/>
      <x:c r="Z26" s="48"/>
    </x:row>
    <x:row r="27">
      <x:c r="A27" s="7" t="s">
        <x:v>5256</x:v>
      </x:c>
      <x:c r="B27" s="7" t="s">
        <x:v>326</x:v>
      </x:c>
      <x:c r="C27" s="7" t="s">
        <x:v>5257</x:v>
      </x:c>
      <x:c r="D27" s="7" t="s">
        <x:v>5113</x:v>
      </x:c>
      <x:c r="E27" s="10">
        <x:v>100.0</x:v>
      </x:c>
      <x:c r="F27" s="10">
        <x:v>4.0</x:v>
      </x:c>
      <x:c r="G27" s="10">
        <x:v>96.0</x:v>
      </x:c>
      <x:c r="H27" s="7" t="s">
        <x:v>5114</x:v>
      </x:c>
      <x:c r="I27" s="7" t="s">
        <x:v>5115</x:v>
      </x:c>
      <x:c r="J27" s="26" t="s">
        <x:v>5258</x:v>
      </x:c>
      <x:c r="K27" s="41"/>
      <x:c r="L27" s="41"/>
      <x:c r="M27" s="7" t="s">
        <x:v>5177</x:v>
      </x:c>
      <x:c r="N27" s="7" t="s">
        <x:v>5177</x:v>
      </x:c>
      <x:c r="O27" s="7" t="s">
        <x:v>5118</x:v>
      </x:c>
      <x:c r="P27" s="7" t="b">
        <x:v>0</x:v>
      </x:c>
      <x:c r="Q27" s="7" t="s">
        <x:v>5119</x:v>
      </x:c>
      <x:c r="R27" s="26" t="s">
        <x:v>5120</x:v>
      </x:c>
      <x:c r="S27" s="7" t="s">
        <x:v>5259</x:v>
      </x:c>
      <x:c r="T27" s="51">
        <x:v>13.9064317</x:v>
      </x:c>
      <x:c r="U27" s="51">
        <x:v>100.7268938</x:v>
      </x:c>
      <x:c r="V27" s="50" t="s">
        <x:v>5165</x:v>
      </x:c>
      <x:c r="W27" s="52" t="s">
        <x:v>5260</x:v>
      </x:c>
      <x:c r="X27" s="50" t="s">
        <x:v>5119</x:v>
      </x:c>
      <x:c r="Y27" s="48"/>
      <x:c r="Z27" s="48"/>
    </x:row>
    <x:row r="28">
      <x:c r="A28" s="7" t="s">
        <x:v>5261</x:v>
      </x:c>
      <x:c r="B28" s="7" t="s">
        <x:v>326</x:v>
      </x:c>
      <x:c r="C28" s="7" t="s">
        <x:v>5262</x:v>
      </x:c>
      <x:c r="D28" s="7" t="s">
        <x:v>5113</x:v>
      </x:c>
      <x:c r="E28" s="10">
        <x:v>20.0</x:v>
      </x:c>
      <x:c r="F28" s="10">
        <x:v>0.0</x:v>
      </x:c>
      <x:c r="G28" s="10">
        <x:v>20.0</x:v>
      </x:c>
      <x:c r="H28" s="7" t="s">
        <x:v>5114</x:v>
      </x:c>
      <x:c r="I28" s="7" t="s">
        <x:v>5115</x:v>
      </x:c>
      <x:c r="J28" s="26" t="s">
        <x:v>5263</x:v>
      </x:c>
      <x:c r="K28" s="41"/>
      <x:c r="L28" s="41"/>
      <x:c r="M28" s="7" t="s">
        <x:v>5177</x:v>
      </x:c>
      <x:c r="N28" s="7" t="s">
        <x:v>5177</x:v>
      </x:c>
      <x:c r="O28" s="7" t="s">
        <x:v>5118</x:v>
      </x:c>
      <x:c r="P28" s="7" t="b">
        <x:v>0</x:v>
      </x:c>
      <x:c r="Q28" s="7" t="s">
        <x:v>5119</x:v>
      </x:c>
      <x:c r="R28" s="26" t="s">
        <x:v>5120</x:v>
      </x:c>
      <x:c r="S28" s="7" t="s">
        <x:v>5264</x:v>
      </x:c>
      <x:c r="T28" s="51">
        <x:v>13.8552235</x:v>
      </x:c>
      <x:c r="U28" s="51">
        <x:v>100.7860228</x:v>
      </x:c>
      <x:c r="V28" s="50" t="s">
        <x:v>5165</x:v>
      </x:c>
      <x:c r="W28" s="52" t="s">
        <x:v>5265</x:v>
      </x:c>
      <x:c r="X28" s="50" t="s">
        <x:v>5119</x:v>
      </x:c>
      <x:c r="Y28" s="48"/>
      <x:c r="Z28" s="48"/>
    </x:row>
    <x:row r="29">
      <x:c r="A29" s="7" t="s">
        <x:v>5266</x:v>
      </x:c>
      <x:c r="B29" s="7" t="s">
        <x:v>326</x:v>
      </x:c>
      <x:c r="C29" s="7" t="s">
        <x:v>5267</x:v>
      </x:c>
      <x:c r="D29" s="7" t="s">
        <x:v>5113</x:v>
      </x:c>
      <x:c r="E29" s="10">
        <x:v>20.0</x:v>
      </x:c>
      <x:c r="F29" s="10">
        <x:v>0.0</x:v>
      </x:c>
      <x:c r="G29" s="10">
        <x:v>20.0</x:v>
      </x:c>
      <x:c r="H29" s="7" t="s">
        <x:v>5114</x:v>
      </x:c>
      <x:c r="I29" s="7" t="s">
        <x:v>5115</x:v>
      </x:c>
      <x:c r="J29" s="26" t="s">
        <x:v>5268</x:v>
      </x:c>
      <x:c r="K29" s="41"/>
      <x:c r="L29" s="41"/>
      <x:c r="M29" s="7" t="s">
        <x:v>5177</x:v>
      </x:c>
      <x:c r="N29" s="7" t="s">
        <x:v>5177</x:v>
      </x:c>
      <x:c r="O29" s="7" t="s">
        <x:v>5118</x:v>
      </x:c>
      <x:c r="P29" s="7" t="b">
        <x:v>0</x:v>
      </x:c>
      <x:c r="Q29" s="7" t="s">
        <x:v>5119</x:v>
      </x:c>
      <x:c r="R29" s="26" t="s">
        <x:v>5120</x:v>
      </x:c>
      <x:c r="S29" s="7" t="s">
        <x:v>5269</x:v>
      </x:c>
      <x:c r="T29" s="51">
        <x:v>13.8253398</x:v>
      </x:c>
      <x:c r="U29" s="51">
        <x:v>100.7516658</x:v>
      </x:c>
      <x:c r="V29" s="50" t="s">
        <x:v>5165</x:v>
      </x:c>
      <x:c r="W29" s="52" t="s">
        <x:v>5270</x:v>
      </x:c>
      <x:c r="X29" s="50" t="s">
        <x:v>5119</x:v>
      </x:c>
      <x:c r="Y29" s="48"/>
      <x:c r="Z29" s="48"/>
    </x:row>
    <x:row r="30">
      <x:c r="A30" s="7" t="s">
        <x:v>5271</x:v>
      </x:c>
      <x:c r="B30" s="7" t="s">
        <x:v>1278</x:v>
      </x:c>
      <x:c r="C30" s="7" t="s">
        <x:v>5272</x:v>
      </x:c>
      <x:c r="D30" s="7" t="s">
        <x:v>5113</x:v>
      </x:c>
      <x:c r="E30" s="10">
        <x:v>80.0</x:v>
      </x:c>
      <x:c r="F30" s="10">
        <x:v>0.0</x:v>
      </x:c>
      <x:c r="G30" s="10">
        <x:v>80.0</x:v>
      </x:c>
      <x:c r="H30" s="7" t="s">
        <x:v>5114</x:v>
      </x:c>
      <x:c r="I30" s="7" t="s">
        <x:v>5115</x:v>
      </x:c>
      <x:c r="J30" s="26" t="s">
        <x:v>5273</x:v>
      </x:c>
      <x:c r="K30" s="41"/>
      <x:c r="L30" s="41"/>
      <x:c r="M30" s="7" t="s">
        <x:v>5274</x:v>
      </x:c>
      <x:c r="N30" s="7" t="s">
        <x:v>5274</x:v>
      </x:c>
      <x:c r="O30" s="7" t="s">
        <x:v>5118</x:v>
      </x:c>
      <x:c r="P30" s="7" t="b">
        <x:v>0</x:v>
      </x:c>
      <x:c r="Q30" s="7" t="s">
        <x:v>5119</x:v>
      </x:c>
      <x:c r="R30" s="26" t="s">
        <x:v>5120</x:v>
      </x:c>
      <x:c r="S30" s="7" t="s">
        <x:v>5275</x:v>
      </x:c>
      <x:c r="T30" s="51">
        <x:v>13.711051</x:v>
      </x:c>
      <x:c r="U30" s="51">
        <x:v>100.5750891</x:v>
      </x:c>
      <x:c r="V30" s="50" t="s">
        <x:v>5165</x:v>
      </x:c>
      <x:c r="W30" s="52" t="s">
        <x:v>5276</x:v>
      </x:c>
      <x:c r="X30" s="50" t="s">
        <x:v>5119</x:v>
      </x:c>
      <x:c r="Y30" s="48"/>
      <x:c r="Z30" s="48"/>
    </x:row>
    <x:row r="31">
      <x:c r="A31" s="7" t="s">
        <x:v>5277</x:v>
      </x:c>
      <x:c r="B31" s="7" t="s">
        <x:v>1278</x:v>
      </x:c>
      <x:c r="C31" s="7" t="s">
        <x:v>5278</x:v>
      </x:c>
      <x:c r="D31" s="7" t="s">
        <x:v>5113</x:v>
      </x:c>
      <x:c r="E31" s="10">
        <x:v>40.0</x:v>
      </x:c>
      <x:c r="F31" s="10">
        <x:v>0.0</x:v>
      </x:c>
      <x:c r="G31" s="10">
        <x:v>40.0</x:v>
      </x:c>
      <x:c r="H31" s="7" t="s">
        <x:v>5114</x:v>
      </x:c>
      <x:c r="I31" s="7" t="s">
        <x:v>5115</x:v>
      </x:c>
      <x:c r="J31" s="26" t="s">
        <x:v>5279</x:v>
      </x:c>
      <x:c r="K31" s="41"/>
      <x:c r="L31" s="41"/>
      <x:c r="M31" s="7" t="s">
        <x:v>5280</x:v>
      </x:c>
      <x:c r="N31" s="7" t="s">
        <x:v>5281</x:v>
      </x:c>
      <x:c r="O31" s="7" t="s">
        <x:v>5118</x:v>
      </x:c>
      <x:c r="P31" s="7" t="b">
        <x:v>0</x:v>
      </x:c>
      <x:c r="Q31" s="7" t="s">
        <x:v>5119</x:v>
      </x:c>
      <x:c r="R31" s="26" t="s">
        <x:v>5120</x:v>
      </x:c>
      <x:c r="S31" s="7" t="s">
        <x:v>5282</x:v>
      </x:c>
      <x:c r="T31" s="51">
        <x:v>13.7100999</x:v>
      </x:c>
      <x:c r="U31" s="51">
        <x:v>100.5608789</x:v>
      </x:c>
      <x:c r="V31" s="50" t="s">
        <x:v>5165</x:v>
      </x:c>
      <x:c r="W31" s="52" t="s">
        <x:v>5283</x:v>
      </x:c>
      <x:c r="X31" s="50" t="s">
        <x:v>5119</x:v>
      </x:c>
      <x:c r="Y31" s="48"/>
      <x:c r="Z31" s="48"/>
    </x:row>
    <x:row r="32">
      <x:c r="A32" s="7" t="s">
        <x:v>5284</x:v>
      </x:c>
      <x:c r="B32" s="7" t="s">
        <x:v>1278</x:v>
      </x:c>
      <x:c r="C32" s="7" t="s">
        <x:v>5285</x:v>
      </x:c>
      <x:c r="D32" s="7" t="s">
        <x:v>5113</x:v>
      </x:c>
      <x:c r="E32" s="10">
        <x:v>30.0</x:v>
      </x:c>
      <x:c r="F32" s="10">
        <x:v>0.0</x:v>
      </x:c>
      <x:c r="G32" s="10">
        <x:v>30.0</x:v>
      </x:c>
      <x:c r="H32" s="7" t="s">
        <x:v>5114</x:v>
      </x:c>
      <x:c r="I32" s="7" t="s">
        <x:v>5115</x:v>
      </x:c>
      <x:c r="J32" s="26" t="s">
        <x:v>5286</x:v>
      </x:c>
      <x:c r="K32" s="41"/>
      <x:c r="L32" s="41"/>
      <x:c r="M32" s="7" t="s">
        <x:v>5274</x:v>
      </x:c>
      <x:c r="N32" s="7" t="s">
        <x:v>5274</x:v>
      </x:c>
      <x:c r="O32" s="7" t="s">
        <x:v>5118</x:v>
      </x:c>
      <x:c r="P32" s="7" t="b">
        <x:v>0</x:v>
      </x:c>
      <x:c r="Q32" s="7" t="s">
        <x:v>5119</x:v>
      </x:c>
      <x:c r="R32" s="26" t="s">
        <x:v>5120</x:v>
      </x:c>
      <x:c r="S32" s="7" t="s">
        <x:v>5287</x:v>
      </x:c>
      <x:c r="T32" s="49"/>
      <x:c r="U32" s="49"/>
      <x:c r="V32" s="50" t="s">
        <x:v>5288</x:v>
      </x:c>
      <x:c r="W32" s="48"/>
      <x:c r="X32" s="48"/>
      <x:c r="Y32" s="48"/>
      <x:c r="Z32" s="48"/>
    </x:row>
    <x:row r="33">
      <x:c r="A33" s="7" t="s">
        <x:v>5289</x:v>
      </x:c>
      <x:c r="B33" s="7" t="s">
        <x:v>1278</x:v>
      </x:c>
      <x:c r="C33" s="7" t="s">
        <x:v>5290</x:v>
      </x:c>
      <x:c r="D33" s="7" t="s">
        <x:v>5113</x:v>
      </x:c>
      <x:c r="E33" s="10">
        <x:v>100.0</x:v>
      </x:c>
      <x:c r="F33" s="10">
        <x:v>0.0</x:v>
      </x:c>
      <x:c r="G33" s="10">
        <x:v>100.0</x:v>
      </x:c>
      <x:c r="H33" s="7" t="s">
        <x:v>5114</x:v>
      </x:c>
      <x:c r="I33" s="7" t="s">
        <x:v>5115</x:v>
      </x:c>
      <x:c r="J33" s="26" t="s">
        <x:v>5291</x:v>
      </x:c>
      <x:c r="K33" s="41"/>
      <x:c r="L33" s="41"/>
      <x:c r="M33" s="7" t="s">
        <x:v>5274</x:v>
      </x:c>
      <x:c r="N33" s="7" t="s">
        <x:v>5274</x:v>
      </x:c>
      <x:c r="O33" s="7" t="s">
        <x:v>5118</x:v>
      </x:c>
      <x:c r="P33" s="7" t="b">
        <x:v>0</x:v>
      </x:c>
      <x:c r="Q33" s="7" t="s">
        <x:v>5119</x:v>
      </x:c>
      <x:c r="R33" s="26" t="s">
        <x:v>5120</x:v>
      </x:c>
      <x:c r="S33" s="7" t="s">
        <x:v>5292</x:v>
      </x:c>
      <x:c r="T33" s="49"/>
      <x:c r="U33" s="49"/>
      <x:c r="V33" s="50" t="s">
        <x:v>5288</x:v>
      </x:c>
      <x:c r="W33" s="48"/>
      <x:c r="X33" s="48"/>
      <x:c r="Y33" s="48"/>
      <x:c r="Z33" s="48"/>
    </x:row>
    <x:row r="34">
      <x:c r="A34" s="7" t="s">
        <x:v>5293</x:v>
      </x:c>
      <x:c r="B34" s="7" t="s">
        <x:v>738</x:v>
      </x:c>
      <x:c r="C34" s="7" t="s">
        <x:v>5294</x:v>
      </x:c>
      <x:c r="D34" s="7" t="s">
        <x:v>5113</x:v>
      </x:c>
      <x:c r="E34" s="10">
        <x:v>50.0</x:v>
      </x:c>
      <x:c r="F34" s="10">
        <x:v>56.0</x:v>
      </x:c>
      <x:c r="G34" s="10">
        <x:v>0.0</x:v>
      </x:c>
      <x:c r="H34" s="7" t="s">
        <x:v>5114</x:v>
      </x:c>
      <x:c r="I34" s="7" t="s">
        <x:v>5169</x:v>
      </x:c>
      <x:c r="J34" s="26" t="s">
        <x:v>5295</x:v>
      </x:c>
      <x:c r="K34" s="41"/>
      <x:c r="L34" s="41"/>
      <x:c r="M34" s="7" t="s">
        <x:v>5296</x:v>
      </x:c>
      <x:c r="N34" s="7" t="s">
        <x:v>5297</x:v>
      </x:c>
      <x:c r="O34" s="7" t="s">
        <x:v>5118</x:v>
      </x:c>
      <x:c r="P34" s="7" t="b">
        <x:v>0</x:v>
      </x:c>
      <x:c r="Q34" s="7" t="s">
        <x:v>5119</x:v>
      </x:c>
      <x:c r="R34" s="26" t="s">
        <x:v>5120</x:v>
      </x:c>
      <x:c r="S34" s="7" t="s">
        <x:v>5298</x:v>
      </x:c>
      <x:c r="T34" s="49"/>
      <x:c r="U34" s="49"/>
      <x:c r="V34" s="50" t="s">
        <x:v>5288</x:v>
      </x:c>
      <x:c r="W34" s="48"/>
      <x:c r="X34" s="48"/>
      <x:c r="Y34" s="48"/>
      <x:c r="Z34" s="48"/>
    </x:row>
    <x:row r="35">
      <x:c r="A35" s="7" t="s">
        <x:v>5299</x:v>
      </x:c>
      <x:c r="B35" s="7" t="s">
        <x:v>738</x:v>
      </x:c>
      <x:c r="C35" s="7" t="s">
        <x:v>5300</x:v>
      </x:c>
      <x:c r="D35" s="7" t="s">
        <x:v>5113</x:v>
      </x:c>
      <x:c r="E35" s="10">
        <x:v>400.0</x:v>
      </x:c>
      <x:c r="F35" s="10">
        <x:v>83.0</x:v>
      </x:c>
      <x:c r="G35" s="10">
        <x:v>317.0</x:v>
      </x:c>
      <x:c r="H35" s="7" t="s">
        <x:v>5114</x:v>
      </x:c>
      <x:c r="I35" s="7" t="s">
        <x:v>5115</x:v>
      </x:c>
      <x:c r="J35" s="26" t="s">
        <x:v>5301</x:v>
      </x:c>
      <x:c r="K35" s="41"/>
      <x:c r="L35" s="41"/>
      <x:c r="M35" s="7" t="s">
        <x:v>5302</x:v>
      </x:c>
      <x:c r="N35" s="7" t="s">
        <x:v>5303</x:v>
      </x:c>
      <x:c r="O35" s="7" t="s">
        <x:v>5118</x:v>
      </x:c>
      <x:c r="P35" s="7" t="b">
        <x:v>0</x:v>
      </x:c>
      <x:c r="Q35" s="7" t="s">
        <x:v>5119</x:v>
      </x:c>
      <x:c r="R35" s="26" t="s">
        <x:v>5120</x:v>
      </x:c>
      <x:c r="S35" s="7" t="s">
        <x:v>5304</x:v>
      </x:c>
      <x:c r="T35" s="49"/>
      <x:c r="U35" s="49"/>
      <x:c r="V35" s="50" t="s">
        <x:v>5288</x:v>
      </x:c>
      <x:c r="W35" s="48"/>
      <x:c r="X35" s="48"/>
      <x:c r="Y35" s="48"/>
      <x:c r="Z35" s="48"/>
    </x:row>
    <x:row r="36">
      <x:c r="A36" s="7" t="s">
        <x:v>5305</x:v>
      </x:c>
      <x:c r="B36" s="7" t="s">
        <x:v>403</x:v>
      </x:c>
      <x:c r="C36" s="7" t="s">
        <x:v>5306</x:v>
      </x:c>
      <x:c r="D36" s="7" t="s">
        <x:v>5113</x:v>
      </x:c>
      <x:c r="E36" s="10">
        <x:v>100.0</x:v>
      </x:c>
      <x:c r="F36" s="10">
        <x:v>2.0</x:v>
      </x:c>
      <x:c r="G36" s="10">
        <x:v>98.0</x:v>
      </x:c>
      <x:c r="H36" s="7" t="s">
        <x:v>5114</x:v>
      </x:c>
      <x:c r="I36" s="7" t="s">
        <x:v>5115</x:v>
      </x:c>
      <x:c r="J36" s="41"/>
      <x:c r="K36" s="7" t="s">
        <x:v>5307</x:v>
      </x:c>
      <x:c r="L36" s="41"/>
      <x:c r="M36" s="7" t="s">
        <x:v>5308</x:v>
      </x:c>
      <x:c r="N36" s="7" t="s">
        <x:v>5309</x:v>
      </x:c>
      <x:c r="O36" s="7" t="s">
        <x:v>5118</x:v>
      </x:c>
      <x:c r="P36" s="7" t="b">
        <x:v>0</x:v>
      </x:c>
      <x:c r="Q36" s="7" t="s">
        <x:v>5119</x:v>
      </x:c>
      <x:c r="R36" s="26" t="s">
        <x:v>5120</x:v>
      </x:c>
      <x:c r="S36" s="7" t="s">
        <x:v>5310</x:v>
      </x:c>
      <x:c r="T36" s="49"/>
      <x:c r="U36" s="49"/>
      <x:c r="V36" s="50" t="s">
        <x:v>5311</x:v>
      </x:c>
      <x:c r="W36" s="48"/>
      <x:c r="X36" s="50" t="s">
        <x:v>5119</x:v>
      </x:c>
      <x:c r="Y36" s="48"/>
      <x:c r="Z36" s="48"/>
    </x:row>
    <x:row r="37">
      <x:c r="A37" s="7" t="s">
        <x:v>5312</x:v>
      </x:c>
      <x:c r="B37" s="7" t="s">
        <x:v>403</x:v>
      </x:c>
      <x:c r="C37" s="7" t="s">
        <x:v>5313</x:v>
      </x:c>
      <x:c r="D37" s="7" t="s">
        <x:v>5113</x:v>
      </x:c>
      <x:c r="E37" s="10">
        <x:v>100.0</x:v>
      </x:c>
      <x:c r="F37" s="10">
        <x:v>70.0</x:v>
      </x:c>
      <x:c r="G37" s="10">
        <x:v>30.0</x:v>
      </x:c>
      <x:c r="H37" s="7" t="s">
        <x:v>5114</x:v>
      </x:c>
      <x:c r="I37" s="7" t="s">
        <x:v>5115</x:v>
      </x:c>
      <x:c r="J37" s="41"/>
      <x:c r="K37" s="7" t="s">
        <x:v>5314</x:v>
      </x:c>
      <x:c r="L37" s="41"/>
      <x:c r="M37" s="7" t="s">
        <x:v>5308</x:v>
      </x:c>
      <x:c r="N37" s="7" t="s">
        <x:v>5315</x:v>
      </x:c>
      <x:c r="O37" s="7" t="s">
        <x:v>5118</x:v>
      </x:c>
      <x:c r="P37" s="7" t="b">
        <x:v>0</x:v>
      </x:c>
      <x:c r="Q37" s="7" t="s">
        <x:v>5119</x:v>
      </x:c>
      <x:c r="R37" s="26" t="s">
        <x:v>5120</x:v>
      </x:c>
      <x:c r="S37" s="7" t="s">
        <x:v>5316</x:v>
      </x:c>
      <x:c r="T37" s="49"/>
      <x:c r="U37" s="49"/>
      <x:c r="V37" s="50" t="s">
        <x:v>5311</x:v>
      </x:c>
      <x:c r="W37" s="48"/>
      <x:c r="X37" s="50" t="s">
        <x:v>5119</x:v>
      </x:c>
      <x:c r="Y37" s="48"/>
      <x:c r="Z37" s="48"/>
    </x:row>
    <x:row r="38">
      <x:c r="A38" s="7" t="s">
        <x:v>5317</x:v>
      </x:c>
      <x:c r="B38" s="7" t="s">
        <x:v>403</x:v>
      </x:c>
      <x:c r="C38" s="7" t="s">
        <x:v>5318</x:v>
      </x:c>
      <x:c r="D38" s="7" t="s">
        <x:v>5113</x:v>
      </x:c>
      <x:c r="E38" s="10">
        <x:v>50.0</x:v>
      </x:c>
      <x:c r="F38" s="10">
        <x:v>16.0</x:v>
      </x:c>
      <x:c r="G38" s="10">
        <x:v>34.0</x:v>
      </x:c>
      <x:c r="H38" s="7" t="s">
        <x:v>5114</x:v>
      </x:c>
      <x:c r="I38" s="7" t="s">
        <x:v>5115</x:v>
      </x:c>
      <x:c r="J38" s="41"/>
      <x:c r="K38" s="7" t="s">
        <x:v>5319</x:v>
      </x:c>
      <x:c r="L38" s="41"/>
      <x:c r="M38" s="7" t="s">
        <x:v>5308</x:v>
      </x:c>
      <x:c r="N38" s="7" t="s">
        <x:v>5320</x:v>
      </x:c>
      <x:c r="O38" s="7" t="s">
        <x:v>5118</x:v>
      </x:c>
      <x:c r="P38" s="7" t="b">
        <x:v>0</x:v>
      </x:c>
      <x:c r="Q38" s="7" t="s">
        <x:v>5119</x:v>
      </x:c>
      <x:c r="R38" s="26" t="s">
        <x:v>5120</x:v>
      </x:c>
      <x:c r="S38" s="7" t="s">
        <x:v>5321</x:v>
      </x:c>
      <x:c r="T38" s="49"/>
      <x:c r="U38" s="49"/>
      <x:c r="V38" s="50" t="s">
        <x:v>5311</x:v>
      </x:c>
      <x:c r="W38" s="48"/>
      <x:c r="X38" s="50" t="s">
        <x:v>5119</x:v>
      </x:c>
      <x:c r="Y38" s="48"/>
      <x:c r="Z38" s="48"/>
    </x:row>
    <x:row r="39">
      <x:c r="A39" s="7" t="s">
        <x:v>5322</x:v>
      </x:c>
      <x:c r="B39" s="7" t="s">
        <x:v>403</x:v>
      </x:c>
      <x:c r="C39" s="7" t="s">
        <x:v>5323</x:v>
      </x:c>
      <x:c r="D39" s="7" t="s">
        <x:v>5113</x:v>
      </x:c>
      <x:c r="E39" s="10">
        <x:v>80.0</x:v>
      </x:c>
      <x:c r="F39" s="10">
        <x:v>15.0</x:v>
      </x:c>
      <x:c r="G39" s="10">
        <x:v>65.0</x:v>
      </x:c>
      <x:c r="H39" s="7" t="s">
        <x:v>5114</x:v>
      </x:c>
      <x:c r="I39" s="7" t="s">
        <x:v>5115</x:v>
      </x:c>
      <x:c r="J39" s="41"/>
      <x:c r="K39" s="7" t="s">
        <x:v>5324</x:v>
      </x:c>
      <x:c r="L39" s="41"/>
      <x:c r="M39" s="7" t="s">
        <x:v>5308</x:v>
      </x:c>
      <x:c r="N39" s="7" t="s">
        <x:v>5325</x:v>
      </x:c>
      <x:c r="O39" s="7" t="s">
        <x:v>5118</x:v>
      </x:c>
      <x:c r="P39" s="7" t="b">
        <x:v>0</x:v>
      </x:c>
      <x:c r="Q39" s="7" t="s">
        <x:v>5119</x:v>
      </x:c>
      <x:c r="R39" s="26" t="s">
        <x:v>5120</x:v>
      </x:c>
      <x:c r="S39" s="7" t="s">
        <x:v>5326</x:v>
      </x:c>
      <x:c r="T39" s="49"/>
      <x:c r="U39" s="49"/>
      <x:c r="V39" s="50" t="s">
        <x:v>5311</x:v>
      </x:c>
      <x:c r="W39" s="48"/>
      <x:c r="X39" s="50" t="s">
        <x:v>5119</x:v>
      </x:c>
      <x:c r="Y39" s="48"/>
      <x:c r="Z39" s="48"/>
    </x:row>
    <x:row r="40">
      <x:c r="A40" s="7" t="s">
        <x:v>5327</x:v>
      </x:c>
      <x:c r="B40" s="7" t="s">
        <x:v>403</x:v>
      </x:c>
      <x:c r="C40" s="7" t="s">
        <x:v>5328</x:v>
      </x:c>
      <x:c r="D40" s="7" t="s">
        <x:v>5113</x:v>
      </x:c>
      <x:c r="E40" s="10">
        <x:v>150.0</x:v>
      </x:c>
      <x:c r="F40" s="10">
        <x:v>12.0</x:v>
      </x:c>
      <x:c r="G40" s="10">
        <x:v>138.0</x:v>
      </x:c>
      <x:c r="H40" s="7" t="s">
        <x:v>5114</x:v>
      </x:c>
      <x:c r="I40" s="7" t="s">
        <x:v>5115</x:v>
      </x:c>
      <x:c r="J40" s="41"/>
      <x:c r="K40" s="7" t="s">
        <x:v>5329</x:v>
      </x:c>
      <x:c r="L40" s="41"/>
      <x:c r="M40" s="7" t="s">
        <x:v>5308</x:v>
      </x:c>
      <x:c r="N40" s="7" t="s">
        <x:v>5330</x:v>
      </x:c>
      <x:c r="O40" s="7" t="s">
        <x:v>5118</x:v>
      </x:c>
      <x:c r="P40" s="7" t="b">
        <x:v>0</x:v>
      </x:c>
      <x:c r="Q40" s="7" t="s">
        <x:v>5119</x:v>
      </x:c>
      <x:c r="R40" s="26" t="s">
        <x:v>5120</x:v>
      </x:c>
      <x:c r="S40" s="7" t="s">
        <x:v>5331</x:v>
      </x:c>
      <x:c r="T40" s="49"/>
      <x:c r="U40" s="49"/>
      <x:c r="V40" s="50" t="s">
        <x:v>5311</x:v>
      </x:c>
      <x:c r="W40" s="48"/>
      <x:c r="X40" s="50" t="s">
        <x:v>5119</x:v>
      </x:c>
      <x:c r="Y40" s="48"/>
      <x:c r="Z40" s="48"/>
    </x:row>
    <x:row r="41">
      <x:c r="A41" s="7" t="s">
        <x:v>5332</x:v>
      </x:c>
      <x:c r="B41" s="7" t="s">
        <x:v>403</x:v>
      </x:c>
      <x:c r="C41" s="7" t="s">
        <x:v>5333</x:v>
      </x:c>
      <x:c r="D41" s="7" t="s">
        <x:v>5113</x:v>
      </x:c>
      <x:c r="E41" s="10">
        <x:v>150.0</x:v>
      </x:c>
      <x:c r="F41" s="10">
        <x:v>299.0</x:v>
      </x:c>
      <x:c r="G41" s="10">
        <x:v>0.0</x:v>
      </x:c>
      <x:c r="H41" s="7" t="s">
        <x:v>5114</x:v>
      </x:c>
      <x:c r="I41" s="7" t="s">
        <x:v>5169</x:v>
      </x:c>
      <x:c r="J41" s="41"/>
      <x:c r="K41" s="7" t="s">
        <x:v>5334</x:v>
      </x:c>
      <x:c r="L41" s="41"/>
      <x:c r="M41" s="7" t="s">
        <x:v>5308</x:v>
      </x:c>
      <x:c r="N41" s="7" t="s">
        <x:v>5335</x:v>
      </x:c>
      <x:c r="O41" s="7" t="s">
        <x:v>5118</x:v>
      </x:c>
      <x:c r="P41" s="7" t="b">
        <x:v>0</x:v>
      </x:c>
      <x:c r="Q41" s="7" t="s">
        <x:v>5119</x:v>
      </x:c>
      <x:c r="R41" s="26" t="s">
        <x:v>5120</x:v>
      </x:c>
      <x:c r="S41" s="7" t="s">
        <x:v>5336</x:v>
      </x:c>
      <x:c r="T41" s="49"/>
      <x:c r="U41" s="49"/>
      <x:c r="V41" s="50" t="s">
        <x:v>5311</x:v>
      </x:c>
      <x:c r="W41" s="48"/>
      <x:c r="X41" s="50" t="s">
        <x:v>5119</x:v>
      </x:c>
      <x:c r="Y41" s="48"/>
      <x:c r="Z41" s="48"/>
    </x:row>
    <x:row r="42">
      <x:c r="A42" s="7" t="s">
        <x:v>5337</x:v>
      </x:c>
      <x:c r="B42" s="7" t="s">
        <x:v>479</x:v>
      </x:c>
      <x:c r="C42" s="7" t="s">
        <x:v>5338</x:v>
      </x:c>
      <x:c r="D42" s="7" t="s">
        <x:v>5113</x:v>
      </x:c>
      <x:c r="E42" s="10">
        <x:v>60.0</x:v>
      </x:c>
      <x:c r="F42" s="10">
        <x:v>30.0</x:v>
      </x:c>
      <x:c r="G42" s="10">
        <x:v>30.0</x:v>
      </x:c>
      <x:c r="H42" s="7" t="s">
        <x:v>5114</x:v>
      </x:c>
      <x:c r="I42" s="7" t="s">
        <x:v>5115</x:v>
      </x:c>
      <x:c r="J42" s="41"/>
      <x:c r="K42" s="41"/>
      <x:c r="L42" s="41"/>
      <x:c r="M42" s="7" t="s">
        <x:v>5339</x:v>
      </x:c>
      <x:c r="N42" s="7" t="s">
        <x:v>5340</x:v>
      </x:c>
      <x:c r="O42" s="7" t="s">
        <x:v>5118</x:v>
      </x:c>
      <x:c r="P42" s="7" t="b">
        <x:v>0</x:v>
      </x:c>
      <x:c r="Q42" s="7" t="s">
        <x:v>5119</x:v>
      </x:c>
      <x:c r="R42" s="26" t="s">
        <x:v>5120</x:v>
      </x:c>
      <x:c r="S42" s="7" t="s">
        <x:v>5341</x:v>
      </x:c>
      <x:c r="T42" s="49"/>
      <x:c r="U42" s="49"/>
      <x:c r="V42" s="50" t="s">
        <x:v>5311</x:v>
      </x:c>
      <x:c r="W42" s="48"/>
      <x:c r="X42" s="50" t="s">
        <x:v>5119</x:v>
      </x:c>
      <x:c r="Y42" s="48"/>
      <x:c r="Z42" s="48"/>
    </x:row>
    <x:row r="43">
      <x:c r="A43" s="7" t="s">
        <x:v>5342</x:v>
      </x:c>
      <x:c r="B43" s="7" t="s">
        <x:v>479</x:v>
      </x:c>
      <x:c r="C43" s="7" t="s">
        <x:v>5343</x:v>
      </x:c>
      <x:c r="D43" s="7" t="s">
        <x:v>5113</x:v>
      </x:c>
      <x:c r="E43" s="10">
        <x:v>50.0</x:v>
      </x:c>
      <x:c r="F43" s="10">
        <x:v>42.0</x:v>
      </x:c>
      <x:c r="G43" s="10">
        <x:v>8.0</x:v>
      </x:c>
      <x:c r="H43" s="7" t="s">
        <x:v>5114</x:v>
      </x:c>
      <x:c r="I43" s="7" t="s">
        <x:v>5115</x:v>
      </x:c>
      <x:c r="J43" s="41"/>
      <x:c r="K43" s="41"/>
      <x:c r="L43" s="41"/>
      <x:c r="M43" s="7" t="s">
        <x:v>5344</x:v>
      </x:c>
      <x:c r="N43" s="7" t="s">
        <x:v>5345</x:v>
      </x:c>
      <x:c r="O43" s="7" t="s">
        <x:v>5118</x:v>
      </x:c>
      <x:c r="P43" s="7" t="b">
        <x:v>0</x:v>
      </x:c>
      <x:c r="Q43" s="7" t="s">
        <x:v>5119</x:v>
      </x:c>
      <x:c r="R43" s="26" t="s">
        <x:v>5120</x:v>
      </x:c>
      <x:c r="S43" s="7" t="s">
        <x:v>5346</x:v>
      </x:c>
      <x:c r="T43" s="49"/>
      <x:c r="U43" s="49"/>
      <x:c r="V43" s="50" t="s">
        <x:v>5311</x:v>
      </x:c>
      <x:c r="W43" s="48"/>
      <x:c r="X43" s="50" t="s">
        <x:v>5119</x:v>
      </x:c>
      <x:c r="Y43" s="48"/>
      <x:c r="Z43" s="48"/>
    </x:row>
    <x:row r="44">
      <x:c r="A44" s="7" t="s">
        <x:v>5347</x:v>
      </x:c>
      <x:c r="B44" s="7" t="s">
        <x:v>501</x:v>
      </x:c>
      <x:c r="C44" s="7" t="s">
        <x:v>5348</x:v>
      </x:c>
      <x:c r="D44" s="7" t="s">
        <x:v>5113</x:v>
      </x:c>
      <x:c r="E44" s="10">
        <x:v>200.0</x:v>
      </x:c>
      <x:c r="F44" s="10">
        <x:v>0.0</x:v>
      </x:c>
      <x:c r="G44" s="10">
        <x:v>200.0</x:v>
      </x:c>
      <x:c r="H44" s="7" t="s">
        <x:v>5114</x:v>
      </x:c>
      <x:c r="I44" s="7" t="s">
        <x:v>5115</x:v>
      </x:c>
      <x:c r="J44" s="26" t="s">
        <x:v>5349</x:v>
      </x:c>
      <x:c r="K44" s="41"/>
      <x:c r="L44" s="41"/>
      <x:c r="M44" s="7" t="s">
        <x:v>5350</x:v>
      </x:c>
      <x:c r="N44" s="7" t="s">
        <x:v>5350</x:v>
      </x:c>
      <x:c r="O44" s="7" t="s">
        <x:v>5118</x:v>
      </x:c>
      <x:c r="P44" s="7" t="b">
        <x:v>0</x:v>
      </x:c>
      <x:c r="Q44" s="7" t="s">
        <x:v>5119</x:v>
      </x:c>
      <x:c r="R44" s="26" t="s">
        <x:v>5120</x:v>
      </x:c>
      <x:c r="S44" s="7" t="s">
        <x:v>5351</x:v>
      </x:c>
      <x:c r="T44" s="49"/>
      <x:c r="U44" s="49"/>
      <x:c r="V44" s="50" t="s">
        <x:v>5288</x:v>
      </x:c>
      <x:c r="W44" s="48"/>
      <x:c r="X44" s="48"/>
      <x:c r="Y44" s="48"/>
      <x:c r="Z44" s="48"/>
    </x:row>
    <x:row r="45">
      <x:c r="A45" s="7" t="s">
        <x:v>5352</x:v>
      </x:c>
      <x:c r="B45" s="7" t="s">
        <x:v>544</x:v>
      </x:c>
      <x:c r="C45" s="7" t="s">
        <x:v>5353</x:v>
      </x:c>
      <x:c r="D45" s="7" t="s">
        <x:v>5113</x:v>
      </x:c>
      <x:c r="E45" s="10">
        <x:v>50.0</x:v>
      </x:c>
      <x:c r="F45" s="10">
        <x:v>0.0</x:v>
      </x:c>
      <x:c r="G45" s="10">
        <x:v>50.0</x:v>
      </x:c>
      <x:c r="H45" s="7" t="s">
        <x:v>5114</x:v>
      </x:c>
      <x:c r="I45" s="7" t="s">
        <x:v>5115</x:v>
      </x:c>
      <x:c r="J45" s="41"/>
      <x:c r="K45" s="7" t="s">
        <x:v>5354</x:v>
      </x:c>
      <x:c r="L45" s="41"/>
      <x:c r="M45" s="7" t="s">
        <x:v>5355</x:v>
      </x:c>
      <x:c r="N45" s="7" t="s">
        <x:v>5355</x:v>
      </x:c>
      <x:c r="O45" s="7" t="s">
        <x:v>5118</x:v>
      </x:c>
      <x:c r="P45" s="7" t="b">
        <x:v>0</x:v>
      </x:c>
      <x:c r="Q45" s="7" t="s">
        <x:v>5119</x:v>
      </x:c>
      <x:c r="R45" s="26" t="s">
        <x:v>5120</x:v>
      </x:c>
      <x:c r="S45" s="7" t="s">
        <x:v>5356</x:v>
      </x:c>
      <x:c r="T45" s="49"/>
      <x:c r="U45" s="49"/>
      <x:c r="V45" s="50" t="s">
        <x:v>5311</x:v>
      </x:c>
      <x:c r="W45" s="48"/>
      <x:c r="X45" s="50" t="s">
        <x:v>5119</x:v>
      </x:c>
      <x:c r="Y45" s="48"/>
      <x:c r="Z45" s="48"/>
    </x:row>
    <x:row r="46">
      <x:c r="A46" s="7" t="s">
        <x:v>5357</x:v>
      </x:c>
      <x:c r="B46" s="7" t="s">
        <x:v>544</x:v>
      </x:c>
      <x:c r="C46" s="7" t="s">
        <x:v>5358</x:v>
      </x:c>
      <x:c r="D46" s="7" t="s">
        <x:v>5113</x:v>
      </x:c>
      <x:c r="E46" s="10">
        <x:v>50.0</x:v>
      </x:c>
      <x:c r="F46" s="10">
        <x:v>0.0</x:v>
      </x:c>
      <x:c r="G46" s="10">
        <x:v>50.0</x:v>
      </x:c>
      <x:c r="H46" s="7" t="s">
        <x:v>5114</x:v>
      </x:c>
      <x:c r="I46" s="7" t="s">
        <x:v>5115</x:v>
      </x:c>
      <x:c r="J46" s="41"/>
      <x:c r="K46" s="7" t="s">
        <x:v>5354</x:v>
      </x:c>
      <x:c r="L46" s="41"/>
      <x:c r="M46" s="7" t="s">
        <x:v>5355</x:v>
      </x:c>
      <x:c r="N46" s="7" t="s">
        <x:v>5355</x:v>
      </x:c>
      <x:c r="O46" s="7" t="s">
        <x:v>5118</x:v>
      </x:c>
      <x:c r="P46" s="7" t="b">
        <x:v>0</x:v>
      </x:c>
      <x:c r="Q46" s="7" t="s">
        <x:v>5119</x:v>
      </x:c>
      <x:c r="R46" s="26" t="s">
        <x:v>5120</x:v>
      </x:c>
      <x:c r="S46" s="7" t="s">
        <x:v>5359</x:v>
      </x:c>
      <x:c r="T46" s="49"/>
      <x:c r="U46" s="49"/>
      <x:c r="V46" s="50" t="s">
        <x:v>5311</x:v>
      </x:c>
      <x:c r="W46" s="48"/>
      <x:c r="X46" s="50" t="s">
        <x:v>5119</x:v>
      </x:c>
      <x:c r="Y46" s="48"/>
      <x:c r="Z46" s="48"/>
    </x:row>
    <x:row r="47">
      <x:c r="A47" s="7" t="s">
        <x:v>5360</x:v>
      </x:c>
      <x:c r="B47" s="7" t="s">
        <x:v>544</x:v>
      </x:c>
      <x:c r="C47" s="7" t="s">
        <x:v>5361</x:v>
      </x:c>
      <x:c r="D47" s="7" t="s">
        <x:v>5113</x:v>
      </x:c>
      <x:c r="E47" s="10">
        <x:v>20.0</x:v>
      </x:c>
      <x:c r="F47" s="10">
        <x:v>0.0</x:v>
      </x:c>
      <x:c r="G47" s="10">
        <x:v>20.0</x:v>
      </x:c>
      <x:c r="H47" s="7" t="s">
        <x:v>5114</x:v>
      </x:c>
      <x:c r="I47" s="7" t="s">
        <x:v>5115</x:v>
      </x:c>
      <x:c r="J47" s="41"/>
      <x:c r="K47" s="7" t="s">
        <x:v>5354</x:v>
      </x:c>
      <x:c r="L47" s="41"/>
      <x:c r="M47" s="7" t="s">
        <x:v>5355</x:v>
      </x:c>
      <x:c r="N47" s="7" t="s">
        <x:v>5355</x:v>
      </x:c>
      <x:c r="O47" s="7" t="s">
        <x:v>5118</x:v>
      </x:c>
      <x:c r="P47" s="7" t="b">
        <x:v>0</x:v>
      </x:c>
      <x:c r="Q47" s="7" t="s">
        <x:v>5119</x:v>
      </x:c>
      <x:c r="R47" s="26" t="s">
        <x:v>5120</x:v>
      </x:c>
      <x:c r="S47" s="7" t="s">
        <x:v>5362</x:v>
      </x:c>
      <x:c r="T47" s="49"/>
      <x:c r="U47" s="49"/>
      <x:c r="V47" s="50" t="s">
        <x:v>5311</x:v>
      </x:c>
      <x:c r="W47" s="48"/>
      <x:c r="X47" s="50" t="s">
        <x:v>5119</x:v>
      </x:c>
      <x:c r="Y47" s="48"/>
      <x:c r="Z47" s="48"/>
    </x:row>
    <x:row r="48">
      <x:c r="A48" s="7" t="s">
        <x:v>5363</x:v>
      </x:c>
      <x:c r="B48" s="7" t="s">
        <x:v>544</x:v>
      </x:c>
      <x:c r="C48" s="7" t="s">
        <x:v>5364</x:v>
      </x:c>
      <x:c r="D48" s="7" t="s">
        <x:v>5113</x:v>
      </x:c>
      <x:c r="E48" s="10">
        <x:v>50.0</x:v>
      </x:c>
      <x:c r="F48" s="10">
        <x:v>0.0</x:v>
      </x:c>
      <x:c r="G48" s="10">
        <x:v>50.0</x:v>
      </x:c>
      <x:c r="H48" s="7" t="s">
        <x:v>5114</x:v>
      </x:c>
      <x:c r="I48" s="7" t="s">
        <x:v>5115</x:v>
      </x:c>
      <x:c r="J48" s="41"/>
      <x:c r="K48" s="7" t="s">
        <x:v>5354</x:v>
      </x:c>
      <x:c r="L48" s="41"/>
      <x:c r="M48" s="7" t="s">
        <x:v>5355</x:v>
      </x:c>
      <x:c r="N48" s="7" t="s">
        <x:v>5355</x:v>
      </x:c>
      <x:c r="O48" s="7" t="s">
        <x:v>5118</x:v>
      </x:c>
      <x:c r="P48" s="7" t="b">
        <x:v>0</x:v>
      </x:c>
      <x:c r="Q48" s="7" t="s">
        <x:v>5119</x:v>
      </x:c>
      <x:c r="R48" s="26" t="s">
        <x:v>5120</x:v>
      </x:c>
      <x:c r="S48" s="7" t="s">
        <x:v>5365</x:v>
      </x:c>
      <x:c r="T48" s="49"/>
      <x:c r="U48" s="49"/>
      <x:c r="V48" s="50" t="s">
        <x:v>5311</x:v>
      </x:c>
      <x:c r="W48" s="48"/>
      <x:c r="X48" s="50" t="s">
        <x:v>5119</x:v>
      </x:c>
      <x:c r="Y48" s="48"/>
      <x:c r="Z48" s="48"/>
    </x:row>
    <x:row r="49">
      <x:c r="A49" s="7" t="s">
        <x:v>5366</x:v>
      </x:c>
      <x:c r="B49" s="7" t="s">
        <x:v>544</x:v>
      </x:c>
      <x:c r="C49" s="7" t="s">
        <x:v>5367</x:v>
      </x:c>
      <x:c r="D49" s="7" t="s">
        <x:v>5113</x:v>
      </x:c>
      <x:c r="E49" s="10">
        <x:v>50.0</x:v>
      </x:c>
      <x:c r="F49" s="10">
        <x:v>0.0</x:v>
      </x:c>
      <x:c r="G49" s="10">
        <x:v>50.0</x:v>
      </x:c>
      <x:c r="H49" s="7" t="s">
        <x:v>5114</x:v>
      </x:c>
      <x:c r="I49" s="7" t="s">
        <x:v>5115</x:v>
      </x:c>
      <x:c r="J49" s="41"/>
      <x:c r="K49" s="7" t="s">
        <x:v>5354</x:v>
      </x:c>
      <x:c r="L49" s="41"/>
      <x:c r="M49" s="7" t="s">
        <x:v>5355</x:v>
      </x:c>
      <x:c r="N49" s="7" t="s">
        <x:v>5355</x:v>
      </x:c>
      <x:c r="O49" s="7" t="s">
        <x:v>5118</x:v>
      </x:c>
      <x:c r="P49" s="7" t="b">
        <x:v>0</x:v>
      </x:c>
      <x:c r="Q49" s="7" t="s">
        <x:v>5119</x:v>
      </x:c>
      <x:c r="R49" s="26" t="s">
        <x:v>5120</x:v>
      </x:c>
      <x:c r="S49" s="7" t="s">
        <x:v>5368</x:v>
      </x:c>
      <x:c r="T49" s="49"/>
      <x:c r="U49" s="49"/>
      <x:c r="V49" s="50" t="s">
        <x:v>5311</x:v>
      </x:c>
      <x:c r="W49" s="48"/>
      <x:c r="X49" s="50" t="s">
        <x:v>5119</x:v>
      </x:c>
      <x:c r="Y49" s="48"/>
      <x:c r="Z49" s="48"/>
    </x:row>
    <x:row r="50">
      <x:c r="A50" s="7" t="s">
        <x:v>5369</x:v>
      </x:c>
      <x:c r="B50" s="7" t="s">
        <x:v>544</x:v>
      </x:c>
      <x:c r="C50" s="7" t="s">
        <x:v>5370</x:v>
      </x:c>
      <x:c r="D50" s="7" t="s">
        <x:v>5113</x:v>
      </x:c>
      <x:c r="E50" s="10">
        <x:v>50.0</x:v>
      </x:c>
      <x:c r="F50" s="10">
        <x:v>0.0</x:v>
      </x:c>
      <x:c r="G50" s="10">
        <x:v>50.0</x:v>
      </x:c>
      <x:c r="H50" s="7" t="s">
        <x:v>5114</x:v>
      </x:c>
      <x:c r="I50" s="7" t="s">
        <x:v>5115</x:v>
      </x:c>
      <x:c r="J50" s="41"/>
      <x:c r="K50" s="7" t="s">
        <x:v>5354</x:v>
      </x:c>
      <x:c r="L50" s="41"/>
      <x:c r="M50" s="7" t="s">
        <x:v>5355</x:v>
      </x:c>
      <x:c r="N50" s="7" t="s">
        <x:v>5355</x:v>
      </x:c>
      <x:c r="O50" s="7" t="s">
        <x:v>5118</x:v>
      </x:c>
      <x:c r="P50" s="7" t="b">
        <x:v>0</x:v>
      </x:c>
      <x:c r="Q50" s="7" t="s">
        <x:v>5119</x:v>
      </x:c>
      <x:c r="R50" s="26" t="s">
        <x:v>5120</x:v>
      </x:c>
      <x:c r="S50" s="7" t="s">
        <x:v>5371</x:v>
      </x:c>
      <x:c r="T50" s="49"/>
      <x:c r="U50" s="49"/>
      <x:c r="V50" s="50" t="s">
        <x:v>5311</x:v>
      </x:c>
      <x:c r="W50" s="48"/>
      <x:c r="X50" s="50" t="s">
        <x:v>5119</x:v>
      </x:c>
      <x:c r="Y50" s="48"/>
      <x:c r="Z50" s="48"/>
    </x:row>
    <x:row r="51">
      <x:c r="A51" s="7" t="s">
        <x:v>5372</x:v>
      </x:c>
      <x:c r="B51" s="7" t="s">
        <x:v>544</x:v>
      </x:c>
      <x:c r="C51" s="7" t="s">
        <x:v>5373</x:v>
      </x:c>
      <x:c r="D51" s="7" t="s">
        <x:v>5113</x:v>
      </x:c>
      <x:c r="E51" s="10">
        <x:v>50.0</x:v>
      </x:c>
      <x:c r="F51" s="10">
        <x:v>0.0</x:v>
      </x:c>
      <x:c r="G51" s="10">
        <x:v>50.0</x:v>
      </x:c>
      <x:c r="H51" s="7" t="s">
        <x:v>5114</x:v>
      </x:c>
      <x:c r="I51" s="7" t="s">
        <x:v>5115</x:v>
      </x:c>
      <x:c r="J51" s="41"/>
      <x:c r="K51" s="7" t="s">
        <x:v>5354</x:v>
      </x:c>
      <x:c r="L51" s="41"/>
      <x:c r="M51" s="7" t="s">
        <x:v>5355</x:v>
      </x:c>
      <x:c r="N51" s="7" t="s">
        <x:v>5355</x:v>
      </x:c>
      <x:c r="O51" s="7" t="s">
        <x:v>5118</x:v>
      </x:c>
      <x:c r="P51" s="7" t="b">
        <x:v>0</x:v>
      </x:c>
      <x:c r="Q51" s="7" t="s">
        <x:v>5119</x:v>
      </x:c>
      <x:c r="R51" s="26" t="s">
        <x:v>5120</x:v>
      </x:c>
      <x:c r="S51" s="7" t="s">
        <x:v>5374</x:v>
      </x:c>
      <x:c r="T51" s="49"/>
      <x:c r="U51" s="49"/>
      <x:c r="V51" s="50" t="s">
        <x:v>5311</x:v>
      </x:c>
      <x:c r="W51" s="48"/>
      <x:c r="X51" s="50" t="s">
        <x:v>5119</x:v>
      </x:c>
      <x:c r="Y51" s="48"/>
      <x:c r="Z51" s="48"/>
    </x:row>
    <x:row r="52">
      <x:c r="A52" s="7" t="s">
        <x:v>5375</x:v>
      </x:c>
      <x:c r="B52" s="7" t="s">
        <x:v>347</x:v>
      </x:c>
      <x:c r="C52" s="7" t="s">
        <x:v>5376</x:v>
      </x:c>
      <x:c r="D52" s="7" t="s">
        <x:v>5113</x:v>
      </x:c>
      <x:c r="E52" s="10">
        <x:v>50.0</x:v>
      </x:c>
      <x:c r="F52" s="10">
        <x:v>0.0</x:v>
      </x:c>
      <x:c r="G52" s="10">
        <x:v>50.0</x:v>
      </x:c>
      <x:c r="H52" s="7" t="s">
        <x:v>5114</x:v>
      </x:c>
      <x:c r="I52" s="7" t="s">
        <x:v>5115</x:v>
      </x:c>
      <x:c r="J52" s="26" t="s">
        <x:v>5377</x:v>
      </x:c>
      <x:c r="K52" s="41"/>
      <x:c r="L52" s="41"/>
      <x:c r="M52" s="7" t="s">
        <x:v>5378</x:v>
      </x:c>
      <x:c r="N52" s="7" t="s">
        <x:v>5379</x:v>
      </x:c>
      <x:c r="O52" s="7" t="s">
        <x:v>5118</x:v>
      </x:c>
      <x:c r="P52" s="7" t="b">
        <x:v>0</x:v>
      </x:c>
      <x:c r="Q52" s="7" t="s">
        <x:v>5119</x:v>
      </x:c>
      <x:c r="R52" s="26" t="s">
        <x:v>5120</x:v>
      </x:c>
      <x:c r="S52" s="7" t="s">
        <x:v>5380</x:v>
      </x:c>
      <x:c r="T52" s="49"/>
      <x:c r="U52" s="49"/>
      <x:c r="V52" s="50" t="s">
        <x:v>5288</x:v>
      </x:c>
      <x:c r="W52" s="48"/>
      <x:c r="X52" s="48"/>
      <x:c r="Y52" s="48"/>
      <x:c r="Z52" s="48"/>
    </x:row>
    <x:row r="53">
      <x:c r="A53" s="7" t="s">
        <x:v>5381</x:v>
      </x:c>
      <x:c r="B53" s="7" t="s">
        <x:v>347</x:v>
      </x:c>
      <x:c r="C53" s="7" t="s">
        <x:v>5382</x:v>
      </x:c>
      <x:c r="D53" s="7" t="s">
        <x:v>5113</x:v>
      </x:c>
      <x:c r="E53" s="10">
        <x:v>50.0</x:v>
      </x:c>
      <x:c r="F53" s="10">
        <x:v>0.0</x:v>
      </x:c>
      <x:c r="G53" s="10">
        <x:v>50.0</x:v>
      </x:c>
      <x:c r="H53" s="7" t="s">
        <x:v>5114</x:v>
      </x:c>
      <x:c r="I53" s="7" t="s">
        <x:v>5115</x:v>
      </x:c>
      <x:c r="J53" s="26" t="s">
        <x:v>5383</x:v>
      </x:c>
      <x:c r="K53" s="41"/>
      <x:c r="L53" s="41"/>
      <x:c r="M53" s="7" t="s">
        <x:v>5384</x:v>
      </x:c>
      <x:c r="N53" s="7" t="s">
        <x:v>5384</x:v>
      </x:c>
      <x:c r="O53" s="7" t="s">
        <x:v>5118</x:v>
      </x:c>
      <x:c r="P53" s="7" t="b">
        <x:v>0</x:v>
      </x:c>
      <x:c r="Q53" s="7" t="s">
        <x:v>5119</x:v>
      </x:c>
      <x:c r="R53" s="26" t="s">
        <x:v>5120</x:v>
      </x:c>
      <x:c r="S53" s="7" t="s">
        <x:v>5385</x:v>
      </x:c>
      <x:c r="T53" s="49"/>
      <x:c r="U53" s="49"/>
      <x:c r="V53" s="50" t="s">
        <x:v>5288</x:v>
      </x:c>
      <x:c r="W53" s="48"/>
      <x:c r="X53" s="48"/>
      <x:c r="Y53" s="48"/>
      <x:c r="Z53" s="48"/>
    </x:row>
    <x:row r="54">
      <x:c r="A54" s="7" t="s">
        <x:v>5386</x:v>
      </x:c>
      <x:c r="B54" s="7" t="s">
        <x:v>347</x:v>
      </x:c>
      <x:c r="C54" s="7" t="s">
        <x:v>5387</x:v>
      </x:c>
      <x:c r="D54" s="7" t="s">
        <x:v>5113</x:v>
      </x:c>
      <x:c r="E54" s="10">
        <x:v>35.0</x:v>
      </x:c>
      <x:c r="F54" s="10">
        <x:v>3.0</x:v>
      </x:c>
      <x:c r="G54" s="10">
        <x:v>32.0</x:v>
      </x:c>
      <x:c r="H54" s="7" t="s">
        <x:v>5114</x:v>
      </x:c>
      <x:c r="I54" s="7" t="s">
        <x:v>5115</x:v>
      </x:c>
      <x:c r="J54" s="26" t="s">
        <x:v>5388</x:v>
      </x:c>
      <x:c r="K54" s="41"/>
      <x:c r="L54" s="41"/>
      <x:c r="M54" s="7" t="s">
        <x:v>5389</x:v>
      </x:c>
      <x:c r="N54" s="7" t="s">
        <x:v>5390</x:v>
      </x:c>
      <x:c r="O54" s="7" t="s">
        <x:v>5118</x:v>
      </x:c>
      <x:c r="P54" s="7" t="b">
        <x:v>0</x:v>
      </x:c>
      <x:c r="Q54" s="7" t="s">
        <x:v>5119</x:v>
      </x:c>
      <x:c r="R54" s="26" t="s">
        <x:v>5120</x:v>
      </x:c>
      <x:c r="S54" s="7" t="s">
        <x:v>5391</x:v>
      </x:c>
      <x:c r="T54" s="49"/>
      <x:c r="U54" s="49"/>
      <x:c r="V54" s="50" t="s">
        <x:v>5288</x:v>
      </x:c>
      <x:c r="W54" s="48"/>
      <x:c r="X54" s="48"/>
      <x:c r="Y54" s="48"/>
      <x:c r="Z54" s="48"/>
    </x:row>
    <x:row r="55">
      <x:c r="A55" s="7" t="s">
        <x:v>5392</x:v>
      </x:c>
      <x:c r="B55" s="7" t="s">
        <x:v>347</x:v>
      </x:c>
      <x:c r="C55" s="7" t="s">
        <x:v>5393</x:v>
      </x:c>
      <x:c r="D55" s="7" t="s">
        <x:v>5113</x:v>
      </x:c>
      <x:c r="E55" s="10">
        <x:v>20.0</x:v>
      </x:c>
      <x:c r="F55" s="10">
        <x:v>0.0</x:v>
      </x:c>
      <x:c r="G55" s="10">
        <x:v>20.0</x:v>
      </x:c>
      <x:c r="H55" s="7" t="s">
        <x:v>5114</x:v>
      </x:c>
      <x:c r="I55" s="7" t="s">
        <x:v>5115</x:v>
      </x:c>
      <x:c r="J55" s="26" t="s">
        <x:v>5394</x:v>
      </x:c>
      <x:c r="K55" s="41"/>
      <x:c r="L55" s="41"/>
      <x:c r="M55" s="7" t="s">
        <x:v>5395</x:v>
      </x:c>
      <x:c r="N55" s="7" t="s">
        <x:v>5396</x:v>
      </x:c>
      <x:c r="O55" s="7" t="s">
        <x:v>5118</x:v>
      </x:c>
      <x:c r="P55" s="7" t="b">
        <x:v>0</x:v>
      </x:c>
      <x:c r="Q55" s="7" t="s">
        <x:v>5119</x:v>
      </x:c>
      <x:c r="R55" s="26" t="s">
        <x:v>5120</x:v>
      </x:c>
      <x:c r="S55" s="7" t="s">
        <x:v>5397</x:v>
      </x:c>
      <x:c r="T55" s="49"/>
      <x:c r="U55" s="49"/>
      <x:c r="V55" s="50" t="s">
        <x:v>5288</x:v>
      </x:c>
      <x:c r="W55" s="48"/>
      <x:c r="X55" s="48"/>
      <x:c r="Y55" s="48"/>
      <x:c r="Z55" s="48"/>
    </x:row>
    <x:row r="56">
      <x:c r="A56" s="7" t="s">
        <x:v>5398</x:v>
      </x:c>
      <x:c r="B56" s="7" t="s">
        <x:v>347</x:v>
      </x:c>
      <x:c r="C56" s="7" t="s">
        <x:v>5399</x:v>
      </x:c>
      <x:c r="D56" s="7" t="s">
        <x:v>5113</x:v>
      </x:c>
      <x:c r="E56" s="10">
        <x:v>20.0</x:v>
      </x:c>
      <x:c r="F56" s="10">
        <x:v>0.0</x:v>
      </x:c>
      <x:c r="G56" s="10">
        <x:v>20.0</x:v>
      </x:c>
      <x:c r="H56" s="7" t="s">
        <x:v>5114</x:v>
      </x:c>
      <x:c r="I56" s="7" t="s">
        <x:v>5115</x:v>
      </x:c>
      <x:c r="J56" s="26" t="s">
        <x:v>5400</x:v>
      </x:c>
      <x:c r="K56" s="41"/>
      <x:c r="L56" s="41"/>
      <x:c r="M56" s="7" t="s">
        <x:v>5401</x:v>
      </x:c>
      <x:c r="N56" s="7" t="s">
        <x:v>5402</x:v>
      </x:c>
      <x:c r="O56" s="7" t="s">
        <x:v>5118</x:v>
      </x:c>
      <x:c r="P56" s="7" t="b">
        <x:v>0</x:v>
      </x:c>
      <x:c r="Q56" s="7" t="s">
        <x:v>5119</x:v>
      </x:c>
      <x:c r="R56" s="26" t="s">
        <x:v>5120</x:v>
      </x:c>
      <x:c r="S56" s="7" t="s">
        <x:v>5403</x:v>
      </x:c>
      <x:c r="T56" s="49"/>
      <x:c r="U56" s="49"/>
      <x:c r="V56" s="50" t="s">
        <x:v>5288</x:v>
      </x:c>
      <x:c r="W56" s="48"/>
      <x:c r="X56" s="48"/>
      <x:c r="Y56" s="48"/>
      <x:c r="Z56" s="48"/>
    </x:row>
    <x:row r="57">
      <x:c r="A57" s="7" t="s">
        <x:v>5404</x:v>
      </x:c>
      <x:c r="B57" s="7" t="s">
        <x:v>347</x:v>
      </x:c>
      <x:c r="C57" s="7" t="s">
        <x:v>5405</x:v>
      </x:c>
      <x:c r="D57" s="7" t="s">
        <x:v>5113</x:v>
      </x:c>
      <x:c r="E57" s="10">
        <x:v>20.0</x:v>
      </x:c>
      <x:c r="F57" s="10">
        <x:v>6.0</x:v>
      </x:c>
      <x:c r="G57" s="10">
        <x:v>14.0</x:v>
      </x:c>
      <x:c r="H57" s="7" t="s">
        <x:v>5114</x:v>
      </x:c>
      <x:c r="I57" s="7" t="s">
        <x:v>5115</x:v>
      </x:c>
      <x:c r="J57" s="26" t="s">
        <x:v>5406</x:v>
      </x:c>
      <x:c r="K57" s="41"/>
      <x:c r="L57" s="41"/>
      <x:c r="M57" s="7" t="s">
        <x:v>5407</x:v>
      </x:c>
      <x:c r="N57" s="7" t="s">
        <x:v>5408</x:v>
      </x:c>
      <x:c r="O57" s="7" t="s">
        <x:v>5118</x:v>
      </x:c>
      <x:c r="P57" s="7" t="b">
        <x:v>0</x:v>
      </x:c>
      <x:c r="Q57" s="7" t="s">
        <x:v>5119</x:v>
      </x:c>
      <x:c r="R57" s="26" t="s">
        <x:v>5120</x:v>
      </x:c>
      <x:c r="S57" s="7" t="s">
        <x:v>5409</x:v>
      </x:c>
      <x:c r="T57" s="49"/>
      <x:c r="U57" s="49"/>
      <x:c r="V57" s="50" t="s">
        <x:v>5288</x:v>
      </x:c>
      <x:c r="W57" s="48"/>
      <x:c r="X57" s="48"/>
      <x:c r="Y57" s="48"/>
      <x:c r="Z57" s="48"/>
    </x:row>
    <x:row r="58">
      <x:c r="A58" s="7" t="s">
        <x:v>5410</x:v>
      </x:c>
      <x:c r="B58" s="7" t="s">
        <x:v>347</x:v>
      </x:c>
      <x:c r="C58" s="7" t="s">
        <x:v>5411</x:v>
      </x:c>
      <x:c r="D58" s="7" t="s">
        <x:v>5113</x:v>
      </x:c>
      <x:c r="E58" s="10">
        <x:v>30.0</x:v>
      </x:c>
      <x:c r="F58" s="10">
        <x:v>0.0</x:v>
      </x:c>
      <x:c r="G58" s="10">
        <x:v>30.0</x:v>
      </x:c>
      <x:c r="H58" s="7" t="s">
        <x:v>5114</x:v>
      </x:c>
      <x:c r="I58" s="7" t="s">
        <x:v>5115</x:v>
      </x:c>
      <x:c r="J58" s="26" t="s">
        <x:v>5412</x:v>
      </x:c>
      <x:c r="K58" s="41"/>
      <x:c r="L58" s="41"/>
      <x:c r="M58" s="7" t="s">
        <x:v>5413</x:v>
      </x:c>
      <x:c r="N58" s="7" t="s">
        <x:v>5414</x:v>
      </x:c>
      <x:c r="O58" s="7" t="s">
        <x:v>5118</x:v>
      </x:c>
      <x:c r="P58" s="7" t="b">
        <x:v>0</x:v>
      </x:c>
      <x:c r="Q58" s="7" t="s">
        <x:v>5119</x:v>
      </x:c>
      <x:c r="R58" s="26" t="s">
        <x:v>5120</x:v>
      </x:c>
      <x:c r="S58" s="7" t="s">
        <x:v>5415</x:v>
      </x:c>
      <x:c r="T58" s="49"/>
      <x:c r="U58" s="49"/>
      <x:c r="V58" s="50" t="s">
        <x:v>5288</x:v>
      </x:c>
      <x:c r="W58" s="48"/>
      <x:c r="X58" s="48"/>
      <x:c r="Y58" s="48"/>
      <x:c r="Z58" s="48"/>
    </x:row>
    <x:row r="59">
      <x:c r="A59" s="7" t="s">
        <x:v>5416</x:v>
      </x:c>
      <x:c r="B59" s="7" t="s">
        <x:v>889</x:v>
      </x:c>
      <x:c r="C59" s="7" t="s">
        <x:v>5417</x:v>
      </x:c>
      <x:c r="D59" s="7" t="s">
        <x:v>5113</x:v>
      </x:c>
      <x:c r="E59" s="10">
        <x:v>20.0</x:v>
      </x:c>
      <x:c r="F59" s="10">
        <x:v>0.0</x:v>
      </x:c>
      <x:c r="G59" s="10">
        <x:v>20.0</x:v>
      </x:c>
      <x:c r="H59" s="7" t="s">
        <x:v>5114</x:v>
      </x:c>
      <x:c r="I59" s="7" t="s">
        <x:v>5115</x:v>
      </x:c>
      <x:c r="J59" s="41"/>
      <x:c r="K59" s="41"/>
      <x:c r="L59" s="41"/>
      <x:c r="M59" s="7" t="s">
        <x:v>5418</x:v>
      </x:c>
      <x:c r="N59" s="7" t="s">
        <x:v>5418</x:v>
      </x:c>
      <x:c r="O59" s="7" t="s">
        <x:v>5118</x:v>
      </x:c>
      <x:c r="P59" s="7" t="b">
        <x:v>0</x:v>
      </x:c>
      <x:c r="Q59" s="7" t="s">
        <x:v>5119</x:v>
      </x:c>
      <x:c r="R59" s="26" t="s">
        <x:v>5120</x:v>
      </x:c>
      <x:c r="S59" s="7" t="s">
        <x:v>5419</x:v>
      </x:c>
      <x:c r="T59" s="49"/>
      <x:c r="U59" s="49"/>
      <x:c r="V59" s="50" t="s">
        <x:v>5311</x:v>
      </x:c>
      <x:c r="W59" s="48"/>
      <x:c r="X59" s="50" t="s">
        <x:v>5119</x:v>
      </x:c>
      <x:c r="Y59" s="48"/>
      <x:c r="Z59" s="48"/>
    </x:row>
    <x:row r="60">
      <x:c r="A60" s="7" t="s">
        <x:v>5420</x:v>
      </x:c>
      <x:c r="B60" s="7" t="s">
        <x:v>889</x:v>
      </x:c>
      <x:c r="C60" s="7" t="s">
        <x:v>5421</x:v>
      </x:c>
      <x:c r="D60" s="7" t="s">
        <x:v>5113</x:v>
      </x:c>
      <x:c r="E60" s="10">
        <x:v>80.0</x:v>
      </x:c>
      <x:c r="F60" s="10">
        <x:v>0.0</x:v>
      </x:c>
      <x:c r="G60" s="10">
        <x:v>80.0</x:v>
      </x:c>
      <x:c r="H60" s="7" t="s">
        <x:v>5114</x:v>
      </x:c>
      <x:c r="I60" s="7" t="s">
        <x:v>5115</x:v>
      </x:c>
      <x:c r="J60" s="41"/>
      <x:c r="K60" s="41"/>
      <x:c r="L60" s="41"/>
      <x:c r="M60" s="7" t="s">
        <x:v>5418</x:v>
      </x:c>
      <x:c r="N60" s="7" t="s">
        <x:v>5418</x:v>
      </x:c>
      <x:c r="O60" s="7" t="s">
        <x:v>5118</x:v>
      </x:c>
      <x:c r="P60" s="7" t="b">
        <x:v>0</x:v>
      </x:c>
      <x:c r="Q60" s="7" t="s">
        <x:v>5119</x:v>
      </x:c>
      <x:c r="R60" s="26" t="s">
        <x:v>5120</x:v>
      </x:c>
      <x:c r="S60" s="7" t="s">
        <x:v>5422</x:v>
      </x:c>
      <x:c r="T60" s="49"/>
      <x:c r="U60" s="49"/>
      <x:c r="V60" s="50" t="s">
        <x:v>5311</x:v>
      </x:c>
      <x:c r="W60" s="48"/>
      <x:c r="X60" s="50" t="s">
        <x:v>5119</x:v>
      </x:c>
      <x:c r="Y60" s="48"/>
      <x:c r="Z60" s="48"/>
    </x:row>
    <x:row r="61">
      <x:c r="A61" s="7" t="s">
        <x:v>5423</x:v>
      </x:c>
      <x:c r="B61" s="7" t="s">
        <x:v>889</x:v>
      </x:c>
      <x:c r="C61" s="7" t="s">
        <x:v>5424</x:v>
      </x:c>
      <x:c r="D61" s="7" t="s">
        <x:v>5113</x:v>
      </x:c>
      <x:c r="E61" s="10">
        <x:v>150.0</x:v>
      </x:c>
      <x:c r="F61" s="10">
        <x:v>0.0</x:v>
      </x:c>
      <x:c r="G61" s="10">
        <x:v>150.0</x:v>
      </x:c>
      <x:c r="H61" s="7" t="s">
        <x:v>5114</x:v>
      </x:c>
      <x:c r="I61" s="7" t="s">
        <x:v>5115</x:v>
      </x:c>
      <x:c r="J61" s="41"/>
      <x:c r="K61" s="41"/>
      <x:c r="L61" s="41"/>
      <x:c r="M61" s="7" t="s">
        <x:v>5418</x:v>
      </x:c>
      <x:c r="N61" s="7" t="s">
        <x:v>5418</x:v>
      </x:c>
      <x:c r="O61" s="7" t="s">
        <x:v>5118</x:v>
      </x:c>
      <x:c r="P61" s="7" t="b">
        <x:v>0</x:v>
      </x:c>
      <x:c r="Q61" s="7" t="s">
        <x:v>5119</x:v>
      </x:c>
      <x:c r="R61" s="26" t="s">
        <x:v>5120</x:v>
      </x:c>
      <x:c r="S61" s="7" t="s">
        <x:v>5425</x:v>
      </x:c>
      <x:c r="T61" s="49"/>
      <x:c r="U61" s="49"/>
      <x:c r="V61" s="50" t="s">
        <x:v>5311</x:v>
      </x:c>
      <x:c r="W61" s="48"/>
      <x:c r="X61" s="50" t="s">
        <x:v>5119</x:v>
      </x:c>
      <x:c r="Y61" s="48"/>
      <x:c r="Z61" s="48"/>
    </x:row>
    <x:row r="62">
      <x:c r="A62" s="7" t="s">
        <x:v>5426</x:v>
      </x:c>
      <x:c r="B62" s="7" t="s">
        <x:v>889</x:v>
      </x:c>
      <x:c r="C62" s="7" t="s">
        <x:v>5427</x:v>
      </x:c>
      <x:c r="D62" s="7" t="s">
        <x:v>5113</x:v>
      </x:c>
      <x:c r="E62" s="10">
        <x:v>80.0</x:v>
      </x:c>
      <x:c r="F62" s="10">
        <x:v>0.0</x:v>
      </x:c>
      <x:c r="G62" s="10">
        <x:v>80.0</x:v>
      </x:c>
      <x:c r="H62" s="7" t="s">
        <x:v>5114</x:v>
      </x:c>
      <x:c r="I62" s="7" t="s">
        <x:v>5115</x:v>
      </x:c>
      <x:c r="J62" s="41"/>
      <x:c r="K62" s="41"/>
      <x:c r="L62" s="41"/>
      <x:c r="M62" s="7" t="s">
        <x:v>5418</x:v>
      </x:c>
      <x:c r="N62" s="7" t="s">
        <x:v>5418</x:v>
      </x:c>
      <x:c r="O62" s="7" t="s">
        <x:v>5118</x:v>
      </x:c>
      <x:c r="P62" s="7" t="b">
        <x:v>0</x:v>
      </x:c>
      <x:c r="Q62" s="7" t="s">
        <x:v>5119</x:v>
      </x:c>
      <x:c r="R62" s="26" t="s">
        <x:v>5120</x:v>
      </x:c>
      <x:c r="S62" s="7" t="s">
        <x:v>5428</x:v>
      </x:c>
      <x:c r="T62" s="49"/>
      <x:c r="U62" s="49"/>
      <x:c r="V62" s="50" t="s">
        <x:v>5311</x:v>
      </x:c>
      <x:c r="W62" s="48"/>
      <x:c r="X62" s="50" t="s">
        <x:v>5119</x:v>
      </x:c>
      <x:c r="Y62" s="48"/>
      <x:c r="Z62" s="48"/>
    </x:row>
    <x:row r="63">
      <x:c r="A63" s="7" t="s">
        <x:v>5429</x:v>
      </x:c>
      <x:c r="B63" s="7" t="s">
        <x:v>889</x:v>
      </x:c>
      <x:c r="C63" s="7" t="s">
        <x:v>5430</x:v>
      </x:c>
      <x:c r="D63" s="7" t="s">
        <x:v>5113</x:v>
      </x:c>
      <x:c r="E63" s="10">
        <x:v>50.0</x:v>
      </x:c>
      <x:c r="F63" s="10">
        <x:v>0.0</x:v>
      </x:c>
      <x:c r="G63" s="10">
        <x:v>50.0</x:v>
      </x:c>
      <x:c r="H63" s="7" t="s">
        <x:v>5114</x:v>
      </x:c>
      <x:c r="I63" s="7" t="s">
        <x:v>5115</x:v>
      </x:c>
      <x:c r="J63" s="41"/>
      <x:c r="K63" s="41"/>
      <x:c r="L63" s="41"/>
      <x:c r="M63" s="7" t="s">
        <x:v>5418</x:v>
      </x:c>
      <x:c r="N63" s="7" t="s">
        <x:v>5418</x:v>
      </x:c>
      <x:c r="O63" s="7" t="s">
        <x:v>5118</x:v>
      </x:c>
      <x:c r="P63" s="7" t="b">
        <x:v>0</x:v>
      </x:c>
      <x:c r="Q63" s="7" t="s">
        <x:v>5119</x:v>
      </x:c>
      <x:c r="R63" s="26" t="s">
        <x:v>5120</x:v>
      </x:c>
      <x:c r="S63" s="7" t="s">
        <x:v>5431</x:v>
      </x:c>
      <x:c r="T63" s="49"/>
      <x:c r="U63" s="49"/>
      <x:c r="V63" s="50" t="s">
        <x:v>5311</x:v>
      </x:c>
      <x:c r="W63" s="48"/>
      <x:c r="X63" s="50" t="s">
        <x:v>5119</x:v>
      </x:c>
      <x:c r="Y63" s="48"/>
      <x:c r="Z63" s="48"/>
    </x:row>
    <x:row r="64">
      <x:c r="A64" s="7" t="s">
        <x:v>5432</x:v>
      </x:c>
      <x:c r="B64" s="7" t="s">
        <x:v>889</x:v>
      </x:c>
      <x:c r="C64" s="7" t="s">
        <x:v>5433</x:v>
      </x:c>
      <x:c r="D64" s="7" t="s">
        <x:v>5113</x:v>
      </x:c>
      <x:c r="E64" s="10">
        <x:v>150.0</x:v>
      </x:c>
      <x:c r="F64" s="10">
        <x:v>0.0</x:v>
      </x:c>
      <x:c r="G64" s="10">
        <x:v>150.0</x:v>
      </x:c>
      <x:c r="H64" s="7" t="s">
        <x:v>5114</x:v>
      </x:c>
      <x:c r="I64" s="7" t="s">
        <x:v>5115</x:v>
      </x:c>
      <x:c r="J64" s="41"/>
      <x:c r="K64" s="41"/>
      <x:c r="L64" s="41"/>
      <x:c r="M64" s="7" t="s">
        <x:v>5418</x:v>
      </x:c>
      <x:c r="N64" s="7" t="s">
        <x:v>5418</x:v>
      </x:c>
      <x:c r="O64" s="7" t="s">
        <x:v>5118</x:v>
      </x:c>
      <x:c r="P64" s="7" t="b">
        <x:v>0</x:v>
      </x:c>
      <x:c r="Q64" s="7" t="s">
        <x:v>5119</x:v>
      </x:c>
      <x:c r="R64" s="26" t="s">
        <x:v>5120</x:v>
      </x:c>
      <x:c r="S64" s="7" t="s">
        <x:v>5434</x:v>
      </x:c>
      <x:c r="T64" s="49"/>
      <x:c r="U64" s="49"/>
      <x:c r="V64" s="50" t="s">
        <x:v>5311</x:v>
      </x:c>
      <x:c r="W64" s="48"/>
      <x:c r="X64" s="50" t="s">
        <x:v>5119</x:v>
      </x:c>
      <x:c r="Y64" s="48"/>
      <x:c r="Z64" s="48"/>
    </x:row>
    <x:row r="65">
      <x:c r="A65" s="7" t="s">
        <x:v>5435</x:v>
      </x:c>
      <x:c r="B65" s="7" t="s">
        <x:v>889</x:v>
      </x:c>
      <x:c r="C65" s="7" t="s">
        <x:v>5436</x:v>
      </x:c>
      <x:c r="D65" s="7" t="s">
        <x:v>5113</x:v>
      </x:c>
      <x:c r="E65" s="10">
        <x:v>150.0</x:v>
      </x:c>
      <x:c r="F65" s="10">
        <x:v>0.0</x:v>
      </x:c>
      <x:c r="G65" s="10">
        <x:v>150.0</x:v>
      </x:c>
      <x:c r="H65" s="7" t="s">
        <x:v>5114</x:v>
      </x:c>
      <x:c r="I65" s="7" t="s">
        <x:v>5115</x:v>
      </x:c>
      <x:c r="J65" s="41"/>
      <x:c r="K65" s="41"/>
      <x:c r="L65" s="41"/>
      <x:c r="M65" s="7" t="s">
        <x:v>5418</x:v>
      </x:c>
      <x:c r="N65" s="7" t="s">
        <x:v>5418</x:v>
      </x:c>
      <x:c r="O65" s="7" t="s">
        <x:v>5118</x:v>
      </x:c>
      <x:c r="P65" s="7" t="b">
        <x:v>0</x:v>
      </x:c>
      <x:c r="Q65" s="7" t="s">
        <x:v>5119</x:v>
      </x:c>
      <x:c r="R65" s="26" t="s">
        <x:v>5120</x:v>
      </x:c>
      <x:c r="S65" s="7" t="s">
        <x:v>5437</x:v>
      </x:c>
      <x:c r="T65" s="49"/>
      <x:c r="U65" s="49"/>
      <x:c r="V65" s="50" t="s">
        <x:v>5311</x:v>
      </x:c>
      <x:c r="W65" s="48"/>
      <x:c r="X65" s="50" t="s">
        <x:v>5119</x:v>
      </x:c>
      <x:c r="Y65" s="48"/>
      <x:c r="Z65" s="48"/>
    </x:row>
    <x:row r="66">
      <x:c r="A66" s="7" t="s">
        <x:v>5438</x:v>
      </x:c>
      <x:c r="B66" s="7" t="s">
        <x:v>889</x:v>
      </x:c>
      <x:c r="C66" s="7" t="s">
        <x:v>5439</x:v>
      </x:c>
      <x:c r="D66" s="7" t="s">
        <x:v>5113</x:v>
      </x:c>
      <x:c r="E66" s="10">
        <x:v>50.0</x:v>
      </x:c>
      <x:c r="F66" s="10">
        <x:v>0.0</x:v>
      </x:c>
      <x:c r="G66" s="10">
        <x:v>50.0</x:v>
      </x:c>
      <x:c r="H66" s="7" t="s">
        <x:v>5114</x:v>
      </x:c>
      <x:c r="I66" s="7" t="s">
        <x:v>5115</x:v>
      </x:c>
      <x:c r="J66" s="41"/>
      <x:c r="K66" s="41"/>
      <x:c r="L66" s="41"/>
      <x:c r="M66" s="7" t="s">
        <x:v>5418</x:v>
      </x:c>
      <x:c r="N66" s="7" t="s">
        <x:v>5418</x:v>
      </x:c>
      <x:c r="O66" s="7" t="s">
        <x:v>5118</x:v>
      </x:c>
      <x:c r="P66" s="7" t="b">
        <x:v>0</x:v>
      </x:c>
      <x:c r="Q66" s="7" t="s">
        <x:v>5119</x:v>
      </x:c>
      <x:c r="R66" s="26" t="s">
        <x:v>5120</x:v>
      </x:c>
      <x:c r="S66" s="7" t="s">
        <x:v>5440</x:v>
      </x:c>
      <x:c r="T66" s="49"/>
      <x:c r="U66" s="49"/>
      <x:c r="V66" s="50" t="s">
        <x:v>5311</x:v>
      </x:c>
      <x:c r="W66" s="48"/>
      <x:c r="X66" s="50" t="s">
        <x:v>5119</x:v>
      </x:c>
      <x:c r="Y66" s="48"/>
      <x:c r="Z66" s="48"/>
    </x:row>
    <x:row r="67">
      <x:c r="A67" s="7" t="s">
        <x:v>5441</x:v>
      </x:c>
      <x:c r="B67" s="7" t="s">
        <x:v>784</x:v>
      </x:c>
      <x:c r="C67" s="7" t="s">
        <x:v>5442</x:v>
      </x:c>
      <x:c r="D67" s="7" t="s">
        <x:v>5113</x:v>
      </x:c>
      <x:c r="E67" s="10">
        <x:v>50.0</x:v>
      </x:c>
      <x:c r="F67" s="10">
        <x:v>0.0</x:v>
      </x:c>
      <x:c r="G67" s="10">
        <x:v>50.0</x:v>
      </x:c>
      <x:c r="H67" s="7" t="s">
        <x:v>5114</x:v>
      </x:c>
      <x:c r="I67" s="7" t="s">
        <x:v>5115</x:v>
      </x:c>
      <x:c r="J67" s="41"/>
      <x:c r="K67" s="7" t="s">
        <x:v>5443</x:v>
      </x:c>
      <x:c r="L67" s="41"/>
      <x:c r="M67" s="7" t="s">
        <x:v>5444</x:v>
      </x:c>
      <x:c r="N67" s="7" t="s">
        <x:v>5444</x:v>
      </x:c>
      <x:c r="O67" s="7" t="s">
        <x:v>5118</x:v>
      </x:c>
      <x:c r="P67" s="7" t="b">
        <x:v>0</x:v>
      </x:c>
      <x:c r="Q67" s="7" t="s">
        <x:v>5119</x:v>
      </x:c>
      <x:c r="R67" s="26" t="s">
        <x:v>5120</x:v>
      </x:c>
      <x:c r="S67" s="7" t="s">
        <x:v>5445</x:v>
      </x:c>
      <x:c r="T67" s="49"/>
      <x:c r="U67" s="49"/>
      <x:c r="V67" s="50" t="s">
        <x:v>5311</x:v>
      </x:c>
      <x:c r="W67" s="48"/>
      <x:c r="X67" s="50" t="s">
        <x:v>5119</x:v>
      </x:c>
      <x:c r="Y67" s="48"/>
      <x:c r="Z67" s="48"/>
    </x:row>
    <x:row r="68">
      <x:c r="A68" s="7" t="s">
        <x:v>5446</x:v>
      </x:c>
      <x:c r="B68" s="7" t="s">
        <x:v>784</x:v>
      </x:c>
      <x:c r="C68" s="7" t="s">
        <x:v>5447</x:v>
      </x:c>
      <x:c r="D68" s="7" t="s">
        <x:v>5113</x:v>
      </x:c>
      <x:c r="E68" s="10">
        <x:v>50.0</x:v>
      </x:c>
      <x:c r="F68" s="10">
        <x:v>0.0</x:v>
      </x:c>
      <x:c r="G68" s="10">
        <x:v>50.0</x:v>
      </x:c>
      <x:c r="H68" s="7" t="s">
        <x:v>5114</x:v>
      </x:c>
      <x:c r="I68" s="7" t="s">
        <x:v>5115</x:v>
      </x:c>
      <x:c r="J68" s="41"/>
      <x:c r="K68" s="7" t="s">
        <x:v>5448</x:v>
      </x:c>
      <x:c r="L68" s="41"/>
      <x:c r="M68" s="7" t="s">
        <x:v>5444</x:v>
      </x:c>
      <x:c r="N68" s="7" t="s">
        <x:v>5444</x:v>
      </x:c>
      <x:c r="O68" s="7" t="s">
        <x:v>5118</x:v>
      </x:c>
      <x:c r="P68" s="7" t="b">
        <x:v>0</x:v>
      </x:c>
      <x:c r="Q68" s="7" t="s">
        <x:v>5119</x:v>
      </x:c>
      <x:c r="R68" s="26" t="s">
        <x:v>5120</x:v>
      </x:c>
      <x:c r="S68" s="7" t="s">
        <x:v>5449</x:v>
      </x:c>
      <x:c r="T68" s="49"/>
      <x:c r="U68" s="49"/>
      <x:c r="V68" s="50" t="s">
        <x:v>5311</x:v>
      </x:c>
      <x:c r="W68" s="48"/>
      <x:c r="X68" s="50" t="s">
        <x:v>5119</x:v>
      </x:c>
      <x:c r="Y68" s="48"/>
      <x:c r="Z68" s="48"/>
    </x:row>
    <x:row r="69">
      <x:c r="A69" s="7" t="s">
        <x:v>5450</x:v>
      </x:c>
      <x:c r="B69" s="7" t="s">
        <x:v>784</x:v>
      </x:c>
      <x:c r="C69" s="7" t="s">
        <x:v>5451</x:v>
      </x:c>
      <x:c r="D69" s="7" t="s">
        <x:v>5113</x:v>
      </x:c>
      <x:c r="E69" s="10">
        <x:v>50.0</x:v>
      </x:c>
      <x:c r="F69" s="10">
        <x:v>0.0</x:v>
      </x:c>
      <x:c r="G69" s="10">
        <x:v>50.0</x:v>
      </x:c>
      <x:c r="H69" s="7" t="s">
        <x:v>5114</x:v>
      </x:c>
      <x:c r="I69" s="7" t="s">
        <x:v>5115</x:v>
      </x:c>
      <x:c r="J69" s="41"/>
      <x:c r="K69" s="7" t="s">
        <x:v>5452</x:v>
      </x:c>
      <x:c r="L69" s="41"/>
      <x:c r="M69" s="7" t="s">
        <x:v>5444</x:v>
      </x:c>
      <x:c r="N69" s="7" t="s">
        <x:v>5444</x:v>
      </x:c>
      <x:c r="O69" s="7" t="s">
        <x:v>5118</x:v>
      </x:c>
      <x:c r="P69" s="7" t="b">
        <x:v>0</x:v>
      </x:c>
      <x:c r="Q69" s="7" t="s">
        <x:v>5119</x:v>
      </x:c>
      <x:c r="R69" s="26" t="s">
        <x:v>5120</x:v>
      </x:c>
      <x:c r="S69" s="7" t="s">
        <x:v>5453</x:v>
      </x:c>
      <x:c r="T69" s="49"/>
      <x:c r="U69" s="49"/>
      <x:c r="V69" s="50" t="s">
        <x:v>5311</x:v>
      </x:c>
      <x:c r="W69" s="48"/>
      <x:c r="X69" s="50" t="s">
        <x:v>5119</x:v>
      </x:c>
      <x:c r="Y69" s="48"/>
      <x:c r="Z69" s="48"/>
    </x:row>
    <x:row r="70">
      <x:c r="A70" s="7" t="s">
        <x:v>5454</x:v>
      </x:c>
      <x:c r="B70" s="7" t="s">
        <x:v>784</x:v>
      </x:c>
      <x:c r="C70" s="7" t="s">
        <x:v>5455</x:v>
      </x:c>
      <x:c r="D70" s="7" t="s">
        <x:v>5113</x:v>
      </x:c>
      <x:c r="E70" s="10">
        <x:v>50.0</x:v>
      </x:c>
      <x:c r="F70" s="10">
        <x:v>0.0</x:v>
      </x:c>
      <x:c r="G70" s="10">
        <x:v>50.0</x:v>
      </x:c>
      <x:c r="H70" s="7" t="s">
        <x:v>5114</x:v>
      </x:c>
      <x:c r="I70" s="7" t="s">
        <x:v>5115</x:v>
      </x:c>
      <x:c r="J70" s="41"/>
      <x:c r="K70" s="7" t="s">
        <x:v>5456</x:v>
      </x:c>
      <x:c r="L70" s="41"/>
      <x:c r="M70" s="7" t="s">
        <x:v>5444</x:v>
      </x:c>
      <x:c r="N70" s="7" t="s">
        <x:v>5444</x:v>
      </x:c>
      <x:c r="O70" s="7" t="s">
        <x:v>5118</x:v>
      </x:c>
      <x:c r="P70" s="7" t="b">
        <x:v>0</x:v>
      </x:c>
      <x:c r="Q70" s="7" t="s">
        <x:v>5119</x:v>
      </x:c>
      <x:c r="R70" s="26" t="s">
        <x:v>5120</x:v>
      </x:c>
      <x:c r="S70" s="7" t="s">
        <x:v>5457</x:v>
      </x:c>
      <x:c r="T70" s="49"/>
      <x:c r="U70" s="49"/>
      <x:c r="V70" s="50" t="s">
        <x:v>5311</x:v>
      </x:c>
      <x:c r="W70" s="48"/>
      <x:c r="X70" s="50" t="s">
        <x:v>5119</x:v>
      </x:c>
      <x:c r="Y70" s="48"/>
      <x:c r="Z70" s="48"/>
    </x:row>
    <x:row r="71">
      <x:c r="A71" s="7" t="s">
        <x:v>5458</x:v>
      </x:c>
      <x:c r="B71" s="7" t="s">
        <x:v>784</x:v>
      </x:c>
      <x:c r="C71" s="7" t="s">
        <x:v>5459</x:v>
      </x:c>
      <x:c r="D71" s="7" t="s">
        <x:v>5113</x:v>
      </x:c>
      <x:c r="E71" s="10">
        <x:v>30.0</x:v>
      </x:c>
      <x:c r="F71" s="10">
        <x:v>0.0</x:v>
      </x:c>
      <x:c r="G71" s="10">
        <x:v>30.0</x:v>
      </x:c>
      <x:c r="H71" s="7" t="s">
        <x:v>5114</x:v>
      </x:c>
      <x:c r="I71" s="7" t="s">
        <x:v>5115</x:v>
      </x:c>
      <x:c r="J71" s="41"/>
      <x:c r="K71" s="7" t="s">
        <x:v>5460</x:v>
      </x:c>
      <x:c r="L71" s="41"/>
      <x:c r="M71" s="7" t="s">
        <x:v>5444</x:v>
      </x:c>
      <x:c r="N71" s="7" t="s">
        <x:v>5444</x:v>
      </x:c>
      <x:c r="O71" s="7" t="s">
        <x:v>5118</x:v>
      </x:c>
      <x:c r="P71" s="7" t="b">
        <x:v>0</x:v>
      </x:c>
      <x:c r="Q71" s="7" t="s">
        <x:v>5119</x:v>
      </x:c>
      <x:c r="R71" s="26" t="s">
        <x:v>5120</x:v>
      </x:c>
      <x:c r="S71" s="7" t="s">
        <x:v>5461</x:v>
      </x:c>
      <x:c r="T71" s="49"/>
      <x:c r="U71" s="49"/>
      <x:c r="V71" s="50" t="s">
        <x:v>5311</x:v>
      </x:c>
      <x:c r="W71" s="48"/>
      <x:c r="X71" s="50" t="s">
        <x:v>5119</x:v>
      </x:c>
      <x:c r="Y71" s="48"/>
      <x:c r="Z71" s="48"/>
    </x:row>
    <x:row r="72">
      <x:c r="A72" s="7" t="s">
        <x:v>5462</x:v>
      </x:c>
      <x:c r="B72" s="7" t="s">
        <x:v>784</x:v>
      </x:c>
      <x:c r="C72" s="7" t="s">
        <x:v>5463</x:v>
      </x:c>
      <x:c r="D72" s="7" t="s">
        <x:v>5113</x:v>
      </x:c>
      <x:c r="E72" s="10">
        <x:v>20.0</x:v>
      </x:c>
      <x:c r="F72" s="10">
        <x:v>0.0</x:v>
      </x:c>
      <x:c r="G72" s="10">
        <x:v>20.0</x:v>
      </x:c>
      <x:c r="H72" s="7" t="s">
        <x:v>5114</x:v>
      </x:c>
      <x:c r="I72" s="7" t="s">
        <x:v>5115</x:v>
      </x:c>
      <x:c r="J72" s="41"/>
      <x:c r="K72" s="7" t="s">
        <x:v>5464</x:v>
      </x:c>
      <x:c r="L72" s="41"/>
      <x:c r="M72" s="7" t="s">
        <x:v>5444</x:v>
      </x:c>
      <x:c r="N72" s="7" t="s">
        <x:v>5444</x:v>
      </x:c>
      <x:c r="O72" s="7" t="s">
        <x:v>5118</x:v>
      </x:c>
      <x:c r="P72" s="7" t="b">
        <x:v>0</x:v>
      </x:c>
      <x:c r="Q72" s="7" t="s">
        <x:v>5119</x:v>
      </x:c>
      <x:c r="R72" s="26" t="s">
        <x:v>5120</x:v>
      </x:c>
      <x:c r="S72" s="7" t="s">
        <x:v>5465</x:v>
      </x:c>
      <x:c r="T72" s="49"/>
      <x:c r="U72" s="49"/>
      <x:c r="V72" s="50" t="s">
        <x:v>5311</x:v>
      </x:c>
      <x:c r="W72" s="48"/>
      <x:c r="X72" s="50" t="s">
        <x:v>5119</x:v>
      </x:c>
      <x:c r="Y72" s="48"/>
      <x:c r="Z72" s="48"/>
    </x:row>
    <x:row r="73">
      <x:c r="A73" s="7" t="s">
        <x:v>5466</x:v>
      </x:c>
      <x:c r="B73" s="7" t="s">
        <x:v>784</x:v>
      </x:c>
      <x:c r="C73" s="7" t="s">
        <x:v>5467</x:v>
      </x:c>
      <x:c r="D73" s="7" t="s">
        <x:v>5113</x:v>
      </x:c>
      <x:c r="E73" s="10">
        <x:v>10.0</x:v>
      </x:c>
      <x:c r="F73" s="10">
        <x:v>0.0</x:v>
      </x:c>
      <x:c r="G73" s="10">
        <x:v>10.0</x:v>
      </x:c>
      <x:c r="H73" s="7" t="s">
        <x:v>5114</x:v>
      </x:c>
      <x:c r="I73" s="7" t="s">
        <x:v>5115</x:v>
      </x:c>
      <x:c r="J73" s="41"/>
      <x:c r="K73" s="7" t="s">
        <x:v>5468</x:v>
      </x:c>
      <x:c r="L73" s="41"/>
      <x:c r="M73" s="7" t="s">
        <x:v>5444</x:v>
      </x:c>
      <x:c r="N73" s="7" t="s">
        <x:v>5444</x:v>
      </x:c>
      <x:c r="O73" s="7" t="s">
        <x:v>5118</x:v>
      </x:c>
      <x:c r="P73" s="7" t="b">
        <x:v>0</x:v>
      </x:c>
      <x:c r="Q73" s="7" t="s">
        <x:v>5119</x:v>
      </x:c>
      <x:c r="R73" s="26" t="s">
        <x:v>5120</x:v>
      </x:c>
      <x:c r="S73" s="7" t="s">
        <x:v>5469</x:v>
      </x:c>
      <x:c r="T73" s="49"/>
      <x:c r="U73" s="49"/>
      <x:c r="V73" s="50" t="s">
        <x:v>5311</x:v>
      </x:c>
      <x:c r="W73" s="48"/>
      <x:c r="X73" s="50" t="s">
        <x:v>5119</x:v>
      </x:c>
      <x:c r="Y73" s="48"/>
      <x:c r="Z73" s="48"/>
    </x:row>
    <x:row r="74">
      <x:c r="A74" s="7" t="s">
        <x:v>5470</x:v>
      </x:c>
      <x:c r="B74" s="7" t="s">
        <x:v>784</x:v>
      </x:c>
      <x:c r="C74" s="7" t="s">
        <x:v>5471</x:v>
      </x:c>
      <x:c r="D74" s="7" t="s">
        <x:v>5113</x:v>
      </x:c>
      <x:c r="E74" s="10">
        <x:v>10.0</x:v>
      </x:c>
      <x:c r="F74" s="10">
        <x:v>0.0</x:v>
      </x:c>
      <x:c r="G74" s="10">
        <x:v>10.0</x:v>
      </x:c>
      <x:c r="H74" s="7" t="s">
        <x:v>5114</x:v>
      </x:c>
      <x:c r="I74" s="7" t="s">
        <x:v>5115</x:v>
      </x:c>
      <x:c r="J74" s="41"/>
      <x:c r="K74" s="7" t="s">
        <x:v>5472</x:v>
      </x:c>
      <x:c r="L74" s="41"/>
      <x:c r="M74" s="7" t="s">
        <x:v>5444</x:v>
      </x:c>
      <x:c r="N74" s="7" t="s">
        <x:v>5444</x:v>
      </x:c>
      <x:c r="O74" s="7" t="s">
        <x:v>5118</x:v>
      </x:c>
      <x:c r="P74" s="7" t="b">
        <x:v>0</x:v>
      </x:c>
      <x:c r="Q74" s="7" t="s">
        <x:v>5119</x:v>
      </x:c>
      <x:c r="R74" s="26" t="s">
        <x:v>5120</x:v>
      </x:c>
      <x:c r="S74" s="7" t="s">
        <x:v>5473</x:v>
      </x:c>
      <x:c r="T74" s="49"/>
      <x:c r="U74" s="49"/>
      <x:c r="V74" s="50" t="s">
        <x:v>5311</x:v>
      </x:c>
      <x:c r="W74" s="48"/>
      <x:c r="X74" s="50" t="s">
        <x:v>5119</x:v>
      </x:c>
      <x:c r="Y74" s="48"/>
      <x:c r="Z74" s="48"/>
    </x:row>
    <x:row r="75">
      <x:c r="A75" s="7" t="s">
        <x:v>5474</x:v>
      </x:c>
      <x:c r="B75" s="7" t="s">
        <x:v>1519</x:v>
      </x:c>
      <x:c r="C75" s="7" t="s">
        <x:v>5475</x:v>
      </x:c>
      <x:c r="D75" s="7" t="s">
        <x:v>5113</x:v>
      </x:c>
      <x:c r="E75" s="10">
        <x:v>30.0</x:v>
      </x:c>
      <x:c r="F75" s="10">
        <x:v>0.0</x:v>
      </x:c>
      <x:c r="G75" s="10">
        <x:v>30.0</x:v>
      </x:c>
      <x:c r="H75" s="7" t="s">
        <x:v>5114</x:v>
      </x:c>
      <x:c r="I75" s="7" t="s">
        <x:v>5115</x:v>
      </x:c>
      <x:c r="J75" s="26" t="s">
        <x:v>5476</x:v>
      </x:c>
      <x:c r="K75" s="7" t="s">
        <x:v>5477</x:v>
      </x:c>
      <x:c r="L75" s="41"/>
      <x:c r="M75" s="7" t="s">
        <x:v>5478</x:v>
      </x:c>
      <x:c r="N75" s="7" t="s">
        <x:v>5478</x:v>
      </x:c>
      <x:c r="O75" s="7" t="s">
        <x:v>5118</x:v>
      </x:c>
      <x:c r="P75" s="7" t="b">
        <x:v>0</x:v>
      </x:c>
      <x:c r="Q75" s="7" t="s">
        <x:v>5119</x:v>
      </x:c>
      <x:c r="R75" s="26" t="s">
        <x:v>5120</x:v>
      </x:c>
      <x:c r="S75" s="7" t="s">
        <x:v>5479</x:v>
      </x:c>
      <x:c r="T75" s="49"/>
      <x:c r="U75" s="49"/>
      <x:c r="V75" s="50" t="s">
        <x:v>5288</x:v>
      </x:c>
      <x:c r="W75" s="48"/>
      <x:c r="X75" s="48"/>
      <x:c r="Y75" s="48"/>
      <x:c r="Z75" s="48"/>
    </x:row>
    <x:row r="76">
      <x:c r="A76" s="7" t="s">
        <x:v>5480</x:v>
      </x:c>
      <x:c r="B76" s="7" t="s">
        <x:v>1519</x:v>
      </x:c>
      <x:c r="C76" s="7" t="s">
        <x:v>5481</x:v>
      </x:c>
      <x:c r="D76" s="7" t="s">
        <x:v>5113</x:v>
      </x:c>
      <x:c r="E76" s="10">
        <x:v>100.0</x:v>
      </x:c>
      <x:c r="F76" s="10">
        <x:v>0.0</x:v>
      </x:c>
      <x:c r="G76" s="10">
        <x:v>100.0</x:v>
      </x:c>
      <x:c r="H76" s="7" t="s">
        <x:v>5114</x:v>
      </x:c>
      <x:c r="I76" s="7" t="s">
        <x:v>5115</x:v>
      </x:c>
      <x:c r="J76" s="26" t="s">
        <x:v>5482</x:v>
      </x:c>
      <x:c r="K76" s="7" t="s">
        <x:v>5483</x:v>
      </x:c>
      <x:c r="L76" s="41"/>
      <x:c r="M76" s="7" t="s">
        <x:v>5478</x:v>
      </x:c>
      <x:c r="N76" s="7" t="s">
        <x:v>5484</x:v>
      </x:c>
      <x:c r="O76" s="7" t="s">
        <x:v>5118</x:v>
      </x:c>
      <x:c r="P76" s="7" t="b">
        <x:v>0</x:v>
      </x:c>
      <x:c r="Q76" s="7" t="s">
        <x:v>5119</x:v>
      </x:c>
      <x:c r="R76" s="26" t="s">
        <x:v>5120</x:v>
      </x:c>
      <x:c r="S76" s="7" t="s">
        <x:v>5485</x:v>
      </x:c>
      <x:c r="T76" s="49"/>
      <x:c r="U76" s="49"/>
      <x:c r="V76" s="50" t="s">
        <x:v>5288</x:v>
      </x:c>
      <x:c r="W76" s="48"/>
      <x:c r="X76" s="48"/>
      <x:c r="Y76" s="48"/>
      <x:c r="Z76" s="48"/>
    </x:row>
    <x:row r="77">
      <x:c r="A77" s="7" t="s">
        <x:v>5486</x:v>
      </x:c>
      <x:c r="B77" s="7" t="s">
        <x:v>1519</x:v>
      </x:c>
      <x:c r="C77" s="7" t="s">
        <x:v>5487</x:v>
      </x:c>
      <x:c r="D77" s="7" t="s">
        <x:v>5113</x:v>
      </x:c>
      <x:c r="E77" s="10">
        <x:v>30.0</x:v>
      </x:c>
      <x:c r="F77" s="10">
        <x:v>0.0</x:v>
      </x:c>
      <x:c r="G77" s="10">
        <x:v>30.0</x:v>
      </x:c>
      <x:c r="H77" s="7" t="s">
        <x:v>5114</x:v>
      </x:c>
      <x:c r="I77" s="7" t="s">
        <x:v>5115</x:v>
      </x:c>
      <x:c r="J77" s="26" t="s">
        <x:v>5488</x:v>
      </x:c>
      <x:c r="K77" s="7" t="s">
        <x:v>5489</x:v>
      </x:c>
      <x:c r="L77" s="41"/>
      <x:c r="M77" s="7" t="s">
        <x:v>5478</x:v>
      </x:c>
      <x:c r="N77" s="7" t="s">
        <x:v>5478</x:v>
      </x:c>
      <x:c r="O77" s="7" t="s">
        <x:v>5118</x:v>
      </x:c>
      <x:c r="P77" s="7" t="b">
        <x:v>0</x:v>
      </x:c>
      <x:c r="Q77" s="7" t="s">
        <x:v>5119</x:v>
      </x:c>
      <x:c r="R77" s="26" t="s">
        <x:v>5120</x:v>
      </x:c>
      <x:c r="S77" s="7" t="s">
        <x:v>5490</x:v>
      </x:c>
      <x:c r="T77" s="49"/>
      <x:c r="U77" s="49"/>
      <x:c r="V77" s="50" t="s">
        <x:v>5288</x:v>
      </x:c>
      <x:c r="W77" s="48"/>
      <x:c r="X77" s="48"/>
      <x:c r="Y77" s="48"/>
      <x:c r="Z77" s="48"/>
    </x:row>
    <x:row r="78">
      <x:c r="A78" s="7" t="s">
        <x:v>5491</x:v>
      </x:c>
      <x:c r="B78" s="7" t="s">
        <x:v>1519</x:v>
      </x:c>
      <x:c r="C78" s="7" t="s">
        <x:v>5492</x:v>
      </x:c>
      <x:c r="D78" s="7" t="s">
        <x:v>5113</x:v>
      </x:c>
      <x:c r="E78" s="10">
        <x:v>30.0</x:v>
      </x:c>
      <x:c r="F78" s="10">
        <x:v>0.0</x:v>
      </x:c>
      <x:c r="G78" s="10">
        <x:v>30.0</x:v>
      </x:c>
      <x:c r="H78" s="7" t="s">
        <x:v>5114</x:v>
      </x:c>
      <x:c r="I78" s="7" t="s">
        <x:v>5115</x:v>
      </x:c>
      <x:c r="J78" s="26" t="s">
        <x:v>5493</x:v>
      </x:c>
      <x:c r="K78" s="7" t="s">
        <x:v>5494</x:v>
      </x:c>
      <x:c r="L78" s="41"/>
      <x:c r="M78" s="7" t="s">
        <x:v>5478</x:v>
      </x:c>
      <x:c r="N78" s="7" t="s">
        <x:v>5478</x:v>
      </x:c>
      <x:c r="O78" s="7" t="s">
        <x:v>5118</x:v>
      </x:c>
      <x:c r="P78" s="7" t="b">
        <x:v>0</x:v>
      </x:c>
      <x:c r="Q78" s="7" t="s">
        <x:v>5119</x:v>
      </x:c>
      <x:c r="R78" s="26" t="s">
        <x:v>5120</x:v>
      </x:c>
      <x:c r="S78" s="7" t="s">
        <x:v>5495</x:v>
      </x:c>
      <x:c r="T78" s="49"/>
      <x:c r="U78" s="49"/>
      <x:c r="V78" s="50" t="s">
        <x:v>5288</x:v>
      </x:c>
      <x:c r="W78" s="48"/>
      <x:c r="X78" s="48"/>
      <x:c r="Y78" s="48"/>
      <x:c r="Z78" s="48"/>
    </x:row>
    <x:row r="79">
      <x:c r="A79" s="7" t="s">
        <x:v>5496</x:v>
      </x:c>
      <x:c r="B79" s="7" t="s">
        <x:v>1519</x:v>
      </x:c>
      <x:c r="C79" s="7" t="s">
        <x:v>5497</x:v>
      </x:c>
      <x:c r="D79" s="7" t="s">
        <x:v>5113</x:v>
      </x:c>
      <x:c r="E79" s="10">
        <x:v>30.0</x:v>
      </x:c>
      <x:c r="F79" s="10">
        <x:v>0.0</x:v>
      </x:c>
      <x:c r="G79" s="10">
        <x:v>30.0</x:v>
      </x:c>
      <x:c r="H79" s="7" t="s">
        <x:v>5114</x:v>
      </x:c>
      <x:c r="I79" s="7" t="s">
        <x:v>5115</x:v>
      </x:c>
      <x:c r="J79" s="26" t="s">
        <x:v>5498</x:v>
      </x:c>
      <x:c r="K79" s="7" t="s">
        <x:v>5499</x:v>
      </x:c>
      <x:c r="L79" s="41"/>
      <x:c r="M79" s="7" t="s">
        <x:v>5478</x:v>
      </x:c>
      <x:c r="N79" s="7" t="s">
        <x:v>5478</x:v>
      </x:c>
      <x:c r="O79" s="7" t="s">
        <x:v>5118</x:v>
      </x:c>
      <x:c r="P79" s="7" t="b">
        <x:v>0</x:v>
      </x:c>
      <x:c r="Q79" s="7" t="s">
        <x:v>5119</x:v>
      </x:c>
      <x:c r="R79" s="26" t="s">
        <x:v>5120</x:v>
      </x:c>
      <x:c r="S79" s="7" t="s">
        <x:v>5500</x:v>
      </x:c>
      <x:c r="T79" s="49"/>
      <x:c r="U79" s="49"/>
      <x:c r="V79" s="50" t="s">
        <x:v>5288</x:v>
      </x:c>
      <x:c r="W79" s="48"/>
      <x:c r="X79" s="48"/>
      <x:c r="Y79" s="48"/>
      <x:c r="Z79" s="48"/>
    </x:row>
    <x:row r="80">
      <x:c r="A80" s="7" t="s">
        <x:v>5501</x:v>
      </x:c>
      <x:c r="B80" s="7" t="s">
        <x:v>1519</x:v>
      </x:c>
      <x:c r="C80" s="7" t="s">
        <x:v>5502</x:v>
      </x:c>
      <x:c r="D80" s="7" t="s">
        <x:v>5113</x:v>
      </x:c>
      <x:c r="E80" s="10">
        <x:v>20.0</x:v>
      </x:c>
      <x:c r="F80" s="10">
        <x:v>0.0</x:v>
      </x:c>
      <x:c r="G80" s="10">
        <x:v>20.0</x:v>
      </x:c>
      <x:c r="H80" s="7" t="s">
        <x:v>5114</x:v>
      </x:c>
      <x:c r="I80" s="7" t="s">
        <x:v>5115</x:v>
      </x:c>
      <x:c r="J80" s="26" t="s">
        <x:v>5503</x:v>
      </x:c>
      <x:c r="K80" s="7" t="s">
        <x:v>5504</x:v>
      </x:c>
      <x:c r="L80" s="41"/>
      <x:c r="M80" s="7" t="s">
        <x:v>5478</x:v>
      </x:c>
      <x:c r="N80" s="7" t="s">
        <x:v>5478</x:v>
      </x:c>
      <x:c r="O80" s="7" t="s">
        <x:v>5118</x:v>
      </x:c>
      <x:c r="P80" s="7" t="b">
        <x:v>0</x:v>
      </x:c>
      <x:c r="Q80" s="7" t="s">
        <x:v>5119</x:v>
      </x:c>
      <x:c r="R80" s="26" t="s">
        <x:v>5120</x:v>
      </x:c>
      <x:c r="S80" s="7" t="s">
        <x:v>5505</x:v>
      </x:c>
      <x:c r="T80" s="49"/>
      <x:c r="U80" s="49"/>
      <x:c r="V80" s="50" t="s">
        <x:v>5288</x:v>
      </x:c>
      <x:c r="W80" s="48"/>
      <x:c r="X80" s="48"/>
      <x:c r="Y80" s="48"/>
      <x:c r="Z80" s="48"/>
    </x:row>
    <x:row r="81">
      <x:c r="A81" s="7" t="s">
        <x:v>5506</x:v>
      </x:c>
      <x:c r="B81" s="7" t="s">
        <x:v>1519</x:v>
      </x:c>
      <x:c r="C81" s="7" t="s">
        <x:v>5507</x:v>
      </x:c>
      <x:c r="D81" s="7" t="s">
        <x:v>5113</x:v>
      </x:c>
      <x:c r="E81" s="10">
        <x:v>100.0</x:v>
      </x:c>
      <x:c r="F81" s="10">
        <x:v>0.0</x:v>
      </x:c>
      <x:c r="G81" s="10">
        <x:v>100.0</x:v>
      </x:c>
      <x:c r="H81" s="7" t="s">
        <x:v>5114</x:v>
      </x:c>
      <x:c r="I81" s="7" t="s">
        <x:v>5115</x:v>
      </x:c>
      <x:c r="J81" s="26" t="s">
        <x:v>5508</x:v>
      </x:c>
      <x:c r="K81" s="7" t="s">
        <x:v>5509</x:v>
      </x:c>
      <x:c r="L81" s="41"/>
      <x:c r="M81" s="7" t="s">
        <x:v>5478</x:v>
      </x:c>
      <x:c r="N81" s="7" t="s">
        <x:v>5478</x:v>
      </x:c>
      <x:c r="O81" s="7" t="s">
        <x:v>5118</x:v>
      </x:c>
      <x:c r="P81" s="7" t="b">
        <x:v>0</x:v>
      </x:c>
      <x:c r="Q81" s="7" t="s">
        <x:v>5119</x:v>
      </x:c>
      <x:c r="R81" s="26" t="s">
        <x:v>5120</x:v>
      </x:c>
      <x:c r="S81" s="7" t="s">
        <x:v>5510</x:v>
      </x:c>
      <x:c r="T81" s="49"/>
      <x:c r="U81" s="49"/>
      <x:c r="V81" s="50" t="s">
        <x:v>5288</x:v>
      </x:c>
      <x:c r="W81" s="48"/>
      <x:c r="X81" s="48"/>
      <x:c r="Y81" s="48"/>
      <x:c r="Z81" s="48"/>
    </x:row>
    <x:row r="82">
      <x:c r="A82" s="7" t="s">
        <x:v>5511</x:v>
      </x:c>
      <x:c r="B82" s="7" t="s">
        <x:v>1519</x:v>
      </x:c>
      <x:c r="C82" s="7" t="s">
        <x:v>5512</x:v>
      </x:c>
      <x:c r="D82" s="7" t="s">
        <x:v>5113</x:v>
      </x:c>
      <x:c r="E82" s="10">
        <x:v>100.0</x:v>
      </x:c>
      <x:c r="F82" s="10">
        <x:v>0.0</x:v>
      </x:c>
      <x:c r="G82" s="10">
        <x:v>100.0</x:v>
      </x:c>
      <x:c r="H82" s="7" t="s">
        <x:v>5114</x:v>
      </x:c>
      <x:c r="I82" s="7" t="s">
        <x:v>5115</x:v>
      </x:c>
      <x:c r="J82" s="26" t="s">
        <x:v>5513</x:v>
      </x:c>
      <x:c r="K82" s="7" t="s">
        <x:v>5514</x:v>
      </x:c>
      <x:c r="L82" s="41"/>
      <x:c r="M82" s="7" t="s">
        <x:v>5478</x:v>
      </x:c>
      <x:c r="N82" s="7" t="s">
        <x:v>5478</x:v>
      </x:c>
      <x:c r="O82" s="7" t="s">
        <x:v>5118</x:v>
      </x:c>
      <x:c r="P82" s="7" t="b">
        <x:v>0</x:v>
      </x:c>
      <x:c r="Q82" s="7" t="s">
        <x:v>5119</x:v>
      </x:c>
      <x:c r="R82" s="26" t="s">
        <x:v>5120</x:v>
      </x:c>
      <x:c r="S82" s="7" t="s">
        <x:v>5515</x:v>
      </x:c>
      <x:c r="T82" s="49"/>
      <x:c r="U82" s="49"/>
      <x:c r="V82" s="50" t="s">
        <x:v>5288</x:v>
      </x:c>
      <x:c r="W82" s="48"/>
      <x:c r="X82" s="48"/>
      <x:c r="Y82" s="48"/>
      <x:c r="Z82" s="48"/>
    </x:row>
    <x:row r="83">
      <x:c r="A83" s="7" t="s">
        <x:v>5516</x:v>
      </x:c>
      <x:c r="B83" s="7" t="s">
        <x:v>1519</x:v>
      </x:c>
      <x:c r="C83" s="7" t="s">
        <x:v>5517</x:v>
      </x:c>
      <x:c r="D83" s="7" t="s">
        <x:v>5113</x:v>
      </x:c>
      <x:c r="E83" s="10">
        <x:v>50.0</x:v>
      </x:c>
      <x:c r="F83" s="10">
        <x:v>0.0</x:v>
      </x:c>
      <x:c r="G83" s="10">
        <x:v>50.0</x:v>
      </x:c>
      <x:c r="H83" s="7" t="s">
        <x:v>5114</x:v>
      </x:c>
      <x:c r="I83" s="7" t="s">
        <x:v>5115</x:v>
      </x:c>
      <x:c r="J83" s="26" t="s">
        <x:v>5518</x:v>
      </x:c>
      <x:c r="K83" s="7" t="s">
        <x:v>5519</x:v>
      </x:c>
      <x:c r="L83" s="41"/>
      <x:c r="M83" s="7" t="s">
        <x:v>5478</x:v>
      </x:c>
      <x:c r="N83" s="7" t="s">
        <x:v>5478</x:v>
      </x:c>
      <x:c r="O83" s="7" t="s">
        <x:v>5118</x:v>
      </x:c>
      <x:c r="P83" s="7" t="b">
        <x:v>0</x:v>
      </x:c>
      <x:c r="Q83" s="7" t="s">
        <x:v>5119</x:v>
      </x:c>
      <x:c r="R83" s="26" t="s">
        <x:v>5120</x:v>
      </x:c>
      <x:c r="S83" s="7" t="s">
        <x:v>5520</x:v>
      </x:c>
      <x:c r="T83" s="49"/>
      <x:c r="U83" s="49"/>
      <x:c r="V83" s="50" t="s">
        <x:v>5288</x:v>
      </x:c>
      <x:c r="W83" s="48"/>
      <x:c r="X83" s="48"/>
      <x:c r="Y83" s="48"/>
      <x:c r="Z83" s="48"/>
    </x:row>
    <x:row r="84">
      <x:c r="A84" s="7" t="s">
        <x:v>5521</x:v>
      </x:c>
      <x:c r="B84" s="7" t="s">
        <x:v>1519</x:v>
      </x:c>
      <x:c r="C84" s="7" t="s">
        <x:v>5522</x:v>
      </x:c>
      <x:c r="D84" s="7" t="s">
        <x:v>5113</x:v>
      </x:c>
      <x:c r="E84" s="10">
        <x:v>100.0</x:v>
      </x:c>
      <x:c r="F84" s="10">
        <x:v>0.0</x:v>
      </x:c>
      <x:c r="G84" s="10">
        <x:v>100.0</x:v>
      </x:c>
      <x:c r="H84" s="7" t="s">
        <x:v>5114</x:v>
      </x:c>
      <x:c r="I84" s="7" t="s">
        <x:v>5115</x:v>
      </x:c>
      <x:c r="J84" s="41"/>
      <x:c r="K84" s="7" t="s">
        <x:v>5523</x:v>
      </x:c>
      <x:c r="L84" s="41"/>
      <x:c r="M84" s="7" t="s">
        <x:v>5478</x:v>
      </x:c>
      <x:c r="N84" s="7" t="s">
        <x:v>5478</x:v>
      </x:c>
      <x:c r="O84" s="7" t="s">
        <x:v>5118</x:v>
      </x:c>
      <x:c r="P84" s="7" t="b">
        <x:v>0</x:v>
      </x:c>
      <x:c r="Q84" s="7" t="s">
        <x:v>5119</x:v>
      </x:c>
      <x:c r="R84" s="26" t="s">
        <x:v>5120</x:v>
      </x:c>
      <x:c r="S84" s="7" t="s">
        <x:v>5524</x:v>
      </x:c>
      <x:c r="T84" s="49"/>
      <x:c r="U84" s="49"/>
      <x:c r="V84" s="50" t="s">
        <x:v>5311</x:v>
      </x:c>
      <x:c r="W84" s="48"/>
      <x:c r="X84" s="50" t="s">
        <x:v>5119</x:v>
      </x:c>
      <x:c r="Y84" s="48"/>
      <x:c r="Z84" s="48"/>
    </x:row>
    <x:row r="85">
      <x:c r="A85" s="7" t="s">
        <x:v>5525</x:v>
      </x:c>
      <x:c r="B85" s="7" t="s">
        <x:v>1519</x:v>
      </x:c>
      <x:c r="C85" s="7" t="s">
        <x:v>5526</x:v>
      </x:c>
      <x:c r="D85" s="7" t="s">
        <x:v>5113</x:v>
      </x:c>
      <x:c r="E85" s="10">
        <x:v>50.0</x:v>
      </x:c>
      <x:c r="F85" s="10">
        <x:v>0.0</x:v>
      </x:c>
      <x:c r="G85" s="10">
        <x:v>50.0</x:v>
      </x:c>
      <x:c r="H85" s="7" t="s">
        <x:v>5114</x:v>
      </x:c>
      <x:c r="I85" s="7" t="s">
        <x:v>5115</x:v>
      </x:c>
      <x:c r="J85" s="26" t="s">
        <x:v>5527</x:v>
      </x:c>
      <x:c r="K85" s="7" t="s">
        <x:v>5528</x:v>
      </x:c>
      <x:c r="L85" s="41"/>
      <x:c r="M85" s="7" t="s">
        <x:v>5478</x:v>
      </x:c>
      <x:c r="N85" s="7" t="s">
        <x:v>5478</x:v>
      </x:c>
      <x:c r="O85" s="7" t="s">
        <x:v>5118</x:v>
      </x:c>
      <x:c r="P85" s="7" t="b">
        <x:v>0</x:v>
      </x:c>
      <x:c r="Q85" s="7" t="s">
        <x:v>5119</x:v>
      </x:c>
      <x:c r="R85" s="26" t="s">
        <x:v>5120</x:v>
      </x:c>
      <x:c r="S85" s="7" t="s">
        <x:v>5529</x:v>
      </x:c>
      <x:c r="T85" s="49"/>
      <x:c r="U85" s="49"/>
      <x:c r="V85" s="50" t="s">
        <x:v>5288</x:v>
      </x:c>
      <x:c r="W85" s="48"/>
      <x:c r="X85" s="48"/>
      <x:c r="Y85" s="48"/>
      <x:c r="Z85" s="48"/>
    </x:row>
    <x:row r="86">
      <x:c r="A86" s="7" t="s">
        <x:v>5530</x:v>
      </x:c>
      <x:c r="B86" s="7" t="s">
        <x:v>1519</x:v>
      </x:c>
      <x:c r="C86" s="7" t="s">
        <x:v>5531</x:v>
      </x:c>
      <x:c r="D86" s="7" t="s">
        <x:v>5113</x:v>
      </x:c>
      <x:c r="E86" s="10">
        <x:v>50.0</x:v>
      </x:c>
      <x:c r="F86" s="10">
        <x:v>0.0</x:v>
      </x:c>
      <x:c r="G86" s="10">
        <x:v>50.0</x:v>
      </x:c>
      <x:c r="H86" s="7" t="s">
        <x:v>5114</x:v>
      </x:c>
      <x:c r="I86" s="7" t="s">
        <x:v>5115</x:v>
      </x:c>
      <x:c r="J86" s="26" t="s">
        <x:v>5532</x:v>
      </x:c>
      <x:c r="K86" s="7" t="s">
        <x:v>5533</x:v>
      </x:c>
      <x:c r="L86" s="41"/>
      <x:c r="M86" s="7" t="s">
        <x:v>5478</x:v>
      </x:c>
      <x:c r="N86" s="7" t="s">
        <x:v>5478</x:v>
      </x:c>
      <x:c r="O86" s="7" t="s">
        <x:v>5118</x:v>
      </x:c>
      <x:c r="P86" s="7" t="b">
        <x:v>0</x:v>
      </x:c>
      <x:c r="Q86" s="7" t="s">
        <x:v>5119</x:v>
      </x:c>
      <x:c r="R86" s="26" t="s">
        <x:v>5120</x:v>
      </x:c>
      <x:c r="S86" s="7" t="s">
        <x:v>5534</x:v>
      </x:c>
      <x:c r="T86" s="49"/>
      <x:c r="U86" s="49"/>
      <x:c r="V86" s="50" t="s">
        <x:v>5288</x:v>
      </x:c>
      <x:c r="W86" s="48"/>
      <x:c r="X86" s="48"/>
      <x:c r="Y86" s="48"/>
      <x:c r="Z86" s="48"/>
    </x:row>
    <x:row r="87">
      <x:c r="A87" s="7" t="s">
        <x:v>5535</x:v>
      </x:c>
      <x:c r="B87" s="7" t="s">
        <x:v>1519</x:v>
      </x:c>
      <x:c r="C87" s="7" t="s">
        <x:v>5536</x:v>
      </x:c>
      <x:c r="D87" s="7" t="s">
        <x:v>5113</x:v>
      </x:c>
      <x:c r="E87" s="10">
        <x:v>30.0</x:v>
      </x:c>
      <x:c r="F87" s="10">
        <x:v>0.0</x:v>
      </x:c>
      <x:c r="G87" s="10">
        <x:v>30.0</x:v>
      </x:c>
      <x:c r="H87" s="7" t="s">
        <x:v>5114</x:v>
      </x:c>
      <x:c r="I87" s="7" t="s">
        <x:v>5115</x:v>
      </x:c>
      <x:c r="J87" s="26" t="s">
        <x:v>5537</x:v>
      </x:c>
      <x:c r="K87" s="7" t="s">
        <x:v>5538</x:v>
      </x:c>
      <x:c r="L87" s="41"/>
      <x:c r="M87" s="7" t="s">
        <x:v>5478</x:v>
      </x:c>
      <x:c r="N87" s="7" t="s">
        <x:v>5478</x:v>
      </x:c>
      <x:c r="O87" s="7" t="s">
        <x:v>5118</x:v>
      </x:c>
      <x:c r="P87" s="7" t="b">
        <x:v>0</x:v>
      </x:c>
      <x:c r="Q87" s="7" t="s">
        <x:v>5119</x:v>
      </x:c>
      <x:c r="R87" s="26" t="s">
        <x:v>5120</x:v>
      </x:c>
      <x:c r="S87" s="7" t="s">
        <x:v>5539</x:v>
      </x:c>
      <x:c r="T87" s="49"/>
      <x:c r="U87" s="49"/>
      <x:c r="V87" s="50" t="s">
        <x:v>5288</x:v>
      </x:c>
      <x:c r="W87" s="48"/>
      <x:c r="X87" s="48"/>
      <x:c r="Y87" s="48"/>
      <x:c r="Z87" s="48"/>
    </x:row>
    <x:row r="88">
      <x:c r="A88" s="7" t="s">
        <x:v>5540</x:v>
      </x:c>
      <x:c r="B88" s="7" t="s">
        <x:v>1519</x:v>
      </x:c>
      <x:c r="C88" s="7" t="s">
        <x:v>5541</x:v>
      </x:c>
      <x:c r="D88" s="7" t="s">
        <x:v>5113</x:v>
      </x:c>
      <x:c r="E88" s="10">
        <x:v>50.0</x:v>
      </x:c>
      <x:c r="F88" s="10">
        <x:v>0.0</x:v>
      </x:c>
      <x:c r="G88" s="10">
        <x:v>50.0</x:v>
      </x:c>
      <x:c r="H88" s="7" t="s">
        <x:v>5114</x:v>
      </x:c>
      <x:c r="I88" s="7" t="s">
        <x:v>5115</x:v>
      </x:c>
      <x:c r="J88" s="26" t="s">
        <x:v>5542</x:v>
      </x:c>
      <x:c r="K88" s="7" t="s">
        <x:v>5543</x:v>
      </x:c>
      <x:c r="L88" s="41"/>
      <x:c r="M88" s="7" t="s">
        <x:v>5478</x:v>
      </x:c>
      <x:c r="N88" s="7" t="s">
        <x:v>5478</x:v>
      </x:c>
      <x:c r="O88" s="7" t="s">
        <x:v>5118</x:v>
      </x:c>
      <x:c r="P88" s="7" t="b">
        <x:v>0</x:v>
      </x:c>
      <x:c r="Q88" s="7" t="s">
        <x:v>5119</x:v>
      </x:c>
      <x:c r="R88" s="26" t="s">
        <x:v>5120</x:v>
      </x:c>
      <x:c r="S88" s="7" t="s">
        <x:v>5544</x:v>
      </x:c>
      <x:c r="T88" s="49"/>
      <x:c r="U88" s="49"/>
      <x:c r="V88" s="50" t="s">
        <x:v>5288</x:v>
      </x:c>
      <x:c r="W88" s="48"/>
      <x:c r="X88" s="48"/>
      <x:c r="Y88" s="48"/>
      <x:c r="Z88" s="48"/>
    </x:row>
    <x:row r="89">
      <x:c r="A89" s="7" t="s">
        <x:v>5545</x:v>
      </x:c>
      <x:c r="B89" s="7" t="s">
        <x:v>1519</x:v>
      </x:c>
      <x:c r="C89" s="7" t="s">
        <x:v>5546</x:v>
      </x:c>
      <x:c r="D89" s="7" t="s">
        <x:v>5113</x:v>
      </x:c>
      <x:c r="E89" s="10">
        <x:v>50.0</x:v>
      </x:c>
      <x:c r="F89" s="10">
        <x:v>0.0</x:v>
      </x:c>
      <x:c r="G89" s="10">
        <x:v>50.0</x:v>
      </x:c>
      <x:c r="H89" s="7" t="s">
        <x:v>5114</x:v>
      </x:c>
      <x:c r="I89" s="7" t="s">
        <x:v>5115</x:v>
      </x:c>
      <x:c r="J89" s="26" t="s">
        <x:v>5547</x:v>
      </x:c>
      <x:c r="K89" s="7" t="s">
        <x:v>5548</x:v>
      </x:c>
      <x:c r="L89" s="41"/>
      <x:c r="M89" s="7" t="s">
        <x:v>5478</x:v>
      </x:c>
      <x:c r="N89" s="7" t="s">
        <x:v>5478</x:v>
      </x:c>
      <x:c r="O89" s="7" t="s">
        <x:v>5118</x:v>
      </x:c>
      <x:c r="P89" s="7" t="b">
        <x:v>0</x:v>
      </x:c>
      <x:c r="Q89" s="7" t="s">
        <x:v>5119</x:v>
      </x:c>
      <x:c r="R89" s="26" t="s">
        <x:v>5120</x:v>
      </x:c>
      <x:c r="S89" s="7" t="s">
        <x:v>5549</x:v>
      </x:c>
      <x:c r="T89" s="49"/>
      <x:c r="U89" s="49"/>
      <x:c r="V89" s="50" t="s">
        <x:v>5288</x:v>
      </x:c>
      <x:c r="W89" s="48"/>
      <x:c r="X89" s="48"/>
      <x:c r="Y89" s="48"/>
      <x:c r="Z89" s="48"/>
    </x:row>
    <x:row r="90">
      <x:c r="A90" s="7" t="s">
        <x:v>5550</x:v>
      </x:c>
      <x:c r="B90" s="7" t="s">
        <x:v>1051</x:v>
      </x:c>
      <x:c r="C90" s="7" t="s">
        <x:v>5551</x:v>
      </x:c>
      <x:c r="D90" s="7" t="s">
        <x:v>5113</x:v>
      </x:c>
      <x:c r="E90" s="10">
        <x:v>40.0</x:v>
      </x:c>
      <x:c r="F90" s="10">
        <x:v>0.0</x:v>
      </x:c>
      <x:c r="G90" s="10">
        <x:v>40.0</x:v>
      </x:c>
      <x:c r="H90" s="7" t="s">
        <x:v>5114</x:v>
      </x:c>
      <x:c r="I90" s="7" t="s">
        <x:v>5115</x:v>
      </x:c>
      <x:c r="J90" s="26" t="s">
        <x:v>5552</x:v>
      </x:c>
      <x:c r="K90" s="41"/>
      <x:c r="L90" s="41"/>
      <x:c r="M90" s="7" t="s">
        <x:v>5553</x:v>
      </x:c>
      <x:c r="N90" s="7" t="s">
        <x:v>5553</x:v>
      </x:c>
      <x:c r="O90" s="7" t="s">
        <x:v>5118</x:v>
      </x:c>
      <x:c r="P90" s="7" t="b">
        <x:v>0</x:v>
      </x:c>
      <x:c r="Q90" s="7" t="s">
        <x:v>5119</x:v>
      </x:c>
      <x:c r="R90" s="26" t="s">
        <x:v>5120</x:v>
      </x:c>
      <x:c r="S90" s="7" t="s">
        <x:v>5554</x:v>
      </x:c>
      <x:c r="T90" s="49"/>
      <x:c r="U90" s="49"/>
      <x:c r="V90" s="50" t="s">
        <x:v>5288</x:v>
      </x:c>
      <x:c r="W90" s="48"/>
      <x:c r="X90" s="48"/>
      <x:c r="Y90" s="48"/>
      <x:c r="Z90" s="48"/>
    </x:row>
    <x:row r="91">
      <x:c r="A91" s="7" t="s">
        <x:v>5555</x:v>
      </x:c>
      <x:c r="B91" s="7" t="s">
        <x:v>1051</x:v>
      </x:c>
      <x:c r="C91" s="7" t="s">
        <x:v>5556</x:v>
      </x:c>
      <x:c r="D91" s="7" t="s">
        <x:v>5113</x:v>
      </x:c>
      <x:c r="E91" s="10">
        <x:v>50.0</x:v>
      </x:c>
      <x:c r="F91" s="10">
        <x:v>0.0</x:v>
      </x:c>
      <x:c r="G91" s="10">
        <x:v>50.0</x:v>
      </x:c>
      <x:c r="H91" s="7" t="s">
        <x:v>5114</x:v>
      </x:c>
      <x:c r="I91" s="7" t="s">
        <x:v>5115</x:v>
      </x:c>
      <x:c r="J91" s="26" t="s">
        <x:v>5557</x:v>
      </x:c>
      <x:c r="K91" s="41"/>
      <x:c r="L91" s="41"/>
      <x:c r="M91" s="7" t="s">
        <x:v>5553</x:v>
      </x:c>
      <x:c r="N91" s="7" t="s">
        <x:v>5553</x:v>
      </x:c>
      <x:c r="O91" s="7" t="s">
        <x:v>5118</x:v>
      </x:c>
      <x:c r="P91" s="7" t="b">
        <x:v>0</x:v>
      </x:c>
      <x:c r="Q91" s="7" t="s">
        <x:v>5119</x:v>
      </x:c>
      <x:c r="R91" s="26" t="s">
        <x:v>5120</x:v>
      </x:c>
      <x:c r="S91" s="7" t="s">
        <x:v>5558</x:v>
      </x:c>
      <x:c r="T91" s="49"/>
      <x:c r="U91" s="49"/>
      <x:c r="V91" s="50" t="s">
        <x:v>5288</x:v>
      </x:c>
      <x:c r="W91" s="48"/>
      <x:c r="X91" s="48"/>
      <x:c r="Y91" s="48"/>
      <x:c r="Z91" s="48"/>
    </x:row>
    <x:row r="92">
      <x:c r="A92" s="7" t="s">
        <x:v>5559</x:v>
      </x:c>
      <x:c r="B92" s="7" t="s">
        <x:v>1051</x:v>
      </x:c>
      <x:c r="C92" s="7" t="s">
        <x:v>5560</x:v>
      </x:c>
      <x:c r="D92" s="7" t="s">
        <x:v>5113</x:v>
      </x:c>
      <x:c r="E92" s="10">
        <x:v>50.0</x:v>
      </x:c>
      <x:c r="F92" s="10">
        <x:v>0.0</x:v>
      </x:c>
      <x:c r="G92" s="10">
        <x:v>50.0</x:v>
      </x:c>
      <x:c r="H92" s="7" t="s">
        <x:v>5114</x:v>
      </x:c>
      <x:c r="I92" s="7" t="s">
        <x:v>5115</x:v>
      </x:c>
      <x:c r="J92" s="26" t="s">
        <x:v>5561</x:v>
      </x:c>
      <x:c r="K92" s="41"/>
      <x:c r="L92" s="41"/>
      <x:c r="M92" s="7" t="s">
        <x:v>5553</x:v>
      </x:c>
      <x:c r="N92" s="7" t="s">
        <x:v>5553</x:v>
      </x:c>
      <x:c r="O92" s="7" t="s">
        <x:v>5118</x:v>
      </x:c>
      <x:c r="P92" s="7" t="b">
        <x:v>0</x:v>
      </x:c>
      <x:c r="Q92" s="7" t="s">
        <x:v>5119</x:v>
      </x:c>
      <x:c r="R92" s="26" t="s">
        <x:v>5120</x:v>
      </x:c>
      <x:c r="S92" s="7" t="s">
        <x:v>5562</x:v>
      </x:c>
      <x:c r="T92" s="49"/>
      <x:c r="U92" s="49"/>
      <x:c r="V92" s="50" t="s">
        <x:v>5288</x:v>
      </x:c>
      <x:c r="W92" s="48"/>
      <x:c r="X92" s="48"/>
      <x:c r="Y92" s="48"/>
      <x:c r="Z92" s="48"/>
    </x:row>
    <x:row r="93">
      <x:c r="A93" s="7" t="s">
        <x:v>5563</x:v>
      </x:c>
      <x:c r="B93" s="7" t="s">
        <x:v>1051</x:v>
      </x:c>
      <x:c r="C93" s="7" t="s">
        <x:v>5564</x:v>
      </x:c>
      <x:c r="D93" s="7" t="s">
        <x:v>5113</x:v>
      </x:c>
      <x:c r="E93" s="10">
        <x:v>80.0</x:v>
      </x:c>
      <x:c r="F93" s="10">
        <x:v>0.0</x:v>
      </x:c>
      <x:c r="G93" s="10">
        <x:v>80.0</x:v>
      </x:c>
      <x:c r="H93" s="7" t="s">
        <x:v>5114</x:v>
      </x:c>
      <x:c r="I93" s="7" t="s">
        <x:v>5115</x:v>
      </x:c>
      <x:c r="J93" s="26" t="s">
        <x:v>5565</x:v>
      </x:c>
      <x:c r="K93" s="41"/>
      <x:c r="L93" s="41"/>
      <x:c r="M93" s="7" t="s">
        <x:v>5566</x:v>
      </x:c>
      <x:c r="N93" s="7" t="s">
        <x:v>5566</x:v>
      </x:c>
      <x:c r="O93" s="7" t="s">
        <x:v>5118</x:v>
      </x:c>
      <x:c r="P93" s="7" t="b">
        <x:v>0</x:v>
      </x:c>
      <x:c r="Q93" s="7" t="s">
        <x:v>5119</x:v>
      </x:c>
      <x:c r="R93" s="26" t="s">
        <x:v>5120</x:v>
      </x:c>
      <x:c r="S93" s="7" t="s">
        <x:v>5567</x:v>
      </x:c>
      <x:c r="T93" s="49"/>
      <x:c r="U93" s="49"/>
      <x:c r="V93" s="50" t="s">
        <x:v>5288</x:v>
      </x:c>
      <x:c r="W93" s="48"/>
      <x:c r="X93" s="48"/>
      <x:c r="Y93" s="48"/>
      <x:c r="Z93" s="48"/>
    </x:row>
    <x:row r="94">
      <x:c r="A94" s="7" t="s">
        <x:v>5568</x:v>
      </x:c>
      <x:c r="B94" s="7" t="s">
        <x:v>1051</x:v>
      </x:c>
      <x:c r="C94" s="7" t="s">
        <x:v>5569</x:v>
      </x:c>
      <x:c r="D94" s="7" t="s">
        <x:v>5113</x:v>
      </x:c>
      <x:c r="E94" s="10">
        <x:v>20.0</x:v>
      </x:c>
      <x:c r="F94" s="10">
        <x:v>0.0</x:v>
      </x:c>
      <x:c r="G94" s="10">
        <x:v>20.0</x:v>
      </x:c>
      <x:c r="H94" s="7" t="s">
        <x:v>5114</x:v>
      </x:c>
      <x:c r="I94" s="7" t="s">
        <x:v>5115</x:v>
      </x:c>
      <x:c r="J94" s="26" t="s">
        <x:v>5570</x:v>
      </x:c>
      <x:c r="K94" s="41"/>
      <x:c r="L94" s="41"/>
      <x:c r="M94" s="7" t="s">
        <x:v>5566</x:v>
      </x:c>
      <x:c r="N94" s="7" t="s">
        <x:v>5566</x:v>
      </x:c>
      <x:c r="O94" s="7" t="s">
        <x:v>5118</x:v>
      </x:c>
      <x:c r="P94" s="7" t="b">
        <x:v>0</x:v>
      </x:c>
      <x:c r="Q94" s="7" t="s">
        <x:v>5119</x:v>
      </x:c>
      <x:c r="R94" s="26" t="s">
        <x:v>5120</x:v>
      </x:c>
      <x:c r="S94" s="7" t="s">
        <x:v>5571</x:v>
      </x:c>
      <x:c r="T94" s="49"/>
      <x:c r="U94" s="49"/>
      <x:c r="V94" s="50" t="s">
        <x:v>5288</x:v>
      </x:c>
      <x:c r="W94" s="48"/>
      <x:c r="X94" s="48"/>
      <x:c r="Y94" s="48"/>
      <x:c r="Z94" s="48"/>
    </x:row>
    <x:row r="95">
      <x:c r="A95" s="7" t="s">
        <x:v>5572</x:v>
      </x:c>
      <x:c r="B95" s="7" t="s">
        <x:v>357</x:v>
      </x:c>
      <x:c r="C95" s="7" t="s">
        <x:v>5573</x:v>
      </x:c>
      <x:c r="D95" s="7" t="s">
        <x:v>5113</x:v>
      </x:c>
      <x:c r="E95" s="10">
        <x:v>300.0</x:v>
      </x:c>
      <x:c r="F95" s="10">
        <x:v>0.0</x:v>
      </x:c>
      <x:c r="G95" s="10">
        <x:v>300.0</x:v>
      </x:c>
      <x:c r="H95" s="7" t="s">
        <x:v>5114</x:v>
      </x:c>
      <x:c r="I95" s="7" t="s">
        <x:v>5115</x:v>
      </x:c>
      <x:c r="J95" s="26" t="s">
        <x:v>5574</x:v>
      </x:c>
      <x:c r="K95" s="41"/>
      <x:c r="L95" s="41"/>
      <x:c r="M95" s="7" t="s">
        <x:v>5575</x:v>
      </x:c>
      <x:c r="N95" s="7" t="s">
        <x:v>5575</x:v>
      </x:c>
      <x:c r="O95" s="7" t="s">
        <x:v>5118</x:v>
      </x:c>
      <x:c r="P95" s="7" t="b">
        <x:v>0</x:v>
      </x:c>
      <x:c r="Q95" s="7" t="s">
        <x:v>5119</x:v>
      </x:c>
      <x:c r="R95" s="26" t="s">
        <x:v>5120</x:v>
      </x:c>
      <x:c r="S95" s="7" t="s">
        <x:v>5576</x:v>
      </x:c>
      <x:c r="T95" s="49"/>
      <x:c r="U95" s="49"/>
      <x:c r="V95" s="50" t="s">
        <x:v>5288</x:v>
      </x:c>
      <x:c r="W95" s="48"/>
      <x:c r="X95" s="48"/>
      <x:c r="Y95" s="48"/>
      <x:c r="Z95" s="48"/>
    </x:row>
    <x:row r="96">
      <x:c r="A96" s="7" t="s">
        <x:v>5577</x:v>
      </x:c>
      <x:c r="B96" s="7" t="s">
        <x:v>357</x:v>
      </x:c>
      <x:c r="C96" s="7" t="s">
        <x:v>5578</x:v>
      </x:c>
      <x:c r="D96" s="7" t="s">
        <x:v>5113</x:v>
      </x:c>
      <x:c r="E96" s="10">
        <x:v>30.0</x:v>
      </x:c>
      <x:c r="F96" s="10">
        <x:v>0.0</x:v>
      </x:c>
      <x:c r="G96" s="10">
        <x:v>30.0</x:v>
      </x:c>
      <x:c r="H96" s="7" t="s">
        <x:v>5114</x:v>
      </x:c>
      <x:c r="I96" s="7" t="s">
        <x:v>5115</x:v>
      </x:c>
      <x:c r="J96" s="26" t="s">
        <x:v>5579</x:v>
      </x:c>
      <x:c r="K96" s="41"/>
      <x:c r="L96" s="41"/>
      <x:c r="M96" s="7" t="s">
        <x:v>5580</x:v>
      </x:c>
      <x:c r="N96" s="7" t="s">
        <x:v>5580</x:v>
      </x:c>
      <x:c r="O96" s="7" t="s">
        <x:v>5118</x:v>
      </x:c>
      <x:c r="P96" s="7" t="b">
        <x:v>0</x:v>
      </x:c>
      <x:c r="Q96" s="7" t="s">
        <x:v>5119</x:v>
      </x:c>
      <x:c r="R96" s="26" t="s">
        <x:v>5120</x:v>
      </x:c>
      <x:c r="S96" s="7" t="s">
        <x:v>5581</x:v>
      </x:c>
      <x:c r="T96" s="49"/>
      <x:c r="U96" s="49"/>
      <x:c r="V96" s="50" t="s">
        <x:v>5288</x:v>
      </x:c>
      <x:c r="W96" s="48"/>
      <x:c r="X96" s="48"/>
      <x:c r="Y96" s="48"/>
      <x:c r="Z96" s="48"/>
    </x:row>
    <x:row r="97">
      <x:c r="A97" s="7" t="s">
        <x:v>5582</x:v>
      </x:c>
      <x:c r="B97" s="7" t="s">
        <x:v>936</x:v>
      </x:c>
      <x:c r="C97" s="7" t="s">
        <x:v>5583</x:v>
      </x:c>
      <x:c r="D97" s="7" t="s">
        <x:v>5113</x:v>
      </x:c>
      <x:c r="E97" s="10">
        <x:v>30.0</x:v>
      </x:c>
      <x:c r="F97" s="10">
        <x:v>0.0</x:v>
      </x:c>
      <x:c r="G97" s="10">
        <x:v>30.0</x:v>
      </x:c>
      <x:c r="H97" s="7" t="s">
        <x:v>5114</x:v>
      </x:c>
      <x:c r="I97" s="7" t="s">
        <x:v>5115</x:v>
      </x:c>
      <x:c r="J97" s="26" t="s">
        <x:v>5584</x:v>
      </x:c>
      <x:c r="K97" s="7" t="s">
        <x:v>5585</x:v>
      </x:c>
      <x:c r="L97" s="41"/>
      <x:c r="M97" s="7" t="s">
        <x:v>5586</x:v>
      </x:c>
      <x:c r="N97" s="7" t="s">
        <x:v>5586</x:v>
      </x:c>
      <x:c r="O97" s="7" t="s">
        <x:v>5118</x:v>
      </x:c>
      <x:c r="P97" s="7" t="b">
        <x:v>0</x:v>
      </x:c>
      <x:c r="Q97" s="7" t="s">
        <x:v>5119</x:v>
      </x:c>
      <x:c r="R97" s="26" t="s">
        <x:v>5120</x:v>
      </x:c>
      <x:c r="S97" s="7" t="s">
        <x:v>5587</x:v>
      </x:c>
      <x:c r="T97" s="49"/>
      <x:c r="U97" s="49"/>
      <x:c r="V97" s="50" t="s">
        <x:v>5288</x:v>
      </x:c>
      <x:c r="W97" s="48"/>
      <x:c r="X97" s="48"/>
      <x:c r="Y97" s="48"/>
      <x:c r="Z97" s="48"/>
    </x:row>
    <x:row r="98">
      <x:c r="A98" s="7" t="s">
        <x:v>5588</x:v>
      </x:c>
      <x:c r="B98" s="7" t="s">
        <x:v>936</x:v>
      </x:c>
      <x:c r="C98" s="7" t="s">
        <x:v>5589</x:v>
      </x:c>
      <x:c r="D98" s="7" t="s">
        <x:v>5113</x:v>
      </x:c>
      <x:c r="E98" s="10">
        <x:v>30.0</x:v>
      </x:c>
      <x:c r="F98" s="10">
        <x:v>0.0</x:v>
      </x:c>
      <x:c r="G98" s="10">
        <x:v>30.0</x:v>
      </x:c>
      <x:c r="H98" s="7" t="s">
        <x:v>5114</x:v>
      </x:c>
      <x:c r="I98" s="7" t="s">
        <x:v>5115</x:v>
      </x:c>
      <x:c r="J98" s="26" t="s">
        <x:v>5590</x:v>
      </x:c>
      <x:c r="K98" s="7" t="s">
        <x:v>5591</x:v>
      </x:c>
      <x:c r="L98" s="41"/>
      <x:c r="M98" s="7" t="s">
        <x:v>5586</x:v>
      </x:c>
      <x:c r="N98" s="7" t="s">
        <x:v>5586</x:v>
      </x:c>
      <x:c r="O98" s="7" t="s">
        <x:v>5118</x:v>
      </x:c>
      <x:c r="P98" s="7" t="b">
        <x:v>0</x:v>
      </x:c>
      <x:c r="Q98" s="7" t="s">
        <x:v>5119</x:v>
      </x:c>
      <x:c r="R98" s="26" t="s">
        <x:v>5120</x:v>
      </x:c>
      <x:c r="S98" s="7" t="s">
        <x:v>5592</x:v>
      </x:c>
      <x:c r="T98" s="49"/>
      <x:c r="U98" s="49"/>
      <x:c r="V98" s="50" t="s">
        <x:v>5288</x:v>
      </x:c>
      <x:c r="W98" s="48"/>
      <x:c r="X98" s="48"/>
      <x:c r="Y98" s="48"/>
      <x:c r="Z98" s="48"/>
    </x:row>
    <x:row r="99">
      <x:c r="A99" s="7" t="s">
        <x:v>5593</x:v>
      </x:c>
      <x:c r="B99" s="7" t="s">
        <x:v>936</x:v>
      </x:c>
      <x:c r="C99" s="7" t="s">
        <x:v>5594</x:v>
      </x:c>
      <x:c r="D99" s="7" t="s">
        <x:v>5113</x:v>
      </x:c>
      <x:c r="E99" s="10">
        <x:v>20.0</x:v>
      </x:c>
      <x:c r="F99" s="10">
        <x:v>0.0</x:v>
      </x:c>
      <x:c r="G99" s="10">
        <x:v>20.0</x:v>
      </x:c>
      <x:c r="H99" s="7" t="s">
        <x:v>5114</x:v>
      </x:c>
      <x:c r="I99" s="7" t="s">
        <x:v>5115</x:v>
      </x:c>
      <x:c r="J99" s="26" t="s">
        <x:v>5595</x:v>
      </x:c>
      <x:c r="K99" s="7" t="s">
        <x:v>5596</x:v>
      </x:c>
      <x:c r="L99" s="41"/>
      <x:c r="M99" s="7" t="s">
        <x:v>5586</x:v>
      </x:c>
      <x:c r="N99" s="7" t="s">
        <x:v>5586</x:v>
      </x:c>
      <x:c r="O99" s="7" t="s">
        <x:v>5118</x:v>
      </x:c>
      <x:c r="P99" s="7" t="b">
        <x:v>0</x:v>
      </x:c>
      <x:c r="Q99" s="7" t="s">
        <x:v>5119</x:v>
      </x:c>
      <x:c r="R99" s="26" t="s">
        <x:v>5120</x:v>
      </x:c>
      <x:c r="S99" s="7" t="s">
        <x:v>5597</x:v>
      </x:c>
      <x:c r="T99" s="49"/>
      <x:c r="U99" s="49"/>
      <x:c r="V99" s="50" t="s">
        <x:v>5288</x:v>
      </x:c>
      <x:c r="W99" s="48"/>
      <x:c r="X99" s="48"/>
      <x:c r="Y99" s="48"/>
      <x:c r="Z99" s="48"/>
    </x:row>
    <x:row r="100">
      <x:c r="A100" s="7" t="s">
        <x:v>5598</x:v>
      </x:c>
      <x:c r="B100" s="7" t="s">
        <x:v>936</x:v>
      </x:c>
      <x:c r="C100" s="7" t="s">
        <x:v>5599</x:v>
      </x:c>
      <x:c r="D100" s="7" t="s">
        <x:v>5113</x:v>
      </x:c>
      <x:c r="E100" s="10">
        <x:v>100.0</x:v>
      </x:c>
      <x:c r="F100" s="10">
        <x:v>0.0</x:v>
      </x:c>
      <x:c r="G100" s="10">
        <x:v>100.0</x:v>
      </x:c>
      <x:c r="H100" s="7" t="s">
        <x:v>5114</x:v>
      </x:c>
      <x:c r="I100" s="7" t="s">
        <x:v>5115</x:v>
      </x:c>
      <x:c r="J100" s="26" t="s">
        <x:v>5600</x:v>
      </x:c>
      <x:c r="K100" s="7" t="s">
        <x:v>5601</x:v>
      </x:c>
      <x:c r="L100" s="41"/>
      <x:c r="M100" s="7" t="s">
        <x:v>5586</x:v>
      </x:c>
      <x:c r="N100" s="7" t="s">
        <x:v>5586</x:v>
      </x:c>
      <x:c r="O100" s="7" t="s">
        <x:v>5118</x:v>
      </x:c>
      <x:c r="P100" s="7" t="b">
        <x:v>0</x:v>
      </x:c>
      <x:c r="Q100" s="7" t="s">
        <x:v>5119</x:v>
      </x:c>
      <x:c r="R100" s="26" t="s">
        <x:v>5120</x:v>
      </x:c>
      <x:c r="S100" s="7" t="s">
        <x:v>5602</x:v>
      </x:c>
      <x:c r="T100" s="49"/>
      <x:c r="U100" s="49"/>
      <x:c r="V100" s="50" t="s">
        <x:v>5288</x:v>
      </x:c>
      <x:c r="W100" s="48"/>
      <x:c r="X100" s="48"/>
      <x:c r="Y100" s="48"/>
      <x:c r="Z100" s="48"/>
    </x:row>
    <x:row r="101">
      <x:c r="A101" s="7" t="s">
        <x:v>5603</x:v>
      </x:c>
      <x:c r="B101" s="7" t="s">
        <x:v>426</x:v>
      </x:c>
      <x:c r="C101" s="7" t="s">
        <x:v>5604</x:v>
      </x:c>
      <x:c r="D101" s="7" t="s">
        <x:v>5113</x:v>
      </x:c>
      <x:c r="E101" s="10">
        <x:v>60.0</x:v>
      </x:c>
      <x:c r="F101" s="10">
        <x:v>55.0</x:v>
      </x:c>
      <x:c r="G101" s="10">
        <x:v>5.0</x:v>
      </x:c>
      <x:c r="H101" s="7" t="s">
        <x:v>5114</x:v>
      </x:c>
      <x:c r="I101" s="7" t="s">
        <x:v>5605</x:v>
      </x:c>
      <x:c r="J101" s="41"/>
      <x:c r="K101" s="7">
        <x:v>8.12681104E8</x:v>
      </x:c>
      <x:c r="L101" s="41"/>
      <x:c r="M101" s="7" t="s">
        <x:v>5606</x:v>
      </x:c>
      <x:c r="N101" s="7" t="s">
        <x:v>5606</x:v>
      </x:c>
      <x:c r="O101" s="7" t="s">
        <x:v>5118</x:v>
      </x:c>
      <x:c r="P101" s="7" t="b">
        <x:v>0</x:v>
      </x:c>
      <x:c r="Q101" s="7" t="s">
        <x:v>5119</x:v>
      </x:c>
      <x:c r="R101" s="26" t="s">
        <x:v>5120</x:v>
      </x:c>
      <x:c r="S101" s="7" t="s">
        <x:v>5607</x:v>
      </x:c>
      <x:c r="T101" s="49"/>
      <x:c r="U101" s="49"/>
      <x:c r="V101" s="50" t="s">
        <x:v>5311</x:v>
      </x:c>
      <x:c r="W101" s="48"/>
      <x:c r="X101" s="50" t="s">
        <x:v>5119</x:v>
      </x:c>
      <x:c r="Y101" s="48"/>
      <x:c r="Z101" s="48"/>
    </x:row>
    <x:row r="102">
      <x:c r="A102" s="7" t="s">
        <x:v>5608</x:v>
      </x:c>
      <x:c r="B102" s="7" t="s">
        <x:v>426</x:v>
      </x:c>
      <x:c r="C102" s="7" t="s">
        <x:v>5609</x:v>
      </x:c>
      <x:c r="D102" s="7" t="s">
        <x:v>5113</x:v>
      </x:c>
      <x:c r="E102" s="10">
        <x:v>50.0</x:v>
      </x:c>
      <x:c r="F102" s="10">
        <x:v>0.0</x:v>
      </x:c>
      <x:c r="G102" s="10">
        <x:v>50.0</x:v>
      </x:c>
      <x:c r="H102" s="7" t="s">
        <x:v>5114</x:v>
      </x:c>
      <x:c r="I102" s="7" t="s">
        <x:v>5115</x:v>
      </x:c>
      <x:c r="J102" s="41"/>
      <x:c r="K102" s="7">
        <x:v>8.98328837E8</x:v>
      </x:c>
      <x:c r="L102" s="41"/>
      <x:c r="M102" s="7" t="s">
        <x:v>5606</x:v>
      </x:c>
      <x:c r="N102" s="7" t="s">
        <x:v>5606</x:v>
      </x:c>
      <x:c r="O102" s="7" t="s">
        <x:v>5118</x:v>
      </x:c>
      <x:c r="P102" s="7" t="b">
        <x:v>0</x:v>
      </x:c>
      <x:c r="Q102" s="7" t="s">
        <x:v>5119</x:v>
      </x:c>
      <x:c r="R102" s="26" t="s">
        <x:v>5120</x:v>
      </x:c>
      <x:c r="S102" s="7" t="s">
        <x:v>5610</x:v>
      </x:c>
      <x:c r="T102" s="49"/>
      <x:c r="U102" s="49"/>
      <x:c r="V102" s="50" t="s">
        <x:v>5311</x:v>
      </x:c>
      <x:c r="W102" s="48"/>
      <x:c r="X102" s="50" t="s">
        <x:v>5119</x:v>
      </x:c>
      <x:c r="Y102" s="48"/>
      <x:c r="Z102" s="48"/>
    </x:row>
    <x:row r="103">
      <x:c r="A103" s="7" t="s">
        <x:v>5611</x:v>
      </x:c>
      <x:c r="B103" s="7" t="s">
        <x:v>426</x:v>
      </x:c>
      <x:c r="C103" s="7" t="s">
        <x:v>5612</x:v>
      </x:c>
      <x:c r="D103" s="7" t="s">
        <x:v>5113</x:v>
      </x:c>
      <x:c r="E103" s="10">
        <x:v>50.0</x:v>
      </x:c>
      <x:c r="F103" s="10">
        <x:v>0.0</x:v>
      </x:c>
      <x:c r="G103" s="10">
        <x:v>50.0</x:v>
      </x:c>
      <x:c r="H103" s="7" t="s">
        <x:v>5114</x:v>
      </x:c>
      <x:c r="I103" s="7" t="s">
        <x:v>5115</x:v>
      </x:c>
      <x:c r="J103" s="41"/>
      <x:c r="K103" s="41"/>
      <x:c r="L103" s="41"/>
      <x:c r="M103" s="7" t="s">
        <x:v>5606</x:v>
      </x:c>
      <x:c r="N103" s="7" t="s">
        <x:v>5606</x:v>
      </x:c>
      <x:c r="O103" s="7" t="s">
        <x:v>5118</x:v>
      </x:c>
      <x:c r="P103" s="7" t="b">
        <x:v>0</x:v>
      </x:c>
      <x:c r="Q103" s="7" t="s">
        <x:v>5119</x:v>
      </x:c>
      <x:c r="R103" s="26" t="s">
        <x:v>5120</x:v>
      </x:c>
      <x:c r="S103" s="7" t="s">
        <x:v>5613</x:v>
      </x:c>
      <x:c r="T103" s="49"/>
      <x:c r="U103" s="49"/>
      <x:c r="V103" s="50" t="s">
        <x:v>5311</x:v>
      </x:c>
      <x:c r="W103" s="48"/>
      <x:c r="X103" s="50" t="s">
        <x:v>5119</x:v>
      </x:c>
      <x:c r="Y103" s="48"/>
      <x:c r="Z103" s="48"/>
    </x:row>
    <x:row r="104">
      <x:c r="A104" s="7" t="s">
        <x:v>5614</x:v>
      </x:c>
      <x:c r="B104" s="7" t="s">
        <x:v>446</x:v>
      </x:c>
      <x:c r="C104" s="7" t="s">
        <x:v>5615</x:v>
      </x:c>
      <x:c r="D104" s="7" t="s">
        <x:v>5113</x:v>
      </x:c>
      <x:c r="E104" s="10">
        <x:v>20.0</x:v>
      </x:c>
      <x:c r="F104" s="10">
        <x:v>7.0</x:v>
      </x:c>
      <x:c r="G104" s="10">
        <x:v>13.0</x:v>
      </x:c>
      <x:c r="H104" s="7" t="s">
        <x:v>5114</x:v>
      </x:c>
      <x:c r="I104" s="7" t="s">
        <x:v>5115</x:v>
      </x:c>
      <x:c r="J104" s="26" t="s">
        <x:v>5616</x:v>
      </x:c>
      <x:c r="K104" s="41"/>
      <x:c r="L104" s="41"/>
      <x:c r="M104" s="7" t="s">
        <x:v>5617</x:v>
      </x:c>
      <x:c r="N104" s="7" t="s">
        <x:v>5617</x:v>
      </x:c>
      <x:c r="O104" s="7" t="s">
        <x:v>5118</x:v>
      </x:c>
      <x:c r="P104" s="7" t="b">
        <x:v>0</x:v>
      </x:c>
      <x:c r="Q104" s="7" t="s">
        <x:v>5119</x:v>
      </x:c>
      <x:c r="R104" s="26" t="s">
        <x:v>5120</x:v>
      </x:c>
      <x:c r="S104" s="7" t="s">
        <x:v>5618</x:v>
      </x:c>
      <x:c r="T104" s="49"/>
      <x:c r="U104" s="49"/>
      <x:c r="V104" s="50" t="s">
        <x:v>5288</x:v>
      </x:c>
      <x:c r="W104" s="48"/>
      <x:c r="X104" s="48"/>
      <x:c r="Y104" s="48"/>
      <x:c r="Z104" s="48"/>
    </x:row>
    <x:row r="105">
      <x:c r="A105" s="7" t="s">
        <x:v>5619</x:v>
      </x:c>
      <x:c r="B105" s="7" t="s">
        <x:v>446</x:v>
      </x:c>
      <x:c r="C105" s="7" t="s">
        <x:v>5620</x:v>
      </x:c>
      <x:c r="D105" s="7" t="s">
        <x:v>5113</x:v>
      </x:c>
      <x:c r="E105" s="10">
        <x:v>50.0</x:v>
      </x:c>
      <x:c r="F105" s="10">
        <x:v>0.0</x:v>
      </x:c>
      <x:c r="G105" s="10">
        <x:v>50.0</x:v>
      </x:c>
      <x:c r="H105" s="7" t="s">
        <x:v>5114</x:v>
      </x:c>
      <x:c r="I105" s="7" t="s">
        <x:v>5115</x:v>
      </x:c>
      <x:c r="J105" s="26" t="s">
        <x:v>5621</x:v>
      </x:c>
      <x:c r="K105" s="41"/>
      <x:c r="L105" s="41"/>
      <x:c r="M105" s="7" t="s">
        <x:v>5617</x:v>
      </x:c>
      <x:c r="N105" s="7" t="s">
        <x:v>5617</x:v>
      </x:c>
      <x:c r="O105" s="7" t="s">
        <x:v>5118</x:v>
      </x:c>
      <x:c r="P105" s="7" t="b">
        <x:v>0</x:v>
      </x:c>
      <x:c r="Q105" s="7" t="s">
        <x:v>5119</x:v>
      </x:c>
      <x:c r="R105" s="26" t="s">
        <x:v>5120</x:v>
      </x:c>
      <x:c r="S105" s="7" t="s">
        <x:v>5622</x:v>
      </x:c>
      <x:c r="T105" s="49"/>
      <x:c r="U105" s="49"/>
      <x:c r="V105" s="50" t="s">
        <x:v>5288</x:v>
      </x:c>
      <x:c r="W105" s="48"/>
      <x:c r="X105" s="48"/>
      <x:c r="Y105" s="48"/>
      <x:c r="Z105" s="48"/>
    </x:row>
    <x:row r="106">
      <x:c r="A106" s="7" t="s">
        <x:v>5623</x:v>
      </x:c>
      <x:c r="B106" s="7" t="s">
        <x:v>446</x:v>
      </x:c>
      <x:c r="C106" s="7" t="s">
        <x:v>5624</x:v>
      </x:c>
      <x:c r="D106" s="7" t="s">
        <x:v>5113</x:v>
      </x:c>
      <x:c r="E106" s="10">
        <x:v>50.0</x:v>
      </x:c>
      <x:c r="F106" s="10">
        <x:v>0.0</x:v>
      </x:c>
      <x:c r="G106" s="10">
        <x:v>50.0</x:v>
      </x:c>
      <x:c r="H106" s="7" t="s">
        <x:v>5114</x:v>
      </x:c>
      <x:c r="I106" s="7" t="s">
        <x:v>5115</x:v>
      </x:c>
      <x:c r="J106" s="26" t="s">
        <x:v>5625</x:v>
      </x:c>
      <x:c r="K106" s="41"/>
      <x:c r="L106" s="41"/>
      <x:c r="M106" s="7" t="s">
        <x:v>5617</x:v>
      </x:c>
      <x:c r="N106" s="7" t="s">
        <x:v>5617</x:v>
      </x:c>
      <x:c r="O106" s="7" t="s">
        <x:v>5118</x:v>
      </x:c>
      <x:c r="P106" s="7" t="b">
        <x:v>0</x:v>
      </x:c>
      <x:c r="Q106" s="7" t="s">
        <x:v>5119</x:v>
      </x:c>
      <x:c r="R106" s="26" t="s">
        <x:v>5120</x:v>
      </x:c>
      <x:c r="S106" s="7" t="s">
        <x:v>5626</x:v>
      </x:c>
      <x:c r="T106" s="49"/>
      <x:c r="U106" s="49"/>
      <x:c r="V106" s="50" t="s">
        <x:v>5288</x:v>
      </x:c>
      <x:c r="W106" s="48"/>
      <x:c r="X106" s="48"/>
      <x:c r="Y106" s="48"/>
      <x:c r="Z106" s="48"/>
    </x:row>
    <x:row r="107">
      <x:c r="A107" s="7" t="s">
        <x:v>5627</x:v>
      </x:c>
      <x:c r="B107" s="7" t="s">
        <x:v>446</x:v>
      </x:c>
      <x:c r="C107" s="7" t="s">
        <x:v>5628</x:v>
      </x:c>
      <x:c r="D107" s="7" t="s">
        <x:v>5113</x:v>
      </x:c>
      <x:c r="E107" s="10">
        <x:v>50.0</x:v>
      </x:c>
      <x:c r="F107" s="10">
        <x:v>0.0</x:v>
      </x:c>
      <x:c r="G107" s="10">
        <x:v>50.0</x:v>
      </x:c>
      <x:c r="H107" s="7" t="s">
        <x:v>5114</x:v>
      </x:c>
      <x:c r="I107" s="7" t="s">
        <x:v>5115</x:v>
      </x:c>
      <x:c r="J107" s="26" t="s">
        <x:v>5629</x:v>
      </x:c>
      <x:c r="K107" s="41"/>
      <x:c r="L107" s="41"/>
      <x:c r="M107" s="7" t="s">
        <x:v>5617</x:v>
      </x:c>
      <x:c r="N107" s="7" t="s">
        <x:v>5617</x:v>
      </x:c>
      <x:c r="O107" s="7" t="s">
        <x:v>5118</x:v>
      </x:c>
      <x:c r="P107" s="7" t="b">
        <x:v>0</x:v>
      </x:c>
      <x:c r="Q107" s="7" t="s">
        <x:v>5119</x:v>
      </x:c>
      <x:c r="R107" s="26" t="s">
        <x:v>5120</x:v>
      </x:c>
      <x:c r="S107" s="7" t="s">
        <x:v>5630</x:v>
      </x:c>
      <x:c r="T107" s="49"/>
      <x:c r="U107" s="49"/>
      <x:c r="V107" s="50" t="s">
        <x:v>5288</x:v>
      </x:c>
      <x:c r="W107" s="48"/>
      <x:c r="X107" s="48"/>
      <x:c r="Y107" s="48"/>
      <x:c r="Z107" s="48"/>
    </x:row>
    <x:row r="108">
      <x:c r="A108" s="7" t="s">
        <x:v>5631</x:v>
      </x:c>
      <x:c r="B108" s="7" t="s">
        <x:v>446</x:v>
      </x:c>
      <x:c r="C108" s="7" t="s">
        <x:v>5632</x:v>
      </x:c>
      <x:c r="D108" s="7" t="s">
        <x:v>5113</x:v>
      </x:c>
      <x:c r="E108" s="10">
        <x:v>50.0</x:v>
      </x:c>
      <x:c r="F108" s="10">
        <x:v>5.0</x:v>
      </x:c>
      <x:c r="G108" s="10">
        <x:v>45.0</x:v>
      </x:c>
      <x:c r="H108" s="7" t="s">
        <x:v>5114</x:v>
      </x:c>
      <x:c r="I108" s="7" t="s">
        <x:v>5115</x:v>
      </x:c>
      <x:c r="J108" s="26" t="s">
        <x:v>5633</x:v>
      </x:c>
      <x:c r="K108" s="41"/>
      <x:c r="L108" s="41"/>
      <x:c r="M108" s="7" t="s">
        <x:v>5617</x:v>
      </x:c>
      <x:c r="N108" s="7" t="s">
        <x:v>5634</x:v>
      </x:c>
      <x:c r="O108" s="7" t="s">
        <x:v>5118</x:v>
      </x:c>
      <x:c r="P108" s="7" t="b">
        <x:v>0</x:v>
      </x:c>
      <x:c r="Q108" s="7" t="s">
        <x:v>5119</x:v>
      </x:c>
      <x:c r="R108" s="26" t="s">
        <x:v>5120</x:v>
      </x:c>
      <x:c r="S108" s="7" t="s">
        <x:v>5635</x:v>
      </x:c>
      <x:c r="T108" s="49"/>
      <x:c r="U108" s="49"/>
      <x:c r="V108" s="50" t="s">
        <x:v>5288</x:v>
      </x:c>
      <x:c r="W108" s="48"/>
      <x:c r="X108" s="48"/>
      <x:c r="Y108" s="48"/>
      <x:c r="Z108" s="48"/>
    </x:row>
    <x:row r="109">
      <x:c r="A109" s="7" t="s">
        <x:v>5636</x:v>
      </x:c>
      <x:c r="B109" s="7" t="s">
        <x:v>446</x:v>
      </x:c>
      <x:c r="C109" s="7" t="s">
        <x:v>5637</x:v>
      </x:c>
      <x:c r="D109" s="7" t="s">
        <x:v>5113</x:v>
      </x:c>
      <x:c r="E109" s="10">
        <x:v>50.0</x:v>
      </x:c>
      <x:c r="F109" s="10">
        <x:v>0.0</x:v>
      </x:c>
      <x:c r="G109" s="10">
        <x:v>50.0</x:v>
      </x:c>
      <x:c r="H109" s="7" t="s">
        <x:v>5114</x:v>
      </x:c>
      <x:c r="I109" s="7" t="s">
        <x:v>5115</x:v>
      </x:c>
      <x:c r="J109" s="26" t="s">
        <x:v>5638</x:v>
      </x:c>
      <x:c r="K109" s="41"/>
      <x:c r="L109" s="41"/>
      <x:c r="M109" s="7" t="s">
        <x:v>5617</x:v>
      </x:c>
      <x:c r="N109" s="7" t="s">
        <x:v>5617</x:v>
      </x:c>
      <x:c r="O109" s="7" t="s">
        <x:v>5118</x:v>
      </x:c>
      <x:c r="P109" s="7" t="b">
        <x:v>0</x:v>
      </x:c>
      <x:c r="Q109" s="7" t="s">
        <x:v>5119</x:v>
      </x:c>
      <x:c r="R109" s="26" t="s">
        <x:v>5120</x:v>
      </x:c>
      <x:c r="S109" s="7" t="s">
        <x:v>5639</x:v>
      </x:c>
      <x:c r="T109" s="49"/>
      <x:c r="U109" s="49"/>
      <x:c r="V109" s="50" t="s">
        <x:v>5288</x:v>
      </x:c>
      <x:c r="W109" s="48"/>
      <x:c r="X109" s="48"/>
      <x:c r="Y109" s="48"/>
      <x:c r="Z109" s="48"/>
    </x:row>
    <x:row r="110">
      <x:c r="A110" s="7" t="s">
        <x:v>5640</x:v>
      </x:c>
      <x:c r="B110" s="7" t="s">
        <x:v>446</x:v>
      </x:c>
      <x:c r="C110" s="7" t="s">
        <x:v>5641</x:v>
      </x:c>
      <x:c r="D110" s="7" t="s">
        <x:v>5113</x:v>
      </x:c>
      <x:c r="E110" s="10">
        <x:v>20.0</x:v>
      </x:c>
      <x:c r="F110" s="10">
        <x:v>15.0</x:v>
      </x:c>
      <x:c r="G110" s="10">
        <x:v>5.0</x:v>
      </x:c>
      <x:c r="H110" s="7" t="s">
        <x:v>5114</x:v>
      </x:c>
      <x:c r="I110" s="7" t="s">
        <x:v>5115</x:v>
      </x:c>
      <x:c r="J110" s="26" t="s">
        <x:v>5642</x:v>
      </x:c>
      <x:c r="K110" s="41"/>
      <x:c r="L110" s="41"/>
      <x:c r="M110" s="7" t="s">
        <x:v>5617</x:v>
      </x:c>
      <x:c r="N110" s="7" t="s">
        <x:v>5643</x:v>
      </x:c>
      <x:c r="O110" s="7" t="s">
        <x:v>5118</x:v>
      </x:c>
      <x:c r="P110" s="7" t="b">
        <x:v>0</x:v>
      </x:c>
      <x:c r="Q110" s="7" t="s">
        <x:v>5119</x:v>
      </x:c>
      <x:c r="R110" s="26" t="s">
        <x:v>5120</x:v>
      </x:c>
      <x:c r="S110" s="7" t="s">
        <x:v>5644</x:v>
      </x:c>
      <x:c r="T110" s="49"/>
      <x:c r="U110" s="49"/>
      <x:c r="V110" s="50" t="s">
        <x:v>5288</x:v>
      </x:c>
      <x:c r="W110" s="48"/>
      <x:c r="X110" s="48"/>
      <x:c r="Y110" s="48"/>
      <x:c r="Z110" s="48"/>
    </x:row>
    <x:row r="111">
      <x:c r="A111" s="7" t="s">
        <x:v>5645</x:v>
      </x:c>
      <x:c r="B111" s="7" t="s">
        <x:v>446</x:v>
      </x:c>
      <x:c r="C111" s="7" t="s">
        <x:v>5646</x:v>
      </x:c>
      <x:c r="D111" s="7" t="s">
        <x:v>5113</x:v>
      </x:c>
      <x:c r="E111" s="10">
        <x:v>70.0</x:v>
      </x:c>
      <x:c r="F111" s="10">
        <x:v>0.0</x:v>
      </x:c>
      <x:c r="G111" s="10">
        <x:v>70.0</x:v>
      </x:c>
      <x:c r="H111" s="7" t="s">
        <x:v>5114</x:v>
      </x:c>
      <x:c r="I111" s="7" t="s">
        <x:v>5115</x:v>
      </x:c>
      <x:c r="J111" s="26" t="s">
        <x:v>5647</x:v>
      </x:c>
      <x:c r="K111" s="41"/>
      <x:c r="L111" s="41"/>
      <x:c r="M111" s="7" t="s">
        <x:v>5617</x:v>
      </x:c>
      <x:c r="N111" s="7" t="s">
        <x:v>5648</x:v>
      </x:c>
      <x:c r="O111" s="7" t="s">
        <x:v>5118</x:v>
      </x:c>
      <x:c r="P111" s="7" t="b">
        <x:v>0</x:v>
      </x:c>
      <x:c r="Q111" s="7" t="s">
        <x:v>5119</x:v>
      </x:c>
      <x:c r="R111" s="26" t="s">
        <x:v>5120</x:v>
      </x:c>
      <x:c r="S111" s="7" t="s">
        <x:v>5649</x:v>
      </x:c>
      <x:c r="T111" s="49"/>
      <x:c r="U111" s="49"/>
      <x:c r="V111" s="50" t="s">
        <x:v>5288</x:v>
      </x:c>
      <x:c r="W111" s="48"/>
      <x:c r="X111" s="48"/>
      <x:c r="Y111" s="48"/>
      <x:c r="Z111" s="48"/>
    </x:row>
    <x:row r="112">
      <x:c r="A112" s="7" t="s">
        <x:v>5650</x:v>
      </x:c>
      <x:c r="B112" s="7" t="s">
        <x:v>858</x:v>
      </x:c>
      <x:c r="C112" s="7" t="s">
        <x:v>5651</x:v>
      </x:c>
      <x:c r="D112" s="7" t="s">
        <x:v>5113</x:v>
      </x:c>
      <x:c r="E112" s="10">
        <x:v>100.0</x:v>
      </x:c>
      <x:c r="F112" s="10">
        <x:v>0.0</x:v>
      </x:c>
      <x:c r="G112" s="10">
        <x:v>100.0</x:v>
      </x:c>
      <x:c r="H112" s="7" t="s">
        <x:v>5114</x:v>
      </x:c>
      <x:c r="I112" s="7" t="s">
        <x:v>5115</x:v>
      </x:c>
      <x:c r="J112" s="26" t="s">
        <x:v>5652</x:v>
      </x:c>
      <x:c r="K112" s="41"/>
      <x:c r="L112" s="41"/>
      <x:c r="M112" s="7" t="s">
        <x:v>5653</x:v>
      </x:c>
      <x:c r="N112" s="7" t="s">
        <x:v>5653</x:v>
      </x:c>
      <x:c r="O112" s="7" t="s">
        <x:v>5118</x:v>
      </x:c>
      <x:c r="P112" s="7" t="b">
        <x:v>0</x:v>
      </x:c>
      <x:c r="Q112" s="7" t="s">
        <x:v>5119</x:v>
      </x:c>
      <x:c r="R112" s="26" t="s">
        <x:v>5120</x:v>
      </x:c>
      <x:c r="S112" s="7" t="s">
        <x:v>5654</x:v>
      </x:c>
      <x:c r="T112" s="49"/>
      <x:c r="U112" s="49"/>
      <x:c r="V112" s="50" t="s">
        <x:v>5655</x:v>
      </x:c>
      <x:c r="W112" s="52" t="s">
        <x:v>5652</x:v>
      </x:c>
      <x:c r="X112" s="50" t="s">
        <x:v>5119</x:v>
      </x:c>
      <x:c r="Y112" s="48"/>
      <x:c r="Z112" s="48"/>
    </x:row>
    <x:row r="113">
      <x:c r="A113" s="7" t="s">
        <x:v>5656</x:v>
      </x:c>
      <x:c r="B113" s="7" t="s">
        <x:v>858</x:v>
      </x:c>
      <x:c r="C113" s="7" t="s">
        <x:v>5657</x:v>
      </x:c>
      <x:c r="D113" s="7" t="s">
        <x:v>5113</x:v>
      </x:c>
      <x:c r="E113" s="10">
        <x:v>50.0</x:v>
      </x:c>
      <x:c r="F113" s="10">
        <x:v>0.0</x:v>
      </x:c>
      <x:c r="G113" s="10">
        <x:v>50.0</x:v>
      </x:c>
      <x:c r="H113" s="7" t="s">
        <x:v>5114</x:v>
      </x:c>
      <x:c r="I113" s="7" t="s">
        <x:v>5115</x:v>
      </x:c>
      <x:c r="J113" s="26" t="s">
        <x:v>5658</x:v>
      </x:c>
      <x:c r="K113" s="41"/>
      <x:c r="L113" s="41"/>
      <x:c r="M113" s="7" t="s">
        <x:v>5653</x:v>
      </x:c>
      <x:c r="N113" s="7" t="s">
        <x:v>5653</x:v>
      </x:c>
      <x:c r="O113" s="7" t="s">
        <x:v>5118</x:v>
      </x:c>
      <x:c r="P113" s="7" t="b">
        <x:v>0</x:v>
      </x:c>
      <x:c r="Q113" s="7" t="s">
        <x:v>5119</x:v>
      </x:c>
      <x:c r="R113" s="26" t="s">
        <x:v>5120</x:v>
      </x:c>
      <x:c r="S113" s="7" t="s">
        <x:v>5659</x:v>
      </x:c>
      <x:c r="T113" s="49"/>
      <x:c r="U113" s="49"/>
      <x:c r="V113" s="50" t="s">
        <x:v>5655</x:v>
      </x:c>
      <x:c r="W113" s="52" t="s">
        <x:v>5658</x:v>
      </x:c>
      <x:c r="X113" s="50" t="s">
        <x:v>5119</x:v>
      </x:c>
      <x:c r="Y113" s="48"/>
      <x:c r="Z113" s="48"/>
    </x:row>
    <x:row r="114">
      <x:c r="A114" s="7" t="s">
        <x:v>5660</x:v>
      </x:c>
      <x:c r="B114" s="7" t="s">
        <x:v>341</x:v>
      </x:c>
      <x:c r="C114" s="7" t="s">
        <x:v>5661</x:v>
      </x:c>
      <x:c r="D114" s="7" t="s">
        <x:v>5113</x:v>
      </x:c>
      <x:c r="E114" s="10">
        <x:v>80.0</x:v>
      </x:c>
      <x:c r="F114" s="10">
        <x:v>0.0</x:v>
      </x:c>
      <x:c r="G114" s="10">
        <x:v>80.0</x:v>
      </x:c>
      <x:c r="H114" s="7" t="s">
        <x:v>5114</x:v>
      </x:c>
      <x:c r="I114" s="7" t="s">
        <x:v>5115</x:v>
      </x:c>
      <x:c r="J114" s="26" t="s">
        <x:v>5662</x:v>
      </x:c>
      <x:c r="K114" s="41"/>
      <x:c r="L114" s="41"/>
      <x:c r="M114" s="7" t="s">
        <x:v>5663</x:v>
      </x:c>
      <x:c r="N114" s="7" t="s">
        <x:v>5663</x:v>
      </x:c>
      <x:c r="O114" s="7" t="s">
        <x:v>5118</x:v>
      </x:c>
      <x:c r="P114" s="7" t="b">
        <x:v>0</x:v>
      </x:c>
      <x:c r="Q114" s="7" t="s">
        <x:v>5119</x:v>
      </x:c>
      <x:c r="R114" s="26" t="s">
        <x:v>5120</x:v>
      </x:c>
      <x:c r="S114" s="7" t="s">
        <x:v>5664</x:v>
      </x:c>
      <x:c r="T114" s="49"/>
      <x:c r="U114" s="49"/>
      <x:c r="V114" s="50" t="s">
        <x:v>5288</x:v>
      </x:c>
      <x:c r="W114" s="48"/>
      <x:c r="X114" s="48"/>
      <x:c r="Y114" s="48"/>
      <x:c r="Z114" s="48"/>
    </x:row>
    <x:row r="115">
      <x:c r="A115" s="7" t="s">
        <x:v>5665</x:v>
      </x:c>
      <x:c r="B115" s="7" t="s">
        <x:v>336</x:v>
      </x:c>
      <x:c r="C115" s="7" t="s">
        <x:v>5666</x:v>
      </x:c>
      <x:c r="D115" s="7" t="s">
        <x:v>5113</x:v>
      </x:c>
      <x:c r="E115" s="10">
        <x:v>50.0</x:v>
      </x:c>
      <x:c r="F115" s="10">
        <x:v>10.0</x:v>
      </x:c>
      <x:c r="G115" s="10">
        <x:v>40.0</x:v>
      </x:c>
      <x:c r="H115" s="7" t="s">
        <x:v>5114</x:v>
      </x:c>
      <x:c r="I115" s="7" t="s">
        <x:v>5115</x:v>
      </x:c>
      <x:c r="J115" s="26" t="s">
        <x:v>5667</x:v>
      </x:c>
      <x:c r="K115" s="7" t="s">
        <x:v>5668</x:v>
      </x:c>
      <x:c r="L115" s="41"/>
      <x:c r="M115" s="7" t="s">
        <x:v>5669</x:v>
      </x:c>
      <x:c r="N115" s="7" t="s">
        <x:v>5669</x:v>
      </x:c>
      <x:c r="O115" s="7" t="s">
        <x:v>5118</x:v>
      </x:c>
      <x:c r="P115" s="7" t="b">
        <x:v>0</x:v>
      </x:c>
      <x:c r="Q115" s="7" t="s">
        <x:v>5119</x:v>
      </x:c>
      <x:c r="R115" s="26" t="s">
        <x:v>5120</x:v>
      </x:c>
      <x:c r="S115" s="7" t="s">
        <x:v>5670</x:v>
      </x:c>
      <x:c r="T115" s="51">
        <x:v>13.7852767</x:v>
      </x:c>
      <x:c r="U115" s="51">
        <x:v>100.6696489</x:v>
      </x:c>
      <x:c r="V115" s="50" t="s">
        <x:v>5165</x:v>
      </x:c>
      <x:c r="W115" s="52" t="s">
        <x:v>5667</x:v>
      </x:c>
      <x:c r="X115" s="50" t="s">
        <x:v>5119</x:v>
      </x:c>
      <x:c r="Y115" s="48"/>
      <x:c r="Z115" s="48"/>
    </x:row>
    <x:row r="116">
      <x:c r="A116" s="7" t="s">
        <x:v>5671</x:v>
      </x:c>
      <x:c r="B116" s="7" t="s">
        <x:v>336</x:v>
      </x:c>
      <x:c r="C116" s="7" t="s">
        <x:v>5672</x:v>
      </x:c>
      <x:c r="D116" s="7" t="s">
        <x:v>5113</x:v>
      </x:c>
      <x:c r="E116" s="10">
        <x:v>30.0</x:v>
      </x:c>
      <x:c r="F116" s="10">
        <x:v>11.0</x:v>
      </x:c>
      <x:c r="G116" s="10">
        <x:v>19.0</x:v>
      </x:c>
      <x:c r="H116" s="7" t="s">
        <x:v>5114</x:v>
      </x:c>
      <x:c r="I116" s="7" t="s">
        <x:v>5115</x:v>
      </x:c>
      <x:c r="J116" s="26" t="s">
        <x:v>5673</x:v>
      </x:c>
      <x:c r="K116" s="7" t="s">
        <x:v>5668</x:v>
      </x:c>
      <x:c r="L116" s="41"/>
      <x:c r="M116" s="7" t="s">
        <x:v>5669</x:v>
      </x:c>
      <x:c r="N116" s="7" t="s">
        <x:v>5674</x:v>
      </x:c>
      <x:c r="O116" s="7" t="s">
        <x:v>5118</x:v>
      </x:c>
      <x:c r="P116" s="7" t="b">
        <x:v>0</x:v>
      </x:c>
      <x:c r="Q116" s="7" t="s">
        <x:v>5119</x:v>
      </x:c>
      <x:c r="R116" s="26" t="s">
        <x:v>5120</x:v>
      </x:c>
      <x:c r="S116" s="7" t="s">
        <x:v>5675</x:v>
      </x:c>
      <x:c r="T116" s="51">
        <x:v>13.8183001</x:v>
      </x:c>
      <x:c r="U116" s="51">
        <x:v>100.6343372</x:v>
      </x:c>
      <x:c r="V116" s="50" t="s">
        <x:v>5165</x:v>
      </x:c>
      <x:c r="W116" s="52" t="s">
        <x:v>5673</x:v>
      </x:c>
      <x:c r="X116" s="50" t="s">
        <x:v>5119</x:v>
      </x:c>
      <x:c r="Y116" s="48"/>
      <x:c r="Z116" s="48"/>
    </x:row>
    <x:row r="117">
      <x:c r="A117" s="7" t="s">
        <x:v>5676</x:v>
      </x:c>
      <x:c r="B117" s="7" t="s">
        <x:v>336</x:v>
      </x:c>
      <x:c r="C117" s="7" t="s">
        <x:v>5677</x:v>
      </x:c>
      <x:c r="D117" s="7" t="s">
        <x:v>5113</x:v>
      </x:c>
      <x:c r="E117" s="10">
        <x:v>0.0</x:v>
      </x:c>
      <x:c r="F117" s="10">
        <x:v>0.0</x:v>
      </x:c>
      <x:c r="G117" s="10">
        <x:v>0.0</x:v>
      </x:c>
      <x:c r="H117" s="7" t="s">
        <x:v>5114</x:v>
      </x:c>
      <x:c r="I117" s="7" t="s">
        <x:v>5115</x:v>
      </x:c>
      <x:c r="J117" s="26" t="s">
        <x:v>5678</x:v>
      </x:c>
      <x:c r="K117" s="7" t="s">
        <x:v>5679</x:v>
      </x:c>
      <x:c r="L117" s="41"/>
      <x:c r="M117" s="7" t="s">
        <x:v>5669</x:v>
      </x:c>
      <x:c r="N117" s="7" t="s">
        <x:v>5669</x:v>
      </x:c>
      <x:c r="O117" s="7" t="s">
        <x:v>5118</x:v>
      </x:c>
      <x:c r="P117" s="7" t="b">
        <x:v>0</x:v>
      </x:c>
      <x:c r="Q117" s="7" t="s">
        <x:v>5119</x:v>
      </x:c>
      <x:c r="R117" s="26" t="s">
        <x:v>5120</x:v>
      </x:c>
      <x:c r="S117" s="7" t="s">
        <x:v>5680</x:v>
      </x:c>
      <x:c r="T117" s="51">
        <x:v>13.8032163</x:v>
      </x:c>
      <x:c r="U117" s="51">
        <x:v>100.6492248</x:v>
      </x:c>
      <x:c r="V117" s="50" t="s">
        <x:v>5165</x:v>
      </x:c>
      <x:c r="W117" s="52" t="s">
        <x:v>5678</x:v>
      </x:c>
      <x:c r="X117" s="50" t="s">
        <x:v>5119</x:v>
      </x:c>
      <x:c r="Y117" s="48"/>
      <x:c r="Z117" s="48"/>
    </x:row>
    <x:row r="118">
      <x:c r="A118" s="7" t="s">
        <x:v>5681</x:v>
      </x:c>
      <x:c r="B118" s="7" t="s">
        <x:v>336</x:v>
      </x:c>
      <x:c r="C118" s="7" t="s">
        <x:v>5682</x:v>
      </x:c>
      <x:c r="D118" s="7" t="s">
        <x:v>5113</x:v>
      </x:c>
      <x:c r="E118" s="10">
        <x:v>0.0</x:v>
      </x:c>
      <x:c r="F118" s="10">
        <x:v>0.0</x:v>
      </x:c>
      <x:c r="G118" s="10">
        <x:v>0.0</x:v>
      </x:c>
      <x:c r="H118" s="7" t="s">
        <x:v>5114</x:v>
      </x:c>
      <x:c r="I118" s="7" t="s">
        <x:v>5115</x:v>
      </x:c>
      <x:c r="J118" s="26" t="s">
        <x:v>5683</x:v>
      </x:c>
      <x:c r="K118" s="7" t="s">
        <x:v>5668</x:v>
      </x:c>
      <x:c r="L118" s="41"/>
      <x:c r="M118" s="7" t="s">
        <x:v>5669</x:v>
      </x:c>
      <x:c r="N118" s="7" t="s">
        <x:v>5669</x:v>
      </x:c>
      <x:c r="O118" s="7" t="s">
        <x:v>5118</x:v>
      </x:c>
      <x:c r="P118" s="7" t="b">
        <x:v>0</x:v>
      </x:c>
      <x:c r="Q118" s="7" t="s">
        <x:v>5119</x:v>
      </x:c>
      <x:c r="R118" s="26" t="s">
        <x:v>5120</x:v>
      </x:c>
      <x:c r="S118" s="7" t="s">
        <x:v>5684</x:v>
      </x:c>
      <x:c r="T118" s="51">
        <x:v>13.8336382</x:v>
      </x:c>
      <x:c r="U118" s="51">
        <x:v>100.6526429</x:v>
      </x:c>
      <x:c r="V118" s="50" t="s">
        <x:v>5165</x:v>
      </x:c>
      <x:c r="W118" s="52" t="s">
        <x:v>5683</x:v>
      </x:c>
      <x:c r="X118" s="50" t="s">
        <x:v>5119</x:v>
      </x:c>
      <x:c r="Y118" s="48"/>
      <x:c r="Z118" s="48"/>
    </x:row>
    <x:row r="119">
      <x:c r="A119" s="7" t="s">
        <x:v>5685</x:v>
      </x:c>
      <x:c r="B119" s="7" t="s">
        <x:v>644</x:v>
      </x:c>
      <x:c r="C119" s="7" t="s">
        <x:v>5686</x:v>
      </x:c>
      <x:c r="D119" s="7" t="s">
        <x:v>5113</x:v>
      </x:c>
      <x:c r="E119" s="10">
        <x:v>500.0</x:v>
      </x:c>
      <x:c r="F119" s="10">
        <x:v>88.0</x:v>
      </x:c>
      <x:c r="G119" s="10">
        <x:v>412.0</x:v>
      </x:c>
      <x:c r="H119" s="7" t="s">
        <x:v>5114</x:v>
      </x:c>
      <x:c r="I119" s="7" t="s">
        <x:v>5115</x:v>
      </x:c>
      <x:c r="J119" s="26" t="s">
        <x:v>5687</x:v>
      </x:c>
      <x:c r="K119" s="7" t="s">
        <x:v>5688</x:v>
      </x:c>
      <x:c r="L119" s="41"/>
      <x:c r="M119" s="7" t="s">
        <x:v>5689</x:v>
      </x:c>
      <x:c r="N119" s="7" t="s">
        <x:v>5689</x:v>
      </x:c>
      <x:c r="O119" s="7" t="s">
        <x:v>5118</x:v>
      </x:c>
      <x:c r="P119" s="7" t="b">
        <x:v>0</x:v>
      </x:c>
      <x:c r="Q119" s="7" t="s">
        <x:v>5119</x:v>
      </x:c>
      <x:c r="R119" s="26" t="s">
        <x:v>5120</x:v>
      </x:c>
      <x:c r="S119" s="7" t="s">
        <x:v>5690</x:v>
      </x:c>
      <x:c r="T119" s="49"/>
      <x:c r="U119" s="49"/>
      <x:c r="V119" s="50" t="s">
        <x:v>5655</x:v>
      </x:c>
      <x:c r="W119" s="52" t="s">
        <x:v>5687</x:v>
      </x:c>
      <x:c r="X119" s="50" t="s">
        <x:v>5119</x:v>
      </x:c>
      <x:c r="Y119" s="48"/>
      <x:c r="Z119" s="48"/>
    </x:row>
    <x:row r="120">
      <x:c r="A120" s="7" t="s">
        <x:v>5691</x:v>
      </x:c>
      <x:c r="B120" s="7" t="s">
        <x:v>644</x:v>
      </x:c>
      <x:c r="C120" s="7" t="s">
        <x:v>5692</x:v>
      </x:c>
      <x:c r="D120" s="7" t="s">
        <x:v>5113</x:v>
      </x:c>
      <x:c r="E120" s="10">
        <x:v>50.0</x:v>
      </x:c>
      <x:c r="F120" s="10">
        <x:v>10.0</x:v>
      </x:c>
      <x:c r="G120" s="10">
        <x:v>40.0</x:v>
      </x:c>
      <x:c r="H120" s="7" t="s">
        <x:v>5114</x:v>
      </x:c>
      <x:c r="I120" s="7" t="s">
        <x:v>5115</x:v>
      </x:c>
      <x:c r="J120" s="26" t="s">
        <x:v>5693</x:v>
      </x:c>
      <x:c r="K120" s="41"/>
      <x:c r="L120" s="41"/>
      <x:c r="M120" s="7" t="s">
        <x:v>5694</x:v>
      </x:c>
      <x:c r="N120" s="7" t="s">
        <x:v>5694</x:v>
      </x:c>
      <x:c r="O120" s="7" t="s">
        <x:v>5118</x:v>
      </x:c>
      <x:c r="P120" s="7" t="b">
        <x:v>0</x:v>
      </x:c>
      <x:c r="Q120" s="7" t="s">
        <x:v>5119</x:v>
      </x:c>
      <x:c r="R120" s="26" t="s">
        <x:v>5120</x:v>
      </x:c>
      <x:c r="S120" s="7" t="s">
        <x:v>5695</x:v>
      </x:c>
      <x:c r="T120" s="49"/>
      <x:c r="U120" s="49"/>
      <x:c r="V120" s="50" t="s">
        <x:v>5655</x:v>
      </x:c>
      <x:c r="W120" s="52" t="s">
        <x:v>5693</x:v>
      </x:c>
      <x:c r="X120" s="50" t="s">
        <x:v>5119</x:v>
      </x:c>
      <x:c r="Y120" s="48"/>
      <x:c r="Z120" s="48"/>
    </x:row>
    <x:row r="121">
      <x:c r="A121" s="7" t="s">
        <x:v>5696</x:v>
      </x:c>
      <x:c r="B121" s="7" t="s">
        <x:v>459</x:v>
      </x:c>
      <x:c r="C121" s="7" t="s">
        <x:v>5697</x:v>
      </x:c>
      <x:c r="D121" s="7" t="s">
        <x:v>5113</x:v>
      </x:c>
      <x:c r="E121" s="10">
        <x:v>50.0</x:v>
      </x:c>
      <x:c r="F121" s="10">
        <x:v>0.0</x:v>
      </x:c>
      <x:c r="G121" s="10">
        <x:v>50.0</x:v>
      </x:c>
      <x:c r="H121" s="7" t="s">
        <x:v>5114</x:v>
      </x:c>
      <x:c r="I121" s="7" t="s">
        <x:v>5115</x:v>
      </x:c>
      <x:c r="J121" s="7" t="s">
        <x:v>5698</x:v>
      </x:c>
      <x:c r="K121" s="7" t="s">
        <x:v>5699</x:v>
      </x:c>
      <x:c r="L121" s="41"/>
      <x:c r="M121" s="7" t="s">
        <x:v>5700</x:v>
      </x:c>
      <x:c r="N121" s="7" t="s">
        <x:v>5700</x:v>
      </x:c>
      <x:c r="O121" s="7" t="s">
        <x:v>5118</x:v>
      </x:c>
      <x:c r="P121" s="7" t="b">
        <x:v>0</x:v>
      </x:c>
      <x:c r="Q121" s="7" t="s">
        <x:v>5119</x:v>
      </x:c>
      <x:c r="R121" s="26" t="s">
        <x:v>5120</x:v>
      </x:c>
      <x:c r="S121" s="7" t="s">
        <x:v>5701</x:v>
      </x:c>
      <x:c r="T121" s="49"/>
      <x:c r="U121" s="49"/>
      <x:c r="V121" s="50" t="s">
        <x:v>5288</x:v>
      </x:c>
      <x:c r="W121" s="48"/>
      <x:c r="X121" s="48"/>
      <x:c r="Y121" s="48"/>
      <x:c r="Z121" s="48"/>
    </x:row>
    <x:row r="122">
      <x:c r="A122" s="7" t="s">
        <x:v>5702</x:v>
      </x:c>
      <x:c r="B122" s="7" t="s">
        <x:v>464</x:v>
      </x:c>
      <x:c r="C122" s="7" t="s">
        <x:v>5703</x:v>
      </x:c>
      <x:c r="D122" s="7" t="s">
        <x:v>5113</x:v>
      </x:c>
      <x:c r="E122" s="10">
        <x:v>30.0</x:v>
      </x:c>
      <x:c r="F122" s="10">
        <x:v>0.0</x:v>
      </x:c>
      <x:c r="G122" s="10">
        <x:v>30.0</x:v>
      </x:c>
      <x:c r="H122" s="7" t="s">
        <x:v>5114</x:v>
      </x:c>
      <x:c r="I122" s="7" t="s">
        <x:v>5115</x:v>
      </x:c>
      <x:c r="J122" s="41"/>
      <x:c r="K122" s="41"/>
      <x:c r="L122" s="41"/>
      <x:c r="M122" s="7" t="s">
        <x:v>5704</x:v>
      </x:c>
      <x:c r="N122" s="7" t="s">
        <x:v>5704</x:v>
      </x:c>
      <x:c r="O122" s="7" t="s">
        <x:v>5118</x:v>
      </x:c>
      <x:c r="P122" s="7" t="b">
        <x:v>0</x:v>
      </x:c>
      <x:c r="Q122" s="7" t="s">
        <x:v>5119</x:v>
      </x:c>
      <x:c r="R122" s="26" t="s">
        <x:v>5120</x:v>
      </x:c>
      <x:c r="S122" s="7" t="s">
        <x:v>5705</x:v>
      </x:c>
      <x:c r="T122" s="49"/>
      <x:c r="U122" s="49"/>
      <x:c r="V122" s="50" t="s">
        <x:v>5311</x:v>
      </x:c>
      <x:c r="W122" s="48"/>
      <x:c r="X122" s="50" t="s">
        <x:v>5119</x:v>
      </x:c>
      <x:c r="Y122" s="48"/>
      <x:c r="Z122" s="48"/>
    </x:row>
    <x:row r="123">
      <x:c r="A123" s="7" t="s">
        <x:v>5706</x:v>
      </x:c>
      <x:c r="B123" s="7" t="s">
        <x:v>464</x:v>
      </x:c>
      <x:c r="C123" s="7" t="s">
        <x:v>5707</x:v>
      </x:c>
      <x:c r="D123" s="7" t="s">
        <x:v>5113</x:v>
      </x:c>
      <x:c r="E123" s="10">
        <x:v>50.0</x:v>
      </x:c>
      <x:c r="F123" s="10">
        <x:v>0.0</x:v>
      </x:c>
      <x:c r="G123" s="10">
        <x:v>50.0</x:v>
      </x:c>
      <x:c r="H123" s="7" t="s">
        <x:v>5114</x:v>
      </x:c>
      <x:c r="I123" s="7" t="s">
        <x:v>5115</x:v>
      </x:c>
      <x:c r="J123" s="41"/>
      <x:c r="K123" s="41"/>
      <x:c r="L123" s="41"/>
      <x:c r="M123" s="7" t="s">
        <x:v>5704</x:v>
      </x:c>
      <x:c r="N123" s="7" t="s">
        <x:v>5704</x:v>
      </x:c>
      <x:c r="O123" s="7" t="s">
        <x:v>5118</x:v>
      </x:c>
      <x:c r="P123" s="7" t="b">
        <x:v>0</x:v>
      </x:c>
      <x:c r="Q123" s="7" t="s">
        <x:v>5119</x:v>
      </x:c>
      <x:c r="R123" s="26" t="s">
        <x:v>5120</x:v>
      </x:c>
      <x:c r="S123" s="7" t="s">
        <x:v>5708</x:v>
      </x:c>
      <x:c r="T123" s="49"/>
      <x:c r="U123" s="49"/>
      <x:c r="V123" s="50" t="s">
        <x:v>5311</x:v>
      </x:c>
      <x:c r="W123" s="48"/>
      <x:c r="X123" s="50" t="s">
        <x:v>5119</x:v>
      </x:c>
      <x:c r="Y123" s="48"/>
      <x:c r="Z123" s="48"/>
    </x:row>
    <x:row r="124">
      <x:c r="A124" s="7" t="s">
        <x:v>5709</x:v>
      </x:c>
      <x:c r="B124" s="7" t="s">
        <x:v>464</x:v>
      </x:c>
      <x:c r="C124" s="7" t="s">
        <x:v>5710</x:v>
      </x:c>
      <x:c r="D124" s="7" t="s">
        <x:v>5113</x:v>
      </x:c>
      <x:c r="E124" s="10">
        <x:v>50.0</x:v>
      </x:c>
      <x:c r="F124" s="10">
        <x:v>8.0</x:v>
      </x:c>
      <x:c r="G124" s="10">
        <x:v>42.0</x:v>
      </x:c>
      <x:c r="H124" s="7" t="s">
        <x:v>5114</x:v>
      </x:c>
      <x:c r="I124" s="7" t="s">
        <x:v>5115</x:v>
      </x:c>
      <x:c r="J124" s="41"/>
      <x:c r="K124" s="41"/>
      <x:c r="L124" s="41"/>
      <x:c r="M124" s="7" t="s">
        <x:v>5704</x:v>
      </x:c>
      <x:c r="N124" s="7" t="s">
        <x:v>5704</x:v>
      </x:c>
      <x:c r="O124" s="7" t="s">
        <x:v>5118</x:v>
      </x:c>
      <x:c r="P124" s="7" t="b">
        <x:v>0</x:v>
      </x:c>
      <x:c r="Q124" s="7" t="s">
        <x:v>5119</x:v>
      </x:c>
      <x:c r="R124" s="26" t="s">
        <x:v>5120</x:v>
      </x:c>
      <x:c r="S124" s="7" t="s">
        <x:v>5711</x:v>
      </x:c>
      <x:c r="T124" s="49"/>
      <x:c r="U124" s="49"/>
      <x:c r="V124" s="50" t="s">
        <x:v>5311</x:v>
      </x:c>
      <x:c r="W124" s="48"/>
      <x:c r="X124" s="50" t="s">
        <x:v>5119</x:v>
      </x:c>
      <x:c r="Y124" s="48"/>
      <x:c r="Z124" s="48"/>
    </x:row>
    <x:row r="125">
      <x:c r="A125" s="7" t="s">
        <x:v>5712</x:v>
      </x:c>
      <x:c r="B125" s="7" t="s">
        <x:v>725</x:v>
      </x:c>
      <x:c r="C125" s="7" t="s">
        <x:v>5713</x:v>
      </x:c>
      <x:c r="D125" s="7" t="s">
        <x:v>5113</x:v>
      </x:c>
      <x:c r="E125" s="10">
        <x:v>50.0</x:v>
      </x:c>
      <x:c r="F125" s="10">
        <x:v>32.0</x:v>
      </x:c>
      <x:c r="G125" s="10">
        <x:v>18.0</x:v>
      </x:c>
      <x:c r="H125" s="7" t="s">
        <x:v>5114</x:v>
      </x:c>
      <x:c r="I125" s="7" t="s">
        <x:v>5115</x:v>
      </x:c>
      <x:c r="J125" s="26" t="s">
        <x:v>5714</x:v>
      </x:c>
      <x:c r="K125" s="41"/>
      <x:c r="L125" s="41"/>
      <x:c r="M125" s="7" t="s">
        <x:v>5715</x:v>
      </x:c>
      <x:c r="N125" s="7" t="s">
        <x:v>5716</x:v>
      </x:c>
      <x:c r="O125" s="7" t="s">
        <x:v>5118</x:v>
      </x:c>
      <x:c r="P125" s="7" t="b">
        <x:v>0</x:v>
      </x:c>
      <x:c r="Q125" s="7" t="s">
        <x:v>5119</x:v>
      </x:c>
      <x:c r="R125" s="26" t="s">
        <x:v>5120</x:v>
      </x:c>
      <x:c r="S125" s="7" t="s">
        <x:v>5717</x:v>
      </x:c>
      <x:c r="T125" s="49"/>
      <x:c r="U125" s="49"/>
      <x:c r="V125" s="50" t="s">
        <x:v>5288</x:v>
      </x:c>
      <x:c r="W125" s="48"/>
      <x:c r="X125" s="48"/>
      <x:c r="Y125" s="48"/>
      <x:c r="Z125" s="48"/>
    </x:row>
    <x:row r="126">
      <x:c r="A126" s="7" t="s">
        <x:v>5718</x:v>
      </x:c>
      <x:c r="B126" s="7" t="s">
        <x:v>725</x:v>
      </x:c>
      <x:c r="C126" s="7" t="s">
        <x:v>5719</x:v>
      </x:c>
      <x:c r="D126" s="7" t="s">
        <x:v>5113</x:v>
      </x:c>
      <x:c r="E126" s="10">
        <x:v>100.0</x:v>
      </x:c>
      <x:c r="F126" s="10">
        <x:v>4.0</x:v>
      </x:c>
      <x:c r="G126" s="10">
        <x:v>96.0</x:v>
      </x:c>
      <x:c r="H126" s="7" t="s">
        <x:v>5114</x:v>
      </x:c>
      <x:c r="I126" s="7" t="s">
        <x:v>5115</x:v>
      </x:c>
      <x:c r="J126" s="26" t="s">
        <x:v>5720</x:v>
      </x:c>
      <x:c r="K126" s="41"/>
      <x:c r="L126" s="41"/>
      <x:c r="M126" s="7" t="s">
        <x:v>5715</x:v>
      </x:c>
      <x:c r="N126" s="7" t="s">
        <x:v>5721</x:v>
      </x:c>
      <x:c r="O126" s="7" t="s">
        <x:v>5118</x:v>
      </x:c>
      <x:c r="P126" s="7" t="b">
        <x:v>0</x:v>
      </x:c>
      <x:c r="Q126" s="7" t="s">
        <x:v>5119</x:v>
      </x:c>
      <x:c r="R126" s="26" t="s">
        <x:v>5120</x:v>
      </x:c>
      <x:c r="S126" s="7" t="s">
        <x:v>5722</x:v>
      </x:c>
      <x:c r="T126" s="49"/>
      <x:c r="U126" s="49"/>
      <x:c r="V126" s="50" t="s">
        <x:v>5288</x:v>
      </x:c>
      <x:c r="W126" s="48"/>
      <x:c r="X126" s="48"/>
      <x:c r="Y126" s="48"/>
      <x:c r="Z126" s="48"/>
    </x:row>
    <x:row r="127">
      <x:c r="A127" s="7" t="s">
        <x:v>5723</x:v>
      </x:c>
      <x:c r="B127" s="7" t="s">
        <x:v>725</x:v>
      </x:c>
      <x:c r="C127" s="7" t="s">
        <x:v>5724</x:v>
      </x:c>
      <x:c r="D127" s="7" t="s">
        <x:v>5113</x:v>
      </x:c>
      <x:c r="E127" s="10">
        <x:v>60.0</x:v>
      </x:c>
      <x:c r="F127" s="10">
        <x:v>0.0</x:v>
      </x:c>
      <x:c r="G127" s="10">
        <x:v>60.0</x:v>
      </x:c>
      <x:c r="H127" s="7" t="s">
        <x:v>5114</x:v>
      </x:c>
      <x:c r="I127" s="7" t="s">
        <x:v>5115</x:v>
      </x:c>
      <x:c r="J127" s="26" t="s">
        <x:v>5725</x:v>
      </x:c>
      <x:c r="K127" s="41"/>
      <x:c r="L127" s="41"/>
      <x:c r="M127" s="7" t="s">
        <x:v>5726</x:v>
      </x:c>
      <x:c r="N127" s="7" t="s">
        <x:v>5727</x:v>
      </x:c>
      <x:c r="O127" s="7" t="s">
        <x:v>5118</x:v>
      </x:c>
      <x:c r="P127" s="7" t="b">
        <x:v>0</x:v>
      </x:c>
      <x:c r="Q127" s="7" t="s">
        <x:v>5119</x:v>
      </x:c>
      <x:c r="R127" s="26" t="s">
        <x:v>5120</x:v>
      </x:c>
      <x:c r="S127" s="7" t="s">
        <x:v>5728</x:v>
      </x:c>
      <x:c r="T127" s="49"/>
      <x:c r="U127" s="49"/>
      <x:c r="V127" s="50" t="s">
        <x:v>5288</x:v>
      </x:c>
      <x:c r="W127" s="48"/>
      <x:c r="X127" s="48"/>
      <x:c r="Y127" s="48"/>
      <x:c r="Z127" s="48"/>
    </x:row>
    <x:row r="128">
      <x:c r="A128" s="7" t="s">
        <x:v>5729</x:v>
      </x:c>
      <x:c r="B128" s="7" t="s">
        <x:v>725</x:v>
      </x:c>
      <x:c r="C128" s="7" t="s">
        <x:v>5730</x:v>
      </x:c>
      <x:c r="D128" s="7" t="s">
        <x:v>5113</x:v>
      </x:c>
      <x:c r="E128" s="10">
        <x:v>100.0</x:v>
      </x:c>
      <x:c r="F128" s="10">
        <x:v>15.0</x:v>
      </x:c>
      <x:c r="G128" s="10">
        <x:v>85.0</x:v>
      </x:c>
      <x:c r="H128" s="7" t="s">
        <x:v>5114</x:v>
      </x:c>
      <x:c r="I128" s="7" t="s">
        <x:v>5115</x:v>
      </x:c>
      <x:c r="J128" s="26" t="s">
        <x:v>5731</x:v>
      </x:c>
      <x:c r="K128" s="41"/>
      <x:c r="L128" s="41"/>
      <x:c r="M128" s="7" t="s">
        <x:v>5732</x:v>
      </x:c>
      <x:c r="N128" s="7" t="s">
        <x:v>5733</x:v>
      </x:c>
      <x:c r="O128" s="7" t="s">
        <x:v>5118</x:v>
      </x:c>
      <x:c r="P128" s="7" t="b">
        <x:v>0</x:v>
      </x:c>
      <x:c r="Q128" s="7" t="s">
        <x:v>5119</x:v>
      </x:c>
      <x:c r="R128" s="26" t="s">
        <x:v>5120</x:v>
      </x:c>
      <x:c r="S128" s="7" t="s">
        <x:v>5734</x:v>
      </x:c>
      <x:c r="T128" s="49"/>
      <x:c r="U128" s="49"/>
      <x:c r="V128" s="50" t="s">
        <x:v>5288</x:v>
      </x:c>
      <x:c r="W128" s="48"/>
      <x:c r="X128" s="48"/>
      <x:c r="Y128" s="48"/>
      <x:c r="Z128" s="48"/>
    </x:row>
    <x:row r="129">
      <x:c r="A129" s="7" t="s">
        <x:v>5735</x:v>
      </x:c>
      <x:c r="B129" s="7" t="s">
        <x:v>725</x:v>
      </x:c>
      <x:c r="C129" s="7" t="s">
        <x:v>5736</x:v>
      </x:c>
      <x:c r="D129" s="7" t="s">
        <x:v>5113</x:v>
      </x:c>
      <x:c r="E129" s="10">
        <x:v>100.0</x:v>
      </x:c>
      <x:c r="F129" s="10">
        <x:v>57.0</x:v>
      </x:c>
      <x:c r="G129" s="10">
        <x:v>43.0</x:v>
      </x:c>
      <x:c r="H129" s="7" t="s">
        <x:v>5114</x:v>
      </x:c>
      <x:c r="I129" s="7" t="s">
        <x:v>5115</x:v>
      </x:c>
      <x:c r="J129" s="26" t="s">
        <x:v>5737</x:v>
      </x:c>
      <x:c r="K129" s="41"/>
      <x:c r="L129" s="41"/>
      <x:c r="M129" s="7" t="s">
        <x:v>5726</x:v>
      </x:c>
      <x:c r="N129" s="7" t="s">
        <x:v>5738</x:v>
      </x:c>
      <x:c r="O129" s="7" t="s">
        <x:v>5118</x:v>
      </x:c>
      <x:c r="P129" s="7" t="b">
        <x:v>0</x:v>
      </x:c>
      <x:c r="Q129" s="7" t="s">
        <x:v>5119</x:v>
      </x:c>
      <x:c r="R129" s="26" t="s">
        <x:v>5120</x:v>
      </x:c>
      <x:c r="S129" s="7" t="s">
        <x:v>5739</x:v>
      </x:c>
      <x:c r="T129" s="49"/>
      <x:c r="U129" s="49"/>
      <x:c r="V129" s="50" t="s">
        <x:v>5288</x:v>
      </x:c>
      <x:c r="W129" s="48"/>
      <x:c r="X129" s="48"/>
      <x:c r="Y129" s="48"/>
      <x:c r="Z129" s="48"/>
    </x:row>
    <x:row r="130">
      <x:c r="A130" s="7" t="s">
        <x:v>5740</x:v>
      </x:c>
      <x:c r="B130" s="7" t="s">
        <x:v>1454</x:v>
      </x:c>
      <x:c r="C130" s="7" t="s">
        <x:v>5741</x:v>
      </x:c>
      <x:c r="D130" s="7" t="s">
        <x:v>5113</x:v>
      </x:c>
      <x:c r="E130" s="10">
        <x:v>30.0</x:v>
      </x:c>
      <x:c r="F130" s="10">
        <x:v>0.0</x:v>
      </x:c>
      <x:c r="G130" s="10">
        <x:v>30.0</x:v>
      </x:c>
      <x:c r="H130" s="7" t="s">
        <x:v>5114</x:v>
      </x:c>
      <x:c r="I130" s="7" t="s">
        <x:v>5115</x:v>
      </x:c>
      <x:c r="J130" s="26" t="s">
        <x:v>5742</x:v>
      </x:c>
      <x:c r="K130" s="41"/>
      <x:c r="L130" s="41"/>
      <x:c r="M130" s="7" t="s">
        <x:v>5743</x:v>
      </x:c>
      <x:c r="N130" s="7" t="s">
        <x:v>5744</x:v>
      </x:c>
      <x:c r="O130" s="7" t="s">
        <x:v>5118</x:v>
      </x:c>
      <x:c r="P130" s="7" t="b">
        <x:v>0</x:v>
      </x:c>
      <x:c r="Q130" s="7" t="s">
        <x:v>5119</x:v>
      </x:c>
      <x:c r="R130" s="26" t="s">
        <x:v>5120</x:v>
      </x:c>
      <x:c r="S130" s="7" t="s">
        <x:v>5745</x:v>
      </x:c>
      <x:c r="T130" s="49"/>
      <x:c r="U130" s="49"/>
      <x:c r="V130" s="50" t="s">
        <x:v>5288</x:v>
      </x:c>
      <x:c r="W130" s="48"/>
      <x:c r="X130" s="48"/>
      <x:c r="Y130" s="48"/>
      <x:c r="Z130" s="48"/>
    </x:row>
    <x:row r="131">
      <x:c r="A131" s="7" t="s">
        <x:v>5746</x:v>
      </x:c>
      <x:c r="B131" s="7" t="s">
        <x:v>5747</x:v>
      </x:c>
      <x:c r="C131" s="7" t="s">
        <x:v>5748</x:v>
      </x:c>
      <x:c r="D131" s="7" t="s">
        <x:v>5113</x:v>
      </x:c>
      <x:c r="E131" s="10">
        <x:v>50.0</x:v>
      </x:c>
      <x:c r="F131" s="10">
        <x:v>0.0</x:v>
      </x:c>
      <x:c r="G131" s="10">
        <x:v>50.0</x:v>
      </x:c>
      <x:c r="H131" s="7" t="s">
        <x:v>5114</x:v>
      </x:c>
      <x:c r="I131" s="7" t="s">
        <x:v>5115</x:v>
      </x:c>
      <x:c r="J131" s="26" t="s">
        <x:v>5749</x:v>
      </x:c>
      <x:c r="K131" s="41"/>
      <x:c r="L131" s="41"/>
      <x:c r="M131" s="7" t="s">
        <x:v>5750</x:v>
      </x:c>
      <x:c r="N131" s="7" t="s">
        <x:v>5751</x:v>
      </x:c>
      <x:c r="O131" s="7" t="s">
        <x:v>5118</x:v>
      </x:c>
      <x:c r="P131" s="7" t="b">
        <x:v>0</x:v>
      </x:c>
      <x:c r="Q131" s="7" t="s">
        <x:v>5119</x:v>
      </x:c>
      <x:c r="R131" s="26" t="s">
        <x:v>5120</x:v>
      </x:c>
      <x:c r="S131" s="7" t="s">
        <x:v>5752</x:v>
      </x:c>
      <x:c r="T131" s="49"/>
      <x:c r="U131" s="49"/>
      <x:c r="V131" s="50" t="s">
        <x:v>5288</x:v>
      </x:c>
      <x:c r="W131" s="48"/>
      <x:c r="X131" s="48"/>
      <x:c r="Y131" s="48"/>
      <x:c r="Z131" s="48"/>
    </x:row>
    <x:row r="132">
      <x:c r="A132" s="7" t="s">
        <x:v>5753</x:v>
      </x:c>
      <x:c r="B132" s="7" t="s">
        <x:v>5747</x:v>
      </x:c>
      <x:c r="C132" s="7" t="s">
        <x:v>5754</x:v>
      </x:c>
      <x:c r="D132" s="7" t="s">
        <x:v>5113</x:v>
      </x:c>
      <x:c r="E132" s="10">
        <x:v>40.0</x:v>
      </x:c>
      <x:c r="F132" s="10">
        <x:v>0.0</x:v>
      </x:c>
      <x:c r="G132" s="10">
        <x:v>40.0</x:v>
      </x:c>
      <x:c r="H132" s="7" t="s">
        <x:v>5114</x:v>
      </x:c>
      <x:c r="I132" s="7" t="s">
        <x:v>5115</x:v>
      </x:c>
      <x:c r="J132" s="26" t="s">
        <x:v>5755</x:v>
      </x:c>
      <x:c r="K132" s="41"/>
      <x:c r="L132" s="41"/>
      <x:c r="M132" s="7" t="s">
        <x:v>5750</x:v>
      </x:c>
      <x:c r="N132" s="7" t="s">
        <x:v>5756</x:v>
      </x:c>
      <x:c r="O132" s="7" t="s">
        <x:v>5118</x:v>
      </x:c>
      <x:c r="P132" s="7" t="b">
        <x:v>0</x:v>
      </x:c>
      <x:c r="Q132" s="7" t="s">
        <x:v>5119</x:v>
      </x:c>
      <x:c r="R132" s="26" t="s">
        <x:v>5120</x:v>
      </x:c>
      <x:c r="S132" s="7" t="s">
        <x:v>5757</x:v>
      </x:c>
      <x:c r="T132" s="49"/>
      <x:c r="U132" s="49"/>
      <x:c r="V132" s="50" t="s">
        <x:v>5288</x:v>
      </x:c>
      <x:c r="W132" s="48"/>
      <x:c r="X132" s="48"/>
      <x:c r="Y132" s="48"/>
      <x:c r="Z132" s="48"/>
    </x:row>
    <x:row r="133">
      <x:c r="A133" s="7" t="s">
        <x:v>5758</x:v>
      </x:c>
      <x:c r="B133" s="7" t="s">
        <x:v>5747</x:v>
      </x:c>
      <x:c r="C133" s="7" t="s">
        <x:v>5759</x:v>
      </x:c>
      <x:c r="D133" s="7" t="s">
        <x:v>5113</x:v>
      </x:c>
      <x:c r="E133" s="10">
        <x:v>20.0</x:v>
      </x:c>
      <x:c r="F133" s="10">
        <x:v>0.0</x:v>
      </x:c>
      <x:c r="G133" s="10">
        <x:v>20.0</x:v>
      </x:c>
      <x:c r="H133" s="7" t="s">
        <x:v>5114</x:v>
      </x:c>
      <x:c r="I133" s="7" t="s">
        <x:v>5115</x:v>
      </x:c>
      <x:c r="J133" s="26" t="s">
        <x:v>5760</x:v>
      </x:c>
      <x:c r="K133" s="41"/>
      <x:c r="L133" s="41"/>
      <x:c r="M133" s="7" t="s">
        <x:v>5750</x:v>
      </x:c>
      <x:c r="N133" s="7" t="s">
        <x:v>5761</x:v>
      </x:c>
      <x:c r="O133" s="7" t="s">
        <x:v>5118</x:v>
      </x:c>
      <x:c r="P133" s="7" t="b">
        <x:v>0</x:v>
      </x:c>
      <x:c r="Q133" s="7" t="s">
        <x:v>5119</x:v>
      </x:c>
      <x:c r="R133" s="26" t="s">
        <x:v>5120</x:v>
      </x:c>
      <x:c r="S133" s="7" t="s">
        <x:v>5762</x:v>
      </x:c>
      <x:c r="T133" s="49"/>
      <x:c r="U133" s="49"/>
      <x:c r="V133" s="50" t="s">
        <x:v>5288</x:v>
      </x:c>
      <x:c r="W133" s="48"/>
      <x:c r="X133" s="48"/>
      <x:c r="Y133" s="48"/>
      <x:c r="Z133" s="48"/>
    </x:row>
    <x:row r="134">
      <x:c r="A134" s="7" t="s">
        <x:v>5763</x:v>
      </x:c>
      <x:c r="B134" s="7" t="s">
        <x:v>5747</x:v>
      </x:c>
      <x:c r="C134" s="7" t="s">
        <x:v>5764</x:v>
      </x:c>
      <x:c r="D134" s="7" t="s">
        <x:v>5113</x:v>
      </x:c>
      <x:c r="E134" s="10">
        <x:v>30.0</x:v>
      </x:c>
      <x:c r="F134" s="10">
        <x:v>0.0</x:v>
      </x:c>
      <x:c r="G134" s="10">
        <x:v>30.0</x:v>
      </x:c>
      <x:c r="H134" s="7" t="s">
        <x:v>5114</x:v>
      </x:c>
      <x:c r="I134" s="7" t="s">
        <x:v>5115</x:v>
      </x:c>
      <x:c r="J134" s="26" t="s">
        <x:v>5765</x:v>
      </x:c>
      <x:c r="K134" s="41"/>
      <x:c r="L134" s="41"/>
      <x:c r="M134" s="7" t="s">
        <x:v>5750</x:v>
      </x:c>
      <x:c r="N134" s="7" t="s">
        <x:v>5766</x:v>
      </x:c>
      <x:c r="O134" s="7" t="s">
        <x:v>5118</x:v>
      </x:c>
      <x:c r="P134" s="7" t="b">
        <x:v>0</x:v>
      </x:c>
      <x:c r="Q134" s="7" t="s">
        <x:v>5119</x:v>
      </x:c>
      <x:c r="R134" s="26" t="s">
        <x:v>5120</x:v>
      </x:c>
      <x:c r="S134" s="7" t="s">
        <x:v>5767</x:v>
      </x:c>
      <x:c r="T134" s="49"/>
      <x:c r="U134" s="49"/>
      <x:c r="V134" s="50" t="s">
        <x:v>5288</x:v>
      </x:c>
      <x:c r="W134" s="48"/>
      <x:c r="X134" s="48"/>
      <x:c r="Y134" s="48"/>
      <x:c r="Z134" s="48"/>
    </x:row>
    <x:row r="135">
      <x:c r="A135" s="7" t="s">
        <x:v>5768</x:v>
      </x:c>
      <x:c r="B135" s="7" t="s">
        <x:v>5747</x:v>
      </x:c>
      <x:c r="C135" s="7" t="s">
        <x:v>5769</x:v>
      </x:c>
      <x:c r="D135" s="7" t="s">
        <x:v>5113</x:v>
      </x:c>
      <x:c r="E135" s="10">
        <x:v>40.0</x:v>
      </x:c>
      <x:c r="F135" s="10">
        <x:v>0.0</x:v>
      </x:c>
      <x:c r="G135" s="10">
        <x:v>40.0</x:v>
      </x:c>
      <x:c r="H135" s="7" t="s">
        <x:v>5114</x:v>
      </x:c>
      <x:c r="I135" s="7" t="s">
        <x:v>5115</x:v>
      </x:c>
      <x:c r="J135" s="26" t="s">
        <x:v>5770</x:v>
      </x:c>
      <x:c r="K135" s="41"/>
      <x:c r="L135" s="41"/>
      <x:c r="M135" s="7" t="s">
        <x:v>5750</x:v>
      </x:c>
      <x:c r="N135" s="7" t="s">
        <x:v>5771</x:v>
      </x:c>
      <x:c r="O135" s="7" t="s">
        <x:v>5118</x:v>
      </x:c>
      <x:c r="P135" s="7" t="b">
        <x:v>0</x:v>
      </x:c>
      <x:c r="Q135" s="7" t="s">
        <x:v>5119</x:v>
      </x:c>
      <x:c r="R135" s="26" t="s">
        <x:v>5120</x:v>
      </x:c>
      <x:c r="S135" s="7" t="s">
        <x:v>5772</x:v>
      </x:c>
      <x:c r="T135" s="49"/>
      <x:c r="U135" s="49"/>
      <x:c r="V135" s="50" t="s">
        <x:v>5288</x:v>
      </x:c>
      <x:c r="W135" s="48"/>
      <x:c r="X135" s="48"/>
      <x:c r="Y135" s="48"/>
      <x:c r="Z135" s="48"/>
    </x:row>
    <x:row r="136">
      <x:c r="A136" s="7" t="s">
        <x:v>5773</x:v>
      </x:c>
      <x:c r="B136" s="7" t="s">
        <x:v>5747</x:v>
      </x:c>
      <x:c r="C136" s="7" t="s">
        <x:v>5774</x:v>
      </x:c>
      <x:c r="D136" s="7" t="s">
        <x:v>5113</x:v>
      </x:c>
      <x:c r="E136" s="10">
        <x:v>60.0</x:v>
      </x:c>
      <x:c r="F136" s="10">
        <x:v>0.0</x:v>
      </x:c>
      <x:c r="G136" s="10">
        <x:v>60.0</x:v>
      </x:c>
      <x:c r="H136" s="7" t="s">
        <x:v>5114</x:v>
      </x:c>
      <x:c r="I136" s="7" t="s">
        <x:v>5115</x:v>
      </x:c>
      <x:c r="J136" s="26" t="s">
        <x:v>5775</x:v>
      </x:c>
      <x:c r="K136" s="41"/>
      <x:c r="L136" s="41"/>
      <x:c r="M136" s="7" t="s">
        <x:v>5750</x:v>
      </x:c>
      <x:c r="N136" s="7" t="s">
        <x:v>5776</x:v>
      </x:c>
      <x:c r="O136" s="7" t="s">
        <x:v>5118</x:v>
      </x:c>
      <x:c r="P136" s="7" t="b">
        <x:v>0</x:v>
      </x:c>
      <x:c r="Q136" s="7" t="s">
        <x:v>5119</x:v>
      </x:c>
      <x:c r="R136" s="26" t="s">
        <x:v>5120</x:v>
      </x:c>
      <x:c r="S136" s="7" t="s">
        <x:v>5777</x:v>
      </x:c>
      <x:c r="T136" s="49"/>
      <x:c r="U136" s="49"/>
      <x:c r="V136" s="50" t="s">
        <x:v>5288</x:v>
      </x:c>
      <x:c r="W136" s="48"/>
      <x:c r="X136" s="48"/>
      <x:c r="Y136" s="48"/>
      <x:c r="Z136" s="48"/>
    </x:row>
    <x:row r="137">
      <x:c r="A137" s="7" t="s">
        <x:v>5778</x:v>
      </x:c>
      <x:c r="B137" s="7" t="s">
        <x:v>420</x:v>
      </x:c>
      <x:c r="C137" s="7" t="s">
        <x:v>5779</x:v>
      </x:c>
      <x:c r="D137" s="7" t="s">
        <x:v>5113</x:v>
      </x:c>
      <x:c r="E137" s="10">
        <x:v>100.0</x:v>
      </x:c>
      <x:c r="F137" s="10">
        <x:v>0.0</x:v>
      </x:c>
      <x:c r="G137" s="10">
        <x:v>100.0</x:v>
      </x:c>
      <x:c r="H137" s="7" t="s">
        <x:v>5114</x:v>
      </x:c>
      <x:c r="I137" s="7" t="s">
        <x:v>5115</x:v>
      </x:c>
      <x:c r="J137" s="41"/>
      <x:c r="K137" s="26" t="s">
        <x:v>5780</x:v>
      </x:c>
      <x:c r="L137" s="41"/>
      <x:c r="M137" s="7" t="s">
        <x:v>5781</x:v>
      </x:c>
      <x:c r="N137" s="7" t="s">
        <x:v>5781</x:v>
      </x:c>
      <x:c r="O137" s="7" t="s">
        <x:v>5118</x:v>
      </x:c>
      <x:c r="P137" s="7" t="b">
        <x:v>0</x:v>
      </x:c>
      <x:c r="Q137" s="7" t="s">
        <x:v>5119</x:v>
      </x:c>
      <x:c r="R137" s="26" t="s">
        <x:v>5120</x:v>
      </x:c>
      <x:c r="S137" s="7" t="s">
        <x:v>5782</x:v>
      </x:c>
      <x:c r="T137" s="49"/>
      <x:c r="U137" s="49"/>
      <x:c r="V137" s="50" t="s">
        <x:v>5311</x:v>
      </x:c>
      <x:c r="W137" s="48"/>
      <x:c r="X137" s="50" t="s">
        <x:v>5119</x:v>
      </x:c>
      <x:c r="Y137" s="48"/>
      <x:c r="Z137" s="48"/>
    </x:row>
    <x:row r="138">
      <x:c r="A138" s="7" t="s">
        <x:v>5783</x:v>
      </x:c>
      <x:c r="B138" s="7" t="s">
        <x:v>420</x:v>
      </x:c>
      <x:c r="C138" s="7" t="s">
        <x:v>5784</x:v>
      </x:c>
      <x:c r="D138" s="7" t="s">
        <x:v>5113</x:v>
      </x:c>
      <x:c r="E138" s="10">
        <x:v>1500.0</x:v>
      </x:c>
      <x:c r="F138" s="10">
        <x:v>490.0</x:v>
      </x:c>
      <x:c r="G138" s="10">
        <x:v>1010.0</x:v>
      </x:c>
      <x:c r="H138" s="7" t="s">
        <x:v>5114</x:v>
      </x:c>
      <x:c r="I138" s="7" t="s">
        <x:v>5115</x:v>
      </x:c>
      <x:c r="J138" s="26" t="s">
        <x:v>5785</x:v>
      </x:c>
      <x:c r="K138" s="41"/>
      <x:c r="L138" s="41"/>
      <x:c r="M138" s="7" t="s">
        <x:v>5786</x:v>
      </x:c>
      <x:c r="N138" s="7" t="s">
        <x:v>5786</x:v>
      </x:c>
      <x:c r="O138" s="7" t="s">
        <x:v>5118</x:v>
      </x:c>
      <x:c r="P138" s="7" t="b">
        <x:v>0</x:v>
      </x:c>
      <x:c r="Q138" s="7" t="s">
        <x:v>5119</x:v>
      </x:c>
      <x:c r="R138" s="26" t="s">
        <x:v>5120</x:v>
      </x:c>
      <x:c r="S138" s="7" t="s">
        <x:v>5787</x:v>
      </x:c>
      <x:c r="T138" s="49"/>
      <x:c r="U138" s="49"/>
      <x:c r="V138" s="50" t="s">
        <x:v>5288</x:v>
      </x:c>
      <x:c r="W138" s="48"/>
      <x:c r="X138" s="48"/>
      <x:c r="Y138" s="48"/>
      <x:c r="Z138" s="48"/>
    </x:row>
    <x:row r="139">
      <x:c r="A139" s="7" t="s">
        <x:v>5788</x:v>
      </x:c>
      <x:c r="B139" s="7" t="s">
        <x:v>420</x:v>
      </x:c>
      <x:c r="C139" s="7" t="s">
        <x:v>5789</x:v>
      </x:c>
      <x:c r="D139" s="7" t="s">
        <x:v>5113</x:v>
      </x:c>
      <x:c r="E139" s="10">
        <x:v>20.0</x:v>
      </x:c>
      <x:c r="F139" s="10">
        <x:v>9.0</x:v>
      </x:c>
      <x:c r="G139" s="10">
        <x:v>11.0</x:v>
      </x:c>
      <x:c r="H139" s="7" t="s">
        <x:v>5114</x:v>
      </x:c>
      <x:c r="I139" s="7" t="s">
        <x:v>5115</x:v>
      </x:c>
      <x:c r="J139" s="26" t="s">
        <x:v>5790</x:v>
      </x:c>
      <x:c r="K139" s="41"/>
      <x:c r="L139" s="41"/>
      <x:c r="M139" s="7" t="s">
        <x:v>5791</x:v>
      </x:c>
      <x:c r="N139" s="7" t="s">
        <x:v>5791</x:v>
      </x:c>
      <x:c r="O139" s="7" t="s">
        <x:v>5118</x:v>
      </x:c>
      <x:c r="P139" s="7" t="b">
        <x:v>0</x:v>
      </x:c>
      <x:c r="Q139" s="7" t="s">
        <x:v>5119</x:v>
      </x:c>
      <x:c r="R139" s="26" t="s">
        <x:v>5120</x:v>
      </x:c>
      <x:c r="S139" s="7" t="s">
        <x:v>5792</x:v>
      </x:c>
      <x:c r="T139" s="49"/>
      <x:c r="U139" s="49"/>
      <x:c r="V139" s="50" t="s">
        <x:v>5655</x:v>
      </x:c>
      <x:c r="W139" s="52" t="s">
        <x:v>5790</x:v>
      </x:c>
      <x:c r="X139" s="50" t="s">
        <x:v>5119</x:v>
      </x:c>
      <x:c r="Y139" s="48"/>
      <x:c r="Z139" s="48"/>
    </x:row>
    <x:row r="140">
      <x:c r="A140" s="7" t="s">
        <x:v>5793</x:v>
      </x:c>
      <x:c r="B140" s="7" t="s">
        <x:v>420</x:v>
      </x:c>
      <x:c r="C140" s="7" t="s">
        <x:v>5794</x:v>
      </x:c>
      <x:c r="D140" s="7" t="s">
        <x:v>5113</x:v>
      </x:c>
      <x:c r="E140" s="10">
        <x:v>0.0</x:v>
      </x:c>
      <x:c r="F140" s="10">
        <x:v>0.0</x:v>
      </x:c>
      <x:c r="G140" s="10">
        <x:v>0.0</x:v>
      </x:c>
      <x:c r="H140" s="7" t="s">
        <x:v>5114</x:v>
      </x:c>
      <x:c r="I140" s="7" t="s">
        <x:v>5115</x:v>
      </x:c>
      <x:c r="J140" s="41"/>
      <x:c r="K140" s="26" t="s">
        <x:v>5795</x:v>
      </x:c>
      <x:c r="L140" s="41"/>
      <x:c r="M140" s="7" t="s">
        <x:v>5781</x:v>
      </x:c>
      <x:c r="N140" s="7" t="s">
        <x:v>5781</x:v>
      </x:c>
      <x:c r="O140" s="7" t="s">
        <x:v>5118</x:v>
      </x:c>
      <x:c r="P140" s="7" t="b">
        <x:v>0</x:v>
      </x:c>
      <x:c r="Q140" s="7" t="s">
        <x:v>5119</x:v>
      </x:c>
      <x:c r="R140" s="26" t="s">
        <x:v>5120</x:v>
      </x:c>
      <x:c r="S140" s="7" t="s">
        <x:v>5796</x:v>
      </x:c>
      <x:c r="T140" s="49"/>
      <x:c r="U140" s="49"/>
      <x:c r="V140" s="50" t="s">
        <x:v>5311</x:v>
      </x:c>
      <x:c r="W140" s="48"/>
      <x:c r="X140" s="50" t="s">
        <x:v>5119</x:v>
      </x:c>
      <x:c r="Y140" s="48"/>
      <x:c r="Z140" s="48"/>
    </x:row>
    <x:row r="141">
      <x:c r="A141" s="7" t="s">
        <x:v>5797</x:v>
      </x:c>
      <x:c r="B141" s="7" t="s">
        <x:v>420</x:v>
      </x:c>
      <x:c r="C141" s="7" t="s">
        <x:v>5798</x:v>
      </x:c>
      <x:c r="D141" s="7" t="s">
        <x:v>5113</x:v>
      </x:c>
      <x:c r="E141" s="10">
        <x:v>40.0</x:v>
      </x:c>
      <x:c r="F141" s="10">
        <x:v>0.0</x:v>
      </x:c>
      <x:c r="G141" s="10">
        <x:v>40.0</x:v>
      </x:c>
      <x:c r="H141" s="7" t="s">
        <x:v>5114</x:v>
      </x:c>
      <x:c r="I141" s="7" t="s">
        <x:v>5115</x:v>
      </x:c>
      <x:c r="J141" s="41"/>
      <x:c r="K141" s="26" t="s">
        <x:v>5799</x:v>
      </x:c>
      <x:c r="L141" s="41"/>
      <x:c r="M141" s="7" t="s">
        <x:v>5781</x:v>
      </x:c>
      <x:c r="N141" s="7" t="s">
        <x:v>5781</x:v>
      </x:c>
      <x:c r="O141" s="7" t="s">
        <x:v>5118</x:v>
      </x:c>
      <x:c r="P141" s="7" t="b">
        <x:v>0</x:v>
      </x:c>
      <x:c r="Q141" s="7" t="s">
        <x:v>5119</x:v>
      </x:c>
      <x:c r="R141" s="26" t="s">
        <x:v>5120</x:v>
      </x:c>
      <x:c r="S141" s="7" t="s">
        <x:v>5800</x:v>
      </x:c>
      <x:c r="T141" s="49"/>
      <x:c r="U141" s="49"/>
      <x:c r="V141" s="50" t="s">
        <x:v>5311</x:v>
      </x:c>
      <x:c r="W141" s="48"/>
      <x:c r="X141" s="50" t="s">
        <x:v>5119</x:v>
      </x:c>
      <x:c r="Y141" s="48"/>
      <x:c r="Z141" s="48"/>
    </x:row>
    <x:row r="142">
      <x:c r="A142" s="7" t="s">
        <x:v>5801</x:v>
      </x:c>
      <x:c r="B142" s="7" t="s">
        <x:v>420</x:v>
      </x:c>
      <x:c r="C142" s="7" t="s">
        <x:v>5802</x:v>
      </x:c>
      <x:c r="D142" s="7" t="s">
        <x:v>5113</x:v>
      </x:c>
      <x:c r="E142" s="10">
        <x:v>0.0</x:v>
      </x:c>
      <x:c r="F142" s="10">
        <x:v>0.0</x:v>
      </x:c>
      <x:c r="G142" s="10">
        <x:v>0.0</x:v>
      </x:c>
      <x:c r="H142" s="7" t="s">
        <x:v>5114</x:v>
      </x:c>
      <x:c r="I142" s="7" t="s">
        <x:v>5115</x:v>
      </x:c>
      <x:c r="J142" s="41"/>
      <x:c r="K142" s="26" t="s">
        <x:v>5803</x:v>
      </x:c>
      <x:c r="L142" s="41"/>
      <x:c r="M142" s="7" t="s">
        <x:v>5781</x:v>
      </x:c>
      <x:c r="N142" s="7" t="s">
        <x:v>5781</x:v>
      </x:c>
      <x:c r="O142" s="7" t="s">
        <x:v>5118</x:v>
      </x:c>
      <x:c r="P142" s="7" t="b">
        <x:v>0</x:v>
      </x:c>
      <x:c r="Q142" s="7" t="s">
        <x:v>5119</x:v>
      </x:c>
      <x:c r="R142" s="26" t="s">
        <x:v>5120</x:v>
      </x:c>
      <x:c r="S142" s="7" t="s">
        <x:v>5804</x:v>
      </x:c>
      <x:c r="T142" s="49"/>
      <x:c r="U142" s="49"/>
      <x:c r="V142" s="50" t="s">
        <x:v>5311</x:v>
      </x:c>
      <x:c r="W142" s="48"/>
      <x:c r="X142" s="50" t="s">
        <x:v>5119</x:v>
      </x:c>
      <x:c r="Y142" s="48"/>
      <x:c r="Z142" s="48"/>
    </x:row>
    <x:row r="143">
      <x:c r="A143" s="7" t="s">
        <x:v>5805</x:v>
      </x:c>
      <x:c r="B143" s="7" t="s">
        <x:v>420</x:v>
      </x:c>
      <x:c r="C143" s="7" t="s">
        <x:v>5806</x:v>
      </x:c>
      <x:c r="D143" s="7" t="s">
        <x:v>5113</x:v>
      </x:c>
      <x:c r="E143" s="10">
        <x:v>60.0</x:v>
      </x:c>
      <x:c r="F143" s="10">
        <x:v>0.0</x:v>
      </x:c>
      <x:c r="G143" s="10">
        <x:v>60.0</x:v>
      </x:c>
      <x:c r="H143" s="7" t="s">
        <x:v>5114</x:v>
      </x:c>
      <x:c r="I143" s="7" t="s">
        <x:v>5115</x:v>
      </x:c>
      <x:c r="J143" s="41"/>
      <x:c r="K143" s="26" t="s">
        <x:v>5807</x:v>
      </x:c>
      <x:c r="L143" s="41"/>
      <x:c r="M143" s="7" t="s">
        <x:v>5781</x:v>
      </x:c>
      <x:c r="N143" s="7" t="s">
        <x:v>5781</x:v>
      </x:c>
      <x:c r="O143" s="7" t="s">
        <x:v>5118</x:v>
      </x:c>
      <x:c r="P143" s="7" t="b">
        <x:v>0</x:v>
      </x:c>
      <x:c r="Q143" s="7" t="s">
        <x:v>5119</x:v>
      </x:c>
      <x:c r="R143" s="26" t="s">
        <x:v>5120</x:v>
      </x:c>
      <x:c r="S143" s="7" t="s">
        <x:v>5808</x:v>
      </x:c>
      <x:c r="T143" s="49"/>
      <x:c r="U143" s="49"/>
      <x:c r="V143" s="50" t="s">
        <x:v>5311</x:v>
      </x:c>
      <x:c r="W143" s="48"/>
      <x:c r="X143" s="50" t="s">
        <x:v>5119</x:v>
      </x:c>
      <x:c r="Y143" s="48"/>
      <x:c r="Z143" s="48"/>
    </x:row>
    <x:row r="144">
      <x:c r="A144" s="7" t="s">
        <x:v>5809</x:v>
      </x:c>
      <x:c r="B144" s="7" t="s">
        <x:v>420</x:v>
      </x:c>
      <x:c r="C144" s="7" t="s">
        <x:v>5810</x:v>
      </x:c>
      <x:c r="D144" s="7" t="s">
        <x:v>5113</x:v>
      </x:c>
      <x:c r="E144" s="10">
        <x:v>50.0</x:v>
      </x:c>
      <x:c r="F144" s="10">
        <x:v>0.0</x:v>
      </x:c>
      <x:c r="G144" s="10">
        <x:v>50.0</x:v>
      </x:c>
      <x:c r="H144" s="7" t="s">
        <x:v>5114</x:v>
      </x:c>
      <x:c r="I144" s="7" t="s">
        <x:v>5115</x:v>
      </x:c>
      <x:c r="J144" s="41"/>
      <x:c r="K144" s="26" t="s">
        <x:v>5811</x:v>
      </x:c>
      <x:c r="L144" s="41"/>
      <x:c r="M144" s="7" t="s">
        <x:v>5781</x:v>
      </x:c>
      <x:c r="N144" s="7" t="s">
        <x:v>5781</x:v>
      </x:c>
      <x:c r="O144" s="7" t="s">
        <x:v>5118</x:v>
      </x:c>
      <x:c r="P144" s="7" t="b">
        <x:v>0</x:v>
      </x:c>
      <x:c r="Q144" s="7" t="s">
        <x:v>5119</x:v>
      </x:c>
      <x:c r="R144" s="26" t="s">
        <x:v>5120</x:v>
      </x:c>
      <x:c r="S144" s="7" t="s">
        <x:v>5812</x:v>
      </x:c>
      <x:c r="T144" s="49"/>
      <x:c r="U144" s="49"/>
      <x:c r="V144" s="50" t="s">
        <x:v>5311</x:v>
      </x:c>
      <x:c r="W144" s="48"/>
      <x:c r="X144" s="50" t="s">
        <x:v>5119</x:v>
      </x:c>
      <x:c r="Y144" s="48"/>
      <x:c r="Z144" s="48"/>
    </x:row>
    <x:row r="145">
      <x:c r="A145" s="7" t="s">
        <x:v>5813</x:v>
      </x:c>
      <x:c r="B145" s="7" t="s">
        <x:v>420</x:v>
      </x:c>
      <x:c r="C145" s="7" t="s">
        <x:v>5814</x:v>
      </x:c>
      <x:c r="D145" s="7" t="s">
        <x:v>5113</x:v>
      </x:c>
      <x:c r="E145" s="10">
        <x:v>50.0</x:v>
      </x:c>
      <x:c r="F145" s="10">
        <x:v>30.0</x:v>
      </x:c>
      <x:c r="G145" s="10">
        <x:v>20.0</x:v>
      </x:c>
      <x:c r="H145" s="7" t="s">
        <x:v>5114</x:v>
      </x:c>
      <x:c r="I145" s="7" t="s">
        <x:v>5115</x:v>
      </x:c>
      <x:c r="J145" s="41"/>
      <x:c r="K145" s="26" t="s">
        <x:v>5811</x:v>
      </x:c>
      <x:c r="L145" s="41"/>
      <x:c r="M145" s="7" t="s">
        <x:v>5781</x:v>
      </x:c>
      <x:c r="N145" s="7" t="s">
        <x:v>5781</x:v>
      </x:c>
      <x:c r="O145" s="7" t="s">
        <x:v>5118</x:v>
      </x:c>
      <x:c r="P145" s="7" t="b">
        <x:v>0</x:v>
      </x:c>
      <x:c r="Q145" s="7" t="s">
        <x:v>5119</x:v>
      </x:c>
      <x:c r="R145" s="26" t="s">
        <x:v>5120</x:v>
      </x:c>
      <x:c r="S145" s="7" t="s">
        <x:v>5815</x:v>
      </x:c>
      <x:c r="T145" s="49"/>
      <x:c r="U145" s="49"/>
      <x:c r="V145" s="50" t="s">
        <x:v>5311</x:v>
      </x:c>
      <x:c r="W145" s="48"/>
      <x:c r="X145" s="50" t="s">
        <x:v>5119</x:v>
      </x:c>
      <x:c r="Y145" s="48"/>
      <x:c r="Z145" s="48"/>
    </x:row>
    <x:row r="146">
      <x:c r="A146" s="7" t="s">
        <x:v>5816</x:v>
      </x:c>
      <x:c r="B146" s="7" t="s">
        <x:v>420</x:v>
      </x:c>
      <x:c r="C146" s="7" t="s">
        <x:v>5817</x:v>
      </x:c>
      <x:c r="D146" s="7" t="s">
        <x:v>5113</x:v>
      </x:c>
      <x:c r="E146" s="10">
        <x:v>40.0</x:v>
      </x:c>
      <x:c r="F146" s="10">
        <x:v>38.0</x:v>
      </x:c>
      <x:c r="G146" s="10">
        <x:v>2.0</x:v>
      </x:c>
      <x:c r="H146" s="7" t="s">
        <x:v>5114</x:v>
      </x:c>
      <x:c r="I146" s="7" t="s">
        <x:v>5605</x:v>
      </x:c>
      <x:c r="J146" s="41"/>
      <x:c r="K146" s="26" t="s">
        <x:v>5818</x:v>
      </x:c>
      <x:c r="L146" s="41"/>
      <x:c r="M146" s="7" t="s">
        <x:v>5781</x:v>
      </x:c>
      <x:c r="N146" s="7" t="s">
        <x:v>5781</x:v>
      </x:c>
      <x:c r="O146" s="7" t="s">
        <x:v>5118</x:v>
      </x:c>
      <x:c r="P146" s="7" t="b">
        <x:v>0</x:v>
      </x:c>
      <x:c r="Q146" s="7" t="s">
        <x:v>5119</x:v>
      </x:c>
      <x:c r="R146" s="26" t="s">
        <x:v>5120</x:v>
      </x:c>
      <x:c r="S146" s="7" t="s">
        <x:v>5819</x:v>
      </x:c>
      <x:c r="T146" s="49"/>
      <x:c r="U146" s="49"/>
      <x:c r="V146" s="50" t="s">
        <x:v>5311</x:v>
      </x:c>
      <x:c r="W146" s="48"/>
      <x:c r="X146" s="50" t="s">
        <x:v>5119</x:v>
      </x:c>
      <x:c r="Y146" s="48"/>
      <x:c r="Z146" s="48"/>
    </x:row>
    <x:row r="147">
      <x:c r="A147" s="7" t="s">
        <x:v>5820</x:v>
      </x:c>
      <x:c r="B147" s="7" t="s">
        <x:v>420</x:v>
      </x:c>
      <x:c r="C147" s="7" t="s">
        <x:v>5821</x:v>
      </x:c>
      <x:c r="D147" s="7" t="s">
        <x:v>5113</x:v>
      </x:c>
      <x:c r="E147" s="10">
        <x:v>40.0</x:v>
      </x:c>
      <x:c r="F147" s="10">
        <x:v>4.0</x:v>
      </x:c>
      <x:c r="G147" s="10">
        <x:v>36.0</x:v>
      </x:c>
      <x:c r="H147" s="7" t="s">
        <x:v>5114</x:v>
      </x:c>
      <x:c r="I147" s="7" t="s">
        <x:v>5115</x:v>
      </x:c>
      <x:c r="J147" s="41"/>
      <x:c r="K147" s="26" t="s">
        <x:v>5822</x:v>
      </x:c>
      <x:c r="L147" s="41"/>
      <x:c r="M147" s="7" t="s">
        <x:v>5781</x:v>
      </x:c>
      <x:c r="N147" s="7" t="s">
        <x:v>5781</x:v>
      </x:c>
      <x:c r="O147" s="7" t="s">
        <x:v>5118</x:v>
      </x:c>
      <x:c r="P147" s="7" t="b">
        <x:v>0</x:v>
      </x:c>
      <x:c r="Q147" s="7" t="s">
        <x:v>5119</x:v>
      </x:c>
      <x:c r="R147" s="26" t="s">
        <x:v>5120</x:v>
      </x:c>
      <x:c r="S147" s="7" t="s">
        <x:v>5823</x:v>
      </x:c>
      <x:c r="T147" s="49"/>
      <x:c r="U147" s="49"/>
      <x:c r="V147" s="50" t="s">
        <x:v>5311</x:v>
      </x:c>
      <x:c r="W147" s="48"/>
      <x:c r="X147" s="50" t="s">
        <x:v>5119</x:v>
      </x:c>
      <x:c r="Y147" s="48"/>
      <x:c r="Z147" s="48"/>
    </x:row>
    <x:row r="148">
      <x:c r="A148" s="7" t="s">
        <x:v>5824</x:v>
      </x:c>
      <x:c r="B148" s="7" t="s">
        <x:v>420</x:v>
      </x:c>
      <x:c r="C148" s="7" t="s">
        <x:v>5825</x:v>
      </x:c>
      <x:c r="D148" s="7" t="s">
        <x:v>5113</x:v>
      </x:c>
      <x:c r="E148" s="10">
        <x:v>200.0</x:v>
      </x:c>
      <x:c r="F148" s="10">
        <x:v>160.0</x:v>
      </x:c>
      <x:c r="G148" s="10">
        <x:v>40.0</x:v>
      </x:c>
      <x:c r="H148" s="7" t="s">
        <x:v>5114</x:v>
      </x:c>
      <x:c r="I148" s="7" t="s">
        <x:v>5115</x:v>
      </x:c>
      <x:c r="J148" s="41"/>
      <x:c r="K148" s="26" t="s">
        <x:v>5826</x:v>
      </x:c>
      <x:c r="L148" s="41"/>
      <x:c r="M148" s="7" t="s">
        <x:v>5781</x:v>
      </x:c>
      <x:c r="N148" s="7" t="s">
        <x:v>5781</x:v>
      </x:c>
      <x:c r="O148" s="7" t="s">
        <x:v>5118</x:v>
      </x:c>
      <x:c r="P148" s="7" t="b">
        <x:v>0</x:v>
      </x:c>
      <x:c r="Q148" s="7" t="s">
        <x:v>5119</x:v>
      </x:c>
      <x:c r="R148" s="26" t="s">
        <x:v>5120</x:v>
      </x:c>
      <x:c r="S148" s="7" t="s">
        <x:v>5827</x:v>
      </x:c>
      <x:c r="T148" s="49"/>
      <x:c r="U148" s="49"/>
      <x:c r="V148" s="50" t="s">
        <x:v>5311</x:v>
      </x:c>
      <x:c r="W148" s="48"/>
      <x:c r="X148" s="50" t="s">
        <x:v>5119</x:v>
      </x:c>
      <x:c r="Y148" s="48"/>
      <x:c r="Z148" s="48"/>
    </x:row>
    <x:row r="149">
      <x:c r="A149" s="7" t="s">
        <x:v>5828</x:v>
      </x:c>
      <x:c r="B149" s="7" t="s">
        <x:v>420</x:v>
      </x:c>
      <x:c r="C149" s="7" t="s">
        <x:v>5829</x:v>
      </x:c>
      <x:c r="D149" s="7" t="s">
        <x:v>5113</x:v>
      </x:c>
      <x:c r="E149" s="10">
        <x:v>50.0</x:v>
      </x:c>
      <x:c r="F149" s="10">
        <x:v>12.0</x:v>
      </x:c>
      <x:c r="G149" s="10">
        <x:v>38.0</x:v>
      </x:c>
      <x:c r="H149" s="7" t="s">
        <x:v>5114</x:v>
      </x:c>
      <x:c r="I149" s="7" t="s">
        <x:v>5115</x:v>
      </x:c>
      <x:c r="J149" s="41"/>
      <x:c r="K149" s="26" t="s">
        <x:v>5830</x:v>
      </x:c>
      <x:c r="L149" s="41"/>
      <x:c r="M149" s="7" t="s">
        <x:v>5781</x:v>
      </x:c>
      <x:c r="N149" s="7" t="s">
        <x:v>5781</x:v>
      </x:c>
      <x:c r="O149" s="7" t="s">
        <x:v>5118</x:v>
      </x:c>
      <x:c r="P149" s="7" t="b">
        <x:v>0</x:v>
      </x:c>
      <x:c r="Q149" s="7" t="s">
        <x:v>5119</x:v>
      </x:c>
      <x:c r="R149" s="26" t="s">
        <x:v>5120</x:v>
      </x:c>
      <x:c r="S149" s="7" t="s">
        <x:v>5831</x:v>
      </x:c>
      <x:c r="T149" s="49"/>
      <x:c r="U149" s="49"/>
      <x:c r="V149" s="50" t="s">
        <x:v>5311</x:v>
      </x:c>
      <x:c r="W149" s="48"/>
      <x:c r="X149" s="50" t="s">
        <x:v>5119</x:v>
      </x:c>
      <x:c r="Y149" s="48"/>
      <x:c r="Z149" s="48"/>
    </x:row>
    <x:row r="150">
      <x:c r="A150" s="7" t="s">
        <x:v>5832</x:v>
      </x:c>
      <x:c r="B150" s="7" t="s">
        <x:v>420</x:v>
      </x:c>
      <x:c r="C150" s="7" t="s">
        <x:v>5833</x:v>
      </x:c>
      <x:c r="D150" s="7" t="s">
        <x:v>5113</x:v>
      </x:c>
      <x:c r="E150" s="10">
        <x:v>30.0</x:v>
      </x:c>
      <x:c r="F150" s="10">
        <x:v>0.0</x:v>
      </x:c>
      <x:c r="G150" s="10">
        <x:v>30.0</x:v>
      </x:c>
      <x:c r="H150" s="7" t="s">
        <x:v>5114</x:v>
      </x:c>
      <x:c r="I150" s="7" t="s">
        <x:v>5115</x:v>
      </x:c>
      <x:c r="J150" s="41"/>
      <x:c r="K150" s="26" t="s">
        <x:v>5834</x:v>
      </x:c>
      <x:c r="L150" s="41"/>
      <x:c r="M150" s="7" t="s">
        <x:v>5781</x:v>
      </x:c>
      <x:c r="N150" s="7" t="s">
        <x:v>5781</x:v>
      </x:c>
      <x:c r="O150" s="7" t="s">
        <x:v>5118</x:v>
      </x:c>
      <x:c r="P150" s="7" t="b">
        <x:v>0</x:v>
      </x:c>
      <x:c r="Q150" s="7" t="s">
        <x:v>5119</x:v>
      </x:c>
      <x:c r="R150" s="26" t="s">
        <x:v>5120</x:v>
      </x:c>
      <x:c r="S150" s="7" t="s">
        <x:v>5835</x:v>
      </x:c>
      <x:c r="T150" s="49"/>
      <x:c r="U150" s="49"/>
      <x:c r="V150" s="50" t="s">
        <x:v>5311</x:v>
      </x:c>
      <x:c r="W150" s="48"/>
      <x:c r="X150" s="50" t="s">
        <x:v>5119</x:v>
      </x:c>
      <x:c r="Y150" s="48"/>
      <x:c r="Z150" s="48"/>
    </x:row>
    <x:row r="151">
      <x:c r="A151" s="7" t="s">
        <x:v>5836</x:v>
      </x:c>
      <x:c r="B151" s="7" t="s">
        <x:v>314</x:v>
      </x:c>
      <x:c r="C151" s="7" t="s">
        <x:v>5837</x:v>
      </x:c>
      <x:c r="D151" s="7" t="s">
        <x:v>5113</x:v>
      </x:c>
      <x:c r="E151" s="10">
        <x:v>300.0</x:v>
      </x:c>
      <x:c r="F151" s="10">
        <x:v>6.0</x:v>
      </x:c>
      <x:c r="G151" s="10">
        <x:v>294.0</x:v>
      </x:c>
      <x:c r="H151" s="7" t="s">
        <x:v>5114</x:v>
      </x:c>
      <x:c r="I151" s="7" t="s">
        <x:v>5115</x:v>
      </x:c>
      <x:c r="J151" s="26" t="s">
        <x:v>5838</x:v>
      </x:c>
      <x:c r="K151" s="41"/>
      <x:c r="L151" s="41"/>
      <x:c r="M151" s="7" t="s">
        <x:v>5839</x:v>
      </x:c>
      <x:c r="N151" s="7" t="s">
        <x:v>5840</x:v>
      </x:c>
      <x:c r="O151" s="7" t="s">
        <x:v>5118</x:v>
      </x:c>
      <x:c r="P151" s="7" t="b">
        <x:v>0</x:v>
      </x:c>
      <x:c r="Q151" s="7" t="s">
        <x:v>5119</x:v>
      </x:c>
      <x:c r="R151" s="26" t="s">
        <x:v>5120</x:v>
      </x:c>
      <x:c r="S151" s="7" t="s">
        <x:v>5841</x:v>
      </x:c>
      <x:c r="T151" s="49"/>
      <x:c r="U151" s="49"/>
      <x:c r="V151" s="50" t="s">
        <x:v>5288</x:v>
      </x:c>
      <x:c r="W151" s="48"/>
      <x:c r="X151" s="48"/>
      <x:c r="Y151" s="48"/>
      <x:c r="Z151" s="48"/>
    </x:row>
    <x:row r="152">
      <x:c r="A152" s="7" t="s">
        <x:v>5842</x:v>
      </x:c>
      <x:c r="B152" s="7" t="s">
        <x:v>314</x:v>
      </x:c>
      <x:c r="C152" s="7" t="s">
        <x:v>5843</x:v>
      </x:c>
      <x:c r="D152" s="7" t="s">
        <x:v>5113</x:v>
      </x:c>
      <x:c r="E152" s="10">
        <x:v>50.0</x:v>
      </x:c>
      <x:c r="F152" s="10">
        <x:v>0.0</x:v>
      </x:c>
      <x:c r="G152" s="10">
        <x:v>50.0</x:v>
      </x:c>
      <x:c r="H152" s="7" t="s">
        <x:v>5114</x:v>
      </x:c>
      <x:c r="I152" s="7" t="s">
        <x:v>5115</x:v>
      </x:c>
      <x:c r="J152" s="26" t="s">
        <x:v>5844</x:v>
      </x:c>
      <x:c r="K152" s="41"/>
      <x:c r="L152" s="41"/>
      <x:c r="M152" s="7" t="s">
        <x:v>5839</x:v>
      </x:c>
      <x:c r="N152" s="7" t="s">
        <x:v>5840</x:v>
      </x:c>
      <x:c r="O152" s="7" t="s">
        <x:v>5118</x:v>
      </x:c>
      <x:c r="P152" s="7" t="b">
        <x:v>0</x:v>
      </x:c>
      <x:c r="Q152" s="7" t="s">
        <x:v>5119</x:v>
      </x:c>
      <x:c r="R152" s="26" t="s">
        <x:v>5120</x:v>
      </x:c>
      <x:c r="S152" s="7" t="s">
        <x:v>5845</x:v>
      </x:c>
      <x:c r="T152" s="49"/>
      <x:c r="U152" s="49"/>
      <x:c r="V152" s="50" t="s">
        <x:v>5288</x:v>
      </x:c>
      <x:c r="W152" s="48"/>
      <x:c r="X152" s="48"/>
      <x:c r="Y152" s="48"/>
      <x:c r="Z152" s="48"/>
    </x:row>
    <x:row r="153">
      <x:c r="A153" s="7" t="s">
        <x:v>5846</x:v>
      </x:c>
      <x:c r="B153" s="7" t="s">
        <x:v>314</x:v>
      </x:c>
      <x:c r="C153" s="7" t="s">
        <x:v>5847</x:v>
      </x:c>
      <x:c r="D153" s="7" t="s">
        <x:v>5113</x:v>
      </x:c>
      <x:c r="E153" s="10">
        <x:v>60.0</x:v>
      </x:c>
      <x:c r="F153" s="10">
        <x:v>0.0</x:v>
      </x:c>
      <x:c r="G153" s="10">
        <x:v>60.0</x:v>
      </x:c>
      <x:c r="H153" s="7" t="s">
        <x:v>5114</x:v>
      </x:c>
      <x:c r="I153" s="7" t="s">
        <x:v>5115</x:v>
      </x:c>
      <x:c r="J153" s="26" t="s">
        <x:v>5848</x:v>
      </x:c>
      <x:c r="K153" s="41"/>
      <x:c r="L153" s="41"/>
      <x:c r="M153" s="7" t="s">
        <x:v>5839</x:v>
      </x:c>
      <x:c r="N153" s="7" t="s">
        <x:v>5840</x:v>
      </x:c>
      <x:c r="O153" s="7" t="s">
        <x:v>5118</x:v>
      </x:c>
      <x:c r="P153" s="7" t="b">
        <x:v>0</x:v>
      </x:c>
      <x:c r="Q153" s="7" t="s">
        <x:v>5119</x:v>
      </x:c>
      <x:c r="R153" s="26" t="s">
        <x:v>5120</x:v>
      </x:c>
      <x:c r="S153" s="7" t="s">
        <x:v>5849</x:v>
      </x:c>
      <x:c r="T153" s="49"/>
      <x:c r="U153" s="49"/>
      <x:c r="V153" s="50" t="s">
        <x:v>5288</x:v>
      </x:c>
      <x:c r="W153" s="48"/>
      <x:c r="X153" s="48"/>
      <x:c r="Y153" s="48"/>
      <x:c r="Z153" s="48"/>
    </x:row>
    <x:row r="154">
      <x:c r="A154" s="7" t="s">
        <x:v>5850</x:v>
      </x:c>
      <x:c r="B154" s="7" t="s">
        <x:v>314</x:v>
      </x:c>
      <x:c r="C154" s="7" t="s">
        <x:v>5851</x:v>
      </x:c>
      <x:c r="D154" s="7" t="s">
        <x:v>5113</x:v>
      </x:c>
      <x:c r="E154" s="10">
        <x:v>50.0</x:v>
      </x:c>
      <x:c r="F154" s="10">
        <x:v>0.0</x:v>
      </x:c>
      <x:c r="G154" s="10">
        <x:v>50.0</x:v>
      </x:c>
      <x:c r="H154" s="7" t="s">
        <x:v>5114</x:v>
      </x:c>
      <x:c r="I154" s="7" t="s">
        <x:v>5115</x:v>
      </x:c>
      <x:c r="J154" s="26" t="s">
        <x:v>5852</x:v>
      </x:c>
      <x:c r="K154" s="41"/>
      <x:c r="L154" s="41"/>
      <x:c r="M154" s="7" t="s">
        <x:v>5839</x:v>
      </x:c>
      <x:c r="N154" s="7" t="s">
        <x:v>5840</x:v>
      </x:c>
      <x:c r="O154" s="7" t="s">
        <x:v>5118</x:v>
      </x:c>
      <x:c r="P154" s="7" t="b">
        <x:v>0</x:v>
      </x:c>
      <x:c r="Q154" s="7" t="s">
        <x:v>5119</x:v>
      </x:c>
      <x:c r="R154" s="26" t="s">
        <x:v>5120</x:v>
      </x:c>
      <x:c r="S154" s="7" t="s">
        <x:v>5853</x:v>
      </x:c>
      <x:c r="T154" s="49"/>
      <x:c r="U154" s="49"/>
      <x:c r="V154" s="50" t="s">
        <x:v>5288</x:v>
      </x:c>
      <x:c r="W154" s="48"/>
      <x:c r="X154" s="48"/>
      <x:c r="Y154" s="48"/>
      <x:c r="Z154" s="48"/>
    </x:row>
    <x:row r="155">
      <x:c r="A155" s="7" t="s">
        <x:v>5854</x:v>
      </x:c>
      <x:c r="B155" s="7" t="s">
        <x:v>314</x:v>
      </x:c>
      <x:c r="C155" s="7" t="s">
        <x:v>5855</x:v>
      </x:c>
      <x:c r="D155" s="7" t="s">
        <x:v>5113</x:v>
      </x:c>
      <x:c r="E155" s="10">
        <x:v>100.0</x:v>
      </x:c>
      <x:c r="F155" s="10">
        <x:v>0.0</x:v>
      </x:c>
      <x:c r="G155" s="10">
        <x:v>100.0</x:v>
      </x:c>
      <x:c r="H155" s="7" t="s">
        <x:v>5114</x:v>
      </x:c>
      <x:c r="I155" s="7" t="s">
        <x:v>5115</x:v>
      </x:c>
      <x:c r="J155" s="26" t="s">
        <x:v>5856</x:v>
      </x:c>
      <x:c r="K155" s="41"/>
      <x:c r="L155" s="41"/>
      <x:c r="M155" s="7" t="s">
        <x:v>5839</x:v>
      </x:c>
      <x:c r="N155" s="7" t="s">
        <x:v>5840</x:v>
      </x:c>
      <x:c r="O155" s="7" t="s">
        <x:v>5118</x:v>
      </x:c>
      <x:c r="P155" s="7" t="b">
        <x:v>0</x:v>
      </x:c>
      <x:c r="Q155" s="7" t="s">
        <x:v>5119</x:v>
      </x:c>
      <x:c r="R155" s="26" t="s">
        <x:v>5120</x:v>
      </x:c>
      <x:c r="S155" s="7" t="s">
        <x:v>5857</x:v>
      </x:c>
      <x:c r="T155" s="49"/>
      <x:c r="U155" s="49"/>
      <x:c r="V155" s="50" t="s">
        <x:v>5288</x:v>
      </x:c>
      <x:c r="W155" s="48"/>
      <x:c r="X155" s="48"/>
      <x:c r="Y155" s="48"/>
      <x:c r="Z155" s="48"/>
    </x:row>
    <x:row r="156">
      <x:c r="A156" s="7" t="s">
        <x:v>5858</x:v>
      </x:c>
      <x:c r="B156" s="7" t="s">
        <x:v>314</x:v>
      </x:c>
      <x:c r="C156" s="7" t="s">
        <x:v>5859</x:v>
      </x:c>
      <x:c r="D156" s="7" t="s">
        <x:v>5113</x:v>
      </x:c>
      <x:c r="E156" s="10">
        <x:v>50.0</x:v>
      </x:c>
      <x:c r="F156" s="10">
        <x:v>0.0</x:v>
      </x:c>
      <x:c r="G156" s="10">
        <x:v>50.0</x:v>
      </x:c>
      <x:c r="H156" s="7" t="s">
        <x:v>5114</x:v>
      </x:c>
      <x:c r="I156" s="7" t="s">
        <x:v>5115</x:v>
      </x:c>
      <x:c r="J156" s="26" t="s">
        <x:v>5860</x:v>
      </x:c>
      <x:c r="K156" s="41"/>
      <x:c r="L156" s="41"/>
      <x:c r="M156" s="7" t="s">
        <x:v>5839</x:v>
      </x:c>
      <x:c r="N156" s="7" t="s">
        <x:v>5840</x:v>
      </x:c>
      <x:c r="O156" s="7" t="s">
        <x:v>5118</x:v>
      </x:c>
      <x:c r="P156" s="7" t="b">
        <x:v>0</x:v>
      </x:c>
      <x:c r="Q156" s="7" t="s">
        <x:v>5119</x:v>
      </x:c>
      <x:c r="R156" s="26" t="s">
        <x:v>5120</x:v>
      </x:c>
      <x:c r="S156" s="7" t="s">
        <x:v>5861</x:v>
      </x:c>
      <x:c r="T156" s="49"/>
      <x:c r="U156" s="49"/>
      <x:c r="V156" s="50" t="s">
        <x:v>5288</x:v>
      </x:c>
      <x:c r="W156" s="48"/>
      <x:c r="X156" s="48"/>
      <x:c r="Y156" s="48"/>
      <x:c r="Z156" s="48"/>
    </x:row>
    <x:row r="157">
      <x:c r="A157" s="7" t="s">
        <x:v>5862</x:v>
      </x:c>
      <x:c r="B157" s="7" t="s">
        <x:v>314</x:v>
      </x:c>
      <x:c r="C157" s="7" t="s">
        <x:v>5863</x:v>
      </x:c>
      <x:c r="D157" s="7" t="s">
        <x:v>5113</x:v>
      </x:c>
      <x:c r="E157" s="10">
        <x:v>50.0</x:v>
      </x:c>
      <x:c r="F157" s="10">
        <x:v>0.0</x:v>
      </x:c>
      <x:c r="G157" s="10">
        <x:v>50.0</x:v>
      </x:c>
      <x:c r="H157" s="7" t="s">
        <x:v>5114</x:v>
      </x:c>
      <x:c r="I157" s="7" t="s">
        <x:v>5115</x:v>
      </x:c>
      <x:c r="J157" s="26" t="s">
        <x:v>5864</x:v>
      </x:c>
      <x:c r="K157" s="41"/>
      <x:c r="L157" s="41"/>
      <x:c r="M157" s="7" t="s">
        <x:v>5839</x:v>
      </x:c>
      <x:c r="N157" s="7" t="s">
        <x:v>5840</x:v>
      </x:c>
      <x:c r="O157" s="7" t="s">
        <x:v>5118</x:v>
      </x:c>
      <x:c r="P157" s="7" t="b">
        <x:v>0</x:v>
      </x:c>
      <x:c r="Q157" s="7" t="s">
        <x:v>5119</x:v>
      </x:c>
      <x:c r="R157" s="26" t="s">
        <x:v>5120</x:v>
      </x:c>
      <x:c r="S157" s="7" t="s">
        <x:v>5865</x:v>
      </x:c>
      <x:c r="T157" s="49"/>
      <x:c r="U157" s="49"/>
      <x:c r="V157" s="50" t="s">
        <x:v>5288</x:v>
      </x:c>
      <x:c r="W157" s="48"/>
      <x:c r="X157" s="48"/>
      <x:c r="Y157" s="48"/>
      <x:c r="Z157" s="48"/>
    </x:row>
    <x:row r="158">
      <x:c r="A158" s="7" t="s">
        <x:v>5866</x:v>
      </x:c>
      <x:c r="B158" s="7" t="s">
        <x:v>314</x:v>
      </x:c>
      <x:c r="C158" s="7" t="s">
        <x:v>5867</x:v>
      </x:c>
      <x:c r="D158" s="7" t="s">
        <x:v>5113</x:v>
      </x:c>
      <x:c r="E158" s="10">
        <x:v>100.0</x:v>
      </x:c>
      <x:c r="F158" s="10">
        <x:v>0.0</x:v>
      </x:c>
      <x:c r="G158" s="10">
        <x:v>100.0</x:v>
      </x:c>
      <x:c r="H158" s="7" t="s">
        <x:v>5114</x:v>
      </x:c>
      <x:c r="I158" s="7" t="s">
        <x:v>5115</x:v>
      </x:c>
      <x:c r="J158" s="26" t="s">
        <x:v>5868</x:v>
      </x:c>
      <x:c r="K158" s="41"/>
      <x:c r="L158" s="41"/>
      <x:c r="M158" s="7" t="s">
        <x:v>5839</x:v>
      </x:c>
      <x:c r="N158" s="7" t="s">
        <x:v>5840</x:v>
      </x:c>
      <x:c r="O158" s="7" t="s">
        <x:v>5118</x:v>
      </x:c>
      <x:c r="P158" s="7" t="b">
        <x:v>0</x:v>
      </x:c>
      <x:c r="Q158" s="7" t="s">
        <x:v>5119</x:v>
      </x:c>
      <x:c r="R158" s="26" t="s">
        <x:v>5120</x:v>
      </x:c>
      <x:c r="S158" s="7" t="s">
        <x:v>5869</x:v>
      </x:c>
      <x:c r="T158" s="49"/>
      <x:c r="U158" s="49"/>
      <x:c r="V158" s="50" t="s">
        <x:v>5288</x:v>
      </x:c>
      <x:c r="W158" s="48"/>
      <x:c r="X158" s="48"/>
      <x:c r="Y158" s="48"/>
      <x:c r="Z158" s="48"/>
    </x:row>
    <x:row r="159">
      <x:c r="A159" s="7" t="s">
        <x:v>5870</x:v>
      </x:c>
      <x:c r="B159" s="7" t="s">
        <x:v>549</x:v>
      </x:c>
      <x:c r="C159" s="7" t="s">
        <x:v>5871</x:v>
      </x:c>
      <x:c r="D159" s="7" t="s">
        <x:v>5113</x:v>
      </x:c>
      <x:c r="E159" s="10">
        <x:v>50.0</x:v>
      </x:c>
      <x:c r="F159" s="10">
        <x:v>0.0</x:v>
      </x:c>
      <x:c r="G159" s="10">
        <x:v>50.0</x:v>
      </x:c>
      <x:c r="H159" s="7" t="s">
        <x:v>5114</x:v>
      </x:c>
      <x:c r="I159" s="7" t="s">
        <x:v>5115</x:v>
      </x:c>
      <x:c r="J159" s="26" t="s">
        <x:v>5872</x:v>
      </x:c>
      <x:c r="K159" s="41"/>
      <x:c r="L159" s="41"/>
      <x:c r="M159" s="7" t="s">
        <x:v>5873</x:v>
      </x:c>
      <x:c r="N159" s="7" t="s">
        <x:v>5873</x:v>
      </x:c>
      <x:c r="O159" s="7" t="s">
        <x:v>5118</x:v>
      </x:c>
      <x:c r="P159" s="7" t="b">
        <x:v>0</x:v>
      </x:c>
      <x:c r="Q159" s="7" t="s">
        <x:v>5119</x:v>
      </x:c>
      <x:c r="R159" s="26" t="s">
        <x:v>5120</x:v>
      </x:c>
      <x:c r="S159" s="7" t="s">
        <x:v>5874</x:v>
      </x:c>
      <x:c r="T159" s="49"/>
      <x:c r="U159" s="49"/>
      <x:c r="V159" s="50" t="s">
        <x:v>5288</x:v>
      </x:c>
      <x:c r="W159" s="48"/>
      <x:c r="X159" s="48"/>
      <x:c r="Y159" s="48"/>
      <x:c r="Z159" s="48"/>
    </x:row>
    <x:row r="160">
      <x:c r="A160" s="7" t="s">
        <x:v>5875</x:v>
      </x:c>
      <x:c r="B160" s="7" t="s">
        <x:v>549</x:v>
      </x:c>
      <x:c r="C160" s="7" t="s">
        <x:v>5876</x:v>
      </x:c>
      <x:c r="D160" s="7" t="s">
        <x:v>5113</x:v>
      </x:c>
      <x:c r="E160" s="10">
        <x:v>30.0</x:v>
      </x:c>
      <x:c r="F160" s="10">
        <x:v>0.0</x:v>
      </x:c>
      <x:c r="G160" s="10">
        <x:v>30.0</x:v>
      </x:c>
      <x:c r="H160" s="7" t="s">
        <x:v>5114</x:v>
      </x:c>
      <x:c r="I160" s="7" t="s">
        <x:v>5115</x:v>
      </x:c>
      <x:c r="J160" s="26" t="s">
        <x:v>5877</x:v>
      </x:c>
      <x:c r="K160" s="41"/>
      <x:c r="L160" s="41"/>
      <x:c r="M160" s="7" t="s">
        <x:v>5878</x:v>
      </x:c>
      <x:c r="N160" s="7" t="s">
        <x:v>5878</x:v>
      </x:c>
      <x:c r="O160" s="7" t="s">
        <x:v>5118</x:v>
      </x:c>
      <x:c r="P160" s="7" t="b">
        <x:v>0</x:v>
      </x:c>
      <x:c r="Q160" s="7" t="s">
        <x:v>5119</x:v>
      </x:c>
      <x:c r="R160" s="26" t="s">
        <x:v>5120</x:v>
      </x:c>
      <x:c r="S160" s="7" t="s">
        <x:v>5879</x:v>
      </x:c>
      <x:c r="T160" s="49"/>
      <x:c r="U160" s="49"/>
      <x:c r="V160" s="50" t="s">
        <x:v>5288</x:v>
      </x:c>
      <x:c r="W160" s="48"/>
      <x:c r="X160" s="48"/>
      <x:c r="Y160" s="48"/>
      <x:c r="Z160" s="48"/>
    </x:row>
    <x:row r="161">
      <x:c r="A161" s="7" t="s">
        <x:v>5880</x:v>
      </x:c>
      <x:c r="B161" s="7" t="s">
        <x:v>549</x:v>
      </x:c>
      <x:c r="C161" s="7" t="s">
        <x:v>5881</x:v>
      </x:c>
      <x:c r="D161" s="7" t="s">
        <x:v>5113</x:v>
      </x:c>
      <x:c r="E161" s="10">
        <x:v>10.0</x:v>
      </x:c>
      <x:c r="F161" s="10">
        <x:v>0.0</x:v>
      </x:c>
      <x:c r="G161" s="10">
        <x:v>10.0</x:v>
      </x:c>
      <x:c r="H161" s="7" t="s">
        <x:v>5114</x:v>
      </x:c>
      <x:c r="I161" s="7" t="s">
        <x:v>5115</x:v>
      </x:c>
      <x:c r="J161" s="26" t="s">
        <x:v>5882</x:v>
      </x:c>
      <x:c r="K161" s="41"/>
      <x:c r="L161" s="41"/>
      <x:c r="M161" s="7" t="s">
        <x:v>5883</x:v>
      </x:c>
      <x:c r="N161" s="7" t="s">
        <x:v>5883</x:v>
      </x:c>
      <x:c r="O161" s="7" t="s">
        <x:v>5118</x:v>
      </x:c>
      <x:c r="P161" s="7" t="b">
        <x:v>0</x:v>
      </x:c>
      <x:c r="Q161" s="7" t="s">
        <x:v>5119</x:v>
      </x:c>
      <x:c r="R161" s="26" t="s">
        <x:v>5120</x:v>
      </x:c>
      <x:c r="S161" s="7" t="s">
        <x:v>5884</x:v>
      </x:c>
      <x:c r="T161" s="49"/>
      <x:c r="U161" s="49"/>
      <x:c r="V161" s="50" t="s">
        <x:v>5288</x:v>
      </x:c>
      <x:c r="W161" s="48"/>
      <x:c r="X161" s="48"/>
      <x:c r="Y161" s="48"/>
      <x:c r="Z161" s="48"/>
    </x:row>
    <x:row r="162">
      <x:c r="A162" s="7" t="s">
        <x:v>5885</x:v>
      </x:c>
      <x:c r="B162" s="7" t="s">
        <x:v>549</x:v>
      </x:c>
      <x:c r="C162" s="7" t="s">
        <x:v>5886</x:v>
      </x:c>
      <x:c r="D162" s="7" t="s">
        <x:v>5113</x:v>
      </x:c>
      <x:c r="E162" s="10">
        <x:v>50.0</x:v>
      </x:c>
      <x:c r="F162" s="10">
        <x:v>1.0</x:v>
      </x:c>
      <x:c r="G162" s="10">
        <x:v>49.0</x:v>
      </x:c>
      <x:c r="H162" s="7" t="s">
        <x:v>5114</x:v>
      </x:c>
      <x:c r="I162" s="7" t="s">
        <x:v>5115</x:v>
      </x:c>
      <x:c r="J162" s="26" t="s">
        <x:v>5887</x:v>
      </x:c>
      <x:c r="K162" s="41"/>
      <x:c r="L162" s="41"/>
      <x:c r="M162" s="7" t="s">
        <x:v>5888</x:v>
      </x:c>
      <x:c r="N162" s="7" t="s">
        <x:v>5888</x:v>
      </x:c>
      <x:c r="O162" s="7" t="s">
        <x:v>5118</x:v>
      </x:c>
      <x:c r="P162" s="7" t="b">
        <x:v>0</x:v>
      </x:c>
      <x:c r="Q162" s="7" t="s">
        <x:v>5119</x:v>
      </x:c>
      <x:c r="R162" s="26" t="s">
        <x:v>5120</x:v>
      </x:c>
      <x:c r="S162" s="7" t="s">
        <x:v>5889</x:v>
      </x:c>
      <x:c r="T162" s="49"/>
      <x:c r="U162" s="49"/>
      <x:c r="V162" s="50" t="s">
        <x:v>5288</x:v>
      </x:c>
      <x:c r="W162" s="48"/>
      <x:c r="X162" s="48"/>
      <x:c r="Y162" s="48"/>
      <x:c r="Z162" s="48"/>
    </x:row>
    <x:row r="163">
      <x:c r="A163" s="7" t="s">
        <x:v>5890</x:v>
      </x:c>
      <x:c r="B163" s="7" t="s">
        <x:v>549</x:v>
      </x:c>
      <x:c r="C163" s="7" t="s">
        <x:v>5891</x:v>
      </x:c>
      <x:c r="D163" s="7" t="s">
        <x:v>5113</x:v>
      </x:c>
      <x:c r="E163" s="10">
        <x:v>100.0</x:v>
      </x:c>
      <x:c r="F163" s="10">
        <x:v>0.0</x:v>
      </x:c>
      <x:c r="G163" s="10">
        <x:v>100.0</x:v>
      </x:c>
      <x:c r="H163" s="7" t="s">
        <x:v>5114</x:v>
      </x:c>
      <x:c r="I163" s="7" t="s">
        <x:v>5115</x:v>
      </x:c>
      <x:c r="J163" s="26" t="s">
        <x:v>5892</x:v>
      </x:c>
      <x:c r="K163" s="41"/>
      <x:c r="L163" s="41"/>
      <x:c r="M163" s="7" t="s">
        <x:v>5893</x:v>
      </x:c>
      <x:c r="N163" s="7" t="s">
        <x:v>5893</x:v>
      </x:c>
      <x:c r="O163" s="7" t="s">
        <x:v>5118</x:v>
      </x:c>
      <x:c r="P163" s="7" t="b">
        <x:v>0</x:v>
      </x:c>
      <x:c r="Q163" s="7" t="s">
        <x:v>5119</x:v>
      </x:c>
      <x:c r="R163" s="26" t="s">
        <x:v>5120</x:v>
      </x:c>
      <x:c r="S163" s="7" t="s">
        <x:v>5894</x:v>
      </x:c>
      <x:c r="T163" s="49"/>
      <x:c r="U163" s="49"/>
      <x:c r="V163" s="50" t="s">
        <x:v>5288</x:v>
      </x:c>
      <x:c r="W163" s="48"/>
      <x:c r="X163" s="48"/>
      <x:c r="Y163" s="48"/>
      <x:c r="Z163" s="48"/>
    </x:row>
    <x:row r="164">
      <x:c r="A164" s="7" t="s">
        <x:v>5895</x:v>
      </x:c>
      <x:c r="B164" s="7" t="s">
        <x:v>549</x:v>
      </x:c>
      <x:c r="C164" s="7" t="s">
        <x:v>5896</x:v>
      </x:c>
      <x:c r="D164" s="7" t="s">
        <x:v>5113</x:v>
      </x:c>
      <x:c r="E164" s="10">
        <x:v>20.0</x:v>
      </x:c>
      <x:c r="F164" s="10">
        <x:v>1.0</x:v>
      </x:c>
      <x:c r="G164" s="10">
        <x:v>19.0</x:v>
      </x:c>
      <x:c r="H164" s="7" t="s">
        <x:v>5114</x:v>
      </x:c>
      <x:c r="I164" s="7" t="s">
        <x:v>5115</x:v>
      </x:c>
      <x:c r="J164" s="26" t="s">
        <x:v>5897</x:v>
      </x:c>
      <x:c r="K164" s="41"/>
      <x:c r="L164" s="41"/>
      <x:c r="M164" s="7" t="s">
        <x:v>5898</x:v>
      </x:c>
      <x:c r="N164" s="7" t="s">
        <x:v>5898</x:v>
      </x:c>
      <x:c r="O164" s="7" t="s">
        <x:v>5118</x:v>
      </x:c>
      <x:c r="P164" s="7" t="b">
        <x:v>0</x:v>
      </x:c>
      <x:c r="Q164" s="7" t="s">
        <x:v>5119</x:v>
      </x:c>
      <x:c r="R164" s="26" t="s">
        <x:v>5120</x:v>
      </x:c>
      <x:c r="S164" s="7" t="s">
        <x:v>5899</x:v>
      </x:c>
      <x:c r="T164" s="49"/>
      <x:c r="U164" s="49"/>
      <x:c r="V164" s="50" t="s">
        <x:v>5288</x:v>
      </x:c>
      <x:c r="W164" s="48"/>
      <x:c r="X164" s="48"/>
      <x:c r="Y164" s="48"/>
      <x:c r="Z164" s="48"/>
    </x:row>
    <x:row r="165">
      <x:c r="A165" s="7" t="s">
        <x:v>5900</x:v>
      </x:c>
      <x:c r="B165" s="7" t="s">
        <x:v>658</x:v>
      </x:c>
      <x:c r="C165" s="7" t="s">
        <x:v>5901</x:v>
      </x:c>
      <x:c r="D165" s="7" t="s">
        <x:v>5113</x:v>
      </x:c>
      <x:c r="E165" s="10">
        <x:v>0.0</x:v>
      </x:c>
      <x:c r="F165" s="10">
        <x:v>0.0</x:v>
      </x:c>
      <x:c r="G165" s="10">
        <x:v>0.0</x:v>
      </x:c>
      <x:c r="H165" s="7" t="s">
        <x:v>5114</x:v>
      </x:c>
      <x:c r="I165" s="7" t="s">
        <x:v>5115</x:v>
      </x:c>
      <x:c r="J165" s="41"/>
      <x:c r="K165" s="41"/>
      <x:c r="L165" s="41"/>
      <x:c r="M165" s="7" t="s">
        <x:v>5902</x:v>
      </x:c>
      <x:c r="N165" s="7" t="s">
        <x:v>5902</x:v>
      </x:c>
      <x:c r="O165" s="7" t="s">
        <x:v>5118</x:v>
      </x:c>
      <x:c r="P165" s="7" t="b">
        <x:v>0</x:v>
      </x:c>
      <x:c r="Q165" s="7" t="s">
        <x:v>5119</x:v>
      </x:c>
      <x:c r="R165" s="26" t="s">
        <x:v>5120</x:v>
      </x:c>
      <x:c r="S165" s="7" t="s">
        <x:v>5903</x:v>
      </x:c>
      <x:c r="T165" s="49"/>
      <x:c r="U165" s="49"/>
      <x:c r="V165" s="50" t="s">
        <x:v>5311</x:v>
      </x:c>
      <x:c r="W165" s="48"/>
      <x:c r="X165" s="50" t="s">
        <x:v>5119</x:v>
      </x:c>
      <x:c r="Y165" s="48"/>
      <x:c r="Z165" s="48"/>
    </x:row>
    <x:row r="166">
      <x:c r="A166" s="7" t="s">
        <x:v>5904</x:v>
      </x:c>
      <x:c r="B166" s="7" t="s">
        <x:v>658</x:v>
      </x:c>
      <x:c r="C166" s="7" t="s">
        <x:v>5905</x:v>
      </x:c>
      <x:c r="D166" s="7" t="s">
        <x:v>5113</x:v>
      </x:c>
      <x:c r="E166" s="10">
        <x:v>0.0</x:v>
      </x:c>
      <x:c r="F166" s="10">
        <x:v>0.0</x:v>
      </x:c>
      <x:c r="G166" s="10">
        <x:v>0.0</x:v>
      </x:c>
      <x:c r="H166" s="7" t="s">
        <x:v>5114</x:v>
      </x:c>
      <x:c r="I166" s="7" t="s">
        <x:v>5115</x:v>
      </x:c>
      <x:c r="J166" s="41"/>
      <x:c r="K166" s="41"/>
      <x:c r="L166" s="41"/>
      <x:c r="M166" s="7" t="s">
        <x:v>5902</x:v>
      </x:c>
      <x:c r="N166" s="7" t="s">
        <x:v>5902</x:v>
      </x:c>
      <x:c r="O166" s="7" t="s">
        <x:v>5118</x:v>
      </x:c>
      <x:c r="P166" s="7" t="b">
        <x:v>0</x:v>
      </x:c>
      <x:c r="Q166" s="7" t="s">
        <x:v>5119</x:v>
      </x:c>
      <x:c r="R166" s="26" t="s">
        <x:v>5120</x:v>
      </x:c>
      <x:c r="S166" s="7" t="s">
        <x:v>5906</x:v>
      </x:c>
      <x:c r="T166" s="49"/>
      <x:c r="U166" s="49"/>
      <x:c r="V166" s="50" t="s">
        <x:v>5311</x:v>
      </x:c>
      <x:c r="W166" s="48"/>
      <x:c r="X166" s="50" t="s">
        <x:v>5119</x:v>
      </x:c>
      <x:c r="Y166" s="48"/>
      <x:c r="Z166" s="48"/>
    </x:row>
    <x:row r="167">
      <x:c r="A167" s="7" t="s">
        <x:v>5907</x:v>
      </x:c>
      <x:c r="B167" s="7" t="s">
        <x:v>308</x:v>
      </x:c>
      <x:c r="C167" s="7" t="s">
        <x:v>5908</x:v>
      </x:c>
      <x:c r="D167" s="7" t="s">
        <x:v>5113</x:v>
      </x:c>
      <x:c r="E167" s="10">
        <x:v>100.0</x:v>
      </x:c>
      <x:c r="F167" s="10">
        <x:v>70.0</x:v>
      </x:c>
      <x:c r="G167" s="10">
        <x:v>30.0</x:v>
      </x:c>
      <x:c r="H167" s="7" t="s">
        <x:v>5114</x:v>
      </x:c>
      <x:c r="I167" s="7" t="s">
        <x:v>5115</x:v>
      </x:c>
      <x:c r="J167" s="26" t="s">
        <x:v>5909</x:v>
      </x:c>
      <x:c r="K167" s="41"/>
      <x:c r="L167" s="41"/>
      <x:c r="M167" s="7" t="s">
        <x:v>5910</x:v>
      </x:c>
      <x:c r="N167" s="7" t="s">
        <x:v>5911</x:v>
      </x:c>
      <x:c r="O167" s="7" t="s">
        <x:v>5118</x:v>
      </x:c>
      <x:c r="P167" s="7" t="b">
        <x:v>0</x:v>
      </x:c>
      <x:c r="Q167" s="7" t="s">
        <x:v>5119</x:v>
      </x:c>
      <x:c r="R167" s="26" t="s">
        <x:v>5120</x:v>
      </x:c>
      <x:c r="S167" s="7" t="s">
        <x:v>5912</x:v>
      </x:c>
      <x:c r="T167" s="49"/>
      <x:c r="U167" s="49"/>
      <x:c r="V167" s="50" t="s">
        <x:v>5288</x:v>
      </x:c>
      <x:c r="W167" s="48"/>
      <x:c r="X167" s="48"/>
      <x:c r="Y167" s="48"/>
      <x:c r="Z167" s="48"/>
    </x:row>
    <x:row r="168">
      <x:c r="A168" s="7" t="s">
        <x:v>5913</x:v>
      </x:c>
      <x:c r="B168" s="7" t="s">
        <x:v>308</x:v>
      </x:c>
      <x:c r="C168" s="7" t="s">
        <x:v>5594</x:v>
      </x:c>
      <x:c r="D168" s="7" t="s">
        <x:v>5113</x:v>
      </x:c>
      <x:c r="E168" s="10">
        <x:v>80.0</x:v>
      </x:c>
      <x:c r="F168" s="10">
        <x:v>25.0</x:v>
      </x:c>
      <x:c r="G168" s="10">
        <x:v>55.0</x:v>
      </x:c>
      <x:c r="H168" s="7" t="s">
        <x:v>5114</x:v>
      </x:c>
      <x:c r="I168" s="7" t="s">
        <x:v>5115</x:v>
      </x:c>
      <x:c r="J168" s="26" t="s">
        <x:v>5914</x:v>
      </x:c>
      <x:c r="K168" s="41"/>
      <x:c r="L168" s="41"/>
      <x:c r="M168" s="7" t="s">
        <x:v>5915</x:v>
      </x:c>
      <x:c r="N168" s="7" t="s">
        <x:v>5916</x:v>
      </x:c>
      <x:c r="O168" s="7" t="s">
        <x:v>5118</x:v>
      </x:c>
      <x:c r="P168" s="7" t="b">
        <x:v>0</x:v>
      </x:c>
      <x:c r="Q168" s="7" t="s">
        <x:v>5119</x:v>
      </x:c>
      <x:c r="R168" s="26" t="s">
        <x:v>5120</x:v>
      </x:c>
      <x:c r="S168" s="7" t="s">
        <x:v>5917</x:v>
      </x:c>
      <x:c r="T168" s="49"/>
      <x:c r="U168" s="49"/>
      <x:c r="V168" s="50" t="s">
        <x:v>5288</x:v>
      </x:c>
      <x:c r="W168" s="48"/>
      <x:c r="X168" s="48"/>
      <x:c r="Y168" s="48"/>
      <x:c r="Z168" s="48"/>
    </x:row>
    <x:row r="169">
      <x:c r="A169" s="7" t="s">
        <x:v>5918</x:v>
      </x:c>
      <x:c r="B169" s="7" t="s">
        <x:v>308</x:v>
      </x:c>
      <x:c r="C169" s="7" t="s">
        <x:v>5919</x:v>
      </x:c>
      <x:c r="D169" s="7" t="s">
        <x:v>5113</x:v>
      </x:c>
      <x:c r="E169" s="10">
        <x:v>720.0</x:v>
      </x:c>
      <x:c r="F169" s="10">
        <x:v>720.0</x:v>
      </x:c>
      <x:c r="G169" s="10">
        <x:v>0.0</x:v>
      </x:c>
      <x:c r="H169" s="7" t="s">
        <x:v>5114</x:v>
      </x:c>
      <x:c r="I169" s="7" t="s">
        <x:v>5169</x:v>
      </x:c>
      <x:c r="J169" s="26" t="s">
        <x:v>5920</x:v>
      </x:c>
      <x:c r="K169" s="41"/>
      <x:c r="L169" s="41"/>
      <x:c r="M169" s="7" t="s">
        <x:v>5921</x:v>
      </x:c>
      <x:c r="N169" s="7" t="s">
        <x:v>5922</x:v>
      </x:c>
      <x:c r="O169" s="7" t="s">
        <x:v>5118</x:v>
      </x:c>
      <x:c r="P169" s="7" t="b">
        <x:v>0</x:v>
      </x:c>
      <x:c r="Q169" s="7" t="s">
        <x:v>5119</x:v>
      </x:c>
      <x:c r="R169" s="26" t="s">
        <x:v>5120</x:v>
      </x:c>
      <x:c r="S169" s="7" t="s">
        <x:v>5923</x:v>
      </x:c>
      <x:c r="T169" s="49"/>
      <x:c r="U169" s="49"/>
      <x:c r="V169" s="50" t="s">
        <x:v>5288</x:v>
      </x:c>
      <x:c r="W169" s="48"/>
      <x:c r="X169" s="48"/>
      <x:c r="Y169" s="48"/>
      <x:c r="Z169" s="48"/>
    </x:row>
    <x:row r="170">
      <x:c r="A170" s="7" t="s">
        <x:v>5924</x:v>
      </x:c>
      <x:c r="B170" s="7" t="s">
        <x:v>308</x:v>
      </x:c>
      <x:c r="C170" s="7" t="s">
        <x:v>5925</x:v>
      </x:c>
      <x:c r="D170" s="7" t="s">
        <x:v>5113</x:v>
      </x:c>
      <x:c r="E170" s="10">
        <x:v>360.0</x:v>
      </x:c>
      <x:c r="F170" s="10">
        <x:v>360.0</x:v>
      </x:c>
      <x:c r="G170" s="10">
        <x:v>0.0</x:v>
      </x:c>
      <x:c r="H170" s="7" t="s">
        <x:v>5114</x:v>
      </x:c>
      <x:c r="I170" s="7" t="s">
        <x:v>5169</x:v>
      </x:c>
      <x:c r="J170" s="26" t="s">
        <x:v>5926</x:v>
      </x:c>
      <x:c r="K170" s="41"/>
      <x:c r="L170" s="41"/>
      <x:c r="M170" s="7" t="s">
        <x:v>5927</x:v>
      </x:c>
      <x:c r="N170" s="7" t="s">
        <x:v>5928</x:v>
      </x:c>
      <x:c r="O170" s="7" t="s">
        <x:v>5118</x:v>
      </x:c>
      <x:c r="P170" s="7" t="b">
        <x:v>0</x:v>
      </x:c>
      <x:c r="Q170" s="7" t="s">
        <x:v>5119</x:v>
      </x:c>
      <x:c r="R170" s="26" t="s">
        <x:v>5120</x:v>
      </x:c>
      <x:c r="S170" s="7" t="s">
        <x:v>5929</x:v>
      </x:c>
      <x:c r="T170" s="49"/>
      <x:c r="U170" s="49"/>
      <x:c r="V170" s="50" t="s">
        <x:v>5288</x:v>
      </x:c>
      <x:c r="W170" s="48"/>
      <x:c r="X170" s="48"/>
      <x:c r="Y170" s="48"/>
      <x:c r="Z170" s="48"/>
    </x:row>
    <x:row r="171">
      <x:c r="A171" s="7" t="s">
        <x:v>5930</x:v>
      </x:c>
      <x:c r="B171" s="7" t="s">
        <x:v>308</x:v>
      </x:c>
      <x:c r="C171" s="7" t="s">
        <x:v>5931</x:v>
      </x:c>
      <x:c r="D171" s="7" t="s">
        <x:v>5113</x:v>
      </x:c>
      <x:c r="E171" s="10">
        <x:v>300.0</x:v>
      </x:c>
      <x:c r="F171" s="10">
        <x:v>300.0</x:v>
      </x:c>
      <x:c r="G171" s="10">
        <x:v>0.0</x:v>
      </x:c>
      <x:c r="H171" s="7" t="s">
        <x:v>5114</x:v>
      </x:c>
      <x:c r="I171" s="7" t="s">
        <x:v>5169</x:v>
      </x:c>
      <x:c r="J171" s="26" t="s">
        <x:v>5932</x:v>
      </x:c>
      <x:c r="K171" s="41"/>
      <x:c r="L171" s="41"/>
      <x:c r="M171" s="7" t="s">
        <x:v>5933</x:v>
      </x:c>
      <x:c r="N171" s="7" t="s">
        <x:v>5934</x:v>
      </x:c>
      <x:c r="O171" s="7" t="s">
        <x:v>5118</x:v>
      </x:c>
      <x:c r="P171" s="7" t="b">
        <x:v>0</x:v>
      </x:c>
      <x:c r="Q171" s="7" t="s">
        <x:v>5119</x:v>
      </x:c>
      <x:c r="R171" s="26" t="s">
        <x:v>5120</x:v>
      </x:c>
      <x:c r="S171" s="7" t="s">
        <x:v>5935</x:v>
      </x:c>
      <x:c r="T171" s="49"/>
      <x:c r="U171" s="49"/>
      <x:c r="V171" s="50" t="s">
        <x:v>5288</x:v>
      </x:c>
      <x:c r="W171" s="48"/>
      <x:c r="X171" s="48"/>
      <x:c r="Y171" s="48"/>
      <x:c r="Z171" s="48"/>
    </x:row>
    <x:row r="172">
      <x:c r="A172" s="7" t="s">
        <x:v>5936</x:v>
      </x:c>
      <x:c r="B172" s="7" t="s">
        <x:v>308</x:v>
      </x:c>
      <x:c r="C172" s="7" t="s">
        <x:v>5937</x:v>
      </x:c>
      <x:c r="D172" s="7" t="s">
        <x:v>5113</x:v>
      </x:c>
      <x:c r="E172" s="10">
        <x:v>120.0</x:v>
      </x:c>
      <x:c r="F172" s="10">
        <x:v>120.0</x:v>
      </x:c>
      <x:c r="G172" s="10">
        <x:v>0.0</x:v>
      </x:c>
      <x:c r="H172" s="7" t="s">
        <x:v>5114</x:v>
      </x:c>
      <x:c r="I172" s="7" t="s">
        <x:v>5169</x:v>
      </x:c>
      <x:c r="J172" s="26" t="s">
        <x:v>5938</x:v>
      </x:c>
      <x:c r="K172" s="41"/>
      <x:c r="L172" s="41"/>
      <x:c r="M172" s="7" t="s">
        <x:v>5939</x:v>
      </x:c>
      <x:c r="N172" s="7" t="s">
        <x:v>5940</x:v>
      </x:c>
      <x:c r="O172" s="7" t="s">
        <x:v>5118</x:v>
      </x:c>
      <x:c r="P172" s="7" t="b">
        <x:v>0</x:v>
      </x:c>
      <x:c r="Q172" s="7" t="s">
        <x:v>5119</x:v>
      </x:c>
      <x:c r="R172" s="26" t="s">
        <x:v>5120</x:v>
      </x:c>
      <x:c r="S172" s="7" t="s">
        <x:v>5941</x:v>
      </x:c>
      <x:c r="T172" s="49"/>
      <x:c r="U172" s="49"/>
      <x:c r="V172" s="50" t="s">
        <x:v>5288</x:v>
      </x:c>
      <x:c r="W172" s="48"/>
      <x:c r="X172" s="48"/>
      <x:c r="Y172" s="48"/>
      <x:c r="Z172" s="48"/>
    </x:row>
    <x:row r="173">
      <x:c r="A173" s="7" t="s">
        <x:v>5942</x:v>
      </x:c>
      <x:c r="B173" s="7" t="s">
        <x:v>308</x:v>
      </x:c>
      <x:c r="C173" s="7" t="s">
        <x:v>5943</x:v>
      </x:c>
      <x:c r="D173" s="7" t="s">
        <x:v>5113</x:v>
      </x:c>
      <x:c r="E173" s="10">
        <x:v>150.0</x:v>
      </x:c>
      <x:c r="F173" s="10">
        <x:v>50.0</x:v>
      </x:c>
      <x:c r="G173" s="10">
        <x:v>100.0</x:v>
      </x:c>
      <x:c r="H173" s="7" t="s">
        <x:v>5114</x:v>
      </x:c>
      <x:c r="I173" s="7" t="s">
        <x:v>5115</x:v>
      </x:c>
      <x:c r="J173" s="26" t="s">
        <x:v>5944</x:v>
      </x:c>
      <x:c r="K173" s="41"/>
      <x:c r="L173" s="41"/>
      <x:c r="M173" s="7" t="s">
        <x:v>5945</x:v>
      </x:c>
      <x:c r="N173" s="7" t="s">
        <x:v>5946</x:v>
      </x:c>
      <x:c r="O173" s="7" t="s">
        <x:v>5118</x:v>
      </x:c>
      <x:c r="P173" s="7" t="b">
        <x:v>0</x:v>
      </x:c>
      <x:c r="Q173" s="7" t="s">
        <x:v>5119</x:v>
      </x:c>
      <x:c r="R173" s="26" t="s">
        <x:v>5120</x:v>
      </x:c>
      <x:c r="S173" s="7" t="s">
        <x:v>5947</x:v>
      </x:c>
      <x:c r="T173" s="49"/>
      <x:c r="U173" s="49"/>
      <x:c r="V173" s="50" t="s">
        <x:v>5288</x:v>
      </x:c>
      <x:c r="W173" s="48"/>
      <x:c r="X173" s="48"/>
      <x:c r="Y173" s="48"/>
      <x:c r="Z173" s="48"/>
    </x:row>
    <x:row r="174">
      <x:c r="A174" s="7" t="s">
        <x:v>5948</x:v>
      </x:c>
      <x:c r="B174" s="7" t="s">
        <x:v>308</x:v>
      </x:c>
      <x:c r="C174" s="7" t="s">
        <x:v>5949</x:v>
      </x:c>
      <x:c r="D174" s="7" t="s">
        <x:v>5113</x:v>
      </x:c>
      <x:c r="E174" s="10">
        <x:v>215.0</x:v>
      </x:c>
      <x:c r="F174" s="10">
        <x:v>215.0</x:v>
      </x:c>
      <x:c r="G174" s="10">
        <x:v>0.0</x:v>
      </x:c>
      <x:c r="H174" s="7" t="s">
        <x:v>5114</x:v>
      </x:c>
      <x:c r="I174" s="7" t="s">
        <x:v>5169</x:v>
      </x:c>
      <x:c r="J174" s="26" t="s">
        <x:v>5944</x:v>
      </x:c>
      <x:c r="K174" s="41"/>
      <x:c r="L174" s="41"/>
      <x:c r="M174" s="7" t="s">
        <x:v>5950</x:v>
      </x:c>
      <x:c r="N174" s="7" t="s">
        <x:v>5951</x:v>
      </x:c>
      <x:c r="O174" s="7" t="s">
        <x:v>5118</x:v>
      </x:c>
      <x:c r="P174" s="7" t="b">
        <x:v>0</x:v>
      </x:c>
      <x:c r="Q174" s="7" t="s">
        <x:v>5119</x:v>
      </x:c>
      <x:c r="R174" s="26" t="s">
        <x:v>5120</x:v>
      </x:c>
      <x:c r="S174" s="7" t="s">
        <x:v>5952</x:v>
      </x:c>
      <x:c r="T174" s="49"/>
      <x:c r="U174" s="49"/>
      <x:c r="V174" s="50" t="s">
        <x:v>5288</x:v>
      </x:c>
      <x:c r="W174" s="48"/>
      <x:c r="X174" s="48"/>
      <x:c r="Y174" s="48"/>
      <x:c r="Z174" s="48"/>
    </x:row>
    <x:row r="175">
      <x:c r="A175" s="7" t="s">
        <x:v>5953</x:v>
      </x:c>
      <x:c r="B175" s="7" t="s">
        <x:v>331</x:v>
      </x:c>
      <x:c r="C175" s="7" t="s">
        <x:v>5954</x:v>
      </x:c>
      <x:c r="D175" s="7" t="s">
        <x:v>5113</x:v>
      </x:c>
      <x:c r="E175" s="10">
        <x:v>70.0</x:v>
      </x:c>
      <x:c r="F175" s="10">
        <x:v>0.0</x:v>
      </x:c>
      <x:c r="G175" s="10">
        <x:v>70.0</x:v>
      </x:c>
      <x:c r="H175" s="7" t="s">
        <x:v>5114</x:v>
      </x:c>
      <x:c r="I175" s="7" t="s">
        <x:v>5115</x:v>
      </x:c>
      <x:c r="J175" s="26" t="s">
        <x:v>5955</x:v>
      </x:c>
      <x:c r="K175" s="41"/>
      <x:c r="L175" s="41"/>
      <x:c r="M175" s="7" t="s">
        <x:v>5956</x:v>
      </x:c>
      <x:c r="N175" s="7" t="s">
        <x:v>5956</x:v>
      </x:c>
      <x:c r="O175" s="7" t="s">
        <x:v>5118</x:v>
      </x:c>
      <x:c r="P175" s="7" t="b">
        <x:v>0</x:v>
      </x:c>
      <x:c r="Q175" s="7" t="s">
        <x:v>5119</x:v>
      </x:c>
      <x:c r="R175" s="26" t="s">
        <x:v>5120</x:v>
      </x:c>
      <x:c r="S175" s="7" t="s">
        <x:v>5957</x:v>
      </x:c>
      <x:c r="T175" s="49"/>
      <x:c r="U175" s="49"/>
      <x:c r="V175" s="50" t="s">
        <x:v>5288</x:v>
      </x:c>
      <x:c r="W175" s="48"/>
      <x:c r="X175" s="48"/>
      <x:c r="Y175" s="48"/>
      <x:c r="Z175" s="48"/>
    </x:row>
    <x:row r="176">
      <x:c r="A176" s="7" t="s">
        <x:v>5958</x:v>
      </x:c>
      <x:c r="B176" s="7" t="s">
        <x:v>331</x:v>
      </x:c>
      <x:c r="C176" s="7" t="s">
        <x:v>5959</x:v>
      </x:c>
      <x:c r="D176" s="7" t="s">
        <x:v>5113</x:v>
      </x:c>
      <x:c r="E176" s="10">
        <x:v>40.0</x:v>
      </x:c>
      <x:c r="F176" s="10">
        <x:v>0.0</x:v>
      </x:c>
      <x:c r="G176" s="10">
        <x:v>40.0</x:v>
      </x:c>
      <x:c r="H176" s="7" t="s">
        <x:v>5114</x:v>
      </x:c>
      <x:c r="I176" s="7" t="s">
        <x:v>5115</x:v>
      </x:c>
      <x:c r="J176" s="26" t="s">
        <x:v>5960</x:v>
      </x:c>
      <x:c r="K176" s="41"/>
      <x:c r="L176" s="41"/>
      <x:c r="M176" s="7" t="s">
        <x:v>5956</x:v>
      </x:c>
      <x:c r="N176" s="7" t="s">
        <x:v>5956</x:v>
      </x:c>
      <x:c r="O176" s="7" t="s">
        <x:v>5118</x:v>
      </x:c>
      <x:c r="P176" s="7" t="b">
        <x:v>0</x:v>
      </x:c>
      <x:c r="Q176" s="7" t="s">
        <x:v>5119</x:v>
      </x:c>
      <x:c r="R176" s="26" t="s">
        <x:v>5120</x:v>
      </x:c>
      <x:c r="S176" s="7" t="s">
        <x:v>5961</x:v>
      </x:c>
      <x:c r="T176" s="49"/>
      <x:c r="U176" s="49"/>
      <x:c r="V176" s="50" t="s">
        <x:v>5288</x:v>
      </x:c>
      <x:c r="W176" s="48"/>
      <x:c r="X176" s="48"/>
      <x:c r="Y176" s="48"/>
      <x:c r="Z176" s="48"/>
    </x:row>
    <x:row r="177">
      <x:c r="A177" s="7" t="s">
        <x:v>5962</x:v>
      </x:c>
      <x:c r="B177" s="7" t="s">
        <x:v>958</x:v>
      </x:c>
      <x:c r="C177" s="7" t="s">
        <x:v>5963</x:v>
      </x:c>
      <x:c r="D177" s="7" t="s">
        <x:v>5113</x:v>
      </x:c>
      <x:c r="E177" s="10">
        <x:v>100.0</x:v>
      </x:c>
      <x:c r="F177" s="10">
        <x:v>50.0</x:v>
      </x:c>
      <x:c r="G177" s="10">
        <x:v>50.0</x:v>
      </x:c>
      <x:c r="H177" s="7" t="s">
        <x:v>5114</x:v>
      </x:c>
      <x:c r="I177" s="7" t="s">
        <x:v>5115</x:v>
      </x:c>
      <x:c r="J177" s="26" t="s">
        <x:v>5964</x:v>
      </x:c>
      <x:c r="K177" s="41"/>
      <x:c r="L177" s="41"/>
      <x:c r="M177" s="7" t="s">
        <x:v>5965</x:v>
      </x:c>
      <x:c r="N177" s="7" t="s">
        <x:v>5965</x:v>
      </x:c>
      <x:c r="O177" s="7" t="s">
        <x:v>5118</x:v>
      </x:c>
      <x:c r="P177" s="7" t="b">
        <x:v>0</x:v>
      </x:c>
      <x:c r="Q177" s="7" t="s">
        <x:v>5119</x:v>
      </x:c>
      <x:c r="R177" s="26" t="s">
        <x:v>5120</x:v>
      </x:c>
      <x:c r="S177" s="7" t="s">
        <x:v>5966</x:v>
      </x:c>
      <x:c r="T177" s="49"/>
      <x:c r="U177" s="49"/>
      <x:c r="V177" s="50" t="s">
        <x:v>5288</x:v>
      </x:c>
      <x:c r="W177" s="48"/>
      <x:c r="X177" s="48"/>
      <x:c r="Y177" s="48"/>
      <x:c r="Z177" s="48"/>
    </x:row>
    <x:row r="178">
      <x:c r="A178" s="7" t="s">
        <x:v>5967</x:v>
      </x:c>
      <x:c r="B178" s="7" t="s">
        <x:v>554</x:v>
      </x:c>
      <x:c r="C178" s="7" t="s">
        <x:v>5968</x:v>
      </x:c>
      <x:c r="D178" s="7" t="s">
        <x:v>5113</x:v>
      </x:c>
      <x:c r="E178" s="10">
        <x:v>12.0</x:v>
      </x:c>
      <x:c r="F178" s="10">
        <x:v>1.0</x:v>
      </x:c>
      <x:c r="G178" s="10">
        <x:v>11.0</x:v>
      </x:c>
      <x:c r="H178" s="7" t="s">
        <x:v>5114</x:v>
      </x:c>
      <x:c r="I178" s="7" t="s">
        <x:v>5115</x:v>
      </x:c>
      <x:c r="J178" s="26" t="s">
        <x:v>5969</x:v>
      </x:c>
      <x:c r="K178" s="7" t="s">
        <x:v>5970</x:v>
      </x:c>
      <x:c r="L178" s="41"/>
      <x:c r="M178" s="7" t="s">
        <x:v>5971</x:v>
      </x:c>
      <x:c r="N178" s="7" t="s">
        <x:v>5971</x:v>
      </x:c>
      <x:c r="O178" s="7" t="s">
        <x:v>5118</x:v>
      </x:c>
      <x:c r="P178" s="7" t="b">
        <x:v>0</x:v>
      </x:c>
      <x:c r="Q178" s="7" t="s">
        <x:v>5119</x:v>
      </x:c>
      <x:c r="R178" s="26" t="s">
        <x:v>5120</x:v>
      </x:c>
      <x:c r="S178" s="7" t="s">
        <x:v>5972</x:v>
      </x:c>
      <x:c r="T178" s="49"/>
      <x:c r="U178" s="49"/>
      <x:c r="V178" s="50" t="s">
        <x:v>5288</x:v>
      </x:c>
      <x:c r="W178" s="48"/>
      <x:c r="X178" s="48"/>
      <x:c r="Y178" s="48"/>
      <x:c r="Z178" s="48"/>
    </x:row>
    <x:row r="179">
      <x:c r="A179" s="7" t="s">
        <x:v>5973</x:v>
      </x:c>
      <x:c r="B179" s="7" t="s">
        <x:v>554</x:v>
      </x:c>
      <x:c r="C179" s="7" t="s">
        <x:v>5974</x:v>
      </x:c>
      <x:c r="D179" s="7" t="s">
        <x:v>5113</x:v>
      </x:c>
      <x:c r="E179" s="10">
        <x:v>100.0</x:v>
      </x:c>
      <x:c r="F179" s="10">
        <x:v>5.0</x:v>
      </x:c>
      <x:c r="G179" s="10">
        <x:v>95.0</x:v>
      </x:c>
      <x:c r="H179" s="7" t="s">
        <x:v>5114</x:v>
      </x:c>
      <x:c r="I179" s="7" t="s">
        <x:v>5115</x:v>
      </x:c>
      <x:c r="J179" s="26" t="s">
        <x:v>5975</x:v>
      </x:c>
      <x:c r="K179" s="41"/>
      <x:c r="L179" s="41"/>
      <x:c r="M179" s="7" t="s">
        <x:v>5976</x:v>
      </x:c>
      <x:c r="N179" s="7" t="s">
        <x:v>5977</x:v>
      </x:c>
      <x:c r="O179" s="7" t="s">
        <x:v>5118</x:v>
      </x:c>
      <x:c r="P179" s="7" t="b">
        <x:v>0</x:v>
      </x:c>
      <x:c r="Q179" s="7" t="s">
        <x:v>5119</x:v>
      </x:c>
      <x:c r="R179" s="26" t="s">
        <x:v>5120</x:v>
      </x:c>
      <x:c r="S179" s="7" t="s">
        <x:v>5978</x:v>
      </x:c>
      <x:c r="T179" s="49"/>
      <x:c r="U179" s="49"/>
      <x:c r="V179" s="50" t="s">
        <x:v>5288</x:v>
      </x:c>
      <x:c r="W179" s="48"/>
      <x:c r="X179" s="48"/>
      <x:c r="Y179" s="48"/>
      <x:c r="Z179" s="48"/>
    </x:row>
    <x:row r="180">
      <x:c r="A180" s="7" t="s">
        <x:v>5979</x:v>
      </x:c>
      <x:c r="B180" s="7" t="s">
        <x:v>554</x:v>
      </x:c>
      <x:c r="C180" s="7" t="s">
        <x:v>5980</x:v>
      </x:c>
      <x:c r="D180" s="7" t="s">
        <x:v>5113</x:v>
      </x:c>
      <x:c r="E180" s="10">
        <x:v>30.0</x:v>
      </x:c>
      <x:c r="F180" s="10">
        <x:v>0.0</x:v>
      </x:c>
      <x:c r="G180" s="10">
        <x:v>30.0</x:v>
      </x:c>
      <x:c r="H180" s="7" t="s">
        <x:v>5114</x:v>
      </x:c>
      <x:c r="I180" s="7" t="s">
        <x:v>5115</x:v>
      </x:c>
      <x:c r="J180" s="26" t="s">
        <x:v>5981</x:v>
      </x:c>
      <x:c r="K180" s="41"/>
      <x:c r="L180" s="41"/>
      <x:c r="M180" s="7" t="s">
        <x:v>5976</x:v>
      </x:c>
      <x:c r="N180" s="7" t="s">
        <x:v>5976</x:v>
      </x:c>
      <x:c r="O180" s="7" t="s">
        <x:v>5118</x:v>
      </x:c>
      <x:c r="P180" s="7" t="b">
        <x:v>0</x:v>
      </x:c>
      <x:c r="Q180" s="7" t="s">
        <x:v>5119</x:v>
      </x:c>
      <x:c r="R180" s="26" t="s">
        <x:v>5120</x:v>
      </x:c>
      <x:c r="S180" s="7" t="s">
        <x:v>5982</x:v>
      </x:c>
      <x:c r="T180" s="49"/>
      <x:c r="U180" s="49"/>
      <x:c r="V180" s="50" t="s">
        <x:v>5288</x:v>
      </x:c>
      <x:c r="W180" s="48"/>
      <x:c r="X180" s="48"/>
      <x:c r="Y180" s="48"/>
      <x:c r="Z180" s="48"/>
    </x:row>
    <x:row r="181">
      <x:c r="A181" s="7" t="s">
        <x:v>5983</x:v>
      </x:c>
      <x:c r="B181" s="7" t="s">
        <x:v>554</x:v>
      </x:c>
      <x:c r="C181" s="7" t="s">
        <x:v>5984</x:v>
      </x:c>
      <x:c r="D181" s="7" t="s">
        <x:v>5113</x:v>
      </x:c>
      <x:c r="E181" s="10">
        <x:v>40.0</x:v>
      </x:c>
      <x:c r="F181" s="10">
        <x:v>16.0</x:v>
      </x:c>
      <x:c r="G181" s="10">
        <x:v>24.0</x:v>
      </x:c>
      <x:c r="H181" s="7" t="s">
        <x:v>5114</x:v>
      </x:c>
      <x:c r="I181" s="7" t="s">
        <x:v>5115</x:v>
      </x:c>
      <x:c r="J181" s="26" t="s">
        <x:v>5985</x:v>
      </x:c>
      <x:c r="K181" s="41"/>
      <x:c r="L181" s="41"/>
      <x:c r="M181" s="7" t="s">
        <x:v>5976</x:v>
      </x:c>
      <x:c r="N181" s="7" t="s">
        <x:v>5986</x:v>
      </x:c>
      <x:c r="O181" s="7" t="s">
        <x:v>5118</x:v>
      </x:c>
      <x:c r="P181" s="7" t="b">
        <x:v>0</x:v>
      </x:c>
      <x:c r="Q181" s="7" t="s">
        <x:v>5119</x:v>
      </x:c>
      <x:c r="R181" s="26" t="s">
        <x:v>5120</x:v>
      </x:c>
      <x:c r="S181" s="7" t="s">
        <x:v>5987</x:v>
      </x:c>
      <x:c r="T181" s="49"/>
      <x:c r="U181" s="49"/>
      <x:c r="V181" s="50" t="s">
        <x:v>5288</x:v>
      </x:c>
      <x:c r="W181" s="48"/>
      <x:c r="X181" s="48"/>
      <x:c r="Y181" s="48"/>
      <x:c r="Z181" s="48"/>
    </x:row>
    <x:row r="182">
      <x:c r="A182" s="7" t="s">
        <x:v>5988</x:v>
      </x:c>
      <x:c r="B182" s="7" t="s">
        <x:v>554</x:v>
      </x:c>
      <x:c r="C182" s="7" t="s">
        <x:v>5989</x:v>
      </x:c>
      <x:c r="D182" s="7" t="s">
        <x:v>5113</x:v>
      </x:c>
      <x:c r="E182" s="10">
        <x:v>20.0</x:v>
      </x:c>
      <x:c r="F182" s="10">
        <x:v>9.0</x:v>
      </x:c>
      <x:c r="G182" s="10">
        <x:v>11.0</x:v>
      </x:c>
      <x:c r="H182" s="7" t="s">
        <x:v>5114</x:v>
      </x:c>
      <x:c r="I182" s="7" t="s">
        <x:v>5115</x:v>
      </x:c>
      <x:c r="J182" s="26" t="s">
        <x:v>5990</x:v>
      </x:c>
      <x:c r="K182" s="41"/>
      <x:c r="L182" s="41"/>
      <x:c r="M182" s="7" t="s">
        <x:v>5976</x:v>
      </x:c>
      <x:c r="N182" s="7" t="s">
        <x:v>5991</x:v>
      </x:c>
      <x:c r="O182" s="7" t="s">
        <x:v>5118</x:v>
      </x:c>
      <x:c r="P182" s="7" t="b">
        <x:v>0</x:v>
      </x:c>
      <x:c r="Q182" s="7" t="s">
        <x:v>5119</x:v>
      </x:c>
      <x:c r="R182" s="26" t="s">
        <x:v>5120</x:v>
      </x:c>
      <x:c r="S182" s="7" t="s">
        <x:v>5992</x:v>
      </x:c>
      <x:c r="T182" s="49"/>
      <x:c r="U182" s="49"/>
      <x:c r="V182" s="50" t="s">
        <x:v>5288</x:v>
      </x:c>
      <x:c r="W182" s="48"/>
      <x:c r="X182" s="48"/>
      <x:c r="Y182" s="48"/>
      <x:c r="Z182" s="48"/>
    </x:row>
    <x:row r="183">
      <x:c r="A183" s="7" t="s">
        <x:v>5993</x:v>
      </x:c>
      <x:c r="B183" s="7" t="s">
        <x:v>554</x:v>
      </x:c>
      <x:c r="C183" s="7" t="s">
        <x:v>5994</x:v>
      </x:c>
      <x:c r="D183" s="7" t="s">
        <x:v>5113</x:v>
      </x:c>
      <x:c r="E183" s="10">
        <x:v>20.0</x:v>
      </x:c>
      <x:c r="F183" s="10">
        <x:v>3.0</x:v>
      </x:c>
      <x:c r="G183" s="10">
        <x:v>17.0</x:v>
      </x:c>
      <x:c r="H183" s="7" t="s">
        <x:v>5114</x:v>
      </x:c>
      <x:c r="I183" s="7" t="s">
        <x:v>5115</x:v>
      </x:c>
      <x:c r="J183" s="26" t="s">
        <x:v>5995</x:v>
      </x:c>
      <x:c r="K183" s="41"/>
      <x:c r="L183" s="41"/>
      <x:c r="M183" s="7" t="s">
        <x:v>5996</x:v>
      </x:c>
      <x:c r="N183" s="7" t="s">
        <x:v>5997</x:v>
      </x:c>
      <x:c r="O183" s="7" t="s">
        <x:v>5118</x:v>
      </x:c>
      <x:c r="P183" s="7" t="b">
        <x:v>0</x:v>
      </x:c>
      <x:c r="Q183" s="7" t="s">
        <x:v>5119</x:v>
      </x:c>
      <x:c r="R183" s="26" t="s">
        <x:v>5120</x:v>
      </x:c>
      <x:c r="S183" s="7" t="s">
        <x:v>5998</x:v>
      </x:c>
      <x:c r="T183" s="49"/>
      <x:c r="U183" s="49"/>
      <x:c r="V183" s="50" t="s">
        <x:v>5288</x:v>
      </x:c>
      <x:c r="W183" s="48"/>
      <x:c r="X183" s="48"/>
      <x:c r="Y183" s="48"/>
      <x:c r="Z183" s="48"/>
    </x:row>
    <x:row r="184">
      <x:c r="A184" s="7" t="s">
        <x:v>5999</x:v>
      </x:c>
      <x:c r="B184" s="7" t="s">
        <x:v>554</x:v>
      </x:c>
      <x:c r="C184" s="7" t="s">
        <x:v>6000</x:v>
      </x:c>
      <x:c r="D184" s="7" t="s">
        <x:v>5113</x:v>
      </x:c>
      <x:c r="E184" s="10">
        <x:v>50.0</x:v>
      </x:c>
      <x:c r="F184" s="10">
        <x:v>0.0</x:v>
      </x:c>
      <x:c r="G184" s="10">
        <x:v>50.0</x:v>
      </x:c>
      <x:c r="H184" s="7" t="s">
        <x:v>5114</x:v>
      </x:c>
      <x:c r="I184" s="7" t="s">
        <x:v>5115</x:v>
      </x:c>
      <x:c r="J184" s="26" t="s">
        <x:v>6001</x:v>
      </x:c>
      <x:c r="K184" s="41"/>
      <x:c r="L184" s="41"/>
      <x:c r="M184" s="7" t="s">
        <x:v>6002</x:v>
      </x:c>
      <x:c r="N184" s="7" t="s">
        <x:v>6002</x:v>
      </x:c>
      <x:c r="O184" s="7" t="s">
        <x:v>5118</x:v>
      </x:c>
      <x:c r="P184" s="7" t="b">
        <x:v>0</x:v>
      </x:c>
      <x:c r="Q184" s="7" t="s">
        <x:v>5119</x:v>
      </x:c>
      <x:c r="R184" s="26" t="s">
        <x:v>5120</x:v>
      </x:c>
      <x:c r="S184" s="7" t="s">
        <x:v>6003</x:v>
      </x:c>
      <x:c r="T184" s="49"/>
      <x:c r="U184" s="49"/>
      <x:c r="V184" s="50" t="s">
        <x:v>5288</x:v>
      </x:c>
      <x:c r="W184" s="48"/>
      <x:c r="X184" s="48"/>
      <x:c r="Y184" s="48"/>
      <x:c r="Z184" s="48"/>
    </x:row>
    <x:row r="185">
      <x:c r="A185" s="7" t="s">
        <x:v>6004</x:v>
      </x:c>
      <x:c r="B185" s="7" t="s">
        <x:v>554</x:v>
      </x:c>
      <x:c r="C185" s="7" t="s">
        <x:v>6005</x:v>
      </x:c>
      <x:c r="D185" s="7" t="s">
        <x:v>5113</x:v>
      </x:c>
      <x:c r="E185" s="10">
        <x:v>30.0</x:v>
      </x:c>
      <x:c r="F185" s="10">
        <x:v>3.0</x:v>
      </x:c>
      <x:c r="G185" s="10">
        <x:v>27.0</x:v>
      </x:c>
      <x:c r="H185" s="7" t="s">
        <x:v>5114</x:v>
      </x:c>
      <x:c r="I185" s="7" t="s">
        <x:v>5115</x:v>
      </x:c>
      <x:c r="J185" s="26" t="s">
        <x:v>6006</x:v>
      </x:c>
      <x:c r="K185" s="41"/>
      <x:c r="L185" s="41"/>
      <x:c r="M185" s="7" t="s">
        <x:v>5976</x:v>
      </x:c>
      <x:c r="N185" s="7" t="s">
        <x:v>6007</x:v>
      </x:c>
      <x:c r="O185" s="7" t="s">
        <x:v>5118</x:v>
      </x:c>
      <x:c r="P185" s="7" t="b">
        <x:v>0</x:v>
      </x:c>
      <x:c r="Q185" s="7" t="s">
        <x:v>5119</x:v>
      </x:c>
      <x:c r="R185" s="26" t="s">
        <x:v>5120</x:v>
      </x:c>
      <x:c r="S185" s="7" t="s">
        <x:v>6008</x:v>
      </x:c>
      <x:c r="T185" s="49"/>
      <x:c r="U185" s="49"/>
      <x:c r="V185" s="50" t="s">
        <x:v>5288</x:v>
      </x:c>
      <x:c r="W185" s="48"/>
      <x:c r="X185" s="48"/>
      <x:c r="Y185" s="48"/>
      <x:c r="Z185" s="48"/>
    </x:row>
    <x:row r="186">
      <x:c r="A186" s="7" t="s">
        <x:v>6009</x:v>
      </x:c>
      <x:c r="B186" s="7" t="s">
        <x:v>554</x:v>
      </x:c>
      <x:c r="C186" s="7" t="s">
        <x:v>6010</x:v>
      </x:c>
      <x:c r="D186" s="7" t="s">
        <x:v>5113</x:v>
      </x:c>
      <x:c r="E186" s="10">
        <x:v>50.0</x:v>
      </x:c>
      <x:c r="F186" s="10">
        <x:v>22.0</x:v>
      </x:c>
      <x:c r="G186" s="10">
        <x:v>28.0</x:v>
      </x:c>
      <x:c r="H186" s="7" t="s">
        <x:v>5114</x:v>
      </x:c>
      <x:c r="I186" s="7" t="s">
        <x:v>5115</x:v>
      </x:c>
      <x:c r="J186" s="26" t="s">
        <x:v>6011</x:v>
      </x:c>
      <x:c r="K186" s="41"/>
      <x:c r="L186" s="41"/>
      <x:c r="M186" s="7" t="s">
        <x:v>5976</x:v>
      </x:c>
      <x:c r="N186" s="7" t="s">
        <x:v>6012</x:v>
      </x:c>
      <x:c r="O186" s="7" t="s">
        <x:v>5118</x:v>
      </x:c>
      <x:c r="P186" s="7" t="b">
        <x:v>0</x:v>
      </x:c>
      <x:c r="Q186" s="7" t="s">
        <x:v>5119</x:v>
      </x:c>
      <x:c r="R186" s="26" t="s">
        <x:v>5120</x:v>
      </x:c>
      <x:c r="S186" s="7" t="s">
        <x:v>6013</x:v>
      </x:c>
      <x:c r="T186" s="49"/>
      <x:c r="U186" s="49"/>
      <x:c r="V186" s="50" t="s">
        <x:v>5288</x:v>
      </x:c>
      <x:c r="W186" s="48"/>
      <x:c r="X186" s="48"/>
      <x:c r="Y186" s="48"/>
      <x:c r="Z186" s="48"/>
    </x:row>
    <x:row r="187">
      <x:c r="A187" s="7" t="s">
        <x:v>6014</x:v>
      </x:c>
      <x:c r="B187" s="7" t="s">
        <x:v>554</x:v>
      </x:c>
      <x:c r="C187" s="7" t="s">
        <x:v>6015</x:v>
      </x:c>
      <x:c r="D187" s="7" t="s">
        <x:v>5113</x:v>
      </x:c>
      <x:c r="E187" s="10">
        <x:v>60.0</x:v>
      </x:c>
      <x:c r="F187" s="10">
        <x:v>3.0</x:v>
      </x:c>
      <x:c r="G187" s="10">
        <x:v>57.0</x:v>
      </x:c>
      <x:c r="H187" s="7" t="s">
        <x:v>5114</x:v>
      </x:c>
      <x:c r="I187" s="7" t="s">
        <x:v>5115</x:v>
      </x:c>
      <x:c r="J187" s="26" t="s">
        <x:v>6016</x:v>
      </x:c>
      <x:c r="K187" s="41"/>
      <x:c r="L187" s="41"/>
      <x:c r="M187" s="7" t="s">
        <x:v>5976</x:v>
      </x:c>
      <x:c r="N187" s="7" t="s">
        <x:v>6017</x:v>
      </x:c>
      <x:c r="O187" s="7" t="s">
        <x:v>5118</x:v>
      </x:c>
      <x:c r="P187" s="7" t="b">
        <x:v>0</x:v>
      </x:c>
      <x:c r="Q187" s="7" t="s">
        <x:v>5119</x:v>
      </x:c>
      <x:c r="R187" s="26" t="s">
        <x:v>5120</x:v>
      </x:c>
      <x:c r="S187" s="7" t="s">
        <x:v>6018</x:v>
      </x:c>
      <x:c r="T187" s="49"/>
      <x:c r="U187" s="49"/>
      <x:c r="V187" s="50" t="s">
        <x:v>5288</x:v>
      </x:c>
      <x:c r="W187" s="48"/>
      <x:c r="X187" s="48"/>
      <x:c r="Y187" s="48"/>
      <x:c r="Z187" s="48"/>
    </x:row>
    <x:row r="188">
      <x:c r="A188" s="7" t="s">
        <x:v>6019</x:v>
      </x:c>
      <x:c r="B188" s="7" t="s">
        <x:v>554</x:v>
      </x:c>
      <x:c r="C188" s="7" t="s">
        <x:v>6020</x:v>
      </x:c>
      <x:c r="D188" s="7" t="s">
        <x:v>5113</x:v>
      </x:c>
      <x:c r="E188" s="10">
        <x:v>80.0</x:v>
      </x:c>
      <x:c r="F188" s="10">
        <x:v>0.0</x:v>
      </x:c>
      <x:c r="G188" s="10">
        <x:v>80.0</x:v>
      </x:c>
      <x:c r="H188" s="7" t="s">
        <x:v>5114</x:v>
      </x:c>
      <x:c r="I188" s="7" t="s">
        <x:v>5115</x:v>
      </x:c>
      <x:c r="J188" s="26" t="s">
        <x:v>6021</x:v>
      </x:c>
      <x:c r="K188" s="41"/>
      <x:c r="L188" s="41"/>
      <x:c r="M188" s="7" t="s">
        <x:v>5976</x:v>
      </x:c>
      <x:c r="N188" s="7" t="s">
        <x:v>5976</x:v>
      </x:c>
      <x:c r="O188" s="7" t="s">
        <x:v>5118</x:v>
      </x:c>
      <x:c r="P188" s="7" t="b">
        <x:v>0</x:v>
      </x:c>
      <x:c r="Q188" s="7" t="s">
        <x:v>5119</x:v>
      </x:c>
      <x:c r="R188" s="26" t="s">
        <x:v>5120</x:v>
      </x:c>
      <x:c r="S188" s="7" t="s">
        <x:v>6022</x:v>
      </x:c>
      <x:c r="T188" s="49"/>
      <x:c r="U188" s="49"/>
      <x:c r="V188" s="50" t="s">
        <x:v>5288</x:v>
      </x:c>
      <x:c r="W188" s="48"/>
      <x:c r="X188" s="48"/>
      <x:c r="Y188" s="48"/>
      <x:c r="Z188" s="48"/>
    </x:row>
    <x:row r="189">
      <x:c r="A189" s="7" t="s">
        <x:v>6023</x:v>
      </x:c>
      <x:c r="B189" s="7" t="s">
        <x:v>554</x:v>
      </x:c>
      <x:c r="C189" s="7" t="s">
        <x:v>6024</x:v>
      </x:c>
      <x:c r="D189" s="7" t="s">
        <x:v>5113</x:v>
      </x:c>
      <x:c r="E189" s="10">
        <x:v>50.0</x:v>
      </x:c>
      <x:c r="F189" s="10">
        <x:v>0.0</x:v>
      </x:c>
      <x:c r="G189" s="10">
        <x:v>50.0</x:v>
      </x:c>
      <x:c r="H189" s="7" t="s">
        <x:v>5114</x:v>
      </x:c>
      <x:c r="I189" s="7" t="s">
        <x:v>5115</x:v>
      </x:c>
      <x:c r="J189" s="26" t="s">
        <x:v>6025</x:v>
      </x:c>
      <x:c r="K189" s="41"/>
      <x:c r="L189" s="41"/>
      <x:c r="M189" s="7" t="s">
        <x:v>5976</x:v>
      </x:c>
      <x:c r="N189" s="7" t="s">
        <x:v>5976</x:v>
      </x:c>
      <x:c r="O189" s="7" t="s">
        <x:v>5118</x:v>
      </x:c>
      <x:c r="P189" s="7" t="b">
        <x:v>0</x:v>
      </x:c>
      <x:c r="Q189" s="7" t="s">
        <x:v>5119</x:v>
      </x:c>
      <x:c r="R189" s="26" t="s">
        <x:v>5120</x:v>
      </x:c>
      <x:c r="S189" s="7" t="s">
        <x:v>6026</x:v>
      </x:c>
      <x:c r="T189" s="49"/>
      <x:c r="U189" s="49"/>
      <x:c r="V189" s="50" t="s">
        <x:v>5288</x:v>
      </x:c>
      <x:c r="W189" s="48"/>
      <x:c r="X189" s="48"/>
      <x:c r="Y189" s="48"/>
      <x:c r="Z189" s="48"/>
    </x:row>
    <x:row r="190">
      <x:c r="A190" s="7" t="s">
        <x:v>6027</x:v>
      </x:c>
      <x:c r="B190" s="7" t="s">
        <x:v>554</x:v>
      </x:c>
      <x:c r="C190" s="7" t="s">
        <x:v>6028</x:v>
      </x:c>
      <x:c r="D190" s="7" t="s">
        <x:v>5113</x:v>
      </x:c>
      <x:c r="E190" s="10">
        <x:v>40.0</x:v>
      </x:c>
      <x:c r="F190" s="10">
        <x:v>20.0</x:v>
      </x:c>
      <x:c r="G190" s="10">
        <x:v>20.0</x:v>
      </x:c>
      <x:c r="H190" s="7" t="s">
        <x:v>5114</x:v>
      </x:c>
      <x:c r="I190" s="7" t="s">
        <x:v>5115</x:v>
      </x:c>
      <x:c r="J190" s="26" t="s">
        <x:v>6029</x:v>
      </x:c>
      <x:c r="K190" s="41"/>
      <x:c r="L190" s="41"/>
      <x:c r="M190" s="7" t="s">
        <x:v>5976</x:v>
      </x:c>
      <x:c r="N190" s="7" t="s">
        <x:v>6030</x:v>
      </x:c>
      <x:c r="O190" s="7" t="s">
        <x:v>5118</x:v>
      </x:c>
      <x:c r="P190" s="7" t="b">
        <x:v>0</x:v>
      </x:c>
      <x:c r="Q190" s="7" t="s">
        <x:v>5119</x:v>
      </x:c>
      <x:c r="R190" s="26" t="s">
        <x:v>5120</x:v>
      </x:c>
      <x:c r="S190" s="7" t="s">
        <x:v>6031</x:v>
      </x:c>
      <x:c r="T190" s="49"/>
      <x:c r="U190" s="49"/>
      <x:c r="V190" s="50" t="s">
        <x:v>5288</x:v>
      </x:c>
      <x:c r="W190" s="48"/>
      <x:c r="X190" s="48"/>
      <x:c r="Y190" s="48"/>
      <x:c r="Z190" s="48"/>
    </x:row>
    <x:row r="191">
      <x:c r="A191" s="7" t="s">
        <x:v>6032</x:v>
      </x:c>
      <x:c r="B191" s="7" t="s">
        <x:v>554</x:v>
      </x:c>
      <x:c r="C191" s="7" t="s">
        <x:v>6033</x:v>
      </x:c>
      <x:c r="D191" s="7" t="s">
        <x:v>5113</x:v>
      </x:c>
      <x:c r="E191" s="10">
        <x:v>20.0</x:v>
      </x:c>
      <x:c r="F191" s="10">
        <x:v>0.0</x:v>
      </x:c>
      <x:c r="G191" s="10">
        <x:v>20.0</x:v>
      </x:c>
      <x:c r="H191" s="7" t="s">
        <x:v>5114</x:v>
      </x:c>
      <x:c r="I191" s="7" t="s">
        <x:v>5115</x:v>
      </x:c>
      <x:c r="J191" s="26" t="s">
        <x:v>6034</x:v>
      </x:c>
      <x:c r="K191" s="41"/>
      <x:c r="L191" s="41"/>
      <x:c r="M191" s="7" t="s">
        <x:v>6002</x:v>
      </x:c>
      <x:c r="N191" s="7" t="s">
        <x:v>6002</x:v>
      </x:c>
      <x:c r="O191" s="7" t="s">
        <x:v>5118</x:v>
      </x:c>
      <x:c r="P191" s="7" t="b">
        <x:v>0</x:v>
      </x:c>
      <x:c r="Q191" s="7" t="s">
        <x:v>5119</x:v>
      </x:c>
      <x:c r="R191" s="26" t="s">
        <x:v>5120</x:v>
      </x:c>
      <x:c r="S191" s="7" t="s">
        <x:v>6035</x:v>
      </x:c>
      <x:c r="T191" s="49"/>
      <x:c r="U191" s="49"/>
      <x:c r="V191" s="50" t="s">
        <x:v>5288</x:v>
      </x:c>
      <x:c r="W191" s="48"/>
      <x:c r="X191" s="48"/>
      <x:c r="Y191" s="48"/>
      <x:c r="Z191" s="48"/>
    </x:row>
    <x:row r="192">
      <x:c r="A192" s="7" t="s">
        <x:v>6036</x:v>
      </x:c>
      <x:c r="B192" s="7" t="s">
        <x:v>554</x:v>
      </x:c>
      <x:c r="C192" s="7" t="s">
        <x:v>6037</x:v>
      </x:c>
      <x:c r="D192" s="7" t="s">
        <x:v>5113</x:v>
      </x:c>
      <x:c r="E192" s="10">
        <x:v>20.0</x:v>
      </x:c>
      <x:c r="F192" s="10">
        <x:v>4.0</x:v>
      </x:c>
      <x:c r="G192" s="10">
        <x:v>16.0</x:v>
      </x:c>
      <x:c r="H192" s="7" t="s">
        <x:v>5114</x:v>
      </x:c>
      <x:c r="I192" s="7" t="s">
        <x:v>5115</x:v>
      </x:c>
      <x:c r="J192" s="26" t="s">
        <x:v>6038</x:v>
      </x:c>
      <x:c r="K192" s="41"/>
      <x:c r="L192" s="41"/>
      <x:c r="M192" s="7" t="s">
        <x:v>5996</x:v>
      </x:c>
      <x:c r="N192" s="7" t="s">
        <x:v>6039</x:v>
      </x:c>
      <x:c r="O192" s="7" t="s">
        <x:v>5118</x:v>
      </x:c>
      <x:c r="P192" s="7" t="b">
        <x:v>0</x:v>
      </x:c>
      <x:c r="Q192" s="7" t="s">
        <x:v>5119</x:v>
      </x:c>
      <x:c r="R192" s="26" t="s">
        <x:v>5120</x:v>
      </x:c>
      <x:c r="S192" s="7" t="s">
        <x:v>6040</x:v>
      </x:c>
      <x:c r="T192" s="49"/>
      <x:c r="U192" s="49"/>
      <x:c r="V192" s="50" t="s">
        <x:v>5288</x:v>
      </x:c>
      <x:c r="W192" s="48"/>
      <x:c r="X192" s="48"/>
      <x:c r="Y192" s="48"/>
      <x:c r="Z192" s="48"/>
    </x:row>
    <x:row r="193">
      <x:c r="A193" s="7" t="s">
        <x:v>6041</x:v>
      </x:c>
      <x:c r="B193" s="7" t="s">
        <x:v>554</x:v>
      </x:c>
      <x:c r="C193" s="7" t="s">
        <x:v>6042</x:v>
      </x:c>
      <x:c r="D193" s="7" t="s">
        <x:v>5113</x:v>
      </x:c>
      <x:c r="E193" s="10">
        <x:v>100.0</x:v>
      </x:c>
      <x:c r="F193" s="10">
        <x:v>0.0</x:v>
      </x:c>
      <x:c r="G193" s="10">
        <x:v>100.0</x:v>
      </x:c>
      <x:c r="H193" s="7" t="s">
        <x:v>5114</x:v>
      </x:c>
      <x:c r="I193" s="7" t="s">
        <x:v>5115</x:v>
      </x:c>
      <x:c r="J193" s="41"/>
      <x:c r="K193" s="26" t="s">
        <x:v>6043</x:v>
      </x:c>
      <x:c r="L193" s="41"/>
      <x:c r="M193" s="7" t="s">
        <x:v>5996</x:v>
      </x:c>
      <x:c r="N193" s="7" t="s">
        <x:v>5996</x:v>
      </x:c>
      <x:c r="O193" s="7" t="s">
        <x:v>5118</x:v>
      </x:c>
      <x:c r="P193" s="7" t="b">
        <x:v>0</x:v>
      </x:c>
      <x:c r="Q193" s="7" t="s">
        <x:v>5119</x:v>
      </x:c>
      <x:c r="R193" s="26" t="s">
        <x:v>5120</x:v>
      </x:c>
      <x:c r="S193" s="7" t="s">
        <x:v>6044</x:v>
      </x:c>
      <x:c r="T193" s="49"/>
      <x:c r="U193" s="49"/>
      <x:c r="V193" s="50" t="s">
        <x:v>5311</x:v>
      </x:c>
      <x:c r="W193" s="48"/>
      <x:c r="X193" s="50" t="s">
        <x:v>5119</x:v>
      </x:c>
      <x:c r="Y193" s="48"/>
      <x:c r="Z193" s="48"/>
    </x:row>
    <x:row r="194">
      <x:c r="A194" s="7" t="s">
        <x:v>6045</x:v>
      </x:c>
      <x:c r="B194" s="7" t="s">
        <x:v>554</x:v>
      </x:c>
      <x:c r="C194" s="7" t="s">
        <x:v>6046</x:v>
      </x:c>
      <x:c r="D194" s="7" t="s">
        <x:v>5113</x:v>
      </x:c>
      <x:c r="E194" s="10">
        <x:v>20.0</x:v>
      </x:c>
      <x:c r="F194" s="10">
        <x:v>0.0</x:v>
      </x:c>
      <x:c r="G194" s="10">
        <x:v>20.0</x:v>
      </x:c>
      <x:c r="H194" s="7" t="s">
        <x:v>5114</x:v>
      </x:c>
      <x:c r="I194" s="7" t="s">
        <x:v>5115</x:v>
      </x:c>
      <x:c r="J194" s="26" t="s">
        <x:v>6047</x:v>
      </x:c>
      <x:c r="K194" s="41"/>
      <x:c r="L194" s="41"/>
      <x:c r="M194" s="7" t="s">
        <x:v>5996</x:v>
      </x:c>
      <x:c r="N194" s="7" t="s">
        <x:v>5996</x:v>
      </x:c>
      <x:c r="O194" s="7" t="s">
        <x:v>5118</x:v>
      </x:c>
      <x:c r="P194" s="7" t="b">
        <x:v>0</x:v>
      </x:c>
      <x:c r="Q194" s="7" t="s">
        <x:v>5119</x:v>
      </x:c>
      <x:c r="R194" s="26" t="s">
        <x:v>5120</x:v>
      </x:c>
      <x:c r="S194" s="7" t="s">
        <x:v>6048</x:v>
      </x:c>
      <x:c r="T194" s="49"/>
      <x:c r="U194" s="49"/>
      <x:c r="V194" s="50" t="s">
        <x:v>5288</x:v>
      </x:c>
      <x:c r="W194" s="48"/>
      <x:c r="X194" s="48"/>
      <x:c r="Y194" s="48"/>
      <x:c r="Z194" s="48"/>
    </x:row>
    <x:row r="195">
      <x:c r="A195" s="7" t="s">
        <x:v>6049</x:v>
      </x:c>
      <x:c r="B195" s="7" t="s">
        <x:v>554</x:v>
      </x:c>
      <x:c r="C195" s="7" t="s">
        <x:v>6050</x:v>
      </x:c>
      <x:c r="D195" s="7" t="s">
        <x:v>5113</x:v>
      </x:c>
      <x:c r="E195" s="10">
        <x:v>50.0</x:v>
      </x:c>
      <x:c r="F195" s="10">
        <x:v>0.0</x:v>
      </x:c>
      <x:c r="G195" s="10">
        <x:v>50.0</x:v>
      </x:c>
      <x:c r="H195" s="7" t="s">
        <x:v>5114</x:v>
      </x:c>
      <x:c r="I195" s="7" t="s">
        <x:v>5115</x:v>
      </x:c>
      <x:c r="J195" s="26" t="s">
        <x:v>6051</x:v>
      </x:c>
      <x:c r="K195" s="41"/>
      <x:c r="L195" s="41"/>
      <x:c r="M195" s="7" t="s">
        <x:v>5976</x:v>
      </x:c>
      <x:c r="N195" s="7" t="s">
        <x:v>5976</x:v>
      </x:c>
      <x:c r="O195" s="7" t="s">
        <x:v>5118</x:v>
      </x:c>
      <x:c r="P195" s="7" t="b">
        <x:v>0</x:v>
      </x:c>
      <x:c r="Q195" s="7" t="s">
        <x:v>5119</x:v>
      </x:c>
      <x:c r="R195" s="26" t="s">
        <x:v>5120</x:v>
      </x:c>
      <x:c r="S195" s="7" t="s">
        <x:v>6052</x:v>
      </x:c>
      <x:c r="T195" s="49"/>
      <x:c r="U195" s="49"/>
      <x:c r="V195" s="50" t="s">
        <x:v>5288</x:v>
      </x:c>
      <x:c r="W195" s="48"/>
      <x:c r="X195" s="48"/>
      <x:c r="Y195" s="48"/>
      <x:c r="Z195" s="48"/>
    </x:row>
    <x:row r="196">
      <x:c r="A196" s="7" t="s">
        <x:v>6053</x:v>
      </x:c>
      <x:c r="B196" s="7" t="s">
        <x:v>554</x:v>
      </x:c>
      <x:c r="C196" s="7" t="s">
        <x:v>6054</x:v>
      </x:c>
      <x:c r="D196" s="7" t="s">
        <x:v>5113</x:v>
      </x:c>
      <x:c r="E196" s="10">
        <x:v>40.0</x:v>
      </x:c>
      <x:c r="F196" s="10">
        <x:v>4.0</x:v>
      </x:c>
      <x:c r="G196" s="10">
        <x:v>36.0</x:v>
      </x:c>
      <x:c r="H196" s="7" t="s">
        <x:v>5114</x:v>
      </x:c>
      <x:c r="I196" s="7" t="s">
        <x:v>5115</x:v>
      </x:c>
      <x:c r="J196" s="26" t="s">
        <x:v>6055</x:v>
      </x:c>
      <x:c r="K196" s="41"/>
      <x:c r="L196" s="41"/>
      <x:c r="M196" s="7" t="s">
        <x:v>6002</x:v>
      </x:c>
      <x:c r="N196" s="7" t="s">
        <x:v>6056</x:v>
      </x:c>
      <x:c r="O196" s="7" t="s">
        <x:v>5118</x:v>
      </x:c>
      <x:c r="P196" s="7" t="b">
        <x:v>0</x:v>
      </x:c>
      <x:c r="Q196" s="7" t="s">
        <x:v>5119</x:v>
      </x:c>
      <x:c r="R196" s="26" t="s">
        <x:v>5120</x:v>
      </x:c>
      <x:c r="S196" s="7" t="s">
        <x:v>6057</x:v>
      </x:c>
      <x:c r="T196" s="49"/>
      <x:c r="U196" s="49"/>
      <x:c r="V196" s="50" t="s">
        <x:v>5288</x:v>
      </x:c>
      <x:c r="W196" s="48"/>
      <x:c r="X196" s="48"/>
      <x:c r="Y196" s="48"/>
      <x:c r="Z196" s="48"/>
    </x:row>
    <x:row r="197">
      <x:c r="A197" s="7" t="s">
        <x:v>6058</x:v>
      </x:c>
      <x:c r="B197" s="7" t="s">
        <x:v>554</x:v>
      </x:c>
      <x:c r="C197" s="7" t="s">
        <x:v>6059</x:v>
      </x:c>
      <x:c r="D197" s="7" t="s">
        <x:v>5113</x:v>
      </x:c>
      <x:c r="E197" s="10">
        <x:v>30.0</x:v>
      </x:c>
      <x:c r="F197" s="10">
        <x:v>23.0</x:v>
      </x:c>
      <x:c r="G197" s="10">
        <x:v>7.0</x:v>
      </x:c>
      <x:c r="H197" s="7" t="s">
        <x:v>5114</x:v>
      </x:c>
      <x:c r="I197" s="7" t="s">
        <x:v>5115</x:v>
      </x:c>
      <x:c r="J197" s="26" t="s">
        <x:v>6060</x:v>
      </x:c>
      <x:c r="K197" s="41"/>
      <x:c r="L197" s="41"/>
      <x:c r="M197" s="7" t="s">
        <x:v>5976</x:v>
      </x:c>
      <x:c r="N197" s="7" t="s">
        <x:v>6061</x:v>
      </x:c>
      <x:c r="O197" s="7" t="s">
        <x:v>5118</x:v>
      </x:c>
      <x:c r="P197" s="7" t="b">
        <x:v>0</x:v>
      </x:c>
      <x:c r="Q197" s="7" t="s">
        <x:v>5119</x:v>
      </x:c>
      <x:c r="R197" s="26" t="s">
        <x:v>5120</x:v>
      </x:c>
      <x:c r="S197" s="7" t="s">
        <x:v>6062</x:v>
      </x:c>
      <x:c r="T197" s="49"/>
      <x:c r="U197" s="49"/>
      <x:c r="V197" s="50" t="s">
        <x:v>5288</x:v>
      </x:c>
      <x:c r="W197" s="48"/>
      <x:c r="X197" s="48"/>
      <x:c r="Y197" s="48"/>
      <x:c r="Z197" s="48"/>
    </x:row>
    <x:row r="198">
      <x:c r="A198" s="7" t="s">
        <x:v>6063</x:v>
      </x:c>
      <x:c r="B198" s="7" t="s">
        <x:v>554</x:v>
      </x:c>
      <x:c r="C198" s="7" t="s">
        <x:v>6064</x:v>
      </x:c>
      <x:c r="D198" s="7" t="s">
        <x:v>5113</x:v>
      </x:c>
      <x:c r="E198" s="10">
        <x:v>60.0</x:v>
      </x:c>
      <x:c r="F198" s="10">
        <x:v>6.0</x:v>
      </x:c>
      <x:c r="G198" s="10">
        <x:v>54.0</x:v>
      </x:c>
      <x:c r="H198" s="7" t="s">
        <x:v>5114</x:v>
      </x:c>
      <x:c r="I198" s="7" t="s">
        <x:v>5115</x:v>
      </x:c>
      <x:c r="J198" s="26" t="s">
        <x:v>6065</x:v>
      </x:c>
      <x:c r="K198" s="41"/>
      <x:c r="L198" s="41"/>
      <x:c r="M198" s="7" t="s">
        <x:v>5976</x:v>
      </x:c>
      <x:c r="N198" s="7" t="s">
        <x:v>6066</x:v>
      </x:c>
      <x:c r="O198" s="7" t="s">
        <x:v>5118</x:v>
      </x:c>
      <x:c r="P198" s="7" t="b">
        <x:v>0</x:v>
      </x:c>
      <x:c r="Q198" s="7" t="s">
        <x:v>5119</x:v>
      </x:c>
      <x:c r="R198" s="26" t="s">
        <x:v>5120</x:v>
      </x:c>
      <x:c r="S198" s="7" t="s">
        <x:v>6067</x:v>
      </x:c>
      <x:c r="T198" s="49"/>
      <x:c r="U198" s="49"/>
      <x:c r="V198" s="50" t="s">
        <x:v>5288</x:v>
      </x:c>
      <x:c r="W198" s="48"/>
      <x:c r="X198" s="48"/>
      <x:c r="Y198" s="48"/>
      <x:c r="Z198" s="48"/>
    </x:row>
    <x:row r="199">
      <x:c r="A199" s="7" t="s">
        <x:v>6068</x:v>
      </x:c>
      <x:c r="B199" s="7" t="s">
        <x:v>554</x:v>
      </x:c>
      <x:c r="C199" s="7" t="s">
        <x:v>6069</x:v>
      </x:c>
      <x:c r="D199" s="7" t="s">
        <x:v>5113</x:v>
      </x:c>
      <x:c r="E199" s="10">
        <x:v>60.0</x:v>
      </x:c>
      <x:c r="F199" s="10">
        <x:v>1.0</x:v>
      </x:c>
      <x:c r="G199" s="10">
        <x:v>59.0</x:v>
      </x:c>
      <x:c r="H199" s="7" t="s">
        <x:v>5114</x:v>
      </x:c>
      <x:c r="I199" s="7" t="s">
        <x:v>5115</x:v>
      </x:c>
      <x:c r="J199" s="26" t="s">
        <x:v>6070</x:v>
      </x:c>
      <x:c r="K199" s="41"/>
      <x:c r="L199" s="41"/>
      <x:c r="M199" s="7" t="s">
        <x:v>6071</x:v>
      </x:c>
      <x:c r="N199" s="7" t="s">
        <x:v>6071</x:v>
      </x:c>
      <x:c r="O199" s="7" t="s">
        <x:v>5118</x:v>
      </x:c>
      <x:c r="P199" s="7" t="b">
        <x:v>0</x:v>
      </x:c>
      <x:c r="Q199" s="7" t="s">
        <x:v>5119</x:v>
      </x:c>
      <x:c r="R199" s="26" t="s">
        <x:v>5120</x:v>
      </x:c>
      <x:c r="S199" s="7" t="s">
        <x:v>6072</x:v>
      </x:c>
      <x:c r="T199" s="49"/>
      <x:c r="U199" s="49"/>
      <x:c r="V199" s="50" t="s">
        <x:v>5288</x:v>
      </x:c>
      <x:c r="W199" s="48"/>
      <x:c r="X199" s="48"/>
      <x:c r="Y199" s="48"/>
      <x:c r="Z199" s="48"/>
    </x:row>
    <x:row r="200">
      <x:c r="A200" s="7" t="s">
        <x:v>6073</x:v>
      </x:c>
      <x:c r="B200" s="7" t="s">
        <x:v>554</x:v>
      </x:c>
      <x:c r="C200" s="7" t="s">
        <x:v>6074</x:v>
      </x:c>
      <x:c r="D200" s="7" t="s">
        <x:v>5113</x:v>
      </x:c>
      <x:c r="E200" s="10">
        <x:v>50.0</x:v>
      </x:c>
      <x:c r="F200" s="10">
        <x:v>0.0</x:v>
      </x:c>
      <x:c r="G200" s="10">
        <x:v>50.0</x:v>
      </x:c>
      <x:c r="H200" s="7" t="s">
        <x:v>5114</x:v>
      </x:c>
      <x:c r="I200" s="7" t="s">
        <x:v>5115</x:v>
      </x:c>
      <x:c r="J200" s="26" t="s">
        <x:v>6075</x:v>
      </x:c>
      <x:c r="K200" s="41"/>
      <x:c r="L200" s="41"/>
      <x:c r="M200" s="7" t="s">
        <x:v>6002</x:v>
      </x:c>
      <x:c r="N200" s="7" t="s">
        <x:v>6002</x:v>
      </x:c>
      <x:c r="O200" s="7" t="s">
        <x:v>5118</x:v>
      </x:c>
      <x:c r="P200" s="7" t="b">
        <x:v>0</x:v>
      </x:c>
      <x:c r="Q200" s="7" t="s">
        <x:v>5119</x:v>
      </x:c>
      <x:c r="R200" s="26" t="s">
        <x:v>5120</x:v>
      </x:c>
      <x:c r="S200" s="7" t="s">
        <x:v>6076</x:v>
      </x:c>
      <x:c r="T200" s="49"/>
      <x:c r="U200" s="49"/>
      <x:c r="V200" s="50" t="s">
        <x:v>5288</x:v>
      </x:c>
      <x:c r="W200" s="48"/>
      <x:c r="X200" s="48"/>
      <x:c r="Y200" s="48"/>
      <x:c r="Z200" s="48"/>
    </x:row>
    <x:row r="201">
      <x:c r="A201" s="7" t="s">
        <x:v>6077</x:v>
      </x:c>
      <x:c r="B201" s="7" t="s">
        <x:v>554</x:v>
      </x:c>
      <x:c r="C201" s="7" t="s">
        <x:v>6078</x:v>
      </x:c>
      <x:c r="D201" s="7" t="s">
        <x:v>5113</x:v>
      </x:c>
      <x:c r="E201" s="10">
        <x:v>20.0</x:v>
      </x:c>
      <x:c r="F201" s="10">
        <x:v>5.0</x:v>
      </x:c>
      <x:c r="G201" s="10">
        <x:v>15.0</x:v>
      </x:c>
      <x:c r="H201" s="7" t="s">
        <x:v>5114</x:v>
      </x:c>
      <x:c r="I201" s="7" t="s">
        <x:v>5115</x:v>
      </x:c>
      <x:c r="J201" s="26" t="s">
        <x:v>6079</x:v>
      </x:c>
      <x:c r="K201" s="41"/>
      <x:c r="L201" s="41"/>
      <x:c r="M201" s="7" t="s">
        <x:v>5976</x:v>
      </x:c>
      <x:c r="N201" s="7" t="s">
        <x:v>6080</x:v>
      </x:c>
      <x:c r="O201" s="7" t="s">
        <x:v>5118</x:v>
      </x:c>
      <x:c r="P201" s="7" t="b">
        <x:v>0</x:v>
      </x:c>
      <x:c r="Q201" s="7" t="s">
        <x:v>5119</x:v>
      </x:c>
      <x:c r="R201" s="26" t="s">
        <x:v>5120</x:v>
      </x:c>
      <x:c r="S201" s="7" t="s">
        <x:v>6081</x:v>
      </x:c>
      <x:c r="T201" s="49"/>
      <x:c r="U201" s="49"/>
      <x:c r="V201" s="50" t="s">
        <x:v>5288</x:v>
      </x:c>
      <x:c r="W201" s="48"/>
      <x:c r="X201" s="48"/>
      <x:c r="Y201" s="48"/>
      <x:c r="Z201" s="48"/>
    </x:row>
    <x:row r="202">
      <x:c r="A202" s="7" t="s">
        <x:v>6082</x:v>
      </x:c>
      <x:c r="B202" s="7" t="s">
        <x:v>554</x:v>
      </x:c>
      <x:c r="C202" s="7" t="s">
        <x:v>6083</x:v>
      </x:c>
      <x:c r="D202" s="7" t="s">
        <x:v>5113</x:v>
      </x:c>
      <x:c r="E202" s="10">
        <x:v>50.0</x:v>
      </x:c>
      <x:c r="F202" s="10">
        <x:v>1.0</x:v>
      </x:c>
      <x:c r="G202" s="10">
        <x:v>49.0</x:v>
      </x:c>
      <x:c r="H202" s="7" t="s">
        <x:v>5114</x:v>
      </x:c>
      <x:c r="I202" s="7" t="s">
        <x:v>5115</x:v>
      </x:c>
      <x:c r="J202" s="26" t="s">
        <x:v>6084</x:v>
      </x:c>
      <x:c r="K202" s="41"/>
      <x:c r="L202" s="41"/>
      <x:c r="M202" s="7" t="s">
        <x:v>5996</x:v>
      </x:c>
      <x:c r="N202" s="7" t="s">
        <x:v>6085</x:v>
      </x:c>
      <x:c r="O202" s="7" t="s">
        <x:v>5118</x:v>
      </x:c>
      <x:c r="P202" s="7" t="b">
        <x:v>0</x:v>
      </x:c>
      <x:c r="Q202" s="7" t="s">
        <x:v>5119</x:v>
      </x:c>
      <x:c r="R202" s="26" t="s">
        <x:v>5120</x:v>
      </x:c>
      <x:c r="S202" s="7" t="s">
        <x:v>6086</x:v>
      </x:c>
      <x:c r="T202" s="49"/>
      <x:c r="U202" s="49"/>
      <x:c r="V202" s="50" t="s">
        <x:v>5288</x:v>
      </x:c>
      <x:c r="W202" s="48"/>
      <x:c r="X202" s="48"/>
      <x:c r="Y202" s="48"/>
      <x:c r="Z202" s="48"/>
    </x:row>
    <x:row r="203">
      <x:c r="A203" s="7" t="s">
        <x:v>6087</x:v>
      </x:c>
      <x:c r="B203" s="7" t="s">
        <x:v>431</x:v>
      </x:c>
      <x:c r="C203" s="7" t="s">
        <x:v>6088</x:v>
      </x:c>
      <x:c r="D203" s="7" t="s">
        <x:v>5113</x:v>
      </x:c>
      <x:c r="E203" s="10">
        <x:v>200.0</x:v>
      </x:c>
      <x:c r="F203" s="10">
        <x:v>70.0</x:v>
      </x:c>
      <x:c r="G203" s="10">
        <x:v>130.0</x:v>
      </x:c>
      <x:c r="H203" s="7" t="s">
        <x:v>5114</x:v>
      </x:c>
      <x:c r="I203" s="7" t="s">
        <x:v>5115</x:v>
      </x:c>
      <x:c r="J203" s="41"/>
      <x:c r="K203" s="41"/>
      <x:c r="L203" s="41"/>
      <x:c r="M203" s="7" t="s">
        <x:v>6089</x:v>
      </x:c>
      <x:c r="N203" s="7" t="s">
        <x:v>6089</x:v>
      </x:c>
      <x:c r="O203" s="7" t="s">
        <x:v>5118</x:v>
      </x:c>
      <x:c r="P203" s="7" t="b">
        <x:v>0</x:v>
      </x:c>
      <x:c r="Q203" s="7" t="s">
        <x:v>5119</x:v>
      </x:c>
      <x:c r="R203" s="26" t="s">
        <x:v>5120</x:v>
      </x:c>
      <x:c r="S203" s="7" t="s">
        <x:v>6090</x:v>
      </x:c>
      <x:c r="T203" s="49"/>
      <x:c r="U203" s="49"/>
      <x:c r="V203" s="50" t="s">
        <x:v>5311</x:v>
      </x:c>
      <x:c r="W203" s="48"/>
      <x:c r="X203" s="50" t="s">
        <x:v>5119</x:v>
      </x:c>
      <x:c r="Y203" s="48"/>
      <x:c r="Z203" s="48"/>
    </x:row>
    <x:row r="204">
      <x:c r="A204" s="7" t="s">
        <x:v>6091</x:v>
      </x:c>
      <x:c r="B204" s="7" t="s">
        <x:v>431</x:v>
      </x:c>
      <x:c r="C204" s="7" t="s">
        <x:v>6092</x:v>
      </x:c>
      <x:c r="D204" s="7" t="s">
        <x:v>5113</x:v>
      </x:c>
      <x:c r="E204" s="10">
        <x:v>50.0</x:v>
      </x:c>
      <x:c r="F204" s="10">
        <x:v>0.0</x:v>
      </x:c>
      <x:c r="G204" s="10">
        <x:v>50.0</x:v>
      </x:c>
      <x:c r="H204" s="7" t="s">
        <x:v>5114</x:v>
      </x:c>
      <x:c r="I204" s="7" t="s">
        <x:v>5115</x:v>
      </x:c>
      <x:c r="J204" s="41"/>
      <x:c r="K204" s="41"/>
      <x:c r="L204" s="41"/>
      <x:c r="M204" s="7" t="s">
        <x:v>6093</x:v>
      </x:c>
      <x:c r="N204" s="7" t="s">
        <x:v>6093</x:v>
      </x:c>
      <x:c r="O204" s="7" t="s">
        <x:v>5118</x:v>
      </x:c>
      <x:c r="P204" s="7" t="b">
        <x:v>0</x:v>
      </x:c>
      <x:c r="Q204" s="7" t="s">
        <x:v>5119</x:v>
      </x:c>
      <x:c r="R204" s="26" t="s">
        <x:v>5120</x:v>
      </x:c>
      <x:c r="S204" s="7" t="s">
        <x:v>6094</x:v>
      </x:c>
      <x:c r="T204" s="49"/>
      <x:c r="U204" s="49"/>
      <x:c r="V204" s="50" t="s">
        <x:v>5311</x:v>
      </x:c>
      <x:c r="W204" s="48"/>
      <x:c r="X204" s="50" t="s">
        <x:v>5119</x:v>
      </x:c>
      <x:c r="Y204" s="48"/>
      <x:c r="Z204" s="48"/>
    </x:row>
    <x:row r="205">
      <x:c r="A205" s="7" t="s">
        <x:v>6095</x:v>
      </x:c>
      <x:c r="B205" s="7" t="s">
        <x:v>431</x:v>
      </x:c>
      <x:c r="C205" s="7" t="s">
        <x:v>6096</x:v>
      </x:c>
      <x:c r="D205" s="7" t="s">
        <x:v>5113</x:v>
      </x:c>
      <x:c r="E205" s="10">
        <x:v>150.0</x:v>
      </x:c>
      <x:c r="F205" s="10">
        <x:v>130.0</x:v>
      </x:c>
      <x:c r="G205" s="10">
        <x:v>20.0</x:v>
      </x:c>
      <x:c r="H205" s="7" t="s">
        <x:v>5114</x:v>
      </x:c>
      <x:c r="I205" s="7" t="s">
        <x:v>5115</x:v>
      </x:c>
      <x:c r="J205" s="41"/>
      <x:c r="K205" s="41"/>
      <x:c r="L205" s="41"/>
      <x:c r="M205" s="7" t="s">
        <x:v>6097</x:v>
      </x:c>
      <x:c r="N205" s="7" t="s">
        <x:v>6097</x:v>
      </x:c>
      <x:c r="O205" s="7" t="s">
        <x:v>5118</x:v>
      </x:c>
      <x:c r="P205" s="7" t="b">
        <x:v>0</x:v>
      </x:c>
      <x:c r="Q205" s="7" t="s">
        <x:v>5119</x:v>
      </x:c>
      <x:c r="R205" s="26" t="s">
        <x:v>5120</x:v>
      </x:c>
      <x:c r="S205" s="7" t="s">
        <x:v>6098</x:v>
      </x:c>
      <x:c r="T205" s="49"/>
      <x:c r="U205" s="49"/>
      <x:c r="V205" s="50" t="s">
        <x:v>5311</x:v>
      </x:c>
      <x:c r="W205" s="48"/>
      <x:c r="X205" s="50" t="s">
        <x:v>5119</x:v>
      </x:c>
      <x:c r="Y205" s="48"/>
      <x:c r="Z205" s="48"/>
    </x:row>
    <x:row r="206">
      <x:c r="A206" s="7" t="s">
        <x:v>6099</x:v>
      </x:c>
      <x:c r="B206" s="7" t="s">
        <x:v>431</x:v>
      </x:c>
      <x:c r="C206" s="7" t="s">
        <x:v>6100</x:v>
      </x:c>
      <x:c r="D206" s="7" t="s">
        <x:v>5113</x:v>
      </x:c>
      <x:c r="E206" s="10">
        <x:v>40.0</x:v>
      </x:c>
      <x:c r="F206" s="10">
        <x:v>0.0</x:v>
      </x:c>
      <x:c r="G206" s="10">
        <x:v>40.0</x:v>
      </x:c>
      <x:c r="H206" s="7" t="s">
        <x:v>5114</x:v>
      </x:c>
      <x:c r="I206" s="7" t="s">
        <x:v>5115</x:v>
      </x:c>
      <x:c r="J206" s="41"/>
      <x:c r="K206" s="41"/>
      <x:c r="L206" s="41"/>
      <x:c r="M206" s="7" t="s">
        <x:v>6101</x:v>
      </x:c>
      <x:c r="N206" s="7" t="s">
        <x:v>6101</x:v>
      </x:c>
      <x:c r="O206" s="7" t="s">
        <x:v>5118</x:v>
      </x:c>
      <x:c r="P206" s="7" t="b">
        <x:v>0</x:v>
      </x:c>
      <x:c r="Q206" s="7" t="s">
        <x:v>5119</x:v>
      </x:c>
      <x:c r="R206" s="26" t="s">
        <x:v>5120</x:v>
      </x:c>
      <x:c r="S206" s="7" t="s">
        <x:v>6102</x:v>
      </x:c>
      <x:c r="T206" s="49"/>
      <x:c r="U206" s="49"/>
      <x:c r="V206" s="50" t="s">
        <x:v>5311</x:v>
      </x:c>
      <x:c r="W206" s="48"/>
      <x:c r="X206" s="50" t="s">
        <x:v>5119</x:v>
      </x:c>
      <x:c r="Y206" s="48"/>
      <x:c r="Z206" s="48"/>
    </x:row>
    <x:row r="207">
      <x:c r="A207" s="7" t="s">
        <x:v>6103</x:v>
      </x:c>
      <x:c r="B207" s="7" t="s">
        <x:v>431</x:v>
      </x:c>
      <x:c r="C207" s="7" t="s">
        <x:v>6104</x:v>
      </x:c>
      <x:c r="D207" s="7" t="s">
        <x:v>5113</x:v>
      </x:c>
      <x:c r="E207" s="10">
        <x:v>100.0</x:v>
      </x:c>
      <x:c r="F207" s="10">
        <x:v>0.0</x:v>
      </x:c>
      <x:c r="G207" s="10">
        <x:v>100.0</x:v>
      </x:c>
      <x:c r="H207" s="7" t="s">
        <x:v>5114</x:v>
      </x:c>
      <x:c r="I207" s="7" t="s">
        <x:v>5115</x:v>
      </x:c>
      <x:c r="J207" s="41"/>
      <x:c r="K207" s="41"/>
      <x:c r="L207" s="41"/>
      <x:c r="M207" s="7" t="s">
        <x:v>6105</x:v>
      </x:c>
      <x:c r="N207" s="7" t="s">
        <x:v>6105</x:v>
      </x:c>
      <x:c r="O207" s="7" t="s">
        <x:v>5118</x:v>
      </x:c>
      <x:c r="P207" s="7" t="b">
        <x:v>0</x:v>
      </x:c>
      <x:c r="Q207" s="7" t="s">
        <x:v>5119</x:v>
      </x:c>
      <x:c r="R207" s="26" t="s">
        <x:v>5120</x:v>
      </x:c>
      <x:c r="S207" s="7" t="s">
        <x:v>6106</x:v>
      </x:c>
      <x:c r="T207" s="49"/>
      <x:c r="U207" s="49"/>
      <x:c r="V207" s="50" t="s">
        <x:v>5311</x:v>
      </x:c>
      <x:c r="W207" s="48"/>
      <x:c r="X207" s="50" t="s">
        <x:v>5119</x:v>
      </x:c>
      <x:c r="Y207" s="48"/>
      <x:c r="Z207" s="48"/>
    </x:row>
    <x:row r="208">
      <x:c r="A208" s="7" t="s">
        <x:v>6107</x:v>
      </x:c>
      <x:c r="B208" s="7" t="s">
        <x:v>431</x:v>
      </x:c>
      <x:c r="C208" s="7" t="s">
        <x:v>6108</x:v>
      </x:c>
      <x:c r="D208" s="7" t="s">
        <x:v>5113</x:v>
      </x:c>
      <x:c r="E208" s="10">
        <x:v>50.0</x:v>
      </x:c>
      <x:c r="F208" s="10">
        <x:v>0.0</x:v>
      </x:c>
      <x:c r="G208" s="10">
        <x:v>50.0</x:v>
      </x:c>
      <x:c r="H208" s="7" t="s">
        <x:v>5114</x:v>
      </x:c>
      <x:c r="I208" s="7" t="s">
        <x:v>5115</x:v>
      </x:c>
      <x:c r="J208" s="41"/>
      <x:c r="K208" s="41"/>
      <x:c r="L208" s="41"/>
      <x:c r="M208" s="7" t="s">
        <x:v>6109</x:v>
      </x:c>
      <x:c r="N208" s="7" t="s">
        <x:v>6109</x:v>
      </x:c>
      <x:c r="O208" s="7" t="s">
        <x:v>5118</x:v>
      </x:c>
      <x:c r="P208" s="7" t="b">
        <x:v>0</x:v>
      </x:c>
      <x:c r="Q208" s="7" t="s">
        <x:v>5119</x:v>
      </x:c>
      <x:c r="R208" s="26" t="s">
        <x:v>5120</x:v>
      </x:c>
      <x:c r="S208" s="7" t="s">
        <x:v>6110</x:v>
      </x:c>
      <x:c r="T208" s="49"/>
      <x:c r="U208" s="49"/>
      <x:c r="V208" s="50" t="s">
        <x:v>5311</x:v>
      </x:c>
      <x:c r="W208" s="48"/>
      <x:c r="X208" s="50" t="s">
        <x:v>5119</x:v>
      </x:c>
      <x:c r="Y208" s="48"/>
      <x:c r="Z208" s="48"/>
    </x:row>
    <x:row r="209">
      <x:c r="A209" s="48"/>
      <x:c r="B209" s="48"/>
      <x:c r="C209" s="48"/>
      <x:c r="D209" s="48"/>
      <x:c r="E209" s="48"/>
      <x:c r="F209" s="48"/>
      <x:c r="G209" s="48"/>
      <x:c r="H209" s="48"/>
      <x:c r="I209" s="48"/>
      <x:c r="J209" s="48"/>
      <x:c r="K209" s="48"/>
      <x:c r="L209" s="48"/>
      <x:c r="M209" s="48"/>
      <x:c r="N209" s="48"/>
      <x:c r="O209" s="48"/>
      <x:c r="P209" s="48"/>
      <x:c r="Q209" s="48"/>
      <x:c r="R209" s="48"/>
      <x:c r="S209" s="48"/>
      <x:c r="T209" s="48"/>
      <x:c r="U209" s="48"/>
      <x:c r="V209" s="48"/>
      <x:c r="W209" s="48"/>
      <x:c r="X209" s="48"/>
      <x:c r="Y209" s="48"/>
      <x:c r="Z209" s="48"/>
    </x:row>
    <x:row r="210">
      <x:c r="A210" s="48"/>
      <x:c r="B210" s="48"/>
      <x:c r="C210" s="48"/>
      <x:c r="D210" s="48"/>
      <x:c r="E210" s="48"/>
      <x:c r="F210" s="48"/>
      <x:c r="G210" s="48"/>
      <x:c r="H210" s="48"/>
      <x:c r="I210" s="48"/>
      <x:c r="J210" s="48"/>
      <x:c r="K210" s="48"/>
      <x:c r="L210" s="48"/>
      <x:c r="M210" s="48"/>
      <x:c r="N210" s="48"/>
      <x:c r="O210" s="48"/>
      <x:c r="P210" s="48"/>
      <x:c r="Q210" s="48"/>
      <x:c r="R210" s="48"/>
      <x:c r="S210" s="48"/>
      <x:c r="T210" s="48"/>
      <x:c r="U210" s="48"/>
      <x:c r="V210" s="48"/>
      <x:c r="W210" s="48"/>
      <x:c r="X210" s="48"/>
      <x:c r="Y210" s="48"/>
      <x:c r="Z210" s="48"/>
    </x:row>
    <x:row r="211">
      <x:c r="A211" s="48"/>
      <x:c r="B211" s="48"/>
      <x:c r="C211" s="48"/>
      <x:c r="D211" s="48"/>
      <x:c r="E211" s="48"/>
      <x:c r="F211" s="48"/>
      <x:c r="G211" s="48"/>
      <x:c r="H211" s="48"/>
      <x:c r="I211" s="48"/>
      <x:c r="J211" s="48"/>
      <x:c r="K211" s="48"/>
      <x:c r="L211" s="48"/>
      <x:c r="M211" s="48"/>
      <x:c r="N211" s="48"/>
      <x:c r="O211" s="48"/>
      <x:c r="P211" s="48"/>
      <x:c r="Q211" s="48"/>
      <x:c r="R211" s="48"/>
      <x:c r="S211" s="48"/>
      <x:c r="T211" s="48"/>
      <x:c r="U211" s="48"/>
      <x:c r="V211" s="48"/>
      <x:c r="W211" s="48"/>
      <x:c r="X211" s="48"/>
      <x:c r="Y211" s="48"/>
      <x:c r="Z211" s="48"/>
    </x:row>
    <x:row r="212">
      <x:c r="A212" s="48"/>
      <x:c r="B212" s="48"/>
      <x:c r="C212" s="48"/>
      <x:c r="D212" s="48"/>
      <x:c r="E212" s="48"/>
      <x:c r="F212" s="48"/>
      <x:c r="G212" s="48"/>
      <x:c r="H212" s="48"/>
      <x:c r="I212" s="48"/>
      <x:c r="J212" s="48"/>
      <x:c r="K212" s="48"/>
      <x:c r="L212" s="48"/>
      <x:c r="M212" s="48"/>
      <x:c r="N212" s="48"/>
      <x:c r="O212" s="48"/>
      <x:c r="P212" s="48"/>
      <x:c r="Q212" s="48"/>
      <x:c r="R212" s="48"/>
      <x:c r="S212" s="48"/>
      <x:c r="T212" s="48"/>
      <x:c r="U212" s="48"/>
      <x:c r="V212" s="48"/>
      <x:c r="W212" s="48"/>
      <x:c r="X212" s="48"/>
      <x:c r="Y212" s="48"/>
      <x:c r="Z212" s="48"/>
    </x:row>
    <x:row r="213">
      <x:c r="A213" s="48"/>
      <x:c r="B213" s="48"/>
      <x:c r="C213" s="48"/>
      <x:c r="D213" s="48"/>
      <x:c r="E213" s="48"/>
      <x:c r="F213" s="48"/>
      <x:c r="G213" s="48"/>
      <x:c r="H213" s="48"/>
      <x:c r="I213" s="48"/>
      <x:c r="J213" s="48"/>
      <x:c r="K213" s="48"/>
      <x:c r="L213" s="48"/>
      <x:c r="M213" s="48"/>
      <x:c r="N213" s="48"/>
      <x:c r="O213" s="48"/>
      <x:c r="P213" s="48"/>
      <x:c r="Q213" s="48"/>
      <x:c r="R213" s="48"/>
      <x:c r="S213" s="48"/>
      <x:c r="T213" s="48"/>
      <x:c r="U213" s="48"/>
      <x:c r="V213" s="48"/>
      <x:c r="W213" s="48"/>
      <x:c r="X213" s="48"/>
      <x:c r="Y213" s="48"/>
      <x:c r="Z213" s="48"/>
    </x:row>
    <x:row r="214">
      <x:c r="A214" s="48"/>
      <x:c r="B214" s="48"/>
      <x:c r="C214" s="48"/>
      <x:c r="D214" s="48"/>
      <x:c r="E214" s="48"/>
      <x:c r="F214" s="48"/>
      <x:c r="G214" s="48"/>
      <x:c r="H214" s="48"/>
      <x:c r="I214" s="48"/>
      <x:c r="J214" s="48"/>
      <x:c r="K214" s="48"/>
      <x:c r="L214" s="48"/>
      <x:c r="M214" s="48"/>
      <x:c r="N214" s="48"/>
      <x:c r="O214" s="48"/>
      <x:c r="P214" s="48"/>
      <x:c r="Q214" s="48"/>
      <x:c r="R214" s="48"/>
      <x:c r="S214" s="48"/>
      <x:c r="T214" s="48"/>
      <x:c r="U214" s="48"/>
      <x:c r="V214" s="48"/>
      <x:c r="W214" s="48"/>
      <x:c r="X214" s="48"/>
      <x:c r="Y214" s="48"/>
      <x:c r="Z214" s="48"/>
    </x:row>
    <x:row r="215">
      <x:c r="A215" s="48"/>
      <x:c r="B215" s="48"/>
      <x:c r="C215" s="48"/>
      <x:c r="D215" s="48"/>
      <x:c r="E215" s="48"/>
      <x:c r="F215" s="48"/>
      <x:c r="G215" s="48"/>
      <x:c r="H215" s="48"/>
      <x:c r="I215" s="48"/>
      <x:c r="J215" s="48"/>
      <x:c r="K215" s="48"/>
      <x:c r="L215" s="48"/>
      <x:c r="M215" s="48"/>
      <x:c r="N215" s="48"/>
      <x:c r="O215" s="48"/>
      <x:c r="P215" s="48"/>
      <x:c r="Q215" s="48"/>
      <x:c r="R215" s="48"/>
      <x:c r="S215" s="48"/>
      <x:c r="T215" s="48"/>
      <x:c r="U215" s="48"/>
      <x:c r="V215" s="48"/>
      <x:c r="W215" s="48"/>
      <x:c r="X215" s="48"/>
      <x:c r="Y215" s="48"/>
      <x:c r="Z215" s="48"/>
    </x:row>
    <x:row r="216">
      <x:c r="A216" s="48"/>
      <x:c r="B216" s="48"/>
      <x:c r="C216" s="48"/>
      <x:c r="D216" s="48"/>
      <x:c r="E216" s="48"/>
      <x:c r="F216" s="48"/>
      <x:c r="G216" s="48"/>
      <x:c r="H216" s="48"/>
      <x:c r="I216" s="48"/>
      <x:c r="J216" s="48"/>
      <x:c r="K216" s="48"/>
      <x:c r="L216" s="48"/>
      <x:c r="M216" s="48"/>
      <x:c r="N216" s="48"/>
      <x:c r="O216" s="48"/>
      <x:c r="P216" s="48"/>
      <x:c r="Q216" s="48"/>
      <x:c r="R216" s="48"/>
      <x:c r="S216" s="48"/>
      <x:c r="T216" s="48"/>
      <x:c r="U216" s="48"/>
      <x:c r="V216" s="48"/>
      <x:c r="W216" s="48"/>
      <x:c r="X216" s="48"/>
      <x:c r="Y216" s="48"/>
      <x:c r="Z216" s="48"/>
    </x:row>
    <x:row r="217">
      <x:c r="A217" s="48"/>
      <x:c r="B217" s="48"/>
      <x:c r="C217" s="48"/>
      <x:c r="D217" s="48"/>
      <x:c r="E217" s="48"/>
      <x:c r="F217" s="48"/>
      <x:c r="G217" s="48"/>
      <x:c r="H217" s="48"/>
      <x:c r="I217" s="48"/>
      <x:c r="J217" s="48"/>
      <x:c r="K217" s="48"/>
      <x:c r="L217" s="48"/>
      <x:c r="M217" s="48"/>
      <x:c r="N217" s="48"/>
      <x:c r="O217" s="48"/>
      <x:c r="P217" s="48"/>
      <x:c r="Q217" s="48"/>
      <x:c r="R217" s="48"/>
      <x:c r="S217" s="48"/>
      <x:c r="T217" s="48"/>
      <x:c r="U217" s="48"/>
      <x:c r="V217" s="48"/>
      <x:c r="W217" s="48"/>
      <x:c r="X217" s="48"/>
      <x:c r="Y217" s="48"/>
      <x:c r="Z217" s="48"/>
    </x:row>
    <x:row r="218">
      <x:c r="A218" s="48"/>
      <x:c r="B218" s="48"/>
      <x:c r="C218" s="48"/>
      <x:c r="D218" s="48"/>
      <x:c r="E218" s="48"/>
      <x:c r="F218" s="48"/>
      <x:c r="G218" s="48"/>
      <x:c r="H218" s="48"/>
      <x:c r="I218" s="48"/>
      <x:c r="J218" s="48"/>
      <x:c r="K218" s="48"/>
      <x:c r="L218" s="48"/>
      <x:c r="M218" s="48"/>
      <x:c r="N218" s="48"/>
      <x:c r="O218" s="48"/>
      <x:c r="P218" s="48"/>
      <x:c r="Q218" s="48"/>
      <x:c r="R218" s="48"/>
      <x:c r="S218" s="48"/>
      <x:c r="T218" s="48"/>
      <x:c r="U218" s="48"/>
      <x:c r="V218" s="48"/>
      <x:c r="W218" s="48"/>
      <x:c r="X218" s="48"/>
      <x:c r="Y218" s="48"/>
      <x:c r="Z218" s="48"/>
    </x:row>
    <x:row r="219">
      <x:c r="A219" s="48"/>
      <x:c r="B219" s="48"/>
      <x:c r="C219" s="48"/>
      <x:c r="D219" s="48"/>
      <x:c r="E219" s="48"/>
      <x:c r="F219" s="48"/>
      <x:c r="G219" s="48"/>
      <x:c r="H219" s="48"/>
      <x:c r="I219" s="48"/>
      <x:c r="J219" s="48"/>
      <x:c r="K219" s="48"/>
      <x:c r="L219" s="48"/>
      <x:c r="M219" s="48"/>
      <x:c r="N219" s="48"/>
      <x:c r="O219" s="48"/>
      <x:c r="P219" s="48"/>
      <x:c r="Q219" s="48"/>
      <x:c r="R219" s="48"/>
      <x:c r="S219" s="48"/>
      <x:c r="T219" s="48"/>
      <x:c r="U219" s="48"/>
      <x:c r="V219" s="48"/>
      <x:c r="W219" s="48"/>
      <x:c r="X219" s="48"/>
      <x:c r="Y219" s="48"/>
      <x:c r="Z219" s="48"/>
    </x:row>
    <x:row r="220">
      <x:c r="A220" s="48"/>
      <x:c r="B220" s="48"/>
      <x:c r="C220" s="48"/>
      <x:c r="D220" s="48"/>
      <x:c r="E220" s="48"/>
      <x:c r="F220" s="48"/>
      <x:c r="G220" s="48"/>
      <x:c r="H220" s="48"/>
      <x:c r="I220" s="48"/>
      <x:c r="J220" s="48"/>
      <x:c r="K220" s="48"/>
      <x:c r="L220" s="48"/>
      <x:c r="M220" s="48"/>
      <x:c r="N220" s="48"/>
      <x:c r="O220" s="48"/>
      <x:c r="P220" s="48"/>
      <x:c r="Q220" s="48"/>
      <x:c r="R220" s="48"/>
      <x:c r="S220" s="48"/>
      <x:c r="T220" s="48"/>
      <x:c r="U220" s="48"/>
      <x:c r="V220" s="48"/>
      <x:c r="W220" s="48"/>
      <x:c r="X220" s="48"/>
      <x:c r="Y220" s="48"/>
      <x:c r="Z220" s="48"/>
    </x:row>
    <x:row r="221">
      <x:c r="A221" s="48"/>
      <x:c r="B221" s="48"/>
      <x:c r="C221" s="48"/>
      <x:c r="D221" s="48"/>
      <x:c r="E221" s="48"/>
      <x:c r="F221" s="48"/>
      <x:c r="G221" s="48"/>
      <x:c r="H221" s="48"/>
      <x:c r="I221" s="48"/>
      <x:c r="J221" s="48"/>
      <x:c r="K221" s="48"/>
      <x:c r="L221" s="48"/>
      <x:c r="M221" s="48"/>
      <x:c r="N221" s="48"/>
      <x:c r="O221" s="48"/>
      <x:c r="P221" s="48"/>
      <x:c r="Q221" s="48"/>
      <x:c r="R221" s="48"/>
      <x:c r="S221" s="48"/>
      <x:c r="T221" s="48"/>
      <x:c r="U221" s="48"/>
      <x:c r="V221" s="48"/>
      <x:c r="W221" s="48"/>
      <x:c r="X221" s="48"/>
      <x:c r="Y221" s="48"/>
      <x:c r="Z221" s="48"/>
    </x:row>
    <x:row r="222">
      <x:c r="A222" s="48"/>
      <x:c r="B222" s="48"/>
      <x:c r="C222" s="48"/>
      <x:c r="D222" s="48"/>
      <x:c r="E222" s="48"/>
      <x:c r="F222" s="48"/>
      <x:c r="G222" s="48"/>
      <x:c r="H222" s="48"/>
      <x:c r="I222" s="48"/>
      <x:c r="J222" s="48"/>
      <x:c r="K222" s="48"/>
      <x:c r="L222" s="48"/>
      <x:c r="M222" s="48"/>
      <x:c r="N222" s="48"/>
      <x:c r="O222" s="48"/>
      <x:c r="P222" s="48"/>
      <x:c r="Q222" s="48"/>
      <x:c r="R222" s="48"/>
      <x:c r="S222" s="48"/>
      <x:c r="T222" s="48"/>
      <x:c r="U222" s="48"/>
      <x:c r="V222" s="48"/>
      <x:c r="W222" s="48"/>
      <x:c r="X222" s="48"/>
      <x:c r="Y222" s="48"/>
      <x:c r="Z222" s="48"/>
    </x:row>
    <x:row r="223">
      <x:c r="A223" s="48"/>
      <x:c r="B223" s="48"/>
      <x:c r="C223" s="48"/>
      <x:c r="D223" s="48"/>
      <x:c r="E223" s="48"/>
      <x:c r="F223" s="48"/>
      <x:c r="G223" s="48"/>
      <x:c r="H223" s="48"/>
      <x:c r="I223" s="48"/>
      <x:c r="J223" s="48"/>
      <x:c r="K223" s="48"/>
      <x:c r="L223" s="48"/>
      <x:c r="M223" s="48"/>
      <x:c r="N223" s="48"/>
      <x:c r="O223" s="48"/>
      <x:c r="P223" s="48"/>
      <x:c r="Q223" s="48"/>
      <x:c r="R223" s="48"/>
      <x:c r="S223" s="48"/>
      <x:c r="T223" s="48"/>
      <x:c r="U223" s="48"/>
      <x:c r="V223" s="48"/>
      <x:c r="W223" s="48"/>
      <x:c r="X223" s="48"/>
      <x:c r="Y223" s="48"/>
      <x:c r="Z223" s="48"/>
    </x:row>
    <x:row r="224">
      <x:c r="A224" s="48"/>
      <x:c r="B224" s="48"/>
      <x:c r="C224" s="48"/>
      <x:c r="D224" s="48"/>
      <x:c r="E224" s="48"/>
      <x:c r="F224" s="48"/>
      <x:c r="G224" s="48"/>
      <x:c r="H224" s="48"/>
      <x:c r="I224" s="48"/>
      <x:c r="J224" s="48"/>
      <x:c r="K224" s="48"/>
      <x:c r="L224" s="48"/>
      <x:c r="M224" s="48"/>
      <x:c r="N224" s="48"/>
      <x:c r="O224" s="48"/>
      <x:c r="P224" s="48"/>
      <x:c r="Q224" s="48"/>
      <x:c r="R224" s="48"/>
      <x:c r="S224" s="48"/>
      <x:c r="T224" s="48"/>
      <x:c r="U224" s="48"/>
      <x:c r="V224" s="48"/>
      <x:c r="W224" s="48"/>
      <x:c r="X224" s="48"/>
      <x:c r="Y224" s="48"/>
      <x:c r="Z224" s="48"/>
    </x:row>
    <x:row r="225">
      <x:c r="A225" s="48"/>
      <x:c r="B225" s="48"/>
      <x:c r="C225" s="48"/>
      <x:c r="D225" s="48"/>
      <x:c r="E225" s="48"/>
      <x:c r="F225" s="48"/>
      <x:c r="G225" s="48"/>
      <x:c r="H225" s="48"/>
      <x:c r="I225" s="48"/>
      <x:c r="J225" s="48"/>
      <x:c r="K225" s="48"/>
      <x:c r="L225" s="48"/>
      <x:c r="M225" s="48"/>
      <x:c r="N225" s="48"/>
      <x:c r="O225" s="48"/>
      <x:c r="P225" s="48"/>
      <x:c r="Q225" s="48"/>
      <x:c r="R225" s="48"/>
      <x:c r="S225" s="48"/>
      <x:c r="T225" s="48"/>
      <x:c r="U225" s="48"/>
      <x:c r="V225" s="48"/>
      <x:c r="W225" s="48"/>
      <x:c r="X225" s="48"/>
      <x:c r="Y225" s="48"/>
      <x:c r="Z225" s="48"/>
    </x:row>
    <x:row r="226">
      <x:c r="A226" s="48"/>
      <x:c r="B226" s="48"/>
      <x:c r="C226" s="48"/>
      <x:c r="D226" s="48"/>
      <x:c r="E226" s="48"/>
      <x:c r="F226" s="48"/>
      <x:c r="G226" s="48"/>
      <x:c r="H226" s="48"/>
      <x:c r="I226" s="48"/>
      <x:c r="J226" s="48"/>
      <x:c r="K226" s="48"/>
      <x:c r="L226" s="48"/>
      <x:c r="M226" s="48"/>
      <x:c r="N226" s="48"/>
      <x:c r="O226" s="48"/>
      <x:c r="P226" s="48"/>
      <x:c r="Q226" s="48"/>
      <x:c r="R226" s="48"/>
      <x:c r="S226" s="48"/>
      <x:c r="T226" s="48"/>
      <x:c r="U226" s="48"/>
      <x:c r="V226" s="48"/>
      <x:c r="W226" s="48"/>
      <x:c r="X226" s="48"/>
      <x:c r="Y226" s="48"/>
      <x:c r="Z226" s="48"/>
    </x:row>
    <x:row r="227">
      <x:c r="A227" s="48"/>
      <x:c r="B227" s="48"/>
      <x:c r="C227" s="48"/>
      <x:c r="D227" s="48"/>
      <x:c r="E227" s="48"/>
      <x:c r="F227" s="48"/>
      <x:c r="G227" s="48"/>
      <x:c r="H227" s="48"/>
      <x:c r="I227" s="48"/>
      <x:c r="J227" s="48"/>
      <x:c r="K227" s="48"/>
      <x:c r="L227" s="48"/>
      <x:c r="M227" s="48"/>
      <x:c r="N227" s="48"/>
      <x:c r="O227" s="48"/>
      <x:c r="P227" s="48"/>
      <x:c r="Q227" s="48"/>
      <x:c r="R227" s="48"/>
      <x:c r="S227" s="48"/>
      <x:c r="T227" s="48"/>
      <x:c r="U227" s="48"/>
      <x:c r="V227" s="48"/>
      <x:c r="W227" s="48"/>
      <x:c r="X227" s="48"/>
      <x:c r="Y227" s="48"/>
      <x:c r="Z227" s="48"/>
    </x:row>
    <x:row r="228">
      <x:c r="A228" s="48"/>
      <x:c r="B228" s="48"/>
      <x:c r="C228" s="48"/>
      <x:c r="D228" s="48"/>
      <x:c r="E228" s="48"/>
      <x:c r="F228" s="48"/>
      <x:c r="G228" s="48"/>
      <x:c r="H228" s="48"/>
      <x:c r="I228" s="48"/>
      <x:c r="J228" s="48"/>
      <x:c r="K228" s="48"/>
      <x:c r="L228" s="48"/>
      <x:c r="M228" s="48"/>
      <x:c r="N228" s="48"/>
      <x:c r="O228" s="48"/>
      <x:c r="P228" s="48"/>
      <x:c r="Q228" s="48"/>
      <x:c r="R228" s="48"/>
      <x:c r="S228" s="48"/>
      <x:c r="T228" s="48"/>
      <x:c r="U228" s="48"/>
      <x:c r="V228" s="48"/>
      <x:c r="W228" s="48"/>
      <x:c r="X228" s="48"/>
      <x:c r="Y228" s="48"/>
      <x:c r="Z228" s="48"/>
    </x:row>
    <x:row r="229">
      <x:c r="A229" s="48"/>
      <x:c r="B229" s="48"/>
      <x:c r="C229" s="48"/>
      <x:c r="D229" s="48"/>
      <x:c r="E229" s="48"/>
      <x:c r="F229" s="48"/>
      <x:c r="G229" s="48"/>
      <x:c r="H229" s="48"/>
      <x:c r="I229" s="48"/>
      <x:c r="J229" s="48"/>
      <x:c r="K229" s="48"/>
      <x:c r="L229" s="48"/>
      <x:c r="M229" s="48"/>
      <x:c r="N229" s="48"/>
      <x:c r="O229" s="48"/>
      <x:c r="P229" s="48"/>
      <x:c r="Q229" s="48"/>
      <x:c r="R229" s="48"/>
      <x:c r="S229" s="48"/>
      <x:c r="T229" s="48"/>
      <x:c r="U229" s="48"/>
      <x:c r="V229" s="48"/>
      <x:c r="W229" s="48"/>
      <x:c r="X229" s="48"/>
      <x:c r="Y229" s="48"/>
      <x:c r="Z229" s="48"/>
    </x:row>
    <x:row r="230">
      <x:c r="A230" s="48"/>
      <x:c r="B230" s="48"/>
      <x:c r="C230" s="48"/>
      <x:c r="D230" s="48"/>
      <x:c r="E230" s="48"/>
      <x:c r="F230" s="48"/>
      <x:c r="G230" s="48"/>
      <x:c r="H230" s="48"/>
      <x:c r="I230" s="48"/>
      <x:c r="J230" s="48"/>
      <x:c r="K230" s="48"/>
      <x:c r="L230" s="48"/>
      <x:c r="M230" s="48"/>
      <x:c r="N230" s="48"/>
      <x:c r="O230" s="48"/>
      <x:c r="P230" s="48"/>
      <x:c r="Q230" s="48"/>
      <x:c r="R230" s="48"/>
      <x:c r="S230" s="48"/>
      <x:c r="T230" s="48"/>
      <x:c r="U230" s="48"/>
      <x:c r="V230" s="48"/>
      <x:c r="W230" s="48"/>
      <x:c r="X230" s="48"/>
      <x:c r="Y230" s="48"/>
      <x:c r="Z230" s="48"/>
    </x:row>
    <x:row r="231">
      <x:c r="A231" s="48"/>
      <x:c r="B231" s="48"/>
      <x:c r="C231" s="48"/>
      <x:c r="D231" s="48"/>
      <x:c r="E231" s="48"/>
      <x:c r="F231" s="48"/>
      <x:c r="G231" s="48"/>
      <x:c r="H231" s="48"/>
      <x:c r="I231" s="48"/>
      <x:c r="J231" s="48"/>
      <x:c r="K231" s="48"/>
      <x:c r="L231" s="48"/>
      <x:c r="M231" s="48"/>
      <x:c r="N231" s="48"/>
      <x:c r="O231" s="48"/>
      <x:c r="P231" s="48"/>
      <x:c r="Q231" s="48"/>
      <x:c r="R231" s="48"/>
      <x:c r="S231" s="48"/>
      <x:c r="T231" s="48"/>
      <x:c r="U231" s="48"/>
      <x:c r="V231" s="48"/>
      <x:c r="W231" s="48"/>
      <x:c r="X231" s="48"/>
      <x:c r="Y231" s="48"/>
      <x:c r="Z231" s="48"/>
    </x:row>
    <x:row r="232">
      <x:c r="A232" s="48"/>
      <x:c r="B232" s="48"/>
      <x:c r="C232" s="48"/>
      <x:c r="D232" s="48"/>
      <x:c r="E232" s="48"/>
      <x:c r="F232" s="48"/>
      <x:c r="G232" s="48"/>
      <x:c r="H232" s="48"/>
      <x:c r="I232" s="48"/>
      <x:c r="J232" s="48"/>
      <x:c r="K232" s="48"/>
      <x:c r="L232" s="48"/>
      <x:c r="M232" s="48"/>
      <x:c r="N232" s="48"/>
      <x:c r="O232" s="48"/>
      <x:c r="P232" s="48"/>
      <x:c r="Q232" s="48"/>
      <x:c r="R232" s="48"/>
      <x:c r="S232" s="48"/>
      <x:c r="T232" s="48"/>
      <x:c r="U232" s="48"/>
      <x:c r="V232" s="48"/>
      <x:c r="W232" s="48"/>
      <x:c r="X232" s="48"/>
      <x:c r="Y232" s="48"/>
      <x:c r="Z232" s="48"/>
    </x:row>
    <x:row r="233">
      <x:c r="A233" s="48"/>
      <x:c r="B233" s="48"/>
      <x:c r="C233" s="48"/>
      <x:c r="D233" s="48"/>
      <x:c r="E233" s="48"/>
      <x:c r="F233" s="48"/>
      <x:c r="G233" s="48"/>
      <x:c r="H233" s="48"/>
      <x:c r="I233" s="48"/>
      <x:c r="J233" s="48"/>
      <x:c r="K233" s="48"/>
      <x:c r="L233" s="48"/>
      <x:c r="M233" s="48"/>
      <x:c r="N233" s="48"/>
      <x:c r="O233" s="48"/>
      <x:c r="P233" s="48"/>
      <x:c r="Q233" s="48"/>
      <x:c r="R233" s="48"/>
      <x:c r="S233" s="48"/>
      <x:c r="T233" s="48"/>
      <x:c r="U233" s="48"/>
      <x:c r="V233" s="48"/>
      <x:c r="W233" s="48"/>
      <x:c r="X233" s="48"/>
      <x:c r="Y233" s="48"/>
      <x:c r="Z233" s="48"/>
    </x:row>
    <x:row r="234">
      <x:c r="A234" s="48"/>
      <x:c r="B234" s="48"/>
      <x:c r="C234" s="48"/>
      <x:c r="D234" s="48"/>
      <x:c r="E234" s="48"/>
      <x:c r="F234" s="48"/>
      <x:c r="G234" s="48"/>
      <x:c r="H234" s="48"/>
      <x:c r="I234" s="48"/>
      <x:c r="J234" s="48"/>
      <x:c r="K234" s="48"/>
      <x:c r="L234" s="48"/>
      <x:c r="M234" s="48"/>
      <x:c r="N234" s="48"/>
      <x:c r="O234" s="48"/>
      <x:c r="P234" s="48"/>
      <x:c r="Q234" s="48"/>
      <x:c r="R234" s="48"/>
      <x:c r="S234" s="48"/>
      <x:c r="T234" s="48"/>
      <x:c r="U234" s="48"/>
      <x:c r="V234" s="48"/>
      <x:c r="W234" s="48"/>
      <x:c r="X234" s="48"/>
      <x:c r="Y234" s="48"/>
      <x:c r="Z234" s="48"/>
    </x:row>
    <x:row r="235">
      <x:c r="A235" s="48"/>
      <x:c r="B235" s="48"/>
      <x:c r="C235" s="48"/>
      <x:c r="D235" s="48"/>
      <x:c r="E235" s="48"/>
      <x:c r="F235" s="48"/>
      <x:c r="G235" s="48"/>
      <x:c r="H235" s="48"/>
      <x:c r="I235" s="48"/>
      <x:c r="J235" s="48"/>
      <x:c r="K235" s="48"/>
      <x:c r="L235" s="48"/>
      <x:c r="M235" s="48"/>
      <x:c r="N235" s="48"/>
      <x:c r="O235" s="48"/>
      <x:c r="P235" s="48"/>
      <x:c r="Q235" s="48"/>
      <x:c r="R235" s="48"/>
      <x:c r="S235" s="48"/>
      <x:c r="T235" s="48"/>
      <x:c r="U235" s="48"/>
      <x:c r="V235" s="48"/>
      <x:c r="W235" s="48"/>
      <x:c r="X235" s="48"/>
      <x:c r="Y235" s="48"/>
      <x:c r="Z235" s="48"/>
    </x:row>
    <x:row r="236">
      <x:c r="A236" s="48"/>
      <x:c r="B236" s="48"/>
      <x:c r="C236" s="48"/>
      <x:c r="D236" s="48"/>
      <x:c r="E236" s="48"/>
      <x:c r="F236" s="48"/>
      <x:c r="G236" s="48"/>
      <x:c r="H236" s="48"/>
      <x:c r="I236" s="48"/>
      <x:c r="J236" s="48"/>
      <x:c r="K236" s="48"/>
      <x:c r="L236" s="48"/>
      <x:c r="M236" s="48"/>
      <x:c r="N236" s="48"/>
      <x:c r="O236" s="48"/>
      <x:c r="P236" s="48"/>
      <x:c r="Q236" s="48"/>
      <x:c r="R236" s="48"/>
      <x:c r="S236" s="48"/>
      <x:c r="T236" s="48"/>
      <x:c r="U236" s="48"/>
      <x:c r="V236" s="48"/>
      <x:c r="W236" s="48"/>
      <x:c r="X236" s="48"/>
      <x:c r="Y236" s="48"/>
      <x:c r="Z236" s="48"/>
    </x:row>
    <x:row r="237">
      <x:c r="A237" s="48"/>
      <x:c r="B237" s="48"/>
      <x:c r="C237" s="48"/>
      <x:c r="D237" s="48"/>
      <x:c r="E237" s="48"/>
      <x:c r="F237" s="48"/>
      <x:c r="G237" s="48"/>
      <x:c r="H237" s="48"/>
      <x:c r="I237" s="48"/>
      <x:c r="J237" s="48"/>
      <x:c r="K237" s="48"/>
      <x:c r="L237" s="48"/>
      <x:c r="M237" s="48"/>
      <x:c r="N237" s="48"/>
      <x:c r="O237" s="48"/>
      <x:c r="P237" s="48"/>
      <x:c r="Q237" s="48"/>
      <x:c r="R237" s="48"/>
      <x:c r="S237" s="48"/>
      <x:c r="T237" s="48"/>
      <x:c r="U237" s="48"/>
      <x:c r="V237" s="48"/>
      <x:c r="W237" s="48"/>
      <x:c r="X237" s="48"/>
      <x:c r="Y237" s="48"/>
      <x:c r="Z237" s="48"/>
    </x:row>
    <x:row r="238">
      <x:c r="A238" s="48"/>
      <x:c r="B238" s="48"/>
      <x:c r="C238" s="48"/>
      <x:c r="D238" s="48"/>
      <x:c r="E238" s="48"/>
      <x:c r="F238" s="48"/>
      <x:c r="G238" s="48"/>
      <x:c r="H238" s="48"/>
      <x:c r="I238" s="48"/>
      <x:c r="J238" s="48"/>
      <x:c r="K238" s="48"/>
      <x:c r="L238" s="48"/>
      <x:c r="M238" s="48"/>
      <x:c r="N238" s="48"/>
      <x:c r="O238" s="48"/>
      <x:c r="P238" s="48"/>
      <x:c r="Q238" s="48"/>
      <x:c r="R238" s="48"/>
      <x:c r="S238" s="48"/>
      <x:c r="T238" s="48"/>
      <x:c r="U238" s="48"/>
      <x:c r="V238" s="48"/>
      <x:c r="W238" s="48"/>
      <x:c r="X238" s="48"/>
      <x:c r="Y238" s="48"/>
      <x:c r="Z238" s="48"/>
    </x:row>
    <x:row r="239">
      <x:c r="A239" s="48"/>
      <x:c r="B239" s="48"/>
      <x:c r="C239" s="48"/>
      <x:c r="D239" s="48"/>
      <x:c r="E239" s="48"/>
      <x:c r="F239" s="48"/>
      <x:c r="G239" s="48"/>
      <x:c r="H239" s="48"/>
      <x:c r="I239" s="48"/>
      <x:c r="J239" s="48"/>
      <x:c r="K239" s="48"/>
      <x:c r="L239" s="48"/>
      <x:c r="M239" s="48"/>
      <x:c r="N239" s="48"/>
      <x:c r="O239" s="48"/>
      <x:c r="P239" s="48"/>
      <x:c r="Q239" s="48"/>
      <x:c r="R239" s="48"/>
      <x:c r="S239" s="48"/>
      <x:c r="T239" s="48"/>
      <x:c r="U239" s="48"/>
      <x:c r="V239" s="48"/>
      <x:c r="W239" s="48"/>
      <x:c r="X239" s="48"/>
      <x:c r="Y239" s="48"/>
      <x:c r="Z239" s="48"/>
    </x:row>
    <x:row r="240">
      <x:c r="A240" s="48"/>
      <x:c r="B240" s="48"/>
      <x:c r="C240" s="48"/>
      <x:c r="D240" s="48"/>
      <x:c r="E240" s="48"/>
      <x:c r="F240" s="48"/>
      <x:c r="G240" s="48"/>
      <x:c r="H240" s="48"/>
      <x:c r="I240" s="48"/>
      <x:c r="J240" s="48"/>
      <x:c r="K240" s="48"/>
      <x:c r="L240" s="48"/>
      <x:c r="M240" s="48"/>
      <x:c r="N240" s="48"/>
      <x:c r="O240" s="48"/>
      <x:c r="P240" s="48"/>
      <x:c r="Q240" s="48"/>
      <x:c r="R240" s="48"/>
      <x:c r="S240" s="48"/>
      <x:c r="T240" s="48"/>
      <x:c r="U240" s="48"/>
      <x:c r="V240" s="48"/>
      <x:c r="W240" s="48"/>
      <x:c r="X240" s="48"/>
      <x:c r="Y240" s="48"/>
      <x:c r="Z240" s="48"/>
    </x:row>
    <x:row r="241">
      <x:c r="A241" s="48"/>
      <x:c r="B241" s="48"/>
      <x:c r="C241" s="48"/>
      <x:c r="D241" s="48"/>
      <x:c r="E241" s="48"/>
      <x:c r="F241" s="48"/>
      <x:c r="G241" s="48"/>
      <x:c r="H241" s="48"/>
      <x:c r="I241" s="48"/>
      <x:c r="J241" s="48"/>
      <x:c r="K241" s="48"/>
      <x:c r="L241" s="48"/>
      <x:c r="M241" s="48"/>
      <x:c r="N241" s="48"/>
      <x:c r="O241" s="48"/>
      <x:c r="P241" s="48"/>
      <x:c r="Q241" s="48"/>
      <x:c r="R241" s="48"/>
      <x:c r="S241" s="48"/>
      <x:c r="T241" s="48"/>
      <x:c r="U241" s="48"/>
      <x:c r="V241" s="48"/>
      <x:c r="W241" s="48"/>
      <x:c r="X241" s="48"/>
      <x:c r="Y241" s="48"/>
      <x:c r="Z241" s="48"/>
    </x:row>
    <x:row r="242">
      <x:c r="A242" s="48"/>
      <x:c r="B242" s="48"/>
      <x:c r="C242" s="48"/>
      <x:c r="D242" s="48"/>
      <x:c r="E242" s="48"/>
      <x:c r="F242" s="48"/>
      <x:c r="G242" s="48"/>
      <x:c r="H242" s="48"/>
      <x:c r="I242" s="48"/>
      <x:c r="J242" s="48"/>
      <x:c r="K242" s="48"/>
      <x:c r="L242" s="48"/>
      <x:c r="M242" s="48"/>
      <x:c r="N242" s="48"/>
      <x:c r="O242" s="48"/>
      <x:c r="P242" s="48"/>
      <x:c r="Q242" s="48"/>
      <x:c r="R242" s="48"/>
      <x:c r="S242" s="48"/>
      <x:c r="T242" s="48"/>
      <x:c r="U242" s="48"/>
      <x:c r="V242" s="48"/>
      <x:c r="W242" s="48"/>
      <x:c r="X242" s="48"/>
      <x:c r="Y242" s="48"/>
      <x:c r="Z242" s="48"/>
    </x:row>
    <x:row r="243">
      <x:c r="A243" s="48"/>
      <x:c r="B243" s="48"/>
      <x:c r="C243" s="48"/>
      <x:c r="D243" s="48"/>
      <x:c r="E243" s="48"/>
      <x:c r="F243" s="48"/>
      <x:c r="G243" s="48"/>
      <x:c r="H243" s="48"/>
      <x:c r="I243" s="48"/>
      <x:c r="J243" s="48"/>
      <x:c r="K243" s="48"/>
      <x:c r="L243" s="48"/>
      <x:c r="M243" s="48"/>
      <x:c r="N243" s="48"/>
      <x:c r="O243" s="48"/>
      <x:c r="P243" s="48"/>
      <x:c r="Q243" s="48"/>
      <x:c r="R243" s="48"/>
      <x:c r="S243" s="48"/>
      <x:c r="T243" s="48"/>
      <x:c r="U243" s="48"/>
      <x:c r="V243" s="48"/>
      <x:c r="W243" s="48"/>
      <x:c r="X243" s="48"/>
      <x:c r="Y243" s="48"/>
      <x:c r="Z243" s="48"/>
    </x:row>
    <x:row r="244">
      <x:c r="A244" s="48"/>
      <x:c r="B244" s="48"/>
      <x:c r="C244" s="48"/>
      <x:c r="D244" s="48"/>
      <x:c r="E244" s="48"/>
      <x:c r="F244" s="48"/>
      <x:c r="G244" s="48"/>
      <x:c r="H244" s="48"/>
      <x:c r="I244" s="48"/>
      <x:c r="J244" s="48"/>
      <x:c r="K244" s="48"/>
      <x:c r="L244" s="48"/>
      <x:c r="M244" s="48"/>
      <x:c r="N244" s="48"/>
      <x:c r="O244" s="48"/>
      <x:c r="P244" s="48"/>
      <x:c r="Q244" s="48"/>
      <x:c r="R244" s="48"/>
      <x:c r="S244" s="48"/>
      <x:c r="T244" s="48"/>
      <x:c r="U244" s="48"/>
      <x:c r="V244" s="48"/>
      <x:c r="W244" s="48"/>
      <x:c r="X244" s="48"/>
      <x:c r="Y244" s="48"/>
      <x:c r="Z244" s="48"/>
    </x:row>
    <x:row r="245">
      <x:c r="A245" s="48"/>
      <x:c r="B245" s="48"/>
      <x:c r="C245" s="48"/>
      <x:c r="D245" s="48"/>
      <x:c r="E245" s="48"/>
      <x:c r="F245" s="48"/>
      <x:c r="G245" s="48"/>
      <x:c r="H245" s="48"/>
      <x:c r="I245" s="48"/>
      <x:c r="J245" s="48"/>
      <x:c r="K245" s="48"/>
      <x:c r="L245" s="48"/>
      <x:c r="M245" s="48"/>
      <x:c r="N245" s="48"/>
      <x:c r="O245" s="48"/>
      <x:c r="P245" s="48"/>
      <x:c r="Q245" s="48"/>
      <x:c r="R245" s="48"/>
      <x:c r="S245" s="48"/>
      <x:c r="T245" s="48"/>
      <x:c r="U245" s="48"/>
      <x:c r="V245" s="48"/>
      <x:c r="W245" s="48"/>
      <x:c r="X245" s="48"/>
      <x:c r="Y245" s="48"/>
      <x:c r="Z245" s="48"/>
    </x:row>
    <x:row r="246">
      <x:c r="A246" s="48"/>
      <x:c r="B246" s="48"/>
      <x:c r="C246" s="48"/>
      <x:c r="D246" s="48"/>
      <x:c r="E246" s="48"/>
      <x:c r="F246" s="48"/>
      <x:c r="G246" s="48"/>
      <x:c r="H246" s="48"/>
      <x:c r="I246" s="48"/>
      <x:c r="J246" s="48"/>
      <x:c r="K246" s="48"/>
      <x:c r="L246" s="48"/>
      <x:c r="M246" s="48"/>
      <x:c r="N246" s="48"/>
      <x:c r="O246" s="48"/>
      <x:c r="P246" s="48"/>
      <x:c r="Q246" s="48"/>
      <x:c r="R246" s="48"/>
      <x:c r="S246" s="48"/>
      <x:c r="T246" s="48"/>
      <x:c r="U246" s="48"/>
      <x:c r="V246" s="48"/>
      <x:c r="W246" s="48"/>
      <x:c r="X246" s="48"/>
      <x:c r="Y246" s="48"/>
      <x:c r="Z246" s="48"/>
    </x:row>
    <x:row r="247">
      <x:c r="A247" s="48"/>
      <x:c r="B247" s="48"/>
      <x:c r="C247" s="48"/>
      <x:c r="D247" s="48"/>
      <x:c r="E247" s="48"/>
      <x:c r="F247" s="48"/>
      <x:c r="G247" s="48"/>
      <x:c r="H247" s="48"/>
      <x:c r="I247" s="48"/>
      <x:c r="J247" s="48"/>
      <x:c r="K247" s="48"/>
      <x:c r="L247" s="48"/>
      <x:c r="M247" s="48"/>
      <x:c r="N247" s="48"/>
      <x:c r="O247" s="48"/>
      <x:c r="P247" s="48"/>
      <x:c r="Q247" s="48"/>
      <x:c r="R247" s="48"/>
      <x:c r="S247" s="48"/>
      <x:c r="T247" s="48"/>
      <x:c r="U247" s="48"/>
      <x:c r="V247" s="48"/>
      <x:c r="W247" s="48"/>
      <x:c r="X247" s="48"/>
      <x:c r="Y247" s="48"/>
      <x:c r="Z247" s="48"/>
    </x:row>
    <x:row r="248">
      <x:c r="A248" s="48"/>
      <x:c r="B248" s="48"/>
      <x:c r="C248" s="48"/>
      <x:c r="D248" s="48"/>
      <x:c r="E248" s="48"/>
      <x:c r="F248" s="48"/>
      <x:c r="G248" s="48"/>
      <x:c r="H248" s="48"/>
      <x:c r="I248" s="48"/>
      <x:c r="J248" s="48"/>
      <x:c r="K248" s="48"/>
      <x:c r="L248" s="48"/>
      <x:c r="M248" s="48"/>
      <x:c r="N248" s="48"/>
      <x:c r="O248" s="48"/>
      <x:c r="P248" s="48"/>
      <x:c r="Q248" s="48"/>
      <x:c r="R248" s="48"/>
      <x:c r="S248" s="48"/>
      <x:c r="T248" s="48"/>
      <x:c r="U248" s="48"/>
      <x:c r="V248" s="48"/>
      <x:c r="W248" s="48"/>
      <x:c r="X248" s="48"/>
      <x:c r="Y248" s="48"/>
      <x:c r="Z248" s="48"/>
    </x:row>
    <x:row r="249">
      <x:c r="A249" s="48"/>
      <x:c r="B249" s="48"/>
      <x:c r="C249" s="48"/>
      <x:c r="D249" s="48"/>
      <x:c r="E249" s="48"/>
      <x:c r="F249" s="48"/>
      <x:c r="G249" s="48"/>
      <x:c r="H249" s="48"/>
      <x:c r="I249" s="48"/>
      <x:c r="J249" s="48"/>
      <x:c r="K249" s="48"/>
      <x:c r="L249" s="48"/>
      <x:c r="M249" s="48"/>
      <x:c r="N249" s="48"/>
      <x:c r="O249" s="48"/>
      <x:c r="P249" s="48"/>
      <x:c r="Q249" s="48"/>
      <x:c r="R249" s="48"/>
      <x:c r="S249" s="48"/>
      <x:c r="T249" s="48"/>
      <x:c r="U249" s="48"/>
      <x:c r="V249" s="48"/>
      <x:c r="W249" s="48"/>
      <x:c r="X249" s="48"/>
      <x:c r="Y249" s="48"/>
      <x:c r="Z249" s="48"/>
    </x:row>
    <x:row r="250">
      <x:c r="A250" s="48"/>
      <x:c r="B250" s="48"/>
      <x:c r="C250" s="48"/>
      <x:c r="D250" s="48"/>
      <x:c r="E250" s="48"/>
      <x:c r="F250" s="48"/>
      <x:c r="G250" s="48"/>
      <x:c r="H250" s="48"/>
      <x:c r="I250" s="48"/>
      <x:c r="J250" s="48"/>
      <x:c r="K250" s="48"/>
      <x:c r="L250" s="48"/>
      <x:c r="M250" s="48"/>
      <x:c r="N250" s="48"/>
      <x:c r="O250" s="48"/>
      <x:c r="P250" s="48"/>
      <x:c r="Q250" s="48"/>
      <x:c r="R250" s="48"/>
      <x:c r="S250" s="48"/>
      <x:c r="T250" s="48"/>
      <x:c r="U250" s="48"/>
      <x:c r="V250" s="48"/>
      <x:c r="W250" s="48"/>
      <x:c r="X250" s="48"/>
      <x:c r="Y250" s="48"/>
      <x:c r="Z250" s="48"/>
    </x:row>
    <x:row r="251">
      <x:c r="A251" s="48"/>
      <x:c r="B251" s="48"/>
      <x:c r="C251" s="48"/>
      <x:c r="D251" s="48"/>
      <x:c r="E251" s="48"/>
      <x:c r="F251" s="48"/>
      <x:c r="G251" s="48"/>
      <x:c r="H251" s="48"/>
      <x:c r="I251" s="48"/>
      <x:c r="J251" s="48"/>
      <x:c r="K251" s="48"/>
      <x:c r="L251" s="48"/>
      <x:c r="M251" s="48"/>
      <x:c r="N251" s="48"/>
      <x:c r="O251" s="48"/>
      <x:c r="P251" s="48"/>
      <x:c r="Q251" s="48"/>
      <x:c r="R251" s="48"/>
      <x:c r="S251" s="48"/>
      <x:c r="T251" s="48"/>
      <x:c r="U251" s="48"/>
      <x:c r="V251" s="48"/>
      <x:c r="W251" s="48"/>
      <x:c r="X251" s="48"/>
      <x:c r="Y251" s="48"/>
      <x:c r="Z251" s="48"/>
    </x:row>
    <x:row r="252">
      <x:c r="A252" s="48"/>
      <x:c r="B252" s="48"/>
      <x:c r="C252" s="48"/>
      <x:c r="D252" s="48"/>
      <x:c r="E252" s="48"/>
      <x:c r="F252" s="48"/>
      <x:c r="G252" s="48"/>
      <x:c r="H252" s="48"/>
      <x:c r="I252" s="48"/>
      <x:c r="J252" s="48"/>
      <x:c r="K252" s="48"/>
      <x:c r="L252" s="48"/>
      <x:c r="M252" s="48"/>
      <x:c r="N252" s="48"/>
      <x:c r="O252" s="48"/>
      <x:c r="P252" s="48"/>
      <x:c r="Q252" s="48"/>
      <x:c r="R252" s="48"/>
      <x:c r="S252" s="48"/>
      <x:c r="T252" s="48"/>
      <x:c r="U252" s="48"/>
      <x:c r="V252" s="48"/>
      <x:c r="W252" s="48"/>
      <x:c r="X252" s="48"/>
      <x:c r="Y252" s="48"/>
      <x:c r="Z252" s="48"/>
    </x:row>
    <x:row r="253">
      <x:c r="A253" s="48"/>
      <x:c r="B253" s="48"/>
      <x:c r="C253" s="48"/>
      <x:c r="D253" s="48"/>
      <x:c r="E253" s="48"/>
      <x:c r="F253" s="48"/>
      <x:c r="G253" s="48"/>
      <x:c r="H253" s="48"/>
      <x:c r="I253" s="48"/>
      <x:c r="J253" s="48"/>
      <x:c r="K253" s="48"/>
      <x:c r="L253" s="48"/>
      <x:c r="M253" s="48"/>
      <x:c r="N253" s="48"/>
      <x:c r="O253" s="48"/>
      <x:c r="P253" s="48"/>
      <x:c r="Q253" s="48"/>
      <x:c r="R253" s="48"/>
      <x:c r="S253" s="48"/>
      <x:c r="T253" s="48"/>
      <x:c r="U253" s="48"/>
      <x:c r="V253" s="48"/>
      <x:c r="W253" s="48"/>
      <x:c r="X253" s="48"/>
      <x:c r="Y253" s="48"/>
      <x:c r="Z253" s="48"/>
    </x:row>
    <x:row r="254">
      <x:c r="A254" s="48"/>
      <x:c r="B254" s="48"/>
      <x:c r="C254" s="48"/>
      <x:c r="D254" s="48"/>
      <x:c r="E254" s="48"/>
      <x:c r="F254" s="48"/>
      <x:c r="G254" s="48"/>
      <x:c r="H254" s="48"/>
      <x:c r="I254" s="48"/>
      <x:c r="J254" s="48"/>
      <x:c r="K254" s="48"/>
      <x:c r="L254" s="48"/>
      <x:c r="M254" s="48"/>
      <x:c r="N254" s="48"/>
      <x:c r="O254" s="48"/>
      <x:c r="P254" s="48"/>
      <x:c r="Q254" s="48"/>
      <x:c r="R254" s="48"/>
      <x:c r="S254" s="48"/>
      <x:c r="T254" s="48"/>
      <x:c r="U254" s="48"/>
      <x:c r="V254" s="48"/>
      <x:c r="W254" s="48"/>
      <x:c r="X254" s="48"/>
      <x:c r="Y254" s="48"/>
      <x:c r="Z254" s="48"/>
    </x:row>
    <x:row r="255">
      <x:c r="A255" s="48"/>
      <x:c r="B255" s="48"/>
      <x:c r="C255" s="48"/>
      <x:c r="D255" s="48"/>
      <x:c r="E255" s="48"/>
      <x:c r="F255" s="48"/>
      <x:c r="G255" s="48"/>
      <x:c r="H255" s="48"/>
      <x:c r="I255" s="48"/>
      <x:c r="J255" s="48"/>
      <x:c r="K255" s="48"/>
      <x:c r="L255" s="48"/>
      <x:c r="M255" s="48"/>
      <x:c r="N255" s="48"/>
      <x:c r="O255" s="48"/>
      <x:c r="P255" s="48"/>
      <x:c r="Q255" s="48"/>
      <x:c r="R255" s="48"/>
      <x:c r="S255" s="48"/>
      <x:c r="T255" s="48"/>
      <x:c r="U255" s="48"/>
      <x:c r="V255" s="48"/>
      <x:c r="W255" s="48"/>
      <x:c r="X255" s="48"/>
      <x:c r="Y255" s="48"/>
      <x:c r="Z255" s="48"/>
    </x:row>
    <x:row r="256">
      <x:c r="A256" s="48"/>
      <x:c r="B256" s="48"/>
      <x:c r="C256" s="48"/>
      <x:c r="D256" s="48"/>
      <x:c r="E256" s="48"/>
      <x:c r="F256" s="48"/>
      <x:c r="G256" s="48"/>
      <x:c r="H256" s="48"/>
      <x:c r="I256" s="48"/>
      <x:c r="J256" s="48"/>
      <x:c r="K256" s="48"/>
      <x:c r="L256" s="48"/>
      <x:c r="M256" s="48"/>
      <x:c r="N256" s="48"/>
      <x:c r="O256" s="48"/>
      <x:c r="P256" s="48"/>
      <x:c r="Q256" s="48"/>
      <x:c r="R256" s="48"/>
      <x:c r="S256" s="48"/>
      <x:c r="T256" s="48"/>
      <x:c r="U256" s="48"/>
      <x:c r="V256" s="48"/>
      <x:c r="W256" s="48"/>
      <x:c r="X256" s="48"/>
      <x:c r="Y256" s="48"/>
      <x:c r="Z256" s="48"/>
    </x:row>
    <x:row r="257">
      <x:c r="A257" s="48"/>
      <x:c r="B257" s="48"/>
      <x:c r="C257" s="48"/>
      <x:c r="D257" s="48"/>
      <x:c r="E257" s="48"/>
      <x:c r="F257" s="48"/>
      <x:c r="G257" s="48"/>
      <x:c r="H257" s="48"/>
      <x:c r="I257" s="48"/>
      <x:c r="J257" s="48"/>
      <x:c r="K257" s="48"/>
      <x:c r="L257" s="48"/>
      <x:c r="M257" s="48"/>
      <x:c r="N257" s="48"/>
      <x:c r="O257" s="48"/>
      <x:c r="P257" s="48"/>
      <x:c r="Q257" s="48"/>
      <x:c r="R257" s="48"/>
      <x:c r="S257" s="48"/>
      <x:c r="T257" s="48"/>
      <x:c r="U257" s="48"/>
      <x:c r="V257" s="48"/>
      <x:c r="W257" s="48"/>
      <x:c r="X257" s="48"/>
      <x:c r="Y257" s="48"/>
      <x:c r="Z257" s="48"/>
    </x:row>
    <x:row r="258">
      <x:c r="A258" s="48"/>
      <x:c r="B258" s="48"/>
      <x:c r="C258" s="48"/>
      <x:c r="D258" s="48"/>
      <x:c r="E258" s="48"/>
      <x:c r="F258" s="48"/>
      <x:c r="G258" s="48"/>
      <x:c r="H258" s="48"/>
      <x:c r="I258" s="48"/>
      <x:c r="J258" s="48"/>
      <x:c r="K258" s="48"/>
      <x:c r="L258" s="48"/>
      <x:c r="M258" s="48"/>
      <x:c r="N258" s="48"/>
      <x:c r="O258" s="48"/>
      <x:c r="P258" s="48"/>
      <x:c r="Q258" s="48"/>
      <x:c r="R258" s="48"/>
      <x:c r="S258" s="48"/>
      <x:c r="T258" s="48"/>
      <x:c r="U258" s="48"/>
      <x:c r="V258" s="48"/>
      <x:c r="W258" s="48"/>
      <x:c r="X258" s="48"/>
      <x:c r="Y258" s="48"/>
      <x:c r="Z258" s="48"/>
    </x:row>
    <x:row r="259">
      <x:c r="A259" s="48"/>
      <x:c r="B259" s="48"/>
      <x:c r="C259" s="48"/>
      <x:c r="D259" s="48"/>
      <x:c r="E259" s="48"/>
      <x:c r="F259" s="48"/>
      <x:c r="G259" s="48"/>
      <x:c r="H259" s="48"/>
      <x:c r="I259" s="48"/>
      <x:c r="J259" s="48"/>
      <x:c r="K259" s="48"/>
      <x:c r="L259" s="48"/>
      <x:c r="M259" s="48"/>
      <x:c r="N259" s="48"/>
      <x:c r="O259" s="48"/>
      <x:c r="P259" s="48"/>
      <x:c r="Q259" s="48"/>
      <x:c r="R259" s="48"/>
      <x:c r="S259" s="48"/>
      <x:c r="T259" s="48"/>
      <x:c r="U259" s="48"/>
      <x:c r="V259" s="48"/>
      <x:c r="W259" s="48"/>
      <x:c r="X259" s="48"/>
      <x:c r="Y259" s="48"/>
      <x:c r="Z259" s="48"/>
    </x:row>
    <x:row r="260">
      <x:c r="A260" s="48"/>
      <x:c r="B260" s="48"/>
      <x:c r="C260" s="48"/>
      <x:c r="D260" s="48"/>
      <x:c r="E260" s="48"/>
      <x:c r="F260" s="48"/>
      <x:c r="G260" s="48"/>
      <x:c r="H260" s="48"/>
      <x:c r="I260" s="48"/>
      <x:c r="J260" s="48"/>
      <x:c r="K260" s="48"/>
      <x:c r="L260" s="48"/>
      <x:c r="M260" s="48"/>
      <x:c r="N260" s="48"/>
      <x:c r="O260" s="48"/>
      <x:c r="P260" s="48"/>
      <x:c r="Q260" s="48"/>
      <x:c r="R260" s="48"/>
      <x:c r="S260" s="48"/>
      <x:c r="T260" s="48"/>
      <x:c r="U260" s="48"/>
      <x:c r="V260" s="48"/>
      <x:c r="W260" s="48"/>
      <x:c r="X260" s="48"/>
      <x:c r="Y260" s="48"/>
      <x:c r="Z260" s="48"/>
    </x:row>
    <x:row r="261">
      <x:c r="A261" s="48"/>
      <x:c r="B261" s="48"/>
      <x:c r="C261" s="48"/>
      <x:c r="D261" s="48"/>
      <x:c r="E261" s="48"/>
      <x:c r="F261" s="48"/>
      <x:c r="G261" s="48"/>
      <x:c r="H261" s="48"/>
      <x:c r="I261" s="48"/>
      <x:c r="J261" s="48"/>
      <x:c r="K261" s="48"/>
      <x:c r="L261" s="48"/>
      <x:c r="M261" s="48"/>
      <x:c r="N261" s="48"/>
      <x:c r="O261" s="48"/>
      <x:c r="P261" s="48"/>
      <x:c r="Q261" s="48"/>
      <x:c r="R261" s="48"/>
      <x:c r="S261" s="48"/>
      <x:c r="T261" s="48"/>
      <x:c r="U261" s="48"/>
      <x:c r="V261" s="48"/>
      <x:c r="W261" s="48"/>
      <x:c r="X261" s="48"/>
      <x:c r="Y261" s="48"/>
      <x:c r="Z261" s="48"/>
    </x:row>
    <x:row r="262">
      <x:c r="A262" s="48"/>
      <x:c r="B262" s="48"/>
      <x:c r="C262" s="48"/>
      <x:c r="D262" s="48"/>
      <x:c r="E262" s="48"/>
      <x:c r="F262" s="48"/>
      <x:c r="G262" s="48"/>
      <x:c r="H262" s="48"/>
      <x:c r="I262" s="48"/>
      <x:c r="J262" s="48"/>
      <x:c r="K262" s="48"/>
      <x:c r="L262" s="48"/>
      <x:c r="M262" s="48"/>
      <x:c r="N262" s="48"/>
      <x:c r="O262" s="48"/>
      <x:c r="P262" s="48"/>
      <x:c r="Q262" s="48"/>
      <x:c r="R262" s="48"/>
      <x:c r="S262" s="48"/>
      <x:c r="T262" s="48"/>
      <x:c r="U262" s="48"/>
      <x:c r="V262" s="48"/>
      <x:c r="W262" s="48"/>
      <x:c r="X262" s="48"/>
      <x:c r="Y262" s="48"/>
      <x:c r="Z262" s="48"/>
    </x:row>
    <x:row r="263">
      <x:c r="A263" s="48"/>
      <x:c r="B263" s="48"/>
      <x:c r="C263" s="48"/>
      <x:c r="D263" s="48"/>
      <x:c r="E263" s="48"/>
      <x:c r="F263" s="48"/>
      <x:c r="G263" s="48"/>
      <x:c r="H263" s="48"/>
      <x:c r="I263" s="48"/>
      <x:c r="J263" s="48"/>
      <x:c r="K263" s="48"/>
      <x:c r="L263" s="48"/>
      <x:c r="M263" s="48"/>
      <x:c r="N263" s="48"/>
      <x:c r="O263" s="48"/>
      <x:c r="P263" s="48"/>
      <x:c r="Q263" s="48"/>
      <x:c r="R263" s="48"/>
      <x:c r="S263" s="48"/>
      <x:c r="T263" s="48"/>
      <x:c r="U263" s="48"/>
      <x:c r="V263" s="48"/>
      <x:c r="W263" s="48"/>
      <x:c r="X263" s="48"/>
      <x:c r="Y263" s="48"/>
      <x:c r="Z263" s="48"/>
    </x:row>
    <x:row r="264">
      <x:c r="A264" s="48"/>
      <x:c r="B264" s="48"/>
      <x:c r="C264" s="48"/>
      <x:c r="D264" s="48"/>
      <x:c r="E264" s="48"/>
      <x:c r="F264" s="48"/>
      <x:c r="G264" s="48"/>
      <x:c r="H264" s="48"/>
      <x:c r="I264" s="48"/>
      <x:c r="J264" s="48"/>
      <x:c r="K264" s="48"/>
      <x:c r="L264" s="48"/>
      <x:c r="M264" s="48"/>
      <x:c r="N264" s="48"/>
      <x:c r="O264" s="48"/>
      <x:c r="P264" s="48"/>
      <x:c r="Q264" s="48"/>
      <x:c r="R264" s="48"/>
      <x:c r="S264" s="48"/>
      <x:c r="T264" s="48"/>
      <x:c r="U264" s="48"/>
      <x:c r="V264" s="48"/>
      <x:c r="W264" s="48"/>
      <x:c r="X264" s="48"/>
      <x:c r="Y264" s="48"/>
      <x:c r="Z264" s="48"/>
    </x:row>
    <x:row r="265">
      <x:c r="A265" s="48"/>
      <x:c r="B265" s="48"/>
      <x:c r="C265" s="48"/>
      <x:c r="D265" s="48"/>
      <x:c r="E265" s="48"/>
      <x:c r="F265" s="48"/>
      <x:c r="G265" s="48"/>
      <x:c r="H265" s="48"/>
      <x:c r="I265" s="48"/>
      <x:c r="J265" s="48"/>
      <x:c r="K265" s="48"/>
      <x:c r="L265" s="48"/>
      <x:c r="M265" s="48"/>
      <x:c r="N265" s="48"/>
      <x:c r="O265" s="48"/>
      <x:c r="P265" s="48"/>
      <x:c r="Q265" s="48"/>
      <x:c r="R265" s="48"/>
      <x:c r="S265" s="48"/>
      <x:c r="T265" s="48"/>
      <x:c r="U265" s="48"/>
      <x:c r="V265" s="48"/>
      <x:c r="W265" s="48"/>
      <x:c r="X265" s="48"/>
      <x:c r="Y265" s="48"/>
      <x:c r="Z265" s="48"/>
    </x:row>
    <x:row r="266">
      <x:c r="A266" s="48"/>
      <x:c r="B266" s="48"/>
      <x:c r="C266" s="48"/>
      <x:c r="D266" s="48"/>
      <x:c r="E266" s="48"/>
      <x:c r="F266" s="48"/>
      <x:c r="G266" s="48"/>
      <x:c r="H266" s="48"/>
      <x:c r="I266" s="48"/>
      <x:c r="J266" s="48"/>
      <x:c r="K266" s="48"/>
      <x:c r="L266" s="48"/>
      <x:c r="M266" s="48"/>
      <x:c r="N266" s="48"/>
      <x:c r="O266" s="48"/>
      <x:c r="P266" s="48"/>
      <x:c r="Q266" s="48"/>
      <x:c r="R266" s="48"/>
      <x:c r="S266" s="48"/>
      <x:c r="T266" s="48"/>
      <x:c r="U266" s="48"/>
      <x:c r="V266" s="48"/>
      <x:c r="W266" s="48"/>
      <x:c r="X266" s="48"/>
      <x:c r="Y266" s="48"/>
      <x:c r="Z266" s="48"/>
    </x:row>
    <x:row r="267">
      <x:c r="A267" s="48"/>
      <x:c r="B267" s="48"/>
      <x:c r="C267" s="48"/>
      <x:c r="D267" s="48"/>
      <x:c r="E267" s="48"/>
      <x:c r="F267" s="48"/>
      <x:c r="G267" s="48"/>
      <x:c r="H267" s="48"/>
      <x:c r="I267" s="48"/>
      <x:c r="J267" s="48"/>
      <x:c r="K267" s="48"/>
      <x:c r="L267" s="48"/>
      <x:c r="M267" s="48"/>
      <x:c r="N267" s="48"/>
      <x:c r="O267" s="48"/>
      <x:c r="P267" s="48"/>
      <x:c r="Q267" s="48"/>
      <x:c r="R267" s="48"/>
      <x:c r="S267" s="48"/>
      <x:c r="T267" s="48"/>
      <x:c r="U267" s="48"/>
      <x:c r="V267" s="48"/>
      <x:c r="W267" s="48"/>
      <x:c r="X267" s="48"/>
      <x:c r="Y267" s="48"/>
      <x:c r="Z267" s="48"/>
    </x:row>
    <x:row r="268">
      <x:c r="A268" s="48"/>
      <x:c r="B268" s="48"/>
      <x:c r="C268" s="48"/>
      <x:c r="D268" s="48"/>
      <x:c r="E268" s="48"/>
      <x:c r="F268" s="48"/>
      <x:c r="G268" s="48"/>
      <x:c r="H268" s="48"/>
      <x:c r="I268" s="48"/>
      <x:c r="J268" s="48"/>
      <x:c r="K268" s="48"/>
      <x:c r="L268" s="48"/>
      <x:c r="M268" s="48"/>
      <x:c r="N268" s="48"/>
      <x:c r="O268" s="48"/>
      <x:c r="P268" s="48"/>
      <x:c r="Q268" s="48"/>
      <x:c r="R268" s="48"/>
      <x:c r="S268" s="48"/>
      <x:c r="T268" s="48"/>
      <x:c r="U268" s="48"/>
      <x:c r="V268" s="48"/>
      <x:c r="W268" s="48"/>
      <x:c r="X268" s="48"/>
      <x:c r="Y268" s="48"/>
      <x:c r="Z268" s="48"/>
    </x:row>
    <x:row r="269">
      <x:c r="A269" s="48"/>
      <x:c r="B269" s="48"/>
      <x:c r="C269" s="48"/>
      <x:c r="D269" s="48"/>
      <x:c r="E269" s="48"/>
      <x:c r="F269" s="48"/>
      <x:c r="G269" s="48"/>
      <x:c r="H269" s="48"/>
      <x:c r="I269" s="48"/>
      <x:c r="J269" s="48"/>
      <x:c r="K269" s="48"/>
      <x:c r="L269" s="48"/>
      <x:c r="M269" s="48"/>
      <x:c r="N269" s="48"/>
      <x:c r="O269" s="48"/>
      <x:c r="P269" s="48"/>
      <x:c r="Q269" s="48"/>
      <x:c r="R269" s="48"/>
      <x:c r="S269" s="48"/>
      <x:c r="T269" s="48"/>
      <x:c r="U269" s="48"/>
      <x:c r="V269" s="48"/>
      <x:c r="W269" s="48"/>
      <x:c r="X269" s="48"/>
      <x:c r="Y269" s="48"/>
      <x:c r="Z269" s="48"/>
    </x:row>
    <x:row r="270">
      <x:c r="A270" s="48"/>
      <x:c r="B270" s="48"/>
      <x:c r="C270" s="48"/>
      <x:c r="D270" s="48"/>
      <x:c r="E270" s="48"/>
      <x:c r="F270" s="48"/>
      <x:c r="G270" s="48"/>
      <x:c r="H270" s="48"/>
      <x:c r="I270" s="48"/>
      <x:c r="J270" s="48"/>
      <x:c r="K270" s="48"/>
      <x:c r="L270" s="48"/>
      <x:c r="M270" s="48"/>
      <x:c r="N270" s="48"/>
      <x:c r="O270" s="48"/>
      <x:c r="P270" s="48"/>
      <x:c r="Q270" s="48"/>
      <x:c r="R270" s="48"/>
      <x:c r="S270" s="48"/>
      <x:c r="T270" s="48"/>
      <x:c r="U270" s="48"/>
      <x:c r="V270" s="48"/>
      <x:c r="W270" s="48"/>
      <x:c r="X270" s="48"/>
      <x:c r="Y270" s="48"/>
      <x:c r="Z270" s="48"/>
    </x:row>
    <x:row r="271">
      <x:c r="A271" s="48"/>
      <x:c r="B271" s="48"/>
      <x:c r="C271" s="48"/>
      <x:c r="D271" s="48"/>
      <x:c r="E271" s="48"/>
      <x:c r="F271" s="48"/>
      <x:c r="G271" s="48"/>
      <x:c r="H271" s="48"/>
      <x:c r="I271" s="48"/>
      <x:c r="J271" s="48"/>
      <x:c r="K271" s="48"/>
      <x:c r="L271" s="48"/>
      <x:c r="M271" s="48"/>
      <x:c r="N271" s="48"/>
      <x:c r="O271" s="48"/>
      <x:c r="P271" s="48"/>
      <x:c r="Q271" s="48"/>
      <x:c r="R271" s="48"/>
      <x:c r="S271" s="48"/>
      <x:c r="T271" s="48"/>
      <x:c r="U271" s="48"/>
      <x:c r="V271" s="48"/>
      <x:c r="W271" s="48"/>
      <x:c r="X271" s="48"/>
      <x:c r="Y271" s="48"/>
      <x:c r="Z271" s="48"/>
    </x:row>
    <x:row r="272">
      <x:c r="A272" s="48"/>
      <x:c r="B272" s="48"/>
      <x:c r="C272" s="48"/>
      <x:c r="D272" s="48"/>
      <x:c r="E272" s="48"/>
      <x:c r="F272" s="48"/>
      <x:c r="G272" s="48"/>
      <x:c r="H272" s="48"/>
      <x:c r="I272" s="48"/>
      <x:c r="J272" s="48"/>
      <x:c r="K272" s="48"/>
      <x:c r="L272" s="48"/>
      <x:c r="M272" s="48"/>
      <x:c r="N272" s="48"/>
      <x:c r="O272" s="48"/>
      <x:c r="P272" s="48"/>
      <x:c r="Q272" s="48"/>
      <x:c r="R272" s="48"/>
      <x:c r="S272" s="48"/>
      <x:c r="T272" s="48"/>
      <x:c r="U272" s="48"/>
      <x:c r="V272" s="48"/>
      <x:c r="W272" s="48"/>
      <x:c r="X272" s="48"/>
      <x:c r="Y272" s="48"/>
      <x:c r="Z272" s="48"/>
    </x:row>
    <x:row r="273">
      <x:c r="A273" s="48"/>
      <x:c r="B273" s="48"/>
      <x:c r="C273" s="48"/>
      <x:c r="D273" s="48"/>
      <x:c r="E273" s="48"/>
      <x:c r="F273" s="48"/>
      <x:c r="G273" s="48"/>
      <x:c r="H273" s="48"/>
      <x:c r="I273" s="48"/>
      <x:c r="J273" s="48"/>
      <x:c r="K273" s="48"/>
      <x:c r="L273" s="48"/>
      <x:c r="M273" s="48"/>
      <x:c r="N273" s="48"/>
      <x:c r="O273" s="48"/>
      <x:c r="P273" s="48"/>
      <x:c r="Q273" s="48"/>
      <x:c r="R273" s="48"/>
      <x:c r="S273" s="48"/>
      <x:c r="T273" s="48"/>
      <x:c r="U273" s="48"/>
      <x:c r="V273" s="48"/>
      <x:c r="W273" s="48"/>
      <x:c r="X273" s="48"/>
      <x:c r="Y273" s="48"/>
      <x:c r="Z273" s="48"/>
    </x:row>
    <x:row r="274">
      <x:c r="A274" s="48"/>
      <x:c r="B274" s="48"/>
      <x:c r="C274" s="48"/>
      <x:c r="D274" s="48"/>
      <x:c r="E274" s="48"/>
      <x:c r="F274" s="48"/>
      <x:c r="G274" s="48"/>
      <x:c r="H274" s="48"/>
      <x:c r="I274" s="48"/>
      <x:c r="J274" s="48"/>
      <x:c r="K274" s="48"/>
      <x:c r="L274" s="48"/>
      <x:c r="M274" s="48"/>
      <x:c r="N274" s="48"/>
      <x:c r="O274" s="48"/>
      <x:c r="P274" s="48"/>
      <x:c r="Q274" s="48"/>
      <x:c r="R274" s="48"/>
      <x:c r="S274" s="48"/>
      <x:c r="T274" s="48"/>
      <x:c r="U274" s="48"/>
      <x:c r="V274" s="48"/>
      <x:c r="W274" s="48"/>
      <x:c r="X274" s="48"/>
      <x:c r="Y274" s="48"/>
      <x:c r="Z274" s="48"/>
    </x:row>
    <x:row r="275">
      <x:c r="A275" s="48"/>
      <x:c r="B275" s="48"/>
      <x:c r="C275" s="48"/>
      <x:c r="D275" s="48"/>
      <x:c r="E275" s="48"/>
      <x:c r="F275" s="48"/>
      <x:c r="G275" s="48"/>
      <x:c r="H275" s="48"/>
      <x:c r="I275" s="48"/>
      <x:c r="J275" s="48"/>
      <x:c r="K275" s="48"/>
      <x:c r="L275" s="48"/>
      <x:c r="M275" s="48"/>
      <x:c r="N275" s="48"/>
      <x:c r="O275" s="48"/>
      <x:c r="P275" s="48"/>
      <x:c r="Q275" s="48"/>
      <x:c r="R275" s="48"/>
      <x:c r="S275" s="48"/>
      <x:c r="T275" s="48"/>
      <x:c r="U275" s="48"/>
      <x:c r="V275" s="48"/>
      <x:c r="W275" s="48"/>
      <x:c r="X275" s="48"/>
      <x:c r="Y275" s="48"/>
      <x:c r="Z275" s="48"/>
    </x:row>
    <x:row r="276">
      <x:c r="A276" s="48"/>
      <x:c r="B276" s="48"/>
      <x:c r="C276" s="48"/>
      <x:c r="D276" s="48"/>
      <x:c r="E276" s="48"/>
      <x:c r="F276" s="48"/>
      <x:c r="G276" s="48"/>
      <x:c r="H276" s="48"/>
      <x:c r="I276" s="48"/>
      <x:c r="J276" s="48"/>
      <x:c r="K276" s="48"/>
      <x:c r="L276" s="48"/>
      <x:c r="M276" s="48"/>
      <x:c r="N276" s="48"/>
      <x:c r="O276" s="48"/>
      <x:c r="P276" s="48"/>
      <x:c r="Q276" s="48"/>
      <x:c r="R276" s="48"/>
      <x:c r="S276" s="48"/>
      <x:c r="T276" s="48"/>
      <x:c r="U276" s="48"/>
      <x:c r="V276" s="48"/>
      <x:c r="W276" s="48"/>
      <x:c r="X276" s="48"/>
      <x:c r="Y276" s="48"/>
      <x:c r="Z276" s="48"/>
    </x:row>
    <x:row r="277">
      <x:c r="A277" s="48"/>
      <x:c r="B277" s="48"/>
      <x:c r="C277" s="48"/>
      <x:c r="D277" s="48"/>
      <x:c r="E277" s="48"/>
      <x:c r="F277" s="48"/>
      <x:c r="G277" s="48"/>
      <x:c r="H277" s="48"/>
      <x:c r="I277" s="48"/>
      <x:c r="J277" s="48"/>
      <x:c r="K277" s="48"/>
      <x:c r="L277" s="48"/>
      <x:c r="M277" s="48"/>
      <x:c r="N277" s="48"/>
      <x:c r="O277" s="48"/>
      <x:c r="P277" s="48"/>
      <x:c r="Q277" s="48"/>
      <x:c r="R277" s="48"/>
      <x:c r="S277" s="48"/>
      <x:c r="T277" s="48"/>
      <x:c r="U277" s="48"/>
      <x:c r="V277" s="48"/>
      <x:c r="W277" s="48"/>
      <x:c r="X277" s="48"/>
      <x:c r="Y277" s="48"/>
      <x:c r="Z277" s="48"/>
    </x:row>
    <x:row r="278">
      <x:c r="A278" s="48"/>
      <x:c r="B278" s="48"/>
      <x:c r="C278" s="48"/>
      <x:c r="D278" s="48"/>
      <x:c r="E278" s="48"/>
      <x:c r="F278" s="48"/>
      <x:c r="G278" s="48"/>
      <x:c r="H278" s="48"/>
      <x:c r="I278" s="48"/>
      <x:c r="J278" s="48"/>
      <x:c r="K278" s="48"/>
      <x:c r="L278" s="48"/>
      <x:c r="M278" s="48"/>
      <x:c r="N278" s="48"/>
      <x:c r="O278" s="48"/>
      <x:c r="P278" s="48"/>
      <x:c r="Q278" s="48"/>
      <x:c r="R278" s="48"/>
      <x:c r="S278" s="48"/>
      <x:c r="T278" s="48"/>
      <x:c r="U278" s="48"/>
      <x:c r="V278" s="48"/>
      <x:c r="W278" s="48"/>
      <x:c r="X278" s="48"/>
      <x:c r="Y278" s="48"/>
      <x:c r="Z278" s="48"/>
    </x:row>
    <x:row r="279">
      <x:c r="A279" s="48"/>
      <x:c r="B279" s="48"/>
      <x:c r="C279" s="48"/>
      <x:c r="D279" s="48"/>
      <x:c r="E279" s="48"/>
      <x:c r="F279" s="48"/>
      <x:c r="G279" s="48"/>
      <x:c r="H279" s="48"/>
      <x:c r="I279" s="48"/>
      <x:c r="J279" s="48"/>
      <x:c r="K279" s="48"/>
      <x:c r="L279" s="48"/>
      <x:c r="M279" s="48"/>
      <x:c r="N279" s="48"/>
      <x:c r="O279" s="48"/>
      <x:c r="P279" s="48"/>
      <x:c r="Q279" s="48"/>
      <x:c r="R279" s="48"/>
      <x:c r="S279" s="48"/>
      <x:c r="T279" s="48"/>
      <x:c r="U279" s="48"/>
      <x:c r="V279" s="48"/>
      <x:c r="W279" s="48"/>
      <x:c r="X279" s="48"/>
      <x:c r="Y279" s="48"/>
      <x:c r="Z279" s="48"/>
    </x:row>
    <x:row r="280">
      <x:c r="A280" s="48"/>
      <x:c r="B280" s="48"/>
      <x:c r="C280" s="48"/>
      <x:c r="D280" s="48"/>
      <x:c r="E280" s="48"/>
      <x:c r="F280" s="48"/>
      <x:c r="G280" s="48"/>
      <x:c r="H280" s="48"/>
      <x:c r="I280" s="48"/>
      <x:c r="J280" s="48"/>
      <x:c r="K280" s="48"/>
      <x:c r="L280" s="48"/>
      <x:c r="M280" s="48"/>
      <x:c r="N280" s="48"/>
      <x:c r="O280" s="48"/>
      <x:c r="P280" s="48"/>
      <x:c r="Q280" s="48"/>
      <x:c r="R280" s="48"/>
      <x:c r="S280" s="48"/>
      <x:c r="T280" s="48"/>
      <x:c r="U280" s="48"/>
      <x:c r="V280" s="48"/>
      <x:c r="W280" s="48"/>
      <x:c r="X280" s="48"/>
      <x:c r="Y280" s="48"/>
      <x:c r="Z280" s="48"/>
    </x:row>
    <x:row r="281">
      <x:c r="A281" s="48"/>
      <x:c r="B281" s="48"/>
      <x:c r="C281" s="48"/>
      <x:c r="D281" s="48"/>
      <x:c r="E281" s="48"/>
      <x:c r="F281" s="48"/>
      <x:c r="G281" s="48"/>
      <x:c r="H281" s="48"/>
      <x:c r="I281" s="48"/>
      <x:c r="J281" s="48"/>
      <x:c r="K281" s="48"/>
      <x:c r="L281" s="48"/>
      <x:c r="M281" s="48"/>
      <x:c r="N281" s="48"/>
      <x:c r="O281" s="48"/>
      <x:c r="P281" s="48"/>
      <x:c r="Q281" s="48"/>
      <x:c r="R281" s="48"/>
      <x:c r="S281" s="48"/>
      <x:c r="T281" s="48"/>
      <x:c r="U281" s="48"/>
      <x:c r="V281" s="48"/>
      <x:c r="W281" s="48"/>
      <x:c r="X281" s="48"/>
      <x:c r="Y281" s="48"/>
      <x:c r="Z281" s="48"/>
    </x:row>
    <x:row r="282">
      <x:c r="A282" s="48"/>
      <x:c r="B282" s="48"/>
      <x:c r="C282" s="48"/>
      <x:c r="D282" s="48"/>
      <x:c r="E282" s="48"/>
      <x:c r="F282" s="48"/>
      <x:c r="G282" s="48"/>
      <x:c r="H282" s="48"/>
      <x:c r="I282" s="48"/>
      <x:c r="J282" s="48"/>
      <x:c r="K282" s="48"/>
      <x:c r="L282" s="48"/>
      <x:c r="M282" s="48"/>
      <x:c r="N282" s="48"/>
      <x:c r="O282" s="48"/>
      <x:c r="P282" s="48"/>
      <x:c r="Q282" s="48"/>
      <x:c r="R282" s="48"/>
      <x:c r="S282" s="48"/>
      <x:c r="T282" s="48"/>
      <x:c r="U282" s="48"/>
      <x:c r="V282" s="48"/>
      <x:c r="W282" s="48"/>
      <x:c r="X282" s="48"/>
      <x:c r="Y282" s="48"/>
      <x:c r="Z282" s="48"/>
    </x:row>
    <x:row r="283">
      <x:c r="A283" s="48"/>
      <x:c r="B283" s="48"/>
      <x:c r="C283" s="48"/>
      <x:c r="D283" s="48"/>
      <x:c r="E283" s="48"/>
      <x:c r="F283" s="48"/>
      <x:c r="G283" s="48"/>
      <x:c r="H283" s="48"/>
      <x:c r="I283" s="48"/>
      <x:c r="J283" s="48"/>
      <x:c r="K283" s="48"/>
      <x:c r="L283" s="48"/>
      <x:c r="M283" s="48"/>
      <x:c r="N283" s="48"/>
      <x:c r="O283" s="48"/>
      <x:c r="P283" s="48"/>
      <x:c r="Q283" s="48"/>
      <x:c r="R283" s="48"/>
      <x:c r="S283" s="48"/>
      <x:c r="T283" s="48"/>
      <x:c r="U283" s="48"/>
      <x:c r="V283" s="48"/>
      <x:c r="W283" s="48"/>
      <x:c r="X283" s="48"/>
      <x:c r="Y283" s="48"/>
      <x:c r="Z283" s="48"/>
    </x:row>
    <x:row r="284">
      <x:c r="A284" s="48"/>
      <x:c r="B284" s="48"/>
      <x:c r="C284" s="48"/>
      <x:c r="D284" s="48"/>
      <x:c r="E284" s="48"/>
      <x:c r="F284" s="48"/>
      <x:c r="G284" s="48"/>
      <x:c r="H284" s="48"/>
      <x:c r="I284" s="48"/>
      <x:c r="J284" s="48"/>
      <x:c r="K284" s="48"/>
      <x:c r="L284" s="48"/>
      <x:c r="M284" s="48"/>
      <x:c r="N284" s="48"/>
      <x:c r="O284" s="48"/>
      <x:c r="P284" s="48"/>
      <x:c r="Q284" s="48"/>
      <x:c r="R284" s="48"/>
      <x:c r="S284" s="48"/>
      <x:c r="T284" s="48"/>
      <x:c r="U284" s="48"/>
      <x:c r="V284" s="48"/>
      <x:c r="W284" s="48"/>
      <x:c r="X284" s="48"/>
      <x:c r="Y284" s="48"/>
      <x:c r="Z284" s="48"/>
    </x:row>
    <x:row r="285">
      <x:c r="A285" s="48"/>
      <x:c r="B285" s="48"/>
      <x:c r="C285" s="48"/>
      <x:c r="D285" s="48"/>
      <x:c r="E285" s="48"/>
      <x:c r="F285" s="48"/>
      <x:c r="G285" s="48"/>
      <x:c r="H285" s="48"/>
      <x:c r="I285" s="48"/>
      <x:c r="J285" s="48"/>
      <x:c r="K285" s="48"/>
      <x:c r="L285" s="48"/>
      <x:c r="M285" s="48"/>
      <x:c r="N285" s="48"/>
      <x:c r="O285" s="48"/>
      <x:c r="P285" s="48"/>
      <x:c r="Q285" s="48"/>
      <x:c r="R285" s="48"/>
      <x:c r="S285" s="48"/>
      <x:c r="T285" s="48"/>
      <x:c r="U285" s="48"/>
      <x:c r="V285" s="48"/>
      <x:c r="W285" s="48"/>
      <x:c r="X285" s="48"/>
      <x:c r="Y285" s="48"/>
      <x:c r="Z285" s="48"/>
    </x:row>
    <x:row r="286">
      <x:c r="A286" s="48"/>
      <x:c r="B286" s="48"/>
      <x:c r="C286" s="48"/>
      <x:c r="D286" s="48"/>
      <x:c r="E286" s="48"/>
      <x:c r="F286" s="48"/>
      <x:c r="G286" s="48"/>
      <x:c r="H286" s="48"/>
      <x:c r="I286" s="48"/>
      <x:c r="J286" s="48"/>
      <x:c r="K286" s="48"/>
      <x:c r="L286" s="48"/>
      <x:c r="M286" s="48"/>
      <x:c r="N286" s="48"/>
      <x:c r="O286" s="48"/>
      <x:c r="P286" s="48"/>
      <x:c r="Q286" s="48"/>
      <x:c r="R286" s="48"/>
      <x:c r="S286" s="48"/>
      <x:c r="T286" s="48"/>
      <x:c r="U286" s="48"/>
      <x:c r="V286" s="48"/>
      <x:c r="W286" s="48"/>
      <x:c r="X286" s="48"/>
      <x:c r="Y286" s="48"/>
      <x:c r="Z286" s="48"/>
    </x:row>
    <x:row r="287">
      <x:c r="A287" s="48"/>
      <x:c r="B287" s="48"/>
      <x:c r="C287" s="48"/>
      <x:c r="D287" s="48"/>
      <x:c r="E287" s="48"/>
      <x:c r="F287" s="48"/>
      <x:c r="G287" s="48"/>
      <x:c r="H287" s="48"/>
      <x:c r="I287" s="48"/>
      <x:c r="J287" s="48"/>
      <x:c r="K287" s="48"/>
      <x:c r="L287" s="48"/>
      <x:c r="M287" s="48"/>
      <x:c r="N287" s="48"/>
      <x:c r="O287" s="48"/>
      <x:c r="P287" s="48"/>
      <x:c r="Q287" s="48"/>
      <x:c r="R287" s="48"/>
      <x:c r="S287" s="48"/>
      <x:c r="T287" s="48"/>
      <x:c r="U287" s="48"/>
      <x:c r="V287" s="48"/>
      <x:c r="W287" s="48"/>
      <x:c r="X287" s="48"/>
      <x:c r="Y287" s="48"/>
      <x:c r="Z287" s="48"/>
    </x:row>
    <x:row r="288">
      <x:c r="A288" s="48"/>
      <x:c r="B288" s="48"/>
      <x:c r="C288" s="48"/>
      <x:c r="D288" s="48"/>
      <x:c r="E288" s="48"/>
      <x:c r="F288" s="48"/>
      <x:c r="G288" s="48"/>
      <x:c r="H288" s="48"/>
      <x:c r="I288" s="48"/>
      <x:c r="J288" s="48"/>
      <x:c r="K288" s="48"/>
      <x:c r="L288" s="48"/>
      <x:c r="M288" s="48"/>
      <x:c r="N288" s="48"/>
      <x:c r="O288" s="48"/>
      <x:c r="P288" s="48"/>
      <x:c r="Q288" s="48"/>
      <x:c r="R288" s="48"/>
      <x:c r="S288" s="48"/>
      <x:c r="T288" s="48"/>
      <x:c r="U288" s="48"/>
      <x:c r="V288" s="48"/>
      <x:c r="W288" s="48"/>
      <x:c r="X288" s="48"/>
      <x:c r="Y288" s="48"/>
      <x:c r="Z288" s="48"/>
    </x:row>
    <x:row r="289">
      <x:c r="A289" s="48"/>
      <x:c r="B289" s="48"/>
      <x:c r="C289" s="48"/>
      <x:c r="D289" s="48"/>
      <x:c r="E289" s="48"/>
      <x:c r="F289" s="48"/>
      <x:c r="G289" s="48"/>
      <x:c r="H289" s="48"/>
      <x:c r="I289" s="48"/>
      <x:c r="J289" s="48"/>
      <x:c r="K289" s="48"/>
      <x:c r="L289" s="48"/>
      <x:c r="M289" s="48"/>
      <x:c r="N289" s="48"/>
      <x:c r="O289" s="48"/>
      <x:c r="P289" s="48"/>
      <x:c r="Q289" s="48"/>
      <x:c r="R289" s="48"/>
      <x:c r="S289" s="48"/>
      <x:c r="T289" s="48"/>
      <x:c r="U289" s="48"/>
      <x:c r="V289" s="48"/>
      <x:c r="W289" s="48"/>
      <x:c r="X289" s="48"/>
      <x:c r="Y289" s="48"/>
      <x:c r="Z289" s="48"/>
    </x:row>
    <x:row r="290">
      <x:c r="A290" s="48"/>
      <x:c r="B290" s="48"/>
      <x:c r="C290" s="48"/>
      <x:c r="D290" s="48"/>
      <x:c r="E290" s="48"/>
      <x:c r="F290" s="48"/>
      <x:c r="G290" s="48"/>
      <x:c r="H290" s="48"/>
      <x:c r="I290" s="48"/>
      <x:c r="J290" s="48"/>
      <x:c r="K290" s="48"/>
      <x:c r="L290" s="48"/>
      <x:c r="M290" s="48"/>
      <x:c r="N290" s="48"/>
      <x:c r="O290" s="48"/>
      <x:c r="P290" s="48"/>
      <x:c r="Q290" s="48"/>
      <x:c r="R290" s="48"/>
      <x:c r="S290" s="48"/>
      <x:c r="T290" s="48"/>
      <x:c r="U290" s="48"/>
      <x:c r="V290" s="48"/>
      <x:c r="W290" s="48"/>
      <x:c r="X290" s="48"/>
      <x:c r="Y290" s="48"/>
      <x:c r="Z290" s="48"/>
    </x:row>
    <x:row r="291">
      <x:c r="A291" s="48"/>
      <x:c r="B291" s="48"/>
      <x:c r="C291" s="48"/>
      <x:c r="D291" s="48"/>
      <x:c r="E291" s="48"/>
      <x:c r="F291" s="48"/>
      <x:c r="G291" s="48"/>
      <x:c r="H291" s="48"/>
      <x:c r="I291" s="48"/>
      <x:c r="J291" s="48"/>
      <x:c r="K291" s="48"/>
      <x:c r="L291" s="48"/>
      <x:c r="M291" s="48"/>
      <x:c r="N291" s="48"/>
      <x:c r="O291" s="48"/>
      <x:c r="P291" s="48"/>
      <x:c r="Q291" s="48"/>
      <x:c r="R291" s="48"/>
      <x:c r="S291" s="48"/>
      <x:c r="T291" s="48"/>
      <x:c r="U291" s="48"/>
      <x:c r="V291" s="48"/>
      <x:c r="W291" s="48"/>
      <x:c r="X291" s="48"/>
      <x:c r="Y291" s="48"/>
      <x:c r="Z291" s="48"/>
    </x:row>
    <x:row r="292">
      <x:c r="A292" s="48"/>
      <x:c r="B292" s="48"/>
      <x:c r="C292" s="48"/>
      <x:c r="D292" s="48"/>
      <x:c r="E292" s="48"/>
      <x:c r="F292" s="48"/>
      <x:c r="G292" s="48"/>
      <x:c r="H292" s="48"/>
      <x:c r="I292" s="48"/>
      <x:c r="J292" s="48"/>
      <x:c r="K292" s="48"/>
      <x:c r="L292" s="48"/>
      <x:c r="M292" s="48"/>
      <x:c r="N292" s="48"/>
      <x:c r="O292" s="48"/>
      <x:c r="P292" s="48"/>
      <x:c r="Q292" s="48"/>
      <x:c r="R292" s="48"/>
      <x:c r="S292" s="48"/>
      <x:c r="T292" s="48"/>
      <x:c r="U292" s="48"/>
      <x:c r="V292" s="48"/>
      <x:c r="W292" s="48"/>
      <x:c r="X292" s="48"/>
      <x:c r="Y292" s="48"/>
      <x:c r="Z292" s="48"/>
    </x:row>
    <x:row r="293">
      <x:c r="A293" s="48"/>
      <x:c r="B293" s="48"/>
      <x:c r="C293" s="48"/>
      <x:c r="D293" s="48"/>
      <x:c r="E293" s="48"/>
      <x:c r="F293" s="48"/>
      <x:c r="G293" s="48"/>
      <x:c r="H293" s="48"/>
      <x:c r="I293" s="48"/>
      <x:c r="J293" s="48"/>
      <x:c r="K293" s="48"/>
      <x:c r="L293" s="48"/>
      <x:c r="M293" s="48"/>
      <x:c r="N293" s="48"/>
      <x:c r="O293" s="48"/>
      <x:c r="P293" s="48"/>
      <x:c r="Q293" s="48"/>
      <x:c r="R293" s="48"/>
      <x:c r="S293" s="48"/>
      <x:c r="T293" s="48"/>
      <x:c r="U293" s="48"/>
      <x:c r="V293" s="48"/>
      <x:c r="W293" s="48"/>
      <x:c r="X293" s="48"/>
      <x:c r="Y293" s="48"/>
      <x:c r="Z293" s="48"/>
    </x:row>
    <x:row r="294">
      <x:c r="A294" s="48"/>
      <x:c r="B294" s="48"/>
      <x:c r="C294" s="48"/>
      <x:c r="D294" s="48"/>
      <x:c r="E294" s="48"/>
      <x:c r="F294" s="48"/>
      <x:c r="G294" s="48"/>
      <x:c r="H294" s="48"/>
      <x:c r="I294" s="48"/>
      <x:c r="J294" s="48"/>
      <x:c r="K294" s="48"/>
      <x:c r="L294" s="48"/>
      <x:c r="M294" s="48"/>
      <x:c r="N294" s="48"/>
      <x:c r="O294" s="48"/>
      <x:c r="P294" s="48"/>
      <x:c r="Q294" s="48"/>
      <x:c r="R294" s="48"/>
      <x:c r="S294" s="48"/>
      <x:c r="T294" s="48"/>
      <x:c r="U294" s="48"/>
      <x:c r="V294" s="48"/>
      <x:c r="W294" s="48"/>
      <x:c r="X294" s="48"/>
      <x:c r="Y294" s="48"/>
      <x:c r="Z294" s="48"/>
    </x:row>
    <x:row r="295">
      <x:c r="A295" s="48"/>
      <x:c r="B295" s="48"/>
      <x:c r="C295" s="48"/>
      <x:c r="D295" s="48"/>
      <x:c r="E295" s="48"/>
      <x:c r="F295" s="48"/>
      <x:c r="G295" s="48"/>
      <x:c r="H295" s="48"/>
      <x:c r="I295" s="48"/>
      <x:c r="J295" s="48"/>
      <x:c r="K295" s="48"/>
      <x:c r="L295" s="48"/>
      <x:c r="M295" s="48"/>
      <x:c r="N295" s="48"/>
      <x:c r="O295" s="48"/>
      <x:c r="P295" s="48"/>
      <x:c r="Q295" s="48"/>
      <x:c r="R295" s="48"/>
      <x:c r="S295" s="48"/>
      <x:c r="T295" s="48"/>
      <x:c r="U295" s="48"/>
      <x:c r="V295" s="48"/>
      <x:c r="W295" s="48"/>
      <x:c r="X295" s="48"/>
      <x:c r="Y295" s="48"/>
      <x:c r="Z295" s="48"/>
    </x:row>
    <x:row r="296">
      <x:c r="A296" s="48"/>
      <x:c r="B296" s="48"/>
      <x:c r="C296" s="48"/>
      <x:c r="D296" s="48"/>
      <x:c r="E296" s="48"/>
      <x:c r="F296" s="48"/>
      <x:c r="G296" s="48"/>
      <x:c r="H296" s="48"/>
      <x:c r="I296" s="48"/>
      <x:c r="J296" s="48"/>
      <x:c r="K296" s="48"/>
      <x:c r="L296" s="48"/>
      <x:c r="M296" s="48"/>
      <x:c r="N296" s="48"/>
      <x:c r="O296" s="48"/>
      <x:c r="P296" s="48"/>
      <x:c r="Q296" s="48"/>
      <x:c r="R296" s="48"/>
      <x:c r="S296" s="48"/>
      <x:c r="T296" s="48"/>
      <x:c r="U296" s="48"/>
      <x:c r="V296" s="48"/>
      <x:c r="W296" s="48"/>
      <x:c r="X296" s="48"/>
      <x:c r="Y296" s="48"/>
      <x:c r="Z296" s="48"/>
    </x:row>
    <x:row r="297">
      <x:c r="A297" s="48"/>
      <x:c r="B297" s="48"/>
      <x:c r="C297" s="48"/>
      <x:c r="D297" s="48"/>
      <x:c r="E297" s="48"/>
      <x:c r="F297" s="48"/>
      <x:c r="G297" s="48"/>
      <x:c r="H297" s="48"/>
      <x:c r="I297" s="48"/>
      <x:c r="J297" s="48"/>
      <x:c r="K297" s="48"/>
      <x:c r="L297" s="48"/>
      <x:c r="M297" s="48"/>
      <x:c r="N297" s="48"/>
      <x:c r="O297" s="48"/>
      <x:c r="P297" s="48"/>
      <x:c r="Q297" s="48"/>
      <x:c r="R297" s="48"/>
      <x:c r="S297" s="48"/>
      <x:c r="T297" s="48"/>
      <x:c r="U297" s="48"/>
      <x:c r="V297" s="48"/>
      <x:c r="W297" s="48"/>
      <x:c r="X297" s="48"/>
      <x:c r="Y297" s="48"/>
      <x:c r="Z297" s="48"/>
    </x:row>
    <x:row r="298">
      <x:c r="A298" s="48"/>
      <x:c r="B298" s="48"/>
      <x:c r="C298" s="48"/>
      <x:c r="D298" s="48"/>
      <x:c r="E298" s="48"/>
      <x:c r="F298" s="48"/>
      <x:c r="G298" s="48"/>
      <x:c r="H298" s="48"/>
      <x:c r="I298" s="48"/>
      <x:c r="J298" s="48"/>
      <x:c r="K298" s="48"/>
      <x:c r="L298" s="48"/>
      <x:c r="M298" s="48"/>
      <x:c r="N298" s="48"/>
      <x:c r="O298" s="48"/>
      <x:c r="P298" s="48"/>
      <x:c r="Q298" s="48"/>
      <x:c r="R298" s="48"/>
      <x:c r="S298" s="48"/>
      <x:c r="T298" s="48"/>
      <x:c r="U298" s="48"/>
      <x:c r="V298" s="48"/>
      <x:c r="W298" s="48"/>
      <x:c r="X298" s="48"/>
      <x:c r="Y298" s="48"/>
      <x:c r="Z298" s="48"/>
    </x:row>
    <x:row r="299">
      <x:c r="A299" s="48"/>
      <x:c r="B299" s="48"/>
      <x:c r="C299" s="48"/>
      <x:c r="D299" s="48"/>
      <x:c r="E299" s="48"/>
      <x:c r="F299" s="48"/>
      <x:c r="G299" s="48"/>
      <x:c r="H299" s="48"/>
      <x:c r="I299" s="48"/>
      <x:c r="J299" s="48"/>
      <x:c r="K299" s="48"/>
      <x:c r="L299" s="48"/>
      <x:c r="M299" s="48"/>
      <x:c r="N299" s="48"/>
      <x:c r="O299" s="48"/>
      <x:c r="P299" s="48"/>
      <x:c r="Q299" s="48"/>
      <x:c r="R299" s="48"/>
      <x:c r="S299" s="48"/>
      <x:c r="T299" s="48"/>
      <x:c r="U299" s="48"/>
      <x:c r="V299" s="48"/>
      <x:c r="W299" s="48"/>
      <x:c r="X299" s="48"/>
      <x:c r="Y299" s="48"/>
      <x:c r="Z299" s="48"/>
    </x:row>
    <x:row r="300">
      <x:c r="A300" s="48"/>
      <x:c r="B300" s="48"/>
      <x:c r="C300" s="48"/>
      <x:c r="D300" s="48"/>
      <x:c r="E300" s="48"/>
      <x:c r="F300" s="48"/>
      <x:c r="G300" s="48"/>
      <x:c r="H300" s="48"/>
      <x:c r="I300" s="48"/>
      <x:c r="J300" s="48"/>
      <x:c r="K300" s="48"/>
      <x:c r="L300" s="48"/>
      <x:c r="M300" s="48"/>
      <x:c r="N300" s="48"/>
      <x:c r="O300" s="48"/>
      <x:c r="P300" s="48"/>
      <x:c r="Q300" s="48"/>
      <x:c r="R300" s="48"/>
      <x:c r="S300" s="48"/>
      <x:c r="T300" s="48"/>
      <x:c r="U300" s="48"/>
      <x:c r="V300" s="48"/>
      <x:c r="W300" s="48"/>
      <x:c r="X300" s="48"/>
      <x:c r="Y300" s="48"/>
      <x:c r="Z300" s="48"/>
    </x:row>
    <x:row r="301">
      <x:c r="A301" s="48"/>
      <x:c r="B301" s="48"/>
      <x:c r="C301" s="48"/>
      <x:c r="D301" s="48"/>
      <x:c r="E301" s="48"/>
      <x:c r="F301" s="48"/>
      <x:c r="G301" s="48"/>
      <x:c r="H301" s="48"/>
      <x:c r="I301" s="48"/>
      <x:c r="J301" s="48"/>
      <x:c r="K301" s="48"/>
      <x:c r="L301" s="48"/>
      <x:c r="M301" s="48"/>
      <x:c r="N301" s="48"/>
      <x:c r="O301" s="48"/>
      <x:c r="P301" s="48"/>
      <x:c r="Q301" s="48"/>
      <x:c r="R301" s="48"/>
      <x:c r="S301" s="48"/>
      <x:c r="T301" s="48"/>
      <x:c r="U301" s="48"/>
      <x:c r="V301" s="48"/>
      <x:c r="W301" s="48"/>
      <x:c r="X301" s="48"/>
      <x:c r="Y301" s="48"/>
      <x:c r="Z301" s="48"/>
    </x:row>
    <x:row r="302">
      <x:c r="A302" s="48"/>
      <x:c r="B302" s="48"/>
      <x:c r="C302" s="48"/>
      <x:c r="D302" s="48"/>
      <x:c r="E302" s="48"/>
      <x:c r="F302" s="48"/>
      <x:c r="G302" s="48"/>
      <x:c r="H302" s="48"/>
      <x:c r="I302" s="48"/>
      <x:c r="J302" s="48"/>
      <x:c r="K302" s="48"/>
      <x:c r="L302" s="48"/>
      <x:c r="M302" s="48"/>
      <x:c r="N302" s="48"/>
      <x:c r="O302" s="48"/>
      <x:c r="P302" s="48"/>
      <x:c r="Q302" s="48"/>
      <x:c r="R302" s="48"/>
      <x:c r="S302" s="48"/>
      <x:c r="T302" s="48"/>
      <x:c r="U302" s="48"/>
      <x:c r="V302" s="48"/>
      <x:c r="W302" s="48"/>
      <x:c r="X302" s="48"/>
      <x:c r="Y302" s="48"/>
      <x:c r="Z302" s="48"/>
    </x:row>
    <x:row r="303">
      <x:c r="A303" s="48"/>
      <x:c r="B303" s="48"/>
      <x:c r="C303" s="48"/>
      <x:c r="D303" s="48"/>
      <x:c r="E303" s="48"/>
      <x:c r="F303" s="48"/>
      <x:c r="G303" s="48"/>
      <x:c r="H303" s="48"/>
      <x:c r="I303" s="48"/>
      <x:c r="J303" s="48"/>
      <x:c r="K303" s="48"/>
      <x:c r="L303" s="48"/>
      <x:c r="M303" s="48"/>
      <x:c r="N303" s="48"/>
      <x:c r="O303" s="48"/>
      <x:c r="P303" s="48"/>
      <x:c r="Q303" s="48"/>
      <x:c r="R303" s="48"/>
      <x:c r="S303" s="48"/>
      <x:c r="T303" s="48"/>
      <x:c r="U303" s="48"/>
      <x:c r="V303" s="48"/>
      <x:c r="W303" s="48"/>
      <x:c r="X303" s="48"/>
      <x:c r="Y303" s="48"/>
      <x:c r="Z303" s="48"/>
    </x:row>
    <x:row r="304">
      <x:c r="A304" s="48"/>
      <x:c r="B304" s="48"/>
      <x:c r="C304" s="48"/>
      <x:c r="D304" s="48"/>
      <x:c r="E304" s="48"/>
      <x:c r="F304" s="48"/>
      <x:c r="G304" s="48"/>
      <x:c r="H304" s="48"/>
      <x:c r="I304" s="48"/>
      <x:c r="J304" s="48"/>
      <x:c r="K304" s="48"/>
      <x:c r="L304" s="48"/>
      <x:c r="M304" s="48"/>
      <x:c r="N304" s="48"/>
      <x:c r="O304" s="48"/>
      <x:c r="P304" s="48"/>
      <x:c r="Q304" s="48"/>
      <x:c r="R304" s="48"/>
      <x:c r="S304" s="48"/>
      <x:c r="T304" s="48"/>
      <x:c r="U304" s="48"/>
      <x:c r="V304" s="48"/>
      <x:c r="W304" s="48"/>
      <x:c r="X304" s="48"/>
      <x:c r="Y304" s="48"/>
      <x:c r="Z304" s="48"/>
    </x:row>
    <x:row r="305">
      <x:c r="A305" s="48"/>
      <x:c r="B305" s="48"/>
      <x:c r="C305" s="48"/>
      <x:c r="D305" s="48"/>
      <x:c r="E305" s="48"/>
      <x:c r="F305" s="48"/>
      <x:c r="G305" s="48"/>
      <x:c r="H305" s="48"/>
      <x:c r="I305" s="48"/>
      <x:c r="J305" s="48"/>
      <x:c r="K305" s="48"/>
      <x:c r="L305" s="48"/>
      <x:c r="M305" s="48"/>
      <x:c r="N305" s="48"/>
      <x:c r="O305" s="48"/>
      <x:c r="P305" s="48"/>
      <x:c r="Q305" s="48"/>
      <x:c r="R305" s="48"/>
      <x:c r="S305" s="48"/>
      <x:c r="T305" s="48"/>
      <x:c r="U305" s="48"/>
      <x:c r="V305" s="48"/>
      <x:c r="W305" s="48"/>
      <x:c r="X305" s="48"/>
      <x:c r="Y305" s="48"/>
      <x:c r="Z305" s="48"/>
    </x:row>
    <x:row r="306">
      <x:c r="A306" s="48"/>
      <x:c r="B306" s="48"/>
      <x:c r="C306" s="48"/>
      <x:c r="D306" s="48"/>
      <x:c r="E306" s="48"/>
      <x:c r="F306" s="48"/>
      <x:c r="G306" s="48"/>
      <x:c r="H306" s="48"/>
      <x:c r="I306" s="48"/>
      <x:c r="J306" s="48"/>
      <x:c r="K306" s="48"/>
      <x:c r="L306" s="48"/>
      <x:c r="M306" s="48"/>
      <x:c r="N306" s="48"/>
      <x:c r="O306" s="48"/>
      <x:c r="P306" s="48"/>
      <x:c r="Q306" s="48"/>
      <x:c r="R306" s="48"/>
      <x:c r="S306" s="48"/>
      <x:c r="T306" s="48"/>
      <x:c r="U306" s="48"/>
      <x:c r="V306" s="48"/>
      <x:c r="W306" s="48"/>
      <x:c r="X306" s="48"/>
      <x:c r="Y306" s="48"/>
      <x:c r="Z306" s="48"/>
    </x:row>
    <x:row r="307">
      <x:c r="A307" s="48"/>
      <x:c r="B307" s="48"/>
      <x:c r="C307" s="48"/>
      <x:c r="D307" s="48"/>
      <x:c r="E307" s="48"/>
      <x:c r="F307" s="48"/>
      <x:c r="G307" s="48"/>
      <x:c r="H307" s="48"/>
      <x:c r="I307" s="48"/>
      <x:c r="J307" s="48"/>
      <x:c r="K307" s="48"/>
      <x:c r="L307" s="48"/>
      <x:c r="M307" s="48"/>
      <x:c r="N307" s="48"/>
      <x:c r="O307" s="48"/>
      <x:c r="P307" s="48"/>
      <x:c r="Q307" s="48"/>
      <x:c r="R307" s="48"/>
      <x:c r="S307" s="48"/>
      <x:c r="T307" s="48"/>
      <x:c r="U307" s="48"/>
      <x:c r="V307" s="48"/>
      <x:c r="W307" s="48"/>
      <x:c r="X307" s="48"/>
      <x:c r="Y307" s="48"/>
      <x:c r="Z307" s="48"/>
    </x:row>
    <x:row r="308">
      <x:c r="A308" s="48"/>
      <x:c r="B308" s="48"/>
      <x:c r="C308" s="48"/>
      <x:c r="D308" s="48"/>
      <x:c r="E308" s="48"/>
      <x:c r="F308" s="48"/>
      <x:c r="G308" s="48"/>
      <x:c r="H308" s="48"/>
      <x:c r="I308" s="48"/>
      <x:c r="J308" s="48"/>
      <x:c r="K308" s="48"/>
      <x:c r="L308" s="48"/>
      <x:c r="M308" s="48"/>
      <x:c r="N308" s="48"/>
      <x:c r="O308" s="48"/>
      <x:c r="P308" s="48"/>
      <x:c r="Q308" s="48"/>
      <x:c r="R308" s="48"/>
      <x:c r="S308" s="48"/>
      <x:c r="T308" s="48"/>
      <x:c r="U308" s="48"/>
      <x:c r="V308" s="48"/>
      <x:c r="W308" s="48"/>
      <x:c r="X308" s="48"/>
      <x:c r="Y308" s="48"/>
      <x:c r="Z308" s="48"/>
    </x:row>
    <x:row r="309">
      <x:c r="A309" s="48"/>
      <x:c r="B309" s="48"/>
      <x:c r="C309" s="48"/>
      <x:c r="D309" s="48"/>
      <x:c r="E309" s="48"/>
      <x:c r="F309" s="48"/>
      <x:c r="G309" s="48"/>
      <x:c r="H309" s="48"/>
      <x:c r="I309" s="48"/>
      <x:c r="J309" s="48"/>
      <x:c r="K309" s="48"/>
      <x:c r="L309" s="48"/>
      <x:c r="M309" s="48"/>
      <x:c r="N309" s="48"/>
      <x:c r="O309" s="48"/>
      <x:c r="P309" s="48"/>
      <x:c r="Q309" s="48"/>
      <x:c r="R309" s="48"/>
      <x:c r="S309" s="48"/>
      <x:c r="T309" s="48"/>
      <x:c r="U309" s="48"/>
      <x:c r="V309" s="48"/>
      <x:c r="W309" s="48"/>
      <x:c r="X309" s="48"/>
      <x:c r="Y309" s="48"/>
      <x:c r="Z309" s="48"/>
    </x:row>
    <x:row r="310">
      <x:c r="A310" s="48"/>
      <x:c r="B310" s="48"/>
      <x:c r="C310" s="48"/>
      <x:c r="D310" s="48"/>
      <x:c r="E310" s="48"/>
      <x:c r="F310" s="48"/>
      <x:c r="G310" s="48"/>
      <x:c r="H310" s="48"/>
      <x:c r="I310" s="48"/>
      <x:c r="J310" s="48"/>
      <x:c r="K310" s="48"/>
      <x:c r="L310" s="48"/>
      <x:c r="M310" s="48"/>
      <x:c r="N310" s="48"/>
      <x:c r="O310" s="48"/>
      <x:c r="P310" s="48"/>
      <x:c r="Q310" s="48"/>
      <x:c r="R310" s="48"/>
      <x:c r="S310" s="48"/>
      <x:c r="T310" s="48"/>
      <x:c r="U310" s="48"/>
      <x:c r="V310" s="48"/>
      <x:c r="W310" s="48"/>
      <x:c r="X310" s="48"/>
      <x:c r="Y310" s="48"/>
      <x:c r="Z310" s="48"/>
    </x:row>
    <x:row r="311">
      <x:c r="A311" s="48"/>
      <x:c r="B311" s="48"/>
      <x:c r="C311" s="48"/>
      <x:c r="D311" s="48"/>
      <x:c r="E311" s="48"/>
      <x:c r="F311" s="48"/>
      <x:c r="G311" s="48"/>
      <x:c r="H311" s="48"/>
      <x:c r="I311" s="48"/>
      <x:c r="J311" s="48"/>
      <x:c r="K311" s="48"/>
      <x:c r="L311" s="48"/>
      <x:c r="M311" s="48"/>
      <x:c r="N311" s="48"/>
      <x:c r="O311" s="48"/>
      <x:c r="P311" s="48"/>
      <x:c r="Q311" s="48"/>
      <x:c r="R311" s="48"/>
      <x:c r="S311" s="48"/>
      <x:c r="T311" s="48"/>
      <x:c r="U311" s="48"/>
      <x:c r="V311" s="48"/>
      <x:c r="W311" s="48"/>
      <x:c r="X311" s="48"/>
      <x:c r="Y311" s="48"/>
      <x:c r="Z311" s="48"/>
    </x:row>
    <x:row r="312">
      <x:c r="A312" s="48"/>
      <x:c r="B312" s="48"/>
      <x:c r="C312" s="48"/>
      <x:c r="D312" s="48"/>
      <x:c r="E312" s="48"/>
      <x:c r="F312" s="48"/>
      <x:c r="G312" s="48"/>
      <x:c r="H312" s="48"/>
      <x:c r="I312" s="48"/>
      <x:c r="J312" s="48"/>
      <x:c r="K312" s="48"/>
      <x:c r="L312" s="48"/>
      <x:c r="M312" s="48"/>
      <x:c r="N312" s="48"/>
      <x:c r="O312" s="48"/>
      <x:c r="P312" s="48"/>
      <x:c r="Q312" s="48"/>
      <x:c r="R312" s="48"/>
      <x:c r="S312" s="48"/>
      <x:c r="T312" s="48"/>
      <x:c r="U312" s="48"/>
      <x:c r="V312" s="48"/>
      <x:c r="W312" s="48"/>
      <x:c r="X312" s="48"/>
      <x:c r="Y312" s="48"/>
      <x:c r="Z312" s="48"/>
    </x:row>
    <x:row r="313">
      <x:c r="A313" s="48"/>
      <x:c r="B313" s="48"/>
      <x:c r="C313" s="48"/>
      <x:c r="D313" s="48"/>
      <x:c r="E313" s="48"/>
      <x:c r="F313" s="48"/>
      <x:c r="G313" s="48"/>
      <x:c r="H313" s="48"/>
      <x:c r="I313" s="48"/>
      <x:c r="J313" s="48"/>
      <x:c r="K313" s="48"/>
      <x:c r="L313" s="48"/>
      <x:c r="M313" s="48"/>
      <x:c r="N313" s="48"/>
      <x:c r="O313" s="48"/>
      <x:c r="P313" s="48"/>
      <x:c r="Q313" s="48"/>
      <x:c r="R313" s="48"/>
      <x:c r="S313" s="48"/>
      <x:c r="T313" s="48"/>
      <x:c r="U313" s="48"/>
      <x:c r="V313" s="48"/>
      <x:c r="W313" s="48"/>
      <x:c r="X313" s="48"/>
      <x:c r="Y313" s="48"/>
      <x:c r="Z313" s="48"/>
    </x:row>
    <x:row r="314">
      <x:c r="A314" s="48"/>
      <x:c r="B314" s="48"/>
      <x:c r="C314" s="48"/>
      <x:c r="D314" s="48"/>
      <x:c r="E314" s="48"/>
      <x:c r="F314" s="48"/>
      <x:c r="G314" s="48"/>
      <x:c r="H314" s="48"/>
      <x:c r="I314" s="48"/>
      <x:c r="J314" s="48"/>
      <x:c r="K314" s="48"/>
      <x:c r="L314" s="48"/>
      <x:c r="M314" s="48"/>
      <x:c r="N314" s="48"/>
      <x:c r="O314" s="48"/>
      <x:c r="P314" s="48"/>
      <x:c r="Q314" s="48"/>
      <x:c r="R314" s="48"/>
      <x:c r="S314" s="48"/>
      <x:c r="T314" s="48"/>
      <x:c r="U314" s="48"/>
      <x:c r="V314" s="48"/>
      <x:c r="W314" s="48"/>
      <x:c r="X314" s="48"/>
      <x:c r="Y314" s="48"/>
      <x:c r="Z314" s="48"/>
    </x:row>
    <x:row r="315">
      <x:c r="A315" s="48"/>
      <x:c r="B315" s="48"/>
      <x:c r="C315" s="48"/>
      <x:c r="D315" s="48"/>
      <x:c r="E315" s="48"/>
      <x:c r="F315" s="48"/>
      <x:c r="G315" s="48"/>
      <x:c r="H315" s="48"/>
      <x:c r="I315" s="48"/>
      <x:c r="J315" s="48"/>
      <x:c r="K315" s="48"/>
      <x:c r="L315" s="48"/>
      <x:c r="M315" s="48"/>
      <x:c r="N315" s="48"/>
      <x:c r="O315" s="48"/>
      <x:c r="P315" s="48"/>
      <x:c r="Q315" s="48"/>
      <x:c r="R315" s="48"/>
      <x:c r="S315" s="48"/>
      <x:c r="T315" s="48"/>
      <x:c r="U315" s="48"/>
      <x:c r="V315" s="48"/>
      <x:c r="W315" s="48"/>
      <x:c r="X315" s="48"/>
      <x:c r="Y315" s="48"/>
      <x:c r="Z315" s="48"/>
    </x:row>
    <x:row r="316">
      <x:c r="A316" s="48"/>
      <x:c r="B316" s="48"/>
      <x:c r="C316" s="48"/>
      <x:c r="D316" s="48"/>
      <x:c r="E316" s="48"/>
      <x:c r="F316" s="48"/>
      <x:c r="G316" s="48"/>
      <x:c r="H316" s="48"/>
      <x:c r="I316" s="48"/>
      <x:c r="J316" s="48"/>
      <x:c r="K316" s="48"/>
      <x:c r="L316" s="48"/>
      <x:c r="M316" s="48"/>
      <x:c r="N316" s="48"/>
      <x:c r="O316" s="48"/>
      <x:c r="P316" s="48"/>
      <x:c r="Q316" s="48"/>
      <x:c r="R316" s="48"/>
      <x:c r="S316" s="48"/>
      <x:c r="T316" s="48"/>
      <x:c r="U316" s="48"/>
      <x:c r="V316" s="48"/>
      <x:c r="W316" s="48"/>
      <x:c r="X316" s="48"/>
      <x:c r="Y316" s="48"/>
      <x:c r="Z316" s="48"/>
    </x:row>
    <x:row r="317">
      <x:c r="A317" s="48"/>
      <x:c r="B317" s="48"/>
      <x:c r="C317" s="48"/>
      <x:c r="D317" s="48"/>
      <x:c r="E317" s="48"/>
      <x:c r="F317" s="48"/>
      <x:c r="G317" s="48"/>
      <x:c r="H317" s="48"/>
      <x:c r="I317" s="48"/>
      <x:c r="J317" s="48"/>
      <x:c r="K317" s="48"/>
      <x:c r="L317" s="48"/>
      <x:c r="M317" s="48"/>
      <x:c r="N317" s="48"/>
      <x:c r="O317" s="48"/>
      <x:c r="P317" s="48"/>
      <x:c r="Q317" s="48"/>
      <x:c r="R317" s="48"/>
      <x:c r="S317" s="48"/>
      <x:c r="T317" s="48"/>
      <x:c r="U317" s="48"/>
      <x:c r="V317" s="48"/>
      <x:c r="W317" s="48"/>
      <x:c r="X317" s="48"/>
      <x:c r="Y317" s="48"/>
      <x:c r="Z317" s="48"/>
    </x:row>
    <x:row r="318">
      <x:c r="A318" s="48"/>
      <x:c r="B318" s="48"/>
      <x:c r="C318" s="48"/>
      <x:c r="D318" s="48"/>
      <x:c r="E318" s="48"/>
      <x:c r="F318" s="48"/>
      <x:c r="G318" s="48"/>
      <x:c r="H318" s="48"/>
      <x:c r="I318" s="48"/>
      <x:c r="J318" s="48"/>
      <x:c r="K318" s="48"/>
      <x:c r="L318" s="48"/>
      <x:c r="M318" s="48"/>
      <x:c r="N318" s="48"/>
      <x:c r="O318" s="48"/>
      <x:c r="P318" s="48"/>
      <x:c r="Q318" s="48"/>
      <x:c r="R318" s="48"/>
      <x:c r="S318" s="48"/>
      <x:c r="T318" s="48"/>
      <x:c r="U318" s="48"/>
      <x:c r="V318" s="48"/>
      <x:c r="W318" s="48"/>
      <x:c r="X318" s="48"/>
      <x:c r="Y318" s="48"/>
      <x:c r="Z318" s="48"/>
    </x:row>
    <x:row r="319">
      <x:c r="A319" s="48"/>
      <x:c r="B319" s="48"/>
      <x:c r="C319" s="48"/>
      <x:c r="D319" s="48"/>
      <x:c r="E319" s="48"/>
      <x:c r="F319" s="48"/>
      <x:c r="G319" s="48"/>
      <x:c r="H319" s="48"/>
      <x:c r="I319" s="48"/>
      <x:c r="J319" s="48"/>
      <x:c r="K319" s="48"/>
      <x:c r="L319" s="48"/>
      <x:c r="M319" s="48"/>
      <x:c r="N319" s="48"/>
      <x:c r="O319" s="48"/>
      <x:c r="P319" s="48"/>
      <x:c r="Q319" s="48"/>
      <x:c r="R319" s="48"/>
      <x:c r="S319" s="48"/>
      <x:c r="T319" s="48"/>
      <x:c r="U319" s="48"/>
      <x:c r="V319" s="48"/>
      <x:c r="W319" s="48"/>
      <x:c r="X319" s="48"/>
      <x:c r="Y319" s="48"/>
      <x:c r="Z319" s="48"/>
    </x:row>
    <x:row r="320">
      <x:c r="A320" s="48"/>
      <x:c r="B320" s="48"/>
      <x:c r="C320" s="48"/>
      <x:c r="D320" s="48"/>
      <x:c r="E320" s="48"/>
      <x:c r="F320" s="48"/>
      <x:c r="G320" s="48"/>
      <x:c r="H320" s="48"/>
      <x:c r="I320" s="48"/>
      <x:c r="J320" s="48"/>
      <x:c r="K320" s="48"/>
      <x:c r="L320" s="48"/>
      <x:c r="M320" s="48"/>
      <x:c r="N320" s="48"/>
      <x:c r="O320" s="48"/>
      <x:c r="P320" s="48"/>
      <x:c r="Q320" s="48"/>
      <x:c r="R320" s="48"/>
      <x:c r="S320" s="48"/>
      <x:c r="T320" s="48"/>
      <x:c r="U320" s="48"/>
      <x:c r="V320" s="48"/>
      <x:c r="W320" s="48"/>
      <x:c r="X320" s="48"/>
      <x:c r="Y320" s="48"/>
      <x:c r="Z320" s="48"/>
    </x:row>
    <x:row r="321">
      <x:c r="A321" s="48"/>
      <x:c r="B321" s="48"/>
      <x:c r="C321" s="48"/>
      <x:c r="D321" s="48"/>
      <x:c r="E321" s="48"/>
      <x:c r="F321" s="48"/>
      <x:c r="G321" s="48"/>
      <x:c r="H321" s="48"/>
      <x:c r="I321" s="48"/>
      <x:c r="J321" s="48"/>
      <x:c r="K321" s="48"/>
      <x:c r="L321" s="48"/>
      <x:c r="M321" s="48"/>
      <x:c r="N321" s="48"/>
      <x:c r="O321" s="48"/>
      <x:c r="P321" s="48"/>
      <x:c r="Q321" s="48"/>
      <x:c r="R321" s="48"/>
      <x:c r="S321" s="48"/>
      <x:c r="T321" s="48"/>
      <x:c r="U321" s="48"/>
      <x:c r="V321" s="48"/>
      <x:c r="W321" s="48"/>
      <x:c r="X321" s="48"/>
      <x:c r="Y321" s="48"/>
      <x:c r="Z321" s="48"/>
    </x:row>
    <x:row r="322">
      <x:c r="A322" s="48"/>
      <x:c r="B322" s="48"/>
      <x:c r="C322" s="48"/>
      <x:c r="D322" s="48"/>
      <x:c r="E322" s="48"/>
      <x:c r="F322" s="48"/>
      <x:c r="G322" s="48"/>
      <x:c r="H322" s="48"/>
      <x:c r="I322" s="48"/>
      <x:c r="J322" s="48"/>
      <x:c r="K322" s="48"/>
      <x:c r="L322" s="48"/>
      <x:c r="M322" s="48"/>
      <x:c r="N322" s="48"/>
      <x:c r="O322" s="48"/>
      <x:c r="P322" s="48"/>
      <x:c r="Q322" s="48"/>
      <x:c r="R322" s="48"/>
      <x:c r="S322" s="48"/>
      <x:c r="T322" s="48"/>
      <x:c r="U322" s="48"/>
      <x:c r="V322" s="48"/>
      <x:c r="W322" s="48"/>
      <x:c r="X322" s="48"/>
      <x:c r="Y322" s="48"/>
      <x:c r="Z322" s="48"/>
    </x:row>
    <x:row r="323">
      <x:c r="A323" s="48"/>
      <x:c r="B323" s="48"/>
      <x:c r="C323" s="48"/>
      <x:c r="D323" s="48"/>
      <x:c r="E323" s="48"/>
      <x:c r="F323" s="48"/>
      <x:c r="G323" s="48"/>
      <x:c r="H323" s="48"/>
      <x:c r="I323" s="48"/>
      <x:c r="J323" s="48"/>
      <x:c r="K323" s="48"/>
      <x:c r="L323" s="48"/>
      <x:c r="M323" s="48"/>
      <x:c r="N323" s="48"/>
      <x:c r="O323" s="48"/>
      <x:c r="P323" s="48"/>
      <x:c r="Q323" s="48"/>
      <x:c r="R323" s="48"/>
      <x:c r="S323" s="48"/>
      <x:c r="T323" s="48"/>
      <x:c r="U323" s="48"/>
      <x:c r="V323" s="48"/>
      <x:c r="W323" s="48"/>
      <x:c r="X323" s="48"/>
      <x:c r="Y323" s="48"/>
      <x:c r="Z323" s="48"/>
    </x:row>
    <x:row r="324">
      <x:c r="A324" s="48"/>
      <x:c r="B324" s="48"/>
      <x:c r="C324" s="48"/>
      <x:c r="D324" s="48"/>
      <x:c r="E324" s="48"/>
      <x:c r="F324" s="48"/>
      <x:c r="G324" s="48"/>
      <x:c r="H324" s="48"/>
      <x:c r="I324" s="48"/>
      <x:c r="J324" s="48"/>
      <x:c r="K324" s="48"/>
      <x:c r="L324" s="48"/>
      <x:c r="M324" s="48"/>
      <x:c r="N324" s="48"/>
      <x:c r="O324" s="48"/>
      <x:c r="P324" s="48"/>
      <x:c r="Q324" s="48"/>
      <x:c r="R324" s="48"/>
      <x:c r="S324" s="48"/>
      <x:c r="T324" s="48"/>
      <x:c r="U324" s="48"/>
      <x:c r="V324" s="48"/>
      <x:c r="W324" s="48"/>
      <x:c r="X324" s="48"/>
      <x:c r="Y324" s="48"/>
      <x:c r="Z324" s="48"/>
    </x:row>
    <x:row r="325">
      <x:c r="A325" s="48"/>
      <x:c r="B325" s="48"/>
      <x:c r="C325" s="48"/>
      <x:c r="D325" s="48"/>
      <x:c r="E325" s="48"/>
      <x:c r="F325" s="48"/>
      <x:c r="G325" s="48"/>
      <x:c r="H325" s="48"/>
      <x:c r="I325" s="48"/>
      <x:c r="J325" s="48"/>
      <x:c r="K325" s="48"/>
      <x:c r="L325" s="48"/>
      <x:c r="M325" s="48"/>
      <x:c r="N325" s="48"/>
      <x:c r="O325" s="48"/>
      <x:c r="P325" s="48"/>
      <x:c r="Q325" s="48"/>
      <x:c r="R325" s="48"/>
      <x:c r="S325" s="48"/>
      <x:c r="T325" s="48"/>
      <x:c r="U325" s="48"/>
      <x:c r="V325" s="48"/>
      <x:c r="W325" s="48"/>
      <x:c r="X325" s="48"/>
      <x:c r="Y325" s="48"/>
      <x:c r="Z325" s="48"/>
    </x:row>
    <x:row r="326">
      <x:c r="A326" s="48"/>
      <x:c r="B326" s="48"/>
      <x:c r="C326" s="48"/>
      <x:c r="D326" s="48"/>
      <x:c r="E326" s="48"/>
      <x:c r="F326" s="48"/>
      <x:c r="G326" s="48"/>
      <x:c r="H326" s="48"/>
      <x:c r="I326" s="48"/>
      <x:c r="J326" s="48"/>
      <x:c r="K326" s="48"/>
      <x:c r="L326" s="48"/>
      <x:c r="M326" s="48"/>
      <x:c r="N326" s="48"/>
      <x:c r="O326" s="48"/>
      <x:c r="P326" s="48"/>
      <x:c r="Q326" s="48"/>
      <x:c r="R326" s="48"/>
      <x:c r="S326" s="48"/>
      <x:c r="T326" s="48"/>
      <x:c r="U326" s="48"/>
      <x:c r="V326" s="48"/>
      <x:c r="W326" s="48"/>
      <x:c r="X326" s="48"/>
      <x:c r="Y326" s="48"/>
      <x:c r="Z326" s="48"/>
    </x:row>
    <x:row r="327">
      <x:c r="A327" s="48"/>
      <x:c r="B327" s="48"/>
      <x:c r="C327" s="48"/>
      <x:c r="D327" s="48"/>
      <x:c r="E327" s="48"/>
      <x:c r="F327" s="48"/>
      <x:c r="G327" s="48"/>
      <x:c r="H327" s="48"/>
      <x:c r="I327" s="48"/>
      <x:c r="J327" s="48"/>
      <x:c r="K327" s="48"/>
      <x:c r="L327" s="48"/>
      <x:c r="M327" s="48"/>
      <x:c r="N327" s="48"/>
      <x:c r="O327" s="48"/>
      <x:c r="P327" s="48"/>
      <x:c r="Q327" s="48"/>
      <x:c r="R327" s="48"/>
      <x:c r="S327" s="48"/>
      <x:c r="T327" s="48"/>
      <x:c r="U327" s="48"/>
      <x:c r="V327" s="48"/>
      <x:c r="W327" s="48"/>
      <x:c r="X327" s="48"/>
      <x:c r="Y327" s="48"/>
      <x:c r="Z327" s="48"/>
    </x:row>
    <x:row r="328">
      <x:c r="A328" s="48"/>
      <x:c r="B328" s="48"/>
      <x:c r="C328" s="48"/>
      <x:c r="D328" s="48"/>
      <x:c r="E328" s="48"/>
      <x:c r="F328" s="48"/>
      <x:c r="G328" s="48"/>
      <x:c r="H328" s="48"/>
      <x:c r="I328" s="48"/>
      <x:c r="J328" s="48"/>
      <x:c r="K328" s="48"/>
      <x:c r="L328" s="48"/>
      <x:c r="M328" s="48"/>
      <x:c r="N328" s="48"/>
      <x:c r="O328" s="48"/>
      <x:c r="P328" s="48"/>
      <x:c r="Q328" s="48"/>
      <x:c r="R328" s="48"/>
      <x:c r="S328" s="48"/>
      <x:c r="T328" s="48"/>
      <x:c r="U328" s="48"/>
      <x:c r="V328" s="48"/>
      <x:c r="W328" s="48"/>
      <x:c r="X328" s="48"/>
      <x:c r="Y328" s="48"/>
      <x:c r="Z328" s="48"/>
    </x:row>
    <x:row r="329">
      <x:c r="A329" s="48"/>
      <x:c r="B329" s="48"/>
      <x:c r="C329" s="48"/>
      <x:c r="D329" s="48"/>
      <x:c r="E329" s="48"/>
      <x:c r="F329" s="48"/>
      <x:c r="G329" s="48"/>
      <x:c r="H329" s="48"/>
      <x:c r="I329" s="48"/>
      <x:c r="J329" s="48"/>
      <x:c r="K329" s="48"/>
      <x:c r="L329" s="48"/>
      <x:c r="M329" s="48"/>
      <x:c r="N329" s="48"/>
      <x:c r="O329" s="48"/>
      <x:c r="P329" s="48"/>
      <x:c r="Q329" s="48"/>
      <x:c r="R329" s="48"/>
      <x:c r="S329" s="48"/>
      <x:c r="T329" s="48"/>
      <x:c r="U329" s="48"/>
      <x:c r="V329" s="48"/>
      <x:c r="W329" s="48"/>
      <x:c r="X329" s="48"/>
      <x:c r="Y329" s="48"/>
      <x:c r="Z329" s="48"/>
    </x:row>
    <x:row r="330">
      <x:c r="A330" s="48"/>
      <x:c r="B330" s="48"/>
      <x:c r="C330" s="48"/>
      <x:c r="D330" s="48"/>
      <x:c r="E330" s="48"/>
      <x:c r="F330" s="48"/>
      <x:c r="G330" s="48"/>
      <x:c r="H330" s="48"/>
      <x:c r="I330" s="48"/>
      <x:c r="J330" s="48"/>
      <x:c r="K330" s="48"/>
      <x:c r="L330" s="48"/>
      <x:c r="M330" s="48"/>
      <x:c r="N330" s="48"/>
      <x:c r="O330" s="48"/>
      <x:c r="P330" s="48"/>
      <x:c r="Q330" s="48"/>
      <x:c r="R330" s="48"/>
      <x:c r="S330" s="48"/>
      <x:c r="T330" s="48"/>
      <x:c r="U330" s="48"/>
      <x:c r="V330" s="48"/>
      <x:c r="W330" s="48"/>
      <x:c r="X330" s="48"/>
      <x:c r="Y330" s="48"/>
      <x:c r="Z330" s="48"/>
    </x:row>
    <x:row r="331">
      <x:c r="A331" s="48"/>
      <x:c r="B331" s="48"/>
      <x:c r="C331" s="48"/>
      <x:c r="D331" s="48"/>
      <x:c r="E331" s="48"/>
      <x:c r="F331" s="48"/>
      <x:c r="G331" s="48"/>
      <x:c r="H331" s="48"/>
      <x:c r="I331" s="48"/>
      <x:c r="J331" s="48"/>
      <x:c r="K331" s="48"/>
      <x:c r="L331" s="48"/>
      <x:c r="M331" s="48"/>
      <x:c r="N331" s="48"/>
      <x:c r="O331" s="48"/>
      <x:c r="P331" s="48"/>
      <x:c r="Q331" s="48"/>
      <x:c r="R331" s="48"/>
      <x:c r="S331" s="48"/>
      <x:c r="T331" s="48"/>
      <x:c r="U331" s="48"/>
      <x:c r="V331" s="48"/>
      <x:c r="W331" s="48"/>
      <x:c r="X331" s="48"/>
      <x:c r="Y331" s="48"/>
      <x:c r="Z331" s="48"/>
    </x:row>
    <x:row r="332">
      <x:c r="A332" s="48"/>
      <x:c r="B332" s="48"/>
      <x:c r="C332" s="48"/>
      <x:c r="D332" s="48"/>
      <x:c r="E332" s="48"/>
      <x:c r="F332" s="48"/>
      <x:c r="G332" s="48"/>
      <x:c r="H332" s="48"/>
      <x:c r="I332" s="48"/>
      <x:c r="J332" s="48"/>
      <x:c r="K332" s="48"/>
      <x:c r="L332" s="48"/>
      <x:c r="M332" s="48"/>
      <x:c r="N332" s="48"/>
      <x:c r="O332" s="48"/>
      <x:c r="P332" s="48"/>
      <x:c r="Q332" s="48"/>
      <x:c r="R332" s="48"/>
      <x:c r="S332" s="48"/>
      <x:c r="T332" s="48"/>
      <x:c r="U332" s="48"/>
      <x:c r="V332" s="48"/>
      <x:c r="W332" s="48"/>
      <x:c r="X332" s="48"/>
      <x:c r="Y332" s="48"/>
      <x:c r="Z332" s="48"/>
    </x:row>
    <x:row r="333">
      <x:c r="A333" s="48"/>
      <x:c r="B333" s="48"/>
      <x:c r="C333" s="48"/>
      <x:c r="D333" s="48"/>
      <x:c r="E333" s="48"/>
      <x:c r="F333" s="48"/>
      <x:c r="G333" s="48"/>
      <x:c r="H333" s="48"/>
      <x:c r="I333" s="48"/>
      <x:c r="J333" s="48"/>
      <x:c r="K333" s="48"/>
      <x:c r="L333" s="48"/>
      <x:c r="M333" s="48"/>
      <x:c r="N333" s="48"/>
      <x:c r="O333" s="48"/>
      <x:c r="P333" s="48"/>
      <x:c r="Q333" s="48"/>
      <x:c r="R333" s="48"/>
      <x:c r="S333" s="48"/>
      <x:c r="T333" s="48"/>
      <x:c r="U333" s="48"/>
      <x:c r="V333" s="48"/>
      <x:c r="W333" s="48"/>
      <x:c r="X333" s="48"/>
      <x:c r="Y333" s="48"/>
      <x:c r="Z333" s="48"/>
    </x:row>
    <x:row r="334">
      <x:c r="A334" s="48"/>
      <x:c r="B334" s="48"/>
      <x:c r="C334" s="48"/>
      <x:c r="D334" s="48"/>
      <x:c r="E334" s="48"/>
      <x:c r="F334" s="48"/>
      <x:c r="G334" s="48"/>
      <x:c r="H334" s="48"/>
      <x:c r="I334" s="48"/>
      <x:c r="J334" s="48"/>
      <x:c r="K334" s="48"/>
      <x:c r="L334" s="48"/>
      <x:c r="M334" s="48"/>
      <x:c r="N334" s="48"/>
      <x:c r="O334" s="48"/>
      <x:c r="P334" s="48"/>
      <x:c r="Q334" s="48"/>
      <x:c r="R334" s="48"/>
      <x:c r="S334" s="48"/>
      <x:c r="T334" s="48"/>
      <x:c r="U334" s="48"/>
      <x:c r="V334" s="48"/>
      <x:c r="W334" s="48"/>
      <x:c r="X334" s="48"/>
      <x:c r="Y334" s="48"/>
      <x:c r="Z334" s="48"/>
    </x:row>
    <x:row r="335">
      <x:c r="A335" s="48"/>
      <x:c r="B335" s="48"/>
      <x:c r="C335" s="48"/>
      <x:c r="D335" s="48"/>
      <x:c r="E335" s="48"/>
      <x:c r="F335" s="48"/>
      <x:c r="G335" s="48"/>
      <x:c r="H335" s="48"/>
      <x:c r="I335" s="48"/>
      <x:c r="J335" s="48"/>
      <x:c r="K335" s="48"/>
      <x:c r="L335" s="48"/>
      <x:c r="M335" s="48"/>
      <x:c r="N335" s="48"/>
      <x:c r="O335" s="48"/>
      <x:c r="P335" s="48"/>
      <x:c r="Q335" s="48"/>
      <x:c r="R335" s="48"/>
      <x:c r="S335" s="48"/>
      <x:c r="T335" s="48"/>
      <x:c r="U335" s="48"/>
      <x:c r="V335" s="48"/>
      <x:c r="W335" s="48"/>
      <x:c r="X335" s="48"/>
      <x:c r="Y335" s="48"/>
      <x:c r="Z335" s="48"/>
    </x:row>
    <x:row r="336">
      <x:c r="A336" s="48"/>
      <x:c r="B336" s="48"/>
      <x:c r="C336" s="48"/>
      <x:c r="D336" s="48"/>
      <x:c r="E336" s="48"/>
      <x:c r="F336" s="48"/>
      <x:c r="G336" s="48"/>
      <x:c r="H336" s="48"/>
      <x:c r="I336" s="48"/>
      <x:c r="J336" s="48"/>
      <x:c r="K336" s="48"/>
      <x:c r="L336" s="48"/>
      <x:c r="M336" s="48"/>
      <x:c r="N336" s="48"/>
      <x:c r="O336" s="48"/>
      <x:c r="P336" s="48"/>
      <x:c r="Q336" s="48"/>
      <x:c r="R336" s="48"/>
      <x:c r="S336" s="48"/>
      <x:c r="T336" s="48"/>
      <x:c r="U336" s="48"/>
      <x:c r="V336" s="48"/>
      <x:c r="W336" s="48"/>
      <x:c r="X336" s="48"/>
      <x:c r="Y336" s="48"/>
      <x:c r="Z336" s="48"/>
    </x:row>
    <x:row r="337">
      <x:c r="A337" s="48"/>
      <x:c r="B337" s="48"/>
      <x:c r="C337" s="48"/>
      <x:c r="D337" s="48"/>
      <x:c r="E337" s="48"/>
      <x:c r="F337" s="48"/>
      <x:c r="G337" s="48"/>
      <x:c r="H337" s="48"/>
      <x:c r="I337" s="48"/>
      <x:c r="J337" s="48"/>
      <x:c r="K337" s="48"/>
      <x:c r="L337" s="48"/>
      <x:c r="M337" s="48"/>
      <x:c r="N337" s="48"/>
      <x:c r="O337" s="48"/>
      <x:c r="P337" s="48"/>
      <x:c r="Q337" s="48"/>
      <x:c r="R337" s="48"/>
      <x:c r="S337" s="48"/>
      <x:c r="T337" s="48"/>
      <x:c r="U337" s="48"/>
      <x:c r="V337" s="48"/>
      <x:c r="W337" s="48"/>
      <x:c r="X337" s="48"/>
      <x:c r="Y337" s="48"/>
      <x:c r="Z337" s="48"/>
    </x:row>
    <x:row r="338">
      <x:c r="A338" s="48"/>
      <x:c r="B338" s="48"/>
      <x:c r="C338" s="48"/>
      <x:c r="D338" s="48"/>
      <x:c r="E338" s="48"/>
      <x:c r="F338" s="48"/>
      <x:c r="G338" s="48"/>
      <x:c r="H338" s="48"/>
      <x:c r="I338" s="48"/>
      <x:c r="J338" s="48"/>
      <x:c r="K338" s="48"/>
      <x:c r="L338" s="48"/>
      <x:c r="M338" s="48"/>
      <x:c r="N338" s="48"/>
      <x:c r="O338" s="48"/>
      <x:c r="P338" s="48"/>
      <x:c r="Q338" s="48"/>
      <x:c r="R338" s="48"/>
      <x:c r="S338" s="48"/>
      <x:c r="T338" s="48"/>
      <x:c r="U338" s="48"/>
      <x:c r="V338" s="48"/>
      <x:c r="W338" s="48"/>
      <x:c r="X338" s="48"/>
      <x:c r="Y338" s="48"/>
      <x:c r="Z338" s="48"/>
    </x:row>
    <x:row r="339">
      <x:c r="A339" s="48"/>
      <x:c r="B339" s="48"/>
      <x:c r="C339" s="48"/>
      <x:c r="D339" s="48"/>
      <x:c r="E339" s="48"/>
      <x:c r="F339" s="48"/>
      <x:c r="G339" s="48"/>
      <x:c r="H339" s="48"/>
      <x:c r="I339" s="48"/>
      <x:c r="J339" s="48"/>
      <x:c r="K339" s="48"/>
      <x:c r="L339" s="48"/>
      <x:c r="M339" s="48"/>
      <x:c r="N339" s="48"/>
      <x:c r="O339" s="48"/>
      <x:c r="P339" s="48"/>
      <x:c r="Q339" s="48"/>
      <x:c r="R339" s="48"/>
      <x:c r="S339" s="48"/>
      <x:c r="T339" s="48"/>
      <x:c r="U339" s="48"/>
      <x:c r="V339" s="48"/>
      <x:c r="W339" s="48"/>
      <x:c r="X339" s="48"/>
      <x:c r="Y339" s="48"/>
      <x:c r="Z339" s="48"/>
    </x:row>
    <x:row r="340">
      <x:c r="A340" s="48"/>
      <x:c r="B340" s="48"/>
      <x:c r="C340" s="48"/>
      <x:c r="D340" s="48"/>
      <x:c r="E340" s="48"/>
      <x:c r="F340" s="48"/>
      <x:c r="G340" s="48"/>
      <x:c r="H340" s="48"/>
      <x:c r="I340" s="48"/>
      <x:c r="J340" s="48"/>
      <x:c r="K340" s="48"/>
      <x:c r="L340" s="48"/>
      <x:c r="M340" s="48"/>
      <x:c r="N340" s="48"/>
      <x:c r="O340" s="48"/>
      <x:c r="P340" s="48"/>
      <x:c r="Q340" s="48"/>
      <x:c r="R340" s="48"/>
      <x:c r="S340" s="48"/>
      <x:c r="T340" s="48"/>
      <x:c r="U340" s="48"/>
      <x:c r="V340" s="48"/>
      <x:c r="W340" s="48"/>
      <x:c r="X340" s="48"/>
      <x:c r="Y340" s="48"/>
      <x:c r="Z340" s="48"/>
    </x:row>
    <x:row r="341">
      <x:c r="A341" s="48"/>
      <x:c r="B341" s="48"/>
      <x:c r="C341" s="48"/>
      <x:c r="D341" s="48"/>
      <x:c r="E341" s="48"/>
      <x:c r="F341" s="48"/>
      <x:c r="G341" s="48"/>
      <x:c r="H341" s="48"/>
      <x:c r="I341" s="48"/>
      <x:c r="J341" s="48"/>
      <x:c r="K341" s="48"/>
      <x:c r="L341" s="48"/>
      <x:c r="M341" s="48"/>
      <x:c r="N341" s="48"/>
      <x:c r="O341" s="48"/>
      <x:c r="P341" s="48"/>
      <x:c r="Q341" s="48"/>
      <x:c r="R341" s="48"/>
      <x:c r="S341" s="48"/>
      <x:c r="T341" s="48"/>
      <x:c r="U341" s="48"/>
      <x:c r="V341" s="48"/>
      <x:c r="W341" s="48"/>
      <x:c r="X341" s="48"/>
      <x:c r="Y341" s="48"/>
      <x:c r="Z341" s="48"/>
    </x:row>
    <x:row r="342">
      <x:c r="A342" s="48"/>
      <x:c r="B342" s="48"/>
      <x:c r="C342" s="48"/>
      <x:c r="D342" s="48"/>
      <x:c r="E342" s="48"/>
      <x:c r="F342" s="48"/>
      <x:c r="G342" s="48"/>
      <x:c r="H342" s="48"/>
      <x:c r="I342" s="48"/>
      <x:c r="J342" s="48"/>
      <x:c r="K342" s="48"/>
      <x:c r="L342" s="48"/>
      <x:c r="M342" s="48"/>
      <x:c r="N342" s="48"/>
      <x:c r="O342" s="48"/>
      <x:c r="P342" s="48"/>
      <x:c r="Q342" s="48"/>
      <x:c r="R342" s="48"/>
      <x:c r="S342" s="48"/>
      <x:c r="T342" s="48"/>
      <x:c r="U342" s="48"/>
      <x:c r="V342" s="48"/>
      <x:c r="W342" s="48"/>
      <x:c r="X342" s="48"/>
      <x:c r="Y342" s="48"/>
      <x:c r="Z342" s="48"/>
    </x:row>
    <x:row r="343">
      <x:c r="A343" s="48"/>
      <x:c r="B343" s="48"/>
      <x:c r="C343" s="48"/>
      <x:c r="D343" s="48"/>
      <x:c r="E343" s="48"/>
      <x:c r="F343" s="48"/>
      <x:c r="G343" s="48"/>
      <x:c r="H343" s="48"/>
      <x:c r="I343" s="48"/>
      <x:c r="J343" s="48"/>
      <x:c r="K343" s="48"/>
      <x:c r="L343" s="48"/>
      <x:c r="M343" s="48"/>
      <x:c r="N343" s="48"/>
      <x:c r="O343" s="48"/>
      <x:c r="P343" s="48"/>
      <x:c r="Q343" s="48"/>
      <x:c r="R343" s="48"/>
      <x:c r="S343" s="48"/>
      <x:c r="T343" s="48"/>
      <x:c r="U343" s="48"/>
      <x:c r="V343" s="48"/>
      <x:c r="W343" s="48"/>
      <x:c r="X343" s="48"/>
      <x:c r="Y343" s="48"/>
      <x:c r="Z343" s="48"/>
    </x:row>
    <x:row r="344">
      <x:c r="A344" s="48"/>
      <x:c r="B344" s="48"/>
      <x:c r="C344" s="48"/>
      <x:c r="D344" s="48"/>
      <x:c r="E344" s="48"/>
      <x:c r="F344" s="48"/>
      <x:c r="G344" s="48"/>
      <x:c r="H344" s="48"/>
      <x:c r="I344" s="48"/>
      <x:c r="J344" s="48"/>
      <x:c r="K344" s="48"/>
      <x:c r="L344" s="48"/>
      <x:c r="M344" s="48"/>
      <x:c r="N344" s="48"/>
      <x:c r="O344" s="48"/>
      <x:c r="P344" s="48"/>
      <x:c r="Q344" s="48"/>
      <x:c r="R344" s="48"/>
      <x:c r="S344" s="48"/>
      <x:c r="T344" s="48"/>
      <x:c r="U344" s="48"/>
      <x:c r="V344" s="48"/>
      <x:c r="W344" s="48"/>
      <x:c r="X344" s="48"/>
      <x:c r="Y344" s="48"/>
      <x:c r="Z344" s="48"/>
    </x:row>
    <x:row r="345">
      <x:c r="A345" s="48"/>
      <x:c r="B345" s="48"/>
      <x:c r="C345" s="48"/>
      <x:c r="D345" s="48"/>
      <x:c r="E345" s="48"/>
      <x:c r="F345" s="48"/>
      <x:c r="G345" s="48"/>
      <x:c r="H345" s="48"/>
      <x:c r="I345" s="48"/>
      <x:c r="J345" s="48"/>
      <x:c r="K345" s="48"/>
      <x:c r="L345" s="48"/>
      <x:c r="M345" s="48"/>
      <x:c r="N345" s="48"/>
      <x:c r="O345" s="48"/>
      <x:c r="P345" s="48"/>
      <x:c r="Q345" s="48"/>
      <x:c r="R345" s="48"/>
      <x:c r="S345" s="48"/>
      <x:c r="T345" s="48"/>
      <x:c r="U345" s="48"/>
      <x:c r="V345" s="48"/>
      <x:c r="W345" s="48"/>
      <x:c r="X345" s="48"/>
      <x:c r="Y345" s="48"/>
      <x:c r="Z345" s="48"/>
    </x:row>
    <x:row r="346">
      <x:c r="A346" s="48"/>
      <x:c r="B346" s="48"/>
      <x:c r="C346" s="48"/>
      <x:c r="D346" s="48"/>
      <x:c r="E346" s="48"/>
      <x:c r="F346" s="48"/>
      <x:c r="G346" s="48"/>
      <x:c r="H346" s="48"/>
      <x:c r="I346" s="48"/>
      <x:c r="J346" s="48"/>
      <x:c r="K346" s="48"/>
      <x:c r="L346" s="48"/>
      <x:c r="M346" s="48"/>
      <x:c r="N346" s="48"/>
      <x:c r="O346" s="48"/>
      <x:c r="P346" s="48"/>
      <x:c r="Q346" s="48"/>
      <x:c r="R346" s="48"/>
      <x:c r="S346" s="48"/>
      <x:c r="T346" s="48"/>
      <x:c r="U346" s="48"/>
      <x:c r="V346" s="48"/>
      <x:c r="W346" s="48"/>
      <x:c r="X346" s="48"/>
      <x:c r="Y346" s="48"/>
      <x:c r="Z346" s="48"/>
    </x:row>
    <x:row r="347">
      <x:c r="A347" s="48"/>
      <x:c r="B347" s="48"/>
      <x:c r="C347" s="48"/>
      <x:c r="D347" s="48"/>
      <x:c r="E347" s="48"/>
      <x:c r="F347" s="48"/>
      <x:c r="G347" s="48"/>
      <x:c r="H347" s="48"/>
      <x:c r="I347" s="48"/>
      <x:c r="J347" s="48"/>
      <x:c r="K347" s="48"/>
      <x:c r="L347" s="48"/>
      <x:c r="M347" s="48"/>
      <x:c r="N347" s="48"/>
      <x:c r="O347" s="48"/>
      <x:c r="P347" s="48"/>
      <x:c r="Q347" s="48"/>
      <x:c r="R347" s="48"/>
      <x:c r="S347" s="48"/>
      <x:c r="T347" s="48"/>
      <x:c r="U347" s="48"/>
      <x:c r="V347" s="48"/>
      <x:c r="W347" s="48"/>
      <x:c r="X347" s="48"/>
      <x:c r="Y347" s="48"/>
      <x:c r="Z347" s="48"/>
    </x:row>
    <x:row r="348">
      <x:c r="A348" s="48"/>
      <x:c r="B348" s="48"/>
      <x:c r="C348" s="48"/>
      <x:c r="D348" s="48"/>
      <x:c r="E348" s="48"/>
      <x:c r="F348" s="48"/>
      <x:c r="G348" s="48"/>
      <x:c r="H348" s="48"/>
      <x:c r="I348" s="48"/>
      <x:c r="J348" s="48"/>
      <x:c r="K348" s="48"/>
      <x:c r="L348" s="48"/>
      <x:c r="M348" s="48"/>
      <x:c r="N348" s="48"/>
      <x:c r="O348" s="48"/>
      <x:c r="P348" s="48"/>
      <x:c r="Q348" s="48"/>
      <x:c r="R348" s="48"/>
      <x:c r="S348" s="48"/>
      <x:c r="T348" s="48"/>
      <x:c r="U348" s="48"/>
      <x:c r="V348" s="48"/>
      <x:c r="W348" s="48"/>
      <x:c r="X348" s="48"/>
      <x:c r="Y348" s="48"/>
      <x:c r="Z348" s="48"/>
    </x:row>
    <x:row r="349">
      <x:c r="A349" s="48"/>
      <x:c r="B349" s="48"/>
      <x:c r="C349" s="48"/>
      <x:c r="D349" s="48"/>
      <x:c r="E349" s="48"/>
      <x:c r="F349" s="48"/>
      <x:c r="G349" s="48"/>
      <x:c r="H349" s="48"/>
      <x:c r="I349" s="48"/>
      <x:c r="J349" s="48"/>
      <x:c r="K349" s="48"/>
      <x:c r="L349" s="48"/>
      <x:c r="M349" s="48"/>
      <x:c r="N349" s="48"/>
      <x:c r="O349" s="48"/>
      <x:c r="P349" s="48"/>
      <x:c r="Q349" s="48"/>
      <x:c r="R349" s="48"/>
      <x:c r="S349" s="48"/>
      <x:c r="T349" s="48"/>
      <x:c r="U349" s="48"/>
      <x:c r="V349" s="48"/>
      <x:c r="W349" s="48"/>
      <x:c r="X349" s="48"/>
      <x:c r="Y349" s="48"/>
      <x:c r="Z349" s="48"/>
    </x:row>
    <x:row r="350">
      <x:c r="A350" s="48"/>
      <x:c r="B350" s="48"/>
      <x:c r="C350" s="48"/>
      <x:c r="D350" s="48"/>
      <x:c r="E350" s="48"/>
      <x:c r="F350" s="48"/>
      <x:c r="G350" s="48"/>
      <x:c r="H350" s="48"/>
      <x:c r="I350" s="48"/>
      <x:c r="J350" s="48"/>
      <x:c r="K350" s="48"/>
      <x:c r="L350" s="48"/>
      <x:c r="M350" s="48"/>
      <x:c r="N350" s="48"/>
      <x:c r="O350" s="48"/>
      <x:c r="P350" s="48"/>
      <x:c r="Q350" s="48"/>
      <x:c r="R350" s="48"/>
      <x:c r="S350" s="48"/>
      <x:c r="T350" s="48"/>
      <x:c r="U350" s="48"/>
      <x:c r="V350" s="48"/>
      <x:c r="W350" s="48"/>
      <x:c r="X350" s="48"/>
      <x:c r="Y350" s="48"/>
      <x:c r="Z350" s="48"/>
    </x:row>
    <x:row r="351">
      <x:c r="A351" s="48"/>
      <x:c r="B351" s="48"/>
      <x:c r="C351" s="48"/>
      <x:c r="D351" s="48"/>
      <x:c r="E351" s="48"/>
      <x:c r="F351" s="48"/>
      <x:c r="G351" s="48"/>
      <x:c r="H351" s="48"/>
      <x:c r="I351" s="48"/>
      <x:c r="J351" s="48"/>
      <x:c r="K351" s="48"/>
      <x:c r="L351" s="48"/>
      <x:c r="M351" s="48"/>
      <x:c r="N351" s="48"/>
      <x:c r="O351" s="48"/>
      <x:c r="P351" s="48"/>
      <x:c r="Q351" s="48"/>
      <x:c r="R351" s="48"/>
      <x:c r="S351" s="48"/>
      <x:c r="T351" s="48"/>
      <x:c r="U351" s="48"/>
      <x:c r="V351" s="48"/>
      <x:c r="W351" s="48"/>
      <x:c r="X351" s="48"/>
      <x:c r="Y351" s="48"/>
      <x:c r="Z351" s="48"/>
    </x:row>
    <x:row r="352">
      <x:c r="A352" s="48"/>
      <x:c r="B352" s="48"/>
      <x:c r="C352" s="48"/>
      <x:c r="D352" s="48"/>
      <x:c r="E352" s="48"/>
      <x:c r="F352" s="48"/>
      <x:c r="G352" s="48"/>
      <x:c r="H352" s="48"/>
      <x:c r="I352" s="48"/>
      <x:c r="J352" s="48"/>
      <x:c r="K352" s="48"/>
      <x:c r="L352" s="48"/>
      <x:c r="M352" s="48"/>
      <x:c r="N352" s="48"/>
      <x:c r="O352" s="48"/>
      <x:c r="P352" s="48"/>
      <x:c r="Q352" s="48"/>
      <x:c r="R352" s="48"/>
      <x:c r="S352" s="48"/>
      <x:c r="T352" s="48"/>
      <x:c r="U352" s="48"/>
      <x:c r="V352" s="48"/>
      <x:c r="W352" s="48"/>
      <x:c r="X352" s="48"/>
      <x:c r="Y352" s="48"/>
      <x:c r="Z352" s="48"/>
    </x:row>
    <x:row r="353">
      <x:c r="A353" s="48"/>
      <x:c r="B353" s="48"/>
      <x:c r="C353" s="48"/>
      <x:c r="D353" s="48"/>
      <x:c r="E353" s="48"/>
      <x:c r="F353" s="48"/>
      <x:c r="G353" s="48"/>
      <x:c r="H353" s="48"/>
      <x:c r="I353" s="48"/>
      <x:c r="J353" s="48"/>
      <x:c r="K353" s="48"/>
      <x:c r="L353" s="48"/>
      <x:c r="M353" s="48"/>
      <x:c r="N353" s="48"/>
      <x:c r="O353" s="48"/>
      <x:c r="P353" s="48"/>
      <x:c r="Q353" s="48"/>
      <x:c r="R353" s="48"/>
      <x:c r="S353" s="48"/>
      <x:c r="T353" s="48"/>
      <x:c r="U353" s="48"/>
      <x:c r="V353" s="48"/>
      <x:c r="W353" s="48"/>
      <x:c r="X353" s="48"/>
      <x:c r="Y353" s="48"/>
      <x:c r="Z353" s="48"/>
    </x:row>
    <x:row r="354">
      <x:c r="A354" s="48"/>
      <x:c r="B354" s="48"/>
      <x:c r="C354" s="48"/>
      <x:c r="D354" s="48"/>
      <x:c r="E354" s="48"/>
      <x:c r="F354" s="48"/>
      <x:c r="G354" s="48"/>
      <x:c r="H354" s="48"/>
      <x:c r="I354" s="48"/>
      <x:c r="J354" s="48"/>
      <x:c r="K354" s="48"/>
      <x:c r="L354" s="48"/>
      <x:c r="M354" s="48"/>
      <x:c r="N354" s="48"/>
      <x:c r="O354" s="48"/>
      <x:c r="P354" s="48"/>
      <x:c r="Q354" s="48"/>
      <x:c r="R354" s="48"/>
      <x:c r="S354" s="48"/>
      <x:c r="T354" s="48"/>
      <x:c r="U354" s="48"/>
      <x:c r="V354" s="48"/>
      <x:c r="W354" s="48"/>
      <x:c r="X354" s="48"/>
      <x:c r="Y354" s="48"/>
      <x:c r="Z354" s="48"/>
    </x:row>
    <x:row r="355">
      <x:c r="A355" s="48"/>
      <x:c r="B355" s="48"/>
      <x:c r="C355" s="48"/>
      <x:c r="D355" s="48"/>
      <x:c r="E355" s="48"/>
      <x:c r="F355" s="48"/>
      <x:c r="G355" s="48"/>
      <x:c r="H355" s="48"/>
      <x:c r="I355" s="48"/>
      <x:c r="J355" s="48"/>
      <x:c r="K355" s="48"/>
      <x:c r="L355" s="48"/>
      <x:c r="M355" s="48"/>
      <x:c r="N355" s="48"/>
      <x:c r="O355" s="48"/>
      <x:c r="P355" s="48"/>
      <x:c r="Q355" s="48"/>
      <x:c r="R355" s="48"/>
      <x:c r="S355" s="48"/>
      <x:c r="T355" s="48"/>
      <x:c r="U355" s="48"/>
      <x:c r="V355" s="48"/>
      <x:c r="W355" s="48"/>
      <x:c r="X355" s="48"/>
      <x:c r="Y355" s="48"/>
      <x:c r="Z355" s="48"/>
    </x:row>
    <x:row r="356">
      <x:c r="A356" s="48"/>
      <x:c r="B356" s="48"/>
      <x:c r="C356" s="48"/>
      <x:c r="D356" s="48"/>
      <x:c r="E356" s="48"/>
      <x:c r="F356" s="48"/>
      <x:c r="G356" s="48"/>
      <x:c r="H356" s="48"/>
      <x:c r="I356" s="48"/>
      <x:c r="J356" s="48"/>
      <x:c r="K356" s="48"/>
      <x:c r="L356" s="48"/>
      <x:c r="M356" s="48"/>
      <x:c r="N356" s="48"/>
      <x:c r="O356" s="48"/>
      <x:c r="P356" s="48"/>
      <x:c r="Q356" s="48"/>
      <x:c r="R356" s="48"/>
      <x:c r="S356" s="48"/>
      <x:c r="T356" s="48"/>
      <x:c r="U356" s="48"/>
      <x:c r="V356" s="48"/>
      <x:c r="W356" s="48"/>
      <x:c r="X356" s="48"/>
      <x:c r="Y356" s="48"/>
      <x:c r="Z356" s="48"/>
    </x:row>
    <x:row r="357">
      <x:c r="A357" s="48"/>
      <x:c r="B357" s="48"/>
      <x:c r="C357" s="48"/>
      <x:c r="D357" s="48"/>
      <x:c r="E357" s="48"/>
      <x:c r="F357" s="48"/>
      <x:c r="G357" s="48"/>
      <x:c r="H357" s="48"/>
      <x:c r="I357" s="48"/>
      <x:c r="J357" s="48"/>
      <x:c r="K357" s="48"/>
      <x:c r="L357" s="48"/>
      <x:c r="M357" s="48"/>
      <x:c r="N357" s="48"/>
      <x:c r="O357" s="48"/>
      <x:c r="P357" s="48"/>
      <x:c r="Q357" s="48"/>
      <x:c r="R357" s="48"/>
      <x:c r="S357" s="48"/>
      <x:c r="T357" s="48"/>
      <x:c r="U357" s="48"/>
      <x:c r="V357" s="48"/>
      <x:c r="W357" s="48"/>
      <x:c r="X357" s="48"/>
      <x:c r="Y357" s="48"/>
      <x:c r="Z357" s="48"/>
    </x:row>
    <x:row r="358">
      <x:c r="A358" s="48"/>
      <x:c r="B358" s="48"/>
      <x:c r="C358" s="48"/>
      <x:c r="D358" s="48"/>
      <x:c r="E358" s="48"/>
      <x:c r="F358" s="48"/>
      <x:c r="G358" s="48"/>
      <x:c r="H358" s="48"/>
      <x:c r="I358" s="48"/>
      <x:c r="J358" s="48"/>
      <x:c r="K358" s="48"/>
      <x:c r="L358" s="48"/>
      <x:c r="M358" s="48"/>
      <x:c r="N358" s="48"/>
      <x:c r="O358" s="48"/>
      <x:c r="P358" s="48"/>
      <x:c r="Q358" s="48"/>
      <x:c r="R358" s="48"/>
      <x:c r="S358" s="48"/>
      <x:c r="T358" s="48"/>
      <x:c r="U358" s="48"/>
      <x:c r="V358" s="48"/>
      <x:c r="W358" s="48"/>
      <x:c r="X358" s="48"/>
      <x:c r="Y358" s="48"/>
      <x:c r="Z358" s="48"/>
    </x:row>
    <x:row r="359">
      <x:c r="A359" s="48"/>
      <x:c r="B359" s="48"/>
      <x:c r="C359" s="48"/>
      <x:c r="D359" s="48"/>
      <x:c r="E359" s="48"/>
      <x:c r="F359" s="48"/>
      <x:c r="G359" s="48"/>
      <x:c r="H359" s="48"/>
      <x:c r="I359" s="48"/>
      <x:c r="J359" s="48"/>
      <x:c r="K359" s="48"/>
      <x:c r="L359" s="48"/>
      <x:c r="M359" s="48"/>
      <x:c r="N359" s="48"/>
      <x:c r="O359" s="48"/>
      <x:c r="P359" s="48"/>
      <x:c r="Q359" s="48"/>
      <x:c r="R359" s="48"/>
      <x:c r="S359" s="48"/>
      <x:c r="T359" s="48"/>
      <x:c r="U359" s="48"/>
      <x:c r="V359" s="48"/>
      <x:c r="W359" s="48"/>
      <x:c r="X359" s="48"/>
      <x:c r="Y359" s="48"/>
      <x:c r="Z359" s="48"/>
    </x:row>
    <x:row r="360">
      <x:c r="A360" s="48"/>
      <x:c r="B360" s="48"/>
      <x:c r="C360" s="48"/>
      <x:c r="D360" s="48"/>
      <x:c r="E360" s="48"/>
      <x:c r="F360" s="48"/>
      <x:c r="G360" s="48"/>
      <x:c r="H360" s="48"/>
      <x:c r="I360" s="48"/>
      <x:c r="J360" s="48"/>
      <x:c r="K360" s="48"/>
      <x:c r="L360" s="48"/>
      <x:c r="M360" s="48"/>
      <x:c r="N360" s="48"/>
      <x:c r="O360" s="48"/>
      <x:c r="P360" s="48"/>
      <x:c r="Q360" s="48"/>
      <x:c r="R360" s="48"/>
      <x:c r="S360" s="48"/>
      <x:c r="T360" s="48"/>
      <x:c r="U360" s="48"/>
      <x:c r="V360" s="48"/>
      <x:c r="W360" s="48"/>
      <x:c r="X360" s="48"/>
      <x:c r="Y360" s="48"/>
      <x:c r="Z360" s="48"/>
    </x:row>
    <x:row r="361">
      <x:c r="A361" s="48"/>
      <x:c r="B361" s="48"/>
      <x:c r="C361" s="48"/>
      <x:c r="D361" s="48"/>
      <x:c r="E361" s="48"/>
      <x:c r="F361" s="48"/>
      <x:c r="G361" s="48"/>
      <x:c r="H361" s="48"/>
      <x:c r="I361" s="48"/>
      <x:c r="J361" s="48"/>
      <x:c r="K361" s="48"/>
      <x:c r="L361" s="48"/>
      <x:c r="M361" s="48"/>
      <x:c r="N361" s="48"/>
      <x:c r="O361" s="48"/>
      <x:c r="P361" s="48"/>
      <x:c r="Q361" s="48"/>
      <x:c r="R361" s="48"/>
      <x:c r="S361" s="48"/>
      <x:c r="T361" s="48"/>
      <x:c r="U361" s="48"/>
      <x:c r="V361" s="48"/>
      <x:c r="W361" s="48"/>
      <x:c r="X361" s="48"/>
      <x:c r="Y361" s="48"/>
      <x:c r="Z361" s="48"/>
    </x:row>
    <x:row r="362">
      <x:c r="A362" s="48"/>
      <x:c r="B362" s="48"/>
      <x:c r="C362" s="48"/>
      <x:c r="D362" s="48"/>
      <x:c r="E362" s="48"/>
      <x:c r="F362" s="48"/>
      <x:c r="G362" s="48"/>
      <x:c r="H362" s="48"/>
      <x:c r="I362" s="48"/>
      <x:c r="J362" s="48"/>
      <x:c r="K362" s="48"/>
      <x:c r="L362" s="48"/>
      <x:c r="M362" s="48"/>
      <x:c r="N362" s="48"/>
      <x:c r="O362" s="48"/>
      <x:c r="P362" s="48"/>
      <x:c r="Q362" s="48"/>
      <x:c r="R362" s="48"/>
      <x:c r="S362" s="48"/>
      <x:c r="T362" s="48"/>
      <x:c r="U362" s="48"/>
      <x:c r="V362" s="48"/>
      <x:c r="W362" s="48"/>
      <x:c r="X362" s="48"/>
      <x:c r="Y362" s="48"/>
      <x:c r="Z362" s="48"/>
    </x:row>
    <x:row r="363">
      <x:c r="A363" s="48"/>
      <x:c r="B363" s="48"/>
      <x:c r="C363" s="48"/>
      <x:c r="D363" s="48"/>
      <x:c r="E363" s="48"/>
      <x:c r="F363" s="48"/>
      <x:c r="G363" s="48"/>
      <x:c r="H363" s="48"/>
      <x:c r="I363" s="48"/>
      <x:c r="J363" s="48"/>
      <x:c r="K363" s="48"/>
      <x:c r="L363" s="48"/>
      <x:c r="M363" s="48"/>
      <x:c r="N363" s="48"/>
      <x:c r="O363" s="48"/>
      <x:c r="P363" s="48"/>
      <x:c r="Q363" s="48"/>
      <x:c r="R363" s="48"/>
      <x:c r="S363" s="48"/>
      <x:c r="T363" s="48"/>
      <x:c r="U363" s="48"/>
      <x:c r="V363" s="48"/>
      <x:c r="W363" s="48"/>
      <x:c r="X363" s="48"/>
      <x:c r="Y363" s="48"/>
      <x:c r="Z363" s="48"/>
    </x:row>
    <x:row r="364">
      <x:c r="A364" s="48"/>
      <x:c r="B364" s="48"/>
      <x:c r="C364" s="48"/>
      <x:c r="D364" s="48"/>
      <x:c r="E364" s="48"/>
      <x:c r="F364" s="48"/>
      <x:c r="G364" s="48"/>
      <x:c r="H364" s="48"/>
      <x:c r="I364" s="48"/>
      <x:c r="J364" s="48"/>
      <x:c r="K364" s="48"/>
      <x:c r="L364" s="48"/>
      <x:c r="M364" s="48"/>
      <x:c r="N364" s="48"/>
      <x:c r="O364" s="48"/>
      <x:c r="P364" s="48"/>
      <x:c r="Q364" s="48"/>
      <x:c r="R364" s="48"/>
      <x:c r="S364" s="48"/>
      <x:c r="T364" s="48"/>
      <x:c r="U364" s="48"/>
      <x:c r="V364" s="48"/>
      <x:c r="W364" s="48"/>
      <x:c r="X364" s="48"/>
      <x:c r="Y364" s="48"/>
      <x:c r="Z364" s="48"/>
    </x:row>
    <x:row r="365">
      <x:c r="A365" s="48"/>
      <x:c r="B365" s="48"/>
      <x:c r="C365" s="48"/>
      <x:c r="D365" s="48"/>
      <x:c r="E365" s="48"/>
      <x:c r="F365" s="48"/>
      <x:c r="G365" s="48"/>
      <x:c r="H365" s="48"/>
      <x:c r="I365" s="48"/>
      <x:c r="J365" s="48"/>
      <x:c r="K365" s="48"/>
      <x:c r="L365" s="48"/>
      <x:c r="M365" s="48"/>
      <x:c r="N365" s="48"/>
      <x:c r="O365" s="48"/>
      <x:c r="P365" s="48"/>
      <x:c r="Q365" s="48"/>
      <x:c r="R365" s="48"/>
      <x:c r="S365" s="48"/>
      <x:c r="T365" s="48"/>
      <x:c r="U365" s="48"/>
      <x:c r="V365" s="48"/>
      <x:c r="W365" s="48"/>
      <x:c r="X365" s="48"/>
      <x:c r="Y365" s="48"/>
      <x:c r="Z365" s="48"/>
    </x:row>
    <x:row r="366">
      <x:c r="A366" s="48"/>
      <x:c r="B366" s="48"/>
      <x:c r="C366" s="48"/>
      <x:c r="D366" s="48"/>
      <x:c r="E366" s="48"/>
      <x:c r="F366" s="48"/>
      <x:c r="G366" s="48"/>
      <x:c r="H366" s="48"/>
      <x:c r="I366" s="48"/>
      <x:c r="J366" s="48"/>
      <x:c r="K366" s="48"/>
      <x:c r="L366" s="48"/>
      <x:c r="M366" s="48"/>
      <x:c r="N366" s="48"/>
      <x:c r="O366" s="48"/>
      <x:c r="P366" s="48"/>
      <x:c r="Q366" s="48"/>
      <x:c r="R366" s="48"/>
      <x:c r="S366" s="48"/>
      <x:c r="T366" s="48"/>
      <x:c r="U366" s="48"/>
      <x:c r="V366" s="48"/>
      <x:c r="W366" s="48"/>
      <x:c r="X366" s="48"/>
      <x:c r="Y366" s="48"/>
      <x:c r="Z366" s="48"/>
    </x:row>
    <x:row r="367">
      <x:c r="A367" s="48"/>
      <x:c r="B367" s="48"/>
      <x:c r="C367" s="48"/>
      <x:c r="D367" s="48"/>
      <x:c r="E367" s="48"/>
      <x:c r="F367" s="48"/>
      <x:c r="G367" s="48"/>
      <x:c r="H367" s="48"/>
      <x:c r="I367" s="48"/>
      <x:c r="J367" s="48"/>
      <x:c r="K367" s="48"/>
      <x:c r="L367" s="48"/>
      <x:c r="M367" s="48"/>
      <x:c r="N367" s="48"/>
      <x:c r="O367" s="48"/>
      <x:c r="P367" s="48"/>
      <x:c r="Q367" s="48"/>
      <x:c r="R367" s="48"/>
      <x:c r="S367" s="48"/>
      <x:c r="T367" s="48"/>
      <x:c r="U367" s="48"/>
      <x:c r="V367" s="48"/>
      <x:c r="W367" s="48"/>
      <x:c r="X367" s="48"/>
      <x:c r="Y367" s="48"/>
      <x:c r="Z367" s="48"/>
    </x:row>
    <x:row r="368">
      <x:c r="A368" s="48"/>
      <x:c r="B368" s="48"/>
      <x:c r="C368" s="48"/>
      <x:c r="D368" s="48"/>
      <x:c r="E368" s="48"/>
      <x:c r="F368" s="48"/>
      <x:c r="G368" s="48"/>
      <x:c r="H368" s="48"/>
      <x:c r="I368" s="48"/>
      <x:c r="J368" s="48"/>
      <x:c r="K368" s="48"/>
      <x:c r="L368" s="48"/>
      <x:c r="M368" s="48"/>
      <x:c r="N368" s="48"/>
      <x:c r="O368" s="48"/>
      <x:c r="P368" s="48"/>
      <x:c r="Q368" s="48"/>
      <x:c r="R368" s="48"/>
      <x:c r="S368" s="48"/>
      <x:c r="T368" s="48"/>
      <x:c r="U368" s="48"/>
      <x:c r="V368" s="48"/>
      <x:c r="W368" s="48"/>
      <x:c r="X368" s="48"/>
      <x:c r="Y368" s="48"/>
      <x:c r="Z368" s="48"/>
    </x:row>
    <x:row r="369">
      <x:c r="A369" s="48"/>
      <x:c r="B369" s="48"/>
      <x:c r="C369" s="48"/>
      <x:c r="D369" s="48"/>
      <x:c r="E369" s="48"/>
      <x:c r="F369" s="48"/>
      <x:c r="G369" s="48"/>
      <x:c r="H369" s="48"/>
      <x:c r="I369" s="48"/>
      <x:c r="J369" s="48"/>
      <x:c r="K369" s="48"/>
      <x:c r="L369" s="48"/>
      <x:c r="M369" s="48"/>
      <x:c r="N369" s="48"/>
      <x:c r="O369" s="48"/>
      <x:c r="P369" s="48"/>
      <x:c r="Q369" s="48"/>
      <x:c r="R369" s="48"/>
      <x:c r="S369" s="48"/>
      <x:c r="T369" s="48"/>
      <x:c r="U369" s="48"/>
      <x:c r="V369" s="48"/>
      <x:c r="W369" s="48"/>
      <x:c r="X369" s="48"/>
      <x:c r="Y369" s="48"/>
      <x:c r="Z369" s="48"/>
    </x:row>
    <x:row r="370">
      <x:c r="A370" s="48"/>
      <x:c r="B370" s="48"/>
      <x:c r="C370" s="48"/>
      <x:c r="D370" s="48"/>
      <x:c r="E370" s="48"/>
      <x:c r="F370" s="48"/>
      <x:c r="G370" s="48"/>
      <x:c r="H370" s="48"/>
      <x:c r="I370" s="48"/>
      <x:c r="J370" s="48"/>
      <x:c r="K370" s="48"/>
      <x:c r="L370" s="48"/>
      <x:c r="M370" s="48"/>
      <x:c r="N370" s="48"/>
      <x:c r="O370" s="48"/>
      <x:c r="P370" s="48"/>
      <x:c r="Q370" s="48"/>
      <x:c r="R370" s="48"/>
      <x:c r="S370" s="48"/>
      <x:c r="T370" s="48"/>
      <x:c r="U370" s="48"/>
      <x:c r="V370" s="48"/>
      <x:c r="W370" s="48"/>
      <x:c r="X370" s="48"/>
      <x:c r="Y370" s="48"/>
      <x:c r="Z370" s="48"/>
    </x:row>
    <x:row r="371">
      <x:c r="A371" s="48"/>
      <x:c r="B371" s="48"/>
      <x:c r="C371" s="48"/>
      <x:c r="D371" s="48"/>
      <x:c r="E371" s="48"/>
      <x:c r="F371" s="48"/>
      <x:c r="G371" s="48"/>
      <x:c r="H371" s="48"/>
      <x:c r="I371" s="48"/>
      <x:c r="J371" s="48"/>
      <x:c r="K371" s="48"/>
      <x:c r="L371" s="48"/>
      <x:c r="M371" s="48"/>
      <x:c r="N371" s="48"/>
      <x:c r="O371" s="48"/>
      <x:c r="P371" s="48"/>
      <x:c r="Q371" s="48"/>
      <x:c r="R371" s="48"/>
      <x:c r="S371" s="48"/>
      <x:c r="T371" s="48"/>
      <x:c r="U371" s="48"/>
      <x:c r="V371" s="48"/>
      <x:c r="W371" s="48"/>
      <x:c r="X371" s="48"/>
      <x:c r="Y371" s="48"/>
      <x:c r="Z371" s="48"/>
    </x:row>
    <x:row r="372">
      <x:c r="A372" s="48"/>
      <x:c r="B372" s="48"/>
      <x:c r="C372" s="48"/>
      <x:c r="D372" s="48"/>
      <x:c r="E372" s="48"/>
      <x:c r="F372" s="48"/>
      <x:c r="G372" s="48"/>
      <x:c r="H372" s="48"/>
      <x:c r="I372" s="48"/>
      <x:c r="J372" s="48"/>
      <x:c r="K372" s="48"/>
      <x:c r="L372" s="48"/>
      <x:c r="M372" s="48"/>
      <x:c r="N372" s="48"/>
      <x:c r="O372" s="48"/>
      <x:c r="P372" s="48"/>
      <x:c r="Q372" s="48"/>
      <x:c r="R372" s="48"/>
      <x:c r="S372" s="48"/>
      <x:c r="T372" s="48"/>
      <x:c r="U372" s="48"/>
      <x:c r="V372" s="48"/>
      <x:c r="W372" s="48"/>
      <x:c r="X372" s="48"/>
      <x:c r="Y372" s="48"/>
      <x:c r="Z372" s="48"/>
    </x:row>
    <x:row r="373">
      <x:c r="A373" s="48"/>
      <x:c r="B373" s="48"/>
      <x:c r="C373" s="48"/>
      <x:c r="D373" s="48"/>
      <x:c r="E373" s="48"/>
      <x:c r="F373" s="48"/>
      <x:c r="G373" s="48"/>
      <x:c r="H373" s="48"/>
      <x:c r="I373" s="48"/>
      <x:c r="J373" s="48"/>
      <x:c r="K373" s="48"/>
      <x:c r="L373" s="48"/>
      <x:c r="M373" s="48"/>
      <x:c r="N373" s="48"/>
      <x:c r="O373" s="48"/>
      <x:c r="P373" s="48"/>
      <x:c r="Q373" s="48"/>
      <x:c r="R373" s="48"/>
      <x:c r="S373" s="48"/>
      <x:c r="T373" s="48"/>
      <x:c r="U373" s="48"/>
      <x:c r="V373" s="48"/>
      <x:c r="W373" s="48"/>
      <x:c r="X373" s="48"/>
      <x:c r="Y373" s="48"/>
      <x:c r="Z373" s="48"/>
    </x:row>
    <x:row r="374">
      <x:c r="A374" s="48"/>
      <x:c r="B374" s="48"/>
      <x:c r="C374" s="48"/>
      <x:c r="D374" s="48"/>
      <x:c r="E374" s="48"/>
      <x:c r="F374" s="48"/>
      <x:c r="G374" s="48"/>
      <x:c r="H374" s="48"/>
      <x:c r="I374" s="48"/>
      <x:c r="J374" s="48"/>
      <x:c r="K374" s="48"/>
      <x:c r="L374" s="48"/>
      <x:c r="M374" s="48"/>
      <x:c r="N374" s="48"/>
      <x:c r="O374" s="48"/>
      <x:c r="P374" s="48"/>
      <x:c r="Q374" s="48"/>
      <x:c r="R374" s="48"/>
      <x:c r="S374" s="48"/>
      <x:c r="T374" s="48"/>
      <x:c r="U374" s="48"/>
      <x:c r="V374" s="48"/>
      <x:c r="W374" s="48"/>
      <x:c r="X374" s="48"/>
      <x:c r="Y374" s="48"/>
      <x:c r="Z374" s="48"/>
    </x:row>
    <x:row r="375">
      <x:c r="A375" s="48"/>
      <x:c r="B375" s="48"/>
      <x:c r="C375" s="48"/>
      <x:c r="D375" s="48"/>
      <x:c r="E375" s="48"/>
      <x:c r="F375" s="48"/>
      <x:c r="G375" s="48"/>
      <x:c r="H375" s="48"/>
      <x:c r="I375" s="48"/>
      <x:c r="J375" s="48"/>
      <x:c r="K375" s="48"/>
      <x:c r="L375" s="48"/>
      <x:c r="M375" s="48"/>
      <x:c r="N375" s="48"/>
      <x:c r="O375" s="48"/>
      <x:c r="P375" s="48"/>
      <x:c r="Q375" s="48"/>
      <x:c r="R375" s="48"/>
      <x:c r="S375" s="48"/>
      <x:c r="T375" s="48"/>
      <x:c r="U375" s="48"/>
      <x:c r="V375" s="48"/>
      <x:c r="W375" s="48"/>
      <x:c r="X375" s="48"/>
      <x:c r="Y375" s="48"/>
      <x:c r="Z375" s="48"/>
    </x:row>
    <x:row r="376">
      <x:c r="A376" s="48"/>
      <x:c r="B376" s="48"/>
      <x:c r="C376" s="48"/>
      <x:c r="D376" s="48"/>
      <x:c r="E376" s="48"/>
      <x:c r="F376" s="48"/>
      <x:c r="G376" s="48"/>
      <x:c r="H376" s="48"/>
      <x:c r="I376" s="48"/>
      <x:c r="J376" s="48"/>
      <x:c r="K376" s="48"/>
      <x:c r="L376" s="48"/>
      <x:c r="M376" s="48"/>
      <x:c r="N376" s="48"/>
      <x:c r="O376" s="48"/>
      <x:c r="P376" s="48"/>
      <x:c r="Q376" s="48"/>
      <x:c r="R376" s="48"/>
      <x:c r="S376" s="48"/>
      <x:c r="T376" s="48"/>
      <x:c r="U376" s="48"/>
      <x:c r="V376" s="48"/>
      <x:c r="W376" s="48"/>
      <x:c r="X376" s="48"/>
      <x:c r="Y376" s="48"/>
      <x:c r="Z376" s="48"/>
    </x:row>
    <x:row r="377">
      <x:c r="A377" s="48"/>
      <x:c r="B377" s="48"/>
      <x:c r="C377" s="48"/>
      <x:c r="D377" s="48"/>
      <x:c r="E377" s="48"/>
      <x:c r="F377" s="48"/>
      <x:c r="G377" s="48"/>
      <x:c r="H377" s="48"/>
      <x:c r="I377" s="48"/>
      <x:c r="J377" s="48"/>
      <x:c r="K377" s="48"/>
      <x:c r="L377" s="48"/>
      <x:c r="M377" s="48"/>
      <x:c r="N377" s="48"/>
      <x:c r="O377" s="48"/>
      <x:c r="P377" s="48"/>
      <x:c r="Q377" s="48"/>
      <x:c r="R377" s="48"/>
      <x:c r="S377" s="48"/>
      <x:c r="T377" s="48"/>
      <x:c r="U377" s="48"/>
      <x:c r="V377" s="48"/>
      <x:c r="W377" s="48"/>
      <x:c r="X377" s="48"/>
      <x:c r="Y377" s="48"/>
      <x:c r="Z377" s="48"/>
    </x:row>
    <x:row r="378">
      <x:c r="A378" s="48"/>
      <x:c r="B378" s="48"/>
      <x:c r="C378" s="48"/>
      <x:c r="D378" s="48"/>
      <x:c r="E378" s="48"/>
      <x:c r="F378" s="48"/>
      <x:c r="G378" s="48"/>
      <x:c r="H378" s="48"/>
      <x:c r="I378" s="48"/>
      <x:c r="J378" s="48"/>
      <x:c r="K378" s="48"/>
      <x:c r="L378" s="48"/>
      <x:c r="M378" s="48"/>
      <x:c r="N378" s="48"/>
      <x:c r="O378" s="48"/>
      <x:c r="P378" s="48"/>
      <x:c r="Q378" s="48"/>
      <x:c r="R378" s="48"/>
      <x:c r="S378" s="48"/>
      <x:c r="T378" s="48"/>
      <x:c r="U378" s="48"/>
      <x:c r="V378" s="48"/>
      <x:c r="W378" s="48"/>
      <x:c r="X378" s="48"/>
      <x:c r="Y378" s="48"/>
      <x:c r="Z378" s="48"/>
    </x:row>
    <x:row r="379">
      <x:c r="A379" s="48"/>
      <x:c r="B379" s="48"/>
      <x:c r="C379" s="48"/>
      <x:c r="D379" s="48"/>
      <x:c r="E379" s="48"/>
      <x:c r="F379" s="48"/>
      <x:c r="G379" s="48"/>
      <x:c r="H379" s="48"/>
      <x:c r="I379" s="48"/>
      <x:c r="J379" s="48"/>
      <x:c r="K379" s="48"/>
      <x:c r="L379" s="48"/>
      <x:c r="M379" s="48"/>
      <x:c r="N379" s="48"/>
      <x:c r="O379" s="48"/>
      <x:c r="P379" s="48"/>
      <x:c r="Q379" s="48"/>
      <x:c r="R379" s="48"/>
      <x:c r="S379" s="48"/>
      <x:c r="T379" s="48"/>
      <x:c r="U379" s="48"/>
      <x:c r="V379" s="48"/>
      <x:c r="W379" s="48"/>
      <x:c r="X379" s="48"/>
      <x:c r="Y379" s="48"/>
      <x:c r="Z379" s="48"/>
    </x:row>
    <x:row r="380">
      <x:c r="A380" s="48"/>
      <x:c r="B380" s="48"/>
      <x:c r="C380" s="48"/>
      <x:c r="D380" s="48"/>
      <x:c r="E380" s="48"/>
      <x:c r="F380" s="48"/>
      <x:c r="G380" s="48"/>
      <x:c r="H380" s="48"/>
      <x:c r="I380" s="48"/>
      <x:c r="J380" s="48"/>
      <x:c r="K380" s="48"/>
      <x:c r="L380" s="48"/>
      <x:c r="M380" s="48"/>
      <x:c r="N380" s="48"/>
      <x:c r="O380" s="48"/>
      <x:c r="P380" s="48"/>
      <x:c r="Q380" s="48"/>
      <x:c r="R380" s="48"/>
      <x:c r="S380" s="48"/>
      <x:c r="T380" s="48"/>
      <x:c r="U380" s="48"/>
      <x:c r="V380" s="48"/>
      <x:c r="W380" s="48"/>
      <x:c r="X380" s="48"/>
      <x:c r="Y380" s="48"/>
      <x:c r="Z380" s="48"/>
    </x:row>
    <x:row r="381">
      <x:c r="A381" s="48"/>
      <x:c r="B381" s="48"/>
      <x:c r="C381" s="48"/>
      <x:c r="D381" s="48"/>
      <x:c r="E381" s="48"/>
      <x:c r="F381" s="48"/>
      <x:c r="G381" s="48"/>
      <x:c r="H381" s="48"/>
      <x:c r="I381" s="48"/>
      <x:c r="J381" s="48"/>
      <x:c r="K381" s="48"/>
      <x:c r="L381" s="48"/>
      <x:c r="M381" s="48"/>
      <x:c r="N381" s="48"/>
      <x:c r="O381" s="48"/>
      <x:c r="P381" s="48"/>
      <x:c r="Q381" s="48"/>
      <x:c r="R381" s="48"/>
      <x:c r="S381" s="48"/>
      <x:c r="T381" s="48"/>
      <x:c r="U381" s="48"/>
      <x:c r="V381" s="48"/>
      <x:c r="W381" s="48"/>
      <x:c r="X381" s="48"/>
      <x:c r="Y381" s="48"/>
      <x:c r="Z381" s="48"/>
    </x:row>
    <x:row r="382">
      <x:c r="A382" s="48"/>
      <x:c r="B382" s="48"/>
      <x:c r="C382" s="48"/>
      <x:c r="D382" s="48"/>
      <x:c r="E382" s="48"/>
      <x:c r="F382" s="48"/>
      <x:c r="G382" s="48"/>
      <x:c r="H382" s="48"/>
      <x:c r="I382" s="48"/>
      <x:c r="J382" s="48"/>
      <x:c r="K382" s="48"/>
      <x:c r="L382" s="48"/>
      <x:c r="M382" s="48"/>
      <x:c r="N382" s="48"/>
      <x:c r="O382" s="48"/>
      <x:c r="P382" s="48"/>
      <x:c r="Q382" s="48"/>
      <x:c r="R382" s="48"/>
      <x:c r="S382" s="48"/>
      <x:c r="T382" s="48"/>
      <x:c r="U382" s="48"/>
      <x:c r="V382" s="48"/>
      <x:c r="W382" s="48"/>
      <x:c r="X382" s="48"/>
      <x:c r="Y382" s="48"/>
      <x:c r="Z382" s="48"/>
    </x:row>
    <x:row r="383">
      <x:c r="A383" s="48"/>
      <x:c r="B383" s="48"/>
      <x:c r="C383" s="48"/>
      <x:c r="D383" s="48"/>
      <x:c r="E383" s="48"/>
      <x:c r="F383" s="48"/>
      <x:c r="G383" s="48"/>
      <x:c r="H383" s="48"/>
      <x:c r="I383" s="48"/>
      <x:c r="J383" s="48"/>
      <x:c r="K383" s="48"/>
      <x:c r="L383" s="48"/>
      <x:c r="M383" s="48"/>
      <x:c r="N383" s="48"/>
      <x:c r="O383" s="48"/>
      <x:c r="P383" s="48"/>
      <x:c r="Q383" s="48"/>
      <x:c r="R383" s="48"/>
      <x:c r="S383" s="48"/>
      <x:c r="T383" s="48"/>
      <x:c r="U383" s="48"/>
      <x:c r="V383" s="48"/>
      <x:c r="W383" s="48"/>
      <x:c r="X383" s="48"/>
      <x:c r="Y383" s="48"/>
      <x:c r="Z383" s="48"/>
    </x:row>
    <x:row r="384">
      <x:c r="A384" s="48"/>
      <x:c r="B384" s="48"/>
      <x:c r="C384" s="48"/>
      <x:c r="D384" s="48"/>
      <x:c r="E384" s="48"/>
      <x:c r="F384" s="48"/>
      <x:c r="G384" s="48"/>
      <x:c r="H384" s="48"/>
      <x:c r="I384" s="48"/>
      <x:c r="J384" s="48"/>
      <x:c r="K384" s="48"/>
      <x:c r="L384" s="48"/>
      <x:c r="M384" s="48"/>
      <x:c r="N384" s="48"/>
      <x:c r="O384" s="48"/>
      <x:c r="P384" s="48"/>
      <x:c r="Q384" s="48"/>
      <x:c r="R384" s="48"/>
      <x:c r="S384" s="48"/>
      <x:c r="T384" s="48"/>
      <x:c r="U384" s="48"/>
      <x:c r="V384" s="48"/>
      <x:c r="W384" s="48"/>
      <x:c r="X384" s="48"/>
      <x:c r="Y384" s="48"/>
      <x:c r="Z384" s="48"/>
    </x:row>
    <x:row r="385">
      <x:c r="A385" s="48"/>
      <x:c r="B385" s="48"/>
      <x:c r="C385" s="48"/>
      <x:c r="D385" s="48"/>
      <x:c r="E385" s="48"/>
      <x:c r="F385" s="48"/>
      <x:c r="G385" s="48"/>
      <x:c r="H385" s="48"/>
      <x:c r="I385" s="48"/>
      <x:c r="J385" s="48"/>
      <x:c r="K385" s="48"/>
      <x:c r="L385" s="48"/>
      <x:c r="M385" s="48"/>
      <x:c r="N385" s="48"/>
      <x:c r="O385" s="48"/>
      <x:c r="P385" s="48"/>
      <x:c r="Q385" s="48"/>
      <x:c r="R385" s="48"/>
      <x:c r="S385" s="48"/>
      <x:c r="T385" s="48"/>
      <x:c r="U385" s="48"/>
      <x:c r="V385" s="48"/>
      <x:c r="W385" s="48"/>
      <x:c r="X385" s="48"/>
      <x:c r="Y385" s="48"/>
      <x:c r="Z385" s="48"/>
    </x:row>
    <x:row r="386">
      <x:c r="A386" s="48"/>
      <x:c r="B386" s="48"/>
      <x:c r="C386" s="48"/>
      <x:c r="D386" s="48"/>
      <x:c r="E386" s="48"/>
      <x:c r="F386" s="48"/>
      <x:c r="G386" s="48"/>
      <x:c r="H386" s="48"/>
      <x:c r="I386" s="48"/>
      <x:c r="J386" s="48"/>
      <x:c r="K386" s="48"/>
      <x:c r="L386" s="48"/>
      <x:c r="M386" s="48"/>
      <x:c r="N386" s="48"/>
      <x:c r="O386" s="48"/>
      <x:c r="P386" s="48"/>
      <x:c r="Q386" s="48"/>
      <x:c r="R386" s="48"/>
      <x:c r="S386" s="48"/>
      <x:c r="T386" s="48"/>
      <x:c r="U386" s="48"/>
      <x:c r="V386" s="48"/>
      <x:c r="W386" s="48"/>
      <x:c r="X386" s="48"/>
      <x:c r="Y386" s="48"/>
      <x:c r="Z386" s="48"/>
    </x:row>
    <x:row r="387">
      <x:c r="A387" s="48"/>
      <x:c r="B387" s="48"/>
      <x:c r="C387" s="48"/>
      <x:c r="D387" s="48"/>
      <x:c r="E387" s="48"/>
      <x:c r="F387" s="48"/>
      <x:c r="G387" s="48"/>
      <x:c r="H387" s="48"/>
      <x:c r="I387" s="48"/>
      <x:c r="J387" s="48"/>
      <x:c r="K387" s="48"/>
      <x:c r="L387" s="48"/>
      <x:c r="M387" s="48"/>
      <x:c r="N387" s="48"/>
      <x:c r="O387" s="48"/>
      <x:c r="P387" s="48"/>
      <x:c r="Q387" s="48"/>
      <x:c r="R387" s="48"/>
      <x:c r="S387" s="48"/>
      <x:c r="T387" s="48"/>
      <x:c r="U387" s="48"/>
      <x:c r="V387" s="48"/>
      <x:c r="W387" s="48"/>
      <x:c r="X387" s="48"/>
      <x:c r="Y387" s="48"/>
      <x:c r="Z387" s="48"/>
    </x:row>
    <x:row r="388">
      <x:c r="A388" s="48"/>
      <x:c r="B388" s="48"/>
      <x:c r="C388" s="48"/>
      <x:c r="D388" s="48"/>
      <x:c r="E388" s="48"/>
      <x:c r="F388" s="48"/>
      <x:c r="G388" s="48"/>
      <x:c r="H388" s="48"/>
      <x:c r="I388" s="48"/>
      <x:c r="J388" s="48"/>
      <x:c r="K388" s="48"/>
      <x:c r="L388" s="48"/>
      <x:c r="M388" s="48"/>
      <x:c r="N388" s="48"/>
      <x:c r="O388" s="48"/>
      <x:c r="P388" s="48"/>
      <x:c r="Q388" s="48"/>
      <x:c r="R388" s="48"/>
      <x:c r="S388" s="48"/>
      <x:c r="T388" s="48"/>
      <x:c r="U388" s="48"/>
      <x:c r="V388" s="48"/>
      <x:c r="W388" s="48"/>
      <x:c r="X388" s="48"/>
      <x:c r="Y388" s="48"/>
      <x:c r="Z388" s="48"/>
    </x:row>
    <x:row r="389">
      <x:c r="A389" s="48"/>
      <x:c r="B389" s="48"/>
      <x:c r="C389" s="48"/>
      <x:c r="D389" s="48"/>
      <x:c r="E389" s="48"/>
      <x:c r="F389" s="48"/>
      <x:c r="G389" s="48"/>
      <x:c r="H389" s="48"/>
      <x:c r="I389" s="48"/>
      <x:c r="J389" s="48"/>
      <x:c r="K389" s="48"/>
      <x:c r="L389" s="48"/>
      <x:c r="M389" s="48"/>
      <x:c r="N389" s="48"/>
      <x:c r="O389" s="48"/>
      <x:c r="P389" s="48"/>
      <x:c r="Q389" s="48"/>
      <x:c r="R389" s="48"/>
      <x:c r="S389" s="48"/>
      <x:c r="T389" s="48"/>
      <x:c r="U389" s="48"/>
      <x:c r="V389" s="48"/>
      <x:c r="W389" s="48"/>
      <x:c r="X389" s="48"/>
      <x:c r="Y389" s="48"/>
      <x:c r="Z389" s="48"/>
    </x:row>
    <x:row r="390">
      <x:c r="A390" s="48"/>
      <x:c r="B390" s="48"/>
      <x:c r="C390" s="48"/>
      <x:c r="D390" s="48"/>
      <x:c r="E390" s="48"/>
      <x:c r="F390" s="48"/>
      <x:c r="G390" s="48"/>
      <x:c r="H390" s="48"/>
      <x:c r="I390" s="48"/>
      <x:c r="J390" s="48"/>
      <x:c r="K390" s="48"/>
      <x:c r="L390" s="48"/>
      <x:c r="M390" s="48"/>
      <x:c r="N390" s="48"/>
      <x:c r="O390" s="48"/>
      <x:c r="P390" s="48"/>
      <x:c r="Q390" s="48"/>
      <x:c r="R390" s="48"/>
      <x:c r="S390" s="48"/>
      <x:c r="T390" s="48"/>
      <x:c r="U390" s="48"/>
      <x:c r="V390" s="48"/>
      <x:c r="W390" s="48"/>
      <x:c r="X390" s="48"/>
      <x:c r="Y390" s="48"/>
      <x:c r="Z390" s="48"/>
    </x:row>
    <x:row r="391">
      <x:c r="A391" s="48"/>
      <x:c r="B391" s="48"/>
      <x:c r="C391" s="48"/>
      <x:c r="D391" s="48"/>
      <x:c r="E391" s="48"/>
      <x:c r="F391" s="48"/>
      <x:c r="G391" s="48"/>
      <x:c r="H391" s="48"/>
      <x:c r="I391" s="48"/>
      <x:c r="J391" s="48"/>
      <x:c r="K391" s="48"/>
      <x:c r="L391" s="48"/>
      <x:c r="M391" s="48"/>
      <x:c r="N391" s="48"/>
      <x:c r="O391" s="48"/>
      <x:c r="P391" s="48"/>
      <x:c r="Q391" s="48"/>
      <x:c r="R391" s="48"/>
      <x:c r="S391" s="48"/>
      <x:c r="T391" s="48"/>
      <x:c r="U391" s="48"/>
      <x:c r="V391" s="48"/>
      <x:c r="W391" s="48"/>
      <x:c r="X391" s="48"/>
      <x:c r="Y391" s="48"/>
      <x:c r="Z391" s="48"/>
    </x:row>
    <x:row r="392">
      <x:c r="A392" s="48"/>
      <x:c r="B392" s="48"/>
      <x:c r="C392" s="48"/>
      <x:c r="D392" s="48"/>
      <x:c r="E392" s="48"/>
      <x:c r="F392" s="48"/>
      <x:c r="G392" s="48"/>
      <x:c r="H392" s="48"/>
      <x:c r="I392" s="48"/>
      <x:c r="J392" s="48"/>
      <x:c r="K392" s="48"/>
      <x:c r="L392" s="48"/>
      <x:c r="M392" s="48"/>
      <x:c r="N392" s="48"/>
      <x:c r="O392" s="48"/>
      <x:c r="P392" s="48"/>
      <x:c r="Q392" s="48"/>
      <x:c r="R392" s="48"/>
      <x:c r="S392" s="48"/>
      <x:c r="T392" s="48"/>
      <x:c r="U392" s="48"/>
      <x:c r="V392" s="48"/>
      <x:c r="W392" s="48"/>
      <x:c r="X392" s="48"/>
      <x:c r="Y392" s="48"/>
      <x:c r="Z392" s="48"/>
    </x:row>
    <x:row r="393">
      <x:c r="A393" s="48"/>
      <x:c r="B393" s="48"/>
      <x:c r="C393" s="48"/>
      <x:c r="D393" s="48"/>
      <x:c r="E393" s="48"/>
      <x:c r="F393" s="48"/>
      <x:c r="G393" s="48"/>
      <x:c r="H393" s="48"/>
      <x:c r="I393" s="48"/>
      <x:c r="J393" s="48"/>
      <x:c r="K393" s="48"/>
      <x:c r="L393" s="48"/>
      <x:c r="M393" s="48"/>
      <x:c r="N393" s="48"/>
      <x:c r="O393" s="48"/>
      <x:c r="P393" s="48"/>
      <x:c r="Q393" s="48"/>
      <x:c r="R393" s="48"/>
      <x:c r="S393" s="48"/>
      <x:c r="T393" s="48"/>
      <x:c r="U393" s="48"/>
      <x:c r="V393" s="48"/>
      <x:c r="W393" s="48"/>
      <x:c r="X393" s="48"/>
      <x:c r="Y393" s="48"/>
      <x:c r="Z393" s="48"/>
    </x:row>
    <x:row r="394">
      <x:c r="A394" s="48"/>
      <x:c r="B394" s="48"/>
      <x:c r="C394" s="48"/>
      <x:c r="D394" s="48"/>
      <x:c r="E394" s="48"/>
      <x:c r="F394" s="48"/>
      <x:c r="G394" s="48"/>
      <x:c r="H394" s="48"/>
      <x:c r="I394" s="48"/>
      <x:c r="J394" s="48"/>
      <x:c r="K394" s="48"/>
      <x:c r="L394" s="48"/>
      <x:c r="M394" s="48"/>
      <x:c r="N394" s="48"/>
      <x:c r="O394" s="48"/>
      <x:c r="P394" s="48"/>
      <x:c r="Q394" s="48"/>
      <x:c r="R394" s="48"/>
      <x:c r="S394" s="48"/>
      <x:c r="T394" s="48"/>
      <x:c r="U394" s="48"/>
      <x:c r="V394" s="48"/>
      <x:c r="W394" s="48"/>
      <x:c r="X394" s="48"/>
      <x:c r="Y394" s="48"/>
      <x:c r="Z394" s="48"/>
    </x:row>
    <x:row r="395">
      <x:c r="A395" s="48"/>
      <x:c r="B395" s="48"/>
      <x:c r="C395" s="48"/>
      <x:c r="D395" s="48"/>
      <x:c r="E395" s="48"/>
      <x:c r="F395" s="48"/>
      <x:c r="G395" s="48"/>
      <x:c r="H395" s="48"/>
      <x:c r="I395" s="48"/>
      <x:c r="J395" s="48"/>
      <x:c r="K395" s="48"/>
      <x:c r="L395" s="48"/>
      <x:c r="M395" s="48"/>
      <x:c r="N395" s="48"/>
      <x:c r="O395" s="48"/>
      <x:c r="P395" s="48"/>
      <x:c r="Q395" s="48"/>
      <x:c r="R395" s="48"/>
      <x:c r="S395" s="48"/>
      <x:c r="T395" s="48"/>
      <x:c r="U395" s="48"/>
      <x:c r="V395" s="48"/>
      <x:c r="W395" s="48"/>
      <x:c r="X395" s="48"/>
      <x:c r="Y395" s="48"/>
      <x:c r="Z395" s="48"/>
    </x:row>
    <x:row r="396">
      <x:c r="A396" s="48"/>
      <x:c r="B396" s="48"/>
      <x:c r="C396" s="48"/>
      <x:c r="D396" s="48"/>
      <x:c r="E396" s="48"/>
      <x:c r="F396" s="48"/>
      <x:c r="G396" s="48"/>
      <x:c r="H396" s="48"/>
      <x:c r="I396" s="48"/>
      <x:c r="J396" s="48"/>
      <x:c r="K396" s="48"/>
      <x:c r="L396" s="48"/>
      <x:c r="M396" s="48"/>
      <x:c r="N396" s="48"/>
      <x:c r="O396" s="48"/>
      <x:c r="P396" s="48"/>
      <x:c r="Q396" s="48"/>
      <x:c r="R396" s="48"/>
      <x:c r="S396" s="48"/>
      <x:c r="T396" s="48"/>
      <x:c r="U396" s="48"/>
      <x:c r="V396" s="48"/>
      <x:c r="W396" s="48"/>
      <x:c r="X396" s="48"/>
      <x:c r="Y396" s="48"/>
      <x:c r="Z396" s="48"/>
    </x:row>
    <x:row r="397">
      <x:c r="A397" s="48"/>
      <x:c r="B397" s="48"/>
      <x:c r="C397" s="48"/>
      <x:c r="D397" s="48"/>
      <x:c r="E397" s="48"/>
      <x:c r="F397" s="48"/>
      <x:c r="G397" s="48"/>
      <x:c r="H397" s="48"/>
      <x:c r="I397" s="48"/>
      <x:c r="J397" s="48"/>
      <x:c r="K397" s="48"/>
      <x:c r="L397" s="48"/>
      <x:c r="M397" s="48"/>
      <x:c r="N397" s="48"/>
      <x:c r="O397" s="48"/>
      <x:c r="P397" s="48"/>
      <x:c r="Q397" s="48"/>
      <x:c r="R397" s="48"/>
      <x:c r="S397" s="48"/>
      <x:c r="T397" s="48"/>
      <x:c r="U397" s="48"/>
      <x:c r="V397" s="48"/>
      <x:c r="W397" s="48"/>
      <x:c r="X397" s="48"/>
      <x:c r="Y397" s="48"/>
      <x:c r="Z397" s="48"/>
    </x:row>
    <x:row r="398">
      <x:c r="A398" s="48"/>
      <x:c r="B398" s="48"/>
      <x:c r="C398" s="48"/>
      <x:c r="D398" s="48"/>
      <x:c r="E398" s="48"/>
      <x:c r="F398" s="48"/>
      <x:c r="G398" s="48"/>
      <x:c r="H398" s="48"/>
      <x:c r="I398" s="48"/>
      <x:c r="J398" s="48"/>
      <x:c r="K398" s="48"/>
      <x:c r="L398" s="48"/>
      <x:c r="M398" s="48"/>
      <x:c r="N398" s="48"/>
      <x:c r="O398" s="48"/>
      <x:c r="P398" s="48"/>
      <x:c r="Q398" s="48"/>
      <x:c r="R398" s="48"/>
      <x:c r="S398" s="48"/>
      <x:c r="T398" s="48"/>
      <x:c r="U398" s="48"/>
      <x:c r="V398" s="48"/>
      <x:c r="W398" s="48"/>
      <x:c r="X398" s="48"/>
      <x:c r="Y398" s="48"/>
      <x:c r="Z398" s="48"/>
    </x:row>
    <x:row r="399">
      <x:c r="A399" s="48"/>
      <x:c r="B399" s="48"/>
      <x:c r="C399" s="48"/>
      <x:c r="D399" s="48"/>
      <x:c r="E399" s="48"/>
      <x:c r="F399" s="48"/>
      <x:c r="G399" s="48"/>
      <x:c r="H399" s="48"/>
      <x:c r="I399" s="48"/>
      <x:c r="J399" s="48"/>
      <x:c r="K399" s="48"/>
      <x:c r="L399" s="48"/>
      <x:c r="M399" s="48"/>
      <x:c r="N399" s="48"/>
      <x:c r="O399" s="48"/>
      <x:c r="P399" s="48"/>
      <x:c r="Q399" s="48"/>
      <x:c r="R399" s="48"/>
      <x:c r="S399" s="48"/>
      <x:c r="T399" s="48"/>
      <x:c r="U399" s="48"/>
      <x:c r="V399" s="48"/>
      <x:c r="W399" s="48"/>
      <x:c r="X399" s="48"/>
      <x:c r="Y399" s="48"/>
      <x:c r="Z399" s="48"/>
    </x:row>
    <x:row r="400">
      <x:c r="A400" s="48"/>
      <x:c r="B400" s="48"/>
      <x:c r="C400" s="48"/>
      <x:c r="D400" s="48"/>
      <x:c r="E400" s="48"/>
      <x:c r="F400" s="48"/>
      <x:c r="G400" s="48"/>
      <x:c r="H400" s="48"/>
      <x:c r="I400" s="48"/>
      <x:c r="J400" s="48"/>
      <x:c r="K400" s="48"/>
      <x:c r="L400" s="48"/>
      <x:c r="M400" s="48"/>
      <x:c r="N400" s="48"/>
      <x:c r="O400" s="48"/>
      <x:c r="P400" s="48"/>
      <x:c r="Q400" s="48"/>
      <x:c r="R400" s="48"/>
      <x:c r="S400" s="48"/>
      <x:c r="T400" s="48"/>
      <x:c r="U400" s="48"/>
      <x:c r="V400" s="48"/>
      <x:c r="W400" s="48"/>
      <x:c r="X400" s="48"/>
      <x:c r="Y400" s="48"/>
      <x:c r="Z400" s="48"/>
    </x:row>
    <x:row r="401">
      <x:c r="A401" s="48"/>
      <x:c r="B401" s="48"/>
      <x:c r="C401" s="48"/>
      <x:c r="D401" s="48"/>
      <x:c r="E401" s="48"/>
      <x:c r="F401" s="48"/>
      <x:c r="G401" s="48"/>
      <x:c r="H401" s="48"/>
      <x:c r="I401" s="48"/>
      <x:c r="J401" s="48"/>
      <x:c r="K401" s="48"/>
      <x:c r="L401" s="48"/>
      <x:c r="M401" s="48"/>
      <x:c r="N401" s="48"/>
      <x:c r="O401" s="48"/>
      <x:c r="P401" s="48"/>
      <x:c r="Q401" s="48"/>
      <x:c r="R401" s="48"/>
      <x:c r="S401" s="48"/>
      <x:c r="T401" s="48"/>
      <x:c r="U401" s="48"/>
      <x:c r="V401" s="48"/>
      <x:c r="W401" s="48"/>
      <x:c r="X401" s="48"/>
      <x:c r="Y401" s="48"/>
      <x:c r="Z401" s="48"/>
    </x:row>
    <x:row r="402">
      <x:c r="A402" s="48"/>
      <x:c r="B402" s="48"/>
      <x:c r="C402" s="48"/>
      <x:c r="D402" s="48"/>
      <x:c r="E402" s="48"/>
      <x:c r="F402" s="48"/>
      <x:c r="G402" s="48"/>
      <x:c r="H402" s="48"/>
      <x:c r="I402" s="48"/>
      <x:c r="J402" s="48"/>
      <x:c r="K402" s="48"/>
      <x:c r="L402" s="48"/>
      <x:c r="M402" s="48"/>
      <x:c r="N402" s="48"/>
      <x:c r="O402" s="48"/>
      <x:c r="P402" s="48"/>
      <x:c r="Q402" s="48"/>
      <x:c r="R402" s="48"/>
      <x:c r="S402" s="48"/>
      <x:c r="T402" s="48"/>
      <x:c r="U402" s="48"/>
      <x:c r="V402" s="48"/>
      <x:c r="W402" s="48"/>
      <x:c r="X402" s="48"/>
      <x:c r="Y402" s="48"/>
      <x:c r="Z402" s="48"/>
    </x:row>
    <x:row r="403">
      <x:c r="A403" s="48"/>
      <x:c r="B403" s="48"/>
      <x:c r="C403" s="48"/>
      <x:c r="D403" s="48"/>
      <x:c r="E403" s="48"/>
      <x:c r="F403" s="48"/>
      <x:c r="G403" s="48"/>
      <x:c r="H403" s="48"/>
      <x:c r="I403" s="48"/>
      <x:c r="J403" s="48"/>
      <x:c r="K403" s="48"/>
      <x:c r="L403" s="48"/>
      <x:c r="M403" s="48"/>
      <x:c r="N403" s="48"/>
      <x:c r="O403" s="48"/>
      <x:c r="P403" s="48"/>
      <x:c r="Q403" s="48"/>
      <x:c r="R403" s="48"/>
      <x:c r="S403" s="48"/>
      <x:c r="T403" s="48"/>
      <x:c r="U403" s="48"/>
      <x:c r="V403" s="48"/>
      <x:c r="W403" s="48"/>
      <x:c r="X403" s="48"/>
      <x:c r="Y403" s="48"/>
      <x:c r="Z403" s="48"/>
    </x:row>
    <x:row r="404">
      <x:c r="A404" s="48"/>
      <x:c r="B404" s="48"/>
      <x:c r="C404" s="48"/>
      <x:c r="D404" s="48"/>
      <x:c r="E404" s="48"/>
      <x:c r="F404" s="48"/>
      <x:c r="G404" s="48"/>
      <x:c r="H404" s="48"/>
      <x:c r="I404" s="48"/>
      <x:c r="J404" s="48"/>
      <x:c r="K404" s="48"/>
      <x:c r="L404" s="48"/>
      <x:c r="M404" s="48"/>
      <x:c r="N404" s="48"/>
      <x:c r="O404" s="48"/>
      <x:c r="P404" s="48"/>
      <x:c r="Q404" s="48"/>
      <x:c r="R404" s="48"/>
      <x:c r="S404" s="48"/>
      <x:c r="T404" s="48"/>
      <x:c r="U404" s="48"/>
      <x:c r="V404" s="48"/>
      <x:c r="W404" s="48"/>
      <x:c r="X404" s="48"/>
      <x:c r="Y404" s="48"/>
      <x:c r="Z404" s="48"/>
    </x:row>
    <x:row r="405">
      <x:c r="A405" s="48"/>
      <x:c r="B405" s="48"/>
      <x:c r="C405" s="48"/>
      <x:c r="D405" s="48"/>
      <x:c r="E405" s="48"/>
      <x:c r="F405" s="48"/>
      <x:c r="G405" s="48"/>
      <x:c r="H405" s="48"/>
      <x:c r="I405" s="48"/>
      <x:c r="J405" s="48"/>
      <x:c r="K405" s="48"/>
      <x:c r="L405" s="48"/>
      <x:c r="M405" s="48"/>
      <x:c r="N405" s="48"/>
      <x:c r="O405" s="48"/>
      <x:c r="P405" s="48"/>
      <x:c r="Q405" s="48"/>
      <x:c r="R405" s="48"/>
      <x:c r="S405" s="48"/>
      <x:c r="T405" s="48"/>
      <x:c r="U405" s="48"/>
      <x:c r="V405" s="48"/>
      <x:c r="W405" s="48"/>
      <x:c r="X405" s="48"/>
      <x:c r="Y405" s="48"/>
      <x:c r="Z405" s="48"/>
    </x:row>
    <x:row r="406">
      <x:c r="A406" s="48"/>
      <x:c r="B406" s="48"/>
      <x:c r="C406" s="48"/>
      <x:c r="D406" s="48"/>
      <x:c r="E406" s="48"/>
      <x:c r="F406" s="48"/>
      <x:c r="G406" s="48"/>
      <x:c r="H406" s="48"/>
      <x:c r="I406" s="48"/>
      <x:c r="J406" s="48"/>
      <x:c r="K406" s="48"/>
      <x:c r="L406" s="48"/>
      <x:c r="M406" s="48"/>
      <x:c r="N406" s="48"/>
      <x:c r="O406" s="48"/>
      <x:c r="P406" s="48"/>
      <x:c r="Q406" s="48"/>
      <x:c r="R406" s="48"/>
      <x:c r="S406" s="48"/>
      <x:c r="T406" s="48"/>
      <x:c r="U406" s="48"/>
      <x:c r="V406" s="48"/>
      <x:c r="W406" s="48"/>
      <x:c r="X406" s="48"/>
      <x:c r="Y406" s="48"/>
      <x:c r="Z406" s="48"/>
    </x:row>
    <x:row r="407">
      <x:c r="A407" s="48"/>
      <x:c r="B407" s="48"/>
      <x:c r="C407" s="48"/>
      <x:c r="D407" s="48"/>
      <x:c r="E407" s="48"/>
      <x:c r="F407" s="48"/>
      <x:c r="G407" s="48"/>
      <x:c r="H407" s="48"/>
      <x:c r="I407" s="48"/>
      <x:c r="J407" s="48"/>
      <x:c r="K407" s="48"/>
      <x:c r="L407" s="48"/>
      <x:c r="M407" s="48"/>
      <x:c r="N407" s="48"/>
      <x:c r="O407" s="48"/>
      <x:c r="P407" s="48"/>
      <x:c r="Q407" s="48"/>
      <x:c r="R407" s="48"/>
      <x:c r="S407" s="48"/>
      <x:c r="T407" s="48"/>
      <x:c r="U407" s="48"/>
      <x:c r="V407" s="48"/>
      <x:c r="W407" s="48"/>
      <x:c r="X407" s="48"/>
      <x:c r="Y407" s="48"/>
      <x:c r="Z407" s="48"/>
    </x:row>
    <x:row r="408">
      <x:c r="A408" s="48"/>
      <x:c r="B408" s="48"/>
      <x:c r="C408" s="48"/>
      <x:c r="D408" s="48"/>
      <x:c r="E408" s="48"/>
      <x:c r="F408" s="48"/>
      <x:c r="G408" s="48"/>
      <x:c r="H408" s="48"/>
      <x:c r="I408" s="48"/>
      <x:c r="J408" s="48"/>
      <x:c r="K408" s="48"/>
      <x:c r="L408" s="48"/>
      <x:c r="M408" s="48"/>
      <x:c r="N408" s="48"/>
      <x:c r="O408" s="48"/>
      <x:c r="P408" s="48"/>
      <x:c r="Q408" s="48"/>
      <x:c r="R408" s="48"/>
      <x:c r="S408" s="48"/>
      <x:c r="T408" s="48"/>
      <x:c r="U408" s="48"/>
      <x:c r="V408" s="48"/>
      <x:c r="W408" s="48"/>
      <x:c r="X408" s="48"/>
      <x:c r="Y408" s="48"/>
      <x:c r="Z408" s="48"/>
    </x:row>
    <x:row r="409">
      <x:c r="A409" s="48"/>
      <x:c r="B409" s="48"/>
      <x:c r="C409" s="48"/>
      <x:c r="D409" s="48"/>
      <x:c r="E409" s="48"/>
      <x:c r="F409" s="48"/>
      <x:c r="G409" s="48"/>
      <x:c r="H409" s="48"/>
      <x:c r="I409" s="48"/>
      <x:c r="J409" s="48"/>
      <x:c r="K409" s="48"/>
      <x:c r="L409" s="48"/>
      <x:c r="M409" s="48"/>
      <x:c r="N409" s="48"/>
      <x:c r="O409" s="48"/>
      <x:c r="P409" s="48"/>
      <x:c r="Q409" s="48"/>
      <x:c r="R409" s="48"/>
      <x:c r="S409" s="48"/>
      <x:c r="T409" s="48"/>
      <x:c r="U409" s="48"/>
      <x:c r="V409" s="48"/>
      <x:c r="W409" s="48"/>
      <x:c r="X409" s="48"/>
      <x:c r="Y409" s="48"/>
      <x:c r="Z409" s="48"/>
    </x:row>
    <x:row r="410">
      <x:c r="A410" s="48"/>
      <x:c r="B410" s="48"/>
      <x:c r="C410" s="48"/>
      <x:c r="D410" s="48"/>
      <x:c r="E410" s="48"/>
      <x:c r="F410" s="48"/>
      <x:c r="G410" s="48"/>
      <x:c r="H410" s="48"/>
      <x:c r="I410" s="48"/>
      <x:c r="J410" s="48"/>
      <x:c r="K410" s="48"/>
      <x:c r="L410" s="48"/>
      <x:c r="M410" s="48"/>
      <x:c r="N410" s="48"/>
      <x:c r="O410" s="48"/>
      <x:c r="P410" s="48"/>
      <x:c r="Q410" s="48"/>
      <x:c r="R410" s="48"/>
      <x:c r="S410" s="48"/>
      <x:c r="T410" s="48"/>
      <x:c r="U410" s="48"/>
      <x:c r="V410" s="48"/>
      <x:c r="W410" s="48"/>
      <x:c r="X410" s="48"/>
      <x:c r="Y410" s="48"/>
      <x:c r="Z410" s="48"/>
    </x:row>
    <x:row r="411">
      <x:c r="A411" s="48"/>
      <x:c r="B411" s="48"/>
      <x:c r="C411" s="48"/>
      <x:c r="D411" s="48"/>
      <x:c r="E411" s="48"/>
      <x:c r="F411" s="48"/>
      <x:c r="G411" s="48"/>
      <x:c r="H411" s="48"/>
      <x:c r="I411" s="48"/>
      <x:c r="J411" s="48"/>
      <x:c r="K411" s="48"/>
      <x:c r="L411" s="48"/>
      <x:c r="M411" s="48"/>
      <x:c r="N411" s="48"/>
      <x:c r="O411" s="48"/>
      <x:c r="P411" s="48"/>
      <x:c r="Q411" s="48"/>
      <x:c r="R411" s="48"/>
      <x:c r="S411" s="48"/>
      <x:c r="T411" s="48"/>
      <x:c r="U411" s="48"/>
      <x:c r="V411" s="48"/>
      <x:c r="W411" s="48"/>
      <x:c r="X411" s="48"/>
      <x:c r="Y411" s="48"/>
      <x:c r="Z411" s="48"/>
    </x:row>
    <x:row r="412">
      <x:c r="A412" s="48"/>
      <x:c r="B412" s="48"/>
      <x:c r="C412" s="48"/>
      <x:c r="D412" s="48"/>
      <x:c r="E412" s="48"/>
      <x:c r="F412" s="48"/>
      <x:c r="G412" s="48"/>
      <x:c r="H412" s="48"/>
      <x:c r="I412" s="48"/>
      <x:c r="J412" s="48"/>
      <x:c r="K412" s="48"/>
      <x:c r="L412" s="48"/>
      <x:c r="M412" s="48"/>
      <x:c r="N412" s="48"/>
      <x:c r="O412" s="48"/>
      <x:c r="P412" s="48"/>
      <x:c r="Q412" s="48"/>
      <x:c r="R412" s="48"/>
      <x:c r="S412" s="48"/>
      <x:c r="T412" s="48"/>
      <x:c r="U412" s="48"/>
      <x:c r="V412" s="48"/>
      <x:c r="W412" s="48"/>
      <x:c r="X412" s="48"/>
      <x:c r="Y412" s="48"/>
      <x:c r="Z412" s="48"/>
    </x:row>
    <x:row r="413">
      <x:c r="A413" s="48"/>
      <x:c r="B413" s="48"/>
      <x:c r="C413" s="48"/>
      <x:c r="D413" s="48"/>
      <x:c r="E413" s="48"/>
      <x:c r="F413" s="48"/>
      <x:c r="G413" s="48"/>
      <x:c r="H413" s="48"/>
      <x:c r="I413" s="48"/>
      <x:c r="J413" s="48"/>
      <x:c r="K413" s="48"/>
      <x:c r="L413" s="48"/>
      <x:c r="M413" s="48"/>
      <x:c r="N413" s="48"/>
      <x:c r="O413" s="48"/>
      <x:c r="P413" s="48"/>
      <x:c r="Q413" s="48"/>
      <x:c r="R413" s="48"/>
      <x:c r="S413" s="48"/>
      <x:c r="T413" s="48"/>
      <x:c r="U413" s="48"/>
      <x:c r="V413" s="48"/>
      <x:c r="W413" s="48"/>
      <x:c r="X413" s="48"/>
      <x:c r="Y413" s="48"/>
      <x:c r="Z413" s="48"/>
    </x:row>
    <x:row r="414">
      <x:c r="A414" s="48"/>
      <x:c r="B414" s="48"/>
      <x:c r="C414" s="48"/>
      <x:c r="D414" s="48"/>
      <x:c r="E414" s="48"/>
      <x:c r="F414" s="48"/>
      <x:c r="G414" s="48"/>
      <x:c r="H414" s="48"/>
      <x:c r="I414" s="48"/>
      <x:c r="J414" s="48"/>
      <x:c r="K414" s="48"/>
      <x:c r="L414" s="48"/>
      <x:c r="M414" s="48"/>
      <x:c r="N414" s="48"/>
      <x:c r="O414" s="48"/>
      <x:c r="P414" s="48"/>
      <x:c r="Q414" s="48"/>
      <x:c r="R414" s="48"/>
      <x:c r="S414" s="48"/>
      <x:c r="T414" s="48"/>
      <x:c r="U414" s="48"/>
      <x:c r="V414" s="48"/>
      <x:c r="W414" s="48"/>
      <x:c r="X414" s="48"/>
      <x:c r="Y414" s="48"/>
      <x:c r="Z414" s="48"/>
    </x:row>
    <x:row r="415">
      <x:c r="A415" s="48"/>
      <x:c r="B415" s="48"/>
      <x:c r="C415" s="48"/>
      <x:c r="D415" s="48"/>
      <x:c r="E415" s="48"/>
      <x:c r="F415" s="48"/>
      <x:c r="G415" s="48"/>
      <x:c r="H415" s="48"/>
      <x:c r="I415" s="48"/>
      <x:c r="J415" s="48"/>
      <x:c r="K415" s="48"/>
      <x:c r="L415" s="48"/>
      <x:c r="M415" s="48"/>
      <x:c r="N415" s="48"/>
      <x:c r="O415" s="48"/>
      <x:c r="P415" s="48"/>
      <x:c r="Q415" s="48"/>
      <x:c r="R415" s="48"/>
      <x:c r="S415" s="48"/>
      <x:c r="T415" s="48"/>
      <x:c r="U415" s="48"/>
      <x:c r="V415" s="48"/>
      <x:c r="W415" s="48"/>
      <x:c r="X415" s="48"/>
      <x:c r="Y415" s="48"/>
      <x:c r="Z415" s="48"/>
    </x:row>
    <x:row r="416">
      <x:c r="A416" s="48"/>
      <x:c r="B416" s="48"/>
      <x:c r="C416" s="48"/>
      <x:c r="D416" s="48"/>
      <x:c r="E416" s="48"/>
      <x:c r="F416" s="48"/>
      <x:c r="G416" s="48"/>
      <x:c r="H416" s="48"/>
      <x:c r="I416" s="48"/>
      <x:c r="J416" s="48"/>
      <x:c r="K416" s="48"/>
      <x:c r="L416" s="48"/>
      <x:c r="M416" s="48"/>
      <x:c r="N416" s="48"/>
      <x:c r="O416" s="48"/>
      <x:c r="P416" s="48"/>
      <x:c r="Q416" s="48"/>
      <x:c r="R416" s="48"/>
      <x:c r="S416" s="48"/>
      <x:c r="T416" s="48"/>
      <x:c r="U416" s="48"/>
      <x:c r="V416" s="48"/>
      <x:c r="W416" s="48"/>
      <x:c r="X416" s="48"/>
      <x:c r="Y416" s="48"/>
      <x:c r="Z416" s="48"/>
    </x:row>
    <x:row r="417">
      <x:c r="A417" s="48"/>
      <x:c r="B417" s="48"/>
      <x:c r="C417" s="48"/>
      <x:c r="D417" s="48"/>
      <x:c r="E417" s="48"/>
      <x:c r="F417" s="48"/>
      <x:c r="G417" s="48"/>
      <x:c r="H417" s="48"/>
      <x:c r="I417" s="48"/>
      <x:c r="J417" s="48"/>
      <x:c r="K417" s="48"/>
      <x:c r="L417" s="48"/>
      <x:c r="M417" s="48"/>
      <x:c r="N417" s="48"/>
      <x:c r="O417" s="48"/>
      <x:c r="P417" s="48"/>
      <x:c r="Q417" s="48"/>
      <x:c r="R417" s="48"/>
      <x:c r="S417" s="48"/>
      <x:c r="T417" s="48"/>
      <x:c r="U417" s="48"/>
      <x:c r="V417" s="48"/>
      <x:c r="W417" s="48"/>
      <x:c r="X417" s="48"/>
      <x:c r="Y417" s="48"/>
      <x:c r="Z417" s="48"/>
    </x:row>
    <x:row r="418">
      <x:c r="A418" s="48"/>
      <x:c r="B418" s="48"/>
      <x:c r="C418" s="48"/>
      <x:c r="D418" s="48"/>
      <x:c r="E418" s="48"/>
      <x:c r="F418" s="48"/>
      <x:c r="G418" s="48"/>
      <x:c r="H418" s="48"/>
      <x:c r="I418" s="48"/>
      <x:c r="J418" s="48"/>
      <x:c r="K418" s="48"/>
      <x:c r="L418" s="48"/>
      <x:c r="M418" s="48"/>
      <x:c r="N418" s="48"/>
      <x:c r="O418" s="48"/>
      <x:c r="P418" s="48"/>
      <x:c r="Q418" s="48"/>
      <x:c r="R418" s="48"/>
      <x:c r="S418" s="48"/>
      <x:c r="T418" s="48"/>
      <x:c r="U418" s="48"/>
      <x:c r="V418" s="48"/>
      <x:c r="W418" s="48"/>
      <x:c r="X418" s="48"/>
      <x:c r="Y418" s="48"/>
      <x:c r="Z418" s="48"/>
    </x:row>
    <x:row r="419">
      <x:c r="A419" s="48"/>
      <x:c r="B419" s="48"/>
      <x:c r="C419" s="48"/>
      <x:c r="D419" s="48"/>
      <x:c r="E419" s="48"/>
      <x:c r="F419" s="48"/>
      <x:c r="G419" s="48"/>
      <x:c r="H419" s="48"/>
      <x:c r="I419" s="48"/>
      <x:c r="J419" s="48"/>
      <x:c r="K419" s="48"/>
      <x:c r="L419" s="48"/>
      <x:c r="M419" s="48"/>
      <x:c r="N419" s="48"/>
      <x:c r="O419" s="48"/>
      <x:c r="P419" s="48"/>
      <x:c r="Q419" s="48"/>
      <x:c r="R419" s="48"/>
      <x:c r="S419" s="48"/>
      <x:c r="T419" s="48"/>
      <x:c r="U419" s="48"/>
      <x:c r="V419" s="48"/>
      <x:c r="W419" s="48"/>
      <x:c r="X419" s="48"/>
      <x:c r="Y419" s="48"/>
      <x:c r="Z419" s="48"/>
    </x:row>
    <x:row r="420">
      <x:c r="A420" s="48"/>
      <x:c r="B420" s="48"/>
      <x:c r="C420" s="48"/>
      <x:c r="D420" s="48"/>
      <x:c r="E420" s="48"/>
      <x:c r="F420" s="48"/>
      <x:c r="G420" s="48"/>
      <x:c r="H420" s="48"/>
      <x:c r="I420" s="48"/>
      <x:c r="J420" s="48"/>
      <x:c r="K420" s="48"/>
      <x:c r="L420" s="48"/>
      <x:c r="M420" s="48"/>
      <x:c r="N420" s="48"/>
      <x:c r="O420" s="48"/>
      <x:c r="P420" s="48"/>
      <x:c r="Q420" s="48"/>
      <x:c r="R420" s="48"/>
      <x:c r="S420" s="48"/>
      <x:c r="T420" s="48"/>
      <x:c r="U420" s="48"/>
      <x:c r="V420" s="48"/>
      <x:c r="W420" s="48"/>
      <x:c r="X420" s="48"/>
      <x:c r="Y420" s="48"/>
      <x:c r="Z420" s="48"/>
    </x:row>
    <x:row r="421">
      <x:c r="A421" s="48"/>
      <x:c r="B421" s="48"/>
      <x:c r="C421" s="48"/>
      <x:c r="D421" s="48"/>
      <x:c r="E421" s="48"/>
      <x:c r="F421" s="48"/>
      <x:c r="G421" s="48"/>
      <x:c r="H421" s="48"/>
      <x:c r="I421" s="48"/>
      <x:c r="J421" s="48"/>
      <x:c r="K421" s="48"/>
      <x:c r="L421" s="48"/>
      <x:c r="M421" s="48"/>
      <x:c r="N421" s="48"/>
      <x:c r="O421" s="48"/>
      <x:c r="P421" s="48"/>
      <x:c r="Q421" s="48"/>
      <x:c r="R421" s="48"/>
      <x:c r="S421" s="48"/>
      <x:c r="T421" s="48"/>
      <x:c r="U421" s="48"/>
      <x:c r="V421" s="48"/>
      <x:c r="W421" s="48"/>
      <x:c r="X421" s="48"/>
      <x:c r="Y421" s="48"/>
      <x:c r="Z421" s="48"/>
    </x:row>
    <x:row r="422">
      <x:c r="A422" s="48"/>
      <x:c r="B422" s="48"/>
      <x:c r="C422" s="48"/>
      <x:c r="D422" s="48"/>
      <x:c r="E422" s="48"/>
      <x:c r="F422" s="48"/>
      <x:c r="G422" s="48"/>
      <x:c r="H422" s="48"/>
      <x:c r="I422" s="48"/>
      <x:c r="J422" s="48"/>
      <x:c r="K422" s="48"/>
      <x:c r="L422" s="48"/>
      <x:c r="M422" s="48"/>
      <x:c r="N422" s="48"/>
      <x:c r="O422" s="48"/>
      <x:c r="P422" s="48"/>
      <x:c r="Q422" s="48"/>
      <x:c r="R422" s="48"/>
      <x:c r="S422" s="48"/>
      <x:c r="T422" s="48"/>
      <x:c r="U422" s="48"/>
      <x:c r="V422" s="48"/>
      <x:c r="W422" s="48"/>
      <x:c r="X422" s="48"/>
      <x:c r="Y422" s="48"/>
      <x:c r="Z422" s="48"/>
    </x:row>
    <x:row r="423">
      <x:c r="A423" s="48"/>
      <x:c r="B423" s="48"/>
      <x:c r="C423" s="48"/>
      <x:c r="D423" s="48"/>
      <x:c r="E423" s="48"/>
      <x:c r="F423" s="48"/>
      <x:c r="G423" s="48"/>
      <x:c r="H423" s="48"/>
      <x:c r="I423" s="48"/>
      <x:c r="J423" s="48"/>
      <x:c r="K423" s="48"/>
      <x:c r="L423" s="48"/>
      <x:c r="M423" s="48"/>
      <x:c r="N423" s="48"/>
      <x:c r="O423" s="48"/>
      <x:c r="P423" s="48"/>
      <x:c r="Q423" s="48"/>
      <x:c r="R423" s="48"/>
      <x:c r="S423" s="48"/>
      <x:c r="T423" s="48"/>
      <x:c r="U423" s="48"/>
      <x:c r="V423" s="48"/>
      <x:c r="W423" s="48"/>
      <x:c r="X423" s="48"/>
      <x:c r="Y423" s="48"/>
      <x:c r="Z423" s="48"/>
    </x:row>
    <x:row r="424">
      <x:c r="A424" s="48"/>
      <x:c r="B424" s="48"/>
      <x:c r="C424" s="48"/>
      <x:c r="D424" s="48"/>
      <x:c r="E424" s="48"/>
      <x:c r="F424" s="48"/>
      <x:c r="G424" s="48"/>
      <x:c r="H424" s="48"/>
      <x:c r="I424" s="48"/>
      <x:c r="J424" s="48"/>
      <x:c r="K424" s="48"/>
      <x:c r="L424" s="48"/>
      <x:c r="M424" s="48"/>
      <x:c r="N424" s="48"/>
      <x:c r="O424" s="48"/>
      <x:c r="P424" s="48"/>
      <x:c r="Q424" s="48"/>
      <x:c r="R424" s="48"/>
      <x:c r="S424" s="48"/>
      <x:c r="T424" s="48"/>
      <x:c r="U424" s="48"/>
      <x:c r="V424" s="48"/>
      <x:c r="W424" s="48"/>
      <x:c r="X424" s="48"/>
      <x:c r="Y424" s="48"/>
      <x:c r="Z424" s="48"/>
    </x:row>
    <x:row r="425">
      <x:c r="A425" s="48"/>
      <x:c r="B425" s="48"/>
      <x:c r="C425" s="48"/>
      <x:c r="D425" s="48"/>
      <x:c r="E425" s="48"/>
      <x:c r="F425" s="48"/>
      <x:c r="G425" s="48"/>
      <x:c r="H425" s="48"/>
      <x:c r="I425" s="48"/>
      <x:c r="J425" s="48"/>
      <x:c r="K425" s="48"/>
      <x:c r="L425" s="48"/>
      <x:c r="M425" s="48"/>
      <x:c r="N425" s="48"/>
      <x:c r="O425" s="48"/>
      <x:c r="P425" s="48"/>
      <x:c r="Q425" s="48"/>
      <x:c r="R425" s="48"/>
      <x:c r="S425" s="48"/>
      <x:c r="T425" s="48"/>
      <x:c r="U425" s="48"/>
      <x:c r="V425" s="48"/>
      <x:c r="W425" s="48"/>
      <x:c r="X425" s="48"/>
      <x:c r="Y425" s="48"/>
      <x:c r="Z425" s="48"/>
    </x:row>
    <x:row r="426">
      <x:c r="A426" s="48"/>
      <x:c r="B426" s="48"/>
      <x:c r="C426" s="48"/>
      <x:c r="D426" s="48"/>
      <x:c r="E426" s="48"/>
      <x:c r="F426" s="48"/>
      <x:c r="G426" s="48"/>
      <x:c r="H426" s="48"/>
      <x:c r="I426" s="48"/>
      <x:c r="J426" s="48"/>
      <x:c r="K426" s="48"/>
      <x:c r="L426" s="48"/>
      <x:c r="M426" s="48"/>
      <x:c r="N426" s="48"/>
      <x:c r="O426" s="48"/>
      <x:c r="P426" s="48"/>
      <x:c r="Q426" s="48"/>
      <x:c r="R426" s="48"/>
      <x:c r="S426" s="48"/>
      <x:c r="T426" s="48"/>
      <x:c r="U426" s="48"/>
      <x:c r="V426" s="48"/>
      <x:c r="W426" s="48"/>
      <x:c r="X426" s="48"/>
      <x:c r="Y426" s="48"/>
      <x:c r="Z426" s="48"/>
    </x:row>
    <x:row r="427">
      <x:c r="A427" s="48"/>
      <x:c r="B427" s="48"/>
      <x:c r="C427" s="48"/>
      <x:c r="D427" s="48"/>
      <x:c r="E427" s="48"/>
      <x:c r="F427" s="48"/>
      <x:c r="G427" s="48"/>
      <x:c r="H427" s="48"/>
      <x:c r="I427" s="48"/>
      <x:c r="J427" s="48"/>
      <x:c r="K427" s="48"/>
      <x:c r="L427" s="48"/>
      <x:c r="M427" s="48"/>
      <x:c r="N427" s="48"/>
      <x:c r="O427" s="48"/>
      <x:c r="P427" s="48"/>
      <x:c r="Q427" s="48"/>
      <x:c r="R427" s="48"/>
      <x:c r="S427" s="48"/>
      <x:c r="T427" s="48"/>
      <x:c r="U427" s="48"/>
      <x:c r="V427" s="48"/>
      <x:c r="W427" s="48"/>
      <x:c r="X427" s="48"/>
      <x:c r="Y427" s="48"/>
      <x:c r="Z427" s="48"/>
    </x:row>
    <x:row r="428">
      <x:c r="A428" s="48"/>
      <x:c r="B428" s="48"/>
      <x:c r="C428" s="48"/>
      <x:c r="D428" s="48"/>
      <x:c r="E428" s="48"/>
      <x:c r="F428" s="48"/>
      <x:c r="G428" s="48"/>
      <x:c r="H428" s="48"/>
      <x:c r="I428" s="48"/>
      <x:c r="J428" s="48"/>
      <x:c r="K428" s="48"/>
      <x:c r="L428" s="48"/>
      <x:c r="M428" s="48"/>
      <x:c r="N428" s="48"/>
      <x:c r="O428" s="48"/>
      <x:c r="P428" s="48"/>
      <x:c r="Q428" s="48"/>
      <x:c r="R428" s="48"/>
      <x:c r="S428" s="48"/>
      <x:c r="T428" s="48"/>
      <x:c r="U428" s="48"/>
      <x:c r="V428" s="48"/>
      <x:c r="W428" s="48"/>
      <x:c r="X428" s="48"/>
      <x:c r="Y428" s="48"/>
      <x:c r="Z428" s="48"/>
    </x:row>
    <x:row r="429">
      <x:c r="A429" s="48"/>
      <x:c r="B429" s="48"/>
      <x:c r="C429" s="48"/>
      <x:c r="D429" s="48"/>
      <x:c r="E429" s="48"/>
      <x:c r="F429" s="48"/>
      <x:c r="G429" s="48"/>
      <x:c r="H429" s="48"/>
      <x:c r="I429" s="48"/>
      <x:c r="J429" s="48"/>
      <x:c r="K429" s="48"/>
      <x:c r="L429" s="48"/>
      <x:c r="M429" s="48"/>
      <x:c r="N429" s="48"/>
      <x:c r="O429" s="48"/>
      <x:c r="P429" s="48"/>
      <x:c r="Q429" s="48"/>
      <x:c r="R429" s="48"/>
      <x:c r="S429" s="48"/>
      <x:c r="T429" s="48"/>
      <x:c r="U429" s="48"/>
      <x:c r="V429" s="48"/>
      <x:c r="W429" s="48"/>
      <x:c r="X429" s="48"/>
      <x:c r="Y429" s="48"/>
      <x:c r="Z429" s="48"/>
    </x:row>
    <x:row r="430">
      <x:c r="A430" s="48"/>
      <x:c r="B430" s="48"/>
      <x:c r="C430" s="48"/>
      <x:c r="D430" s="48"/>
      <x:c r="E430" s="48"/>
      <x:c r="F430" s="48"/>
      <x:c r="G430" s="48"/>
      <x:c r="H430" s="48"/>
      <x:c r="I430" s="48"/>
      <x:c r="J430" s="48"/>
      <x:c r="K430" s="48"/>
      <x:c r="L430" s="48"/>
      <x:c r="M430" s="48"/>
      <x:c r="N430" s="48"/>
      <x:c r="O430" s="48"/>
      <x:c r="P430" s="48"/>
      <x:c r="Q430" s="48"/>
      <x:c r="R430" s="48"/>
      <x:c r="S430" s="48"/>
      <x:c r="T430" s="48"/>
      <x:c r="U430" s="48"/>
      <x:c r="V430" s="48"/>
      <x:c r="W430" s="48"/>
      <x:c r="X430" s="48"/>
      <x:c r="Y430" s="48"/>
      <x:c r="Z430" s="48"/>
    </x:row>
    <x:row r="431">
      <x:c r="A431" s="48"/>
      <x:c r="B431" s="48"/>
      <x:c r="C431" s="48"/>
      <x:c r="D431" s="48"/>
      <x:c r="E431" s="48"/>
      <x:c r="F431" s="48"/>
      <x:c r="G431" s="48"/>
      <x:c r="H431" s="48"/>
      <x:c r="I431" s="48"/>
      <x:c r="J431" s="48"/>
      <x:c r="K431" s="48"/>
      <x:c r="L431" s="48"/>
      <x:c r="M431" s="48"/>
      <x:c r="N431" s="48"/>
      <x:c r="O431" s="48"/>
      <x:c r="P431" s="48"/>
      <x:c r="Q431" s="48"/>
      <x:c r="R431" s="48"/>
      <x:c r="S431" s="48"/>
      <x:c r="T431" s="48"/>
      <x:c r="U431" s="48"/>
      <x:c r="V431" s="48"/>
      <x:c r="W431" s="48"/>
      <x:c r="X431" s="48"/>
      <x:c r="Y431" s="48"/>
      <x:c r="Z431" s="48"/>
    </x:row>
    <x:row r="432">
      <x:c r="A432" s="48"/>
      <x:c r="B432" s="48"/>
      <x:c r="C432" s="48"/>
      <x:c r="D432" s="48"/>
      <x:c r="E432" s="48"/>
      <x:c r="F432" s="48"/>
      <x:c r="G432" s="48"/>
      <x:c r="H432" s="48"/>
      <x:c r="I432" s="48"/>
      <x:c r="J432" s="48"/>
      <x:c r="K432" s="48"/>
      <x:c r="L432" s="48"/>
      <x:c r="M432" s="48"/>
      <x:c r="N432" s="48"/>
      <x:c r="O432" s="48"/>
      <x:c r="P432" s="48"/>
      <x:c r="Q432" s="48"/>
      <x:c r="R432" s="48"/>
      <x:c r="S432" s="48"/>
      <x:c r="T432" s="48"/>
      <x:c r="U432" s="48"/>
      <x:c r="V432" s="48"/>
      <x:c r="W432" s="48"/>
      <x:c r="X432" s="48"/>
      <x:c r="Y432" s="48"/>
      <x:c r="Z432" s="48"/>
    </x:row>
    <x:row r="433">
      <x:c r="A433" s="48"/>
      <x:c r="B433" s="48"/>
      <x:c r="C433" s="48"/>
      <x:c r="D433" s="48"/>
      <x:c r="E433" s="48"/>
      <x:c r="F433" s="48"/>
      <x:c r="G433" s="48"/>
      <x:c r="H433" s="48"/>
      <x:c r="I433" s="48"/>
      <x:c r="J433" s="48"/>
      <x:c r="K433" s="48"/>
      <x:c r="L433" s="48"/>
      <x:c r="M433" s="48"/>
      <x:c r="N433" s="48"/>
      <x:c r="O433" s="48"/>
      <x:c r="P433" s="48"/>
      <x:c r="Q433" s="48"/>
      <x:c r="R433" s="48"/>
      <x:c r="S433" s="48"/>
      <x:c r="T433" s="48"/>
      <x:c r="U433" s="48"/>
      <x:c r="V433" s="48"/>
      <x:c r="W433" s="48"/>
      <x:c r="X433" s="48"/>
      <x:c r="Y433" s="48"/>
      <x:c r="Z433" s="48"/>
    </x:row>
    <x:row r="434">
      <x:c r="A434" s="48"/>
      <x:c r="B434" s="48"/>
      <x:c r="C434" s="48"/>
      <x:c r="D434" s="48"/>
      <x:c r="E434" s="48"/>
      <x:c r="F434" s="48"/>
      <x:c r="G434" s="48"/>
      <x:c r="H434" s="48"/>
      <x:c r="I434" s="48"/>
      <x:c r="J434" s="48"/>
      <x:c r="K434" s="48"/>
      <x:c r="L434" s="48"/>
      <x:c r="M434" s="48"/>
      <x:c r="N434" s="48"/>
      <x:c r="O434" s="48"/>
      <x:c r="P434" s="48"/>
      <x:c r="Q434" s="48"/>
      <x:c r="R434" s="48"/>
      <x:c r="S434" s="48"/>
      <x:c r="T434" s="48"/>
      <x:c r="U434" s="48"/>
      <x:c r="V434" s="48"/>
      <x:c r="W434" s="48"/>
      <x:c r="X434" s="48"/>
      <x:c r="Y434" s="48"/>
      <x:c r="Z434" s="48"/>
    </x:row>
    <x:row r="435">
      <x:c r="A435" s="48"/>
      <x:c r="B435" s="48"/>
      <x:c r="C435" s="48"/>
      <x:c r="D435" s="48"/>
      <x:c r="E435" s="48"/>
      <x:c r="F435" s="48"/>
      <x:c r="G435" s="48"/>
      <x:c r="H435" s="48"/>
      <x:c r="I435" s="48"/>
      <x:c r="J435" s="48"/>
      <x:c r="K435" s="48"/>
      <x:c r="L435" s="48"/>
      <x:c r="M435" s="48"/>
      <x:c r="N435" s="48"/>
      <x:c r="O435" s="48"/>
      <x:c r="P435" s="48"/>
      <x:c r="Q435" s="48"/>
      <x:c r="R435" s="48"/>
      <x:c r="S435" s="48"/>
      <x:c r="T435" s="48"/>
      <x:c r="U435" s="48"/>
      <x:c r="V435" s="48"/>
      <x:c r="W435" s="48"/>
      <x:c r="X435" s="48"/>
      <x:c r="Y435" s="48"/>
      <x:c r="Z435" s="48"/>
    </x:row>
    <x:row r="436">
      <x:c r="A436" s="48"/>
      <x:c r="B436" s="48"/>
      <x:c r="C436" s="48"/>
      <x:c r="D436" s="48"/>
      <x:c r="E436" s="48"/>
      <x:c r="F436" s="48"/>
      <x:c r="G436" s="48"/>
      <x:c r="H436" s="48"/>
      <x:c r="I436" s="48"/>
      <x:c r="J436" s="48"/>
      <x:c r="K436" s="48"/>
      <x:c r="L436" s="48"/>
      <x:c r="M436" s="48"/>
      <x:c r="N436" s="48"/>
      <x:c r="O436" s="48"/>
      <x:c r="P436" s="48"/>
      <x:c r="Q436" s="48"/>
      <x:c r="R436" s="48"/>
      <x:c r="S436" s="48"/>
      <x:c r="T436" s="48"/>
      <x:c r="U436" s="48"/>
      <x:c r="V436" s="48"/>
      <x:c r="W436" s="48"/>
      <x:c r="X436" s="48"/>
      <x:c r="Y436" s="48"/>
      <x:c r="Z436" s="48"/>
    </x:row>
    <x:row r="437">
      <x:c r="A437" s="48"/>
      <x:c r="B437" s="48"/>
      <x:c r="C437" s="48"/>
      <x:c r="D437" s="48"/>
      <x:c r="E437" s="48"/>
      <x:c r="F437" s="48"/>
      <x:c r="G437" s="48"/>
      <x:c r="H437" s="48"/>
      <x:c r="I437" s="48"/>
      <x:c r="J437" s="48"/>
      <x:c r="K437" s="48"/>
      <x:c r="L437" s="48"/>
      <x:c r="M437" s="48"/>
      <x:c r="N437" s="48"/>
      <x:c r="O437" s="48"/>
      <x:c r="P437" s="48"/>
      <x:c r="Q437" s="48"/>
      <x:c r="R437" s="48"/>
      <x:c r="S437" s="48"/>
      <x:c r="T437" s="48"/>
      <x:c r="U437" s="48"/>
      <x:c r="V437" s="48"/>
      <x:c r="W437" s="48"/>
      <x:c r="X437" s="48"/>
      <x:c r="Y437" s="48"/>
      <x:c r="Z437" s="48"/>
    </x:row>
    <x:row r="438">
      <x:c r="A438" s="48"/>
      <x:c r="B438" s="48"/>
      <x:c r="C438" s="48"/>
      <x:c r="D438" s="48"/>
      <x:c r="E438" s="48"/>
      <x:c r="F438" s="48"/>
      <x:c r="G438" s="48"/>
      <x:c r="H438" s="48"/>
      <x:c r="I438" s="48"/>
      <x:c r="J438" s="48"/>
      <x:c r="K438" s="48"/>
      <x:c r="L438" s="48"/>
      <x:c r="M438" s="48"/>
      <x:c r="N438" s="48"/>
      <x:c r="O438" s="48"/>
      <x:c r="P438" s="48"/>
      <x:c r="Q438" s="48"/>
      <x:c r="R438" s="48"/>
      <x:c r="S438" s="48"/>
      <x:c r="T438" s="48"/>
      <x:c r="U438" s="48"/>
      <x:c r="V438" s="48"/>
      <x:c r="W438" s="48"/>
      <x:c r="X438" s="48"/>
      <x:c r="Y438" s="48"/>
      <x:c r="Z438" s="48"/>
    </x:row>
    <x:row r="439">
      <x:c r="A439" s="48"/>
      <x:c r="B439" s="48"/>
      <x:c r="C439" s="48"/>
      <x:c r="D439" s="48"/>
      <x:c r="E439" s="48"/>
      <x:c r="F439" s="48"/>
      <x:c r="G439" s="48"/>
      <x:c r="H439" s="48"/>
      <x:c r="I439" s="48"/>
      <x:c r="J439" s="48"/>
      <x:c r="K439" s="48"/>
      <x:c r="L439" s="48"/>
      <x:c r="M439" s="48"/>
      <x:c r="N439" s="48"/>
      <x:c r="O439" s="48"/>
      <x:c r="P439" s="48"/>
      <x:c r="Q439" s="48"/>
      <x:c r="R439" s="48"/>
      <x:c r="S439" s="48"/>
      <x:c r="T439" s="48"/>
      <x:c r="U439" s="48"/>
      <x:c r="V439" s="48"/>
      <x:c r="W439" s="48"/>
      <x:c r="X439" s="48"/>
      <x:c r="Y439" s="48"/>
      <x:c r="Z439" s="48"/>
    </x:row>
    <x:row r="440">
      <x:c r="A440" s="48"/>
      <x:c r="B440" s="48"/>
      <x:c r="C440" s="48"/>
      <x:c r="D440" s="48"/>
      <x:c r="E440" s="48"/>
      <x:c r="F440" s="48"/>
      <x:c r="G440" s="48"/>
      <x:c r="H440" s="48"/>
      <x:c r="I440" s="48"/>
      <x:c r="J440" s="48"/>
      <x:c r="K440" s="48"/>
      <x:c r="L440" s="48"/>
      <x:c r="M440" s="48"/>
      <x:c r="N440" s="48"/>
      <x:c r="O440" s="48"/>
      <x:c r="P440" s="48"/>
      <x:c r="Q440" s="48"/>
      <x:c r="R440" s="48"/>
      <x:c r="S440" s="48"/>
      <x:c r="T440" s="48"/>
      <x:c r="U440" s="48"/>
      <x:c r="V440" s="48"/>
      <x:c r="W440" s="48"/>
      <x:c r="X440" s="48"/>
      <x:c r="Y440" s="48"/>
      <x:c r="Z440" s="48"/>
    </x:row>
    <x:row r="441">
      <x:c r="A441" s="48"/>
      <x:c r="B441" s="48"/>
      <x:c r="C441" s="48"/>
      <x:c r="D441" s="48"/>
      <x:c r="E441" s="48"/>
      <x:c r="F441" s="48"/>
      <x:c r="G441" s="48"/>
      <x:c r="H441" s="48"/>
      <x:c r="I441" s="48"/>
      <x:c r="J441" s="48"/>
      <x:c r="K441" s="48"/>
      <x:c r="L441" s="48"/>
      <x:c r="M441" s="48"/>
      <x:c r="N441" s="48"/>
      <x:c r="O441" s="48"/>
      <x:c r="P441" s="48"/>
      <x:c r="Q441" s="48"/>
      <x:c r="R441" s="48"/>
      <x:c r="S441" s="48"/>
      <x:c r="T441" s="48"/>
      <x:c r="U441" s="48"/>
      <x:c r="V441" s="48"/>
      <x:c r="W441" s="48"/>
      <x:c r="X441" s="48"/>
      <x:c r="Y441" s="48"/>
      <x:c r="Z441" s="48"/>
    </x:row>
    <x:row r="442">
      <x:c r="A442" s="48"/>
      <x:c r="B442" s="48"/>
      <x:c r="C442" s="48"/>
      <x:c r="D442" s="48"/>
      <x:c r="E442" s="48"/>
      <x:c r="F442" s="48"/>
      <x:c r="G442" s="48"/>
      <x:c r="H442" s="48"/>
      <x:c r="I442" s="48"/>
      <x:c r="J442" s="48"/>
      <x:c r="K442" s="48"/>
      <x:c r="L442" s="48"/>
      <x:c r="M442" s="48"/>
      <x:c r="N442" s="48"/>
      <x:c r="O442" s="48"/>
      <x:c r="P442" s="48"/>
      <x:c r="Q442" s="48"/>
      <x:c r="R442" s="48"/>
      <x:c r="S442" s="48"/>
      <x:c r="T442" s="48"/>
      <x:c r="U442" s="48"/>
      <x:c r="V442" s="48"/>
      <x:c r="W442" s="48"/>
      <x:c r="X442" s="48"/>
      <x:c r="Y442" s="48"/>
      <x:c r="Z442" s="48"/>
    </x:row>
    <x:row r="443">
      <x:c r="A443" s="48"/>
      <x:c r="B443" s="48"/>
      <x:c r="C443" s="48"/>
      <x:c r="D443" s="48"/>
      <x:c r="E443" s="48"/>
      <x:c r="F443" s="48"/>
      <x:c r="G443" s="48"/>
      <x:c r="H443" s="48"/>
      <x:c r="I443" s="48"/>
      <x:c r="J443" s="48"/>
      <x:c r="K443" s="48"/>
      <x:c r="L443" s="48"/>
      <x:c r="M443" s="48"/>
      <x:c r="N443" s="48"/>
      <x:c r="O443" s="48"/>
      <x:c r="P443" s="48"/>
      <x:c r="Q443" s="48"/>
      <x:c r="R443" s="48"/>
      <x:c r="S443" s="48"/>
      <x:c r="T443" s="48"/>
      <x:c r="U443" s="48"/>
      <x:c r="V443" s="48"/>
      <x:c r="W443" s="48"/>
      <x:c r="X443" s="48"/>
      <x:c r="Y443" s="48"/>
      <x:c r="Z443" s="48"/>
    </x:row>
    <x:row r="444">
      <x:c r="A444" s="48"/>
      <x:c r="B444" s="48"/>
      <x:c r="C444" s="48"/>
      <x:c r="D444" s="48"/>
      <x:c r="E444" s="48"/>
      <x:c r="F444" s="48"/>
      <x:c r="G444" s="48"/>
      <x:c r="H444" s="48"/>
      <x:c r="I444" s="48"/>
      <x:c r="J444" s="48"/>
      <x:c r="K444" s="48"/>
      <x:c r="L444" s="48"/>
      <x:c r="M444" s="48"/>
      <x:c r="N444" s="48"/>
      <x:c r="O444" s="48"/>
      <x:c r="P444" s="48"/>
      <x:c r="Q444" s="48"/>
      <x:c r="R444" s="48"/>
      <x:c r="S444" s="48"/>
      <x:c r="T444" s="48"/>
      <x:c r="U444" s="48"/>
      <x:c r="V444" s="48"/>
      <x:c r="W444" s="48"/>
      <x:c r="X444" s="48"/>
      <x:c r="Y444" s="48"/>
      <x:c r="Z444" s="48"/>
    </x:row>
    <x:row r="445">
      <x:c r="A445" s="48"/>
      <x:c r="B445" s="48"/>
      <x:c r="C445" s="48"/>
      <x:c r="D445" s="48"/>
      <x:c r="E445" s="48"/>
      <x:c r="F445" s="48"/>
      <x:c r="G445" s="48"/>
      <x:c r="H445" s="48"/>
      <x:c r="I445" s="48"/>
      <x:c r="J445" s="48"/>
      <x:c r="K445" s="48"/>
      <x:c r="L445" s="48"/>
      <x:c r="M445" s="48"/>
      <x:c r="N445" s="48"/>
      <x:c r="O445" s="48"/>
      <x:c r="P445" s="48"/>
      <x:c r="Q445" s="48"/>
      <x:c r="R445" s="48"/>
      <x:c r="S445" s="48"/>
      <x:c r="T445" s="48"/>
      <x:c r="U445" s="48"/>
      <x:c r="V445" s="48"/>
      <x:c r="W445" s="48"/>
      <x:c r="X445" s="48"/>
      <x:c r="Y445" s="48"/>
      <x:c r="Z445" s="48"/>
    </x:row>
    <x:row r="446">
      <x:c r="A446" s="48"/>
      <x:c r="B446" s="48"/>
      <x:c r="C446" s="48"/>
      <x:c r="D446" s="48"/>
      <x:c r="E446" s="48"/>
      <x:c r="F446" s="48"/>
      <x:c r="G446" s="48"/>
      <x:c r="H446" s="48"/>
      <x:c r="I446" s="48"/>
      <x:c r="J446" s="48"/>
      <x:c r="K446" s="48"/>
      <x:c r="L446" s="48"/>
      <x:c r="M446" s="48"/>
      <x:c r="N446" s="48"/>
      <x:c r="O446" s="48"/>
      <x:c r="P446" s="48"/>
      <x:c r="Q446" s="48"/>
      <x:c r="R446" s="48"/>
      <x:c r="S446" s="48"/>
      <x:c r="T446" s="48"/>
      <x:c r="U446" s="48"/>
      <x:c r="V446" s="48"/>
      <x:c r="W446" s="48"/>
      <x:c r="X446" s="48"/>
      <x:c r="Y446" s="48"/>
      <x:c r="Z446" s="48"/>
    </x:row>
    <x:row r="447">
      <x:c r="A447" s="48"/>
      <x:c r="B447" s="48"/>
      <x:c r="C447" s="48"/>
      <x:c r="D447" s="48"/>
      <x:c r="E447" s="48"/>
      <x:c r="F447" s="48"/>
      <x:c r="G447" s="48"/>
      <x:c r="H447" s="48"/>
      <x:c r="I447" s="48"/>
      <x:c r="J447" s="48"/>
      <x:c r="K447" s="48"/>
      <x:c r="L447" s="48"/>
      <x:c r="M447" s="48"/>
      <x:c r="N447" s="48"/>
      <x:c r="O447" s="48"/>
      <x:c r="P447" s="48"/>
      <x:c r="Q447" s="48"/>
      <x:c r="R447" s="48"/>
      <x:c r="S447" s="48"/>
      <x:c r="T447" s="48"/>
      <x:c r="U447" s="48"/>
      <x:c r="V447" s="48"/>
      <x:c r="W447" s="48"/>
      <x:c r="X447" s="48"/>
      <x:c r="Y447" s="48"/>
      <x:c r="Z447" s="48"/>
    </x:row>
    <x:row r="448">
      <x:c r="A448" s="48"/>
      <x:c r="B448" s="48"/>
      <x:c r="C448" s="48"/>
      <x:c r="D448" s="48"/>
      <x:c r="E448" s="48"/>
      <x:c r="F448" s="48"/>
      <x:c r="G448" s="48"/>
      <x:c r="H448" s="48"/>
      <x:c r="I448" s="48"/>
      <x:c r="J448" s="48"/>
      <x:c r="K448" s="48"/>
      <x:c r="L448" s="48"/>
      <x:c r="M448" s="48"/>
      <x:c r="N448" s="48"/>
      <x:c r="O448" s="48"/>
      <x:c r="P448" s="48"/>
      <x:c r="Q448" s="48"/>
      <x:c r="R448" s="48"/>
      <x:c r="S448" s="48"/>
      <x:c r="T448" s="48"/>
      <x:c r="U448" s="48"/>
      <x:c r="V448" s="48"/>
      <x:c r="W448" s="48"/>
      <x:c r="X448" s="48"/>
      <x:c r="Y448" s="48"/>
      <x:c r="Z448" s="48"/>
    </x:row>
    <x:row r="449">
      <x:c r="A449" s="48"/>
      <x:c r="B449" s="48"/>
      <x:c r="C449" s="48"/>
      <x:c r="D449" s="48"/>
      <x:c r="E449" s="48"/>
      <x:c r="F449" s="48"/>
      <x:c r="G449" s="48"/>
      <x:c r="H449" s="48"/>
      <x:c r="I449" s="48"/>
      <x:c r="J449" s="48"/>
      <x:c r="K449" s="48"/>
      <x:c r="L449" s="48"/>
      <x:c r="M449" s="48"/>
      <x:c r="N449" s="48"/>
      <x:c r="O449" s="48"/>
      <x:c r="P449" s="48"/>
      <x:c r="Q449" s="48"/>
      <x:c r="R449" s="48"/>
      <x:c r="S449" s="48"/>
      <x:c r="T449" s="48"/>
      <x:c r="U449" s="48"/>
      <x:c r="V449" s="48"/>
      <x:c r="W449" s="48"/>
      <x:c r="X449" s="48"/>
      <x:c r="Y449" s="48"/>
      <x:c r="Z449" s="48"/>
    </x:row>
    <x:row r="450">
      <x:c r="A450" s="48"/>
      <x:c r="B450" s="48"/>
      <x:c r="C450" s="48"/>
      <x:c r="D450" s="48"/>
      <x:c r="E450" s="48"/>
      <x:c r="F450" s="48"/>
      <x:c r="G450" s="48"/>
      <x:c r="H450" s="48"/>
      <x:c r="I450" s="48"/>
      <x:c r="J450" s="48"/>
      <x:c r="K450" s="48"/>
      <x:c r="L450" s="48"/>
      <x:c r="M450" s="48"/>
      <x:c r="N450" s="48"/>
      <x:c r="O450" s="48"/>
      <x:c r="P450" s="48"/>
      <x:c r="Q450" s="48"/>
      <x:c r="R450" s="48"/>
      <x:c r="S450" s="48"/>
      <x:c r="T450" s="48"/>
      <x:c r="U450" s="48"/>
      <x:c r="V450" s="48"/>
      <x:c r="W450" s="48"/>
      <x:c r="X450" s="48"/>
      <x:c r="Y450" s="48"/>
      <x:c r="Z450" s="48"/>
    </x:row>
    <x:row r="451">
      <x:c r="A451" s="48"/>
      <x:c r="B451" s="48"/>
      <x:c r="C451" s="48"/>
      <x:c r="D451" s="48"/>
      <x:c r="E451" s="48"/>
      <x:c r="F451" s="48"/>
      <x:c r="G451" s="48"/>
      <x:c r="H451" s="48"/>
      <x:c r="I451" s="48"/>
      <x:c r="J451" s="48"/>
      <x:c r="K451" s="48"/>
      <x:c r="L451" s="48"/>
      <x:c r="M451" s="48"/>
      <x:c r="N451" s="48"/>
      <x:c r="O451" s="48"/>
      <x:c r="P451" s="48"/>
      <x:c r="Q451" s="48"/>
      <x:c r="R451" s="48"/>
      <x:c r="S451" s="48"/>
      <x:c r="T451" s="48"/>
      <x:c r="U451" s="48"/>
      <x:c r="V451" s="48"/>
      <x:c r="W451" s="48"/>
      <x:c r="X451" s="48"/>
      <x:c r="Y451" s="48"/>
      <x:c r="Z451" s="48"/>
    </x:row>
    <x:row r="452">
      <x:c r="A452" s="48"/>
      <x:c r="B452" s="48"/>
      <x:c r="C452" s="48"/>
      <x:c r="D452" s="48"/>
      <x:c r="E452" s="48"/>
      <x:c r="F452" s="48"/>
      <x:c r="G452" s="48"/>
      <x:c r="H452" s="48"/>
      <x:c r="I452" s="48"/>
      <x:c r="J452" s="48"/>
      <x:c r="K452" s="48"/>
      <x:c r="L452" s="48"/>
      <x:c r="M452" s="48"/>
      <x:c r="N452" s="48"/>
      <x:c r="O452" s="48"/>
      <x:c r="P452" s="48"/>
      <x:c r="Q452" s="48"/>
      <x:c r="R452" s="48"/>
      <x:c r="S452" s="48"/>
      <x:c r="T452" s="48"/>
      <x:c r="U452" s="48"/>
      <x:c r="V452" s="48"/>
      <x:c r="W452" s="48"/>
      <x:c r="X452" s="48"/>
      <x:c r="Y452" s="48"/>
      <x:c r="Z452" s="48"/>
    </x:row>
    <x:row r="453">
      <x:c r="A453" s="48"/>
      <x:c r="B453" s="48"/>
      <x:c r="C453" s="48"/>
      <x:c r="D453" s="48"/>
      <x:c r="E453" s="48"/>
      <x:c r="F453" s="48"/>
      <x:c r="G453" s="48"/>
      <x:c r="H453" s="48"/>
      <x:c r="I453" s="48"/>
      <x:c r="J453" s="48"/>
      <x:c r="K453" s="48"/>
      <x:c r="L453" s="48"/>
      <x:c r="M453" s="48"/>
      <x:c r="N453" s="48"/>
      <x:c r="O453" s="48"/>
      <x:c r="P453" s="48"/>
      <x:c r="Q453" s="48"/>
      <x:c r="R453" s="48"/>
      <x:c r="S453" s="48"/>
      <x:c r="T453" s="48"/>
      <x:c r="U453" s="48"/>
      <x:c r="V453" s="48"/>
      <x:c r="W453" s="48"/>
      <x:c r="X453" s="48"/>
      <x:c r="Y453" s="48"/>
      <x:c r="Z453" s="48"/>
    </x:row>
    <x:row r="454">
      <x:c r="A454" s="48"/>
      <x:c r="B454" s="48"/>
      <x:c r="C454" s="48"/>
      <x:c r="D454" s="48"/>
      <x:c r="E454" s="48"/>
      <x:c r="F454" s="48"/>
      <x:c r="G454" s="48"/>
      <x:c r="H454" s="48"/>
      <x:c r="I454" s="48"/>
      <x:c r="J454" s="48"/>
      <x:c r="K454" s="48"/>
      <x:c r="L454" s="48"/>
      <x:c r="M454" s="48"/>
      <x:c r="N454" s="48"/>
      <x:c r="O454" s="48"/>
      <x:c r="P454" s="48"/>
      <x:c r="Q454" s="48"/>
      <x:c r="R454" s="48"/>
      <x:c r="S454" s="48"/>
      <x:c r="T454" s="48"/>
      <x:c r="U454" s="48"/>
      <x:c r="V454" s="48"/>
      <x:c r="W454" s="48"/>
      <x:c r="X454" s="48"/>
      <x:c r="Y454" s="48"/>
      <x:c r="Z454" s="48"/>
    </x:row>
    <x:row r="455">
      <x:c r="A455" s="48"/>
      <x:c r="B455" s="48"/>
      <x:c r="C455" s="48"/>
      <x:c r="D455" s="48"/>
      <x:c r="E455" s="48"/>
      <x:c r="F455" s="48"/>
      <x:c r="G455" s="48"/>
      <x:c r="H455" s="48"/>
      <x:c r="I455" s="48"/>
      <x:c r="J455" s="48"/>
      <x:c r="K455" s="48"/>
      <x:c r="L455" s="48"/>
      <x:c r="M455" s="48"/>
      <x:c r="N455" s="48"/>
      <x:c r="O455" s="48"/>
      <x:c r="P455" s="48"/>
      <x:c r="Q455" s="48"/>
      <x:c r="R455" s="48"/>
      <x:c r="S455" s="48"/>
      <x:c r="T455" s="48"/>
      <x:c r="U455" s="48"/>
      <x:c r="V455" s="48"/>
      <x:c r="W455" s="48"/>
      <x:c r="X455" s="48"/>
      <x:c r="Y455" s="48"/>
      <x:c r="Z455" s="48"/>
    </x:row>
    <x:row r="456">
      <x:c r="A456" s="48"/>
      <x:c r="B456" s="48"/>
      <x:c r="C456" s="48"/>
      <x:c r="D456" s="48"/>
      <x:c r="E456" s="48"/>
      <x:c r="F456" s="48"/>
      <x:c r="G456" s="48"/>
      <x:c r="H456" s="48"/>
      <x:c r="I456" s="48"/>
      <x:c r="J456" s="48"/>
      <x:c r="K456" s="48"/>
      <x:c r="L456" s="48"/>
      <x:c r="M456" s="48"/>
      <x:c r="N456" s="48"/>
      <x:c r="O456" s="48"/>
      <x:c r="P456" s="48"/>
      <x:c r="Q456" s="48"/>
      <x:c r="R456" s="48"/>
      <x:c r="S456" s="48"/>
      <x:c r="T456" s="48"/>
      <x:c r="U456" s="48"/>
      <x:c r="V456" s="48"/>
      <x:c r="W456" s="48"/>
      <x:c r="X456" s="48"/>
      <x:c r="Y456" s="48"/>
      <x:c r="Z456" s="48"/>
    </x:row>
    <x:row r="457">
      <x:c r="A457" s="48"/>
      <x:c r="B457" s="48"/>
      <x:c r="C457" s="48"/>
      <x:c r="D457" s="48"/>
      <x:c r="E457" s="48"/>
      <x:c r="F457" s="48"/>
      <x:c r="G457" s="48"/>
      <x:c r="H457" s="48"/>
      <x:c r="I457" s="48"/>
      <x:c r="J457" s="48"/>
      <x:c r="K457" s="48"/>
      <x:c r="L457" s="48"/>
      <x:c r="M457" s="48"/>
      <x:c r="N457" s="48"/>
      <x:c r="O457" s="48"/>
      <x:c r="P457" s="48"/>
      <x:c r="Q457" s="48"/>
      <x:c r="R457" s="48"/>
      <x:c r="S457" s="48"/>
      <x:c r="T457" s="48"/>
      <x:c r="U457" s="48"/>
      <x:c r="V457" s="48"/>
      <x:c r="W457" s="48"/>
      <x:c r="X457" s="48"/>
      <x:c r="Y457" s="48"/>
      <x:c r="Z457" s="48"/>
    </x:row>
    <x:row r="458">
      <x:c r="A458" s="48"/>
      <x:c r="B458" s="48"/>
      <x:c r="C458" s="48"/>
      <x:c r="D458" s="48"/>
      <x:c r="E458" s="48"/>
      <x:c r="F458" s="48"/>
      <x:c r="G458" s="48"/>
      <x:c r="H458" s="48"/>
      <x:c r="I458" s="48"/>
      <x:c r="J458" s="48"/>
      <x:c r="K458" s="48"/>
      <x:c r="L458" s="48"/>
      <x:c r="M458" s="48"/>
      <x:c r="N458" s="48"/>
      <x:c r="O458" s="48"/>
      <x:c r="P458" s="48"/>
      <x:c r="Q458" s="48"/>
      <x:c r="R458" s="48"/>
      <x:c r="S458" s="48"/>
      <x:c r="T458" s="48"/>
      <x:c r="U458" s="48"/>
      <x:c r="V458" s="48"/>
      <x:c r="W458" s="48"/>
      <x:c r="X458" s="48"/>
      <x:c r="Y458" s="48"/>
      <x:c r="Z458" s="48"/>
    </x:row>
    <x:row r="459">
      <x:c r="A459" s="48"/>
      <x:c r="B459" s="48"/>
      <x:c r="C459" s="48"/>
      <x:c r="D459" s="48"/>
      <x:c r="E459" s="48"/>
      <x:c r="F459" s="48"/>
      <x:c r="G459" s="48"/>
      <x:c r="H459" s="48"/>
      <x:c r="I459" s="48"/>
      <x:c r="J459" s="48"/>
      <x:c r="K459" s="48"/>
      <x:c r="L459" s="48"/>
      <x:c r="M459" s="48"/>
      <x:c r="N459" s="48"/>
      <x:c r="O459" s="48"/>
      <x:c r="P459" s="48"/>
      <x:c r="Q459" s="48"/>
      <x:c r="R459" s="48"/>
      <x:c r="S459" s="48"/>
      <x:c r="T459" s="48"/>
      <x:c r="U459" s="48"/>
      <x:c r="V459" s="48"/>
      <x:c r="W459" s="48"/>
      <x:c r="X459" s="48"/>
      <x:c r="Y459" s="48"/>
      <x:c r="Z459" s="48"/>
    </x:row>
    <x:row r="460">
      <x:c r="A460" s="48"/>
      <x:c r="B460" s="48"/>
      <x:c r="C460" s="48"/>
      <x:c r="D460" s="48"/>
      <x:c r="E460" s="48"/>
      <x:c r="F460" s="48"/>
      <x:c r="G460" s="48"/>
      <x:c r="H460" s="48"/>
      <x:c r="I460" s="48"/>
      <x:c r="J460" s="48"/>
      <x:c r="K460" s="48"/>
      <x:c r="L460" s="48"/>
      <x:c r="M460" s="48"/>
      <x:c r="N460" s="48"/>
      <x:c r="O460" s="48"/>
      <x:c r="P460" s="48"/>
      <x:c r="Q460" s="48"/>
      <x:c r="R460" s="48"/>
      <x:c r="S460" s="48"/>
      <x:c r="T460" s="48"/>
      <x:c r="U460" s="48"/>
      <x:c r="V460" s="48"/>
      <x:c r="W460" s="48"/>
      <x:c r="X460" s="48"/>
      <x:c r="Y460" s="48"/>
      <x:c r="Z460" s="48"/>
    </x:row>
    <x:row r="461">
      <x:c r="A461" s="48"/>
      <x:c r="B461" s="48"/>
      <x:c r="C461" s="48"/>
      <x:c r="D461" s="48"/>
      <x:c r="E461" s="48"/>
      <x:c r="F461" s="48"/>
      <x:c r="G461" s="48"/>
      <x:c r="H461" s="48"/>
      <x:c r="I461" s="48"/>
      <x:c r="J461" s="48"/>
      <x:c r="K461" s="48"/>
      <x:c r="L461" s="48"/>
      <x:c r="M461" s="48"/>
      <x:c r="N461" s="48"/>
      <x:c r="O461" s="48"/>
      <x:c r="P461" s="48"/>
      <x:c r="Q461" s="48"/>
      <x:c r="R461" s="48"/>
      <x:c r="S461" s="48"/>
      <x:c r="T461" s="48"/>
      <x:c r="U461" s="48"/>
      <x:c r="V461" s="48"/>
      <x:c r="W461" s="48"/>
      <x:c r="X461" s="48"/>
      <x:c r="Y461" s="48"/>
      <x:c r="Z461" s="48"/>
    </x:row>
    <x:row r="462">
      <x:c r="A462" s="48"/>
      <x:c r="B462" s="48"/>
      <x:c r="C462" s="48"/>
      <x:c r="D462" s="48"/>
      <x:c r="E462" s="48"/>
      <x:c r="F462" s="48"/>
      <x:c r="G462" s="48"/>
      <x:c r="H462" s="48"/>
      <x:c r="I462" s="48"/>
      <x:c r="J462" s="48"/>
      <x:c r="K462" s="48"/>
      <x:c r="L462" s="48"/>
      <x:c r="M462" s="48"/>
      <x:c r="N462" s="48"/>
      <x:c r="O462" s="48"/>
      <x:c r="P462" s="48"/>
      <x:c r="Q462" s="48"/>
      <x:c r="R462" s="48"/>
      <x:c r="S462" s="48"/>
      <x:c r="T462" s="48"/>
      <x:c r="U462" s="48"/>
      <x:c r="V462" s="48"/>
      <x:c r="W462" s="48"/>
      <x:c r="X462" s="48"/>
      <x:c r="Y462" s="48"/>
      <x:c r="Z462" s="48"/>
    </x:row>
    <x:row r="463">
      <x:c r="A463" s="48"/>
      <x:c r="B463" s="48"/>
      <x:c r="C463" s="48"/>
      <x:c r="D463" s="48"/>
      <x:c r="E463" s="48"/>
      <x:c r="F463" s="48"/>
      <x:c r="G463" s="48"/>
      <x:c r="H463" s="48"/>
      <x:c r="I463" s="48"/>
      <x:c r="J463" s="48"/>
      <x:c r="K463" s="48"/>
      <x:c r="L463" s="48"/>
      <x:c r="M463" s="48"/>
      <x:c r="N463" s="48"/>
      <x:c r="O463" s="48"/>
      <x:c r="P463" s="48"/>
      <x:c r="Q463" s="48"/>
      <x:c r="R463" s="48"/>
      <x:c r="S463" s="48"/>
      <x:c r="T463" s="48"/>
      <x:c r="U463" s="48"/>
      <x:c r="V463" s="48"/>
      <x:c r="W463" s="48"/>
      <x:c r="X463" s="48"/>
      <x:c r="Y463" s="48"/>
      <x:c r="Z463" s="48"/>
    </x:row>
    <x:row r="464">
      <x:c r="A464" s="48"/>
      <x:c r="B464" s="48"/>
      <x:c r="C464" s="48"/>
      <x:c r="D464" s="48"/>
      <x:c r="E464" s="48"/>
      <x:c r="F464" s="48"/>
      <x:c r="G464" s="48"/>
      <x:c r="H464" s="48"/>
      <x:c r="I464" s="48"/>
      <x:c r="J464" s="48"/>
      <x:c r="K464" s="48"/>
      <x:c r="L464" s="48"/>
      <x:c r="M464" s="48"/>
      <x:c r="N464" s="48"/>
      <x:c r="O464" s="48"/>
      <x:c r="P464" s="48"/>
      <x:c r="Q464" s="48"/>
      <x:c r="R464" s="48"/>
      <x:c r="S464" s="48"/>
      <x:c r="T464" s="48"/>
      <x:c r="U464" s="48"/>
      <x:c r="V464" s="48"/>
      <x:c r="W464" s="48"/>
      <x:c r="X464" s="48"/>
      <x:c r="Y464" s="48"/>
      <x:c r="Z464" s="48"/>
    </x:row>
    <x:row r="465">
      <x:c r="A465" s="48"/>
      <x:c r="B465" s="48"/>
      <x:c r="C465" s="48"/>
      <x:c r="D465" s="48"/>
      <x:c r="E465" s="48"/>
      <x:c r="F465" s="48"/>
      <x:c r="G465" s="48"/>
      <x:c r="H465" s="48"/>
      <x:c r="I465" s="48"/>
      <x:c r="J465" s="48"/>
      <x:c r="K465" s="48"/>
      <x:c r="L465" s="48"/>
      <x:c r="M465" s="48"/>
      <x:c r="N465" s="48"/>
      <x:c r="O465" s="48"/>
      <x:c r="P465" s="48"/>
      <x:c r="Q465" s="48"/>
      <x:c r="R465" s="48"/>
      <x:c r="S465" s="48"/>
      <x:c r="T465" s="48"/>
      <x:c r="U465" s="48"/>
      <x:c r="V465" s="48"/>
      <x:c r="W465" s="48"/>
      <x:c r="X465" s="48"/>
      <x:c r="Y465" s="48"/>
      <x:c r="Z465" s="48"/>
    </x:row>
    <x:row r="466">
      <x:c r="A466" s="48"/>
      <x:c r="B466" s="48"/>
      <x:c r="C466" s="48"/>
      <x:c r="D466" s="48"/>
      <x:c r="E466" s="48"/>
      <x:c r="F466" s="48"/>
      <x:c r="G466" s="48"/>
      <x:c r="H466" s="48"/>
      <x:c r="I466" s="48"/>
      <x:c r="J466" s="48"/>
      <x:c r="K466" s="48"/>
      <x:c r="L466" s="48"/>
      <x:c r="M466" s="48"/>
      <x:c r="N466" s="48"/>
      <x:c r="O466" s="48"/>
      <x:c r="P466" s="48"/>
      <x:c r="Q466" s="48"/>
      <x:c r="R466" s="48"/>
      <x:c r="S466" s="48"/>
      <x:c r="T466" s="48"/>
      <x:c r="U466" s="48"/>
      <x:c r="V466" s="48"/>
      <x:c r="W466" s="48"/>
      <x:c r="X466" s="48"/>
      <x:c r="Y466" s="48"/>
      <x:c r="Z466" s="48"/>
    </x:row>
    <x:row r="467">
      <x:c r="A467" s="48"/>
      <x:c r="B467" s="48"/>
      <x:c r="C467" s="48"/>
      <x:c r="D467" s="48"/>
      <x:c r="E467" s="48"/>
      <x:c r="F467" s="48"/>
      <x:c r="G467" s="48"/>
      <x:c r="H467" s="48"/>
      <x:c r="I467" s="48"/>
      <x:c r="J467" s="48"/>
      <x:c r="K467" s="48"/>
      <x:c r="L467" s="48"/>
      <x:c r="M467" s="48"/>
      <x:c r="N467" s="48"/>
      <x:c r="O467" s="48"/>
      <x:c r="P467" s="48"/>
      <x:c r="Q467" s="48"/>
      <x:c r="R467" s="48"/>
      <x:c r="S467" s="48"/>
      <x:c r="T467" s="48"/>
      <x:c r="U467" s="48"/>
      <x:c r="V467" s="48"/>
      <x:c r="W467" s="48"/>
      <x:c r="X467" s="48"/>
      <x:c r="Y467" s="48"/>
      <x:c r="Z467" s="48"/>
    </x:row>
    <x:row r="468">
      <x:c r="A468" s="48"/>
      <x:c r="B468" s="48"/>
      <x:c r="C468" s="48"/>
      <x:c r="D468" s="48"/>
      <x:c r="E468" s="48"/>
      <x:c r="F468" s="48"/>
      <x:c r="G468" s="48"/>
      <x:c r="H468" s="48"/>
      <x:c r="I468" s="48"/>
      <x:c r="J468" s="48"/>
      <x:c r="K468" s="48"/>
      <x:c r="L468" s="48"/>
      <x:c r="M468" s="48"/>
      <x:c r="N468" s="48"/>
      <x:c r="O468" s="48"/>
      <x:c r="P468" s="48"/>
      <x:c r="Q468" s="48"/>
      <x:c r="R468" s="48"/>
      <x:c r="S468" s="48"/>
      <x:c r="T468" s="48"/>
      <x:c r="U468" s="48"/>
      <x:c r="V468" s="48"/>
      <x:c r="W468" s="48"/>
      <x:c r="X468" s="48"/>
      <x:c r="Y468" s="48"/>
      <x:c r="Z468" s="48"/>
    </x:row>
    <x:row r="469">
      <x:c r="A469" s="48"/>
      <x:c r="B469" s="48"/>
      <x:c r="C469" s="48"/>
      <x:c r="D469" s="48"/>
      <x:c r="E469" s="48"/>
      <x:c r="F469" s="48"/>
      <x:c r="G469" s="48"/>
      <x:c r="H469" s="48"/>
      <x:c r="I469" s="48"/>
      <x:c r="J469" s="48"/>
      <x:c r="K469" s="48"/>
      <x:c r="L469" s="48"/>
      <x:c r="M469" s="48"/>
      <x:c r="N469" s="48"/>
      <x:c r="O469" s="48"/>
      <x:c r="P469" s="48"/>
      <x:c r="Q469" s="48"/>
      <x:c r="R469" s="48"/>
      <x:c r="S469" s="48"/>
      <x:c r="T469" s="48"/>
      <x:c r="U469" s="48"/>
      <x:c r="V469" s="48"/>
      <x:c r="W469" s="48"/>
      <x:c r="X469" s="48"/>
      <x:c r="Y469" s="48"/>
      <x:c r="Z469" s="48"/>
    </x:row>
    <x:row r="470">
      <x:c r="A470" s="48"/>
      <x:c r="B470" s="48"/>
      <x:c r="C470" s="48"/>
      <x:c r="D470" s="48"/>
      <x:c r="E470" s="48"/>
      <x:c r="F470" s="48"/>
      <x:c r="G470" s="48"/>
      <x:c r="H470" s="48"/>
      <x:c r="I470" s="48"/>
      <x:c r="J470" s="48"/>
      <x:c r="K470" s="48"/>
      <x:c r="L470" s="48"/>
      <x:c r="M470" s="48"/>
      <x:c r="N470" s="48"/>
      <x:c r="O470" s="48"/>
      <x:c r="P470" s="48"/>
      <x:c r="Q470" s="48"/>
      <x:c r="R470" s="48"/>
      <x:c r="S470" s="48"/>
      <x:c r="T470" s="48"/>
      <x:c r="U470" s="48"/>
      <x:c r="V470" s="48"/>
      <x:c r="W470" s="48"/>
      <x:c r="X470" s="48"/>
      <x:c r="Y470" s="48"/>
      <x:c r="Z470" s="48"/>
    </x:row>
    <x:row r="471">
      <x:c r="A471" s="48"/>
      <x:c r="B471" s="48"/>
      <x:c r="C471" s="48"/>
      <x:c r="D471" s="48"/>
      <x:c r="E471" s="48"/>
      <x:c r="F471" s="48"/>
      <x:c r="G471" s="48"/>
      <x:c r="H471" s="48"/>
      <x:c r="I471" s="48"/>
      <x:c r="J471" s="48"/>
      <x:c r="K471" s="48"/>
      <x:c r="L471" s="48"/>
      <x:c r="M471" s="48"/>
      <x:c r="N471" s="48"/>
      <x:c r="O471" s="48"/>
      <x:c r="P471" s="48"/>
      <x:c r="Q471" s="48"/>
      <x:c r="R471" s="48"/>
      <x:c r="S471" s="48"/>
      <x:c r="T471" s="48"/>
      <x:c r="U471" s="48"/>
      <x:c r="V471" s="48"/>
      <x:c r="W471" s="48"/>
      <x:c r="X471" s="48"/>
      <x:c r="Y471" s="48"/>
      <x:c r="Z471" s="48"/>
    </x:row>
    <x:row r="472">
      <x:c r="A472" s="48"/>
      <x:c r="B472" s="48"/>
      <x:c r="C472" s="48"/>
      <x:c r="D472" s="48"/>
      <x:c r="E472" s="48"/>
      <x:c r="F472" s="48"/>
      <x:c r="G472" s="48"/>
      <x:c r="H472" s="48"/>
      <x:c r="I472" s="48"/>
      <x:c r="J472" s="48"/>
      <x:c r="K472" s="48"/>
      <x:c r="L472" s="48"/>
      <x:c r="M472" s="48"/>
      <x:c r="N472" s="48"/>
      <x:c r="O472" s="48"/>
      <x:c r="P472" s="48"/>
      <x:c r="Q472" s="48"/>
      <x:c r="R472" s="48"/>
      <x:c r="S472" s="48"/>
      <x:c r="T472" s="48"/>
      <x:c r="U472" s="48"/>
      <x:c r="V472" s="48"/>
      <x:c r="W472" s="48"/>
      <x:c r="X472" s="48"/>
      <x:c r="Y472" s="48"/>
      <x:c r="Z472" s="48"/>
    </x:row>
    <x:row r="473">
      <x:c r="A473" s="48"/>
      <x:c r="B473" s="48"/>
      <x:c r="C473" s="48"/>
      <x:c r="D473" s="48"/>
      <x:c r="E473" s="48"/>
      <x:c r="F473" s="48"/>
      <x:c r="G473" s="48"/>
      <x:c r="H473" s="48"/>
      <x:c r="I473" s="48"/>
      <x:c r="J473" s="48"/>
      <x:c r="K473" s="48"/>
      <x:c r="L473" s="48"/>
      <x:c r="M473" s="48"/>
      <x:c r="N473" s="48"/>
      <x:c r="O473" s="48"/>
      <x:c r="P473" s="48"/>
      <x:c r="Q473" s="48"/>
      <x:c r="R473" s="48"/>
      <x:c r="S473" s="48"/>
      <x:c r="T473" s="48"/>
      <x:c r="U473" s="48"/>
      <x:c r="V473" s="48"/>
      <x:c r="W473" s="48"/>
      <x:c r="X473" s="48"/>
      <x:c r="Y473" s="48"/>
      <x:c r="Z473" s="48"/>
    </x:row>
    <x:row r="474">
      <x:c r="A474" s="48"/>
      <x:c r="B474" s="48"/>
      <x:c r="C474" s="48"/>
      <x:c r="D474" s="48"/>
      <x:c r="E474" s="48"/>
      <x:c r="F474" s="48"/>
      <x:c r="G474" s="48"/>
      <x:c r="H474" s="48"/>
      <x:c r="I474" s="48"/>
      <x:c r="J474" s="48"/>
      <x:c r="K474" s="48"/>
      <x:c r="L474" s="48"/>
      <x:c r="M474" s="48"/>
      <x:c r="N474" s="48"/>
      <x:c r="O474" s="48"/>
      <x:c r="P474" s="48"/>
      <x:c r="Q474" s="48"/>
      <x:c r="R474" s="48"/>
      <x:c r="S474" s="48"/>
      <x:c r="T474" s="48"/>
      <x:c r="U474" s="48"/>
      <x:c r="V474" s="48"/>
      <x:c r="W474" s="48"/>
      <x:c r="X474" s="48"/>
      <x:c r="Y474" s="48"/>
      <x:c r="Z474" s="48"/>
    </x:row>
    <x:row r="475">
      <x:c r="A475" s="48"/>
      <x:c r="B475" s="48"/>
      <x:c r="C475" s="48"/>
      <x:c r="D475" s="48"/>
      <x:c r="E475" s="48"/>
      <x:c r="F475" s="48"/>
      <x:c r="G475" s="48"/>
      <x:c r="H475" s="48"/>
      <x:c r="I475" s="48"/>
      <x:c r="J475" s="48"/>
      <x:c r="K475" s="48"/>
      <x:c r="L475" s="48"/>
      <x:c r="M475" s="48"/>
      <x:c r="N475" s="48"/>
      <x:c r="O475" s="48"/>
      <x:c r="P475" s="48"/>
      <x:c r="Q475" s="48"/>
      <x:c r="R475" s="48"/>
      <x:c r="S475" s="48"/>
      <x:c r="T475" s="48"/>
      <x:c r="U475" s="48"/>
      <x:c r="V475" s="48"/>
      <x:c r="W475" s="48"/>
      <x:c r="X475" s="48"/>
      <x:c r="Y475" s="48"/>
      <x:c r="Z475" s="48"/>
    </x:row>
    <x:row r="476">
      <x:c r="A476" s="48"/>
      <x:c r="B476" s="48"/>
      <x:c r="C476" s="48"/>
      <x:c r="D476" s="48"/>
      <x:c r="E476" s="48"/>
      <x:c r="F476" s="48"/>
      <x:c r="G476" s="48"/>
      <x:c r="H476" s="48"/>
      <x:c r="I476" s="48"/>
      <x:c r="J476" s="48"/>
      <x:c r="K476" s="48"/>
      <x:c r="L476" s="48"/>
      <x:c r="M476" s="48"/>
      <x:c r="N476" s="48"/>
      <x:c r="O476" s="48"/>
      <x:c r="P476" s="48"/>
      <x:c r="Q476" s="48"/>
      <x:c r="R476" s="48"/>
      <x:c r="S476" s="48"/>
      <x:c r="T476" s="48"/>
      <x:c r="U476" s="48"/>
      <x:c r="V476" s="48"/>
      <x:c r="W476" s="48"/>
      <x:c r="X476" s="48"/>
      <x:c r="Y476" s="48"/>
      <x:c r="Z476" s="48"/>
    </x:row>
    <x:row r="477">
      <x:c r="A477" s="48"/>
      <x:c r="B477" s="48"/>
      <x:c r="C477" s="48"/>
      <x:c r="D477" s="48"/>
      <x:c r="E477" s="48"/>
      <x:c r="F477" s="48"/>
      <x:c r="G477" s="48"/>
      <x:c r="H477" s="48"/>
      <x:c r="I477" s="48"/>
      <x:c r="J477" s="48"/>
      <x:c r="K477" s="48"/>
      <x:c r="L477" s="48"/>
      <x:c r="M477" s="48"/>
      <x:c r="N477" s="48"/>
      <x:c r="O477" s="48"/>
      <x:c r="P477" s="48"/>
      <x:c r="Q477" s="48"/>
      <x:c r="R477" s="48"/>
      <x:c r="S477" s="48"/>
      <x:c r="T477" s="48"/>
      <x:c r="U477" s="48"/>
      <x:c r="V477" s="48"/>
      <x:c r="W477" s="48"/>
      <x:c r="X477" s="48"/>
      <x:c r="Y477" s="48"/>
      <x:c r="Z477" s="48"/>
    </x:row>
    <x:row r="478">
      <x:c r="A478" s="48"/>
      <x:c r="B478" s="48"/>
      <x:c r="C478" s="48"/>
      <x:c r="D478" s="48"/>
      <x:c r="E478" s="48"/>
      <x:c r="F478" s="48"/>
      <x:c r="G478" s="48"/>
      <x:c r="H478" s="48"/>
      <x:c r="I478" s="48"/>
      <x:c r="J478" s="48"/>
      <x:c r="K478" s="48"/>
      <x:c r="L478" s="48"/>
      <x:c r="M478" s="48"/>
      <x:c r="N478" s="48"/>
      <x:c r="O478" s="48"/>
      <x:c r="P478" s="48"/>
      <x:c r="Q478" s="48"/>
      <x:c r="R478" s="48"/>
      <x:c r="S478" s="48"/>
      <x:c r="T478" s="48"/>
      <x:c r="U478" s="48"/>
      <x:c r="V478" s="48"/>
      <x:c r="W478" s="48"/>
      <x:c r="X478" s="48"/>
      <x:c r="Y478" s="48"/>
      <x:c r="Z478" s="48"/>
    </x:row>
    <x:row r="479">
      <x:c r="A479" s="48"/>
      <x:c r="B479" s="48"/>
      <x:c r="C479" s="48"/>
      <x:c r="D479" s="48"/>
      <x:c r="E479" s="48"/>
      <x:c r="F479" s="48"/>
      <x:c r="G479" s="48"/>
      <x:c r="H479" s="48"/>
      <x:c r="I479" s="48"/>
      <x:c r="J479" s="48"/>
      <x:c r="K479" s="48"/>
      <x:c r="L479" s="48"/>
      <x:c r="M479" s="48"/>
      <x:c r="N479" s="48"/>
      <x:c r="O479" s="48"/>
      <x:c r="P479" s="48"/>
      <x:c r="Q479" s="48"/>
      <x:c r="R479" s="48"/>
      <x:c r="S479" s="48"/>
      <x:c r="T479" s="48"/>
      <x:c r="U479" s="48"/>
      <x:c r="V479" s="48"/>
      <x:c r="W479" s="48"/>
      <x:c r="X479" s="48"/>
      <x:c r="Y479" s="48"/>
      <x:c r="Z479" s="48"/>
    </x:row>
    <x:row r="480">
      <x:c r="A480" s="48"/>
      <x:c r="B480" s="48"/>
      <x:c r="C480" s="48"/>
      <x:c r="D480" s="48"/>
      <x:c r="E480" s="48"/>
      <x:c r="F480" s="48"/>
      <x:c r="G480" s="48"/>
      <x:c r="H480" s="48"/>
      <x:c r="I480" s="48"/>
      <x:c r="J480" s="48"/>
      <x:c r="K480" s="48"/>
      <x:c r="L480" s="48"/>
      <x:c r="M480" s="48"/>
      <x:c r="N480" s="48"/>
      <x:c r="O480" s="48"/>
      <x:c r="P480" s="48"/>
      <x:c r="Q480" s="48"/>
      <x:c r="R480" s="48"/>
      <x:c r="S480" s="48"/>
      <x:c r="T480" s="48"/>
      <x:c r="U480" s="48"/>
      <x:c r="V480" s="48"/>
      <x:c r="W480" s="48"/>
      <x:c r="X480" s="48"/>
      <x:c r="Y480" s="48"/>
      <x:c r="Z480" s="48"/>
    </x:row>
    <x:row r="481">
      <x:c r="A481" s="48"/>
      <x:c r="B481" s="48"/>
      <x:c r="C481" s="48"/>
      <x:c r="D481" s="48"/>
      <x:c r="E481" s="48"/>
      <x:c r="F481" s="48"/>
      <x:c r="G481" s="48"/>
      <x:c r="H481" s="48"/>
      <x:c r="I481" s="48"/>
      <x:c r="J481" s="48"/>
      <x:c r="K481" s="48"/>
      <x:c r="L481" s="48"/>
      <x:c r="M481" s="48"/>
      <x:c r="N481" s="48"/>
      <x:c r="O481" s="48"/>
      <x:c r="P481" s="48"/>
      <x:c r="Q481" s="48"/>
      <x:c r="R481" s="48"/>
      <x:c r="S481" s="48"/>
      <x:c r="T481" s="48"/>
      <x:c r="U481" s="48"/>
      <x:c r="V481" s="48"/>
      <x:c r="W481" s="48"/>
      <x:c r="X481" s="48"/>
      <x:c r="Y481" s="48"/>
      <x:c r="Z481" s="48"/>
    </x:row>
    <x:row r="482">
      <x:c r="A482" s="48"/>
      <x:c r="B482" s="48"/>
      <x:c r="C482" s="48"/>
      <x:c r="D482" s="48"/>
      <x:c r="E482" s="48"/>
      <x:c r="F482" s="48"/>
      <x:c r="G482" s="48"/>
      <x:c r="H482" s="48"/>
      <x:c r="I482" s="48"/>
      <x:c r="J482" s="48"/>
      <x:c r="K482" s="48"/>
      <x:c r="L482" s="48"/>
      <x:c r="M482" s="48"/>
      <x:c r="N482" s="48"/>
      <x:c r="O482" s="48"/>
      <x:c r="P482" s="48"/>
      <x:c r="Q482" s="48"/>
      <x:c r="R482" s="48"/>
      <x:c r="S482" s="48"/>
      <x:c r="T482" s="48"/>
      <x:c r="U482" s="48"/>
      <x:c r="V482" s="48"/>
      <x:c r="W482" s="48"/>
      <x:c r="X482" s="48"/>
      <x:c r="Y482" s="48"/>
      <x:c r="Z482" s="48"/>
    </x:row>
    <x:row r="483">
      <x:c r="A483" s="48"/>
      <x:c r="B483" s="48"/>
      <x:c r="C483" s="48"/>
      <x:c r="D483" s="48"/>
      <x:c r="E483" s="48"/>
      <x:c r="F483" s="48"/>
      <x:c r="G483" s="48"/>
      <x:c r="H483" s="48"/>
      <x:c r="I483" s="48"/>
      <x:c r="J483" s="48"/>
      <x:c r="K483" s="48"/>
      <x:c r="L483" s="48"/>
      <x:c r="M483" s="48"/>
      <x:c r="N483" s="48"/>
      <x:c r="O483" s="48"/>
      <x:c r="P483" s="48"/>
      <x:c r="Q483" s="48"/>
      <x:c r="R483" s="48"/>
      <x:c r="S483" s="48"/>
      <x:c r="T483" s="48"/>
      <x:c r="U483" s="48"/>
      <x:c r="V483" s="48"/>
      <x:c r="W483" s="48"/>
      <x:c r="X483" s="48"/>
      <x:c r="Y483" s="48"/>
      <x:c r="Z483" s="48"/>
    </x:row>
    <x:row r="484">
      <x:c r="A484" s="48"/>
      <x:c r="B484" s="48"/>
      <x:c r="C484" s="48"/>
      <x:c r="D484" s="48"/>
      <x:c r="E484" s="48"/>
      <x:c r="F484" s="48"/>
      <x:c r="G484" s="48"/>
      <x:c r="H484" s="48"/>
      <x:c r="I484" s="48"/>
      <x:c r="J484" s="48"/>
      <x:c r="K484" s="48"/>
      <x:c r="L484" s="48"/>
      <x:c r="M484" s="48"/>
      <x:c r="N484" s="48"/>
      <x:c r="O484" s="48"/>
      <x:c r="P484" s="48"/>
      <x:c r="Q484" s="48"/>
      <x:c r="R484" s="48"/>
      <x:c r="S484" s="48"/>
      <x:c r="T484" s="48"/>
      <x:c r="U484" s="48"/>
      <x:c r="V484" s="48"/>
      <x:c r="W484" s="48"/>
      <x:c r="X484" s="48"/>
      <x:c r="Y484" s="48"/>
      <x:c r="Z484" s="48"/>
    </x:row>
    <x:row r="485">
      <x:c r="A485" s="48"/>
      <x:c r="B485" s="48"/>
      <x:c r="C485" s="48"/>
      <x:c r="D485" s="48"/>
      <x:c r="E485" s="48"/>
      <x:c r="F485" s="48"/>
      <x:c r="G485" s="48"/>
      <x:c r="H485" s="48"/>
      <x:c r="I485" s="48"/>
      <x:c r="J485" s="48"/>
      <x:c r="K485" s="48"/>
      <x:c r="L485" s="48"/>
      <x:c r="M485" s="48"/>
      <x:c r="N485" s="48"/>
      <x:c r="O485" s="48"/>
      <x:c r="P485" s="48"/>
      <x:c r="Q485" s="48"/>
      <x:c r="R485" s="48"/>
      <x:c r="S485" s="48"/>
      <x:c r="T485" s="48"/>
      <x:c r="U485" s="48"/>
      <x:c r="V485" s="48"/>
      <x:c r="W485" s="48"/>
      <x:c r="X485" s="48"/>
      <x:c r="Y485" s="48"/>
      <x:c r="Z485" s="48"/>
    </x:row>
    <x:row r="486">
      <x:c r="A486" s="48"/>
      <x:c r="B486" s="48"/>
      <x:c r="C486" s="48"/>
      <x:c r="D486" s="48"/>
      <x:c r="E486" s="48"/>
      <x:c r="F486" s="48"/>
      <x:c r="G486" s="48"/>
      <x:c r="H486" s="48"/>
      <x:c r="I486" s="48"/>
      <x:c r="J486" s="48"/>
      <x:c r="K486" s="48"/>
      <x:c r="L486" s="48"/>
      <x:c r="M486" s="48"/>
      <x:c r="N486" s="48"/>
      <x:c r="O486" s="48"/>
      <x:c r="P486" s="48"/>
      <x:c r="Q486" s="48"/>
      <x:c r="R486" s="48"/>
      <x:c r="S486" s="48"/>
      <x:c r="T486" s="48"/>
      <x:c r="U486" s="48"/>
      <x:c r="V486" s="48"/>
      <x:c r="W486" s="48"/>
      <x:c r="X486" s="48"/>
      <x:c r="Y486" s="48"/>
      <x:c r="Z486" s="48"/>
    </x:row>
    <x:row r="487">
      <x:c r="A487" s="48"/>
      <x:c r="B487" s="48"/>
      <x:c r="C487" s="48"/>
      <x:c r="D487" s="48"/>
      <x:c r="E487" s="48"/>
      <x:c r="F487" s="48"/>
      <x:c r="G487" s="48"/>
      <x:c r="H487" s="48"/>
      <x:c r="I487" s="48"/>
      <x:c r="J487" s="48"/>
      <x:c r="K487" s="48"/>
      <x:c r="L487" s="48"/>
      <x:c r="M487" s="48"/>
      <x:c r="N487" s="48"/>
      <x:c r="O487" s="48"/>
      <x:c r="P487" s="48"/>
      <x:c r="Q487" s="48"/>
      <x:c r="R487" s="48"/>
      <x:c r="S487" s="48"/>
      <x:c r="T487" s="48"/>
      <x:c r="U487" s="48"/>
      <x:c r="V487" s="48"/>
      <x:c r="W487" s="48"/>
      <x:c r="X487" s="48"/>
      <x:c r="Y487" s="48"/>
      <x:c r="Z487" s="48"/>
    </x:row>
    <x:row r="488">
      <x:c r="A488" s="48"/>
      <x:c r="B488" s="48"/>
      <x:c r="C488" s="48"/>
      <x:c r="D488" s="48"/>
      <x:c r="E488" s="48"/>
      <x:c r="F488" s="48"/>
      <x:c r="G488" s="48"/>
      <x:c r="H488" s="48"/>
      <x:c r="I488" s="48"/>
      <x:c r="J488" s="48"/>
      <x:c r="K488" s="48"/>
      <x:c r="L488" s="48"/>
      <x:c r="M488" s="48"/>
      <x:c r="N488" s="48"/>
      <x:c r="O488" s="48"/>
      <x:c r="P488" s="48"/>
      <x:c r="Q488" s="48"/>
      <x:c r="R488" s="48"/>
      <x:c r="S488" s="48"/>
      <x:c r="T488" s="48"/>
      <x:c r="U488" s="48"/>
      <x:c r="V488" s="48"/>
      <x:c r="W488" s="48"/>
      <x:c r="X488" s="48"/>
      <x:c r="Y488" s="48"/>
      <x:c r="Z488" s="48"/>
    </x:row>
    <x:row r="489">
      <x:c r="A489" s="48"/>
      <x:c r="B489" s="48"/>
      <x:c r="C489" s="48"/>
      <x:c r="D489" s="48"/>
      <x:c r="E489" s="48"/>
      <x:c r="F489" s="48"/>
      <x:c r="G489" s="48"/>
      <x:c r="H489" s="48"/>
      <x:c r="I489" s="48"/>
      <x:c r="J489" s="48"/>
      <x:c r="K489" s="48"/>
      <x:c r="L489" s="48"/>
      <x:c r="M489" s="48"/>
      <x:c r="N489" s="48"/>
      <x:c r="O489" s="48"/>
      <x:c r="P489" s="48"/>
      <x:c r="Q489" s="48"/>
      <x:c r="R489" s="48"/>
      <x:c r="S489" s="48"/>
      <x:c r="T489" s="48"/>
      <x:c r="U489" s="48"/>
      <x:c r="V489" s="48"/>
      <x:c r="W489" s="48"/>
      <x:c r="X489" s="48"/>
      <x:c r="Y489" s="48"/>
      <x:c r="Z489" s="48"/>
    </x:row>
    <x:row r="490">
      <x:c r="A490" s="48"/>
      <x:c r="B490" s="48"/>
      <x:c r="C490" s="48"/>
      <x:c r="D490" s="48"/>
      <x:c r="E490" s="48"/>
      <x:c r="F490" s="48"/>
      <x:c r="G490" s="48"/>
      <x:c r="H490" s="48"/>
      <x:c r="I490" s="48"/>
      <x:c r="J490" s="48"/>
      <x:c r="K490" s="48"/>
      <x:c r="L490" s="48"/>
      <x:c r="M490" s="48"/>
      <x:c r="N490" s="48"/>
      <x:c r="O490" s="48"/>
      <x:c r="P490" s="48"/>
      <x:c r="Q490" s="48"/>
      <x:c r="R490" s="48"/>
      <x:c r="S490" s="48"/>
      <x:c r="T490" s="48"/>
      <x:c r="U490" s="48"/>
      <x:c r="V490" s="48"/>
      <x:c r="W490" s="48"/>
      <x:c r="X490" s="48"/>
      <x:c r="Y490" s="48"/>
      <x:c r="Z490" s="48"/>
    </x:row>
    <x:row r="491">
      <x:c r="A491" s="48"/>
      <x:c r="B491" s="48"/>
      <x:c r="C491" s="48"/>
      <x:c r="D491" s="48"/>
      <x:c r="E491" s="48"/>
      <x:c r="F491" s="48"/>
      <x:c r="G491" s="48"/>
      <x:c r="H491" s="48"/>
      <x:c r="I491" s="48"/>
      <x:c r="J491" s="48"/>
      <x:c r="K491" s="48"/>
      <x:c r="L491" s="48"/>
      <x:c r="M491" s="48"/>
      <x:c r="N491" s="48"/>
      <x:c r="O491" s="48"/>
      <x:c r="P491" s="48"/>
      <x:c r="Q491" s="48"/>
      <x:c r="R491" s="48"/>
      <x:c r="S491" s="48"/>
      <x:c r="T491" s="48"/>
      <x:c r="U491" s="48"/>
      <x:c r="V491" s="48"/>
      <x:c r="W491" s="48"/>
      <x:c r="X491" s="48"/>
      <x:c r="Y491" s="48"/>
      <x:c r="Z491" s="48"/>
    </x:row>
    <x:row r="492">
      <x:c r="A492" s="48"/>
      <x:c r="B492" s="48"/>
      <x:c r="C492" s="48"/>
      <x:c r="D492" s="48"/>
      <x:c r="E492" s="48"/>
      <x:c r="F492" s="48"/>
      <x:c r="G492" s="48"/>
      <x:c r="H492" s="48"/>
      <x:c r="I492" s="48"/>
      <x:c r="J492" s="48"/>
      <x:c r="K492" s="48"/>
      <x:c r="L492" s="48"/>
      <x:c r="M492" s="48"/>
      <x:c r="N492" s="48"/>
      <x:c r="O492" s="48"/>
      <x:c r="P492" s="48"/>
      <x:c r="Q492" s="48"/>
      <x:c r="R492" s="48"/>
      <x:c r="S492" s="48"/>
      <x:c r="T492" s="48"/>
      <x:c r="U492" s="48"/>
      <x:c r="V492" s="48"/>
      <x:c r="W492" s="48"/>
      <x:c r="X492" s="48"/>
      <x:c r="Y492" s="48"/>
      <x:c r="Z492" s="48"/>
    </x:row>
    <x:row r="493">
      <x:c r="A493" s="48"/>
      <x:c r="B493" s="48"/>
      <x:c r="C493" s="48"/>
      <x:c r="D493" s="48"/>
      <x:c r="E493" s="48"/>
      <x:c r="F493" s="48"/>
      <x:c r="G493" s="48"/>
      <x:c r="H493" s="48"/>
      <x:c r="I493" s="48"/>
      <x:c r="J493" s="48"/>
      <x:c r="K493" s="48"/>
      <x:c r="L493" s="48"/>
      <x:c r="M493" s="48"/>
      <x:c r="N493" s="48"/>
      <x:c r="O493" s="48"/>
      <x:c r="P493" s="48"/>
      <x:c r="Q493" s="48"/>
      <x:c r="R493" s="48"/>
      <x:c r="S493" s="48"/>
      <x:c r="T493" s="48"/>
      <x:c r="U493" s="48"/>
      <x:c r="V493" s="48"/>
      <x:c r="W493" s="48"/>
      <x:c r="X493" s="48"/>
      <x:c r="Y493" s="48"/>
      <x:c r="Z493" s="48"/>
    </x:row>
    <x:row r="494">
      <x:c r="A494" s="48"/>
      <x:c r="B494" s="48"/>
      <x:c r="C494" s="48"/>
      <x:c r="D494" s="48"/>
      <x:c r="E494" s="48"/>
      <x:c r="F494" s="48"/>
      <x:c r="G494" s="48"/>
      <x:c r="H494" s="48"/>
      <x:c r="I494" s="48"/>
      <x:c r="J494" s="48"/>
      <x:c r="K494" s="48"/>
      <x:c r="L494" s="48"/>
      <x:c r="M494" s="48"/>
      <x:c r="N494" s="48"/>
      <x:c r="O494" s="48"/>
      <x:c r="P494" s="48"/>
      <x:c r="Q494" s="48"/>
      <x:c r="R494" s="48"/>
      <x:c r="S494" s="48"/>
      <x:c r="T494" s="48"/>
      <x:c r="U494" s="48"/>
      <x:c r="V494" s="48"/>
      <x:c r="W494" s="48"/>
      <x:c r="X494" s="48"/>
      <x:c r="Y494" s="48"/>
      <x:c r="Z494" s="48"/>
    </x:row>
    <x:row r="495">
      <x:c r="A495" s="48"/>
      <x:c r="B495" s="48"/>
      <x:c r="C495" s="48"/>
      <x:c r="D495" s="48"/>
      <x:c r="E495" s="48"/>
      <x:c r="F495" s="48"/>
      <x:c r="G495" s="48"/>
      <x:c r="H495" s="48"/>
      <x:c r="I495" s="48"/>
      <x:c r="J495" s="48"/>
      <x:c r="K495" s="48"/>
      <x:c r="L495" s="48"/>
      <x:c r="M495" s="48"/>
      <x:c r="N495" s="48"/>
      <x:c r="O495" s="48"/>
      <x:c r="P495" s="48"/>
      <x:c r="Q495" s="48"/>
      <x:c r="R495" s="48"/>
      <x:c r="S495" s="48"/>
      <x:c r="T495" s="48"/>
      <x:c r="U495" s="48"/>
      <x:c r="V495" s="48"/>
      <x:c r="W495" s="48"/>
      <x:c r="X495" s="48"/>
      <x:c r="Y495" s="48"/>
      <x:c r="Z495" s="48"/>
    </x:row>
    <x:row r="496">
      <x:c r="A496" s="48"/>
      <x:c r="B496" s="48"/>
      <x:c r="C496" s="48"/>
      <x:c r="D496" s="48"/>
      <x:c r="E496" s="48"/>
      <x:c r="F496" s="48"/>
      <x:c r="G496" s="48"/>
      <x:c r="H496" s="48"/>
      <x:c r="I496" s="48"/>
      <x:c r="J496" s="48"/>
      <x:c r="K496" s="48"/>
      <x:c r="L496" s="48"/>
      <x:c r="M496" s="48"/>
      <x:c r="N496" s="48"/>
      <x:c r="O496" s="48"/>
      <x:c r="P496" s="48"/>
      <x:c r="Q496" s="48"/>
      <x:c r="R496" s="48"/>
      <x:c r="S496" s="48"/>
      <x:c r="T496" s="48"/>
      <x:c r="U496" s="48"/>
      <x:c r="V496" s="48"/>
      <x:c r="W496" s="48"/>
      <x:c r="X496" s="48"/>
      <x:c r="Y496" s="48"/>
      <x:c r="Z496" s="48"/>
    </x:row>
    <x:row r="497">
      <x:c r="A497" s="48"/>
      <x:c r="B497" s="48"/>
      <x:c r="C497" s="48"/>
      <x:c r="D497" s="48"/>
      <x:c r="E497" s="48"/>
      <x:c r="F497" s="48"/>
      <x:c r="G497" s="48"/>
      <x:c r="H497" s="48"/>
      <x:c r="I497" s="48"/>
      <x:c r="J497" s="48"/>
      <x:c r="K497" s="48"/>
      <x:c r="L497" s="48"/>
      <x:c r="M497" s="48"/>
      <x:c r="N497" s="48"/>
      <x:c r="O497" s="48"/>
      <x:c r="P497" s="48"/>
      <x:c r="Q497" s="48"/>
      <x:c r="R497" s="48"/>
      <x:c r="S497" s="48"/>
      <x:c r="T497" s="48"/>
      <x:c r="U497" s="48"/>
      <x:c r="V497" s="48"/>
      <x:c r="W497" s="48"/>
      <x:c r="X497" s="48"/>
      <x:c r="Y497" s="48"/>
      <x:c r="Z497" s="48"/>
    </x:row>
    <x:row r="498">
      <x:c r="A498" s="48"/>
      <x:c r="B498" s="48"/>
      <x:c r="C498" s="48"/>
      <x:c r="D498" s="48"/>
      <x:c r="E498" s="48"/>
      <x:c r="F498" s="48"/>
      <x:c r="G498" s="48"/>
      <x:c r="H498" s="48"/>
      <x:c r="I498" s="48"/>
      <x:c r="J498" s="48"/>
      <x:c r="K498" s="48"/>
      <x:c r="L498" s="48"/>
      <x:c r="M498" s="48"/>
      <x:c r="N498" s="48"/>
      <x:c r="O498" s="48"/>
      <x:c r="P498" s="48"/>
      <x:c r="Q498" s="48"/>
      <x:c r="R498" s="48"/>
      <x:c r="S498" s="48"/>
      <x:c r="T498" s="48"/>
      <x:c r="U498" s="48"/>
      <x:c r="V498" s="48"/>
      <x:c r="W498" s="48"/>
      <x:c r="X498" s="48"/>
      <x:c r="Y498" s="48"/>
      <x:c r="Z498" s="48"/>
    </x:row>
    <x:row r="499">
      <x:c r="A499" s="48"/>
      <x:c r="B499" s="48"/>
      <x:c r="C499" s="48"/>
      <x:c r="D499" s="48"/>
      <x:c r="E499" s="48"/>
      <x:c r="F499" s="48"/>
      <x:c r="G499" s="48"/>
      <x:c r="H499" s="48"/>
      <x:c r="I499" s="48"/>
      <x:c r="J499" s="48"/>
      <x:c r="K499" s="48"/>
      <x:c r="L499" s="48"/>
      <x:c r="M499" s="48"/>
      <x:c r="N499" s="48"/>
      <x:c r="O499" s="48"/>
      <x:c r="P499" s="48"/>
      <x:c r="Q499" s="48"/>
      <x:c r="R499" s="48"/>
      <x:c r="S499" s="48"/>
      <x:c r="T499" s="48"/>
      <x:c r="U499" s="48"/>
      <x:c r="V499" s="48"/>
      <x:c r="W499" s="48"/>
      <x:c r="X499" s="48"/>
      <x:c r="Y499" s="48"/>
      <x:c r="Z499" s="48"/>
    </x:row>
    <x:row r="500">
      <x:c r="A500" s="48"/>
      <x:c r="B500" s="48"/>
      <x:c r="C500" s="48"/>
      <x:c r="D500" s="48"/>
      <x:c r="E500" s="48"/>
      <x:c r="F500" s="48"/>
      <x:c r="G500" s="48"/>
      <x:c r="H500" s="48"/>
      <x:c r="I500" s="48"/>
      <x:c r="J500" s="48"/>
      <x:c r="K500" s="48"/>
      <x:c r="L500" s="48"/>
      <x:c r="M500" s="48"/>
      <x:c r="N500" s="48"/>
      <x:c r="O500" s="48"/>
      <x:c r="P500" s="48"/>
      <x:c r="Q500" s="48"/>
      <x:c r="R500" s="48"/>
      <x:c r="S500" s="48"/>
      <x:c r="T500" s="48"/>
      <x:c r="U500" s="48"/>
      <x:c r="V500" s="48"/>
      <x:c r="W500" s="48"/>
      <x:c r="X500" s="48"/>
      <x:c r="Y500" s="48"/>
      <x:c r="Z500" s="48"/>
    </x:row>
    <x:row r="501">
      <x:c r="A501" s="48"/>
      <x:c r="B501" s="48"/>
      <x:c r="C501" s="48"/>
      <x:c r="D501" s="48"/>
      <x:c r="E501" s="48"/>
      <x:c r="F501" s="48"/>
      <x:c r="G501" s="48"/>
      <x:c r="H501" s="48"/>
      <x:c r="I501" s="48"/>
      <x:c r="J501" s="48"/>
      <x:c r="K501" s="48"/>
      <x:c r="L501" s="48"/>
      <x:c r="M501" s="48"/>
      <x:c r="N501" s="48"/>
      <x:c r="O501" s="48"/>
      <x:c r="P501" s="48"/>
      <x:c r="Q501" s="48"/>
      <x:c r="R501" s="48"/>
      <x:c r="S501" s="48"/>
      <x:c r="T501" s="48"/>
      <x:c r="U501" s="48"/>
      <x:c r="V501" s="48"/>
      <x:c r="W501" s="48"/>
      <x:c r="X501" s="48"/>
      <x:c r="Y501" s="48"/>
      <x:c r="Z501" s="48"/>
    </x:row>
    <x:row r="502">
      <x:c r="A502" s="48"/>
      <x:c r="B502" s="48"/>
      <x:c r="C502" s="48"/>
      <x:c r="D502" s="48"/>
      <x:c r="E502" s="48"/>
      <x:c r="F502" s="48"/>
      <x:c r="G502" s="48"/>
      <x:c r="H502" s="48"/>
      <x:c r="I502" s="48"/>
      <x:c r="J502" s="48"/>
      <x:c r="K502" s="48"/>
      <x:c r="L502" s="48"/>
      <x:c r="M502" s="48"/>
      <x:c r="N502" s="48"/>
      <x:c r="O502" s="48"/>
      <x:c r="P502" s="48"/>
      <x:c r="Q502" s="48"/>
      <x:c r="R502" s="48"/>
      <x:c r="S502" s="48"/>
      <x:c r="T502" s="48"/>
      <x:c r="U502" s="48"/>
      <x:c r="V502" s="48"/>
      <x:c r="W502" s="48"/>
      <x:c r="X502" s="48"/>
      <x:c r="Y502" s="48"/>
      <x:c r="Z502" s="48"/>
    </x:row>
    <x:row r="503">
      <x:c r="A503" s="48"/>
      <x:c r="B503" s="48"/>
      <x:c r="C503" s="48"/>
      <x:c r="D503" s="48"/>
      <x:c r="E503" s="48"/>
      <x:c r="F503" s="48"/>
      <x:c r="G503" s="48"/>
      <x:c r="H503" s="48"/>
      <x:c r="I503" s="48"/>
      <x:c r="J503" s="48"/>
      <x:c r="K503" s="48"/>
      <x:c r="L503" s="48"/>
      <x:c r="M503" s="48"/>
      <x:c r="N503" s="48"/>
      <x:c r="O503" s="48"/>
      <x:c r="P503" s="48"/>
      <x:c r="Q503" s="48"/>
      <x:c r="R503" s="48"/>
      <x:c r="S503" s="48"/>
      <x:c r="T503" s="48"/>
      <x:c r="U503" s="48"/>
      <x:c r="V503" s="48"/>
      <x:c r="W503" s="48"/>
      <x:c r="X503" s="48"/>
      <x:c r="Y503" s="48"/>
      <x:c r="Z503" s="48"/>
    </x:row>
    <x:row r="504">
      <x:c r="A504" s="48"/>
      <x:c r="B504" s="48"/>
      <x:c r="C504" s="48"/>
      <x:c r="D504" s="48"/>
      <x:c r="E504" s="48"/>
      <x:c r="F504" s="48"/>
      <x:c r="G504" s="48"/>
      <x:c r="H504" s="48"/>
      <x:c r="I504" s="48"/>
      <x:c r="J504" s="48"/>
      <x:c r="K504" s="48"/>
      <x:c r="L504" s="48"/>
      <x:c r="M504" s="48"/>
      <x:c r="N504" s="48"/>
      <x:c r="O504" s="48"/>
      <x:c r="P504" s="48"/>
      <x:c r="Q504" s="48"/>
      <x:c r="R504" s="48"/>
      <x:c r="S504" s="48"/>
      <x:c r="T504" s="48"/>
      <x:c r="U504" s="48"/>
      <x:c r="V504" s="48"/>
      <x:c r="W504" s="48"/>
      <x:c r="X504" s="48"/>
      <x:c r="Y504" s="48"/>
      <x:c r="Z504" s="48"/>
    </x:row>
    <x:row r="505">
      <x:c r="A505" s="48"/>
      <x:c r="B505" s="48"/>
      <x:c r="C505" s="48"/>
      <x:c r="D505" s="48"/>
      <x:c r="E505" s="48"/>
      <x:c r="F505" s="48"/>
      <x:c r="G505" s="48"/>
      <x:c r="H505" s="48"/>
      <x:c r="I505" s="48"/>
      <x:c r="J505" s="48"/>
      <x:c r="K505" s="48"/>
      <x:c r="L505" s="48"/>
      <x:c r="M505" s="48"/>
      <x:c r="N505" s="48"/>
      <x:c r="O505" s="48"/>
      <x:c r="P505" s="48"/>
      <x:c r="Q505" s="48"/>
      <x:c r="R505" s="48"/>
      <x:c r="S505" s="48"/>
      <x:c r="T505" s="48"/>
      <x:c r="U505" s="48"/>
      <x:c r="V505" s="48"/>
      <x:c r="W505" s="48"/>
      <x:c r="X505" s="48"/>
      <x:c r="Y505" s="48"/>
      <x:c r="Z505" s="48"/>
    </x:row>
    <x:row r="506">
      <x:c r="A506" s="48"/>
      <x:c r="B506" s="48"/>
      <x:c r="C506" s="48"/>
      <x:c r="D506" s="48"/>
      <x:c r="E506" s="48"/>
      <x:c r="F506" s="48"/>
      <x:c r="G506" s="48"/>
      <x:c r="H506" s="48"/>
      <x:c r="I506" s="48"/>
      <x:c r="J506" s="48"/>
      <x:c r="K506" s="48"/>
      <x:c r="L506" s="48"/>
      <x:c r="M506" s="48"/>
      <x:c r="N506" s="48"/>
      <x:c r="O506" s="48"/>
      <x:c r="P506" s="48"/>
      <x:c r="Q506" s="48"/>
      <x:c r="R506" s="48"/>
      <x:c r="S506" s="48"/>
      <x:c r="T506" s="48"/>
      <x:c r="U506" s="48"/>
      <x:c r="V506" s="48"/>
      <x:c r="W506" s="48"/>
      <x:c r="X506" s="48"/>
      <x:c r="Y506" s="48"/>
      <x:c r="Z506" s="48"/>
    </x:row>
    <x:row r="507">
      <x:c r="A507" s="48"/>
      <x:c r="B507" s="48"/>
      <x:c r="C507" s="48"/>
      <x:c r="D507" s="48"/>
      <x:c r="E507" s="48"/>
      <x:c r="F507" s="48"/>
      <x:c r="G507" s="48"/>
      <x:c r="H507" s="48"/>
      <x:c r="I507" s="48"/>
      <x:c r="J507" s="48"/>
      <x:c r="K507" s="48"/>
      <x:c r="L507" s="48"/>
      <x:c r="M507" s="48"/>
      <x:c r="N507" s="48"/>
      <x:c r="O507" s="48"/>
      <x:c r="P507" s="48"/>
      <x:c r="Q507" s="48"/>
      <x:c r="R507" s="48"/>
      <x:c r="S507" s="48"/>
      <x:c r="T507" s="48"/>
      <x:c r="U507" s="48"/>
      <x:c r="V507" s="48"/>
      <x:c r="W507" s="48"/>
      <x:c r="X507" s="48"/>
      <x:c r="Y507" s="48"/>
      <x:c r="Z507" s="48"/>
    </x:row>
    <x:row r="508">
      <x:c r="A508" s="48"/>
      <x:c r="B508" s="48"/>
      <x:c r="C508" s="48"/>
      <x:c r="D508" s="48"/>
      <x:c r="E508" s="48"/>
      <x:c r="F508" s="48"/>
      <x:c r="G508" s="48"/>
      <x:c r="H508" s="48"/>
      <x:c r="I508" s="48"/>
      <x:c r="J508" s="48"/>
      <x:c r="K508" s="48"/>
      <x:c r="L508" s="48"/>
      <x:c r="M508" s="48"/>
      <x:c r="N508" s="48"/>
      <x:c r="O508" s="48"/>
      <x:c r="P508" s="48"/>
      <x:c r="Q508" s="48"/>
      <x:c r="R508" s="48"/>
      <x:c r="S508" s="48"/>
      <x:c r="T508" s="48"/>
      <x:c r="U508" s="48"/>
      <x:c r="V508" s="48"/>
      <x:c r="W508" s="48"/>
      <x:c r="X508" s="48"/>
      <x:c r="Y508" s="48"/>
      <x:c r="Z508" s="48"/>
    </x:row>
    <x:row r="509">
      <x:c r="A509" s="48"/>
      <x:c r="B509" s="48"/>
      <x:c r="C509" s="48"/>
      <x:c r="D509" s="48"/>
      <x:c r="E509" s="48"/>
      <x:c r="F509" s="48"/>
      <x:c r="G509" s="48"/>
      <x:c r="H509" s="48"/>
      <x:c r="I509" s="48"/>
      <x:c r="J509" s="48"/>
      <x:c r="K509" s="48"/>
      <x:c r="L509" s="48"/>
      <x:c r="M509" s="48"/>
      <x:c r="N509" s="48"/>
      <x:c r="O509" s="48"/>
      <x:c r="P509" s="48"/>
      <x:c r="Q509" s="48"/>
      <x:c r="R509" s="48"/>
      <x:c r="S509" s="48"/>
      <x:c r="T509" s="48"/>
      <x:c r="U509" s="48"/>
      <x:c r="V509" s="48"/>
      <x:c r="W509" s="48"/>
      <x:c r="X509" s="48"/>
      <x:c r="Y509" s="48"/>
      <x:c r="Z509" s="48"/>
    </x:row>
    <x:row r="510">
      <x:c r="A510" s="48"/>
      <x:c r="B510" s="48"/>
      <x:c r="C510" s="48"/>
      <x:c r="D510" s="48"/>
      <x:c r="E510" s="48"/>
      <x:c r="F510" s="48"/>
      <x:c r="G510" s="48"/>
      <x:c r="H510" s="48"/>
      <x:c r="I510" s="48"/>
      <x:c r="J510" s="48"/>
      <x:c r="K510" s="48"/>
      <x:c r="L510" s="48"/>
      <x:c r="M510" s="48"/>
      <x:c r="N510" s="48"/>
      <x:c r="O510" s="48"/>
      <x:c r="P510" s="48"/>
      <x:c r="Q510" s="48"/>
      <x:c r="R510" s="48"/>
      <x:c r="S510" s="48"/>
      <x:c r="T510" s="48"/>
      <x:c r="U510" s="48"/>
      <x:c r="V510" s="48"/>
      <x:c r="W510" s="48"/>
      <x:c r="X510" s="48"/>
      <x:c r="Y510" s="48"/>
      <x:c r="Z510" s="48"/>
    </x:row>
    <x:row r="511">
      <x:c r="A511" s="48"/>
      <x:c r="B511" s="48"/>
      <x:c r="C511" s="48"/>
      <x:c r="D511" s="48"/>
      <x:c r="E511" s="48"/>
      <x:c r="F511" s="48"/>
      <x:c r="G511" s="48"/>
      <x:c r="H511" s="48"/>
      <x:c r="I511" s="48"/>
      <x:c r="J511" s="48"/>
      <x:c r="K511" s="48"/>
      <x:c r="L511" s="48"/>
      <x:c r="M511" s="48"/>
      <x:c r="N511" s="48"/>
      <x:c r="O511" s="48"/>
      <x:c r="P511" s="48"/>
      <x:c r="Q511" s="48"/>
      <x:c r="R511" s="48"/>
      <x:c r="S511" s="48"/>
      <x:c r="T511" s="48"/>
      <x:c r="U511" s="48"/>
      <x:c r="V511" s="48"/>
      <x:c r="W511" s="48"/>
      <x:c r="X511" s="48"/>
      <x:c r="Y511" s="48"/>
      <x:c r="Z511" s="48"/>
    </x:row>
    <x:row r="512">
      <x:c r="A512" s="48"/>
      <x:c r="B512" s="48"/>
      <x:c r="C512" s="48"/>
      <x:c r="D512" s="48"/>
      <x:c r="E512" s="48"/>
      <x:c r="F512" s="48"/>
      <x:c r="G512" s="48"/>
      <x:c r="H512" s="48"/>
      <x:c r="I512" s="48"/>
      <x:c r="J512" s="48"/>
      <x:c r="K512" s="48"/>
      <x:c r="L512" s="48"/>
      <x:c r="M512" s="48"/>
      <x:c r="N512" s="48"/>
      <x:c r="O512" s="48"/>
      <x:c r="P512" s="48"/>
      <x:c r="Q512" s="48"/>
      <x:c r="R512" s="48"/>
      <x:c r="S512" s="48"/>
      <x:c r="T512" s="48"/>
      <x:c r="U512" s="48"/>
      <x:c r="V512" s="48"/>
      <x:c r="W512" s="48"/>
      <x:c r="X512" s="48"/>
      <x:c r="Y512" s="48"/>
      <x:c r="Z512" s="48"/>
    </x:row>
    <x:row r="513">
      <x:c r="A513" s="48"/>
      <x:c r="B513" s="48"/>
      <x:c r="C513" s="48"/>
      <x:c r="D513" s="48"/>
      <x:c r="E513" s="48"/>
      <x:c r="F513" s="48"/>
      <x:c r="G513" s="48"/>
      <x:c r="H513" s="48"/>
      <x:c r="I513" s="48"/>
      <x:c r="J513" s="48"/>
      <x:c r="K513" s="48"/>
      <x:c r="L513" s="48"/>
      <x:c r="M513" s="48"/>
      <x:c r="N513" s="48"/>
      <x:c r="O513" s="48"/>
      <x:c r="P513" s="48"/>
      <x:c r="Q513" s="48"/>
      <x:c r="R513" s="48"/>
      <x:c r="S513" s="48"/>
      <x:c r="T513" s="48"/>
      <x:c r="U513" s="48"/>
      <x:c r="V513" s="48"/>
      <x:c r="W513" s="48"/>
      <x:c r="X513" s="48"/>
      <x:c r="Y513" s="48"/>
      <x:c r="Z513" s="48"/>
    </x:row>
    <x:row r="514">
      <x:c r="A514" s="48"/>
      <x:c r="B514" s="48"/>
      <x:c r="C514" s="48"/>
      <x:c r="D514" s="48"/>
      <x:c r="E514" s="48"/>
      <x:c r="F514" s="48"/>
      <x:c r="G514" s="48"/>
      <x:c r="H514" s="48"/>
      <x:c r="I514" s="48"/>
      <x:c r="J514" s="48"/>
      <x:c r="K514" s="48"/>
      <x:c r="L514" s="48"/>
      <x:c r="M514" s="48"/>
      <x:c r="N514" s="48"/>
      <x:c r="O514" s="48"/>
      <x:c r="P514" s="48"/>
      <x:c r="Q514" s="48"/>
      <x:c r="R514" s="48"/>
      <x:c r="S514" s="48"/>
      <x:c r="T514" s="48"/>
      <x:c r="U514" s="48"/>
      <x:c r="V514" s="48"/>
      <x:c r="W514" s="48"/>
      <x:c r="X514" s="48"/>
      <x:c r="Y514" s="48"/>
      <x:c r="Z514" s="48"/>
    </x:row>
    <x:row r="515">
      <x:c r="A515" s="48"/>
      <x:c r="B515" s="48"/>
      <x:c r="C515" s="48"/>
      <x:c r="D515" s="48"/>
      <x:c r="E515" s="48"/>
      <x:c r="F515" s="48"/>
      <x:c r="G515" s="48"/>
      <x:c r="H515" s="48"/>
      <x:c r="I515" s="48"/>
      <x:c r="J515" s="48"/>
      <x:c r="K515" s="48"/>
      <x:c r="L515" s="48"/>
      <x:c r="M515" s="48"/>
      <x:c r="N515" s="48"/>
      <x:c r="O515" s="48"/>
      <x:c r="P515" s="48"/>
      <x:c r="Q515" s="48"/>
      <x:c r="R515" s="48"/>
      <x:c r="S515" s="48"/>
      <x:c r="T515" s="48"/>
      <x:c r="U515" s="48"/>
      <x:c r="V515" s="48"/>
      <x:c r="W515" s="48"/>
      <x:c r="X515" s="48"/>
      <x:c r="Y515" s="48"/>
      <x:c r="Z515" s="48"/>
    </x:row>
    <x:row r="516">
      <x:c r="A516" s="48"/>
      <x:c r="B516" s="48"/>
      <x:c r="C516" s="48"/>
      <x:c r="D516" s="48"/>
      <x:c r="E516" s="48"/>
      <x:c r="F516" s="48"/>
      <x:c r="G516" s="48"/>
      <x:c r="H516" s="48"/>
      <x:c r="I516" s="48"/>
      <x:c r="J516" s="48"/>
      <x:c r="K516" s="48"/>
      <x:c r="L516" s="48"/>
      <x:c r="M516" s="48"/>
      <x:c r="N516" s="48"/>
      <x:c r="O516" s="48"/>
      <x:c r="P516" s="48"/>
      <x:c r="Q516" s="48"/>
      <x:c r="R516" s="48"/>
      <x:c r="S516" s="48"/>
      <x:c r="T516" s="48"/>
      <x:c r="U516" s="48"/>
      <x:c r="V516" s="48"/>
      <x:c r="W516" s="48"/>
      <x:c r="X516" s="48"/>
      <x:c r="Y516" s="48"/>
      <x:c r="Z516" s="48"/>
    </x:row>
    <x:row r="517">
      <x:c r="A517" s="48"/>
      <x:c r="B517" s="48"/>
      <x:c r="C517" s="48"/>
      <x:c r="D517" s="48"/>
      <x:c r="E517" s="48"/>
      <x:c r="F517" s="48"/>
      <x:c r="G517" s="48"/>
      <x:c r="H517" s="48"/>
      <x:c r="I517" s="48"/>
      <x:c r="J517" s="48"/>
      <x:c r="K517" s="48"/>
      <x:c r="L517" s="48"/>
      <x:c r="M517" s="48"/>
      <x:c r="N517" s="48"/>
      <x:c r="O517" s="48"/>
      <x:c r="P517" s="48"/>
      <x:c r="Q517" s="48"/>
      <x:c r="R517" s="48"/>
      <x:c r="S517" s="48"/>
      <x:c r="T517" s="48"/>
      <x:c r="U517" s="48"/>
      <x:c r="V517" s="48"/>
      <x:c r="W517" s="48"/>
      <x:c r="X517" s="48"/>
      <x:c r="Y517" s="48"/>
      <x:c r="Z517" s="48"/>
    </x:row>
    <x:row r="518">
      <x:c r="A518" s="48"/>
      <x:c r="B518" s="48"/>
      <x:c r="C518" s="48"/>
      <x:c r="D518" s="48"/>
      <x:c r="E518" s="48"/>
      <x:c r="F518" s="48"/>
      <x:c r="G518" s="48"/>
      <x:c r="H518" s="48"/>
      <x:c r="I518" s="48"/>
      <x:c r="J518" s="48"/>
      <x:c r="K518" s="48"/>
      <x:c r="L518" s="48"/>
      <x:c r="M518" s="48"/>
      <x:c r="N518" s="48"/>
      <x:c r="O518" s="48"/>
      <x:c r="P518" s="48"/>
      <x:c r="Q518" s="48"/>
      <x:c r="R518" s="48"/>
      <x:c r="S518" s="48"/>
      <x:c r="T518" s="48"/>
      <x:c r="U518" s="48"/>
      <x:c r="V518" s="48"/>
      <x:c r="W518" s="48"/>
      <x:c r="X518" s="48"/>
      <x:c r="Y518" s="48"/>
      <x:c r="Z518" s="48"/>
    </x:row>
    <x:row r="519">
      <x:c r="A519" s="48"/>
      <x:c r="B519" s="48"/>
      <x:c r="C519" s="48"/>
      <x:c r="D519" s="48"/>
      <x:c r="E519" s="48"/>
      <x:c r="F519" s="48"/>
      <x:c r="G519" s="48"/>
      <x:c r="H519" s="48"/>
      <x:c r="I519" s="48"/>
      <x:c r="J519" s="48"/>
      <x:c r="K519" s="48"/>
      <x:c r="L519" s="48"/>
      <x:c r="M519" s="48"/>
      <x:c r="N519" s="48"/>
      <x:c r="O519" s="48"/>
      <x:c r="P519" s="48"/>
      <x:c r="Q519" s="48"/>
      <x:c r="R519" s="48"/>
      <x:c r="S519" s="48"/>
      <x:c r="T519" s="48"/>
      <x:c r="U519" s="48"/>
      <x:c r="V519" s="48"/>
      <x:c r="W519" s="48"/>
      <x:c r="X519" s="48"/>
      <x:c r="Y519" s="48"/>
      <x:c r="Z519" s="48"/>
    </x:row>
    <x:row r="520">
      <x:c r="A520" s="48"/>
      <x:c r="B520" s="48"/>
      <x:c r="C520" s="48"/>
      <x:c r="D520" s="48"/>
      <x:c r="E520" s="48"/>
      <x:c r="F520" s="48"/>
      <x:c r="G520" s="48"/>
      <x:c r="H520" s="48"/>
      <x:c r="I520" s="48"/>
      <x:c r="J520" s="48"/>
      <x:c r="K520" s="48"/>
      <x:c r="L520" s="48"/>
      <x:c r="M520" s="48"/>
      <x:c r="N520" s="48"/>
      <x:c r="O520" s="48"/>
      <x:c r="P520" s="48"/>
      <x:c r="Q520" s="48"/>
      <x:c r="R520" s="48"/>
      <x:c r="S520" s="48"/>
      <x:c r="T520" s="48"/>
      <x:c r="U520" s="48"/>
      <x:c r="V520" s="48"/>
      <x:c r="W520" s="48"/>
      <x:c r="X520" s="48"/>
      <x:c r="Y520" s="48"/>
      <x:c r="Z520" s="48"/>
    </x:row>
    <x:row r="521">
      <x:c r="A521" s="48"/>
      <x:c r="B521" s="48"/>
      <x:c r="C521" s="48"/>
      <x:c r="D521" s="48"/>
      <x:c r="E521" s="48"/>
      <x:c r="F521" s="48"/>
      <x:c r="G521" s="48"/>
      <x:c r="H521" s="48"/>
      <x:c r="I521" s="48"/>
      <x:c r="J521" s="48"/>
      <x:c r="K521" s="48"/>
      <x:c r="L521" s="48"/>
      <x:c r="M521" s="48"/>
      <x:c r="N521" s="48"/>
      <x:c r="O521" s="48"/>
      <x:c r="P521" s="48"/>
      <x:c r="Q521" s="48"/>
      <x:c r="R521" s="48"/>
      <x:c r="S521" s="48"/>
      <x:c r="T521" s="48"/>
      <x:c r="U521" s="48"/>
      <x:c r="V521" s="48"/>
      <x:c r="W521" s="48"/>
      <x:c r="X521" s="48"/>
      <x:c r="Y521" s="48"/>
      <x:c r="Z521" s="48"/>
    </x:row>
    <x:row r="522">
      <x:c r="A522" s="48"/>
      <x:c r="B522" s="48"/>
      <x:c r="C522" s="48"/>
      <x:c r="D522" s="48"/>
      <x:c r="E522" s="48"/>
      <x:c r="F522" s="48"/>
      <x:c r="G522" s="48"/>
      <x:c r="H522" s="48"/>
      <x:c r="I522" s="48"/>
      <x:c r="J522" s="48"/>
      <x:c r="K522" s="48"/>
      <x:c r="L522" s="48"/>
      <x:c r="M522" s="48"/>
      <x:c r="N522" s="48"/>
      <x:c r="O522" s="48"/>
      <x:c r="P522" s="48"/>
      <x:c r="Q522" s="48"/>
      <x:c r="R522" s="48"/>
      <x:c r="S522" s="48"/>
      <x:c r="T522" s="48"/>
      <x:c r="U522" s="48"/>
      <x:c r="V522" s="48"/>
      <x:c r="W522" s="48"/>
      <x:c r="X522" s="48"/>
      <x:c r="Y522" s="48"/>
      <x:c r="Z522" s="48"/>
    </x:row>
    <x:row r="523">
      <x:c r="A523" s="48"/>
      <x:c r="B523" s="48"/>
      <x:c r="C523" s="48"/>
      <x:c r="D523" s="48"/>
      <x:c r="E523" s="48"/>
      <x:c r="F523" s="48"/>
      <x:c r="G523" s="48"/>
      <x:c r="H523" s="48"/>
      <x:c r="I523" s="48"/>
      <x:c r="J523" s="48"/>
      <x:c r="K523" s="48"/>
      <x:c r="L523" s="48"/>
      <x:c r="M523" s="48"/>
      <x:c r="N523" s="48"/>
      <x:c r="O523" s="48"/>
      <x:c r="P523" s="48"/>
      <x:c r="Q523" s="48"/>
      <x:c r="R523" s="48"/>
      <x:c r="S523" s="48"/>
      <x:c r="T523" s="48"/>
      <x:c r="U523" s="48"/>
      <x:c r="V523" s="48"/>
      <x:c r="W523" s="48"/>
      <x:c r="X523" s="48"/>
      <x:c r="Y523" s="48"/>
      <x:c r="Z523" s="48"/>
    </x:row>
    <x:row r="524">
      <x:c r="A524" s="48"/>
      <x:c r="B524" s="48"/>
      <x:c r="C524" s="48"/>
      <x:c r="D524" s="48"/>
      <x:c r="E524" s="48"/>
      <x:c r="F524" s="48"/>
      <x:c r="G524" s="48"/>
      <x:c r="H524" s="48"/>
      <x:c r="I524" s="48"/>
      <x:c r="J524" s="48"/>
      <x:c r="K524" s="48"/>
      <x:c r="L524" s="48"/>
      <x:c r="M524" s="48"/>
      <x:c r="N524" s="48"/>
      <x:c r="O524" s="48"/>
      <x:c r="P524" s="48"/>
      <x:c r="Q524" s="48"/>
      <x:c r="R524" s="48"/>
      <x:c r="S524" s="48"/>
      <x:c r="T524" s="48"/>
      <x:c r="U524" s="48"/>
      <x:c r="V524" s="48"/>
      <x:c r="W524" s="48"/>
      <x:c r="X524" s="48"/>
      <x:c r="Y524" s="48"/>
      <x:c r="Z524" s="48"/>
    </x:row>
    <x:row r="525">
      <x:c r="A525" s="48"/>
      <x:c r="B525" s="48"/>
      <x:c r="C525" s="48"/>
      <x:c r="D525" s="48"/>
      <x:c r="E525" s="48"/>
      <x:c r="F525" s="48"/>
      <x:c r="G525" s="48"/>
      <x:c r="H525" s="48"/>
      <x:c r="I525" s="48"/>
      <x:c r="J525" s="48"/>
      <x:c r="K525" s="48"/>
      <x:c r="L525" s="48"/>
      <x:c r="M525" s="48"/>
      <x:c r="N525" s="48"/>
      <x:c r="O525" s="48"/>
      <x:c r="P525" s="48"/>
      <x:c r="Q525" s="48"/>
      <x:c r="R525" s="48"/>
      <x:c r="S525" s="48"/>
      <x:c r="T525" s="48"/>
      <x:c r="U525" s="48"/>
      <x:c r="V525" s="48"/>
      <x:c r="W525" s="48"/>
      <x:c r="X525" s="48"/>
      <x:c r="Y525" s="48"/>
      <x:c r="Z525" s="48"/>
    </x:row>
    <x:row r="526">
      <x:c r="A526" s="48"/>
      <x:c r="B526" s="48"/>
      <x:c r="C526" s="48"/>
      <x:c r="D526" s="48"/>
      <x:c r="E526" s="48"/>
      <x:c r="F526" s="48"/>
      <x:c r="G526" s="48"/>
      <x:c r="H526" s="48"/>
      <x:c r="I526" s="48"/>
      <x:c r="J526" s="48"/>
      <x:c r="K526" s="48"/>
      <x:c r="L526" s="48"/>
      <x:c r="M526" s="48"/>
      <x:c r="N526" s="48"/>
      <x:c r="O526" s="48"/>
      <x:c r="P526" s="48"/>
      <x:c r="Q526" s="48"/>
      <x:c r="R526" s="48"/>
      <x:c r="S526" s="48"/>
      <x:c r="T526" s="48"/>
      <x:c r="U526" s="48"/>
      <x:c r="V526" s="48"/>
      <x:c r="W526" s="48"/>
      <x:c r="X526" s="48"/>
      <x:c r="Y526" s="48"/>
      <x:c r="Z526" s="48"/>
    </x:row>
    <x:row r="527">
      <x:c r="A527" s="48"/>
      <x:c r="B527" s="48"/>
      <x:c r="C527" s="48"/>
      <x:c r="D527" s="48"/>
      <x:c r="E527" s="48"/>
      <x:c r="F527" s="48"/>
      <x:c r="G527" s="48"/>
      <x:c r="H527" s="48"/>
      <x:c r="I527" s="48"/>
      <x:c r="J527" s="48"/>
      <x:c r="K527" s="48"/>
      <x:c r="L527" s="48"/>
      <x:c r="M527" s="48"/>
      <x:c r="N527" s="48"/>
      <x:c r="O527" s="48"/>
      <x:c r="P527" s="48"/>
      <x:c r="Q527" s="48"/>
      <x:c r="R527" s="48"/>
      <x:c r="S527" s="48"/>
      <x:c r="T527" s="48"/>
      <x:c r="U527" s="48"/>
      <x:c r="V527" s="48"/>
      <x:c r="W527" s="48"/>
      <x:c r="X527" s="48"/>
      <x:c r="Y527" s="48"/>
      <x:c r="Z527" s="48"/>
    </x:row>
    <x:row r="528">
      <x:c r="A528" s="48"/>
      <x:c r="B528" s="48"/>
      <x:c r="C528" s="48"/>
      <x:c r="D528" s="48"/>
      <x:c r="E528" s="48"/>
      <x:c r="F528" s="48"/>
      <x:c r="G528" s="48"/>
      <x:c r="H528" s="48"/>
      <x:c r="I528" s="48"/>
      <x:c r="J528" s="48"/>
      <x:c r="K528" s="48"/>
      <x:c r="L528" s="48"/>
      <x:c r="M528" s="48"/>
      <x:c r="N528" s="48"/>
      <x:c r="O528" s="48"/>
      <x:c r="P528" s="48"/>
      <x:c r="Q528" s="48"/>
      <x:c r="R528" s="48"/>
      <x:c r="S528" s="48"/>
      <x:c r="T528" s="48"/>
      <x:c r="U528" s="48"/>
      <x:c r="V528" s="48"/>
      <x:c r="W528" s="48"/>
      <x:c r="X528" s="48"/>
      <x:c r="Y528" s="48"/>
      <x:c r="Z528" s="48"/>
    </x:row>
    <x:row r="529">
      <x:c r="A529" s="48"/>
      <x:c r="B529" s="48"/>
      <x:c r="C529" s="48"/>
      <x:c r="D529" s="48"/>
      <x:c r="E529" s="48"/>
      <x:c r="F529" s="48"/>
      <x:c r="G529" s="48"/>
      <x:c r="H529" s="48"/>
      <x:c r="I529" s="48"/>
      <x:c r="J529" s="48"/>
      <x:c r="K529" s="48"/>
      <x:c r="L529" s="48"/>
      <x:c r="M529" s="48"/>
      <x:c r="N529" s="48"/>
      <x:c r="O529" s="48"/>
      <x:c r="P529" s="48"/>
      <x:c r="Q529" s="48"/>
      <x:c r="R529" s="48"/>
      <x:c r="S529" s="48"/>
      <x:c r="T529" s="48"/>
      <x:c r="U529" s="48"/>
      <x:c r="V529" s="48"/>
      <x:c r="W529" s="48"/>
      <x:c r="X529" s="48"/>
      <x:c r="Y529" s="48"/>
      <x:c r="Z529" s="48"/>
    </x:row>
    <x:row r="530">
      <x:c r="A530" s="48"/>
      <x:c r="B530" s="48"/>
      <x:c r="C530" s="48"/>
      <x:c r="D530" s="48"/>
      <x:c r="E530" s="48"/>
      <x:c r="F530" s="48"/>
      <x:c r="G530" s="48"/>
      <x:c r="H530" s="48"/>
      <x:c r="I530" s="48"/>
      <x:c r="J530" s="48"/>
      <x:c r="K530" s="48"/>
      <x:c r="L530" s="48"/>
      <x:c r="M530" s="48"/>
      <x:c r="N530" s="48"/>
      <x:c r="O530" s="48"/>
      <x:c r="P530" s="48"/>
      <x:c r="Q530" s="48"/>
      <x:c r="R530" s="48"/>
      <x:c r="S530" s="48"/>
      <x:c r="T530" s="48"/>
      <x:c r="U530" s="48"/>
      <x:c r="V530" s="48"/>
      <x:c r="W530" s="48"/>
      <x:c r="X530" s="48"/>
      <x:c r="Y530" s="48"/>
      <x:c r="Z530" s="48"/>
    </x:row>
    <x:row r="531">
      <x:c r="A531" s="48"/>
      <x:c r="B531" s="48"/>
      <x:c r="C531" s="48"/>
      <x:c r="D531" s="48"/>
      <x:c r="E531" s="48"/>
      <x:c r="F531" s="48"/>
      <x:c r="G531" s="48"/>
      <x:c r="H531" s="48"/>
      <x:c r="I531" s="48"/>
      <x:c r="J531" s="48"/>
      <x:c r="K531" s="48"/>
      <x:c r="L531" s="48"/>
      <x:c r="M531" s="48"/>
      <x:c r="N531" s="48"/>
      <x:c r="O531" s="48"/>
      <x:c r="P531" s="48"/>
      <x:c r="Q531" s="48"/>
      <x:c r="R531" s="48"/>
      <x:c r="S531" s="48"/>
      <x:c r="T531" s="48"/>
      <x:c r="U531" s="48"/>
      <x:c r="V531" s="48"/>
      <x:c r="W531" s="48"/>
      <x:c r="X531" s="48"/>
      <x:c r="Y531" s="48"/>
      <x:c r="Z531" s="48"/>
    </x:row>
    <x:row r="532">
      <x:c r="A532" s="48"/>
      <x:c r="B532" s="48"/>
      <x:c r="C532" s="48"/>
      <x:c r="D532" s="48"/>
      <x:c r="E532" s="48"/>
      <x:c r="F532" s="48"/>
      <x:c r="G532" s="48"/>
      <x:c r="H532" s="48"/>
      <x:c r="I532" s="48"/>
      <x:c r="J532" s="48"/>
      <x:c r="K532" s="48"/>
      <x:c r="L532" s="48"/>
      <x:c r="M532" s="48"/>
      <x:c r="N532" s="48"/>
      <x:c r="O532" s="48"/>
      <x:c r="P532" s="48"/>
      <x:c r="Q532" s="48"/>
      <x:c r="R532" s="48"/>
      <x:c r="S532" s="48"/>
      <x:c r="T532" s="48"/>
      <x:c r="U532" s="48"/>
      <x:c r="V532" s="48"/>
      <x:c r="W532" s="48"/>
      <x:c r="X532" s="48"/>
      <x:c r="Y532" s="48"/>
      <x:c r="Z532" s="48"/>
    </x:row>
    <x:row r="533">
      <x:c r="A533" s="48"/>
      <x:c r="B533" s="48"/>
      <x:c r="C533" s="48"/>
      <x:c r="D533" s="48"/>
      <x:c r="E533" s="48"/>
      <x:c r="F533" s="48"/>
      <x:c r="G533" s="48"/>
      <x:c r="H533" s="48"/>
      <x:c r="I533" s="48"/>
      <x:c r="J533" s="48"/>
      <x:c r="K533" s="48"/>
      <x:c r="L533" s="48"/>
      <x:c r="M533" s="48"/>
      <x:c r="N533" s="48"/>
      <x:c r="O533" s="48"/>
      <x:c r="P533" s="48"/>
      <x:c r="Q533" s="48"/>
      <x:c r="R533" s="48"/>
      <x:c r="S533" s="48"/>
      <x:c r="T533" s="48"/>
      <x:c r="U533" s="48"/>
      <x:c r="V533" s="48"/>
      <x:c r="W533" s="48"/>
      <x:c r="X533" s="48"/>
      <x:c r="Y533" s="48"/>
      <x:c r="Z533" s="48"/>
    </x:row>
    <x:row r="534">
      <x:c r="A534" s="48"/>
      <x:c r="B534" s="48"/>
      <x:c r="C534" s="48"/>
      <x:c r="D534" s="48"/>
      <x:c r="E534" s="48"/>
      <x:c r="F534" s="48"/>
      <x:c r="G534" s="48"/>
      <x:c r="H534" s="48"/>
      <x:c r="I534" s="48"/>
      <x:c r="J534" s="48"/>
      <x:c r="K534" s="48"/>
      <x:c r="L534" s="48"/>
      <x:c r="M534" s="48"/>
      <x:c r="N534" s="48"/>
      <x:c r="O534" s="48"/>
      <x:c r="P534" s="48"/>
      <x:c r="Q534" s="48"/>
      <x:c r="R534" s="48"/>
      <x:c r="S534" s="48"/>
      <x:c r="T534" s="48"/>
      <x:c r="U534" s="48"/>
      <x:c r="V534" s="48"/>
      <x:c r="W534" s="48"/>
      <x:c r="X534" s="48"/>
      <x:c r="Y534" s="48"/>
      <x:c r="Z534" s="48"/>
    </x:row>
    <x:row r="535">
      <x:c r="A535" s="48"/>
      <x:c r="B535" s="48"/>
      <x:c r="C535" s="48"/>
      <x:c r="D535" s="48"/>
      <x:c r="E535" s="48"/>
      <x:c r="F535" s="48"/>
      <x:c r="G535" s="48"/>
      <x:c r="H535" s="48"/>
      <x:c r="I535" s="48"/>
      <x:c r="J535" s="48"/>
      <x:c r="K535" s="48"/>
      <x:c r="L535" s="48"/>
      <x:c r="M535" s="48"/>
      <x:c r="N535" s="48"/>
      <x:c r="O535" s="48"/>
      <x:c r="P535" s="48"/>
      <x:c r="Q535" s="48"/>
      <x:c r="R535" s="48"/>
      <x:c r="S535" s="48"/>
      <x:c r="T535" s="48"/>
      <x:c r="U535" s="48"/>
      <x:c r="V535" s="48"/>
      <x:c r="W535" s="48"/>
      <x:c r="X535" s="48"/>
      <x:c r="Y535" s="48"/>
      <x:c r="Z535" s="48"/>
    </x:row>
    <x:row r="536">
      <x:c r="A536" s="48"/>
      <x:c r="B536" s="48"/>
      <x:c r="C536" s="48"/>
      <x:c r="D536" s="48"/>
      <x:c r="E536" s="48"/>
      <x:c r="F536" s="48"/>
      <x:c r="G536" s="48"/>
      <x:c r="H536" s="48"/>
      <x:c r="I536" s="48"/>
      <x:c r="J536" s="48"/>
      <x:c r="K536" s="48"/>
      <x:c r="L536" s="48"/>
      <x:c r="M536" s="48"/>
      <x:c r="N536" s="48"/>
      <x:c r="O536" s="48"/>
      <x:c r="P536" s="48"/>
      <x:c r="Q536" s="48"/>
      <x:c r="R536" s="48"/>
      <x:c r="S536" s="48"/>
      <x:c r="T536" s="48"/>
      <x:c r="U536" s="48"/>
      <x:c r="V536" s="48"/>
      <x:c r="W536" s="48"/>
      <x:c r="X536" s="48"/>
      <x:c r="Y536" s="48"/>
      <x:c r="Z536" s="48"/>
    </x:row>
    <x:row r="537">
      <x:c r="A537" s="48"/>
      <x:c r="B537" s="48"/>
      <x:c r="C537" s="48"/>
      <x:c r="D537" s="48"/>
      <x:c r="E537" s="48"/>
      <x:c r="F537" s="48"/>
      <x:c r="G537" s="48"/>
      <x:c r="H537" s="48"/>
      <x:c r="I537" s="48"/>
      <x:c r="J537" s="48"/>
      <x:c r="K537" s="48"/>
      <x:c r="L537" s="48"/>
      <x:c r="M537" s="48"/>
      <x:c r="N537" s="48"/>
      <x:c r="O537" s="48"/>
      <x:c r="P537" s="48"/>
      <x:c r="Q537" s="48"/>
      <x:c r="R537" s="48"/>
      <x:c r="S537" s="48"/>
      <x:c r="T537" s="48"/>
      <x:c r="U537" s="48"/>
      <x:c r="V537" s="48"/>
      <x:c r="W537" s="48"/>
      <x:c r="X537" s="48"/>
      <x:c r="Y537" s="48"/>
      <x:c r="Z537" s="48"/>
    </x:row>
    <x:row r="538">
      <x:c r="A538" s="48"/>
      <x:c r="B538" s="48"/>
      <x:c r="C538" s="48"/>
      <x:c r="D538" s="48"/>
      <x:c r="E538" s="48"/>
      <x:c r="F538" s="48"/>
      <x:c r="G538" s="48"/>
      <x:c r="H538" s="48"/>
      <x:c r="I538" s="48"/>
      <x:c r="J538" s="48"/>
      <x:c r="K538" s="48"/>
      <x:c r="L538" s="48"/>
      <x:c r="M538" s="48"/>
      <x:c r="N538" s="48"/>
      <x:c r="O538" s="48"/>
      <x:c r="P538" s="48"/>
      <x:c r="Q538" s="48"/>
      <x:c r="R538" s="48"/>
      <x:c r="S538" s="48"/>
      <x:c r="T538" s="48"/>
      <x:c r="U538" s="48"/>
      <x:c r="V538" s="48"/>
      <x:c r="W538" s="48"/>
      <x:c r="X538" s="48"/>
      <x:c r="Y538" s="48"/>
      <x:c r="Z538" s="48"/>
    </x:row>
    <x:row r="539">
      <x:c r="A539" s="48"/>
      <x:c r="B539" s="48"/>
      <x:c r="C539" s="48"/>
      <x:c r="D539" s="48"/>
      <x:c r="E539" s="48"/>
      <x:c r="F539" s="48"/>
      <x:c r="G539" s="48"/>
      <x:c r="H539" s="48"/>
      <x:c r="I539" s="48"/>
      <x:c r="J539" s="48"/>
      <x:c r="K539" s="48"/>
      <x:c r="L539" s="48"/>
      <x:c r="M539" s="48"/>
      <x:c r="N539" s="48"/>
      <x:c r="O539" s="48"/>
      <x:c r="P539" s="48"/>
      <x:c r="Q539" s="48"/>
      <x:c r="R539" s="48"/>
      <x:c r="S539" s="48"/>
      <x:c r="T539" s="48"/>
      <x:c r="U539" s="48"/>
      <x:c r="V539" s="48"/>
      <x:c r="W539" s="48"/>
      <x:c r="X539" s="48"/>
      <x:c r="Y539" s="48"/>
      <x:c r="Z539" s="48"/>
    </x:row>
    <x:row r="540">
      <x:c r="A540" s="48"/>
      <x:c r="B540" s="48"/>
      <x:c r="C540" s="48"/>
      <x:c r="D540" s="48"/>
      <x:c r="E540" s="48"/>
      <x:c r="F540" s="48"/>
      <x:c r="G540" s="48"/>
      <x:c r="H540" s="48"/>
      <x:c r="I540" s="48"/>
      <x:c r="J540" s="48"/>
      <x:c r="K540" s="48"/>
      <x:c r="L540" s="48"/>
      <x:c r="M540" s="48"/>
      <x:c r="N540" s="48"/>
      <x:c r="O540" s="48"/>
      <x:c r="P540" s="48"/>
      <x:c r="Q540" s="48"/>
      <x:c r="R540" s="48"/>
      <x:c r="S540" s="48"/>
      <x:c r="T540" s="48"/>
      <x:c r="U540" s="48"/>
      <x:c r="V540" s="48"/>
      <x:c r="W540" s="48"/>
      <x:c r="X540" s="48"/>
      <x:c r="Y540" s="48"/>
      <x:c r="Z540" s="48"/>
    </x:row>
    <x:row r="541">
      <x:c r="A541" s="48"/>
      <x:c r="B541" s="48"/>
      <x:c r="C541" s="48"/>
      <x:c r="D541" s="48"/>
      <x:c r="E541" s="48"/>
      <x:c r="F541" s="48"/>
      <x:c r="G541" s="48"/>
      <x:c r="H541" s="48"/>
      <x:c r="I541" s="48"/>
      <x:c r="J541" s="48"/>
      <x:c r="K541" s="48"/>
      <x:c r="L541" s="48"/>
      <x:c r="M541" s="48"/>
      <x:c r="N541" s="48"/>
      <x:c r="O541" s="48"/>
      <x:c r="P541" s="48"/>
      <x:c r="Q541" s="48"/>
      <x:c r="R541" s="48"/>
      <x:c r="S541" s="48"/>
      <x:c r="T541" s="48"/>
      <x:c r="U541" s="48"/>
      <x:c r="V541" s="48"/>
      <x:c r="W541" s="48"/>
      <x:c r="X541" s="48"/>
      <x:c r="Y541" s="48"/>
      <x:c r="Z541" s="48"/>
    </x:row>
    <x:row r="542">
      <x:c r="A542" s="48"/>
      <x:c r="B542" s="48"/>
      <x:c r="C542" s="48"/>
      <x:c r="D542" s="48"/>
      <x:c r="E542" s="48"/>
      <x:c r="F542" s="48"/>
      <x:c r="G542" s="48"/>
      <x:c r="H542" s="48"/>
      <x:c r="I542" s="48"/>
      <x:c r="J542" s="48"/>
      <x:c r="K542" s="48"/>
      <x:c r="L542" s="48"/>
      <x:c r="M542" s="48"/>
      <x:c r="N542" s="48"/>
      <x:c r="O542" s="48"/>
      <x:c r="P542" s="48"/>
      <x:c r="Q542" s="48"/>
      <x:c r="R542" s="48"/>
      <x:c r="S542" s="48"/>
      <x:c r="T542" s="48"/>
      <x:c r="U542" s="48"/>
      <x:c r="V542" s="48"/>
      <x:c r="W542" s="48"/>
      <x:c r="X542" s="48"/>
      <x:c r="Y542" s="48"/>
      <x:c r="Z542" s="48"/>
    </x:row>
    <x:row r="543">
      <x:c r="A543" s="48"/>
      <x:c r="B543" s="48"/>
      <x:c r="C543" s="48"/>
      <x:c r="D543" s="48"/>
      <x:c r="E543" s="48"/>
      <x:c r="F543" s="48"/>
      <x:c r="G543" s="48"/>
      <x:c r="H543" s="48"/>
      <x:c r="I543" s="48"/>
      <x:c r="J543" s="48"/>
      <x:c r="K543" s="48"/>
      <x:c r="L543" s="48"/>
      <x:c r="M543" s="48"/>
      <x:c r="N543" s="48"/>
      <x:c r="O543" s="48"/>
      <x:c r="P543" s="48"/>
      <x:c r="Q543" s="48"/>
      <x:c r="R543" s="48"/>
      <x:c r="S543" s="48"/>
      <x:c r="T543" s="48"/>
      <x:c r="U543" s="48"/>
      <x:c r="V543" s="48"/>
      <x:c r="W543" s="48"/>
      <x:c r="X543" s="48"/>
      <x:c r="Y543" s="48"/>
      <x:c r="Z543" s="48"/>
    </x:row>
    <x:row r="544">
      <x:c r="A544" s="48"/>
      <x:c r="B544" s="48"/>
      <x:c r="C544" s="48"/>
      <x:c r="D544" s="48"/>
      <x:c r="E544" s="48"/>
      <x:c r="F544" s="48"/>
      <x:c r="G544" s="48"/>
      <x:c r="H544" s="48"/>
      <x:c r="I544" s="48"/>
      <x:c r="J544" s="48"/>
      <x:c r="K544" s="48"/>
      <x:c r="L544" s="48"/>
      <x:c r="M544" s="48"/>
      <x:c r="N544" s="48"/>
      <x:c r="O544" s="48"/>
      <x:c r="P544" s="48"/>
      <x:c r="Q544" s="48"/>
      <x:c r="R544" s="48"/>
      <x:c r="S544" s="48"/>
      <x:c r="T544" s="48"/>
      <x:c r="U544" s="48"/>
      <x:c r="V544" s="48"/>
      <x:c r="W544" s="48"/>
      <x:c r="X544" s="48"/>
      <x:c r="Y544" s="48"/>
      <x:c r="Z544" s="48"/>
    </x:row>
    <x:row r="545">
      <x:c r="A545" s="48"/>
      <x:c r="B545" s="48"/>
      <x:c r="C545" s="48"/>
      <x:c r="D545" s="48"/>
      <x:c r="E545" s="48"/>
      <x:c r="F545" s="48"/>
      <x:c r="G545" s="48"/>
      <x:c r="H545" s="48"/>
      <x:c r="I545" s="48"/>
      <x:c r="J545" s="48"/>
      <x:c r="K545" s="48"/>
      <x:c r="L545" s="48"/>
      <x:c r="M545" s="48"/>
      <x:c r="N545" s="48"/>
      <x:c r="O545" s="48"/>
      <x:c r="P545" s="48"/>
      <x:c r="Q545" s="48"/>
      <x:c r="R545" s="48"/>
      <x:c r="S545" s="48"/>
      <x:c r="T545" s="48"/>
      <x:c r="U545" s="48"/>
      <x:c r="V545" s="48"/>
      <x:c r="W545" s="48"/>
      <x:c r="X545" s="48"/>
      <x:c r="Y545" s="48"/>
      <x:c r="Z545" s="48"/>
    </x:row>
    <x:row r="546">
      <x:c r="A546" s="48"/>
      <x:c r="B546" s="48"/>
      <x:c r="C546" s="48"/>
      <x:c r="D546" s="48"/>
      <x:c r="E546" s="48"/>
      <x:c r="F546" s="48"/>
      <x:c r="G546" s="48"/>
      <x:c r="H546" s="48"/>
      <x:c r="I546" s="48"/>
      <x:c r="J546" s="48"/>
      <x:c r="K546" s="48"/>
      <x:c r="L546" s="48"/>
      <x:c r="M546" s="48"/>
      <x:c r="N546" s="48"/>
      <x:c r="O546" s="48"/>
      <x:c r="P546" s="48"/>
      <x:c r="Q546" s="48"/>
      <x:c r="R546" s="48"/>
      <x:c r="S546" s="48"/>
      <x:c r="T546" s="48"/>
      <x:c r="U546" s="48"/>
      <x:c r="V546" s="48"/>
      <x:c r="W546" s="48"/>
      <x:c r="X546" s="48"/>
      <x:c r="Y546" s="48"/>
      <x:c r="Z546" s="48"/>
    </x:row>
    <x:row r="547">
      <x:c r="A547" s="48"/>
      <x:c r="B547" s="48"/>
      <x:c r="C547" s="48"/>
      <x:c r="D547" s="48"/>
      <x:c r="E547" s="48"/>
      <x:c r="F547" s="48"/>
      <x:c r="G547" s="48"/>
      <x:c r="H547" s="48"/>
      <x:c r="I547" s="48"/>
      <x:c r="J547" s="48"/>
      <x:c r="K547" s="48"/>
      <x:c r="L547" s="48"/>
      <x:c r="M547" s="48"/>
      <x:c r="N547" s="48"/>
      <x:c r="O547" s="48"/>
      <x:c r="P547" s="48"/>
      <x:c r="Q547" s="48"/>
      <x:c r="R547" s="48"/>
      <x:c r="S547" s="48"/>
      <x:c r="T547" s="48"/>
      <x:c r="U547" s="48"/>
      <x:c r="V547" s="48"/>
      <x:c r="W547" s="48"/>
      <x:c r="X547" s="48"/>
      <x:c r="Y547" s="48"/>
      <x:c r="Z547" s="48"/>
    </x:row>
    <x:row r="548">
      <x:c r="A548" s="48"/>
      <x:c r="B548" s="48"/>
      <x:c r="C548" s="48"/>
      <x:c r="D548" s="48"/>
      <x:c r="E548" s="48"/>
      <x:c r="F548" s="48"/>
      <x:c r="G548" s="48"/>
      <x:c r="H548" s="48"/>
      <x:c r="I548" s="48"/>
      <x:c r="J548" s="48"/>
      <x:c r="K548" s="48"/>
      <x:c r="L548" s="48"/>
      <x:c r="M548" s="48"/>
      <x:c r="N548" s="48"/>
      <x:c r="O548" s="48"/>
      <x:c r="P548" s="48"/>
      <x:c r="Q548" s="48"/>
      <x:c r="R548" s="48"/>
      <x:c r="S548" s="48"/>
      <x:c r="T548" s="48"/>
      <x:c r="U548" s="48"/>
      <x:c r="V548" s="48"/>
      <x:c r="W548" s="48"/>
      <x:c r="X548" s="48"/>
      <x:c r="Y548" s="48"/>
      <x:c r="Z548" s="48"/>
    </x:row>
    <x:row r="549">
      <x:c r="A549" s="48"/>
      <x:c r="B549" s="48"/>
      <x:c r="C549" s="48"/>
      <x:c r="D549" s="48"/>
      <x:c r="E549" s="48"/>
      <x:c r="F549" s="48"/>
      <x:c r="G549" s="48"/>
      <x:c r="H549" s="48"/>
      <x:c r="I549" s="48"/>
      <x:c r="J549" s="48"/>
      <x:c r="K549" s="48"/>
      <x:c r="L549" s="48"/>
      <x:c r="M549" s="48"/>
      <x:c r="N549" s="48"/>
      <x:c r="O549" s="48"/>
      <x:c r="P549" s="48"/>
      <x:c r="Q549" s="48"/>
      <x:c r="R549" s="48"/>
      <x:c r="S549" s="48"/>
      <x:c r="T549" s="48"/>
      <x:c r="U549" s="48"/>
      <x:c r="V549" s="48"/>
      <x:c r="W549" s="48"/>
      <x:c r="X549" s="48"/>
      <x:c r="Y549" s="48"/>
      <x:c r="Z549" s="48"/>
    </x:row>
    <x:row r="550">
      <x:c r="A550" s="48"/>
      <x:c r="B550" s="48"/>
      <x:c r="C550" s="48"/>
      <x:c r="D550" s="48"/>
      <x:c r="E550" s="48"/>
      <x:c r="F550" s="48"/>
      <x:c r="G550" s="48"/>
      <x:c r="H550" s="48"/>
      <x:c r="I550" s="48"/>
      <x:c r="J550" s="48"/>
      <x:c r="K550" s="48"/>
      <x:c r="L550" s="48"/>
      <x:c r="M550" s="48"/>
      <x:c r="N550" s="48"/>
      <x:c r="O550" s="48"/>
      <x:c r="P550" s="48"/>
      <x:c r="Q550" s="48"/>
      <x:c r="R550" s="48"/>
      <x:c r="S550" s="48"/>
      <x:c r="T550" s="48"/>
      <x:c r="U550" s="48"/>
      <x:c r="V550" s="48"/>
      <x:c r="W550" s="48"/>
      <x:c r="X550" s="48"/>
      <x:c r="Y550" s="48"/>
      <x:c r="Z550" s="48"/>
    </x:row>
    <x:row r="551">
      <x:c r="A551" s="48"/>
      <x:c r="B551" s="48"/>
      <x:c r="C551" s="48"/>
      <x:c r="D551" s="48"/>
      <x:c r="E551" s="48"/>
      <x:c r="F551" s="48"/>
      <x:c r="G551" s="48"/>
      <x:c r="H551" s="48"/>
      <x:c r="I551" s="48"/>
      <x:c r="J551" s="48"/>
      <x:c r="K551" s="48"/>
      <x:c r="L551" s="48"/>
      <x:c r="M551" s="48"/>
      <x:c r="N551" s="48"/>
      <x:c r="O551" s="48"/>
      <x:c r="P551" s="48"/>
      <x:c r="Q551" s="48"/>
      <x:c r="R551" s="48"/>
      <x:c r="S551" s="48"/>
      <x:c r="T551" s="48"/>
      <x:c r="U551" s="48"/>
      <x:c r="V551" s="48"/>
      <x:c r="W551" s="48"/>
      <x:c r="X551" s="48"/>
      <x:c r="Y551" s="48"/>
      <x:c r="Z551" s="48"/>
    </x:row>
    <x:row r="552">
      <x:c r="A552" s="48"/>
      <x:c r="B552" s="48"/>
      <x:c r="C552" s="48"/>
      <x:c r="D552" s="48"/>
      <x:c r="E552" s="48"/>
      <x:c r="F552" s="48"/>
      <x:c r="G552" s="48"/>
      <x:c r="H552" s="48"/>
      <x:c r="I552" s="48"/>
      <x:c r="J552" s="48"/>
      <x:c r="K552" s="48"/>
      <x:c r="L552" s="48"/>
      <x:c r="M552" s="48"/>
      <x:c r="N552" s="48"/>
      <x:c r="O552" s="48"/>
      <x:c r="P552" s="48"/>
      <x:c r="Q552" s="48"/>
      <x:c r="R552" s="48"/>
      <x:c r="S552" s="48"/>
      <x:c r="T552" s="48"/>
      <x:c r="U552" s="48"/>
      <x:c r="V552" s="48"/>
      <x:c r="W552" s="48"/>
      <x:c r="X552" s="48"/>
      <x:c r="Y552" s="48"/>
      <x:c r="Z552" s="48"/>
    </x:row>
    <x:row r="553">
      <x:c r="A553" s="48"/>
      <x:c r="B553" s="48"/>
      <x:c r="C553" s="48"/>
      <x:c r="D553" s="48"/>
      <x:c r="E553" s="48"/>
      <x:c r="F553" s="48"/>
      <x:c r="G553" s="48"/>
      <x:c r="H553" s="48"/>
      <x:c r="I553" s="48"/>
      <x:c r="J553" s="48"/>
      <x:c r="K553" s="48"/>
      <x:c r="L553" s="48"/>
      <x:c r="M553" s="48"/>
      <x:c r="N553" s="48"/>
      <x:c r="O553" s="48"/>
      <x:c r="P553" s="48"/>
      <x:c r="Q553" s="48"/>
      <x:c r="R553" s="48"/>
      <x:c r="S553" s="48"/>
      <x:c r="T553" s="48"/>
      <x:c r="U553" s="48"/>
      <x:c r="V553" s="48"/>
      <x:c r="W553" s="48"/>
      <x:c r="X553" s="48"/>
      <x:c r="Y553" s="48"/>
      <x:c r="Z553" s="48"/>
    </x:row>
    <x:row r="554">
      <x:c r="A554" s="48"/>
      <x:c r="B554" s="48"/>
      <x:c r="C554" s="48"/>
      <x:c r="D554" s="48"/>
      <x:c r="E554" s="48"/>
      <x:c r="F554" s="48"/>
      <x:c r="G554" s="48"/>
      <x:c r="H554" s="48"/>
      <x:c r="I554" s="48"/>
      <x:c r="J554" s="48"/>
      <x:c r="K554" s="48"/>
      <x:c r="L554" s="48"/>
      <x:c r="M554" s="48"/>
      <x:c r="N554" s="48"/>
      <x:c r="O554" s="48"/>
      <x:c r="P554" s="48"/>
      <x:c r="Q554" s="48"/>
      <x:c r="R554" s="48"/>
      <x:c r="S554" s="48"/>
      <x:c r="T554" s="48"/>
      <x:c r="U554" s="48"/>
      <x:c r="V554" s="48"/>
      <x:c r="W554" s="48"/>
      <x:c r="X554" s="48"/>
      <x:c r="Y554" s="48"/>
      <x:c r="Z554" s="48"/>
    </x:row>
    <x:row r="555">
      <x:c r="A555" s="48"/>
      <x:c r="B555" s="48"/>
      <x:c r="C555" s="48"/>
      <x:c r="D555" s="48"/>
      <x:c r="E555" s="48"/>
      <x:c r="F555" s="48"/>
      <x:c r="G555" s="48"/>
      <x:c r="H555" s="48"/>
      <x:c r="I555" s="48"/>
      <x:c r="J555" s="48"/>
      <x:c r="K555" s="48"/>
      <x:c r="L555" s="48"/>
      <x:c r="M555" s="48"/>
      <x:c r="N555" s="48"/>
      <x:c r="O555" s="48"/>
      <x:c r="P555" s="48"/>
      <x:c r="Q555" s="48"/>
      <x:c r="R555" s="48"/>
      <x:c r="S555" s="48"/>
      <x:c r="T555" s="48"/>
      <x:c r="U555" s="48"/>
      <x:c r="V555" s="48"/>
      <x:c r="W555" s="48"/>
      <x:c r="X555" s="48"/>
      <x:c r="Y555" s="48"/>
      <x:c r="Z555" s="48"/>
    </x:row>
    <x:row r="556">
      <x:c r="A556" s="48"/>
      <x:c r="B556" s="48"/>
      <x:c r="C556" s="48"/>
      <x:c r="D556" s="48"/>
      <x:c r="E556" s="48"/>
      <x:c r="F556" s="48"/>
      <x:c r="G556" s="48"/>
      <x:c r="H556" s="48"/>
      <x:c r="I556" s="48"/>
      <x:c r="J556" s="48"/>
      <x:c r="K556" s="48"/>
      <x:c r="L556" s="48"/>
      <x:c r="M556" s="48"/>
      <x:c r="N556" s="48"/>
      <x:c r="O556" s="48"/>
      <x:c r="P556" s="48"/>
      <x:c r="Q556" s="48"/>
      <x:c r="R556" s="48"/>
      <x:c r="S556" s="48"/>
      <x:c r="T556" s="48"/>
      <x:c r="U556" s="48"/>
      <x:c r="V556" s="48"/>
      <x:c r="W556" s="48"/>
      <x:c r="X556" s="48"/>
      <x:c r="Y556" s="48"/>
      <x:c r="Z556" s="48"/>
    </x:row>
    <x:row r="557">
      <x:c r="A557" s="48"/>
      <x:c r="B557" s="48"/>
      <x:c r="C557" s="48"/>
      <x:c r="D557" s="48"/>
      <x:c r="E557" s="48"/>
      <x:c r="F557" s="48"/>
      <x:c r="G557" s="48"/>
      <x:c r="H557" s="48"/>
      <x:c r="I557" s="48"/>
      <x:c r="J557" s="48"/>
      <x:c r="K557" s="48"/>
      <x:c r="L557" s="48"/>
      <x:c r="M557" s="48"/>
      <x:c r="N557" s="48"/>
      <x:c r="O557" s="48"/>
      <x:c r="P557" s="48"/>
      <x:c r="Q557" s="48"/>
      <x:c r="R557" s="48"/>
      <x:c r="S557" s="48"/>
      <x:c r="T557" s="48"/>
      <x:c r="U557" s="48"/>
      <x:c r="V557" s="48"/>
      <x:c r="W557" s="48"/>
      <x:c r="X557" s="48"/>
      <x:c r="Y557" s="48"/>
      <x:c r="Z557" s="48"/>
    </x:row>
    <x:row r="558">
      <x:c r="A558" s="48"/>
      <x:c r="B558" s="48"/>
      <x:c r="C558" s="48"/>
      <x:c r="D558" s="48"/>
      <x:c r="E558" s="48"/>
      <x:c r="F558" s="48"/>
      <x:c r="G558" s="48"/>
      <x:c r="H558" s="48"/>
      <x:c r="I558" s="48"/>
      <x:c r="J558" s="48"/>
      <x:c r="K558" s="48"/>
      <x:c r="L558" s="48"/>
      <x:c r="M558" s="48"/>
      <x:c r="N558" s="48"/>
      <x:c r="O558" s="48"/>
      <x:c r="P558" s="48"/>
      <x:c r="Q558" s="48"/>
      <x:c r="R558" s="48"/>
      <x:c r="S558" s="48"/>
      <x:c r="T558" s="48"/>
      <x:c r="U558" s="48"/>
      <x:c r="V558" s="48"/>
      <x:c r="W558" s="48"/>
      <x:c r="X558" s="48"/>
      <x:c r="Y558" s="48"/>
      <x:c r="Z558" s="48"/>
    </x:row>
    <x:row r="559">
      <x:c r="A559" s="48"/>
      <x:c r="B559" s="48"/>
      <x:c r="C559" s="48"/>
      <x:c r="D559" s="48"/>
      <x:c r="E559" s="48"/>
      <x:c r="F559" s="48"/>
      <x:c r="G559" s="48"/>
      <x:c r="H559" s="48"/>
      <x:c r="I559" s="48"/>
      <x:c r="J559" s="48"/>
      <x:c r="K559" s="48"/>
      <x:c r="L559" s="48"/>
      <x:c r="M559" s="48"/>
      <x:c r="N559" s="48"/>
      <x:c r="O559" s="48"/>
      <x:c r="P559" s="48"/>
      <x:c r="Q559" s="48"/>
      <x:c r="R559" s="48"/>
      <x:c r="S559" s="48"/>
      <x:c r="T559" s="48"/>
      <x:c r="U559" s="48"/>
      <x:c r="V559" s="48"/>
      <x:c r="W559" s="48"/>
      <x:c r="X559" s="48"/>
      <x:c r="Y559" s="48"/>
      <x:c r="Z559" s="48"/>
    </x:row>
    <x:row r="560">
      <x:c r="A560" s="48"/>
      <x:c r="B560" s="48"/>
      <x:c r="C560" s="48"/>
      <x:c r="D560" s="48"/>
      <x:c r="E560" s="48"/>
      <x:c r="F560" s="48"/>
      <x:c r="G560" s="48"/>
      <x:c r="H560" s="48"/>
      <x:c r="I560" s="48"/>
      <x:c r="J560" s="48"/>
      <x:c r="K560" s="48"/>
      <x:c r="L560" s="48"/>
      <x:c r="M560" s="48"/>
      <x:c r="N560" s="48"/>
      <x:c r="O560" s="48"/>
      <x:c r="P560" s="48"/>
      <x:c r="Q560" s="48"/>
      <x:c r="R560" s="48"/>
      <x:c r="S560" s="48"/>
      <x:c r="T560" s="48"/>
      <x:c r="U560" s="48"/>
      <x:c r="V560" s="48"/>
      <x:c r="W560" s="48"/>
      <x:c r="X560" s="48"/>
      <x:c r="Y560" s="48"/>
      <x:c r="Z560" s="48"/>
    </x:row>
    <x:row r="561">
      <x:c r="A561" s="48"/>
      <x:c r="B561" s="48"/>
      <x:c r="C561" s="48"/>
      <x:c r="D561" s="48"/>
      <x:c r="E561" s="48"/>
      <x:c r="F561" s="48"/>
      <x:c r="G561" s="48"/>
      <x:c r="H561" s="48"/>
      <x:c r="I561" s="48"/>
      <x:c r="J561" s="48"/>
      <x:c r="K561" s="48"/>
      <x:c r="L561" s="48"/>
      <x:c r="M561" s="48"/>
      <x:c r="N561" s="48"/>
      <x:c r="O561" s="48"/>
      <x:c r="P561" s="48"/>
      <x:c r="Q561" s="48"/>
      <x:c r="R561" s="48"/>
      <x:c r="S561" s="48"/>
      <x:c r="T561" s="48"/>
      <x:c r="U561" s="48"/>
      <x:c r="V561" s="48"/>
      <x:c r="W561" s="48"/>
      <x:c r="X561" s="48"/>
      <x:c r="Y561" s="48"/>
      <x:c r="Z561" s="48"/>
    </x:row>
    <x:row r="562">
      <x:c r="A562" s="48"/>
      <x:c r="B562" s="48"/>
      <x:c r="C562" s="48"/>
      <x:c r="D562" s="48"/>
      <x:c r="E562" s="48"/>
      <x:c r="F562" s="48"/>
      <x:c r="G562" s="48"/>
      <x:c r="H562" s="48"/>
      <x:c r="I562" s="48"/>
      <x:c r="J562" s="48"/>
      <x:c r="K562" s="48"/>
      <x:c r="L562" s="48"/>
      <x:c r="M562" s="48"/>
      <x:c r="N562" s="48"/>
      <x:c r="O562" s="48"/>
      <x:c r="P562" s="48"/>
      <x:c r="Q562" s="48"/>
      <x:c r="R562" s="48"/>
      <x:c r="S562" s="48"/>
      <x:c r="T562" s="48"/>
      <x:c r="U562" s="48"/>
      <x:c r="V562" s="48"/>
      <x:c r="W562" s="48"/>
      <x:c r="X562" s="48"/>
      <x:c r="Y562" s="48"/>
      <x:c r="Z562" s="48"/>
    </x:row>
    <x:row r="563">
      <x:c r="A563" s="48"/>
      <x:c r="B563" s="48"/>
      <x:c r="C563" s="48"/>
      <x:c r="D563" s="48"/>
      <x:c r="E563" s="48"/>
      <x:c r="F563" s="48"/>
      <x:c r="G563" s="48"/>
      <x:c r="H563" s="48"/>
      <x:c r="I563" s="48"/>
      <x:c r="J563" s="48"/>
      <x:c r="K563" s="48"/>
      <x:c r="L563" s="48"/>
      <x:c r="M563" s="48"/>
      <x:c r="N563" s="48"/>
      <x:c r="O563" s="48"/>
      <x:c r="P563" s="48"/>
      <x:c r="Q563" s="48"/>
      <x:c r="R563" s="48"/>
      <x:c r="S563" s="48"/>
      <x:c r="T563" s="48"/>
      <x:c r="U563" s="48"/>
      <x:c r="V563" s="48"/>
      <x:c r="W563" s="48"/>
      <x:c r="X563" s="48"/>
      <x:c r="Y563" s="48"/>
      <x:c r="Z563" s="48"/>
    </x:row>
    <x:row r="564">
      <x:c r="A564" s="48"/>
      <x:c r="B564" s="48"/>
      <x:c r="C564" s="48"/>
      <x:c r="D564" s="48"/>
      <x:c r="E564" s="48"/>
      <x:c r="F564" s="48"/>
      <x:c r="G564" s="48"/>
      <x:c r="H564" s="48"/>
      <x:c r="I564" s="48"/>
      <x:c r="J564" s="48"/>
      <x:c r="K564" s="48"/>
      <x:c r="L564" s="48"/>
      <x:c r="M564" s="48"/>
      <x:c r="N564" s="48"/>
      <x:c r="O564" s="48"/>
      <x:c r="P564" s="48"/>
      <x:c r="Q564" s="48"/>
      <x:c r="R564" s="48"/>
      <x:c r="S564" s="48"/>
      <x:c r="T564" s="48"/>
      <x:c r="U564" s="48"/>
      <x:c r="V564" s="48"/>
      <x:c r="W564" s="48"/>
      <x:c r="X564" s="48"/>
      <x:c r="Y564" s="48"/>
      <x:c r="Z564" s="48"/>
    </x:row>
    <x:row r="565">
      <x:c r="A565" s="48"/>
      <x:c r="B565" s="48"/>
      <x:c r="C565" s="48"/>
      <x:c r="D565" s="48"/>
      <x:c r="E565" s="48"/>
      <x:c r="F565" s="48"/>
      <x:c r="G565" s="48"/>
      <x:c r="H565" s="48"/>
      <x:c r="I565" s="48"/>
      <x:c r="J565" s="48"/>
      <x:c r="K565" s="48"/>
      <x:c r="L565" s="48"/>
      <x:c r="M565" s="48"/>
      <x:c r="N565" s="48"/>
      <x:c r="O565" s="48"/>
      <x:c r="P565" s="48"/>
      <x:c r="Q565" s="48"/>
      <x:c r="R565" s="48"/>
      <x:c r="S565" s="48"/>
      <x:c r="T565" s="48"/>
      <x:c r="U565" s="48"/>
      <x:c r="V565" s="48"/>
      <x:c r="W565" s="48"/>
      <x:c r="X565" s="48"/>
      <x:c r="Y565" s="48"/>
      <x:c r="Z565" s="48"/>
    </x:row>
    <x:row r="566">
      <x:c r="A566" s="48"/>
      <x:c r="B566" s="48"/>
      <x:c r="C566" s="48"/>
      <x:c r="D566" s="48"/>
      <x:c r="E566" s="48"/>
      <x:c r="F566" s="48"/>
      <x:c r="G566" s="48"/>
      <x:c r="H566" s="48"/>
      <x:c r="I566" s="48"/>
      <x:c r="J566" s="48"/>
      <x:c r="K566" s="48"/>
      <x:c r="L566" s="48"/>
      <x:c r="M566" s="48"/>
      <x:c r="N566" s="48"/>
      <x:c r="O566" s="48"/>
      <x:c r="P566" s="48"/>
      <x:c r="Q566" s="48"/>
      <x:c r="R566" s="48"/>
      <x:c r="S566" s="48"/>
      <x:c r="T566" s="48"/>
      <x:c r="U566" s="48"/>
      <x:c r="V566" s="48"/>
      <x:c r="W566" s="48"/>
      <x:c r="X566" s="48"/>
      <x:c r="Y566" s="48"/>
      <x:c r="Z566" s="48"/>
    </x:row>
    <x:row r="567">
      <x:c r="A567" s="48"/>
      <x:c r="B567" s="48"/>
      <x:c r="C567" s="48"/>
      <x:c r="D567" s="48"/>
      <x:c r="E567" s="48"/>
      <x:c r="F567" s="48"/>
      <x:c r="G567" s="48"/>
      <x:c r="H567" s="48"/>
      <x:c r="I567" s="48"/>
      <x:c r="J567" s="48"/>
      <x:c r="K567" s="48"/>
      <x:c r="L567" s="48"/>
      <x:c r="M567" s="48"/>
      <x:c r="N567" s="48"/>
      <x:c r="O567" s="48"/>
      <x:c r="P567" s="48"/>
      <x:c r="Q567" s="48"/>
      <x:c r="R567" s="48"/>
      <x:c r="S567" s="48"/>
      <x:c r="T567" s="48"/>
      <x:c r="U567" s="48"/>
      <x:c r="V567" s="48"/>
      <x:c r="W567" s="48"/>
      <x:c r="X567" s="48"/>
      <x:c r="Y567" s="48"/>
      <x:c r="Z567" s="48"/>
    </x:row>
    <x:row r="568">
      <x:c r="A568" s="48"/>
      <x:c r="B568" s="48"/>
      <x:c r="C568" s="48"/>
      <x:c r="D568" s="48"/>
      <x:c r="E568" s="48"/>
      <x:c r="F568" s="48"/>
      <x:c r="G568" s="48"/>
      <x:c r="H568" s="48"/>
      <x:c r="I568" s="48"/>
      <x:c r="J568" s="48"/>
      <x:c r="K568" s="48"/>
      <x:c r="L568" s="48"/>
      <x:c r="M568" s="48"/>
      <x:c r="N568" s="48"/>
      <x:c r="O568" s="48"/>
      <x:c r="P568" s="48"/>
      <x:c r="Q568" s="48"/>
      <x:c r="R568" s="48"/>
      <x:c r="S568" s="48"/>
      <x:c r="T568" s="48"/>
      <x:c r="U568" s="48"/>
      <x:c r="V568" s="48"/>
      <x:c r="W568" s="48"/>
      <x:c r="X568" s="48"/>
      <x:c r="Y568" s="48"/>
      <x:c r="Z568" s="48"/>
    </x:row>
    <x:row r="569">
      <x:c r="A569" s="48"/>
      <x:c r="B569" s="48"/>
      <x:c r="C569" s="48"/>
      <x:c r="D569" s="48"/>
      <x:c r="E569" s="48"/>
      <x:c r="F569" s="48"/>
      <x:c r="G569" s="48"/>
      <x:c r="H569" s="48"/>
      <x:c r="I569" s="48"/>
      <x:c r="J569" s="48"/>
      <x:c r="K569" s="48"/>
      <x:c r="L569" s="48"/>
      <x:c r="M569" s="48"/>
      <x:c r="N569" s="48"/>
      <x:c r="O569" s="48"/>
      <x:c r="P569" s="48"/>
      <x:c r="Q569" s="48"/>
      <x:c r="R569" s="48"/>
      <x:c r="S569" s="48"/>
      <x:c r="T569" s="48"/>
      <x:c r="U569" s="48"/>
      <x:c r="V569" s="48"/>
      <x:c r="W569" s="48"/>
      <x:c r="X569" s="48"/>
      <x:c r="Y569" s="48"/>
      <x:c r="Z569" s="48"/>
    </x:row>
    <x:row r="570">
      <x:c r="A570" s="48"/>
      <x:c r="B570" s="48"/>
      <x:c r="C570" s="48"/>
      <x:c r="D570" s="48"/>
      <x:c r="E570" s="48"/>
      <x:c r="F570" s="48"/>
      <x:c r="G570" s="48"/>
      <x:c r="H570" s="48"/>
      <x:c r="I570" s="48"/>
      <x:c r="J570" s="48"/>
      <x:c r="K570" s="48"/>
      <x:c r="L570" s="48"/>
      <x:c r="M570" s="48"/>
      <x:c r="N570" s="48"/>
      <x:c r="O570" s="48"/>
      <x:c r="P570" s="48"/>
      <x:c r="Q570" s="48"/>
      <x:c r="R570" s="48"/>
      <x:c r="S570" s="48"/>
      <x:c r="T570" s="48"/>
      <x:c r="U570" s="48"/>
      <x:c r="V570" s="48"/>
      <x:c r="W570" s="48"/>
      <x:c r="X570" s="48"/>
      <x:c r="Y570" s="48"/>
      <x:c r="Z570" s="48"/>
    </x:row>
    <x:row r="571">
      <x:c r="A571" s="48"/>
      <x:c r="B571" s="48"/>
      <x:c r="C571" s="48"/>
      <x:c r="D571" s="48"/>
      <x:c r="E571" s="48"/>
      <x:c r="F571" s="48"/>
      <x:c r="G571" s="48"/>
      <x:c r="H571" s="48"/>
      <x:c r="I571" s="48"/>
      <x:c r="J571" s="48"/>
      <x:c r="K571" s="48"/>
      <x:c r="L571" s="48"/>
      <x:c r="M571" s="48"/>
      <x:c r="N571" s="48"/>
      <x:c r="O571" s="48"/>
      <x:c r="P571" s="48"/>
      <x:c r="Q571" s="48"/>
      <x:c r="R571" s="48"/>
      <x:c r="S571" s="48"/>
      <x:c r="T571" s="48"/>
      <x:c r="U571" s="48"/>
      <x:c r="V571" s="48"/>
      <x:c r="W571" s="48"/>
      <x:c r="X571" s="48"/>
      <x:c r="Y571" s="48"/>
      <x:c r="Z571" s="48"/>
    </x:row>
    <x:row r="572">
      <x:c r="A572" s="48"/>
      <x:c r="B572" s="48"/>
      <x:c r="C572" s="48"/>
      <x:c r="D572" s="48"/>
      <x:c r="E572" s="48"/>
      <x:c r="F572" s="48"/>
      <x:c r="G572" s="48"/>
      <x:c r="H572" s="48"/>
      <x:c r="I572" s="48"/>
      <x:c r="J572" s="48"/>
      <x:c r="K572" s="48"/>
      <x:c r="L572" s="48"/>
      <x:c r="M572" s="48"/>
      <x:c r="N572" s="48"/>
      <x:c r="O572" s="48"/>
      <x:c r="P572" s="48"/>
      <x:c r="Q572" s="48"/>
      <x:c r="R572" s="48"/>
      <x:c r="S572" s="48"/>
      <x:c r="T572" s="48"/>
      <x:c r="U572" s="48"/>
      <x:c r="V572" s="48"/>
      <x:c r="W572" s="48"/>
      <x:c r="X572" s="48"/>
      <x:c r="Y572" s="48"/>
      <x:c r="Z572" s="48"/>
    </x:row>
    <x:row r="573">
      <x:c r="A573" s="48"/>
      <x:c r="B573" s="48"/>
      <x:c r="C573" s="48"/>
      <x:c r="D573" s="48"/>
      <x:c r="E573" s="48"/>
      <x:c r="F573" s="48"/>
      <x:c r="G573" s="48"/>
      <x:c r="H573" s="48"/>
      <x:c r="I573" s="48"/>
      <x:c r="J573" s="48"/>
      <x:c r="K573" s="48"/>
      <x:c r="L573" s="48"/>
      <x:c r="M573" s="48"/>
      <x:c r="N573" s="48"/>
      <x:c r="O573" s="48"/>
      <x:c r="P573" s="48"/>
      <x:c r="Q573" s="48"/>
      <x:c r="R573" s="48"/>
      <x:c r="S573" s="48"/>
      <x:c r="T573" s="48"/>
      <x:c r="U573" s="48"/>
      <x:c r="V573" s="48"/>
      <x:c r="W573" s="48"/>
      <x:c r="X573" s="48"/>
      <x:c r="Y573" s="48"/>
      <x:c r="Z573" s="48"/>
    </x:row>
    <x:row r="574">
      <x:c r="A574" s="48"/>
      <x:c r="B574" s="48"/>
      <x:c r="C574" s="48"/>
      <x:c r="D574" s="48"/>
      <x:c r="E574" s="48"/>
      <x:c r="F574" s="48"/>
      <x:c r="G574" s="48"/>
      <x:c r="H574" s="48"/>
      <x:c r="I574" s="48"/>
      <x:c r="J574" s="48"/>
      <x:c r="K574" s="48"/>
      <x:c r="L574" s="48"/>
      <x:c r="M574" s="48"/>
      <x:c r="N574" s="48"/>
      <x:c r="O574" s="48"/>
      <x:c r="P574" s="48"/>
      <x:c r="Q574" s="48"/>
      <x:c r="R574" s="48"/>
      <x:c r="S574" s="48"/>
      <x:c r="T574" s="48"/>
      <x:c r="U574" s="48"/>
      <x:c r="V574" s="48"/>
      <x:c r="W574" s="48"/>
      <x:c r="X574" s="48"/>
      <x:c r="Y574" s="48"/>
      <x:c r="Z574" s="48"/>
    </x:row>
    <x:row r="575">
      <x:c r="A575" s="48"/>
      <x:c r="B575" s="48"/>
      <x:c r="C575" s="48"/>
      <x:c r="D575" s="48"/>
      <x:c r="E575" s="48"/>
      <x:c r="F575" s="48"/>
      <x:c r="G575" s="48"/>
      <x:c r="H575" s="48"/>
      <x:c r="I575" s="48"/>
      <x:c r="J575" s="48"/>
      <x:c r="K575" s="48"/>
      <x:c r="L575" s="48"/>
      <x:c r="M575" s="48"/>
      <x:c r="N575" s="48"/>
      <x:c r="O575" s="48"/>
      <x:c r="P575" s="48"/>
      <x:c r="Q575" s="48"/>
      <x:c r="R575" s="48"/>
      <x:c r="S575" s="48"/>
      <x:c r="T575" s="48"/>
      <x:c r="U575" s="48"/>
      <x:c r="V575" s="48"/>
      <x:c r="W575" s="48"/>
      <x:c r="X575" s="48"/>
      <x:c r="Y575" s="48"/>
      <x:c r="Z575" s="48"/>
    </x:row>
    <x:row r="576">
      <x:c r="A576" s="48"/>
      <x:c r="B576" s="48"/>
      <x:c r="C576" s="48"/>
      <x:c r="D576" s="48"/>
      <x:c r="E576" s="48"/>
      <x:c r="F576" s="48"/>
      <x:c r="G576" s="48"/>
      <x:c r="H576" s="48"/>
      <x:c r="I576" s="48"/>
      <x:c r="J576" s="48"/>
      <x:c r="K576" s="48"/>
      <x:c r="L576" s="48"/>
      <x:c r="M576" s="48"/>
      <x:c r="N576" s="48"/>
      <x:c r="O576" s="48"/>
      <x:c r="P576" s="48"/>
      <x:c r="Q576" s="48"/>
      <x:c r="R576" s="48"/>
      <x:c r="S576" s="48"/>
      <x:c r="T576" s="48"/>
      <x:c r="U576" s="48"/>
      <x:c r="V576" s="48"/>
      <x:c r="W576" s="48"/>
      <x:c r="X576" s="48"/>
      <x:c r="Y576" s="48"/>
      <x:c r="Z576" s="48"/>
    </x:row>
    <x:row r="577">
      <x:c r="A577" s="48"/>
      <x:c r="B577" s="48"/>
      <x:c r="C577" s="48"/>
      <x:c r="D577" s="48"/>
      <x:c r="E577" s="48"/>
      <x:c r="F577" s="48"/>
      <x:c r="G577" s="48"/>
      <x:c r="H577" s="48"/>
      <x:c r="I577" s="48"/>
      <x:c r="J577" s="48"/>
      <x:c r="K577" s="48"/>
      <x:c r="L577" s="48"/>
      <x:c r="M577" s="48"/>
      <x:c r="N577" s="48"/>
      <x:c r="O577" s="48"/>
      <x:c r="P577" s="48"/>
      <x:c r="Q577" s="48"/>
      <x:c r="R577" s="48"/>
      <x:c r="S577" s="48"/>
      <x:c r="T577" s="48"/>
      <x:c r="U577" s="48"/>
      <x:c r="V577" s="48"/>
      <x:c r="W577" s="48"/>
      <x:c r="X577" s="48"/>
      <x:c r="Y577" s="48"/>
      <x:c r="Z577" s="48"/>
    </x:row>
    <x:row r="578">
      <x:c r="A578" s="48"/>
      <x:c r="B578" s="48"/>
      <x:c r="C578" s="48"/>
      <x:c r="D578" s="48"/>
      <x:c r="E578" s="48"/>
      <x:c r="F578" s="48"/>
      <x:c r="G578" s="48"/>
      <x:c r="H578" s="48"/>
      <x:c r="I578" s="48"/>
      <x:c r="J578" s="48"/>
      <x:c r="K578" s="48"/>
      <x:c r="L578" s="48"/>
      <x:c r="M578" s="48"/>
      <x:c r="N578" s="48"/>
      <x:c r="O578" s="48"/>
      <x:c r="P578" s="48"/>
      <x:c r="Q578" s="48"/>
      <x:c r="R578" s="48"/>
      <x:c r="S578" s="48"/>
      <x:c r="T578" s="48"/>
      <x:c r="U578" s="48"/>
      <x:c r="V578" s="48"/>
      <x:c r="W578" s="48"/>
      <x:c r="X578" s="48"/>
      <x:c r="Y578" s="48"/>
      <x:c r="Z578" s="48"/>
    </x:row>
    <x:row r="579">
      <x:c r="A579" s="48"/>
      <x:c r="B579" s="48"/>
      <x:c r="C579" s="48"/>
      <x:c r="D579" s="48"/>
      <x:c r="E579" s="48"/>
      <x:c r="F579" s="48"/>
      <x:c r="G579" s="48"/>
      <x:c r="H579" s="48"/>
      <x:c r="I579" s="48"/>
      <x:c r="J579" s="48"/>
      <x:c r="K579" s="48"/>
      <x:c r="L579" s="48"/>
      <x:c r="M579" s="48"/>
      <x:c r="N579" s="48"/>
      <x:c r="O579" s="48"/>
      <x:c r="P579" s="48"/>
      <x:c r="Q579" s="48"/>
      <x:c r="R579" s="48"/>
      <x:c r="S579" s="48"/>
      <x:c r="T579" s="48"/>
      <x:c r="U579" s="48"/>
      <x:c r="V579" s="48"/>
      <x:c r="W579" s="48"/>
      <x:c r="X579" s="48"/>
      <x:c r="Y579" s="48"/>
      <x:c r="Z579" s="48"/>
    </x:row>
    <x:row r="580">
      <x:c r="A580" s="48"/>
      <x:c r="B580" s="48"/>
      <x:c r="C580" s="48"/>
      <x:c r="D580" s="48"/>
      <x:c r="E580" s="48"/>
      <x:c r="F580" s="48"/>
      <x:c r="G580" s="48"/>
      <x:c r="H580" s="48"/>
      <x:c r="I580" s="48"/>
      <x:c r="J580" s="48"/>
      <x:c r="K580" s="48"/>
      <x:c r="L580" s="48"/>
      <x:c r="M580" s="48"/>
      <x:c r="N580" s="48"/>
      <x:c r="O580" s="48"/>
      <x:c r="P580" s="48"/>
      <x:c r="Q580" s="48"/>
      <x:c r="R580" s="48"/>
      <x:c r="S580" s="48"/>
      <x:c r="T580" s="48"/>
      <x:c r="U580" s="48"/>
      <x:c r="V580" s="48"/>
      <x:c r="W580" s="48"/>
      <x:c r="X580" s="48"/>
      <x:c r="Y580" s="48"/>
      <x:c r="Z580" s="48"/>
    </x:row>
    <x:row r="581">
      <x:c r="A581" s="48"/>
      <x:c r="B581" s="48"/>
      <x:c r="C581" s="48"/>
      <x:c r="D581" s="48"/>
      <x:c r="E581" s="48"/>
      <x:c r="F581" s="48"/>
      <x:c r="G581" s="48"/>
      <x:c r="H581" s="48"/>
      <x:c r="I581" s="48"/>
      <x:c r="J581" s="48"/>
      <x:c r="K581" s="48"/>
      <x:c r="L581" s="48"/>
      <x:c r="M581" s="48"/>
      <x:c r="N581" s="48"/>
      <x:c r="O581" s="48"/>
      <x:c r="P581" s="48"/>
      <x:c r="Q581" s="48"/>
      <x:c r="R581" s="48"/>
      <x:c r="S581" s="48"/>
      <x:c r="T581" s="48"/>
      <x:c r="U581" s="48"/>
      <x:c r="V581" s="48"/>
      <x:c r="W581" s="48"/>
      <x:c r="X581" s="48"/>
      <x:c r="Y581" s="48"/>
      <x:c r="Z581" s="48"/>
    </x:row>
    <x:row r="582">
      <x:c r="A582" s="48"/>
      <x:c r="B582" s="48"/>
      <x:c r="C582" s="48"/>
      <x:c r="D582" s="48"/>
      <x:c r="E582" s="48"/>
      <x:c r="F582" s="48"/>
      <x:c r="G582" s="48"/>
      <x:c r="H582" s="48"/>
      <x:c r="I582" s="48"/>
      <x:c r="J582" s="48"/>
      <x:c r="K582" s="48"/>
      <x:c r="L582" s="48"/>
      <x:c r="M582" s="48"/>
      <x:c r="N582" s="48"/>
      <x:c r="O582" s="48"/>
      <x:c r="P582" s="48"/>
      <x:c r="Q582" s="48"/>
      <x:c r="R582" s="48"/>
      <x:c r="S582" s="48"/>
      <x:c r="T582" s="48"/>
      <x:c r="U582" s="48"/>
      <x:c r="V582" s="48"/>
      <x:c r="W582" s="48"/>
      <x:c r="X582" s="48"/>
      <x:c r="Y582" s="48"/>
      <x:c r="Z582" s="48"/>
    </x:row>
    <x:row r="583">
      <x:c r="A583" s="48"/>
      <x:c r="B583" s="48"/>
      <x:c r="C583" s="48"/>
      <x:c r="D583" s="48"/>
      <x:c r="E583" s="48"/>
      <x:c r="F583" s="48"/>
      <x:c r="G583" s="48"/>
      <x:c r="H583" s="48"/>
      <x:c r="I583" s="48"/>
      <x:c r="J583" s="48"/>
      <x:c r="K583" s="48"/>
      <x:c r="L583" s="48"/>
      <x:c r="M583" s="48"/>
      <x:c r="N583" s="48"/>
      <x:c r="O583" s="48"/>
      <x:c r="P583" s="48"/>
      <x:c r="Q583" s="48"/>
      <x:c r="R583" s="48"/>
      <x:c r="S583" s="48"/>
      <x:c r="T583" s="48"/>
      <x:c r="U583" s="48"/>
      <x:c r="V583" s="48"/>
      <x:c r="W583" s="48"/>
      <x:c r="X583" s="48"/>
      <x:c r="Y583" s="48"/>
      <x:c r="Z583" s="48"/>
    </x:row>
    <x:row r="584">
      <x:c r="A584" s="48"/>
      <x:c r="B584" s="48"/>
      <x:c r="C584" s="48"/>
      <x:c r="D584" s="48"/>
      <x:c r="E584" s="48"/>
      <x:c r="F584" s="48"/>
      <x:c r="G584" s="48"/>
      <x:c r="H584" s="48"/>
      <x:c r="I584" s="48"/>
      <x:c r="J584" s="48"/>
      <x:c r="K584" s="48"/>
      <x:c r="L584" s="48"/>
      <x:c r="M584" s="48"/>
      <x:c r="N584" s="48"/>
      <x:c r="O584" s="48"/>
      <x:c r="P584" s="48"/>
      <x:c r="Q584" s="48"/>
      <x:c r="R584" s="48"/>
      <x:c r="S584" s="48"/>
      <x:c r="T584" s="48"/>
      <x:c r="U584" s="48"/>
      <x:c r="V584" s="48"/>
      <x:c r="W584" s="48"/>
      <x:c r="X584" s="48"/>
      <x:c r="Y584" s="48"/>
      <x:c r="Z584" s="48"/>
    </x:row>
    <x:row r="585">
      <x:c r="A585" s="48"/>
      <x:c r="B585" s="48"/>
      <x:c r="C585" s="48"/>
      <x:c r="D585" s="48"/>
      <x:c r="E585" s="48"/>
      <x:c r="F585" s="48"/>
      <x:c r="G585" s="48"/>
      <x:c r="H585" s="48"/>
      <x:c r="I585" s="48"/>
      <x:c r="J585" s="48"/>
      <x:c r="K585" s="48"/>
      <x:c r="L585" s="48"/>
      <x:c r="M585" s="48"/>
      <x:c r="N585" s="48"/>
      <x:c r="O585" s="48"/>
      <x:c r="P585" s="48"/>
      <x:c r="Q585" s="48"/>
      <x:c r="R585" s="48"/>
      <x:c r="S585" s="48"/>
      <x:c r="T585" s="48"/>
      <x:c r="U585" s="48"/>
      <x:c r="V585" s="48"/>
      <x:c r="W585" s="48"/>
      <x:c r="X585" s="48"/>
      <x:c r="Y585" s="48"/>
      <x:c r="Z585" s="48"/>
    </x:row>
    <x:row r="586">
      <x:c r="A586" s="48"/>
      <x:c r="B586" s="48"/>
      <x:c r="C586" s="48"/>
      <x:c r="D586" s="48"/>
      <x:c r="E586" s="48"/>
      <x:c r="F586" s="48"/>
      <x:c r="G586" s="48"/>
      <x:c r="H586" s="48"/>
      <x:c r="I586" s="48"/>
      <x:c r="J586" s="48"/>
      <x:c r="K586" s="48"/>
      <x:c r="L586" s="48"/>
      <x:c r="M586" s="48"/>
      <x:c r="N586" s="48"/>
      <x:c r="O586" s="48"/>
      <x:c r="P586" s="48"/>
      <x:c r="Q586" s="48"/>
      <x:c r="R586" s="48"/>
      <x:c r="S586" s="48"/>
      <x:c r="T586" s="48"/>
      <x:c r="U586" s="48"/>
      <x:c r="V586" s="48"/>
      <x:c r="W586" s="48"/>
      <x:c r="X586" s="48"/>
      <x:c r="Y586" s="48"/>
      <x:c r="Z586" s="48"/>
    </x:row>
    <x:row r="587">
      <x:c r="A587" s="48"/>
      <x:c r="B587" s="48"/>
      <x:c r="C587" s="48"/>
      <x:c r="D587" s="48"/>
      <x:c r="E587" s="48"/>
      <x:c r="F587" s="48"/>
      <x:c r="G587" s="48"/>
      <x:c r="H587" s="48"/>
      <x:c r="I587" s="48"/>
      <x:c r="J587" s="48"/>
      <x:c r="K587" s="48"/>
      <x:c r="L587" s="48"/>
      <x:c r="M587" s="48"/>
      <x:c r="N587" s="48"/>
      <x:c r="O587" s="48"/>
      <x:c r="P587" s="48"/>
      <x:c r="Q587" s="48"/>
      <x:c r="R587" s="48"/>
      <x:c r="S587" s="48"/>
      <x:c r="T587" s="48"/>
      <x:c r="U587" s="48"/>
      <x:c r="V587" s="48"/>
      <x:c r="W587" s="48"/>
      <x:c r="X587" s="48"/>
      <x:c r="Y587" s="48"/>
      <x:c r="Z587" s="48"/>
    </x:row>
    <x:row r="588">
      <x:c r="A588" s="48"/>
      <x:c r="B588" s="48"/>
      <x:c r="C588" s="48"/>
      <x:c r="D588" s="48"/>
      <x:c r="E588" s="48"/>
      <x:c r="F588" s="48"/>
      <x:c r="G588" s="48"/>
      <x:c r="H588" s="48"/>
      <x:c r="I588" s="48"/>
      <x:c r="J588" s="48"/>
      <x:c r="K588" s="48"/>
      <x:c r="L588" s="48"/>
      <x:c r="M588" s="48"/>
      <x:c r="N588" s="48"/>
      <x:c r="O588" s="48"/>
      <x:c r="P588" s="48"/>
      <x:c r="Q588" s="48"/>
      <x:c r="R588" s="48"/>
      <x:c r="S588" s="48"/>
      <x:c r="T588" s="48"/>
      <x:c r="U588" s="48"/>
      <x:c r="V588" s="48"/>
      <x:c r="W588" s="48"/>
      <x:c r="X588" s="48"/>
      <x:c r="Y588" s="48"/>
      <x:c r="Z588" s="48"/>
    </x:row>
    <x:row r="589">
      <x:c r="A589" s="48"/>
      <x:c r="B589" s="48"/>
      <x:c r="C589" s="48"/>
      <x:c r="D589" s="48"/>
      <x:c r="E589" s="48"/>
      <x:c r="F589" s="48"/>
      <x:c r="G589" s="48"/>
      <x:c r="H589" s="48"/>
      <x:c r="I589" s="48"/>
      <x:c r="J589" s="48"/>
      <x:c r="K589" s="48"/>
      <x:c r="L589" s="48"/>
      <x:c r="M589" s="48"/>
      <x:c r="N589" s="48"/>
      <x:c r="O589" s="48"/>
      <x:c r="P589" s="48"/>
      <x:c r="Q589" s="48"/>
      <x:c r="R589" s="48"/>
      <x:c r="S589" s="48"/>
      <x:c r="T589" s="48"/>
      <x:c r="U589" s="48"/>
      <x:c r="V589" s="48"/>
      <x:c r="W589" s="48"/>
      <x:c r="X589" s="48"/>
      <x:c r="Y589" s="48"/>
      <x:c r="Z589" s="48"/>
    </x:row>
    <x:row r="590">
      <x:c r="A590" s="48"/>
      <x:c r="B590" s="48"/>
      <x:c r="C590" s="48"/>
      <x:c r="D590" s="48"/>
      <x:c r="E590" s="48"/>
      <x:c r="F590" s="48"/>
      <x:c r="G590" s="48"/>
      <x:c r="H590" s="48"/>
      <x:c r="I590" s="48"/>
      <x:c r="J590" s="48"/>
      <x:c r="K590" s="48"/>
      <x:c r="L590" s="48"/>
      <x:c r="M590" s="48"/>
      <x:c r="N590" s="48"/>
      <x:c r="O590" s="48"/>
      <x:c r="P590" s="48"/>
      <x:c r="Q590" s="48"/>
      <x:c r="R590" s="48"/>
      <x:c r="S590" s="48"/>
      <x:c r="T590" s="48"/>
      <x:c r="U590" s="48"/>
      <x:c r="V590" s="48"/>
      <x:c r="W590" s="48"/>
      <x:c r="X590" s="48"/>
      <x:c r="Y590" s="48"/>
      <x:c r="Z590" s="48"/>
    </x:row>
    <x:row r="591">
      <x:c r="A591" s="48"/>
      <x:c r="B591" s="48"/>
      <x:c r="C591" s="48"/>
      <x:c r="D591" s="48"/>
      <x:c r="E591" s="48"/>
      <x:c r="F591" s="48"/>
      <x:c r="G591" s="48"/>
      <x:c r="H591" s="48"/>
      <x:c r="I591" s="48"/>
      <x:c r="J591" s="48"/>
      <x:c r="K591" s="48"/>
      <x:c r="L591" s="48"/>
      <x:c r="M591" s="48"/>
      <x:c r="N591" s="48"/>
      <x:c r="O591" s="48"/>
      <x:c r="P591" s="48"/>
      <x:c r="Q591" s="48"/>
      <x:c r="R591" s="48"/>
      <x:c r="S591" s="48"/>
      <x:c r="T591" s="48"/>
      <x:c r="U591" s="48"/>
      <x:c r="V591" s="48"/>
      <x:c r="W591" s="48"/>
      <x:c r="X591" s="48"/>
      <x:c r="Y591" s="48"/>
      <x:c r="Z591" s="48"/>
    </x:row>
    <x:row r="592">
      <x:c r="A592" s="48"/>
      <x:c r="B592" s="48"/>
      <x:c r="C592" s="48"/>
      <x:c r="D592" s="48"/>
      <x:c r="E592" s="48"/>
      <x:c r="F592" s="48"/>
      <x:c r="G592" s="48"/>
      <x:c r="H592" s="48"/>
      <x:c r="I592" s="48"/>
      <x:c r="J592" s="48"/>
      <x:c r="K592" s="48"/>
      <x:c r="L592" s="48"/>
      <x:c r="M592" s="48"/>
      <x:c r="N592" s="48"/>
      <x:c r="O592" s="48"/>
      <x:c r="P592" s="48"/>
      <x:c r="Q592" s="48"/>
      <x:c r="R592" s="48"/>
      <x:c r="S592" s="48"/>
      <x:c r="T592" s="48"/>
      <x:c r="U592" s="48"/>
      <x:c r="V592" s="48"/>
      <x:c r="W592" s="48"/>
      <x:c r="X592" s="48"/>
      <x:c r="Y592" s="48"/>
      <x:c r="Z592" s="48"/>
    </x:row>
    <x:row r="593">
      <x:c r="A593" s="48"/>
      <x:c r="B593" s="48"/>
      <x:c r="C593" s="48"/>
      <x:c r="D593" s="48"/>
      <x:c r="E593" s="48"/>
      <x:c r="F593" s="48"/>
      <x:c r="G593" s="48"/>
      <x:c r="H593" s="48"/>
      <x:c r="I593" s="48"/>
      <x:c r="J593" s="48"/>
      <x:c r="K593" s="48"/>
      <x:c r="L593" s="48"/>
      <x:c r="M593" s="48"/>
      <x:c r="N593" s="48"/>
      <x:c r="O593" s="48"/>
      <x:c r="P593" s="48"/>
      <x:c r="Q593" s="48"/>
      <x:c r="R593" s="48"/>
      <x:c r="S593" s="48"/>
      <x:c r="T593" s="48"/>
      <x:c r="U593" s="48"/>
      <x:c r="V593" s="48"/>
      <x:c r="W593" s="48"/>
      <x:c r="X593" s="48"/>
      <x:c r="Y593" s="48"/>
      <x:c r="Z593" s="48"/>
    </x:row>
    <x:row r="594">
      <x:c r="A594" s="48"/>
      <x:c r="B594" s="48"/>
      <x:c r="C594" s="48"/>
      <x:c r="D594" s="48"/>
      <x:c r="E594" s="48"/>
      <x:c r="F594" s="48"/>
      <x:c r="G594" s="48"/>
      <x:c r="H594" s="48"/>
      <x:c r="I594" s="48"/>
      <x:c r="J594" s="48"/>
      <x:c r="K594" s="48"/>
      <x:c r="L594" s="48"/>
      <x:c r="M594" s="48"/>
      <x:c r="N594" s="48"/>
      <x:c r="O594" s="48"/>
      <x:c r="P594" s="48"/>
      <x:c r="Q594" s="48"/>
      <x:c r="R594" s="48"/>
      <x:c r="S594" s="48"/>
      <x:c r="T594" s="48"/>
      <x:c r="U594" s="48"/>
      <x:c r="V594" s="48"/>
      <x:c r="W594" s="48"/>
      <x:c r="X594" s="48"/>
      <x:c r="Y594" s="48"/>
      <x:c r="Z594" s="48"/>
    </x:row>
    <x:row r="595">
      <x:c r="A595" s="48"/>
      <x:c r="B595" s="48"/>
      <x:c r="C595" s="48"/>
      <x:c r="D595" s="48"/>
      <x:c r="E595" s="48"/>
      <x:c r="F595" s="48"/>
      <x:c r="G595" s="48"/>
      <x:c r="H595" s="48"/>
      <x:c r="I595" s="48"/>
      <x:c r="J595" s="48"/>
      <x:c r="K595" s="48"/>
      <x:c r="L595" s="48"/>
      <x:c r="M595" s="48"/>
      <x:c r="N595" s="48"/>
      <x:c r="O595" s="48"/>
      <x:c r="P595" s="48"/>
      <x:c r="Q595" s="48"/>
      <x:c r="R595" s="48"/>
      <x:c r="S595" s="48"/>
      <x:c r="T595" s="48"/>
      <x:c r="U595" s="48"/>
      <x:c r="V595" s="48"/>
      <x:c r="W595" s="48"/>
      <x:c r="X595" s="48"/>
      <x:c r="Y595" s="48"/>
      <x:c r="Z595" s="48"/>
    </x:row>
    <x:row r="596">
      <x:c r="A596" s="48"/>
      <x:c r="B596" s="48"/>
      <x:c r="C596" s="48"/>
      <x:c r="D596" s="48"/>
      <x:c r="E596" s="48"/>
      <x:c r="F596" s="48"/>
      <x:c r="G596" s="48"/>
      <x:c r="H596" s="48"/>
      <x:c r="I596" s="48"/>
      <x:c r="J596" s="48"/>
      <x:c r="K596" s="48"/>
      <x:c r="L596" s="48"/>
      <x:c r="M596" s="48"/>
      <x:c r="N596" s="48"/>
      <x:c r="O596" s="48"/>
      <x:c r="P596" s="48"/>
      <x:c r="Q596" s="48"/>
      <x:c r="R596" s="48"/>
      <x:c r="S596" s="48"/>
      <x:c r="T596" s="48"/>
      <x:c r="U596" s="48"/>
      <x:c r="V596" s="48"/>
      <x:c r="W596" s="48"/>
      <x:c r="X596" s="48"/>
      <x:c r="Y596" s="48"/>
      <x:c r="Z596" s="48"/>
    </x:row>
    <x:row r="597">
      <x:c r="A597" s="48"/>
      <x:c r="B597" s="48"/>
      <x:c r="C597" s="48"/>
      <x:c r="D597" s="48"/>
      <x:c r="E597" s="48"/>
      <x:c r="F597" s="48"/>
      <x:c r="G597" s="48"/>
      <x:c r="H597" s="48"/>
      <x:c r="I597" s="48"/>
      <x:c r="J597" s="48"/>
      <x:c r="K597" s="48"/>
      <x:c r="L597" s="48"/>
      <x:c r="M597" s="48"/>
      <x:c r="N597" s="48"/>
      <x:c r="O597" s="48"/>
      <x:c r="P597" s="48"/>
      <x:c r="Q597" s="48"/>
      <x:c r="R597" s="48"/>
      <x:c r="S597" s="48"/>
      <x:c r="T597" s="48"/>
      <x:c r="U597" s="48"/>
      <x:c r="V597" s="48"/>
      <x:c r="W597" s="48"/>
      <x:c r="X597" s="48"/>
      <x:c r="Y597" s="48"/>
      <x:c r="Z597" s="48"/>
    </x:row>
    <x:row r="598">
      <x:c r="A598" s="48"/>
      <x:c r="B598" s="48"/>
      <x:c r="C598" s="48"/>
      <x:c r="D598" s="48"/>
      <x:c r="E598" s="48"/>
      <x:c r="F598" s="48"/>
      <x:c r="G598" s="48"/>
      <x:c r="H598" s="48"/>
      <x:c r="I598" s="48"/>
      <x:c r="J598" s="48"/>
      <x:c r="K598" s="48"/>
      <x:c r="L598" s="48"/>
      <x:c r="M598" s="48"/>
      <x:c r="N598" s="48"/>
      <x:c r="O598" s="48"/>
      <x:c r="P598" s="48"/>
      <x:c r="Q598" s="48"/>
      <x:c r="R598" s="48"/>
      <x:c r="S598" s="48"/>
      <x:c r="T598" s="48"/>
      <x:c r="U598" s="48"/>
      <x:c r="V598" s="48"/>
      <x:c r="W598" s="48"/>
      <x:c r="X598" s="48"/>
      <x:c r="Y598" s="48"/>
      <x:c r="Z598" s="48"/>
    </x:row>
    <x:row r="599">
      <x:c r="A599" s="48"/>
      <x:c r="B599" s="48"/>
      <x:c r="C599" s="48"/>
      <x:c r="D599" s="48"/>
      <x:c r="E599" s="48"/>
      <x:c r="F599" s="48"/>
      <x:c r="G599" s="48"/>
      <x:c r="H599" s="48"/>
      <x:c r="I599" s="48"/>
      <x:c r="J599" s="48"/>
      <x:c r="K599" s="48"/>
      <x:c r="L599" s="48"/>
      <x:c r="M599" s="48"/>
      <x:c r="N599" s="48"/>
      <x:c r="O599" s="48"/>
      <x:c r="P599" s="48"/>
      <x:c r="Q599" s="48"/>
      <x:c r="R599" s="48"/>
      <x:c r="S599" s="48"/>
      <x:c r="T599" s="48"/>
      <x:c r="U599" s="48"/>
      <x:c r="V599" s="48"/>
      <x:c r="W599" s="48"/>
      <x:c r="X599" s="48"/>
      <x:c r="Y599" s="48"/>
      <x:c r="Z599" s="48"/>
    </x:row>
    <x:row r="600">
      <x:c r="A600" s="48"/>
      <x:c r="B600" s="48"/>
      <x:c r="C600" s="48"/>
      <x:c r="D600" s="48"/>
      <x:c r="E600" s="48"/>
      <x:c r="F600" s="48"/>
      <x:c r="G600" s="48"/>
      <x:c r="H600" s="48"/>
      <x:c r="I600" s="48"/>
      <x:c r="J600" s="48"/>
      <x:c r="K600" s="48"/>
      <x:c r="L600" s="48"/>
      <x:c r="M600" s="48"/>
      <x:c r="N600" s="48"/>
      <x:c r="O600" s="48"/>
      <x:c r="P600" s="48"/>
      <x:c r="Q600" s="48"/>
      <x:c r="R600" s="48"/>
      <x:c r="S600" s="48"/>
      <x:c r="T600" s="48"/>
      <x:c r="U600" s="48"/>
      <x:c r="V600" s="48"/>
      <x:c r="W600" s="48"/>
      <x:c r="X600" s="48"/>
      <x:c r="Y600" s="48"/>
      <x:c r="Z600" s="48"/>
    </x:row>
    <x:row r="601">
      <x:c r="A601" s="48"/>
      <x:c r="B601" s="48"/>
      <x:c r="C601" s="48"/>
      <x:c r="D601" s="48"/>
      <x:c r="E601" s="48"/>
      <x:c r="F601" s="48"/>
      <x:c r="G601" s="48"/>
      <x:c r="H601" s="48"/>
      <x:c r="I601" s="48"/>
      <x:c r="J601" s="48"/>
      <x:c r="K601" s="48"/>
      <x:c r="L601" s="48"/>
      <x:c r="M601" s="48"/>
      <x:c r="N601" s="48"/>
      <x:c r="O601" s="48"/>
      <x:c r="P601" s="48"/>
      <x:c r="Q601" s="48"/>
      <x:c r="R601" s="48"/>
      <x:c r="S601" s="48"/>
      <x:c r="T601" s="48"/>
      <x:c r="U601" s="48"/>
      <x:c r="V601" s="48"/>
      <x:c r="W601" s="48"/>
      <x:c r="X601" s="48"/>
      <x:c r="Y601" s="48"/>
      <x:c r="Z601" s="48"/>
    </x:row>
    <x:row r="602">
      <x:c r="A602" s="48"/>
      <x:c r="B602" s="48"/>
      <x:c r="C602" s="48"/>
      <x:c r="D602" s="48"/>
      <x:c r="E602" s="48"/>
      <x:c r="F602" s="48"/>
      <x:c r="G602" s="48"/>
      <x:c r="H602" s="48"/>
      <x:c r="I602" s="48"/>
      <x:c r="J602" s="48"/>
      <x:c r="K602" s="48"/>
      <x:c r="L602" s="48"/>
      <x:c r="M602" s="48"/>
      <x:c r="N602" s="48"/>
      <x:c r="O602" s="48"/>
      <x:c r="P602" s="48"/>
      <x:c r="Q602" s="48"/>
      <x:c r="R602" s="48"/>
      <x:c r="S602" s="48"/>
      <x:c r="T602" s="48"/>
      <x:c r="U602" s="48"/>
      <x:c r="V602" s="48"/>
      <x:c r="W602" s="48"/>
      <x:c r="X602" s="48"/>
      <x:c r="Y602" s="48"/>
      <x:c r="Z602" s="48"/>
    </x:row>
    <x:row r="603">
      <x:c r="A603" s="48"/>
      <x:c r="B603" s="48"/>
      <x:c r="C603" s="48"/>
      <x:c r="D603" s="48"/>
      <x:c r="E603" s="48"/>
      <x:c r="F603" s="48"/>
      <x:c r="G603" s="48"/>
      <x:c r="H603" s="48"/>
      <x:c r="I603" s="48"/>
      <x:c r="J603" s="48"/>
      <x:c r="K603" s="48"/>
      <x:c r="L603" s="48"/>
      <x:c r="M603" s="48"/>
      <x:c r="N603" s="48"/>
      <x:c r="O603" s="48"/>
      <x:c r="P603" s="48"/>
      <x:c r="Q603" s="48"/>
      <x:c r="R603" s="48"/>
      <x:c r="S603" s="48"/>
      <x:c r="T603" s="48"/>
      <x:c r="U603" s="48"/>
      <x:c r="V603" s="48"/>
      <x:c r="W603" s="48"/>
      <x:c r="X603" s="48"/>
      <x:c r="Y603" s="48"/>
      <x:c r="Z603" s="48"/>
    </x:row>
    <x:row r="604">
      <x:c r="A604" s="48"/>
      <x:c r="B604" s="48"/>
      <x:c r="C604" s="48"/>
      <x:c r="D604" s="48"/>
      <x:c r="E604" s="48"/>
      <x:c r="F604" s="48"/>
      <x:c r="G604" s="48"/>
      <x:c r="H604" s="48"/>
      <x:c r="I604" s="48"/>
      <x:c r="J604" s="48"/>
      <x:c r="K604" s="48"/>
      <x:c r="L604" s="48"/>
      <x:c r="M604" s="48"/>
      <x:c r="N604" s="48"/>
      <x:c r="O604" s="48"/>
      <x:c r="P604" s="48"/>
      <x:c r="Q604" s="48"/>
      <x:c r="R604" s="48"/>
      <x:c r="S604" s="48"/>
      <x:c r="T604" s="48"/>
      <x:c r="U604" s="48"/>
      <x:c r="V604" s="48"/>
      <x:c r="W604" s="48"/>
      <x:c r="X604" s="48"/>
      <x:c r="Y604" s="48"/>
      <x:c r="Z604" s="48"/>
    </x:row>
    <x:row r="605">
      <x:c r="A605" s="48"/>
      <x:c r="B605" s="48"/>
      <x:c r="C605" s="48"/>
      <x:c r="D605" s="48"/>
      <x:c r="E605" s="48"/>
      <x:c r="F605" s="48"/>
      <x:c r="G605" s="48"/>
      <x:c r="H605" s="48"/>
      <x:c r="I605" s="48"/>
      <x:c r="J605" s="48"/>
      <x:c r="K605" s="48"/>
      <x:c r="L605" s="48"/>
      <x:c r="M605" s="48"/>
      <x:c r="N605" s="48"/>
      <x:c r="O605" s="48"/>
      <x:c r="P605" s="48"/>
      <x:c r="Q605" s="48"/>
      <x:c r="R605" s="48"/>
      <x:c r="S605" s="48"/>
      <x:c r="T605" s="48"/>
      <x:c r="U605" s="48"/>
      <x:c r="V605" s="48"/>
      <x:c r="W605" s="48"/>
      <x:c r="X605" s="48"/>
      <x:c r="Y605" s="48"/>
      <x:c r="Z605" s="48"/>
    </x:row>
    <x:row r="606">
      <x:c r="A606" s="48"/>
      <x:c r="B606" s="48"/>
      <x:c r="C606" s="48"/>
      <x:c r="D606" s="48"/>
      <x:c r="E606" s="48"/>
      <x:c r="F606" s="48"/>
      <x:c r="G606" s="48"/>
      <x:c r="H606" s="48"/>
      <x:c r="I606" s="48"/>
      <x:c r="J606" s="48"/>
      <x:c r="K606" s="48"/>
      <x:c r="L606" s="48"/>
      <x:c r="M606" s="48"/>
      <x:c r="N606" s="48"/>
      <x:c r="O606" s="48"/>
      <x:c r="P606" s="48"/>
      <x:c r="Q606" s="48"/>
      <x:c r="R606" s="48"/>
      <x:c r="S606" s="48"/>
      <x:c r="T606" s="48"/>
      <x:c r="U606" s="48"/>
      <x:c r="V606" s="48"/>
      <x:c r="W606" s="48"/>
      <x:c r="X606" s="48"/>
      <x:c r="Y606" s="48"/>
      <x:c r="Z606" s="48"/>
    </x:row>
    <x:row r="607">
      <x:c r="A607" s="48"/>
      <x:c r="B607" s="48"/>
      <x:c r="C607" s="48"/>
      <x:c r="D607" s="48"/>
      <x:c r="E607" s="48"/>
      <x:c r="F607" s="48"/>
      <x:c r="G607" s="48"/>
      <x:c r="H607" s="48"/>
      <x:c r="I607" s="48"/>
      <x:c r="J607" s="48"/>
      <x:c r="K607" s="48"/>
      <x:c r="L607" s="48"/>
      <x:c r="M607" s="48"/>
      <x:c r="N607" s="48"/>
      <x:c r="O607" s="48"/>
      <x:c r="P607" s="48"/>
      <x:c r="Q607" s="48"/>
      <x:c r="R607" s="48"/>
      <x:c r="S607" s="48"/>
      <x:c r="T607" s="48"/>
      <x:c r="U607" s="48"/>
      <x:c r="V607" s="48"/>
      <x:c r="W607" s="48"/>
      <x:c r="X607" s="48"/>
      <x:c r="Y607" s="48"/>
      <x:c r="Z607" s="48"/>
    </x:row>
    <x:row r="608">
      <x:c r="A608" s="48"/>
      <x:c r="B608" s="48"/>
      <x:c r="C608" s="48"/>
      <x:c r="D608" s="48"/>
      <x:c r="E608" s="48"/>
      <x:c r="F608" s="48"/>
      <x:c r="G608" s="48"/>
      <x:c r="H608" s="48"/>
      <x:c r="I608" s="48"/>
      <x:c r="J608" s="48"/>
      <x:c r="K608" s="48"/>
      <x:c r="L608" s="48"/>
      <x:c r="M608" s="48"/>
      <x:c r="N608" s="48"/>
      <x:c r="O608" s="48"/>
      <x:c r="P608" s="48"/>
      <x:c r="Q608" s="48"/>
      <x:c r="R608" s="48"/>
      <x:c r="S608" s="48"/>
      <x:c r="T608" s="48"/>
      <x:c r="U608" s="48"/>
      <x:c r="V608" s="48"/>
      <x:c r="W608" s="48"/>
      <x:c r="X608" s="48"/>
      <x:c r="Y608" s="48"/>
      <x:c r="Z608" s="48"/>
    </x:row>
    <x:row r="609">
      <x:c r="A609" s="48"/>
      <x:c r="B609" s="48"/>
      <x:c r="C609" s="48"/>
      <x:c r="D609" s="48"/>
      <x:c r="E609" s="48"/>
      <x:c r="F609" s="48"/>
      <x:c r="G609" s="48"/>
      <x:c r="H609" s="48"/>
      <x:c r="I609" s="48"/>
      <x:c r="J609" s="48"/>
      <x:c r="K609" s="48"/>
      <x:c r="L609" s="48"/>
      <x:c r="M609" s="48"/>
      <x:c r="N609" s="48"/>
      <x:c r="O609" s="48"/>
      <x:c r="P609" s="48"/>
      <x:c r="Q609" s="48"/>
      <x:c r="R609" s="48"/>
      <x:c r="S609" s="48"/>
      <x:c r="T609" s="48"/>
      <x:c r="U609" s="48"/>
      <x:c r="V609" s="48"/>
      <x:c r="W609" s="48"/>
      <x:c r="X609" s="48"/>
      <x:c r="Y609" s="48"/>
      <x:c r="Z609" s="48"/>
    </x:row>
    <x:row r="610">
      <x:c r="A610" s="48"/>
      <x:c r="B610" s="48"/>
      <x:c r="C610" s="48"/>
      <x:c r="D610" s="48"/>
      <x:c r="E610" s="48"/>
      <x:c r="F610" s="48"/>
      <x:c r="G610" s="48"/>
      <x:c r="H610" s="48"/>
      <x:c r="I610" s="48"/>
      <x:c r="J610" s="48"/>
      <x:c r="K610" s="48"/>
      <x:c r="L610" s="48"/>
      <x:c r="M610" s="48"/>
      <x:c r="N610" s="48"/>
      <x:c r="O610" s="48"/>
      <x:c r="P610" s="48"/>
      <x:c r="Q610" s="48"/>
      <x:c r="R610" s="48"/>
      <x:c r="S610" s="48"/>
      <x:c r="T610" s="48"/>
      <x:c r="U610" s="48"/>
      <x:c r="V610" s="48"/>
      <x:c r="W610" s="48"/>
      <x:c r="X610" s="48"/>
      <x:c r="Y610" s="48"/>
      <x:c r="Z610" s="48"/>
    </x:row>
    <x:row r="611">
      <x:c r="A611" s="48"/>
      <x:c r="B611" s="48"/>
      <x:c r="C611" s="48"/>
      <x:c r="D611" s="48"/>
      <x:c r="E611" s="48"/>
      <x:c r="F611" s="48"/>
      <x:c r="G611" s="48"/>
      <x:c r="H611" s="48"/>
      <x:c r="I611" s="48"/>
      <x:c r="J611" s="48"/>
      <x:c r="K611" s="48"/>
      <x:c r="L611" s="48"/>
      <x:c r="M611" s="48"/>
      <x:c r="N611" s="48"/>
      <x:c r="O611" s="48"/>
      <x:c r="P611" s="48"/>
      <x:c r="Q611" s="48"/>
      <x:c r="R611" s="48"/>
      <x:c r="S611" s="48"/>
      <x:c r="T611" s="48"/>
      <x:c r="U611" s="48"/>
      <x:c r="V611" s="48"/>
      <x:c r="W611" s="48"/>
      <x:c r="X611" s="48"/>
      <x:c r="Y611" s="48"/>
      <x:c r="Z611" s="48"/>
    </x:row>
    <x:row r="612">
      <x:c r="A612" s="48"/>
      <x:c r="B612" s="48"/>
      <x:c r="C612" s="48"/>
      <x:c r="D612" s="48"/>
      <x:c r="E612" s="48"/>
      <x:c r="F612" s="48"/>
      <x:c r="G612" s="48"/>
      <x:c r="H612" s="48"/>
      <x:c r="I612" s="48"/>
      <x:c r="J612" s="48"/>
      <x:c r="K612" s="48"/>
      <x:c r="L612" s="48"/>
      <x:c r="M612" s="48"/>
      <x:c r="N612" s="48"/>
      <x:c r="O612" s="48"/>
      <x:c r="P612" s="48"/>
      <x:c r="Q612" s="48"/>
      <x:c r="R612" s="48"/>
      <x:c r="S612" s="48"/>
      <x:c r="T612" s="48"/>
      <x:c r="U612" s="48"/>
      <x:c r="V612" s="48"/>
      <x:c r="W612" s="48"/>
      <x:c r="X612" s="48"/>
      <x:c r="Y612" s="48"/>
      <x:c r="Z612" s="48"/>
    </x:row>
    <x:row r="613">
      <x:c r="A613" s="48"/>
      <x:c r="B613" s="48"/>
      <x:c r="C613" s="48"/>
      <x:c r="D613" s="48"/>
      <x:c r="E613" s="48"/>
      <x:c r="F613" s="48"/>
      <x:c r="G613" s="48"/>
      <x:c r="H613" s="48"/>
      <x:c r="I613" s="48"/>
      <x:c r="J613" s="48"/>
      <x:c r="K613" s="48"/>
      <x:c r="L613" s="48"/>
      <x:c r="M613" s="48"/>
      <x:c r="N613" s="48"/>
      <x:c r="O613" s="48"/>
      <x:c r="P613" s="48"/>
      <x:c r="Q613" s="48"/>
      <x:c r="R613" s="48"/>
      <x:c r="S613" s="48"/>
      <x:c r="T613" s="48"/>
      <x:c r="U613" s="48"/>
      <x:c r="V613" s="48"/>
      <x:c r="W613" s="48"/>
      <x:c r="X613" s="48"/>
      <x:c r="Y613" s="48"/>
      <x:c r="Z613" s="48"/>
    </x:row>
    <x:row r="614">
      <x:c r="A614" s="48"/>
      <x:c r="B614" s="48"/>
      <x:c r="C614" s="48"/>
      <x:c r="D614" s="48"/>
      <x:c r="E614" s="48"/>
      <x:c r="F614" s="48"/>
      <x:c r="G614" s="48"/>
      <x:c r="H614" s="48"/>
      <x:c r="I614" s="48"/>
      <x:c r="J614" s="48"/>
      <x:c r="K614" s="48"/>
      <x:c r="L614" s="48"/>
      <x:c r="M614" s="48"/>
      <x:c r="N614" s="48"/>
      <x:c r="O614" s="48"/>
      <x:c r="P614" s="48"/>
      <x:c r="Q614" s="48"/>
      <x:c r="R614" s="48"/>
      <x:c r="S614" s="48"/>
      <x:c r="T614" s="48"/>
      <x:c r="U614" s="48"/>
      <x:c r="V614" s="48"/>
      <x:c r="W614" s="48"/>
      <x:c r="X614" s="48"/>
      <x:c r="Y614" s="48"/>
      <x:c r="Z614" s="48"/>
    </x:row>
    <x:row r="615">
      <x:c r="A615" s="48"/>
      <x:c r="B615" s="48"/>
      <x:c r="C615" s="48"/>
      <x:c r="D615" s="48"/>
      <x:c r="E615" s="48"/>
      <x:c r="F615" s="48"/>
      <x:c r="G615" s="48"/>
      <x:c r="H615" s="48"/>
      <x:c r="I615" s="48"/>
      <x:c r="J615" s="48"/>
      <x:c r="K615" s="48"/>
      <x:c r="L615" s="48"/>
      <x:c r="M615" s="48"/>
      <x:c r="N615" s="48"/>
      <x:c r="O615" s="48"/>
      <x:c r="P615" s="48"/>
      <x:c r="Q615" s="48"/>
      <x:c r="R615" s="48"/>
      <x:c r="S615" s="48"/>
      <x:c r="T615" s="48"/>
      <x:c r="U615" s="48"/>
      <x:c r="V615" s="48"/>
      <x:c r="W615" s="48"/>
      <x:c r="X615" s="48"/>
      <x:c r="Y615" s="48"/>
      <x:c r="Z615" s="48"/>
    </x:row>
    <x:row r="616">
      <x:c r="A616" s="48"/>
      <x:c r="B616" s="48"/>
      <x:c r="C616" s="48"/>
      <x:c r="D616" s="48"/>
      <x:c r="E616" s="48"/>
      <x:c r="F616" s="48"/>
      <x:c r="G616" s="48"/>
      <x:c r="H616" s="48"/>
      <x:c r="I616" s="48"/>
      <x:c r="J616" s="48"/>
      <x:c r="K616" s="48"/>
      <x:c r="L616" s="48"/>
      <x:c r="M616" s="48"/>
      <x:c r="N616" s="48"/>
      <x:c r="O616" s="48"/>
      <x:c r="P616" s="48"/>
      <x:c r="Q616" s="48"/>
      <x:c r="R616" s="48"/>
      <x:c r="S616" s="48"/>
      <x:c r="T616" s="48"/>
      <x:c r="U616" s="48"/>
      <x:c r="V616" s="48"/>
      <x:c r="W616" s="48"/>
      <x:c r="X616" s="48"/>
      <x:c r="Y616" s="48"/>
      <x:c r="Z616" s="48"/>
    </x:row>
    <x:row r="617">
      <x:c r="A617" s="48"/>
      <x:c r="B617" s="48"/>
      <x:c r="C617" s="48"/>
      <x:c r="D617" s="48"/>
      <x:c r="E617" s="48"/>
      <x:c r="F617" s="48"/>
      <x:c r="G617" s="48"/>
      <x:c r="H617" s="48"/>
      <x:c r="I617" s="48"/>
      <x:c r="J617" s="48"/>
      <x:c r="K617" s="48"/>
      <x:c r="L617" s="48"/>
      <x:c r="M617" s="48"/>
      <x:c r="N617" s="48"/>
      <x:c r="O617" s="48"/>
      <x:c r="P617" s="48"/>
      <x:c r="Q617" s="48"/>
      <x:c r="R617" s="48"/>
      <x:c r="S617" s="48"/>
      <x:c r="T617" s="48"/>
      <x:c r="U617" s="48"/>
      <x:c r="V617" s="48"/>
      <x:c r="W617" s="48"/>
      <x:c r="X617" s="48"/>
      <x:c r="Y617" s="48"/>
      <x:c r="Z617" s="48"/>
    </x:row>
    <x:row r="618">
      <x:c r="A618" s="48"/>
      <x:c r="B618" s="48"/>
      <x:c r="C618" s="48"/>
      <x:c r="D618" s="48"/>
      <x:c r="E618" s="48"/>
      <x:c r="F618" s="48"/>
      <x:c r="G618" s="48"/>
      <x:c r="H618" s="48"/>
      <x:c r="I618" s="48"/>
      <x:c r="J618" s="48"/>
      <x:c r="K618" s="48"/>
      <x:c r="L618" s="48"/>
      <x:c r="M618" s="48"/>
      <x:c r="N618" s="48"/>
      <x:c r="O618" s="48"/>
      <x:c r="P618" s="48"/>
      <x:c r="Q618" s="48"/>
      <x:c r="R618" s="48"/>
      <x:c r="S618" s="48"/>
      <x:c r="T618" s="48"/>
      <x:c r="U618" s="48"/>
      <x:c r="V618" s="48"/>
      <x:c r="W618" s="48"/>
      <x:c r="X618" s="48"/>
      <x:c r="Y618" s="48"/>
      <x:c r="Z618" s="48"/>
    </x:row>
    <x:row r="619">
      <x:c r="A619" s="48"/>
      <x:c r="B619" s="48"/>
      <x:c r="C619" s="48"/>
      <x:c r="D619" s="48"/>
      <x:c r="E619" s="48"/>
      <x:c r="F619" s="48"/>
      <x:c r="G619" s="48"/>
      <x:c r="H619" s="48"/>
      <x:c r="I619" s="48"/>
      <x:c r="J619" s="48"/>
      <x:c r="K619" s="48"/>
      <x:c r="L619" s="48"/>
      <x:c r="M619" s="48"/>
      <x:c r="N619" s="48"/>
      <x:c r="O619" s="48"/>
      <x:c r="P619" s="48"/>
      <x:c r="Q619" s="48"/>
      <x:c r="R619" s="48"/>
      <x:c r="S619" s="48"/>
      <x:c r="T619" s="48"/>
      <x:c r="U619" s="48"/>
      <x:c r="V619" s="48"/>
      <x:c r="W619" s="48"/>
      <x:c r="X619" s="48"/>
      <x:c r="Y619" s="48"/>
      <x:c r="Z619" s="48"/>
    </x:row>
    <x:row r="620">
      <x:c r="A620" s="48"/>
      <x:c r="B620" s="48"/>
      <x:c r="C620" s="48"/>
      <x:c r="D620" s="48"/>
      <x:c r="E620" s="48"/>
      <x:c r="F620" s="48"/>
      <x:c r="G620" s="48"/>
      <x:c r="H620" s="48"/>
      <x:c r="I620" s="48"/>
      <x:c r="J620" s="48"/>
      <x:c r="K620" s="48"/>
      <x:c r="L620" s="48"/>
      <x:c r="M620" s="48"/>
      <x:c r="N620" s="48"/>
      <x:c r="O620" s="48"/>
      <x:c r="P620" s="48"/>
      <x:c r="Q620" s="48"/>
      <x:c r="R620" s="48"/>
      <x:c r="S620" s="48"/>
      <x:c r="T620" s="48"/>
      <x:c r="U620" s="48"/>
      <x:c r="V620" s="48"/>
      <x:c r="W620" s="48"/>
      <x:c r="X620" s="48"/>
      <x:c r="Y620" s="48"/>
      <x:c r="Z620" s="48"/>
    </x:row>
    <x:row r="621">
      <x:c r="A621" s="48"/>
      <x:c r="B621" s="48"/>
      <x:c r="C621" s="48"/>
      <x:c r="D621" s="48"/>
      <x:c r="E621" s="48"/>
      <x:c r="F621" s="48"/>
      <x:c r="G621" s="48"/>
      <x:c r="H621" s="48"/>
      <x:c r="I621" s="48"/>
      <x:c r="J621" s="48"/>
      <x:c r="K621" s="48"/>
      <x:c r="L621" s="48"/>
      <x:c r="M621" s="48"/>
      <x:c r="N621" s="48"/>
      <x:c r="O621" s="48"/>
      <x:c r="P621" s="48"/>
      <x:c r="Q621" s="48"/>
      <x:c r="R621" s="48"/>
      <x:c r="S621" s="48"/>
      <x:c r="T621" s="48"/>
      <x:c r="U621" s="48"/>
      <x:c r="V621" s="48"/>
      <x:c r="W621" s="48"/>
      <x:c r="X621" s="48"/>
      <x:c r="Y621" s="48"/>
      <x:c r="Z621" s="48"/>
    </x:row>
    <x:row r="622">
      <x:c r="A622" s="48"/>
      <x:c r="B622" s="48"/>
      <x:c r="C622" s="48"/>
      <x:c r="D622" s="48"/>
      <x:c r="E622" s="48"/>
      <x:c r="F622" s="48"/>
      <x:c r="G622" s="48"/>
      <x:c r="H622" s="48"/>
      <x:c r="I622" s="48"/>
      <x:c r="J622" s="48"/>
      <x:c r="K622" s="48"/>
      <x:c r="L622" s="48"/>
      <x:c r="M622" s="48"/>
      <x:c r="N622" s="48"/>
      <x:c r="O622" s="48"/>
      <x:c r="P622" s="48"/>
      <x:c r="Q622" s="48"/>
      <x:c r="R622" s="48"/>
      <x:c r="S622" s="48"/>
      <x:c r="T622" s="48"/>
      <x:c r="U622" s="48"/>
      <x:c r="V622" s="48"/>
      <x:c r="W622" s="48"/>
      <x:c r="X622" s="48"/>
      <x:c r="Y622" s="48"/>
      <x:c r="Z622" s="48"/>
    </x:row>
    <x:row r="623">
      <x:c r="A623" s="48"/>
      <x:c r="B623" s="48"/>
      <x:c r="C623" s="48"/>
      <x:c r="D623" s="48"/>
      <x:c r="E623" s="48"/>
      <x:c r="F623" s="48"/>
      <x:c r="G623" s="48"/>
      <x:c r="H623" s="48"/>
      <x:c r="I623" s="48"/>
      <x:c r="J623" s="48"/>
      <x:c r="K623" s="48"/>
      <x:c r="L623" s="48"/>
      <x:c r="M623" s="48"/>
      <x:c r="N623" s="48"/>
      <x:c r="O623" s="48"/>
      <x:c r="P623" s="48"/>
      <x:c r="Q623" s="48"/>
      <x:c r="R623" s="48"/>
      <x:c r="S623" s="48"/>
      <x:c r="T623" s="48"/>
      <x:c r="U623" s="48"/>
      <x:c r="V623" s="48"/>
      <x:c r="W623" s="48"/>
      <x:c r="X623" s="48"/>
      <x:c r="Y623" s="48"/>
      <x:c r="Z623" s="48"/>
    </x:row>
    <x:row r="624">
      <x:c r="A624" s="48"/>
      <x:c r="B624" s="48"/>
      <x:c r="C624" s="48"/>
      <x:c r="D624" s="48"/>
      <x:c r="E624" s="48"/>
      <x:c r="F624" s="48"/>
      <x:c r="G624" s="48"/>
      <x:c r="H624" s="48"/>
      <x:c r="I624" s="48"/>
      <x:c r="J624" s="48"/>
      <x:c r="K624" s="48"/>
      <x:c r="L624" s="48"/>
      <x:c r="M624" s="48"/>
      <x:c r="N624" s="48"/>
      <x:c r="O624" s="48"/>
      <x:c r="P624" s="48"/>
      <x:c r="Q624" s="48"/>
      <x:c r="R624" s="48"/>
      <x:c r="S624" s="48"/>
      <x:c r="T624" s="48"/>
      <x:c r="U624" s="48"/>
      <x:c r="V624" s="48"/>
      <x:c r="W624" s="48"/>
      <x:c r="X624" s="48"/>
      <x:c r="Y624" s="48"/>
      <x:c r="Z624" s="48"/>
    </x:row>
    <x:row r="625">
      <x:c r="A625" s="48"/>
      <x:c r="B625" s="48"/>
      <x:c r="C625" s="48"/>
      <x:c r="D625" s="48"/>
      <x:c r="E625" s="48"/>
      <x:c r="F625" s="48"/>
      <x:c r="G625" s="48"/>
      <x:c r="H625" s="48"/>
      <x:c r="I625" s="48"/>
      <x:c r="J625" s="48"/>
      <x:c r="K625" s="48"/>
      <x:c r="L625" s="48"/>
      <x:c r="M625" s="48"/>
      <x:c r="N625" s="48"/>
      <x:c r="O625" s="48"/>
      <x:c r="P625" s="48"/>
      <x:c r="Q625" s="48"/>
      <x:c r="R625" s="48"/>
      <x:c r="S625" s="48"/>
      <x:c r="T625" s="48"/>
      <x:c r="U625" s="48"/>
      <x:c r="V625" s="48"/>
      <x:c r="W625" s="48"/>
      <x:c r="X625" s="48"/>
      <x:c r="Y625" s="48"/>
      <x:c r="Z625" s="48"/>
    </x:row>
    <x:row r="626">
      <x:c r="A626" s="48"/>
      <x:c r="B626" s="48"/>
      <x:c r="C626" s="48"/>
      <x:c r="D626" s="48"/>
      <x:c r="E626" s="48"/>
      <x:c r="F626" s="48"/>
      <x:c r="G626" s="48"/>
      <x:c r="H626" s="48"/>
      <x:c r="I626" s="48"/>
      <x:c r="J626" s="48"/>
      <x:c r="K626" s="48"/>
      <x:c r="L626" s="48"/>
      <x:c r="M626" s="48"/>
      <x:c r="N626" s="48"/>
      <x:c r="O626" s="48"/>
      <x:c r="P626" s="48"/>
      <x:c r="Q626" s="48"/>
      <x:c r="R626" s="48"/>
      <x:c r="S626" s="48"/>
      <x:c r="T626" s="48"/>
      <x:c r="U626" s="48"/>
      <x:c r="V626" s="48"/>
      <x:c r="W626" s="48"/>
      <x:c r="X626" s="48"/>
      <x:c r="Y626" s="48"/>
      <x:c r="Z626" s="48"/>
    </x:row>
    <x:row r="627">
      <x:c r="A627" s="48"/>
      <x:c r="B627" s="48"/>
      <x:c r="C627" s="48"/>
      <x:c r="D627" s="48"/>
      <x:c r="E627" s="48"/>
      <x:c r="F627" s="48"/>
      <x:c r="G627" s="48"/>
      <x:c r="H627" s="48"/>
      <x:c r="I627" s="48"/>
      <x:c r="J627" s="48"/>
      <x:c r="K627" s="48"/>
      <x:c r="L627" s="48"/>
      <x:c r="M627" s="48"/>
      <x:c r="N627" s="48"/>
      <x:c r="O627" s="48"/>
      <x:c r="P627" s="48"/>
      <x:c r="Q627" s="48"/>
      <x:c r="R627" s="48"/>
      <x:c r="S627" s="48"/>
      <x:c r="T627" s="48"/>
      <x:c r="U627" s="48"/>
      <x:c r="V627" s="48"/>
      <x:c r="W627" s="48"/>
      <x:c r="X627" s="48"/>
      <x:c r="Y627" s="48"/>
      <x:c r="Z627" s="48"/>
    </x:row>
    <x:row r="628">
      <x:c r="A628" s="48"/>
      <x:c r="B628" s="48"/>
      <x:c r="C628" s="48"/>
      <x:c r="D628" s="48"/>
      <x:c r="E628" s="48"/>
      <x:c r="F628" s="48"/>
      <x:c r="G628" s="48"/>
      <x:c r="H628" s="48"/>
      <x:c r="I628" s="48"/>
      <x:c r="J628" s="48"/>
      <x:c r="K628" s="48"/>
      <x:c r="L628" s="48"/>
      <x:c r="M628" s="48"/>
      <x:c r="N628" s="48"/>
      <x:c r="O628" s="48"/>
      <x:c r="P628" s="48"/>
      <x:c r="Q628" s="48"/>
      <x:c r="R628" s="48"/>
      <x:c r="S628" s="48"/>
      <x:c r="T628" s="48"/>
      <x:c r="U628" s="48"/>
      <x:c r="V628" s="48"/>
      <x:c r="W628" s="48"/>
      <x:c r="X628" s="48"/>
      <x:c r="Y628" s="48"/>
      <x:c r="Z628" s="48"/>
    </x:row>
    <x:row r="629">
      <x:c r="A629" s="48"/>
      <x:c r="B629" s="48"/>
      <x:c r="C629" s="48"/>
      <x:c r="D629" s="48"/>
      <x:c r="E629" s="48"/>
      <x:c r="F629" s="48"/>
      <x:c r="G629" s="48"/>
      <x:c r="H629" s="48"/>
      <x:c r="I629" s="48"/>
      <x:c r="J629" s="48"/>
      <x:c r="K629" s="48"/>
      <x:c r="L629" s="48"/>
      <x:c r="M629" s="48"/>
      <x:c r="N629" s="48"/>
      <x:c r="O629" s="48"/>
      <x:c r="P629" s="48"/>
      <x:c r="Q629" s="48"/>
      <x:c r="R629" s="48"/>
      <x:c r="S629" s="48"/>
      <x:c r="T629" s="48"/>
      <x:c r="U629" s="48"/>
      <x:c r="V629" s="48"/>
      <x:c r="W629" s="48"/>
      <x:c r="X629" s="48"/>
      <x:c r="Y629" s="48"/>
      <x:c r="Z629" s="48"/>
    </x:row>
    <x:row r="630">
      <x:c r="A630" s="48"/>
      <x:c r="B630" s="48"/>
      <x:c r="C630" s="48"/>
      <x:c r="D630" s="48"/>
      <x:c r="E630" s="48"/>
      <x:c r="F630" s="48"/>
      <x:c r="G630" s="48"/>
      <x:c r="H630" s="48"/>
      <x:c r="I630" s="48"/>
      <x:c r="J630" s="48"/>
      <x:c r="K630" s="48"/>
      <x:c r="L630" s="48"/>
      <x:c r="M630" s="48"/>
      <x:c r="N630" s="48"/>
      <x:c r="O630" s="48"/>
      <x:c r="P630" s="48"/>
      <x:c r="Q630" s="48"/>
      <x:c r="R630" s="48"/>
      <x:c r="S630" s="48"/>
      <x:c r="T630" s="48"/>
      <x:c r="U630" s="48"/>
      <x:c r="V630" s="48"/>
      <x:c r="W630" s="48"/>
      <x:c r="X630" s="48"/>
      <x:c r="Y630" s="48"/>
      <x:c r="Z630" s="48"/>
    </x:row>
    <x:row r="631">
      <x:c r="A631" s="48"/>
      <x:c r="B631" s="48"/>
      <x:c r="C631" s="48"/>
      <x:c r="D631" s="48"/>
      <x:c r="E631" s="48"/>
      <x:c r="F631" s="48"/>
      <x:c r="G631" s="48"/>
      <x:c r="H631" s="48"/>
      <x:c r="I631" s="48"/>
      <x:c r="J631" s="48"/>
      <x:c r="K631" s="48"/>
      <x:c r="L631" s="48"/>
      <x:c r="M631" s="48"/>
      <x:c r="N631" s="48"/>
      <x:c r="O631" s="48"/>
      <x:c r="P631" s="48"/>
      <x:c r="Q631" s="48"/>
      <x:c r="R631" s="48"/>
      <x:c r="S631" s="48"/>
      <x:c r="T631" s="48"/>
      <x:c r="U631" s="48"/>
      <x:c r="V631" s="48"/>
      <x:c r="W631" s="48"/>
      <x:c r="X631" s="48"/>
      <x:c r="Y631" s="48"/>
      <x:c r="Z631" s="48"/>
    </x:row>
    <x:row r="632">
      <x:c r="A632" s="48"/>
      <x:c r="B632" s="48"/>
      <x:c r="C632" s="48"/>
      <x:c r="D632" s="48"/>
      <x:c r="E632" s="48"/>
      <x:c r="F632" s="48"/>
      <x:c r="G632" s="48"/>
      <x:c r="H632" s="48"/>
      <x:c r="I632" s="48"/>
      <x:c r="J632" s="48"/>
      <x:c r="K632" s="48"/>
      <x:c r="L632" s="48"/>
      <x:c r="M632" s="48"/>
      <x:c r="N632" s="48"/>
      <x:c r="O632" s="48"/>
      <x:c r="P632" s="48"/>
      <x:c r="Q632" s="48"/>
      <x:c r="R632" s="48"/>
      <x:c r="S632" s="48"/>
      <x:c r="T632" s="48"/>
      <x:c r="U632" s="48"/>
      <x:c r="V632" s="48"/>
      <x:c r="W632" s="48"/>
      <x:c r="X632" s="48"/>
      <x:c r="Y632" s="48"/>
      <x:c r="Z632" s="48"/>
    </x:row>
    <x:row r="633">
      <x:c r="A633" s="48"/>
      <x:c r="B633" s="48"/>
      <x:c r="C633" s="48"/>
      <x:c r="D633" s="48"/>
      <x:c r="E633" s="48"/>
      <x:c r="F633" s="48"/>
      <x:c r="G633" s="48"/>
      <x:c r="H633" s="48"/>
      <x:c r="I633" s="48"/>
      <x:c r="J633" s="48"/>
      <x:c r="K633" s="48"/>
      <x:c r="L633" s="48"/>
      <x:c r="M633" s="48"/>
      <x:c r="N633" s="48"/>
      <x:c r="O633" s="48"/>
      <x:c r="P633" s="48"/>
      <x:c r="Q633" s="48"/>
      <x:c r="R633" s="48"/>
      <x:c r="S633" s="48"/>
      <x:c r="T633" s="48"/>
      <x:c r="U633" s="48"/>
      <x:c r="V633" s="48"/>
      <x:c r="W633" s="48"/>
      <x:c r="X633" s="48"/>
      <x:c r="Y633" s="48"/>
      <x:c r="Z633" s="48"/>
    </x:row>
    <x:row r="634">
      <x:c r="A634" s="48"/>
      <x:c r="B634" s="48"/>
      <x:c r="C634" s="48"/>
      <x:c r="D634" s="48"/>
      <x:c r="E634" s="48"/>
      <x:c r="F634" s="48"/>
      <x:c r="G634" s="48"/>
      <x:c r="H634" s="48"/>
      <x:c r="I634" s="48"/>
      <x:c r="J634" s="48"/>
      <x:c r="K634" s="48"/>
      <x:c r="L634" s="48"/>
      <x:c r="M634" s="48"/>
      <x:c r="N634" s="48"/>
      <x:c r="O634" s="48"/>
      <x:c r="P634" s="48"/>
      <x:c r="Q634" s="48"/>
      <x:c r="R634" s="48"/>
      <x:c r="S634" s="48"/>
      <x:c r="T634" s="48"/>
      <x:c r="U634" s="48"/>
      <x:c r="V634" s="48"/>
      <x:c r="W634" s="48"/>
      <x:c r="X634" s="48"/>
      <x:c r="Y634" s="48"/>
      <x:c r="Z634" s="48"/>
    </x:row>
    <x:row r="635">
      <x:c r="A635" s="48"/>
      <x:c r="B635" s="48"/>
      <x:c r="C635" s="48"/>
      <x:c r="D635" s="48"/>
      <x:c r="E635" s="48"/>
      <x:c r="F635" s="48"/>
      <x:c r="G635" s="48"/>
      <x:c r="H635" s="48"/>
      <x:c r="I635" s="48"/>
      <x:c r="J635" s="48"/>
      <x:c r="K635" s="48"/>
      <x:c r="L635" s="48"/>
      <x:c r="M635" s="48"/>
      <x:c r="N635" s="48"/>
      <x:c r="O635" s="48"/>
      <x:c r="P635" s="48"/>
      <x:c r="Q635" s="48"/>
      <x:c r="R635" s="48"/>
      <x:c r="S635" s="48"/>
      <x:c r="T635" s="48"/>
      <x:c r="U635" s="48"/>
      <x:c r="V635" s="48"/>
      <x:c r="W635" s="48"/>
      <x:c r="X635" s="48"/>
      <x:c r="Y635" s="48"/>
      <x:c r="Z635" s="48"/>
    </x:row>
    <x:row r="636">
      <x:c r="A636" s="48"/>
      <x:c r="B636" s="48"/>
      <x:c r="C636" s="48"/>
      <x:c r="D636" s="48"/>
      <x:c r="E636" s="48"/>
      <x:c r="F636" s="48"/>
      <x:c r="G636" s="48"/>
      <x:c r="H636" s="48"/>
      <x:c r="I636" s="48"/>
      <x:c r="J636" s="48"/>
      <x:c r="K636" s="48"/>
      <x:c r="L636" s="48"/>
      <x:c r="M636" s="48"/>
      <x:c r="N636" s="48"/>
      <x:c r="O636" s="48"/>
      <x:c r="P636" s="48"/>
      <x:c r="Q636" s="48"/>
      <x:c r="R636" s="48"/>
      <x:c r="S636" s="48"/>
      <x:c r="T636" s="48"/>
      <x:c r="U636" s="48"/>
      <x:c r="V636" s="48"/>
      <x:c r="W636" s="48"/>
      <x:c r="X636" s="48"/>
      <x:c r="Y636" s="48"/>
      <x:c r="Z636" s="48"/>
    </x:row>
    <x:row r="637">
      <x:c r="A637" s="48"/>
      <x:c r="B637" s="48"/>
      <x:c r="C637" s="48"/>
      <x:c r="D637" s="48"/>
      <x:c r="E637" s="48"/>
      <x:c r="F637" s="48"/>
      <x:c r="G637" s="48"/>
      <x:c r="H637" s="48"/>
      <x:c r="I637" s="48"/>
      <x:c r="J637" s="48"/>
      <x:c r="K637" s="48"/>
      <x:c r="L637" s="48"/>
      <x:c r="M637" s="48"/>
      <x:c r="N637" s="48"/>
      <x:c r="O637" s="48"/>
      <x:c r="P637" s="48"/>
      <x:c r="Q637" s="48"/>
      <x:c r="R637" s="48"/>
      <x:c r="S637" s="48"/>
      <x:c r="T637" s="48"/>
      <x:c r="U637" s="48"/>
      <x:c r="V637" s="48"/>
      <x:c r="W637" s="48"/>
      <x:c r="X637" s="48"/>
      <x:c r="Y637" s="48"/>
      <x:c r="Z637" s="48"/>
    </x:row>
    <x:row r="638">
      <x:c r="A638" s="48"/>
      <x:c r="B638" s="48"/>
      <x:c r="C638" s="48"/>
      <x:c r="D638" s="48"/>
      <x:c r="E638" s="48"/>
      <x:c r="F638" s="48"/>
      <x:c r="G638" s="48"/>
      <x:c r="H638" s="48"/>
      <x:c r="I638" s="48"/>
      <x:c r="J638" s="48"/>
      <x:c r="K638" s="48"/>
      <x:c r="L638" s="48"/>
      <x:c r="M638" s="48"/>
      <x:c r="N638" s="48"/>
      <x:c r="O638" s="48"/>
      <x:c r="P638" s="48"/>
      <x:c r="Q638" s="48"/>
      <x:c r="R638" s="48"/>
      <x:c r="S638" s="48"/>
      <x:c r="T638" s="48"/>
      <x:c r="U638" s="48"/>
      <x:c r="V638" s="48"/>
      <x:c r="W638" s="48"/>
      <x:c r="X638" s="48"/>
      <x:c r="Y638" s="48"/>
      <x:c r="Z638" s="48"/>
    </x:row>
    <x:row r="639">
      <x:c r="A639" s="48"/>
      <x:c r="B639" s="48"/>
      <x:c r="C639" s="48"/>
      <x:c r="D639" s="48"/>
      <x:c r="E639" s="48"/>
      <x:c r="F639" s="48"/>
      <x:c r="G639" s="48"/>
      <x:c r="H639" s="48"/>
      <x:c r="I639" s="48"/>
      <x:c r="J639" s="48"/>
      <x:c r="K639" s="48"/>
      <x:c r="L639" s="48"/>
      <x:c r="M639" s="48"/>
      <x:c r="N639" s="48"/>
      <x:c r="O639" s="48"/>
      <x:c r="P639" s="48"/>
      <x:c r="Q639" s="48"/>
      <x:c r="R639" s="48"/>
      <x:c r="S639" s="48"/>
      <x:c r="T639" s="48"/>
      <x:c r="U639" s="48"/>
      <x:c r="V639" s="48"/>
      <x:c r="W639" s="48"/>
      <x:c r="X639" s="48"/>
      <x:c r="Y639" s="48"/>
      <x:c r="Z639" s="48"/>
    </x:row>
    <x:row r="640">
      <x:c r="A640" s="48"/>
      <x:c r="B640" s="48"/>
      <x:c r="C640" s="48"/>
      <x:c r="D640" s="48"/>
      <x:c r="E640" s="48"/>
      <x:c r="F640" s="48"/>
      <x:c r="G640" s="48"/>
      <x:c r="H640" s="48"/>
      <x:c r="I640" s="48"/>
      <x:c r="J640" s="48"/>
      <x:c r="K640" s="48"/>
      <x:c r="L640" s="48"/>
      <x:c r="M640" s="48"/>
      <x:c r="N640" s="48"/>
      <x:c r="O640" s="48"/>
      <x:c r="P640" s="48"/>
      <x:c r="Q640" s="48"/>
      <x:c r="R640" s="48"/>
      <x:c r="S640" s="48"/>
      <x:c r="T640" s="48"/>
      <x:c r="U640" s="48"/>
      <x:c r="V640" s="48"/>
      <x:c r="W640" s="48"/>
      <x:c r="X640" s="48"/>
      <x:c r="Y640" s="48"/>
      <x:c r="Z640" s="48"/>
    </x:row>
    <x:row r="641">
      <x:c r="A641" s="48"/>
      <x:c r="B641" s="48"/>
      <x:c r="C641" s="48"/>
      <x:c r="D641" s="48"/>
      <x:c r="E641" s="48"/>
      <x:c r="F641" s="48"/>
      <x:c r="G641" s="48"/>
      <x:c r="H641" s="48"/>
      <x:c r="I641" s="48"/>
      <x:c r="J641" s="48"/>
      <x:c r="K641" s="48"/>
      <x:c r="L641" s="48"/>
      <x:c r="M641" s="48"/>
      <x:c r="N641" s="48"/>
      <x:c r="O641" s="48"/>
      <x:c r="P641" s="48"/>
      <x:c r="Q641" s="48"/>
      <x:c r="R641" s="48"/>
      <x:c r="S641" s="48"/>
      <x:c r="T641" s="48"/>
      <x:c r="U641" s="48"/>
      <x:c r="V641" s="48"/>
      <x:c r="W641" s="48"/>
      <x:c r="X641" s="48"/>
      <x:c r="Y641" s="48"/>
      <x:c r="Z641" s="48"/>
    </x:row>
    <x:row r="642">
      <x:c r="A642" s="48"/>
      <x:c r="B642" s="48"/>
      <x:c r="C642" s="48"/>
      <x:c r="D642" s="48"/>
      <x:c r="E642" s="48"/>
      <x:c r="F642" s="48"/>
      <x:c r="G642" s="48"/>
      <x:c r="H642" s="48"/>
      <x:c r="I642" s="48"/>
      <x:c r="J642" s="48"/>
      <x:c r="K642" s="48"/>
      <x:c r="L642" s="48"/>
      <x:c r="M642" s="48"/>
      <x:c r="N642" s="48"/>
      <x:c r="O642" s="48"/>
      <x:c r="P642" s="48"/>
      <x:c r="Q642" s="48"/>
      <x:c r="R642" s="48"/>
      <x:c r="S642" s="48"/>
      <x:c r="T642" s="48"/>
      <x:c r="U642" s="48"/>
      <x:c r="V642" s="48"/>
      <x:c r="W642" s="48"/>
      <x:c r="X642" s="48"/>
      <x:c r="Y642" s="48"/>
      <x:c r="Z642" s="48"/>
    </x:row>
    <x:row r="643">
      <x:c r="A643" s="48"/>
      <x:c r="B643" s="48"/>
      <x:c r="C643" s="48"/>
      <x:c r="D643" s="48"/>
      <x:c r="E643" s="48"/>
      <x:c r="F643" s="48"/>
      <x:c r="G643" s="48"/>
      <x:c r="H643" s="48"/>
      <x:c r="I643" s="48"/>
      <x:c r="J643" s="48"/>
      <x:c r="K643" s="48"/>
      <x:c r="L643" s="48"/>
      <x:c r="M643" s="48"/>
      <x:c r="N643" s="48"/>
      <x:c r="O643" s="48"/>
      <x:c r="P643" s="48"/>
      <x:c r="Q643" s="48"/>
      <x:c r="R643" s="48"/>
      <x:c r="S643" s="48"/>
      <x:c r="T643" s="48"/>
      <x:c r="U643" s="48"/>
      <x:c r="V643" s="48"/>
      <x:c r="W643" s="48"/>
      <x:c r="X643" s="48"/>
      <x:c r="Y643" s="48"/>
      <x:c r="Z643" s="48"/>
    </x:row>
    <x:row r="644">
      <x:c r="A644" s="48"/>
      <x:c r="B644" s="48"/>
      <x:c r="C644" s="48"/>
      <x:c r="D644" s="48"/>
      <x:c r="E644" s="48"/>
      <x:c r="F644" s="48"/>
      <x:c r="G644" s="48"/>
      <x:c r="H644" s="48"/>
      <x:c r="I644" s="48"/>
      <x:c r="J644" s="48"/>
      <x:c r="K644" s="48"/>
      <x:c r="L644" s="48"/>
      <x:c r="M644" s="48"/>
      <x:c r="N644" s="48"/>
      <x:c r="O644" s="48"/>
      <x:c r="P644" s="48"/>
      <x:c r="Q644" s="48"/>
      <x:c r="R644" s="48"/>
      <x:c r="S644" s="48"/>
      <x:c r="T644" s="48"/>
      <x:c r="U644" s="48"/>
      <x:c r="V644" s="48"/>
      <x:c r="W644" s="48"/>
      <x:c r="X644" s="48"/>
      <x:c r="Y644" s="48"/>
      <x:c r="Z644" s="48"/>
    </x:row>
    <x:row r="645">
      <x:c r="A645" s="48"/>
      <x:c r="B645" s="48"/>
      <x:c r="C645" s="48"/>
      <x:c r="D645" s="48"/>
      <x:c r="E645" s="48"/>
      <x:c r="F645" s="48"/>
      <x:c r="G645" s="48"/>
      <x:c r="H645" s="48"/>
      <x:c r="I645" s="48"/>
      <x:c r="J645" s="48"/>
      <x:c r="K645" s="48"/>
      <x:c r="L645" s="48"/>
      <x:c r="M645" s="48"/>
      <x:c r="N645" s="48"/>
      <x:c r="O645" s="48"/>
      <x:c r="P645" s="48"/>
      <x:c r="Q645" s="48"/>
      <x:c r="R645" s="48"/>
      <x:c r="S645" s="48"/>
      <x:c r="T645" s="48"/>
      <x:c r="U645" s="48"/>
      <x:c r="V645" s="48"/>
      <x:c r="W645" s="48"/>
      <x:c r="X645" s="48"/>
      <x:c r="Y645" s="48"/>
      <x:c r="Z645" s="48"/>
    </x:row>
    <x:row r="646">
      <x:c r="A646" s="48"/>
      <x:c r="B646" s="48"/>
      <x:c r="C646" s="48"/>
      <x:c r="D646" s="48"/>
      <x:c r="E646" s="48"/>
      <x:c r="F646" s="48"/>
      <x:c r="G646" s="48"/>
      <x:c r="H646" s="48"/>
      <x:c r="I646" s="48"/>
      <x:c r="J646" s="48"/>
      <x:c r="K646" s="48"/>
      <x:c r="L646" s="48"/>
      <x:c r="M646" s="48"/>
      <x:c r="N646" s="48"/>
      <x:c r="O646" s="48"/>
      <x:c r="P646" s="48"/>
      <x:c r="Q646" s="48"/>
      <x:c r="R646" s="48"/>
      <x:c r="S646" s="48"/>
      <x:c r="T646" s="48"/>
      <x:c r="U646" s="48"/>
      <x:c r="V646" s="48"/>
      <x:c r="W646" s="48"/>
      <x:c r="X646" s="48"/>
      <x:c r="Y646" s="48"/>
      <x:c r="Z646" s="48"/>
    </x:row>
    <x:row r="647">
      <x:c r="A647" s="48"/>
      <x:c r="B647" s="48"/>
      <x:c r="C647" s="48"/>
      <x:c r="D647" s="48"/>
      <x:c r="E647" s="48"/>
      <x:c r="F647" s="48"/>
      <x:c r="G647" s="48"/>
      <x:c r="H647" s="48"/>
      <x:c r="I647" s="48"/>
      <x:c r="J647" s="48"/>
      <x:c r="K647" s="48"/>
      <x:c r="L647" s="48"/>
      <x:c r="M647" s="48"/>
      <x:c r="N647" s="48"/>
      <x:c r="O647" s="48"/>
      <x:c r="P647" s="48"/>
      <x:c r="Q647" s="48"/>
      <x:c r="R647" s="48"/>
      <x:c r="S647" s="48"/>
      <x:c r="T647" s="48"/>
      <x:c r="U647" s="48"/>
      <x:c r="V647" s="48"/>
      <x:c r="W647" s="48"/>
      <x:c r="X647" s="48"/>
      <x:c r="Y647" s="48"/>
      <x:c r="Z647" s="48"/>
    </x:row>
    <x:row r="648">
      <x:c r="A648" s="48"/>
      <x:c r="B648" s="48"/>
      <x:c r="C648" s="48"/>
      <x:c r="D648" s="48"/>
      <x:c r="E648" s="48"/>
      <x:c r="F648" s="48"/>
      <x:c r="G648" s="48"/>
      <x:c r="H648" s="48"/>
      <x:c r="I648" s="48"/>
      <x:c r="J648" s="48"/>
      <x:c r="K648" s="48"/>
      <x:c r="L648" s="48"/>
      <x:c r="M648" s="48"/>
      <x:c r="N648" s="48"/>
      <x:c r="O648" s="48"/>
      <x:c r="P648" s="48"/>
      <x:c r="Q648" s="48"/>
      <x:c r="R648" s="48"/>
      <x:c r="S648" s="48"/>
      <x:c r="T648" s="48"/>
      <x:c r="U648" s="48"/>
      <x:c r="V648" s="48"/>
      <x:c r="W648" s="48"/>
      <x:c r="X648" s="48"/>
      <x:c r="Y648" s="48"/>
      <x:c r="Z648" s="48"/>
    </x:row>
    <x:row r="649">
      <x:c r="A649" s="48"/>
      <x:c r="B649" s="48"/>
      <x:c r="C649" s="48"/>
      <x:c r="D649" s="48"/>
      <x:c r="E649" s="48"/>
      <x:c r="F649" s="48"/>
      <x:c r="G649" s="48"/>
      <x:c r="H649" s="48"/>
      <x:c r="I649" s="48"/>
      <x:c r="J649" s="48"/>
      <x:c r="K649" s="48"/>
      <x:c r="L649" s="48"/>
      <x:c r="M649" s="48"/>
      <x:c r="N649" s="48"/>
      <x:c r="O649" s="48"/>
      <x:c r="P649" s="48"/>
      <x:c r="Q649" s="48"/>
      <x:c r="R649" s="48"/>
      <x:c r="S649" s="48"/>
      <x:c r="T649" s="48"/>
      <x:c r="U649" s="48"/>
      <x:c r="V649" s="48"/>
      <x:c r="W649" s="48"/>
      <x:c r="X649" s="48"/>
      <x:c r="Y649" s="48"/>
      <x:c r="Z649" s="48"/>
    </x:row>
    <x:row r="650">
      <x:c r="A650" s="48"/>
      <x:c r="B650" s="48"/>
      <x:c r="C650" s="48"/>
      <x:c r="D650" s="48"/>
      <x:c r="E650" s="48"/>
      <x:c r="F650" s="48"/>
      <x:c r="G650" s="48"/>
      <x:c r="H650" s="48"/>
      <x:c r="I650" s="48"/>
      <x:c r="J650" s="48"/>
      <x:c r="K650" s="48"/>
      <x:c r="L650" s="48"/>
      <x:c r="M650" s="48"/>
      <x:c r="N650" s="48"/>
      <x:c r="O650" s="48"/>
      <x:c r="P650" s="48"/>
      <x:c r="Q650" s="48"/>
      <x:c r="R650" s="48"/>
      <x:c r="S650" s="48"/>
      <x:c r="T650" s="48"/>
      <x:c r="U650" s="48"/>
      <x:c r="V650" s="48"/>
      <x:c r="W650" s="48"/>
      <x:c r="X650" s="48"/>
      <x:c r="Y650" s="48"/>
      <x:c r="Z650" s="48"/>
    </x:row>
    <x:row r="651">
      <x:c r="A651" s="48"/>
      <x:c r="B651" s="48"/>
      <x:c r="C651" s="48"/>
      <x:c r="D651" s="48"/>
      <x:c r="E651" s="48"/>
      <x:c r="F651" s="48"/>
      <x:c r="G651" s="48"/>
      <x:c r="H651" s="48"/>
      <x:c r="I651" s="48"/>
      <x:c r="J651" s="48"/>
      <x:c r="K651" s="48"/>
      <x:c r="L651" s="48"/>
      <x:c r="M651" s="48"/>
      <x:c r="N651" s="48"/>
      <x:c r="O651" s="48"/>
      <x:c r="P651" s="48"/>
      <x:c r="Q651" s="48"/>
      <x:c r="R651" s="48"/>
      <x:c r="S651" s="48"/>
      <x:c r="T651" s="48"/>
      <x:c r="U651" s="48"/>
      <x:c r="V651" s="48"/>
      <x:c r="W651" s="48"/>
      <x:c r="X651" s="48"/>
      <x:c r="Y651" s="48"/>
      <x:c r="Z651" s="48"/>
    </x:row>
    <x:row r="652">
      <x:c r="A652" s="48"/>
      <x:c r="B652" s="48"/>
      <x:c r="C652" s="48"/>
      <x:c r="D652" s="48"/>
      <x:c r="E652" s="48"/>
      <x:c r="F652" s="48"/>
      <x:c r="G652" s="48"/>
      <x:c r="H652" s="48"/>
      <x:c r="I652" s="48"/>
      <x:c r="J652" s="48"/>
      <x:c r="K652" s="48"/>
      <x:c r="L652" s="48"/>
      <x:c r="M652" s="48"/>
      <x:c r="N652" s="48"/>
      <x:c r="O652" s="48"/>
      <x:c r="P652" s="48"/>
      <x:c r="Q652" s="48"/>
      <x:c r="R652" s="48"/>
      <x:c r="S652" s="48"/>
      <x:c r="T652" s="48"/>
      <x:c r="U652" s="48"/>
      <x:c r="V652" s="48"/>
      <x:c r="W652" s="48"/>
      <x:c r="X652" s="48"/>
      <x:c r="Y652" s="48"/>
      <x:c r="Z652" s="48"/>
    </x:row>
    <x:row r="653">
      <x:c r="A653" s="48"/>
      <x:c r="B653" s="48"/>
      <x:c r="C653" s="48"/>
      <x:c r="D653" s="48"/>
      <x:c r="E653" s="48"/>
      <x:c r="F653" s="48"/>
      <x:c r="G653" s="48"/>
      <x:c r="H653" s="48"/>
      <x:c r="I653" s="48"/>
      <x:c r="J653" s="48"/>
      <x:c r="K653" s="48"/>
      <x:c r="L653" s="48"/>
      <x:c r="M653" s="48"/>
      <x:c r="N653" s="48"/>
      <x:c r="O653" s="48"/>
      <x:c r="P653" s="48"/>
      <x:c r="Q653" s="48"/>
      <x:c r="R653" s="48"/>
      <x:c r="S653" s="48"/>
      <x:c r="T653" s="48"/>
      <x:c r="U653" s="48"/>
      <x:c r="V653" s="48"/>
      <x:c r="W653" s="48"/>
      <x:c r="X653" s="48"/>
      <x:c r="Y653" s="48"/>
      <x:c r="Z653" s="48"/>
    </x:row>
    <x:row r="654">
      <x:c r="A654" s="48"/>
      <x:c r="B654" s="48"/>
      <x:c r="C654" s="48"/>
      <x:c r="D654" s="48"/>
      <x:c r="E654" s="48"/>
      <x:c r="F654" s="48"/>
      <x:c r="G654" s="48"/>
      <x:c r="H654" s="48"/>
      <x:c r="I654" s="48"/>
      <x:c r="J654" s="48"/>
      <x:c r="K654" s="48"/>
      <x:c r="L654" s="48"/>
      <x:c r="M654" s="48"/>
      <x:c r="N654" s="48"/>
      <x:c r="O654" s="48"/>
      <x:c r="P654" s="48"/>
      <x:c r="Q654" s="48"/>
      <x:c r="R654" s="48"/>
      <x:c r="S654" s="48"/>
      <x:c r="T654" s="48"/>
      <x:c r="U654" s="48"/>
      <x:c r="V654" s="48"/>
      <x:c r="W654" s="48"/>
      <x:c r="X654" s="48"/>
      <x:c r="Y654" s="48"/>
      <x:c r="Z654" s="48"/>
    </x:row>
    <x:row r="655">
      <x:c r="A655" s="48"/>
      <x:c r="B655" s="48"/>
      <x:c r="C655" s="48"/>
      <x:c r="D655" s="48"/>
      <x:c r="E655" s="48"/>
      <x:c r="F655" s="48"/>
      <x:c r="G655" s="48"/>
      <x:c r="H655" s="48"/>
      <x:c r="I655" s="48"/>
      <x:c r="J655" s="48"/>
      <x:c r="K655" s="48"/>
      <x:c r="L655" s="48"/>
      <x:c r="M655" s="48"/>
      <x:c r="N655" s="48"/>
      <x:c r="O655" s="48"/>
      <x:c r="P655" s="48"/>
      <x:c r="Q655" s="48"/>
      <x:c r="R655" s="48"/>
      <x:c r="S655" s="48"/>
      <x:c r="T655" s="48"/>
      <x:c r="U655" s="48"/>
      <x:c r="V655" s="48"/>
      <x:c r="W655" s="48"/>
      <x:c r="X655" s="48"/>
      <x:c r="Y655" s="48"/>
      <x:c r="Z655" s="48"/>
    </x:row>
    <x:row r="656">
      <x:c r="A656" s="48"/>
      <x:c r="B656" s="48"/>
      <x:c r="C656" s="48"/>
      <x:c r="D656" s="48"/>
      <x:c r="E656" s="48"/>
      <x:c r="F656" s="48"/>
      <x:c r="G656" s="48"/>
      <x:c r="H656" s="48"/>
      <x:c r="I656" s="48"/>
      <x:c r="J656" s="48"/>
      <x:c r="K656" s="48"/>
      <x:c r="L656" s="48"/>
      <x:c r="M656" s="48"/>
      <x:c r="N656" s="48"/>
      <x:c r="O656" s="48"/>
      <x:c r="P656" s="48"/>
      <x:c r="Q656" s="48"/>
      <x:c r="R656" s="48"/>
      <x:c r="S656" s="48"/>
      <x:c r="T656" s="48"/>
      <x:c r="U656" s="48"/>
      <x:c r="V656" s="48"/>
      <x:c r="W656" s="48"/>
      <x:c r="X656" s="48"/>
      <x:c r="Y656" s="48"/>
      <x:c r="Z656" s="48"/>
    </x:row>
    <x:row r="657">
      <x:c r="A657" s="48"/>
      <x:c r="B657" s="48"/>
      <x:c r="C657" s="48"/>
      <x:c r="D657" s="48"/>
      <x:c r="E657" s="48"/>
      <x:c r="F657" s="48"/>
      <x:c r="G657" s="48"/>
      <x:c r="H657" s="48"/>
      <x:c r="I657" s="48"/>
      <x:c r="J657" s="48"/>
      <x:c r="K657" s="48"/>
      <x:c r="L657" s="48"/>
      <x:c r="M657" s="48"/>
      <x:c r="N657" s="48"/>
      <x:c r="O657" s="48"/>
      <x:c r="P657" s="48"/>
      <x:c r="Q657" s="48"/>
      <x:c r="R657" s="48"/>
      <x:c r="S657" s="48"/>
      <x:c r="T657" s="48"/>
      <x:c r="U657" s="48"/>
      <x:c r="V657" s="48"/>
      <x:c r="W657" s="48"/>
      <x:c r="X657" s="48"/>
      <x:c r="Y657" s="48"/>
      <x:c r="Z657" s="48"/>
    </x:row>
    <x:row r="658">
      <x:c r="A658" s="48"/>
      <x:c r="B658" s="48"/>
      <x:c r="C658" s="48"/>
      <x:c r="D658" s="48"/>
      <x:c r="E658" s="48"/>
      <x:c r="F658" s="48"/>
      <x:c r="G658" s="48"/>
      <x:c r="H658" s="48"/>
      <x:c r="I658" s="48"/>
      <x:c r="J658" s="48"/>
      <x:c r="K658" s="48"/>
      <x:c r="L658" s="48"/>
      <x:c r="M658" s="48"/>
      <x:c r="N658" s="48"/>
      <x:c r="O658" s="48"/>
      <x:c r="P658" s="48"/>
      <x:c r="Q658" s="48"/>
      <x:c r="R658" s="48"/>
      <x:c r="S658" s="48"/>
      <x:c r="T658" s="48"/>
      <x:c r="U658" s="48"/>
      <x:c r="V658" s="48"/>
      <x:c r="W658" s="48"/>
      <x:c r="X658" s="48"/>
      <x:c r="Y658" s="48"/>
      <x:c r="Z658" s="48"/>
    </x:row>
    <x:row r="659">
      <x:c r="A659" s="48"/>
      <x:c r="B659" s="48"/>
      <x:c r="C659" s="48"/>
      <x:c r="D659" s="48"/>
      <x:c r="E659" s="48"/>
      <x:c r="F659" s="48"/>
      <x:c r="G659" s="48"/>
      <x:c r="H659" s="48"/>
      <x:c r="I659" s="48"/>
      <x:c r="J659" s="48"/>
      <x:c r="K659" s="48"/>
      <x:c r="L659" s="48"/>
      <x:c r="M659" s="48"/>
      <x:c r="N659" s="48"/>
      <x:c r="O659" s="48"/>
      <x:c r="P659" s="48"/>
      <x:c r="Q659" s="48"/>
      <x:c r="R659" s="48"/>
      <x:c r="S659" s="48"/>
      <x:c r="T659" s="48"/>
      <x:c r="U659" s="48"/>
      <x:c r="V659" s="48"/>
      <x:c r="W659" s="48"/>
      <x:c r="X659" s="48"/>
      <x:c r="Y659" s="48"/>
      <x:c r="Z659" s="48"/>
    </x:row>
    <x:row r="660">
      <x:c r="A660" s="48"/>
      <x:c r="B660" s="48"/>
      <x:c r="C660" s="48"/>
      <x:c r="D660" s="48"/>
      <x:c r="E660" s="48"/>
      <x:c r="F660" s="48"/>
      <x:c r="G660" s="48"/>
      <x:c r="H660" s="48"/>
      <x:c r="I660" s="48"/>
      <x:c r="J660" s="48"/>
      <x:c r="K660" s="48"/>
      <x:c r="L660" s="48"/>
      <x:c r="M660" s="48"/>
      <x:c r="N660" s="48"/>
      <x:c r="O660" s="48"/>
      <x:c r="P660" s="48"/>
      <x:c r="Q660" s="48"/>
      <x:c r="R660" s="48"/>
      <x:c r="S660" s="48"/>
      <x:c r="T660" s="48"/>
      <x:c r="U660" s="48"/>
      <x:c r="V660" s="48"/>
      <x:c r="W660" s="48"/>
      <x:c r="X660" s="48"/>
      <x:c r="Y660" s="48"/>
      <x:c r="Z660" s="48"/>
    </x:row>
    <x:row r="661">
      <x:c r="A661" s="48"/>
      <x:c r="B661" s="48"/>
      <x:c r="C661" s="48"/>
      <x:c r="D661" s="48"/>
      <x:c r="E661" s="48"/>
      <x:c r="F661" s="48"/>
      <x:c r="G661" s="48"/>
      <x:c r="H661" s="48"/>
      <x:c r="I661" s="48"/>
      <x:c r="J661" s="48"/>
      <x:c r="K661" s="48"/>
      <x:c r="L661" s="48"/>
      <x:c r="M661" s="48"/>
      <x:c r="N661" s="48"/>
      <x:c r="O661" s="48"/>
      <x:c r="P661" s="48"/>
      <x:c r="Q661" s="48"/>
      <x:c r="R661" s="48"/>
      <x:c r="S661" s="48"/>
      <x:c r="T661" s="48"/>
      <x:c r="U661" s="48"/>
      <x:c r="V661" s="48"/>
      <x:c r="W661" s="48"/>
      <x:c r="X661" s="48"/>
      <x:c r="Y661" s="48"/>
      <x:c r="Z661" s="48"/>
    </x:row>
    <x:row r="662">
      <x:c r="A662" s="48"/>
      <x:c r="B662" s="48"/>
      <x:c r="C662" s="48"/>
      <x:c r="D662" s="48"/>
      <x:c r="E662" s="48"/>
      <x:c r="F662" s="48"/>
      <x:c r="G662" s="48"/>
      <x:c r="H662" s="48"/>
      <x:c r="I662" s="48"/>
      <x:c r="J662" s="48"/>
      <x:c r="K662" s="48"/>
      <x:c r="L662" s="48"/>
      <x:c r="M662" s="48"/>
      <x:c r="N662" s="48"/>
      <x:c r="O662" s="48"/>
      <x:c r="P662" s="48"/>
      <x:c r="Q662" s="48"/>
      <x:c r="R662" s="48"/>
      <x:c r="S662" s="48"/>
      <x:c r="T662" s="48"/>
      <x:c r="U662" s="48"/>
      <x:c r="V662" s="48"/>
      <x:c r="W662" s="48"/>
      <x:c r="X662" s="48"/>
      <x:c r="Y662" s="48"/>
      <x:c r="Z662" s="48"/>
    </x:row>
    <x:row r="663">
      <x:c r="A663" s="48"/>
      <x:c r="B663" s="48"/>
      <x:c r="C663" s="48"/>
      <x:c r="D663" s="48"/>
      <x:c r="E663" s="48"/>
      <x:c r="F663" s="48"/>
      <x:c r="G663" s="48"/>
      <x:c r="H663" s="48"/>
      <x:c r="I663" s="48"/>
      <x:c r="J663" s="48"/>
      <x:c r="K663" s="48"/>
      <x:c r="L663" s="48"/>
      <x:c r="M663" s="48"/>
      <x:c r="N663" s="48"/>
      <x:c r="O663" s="48"/>
      <x:c r="P663" s="48"/>
      <x:c r="Q663" s="48"/>
      <x:c r="R663" s="48"/>
      <x:c r="S663" s="48"/>
      <x:c r="T663" s="48"/>
      <x:c r="U663" s="48"/>
      <x:c r="V663" s="48"/>
      <x:c r="W663" s="48"/>
      <x:c r="X663" s="48"/>
      <x:c r="Y663" s="48"/>
      <x:c r="Z663" s="48"/>
    </x:row>
    <x:row r="664">
      <x:c r="A664" s="48"/>
      <x:c r="B664" s="48"/>
      <x:c r="C664" s="48"/>
      <x:c r="D664" s="48"/>
      <x:c r="E664" s="48"/>
      <x:c r="F664" s="48"/>
      <x:c r="G664" s="48"/>
      <x:c r="H664" s="48"/>
      <x:c r="I664" s="48"/>
      <x:c r="J664" s="48"/>
      <x:c r="K664" s="48"/>
      <x:c r="L664" s="48"/>
      <x:c r="M664" s="48"/>
      <x:c r="N664" s="48"/>
      <x:c r="O664" s="48"/>
      <x:c r="P664" s="48"/>
      <x:c r="Q664" s="48"/>
      <x:c r="R664" s="48"/>
      <x:c r="S664" s="48"/>
      <x:c r="T664" s="48"/>
      <x:c r="U664" s="48"/>
      <x:c r="V664" s="48"/>
      <x:c r="W664" s="48"/>
      <x:c r="X664" s="48"/>
      <x:c r="Y664" s="48"/>
      <x:c r="Z664" s="48"/>
    </x:row>
    <x:row r="665">
      <x:c r="A665" s="48"/>
      <x:c r="B665" s="48"/>
      <x:c r="C665" s="48"/>
      <x:c r="D665" s="48"/>
      <x:c r="E665" s="48"/>
      <x:c r="F665" s="48"/>
      <x:c r="G665" s="48"/>
      <x:c r="H665" s="48"/>
      <x:c r="I665" s="48"/>
      <x:c r="J665" s="48"/>
      <x:c r="K665" s="48"/>
      <x:c r="L665" s="48"/>
      <x:c r="M665" s="48"/>
      <x:c r="N665" s="48"/>
      <x:c r="O665" s="48"/>
      <x:c r="P665" s="48"/>
      <x:c r="Q665" s="48"/>
      <x:c r="R665" s="48"/>
      <x:c r="S665" s="48"/>
      <x:c r="T665" s="48"/>
      <x:c r="U665" s="48"/>
      <x:c r="V665" s="48"/>
      <x:c r="W665" s="48"/>
      <x:c r="X665" s="48"/>
      <x:c r="Y665" s="48"/>
      <x:c r="Z665" s="48"/>
    </x:row>
    <x:row r="666">
      <x:c r="A666" s="48"/>
      <x:c r="B666" s="48"/>
      <x:c r="C666" s="48"/>
      <x:c r="D666" s="48"/>
      <x:c r="E666" s="48"/>
      <x:c r="F666" s="48"/>
      <x:c r="G666" s="48"/>
      <x:c r="H666" s="48"/>
      <x:c r="I666" s="48"/>
      <x:c r="J666" s="48"/>
      <x:c r="K666" s="48"/>
      <x:c r="L666" s="48"/>
      <x:c r="M666" s="48"/>
      <x:c r="N666" s="48"/>
      <x:c r="O666" s="48"/>
      <x:c r="P666" s="48"/>
      <x:c r="Q666" s="48"/>
      <x:c r="R666" s="48"/>
      <x:c r="S666" s="48"/>
      <x:c r="T666" s="48"/>
      <x:c r="U666" s="48"/>
      <x:c r="V666" s="48"/>
      <x:c r="W666" s="48"/>
      <x:c r="X666" s="48"/>
      <x:c r="Y666" s="48"/>
      <x:c r="Z666" s="48"/>
    </x:row>
    <x:row r="667">
      <x:c r="A667" s="48"/>
      <x:c r="B667" s="48"/>
      <x:c r="C667" s="48"/>
      <x:c r="D667" s="48"/>
      <x:c r="E667" s="48"/>
      <x:c r="F667" s="48"/>
      <x:c r="G667" s="48"/>
      <x:c r="H667" s="48"/>
      <x:c r="I667" s="48"/>
      <x:c r="J667" s="48"/>
      <x:c r="K667" s="48"/>
      <x:c r="L667" s="48"/>
      <x:c r="M667" s="48"/>
      <x:c r="N667" s="48"/>
      <x:c r="O667" s="48"/>
      <x:c r="P667" s="48"/>
      <x:c r="Q667" s="48"/>
      <x:c r="R667" s="48"/>
      <x:c r="S667" s="48"/>
      <x:c r="T667" s="48"/>
      <x:c r="U667" s="48"/>
      <x:c r="V667" s="48"/>
      <x:c r="W667" s="48"/>
      <x:c r="X667" s="48"/>
      <x:c r="Y667" s="48"/>
      <x:c r="Z667" s="48"/>
    </x:row>
    <x:row r="668">
      <x:c r="A668" s="48"/>
      <x:c r="B668" s="48"/>
      <x:c r="C668" s="48"/>
      <x:c r="D668" s="48"/>
      <x:c r="E668" s="48"/>
      <x:c r="F668" s="48"/>
      <x:c r="G668" s="48"/>
      <x:c r="H668" s="48"/>
      <x:c r="I668" s="48"/>
      <x:c r="J668" s="48"/>
      <x:c r="K668" s="48"/>
      <x:c r="L668" s="48"/>
      <x:c r="M668" s="48"/>
      <x:c r="N668" s="48"/>
      <x:c r="O668" s="48"/>
      <x:c r="P668" s="48"/>
      <x:c r="Q668" s="48"/>
      <x:c r="R668" s="48"/>
      <x:c r="S668" s="48"/>
      <x:c r="T668" s="48"/>
      <x:c r="U668" s="48"/>
      <x:c r="V668" s="48"/>
      <x:c r="W668" s="48"/>
      <x:c r="X668" s="48"/>
      <x:c r="Y668" s="48"/>
      <x:c r="Z668" s="48"/>
    </x:row>
    <x:row r="669">
      <x:c r="A669" s="48"/>
      <x:c r="B669" s="48"/>
      <x:c r="C669" s="48"/>
      <x:c r="D669" s="48"/>
      <x:c r="E669" s="48"/>
      <x:c r="F669" s="48"/>
      <x:c r="G669" s="48"/>
      <x:c r="H669" s="48"/>
      <x:c r="I669" s="48"/>
      <x:c r="J669" s="48"/>
      <x:c r="K669" s="48"/>
      <x:c r="L669" s="48"/>
      <x:c r="M669" s="48"/>
      <x:c r="N669" s="48"/>
      <x:c r="O669" s="48"/>
      <x:c r="P669" s="48"/>
      <x:c r="Q669" s="48"/>
      <x:c r="R669" s="48"/>
      <x:c r="S669" s="48"/>
      <x:c r="T669" s="48"/>
      <x:c r="U669" s="48"/>
      <x:c r="V669" s="48"/>
      <x:c r="W669" s="48"/>
      <x:c r="X669" s="48"/>
      <x:c r="Y669" s="48"/>
      <x:c r="Z669" s="48"/>
    </x:row>
    <x:row r="670">
      <x:c r="A670" s="48"/>
      <x:c r="B670" s="48"/>
      <x:c r="C670" s="48"/>
      <x:c r="D670" s="48"/>
      <x:c r="E670" s="48"/>
      <x:c r="F670" s="48"/>
      <x:c r="G670" s="48"/>
      <x:c r="H670" s="48"/>
      <x:c r="I670" s="48"/>
      <x:c r="J670" s="48"/>
      <x:c r="K670" s="48"/>
      <x:c r="L670" s="48"/>
      <x:c r="M670" s="48"/>
      <x:c r="N670" s="48"/>
      <x:c r="O670" s="48"/>
      <x:c r="P670" s="48"/>
      <x:c r="Q670" s="48"/>
      <x:c r="R670" s="48"/>
      <x:c r="S670" s="48"/>
      <x:c r="T670" s="48"/>
      <x:c r="U670" s="48"/>
      <x:c r="V670" s="48"/>
      <x:c r="W670" s="48"/>
      <x:c r="X670" s="48"/>
      <x:c r="Y670" s="48"/>
      <x:c r="Z670" s="48"/>
    </x:row>
    <x:row r="671">
      <x:c r="A671" s="48"/>
      <x:c r="B671" s="48"/>
      <x:c r="C671" s="48"/>
      <x:c r="D671" s="48"/>
      <x:c r="E671" s="48"/>
      <x:c r="F671" s="48"/>
      <x:c r="G671" s="48"/>
      <x:c r="H671" s="48"/>
      <x:c r="I671" s="48"/>
      <x:c r="J671" s="48"/>
      <x:c r="K671" s="48"/>
      <x:c r="L671" s="48"/>
      <x:c r="M671" s="48"/>
      <x:c r="N671" s="48"/>
      <x:c r="O671" s="48"/>
      <x:c r="P671" s="48"/>
      <x:c r="Q671" s="48"/>
      <x:c r="R671" s="48"/>
      <x:c r="S671" s="48"/>
      <x:c r="T671" s="48"/>
      <x:c r="U671" s="48"/>
      <x:c r="V671" s="48"/>
      <x:c r="W671" s="48"/>
      <x:c r="X671" s="48"/>
      <x:c r="Y671" s="48"/>
      <x:c r="Z671" s="48"/>
    </x:row>
    <x:row r="672">
      <x:c r="A672" s="48"/>
      <x:c r="B672" s="48"/>
      <x:c r="C672" s="48"/>
      <x:c r="D672" s="48"/>
      <x:c r="E672" s="48"/>
      <x:c r="F672" s="48"/>
      <x:c r="G672" s="48"/>
      <x:c r="H672" s="48"/>
      <x:c r="I672" s="48"/>
      <x:c r="J672" s="48"/>
      <x:c r="K672" s="48"/>
      <x:c r="L672" s="48"/>
      <x:c r="M672" s="48"/>
      <x:c r="N672" s="48"/>
      <x:c r="O672" s="48"/>
      <x:c r="P672" s="48"/>
      <x:c r="Q672" s="48"/>
      <x:c r="R672" s="48"/>
      <x:c r="S672" s="48"/>
      <x:c r="T672" s="48"/>
      <x:c r="U672" s="48"/>
      <x:c r="V672" s="48"/>
      <x:c r="W672" s="48"/>
      <x:c r="X672" s="48"/>
      <x:c r="Y672" s="48"/>
      <x:c r="Z672" s="48"/>
    </x:row>
    <x:row r="673">
      <x:c r="A673" s="48"/>
      <x:c r="B673" s="48"/>
      <x:c r="C673" s="48"/>
      <x:c r="D673" s="48"/>
      <x:c r="E673" s="48"/>
      <x:c r="F673" s="48"/>
      <x:c r="G673" s="48"/>
      <x:c r="H673" s="48"/>
      <x:c r="I673" s="48"/>
      <x:c r="J673" s="48"/>
      <x:c r="K673" s="48"/>
      <x:c r="L673" s="48"/>
      <x:c r="M673" s="48"/>
      <x:c r="N673" s="48"/>
      <x:c r="O673" s="48"/>
      <x:c r="P673" s="48"/>
      <x:c r="Q673" s="48"/>
      <x:c r="R673" s="48"/>
      <x:c r="S673" s="48"/>
      <x:c r="T673" s="48"/>
      <x:c r="U673" s="48"/>
      <x:c r="V673" s="48"/>
      <x:c r="W673" s="48"/>
      <x:c r="X673" s="48"/>
      <x:c r="Y673" s="48"/>
      <x:c r="Z673" s="48"/>
    </x:row>
    <x:row r="674">
      <x:c r="A674" s="48"/>
      <x:c r="B674" s="48"/>
      <x:c r="C674" s="48"/>
      <x:c r="D674" s="48"/>
      <x:c r="E674" s="48"/>
      <x:c r="F674" s="48"/>
      <x:c r="G674" s="48"/>
      <x:c r="H674" s="48"/>
      <x:c r="I674" s="48"/>
      <x:c r="J674" s="48"/>
      <x:c r="K674" s="48"/>
      <x:c r="L674" s="48"/>
      <x:c r="M674" s="48"/>
      <x:c r="N674" s="48"/>
      <x:c r="O674" s="48"/>
      <x:c r="P674" s="48"/>
      <x:c r="Q674" s="48"/>
      <x:c r="R674" s="48"/>
      <x:c r="S674" s="48"/>
      <x:c r="T674" s="48"/>
      <x:c r="U674" s="48"/>
      <x:c r="V674" s="48"/>
      <x:c r="W674" s="48"/>
      <x:c r="X674" s="48"/>
      <x:c r="Y674" s="48"/>
      <x:c r="Z674" s="48"/>
    </x:row>
    <x:row r="675">
      <x:c r="A675" s="48"/>
      <x:c r="B675" s="48"/>
      <x:c r="C675" s="48"/>
      <x:c r="D675" s="48"/>
      <x:c r="E675" s="48"/>
      <x:c r="F675" s="48"/>
      <x:c r="G675" s="48"/>
      <x:c r="H675" s="48"/>
      <x:c r="I675" s="48"/>
      <x:c r="J675" s="48"/>
      <x:c r="K675" s="48"/>
      <x:c r="L675" s="48"/>
      <x:c r="M675" s="48"/>
      <x:c r="N675" s="48"/>
      <x:c r="O675" s="48"/>
      <x:c r="P675" s="48"/>
      <x:c r="Q675" s="48"/>
      <x:c r="R675" s="48"/>
      <x:c r="S675" s="48"/>
      <x:c r="T675" s="48"/>
      <x:c r="U675" s="48"/>
      <x:c r="V675" s="48"/>
      <x:c r="W675" s="48"/>
      <x:c r="X675" s="48"/>
      <x:c r="Y675" s="48"/>
      <x:c r="Z675" s="48"/>
    </x:row>
    <x:row r="676">
      <x:c r="A676" s="48"/>
      <x:c r="B676" s="48"/>
      <x:c r="C676" s="48"/>
      <x:c r="D676" s="48"/>
      <x:c r="E676" s="48"/>
      <x:c r="F676" s="48"/>
      <x:c r="G676" s="48"/>
      <x:c r="H676" s="48"/>
      <x:c r="I676" s="48"/>
      <x:c r="J676" s="48"/>
      <x:c r="K676" s="48"/>
      <x:c r="L676" s="48"/>
      <x:c r="M676" s="48"/>
      <x:c r="N676" s="48"/>
      <x:c r="O676" s="48"/>
      <x:c r="P676" s="48"/>
      <x:c r="Q676" s="48"/>
      <x:c r="R676" s="48"/>
      <x:c r="S676" s="48"/>
      <x:c r="T676" s="48"/>
      <x:c r="U676" s="48"/>
      <x:c r="V676" s="48"/>
      <x:c r="W676" s="48"/>
      <x:c r="X676" s="48"/>
      <x:c r="Y676" s="48"/>
      <x:c r="Z676" s="48"/>
    </x:row>
    <x:row r="677">
      <x:c r="A677" s="48"/>
      <x:c r="B677" s="48"/>
      <x:c r="C677" s="48"/>
      <x:c r="D677" s="48"/>
      <x:c r="E677" s="48"/>
      <x:c r="F677" s="48"/>
      <x:c r="G677" s="48"/>
      <x:c r="H677" s="48"/>
      <x:c r="I677" s="48"/>
      <x:c r="J677" s="48"/>
      <x:c r="K677" s="48"/>
      <x:c r="L677" s="48"/>
      <x:c r="M677" s="48"/>
      <x:c r="N677" s="48"/>
      <x:c r="O677" s="48"/>
      <x:c r="P677" s="48"/>
      <x:c r="Q677" s="48"/>
      <x:c r="R677" s="48"/>
      <x:c r="S677" s="48"/>
      <x:c r="T677" s="48"/>
      <x:c r="U677" s="48"/>
      <x:c r="V677" s="48"/>
      <x:c r="W677" s="48"/>
      <x:c r="X677" s="48"/>
      <x:c r="Y677" s="48"/>
      <x:c r="Z677" s="48"/>
    </x:row>
    <x:row r="678">
      <x:c r="A678" s="48"/>
      <x:c r="B678" s="48"/>
      <x:c r="C678" s="48"/>
      <x:c r="D678" s="48"/>
      <x:c r="E678" s="48"/>
      <x:c r="F678" s="48"/>
      <x:c r="G678" s="48"/>
      <x:c r="H678" s="48"/>
      <x:c r="I678" s="48"/>
      <x:c r="J678" s="48"/>
      <x:c r="K678" s="48"/>
      <x:c r="L678" s="48"/>
      <x:c r="M678" s="48"/>
      <x:c r="N678" s="48"/>
      <x:c r="O678" s="48"/>
      <x:c r="P678" s="48"/>
      <x:c r="Q678" s="48"/>
      <x:c r="R678" s="48"/>
      <x:c r="S678" s="48"/>
      <x:c r="T678" s="48"/>
      <x:c r="U678" s="48"/>
      <x:c r="V678" s="48"/>
      <x:c r="W678" s="48"/>
      <x:c r="X678" s="48"/>
      <x:c r="Y678" s="48"/>
      <x:c r="Z678" s="48"/>
    </x:row>
    <x:row r="679">
      <x:c r="A679" s="48"/>
      <x:c r="B679" s="48"/>
      <x:c r="C679" s="48"/>
      <x:c r="D679" s="48"/>
      <x:c r="E679" s="48"/>
      <x:c r="F679" s="48"/>
      <x:c r="G679" s="48"/>
      <x:c r="H679" s="48"/>
      <x:c r="I679" s="48"/>
      <x:c r="J679" s="48"/>
      <x:c r="K679" s="48"/>
      <x:c r="L679" s="48"/>
      <x:c r="M679" s="48"/>
      <x:c r="N679" s="48"/>
      <x:c r="O679" s="48"/>
      <x:c r="P679" s="48"/>
      <x:c r="Q679" s="48"/>
      <x:c r="R679" s="48"/>
      <x:c r="S679" s="48"/>
      <x:c r="T679" s="48"/>
      <x:c r="U679" s="48"/>
      <x:c r="V679" s="48"/>
      <x:c r="W679" s="48"/>
      <x:c r="X679" s="48"/>
      <x:c r="Y679" s="48"/>
      <x:c r="Z679" s="48"/>
    </x:row>
    <x:row r="680">
      <x:c r="A680" s="48"/>
      <x:c r="B680" s="48"/>
      <x:c r="C680" s="48"/>
      <x:c r="D680" s="48"/>
      <x:c r="E680" s="48"/>
      <x:c r="F680" s="48"/>
      <x:c r="G680" s="48"/>
      <x:c r="H680" s="48"/>
      <x:c r="I680" s="48"/>
      <x:c r="J680" s="48"/>
      <x:c r="K680" s="48"/>
      <x:c r="L680" s="48"/>
      <x:c r="M680" s="48"/>
      <x:c r="N680" s="48"/>
      <x:c r="O680" s="48"/>
      <x:c r="P680" s="48"/>
      <x:c r="Q680" s="48"/>
      <x:c r="R680" s="48"/>
      <x:c r="S680" s="48"/>
      <x:c r="T680" s="48"/>
      <x:c r="U680" s="48"/>
      <x:c r="V680" s="48"/>
      <x:c r="W680" s="48"/>
      <x:c r="X680" s="48"/>
      <x:c r="Y680" s="48"/>
      <x:c r="Z680" s="48"/>
    </x:row>
    <x:row r="681">
      <x:c r="A681" s="48"/>
      <x:c r="B681" s="48"/>
      <x:c r="C681" s="48"/>
      <x:c r="D681" s="48"/>
      <x:c r="E681" s="48"/>
      <x:c r="F681" s="48"/>
      <x:c r="G681" s="48"/>
      <x:c r="H681" s="48"/>
      <x:c r="I681" s="48"/>
      <x:c r="J681" s="48"/>
      <x:c r="K681" s="48"/>
      <x:c r="L681" s="48"/>
      <x:c r="M681" s="48"/>
      <x:c r="N681" s="48"/>
      <x:c r="O681" s="48"/>
      <x:c r="P681" s="48"/>
      <x:c r="Q681" s="48"/>
      <x:c r="R681" s="48"/>
      <x:c r="S681" s="48"/>
      <x:c r="T681" s="48"/>
      <x:c r="U681" s="48"/>
      <x:c r="V681" s="48"/>
      <x:c r="W681" s="48"/>
      <x:c r="X681" s="48"/>
      <x:c r="Y681" s="48"/>
      <x:c r="Z681" s="48"/>
    </x:row>
    <x:row r="682">
      <x:c r="A682" s="48"/>
      <x:c r="B682" s="48"/>
      <x:c r="C682" s="48"/>
      <x:c r="D682" s="48"/>
      <x:c r="E682" s="48"/>
      <x:c r="F682" s="48"/>
      <x:c r="G682" s="48"/>
      <x:c r="H682" s="48"/>
      <x:c r="I682" s="48"/>
      <x:c r="J682" s="48"/>
      <x:c r="K682" s="48"/>
      <x:c r="L682" s="48"/>
      <x:c r="M682" s="48"/>
      <x:c r="N682" s="48"/>
      <x:c r="O682" s="48"/>
      <x:c r="P682" s="48"/>
      <x:c r="Q682" s="48"/>
      <x:c r="R682" s="48"/>
      <x:c r="S682" s="48"/>
      <x:c r="T682" s="48"/>
      <x:c r="U682" s="48"/>
      <x:c r="V682" s="48"/>
      <x:c r="W682" s="48"/>
      <x:c r="X682" s="48"/>
      <x:c r="Y682" s="48"/>
      <x:c r="Z682" s="48"/>
    </x:row>
    <x:row r="683">
      <x:c r="A683" s="48"/>
      <x:c r="B683" s="48"/>
      <x:c r="C683" s="48"/>
      <x:c r="D683" s="48"/>
      <x:c r="E683" s="48"/>
      <x:c r="F683" s="48"/>
      <x:c r="G683" s="48"/>
      <x:c r="H683" s="48"/>
      <x:c r="I683" s="48"/>
      <x:c r="J683" s="48"/>
      <x:c r="K683" s="48"/>
      <x:c r="L683" s="48"/>
      <x:c r="M683" s="48"/>
      <x:c r="N683" s="48"/>
      <x:c r="O683" s="48"/>
      <x:c r="P683" s="48"/>
      <x:c r="Q683" s="48"/>
      <x:c r="R683" s="48"/>
      <x:c r="S683" s="48"/>
      <x:c r="T683" s="48"/>
      <x:c r="U683" s="48"/>
      <x:c r="V683" s="48"/>
      <x:c r="W683" s="48"/>
      <x:c r="X683" s="48"/>
      <x:c r="Y683" s="48"/>
      <x:c r="Z683" s="48"/>
    </x:row>
    <x:row r="684">
      <x:c r="A684" s="48"/>
      <x:c r="B684" s="48"/>
      <x:c r="C684" s="48"/>
      <x:c r="D684" s="48"/>
      <x:c r="E684" s="48"/>
      <x:c r="F684" s="48"/>
      <x:c r="G684" s="48"/>
      <x:c r="H684" s="48"/>
      <x:c r="I684" s="48"/>
      <x:c r="J684" s="48"/>
      <x:c r="K684" s="48"/>
      <x:c r="L684" s="48"/>
      <x:c r="M684" s="48"/>
      <x:c r="N684" s="48"/>
      <x:c r="O684" s="48"/>
      <x:c r="P684" s="48"/>
      <x:c r="Q684" s="48"/>
      <x:c r="R684" s="48"/>
      <x:c r="S684" s="48"/>
      <x:c r="T684" s="48"/>
      <x:c r="U684" s="48"/>
      <x:c r="V684" s="48"/>
      <x:c r="W684" s="48"/>
      <x:c r="X684" s="48"/>
      <x:c r="Y684" s="48"/>
      <x:c r="Z684" s="48"/>
    </x:row>
    <x:row r="685">
      <x:c r="A685" s="48"/>
      <x:c r="B685" s="48"/>
      <x:c r="C685" s="48"/>
      <x:c r="D685" s="48"/>
      <x:c r="E685" s="48"/>
      <x:c r="F685" s="48"/>
      <x:c r="G685" s="48"/>
      <x:c r="H685" s="48"/>
      <x:c r="I685" s="48"/>
      <x:c r="J685" s="48"/>
      <x:c r="K685" s="48"/>
      <x:c r="L685" s="48"/>
      <x:c r="M685" s="48"/>
      <x:c r="N685" s="48"/>
      <x:c r="O685" s="48"/>
      <x:c r="P685" s="48"/>
      <x:c r="Q685" s="48"/>
      <x:c r="R685" s="48"/>
      <x:c r="S685" s="48"/>
      <x:c r="T685" s="48"/>
      <x:c r="U685" s="48"/>
      <x:c r="V685" s="48"/>
      <x:c r="W685" s="48"/>
      <x:c r="X685" s="48"/>
      <x:c r="Y685" s="48"/>
      <x:c r="Z685" s="48"/>
    </x:row>
    <x:row r="686">
      <x:c r="A686" s="48"/>
      <x:c r="B686" s="48"/>
      <x:c r="C686" s="48"/>
      <x:c r="D686" s="48"/>
      <x:c r="E686" s="48"/>
      <x:c r="F686" s="48"/>
      <x:c r="G686" s="48"/>
      <x:c r="H686" s="48"/>
      <x:c r="I686" s="48"/>
      <x:c r="J686" s="48"/>
      <x:c r="K686" s="48"/>
      <x:c r="L686" s="48"/>
      <x:c r="M686" s="48"/>
      <x:c r="N686" s="48"/>
      <x:c r="O686" s="48"/>
      <x:c r="P686" s="48"/>
      <x:c r="Q686" s="48"/>
      <x:c r="R686" s="48"/>
      <x:c r="S686" s="48"/>
      <x:c r="T686" s="48"/>
      <x:c r="U686" s="48"/>
      <x:c r="V686" s="48"/>
      <x:c r="W686" s="48"/>
      <x:c r="X686" s="48"/>
      <x:c r="Y686" s="48"/>
      <x:c r="Z686" s="48"/>
    </x:row>
    <x:row r="687">
      <x:c r="A687" s="48"/>
      <x:c r="B687" s="48"/>
      <x:c r="C687" s="48"/>
      <x:c r="D687" s="48"/>
      <x:c r="E687" s="48"/>
      <x:c r="F687" s="48"/>
      <x:c r="G687" s="48"/>
      <x:c r="H687" s="48"/>
      <x:c r="I687" s="48"/>
      <x:c r="J687" s="48"/>
      <x:c r="K687" s="48"/>
      <x:c r="L687" s="48"/>
      <x:c r="M687" s="48"/>
      <x:c r="N687" s="48"/>
      <x:c r="O687" s="48"/>
      <x:c r="P687" s="48"/>
      <x:c r="Q687" s="48"/>
      <x:c r="R687" s="48"/>
      <x:c r="S687" s="48"/>
      <x:c r="T687" s="48"/>
      <x:c r="U687" s="48"/>
      <x:c r="V687" s="48"/>
      <x:c r="W687" s="48"/>
      <x:c r="X687" s="48"/>
      <x:c r="Y687" s="48"/>
      <x:c r="Z687" s="48"/>
    </x:row>
    <x:row r="688">
      <x:c r="A688" s="48"/>
      <x:c r="B688" s="48"/>
      <x:c r="C688" s="48"/>
      <x:c r="D688" s="48"/>
      <x:c r="E688" s="48"/>
      <x:c r="F688" s="48"/>
      <x:c r="G688" s="48"/>
      <x:c r="H688" s="48"/>
      <x:c r="I688" s="48"/>
      <x:c r="J688" s="48"/>
      <x:c r="K688" s="48"/>
      <x:c r="L688" s="48"/>
      <x:c r="M688" s="48"/>
      <x:c r="N688" s="48"/>
      <x:c r="O688" s="48"/>
      <x:c r="P688" s="48"/>
      <x:c r="Q688" s="48"/>
      <x:c r="R688" s="48"/>
      <x:c r="S688" s="48"/>
      <x:c r="T688" s="48"/>
      <x:c r="U688" s="48"/>
      <x:c r="V688" s="48"/>
      <x:c r="W688" s="48"/>
      <x:c r="X688" s="48"/>
      <x:c r="Y688" s="48"/>
      <x:c r="Z688" s="48"/>
    </x:row>
    <x:row r="689">
      <x:c r="A689" s="48"/>
      <x:c r="B689" s="48"/>
      <x:c r="C689" s="48"/>
      <x:c r="D689" s="48"/>
      <x:c r="E689" s="48"/>
      <x:c r="F689" s="48"/>
      <x:c r="G689" s="48"/>
      <x:c r="H689" s="48"/>
      <x:c r="I689" s="48"/>
      <x:c r="J689" s="48"/>
      <x:c r="K689" s="48"/>
      <x:c r="L689" s="48"/>
      <x:c r="M689" s="48"/>
      <x:c r="N689" s="48"/>
      <x:c r="O689" s="48"/>
      <x:c r="P689" s="48"/>
      <x:c r="Q689" s="48"/>
      <x:c r="R689" s="48"/>
      <x:c r="S689" s="48"/>
      <x:c r="T689" s="48"/>
      <x:c r="U689" s="48"/>
      <x:c r="V689" s="48"/>
      <x:c r="W689" s="48"/>
      <x:c r="X689" s="48"/>
      <x:c r="Y689" s="48"/>
      <x:c r="Z689" s="48"/>
    </x:row>
    <x:row r="690">
      <x:c r="A690" s="48"/>
      <x:c r="B690" s="48"/>
      <x:c r="C690" s="48"/>
      <x:c r="D690" s="48"/>
      <x:c r="E690" s="48"/>
      <x:c r="F690" s="48"/>
      <x:c r="G690" s="48"/>
      <x:c r="H690" s="48"/>
      <x:c r="I690" s="48"/>
      <x:c r="J690" s="48"/>
      <x:c r="K690" s="48"/>
      <x:c r="L690" s="48"/>
      <x:c r="M690" s="48"/>
      <x:c r="N690" s="48"/>
      <x:c r="O690" s="48"/>
      <x:c r="P690" s="48"/>
      <x:c r="Q690" s="48"/>
      <x:c r="R690" s="48"/>
      <x:c r="S690" s="48"/>
      <x:c r="T690" s="48"/>
      <x:c r="U690" s="48"/>
      <x:c r="V690" s="48"/>
      <x:c r="W690" s="48"/>
      <x:c r="X690" s="48"/>
      <x:c r="Y690" s="48"/>
      <x:c r="Z690" s="48"/>
    </x:row>
    <x:row r="691">
      <x:c r="A691" s="48"/>
      <x:c r="B691" s="48"/>
      <x:c r="C691" s="48"/>
      <x:c r="D691" s="48"/>
      <x:c r="E691" s="48"/>
      <x:c r="F691" s="48"/>
      <x:c r="G691" s="48"/>
      <x:c r="H691" s="48"/>
      <x:c r="I691" s="48"/>
      <x:c r="J691" s="48"/>
      <x:c r="K691" s="48"/>
      <x:c r="L691" s="48"/>
      <x:c r="M691" s="48"/>
      <x:c r="N691" s="48"/>
      <x:c r="O691" s="48"/>
      <x:c r="P691" s="48"/>
      <x:c r="Q691" s="48"/>
      <x:c r="R691" s="48"/>
      <x:c r="S691" s="48"/>
      <x:c r="T691" s="48"/>
      <x:c r="U691" s="48"/>
      <x:c r="V691" s="48"/>
      <x:c r="W691" s="48"/>
      <x:c r="X691" s="48"/>
      <x:c r="Y691" s="48"/>
      <x:c r="Z691" s="48"/>
    </x:row>
    <x:row r="692">
      <x:c r="A692" s="48"/>
      <x:c r="B692" s="48"/>
      <x:c r="C692" s="48"/>
      <x:c r="D692" s="48"/>
      <x:c r="E692" s="48"/>
      <x:c r="F692" s="48"/>
      <x:c r="G692" s="48"/>
      <x:c r="H692" s="48"/>
      <x:c r="I692" s="48"/>
      <x:c r="J692" s="48"/>
      <x:c r="K692" s="48"/>
      <x:c r="L692" s="48"/>
      <x:c r="M692" s="48"/>
      <x:c r="N692" s="48"/>
      <x:c r="O692" s="48"/>
      <x:c r="P692" s="48"/>
      <x:c r="Q692" s="48"/>
      <x:c r="R692" s="48"/>
      <x:c r="S692" s="48"/>
      <x:c r="T692" s="48"/>
      <x:c r="U692" s="48"/>
      <x:c r="V692" s="48"/>
      <x:c r="W692" s="48"/>
      <x:c r="X692" s="48"/>
      <x:c r="Y692" s="48"/>
      <x:c r="Z692" s="48"/>
    </x:row>
    <x:row r="693">
      <x:c r="A693" s="48"/>
      <x:c r="B693" s="48"/>
      <x:c r="C693" s="48"/>
      <x:c r="D693" s="48"/>
      <x:c r="E693" s="48"/>
      <x:c r="F693" s="48"/>
      <x:c r="G693" s="48"/>
      <x:c r="H693" s="48"/>
      <x:c r="I693" s="48"/>
      <x:c r="J693" s="48"/>
      <x:c r="K693" s="48"/>
      <x:c r="L693" s="48"/>
      <x:c r="M693" s="48"/>
      <x:c r="N693" s="48"/>
      <x:c r="O693" s="48"/>
      <x:c r="P693" s="48"/>
      <x:c r="Q693" s="48"/>
      <x:c r="R693" s="48"/>
      <x:c r="S693" s="48"/>
      <x:c r="T693" s="48"/>
      <x:c r="U693" s="48"/>
      <x:c r="V693" s="48"/>
      <x:c r="W693" s="48"/>
      <x:c r="X693" s="48"/>
      <x:c r="Y693" s="48"/>
      <x:c r="Z693" s="48"/>
    </x:row>
    <x:row r="694">
      <x:c r="A694" s="48"/>
      <x:c r="B694" s="48"/>
      <x:c r="C694" s="48"/>
      <x:c r="D694" s="48"/>
      <x:c r="E694" s="48"/>
      <x:c r="F694" s="48"/>
      <x:c r="G694" s="48"/>
      <x:c r="H694" s="48"/>
      <x:c r="I694" s="48"/>
      <x:c r="J694" s="48"/>
      <x:c r="K694" s="48"/>
      <x:c r="L694" s="48"/>
      <x:c r="M694" s="48"/>
      <x:c r="N694" s="48"/>
      <x:c r="O694" s="48"/>
      <x:c r="P694" s="48"/>
      <x:c r="Q694" s="48"/>
      <x:c r="R694" s="48"/>
      <x:c r="S694" s="48"/>
      <x:c r="T694" s="48"/>
      <x:c r="U694" s="48"/>
      <x:c r="V694" s="48"/>
      <x:c r="W694" s="48"/>
      <x:c r="X694" s="48"/>
      <x:c r="Y694" s="48"/>
      <x:c r="Z694" s="48"/>
    </x:row>
    <x:row r="695">
      <x:c r="A695" s="48"/>
      <x:c r="B695" s="48"/>
      <x:c r="C695" s="48"/>
      <x:c r="D695" s="48"/>
      <x:c r="E695" s="48"/>
      <x:c r="F695" s="48"/>
      <x:c r="G695" s="48"/>
      <x:c r="H695" s="48"/>
      <x:c r="I695" s="48"/>
      <x:c r="J695" s="48"/>
      <x:c r="K695" s="48"/>
      <x:c r="L695" s="48"/>
      <x:c r="M695" s="48"/>
      <x:c r="N695" s="48"/>
      <x:c r="O695" s="48"/>
      <x:c r="P695" s="48"/>
      <x:c r="Q695" s="48"/>
      <x:c r="R695" s="48"/>
      <x:c r="S695" s="48"/>
      <x:c r="T695" s="48"/>
      <x:c r="U695" s="48"/>
      <x:c r="V695" s="48"/>
      <x:c r="W695" s="48"/>
      <x:c r="X695" s="48"/>
      <x:c r="Y695" s="48"/>
      <x:c r="Z695" s="48"/>
    </x:row>
    <x:row r="696">
      <x:c r="A696" s="48"/>
      <x:c r="B696" s="48"/>
      <x:c r="C696" s="48"/>
      <x:c r="D696" s="48"/>
      <x:c r="E696" s="48"/>
      <x:c r="F696" s="48"/>
      <x:c r="G696" s="48"/>
      <x:c r="H696" s="48"/>
      <x:c r="I696" s="48"/>
      <x:c r="J696" s="48"/>
      <x:c r="K696" s="48"/>
      <x:c r="L696" s="48"/>
      <x:c r="M696" s="48"/>
      <x:c r="N696" s="48"/>
      <x:c r="O696" s="48"/>
      <x:c r="P696" s="48"/>
      <x:c r="Q696" s="48"/>
      <x:c r="R696" s="48"/>
      <x:c r="S696" s="48"/>
      <x:c r="T696" s="48"/>
      <x:c r="U696" s="48"/>
      <x:c r="V696" s="48"/>
      <x:c r="W696" s="48"/>
      <x:c r="X696" s="48"/>
      <x:c r="Y696" s="48"/>
      <x:c r="Z696" s="48"/>
    </x:row>
    <x:row r="697">
      <x:c r="A697" s="48"/>
      <x:c r="B697" s="48"/>
      <x:c r="C697" s="48"/>
      <x:c r="D697" s="48"/>
      <x:c r="E697" s="48"/>
      <x:c r="F697" s="48"/>
      <x:c r="G697" s="48"/>
      <x:c r="H697" s="48"/>
      <x:c r="I697" s="48"/>
      <x:c r="J697" s="48"/>
      <x:c r="K697" s="48"/>
      <x:c r="L697" s="48"/>
      <x:c r="M697" s="48"/>
      <x:c r="N697" s="48"/>
      <x:c r="O697" s="48"/>
      <x:c r="P697" s="48"/>
      <x:c r="Q697" s="48"/>
      <x:c r="R697" s="48"/>
      <x:c r="S697" s="48"/>
      <x:c r="T697" s="48"/>
      <x:c r="U697" s="48"/>
      <x:c r="V697" s="48"/>
      <x:c r="W697" s="48"/>
      <x:c r="X697" s="48"/>
      <x:c r="Y697" s="48"/>
      <x:c r="Z697" s="48"/>
    </x:row>
    <x:row r="698">
      <x:c r="A698" s="48"/>
      <x:c r="B698" s="48"/>
      <x:c r="C698" s="48"/>
      <x:c r="D698" s="48"/>
      <x:c r="E698" s="48"/>
      <x:c r="F698" s="48"/>
      <x:c r="G698" s="48"/>
      <x:c r="H698" s="48"/>
      <x:c r="I698" s="48"/>
      <x:c r="J698" s="48"/>
      <x:c r="K698" s="48"/>
      <x:c r="L698" s="48"/>
      <x:c r="M698" s="48"/>
      <x:c r="N698" s="48"/>
      <x:c r="O698" s="48"/>
      <x:c r="P698" s="48"/>
      <x:c r="Q698" s="48"/>
      <x:c r="R698" s="48"/>
      <x:c r="S698" s="48"/>
      <x:c r="T698" s="48"/>
      <x:c r="U698" s="48"/>
      <x:c r="V698" s="48"/>
      <x:c r="W698" s="48"/>
      <x:c r="X698" s="48"/>
      <x:c r="Y698" s="48"/>
      <x:c r="Z698" s="48"/>
    </x:row>
    <x:row r="699">
      <x:c r="A699" s="48"/>
      <x:c r="B699" s="48"/>
      <x:c r="C699" s="48"/>
      <x:c r="D699" s="48"/>
      <x:c r="E699" s="48"/>
      <x:c r="F699" s="48"/>
      <x:c r="G699" s="48"/>
      <x:c r="H699" s="48"/>
      <x:c r="I699" s="48"/>
      <x:c r="J699" s="48"/>
      <x:c r="K699" s="48"/>
      <x:c r="L699" s="48"/>
      <x:c r="M699" s="48"/>
      <x:c r="N699" s="48"/>
      <x:c r="O699" s="48"/>
      <x:c r="P699" s="48"/>
      <x:c r="Q699" s="48"/>
      <x:c r="R699" s="48"/>
      <x:c r="S699" s="48"/>
      <x:c r="T699" s="48"/>
      <x:c r="U699" s="48"/>
      <x:c r="V699" s="48"/>
      <x:c r="W699" s="48"/>
      <x:c r="X699" s="48"/>
      <x:c r="Y699" s="48"/>
      <x:c r="Z699" s="48"/>
    </x:row>
    <x:row r="700">
      <x:c r="A700" s="48"/>
      <x:c r="B700" s="48"/>
      <x:c r="C700" s="48"/>
      <x:c r="D700" s="48"/>
      <x:c r="E700" s="48"/>
      <x:c r="F700" s="48"/>
      <x:c r="G700" s="48"/>
      <x:c r="H700" s="48"/>
      <x:c r="I700" s="48"/>
      <x:c r="J700" s="48"/>
      <x:c r="K700" s="48"/>
      <x:c r="L700" s="48"/>
      <x:c r="M700" s="48"/>
      <x:c r="N700" s="48"/>
      <x:c r="O700" s="48"/>
      <x:c r="P700" s="48"/>
      <x:c r="Q700" s="48"/>
      <x:c r="R700" s="48"/>
      <x:c r="S700" s="48"/>
      <x:c r="T700" s="48"/>
      <x:c r="U700" s="48"/>
      <x:c r="V700" s="48"/>
      <x:c r="W700" s="48"/>
      <x:c r="X700" s="48"/>
      <x:c r="Y700" s="48"/>
      <x:c r="Z700" s="48"/>
    </x:row>
    <x:row r="701">
      <x:c r="A701" s="48"/>
      <x:c r="B701" s="48"/>
      <x:c r="C701" s="48"/>
      <x:c r="D701" s="48"/>
      <x:c r="E701" s="48"/>
      <x:c r="F701" s="48"/>
      <x:c r="G701" s="48"/>
      <x:c r="H701" s="48"/>
      <x:c r="I701" s="48"/>
      <x:c r="J701" s="48"/>
      <x:c r="K701" s="48"/>
      <x:c r="L701" s="48"/>
      <x:c r="M701" s="48"/>
      <x:c r="N701" s="48"/>
      <x:c r="O701" s="48"/>
      <x:c r="P701" s="48"/>
      <x:c r="Q701" s="48"/>
      <x:c r="R701" s="48"/>
      <x:c r="S701" s="48"/>
      <x:c r="T701" s="48"/>
      <x:c r="U701" s="48"/>
      <x:c r="V701" s="48"/>
      <x:c r="W701" s="48"/>
      <x:c r="X701" s="48"/>
      <x:c r="Y701" s="48"/>
      <x:c r="Z701" s="48"/>
    </x:row>
    <x:row r="702">
      <x:c r="A702" s="48"/>
      <x:c r="B702" s="48"/>
      <x:c r="C702" s="48"/>
      <x:c r="D702" s="48"/>
      <x:c r="E702" s="48"/>
      <x:c r="F702" s="48"/>
      <x:c r="G702" s="48"/>
      <x:c r="H702" s="48"/>
      <x:c r="I702" s="48"/>
      <x:c r="J702" s="48"/>
      <x:c r="K702" s="48"/>
      <x:c r="L702" s="48"/>
      <x:c r="M702" s="48"/>
      <x:c r="N702" s="48"/>
      <x:c r="O702" s="48"/>
      <x:c r="P702" s="48"/>
      <x:c r="Q702" s="48"/>
      <x:c r="R702" s="48"/>
      <x:c r="S702" s="48"/>
      <x:c r="T702" s="48"/>
      <x:c r="U702" s="48"/>
      <x:c r="V702" s="48"/>
      <x:c r="W702" s="48"/>
      <x:c r="X702" s="48"/>
      <x:c r="Y702" s="48"/>
      <x:c r="Z702" s="48"/>
    </x:row>
    <x:row r="703">
      <x:c r="A703" s="48"/>
      <x:c r="B703" s="48"/>
      <x:c r="C703" s="48"/>
      <x:c r="D703" s="48"/>
      <x:c r="E703" s="48"/>
      <x:c r="F703" s="48"/>
      <x:c r="G703" s="48"/>
      <x:c r="H703" s="48"/>
      <x:c r="I703" s="48"/>
      <x:c r="J703" s="48"/>
      <x:c r="K703" s="48"/>
      <x:c r="L703" s="48"/>
      <x:c r="M703" s="48"/>
      <x:c r="N703" s="48"/>
      <x:c r="O703" s="48"/>
      <x:c r="P703" s="48"/>
      <x:c r="Q703" s="48"/>
      <x:c r="R703" s="48"/>
      <x:c r="S703" s="48"/>
      <x:c r="T703" s="48"/>
      <x:c r="U703" s="48"/>
      <x:c r="V703" s="48"/>
      <x:c r="W703" s="48"/>
      <x:c r="X703" s="48"/>
      <x:c r="Y703" s="48"/>
      <x:c r="Z703" s="48"/>
    </x:row>
    <x:row r="704">
      <x:c r="A704" s="48"/>
      <x:c r="B704" s="48"/>
      <x:c r="C704" s="48"/>
      <x:c r="D704" s="48"/>
      <x:c r="E704" s="48"/>
      <x:c r="F704" s="48"/>
      <x:c r="G704" s="48"/>
      <x:c r="H704" s="48"/>
      <x:c r="I704" s="48"/>
      <x:c r="J704" s="48"/>
      <x:c r="K704" s="48"/>
      <x:c r="L704" s="48"/>
      <x:c r="M704" s="48"/>
      <x:c r="N704" s="48"/>
      <x:c r="O704" s="48"/>
      <x:c r="P704" s="48"/>
      <x:c r="Q704" s="48"/>
      <x:c r="R704" s="48"/>
      <x:c r="S704" s="48"/>
      <x:c r="T704" s="48"/>
      <x:c r="U704" s="48"/>
      <x:c r="V704" s="48"/>
      <x:c r="W704" s="48"/>
      <x:c r="X704" s="48"/>
      <x:c r="Y704" s="48"/>
      <x:c r="Z704" s="48"/>
    </x:row>
    <x:row r="705">
      <x:c r="A705" s="48"/>
      <x:c r="B705" s="48"/>
      <x:c r="C705" s="48"/>
      <x:c r="D705" s="48"/>
      <x:c r="E705" s="48"/>
      <x:c r="F705" s="48"/>
      <x:c r="G705" s="48"/>
      <x:c r="H705" s="48"/>
      <x:c r="I705" s="48"/>
      <x:c r="J705" s="48"/>
      <x:c r="K705" s="48"/>
      <x:c r="L705" s="48"/>
      <x:c r="M705" s="48"/>
      <x:c r="N705" s="48"/>
      <x:c r="O705" s="48"/>
      <x:c r="P705" s="48"/>
      <x:c r="Q705" s="48"/>
      <x:c r="R705" s="48"/>
      <x:c r="S705" s="48"/>
      <x:c r="T705" s="48"/>
      <x:c r="U705" s="48"/>
      <x:c r="V705" s="48"/>
      <x:c r="W705" s="48"/>
      <x:c r="X705" s="48"/>
      <x:c r="Y705" s="48"/>
      <x:c r="Z705" s="48"/>
    </x:row>
    <x:row r="706">
      <x:c r="A706" s="48"/>
      <x:c r="B706" s="48"/>
      <x:c r="C706" s="48"/>
      <x:c r="D706" s="48"/>
      <x:c r="E706" s="48"/>
      <x:c r="F706" s="48"/>
      <x:c r="G706" s="48"/>
      <x:c r="H706" s="48"/>
      <x:c r="I706" s="48"/>
      <x:c r="J706" s="48"/>
      <x:c r="K706" s="48"/>
      <x:c r="L706" s="48"/>
      <x:c r="M706" s="48"/>
      <x:c r="N706" s="48"/>
      <x:c r="O706" s="48"/>
      <x:c r="P706" s="48"/>
      <x:c r="Q706" s="48"/>
      <x:c r="R706" s="48"/>
      <x:c r="S706" s="48"/>
      <x:c r="T706" s="48"/>
      <x:c r="U706" s="48"/>
      <x:c r="V706" s="48"/>
      <x:c r="W706" s="48"/>
      <x:c r="X706" s="48"/>
      <x:c r="Y706" s="48"/>
      <x:c r="Z706" s="48"/>
    </x:row>
    <x:row r="707">
      <x:c r="A707" s="48"/>
      <x:c r="B707" s="48"/>
      <x:c r="C707" s="48"/>
      <x:c r="D707" s="48"/>
      <x:c r="E707" s="48"/>
      <x:c r="F707" s="48"/>
      <x:c r="G707" s="48"/>
      <x:c r="H707" s="48"/>
      <x:c r="I707" s="48"/>
      <x:c r="J707" s="48"/>
      <x:c r="K707" s="48"/>
      <x:c r="L707" s="48"/>
      <x:c r="M707" s="48"/>
      <x:c r="N707" s="48"/>
      <x:c r="O707" s="48"/>
      <x:c r="P707" s="48"/>
      <x:c r="Q707" s="48"/>
      <x:c r="R707" s="48"/>
      <x:c r="S707" s="48"/>
      <x:c r="T707" s="48"/>
      <x:c r="U707" s="48"/>
      <x:c r="V707" s="48"/>
      <x:c r="W707" s="48"/>
      <x:c r="X707" s="48"/>
      <x:c r="Y707" s="48"/>
      <x:c r="Z707" s="48"/>
    </x:row>
    <x:row r="708">
      <x:c r="A708" s="48"/>
      <x:c r="B708" s="48"/>
      <x:c r="C708" s="48"/>
      <x:c r="D708" s="48"/>
      <x:c r="E708" s="48"/>
      <x:c r="F708" s="48"/>
      <x:c r="G708" s="48"/>
      <x:c r="H708" s="48"/>
      <x:c r="I708" s="48"/>
      <x:c r="J708" s="48"/>
      <x:c r="K708" s="48"/>
      <x:c r="L708" s="48"/>
      <x:c r="M708" s="48"/>
      <x:c r="N708" s="48"/>
      <x:c r="O708" s="48"/>
      <x:c r="P708" s="48"/>
      <x:c r="Q708" s="48"/>
      <x:c r="R708" s="48"/>
      <x:c r="S708" s="48"/>
      <x:c r="T708" s="48"/>
      <x:c r="U708" s="48"/>
      <x:c r="V708" s="48"/>
      <x:c r="W708" s="48"/>
      <x:c r="X708" s="48"/>
      <x:c r="Y708" s="48"/>
      <x:c r="Z708" s="48"/>
    </x:row>
    <x:row r="709">
      <x:c r="A709" s="48"/>
      <x:c r="B709" s="48"/>
      <x:c r="C709" s="48"/>
      <x:c r="D709" s="48"/>
      <x:c r="E709" s="48"/>
      <x:c r="F709" s="48"/>
      <x:c r="G709" s="48"/>
      <x:c r="H709" s="48"/>
      <x:c r="I709" s="48"/>
      <x:c r="J709" s="48"/>
      <x:c r="K709" s="48"/>
      <x:c r="L709" s="48"/>
      <x:c r="M709" s="48"/>
      <x:c r="N709" s="48"/>
      <x:c r="O709" s="48"/>
      <x:c r="P709" s="48"/>
      <x:c r="Q709" s="48"/>
      <x:c r="R709" s="48"/>
      <x:c r="S709" s="48"/>
      <x:c r="T709" s="48"/>
      <x:c r="U709" s="48"/>
      <x:c r="V709" s="48"/>
      <x:c r="W709" s="48"/>
      <x:c r="X709" s="48"/>
      <x:c r="Y709" s="48"/>
      <x:c r="Z709" s="48"/>
    </x:row>
    <x:row r="710">
      <x:c r="A710" s="48"/>
      <x:c r="B710" s="48"/>
      <x:c r="C710" s="48"/>
      <x:c r="D710" s="48"/>
      <x:c r="E710" s="48"/>
      <x:c r="F710" s="48"/>
      <x:c r="G710" s="48"/>
      <x:c r="H710" s="48"/>
      <x:c r="I710" s="48"/>
      <x:c r="J710" s="48"/>
      <x:c r="K710" s="48"/>
      <x:c r="L710" s="48"/>
      <x:c r="M710" s="48"/>
      <x:c r="N710" s="48"/>
      <x:c r="O710" s="48"/>
      <x:c r="P710" s="48"/>
      <x:c r="Q710" s="48"/>
      <x:c r="R710" s="48"/>
      <x:c r="S710" s="48"/>
      <x:c r="T710" s="48"/>
      <x:c r="U710" s="48"/>
      <x:c r="V710" s="48"/>
      <x:c r="W710" s="48"/>
      <x:c r="X710" s="48"/>
      <x:c r="Y710" s="48"/>
      <x:c r="Z710" s="48"/>
    </x:row>
    <x:row r="711">
      <x:c r="A711" s="48"/>
      <x:c r="B711" s="48"/>
      <x:c r="C711" s="48"/>
      <x:c r="D711" s="48"/>
      <x:c r="E711" s="48"/>
      <x:c r="F711" s="48"/>
      <x:c r="G711" s="48"/>
      <x:c r="H711" s="48"/>
      <x:c r="I711" s="48"/>
      <x:c r="J711" s="48"/>
      <x:c r="K711" s="48"/>
      <x:c r="L711" s="48"/>
      <x:c r="M711" s="48"/>
      <x:c r="N711" s="48"/>
      <x:c r="O711" s="48"/>
      <x:c r="P711" s="48"/>
      <x:c r="Q711" s="48"/>
      <x:c r="R711" s="48"/>
      <x:c r="S711" s="48"/>
      <x:c r="T711" s="48"/>
      <x:c r="U711" s="48"/>
      <x:c r="V711" s="48"/>
      <x:c r="W711" s="48"/>
      <x:c r="X711" s="48"/>
      <x:c r="Y711" s="48"/>
      <x:c r="Z711" s="48"/>
    </x:row>
    <x:row r="712">
      <x:c r="A712" s="48"/>
      <x:c r="B712" s="48"/>
      <x:c r="C712" s="48"/>
      <x:c r="D712" s="48"/>
      <x:c r="E712" s="48"/>
      <x:c r="F712" s="48"/>
      <x:c r="G712" s="48"/>
      <x:c r="H712" s="48"/>
      <x:c r="I712" s="48"/>
      <x:c r="J712" s="48"/>
      <x:c r="K712" s="48"/>
      <x:c r="L712" s="48"/>
      <x:c r="M712" s="48"/>
      <x:c r="N712" s="48"/>
      <x:c r="O712" s="48"/>
      <x:c r="P712" s="48"/>
      <x:c r="Q712" s="48"/>
      <x:c r="R712" s="48"/>
      <x:c r="S712" s="48"/>
      <x:c r="T712" s="48"/>
      <x:c r="U712" s="48"/>
      <x:c r="V712" s="48"/>
      <x:c r="W712" s="48"/>
      <x:c r="X712" s="48"/>
      <x:c r="Y712" s="48"/>
      <x:c r="Z712" s="48"/>
    </x:row>
    <x:row r="713">
      <x:c r="A713" s="48"/>
      <x:c r="B713" s="48"/>
      <x:c r="C713" s="48"/>
      <x:c r="D713" s="48"/>
      <x:c r="E713" s="48"/>
      <x:c r="F713" s="48"/>
      <x:c r="G713" s="48"/>
      <x:c r="H713" s="48"/>
      <x:c r="I713" s="48"/>
      <x:c r="J713" s="48"/>
      <x:c r="K713" s="48"/>
      <x:c r="L713" s="48"/>
      <x:c r="M713" s="48"/>
      <x:c r="N713" s="48"/>
      <x:c r="O713" s="48"/>
      <x:c r="P713" s="48"/>
      <x:c r="Q713" s="48"/>
      <x:c r="R713" s="48"/>
      <x:c r="S713" s="48"/>
      <x:c r="T713" s="48"/>
      <x:c r="U713" s="48"/>
      <x:c r="V713" s="48"/>
      <x:c r="W713" s="48"/>
      <x:c r="X713" s="48"/>
      <x:c r="Y713" s="48"/>
      <x:c r="Z713" s="48"/>
    </x:row>
    <x:row r="714">
      <x:c r="A714" s="48"/>
      <x:c r="B714" s="48"/>
      <x:c r="C714" s="48"/>
      <x:c r="D714" s="48"/>
      <x:c r="E714" s="48"/>
      <x:c r="F714" s="48"/>
      <x:c r="G714" s="48"/>
      <x:c r="H714" s="48"/>
      <x:c r="I714" s="48"/>
      <x:c r="J714" s="48"/>
      <x:c r="K714" s="48"/>
      <x:c r="L714" s="48"/>
      <x:c r="M714" s="48"/>
      <x:c r="N714" s="48"/>
      <x:c r="O714" s="48"/>
      <x:c r="P714" s="48"/>
      <x:c r="Q714" s="48"/>
      <x:c r="R714" s="48"/>
      <x:c r="S714" s="48"/>
      <x:c r="T714" s="48"/>
      <x:c r="U714" s="48"/>
      <x:c r="V714" s="48"/>
      <x:c r="W714" s="48"/>
      <x:c r="X714" s="48"/>
      <x:c r="Y714" s="48"/>
      <x:c r="Z714" s="48"/>
    </x:row>
    <x:row r="715">
      <x:c r="A715" s="48"/>
      <x:c r="B715" s="48"/>
      <x:c r="C715" s="48"/>
      <x:c r="D715" s="48"/>
      <x:c r="E715" s="48"/>
      <x:c r="F715" s="48"/>
      <x:c r="G715" s="48"/>
      <x:c r="H715" s="48"/>
      <x:c r="I715" s="48"/>
      <x:c r="J715" s="48"/>
      <x:c r="K715" s="48"/>
      <x:c r="L715" s="48"/>
      <x:c r="M715" s="48"/>
      <x:c r="N715" s="48"/>
      <x:c r="O715" s="48"/>
      <x:c r="P715" s="48"/>
      <x:c r="Q715" s="48"/>
      <x:c r="R715" s="48"/>
      <x:c r="S715" s="48"/>
      <x:c r="T715" s="48"/>
      <x:c r="U715" s="48"/>
      <x:c r="V715" s="48"/>
      <x:c r="W715" s="48"/>
      <x:c r="X715" s="48"/>
      <x:c r="Y715" s="48"/>
      <x:c r="Z715" s="48"/>
    </x:row>
    <x:row r="716">
      <x:c r="A716" s="48"/>
      <x:c r="B716" s="48"/>
      <x:c r="C716" s="48"/>
      <x:c r="D716" s="48"/>
      <x:c r="E716" s="48"/>
      <x:c r="F716" s="48"/>
      <x:c r="G716" s="48"/>
      <x:c r="H716" s="48"/>
      <x:c r="I716" s="48"/>
      <x:c r="J716" s="48"/>
      <x:c r="K716" s="48"/>
      <x:c r="L716" s="48"/>
      <x:c r="M716" s="48"/>
      <x:c r="N716" s="48"/>
      <x:c r="O716" s="48"/>
      <x:c r="P716" s="48"/>
      <x:c r="Q716" s="48"/>
      <x:c r="R716" s="48"/>
      <x:c r="S716" s="48"/>
      <x:c r="T716" s="48"/>
      <x:c r="U716" s="48"/>
      <x:c r="V716" s="48"/>
      <x:c r="W716" s="48"/>
      <x:c r="X716" s="48"/>
      <x:c r="Y716" s="48"/>
      <x:c r="Z716" s="48"/>
    </x:row>
    <x:row r="717">
      <x:c r="A717" s="48"/>
      <x:c r="B717" s="48"/>
      <x:c r="C717" s="48"/>
      <x:c r="D717" s="48"/>
      <x:c r="E717" s="48"/>
      <x:c r="F717" s="48"/>
      <x:c r="G717" s="48"/>
      <x:c r="H717" s="48"/>
      <x:c r="I717" s="48"/>
      <x:c r="J717" s="48"/>
      <x:c r="K717" s="48"/>
      <x:c r="L717" s="48"/>
      <x:c r="M717" s="48"/>
      <x:c r="N717" s="48"/>
      <x:c r="O717" s="48"/>
      <x:c r="P717" s="48"/>
      <x:c r="Q717" s="48"/>
      <x:c r="R717" s="48"/>
      <x:c r="S717" s="48"/>
      <x:c r="T717" s="48"/>
      <x:c r="U717" s="48"/>
      <x:c r="V717" s="48"/>
      <x:c r="W717" s="48"/>
      <x:c r="X717" s="48"/>
      <x:c r="Y717" s="48"/>
      <x:c r="Z717" s="48"/>
    </x:row>
    <x:row r="718">
      <x:c r="A718" s="48"/>
      <x:c r="B718" s="48"/>
      <x:c r="C718" s="48"/>
      <x:c r="D718" s="48"/>
      <x:c r="E718" s="48"/>
      <x:c r="F718" s="48"/>
      <x:c r="G718" s="48"/>
      <x:c r="H718" s="48"/>
      <x:c r="I718" s="48"/>
      <x:c r="J718" s="48"/>
      <x:c r="K718" s="48"/>
      <x:c r="L718" s="48"/>
      <x:c r="M718" s="48"/>
      <x:c r="N718" s="48"/>
      <x:c r="O718" s="48"/>
      <x:c r="P718" s="48"/>
      <x:c r="Q718" s="48"/>
      <x:c r="R718" s="48"/>
      <x:c r="S718" s="48"/>
      <x:c r="T718" s="48"/>
      <x:c r="U718" s="48"/>
      <x:c r="V718" s="48"/>
      <x:c r="W718" s="48"/>
      <x:c r="X718" s="48"/>
      <x:c r="Y718" s="48"/>
      <x:c r="Z718" s="48"/>
    </x:row>
    <x:row r="719">
      <x:c r="A719" s="48"/>
      <x:c r="B719" s="48"/>
      <x:c r="C719" s="48"/>
      <x:c r="D719" s="48"/>
      <x:c r="E719" s="48"/>
      <x:c r="F719" s="48"/>
      <x:c r="G719" s="48"/>
      <x:c r="H719" s="48"/>
      <x:c r="I719" s="48"/>
      <x:c r="J719" s="48"/>
      <x:c r="K719" s="48"/>
      <x:c r="L719" s="48"/>
      <x:c r="M719" s="48"/>
      <x:c r="N719" s="48"/>
      <x:c r="O719" s="48"/>
      <x:c r="P719" s="48"/>
      <x:c r="Q719" s="48"/>
      <x:c r="R719" s="48"/>
      <x:c r="S719" s="48"/>
      <x:c r="T719" s="48"/>
      <x:c r="U719" s="48"/>
      <x:c r="V719" s="48"/>
      <x:c r="W719" s="48"/>
      <x:c r="X719" s="48"/>
      <x:c r="Y719" s="48"/>
      <x:c r="Z719" s="48"/>
    </x:row>
    <x:row r="720">
      <x:c r="A720" s="48"/>
      <x:c r="B720" s="48"/>
      <x:c r="C720" s="48"/>
      <x:c r="D720" s="48"/>
      <x:c r="E720" s="48"/>
      <x:c r="F720" s="48"/>
      <x:c r="G720" s="48"/>
      <x:c r="H720" s="48"/>
      <x:c r="I720" s="48"/>
      <x:c r="J720" s="48"/>
      <x:c r="K720" s="48"/>
      <x:c r="L720" s="48"/>
      <x:c r="M720" s="48"/>
      <x:c r="N720" s="48"/>
      <x:c r="O720" s="48"/>
      <x:c r="P720" s="48"/>
      <x:c r="Q720" s="48"/>
      <x:c r="R720" s="48"/>
      <x:c r="S720" s="48"/>
      <x:c r="T720" s="48"/>
      <x:c r="U720" s="48"/>
      <x:c r="V720" s="48"/>
      <x:c r="W720" s="48"/>
      <x:c r="X720" s="48"/>
      <x:c r="Y720" s="48"/>
      <x:c r="Z720" s="48"/>
    </x:row>
    <x:row r="721">
      <x:c r="A721" s="48"/>
      <x:c r="B721" s="48"/>
      <x:c r="C721" s="48"/>
      <x:c r="D721" s="48"/>
      <x:c r="E721" s="48"/>
      <x:c r="F721" s="48"/>
      <x:c r="G721" s="48"/>
      <x:c r="H721" s="48"/>
      <x:c r="I721" s="48"/>
      <x:c r="J721" s="48"/>
      <x:c r="K721" s="48"/>
      <x:c r="L721" s="48"/>
      <x:c r="M721" s="48"/>
      <x:c r="N721" s="48"/>
      <x:c r="O721" s="48"/>
      <x:c r="P721" s="48"/>
      <x:c r="Q721" s="48"/>
      <x:c r="R721" s="48"/>
      <x:c r="S721" s="48"/>
      <x:c r="T721" s="48"/>
      <x:c r="U721" s="48"/>
      <x:c r="V721" s="48"/>
      <x:c r="W721" s="48"/>
      <x:c r="X721" s="48"/>
      <x:c r="Y721" s="48"/>
      <x:c r="Z721" s="48"/>
    </x:row>
    <x:row r="722">
      <x:c r="A722" s="48"/>
      <x:c r="B722" s="48"/>
      <x:c r="C722" s="48"/>
      <x:c r="D722" s="48"/>
      <x:c r="E722" s="48"/>
      <x:c r="F722" s="48"/>
      <x:c r="G722" s="48"/>
      <x:c r="H722" s="48"/>
      <x:c r="I722" s="48"/>
      <x:c r="J722" s="48"/>
      <x:c r="K722" s="48"/>
      <x:c r="L722" s="48"/>
      <x:c r="M722" s="48"/>
      <x:c r="N722" s="48"/>
      <x:c r="O722" s="48"/>
      <x:c r="P722" s="48"/>
      <x:c r="Q722" s="48"/>
      <x:c r="R722" s="48"/>
      <x:c r="S722" s="48"/>
      <x:c r="T722" s="48"/>
      <x:c r="U722" s="48"/>
      <x:c r="V722" s="48"/>
      <x:c r="W722" s="48"/>
      <x:c r="X722" s="48"/>
      <x:c r="Y722" s="48"/>
      <x:c r="Z722" s="48"/>
    </x:row>
    <x:row r="723">
      <x:c r="A723" s="48"/>
      <x:c r="B723" s="48"/>
      <x:c r="C723" s="48"/>
      <x:c r="D723" s="48"/>
      <x:c r="E723" s="48"/>
      <x:c r="F723" s="48"/>
      <x:c r="G723" s="48"/>
      <x:c r="H723" s="48"/>
      <x:c r="I723" s="48"/>
      <x:c r="J723" s="48"/>
      <x:c r="K723" s="48"/>
      <x:c r="L723" s="48"/>
      <x:c r="M723" s="48"/>
      <x:c r="N723" s="48"/>
      <x:c r="O723" s="48"/>
      <x:c r="P723" s="48"/>
      <x:c r="Q723" s="48"/>
      <x:c r="R723" s="48"/>
      <x:c r="S723" s="48"/>
      <x:c r="T723" s="48"/>
      <x:c r="U723" s="48"/>
      <x:c r="V723" s="48"/>
      <x:c r="W723" s="48"/>
      <x:c r="X723" s="48"/>
      <x:c r="Y723" s="48"/>
      <x:c r="Z723" s="48"/>
    </x:row>
    <x:row r="724">
      <x:c r="A724" s="48"/>
      <x:c r="B724" s="48"/>
      <x:c r="C724" s="48"/>
      <x:c r="D724" s="48"/>
      <x:c r="E724" s="48"/>
      <x:c r="F724" s="48"/>
      <x:c r="G724" s="48"/>
      <x:c r="H724" s="48"/>
      <x:c r="I724" s="48"/>
      <x:c r="J724" s="48"/>
      <x:c r="K724" s="48"/>
      <x:c r="L724" s="48"/>
      <x:c r="M724" s="48"/>
      <x:c r="N724" s="48"/>
      <x:c r="O724" s="48"/>
      <x:c r="P724" s="48"/>
      <x:c r="Q724" s="48"/>
      <x:c r="R724" s="48"/>
      <x:c r="S724" s="48"/>
      <x:c r="T724" s="48"/>
      <x:c r="U724" s="48"/>
      <x:c r="V724" s="48"/>
      <x:c r="W724" s="48"/>
      <x:c r="X724" s="48"/>
      <x:c r="Y724" s="48"/>
      <x:c r="Z724" s="48"/>
    </x:row>
    <x:row r="725">
      <x:c r="A725" s="48"/>
      <x:c r="B725" s="48"/>
      <x:c r="C725" s="48"/>
      <x:c r="D725" s="48"/>
      <x:c r="E725" s="48"/>
      <x:c r="F725" s="48"/>
      <x:c r="G725" s="48"/>
      <x:c r="H725" s="48"/>
      <x:c r="I725" s="48"/>
      <x:c r="J725" s="48"/>
      <x:c r="K725" s="48"/>
      <x:c r="L725" s="48"/>
      <x:c r="M725" s="48"/>
      <x:c r="N725" s="48"/>
      <x:c r="O725" s="48"/>
      <x:c r="P725" s="48"/>
      <x:c r="Q725" s="48"/>
      <x:c r="R725" s="48"/>
      <x:c r="S725" s="48"/>
      <x:c r="T725" s="48"/>
      <x:c r="U725" s="48"/>
      <x:c r="V725" s="48"/>
      <x:c r="W725" s="48"/>
      <x:c r="X725" s="48"/>
      <x:c r="Y725" s="48"/>
      <x:c r="Z725" s="48"/>
    </x:row>
    <x:row r="726">
      <x:c r="A726" s="48"/>
      <x:c r="B726" s="48"/>
      <x:c r="C726" s="48"/>
      <x:c r="D726" s="48"/>
      <x:c r="E726" s="48"/>
      <x:c r="F726" s="48"/>
      <x:c r="G726" s="48"/>
      <x:c r="H726" s="48"/>
      <x:c r="I726" s="48"/>
      <x:c r="J726" s="48"/>
      <x:c r="K726" s="48"/>
      <x:c r="L726" s="48"/>
      <x:c r="M726" s="48"/>
      <x:c r="N726" s="48"/>
      <x:c r="O726" s="48"/>
      <x:c r="P726" s="48"/>
      <x:c r="Q726" s="48"/>
      <x:c r="R726" s="48"/>
      <x:c r="S726" s="48"/>
      <x:c r="T726" s="48"/>
      <x:c r="U726" s="48"/>
      <x:c r="V726" s="48"/>
      <x:c r="W726" s="48"/>
      <x:c r="X726" s="48"/>
      <x:c r="Y726" s="48"/>
      <x:c r="Z726" s="48"/>
    </x:row>
    <x:row r="727">
      <x:c r="A727" s="48"/>
      <x:c r="B727" s="48"/>
      <x:c r="C727" s="48"/>
      <x:c r="D727" s="48"/>
      <x:c r="E727" s="48"/>
      <x:c r="F727" s="48"/>
      <x:c r="G727" s="48"/>
      <x:c r="H727" s="48"/>
      <x:c r="I727" s="48"/>
      <x:c r="J727" s="48"/>
      <x:c r="K727" s="48"/>
      <x:c r="L727" s="48"/>
      <x:c r="M727" s="48"/>
      <x:c r="N727" s="48"/>
      <x:c r="O727" s="48"/>
      <x:c r="P727" s="48"/>
      <x:c r="Q727" s="48"/>
      <x:c r="R727" s="48"/>
      <x:c r="S727" s="48"/>
      <x:c r="T727" s="48"/>
      <x:c r="U727" s="48"/>
      <x:c r="V727" s="48"/>
      <x:c r="W727" s="48"/>
      <x:c r="X727" s="48"/>
      <x:c r="Y727" s="48"/>
      <x:c r="Z727" s="48"/>
    </x:row>
    <x:row r="728">
      <x:c r="A728" s="48"/>
      <x:c r="B728" s="48"/>
      <x:c r="C728" s="48"/>
      <x:c r="D728" s="48"/>
      <x:c r="E728" s="48"/>
      <x:c r="F728" s="48"/>
      <x:c r="G728" s="48"/>
      <x:c r="H728" s="48"/>
      <x:c r="I728" s="48"/>
      <x:c r="J728" s="48"/>
      <x:c r="K728" s="48"/>
      <x:c r="L728" s="48"/>
      <x:c r="M728" s="48"/>
      <x:c r="N728" s="48"/>
      <x:c r="O728" s="48"/>
      <x:c r="P728" s="48"/>
      <x:c r="Q728" s="48"/>
      <x:c r="R728" s="48"/>
      <x:c r="S728" s="48"/>
      <x:c r="T728" s="48"/>
      <x:c r="U728" s="48"/>
      <x:c r="V728" s="48"/>
      <x:c r="W728" s="48"/>
      <x:c r="X728" s="48"/>
      <x:c r="Y728" s="48"/>
      <x:c r="Z728" s="48"/>
    </x:row>
    <x:row r="729">
      <x:c r="A729" s="48"/>
      <x:c r="B729" s="48"/>
      <x:c r="C729" s="48"/>
      <x:c r="D729" s="48"/>
      <x:c r="E729" s="48"/>
      <x:c r="F729" s="48"/>
      <x:c r="G729" s="48"/>
      <x:c r="H729" s="48"/>
      <x:c r="I729" s="48"/>
      <x:c r="J729" s="48"/>
      <x:c r="K729" s="48"/>
      <x:c r="L729" s="48"/>
      <x:c r="M729" s="48"/>
      <x:c r="N729" s="48"/>
      <x:c r="O729" s="48"/>
      <x:c r="P729" s="48"/>
      <x:c r="Q729" s="48"/>
      <x:c r="R729" s="48"/>
      <x:c r="S729" s="48"/>
      <x:c r="T729" s="48"/>
      <x:c r="U729" s="48"/>
      <x:c r="V729" s="48"/>
      <x:c r="W729" s="48"/>
      <x:c r="X729" s="48"/>
      <x:c r="Y729" s="48"/>
      <x:c r="Z729" s="48"/>
    </x:row>
    <x:row r="730">
      <x:c r="A730" s="48"/>
      <x:c r="B730" s="48"/>
      <x:c r="C730" s="48"/>
      <x:c r="D730" s="48"/>
      <x:c r="E730" s="48"/>
      <x:c r="F730" s="48"/>
      <x:c r="G730" s="48"/>
      <x:c r="H730" s="48"/>
      <x:c r="I730" s="48"/>
      <x:c r="J730" s="48"/>
      <x:c r="K730" s="48"/>
      <x:c r="L730" s="48"/>
      <x:c r="M730" s="48"/>
      <x:c r="N730" s="48"/>
      <x:c r="O730" s="48"/>
      <x:c r="P730" s="48"/>
      <x:c r="Q730" s="48"/>
      <x:c r="R730" s="48"/>
      <x:c r="S730" s="48"/>
      <x:c r="T730" s="48"/>
      <x:c r="U730" s="48"/>
      <x:c r="V730" s="48"/>
      <x:c r="W730" s="48"/>
      <x:c r="X730" s="48"/>
      <x:c r="Y730" s="48"/>
      <x:c r="Z730" s="48"/>
    </x:row>
    <x:row r="731">
      <x:c r="A731" s="48"/>
      <x:c r="B731" s="48"/>
      <x:c r="C731" s="48"/>
      <x:c r="D731" s="48"/>
      <x:c r="E731" s="48"/>
      <x:c r="F731" s="48"/>
      <x:c r="G731" s="48"/>
      <x:c r="H731" s="48"/>
      <x:c r="I731" s="48"/>
      <x:c r="J731" s="48"/>
      <x:c r="K731" s="48"/>
      <x:c r="L731" s="48"/>
      <x:c r="M731" s="48"/>
      <x:c r="N731" s="48"/>
      <x:c r="O731" s="48"/>
      <x:c r="P731" s="48"/>
      <x:c r="Q731" s="48"/>
      <x:c r="R731" s="48"/>
      <x:c r="S731" s="48"/>
      <x:c r="T731" s="48"/>
      <x:c r="U731" s="48"/>
      <x:c r="V731" s="48"/>
      <x:c r="W731" s="48"/>
      <x:c r="X731" s="48"/>
      <x:c r="Y731" s="48"/>
      <x:c r="Z731" s="48"/>
    </x:row>
    <x:row r="732">
      <x:c r="A732" s="48"/>
      <x:c r="B732" s="48"/>
      <x:c r="C732" s="48"/>
      <x:c r="D732" s="48"/>
      <x:c r="E732" s="48"/>
      <x:c r="F732" s="48"/>
      <x:c r="G732" s="48"/>
      <x:c r="H732" s="48"/>
      <x:c r="I732" s="48"/>
      <x:c r="J732" s="48"/>
      <x:c r="K732" s="48"/>
      <x:c r="L732" s="48"/>
      <x:c r="M732" s="48"/>
      <x:c r="N732" s="48"/>
      <x:c r="O732" s="48"/>
      <x:c r="P732" s="48"/>
      <x:c r="Q732" s="48"/>
      <x:c r="R732" s="48"/>
      <x:c r="S732" s="48"/>
      <x:c r="T732" s="48"/>
      <x:c r="U732" s="48"/>
      <x:c r="V732" s="48"/>
      <x:c r="W732" s="48"/>
      <x:c r="X732" s="48"/>
      <x:c r="Y732" s="48"/>
      <x:c r="Z732" s="48"/>
    </x:row>
    <x:row r="733">
      <x:c r="A733" s="48"/>
      <x:c r="B733" s="48"/>
      <x:c r="C733" s="48"/>
      <x:c r="D733" s="48"/>
      <x:c r="E733" s="48"/>
      <x:c r="F733" s="48"/>
      <x:c r="G733" s="48"/>
      <x:c r="H733" s="48"/>
      <x:c r="I733" s="48"/>
      <x:c r="J733" s="48"/>
      <x:c r="K733" s="48"/>
      <x:c r="L733" s="48"/>
      <x:c r="M733" s="48"/>
      <x:c r="N733" s="48"/>
      <x:c r="O733" s="48"/>
      <x:c r="P733" s="48"/>
      <x:c r="Q733" s="48"/>
      <x:c r="R733" s="48"/>
      <x:c r="S733" s="48"/>
      <x:c r="T733" s="48"/>
      <x:c r="U733" s="48"/>
      <x:c r="V733" s="48"/>
      <x:c r="W733" s="48"/>
      <x:c r="X733" s="48"/>
      <x:c r="Y733" s="48"/>
      <x:c r="Z733" s="48"/>
    </x:row>
    <x:row r="734">
      <x:c r="A734" s="48"/>
      <x:c r="B734" s="48"/>
      <x:c r="C734" s="48"/>
      <x:c r="D734" s="48"/>
      <x:c r="E734" s="48"/>
      <x:c r="F734" s="48"/>
      <x:c r="G734" s="48"/>
      <x:c r="H734" s="48"/>
      <x:c r="I734" s="48"/>
      <x:c r="J734" s="48"/>
      <x:c r="K734" s="48"/>
      <x:c r="L734" s="48"/>
      <x:c r="M734" s="48"/>
      <x:c r="N734" s="48"/>
      <x:c r="O734" s="48"/>
      <x:c r="P734" s="48"/>
      <x:c r="Q734" s="48"/>
      <x:c r="R734" s="48"/>
      <x:c r="S734" s="48"/>
      <x:c r="T734" s="48"/>
      <x:c r="U734" s="48"/>
      <x:c r="V734" s="48"/>
      <x:c r="W734" s="48"/>
      <x:c r="X734" s="48"/>
      <x:c r="Y734" s="48"/>
      <x:c r="Z734" s="48"/>
    </x:row>
    <x:row r="735">
      <x:c r="A735" s="48"/>
      <x:c r="B735" s="48"/>
      <x:c r="C735" s="48"/>
      <x:c r="D735" s="48"/>
      <x:c r="E735" s="48"/>
      <x:c r="F735" s="48"/>
      <x:c r="G735" s="48"/>
      <x:c r="H735" s="48"/>
      <x:c r="I735" s="48"/>
      <x:c r="J735" s="48"/>
      <x:c r="K735" s="48"/>
      <x:c r="L735" s="48"/>
      <x:c r="M735" s="48"/>
      <x:c r="N735" s="48"/>
      <x:c r="O735" s="48"/>
      <x:c r="P735" s="48"/>
      <x:c r="Q735" s="48"/>
      <x:c r="R735" s="48"/>
      <x:c r="S735" s="48"/>
      <x:c r="T735" s="48"/>
      <x:c r="U735" s="48"/>
      <x:c r="V735" s="48"/>
      <x:c r="W735" s="48"/>
      <x:c r="X735" s="48"/>
      <x:c r="Y735" s="48"/>
      <x:c r="Z735" s="48"/>
    </x:row>
    <x:row r="736">
      <x:c r="A736" s="48"/>
      <x:c r="B736" s="48"/>
      <x:c r="C736" s="48"/>
      <x:c r="D736" s="48"/>
      <x:c r="E736" s="48"/>
      <x:c r="F736" s="48"/>
      <x:c r="G736" s="48"/>
      <x:c r="H736" s="48"/>
      <x:c r="I736" s="48"/>
      <x:c r="J736" s="48"/>
      <x:c r="K736" s="48"/>
      <x:c r="L736" s="48"/>
      <x:c r="M736" s="48"/>
      <x:c r="N736" s="48"/>
      <x:c r="O736" s="48"/>
      <x:c r="P736" s="48"/>
      <x:c r="Q736" s="48"/>
      <x:c r="R736" s="48"/>
      <x:c r="S736" s="48"/>
      <x:c r="T736" s="48"/>
      <x:c r="U736" s="48"/>
      <x:c r="V736" s="48"/>
      <x:c r="W736" s="48"/>
      <x:c r="X736" s="48"/>
      <x:c r="Y736" s="48"/>
      <x:c r="Z736" s="48"/>
    </x:row>
    <x:row r="737">
      <x:c r="A737" s="48"/>
      <x:c r="B737" s="48"/>
      <x:c r="C737" s="48"/>
      <x:c r="D737" s="48"/>
      <x:c r="E737" s="48"/>
      <x:c r="F737" s="48"/>
      <x:c r="G737" s="48"/>
      <x:c r="H737" s="48"/>
      <x:c r="I737" s="48"/>
      <x:c r="J737" s="48"/>
      <x:c r="K737" s="48"/>
      <x:c r="L737" s="48"/>
      <x:c r="M737" s="48"/>
      <x:c r="N737" s="48"/>
      <x:c r="O737" s="48"/>
      <x:c r="P737" s="48"/>
      <x:c r="Q737" s="48"/>
      <x:c r="R737" s="48"/>
      <x:c r="S737" s="48"/>
      <x:c r="T737" s="48"/>
      <x:c r="U737" s="48"/>
      <x:c r="V737" s="48"/>
      <x:c r="W737" s="48"/>
      <x:c r="X737" s="48"/>
      <x:c r="Y737" s="48"/>
      <x:c r="Z737" s="48"/>
    </x:row>
    <x:row r="738">
      <x:c r="A738" s="48"/>
      <x:c r="B738" s="48"/>
      <x:c r="C738" s="48"/>
      <x:c r="D738" s="48"/>
      <x:c r="E738" s="48"/>
      <x:c r="F738" s="48"/>
      <x:c r="G738" s="48"/>
      <x:c r="H738" s="48"/>
      <x:c r="I738" s="48"/>
      <x:c r="J738" s="48"/>
      <x:c r="K738" s="48"/>
      <x:c r="L738" s="48"/>
      <x:c r="M738" s="48"/>
      <x:c r="N738" s="48"/>
      <x:c r="O738" s="48"/>
      <x:c r="P738" s="48"/>
      <x:c r="Q738" s="48"/>
      <x:c r="R738" s="48"/>
      <x:c r="S738" s="48"/>
      <x:c r="T738" s="48"/>
      <x:c r="U738" s="48"/>
      <x:c r="V738" s="48"/>
      <x:c r="W738" s="48"/>
      <x:c r="X738" s="48"/>
      <x:c r="Y738" s="48"/>
      <x:c r="Z738" s="48"/>
    </x:row>
    <x:row r="739">
      <x:c r="A739" s="48"/>
      <x:c r="B739" s="48"/>
      <x:c r="C739" s="48"/>
      <x:c r="D739" s="48"/>
      <x:c r="E739" s="48"/>
      <x:c r="F739" s="48"/>
      <x:c r="G739" s="48"/>
      <x:c r="H739" s="48"/>
      <x:c r="I739" s="48"/>
      <x:c r="J739" s="48"/>
      <x:c r="K739" s="48"/>
      <x:c r="L739" s="48"/>
      <x:c r="M739" s="48"/>
      <x:c r="N739" s="48"/>
      <x:c r="O739" s="48"/>
      <x:c r="P739" s="48"/>
      <x:c r="Q739" s="48"/>
      <x:c r="R739" s="48"/>
      <x:c r="S739" s="48"/>
      <x:c r="T739" s="48"/>
      <x:c r="U739" s="48"/>
      <x:c r="V739" s="48"/>
      <x:c r="W739" s="48"/>
      <x:c r="X739" s="48"/>
      <x:c r="Y739" s="48"/>
      <x:c r="Z739" s="48"/>
    </x:row>
    <x:row r="740">
      <x:c r="A740" s="48"/>
      <x:c r="B740" s="48"/>
      <x:c r="C740" s="48"/>
      <x:c r="D740" s="48"/>
      <x:c r="E740" s="48"/>
      <x:c r="F740" s="48"/>
      <x:c r="G740" s="48"/>
      <x:c r="H740" s="48"/>
      <x:c r="I740" s="48"/>
      <x:c r="J740" s="48"/>
      <x:c r="K740" s="48"/>
      <x:c r="L740" s="48"/>
      <x:c r="M740" s="48"/>
      <x:c r="N740" s="48"/>
      <x:c r="O740" s="48"/>
      <x:c r="P740" s="48"/>
      <x:c r="Q740" s="48"/>
      <x:c r="R740" s="48"/>
      <x:c r="S740" s="48"/>
      <x:c r="T740" s="48"/>
      <x:c r="U740" s="48"/>
      <x:c r="V740" s="48"/>
      <x:c r="W740" s="48"/>
      <x:c r="X740" s="48"/>
      <x:c r="Y740" s="48"/>
      <x:c r="Z740" s="48"/>
    </x:row>
    <x:row r="741">
      <x:c r="A741" s="48"/>
      <x:c r="B741" s="48"/>
      <x:c r="C741" s="48"/>
      <x:c r="D741" s="48"/>
      <x:c r="E741" s="48"/>
      <x:c r="F741" s="48"/>
      <x:c r="G741" s="48"/>
      <x:c r="H741" s="48"/>
      <x:c r="I741" s="48"/>
      <x:c r="J741" s="48"/>
      <x:c r="K741" s="48"/>
      <x:c r="L741" s="48"/>
      <x:c r="M741" s="48"/>
      <x:c r="N741" s="48"/>
      <x:c r="O741" s="48"/>
      <x:c r="P741" s="48"/>
      <x:c r="Q741" s="48"/>
      <x:c r="R741" s="48"/>
      <x:c r="S741" s="48"/>
      <x:c r="T741" s="48"/>
      <x:c r="U741" s="48"/>
      <x:c r="V741" s="48"/>
      <x:c r="W741" s="48"/>
      <x:c r="X741" s="48"/>
      <x:c r="Y741" s="48"/>
      <x:c r="Z741" s="48"/>
    </x:row>
    <x:row r="742">
      <x:c r="A742" s="48"/>
      <x:c r="B742" s="48"/>
      <x:c r="C742" s="48"/>
      <x:c r="D742" s="48"/>
      <x:c r="E742" s="48"/>
      <x:c r="F742" s="48"/>
      <x:c r="G742" s="48"/>
      <x:c r="H742" s="48"/>
      <x:c r="I742" s="48"/>
      <x:c r="J742" s="48"/>
      <x:c r="K742" s="48"/>
      <x:c r="L742" s="48"/>
      <x:c r="M742" s="48"/>
      <x:c r="N742" s="48"/>
      <x:c r="O742" s="48"/>
      <x:c r="P742" s="48"/>
      <x:c r="Q742" s="48"/>
      <x:c r="R742" s="48"/>
      <x:c r="S742" s="48"/>
      <x:c r="T742" s="48"/>
      <x:c r="U742" s="48"/>
      <x:c r="V742" s="48"/>
      <x:c r="W742" s="48"/>
      <x:c r="X742" s="48"/>
      <x:c r="Y742" s="48"/>
      <x:c r="Z742" s="48"/>
    </x:row>
    <x:row r="743">
      <x:c r="A743" s="48"/>
      <x:c r="B743" s="48"/>
      <x:c r="C743" s="48"/>
      <x:c r="D743" s="48"/>
      <x:c r="E743" s="48"/>
      <x:c r="F743" s="48"/>
      <x:c r="G743" s="48"/>
      <x:c r="H743" s="48"/>
      <x:c r="I743" s="48"/>
      <x:c r="J743" s="48"/>
      <x:c r="K743" s="48"/>
      <x:c r="L743" s="48"/>
      <x:c r="M743" s="48"/>
      <x:c r="N743" s="48"/>
      <x:c r="O743" s="48"/>
      <x:c r="P743" s="48"/>
      <x:c r="Q743" s="48"/>
      <x:c r="R743" s="48"/>
      <x:c r="S743" s="48"/>
      <x:c r="T743" s="48"/>
      <x:c r="U743" s="48"/>
      <x:c r="V743" s="48"/>
      <x:c r="W743" s="48"/>
      <x:c r="X743" s="48"/>
      <x:c r="Y743" s="48"/>
      <x:c r="Z743" s="48"/>
    </x:row>
    <x:row r="744">
      <x:c r="A744" s="48"/>
      <x:c r="B744" s="48"/>
      <x:c r="C744" s="48"/>
      <x:c r="D744" s="48"/>
      <x:c r="E744" s="48"/>
      <x:c r="F744" s="48"/>
      <x:c r="G744" s="48"/>
      <x:c r="H744" s="48"/>
      <x:c r="I744" s="48"/>
      <x:c r="J744" s="48"/>
      <x:c r="K744" s="48"/>
      <x:c r="L744" s="48"/>
      <x:c r="M744" s="48"/>
      <x:c r="N744" s="48"/>
      <x:c r="O744" s="48"/>
      <x:c r="P744" s="48"/>
      <x:c r="Q744" s="48"/>
      <x:c r="R744" s="48"/>
      <x:c r="S744" s="48"/>
      <x:c r="T744" s="48"/>
      <x:c r="U744" s="48"/>
      <x:c r="V744" s="48"/>
      <x:c r="W744" s="48"/>
      <x:c r="X744" s="48"/>
      <x:c r="Y744" s="48"/>
      <x:c r="Z744" s="48"/>
    </x:row>
    <x:row r="745">
      <x:c r="A745" s="48"/>
      <x:c r="B745" s="48"/>
      <x:c r="C745" s="48"/>
      <x:c r="D745" s="48"/>
      <x:c r="E745" s="48"/>
      <x:c r="F745" s="48"/>
      <x:c r="G745" s="48"/>
      <x:c r="H745" s="48"/>
      <x:c r="I745" s="48"/>
      <x:c r="J745" s="48"/>
      <x:c r="K745" s="48"/>
      <x:c r="L745" s="48"/>
      <x:c r="M745" s="48"/>
      <x:c r="N745" s="48"/>
      <x:c r="O745" s="48"/>
      <x:c r="P745" s="48"/>
      <x:c r="Q745" s="48"/>
      <x:c r="R745" s="48"/>
      <x:c r="S745" s="48"/>
      <x:c r="T745" s="48"/>
      <x:c r="U745" s="48"/>
      <x:c r="V745" s="48"/>
      <x:c r="W745" s="48"/>
      <x:c r="X745" s="48"/>
      <x:c r="Y745" s="48"/>
      <x:c r="Z745" s="48"/>
    </x:row>
    <x:row r="746">
      <x:c r="A746" s="48"/>
      <x:c r="B746" s="48"/>
      <x:c r="C746" s="48"/>
      <x:c r="D746" s="48"/>
      <x:c r="E746" s="48"/>
      <x:c r="F746" s="48"/>
      <x:c r="G746" s="48"/>
      <x:c r="H746" s="48"/>
      <x:c r="I746" s="48"/>
      <x:c r="J746" s="48"/>
      <x:c r="K746" s="48"/>
      <x:c r="L746" s="48"/>
      <x:c r="M746" s="48"/>
      <x:c r="N746" s="48"/>
      <x:c r="O746" s="48"/>
      <x:c r="P746" s="48"/>
      <x:c r="Q746" s="48"/>
      <x:c r="R746" s="48"/>
      <x:c r="S746" s="48"/>
      <x:c r="T746" s="48"/>
      <x:c r="U746" s="48"/>
      <x:c r="V746" s="48"/>
      <x:c r="W746" s="48"/>
      <x:c r="X746" s="48"/>
      <x:c r="Y746" s="48"/>
      <x:c r="Z746" s="48"/>
    </x:row>
    <x:row r="747">
      <x:c r="A747" s="48"/>
      <x:c r="B747" s="48"/>
      <x:c r="C747" s="48"/>
      <x:c r="D747" s="48"/>
      <x:c r="E747" s="48"/>
      <x:c r="F747" s="48"/>
      <x:c r="G747" s="48"/>
      <x:c r="H747" s="48"/>
      <x:c r="I747" s="48"/>
      <x:c r="J747" s="48"/>
      <x:c r="K747" s="48"/>
      <x:c r="L747" s="48"/>
      <x:c r="M747" s="48"/>
      <x:c r="N747" s="48"/>
      <x:c r="O747" s="48"/>
      <x:c r="P747" s="48"/>
      <x:c r="Q747" s="48"/>
      <x:c r="R747" s="48"/>
      <x:c r="S747" s="48"/>
      <x:c r="T747" s="48"/>
      <x:c r="U747" s="48"/>
      <x:c r="V747" s="48"/>
      <x:c r="W747" s="48"/>
      <x:c r="X747" s="48"/>
      <x:c r="Y747" s="48"/>
      <x:c r="Z747" s="48"/>
    </x:row>
    <x:row r="748">
      <x:c r="A748" s="48"/>
      <x:c r="B748" s="48"/>
      <x:c r="C748" s="48"/>
      <x:c r="D748" s="48"/>
      <x:c r="E748" s="48"/>
      <x:c r="F748" s="48"/>
      <x:c r="G748" s="48"/>
      <x:c r="H748" s="48"/>
      <x:c r="I748" s="48"/>
      <x:c r="J748" s="48"/>
      <x:c r="K748" s="48"/>
      <x:c r="L748" s="48"/>
      <x:c r="M748" s="48"/>
      <x:c r="N748" s="48"/>
      <x:c r="O748" s="48"/>
      <x:c r="P748" s="48"/>
      <x:c r="Q748" s="48"/>
      <x:c r="R748" s="48"/>
      <x:c r="S748" s="48"/>
      <x:c r="T748" s="48"/>
      <x:c r="U748" s="48"/>
      <x:c r="V748" s="48"/>
      <x:c r="W748" s="48"/>
      <x:c r="X748" s="48"/>
      <x:c r="Y748" s="48"/>
      <x:c r="Z748" s="48"/>
    </x:row>
    <x:row r="749">
      <x:c r="A749" s="48"/>
      <x:c r="B749" s="48"/>
      <x:c r="C749" s="48"/>
      <x:c r="D749" s="48"/>
      <x:c r="E749" s="48"/>
      <x:c r="F749" s="48"/>
      <x:c r="G749" s="48"/>
      <x:c r="H749" s="48"/>
      <x:c r="I749" s="48"/>
      <x:c r="J749" s="48"/>
      <x:c r="K749" s="48"/>
      <x:c r="L749" s="48"/>
      <x:c r="M749" s="48"/>
      <x:c r="N749" s="48"/>
      <x:c r="O749" s="48"/>
      <x:c r="P749" s="48"/>
      <x:c r="Q749" s="48"/>
      <x:c r="R749" s="48"/>
      <x:c r="S749" s="48"/>
      <x:c r="T749" s="48"/>
      <x:c r="U749" s="48"/>
      <x:c r="V749" s="48"/>
      <x:c r="W749" s="48"/>
      <x:c r="X749" s="48"/>
      <x:c r="Y749" s="48"/>
      <x:c r="Z749" s="48"/>
    </x:row>
    <x:row r="750">
      <x:c r="A750" s="48"/>
      <x:c r="B750" s="48"/>
      <x:c r="C750" s="48"/>
      <x:c r="D750" s="48"/>
      <x:c r="E750" s="48"/>
      <x:c r="F750" s="48"/>
      <x:c r="G750" s="48"/>
      <x:c r="H750" s="48"/>
      <x:c r="I750" s="48"/>
      <x:c r="J750" s="48"/>
      <x:c r="K750" s="48"/>
      <x:c r="L750" s="48"/>
      <x:c r="M750" s="48"/>
      <x:c r="N750" s="48"/>
      <x:c r="O750" s="48"/>
      <x:c r="P750" s="48"/>
      <x:c r="Q750" s="48"/>
      <x:c r="R750" s="48"/>
      <x:c r="S750" s="48"/>
      <x:c r="T750" s="48"/>
      <x:c r="U750" s="48"/>
      <x:c r="V750" s="48"/>
      <x:c r="W750" s="48"/>
      <x:c r="X750" s="48"/>
      <x:c r="Y750" s="48"/>
      <x:c r="Z750" s="48"/>
    </x:row>
    <x:row r="751">
      <x:c r="A751" s="48"/>
      <x:c r="B751" s="48"/>
      <x:c r="C751" s="48"/>
      <x:c r="D751" s="48"/>
      <x:c r="E751" s="48"/>
      <x:c r="F751" s="48"/>
      <x:c r="G751" s="48"/>
      <x:c r="H751" s="48"/>
      <x:c r="I751" s="48"/>
      <x:c r="J751" s="48"/>
      <x:c r="K751" s="48"/>
      <x:c r="L751" s="48"/>
      <x:c r="M751" s="48"/>
      <x:c r="N751" s="48"/>
      <x:c r="O751" s="48"/>
      <x:c r="P751" s="48"/>
      <x:c r="Q751" s="48"/>
      <x:c r="R751" s="48"/>
      <x:c r="S751" s="48"/>
      <x:c r="T751" s="48"/>
      <x:c r="U751" s="48"/>
      <x:c r="V751" s="48"/>
      <x:c r="W751" s="48"/>
      <x:c r="X751" s="48"/>
      <x:c r="Y751" s="48"/>
      <x:c r="Z751" s="48"/>
    </x:row>
    <x:row r="752">
      <x:c r="A752" s="48"/>
      <x:c r="B752" s="48"/>
      <x:c r="C752" s="48"/>
      <x:c r="D752" s="48"/>
      <x:c r="E752" s="48"/>
      <x:c r="F752" s="48"/>
      <x:c r="G752" s="48"/>
      <x:c r="H752" s="48"/>
      <x:c r="I752" s="48"/>
      <x:c r="J752" s="48"/>
      <x:c r="K752" s="48"/>
      <x:c r="L752" s="48"/>
      <x:c r="M752" s="48"/>
      <x:c r="N752" s="48"/>
      <x:c r="O752" s="48"/>
      <x:c r="P752" s="48"/>
      <x:c r="Q752" s="48"/>
      <x:c r="R752" s="48"/>
      <x:c r="S752" s="48"/>
      <x:c r="T752" s="48"/>
      <x:c r="U752" s="48"/>
      <x:c r="V752" s="48"/>
      <x:c r="W752" s="48"/>
      <x:c r="X752" s="48"/>
      <x:c r="Y752" s="48"/>
      <x:c r="Z752" s="48"/>
    </x:row>
    <x:row r="753">
      <x:c r="A753" s="48"/>
      <x:c r="B753" s="48"/>
      <x:c r="C753" s="48"/>
      <x:c r="D753" s="48"/>
      <x:c r="E753" s="48"/>
      <x:c r="F753" s="48"/>
      <x:c r="G753" s="48"/>
      <x:c r="H753" s="48"/>
      <x:c r="I753" s="48"/>
      <x:c r="J753" s="48"/>
      <x:c r="K753" s="48"/>
      <x:c r="L753" s="48"/>
      <x:c r="M753" s="48"/>
      <x:c r="N753" s="48"/>
      <x:c r="O753" s="48"/>
      <x:c r="P753" s="48"/>
      <x:c r="Q753" s="48"/>
      <x:c r="R753" s="48"/>
      <x:c r="S753" s="48"/>
      <x:c r="T753" s="48"/>
      <x:c r="U753" s="48"/>
      <x:c r="V753" s="48"/>
      <x:c r="W753" s="48"/>
      <x:c r="X753" s="48"/>
      <x:c r="Y753" s="48"/>
      <x:c r="Z753" s="48"/>
    </x:row>
    <x:row r="754">
      <x:c r="A754" s="48"/>
      <x:c r="B754" s="48"/>
      <x:c r="C754" s="48"/>
      <x:c r="D754" s="48"/>
      <x:c r="E754" s="48"/>
      <x:c r="F754" s="48"/>
      <x:c r="G754" s="48"/>
      <x:c r="H754" s="48"/>
      <x:c r="I754" s="48"/>
      <x:c r="J754" s="48"/>
      <x:c r="K754" s="48"/>
      <x:c r="L754" s="48"/>
      <x:c r="M754" s="48"/>
      <x:c r="N754" s="48"/>
      <x:c r="O754" s="48"/>
      <x:c r="P754" s="48"/>
      <x:c r="Q754" s="48"/>
      <x:c r="R754" s="48"/>
      <x:c r="S754" s="48"/>
      <x:c r="T754" s="48"/>
      <x:c r="U754" s="48"/>
      <x:c r="V754" s="48"/>
      <x:c r="W754" s="48"/>
      <x:c r="X754" s="48"/>
      <x:c r="Y754" s="48"/>
      <x:c r="Z754" s="48"/>
    </x:row>
    <x:row r="755">
      <x:c r="A755" s="48"/>
      <x:c r="B755" s="48"/>
      <x:c r="C755" s="48"/>
      <x:c r="D755" s="48"/>
      <x:c r="E755" s="48"/>
      <x:c r="F755" s="48"/>
      <x:c r="G755" s="48"/>
      <x:c r="H755" s="48"/>
      <x:c r="I755" s="48"/>
      <x:c r="J755" s="48"/>
      <x:c r="K755" s="48"/>
      <x:c r="L755" s="48"/>
      <x:c r="M755" s="48"/>
      <x:c r="N755" s="48"/>
      <x:c r="O755" s="48"/>
      <x:c r="P755" s="48"/>
      <x:c r="Q755" s="48"/>
      <x:c r="R755" s="48"/>
      <x:c r="S755" s="48"/>
      <x:c r="T755" s="48"/>
      <x:c r="U755" s="48"/>
      <x:c r="V755" s="48"/>
      <x:c r="W755" s="48"/>
      <x:c r="X755" s="48"/>
      <x:c r="Y755" s="48"/>
      <x:c r="Z755" s="48"/>
    </x:row>
    <x:row r="756">
      <x:c r="A756" s="48"/>
      <x:c r="B756" s="48"/>
      <x:c r="C756" s="48"/>
      <x:c r="D756" s="48"/>
      <x:c r="E756" s="48"/>
      <x:c r="F756" s="48"/>
      <x:c r="G756" s="48"/>
      <x:c r="H756" s="48"/>
      <x:c r="I756" s="48"/>
      <x:c r="J756" s="48"/>
      <x:c r="K756" s="48"/>
      <x:c r="L756" s="48"/>
      <x:c r="M756" s="48"/>
      <x:c r="N756" s="48"/>
      <x:c r="O756" s="48"/>
      <x:c r="P756" s="48"/>
      <x:c r="Q756" s="48"/>
      <x:c r="R756" s="48"/>
      <x:c r="S756" s="48"/>
      <x:c r="T756" s="48"/>
      <x:c r="U756" s="48"/>
      <x:c r="V756" s="48"/>
      <x:c r="W756" s="48"/>
      <x:c r="X756" s="48"/>
      <x:c r="Y756" s="48"/>
      <x:c r="Z756" s="48"/>
    </x:row>
    <x:row r="757">
      <x:c r="A757" s="48"/>
      <x:c r="B757" s="48"/>
      <x:c r="C757" s="48"/>
      <x:c r="D757" s="48"/>
      <x:c r="E757" s="48"/>
      <x:c r="F757" s="48"/>
      <x:c r="G757" s="48"/>
      <x:c r="H757" s="48"/>
      <x:c r="I757" s="48"/>
      <x:c r="J757" s="48"/>
      <x:c r="K757" s="48"/>
      <x:c r="L757" s="48"/>
      <x:c r="M757" s="48"/>
      <x:c r="N757" s="48"/>
      <x:c r="O757" s="48"/>
      <x:c r="P757" s="48"/>
      <x:c r="Q757" s="48"/>
      <x:c r="R757" s="48"/>
      <x:c r="S757" s="48"/>
      <x:c r="T757" s="48"/>
      <x:c r="U757" s="48"/>
      <x:c r="V757" s="48"/>
      <x:c r="W757" s="48"/>
      <x:c r="X757" s="48"/>
      <x:c r="Y757" s="48"/>
      <x:c r="Z757" s="48"/>
    </x:row>
    <x:row r="758">
      <x:c r="A758" s="48"/>
      <x:c r="B758" s="48"/>
      <x:c r="C758" s="48"/>
      <x:c r="D758" s="48"/>
      <x:c r="E758" s="48"/>
      <x:c r="F758" s="48"/>
      <x:c r="G758" s="48"/>
      <x:c r="H758" s="48"/>
      <x:c r="I758" s="48"/>
      <x:c r="J758" s="48"/>
      <x:c r="K758" s="48"/>
      <x:c r="L758" s="48"/>
      <x:c r="M758" s="48"/>
      <x:c r="N758" s="48"/>
      <x:c r="O758" s="48"/>
      <x:c r="P758" s="48"/>
      <x:c r="Q758" s="48"/>
      <x:c r="R758" s="48"/>
      <x:c r="S758" s="48"/>
      <x:c r="T758" s="48"/>
      <x:c r="U758" s="48"/>
      <x:c r="V758" s="48"/>
      <x:c r="W758" s="48"/>
      <x:c r="X758" s="48"/>
      <x:c r="Y758" s="48"/>
      <x:c r="Z758" s="48"/>
    </x:row>
    <x:row r="759">
      <x:c r="A759" s="48"/>
      <x:c r="B759" s="48"/>
      <x:c r="C759" s="48"/>
      <x:c r="D759" s="48"/>
      <x:c r="E759" s="48"/>
      <x:c r="F759" s="48"/>
      <x:c r="G759" s="48"/>
      <x:c r="H759" s="48"/>
      <x:c r="I759" s="48"/>
      <x:c r="J759" s="48"/>
      <x:c r="K759" s="48"/>
      <x:c r="L759" s="48"/>
      <x:c r="M759" s="48"/>
      <x:c r="N759" s="48"/>
      <x:c r="O759" s="48"/>
      <x:c r="P759" s="48"/>
      <x:c r="Q759" s="48"/>
      <x:c r="R759" s="48"/>
      <x:c r="S759" s="48"/>
      <x:c r="T759" s="48"/>
      <x:c r="U759" s="48"/>
      <x:c r="V759" s="48"/>
      <x:c r="W759" s="48"/>
      <x:c r="X759" s="48"/>
      <x:c r="Y759" s="48"/>
      <x:c r="Z759" s="48"/>
    </x:row>
    <x:row r="760">
      <x:c r="A760" s="48"/>
      <x:c r="B760" s="48"/>
      <x:c r="C760" s="48"/>
      <x:c r="D760" s="48"/>
      <x:c r="E760" s="48"/>
      <x:c r="F760" s="48"/>
      <x:c r="G760" s="48"/>
      <x:c r="H760" s="48"/>
      <x:c r="I760" s="48"/>
      <x:c r="J760" s="48"/>
      <x:c r="K760" s="48"/>
      <x:c r="L760" s="48"/>
      <x:c r="M760" s="48"/>
      <x:c r="N760" s="48"/>
      <x:c r="O760" s="48"/>
      <x:c r="P760" s="48"/>
      <x:c r="Q760" s="48"/>
      <x:c r="R760" s="48"/>
      <x:c r="S760" s="48"/>
      <x:c r="T760" s="48"/>
      <x:c r="U760" s="48"/>
      <x:c r="V760" s="48"/>
      <x:c r="W760" s="48"/>
      <x:c r="X760" s="48"/>
      <x:c r="Y760" s="48"/>
      <x:c r="Z760" s="48"/>
    </x:row>
    <x:row r="761">
      <x:c r="A761" s="48"/>
      <x:c r="B761" s="48"/>
      <x:c r="C761" s="48"/>
      <x:c r="D761" s="48"/>
      <x:c r="E761" s="48"/>
      <x:c r="F761" s="48"/>
      <x:c r="G761" s="48"/>
      <x:c r="H761" s="48"/>
      <x:c r="I761" s="48"/>
      <x:c r="J761" s="48"/>
      <x:c r="K761" s="48"/>
      <x:c r="L761" s="48"/>
      <x:c r="M761" s="48"/>
      <x:c r="N761" s="48"/>
      <x:c r="O761" s="48"/>
      <x:c r="P761" s="48"/>
      <x:c r="Q761" s="48"/>
      <x:c r="R761" s="48"/>
      <x:c r="S761" s="48"/>
      <x:c r="T761" s="48"/>
      <x:c r="U761" s="48"/>
      <x:c r="V761" s="48"/>
      <x:c r="W761" s="48"/>
      <x:c r="X761" s="48"/>
      <x:c r="Y761" s="48"/>
      <x:c r="Z761" s="48"/>
    </x:row>
    <x:row r="762">
      <x:c r="A762" s="48"/>
      <x:c r="B762" s="48"/>
      <x:c r="C762" s="48"/>
      <x:c r="D762" s="48"/>
      <x:c r="E762" s="48"/>
      <x:c r="F762" s="48"/>
      <x:c r="G762" s="48"/>
      <x:c r="H762" s="48"/>
      <x:c r="I762" s="48"/>
      <x:c r="J762" s="48"/>
      <x:c r="K762" s="48"/>
      <x:c r="L762" s="48"/>
      <x:c r="M762" s="48"/>
      <x:c r="N762" s="48"/>
      <x:c r="O762" s="48"/>
      <x:c r="P762" s="48"/>
      <x:c r="Q762" s="48"/>
      <x:c r="R762" s="48"/>
      <x:c r="S762" s="48"/>
      <x:c r="T762" s="48"/>
      <x:c r="U762" s="48"/>
      <x:c r="V762" s="48"/>
      <x:c r="W762" s="48"/>
      <x:c r="X762" s="48"/>
      <x:c r="Y762" s="48"/>
      <x:c r="Z762" s="48"/>
    </x:row>
    <x:row r="763">
      <x:c r="A763" s="48"/>
      <x:c r="B763" s="48"/>
      <x:c r="C763" s="48"/>
      <x:c r="D763" s="48"/>
      <x:c r="E763" s="48"/>
      <x:c r="F763" s="48"/>
      <x:c r="G763" s="48"/>
      <x:c r="H763" s="48"/>
      <x:c r="I763" s="48"/>
      <x:c r="J763" s="48"/>
      <x:c r="K763" s="48"/>
      <x:c r="L763" s="48"/>
      <x:c r="M763" s="48"/>
      <x:c r="N763" s="48"/>
      <x:c r="O763" s="48"/>
      <x:c r="P763" s="48"/>
      <x:c r="Q763" s="48"/>
      <x:c r="R763" s="48"/>
      <x:c r="S763" s="48"/>
      <x:c r="T763" s="48"/>
      <x:c r="U763" s="48"/>
      <x:c r="V763" s="48"/>
      <x:c r="W763" s="48"/>
      <x:c r="X763" s="48"/>
      <x:c r="Y763" s="48"/>
      <x:c r="Z763" s="48"/>
    </x:row>
    <x:row r="764">
      <x:c r="A764" s="48"/>
      <x:c r="B764" s="48"/>
      <x:c r="C764" s="48"/>
      <x:c r="D764" s="48"/>
      <x:c r="E764" s="48"/>
      <x:c r="F764" s="48"/>
      <x:c r="G764" s="48"/>
      <x:c r="H764" s="48"/>
      <x:c r="I764" s="48"/>
      <x:c r="J764" s="48"/>
      <x:c r="K764" s="48"/>
      <x:c r="L764" s="48"/>
      <x:c r="M764" s="48"/>
      <x:c r="N764" s="48"/>
      <x:c r="O764" s="48"/>
      <x:c r="P764" s="48"/>
      <x:c r="Q764" s="48"/>
      <x:c r="R764" s="48"/>
      <x:c r="S764" s="48"/>
      <x:c r="T764" s="48"/>
      <x:c r="U764" s="48"/>
      <x:c r="V764" s="48"/>
      <x:c r="W764" s="48"/>
      <x:c r="X764" s="48"/>
      <x:c r="Y764" s="48"/>
      <x:c r="Z764" s="48"/>
    </x:row>
    <x:row r="765">
      <x:c r="A765" s="48"/>
      <x:c r="B765" s="48"/>
      <x:c r="C765" s="48"/>
      <x:c r="D765" s="48"/>
      <x:c r="E765" s="48"/>
      <x:c r="F765" s="48"/>
      <x:c r="G765" s="48"/>
      <x:c r="H765" s="48"/>
      <x:c r="I765" s="48"/>
      <x:c r="J765" s="48"/>
      <x:c r="K765" s="48"/>
      <x:c r="L765" s="48"/>
      <x:c r="M765" s="48"/>
      <x:c r="N765" s="48"/>
      <x:c r="O765" s="48"/>
      <x:c r="P765" s="48"/>
      <x:c r="Q765" s="48"/>
      <x:c r="R765" s="48"/>
      <x:c r="S765" s="48"/>
      <x:c r="T765" s="48"/>
      <x:c r="U765" s="48"/>
      <x:c r="V765" s="48"/>
      <x:c r="W765" s="48"/>
      <x:c r="X765" s="48"/>
      <x:c r="Y765" s="48"/>
      <x:c r="Z765" s="48"/>
    </x:row>
    <x:row r="766">
      <x:c r="A766" s="48"/>
      <x:c r="B766" s="48"/>
      <x:c r="C766" s="48"/>
      <x:c r="D766" s="48"/>
      <x:c r="E766" s="48"/>
      <x:c r="F766" s="48"/>
      <x:c r="G766" s="48"/>
      <x:c r="H766" s="48"/>
      <x:c r="I766" s="48"/>
      <x:c r="J766" s="48"/>
      <x:c r="K766" s="48"/>
      <x:c r="L766" s="48"/>
      <x:c r="M766" s="48"/>
      <x:c r="N766" s="48"/>
      <x:c r="O766" s="48"/>
      <x:c r="P766" s="48"/>
      <x:c r="Q766" s="48"/>
      <x:c r="R766" s="48"/>
      <x:c r="S766" s="48"/>
      <x:c r="T766" s="48"/>
      <x:c r="U766" s="48"/>
      <x:c r="V766" s="48"/>
      <x:c r="W766" s="48"/>
      <x:c r="X766" s="48"/>
      <x:c r="Y766" s="48"/>
      <x:c r="Z766" s="48"/>
    </x:row>
    <x:row r="767">
      <x:c r="A767" s="48"/>
      <x:c r="B767" s="48"/>
      <x:c r="C767" s="48"/>
      <x:c r="D767" s="48"/>
      <x:c r="E767" s="48"/>
      <x:c r="F767" s="48"/>
      <x:c r="G767" s="48"/>
      <x:c r="H767" s="48"/>
      <x:c r="I767" s="48"/>
      <x:c r="J767" s="48"/>
      <x:c r="K767" s="48"/>
      <x:c r="L767" s="48"/>
      <x:c r="M767" s="48"/>
      <x:c r="N767" s="48"/>
      <x:c r="O767" s="48"/>
      <x:c r="P767" s="48"/>
      <x:c r="Q767" s="48"/>
      <x:c r="R767" s="48"/>
      <x:c r="S767" s="48"/>
      <x:c r="T767" s="48"/>
      <x:c r="U767" s="48"/>
      <x:c r="V767" s="48"/>
      <x:c r="W767" s="48"/>
      <x:c r="X767" s="48"/>
      <x:c r="Y767" s="48"/>
      <x:c r="Z767" s="48"/>
    </x:row>
    <x:row r="768">
      <x:c r="A768" s="48"/>
      <x:c r="B768" s="48"/>
      <x:c r="C768" s="48"/>
      <x:c r="D768" s="48"/>
      <x:c r="E768" s="48"/>
      <x:c r="F768" s="48"/>
      <x:c r="G768" s="48"/>
      <x:c r="H768" s="48"/>
      <x:c r="I768" s="48"/>
      <x:c r="J768" s="48"/>
      <x:c r="K768" s="48"/>
      <x:c r="L768" s="48"/>
      <x:c r="M768" s="48"/>
      <x:c r="N768" s="48"/>
      <x:c r="O768" s="48"/>
      <x:c r="P768" s="48"/>
      <x:c r="Q768" s="48"/>
      <x:c r="R768" s="48"/>
      <x:c r="S768" s="48"/>
      <x:c r="T768" s="48"/>
      <x:c r="U768" s="48"/>
      <x:c r="V768" s="48"/>
      <x:c r="W768" s="48"/>
      <x:c r="X768" s="48"/>
      <x:c r="Y768" s="48"/>
      <x:c r="Z768" s="48"/>
    </x:row>
    <x:row r="769">
      <x:c r="A769" s="48"/>
      <x:c r="B769" s="48"/>
      <x:c r="C769" s="48"/>
      <x:c r="D769" s="48"/>
      <x:c r="E769" s="48"/>
      <x:c r="F769" s="48"/>
      <x:c r="G769" s="48"/>
      <x:c r="H769" s="48"/>
      <x:c r="I769" s="48"/>
      <x:c r="J769" s="48"/>
      <x:c r="K769" s="48"/>
      <x:c r="L769" s="48"/>
      <x:c r="M769" s="48"/>
      <x:c r="N769" s="48"/>
      <x:c r="O769" s="48"/>
      <x:c r="P769" s="48"/>
      <x:c r="Q769" s="48"/>
      <x:c r="R769" s="48"/>
      <x:c r="S769" s="48"/>
      <x:c r="T769" s="48"/>
      <x:c r="U769" s="48"/>
      <x:c r="V769" s="48"/>
      <x:c r="W769" s="48"/>
      <x:c r="X769" s="48"/>
      <x:c r="Y769" s="48"/>
      <x:c r="Z769" s="48"/>
    </x:row>
    <x:row r="770">
      <x:c r="A770" s="48"/>
      <x:c r="B770" s="48"/>
      <x:c r="C770" s="48"/>
      <x:c r="D770" s="48"/>
      <x:c r="E770" s="48"/>
      <x:c r="F770" s="48"/>
      <x:c r="G770" s="48"/>
      <x:c r="H770" s="48"/>
      <x:c r="I770" s="48"/>
      <x:c r="J770" s="48"/>
      <x:c r="K770" s="48"/>
      <x:c r="L770" s="48"/>
      <x:c r="M770" s="48"/>
      <x:c r="N770" s="48"/>
      <x:c r="O770" s="48"/>
      <x:c r="P770" s="48"/>
      <x:c r="Q770" s="48"/>
      <x:c r="R770" s="48"/>
      <x:c r="S770" s="48"/>
      <x:c r="T770" s="48"/>
      <x:c r="U770" s="48"/>
      <x:c r="V770" s="48"/>
      <x:c r="W770" s="48"/>
      <x:c r="X770" s="48"/>
      <x:c r="Y770" s="48"/>
      <x:c r="Z770" s="48"/>
    </x:row>
    <x:row r="771">
      <x:c r="A771" s="48"/>
      <x:c r="B771" s="48"/>
      <x:c r="C771" s="48"/>
      <x:c r="D771" s="48"/>
      <x:c r="E771" s="48"/>
      <x:c r="F771" s="48"/>
      <x:c r="G771" s="48"/>
      <x:c r="H771" s="48"/>
      <x:c r="I771" s="48"/>
      <x:c r="J771" s="48"/>
      <x:c r="K771" s="48"/>
      <x:c r="L771" s="48"/>
      <x:c r="M771" s="48"/>
      <x:c r="N771" s="48"/>
      <x:c r="O771" s="48"/>
      <x:c r="P771" s="48"/>
      <x:c r="Q771" s="48"/>
      <x:c r="R771" s="48"/>
      <x:c r="S771" s="48"/>
      <x:c r="T771" s="48"/>
      <x:c r="U771" s="48"/>
      <x:c r="V771" s="48"/>
      <x:c r="W771" s="48"/>
      <x:c r="X771" s="48"/>
      <x:c r="Y771" s="48"/>
      <x:c r="Z771" s="48"/>
    </x:row>
    <x:row r="772">
      <x:c r="A772" s="48"/>
      <x:c r="B772" s="48"/>
      <x:c r="C772" s="48"/>
      <x:c r="D772" s="48"/>
      <x:c r="E772" s="48"/>
      <x:c r="F772" s="48"/>
      <x:c r="G772" s="48"/>
      <x:c r="H772" s="48"/>
      <x:c r="I772" s="48"/>
      <x:c r="J772" s="48"/>
      <x:c r="K772" s="48"/>
      <x:c r="L772" s="48"/>
      <x:c r="M772" s="48"/>
      <x:c r="N772" s="48"/>
      <x:c r="O772" s="48"/>
      <x:c r="P772" s="48"/>
      <x:c r="Q772" s="48"/>
      <x:c r="R772" s="48"/>
      <x:c r="S772" s="48"/>
      <x:c r="T772" s="48"/>
      <x:c r="U772" s="48"/>
      <x:c r="V772" s="48"/>
      <x:c r="W772" s="48"/>
      <x:c r="X772" s="48"/>
      <x:c r="Y772" s="48"/>
      <x:c r="Z772" s="48"/>
    </x:row>
    <x:row r="773">
      <x:c r="A773" s="48"/>
      <x:c r="B773" s="48"/>
      <x:c r="C773" s="48"/>
      <x:c r="D773" s="48"/>
      <x:c r="E773" s="48"/>
      <x:c r="F773" s="48"/>
      <x:c r="G773" s="48"/>
      <x:c r="H773" s="48"/>
      <x:c r="I773" s="48"/>
      <x:c r="J773" s="48"/>
      <x:c r="K773" s="48"/>
      <x:c r="L773" s="48"/>
      <x:c r="M773" s="48"/>
      <x:c r="N773" s="48"/>
      <x:c r="O773" s="48"/>
      <x:c r="P773" s="48"/>
      <x:c r="Q773" s="48"/>
      <x:c r="R773" s="48"/>
      <x:c r="S773" s="48"/>
      <x:c r="T773" s="48"/>
      <x:c r="U773" s="48"/>
      <x:c r="V773" s="48"/>
      <x:c r="W773" s="48"/>
      <x:c r="X773" s="48"/>
      <x:c r="Y773" s="48"/>
      <x:c r="Z773" s="48"/>
    </x:row>
    <x:row r="774">
      <x:c r="A774" s="48"/>
      <x:c r="B774" s="48"/>
      <x:c r="C774" s="48"/>
      <x:c r="D774" s="48"/>
      <x:c r="E774" s="48"/>
      <x:c r="F774" s="48"/>
      <x:c r="G774" s="48"/>
      <x:c r="H774" s="48"/>
      <x:c r="I774" s="48"/>
      <x:c r="J774" s="48"/>
      <x:c r="K774" s="48"/>
      <x:c r="L774" s="48"/>
      <x:c r="M774" s="48"/>
      <x:c r="N774" s="48"/>
      <x:c r="O774" s="48"/>
      <x:c r="P774" s="48"/>
      <x:c r="Q774" s="48"/>
      <x:c r="R774" s="48"/>
      <x:c r="S774" s="48"/>
      <x:c r="T774" s="48"/>
      <x:c r="U774" s="48"/>
      <x:c r="V774" s="48"/>
      <x:c r="W774" s="48"/>
      <x:c r="X774" s="48"/>
      <x:c r="Y774" s="48"/>
      <x:c r="Z774" s="48"/>
    </x:row>
    <x:row r="775">
      <x:c r="A775" s="48"/>
      <x:c r="B775" s="48"/>
      <x:c r="C775" s="48"/>
      <x:c r="D775" s="48"/>
      <x:c r="E775" s="48"/>
      <x:c r="F775" s="48"/>
      <x:c r="G775" s="48"/>
      <x:c r="H775" s="48"/>
      <x:c r="I775" s="48"/>
      <x:c r="J775" s="48"/>
      <x:c r="K775" s="48"/>
      <x:c r="L775" s="48"/>
      <x:c r="M775" s="48"/>
      <x:c r="N775" s="48"/>
      <x:c r="O775" s="48"/>
      <x:c r="P775" s="48"/>
      <x:c r="Q775" s="48"/>
      <x:c r="R775" s="48"/>
      <x:c r="S775" s="48"/>
      <x:c r="T775" s="48"/>
      <x:c r="U775" s="48"/>
      <x:c r="V775" s="48"/>
      <x:c r="W775" s="48"/>
      <x:c r="X775" s="48"/>
      <x:c r="Y775" s="48"/>
      <x:c r="Z775" s="48"/>
    </x:row>
    <x:row r="776">
      <x:c r="A776" s="48"/>
      <x:c r="B776" s="48"/>
      <x:c r="C776" s="48"/>
      <x:c r="D776" s="48"/>
      <x:c r="E776" s="48"/>
      <x:c r="F776" s="48"/>
      <x:c r="G776" s="48"/>
      <x:c r="H776" s="48"/>
      <x:c r="I776" s="48"/>
      <x:c r="J776" s="48"/>
      <x:c r="K776" s="48"/>
      <x:c r="L776" s="48"/>
      <x:c r="M776" s="48"/>
      <x:c r="N776" s="48"/>
      <x:c r="O776" s="48"/>
      <x:c r="P776" s="48"/>
      <x:c r="Q776" s="48"/>
      <x:c r="R776" s="48"/>
      <x:c r="S776" s="48"/>
      <x:c r="T776" s="48"/>
      <x:c r="U776" s="48"/>
      <x:c r="V776" s="48"/>
      <x:c r="W776" s="48"/>
      <x:c r="X776" s="48"/>
      <x:c r="Y776" s="48"/>
      <x:c r="Z776" s="48"/>
    </x:row>
    <x:row r="777">
      <x:c r="A777" s="48"/>
      <x:c r="B777" s="48"/>
      <x:c r="C777" s="48"/>
      <x:c r="D777" s="48"/>
      <x:c r="E777" s="48"/>
      <x:c r="F777" s="48"/>
      <x:c r="G777" s="48"/>
      <x:c r="H777" s="48"/>
      <x:c r="I777" s="48"/>
      <x:c r="J777" s="48"/>
      <x:c r="K777" s="48"/>
      <x:c r="L777" s="48"/>
      <x:c r="M777" s="48"/>
      <x:c r="N777" s="48"/>
      <x:c r="O777" s="48"/>
      <x:c r="P777" s="48"/>
      <x:c r="Q777" s="48"/>
      <x:c r="R777" s="48"/>
      <x:c r="S777" s="48"/>
      <x:c r="T777" s="48"/>
      <x:c r="U777" s="48"/>
      <x:c r="V777" s="48"/>
      <x:c r="W777" s="48"/>
      <x:c r="X777" s="48"/>
      <x:c r="Y777" s="48"/>
      <x:c r="Z777" s="48"/>
    </x:row>
    <x:row r="778">
      <x:c r="A778" s="48"/>
      <x:c r="B778" s="48"/>
      <x:c r="C778" s="48"/>
      <x:c r="D778" s="48"/>
      <x:c r="E778" s="48"/>
      <x:c r="F778" s="48"/>
      <x:c r="G778" s="48"/>
      <x:c r="H778" s="48"/>
      <x:c r="I778" s="48"/>
      <x:c r="J778" s="48"/>
      <x:c r="K778" s="48"/>
      <x:c r="L778" s="48"/>
      <x:c r="M778" s="48"/>
      <x:c r="N778" s="48"/>
      <x:c r="O778" s="48"/>
      <x:c r="P778" s="48"/>
      <x:c r="Q778" s="48"/>
      <x:c r="R778" s="48"/>
      <x:c r="S778" s="48"/>
      <x:c r="T778" s="48"/>
      <x:c r="U778" s="48"/>
      <x:c r="V778" s="48"/>
      <x:c r="W778" s="48"/>
      <x:c r="X778" s="48"/>
      <x:c r="Y778" s="48"/>
      <x:c r="Z778" s="48"/>
    </x:row>
    <x:row r="779">
      <x:c r="A779" s="48"/>
      <x:c r="B779" s="48"/>
      <x:c r="C779" s="48"/>
      <x:c r="D779" s="48"/>
      <x:c r="E779" s="48"/>
      <x:c r="F779" s="48"/>
      <x:c r="G779" s="48"/>
      <x:c r="H779" s="48"/>
      <x:c r="I779" s="48"/>
      <x:c r="J779" s="48"/>
      <x:c r="K779" s="48"/>
      <x:c r="L779" s="48"/>
      <x:c r="M779" s="48"/>
      <x:c r="N779" s="48"/>
      <x:c r="O779" s="48"/>
      <x:c r="P779" s="48"/>
      <x:c r="Q779" s="48"/>
      <x:c r="R779" s="48"/>
      <x:c r="S779" s="48"/>
      <x:c r="T779" s="48"/>
      <x:c r="U779" s="48"/>
      <x:c r="V779" s="48"/>
      <x:c r="W779" s="48"/>
      <x:c r="X779" s="48"/>
      <x:c r="Y779" s="48"/>
      <x:c r="Z779" s="48"/>
    </x:row>
    <x:row r="780">
      <x:c r="A780" s="48"/>
      <x:c r="B780" s="48"/>
      <x:c r="C780" s="48"/>
      <x:c r="D780" s="48"/>
      <x:c r="E780" s="48"/>
      <x:c r="F780" s="48"/>
      <x:c r="G780" s="48"/>
      <x:c r="H780" s="48"/>
      <x:c r="I780" s="48"/>
      <x:c r="J780" s="48"/>
      <x:c r="K780" s="48"/>
      <x:c r="L780" s="48"/>
      <x:c r="M780" s="48"/>
      <x:c r="N780" s="48"/>
      <x:c r="O780" s="48"/>
      <x:c r="P780" s="48"/>
      <x:c r="Q780" s="48"/>
      <x:c r="R780" s="48"/>
      <x:c r="S780" s="48"/>
      <x:c r="T780" s="48"/>
      <x:c r="U780" s="48"/>
      <x:c r="V780" s="48"/>
      <x:c r="W780" s="48"/>
      <x:c r="X780" s="48"/>
      <x:c r="Y780" s="48"/>
      <x:c r="Z780" s="48"/>
    </x:row>
    <x:row r="781">
      <x:c r="A781" s="48"/>
      <x:c r="B781" s="48"/>
      <x:c r="C781" s="48"/>
      <x:c r="D781" s="48"/>
      <x:c r="E781" s="48"/>
      <x:c r="F781" s="48"/>
      <x:c r="G781" s="48"/>
      <x:c r="H781" s="48"/>
      <x:c r="I781" s="48"/>
      <x:c r="J781" s="48"/>
      <x:c r="K781" s="48"/>
      <x:c r="L781" s="48"/>
      <x:c r="M781" s="48"/>
      <x:c r="N781" s="48"/>
      <x:c r="O781" s="48"/>
      <x:c r="P781" s="48"/>
      <x:c r="Q781" s="48"/>
      <x:c r="R781" s="48"/>
      <x:c r="S781" s="48"/>
      <x:c r="T781" s="48"/>
      <x:c r="U781" s="48"/>
      <x:c r="V781" s="48"/>
      <x:c r="W781" s="48"/>
      <x:c r="X781" s="48"/>
      <x:c r="Y781" s="48"/>
      <x:c r="Z781" s="48"/>
    </x:row>
    <x:row r="782">
      <x:c r="A782" s="48"/>
      <x:c r="B782" s="48"/>
      <x:c r="C782" s="48"/>
      <x:c r="D782" s="48"/>
      <x:c r="E782" s="48"/>
      <x:c r="F782" s="48"/>
      <x:c r="G782" s="48"/>
      <x:c r="H782" s="48"/>
      <x:c r="I782" s="48"/>
      <x:c r="J782" s="48"/>
      <x:c r="K782" s="48"/>
      <x:c r="L782" s="48"/>
      <x:c r="M782" s="48"/>
      <x:c r="N782" s="48"/>
      <x:c r="O782" s="48"/>
      <x:c r="P782" s="48"/>
      <x:c r="Q782" s="48"/>
      <x:c r="R782" s="48"/>
      <x:c r="S782" s="48"/>
      <x:c r="T782" s="48"/>
      <x:c r="U782" s="48"/>
      <x:c r="V782" s="48"/>
      <x:c r="W782" s="48"/>
      <x:c r="X782" s="48"/>
      <x:c r="Y782" s="48"/>
      <x:c r="Z782" s="48"/>
    </x:row>
    <x:row r="783">
      <x:c r="A783" s="48"/>
      <x:c r="B783" s="48"/>
      <x:c r="C783" s="48"/>
      <x:c r="D783" s="48"/>
      <x:c r="E783" s="48"/>
      <x:c r="F783" s="48"/>
      <x:c r="G783" s="48"/>
      <x:c r="H783" s="48"/>
      <x:c r="I783" s="48"/>
      <x:c r="J783" s="48"/>
      <x:c r="K783" s="48"/>
      <x:c r="L783" s="48"/>
      <x:c r="M783" s="48"/>
      <x:c r="N783" s="48"/>
      <x:c r="O783" s="48"/>
      <x:c r="P783" s="48"/>
      <x:c r="Q783" s="48"/>
      <x:c r="R783" s="48"/>
      <x:c r="S783" s="48"/>
      <x:c r="T783" s="48"/>
      <x:c r="U783" s="48"/>
      <x:c r="V783" s="48"/>
      <x:c r="W783" s="48"/>
      <x:c r="X783" s="48"/>
      <x:c r="Y783" s="48"/>
      <x:c r="Z783" s="48"/>
    </x:row>
    <x:row r="784">
      <x:c r="A784" s="48"/>
      <x:c r="B784" s="48"/>
      <x:c r="C784" s="48"/>
      <x:c r="D784" s="48"/>
      <x:c r="E784" s="48"/>
      <x:c r="F784" s="48"/>
      <x:c r="G784" s="48"/>
      <x:c r="H784" s="48"/>
      <x:c r="I784" s="48"/>
      <x:c r="J784" s="48"/>
      <x:c r="K784" s="48"/>
      <x:c r="L784" s="48"/>
      <x:c r="M784" s="48"/>
      <x:c r="N784" s="48"/>
      <x:c r="O784" s="48"/>
      <x:c r="P784" s="48"/>
      <x:c r="Q784" s="48"/>
      <x:c r="R784" s="48"/>
      <x:c r="S784" s="48"/>
      <x:c r="T784" s="48"/>
      <x:c r="U784" s="48"/>
      <x:c r="V784" s="48"/>
      <x:c r="W784" s="48"/>
      <x:c r="X784" s="48"/>
      <x:c r="Y784" s="48"/>
      <x:c r="Z784" s="48"/>
    </x:row>
    <x:row r="785">
      <x:c r="A785" s="48"/>
      <x:c r="B785" s="48"/>
      <x:c r="C785" s="48"/>
      <x:c r="D785" s="48"/>
      <x:c r="E785" s="48"/>
      <x:c r="F785" s="48"/>
      <x:c r="G785" s="48"/>
      <x:c r="H785" s="48"/>
      <x:c r="I785" s="48"/>
      <x:c r="J785" s="48"/>
      <x:c r="K785" s="48"/>
      <x:c r="L785" s="48"/>
      <x:c r="M785" s="48"/>
      <x:c r="N785" s="48"/>
      <x:c r="O785" s="48"/>
      <x:c r="P785" s="48"/>
      <x:c r="Q785" s="48"/>
      <x:c r="R785" s="48"/>
      <x:c r="S785" s="48"/>
      <x:c r="T785" s="48"/>
      <x:c r="U785" s="48"/>
      <x:c r="V785" s="48"/>
      <x:c r="W785" s="48"/>
      <x:c r="X785" s="48"/>
      <x:c r="Y785" s="48"/>
      <x:c r="Z785" s="48"/>
    </x:row>
    <x:row r="786">
      <x:c r="A786" s="48"/>
      <x:c r="B786" s="48"/>
      <x:c r="C786" s="48"/>
      <x:c r="D786" s="48"/>
      <x:c r="E786" s="48"/>
      <x:c r="F786" s="48"/>
      <x:c r="G786" s="48"/>
      <x:c r="H786" s="48"/>
      <x:c r="I786" s="48"/>
      <x:c r="J786" s="48"/>
      <x:c r="K786" s="48"/>
      <x:c r="L786" s="48"/>
      <x:c r="M786" s="48"/>
      <x:c r="N786" s="48"/>
      <x:c r="O786" s="48"/>
      <x:c r="P786" s="48"/>
      <x:c r="Q786" s="48"/>
      <x:c r="R786" s="48"/>
      <x:c r="S786" s="48"/>
      <x:c r="T786" s="48"/>
      <x:c r="U786" s="48"/>
      <x:c r="V786" s="48"/>
      <x:c r="W786" s="48"/>
      <x:c r="X786" s="48"/>
      <x:c r="Y786" s="48"/>
      <x:c r="Z786" s="48"/>
    </x:row>
    <x:row r="787">
      <x:c r="A787" s="48"/>
      <x:c r="B787" s="48"/>
      <x:c r="C787" s="48"/>
      <x:c r="D787" s="48"/>
      <x:c r="E787" s="48"/>
      <x:c r="F787" s="48"/>
      <x:c r="G787" s="48"/>
      <x:c r="H787" s="48"/>
      <x:c r="I787" s="48"/>
      <x:c r="J787" s="48"/>
      <x:c r="K787" s="48"/>
      <x:c r="L787" s="48"/>
      <x:c r="M787" s="48"/>
      <x:c r="N787" s="48"/>
      <x:c r="O787" s="48"/>
      <x:c r="P787" s="48"/>
      <x:c r="Q787" s="48"/>
      <x:c r="R787" s="48"/>
      <x:c r="S787" s="48"/>
      <x:c r="T787" s="48"/>
      <x:c r="U787" s="48"/>
      <x:c r="V787" s="48"/>
      <x:c r="W787" s="48"/>
      <x:c r="X787" s="48"/>
      <x:c r="Y787" s="48"/>
      <x:c r="Z787" s="48"/>
    </x:row>
    <x:row r="788">
      <x:c r="A788" s="48"/>
      <x:c r="B788" s="48"/>
      <x:c r="C788" s="48"/>
      <x:c r="D788" s="48"/>
      <x:c r="E788" s="48"/>
      <x:c r="F788" s="48"/>
      <x:c r="G788" s="48"/>
      <x:c r="H788" s="48"/>
      <x:c r="I788" s="48"/>
      <x:c r="J788" s="48"/>
      <x:c r="K788" s="48"/>
      <x:c r="L788" s="48"/>
      <x:c r="M788" s="48"/>
      <x:c r="N788" s="48"/>
      <x:c r="O788" s="48"/>
      <x:c r="P788" s="48"/>
      <x:c r="Q788" s="48"/>
      <x:c r="R788" s="48"/>
      <x:c r="S788" s="48"/>
      <x:c r="T788" s="48"/>
      <x:c r="U788" s="48"/>
      <x:c r="V788" s="48"/>
      <x:c r="W788" s="48"/>
      <x:c r="X788" s="48"/>
      <x:c r="Y788" s="48"/>
      <x:c r="Z788" s="48"/>
    </x:row>
    <x:row r="789">
      <x:c r="A789" s="48"/>
      <x:c r="B789" s="48"/>
      <x:c r="C789" s="48"/>
      <x:c r="D789" s="48"/>
      <x:c r="E789" s="48"/>
      <x:c r="F789" s="48"/>
      <x:c r="G789" s="48"/>
      <x:c r="H789" s="48"/>
      <x:c r="I789" s="48"/>
      <x:c r="J789" s="48"/>
      <x:c r="K789" s="48"/>
      <x:c r="L789" s="48"/>
      <x:c r="M789" s="48"/>
      <x:c r="N789" s="48"/>
      <x:c r="O789" s="48"/>
      <x:c r="P789" s="48"/>
      <x:c r="Q789" s="48"/>
      <x:c r="R789" s="48"/>
      <x:c r="S789" s="48"/>
      <x:c r="T789" s="48"/>
      <x:c r="U789" s="48"/>
      <x:c r="V789" s="48"/>
      <x:c r="W789" s="48"/>
      <x:c r="X789" s="48"/>
      <x:c r="Y789" s="48"/>
      <x:c r="Z789" s="48"/>
    </x:row>
    <x:row r="790">
      <x:c r="A790" s="48"/>
      <x:c r="B790" s="48"/>
      <x:c r="C790" s="48"/>
      <x:c r="D790" s="48"/>
      <x:c r="E790" s="48"/>
      <x:c r="F790" s="48"/>
      <x:c r="G790" s="48"/>
      <x:c r="H790" s="48"/>
      <x:c r="I790" s="48"/>
      <x:c r="J790" s="48"/>
      <x:c r="K790" s="48"/>
      <x:c r="L790" s="48"/>
      <x:c r="M790" s="48"/>
      <x:c r="N790" s="48"/>
      <x:c r="O790" s="48"/>
      <x:c r="P790" s="48"/>
      <x:c r="Q790" s="48"/>
      <x:c r="R790" s="48"/>
      <x:c r="S790" s="48"/>
      <x:c r="T790" s="48"/>
      <x:c r="U790" s="48"/>
      <x:c r="V790" s="48"/>
      <x:c r="W790" s="48"/>
      <x:c r="X790" s="48"/>
      <x:c r="Y790" s="48"/>
      <x:c r="Z790" s="48"/>
    </x:row>
    <x:row r="791">
      <x:c r="A791" s="48"/>
      <x:c r="B791" s="48"/>
      <x:c r="C791" s="48"/>
      <x:c r="D791" s="48"/>
      <x:c r="E791" s="48"/>
      <x:c r="F791" s="48"/>
      <x:c r="G791" s="48"/>
      <x:c r="H791" s="48"/>
      <x:c r="I791" s="48"/>
      <x:c r="J791" s="48"/>
      <x:c r="K791" s="48"/>
      <x:c r="L791" s="48"/>
      <x:c r="M791" s="48"/>
      <x:c r="N791" s="48"/>
      <x:c r="O791" s="48"/>
      <x:c r="P791" s="48"/>
      <x:c r="Q791" s="48"/>
      <x:c r="R791" s="48"/>
      <x:c r="S791" s="48"/>
      <x:c r="T791" s="48"/>
      <x:c r="U791" s="48"/>
      <x:c r="V791" s="48"/>
      <x:c r="W791" s="48"/>
      <x:c r="X791" s="48"/>
      <x:c r="Y791" s="48"/>
      <x:c r="Z791" s="48"/>
    </x:row>
    <x:row r="792">
      <x:c r="A792" s="48"/>
      <x:c r="B792" s="48"/>
      <x:c r="C792" s="48"/>
      <x:c r="D792" s="48"/>
      <x:c r="E792" s="48"/>
      <x:c r="F792" s="48"/>
      <x:c r="G792" s="48"/>
      <x:c r="H792" s="48"/>
      <x:c r="I792" s="48"/>
      <x:c r="J792" s="48"/>
      <x:c r="K792" s="48"/>
      <x:c r="L792" s="48"/>
      <x:c r="M792" s="48"/>
      <x:c r="N792" s="48"/>
      <x:c r="O792" s="48"/>
      <x:c r="P792" s="48"/>
      <x:c r="Q792" s="48"/>
      <x:c r="R792" s="48"/>
      <x:c r="S792" s="48"/>
      <x:c r="T792" s="48"/>
      <x:c r="U792" s="48"/>
      <x:c r="V792" s="48"/>
      <x:c r="W792" s="48"/>
      <x:c r="X792" s="48"/>
      <x:c r="Y792" s="48"/>
      <x:c r="Z792" s="48"/>
    </x:row>
    <x:row r="793">
      <x:c r="A793" s="48"/>
      <x:c r="B793" s="48"/>
      <x:c r="C793" s="48"/>
      <x:c r="D793" s="48"/>
      <x:c r="E793" s="48"/>
      <x:c r="F793" s="48"/>
      <x:c r="G793" s="48"/>
      <x:c r="H793" s="48"/>
      <x:c r="I793" s="48"/>
      <x:c r="J793" s="48"/>
      <x:c r="K793" s="48"/>
      <x:c r="L793" s="48"/>
      <x:c r="M793" s="48"/>
      <x:c r="N793" s="48"/>
      <x:c r="O793" s="48"/>
      <x:c r="P793" s="48"/>
      <x:c r="Q793" s="48"/>
      <x:c r="R793" s="48"/>
      <x:c r="S793" s="48"/>
      <x:c r="T793" s="48"/>
      <x:c r="U793" s="48"/>
      <x:c r="V793" s="48"/>
      <x:c r="W793" s="48"/>
      <x:c r="X793" s="48"/>
      <x:c r="Y793" s="48"/>
      <x:c r="Z793" s="48"/>
    </x:row>
    <x:row r="794">
      <x:c r="A794" s="48"/>
      <x:c r="B794" s="48"/>
      <x:c r="C794" s="48"/>
      <x:c r="D794" s="48"/>
      <x:c r="E794" s="48"/>
      <x:c r="F794" s="48"/>
      <x:c r="G794" s="48"/>
      <x:c r="H794" s="48"/>
      <x:c r="I794" s="48"/>
      <x:c r="J794" s="48"/>
      <x:c r="K794" s="48"/>
      <x:c r="L794" s="48"/>
      <x:c r="M794" s="48"/>
      <x:c r="N794" s="48"/>
      <x:c r="O794" s="48"/>
      <x:c r="P794" s="48"/>
      <x:c r="Q794" s="48"/>
      <x:c r="R794" s="48"/>
      <x:c r="S794" s="48"/>
      <x:c r="T794" s="48"/>
      <x:c r="U794" s="48"/>
      <x:c r="V794" s="48"/>
      <x:c r="W794" s="48"/>
      <x:c r="X794" s="48"/>
      <x:c r="Y794" s="48"/>
      <x:c r="Z794" s="48"/>
    </x:row>
    <x:row r="795">
      <x:c r="A795" s="48"/>
      <x:c r="B795" s="48"/>
      <x:c r="C795" s="48"/>
      <x:c r="D795" s="48"/>
      <x:c r="E795" s="48"/>
      <x:c r="F795" s="48"/>
      <x:c r="G795" s="48"/>
      <x:c r="H795" s="48"/>
      <x:c r="I795" s="48"/>
      <x:c r="J795" s="48"/>
      <x:c r="K795" s="48"/>
      <x:c r="L795" s="48"/>
      <x:c r="M795" s="48"/>
      <x:c r="N795" s="48"/>
      <x:c r="O795" s="48"/>
      <x:c r="P795" s="48"/>
      <x:c r="Q795" s="48"/>
      <x:c r="R795" s="48"/>
      <x:c r="S795" s="48"/>
      <x:c r="T795" s="48"/>
      <x:c r="U795" s="48"/>
      <x:c r="V795" s="48"/>
      <x:c r="W795" s="48"/>
      <x:c r="X795" s="48"/>
      <x:c r="Y795" s="48"/>
      <x:c r="Z795" s="48"/>
    </x:row>
    <x:row r="796">
      <x:c r="A796" s="48"/>
      <x:c r="B796" s="48"/>
      <x:c r="C796" s="48"/>
      <x:c r="D796" s="48"/>
      <x:c r="E796" s="48"/>
      <x:c r="F796" s="48"/>
      <x:c r="G796" s="48"/>
      <x:c r="H796" s="48"/>
      <x:c r="I796" s="48"/>
      <x:c r="J796" s="48"/>
      <x:c r="K796" s="48"/>
      <x:c r="L796" s="48"/>
      <x:c r="M796" s="48"/>
      <x:c r="N796" s="48"/>
      <x:c r="O796" s="48"/>
      <x:c r="P796" s="48"/>
      <x:c r="Q796" s="48"/>
      <x:c r="R796" s="48"/>
      <x:c r="S796" s="48"/>
      <x:c r="T796" s="48"/>
      <x:c r="U796" s="48"/>
      <x:c r="V796" s="48"/>
      <x:c r="W796" s="48"/>
      <x:c r="X796" s="48"/>
      <x:c r="Y796" s="48"/>
      <x:c r="Z796" s="48"/>
    </x:row>
    <x:row r="797">
      <x:c r="A797" s="48"/>
      <x:c r="B797" s="48"/>
      <x:c r="C797" s="48"/>
      <x:c r="D797" s="48"/>
      <x:c r="E797" s="48"/>
      <x:c r="F797" s="48"/>
      <x:c r="G797" s="48"/>
      <x:c r="H797" s="48"/>
      <x:c r="I797" s="48"/>
      <x:c r="J797" s="48"/>
      <x:c r="K797" s="48"/>
      <x:c r="L797" s="48"/>
      <x:c r="M797" s="48"/>
      <x:c r="N797" s="48"/>
      <x:c r="O797" s="48"/>
      <x:c r="P797" s="48"/>
      <x:c r="Q797" s="48"/>
      <x:c r="R797" s="48"/>
      <x:c r="S797" s="48"/>
      <x:c r="T797" s="48"/>
      <x:c r="U797" s="48"/>
      <x:c r="V797" s="48"/>
      <x:c r="W797" s="48"/>
      <x:c r="X797" s="48"/>
      <x:c r="Y797" s="48"/>
      <x:c r="Z797" s="48"/>
    </x:row>
    <x:row r="798">
      <x:c r="A798" s="48"/>
      <x:c r="B798" s="48"/>
      <x:c r="C798" s="48"/>
      <x:c r="D798" s="48"/>
      <x:c r="E798" s="48"/>
      <x:c r="F798" s="48"/>
      <x:c r="G798" s="48"/>
      <x:c r="H798" s="48"/>
      <x:c r="I798" s="48"/>
      <x:c r="J798" s="48"/>
      <x:c r="K798" s="48"/>
      <x:c r="L798" s="48"/>
      <x:c r="M798" s="48"/>
      <x:c r="N798" s="48"/>
      <x:c r="O798" s="48"/>
      <x:c r="P798" s="48"/>
      <x:c r="Q798" s="48"/>
      <x:c r="R798" s="48"/>
      <x:c r="S798" s="48"/>
      <x:c r="T798" s="48"/>
      <x:c r="U798" s="48"/>
      <x:c r="V798" s="48"/>
      <x:c r="W798" s="48"/>
      <x:c r="X798" s="48"/>
      <x:c r="Y798" s="48"/>
      <x:c r="Z798" s="48"/>
    </x:row>
    <x:row r="799">
      <x:c r="A799" s="48"/>
      <x:c r="B799" s="48"/>
      <x:c r="C799" s="48"/>
      <x:c r="D799" s="48"/>
      <x:c r="E799" s="48"/>
      <x:c r="F799" s="48"/>
      <x:c r="G799" s="48"/>
      <x:c r="H799" s="48"/>
      <x:c r="I799" s="48"/>
      <x:c r="J799" s="48"/>
      <x:c r="K799" s="48"/>
      <x:c r="L799" s="48"/>
      <x:c r="M799" s="48"/>
      <x:c r="N799" s="48"/>
      <x:c r="O799" s="48"/>
      <x:c r="P799" s="48"/>
      <x:c r="Q799" s="48"/>
      <x:c r="R799" s="48"/>
      <x:c r="S799" s="48"/>
      <x:c r="T799" s="48"/>
      <x:c r="U799" s="48"/>
      <x:c r="V799" s="48"/>
      <x:c r="W799" s="48"/>
      <x:c r="X799" s="48"/>
      <x:c r="Y799" s="48"/>
      <x:c r="Z799" s="48"/>
    </x:row>
    <x:row r="800">
      <x:c r="A800" s="48"/>
      <x:c r="B800" s="48"/>
      <x:c r="C800" s="48"/>
      <x:c r="D800" s="48"/>
      <x:c r="E800" s="48"/>
      <x:c r="F800" s="48"/>
      <x:c r="G800" s="48"/>
      <x:c r="H800" s="48"/>
      <x:c r="I800" s="48"/>
      <x:c r="J800" s="48"/>
      <x:c r="K800" s="48"/>
      <x:c r="L800" s="48"/>
      <x:c r="M800" s="48"/>
      <x:c r="N800" s="48"/>
      <x:c r="O800" s="48"/>
      <x:c r="P800" s="48"/>
      <x:c r="Q800" s="48"/>
      <x:c r="R800" s="48"/>
      <x:c r="S800" s="48"/>
      <x:c r="T800" s="48"/>
      <x:c r="U800" s="48"/>
      <x:c r="V800" s="48"/>
      <x:c r="W800" s="48"/>
      <x:c r="X800" s="48"/>
      <x:c r="Y800" s="48"/>
      <x:c r="Z800" s="48"/>
    </x:row>
    <x:row r="801">
      <x:c r="A801" s="48"/>
      <x:c r="B801" s="48"/>
      <x:c r="C801" s="48"/>
      <x:c r="D801" s="48"/>
      <x:c r="E801" s="48"/>
      <x:c r="F801" s="48"/>
      <x:c r="G801" s="48"/>
      <x:c r="H801" s="48"/>
      <x:c r="I801" s="48"/>
      <x:c r="J801" s="48"/>
      <x:c r="K801" s="48"/>
      <x:c r="L801" s="48"/>
      <x:c r="M801" s="48"/>
      <x:c r="N801" s="48"/>
      <x:c r="O801" s="48"/>
      <x:c r="P801" s="48"/>
      <x:c r="Q801" s="48"/>
      <x:c r="R801" s="48"/>
      <x:c r="S801" s="48"/>
      <x:c r="T801" s="48"/>
      <x:c r="U801" s="48"/>
      <x:c r="V801" s="48"/>
      <x:c r="W801" s="48"/>
      <x:c r="X801" s="48"/>
      <x:c r="Y801" s="48"/>
      <x:c r="Z801" s="48"/>
    </x:row>
    <x:row r="802">
      <x:c r="A802" s="48"/>
      <x:c r="B802" s="48"/>
      <x:c r="C802" s="48"/>
      <x:c r="D802" s="48"/>
      <x:c r="E802" s="48"/>
      <x:c r="F802" s="48"/>
      <x:c r="G802" s="48"/>
      <x:c r="H802" s="48"/>
      <x:c r="I802" s="48"/>
      <x:c r="J802" s="48"/>
      <x:c r="K802" s="48"/>
      <x:c r="L802" s="48"/>
      <x:c r="M802" s="48"/>
      <x:c r="N802" s="48"/>
      <x:c r="O802" s="48"/>
      <x:c r="P802" s="48"/>
      <x:c r="Q802" s="48"/>
      <x:c r="R802" s="48"/>
      <x:c r="S802" s="48"/>
      <x:c r="T802" s="48"/>
      <x:c r="U802" s="48"/>
      <x:c r="V802" s="48"/>
      <x:c r="W802" s="48"/>
      <x:c r="X802" s="48"/>
      <x:c r="Y802" s="48"/>
      <x:c r="Z802" s="48"/>
    </x:row>
    <x:row r="803">
      <x:c r="A803" s="48"/>
      <x:c r="B803" s="48"/>
      <x:c r="C803" s="48"/>
      <x:c r="D803" s="48"/>
      <x:c r="E803" s="48"/>
      <x:c r="F803" s="48"/>
      <x:c r="G803" s="48"/>
      <x:c r="H803" s="48"/>
      <x:c r="I803" s="48"/>
      <x:c r="J803" s="48"/>
      <x:c r="K803" s="48"/>
      <x:c r="L803" s="48"/>
      <x:c r="M803" s="48"/>
      <x:c r="N803" s="48"/>
      <x:c r="O803" s="48"/>
      <x:c r="P803" s="48"/>
      <x:c r="Q803" s="48"/>
      <x:c r="R803" s="48"/>
      <x:c r="S803" s="48"/>
      <x:c r="T803" s="48"/>
      <x:c r="U803" s="48"/>
      <x:c r="V803" s="48"/>
      <x:c r="W803" s="48"/>
      <x:c r="X803" s="48"/>
      <x:c r="Y803" s="48"/>
      <x:c r="Z803" s="48"/>
    </x:row>
    <x:row r="804">
      <x:c r="A804" s="48"/>
      <x:c r="B804" s="48"/>
      <x:c r="C804" s="48"/>
      <x:c r="D804" s="48"/>
      <x:c r="E804" s="48"/>
      <x:c r="F804" s="48"/>
      <x:c r="G804" s="48"/>
      <x:c r="H804" s="48"/>
      <x:c r="I804" s="48"/>
      <x:c r="J804" s="48"/>
      <x:c r="K804" s="48"/>
      <x:c r="L804" s="48"/>
      <x:c r="M804" s="48"/>
      <x:c r="N804" s="48"/>
      <x:c r="O804" s="48"/>
      <x:c r="P804" s="48"/>
      <x:c r="Q804" s="48"/>
      <x:c r="R804" s="48"/>
      <x:c r="S804" s="48"/>
      <x:c r="T804" s="48"/>
      <x:c r="U804" s="48"/>
      <x:c r="V804" s="48"/>
      <x:c r="W804" s="48"/>
      <x:c r="X804" s="48"/>
      <x:c r="Y804" s="48"/>
      <x:c r="Z804" s="48"/>
    </x:row>
    <x:row r="805">
      <x:c r="A805" s="48"/>
      <x:c r="B805" s="48"/>
      <x:c r="C805" s="48"/>
      <x:c r="D805" s="48"/>
      <x:c r="E805" s="48"/>
      <x:c r="F805" s="48"/>
      <x:c r="G805" s="48"/>
      <x:c r="H805" s="48"/>
      <x:c r="I805" s="48"/>
      <x:c r="J805" s="48"/>
      <x:c r="K805" s="48"/>
      <x:c r="L805" s="48"/>
      <x:c r="M805" s="48"/>
      <x:c r="N805" s="48"/>
      <x:c r="O805" s="48"/>
      <x:c r="P805" s="48"/>
      <x:c r="Q805" s="48"/>
      <x:c r="R805" s="48"/>
      <x:c r="S805" s="48"/>
      <x:c r="T805" s="48"/>
      <x:c r="U805" s="48"/>
      <x:c r="V805" s="48"/>
      <x:c r="W805" s="48"/>
      <x:c r="X805" s="48"/>
      <x:c r="Y805" s="48"/>
      <x:c r="Z805" s="48"/>
    </x:row>
    <x:row r="806">
      <x:c r="A806" s="48"/>
      <x:c r="B806" s="48"/>
      <x:c r="C806" s="48"/>
      <x:c r="D806" s="48"/>
      <x:c r="E806" s="48"/>
      <x:c r="F806" s="48"/>
      <x:c r="G806" s="48"/>
      <x:c r="H806" s="48"/>
      <x:c r="I806" s="48"/>
      <x:c r="J806" s="48"/>
      <x:c r="K806" s="48"/>
      <x:c r="L806" s="48"/>
      <x:c r="M806" s="48"/>
      <x:c r="N806" s="48"/>
      <x:c r="O806" s="48"/>
      <x:c r="P806" s="48"/>
      <x:c r="Q806" s="48"/>
      <x:c r="R806" s="48"/>
      <x:c r="S806" s="48"/>
      <x:c r="T806" s="48"/>
      <x:c r="U806" s="48"/>
      <x:c r="V806" s="48"/>
      <x:c r="W806" s="48"/>
      <x:c r="X806" s="48"/>
      <x:c r="Y806" s="48"/>
      <x:c r="Z806" s="48"/>
    </x:row>
    <x:row r="807">
      <x:c r="A807" s="48"/>
      <x:c r="B807" s="48"/>
      <x:c r="C807" s="48"/>
      <x:c r="D807" s="48"/>
      <x:c r="E807" s="48"/>
      <x:c r="F807" s="48"/>
      <x:c r="G807" s="48"/>
      <x:c r="H807" s="48"/>
      <x:c r="I807" s="48"/>
      <x:c r="J807" s="48"/>
      <x:c r="K807" s="48"/>
      <x:c r="L807" s="48"/>
      <x:c r="M807" s="48"/>
      <x:c r="N807" s="48"/>
      <x:c r="O807" s="48"/>
      <x:c r="P807" s="48"/>
      <x:c r="Q807" s="48"/>
      <x:c r="R807" s="48"/>
      <x:c r="S807" s="48"/>
      <x:c r="T807" s="48"/>
      <x:c r="U807" s="48"/>
      <x:c r="V807" s="48"/>
      <x:c r="W807" s="48"/>
      <x:c r="X807" s="48"/>
      <x:c r="Y807" s="48"/>
      <x:c r="Z807" s="48"/>
    </x:row>
    <x:row r="808">
      <x:c r="A808" s="48"/>
      <x:c r="B808" s="48"/>
      <x:c r="C808" s="48"/>
      <x:c r="D808" s="48"/>
      <x:c r="E808" s="48"/>
      <x:c r="F808" s="48"/>
      <x:c r="G808" s="48"/>
      <x:c r="H808" s="48"/>
      <x:c r="I808" s="48"/>
      <x:c r="J808" s="48"/>
      <x:c r="K808" s="48"/>
      <x:c r="L808" s="48"/>
      <x:c r="M808" s="48"/>
      <x:c r="N808" s="48"/>
      <x:c r="O808" s="48"/>
      <x:c r="P808" s="48"/>
      <x:c r="Q808" s="48"/>
      <x:c r="R808" s="48"/>
      <x:c r="S808" s="48"/>
      <x:c r="T808" s="48"/>
      <x:c r="U808" s="48"/>
      <x:c r="V808" s="48"/>
      <x:c r="W808" s="48"/>
      <x:c r="X808" s="48"/>
      <x:c r="Y808" s="48"/>
      <x:c r="Z808" s="48"/>
    </x:row>
    <x:row r="809">
      <x:c r="A809" s="48"/>
      <x:c r="B809" s="48"/>
      <x:c r="C809" s="48"/>
      <x:c r="D809" s="48"/>
      <x:c r="E809" s="48"/>
      <x:c r="F809" s="48"/>
      <x:c r="G809" s="48"/>
      <x:c r="H809" s="48"/>
      <x:c r="I809" s="48"/>
      <x:c r="J809" s="48"/>
      <x:c r="K809" s="48"/>
      <x:c r="L809" s="48"/>
      <x:c r="M809" s="48"/>
      <x:c r="N809" s="48"/>
      <x:c r="O809" s="48"/>
      <x:c r="P809" s="48"/>
      <x:c r="Q809" s="48"/>
      <x:c r="R809" s="48"/>
      <x:c r="S809" s="48"/>
      <x:c r="T809" s="48"/>
      <x:c r="U809" s="48"/>
      <x:c r="V809" s="48"/>
      <x:c r="W809" s="48"/>
      <x:c r="X809" s="48"/>
      <x:c r="Y809" s="48"/>
      <x:c r="Z809" s="48"/>
    </x:row>
    <x:row r="810">
      <x:c r="A810" s="48"/>
      <x:c r="B810" s="48"/>
      <x:c r="C810" s="48"/>
      <x:c r="D810" s="48"/>
      <x:c r="E810" s="48"/>
      <x:c r="F810" s="48"/>
      <x:c r="G810" s="48"/>
      <x:c r="H810" s="48"/>
      <x:c r="I810" s="48"/>
      <x:c r="J810" s="48"/>
      <x:c r="K810" s="48"/>
      <x:c r="L810" s="48"/>
      <x:c r="M810" s="48"/>
      <x:c r="N810" s="48"/>
      <x:c r="O810" s="48"/>
      <x:c r="P810" s="48"/>
      <x:c r="Q810" s="48"/>
      <x:c r="R810" s="48"/>
      <x:c r="S810" s="48"/>
      <x:c r="T810" s="48"/>
      <x:c r="U810" s="48"/>
      <x:c r="V810" s="48"/>
      <x:c r="W810" s="48"/>
      <x:c r="X810" s="48"/>
      <x:c r="Y810" s="48"/>
      <x:c r="Z810" s="48"/>
    </x:row>
    <x:row r="811">
      <x:c r="A811" s="48"/>
      <x:c r="B811" s="48"/>
      <x:c r="C811" s="48"/>
      <x:c r="D811" s="48"/>
      <x:c r="E811" s="48"/>
      <x:c r="F811" s="48"/>
      <x:c r="G811" s="48"/>
      <x:c r="H811" s="48"/>
      <x:c r="I811" s="48"/>
      <x:c r="J811" s="48"/>
      <x:c r="K811" s="48"/>
      <x:c r="L811" s="48"/>
      <x:c r="M811" s="48"/>
      <x:c r="N811" s="48"/>
      <x:c r="O811" s="48"/>
      <x:c r="P811" s="48"/>
      <x:c r="Q811" s="48"/>
      <x:c r="R811" s="48"/>
      <x:c r="S811" s="48"/>
      <x:c r="T811" s="48"/>
      <x:c r="U811" s="48"/>
      <x:c r="V811" s="48"/>
      <x:c r="W811" s="48"/>
      <x:c r="X811" s="48"/>
      <x:c r="Y811" s="48"/>
      <x:c r="Z811" s="48"/>
    </x:row>
    <x:row r="812">
      <x:c r="A812" s="48"/>
      <x:c r="B812" s="48"/>
      <x:c r="C812" s="48"/>
      <x:c r="D812" s="48"/>
      <x:c r="E812" s="48"/>
      <x:c r="F812" s="48"/>
      <x:c r="G812" s="48"/>
      <x:c r="H812" s="48"/>
      <x:c r="I812" s="48"/>
      <x:c r="J812" s="48"/>
      <x:c r="K812" s="48"/>
      <x:c r="L812" s="48"/>
      <x:c r="M812" s="48"/>
      <x:c r="N812" s="48"/>
      <x:c r="O812" s="48"/>
      <x:c r="P812" s="48"/>
      <x:c r="Q812" s="48"/>
      <x:c r="R812" s="48"/>
      <x:c r="S812" s="48"/>
      <x:c r="T812" s="48"/>
      <x:c r="U812" s="48"/>
      <x:c r="V812" s="48"/>
      <x:c r="W812" s="48"/>
      <x:c r="X812" s="48"/>
      <x:c r="Y812" s="48"/>
      <x:c r="Z812" s="48"/>
    </x:row>
    <x:row r="813">
      <x:c r="A813" s="48"/>
      <x:c r="B813" s="48"/>
      <x:c r="C813" s="48"/>
      <x:c r="D813" s="48"/>
      <x:c r="E813" s="48"/>
      <x:c r="F813" s="48"/>
      <x:c r="G813" s="48"/>
      <x:c r="H813" s="48"/>
      <x:c r="I813" s="48"/>
      <x:c r="J813" s="48"/>
      <x:c r="K813" s="48"/>
      <x:c r="L813" s="48"/>
      <x:c r="M813" s="48"/>
      <x:c r="N813" s="48"/>
      <x:c r="O813" s="48"/>
      <x:c r="P813" s="48"/>
      <x:c r="Q813" s="48"/>
      <x:c r="R813" s="48"/>
      <x:c r="S813" s="48"/>
      <x:c r="T813" s="48"/>
      <x:c r="U813" s="48"/>
      <x:c r="V813" s="48"/>
      <x:c r="W813" s="48"/>
      <x:c r="X813" s="48"/>
      <x:c r="Y813" s="48"/>
      <x:c r="Z813" s="48"/>
    </x:row>
    <x:row r="814">
      <x:c r="A814" s="48"/>
      <x:c r="B814" s="48"/>
      <x:c r="C814" s="48"/>
      <x:c r="D814" s="48"/>
      <x:c r="E814" s="48"/>
      <x:c r="F814" s="48"/>
      <x:c r="G814" s="48"/>
      <x:c r="H814" s="48"/>
      <x:c r="I814" s="48"/>
      <x:c r="J814" s="48"/>
      <x:c r="K814" s="48"/>
      <x:c r="L814" s="48"/>
      <x:c r="M814" s="48"/>
      <x:c r="N814" s="48"/>
      <x:c r="O814" s="48"/>
      <x:c r="P814" s="48"/>
      <x:c r="Q814" s="48"/>
      <x:c r="R814" s="48"/>
      <x:c r="S814" s="48"/>
      <x:c r="T814" s="48"/>
      <x:c r="U814" s="48"/>
      <x:c r="V814" s="48"/>
      <x:c r="W814" s="48"/>
      <x:c r="X814" s="48"/>
      <x:c r="Y814" s="48"/>
      <x:c r="Z814" s="48"/>
    </x:row>
    <x:row r="815">
      <x:c r="A815" s="48"/>
      <x:c r="B815" s="48"/>
      <x:c r="C815" s="48"/>
      <x:c r="D815" s="48"/>
      <x:c r="E815" s="48"/>
      <x:c r="F815" s="48"/>
      <x:c r="G815" s="48"/>
      <x:c r="H815" s="48"/>
      <x:c r="I815" s="48"/>
      <x:c r="J815" s="48"/>
      <x:c r="K815" s="48"/>
      <x:c r="L815" s="48"/>
      <x:c r="M815" s="48"/>
      <x:c r="N815" s="48"/>
      <x:c r="O815" s="48"/>
      <x:c r="P815" s="48"/>
      <x:c r="Q815" s="48"/>
      <x:c r="R815" s="48"/>
      <x:c r="S815" s="48"/>
      <x:c r="T815" s="48"/>
      <x:c r="U815" s="48"/>
      <x:c r="V815" s="48"/>
      <x:c r="W815" s="48"/>
      <x:c r="X815" s="48"/>
      <x:c r="Y815" s="48"/>
      <x:c r="Z815" s="48"/>
    </x:row>
    <x:row r="816">
      <x:c r="A816" s="48"/>
      <x:c r="B816" s="48"/>
      <x:c r="C816" s="48"/>
      <x:c r="D816" s="48"/>
      <x:c r="E816" s="48"/>
      <x:c r="F816" s="48"/>
      <x:c r="G816" s="48"/>
      <x:c r="H816" s="48"/>
      <x:c r="I816" s="48"/>
      <x:c r="J816" s="48"/>
      <x:c r="K816" s="48"/>
      <x:c r="L816" s="48"/>
      <x:c r="M816" s="48"/>
      <x:c r="N816" s="48"/>
      <x:c r="O816" s="48"/>
      <x:c r="P816" s="48"/>
      <x:c r="Q816" s="48"/>
      <x:c r="R816" s="48"/>
      <x:c r="S816" s="48"/>
      <x:c r="T816" s="48"/>
      <x:c r="U816" s="48"/>
      <x:c r="V816" s="48"/>
      <x:c r="W816" s="48"/>
      <x:c r="X816" s="48"/>
      <x:c r="Y816" s="48"/>
      <x:c r="Z816" s="48"/>
    </x:row>
    <x:row r="817">
      <x:c r="A817" s="48"/>
      <x:c r="B817" s="48"/>
      <x:c r="C817" s="48"/>
      <x:c r="D817" s="48"/>
      <x:c r="E817" s="48"/>
      <x:c r="F817" s="48"/>
      <x:c r="G817" s="48"/>
      <x:c r="H817" s="48"/>
      <x:c r="I817" s="48"/>
      <x:c r="J817" s="48"/>
      <x:c r="K817" s="48"/>
      <x:c r="L817" s="48"/>
      <x:c r="M817" s="48"/>
      <x:c r="N817" s="48"/>
      <x:c r="O817" s="48"/>
      <x:c r="P817" s="48"/>
      <x:c r="Q817" s="48"/>
      <x:c r="R817" s="48"/>
      <x:c r="S817" s="48"/>
      <x:c r="T817" s="48"/>
      <x:c r="U817" s="48"/>
      <x:c r="V817" s="48"/>
      <x:c r="W817" s="48"/>
      <x:c r="X817" s="48"/>
      <x:c r="Y817" s="48"/>
      <x:c r="Z817" s="48"/>
    </x:row>
    <x:row r="818">
      <x:c r="A818" s="48"/>
      <x:c r="B818" s="48"/>
      <x:c r="C818" s="48"/>
      <x:c r="D818" s="48"/>
      <x:c r="E818" s="48"/>
      <x:c r="F818" s="48"/>
      <x:c r="G818" s="48"/>
      <x:c r="H818" s="48"/>
      <x:c r="I818" s="48"/>
      <x:c r="J818" s="48"/>
      <x:c r="K818" s="48"/>
      <x:c r="L818" s="48"/>
      <x:c r="M818" s="48"/>
      <x:c r="N818" s="48"/>
      <x:c r="O818" s="48"/>
      <x:c r="P818" s="48"/>
      <x:c r="Q818" s="48"/>
      <x:c r="R818" s="48"/>
      <x:c r="S818" s="48"/>
      <x:c r="T818" s="48"/>
      <x:c r="U818" s="48"/>
      <x:c r="V818" s="48"/>
      <x:c r="W818" s="48"/>
      <x:c r="X818" s="48"/>
      <x:c r="Y818" s="48"/>
      <x:c r="Z818" s="48"/>
    </x:row>
    <x:row r="819">
      <x:c r="A819" s="48"/>
      <x:c r="B819" s="48"/>
      <x:c r="C819" s="48"/>
      <x:c r="D819" s="48"/>
      <x:c r="E819" s="48"/>
      <x:c r="F819" s="48"/>
      <x:c r="G819" s="48"/>
      <x:c r="H819" s="48"/>
      <x:c r="I819" s="48"/>
      <x:c r="J819" s="48"/>
      <x:c r="K819" s="48"/>
      <x:c r="L819" s="48"/>
      <x:c r="M819" s="48"/>
      <x:c r="N819" s="48"/>
      <x:c r="O819" s="48"/>
      <x:c r="P819" s="48"/>
      <x:c r="Q819" s="48"/>
      <x:c r="R819" s="48"/>
      <x:c r="S819" s="48"/>
      <x:c r="T819" s="48"/>
      <x:c r="U819" s="48"/>
      <x:c r="V819" s="48"/>
      <x:c r="W819" s="48"/>
      <x:c r="X819" s="48"/>
      <x:c r="Y819" s="48"/>
      <x:c r="Z819" s="48"/>
    </x:row>
    <x:row r="820">
      <x:c r="A820" s="48"/>
      <x:c r="B820" s="48"/>
      <x:c r="C820" s="48"/>
      <x:c r="D820" s="48"/>
      <x:c r="E820" s="48"/>
      <x:c r="F820" s="48"/>
      <x:c r="G820" s="48"/>
      <x:c r="H820" s="48"/>
      <x:c r="I820" s="48"/>
      <x:c r="J820" s="48"/>
      <x:c r="K820" s="48"/>
      <x:c r="L820" s="48"/>
      <x:c r="M820" s="48"/>
      <x:c r="N820" s="48"/>
      <x:c r="O820" s="48"/>
      <x:c r="P820" s="48"/>
      <x:c r="Q820" s="48"/>
      <x:c r="R820" s="48"/>
      <x:c r="S820" s="48"/>
      <x:c r="T820" s="48"/>
      <x:c r="U820" s="48"/>
      <x:c r="V820" s="48"/>
      <x:c r="W820" s="48"/>
      <x:c r="X820" s="48"/>
      <x:c r="Y820" s="48"/>
      <x:c r="Z820" s="48"/>
    </x:row>
    <x:row r="821">
      <x:c r="A821" s="48"/>
      <x:c r="B821" s="48"/>
      <x:c r="C821" s="48"/>
      <x:c r="D821" s="48"/>
      <x:c r="E821" s="48"/>
      <x:c r="F821" s="48"/>
      <x:c r="G821" s="48"/>
      <x:c r="H821" s="48"/>
      <x:c r="I821" s="48"/>
      <x:c r="J821" s="48"/>
      <x:c r="K821" s="48"/>
      <x:c r="L821" s="48"/>
      <x:c r="M821" s="48"/>
      <x:c r="N821" s="48"/>
      <x:c r="O821" s="48"/>
      <x:c r="P821" s="48"/>
      <x:c r="Q821" s="48"/>
      <x:c r="R821" s="48"/>
      <x:c r="S821" s="48"/>
      <x:c r="T821" s="48"/>
      <x:c r="U821" s="48"/>
      <x:c r="V821" s="48"/>
      <x:c r="W821" s="48"/>
      <x:c r="X821" s="48"/>
      <x:c r="Y821" s="48"/>
      <x:c r="Z821" s="48"/>
    </x:row>
    <x:row r="822">
      <x:c r="A822" s="48"/>
      <x:c r="B822" s="48"/>
      <x:c r="C822" s="48"/>
      <x:c r="D822" s="48"/>
      <x:c r="E822" s="48"/>
      <x:c r="F822" s="48"/>
      <x:c r="G822" s="48"/>
      <x:c r="H822" s="48"/>
      <x:c r="I822" s="48"/>
      <x:c r="J822" s="48"/>
      <x:c r="K822" s="48"/>
      <x:c r="L822" s="48"/>
      <x:c r="M822" s="48"/>
      <x:c r="N822" s="48"/>
      <x:c r="O822" s="48"/>
      <x:c r="P822" s="48"/>
      <x:c r="Q822" s="48"/>
      <x:c r="R822" s="48"/>
      <x:c r="S822" s="48"/>
      <x:c r="T822" s="48"/>
      <x:c r="U822" s="48"/>
      <x:c r="V822" s="48"/>
      <x:c r="W822" s="48"/>
      <x:c r="X822" s="48"/>
      <x:c r="Y822" s="48"/>
      <x:c r="Z822" s="48"/>
    </x:row>
    <x:row r="823">
      <x:c r="A823" s="48"/>
      <x:c r="B823" s="48"/>
      <x:c r="C823" s="48"/>
      <x:c r="D823" s="48"/>
      <x:c r="E823" s="48"/>
      <x:c r="F823" s="48"/>
      <x:c r="G823" s="48"/>
      <x:c r="H823" s="48"/>
      <x:c r="I823" s="48"/>
      <x:c r="J823" s="48"/>
      <x:c r="K823" s="48"/>
      <x:c r="L823" s="48"/>
      <x:c r="M823" s="48"/>
      <x:c r="N823" s="48"/>
      <x:c r="O823" s="48"/>
      <x:c r="P823" s="48"/>
      <x:c r="Q823" s="48"/>
      <x:c r="R823" s="48"/>
      <x:c r="S823" s="48"/>
      <x:c r="T823" s="48"/>
      <x:c r="U823" s="48"/>
      <x:c r="V823" s="48"/>
      <x:c r="W823" s="48"/>
      <x:c r="X823" s="48"/>
      <x:c r="Y823" s="48"/>
      <x:c r="Z823" s="48"/>
    </x:row>
    <x:row r="824">
      <x:c r="A824" s="48"/>
      <x:c r="B824" s="48"/>
      <x:c r="C824" s="48"/>
      <x:c r="D824" s="48"/>
      <x:c r="E824" s="48"/>
      <x:c r="F824" s="48"/>
      <x:c r="G824" s="48"/>
      <x:c r="H824" s="48"/>
      <x:c r="I824" s="48"/>
      <x:c r="J824" s="48"/>
      <x:c r="K824" s="48"/>
      <x:c r="L824" s="48"/>
      <x:c r="M824" s="48"/>
      <x:c r="N824" s="48"/>
      <x:c r="O824" s="48"/>
      <x:c r="P824" s="48"/>
      <x:c r="Q824" s="48"/>
      <x:c r="R824" s="48"/>
      <x:c r="S824" s="48"/>
      <x:c r="T824" s="48"/>
      <x:c r="U824" s="48"/>
      <x:c r="V824" s="48"/>
      <x:c r="W824" s="48"/>
      <x:c r="X824" s="48"/>
      <x:c r="Y824" s="48"/>
      <x:c r="Z824" s="48"/>
    </x:row>
    <x:row r="825">
      <x:c r="A825" s="48"/>
      <x:c r="B825" s="48"/>
      <x:c r="C825" s="48"/>
      <x:c r="D825" s="48"/>
      <x:c r="E825" s="48"/>
      <x:c r="F825" s="48"/>
      <x:c r="G825" s="48"/>
      <x:c r="H825" s="48"/>
      <x:c r="I825" s="48"/>
      <x:c r="J825" s="48"/>
      <x:c r="K825" s="48"/>
      <x:c r="L825" s="48"/>
      <x:c r="M825" s="48"/>
      <x:c r="N825" s="48"/>
      <x:c r="O825" s="48"/>
      <x:c r="P825" s="48"/>
      <x:c r="Q825" s="48"/>
      <x:c r="R825" s="48"/>
      <x:c r="S825" s="48"/>
      <x:c r="T825" s="48"/>
      <x:c r="U825" s="48"/>
      <x:c r="V825" s="48"/>
      <x:c r="W825" s="48"/>
      <x:c r="X825" s="48"/>
      <x:c r="Y825" s="48"/>
      <x:c r="Z825" s="48"/>
    </x:row>
    <x:row r="826">
      <x:c r="A826" s="48"/>
      <x:c r="B826" s="48"/>
      <x:c r="C826" s="48"/>
      <x:c r="D826" s="48"/>
      <x:c r="E826" s="48"/>
      <x:c r="F826" s="48"/>
      <x:c r="G826" s="48"/>
      <x:c r="H826" s="48"/>
      <x:c r="I826" s="48"/>
      <x:c r="J826" s="48"/>
      <x:c r="K826" s="48"/>
      <x:c r="L826" s="48"/>
      <x:c r="M826" s="48"/>
      <x:c r="N826" s="48"/>
      <x:c r="O826" s="48"/>
      <x:c r="P826" s="48"/>
      <x:c r="Q826" s="48"/>
      <x:c r="R826" s="48"/>
      <x:c r="S826" s="48"/>
      <x:c r="T826" s="48"/>
      <x:c r="U826" s="48"/>
      <x:c r="V826" s="48"/>
      <x:c r="W826" s="48"/>
      <x:c r="X826" s="48"/>
      <x:c r="Y826" s="48"/>
      <x:c r="Z826" s="48"/>
    </x:row>
    <x:row r="827">
      <x:c r="A827" s="48"/>
      <x:c r="B827" s="48"/>
      <x:c r="C827" s="48"/>
      <x:c r="D827" s="48"/>
      <x:c r="E827" s="48"/>
      <x:c r="F827" s="48"/>
      <x:c r="G827" s="48"/>
      <x:c r="H827" s="48"/>
      <x:c r="I827" s="48"/>
      <x:c r="J827" s="48"/>
      <x:c r="K827" s="48"/>
      <x:c r="L827" s="48"/>
      <x:c r="M827" s="48"/>
      <x:c r="N827" s="48"/>
      <x:c r="O827" s="48"/>
      <x:c r="P827" s="48"/>
      <x:c r="Q827" s="48"/>
      <x:c r="R827" s="48"/>
      <x:c r="S827" s="48"/>
      <x:c r="T827" s="48"/>
      <x:c r="U827" s="48"/>
      <x:c r="V827" s="48"/>
      <x:c r="W827" s="48"/>
      <x:c r="X827" s="48"/>
      <x:c r="Y827" s="48"/>
      <x:c r="Z827" s="48"/>
    </x:row>
    <x:row r="828">
      <x:c r="A828" s="48"/>
      <x:c r="B828" s="48"/>
      <x:c r="C828" s="48"/>
      <x:c r="D828" s="48"/>
      <x:c r="E828" s="48"/>
      <x:c r="F828" s="48"/>
      <x:c r="G828" s="48"/>
      <x:c r="H828" s="48"/>
      <x:c r="I828" s="48"/>
      <x:c r="J828" s="48"/>
      <x:c r="K828" s="48"/>
      <x:c r="L828" s="48"/>
      <x:c r="M828" s="48"/>
      <x:c r="N828" s="48"/>
      <x:c r="O828" s="48"/>
      <x:c r="P828" s="48"/>
      <x:c r="Q828" s="48"/>
      <x:c r="R828" s="48"/>
      <x:c r="S828" s="48"/>
      <x:c r="T828" s="48"/>
      <x:c r="U828" s="48"/>
      <x:c r="V828" s="48"/>
      <x:c r="W828" s="48"/>
      <x:c r="X828" s="48"/>
      <x:c r="Y828" s="48"/>
      <x:c r="Z828" s="48"/>
    </x:row>
    <x:row r="829">
      <x:c r="A829" s="48"/>
      <x:c r="B829" s="48"/>
      <x:c r="C829" s="48"/>
      <x:c r="D829" s="48"/>
      <x:c r="E829" s="48"/>
      <x:c r="F829" s="48"/>
      <x:c r="G829" s="48"/>
      <x:c r="H829" s="48"/>
      <x:c r="I829" s="48"/>
      <x:c r="J829" s="48"/>
      <x:c r="K829" s="48"/>
      <x:c r="L829" s="48"/>
      <x:c r="M829" s="48"/>
      <x:c r="N829" s="48"/>
      <x:c r="O829" s="48"/>
      <x:c r="P829" s="48"/>
      <x:c r="Q829" s="48"/>
      <x:c r="R829" s="48"/>
      <x:c r="S829" s="48"/>
      <x:c r="T829" s="48"/>
      <x:c r="U829" s="48"/>
      <x:c r="V829" s="48"/>
      <x:c r="W829" s="48"/>
      <x:c r="X829" s="48"/>
      <x:c r="Y829" s="48"/>
      <x:c r="Z829" s="48"/>
    </x:row>
    <x:row r="830">
      <x:c r="A830" s="48"/>
      <x:c r="B830" s="48"/>
      <x:c r="C830" s="48"/>
      <x:c r="D830" s="48"/>
      <x:c r="E830" s="48"/>
      <x:c r="F830" s="48"/>
      <x:c r="G830" s="48"/>
      <x:c r="H830" s="48"/>
      <x:c r="I830" s="48"/>
      <x:c r="J830" s="48"/>
      <x:c r="K830" s="48"/>
      <x:c r="L830" s="48"/>
      <x:c r="M830" s="48"/>
      <x:c r="N830" s="48"/>
      <x:c r="O830" s="48"/>
      <x:c r="P830" s="48"/>
      <x:c r="Q830" s="48"/>
      <x:c r="R830" s="48"/>
      <x:c r="S830" s="48"/>
      <x:c r="T830" s="48"/>
      <x:c r="U830" s="48"/>
      <x:c r="V830" s="48"/>
      <x:c r="W830" s="48"/>
      <x:c r="X830" s="48"/>
      <x:c r="Y830" s="48"/>
      <x:c r="Z830" s="48"/>
    </x:row>
    <x:row r="831">
      <x:c r="A831" s="48"/>
      <x:c r="B831" s="48"/>
      <x:c r="C831" s="48"/>
      <x:c r="D831" s="48"/>
      <x:c r="E831" s="48"/>
      <x:c r="F831" s="48"/>
      <x:c r="G831" s="48"/>
      <x:c r="H831" s="48"/>
      <x:c r="I831" s="48"/>
      <x:c r="J831" s="48"/>
      <x:c r="K831" s="48"/>
      <x:c r="L831" s="48"/>
      <x:c r="M831" s="48"/>
      <x:c r="N831" s="48"/>
      <x:c r="O831" s="48"/>
      <x:c r="P831" s="48"/>
      <x:c r="Q831" s="48"/>
      <x:c r="R831" s="48"/>
      <x:c r="S831" s="48"/>
      <x:c r="T831" s="48"/>
      <x:c r="U831" s="48"/>
      <x:c r="V831" s="48"/>
      <x:c r="W831" s="48"/>
      <x:c r="X831" s="48"/>
      <x:c r="Y831" s="48"/>
      <x:c r="Z831" s="48"/>
    </x:row>
    <x:row r="832">
      <x:c r="A832" s="48"/>
      <x:c r="B832" s="48"/>
      <x:c r="C832" s="48"/>
      <x:c r="D832" s="48"/>
      <x:c r="E832" s="48"/>
      <x:c r="F832" s="48"/>
      <x:c r="G832" s="48"/>
      <x:c r="H832" s="48"/>
      <x:c r="I832" s="48"/>
      <x:c r="J832" s="48"/>
      <x:c r="K832" s="48"/>
      <x:c r="L832" s="48"/>
      <x:c r="M832" s="48"/>
      <x:c r="N832" s="48"/>
      <x:c r="O832" s="48"/>
      <x:c r="P832" s="48"/>
      <x:c r="Q832" s="48"/>
      <x:c r="R832" s="48"/>
      <x:c r="S832" s="48"/>
      <x:c r="T832" s="48"/>
      <x:c r="U832" s="48"/>
      <x:c r="V832" s="48"/>
      <x:c r="W832" s="48"/>
      <x:c r="X832" s="48"/>
      <x:c r="Y832" s="48"/>
      <x:c r="Z832" s="48"/>
    </x:row>
    <x:row r="833">
      <x:c r="A833" s="48"/>
      <x:c r="B833" s="48"/>
      <x:c r="C833" s="48"/>
      <x:c r="D833" s="48"/>
      <x:c r="E833" s="48"/>
      <x:c r="F833" s="48"/>
      <x:c r="G833" s="48"/>
      <x:c r="H833" s="48"/>
      <x:c r="I833" s="48"/>
      <x:c r="J833" s="48"/>
      <x:c r="K833" s="48"/>
      <x:c r="L833" s="48"/>
      <x:c r="M833" s="48"/>
      <x:c r="N833" s="48"/>
      <x:c r="O833" s="48"/>
      <x:c r="P833" s="48"/>
      <x:c r="Q833" s="48"/>
      <x:c r="R833" s="48"/>
      <x:c r="S833" s="48"/>
      <x:c r="T833" s="48"/>
      <x:c r="U833" s="48"/>
      <x:c r="V833" s="48"/>
      <x:c r="W833" s="48"/>
      <x:c r="X833" s="48"/>
      <x:c r="Y833" s="48"/>
      <x:c r="Z833" s="48"/>
    </x:row>
    <x:row r="834">
      <x:c r="A834" s="48"/>
      <x:c r="B834" s="48"/>
      <x:c r="C834" s="48"/>
      <x:c r="D834" s="48"/>
      <x:c r="E834" s="48"/>
      <x:c r="F834" s="48"/>
      <x:c r="G834" s="48"/>
      <x:c r="H834" s="48"/>
      <x:c r="I834" s="48"/>
      <x:c r="J834" s="48"/>
      <x:c r="K834" s="48"/>
      <x:c r="L834" s="48"/>
      <x:c r="M834" s="48"/>
      <x:c r="N834" s="48"/>
      <x:c r="O834" s="48"/>
      <x:c r="P834" s="48"/>
      <x:c r="Q834" s="48"/>
      <x:c r="R834" s="48"/>
      <x:c r="S834" s="48"/>
      <x:c r="T834" s="48"/>
      <x:c r="U834" s="48"/>
      <x:c r="V834" s="48"/>
      <x:c r="W834" s="48"/>
      <x:c r="X834" s="48"/>
      <x:c r="Y834" s="48"/>
      <x:c r="Z834" s="48"/>
    </x:row>
    <x:row r="835">
      <x:c r="A835" s="48"/>
      <x:c r="B835" s="48"/>
      <x:c r="C835" s="48"/>
      <x:c r="D835" s="48"/>
      <x:c r="E835" s="48"/>
      <x:c r="F835" s="48"/>
      <x:c r="G835" s="48"/>
      <x:c r="H835" s="48"/>
      <x:c r="I835" s="48"/>
      <x:c r="J835" s="48"/>
      <x:c r="K835" s="48"/>
      <x:c r="L835" s="48"/>
      <x:c r="M835" s="48"/>
      <x:c r="N835" s="48"/>
      <x:c r="O835" s="48"/>
      <x:c r="P835" s="48"/>
      <x:c r="Q835" s="48"/>
      <x:c r="R835" s="48"/>
      <x:c r="S835" s="48"/>
      <x:c r="T835" s="48"/>
      <x:c r="U835" s="48"/>
      <x:c r="V835" s="48"/>
      <x:c r="W835" s="48"/>
      <x:c r="X835" s="48"/>
      <x:c r="Y835" s="48"/>
      <x:c r="Z835" s="48"/>
    </x:row>
    <x:row r="836">
      <x:c r="A836" s="48"/>
      <x:c r="B836" s="48"/>
      <x:c r="C836" s="48"/>
      <x:c r="D836" s="48"/>
      <x:c r="E836" s="48"/>
      <x:c r="F836" s="48"/>
      <x:c r="G836" s="48"/>
      <x:c r="H836" s="48"/>
      <x:c r="I836" s="48"/>
      <x:c r="J836" s="48"/>
      <x:c r="K836" s="48"/>
      <x:c r="L836" s="48"/>
      <x:c r="M836" s="48"/>
      <x:c r="N836" s="48"/>
      <x:c r="O836" s="48"/>
      <x:c r="P836" s="48"/>
      <x:c r="Q836" s="48"/>
      <x:c r="R836" s="48"/>
      <x:c r="S836" s="48"/>
      <x:c r="T836" s="48"/>
      <x:c r="U836" s="48"/>
      <x:c r="V836" s="48"/>
      <x:c r="W836" s="48"/>
      <x:c r="X836" s="48"/>
      <x:c r="Y836" s="48"/>
      <x:c r="Z836" s="48"/>
    </x:row>
    <x:row r="837">
      <x:c r="A837" s="48"/>
      <x:c r="B837" s="48"/>
      <x:c r="C837" s="48"/>
      <x:c r="D837" s="48"/>
      <x:c r="E837" s="48"/>
      <x:c r="F837" s="48"/>
      <x:c r="G837" s="48"/>
      <x:c r="H837" s="48"/>
      <x:c r="I837" s="48"/>
      <x:c r="J837" s="48"/>
      <x:c r="K837" s="48"/>
      <x:c r="L837" s="48"/>
      <x:c r="M837" s="48"/>
      <x:c r="N837" s="48"/>
      <x:c r="O837" s="48"/>
      <x:c r="P837" s="48"/>
      <x:c r="Q837" s="48"/>
      <x:c r="R837" s="48"/>
      <x:c r="S837" s="48"/>
      <x:c r="T837" s="48"/>
      <x:c r="U837" s="48"/>
      <x:c r="V837" s="48"/>
      <x:c r="W837" s="48"/>
      <x:c r="X837" s="48"/>
      <x:c r="Y837" s="48"/>
      <x:c r="Z837" s="48"/>
    </x:row>
    <x:row r="838">
      <x:c r="A838" s="48"/>
      <x:c r="B838" s="48"/>
      <x:c r="C838" s="48"/>
      <x:c r="D838" s="48"/>
      <x:c r="E838" s="48"/>
      <x:c r="F838" s="48"/>
      <x:c r="G838" s="48"/>
      <x:c r="H838" s="48"/>
      <x:c r="I838" s="48"/>
      <x:c r="J838" s="48"/>
      <x:c r="K838" s="48"/>
      <x:c r="L838" s="48"/>
      <x:c r="M838" s="48"/>
      <x:c r="N838" s="48"/>
      <x:c r="O838" s="48"/>
      <x:c r="P838" s="48"/>
      <x:c r="Q838" s="48"/>
      <x:c r="R838" s="48"/>
      <x:c r="S838" s="48"/>
      <x:c r="T838" s="48"/>
      <x:c r="U838" s="48"/>
      <x:c r="V838" s="48"/>
      <x:c r="W838" s="48"/>
      <x:c r="X838" s="48"/>
      <x:c r="Y838" s="48"/>
      <x:c r="Z838" s="48"/>
    </x:row>
    <x:row r="839">
      <x:c r="A839" s="48"/>
      <x:c r="B839" s="48"/>
      <x:c r="C839" s="48"/>
      <x:c r="D839" s="48"/>
      <x:c r="E839" s="48"/>
      <x:c r="F839" s="48"/>
      <x:c r="G839" s="48"/>
      <x:c r="H839" s="48"/>
      <x:c r="I839" s="48"/>
      <x:c r="J839" s="48"/>
      <x:c r="K839" s="48"/>
      <x:c r="L839" s="48"/>
      <x:c r="M839" s="48"/>
      <x:c r="N839" s="48"/>
      <x:c r="O839" s="48"/>
      <x:c r="P839" s="48"/>
      <x:c r="Q839" s="48"/>
      <x:c r="R839" s="48"/>
      <x:c r="S839" s="48"/>
      <x:c r="T839" s="48"/>
      <x:c r="U839" s="48"/>
      <x:c r="V839" s="48"/>
      <x:c r="W839" s="48"/>
      <x:c r="X839" s="48"/>
      <x:c r="Y839" s="48"/>
      <x:c r="Z839" s="48"/>
    </x:row>
    <x:row r="840">
      <x:c r="A840" s="48"/>
      <x:c r="B840" s="48"/>
      <x:c r="C840" s="48"/>
      <x:c r="D840" s="48"/>
      <x:c r="E840" s="48"/>
      <x:c r="F840" s="48"/>
      <x:c r="G840" s="48"/>
      <x:c r="H840" s="48"/>
      <x:c r="I840" s="48"/>
      <x:c r="J840" s="48"/>
      <x:c r="K840" s="48"/>
      <x:c r="L840" s="48"/>
      <x:c r="M840" s="48"/>
      <x:c r="N840" s="48"/>
      <x:c r="O840" s="48"/>
      <x:c r="P840" s="48"/>
      <x:c r="Q840" s="48"/>
      <x:c r="R840" s="48"/>
      <x:c r="S840" s="48"/>
      <x:c r="T840" s="48"/>
      <x:c r="U840" s="48"/>
      <x:c r="V840" s="48"/>
      <x:c r="W840" s="48"/>
      <x:c r="X840" s="48"/>
      <x:c r="Y840" s="48"/>
      <x:c r="Z840" s="48"/>
    </x:row>
    <x:row r="841">
      <x:c r="A841" s="48"/>
      <x:c r="B841" s="48"/>
      <x:c r="C841" s="48"/>
      <x:c r="D841" s="48"/>
      <x:c r="E841" s="48"/>
      <x:c r="F841" s="48"/>
      <x:c r="G841" s="48"/>
      <x:c r="H841" s="48"/>
      <x:c r="I841" s="48"/>
      <x:c r="J841" s="48"/>
      <x:c r="K841" s="48"/>
      <x:c r="L841" s="48"/>
      <x:c r="M841" s="48"/>
      <x:c r="N841" s="48"/>
      <x:c r="O841" s="48"/>
      <x:c r="P841" s="48"/>
      <x:c r="Q841" s="48"/>
      <x:c r="R841" s="48"/>
      <x:c r="S841" s="48"/>
      <x:c r="T841" s="48"/>
      <x:c r="U841" s="48"/>
      <x:c r="V841" s="48"/>
      <x:c r="W841" s="48"/>
      <x:c r="X841" s="48"/>
      <x:c r="Y841" s="48"/>
      <x:c r="Z841" s="48"/>
    </x:row>
    <x:row r="842">
      <x:c r="A842" s="48"/>
      <x:c r="B842" s="48"/>
      <x:c r="C842" s="48"/>
      <x:c r="D842" s="48"/>
      <x:c r="E842" s="48"/>
      <x:c r="F842" s="48"/>
      <x:c r="G842" s="48"/>
      <x:c r="H842" s="48"/>
      <x:c r="I842" s="48"/>
      <x:c r="J842" s="48"/>
      <x:c r="K842" s="48"/>
      <x:c r="L842" s="48"/>
      <x:c r="M842" s="48"/>
      <x:c r="N842" s="48"/>
      <x:c r="O842" s="48"/>
      <x:c r="P842" s="48"/>
      <x:c r="Q842" s="48"/>
      <x:c r="R842" s="48"/>
      <x:c r="S842" s="48"/>
      <x:c r="T842" s="48"/>
      <x:c r="U842" s="48"/>
      <x:c r="V842" s="48"/>
      <x:c r="W842" s="48"/>
      <x:c r="X842" s="48"/>
      <x:c r="Y842" s="48"/>
      <x:c r="Z842" s="48"/>
    </x:row>
    <x:row r="843">
      <x:c r="A843" s="48"/>
      <x:c r="B843" s="48"/>
      <x:c r="C843" s="48"/>
      <x:c r="D843" s="48"/>
      <x:c r="E843" s="48"/>
      <x:c r="F843" s="48"/>
      <x:c r="G843" s="48"/>
      <x:c r="H843" s="48"/>
      <x:c r="I843" s="48"/>
      <x:c r="J843" s="48"/>
      <x:c r="K843" s="48"/>
      <x:c r="L843" s="48"/>
      <x:c r="M843" s="48"/>
      <x:c r="N843" s="48"/>
      <x:c r="O843" s="48"/>
      <x:c r="P843" s="48"/>
      <x:c r="Q843" s="48"/>
      <x:c r="R843" s="48"/>
      <x:c r="S843" s="48"/>
      <x:c r="T843" s="48"/>
      <x:c r="U843" s="48"/>
      <x:c r="V843" s="48"/>
      <x:c r="W843" s="48"/>
      <x:c r="X843" s="48"/>
      <x:c r="Y843" s="48"/>
      <x:c r="Z843" s="48"/>
    </x:row>
    <x:row r="844">
      <x:c r="A844" s="48"/>
      <x:c r="B844" s="48"/>
      <x:c r="C844" s="48"/>
      <x:c r="D844" s="48"/>
      <x:c r="E844" s="48"/>
      <x:c r="F844" s="48"/>
      <x:c r="G844" s="48"/>
      <x:c r="H844" s="48"/>
      <x:c r="I844" s="48"/>
      <x:c r="J844" s="48"/>
      <x:c r="K844" s="48"/>
      <x:c r="L844" s="48"/>
      <x:c r="M844" s="48"/>
      <x:c r="N844" s="48"/>
      <x:c r="O844" s="48"/>
      <x:c r="P844" s="48"/>
      <x:c r="Q844" s="48"/>
      <x:c r="R844" s="48"/>
      <x:c r="S844" s="48"/>
      <x:c r="T844" s="48"/>
      <x:c r="U844" s="48"/>
      <x:c r="V844" s="48"/>
      <x:c r="W844" s="48"/>
      <x:c r="X844" s="48"/>
      <x:c r="Y844" s="48"/>
      <x:c r="Z844" s="48"/>
    </x:row>
    <x:row r="845">
      <x:c r="A845" s="48"/>
      <x:c r="B845" s="48"/>
      <x:c r="C845" s="48"/>
      <x:c r="D845" s="48"/>
      <x:c r="E845" s="48"/>
      <x:c r="F845" s="48"/>
      <x:c r="G845" s="48"/>
      <x:c r="H845" s="48"/>
      <x:c r="I845" s="48"/>
      <x:c r="J845" s="48"/>
      <x:c r="K845" s="48"/>
      <x:c r="L845" s="48"/>
      <x:c r="M845" s="48"/>
      <x:c r="N845" s="48"/>
      <x:c r="O845" s="48"/>
      <x:c r="P845" s="48"/>
      <x:c r="Q845" s="48"/>
      <x:c r="R845" s="48"/>
      <x:c r="S845" s="48"/>
      <x:c r="T845" s="48"/>
      <x:c r="U845" s="48"/>
      <x:c r="V845" s="48"/>
      <x:c r="W845" s="48"/>
      <x:c r="X845" s="48"/>
      <x:c r="Y845" s="48"/>
      <x:c r="Z845" s="48"/>
    </x:row>
    <x:row r="846">
      <x:c r="A846" s="48"/>
      <x:c r="B846" s="48"/>
      <x:c r="C846" s="48"/>
      <x:c r="D846" s="48"/>
      <x:c r="E846" s="48"/>
      <x:c r="F846" s="48"/>
      <x:c r="G846" s="48"/>
      <x:c r="H846" s="48"/>
      <x:c r="I846" s="48"/>
      <x:c r="J846" s="48"/>
      <x:c r="K846" s="48"/>
      <x:c r="L846" s="48"/>
      <x:c r="M846" s="48"/>
      <x:c r="N846" s="48"/>
      <x:c r="O846" s="48"/>
      <x:c r="P846" s="48"/>
      <x:c r="Q846" s="48"/>
      <x:c r="R846" s="48"/>
      <x:c r="S846" s="48"/>
      <x:c r="T846" s="48"/>
      <x:c r="U846" s="48"/>
      <x:c r="V846" s="48"/>
      <x:c r="W846" s="48"/>
      <x:c r="X846" s="48"/>
      <x:c r="Y846" s="48"/>
      <x:c r="Z846" s="48"/>
    </x:row>
    <x:row r="847">
      <x:c r="A847" s="48"/>
      <x:c r="B847" s="48"/>
      <x:c r="C847" s="48"/>
      <x:c r="D847" s="48"/>
      <x:c r="E847" s="48"/>
      <x:c r="F847" s="48"/>
      <x:c r="G847" s="48"/>
      <x:c r="H847" s="48"/>
      <x:c r="I847" s="48"/>
      <x:c r="J847" s="48"/>
      <x:c r="K847" s="48"/>
      <x:c r="L847" s="48"/>
      <x:c r="M847" s="48"/>
      <x:c r="N847" s="48"/>
      <x:c r="O847" s="48"/>
      <x:c r="P847" s="48"/>
      <x:c r="Q847" s="48"/>
      <x:c r="R847" s="48"/>
      <x:c r="S847" s="48"/>
      <x:c r="T847" s="48"/>
      <x:c r="U847" s="48"/>
      <x:c r="V847" s="48"/>
      <x:c r="W847" s="48"/>
      <x:c r="X847" s="48"/>
      <x:c r="Y847" s="48"/>
      <x:c r="Z847" s="48"/>
    </x:row>
    <x:row r="848">
      <x:c r="A848" s="48"/>
      <x:c r="B848" s="48"/>
      <x:c r="C848" s="48"/>
      <x:c r="D848" s="48"/>
      <x:c r="E848" s="48"/>
      <x:c r="F848" s="48"/>
      <x:c r="G848" s="48"/>
      <x:c r="H848" s="48"/>
      <x:c r="I848" s="48"/>
      <x:c r="J848" s="48"/>
      <x:c r="K848" s="48"/>
      <x:c r="L848" s="48"/>
      <x:c r="M848" s="48"/>
      <x:c r="N848" s="48"/>
      <x:c r="O848" s="48"/>
      <x:c r="P848" s="48"/>
      <x:c r="Q848" s="48"/>
      <x:c r="R848" s="48"/>
      <x:c r="S848" s="48"/>
      <x:c r="T848" s="48"/>
      <x:c r="U848" s="48"/>
      <x:c r="V848" s="48"/>
      <x:c r="W848" s="48"/>
      <x:c r="X848" s="48"/>
      <x:c r="Y848" s="48"/>
      <x:c r="Z848" s="48"/>
    </x:row>
    <x:row r="849">
      <x:c r="A849" s="48"/>
      <x:c r="B849" s="48"/>
      <x:c r="C849" s="48"/>
      <x:c r="D849" s="48"/>
      <x:c r="E849" s="48"/>
      <x:c r="F849" s="48"/>
      <x:c r="G849" s="48"/>
      <x:c r="H849" s="48"/>
      <x:c r="I849" s="48"/>
      <x:c r="J849" s="48"/>
      <x:c r="K849" s="48"/>
      <x:c r="L849" s="48"/>
      <x:c r="M849" s="48"/>
      <x:c r="N849" s="48"/>
      <x:c r="O849" s="48"/>
      <x:c r="P849" s="48"/>
      <x:c r="Q849" s="48"/>
      <x:c r="R849" s="48"/>
      <x:c r="S849" s="48"/>
      <x:c r="T849" s="48"/>
      <x:c r="U849" s="48"/>
      <x:c r="V849" s="48"/>
      <x:c r="W849" s="48"/>
      <x:c r="X849" s="48"/>
      <x:c r="Y849" s="48"/>
      <x:c r="Z849" s="48"/>
    </x:row>
    <x:row r="850">
      <x:c r="A850" s="48"/>
      <x:c r="B850" s="48"/>
      <x:c r="C850" s="48"/>
      <x:c r="D850" s="48"/>
      <x:c r="E850" s="48"/>
      <x:c r="F850" s="48"/>
      <x:c r="G850" s="48"/>
      <x:c r="H850" s="48"/>
      <x:c r="I850" s="48"/>
      <x:c r="J850" s="48"/>
      <x:c r="K850" s="48"/>
      <x:c r="L850" s="48"/>
      <x:c r="M850" s="48"/>
      <x:c r="N850" s="48"/>
      <x:c r="O850" s="48"/>
      <x:c r="P850" s="48"/>
      <x:c r="Q850" s="48"/>
      <x:c r="R850" s="48"/>
      <x:c r="S850" s="48"/>
      <x:c r="T850" s="48"/>
      <x:c r="U850" s="48"/>
      <x:c r="V850" s="48"/>
      <x:c r="W850" s="48"/>
      <x:c r="X850" s="48"/>
      <x:c r="Y850" s="48"/>
      <x:c r="Z850" s="48"/>
    </x:row>
    <x:row r="851">
      <x:c r="A851" s="48"/>
      <x:c r="B851" s="48"/>
      <x:c r="C851" s="48"/>
      <x:c r="D851" s="48"/>
      <x:c r="E851" s="48"/>
      <x:c r="F851" s="48"/>
      <x:c r="G851" s="48"/>
      <x:c r="H851" s="48"/>
      <x:c r="I851" s="48"/>
      <x:c r="J851" s="48"/>
      <x:c r="K851" s="48"/>
      <x:c r="L851" s="48"/>
      <x:c r="M851" s="48"/>
      <x:c r="N851" s="48"/>
      <x:c r="O851" s="48"/>
      <x:c r="P851" s="48"/>
      <x:c r="Q851" s="48"/>
      <x:c r="R851" s="48"/>
      <x:c r="S851" s="48"/>
      <x:c r="T851" s="48"/>
      <x:c r="U851" s="48"/>
      <x:c r="V851" s="48"/>
      <x:c r="W851" s="48"/>
      <x:c r="X851" s="48"/>
      <x:c r="Y851" s="48"/>
      <x:c r="Z851" s="48"/>
    </x:row>
    <x:row r="852">
      <x:c r="A852" s="48"/>
      <x:c r="B852" s="48"/>
      <x:c r="C852" s="48"/>
      <x:c r="D852" s="48"/>
      <x:c r="E852" s="48"/>
      <x:c r="F852" s="48"/>
      <x:c r="G852" s="48"/>
      <x:c r="H852" s="48"/>
      <x:c r="I852" s="48"/>
      <x:c r="J852" s="48"/>
      <x:c r="K852" s="48"/>
      <x:c r="L852" s="48"/>
      <x:c r="M852" s="48"/>
      <x:c r="N852" s="48"/>
      <x:c r="O852" s="48"/>
      <x:c r="P852" s="48"/>
      <x:c r="Q852" s="48"/>
      <x:c r="R852" s="48"/>
      <x:c r="S852" s="48"/>
      <x:c r="T852" s="48"/>
      <x:c r="U852" s="48"/>
      <x:c r="V852" s="48"/>
      <x:c r="W852" s="48"/>
      <x:c r="X852" s="48"/>
      <x:c r="Y852" s="48"/>
      <x:c r="Z852" s="48"/>
    </x:row>
    <x:row r="853">
      <x:c r="A853" s="48"/>
      <x:c r="B853" s="48"/>
      <x:c r="C853" s="48"/>
      <x:c r="D853" s="48"/>
      <x:c r="E853" s="48"/>
      <x:c r="F853" s="48"/>
      <x:c r="G853" s="48"/>
      <x:c r="H853" s="48"/>
      <x:c r="I853" s="48"/>
      <x:c r="J853" s="48"/>
      <x:c r="K853" s="48"/>
      <x:c r="L853" s="48"/>
      <x:c r="M853" s="48"/>
      <x:c r="N853" s="48"/>
      <x:c r="O853" s="48"/>
      <x:c r="P853" s="48"/>
      <x:c r="Q853" s="48"/>
      <x:c r="R853" s="48"/>
      <x:c r="S853" s="48"/>
      <x:c r="T853" s="48"/>
      <x:c r="U853" s="48"/>
      <x:c r="V853" s="48"/>
      <x:c r="W853" s="48"/>
      <x:c r="X853" s="48"/>
      <x:c r="Y853" s="48"/>
      <x:c r="Z853" s="48"/>
    </x:row>
    <x:row r="854">
      <x:c r="A854" s="48"/>
      <x:c r="B854" s="48"/>
      <x:c r="C854" s="48"/>
      <x:c r="D854" s="48"/>
      <x:c r="E854" s="48"/>
      <x:c r="F854" s="48"/>
      <x:c r="G854" s="48"/>
      <x:c r="H854" s="48"/>
      <x:c r="I854" s="48"/>
      <x:c r="J854" s="48"/>
      <x:c r="K854" s="48"/>
      <x:c r="L854" s="48"/>
      <x:c r="M854" s="48"/>
      <x:c r="N854" s="48"/>
      <x:c r="O854" s="48"/>
      <x:c r="P854" s="48"/>
      <x:c r="Q854" s="48"/>
      <x:c r="R854" s="48"/>
      <x:c r="S854" s="48"/>
      <x:c r="T854" s="48"/>
      <x:c r="U854" s="48"/>
      <x:c r="V854" s="48"/>
      <x:c r="W854" s="48"/>
      <x:c r="X854" s="48"/>
      <x:c r="Y854" s="48"/>
      <x:c r="Z854" s="48"/>
    </x:row>
    <x:row r="855">
      <x:c r="A855" s="48"/>
      <x:c r="B855" s="48"/>
      <x:c r="C855" s="48"/>
      <x:c r="D855" s="48"/>
      <x:c r="E855" s="48"/>
      <x:c r="F855" s="48"/>
      <x:c r="G855" s="48"/>
      <x:c r="H855" s="48"/>
      <x:c r="I855" s="48"/>
      <x:c r="J855" s="48"/>
      <x:c r="K855" s="48"/>
      <x:c r="L855" s="48"/>
      <x:c r="M855" s="48"/>
      <x:c r="N855" s="48"/>
      <x:c r="O855" s="48"/>
      <x:c r="P855" s="48"/>
      <x:c r="Q855" s="48"/>
      <x:c r="R855" s="48"/>
      <x:c r="S855" s="48"/>
      <x:c r="T855" s="48"/>
      <x:c r="U855" s="48"/>
      <x:c r="V855" s="48"/>
      <x:c r="W855" s="48"/>
      <x:c r="X855" s="48"/>
      <x:c r="Y855" s="48"/>
      <x:c r="Z855" s="48"/>
    </x:row>
    <x:row r="856">
      <x:c r="A856" s="48"/>
      <x:c r="B856" s="48"/>
      <x:c r="C856" s="48"/>
      <x:c r="D856" s="48"/>
      <x:c r="E856" s="48"/>
      <x:c r="F856" s="48"/>
      <x:c r="G856" s="48"/>
      <x:c r="H856" s="48"/>
      <x:c r="I856" s="48"/>
      <x:c r="J856" s="48"/>
      <x:c r="K856" s="48"/>
      <x:c r="L856" s="48"/>
      <x:c r="M856" s="48"/>
      <x:c r="N856" s="48"/>
      <x:c r="O856" s="48"/>
      <x:c r="P856" s="48"/>
      <x:c r="Q856" s="48"/>
      <x:c r="R856" s="48"/>
      <x:c r="S856" s="48"/>
      <x:c r="T856" s="48"/>
      <x:c r="U856" s="48"/>
      <x:c r="V856" s="48"/>
      <x:c r="W856" s="48"/>
      <x:c r="X856" s="48"/>
      <x:c r="Y856" s="48"/>
      <x:c r="Z856" s="48"/>
    </x:row>
    <x:row r="857">
      <x:c r="A857" s="48"/>
      <x:c r="B857" s="48"/>
      <x:c r="C857" s="48"/>
      <x:c r="D857" s="48"/>
      <x:c r="E857" s="48"/>
      <x:c r="F857" s="48"/>
      <x:c r="G857" s="48"/>
      <x:c r="H857" s="48"/>
      <x:c r="I857" s="48"/>
      <x:c r="J857" s="48"/>
      <x:c r="K857" s="48"/>
      <x:c r="L857" s="48"/>
      <x:c r="M857" s="48"/>
      <x:c r="N857" s="48"/>
      <x:c r="O857" s="48"/>
      <x:c r="P857" s="48"/>
      <x:c r="Q857" s="48"/>
      <x:c r="R857" s="48"/>
      <x:c r="S857" s="48"/>
      <x:c r="T857" s="48"/>
      <x:c r="U857" s="48"/>
      <x:c r="V857" s="48"/>
      <x:c r="W857" s="48"/>
      <x:c r="X857" s="48"/>
      <x:c r="Y857" s="48"/>
      <x:c r="Z857" s="48"/>
    </x:row>
    <x:row r="858">
      <x:c r="A858" s="48"/>
      <x:c r="B858" s="48"/>
      <x:c r="C858" s="48"/>
      <x:c r="D858" s="48"/>
      <x:c r="E858" s="48"/>
      <x:c r="F858" s="48"/>
      <x:c r="G858" s="48"/>
      <x:c r="H858" s="48"/>
      <x:c r="I858" s="48"/>
      <x:c r="J858" s="48"/>
      <x:c r="K858" s="48"/>
      <x:c r="L858" s="48"/>
      <x:c r="M858" s="48"/>
      <x:c r="N858" s="48"/>
      <x:c r="O858" s="48"/>
      <x:c r="P858" s="48"/>
      <x:c r="Q858" s="48"/>
      <x:c r="R858" s="48"/>
      <x:c r="S858" s="48"/>
      <x:c r="T858" s="48"/>
      <x:c r="U858" s="48"/>
      <x:c r="V858" s="48"/>
      <x:c r="W858" s="48"/>
      <x:c r="X858" s="48"/>
      <x:c r="Y858" s="48"/>
      <x:c r="Z858" s="48"/>
    </x:row>
    <x:row r="859">
      <x:c r="A859" s="48"/>
      <x:c r="B859" s="48"/>
      <x:c r="C859" s="48"/>
      <x:c r="D859" s="48"/>
      <x:c r="E859" s="48"/>
      <x:c r="F859" s="48"/>
      <x:c r="G859" s="48"/>
      <x:c r="H859" s="48"/>
      <x:c r="I859" s="48"/>
      <x:c r="J859" s="48"/>
      <x:c r="K859" s="48"/>
      <x:c r="L859" s="48"/>
      <x:c r="M859" s="48"/>
      <x:c r="N859" s="48"/>
      <x:c r="O859" s="48"/>
      <x:c r="P859" s="48"/>
      <x:c r="Q859" s="48"/>
      <x:c r="R859" s="48"/>
      <x:c r="S859" s="48"/>
      <x:c r="T859" s="48"/>
      <x:c r="U859" s="48"/>
      <x:c r="V859" s="48"/>
      <x:c r="W859" s="48"/>
      <x:c r="X859" s="48"/>
      <x:c r="Y859" s="48"/>
      <x:c r="Z859" s="48"/>
    </x:row>
    <x:row r="860">
      <x:c r="A860" s="48"/>
      <x:c r="B860" s="48"/>
      <x:c r="C860" s="48"/>
      <x:c r="D860" s="48"/>
      <x:c r="E860" s="48"/>
      <x:c r="F860" s="48"/>
      <x:c r="G860" s="48"/>
      <x:c r="H860" s="48"/>
      <x:c r="I860" s="48"/>
      <x:c r="J860" s="48"/>
      <x:c r="K860" s="48"/>
      <x:c r="L860" s="48"/>
      <x:c r="M860" s="48"/>
      <x:c r="N860" s="48"/>
      <x:c r="O860" s="48"/>
      <x:c r="P860" s="48"/>
      <x:c r="Q860" s="48"/>
      <x:c r="R860" s="48"/>
      <x:c r="S860" s="48"/>
      <x:c r="T860" s="48"/>
      <x:c r="U860" s="48"/>
      <x:c r="V860" s="48"/>
      <x:c r="W860" s="48"/>
      <x:c r="X860" s="48"/>
      <x:c r="Y860" s="48"/>
      <x:c r="Z860" s="48"/>
    </x:row>
    <x:row r="861">
      <x:c r="A861" s="48"/>
      <x:c r="B861" s="48"/>
      <x:c r="C861" s="48"/>
      <x:c r="D861" s="48"/>
      <x:c r="E861" s="48"/>
      <x:c r="F861" s="48"/>
      <x:c r="G861" s="48"/>
      <x:c r="H861" s="48"/>
      <x:c r="I861" s="48"/>
      <x:c r="J861" s="48"/>
      <x:c r="K861" s="48"/>
      <x:c r="L861" s="48"/>
      <x:c r="M861" s="48"/>
      <x:c r="N861" s="48"/>
      <x:c r="O861" s="48"/>
      <x:c r="P861" s="48"/>
      <x:c r="Q861" s="48"/>
      <x:c r="R861" s="48"/>
      <x:c r="S861" s="48"/>
      <x:c r="T861" s="48"/>
      <x:c r="U861" s="48"/>
      <x:c r="V861" s="48"/>
      <x:c r="W861" s="48"/>
      <x:c r="X861" s="48"/>
      <x:c r="Y861" s="48"/>
      <x:c r="Z861" s="48"/>
    </x:row>
    <x:row r="862">
      <x:c r="A862" s="48"/>
      <x:c r="B862" s="48"/>
      <x:c r="C862" s="48"/>
      <x:c r="D862" s="48"/>
      <x:c r="E862" s="48"/>
      <x:c r="F862" s="48"/>
      <x:c r="G862" s="48"/>
      <x:c r="H862" s="48"/>
      <x:c r="I862" s="48"/>
      <x:c r="J862" s="48"/>
      <x:c r="K862" s="48"/>
      <x:c r="L862" s="48"/>
      <x:c r="M862" s="48"/>
      <x:c r="N862" s="48"/>
      <x:c r="O862" s="48"/>
      <x:c r="P862" s="48"/>
      <x:c r="Q862" s="48"/>
      <x:c r="R862" s="48"/>
      <x:c r="S862" s="48"/>
      <x:c r="T862" s="48"/>
      <x:c r="U862" s="48"/>
      <x:c r="V862" s="48"/>
      <x:c r="W862" s="48"/>
      <x:c r="X862" s="48"/>
      <x:c r="Y862" s="48"/>
      <x:c r="Z862" s="48"/>
    </x:row>
    <x:row r="863">
      <x:c r="A863" s="48"/>
      <x:c r="B863" s="48"/>
      <x:c r="C863" s="48"/>
      <x:c r="D863" s="48"/>
      <x:c r="E863" s="48"/>
      <x:c r="F863" s="48"/>
      <x:c r="G863" s="48"/>
      <x:c r="H863" s="48"/>
      <x:c r="I863" s="48"/>
      <x:c r="J863" s="48"/>
      <x:c r="K863" s="48"/>
      <x:c r="L863" s="48"/>
      <x:c r="M863" s="48"/>
      <x:c r="N863" s="48"/>
      <x:c r="O863" s="48"/>
      <x:c r="P863" s="48"/>
      <x:c r="Q863" s="48"/>
      <x:c r="R863" s="48"/>
      <x:c r="S863" s="48"/>
      <x:c r="T863" s="48"/>
      <x:c r="U863" s="48"/>
      <x:c r="V863" s="48"/>
      <x:c r="W863" s="48"/>
      <x:c r="X863" s="48"/>
      <x:c r="Y863" s="48"/>
      <x:c r="Z863" s="48"/>
    </x:row>
    <x:row r="864">
      <x:c r="A864" s="48"/>
      <x:c r="B864" s="48"/>
      <x:c r="C864" s="48"/>
      <x:c r="D864" s="48"/>
      <x:c r="E864" s="48"/>
      <x:c r="F864" s="48"/>
      <x:c r="G864" s="48"/>
      <x:c r="H864" s="48"/>
      <x:c r="I864" s="48"/>
      <x:c r="J864" s="48"/>
      <x:c r="K864" s="48"/>
      <x:c r="L864" s="48"/>
      <x:c r="M864" s="48"/>
      <x:c r="N864" s="48"/>
      <x:c r="O864" s="48"/>
      <x:c r="P864" s="48"/>
      <x:c r="Q864" s="48"/>
      <x:c r="R864" s="48"/>
      <x:c r="S864" s="48"/>
      <x:c r="T864" s="48"/>
      <x:c r="U864" s="48"/>
      <x:c r="V864" s="48"/>
      <x:c r="W864" s="48"/>
      <x:c r="X864" s="48"/>
      <x:c r="Y864" s="48"/>
      <x:c r="Z864" s="48"/>
    </x:row>
    <x:row r="865">
      <x:c r="A865" s="48"/>
      <x:c r="B865" s="48"/>
      <x:c r="C865" s="48"/>
      <x:c r="D865" s="48"/>
      <x:c r="E865" s="48"/>
      <x:c r="F865" s="48"/>
      <x:c r="G865" s="48"/>
      <x:c r="H865" s="48"/>
      <x:c r="I865" s="48"/>
      <x:c r="J865" s="48"/>
      <x:c r="K865" s="48"/>
      <x:c r="L865" s="48"/>
      <x:c r="M865" s="48"/>
      <x:c r="N865" s="48"/>
      <x:c r="O865" s="48"/>
      <x:c r="P865" s="48"/>
      <x:c r="Q865" s="48"/>
      <x:c r="R865" s="48"/>
      <x:c r="S865" s="48"/>
      <x:c r="T865" s="48"/>
      <x:c r="U865" s="48"/>
      <x:c r="V865" s="48"/>
      <x:c r="W865" s="48"/>
      <x:c r="X865" s="48"/>
      <x:c r="Y865" s="48"/>
      <x:c r="Z865" s="48"/>
    </x:row>
    <x:row r="866">
      <x:c r="A866" s="48"/>
      <x:c r="B866" s="48"/>
      <x:c r="C866" s="48"/>
      <x:c r="D866" s="48"/>
      <x:c r="E866" s="48"/>
      <x:c r="F866" s="48"/>
      <x:c r="G866" s="48"/>
      <x:c r="H866" s="48"/>
      <x:c r="I866" s="48"/>
      <x:c r="J866" s="48"/>
      <x:c r="K866" s="48"/>
      <x:c r="L866" s="48"/>
      <x:c r="M866" s="48"/>
      <x:c r="N866" s="48"/>
      <x:c r="O866" s="48"/>
      <x:c r="P866" s="48"/>
      <x:c r="Q866" s="48"/>
      <x:c r="R866" s="48"/>
      <x:c r="S866" s="48"/>
      <x:c r="T866" s="48"/>
      <x:c r="U866" s="48"/>
      <x:c r="V866" s="48"/>
      <x:c r="W866" s="48"/>
      <x:c r="X866" s="48"/>
      <x:c r="Y866" s="48"/>
      <x:c r="Z866" s="48"/>
    </x:row>
    <x:row r="867">
      <x:c r="A867" s="48"/>
      <x:c r="B867" s="48"/>
      <x:c r="C867" s="48"/>
      <x:c r="D867" s="48"/>
      <x:c r="E867" s="48"/>
      <x:c r="F867" s="48"/>
      <x:c r="G867" s="48"/>
      <x:c r="H867" s="48"/>
      <x:c r="I867" s="48"/>
      <x:c r="J867" s="48"/>
      <x:c r="K867" s="48"/>
      <x:c r="L867" s="48"/>
      <x:c r="M867" s="48"/>
      <x:c r="N867" s="48"/>
      <x:c r="O867" s="48"/>
      <x:c r="P867" s="48"/>
      <x:c r="Q867" s="48"/>
      <x:c r="R867" s="48"/>
      <x:c r="S867" s="48"/>
      <x:c r="T867" s="48"/>
      <x:c r="U867" s="48"/>
      <x:c r="V867" s="48"/>
      <x:c r="W867" s="48"/>
      <x:c r="X867" s="48"/>
      <x:c r="Y867" s="48"/>
      <x:c r="Z867" s="48"/>
    </x:row>
    <x:row r="868">
      <x:c r="A868" s="48"/>
      <x:c r="B868" s="48"/>
      <x:c r="C868" s="48"/>
      <x:c r="D868" s="48"/>
      <x:c r="E868" s="48"/>
      <x:c r="F868" s="48"/>
      <x:c r="G868" s="48"/>
      <x:c r="H868" s="48"/>
      <x:c r="I868" s="48"/>
      <x:c r="J868" s="48"/>
      <x:c r="K868" s="48"/>
      <x:c r="L868" s="48"/>
      <x:c r="M868" s="48"/>
      <x:c r="N868" s="48"/>
      <x:c r="O868" s="48"/>
      <x:c r="P868" s="48"/>
      <x:c r="Q868" s="48"/>
      <x:c r="R868" s="48"/>
      <x:c r="S868" s="48"/>
      <x:c r="T868" s="48"/>
      <x:c r="U868" s="48"/>
      <x:c r="V868" s="48"/>
      <x:c r="W868" s="48"/>
      <x:c r="X868" s="48"/>
      <x:c r="Y868" s="48"/>
      <x:c r="Z868" s="48"/>
    </x:row>
    <x:row r="869">
      <x:c r="A869" s="48"/>
      <x:c r="B869" s="48"/>
      <x:c r="C869" s="48"/>
      <x:c r="D869" s="48"/>
      <x:c r="E869" s="48"/>
      <x:c r="F869" s="48"/>
      <x:c r="G869" s="48"/>
      <x:c r="H869" s="48"/>
      <x:c r="I869" s="48"/>
      <x:c r="J869" s="48"/>
      <x:c r="K869" s="48"/>
      <x:c r="L869" s="48"/>
      <x:c r="M869" s="48"/>
      <x:c r="N869" s="48"/>
      <x:c r="O869" s="48"/>
      <x:c r="P869" s="48"/>
      <x:c r="Q869" s="48"/>
      <x:c r="R869" s="48"/>
      <x:c r="S869" s="48"/>
      <x:c r="T869" s="48"/>
      <x:c r="U869" s="48"/>
      <x:c r="V869" s="48"/>
      <x:c r="W869" s="48"/>
      <x:c r="X869" s="48"/>
      <x:c r="Y869" s="48"/>
      <x:c r="Z869" s="48"/>
    </x:row>
    <x:row r="870">
      <x:c r="A870" s="48"/>
      <x:c r="B870" s="48"/>
      <x:c r="C870" s="48"/>
      <x:c r="D870" s="48"/>
      <x:c r="E870" s="48"/>
      <x:c r="F870" s="48"/>
      <x:c r="G870" s="48"/>
      <x:c r="H870" s="48"/>
      <x:c r="I870" s="48"/>
      <x:c r="J870" s="48"/>
      <x:c r="K870" s="48"/>
      <x:c r="L870" s="48"/>
      <x:c r="M870" s="48"/>
      <x:c r="N870" s="48"/>
      <x:c r="O870" s="48"/>
      <x:c r="P870" s="48"/>
      <x:c r="Q870" s="48"/>
      <x:c r="R870" s="48"/>
      <x:c r="S870" s="48"/>
      <x:c r="T870" s="48"/>
      <x:c r="U870" s="48"/>
      <x:c r="V870" s="48"/>
      <x:c r="W870" s="48"/>
      <x:c r="X870" s="48"/>
      <x:c r="Y870" s="48"/>
      <x:c r="Z870" s="48"/>
    </x:row>
    <x:row r="871">
      <x:c r="A871" s="48"/>
      <x:c r="B871" s="48"/>
      <x:c r="C871" s="48"/>
      <x:c r="D871" s="48"/>
      <x:c r="E871" s="48"/>
      <x:c r="F871" s="48"/>
      <x:c r="G871" s="48"/>
      <x:c r="H871" s="48"/>
      <x:c r="I871" s="48"/>
      <x:c r="J871" s="48"/>
      <x:c r="K871" s="48"/>
      <x:c r="L871" s="48"/>
      <x:c r="M871" s="48"/>
      <x:c r="N871" s="48"/>
      <x:c r="O871" s="48"/>
      <x:c r="P871" s="48"/>
      <x:c r="Q871" s="48"/>
      <x:c r="R871" s="48"/>
      <x:c r="S871" s="48"/>
      <x:c r="T871" s="48"/>
      <x:c r="U871" s="48"/>
      <x:c r="V871" s="48"/>
      <x:c r="W871" s="48"/>
      <x:c r="X871" s="48"/>
      <x:c r="Y871" s="48"/>
      <x:c r="Z871" s="48"/>
    </x:row>
    <x:row r="872">
      <x:c r="A872" s="48"/>
      <x:c r="B872" s="48"/>
      <x:c r="C872" s="48"/>
      <x:c r="D872" s="48"/>
      <x:c r="E872" s="48"/>
      <x:c r="F872" s="48"/>
      <x:c r="G872" s="48"/>
      <x:c r="H872" s="48"/>
      <x:c r="I872" s="48"/>
      <x:c r="J872" s="48"/>
      <x:c r="K872" s="48"/>
      <x:c r="L872" s="48"/>
      <x:c r="M872" s="48"/>
      <x:c r="N872" s="48"/>
      <x:c r="O872" s="48"/>
      <x:c r="P872" s="48"/>
      <x:c r="Q872" s="48"/>
      <x:c r="R872" s="48"/>
      <x:c r="S872" s="48"/>
      <x:c r="T872" s="48"/>
      <x:c r="U872" s="48"/>
      <x:c r="V872" s="48"/>
      <x:c r="W872" s="48"/>
      <x:c r="X872" s="48"/>
      <x:c r="Y872" s="48"/>
      <x:c r="Z872" s="48"/>
    </x:row>
    <x:row r="873">
      <x:c r="A873" s="48"/>
      <x:c r="B873" s="48"/>
      <x:c r="C873" s="48"/>
      <x:c r="D873" s="48"/>
      <x:c r="E873" s="48"/>
      <x:c r="F873" s="48"/>
      <x:c r="G873" s="48"/>
      <x:c r="H873" s="48"/>
      <x:c r="I873" s="48"/>
      <x:c r="J873" s="48"/>
      <x:c r="K873" s="48"/>
      <x:c r="L873" s="48"/>
      <x:c r="M873" s="48"/>
      <x:c r="N873" s="48"/>
      <x:c r="O873" s="48"/>
      <x:c r="P873" s="48"/>
      <x:c r="Q873" s="48"/>
      <x:c r="R873" s="48"/>
      <x:c r="S873" s="48"/>
      <x:c r="T873" s="48"/>
      <x:c r="U873" s="48"/>
      <x:c r="V873" s="48"/>
      <x:c r="W873" s="48"/>
      <x:c r="X873" s="48"/>
      <x:c r="Y873" s="48"/>
      <x:c r="Z873" s="48"/>
    </x:row>
    <x:row r="874">
      <x:c r="A874" s="48"/>
      <x:c r="B874" s="48"/>
      <x:c r="C874" s="48"/>
      <x:c r="D874" s="48"/>
      <x:c r="E874" s="48"/>
      <x:c r="F874" s="48"/>
      <x:c r="G874" s="48"/>
      <x:c r="H874" s="48"/>
      <x:c r="I874" s="48"/>
      <x:c r="J874" s="48"/>
      <x:c r="K874" s="48"/>
      <x:c r="L874" s="48"/>
      <x:c r="M874" s="48"/>
      <x:c r="N874" s="48"/>
      <x:c r="O874" s="48"/>
      <x:c r="P874" s="48"/>
      <x:c r="Q874" s="48"/>
      <x:c r="R874" s="48"/>
      <x:c r="S874" s="48"/>
      <x:c r="T874" s="48"/>
      <x:c r="U874" s="48"/>
      <x:c r="V874" s="48"/>
      <x:c r="W874" s="48"/>
      <x:c r="X874" s="48"/>
      <x:c r="Y874" s="48"/>
      <x:c r="Z874" s="48"/>
    </x:row>
    <x:row r="875">
      <x:c r="A875" s="48"/>
      <x:c r="B875" s="48"/>
      <x:c r="C875" s="48"/>
      <x:c r="D875" s="48"/>
      <x:c r="E875" s="48"/>
      <x:c r="F875" s="48"/>
      <x:c r="G875" s="48"/>
      <x:c r="H875" s="48"/>
      <x:c r="I875" s="48"/>
      <x:c r="J875" s="48"/>
      <x:c r="K875" s="48"/>
      <x:c r="L875" s="48"/>
      <x:c r="M875" s="48"/>
      <x:c r="N875" s="48"/>
      <x:c r="O875" s="48"/>
      <x:c r="P875" s="48"/>
      <x:c r="Q875" s="48"/>
      <x:c r="R875" s="48"/>
      <x:c r="S875" s="48"/>
      <x:c r="T875" s="48"/>
      <x:c r="U875" s="48"/>
      <x:c r="V875" s="48"/>
      <x:c r="W875" s="48"/>
      <x:c r="X875" s="48"/>
      <x:c r="Y875" s="48"/>
      <x:c r="Z875" s="48"/>
    </x:row>
    <x:row r="876">
      <x:c r="A876" s="48"/>
      <x:c r="B876" s="48"/>
      <x:c r="C876" s="48"/>
      <x:c r="D876" s="48"/>
      <x:c r="E876" s="48"/>
      <x:c r="F876" s="48"/>
      <x:c r="G876" s="48"/>
      <x:c r="H876" s="48"/>
      <x:c r="I876" s="48"/>
      <x:c r="J876" s="48"/>
      <x:c r="K876" s="48"/>
      <x:c r="L876" s="48"/>
      <x:c r="M876" s="48"/>
      <x:c r="N876" s="48"/>
      <x:c r="O876" s="48"/>
      <x:c r="P876" s="48"/>
      <x:c r="Q876" s="48"/>
      <x:c r="R876" s="48"/>
      <x:c r="S876" s="48"/>
      <x:c r="T876" s="48"/>
      <x:c r="U876" s="48"/>
      <x:c r="V876" s="48"/>
      <x:c r="W876" s="48"/>
      <x:c r="X876" s="48"/>
      <x:c r="Y876" s="48"/>
      <x:c r="Z876" s="48"/>
    </x:row>
    <x:row r="877">
      <x:c r="A877" s="48"/>
      <x:c r="B877" s="48"/>
      <x:c r="C877" s="48"/>
      <x:c r="D877" s="48"/>
      <x:c r="E877" s="48"/>
      <x:c r="F877" s="48"/>
      <x:c r="G877" s="48"/>
      <x:c r="H877" s="48"/>
      <x:c r="I877" s="48"/>
      <x:c r="J877" s="48"/>
      <x:c r="K877" s="48"/>
      <x:c r="L877" s="48"/>
      <x:c r="M877" s="48"/>
      <x:c r="N877" s="48"/>
      <x:c r="O877" s="48"/>
      <x:c r="P877" s="48"/>
      <x:c r="Q877" s="48"/>
      <x:c r="R877" s="48"/>
      <x:c r="S877" s="48"/>
      <x:c r="T877" s="48"/>
      <x:c r="U877" s="48"/>
      <x:c r="V877" s="48"/>
      <x:c r="W877" s="48"/>
      <x:c r="X877" s="48"/>
      <x:c r="Y877" s="48"/>
      <x:c r="Z877" s="48"/>
    </x:row>
    <x:row r="878">
      <x:c r="A878" s="48"/>
      <x:c r="B878" s="48"/>
      <x:c r="C878" s="48"/>
      <x:c r="D878" s="48"/>
      <x:c r="E878" s="48"/>
      <x:c r="F878" s="48"/>
      <x:c r="G878" s="48"/>
      <x:c r="H878" s="48"/>
      <x:c r="I878" s="48"/>
      <x:c r="J878" s="48"/>
      <x:c r="K878" s="48"/>
      <x:c r="L878" s="48"/>
      <x:c r="M878" s="48"/>
      <x:c r="N878" s="48"/>
      <x:c r="O878" s="48"/>
      <x:c r="P878" s="48"/>
      <x:c r="Q878" s="48"/>
      <x:c r="R878" s="48"/>
      <x:c r="S878" s="48"/>
      <x:c r="T878" s="48"/>
      <x:c r="U878" s="48"/>
      <x:c r="V878" s="48"/>
      <x:c r="W878" s="48"/>
      <x:c r="X878" s="48"/>
      <x:c r="Y878" s="48"/>
      <x:c r="Z878" s="48"/>
    </x:row>
    <x:row r="879">
      <x:c r="A879" s="48"/>
      <x:c r="B879" s="48"/>
      <x:c r="C879" s="48"/>
      <x:c r="D879" s="48"/>
      <x:c r="E879" s="48"/>
      <x:c r="F879" s="48"/>
      <x:c r="G879" s="48"/>
      <x:c r="H879" s="48"/>
      <x:c r="I879" s="48"/>
      <x:c r="J879" s="48"/>
      <x:c r="K879" s="48"/>
      <x:c r="L879" s="48"/>
      <x:c r="M879" s="48"/>
      <x:c r="N879" s="48"/>
      <x:c r="O879" s="48"/>
      <x:c r="P879" s="48"/>
      <x:c r="Q879" s="48"/>
      <x:c r="R879" s="48"/>
      <x:c r="S879" s="48"/>
      <x:c r="T879" s="48"/>
      <x:c r="U879" s="48"/>
      <x:c r="V879" s="48"/>
      <x:c r="W879" s="48"/>
      <x:c r="X879" s="48"/>
      <x:c r="Y879" s="48"/>
      <x:c r="Z879" s="48"/>
    </x:row>
    <x:row r="880">
      <x:c r="A880" s="48"/>
      <x:c r="B880" s="48"/>
      <x:c r="C880" s="48"/>
      <x:c r="D880" s="48"/>
      <x:c r="E880" s="48"/>
      <x:c r="F880" s="48"/>
      <x:c r="G880" s="48"/>
      <x:c r="H880" s="48"/>
      <x:c r="I880" s="48"/>
      <x:c r="J880" s="48"/>
      <x:c r="K880" s="48"/>
      <x:c r="L880" s="48"/>
      <x:c r="M880" s="48"/>
      <x:c r="N880" s="48"/>
      <x:c r="O880" s="48"/>
      <x:c r="P880" s="48"/>
      <x:c r="Q880" s="48"/>
      <x:c r="R880" s="48"/>
      <x:c r="S880" s="48"/>
      <x:c r="T880" s="48"/>
      <x:c r="U880" s="48"/>
      <x:c r="V880" s="48"/>
      <x:c r="W880" s="48"/>
      <x:c r="X880" s="48"/>
      <x:c r="Y880" s="48"/>
      <x:c r="Z880" s="48"/>
    </x:row>
    <x:row r="881">
      <x:c r="A881" s="48"/>
      <x:c r="B881" s="48"/>
      <x:c r="C881" s="48"/>
      <x:c r="D881" s="48"/>
      <x:c r="E881" s="48"/>
      <x:c r="F881" s="48"/>
      <x:c r="G881" s="48"/>
      <x:c r="H881" s="48"/>
      <x:c r="I881" s="48"/>
      <x:c r="J881" s="48"/>
      <x:c r="K881" s="48"/>
      <x:c r="L881" s="48"/>
      <x:c r="M881" s="48"/>
      <x:c r="N881" s="48"/>
      <x:c r="O881" s="48"/>
      <x:c r="P881" s="48"/>
      <x:c r="Q881" s="48"/>
      <x:c r="R881" s="48"/>
      <x:c r="S881" s="48"/>
      <x:c r="T881" s="48"/>
      <x:c r="U881" s="48"/>
      <x:c r="V881" s="48"/>
      <x:c r="W881" s="48"/>
      <x:c r="X881" s="48"/>
      <x:c r="Y881" s="48"/>
      <x:c r="Z881" s="48"/>
    </x:row>
    <x:row r="882">
      <x:c r="A882" s="48"/>
      <x:c r="B882" s="48"/>
      <x:c r="C882" s="48"/>
      <x:c r="D882" s="48"/>
      <x:c r="E882" s="48"/>
      <x:c r="F882" s="48"/>
      <x:c r="G882" s="48"/>
      <x:c r="H882" s="48"/>
      <x:c r="I882" s="48"/>
      <x:c r="J882" s="48"/>
      <x:c r="K882" s="48"/>
      <x:c r="L882" s="48"/>
      <x:c r="M882" s="48"/>
      <x:c r="N882" s="48"/>
      <x:c r="O882" s="48"/>
      <x:c r="P882" s="48"/>
      <x:c r="Q882" s="48"/>
      <x:c r="R882" s="48"/>
      <x:c r="S882" s="48"/>
      <x:c r="T882" s="48"/>
      <x:c r="U882" s="48"/>
      <x:c r="V882" s="48"/>
      <x:c r="W882" s="48"/>
      <x:c r="X882" s="48"/>
      <x:c r="Y882" s="48"/>
      <x:c r="Z882" s="48"/>
    </x:row>
    <x:row r="883">
      <x:c r="A883" s="48"/>
      <x:c r="B883" s="48"/>
      <x:c r="C883" s="48"/>
      <x:c r="D883" s="48"/>
      <x:c r="E883" s="48"/>
      <x:c r="F883" s="48"/>
      <x:c r="G883" s="48"/>
      <x:c r="H883" s="48"/>
      <x:c r="I883" s="48"/>
      <x:c r="J883" s="48"/>
      <x:c r="K883" s="48"/>
      <x:c r="L883" s="48"/>
      <x:c r="M883" s="48"/>
      <x:c r="N883" s="48"/>
      <x:c r="O883" s="48"/>
      <x:c r="P883" s="48"/>
      <x:c r="Q883" s="48"/>
      <x:c r="R883" s="48"/>
      <x:c r="S883" s="48"/>
      <x:c r="T883" s="48"/>
      <x:c r="U883" s="48"/>
      <x:c r="V883" s="48"/>
      <x:c r="W883" s="48"/>
      <x:c r="X883" s="48"/>
      <x:c r="Y883" s="48"/>
      <x:c r="Z883" s="48"/>
    </x:row>
    <x:row r="884">
      <x:c r="A884" s="48"/>
      <x:c r="B884" s="48"/>
      <x:c r="C884" s="48"/>
      <x:c r="D884" s="48"/>
      <x:c r="E884" s="48"/>
      <x:c r="F884" s="48"/>
      <x:c r="G884" s="48"/>
      <x:c r="H884" s="48"/>
      <x:c r="I884" s="48"/>
      <x:c r="J884" s="48"/>
      <x:c r="K884" s="48"/>
      <x:c r="L884" s="48"/>
      <x:c r="M884" s="48"/>
      <x:c r="N884" s="48"/>
      <x:c r="O884" s="48"/>
      <x:c r="P884" s="48"/>
      <x:c r="Q884" s="48"/>
      <x:c r="R884" s="48"/>
      <x:c r="S884" s="48"/>
      <x:c r="T884" s="48"/>
      <x:c r="U884" s="48"/>
      <x:c r="V884" s="48"/>
      <x:c r="W884" s="48"/>
      <x:c r="X884" s="48"/>
      <x:c r="Y884" s="48"/>
      <x:c r="Z884" s="48"/>
    </x:row>
    <x:row r="885">
      <x:c r="A885" s="48"/>
      <x:c r="B885" s="48"/>
      <x:c r="C885" s="48"/>
      <x:c r="D885" s="48"/>
      <x:c r="E885" s="48"/>
      <x:c r="F885" s="48"/>
      <x:c r="G885" s="48"/>
      <x:c r="H885" s="48"/>
      <x:c r="I885" s="48"/>
      <x:c r="J885" s="48"/>
      <x:c r="K885" s="48"/>
      <x:c r="L885" s="48"/>
      <x:c r="M885" s="48"/>
      <x:c r="N885" s="48"/>
      <x:c r="O885" s="48"/>
      <x:c r="P885" s="48"/>
      <x:c r="Q885" s="48"/>
      <x:c r="R885" s="48"/>
      <x:c r="S885" s="48"/>
      <x:c r="T885" s="48"/>
      <x:c r="U885" s="48"/>
      <x:c r="V885" s="48"/>
      <x:c r="W885" s="48"/>
      <x:c r="X885" s="48"/>
      <x:c r="Y885" s="48"/>
      <x:c r="Z885" s="48"/>
    </x:row>
    <x:row r="886">
      <x:c r="A886" s="48"/>
      <x:c r="B886" s="48"/>
      <x:c r="C886" s="48"/>
      <x:c r="D886" s="48"/>
      <x:c r="E886" s="48"/>
      <x:c r="F886" s="48"/>
      <x:c r="G886" s="48"/>
      <x:c r="H886" s="48"/>
      <x:c r="I886" s="48"/>
      <x:c r="J886" s="48"/>
      <x:c r="K886" s="48"/>
      <x:c r="L886" s="48"/>
      <x:c r="M886" s="48"/>
      <x:c r="N886" s="48"/>
      <x:c r="O886" s="48"/>
      <x:c r="P886" s="48"/>
      <x:c r="Q886" s="48"/>
      <x:c r="R886" s="48"/>
      <x:c r="S886" s="48"/>
      <x:c r="T886" s="48"/>
      <x:c r="U886" s="48"/>
      <x:c r="V886" s="48"/>
      <x:c r="W886" s="48"/>
      <x:c r="X886" s="48"/>
      <x:c r="Y886" s="48"/>
      <x:c r="Z886" s="48"/>
    </x:row>
    <x:row r="887">
      <x:c r="A887" s="48"/>
      <x:c r="B887" s="48"/>
      <x:c r="C887" s="48"/>
      <x:c r="D887" s="48"/>
      <x:c r="E887" s="48"/>
      <x:c r="F887" s="48"/>
      <x:c r="G887" s="48"/>
      <x:c r="H887" s="48"/>
      <x:c r="I887" s="48"/>
      <x:c r="J887" s="48"/>
      <x:c r="K887" s="48"/>
      <x:c r="L887" s="48"/>
      <x:c r="M887" s="48"/>
      <x:c r="N887" s="48"/>
      <x:c r="O887" s="48"/>
      <x:c r="P887" s="48"/>
      <x:c r="Q887" s="48"/>
      <x:c r="R887" s="48"/>
      <x:c r="S887" s="48"/>
      <x:c r="T887" s="48"/>
      <x:c r="U887" s="48"/>
      <x:c r="V887" s="48"/>
      <x:c r="W887" s="48"/>
      <x:c r="X887" s="48"/>
      <x:c r="Y887" s="48"/>
      <x:c r="Z887" s="48"/>
    </x:row>
    <x:row r="888">
      <x:c r="A888" s="48"/>
      <x:c r="B888" s="48"/>
      <x:c r="C888" s="48"/>
      <x:c r="D888" s="48"/>
      <x:c r="E888" s="48"/>
      <x:c r="F888" s="48"/>
      <x:c r="G888" s="48"/>
      <x:c r="H888" s="48"/>
      <x:c r="I888" s="48"/>
      <x:c r="J888" s="48"/>
      <x:c r="K888" s="48"/>
      <x:c r="L888" s="48"/>
      <x:c r="M888" s="48"/>
      <x:c r="N888" s="48"/>
      <x:c r="O888" s="48"/>
      <x:c r="P888" s="48"/>
      <x:c r="Q888" s="48"/>
      <x:c r="R888" s="48"/>
      <x:c r="S888" s="48"/>
      <x:c r="T888" s="48"/>
      <x:c r="U888" s="48"/>
      <x:c r="V888" s="48"/>
      <x:c r="W888" s="48"/>
      <x:c r="X888" s="48"/>
      <x:c r="Y888" s="48"/>
      <x:c r="Z888" s="48"/>
    </x:row>
    <x:row r="889">
      <x:c r="A889" s="48"/>
      <x:c r="B889" s="48"/>
      <x:c r="C889" s="48"/>
      <x:c r="D889" s="48"/>
      <x:c r="E889" s="48"/>
      <x:c r="F889" s="48"/>
      <x:c r="G889" s="48"/>
      <x:c r="H889" s="48"/>
      <x:c r="I889" s="48"/>
      <x:c r="J889" s="48"/>
      <x:c r="K889" s="48"/>
      <x:c r="L889" s="48"/>
      <x:c r="M889" s="48"/>
      <x:c r="N889" s="48"/>
      <x:c r="O889" s="48"/>
      <x:c r="P889" s="48"/>
      <x:c r="Q889" s="48"/>
      <x:c r="R889" s="48"/>
      <x:c r="S889" s="48"/>
      <x:c r="T889" s="48"/>
      <x:c r="U889" s="48"/>
      <x:c r="V889" s="48"/>
      <x:c r="W889" s="48"/>
      <x:c r="X889" s="48"/>
      <x:c r="Y889" s="48"/>
      <x:c r="Z889" s="48"/>
    </x:row>
    <x:row r="890">
      <x:c r="A890" s="48"/>
      <x:c r="B890" s="48"/>
      <x:c r="C890" s="48"/>
      <x:c r="D890" s="48"/>
      <x:c r="E890" s="48"/>
      <x:c r="F890" s="48"/>
      <x:c r="G890" s="48"/>
      <x:c r="H890" s="48"/>
      <x:c r="I890" s="48"/>
      <x:c r="J890" s="48"/>
      <x:c r="K890" s="48"/>
      <x:c r="L890" s="48"/>
      <x:c r="M890" s="48"/>
      <x:c r="N890" s="48"/>
      <x:c r="O890" s="48"/>
      <x:c r="P890" s="48"/>
      <x:c r="Q890" s="48"/>
      <x:c r="R890" s="48"/>
      <x:c r="S890" s="48"/>
      <x:c r="T890" s="48"/>
      <x:c r="U890" s="48"/>
      <x:c r="V890" s="48"/>
      <x:c r="W890" s="48"/>
      <x:c r="X890" s="48"/>
      <x:c r="Y890" s="48"/>
      <x:c r="Z890" s="48"/>
    </x:row>
    <x:row r="891">
      <x:c r="A891" s="48"/>
      <x:c r="B891" s="48"/>
      <x:c r="C891" s="48"/>
      <x:c r="D891" s="48"/>
      <x:c r="E891" s="48"/>
      <x:c r="F891" s="48"/>
      <x:c r="G891" s="48"/>
      <x:c r="H891" s="48"/>
      <x:c r="I891" s="48"/>
      <x:c r="J891" s="48"/>
      <x:c r="K891" s="48"/>
      <x:c r="L891" s="48"/>
      <x:c r="M891" s="48"/>
      <x:c r="N891" s="48"/>
      <x:c r="O891" s="48"/>
      <x:c r="P891" s="48"/>
      <x:c r="Q891" s="48"/>
      <x:c r="R891" s="48"/>
      <x:c r="S891" s="48"/>
      <x:c r="T891" s="48"/>
      <x:c r="U891" s="48"/>
      <x:c r="V891" s="48"/>
      <x:c r="W891" s="48"/>
      <x:c r="X891" s="48"/>
      <x:c r="Y891" s="48"/>
      <x:c r="Z891" s="48"/>
    </x:row>
    <x:row r="892">
      <x:c r="A892" s="48"/>
      <x:c r="B892" s="48"/>
      <x:c r="C892" s="48"/>
      <x:c r="D892" s="48"/>
      <x:c r="E892" s="48"/>
      <x:c r="F892" s="48"/>
      <x:c r="G892" s="48"/>
      <x:c r="H892" s="48"/>
      <x:c r="I892" s="48"/>
      <x:c r="J892" s="48"/>
      <x:c r="K892" s="48"/>
      <x:c r="L892" s="48"/>
      <x:c r="M892" s="48"/>
      <x:c r="N892" s="48"/>
      <x:c r="O892" s="48"/>
      <x:c r="P892" s="48"/>
      <x:c r="Q892" s="48"/>
      <x:c r="R892" s="48"/>
      <x:c r="S892" s="48"/>
      <x:c r="T892" s="48"/>
      <x:c r="U892" s="48"/>
      <x:c r="V892" s="48"/>
      <x:c r="W892" s="48"/>
      <x:c r="X892" s="48"/>
      <x:c r="Y892" s="48"/>
      <x:c r="Z892" s="48"/>
    </x:row>
    <x:row r="893">
      <x:c r="A893" s="48"/>
      <x:c r="B893" s="48"/>
      <x:c r="C893" s="48"/>
      <x:c r="D893" s="48"/>
      <x:c r="E893" s="48"/>
      <x:c r="F893" s="48"/>
      <x:c r="G893" s="48"/>
      <x:c r="H893" s="48"/>
      <x:c r="I893" s="48"/>
      <x:c r="J893" s="48"/>
      <x:c r="K893" s="48"/>
      <x:c r="L893" s="48"/>
      <x:c r="M893" s="48"/>
      <x:c r="N893" s="48"/>
      <x:c r="O893" s="48"/>
      <x:c r="P893" s="48"/>
      <x:c r="Q893" s="48"/>
      <x:c r="R893" s="48"/>
      <x:c r="S893" s="48"/>
      <x:c r="T893" s="48"/>
      <x:c r="U893" s="48"/>
      <x:c r="V893" s="48"/>
      <x:c r="W893" s="48"/>
      <x:c r="X893" s="48"/>
      <x:c r="Y893" s="48"/>
      <x:c r="Z893" s="48"/>
    </x:row>
    <x:row r="894">
      <x:c r="A894" s="48"/>
      <x:c r="B894" s="48"/>
      <x:c r="C894" s="48"/>
      <x:c r="D894" s="48"/>
      <x:c r="E894" s="48"/>
      <x:c r="F894" s="48"/>
      <x:c r="G894" s="48"/>
      <x:c r="H894" s="48"/>
      <x:c r="I894" s="48"/>
      <x:c r="J894" s="48"/>
      <x:c r="K894" s="48"/>
      <x:c r="L894" s="48"/>
      <x:c r="M894" s="48"/>
      <x:c r="N894" s="48"/>
      <x:c r="O894" s="48"/>
      <x:c r="P894" s="48"/>
      <x:c r="Q894" s="48"/>
      <x:c r="R894" s="48"/>
      <x:c r="S894" s="48"/>
      <x:c r="T894" s="48"/>
      <x:c r="U894" s="48"/>
      <x:c r="V894" s="48"/>
      <x:c r="W894" s="48"/>
      <x:c r="X894" s="48"/>
      <x:c r="Y894" s="48"/>
      <x:c r="Z894" s="48"/>
    </x:row>
    <x:row r="895">
      <x:c r="A895" s="48"/>
      <x:c r="B895" s="48"/>
      <x:c r="C895" s="48"/>
      <x:c r="D895" s="48"/>
      <x:c r="E895" s="48"/>
      <x:c r="F895" s="48"/>
      <x:c r="G895" s="48"/>
      <x:c r="H895" s="48"/>
      <x:c r="I895" s="48"/>
      <x:c r="J895" s="48"/>
      <x:c r="K895" s="48"/>
      <x:c r="L895" s="48"/>
      <x:c r="M895" s="48"/>
      <x:c r="N895" s="48"/>
      <x:c r="O895" s="48"/>
      <x:c r="P895" s="48"/>
      <x:c r="Q895" s="48"/>
      <x:c r="R895" s="48"/>
      <x:c r="S895" s="48"/>
      <x:c r="T895" s="48"/>
      <x:c r="U895" s="48"/>
      <x:c r="V895" s="48"/>
      <x:c r="W895" s="48"/>
      <x:c r="X895" s="48"/>
      <x:c r="Y895" s="48"/>
      <x:c r="Z895" s="48"/>
    </x:row>
    <x:row r="896">
      <x:c r="A896" s="48"/>
      <x:c r="B896" s="48"/>
      <x:c r="C896" s="48"/>
      <x:c r="D896" s="48"/>
      <x:c r="E896" s="48"/>
      <x:c r="F896" s="48"/>
      <x:c r="G896" s="48"/>
      <x:c r="H896" s="48"/>
      <x:c r="I896" s="48"/>
      <x:c r="J896" s="48"/>
      <x:c r="K896" s="48"/>
      <x:c r="L896" s="48"/>
      <x:c r="M896" s="48"/>
      <x:c r="N896" s="48"/>
      <x:c r="O896" s="48"/>
      <x:c r="P896" s="48"/>
      <x:c r="Q896" s="48"/>
      <x:c r="R896" s="48"/>
      <x:c r="S896" s="48"/>
      <x:c r="T896" s="48"/>
      <x:c r="U896" s="48"/>
      <x:c r="V896" s="48"/>
      <x:c r="W896" s="48"/>
      <x:c r="X896" s="48"/>
      <x:c r="Y896" s="48"/>
      <x:c r="Z896" s="48"/>
    </x:row>
    <x:row r="897">
      <x:c r="A897" s="48"/>
      <x:c r="B897" s="48"/>
      <x:c r="C897" s="48"/>
      <x:c r="D897" s="48"/>
      <x:c r="E897" s="48"/>
      <x:c r="F897" s="48"/>
      <x:c r="G897" s="48"/>
      <x:c r="H897" s="48"/>
      <x:c r="I897" s="48"/>
      <x:c r="J897" s="48"/>
      <x:c r="K897" s="48"/>
      <x:c r="L897" s="48"/>
      <x:c r="M897" s="48"/>
      <x:c r="N897" s="48"/>
      <x:c r="O897" s="48"/>
      <x:c r="P897" s="48"/>
      <x:c r="Q897" s="48"/>
      <x:c r="R897" s="48"/>
      <x:c r="S897" s="48"/>
      <x:c r="T897" s="48"/>
      <x:c r="U897" s="48"/>
      <x:c r="V897" s="48"/>
      <x:c r="W897" s="48"/>
      <x:c r="X897" s="48"/>
      <x:c r="Y897" s="48"/>
      <x:c r="Z897" s="48"/>
    </x:row>
    <x:row r="898">
      <x:c r="A898" s="48"/>
      <x:c r="B898" s="48"/>
      <x:c r="C898" s="48"/>
      <x:c r="D898" s="48"/>
      <x:c r="E898" s="48"/>
      <x:c r="F898" s="48"/>
      <x:c r="G898" s="48"/>
      <x:c r="H898" s="48"/>
      <x:c r="I898" s="48"/>
      <x:c r="J898" s="48"/>
      <x:c r="K898" s="48"/>
      <x:c r="L898" s="48"/>
      <x:c r="M898" s="48"/>
      <x:c r="N898" s="48"/>
      <x:c r="O898" s="48"/>
      <x:c r="P898" s="48"/>
      <x:c r="Q898" s="48"/>
      <x:c r="R898" s="48"/>
      <x:c r="S898" s="48"/>
      <x:c r="T898" s="48"/>
      <x:c r="U898" s="48"/>
      <x:c r="V898" s="48"/>
      <x:c r="W898" s="48"/>
      <x:c r="X898" s="48"/>
      <x:c r="Y898" s="48"/>
      <x:c r="Z898" s="48"/>
    </x:row>
    <x:row r="899">
      <x:c r="A899" s="48"/>
      <x:c r="B899" s="48"/>
      <x:c r="C899" s="48"/>
      <x:c r="D899" s="48"/>
      <x:c r="E899" s="48"/>
      <x:c r="F899" s="48"/>
      <x:c r="G899" s="48"/>
      <x:c r="H899" s="48"/>
      <x:c r="I899" s="48"/>
      <x:c r="J899" s="48"/>
      <x:c r="K899" s="48"/>
      <x:c r="L899" s="48"/>
      <x:c r="M899" s="48"/>
      <x:c r="N899" s="48"/>
      <x:c r="O899" s="48"/>
      <x:c r="P899" s="48"/>
      <x:c r="Q899" s="48"/>
      <x:c r="R899" s="48"/>
      <x:c r="S899" s="48"/>
      <x:c r="T899" s="48"/>
      <x:c r="U899" s="48"/>
      <x:c r="V899" s="48"/>
      <x:c r="W899" s="48"/>
      <x:c r="X899" s="48"/>
      <x:c r="Y899" s="48"/>
      <x:c r="Z899" s="48"/>
    </x:row>
    <x:row r="900">
      <x:c r="A900" s="48"/>
      <x:c r="B900" s="48"/>
      <x:c r="C900" s="48"/>
      <x:c r="D900" s="48"/>
      <x:c r="E900" s="48"/>
      <x:c r="F900" s="48"/>
      <x:c r="G900" s="48"/>
      <x:c r="H900" s="48"/>
      <x:c r="I900" s="48"/>
      <x:c r="J900" s="48"/>
      <x:c r="K900" s="48"/>
      <x:c r="L900" s="48"/>
      <x:c r="M900" s="48"/>
      <x:c r="N900" s="48"/>
      <x:c r="O900" s="48"/>
      <x:c r="P900" s="48"/>
      <x:c r="Q900" s="48"/>
      <x:c r="R900" s="48"/>
      <x:c r="S900" s="48"/>
      <x:c r="T900" s="48"/>
      <x:c r="U900" s="48"/>
      <x:c r="V900" s="48"/>
      <x:c r="W900" s="48"/>
      <x:c r="X900" s="48"/>
      <x:c r="Y900" s="48"/>
      <x:c r="Z900" s="48"/>
    </x:row>
    <x:row r="901">
      <x:c r="A901" s="48"/>
      <x:c r="B901" s="48"/>
      <x:c r="C901" s="48"/>
      <x:c r="D901" s="48"/>
      <x:c r="E901" s="48"/>
      <x:c r="F901" s="48"/>
      <x:c r="G901" s="48"/>
      <x:c r="H901" s="48"/>
      <x:c r="I901" s="48"/>
      <x:c r="J901" s="48"/>
      <x:c r="K901" s="48"/>
      <x:c r="L901" s="48"/>
      <x:c r="M901" s="48"/>
      <x:c r="N901" s="48"/>
      <x:c r="O901" s="48"/>
      <x:c r="P901" s="48"/>
      <x:c r="Q901" s="48"/>
      <x:c r="R901" s="48"/>
      <x:c r="S901" s="48"/>
      <x:c r="T901" s="48"/>
      <x:c r="U901" s="48"/>
      <x:c r="V901" s="48"/>
      <x:c r="W901" s="48"/>
      <x:c r="X901" s="48"/>
      <x:c r="Y901" s="48"/>
      <x:c r="Z901" s="48"/>
    </x:row>
    <x:row r="902">
      <x:c r="A902" s="48"/>
      <x:c r="B902" s="48"/>
      <x:c r="C902" s="48"/>
      <x:c r="D902" s="48"/>
      <x:c r="E902" s="48"/>
      <x:c r="F902" s="48"/>
      <x:c r="G902" s="48"/>
      <x:c r="H902" s="48"/>
      <x:c r="I902" s="48"/>
      <x:c r="J902" s="48"/>
      <x:c r="K902" s="48"/>
      <x:c r="L902" s="48"/>
      <x:c r="M902" s="48"/>
      <x:c r="N902" s="48"/>
      <x:c r="O902" s="48"/>
      <x:c r="P902" s="48"/>
      <x:c r="Q902" s="48"/>
      <x:c r="R902" s="48"/>
      <x:c r="S902" s="48"/>
      <x:c r="T902" s="48"/>
      <x:c r="U902" s="48"/>
      <x:c r="V902" s="48"/>
      <x:c r="W902" s="48"/>
      <x:c r="X902" s="48"/>
      <x:c r="Y902" s="48"/>
      <x:c r="Z902" s="48"/>
    </x:row>
    <x:row r="903">
      <x:c r="A903" s="48"/>
      <x:c r="B903" s="48"/>
      <x:c r="C903" s="48"/>
      <x:c r="D903" s="48"/>
      <x:c r="E903" s="48"/>
      <x:c r="F903" s="48"/>
      <x:c r="G903" s="48"/>
      <x:c r="H903" s="48"/>
      <x:c r="I903" s="48"/>
      <x:c r="J903" s="48"/>
      <x:c r="K903" s="48"/>
      <x:c r="L903" s="48"/>
      <x:c r="M903" s="48"/>
      <x:c r="N903" s="48"/>
      <x:c r="O903" s="48"/>
      <x:c r="P903" s="48"/>
      <x:c r="Q903" s="48"/>
      <x:c r="R903" s="48"/>
      <x:c r="S903" s="48"/>
      <x:c r="T903" s="48"/>
      <x:c r="U903" s="48"/>
      <x:c r="V903" s="48"/>
      <x:c r="W903" s="48"/>
      <x:c r="X903" s="48"/>
      <x:c r="Y903" s="48"/>
      <x:c r="Z903" s="48"/>
    </x:row>
    <x:row r="904">
      <x:c r="A904" s="48"/>
      <x:c r="B904" s="48"/>
      <x:c r="C904" s="48"/>
      <x:c r="D904" s="48"/>
      <x:c r="E904" s="48"/>
      <x:c r="F904" s="48"/>
      <x:c r="G904" s="48"/>
      <x:c r="H904" s="48"/>
      <x:c r="I904" s="48"/>
      <x:c r="J904" s="48"/>
      <x:c r="K904" s="48"/>
      <x:c r="L904" s="48"/>
      <x:c r="M904" s="48"/>
      <x:c r="N904" s="48"/>
      <x:c r="O904" s="48"/>
      <x:c r="P904" s="48"/>
      <x:c r="Q904" s="48"/>
      <x:c r="R904" s="48"/>
      <x:c r="S904" s="48"/>
      <x:c r="T904" s="48"/>
      <x:c r="U904" s="48"/>
      <x:c r="V904" s="48"/>
      <x:c r="W904" s="48"/>
      <x:c r="X904" s="48"/>
      <x:c r="Y904" s="48"/>
      <x:c r="Z904" s="48"/>
    </x:row>
    <x:row r="905">
      <x:c r="A905" s="48"/>
      <x:c r="B905" s="48"/>
      <x:c r="C905" s="48"/>
      <x:c r="D905" s="48"/>
      <x:c r="E905" s="48"/>
      <x:c r="F905" s="48"/>
      <x:c r="G905" s="48"/>
      <x:c r="H905" s="48"/>
      <x:c r="I905" s="48"/>
      <x:c r="J905" s="48"/>
      <x:c r="K905" s="48"/>
      <x:c r="L905" s="48"/>
      <x:c r="M905" s="48"/>
      <x:c r="N905" s="48"/>
      <x:c r="O905" s="48"/>
      <x:c r="P905" s="48"/>
      <x:c r="Q905" s="48"/>
      <x:c r="R905" s="48"/>
      <x:c r="S905" s="48"/>
      <x:c r="T905" s="48"/>
      <x:c r="U905" s="48"/>
      <x:c r="V905" s="48"/>
      <x:c r="W905" s="48"/>
      <x:c r="X905" s="48"/>
      <x:c r="Y905" s="48"/>
      <x:c r="Z905" s="48"/>
    </x:row>
    <x:row r="906">
      <x:c r="A906" s="48"/>
      <x:c r="B906" s="48"/>
      <x:c r="C906" s="48"/>
      <x:c r="D906" s="48"/>
      <x:c r="E906" s="48"/>
      <x:c r="F906" s="48"/>
      <x:c r="G906" s="48"/>
      <x:c r="H906" s="48"/>
      <x:c r="I906" s="48"/>
      <x:c r="J906" s="48"/>
      <x:c r="K906" s="48"/>
      <x:c r="L906" s="48"/>
      <x:c r="M906" s="48"/>
      <x:c r="N906" s="48"/>
      <x:c r="O906" s="48"/>
      <x:c r="P906" s="48"/>
      <x:c r="Q906" s="48"/>
      <x:c r="R906" s="48"/>
      <x:c r="S906" s="48"/>
      <x:c r="T906" s="48"/>
      <x:c r="U906" s="48"/>
      <x:c r="V906" s="48"/>
      <x:c r="W906" s="48"/>
      <x:c r="X906" s="48"/>
      <x:c r="Y906" s="48"/>
      <x:c r="Z906" s="48"/>
    </x:row>
    <x:row r="907">
      <x:c r="A907" s="48"/>
      <x:c r="B907" s="48"/>
      <x:c r="C907" s="48"/>
      <x:c r="D907" s="48"/>
      <x:c r="E907" s="48"/>
      <x:c r="F907" s="48"/>
      <x:c r="G907" s="48"/>
      <x:c r="H907" s="48"/>
      <x:c r="I907" s="48"/>
      <x:c r="J907" s="48"/>
      <x:c r="K907" s="48"/>
      <x:c r="L907" s="48"/>
      <x:c r="M907" s="48"/>
      <x:c r="N907" s="48"/>
      <x:c r="O907" s="48"/>
      <x:c r="P907" s="48"/>
      <x:c r="Q907" s="48"/>
      <x:c r="R907" s="48"/>
      <x:c r="S907" s="48"/>
      <x:c r="T907" s="48"/>
      <x:c r="U907" s="48"/>
      <x:c r="V907" s="48"/>
      <x:c r="W907" s="48"/>
      <x:c r="X907" s="48"/>
      <x:c r="Y907" s="48"/>
      <x:c r="Z907" s="48"/>
    </x:row>
    <x:row r="908">
      <x:c r="A908" s="48"/>
      <x:c r="B908" s="48"/>
      <x:c r="C908" s="48"/>
      <x:c r="D908" s="48"/>
      <x:c r="E908" s="48"/>
      <x:c r="F908" s="48"/>
      <x:c r="G908" s="48"/>
      <x:c r="H908" s="48"/>
      <x:c r="I908" s="48"/>
      <x:c r="J908" s="48"/>
      <x:c r="K908" s="48"/>
      <x:c r="L908" s="48"/>
      <x:c r="M908" s="48"/>
      <x:c r="N908" s="48"/>
      <x:c r="O908" s="48"/>
      <x:c r="P908" s="48"/>
      <x:c r="Q908" s="48"/>
      <x:c r="R908" s="48"/>
      <x:c r="S908" s="48"/>
      <x:c r="T908" s="48"/>
      <x:c r="U908" s="48"/>
      <x:c r="V908" s="48"/>
      <x:c r="W908" s="48"/>
      <x:c r="X908" s="48"/>
      <x:c r="Y908" s="48"/>
      <x:c r="Z908" s="48"/>
    </x:row>
    <x:row r="909">
      <x:c r="A909" s="48"/>
      <x:c r="B909" s="48"/>
      <x:c r="C909" s="48"/>
      <x:c r="D909" s="48"/>
      <x:c r="E909" s="48"/>
      <x:c r="F909" s="48"/>
      <x:c r="G909" s="48"/>
      <x:c r="H909" s="48"/>
      <x:c r="I909" s="48"/>
      <x:c r="J909" s="48"/>
      <x:c r="K909" s="48"/>
      <x:c r="L909" s="48"/>
      <x:c r="M909" s="48"/>
      <x:c r="N909" s="48"/>
      <x:c r="O909" s="48"/>
      <x:c r="P909" s="48"/>
      <x:c r="Q909" s="48"/>
      <x:c r="R909" s="48"/>
      <x:c r="S909" s="48"/>
      <x:c r="T909" s="48"/>
      <x:c r="U909" s="48"/>
      <x:c r="V909" s="48"/>
      <x:c r="W909" s="48"/>
      <x:c r="X909" s="48"/>
      <x:c r="Y909" s="48"/>
      <x:c r="Z909" s="48"/>
    </x:row>
    <x:row r="910">
      <x:c r="A910" s="48"/>
      <x:c r="B910" s="48"/>
      <x:c r="C910" s="48"/>
      <x:c r="D910" s="48"/>
      <x:c r="E910" s="48"/>
      <x:c r="F910" s="48"/>
      <x:c r="G910" s="48"/>
      <x:c r="H910" s="48"/>
      <x:c r="I910" s="48"/>
      <x:c r="J910" s="48"/>
      <x:c r="K910" s="48"/>
      <x:c r="L910" s="48"/>
      <x:c r="M910" s="48"/>
      <x:c r="N910" s="48"/>
      <x:c r="O910" s="48"/>
      <x:c r="P910" s="48"/>
      <x:c r="Q910" s="48"/>
      <x:c r="R910" s="48"/>
      <x:c r="S910" s="48"/>
      <x:c r="T910" s="48"/>
      <x:c r="U910" s="48"/>
      <x:c r="V910" s="48"/>
      <x:c r="W910" s="48"/>
      <x:c r="X910" s="48"/>
      <x:c r="Y910" s="48"/>
      <x:c r="Z910" s="48"/>
    </x:row>
    <x:row r="911">
      <x:c r="A911" s="48"/>
      <x:c r="B911" s="48"/>
      <x:c r="C911" s="48"/>
      <x:c r="D911" s="48"/>
      <x:c r="E911" s="48"/>
      <x:c r="F911" s="48"/>
      <x:c r="G911" s="48"/>
      <x:c r="H911" s="48"/>
      <x:c r="I911" s="48"/>
      <x:c r="J911" s="48"/>
      <x:c r="K911" s="48"/>
      <x:c r="L911" s="48"/>
      <x:c r="M911" s="48"/>
      <x:c r="N911" s="48"/>
      <x:c r="O911" s="48"/>
      <x:c r="P911" s="48"/>
      <x:c r="Q911" s="48"/>
      <x:c r="R911" s="48"/>
      <x:c r="S911" s="48"/>
      <x:c r="T911" s="48"/>
      <x:c r="U911" s="48"/>
      <x:c r="V911" s="48"/>
      <x:c r="W911" s="48"/>
      <x:c r="X911" s="48"/>
      <x:c r="Y911" s="48"/>
      <x:c r="Z911" s="48"/>
    </x:row>
    <x:row r="912">
      <x:c r="A912" s="48"/>
      <x:c r="B912" s="48"/>
      <x:c r="C912" s="48"/>
      <x:c r="D912" s="48"/>
      <x:c r="E912" s="48"/>
      <x:c r="F912" s="48"/>
      <x:c r="G912" s="48"/>
      <x:c r="H912" s="48"/>
      <x:c r="I912" s="48"/>
      <x:c r="J912" s="48"/>
      <x:c r="K912" s="48"/>
      <x:c r="L912" s="48"/>
      <x:c r="M912" s="48"/>
      <x:c r="N912" s="48"/>
      <x:c r="O912" s="48"/>
      <x:c r="P912" s="48"/>
      <x:c r="Q912" s="48"/>
      <x:c r="R912" s="48"/>
      <x:c r="S912" s="48"/>
      <x:c r="T912" s="48"/>
      <x:c r="U912" s="48"/>
      <x:c r="V912" s="48"/>
      <x:c r="W912" s="48"/>
      <x:c r="X912" s="48"/>
      <x:c r="Y912" s="48"/>
      <x:c r="Z912" s="48"/>
    </x:row>
    <x:row r="913">
      <x:c r="A913" s="48"/>
      <x:c r="B913" s="48"/>
      <x:c r="C913" s="48"/>
      <x:c r="D913" s="48"/>
      <x:c r="E913" s="48"/>
      <x:c r="F913" s="48"/>
      <x:c r="G913" s="48"/>
      <x:c r="H913" s="48"/>
      <x:c r="I913" s="48"/>
      <x:c r="J913" s="48"/>
      <x:c r="K913" s="48"/>
      <x:c r="L913" s="48"/>
      <x:c r="M913" s="48"/>
      <x:c r="N913" s="48"/>
      <x:c r="O913" s="48"/>
      <x:c r="P913" s="48"/>
      <x:c r="Q913" s="48"/>
      <x:c r="R913" s="48"/>
      <x:c r="S913" s="48"/>
      <x:c r="T913" s="48"/>
      <x:c r="U913" s="48"/>
      <x:c r="V913" s="48"/>
      <x:c r="W913" s="48"/>
      <x:c r="X913" s="48"/>
      <x:c r="Y913" s="48"/>
      <x:c r="Z913" s="48"/>
    </x:row>
    <x:row r="914">
      <x:c r="A914" s="48"/>
      <x:c r="B914" s="48"/>
      <x:c r="C914" s="48"/>
      <x:c r="D914" s="48"/>
      <x:c r="E914" s="48"/>
      <x:c r="F914" s="48"/>
      <x:c r="G914" s="48"/>
      <x:c r="H914" s="48"/>
      <x:c r="I914" s="48"/>
      <x:c r="J914" s="48"/>
      <x:c r="K914" s="48"/>
      <x:c r="L914" s="48"/>
      <x:c r="M914" s="48"/>
      <x:c r="N914" s="48"/>
      <x:c r="O914" s="48"/>
      <x:c r="P914" s="48"/>
      <x:c r="Q914" s="48"/>
      <x:c r="R914" s="48"/>
      <x:c r="S914" s="48"/>
      <x:c r="T914" s="48"/>
      <x:c r="U914" s="48"/>
      <x:c r="V914" s="48"/>
      <x:c r="W914" s="48"/>
      <x:c r="X914" s="48"/>
      <x:c r="Y914" s="48"/>
      <x:c r="Z914" s="48"/>
    </x:row>
    <x:row r="915">
      <x:c r="A915" s="48"/>
      <x:c r="B915" s="48"/>
      <x:c r="C915" s="48"/>
      <x:c r="D915" s="48"/>
      <x:c r="E915" s="48"/>
      <x:c r="F915" s="48"/>
      <x:c r="G915" s="48"/>
      <x:c r="H915" s="48"/>
      <x:c r="I915" s="48"/>
      <x:c r="J915" s="48"/>
      <x:c r="K915" s="48"/>
      <x:c r="L915" s="48"/>
      <x:c r="M915" s="48"/>
      <x:c r="N915" s="48"/>
      <x:c r="O915" s="48"/>
      <x:c r="P915" s="48"/>
      <x:c r="Q915" s="48"/>
      <x:c r="R915" s="48"/>
      <x:c r="S915" s="48"/>
      <x:c r="T915" s="48"/>
      <x:c r="U915" s="48"/>
      <x:c r="V915" s="48"/>
      <x:c r="W915" s="48"/>
      <x:c r="X915" s="48"/>
      <x:c r="Y915" s="48"/>
      <x:c r="Z915" s="48"/>
    </x:row>
    <x:row r="916">
      <x:c r="A916" s="48"/>
      <x:c r="B916" s="48"/>
      <x:c r="C916" s="48"/>
      <x:c r="D916" s="48"/>
      <x:c r="E916" s="48"/>
      <x:c r="F916" s="48"/>
      <x:c r="G916" s="48"/>
      <x:c r="H916" s="48"/>
      <x:c r="I916" s="48"/>
      <x:c r="J916" s="48"/>
      <x:c r="K916" s="48"/>
      <x:c r="L916" s="48"/>
      <x:c r="M916" s="48"/>
      <x:c r="N916" s="48"/>
      <x:c r="O916" s="48"/>
      <x:c r="P916" s="48"/>
      <x:c r="Q916" s="48"/>
      <x:c r="R916" s="48"/>
      <x:c r="S916" s="48"/>
      <x:c r="T916" s="48"/>
      <x:c r="U916" s="48"/>
      <x:c r="V916" s="48"/>
      <x:c r="W916" s="48"/>
      <x:c r="X916" s="48"/>
      <x:c r="Y916" s="48"/>
      <x:c r="Z916" s="48"/>
    </x:row>
    <x:row r="917">
      <x:c r="A917" s="48"/>
      <x:c r="B917" s="48"/>
      <x:c r="C917" s="48"/>
      <x:c r="D917" s="48"/>
      <x:c r="E917" s="48"/>
      <x:c r="F917" s="48"/>
      <x:c r="G917" s="48"/>
      <x:c r="H917" s="48"/>
      <x:c r="I917" s="48"/>
      <x:c r="J917" s="48"/>
      <x:c r="K917" s="48"/>
      <x:c r="L917" s="48"/>
      <x:c r="M917" s="48"/>
      <x:c r="N917" s="48"/>
      <x:c r="O917" s="48"/>
      <x:c r="P917" s="48"/>
      <x:c r="Q917" s="48"/>
      <x:c r="R917" s="48"/>
      <x:c r="S917" s="48"/>
      <x:c r="T917" s="48"/>
      <x:c r="U917" s="48"/>
      <x:c r="V917" s="48"/>
      <x:c r="W917" s="48"/>
      <x:c r="X917" s="48"/>
      <x:c r="Y917" s="48"/>
      <x:c r="Z917" s="48"/>
    </x:row>
    <x:row r="918">
      <x:c r="A918" s="48"/>
      <x:c r="B918" s="48"/>
      <x:c r="C918" s="48"/>
      <x:c r="D918" s="48"/>
      <x:c r="E918" s="48"/>
      <x:c r="F918" s="48"/>
      <x:c r="G918" s="48"/>
      <x:c r="H918" s="48"/>
      <x:c r="I918" s="48"/>
      <x:c r="J918" s="48"/>
      <x:c r="K918" s="48"/>
      <x:c r="L918" s="48"/>
      <x:c r="M918" s="48"/>
      <x:c r="N918" s="48"/>
      <x:c r="O918" s="48"/>
      <x:c r="P918" s="48"/>
      <x:c r="Q918" s="48"/>
      <x:c r="R918" s="48"/>
      <x:c r="S918" s="48"/>
      <x:c r="T918" s="48"/>
      <x:c r="U918" s="48"/>
      <x:c r="V918" s="48"/>
      <x:c r="W918" s="48"/>
      <x:c r="X918" s="48"/>
      <x:c r="Y918" s="48"/>
      <x:c r="Z918" s="48"/>
    </x:row>
    <x:row r="919">
      <x:c r="A919" s="48"/>
      <x:c r="B919" s="48"/>
      <x:c r="C919" s="48"/>
      <x:c r="D919" s="48"/>
      <x:c r="E919" s="48"/>
      <x:c r="F919" s="48"/>
      <x:c r="G919" s="48"/>
      <x:c r="H919" s="48"/>
      <x:c r="I919" s="48"/>
      <x:c r="J919" s="48"/>
      <x:c r="K919" s="48"/>
      <x:c r="L919" s="48"/>
      <x:c r="M919" s="48"/>
      <x:c r="N919" s="48"/>
      <x:c r="O919" s="48"/>
      <x:c r="P919" s="48"/>
      <x:c r="Q919" s="48"/>
      <x:c r="R919" s="48"/>
      <x:c r="S919" s="48"/>
      <x:c r="T919" s="48"/>
      <x:c r="U919" s="48"/>
      <x:c r="V919" s="48"/>
      <x:c r="W919" s="48"/>
      <x:c r="X919" s="48"/>
      <x:c r="Y919" s="48"/>
      <x:c r="Z919" s="48"/>
    </x:row>
    <x:row r="920">
      <x:c r="A920" s="48"/>
      <x:c r="B920" s="48"/>
      <x:c r="C920" s="48"/>
      <x:c r="D920" s="48"/>
      <x:c r="E920" s="48"/>
      <x:c r="F920" s="48"/>
      <x:c r="G920" s="48"/>
      <x:c r="H920" s="48"/>
      <x:c r="I920" s="48"/>
      <x:c r="J920" s="48"/>
      <x:c r="K920" s="48"/>
      <x:c r="L920" s="48"/>
      <x:c r="M920" s="48"/>
      <x:c r="N920" s="48"/>
      <x:c r="O920" s="48"/>
      <x:c r="P920" s="48"/>
      <x:c r="Q920" s="48"/>
      <x:c r="R920" s="48"/>
      <x:c r="S920" s="48"/>
      <x:c r="T920" s="48"/>
      <x:c r="U920" s="48"/>
      <x:c r="V920" s="48"/>
      <x:c r="W920" s="48"/>
      <x:c r="X920" s="48"/>
      <x:c r="Y920" s="48"/>
      <x:c r="Z920" s="48"/>
    </x:row>
    <x:row r="921">
      <x:c r="A921" s="48"/>
      <x:c r="B921" s="48"/>
      <x:c r="C921" s="48"/>
      <x:c r="D921" s="48"/>
      <x:c r="E921" s="48"/>
      <x:c r="F921" s="48"/>
      <x:c r="G921" s="48"/>
      <x:c r="H921" s="48"/>
      <x:c r="I921" s="48"/>
      <x:c r="J921" s="48"/>
      <x:c r="K921" s="48"/>
      <x:c r="L921" s="48"/>
      <x:c r="M921" s="48"/>
      <x:c r="N921" s="48"/>
      <x:c r="O921" s="48"/>
      <x:c r="P921" s="48"/>
      <x:c r="Q921" s="48"/>
      <x:c r="R921" s="48"/>
      <x:c r="S921" s="48"/>
      <x:c r="T921" s="48"/>
      <x:c r="U921" s="48"/>
      <x:c r="V921" s="48"/>
      <x:c r="W921" s="48"/>
      <x:c r="X921" s="48"/>
      <x:c r="Y921" s="48"/>
      <x:c r="Z921" s="48"/>
    </x:row>
    <x:row r="922">
      <x:c r="A922" s="48"/>
      <x:c r="B922" s="48"/>
      <x:c r="C922" s="48"/>
      <x:c r="D922" s="48"/>
      <x:c r="E922" s="48"/>
      <x:c r="F922" s="48"/>
      <x:c r="G922" s="48"/>
      <x:c r="H922" s="48"/>
      <x:c r="I922" s="48"/>
      <x:c r="J922" s="48"/>
      <x:c r="K922" s="48"/>
      <x:c r="L922" s="48"/>
      <x:c r="M922" s="48"/>
      <x:c r="N922" s="48"/>
      <x:c r="O922" s="48"/>
      <x:c r="P922" s="48"/>
      <x:c r="Q922" s="48"/>
      <x:c r="R922" s="48"/>
      <x:c r="S922" s="48"/>
      <x:c r="T922" s="48"/>
      <x:c r="U922" s="48"/>
      <x:c r="V922" s="48"/>
      <x:c r="W922" s="48"/>
      <x:c r="X922" s="48"/>
      <x:c r="Y922" s="48"/>
      <x:c r="Z922" s="48"/>
    </x:row>
    <x:row r="923">
      <x:c r="A923" s="48"/>
      <x:c r="B923" s="48"/>
      <x:c r="C923" s="48"/>
      <x:c r="D923" s="48"/>
      <x:c r="E923" s="48"/>
      <x:c r="F923" s="48"/>
      <x:c r="G923" s="48"/>
      <x:c r="H923" s="48"/>
      <x:c r="I923" s="48"/>
      <x:c r="J923" s="48"/>
      <x:c r="K923" s="48"/>
      <x:c r="L923" s="48"/>
      <x:c r="M923" s="48"/>
      <x:c r="N923" s="48"/>
      <x:c r="O923" s="48"/>
      <x:c r="P923" s="48"/>
      <x:c r="Q923" s="48"/>
      <x:c r="R923" s="48"/>
      <x:c r="S923" s="48"/>
      <x:c r="T923" s="48"/>
      <x:c r="U923" s="48"/>
      <x:c r="V923" s="48"/>
      <x:c r="W923" s="48"/>
      <x:c r="X923" s="48"/>
      <x:c r="Y923" s="48"/>
      <x:c r="Z923" s="48"/>
    </x:row>
    <x:row r="924">
      <x:c r="A924" s="48"/>
      <x:c r="B924" s="48"/>
      <x:c r="C924" s="48"/>
      <x:c r="D924" s="48"/>
      <x:c r="E924" s="48"/>
      <x:c r="F924" s="48"/>
      <x:c r="G924" s="48"/>
      <x:c r="H924" s="48"/>
      <x:c r="I924" s="48"/>
      <x:c r="J924" s="48"/>
      <x:c r="K924" s="48"/>
      <x:c r="L924" s="48"/>
      <x:c r="M924" s="48"/>
      <x:c r="N924" s="48"/>
      <x:c r="O924" s="48"/>
      <x:c r="P924" s="48"/>
      <x:c r="Q924" s="48"/>
      <x:c r="R924" s="48"/>
      <x:c r="S924" s="48"/>
      <x:c r="T924" s="48"/>
      <x:c r="U924" s="48"/>
      <x:c r="V924" s="48"/>
      <x:c r="W924" s="48"/>
      <x:c r="X924" s="48"/>
      <x:c r="Y924" s="48"/>
      <x:c r="Z924" s="48"/>
    </x:row>
    <x:row r="925">
      <x:c r="A925" s="48"/>
      <x:c r="B925" s="48"/>
      <x:c r="C925" s="48"/>
      <x:c r="D925" s="48"/>
      <x:c r="E925" s="48"/>
      <x:c r="F925" s="48"/>
      <x:c r="G925" s="48"/>
      <x:c r="H925" s="48"/>
      <x:c r="I925" s="48"/>
      <x:c r="J925" s="48"/>
      <x:c r="K925" s="48"/>
      <x:c r="L925" s="48"/>
      <x:c r="M925" s="48"/>
      <x:c r="N925" s="48"/>
      <x:c r="O925" s="48"/>
      <x:c r="P925" s="48"/>
      <x:c r="Q925" s="48"/>
      <x:c r="R925" s="48"/>
      <x:c r="S925" s="48"/>
      <x:c r="T925" s="48"/>
      <x:c r="U925" s="48"/>
      <x:c r="V925" s="48"/>
      <x:c r="W925" s="48"/>
      <x:c r="X925" s="48"/>
      <x:c r="Y925" s="48"/>
      <x:c r="Z925" s="48"/>
    </x:row>
    <x:row r="926">
      <x:c r="A926" s="48"/>
      <x:c r="B926" s="48"/>
      <x:c r="C926" s="48"/>
      <x:c r="D926" s="48"/>
      <x:c r="E926" s="48"/>
      <x:c r="F926" s="48"/>
      <x:c r="G926" s="48"/>
      <x:c r="H926" s="48"/>
      <x:c r="I926" s="48"/>
      <x:c r="J926" s="48"/>
      <x:c r="K926" s="48"/>
      <x:c r="L926" s="48"/>
      <x:c r="M926" s="48"/>
      <x:c r="N926" s="48"/>
      <x:c r="O926" s="48"/>
      <x:c r="P926" s="48"/>
      <x:c r="Q926" s="48"/>
      <x:c r="R926" s="48"/>
      <x:c r="S926" s="48"/>
      <x:c r="T926" s="48"/>
      <x:c r="U926" s="48"/>
      <x:c r="V926" s="48"/>
      <x:c r="W926" s="48"/>
      <x:c r="X926" s="48"/>
      <x:c r="Y926" s="48"/>
      <x:c r="Z926" s="48"/>
    </x:row>
    <x:row r="927">
      <x:c r="A927" s="48"/>
      <x:c r="B927" s="48"/>
      <x:c r="C927" s="48"/>
      <x:c r="D927" s="48"/>
      <x:c r="E927" s="48"/>
      <x:c r="F927" s="48"/>
      <x:c r="G927" s="48"/>
      <x:c r="H927" s="48"/>
      <x:c r="I927" s="48"/>
      <x:c r="J927" s="48"/>
      <x:c r="K927" s="48"/>
      <x:c r="L927" s="48"/>
      <x:c r="M927" s="48"/>
      <x:c r="N927" s="48"/>
      <x:c r="O927" s="48"/>
      <x:c r="P927" s="48"/>
      <x:c r="Q927" s="48"/>
      <x:c r="R927" s="48"/>
      <x:c r="S927" s="48"/>
      <x:c r="T927" s="48"/>
      <x:c r="U927" s="48"/>
      <x:c r="V927" s="48"/>
      <x:c r="W927" s="48"/>
      <x:c r="X927" s="48"/>
      <x:c r="Y927" s="48"/>
      <x:c r="Z927" s="48"/>
    </x:row>
    <x:row r="928">
      <x:c r="A928" s="48"/>
      <x:c r="B928" s="48"/>
      <x:c r="C928" s="48"/>
      <x:c r="D928" s="48"/>
      <x:c r="E928" s="48"/>
      <x:c r="F928" s="48"/>
      <x:c r="G928" s="48"/>
      <x:c r="H928" s="48"/>
      <x:c r="I928" s="48"/>
      <x:c r="J928" s="48"/>
      <x:c r="K928" s="48"/>
      <x:c r="L928" s="48"/>
      <x:c r="M928" s="48"/>
      <x:c r="N928" s="48"/>
      <x:c r="O928" s="48"/>
      <x:c r="P928" s="48"/>
      <x:c r="Q928" s="48"/>
      <x:c r="R928" s="48"/>
      <x:c r="S928" s="48"/>
      <x:c r="T928" s="48"/>
      <x:c r="U928" s="48"/>
      <x:c r="V928" s="48"/>
      <x:c r="W928" s="48"/>
      <x:c r="X928" s="48"/>
      <x:c r="Y928" s="48"/>
      <x:c r="Z928" s="48"/>
    </x:row>
    <x:row r="929">
      <x:c r="A929" s="48"/>
      <x:c r="B929" s="48"/>
      <x:c r="C929" s="48"/>
      <x:c r="D929" s="48"/>
      <x:c r="E929" s="48"/>
      <x:c r="F929" s="48"/>
      <x:c r="G929" s="48"/>
      <x:c r="H929" s="48"/>
      <x:c r="I929" s="48"/>
      <x:c r="J929" s="48"/>
      <x:c r="K929" s="48"/>
      <x:c r="L929" s="48"/>
      <x:c r="M929" s="48"/>
      <x:c r="N929" s="48"/>
      <x:c r="O929" s="48"/>
      <x:c r="P929" s="48"/>
      <x:c r="Q929" s="48"/>
      <x:c r="R929" s="48"/>
      <x:c r="S929" s="48"/>
      <x:c r="T929" s="48"/>
      <x:c r="U929" s="48"/>
      <x:c r="V929" s="48"/>
      <x:c r="W929" s="48"/>
      <x:c r="X929" s="48"/>
      <x:c r="Y929" s="48"/>
      <x:c r="Z929" s="48"/>
    </x:row>
    <x:row r="930">
      <x:c r="A930" s="48"/>
      <x:c r="B930" s="48"/>
      <x:c r="C930" s="48"/>
      <x:c r="D930" s="48"/>
      <x:c r="E930" s="48"/>
      <x:c r="F930" s="48"/>
      <x:c r="G930" s="48"/>
      <x:c r="H930" s="48"/>
      <x:c r="I930" s="48"/>
      <x:c r="J930" s="48"/>
      <x:c r="K930" s="48"/>
      <x:c r="L930" s="48"/>
      <x:c r="M930" s="48"/>
      <x:c r="N930" s="48"/>
      <x:c r="O930" s="48"/>
      <x:c r="P930" s="48"/>
      <x:c r="Q930" s="48"/>
      <x:c r="R930" s="48"/>
      <x:c r="S930" s="48"/>
      <x:c r="T930" s="48"/>
      <x:c r="U930" s="48"/>
      <x:c r="V930" s="48"/>
      <x:c r="W930" s="48"/>
      <x:c r="X930" s="48"/>
      <x:c r="Y930" s="48"/>
      <x:c r="Z930" s="48"/>
    </x:row>
    <x:row r="931">
      <x:c r="A931" s="48"/>
      <x:c r="B931" s="48"/>
      <x:c r="C931" s="48"/>
      <x:c r="D931" s="48"/>
      <x:c r="E931" s="48"/>
      <x:c r="F931" s="48"/>
      <x:c r="G931" s="48"/>
      <x:c r="H931" s="48"/>
      <x:c r="I931" s="48"/>
      <x:c r="J931" s="48"/>
      <x:c r="K931" s="48"/>
      <x:c r="L931" s="48"/>
      <x:c r="M931" s="48"/>
      <x:c r="N931" s="48"/>
      <x:c r="O931" s="48"/>
      <x:c r="P931" s="48"/>
      <x:c r="Q931" s="48"/>
      <x:c r="R931" s="48"/>
      <x:c r="S931" s="48"/>
      <x:c r="T931" s="48"/>
      <x:c r="U931" s="48"/>
      <x:c r="V931" s="48"/>
      <x:c r="W931" s="48"/>
      <x:c r="X931" s="48"/>
      <x:c r="Y931" s="48"/>
      <x:c r="Z931" s="48"/>
    </x:row>
    <x:row r="932">
      <x:c r="A932" s="48"/>
      <x:c r="B932" s="48"/>
      <x:c r="C932" s="48"/>
      <x:c r="D932" s="48"/>
      <x:c r="E932" s="48"/>
      <x:c r="F932" s="48"/>
      <x:c r="G932" s="48"/>
      <x:c r="H932" s="48"/>
      <x:c r="I932" s="48"/>
      <x:c r="J932" s="48"/>
      <x:c r="K932" s="48"/>
      <x:c r="L932" s="48"/>
      <x:c r="M932" s="48"/>
      <x:c r="N932" s="48"/>
      <x:c r="O932" s="48"/>
      <x:c r="P932" s="48"/>
      <x:c r="Q932" s="48"/>
      <x:c r="R932" s="48"/>
      <x:c r="S932" s="48"/>
      <x:c r="T932" s="48"/>
      <x:c r="U932" s="48"/>
      <x:c r="V932" s="48"/>
      <x:c r="W932" s="48"/>
      <x:c r="X932" s="48"/>
      <x:c r="Y932" s="48"/>
      <x:c r="Z932" s="48"/>
    </x:row>
    <x:row r="933">
      <x:c r="A933" s="48"/>
      <x:c r="B933" s="48"/>
      <x:c r="C933" s="48"/>
      <x:c r="D933" s="48"/>
      <x:c r="E933" s="48"/>
      <x:c r="F933" s="48"/>
      <x:c r="G933" s="48"/>
      <x:c r="H933" s="48"/>
      <x:c r="I933" s="48"/>
      <x:c r="J933" s="48"/>
      <x:c r="K933" s="48"/>
      <x:c r="L933" s="48"/>
      <x:c r="M933" s="48"/>
      <x:c r="N933" s="48"/>
      <x:c r="O933" s="48"/>
      <x:c r="P933" s="48"/>
      <x:c r="Q933" s="48"/>
      <x:c r="R933" s="48"/>
      <x:c r="S933" s="48"/>
      <x:c r="T933" s="48"/>
      <x:c r="U933" s="48"/>
      <x:c r="V933" s="48"/>
      <x:c r="W933" s="48"/>
      <x:c r="X933" s="48"/>
      <x:c r="Y933" s="48"/>
      <x:c r="Z933" s="48"/>
    </x:row>
    <x:row r="934">
      <x:c r="A934" s="48"/>
      <x:c r="B934" s="48"/>
      <x:c r="C934" s="48"/>
      <x:c r="D934" s="48"/>
      <x:c r="E934" s="48"/>
      <x:c r="F934" s="48"/>
      <x:c r="G934" s="48"/>
      <x:c r="H934" s="48"/>
      <x:c r="I934" s="48"/>
      <x:c r="J934" s="48"/>
      <x:c r="K934" s="48"/>
      <x:c r="L934" s="48"/>
      <x:c r="M934" s="48"/>
      <x:c r="N934" s="48"/>
      <x:c r="O934" s="48"/>
      <x:c r="P934" s="48"/>
      <x:c r="Q934" s="48"/>
      <x:c r="R934" s="48"/>
      <x:c r="S934" s="48"/>
      <x:c r="T934" s="48"/>
      <x:c r="U934" s="48"/>
      <x:c r="V934" s="48"/>
      <x:c r="W934" s="48"/>
      <x:c r="X934" s="48"/>
      <x:c r="Y934" s="48"/>
      <x:c r="Z934" s="48"/>
    </x:row>
    <x:row r="935">
      <x:c r="A935" s="48"/>
      <x:c r="B935" s="48"/>
      <x:c r="C935" s="48"/>
      <x:c r="D935" s="48"/>
      <x:c r="E935" s="48"/>
      <x:c r="F935" s="48"/>
      <x:c r="G935" s="48"/>
      <x:c r="H935" s="48"/>
      <x:c r="I935" s="48"/>
      <x:c r="J935" s="48"/>
      <x:c r="K935" s="48"/>
      <x:c r="L935" s="48"/>
      <x:c r="M935" s="48"/>
      <x:c r="N935" s="48"/>
      <x:c r="O935" s="48"/>
      <x:c r="P935" s="48"/>
      <x:c r="Q935" s="48"/>
      <x:c r="R935" s="48"/>
      <x:c r="S935" s="48"/>
      <x:c r="T935" s="48"/>
      <x:c r="U935" s="48"/>
      <x:c r="V935" s="48"/>
      <x:c r="W935" s="48"/>
      <x:c r="X935" s="48"/>
      <x:c r="Y935" s="48"/>
      <x:c r="Z935" s="48"/>
    </x:row>
    <x:row r="936">
      <x:c r="A936" s="48"/>
      <x:c r="B936" s="48"/>
      <x:c r="C936" s="48"/>
      <x:c r="D936" s="48"/>
      <x:c r="E936" s="48"/>
      <x:c r="F936" s="48"/>
      <x:c r="G936" s="48"/>
      <x:c r="H936" s="48"/>
      <x:c r="I936" s="48"/>
      <x:c r="J936" s="48"/>
      <x:c r="K936" s="48"/>
      <x:c r="L936" s="48"/>
      <x:c r="M936" s="48"/>
      <x:c r="N936" s="48"/>
      <x:c r="O936" s="48"/>
      <x:c r="P936" s="48"/>
      <x:c r="Q936" s="48"/>
      <x:c r="R936" s="48"/>
      <x:c r="S936" s="48"/>
      <x:c r="T936" s="48"/>
      <x:c r="U936" s="48"/>
      <x:c r="V936" s="48"/>
      <x:c r="W936" s="48"/>
      <x:c r="X936" s="48"/>
      <x:c r="Y936" s="48"/>
      <x:c r="Z936" s="48"/>
    </x:row>
    <x:row r="937">
      <x:c r="A937" s="48"/>
      <x:c r="B937" s="48"/>
      <x:c r="C937" s="48"/>
      <x:c r="D937" s="48"/>
      <x:c r="E937" s="48"/>
      <x:c r="F937" s="48"/>
      <x:c r="G937" s="48"/>
      <x:c r="H937" s="48"/>
      <x:c r="I937" s="48"/>
      <x:c r="J937" s="48"/>
      <x:c r="K937" s="48"/>
      <x:c r="L937" s="48"/>
      <x:c r="M937" s="48"/>
      <x:c r="N937" s="48"/>
      <x:c r="O937" s="48"/>
      <x:c r="P937" s="48"/>
      <x:c r="Q937" s="48"/>
      <x:c r="R937" s="48"/>
      <x:c r="S937" s="48"/>
      <x:c r="T937" s="48"/>
      <x:c r="U937" s="48"/>
      <x:c r="V937" s="48"/>
      <x:c r="W937" s="48"/>
      <x:c r="X937" s="48"/>
      <x:c r="Y937" s="48"/>
      <x:c r="Z937" s="48"/>
    </x:row>
    <x:row r="938">
      <x:c r="A938" s="48"/>
      <x:c r="B938" s="48"/>
      <x:c r="C938" s="48"/>
      <x:c r="D938" s="48"/>
      <x:c r="E938" s="48"/>
      <x:c r="F938" s="48"/>
      <x:c r="G938" s="48"/>
      <x:c r="H938" s="48"/>
      <x:c r="I938" s="48"/>
      <x:c r="J938" s="48"/>
      <x:c r="K938" s="48"/>
      <x:c r="L938" s="48"/>
      <x:c r="M938" s="48"/>
      <x:c r="N938" s="48"/>
      <x:c r="O938" s="48"/>
      <x:c r="P938" s="48"/>
      <x:c r="Q938" s="48"/>
      <x:c r="R938" s="48"/>
      <x:c r="S938" s="48"/>
      <x:c r="T938" s="48"/>
      <x:c r="U938" s="48"/>
      <x:c r="V938" s="48"/>
      <x:c r="W938" s="48"/>
      <x:c r="X938" s="48"/>
      <x:c r="Y938" s="48"/>
      <x:c r="Z938" s="48"/>
    </x:row>
    <x:row r="939">
      <x:c r="A939" s="48"/>
      <x:c r="B939" s="48"/>
      <x:c r="C939" s="48"/>
      <x:c r="D939" s="48"/>
      <x:c r="E939" s="48"/>
      <x:c r="F939" s="48"/>
      <x:c r="G939" s="48"/>
      <x:c r="H939" s="48"/>
      <x:c r="I939" s="48"/>
      <x:c r="J939" s="48"/>
      <x:c r="K939" s="48"/>
      <x:c r="L939" s="48"/>
      <x:c r="M939" s="48"/>
      <x:c r="N939" s="48"/>
      <x:c r="O939" s="48"/>
      <x:c r="P939" s="48"/>
      <x:c r="Q939" s="48"/>
      <x:c r="R939" s="48"/>
      <x:c r="S939" s="48"/>
      <x:c r="T939" s="48"/>
      <x:c r="U939" s="48"/>
      <x:c r="V939" s="48"/>
      <x:c r="W939" s="48"/>
      <x:c r="X939" s="48"/>
      <x:c r="Y939" s="48"/>
      <x:c r="Z939" s="48"/>
    </x:row>
    <x:row r="940">
      <x:c r="A940" s="48"/>
      <x:c r="B940" s="48"/>
      <x:c r="C940" s="48"/>
      <x:c r="D940" s="48"/>
      <x:c r="E940" s="48"/>
      <x:c r="F940" s="48"/>
      <x:c r="G940" s="48"/>
      <x:c r="H940" s="48"/>
      <x:c r="I940" s="48"/>
      <x:c r="J940" s="48"/>
      <x:c r="K940" s="48"/>
      <x:c r="L940" s="48"/>
      <x:c r="M940" s="48"/>
      <x:c r="N940" s="48"/>
      <x:c r="O940" s="48"/>
      <x:c r="P940" s="48"/>
      <x:c r="Q940" s="48"/>
      <x:c r="R940" s="48"/>
      <x:c r="S940" s="48"/>
      <x:c r="T940" s="48"/>
      <x:c r="U940" s="48"/>
      <x:c r="V940" s="48"/>
      <x:c r="W940" s="48"/>
      <x:c r="X940" s="48"/>
      <x:c r="Y940" s="48"/>
      <x:c r="Z940" s="48"/>
    </x:row>
    <x:row r="941">
      <x:c r="A941" s="48"/>
      <x:c r="B941" s="48"/>
      <x:c r="C941" s="48"/>
      <x:c r="D941" s="48"/>
      <x:c r="E941" s="48"/>
      <x:c r="F941" s="48"/>
      <x:c r="G941" s="48"/>
      <x:c r="H941" s="48"/>
      <x:c r="I941" s="48"/>
      <x:c r="J941" s="48"/>
      <x:c r="K941" s="48"/>
      <x:c r="L941" s="48"/>
      <x:c r="M941" s="48"/>
      <x:c r="N941" s="48"/>
      <x:c r="O941" s="48"/>
      <x:c r="P941" s="48"/>
      <x:c r="Q941" s="48"/>
      <x:c r="R941" s="48"/>
      <x:c r="S941" s="48"/>
      <x:c r="T941" s="48"/>
      <x:c r="U941" s="48"/>
      <x:c r="V941" s="48"/>
      <x:c r="W941" s="48"/>
      <x:c r="X941" s="48"/>
      <x:c r="Y941" s="48"/>
      <x:c r="Z941" s="48"/>
    </x:row>
    <x:row r="942">
      <x:c r="A942" s="48"/>
      <x:c r="B942" s="48"/>
      <x:c r="C942" s="48"/>
      <x:c r="D942" s="48"/>
      <x:c r="E942" s="48"/>
      <x:c r="F942" s="48"/>
      <x:c r="G942" s="48"/>
      <x:c r="H942" s="48"/>
      <x:c r="I942" s="48"/>
      <x:c r="J942" s="48"/>
      <x:c r="K942" s="48"/>
      <x:c r="L942" s="48"/>
      <x:c r="M942" s="48"/>
      <x:c r="N942" s="48"/>
      <x:c r="O942" s="48"/>
      <x:c r="P942" s="48"/>
      <x:c r="Q942" s="48"/>
      <x:c r="R942" s="48"/>
      <x:c r="S942" s="48"/>
      <x:c r="T942" s="48"/>
      <x:c r="U942" s="48"/>
      <x:c r="V942" s="48"/>
      <x:c r="W942" s="48"/>
      <x:c r="X942" s="48"/>
      <x:c r="Y942" s="48"/>
      <x:c r="Z942" s="48"/>
    </x:row>
    <x:row r="943">
      <x:c r="A943" s="48"/>
      <x:c r="B943" s="48"/>
      <x:c r="C943" s="48"/>
      <x:c r="D943" s="48"/>
      <x:c r="E943" s="48"/>
      <x:c r="F943" s="48"/>
      <x:c r="G943" s="48"/>
      <x:c r="H943" s="48"/>
      <x:c r="I943" s="48"/>
      <x:c r="J943" s="48"/>
      <x:c r="K943" s="48"/>
      <x:c r="L943" s="48"/>
      <x:c r="M943" s="48"/>
      <x:c r="N943" s="48"/>
      <x:c r="O943" s="48"/>
      <x:c r="P943" s="48"/>
      <x:c r="Q943" s="48"/>
      <x:c r="R943" s="48"/>
      <x:c r="S943" s="48"/>
      <x:c r="T943" s="48"/>
      <x:c r="U943" s="48"/>
      <x:c r="V943" s="48"/>
      <x:c r="W943" s="48"/>
      <x:c r="X943" s="48"/>
      <x:c r="Y943" s="48"/>
      <x:c r="Z943" s="48"/>
    </x:row>
    <x:row r="944">
      <x:c r="A944" s="48"/>
      <x:c r="B944" s="48"/>
      <x:c r="C944" s="48"/>
      <x:c r="D944" s="48"/>
      <x:c r="E944" s="48"/>
      <x:c r="F944" s="48"/>
      <x:c r="G944" s="48"/>
      <x:c r="H944" s="48"/>
      <x:c r="I944" s="48"/>
      <x:c r="J944" s="48"/>
      <x:c r="K944" s="48"/>
      <x:c r="L944" s="48"/>
      <x:c r="M944" s="48"/>
      <x:c r="N944" s="48"/>
      <x:c r="O944" s="48"/>
      <x:c r="P944" s="48"/>
      <x:c r="Q944" s="48"/>
      <x:c r="R944" s="48"/>
      <x:c r="S944" s="48"/>
      <x:c r="T944" s="48"/>
      <x:c r="U944" s="48"/>
      <x:c r="V944" s="48"/>
      <x:c r="W944" s="48"/>
      <x:c r="X944" s="48"/>
      <x:c r="Y944" s="48"/>
      <x:c r="Z944" s="48"/>
    </x:row>
    <x:row r="945">
      <x:c r="A945" s="48"/>
      <x:c r="B945" s="48"/>
      <x:c r="C945" s="48"/>
      <x:c r="D945" s="48"/>
      <x:c r="E945" s="48"/>
      <x:c r="F945" s="48"/>
      <x:c r="G945" s="48"/>
      <x:c r="H945" s="48"/>
      <x:c r="I945" s="48"/>
      <x:c r="J945" s="48"/>
      <x:c r="K945" s="48"/>
      <x:c r="L945" s="48"/>
      <x:c r="M945" s="48"/>
      <x:c r="N945" s="48"/>
      <x:c r="O945" s="48"/>
      <x:c r="P945" s="48"/>
      <x:c r="Q945" s="48"/>
      <x:c r="R945" s="48"/>
      <x:c r="S945" s="48"/>
      <x:c r="T945" s="48"/>
      <x:c r="U945" s="48"/>
      <x:c r="V945" s="48"/>
      <x:c r="W945" s="48"/>
      <x:c r="X945" s="48"/>
      <x:c r="Y945" s="48"/>
      <x:c r="Z945" s="48"/>
    </x:row>
    <x:row r="946">
      <x:c r="A946" s="48"/>
      <x:c r="B946" s="48"/>
      <x:c r="C946" s="48"/>
      <x:c r="D946" s="48"/>
      <x:c r="E946" s="48"/>
      <x:c r="F946" s="48"/>
      <x:c r="G946" s="48"/>
      <x:c r="H946" s="48"/>
      <x:c r="I946" s="48"/>
      <x:c r="J946" s="48"/>
      <x:c r="K946" s="48"/>
      <x:c r="L946" s="48"/>
      <x:c r="M946" s="48"/>
      <x:c r="N946" s="48"/>
      <x:c r="O946" s="48"/>
      <x:c r="P946" s="48"/>
      <x:c r="Q946" s="48"/>
      <x:c r="R946" s="48"/>
      <x:c r="S946" s="48"/>
      <x:c r="T946" s="48"/>
      <x:c r="U946" s="48"/>
      <x:c r="V946" s="48"/>
      <x:c r="W946" s="48"/>
      <x:c r="X946" s="48"/>
      <x:c r="Y946" s="48"/>
      <x:c r="Z946" s="48"/>
    </x:row>
    <x:row r="947">
      <x:c r="A947" s="48"/>
      <x:c r="B947" s="48"/>
      <x:c r="C947" s="48"/>
      <x:c r="D947" s="48"/>
      <x:c r="E947" s="48"/>
      <x:c r="F947" s="48"/>
      <x:c r="G947" s="48"/>
      <x:c r="H947" s="48"/>
      <x:c r="I947" s="48"/>
      <x:c r="J947" s="48"/>
      <x:c r="K947" s="48"/>
      <x:c r="L947" s="48"/>
      <x:c r="M947" s="48"/>
      <x:c r="N947" s="48"/>
      <x:c r="O947" s="48"/>
      <x:c r="P947" s="48"/>
      <x:c r="Q947" s="48"/>
      <x:c r="R947" s="48"/>
      <x:c r="S947" s="48"/>
      <x:c r="T947" s="48"/>
      <x:c r="U947" s="48"/>
      <x:c r="V947" s="48"/>
      <x:c r="W947" s="48"/>
      <x:c r="X947" s="48"/>
      <x:c r="Y947" s="48"/>
      <x:c r="Z947" s="48"/>
    </x:row>
    <x:row r="948">
      <x:c r="A948" s="48"/>
      <x:c r="B948" s="48"/>
      <x:c r="C948" s="48"/>
      <x:c r="D948" s="48"/>
      <x:c r="E948" s="48"/>
      <x:c r="F948" s="48"/>
      <x:c r="G948" s="48"/>
      <x:c r="H948" s="48"/>
      <x:c r="I948" s="48"/>
      <x:c r="J948" s="48"/>
      <x:c r="K948" s="48"/>
      <x:c r="L948" s="48"/>
      <x:c r="M948" s="48"/>
      <x:c r="N948" s="48"/>
      <x:c r="O948" s="48"/>
      <x:c r="P948" s="48"/>
      <x:c r="Q948" s="48"/>
      <x:c r="R948" s="48"/>
      <x:c r="S948" s="48"/>
      <x:c r="T948" s="48"/>
      <x:c r="U948" s="48"/>
      <x:c r="V948" s="48"/>
      <x:c r="W948" s="48"/>
      <x:c r="X948" s="48"/>
      <x:c r="Y948" s="48"/>
      <x:c r="Z948" s="48"/>
    </x:row>
    <x:row r="949">
      <x:c r="A949" s="48"/>
      <x:c r="B949" s="48"/>
      <x:c r="C949" s="48"/>
      <x:c r="D949" s="48"/>
      <x:c r="E949" s="48"/>
      <x:c r="F949" s="48"/>
      <x:c r="G949" s="48"/>
      <x:c r="H949" s="48"/>
      <x:c r="I949" s="48"/>
      <x:c r="J949" s="48"/>
      <x:c r="K949" s="48"/>
      <x:c r="L949" s="48"/>
      <x:c r="M949" s="48"/>
      <x:c r="N949" s="48"/>
      <x:c r="O949" s="48"/>
      <x:c r="P949" s="48"/>
      <x:c r="Q949" s="48"/>
      <x:c r="R949" s="48"/>
      <x:c r="S949" s="48"/>
      <x:c r="T949" s="48"/>
      <x:c r="U949" s="48"/>
      <x:c r="V949" s="48"/>
      <x:c r="W949" s="48"/>
      <x:c r="X949" s="48"/>
      <x:c r="Y949" s="48"/>
      <x:c r="Z949" s="48"/>
    </x:row>
    <x:row r="950">
      <x:c r="A950" s="48"/>
      <x:c r="B950" s="48"/>
      <x:c r="C950" s="48"/>
      <x:c r="D950" s="48"/>
      <x:c r="E950" s="48"/>
      <x:c r="F950" s="48"/>
      <x:c r="G950" s="48"/>
      <x:c r="H950" s="48"/>
      <x:c r="I950" s="48"/>
      <x:c r="J950" s="48"/>
      <x:c r="K950" s="48"/>
      <x:c r="L950" s="48"/>
      <x:c r="M950" s="48"/>
      <x:c r="N950" s="48"/>
      <x:c r="O950" s="48"/>
      <x:c r="P950" s="48"/>
      <x:c r="Q950" s="48"/>
      <x:c r="R950" s="48"/>
      <x:c r="S950" s="48"/>
      <x:c r="T950" s="48"/>
      <x:c r="U950" s="48"/>
      <x:c r="V950" s="48"/>
      <x:c r="W950" s="48"/>
      <x:c r="X950" s="48"/>
      <x:c r="Y950" s="48"/>
      <x:c r="Z950" s="48"/>
    </x:row>
    <x:row r="951">
      <x:c r="A951" s="48"/>
      <x:c r="B951" s="48"/>
      <x:c r="C951" s="48"/>
      <x:c r="D951" s="48"/>
      <x:c r="E951" s="48"/>
      <x:c r="F951" s="48"/>
      <x:c r="G951" s="48"/>
      <x:c r="H951" s="48"/>
      <x:c r="I951" s="48"/>
      <x:c r="J951" s="48"/>
      <x:c r="K951" s="48"/>
      <x:c r="L951" s="48"/>
      <x:c r="M951" s="48"/>
      <x:c r="N951" s="48"/>
      <x:c r="O951" s="48"/>
      <x:c r="P951" s="48"/>
      <x:c r="Q951" s="48"/>
      <x:c r="R951" s="48"/>
      <x:c r="S951" s="48"/>
      <x:c r="T951" s="48"/>
      <x:c r="U951" s="48"/>
      <x:c r="V951" s="48"/>
      <x:c r="W951" s="48"/>
      <x:c r="X951" s="48"/>
      <x:c r="Y951" s="48"/>
      <x:c r="Z951" s="48"/>
    </x:row>
    <x:row r="952">
      <x:c r="A952" s="48"/>
      <x:c r="B952" s="48"/>
      <x:c r="C952" s="48"/>
      <x:c r="D952" s="48"/>
      <x:c r="E952" s="48"/>
      <x:c r="F952" s="48"/>
      <x:c r="G952" s="48"/>
      <x:c r="H952" s="48"/>
      <x:c r="I952" s="48"/>
      <x:c r="J952" s="48"/>
      <x:c r="K952" s="48"/>
      <x:c r="L952" s="48"/>
      <x:c r="M952" s="48"/>
      <x:c r="N952" s="48"/>
      <x:c r="O952" s="48"/>
      <x:c r="P952" s="48"/>
      <x:c r="Q952" s="48"/>
      <x:c r="R952" s="48"/>
      <x:c r="S952" s="48"/>
      <x:c r="T952" s="48"/>
      <x:c r="U952" s="48"/>
      <x:c r="V952" s="48"/>
      <x:c r="W952" s="48"/>
      <x:c r="X952" s="48"/>
      <x:c r="Y952" s="48"/>
      <x:c r="Z952" s="48"/>
    </x:row>
    <x:row r="953">
      <x:c r="A953" s="48"/>
      <x:c r="B953" s="48"/>
      <x:c r="C953" s="48"/>
      <x:c r="D953" s="48"/>
      <x:c r="E953" s="48"/>
      <x:c r="F953" s="48"/>
      <x:c r="G953" s="48"/>
      <x:c r="H953" s="48"/>
      <x:c r="I953" s="48"/>
      <x:c r="J953" s="48"/>
      <x:c r="K953" s="48"/>
      <x:c r="L953" s="48"/>
      <x:c r="M953" s="48"/>
      <x:c r="N953" s="48"/>
      <x:c r="O953" s="48"/>
      <x:c r="P953" s="48"/>
      <x:c r="Q953" s="48"/>
      <x:c r="R953" s="48"/>
      <x:c r="S953" s="48"/>
      <x:c r="T953" s="48"/>
      <x:c r="U953" s="48"/>
      <x:c r="V953" s="48"/>
      <x:c r="W953" s="48"/>
      <x:c r="X953" s="48"/>
      <x:c r="Y953" s="48"/>
      <x:c r="Z953" s="48"/>
    </x:row>
    <x:row r="954">
      <x:c r="A954" s="48"/>
      <x:c r="B954" s="48"/>
      <x:c r="C954" s="48"/>
      <x:c r="D954" s="48"/>
      <x:c r="E954" s="48"/>
      <x:c r="F954" s="48"/>
      <x:c r="G954" s="48"/>
      <x:c r="H954" s="48"/>
      <x:c r="I954" s="48"/>
      <x:c r="J954" s="48"/>
      <x:c r="K954" s="48"/>
      <x:c r="L954" s="48"/>
      <x:c r="M954" s="48"/>
      <x:c r="N954" s="48"/>
      <x:c r="O954" s="48"/>
      <x:c r="P954" s="48"/>
      <x:c r="Q954" s="48"/>
      <x:c r="R954" s="48"/>
      <x:c r="S954" s="48"/>
      <x:c r="T954" s="48"/>
      <x:c r="U954" s="48"/>
      <x:c r="V954" s="48"/>
      <x:c r="W954" s="48"/>
      <x:c r="X954" s="48"/>
      <x:c r="Y954" s="48"/>
      <x:c r="Z954" s="48"/>
    </x:row>
    <x:row r="955">
      <x:c r="A955" s="48"/>
      <x:c r="B955" s="48"/>
      <x:c r="C955" s="48"/>
      <x:c r="D955" s="48"/>
      <x:c r="E955" s="48"/>
      <x:c r="F955" s="48"/>
      <x:c r="G955" s="48"/>
      <x:c r="H955" s="48"/>
      <x:c r="I955" s="48"/>
      <x:c r="J955" s="48"/>
      <x:c r="K955" s="48"/>
      <x:c r="L955" s="48"/>
      <x:c r="M955" s="48"/>
      <x:c r="N955" s="48"/>
      <x:c r="O955" s="48"/>
      <x:c r="P955" s="48"/>
      <x:c r="Q955" s="48"/>
      <x:c r="R955" s="48"/>
      <x:c r="S955" s="48"/>
      <x:c r="T955" s="48"/>
      <x:c r="U955" s="48"/>
      <x:c r="V955" s="48"/>
      <x:c r="W955" s="48"/>
      <x:c r="X955" s="48"/>
      <x:c r="Y955" s="48"/>
      <x:c r="Z955" s="48"/>
    </x:row>
    <x:row r="956">
      <x:c r="A956" s="48"/>
      <x:c r="B956" s="48"/>
      <x:c r="C956" s="48"/>
      <x:c r="D956" s="48"/>
      <x:c r="E956" s="48"/>
      <x:c r="F956" s="48"/>
      <x:c r="G956" s="48"/>
      <x:c r="H956" s="48"/>
      <x:c r="I956" s="48"/>
      <x:c r="J956" s="48"/>
      <x:c r="K956" s="48"/>
      <x:c r="L956" s="48"/>
      <x:c r="M956" s="48"/>
      <x:c r="N956" s="48"/>
      <x:c r="O956" s="48"/>
      <x:c r="P956" s="48"/>
      <x:c r="Q956" s="48"/>
      <x:c r="R956" s="48"/>
      <x:c r="S956" s="48"/>
      <x:c r="T956" s="48"/>
      <x:c r="U956" s="48"/>
      <x:c r="V956" s="48"/>
      <x:c r="W956" s="48"/>
      <x:c r="X956" s="48"/>
      <x:c r="Y956" s="48"/>
      <x:c r="Z956" s="48"/>
    </x:row>
    <x:row r="957">
      <x:c r="A957" s="48"/>
      <x:c r="B957" s="48"/>
      <x:c r="C957" s="48"/>
      <x:c r="D957" s="48"/>
      <x:c r="E957" s="48"/>
      <x:c r="F957" s="48"/>
      <x:c r="G957" s="48"/>
      <x:c r="H957" s="48"/>
      <x:c r="I957" s="48"/>
      <x:c r="J957" s="48"/>
      <x:c r="K957" s="48"/>
      <x:c r="L957" s="48"/>
      <x:c r="M957" s="48"/>
      <x:c r="N957" s="48"/>
      <x:c r="O957" s="48"/>
      <x:c r="P957" s="48"/>
      <x:c r="Q957" s="48"/>
      <x:c r="R957" s="48"/>
      <x:c r="S957" s="48"/>
      <x:c r="T957" s="48"/>
      <x:c r="U957" s="48"/>
      <x:c r="V957" s="48"/>
      <x:c r="W957" s="48"/>
      <x:c r="X957" s="48"/>
      <x:c r="Y957" s="48"/>
      <x:c r="Z957" s="48"/>
    </x:row>
    <x:row r="958">
      <x:c r="A958" s="48"/>
      <x:c r="B958" s="48"/>
      <x:c r="C958" s="48"/>
      <x:c r="D958" s="48"/>
      <x:c r="E958" s="48"/>
      <x:c r="F958" s="48"/>
      <x:c r="G958" s="48"/>
      <x:c r="H958" s="48"/>
      <x:c r="I958" s="48"/>
      <x:c r="J958" s="48"/>
      <x:c r="K958" s="48"/>
      <x:c r="L958" s="48"/>
      <x:c r="M958" s="48"/>
      <x:c r="N958" s="48"/>
      <x:c r="O958" s="48"/>
      <x:c r="P958" s="48"/>
      <x:c r="Q958" s="48"/>
      <x:c r="R958" s="48"/>
      <x:c r="S958" s="48"/>
      <x:c r="T958" s="48"/>
      <x:c r="U958" s="48"/>
      <x:c r="V958" s="48"/>
      <x:c r="W958" s="48"/>
      <x:c r="X958" s="48"/>
      <x:c r="Y958" s="48"/>
      <x:c r="Z958" s="48"/>
    </x:row>
    <x:row r="959">
      <x:c r="A959" s="48"/>
      <x:c r="B959" s="48"/>
      <x:c r="C959" s="48"/>
      <x:c r="D959" s="48"/>
      <x:c r="E959" s="48"/>
      <x:c r="F959" s="48"/>
      <x:c r="G959" s="48"/>
      <x:c r="H959" s="48"/>
      <x:c r="I959" s="48"/>
      <x:c r="J959" s="48"/>
      <x:c r="K959" s="48"/>
      <x:c r="L959" s="48"/>
      <x:c r="M959" s="48"/>
      <x:c r="N959" s="48"/>
      <x:c r="O959" s="48"/>
      <x:c r="P959" s="48"/>
      <x:c r="Q959" s="48"/>
      <x:c r="R959" s="48"/>
      <x:c r="S959" s="48"/>
      <x:c r="T959" s="48"/>
      <x:c r="U959" s="48"/>
      <x:c r="V959" s="48"/>
      <x:c r="W959" s="48"/>
      <x:c r="X959" s="48"/>
      <x:c r="Y959" s="48"/>
      <x:c r="Z959" s="48"/>
    </x:row>
    <x:row r="960">
      <x:c r="A960" s="48"/>
      <x:c r="B960" s="48"/>
      <x:c r="C960" s="48"/>
      <x:c r="D960" s="48"/>
      <x:c r="E960" s="48"/>
      <x:c r="F960" s="48"/>
      <x:c r="G960" s="48"/>
      <x:c r="H960" s="48"/>
      <x:c r="I960" s="48"/>
      <x:c r="J960" s="48"/>
      <x:c r="K960" s="48"/>
      <x:c r="L960" s="48"/>
      <x:c r="M960" s="48"/>
      <x:c r="N960" s="48"/>
      <x:c r="O960" s="48"/>
      <x:c r="P960" s="48"/>
      <x:c r="Q960" s="48"/>
      <x:c r="R960" s="48"/>
      <x:c r="S960" s="48"/>
      <x:c r="T960" s="48"/>
      <x:c r="U960" s="48"/>
      <x:c r="V960" s="48"/>
      <x:c r="W960" s="48"/>
      <x:c r="X960" s="48"/>
      <x:c r="Y960" s="48"/>
      <x:c r="Z960" s="48"/>
    </x:row>
    <x:row r="961">
      <x:c r="A961" s="48"/>
      <x:c r="B961" s="48"/>
      <x:c r="C961" s="48"/>
      <x:c r="D961" s="48"/>
      <x:c r="E961" s="48"/>
      <x:c r="F961" s="48"/>
      <x:c r="G961" s="48"/>
      <x:c r="H961" s="48"/>
      <x:c r="I961" s="48"/>
      <x:c r="J961" s="48"/>
      <x:c r="K961" s="48"/>
      <x:c r="L961" s="48"/>
      <x:c r="M961" s="48"/>
      <x:c r="N961" s="48"/>
      <x:c r="O961" s="48"/>
      <x:c r="P961" s="48"/>
      <x:c r="Q961" s="48"/>
      <x:c r="R961" s="48"/>
      <x:c r="S961" s="48"/>
      <x:c r="T961" s="48"/>
      <x:c r="U961" s="48"/>
      <x:c r="V961" s="48"/>
      <x:c r="W961" s="48"/>
      <x:c r="X961" s="48"/>
      <x:c r="Y961" s="48"/>
      <x:c r="Z961" s="48"/>
    </x:row>
    <x:row r="962">
      <x:c r="A962" s="48"/>
      <x:c r="B962" s="48"/>
      <x:c r="C962" s="48"/>
      <x:c r="D962" s="48"/>
      <x:c r="E962" s="48"/>
      <x:c r="F962" s="48"/>
      <x:c r="G962" s="48"/>
      <x:c r="H962" s="48"/>
      <x:c r="I962" s="48"/>
      <x:c r="J962" s="48"/>
      <x:c r="K962" s="48"/>
      <x:c r="L962" s="48"/>
      <x:c r="M962" s="48"/>
      <x:c r="N962" s="48"/>
      <x:c r="O962" s="48"/>
      <x:c r="P962" s="48"/>
      <x:c r="Q962" s="48"/>
      <x:c r="R962" s="48"/>
      <x:c r="S962" s="48"/>
      <x:c r="T962" s="48"/>
      <x:c r="U962" s="48"/>
      <x:c r="V962" s="48"/>
      <x:c r="W962" s="48"/>
      <x:c r="X962" s="48"/>
      <x:c r="Y962" s="48"/>
      <x:c r="Z962" s="48"/>
    </x:row>
    <x:row r="963">
      <x:c r="A963" s="48"/>
      <x:c r="B963" s="48"/>
      <x:c r="C963" s="48"/>
      <x:c r="D963" s="48"/>
      <x:c r="E963" s="48"/>
      <x:c r="F963" s="48"/>
      <x:c r="G963" s="48"/>
      <x:c r="H963" s="48"/>
      <x:c r="I963" s="48"/>
      <x:c r="J963" s="48"/>
      <x:c r="K963" s="48"/>
      <x:c r="L963" s="48"/>
      <x:c r="M963" s="48"/>
      <x:c r="N963" s="48"/>
      <x:c r="O963" s="48"/>
      <x:c r="P963" s="48"/>
      <x:c r="Q963" s="48"/>
      <x:c r="R963" s="48"/>
      <x:c r="S963" s="48"/>
      <x:c r="T963" s="48"/>
      <x:c r="U963" s="48"/>
      <x:c r="V963" s="48"/>
      <x:c r="W963" s="48"/>
      <x:c r="X963" s="48"/>
      <x:c r="Y963" s="48"/>
      <x:c r="Z963" s="48"/>
    </x:row>
    <x:row r="964">
      <x:c r="A964" s="48"/>
      <x:c r="B964" s="48"/>
      <x:c r="C964" s="48"/>
      <x:c r="D964" s="48"/>
      <x:c r="E964" s="48"/>
      <x:c r="F964" s="48"/>
      <x:c r="G964" s="48"/>
      <x:c r="H964" s="48"/>
      <x:c r="I964" s="48"/>
      <x:c r="J964" s="48"/>
      <x:c r="K964" s="48"/>
      <x:c r="L964" s="48"/>
      <x:c r="M964" s="48"/>
      <x:c r="N964" s="48"/>
      <x:c r="O964" s="48"/>
      <x:c r="P964" s="48"/>
      <x:c r="Q964" s="48"/>
      <x:c r="R964" s="48"/>
      <x:c r="S964" s="48"/>
      <x:c r="T964" s="48"/>
      <x:c r="U964" s="48"/>
      <x:c r="V964" s="48"/>
      <x:c r="W964" s="48"/>
      <x:c r="X964" s="48"/>
      <x:c r="Y964" s="48"/>
      <x:c r="Z964" s="48"/>
    </x:row>
    <x:row r="965">
      <x:c r="A965" s="48"/>
      <x:c r="B965" s="48"/>
      <x:c r="C965" s="48"/>
      <x:c r="D965" s="48"/>
      <x:c r="E965" s="48"/>
      <x:c r="F965" s="48"/>
      <x:c r="G965" s="48"/>
      <x:c r="H965" s="48"/>
      <x:c r="I965" s="48"/>
      <x:c r="J965" s="48"/>
      <x:c r="K965" s="48"/>
      <x:c r="L965" s="48"/>
      <x:c r="M965" s="48"/>
      <x:c r="N965" s="48"/>
      <x:c r="O965" s="48"/>
      <x:c r="P965" s="48"/>
      <x:c r="Q965" s="48"/>
      <x:c r="R965" s="48"/>
      <x:c r="S965" s="48"/>
      <x:c r="T965" s="48"/>
      <x:c r="U965" s="48"/>
      <x:c r="V965" s="48"/>
      <x:c r="W965" s="48"/>
      <x:c r="X965" s="48"/>
      <x:c r="Y965" s="48"/>
      <x:c r="Z965" s="48"/>
    </x:row>
    <x:row r="966">
      <x:c r="A966" s="48"/>
      <x:c r="B966" s="48"/>
      <x:c r="C966" s="48"/>
      <x:c r="D966" s="48"/>
      <x:c r="E966" s="48"/>
      <x:c r="F966" s="48"/>
      <x:c r="G966" s="48"/>
      <x:c r="H966" s="48"/>
      <x:c r="I966" s="48"/>
      <x:c r="J966" s="48"/>
      <x:c r="K966" s="48"/>
      <x:c r="L966" s="48"/>
      <x:c r="M966" s="48"/>
      <x:c r="N966" s="48"/>
      <x:c r="O966" s="48"/>
      <x:c r="P966" s="48"/>
      <x:c r="Q966" s="48"/>
      <x:c r="R966" s="48"/>
      <x:c r="S966" s="48"/>
      <x:c r="T966" s="48"/>
      <x:c r="U966" s="48"/>
      <x:c r="V966" s="48"/>
      <x:c r="W966" s="48"/>
      <x:c r="X966" s="48"/>
      <x:c r="Y966" s="48"/>
      <x:c r="Z966" s="48"/>
    </x:row>
    <x:row r="967">
      <x:c r="A967" s="48"/>
      <x:c r="B967" s="48"/>
      <x:c r="C967" s="48"/>
      <x:c r="D967" s="48"/>
      <x:c r="E967" s="48"/>
      <x:c r="F967" s="48"/>
      <x:c r="G967" s="48"/>
      <x:c r="H967" s="48"/>
      <x:c r="I967" s="48"/>
      <x:c r="J967" s="48"/>
      <x:c r="K967" s="48"/>
      <x:c r="L967" s="48"/>
      <x:c r="M967" s="48"/>
      <x:c r="N967" s="48"/>
      <x:c r="O967" s="48"/>
      <x:c r="P967" s="48"/>
      <x:c r="Q967" s="48"/>
      <x:c r="R967" s="48"/>
      <x:c r="S967" s="48"/>
      <x:c r="T967" s="48"/>
      <x:c r="U967" s="48"/>
      <x:c r="V967" s="48"/>
      <x:c r="W967" s="48"/>
      <x:c r="X967" s="48"/>
      <x:c r="Y967" s="48"/>
      <x:c r="Z967" s="48"/>
    </x:row>
    <x:row r="968">
      <x:c r="A968" s="48"/>
      <x:c r="B968" s="48"/>
      <x:c r="C968" s="48"/>
      <x:c r="D968" s="48"/>
      <x:c r="E968" s="48"/>
      <x:c r="F968" s="48"/>
      <x:c r="G968" s="48"/>
      <x:c r="H968" s="48"/>
      <x:c r="I968" s="48"/>
      <x:c r="J968" s="48"/>
      <x:c r="K968" s="48"/>
      <x:c r="L968" s="48"/>
      <x:c r="M968" s="48"/>
      <x:c r="N968" s="48"/>
      <x:c r="O968" s="48"/>
      <x:c r="P968" s="48"/>
      <x:c r="Q968" s="48"/>
      <x:c r="R968" s="48"/>
      <x:c r="S968" s="48"/>
      <x:c r="T968" s="48"/>
      <x:c r="U968" s="48"/>
      <x:c r="V968" s="48"/>
      <x:c r="W968" s="48"/>
      <x:c r="X968" s="48"/>
      <x:c r="Y968" s="48"/>
      <x:c r="Z968" s="48"/>
    </x:row>
    <x:row r="969">
      <x:c r="A969" s="48"/>
      <x:c r="B969" s="48"/>
      <x:c r="C969" s="48"/>
      <x:c r="D969" s="48"/>
      <x:c r="E969" s="48"/>
      <x:c r="F969" s="48"/>
      <x:c r="G969" s="48"/>
      <x:c r="H969" s="48"/>
      <x:c r="I969" s="48"/>
      <x:c r="J969" s="48"/>
      <x:c r="K969" s="48"/>
      <x:c r="L969" s="48"/>
      <x:c r="M969" s="48"/>
      <x:c r="N969" s="48"/>
      <x:c r="O969" s="48"/>
      <x:c r="P969" s="48"/>
      <x:c r="Q969" s="48"/>
      <x:c r="R969" s="48"/>
      <x:c r="S969" s="48"/>
      <x:c r="T969" s="48"/>
      <x:c r="U969" s="48"/>
      <x:c r="V969" s="48"/>
      <x:c r="W969" s="48"/>
      <x:c r="X969" s="48"/>
      <x:c r="Y969" s="48"/>
      <x:c r="Z969" s="48"/>
    </x:row>
    <x:row r="970">
      <x:c r="A970" s="48"/>
      <x:c r="B970" s="48"/>
      <x:c r="C970" s="48"/>
      <x:c r="D970" s="48"/>
      <x:c r="E970" s="48"/>
      <x:c r="F970" s="48"/>
      <x:c r="G970" s="48"/>
      <x:c r="H970" s="48"/>
      <x:c r="I970" s="48"/>
      <x:c r="J970" s="48"/>
      <x:c r="K970" s="48"/>
      <x:c r="L970" s="48"/>
      <x:c r="M970" s="48"/>
      <x:c r="N970" s="48"/>
      <x:c r="O970" s="48"/>
      <x:c r="P970" s="48"/>
      <x:c r="Q970" s="48"/>
      <x:c r="R970" s="48"/>
      <x:c r="S970" s="48"/>
      <x:c r="T970" s="48"/>
      <x:c r="U970" s="48"/>
      <x:c r="V970" s="48"/>
      <x:c r="W970" s="48"/>
      <x:c r="X970" s="48"/>
      <x:c r="Y970" s="48"/>
      <x:c r="Z970" s="48"/>
    </x:row>
    <x:row r="971">
      <x:c r="A971" s="48"/>
      <x:c r="B971" s="48"/>
      <x:c r="C971" s="48"/>
      <x:c r="D971" s="48"/>
      <x:c r="E971" s="48"/>
      <x:c r="F971" s="48"/>
      <x:c r="G971" s="48"/>
      <x:c r="H971" s="48"/>
      <x:c r="I971" s="48"/>
      <x:c r="J971" s="48"/>
      <x:c r="K971" s="48"/>
      <x:c r="L971" s="48"/>
      <x:c r="M971" s="48"/>
      <x:c r="N971" s="48"/>
      <x:c r="O971" s="48"/>
      <x:c r="P971" s="48"/>
      <x:c r="Q971" s="48"/>
      <x:c r="R971" s="48"/>
      <x:c r="S971" s="48"/>
      <x:c r="T971" s="48"/>
      <x:c r="U971" s="48"/>
      <x:c r="V971" s="48"/>
      <x:c r="W971" s="48"/>
      <x:c r="X971" s="48"/>
      <x:c r="Y971" s="48"/>
      <x:c r="Z971" s="48"/>
    </x:row>
    <x:row r="972">
      <x:c r="A972" s="48"/>
      <x:c r="B972" s="48"/>
      <x:c r="C972" s="48"/>
      <x:c r="D972" s="48"/>
      <x:c r="E972" s="48"/>
      <x:c r="F972" s="48"/>
      <x:c r="G972" s="48"/>
      <x:c r="H972" s="48"/>
      <x:c r="I972" s="48"/>
      <x:c r="J972" s="48"/>
      <x:c r="K972" s="48"/>
      <x:c r="L972" s="48"/>
      <x:c r="M972" s="48"/>
      <x:c r="N972" s="48"/>
      <x:c r="O972" s="48"/>
      <x:c r="P972" s="48"/>
      <x:c r="Q972" s="48"/>
      <x:c r="R972" s="48"/>
      <x:c r="S972" s="48"/>
      <x:c r="T972" s="48"/>
      <x:c r="U972" s="48"/>
      <x:c r="V972" s="48"/>
      <x:c r="W972" s="48"/>
      <x:c r="X972" s="48"/>
      <x:c r="Y972" s="48"/>
      <x:c r="Z972" s="48"/>
    </x:row>
    <x:row r="973">
      <x:c r="A973" s="48"/>
      <x:c r="B973" s="48"/>
      <x:c r="C973" s="48"/>
      <x:c r="D973" s="48"/>
      <x:c r="E973" s="48"/>
      <x:c r="F973" s="48"/>
      <x:c r="G973" s="48"/>
      <x:c r="H973" s="48"/>
      <x:c r="I973" s="48"/>
      <x:c r="J973" s="48"/>
      <x:c r="K973" s="48"/>
      <x:c r="L973" s="48"/>
      <x:c r="M973" s="48"/>
      <x:c r="N973" s="48"/>
      <x:c r="O973" s="48"/>
      <x:c r="P973" s="48"/>
      <x:c r="Q973" s="48"/>
      <x:c r="R973" s="48"/>
      <x:c r="S973" s="48"/>
      <x:c r="T973" s="48"/>
      <x:c r="U973" s="48"/>
      <x:c r="V973" s="48"/>
      <x:c r="W973" s="48"/>
      <x:c r="X973" s="48"/>
      <x:c r="Y973" s="48"/>
      <x:c r="Z973" s="48"/>
    </x:row>
    <x:row r="974">
      <x:c r="A974" s="48"/>
      <x:c r="B974" s="48"/>
      <x:c r="C974" s="48"/>
      <x:c r="D974" s="48"/>
      <x:c r="E974" s="48"/>
      <x:c r="F974" s="48"/>
      <x:c r="G974" s="48"/>
      <x:c r="H974" s="48"/>
      <x:c r="I974" s="48"/>
      <x:c r="J974" s="48"/>
      <x:c r="K974" s="48"/>
      <x:c r="L974" s="48"/>
      <x:c r="M974" s="48"/>
      <x:c r="N974" s="48"/>
      <x:c r="O974" s="48"/>
      <x:c r="P974" s="48"/>
      <x:c r="Q974" s="48"/>
      <x:c r="R974" s="48"/>
      <x:c r="S974" s="48"/>
      <x:c r="T974" s="48"/>
      <x:c r="U974" s="48"/>
      <x:c r="V974" s="48"/>
      <x:c r="W974" s="48"/>
      <x:c r="X974" s="48"/>
      <x:c r="Y974" s="48"/>
      <x:c r="Z974" s="48"/>
    </x:row>
    <x:row r="975">
      <x:c r="A975" s="48"/>
      <x:c r="B975" s="48"/>
      <x:c r="C975" s="48"/>
      <x:c r="D975" s="48"/>
      <x:c r="E975" s="48"/>
      <x:c r="F975" s="48"/>
      <x:c r="G975" s="48"/>
      <x:c r="H975" s="48"/>
      <x:c r="I975" s="48"/>
      <x:c r="J975" s="48"/>
      <x:c r="K975" s="48"/>
      <x:c r="L975" s="48"/>
      <x:c r="M975" s="48"/>
      <x:c r="N975" s="48"/>
      <x:c r="O975" s="48"/>
      <x:c r="P975" s="48"/>
      <x:c r="Q975" s="48"/>
      <x:c r="R975" s="48"/>
      <x:c r="S975" s="48"/>
      <x:c r="T975" s="48"/>
      <x:c r="U975" s="48"/>
      <x:c r="V975" s="48"/>
      <x:c r="W975" s="48"/>
      <x:c r="X975" s="48"/>
      <x:c r="Y975" s="48"/>
      <x:c r="Z975" s="48"/>
    </x:row>
    <x:row r="976">
      <x:c r="A976" s="48"/>
      <x:c r="B976" s="48"/>
      <x:c r="C976" s="48"/>
      <x:c r="D976" s="48"/>
      <x:c r="E976" s="48"/>
      <x:c r="F976" s="48"/>
      <x:c r="G976" s="48"/>
      <x:c r="H976" s="48"/>
      <x:c r="I976" s="48"/>
      <x:c r="J976" s="48"/>
      <x:c r="K976" s="48"/>
      <x:c r="L976" s="48"/>
      <x:c r="M976" s="48"/>
      <x:c r="N976" s="48"/>
      <x:c r="O976" s="48"/>
      <x:c r="P976" s="48"/>
      <x:c r="Q976" s="48"/>
      <x:c r="R976" s="48"/>
      <x:c r="S976" s="48"/>
      <x:c r="T976" s="48"/>
      <x:c r="U976" s="48"/>
      <x:c r="V976" s="48"/>
      <x:c r="W976" s="48"/>
      <x:c r="X976" s="48"/>
      <x:c r="Y976" s="48"/>
      <x:c r="Z976" s="48"/>
    </x:row>
    <x:row r="977">
      <x:c r="A977" s="48"/>
      <x:c r="B977" s="48"/>
      <x:c r="C977" s="48"/>
      <x:c r="D977" s="48"/>
      <x:c r="E977" s="48"/>
      <x:c r="F977" s="48"/>
      <x:c r="G977" s="48"/>
      <x:c r="H977" s="48"/>
      <x:c r="I977" s="48"/>
      <x:c r="J977" s="48"/>
      <x:c r="K977" s="48"/>
      <x:c r="L977" s="48"/>
      <x:c r="M977" s="48"/>
      <x:c r="N977" s="48"/>
      <x:c r="O977" s="48"/>
      <x:c r="P977" s="48"/>
      <x:c r="Q977" s="48"/>
      <x:c r="R977" s="48"/>
      <x:c r="S977" s="48"/>
      <x:c r="T977" s="48"/>
      <x:c r="U977" s="48"/>
      <x:c r="V977" s="48"/>
      <x:c r="W977" s="48"/>
      <x:c r="X977" s="48"/>
      <x:c r="Y977" s="48"/>
      <x:c r="Z977" s="48"/>
    </x:row>
    <x:row r="978">
      <x:c r="A978" s="48"/>
      <x:c r="B978" s="48"/>
      <x:c r="C978" s="48"/>
      <x:c r="D978" s="48"/>
      <x:c r="E978" s="48"/>
      <x:c r="F978" s="48"/>
      <x:c r="G978" s="48"/>
      <x:c r="H978" s="48"/>
      <x:c r="I978" s="48"/>
      <x:c r="J978" s="48"/>
      <x:c r="K978" s="48"/>
      <x:c r="L978" s="48"/>
      <x:c r="M978" s="48"/>
      <x:c r="N978" s="48"/>
      <x:c r="O978" s="48"/>
      <x:c r="P978" s="48"/>
      <x:c r="Q978" s="48"/>
      <x:c r="R978" s="48"/>
      <x:c r="S978" s="48"/>
      <x:c r="T978" s="48"/>
      <x:c r="U978" s="48"/>
      <x:c r="V978" s="48"/>
      <x:c r="W978" s="48"/>
      <x:c r="X978" s="48"/>
      <x:c r="Y978" s="48"/>
      <x:c r="Z978" s="48"/>
    </x:row>
    <x:row r="979">
      <x:c r="A979" s="48"/>
      <x:c r="B979" s="48"/>
      <x:c r="C979" s="48"/>
      <x:c r="D979" s="48"/>
      <x:c r="E979" s="48"/>
      <x:c r="F979" s="48"/>
      <x:c r="G979" s="48"/>
      <x:c r="H979" s="48"/>
      <x:c r="I979" s="48"/>
      <x:c r="J979" s="48"/>
      <x:c r="K979" s="48"/>
      <x:c r="L979" s="48"/>
      <x:c r="M979" s="48"/>
      <x:c r="N979" s="48"/>
      <x:c r="O979" s="48"/>
      <x:c r="P979" s="48"/>
      <x:c r="Q979" s="48"/>
      <x:c r="R979" s="48"/>
      <x:c r="S979" s="48"/>
      <x:c r="T979" s="48"/>
      <x:c r="U979" s="48"/>
      <x:c r="V979" s="48"/>
      <x:c r="W979" s="48"/>
      <x:c r="X979" s="48"/>
      <x:c r="Y979" s="48"/>
      <x:c r="Z979" s="48"/>
    </x:row>
    <x:row r="980">
      <x:c r="A980" s="48"/>
      <x:c r="B980" s="48"/>
      <x:c r="C980" s="48"/>
      <x:c r="D980" s="48"/>
      <x:c r="E980" s="48"/>
      <x:c r="F980" s="48"/>
      <x:c r="G980" s="48"/>
      <x:c r="H980" s="48"/>
      <x:c r="I980" s="48"/>
      <x:c r="J980" s="48"/>
      <x:c r="K980" s="48"/>
      <x:c r="L980" s="48"/>
      <x:c r="M980" s="48"/>
      <x:c r="N980" s="48"/>
      <x:c r="O980" s="48"/>
      <x:c r="P980" s="48"/>
      <x:c r="Q980" s="48"/>
      <x:c r="R980" s="48"/>
      <x:c r="S980" s="48"/>
      <x:c r="T980" s="48"/>
      <x:c r="U980" s="48"/>
      <x:c r="V980" s="48"/>
      <x:c r="W980" s="48"/>
      <x:c r="X980" s="48"/>
      <x:c r="Y980" s="48"/>
      <x:c r="Z980" s="48"/>
    </x:row>
    <x:row r="981">
      <x:c r="A981" s="48"/>
      <x:c r="B981" s="48"/>
      <x:c r="C981" s="48"/>
      <x:c r="D981" s="48"/>
      <x:c r="E981" s="48"/>
      <x:c r="F981" s="48"/>
      <x:c r="G981" s="48"/>
      <x:c r="H981" s="48"/>
      <x:c r="I981" s="48"/>
      <x:c r="J981" s="48"/>
      <x:c r="K981" s="48"/>
      <x:c r="L981" s="48"/>
      <x:c r="M981" s="48"/>
      <x:c r="N981" s="48"/>
      <x:c r="O981" s="48"/>
      <x:c r="P981" s="48"/>
      <x:c r="Q981" s="48"/>
      <x:c r="R981" s="48"/>
      <x:c r="S981" s="48"/>
      <x:c r="T981" s="48"/>
      <x:c r="U981" s="48"/>
      <x:c r="V981" s="48"/>
      <x:c r="W981" s="48"/>
      <x:c r="X981" s="48"/>
      <x:c r="Y981" s="48"/>
      <x:c r="Z981" s="48"/>
    </x:row>
    <x:row r="982">
      <x:c r="A982" s="48"/>
      <x:c r="B982" s="48"/>
      <x:c r="C982" s="48"/>
      <x:c r="D982" s="48"/>
      <x:c r="E982" s="48"/>
      <x:c r="F982" s="48"/>
      <x:c r="G982" s="48"/>
      <x:c r="H982" s="48"/>
      <x:c r="I982" s="48"/>
      <x:c r="J982" s="48"/>
      <x:c r="K982" s="48"/>
      <x:c r="L982" s="48"/>
      <x:c r="M982" s="48"/>
      <x:c r="N982" s="48"/>
      <x:c r="O982" s="48"/>
      <x:c r="P982" s="48"/>
      <x:c r="Q982" s="48"/>
      <x:c r="R982" s="48"/>
      <x:c r="S982" s="48"/>
      <x:c r="T982" s="48"/>
      <x:c r="U982" s="48"/>
      <x:c r="V982" s="48"/>
      <x:c r="W982" s="48"/>
      <x:c r="X982" s="48"/>
      <x:c r="Y982" s="48"/>
      <x:c r="Z982" s="48"/>
    </x:row>
    <x:row r="983">
      <x:c r="A983" s="48"/>
      <x:c r="B983" s="48"/>
      <x:c r="C983" s="48"/>
      <x:c r="D983" s="48"/>
      <x:c r="E983" s="48"/>
      <x:c r="F983" s="48"/>
      <x:c r="G983" s="48"/>
      <x:c r="H983" s="48"/>
      <x:c r="I983" s="48"/>
      <x:c r="J983" s="48"/>
      <x:c r="K983" s="48"/>
      <x:c r="L983" s="48"/>
      <x:c r="M983" s="48"/>
      <x:c r="N983" s="48"/>
      <x:c r="O983" s="48"/>
      <x:c r="P983" s="48"/>
      <x:c r="Q983" s="48"/>
      <x:c r="R983" s="48"/>
      <x:c r="S983" s="48"/>
      <x:c r="T983" s="48"/>
      <x:c r="U983" s="48"/>
      <x:c r="V983" s="48"/>
      <x:c r="W983" s="48"/>
      <x:c r="X983" s="48"/>
      <x:c r="Y983" s="48"/>
      <x:c r="Z983" s="48"/>
    </x:row>
    <x:row r="984">
      <x:c r="A984" s="48"/>
      <x:c r="B984" s="48"/>
      <x:c r="C984" s="48"/>
      <x:c r="D984" s="48"/>
      <x:c r="E984" s="48"/>
      <x:c r="F984" s="48"/>
      <x:c r="G984" s="48"/>
      <x:c r="H984" s="48"/>
      <x:c r="I984" s="48"/>
      <x:c r="J984" s="48"/>
      <x:c r="K984" s="48"/>
      <x:c r="L984" s="48"/>
      <x:c r="M984" s="48"/>
      <x:c r="N984" s="48"/>
      <x:c r="O984" s="48"/>
      <x:c r="P984" s="48"/>
      <x:c r="Q984" s="48"/>
      <x:c r="R984" s="48"/>
      <x:c r="S984" s="48"/>
      <x:c r="T984" s="48"/>
      <x:c r="U984" s="48"/>
      <x:c r="V984" s="48"/>
      <x:c r="W984" s="48"/>
      <x:c r="X984" s="48"/>
      <x:c r="Y984" s="48"/>
      <x:c r="Z984" s="48"/>
    </x:row>
    <x:row r="985">
      <x:c r="A985" s="48"/>
      <x:c r="B985" s="48"/>
      <x:c r="C985" s="48"/>
      <x:c r="D985" s="48"/>
      <x:c r="E985" s="48"/>
      <x:c r="F985" s="48"/>
      <x:c r="G985" s="48"/>
      <x:c r="H985" s="48"/>
      <x:c r="I985" s="48"/>
      <x:c r="J985" s="48"/>
      <x:c r="K985" s="48"/>
      <x:c r="L985" s="48"/>
      <x:c r="M985" s="48"/>
      <x:c r="N985" s="48"/>
      <x:c r="O985" s="48"/>
      <x:c r="P985" s="48"/>
      <x:c r="Q985" s="48"/>
      <x:c r="R985" s="48"/>
      <x:c r="S985" s="48"/>
      <x:c r="T985" s="48"/>
      <x:c r="U985" s="48"/>
      <x:c r="V985" s="48"/>
      <x:c r="W985" s="48"/>
      <x:c r="X985" s="48"/>
      <x:c r="Y985" s="48"/>
      <x:c r="Z985" s="48"/>
    </x:row>
    <x:row r="986">
      <x:c r="A986" s="48"/>
      <x:c r="B986" s="48"/>
      <x:c r="C986" s="48"/>
      <x:c r="D986" s="48"/>
      <x:c r="E986" s="48"/>
      <x:c r="F986" s="48"/>
      <x:c r="G986" s="48"/>
      <x:c r="H986" s="48"/>
      <x:c r="I986" s="48"/>
      <x:c r="J986" s="48"/>
      <x:c r="K986" s="48"/>
      <x:c r="L986" s="48"/>
      <x:c r="M986" s="48"/>
      <x:c r="N986" s="48"/>
      <x:c r="O986" s="48"/>
      <x:c r="P986" s="48"/>
      <x:c r="Q986" s="48"/>
      <x:c r="R986" s="48"/>
      <x:c r="S986" s="48"/>
      <x:c r="T986" s="48"/>
      <x:c r="U986" s="48"/>
      <x:c r="V986" s="48"/>
      <x:c r="W986" s="48"/>
      <x:c r="X986" s="48"/>
      <x:c r="Y986" s="48"/>
      <x:c r="Z986" s="48"/>
    </x:row>
    <x:row r="987">
      <x:c r="A987" s="48"/>
      <x:c r="B987" s="48"/>
      <x:c r="C987" s="48"/>
      <x:c r="D987" s="48"/>
      <x:c r="E987" s="48"/>
      <x:c r="F987" s="48"/>
      <x:c r="G987" s="48"/>
      <x:c r="H987" s="48"/>
      <x:c r="I987" s="48"/>
      <x:c r="J987" s="48"/>
      <x:c r="K987" s="48"/>
      <x:c r="L987" s="48"/>
      <x:c r="M987" s="48"/>
      <x:c r="N987" s="48"/>
      <x:c r="O987" s="48"/>
      <x:c r="P987" s="48"/>
      <x:c r="Q987" s="48"/>
      <x:c r="R987" s="48"/>
      <x:c r="S987" s="48"/>
      <x:c r="T987" s="48"/>
      <x:c r="U987" s="48"/>
      <x:c r="V987" s="48"/>
      <x:c r="W987" s="48"/>
      <x:c r="X987" s="48"/>
      <x:c r="Y987" s="48"/>
      <x:c r="Z987" s="48"/>
    </x:row>
    <x:row r="988">
      <x:c r="A988" s="48"/>
      <x:c r="B988" s="48"/>
      <x:c r="C988" s="48"/>
      <x:c r="D988" s="48"/>
      <x:c r="E988" s="48"/>
      <x:c r="F988" s="48"/>
      <x:c r="G988" s="48"/>
      <x:c r="H988" s="48"/>
      <x:c r="I988" s="48"/>
      <x:c r="J988" s="48"/>
      <x:c r="K988" s="48"/>
      <x:c r="L988" s="48"/>
      <x:c r="M988" s="48"/>
      <x:c r="N988" s="48"/>
      <x:c r="O988" s="48"/>
      <x:c r="P988" s="48"/>
      <x:c r="Q988" s="48"/>
      <x:c r="R988" s="48"/>
      <x:c r="S988" s="48"/>
      <x:c r="T988" s="48"/>
      <x:c r="U988" s="48"/>
      <x:c r="V988" s="48"/>
      <x:c r="W988" s="48"/>
      <x:c r="X988" s="48"/>
      <x:c r="Y988" s="48"/>
      <x:c r="Z988" s="48"/>
    </x:row>
    <x:row r="989">
      <x:c r="A989" s="48"/>
      <x:c r="B989" s="48"/>
      <x:c r="C989" s="48"/>
      <x:c r="D989" s="48"/>
      <x:c r="E989" s="48"/>
      <x:c r="F989" s="48"/>
      <x:c r="G989" s="48"/>
      <x:c r="H989" s="48"/>
      <x:c r="I989" s="48"/>
      <x:c r="J989" s="48"/>
      <x:c r="K989" s="48"/>
      <x:c r="L989" s="48"/>
      <x:c r="M989" s="48"/>
      <x:c r="N989" s="48"/>
      <x:c r="O989" s="48"/>
      <x:c r="P989" s="48"/>
      <x:c r="Q989" s="48"/>
      <x:c r="R989" s="48"/>
      <x:c r="S989" s="48"/>
      <x:c r="T989" s="48"/>
      <x:c r="U989" s="48"/>
      <x:c r="V989" s="48"/>
      <x:c r="W989" s="48"/>
      <x:c r="X989" s="48"/>
      <x:c r="Y989" s="48"/>
      <x:c r="Z989" s="48"/>
    </x:row>
    <x:row r="990">
      <x:c r="A990" s="48"/>
      <x:c r="B990" s="48"/>
      <x:c r="C990" s="48"/>
      <x:c r="D990" s="48"/>
      <x:c r="E990" s="48"/>
      <x:c r="F990" s="48"/>
      <x:c r="G990" s="48"/>
      <x:c r="H990" s="48"/>
      <x:c r="I990" s="48"/>
      <x:c r="J990" s="48"/>
      <x:c r="K990" s="48"/>
      <x:c r="L990" s="48"/>
      <x:c r="M990" s="48"/>
      <x:c r="N990" s="48"/>
      <x:c r="O990" s="48"/>
      <x:c r="P990" s="48"/>
      <x:c r="Q990" s="48"/>
      <x:c r="R990" s="48"/>
      <x:c r="S990" s="48"/>
      <x:c r="T990" s="48"/>
      <x:c r="U990" s="48"/>
      <x:c r="V990" s="48"/>
      <x:c r="W990" s="48"/>
      <x:c r="X990" s="48"/>
      <x:c r="Y990" s="48"/>
      <x:c r="Z990" s="48"/>
    </x:row>
    <x:row r="991">
      <x:c r="A991" s="48"/>
      <x:c r="B991" s="48"/>
      <x:c r="C991" s="48"/>
      <x:c r="D991" s="48"/>
      <x:c r="E991" s="48"/>
      <x:c r="F991" s="48"/>
      <x:c r="G991" s="48"/>
      <x:c r="H991" s="48"/>
      <x:c r="I991" s="48"/>
      <x:c r="J991" s="48"/>
      <x:c r="K991" s="48"/>
      <x:c r="L991" s="48"/>
      <x:c r="M991" s="48"/>
      <x:c r="N991" s="48"/>
      <x:c r="O991" s="48"/>
      <x:c r="P991" s="48"/>
      <x:c r="Q991" s="48"/>
      <x:c r="R991" s="48"/>
      <x:c r="S991" s="48"/>
      <x:c r="T991" s="48"/>
      <x:c r="U991" s="48"/>
      <x:c r="V991" s="48"/>
      <x:c r="W991" s="48"/>
      <x:c r="X991" s="48"/>
      <x:c r="Y991" s="48"/>
      <x:c r="Z991" s="48"/>
    </x:row>
    <x:row r="992">
      <x:c r="A992" s="48"/>
      <x:c r="B992" s="48"/>
      <x:c r="C992" s="48"/>
      <x:c r="D992" s="48"/>
      <x:c r="E992" s="48"/>
      <x:c r="F992" s="48"/>
      <x:c r="G992" s="48"/>
      <x:c r="H992" s="48"/>
      <x:c r="I992" s="48"/>
      <x:c r="J992" s="48"/>
      <x:c r="K992" s="48"/>
      <x:c r="L992" s="48"/>
      <x:c r="M992" s="48"/>
      <x:c r="N992" s="48"/>
      <x:c r="O992" s="48"/>
      <x:c r="P992" s="48"/>
      <x:c r="Q992" s="48"/>
      <x:c r="R992" s="48"/>
      <x:c r="S992" s="48"/>
      <x:c r="T992" s="48"/>
      <x:c r="U992" s="48"/>
      <x:c r="V992" s="48"/>
      <x:c r="W992" s="48"/>
      <x:c r="X992" s="48"/>
      <x:c r="Y992" s="48"/>
      <x:c r="Z992" s="48"/>
    </x:row>
    <x:row r="993">
      <x:c r="A993" s="48"/>
      <x:c r="B993" s="48"/>
      <x:c r="C993" s="48"/>
      <x:c r="D993" s="48"/>
      <x:c r="E993" s="48"/>
      <x:c r="F993" s="48"/>
      <x:c r="G993" s="48"/>
      <x:c r="H993" s="48"/>
      <x:c r="I993" s="48"/>
      <x:c r="J993" s="48"/>
      <x:c r="K993" s="48"/>
      <x:c r="L993" s="48"/>
      <x:c r="M993" s="48"/>
      <x:c r="N993" s="48"/>
      <x:c r="O993" s="48"/>
      <x:c r="P993" s="48"/>
      <x:c r="Q993" s="48"/>
      <x:c r="R993" s="48"/>
      <x:c r="S993" s="48"/>
      <x:c r="T993" s="48"/>
      <x:c r="U993" s="48"/>
      <x:c r="V993" s="48"/>
      <x:c r="W993" s="48"/>
      <x:c r="X993" s="48"/>
      <x:c r="Y993" s="48"/>
      <x:c r="Z993" s="48"/>
    </x:row>
    <x:row r="994">
      <x:c r="A994" s="48"/>
      <x:c r="B994" s="48"/>
      <x:c r="C994" s="48"/>
      <x:c r="D994" s="48"/>
      <x:c r="E994" s="48"/>
      <x:c r="F994" s="48"/>
      <x:c r="G994" s="48"/>
      <x:c r="H994" s="48"/>
      <x:c r="I994" s="48"/>
      <x:c r="J994" s="48"/>
      <x:c r="K994" s="48"/>
      <x:c r="L994" s="48"/>
      <x:c r="M994" s="48"/>
      <x:c r="N994" s="48"/>
      <x:c r="O994" s="48"/>
      <x:c r="P994" s="48"/>
      <x:c r="Q994" s="48"/>
      <x:c r="R994" s="48"/>
      <x:c r="S994" s="48"/>
      <x:c r="T994" s="48"/>
      <x:c r="U994" s="48"/>
      <x:c r="V994" s="48"/>
      <x:c r="W994" s="48"/>
      <x:c r="X994" s="48"/>
      <x:c r="Y994" s="48"/>
      <x:c r="Z994" s="48"/>
    </x:row>
    <x:row r="995">
      <x:c r="A995" s="48"/>
      <x:c r="B995" s="48"/>
      <x:c r="C995" s="48"/>
      <x:c r="D995" s="48"/>
      <x:c r="E995" s="48"/>
      <x:c r="F995" s="48"/>
      <x:c r="G995" s="48"/>
      <x:c r="H995" s="48"/>
      <x:c r="I995" s="48"/>
      <x:c r="J995" s="48"/>
      <x:c r="K995" s="48"/>
      <x:c r="L995" s="48"/>
      <x:c r="M995" s="48"/>
      <x:c r="N995" s="48"/>
      <x:c r="O995" s="48"/>
      <x:c r="P995" s="48"/>
      <x:c r="Q995" s="48"/>
      <x:c r="R995" s="48"/>
      <x:c r="S995" s="48"/>
      <x:c r="T995" s="48"/>
      <x:c r="U995" s="48"/>
      <x:c r="V995" s="48"/>
      <x:c r="W995" s="48"/>
      <x:c r="X995" s="48"/>
      <x:c r="Y995" s="48"/>
      <x:c r="Z995" s="48"/>
    </x:row>
    <x:row r="996">
      <x:c r="A996" s="48"/>
      <x:c r="B996" s="48"/>
      <x:c r="C996" s="48"/>
      <x:c r="D996" s="48"/>
      <x:c r="E996" s="48"/>
      <x:c r="F996" s="48"/>
      <x:c r="G996" s="48"/>
      <x:c r="H996" s="48"/>
      <x:c r="I996" s="48"/>
      <x:c r="J996" s="48"/>
      <x:c r="K996" s="48"/>
      <x:c r="L996" s="48"/>
      <x:c r="M996" s="48"/>
      <x:c r="N996" s="48"/>
      <x:c r="O996" s="48"/>
      <x:c r="P996" s="48"/>
      <x:c r="Q996" s="48"/>
      <x:c r="R996" s="48"/>
      <x:c r="S996" s="48"/>
      <x:c r="T996" s="48"/>
      <x:c r="U996" s="48"/>
      <x:c r="V996" s="48"/>
      <x:c r="W996" s="48"/>
      <x:c r="X996" s="48"/>
      <x:c r="Y996" s="48"/>
      <x:c r="Z996" s="48"/>
    </x:row>
    <x:row r="997">
      <x:c r="A997" s="48"/>
      <x:c r="B997" s="48"/>
      <x:c r="C997" s="48"/>
      <x:c r="D997" s="48"/>
      <x:c r="E997" s="48"/>
      <x:c r="F997" s="48"/>
      <x:c r="G997" s="48"/>
      <x:c r="H997" s="48"/>
      <x:c r="I997" s="48"/>
      <x:c r="J997" s="48"/>
      <x:c r="K997" s="48"/>
      <x:c r="L997" s="48"/>
      <x:c r="M997" s="48"/>
      <x:c r="N997" s="48"/>
      <x:c r="O997" s="48"/>
      <x:c r="P997" s="48"/>
      <x:c r="Q997" s="48"/>
      <x:c r="R997" s="48"/>
      <x:c r="S997" s="48"/>
      <x:c r="T997" s="48"/>
      <x:c r="U997" s="48"/>
      <x:c r="V997" s="48"/>
      <x:c r="W997" s="48"/>
      <x:c r="X997" s="48"/>
      <x:c r="Y997" s="48"/>
      <x:c r="Z997" s="48"/>
    </x:row>
    <x:row r="998">
      <x:c r="A998" s="48"/>
      <x:c r="B998" s="48"/>
      <x:c r="C998" s="48"/>
      <x:c r="D998" s="48"/>
      <x:c r="E998" s="48"/>
      <x:c r="F998" s="48"/>
      <x:c r="G998" s="48"/>
      <x:c r="H998" s="48"/>
      <x:c r="I998" s="48"/>
      <x:c r="J998" s="48"/>
      <x:c r="K998" s="48"/>
      <x:c r="L998" s="48"/>
      <x:c r="M998" s="48"/>
      <x:c r="N998" s="48"/>
      <x:c r="O998" s="48"/>
      <x:c r="P998" s="48"/>
      <x:c r="Q998" s="48"/>
      <x:c r="R998" s="48"/>
      <x:c r="S998" s="48"/>
      <x:c r="T998" s="48"/>
      <x:c r="U998" s="48"/>
      <x:c r="V998" s="48"/>
      <x:c r="W998" s="48"/>
      <x:c r="X998" s="48"/>
      <x:c r="Y998" s="48"/>
      <x:c r="Z998" s="48"/>
    </x:row>
    <x:row r="999">
      <x:c r="A999" s="48"/>
      <x:c r="B999" s="48"/>
      <x:c r="C999" s="48"/>
      <x:c r="D999" s="48"/>
      <x:c r="E999" s="48"/>
      <x:c r="F999" s="48"/>
      <x:c r="G999" s="48"/>
      <x:c r="H999" s="48"/>
      <x:c r="I999" s="48"/>
      <x:c r="J999" s="48"/>
      <x:c r="K999" s="48"/>
      <x:c r="L999" s="48"/>
      <x:c r="M999" s="48"/>
      <x:c r="N999" s="48"/>
      <x:c r="O999" s="48"/>
      <x:c r="P999" s="48"/>
      <x:c r="Q999" s="48"/>
      <x:c r="R999" s="48"/>
      <x:c r="S999" s="48"/>
      <x:c r="T999" s="48"/>
      <x:c r="U999" s="48"/>
      <x:c r="V999" s="48"/>
      <x:c r="W999" s="48"/>
      <x:c r="X999" s="48"/>
      <x:c r="Y999" s="48"/>
      <x:c r="Z999" s="48"/>
    </x:row>
    <x:row r="1000">
      <x:c r="A1000" s="48"/>
      <x:c r="B1000" s="48"/>
      <x:c r="C1000" s="48"/>
      <x:c r="D1000" s="48"/>
      <x:c r="E1000" s="48"/>
      <x:c r="F1000" s="48"/>
      <x:c r="G1000" s="48"/>
      <x:c r="H1000" s="48"/>
      <x:c r="I1000" s="48"/>
      <x:c r="J1000" s="48"/>
      <x:c r="K1000" s="48"/>
      <x:c r="L1000" s="48"/>
      <x:c r="M1000" s="48"/>
      <x:c r="N1000" s="48"/>
      <x:c r="O1000" s="48"/>
      <x:c r="P1000" s="48"/>
      <x:c r="Q1000" s="48"/>
      <x:c r="R1000" s="48"/>
      <x:c r="S1000" s="48"/>
      <x:c r="T1000" s="48"/>
      <x:c r="U1000" s="48"/>
      <x:c r="V1000" s="48"/>
      <x:c r="W1000" s="48"/>
      <x:c r="X1000" s="48"/>
      <x:c r="Y1000" s="48"/>
      <x:c r="Z1000" s="48"/>
    </x:row>
  </x:sheetData>
  <x:hyperlinks>
    <x:hyperlink xmlns:r="http://schemas.openxmlformats.org/officeDocument/2006/relationships" ref="J2" r:id="R2ad6ac3da6dd4a7b"/>
    <x:hyperlink xmlns:r="http://schemas.openxmlformats.org/officeDocument/2006/relationships" ref="R2" r:id="Rb3058dfdd5cc4f53"/>
    <x:hyperlink xmlns:r="http://schemas.openxmlformats.org/officeDocument/2006/relationships" ref="J3" r:id="Rcad97a20a13d4b4c"/>
    <x:hyperlink xmlns:r="http://schemas.openxmlformats.org/officeDocument/2006/relationships" ref="R3" r:id="Rf34505d0f544416a"/>
    <x:hyperlink xmlns:r="http://schemas.openxmlformats.org/officeDocument/2006/relationships" ref="J4" r:id="R798bf39a12564262"/>
    <x:hyperlink xmlns:r="http://schemas.openxmlformats.org/officeDocument/2006/relationships" ref="R4" r:id="R7367262f17774d47"/>
    <x:hyperlink xmlns:r="http://schemas.openxmlformats.org/officeDocument/2006/relationships" ref="J5" r:id="Rcf915e656bfa457e"/>
    <x:hyperlink xmlns:r="http://schemas.openxmlformats.org/officeDocument/2006/relationships" ref="R5" r:id="Rb01fe255dea84d52"/>
    <x:hyperlink xmlns:r="http://schemas.openxmlformats.org/officeDocument/2006/relationships" ref="J6" r:id="R61678314d2de4dad"/>
    <x:hyperlink xmlns:r="http://schemas.openxmlformats.org/officeDocument/2006/relationships" ref="R6" r:id="R326e71a8ed0e409f"/>
    <x:hyperlink xmlns:r="http://schemas.openxmlformats.org/officeDocument/2006/relationships" ref="J7" r:id="R039f25c8ed254d8b"/>
    <x:hyperlink xmlns:r="http://schemas.openxmlformats.org/officeDocument/2006/relationships" ref="R7" r:id="R74670e87622a434e"/>
    <x:hyperlink xmlns:r="http://schemas.openxmlformats.org/officeDocument/2006/relationships" ref="J8" r:id="Rb4f182c8842f43f8"/>
    <x:hyperlink xmlns:r="http://schemas.openxmlformats.org/officeDocument/2006/relationships" ref="R8" r:id="R42745ed748104fc8"/>
    <x:hyperlink xmlns:r="http://schemas.openxmlformats.org/officeDocument/2006/relationships" ref="J9" r:id="R977df5c8dd3f4b15"/>
    <x:hyperlink xmlns:r="http://schemas.openxmlformats.org/officeDocument/2006/relationships" ref="R9" r:id="R3394789306694bd5"/>
    <x:hyperlink xmlns:r="http://schemas.openxmlformats.org/officeDocument/2006/relationships" ref="J10" r:id="Rbbdba30b70c24284"/>
    <x:hyperlink xmlns:r="http://schemas.openxmlformats.org/officeDocument/2006/relationships" ref="R10" r:id="R606cb376838b477c"/>
    <x:hyperlink xmlns:r="http://schemas.openxmlformats.org/officeDocument/2006/relationships" ref="W10" r:id="R9413b24efe1f42ba"/>
    <x:hyperlink xmlns:r="http://schemas.openxmlformats.org/officeDocument/2006/relationships" ref="J11" r:id="R46de69d0c5714a2d"/>
    <x:hyperlink xmlns:r="http://schemas.openxmlformats.org/officeDocument/2006/relationships" ref="R11" r:id="R1e296304ca5641d3"/>
    <x:hyperlink xmlns:r="http://schemas.openxmlformats.org/officeDocument/2006/relationships" ref="W11" r:id="R69dcbb0717c44ea9"/>
    <x:hyperlink xmlns:r="http://schemas.openxmlformats.org/officeDocument/2006/relationships" ref="J12" r:id="R8c32bf3911ca4f58"/>
    <x:hyperlink xmlns:r="http://schemas.openxmlformats.org/officeDocument/2006/relationships" ref="R12" r:id="R752f54ef9e3c4c95"/>
    <x:hyperlink xmlns:r="http://schemas.openxmlformats.org/officeDocument/2006/relationships" ref="W12" r:id="R9a465c7e8acf4873"/>
    <x:hyperlink xmlns:r="http://schemas.openxmlformats.org/officeDocument/2006/relationships" ref="J13" r:id="R21aa710487704be8"/>
    <x:hyperlink xmlns:r="http://schemas.openxmlformats.org/officeDocument/2006/relationships" ref="R13" r:id="R1f144d4e93514278"/>
    <x:hyperlink xmlns:r="http://schemas.openxmlformats.org/officeDocument/2006/relationships" ref="W13" r:id="R6d597766aa7946e2"/>
    <x:hyperlink xmlns:r="http://schemas.openxmlformats.org/officeDocument/2006/relationships" ref="J14" r:id="R3c5ac2ea920d443f"/>
    <x:hyperlink xmlns:r="http://schemas.openxmlformats.org/officeDocument/2006/relationships" ref="R14" r:id="R554a8b4a14644c7d"/>
    <x:hyperlink xmlns:r="http://schemas.openxmlformats.org/officeDocument/2006/relationships" ref="W14" r:id="R3ae99b96ebe04d9b"/>
    <x:hyperlink xmlns:r="http://schemas.openxmlformats.org/officeDocument/2006/relationships" ref="J15" r:id="Rf070d86da5604a74"/>
    <x:hyperlink xmlns:r="http://schemas.openxmlformats.org/officeDocument/2006/relationships" ref="R15" r:id="R0a292f843ee2401c"/>
    <x:hyperlink xmlns:r="http://schemas.openxmlformats.org/officeDocument/2006/relationships" ref="W15" r:id="R6540caf39d4c4eb9"/>
    <x:hyperlink xmlns:r="http://schemas.openxmlformats.org/officeDocument/2006/relationships" ref="J16" r:id="R85572c1db5f64151"/>
    <x:hyperlink xmlns:r="http://schemas.openxmlformats.org/officeDocument/2006/relationships" ref="R16" r:id="R2478863c2df3430d"/>
    <x:hyperlink xmlns:r="http://schemas.openxmlformats.org/officeDocument/2006/relationships" ref="W16" r:id="R9982621143df48c2"/>
    <x:hyperlink xmlns:r="http://schemas.openxmlformats.org/officeDocument/2006/relationships" ref="J17" r:id="R21fb2e5d6fb540c1"/>
    <x:hyperlink xmlns:r="http://schemas.openxmlformats.org/officeDocument/2006/relationships" ref="R17" r:id="R9317889abe094646"/>
    <x:hyperlink xmlns:r="http://schemas.openxmlformats.org/officeDocument/2006/relationships" ref="W17" r:id="R8ecf2ca836a04375"/>
    <x:hyperlink xmlns:r="http://schemas.openxmlformats.org/officeDocument/2006/relationships" ref="J18" r:id="R4f242eadf04d465f"/>
    <x:hyperlink xmlns:r="http://schemas.openxmlformats.org/officeDocument/2006/relationships" ref="R18" r:id="Re2ca17ce04db4b38"/>
    <x:hyperlink xmlns:r="http://schemas.openxmlformats.org/officeDocument/2006/relationships" ref="W18" r:id="R3f514e1214944dbd"/>
    <x:hyperlink xmlns:r="http://schemas.openxmlformats.org/officeDocument/2006/relationships" ref="J19" r:id="Rb84f7a58a8a34d56"/>
    <x:hyperlink xmlns:r="http://schemas.openxmlformats.org/officeDocument/2006/relationships" ref="R19" r:id="R8d77131251f34530"/>
    <x:hyperlink xmlns:r="http://schemas.openxmlformats.org/officeDocument/2006/relationships" ref="W19" r:id="R0c820819b146426c"/>
    <x:hyperlink xmlns:r="http://schemas.openxmlformats.org/officeDocument/2006/relationships" ref="J20" r:id="Rbbec9611fbd24cec"/>
    <x:hyperlink xmlns:r="http://schemas.openxmlformats.org/officeDocument/2006/relationships" ref="R20" r:id="Rcc67088c205045bc"/>
    <x:hyperlink xmlns:r="http://schemas.openxmlformats.org/officeDocument/2006/relationships" ref="W20" r:id="R85a043eb80994233"/>
    <x:hyperlink xmlns:r="http://schemas.openxmlformats.org/officeDocument/2006/relationships" ref="J21" r:id="Rae7fe2c3c5b149bd"/>
    <x:hyperlink xmlns:r="http://schemas.openxmlformats.org/officeDocument/2006/relationships" ref="R21" r:id="Rd463a8043af6418f"/>
    <x:hyperlink xmlns:r="http://schemas.openxmlformats.org/officeDocument/2006/relationships" ref="W21" r:id="R1804b6efeb2247f8"/>
    <x:hyperlink xmlns:r="http://schemas.openxmlformats.org/officeDocument/2006/relationships" ref="J22" r:id="R6aef486f45504ea8"/>
    <x:hyperlink xmlns:r="http://schemas.openxmlformats.org/officeDocument/2006/relationships" ref="R22" r:id="R54e40285fd9548b3"/>
    <x:hyperlink xmlns:r="http://schemas.openxmlformats.org/officeDocument/2006/relationships" ref="W22" r:id="Ra109af11e1154473"/>
    <x:hyperlink xmlns:r="http://schemas.openxmlformats.org/officeDocument/2006/relationships" ref="J23" r:id="R18c558f9db4049a8"/>
    <x:hyperlink xmlns:r="http://schemas.openxmlformats.org/officeDocument/2006/relationships" ref="R23" r:id="Rad75ce7461714bca"/>
    <x:hyperlink xmlns:r="http://schemas.openxmlformats.org/officeDocument/2006/relationships" ref="W23" r:id="R274135202a19421c"/>
    <x:hyperlink xmlns:r="http://schemas.openxmlformats.org/officeDocument/2006/relationships" ref="J24" r:id="R1f777945ef20405a"/>
    <x:hyperlink xmlns:r="http://schemas.openxmlformats.org/officeDocument/2006/relationships" ref="R24" r:id="R2dda287a550648eb"/>
    <x:hyperlink xmlns:r="http://schemas.openxmlformats.org/officeDocument/2006/relationships" ref="W24" r:id="R532d0b73c31a414c"/>
    <x:hyperlink xmlns:r="http://schemas.openxmlformats.org/officeDocument/2006/relationships" ref="J25" r:id="R1eb00555075c4c29"/>
    <x:hyperlink xmlns:r="http://schemas.openxmlformats.org/officeDocument/2006/relationships" ref="R25" r:id="Rd8001c31f8b54279"/>
    <x:hyperlink xmlns:r="http://schemas.openxmlformats.org/officeDocument/2006/relationships" ref="W25" r:id="R1f133443f90247ce"/>
    <x:hyperlink xmlns:r="http://schemas.openxmlformats.org/officeDocument/2006/relationships" ref="J26" r:id="R761caecfc30d4768"/>
    <x:hyperlink xmlns:r="http://schemas.openxmlformats.org/officeDocument/2006/relationships" ref="R26" r:id="Rd93b2c06abcf4957"/>
    <x:hyperlink xmlns:r="http://schemas.openxmlformats.org/officeDocument/2006/relationships" ref="W26" r:id="R672efde178ea4f9f"/>
    <x:hyperlink xmlns:r="http://schemas.openxmlformats.org/officeDocument/2006/relationships" ref="J27" r:id="Rad6dbac2df7843c0"/>
    <x:hyperlink xmlns:r="http://schemas.openxmlformats.org/officeDocument/2006/relationships" ref="R27" r:id="R7bb34b47c8b149d6"/>
    <x:hyperlink xmlns:r="http://schemas.openxmlformats.org/officeDocument/2006/relationships" ref="W27" r:id="R2771d85711fb4d9e"/>
    <x:hyperlink xmlns:r="http://schemas.openxmlformats.org/officeDocument/2006/relationships" ref="J28" r:id="R78436c311f674a42"/>
    <x:hyperlink xmlns:r="http://schemas.openxmlformats.org/officeDocument/2006/relationships" ref="R28" r:id="Rd98886c7c11a4f25"/>
    <x:hyperlink xmlns:r="http://schemas.openxmlformats.org/officeDocument/2006/relationships" ref="W28" r:id="R7014d2ed88f044ea"/>
    <x:hyperlink xmlns:r="http://schemas.openxmlformats.org/officeDocument/2006/relationships" ref="J29" r:id="R0af72a89b9e846a0"/>
    <x:hyperlink xmlns:r="http://schemas.openxmlformats.org/officeDocument/2006/relationships" ref="R29" r:id="Ref99eae89a7f4dfd"/>
    <x:hyperlink xmlns:r="http://schemas.openxmlformats.org/officeDocument/2006/relationships" ref="W29" r:id="Rcaa89e8aa8f7439c"/>
    <x:hyperlink xmlns:r="http://schemas.openxmlformats.org/officeDocument/2006/relationships" ref="J30" r:id="R0ef0b72b79164802"/>
    <x:hyperlink xmlns:r="http://schemas.openxmlformats.org/officeDocument/2006/relationships" ref="R30" r:id="Rc0a9204e2f3842f0"/>
    <x:hyperlink xmlns:r="http://schemas.openxmlformats.org/officeDocument/2006/relationships" ref="W30" r:id="Rd5b7601dcd1542a3"/>
    <x:hyperlink xmlns:r="http://schemas.openxmlformats.org/officeDocument/2006/relationships" ref="J31" r:id="R9e93cedfd1024614"/>
    <x:hyperlink xmlns:r="http://schemas.openxmlformats.org/officeDocument/2006/relationships" ref="R31" r:id="R9af17607125b4421"/>
    <x:hyperlink xmlns:r="http://schemas.openxmlformats.org/officeDocument/2006/relationships" ref="W31" r:id="Re947006667714abe"/>
    <x:hyperlink xmlns:r="http://schemas.openxmlformats.org/officeDocument/2006/relationships" ref="J32" r:id="Rd47978f367f941bd"/>
    <x:hyperlink xmlns:r="http://schemas.openxmlformats.org/officeDocument/2006/relationships" ref="R32" r:id="R80f165a366d64560"/>
    <x:hyperlink xmlns:r="http://schemas.openxmlformats.org/officeDocument/2006/relationships" ref="J33" r:id="R76d5f6683bca4e55"/>
    <x:hyperlink xmlns:r="http://schemas.openxmlformats.org/officeDocument/2006/relationships" ref="R33" r:id="R846924e5158a48b3"/>
    <x:hyperlink xmlns:r="http://schemas.openxmlformats.org/officeDocument/2006/relationships" ref="J34" r:id="R024c2ad71d5141e7"/>
    <x:hyperlink xmlns:r="http://schemas.openxmlformats.org/officeDocument/2006/relationships" ref="R34" r:id="Rcf30ec8cbab84f76"/>
    <x:hyperlink xmlns:r="http://schemas.openxmlformats.org/officeDocument/2006/relationships" ref="J35" r:id="R1b9847ca646048aa"/>
    <x:hyperlink xmlns:r="http://schemas.openxmlformats.org/officeDocument/2006/relationships" ref="R35" r:id="Rc5557405c59f413f"/>
    <x:hyperlink xmlns:r="http://schemas.openxmlformats.org/officeDocument/2006/relationships" ref="R36" r:id="Rd1b1b269d3724ffe"/>
    <x:hyperlink xmlns:r="http://schemas.openxmlformats.org/officeDocument/2006/relationships" ref="R37" r:id="R0ef44f55975c4c14"/>
    <x:hyperlink xmlns:r="http://schemas.openxmlformats.org/officeDocument/2006/relationships" ref="R38" r:id="R1cd6effdee07464a"/>
    <x:hyperlink xmlns:r="http://schemas.openxmlformats.org/officeDocument/2006/relationships" ref="R39" r:id="Rc58917c9223841b1"/>
    <x:hyperlink xmlns:r="http://schemas.openxmlformats.org/officeDocument/2006/relationships" ref="R40" r:id="Raa958a17d8e746bd"/>
    <x:hyperlink xmlns:r="http://schemas.openxmlformats.org/officeDocument/2006/relationships" ref="R41" r:id="R934cd5806a1149c4"/>
    <x:hyperlink xmlns:r="http://schemas.openxmlformats.org/officeDocument/2006/relationships" ref="R42" r:id="R89dcb4bd7e854004"/>
    <x:hyperlink xmlns:r="http://schemas.openxmlformats.org/officeDocument/2006/relationships" ref="R43" r:id="R5bf68e1e1ff24c6f"/>
    <x:hyperlink xmlns:r="http://schemas.openxmlformats.org/officeDocument/2006/relationships" ref="J44" r:id="Rf662bcd402e44f7a"/>
    <x:hyperlink xmlns:r="http://schemas.openxmlformats.org/officeDocument/2006/relationships" ref="R44" r:id="R7ea9b7e831f24114"/>
    <x:hyperlink xmlns:r="http://schemas.openxmlformats.org/officeDocument/2006/relationships" ref="R45" r:id="Rcce4535d1df04360"/>
    <x:hyperlink xmlns:r="http://schemas.openxmlformats.org/officeDocument/2006/relationships" ref="R46" r:id="Rce5ef66ece7a4009"/>
    <x:hyperlink xmlns:r="http://schemas.openxmlformats.org/officeDocument/2006/relationships" ref="R47" r:id="Rcf0bd6326220467c"/>
    <x:hyperlink xmlns:r="http://schemas.openxmlformats.org/officeDocument/2006/relationships" ref="R48" r:id="R6d1c3ac9c99f4bac"/>
    <x:hyperlink xmlns:r="http://schemas.openxmlformats.org/officeDocument/2006/relationships" ref="R49" r:id="R5182400f1fc74b00"/>
    <x:hyperlink xmlns:r="http://schemas.openxmlformats.org/officeDocument/2006/relationships" ref="R50" r:id="R9d79cec5f2804294"/>
    <x:hyperlink xmlns:r="http://schemas.openxmlformats.org/officeDocument/2006/relationships" ref="R51" r:id="R5312445c02e440c9"/>
    <x:hyperlink xmlns:r="http://schemas.openxmlformats.org/officeDocument/2006/relationships" ref="J52" r:id="Ra3079eb94ceb47fe"/>
    <x:hyperlink xmlns:r="http://schemas.openxmlformats.org/officeDocument/2006/relationships" ref="R52" r:id="Raa7fb3db16804214"/>
    <x:hyperlink xmlns:r="http://schemas.openxmlformats.org/officeDocument/2006/relationships" ref="J53" r:id="R64d586e34aa448b0"/>
    <x:hyperlink xmlns:r="http://schemas.openxmlformats.org/officeDocument/2006/relationships" ref="R53" r:id="R39a969163af7431d"/>
    <x:hyperlink xmlns:r="http://schemas.openxmlformats.org/officeDocument/2006/relationships" ref="J54" r:id="R45f68036a5b04130"/>
    <x:hyperlink xmlns:r="http://schemas.openxmlformats.org/officeDocument/2006/relationships" ref="R54" r:id="R5685a89d5339403f"/>
    <x:hyperlink xmlns:r="http://schemas.openxmlformats.org/officeDocument/2006/relationships" ref="J55" r:id="R6041d7e8a2764dd3"/>
    <x:hyperlink xmlns:r="http://schemas.openxmlformats.org/officeDocument/2006/relationships" ref="R55" r:id="R337c4765888c4309"/>
    <x:hyperlink xmlns:r="http://schemas.openxmlformats.org/officeDocument/2006/relationships" ref="J56" r:id="R4f224edf6b6b43d4"/>
    <x:hyperlink xmlns:r="http://schemas.openxmlformats.org/officeDocument/2006/relationships" ref="R56" r:id="R5d97edbdb6564858"/>
    <x:hyperlink xmlns:r="http://schemas.openxmlformats.org/officeDocument/2006/relationships" ref="J57" r:id="Ref81a840357a4ce6"/>
    <x:hyperlink xmlns:r="http://schemas.openxmlformats.org/officeDocument/2006/relationships" ref="R57" r:id="R8d8552c52a5f4ed7"/>
    <x:hyperlink xmlns:r="http://schemas.openxmlformats.org/officeDocument/2006/relationships" ref="J58" r:id="Refcf579b91ac4572"/>
    <x:hyperlink xmlns:r="http://schemas.openxmlformats.org/officeDocument/2006/relationships" ref="R58" r:id="R9f4f8d465e2d4a99"/>
    <x:hyperlink xmlns:r="http://schemas.openxmlformats.org/officeDocument/2006/relationships" ref="R59" r:id="R796cdb578be64665"/>
    <x:hyperlink xmlns:r="http://schemas.openxmlformats.org/officeDocument/2006/relationships" ref="R60" r:id="Rcf86e9d68cc8469b"/>
    <x:hyperlink xmlns:r="http://schemas.openxmlformats.org/officeDocument/2006/relationships" ref="R61" r:id="R8295c57bde0c4a77"/>
    <x:hyperlink xmlns:r="http://schemas.openxmlformats.org/officeDocument/2006/relationships" ref="R62" r:id="R6f531861ea454304"/>
    <x:hyperlink xmlns:r="http://schemas.openxmlformats.org/officeDocument/2006/relationships" ref="R63" r:id="R48b4c549ad234cb1"/>
    <x:hyperlink xmlns:r="http://schemas.openxmlformats.org/officeDocument/2006/relationships" ref="R64" r:id="Rf5c9f3cf0c554e0b"/>
    <x:hyperlink xmlns:r="http://schemas.openxmlformats.org/officeDocument/2006/relationships" ref="R65" r:id="R1a639bd447634bea"/>
    <x:hyperlink xmlns:r="http://schemas.openxmlformats.org/officeDocument/2006/relationships" ref="R66" r:id="Rc7574fafc622476c"/>
    <x:hyperlink xmlns:r="http://schemas.openxmlformats.org/officeDocument/2006/relationships" ref="R67" r:id="R96737509b07f4ded"/>
    <x:hyperlink xmlns:r="http://schemas.openxmlformats.org/officeDocument/2006/relationships" ref="R68" r:id="R85e88d73ebed4200"/>
    <x:hyperlink xmlns:r="http://schemas.openxmlformats.org/officeDocument/2006/relationships" ref="R69" r:id="Re070b5914d7d4c59"/>
    <x:hyperlink xmlns:r="http://schemas.openxmlformats.org/officeDocument/2006/relationships" ref="R70" r:id="R76f0522a3c554747"/>
    <x:hyperlink xmlns:r="http://schemas.openxmlformats.org/officeDocument/2006/relationships" ref="R71" r:id="R75b762f5ef2f40e8"/>
    <x:hyperlink xmlns:r="http://schemas.openxmlformats.org/officeDocument/2006/relationships" ref="R72" r:id="Ra0bb59f6c4e84ac2"/>
    <x:hyperlink xmlns:r="http://schemas.openxmlformats.org/officeDocument/2006/relationships" ref="R73" r:id="R53ebdc26dff6447f"/>
    <x:hyperlink xmlns:r="http://schemas.openxmlformats.org/officeDocument/2006/relationships" ref="R74" r:id="R059a0275b27f412b"/>
    <x:hyperlink xmlns:r="http://schemas.openxmlformats.org/officeDocument/2006/relationships" ref="J75" r:id="R0f6c583ad19d4180"/>
    <x:hyperlink xmlns:r="http://schemas.openxmlformats.org/officeDocument/2006/relationships" ref="R75" r:id="R6a4b00cb5164404a"/>
    <x:hyperlink xmlns:r="http://schemas.openxmlformats.org/officeDocument/2006/relationships" ref="J76" r:id="R62b5b7396f974df9"/>
    <x:hyperlink xmlns:r="http://schemas.openxmlformats.org/officeDocument/2006/relationships" ref="R76" r:id="R3cab57bbb8c84915"/>
    <x:hyperlink xmlns:r="http://schemas.openxmlformats.org/officeDocument/2006/relationships" ref="J77" r:id="R0a8e7dd2be384cd5"/>
    <x:hyperlink xmlns:r="http://schemas.openxmlformats.org/officeDocument/2006/relationships" ref="R77" r:id="R98ed9bd10f6c4c2f"/>
    <x:hyperlink xmlns:r="http://schemas.openxmlformats.org/officeDocument/2006/relationships" ref="J78" r:id="Rf76bac91234e4eaa"/>
    <x:hyperlink xmlns:r="http://schemas.openxmlformats.org/officeDocument/2006/relationships" ref="R78" r:id="R30f204748f8e408e"/>
    <x:hyperlink xmlns:r="http://schemas.openxmlformats.org/officeDocument/2006/relationships" ref="J79" r:id="R47976628724c426f"/>
    <x:hyperlink xmlns:r="http://schemas.openxmlformats.org/officeDocument/2006/relationships" ref="R79" r:id="R0e4ffebe7cce4ee8"/>
    <x:hyperlink xmlns:r="http://schemas.openxmlformats.org/officeDocument/2006/relationships" ref="J80" r:id="Ra1998e19ff6843e0"/>
    <x:hyperlink xmlns:r="http://schemas.openxmlformats.org/officeDocument/2006/relationships" ref="R80" r:id="R95ba80a1a0ba4337"/>
    <x:hyperlink xmlns:r="http://schemas.openxmlformats.org/officeDocument/2006/relationships" ref="J81" r:id="R485925690ef544f1"/>
    <x:hyperlink xmlns:r="http://schemas.openxmlformats.org/officeDocument/2006/relationships" ref="R81" r:id="R0c61f124c4924aa1"/>
    <x:hyperlink xmlns:r="http://schemas.openxmlformats.org/officeDocument/2006/relationships" ref="J82" r:id="Rbfb36c57e150447d"/>
    <x:hyperlink xmlns:r="http://schemas.openxmlformats.org/officeDocument/2006/relationships" ref="R82" r:id="R92fc8b5262a1455b"/>
    <x:hyperlink xmlns:r="http://schemas.openxmlformats.org/officeDocument/2006/relationships" ref="J83" r:id="Rabfae409ab5e453f"/>
    <x:hyperlink xmlns:r="http://schemas.openxmlformats.org/officeDocument/2006/relationships" ref="R83" r:id="R846ea4c744d045e3"/>
    <x:hyperlink xmlns:r="http://schemas.openxmlformats.org/officeDocument/2006/relationships" ref="R84" r:id="R5a14a5b362694277"/>
    <x:hyperlink xmlns:r="http://schemas.openxmlformats.org/officeDocument/2006/relationships" ref="J85" r:id="Rf13f91cb5d3c4c96"/>
    <x:hyperlink xmlns:r="http://schemas.openxmlformats.org/officeDocument/2006/relationships" ref="R85" r:id="R74345a2e2b4d4193"/>
    <x:hyperlink xmlns:r="http://schemas.openxmlformats.org/officeDocument/2006/relationships" ref="J86" r:id="R0759f1a9efee45d9"/>
    <x:hyperlink xmlns:r="http://schemas.openxmlformats.org/officeDocument/2006/relationships" ref="R86" r:id="Rce6f669c91b54914"/>
    <x:hyperlink xmlns:r="http://schemas.openxmlformats.org/officeDocument/2006/relationships" ref="J87" r:id="R83b12546578c467f"/>
    <x:hyperlink xmlns:r="http://schemas.openxmlformats.org/officeDocument/2006/relationships" ref="R87" r:id="R6cbe1f1ae1a042aa"/>
    <x:hyperlink xmlns:r="http://schemas.openxmlformats.org/officeDocument/2006/relationships" ref="J88" r:id="R9812e770e61040ff"/>
    <x:hyperlink xmlns:r="http://schemas.openxmlformats.org/officeDocument/2006/relationships" ref="R88" r:id="R804acf95e2bd4c12"/>
    <x:hyperlink xmlns:r="http://schemas.openxmlformats.org/officeDocument/2006/relationships" ref="J89" r:id="Rf4fc59c1e538433a"/>
    <x:hyperlink xmlns:r="http://schemas.openxmlformats.org/officeDocument/2006/relationships" ref="R89" r:id="Rd0dfd77a6db34e07"/>
    <x:hyperlink xmlns:r="http://schemas.openxmlformats.org/officeDocument/2006/relationships" ref="J90" r:id="Rf5d0604bff014c44"/>
    <x:hyperlink xmlns:r="http://schemas.openxmlformats.org/officeDocument/2006/relationships" ref="R90" r:id="R2abf41e6568c4b98"/>
    <x:hyperlink xmlns:r="http://schemas.openxmlformats.org/officeDocument/2006/relationships" ref="J91" r:id="R37de6ad6c7c54e9d"/>
    <x:hyperlink xmlns:r="http://schemas.openxmlformats.org/officeDocument/2006/relationships" ref="R91" r:id="Raa3460e649034b55"/>
    <x:hyperlink xmlns:r="http://schemas.openxmlformats.org/officeDocument/2006/relationships" ref="J92" r:id="R95e718a6c4c844ae"/>
    <x:hyperlink xmlns:r="http://schemas.openxmlformats.org/officeDocument/2006/relationships" ref="R92" r:id="Rbdd7577722474e83"/>
    <x:hyperlink xmlns:r="http://schemas.openxmlformats.org/officeDocument/2006/relationships" ref="J93" r:id="R87ddda26261d4682"/>
    <x:hyperlink xmlns:r="http://schemas.openxmlformats.org/officeDocument/2006/relationships" ref="R93" r:id="R7d09c0a6ede34e2f"/>
    <x:hyperlink xmlns:r="http://schemas.openxmlformats.org/officeDocument/2006/relationships" ref="J94" r:id="Re3d94eee2a20458f"/>
    <x:hyperlink xmlns:r="http://schemas.openxmlformats.org/officeDocument/2006/relationships" ref="R94" r:id="R06ba69650f6c4deb"/>
    <x:hyperlink xmlns:r="http://schemas.openxmlformats.org/officeDocument/2006/relationships" ref="J95" r:id="Re18809c4280948bb"/>
    <x:hyperlink xmlns:r="http://schemas.openxmlformats.org/officeDocument/2006/relationships" ref="R95" r:id="R75d16aa9c5bc4cae"/>
    <x:hyperlink xmlns:r="http://schemas.openxmlformats.org/officeDocument/2006/relationships" ref="J96" r:id="R890fd7316d8749b3"/>
    <x:hyperlink xmlns:r="http://schemas.openxmlformats.org/officeDocument/2006/relationships" ref="R96" r:id="R9a20b110bd0e48d3"/>
    <x:hyperlink xmlns:r="http://schemas.openxmlformats.org/officeDocument/2006/relationships" ref="J97" r:id="Rc2155b05d21c446d"/>
    <x:hyperlink xmlns:r="http://schemas.openxmlformats.org/officeDocument/2006/relationships" ref="R97" r:id="R50b6ae61274448ba"/>
    <x:hyperlink xmlns:r="http://schemas.openxmlformats.org/officeDocument/2006/relationships" ref="J98" r:id="Rd43108317aac4dd3"/>
    <x:hyperlink xmlns:r="http://schemas.openxmlformats.org/officeDocument/2006/relationships" ref="R98" r:id="Re7218011688e4fbf"/>
    <x:hyperlink xmlns:r="http://schemas.openxmlformats.org/officeDocument/2006/relationships" ref="J99" r:id="R3a8247e2c74041b0"/>
    <x:hyperlink xmlns:r="http://schemas.openxmlformats.org/officeDocument/2006/relationships" ref="R99" r:id="Rf345b65d9ec24d48"/>
    <x:hyperlink xmlns:r="http://schemas.openxmlformats.org/officeDocument/2006/relationships" ref="J100" r:id="R0ad73d7adb6b4985"/>
    <x:hyperlink xmlns:r="http://schemas.openxmlformats.org/officeDocument/2006/relationships" ref="R100" r:id="R5fe8750fd5d64b14"/>
    <x:hyperlink xmlns:r="http://schemas.openxmlformats.org/officeDocument/2006/relationships" ref="R101" r:id="R4a032e3aead7412c"/>
    <x:hyperlink xmlns:r="http://schemas.openxmlformats.org/officeDocument/2006/relationships" ref="R102" r:id="R3af1525b30674856"/>
    <x:hyperlink xmlns:r="http://schemas.openxmlformats.org/officeDocument/2006/relationships" ref="R103" r:id="Rff1504a83ca342b5"/>
    <x:hyperlink xmlns:r="http://schemas.openxmlformats.org/officeDocument/2006/relationships" ref="J104" r:id="R03bf6f13609f4b7f"/>
    <x:hyperlink xmlns:r="http://schemas.openxmlformats.org/officeDocument/2006/relationships" ref="R104" r:id="R200f3a91bf8a4f39"/>
    <x:hyperlink xmlns:r="http://schemas.openxmlformats.org/officeDocument/2006/relationships" ref="J105" r:id="R5263ecaac3384c3a"/>
    <x:hyperlink xmlns:r="http://schemas.openxmlformats.org/officeDocument/2006/relationships" ref="R105" r:id="R3f647699d18a46f2"/>
    <x:hyperlink xmlns:r="http://schemas.openxmlformats.org/officeDocument/2006/relationships" ref="J106" r:id="R720dc9ce05234d23"/>
    <x:hyperlink xmlns:r="http://schemas.openxmlformats.org/officeDocument/2006/relationships" ref="R106" r:id="Rb04405a5f15c4f6f"/>
    <x:hyperlink xmlns:r="http://schemas.openxmlformats.org/officeDocument/2006/relationships" ref="J107" r:id="Refe86cfdab994852"/>
    <x:hyperlink xmlns:r="http://schemas.openxmlformats.org/officeDocument/2006/relationships" ref="R107" r:id="R9f7ff416bcda4037"/>
    <x:hyperlink xmlns:r="http://schemas.openxmlformats.org/officeDocument/2006/relationships" ref="J108" r:id="Rbd88b8b2c6ee49bc"/>
    <x:hyperlink xmlns:r="http://schemas.openxmlformats.org/officeDocument/2006/relationships" ref="R108" r:id="R1802c45eff98428e"/>
    <x:hyperlink xmlns:r="http://schemas.openxmlformats.org/officeDocument/2006/relationships" ref="J109" r:id="Rfedafbc19f664df4"/>
    <x:hyperlink xmlns:r="http://schemas.openxmlformats.org/officeDocument/2006/relationships" ref="R109" r:id="R00abc3e7af464166"/>
    <x:hyperlink xmlns:r="http://schemas.openxmlformats.org/officeDocument/2006/relationships" ref="J110" r:id="R3d477b32a4974952"/>
    <x:hyperlink xmlns:r="http://schemas.openxmlformats.org/officeDocument/2006/relationships" ref="R110" r:id="Rc425798dacfd42ad"/>
    <x:hyperlink xmlns:r="http://schemas.openxmlformats.org/officeDocument/2006/relationships" ref="J111" r:id="R0ad785b9499442b7"/>
    <x:hyperlink xmlns:r="http://schemas.openxmlformats.org/officeDocument/2006/relationships" ref="R111" r:id="R533d331b40394472"/>
    <x:hyperlink xmlns:r="http://schemas.openxmlformats.org/officeDocument/2006/relationships" ref="J112" r:id="R12f2ff25ce834e40"/>
    <x:hyperlink xmlns:r="http://schemas.openxmlformats.org/officeDocument/2006/relationships" ref="R112" r:id="Rd164aa3b5f484449"/>
    <x:hyperlink xmlns:r="http://schemas.openxmlformats.org/officeDocument/2006/relationships" ref="W112" r:id="R5a733d27160146e4"/>
    <x:hyperlink xmlns:r="http://schemas.openxmlformats.org/officeDocument/2006/relationships" ref="J113" r:id="R6a70caba9680452f"/>
    <x:hyperlink xmlns:r="http://schemas.openxmlformats.org/officeDocument/2006/relationships" ref="R113" r:id="R2a6cd23746b24a21"/>
    <x:hyperlink xmlns:r="http://schemas.openxmlformats.org/officeDocument/2006/relationships" ref="W113" r:id="R9362a3482f644938"/>
    <x:hyperlink xmlns:r="http://schemas.openxmlformats.org/officeDocument/2006/relationships" ref="J114" r:id="R9629bab56233404c"/>
    <x:hyperlink xmlns:r="http://schemas.openxmlformats.org/officeDocument/2006/relationships" ref="R114" r:id="Rb5045a27d8e641bc"/>
    <x:hyperlink xmlns:r="http://schemas.openxmlformats.org/officeDocument/2006/relationships" ref="J115" r:id="R7ddf75d298e04838"/>
    <x:hyperlink xmlns:r="http://schemas.openxmlformats.org/officeDocument/2006/relationships" ref="R115" r:id="R0055454db6a443b9"/>
    <x:hyperlink xmlns:r="http://schemas.openxmlformats.org/officeDocument/2006/relationships" ref="W115" r:id="R6526a8ab6b974673"/>
    <x:hyperlink xmlns:r="http://schemas.openxmlformats.org/officeDocument/2006/relationships" ref="J116" r:id="R4e97b964ef214f25"/>
    <x:hyperlink xmlns:r="http://schemas.openxmlformats.org/officeDocument/2006/relationships" ref="R116" r:id="Rfc83cdc7c9c74bc3"/>
    <x:hyperlink xmlns:r="http://schemas.openxmlformats.org/officeDocument/2006/relationships" ref="W116" r:id="R2e56e24d84f643d3"/>
    <x:hyperlink xmlns:r="http://schemas.openxmlformats.org/officeDocument/2006/relationships" ref="J117" r:id="R5db0d8e7d59b41f5"/>
    <x:hyperlink xmlns:r="http://schemas.openxmlformats.org/officeDocument/2006/relationships" ref="R117" r:id="Rbdc191d2928d47dd"/>
    <x:hyperlink xmlns:r="http://schemas.openxmlformats.org/officeDocument/2006/relationships" ref="W117" r:id="Re70a658048f941df"/>
    <x:hyperlink xmlns:r="http://schemas.openxmlformats.org/officeDocument/2006/relationships" ref="J118" r:id="R1c13f87b09914ee5"/>
    <x:hyperlink xmlns:r="http://schemas.openxmlformats.org/officeDocument/2006/relationships" ref="R118" r:id="Rbbdd6ce8acf94d9d"/>
    <x:hyperlink xmlns:r="http://schemas.openxmlformats.org/officeDocument/2006/relationships" ref="W118" r:id="R238ac32c53b24096"/>
    <x:hyperlink xmlns:r="http://schemas.openxmlformats.org/officeDocument/2006/relationships" ref="J119" r:id="R757ef0ae23384b77"/>
    <x:hyperlink xmlns:r="http://schemas.openxmlformats.org/officeDocument/2006/relationships" ref="R119" r:id="R53a2d255d6e34362"/>
    <x:hyperlink xmlns:r="http://schemas.openxmlformats.org/officeDocument/2006/relationships" ref="W119" r:id="Rd0cb5d3ff5904e25"/>
    <x:hyperlink xmlns:r="http://schemas.openxmlformats.org/officeDocument/2006/relationships" ref="J120" r:id="R15f0c8eae8e54a2f"/>
    <x:hyperlink xmlns:r="http://schemas.openxmlformats.org/officeDocument/2006/relationships" ref="R120" r:id="R2cbd476982ba4f7e"/>
    <x:hyperlink xmlns:r="http://schemas.openxmlformats.org/officeDocument/2006/relationships" ref="W120" r:id="Ra6bf022d936540f0"/>
    <x:hyperlink xmlns:r="http://schemas.openxmlformats.org/officeDocument/2006/relationships" ref="R121" r:id="Re636543ea2f540fe"/>
    <x:hyperlink xmlns:r="http://schemas.openxmlformats.org/officeDocument/2006/relationships" ref="R122" r:id="Re86008d18cbc4521"/>
    <x:hyperlink xmlns:r="http://schemas.openxmlformats.org/officeDocument/2006/relationships" ref="R123" r:id="Ra476b0d7356441df"/>
    <x:hyperlink xmlns:r="http://schemas.openxmlformats.org/officeDocument/2006/relationships" ref="R124" r:id="R3a57537619964dc2"/>
    <x:hyperlink xmlns:r="http://schemas.openxmlformats.org/officeDocument/2006/relationships" ref="J125" r:id="R65238e024489408b"/>
    <x:hyperlink xmlns:r="http://schemas.openxmlformats.org/officeDocument/2006/relationships" ref="R125" r:id="Rc9bd39a25bf543ea"/>
    <x:hyperlink xmlns:r="http://schemas.openxmlformats.org/officeDocument/2006/relationships" ref="J126" r:id="R9415c99390944874"/>
    <x:hyperlink xmlns:r="http://schemas.openxmlformats.org/officeDocument/2006/relationships" ref="R126" r:id="R0cb18a0d8f194269"/>
    <x:hyperlink xmlns:r="http://schemas.openxmlformats.org/officeDocument/2006/relationships" ref="J127" r:id="Rffed30892e194ce9"/>
    <x:hyperlink xmlns:r="http://schemas.openxmlformats.org/officeDocument/2006/relationships" ref="R127" r:id="R8d2341c6c76f4bd6"/>
    <x:hyperlink xmlns:r="http://schemas.openxmlformats.org/officeDocument/2006/relationships" ref="J128" r:id="R3cb8f3ed91b943a8"/>
    <x:hyperlink xmlns:r="http://schemas.openxmlformats.org/officeDocument/2006/relationships" ref="R128" r:id="R32abf567a4674ba8"/>
    <x:hyperlink xmlns:r="http://schemas.openxmlformats.org/officeDocument/2006/relationships" ref="J129" r:id="Rb80c8bf7f0f64687"/>
    <x:hyperlink xmlns:r="http://schemas.openxmlformats.org/officeDocument/2006/relationships" ref="R129" r:id="Rad7460e2ff004376"/>
    <x:hyperlink xmlns:r="http://schemas.openxmlformats.org/officeDocument/2006/relationships" ref="J130" r:id="R49f4e9ee4fa449fe"/>
    <x:hyperlink xmlns:r="http://schemas.openxmlformats.org/officeDocument/2006/relationships" ref="R130" r:id="R8c9421b7a02e45d5"/>
    <x:hyperlink xmlns:r="http://schemas.openxmlformats.org/officeDocument/2006/relationships" ref="J131" r:id="Rc855d220916141f3"/>
    <x:hyperlink xmlns:r="http://schemas.openxmlformats.org/officeDocument/2006/relationships" ref="R131" r:id="R74def7d17c9b46c4"/>
    <x:hyperlink xmlns:r="http://schemas.openxmlformats.org/officeDocument/2006/relationships" ref="J132" r:id="R6a34904794d84e29"/>
    <x:hyperlink xmlns:r="http://schemas.openxmlformats.org/officeDocument/2006/relationships" ref="R132" r:id="Re3f52a01a28e4b81"/>
    <x:hyperlink xmlns:r="http://schemas.openxmlformats.org/officeDocument/2006/relationships" ref="J133" r:id="R660c6d4c03244bdc"/>
    <x:hyperlink xmlns:r="http://schemas.openxmlformats.org/officeDocument/2006/relationships" ref="R133" r:id="R65ab56b225e24868"/>
    <x:hyperlink xmlns:r="http://schemas.openxmlformats.org/officeDocument/2006/relationships" ref="J134" r:id="R66ea3535efd34ecb"/>
    <x:hyperlink xmlns:r="http://schemas.openxmlformats.org/officeDocument/2006/relationships" ref="R134" r:id="R9219f154fe2d49e5"/>
    <x:hyperlink xmlns:r="http://schemas.openxmlformats.org/officeDocument/2006/relationships" ref="J135" r:id="R0f370441152e45bb"/>
    <x:hyperlink xmlns:r="http://schemas.openxmlformats.org/officeDocument/2006/relationships" ref="R135" r:id="R54ff5b6f81c24636"/>
    <x:hyperlink xmlns:r="http://schemas.openxmlformats.org/officeDocument/2006/relationships" ref="J136" r:id="R8ee20a6b85b04c98"/>
    <x:hyperlink xmlns:r="http://schemas.openxmlformats.org/officeDocument/2006/relationships" ref="R136" r:id="R5bb8bb76c9d04a56"/>
    <x:hyperlink xmlns:r="http://schemas.openxmlformats.org/officeDocument/2006/relationships" ref="K137" r:id="Rfbcc073701de4b61"/>
    <x:hyperlink xmlns:r="http://schemas.openxmlformats.org/officeDocument/2006/relationships" ref="R137" r:id="Rf04f140411374a0c"/>
    <x:hyperlink xmlns:r="http://schemas.openxmlformats.org/officeDocument/2006/relationships" ref="J138" r:id="Rce035c71aae842c6"/>
    <x:hyperlink xmlns:r="http://schemas.openxmlformats.org/officeDocument/2006/relationships" ref="R138" r:id="Re3b9be09264b4459"/>
    <x:hyperlink xmlns:r="http://schemas.openxmlformats.org/officeDocument/2006/relationships" ref="J139" r:id="R5f5755f6135e439c"/>
    <x:hyperlink xmlns:r="http://schemas.openxmlformats.org/officeDocument/2006/relationships" ref="R139" r:id="R87438dc66b034c8c"/>
    <x:hyperlink xmlns:r="http://schemas.openxmlformats.org/officeDocument/2006/relationships" ref="W139" r:id="Rc1134b65415648a2"/>
    <x:hyperlink xmlns:r="http://schemas.openxmlformats.org/officeDocument/2006/relationships" ref="K140" r:id="R3d3c1989c8764f62"/>
    <x:hyperlink xmlns:r="http://schemas.openxmlformats.org/officeDocument/2006/relationships" ref="R140" r:id="Rbe621c6b1b3f4b96"/>
    <x:hyperlink xmlns:r="http://schemas.openxmlformats.org/officeDocument/2006/relationships" ref="K141" r:id="R425cdef35e4f4edd"/>
    <x:hyperlink xmlns:r="http://schemas.openxmlformats.org/officeDocument/2006/relationships" ref="R141" r:id="Ra1b397f5855d4394"/>
    <x:hyperlink xmlns:r="http://schemas.openxmlformats.org/officeDocument/2006/relationships" ref="K142" r:id="R82f48dc545494c0e"/>
    <x:hyperlink xmlns:r="http://schemas.openxmlformats.org/officeDocument/2006/relationships" ref="R142" r:id="R07e1ba4c81ff445c"/>
    <x:hyperlink xmlns:r="http://schemas.openxmlformats.org/officeDocument/2006/relationships" ref="K143" r:id="R171396b9f1624429"/>
    <x:hyperlink xmlns:r="http://schemas.openxmlformats.org/officeDocument/2006/relationships" ref="R143" r:id="Rc519073af78946b6"/>
    <x:hyperlink xmlns:r="http://schemas.openxmlformats.org/officeDocument/2006/relationships" ref="K144" r:id="R4551d07519524de4"/>
    <x:hyperlink xmlns:r="http://schemas.openxmlformats.org/officeDocument/2006/relationships" ref="R144" r:id="R579958d433524c4e"/>
    <x:hyperlink xmlns:r="http://schemas.openxmlformats.org/officeDocument/2006/relationships" ref="K145" r:id="R265a80a835eb41a4"/>
    <x:hyperlink xmlns:r="http://schemas.openxmlformats.org/officeDocument/2006/relationships" ref="R145" r:id="Rd92d8f90d1e74cec"/>
    <x:hyperlink xmlns:r="http://schemas.openxmlformats.org/officeDocument/2006/relationships" ref="K146" r:id="R920413a83ef646df"/>
    <x:hyperlink xmlns:r="http://schemas.openxmlformats.org/officeDocument/2006/relationships" ref="R146" r:id="R6c0d0309f1424bf1"/>
    <x:hyperlink xmlns:r="http://schemas.openxmlformats.org/officeDocument/2006/relationships" ref="K147" r:id="Rcea5bec7f09041b8"/>
    <x:hyperlink xmlns:r="http://schemas.openxmlformats.org/officeDocument/2006/relationships" ref="R147" r:id="Rbd1666079a134150"/>
    <x:hyperlink xmlns:r="http://schemas.openxmlformats.org/officeDocument/2006/relationships" ref="K148" r:id="R5ac1c180206142fb"/>
    <x:hyperlink xmlns:r="http://schemas.openxmlformats.org/officeDocument/2006/relationships" ref="R148" r:id="R8306552e6d654ec4"/>
    <x:hyperlink xmlns:r="http://schemas.openxmlformats.org/officeDocument/2006/relationships" ref="K149" r:id="Rf11a562c5d60465d"/>
    <x:hyperlink xmlns:r="http://schemas.openxmlformats.org/officeDocument/2006/relationships" ref="R149" r:id="R49319cb9eeb146f8"/>
    <x:hyperlink xmlns:r="http://schemas.openxmlformats.org/officeDocument/2006/relationships" ref="K150" r:id="R253f5da417f84d30"/>
    <x:hyperlink xmlns:r="http://schemas.openxmlformats.org/officeDocument/2006/relationships" ref="R150" r:id="R34933ce134a8419a"/>
    <x:hyperlink xmlns:r="http://schemas.openxmlformats.org/officeDocument/2006/relationships" ref="J151" r:id="R6d743200e0b343e6"/>
    <x:hyperlink xmlns:r="http://schemas.openxmlformats.org/officeDocument/2006/relationships" ref="R151" r:id="R97ae78776c9d48f9"/>
    <x:hyperlink xmlns:r="http://schemas.openxmlformats.org/officeDocument/2006/relationships" ref="J152" r:id="R1b8e7aede6f9412f"/>
    <x:hyperlink xmlns:r="http://schemas.openxmlformats.org/officeDocument/2006/relationships" ref="R152" r:id="R65e3b6b822b64888"/>
    <x:hyperlink xmlns:r="http://schemas.openxmlformats.org/officeDocument/2006/relationships" ref="J153" r:id="R278d072e7b064a17"/>
    <x:hyperlink xmlns:r="http://schemas.openxmlformats.org/officeDocument/2006/relationships" ref="R153" r:id="R016f08b217aa40d8"/>
    <x:hyperlink xmlns:r="http://schemas.openxmlformats.org/officeDocument/2006/relationships" ref="J154" r:id="Ra78a244065b44e2d"/>
    <x:hyperlink xmlns:r="http://schemas.openxmlformats.org/officeDocument/2006/relationships" ref="R154" r:id="R1908f3a7ba3f4cae"/>
    <x:hyperlink xmlns:r="http://schemas.openxmlformats.org/officeDocument/2006/relationships" ref="J155" r:id="R425743e5b13d4914"/>
    <x:hyperlink xmlns:r="http://schemas.openxmlformats.org/officeDocument/2006/relationships" ref="R155" r:id="R10a40cdaa5fa4043"/>
    <x:hyperlink xmlns:r="http://schemas.openxmlformats.org/officeDocument/2006/relationships" ref="J156" r:id="R81accb2ce9b34a19"/>
    <x:hyperlink xmlns:r="http://schemas.openxmlformats.org/officeDocument/2006/relationships" ref="R156" r:id="R5753920250e84b63"/>
    <x:hyperlink xmlns:r="http://schemas.openxmlformats.org/officeDocument/2006/relationships" ref="J157" r:id="R1da975e47286402d"/>
    <x:hyperlink xmlns:r="http://schemas.openxmlformats.org/officeDocument/2006/relationships" ref="R157" r:id="Rae05906a34124a8c"/>
    <x:hyperlink xmlns:r="http://schemas.openxmlformats.org/officeDocument/2006/relationships" ref="J158" r:id="R743e33d0851c43c1"/>
    <x:hyperlink xmlns:r="http://schemas.openxmlformats.org/officeDocument/2006/relationships" ref="R158" r:id="R4c5ef5d872104c11"/>
    <x:hyperlink xmlns:r="http://schemas.openxmlformats.org/officeDocument/2006/relationships" ref="J159" r:id="R5d06aa5dee774e0e"/>
    <x:hyperlink xmlns:r="http://schemas.openxmlformats.org/officeDocument/2006/relationships" ref="R159" r:id="R50adaac4dc05466c"/>
    <x:hyperlink xmlns:r="http://schemas.openxmlformats.org/officeDocument/2006/relationships" ref="J160" r:id="R841f3c7e68dd485a"/>
    <x:hyperlink xmlns:r="http://schemas.openxmlformats.org/officeDocument/2006/relationships" ref="R160" r:id="Rc25004938e224fdc"/>
    <x:hyperlink xmlns:r="http://schemas.openxmlformats.org/officeDocument/2006/relationships" ref="J161" r:id="Rde3856ace9e64cba"/>
    <x:hyperlink xmlns:r="http://schemas.openxmlformats.org/officeDocument/2006/relationships" ref="R161" r:id="Rcf73749868574a53"/>
    <x:hyperlink xmlns:r="http://schemas.openxmlformats.org/officeDocument/2006/relationships" ref="J162" r:id="R1f194d44d6374a59"/>
    <x:hyperlink xmlns:r="http://schemas.openxmlformats.org/officeDocument/2006/relationships" ref="R162" r:id="R191d2424de7b46fb"/>
    <x:hyperlink xmlns:r="http://schemas.openxmlformats.org/officeDocument/2006/relationships" ref="J163" r:id="R40b6e612e5a9404d"/>
    <x:hyperlink xmlns:r="http://schemas.openxmlformats.org/officeDocument/2006/relationships" ref="R163" r:id="Rf4c775c2bf10448b"/>
    <x:hyperlink xmlns:r="http://schemas.openxmlformats.org/officeDocument/2006/relationships" ref="J164" r:id="R5454e5572fb84a40"/>
    <x:hyperlink xmlns:r="http://schemas.openxmlformats.org/officeDocument/2006/relationships" ref="R164" r:id="R96ab9cc412fc4d56"/>
    <x:hyperlink xmlns:r="http://schemas.openxmlformats.org/officeDocument/2006/relationships" ref="R165" r:id="R52eb3d4138454c02"/>
    <x:hyperlink xmlns:r="http://schemas.openxmlformats.org/officeDocument/2006/relationships" ref="R166" r:id="Rba3651001c3742be"/>
    <x:hyperlink xmlns:r="http://schemas.openxmlformats.org/officeDocument/2006/relationships" ref="J167" r:id="R2dd3b68adbc445b2"/>
    <x:hyperlink xmlns:r="http://schemas.openxmlformats.org/officeDocument/2006/relationships" ref="R167" r:id="R866357bd819a4dd9"/>
    <x:hyperlink xmlns:r="http://schemas.openxmlformats.org/officeDocument/2006/relationships" ref="J168" r:id="Rbbd203cd8180485f"/>
    <x:hyperlink xmlns:r="http://schemas.openxmlformats.org/officeDocument/2006/relationships" ref="R168" r:id="R7cacd8d0e27148e4"/>
    <x:hyperlink xmlns:r="http://schemas.openxmlformats.org/officeDocument/2006/relationships" ref="J169" r:id="R80858b984b764a81"/>
    <x:hyperlink xmlns:r="http://schemas.openxmlformats.org/officeDocument/2006/relationships" ref="R169" r:id="Ra41c3c91c4d84529"/>
    <x:hyperlink xmlns:r="http://schemas.openxmlformats.org/officeDocument/2006/relationships" ref="J170" r:id="R605ceca551ac4ef8"/>
    <x:hyperlink xmlns:r="http://schemas.openxmlformats.org/officeDocument/2006/relationships" ref="R170" r:id="R3c188e2af2aa4e22"/>
    <x:hyperlink xmlns:r="http://schemas.openxmlformats.org/officeDocument/2006/relationships" ref="J171" r:id="R2f289f4e37544e05"/>
    <x:hyperlink xmlns:r="http://schemas.openxmlformats.org/officeDocument/2006/relationships" ref="R171" r:id="R3ac0e7fe42a544a0"/>
    <x:hyperlink xmlns:r="http://schemas.openxmlformats.org/officeDocument/2006/relationships" ref="J172" r:id="R83dc5a01b47f4ed9"/>
    <x:hyperlink xmlns:r="http://schemas.openxmlformats.org/officeDocument/2006/relationships" ref="R172" r:id="Re734941a75944894"/>
    <x:hyperlink xmlns:r="http://schemas.openxmlformats.org/officeDocument/2006/relationships" ref="J173" r:id="R722e2a88cab94e16"/>
    <x:hyperlink xmlns:r="http://schemas.openxmlformats.org/officeDocument/2006/relationships" ref="R173" r:id="R731dc9aa7721493c"/>
    <x:hyperlink xmlns:r="http://schemas.openxmlformats.org/officeDocument/2006/relationships" ref="J174" r:id="R38e1b5957cc64673"/>
    <x:hyperlink xmlns:r="http://schemas.openxmlformats.org/officeDocument/2006/relationships" ref="R174" r:id="R66a14bc33d60483a"/>
    <x:hyperlink xmlns:r="http://schemas.openxmlformats.org/officeDocument/2006/relationships" ref="J175" r:id="Rb01c5175845449e6"/>
    <x:hyperlink xmlns:r="http://schemas.openxmlformats.org/officeDocument/2006/relationships" ref="R175" r:id="R7f6da1efbc6b4b36"/>
    <x:hyperlink xmlns:r="http://schemas.openxmlformats.org/officeDocument/2006/relationships" ref="J176" r:id="Rdb8c29660ab04182"/>
    <x:hyperlink xmlns:r="http://schemas.openxmlformats.org/officeDocument/2006/relationships" ref="R176" r:id="R9d64426c5a674876"/>
    <x:hyperlink xmlns:r="http://schemas.openxmlformats.org/officeDocument/2006/relationships" ref="J177" r:id="Rd9671b8bbbf7471d"/>
    <x:hyperlink xmlns:r="http://schemas.openxmlformats.org/officeDocument/2006/relationships" ref="R177" r:id="R04233b26ae634400"/>
    <x:hyperlink xmlns:r="http://schemas.openxmlformats.org/officeDocument/2006/relationships" ref="J178" r:id="R00188275df0a4f4e"/>
    <x:hyperlink xmlns:r="http://schemas.openxmlformats.org/officeDocument/2006/relationships" ref="R178" r:id="Rc4fc4bee8cfd4165"/>
    <x:hyperlink xmlns:r="http://schemas.openxmlformats.org/officeDocument/2006/relationships" ref="J179" r:id="Re43f9014719049ba"/>
    <x:hyperlink xmlns:r="http://schemas.openxmlformats.org/officeDocument/2006/relationships" ref="R179" r:id="R17b789e62cc844f4"/>
    <x:hyperlink xmlns:r="http://schemas.openxmlformats.org/officeDocument/2006/relationships" ref="J180" r:id="R20a4af68de1040ad"/>
    <x:hyperlink xmlns:r="http://schemas.openxmlformats.org/officeDocument/2006/relationships" ref="R180" r:id="Rb605ad32885f40ff"/>
    <x:hyperlink xmlns:r="http://schemas.openxmlformats.org/officeDocument/2006/relationships" ref="J181" r:id="R59af13e2fc914e1d"/>
    <x:hyperlink xmlns:r="http://schemas.openxmlformats.org/officeDocument/2006/relationships" ref="R181" r:id="Rb89f52faef8a434f"/>
    <x:hyperlink xmlns:r="http://schemas.openxmlformats.org/officeDocument/2006/relationships" ref="J182" r:id="R8f0b0f40b9294e9a"/>
    <x:hyperlink xmlns:r="http://schemas.openxmlformats.org/officeDocument/2006/relationships" ref="R182" r:id="R9fc33c87079646dd"/>
    <x:hyperlink xmlns:r="http://schemas.openxmlformats.org/officeDocument/2006/relationships" ref="J183" r:id="Rb301b6e5831048b6"/>
    <x:hyperlink xmlns:r="http://schemas.openxmlformats.org/officeDocument/2006/relationships" ref="R183" r:id="Rc582081159084f56"/>
    <x:hyperlink xmlns:r="http://schemas.openxmlformats.org/officeDocument/2006/relationships" ref="J184" r:id="R8df37b8b28f94f59"/>
    <x:hyperlink xmlns:r="http://schemas.openxmlformats.org/officeDocument/2006/relationships" ref="R184" r:id="R8b4911953c3c49ac"/>
    <x:hyperlink xmlns:r="http://schemas.openxmlformats.org/officeDocument/2006/relationships" ref="J185" r:id="R243304d15b8f413e"/>
    <x:hyperlink xmlns:r="http://schemas.openxmlformats.org/officeDocument/2006/relationships" ref="R185" r:id="R24c83fd7528443a8"/>
    <x:hyperlink xmlns:r="http://schemas.openxmlformats.org/officeDocument/2006/relationships" ref="J186" r:id="Rca61f7df10804cea"/>
    <x:hyperlink xmlns:r="http://schemas.openxmlformats.org/officeDocument/2006/relationships" ref="R186" r:id="R6a35dc7d014b4e46"/>
    <x:hyperlink xmlns:r="http://schemas.openxmlformats.org/officeDocument/2006/relationships" ref="J187" r:id="R8b10f466cbb645e3"/>
    <x:hyperlink xmlns:r="http://schemas.openxmlformats.org/officeDocument/2006/relationships" ref="R187" r:id="Rff52fafa53fb4750"/>
    <x:hyperlink xmlns:r="http://schemas.openxmlformats.org/officeDocument/2006/relationships" ref="J188" r:id="Rfedce5a8a0cb46b4"/>
    <x:hyperlink xmlns:r="http://schemas.openxmlformats.org/officeDocument/2006/relationships" ref="R188" r:id="Refa7913745454e09"/>
    <x:hyperlink xmlns:r="http://schemas.openxmlformats.org/officeDocument/2006/relationships" ref="J189" r:id="R8bdc646e68284eb5"/>
    <x:hyperlink xmlns:r="http://schemas.openxmlformats.org/officeDocument/2006/relationships" ref="R189" r:id="Rd50b642d9da1447d"/>
    <x:hyperlink xmlns:r="http://schemas.openxmlformats.org/officeDocument/2006/relationships" ref="J190" r:id="Rd020f0a17a414593"/>
    <x:hyperlink xmlns:r="http://schemas.openxmlformats.org/officeDocument/2006/relationships" ref="R190" r:id="R3c3d288611054c1f"/>
    <x:hyperlink xmlns:r="http://schemas.openxmlformats.org/officeDocument/2006/relationships" ref="J191" r:id="R5a9dc40f21a84d52"/>
    <x:hyperlink xmlns:r="http://schemas.openxmlformats.org/officeDocument/2006/relationships" ref="R191" r:id="Rc2b1a085f1a845c6"/>
    <x:hyperlink xmlns:r="http://schemas.openxmlformats.org/officeDocument/2006/relationships" ref="J192" r:id="R9beacc68a31e4601"/>
    <x:hyperlink xmlns:r="http://schemas.openxmlformats.org/officeDocument/2006/relationships" ref="R192" r:id="Re4597f708783435e"/>
    <x:hyperlink xmlns:r="http://schemas.openxmlformats.org/officeDocument/2006/relationships" ref="K193" r:id="R0ab2230890fc4bcf"/>
    <x:hyperlink xmlns:r="http://schemas.openxmlformats.org/officeDocument/2006/relationships" ref="R193" r:id="R680739ba4594456a"/>
    <x:hyperlink xmlns:r="http://schemas.openxmlformats.org/officeDocument/2006/relationships" ref="J194" r:id="Re450b6fccd17445a"/>
    <x:hyperlink xmlns:r="http://schemas.openxmlformats.org/officeDocument/2006/relationships" ref="R194" r:id="R43512812dc7149d7"/>
    <x:hyperlink xmlns:r="http://schemas.openxmlformats.org/officeDocument/2006/relationships" ref="J195" r:id="R041fbbe172df4f49"/>
    <x:hyperlink xmlns:r="http://schemas.openxmlformats.org/officeDocument/2006/relationships" ref="R195" r:id="Rf09bcaf390ca4ba7"/>
    <x:hyperlink xmlns:r="http://schemas.openxmlformats.org/officeDocument/2006/relationships" ref="J196" r:id="R6b0fa7c29d7249bb"/>
    <x:hyperlink xmlns:r="http://schemas.openxmlformats.org/officeDocument/2006/relationships" ref="R196" r:id="R15dbd6e51c1c4b71"/>
    <x:hyperlink xmlns:r="http://schemas.openxmlformats.org/officeDocument/2006/relationships" ref="J197" r:id="R5e1eb16f23104ea5"/>
    <x:hyperlink xmlns:r="http://schemas.openxmlformats.org/officeDocument/2006/relationships" ref="R197" r:id="Rb23d658cad124bb1"/>
    <x:hyperlink xmlns:r="http://schemas.openxmlformats.org/officeDocument/2006/relationships" ref="J198" r:id="R1f45d2d613b24f97"/>
    <x:hyperlink xmlns:r="http://schemas.openxmlformats.org/officeDocument/2006/relationships" ref="R198" r:id="Ra08029f4631a4824"/>
    <x:hyperlink xmlns:r="http://schemas.openxmlformats.org/officeDocument/2006/relationships" ref="J199" r:id="R714c59a4ba7d48c9"/>
    <x:hyperlink xmlns:r="http://schemas.openxmlformats.org/officeDocument/2006/relationships" ref="R199" r:id="Ra1ac2fd7e71646dd"/>
    <x:hyperlink xmlns:r="http://schemas.openxmlformats.org/officeDocument/2006/relationships" ref="J200" r:id="R7dae924b59614a5e"/>
    <x:hyperlink xmlns:r="http://schemas.openxmlformats.org/officeDocument/2006/relationships" ref="R200" r:id="R00801bd5d8464f09"/>
    <x:hyperlink xmlns:r="http://schemas.openxmlformats.org/officeDocument/2006/relationships" ref="J201" r:id="Rcb0d69662d684088"/>
    <x:hyperlink xmlns:r="http://schemas.openxmlformats.org/officeDocument/2006/relationships" ref="R201" r:id="R6e50fe2aaa264438"/>
    <x:hyperlink xmlns:r="http://schemas.openxmlformats.org/officeDocument/2006/relationships" ref="J202" r:id="Rcb5bbb9b8630424c"/>
    <x:hyperlink xmlns:r="http://schemas.openxmlformats.org/officeDocument/2006/relationships" ref="R202" r:id="R80a20bc1ae224240"/>
    <x:hyperlink xmlns:r="http://schemas.openxmlformats.org/officeDocument/2006/relationships" ref="R203" r:id="R7b44077aefda462e"/>
    <x:hyperlink xmlns:r="http://schemas.openxmlformats.org/officeDocument/2006/relationships" ref="R204" r:id="Rbe38fae6e3904cd9"/>
    <x:hyperlink xmlns:r="http://schemas.openxmlformats.org/officeDocument/2006/relationships" ref="R205" r:id="R8de930e948444a9b"/>
    <x:hyperlink xmlns:r="http://schemas.openxmlformats.org/officeDocument/2006/relationships" ref="R206" r:id="Rb02a12ed0f84411e"/>
    <x:hyperlink xmlns:r="http://schemas.openxmlformats.org/officeDocument/2006/relationships" ref="R207" r:id="Rb3e533f85b9a471d"/>
    <x:hyperlink xmlns:r="http://schemas.openxmlformats.org/officeDocument/2006/relationships" ref="R208" r:id="R682559f5363a4375"/>
  </x:hyperlinks>
  <x:pageMargins left="0.7" right="0.7" top="0.75" bottom="0.75" header="0.3" footer="0.3"/>
  <x:legacyDrawing xmlns:r="http://schemas.openxmlformats.org/officeDocument/2006/relationships" r:id="R3df052d36a414a40"/>
</x:worksheet>
</file>

<file path=xl/worksheets/sheet7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30" hidden="0" customWidth="1"/>
    <x:col min="2" max="2" width="220" hidden="0" customWidth="1"/>
    <x:col min="3" max="3" width="180" hidden="0" customWidth="1"/>
    <x:col min="4" max="4" width="150" hidden="0" customWidth="1"/>
    <x:col min="5" max="5" width="180" hidden="0" customWidth="1"/>
    <x:col min="6" max="6" width="150" hidden="0" customWidth="1"/>
  </x:cols>
  <x:sheetData>
    <x:row r="1">
      <x:c r="A1" s="62" t="str">
        <x:v>กรมอนามัย | Dashboard เฝ้าระวังน้ำ (Mockup)</x:v>
      </x:c>
      <x:c r="B1" s="62"/>
      <x:c r="C1" s="62"/>
      <x:c r="D1" s="62"/>
      <x:c r="E1" s="62"/>
      <x:c r="F1" s="62"/>
    </x:row>
    <x:row r="2">
      <x:c r="A2" s="63" t="str">
        <x:v>รอบข้อมูล</x:v>
      </x:c>
      <x:c r="B2" s="63" t="str">
        <x:v>1 ต.ค. 2569</x:v>
      </x:c>
      <x:c r="C2" s="63" t="str">
        <x:v>แหล่งข้อมูลหลัก</x:v>
      </x:c>
      <x:c r="D2" s="63" t="str">
        <x:v>ปภ. / ThaiWater / ศูนย์พักพิง</x:v>
      </x:c>
      <x:c r="E2" s="63"/>
      <x:c r="F2" s="63"/>
    </x:row>
    <x:row r="3">
      <x:c r="A3" s="63" t="str">
        <x:v>วัตถุประสงค์</x:v>
      </x:c>
      <x:c r="B3" s="63" t="str">
        <x:v>มองสถานการณ์น้ำ ผลกระทบต่อประชาชนกลุ่มเปราะบาง และความพร้อมรองรับในมุมสาธารณสุข</x:v>
      </x:c>
      <x:c r="C3" s="63"/>
      <x:c r="D3" s="63"/>
      <x:c r="E3" s="63"/>
      <x:c r="F3" s="63"/>
    </x:row>
    <x:row r="4">
      <x:c r="A4" s="63"/>
      <x:c r="B4" s="63"/>
      <x:c r="C4" s="63"/>
      <x:c r="D4" s="63"/>
      <x:c r="E4" s="63"/>
      <x:c r="F4" s="63"/>
    </x:row>
    <x:row r="5">
      <x:c r="A5" s="64" t="str">
        <x:v>ภาพรวมสถานการณ์</x:v>
      </x:c>
      <x:c r="B5" s="64"/>
      <x:c r="C5" s="64"/>
      <x:c r="D5" s="64"/>
      <x:c r="E5" s="64"/>
      <x:c r="F5" s="64"/>
    </x:row>
    <x:row r="6">
      <x:c r="A6" s="65" t="str">
        <x:v>จังหวัดที่มีรายงานภัย</x:v>
      </x:c>
      <x:c r="B6" s="65" t="n">
        <x:f>COUNTA(Disaster_DB!D2:D1000)</x:f>
        <x:v>63</x:v>
      </x:c>
      <x:c r="C6" s="65" t="str">
        <x:v>ครัวเรือนที่ได้รับผลกระทบ</x:v>
      </x:c>
      <x:c r="D6" s="65" t="n">
        <x:f>SUM(Disaster_DB!J2:J1000)</x:f>
        <x:v>2218711</x:v>
      </x:c>
      <x:c r="E6" s="65" t="str">
        <x:v>ผู้เสียชีวิต</x:v>
      </x:c>
      <x:c r="F6" s="65" t="n">
        <x:f>SUM(Disaster_DB!K2:K1000)</x:f>
        <x:v>48</x:v>
      </x:c>
    </x:row>
    <x:row r="7">
      <x:c r="A7" s="65" t="str">
        <x:v>อำเภอที่ได้รับผลกระทบ</x:v>
      </x:c>
      <x:c r="B7" s="65" t="n">
        <x:f>SUM(Disaster_DB!F2:F1000)</x:f>
        <x:v>386</x:v>
      </x:c>
      <x:c r="C7" s="65" t="str">
        <x:v>แนวโน้มน้ำเพิ่มขึ้น</x:v>
      </x:c>
      <x:c r="D7" s="65" t="n">
        <x:f>COUNTIF(Disaster_DB!L2:L1000,"เพิ่มขึ้น")</x:f>
        <x:v>32</x:v>
      </x:c>
      <x:c r="E7" s="65" t="str">
        <x:v>รายการภัยที่กำลังประสบภัย</x:v>
      </x:c>
      <x:c r="F7" s="65" t="n">
        <x:f>COUNTIF(Disaster_DB!M2:M1000,"กำลังประสบภัย")</x:f>
        <x:v>63</x:v>
      </x:c>
    </x:row>
    <x:row r="8">
      <x:c r="A8" s="65"/>
      <x:c r="B8" s="65"/>
      <x:c r="C8" s="65"/>
      <x:c r="D8" s="65"/>
      <x:c r="E8" s="65"/>
      <x:c r="F8" s="65"/>
    </x:row>
    <x:row r="9">
      <x:c r="A9" s="66" t="str">
        <x:v>สัญญาณเฝ้าระวังน้ำจากสถานี ThaiWater</x:v>
      </x:c>
      <x:c r="B9" s="66"/>
      <x:c r="C9" s="66"/>
      <x:c r="D9" s="66"/>
      <x:c r="E9" s="66"/>
      <x:c r="F9" s="66"/>
    </x:row>
    <x:row r="10">
      <x:c r="A10" s="65" t="str">
        <x:v>ระดับวิกฤติ/ล้นตลิ่ง</x:v>
      </x:c>
      <x:c r="B10" s="65" t="n">
        <x:f>COUNTIF(thai_water_DB!N2:N1000,"วิกฤติ")+COUNTIF(thai_water_DB!N2:N1000,"ล้นตลิ่ง")</x:f>
        <x:v>250</x:v>
      </x:c>
      <x:c r="C10" s="65" t="str">
        <x:v>ระดับเตือนภัย</x:v>
      </x:c>
      <x:c r="D10" s="65" t="n">
        <x:f>COUNTIF(thai_water_DB!N2:N1000,"เตือนภัย")</x:f>
        <x:v>342</x:v>
      </x:c>
      <x:c r="E10" s="65" t="str">
        <x:v>ข้อมูลภายใน 60 นาที</x:v>
      </x:c>
      <x:c r="F10" s="65" t="n">
        <x:f>COUNTIF(thai_water_DB!S2:S1000,"ภายใน 60 นาที")</x:f>
        <x:v>492</x:v>
      </x:c>
    </x:row>
    <x:row r="11">
      <x:c r="A11" s="65" t="str">
        <x:v>สถานีทั้งหมด</x:v>
      </x:c>
      <x:c r="B11" s="65" t="n">
        <x:f>COUNTA(thai_water_DB!A2:A1000)</x:f>
        <x:v>807</x:v>
      </x:c>
      <x:c r="C11" s="65" t="str">
        <x:v>ข้อมูลเกิน 60 นาที</x:v>
      </x:c>
      <x:c r="D11" s="65" t="n">
        <x:f>COUNTIF(thai_water_DB!S2:S1000,"ข้อมูลเก่าเกิน 60 นาที")</x:f>
        <x:v>315</x:v>
      </x:c>
      <x:c r="E11" s="65" t="str">
        <x:v>สถานะเซนเซอร์ปกติ</x:v>
      </x:c>
      <x:c r="F11" s="65" t="n">
        <x:f>COUNTIF(thai_water_DB!O2:O1000,"ปกติ")</x:f>
        <x:v>807</x:v>
      </x:c>
    </x:row>
    <x:row r="12">
      <x:c r="A12" s="65"/>
      <x:c r="B12" s="65"/>
      <x:c r="C12" s="65"/>
      <x:c r="D12" s="65"/>
      <x:c r="E12" s="65"/>
      <x:c r="F12" s="65"/>
    </x:row>
    <x:row r="13">
      <x:c r="A13" s="66" t="str">
        <x:v>ประชากรกลุ่มเปราะบางในพื้นที่เสี่ยง</x:v>
      </x:c>
      <x:c r="B13" s="66"/>
      <x:c r="C13" s="66"/>
      <x:c r="D13" s="66"/>
      <x:c r="E13" s="66"/>
      <x:c r="F13" s="66"/>
    </x:row>
    <x:row r="14">
      <x:c r="A14" s="65" t="str">
        <x:v>เด็ก 0-4 ปี</x:v>
      </x:c>
      <x:c r="B14" s="65" t="n">
        <x:f>SUM(Vulnerable_group!C2:C1000)</x:f>
        <x:v>3444070</x:v>
      </x:c>
      <x:c r="C14" s="65" t="str">
        <x:v>หญิงตั้งครรภ์</x:v>
      </x:c>
      <x:c r="D14" s="65" t="n">
        <x:f>SUM(Vulnerable_group!D2:D1000)</x:f>
        <x:v>277294</x:v>
      </x:c>
      <x:c r="E14" s="65" t="str">
        <x:v>ผู้สูงอายุ 60 ปีขึ้นไป</x:v>
      </x:c>
      <x:c r="F14" s="65" t="n">
        <x:f>SUM(Vulnerable_group!E2:E1000)</x:f>
        <x:v>24798192</x:v>
      </x:c>
    </x:row>
    <x:row r="15">
      <x:c r="A15" s="65" t="str">
        <x:v>รวมกลุ่มเปราะบาง</x:v>
      </x:c>
      <x:c r="B15" s="65" t="n">
        <x:f>SUM(Vulnerable_group!F2:F1000)</x:f>
        <x:v>28519556</x:v>
      </x:c>
      <x:c r="C15" s="65" t="str">
        <x:v>ศูนย์พักพิงทั้งหมด</x:v>
      </x:c>
      <x:c r="D15" s="65" t="n">
        <x:f>COUNTA(shelter_DB!A2:A1000)</x:f>
        <x:v>207</x:v>
      </x:c>
      <x:c r="E15" s="65" t="str">
        <x:v>ผู้พักพิงปัจจุบัน</x:v>
      </x:c>
      <x:c r="F15" s="65" t="n">
        <x:f>SUM(shelter_DB!F2:F1000)</x:f>
        <x:v>4449</x:v>
      </x:c>
    </x:row>
    <x:row r="16">
      <x:c r="A16" s="65" t="str">
        <x:v>ความจุศูนย์พักพิง</x:v>
      </x:c>
      <x:c r="B16" s="65" t="n">
        <x:f>SUM(shelter_DB!E2:E1000)</x:f>
        <x:v>15857</x:v>
      </x:c>
      <x:c r="C16" s="65" t="str">
        <x:v>ที่ว่างคงเหลือ</x:v>
      </x:c>
      <x:c r="D16" s="65" t="n">
        <x:f>SUM(shelter_DB!G2:G1000)</x:f>
        <x:v>11611</x:v>
      </x:c>
      <x:c r="E16" s="65" t="str">
        <x:v>ศูนย์พักพิงเต็ม/ใกล้เต็ม</x:v>
      </x:c>
      <x:c r="F16" s="65" t="n">
        <x:f>COUNTIF(shelter_DB!I2:I1000,"เต็ม")+COUNTIF(shelter_DB!I2:I1000,"ใกล้เต็ม")</x:f>
        <x:v>13</x:v>
      </x:c>
    </x:row>
    <x:row r="17">
      <x:c r="A17" s="65"/>
      <x:c r="B17" s="65"/>
      <x:c r="C17" s="65"/>
      <x:c r="D17" s="65"/>
      <x:c r="E17" s="65"/>
      <x:c r="F17" s="65"/>
    </x:row>
    <x:row r="18">
      <x:c r="A18" s="63" t="str">
        <x:v>มุมมองที่ควรทำในเวอร์ชัน Google Sheets + Apps Script</x:v>
      </x:c>
      <x:c r="B18" s="63"/>
      <x:c r="C18" s="63"/>
      <x:c r="D18" s="63"/>
      <x:c r="E18" s="63"/>
      <x:c r="F18" s="63"/>
    </x:row>
    <x:row r="19">
      <x:c r="A19" s="64" t="str">
        <x:v>1. แผนที่สถานีและจังหวัด</x:v>
      </x:c>
      <x:c r="B19" s="64" t="str">
        <x:v>แสดงจุดสถานีตามระดับ ปกติ/เฝ้าระวัง/เตือนภัย/วิกฤติ/ล้นตลิ่ง</x:v>
      </x:c>
      <x:c r="C19" s="64"/>
      <x:c r="D19" s="64"/>
      <x:c r="E19" s="64"/>
      <x:c r="F19" s="64"/>
    </x:row>
    <x:row r="20">
      <x:c r="A20" s="63" t="str">
        <x:v>2. รายการต้องติดตาม</x:v>
      </x:c>
      <x:c r="B20" s="63" t="str">
        <x:v>กรองเฉพาะข้อมูลสดภายใน 60 นาที และรายการที่กระทบกลุ่มเปราะบางสูง</x:v>
      </x:c>
      <x:c r="C20" s="63"/>
      <x:c r="D20" s="63"/>
      <x:c r="E20" s="63"/>
      <x:c r="F20" s="63"/>
    </x:row>
    <x:row r="21">
      <x:c r="A21" s="63" t="str">
        <x:v>3. การแจ้งเตือน</x:v>
      </x:c>
      <x:c r="B21" s="63" t="str">
        <x:v>แจ้งเตือนเมื่อระดับวิกฤติ, น้ำเพิ่มขึ้นต่อเนื่อง, ข้อมูลเก่า หรือศูนย์พักพิงใกล้เต็ม</x:v>
      </x:c>
      <x:c r="C21" s="63"/>
      <x:c r="D21" s="63"/>
      <x:c r="E21" s="63"/>
      <x:c r="F21" s="63"/>
    </x:row>
    <x:row r="22">
      <x:c r="A22" s="63" t="str">
        <x:v>4. Data quality</x:v>
      </x:c>
      <x:c r="B22" s="63" t="str">
        <x:v>แสดงเวลาที่ดึงข้อมูลล่าสุด และแยกข้อมูลเก่าของ BKK_water_DB ออกจากข้อมูลปัจจุบัน</x:v>
      </x:c>
      <x:c r="C22" s="63"/>
      <x:c r="D22" s="63"/>
      <x:c r="E22" s="63"/>
      <x:c r="F22" s="63"/>
    </x:row>
    <x:row r="23">
      <x:c r="A23" s="63"/>
      <x:c r="B23" s="63"/>
      <x:c r="C23" s="63"/>
      <x:c r="D23" s="63"/>
      <x:c r="E23" s="63"/>
      <x:c r="F23" s="63"/>
    </x:row>
    <x:row r="24">
      <x:c r="A24" s="63" t="str">
        <x:v>ข้อค้นพบจาก mockup นี้</x:v>
      </x:c>
      <x:c r="B24" s="63"/>
      <x:c r="C24" s="63"/>
      <x:c r="D24" s="63"/>
      <x:c r="E24" s="63"/>
      <x:c r="F24" s="63"/>
    </x:row>
    <x:row r="25">
      <x:c r="A25" s="64" t="str">
        <x:v>- Disaster_DB มี 63 รายการภัย 33 จังหวัด โดยมีรายงาน 2 วัน และยอดครัวเรือนรวมจากข้อมูลดิบ 2,218,711 ครัวเรือน</x:v>
      </x:c>
      <x:c r="B25" s="64"/>
      <x:c r="C25" s="64"/>
      <x:c r="D25" s="64"/>
      <x:c r="E25" s="64"/>
      <x:c r="F25" s="64"/>
    </x:row>
    <x:row r="26">
      <x:c r="A26" s="63" t="str">
        <x:v>- thai_water_DB มี 807 สถานี: วิกฤติ 188, ล้นตลิ่ง 62, เตือนภัย 342, เฝ้าระวัง 152, ปกติ 48 และไม่ทราบ 15</x:v>
      </x:c>
      <x:c r="B26" s="63"/>
      <x:c r="C26" s="63"/>
      <x:c r="D26" s="63"/>
      <x:c r="E26" s="63"/>
      <x:c r="F26" s="63"/>
    </x:row>
    <x:row r="27">
      <x:c r="A27" s="63" t="str">
        <x:v>- ข้อมูลสถานีกรุงเทพฯ 282 รายการส่วนใหญ่เก่ากว่า 60 นาที จึงไม่ควรนำไปรวมเป็นสัญญาณสดโดยไม่ติดป้าย freshness</x:v>
      </x:c>
      <x:c r="B27" s="63"/>
      <x:c r="C27" s="63"/>
      <x:c r="D27" s="63"/>
      <x:c r="E27" s="63"/>
      <x:c r="F27" s="63"/>
    </x:row>
    <x:row r="28">
      <x:c r="A28" s="63" t="str">
        <x:v>- shelter_DB มีความจุ 15,857 คน ใช้แล้ว 4,449 คน และว่าง 11,611 คน แต่พิกัดมีจำกัด จึงควรแยกตัวชี้วัดพิกัดพร้อมใช้งาน</x:v>
      </x:c>
      <x:c r="B28" s="63"/>
      <x:c r="C28" s="63"/>
      <x:c r="D28" s="63"/>
      <x:c r="E28" s="63"/>
      <x:c r="F28" s="63"/>
    </x:row>
    <x:row r="29">
      <x:c r="A29" s="63"/>
      <x:c r="B29" s="63"/>
      <x:c r="C29" s="63"/>
      <x:c r="D29" s="63"/>
      <x:c r="E29" s="63"/>
      <x:c r="F29" s="63"/>
    </x:row>
    <x:row r="30">
      <x:c r="A30" s="63"/>
      <x:c r="B30" s="63"/>
      <x:c r="C30" s="63"/>
      <x:c r="D30" s="63"/>
      <x:c r="E30" s="63"/>
      <x:c r="F30" s="63"/>
    </x:row>
    <x:row r="31">
      <x:c r="A31" s="63"/>
      <x:c r="B31" s="63"/>
      <x:c r="C31" s="63"/>
      <x:c r="D31" s="63"/>
      <x:c r="E31" s="63"/>
      <x:c r="F31" s="63"/>
    </x:row>
    <x:row r="32">
      <x:c r="A32" s="63"/>
      <x:c r="B32" s="63"/>
      <x:c r="C32" s="63"/>
      <x:c r="D32" s="63"/>
      <x:c r="E32" s="63"/>
      <x:c r="F32" s="63"/>
    </x:row>
    <x:row r="33">
      <x:c r="A33" s="63"/>
      <x:c r="B33" s="63"/>
      <x:c r="C33" s="63"/>
      <x:c r="D33" s="63"/>
      <x:c r="E33" s="63"/>
      <x:c r="F33" s="63"/>
    </x:row>
    <x:row r="34">
      <x:c r="A34" s="63"/>
      <x:c r="B34" s="63"/>
      <x:c r="C34" s="63"/>
      <x:c r="D34" s="63"/>
      <x:c r="E34" s="63"/>
      <x:c r="F34" s="63"/>
    </x:row>
    <x:row r="35">
      <x:c r="A35" s="63"/>
      <x:c r="B35" s="63"/>
      <x:c r="C35" s="63"/>
      <x:c r="D35" s="63"/>
      <x:c r="E35" s="63"/>
      <x:c r="F35" s="63"/>
    </x:row>
  </x:sheetData>
  <x:mergeCells>
    <x:mergeCell ref="A1:F1"/>
  </x:mergeCells>
  <x:pageMargins left="0.7" right="0.7" top="0.75" bottom="0.75" header="0.3" footer="0.3"/>
</x:worksheet>
</file>